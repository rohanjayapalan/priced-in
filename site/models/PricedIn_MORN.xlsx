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<sst xmlns="http://schemas.openxmlformats.org/spreadsheetml/2006/main" count="842" uniqueCount="249">
  <si>
    <t xml:space="preserve">Priced In: Morningstar (MORN)</t>
  </si>
  <si>
    <t xml:space="preserve">Reverse DCF, model v1.0. Inputs as of the Oct 13, 2026 close; model locked Oct 14, 2026 (commit 0735af0).</t>
  </si>
  <si>
    <t xml:space="preserve">Ratings and indexes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</si>
  <si>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</si>
  <si>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</si>
  <si>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</si>
  <si>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</si>
  <si>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</si>
  <si>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</si>
  <si>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</si>
  <si>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</si>
  <si>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</si>
  <si>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</si>
  <si>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</si>
  <si>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</si>
  <si>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</si>
  <si>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</si>
  <si>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</si>
  <si>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</si>
  <si>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</si>
  <si>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</si>
  <si>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</si>
  <si>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</si>
  <si>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</si>
  <si>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</si>
  <si>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</si>
  <si>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</si>
  <si>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</si>
  <si>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</si>
  <si>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</si>
  <si>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Morningstar (MORN):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</si>
  <si>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</si>
  <si>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</si>
  <si>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</si>
  <si>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</si>
  <si>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</si>
  <si>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</si>
  <si>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</si>
  <si>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</si>
  <si>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</si>
  <si>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</si>
  <si>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</si>
  <si>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</si>
  <si>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</si>
  <si>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</si>
  <si>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</si>
  <si>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</si>
  <si>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</si>
  <si>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</si>
  <si>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</si>
  <si>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</si>
  <si>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</si>
  <si>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</si>
  <si>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</si>
  <si>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</si>
  <si>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</si>
  <si>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</si>
  <si>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</si>
  <si>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</si>
  <si>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</si>
  <si>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</si>
  <si>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</si>
  <si>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</si>
  <si>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</si>
  <si>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</si>
  <si>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</si>
  <si>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</si>
  <si>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</si>
  <si>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</si>
  <si>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</si>
  <si>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</si>
  <si>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</si>
  <si>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</si>
  <si>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</si>
  <si>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</si>
  <si>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</si>
  <si>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</si>
  <si>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</si>
  <si>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</si>
  <si>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</si>
  <si>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</si>
  <si>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</si>
  <si>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</si>
  <si>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</si>
  <si>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</si>
  <si>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</si>
  <si>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</si>
  <si>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</si>
  <si>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</si>
  <si>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</si>
  <si>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</si>
  <si>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</si>
  <si>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</si>
  <si>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</si>
  <si>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Morningstar (MORN):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</si>
  <si>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</si>
  <si>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</si>
  <si>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</si>
  <si>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</si>
  <si>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</si>
  <si>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</si>
  <si>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</si>
  <si>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</si>
  <si>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</si>
  <si>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</si>
  <si>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</si>
  <si>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</si>
  <si>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</si>
  <si>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</si>
  <si>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</si>
  <si>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</si>
  <si>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</si>
  <si>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</si>
  <si>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</si>
  <si>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</si>
  <si>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</si>
  <si>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</si>
  <si>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</si>
  <si>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</si>
  <si>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Morningstar (MORN):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</si>
  <si>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</si>
  <si>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</si>
  <si>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</si>
  <si>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</si>
  <si>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</si>
  <si>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</si>
  <si>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S&amp;P Global (SPGI)</t>
  </si>
  <si>
    <t xml:space="preserve">Raw betas: 60 monthly returns to Sep 2026 against the S&amp;P 500 (S&amp;P/TSX for TMX); Cboe uses Stock Analysis's 5-year beta. Debt and equity from Stock Analysis, Oct 13, 2026.</t>
  </si>
  <si>
    <t xml:space="preserve">Moody's (MCO)</t>
  </si>
  <si>
    <t xml:space="preserve">MSCI (MSCI)</t>
  </si>
  <si>
    <t xml:space="preserve">Morningstar (MORN)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</si>
  <si>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</si>
  <si>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</si>
  <si>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</si>
  <si>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</si>
  <si>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</si>
  <si>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</si>
  <si>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</si>
  <si>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</si>
  <si>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</si>
  <si>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</si>
  <si>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</si>
  <si>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</si>
  <si>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</si>
  <si>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</si>
  <si>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</si>
  <si>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</si>
  <si>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</si>
  <si>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</si>
  <si>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</si>
  <si>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</si>
  <si>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</si>
  <si>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</si>
  <si>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</si>
  <si>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</si>
  <si>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</si>
  <si>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</si>
  <si>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</si>
  <si>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</si>
  <si>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</si>
  <si>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</si>
  <si>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</si>
  <si>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</si>
  <si>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</si>
  <si>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</si>
  <si>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</si>
  <si>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</si>
  <si>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</si>
  <si>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</si>
  <si>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</si>
  <si>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</si>
  <si>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</si>
  <si>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</si>
  <si>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</si>
  <si>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</si>
  <si>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</si>
  <si>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</si>
  <si>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</si>
  <si>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</si>
  <si>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</si>
  <si>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</si>
  <si>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</si>
  <si>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</si>
  <si>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</si>
  <si>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</si>
  <si>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</si>
  <si>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</si>
  <si>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</si>
  <si>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</si>
  <si>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</si>
  <si>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</si>
  <si>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</si>
  <si>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</si>
  <si>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</si>
  <si>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</si>
  <si>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</si>
  <si>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</si>
  <si>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</si>
  <si>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</si>
  <si>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</si>
  <si>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</si>
  <si>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</si>
  <si>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</si>
  <si>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</si>
  <si>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</si>
  <si>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</si>
  <si>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</si>
  <si>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Morningstar (MORN):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</si>
  <si>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</si>
  <si>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</si>
  <si>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</si>
  <si>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</si>
  <si>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</si>
  <si>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</si>
  <si>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</si>
  <si>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</si>
  <si>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</si>
  <si>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</si>
  <si>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</si>
  <si>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</si>
  <si>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</si>
  <si>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</si>
  <si>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</si>
  <si>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</si>
  <si>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</si>
  <si>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Morningstar (MORN):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</si>
  <si>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</si>
  <si>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</si>
  <si>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</si>
  <si>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</si>
  <si>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</si>
  <si>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</si>
  <si>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</si>
  <si>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$204.48.</t>
  </si>
  <si>
    <t xml:space="preserve">Helper: revenue paths for each growth view (years 1 to 10)</t>
  </si>
  <si>
    <t xml:space="preserve">Morningstar (MORN):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</si>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</sst>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204.478805651826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0.0498118265345511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0.0820738337486065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-0.0322620072140555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WACC!$C$34</f>
        <v>0.094183337553844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0.199766536964981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0.0820738337486065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252.16673274186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0.233216968076552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2570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0.0820738337486065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204.478805651826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37.51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7670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2570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2570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497.5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497.5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497.5</v>
      </c>
    </row>
    <row r="17" customFormat="false" ht="15" hidden="false" customHeight="false" outlineLevel="0" collapsed="false">
      <c r="B17" s="5" t="s">
        <v>50</v>
      </c>
      <c r="C17" s="14" t="n">
        <v>583.5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562.3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21.2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15.9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513.4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0.199766536964981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680.1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1900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523.8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1376.2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0.0960476674972131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0.0681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0.0820738337486065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0.0820738337486065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1699</v>
      </c>
      <c r="D6" s="14" t="n">
        <v>1871</v>
      </c>
      <c r="E6" s="14" t="n">
        <v>2039</v>
      </c>
      <c r="F6" s="14" t="n">
        <v>2275</v>
      </c>
      <c r="G6" s="14" t="n">
        <v>2446</v>
      </c>
      <c r="H6" s="14" t="n">
        <v>2567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0.101236021188935</v>
      </c>
      <c r="E7" s="23" t="n">
        <f aca="false">E6/D6-1</f>
        <v>0.0897915553180118</v>
      </c>
      <c r="F7" s="23" t="n">
        <f aca="false">F6/E6-1</f>
        <v>0.115743011280039</v>
      </c>
      <c r="G7" s="23" t="n">
        <f aca="false">G6/F6-1</f>
        <v>0.0751648351648351</v>
      </c>
    </row>
    <row r="10" customFormat="false" ht="15" hidden="false" customHeight="false" outlineLevel="0" collapsed="false">
      <c r="B10" s="3" t="s">
        <v>105</v>
      </c>
    </row>
    <row r="11" customFormat="false" ht="15" hidden="false" customHeight="false" outlineLevel="0" collapsed="false">
      <c r="B11" s="5" t="s">
        <v>106</v>
      </c>
      <c r="C11" s="29" t="s">
        <v>97</v>
      </c>
      <c r="E11" s="5" t="s">
        <v>107</v>
      </c>
      <c r="G11" s="30" t="n">
        <v>4.5</v>
      </c>
    </row>
    <row r="12" customFormat="false" ht="15" hidden="false" customHeight="false" outlineLevel="0" collapsed="false">
      <c r="B12" s="5" t="s">
        <v>108</v>
      </c>
      <c r="C12" s="23" t="n">
        <f aca="false">(H6/INDEX(C6:H6,MATCH(C11,C5:H5,0)))^(1/G11)-1</f>
        <v>0.0960476674972131</v>
      </c>
      <c r="I12" s="19" t="s">
        <v>81</v>
      </c>
    </row>
    <row r="15" customFormat="false" ht="15" hidden="false" customHeight="false" outlineLevel="0" collapsed="false">
      <c r="B15" s="3" t="s">
        <v>109</v>
      </c>
    </row>
    <row r="16" customFormat="false" ht="15" hidden="false" customHeight="false" outlineLevel="0" collapsed="false">
      <c r="B16" s="28" t="s">
        <v>96</v>
      </c>
      <c r="C16" s="28" t="s">
        <v>110</v>
      </c>
      <c r="D16" s="28" t="s">
        <v>111</v>
      </c>
      <c r="E16" s="28" t="s">
        <v>112</v>
      </c>
      <c r="F16" s="28" t="s">
        <v>113</v>
      </c>
      <c r="G16" s="28" t="s">
        <v>114</v>
      </c>
    </row>
    <row r="17" customFormat="false" ht="15" hidden="false" customHeight="false" outlineLevel="0" collapsed="false">
      <c r="B17" s="5" t="s">
        <v>115</v>
      </c>
      <c r="C17" s="22" t="n">
        <v>0.2048</v>
      </c>
      <c r="D17" s="22" t="n">
        <v>0.09</v>
      </c>
      <c r="E17" s="22" t="n">
        <v>0.0968</v>
      </c>
      <c r="F17" s="22" t="n">
        <v>0.1973</v>
      </c>
      <c r="G17" s="22" t="n">
        <v>0.181</v>
      </c>
      <c r="I17" s="19" t="s">
        <v>116</v>
      </c>
    </row>
    <row r="18" customFormat="false" ht="15" hidden="false" customHeight="false" outlineLevel="0" collapsed="false">
      <c r="B18" s="5" t="s">
        <v>117</v>
      </c>
      <c r="C18" s="23" t="n">
        <f aca="false">C17+(Inputs!$C$23-Inputs!$C$16/Inputs!$C$12)</f>
        <v>0.210986770428016</v>
      </c>
      <c r="D18" s="23" t="n">
        <f aca="false">D17+(Inputs!$C$23-Inputs!$C$16/Inputs!$C$12)</f>
        <v>0.0961867704280156</v>
      </c>
      <c r="E18" s="23" t="n">
        <f aca="false">E17+(Inputs!$C$23-Inputs!$C$16/Inputs!$C$12)</f>
        <v>0.102986770428016</v>
      </c>
      <c r="F18" s="23" t="n">
        <f aca="false">F17+(Inputs!$C$23-Inputs!$C$16/Inputs!$C$12)</f>
        <v>0.203486770428016</v>
      </c>
      <c r="G18" s="23" t="n">
        <f aca="false">G17+(Inputs!$C$23-Inputs!$C$16/Inputs!$C$12)</f>
        <v>0.187186770428016</v>
      </c>
    </row>
    <row r="19" customFormat="false" ht="15" hidden="false" customHeight="false" outlineLevel="0" collapsed="false">
      <c r="B19" s="5" t="s">
        <v>118</v>
      </c>
      <c r="C19" s="23" t="n">
        <f aca="false">MIN(C18:G18)</f>
        <v>0.0961867704280156</v>
      </c>
      <c r="D19" s="23" t="n">
        <f aca="false">MAX(C18:G18)</f>
        <v>0.210986770428016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119</v>
      </c>
    </row>
    <row r="3" customFormat="false" ht="15" hidden="false" customHeight="false" outlineLevel="0" collapsed="false">
      <c r="B3" s="2" t="s">
        <v>120</v>
      </c>
    </row>
    <row r="5" customFormat="false" ht="15" hidden="false" customHeight="false" outlineLevel="0" collapsed="false">
      <c r="B5" s="28" t="s">
        <v>121</v>
      </c>
      <c r="C5" s="28" t="s">
        <v>122</v>
      </c>
      <c r="D5" s="28" t="s">
        <v>123</v>
      </c>
      <c r="E5" s="28" t="s">
        <v>124</v>
      </c>
      <c r="F5" s="28" t="s">
        <v>55</v>
      </c>
      <c r="G5" s="28" t="s">
        <v>125</v>
      </c>
    </row>
    <row r="6" customFormat="false" ht="15" hidden="false" customHeight="false" outlineLevel="0" collapsed="false">
      <c r="B6" s="5" t="s">
        <v>126</v>
      </c>
      <c r="C6" s="31" t="n">
        <v>1.09250166626551</v>
      </c>
      <c r="D6" s="14" t="n">
        <v>15750</v>
      </c>
      <c r="E6" s="14" t="n">
        <v>120850</v>
      </c>
      <c r="F6" s="22" t="n">
        <v>0.25</v>
      </c>
      <c r="G6" s="32" t="n">
        <f aca="false">C6/(1+(1-F6)*D6/E6)</f>
        <v>0.995223415570996</v>
      </c>
      <c r="H6" s="19" t="s">
        <v>127</v>
      </c>
    </row>
    <row r="7" customFormat="false" ht="15" hidden="false" customHeight="false" outlineLevel="0" collapsed="false">
      <c r="B7" s="5" t="s">
        <v>128</v>
      </c>
      <c r="C7" s="31" t="n">
        <v>1.3479366702065</v>
      </c>
      <c r="D7" s="14" t="n">
        <v>7620</v>
      </c>
      <c r="E7" s="14" t="n">
        <v>80380</v>
      </c>
      <c r="F7" s="22" t="n">
        <v>0.25</v>
      </c>
      <c r="G7" s="32" t="n">
        <f aca="false">C7/(1+(1-F7)*D7/E7)</f>
        <v>1.2584604164144</v>
      </c>
    </row>
    <row r="8" customFormat="false" ht="15" hidden="false" customHeight="false" outlineLevel="0" collapsed="false">
      <c r="B8" s="5" t="s">
        <v>129</v>
      </c>
      <c r="C8" s="31" t="n">
        <v>1.24194634399389</v>
      </c>
      <c r="D8" s="14" t="n">
        <v>6540</v>
      </c>
      <c r="E8" s="14" t="n">
        <v>40770</v>
      </c>
      <c r="F8" s="22" t="n">
        <v>0.25</v>
      </c>
      <c r="G8" s="32" t="n">
        <f aca="false">C8/(1+(1-F8)*D8/E8)</f>
        <v>1.10857476616597</v>
      </c>
    </row>
    <row r="9" customFormat="false" ht="15" hidden="false" customHeight="false" outlineLevel="0" collapsed="false">
      <c r="B9" s="7" t="s">
        <v>130</v>
      </c>
      <c r="C9" s="31" t="n">
        <v>1.02503279266652</v>
      </c>
      <c r="D9" s="14" t="n">
        <v>1900</v>
      </c>
      <c r="E9" s="14" t="n">
        <v>7670</v>
      </c>
      <c r="F9" s="22" t="n">
        <v>0.25</v>
      </c>
      <c r="G9" s="32" t="n">
        <f aca="false">C9/(1+(1-F9)*D9/E9)</f>
        <v>0.864431173144824</v>
      </c>
    </row>
    <row r="11" customFormat="false" ht="15" hidden="false" customHeight="false" outlineLevel="0" collapsed="false">
      <c r="B11" s="5" t="s">
        <v>131</v>
      </c>
      <c r="C11" s="32" t="n">
        <f aca="false">MEDIAN(G6:G9)</f>
        <v>1.05189909086848</v>
      </c>
    </row>
    <row r="12" customFormat="false" ht="15" hidden="false" customHeight="false" outlineLevel="0" collapsed="false">
      <c r="B12" s="5" t="s">
        <v>123</v>
      </c>
      <c r="C12" s="16" t="n">
        <f aca="false">Inputs!$C$27</f>
        <v>1900</v>
      </c>
    </row>
    <row r="13" customFormat="false" ht="15" hidden="false" customHeight="false" outlineLevel="0" collapsed="false">
      <c r="B13" s="5" t="s">
        <v>37</v>
      </c>
      <c r="C13" s="16" t="n">
        <f aca="false">Inputs!$C$8</f>
        <v>7670</v>
      </c>
    </row>
    <row r="14" customFormat="false" ht="15" hidden="false" customHeight="false" outlineLevel="0" collapsed="false">
      <c r="B14" s="5" t="s">
        <v>55</v>
      </c>
      <c r="C14" s="9" t="n">
        <f aca="false">Inputs!$C$20</f>
        <v>0.25</v>
      </c>
    </row>
    <row r="15" customFormat="false" ht="15" hidden="false" customHeight="false" outlineLevel="0" collapsed="false">
      <c r="B15" s="5" t="s">
        <v>132</v>
      </c>
      <c r="C15" s="32" t="n">
        <f aca="false">WACC!$C$11*(1+(1-WACC!$C$14)*WACC!$C$12/WACC!$C$13)</f>
        <v>1.24733014751615</v>
      </c>
      <c r="H15" s="19" t="s">
        <v>133</v>
      </c>
    </row>
    <row r="16" customFormat="false" ht="15" hidden="false" customHeight="false" outlineLevel="0" collapsed="false">
      <c r="B16" s="5" t="s">
        <v>134</v>
      </c>
      <c r="C16" s="12" t="n">
        <f aca="false">Inputs!$C$35</f>
        <v>0.0521</v>
      </c>
    </row>
    <row r="17" customFormat="false" ht="15" hidden="false" customHeight="false" outlineLevel="0" collapsed="false">
      <c r="B17" s="5" t="s">
        <v>77</v>
      </c>
      <c r="C17" s="12" t="n">
        <f aca="false">Inputs!$C$38</f>
        <v>0.0423</v>
      </c>
    </row>
    <row r="18" customFormat="false" ht="15" hidden="false" customHeight="false" outlineLevel="0" collapsed="false">
      <c r="B18" s="5" t="s">
        <v>135</v>
      </c>
      <c r="C18" s="25" t="n">
        <f aca="false">WACC!$C$16+WACC!$C$15*WACC!$C$17</f>
        <v>0.104862065239933</v>
      </c>
      <c r="H18" s="19" t="s">
        <v>136</v>
      </c>
    </row>
    <row r="20" customFormat="false" ht="15" hidden="false" customHeight="false" outlineLevel="0" collapsed="false">
      <c r="B20" s="3" t="s">
        <v>137</v>
      </c>
    </row>
    <row r="21" customFormat="false" ht="15" hidden="false" customHeight="false" outlineLevel="0" collapsed="false">
      <c r="B21" s="28" t="s">
        <v>138</v>
      </c>
      <c r="C21" s="28" t="s">
        <v>139</v>
      </c>
    </row>
    <row r="22" customFormat="false" ht="15" hidden="false" customHeight="false" outlineLevel="0" collapsed="false">
      <c r="B22" s="33" t="n">
        <v>1</v>
      </c>
      <c r="C22" s="24" t="n">
        <v>0.01</v>
      </c>
      <c r="H22" s="19" t="s">
        <v>140</v>
      </c>
    </row>
    <row r="23" customFormat="false" ht="15" hidden="false" customHeight="false" outlineLevel="0" collapsed="false">
      <c r="B23" s="33" t="n">
        <v>2</v>
      </c>
      <c r="C23" s="24" t="n">
        <v>0.0125</v>
      </c>
    </row>
    <row r="24" customFormat="false" ht="15" hidden="false" customHeight="false" outlineLevel="0" collapsed="false">
      <c r="B24" s="33" t="n">
        <v>3</v>
      </c>
      <c r="C24" s="24" t="n">
        <v>0.016</v>
      </c>
    </row>
    <row r="25" customFormat="false" ht="15" hidden="false" customHeight="false" outlineLevel="0" collapsed="false">
      <c r="B25" s="33" t="n">
        <v>4</v>
      </c>
      <c r="C25" s="24" t="n">
        <v>0.02</v>
      </c>
    </row>
    <row r="26" customFormat="false" ht="15" hidden="false" customHeight="false" outlineLevel="0" collapsed="false">
      <c r="B26" s="33" t="n">
        <v>99</v>
      </c>
      <c r="C26" s="24" t="n">
        <v>0.0275</v>
      </c>
    </row>
    <row r="28" customFormat="false" ht="15" hidden="false" customHeight="false" outlineLevel="0" collapsed="false">
      <c r="B28" s="5" t="s">
        <v>141</v>
      </c>
      <c r="C28" s="34" t="n">
        <f aca="false">Inputs!$C$27/Inputs!$C$24</f>
        <v>2.79370680782238</v>
      </c>
    </row>
    <row r="29" customFormat="false" ht="15" hidden="false" customHeight="false" outlineLevel="0" collapsed="false">
      <c r="B29" s="5" t="s">
        <v>142</v>
      </c>
      <c r="C29" s="25" t="n">
        <f aca="false">INDEX(C22:C26,COUNTIF(B22:B26,"&lt;="&amp;WACC!$C$28)+1)</f>
        <v>0.016</v>
      </c>
      <c r="H29" s="19" t="s">
        <v>143</v>
      </c>
    </row>
    <row r="30" customFormat="false" ht="15" hidden="false" customHeight="false" outlineLevel="0" collapsed="false">
      <c r="B30" s="5" t="s">
        <v>144</v>
      </c>
      <c r="C30" s="25" t="n">
        <f aca="false">WACC!$C$16+WACC!$C$29</f>
        <v>0.0681</v>
      </c>
    </row>
    <row r="31" customFormat="false" ht="15" hidden="false" customHeight="false" outlineLevel="0" collapsed="false">
      <c r="B31" s="5" t="s">
        <v>145</v>
      </c>
      <c r="C31" s="25" t="n">
        <f aca="false">WACC!$C$30*(1-WACC!$C$14)</f>
        <v>0.051075</v>
      </c>
    </row>
    <row r="32" customFormat="false" ht="15" hidden="false" customHeight="false" outlineLevel="0" collapsed="false">
      <c r="B32" s="5" t="s">
        <v>146</v>
      </c>
      <c r="C32" s="23" t="n">
        <f aca="false">WACC!$C$12/(WACC!$C$12+WACC!$C$13)</f>
        <v>0.198537095088819</v>
      </c>
      <c r="H32" s="19" t="s">
        <v>147</v>
      </c>
    </row>
    <row r="33" customFormat="false" ht="15" hidden="false" customHeight="false" outlineLevel="0" collapsed="false">
      <c r="B33" s="5" t="s">
        <v>148</v>
      </c>
      <c r="C33" s="23" t="n">
        <f aca="false">1-WACC!$C$32</f>
        <v>0.801462904911181</v>
      </c>
    </row>
    <row r="34" customFormat="false" ht="15" hidden="false" customHeight="false" outlineLevel="0" collapsed="false">
      <c r="B34" s="5" t="s">
        <v>11</v>
      </c>
      <c r="C34" s="35" t="n">
        <f aca="false">WACC!$C$33*WACC!$C$18+WACC!$C$32*WACC!$C$31</f>
        <v>0.094183337553844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149</v>
      </c>
    </row>
    <row r="2" customFormat="false" ht="15" hidden="false" customHeight="false" outlineLevel="0" collapsed="false">
      <c r="B2" s="5" t="s">
        <v>150</v>
      </c>
      <c r="C2" s="16" t="n">
        <f aca="false">Inputs!$C$12</f>
        <v>2570</v>
      </c>
      <c r="D2" s="5" t="s">
        <v>151</v>
      </c>
      <c r="E2" s="9" t="n">
        <f aca="false">Inputs!$C$23</f>
        <v>0.199766536964981</v>
      </c>
      <c r="F2" s="5" t="s">
        <v>152</v>
      </c>
      <c r="G2" s="16" t="n">
        <f aca="false">Inputs!$C$27</f>
        <v>1900</v>
      </c>
      <c r="H2" s="5" t="s">
        <v>153</v>
      </c>
      <c r="I2" s="16" t="n">
        <f aca="false">Inputs!$C$28</f>
        <v>523.8</v>
      </c>
      <c r="J2" s="5" t="s">
        <v>154</v>
      </c>
      <c r="K2" s="36" t="n">
        <f aca="false">Inputs!$C$7</f>
        <v>37.51</v>
      </c>
      <c r="L2" s="5" t="s">
        <v>155</v>
      </c>
      <c r="M2" s="6" t="n">
        <f aca="false">Inputs!$C$6</f>
        <v>204.478805651826</v>
      </c>
      <c r="N2" s="5" t="s">
        <v>156</v>
      </c>
      <c r="O2" s="37" t="n">
        <f aca="false">Inputs!$C$46</f>
        <v>5</v>
      </c>
      <c r="P2" s="5" t="s">
        <v>157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158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159</v>
      </c>
    </row>
    <row r="6" customFormat="false" ht="15" hidden="false" customHeight="false" outlineLevel="0" collapsed="false">
      <c r="A6" s="38" t="s">
        <v>160</v>
      </c>
      <c r="E6" s="5" t="s">
        <v>11</v>
      </c>
      <c r="F6" s="12" t="n">
        <f aca="false">WACC!$C$34</f>
        <v>0.094183337553844</v>
      </c>
      <c r="G6" s="5" t="s">
        <v>12</v>
      </c>
      <c r="I6" s="12" t="n">
        <f aca="false">Inputs!$C$37</f>
        <v>0.0283</v>
      </c>
      <c r="W6" s="38" t="s">
        <v>161</v>
      </c>
    </row>
    <row r="7" customFormat="false" ht="23.85" hidden="false" customHeight="false" outlineLevel="0" collapsed="false">
      <c r="A7" s="38" t="s">
        <v>162</v>
      </c>
      <c r="B7" s="28" t="s">
        <v>163</v>
      </c>
      <c r="C7" s="28" t="s">
        <v>164</v>
      </c>
      <c r="D7" s="28" t="s">
        <v>165</v>
      </c>
      <c r="E7" s="28" t="s">
        <v>166</v>
      </c>
      <c r="F7" s="28" t="s">
        <v>167</v>
      </c>
      <c r="G7" s="28" t="s">
        <v>168</v>
      </c>
      <c r="H7" s="28" t="s">
        <v>169</v>
      </c>
      <c r="I7" s="28" t="s">
        <v>170</v>
      </c>
      <c r="J7" s="28" t="s">
        <v>171</v>
      </c>
      <c r="K7" s="28" t="s">
        <v>172</v>
      </c>
      <c r="L7" s="28" t="s">
        <v>173</v>
      </c>
      <c r="M7" s="28" t="s">
        <v>174</v>
      </c>
      <c r="N7" s="28" t="s">
        <v>175</v>
      </c>
      <c r="O7" s="28" t="s">
        <v>176</v>
      </c>
      <c r="P7" s="28" t="s">
        <v>177</v>
      </c>
      <c r="Q7" s="28" t="s">
        <v>178</v>
      </c>
      <c r="R7" s="28" t="s">
        <v>179</v>
      </c>
      <c r="S7" s="28" t="s">
        <v>180</v>
      </c>
      <c r="T7" s="28" t="s">
        <v>181</v>
      </c>
      <c r="W7" s="40" t="n">
        <f aca="false">$D$47</f>
        <v>0.0498118265345511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3212.5</v>
      </c>
      <c r="F8" s="15" t="n">
        <f aca="false">E8*(1+IF(F$3&lt;=$O$2,$D8,$D8-($D8-$I$6)*MIN(F$3-$O$2,$Q$2)/$Q$2))</f>
        <v>4015.625</v>
      </c>
      <c r="G8" s="15" t="n">
        <f aca="false">F8*(1+IF(G$3&lt;=$O$2,$D8,$D8-($D8-$I$6)*MIN(G$3-$O$2,$Q$2)/$Q$2))</f>
        <v>5019.53125</v>
      </c>
      <c r="H8" s="15" t="n">
        <f aca="false">G8*(1+IF(H$3&lt;=$O$2,$D8,$D8-($D8-$I$6)*MIN(H$3-$O$2,$Q$2)/$Q$2))</f>
        <v>6274.4140625</v>
      </c>
      <c r="I8" s="15" t="n">
        <f aca="false">H8*(1+IF(I$3&lt;=$O$2,$D8,$D8-($D8-$I$6)*MIN(I$3-$O$2,$Q$2)/$Q$2))</f>
        <v>7843.017578125</v>
      </c>
      <c r="J8" s="15" t="n">
        <f aca="false">I8*(1+IF(J$3&lt;=$O$2,$D8,$D8-($D8-$I$6)*MIN(J$3-$O$2,$Q$2)/$Q$2))</f>
        <v>9456.01257324219</v>
      </c>
      <c r="K8" s="15" t="n">
        <f aca="false">J8*(1+IF(K$3&lt;=$O$2,$D8,$D8-($D8-$I$6)*MIN(K$3-$O$2,$Q$2)/$Q$2))</f>
        <v>10981.4565215576</v>
      </c>
      <c r="L8" s="15" t="n">
        <f aca="false">K8*(1+IF(L$3&lt;=$O$2,$D8,$D8-($D8-$I$6)*MIN(L$3-$O$2,$Q$2)/$Q$2))</f>
        <v>12266.0673054494</v>
      </c>
      <c r="M8" s="15" t="n">
        <f aca="false">L8*(1+IF(M$3&lt;=$O$2,$D8,$D8-($D8-$I$6)*MIN(M$3-$O$2,$Q$2)/$Q$2))</f>
        <v>13157.0744345173</v>
      </c>
      <c r="N8" s="15" t="n">
        <f aca="false">M8*(1+IF(N$3&lt;=$O$2,$D8,$D8-($D8-$I$6)*MIN(N$3-$O$2,$Q$2)/$Q$2))</f>
        <v>13529.4196410141</v>
      </c>
      <c r="O8" s="15" t="n">
        <f aca="false">SUMPRODUCT(E8:N8,1/(1+$F$6)^$E$3:$N$3)*$E$2</f>
        <v>9625.00814700594</v>
      </c>
      <c r="P8" s="15" t="n">
        <f aca="false">N8*$E$2*(1+$I$6)/($F$6-$I$6)/(1+$F$6)^$N$3</f>
        <v>17149.2520269667</v>
      </c>
      <c r="Q8" s="15" t="n">
        <f aca="false">O8+P8</f>
        <v>26774.2601739726</v>
      </c>
      <c r="R8" s="15" t="n">
        <f aca="false">Q8-$G$2+$I$2</f>
        <v>25398.0601739726</v>
      </c>
      <c r="S8" s="42" t="n">
        <f aca="false">R8/$K$2</f>
        <v>677.101044360774</v>
      </c>
      <c r="T8" s="43" t="n">
        <f aca="false">S8-$M$2</f>
        <v>472.622238708948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2248.75</v>
      </c>
      <c r="F9" s="15" t="n">
        <f aca="false">E9*(1+IF(F$3&lt;=$O$2,$D9,$D9-($D9-$I$6)*MIN(F$3-$O$2,$Q$2)/$Q$2))</f>
        <v>1967.65625</v>
      </c>
      <c r="G9" s="15" t="n">
        <f aca="false">F9*(1+IF(G$3&lt;=$O$2,$D9,$D9-($D9-$I$6)*MIN(G$3-$O$2,$Q$2)/$Q$2))</f>
        <v>1721.69921875</v>
      </c>
      <c r="H9" s="15" t="n">
        <f aca="false">G9*(1+IF(H$3&lt;=$O$2,$D9,$D9-($D9-$I$6)*MIN(H$3-$O$2,$Q$2)/$Q$2))</f>
        <v>1506.48681640625</v>
      </c>
      <c r="I9" s="15" t="n">
        <f aca="false">H9*(1+IF(I$3&lt;=$O$2,$D9,$D9-($D9-$I$6)*MIN(I$3-$O$2,$Q$2)/$Q$2))</f>
        <v>1318.17596435547</v>
      </c>
      <c r="J9" s="15" t="n">
        <f aca="false">I9*(1+IF(J$3&lt;=$O$2,$D9,$D9-($D9-$I$6)*MIN(J$3-$O$2,$Q$2)/$Q$2))</f>
        <v>1193.81924387817</v>
      </c>
      <c r="K9" s="15" t="n">
        <f aca="false">J9*(1+IF(K$3&lt;=$O$2,$D9,$D9-($D9-$I$6)*MIN(K$3-$O$2,$Q$2)/$Q$2))</f>
        <v>1117.79683442801</v>
      </c>
      <c r="L9" s="15" t="n">
        <f aca="false">K9*(1+IF(L$3&lt;=$O$2,$D9,$D9-($D9-$I$6)*MIN(L$3-$O$2,$Q$2)/$Q$2))</f>
        <v>1080.8871829552</v>
      </c>
      <c r="M9" s="15" t="n">
        <f aca="false">L9*(1+IF(M$3&lt;=$O$2,$D9,$D9-($D9-$I$6)*MIN(M$3-$O$2,$Q$2)/$Q$2))</f>
        <v>1078.33628920342</v>
      </c>
      <c r="N9" s="15" t="n">
        <f aca="false">M9*(1+IF(N$3&lt;=$O$2,$D9,$D9-($D9-$I$6)*MIN(N$3-$O$2,$Q$2)/$Q$2))</f>
        <v>1108.85320618788</v>
      </c>
      <c r="O9" s="15" t="n">
        <f aca="false">SUMPRODUCT(E9:N9,1/(1+$F$6)^$E$3:$N$3)*$E$2</f>
        <v>1928.13518044664</v>
      </c>
      <c r="P9" s="15" t="n">
        <f aca="false">N9*$E$2*(1+$I$6)/($F$6-$I$6)/(1+$F$6)^$N$3</f>
        <v>1405.52984521077</v>
      </c>
      <c r="Q9" s="15" t="n">
        <f aca="false">O9+P9</f>
        <v>3333.66502565741</v>
      </c>
      <c r="R9" s="15" t="n">
        <f aca="false">Q9-$G$2+$I$2</f>
        <v>1957.46502565741</v>
      </c>
      <c r="S9" s="42" t="n">
        <f aca="false">R9/$K$2</f>
        <v>52.1851513105148</v>
      </c>
      <c r="T9" s="43" t="n">
        <f aca="false">S9-$M$2</f>
        <v>-152.293654341311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2730.625</v>
      </c>
      <c r="F10" s="15" t="n">
        <f aca="false">E10*(1+IF(F$3&lt;=$O$2,$D10,$D10-($D10-$I$6)*MIN(F$3-$O$2,$Q$2)/$Q$2))</f>
        <v>2901.2890625</v>
      </c>
      <c r="G10" s="15" t="n">
        <f aca="false">F10*(1+IF(G$3&lt;=$O$2,$D10,$D10-($D10-$I$6)*MIN(G$3-$O$2,$Q$2)/$Q$2))</f>
        <v>3082.61962890625</v>
      </c>
      <c r="H10" s="15" t="n">
        <f aca="false">G10*(1+IF(H$3&lt;=$O$2,$D10,$D10-($D10-$I$6)*MIN(H$3-$O$2,$Q$2)/$Q$2))</f>
        <v>3275.28335571289</v>
      </c>
      <c r="I10" s="15" t="n">
        <f aca="false">H10*(1+IF(I$3&lt;=$O$2,$D10,$D10-($D10-$I$6)*MIN(I$3-$O$2,$Q$2)/$Q$2))</f>
        <v>3479.98856544495</v>
      </c>
      <c r="J10" s="15" t="n">
        <f aca="false">I10*(1+IF(J$3&lt;=$O$2,$D10,$D10-($D10-$I$6)*MIN(J$3-$O$2,$Q$2)/$Q$2))</f>
        <v>3673.68472899761</v>
      </c>
      <c r="K10" s="15" t="n">
        <f aca="false">J10*(1+IF(K$3&lt;=$O$2,$D10,$D10-($D10-$I$6)*MIN(K$3-$O$2,$Q$2)/$Q$2))</f>
        <v>3853.03401746728</v>
      </c>
      <c r="L10" s="15" t="n">
        <f aca="false">K10*(1+IF(L$3&lt;=$O$2,$D10,$D10-($D10-$I$6)*MIN(L$3-$O$2,$Q$2)/$Q$2))</f>
        <v>4014.78438552055</v>
      </c>
      <c r="M10" s="15" t="n">
        <f aca="false">L10*(1+IF(M$3&lt;=$O$2,$D10,$D10-($D10-$I$6)*MIN(M$3-$O$2,$Q$2)/$Q$2))</f>
        <v>4155.86390882774</v>
      </c>
      <c r="N10" s="15" t="n">
        <f aca="false">M10*(1+IF(N$3&lt;=$O$2,$D10,$D10-($D10-$I$6)*MIN(N$3-$O$2,$Q$2)/$Q$2))</f>
        <v>4273.47485744757</v>
      </c>
      <c r="O10" s="15" t="n">
        <f aca="false">SUMPRODUCT(E10:N10,1/(1+$F$6)^$E$3:$N$3)*$E$2</f>
        <v>4296.70731126501</v>
      </c>
      <c r="P10" s="15" t="n">
        <f aca="false">N10*$E$2*(1+$I$6)/($F$6-$I$6)/(1+$F$6)^$N$3</f>
        <v>5416.85447756432</v>
      </c>
      <c r="Q10" s="15" t="n">
        <f aca="false">O10+P10</f>
        <v>9713.56178882933</v>
      </c>
      <c r="R10" s="15" t="n">
        <f aca="false">Q10-$G$2+$I$2</f>
        <v>8337.36178882933</v>
      </c>
      <c r="S10" s="42" t="n">
        <f aca="false">R10/$K$2</f>
        <v>222.270375601955</v>
      </c>
      <c r="T10" s="43" t="n">
        <f aca="false">S10-$M$2</f>
        <v>17.7915699501289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2489.6875</v>
      </c>
      <c r="F11" s="15" t="n">
        <f aca="false">E11*(1+IF(F$3&lt;=$O$2,$D11,$D11-($D11-$I$6)*MIN(F$3-$O$2,$Q$2)/$Q$2))</f>
        <v>2411.884765625</v>
      </c>
      <c r="G11" s="15" t="n">
        <f aca="false">F11*(1+IF(G$3&lt;=$O$2,$D11,$D11-($D11-$I$6)*MIN(G$3-$O$2,$Q$2)/$Q$2))</f>
        <v>2336.51336669922</v>
      </c>
      <c r="H11" s="15" t="n">
        <f aca="false">G11*(1+IF(H$3&lt;=$O$2,$D11,$D11-($D11-$I$6)*MIN(H$3-$O$2,$Q$2)/$Q$2))</f>
        <v>2263.49732398987</v>
      </c>
      <c r="I11" s="15" t="n">
        <f aca="false">H11*(1+IF(I$3&lt;=$O$2,$D11,$D11-($D11-$I$6)*MIN(I$3-$O$2,$Q$2)/$Q$2))</f>
        <v>2192.76303261519</v>
      </c>
      <c r="J11" s="15" t="n">
        <f aca="false">I11*(1+IF(J$3&lt;=$O$2,$D11,$D11-($D11-$I$6)*MIN(J$3-$O$2,$Q$2)/$Q$2))</f>
        <v>2150.35499556441</v>
      </c>
      <c r="K11" s="15" t="n">
        <f aca="false">J11*(1+IF(K$3&lt;=$O$2,$D11,$D11-($D11-$I$6)*MIN(K$3-$O$2,$Q$2)/$Q$2))</f>
        <v>2134.37785794736</v>
      </c>
      <c r="L11" s="15" t="n">
        <f aca="false">K11*(1+IF(L$3&lt;=$O$2,$D11,$D11-($D11-$I$6)*MIN(L$3-$O$2,$Q$2)/$Q$2))</f>
        <v>2143.93987075097</v>
      </c>
      <c r="M11" s="15" t="n">
        <f aca="false">L11*(1+IF(M$3&lt;=$O$2,$D11,$D11-($D11-$I$6)*MIN(M$3-$O$2,$Q$2)/$Q$2))</f>
        <v>2179.07904523258</v>
      </c>
      <c r="N11" s="15" t="n">
        <f aca="false">M11*(1+IF(N$3&lt;=$O$2,$D11,$D11-($D11-$I$6)*MIN(N$3-$O$2,$Q$2)/$Q$2))</f>
        <v>2240.74698221266</v>
      </c>
      <c r="O11" s="15" t="n">
        <f aca="false">SUMPRODUCT(E11:N11,1/(1+$F$6)^$E$3:$N$3)*$E$2</f>
        <v>2869.49959094623</v>
      </c>
      <c r="P11" s="15" t="n">
        <f aca="false">N11*$E$2*(1+$I$6)/($F$6-$I$6)/(1+$F$6)^$N$3</f>
        <v>2840.26482630038</v>
      </c>
      <c r="Q11" s="15" t="n">
        <f aca="false">O11+P11</f>
        <v>5709.76441724661</v>
      </c>
      <c r="R11" s="15" t="n">
        <f aca="false">Q11-$G$2+$I$2</f>
        <v>4333.56441724661</v>
      </c>
      <c r="S11" s="42" t="n">
        <f aca="false">R11/$K$2</f>
        <v>115.530909550696</v>
      </c>
      <c r="T11" s="43" t="n">
        <f aca="false">S11-$M$2</f>
        <v>-88.94789610113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41" t="n">
        <f aca="false">(B12+C12)/2</f>
        <v>0.015625</v>
      </c>
      <c r="E12" s="15" t="n">
        <f aca="false">$C$2*(1+IF(E$3&lt;=$O$2,$D12,$D12-($D12-$I$6)*MIN(E$3-$O$2,$Q$2)/$Q$2))</f>
        <v>2610.15625</v>
      </c>
      <c r="F12" s="15" t="n">
        <f aca="false">E12*(1+IF(F$3&lt;=$O$2,$D12,$D12-($D12-$I$6)*MIN(F$3-$O$2,$Q$2)/$Q$2))</f>
        <v>2650.93994140625</v>
      </c>
      <c r="G12" s="15" t="n">
        <f aca="false">F12*(1+IF(G$3&lt;=$O$2,$D12,$D12-($D12-$I$6)*MIN(G$3-$O$2,$Q$2)/$Q$2))</f>
        <v>2692.36087799072</v>
      </c>
      <c r="H12" s="15" t="n">
        <f aca="false">G12*(1+IF(H$3&lt;=$O$2,$D12,$D12-($D12-$I$6)*MIN(H$3-$O$2,$Q$2)/$Q$2))</f>
        <v>2734.42901670933</v>
      </c>
      <c r="I12" s="15" t="n">
        <f aca="false">H12*(1+IF(I$3&lt;=$O$2,$D12,$D12-($D12-$I$6)*MIN(I$3-$O$2,$Q$2)/$Q$2))</f>
        <v>2777.15447009541</v>
      </c>
      <c r="J12" s="15" t="n">
        <f aca="false">I12*(1+IF(J$3&lt;=$O$2,$D12,$D12-($D12-$I$6)*MIN(J$3-$O$2,$Q$2)/$Q$2))</f>
        <v>2827.58759527234</v>
      </c>
      <c r="K12" s="15" t="n">
        <f aca="false">J12*(1+IF(K$3&lt;=$O$2,$D12,$D12-($D12-$I$6)*MIN(K$3-$O$2,$Q$2)/$Q$2))</f>
        <v>2886.1045205565</v>
      </c>
      <c r="L12" s="15" t="n">
        <f aca="false">K12*(1+IF(L$3&lt;=$O$2,$D12,$D12-($D12-$I$6)*MIN(L$3-$O$2,$Q$2)/$Q$2))</f>
        <v>2953.14872856903</v>
      </c>
      <c r="M12" s="15" t="n">
        <f aca="false">L12*(1+IF(M$3&lt;=$O$2,$D12,$D12-($D12-$I$6)*MIN(M$3-$O$2,$Q$2)/$Q$2))</f>
        <v>3029.23660556061</v>
      </c>
      <c r="N12" s="15" t="n">
        <f aca="false">M12*(1+IF(N$3&lt;=$O$2,$D12,$D12-($D12-$I$6)*MIN(N$3-$O$2,$Q$2)/$Q$2))</f>
        <v>3114.96400149798</v>
      </c>
      <c r="O12" s="15" t="n">
        <f aca="false">SUMPRODUCT(E12:N12,1/(1+$F$6)^$E$3:$N$3)*$E$2</f>
        <v>3509.74625351294</v>
      </c>
      <c r="P12" s="15" t="n">
        <f aca="false">N12*$E$2*(1+$I$6)/($F$6-$I$6)/(1+$F$6)^$N$3</f>
        <v>3948.38094567473</v>
      </c>
      <c r="Q12" s="15" t="n">
        <f aca="false">O12+P12</f>
        <v>7458.12719918767</v>
      </c>
      <c r="R12" s="15" t="n">
        <f aca="false">Q12-$G$2+$I$2</f>
        <v>6081.92719918767</v>
      </c>
      <c r="S12" s="42" t="n">
        <f aca="false">R12/$K$2</f>
        <v>162.141487581649</v>
      </c>
      <c r="T12" s="43" t="n">
        <f aca="false">S12-$M$2</f>
        <v>-42.3373180701766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0.015625</v>
      </c>
      <c r="C13" s="25" t="n">
        <f aca="false">IF(T12&gt;0,D12,C12)</f>
        <v>0.0625</v>
      </c>
      <c r="D13" s="41" t="n">
        <f aca="false">(B13+C13)/2</f>
        <v>0.0390625</v>
      </c>
      <c r="E13" s="15" t="n">
        <f aca="false">$C$2*(1+IF(E$3&lt;=$O$2,$D13,$D13-($D13-$I$6)*MIN(E$3-$O$2,$Q$2)/$Q$2))</f>
        <v>2670.390625</v>
      </c>
      <c r="F13" s="15" t="n">
        <f aca="false">E13*(1+IF(F$3&lt;=$O$2,$D13,$D13-($D13-$I$6)*MIN(F$3-$O$2,$Q$2)/$Q$2))</f>
        <v>2774.70275878906</v>
      </c>
      <c r="G13" s="15" t="n">
        <f aca="false">F13*(1+IF(G$3&lt;=$O$2,$D13,$D13-($D13-$I$6)*MIN(G$3-$O$2,$Q$2)/$Q$2))</f>
        <v>2883.08958530426</v>
      </c>
      <c r="H13" s="15" t="n">
        <f aca="false">G13*(1+IF(H$3&lt;=$O$2,$D13,$D13-($D13-$I$6)*MIN(H$3-$O$2,$Q$2)/$Q$2))</f>
        <v>2995.71027223021</v>
      </c>
      <c r="I13" s="15" t="n">
        <f aca="false">H13*(1+IF(I$3&lt;=$O$2,$D13,$D13-($D13-$I$6)*MIN(I$3-$O$2,$Q$2)/$Q$2))</f>
        <v>3112.7302047392</v>
      </c>
      <c r="J13" s="15" t="n">
        <f aca="false">I13*(1+IF(J$3&lt;=$O$2,$D13,$D13-($D13-$I$6)*MIN(J$3-$O$2,$Q$2)/$Q$2))</f>
        <v>3227.62107659612</v>
      </c>
      <c r="K13" s="15" t="n">
        <f aca="false">J13*(1+IF(K$3&lt;=$O$2,$D13,$D13-($D13-$I$6)*MIN(K$3-$O$2,$Q$2)/$Q$2))</f>
        <v>3339.80511616591</v>
      </c>
      <c r="L13" s="15" t="n">
        <f aca="false">K13*(1+IF(L$3&lt;=$O$2,$D13,$D13-($D13-$I$6)*MIN(L$3-$O$2,$Q$2)/$Q$2))</f>
        <v>3448.6994619785</v>
      </c>
      <c r="M13" s="15" t="n">
        <f aca="false">L13*(1+IF(M$3&lt;=$O$2,$D13,$D13-($D13-$I$6)*MIN(M$3-$O$2,$Q$2)/$Q$2))</f>
        <v>3553.7209823444</v>
      </c>
      <c r="N13" s="15" t="n">
        <f aca="false">M13*(1+IF(N$3&lt;=$O$2,$D13,$D13-($D13-$I$6)*MIN(N$3-$O$2,$Q$2)/$Q$2))</f>
        <v>3654.29128614475</v>
      </c>
      <c r="O13" s="15" t="n">
        <f aca="false">SUMPRODUCT(E13:N13,1/(1+$F$6)^$E$3:$N$3)*$E$2</f>
        <v>3883.05998884554</v>
      </c>
      <c r="P13" s="15" t="n">
        <f aca="false">N13*$E$2*(1+$I$6)/($F$6-$I$6)/(1+$F$6)^$N$3</f>
        <v>4632.00668682543</v>
      </c>
      <c r="Q13" s="15" t="n">
        <f aca="false">O13+P13</f>
        <v>8515.06667567097</v>
      </c>
      <c r="R13" s="15" t="n">
        <f aca="false">Q13-$G$2+$I$2</f>
        <v>7138.86667567097</v>
      </c>
      <c r="S13" s="42" t="n">
        <f aca="false">R13/$K$2</f>
        <v>190.319026277552</v>
      </c>
      <c r="T13" s="43" t="n">
        <f aca="false">S13-$M$2</f>
        <v>-14.1597793742744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0.0390625</v>
      </c>
      <c r="C14" s="25" t="n">
        <f aca="false">IF(T13&gt;0,D13,C13)</f>
        <v>0.0625</v>
      </c>
      <c r="D14" s="41" t="n">
        <f aca="false">(B14+C14)/2</f>
        <v>0.05078125</v>
      </c>
      <c r="E14" s="15" t="n">
        <f aca="false">$C$2*(1+IF(E$3&lt;=$O$2,$D14,$D14-($D14-$I$6)*MIN(E$3-$O$2,$Q$2)/$Q$2))</f>
        <v>2700.5078125</v>
      </c>
      <c r="F14" s="15" t="n">
        <f aca="false">E14*(1+IF(F$3&lt;=$O$2,$D14,$D14-($D14-$I$6)*MIN(F$3-$O$2,$Q$2)/$Q$2))</f>
        <v>2837.64297485352</v>
      </c>
      <c r="G14" s="15" t="n">
        <f aca="false">F14*(1+IF(G$3&lt;=$O$2,$D14,$D14-($D14-$I$6)*MIN(G$3-$O$2,$Q$2)/$Q$2))</f>
        <v>2981.7420321703</v>
      </c>
      <c r="H14" s="15" t="n">
        <f aca="false">G14*(1+IF(H$3&lt;=$O$2,$D14,$D14-($D14-$I$6)*MIN(H$3-$O$2,$Q$2)/$Q$2))</f>
        <v>3133.15861974144</v>
      </c>
      <c r="I14" s="15" t="n">
        <f aca="false">H14*(1+IF(I$3&lt;=$O$2,$D14,$D14-($D14-$I$6)*MIN(I$3-$O$2,$Q$2)/$Q$2))</f>
        <v>3292.26433090019</v>
      </c>
      <c r="J14" s="15" t="n">
        <f aca="false">I14*(1+IF(J$3&lt;=$O$2,$D14,$D14-($D14-$I$6)*MIN(J$3-$O$2,$Q$2)/$Q$2))</f>
        <v>3444.6467854559</v>
      </c>
      <c r="K14" s="15" t="n">
        <f aca="false">J14*(1+IF(K$3&lt;=$O$2,$D14,$D14-($D14-$I$6)*MIN(K$3-$O$2,$Q$2)/$Q$2))</f>
        <v>3588.59426881162</v>
      </c>
      <c r="L14" s="15" t="n">
        <f aca="false">K14*(1+IF(L$3&lt;=$O$2,$D14,$D14-($D14-$I$6)*MIN(L$3-$O$2,$Q$2)/$Q$2))</f>
        <v>3722.42192058128</v>
      </c>
      <c r="M14" s="15" t="n">
        <f aca="false">L14*(1+IF(M$3&lt;=$O$2,$D14,$D14-($D14-$I$6)*MIN(M$3-$O$2,$Q$2)/$Q$2))</f>
        <v>3844.50340049415</v>
      </c>
      <c r="N14" s="15" t="n">
        <f aca="false">M14*(1+IF(N$3&lt;=$O$2,$D14,$D14-($D14-$I$6)*MIN(N$3-$O$2,$Q$2)/$Q$2))</f>
        <v>3953.30284672813</v>
      </c>
      <c r="O14" s="15" t="n">
        <f aca="false">SUMPRODUCT(E14:N14,1/(1+$F$6)^$E$3:$N$3)*$E$2</f>
        <v>4084.59623379987</v>
      </c>
      <c r="P14" s="15" t="n">
        <f aca="false">N14*$E$2*(1+$I$6)/($F$6-$I$6)/(1+$F$6)^$N$3</f>
        <v>5011.01958963141</v>
      </c>
      <c r="Q14" s="15" t="n">
        <f aca="false">O14+P14</f>
        <v>9095.61582343128</v>
      </c>
      <c r="R14" s="15" t="n">
        <f aca="false">Q14-$G$2+$I$2</f>
        <v>7719.41582343128</v>
      </c>
      <c r="S14" s="42" t="n">
        <f aca="false">R14/$K$2</f>
        <v>205.796209635598</v>
      </c>
      <c r="T14" s="43" t="n">
        <f aca="false">S14-$M$2</f>
        <v>1.31740398377181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0.0390625</v>
      </c>
      <c r="C15" s="25" t="n">
        <f aca="false">IF(T14&gt;0,D14,C14)</f>
        <v>0.05078125</v>
      </c>
      <c r="D15" s="41" t="n">
        <f aca="false">(B15+C15)/2</f>
        <v>0.044921875</v>
      </c>
      <c r="E15" s="15" t="n">
        <f aca="false">$C$2*(1+IF(E$3&lt;=$O$2,$D15,$D15-($D15-$I$6)*MIN(E$3-$O$2,$Q$2)/$Q$2))</f>
        <v>2685.44921875</v>
      </c>
      <c r="F15" s="15" t="n">
        <f aca="false">E15*(1+IF(F$3&lt;=$O$2,$D15,$D15-($D15-$I$6)*MIN(F$3-$O$2,$Q$2)/$Q$2))</f>
        <v>2806.08463287354</v>
      </c>
      <c r="G15" s="15" t="n">
        <f aca="false">F15*(1+IF(G$3&lt;=$O$2,$D15,$D15-($D15-$I$6)*MIN(G$3-$O$2,$Q$2)/$Q$2))</f>
        <v>2932.1392159909</v>
      </c>
      <c r="H15" s="15" t="n">
        <f aca="false">G15*(1+IF(H$3&lt;=$O$2,$D15,$D15-($D15-$I$6)*MIN(H$3-$O$2,$Q$2)/$Q$2))</f>
        <v>3063.85640733424</v>
      </c>
      <c r="I15" s="15" t="n">
        <f aca="false">H15*(1+IF(I$3&lt;=$O$2,$D15,$D15-($D15-$I$6)*MIN(I$3-$O$2,$Q$2)/$Q$2))</f>
        <v>3201.49058188246</v>
      </c>
      <c r="J15" s="15" t="n">
        <f aca="false">I15*(1+IF(J$3&lt;=$O$2,$D15,$D15-($D15-$I$6)*MIN(J$3-$O$2,$Q$2)/$Q$2))</f>
        <v>3334.66458636232</v>
      </c>
      <c r="K15" s="15" t="n">
        <f aca="false">J15*(1+IF(K$3&lt;=$O$2,$D15,$D15-($D15-$I$6)*MIN(K$3-$O$2,$Q$2)/$Q$2))</f>
        <v>3462.29262090923</v>
      </c>
      <c r="L15" s="15" t="n">
        <f aca="false">K15*(1+IF(L$3&lt;=$O$2,$D15,$D15-($D15-$I$6)*MIN(L$3-$O$2,$Q$2)/$Q$2))</f>
        <v>3583.29542014424</v>
      </c>
      <c r="M15" s="15" t="n">
        <f aca="false">L15*(1+IF(M$3&lt;=$O$2,$D15,$D15-($D15-$I$6)*MIN(M$3-$O$2,$Q$2)/$Q$2))</f>
        <v>3696.61489824666</v>
      </c>
      <c r="N15" s="15" t="n">
        <f aca="false">M15*(1+IF(N$3&lt;=$O$2,$D15,$D15-($D15-$I$6)*MIN(N$3-$O$2,$Q$2)/$Q$2))</f>
        <v>3801.22909986704</v>
      </c>
      <c r="O15" s="15" t="n">
        <f aca="false">SUMPRODUCT(E15:N15,1/(1+$F$6)^$E$3:$N$3)*$E$2</f>
        <v>3982.53777877777</v>
      </c>
      <c r="P15" s="15" t="n">
        <f aca="false">N15*$E$2*(1+$I$6)/($F$6-$I$6)/(1+$F$6)^$N$3</f>
        <v>4818.25810533979</v>
      </c>
      <c r="Q15" s="15" t="n">
        <f aca="false">O15+P15</f>
        <v>8800.79588411757</v>
      </c>
      <c r="R15" s="15" t="n">
        <f aca="false">Q15-$G$2+$I$2</f>
        <v>7424.59588411757</v>
      </c>
      <c r="S15" s="42" t="n">
        <f aca="false">R15/$K$2</f>
        <v>197.936440525662</v>
      </c>
      <c r="T15" s="43" t="n">
        <f aca="false">S15-$M$2</f>
        <v>-6.5423651261645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0.044921875</v>
      </c>
      <c r="C16" s="25" t="n">
        <f aca="false">IF(T15&gt;0,D15,C15)</f>
        <v>0.05078125</v>
      </c>
      <c r="D16" s="41" t="n">
        <f aca="false">(B16+C16)/2</f>
        <v>0.0478515625</v>
      </c>
      <c r="E16" s="15" t="n">
        <f aca="false">$C$2*(1+IF(E$3&lt;=$O$2,$D16,$D16-($D16-$I$6)*MIN(E$3-$O$2,$Q$2)/$Q$2))</f>
        <v>2692.978515625</v>
      </c>
      <c r="F16" s="15" t="n">
        <f aca="false">E16*(1+IF(F$3&lt;=$O$2,$D16,$D16-($D16-$I$6)*MIN(F$3-$O$2,$Q$2)/$Q$2))</f>
        <v>2821.84174537659</v>
      </c>
      <c r="G16" s="15" t="n">
        <f aca="false">F16*(1+IF(G$3&lt;=$O$2,$D16,$D16-($D16-$I$6)*MIN(G$3-$O$2,$Q$2)/$Q$2))</f>
        <v>2956.87128202058</v>
      </c>
      <c r="H16" s="15" t="n">
        <f aca="false">G16*(1+IF(H$3&lt;=$O$2,$D16,$D16-($D16-$I$6)*MIN(H$3-$O$2,$Q$2)/$Q$2))</f>
        <v>3098.36219297665</v>
      </c>
      <c r="I16" s="15" t="n">
        <f aca="false">H16*(1+IF(I$3&lt;=$O$2,$D16,$D16-($D16-$I$6)*MIN(I$3-$O$2,$Q$2)/$Q$2))</f>
        <v>3246.62366510151</v>
      </c>
      <c r="J16" s="15" t="n">
        <f aca="false">I16*(1+IF(J$3&lt;=$O$2,$D16,$D16-($D16-$I$6)*MIN(J$3-$O$2,$Q$2)/$Q$2))</f>
        <v>3389.28436722565</v>
      </c>
      <c r="K16" s="15" t="n">
        <f aca="false">J16*(1+IF(K$3&lt;=$O$2,$D16,$D16-($D16-$I$6)*MIN(K$3-$O$2,$Q$2)/$Q$2))</f>
        <v>3524.96059789978</v>
      </c>
      <c r="L16" s="15" t="n">
        <f aca="false">K16*(1+IF(L$3&lt;=$O$2,$D16,$D16-($D16-$I$6)*MIN(L$3-$O$2,$Q$2)/$Q$2))</f>
        <v>3652.2843777963</v>
      </c>
      <c r="M16" s="15" t="n">
        <f aca="false">L16*(1+IF(M$3&lt;=$O$2,$D16,$D16-($D16-$I$6)*MIN(M$3-$O$2,$Q$2)/$Q$2))</f>
        <v>3769.92559894399</v>
      </c>
      <c r="N16" s="15" t="n">
        <f aca="false">M16*(1+IF(N$3&lt;=$O$2,$D16,$D16-($D16-$I$6)*MIN(N$3-$O$2,$Q$2)/$Q$2))</f>
        <v>3876.6144933941</v>
      </c>
      <c r="O16" s="15" t="n">
        <f aca="false">SUMPRODUCT(E16:N16,1/(1+$F$6)^$E$3:$N$3)*$E$2</f>
        <v>4033.24053434911</v>
      </c>
      <c r="P16" s="15" t="n">
        <f aca="false">N16*$E$2*(1+$I$6)/($F$6-$I$6)/(1+$F$6)^$N$3</f>
        <v>4913.81306239268</v>
      </c>
      <c r="Q16" s="15" t="n">
        <f aca="false">O16+P16</f>
        <v>8947.0535967418</v>
      </c>
      <c r="R16" s="15" t="n">
        <f aca="false">Q16-$G$2+$I$2</f>
        <v>7570.8535967418</v>
      </c>
      <c r="S16" s="42" t="n">
        <f aca="false">R16/$K$2</f>
        <v>201.83560641807</v>
      </c>
      <c r="T16" s="43" t="n">
        <f aca="false">S16-$M$2</f>
        <v>-2.64319923375632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0.0478515625</v>
      </c>
      <c r="C17" s="25" t="n">
        <f aca="false">IF(T16&gt;0,D16,C16)</f>
        <v>0.05078125</v>
      </c>
      <c r="D17" s="41" t="n">
        <f aca="false">(B17+C17)/2</f>
        <v>0.04931640625</v>
      </c>
      <c r="E17" s="15" t="n">
        <f aca="false">$C$2*(1+IF(E$3&lt;=$O$2,$D17,$D17-($D17-$I$6)*MIN(E$3-$O$2,$Q$2)/$Q$2))</f>
        <v>2696.7431640625</v>
      </c>
      <c r="F17" s="15" t="n">
        <f aca="false">E17*(1+IF(F$3&lt;=$O$2,$D17,$D17-($D17-$I$6)*MIN(F$3-$O$2,$Q$2)/$Q$2))</f>
        <v>2829.73684549332</v>
      </c>
      <c r="G17" s="15" t="n">
        <f aca="false">F17*(1+IF(G$3&lt;=$O$2,$D17,$D17-($D17-$I$6)*MIN(G$3-$O$2,$Q$2)/$Q$2))</f>
        <v>2969.28929734626</v>
      </c>
      <c r="H17" s="15" t="n">
        <f aca="false">G17*(1+IF(H$3&lt;=$O$2,$D17,$D17-($D17-$I$6)*MIN(H$3-$O$2,$Q$2)/$Q$2))</f>
        <v>3115.72397460796</v>
      </c>
      <c r="I17" s="15" t="n">
        <f aca="false">H17*(1+IF(I$3&lt;=$O$2,$D17,$D17-($D17-$I$6)*MIN(I$3-$O$2,$Q$2)/$Q$2))</f>
        <v>3269.3802839026</v>
      </c>
      <c r="J17" s="15" t="n">
        <f aca="false">I17*(1+IF(J$3&lt;=$O$2,$D17,$D17-($D17-$I$6)*MIN(J$3-$O$2,$Q$2)/$Q$2))</f>
        <v>3416.87224532283</v>
      </c>
      <c r="K17" s="15" t="n">
        <f aca="false">J17*(1+IF(K$3&lt;=$O$2,$D17,$D17-($D17-$I$6)*MIN(K$3-$O$2,$Q$2)/$Q$2))</f>
        <v>3556.6559549927</v>
      </c>
      <c r="L17" s="15" t="n">
        <f aca="false">K17*(1+IF(L$3&lt;=$O$2,$D17,$D17-($D17-$I$6)*MIN(L$3-$O$2,$Q$2)/$Q$2))</f>
        <v>3687.20856909563</v>
      </c>
      <c r="M17" s="15" t="n">
        <f aca="false">L17*(1+IF(M$3&lt;=$O$2,$D17,$D17-($D17-$I$6)*MIN(M$3-$O$2,$Q$2)/$Q$2))</f>
        <v>3807.05494624436</v>
      </c>
      <c r="N17" s="15" t="n">
        <f aca="false">M17*(1+IF(N$3&lt;=$O$2,$D17,$D17-($D17-$I$6)*MIN(N$3-$O$2,$Q$2)/$Q$2))</f>
        <v>3914.79460122307</v>
      </c>
      <c r="O17" s="15" t="n">
        <f aca="false">SUMPRODUCT(E17:N17,1/(1+$F$6)^$E$3:$N$3)*$E$2</f>
        <v>4058.83627552771</v>
      </c>
      <c r="P17" s="15" t="n">
        <f aca="false">N17*$E$2*(1+$I$6)/($F$6-$I$6)/(1+$F$6)^$N$3</f>
        <v>4962.20836011787</v>
      </c>
      <c r="Q17" s="15" t="n">
        <f aca="false">O17+P17</f>
        <v>9021.04463564558</v>
      </c>
      <c r="R17" s="15" t="n">
        <f aca="false">Q17-$G$2+$I$2</f>
        <v>7644.84463564558</v>
      </c>
      <c r="S17" s="42" t="n">
        <f aca="false">R17/$K$2</f>
        <v>203.80817477061</v>
      </c>
      <c r="T17" s="43" t="n">
        <f aca="false">S17-$M$2</f>
        <v>-0.670630881216084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0.04931640625</v>
      </c>
      <c r="C18" s="25" t="n">
        <f aca="false">IF(T17&gt;0,D17,C17)</f>
        <v>0.05078125</v>
      </c>
      <c r="D18" s="41" t="n">
        <f aca="false">(B18+C18)/2</f>
        <v>0.050048828125</v>
      </c>
      <c r="E18" s="15" t="n">
        <f aca="false">$C$2*(1+IF(E$3&lt;=$O$2,$D18,$D18-($D18-$I$6)*MIN(E$3-$O$2,$Q$2)/$Q$2))</f>
        <v>2698.62548828125</v>
      </c>
      <c r="F18" s="15" t="n">
        <f aca="false">E18*(1+IF(F$3&lt;=$O$2,$D18,$D18-($D18-$I$6)*MIN(F$3-$O$2,$Q$2)/$Q$2))</f>
        <v>2833.68853151798</v>
      </c>
      <c r="G18" s="15" t="n">
        <f aca="false">F18*(1+IF(G$3&lt;=$O$2,$D18,$D18-($D18-$I$6)*MIN(G$3-$O$2,$Q$2)/$Q$2))</f>
        <v>2975.51132179171</v>
      </c>
      <c r="H18" s="15" t="n">
        <f aca="false">G18*(1+IF(H$3&lt;=$O$2,$D18,$D18-($D18-$I$6)*MIN(H$3-$O$2,$Q$2)/$Q$2))</f>
        <v>3124.43217652005</v>
      </c>
      <c r="I18" s="15" t="n">
        <f aca="false">H18*(1+IF(I$3&lt;=$O$2,$D18,$D18-($D18-$I$6)*MIN(I$3-$O$2,$Q$2)/$Q$2))</f>
        <v>3280.80634551093</v>
      </c>
      <c r="J18" s="15" t="n">
        <f aca="false">I18*(1+IF(J$3&lt;=$O$2,$D18,$D18-($D18-$I$6)*MIN(J$3-$O$2,$Q$2)/$Q$2))</f>
        <v>3430.73611974483</v>
      </c>
      <c r="K18" s="15" t="n">
        <f aca="false">J18*(1+IF(K$3&lt;=$O$2,$D18,$D18-($D18-$I$6)*MIN(K$3-$O$2,$Q$2)/$Q$2))</f>
        <v>3572.59464605994</v>
      </c>
      <c r="L18" s="15" t="n">
        <f aca="false">K18*(1+IF(L$3&lt;=$O$2,$D18,$D18-($D18-$I$6)*MIN(L$3-$O$2,$Q$2)/$Q$2))</f>
        <v>3704.77897331042</v>
      </c>
      <c r="M18" s="15" t="n">
        <f aca="false">L18*(1+IF(M$3&lt;=$O$2,$D18,$D18-($D18-$I$6)*MIN(M$3-$O$2,$Q$2)/$Q$2))</f>
        <v>3825.73913848143</v>
      </c>
      <c r="N18" s="15" t="n">
        <f aca="false">M18*(1+IF(N$3&lt;=$O$2,$D18,$D18-($D18-$I$6)*MIN(N$3-$O$2,$Q$2)/$Q$2))</f>
        <v>3934.00755610046</v>
      </c>
      <c r="O18" s="15" t="n">
        <f aca="false">SUMPRODUCT(E18:N18,1/(1+$F$6)^$E$3:$N$3)*$E$2</f>
        <v>4071.69566592622</v>
      </c>
      <c r="P18" s="15" t="n">
        <f aca="false">N18*$E$2*(1+$I$6)/($F$6-$I$6)/(1+$F$6)^$N$3</f>
        <v>4986.56179242447</v>
      </c>
      <c r="Q18" s="15" t="n">
        <f aca="false">O18+P18</f>
        <v>9058.25745835069</v>
      </c>
      <c r="R18" s="15" t="n">
        <f aca="false">Q18-$G$2+$I$2</f>
        <v>7682.05745835069</v>
      </c>
      <c r="S18" s="42" t="n">
        <f aca="false">R18/$K$2</f>
        <v>204.800252155444</v>
      </c>
      <c r="T18" s="43" t="n">
        <f aca="false">S18-$M$2</f>
        <v>0.321446503617409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0.04931640625</v>
      </c>
      <c r="C19" s="25" t="n">
        <f aca="false">IF(T18&gt;0,D18,C18)</f>
        <v>0.050048828125</v>
      </c>
      <c r="D19" s="41" t="n">
        <f aca="false">(B19+C19)/2</f>
        <v>0.0496826171875</v>
      </c>
      <c r="E19" s="15" t="n">
        <f aca="false">$C$2*(1+IF(E$3&lt;=$O$2,$D19,$D19-($D19-$I$6)*MIN(E$3-$O$2,$Q$2)/$Q$2))</f>
        <v>2697.68432617188</v>
      </c>
      <c r="F19" s="15" t="n">
        <f aca="false">E19*(1+IF(F$3&lt;=$O$2,$D19,$D19-($D19-$I$6)*MIN(F$3-$O$2,$Q$2)/$Q$2))</f>
        <v>2831.71234384179</v>
      </c>
      <c r="G19" s="15" t="n">
        <f aca="false">F19*(1+IF(G$3&lt;=$O$2,$D19,$D19-($D19-$I$6)*MIN(G$3-$O$2,$Q$2)/$Q$2))</f>
        <v>2972.399224206</v>
      </c>
      <c r="H19" s="15" t="n">
        <f aca="false">G19*(1+IF(H$3&lt;=$O$2,$D19,$D19-($D19-$I$6)*MIN(H$3-$O$2,$Q$2)/$Q$2))</f>
        <v>3120.07579699065</v>
      </c>
      <c r="I19" s="15" t="n">
        <f aca="false">H19*(1+IF(I$3&lt;=$O$2,$D19,$D19-($D19-$I$6)*MIN(I$3-$O$2,$Q$2)/$Q$2))</f>
        <v>3275.08932840852</v>
      </c>
      <c r="J19" s="15" t="n">
        <f aca="false">I19*(1+IF(J$3&lt;=$O$2,$D19,$D19-($D19-$I$6)*MIN(J$3-$O$2,$Q$2)/$Q$2))</f>
        <v>3423.79834149386</v>
      </c>
      <c r="K19" s="15" t="n">
        <f aca="false">J19*(1+IF(K$3&lt;=$O$2,$D19,$D19-($D19-$I$6)*MIN(K$3-$O$2,$Q$2)/$Q$2))</f>
        <v>3564.61769611616</v>
      </c>
      <c r="L19" s="15" t="n">
        <f aca="false">K19*(1+IF(L$3&lt;=$O$2,$D19,$D19-($D19-$I$6)*MIN(L$3-$O$2,$Q$2)/$Q$2))</f>
        <v>3695.98471916258</v>
      </c>
      <c r="M19" s="15" t="n">
        <f aca="false">L19*(1+IF(M$3&lt;=$O$2,$D19,$D19-($D19-$I$6)*MIN(M$3-$O$2,$Q$2)/$Q$2))</f>
        <v>3816.38705199102</v>
      </c>
      <c r="N19" s="15" t="n">
        <f aca="false">M19*(1+IF(N$3&lt;=$O$2,$D19,$D19-($D19-$I$6)*MIN(N$3-$O$2,$Q$2)/$Q$2))</f>
        <v>3924.39080556237</v>
      </c>
      <c r="O19" s="15" t="n">
        <f aca="false">SUMPRODUCT(E19:N19,1/(1+$F$6)^$E$3:$N$3)*$E$2</f>
        <v>4065.26083125525</v>
      </c>
      <c r="P19" s="15" t="n">
        <f aca="false">N19*$E$2*(1+$I$6)/($F$6-$I$6)/(1+$F$6)^$N$3</f>
        <v>4974.37205457657</v>
      </c>
      <c r="Q19" s="15" t="n">
        <f aca="false">O19+P19</f>
        <v>9039.63288583181</v>
      </c>
      <c r="R19" s="15" t="n">
        <f aca="false">Q19-$G$2+$I$2</f>
        <v>7663.43288583181</v>
      </c>
      <c r="S19" s="42" t="n">
        <f aca="false">R19/$K$2</f>
        <v>204.30372929437</v>
      </c>
      <c r="T19" s="43" t="n">
        <f aca="false">S19-$M$2</f>
        <v>-0.175076357456248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0.0496826171875</v>
      </c>
      <c r="C20" s="25" t="n">
        <f aca="false">IF(T19&gt;0,D19,C19)</f>
        <v>0.050048828125</v>
      </c>
      <c r="D20" s="41" t="n">
        <f aca="false">(B20+C20)/2</f>
        <v>0.04986572265625</v>
      </c>
      <c r="E20" s="15" t="n">
        <f aca="false">$C$2*(1+IF(E$3&lt;=$O$2,$D20,$D20-($D20-$I$6)*MIN(E$3-$O$2,$Q$2)/$Q$2))</f>
        <v>2698.15490722656</v>
      </c>
      <c r="F20" s="15" t="n">
        <f aca="false">E20*(1+IF(F$3&lt;=$O$2,$D20,$D20-($D20-$I$6)*MIN(F$3-$O$2,$Q$2)/$Q$2))</f>
        <v>2832.70035151392</v>
      </c>
      <c r="G20" s="15" t="n">
        <f aca="false">F20*(1+IF(G$3&lt;=$O$2,$D20,$D20-($D20-$I$6)*MIN(G$3-$O$2,$Q$2)/$Q$2))</f>
        <v>2973.95500161078</v>
      </c>
      <c r="H20" s="15" t="n">
        <f aca="false">G20*(1+IF(H$3&lt;=$O$2,$D20,$D20-($D20-$I$6)*MIN(H$3-$O$2,$Q$2)/$Q$2))</f>
        <v>3122.25341691327</v>
      </c>
      <c r="I20" s="15" t="n">
        <f aca="false">H20*(1+IF(I$3&lt;=$O$2,$D20,$D20-($D20-$I$6)*MIN(I$3-$O$2,$Q$2)/$Q$2))</f>
        <v>3277.94683986359</v>
      </c>
      <c r="J20" s="15" t="n">
        <f aca="false">I20*(1+IF(J$3&lt;=$O$2,$D20,$D20-($D20-$I$6)*MIN(J$3-$O$2,$Q$2)/$Q$2))</f>
        <v>3427.26576937608</v>
      </c>
      <c r="K20" s="15" t="n">
        <f aca="false">J20*(1+IF(K$3&lt;=$O$2,$D20,$D20-($D20-$I$6)*MIN(K$3-$O$2,$Q$2)/$Q$2))</f>
        <v>3568.60426848039</v>
      </c>
      <c r="L20" s="15" t="n">
        <f aca="false">K20*(1+IF(L$3&lt;=$O$2,$D20,$D20-($D20-$I$6)*MIN(L$3-$O$2,$Q$2)/$Q$2))</f>
        <v>3700.37958124797</v>
      </c>
      <c r="M20" s="15" t="n">
        <f aca="false">L20*(1+IF(M$3&lt;=$O$2,$D20,$D20-($D20-$I$6)*MIN(M$3-$O$2,$Q$2)/$Q$2))</f>
        <v>3821.0605953517</v>
      </c>
      <c r="N20" s="15" t="n">
        <f aca="false">M20*(1+IF(N$3&lt;=$O$2,$D20,$D20-($D20-$I$6)*MIN(N$3-$O$2,$Q$2)/$Q$2))</f>
        <v>3929.19661020015</v>
      </c>
      <c r="O20" s="15" t="n">
        <f aca="false">SUMPRODUCT(E20:N20,1/(1+$F$6)^$E$3:$N$3)*$E$2</f>
        <v>4068.4769627595</v>
      </c>
      <c r="P20" s="15" t="n">
        <f aca="false">N20*$E$2*(1+$I$6)/($F$6-$I$6)/(1+$F$6)^$N$3</f>
        <v>4980.46366508999</v>
      </c>
      <c r="Q20" s="15" t="n">
        <f aca="false">O20+P20</f>
        <v>9048.9406278495</v>
      </c>
      <c r="R20" s="15" t="n">
        <f aca="false">Q20-$G$2+$I$2</f>
        <v>7672.7406278495</v>
      </c>
      <c r="S20" s="42" t="n">
        <f aca="false">R20/$K$2</f>
        <v>204.551869577433</v>
      </c>
      <c r="T20" s="43" t="n">
        <f aca="false">S20-$M$2</f>
        <v>0.0730639256064762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0.0496826171875</v>
      </c>
      <c r="C21" s="25" t="n">
        <f aca="false">IF(T20&gt;0,D20,C20)</f>
        <v>0.04986572265625</v>
      </c>
      <c r="D21" s="41" t="n">
        <f aca="false">(B21+C21)/2</f>
        <v>0.049774169921875</v>
      </c>
      <c r="E21" s="15" t="n">
        <f aca="false">$C$2*(1+IF(E$3&lt;=$O$2,$D21,$D21-($D21-$I$6)*MIN(E$3-$O$2,$Q$2)/$Q$2))</f>
        <v>2697.91961669922</v>
      </c>
      <c r="F21" s="15" t="n">
        <f aca="false">E21*(1+IF(F$3&lt;=$O$2,$D21,$D21-($D21-$I$6)*MIN(F$3-$O$2,$Q$2)/$Q$2))</f>
        <v>2832.20632613637</v>
      </c>
      <c r="G21" s="15" t="n">
        <f aca="false">F21*(1+IF(G$3&lt;=$O$2,$D21,$D21-($D21-$I$6)*MIN(G$3-$O$2,$Q$2)/$Q$2))</f>
        <v>2973.17704506729</v>
      </c>
      <c r="H21" s="15" t="n">
        <f aca="false">G21*(1+IF(H$3&lt;=$O$2,$D21,$D21-($D21-$I$6)*MIN(H$3-$O$2,$Q$2)/$Q$2))</f>
        <v>3121.16446451628</v>
      </c>
      <c r="I21" s="15" t="n">
        <f aca="false">H21*(1+IF(I$3&lt;=$O$2,$D21,$D21-($D21-$I$6)*MIN(I$3-$O$2,$Q$2)/$Q$2))</f>
        <v>3276.51783492723</v>
      </c>
      <c r="J21" s="15" t="n">
        <f aca="false">I21*(1+IF(J$3&lt;=$O$2,$D21,$D21-($D21-$I$6)*MIN(J$3-$O$2,$Q$2)/$Q$2))</f>
        <v>3425.5316902471</v>
      </c>
      <c r="K21" s="15" t="n">
        <f aca="false">J21*(1+IF(K$3&lt;=$O$2,$D21,$D21-($D21-$I$6)*MIN(K$3-$O$2,$Q$2)/$Q$2))</f>
        <v>3566.61050683457</v>
      </c>
      <c r="L21" s="15" t="n">
        <f aca="false">K21*(1+IF(L$3&lt;=$O$2,$D21,$D21-($D21-$I$6)*MIN(L$3-$O$2,$Q$2)/$Q$2))</f>
        <v>3698.18158420556</v>
      </c>
      <c r="M21" s="15" t="n">
        <f aca="false">L21*(1+IF(M$3&lt;=$O$2,$D21,$D21-($D21-$I$6)*MIN(M$3-$O$2,$Q$2)/$Q$2))</f>
        <v>3818.72319898681</v>
      </c>
      <c r="N21" s="15" t="n">
        <f aca="false">M21*(1+IF(N$3&lt;=$O$2,$D21,$D21-($D21-$I$6)*MIN(N$3-$O$2,$Q$2)/$Q$2))</f>
        <v>3926.79306551814</v>
      </c>
      <c r="O21" s="15" t="n">
        <f aca="false">SUMPRODUCT(E21:N21,1/(1+$F$6)^$E$3:$N$3)*$E$2</f>
        <v>4066.86857567003</v>
      </c>
      <c r="P21" s="15" t="n">
        <f aca="false">N21*$E$2*(1+$I$6)/($F$6-$I$6)/(1+$F$6)^$N$3</f>
        <v>4977.41704560419</v>
      </c>
      <c r="Q21" s="15" t="n">
        <f aca="false">O21+P21</f>
        <v>9044.28562127422</v>
      </c>
      <c r="R21" s="15" t="n">
        <f aca="false">Q21-$G$2+$I$2</f>
        <v>7668.08562127422</v>
      </c>
      <c r="S21" s="42" t="n">
        <f aca="false">R21/$K$2</f>
        <v>204.427769162203</v>
      </c>
      <c r="T21" s="43" t="n">
        <f aca="false">S21-$M$2</f>
        <v>-0.0510364896235842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0.049774169921875</v>
      </c>
      <c r="C22" s="25" t="n">
        <f aca="false">IF(T21&gt;0,D21,C21)</f>
        <v>0.04986572265625</v>
      </c>
      <c r="D22" s="41" t="n">
        <f aca="false">(B22+C22)/2</f>
        <v>0.0498199462890625</v>
      </c>
      <c r="E22" s="15" t="n">
        <f aca="false">$C$2*(1+IF(E$3&lt;=$O$2,$D22,$D22-($D22-$I$6)*MIN(E$3-$O$2,$Q$2)/$Q$2))</f>
        <v>2698.03726196289</v>
      </c>
      <c r="F22" s="15" t="n">
        <f aca="false">E22*(1+IF(F$3&lt;=$O$2,$D22,$D22-($D22-$I$6)*MIN(F$3-$O$2,$Q$2)/$Q$2))</f>
        <v>2832.45333343977</v>
      </c>
      <c r="G22" s="15" t="n">
        <f aca="false">F22*(1+IF(G$3&lt;=$O$2,$D22,$D22-($D22-$I$6)*MIN(G$3-$O$2,$Q$2)/$Q$2))</f>
        <v>2973.56600637802</v>
      </c>
      <c r="H22" s="15" t="n">
        <f aca="false">G22*(1+IF(H$3&lt;=$O$2,$D22,$D22-($D22-$I$6)*MIN(H$3-$O$2,$Q$2)/$Q$2))</f>
        <v>3121.70890510275</v>
      </c>
      <c r="I22" s="15" t="n">
        <f aca="false">H22*(1+IF(I$3&lt;=$O$2,$D22,$D22-($D22-$I$6)*MIN(I$3-$O$2,$Q$2)/$Q$2))</f>
        <v>3277.23227508506</v>
      </c>
      <c r="J22" s="15" t="n">
        <f aca="false">I22*(1+IF(J$3&lt;=$O$2,$D22,$D22-($D22-$I$6)*MIN(J$3-$O$2,$Q$2)/$Q$2))</f>
        <v>3426.39863849926</v>
      </c>
      <c r="K22" s="15" t="n">
        <f aca="false">J22*(1+IF(K$3&lt;=$O$2,$D22,$D22-($D22-$I$6)*MIN(K$3-$O$2,$Q$2)/$Q$2))</f>
        <v>3567.60726876804</v>
      </c>
      <c r="L22" s="15" t="n">
        <f aca="false">K22*(1+IF(L$3&lt;=$O$2,$D22,$D22-($D22-$I$6)*MIN(L$3-$O$2,$Q$2)/$Q$2))</f>
        <v>3699.28044119592</v>
      </c>
      <c r="M22" s="15" t="n">
        <f aca="false">L22*(1+IF(M$3&lt;=$O$2,$D22,$D22-($D22-$I$6)*MIN(M$3-$O$2,$Q$2)/$Q$2))</f>
        <v>3819.8917409623</v>
      </c>
      <c r="N22" s="15" t="n">
        <f aca="false">M22*(1+IF(N$3&lt;=$O$2,$D22,$D22-($D22-$I$6)*MIN(N$3-$O$2,$Q$2)/$Q$2))</f>
        <v>3927.99467723154</v>
      </c>
      <c r="O22" s="15" t="n">
        <f aca="false">SUMPRODUCT(E22:N22,1/(1+$F$6)^$E$3:$N$3)*$E$2</f>
        <v>4067.67268886538</v>
      </c>
      <c r="P22" s="15" t="n">
        <f aca="false">N22*$E$2*(1+$I$6)/($F$6-$I$6)/(1+$F$6)^$N$3</f>
        <v>4978.94015174314</v>
      </c>
      <c r="Q22" s="15" t="n">
        <f aca="false">O22+P22</f>
        <v>9046.61284060851</v>
      </c>
      <c r="R22" s="15" t="n">
        <f aca="false">Q22-$G$2+$I$2</f>
        <v>7670.41284060851</v>
      </c>
      <c r="S22" s="42" t="n">
        <f aca="false">R22/$K$2</f>
        <v>204.489811799747</v>
      </c>
      <c r="T22" s="43" t="n">
        <f aca="false">S22-$M$2</f>
        <v>0.0110061479209662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0.049774169921875</v>
      </c>
      <c r="C23" s="25" t="n">
        <f aca="false">IF(T22&gt;0,D22,C22)</f>
        <v>0.0498199462890625</v>
      </c>
      <c r="D23" s="41" t="n">
        <f aca="false">(B23+C23)/2</f>
        <v>0.0497970581054688</v>
      </c>
      <c r="E23" s="15" t="n">
        <f aca="false">$C$2*(1+IF(E$3&lt;=$O$2,$D23,$D23-($D23-$I$6)*MIN(E$3-$O$2,$Q$2)/$Q$2))</f>
        <v>2697.97843933105</v>
      </c>
      <c r="F23" s="15" t="n">
        <f aca="false">E23*(1+IF(F$3&lt;=$O$2,$D23,$D23-($D23-$I$6)*MIN(F$3-$O$2,$Q$2)/$Q$2))</f>
        <v>2832.32982844173</v>
      </c>
      <c r="G23" s="15" t="n">
        <f aca="false">F23*(1+IF(G$3&lt;=$O$2,$D23,$D23-($D23-$I$6)*MIN(G$3-$O$2,$Q$2)/$Q$2))</f>
        <v>2973.37152148249</v>
      </c>
      <c r="H23" s="15" t="n">
        <f aca="false">G23*(1+IF(H$3&lt;=$O$2,$D23,$D23-($D23-$I$6)*MIN(H$3-$O$2,$Q$2)/$Q$2))</f>
        <v>3121.4366759069</v>
      </c>
      <c r="I23" s="15" t="n">
        <f aca="false">H23*(1+IF(I$3&lt;=$O$2,$D23,$D23-($D23-$I$6)*MIN(I$3-$O$2,$Q$2)/$Q$2))</f>
        <v>3276.87503942958</v>
      </c>
      <c r="J23" s="15" t="n">
        <f aca="false">I23*(1+IF(J$3&lt;=$O$2,$D23,$D23-($D23-$I$6)*MIN(J$3-$O$2,$Q$2)/$Q$2))</f>
        <v>3425.96514154702</v>
      </c>
      <c r="K23" s="15" t="n">
        <f aca="false">J23*(1+IF(K$3&lt;=$O$2,$D23,$D23-($D23-$I$6)*MIN(K$3-$O$2,$Q$2)/$Q$2))</f>
        <v>3567.10885808189</v>
      </c>
      <c r="L23" s="15" t="n">
        <f aca="false">K23*(1+IF(L$3&lt;=$O$2,$D23,$D23-($D23-$I$6)*MIN(L$3-$O$2,$Q$2)/$Q$2))</f>
        <v>3698.73097732189</v>
      </c>
      <c r="M23" s="15" t="n">
        <f aca="false">L23*(1+IF(M$3&lt;=$O$2,$D23,$D23-($D23-$I$6)*MIN(M$3-$O$2,$Q$2)/$Q$2))</f>
        <v>3819.3074309273</v>
      </c>
      <c r="N23" s="15" t="n">
        <f aca="false">M23*(1+IF(N$3&lt;=$O$2,$D23,$D23-($D23-$I$6)*MIN(N$3-$O$2,$Q$2)/$Q$2))</f>
        <v>3927.39383122254</v>
      </c>
      <c r="O23" s="15" t="n">
        <f aca="false">SUMPRODUCT(E23:N23,1/(1+$F$6)^$E$3:$N$3)*$E$2</f>
        <v>4067.27061218224</v>
      </c>
      <c r="P23" s="15" t="n">
        <f aca="false">N23*$E$2*(1+$I$6)/($F$6-$I$6)/(1+$F$6)^$N$3</f>
        <v>4978.17854777851</v>
      </c>
      <c r="Q23" s="15" t="n">
        <f aca="false">O23+P23</f>
        <v>9045.44915996075</v>
      </c>
      <c r="R23" s="15" t="n">
        <f aca="false">Q23-$G$2+$I$2</f>
        <v>7669.24915996075</v>
      </c>
      <c r="S23" s="42" t="n">
        <f aca="false">R23/$K$2</f>
        <v>204.458788588663</v>
      </c>
      <c r="T23" s="43" t="n">
        <f aca="false">S23-$M$2</f>
        <v>-0.0200170631631522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0.0497970581054688</v>
      </c>
      <c r="C24" s="25" t="n">
        <f aca="false">IF(T23&gt;0,D23,C23)</f>
        <v>0.0498199462890625</v>
      </c>
      <c r="D24" s="41" t="n">
        <f aca="false">(B24+C24)/2</f>
        <v>0.0498085021972656</v>
      </c>
      <c r="E24" s="15" t="n">
        <f aca="false">$C$2*(1+IF(E$3&lt;=$O$2,$D24,$D24-($D24-$I$6)*MIN(E$3-$O$2,$Q$2)/$Q$2))</f>
        <v>2698.00785064697</v>
      </c>
      <c r="F24" s="15" t="n">
        <f aca="false">E24*(1+IF(F$3&lt;=$O$2,$D24,$D24-($D24-$I$6)*MIN(F$3-$O$2,$Q$2)/$Q$2))</f>
        <v>2832.39158060416</v>
      </c>
      <c r="G24" s="15" t="n">
        <f aca="false">F24*(1+IF(G$3&lt;=$O$2,$D24,$D24-($D24-$I$6)*MIN(G$3-$O$2,$Q$2)/$Q$2))</f>
        <v>2973.4687628702</v>
      </c>
      <c r="H24" s="15" t="n">
        <f aca="false">G24*(1+IF(H$3&lt;=$O$2,$D24,$D24-($D24-$I$6)*MIN(H$3-$O$2,$Q$2)/$Q$2))</f>
        <v>3121.57278827912</v>
      </c>
      <c r="I24" s="15" t="n">
        <f aca="false">H24*(1+IF(I$3&lt;=$O$2,$D24,$D24-($D24-$I$6)*MIN(I$3-$O$2,$Q$2)/$Q$2))</f>
        <v>3277.05365336305</v>
      </c>
      <c r="J24" s="15" t="n">
        <f aca="false">I24*(1+IF(J$3&lt;=$O$2,$D24,$D24-($D24-$I$6)*MIN(J$3-$O$2,$Q$2)/$Q$2))</f>
        <v>3426.18188431636</v>
      </c>
      <c r="K24" s="15" t="n">
        <f aca="false">J24*(1+IF(K$3&lt;=$O$2,$D24,$D24-($D24-$I$6)*MIN(K$3-$O$2,$Q$2)/$Q$2))</f>
        <v>3567.35805599474</v>
      </c>
      <c r="L24" s="15" t="n">
        <f aca="false">K24*(1+IF(L$3&lt;=$O$2,$D24,$D24-($D24-$I$6)*MIN(L$3-$O$2,$Q$2)/$Q$2))</f>
        <v>3699.00570041371</v>
      </c>
      <c r="M24" s="15" t="n">
        <f aca="false">L24*(1+IF(M$3&lt;=$O$2,$D24,$D24-($D24-$I$6)*MIN(M$3-$O$2,$Q$2)/$Q$2))</f>
        <v>3819.59957618243</v>
      </c>
      <c r="N24" s="15" t="n">
        <f aca="false">M24*(1+IF(N$3&lt;=$O$2,$D24,$D24-($D24-$I$6)*MIN(N$3-$O$2,$Q$2)/$Q$2))</f>
        <v>3927.69424418839</v>
      </c>
      <c r="O24" s="15" t="n">
        <f aca="false">SUMPRODUCT(E24:N24,1/(1+$F$6)^$E$3:$N$3)*$E$2</f>
        <v>4067.47164550221</v>
      </c>
      <c r="P24" s="15" t="n">
        <f aca="false">N24*$E$2*(1+$I$6)/($F$6-$I$6)/(1+$F$6)^$N$3</f>
        <v>4978.5593370363</v>
      </c>
      <c r="Q24" s="15" t="n">
        <f aca="false">O24+P24</f>
        <v>9046.03098253851</v>
      </c>
      <c r="R24" s="15" t="n">
        <f aca="false">Q24-$G$2+$I$2</f>
        <v>7669.83098253851</v>
      </c>
      <c r="S24" s="42" t="n">
        <f aca="false">R24/$K$2</f>
        <v>204.474299721101</v>
      </c>
      <c r="T24" s="43" t="n">
        <f aca="false">S24-$M$2</f>
        <v>-0.00450593072480388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0.0498085021972656</v>
      </c>
      <c r="C25" s="25" t="n">
        <f aca="false">IF(T24&gt;0,D24,C24)</f>
        <v>0.0498199462890625</v>
      </c>
      <c r="D25" s="41" t="n">
        <f aca="false">(B25+C25)/2</f>
        <v>0.0498142242431641</v>
      </c>
      <c r="E25" s="15" t="n">
        <f aca="false">$C$2*(1+IF(E$3&lt;=$O$2,$D25,$D25-($D25-$I$6)*MIN(E$3-$O$2,$Q$2)/$Q$2))</f>
        <v>2698.02255630493</v>
      </c>
      <c r="F25" s="15" t="n">
        <f aca="false">E25*(1+IF(F$3&lt;=$O$2,$D25,$D25-($D25-$I$6)*MIN(F$3-$O$2,$Q$2)/$Q$2))</f>
        <v>2832.42245693782</v>
      </c>
      <c r="G25" s="15" t="n">
        <f aca="false">F25*(1+IF(G$3&lt;=$O$2,$D25,$D25-($D25-$I$6)*MIN(G$3-$O$2,$Q$2)/$Q$2))</f>
        <v>2973.51738435909</v>
      </c>
      <c r="H25" s="15" t="n">
        <f aca="false">G25*(1+IF(H$3&lt;=$O$2,$D25,$D25-($D25-$I$6)*MIN(H$3-$O$2,$Q$2)/$Q$2))</f>
        <v>3121.64084613451</v>
      </c>
      <c r="I25" s="15" t="n">
        <f aca="false">H25*(1+IF(I$3&lt;=$O$2,$D25,$D25-($D25-$I$6)*MIN(I$3-$O$2,$Q$2)/$Q$2))</f>
        <v>3277.14296325047</v>
      </c>
      <c r="J25" s="15" t="n">
        <f aca="false">I25*(1+IF(J$3&lt;=$O$2,$D25,$D25-($D25-$I$6)*MIN(J$3-$O$2,$Q$2)/$Q$2))</f>
        <v>3426.29025998108</v>
      </c>
      <c r="K25" s="15" t="n">
        <f aca="false">J25*(1+IF(K$3&lt;=$O$2,$D25,$D25-($D25-$I$6)*MIN(K$3-$O$2,$Q$2)/$Q$2))</f>
        <v>3567.48266052379</v>
      </c>
      <c r="L25" s="15" t="n">
        <f aca="false">K25*(1+IF(L$3&lt;=$O$2,$D25,$D25-($D25-$I$6)*MIN(L$3-$O$2,$Q$2)/$Q$2))</f>
        <v>3699.14306859345</v>
      </c>
      <c r="M25" s="15" t="n">
        <f aca="false">L25*(1+IF(M$3&lt;=$O$2,$D25,$D25-($D25-$I$6)*MIN(M$3-$O$2,$Q$2)/$Q$2))</f>
        <v>3819.7456561317</v>
      </c>
      <c r="N25" s="15" t="n">
        <f aca="false">M25*(1+IF(N$3&lt;=$O$2,$D25,$D25-($D25-$I$6)*MIN(N$3-$O$2,$Q$2)/$Q$2))</f>
        <v>3927.84445820023</v>
      </c>
      <c r="O25" s="15" t="n">
        <f aca="false">SUMPRODUCT(E25:N25,1/(1+$F$6)^$E$3:$N$3)*$E$2</f>
        <v>4067.57216592836</v>
      </c>
      <c r="P25" s="15" t="n">
        <f aca="false">N25*$E$2*(1+$I$6)/($F$6-$I$6)/(1+$F$6)^$N$3</f>
        <v>4978.7497412085</v>
      </c>
      <c r="Q25" s="15" t="n">
        <f aca="false">O25+P25</f>
        <v>9046.32190713686</v>
      </c>
      <c r="R25" s="15" t="n">
        <f aca="false">Q25-$G$2+$I$2</f>
        <v>7670.12190713686</v>
      </c>
      <c r="S25" s="42" t="n">
        <f aca="false">R25/$K$2</f>
        <v>204.482055642145</v>
      </c>
      <c r="T25" s="43" t="n">
        <f aca="false">S25-$M$2</f>
        <v>0.00324999031892048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0.0498085021972656</v>
      </c>
      <c r="C26" s="25" t="n">
        <f aca="false">IF(T25&gt;0,D25,C25)</f>
        <v>0.0498142242431641</v>
      </c>
      <c r="D26" s="41" t="n">
        <f aca="false">(B26+C26)/2</f>
        <v>0.0498113632202148</v>
      </c>
      <c r="E26" s="15" t="n">
        <f aca="false">$C$2*(1+IF(E$3&lt;=$O$2,$D26,$D26-($D26-$I$6)*MIN(E$3-$O$2,$Q$2)/$Q$2))</f>
        <v>2698.01520347595</v>
      </c>
      <c r="F26" s="15" t="n">
        <f aca="false">E26*(1+IF(F$3&lt;=$O$2,$D26,$D26-($D26-$I$6)*MIN(F$3-$O$2,$Q$2)/$Q$2))</f>
        <v>2832.40701874995</v>
      </c>
      <c r="G26" s="15" t="n">
        <f aca="false">F26*(1+IF(G$3&lt;=$O$2,$D26,$D26-($D26-$I$6)*MIN(G$3-$O$2,$Q$2)/$Q$2))</f>
        <v>2973.49307354839</v>
      </c>
      <c r="H26" s="15" t="n">
        <f aca="false">G26*(1+IF(H$3&lt;=$O$2,$D26,$D26-($D26-$I$6)*MIN(H$3-$O$2,$Q$2)/$Q$2))</f>
        <v>3121.60681706771</v>
      </c>
      <c r="I26" s="15" t="n">
        <f aca="false">H26*(1+IF(I$3&lt;=$O$2,$D26,$D26-($D26-$I$6)*MIN(I$3-$O$2,$Q$2)/$Q$2))</f>
        <v>3277.09830806337</v>
      </c>
      <c r="J26" s="15" t="n">
        <f aca="false">I26*(1+IF(J$3&lt;=$O$2,$D26,$D26-($D26-$I$6)*MIN(J$3-$O$2,$Q$2)/$Q$2))</f>
        <v>3426.23607179204</v>
      </c>
      <c r="K26" s="15" t="n">
        <f aca="false">J26*(1+IF(K$3&lt;=$O$2,$D26,$D26-($D26-$I$6)*MIN(K$3-$O$2,$Q$2)/$Q$2))</f>
        <v>3567.42035779487</v>
      </c>
      <c r="L26" s="15" t="n">
        <f aca="false">K26*(1+IF(L$3&lt;=$O$2,$D26,$D26-($D26-$I$6)*MIN(L$3-$O$2,$Q$2)/$Q$2))</f>
        <v>3699.07438395075</v>
      </c>
      <c r="M26" s="15" t="n">
        <f aca="false">L26*(1+IF(M$3&lt;=$O$2,$D26,$D26-($D26-$I$6)*MIN(M$3-$O$2,$Q$2)/$Q$2))</f>
        <v>3819.67261554691</v>
      </c>
      <c r="N26" s="15" t="n">
        <f aca="false">M26*(1+IF(N$3&lt;=$O$2,$D26,$D26-($D26-$I$6)*MIN(N$3-$O$2,$Q$2)/$Q$2))</f>
        <v>3927.76935056688</v>
      </c>
      <c r="O26" s="15" t="n">
        <f aca="false">SUMPRODUCT(E26:N26,1/(1+$F$6)^$E$3:$N$3)*$E$2</f>
        <v>4067.52190540143</v>
      </c>
      <c r="P26" s="15" t="n">
        <f aca="false">N26*$E$2*(1+$I$6)/($F$6-$I$6)/(1+$F$6)^$N$3</f>
        <v>4978.65453832711</v>
      </c>
      <c r="Q26" s="15" t="n">
        <f aca="false">O26+P26</f>
        <v>9046.17644372854</v>
      </c>
      <c r="R26" s="15" t="n">
        <f aca="false">Q26-$G$2+$I$2</f>
        <v>7669.97644372854</v>
      </c>
      <c r="S26" s="42" t="n">
        <f aca="false">R26/$K$2</f>
        <v>204.478177652054</v>
      </c>
      <c r="T26" s="43" t="n">
        <f aca="false">S26-$M$2</f>
        <v>-0.000627999772262911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0.0498113632202148</v>
      </c>
      <c r="C27" s="25" t="n">
        <f aca="false">IF(T26&gt;0,D26,C26)</f>
        <v>0.0498142242431641</v>
      </c>
      <c r="D27" s="41" t="n">
        <f aca="false">(B27+C27)/2</f>
        <v>0.0498127937316895</v>
      </c>
      <c r="E27" s="15" t="n">
        <f aca="false">$C$2*(1+IF(E$3&lt;=$O$2,$D27,$D27-($D27-$I$6)*MIN(E$3-$O$2,$Q$2)/$Q$2))</f>
        <v>2698.01887989044</v>
      </c>
      <c r="F27" s="15" t="n">
        <f aca="false">E27*(1+IF(F$3&lt;=$O$2,$D27,$D27-($D27-$I$6)*MIN(F$3-$O$2,$Q$2)/$Q$2))</f>
        <v>2832.41473783863</v>
      </c>
      <c r="G27" s="15" t="n">
        <f aca="false">F27*(1+IF(G$3&lt;=$O$2,$D27,$D27-($D27-$I$6)*MIN(G$3-$O$2,$Q$2)/$Q$2))</f>
        <v>2973.50522893718</v>
      </c>
      <c r="H27" s="15" t="n">
        <f aca="false">G27*(1+IF(H$3&lt;=$O$2,$D27,$D27-($D27-$I$6)*MIN(H$3-$O$2,$Q$2)/$Q$2))</f>
        <v>3121.62383156633</v>
      </c>
      <c r="I27" s="15" t="n">
        <f aca="false">H27*(1+IF(I$3&lt;=$O$2,$D27,$D27-($D27-$I$6)*MIN(I$3-$O$2,$Q$2)/$Q$2))</f>
        <v>3277.12063559607</v>
      </c>
      <c r="J27" s="15" t="n">
        <f aca="false">I27*(1+IF(J$3&lt;=$O$2,$D27,$D27-($D27-$I$6)*MIN(J$3-$O$2,$Q$2)/$Q$2))</f>
        <v>3426.26316579739</v>
      </c>
      <c r="K27" s="15" t="n">
        <f aca="false">J27*(1+IF(K$3&lt;=$O$2,$D27,$D27-($D27-$I$6)*MIN(K$3-$O$2,$Q$2)/$Q$2))</f>
        <v>3567.45150904323</v>
      </c>
      <c r="L27" s="15" t="n">
        <f aca="false">K27*(1+IF(L$3&lt;=$O$2,$D27,$D27-($D27-$I$6)*MIN(L$3-$O$2,$Q$2)/$Q$2))</f>
        <v>3699.10872613389</v>
      </c>
      <c r="M27" s="15" t="n">
        <f aca="false">L27*(1+IF(M$3&lt;=$O$2,$D27,$D27-($D27-$I$6)*MIN(M$3-$O$2,$Q$2)/$Q$2))</f>
        <v>3819.70913568676</v>
      </c>
      <c r="N27" s="15" t="n">
        <f aca="false">M27*(1+IF(N$3&lt;=$O$2,$D27,$D27-($D27-$I$6)*MIN(N$3-$O$2,$Q$2)/$Q$2))</f>
        <v>3927.8069042267</v>
      </c>
      <c r="O27" s="15" t="n">
        <f aca="false">SUMPRODUCT(E27:N27,1/(1+$F$6)^$E$3:$N$3)*$E$2</f>
        <v>4067.54703558643</v>
      </c>
      <c r="P27" s="15" t="n">
        <f aca="false">N27*$E$2*(1+$I$6)/($F$6-$I$6)/(1+$F$6)^$N$3</f>
        <v>4978.70213956898</v>
      </c>
      <c r="Q27" s="15" t="n">
        <f aca="false">O27+P27</f>
        <v>9046.24917515541</v>
      </c>
      <c r="R27" s="15" t="n">
        <f aca="false">Q27-$G$2+$I$2</f>
        <v>7670.04917515541</v>
      </c>
      <c r="S27" s="42" t="n">
        <f aca="false">R27/$K$2</f>
        <v>204.480116639707</v>
      </c>
      <c r="T27" s="43" t="n">
        <f aca="false">S27-$M$2</f>
        <v>0.0013109878808848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0.0498113632202148</v>
      </c>
      <c r="C28" s="25" t="n">
        <f aca="false">IF(T27&gt;0,D27,C27)</f>
        <v>0.0498127937316895</v>
      </c>
      <c r="D28" s="41" t="n">
        <f aca="false">(B28+C28)/2</f>
        <v>0.0498120784759522</v>
      </c>
      <c r="E28" s="15" t="n">
        <f aca="false">$C$2*(1+IF(E$3&lt;=$O$2,$D28,$D28-($D28-$I$6)*MIN(E$3-$O$2,$Q$2)/$Q$2))</f>
        <v>2698.0170416832</v>
      </c>
      <c r="F28" s="15" t="n">
        <f aca="false">E28*(1+IF(F$3&lt;=$O$2,$D28,$D28-($D28-$I$6)*MIN(F$3-$O$2,$Q$2)/$Q$2))</f>
        <v>2832.41087829298</v>
      </c>
      <c r="G28" s="15" t="n">
        <f aca="false">F28*(1+IF(G$3&lt;=$O$2,$D28,$D28-($D28-$I$6)*MIN(G$3-$O$2,$Q$2)/$Q$2))</f>
        <v>2973.49915123865</v>
      </c>
      <c r="H28" s="15" t="n">
        <f aca="false">G28*(1+IF(H$3&lt;=$O$2,$D28,$D28-($D28-$I$6)*MIN(H$3-$O$2,$Q$2)/$Q$2))</f>
        <v>3121.61532430832</v>
      </c>
      <c r="I28" s="15" t="n">
        <f aca="false">H28*(1+IF(I$3&lt;=$O$2,$D28,$D28-($D28-$I$6)*MIN(I$3-$O$2,$Q$2)/$Q$2))</f>
        <v>3277.1094718145</v>
      </c>
      <c r="J28" s="15" t="n">
        <f aca="false">I28*(1+IF(J$3&lt;=$O$2,$D28,$D28-($D28-$I$6)*MIN(J$3-$O$2,$Q$2)/$Q$2))</f>
        <v>3426.24961877242</v>
      </c>
      <c r="K28" s="15" t="n">
        <f aca="false">J28*(1+IF(K$3&lt;=$O$2,$D28,$D28-($D28-$I$6)*MIN(K$3-$O$2,$Q$2)/$Q$2))</f>
        <v>3567.43593339002</v>
      </c>
      <c r="L28" s="15" t="n">
        <f aca="false">K28*(1+IF(L$3&lt;=$O$2,$D28,$D28-($D28-$I$6)*MIN(L$3-$O$2,$Q$2)/$Q$2))</f>
        <v>3699.09155500777</v>
      </c>
      <c r="M28" s="15" t="n">
        <f aca="false">L28*(1+IF(M$3&lt;=$O$2,$D28,$D28-($D28-$I$6)*MIN(M$3-$O$2,$Q$2)/$Q$2))</f>
        <v>3819.6908755787</v>
      </c>
      <c r="N28" s="15" t="n">
        <f aca="false">M28*(1+IF(N$3&lt;=$O$2,$D28,$D28-($D28-$I$6)*MIN(N$3-$O$2,$Q$2)/$Q$2))</f>
        <v>3927.78812735758</v>
      </c>
      <c r="O28" s="15" t="n">
        <f aca="false">SUMPRODUCT(E28:N28,1/(1+$F$6)^$E$3:$N$3)*$E$2</f>
        <v>4067.53447047431</v>
      </c>
      <c r="P28" s="15" t="n">
        <f aca="false">N28*$E$2*(1+$I$6)/($F$6-$I$6)/(1+$F$6)^$N$3</f>
        <v>4978.67833889834</v>
      </c>
      <c r="Q28" s="15" t="n">
        <f aca="false">O28+P28</f>
        <v>9046.21280937265</v>
      </c>
      <c r="R28" s="15" t="n">
        <f aca="false">Q28-$G$2+$I$2</f>
        <v>7670.01280937265</v>
      </c>
      <c r="S28" s="42" t="n">
        <f aca="false">R28/$K$2</f>
        <v>204.479147144032</v>
      </c>
      <c r="T28" s="43" t="n">
        <f aca="false">S28-$M$2</f>
        <v>0.000341492206217708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0.0498113632202148</v>
      </c>
      <c r="C29" s="25" t="n">
        <f aca="false">IF(T28&gt;0,D28,C28)</f>
        <v>0.0498120784759522</v>
      </c>
      <c r="D29" s="41" t="n">
        <f aca="false">(B29+C29)/2</f>
        <v>0.0498117208480835</v>
      </c>
      <c r="E29" s="15" t="n">
        <f aca="false">$C$2*(1+IF(E$3&lt;=$O$2,$D29,$D29-($D29-$I$6)*MIN(E$3-$O$2,$Q$2)/$Q$2))</f>
        <v>2698.01612257957</v>
      </c>
      <c r="F29" s="15" t="n">
        <f aca="false">E29*(1+IF(F$3&lt;=$O$2,$D29,$D29-($D29-$I$6)*MIN(F$3-$O$2,$Q$2)/$Q$2))</f>
        <v>2832.40894852114</v>
      </c>
      <c r="G29" s="15" t="n">
        <f aca="false">F29*(1+IF(G$3&lt;=$O$2,$D29,$D29-($D29-$I$6)*MIN(G$3-$O$2,$Q$2)/$Q$2))</f>
        <v>2973.49611239249</v>
      </c>
      <c r="H29" s="15" t="n">
        <f aca="false">G29*(1+IF(H$3&lt;=$O$2,$D29,$D29-($D29-$I$6)*MIN(H$3-$O$2,$Q$2)/$Q$2))</f>
        <v>3121.61107068584</v>
      </c>
      <c r="I29" s="15" t="n">
        <f aca="false">H29*(1+IF(I$3&lt;=$O$2,$D29,$D29-($D29-$I$6)*MIN(I$3-$O$2,$Q$2)/$Q$2))</f>
        <v>3277.10388993513</v>
      </c>
      <c r="J29" s="15" t="n">
        <f aca="false">I29*(1+IF(J$3&lt;=$O$2,$D29,$D29-($D29-$I$6)*MIN(J$3-$O$2,$Q$2)/$Q$2))</f>
        <v>3426.24284527666</v>
      </c>
      <c r="K29" s="15" t="n">
        <f aca="false">J29*(1+IF(K$3&lt;=$O$2,$D29,$D29-($D29-$I$6)*MIN(K$3-$O$2,$Q$2)/$Q$2))</f>
        <v>3567.42814558519</v>
      </c>
      <c r="L29" s="15" t="n">
        <f aca="false">K29*(1+IF(L$3&lt;=$O$2,$D29,$D29-($D29-$I$6)*MIN(L$3-$O$2,$Q$2)/$Q$2))</f>
        <v>3699.08296947062</v>
      </c>
      <c r="M29" s="15" t="n">
        <f aca="false">L29*(1+IF(M$3&lt;=$O$2,$D29,$D29-($D29-$I$6)*MIN(M$3-$O$2,$Q$2)/$Q$2))</f>
        <v>3819.68174555327</v>
      </c>
      <c r="N29" s="15" t="n">
        <f aca="false">M29*(1+IF(N$3&lt;=$O$2,$D29,$D29-($D29-$I$6)*MIN(N$3-$O$2,$Q$2)/$Q$2))</f>
        <v>3927.77873895243</v>
      </c>
      <c r="O29" s="15" t="n">
        <f aca="false">SUMPRODUCT(E29:N29,1/(1+$F$6)^$E$3:$N$3)*$E$2</f>
        <v>4067.52818793297</v>
      </c>
      <c r="P29" s="15" t="n">
        <f aca="false">N29*$E$2*(1+$I$6)/($F$6-$I$6)/(1+$F$6)^$N$3</f>
        <v>4978.66643860029</v>
      </c>
      <c r="Q29" s="15" t="n">
        <f aca="false">O29+P29</f>
        <v>9046.19462653326</v>
      </c>
      <c r="R29" s="15" t="n">
        <f aca="false">Q29-$G$2+$I$2</f>
        <v>7669.99462653326</v>
      </c>
      <c r="S29" s="42" t="n">
        <f aca="false">R29/$K$2</f>
        <v>204.478662397581</v>
      </c>
      <c r="T29" s="43" t="n">
        <f aca="false">S29-$M$2</f>
        <v>-0.000143254245102753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0.0498117208480835</v>
      </c>
      <c r="C30" s="25" t="n">
        <f aca="false">IF(T29&gt;0,D29,C29)</f>
        <v>0.0498120784759522</v>
      </c>
      <c r="D30" s="41" t="n">
        <f aca="false">(B30+C30)/2</f>
        <v>0.0498118996620178</v>
      </c>
      <c r="E30" s="15" t="n">
        <f aca="false">$C$2*(1+IF(E$3&lt;=$O$2,$D30,$D30-($D30-$I$6)*MIN(E$3-$O$2,$Q$2)/$Q$2))</f>
        <v>2698.01658213139</v>
      </c>
      <c r="F30" s="15" t="n">
        <f aca="false">E30*(1+IF(F$3&lt;=$O$2,$D30,$D30-($D30-$I$6)*MIN(F$3-$O$2,$Q$2)/$Q$2))</f>
        <v>2832.40991340697</v>
      </c>
      <c r="G30" s="15" t="n">
        <f aca="false">F30*(1+IF(G$3&lt;=$O$2,$D30,$D30-($D30-$I$6)*MIN(G$3-$O$2,$Q$2)/$Q$2))</f>
        <v>2973.49763181531</v>
      </c>
      <c r="H30" s="15" t="n">
        <f aca="false">G30*(1+IF(H$3&lt;=$O$2,$D30,$D30-($D30-$I$6)*MIN(H$3-$O$2,$Q$2)/$Q$2))</f>
        <v>3121.61319749654</v>
      </c>
      <c r="I30" s="15" t="n">
        <f aca="false">H30*(1+IF(I$3&lt;=$O$2,$D30,$D30-($D30-$I$6)*MIN(I$3-$O$2,$Q$2)/$Q$2))</f>
        <v>3277.10668087387</v>
      </c>
      <c r="J30" s="15" t="n">
        <f aca="false">I30*(1+IF(J$3&lt;=$O$2,$D30,$D30-($D30-$I$6)*MIN(J$3-$O$2,$Q$2)/$Q$2))</f>
        <v>3426.24623202315</v>
      </c>
      <c r="K30" s="15" t="n">
        <f aca="false">J30*(1+IF(K$3&lt;=$O$2,$D30,$D30-($D30-$I$6)*MIN(K$3-$O$2,$Q$2)/$Q$2))</f>
        <v>3567.43203948579</v>
      </c>
      <c r="L30" s="15" t="n">
        <f aca="false">K30*(1+IF(L$3&lt;=$O$2,$D30,$D30-($D30-$I$6)*MIN(L$3-$O$2,$Q$2)/$Q$2))</f>
        <v>3699.08726223703</v>
      </c>
      <c r="M30" s="15" t="n">
        <f aca="false">L30*(1+IF(M$3&lt;=$O$2,$D30,$D30-($D30-$I$6)*MIN(M$3-$O$2,$Q$2)/$Q$2))</f>
        <v>3819.6863105636</v>
      </c>
      <c r="N30" s="15" t="n">
        <f aca="false">M30*(1+IF(N$3&lt;=$O$2,$D30,$D30-($D30-$I$6)*MIN(N$3-$O$2,$Q$2)/$Q$2))</f>
        <v>3927.78343315255</v>
      </c>
      <c r="O30" s="15" t="n">
        <f aca="false">SUMPRODUCT(E30:N30,1/(1+$F$6)^$E$3:$N$3)*$E$2</f>
        <v>4067.53132920242</v>
      </c>
      <c r="P30" s="15" t="n">
        <f aca="false">N30*$E$2*(1+$I$6)/($F$6-$I$6)/(1+$F$6)^$N$3</f>
        <v>4978.67238874621</v>
      </c>
      <c r="Q30" s="15" t="n">
        <f aca="false">O30+P30</f>
        <v>9046.20371794863</v>
      </c>
      <c r="R30" s="15" t="n">
        <f aca="false">Q30-$G$2+$I$2</f>
        <v>7670.00371794863</v>
      </c>
      <c r="S30" s="42" t="n">
        <f aca="false">R30/$K$2</f>
        <v>204.478904770691</v>
      </c>
      <c r="T30" s="43" t="n">
        <f aca="false">S30-$M$2</f>
        <v>9.91188650800723E-005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0.0498117208480835</v>
      </c>
      <c r="C31" s="25" t="n">
        <f aca="false">IF(T30&gt;0,D30,C30)</f>
        <v>0.0498118996620178</v>
      </c>
      <c r="D31" s="41" t="n">
        <f aca="false">(B31+C31)/2</f>
        <v>0.0498118102550507</v>
      </c>
      <c r="E31" s="15" t="n">
        <f aca="false">$C$2*(1+IF(E$3&lt;=$O$2,$D31,$D31-($D31-$I$6)*MIN(E$3-$O$2,$Q$2)/$Q$2))</f>
        <v>2698.01635235548</v>
      </c>
      <c r="F31" s="15" t="n">
        <f aca="false">E31*(1+IF(F$3&lt;=$O$2,$D31,$D31-($D31-$I$6)*MIN(F$3-$O$2,$Q$2)/$Q$2))</f>
        <v>2832.40943096404</v>
      </c>
      <c r="G31" s="15" t="n">
        <f aca="false">F31*(1+IF(G$3&lt;=$O$2,$D31,$D31-($D31-$I$6)*MIN(G$3-$O$2,$Q$2)/$Q$2))</f>
        <v>2973.49687210383</v>
      </c>
      <c r="H31" s="15" t="n">
        <f aca="false">G31*(1+IF(H$3&lt;=$O$2,$D31,$D31-($D31-$I$6)*MIN(H$3-$O$2,$Q$2)/$Q$2))</f>
        <v>3121.61213409106</v>
      </c>
      <c r="I31" s="15" t="n">
        <f aca="false">H31*(1+IF(I$3&lt;=$O$2,$D31,$D31-($D31-$I$6)*MIN(I$3-$O$2,$Q$2)/$Q$2))</f>
        <v>3277.10528540426</v>
      </c>
      <c r="J31" s="15" t="n">
        <f aca="false">I31*(1+IF(J$3&lt;=$O$2,$D31,$D31-($D31-$I$6)*MIN(J$3-$O$2,$Q$2)/$Q$2))</f>
        <v>3426.24453864956</v>
      </c>
      <c r="K31" s="15" t="n">
        <f aca="false">J31*(1+IF(K$3&lt;=$O$2,$D31,$D31-($D31-$I$6)*MIN(K$3-$O$2,$Q$2)/$Q$2))</f>
        <v>3567.43009253504</v>
      </c>
      <c r="L31" s="15" t="n">
        <f aca="false">K31*(1+IF(L$3&lt;=$O$2,$D31,$D31-($D31-$I$6)*MIN(L$3-$O$2,$Q$2)/$Q$2))</f>
        <v>3699.08511585329</v>
      </c>
      <c r="M31" s="15" t="n">
        <f aca="false">L31*(1+IF(M$3&lt;=$O$2,$D31,$D31-($D31-$I$6)*MIN(M$3-$O$2,$Q$2)/$Q$2))</f>
        <v>3819.68402805784</v>
      </c>
      <c r="N31" s="15" t="n">
        <f aca="false">M31*(1+IF(N$3&lt;=$O$2,$D31,$D31-($D31-$I$6)*MIN(N$3-$O$2,$Q$2)/$Q$2))</f>
        <v>3927.78108605188</v>
      </c>
      <c r="O31" s="15" t="n">
        <f aca="false">SUMPRODUCT(E31:N31,1/(1+$F$6)^$E$3:$N$3)*$E$2</f>
        <v>4067.52975856739</v>
      </c>
      <c r="P31" s="15" t="n">
        <f aca="false">N31*$E$2*(1+$I$6)/($F$6-$I$6)/(1+$F$6)^$N$3</f>
        <v>4978.66941367248</v>
      </c>
      <c r="Q31" s="15" t="n">
        <f aca="false">O31+P31</f>
        <v>9046.19917223986</v>
      </c>
      <c r="R31" s="15" t="n">
        <f aca="false">Q31-$G$2+$I$2</f>
        <v>7669.99917223986</v>
      </c>
      <c r="S31" s="42" t="n">
        <f aca="false">R31/$K$2</f>
        <v>204.478783584107</v>
      </c>
      <c r="T31" s="43" t="n">
        <f aca="false">S31-$M$2</f>
        <v>-2.20677188735863E-005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0.0498118102550507</v>
      </c>
      <c r="C32" s="25" t="n">
        <f aca="false">IF(T31&gt;0,D31,C31)</f>
        <v>0.0498118996620178</v>
      </c>
      <c r="D32" s="41" t="n">
        <f aca="false">(B32+C32)/2</f>
        <v>0.0498118549585342</v>
      </c>
      <c r="E32" s="15" t="n">
        <f aca="false">$C$2*(1+IF(E$3&lt;=$O$2,$D32,$D32-($D32-$I$6)*MIN(E$3-$O$2,$Q$2)/$Q$2))</f>
        <v>2698.01646724343</v>
      </c>
      <c r="F32" s="15" t="n">
        <f aca="false">E32*(1+IF(F$3&lt;=$O$2,$D32,$D32-($D32-$I$6)*MIN(F$3-$O$2,$Q$2)/$Q$2))</f>
        <v>2832.4096721855</v>
      </c>
      <c r="G32" s="15" t="n">
        <f aca="false">F32*(1+IF(G$3&lt;=$O$2,$D32,$D32-($D32-$I$6)*MIN(G$3-$O$2,$Q$2)/$Q$2))</f>
        <v>2973.49725195955</v>
      </c>
      <c r="H32" s="15" t="n">
        <f aca="false">G32*(1+IF(H$3&lt;=$O$2,$D32,$D32-($D32-$I$6)*MIN(H$3-$O$2,$Q$2)/$Q$2))</f>
        <v>3121.61266579376</v>
      </c>
      <c r="I32" s="15" t="n">
        <f aca="false">H32*(1+IF(I$3&lt;=$O$2,$D32,$D32-($D32-$I$6)*MIN(I$3-$O$2,$Q$2)/$Q$2))</f>
        <v>3277.10598313901</v>
      </c>
      <c r="J32" s="15" t="n">
        <f aca="false">I32*(1+IF(J$3&lt;=$O$2,$D32,$D32-($D32-$I$6)*MIN(J$3-$O$2,$Q$2)/$Q$2))</f>
        <v>3426.24538533626</v>
      </c>
      <c r="K32" s="15" t="n">
        <f aca="false">J32*(1+IF(K$3&lt;=$O$2,$D32,$D32-($D32-$I$6)*MIN(K$3-$O$2,$Q$2)/$Q$2))</f>
        <v>3567.4310660103</v>
      </c>
      <c r="L32" s="15" t="n">
        <f aca="false">K32*(1+IF(L$3&lt;=$O$2,$D32,$D32-($D32-$I$6)*MIN(L$3-$O$2,$Q$2)/$Q$2))</f>
        <v>3699.08618904503</v>
      </c>
      <c r="M32" s="15" t="n">
        <f aca="false">L32*(1+IF(M$3&lt;=$O$2,$D32,$D32-($D32-$I$6)*MIN(M$3-$O$2,$Q$2)/$Q$2))</f>
        <v>3819.68516931057</v>
      </c>
      <c r="N32" s="15" t="n">
        <f aca="false">M32*(1+IF(N$3&lt;=$O$2,$D32,$D32-($D32-$I$6)*MIN(N$3-$O$2,$Q$2)/$Q$2))</f>
        <v>3927.78225960206</v>
      </c>
      <c r="O32" s="15" t="n">
        <f aca="false">SUMPRODUCT(E32:N32,1/(1+$F$6)^$E$3:$N$3)*$E$2</f>
        <v>4067.53054388482</v>
      </c>
      <c r="P32" s="15" t="n">
        <f aca="false">N32*$E$2*(1+$I$6)/($F$6-$I$6)/(1+$F$6)^$N$3</f>
        <v>4978.67090120915</v>
      </c>
      <c r="Q32" s="15" t="n">
        <f aca="false">O32+P32</f>
        <v>9046.20144509397</v>
      </c>
      <c r="R32" s="15" t="n">
        <f aca="false">Q32-$G$2+$I$2</f>
        <v>7670.00144509397</v>
      </c>
      <c r="S32" s="42" t="n">
        <f aca="false">R32/$K$2</f>
        <v>204.478844177392</v>
      </c>
      <c r="T32" s="43" t="n">
        <f aca="false">S32-$M$2</f>
        <v>3.85255659125505E-005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0.0498118102550507</v>
      </c>
      <c r="C33" s="25" t="n">
        <f aca="false">IF(T32&gt;0,D32,C32)</f>
        <v>0.0498118549585342</v>
      </c>
      <c r="D33" s="41" t="n">
        <f aca="false">(B33+C33)/2</f>
        <v>0.0498118326067925</v>
      </c>
      <c r="E33" s="15" t="n">
        <f aca="false">$C$2*(1+IF(E$3&lt;=$O$2,$D33,$D33-($D33-$I$6)*MIN(E$3-$O$2,$Q$2)/$Q$2))</f>
        <v>2698.01640979946</v>
      </c>
      <c r="F33" s="15" t="n">
        <f aca="false">E33*(1+IF(F$3&lt;=$O$2,$D33,$D33-($D33-$I$6)*MIN(F$3-$O$2,$Q$2)/$Q$2))</f>
        <v>2832.40955157477</v>
      </c>
      <c r="G33" s="15" t="n">
        <f aca="false">F33*(1+IF(G$3&lt;=$O$2,$D33,$D33-($D33-$I$6)*MIN(G$3-$O$2,$Q$2)/$Q$2))</f>
        <v>2973.49706203169</v>
      </c>
      <c r="H33" s="15" t="n">
        <f aca="false">G33*(1+IF(H$3&lt;=$O$2,$D33,$D33-($D33-$I$6)*MIN(H$3-$O$2,$Q$2)/$Q$2))</f>
        <v>3121.6123999424</v>
      </c>
      <c r="I33" s="15" t="n">
        <f aca="false">H33*(1+IF(I$3&lt;=$O$2,$D33,$D33-($D33-$I$6)*MIN(I$3-$O$2,$Q$2)/$Q$2))</f>
        <v>3277.10563427162</v>
      </c>
      <c r="J33" s="15" t="n">
        <f aca="false">I33*(1+IF(J$3&lt;=$O$2,$D33,$D33-($D33-$I$6)*MIN(J$3-$O$2,$Q$2)/$Q$2))</f>
        <v>3426.24496199289</v>
      </c>
      <c r="K33" s="15" t="n">
        <f aca="false">J33*(1+IF(K$3&lt;=$O$2,$D33,$D33-($D33-$I$6)*MIN(K$3-$O$2,$Q$2)/$Q$2))</f>
        <v>3567.43057927264</v>
      </c>
      <c r="L33" s="15" t="n">
        <f aca="false">K33*(1+IF(L$3&lt;=$O$2,$D33,$D33-($D33-$I$6)*MIN(L$3-$O$2,$Q$2)/$Q$2))</f>
        <v>3699.08565244912</v>
      </c>
      <c r="M33" s="15" t="n">
        <f aca="false">L33*(1+IF(M$3&lt;=$O$2,$D33,$D33-($D33-$I$6)*MIN(M$3-$O$2,$Q$2)/$Q$2))</f>
        <v>3819.68459868417</v>
      </c>
      <c r="N33" s="15" t="n">
        <f aca="false">M33*(1+IF(N$3&lt;=$O$2,$D33,$D33-($D33-$I$6)*MIN(N$3-$O$2,$Q$2)/$Q$2))</f>
        <v>3927.78167282693</v>
      </c>
      <c r="O33" s="15" t="n">
        <f aca="false">SUMPRODUCT(E33:N33,1/(1+$F$6)^$E$3:$N$3)*$E$2</f>
        <v>4067.53015122609</v>
      </c>
      <c r="P33" s="15" t="n">
        <f aca="false">N33*$E$2*(1+$I$6)/($F$6-$I$6)/(1+$F$6)^$N$3</f>
        <v>4978.67015744076</v>
      </c>
      <c r="Q33" s="15" t="n">
        <f aca="false">O33+P33</f>
        <v>9046.20030866685</v>
      </c>
      <c r="R33" s="15" t="n">
        <f aca="false">Q33-$G$2+$I$2</f>
        <v>7670.00030866685</v>
      </c>
      <c r="S33" s="42" t="n">
        <f aca="false">R33/$K$2</f>
        <v>204.478813880748</v>
      </c>
      <c r="T33" s="43" t="n">
        <f aca="false">S33-$M$2</f>
        <v>8.22892167207101E-006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0.0498118102550507</v>
      </c>
      <c r="C34" s="25" t="n">
        <f aca="false">IF(T33&gt;0,D33,C33)</f>
        <v>0.0498118326067925</v>
      </c>
      <c r="D34" s="41" t="n">
        <f aca="false">(B34+C34)/2</f>
        <v>0.0498118214309216</v>
      </c>
      <c r="E34" s="15" t="n">
        <f aca="false">$C$2*(1+IF(E$3&lt;=$O$2,$D34,$D34-($D34-$I$6)*MIN(E$3-$O$2,$Q$2)/$Q$2))</f>
        <v>2698.01638107747</v>
      </c>
      <c r="F34" s="15" t="n">
        <f aca="false">E34*(1+IF(F$3&lt;=$O$2,$D34,$D34-($D34-$I$6)*MIN(F$3-$O$2,$Q$2)/$Q$2))</f>
        <v>2832.4094912694</v>
      </c>
      <c r="G34" s="15" t="n">
        <f aca="false">F34*(1+IF(G$3&lt;=$O$2,$D34,$D34-($D34-$I$6)*MIN(G$3-$O$2,$Q$2)/$Q$2))</f>
        <v>2973.49696706776</v>
      </c>
      <c r="H34" s="15" t="n">
        <f aca="false">G34*(1+IF(H$3&lt;=$O$2,$D34,$D34-($D34-$I$6)*MIN(H$3-$O$2,$Q$2)/$Q$2))</f>
        <v>3121.61226701673</v>
      </c>
      <c r="I34" s="15" t="n">
        <f aca="false">H34*(1+IF(I$3&lt;=$O$2,$D34,$D34-($D34-$I$6)*MIN(I$3-$O$2,$Q$2)/$Q$2))</f>
        <v>3277.10545983794</v>
      </c>
      <c r="J34" s="15" t="n">
        <f aca="false">I34*(1+IF(J$3&lt;=$O$2,$D34,$D34-($D34-$I$6)*MIN(J$3-$O$2,$Q$2)/$Q$2))</f>
        <v>3426.24475032122</v>
      </c>
      <c r="K34" s="15" t="n">
        <f aca="false">J34*(1+IF(K$3&lt;=$O$2,$D34,$D34-($D34-$I$6)*MIN(K$3-$O$2,$Q$2)/$Q$2))</f>
        <v>3567.43033590383</v>
      </c>
      <c r="L34" s="15" t="n">
        <f aca="false">K34*(1+IF(L$3&lt;=$O$2,$D34,$D34-($D34-$I$6)*MIN(L$3-$O$2,$Q$2)/$Q$2))</f>
        <v>3699.0853841512</v>
      </c>
      <c r="M34" s="15" t="n">
        <f aca="false">L34*(1+IF(M$3&lt;=$O$2,$D34,$D34-($D34-$I$6)*MIN(M$3-$O$2,$Q$2)/$Q$2))</f>
        <v>3819.68431337099</v>
      </c>
      <c r="N34" s="15" t="n">
        <f aca="false">M34*(1+IF(N$3&lt;=$O$2,$D34,$D34-($D34-$I$6)*MIN(N$3-$O$2,$Q$2)/$Q$2))</f>
        <v>3927.78137943939</v>
      </c>
      <c r="O34" s="15" t="n">
        <f aca="false">SUMPRODUCT(E34:N34,1/(1+$F$6)^$E$3:$N$3)*$E$2</f>
        <v>4067.52995489673</v>
      </c>
      <c r="P34" s="15" t="n">
        <f aca="false">N34*$E$2*(1+$I$6)/($F$6-$I$6)/(1+$F$6)^$N$3</f>
        <v>4978.66978555661</v>
      </c>
      <c r="Q34" s="15" t="n">
        <f aca="false">O34+P34</f>
        <v>9046.19974045334</v>
      </c>
      <c r="R34" s="15" t="n">
        <f aca="false">Q34-$G$2+$I$2</f>
        <v>7669.99974045334</v>
      </c>
      <c r="S34" s="42" t="n">
        <f aca="false">R34/$K$2</f>
        <v>204.478798732427</v>
      </c>
      <c r="T34" s="43" t="n">
        <f aca="false">S34-$M$2</f>
        <v>-6.91939905550498E-006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0.0498118214309216</v>
      </c>
      <c r="C35" s="25" t="n">
        <f aca="false">IF(T34&gt;0,D34,C34)</f>
        <v>0.0498118326067925</v>
      </c>
      <c r="D35" s="41" t="n">
        <f aca="false">(B35+C35)/2</f>
        <v>0.049811827018857</v>
      </c>
      <c r="E35" s="15" t="n">
        <f aca="false">$C$2*(1+IF(E$3&lt;=$O$2,$D35,$D35-($D35-$I$6)*MIN(E$3-$O$2,$Q$2)/$Q$2))</f>
        <v>2698.01639543846</v>
      </c>
      <c r="F35" s="15" t="n">
        <f aca="false">E35*(1+IF(F$3&lt;=$O$2,$D35,$D35-($D35-$I$6)*MIN(F$3-$O$2,$Q$2)/$Q$2))</f>
        <v>2832.40952142208</v>
      </c>
      <c r="G35" s="15" t="n">
        <f aca="false">F35*(1+IF(G$3&lt;=$O$2,$D35,$D35-($D35-$I$6)*MIN(G$3-$O$2,$Q$2)/$Q$2))</f>
        <v>2973.49701454972</v>
      </c>
      <c r="H35" s="15" t="n">
        <f aca="false">G35*(1+IF(H$3&lt;=$O$2,$D35,$D35-($D35-$I$6)*MIN(H$3-$O$2,$Q$2)/$Q$2))</f>
        <v>3121.61233347956</v>
      </c>
      <c r="I35" s="15" t="n">
        <f aca="false">H35*(1+IF(I$3&lt;=$O$2,$D35,$D35-($D35-$I$6)*MIN(I$3-$O$2,$Q$2)/$Q$2))</f>
        <v>3277.10554705478</v>
      </c>
      <c r="J35" s="15" t="n">
        <f aca="false">I35*(1+IF(J$3&lt;=$O$2,$D35,$D35-($D35-$I$6)*MIN(J$3-$O$2,$Q$2)/$Q$2))</f>
        <v>3426.24485615705</v>
      </c>
      <c r="K35" s="15" t="n">
        <f aca="false">J35*(1+IF(K$3&lt;=$O$2,$D35,$D35-($D35-$I$6)*MIN(K$3-$O$2,$Q$2)/$Q$2))</f>
        <v>3567.43045758823</v>
      </c>
      <c r="L35" s="15" t="n">
        <f aca="false">K35*(1+IF(L$3&lt;=$O$2,$D35,$D35-($D35-$I$6)*MIN(L$3-$O$2,$Q$2)/$Q$2))</f>
        <v>3699.08551830016</v>
      </c>
      <c r="M35" s="15" t="n">
        <f aca="false">L35*(1+IF(M$3&lt;=$O$2,$D35,$D35-($D35-$I$6)*MIN(M$3-$O$2,$Q$2)/$Q$2))</f>
        <v>3819.68445602758</v>
      </c>
      <c r="N35" s="15" t="n">
        <f aca="false">M35*(1+IF(N$3&lt;=$O$2,$D35,$D35-($D35-$I$6)*MIN(N$3-$O$2,$Q$2)/$Q$2))</f>
        <v>3927.78152613316</v>
      </c>
      <c r="O35" s="15" t="n">
        <f aca="false">SUMPRODUCT(E35:N35,1/(1+$F$6)^$E$3:$N$3)*$E$2</f>
        <v>4067.53005306141</v>
      </c>
      <c r="P35" s="15" t="n">
        <f aca="false">N35*$E$2*(1+$I$6)/($F$6-$I$6)/(1+$F$6)^$N$3</f>
        <v>4978.66997149868</v>
      </c>
      <c r="Q35" s="15" t="n">
        <f aca="false">O35+P35</f>
        <v>9046.20002456009</v>
      </c>
      <c r="R35" s="15" t="n">
        <f aca="false">Q35-$G$2+$I$2</f>
        <v>7670.00002456009</v>
      </c>
      <c r="S35" s="42" t="n">
        <f aca="false">R35/$K$2</f>
        <v>204.478806306587</v>
      </c>
      <c r="T35" s="43" t="n">
        <f aca="false">S35-$M$2</f>
        <v>6.5476123722874E-007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0.0498118214309216</v>
      </c>
      <c r="C36" s="25" t="n">
        <f aca="false">IF(T35&gt;0,D35,C35)</f>
        <v>0.049811827018857</v>
      </c>
      <c r="D36" s="41" t="n">
        <f aca="false">(B36+C36)/2</f>
        <v>0.0498118242248893</v>
      </c>
      <c r="E36" s="15" t="n">
        <f aca="false">$C$2*(1+IF(E$3&lt;=$O$2,$D36,$D36-($D36-$I$6)*MIN(E$3-$O$2,$Q$2)/$Q$2))</f>
        <v>2698.01638825797</v>
      </c>
      <c r="F36" s="15" t="n">
        <f aca="false">E36*(1+IF(F$3&lt;=$O$2,$D36,$D36-($D36-$I$6)*MIN(F$3-$O$2,$Q$2)/$Q$2))</f>
        <v>2832.40950634574</v>
      </c>
      <c r="G36" s="15" t="n">
        <f aca="false">F36*(1+IF(G$3&lt;=$O$2,$D36,$D36-($D36-$I$6)*MIN(G$3-$O$2,$Q$2)/$Q$2))</f>
        <v>2973.49699080874</v>
      </c>
      <c r="H36" s="15" t="n">
        <f aca="false">G36*(1+IF(H$3&lt;=$O$2,$D36,$D36-($D36-$I$6)*MIN(H$3-$O$2,$Q$2)/$Q$2))</f>
        <v>3121.61230024814</v>
      </c>
      <c r="I36" s="15" t="n">
        <f aca="false">H36*(1+IF(I$3&lt;=$O$2,$D36,$D36-($D36-$I$6)*MIN(I$3-$O$2,$Q$2)/$Q$2))</f>
        <v>3277.10550344636</v>
      </c>
      <c r="J36" s="15" t="n">
        <f aca="false">I36*(1+IF(J$3&lt;=$O$2,$D36,$D36-($D36-$I$6)*MIN(J$3-$O$2,$Q$2)/$Q$2))</f>
        <v>3426.24480323913</v>
      </c>
      <c r="K36" s="15" t="n">
        <f aca="false">J36*(1+IF(K$3&lt;=$O$2,$D36,$D36-($D36-$I$6)*MIN(K$3-$O$2,$Q$2)/$Q$2))</f>
        <v>3567.43039674603</v>
      </c>
      <c r="L36" s="15" t="n">
        <f aca="false">K36*(1+IF(L$3&lt;=$O$2,$D36,$D36-($D36-$I$6)*MIN(L$3-$O$2,$Q$2)/$Q$2))</f>
        <v>3699.08545122568</v>
      </c>
      <c r="M36" s="15" t="n">
        <f aca="false">L36*(1+IF(M$3&lt;=$O$2,$D36,$D36-($D36-$I$6)*MIN(M$3-$O$2,$Q$2)/$Q$2))</f>
        <v>3819.68438469928</v>
      </c>
      <c r="N36" s="15" t="n">
        <f aca="false">M36*(1+IF(N$3&lt;=$O$2,$D36,$D36-($D36-$I$6)*MIN(N$3-$O$2,$Q$2)/$Q$2))</f>
        <v>3927.78145278627</v>
      </c>
      <c r="O36" s="15" t="n">
        <f aca="false">SUMPRODUCT(E36:N36,1/(1+$F$6)^$E$3:$N$3)*$E$2</f>
        <v>4067.53000397907</v>
      </c>
      <c r="P36" s="15" t="n">
        <f aca="false">N36*$E$2*(1+$I$6)/($F$6-$I$6)/(1+$F$6)^$N$3</f>
        <v>4978.66987852764</v>
      </c>
      <c r="Q36" s="15" t="n">
        <f aca="false">O36+P36</f>
        <v>9046.19988250671</v>
      </c>
      <c r="R36" s="15" t="n">
        <f aca="false">Q36-$G$2+$I$2</f>
        <v>7669.99988250671</v>
      </c>
      <c r="S36" s="42" t="n">
        <f aca="false">R36/$K$2</f>
        <v>204.478802519507</v>
      </c>
      <c r="T36" s="43" t="n">
        <f aca="false">S36-$M$2</f>
        <v>-3.13231896598154E-006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0.0498118242248893</v>
      </c>
      <c r="C37" s="25" t="n">
        <f aca="false">IF(T36&gt;0,D36,C36)</f>
        <v>0.049811827018857</v>
      </c>
      <c r="D37" s="41" t="n">
        <f aca="false">(B37+C37)/2</f>
        <v>0.0498118256218731</v>
      </c>
      <c r="E37" s="15" t="n">
        <f aca="false">$C$2*(1+IF(E$3&lt;=$O$2,$D37,$D37-($D37-$I$6)*MIN(E$3-$O$2,$Q$2)/$Q$2))</f>
        <v>2698.01639184821</v>
      </c>
      <c r="F37" s="15" t="n">
        <f aca="false">E37*(1+IF(F$3&lt;=$O$2,$D37,$D37-($D37-$I$6)*MIN(F$3-$O$2,$Q$2)/$Q$2))</f>
        <v>2832.40951388391</v>
      </c>
      <c r="G37" s="15" t="n">
        <f aca="false">F37*(1+IF(G$3&lt;=$O$2,$D37,$D37-($D37-$I$6)*MIN(G$3-$O$2,$Q$2)/$Q$2))</f>
        <v>2973.49700267923</v>
      </c>
      <c r="H37" s="15" t="n">
        <f aca="false">G37*(1+IF(H$3&lt;=$O$2,$D37,$D37-($D37-$I$6)*MIN(H$3-$O$2,$Q$2)/$Q$2))</f>
        <v>3121.61231686385</v>
      </c>
      <c r="I37" s="15" t="n">
        <f aca="false">H37*(1+IF(I$3&lt;=$O$2,$D37,$D37-($D37-$I$6)*MIN(I$3-$O$2,$Q$2)/$Q$2))</f>
        <v>3277.10552525057</v>
      </c>
      <c r="J37" s="15" t="n">
        <f aca="false">I37*(1+IF(J$3&lt;=$O$2,$D37,$D37-($D37-$I$6)*MIN(J$3-$O$2,$Q$2)/$Q$2))</f>
        <v>3426.24482969809</v>
      </c>
      <c r="K37" s="15" t="n">
        <f aca="false">J37*(1+IF(K$3&lt;=$O$2,$D37,$D37-($D37-$I$6)*MIN(K$3-$O$2,$Q$2)/$Q$2))</f>
        <v>3567.43042716713</v>
      </c>
      <c r="L37" s="15" t="n">
        <f aca="false">K37*(1+IF(L$3&lt;=$O$2,$D37,$D37-($D37-$I$6)*MIN(L$3-$O$2,$Q$2)/$Q$2))</f>
        <v>3699.08548476292</v>
      </c>
      <c r="M37" s="15" t="n">
        <f aca="false">L37*(1+IF(M$3&lt;=$O$2,$D37,$D37-($D37-$I$6)*MIN(M$3-$O$2,$Q$2)/$Q$2))</f>
        <v>3819.68442036343</v>
      </c>
      <c r="N37" s="15" t="n">
        <f aca="false">M37*(1+IF(N$3&lt;=$O$2,$D37,$D37-($D37-$I$6)*MIN(N$3-$O$2,$Q$2)/$Q$2))</f>
        <v>3927.78148945972</v>
      </c>
      <c r="O37" s="15" t="n">
        <f aca="false">SUMPRODUCT(E37:N37,1/(1+$F$6)^$E$3:$N$3)*$E$2</f>
        <v>4067.53002852024</v>
      </c>
      <c r="P37" s="15" t="n">
        <f aca="false">N37*$E$2*(1+$I$6)/($F$6-$I$6)/(1+$F$6)^$N$3</f>
        <v>4978.66992501316</v>
      </c>
      <c r="Q37" s="15" t="n">
        <f aca="false">O37+P37</f>
        <v>9046.1999535334</v>
      </c>
      <c r="R37" s="15" t="n">
        <f aca="false">Q37-$G$2+$I$2</f>
        <v>7669.9999535334</v>
      </c>
      <c r="S37" s="42" t="n">
        <f aca="false">R37/$K$2</f>
        <v>204.478804413047</v>
      </c>
      <c r="T37" s="43" t="n">
        <f aca="false">S37-$M$2</f>
        <v>-1.23877885016555E-006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0.0498118256218731</v>
      </c>
      <c r="C38" s="25" t="n">
        <f aca="false">IF(T37&gt;0,D37,C37)</f>
        <v>0.049811827018857</v>
      </c>
      <c r="D38" s="41" t="n">
        <f aca="false">(B38+C38)/2</f>
        <v>0.0498118263203651</v>
      </c>
      <c r="E38" s="15" t="n">
        <f aca="false">$C$2*(1+IF(E$3&lt;=$O$2,$D38,$D38-($D38-$I$6)*MIN(E$3-$O$2,$Q$2)/$Q$2))</f>
        <v>2698.01639364334</v>
      </c>
      <c r="F38" s="15" t="n">
        <f aca="false">E38*(1+IF(F$3&lt;=$O$2,$D38,$D38-($D38-$I$6)*MIN(F$3-$O$2,$Q$2)/$Q$2))</f>
        <v>2832.409517653</v>
      </c>
      <c r="G38" s="15" t="n">
        <f aca="false">F38*(1+IF(G$3&lt;=$O$2,$D38,$D38-($D38-$I$6)*MIN(G$3-$O$2,$Q$2)/$Q$2))</f>
        <v>2973.49700861448</v>
      </c>
      <c r="H38" s="15" t="n">
        <f aca="false">G38*(1+IF(H$3&lt;=$O$2,$D38,$D38-($D38-$I$6)*MIN(H$3-$O$2,$Q$2)/$Q$2))</f>
        <v>3121.61232517171</v>
      </c>
      <c r="I38" s="15" t="n">
        <f aca="false">H38*(1+IF(I$3&lt;=$O$2,$D38,$D38-($D38-$I$6)*MIN(I$3-$O$2,$Q$2)/$Q$2))</f>
        <v>3277.10553615267</v>
      </c>
      <c r="J38" s="15" t="n">
        <f aca="false">I38*(1+IF(J$3&lt;=$O$2,$D38,$D38-($D38-$I$6)*MIN(J$3-$O$2,$Q$2)/$Q$2))</f>
        <v>3426.24484292757</v>
      </c>
      <c r="K38" s="15" t="n">
        <f aca="false">J38*(1+IF(K$3&lt;=$O$2,$D38,$D38-($D38-$I$6)*MIN(K$3-$O$2,$Q$2)/$Q$2))</f>
        <v>3567.43044237768</v>
      </c>
      <c r="L38" s="15" t="n">
        <f aca="false">K38*(1+IF(L$3&lt;=$O$2,$D38,$D38-($D38-$I$6)*MIN(L$3-$O$2,$Q$2)/$Q$2))</f>
        <v>3699.08550153154</v>
      </c>
      <c r="M38" s="15" t="n">
        <f aca="false">L38*(1+IF(M$3&lt;=$O$2,$D38,$D38-($D38-$I$6)*MIN(M$3-$O$2,$Q$2)/$Q$2))</f>
        <v>3819.6844381955</v>
      </c>
      <c r="N38" s="15" t="n">
        <f aca="false">M38*(1+IF(N$3&lt;=$O$2,$D38,$D38-($D38-$I$6)*MIN(N$3-$O$2,$Q$2)/$Q$2))</f>
        <v>3927.78150779644</v>
      </c>
      <c r="O38" s="15" t="n">
        <f aca="false">SUMPRODUCT(E38:N38,1/(1+$F$6)^$E$3:$N$3)*$E$2</f>
        <v>4067.53004079082</v>
      </c>
      <c r="P38" s="15" t="n">
        <f aca="false">N38*$E$2*(1+$I$6)/($F$6-$I$6)/(1+$F$6)^$N$3</f>
        <v>4978.66994825592</v>
      </c>
      <c r="Q38" s="15" t="n">
        <f aca="false">O38+P38</f>
        <v>9046.19998904674</v>
      </c>
      <c r="R38" s="15" t="n">
        <f aca="false">Q38-$G$2+$I$2</f>
        <v>7669.99998904674</v>
      </c>
      <c r="S38" s="42" t="n">
        <f aca="false">R38/$K$2</f>
        <v>204.478805359817</v>
      </c>
      <c r="T38" s="43" t="n">
        <f aca="false">S38-$M$2</f>
        <v>-2.92008877522676E-007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0.0498118263203651</v>
      </c>
      <c r="C39" s="25" t="n">
        <f aca="false">IF(T38&gt;0,D38,C38)</f>
        <v>0.049811827018857</v>
      </c>
      <c r="D39" s="41" t="n">
        <f aca="false">(B39+C39)/2</f>
        <v>0.049811826669611</v>
      </c>
      <c r="E39" s="15" t="n">
        <f aca="false">$C$2*(1+IF(E$3&lt;=$O$2,$D39,$D39-($D39-$I$6)*MIN(E$3-$O$2,$Q$2)/$Q$2))</f>
        <v>2698.0163945409</v>
      </c>
      <c r="F39" s="15" t="n">
        <f aca="false">E39*(1+IF(F$3&lt;=$O$2,$D39,$D39-($D39-$I$6)*MIN(F$3-$O$2,$Q$2)/$Q$2))</f>
        <v>2832.40951953754</v>
      </c>
      <c r="G39" s="15" t="n">
        <f aca="false">F39*(1+IF(G$3&lt;=$O$2,$D39,$D39-($D39-$I$6)*MIN(G$3-$O$2,$Q$2)/$Q$2))</f>
        <v>2973.4970115821</v>
      </c>
      <c r="H39" s="15" t="n">
        <f aca="false">G39*(1+IF(H$3&lt;=$O$2,$D39,$D39-($D39-$I$6)*MIN(H$3-$O$2,$Q$2)/$Q$2))</f>
        <v>3121.61232932564</v>
      </c>
      <c r="I39" s="15" t="n">
        <f aca="false">H39*(1+IF(I$3&lt;=$O$2,$D39,$D39-($D39-$I$6)*MIN(I$3-$O$2,$Q$2)/$Q$2))</f>
        <v>3277.10554160372</v>
      </c>
      <c r="J39" s="15" t="n">
        <f aca="false">I39*(1+IF(J$3&lt;=$O$2,$D39,$D39-($D39-$I$6)*MIN(J$3-$O$2,$Q$2)/$Q$2))</f>
        <v>3426.24484954231</v>
      </c>
      <c r="K39" s="15" t="n">
        <f aca="false">J39*(1+IF(K$3&lt;=$O$2,$D39,$D39-($D39-$I$6)*MIN(K$3-$O$2,$Q$2)/$Q$2))</f>
        <v>3567.43044998296</v>
      </c>
      <c r="L39" s="15" t="n">
        <f aca="false">K39*(1+IF(L$3&lt;=$O$2,$D39,$D39-($D39-$I$6)*MIN(L$3-$O$2,$Q$2)/$Q$2))</f>
        <v>3699.08550991585</v>
      </c>
      <c r="M39" s="15" t="n">
        <f aca="false">L39*(1+IF(M$3&lt;=$O$2,$D39,$D39-($D39-$I$6)*MIN(M$3-$O$2,$Q$2)/$Q$2))</f>
        <v>3819.68444711154</v>
      </c>
      <c r="N39" s="15" t="n">
        <f aca="false">M39*(1+IF(N$3&lt;=$O$2,$D39,$D39-($D39-$I$6)*MIN(N$3-$O$2,$Q$2)/$Q$2))</f>
        <v>3927.7815169648</v>
      </c>
      <c r="O39" s="15" t="n">
        <f aca="false">SUMPRODUCT(E39:N39,1/(1+$F$6)^$E$3:$N$3)*$E$2</f>
        <v>4067.53004692611</v>
      </c>
      <c r="P39" s="15" t="n">
        <f aca="false">N39*$E$2*(1+$I$6)/($F$6-$I$6)/(1+$F$6)^$N$3</f>
        <v>4978.6699598773</v>
      </c>
      <c r="Q39" s="15" t="n">
        <f aca="false">O39+P39</f>
        <v>9046.20000680342</v>
      </c>
      <c r="R39" s="15" t="n">
        <f aca="false">Q39-$G$2+$I$2</f>
        <v>7670.00000680342</v>
      </c>
      <c r="S39" s="42" t="n">
        <f aca="false">R39/$K$2</f>
        <v>204.478805833202</v>
      </c>
      <c r="T39" s="43" t="n">
        <f aca="false">S39-$M$2</f>
        <v>1.81376208274742E-007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0.0498118263203651</v>
      </c>
      <c r="C40" s="25" t="n">
        <f aca="false">IF(T39&gt;0,D39,C39)</f>
        <v>0.049811826669611</v>
      </c>
      <c r="D40" s="41" t="n">
        <f aca="false">(B40+C40)/2</f>
        <v>0.0498118264949881</v>
      </c>
      <c r="E40" s="15" t="n">
        <f aca="false">$C$2*(1+IF(E$3&lt;=$O$2,$D40,$D40-($D40-$I$6)*MIN(E$3-$O$2,$Q$2)/$Q$2))</f>
        <v>2698.01639409212</v>
      </c>
      <c r="F40" s="15" t="n">
        <f aca="false">E40*(1+IF(F$3&lt;=$O$2,$D40,$D40-($D40-$I$6)*MIN(F$3-$O$2,$Q$2)/$Q$2))</f>
        <v>2832.40951859527</v>
      </c>
      <c r="G40" s="15" t="n">
        <f aca="false">F40*(1+IF(G$3&lt;=$O$2,$D40,$D40-($D40-$I$6)*MIN(G$3-$O$2,$Q$2)/$Q$2))</f>
        <v>2973.49701009829</v>
      </c>
      <c r="H40" s="15" t="n">
        <f aca="false">G40*(1+IF(H$3&lt;=$O$2,$D40,$D40-($D40-$I$6)*MIN(H$3-$O$2,$Q$2)/$Q$2))</f>
        <v>3121.61232724867</v>
      </c>
      <c r="I40" s="15" t="n">
        <f aca="false">H40*(1+IF(I$3&lt;=$O$2,$D40,$D40-($D40-$I$6)*MIN(I$3-$O$2,$Q$2)/$Q$2))</f>
        <v>3277.1055388782</v>
      </c>
      <c r="J40" s="15" t="n">
        <f aca="false">I40*(1+IF(J$3&lt;=$O$2,$D40,$D40-($D40-$I$6)*MIN(J$3-$O$2,$Q$2)/$Q$2))</f>
        <v>3426.24484623494</v>
      </c>
      <c r="K40" s="15" t="n">
        <f aca="false">J40*(1+IF(K$3&lt;=$O$2,$D40,$D40-($D40-$I$6)*MIN(K$3-$O$2,$Q$2)/$Q$2))</f>
        <v>3567.43044618032</v>
      </c>
      <c r="L40" s="15" t="n">
        <f aca="false">K40*(1+IF(L$3&lt;=$O$2,$D40,$D40-($D40-$I$6)*MIN(L$3-$O$2,$Q$2)/$Q$2))</f>
        <v>3699.08550572369</v>
      </c>
      <c r="M40" s="15" t="n">
        <f aca="false">L40*(1+IF(M$3&lt;=$O$2,$D40,$D40-($D40-$I$6)*MIN(M$3-$O$2,$Q$2)/$Q$2))</f>
        <v>3819.68444265352</v>
      </c>
      <c r="N40" s="15" t="n">
        <f aca="false">M40*(1+IF(N$3&lt;=$O$2,$D40,$D40-($D40-$I$6)*MIN(N$3-$O$2,$Q$2)/$Q$2))</f>
        <v>3927.78151238062</v>
      </c>
      <c r="O40" s="15" t="n">
        <f aca="false">SUMPRODUCT(E40:N40,1/(1+$F$6)^$E$3:$N$3)*$E$2</f>
        <v>4067.53004385847</v>
      </c>
      <c r="P40" s="15" t="n">
        <f aca="false">N40*$E$2*(1+$I$6)/($F$6-$I$6)/(1+$F$6)^$N$3</f>
        <v>4978.66995406661</v>
      </c>
      <c r="Q40" s="15" t="n">
        <f aca="false">O40+P40</f>
        <v>9046.19999792508</v>
      </c>
      <c r="R40" s="15" t="n">
        <f aca="false">Q40-$G$2+$I$2</f>
        <v>7669.99999792508</v>
      </c>
      <c r="S40" s="42" t="n">
        <f aca="false">R40/$K$2</f>
        <v>204.47880559651</v>
      </c>
      <c r="T40" s="43" t="n">
        <f aca="false">S40-$M$2</f>
        <v>-5.53163204131124E-008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0.0498118264949881</v>
      </c>
      <c r="C41" s="25" t="n">
        <f aca="false">IF(T40&gt;0,D40,C40)</f>
        <v>0.049811826669611</v>
      </c>
      <c r="D41" s="41" t="n">
        <f aca="false">(B41+C41)/2</f>
        <v>0.0498118265822995</v>
      </c>
      <c r="E41" s="15" t="n">
        <f aca="false">$C$2*(1+IF(E$3&lt;=$O$2,$D41,$D41-($D41-$I$6)*MIN(E$3-$O$2,$Q$2)/$Q$2))</f>
        <v>2698.01639431651</v>
      </c>
      <c r="F41" s="15" t="n">
        <f aca="false">E41*(1+IF(F$3&lt;=$O$2,$D41,$D41-($D41-$I$6)*MIN(F$3-$O$2,$Q$2)/$Q$2))</f>
        <v>2832.4095190664</v>
      </c>
      <c r="G41" s="15" t="n">
        <f aca="false">F41*(1+IF(G$3&lt;=$O$2,$D41,$D41-($D41-$I$6)*MIN(G$3-$O$2,$Q$2)/$Q$2))</f>
        <v>2973.4970108402</v>
      </c>
      <c r="H41" s="15" t="n">
        <f aca="false">G41*(1+IF(H$3&lt;=$O$2,$D41,$D41-($D41-$I$6)*MIN(H$3-$O$2,$Q$2)/$Q$2))</f>
        <v>3121.61232828715</v>
      </c>
      <c r="I41" s="15" t="n">
        <f aca="false">H41*(1+IF(I$3&lt;=$O$2,$D41,$D41-($D41-$I$6)*MIN(I$3-$O$2,$Q$2)/$Q$2))</f>
        <v>3277.10554024096</v>
      </c>
      <c r="J41" s="15" t="n">
        <f aca="false">I41*(1+IF(J$3&lt;=$O$2,$D41,$D41-($D41-$I$6)*MIN(J$3-$O$2,$Q$2)/$Q$2))</f>
        <v>3426.24484788863</v>
      </c>
      <c r="K41" s="15" t="n">
        <f aca="false">J41*(1+IF(K$3&lt;=$O$2,$D41,$D41-($D41-$I$6)*MIN(K$3-$O$2,$Q$2)/$Q$2))</f>
        <v>3567.43044808164</v>
      </c>
      <c r="L41" s="15" t="n">
        <f aca="false">K41*(1+IF(L$3&lt;=$O$2,$D41,$D41-($D41-$I$6)*MIN(L$3-$O$2,$Q$2)/$Q$2))</f>
        <v>3699.08550781977</v>
      </c>
      <c r="M41" s="15" t="n">
        <f aca="false">L41*(1+IF(M$3&lt;=$O$2,$D41,$D41-($D41-$I$6)*MIN(M$3-$O$2,$Q$2)/$Q$2))</f>
        <v>3819.68444488253</v>
      </c>
      <c r="N41" s="15" t="n">
        <f aca="false">M41*(1+IF(N$3&lt;=$O$2,$D41,$D41-($D41-$I$6)*MIN(N$3-$O$2,$Q$2)/$Q$2))</f>
        <v>3927.78151467271</v>
      </c>
      <c r="O41" s="15" t="n">
        <f aca="false">SUMPRODUCT(E41:N41,1/(1+$F$6)^$E$3:$N$3)*$E$2</f>
        <v>4067.53004539229</v>
      </c>
      <c r="P41" s="15" t="n">
        <f aca="false">N41*$E$2*(1+$I$6)/($F$6-$I$6)/(1+$F$6)^$N$3</f>
        <v>4978.66995697196</v>
      </c>
      <c r="Q41" s="15" t="n">
        <f aca="false">O41+P41</f>
        <v>9046.20000236425</v>
      </c>
      <c r="R41" s="15" t="n">
        <f aca="false">Q41-$G$2+$I$2</f>
        <v>7670.00000236425</v>
      </c>
      <c r="S41" s="42" t="n">
        <f aca="false">R41/$K$2</f>
        <v>204.478805714856</v>
      </c>
      <c r="T41" s="43" t="n">
        <f aca="false">S41-$M$2</f>
        <v>6.30299155091052E-008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0.0498118264949881</v>
      </c>
      <c r="C42" s="25" t="n">
        <f aca="false">IF(T41&gt;0,D41,C41)</f>
        <v>0.0498118265822995</v>
      </c>
      <c r="D42" s="41" t="n">
        <f aca="false">(B42+C42)/2</f>
        <v>0.0498118265386438</v>
      </c>
      <c r="E42" s="15" t="n">
        <f aca="false">$C$2*(1+IF(E$3&lt;=$O$2,$D42,$D42-($D42-$I$6)*MIN(E$3-$O$2,$Q$2)/$Q$2))</f>
        <v>2698.01639420431</v>
      </c>
      <c r="F42" s="15" t="n">
        <f aca="false">E42*(1+IF(F$3&lt;=$O$2,$D42,$D42-($D42-$I$6)*MIN(F$3-$O$2,$Q$2)/$Q$2))</f>
        <v>2832.40951883084</v>
      </c>
      <c r="G42" s="15" t="n">
        <f aca="false">F42*(1+IF(G$3&lt;=$O$2,$D42,$D42-($D42-$I$6)*MIN(G$3-$O$2,$Q$2)/$Q$2))</f>
        <v>2973.49701046924</v>
      </c>
      <c r="H42" s="15" t="n">
        <f aca="false">G42*(1+IF(H$3&lt;=$O$2,$D42,$D42-($D42-$I$6)*MIN(H$3-$O$2,$Q$2)/$Q$2))</f>
        <v>3121.61232776791</v>
      </c>
      <c r="I42" s="15" t="n">
        <f aca="false">H42*(1+IF(I$3&lt;=$O$2,$D42,$D42-($D42-$I$6)*MIN(I$3-$O$2,$Q$2)/$Q$2))</f>
        <v>3277.10553955958</v>
      </c>
      <c r="J42" s="15" t="n">
        <f aca="false">I42*(1+IF(J$3&lt;=$O$2,$D42,$D42-($D42-$I$6)*MIN(J$3-$O$2,$Q$2)/$Q$2))</f>
        <v>3426.24484706178</v>
      </c>
      <c r="K42" s="15" t="n">
        <f aca="false">J42*(1+IF(K$3&lt;=$O$2,$D42,$D42-($D42-$I$6)*MIN(K$3-$O$2,$Q$2)/$Q$2))</f>
        <v>3567.43044713098</v>
      </c>
      <c r="L42" s="15" t="n">
        <f aca="false">K42*(1+IF(L$3&lt;=$O$2,$D42,$D42-($D42-$I$6)*MIN(L$3-$O$2,$Q$2)/$Q$2))</f>
        <v>3699.08550677173</v>
      </c>
      <c r="M42" s="15" t="n">
        <f aca="false">L42*(1+IF(M$3&lt;=$O$2,$D42,$D42-($D42-$I$6)*MIN(M$3-$O$2,$Q$2)/$Q$2))</f>
        <v>3819.68444376803</v>
      </c>
      <c r="N42" s="15" t="n">
        <f aca="false">M42*(1+IF(N$3&lt;=$O$2,$D42,$D42-($D42-$I$6)*MIN(N$3-$O$2,$Q$2)/$Q$2))</f>
        <v>3927.78151352666</v>
      </c>
      <c r="O42" s="15" t="n">
        <f aca="false">SUMPRODUCT(E42:N42,1/(1+$F$6)^$E$3:$N$3)*$E$2</f>
        <v>4067.53004462538</v>
      </c>
      <c r="P42" s="15" t="n">
        <f aca="false">N42*$E$2*(1+$I$6)/($F$6-$I$6)/(1+$F$6)^$N$3</f>
        <v>4978.66995551929</v>
      </c>
      <c r="Q42" s="15" t="n">
        <f aca="false">O42+P42</f>
        <v>9046.20000014467</v>
      </c>
      <c r="R42" s="15" t="n">
        <f aca="false">Q42-$G$2+$I$2</f>
        <v>7670.00000014467</v>
      </c>
      <c r="S42" s="42" t="n">
        <f aca="false">R42/$K$2</f>
        <v>204.478805655683</v>
      </c>
      <c r="T42" s="43" t="n">
        <f aca="false">S42-$M$2</f>
        <v>3.85679754799639E-009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0.0498118264949881</v>
      </c>
      <c r="C43" s="25" t="n">
        <f aca="false">IF(T42&gt;0,D42,C42)</f>
        <v>0.0498118265386438</v>
      </c>
      <c r="D43" s="41" t="n">
        <f aca="false">(B43+C43)/2</f>
        <v>0.0498118265168159</v>
      </c>
      <c r="E43" s="15" t="n">
        <f aca="false">$C$2*(1+IF(E$3&lt;=$O$2,$D43,$D43-($D43-$I$6)*MIN(E$3-$O$2,$Q$2)/$Q$2))</f>
        <v>2698.01639414822</v>
      </c>
      <c r="F43" s="15" t="n">
        <f aca="false">E43*(1+IF(F$3&lt;=$O$2,$D43,$D43-($D43-$I$6)*MIN(F$3-$O$2,$Q$2)/$Q$2))</f>
        <v>2832.40951871305</v>
      </c>
      <c r="G43" s="15" t="n">
        <f aca="false">F43*(1+IF(G$3&lt;=$O$2,$D43,$D43-($D43-$I$6)*MIN(G$3-$O$2,$Q$2)/$Q$2))</f>
        <v>2973.49701028377</v>
      </c>
      <c r="H43" s="15" t="n">
        <f aca="false">G43*(1+IF(H$3&lt;=$O$2,$D43,$D43-($D43-$I$6)*MIN(H$3-$O$2,$Q$2)/$Q$2))</f>
        <v>3121.61232750829</v>
      </c>
      <c r="I43" s="15" t="n">
        <f aca="false">H43*(1+IF(I$3&lt;=$O$2,$D43,$D43-($D43-$I$6)*MIN(I$3-$O$2,$Q$2)/$Q$2))</f>
        <v>3277.10553921889</v>
      </c>
      <c r="J43" s="15" t="n">
        <f aca="false">I43*(1+IF(J$3&lt;=$O$2,$D43,$D43-($D43-$I$6)*MIN(J$3-$O$2,$Q$2)/$Q$2))</f>
        <v>3426.24484664836</v>
      </c>
      <c r="K43" s="15" t="n">
        <f aca="false">J43*(1+IF(K$3&lt;=$O$2,$D43,$D43-($D43-$I$6)*MIN(K$3-$O$2,$Q$2)/$Q$2))</f>
        <v>3567.43044665565</v>
      </c>
      <c r="L43" s="15" t="n">
        <f aca="false">K43*(1+IF(L$3&lt;=$O$2,$D43,$D43-($D43-$I$6)*MIN(L$3-$O$2,$Q$2)/$Q$2))</f>
        <v>3699.08550624771</v>
      </c>
      <c r="M43" s="15" t="n">
        <f aca="false">L43*(1+IF(M$3&lt;=$O$2,$D43,$D43-($D43-$I$6)*MIN(M$3-$O$2,$Q$2)/$Q$2))</f>
        <v>3819.68444321078</v>
      </c>
      <c r="N43" s="15" t="n">
        <f aca="false">M43*(1+IF(N$3&lt;=$O$2,$D43,$D43-($D43-$I$6)*MIN(N$3-$O$2,$Q$2)/$Q$2))</f>
        <v>3927.78151295364</v>
      </c>
      <c r="O43" s="15" t="n">
        <f aca="false">SUMPRODUCT(E43:N43,1/(1+$F$6)^$E$3:$N$3)*$E$2</f>
        <v>4067.53004424192</v>
      </c>
      <c r="P43" s="15" t="n">
        <f aca="false">N43*$E$2*(1+$I$6)/($F$6-$I$6)/(1+$F$6)^$N$3</f>
        <v>4978.66995479295</v>
      </c>
      <c r="Q43" s="15" t="n">
        <f aca="false">O43+P43</f>
        <v>9046.19999903487</v>
      </c>
      <c r="R43" s="15" t="n">
        <f aca="false">Q43-$G$2+$I$2</f>
        <v>7669.99999903487</v>
      </c>
      <c r="S43" s="42" t="n">
        <f aca="false">R43/$K$2</f>
        <v>204.478805626096</v>
      </c>
      <c r="T43" s="43" t="n">
        <f aca="false">S43-$M$2</f>
        <v>-2.57297756434127E-008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0.0498118265168159</v>
      </c>
      <c r="C44" s="25" t="n">
        <f aca="false">IF(T43&gt;0,D43,C43)</f>
        <v>0.0498118265386438</v>
      </c>
      <c r="D44" s="41" t="n">
        <f aca="false">(B44+C44)/2</f>
        <v>0.0498118265277299</v>
      </c>
      <c r="E44" s="15" t="n">
        <f aca="false">$C$2*(1+IF(E$3&lt;=$O$2,$D44,$D44-($D44-$I$6)*MIN(E$3-$O$2,$Q$2)/$Q$2))</f>
        <v>2698.01639417627</v>
      </c>
      <c r="F44" s="15" t="n">
        <f aca="false">E44*(1+IF(F$3&lt;=$O$2,$D44,$D44-($D44-$I$6)*MIN(F$3-$O$2,$Q$2)/$Q$2))</f>
        <v>2832.40951877195</v>
      </c>
      <c r="G44" s="15" t="n">
        <f aca="false">F44*(1+IF(G$3&lt;=$O$2,$D44,$D44-($D44-$I$6)*MIN(G$3-$O$2,$Q$2)/$Q$2))</f>
        <v>2973.4970103765</v>
      </c>
      <c r="H44" s="15" t="n">
        <f aca="false">G44*(1+IF(H$3&lt;=$O$2,$D44,$D44-($D44-$I$6)*MIN(H$3-$O$2,$Q$2)/$Q$2))</f>
        <v>3121.6123276381</v>
      </c>
      <c r="I44" s="15" t="n">
        <f aca="false">H44*(1+IF(I$3&lt;=$O$2,$D44,$D44-($D44-$I$6)*MIN(I$3-$O$2,$Q$2)/$Q$2))</f>
        <v>3277.10553938923</v>
      </c>
      <c r="J44" s="15" t="n">
        <f aca="false">I44*(1+IF(J$3&lt;=$O$2,$D44,$D44-($D44-$I$6)*MIN(J$3-$O$2,$Q$2)/$Q$2))</f>
        <v>3426.24484685507</v>
      </c>
      <c r="K44" s="15" t="n">
        <f aca="false">J44*(1+IF(K$3&lt;=$O$2,$D44,$D44-($D44-$I$6)*MIN(K$3-$O$2,$Q$2)/$Q$2))</f>
        <v>3567.43044689332</v>
      </c>
      <c r="L44" s="15" t="n">
        <f aca="false">K44*(1+IF(L$3&lt;=$O$2,$D44,$D44-($D44-$I$6)*MIN(L$3-$O$2,$Q$2)/$Q$2))</f>
        <v>3699.08550650972</v>
      </c>
      <c r="M44" s="15" t="n">
        <f aca="false">L44*(1+IF(M$3&lt;=$O$2,$D44,$D44-($D44-$I$6)*MIN(M$3-$O$2,$Q$2)/$Q$2))</f>
        <v>3819.6844434894</v>
      </c>
      <c r="N44" s="15" t="n">
        <f aca="false">M44*(1+IF(N$3&lt;=$O$2,$D44,$D44-($D44-$I$6)*MIN(N$3-$O$2,$Q$2)/$Q$2))</f>
        <v>3927.78151324015</v>
      </c>
      <c r="O44" s="15" t="n">
        <f aca="false">SUMPRODUCT(E44:N44,1/(1+$F$6)^$E$3:$N$3)*$E$2</f>
        <v>4067.53004443365</v>
      </c>
      <c r="P44" s="15" t="n">
        <f aca="false">N44*$E$2*(1+$I$6)/($F$6-$I$6)/(1+$F$6)^$N$3</f>
        <v>4978.66995515612</v>
      </c>
      <c r="Q44" s="15" t="n">
        <f aca="false">O44+P44</f>
        <v>9046.19999958977</v>
      </c>
      <c r="R44" s="15" t="n">
        <f aca="false">Q44-$G$2+$I$2</f>
        <v>7669.99999958977</v>
      </c>
      <c r="S44" s="42" t="n">
        <f aca="false">R44/$K$2</f>
        <v>204.47880564089</v>
      </c>
      <c r="T44" s="43" t="n">
        <f aca="false">S44-$M$2</f>
        <v>-1.09365032585629E-008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0.0498118265277299</v>
      </c>
      <c r="C45" s="25" t="n">
        <f aca="false">IF(T44&gt;0,D44,C44)</f>
        <v>0.0498118265386438</v>
      </c>
      <c r="D45" s="41" t="n">
        <f aca="false">(B45+C45)/2</f>
        <v>0.0498118265331868</v>
      </c>
      <c r="E45" s="15" t="n">
        <f aca="false">$C$2*(1+IF(E$3&lt;=$O$2,$D45,$D45-($D45-$I$6)*MIN(E$3-$O$2,$Q$2)/$Q$2))</f>
        <v>2698.01639419029</v>
      </c>
      <c r="F45" s="15" t="n">
        <f aca="false">E45*(1+IF(F$3&lt;=$O$2,$D45,$D45-($D45-$I$6)*MIN(F$3-$O$2,$Q$2)/$Q$2))</f>
        <v>2832.40951880139</v>
      </c>
      <c r="G45" s="15" t="n">
        <f aca="false">F45*(1+IF(G$3&lt;=$O$2,$D45,$D45-($D45-$I$6)*MIN(G$3-$O$2,$Q$2)/$Q$2))</f>
        <v>2973.49701042287</v>
      </c>
      <c r="H45" s="15" t="n">
        <f aca="false">G45*(1+IF(H$3&lt;=$O$2,$D45,$D45-($D45-$I$6)*MIN(H$3-$O$2,$Q$2)/$Q$2))</f>
        <v>3121.61232770301</v>
      </c>
      <c r="I45" s="15" t="n">
        <f aca="false">H45*(1+IF(I$3&lt;=$O$2,$D45,$D45-($D45-$I$6)*MIN(I$3-$O$2,$Q$2)/$Q$2))</f>
        <v>3277.10553947441</v>
      </c>
      <c r="J45" s="15" t="n">
        <f aca="false">I45*(1+IF(J$3&lt;=$O$2,$D45,$D45-($D45-$I$6)*MIN(J$3-$O$2,$Q$2)/$Q$2))</f>
        <v>3426.24484695843</v>
      </c>
      <c r="K45" s="15" t="n">
        <f aca="false">J45*(1+IF(K$3&lt;=$O$2,$D45,$D45-($D45-$I$6)*MIN(K$3-$O$2,$Q$2)/$Q$2))</f>
        <v>3567.43044701215</v>
      </c>
      <c r="L45" s="15" t="n">
        <f aca="false">K45*(1+IF(L$3&lt;=$O$2,$D45,$D45-($D45-$I$6)*MIN(L$3-$O$2,$Q$2)/$Q$2))</f>
        <v>3699.08550664073</v>
      </c>
      <c r="M45" s="15" t="n">
        <f aca="false">L45*(1+IF(M$3&lt;=$O$2,$D45,$D45-($D45-$I$6)*MIN(M$3-$O$2,$Q$2)/$Q$2))</f>
        <v>3819.68444362871</v>
      </c>
      <c r="N45" s="15" t="n">
        <f aca="false">M45*(1+IF(N$3&lt;=$O$2,$D45,$D45-($D45-$I$6)*MIN(N$3-$O$2,$Q$2)/$Q$2))</f>
        <v>3927.78151338341</v>
      </c>
      <c r="O45" s="15" t="n">
        <f aca="false">SUMPRODUCT(E45:N45,1/(1+$F$6)^$E$3:$N$3)*$E$2</f>
        <v>4067.53004452952</v>
      </c>
      <c r="P45" s="15" t="n">
        <f aca="false">N45*$E$2*(1+$I$6)/($F$6-$I$6)/(1+$F$6)^$N$3</f>
        <v>4978.6699553377</v>
      </c>
      <c r="Q45" s="15" t="n">
        <f aca="false">O45+P45</f>
        <v>9046.19999986722</v>
      </c>
      <c r="R45" s="15" t="n">
        <f aca="false">Q45-$G$2+$I$2</f>
        <v>7669.99999986722</v>
      </c>
      <c r="S45" s="42" t="n">
        <f aca="false">R45/$K$2</f>
        <v>204.478805648286</v>
      </c>
      <c r="T45" s="43" t="n">
        <f aca="false">S45-$M$2</f>
        <v>-3.53989548784739E-009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0.0498118265331868</v>
      </c>
      <c r="C46" s="25" t="n">
        <f aca="false">IF(T45&gt;0,D45,C45)</f>
        <v>0.0498118265386438</v>
      </c>
      <c r="D46" s="41" t="n">
        <f aca="false">(B46+C46)/2</f>
        <v>0.0498118265359153</v>
      </c>
      <c r="E46" s="15" t="n">
        <f aca="false">$C$2*(1+IF(E$3&lt;=$O$2,$D46,$D46-($D46-$I$6)*MIN(E$3-$O$2,$Q$2)/$Q$2))</f>
        <v>2698.0163941973</v>
      </c>
      <c r="F46" s="15" t="n">
        <f aca="false">E46*(1+IF(F$3&lt;=$O$2,$D46,$D46-($D46-$I$6)*MIN(F$3-$O$2,$Q$2)/$Q$2))</f>
        <v>2832.40951881611</v>
      </c>
      <c r="G46" s="15" t="n">
        <f aca="false">F46*(1+IF(G$3&lt;=$O$2,$D46,$D46-($D46-$I$6)*MIN(G$3-$O$2,$Q$2)/$Q$2))</f>
        <v>2973.49701044606</v>
      </c>
      <c r="H46" s="15" t="n">
        <f aca="false">G46*(1+IF(H$3&lt;=$O$2,$D46,$D46-($D46-$I$6)*MIN(H$3-$O$2,$Q$2)/$Q$2))</f>
        <v>3121.61232773546</v>
      </c>
      <c r="I46" s="15" t="n">
        <f aca="false">H46*(1+IF(I$3&lt;=$O$2,$D46,$D46-($D46-$I$6)*MIN(I$3-$O$2,$Q$2)/$Q$2))</f>
        <v>3277.10553951699</v>
      </c>
      <c r="J46" s="15" t="n">
        <f aca="false">I46*(1+IF(J$3&lt;=$O$2,$D46,$D46-($D46-$I$6)*MIN(J$3-$O$2,$Q$2)/$Q$2))</f>
        <v>3426.24484701011</v>
      </c>
      <c r="K46" s="15" t="n">
        <f aca="false">J46*(1+IF(K$3&lt;=$O$2,$D46,$D46-($D46-$I$6)*MIN(K$3-$O$2,$Q$2)/$Q$2))</f>
        <v>3567.43044707156</v>
      </c>
      <c r="L46" s="15" t="n">
        <f aca="false">K46*(1+IF(L$3&lt;=$O$2,$D46,$D46-($D46-$I$6)*MIN(L$3-$O$2,$Q$2)/$Q$2))</f>
        <v>3699.08550670623</v>
      </c>
      <c r="M46" s="15" t="n">
        <f aca="false">L46*(1+IF(M$3&lt;=$O$2,$D46,$D46-($D46-$I$6)*MIN(M$3-$O$2,$Q$2)/$Q$2))</f>
        <v>3819.68444369837</v>
      </c>
      <c r="N46" s="15" t="n">
        <f aca="false">M46*(1+IF(N$3&lt;=$O$2,$D46,$D46-($D46-$I$6)*MIN(N$3-$O$2,$Q$2)/$Q$2))</f>
        <v>3927.78151345503</v>
      </c>
      <c r="O46" s="15" t="n">
        <f aca="false">SUMPRODUCT(E46:N46,1/(1+$F$6)^$E$3:$N$3)*$E$2</f>
        <v>4067.53004457745</v>
      </c>
      <c r="P46" s="15" t="n">
        <f aca="false">N46*$E$2*(1+$I$6)/($F$6-$I$6)/(1+$F$6)^$N$3</f>
        <v>4978.66995542849</v>
      </c>
      <c r="Q46" s="15" t="n">
        <f aca="false">O46+P46</f>
        <v>9046.20000000594</v>
      </c>
      <c r="R46" s="15" t="n">
        <f aca="false">Q46-$G$2+$I$2</f>
        <v>7670.00000000594</v>
      </c>
      <c r="S46" s="42" t="n">
        <f aca="false">R46/$K$2</f>
        <v>204.478805651985</v>
      </c>
      <c r="T46" s="43" t="n">
        <f aca="false">S46-$M$2</f>
        <v>1.58451030074502E-010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0.0498118265331868</v>
      </c>
      <c r="C47" s="25" t="n">
        <f aca="false">IF(T46&gt;0,D46,C46)</f>
        <v>0.0498118265359153</v>
      </c>
      <c r="D47" s="41" t="n">
        <f aca="false">(B47+C47)/2</f>
        <v>0.0498118265345511</v>
      </c>
      <c r="E47" s="15" t="n">
        <f aca="false">$C$2*(1+IF(E$3&lt;=$O$2,$D47,$D47-($D47-$I$6)*MIN(E$3-$O$2,$Q$2)/$Q$2))</f>
        <v>2698.0163941938</v>
      </c>
      <c r="F47" s="15" t="n">
        <f aca="false">E47*(1+IF(F$3&lt;=$O$2,$D47,$D47-($D47-$I$6)*MIN(F$3-$O$2,$Q$2)/$Q$2))</f>
        <v>2832.40951880875</v>
      </c>
      <c r="G47" s="15" t="n">
        <f aca="false">F47*(1+IF(G$3&lt;=$O$2,$D47,$D47-($D47-$I$6)*MIN(G$3-$O$2,$Q$2)/$Q$2))</f>
        <v>2973.49701043447</v>
      </c>
      <c r="H47" s="15" t="n">
        <f aca="false">G47*(1+IF(H$3&lt;=$O$2,$D47,$D47-($D47-$I$6)*MIN(H$3-$O$2,$Q$2)/$Q$2))</f>
        <v>3121.61232771923</v>
      </c>
      <c r="I47" s="15" t="n">
        <f aca="false">H47*(1+IF(I$3&lt;=$O$2,$D47,$D47-($D47-$I$6)*MIN(I$3-$O$2,$Q$2)/$Q$2))</f>
        <v>3277.1055394957</v>
      </c>
      <c r="J47" s="15" t="n">
        <f aca="false">I47*(1+IF(J$3&lt;=$O$2,$D47,$D47-($D47-$I$6)*MIN(J$3-$O$2,$Q$2)/$Q$2))</f>
        <v>3426.24484698427</v>
      </c>
      <c r="K47" s="15" t="n">
        <f aca="false">J47*(1+IF(K$3&lt;=$O$2,$D47,$D47-($D47-$I$6)*MIN(K$3-$O$2,$Q$2)/$Q$2))</f>
        <v>3567.43044704186</v>
      </c>
      <c r="L47" s="15" t="n">
        <f aca="false">K47*(1+IF(L$3&lt;=$O$2,$D47,$D47-($D47-$I$6)*MIN(L$3-$O$2,$Q$2)/$Q$2))</f>
        <v>3699.08550667348</v>
      </c>
      <c r="M47" s="15" t="n">
        <f aca="false">L47*(1+IF(M$3&lt;=$O$2,$D47,$D47-($D47-$I$6)*MIN(M$3-$O$2,$Q$2)/$Q$2))</f>
        <v>3819.68444366354</v>
      </c>
      <c r="N47" s="15" t="n">
        <f aca="false">M47*(1+IF(N$3&lt;=$O$2,$D47,$D47-($D47-$I$6)*MIN(N$3-$O$2,$Q$2)/$Q$2))</f>
        <v>3927.78151341922</v>
      </c>
      <c r="O47" s="15" t="n">
        <f aca="false">SUMPRODUCT(E47:N47,1/(1+$F$6)^$E$3:$N$3)*$E$2</f>
        <v>4067.53004455348</v>
      </c>
      <c r="P47" s="15" t="n">
        <f aca="false">N47*$E$2*(1+$I$6)/($F$6-$I$6)/(1+$F$6)^$N$3</f>
        <v>4978.6699553831</v>
      </c>
      <c r="Q47" s="15" t="n">
        <f aca="false">O47+P47</f>
        <v>9046.19999993658</v>
      </c>
      <c r="R47" s="15" t="n">
        <f aca="false">Q47-$G$2+$I$2</f>
        <v>7669.99999993658</v>
      </c>
      <c r="S47" s="42" t="n">
        <f aca="false">R47/$K$2</f>
        <v>204.478805650135</v>
      </c>
      <c r="T47" s="43" t="n">
        <f aca="false">S47-$M$2</f>
        <v>-1.69063696375815E-009</v>
      </c>
    </row>
    <row r="49" customFormat="false" ht="15" hidden="false" customHeight="false" outlineLevel="0" collapsed="false">
      <c r="A49" s="38" t="s">
        <v>182</v>
      </c>
      <c r="E49" s="5" t="s">
        <v>11</v>
      </c>
      <c r="F49" s="12" t="n">
        <f aca="false">Sensitivity!$B$10</f>
        <v>0.084183337553844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162</v>
      </c>
      <c r="B50" s="28" t="s">
        <v>163</v>
      </c>
      <c r="C50" s="28" t="s">
        <v>164</v>
      </c>
      <c r="D50" s="28" t="s">
        <v>165</v>
      </c>
      <c r="E50" s="28" t="s">
        <v>166</v>
      </c>
      <c r="F50" s="28" t="s">
        <v>167</v>
      </c>
      <c r="G50" s="28" t="s">
        <v>168</v>
      </c>
      <c r="H50" s="28" t="s">
        <v>169</v>
      </c>
      <c r="I50" s="28" t="s">
        <v>170</v>
      </c>
      <c r="J50" s="28" t="s">
        <v>171</v>
      </c>
      <c r="K50" s="28" t="s">
        <v>172</v>
      </c>
      <c r="L50" s="28" t="s">
        <v>173</v>
      </c>
      <c r="M50" s="28" t="s">
        <v>174</v>
      </c>
      <c r="N50" s="28" t="s">
        <v>175</v>
      </c>
      <c r="O50" s="28" t="s">
        <v>176</v>
      </c>
      <c r="P50" s="28" t="s">
        <v>177</v>
      </c>
      <c r="Q50" s="28" t="s">
        <v>178</v>
      </c>
      <c r="R50" s="28" t="s">
        <v>179</v>
      </c>
      <c r="S50" s="28" t="s">
        <v>180</v>
      </c>
      <c r="T50" s="28" t="s">
        <v>181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3212.5</v>
      </c>
      <c r="F51" s="15" t="n">
        <f aca="false">E51*(1+IF(F$3&lt;=$O$2,$D51,$D51-($D51-$I$49)*MIN(F$3-$O$2,$Q$2)/$Q$2))</f>
        <v>4015.625</v>
      </c>
      <c r="G51" s="15" t="n">
        <f aca="false">F51*(1+IF(G$3&lt;=$O$2,$D51,$D51-($D51-$I$49)*MIN(G$3-$O$2,$Q$2)/$Q$2))</f>
        <v>5019.53125</v>
      </c>
      <c r="H51" s="15" t="n">
        <f aca="false">G51*(1+IF(H$3&lt;=$O$2,$D51,$D51-($D51-$I$49)*MIN(H$3-$O$2,$Q$2)/$Q$2))</f>
        <v>6274.4140625</v>
      </c>
      <c r="I51" s="15" t="n">
        <f aca="false">H51*(1+IF(I$3&lt;=$O$2,$D51,$D51-($D51-$I$49)*MIN(I$3-$O$2,$Q$2)/$Q$2))</f>
        <v>7843.017578125</v>
      </c>
      <c r="J51" s="15" t="n">
        <f aca="false">I51*(1+IF(J$3&lt;=$O$2,$D51,$D51-($D51-$I$49)*MIN(J$3-$O$2,$Q$2)/$Q$2))</f>
        <v>9440.32653808594</v>
      </c>
      <c r="K51" s="15" t="n">
        <f aca="false">J51*(1+IF(K$3&lt;=$O$2,$D51,$D51-($D51-$I$49)*MIN(K$3-$O$2,$Q$2)/$Q$2))</f>
        <v>10925.4787090576</v>
      </c>
      <c r="L51" s="15" t="n">
        <f aca="false">K51*(1+IF(L$3&lt;=$O$2,$D51,$D51-($D51-$I$49)*MIN(L$3-$O$2,$Q$2)/$Q$2))</f>
        <v>12137.9883361888</v>
      </c>
      <c r="M51" s="15" t="n">
        <f aca="false">L51*(1+IF(M$3&lt;=$O$2,$D51,$D51-($D51-$I$49)*MIN(M$3-$O$2,$Q$2)/$Q$2))</f>
        <v>12922.5879022401</v>
      </c>
      <c r="N51" s="15" t="n">
        <f aca="false">M51*(1+IF(N$3&lt;=$O$2,$D51,$D51-($D51-$I$49)*MIN(N$3-$O$2,$Q$2)/$Q$2))</f>
        <v>13159.0712608511</v>
      </c>
      <c r="O51" s="15" t="n">
        <f aca="false">SUMPRODUCT(E51:N51,1/(1+$F$49)^$E$3:$N$3)*$E$2</f>
        <v>10103.7212337139</v>
      </c>
      <c r="P51" s="15" t="n">
        <f aca="false">N51*$E$2*(1+$I$49)/($F$49-$I$49)/(1+$F$49)^$N$3</f>
        <v>18105.9304196477</v>
      </c>
      <c r="Q51" s="15" t="n">
        <f aca="false">O51+P51</f>
        <v>28209.6516533616</v>
      </c>
      <c r="R51" s="15" t="n">
        <f aca="false">Q51-$G$2+$I$2</f>
        <v>26833.4516533616</v>
      </c>
      <c r="S51" s="42" t="n">
        <f aca="false">R51/$K$2</f>
        <v>715.367945970717</v>
      </c>
      <c r="T51" s="43" t="n">
        <f aca="false">S51-$M$2</f>
        <v>510.889140318891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2248.75</v>
      </c>
      <c r="F52" s="15" t="n">
        <f aca="false">E52*(1+IF(F$3&lt;=$O$2,$D52,$D52-($D52-$I$49)*MIN(F$3-$O$2,$Q$2)/$Q$2))</f>
        <v>1967.65625</v>
      </c>
      <c r="G52" s="15" t="n">
        <f aca="false">F52*(1+IF(G$3&lt;=$O$2,$D52,$D52-($D52-$I$49)*MIN(G$3-$O$2,$Q$2)/$Q$2))</f>
        <v>1721.69921875</v>
      </c>
      <c r="H52" s="15" t="n">
        <f aca="false">G52*(1+IF(H$3&lt;=$O$2,$D52,$D52-($D52-$I$49)*MIN(H$3-$O$2,$Q$2)/$Q$2))</f>
        <v>1506.48681640625</v>
      </c>
      <c r="I52" s="15" t="n">
        <f aca="false">H52*(1+IF(I$3&lt;=$O$2,$D52,$D52-($D52-$I$49)*MIN(I$3-$O$2,$Q$2)/$Q$2))</f>
        <v>1318.17596435547</v>
      </c>
      <c r="J52" s="15" t="n">
        <f aca="false">I52*(1+IF(J$3&lt;=$O$2,$D52,$D52-($D52-$I$49)*MIN(J$3-$O$2,$Q$2)/$Q$2))</f>
        <v>1191.18289194946</v>
      </c>
      <c r="K52" s="15" t="n">
        <f aca="false">J52*(1+IF(K$3&lt;=$O$2,$D52,$D52-($D52-$I$49)*MIN(K$3-$O$2,$Q$2)/$Q$2))</f>
        <v>1110.56363382232</v>
      </c>
      <c r="L52" s="15" t="n">
        <f aca="false">K52*(1+IF(L$3&lt;=$O$2,$D52,$D52-($D52-$I$49)*MIN(L$3-$O$2,$Q$2)/$Q$2))</f>
        <v>1067.22944083058</v>
      </c>
      <c r="M52" s="15" t="n">
        <f aca="false">L52*(1+IF(M$3&lt;=$O$2,$D52,$D52-($D52-$I$49)*MIN(M$3-$O$2,$Q$2)/$Q$2))</f>
        <v>1056.17294382357</v>
      </c>
      <c r="N52" s="15" t="n">
        <f aca="false">M52*(1+IF(N$3&lt;=$O$2,$D52,$D52-($D52-$I$49)*MIN(N$3-$O$2,$Q$2)/$Q$2))</f>
        <v>1075.50090869554</v>
      </c>
      <c r="O52" s="15" t="n">
        <f aca="false">SUMPRODUCT(E52:N52,1/(1+$F$49)^$E$3:$N$3)*$E$2</f>
        <v>1994.08493871371</v>
      </c>
      <c r="P52" s="15" t="n">
        <f aca="false">N52*$E$2*(1+$I$49)/($F$49-$I$49)/(1+$F$49)^$N$3</f>
        <v>1479.81147248912</v>
      </c>
      <c r="Q52" s="15" t="n">
        <f aca="false">O52+P52</f>
        <v>3473.89641120283</v>
      </c>
      <c r="R52" s="15" t="n">
        <f aca="false">Q52-$G$2+$I$2</f>
        <v>2097.69641120283</v>
      </c>
      <c r="S52" s="42" t="n">
        <f aca="false">R52/$K$2</f>
        <v>55.9236579899449</v>
      </c>
      <c r="T52" s="43" t="n">
        <f aca="false">S52-$M$2</f>
        <v>-148.555147661881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2730.625</v>
      </c>
      <c r="F53" s="15" t="n">
        <f aca="false">E53*(1+IF(F$3&lt;=$O$2,$D53,$D53-($D53-$I$49)*MIN(F$3-$O$2,$Q$2)/$Q$2))</f>
        <v>2901.2890625</v>
      </c>
      <c r="G53" s="15" t="n">
        <f aca="false">F53*(1+IF(G$3&lt;=$O$2,$D53,$D53-($D53-$I$49)*MIN(G$3-$O$2,$Q$2)/$Q$2))</f>
        <v>3082.61962890625</v>
      </c>
      <c r="H53" s="15" t="n">
        <f aca="false">G53*(1+IF(H$3&lt;=$O$2,$D53,$D53-($D53-$I$49)*MIN(H$3-$O$2,$Q$2)/$Q$2))</f>
        <v>3275.28335571289</v>
      </c>
      <c r="I53" s="15" t="n">
        <f aca="false">H53*(1+IF(I$3&lt;=$O$2,$D53,$D53-($D53-$I$49)*MIN(I$3-$O$2,$Q$2)/$Q$2))</f>
        <v>3479.98856544495</v>
      </c>
      <c r="J53" s="15" t="n">
        <f aca="false">I53*(1+IF(J$3&lt;=$O$2,$D53,$D53-($D53-$I$49)*MIN(J$3-$O$2,$Q$2)/$Q$2))</f>
        <v>3666.72475186672</v>
      </c>
      <c r="K53" s="15" t="n">
        <f aca="false">J53*(1+IF(K$3&lt;=$O$2,$D53,$D53-($D53-$I$49)*MIN(K$3-$O$2,$Q$2)/$Q$2))</f>
        <v>3831.06735524539</v>
      </c>
      <c r="L53" s="15" t="n">
        <f aca="false">K53*(1+IF(L$3&lt;=$O$2,$D53,$D53-($D53-$I$49)*MIN(L$3-$O$2,$Q$2)/$Q$2))</f>
        <v>3968.90915868712</v>
      </c>
      <c r="M53" s="15" t="n">
        <f aca="false">L53*(1+IF(M$3&lt;=$O$2,$D53,$D53-($D53-$I$49)*MIN(M$3-$O$2,$Q$2)/$Q$2))</f>
        <v>4076.62535325389</v>
      </c>
      <c r="N53" s="15" t="n">
        <f aca="false">M53*(1+IF(N$3&lt;=$O$2,$D53,$D53-($D53-$I$49)*MIN(N$3-$O$2,$Q$2)/$Q$2))</f>
        <v>4151.22759721843</v>
      </c>
      <c r="O53" s="15" t="n">
        <f aca="false">SUMPRODUCT(E53:N53,1/(1+$F$49)^$E$3:$N$3)*$E$2</f>
        <v>4480.98770412897</v>
      </c>
      <c r="P53" s="15" t="n">
        <f aca="false">N53*$E$2*(1+$I$49)/($F$49-$I$49)/(1+$F$49)^$N$3</f>
        <v>5711.7889660624</v>
      </c>
      <c r="Q53" s="15" t="n">
        <f aca="false">O53+P53</f>
        <v>10192.7766701914</v>
      </c>
      <c r="R53" s="15" t="n">
        <f aca="false">Q53-$G$2+$I$2</f>
        <v>8816.57667019137</v>
      </c>
      <c r="S53" s="42" t="n">
        <f aca="false">R53/$K$2</f>
        <v>235.046032263166</v>
      </c>
      <c r="T53" s="43" t="n">
        <f aca="false">S53-$M$2</f>
        <v>30.5672266113403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2489.6875</v>
      </c>
      <c r="F54" s="15" t="n">
        <f aca="false">E54*(1+IF(F$3&lt;=$O$2,$D54,$D54-($D54-$I$49)*MIN(F$3-$O$2,$Q$2)/$Q$2))</f>
        <v>2411.884765625</v>
      </c>
      <c r="G54" s="15" t="n">
        <f aca="false">F54*(1+IF(G$3&lt;=$O$2,$D54,$D54-($D54-$I$49)*MIN(G$3-$O$2,$Q$2)/$Q$2))</f>
        <v>2336.51336669922</v>
      </c>
      <c r="H54" s="15" t="n">
        <f aca="false">G54*(1+IF(H$3&lt;=$O$2,$D54,$D54-($D54-$I$49)*MIN(H$3-$O$2,$Q$2)/$Q$2))</f>
        <v>2263.49732398987</v>
      </c>
      <c r="I54" s="15" t="n">
        <f aca="false">H54*(1+IF(I$3&lt;=$O$2,$D54,$D54-($D54-$I$49)*MIN(I$3-$O$2,$Q$2)/$Q$2))</f>
        <v>2192.76303261519</v>
      </c>
      <c r="J54" s="15" t="n">
        <f aca="false">I54*(1+IF(J$3&lt;=$O$2,$D54,$D54-($D54-$I$49)*MIN(J$3-$O$2,$Q$2)/$Q$2))</f>
        <v>2145.96946949918</v>
      </c>
      <c r="K54" s="15" t="n">
        <f aca="false">J54*(1+IF(K$3&lt;=$O$2,$D54,$D54-($D54-$I$49)*MIN(K$3-$O$2,$Q$2)/$Q$2))</f>
        <v>2121.4410384628</v>
      </c>
      <c r="L54" s="15" t="n">
        <f aca="false">K54*(1+IF(L$3&lt;=$O$2,$D54,$D54-($D54-$I$49)*MIN(L$3-$O$2,$Q$2)/$Q$2))</f>
        <v>2118.21644808434</v>
      </c>
      <c r="M54" s="15" t="n">
        <f aca="false">L54*(1+IF(M$3&lt;=$O$2,$D54,$D54-($D54-$I$49)*MIN(M$3-$O$2,$Q$2)/$Q$2))</f>
        <v>2135.98828408377</v>
      </c>
      <c r="N54" s="15" t="n">
        <f aca="false">M54*(1+IF(N$3&lt;=$O$2,$D54,$D54-($D54-$I$49)*MIN(N$3-$O$2,$Q$2)/$Q$2))</f>
        <v>2175.0768696825</v>
      </c>
      <c r="O54" s="15" t="n">
        <f aca="false">SUMPRODUCT(E54:N54,1/(1+$F$49)^$E$3:$N$3)*$E$2</f>
        <v>2980.63277909413</v>
      </c>
      <c r="P54" s="15" t="n">
        <f aca="false">N54*$E$2*(1+$I$49)/($F$49-$I$49)/(1+$F$49)^$N$3</f>
        <v>2992.74847587605</v>
      </c>
      <c r="Q54" s="15" t="n">
        <f aca="false">O54+P54</f>
        <v>5973.38125497018</v>
      </c>
      <c r="R54" s="15" t="n">
        <f aca="false">Q54-$G$2+$I$2</f>
        <v>4597.18125497018</v>
      </c>
      <c r="S54" s="42" t="n">
        <f aca="false">R54/$K$2</f>
        <v>122.55881778113</v>
      </c>
      <c r="T54" s="43" t="n">
        <f aca="false">S54-$M$2</f>
        <v>-81.9199878706964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2610.15625</v>
      </c>
      <c r="F55" s="15" t="n">
        <f aca="false">E55*(1+IF(F$3&lt;=$O$2,$D55,$D55-($D55-$I$49)*MIN(F$3-$O$2,$Q$2)/$Q$2))</f>
        <v>2650.93994140625</v>
      </c>
      <c r="G55" s="15" t="n">
        <f aca="false">F55*(1+IF(G$3&lt;=$O$2,$D55,$D55-($D55-$I$49)*MIN(G$3-$O$2,$Q$2)/$Q$2))</f>
        <v>2692.36087799072</v>
      </c>
      <c r="H55" s="15" t="n">
        <f aca="false">G55*(1+IF(H$3&lt;=$O$2,$D55,$D55-($D55-$I$49)*MIN(H$3-$O$2,$Q$2)/$Q$2))</f>
        <v>2734.42901670933</v>
      </c>
      <c r="I55" s="15" t="n">
        <f aca="false">H55*(1+IF(I$3&lt;=$O$2,$D55,$D55-($D55-$I$49)*MIN(I$3-$O$2,$Q$2)/$Q$2))</f>
        <v>2777.15447009541</v>
      </c>
      <c r="J55" s="15" t="n">
        <f aca="false">I55*(1+IF(J$3&lt;=$O$2,$D55,$D55-($D55-$I$49)*MIN(J$3-$O$2,$Q$2)/$Q$2))</f>
        <v>2822.03328633215</v>
      </c>
      <c r="K55" s="15" t="n">
        <f aca="false">J55*(1+IF(K$3&lt;=$O$2,$D55,$D55-($D55-$I$49)*MIN(K$3-$O$2,$Q$2)/$Q$2))</f>
        <v>2869.14713204747</v>
      </c>
      <c r="L55" s="15" t="n">
        <f aca="false">K55*(1+IF(L$3&lt;=$O$2,$D55,$D55-($D55-$I$49)*MIN(L$3-$O$2,$Q$2)/$Q$2))</f>
        <v>2918.58253713265</v>
      </c>
      <c r="M55" s="15" t="n">
        <f aca="false">L55*(1+IF(M$3&lt;=$O$2,$D55,$D55-($D55-$I$49)*MIN(M$3-$O$2,$Q$2)/$Q$2))</f>
        <v>2970.43115590481</v>
      </c>
      <c r="N55" s="15" t="n">
        <f aca="false">M55*(1+IF(N$3&lt;=$O$2,$D55,$D55-($D55-$I$49)*MIN(N$3-$O$2,$Q$2)/$Q$2))</f>
        <v>3024.79004605787</v>
      </c>
      <c r="O55" s="15" t="n">
        <f aca="false">SUMPRODUCT(E55:N55,1/(1+$F$49)^$E$3:$N$3)*$E$2</f>
        <v>3653.17001592117</v>
      </c>
      <c r="P55" s="15" t="n">
        <f aca="false">N55*$E$2*(1+$I$49)/($F$49-$I$49)/(1+$F$49)^$N$3</f>
        <v>4161.8923571681</v>
      </c>
      <c r="Q55" s="15" t="n">
        <f aca="false">O55+P55</f>
        <v>7815.06237308928</v>
      </c>
      <c r="R55" s="15" t="n">
        <f aca="false">Q55-$G$2+$I$2</f>
        <v>6438.86237308928</v>
      </c>
      <c r="S55" s="42" t="n">
        <f aca="false">R55/$K$2</f>
        <v>171.657221356686</v>
      </c>
      <c r="T55" s="43" t="n">
        <f aca="false">S55-$M$2</f>
        <v>-32.8215842951404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0.015625</v>
      </c>
      <c r="C56" s="25" t="n">
        <f aca="false">IF(T55&gt;0,D55,C55)</f>
        <v>0.0625</v>
      </c>
      <c r="D56" s="41" t="n">
        <f aca="false">(B56+C56)/2</f>
        <v>0.0390625</v>
      </c>
      <c r="E56" s="15" t="n">
        <f aca="false">$C$2*(1+IF(E$3&lt;=$O$2,$D56,$D56-($D56-$I$49)*MIN(E$3-$O$2,$Q$2)/$Q$2))</f>
        <v>2670.390625</v>
      </c>
      <c r="F56" s="15" t="n">
        <f aca="false">E56*(1+IF(F$3&lt;=$O$2,$D56,$D56-($D56-$I$49)*MIN(F$3-$O$2,$Q$2)/$Q$2))</f>
        <v>2774.70275878906</v>
      </c>
      <c r="G56" s="15" t="n">
        <f aca="false">F56*(1+IF(G$3&lt;=$O$2,$D56,$D56-($D56-$I$49)*MIN(G$3-$O$2,$Q$2)/$Q$2))</f>
        <v>2883.08958530426</v>
      </c>
      <c r="H56" s="15" t="n">
        <f aca="false">G56*(1+IF(H$3&lt;=$O$2,$D56,$D56-($D56-$I$49)*MIN(H$3-$O$2,$Q$2)/$Q$2))</f>
        <v>2995.71027223021</v>
      </c>
      <c r="I56" s="15" t="n">
        <f aca="false">H56*(1+IF(I$3&lt;=$O$2,$D56,$D56-($D56-$I$49)*MIN(I$3-$O$2,$Q$2)/$Q$2))</f>
        <v>3112.7302047392</v>
      </c>
      <c r="J56" s="15" t="n">
        <f aca="false">I56*(1+IF(J$3&lt;=$O$2,$D56,$D56-($D56-$I$49)*MIN(J$3-$O$2,$Q$2)/$Q$2))</f>
        <v>3221.39561618665</v>
      </c>
      <c r="K56" s="15" t="n">
        <f aca="false">J56*(1+IF(K$3&lt;=$O$2,$D56,$D56-($D56-$I$49)*MIN(K$3-$O$2,$Q$2)/$Q$2))</f>
        <v>3320.47769185151</v>
      </c>
      <c r="L56" s="15" t="n">
        <f aca="false">K56*(1+IF(L$3&lt;=$O$2,$D56,$D56-($D56-$I$49)*MIN(L$3-$O$2,$Q$2)/$Q$2))</f>
        <v>3408.81900084322</v>
      </c>
      <c r="M56" s="15" t="n">
        <f aca="false">L56*(1+IF(M$3&lt;=$O$2,$D56,$D56-($D56-$I$49)*MIN(M$3-$O$2,$Q$2)/$Q$2))</f>
        <v>3485.35550945965</v>
      </c>
      <c r="N56" s="15" t="n">
        <f aca="false">M56*(1+IF(N$3&lt;=$O$2,$D56,$D56-($D56-$I$49)*MIN(N$3-$O$2,$Q$2)/$Q$2))</f>
        <v>3549.13751528276</v>
      </c>
      <c r="O56" s="15" t="n">
        <f aca="false">SUMPRODUCT(E56:N56,1/(1+$F$49)^$E$3:$N$3)*$E$2</f>
        <v>4045.72641376846</v>
      </c>
      <c r="P56" s="15" t="n">
        <f aca="false">N56*$E$2*(1+$I$49)/($F$49-$I$49)/(1+$F$49)^$N$3</f>
        <v>4883.35655515819</v>
      </c>
      <c r="Q56" s="15" t="n">
        <f aca="false">O56+P56</f>
        <v>8929.08296892664</v>
      </c>
      <c r="R56" s="15" t="n">
        <f aca="false">Q56-$G$2+$I$2</f>
        <v>7552.88296892664</v>
      </c>
      <c r="S56" s="42" t="n">
        <f aca="false">R56/$K$2</f>
        <v>201.356517433395</v>
      </c>
      <c r="T56" s="43" t="n">
        <f aca="false">S56-$M$2</f>
        <v>-3.12228821843118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0.0390625</v>
      </c>
      <c r="C57" s="25" t="n">
        <f aca="false">IF(T56&gt;0,D56,C56)</f>
        <v>0.0625</v>
      </c>
      <c r="D57" s="41" t="n">
        <f aca="false">(B57+C57)/2</f>
        <v>0.05078125</v>
      </c>
      <c r="E57" s="15" t="n">
        <f aca="false">$C$2*(1+IF(E$3&lt;=$O$2,$D57,$D57-($D57-$I$49)*MIN(E$3-$O$2,$Q$2)/$Q$2))</f>
        <v>2700.5078125</v>
      </c>
      <c r="F57" s="15" t="n">
        <f aca="false">E57*(1+IF(F$3&lt;=$O$2,$D57,$D57-($D57-$I$49)*MIN(F$3-$O$2,$Q$2)/$Q$2))</f>
        <v>2837.64297485352</v>
      </c>
      <c r="G57" s="15" t="n">
        <f aca="false">F57*(1+IF(G$3&lt;=$O$2,$D57,$D57-($D57-$I$49)*MIN(G$3-$O$2,$Q$2)/$Q$2))</f>
        <v>2981.7420321703</v>
      </c>
      <c r="H57" s="15" t="n">
        <f aca="false">G57*(1+IF(H$3&lt;=$O$2,$D57,$D57-($D57-$I$49)*MIN(H$3-$O$2,$Q$2)/$Q$2))</f>
        <v>3133.15861974144</v>
      </c>
      <c r="I57" s="15" t="n">
        <f aca="false">H57*(1+IF(I$3&lt;=$O$2,$D57,$D57-($D57-$I$49)*MIN(I$3-$O$2,$Q$2)/$Q$2))</f>
        <v>3292.26433090019</v>
      </c>
      <c r="J57" s="15" t="n">
        <f aca="false">I57*(1+IF(J$3&lt;=$O$2,$D57,$D57-($D57-$I$49)*MIN(J$3-$O$2,$Q$2)/$Q$2))</f>
        <v>3438.0622567941</v>
      </c>
      <c r="K57" s="15" t="n">
        <f aca="false">J57*(1+IF(K$3&lt;=$O$2,$D57,$D57-($D57-$I$49)*MIN(K$3-$O$2,$Q$2)/$Q$2))</f>
        <v>3567.98233190053</v>
      </c>
      <c r="L57" s="15" t="n">
        <f aca="false">K57*(1+IF(L$3&lt;=$O$2,$D57,$D57-($D57-$I$49)*MIN(L$3-$O$2,$Q$2)/$Q$2))</f>
        <v>3679.63341902153</v>
      </c>
      <c r="M57" s="15" t="n">
        <f aca="false">L57*(1+IF(M$3&lt;=$O$2,$D57,$D57-($D57-$I$49)*MIN(M$3-$O$2,$Q$2)/$Q$2))</f>
        <v>3770.87452918794</v>
      </c>
      <c r="N57" s="15" t="n">
        <f aca="false">M57*(1+IF(N$3&lt;=$O$2,$D57,$D57-($D57-$I$49)*MIN(N$3-$O$2,$Q$2)/$Q$2))</f>
        <v>3839.88153307208</v>
      </c>
      <c r="O57" s="15" t="n">
        <f aca="false">SUMPRODUCT(E57:N57,1/(1+$F$49)^$E$3:$N$3)*$E$2</f>
        <v>4257.75772082259</v>
      </c>
      <c r="P57" s="15" t="n">
        <f aca="false">N57*$E$2*(1+$I$49)/($F$49-$I$49)/(1+$F$49)^$N$3</f>
        <v>5283.39929766415</v>
      </c>
      <c r="Q57" s="15" t="n">
        <f aca="false">O57+P57</f>
        <v>9541.15701848674</v>
      </c>
      <c r="R57" s="15" t="n">
        <f aca="false">Q57-$G$2+$I$2</f>
        <v>8164.95701848674</v>
      </c>
      <c r="S57" s="42" t="n">
        <f aca="false">R57/$K$2</f>
        <v>217.674140722121</v>
      </c>
      <c r="T57" s="43" t="n">
        <f aca="false">S57-$M$2</f>
        <v>13.1953350702945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0.0390625</v>
      </c>
      <c r="C58" s="25" t="n">
        <f aca="false">IF(T57&gt;0,D57,C57)</f>
        <v>0.05078125</v>
      </c>
      <c r="D58" s="41" t="n">
        <f aca="false">(B58+C58)/2</f>
        <v>0.044921875</v>
      </c>
      <c r="E58" s="15" t="n">
        <f aca="false">$C$2*(1+IF(E$3&lt;=$O$2,$D58,$D58-($D58-$I$49)*MIN(E$3-$O$2,$Q$2)/$Q$2))</f>
        <v>2685.44921875</v>
      </c>
      <c r="F58" s="15" t="n">
        <f aca="false">E58*(1+IF(F$3&lt;=$O$2,$D58,$D58-($D58-$I$49)*MIN(F$3-$O$2,$Q$2)/$Q$2))</f>
        <v>2806.08463287354</v>
      </c>
      <c r="G58" s="15" t="n">
        <f aca="false">F58*(1+IF(G$3&lt;=$O$2,$D58,$D58-($D58-$I$49)*MIN(G$3-$O$2,$Q$2)/$Q$2))</f>
        <v>2932.1392159909</v>
      </c>
      <c r="H58" s="15" t="n">
        <f aca="false">G58*(1+IF(H$3&lt;=$O$2,$D58,$D58-($D58-$I$49)*MIN(H$3-$O$2,$Q$2)/$Q$2))</f>
        <v>3063.85640733424</v>
      </c>
      <c r="I58" s="15" t="n">
        <f aca="false">H58*(1+IF(I$3&lt;=$O$2,$D58,$D58-($D58-$I$49)*MIN(I$3-$O$2,$Q$2)/$Q$2))</f>
        <v>3201.49058188246</v>
      </c>
      <c r="J58" s="15" t="n">
        <f aca="false">I58*(1+IF(J$3&lt;=$O$2,$D58,$D58-($D58-$I$49)*MIN(J$3-$O$2,$Q$2)/$Q$2))</f>
        <v>3328.26160519855</v>
      </c>
      <c r="K58" s="15" t="n">
        <f aca="false">J58*(1+IF(K$3&lt;=$O$2,$D58,$D58-($D58-$I$49)*MIN(K$3-$O$2,$Q$2)/$Q$2))</f>
        <v>3442.33153122622</v>
      </c>
      <c r="L58" s="15" t="n">
        <f aca="false">K58*(1+IF(L$3&lt;=$O$2,$D58,$D58-($D58-$I$49)*MIN(L$3-$O$2,$Q$2)/$Q$2))</f>
        <v>3541.98272614081</v>
      </c>
      <c r="M58" s="15" t="n">
        <f aca="false">L58*(1+IF(M$3&lt;=$O$2,$D58,$D58-($D58-$I$49)*MIN(M$3-$O$2,$Q$2)/$Q$2))</f>
        <v>3625.65985430668</v>
      </c>
      <c r="N58" s="15" t="n">
        <f aca="false">M58*(1+IF(N$3&lt;=$O$2,$D58,$D58-($D58-$I$49)*MIN(N$3-$O$2,$Q$2)/$Q$2))</f>
        <v>3692.00942964049</v>
      </c>
      <c r="O58" s="15" t="n">
        <f aca="false">SUMPRODUCT(E58:N58,1/(1+$F$49)^$E$3:$N$3)*$E$2</f>
        <v>4150.37574651854</v>
      </c>
      <c r="P58" s="15" t="n">
        <f aca="false">N58*$E$2*(1+$I$49)/($F$49-$I$49)/(1+$F$49)^$N$3</f>
        <v>5079.93797712973</v>
      </c>
      <c r="Q58" s="15" t="n">
        <f aca="false">O58+P58</f>
        <v>9230.31372364827</v>
      </c>
      <c r="R58" s="15" t="n">
        <f aca="false">Q58-$G$2+$I$2</f>
        <v>7854.11372364827</v>
      </c>
      <c r="S58" s="42" t="n">
        <f aca="false">R58/$K$2</f>
        <v>209.387196045008</v>
      </c>
      <c r="T58" s="43" t="n">
        <f aca="false">S58-$M$2</f>
        <v>4.90839039318237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0.0390625</v>
      </c>
      <c r="C59" s="25" t="n">
        <f aca="false">IF(T58&gt;0,D58,C58)</f>
        <v>0.044921875</v>
      </c>
      <c r="D59" s="41" t="n">
        <f aca="false">(B59+C59)/2</f>
        <v>0.0419921875</v>
      </c>
      <c r="E59" s="15" t="n">
        <f aca="false">$C$2*(1+IF(E$3&lt;=$O$2,$D59,$D59-($D59-$I$49)*MIN(E$3-$O$2,$Q$2)/$Q$2))</f>
        <v>2677.919921875</v>
      </c>
      <c r="F59" s="15" t="n">
        <f aca="false">E59*(1+IF(F$3&lt;=$O$2,$D59,$D59-($D59-$I$49)*MIN(F$3-$O$2,$Q$2)/$Q$2))</f>
        <v>2790.37163734436</v>
      </c>
      <c r="G59" s="15" t="n">
        <f aca="false">F59*(1+IF(G$3&lt;=$O$2,$D59,$D59-($D59-$I$49)*MIN(G$3-$O$2,$Q$2)/$Q$2))</f>
        <v>2907.54544633441</v>
      </c>
      <c r="H59" s="15" t="n">
        <f aca="false">G59*(1+IF(H$3&lt;=$O$2,$D59,$D59-($D59-$I$49)*MIN(H$3-$O$2,$Q$2)/$Q$2))</f>
        <v>3029.63963988165</v>
      </c>
      <c r="I59" s="15" t="n">
        <f aca="false">H59*(1+IF(I$3&lt;=$O$2,$D59,$D59-($D59-$I$49)*MIN(I$3-$O$2,$Q$2)/$Q$2))</f>
        <v>3156.860835697</v>
      </c>
      <c r="J59" s="15" t="n">
        <f aca="false">I59*(1+IF(J$3&lt;=$O$2,$D59,$D59-($D59-$I$49)*MIN(J$3-$O$2,$Q$2)/$Q$2))</f>
        <v>3274.46574005484</v>
      </c>
      <c r="K59" s="15" t="n">
        <f aca="false">J59*(1+IF(K$3&lt;=$O$2,$D59,$D59-($D59-$I$49)*MIN(K$3-$O$2,$Q$2)/$Q$2))</f>
        <v>3380.93601686327</v>
      </c>
      <c r="L59" s="15" t="n">
        <f aca="false">K59*(1+IF(L$3&lt;=$O$2,$D59,$D59-($D59-$I$49)*MIN(L$3-$O$2,$Q$2)/$Q$2))</f>
        <v>3474.84785398668</v>
      </c>
      <c r="M59" s="15" t="n">
        <f aca="false">L59*(1+IF(M$3&lt;=$O$2,$D59,$D59-($D59-$I$49)*MIN(M$3-$O$2,$Q$2)/$Q$2))</f>
        <v>3554.90291909276</v>
      </c>
      <c r="N59" s="15" t="n">
        <f aca="false">M59*(1+IF(N$3&lt;=$O$2,$D59,$D59-($D59-$I$49)*MIN(N$3-$O$2,$Q$2)/$Q$2))</f>
        <v>3619.95764251216</v>
      </c>
      <c r="O59" s="15" t="n">
        <f aca="false">SUMPRODUCT(E59:N59,1/(1+$F$49)^$E$3:$N$3)*$E$2</f>
        <v>4097.71361270417</v>
      </c>
      <c r="P59" s="15" t="n">
        <f aca="false">N59*$E$2*(1+$I$49)/($F$49-$I$49)/(1+$F$49)^$N$3</f>
        <v>4980.79992866897</v>
      </c>
      <c r="Q59" s="15" t="n">
        <f aca="false">O59+P59</f>
        <v>9078.51354137313</v>
      </c>
      <c r="R59" s="15" t="n">
        <f aca="false">Q59-$G$2+$I$2</f>
        <v>7702.31354137313</v>
      </c>
      <c r="S59" s="42" t="n">
        <f aca="false">R59/$K$2</f>
        <v>205.34027036452</v>
      </c>
      <c r="T59" s="43" t="n">
        <f aca="false">S59-$M$2</f>
        <v>0.861464712693589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0.0390625</v>
      </c>
      <c r="C60" s="25" t="n">
        <f aca="false">IF(T59&gt;0,D59,C59)</f>
        <v>0.0419921875</v>
      </c>
      <c r="D60" s="41" t="n">
        <f aca="false">(B60+C60)/2</f>
        <v>0.04052734375</v>
      </c>
      <c r="E60" s="15" t="n">
        <f aca="false">$C$2*(1+IF(E$3&lt;=$O$2,$D60,$D60-($D60-$I$49)*MIN(E$3-$O$2,$Q$2)/$Q$2))</f>
        <v>2674.1552734375</v>
      </c>
      <c r="F60" s="15" t="n">
        <f aca="false">E60*(1+IF(F$3&lt;=$O$2,$D60,$D60-($D60-$I$49)*MIN(F$3-$O$2,$Q$2)/$Q$2))</f>
        <v>2782.53168344498</v>
      </c>
      <c r="G60" s="15" t="n">
        <f aca="false">F60*(1+IF(G$3&lt;=$O$2,$D60,$D60-($D60-$I$49)*MIN(G$3-$O$2,$Q$2)/$Q$2))</f>
        <v>2895.30030147522</v>
      </c>
      <c r="H60" s="15" t="n">
        <f aca="false">G60*(1+IF(H$3&lt;=$O$2,$D60,$D60-($D60-$I$49)*MIN(H$3-$O$2,$Q$2)/$Q$2))</f>
        <v>3012.63913205258</v>
      </c>
      <c r="I60" s="15" t="n">
        <f aca="false">H60*(1+IF(I$3&lt;=$O$2,$D60,$D60-($D60-$I$49)*MIN(I$3-$O$2,$Q$2)/$Q$2))</f>
        <v>3134.73339375198</v>
      </c>
      <c r="J60" s="15" t="n">
        <f aca="false">I60*(1+IF(J$3&lt;=$O$2,$D60,$D60-($D60-$I$49)*MIN(J$3-$O$2,$Q$2)/$Q$2))</f>
        <v>3247.84045222366</v>
      </c>
      <c r="K60" s="15" t="n">
        <f aca="false">J60*(1+IF(K$3&lt;=$O$2,$D60,$D60-($D60-$I$49)*MIN(K$3-$O$2,$Q$2)/$Q$2))</f>
        <v>3350.5904522054</v>
      </c>
      <c r="L60" s="15" t="n">
        <f aca="false">K60*(1+IF(L$3&lt;=$O$2,$D60,$D60-($D60-$I$49)*MIN(L$3-$O$2,$Q$2)/$Q$2))</f>
        <v>3441.69614777941</v>
      </c>
      <c r="M60" s="15" t="n">
        <f aca="false">L60*(1+IF(M$3&lt;=$O$2,$D60,$D60-($D60-$I$49)*MIN(M$3-$O$2,$Q$2)/$Q$2))</f>
        <v>3519.97913995572</v>
      </c>
      <c r="N60" s="15" t="n">
        <f aca="false">M60*(1+IF(N$3&lt;=$O$2,$D60,$D60-($D60-$I$49)*MIN(N$3-$O$2,$Q$2)/$Q$2))</f>
        <v>3584.39475821691</v>
      </c>
      <c r="O60" s="15" t="n">
        <f aca="false">SUMPRODUCT(E60:N60,1/(1+$F$49)^$E$3:$N$3)*$E$2</f>
        <v>4071.63615575368</v>
      </c>
      <c r="P60" s="15" t="n">
        <f aca="false">N60*$E$2*(1+$I$49)/($F$49-$I$49)/(1+$F$49)^$N$3</f>
        <v>4931.8679717088</v>
      </c>
      <c r="Q60" s="15" t="n">
        <f aca="false">O60+P60</f>
        <v>9003.50412746248</v>
      </c>
      <c r="R60" s="15" t="n">
        <f aca="false">Q60-$G$2+$I$2</f>
        <v>7627.30412746248</v>
      </c>
      <c r="S60" s="42" t="n">
        <f aca="false">R60/$K$2</f>
        <v>203.340552584977</v>
      </c>
      <c r="T60" s="43" t="n">
        <f aca="false">S60-$M$2</f>
        <v>-1.13825306684936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0.04052734375</v>
      </c>
      <c r="C61" s="25" t="n">
        <f aca="false">IF(T60&gt;0,D60,C60)</f>
        <v>0.0419921875</v>
      </c>
      <c r="D61" s="41" t="n">
        <f aca="false">(B61+C61)/2</f>
        <v>0.041259765625</v>
      </c>
      <c r="E61" s="15" t="n">
        <f aca="false">$C$2*(1+IF(E$3&lt;=$O$2,$D61,$D61-($D61-$I$49)*MIN(E$3-$O$2,$Q$2)/$Q$2))</f>
        <v>2676.03759765625</v>
      </c>
      <c r="F61" s="15" t="n">
        <f aca="false">E61*(1+IF(F$3&lt;=$O$2,$D61,$D61-($D61-$I$49)*MIN(F$3-$O$2,$Q$2)/$Q$2))</f>
        <v>2786.45028173924</v>
      </c>
      <c r="G61" s="15" t="n">
        <f aca="false">F61*(1+IF(G$3&lt;=$O$2,$D61,$D61-($D61-$I$49)*MIN(G$3-$O$2,$Q$2)/$Q$2))</f>
        <v>2901.41856728951</v>
      </c>
      <c r="H61" s="15" t="n">
        <f aca="false">G61*(1+IF(H$3&lt;=$O$2,$D61,$D61-($D61-$I$49)*MIN(H$3-$O$2,$Q$2)/$Q$2))</f>
        <v>3021.1304173559</v>
      </c>
      <c r="I61" s="15" t="n">
        <f aca="false">H61*(1+IF(I$3&lt;=$O$2,$D61,$D61-($D61-$I$49)*MIN(I$3-$O$2,$Q$2)/$Q$2))</f>
        <v>3145.78155029856</v>
      </c>
      <c r="J61" s="15" t="n">
        <f aca="false">I61*(1+IF(J$3&lt;=$O$2,$D61,$D61-($D61-$I$49)*MIN(J$3-$O$2,$Q$2)/$Q$2))</f>
        <v>3261.13047835087</v>
      </c>
      <c r="K61" s="15" t="n">
        <f aca="false">J61*(1+IF(K$3&lt;=$O$2,$D61,$D61-($D61-$I$49)*MIN(K$3-$O$2,$Q$2)/$Q$2))</f>
        <v>3365.73404097798</v>
      </c>
      <c r="L61" s="15" t="n">
        <f aca="false">K61*(1+IF(L$3&lt;=$O$2,$D61,$D61-($D61-$I$49)*MIN(L$3-$O$2,$Q$2)/$Q$2))</f>
        <v>3458.23755982265</v>
      </c>
      <c r="M61" s="15" t="n">
        <f aca="false">L61*(1+IF(M$3&lt;=$O$2,$D61,$D61-($D61-$I$49)*MIN(M$3-$O$2,$Q$2)/$Q$2))</f>
        <v>3537.40337193723</v>
      </c>
      <c r="N61" s="15" t="n">
        <f aca="false">M61*(1+IF(N$3&lt;=$O$2,$D61,$D61-($D61-$I$49)*MIN(N$3-$O$2,$Q$2)/$Q$2))</f>
        <v>3602.13785364368</v>
      </c>
      <c r="O61" s="15" t="n">
        <f aca="false">SUMPRODUCT(E61:N61,1/(1+$F$49)^$E$3:$N$3)*$E$2</f>
        <v>4084.65385639552</v>
      </c>
      <c r="P61" s="15" t="n">
        <f aca="false">N61*$E$2*(1+$I$49)/($F$49-$I$49)/(1+$F$49)^$N$3</f>
        <v>4956.28118787414</v>
      </c>
      <c r="Q61" s="15" t="n">
        <f aca="false">O61+P61</f>
        <v>9040.93504426965</v>
      </c>
      <c r="R61" s="15" t="n">
        <f aca="false">Q61-$G$2+$I$2</f>
        <v>7664.73504426965</v>
      </c>
      <c r="S61" s="42" t="n">
        <f aca="false">R61/$K$2</f>
        <v>204.338444262054</v>
      </c>
      <c r="T61" s="43" t="n">
        <f aca="false">S61-$M$2</f>
        <v>-0.140361389771954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0.041259765625</v>
      </c>
      <c r="C62" s="25" t="n">
        <f aca="false">IF(T61&gt;0,D61,C61)</f>
        <v>0.0419921875</v>
      </c>
      <c r="D62" s="41" t="n">
        <f aca="false">(B62+C62)/2</f>
        <v>0.0416259765625</v>
      </c>
      <c r="E62" s="15" t="n">
        <f aca="false">$C$2*(1+IF(E$3&lt;=$O$2,$D62,$D62-($D62-$I$49)*MIN(E$3-$O$2,$Q$2)/$Q$2))</f>
        <v>2676.97875976563</v>
      </c>
      <c r="F62" s="15" t="n">
        <f aca="false">E62*(1+IF(F$3&lt;=$O$2,$D62,$D62-($D62-$I$49)*MIN(F$3-$O$2,$Q$2)/$Q$2))</f>
        <v>2788.41061487794</v>
      </c>
      <c r="G62" s="15" t="n">
        <f aca="false">F62*(1+IF(G$3&lt;=$O$2,$D62,$D62-($D62-$I$49)*MIN(G$3-$O$2,$Q$2)/$Q$2))</f>
        <v>2904.48092977947</v>
      </c>
      <c r="H62" s="15" t="n">
        <f aca="false">G62*(1+IF(H$3&lt;=$O$2,$D62,$D62-($D62-$I$49)*MIN(H$3-$O$2,$Q$2)/$Q$2))</f>
        <v>3025.3827848887</v>
      </c>
      <c r="I62" s="15" t="n">
        <f aca="false">H62*(1+IF(I$3&lt;=$O$2,$D62,$D62-($D62-$I$49)*MIN(I$3-$O$2,$Q$2)/$Q$2))</f>
        <v>3151.31729778507</v>
      </c>
      <c r="J62" s="15" t="n">
        <f aca="false">I62*(1+IF(J$3&lt;=$O$2,$D62,$D62-($D62-$I$49)*MIN(J$3-$O$2,$Q$2)/$Q$2))</f>
        <v>3267.79244707785</v>
      </c>
      <c r="K62" s="15" t="n">
        <f aca="false">J62*(1+IF(K$3&lt;=$O$2,$D62,$D62-($D62-$I$49)*MIN(K$3-$O$2,$Q$2)/$Q$2))</f>
        <v>3373.32771887836</v>
      </c>
      <c r="L62" s="15" t="n">
        <f aca="false">K62*(1+IF(L$3&lt;=$O$2,$D62,$D62-($D62-$I$49)*MIN(L$3-$O$2,$Q$2)/$Q$2))</f>
        <v>3466.53408145711</v>
      </c>
      <c r="M62" s="15" t="n">
        <f aca="false">L62*(1+IF(M$3&lt;=$O$2,$D62,$D62-($D62-$I$49)*MIN(M$3-$O$2,$Q$2)/$Q$2))</f>
        <v>3546.14371369521</v>
      </c>
      <c r="N62" s="15" t="n">
        <f aca="false">M62*(1+IF(N$3&lt;=$O$2,$D62,$D62-($D62-$I$49)*MIN(N$3-$O$2,$Q$2)/$Q$2))</f>
        <v>3611.03814365583</v>
      </c>
      <c r="O62" s="15" t="n">
        <f aca="false">SUMPRODUCT(E62:N62,1/(1+$F$49)^$E$3:$N$3)*$E$2</f>
        <v>4091.17846964036</v>
      </c>
      <c r="P62" s="15" t="n">
        <f aca="false">N62*$E$2*(1+$I$49)/($F$49-$I$49)/(1+$F$49)^$N$3</f>
        <v>4968.52734328134</v>
      </c>
      <c r="Q62" s="15" t="n">
        <f aca="false">O62+P62</f>
        <v>9059.70581292169</v>
      </c>
      <c r="R62" s="15" t="n">
        <f aca="false">Q62-$G$2+$I$2</f>
        <v>7683.50581292169</v>
      </c>
      <c r="S62" s="42" t="n">
        <f aca="false">R62/$K$2</f>
        <v>204.838864647339</v>
      </c>
      <c r="T62" s="43" t="n">
        <f aca="false">S62-$M$2</f>
        <v>0.3600589955131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0.041259765625</v>
      </c>
      <c r="C63" s="25" t="n">
        <f aca="false">IF(T62&gt;0,D62,C62)</f>
        <v>0.0416259765625</v>
      </c>
      <c r="D63" s="41" t="n">
        <f aca="false">(B63+C63)/2</f>
        <v>0.04144287109375</v>
      </c>
      <c r="E63" s="15" t="n">
        <f aca="false">$C$2*(1+IF(E$3&lt;=$O$2,$D63,$D63-($D63-$I$49)*MIN(E$3-$O$2,$Q$2)/$Q$2))</f>
        <v>2676.50817871094</v>
      </c>
      <c r="F63" s="15" t="n">
        <f aca="false">E63*(1+IF(F$3&lt;=$O$2,$D63,$D63-($D63-$I$49)*MIN(F$3-$O$2,$Q$2)/$Q$2))</f>
        <v>2787.43036214262</v>
      </c>
      <c r="G63" s="15" t="n">
        <f aca="false">F63*(1+IF(G$3&lt;=$O$2,$D63,$D63-($D63-$I$49)*MIN(G$3-$O$2,$Q$2)/$Q$2))</f>
        <v>2902.9494793237</v>
      </c>
      <c r="H63" s="15" t="n">
        <f aca="false">G63*(1+IF(H$3&lt;=$O$2,$D63,$D63-($D63-$I$49)*MIN(H$3-$O$2,$Q$2)/$Q$2))</f>
        <v>3023.25604038699</v>
      </c>
      <c r="I63" s="15" t="n">
        <f aca="false">H63*(1+IF(I$3&lt;=$O$2,$D63,$D63-($D63-$I$49)*MIN(I$3-$O$2,$Q$2)/$Q$2))</f>
        <v>3148.54845075214</v>
      </c>
      <c r="J63" s="15" t="n">
        <f aca="false">I63*(1+IF(J$3&lt;=$O$2,$D63,$D63-($D63-$I$49)*MIN(J$3-$O$2,$Q$2)/$Q$2))</f>
        <v>3264.46004814346</v>
      </c>
      <c r="K63" s="15" t="n">
        <f aca="false">J63*(1+IF(K$3&lt;=$O$2,$D63,$D63-($D63-$I$49)*MIN(K$3-$O$2,$Q$2)/$Q$2))</f>
        <v>3369.52905387541</v>
      </c>
      <c r="L63" s="15" t="n">
        <f aca="false">K63*(1+IF(L$3&lt;=$O$2,$D63,$D63-($D63-$I$49)*MIN(L$3-$O$2,$Q$2)/$Q$2))</f>
        <v>3462.38366617752</v>
      </c>
      <c r="M63" s="15" t="n">
        <f aca="false">L63*(1+IF(M$3&lt;=$O$2,$D63,$D63-($D63-$I$49)*MIN(M$3-$O$2,$Q$2)/$Q$2))</f>
        <v>3541.77118704126</v>
      </c>
      <c r="N63" s="15" t="n">
        <f aca="false">M63*(1+IF(N$3&lt;=$O$2,$D63,$D63-($D63-$I$49)*MIN(N$3-$O$2,$Q$2)/$Q$2))</f>
        <v>3606.58559976412</v>
      </c>
      <c r="O63" s="15" t="n">
        <f aca="false">SUMPRODUCT(E63:N63,1/(1+$F$49)^$E$3:$N$3)*$E$2</f>
        <v>4087.91484778528</v>
      </c>
      <c r="P63" s="15" t="n">
        <f aca="false">N63*$E$2*(1+$I$49)/($F$49-$I$49)/(1+$F$49)^$N$3</f>
        <v>4962.40096488458</v>
      </c>
      <c r="Q63" s="15" t="n">
        <f aca="false">O63+P63</f>
        <v>9050.31581266985</v>
      </c>
      <c r="R63" s="15" t="n">
        <f aca="false">Q63-$G$2+$I$2</f>
        <v>7674.11581266985</v>
      </c>
      <c r="S63" s="42" t="n">
        <f aca="false">R63/$K$2</f>
        <v>204.588531396157</v>
      </c>
      <c r="T63" s="43" t="n">
        <f aca="false">S63-$M$2</f>
        <v>0.10972574433103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0.041259765625</v>
      </c>
      <c r="C64" s="25" t="n">
        <f aca="false">IF(T63&gt;0,D63,C63)</f>
        <v>0.04144287109375</v>
      </c>
      <c r="D64" s="41" t="n">
        <f aca="false">(B64+C64)/2</f>
        <v>0.041351318359375</v>
      </c>
      <c r="E64" s="15" t="n">
        <f aca="false">$C$2*(1+IF(E$3&lt;=$O$2,$D64,$D64-($D64-$I$49)*MIN(E$3-$O$2,$Q$2)/$Q$2))</f>
        <v>2676.27288818359</v>
      </c>
      <c r="F64" s="15" t="n">
        <f aca="false">E64*(1+IF(F$3&lt;=$O$2,$D64,$D64-($D64-$I$49)*MIN(F$3-$O$2,$Q$2)/$Q$2))</f>
        <v>2786.94030039944</v>
      </c>
      <c r="G64" s="15" t="n">
        <f aca="false">F64*(1+IF(G$3&lt;=$O$2,$D64,$D64-($D64-$I$49)*MIN(G$3-$O$2,$Q$2)/$Q$2))</f>
        <v>2902.18395600983</v>
      </c>
      <c r="H64" s="15" t="n">
        <f aca="false">G64*(1+IF(H$3&lt;=$O$2,$D64,$D64-($D64-$I$49)*MIN(H$3-$O$2,$Q$2)/$Q$2))</f>
        <v>3022.19308871226</v>
      </c>
      <c r="I64" s="15" t="n">
        <f aca="false">H64*(1+IF(I$3&lt;=$O$2,$D64,$D64-($D64-$I$49)*MIN(I$3-$O$2,$Q$2)/$Q$2))</f>
        <v>3147.1647572671</v>
      </c>
      <c r="J64" s="15" t="n">
        <f aca="false">I64*(1+IF(J$3&lt;=$O$2,$D64,$D64-($D64-$I$49)*MIN(J$3-$O$2,$Q$2)/$Q$2))</f>
        <v>3262.79490972443</v>
      </c>
      <c r="K64" s="15" t="n">
        <f aca="false">J64*(1+IF(K$3&lt;=$O$2,$D64,$D64-($D64-$I$49)*MIN(K$3-$O$2,$Q$2)/$Q$2))</f>
        <v>3367.63109109563</v>
      </c>
      <c r="L64" s="15" t="n">
        <f aca="false">K64*(1+IF(L$3&lt;=$O$2,$D64,$D64-($D64-$I$49)*MIN(L$3-$O$2,$Q$2)/$Q$2))</f>
        <v>3460.31007462179</v>
      </c>
      <c r="M64" s="15" t="n">
        <f aca="false">L64*(1+IF(M$3&lt;=$O$2,$D64,$D64-($D64-$I$49)*MIN(M$3-$O$2,$Q$2)/$Q$2))</f>
        <v>3539.58669081782</v>
      </c>
      <c r="N64" s="15" t="n">
        <f aca="false">M64*(1+IF(N$3&lt;=$O$2,$D64,$D64-($D64-$I$49)*MIN(N$3-$O$2,$Q$2)/$Q$2))</f>
        <v>3604.36112725978</v>
      </c>
      <c r="O64" s="15" t="n">
        <f aca="false">SUMPRODUCT(E64:N64,1/(1+$F$49)^$E$3:$N$3)*$E$2</f>
        <v>4086.2840234065</v>
      </c>
      <c r="P64" s="15" t="n">
        <f aca="false">N64*$E$2*(1+$I$49)/($F$49-$I$49)/(1+$F$49)^$N$3</f>
        <v>4959.34025158761</v>
      </c>
      <c r="Q64" s="15" t="n">
        <f aca="false">O64+P64</f>
        <v>9045.6242749941</v>
      </c>
      <c r="R64" s="15" t="n">
        <f aca="false">Q64-$G$2+$I$2</f>
        <v>7669.4242749941</v>
      </c>
      <c r="S64" s="42" t="n">
        <f aca="false">R64/$K$2</f>
        <v>204.463457077955</v>
      </c>
      <c r="T64" s="43" t="n">
        <f aca="false">S64-$M$2</f>
        <v>-0.0153485738707957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0.041351318359375</v>
      </c>
      <c r="C65" s="25" t="n">
        <f aca="false">IF(T64&gt;0,D64,C64)</f>
        <v>0.04144287109375</v>
      </c>
      <c r="D65" s="41" t="n">
        <f aca="false">(B65+C65)/2</f>
        <v>0.0413970947265625</v>
      </c>
      <c r="E65" s="15" t="n">
        <f aca="false">$C$2*(1+IF(E$3&lt;=$O$2,$D65,$D65-($D65-$I$49)*MIN(E$3-$O$2,$Q$2)/$Q$2))</f>
        <v>2676.39053344727</v>
      </c>
      <c r="F65" s="15" t="n">
        <f aca="false">E65*(1+IF(F$3&lt;=$O$2,$D65,$D65-($D65-$I$49)*MIN(F$3-$O$2,$Q$2)/$Q$2))</f>
        <v>2787.18532588566</v>
      </c>
      <c r="G65" s="15" t="n">
        <f aca="false">F65*(1+IF(G$3&lt;=$O$2,$D65,$D65-($D65-$I$49)*MIN(G$3-$O$2,$Q$2)/$Q$2))</f>
        <v>2902.56670084183</v>
      </c>
      <c r="H65" s="15" t="n">
        <f aca="false">G65*(1+IF(H$3&lt;=$O$2,$D65,$D65-($D65-$I$49)*MIN(H$3-$O$2,$Q$2)/$Q$2))</f>
        <v>3022.72452950675</v>
      </c>
      <c r="I65" s="15" t="n">
        <f aca="false">H65*(1+IF(I$3&lt;=$O$2,$D65,$D65-($D65-$I$49)*MIN(I$3-$O$2,$Q$2)/$Q$2))</f>
        <v>3147.85654318704</v>
      </c>
      <c r="J65" s="15" t="n">
        <f aca="false">I65*(1+IF(J$3&lt;=$O$2,$D65,$D65-($D65-$I$49)*MIN(J$3-$O$2,$Q$2)/$Q$2))</f>
        <v>3263.62739053826</v>
      </c>
      <c r="K65" s="15" t="n">
        <f aca="false">J65*(1+IF(K$3&lt;=$O$2,$D65,$D65-($D65-$I$49)*MIN(K$3-$O$2,$Q$2)/$Q$2))</f>
        <v>3368.57995837999</v>
      </c>
      <c r="L65" s="15" t="n">
        <f aca="false">K65*(1+IF(L$3&lt;=$O$2,$D65,$D65-($D65-$I$49)*MIN(L$3-$O$2,$Q$2)/$Q$2))</f>
        <v>3461.34673577542</v>
      </c>
      <c r="M65" s="15" t="n">
        <f aca="false">L65*(1+IF(M$3&lt;=$O$2,$D65,$D65-($D65-$I$49)*MIN(M$3-$O$2,$Q$2)/$Q$2))</f>
        <v>3540.67879172765</v>
      </c>
      <c r="N65" s="15" t="n">
        <f aca="false">M65*(1+IF(N$3&lt;=$O$2,$D65,$D65-($D65-$I$49)*MIN(N$3-$O$2,$Q$2)/$Q$2))</f>
        <v>3605.47321361627</v>
      </c>
      <c r="O65" s="15" t="n">
        <f aca="false">SUMPRODUCT(E65:N65,1/(1+$F$49)^$E$3:$N$3)*$E$2</f>
        <v>4087.09935340938</v>
      </c>
      <c r="P65" s="15" t="n">
        <f aca="false">N65*$E$2*(1+$I$49)/($F$49-$I$49)/(1+$F$49)^$N$3</f>
        <v>4960.87040199047</v>
      </c>
      <c r="Q65" s="15" t="n">
        <f aca="false">O65+P65</f>
        <v>9047.96975539985</v>
      </c>
      <c r="R65" s="15" t="n">
        <f aca="false">Q65-$G$2+$I$2</f>
        <v>7671.76975539985</v>
      </c>
      <c r="S65" s="42" t="n">
        <f aca="false">R65/$K$2</f>
        <v>204.525986547583</v>
      </c>
      <c r="T65" s="43" t="n">
        <f aca="false">S65-$M$2</f>
        <v>0.0471808957572932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0.041351318359375</v>
      </c>
      <c r="C66" s="25" t="n">
        <f aca="false">IF(T65&gt;0,D65,C65)</f>
        <v>0.0413970947265625</v>
      </c>
      <c r="D66" s="41" t="n">
        <f aca="false">(B66+C66)/2</f>
        <v>0.0413742065429688</v>
      </c>
      <c r="E66" s="15" t="n">
        <f aca="false">$C$2*(1+IF(E$3&lt;=$O$2,$D66,$D66-($D66-$I$49)*MIN(E$3-$O$2,$Q$2)/$Q$2))</f>
        <v>2676.33171081543</v>
      </c>
      <c r="F66" s="15" t="n">
        <f aca="false">E66*(1+IF(F$3&lt;=$O$2,$D66,$D66-($D66-$I$49)*MIN(F$3-$O$2,$Q$2)/$Q$2))</f>
        <v>2787.0628117962</v>
      </c>
      <c r="G66" s="15" t="n">
        <f aca="false">F66*(1+IF(G$3&lt;=$O$2,$D66,$D66-($D66-$I$49)*MIN(G$3-$O$2,$Q$2)/$Q$2))</f>
        <v>2902.37532421969</v>
      </c>
      <c r="H66" s="15" t="n">
        <f aca="false">G66*(1+IF(H$3&lt;=$O$2,$D66,$D66-($D66-$I$49)*MIN(H$3-$O$2,$Q$2)/$Q$2))</f>
        <v>3022.45880034917</v>
      </c>
      <c r="I66" s="15" t="n">
        <f aca="false">H66*(1+IF(I$3&lt;=$O$2,$D66,$D66-($D66-$I$49)*MIN(I$3-$O$2,$Q$2)/$Q$2))</f>
        <v>3147.51063502243</v>
      </c>
      <c r="J66" s="15" t="n">
        <f aca="false">I66*(1+IF(J$3&lt;=$O$2,$D66,$D66-($D66-$I$49)*MIN(J$3-$O$2,$Q$2)/$Q$2))</f>
        <v>3263.2111280343</v>
      </c>
      <c r="K66" s="15" t="n">
        <f aca="false">J66*(1+IF(K$3&lt;=$O$2,$D66,$D66-($D66-$I$49)*MIN(K$3-$O$2,$Q$2)/$Q$2))</f>
        <v>3368.10549621427</v>
      </c>
      <c r="L66" s="15" t="n">
        <f aca="false">K66*(1+IF(L$3&lt;=$O$2,$D66,$D66-($D66-$I$49)*MIN(L$3-$O$2,$Q$2)/$Q$2))</f>
        <v>3460.82837154626</v>
      </c>
      <c r="M66" s="15" t="n">
        <f aca="false">L66*(1+IF(M$3&lt;=$O$2,$D66,$D66-($D66-$I$49)*MIN(M$3-$O$2,$Q$2)/$Q$2))</f>
        <v>3540.13270447652</v>
      </c>
      <c r="N66" s="15" t="n">
        <f aca="false">M66*(1+IF(N$3&lt;=$O$2,$D66,$D66-($D66-$I$49)*MIN(N$3-$O$2,$Q$2)/$Q$2))</f>
        <v>3604.91713296844</v>
      </c>
      <c r="O66" s="15" t="n">
        <f aca="false">SUMPRODUCT(E66:N66,1/(1+$F$49)^$E$3:$N$3)*$E$2</f>
        <v>4086.69166786325</v>
      </c>
      <c r="P66" s="15" t="n">
        <f aca="false">N66*$E$2*(1+$I$49)/($F$49-$I$49)/(1+$F$49)^$N$3</f>
        <v>4960.1052752336</v>
      </c>
      <c r="Q66" s="15" t="n">
        <f aca="false">O66+P66</f>
        <v>9046.79694309685</v>
      </c>
      <c r="R66" s="15" t="n">
        <f aca="false">Q66-$G$2+$I$2</f>
        <v>7670.59694309685</v>
      </c>
      <c r="S66" s="42" t="n">
        <f aca="false">R66/$K$2</f>
        <v>204.494719890612</v>
      </c>
      <c r="T66" s="43" t="n">
        <f aca="false">S66-$M$2</f>
        <v>0.0159142387857401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0.041351318359375</v>
      </c>
      <c r="C67" s="25" t="n">
        <f aca="false">IF(T66&gt;0,D66,C66)</f>
        <v>0.0413742065429688</v>
      </c>
      <c r="D67" s="41" t="n">
        <f aca="false">(B67+C67)/2</f>
        <v>0.0413627624511719</v>
      </c>
      <c r="E67" s="15" t="n">
        <f aca="false">$C$2*(1+IF(E$3&lt;=$O$2,$D67,$D67-($D67-$I$49)*MIN(E$3-$O$2,$Q$2)/$Q$2))</f>
        <v>2676.30229949951</v>
      </c>
      <c r="F67" s="15" t="n">
        <f aca="false">E67*(1+IF(F$3&lt;=$O$2,$D67,$D67-($D67-$I$49)*MIN(F$3-$O$2,$Q$2)/$Q$2))</f>
        <v>2787.00155576124</v>
      </c>
      <c r="G67" s="15" t="n">
        <f aca="false">F67*(1+IF(G$3&lt;=$O$2,$D67,$D67-($D67-$I$49)*MIN(G$3-$O$2,$Q$2)/$Q$2))</f>
        <v>2902.27963906323</v>
      </c>
      <c r="H67" s="15" t="n">
        <f aca="false">G67*(1+IF(H$3&lt;=$O$2,$D67,$D67-($D67-$I$49)*MIN(H$3-$O$2,$Q$2)/$Q$2))</f>
        <v>3022.32594234068</v>
      </c>
      <c r="I67" s="15" t="n">
        <f aca="false">H67*(1+IF(I$3&lt;=$O$2,$D67,$D67-($D67-$I$49)*MIN(I$3-$O$2,$Q$2)/$Q$2))</f>
        <v>3147.33769234373</v>
      </c>
      <c r="J67" s="15" t="n">
        <f aca="false">I67*(1+IF(J$3&lt;=$O$2,$D67,$D67-($D67-$I$49)*MIN(J$3-$O$2,$Q$2)/$Q$2))</f>
        <v>3263.00301335534</v>
      </c>
      <c r="K67" s="15" t="n">
        <f aca="false">J67*(1+IF(K$3&lt;=$O$2,$D67,$D67-($D67-$I$49)*MIN(K$3-$O$2,$Q$2)/$Q$2))</f>
        <v>3367.86828652442</v>
      </c>
      <c r="L67" s="15" t="n">
        <f aca="false">K67*(1+IF(L$3&lt;=$O$2,$D67,$D67-($D67-$I$49)*MIN(L$3-$O$2,$Q$2)/$Q$2))</f>
        <v>3460.5692146714</v>
      </c>
      <c r="M67" s="15" t="n">
        <f aca="false">L67*(1+IF(M$3&lt;=$O$2,$D67,$D67-($D67-$I$49)*MIN(M$3-$O$2,$Q$2)/$Q$2))</f>
        <v>3539.85968844865</v>
      </c>
      <c r="N67" s="15" t="n">
        <f aca="false">M67*(1+IF(N$3&lt;=$O$2,$D67,$D67-($D67-$I$49)*MIN(N$3-$O$2,$Q$2)/$Q$2))</f>
        <v>3604.63912074726</v>
      </c>
      <c r="O67" s="15" t="n">
        <f aca="false">SUMPRODUCT(E67:N67,1/(1+$F$49)^$E$3:$N$3)*$E$2</f>
        <v>4086.48784049895</v>
      </c>
      <c r="P67" s="15" t="n">
        <f aca="false">N67*$E$2*(1+$I$49)/($F$49-$I$49)/(1+$F$49)^$N$3</f>
        <v>4959.72275052249</v>
      </c>
      <c r="Q67" s="15" t="n">
        <f aca="false">O67+P67</f>
        <v>9046.21059102143</v>
      </c>
      <c r="R67" s="15" t="n">
        <f aca="false">Q67-$G$2+$I$2</f>
        <v>7670.01059102143</v>
      </c>
      <c r="S67" s="42" t="n">
        <f aca="false">R67/$K$2</f>
        <v>204.479088003771</v>
      </c>
      <c r="T67" s="43" t="n">
        <f aca="false">S67-$M$2</f>
        <v>0.000282351944491666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0.041351318359375</v>
      </c>
      <c r="C68" s="25" t="n">
        <f aca="false">IF(T67&gt;0,D67,C67)</f>
        <v>0.0413627624511719</v>
      </c>
      <c r="D68" s="41" t="n">
        <f aca="false">(B68+C68)/2</f>
        <v>0.0413570404052734</v>
      </c>
      <c r="E68" s="15" t="n">
        <f aca="false">$C$2*(1+IF(E$3&lt;=$O$2,$D68,$D68-($D68-$I$49)*MIN(E$3-$O$2,$Q$2)/$Q$2))</f>
        <v>2676.28759384155</v>
      </c>
      <c r="F68" s="15" t="n">
        <f aca="false">E68*(1+IF(F$3&lt;=$O$2,$D68,$D68-($D68-$I$49)*MIN(F$3-$O$2,$Q$2)/$Q$2))</f>
        <v>2786.97092799619</v>
      </c>
      <c r="G68" s="15" t="n">
        <f aca="false">F68*(1+IF(G$3&lt;=$O$2,$D68,$D68-($D68-$I$49)*MIN(G$3-$O$2,$Q$2)/$Q$2))</f>
        <v>2902.23179727365</v>
      </c>
      <c r="H68" s="15" t="n">
        <f aca="false">G68*(1+IF(H$3&lt;=$O$2,$D68,$D68-($D68-$I$49)*MIN(H$3-$O$2,$Q$2)/$Q$2))</f>
        <v>3022.25951497897</v>
      </c>
      <c r="I68" s="15" t="n">
        <f aca="false">H68*(1+IF(I$3&lt;=$O$2,$D68,$D68-($D68-$I$49)*MIN(I$3-$O$2,$Q$2)/$Q$2))</f>
        <v>3147.25122385517</v>
      </c>
      <c r="J68" s="15" t="n">
        <f aca="false">I68*(1+IF(J$3&lt;=$O$2,$D68,$D68-($D68-$I$49)*MIN(J$3-$O$2,$Q$2)/$Q$2))</f>
        <v>3262.8989601589</v>
      </c>
      <c r="K68" s="15" t="n">
        <f aca="false">J68*(1+IF(K$3&lt;=$O$2,$D68,$D68-($D68-$I$49)*MIN(K$3-$O$2,$Q$2)/$Q$2))</f>
        <v>3367.74968702744</v>
      </c>
      <c r="L68" s="15" t="n">
        <f aca="false">K68*(1+IF(L$3&lt;=$O$2,$D68,$D68-($D68-$I$49)*MIN(L$3-$O$2,$Q$2)/$Q$2))</f>
        <v>3460.43964254349</v>
      </c>
      <c r="M68" s="15" t="n">
        <f aca="false">L68*(1+IF(M$3&lt;=$O$2,$D68,$D68-($D68-$I$49)*MIN(M$3-$O$2,$Q$2)/$Q$2))</f>
        <v>3539.72318733367</v>
      </c>
      <c r="N68" s="15" t="n">
        <f aca="false">M68*(1+IF(N$3&lt;=$O$2,$D68,$D68-($D68-$I$49)*MIN(N$3-$O$2,$Q$2)/$Q$2))</f>
        <v>3604.50012166187</v>
      </c>
      <c r="O68" s="15" t="n">
        <f aca="false">SUMPRODUCT(E68:N68,1/(1+$F$49)^$E$3:$N$3)*$E$2</f>
        <v>4086.38593066877</v>
      </c>
      <c r="P68" s="15" t="n">
        <f aca="false">N68*$E$2*(1+$I$49)/($F$49-$I$49)/(1+$F$49)^$N$3</f>
        <v>4959.53149783311</v>
      </c>
      <c r="Q68" s="15" t="n">
        <f aca="false">O68+P68</f>
        <v>9045.91742850188</v>
      </c>
      <c r="R68" s="15" t="n">
        <f aca="false">Q68-$G$2+$I$2</f>
        <v>7669.71742850188</v>
      </c>
      <c r="S68" s="42" t="n">
        <f aca="false">R68/$K$2</f>
        <v>204.471272420738</v>
      </c>
      <c r="T68" s="43" t="n">
        <f aca="false">S68-$M$2</f>
        <v>-0.00753323108810378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0.0413570404052734</v>
      </c>
      <c r="C69" s="25" t="n">
        <f aca="false">IF(T68&gt;0,D68,C68)</f>
        <v>0.0413627624511719</v>
      </c>
      <c r="D69" s="41" t="n">
        <f aca="false">(B69+C69)/2</f>
        <v>0.0413599014282227</v>
      </c>
      <c r="E69" s="15" t="n">
        <f aca="false">$C$2*(1+IF(E$3&lt;=$O$2,$D69,$D69-($D69-$I$49)*MIN(E$3-$O$2,$Q$2)/$Q$2))</f>
        <v>2676.29494667053</v>
      </c>
      <c r="F69" s="15" t="n">
        <f aca="false">E69*(1+IF(F$3&lt;=$O$2,$D69,$D69-($D69-$I$49)*MIN(F$3-$O$2,$Q$2)/$Q$2))</f>
        <v>2786.98624185768</v>
      </c>
      <c r="G69" s="15" t="n">
        <f aca="false">F69*(1+IF(G$3&lt;=$O$2,$D69,$D69-($D69-$I$49)*MIN(G$3-$O$2,$Q$2)/$Q$2))</f>
        <v>2902.25571810272</v>
      </c>
      <c r="H69" s="15" t="n">
        <f aca="false">G69*(1+IF(H$3&lt;=$O$2,$D69,$D69-($D69-$I$49)*MIN(H$3-$O$2,$Q$2)/$Q$2))</f>
        <v>3022.29272852295</v>
      </c>
      <c r="I69" s="15" t="n">
        <f aca="false">H69*(1+IF(I$3&lt;=$O$2,$D69,$D69-($D69-$I$49)*MIN(I$3-$O$2,$Q$2)/$Q$2))</f>
        <v>3147.29445786189</v>
      </c>
      <c r="J69" s="15" t="n">
        <f aca="false">I69*(1+IF(J$3&lt;=$O$2,$D69,$D69-($D69-$I$49)*MIN(J$3-$O$2,$Q$2)/$Q$2))</f>
        <v>3262.95098641187</v>
      </c>
      <c r="K69" s="15" t="n">
        <f aca="false">J69*(1+IF(K$3&lt;=$O$2,$D69,$D69-($D69-$I$49)*MIN(K$3-$O$2,$Q$2)/$Q$2))</f>
        <v>3367.80898633028</v>
      </c>
      <c r="L69" s="15" t="n">
        <f aca="false">K69*(1+IF(L$3&lt;=$O$2,$D69,$D69-($D69-$I$49)*MIN(L$3-$O$2,$Q$2)/$Q$2))</f>
        <v>3460.50442808166</v>
      </c>
      <c r="M69" s="15" t="n">
        <f aca="false">L69*(1+IF(M$3&lt;=$O$2,$D69,$D69-($D69-$I$49)*MIN(M$3-$O$2,$Q$2)/$Q$2))</f>
        <v>3539.79143731626</v>
      </c>
      <c r="N69" s="15" t="n">
        <f aca="false">M69*(1+IF(N$3&lt;=$O$2,$D69,$D69-($D69-$I$49)*MIN(N$3-$O$2,$Q$2)/$Q$2))</f>
        <v>3604.56962061914</v>
      </c>
      <c r="O69" s="15" t="n">
        <f aca="false">SUMPRODUCT(E69:N69,1/(1+$F$49)^$E$3:$N$3)*$E$2</f>
        <v>4086.43688526287</v>
      </c>
      <c r="P69" s="15" t="n">
        <f aca="false">N69*$E$2*(1+$I$49)/($F$49-$I$49)/(1+$F$49)^$N$3</f>
        <v>4959.6271233723</v>
      </c>
      <c r="Q69" s="15" t="n">
        <f aca="false">O69+P69</f>
        <v>9046.06400863517</v>
      </c>
      <c r="R69" s="15" t="n">
        <f aca="false">Q69-$G$2+$I$2</f>
        <v>7669.86400863517</v>
      </c>
      <c r="S69" s="42" t="n">
        <f aca="false">R69/$K$2</f>
        <v>204.475180182223</v>
      </c>
      <c r="T69" s="43" t="n">
        <f aca="false">S69-$M$2</f>
        <v>-0.00362546960346322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0.0413599014282227</v>
      </c>
      <c r="C70" s="25" t="n">
        <f aca="false">IF(T69&gt;0,D69,C69)</f>
        <v>0.0413627624511719</v>
      </c>
      <c r="D70" s="41" t="n">
        <f aca="false">(B70+C70)/2</f>
        <v>0.0413613319396973</v>
      </c>
      <c r="E70" s="15" t="n">
        <f aca="false">$C$2*(1+IF(E$3&lt;=$O$2,$D70,$D70-($D70-$I$49)*MIN(E$3-$O$2,$Q$2)/$Q$2))</f>
        <v>2676.29862308502</v>
      </c>
      <c r="F70" s="15" t="n">
        <f aca="false">E70*(1+IF(F$3&lt;=$O$2,$D70,$D70-($D70-$I$49)*MIN(F$3-$O$2,$Q$2)/$Q$2))</f>
        <v>2786.9938988042</v>
      </c>
      <c r="G70" s="15" t="n">
        <f aca="false">F70*(1+IF(G$3&lt;=$O$2,$D70,$D70-($D70-$I$49)*MIN(G$3-$O$2,$Q$2)/$Q$2))</f>
        <v>2902.26767856655</v>
      </c>
      <c r="H70" s="15" t="n">
        <f aca="false">G70*(1+IF(H$3&lt;=$O$2,$D70,$D70-($D70-$I$49)*MIN(H$3-$O$2,$Q$2)/$Q$2))</f>
        <v>3022.30933539759</v>
      </c>
      <c r="I70" s="15" t="n">
        <f aca="false">H70*(1+IF(I$3&lt;=$O$2,$D70,$D70-($D70-$I$49)*MIN(I$3-$O$2,$Q$2)/$Q$2))</f>
        <v>3147.31607504342</v>
      </c>
      <c r="J70" s="15" t="n">
        <f aca="false">I70*(1+IF(J$3&lt;=$O$2,$D70,$D70-($D70-$I$49)*MIN(J$3-$O$2,$Q$2)/$Q$2))</f>
        <v>3262.97699979729</v>
      </c>
      <c r="K70" s="15" t="n">
        <f aca="false">J70*(1+IF(K$3&lt;=$O$2,$D70,$D70-($D70-$I$49)*MIN(K$3-$O$2,$Q$2)/$Q$2))</f>
        <v>3367.83863631593</v>
      </c>
      <c r="L70" s="15" t="n">
        <f aca="false">K70*(1+IF(L$3&lt;=$O$2,$D70,$D70-($D70-$I$49)*MIN(L$3-$O$2,$Q$2)/$Q$2))</f>
        <v>3460.53682124508</v>
      </c>
      <c r="M70" s="15" t="n">
        <f aca="false">L70*(1+IF(M$3&lt;=$O$2,$D70,$D70-($D70-$I$49)*MIN(M$3-$O$2,$Q$2)/$Q$2))</f>
        <v>3539.82556273873</v>
      </c>
      <c r="N70" s="15" t="n">
        <f aca="false">M70*(1+IF(N$3&lt;=$O$2,$D70,$D70-($D70-$I$49)*MIN(N$3-$O$2,$Q$2)/$Q$2))</f>
        <v>3604.60437053684</v>
      </c>
      <c r="O70" s="15" t="n">
        <f aca="false">SUMPRODUCT(E70:N70,1/(1+$F$49)^$E$3:$N$3)*$E$2</f>
        <v>4086.46236280066</v>
      </c>
      <c r="P70" s="15" t="n">
        <f aca="false">N70*$E$2*(1+$I$49)/($F$49-$I$49)/(1+$F$49)^$N$3</f>
        <v>4959.67493674602</v>
      </c>
      <c r="Q70" s="15" t="n">
        <f aca="false">O70+P70</f>
        <v>9046.13729954668</v>
      </c>
      <c r="R70" s="15" t="n">
        <f aca="false">Q70-$G$2+$I$2</f>
        <v>7669.93729954668</v>
      </c>
      <c r="S70" s="42" t="n">
        <f aca="false">R70/$K$2</f>
        <v>204.477134085489</v>
      </c>
      <c r="T70" s="43" t="n">
        <f aca="false">S70-$M$2</f>
        <v>-0.00167156633747823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0.0413613319396973</v>
      </c>
      <c r="C71" s="25" t="n">
        <f aca="false">IF(T70&gt;0,D70,C70)</f>
        <v>0.0413627624511719</v>
      </c>
      <c r="D71" s="41" t="n">
        <f aca="false">(B71+C71)/2</f>
        <v>0.0413620471954346</v>
      </c>
      <c r="E71" s="15" t="n">
        <f aca="false">$C$2*(1+IF(E$3&lt;=$O$2,$D71,$D71-($D71-$I$49)*MIN(E$3-$O$2,$Q$2)/$Q$2))</f>
        <v>2676.30046129227</v>
      </c>
      <c r="F71" s="15" t="n">
        <f aca="false">E71*(1+IF(F$3&lt;=$O$2,$D71,$D71-($D71-$I$49)*MIN(F$3-$O$2,$Q$2)/$Q$2))</f>
        <v>2786.9977272814</v>
      </c>
      <c r="G71" s="15" t="n">
        <f aca="false">F71*(1+IF(G$3&lt;=$O$2,$D71,$D71-($D71-$I$49)*MIN(G$3-$O$2,$Q$2)/$Q$2))</f>
        <v>2902.27365881078</v>
      </c>
      <c r="H71" s="15" t="n">
        <f aca="false">G71*(1+IF(H$3&lt;=$O$2,$D71,$D71-($D71-$I$49)*MIN(H$3-$O$2,$Q$2)/$Q$2))</f>
        <v>3022.31763886058</v>
      </c>
      <c r="I71" s="15" t="n">
        <f aca="false">H71*(1+IF(I$3&lt;=$O$2,$D71,$D71-($D71-$I$49)*MIN(I$3-$O$2,$Q$2)/$Q$2))</f>
        <v>3147.32688367873</v>
      </c>
      <c r="J71" s="15" t="n">
        <f aca="false">I71*(1+IF(J$3&lt;=$O$2,$D71,$D71-($D71-$I$49)*MIN(J$3-$O$2,$Q$2)/$Q$2))</f>
        <v>3262.99000655474</v>
      </c>
      <c r="K71" s="15" t="n">
        <f aca="false">J71*(1+IF(K$3&lt;=$O$2,$D71,$D71-($D71-$I$49)*MIN(K$3-$O$2,$Q$2)/$Q$2))</f>
        <v>3367.85346139232</v>
      </c>
      <c r="L71" s="15" t="n">
        <f aca="false">K71*(1+IF(L$3&lt;=$O$2,$D71,$D71-($D71-$I$49)*MIN(L$3-$O$2,$Q$2)/$Q$2))</f>
        <v>3460.55301792538</v>
      </c>
      <c r="M71" s="15" t="n">
        <f aca="false">L71*(1+IF(M$3&lt;=$O$2,$D71,$D71-($D71-$I$49)*MIN(M$3-$O$2,$Q$2)/$Q$2))</f>
        <v>3539.84262555775</v>
      </c>
      <c r="N71" s="15" t="n">
        <f aca="false">M71*(1+IF(N$3&lt;=$O$2,$D71,$D71-($D71-$I$49)*MIN(N$3-$O$2,$Q$2)/$Q$2))</f>
        <v>3604.62174560546</v>
      </c>
      <c r="O71" s="15" t="n">
        <f aca="false">SUMPRODUCT(E71:N71,1/(1+$F$49)^$E$3:$N$3)*$E$2</f>
        <v>4086.47510162974</v>
      </c>
      <c r="P71" s="15" t="n">
        <f aca="false">N71*$E$2*(1+$I$49)/($F$49-$I$49)/(1+$F$49)^$N$3</f>
        <v>4959.69884358391</v>
      </c>
      <c r="Q71" s="15" t="n">
        <f aca="false">O71+P71</f>
        <v>9046.17394521365</v>
      </c>
      <c r="R71" s="15" t="n">
        <f aca="false">Q71-$G$2+$I$2</f>
        <v>7669.97394521365</v>
      </c>
      <c r="S71" s="42" t="n">
        <f aca="false">R71/$K$2</f>
        <v>204.478111042753</v>
      </c>
      <c r="T71" s="43" t="n">
        <f aca="false">S71-$M$2</f>
        <v>-0.000694609073491392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0.0413620471954346</v>
      </c>
      <c r="C72" s="25" t="n">
        <f aca="false">IF(T71&gt;0,D71,C71)</f>
        <v>0.0413627624511719</v>
      </c>
      <c r="D72" s="41" t="n">
        <f aca="false">(B72+C72)/2</f>
        <v>0.0413624048233032</v>
      </c>
      <c r="E72" s="15" t="n">
        <f aca="false">$C$2*(1+IF(E$3&lt;=$O$2,$D72,$D72-($D72-$I$49)*MIN(E$3-$O$2,$Q$2)/$Q$2))</f>
        <v>2676.30138039589</v>
      </c>
      <c r="F72" s="15" t="n">
        <f aca="false">E72*(1+IF(F$3&lt;=$O$2,$D72,$D72-($D72-$I$49)*MIN(F$3-$O$2,$Q$2)/$Q$2))</f>
        <v>2786.99964152099</v>
      </c>
      <c r="G72" s="15" t="n">
        <f aca="false">F72*(1+IF(G$3&lt;=$O$2,$D72,$D72-($D72-$I$49)*MIN(G$3-$O$2,$Q$2)/$Q$2))</f>
        <v>2902.27664893598</v>
      </c>
      <c r="H72" s="15" t="n">
        <f aca="false">G72*(1+IF(H$3&lt;=$O$2,$D72,$D72-($D72-$I$49)*MIN(H$3-$O$2,$Q$2)/$Q$2))</f>
        <v>3022.32179059849</v>
      </c>
      <c r="I72" s="15" t="n">
        <f aca="false">H72*(1+IF(I$3&lt;=$O$2,$D72,$D72-($D72-$I$49)*MIN(I$3-$O$2,$Q$2)/$Q$2))</f>
        <v>3147.33228800752</v>
      </c>
      <c r="J72" s="15" t="n">
        <f aca="false">I72*(1+IF(J$3&lt;=$O$2,$D72,$D72-($D72-$I$49)*MIN(J$3-$O$2,$Q$2)/$Q$2))</f>
        <v>3262.99650994964</v>
      </c>
      <c r="K72" s="15" t="n">
        <f aca="false">J72*(1+IF(K$3&lt;=$O$2,$D72,$D72-($D72-$I$49)*MIN(K$3-$O$2,$Q$2)/$Q$2))</f>
        <v>3367.86087395141</v>
      </c>
      <c r="L72" s="15" t="n">
        <f aca="false">K72*(1+IF(L$3&lt;=$O$2,$D72,$D72-($D72-$I$49)*MIN(L$3-$O$2,$Q$2)/$Q$2))</f>
        <v>3460.56111629017</v>
      </c>
      <c r="M72" s="15" t="n">
        <f aca="false">L72*(1+IF(M$3&lt;=$O$2,$D72,$D72-($D72-$I$49)*MIN(M$3-$O$2,$Q$2)/$Q$2))</f>
        <v>3539.85115699422</v>
      </c>
      <c r="N72" s="15" t="n">
        <f aca="false">M72*(1+IF(N$3&lt;=$O$2,$D72,$D72-($D72-$I$49)*MIN(N$3-$O$2,$Q$2)/$Q$2))</f>
        <v>3604.63043316721</v>
      </c>
      <c r="O72" s="15" t="n">
        <f aca="false">SUMPRODUCT(E72:N72,1/(1+$F$49)^$E$3:$N$3)*$E$2</f>
        <v>4086.48147105933</v>
      </c>
      <c r="P72" s="15" t="n">
        <f aca="false">N72*$E$2*(1+$I$49)/($F$49-$I$49)/(1+$F$49)^$N$3</f>
        <v>4959.71079704061</v>
      </c>
      <c r="Q72" s="15" t="n">
        <f aca="false">O72+P72</f>
        <v>9046.19226809994</v>
      </c>
      <c r="R72" s="15" t="n">
        <f aca="false">Q72-$G$2+$I$2</f>
        <v>7669.99226809994</v>
      </c>
      <c r="S72" s="42" t="n">
        <f aca="false">R72/$K$2</f>
        <v>204.478599522792</v>
      </c>
      <c r="T72" s="43" t="n">
        <f aca="false">S72-$M$2</f>
        <v>-0.000206129033756497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0.0413624048233032</v>
      </c>
      <c r="C73" s="25" t="n">
        <f aca="false">IF(T72&gt;0,D72,C72)</f>
        <v>0.0413627624511719</v>
      </c>
      <c r="D73" s="41" t="n">
        <f aca="false">(B73+C73)/2</f>
        <v>0.0413625836372376</v>
      </c>
      <c r="E73" s="15" t="n">
        <f aca="false">$C$2*(1+IF(E$3&lt;=$O$2,$D73,$D73-($D73-$I$49)*MIN(E$3-$O$2,$Q$2)/$Q$2))</f>
        <v>2676.3018399477</v>
      </c>
      <c r="F73" s="15" t="n">
        <f aca="false">E73*(1+IF(F$3&lt;=$O$2,$D73,$D73-($D73-$I$49)*MIN(F$3-$O$2,$Q$2)/$Q$2))</f>
        <v>2787.00059864103</v>
      </c>
      <c r="G73" s="15" t="n">
        <f aca="false">F73*(1+IF(G$3&lt;=$O$2,$D73,$D73-($D73-$I$49)*MIN(G$3-$O$2,$Q$2)/$Q$2))</f>
        <v>2902.27814399935</v>
      </c>
      <c r="H73" s="15" t="n">
        <f aca="false">G73*(1+IF(H$3&lt;=$O$2,$D73,$D73-($D73-$I$49)*MIN(H$3-$O$2,$Q$2)/$Q$2))</f>
        <v>3022.32386646905</v>
      </c>
      <c r="I73" s="15" t="n">
        <f aca="false">H73*(1+IF(I$3&lt;=$O$2,$D73,$D73-($D73-$I$49)*MIN(I$3-$O$2,$Q$2)/$Q$2))</f>
        <v>3147.3349901747</v>
      </c>
      <c r="J73" s="15" t="n">
        <f aca="false">I73*(1+IF(J$3&lt;=$O$2,$D73,$D73-($D73-$I$49)*MIN(J$3-$O$2,$Q$2)/$Q$2))</f>
        <v>3262.99976165114</v>
      </c>
      <c r="K73" s="15" t="n">
        <f aca="false">J73*(1+IF(K$3&lt;=$O$2,$D73,$D73-($D73-$I$49)*MIN(K$3-$O$2,$Q$2)/$Q$2))</f>
        <v>3367.86458023617</v>
      </c>
      <c r="L73" s="15" t="n">
        <f aca="false">K73*(1+IF(L$3&lt;=$O$2,$D73,$D73-($D73-$I$49)*MIN(L$3-$O$2,$Q$2)/$Q$2))</f>
        <v>3460.56516547873</v>
      </c>
      <c r="M73" s="15" t="n">
        <f aca="false">L73*(1+IF(M$3&lt;=$O$2,$D73,$D73-($D73-$I$49)*MIN(M$3-$O$2,$Q$2)/$Q$2))</f>
        <v>3539.85542271918</v>
      </c>
      <c r="N73" s="15" t="n">
        <f aca="false">M73*(1+IF(N$3&lt;=$O$2,$D73,$D73-($D73-$I$49)*MIN(N$3-$O$2,$Q$2)/$Q$2))</f>
        <v>3604.63477695495</v>
      </c>
      <c r="O73" s="15" t="n">
        <f aca="false">SUMPRODUCT(E73:N73,1/(1+$F$49)^$E$3:$N$3)*$E$2</f>
        <v>4086.48465577788</v>
      </c>
      <c r="P73" s="15" t="n">
        <f aca="false">N73*$E$2*(1+$I$49)/($F$49-$I$49)/(1+$F$49)^$N$3</f>
        <v>4959.7167737784</v>
      </c>
      <c r="Q73" s="15" t="n">
        <f aca="false">O73+P73</f>
        <v>9046.20142955629</v>
      </c>
      <c r="R73" s="15" t="n">
        <f aca="false">Q73-$G$2+$I$2</f>
        <v>7670.00142955629</v>
      </c>
      <c r="S73" s="42" t="n">
        <f aca="false">R73/$K$2</f>
        <v>204.478843763164</v>
      </c>
      <c r="T73" s="43" t="n">
        <f aca="false">S73-$M$2</f>
        <v>3.81113380285569E-005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0.0413624048233032</v>
      </c>
      <c r="C74" s="25" t="n">
        <f aca="false">IF(T73&gt;0,D73,C73)</f>
        <v>0.0413625836372376</v>
      </c>
      <c r="D74" s="41" t="n">
        <f aca="false">(B74+C74)/2</f>
        <v>0.0413624942302704</v>
      </c>
      <c r="E74" s="15" t="n">
        <f aca="false">$C$2*(1+IF(E$3&lt;=$O$2,$D74,$D74-($D74-$I$49)*MIN(E$3-$O$2,$Q$2)/$Q$2))</f>
        <v>2676.3016101718</v>
      </c>
      <c r="F74" s="15" t="n">
        <f aca="false">E74*(1+IF(F$3&lt;=$O$2,$D74,$D74-($D74-$I$49)*MIN(F$3-$O$2,$Q$2)/$Q$2))</f>
        <v>2787.00012008099</v>
      </c>
      <c r="G74" s="15" t="n">
        <f aca="false">F74*(1+IF(G$3&lt;=$O$2,$D74,$D74-($D74-$I$49)*MIN(G$3-$O$2,$Q$2)/$Q$2))</f>
        <v>2902.2773964676</v>
      </c>
      <c r="H74" s="15" t="n">
        <f aca="false">G74*(1+IF(H$3&lt;=$O$2,$D74,$D74-($D74-$I$49)*MIN(H$3-$O$2,$Q$2)/$Q$2))</f>
        <v>3022.32282853364</v>
      </c>
      <c r="I74" s="15" t="n">
        <f aca="false">H74*(1+IF(I$3&lt;=$O$2,$D74,$D74-($D74-$I$49)*MIN(I$3-$O$2,$Q$2)/$Q$2))</f>
        <v>3147.33363909088</v>
      </c>
      <c r="J74" s="15" t="n">
        <f aca="false">I74*(1+IF(J$3&lt;=$O$2,$D74,$D74-($D74-$I$49)*MIN(J$3-$O$2,$Q$2)/$Q$2))</f>
        <v>3262.99813580005</v>
      </c>
      <c r="K74" s="15" t="n">
        <f aca="false">J74*(1+IF(K$3&lt;=$O$2,$D74,$D74-($D74-$I$49)*MIN(K$3-$O$2,$Q$2)/$Q$2))</f>
        <v>3367.86272709336</v>
      </c>
      <c r="L74" s="15" t="n">
        <f aca="false">K74*(1+IF(L$3&lt;=$O$2,$D74,$D74-($D74-$I$49)*MIN(L$3-$O$2,$Q$2)/$Q$2))</f>
        <v>3460.56314088394</v>
      </c>
      <c r="M74" s="15" t="n">
        <f aca="false">L74*(1+IF(M$3&lt;=$O$2,$D74,$D74-($D74-$I$49)*MIN(M$3-$O$2,$Q$2)/$Q$2))</f>
        <v>3539.85328985614</v>
      </c>
      <c r="N74" s="15" t="n">
        <f aca="false">M74*(1+IF(N$3&lt;=$O$2,$D74,$D74-($D74-$I$49)*MIN(N$3-$O$2,$Q$2)/$Q$2))</f>
        <v>3604.63260506051</v>
      </c>
      <c r="O74" s="15" t="n">
        <f aca="false">SUMPRODUCT(E74:N74,1/(1+$F$49)^$E$3:$N$3)*$E$2</f>
        <v>4086.48306341829</v>
      </c>
      <c r="P74" s="15" t="n">
        <f aca="false">N74*$E$2*(1+$I$49)/($F$49-$I$49)/(1+$F$49)^$N$3</f>
        <v>4959.71378540872</v>
      </c>
      <c r="Q74" s="15" t="n">
        <f aca="false">O74+P74</f>
        <v>9046.19684882701</v>
      </c>
      <c r="R74" s="15" t="n">
        <f aca="false">Q74-$G$2+$I$2</f>
        <v>7669.99684882701</v>
      </c>
      <c r="S74" s="42" t="n">
        <f aca="false">R74/$K$2</f>
        <v>204.478721642949</v>
      </c>
      <c r="T74" s="43" t="n">
        <f aca="false">S74-$M$2</f>
        <v>-8.40088771667524E-005</v>
      </c>
    </row>
    <row r="76" customFormat="false" ht="15" hidden="false" customHeight="false" outlineLevel="0" collapsed="false">
      <c r="A76" s="38" t="s">
        <v>183</v>
      </c>
      <c r="E76" s="5" t="s">
        <v>11</v>
      </c>
      <c r="F76" s="12" t="n">
        <f aca="false">Sensitivity!$B$10</f>
        <v>0.084183337553844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162</v>
      </c>
      <c r="B77" s="28" t="s">
        <v>163</v>
      </c>
      <c r="C77" s="28" t="s">
        <v>164</v>
      </c>
      <c r="D77" s="28" t="s">
        <v>165</v>
      </c>
      <c r="E77" s="28" t="s">
        <v>166</v>
      </c>
      <c r="F77" s="28" t="s">
        <v>167</v>
      </c>
      <c r="G77" s="28" t="s">
        <v>168</v>
      </c>
      <c r="H77" s="28" t="s">
        <v>169</v>
      </c>
      <c r="I77" s="28" t="s">
        <v>170</v>
      </c>
      <c r="J77" s="28" t="s">
        <v>171</v>
      </c>
      <c r="K77" s="28" t="s">
        <v>172</v>
      </c>
      <c r="L77" s="28" t="s">
        <v>173</v>
      </c>
      <c r="M77" s="28" t="s">
        <v>174</v>
      </c>
      <c r="N77" s="28" t="s">
        <v>175</v>
      </c>
      <c r="O77" s="28" t="s">
        <v>176</v>
      </c>
      <c r="P77" s="28" t="s">
        <v>177</v>
      </c>
      <c r="Q77" s="28" t="s">
        <v>178</v>
      </c>
      <c r="R77" s="28" t="s">
        <v>179</v>
      </c>
      <c r="S77" s="28" t="s">
        <v>180</v>
      </c>
      <c r="T77" s="28" t="s">
        <v>181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3212.5</v>
      </c>
      <c r="F78" s="15" t="n">
        <f aca="false">E78*(1+IF(F$3&lt;=$O$2,$D78,$D78-($D78-$I$76)*MIN(F$3-$O$2,$Q$2)/$Q$2))</f>
        <v>4015.625</v>
      </c>
      <c r="G78" s="15" t="n">
        <f aca="false">F78*(1+IF(G$3&lt;=$O$2,$D78,$D78-($D78-$I$76)*MIN(G$3-$O$2,$Q$2)/$Q$2))</f>
        <v>5019.53125</v>
      </c>
      <c r="H78" s="15" t="n">
        <f aca="false">G78*(1+IF(H$3&lt;=$O$2,$D78,$D78-($D78-$I$76)*MIN(H$3-$O$2,$Q$2)/$Q$2))</f>
        <v>6274.4140625</v>
      </c>
      <c r="I78" s="15" t="n">
        <f aca="false">H78*(1+IF(I$3&lt;=$O$2,$D78,$D78-($D78-$I$76)*MIN(I$3-$O$2,$Q$2)/$Q$2))</f>
        <v>7843.017578125</v>
      </c>
      <c r="J78" s="15" t="n">
        <f aca="false">I78*(1+IF(J$3&lt;=$O$2,$D78,$D78-($D78-$I$76)*MIN(J$3-$O$2,$Q$2)/$Q$2))</f>
        <v>9448.16955566406</v>
      </c>
      <c r="K78" s="15" t="n">
        <f aca="false">J78*(1+IF(K$3&lt;=$O$2,$D78,$D78-($D78-$I$76)*MIN(K$3-$O$2,$Q$2)/$Q$2))</f>
        <v>10953.4519292725</v>
      </c>
      <c r="L78" s="15" t="n">
        <f aca="false">K78*(1+IF(L$3&lt;=$O$2,$D78,$D78-($D78-$I$76)*MIN(L$3-$O$2,$Q$2)/$Q$2))</f>
        <v>12201.9263801709</v>
      </c>
      <c r="M78" s="15" t="n">
        <f aca="false">L78*(1+IF(M$3&lt;=$O$2,$D78,$D78-($D78-$I$76)*MIN(M$3-$O$2,$Q$2)/$Q$2))</f>
        <v>13039.4666069059</v>
      </c>
      <c r="N78" s="15" t="n">
        <f aca="false">M78*(1+IF(N$3&lt;=$O$2,$D78,$D78-($D78-$I$76)*MIN(N$3-$O$2,$Q$2)/$Q$2))</f>
        <v>13343.2861788468</v>
      </c>
      <c r="O78" s="15" t="n">
        <f aca="false">SUMPRODUCT(E78:N78,1/(1+$F$76)^$E$3:$N$3)*$E$2</f>
        <v>10142.22975392</v>
      </c>
      <c r="P78" s="15" t="n">
        <f aca="false">N78*$E$2*(1+$I$76)/($F$76-$I$76)/(1+$F$76)^$N$3</f>
        <v>19964.6995612093</v>
      </c>
      <c r="Q78" s="15" t="n">
        <f aca="false">O78+P78</f>
        <v>30106.9293151293</v>
      </c>
      <c r="R78" s="15" t="n">
        <f aca="false">Q78-$G$2+$I$2</f>
        <v>28730.7293151293</v>
      </c>
      <c r="S78" s="42" t="n">
        <f aca="false">R78/$K$2</f>
        <v>765.94852879577</v>
      </c>
      <c r="T78" s="43" t="n">
        <f aca="false">S78-$M$2</f>
        <v>561.469723143944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2248.75</v>
      </c>
      <c r="F79" s="15" t="n">
        <f aca="false">E79*(1+IF(F$3&lt;=$O$2,$D79,$D79-($D79-$I$76)*MIN(F$3-$O$2,$Q$2)/$Q$2))</f>
        <v>1967.65625</v>
      </c>
      <c r="G79" s="15" t="n">
        <f aca="false">F79*(1+IF(G$3&lt;=$O$2,$D79,$D79-($D79-$I$76)*MIN(G$3-$O$2,$Q$2)/$Q$2))</f>
        <v>1721.69921875</v>
      </c>
      <c r="H79" s="15" t="n">
        <f aca="false">G79*(1+IF(H$3&lt;=$O$2,$D79,$D79-($D79-$I$76)*MIN(H$3-$O$2,$Q$2)/$Q$2))</f>
        <v>1506.48681640625</v>
      </c>
      <c r="I79" s="15" t="n">
        <f aca="false">H79*(1+IF(I$3&lt;=$O$2,$D79,$D79-($D79-$I$76)*MIN(I$3-$O$2,$Q$2)/$Q$2))</f>
        <v>1318.17596435547</v>
      </c>
      <c r="J79" s="15" t="n">
        <f aca="false">I79*(1+IF(J$3&lt;=$O$2,$D79,$D79-($D79-$I$76)*MIN(J$3-$O$2,$Q$2)/$Q$2))</f>
        <v>1192.50106791382</v>
      </c>
      <c r="K79" s="15" t="n">
        <f aca="false">J79*(1+IF(K$3&lt;=$O$2,$D79,$D79-($D79-$I$76)*MIN(K$3-$O$2,$Q$2)/$Q$2))</f>
        <v>1114.17759777324</v>
      </c>
      <c r="L79" s="15" t="n">
        <f aca="false">K79*(1+IF(L$3&lt;=$O$2,$D79,$D79-($D79-$I$76)*MIN(L$3-$O$2,$Q$2)/$Q$2))</f>
        <v>1074.04492070145</v>
      </c>
      <c r="M79" s="15" t="n">
        <f aca="false">L79*(1+IF(M$3&lt;=$O$2,$D79,$D79-($D79-$I$76)*MIN(M$3-$O$2,$Q$2)/$Q$2))</f>
        <v>1067.21399500579</v>
      </c>
      <c r="N79" s="15" t="n">
        <f aca="false">M79*(1+IF(N$3&lt;=$O$2,$D79,$D79-($D79-$I$76)*MIN(N$3-$O$2,$Q$2)/$Q$2))</f>
        <v>1092.08008108942</v>
      </c>
      <c r="O79" s="15" t="n">
        <f aca="false">SUMPRODUCT(E79:N79,1/(1+$F$76)^$E$3:$N$3)*$E$2</f>
        <v>1997.91179524885</v>
      </c>
      <c r="P79" s="15" t="n">
        <f aca="false">N79*$E$2*(1+$I$76)/($F$76-$I$76)/(1+$F$76)^$N$3</f>
        <v>1634.00907568752</v>
      </c>
      <c r="Q79" s="15" t="n">
        <f aca="false">O79+P79</f>
        <v>3631.92087093636</v>
      </c>
      <c r="R79" s="15" t="n">
        <f aca="false">Q79-$G$2+$I$2</f>
        <v>2255.72087093636</v>
      </c>
      <c r="S79" s="42" t="n">
        <f aca="false">R79/$K$2</f>
        <v>60.1365201529289</v>
      </c>
      <c r="T79" s="43" t="n">
        <f aca="false">S79-$M$2</f>
        <v>-144.342285498897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2730.625</v>
      </c>
      <c r="F80" s="15" t="n">
        <f aca="false">E80*(1+IF(F$3&lt;=$O$2,$D80,$D80-($D80-$I$76)*MIN(F$3-$O$2,$Q$2)/$Q$2))</f>
        <v>2901.2890625</v>
      </c>
      <c r="G80" s="15" t="n">
        <f aca="false">F80*(1+IF(G$3&lt;=$O$2,$D80,$D80-($D80-$I$76)*MIN(G$3-$O$2,$Q$2)/$Q$2))</f>
        <v>3082.61962890625</v>
      </c>
      <c r="H80" s="15" t="n">
        <f aca="false">G80*(1+IF(H$3&lt;=$O$2,$D80,$D80-($D80-$I$76)*MIN(H$3-$O$2,$Q$2)/$Q$2))</f>
        <v>3275.28335571289</v>
      </c>
      <c r="I80" s="15" t="n">
        <f aca="false">H80*(1+IF(I$3&lt;=$O$2,$D80,$D80-($D80-$I$76)*MIN(I$3-$O$2,$Q$2)/$Q$2))</f>
        <v>3479.98856544495</v>
      </c>
      <c r="J80" s="15" t="n">
        <f aca="false">I80*(1+IF(J$3&lt;=$O$2,$D80,$D80-($D80-$I$76)*MIN(J$3-$O$2,$Q$2)/$Q$2))</f>
        <v>3670.20474043217</v>
      </c>
      <c r="K80" s="15" t="n">
        <f aca="false">J80*(1+IF(K$3&lt;=$O$2,$D80,$D80-($D80-$I$76)*MIN(K$3-$O$2,$Q$2)/$Q$2))</f>
        <v>3842.0437263792</v>
      </c>
      <c r="L80" s="15" t="n">
        <f aca="false">K80*(1+IF(L$3&lt;=$O$2,$D80,$D80-($D80-$I$76)*MIN(L$3-$O$2,$Q$2)/$Q$2))</f>
        <v>3991.80659083346</v>
      </c>
      <c r="M80" s="15" t="n">
        <f aca="false">L80*(1+IF(M$3&lt;=$O$2,$D80,$D80-($D80-$I$76)*MIN(M$3-$O$2,$Q$2)/$Q$2))</f>
        <v>4116.11144807202</v>
      </c>
      <c r="N80" s="15" t="n">
        <f aca="false">M80*(1+IF(N$3&lt;=$O$2,$D80,$D80-($D80-$I$76)*MIN(N$3-$O$2,$Q$2)/$Q$2))</f>
        <v>4212.0168448121</v>
      </c>
      <c r="O80" s="15" t="n">
        <f aca="false">SUMPRODUCT(E80:N80,1/(1+$F$76)^$E$3:$N$3)*$E$2</f>
        <v>4494.27960251347</v>
      </c>
      <c r="P80" s="15" t="n">
        <f aca="false">N80*$E$2*(1+$I$76)/($F$76-$I$76)/(1+$F$76)^$N$3</f>
        <v>6302.16947506812</v>
      </c>
      <c r="Q80" s="15" t="n">
        <f aca="false">O80+P80</f>
        <v>10796.4490775816</v>
      </c>
      <c r="R80" s="15" t="n">
        <f aca="false">Q80-$G$2+$I$2</f>
        <v>9420.24907758158</v>
      </c>
      <c r="S80" s="42" t="n">
        <f aca="false">R80/$K$2</f>
        <v>251.139671489778</v>
      </c>
      <c r="T80" s="43" t="n">
        <f aca="false">S80-$M$2</f>
        <v>46.6608658379522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2489.6875</v>
      </c>
      <c r="F81" s="15" t="n">
        <f aca="false">E81*(1+IF(F$3&lt;=$O$2,$D81,$D81-($D81-$I$76)*MIN(F$3-$O$2,$Q$2)/$Q$2))</f>
        <v>2411.884765625</v>
      </c>
      <c r="G81" s="15" t="n">
        <f aca="false">F81*(1+IF(G$3&lt;=$O$2,$D81,$D81-($D81-$I$76)*MIN(G$3-$O$2,$Q$2)/$Q$2))</f>
        <v>2336.51336669922</v>
      </c>
      <c r="H81" s="15" t="n">
        <f aca="false">G81*(1+IF(H$3&lt;=$O$2,$D81,$D81-($D81-$I$76)*MIN(H$3-$O$2,$Q$2)/$Q$2))</f>
        <v>2263.49732398987</v>
      </c>
      <c r="I81" s="15" t="n">
        <f aca="false">H81*(1+IF(I$3&lt;=$O$2,$D81,$D81-($D81-$I$76)*MIN(I$3-$O$2,$Q$2)/$Q$2))</f>
        <v>2192.76303261519</v>
      </c>
      <c r="J81" s="15" t="n">
        <f aca="false">I81*(1+IF(J$3&lt;=$O$2,$D81,$D81-($D81-$I$76)*MIN(J$3-$O$2,$Q$2)/$Q$2))</f>
        <v>2148.16223253179</v>
      </c>
      <c r="K81" s="15" t="n">
        <f aca="false">J81*(1+IF(K$3&lt;=$O$2,$D81,$D81-($D81-$I$76)*MIN(K$3-$O$2,$Q$2)/$Q$2))</f>
        <v>2127.90506267902</v>
      </c>
      <c r="L81" s="15" t="n">
        <f aca="false">K81*(1+IF(L$3&lt;=$O$2,$D81,$D81-($D81-$I$76)*MIN(L$3-$O$2,$Q$2)/$Q$2))</f>
        <v>2131.05436217178</v>
      </c>
      <c r="M81" s="15" t="n">
        <f aca="false">L81*(1+IF(M$3&lt;=$O$2,$D81,$D81-($D81-$I$76)*MIN(M$3-$O$2,$Q$2)/$Q$2))</f>
        <v>2157.45812571909</v>
      </c>
      <c r="N81" s="15" t="n">
        <f aca="false">M81*(1+IF(N$3&lt;=$O$2,$D81,$D81-($D81-$I$76)*MIN(N$3-$O$2,$Q$2)/$Q$2))</f>
        <v>2207.72690004834</v>
      </c>
      <c r="O81" s="15" t="n">
        <f aca="false">SUMPRODUCT(E81:N81,1/(1+$F$76)^$E$3:$N$3)*$E$2</f>
        <v>2987.95793719267</v>
      </c>
      <c r="P81" s="15" t="n">
        <f aca="false">N81*$E$2*(1+$I$76)/($F$76-$I$76)/(1+$F$76)^$N$3</f>
        <v>3303.27954312636</v>
      </c>
      <c r="Q81" s="15" t="n">
        <f aca="false">O81+P81</f>
        <v>6291.23748031903</v>
      </c>
      <c r="R81" s="15" t="n">
        <f aca="false">Q81-$G$2+$I$2</f>
        <v>4915.03748031903</v>
      </c>
      <c r="S81" s="42" t="n">
        <f aca="false">R81/$K$2</f>
        <v>131.032724082086</v>
      </c>
      <c r="T81" s="43" t="n">
        <f aca="false">S81-$M$2</f>
        <v>-73.4460815697405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2610.15625</v>
      </c>
      <c r="F82" s="15" t="n">
        <f aca="false">E82*(1+IF(F$3&lt;=$O$2,$D82,$D82-($D82-$I$76)*MIN(F$3-$O$2,$Q$2)/$Q$2))</f>
        <v>2650.93994140625</v>
      </c>
      <c r="G82" s="15" t="n">
        <f aca="false">F82*(1+IF(G$3&lt;=$O$2,$D82,$D82-($D82-$I$76)*MIN(G$3-$O$2,$Q$2)/$Q$2))</f>
        <v>2692.36087799072</v>
      </c>
      <c r="H82" s="15" t="n">
        <f aca="false">G82*(1+IF(H$3&lt;=$O$2,$D82,$D82-($D82-$I$76)*MIN(H$3-$O$2,$Q$2)/$Q$2))</f>
        <v>2734.42901670933</v>
      </c>
      <c r="I82" s="15" t="n">
        <f aca="false">H82*(1+IF(I$3&lt;=$O$2,$D82,$D82-($D82-$I$76)*MIN(I$3-$O$2,$Q$2)/$Q$2))</f>
        <v>2777.15447009541</v>
      </c>
      <c r="J82" s="15" t="n">
        <f aca="false">I82*(1+IF(J$3&lt;=$O$2,$D82,$D82-($D82-$I$76)*MIN(J$3-$O$2,$Q$2)/$Q$2))</f>
        <v>2824.81044080225</v>
      </c>
      <c r="K82" s="15" t="n">
        <f aca="false">J82*(1+IF(K$3&lt;=$O$2,$D82,$D82-($D82-$I$76)*MIN(K$3-$O$2,$Q$2)/$Q$2))</f>
        <v>2877.62027199305</v>
      </c>
      <c r="L82" s="15" t="n">
        <f aca="false">K82*(1+IF(L$3&lt;=$O$2,$D82,$D82-($D82-$I$76)*MIN(L$3-$O$2,$Q$2)/$Q$2))</f>
        <v>2935.83453009547</v>
      </c>
      <c r="M82" s="15" t="n">
        <f aca="false">L82*(1+IF(M$3&lt;=$O$2,$D82,$D82-($D82-$I$76)*MIN(M$3-$O$2,$Q$2)/$Q$2))</f>
        <v>2999.73296864299</v>
      </c>
      <c r="N82" s="15" t="n">
        <f aca="false">M82*(1+IF(N$3&lt;=$O$2,$D82,$D82-($D82-$I$76)*MIN(N$3-$O$2,$Q$2)/$Q$2))</f>
        <v>3069.62674681238</v>
      </c>
      <c r="O82" s="15" t="n">
        <f aca="false">SUMPRODUCT(E82:N82,1/(1+$F$76)^$E$3:$N$3)*$E$2</f>
        <v>3663.09766630605</v>
      </c>
      <c r="P82" s="15" t="n">
        <f aca="false">N82*$E$2*(1+$I$76)/($F$76-$I$76)/(1+$F$76)^$N$3</f>
        <v>4592.88476194986</v>
      </c>
      <c r="Q82" s="15" t="n">
        <f aca="false">O82+P82</f>
        <v>8255.98242825591</v>
      </c>
      <c r="R82" s="15" t="n">
        <f aca="false">Q82-$G$2+$I$2</f>
        <v>6879.78242825591</v>
      </c>
      <c r="S82" s="42" t="n">
        <f aca="false">R82/$K$2</f>
        <v>183.411954898851</v>
      </c>
      <c r="T82" s="43" t="n">
        <f aca="false">S82-$M$2</f>
        <v>-21.0668507529749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0.015625</v>
      </c>
      <c r="C83" s="25" t="n">
        <f aca="false">IF(T82&gt;0,D82,C82)</f>
        <v>0.0625</v>
      </c>
      <c r="D83" s="41" t="n">
        <f aca="false">(B83+C83)/2</f>
        <v>0.0390625</v>
      </c>
      <c r="E83" s="15" t="n">
        <f aca="false">$C$2*(1+IF(E$3&lt;=$O$2,$D83,$D83-($D83-$I$76)*MIN(E$3-$O$2,$Q$2)/$Q$2))</f>
        <v>2670.390625</v>
      </c>
      <c r="F83" s="15" t="n">
        <f aca="false">E83*(1+IF(F$3&lt;=$O$2,$D83,$D83-($D83-$I$76)*MIN(F$3-$O$2,$Q$2)/$Q$2))</f>
        <v>2774.70275878906</v>
      </c>
      <c r="G83" s="15" t="n">
        <f aca="false">F83*(1+IF(G$3&lt;=$O$2,$D83,$D83-($D83-$I$76)*MIN(G$3-$O$2,$Q$2)/$Q$2))</f>
        <v>2883.08958530426</v>
      </c>
      <c r="H83" s="15" t="n">
        <f aca="false">G83*(1+IF(H$3&lt;=$O$2,$D83,$D83-($D83-$I$76)*MIN(H$3-$O$2,$Q$2)/$Q$2))</f>
        <v>2995.71027223021</v>
      </c>
      <c r="I83" s="15" t="n">
        <f aca="false">H83*(1+IF(I$3&lt;=$O$2,$D83,$D83-($D83-$I$76)*MIN(I$3-$O$2,$Q$2)/$Q$2))</f>
        <v>3112.7302047392</v>
      </c>
      <c r="J83" s="15" t="n">
        <f aca="false">I83*(1+IF(J$3&lt;=$O$2,$D83,$D83-($D83-$I$76)*MIN(J$3-$O$2,$Q$2)/$Q$2))</f>
        <v>3224.50834639138</v>
      </c>
      <c r="K83" s="15" t="n">
        <f aca="false">J83*(1+IF(K$3&lt;=$O$2,$D83,$D83-($D83-$I$76)*MIN(K$3-$O$2,$Q$2)/$Q$2))</f>
        <v>3330.1351785483</v>
      </c>
      <c r="L83" s="15" t="n">
        <f aca="false">K83*(1+IF(L$3&lt;=$O$2,$D83,$D83-($D83-$I$76)*MIN(L$3-$O$2,$Q$2)/$Q$2))</f>
        <v>3428.72383050922</v>
      </c>
      <c r="M83" s="15" t="n">
        <f aca="false">L83*(1+IF(M$3&lt;=$O$2,$D83,$D83-($D83-$I$76)*MIN(M$3-$O$2,$Q$2)/$Q$2))</f>
        <v>3519.42214763577</v>
      </c>
      <c r="N83" s="15" t="n">
        <f aca="false">M83*(1+IF(N$3&lt;=$O$2,$D83,$D83-($D83-$I$76)*MIN(N$3-$O$2,$Q$2)/$Q$2))</f>
        <v>3601.42468367568</v>
      </c>
      <c r="O83" s="15" t="n">
        <f aca="false">SUMPRODUCT(E83:N83,1/(1+$F$76)^$E$3:$N$3)*$E$2</f>
        <v>4057.23043216622</v>
      </c>
      <c r="P83" s="15" t="n">
        <f aca="false">N83*$E$2*(1+$I$76)/($F$76-$I$76)/(1+$F$76)^$N$3</f>
        <v>5388.57975750338</v>
      </c>
      <c r="Q83" s="15" t="n">
        <f aca="false">O83+P83</f>
        <v>9445.8101896696</v>
      </c>
      <c r="R83" s="15" t="n">
        <f aca="false">Q83-$G$2+$I$2</f>
        <v>8069.61018966961</v>
      </c>
      <c r="S83" s="42" t="n">
        <f aca="false">R83/$K$2</f>
        <v>215.132236461466</v>
      </c>
      <c r="T83" s="43" t="n">
        <f aca="false">S83-$M$2</f>
        <v>10.6534308096403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0.015625</v>
      </c>
      <c r="C84" s="25" t="n">
        <f aca="false">IF(T83&gt;0,D83,C83)</f>
        <v>0.0390625</v>
      </c>
      <c r="D84" s="41" t="n">
        <f aca="false">(B84+C84)/2</f>
        <v>0.02734375</v>
      </c>
      <c r="E84" s="15" t="n">
        <f aca="false">$C$2*(1+IF(E$3&lt;=$O$2,$D84,$D84-($D84-$I$76)*MIN(E$3-$O$2,$Q$2)/$Q$2))</f>
        <v>2640.2734375</v>
      </c>
      <c r="F84" s="15" t="n">
        <f aca="false">E84*(1+IF(F$3&lt;=$O$2,$D84,$D84-($D84-$I$76)*MIN(F$3-$O$2,$Q$2)/$Q$2))</f>
        <v>2712.46841430664</v>
      </c>
      <c r="G84" s="15" t="n">
        <f aca="false">F84*(1+IF(G$3&lt;=$O$2,$D84,$D84-($D84-$I$76)*MIN(G$3-$O$2,$Q$2)/$Q$2))</f>
        <v>2786.63747251034</v>
      </c>
      <c r="H84" s="15" t="n">
        <f aca="false">G84*(1+IF(H$3&lt;=$O$2,$D84,$D84-($D84-$I$76)*MIN(H$3-$O$2,$Q$2)/$Q$2))</f>
        <v>2862.83459089929</v>
      </c>
      <c r="I84" s="15" t="n">
        <f aca="false">H84*(1+IF(I$3&lt;=$O$2,$D84,$D84-($D84-$I$76)*MIN(I$3-$O$2,$Q$2)/$Q$2))</f>
        <v>2941.1152242442</v>
      </c>
      <c r="J84" s="15" t="n">
        <f aca="false">I84*(1+IF(J$3&lt;=$O$2,$D84,$D84-($D84-$I$76)*MIN(J$3-$O$2,$Q$2)/$Q$2))</f>
        <v>3019.15771671951</v>
      </c>
      <c r="K84" s="15" t="n">
        <f aca="false">J84*(1+IF(K$3&lt;=$O$2,$D84,$D84-($D84-$I$76)*MIN(K$3-$O$2,$Q$2)/$Q$2))</f>
        <v>3096.82932292927</v>
      </c>
      <c r="L84" s="15" t="n">
        <f aca="false">K84*(1+IF(L$3&lt;=$O$2,$D84,$D84-($D84-$I$76)*MIN(L$3-$O$2,$Q$2)/$Q$2))</f>
        <v>3173.99456758336</v>
      </c>
      <c r="M84" s="15" t="n">
        <f aca="false">L84*(1+IF(M$3&lt;=$O$2,$D84,$D84-($D84-$I$76)*MIN(M$3-$O$2,$Q$2)/$Q$2))</f>
        <v>3250.51560911458</v>
      </c>
      <c r="N84" s="15" t="n">
        <f aca="false">M84*(1+IF(N$3&lt;=$O$2,$D84,$D84-($D84-$I$76)*MIN(N$3-$O$2,$Q$2)/$Q$2))</f>
        <v>3326.25262280695</v>
      </c>
      <c r="O84" s="15" t="n">
        <f aca="false">SUMPRODUCT(E84:N84,1/(1+$F$76)^$E$3:$N$3)*$E$2</f>
        <v>3855.05666562797</v>
      </c>
      <c r="P84" s="15" t="n">
        <f aca="false">N84*$E$2*(1+$I$76)/($F$76-$I$76)/(1+$F$76)^$N$3</f>
        <v>4976.85752886737</v>
      </c>
      <c r="Q84" s="15" t="n">
        <f aca="false">O84+P84</f>
        <v>8831.91419449533</v>
      </c>
      <c r="R84" s="15" t="n">
        <f aca="false">Q84-$G$2+$I$2</f>
        <v>7455.71419449533</v>
      </c>
      <c r="S84" s="42" t="n">
        <f aca="false">R84/$K$2</f>
        <v>198.766040908967</v>
      </c>
      <c r="T84" s="43" t="n">
        <f aca="false">S84-$M$2</f>
        <v>-5.71276474285958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0.02734375</v>
      </c>
      <c r="C85" s="25" t="n">
        <f aca="false">IF(T84&gt;0,D84,C84)</f>
        <v>0.0390625</v>
      </c>
      <c r="D85" s="41" t="n">
        <f aca="false">(B85+C85)/2</f>
        <v>0.033203125</v>
      </c>
      <c r="E85" s="15" t="n">
        <f aca="false">$C$2*(1+IF(E$3&lt;=$O$2,$D85,$D85-($D85-$I$76)*MIN(E$3-$O$2,$Q$2)/$Q$2))</f>
        <v>2655.33203125</v>
      </c>
      <c r="F85" s="15" t="n">
        <f aca="false">E85*(1+IF(F$3&lt;=$O$2,$D85,$D85-($D85-$I$76)*MIN(F$3-$O$2,$Q$2)/$Q$2))</f>
        <v>2743.4973526001</v>
      </c>
      <c r="G85" s="15" t="n">
        <f aca="false">F85*(1+IF(G$3&lt;=$O$2,$D85,$D85-($D85-$I$76)*MIN(G$3-$O$2,$Q$2)/$Q$2))</f>
        <v>2834.59003813565</v>
      </c>
      <c r="H85" s="15" t="n">
        <f aca="false">G85*(1+IF(H$3&lt;=$O$2,$D85,$D85-($D85-$I$76)*MIN(H$3-$O$2,$Q$2)/$Q$2))</f>
        <v>2928.70728549562</v>
      </c>
      <c r="I85" s="15" t="n">
        <f aca="false">H85*(1+IF(I$3&lt;=$O$2,$D85,$D85-($D85-$I$76)*MIN(I$3-$O$2,$Q$2)/$Q$2))</f>
        <v>3025.94951958434</v>
      </c>
      <c r="J85" s="15" t="n">
        <f aca="false">I85*(1+IF(J$3&lt;=$O$2,$D85,$D85-($D85-$I$76)*MIN(J$3-$O$2,$Q$2)/$Q$2))</f>
        <v>3120.42722845956</v>
      </c>
      <c r="K85" s="15" t="n">
        <f aca="false">J85*(1+IF(K$3&lt;=$O$2,$D85,$D85-($D85-$I$76)*MIN(K$3-$O$2,$Q$2)/$Q$2))</f>
        <v>3211.67437142078</v>
      </c>
      <c r="L85" s="15" t="n">
        <f aca="false">K85*(1+IF(L$3&lt;=$O$2,$D85,$D85-($D85-$I$76)*MIN(L$3-$O$2,$Q$2)/$Q$2))</f>
        <v>3299.22862937867</v>
      </c>
      <c r="M85" s="15" t="n">
        <f aca="false">L85*(1+IF(M$3&lt;=$O$2,$D85,$D85-($D85-$I$76)*MIN(M$3-$O$2,$Q$2)/$Q$2))</f>
        <v>3382.63519114726</v>
      </c>
      <c r="N85" s="15" t="n">
        <f aca="false">M85*(1+IF(N$3&lt;=$O$2,$D85,$D85-($D85-$I$76)*MIN(N$3-$O$2,$Q$2)/$Q$2))</f>
        <v>3461.45059110099</v>
      </c>
      <c r="O85" s="15" t="n">
        <f aca="false">SUMPRODUCT(E85:N85,1/(1+$F$76)^$E$3:$N$3)*$E$2</f>
        <v>3954.83540451742</v>
      </c>
      <c r="P85" s="15" t="n">
        <f aca="false">N85*$E$2*(1+$I$76)/($F$76-$I$76)/(1+$F$76)^$N$3</f>
        <v>5179.14553963906</v>
      </c>
      <c r="Q85" s="15" t="n">
        <f aca="false">O85+P85</f>
        <v>9133.98094415648</v>
      </c>
      <c r="R85" s="15" t="n">
        <f aca="false">Q85-$G$2+$I$2</f>
        <v>7757.78094415648</v>
      </c>
      <c r="S85" s="42" t="n">
        <f aca="false">R85/$K$2</f>
        <v>206.819006775699</v>
      </c>
      <c r="T85" s="43" t="n">
        <f aca="false">S85-$M$2</f>
        <v>2.34020112387313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0.02734375</v>
      </c>
      <c r="C86" s="25" t="n">
        <f aca="false">IF(T85&gt;0,D85,C85)</f>
        <v>0.033203125</v>
      </c>
      <c r="D86" s="41" t="n">
        <f aca="false">(B86+C86)/2</f>
        <v>0.0302734375</v>
      </c>
      <c r="E86" s="15" t="n">
        <f aca="false">$C$2*(1+IF(E$3&lt;=$O$2,$D86,$D86-($D86-$I$76)*MIN(E$3-$O$2,$Q$2)/$Q$2))</f>
        <v>2647.802734375</v>
      </c>
      <c r="F86" s="15" t="n">
        <f aca="false">E86*(1+IF(F$3&lt;=$O$2,$D86,$D86-($D86-$I$76)*MIN(F$3-$O$2,$Q$2)/$Q$2))</f>
        <v>2727.96082496643</v>
      </c>
      <c r="G86" s="15" t="n">
        <f aca="false">F86*(1+IF(G$3&lt;=$O$2,$D86,$D86-($D86-$I$76)*MIN(G$3-$O$2,$Q$2)/$Q$2))</f>
        <v>2810.5455765035</v>
      </c>
      <c r="H86" s="15" t="n">
        <f aca="false">G86*(1+IF(H$3&lt;=$O$2,$D86,$D86-($D86-$I$76)*MIN(H$3-$O$2,$Q$2)/$Q$2))</f>
        <v>2895.63045235468</v>
      </c>
      <c r="I86" s="15" t="n">
        <f aca="false">H86*(1+IF(I$3&lt;=$O$2,$D86,$D86-($D86-$I$76)*MIN(I$3-$O$2,$Q$2)/$Q$2))</f>
        <v>2983.29113987714</v>
      </c>
      <c r="J86" s="15" t="n">
        <f aca="false">I86*(1+IF(J$3&lt;=$O$2,$D86,$D86-($D86-$I$76)*MIN(J$3-$O$2,$Q$2)/$Q$2))</f>
        <v>3069.44485888286</v>
      </c>
      <c r="K86" s="15" t="n">
        <f aca="false">J86*(1+IF(K$3&lt;=$O$2,$D86,$D86-($D86-$I$76)*MIN(K$3-$O$2,$Q$2)/$Q$2))</f>
        <v>3153.8056732247</v>
      </c>
      <c r="L86" s="15" t="n">
        <f aca="false">K86*(1+IF(L$3&lt;=$O$2,$D86,$D86-($D86-$I$76)*MIN(L$3-$O$2,$Q$2)/$Q$2))</f>
        <v>3236.08649211059</v>
      </c>
      <c r="M86" s="15" t="n">
        <f aca="false">L86*(1+IF(M$3&lt;=$O$2,$D86,$D86-($D86-$I$76)*MIN(M$3-$O$2,$Q$2)/$Q$2))</f>
        <v>3316.00063675623</v>
      </c>
      <c r="N86" s="15" t="n">
        <f aca="false">M86*(1+IF(N$3&lt;=$O$2,$D86,$D86-($D86-$I$76)*MIN(N$3-$O$2,$Q$2)/$Q$2))</f>
        <v>3393.26345159265</v>
      </c>
      <c r="O86" s="15" t="n">
        <f aca="false">SUMPRODUCT(E86:N86,1/(1+$F$76)^$E$3:$N$3)*$E$2</f>
        <v>3904.62296323524</v>
      </c>
      <c r="P86" s="15" t="n">
        <f aca="false">N86*$E$2*(1+$I$76)/($F$76-$I$76)/(1+$F$76)^$N$3</f>
        <v>5077.12151527388</v>
      </c>
      <c r="Q86" s="15" t="n">
        <f aca="false">O86+P86</f>
        <v>8981.74447850912</v>
      </c>
      <c r="R86" s="15" t="n">
        <f aca="false">Q86-$G$2+$I$2</f>
        <v>7605.54447850912</v>
      </c>
      <c r="S86" s="42" t="n">
        <f aca="false">R86/$K$2</f>
        <v>202.760449973584</v>
      </c>
      <c r="T86" s="43" t="n">
        <f aca="false">S86-$M$2</f>
        <v>-1.7183556782426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0.0302734375</v>
      </c>
      <c r="C87" s="25" t="n">
        <f aca="false">IF(T86&gt;0,D86,C86)</f>
        <v>0.033203125</v>
      </c>
      <c r="D87" s="41" t="n">
        <f aca="false">(B87+C87)/2</f>
        <v>0.03173828125</v>
      </c>
      <c r="E87" s="15" t="n">
        <f aca="false">$C$2*(1+IF(E$3&lt;=$O$2,$D87,$D87-($D87-$I$76)*MIN(E$3-$O$2,$Q$2)/$Q$2))</f>
        <v>2651.5673828125</v>
      </c>
      <c r="F87" s="15" t="n">
        <f aca="false">E87*(1+IF(F$3&lt;=$O$2,$D87,$D87-($D87-$I$76)*MIN(F$3-$O$2,$Q$2)/$Q$2))</f>
        <v>2735.72357416153</v>
      </c>
      <c r="G87" s="15" t="n">
        <f aca="false">F87*(1+IF(G$3&lt;=$O$2,$D87,$D87-($D87-$I$76)*MIN(G$3-$O$2,$Q$2)/$Q$2))</f>
        <v>2822.55073838052</v>
      </c>
      <c r="H87" s="15" t="n">
        <f aca="false">G87*(1+IF(H$3&lt;=$O$2,$D87,$D87-($D87-$I$76)*MIN(H$3-$O$2,$Q$2)/$Q$2))</f>
        <v>2912.13364755764</v>
      </c>
      <c r="I87" s="15" t="n">
        <f aca="false">H87*(1+IF(I$3&lt;=$O$2,$D87,$D87-($D87-$I$76)*MIN(I$3-$O$2,$Q$2)/$Q$2))</f>
        <v>3004.55976430141</v>
      </c>
      <c r="J87" s="15" t="n">
        <f aca="false">I87*(1+IF(J$3&lt;=$O$2,$D87,$D87-($D87-$I$76)*MIN(J$3-$O$2,$Q$2)/$Q$2))</f>
        <v>3094.84866306852</v>
      </c>
      <c r="K87" s="15" t="n">
        <f aca="false">J87*(1+IF(K$3&lt;=$O$2,$D87,$D87-($D87-$I$76)*MIN(K$3-$O$2,$Q$2)/$Q$2))</f>
        <v>3182.62775898511</v>
      </c>
      <c r="L87" s="15" t="n">
        <f aca="false">K87*(1+IF(L$3&lt;=$O$2,$D87,$D87-($D87-$I$76)*MIN(L$3-$O$2,$Q$2)/$Q$2))</f>
        <v>3267.52534902722</v>
      </c>
      <c r="M87" s="15" t="n">
        <f aca="false">L87*(1+IF(M$3&lt;=$O$2,$D87,$D87-($D87-$I$76)*MIN(M$3-$O$2,$Q$2)/$Q$2))</f>
        <v>3349.17314923687</v>
      </c>
      <c r="N87" s="15" t="n">
        <f aca="false">M87*(1+IF(N$3&lt;=$O$2,$D87,$D87-($D87-$I$76)*MIN(N$3-$O$2,$Q$2)/$Q$2))</f>
        <v>3427.20888361409</v>
      </c>
      <c r="O87" s="15" t="n">
        <f aca="false">SUMPRODUCT(E87:N87,1/(1+$F$76)^$E$3:$N$3)*$E$2</f>
        <v>3929.64792366283</v>
      </c>
      <c r="P87" s="15" t="n">
        <f aca="false">N87*$E$2*(1+$I$76)/($F$76-$I$76)/(1+$F$76)^$N$3</f>
        <v>5127.91187850972</v>
      </c>
      <c r="Q87" s="15" t="n">
        <f aca="false">O87+P87</f>
        <v>9057.55980217256</v>
      </c>
      <c r="R87" s="15" t="n">
        <f aca="false">Q87-$G$2+$I$2</f>
        <v>7681.35980217256</v>
      </c>
      <c r="S87" s="42" t="n">
        <f aca="false">R87/$K$2</f>
        <v>204.781652950481</v>
      </c>
      <c r="T87" s="43" t="n">
        <f aca="false">S87-$M$2</f>
        <v>0.302847298655308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0.0302734375</v>
      </c>
      <c r="C88" s="25" t="n">
        <f aca="false">IF(T87&gt;0,D87,C87)</f>
        <v>0.03173828125</v>
      </c>
      <c r="D88" s="41" t="n">
        <f aca="false">(B88+C88)/2</f>
        <v>0.031005859375</v>
      </c>
      <c r="E88" s="15" t="n">
        <f aca="false">$C$2*(1+IF(E$3&lt;=$O$2,$D88,$D88-($D88-$I$76)*MIN(E$3-$O$2,$Q$2)/$Q$2))</f>
        <v>2649.68505859375</v>
      </c>
      <c r="F88" s="15" t="n">
        <f aca="false">E88*(1+IF(F$3&lt;=$O$2,$D88,$D88-($D88-$I$76)*MIN(F$3-$O$2,$Q$2)/$Q$2))</f>
        <v>2731.84082090855</v>
      </c>
      <c r="G88" s="15" t="n">
        <f aca="false">F88*(1+IF(G$3&lt;=$O$2,$D88,$D88-($D88-$I$76)*MIN(G$3-$O$2,$Q$2)/$Q$2))</f>
        <v>2816.54389323652</v>
      </c>
      <c r="H88" s="15" t="n">
        <f aca="false">G88*(1+IF(H$3&lt;=$O$2,$D88,$D88-($D88-$I$76)*MIN(H$3-$O$2,$Q$2)/$Q$2))</f>
        <v>2903.87325711373</v>
      </c>
      <c r="I88" s="15" t="n">
        <f aca="false">H88*(1+IF(I$3&lt;=$O$2,$D88,$D88-($D88-$I$76)*MIN(I$3-$O$2,$Q$2)/$Q$2))</f>
        <v>2993.91034296662</v>
      </c>
      <c r="J88" s="15" t="n">
        <f aca="false">I88*(1+IF(J$3&lt;=$O$2,$D88,$D88-($D88-$I$76)*MIN(J$3-$O$2,$Q$2)/$Q$2))</f>
        <v>3082.12497562515</v>
      </c>
      <c r="K88" s="15" t="n">
        <f aca="false">J88*(1+IF(K$3&lt;=$O$2,$D88,$D88-($D88-$I$76)*MIN(K$3-$O$2,$Q$2)/$Q$2))</f>
        <v>3168.18874054022</v>
      </c>
      <c r="L88" s="15" t="n">
        <f aca="false">K88*(1+IF(L$3&lt;=$O$2,$D88,$D88-($D88-$I$76)*MIN(L$3-$O$2,$Q$2)/$Q$2))</f>
        <v>3251.77298495803</v>
      </c>
      <c r="M88" s="15" t="n">
        <f aca="false">L88*(1+IF(M$3&lt;=$O$2,$D88,$D88-($D88-$I$76)*MIN(M$3-$O$2,$Q$2)/$Q$2))</f>
        <v>3332.55083657586</v>
      </c>
      <c r="N88" s="15" t="n">
        <f aca="false">M88*(1+IF(N$3&lt;=$O$2,$D88,$D88-($D88-$I$76)*MIN(N$3-$O$2,$Q$2)/$Q$2))</f>
        <v>3410.19927106807</v>
      </c>
      <c r="O88" s="15" t="n">
        <f aca="false">SUMPRODUCT(E88:N88,1/(1+$F$76)^$E$3:$N$3)*$E$2</f>
        <v>3917.11519013132</v>
      </c>
      <c r="P88" s="15" t="n">
        <f aca="false">N88*$E$2*(1+$I$76)/($F$76-$I$76)/(1+$F$76)^$N$3</f>
        <v>5102.46149098284</v>
      </c>
      <c r="Q88" s="15" t="n">
        <f aca="false">O88+P88</f>
        <v>9019.57668111416</v>
      </c>
      <c r="R88" s="15" t="n">
        <f aca="false">Q88-$G$2+$I$2</f>
        <v>7643.37668111416</v>
      </c>
      <c r="S88" s="42" t="n">
        <f aca="false">R88/$K$2</f>
        <v>203.769039752444</v>
      </c>
      <c r="T88" s="43" t="n">
        <f aca="false">S88-$M$2</f>
        <v>-0.709765899382546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0.031005859375</v>
      </c>
      <c r="C89" s="25" t="n">
        <f aca="false">IF(T88&gt;0,D88,C88)</f>
        <v>0.03173828125</v>
      </c>
      <c r="D89" s="41" t="n">
        <f aca="false">(B89+C89)/2</f>
        <v>0.0313720703125</v>
      </c>
      <c r="E89" s="15" t="n">
        <f aca="false">$C$2*(1+IF(E$3&lt;=$O$2,$D89,$D89-($D89-$I$76)*MIN(E$3-$O$2,$Q$2)/$Q$2))</f>
        <v>2650.62622070313</v>
      </c>
      <c r="F89" s="15" t="n">
        <f aca="false">E89*(1+IF(F$3&lt;=$O$2,$D89,$D89-($D89-$I$76)*MIN(F$3-$O$2,$Q$2)/$Q$2))</f>
        <v>2733.78185287118</v>
      </c>
      <c r="G89" s="15" t="n">
        <f aca="false">F89*(1+IF(G$3&lt;=$O$2,$D89,$D89-($D89-$I$76)*MIN(G$3-$O$2,$Q$2)/$Q$2))</f>
        <v>2819.54624937849</v>
      </c>
      <c r="H89" s="15" t="n">
        <f aca="false">G89*(1+IF(H$3&lt;=$O$2,$D89,$D89-($D89-$I$76)*MIN(H$3-$O$2,$Q$2)/$Q$2))</f>
        <v>2908.00125256334</v>
      </c>
      <c r="I89" s="15" t="n">
        <f aca="false">H89*(1+IF(I$3&lt;=$O$2,$D89,$D89-($D89-$I$76)*MIN(I$3-$O$2,$Q$2)/$Q$2))</f>
        <v>2999.23127232759</v>
      </c>
      <c r="J89" s="15" t="n">
        <f aca="false">I89*(1+IF(J$3&lt;=$O$2,$D89,$D89-($D89-$I$76)*MIN(J$3-$O$2,$Q$2)/$Q$2))</f>
        <v>3088.48136554377</v>
      </c>
      <c r="K89" s="15" t="n">
        <f aca="false">J89*(1+IF(K$3&lt;=$O$2,$D89,$D89-($D89-$I$76)*MIN(K$3-$O$2,$Q$2)/$Q$2))</f>
        <v>3175.40124460585</v>
      </c>
      <c r="L89" s="15" t="n">
        <f aca="false">K89*(1+IF(L$3&lt;=$O$2,$D89,$D89-($D89-$I$76)*MIN(L$3-$O$2,$Q$2)/$Q$2))</f>
        <v>3259.64091845191</v>
      </c>
      <c r="M89" s="15" t="n">
        <f aca="false">L89*(1+IF(M$3&lt;=$O$2,$D89,$D89-($D89-$I$76)*MIN(M$3-$O$2,$Q$2)/$Q$2))</f>
        <v>3340.85296198929</v>
      </c>
      <c r="N89" s="15" t="n">
        <f aca="false">M89*(1+IF(N$3&lt;=$O$2,$D89,$D89-($D89-$I$76)*MIN(N$3-$O$2,$Q$2)/$Q$2))</f>
        <v>3418.69483600364</v>
      </c>
      <c r="O89" s="15" t="n">
        <f aca="false">SUMPRODUCT(E89:N89,1/(1+$F$76)^$E$3:$N$3)*$E$2</f>
        <v>3923.37648586346</v>
      </c>
      <c r="P89" s="15" t="n">
        <f aca="false">N89*$E$2*(1+$I$76)/($F$76-$I$76)/(1+$F$76)^$N$3</f>
        <v>5115.17285752837</v>
      </c>
      <c r="Q89" s="15" t="n">
        <f aca="false">O89+P89</f>
        <v>9038.54934339184</v>
      </c>
      <c r="R89" s="15" t="n">
        <f aca="false">Q89-$G$2+$I$2</f>
        <v>7662.34934339184</v>
      </c>
      <c r="S89" s="42" t="n">
        <f aca="false">R89/$K$2</f>
        <v>204.27484253244</v>
      </c>
      <c r="T89" s="43" t="n">
        <f aca="false">S89-$M$2</f>
        <v>-0.203963119385804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0.0313720703125</v>
      </c>
      <c r="C90" s="25" t="n">
        <f aca="false">IF(T89&gt;0,D89,C89)</f>
        <v>0.03173828125</v>
      </c>
      <c r="D90" s="41" t="n">
        <f aca="false">(B90+C90)/2</f>
        <v>0.03155517578125</v>
      </c>
      <c r="E90" s="15" t="n">
        <f aca="false">$C$2*(1+IF(E$3&lt;=$O$2,$D90,$D90-($D90-$I$76)*MIN(E$3-$O$2,$Q$2)/$Q$2))</f>
        <v>2651.09680175781</v>
      </c>
      <c r="F90" s="15" t="n">
        <f aca="false">E90*(1+IF(F$3&lt;=$O$2,$D90,$D90-($D90-$I$76)*MIN(F$3-$O$2,$Q$2)/$Q$2))</f>
        <v>2734.75262735039</v>
      </c>
      <c r="G90" s="15" t="n">
        <f aca="false">F90*(1+IF(G$3&lt;=$O$2,$D90,$D90-($D90-$I$76)*MIN(G$3-$O$2,$Q$2)/$Q$2))</f>
        <v>2821.04822722467</v>
      </c>
      <c r="H90" s="15" t="n">
        <f aca="false">G90*(1+IF(H$3&lt;=$O$2,$D90,$D90-($D90-$I$76)*MIN(H$3-$O$2,$Q$2)/$Q$2))</f>
        <v>2910.06689992213</v>
      </c>
      <c r="I90" s="15" t="n">
        <f aca="false">H90*(1+IF(I$3&lt;=$O$2,$D90,$D90-($D90-$I$76)*MIN(I$3-$O$2,$Q$2)/$Q$2))</f>
        <v>3001.89457248436</v>
      </c>
      <c r="J90" s="15" t="n">
        <f aca="false">I90*(1+IF(J$3&lt;=$O$2,$D90,$D90-($D90-$I$76)*MIN(J$3-$O$2,$Q$2)/$Q$2))</f>
        <v>3091.66364992136</v>
      </c>
      <c r="K90" s="15" t="n">
        <f aca="false">J90*(1+IF(K$3&lt;=$O$2,$D90,$D90-($D90-$I$76)*MIN(K$3-$O$2,$Q$2)/$Q$2))</f>
        <v>3179.01274909649</v>
      </c>
      <c r="L90" s="15" t="n">
        <f aca="false">K90*(1+IF(L$3&lt;=$O$2,$D90,$D90-($D90-$I$76)*MIN(L$3-$O$2,$Q$2)/$Q$2))</f>
        <v>3263.58106977229</v>
      </c>
      <c r="M90" s="15" t="n">
        <f aca="false">L90*(1+IF(M$3&lt;=$O$2,$D90,$D90-($D90-$I$76)*MIN(M$3-$O$2,$Q$2)/$Q$2))</f>
        <v>3345.01079577945</v>
      </c>
      <c r="N90" s="15" t="n">
        <f aca="false">M90*(1+IF(N$3&lt;=$O$2,$D90,$D90-($D90-$I$76)*MIN(N$3-$O$2,$Q$2)/$Q$2))</f>
        <v>3422.94954732111</v>
      </c>
      <c r="O90" s="15" t="n">
        <f aca="false">SUMPRODUCT(E90:N90,1/(1+$F$76)^$E$3:$N$3)*$E$2</f>
        <v>3926.51093604061</v>
      </c>
      <c r="P90" s="15" t="n">
        <f aca="false">N90*$E$2*(1+$I$76)/($F$76-$I$76)/(1+$F$76)^$N$3</f>
        <v>5121.53890799259</v>
      </c>
      <c r="Q90" s="15" t="n">
        <f aca="false">O90+P90</f>
        <v>9048.0498440332</v>
      </c>
      <c r="R90" s="15" t="n">
        <f aca="false">Q90-$G$2+$I$2</f>
        <v>7671.8498440332</v>
      </c>
      <c r="S90" s="42" t="n">
        <f aca="false">R90/$K$2</f>
        <v>204.528121675105</v>
      </c>
      <c r="T90" s="43" t="n">
        <f aca="false">S90-$M$2</f>
        <v>0.0493160232791183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0.0313720703125</v>
      </c>
      <c r="C91" s="25" t="n">
        <f aca="false">IF(T90&gt;0,D90,C90)</f>
        <v>0.03155517578125</v>
      </c>
      <c r="D91" s="41" t="n">
        <f aca="false">(B91+C91)/2</f>
        <v>0.031463623046875</v>
      </c>
      <c r="E91" s="15" t="n">
        <f aca="false">$C$2*(1+IF(E$3&lt;=$O$2,$D91,$D91-($D91-$I$76)*MIN(E$3-$O$2,$Q$2)/$Q$2))</f>
        <v>2650.86151123047</v>
      </c>
      <c r="F91" s="15" t="n">
        <f aca="false">E91*(1+IF(F$3&lt;=$O$2,$D91,$D91-($D91-$I$76)*MIN(F$3-$O$2,$Q$2)/$Q$2))</f>
        <v>2734.26721856929</v>
      </c>
      <c r="G91" s="15" t="n">
        <f aca="false">F91*(1+IF(G$3&lt;=$O$2,$D91,$D91-($D91-$I$76)*MIN(G$3-$O$2,$Q$2)/$Q$2))</f>
        <v>2820.29717164379</v>
      </c>
      <c r="H91" s="15" t="n">
        <f aca="false">G91*(1+IF(H$3&lt;=$O$2,$D91,$D91-($D91-$I$76)*MIN(H$3-$O$2,$Q$2)/$Q$2))</f>
        <v>2909.03393873255</v>
      </c>
      <c r="I91" s="15" t="n">
        <f aca="false">H91*(1+IF(I$3&lt;=$O$2,$D91,$D91-($D91-$I$76)*MIN(I$3-$O$2,$Q$2)/$Q$2))</f>
        <v>3000.5626860114</v>
      </c>
      <c r="J91" s="15" t="n">
        <f aca="false">I91*(1+IF(J$3&lt;=$O$2,$D91,$D91-($D91-$I$76)*MIN(J$3-$O$2,$Q$2)/$Q$2))</f>
        <v>3090.07216675316</v>
      </c>
      <c r="K91" s="15" t="n">
        <f aca="false">J91*(1+IF(K$3&lt;=$O$2,$D91,$D91-($D91-$I$76)*MIN(K$3-$O$2,$Q$2)/$Q$2))</f>
        <v>3177.20655885272</v>
      </c>
      <c r="L91" s="15" t="n">
        <f aca="false">K91*(1+IF(L$3&lt;=$O$2,$D91,$D91-($D91-$I$76)*MIN(L$3-$O$2,$Q$2)/$Q$2))</f>
        <v>3261.6104783494</v>
      </c>
      <c r="M91" s="15" t="n">
        <f aca="false">L91*(1+IF(M$3&lt;=$O$2,$D91,$D91-($D91-$I$76)*MIN(M$3-$O$2,$Q$2)/$Q$2))</f>
        <v>3342.93131418913</v>
      </c>
      <c r="N91" s="15" t="n">
        <f aca="false">M91*(1+IF(N$3&lt;=$O$2,$D91,$D91-($D91-$I$76)*MIN(N$3-$O$2,$Q$2)/$Q$2))</f>
        <v>3420.82161380974</v>
      </c>
      <c r="O91" s="15" t="n">
        <f aca="false">SUMPRODUCT(E91:N91,1/(1+$F$76)^$E$3:$N$3)*$E$2</f>
        <v>3924.94339389197</v>
      </c>
      <c r="P91" s="15" t="n">
        <f aca="false">N91*$E$2*(1+$I$76)/($F$76-$I$76)/(1+$F$76)^$N$3</f>
        <v>5118.35501815681</v>
      </c>
      <c r="Q91" s="15" t="n">
        <f aca="false">O91+P91</f>
        <v>9043.29841204877</v>
      </c>
      <c r="R91" s="15" t="n">
        <f aca="false">Q91-$G$2+$I$2</f>
        <v>7667.09841204878</v>
      </c>
      <c r="S91" s="42" t="n">
        <f aca="false">R91/$K$2</f>
        <v>204.40145060114</v>
      </c>
      <c r="T91" s="43" t="n">
        <f aca="false">S91-$M$2</f>
        <v>-0.0773550506857248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0.031463623046875</v>
      </c>
      <c r="C92" s="25" t="n">
        <f aca="false">IF(T91&gt;0,D91,C91)</f>
        <v>0.03155517578125</v>
      </c>
      <c r="D92" s="41" t="n">
        <f aca="false">(B92+C92)/2</f>
        <v>0.0315093994140625</v>
      </c>
      <c r="E92" s="15" t="n">
        <f aca="false">$C$2*(1+IF(E$3&lt;=$O$2,$D92,$D92-($D92-$I$76)*MIN(E$3-$O$2,$Q$2)/$Q$2))</f>
        <v>2650.97915649414</v>
      </c>
      <c r="F92" s="15" t="n">
        <f aca="false">E92*(1+IF(F$3&lt;=$O$2,$D92,$D92-($D92-$I$76)*MIN(F$3-$O$2,$Q$2)/$Q$2))</f>
        <v>2734.50991757447</v>
      </c>
      <c r="G92" s="15" t="n">
        <f aca="false">F92*(1+IF(G$3&lt;=$O$2,$D92,$D92-($D92-$I$76)*MIN(G$3-$O$2,$Q$2)/$Q$2))</f>
        <v>2820.67268276904</v>
      </c>
      <c r="H92" s="15" t="n">
        <f aca="false">G92*(1+IF(H$3&lt;=$O$2,$D92,$D92-($D92-$I$76)*MIN(H$3-$O$2,$Q$2)/$Q$2))</f>
        <v>2909.55038494674</v>
      </c>
      <c r="I92" s="15" t="n">
        <f aca="false">H92*(1+IF(I$3&lt;=$O$2,$D92,$D92-($D92-$I$76)*MIN(I$3-$O$2,$Q$2)/$Q$2))</f>
        <v>3001.22857014137</v>
      </c>
      <c r="J92" s="15" t="n">
        <f aca="false">I92*(1+IF(J$3&lt;=$O$2,$D92,$D92-($D92-$I$76)*MIN(J$3-$O$2,$Q$2)/$Q$2))</f>
        <v>3090.86782307781</v>
      </c>
      <c r="K92" s="15" t="n">
        <f aca="false">J92*(1+IF(K$3&lt;=$O$2,$D92,$D92-($D92-$I$76)*MIN(K$3-$O$2,$Q$2)/$Q$2))</f>
        <v>3178.10954445296</v>
      </c>
      <c r="L92" s="15" t="n">
        <f aca="false">K92*(1+IF(L$3&lt;=$O$2,$D92,$D92-($D92-$I$76)*MIN(L$3-$O$2,$Q$2)/$Q$2))</f>
        <v>3262.59564509153</v>
      </c>
      <c r="M92" s="15" t="n">
        <f aca="false">L92*(1+IF(M$3&lt;=$O$2,$D92,$D92-($D92-$I$76)*MIN(M$3-$O$2,$Q$2)/$Q$2))</f>
        <v>3343.9709137776</v>
      </c>
      <c r="N92" s="15" t="n">
        <f aca="false">M92*(1+IF(N$3&lt;=$O$2,$D92,$D92-($D92-$I$76)*MIN(N$3-$O$2,$Q$2)/$Q$2))</f>
        <v>3421.88543606861</v>
      </c>
      <c r="O92" s="15" t="n">
        <f aca="false">SUMPRODUCT(E92:N92,1/(1+$F$76)^$E$3:$N$3)*$E$2</f>
        <v>3925.7270856862</v>
      </c>
      <c r="P92" s="15" t="n">
        <f aca="false">N92*$E$2*(1+$I$76)/($F$76-$I$76)/(1+$F$76)^$N$3</f>
        <v>5119.94674687343</v>
      </c>
      <c r="Q92" s="15" t="n">
        <f aca="false">O92+P92</f>
        <v>9045.67383255963</v>
      </c>
      <c r="R92" s="15" t="n">
        <f aca="false">Q92-$G$2+$I$2</f>
        <v>7669.47383255963</v>
      </c>
      <c r="S92" s="42" t="n">
        <f aca="false">R92/$K$2</f>
        <v>204.464778260721</v>
      </c>
      <c r="T92" s="43" t="n">
        <f aca="false">S92-$M$2</f>
        <v>-0.0140273911055431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0.0315093994140625</v>
      </c>
      <c r="C93" s="25" t="n">
        <f aca="false">IF(T92&gt;0,D92,C92)</f>
        <v>0.03155517578125</v>
      </c>
      <c r="D93" s="41" t="n">
        <f aca="false">(B93+C93)/2</f>
        <v>0.0315322875976563</v>
      </c>
      <c r="E93" s="15" t="n">
        <f aca="false">$C$2*(1+IF(E$3&lt;=$O$2,$D93,$D93-($D93-$I$76)*MIN(E$3-$O$2,$Q$2)/$Q$2))</f>
        <v>2651.03797912598</v>
      </c>
      <c r="F93" s="15" t="n">
        <f aca="false">E93*(1+IF(F$3&lt;=$O$2,$D93,$D93-($D93-$I$76)*MIN(F$3-$O$2,$Q$2)/$Q$2))</f>
        <v>2734.63127111609</v>
      </c>
      <c r="G93" s="15" t="n">
        <f aca="false">F93*(1+IF(G$3&lt;=$O$2,$D93,$D93-($D93-$I$76)*MIN(G$3-$O$2,$Q$2)/$Q$2))</f>
        <v>2820.86045083046</v>
      </c>
      <c r="H93" s="15" t="n">
        <f aca="false">G93*(1+IF(H$3&lt;=$O$2,$D93,$D93-($D93-$I$76)*MIN(H$3-$O$2,$Q$2)/$Q$2))</f>
        <v>2909.8086338389</v>
      </c>
      <c r="I93" s="15" t="n">
        <f aca="false">H93*(1+IF(I$3&lt;=$O$2,$D93,$D93-($D93-$I$76)*MIN(I$3-$O$2,$Q$2)/$Q$2))</f>
        <v>3001.56155653526</v>
      </c>
      <c r="J93" s="15" t="n">
        <f aca="false">I93*(1+IF(J$3&lt;=$O$2,$D93,$D93-($D93-$I$76)*MIN(J$3-$O$2,$Q$2)/$Q$2))</f>
        <v>3091.2657151829</v>
      </c>
      <c r="K93" s="15" t="n">
        <f aca="false">J93*(1+IF(K$3&lt;=$O$2,$D93,$D93-($D93-$I$76)*MIN(K$3-$O$2,$Q$2)/$Q$2))</f>
        <v>3178.56111939156</v>
      </c>
      <c r="L93" s="15" t="n">
        <f aca="false">K93*(1+IF(L$3&lt;=$O$2,$D93,$D93-($D93-$I$76)*MIN(L$3-$O$2,$Q$2)/$Q$2))</f>
        <v>3263.08832518601</v>
      </c>
      <c r="M93" s="15" t="n">
        <f aca="false">L93*(1+IF(M$3&lt;=$O$2,$D93,$D93-($D93-$I$76)*MIN(M$3-$O$2,$Q$2)/$Q$2))</f>
        <v>3344.49081947274</v>
      </c>
      <c r="N93" s="15" t="n">
        <f aca="false">M93*(1+IF(N$3&lt;=$O$2,$D93,$D93-($D93-$I$76)*MIN(N$3-$O$2,$Q$2)/$Q$2))</f>
        <v>3422.41745556645</v>
      </c>
      <c r="O93" s="15" t="n">
        <f aca="false">SUMPRODUCT(E93:N93,1/(1+$F$76)^$E$3:$N$3)*$E$2</f>
        <v>3926.1189910415</v>
      </c>
      <c r="P93" s="15" t="n">
        <f aca="false">N93*$E$2*(1+$I$76)/($F$76-$I$76)/(1+$F$76)^$N$3</f>
        <v>5120.74277337639</v>
      </c>
      <c r="Q93" s="15" t="n">
        <f aca="false">O93+P93</f>
        <v>9046.86176441789</v>
      </c>
      <c r="R93" s="15" t="n">
        <f aca="false">Q93-$G$2+$I$2</f>
        <v>7670.66176441789</v>
      </c>
      <c r="S93" s="42" t="n">
        <f aca="false">R93/$K$2</f>
        <v>204.496447998344</v>
      </c>
      <c r="T93" s="43" t="n">
        <f aca="false">S93-$M$2</f>
        <v>0.0176423465181585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0.0315093994140625</v>
      </c>
      <c r="C94" s="25" t="n">
        <f aca="false">IF(T93&gt;0,D93,C93)</f>
        <v>0.0315322875976563</v>
      </c>
      <c r="D94" s="41" t="n">
        <f aca="false">(B94+C94)/2</f>
        <v>0.0315208435058594</v>
      </c>
      <c r="E94" s="15" t="n">
        <f aca="false">$C$2*(1+IF(E$3&lt;=$O$2,$D94,$D94-($D94-$I$76)*MIN(E$3-$O$2,$Q$2)/$Q$2))</f>
        <v>2651.00856781006</v>
      </c>
      <c r="F94" s="15" t="n">
        <f aca="false">E94*(1+IF(F$3&lt;=$O$2,$D94,$D94-($D94-$I$76)*MIN(F$3-$O$2,$Q$2)/$Q$2))</f>
        <v>2734.57059400869</v>
      </c>
      <c r="G94" s="15" t="n">
        <f aca="false">F94*(1+IF(G$3&lt;=$O$2,$D94,$D94-($D94-$I$76)*MIN(G$3-$O$2,$Q$2)/$Q$2))</f>
        <v>2820.76656575816</v>
      </c>
      <c r="H94" s="15" t="n">
        <f aca="false">G94*(1+IF(H$3&lt;=$O$2,$D94,$D94-($D94-$I$76)*MIN(H$3-$O$2,$Q$2)/$Q$2))</f>
        <v>2909.67950724399</v>
      </c>
      <c r="I94" s="15" t="n">
        <f aca="false">H94*(1+IF(I$3&lt;=$O$2,$D94,$D94-($D94-$I$76)*MIN(I$3-$O$2,$Q$2)/$Q$2))</f>
        <v>3001.39505964403</v>
      </c>
      <c r="J94" s="15" t="n">
        <f aca="false">I94*(1+IF(J$3&lt;=$O$2,$D94,$D94-($D94-$I$76)*MIN(J$3-$O$2,$Q$2)/$Q$2))</f>
        <v>3091.06676380141</v>
      </c>
      <c r="K94" s="15" t="n">
        <f aca="false">J94*(1+IF(K$3&lt;=$O$2,$D94,$D94-($D94-$I$76)*MIN(K$3-$O$2,$Q$2)/$Q$2))</f>
        <v>3178.33532507681</v>
      </c>
      <c r="L94" s="15" t="n">
        <f aca="false">K94*(1+IF(L$3&lt;=$O$2,$D94,$D94-($D94-$I$76)*MIN(L$3-$O$2,$Q$2)/$Q$2))</f>
        <v>3262.84197707774</v>
      </c>
      <c r="M94" s="15" t="n">
        <f aca="false">L94*(1+IF(M$3&lt;=$O$2,$D94,$D94-($D94-$I$76)*MIN(M$3-$O$2,$Q$2)/$Q$2))</f>
        <v>3344.23085779923</v>
      </c>
      <c r="N94" s="15" t="n">
        <f aca="false">M94*(1+IF(N$3&lt;=$O$2,$D94,$D94-($D94-$I$76)*MIN(N$3-$O$2,$Q$2)/$Q$2))</f>
        <v>3422.15143678595</v>
      </c>
      <c r="O94" s="15" t="n">
        <f aca="false">SUMPRODUCT(E94:N94,1/(1+$F$76)^$E$3:$N$3)*$E$2</f>
        <v>3925.92303340861</v>
      </c>
      <c r="P94" s="15" t="n">
        <f aca="false">N94*$E$2*(1+$I$76)/($F$76-$I$76)/(1+$F$76)^$N$3</f>
        <v>5120.34474661154</v>
      </c>
      <c r="Q94" s="15" t="n">
        <f aca="false">O94+P94</f>
        <v>9046.26778002015</v>
      </c>
      <c r="R94" s="15" t="n">
        <f aca="false">Q94-$G$2+$I$2</f>
        <v>7670.06778002015</v>
      </c>
      <c r="S94" s="42" t="n">
        <f aca="false">R94/$K$2</f>
        <v>204.480612637167</v>
      </c>
      <c r="T94" s="43" t="n">
        <f aca="false">S94-$M$2</f>
        <v>0.00180698534137491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0.0315093994140625</v>
      </c>
      <c r="C95" s="25" t="n">
        <f aca="false">IF(T94&gt;0,D94,C94)</f>
        <v>0.0315208435058594</v>
      </c>
      <c r="D95" s="41" t="n">
        <f aca="false">(B95+C95)/2</f>
        <v>0.0315151214599609</v>
      </c>
      <c r="E95" s="15" t="n">
        <f aca="false">$C$2*(1+IF(E$3&lt;=$O$2,$D95,$D95-($D95-$I$76)*MIN(E$3-$O$2,$Q$2)/$Q$2))</f>
        <v>2650.9938621521</v>
      </c>
      <c r="F95" s="15" t="n">
        <f aca="false">E95*(1+IF(F$3&lt;=$O$2,$D95,$D95-($D95-$I$76)*MIN(F$3-$O$2,$Q$2)/$Q$2))</f>
        <v>2734.54025570743</v>
      </c>
      <c r="G95" s="15" t="n">
        <f aca="false">F95*(1+IF(G$3&lt;=$O$2,$D95,$D95-($D95-$I$76)*MIN(G$3-$O$2,$Q$2)/$Q$2))</f>
        <v>2820.71962400321</v>
      </c>
      <c r="H95" s="15" t="n">
        <f aca="false">G95*(1+IF(H$3&lt;=$O$2,$D95,$D95-($D95-$I$76)*MIN(H$3-$O$2,$Q$2)/$Q$2))</f>
        <v>2909.61494555816</v>
      </c>
      <c r="I95" s="15" t="n">
        <f aca="false">H95*(1+IF(I$3&lt;=$O$2,$D95,$D95-($D95-$I$76)*MIN(I$3-$O$2,$Q$2)/$Q$2))</f>
        <v>3001.31181396915</v>
      </c>
      <c r="J95" s="15" t="n">
        <f aca="false">I95*(1+IF(J$3&lt;=$O$2,$D95,$D95-($D95-$I$76)*MIN(J$3-$O$2,$Q$2)/$Q$2))</f>
        <v>3090.9672921074</v>
      </c>
      <c r="K95" s="15" t="n">
        <f aca="false">J95*(1+IF(K$3&lt;=$O$2,$D95,$D95-($D95-$I$76)*MIN(K$3-$O$2,$Q$2)/$Q$2))</f>
        <v>3178.22243305356</v>
      </c>
      <c r="L95" s="15" t="n">
        <f aca="false">K95*(1+IF(L$3&lt;=$O$2,$D95,$D95-($D95-$I$76)*MIN(L$3-$O$2,$Q$2)/$Q$2))</f>
        <v>3262.71880906944</v>
      </c>
      <c r="M95" s="15" t="n">
        <f aca="false">L95*(1+IF(M$3&lt;=$O$2,$D95,$D95-($D95-$I$76)*MIN(M$3-$O$2,$Q$2)/$Q$2))</f>
        <v>3344.10088358199</v>
      </c>
      <c r="N95" s="15" t="n">
        <f aca="false">M95*(1+IF(N$3&lt;=$O$2,$D95,$D95-($D95-$I$76)*MIN(N$3-$O$2,$Q$2)/$Q$2))</f>
        <v>3422.01843416946</v>
      </c>
      <c r="O95" s="15" t="n">
        <f aca="false">SUMPRODUCT(E95:N95,1/(1+$F$76)^$E$3:$N$3)*$E$2</f>
        <v>3925.82505830862</v>
      </c>
      <c r="P95" s="15" t="n">
        <f aca="false">N95*$E$2*(1+$I$76)/($F$76-$I$76)/(1+$F$76)^$N$3</f>
        <v>5120.14574336424</v>
      </c>
      <c r="Q95" s="15" t="n">
        <f aca="false">O95+P95</f>
        <v>9045.97080167287</v>
      </c>
      <c r="R95" s="15" t="n">
        <f aca="false">Q95-$G$2+$I$2</f>
        <v>7669.77080167287</v>
      </c>
      <c r="S95" s="42" t="n">
        <f aca="false">R95/$K$2</f>
        <v>204.472695325856</v>
      </c>
      <c r="T95" s="43" t="n">
        <f aca="false">S95-$M$2</f>
        <v>-0.00611032596989958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0.0315151214599609</v>
      </c>
      <c r="C96" s="25" t="n">
        <f aca="false">IF(T95&gt;0,D95,C95)</f>
        <v>0.0315208435058594</v>
      </c>
      <c r="D96" s="41" t="n">
        <f aca="false">(B96+C96)/2</f>
        <v>0.0315179824829102</v>
      </c>
      <c r="E96" s="15" t="n">
        <f aca="false">$C$2*(1+IF(E$3&lt;=$O$2,$D96,$D96-($D96-$I$76)*MIN(E$3-$O$2,$Q$2)/$Q$2))</f>
        <v>2651.00121498108</v>
      </c>
      <c r="F96" s="15" t="n">
        <f aca="false">E96*(1+IF(F$3&lt;=$O$2,$D96,$D96-($D96-$I$76)*MIN(F$3-$O$2,$Q$2)/$Q$2))</f>
        <v>2734.55542483703</v>
      </c>
      <c r="G96" s="15" t="n">
        <f aca="false">F96*(1+IF(G$3&lt;=$O$2,$D96,$D96-($D96-$I$76)*MIN(G$3-$O$2,$Q$2)/$Q$2))</f>
        <v>2820.74309481559</v>
      </c>
      <c r="H96" s="15" t="n">
        <f aca="false">G96*(1+IF(H$3&lt;=$O$2,$D96,$D96-($D96-$I$76)*MIN(H$3-$O$2,$Q$2)/$Q$2))</f>
        <v>2909.64722626677</v>
      </c>
      <c r="I96" s="15" t="n">
        <f aca="false">H96*(1+IF(I$3&lt;=$O$2,$D96,$D96-($D96-$I$76)*MIN(I$3-$O$2,$Q$2)/$Q$2))</f>
        <v>3001.3534365757</v>
      </c>
      <c r="J96" s="15" t="n">
        <f aca="false">I96*(1+IF(J$3&lt;=$O$2,$D96,$D96-($D96-$I$76)*MIN(J$3-$O$2,$Q$2)/$Q$2))</f>
        <v>3091.01702762135</v>
      </c>
      <c r="K96" s="15" t="n">
        <f aca="false">J96*(1+IF(K$3&lt;=$O$2,$D96,$D96-($D96-$I$76)*MIN(K$3-$O$2,$Q$2)/$Q$2))</f>
        <v>3178.27887863735</v>
      </c>
      <c r="L96" s="15" t="n">
        <f aca="false">K96*(1+IF(L$3&lt;=$O$2,$D96,$D96-($D96-$I$76)*MIN(L$3-$O$2,$Q$2)/$Q$2))</f>
        <v>3262.78039256978</v>
      </c>
      <c r="M96" s="15" t="n">
        <f aca="false">L96*(1+IF(M$3&lt;=$O$2,$D96,$D96-($D96-$I$76)*MIN(M$3-$O$2,$Q$2)/$Q$2))</f>
        <v>3344.165870139</v>
      </c>
      <c r="N96" s="15" t="n">
        <f aca="false">M96*(1+IF(N$3&lt;=$O$2,$D96,$D96-($D96-$I$76)*MIN(N$3-$O$2,$Q$2)/$Q$2))</f>
        <v>3422.08493491324</v>
      </c>
      <c r="O96" s="15" t="n">
        <f aca="false">SUMPRODUCT(E96:N96,1/(1+$F$76)^$E$3:$N$3)*$E$2</f>
        <v>3925.87404554892</v>
      </c>
      <c r="P96" s="15" t="n">
        <f aca="false">N96*$E$2*(1+$I$76)/($F$76-$I$76)/(1+$F$76)^$N$3</f>
        <v>5120.24524414332</v>
      </c>
      <c r="Q96" s="15" t="n">
        <f aca="false">O96+P96</f>
        <v>9046.11928969224</v>
      </c>
      <c r="R96" s="15" t="n">
        <f aca="false">Q96-$G$2+$I$2</f>
        <v>7669.91928969224</v>
      </c>
      <c r="S96" s="42" t="n">
        <f aca="false">R96/$K$2</f>
        <v>204.476653950739</v>
      </c>
      <c r="T96" s="43" t="n">
        <f aca="false">S96-$M$2</f>
        <v>-0.00215170108663187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0.0315179824829102</v>
      </c>
      <c r="C97" s="25" t="n">
        <f aca="false">IF(T96&gt;0,D96,C96)</f>
        <v>0.0315208435058594</v>
      </c>
      <c r="D97" s="41" t="n">
        <f aca="false">(B97+C97)/2</f>
        <v>0.0315194129943848</v>
      </c>
      <c r="E97" s="15" t="n">
        <f aca="false">$C$2*(1+IF(E$3&lt;=$O$2,$D97,$D97-($D97-$I$76)*MIN(E$3-$O$2,$Q$2)/$Q$2))</f>
        <v>2651.00489139557</v>
      </c>
      <c r="F97" s="15" t="n">
        <f aca="false">E97*(1+IF(F$3&lt;=$O$2,$D97,$D97-($D97-$I$76)*MIN(F$3-$O$2,$Q$2)/$Q$2))</f>
        <v>2734.5630094176</v>
      </c>
      <c r="G97" s="15" t="n">
        <f aca="false">F97*(1+IF(G$3&lt;=$O$2,$D97,$D97-($D97-$I$76)*MIN(G$3-$O$2,$Q$2)/$Q$2))</f>
        <v>2820.7548302706</v>
      </c>
      <c r="H97" s="15" t="n">
        <f aca="false">G97*(1+IF(H$3&lt;=$O$2,$D97,$D97-($D97-$I$76)*MIN(H$3-$O$2,$Q$2)/$Q$2))</f>
        <v>2909.66336672181</v>
      </c>
      <c r="I97" s="15" t="n">
        <f aca="false">H97*(1+IF(I$3&lt;=$O$2,$D97,$D97-($D97-$I$76)*MIN(I$3-$O$2,$Q$2)/$Q$2))</f>
        <v>3001.37424805214</v>
      </c>
      <c r="J97" s="15" t="n">
        <f aca="false">I97*(1+IF(J$3&lt;=$O$2,$D97,$D97-($D97-$I$76)*MIN(J$3-$O$2,$Q$2)/$Q$2))</f>
        <v>3091.04189562812</v>
      </c>
      <c r="K97" s="15" t="n">
        <f aca="false">J97*(1+IF(K$3&lt;=$O$2,$D97,$D97-($D97-$I$76)*MIN(K$3-$O$2,$Q$2)/$Q$2))</f>
        <v>3178.30710175012</v>
      </c>
      <c r="L97" s="15" t="n">
        <f aca="false">K97*(1+IF(L$3&lt;=$O$2,$D97,$D97-($D97-$I$76)*MIN(L$3-$O$2,$Q$2)/$Q$2))</f>
        <v>3262.81118469781</v>
      </c>
      <c r="M97" s="15" t="n">
        <f aca="false">L97*(1+IF(M$3&lt;=$O$2,$D97,$D97-($D97-$I$76)*MIN(M$3-$O$2,$Q$2)/$Q$2))</f>
        <v>3344.19836383121</v>
      </c>
      <c r="N97" s="15" t="n">
        <f aca="false">M97*(1+IF(N$3&lt;=$O$2,$D97,$D97-($D97-$I$76)*MIN(N$3-$O$2,$Q$2)/$Q$2))</f>
        <v>3422.11818570848</v>
      </c>
      <c r="O97" s="15" t="n">
        <f aca="false">SUMPRODUCT(E97:N97,1/(1+$F$76)^$E$3:$N$3)*$E$2</f>
        <v>3925.89853940134</v>
      </c>
      <c r="P97" s="15" t="n">
        <f aca="false">N97*$E$2*(1+$I$76)/($F$76-$I$76)/(1+$F$76)^$N$3</f>
        <v>5120.29499516629</v>
      </c>
      <c r="Q97" s="15" t="n">
        <f aca="false">O97+P97</f>
        <v>9046.19353456763</v>
      </c>
      <c r="R97" s="15" t="n">
        <f aca="false">Q97-$G$2+$I$2</f>
        <v>7669.99353456763</v>
      </c>
      <c r="S97" s="42" t="n">
        <f aca="false">R97/$K$2</f>
        <v>204.47863328626</v>
      </c>
      <c r="T97" s="43" t="n">
        <f aca="false">S97-$M$2</f>
        <v>-0.000172365565759947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0.0315194129943848</v>
      </c>
      <c r="C98" s="25" t="n">
        <f aca="false">IF(T97&gt;0,D97,C97)</f>
        <v>0.0315208435058594</v>
      </c>
      <c r="D98" s="41" t="n">
        <f aca="false">(B98+C98)/2</f>
        <v>0.0315201282501221</v>
      </c>
      <c r="E98" s="15" t="n">
        <f aca="false">$C$2*(1+IF(E$3&lt;=$O$2,$D98,$D98-($D98-$I$76)*MIN(E$3-$O$2,$Q$2)/$Q$2))</f>
        <v>2651.00672960281</v>
      </c>
      <c r="F98" s="15" t="n">
        <f aca="false">E98*(1+IF(F$3&lt;=$O$2,$D98,$D98-($D98-$I$76)*MIN(F$3-$O$2,$Q$2)/$Q$2))</f>
        <v>2734.56680171183</v>
      </c>
      <c r="G98" s="15" t="n">
        <f aca="false">F98*(1+IF(G$3&lt;=$O$2,$D98,$D98-($D98-$I$76)*MIN(G$3-$O$2,$Q$2)/$Q$2))</f>
        <v>2820.76069801031</v>
      </c>
      <c r="H98" s="15" t="n">
        <f aca="false">G98*(1+IF(H$3&lt;=$O$2,$D98,$D98-($D98-$I$76)*MIN(H$3-$O$2,$Q$2)/$Q$2))</f>
        <v>2909.6714369745</v>
      </c>
      <c r="I98" s="15" t="n">
        <f aca="false">H98*(1+IF(I$3&lt;=$O$2,$D98,$D98-($D98-$I$76)*MIN(I$3-$O$2,$Q$2)/$Q$2))</f>
        <v>3001.38465383366</v>
      </c>
      <c r="J98" s="15" t="n">
        <f aca="false">I98*(1+IF(J$3&lt;=$O$2,$D98,$D98-($D98-$I$76)*MIN(J$3-$O$2,$Q$2)/$Q$2))</f>
        <v>3091.05432969395</v>
      </c>
      <c r="K98" s="15" t="n">
        <f aca="false">J98*(1+IF(K$3&lt;=$O$2,$D98,$D98-($D98-$I$76)*MIN(K$3-$O$2,$Q$2)/$Q$2))</f>
        <v>3178.32121338673</v>
      </c>
      <c r="L98" s="15" t="n">
        <f aca="false">K98*(1+IF(L$3&lt;=$O$2,$D98,$D98-($D98-$I$76)*MIN(L$3-$O$2,$Q$2)/$Q$2))</f>
        <v>3262.82658085629</v>
      </c>
      <c r="M98" s="15" t="n">
        <f aca="false">L98*(1+IF(M$3&lt;=$O$2,$D98,$D98-($D98-$I$76)*MIN(M$3-$O$2,$Q$2)/$Q$2))</f>
        <v>3344.21461078075</v>
      </c>
      <c r="N98" s="15" t="n">
        <f aca="false">M98*(1+IF(N$3&lt;=$O$2,$D98,$D98-($D98-$I$76)*MIN(N$3-$O$2,$Q$2)/$Q$2))</f>
        <v>3422.13481121194</v>
      </c>
      <c r="O98" s="15" t="n">
        <f aca="false">SUMPRODUCT(E98:N98,1/(1+$F$76)^$E$3:$N$3)*$E$2</f>
        <v>3925.91078638562</v>
      </c>
      <c r="P98" s="15" t="n">
        <f aca="false">N98*$E$2*(1+$I$76)/($F$76-$I$76)/(1+$F$76)^$N$3</f>
        <v>5120.31987083613</v>
      </c>
      <c r="Q98" s="15" t="n">
        <f aca="false">O98+P98</f>
        <v>9046.23065722175</v>
      </c>
      <c r="R98" s="15" t="n">
        <f aca="false">Q98-$G$2+$I$2</f>
        <v>7670.03065722175</v>
      </c>
      <c r="S98" s="42" t="n">
        <f aca="false">R98/$K$2</f>
        <v>204.479622959791</v>
      </c>
      <c r="T98" s="43" t="n">
        <f aca="false">S98-$M$2</f>
        <v>0.00081730796458146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0.0315194129943848</v>
      </c>
      <c r="C99" s="25" t="n">
        <f aca="false">IF(T98&gt;0,D98,C98)</f>
        <v>0.0315201282501221</v>
      </c>
      <c r="D99" s="41" t="n">
        <f aca="false">(B99+C99)/2</f>
        <v>0.0315197706222534</v>
      </c>
      <c r="E99" s="15" t="n">
        <f aca="false">$C$2*(1+IF(E$3&lt;=$O$2,$D99,$D99-($D99-$I$76)*MIN(E$3-$O$2,$Q$2)/$Q$2))</f>
        <v>2651.00581049919</v>
      </c>
      <c r="F99" s="15" t="n">
        <f aca="false">E99*(1+IF(F$3&lt;=$O$2,$D99,$D99-($D99-$I$76)*MIN(F$3-$O$2,$Q$2)/$Q$2))</f>
        <v>2734.56490556439</v>
      </c>
      <c r="G99" s="15" t="n">
        <f aca="false">F99*(1+IF(G$3&lt;=$O$2,$D99,$D99-($D99-$I$76)*MIN(G$3-$O$2,$Q$2)/$Q$2))</f>
        <v>2820.75776413944</v>
      </c>
      <c r="H99" s="15" t="n">
        <f aca="false">G99*(1+IF(H$3&lt;=$O$2,$D99,$D99-($D99-$I$76)*MIN(H$3-$O$2,$Q$2)/$Q$2))</f>
        <v>2909.66740184606</v>
      </c>
      <c r="I99" s="15" t="n">
        <f aca="false">H99*(1+IF(I$3&lt;=$O$2,$D99,$D99-($D99-$I$76)*MIN(I$3-$O$2,$Q$2)/$Q$2))</f>
        <v>3001.37945093929</v>
      </c>
      <c r="J99" s="15" t="n">
        <f aca="false">I99*(1+IF(J$3&lt;=$O$2,$D99,$D99-($D99-$I$76)*MIN(J$3-$O$2,$Q$2)/$Q$2))</f>
        <v>3091.04811265583</v>
      </c>
      <c r="K99" s="15" t="n">
        <f aca="false">J99*(1+IF(K$3&lt;=$O$2,$D99,$D99-($D99-$I$76)*MIN(K$3-$O$2,$Q$2)/$Q$2))</f>
        <v>3178.31415756174</v>
      </c>
      <c r="L99" s="15" t="n">
        <f aca="false">K99*(1+IF(L$3&lt;=$O$2,$D99,$D99-($D99-$I$76)*MIN(L$3-$O$2,$Q$2)/$Q$2))</f>
        <v>3262.81888276917</v>
      </c>
      <c r="M99" s="15" t="n">
        <f aca="false">L99*(1+IF(M$3&lt;=$O$2,$D99,$D99-($D99-$I$76)*MIN(M$3-$O$2,$Q$2)/$Q$2))</f>
        <v>3344.20648729736</v>
      </c>
      <c r="N99" s="15" t="n">
        <f aca="false">M99*(1+IF(N$3&lt;=$O$2,$D99,$D99-($D99-$I$76)*MIN(N$3-$O$2,$Q$2)/$Q$2))</f>
        <v>3422.12649845139</v>
      </c>
      <c r="O99" s="15" t="n">
        <f aca="false">SUMPRODUCT(E99:N99,1/(1+$F$76)^$E$3:$N$3)*$E$2</f>
        <v>3925.90466288864</v>
      </c>
      <c r="P99" s="15" t="n">
        <f aca="false">N99*$E$2*(1+$I$76)/($F$76-$I$76)/(1+$F$76)^$N$3</f>
        <v>5120.30743298801</v>
      </c>
      <c r="Q99" s="15" t="n">
        <f aca="false">O99+P99</f>
        <v>9046.21209587665</v>
      </c>
      <c r="R99" s="15" t="n">
        <f aca="false">Q99-$G$2+$I$2</f>
        <v>7670.01209587665</v>
      </c>
      <c r="S99" s="42" t="n">
        <f aca="false">R99/$K$2</f>
        <v>204.479128122545</v>
      </c>
      <c r="T99" s="43" t="n">
        <f aca="false">S99-$M$2</f>
        <v>0.000322470718515433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0.0315194129943848</v>
      </c>
      <c r="C100" s="25" t="n">
        <f aca="false">IF(T99&gt;0,D99,C99)</f>
        <v>0.0315197706222534</v>
      </c>
      <c r="D100" s="41" t="n">
        <f aca="false">(B100+C100)/2</f>
        <v>0.0315195918083191</v>
      </c>
      <c r="E100" s="15" t="n">
        <f aca="false">$C$2*(1+IF(E$3&lt;=$O$2,$D100,$D100-($D100-$I$76)*MIN(E$3-$O$2,$Q$2)/$Q$2))</f>
        <v>2651.00535094738</v>
      </c>
      <c r="F100" s="15" t="n">
        <f aca="false">E100*(1+IF(F$3&lt;=$O$2,$D100,$D100-($D100-$I$76)*MIN(F$3-$O$2,$Q$2)/$Q$2))</f>
        <v>2734.56395749091</v>
      </c>
      <c r="G100" s="15" t="n">
        <f aca="false">F100*(1+IF(G$3&lt;=$O$2,$D100,$D100-($D100-$I$76)*MIN(G$3-$O$2,$Q$2)/$Q$2))</f>
        <v>2820.75629720477</v>
      </c>
      <c r="H100" s="15" t="n">
        <f aca="false">G100*(1+IF(H$3&lt;=$O$2,$D100,$D100-($D100-$I$76)*MIN(H$3-$O$2,$Q$2)/$Q$2))</f>
        <v>2909.66538428341</v>
      </c>
      <c r="I100" s="15" t="n">
        <f aca="false">H100*(1+IF(I$3&lt;=$O$2,$D100,$D100-($D100-$I$76)*MIN(I$3-$O$2,$Q$2)/$Q$2))</f>
        <v>3001.37684949482</v>
      </c>
      <c r="J100" s="15" t="n">
        <f aca="false">I100*(1+IF(J$3&lt;=$O$2,$D100,$D100-($D100-$I$76)*MIN(J$3-$O$2,$Q$2)/$Q$2))</f>
        <v>3091.04500414067</v>
      </c>
      <c r="K100" s="15" t="n">
        <f aca="false">J100*(1+IF(K$3&lt;=$O$2,$D100,$D100-($D100-$I$76)*MIN(K$3-$O$2,$Q$2)/$Q$2))</f>
        <v>3178.31062965426</v>
      </c>
      <c r="L100" s="15" t="n">
        <f aca="false">K100*(1+IF(L$3&lt;=$O$2,$D100,$D100-($D100-$I$76)*MIN(L$3-$O$2,$Q$2)/$Q$2))</f>
        <v>3262.81503373152</v>
      </c>
      <c r="M100" s="15" t="n">
        <f aca="false">L100*(1+IF(M$3&lt;=$O$2,$D100,$D100-($D100-$I$76)*MIN(M$3-$O$2,$Q$2)/$Q$2))</f>
        <v>3344.20242556213</v>
      </c>
      <c r="N100" s="15" t="n">
        <f aca="false">M100*(1+IF(N$3&lt;=$O$2,$D100,$D100-($D100-$I$76)*MIN(N$3-$O$2,$Q$2)/$Q$2))</f>
        <v>3422.12234207773</v>
      </c>
      <c r="O100" s="15" t="n">
        <f aca="false">SUMPRODUCT(E100:N100,1/(1+$F$76)^$E$3:$N$3)*$E$2</f>
        <v>3925.90160114378</v>
      </c>
      <c r="P100" s="15" t="n">
        <f aca="false">N100*$E$2*(1+$I$76)/($F$76-$I$76)/(1+$F$76)^$N$3</f>
        <v>5120.30121407385</v>
      </c>
      <c r="Q100" s="15" t="n">
        <f aca="false">O100+P100</f>
        <v>9046.20281521763</v>
      </c>
      <c r="R100" s="15" t="n">
        <f aca="false">Q100-$G$2+$I$2</f>
        <v>7670.00281521763</v>
      </c>
      <c r="S100" s="42" t="n">
        <f aca="false">R100/$K$2</f>
        <v>204.478880704282</v>
      </c>
      <c r="T100" s="43" t="n">
        <f aca="false">S100-$M$2</f>
        <v>7.50524561965449E-005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0.0315194129943848</v>
      </c>
      <c r="C101" s="25" t="n">
        <f aca="false">IF(T100&gt;0,D100,C100)</f>
        <v>0.0315195918083191</v>
      </c>
      <c r="D101" s="41" t="n">
        <f aca="false">(B101+C101)/2</f>
        <v>0.0315195024013519</v>
      </c>
      <c r="E101" s="15" t="n">
        <f aca="false">$C$2*(1+IF(E$3&lt;=$O$2,$D101,$D101-($D101-$I$76)*MIN(E$3-$O$2,$Q$2)/$Q$2))</f>
        <v>2651.00512117147</v>
      </c>
      <c r="F101" s="15" t="n">
        <f aca="false">E101*(1+IF(F$3&lt;=$O$2,$D101,$D101-($D101-$I$76)*MIN(F$3-$O$2,$Q$2)/$Q$2))</f>
        <v>2734.56348345424</v>
      </c>
      <c r="G101" s="15" t="n">
        <f aca="false">F101*(1+IF(G$3&lt;=$O$2,$D101,$D101-($D101-$I$76)*MIN(G$3-$O$2,$Q$2)/$Q$2))</f>
        <v>2820.75556373762</v>
      </c>
      <c r="H101" s="15" t="n">
        <f aca="false">G101*(1+IF(H$3&lt;=$O$2,$D101,$D101-($D101-$I$76)*MIN(H$3-$O$2,$Q$2)/$Q$2))</f>
        <v>2909.66437550248</v>
      </c>
      <c r="I101" s="15" t="n">
        <f aca="false">H101*(1+IF(I$3&lt;=$O$2,$D101,$D101-($D101-$I$76)*MIN(I$3-$O$2,$Q$2)/$Q$2))</f>
        <v>3001.37554877325</v>
      </c>
      <c r="J101" s="15" t="n">
        <f aca="false">I101*(1+IF(J$3&lt;=$O$2,$D101,$D101-($D101-$I$76)*MIN(J$3-$O$2,$Q$2)/$Q$2))</f>
        <v>3091.04344988407</v>
      </c>
      <c r="K101" s="15" t="n">
        <f aca="false">J101*(1+IF(K$3&lt;=$O$2,$D101,$D101-($D101-$I$76)*MIN(K$3-$O$2,$Q$2)/$Q$2))</f>
        <v>3178.30886570177</v>
      </c>
      <c r="L101" s="15" t="n">
        <f aca="false">K101*(1+IF(L$3&lt;=$O$2,$D101,$D101-($D101-$I$76)*MIN(L$3-$O$2,$Q$2)/$Q$2))</f>
        <v>3262.81310921417</v>
      </c>
      <c r="M101" s="15" t="n">
        <f aca="false">L101*(1+IF(M$3&lt;=$O$2,$D101,$D101-($D101-$I$76)*MIN(M$3-$O$2,$Q$2)/$Q$2))</f>
        <v>3344.20039469613</v>
      </c>
      <c r="N101" s="15" t="n">
        <f aca="false">M101*(1+IF(N$3&lt;=$O$2,$D101,$D101-($D101-$I$76)*MIN(N$3-$O$2,$Q$2)/$Q$2))</f>
        <v>3422.12026389255</v>
      </c>
      <c r="O101" s="15" t="n">
        <f aca="false">SUMPRODUCT(E101:N101,1/(1+$F$76)^$E$3:$N$3)*$E$2</f>
        <v>3925.90007027226</v>
      </c>
      <c r="P101" s="15" t="n">
        <f aca="false">N101*$E$2*(1+$I$76)/($F$76-$I$76)/(1+$F$76)^$N$3</f>
        <v>5120.29810461924</v>
      </c>
      <c r="Q101" s="15" t="n">
        <f aca="false">O101+P101</f>
        <v>9046.1981748915</v>
      </c>
      <c r="R101" s="15" t="n">
        <f aca="false">Q101-$G$2+$I$2</f>
        <v>7669.9981748915</v>
      </c>
      <c r="S101" s="42" t="n">
        <f aca="false">R101/$K$2</f>
        <v>204.478756995241</v>
      </c>
      <c r="T101" s="43" t="n">
        <f aca="false">S101-$M$2</f>
        <v>-4.8656584795026E-005</v>
      </c>
    </row>
    <row r="103" customFormat="false" ht="15" hidden="false" customHeight="false" outlineLevel="0" collapsed="false">
      <c r="A103" s="38" t="s">
        <v>184</v>
      </c>
      <c r="E103" s="5" t="s">
        <v>11</v>
      </c>
      <c r="F103" s="12" t="n">
        <f aca="false">Sensitivity!$B$10</f>
        <v>0.084183337553844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162</v>
      </c>
      <c r="B104" s="28" t="s">
        <v>163</v>
      </c>
      <c r="C104" s="28" t="s">
        <v>164</v>
      </c>
      <c r="D104" s="28" t="s">
        <v>165</v>
      </c>
      <c r="E104" s="28" t="s">
        <v>166</v>
      </c>
      <c r="F104" s="28" t="s">
        <v>167</v>
      </c>
      <c r="G104" s="28" t="s">
        <v>168</v>
      </c>
      <c r="H104" s="28" t="s">
        <v>169</v>
      </c>
      <c r="I104" s="28" t="s">
        <v>170</v>
      </c>
      <c r="J104" s="28" t="s">
        <v>171</v>
      </c>
      <c r="K104" s="28" t="s">
        <v>172</v>
      </c>
      <c r="L104" s="28" t="s">
        <v>173</v>
      </c>
      <c r="M104" s="28" t="s">
        <v>174</v>
      </c>
      <c r="N104" s="28" t="s">
        <v>175</v>
      </c>
      <c r="O104" s="28" t="s">
        <v>176</v>
      </c>
      <c r="P104" s="28" t="s">
        <v>177</v>
      </c>
      <c r="Q104" s="28" t="s">
        <v>178</v>
      </c>
      <c r="R104" s="28" t="s">
        <v>179</v>
      </c>
      <c r="S104" s="28" t="s">
        <v>180</v>
      </c>
      <c r="T104" s="28" t="s">
        <v>181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3212.5</v>
      </c>
      <c r="F105" s="15" t="n">
        <f aca="false">E105*(1+IF(F$3&lt;=$O$2,$D105,$D105-($D105-$I$103)*MIN(F$3-$O$2,$Q$2)/$Q$2))</f>
        <v>4015.625</v>
      </c>
      <c r="G105" s="15" t="n">
        <f aca="false">F105*(1+IF(G$3&lt;=$O$2,$D105,$D105-($D105-$I$103)*MIN(G$3-$O$2,$Q$2)/$Q$2))</f>
        <v>5019.53125</v>
      </c>
      <c r="H105" s="15" t="n">
        <f aca="false">G105*(1+IF(H$3&lt;=$O$2,$D105,$D105-($D105-$I$103)*MIN(H$3-$O$2,$Q$2)/$Q$2))</f>
        <v>6274.4140625</v>
      </c>
      <c r="I105" s="15" t="n">
        <f aca="false">H105*(1+IF(I$3&lt;=$O$2,$D105,$D105-($D105-$I$103)*MIN(I$3-$O$2,$Q$2)/$Q$2))</f>
        <v>7843.017578125</v>
      </c>
      <c r="J105" s="15" t="n">
        <f aca="false">I105*(1+IF(J$3&lt;=$O$2,$D105,$D105-($D105-$I$103)*MIN(J$3-$O$2,$Q$2)/$Q$2))</f>
        <v>9456.01257324219</v>
      </c>
      <c r="K105" s="15" t="n">
        <f aca="false">J105*(1+IF(K$3&lt;=$O$2,$D105,$D105-($D105-$I$103)*MIN(K$3-$O$2,$Q$2)/$Q$2))</f>
        <v>10981.4565215576</v>
      </c>
      <c r="L105" s="15" t="n">
        <f aca="false">K105*(1+IF(L$3&lt;=$O$2,$D105,$D105-($D105-$I$103)*MIN(L$3-$O$2,$Q$2)/$Q$2))</f>
        <v>12266.0673054494</v>
      </c>
      <c r="M105" s="15" t="n">
        <f aca="false">L105*(1+IF(M$3&lt;=$O$2,$D105,$D105-($D105-$I$103)*MIN(M$3-$O$2,$Q$2)/$Q$2))</f>
        <v>13157.0744345173</v>
      </c>
      <c r="N105" s="15" t="n">
        <f aca="false">M105*(1+IF(N$3&lt;=$O$2,$D105,$D105-($D105-$I$103)*MIN(N$3-$O$2,$Q$2)/$Q$2))</f>
        <v>13529.4196410141</v>
      </c>
      <c r="O105" s="15" t="n">
        <f aca="false">SUMPRODUCT(E105:N105,1/(1+$F$103)^$E$3:$N$3)*$E$2</f>
        <v>10181.0042266776</v>
      </c>
      <c r="P105" s="15" t="n">
        <f aca="false">N105*$E$2*(1+$I$103)/($F$103-$I$103)/(1+$F$103)^$N$3</f>
        <v>22162.1619276349</v>
      </c>
      <c r="Q105" s="15" t="n">
        <f aca="false">O105+P105</f>
        <v>32343.1661543125</v>
      </c>
      <c r="R105" s="15" t="n">
        <f aca="false">Q105-$G$2+$I$2</f>
        <v>30966.9661543125</v>
      </c>
      <c r="S105" s="42" t="n">
        <f aca="false">R105/$K$2</f>
        <v>825.565613284791</v>
      </c>
      <c r="T105" s="43" t="n">
        <f aca="false">S105-$M$2</f>
        <v>621.086807632965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2248.75</v>
      </c>
      <c r="F106" s="15" t="n">
        <f aca="false">E106*(1+IF(F$3&lt;=$O$2,$D106,$D106-($D106-$I$103)*MIN(F$3-$O$2,$Q$2)/$Q$2))</f>
        <v>1967.65625</v>
      </c>
      <c r="G106" s="15" t="n">
        <f aca="false">F106*(1+IF(G$3&lt;=$O$2,$D106,$D106-($D106-$I$103)*MIN(G$3-$O$2,$Q$2)/$Q$2))</f>
        <v>1721.69921875</v>
      </c>
      <c r="H106" s="15" t="n">
        <f aca="false">G106*(1+IF(H$3&lt;=$O$2,$D106,$D106-($D106-$I$103)*MIN(H$3-$O$2,$Q$2)/$Q$2))</f>
        <v>1506.48681640625</v>
      </c>
      <c r="I106" s="15" t="n">
        <f aca="false">H106*(1+IF(I$3&lt;=$O$2,$D106,$D106-($D106-$I$103)*MIN(I$3-$O$2,$Q$2)/$Q$2))</f>
        <v>1318.17596435547</v>
      </c>
      <c r="J106" s="15" t="n">
        <f aca="false">I106*(1+IF(J$3&lt;=$O$2,$D106,$D106-($D106-$I$103)*MIN(J$3-$O$2,$Q$2)/$Q$2))</f>
        <v>1193.81924387817</v>
      </c>
      <c r="K106" s="15" t="n">
        <f aca="false">J106*(1+IF(K$3&lt;=$O$2,$D106,$D106-($D106-$I$103)*MIN(K$3-$O$2,$Q$2)/$Q$2))</f>
        <v>1117.79683442801</v>
      </c>
      <c r="L106" s="15" t="n">
        <f aca="false">K106*(1+IF(L$3&lt;=$O$2,$D106,$D106-($D106-$I$103)*MIN(L$3-$O$2,$Q$2)/$Q$2))</f>
        <v>1080.8871829552</v>
      </c>
      <c r="M106" s="15" t="n">
        <f aca="false">L106*(1+IF(M$3&lt;=$O$2,$D106,$D106-($D106-$I$103)*MIN(M$3-$O$2,$Q$2)/$Q$2))</f>
        <v>1078.33628920342</v>
      </c>
      <c r="N106" s="15" t="n">
        <f aca="false">M106*(1+IF(N$3&lt;=$O$2,$D106,$D106-($D106-$I$103)*MIN(N$3-$O$2,$Q$2)/$Q$2))</f>
        <v>1108.85320618788</v>
      </c>
      <c r="O106" s="15" t="n">
        <f aca="false">SUMPRODUCT(E106:N106,1/(1+$F$103)^$E$3:$N$3)*$E$2</f>
        <v>2001.7671597131</v>
      </c>
      <c r="P106" s="15" t="n">
        <f aca="false">N106*$E$2*(1+$I$103)/($F$103-$I$103)/(1+$F$103)^$N$3</f>
        <v>1816.38126110123</v>
      </c>
      <c r="Q106" s="15" t="n">
        <f aca="false">O106+P106</f>
        <v>3818.14842081434</v>
      </c>
      <c r="R106" s="15" t="n">
        <f aca="false">Q106-$G$2+$I$2</f>
        <v>2441.94842081434</v>
      </c>
      <c r="S106" s="42" t="n">
        <f aca="false">R106/$K$2</f>
        <v>65.1012642179242</v>
      </c>
      <c r="T106" s="43" t="n">
        <f aca="false">S106-$M$2</f>
        <v>-139.377541433902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2730.625</v>
      </c>
      <c r="F107" s="15" t="n">
        <f aca="false">E107*(1+IF(F$3&lt;=$O$2,$D107,$D107-($D107-$I$103)*MIN(F$3-$O$2,$Q$2)/$Q$2))</f>
        <v>2901.2890625</v>
      </c>
      <c r="G107" s="15" t="n">
        <f aca="false">F107*(1+IF(G$3&lt;=$O$2,$D107,$D107-($D107-$I$103)*MIN(G$3-$O$2,$Q$2)/$Q$2))</f>
        <v>3082.61962890625</v>
      </c>
      <c r="H107" s="15" t="n">
        <f aca="false">G107*(1+IF(H$3&lt;=$O$2,$D107,$D107-($D107-$I$103)*MIN(H$3-$O$2,$Q$2)/$Q$2))</f>
        <v>3275.28335571289</v>
      </c>
      <c r="I107" s="15" t="n">
        <f aca="false">H107*(1+IF(I$3&lt;=$O$2,$D107,$D107-($D107-$I$103)*MIN(I$3-$O$2,$Q$2)/$Q$2))</f>
        <v>3479.98856544495</v>
      </c>
      <c r="J107" s="15" t="n">
        <f aca="false">I107*(1+IF(J$3&lt;=$O$2,$D107,$D107-($D107-$I$103)*MIN(J$3-$O$2,$Q$2)/$Q$2))</f>
        <v>3673.68472899761</v>
      </c>
      <c r="K107" s="15" t="n">
        <f aca="false">J107*(1+IF(K$3&lt;=$O$2,$D107,$D107-($D107-$I$103)*MIN(K$3-$O$2,$Q$2)/$Q$2))</f>
        <v>3853.03401746728</v>
      </c>
      <c r="L107" s="15" t="n">
        <f aca="false">K107*(1+IF(L$3&lt;=$O$2,$D107,$D107-($D107-$I$103)*MIN(L$3-$O$2,$Q$2)/$Q$2))</f>
        <v>4014.78438552055</v>
      </c>
      <c r="M107" s="15" t="n">
        <f aca="false">L107*(1+IF(M$3&lt;=$O$2,$D107,$D107-($D107-$I$103)*MIN(M$3-$O$2,$Q$2)/$Q$2))</f>
        <v>4155.86390882774</v>
      </c>
      <c r="N107" s="15" t="n">
        <f aca="false">M107*(1+IF(N$3&lt;=$O$2,$D107,$D107-($D107-$I$103)*MIN(N$3-$O$2,$Q$2)/$Q$2))</f>
        <v>4273.47485744757</v>
      </c>
      <c r="O107" s="15" t="n">
        <f aca="false">SUMPRODUCT(E107:N107,1/(1+$F$103)^$E$3:$N$3)*$E$2</f>
        <v>4507.66673236184</v>
      </c>
      <c r="P107" s="15" t="n">
        <f aca="false">N107*$E$2*(1+$I$103)/($F$103-$I$103)/(1+$F$103)^$N$3</f>
        <v>7000.25901313019</v>
      </c>
      <c r="Q107" s="15" t="n">
        <f aca="false">O107+P107</f>
        <v>11507.925745492</v>
      </c>
      <c r="R107" s="15" t="n">
        <f aca="false">Q107-$G$2+$I$2</f>
        <v>10131.725745492</v>
      </c>
      <c r="S107" s="42" t="n">
        <f aca="false">R107/$K$2</f>
        <v>270.107324593229</v>
      </c>
      <c r="T107" s="43" t="n">
        <f aca="false">S107-$M$2</f>
        <v>65.628518941403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2489.6875</v>
      </c>
      <c r="F108" s="15" t="n">
        <f aca="false">E108*(1+IF(F$3&lt;=$O$2,$D108,$D108-($D108-$I$103)*MIN(F$3-$O$2,$Q$2)/$Q$2))</f>
        <v>2411.884765625</v>
      </c>
      <c r="G108" s="15" t="n">
        <f aca="false">F108*(1+IF(G$3&lt;=$O$2,$D108,$D108-($D108-$I$103)*MIN(G$3-$O$2,$Q$2)/$Q$2))</f>
        <v>2336.51336669922</v>
      </c>
      <c r="H108" s="15" t="n">
        <f aca="false">G108*(1+IF(H$3&lt;=$O$2,$D108,$D108-($D108-$I$103)*MIN(H$3-$O$2,$Q$2)/$Q$2))</f>
        <v>2263.49732398987</v>
      </c>
      <c r="I108" s="15" t="n">
        <f aca="false">H108*(1+IF(I$3&lt;=$O$2,$D108,$D108-($D108-$I$103)*MIN(I$3-$O$2,$Q$2)/$Q$2))</f>
        <v>2192.76303261519</v>
      </c>
      <c r="J108" s="15" t="n">
        <f aca="false">I108*(1+IF(J$3&lt;=$O$2,$D108,$D108-($D108-$I$103)*MIN(J$3-$O$2,$Q$2)/$Q$2))</f>
        <v>2150.35499556441</v>
      </c>
      <c r="K108" s="15" t="n">
        <f aca="false">J108*(1+IF(K$3&lt;=$O$2,$D108,$D108-($D108-$I$103)*MIN(K$3-$O$2,$Q$2)/$Q$2))</f>
        <v>2134.37785794736</v>
      </c>
      <c r="L108" s="15" t="n">
        <f aca="false">K108*(1+IF(L$3&lt;=$O$2,$D108,$D108-($D108-$I$103)*MIN(L$3-$O$2,$Q$2)/$Q$2))</f>
        <v>2143.93987075097</v>
      </c>
      <c r="M108" s="15" t="n">
        <f aca="false">L108*(1+IF(M$3&lt;=$O$2,$D108,$D108-($D108-$I$103)*MIN(M$3-$O$2,$Q$2)/$Q$2))</f>
        <v>2179.07904523258</v>
      </c>
      <c r="N108" s="15" t="n">
        <f aca="false">M108*(1+IF(N$3&lt;=$O$2,$D108,$D108-($D108-$I$103)*MIN(N$3-$O$2,$Q$2)/$Q$2))</f>
        <v>2240.74698221266</v>
      </c>
      <c r="O108" s="15" t="n">
        <f aca="false">SUMPRODUCT(E108:N108,1/(1+$F$103)^$E$3:$N$3)*$E$2</f>
        <v>2995.33659469155</v>
      </c>
      <c r="P108" s="15" t="n">
        <f aca="false">N108*$E$2*(1+$I$103)/($F$103-$I$103)/(1+$F$103)^$N$3</f>
        <v>3670.50463185529</v>
      </c>
      <c r="Q108" s="15" t="n">
        <f aca="false">O108+P108</f>
        <v>6665.84122654684</v>
      </c>
      <c r="R108" s="15" t="n">
        <f aca="false">Q108-$G$2+$I$2</f>
        <v>5289.64122654684</v>
      </c>
      <c r="S108" s="42" t="n">
        <f aca="false">R108/$K$2</f>
        <v>141.019494176135</v>
      </c>
      <c r="T108" s="43" t="n">
        <f aca="false">S108-$M$2</f>
        <v>-63.4593114756908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41" t="n">
        <f aca="false">(B109+C109)/2</f>
        <v>0.015625</v>
      </c>
      <c r="E109" s="15" t="n">
        <f aca="false">$C$2*(1+IF(E$3&lt;=$O$2,$D109,$D109-($D109-$I$103)*MIN(E$3-$O$2,$Q$2)/$Q$2))</f>
        <v>2610.15625</v>
      </c>
      <c r="F109" s="15" t="n">
        <f aca="false">E109*(1+IF(F$3&lt;=$O$2,$D109,$D109-($D109-$I$103)*MIN(F$3-$O$2,$Q$2)/$Q$2))</f>
        <v>2650.93994140625</v>
      </c>
      <c r="G109" s="15" t="n">
        <f aca="false">F109*(1+IF(G$3&lt;=$O$2,$D109,$D109-($D109-$I$103)*MIN(G$3-$O$2,$Q$2)/$Q$2))</f>
        <v>2692.36087799072</v>
      </c>
      <c r="H109" s="15" t="n">
        <f aca="false">G109*(1+IF(H$3&lt;=$O$2,$D109,$D109-($D109-$I$103)*MIN(H$3-$O$2,$Q$2)/$Q$2))</f>
        <v>2734.42901670933</v>
      </c>
      <c r="I109" s="15" t="n">
        <f aca="false">H109*(1+IF(I$3&lt;=$O$2,$D109,$D109-($D109-$I$103)*MIN(I$3-$O$2,$Q$2)/$Q$2))</f>
        <v>2777.15447009541</v>
      </c>
      <c r="J109" s="15" t="n">
        <f aca="false">I109*(1+IF(J$3&lt;=$O$2,$D109,$D109-($D109-$I$103)*MIN(J$3-$O$2,$Q$2)/$Q$2))</f>
        <v>2827.58759527234</v>
      </c>
      <c r="K109" s="15" t="n">
        <f aca="false">J109*(1+IF(K$3&lt;=$O$2,$D109,$D109-($D109-$I$103)*MIN(K$3-$O$2,$Q$2)/$Q$2))</f>
        <v>2886.1045205565</v>
      </c>
      <c r="L109" s="15" t="n">
        <f aca="false">K109*(1+IF(L$3&lt;=$O$2,$D109,$D109-($D109-$I$103)*MIN(L$3-$O$2,$Q$2)/$Q$2))</f>
        <v>2953.14872856903</v>
      </c>
      <c r="M109" s="15" t="n">
        <f aca="false">L109*(1+IF(M$3&lt;=$O$2,$D109,$D109-($D109-$I$103)*MIN(M$3-$O$2,$Q$2)/$Q$2))</f>
        <v>3029.23660556061</v>
      </c>
      <c r="N109" s="15" t="n">
        <f aca="false">M109*(1+IF(N$3&lt;=$O$2,$D109,$D109-($D109-$I$103)*MIN(N$3-$O$2,$Q$2)/$Q$2))</f>
        <v>3114.96400149798</v>
      </c>
      <c r="O109" s="15" t="n">
        <f aca="false">SUMPRODUCT(E109:N109,1/(1+$F$103)^$E$3:$N$3)*$E$2</f>
        <v>3673.09712552335</v>
      </c>
      <c r="P109" s="15" t="n">
        <f aca="false">N109*$E$2*(1+$I$103)/($F$103-$I$103)/(1+$F$103)^$N$3</f>
        <v>5102.53495210363</v>
      </c>
      <c r="Q109" s="15" t="n">
        <f aca="false">O109+P109</f>
        <v>8775.63207762698</v>
      </c>
      <c r="R109" s="15" t="n">
        <f aca="false">Q109-$G$2+$I$2</f>
        <v>7399.43207762698</v>
      </c>
      <c r="S109" s="42" t="n">
        <f aca="false">R109/$K$2</f>
        <v>197.265584580831</v>
      </c>
      <c r="T109" s="43" t="n">
        <f aca="false">S109-$M$2</f>
        <v>-7.21322107099496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0.015625</v>
      </c>
      <c r="C110" s="25" t="n">
        <f aca="false">IF(T109&gt;0,D109,C109)</f>
        <v>0.0625</v>
      </c>
      <c r="D110" s="41" t="n">
        <f aca="false">(B110+C110)/2</f>
        <v>0.0390625</v>
      </c>
      <c r="E110" s="15" t="n">
        <f aca="false">$C$2*(1+IF(E$3&lt;=$O$2,$D110,$D110-($D110-$I$103)*MIN(E$3-$O$2,$Q$2)/$Q$2))</f>
        <v>2670.390625</v>
      </c>
      <c r="F110" s="15" t="n">
        <f aca="false">E110*(1+IF(F$3&lt;=$O$2,$D110,$D110-($D110-$I$103)*MIN(F$3-$O$2,$Q$2)/$Q$2))</f>
        <v>2774.70275878906</v>
      </c>
      <c r="G110" s="15" t="n">
        <f aca="false">F110*(1+IF(G$3&lt;=$O$2,$D110,$D110-($D110-$I$103)*MIN(G$3-$O$2,$Q$2)/$Q$2))</f>
        <v>2883.08958530426</v>
      </c>
      <c r="H110" s="15" t="n">
        <f aca="false">G110*(1+IF(H$3&lt;=$O$2,$D110,$D110-($D110-$I$103)*MIN(H$3-$O$2,$Q$2)/$Q$2))</f>
        <v>2995.71027223021</v>
      </c>
      <c r="I110" s="15" t="n">
        <f aca="false">H110*(1+IF(I$3&lt;=$O$2,$D110,$D110-($D110-$I$103)*MIN(I$3-$O$2,$Q$2)/$Q$2))</f>
        <v>3112.7302047392</v>
      </c>
      <c r="J110" s="15" t="n">
        <f aca="false">I110*(1+IF(J$3&lt;=$O$2,$D110,$D110-($D110-$I$103)*MIN(J$3-$O$2,$Q$2)/$Q$2))</f>
        <v>3227.62107659612</v>
      </c>
      <c r="K110" s="15" t="n">
        <f aca="false">J110*(1+IF(K$3&lt;=$O$2,$D110,$D110-($D110-$I$103)*MIN(K$3-$O$2,$Q$2)/$Q$2))</f>
        <v>3339.80511616591</v>
      </c>
      <c r="L110" s="15" t="n">
        <f aca="false">K110*(1+IF(L$3&lt;=$O$2,$D110,$D110-($D110-$I$103)*MIN(L$3-$O$2,$Q$2)/$Q$2))</f>
        <v>3448.6994619785</v>
      </c>
      <c r="M110" s="15" t="n">
        <f aca="false">L110*(1+IF(M$3&lt;=$O$2,$D110,$D110-($D110-$I$103)*MIN(M$3-$O$2,$Q$2)/$Q$2))</f>
        <v>3553.7209823444</v>
      </c>
      <c r="N110" s="15" t="n">
        <f aca="false">M110*(1+IF(N$3&lt;=$O$2,$D110,$D110-($D110-$I$103)*MIN(N$3-$O$2,$Q$2)/$Q$2))</f>
        <v>3654.29128614475</v>
      </c>
      <c r="O110" s="15" t="n">
        <f aca="false">SUMPRODUCT(E110:N110,1/(1+$F$103)^$E$3:$N$3)*$E$2</f>
        <v>4068.81726465112</v>
      </c>
      <c r="P110" s="15" t="n">
        <f aca="false">N110*$E$2*(1+$I$103)/($F$103-$I$103)/(1+$F$103)^$N$3</f>
        <v>5985.99181363073</v>
      </c>
      <c r="Q110" s="15" t="n">
        <f aca="false">O110+P110</f>
        <v>10054.8090782819</v>
      </c>
      <c r="R110" s="15" t="n">
        <f aca="false">Q110-$G$2+$I$2</f>
        <v>8678.60907828185</v>
      </c>
      <c r="S110" s="42" t="n">
        <f aca="false">R110/$K$2</f>
        <v>231.367877320231</v>
      </c>
      <c r="T110" s="43" t="n">
        <f aca="false">S110-$M$2</f>
        <v>26.8890716684045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0.015625</v>
      </c>
      <c r="C111" s="25" t="n">
        <f aca="false">IF(T110&gt;0,D110,C110)</f>
        <v>0.0390625</v>
      </c>
      <c r="D111" s="41" t="n">
        <f aca="false">(B111+C111)/2</f>
        <v>0.02734375</v>
      </c>
      <c r="E111" s="15" t="n">
        <f aca="false">$C$2*(1+IF(E$3&lt;=$O$2,$D111,$D111-($D111-$I$103)*MIN(E$3-$O$2,$Q$2)/$Q$2))</f>
        <v>2640.2734375</v>
      </c>
      <c r="F111" s="15" t="n">
        <f aca="false">E111*(1+IF(F$3&lt;=$O$2,$D111,$D111-($D111-$I$103)*MIN(F$3-$O$2,$Q$2)/$Q$2))</f>
        <v>2712.46841430664</v>
      </c>
      <c r="G111" s="15" t="n">
        <f aca="false">F111*(1+IF(G$3&lt;=$O$2,$D111,$D111-($D111-$I$103)*MIN(G$3-$O$2,$Q$2)/$Q$2))</f>
        <v>2786.63747251034</v>
      </c>
      <c r="H111" s="15" t="n">
        <f aca="false">G111*(1+IF(H$3&lt;=$O$2,$D111,$D111-($D111-$I$103)*MIN(H$3-$O$2,$Q$2)/$Q$2))</f>
        <v>2862.83459089929</v>
      </c>
      <c r="I111" s="15" t="n">
        <f aca="false">H111*(1+IF(I$3&lt;=$O$2,$D111,$D111-($D111-$I$103)*MIN(I$3-$O$2,$Q$2)/$Q$2))</f>
        <v>2941.1152242442</v>
      </c>
      <c r="J111" s="15" t="n">
        <f aca="false">I111*(1+IF(J$3&lt;=$O$2,$D111,$D111-($D111-$I$103)*MIN(J$3-$O$2,$Q$2)/$Q$2))</f>
        <v>3022.09883194376</v>
      </c>
      <c r="K111" s="15" t="n">
        <f aca="false">J111*(1+IF(K$3&lt;=$O$2,$D111,$D111-($D111-$I$103)*MIN(K$3-$O$2,$Q$2)/$Q$2))</f>
        <v>3105.89029968294</v>
      </c>
      <c r="L111" s="15" t="n">
        <f aca="false">K111*(1+IF(L$3&lt;=$O$2,$D111,$D111-($D111-$I$103)*MIN(L$3-$O$2,$Q$2)/$Q$2))</f>
        <v>3192.59899212434</v>
      </c>
      <c r="M111" s="15" t="n">
        <f aca="false">L111*(1+IF(M$3&lt;=$O$2,$D111,$D111-($D111-$I$103)*MIN(M$3-$O$2,$Q$2)/$Q$2))</f>
        <v>3282.33895904421</v>
      </c>
      <c r="N111" s="15" t="n">
        <f aca="false">M111*(1+IF(N$3&lt;=$O$2,$D111,$D111-($D111-$I$103)*MIN(N$3-$O$2,$Q$2)/$Q$2))</f>
        <v>3375.22915158516</v>
      </c>
      <c r="O111" s="15" t="n">
        <f aca="false">SUMPRODUCT(E111:N111,1/(1+$F$103)^$E$3:$N$3)*$E$2</f>
        <v>3865.8245948916</v>
      </c>
      <c r="P111" s="15" t="n">
        <f aca="false">N111*$E$2*(1+$I$103)/($F$103-$I$103)/(1+$F$103)^$N$3</f>
        <v>5528.86797697831</v>
      </c>
      <c r="Q111" s="15" t="n">
        <f aca="false">O111+P111</f>
        <v>9394.69257186991</v>
      </c>
      <c r="R111" s="15" t="n">
        <f aca="false">Q111-$G$2+$I$2</f>
        <v>8018.49257186991</v>
      </c>
      <c r="S111" s="42" t="n">
        <f aca="false">R111/$K$2</f>
        <v>213.769463392959</v>
      </c>
      <c r="T111" s="43" t="n">
        <f aca="false">S111-$M$2</f>
        <v>9.29065774113337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0.015625</v>
      </c>
      <c r="C112" s="25" t="n">
        <f aca="false">IF(T111&gt;0,D111,C111)</f>
        <v>0.02734375</v>
      </c>
      <c r="D112" s="41" t="n">
        <f aca="false">(B112+C112)/2</f>
        <v>0.021484375</v>
      </c>
      <c r="E112" s="15" t="n">
        <f aca="false">$C$2*(1+IF(E$3&lt;=$O$2,$D112,$D112-($D112-$I$103)*MIN(E$3-$O$2,$Q$2)/$Q$2))</f>
        <v>2625.21484375</v>
      </c>
      <c r="F112" s="15" t="n">
        <f aca="false">E112*(1+IF(F$3&lt;=$O$2,$D112,$D112-($D112-$I$103)*MIN(F$3-$O$2,$Q$2)/$Q$2))</f>
        <v>2681.61594390869</v>
      </c>
      <c r="G112" s="15" t="n">
        <f aca="false">F112*(1+IF(G$3&lt;=$O$2,$D112,$D112-($D112-$I$103)*MIN(G$3-$O$2,$Q$2)/$Q$2))</f>
        <v>2739.2287864536</v>
      </c>
      <c r="H112" s="15" t="n">
        <f aca="false">G112*(1+IF(H$3&lt;=$O$2,$D112,$D112-($D112-$I$103)*MIN(H$3-$O$2,$Q$2)/$Q$2))</f>
        <v>2798.07940491257</v>
      </c>
      <c r="I112" s="15" t="n">
        <f aca="false">H112*(1+IF(I$3&lt;=$O$2,$D112,$D112-($D112-$I$103)*MIN(I$3-$O$2,$Q$2)/$Q$2))</f>
        <v>2858.19439212749</v>
      </c>
      <c r="J112" s="15" t="n">
        <f aca="false">I112*(1+IF(J$3&lt;=$O$2,$D112,$D112-($D112-$I$103)*MIN(J$3-$O$2,$Q$2)/$Q$2))</f>
        <v>2923.49698850162</v>
      </c>
      <c r="K112" s="15" t="n">
        <f aca="false">J112*(1+IF(K$3&lt;=$O$2,$D112,$D112-($D112-$I$103)*MIN(K$3-$O$2,$Q$2)/$Q$2))</f>
        <v>2994.27667777886</v>
      </c>
      <c r="L112" s="15" t="n">
        <f aca="false">K112*(1+IF(L$3&lt;=$O$2,$D112,$D112-($D112-$I$103)*MIN(L$3-$O$2,$Q$2)/$Q$2))</f>
        <v>3070.85156096721</v>
      </c>
      <c r="M112" s="15" t="n">
        <f aca="false">L112*(1+IF(M$3&lt;=$O$2,$D112,$D112-($D112-$I$103)*MIN(M$3-$O$2,$Q$2)/$Q$2))</f>
        <v>3153.57070560854</v>
      </c>
      <c r="N112" s="15" t="n">
        <f aca="false">M112*(1+IF(N$3&lt;=$O$2,$D112,$D112-($D112-$I$103)*MIN(N$3-$O$2,$Q$2)/$Q$2))</f>
        <v>3242.81675657726</v>
      </c>
      <c r="O112" s="15" t="n">
        <f aca="false">SUMPRODUCT(E112:N112,1/(1+$F$103)^$E$3:$N$3)*$E$2</f>
        <v>3768.20884614602</v>
      </c>
      <c r="P112" s="15" t="n">
        <f aca="false">N112*$E$2*(1+$I$103)/($F$103-$I$103)/(1+$F$103)^$N$3</f>
        <v>5311.96695555569</v>
      </c>
      <c r="Q112" s="15" t="n">
        <f aca="false">O112+P112</f>
        <v>9080.17580170171</v>
      </c>
      <c r="R112" s="15" t="n">
        <f aca="false">Q112-$G$2+$I$2</f>
        <v>7703.97580170171</v>
      </c>
      <c r="S112" s="42" t="n">
        <f aca="false">R112/$K$2</f>
        <v>205.384585489249</v>
      </c>
      <c r="T112" s="43" t="n">
        <f aca="false">S112-$M$2</f>
        <v>0.905779837422472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0.015625</v>
      </c>
      <c r="C113" s="25" t="n">
        <f aca="false">IF(T112&gt;0,D112,C112)</f>
        <v>0.021484375</v>
      </c>
      <c r="D113" s="41" t="n">
        <f aca="false">(B113+C113)/2</f>
        <v>0.0185546875</v>
      </c>
      <c r="E113" s="15" t="n">
        <f aca="false">$C$2*(1+IF(E$3&lt;=$O$2,$D113,$D113-($D113-$I$103)*MIN(E$3-$O$2,$Q$2)/$Q$2))</f>
        <v>2617.685546875</v>
      </c>
      <c r="F113" s="15" t="n">
        <f aca="false">E113*(1+IF(F$3&lt;=$O$2,$D113,$D113-($D113-$I$103)*MIN(F$3-$O$2,$Q$2)/$Q$2))</f>
        <v>2666.25588417053</v>
      </c>
      <c r="G113" s="15" t="n">
        <f aca="false">F113*(1+IF(G$3&lt;=$O$2,$D113,$D113-($D113-$I$103)*MIN(G$3-$O$2,$Q$2)/$Q$2))</f>
        <v>2715.72742889635</v>
      </c>
      <c r="H113" s="15" t="n">
        <f aca="false">G113*(1+IF(H$3&lt;=$O$2,$D113,$D113-($D113-$I$103)*MIN(H$3-$O$2,$Q$2)/$Q$2))</f>
        <v>2766.1169026747</v>
      </c>
      <c r="I113" s="15" t="n">
        <f aca="false">H113*(1+IF(I$3&lt;=$O$2,$D113,$D113-($D113-$I$103)*MIN(I$3-$O$2,$Q$2)/$Q$2))</f>
        <v>2817.4413373923</v>
      </c>
      <c r="J113" s="15" t="n">
        <f aca="false">I113*(1+IF(J$3&lt;=$O$2,$D113,$D113-($D113-$I$103)*MIN(J$3-$O$2,$Q$2)/$Q$2))</f>
        <v>2875.20945021386</v>
      </c>
      <c r="K113" s="15" t="n">
        <f aca="false">J113*(1+IF(K$3&lt;=$O$2,$D113,$D113-($D113-$I$103)*MIN(K$3-$O$2,$Q$2)/$Q$2))</f>
        <v>2939.76598889774</v>
      </c>
      <c r="L113" s="15" t="n">
        <f aca="false">K113*(1+IF(L$3&lt;=$O$2,$D113,$D113-($D113-$I$103)*MIN(L$3-$O$2,$Q$2)/$Q$2))</f>
        <v>3011.50179108807</v>
      </c>
      <c r="M113" s="15" t="n">
        <f aca="false">L113*(1+IF(M$3&lt;=$O$2,$D113,$D113-($D113-$I$103)*MIN(M$3-$O$2,$Q$2)/$Q$2))</f>
        <v>3090.85768656617</v>
      </c>
      <c r="N113" s="15" t="n">
        <f aca="false">M113*(1+IF(N$3&lt;=$O$2,$D113,$D113-($D113-$I$103)*MIN(N$3-$O$2,$Q$2)/$Q$2))</f>
        <v>3178.32895909599</v>
      </c>
      <c r="O113" s="15" t="n">
        <f aca="false">SUMPRODUCT(E113:N113,1/(1+$F$103)^$E$3:$N$3)*$E$2</f>
        <v>3720.34380220048</v>
      </c>
      <c r="P113" s="15" t="n">
        <f aca="false">N113*$E$2*(1+$I$103)/($F$103-$I$103)/(1+$F$103)^$N$3</f>
        <v>5206.33130760789</v>
      </c>
      <c r="Q113" s="15" t="n">
        <f aca="false">O113+P113</f>
        <v>8926.67510980837</v>
      </c>
      <c r="R113" s="15" t="n">
        <f aca="false">Q113-$G$2+$I$2</f>
        <v>7550.47510980837</v>
      </c>
      <c r="S113" s="42" t="n">
        <f aca="false">R113/$K$2</f>
        <v>201.292324974897</v>
      </c>
      <c r="T113" s="43" t="n">
        <f aca="false">S113-$M$2</f>
        <v>-3.18648067692953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0.0185546875</v>
      </c>
      <c r="C114" s="25" t="n">
        <f aca="false">IF(T113&gt;0,D113,C113)</f>
        <v>0.021484375</v>
      </c>
      <c r="D114" s="41" t="n">
        <f aca="false">(B114+C114)/2</f>
        <v>0.02001953125</v>
      </c>
      <c r="E114" s="15" t="n">
        <f aca="false">$C$2*(1+IF(E$3&lt;=$O$2,$D114,$D114-($D114-$I$103)*MIN(E$3-$O$2,$Q$2)/$Q$2))</f>
        <v>2621.4501953125</v>
      </c>
      <c r="F114" s="15" t="n">
        <f aca="false">E114*(1+IF(F$3&lt;=$O$2,$D114,$D114-($D114-$I$103)*MIN(F$3-$O$2,$Q$2)/$Q$2))</f>
        <v>2673.93039941788</v>
      </c>
      <c r="G114" s="15" t="n">
        <f aca="false">F114*(1+IF(G$3&lt;=$O$2,$D114,$D114-($D114-$I$103)*MIN(G$3-$O$2,$Q$2)/$Q$2))</f>
        <v>2727.46123260935</v>
      </c>
      <c r="H114" s="15" t="n">
        <f aca="false">G114*(1+IF(H$3&lt;=$O$2,$D114,$D114-($D114-$I$103)*MIN(H$3-$O$2,$Q$2)/$Q$2))</f>
        <v>2782.06372798873</v>
      </c>
      <c r="I114" s="15" t="n">
        <f aca="false">H114*(1+IF(I$3&lt;=$O$2,$D114,$D114-($D114-$I$103)*MIN(I$3-$O$2,$Q$2)/$Q$2))</f>
        <v>2837.7593397307</v>
      </c>
      <c r="J114" s="15" t="n">
        <f aca="false">I114*(1+IF(J$3&lt;=$O$2,$D114,$D114-($D114-$I$103)*MIN(J$3-$O$2,$Q$2)/$Q$2))</f>
        <v>2899.26954701895</v>
      </c>
      <c r="K114" s="15" t="n">
        <f aca="false">J114*(1+IF(K$3&lt;=$O$2,$D114,$D114-($D114-$I$103)*MIN(K$3-$O$2,$Q$2)/$Q$2))</f>
        <v>2966.91448867043</v>
      </c>
      <c r="L114" s="15" t="n">
        <f aca="false">K114*(1+IF(L$3&lt;=$O$2,$D114,$D114-($D114-$I$103)*MIN(L$3-$O$2,$Q$2)/$Q$2))</f>
        <v>3041.05119161686</v>
      </c>
      <c r="M114" s="15" t="n">
        <f aca="false">L114*(1+IF(M$3&lt;=$O$2,$D114,$D114-($D114-$I$103)*MIN(M$3-$O$2,$Q$2)/$Q$2))</f>
        <v>3122.07667446775</v>
      </c>
      <c r="N114" s="15" t="n">
        <f aca="false">M114*(1+IF(N$3&lt;=$O$2,$D114,$D114-($D114-$I$103)*MIN(N$3-$O$2,$Q$2)/$Q$2))</f>
        <v>3210.43144435519</v>
      </c>
      <c r="O114" s="15" t="n">
        <f aca="false">SUMPRODUCT(E114:N114,1/(1+$F$103)^$E$3:$N$3)*$E$2</f>
        <v>3744.19855396237</v>
      </c>
      <c r="P114" s="15" t="n">
        <f aca="false">N114*$E$2*(1+$I$103)/($F$103-$I$103)/(1+$F$103)^$N$3</f>
        <v>5258.91748613376</v>
      </c>
      <c r="Q114" s="15" t="n">
        <f aca="false">O114+P114</f>
        <v>9003.11604009612</v>
      </c>
      <c r="R114" s="15" t="n">
        <f aca="false">Q114-$G$2+$I$2</f>
        <v>7626.91604009612</v>
      </c>
      <c r="S114" s="42" t="n">
        <f aca="false">R114/$K$2</f>
        <v>203.330206347537</v>
      </c>
      <c r="T114" s="43" t="n">
        <f aca="false">S114-$M$2</f>
        <v>-1.14859930428881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0.02001953125</v>
      </c>
      <c r="C115" s="25" t="n">
        <f aca="false">IF(T114&gt;0,D114,C114)</f>
        <v>0.021484375</v>
      </c>
      <c r="D115" s="41" t="n">
        <f aca="false">(B115+C115)/2</f>
        <v>0.020751953125</v>
      </c>
      <c r="E115" s="15" t="n">
        <f aca="false">$C$2*(1+IF(E$3&lt;=$O$2,$D115,$D115-($D115-$I$103)*MIN(E$3-$O$2,$Q$2)/$Q$2))</f>
        <v>2623.33251953125</v>
      </c>
      <c r="F115" s="15" t="n">
        <f aca="false">E115*(1+IF(F$3&lt;=$O$2,$D115,$D115-($D115-$I$103)*MIN(F$3-$O$2,$Q$2)/$Q$2))</f>
        <v>2677.77179300785</v>
      </c>
      <c r="G115" s="15" t="n">
        <f aca="false">F115*(1+IF(G$3&lt;=$O$2,$D115,$D115-($D115-$I$103)*MIN(G$3-$O$2,$Q$2)/$Q$2))</f>
        <v>2733.3407877358</v>
      </c>
      <c r="H115" s="15" t="n">
        <f aca="false">G115*(1+IF(H$3&lt;=$O$2,$D115,$D115-($D115-$I$103)*MIN(H$3-$O$2,$Q$2)/$Q$2))</f>
        <v>2790.06294763754</v>
      </c>
      <c r="I115" s="15" t="n">
        <f aca="false">H115*(1+IF(I$3&lt;=$O$2,$D115,$D115-($D115-$I$103)*MIN(I$3-$O$2,$Q$2)/$Q$2))</f>
        <v>2847.96220314271</v>
      </c>
      <c r="J115" s="15" t="n">
        <f aca="false">I115*(1+IF(J$3&lt;=$O$2,$D115,$D115-($D115-$I$103)*MIN(J$3-$O$2,$Q$2)/$Q$2))</f>
        <v>2911.36229172561</v>
      </c>
      <c r="K115" s="15" t="n">
        <f aca="false">J115*(1+IF(K$3&lt;=$O$2,$D115,$D115-($D115-$I$103)*MIN(K$3-$O$2,$Q$2)/$Q$2))</f>
        <v>2980.56878515262</v>
      </c>
      <c r="L115" s="15" t="n">
        <f aca="false">K115*(1+IF(L$3&lt;=$O$2,$D115,$D115-($D115-$I$103)*MIN(L$3-$O$2,$Q$2)/$Q$2))</f>
        <v>3055.91989261064</v>
      </c>
      <c r="M115" s="15" t="n">
        <f aca="false">L115*(1+IF(M$3&lt;=$O$2,$D115,$D115-($D115-$I$103)*MIN(M$3-$O$2,$Q$2)/$Q$2))</f>
        <v>3137.78918025239</v>
      </c>
      <c r="N115" s="15" t="n">
        <f aca="false">M115*(1+IF(N$3&lt;=$O$2,$D115,$D115-($D115-$I$103)*MIN(N$3-$O$2,$Q$2)/$Q$2))</f>
        <v>3226.58861405353</v>
      </c>
      <c r="O115" s="15" t="n">
        <f aca="false">SUMPRODUCT(E115:N115,1/(1+$F$103)^$E$3:$N$3)*$E$2</f>
        <v>3756.18419793629</v>
      </c>
      <c r="P115" s="15" t="n">
        <f aca="false">N115*$E$2*(1+$I$103)/($F$103-$I$103)/(1+$F$103)^$N$3</f>
        <v>5285.38409154981</v>
      </c>
      <c r="Q115" s="15" t="n">
        <f aca="false">O115+P115</f>
        <v>9041.5682894861</v>
      </c>
      <c r="R115" s="15" t="n">
        <f aca="false">Q115-$G$2+$I$2</f>
        <v>7665.3682894861</v>
      </c>
      <c r="S115" s="42" t="n">
        <f aca="false">R115/$K$2</f>
        <v>204.355326299283</v>
      </c>
      <c r="T115" s="43" t="n">
        <f aca="false">S115-$M$2</f>
        <v>-0.12347935254337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0.020751953125</v>
      </c>
      <c r="C116" s="25" t="n">
        <f aca="false">IF(T115&gt;0,D115,C115)</f>
        <v>0.021484375</v>
      </c>
      <c r="D116" s="41" t="n">
        <f aca="false">(B116+C116)/2</f>
        <v>0.0211181640625</v>
      </c>
      <c r="E116" s="15" t="n">
        <f aca="false">$C$2*(1+IF(E$3&lt;=$O$2,$D116,$D116-($D116-$I$103)*MIN(E$3-$O$2,$Q$2)/$Q$2))</f>
        <v>2624.27368164063</v>
      </c>
      <c r="F116" s="15" t="n">
        <f aca="false">E116*(1+IF(F$3&lt;=$O$2,$D116,$D116-($D116-$I$103)*MIN(F$3-$O$2,$Q$2)/$Q$2))</f>
        <v>2679.69352379441</v>
      </c>
      <c r="G116" s="15" t="n">
        <f aca="false">F116*(1+IF(G$3&lt;=$O$2,$D116,$D116-($D116-$I$103)*MIN(G$3-$O$2,$Q$2)/$Q$2))</f>
        <v>2736.28373126712</v>
      </c>
      <c r="H116" s="15" t="n">
        <f aca="false">G116*(1+IF(H$3&lt;=$O$2,$D116,$D116-($D116-$I$103)*MIN(H$3-$O$2,$Q$2)/$Q$2))</f>
        <v>2794.06902002557</v>
      </c>
      <c r="I116" s="15" t="n">
        <f aca="false">H116*(1+IF(I$3&lt;=$O$2,$D116,$D116-($D116-$I$103)*MIN(I$3-$O$2,$Q$2)/$Q$2))</f>
        <v>2853.07462799242</v>
      </c>
      <c r="J116" s="15" t="n">
        <f aca="false">I116*(1+IF(J$3&lt;=$O$2,$D116,$D116-($D116-$I$103)*MIN(J$3-$O$2,$Q$2)/$Q$2))</f>
        <v>2917.42438884806</v>
      </c>
      <c r="K116" s="15" t="n">
        <f aca="false">J116*(1+IF(K$3&lt;=$O$2,$D116,$D116-($D116-$I$103)*MIN(K$3-$O$2,$Q$2)/$Q$2))</f>
        <v>2987.41602106</v>
      </c>
      <c r="L116" s="15" t="n">
        <f aca="false">K116*(1+IF(L$3&lt;=$O$2,$D116,$D116-($D116-$I$103)*MIN(L$3-$O$2,$Q$2)/$Q$2))</f>
        <v>3063.37784175987</v>
      </c>
      <c r="M116" s="15" t="n">
        <f aca="false">L116*(1+IF(M$3&lt;=$O$2,$D116,$D116-($D116-$I$103)*MIN(M$3-$O$2,$Q$2)/$Q$2))</f>
        <v>3145.67129926685</v>
      </c>
      <c r="N116" s="15" t="n">
        <f aca="false">M116*(1+IF(N$3&lt;=$O$2,$D116,$D116-($D116-$I$103)*MIN(N$3-$O$2,$Q$2)/$Q$2))</f>
        <v>3234.69379703611</v>
      </c>
      <c r="O116" s="15" t="n">
        <f aca="false">SUMPRODUCT(E116:N116,1/(1+$F$103)^$E$3:$N$3)*$E$2</f>
        <v>3762.19163904863</v>
      </c>
      <c r="P116" s="15" t="n">
        <f aca="false">N116*$E$2*(1+$I$103)/($F$103-$I$103)/(1+$F$103)^$N$3</f>
        <v>5298.66096391235</v>
      </c>
      <c r="Q116" s="15" t="n">
        <f aca="false">O116+P116</f>
        <v>9060.85260296098</v>
      </c>
      <c r="R116" s="15" t="n">
        <f aca="false">Q116-$G$2+$I$2</f>
        <v>7684.65260296098</v>
      </c>
      <c r="S116" s="42" t="n">
        <f aca="false">R116/$K$2</f>
        <v>204.869437562276</v>
      </c>
      <c r="T116" s="43" t="n">
        <f aca="false">S116-$M$2</f>
        <v>0.390631910450111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0.020751953125</v>
      </c>
      <c r="C117" s="25" t="n">
        <f aca="false">IF(T116&gt;0,D116,C116)</f>
        <v>0.0211181640625</v>
      </c>
      <c r="D117" s="41" t="n">
        <f aca="false">(B117+C117)/2</f>
        <v>0.02093505859375</v>
      </c>
      <c r="E117" s="15" t="n">
        <f aca="false">$C$2*(1+IF(E$3&lt;=$O$2,$D117,$D117-($D117-$I$103)*MIN(E$3-$O$2,$Q$2)/$Q$2))</f>
        <v>2623.80310058594</v>
      </c>
      <c r="F117" s="15" t="n">
        <f aca="false">E117*(1+IF(F$3&lt;=$O$2,$D117,$D117-($D117-$I$103)*MIN(F$3-$O$2,$Q$2)/$Q$2))</f>
        <v>2678.73257223517</v>
      </c>
      <c r="G117" s="15" t="n">
        <f aca="false">F117*(1+IF(G$3&lt;=$O$2,$D117,$D117-($D117-$I$103)*MIN(G$3-$O$2,$Q$2)/$Q$2))</f>
        <v>2734.8119955919</v>
      </c>
      <c r="H117" s="15" t="n">
        <f aca="false">G117*(1+IF(H$3&lt;=$O$2,$D117,$D117-($D117-$I$103)*MIN(H$3-$O$2,$Q$2)/$Q$2))</f>
        <v>2792.0654449625</v>
      </c>
      <c r="I117" s="15" t="n">
        <f aca="false">H117*(1+IF(I$3&lt;=$O$2,$D117,$D117-($D117-$I$103)*MIN(I$3-$O$2,$Q$2)/$Q$2))</f>
        <v>2850.51749865038</v>
      </c>
      <c r="J117" s="15" t="n">
        <f aca="false">I117*(1+IF(J$3&lt;=$O$2,$D117,$D117-($D117-$I$103)*MIN(J$3-$O$2,$Q$2)/$Q$2))</f>
        <v>2914.39202837814</v>
      </c>
      <c r="K117" s="15" t="n">
        <f aca="false">J117*(1+IF(K$3&lt;=$O$2,$D117,$D117-($D117-$I$103)*MIN(K$3-$O$2,$Q$2)/$Q$2))</f>
        <v>2983.99072686694</v>
      </c>
      <c r="L117" s="15" t="n">
        <f aca="false">K117*(1+IF(L$3&lt;=$O$2,$D117,$D117-($D117-$I$103)*MIN(L$3-$O$2,$Q$2)/$Q$2))</f>
        <v>3059.6468976932</v>
      </c>
      <c r="M117" s="15" t="n">
        <f aca="false">L117*(1+IF(M$3&lt;=$O$2,$D117,$D117-($D117-$I$103)*MIN(M$3-$O$2,$Q$2)/$Q$2))</f>
        <v>3141.72808087286</v>
      </c>
      <c r="N117" s="15" t="n">
        <f aca="false">M117*(1+IF(N$3&lt;=$O$2,$D117,$D117-($D117-$I$103)*MIN(N$3-$O$2,$Q$2)/$Q$2))</f>
        <v>3230.63898556156</v>
      </c>
      <c r="O117" s="15" t="n">
        <f aca="false">SUMPRODUCT(E117:N117,1/(1+$F$103)^$E$3:$N$3)*$E$2</f>
        <v>3759.18669867799</v>
      </c>
      <c r="P117" s="15" t="n">
        <f aca="false">N117*$E$2*(1+$I$103)/($F$103-$I$103)/(1+$F$103)^$N$3</f>
        <v>5292.01889123892</v>
      </c>
      <c r="Q117" s="15" t="n">
        <f aca="false">O117+P117</f>
        <v>9051.20558991691</v>
      </c>
      <c r="R117" s="15" t="n">
        <f aca="false">Q117-$G$2+$I$2</f>
        <v>7675.00558991691</v>
      </c>
      <c r="S117" s="42" t="n">
        <f aca="false">R117/$K$2</f>
        <v>204.612252463794</v>
      </c>
      <c r="T117" s="43" t="n">
        <f aca="false">S117-$M$2</f>
        <v>0.133446811967701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0.020751953125</v>
      </c>
      <c r="C118" s="25" t="n">
        <f aca="false">IF(T117&gt;0,D117,C117)</f>
        <v>0.02093505859375</v>
      </c>
      <c r="D118" s="41" t="n">
        <f aca="false">(B118+C118)/2</f>
        <v>0.020843505859375</v>
      </c>
      <c r="E118" s="15" t="n">
        <f aca="false">$C$2*(1+IF(E$3&lt;=$O$2,$D118,$D118-($D118-$I$103)*MIN(E$3-$O$2,$Q$2)/$Q$2))</f>
        <v>2623.56781005859</v>
      </c>
      <c r="F118" s="15" t="n">
        <f aca="false">E118*(1+IF(F$3&lt;=$O$2,$D118,$D118-($D118-$I$103)*MIN(F$3-$O$2,$Q$2)/$Q$2))</f>
        <v>2678.25216108002</v>
      </c>
      <c r="G118" s="15" t="n">
        <f aca="false">F118*(1+IF(G$3&lt;=$O$2,$D118,$D118-($D118-$I$103)*MIN(G$3-$O$2,$Q$2)/$Q$2))</f>
        <v>2734.07632569237</v>
      </c>
      <c r="H118" s="15" t="n">
        <f aca="false">G118*(1+IF(H$3&lt;=$O$2,$D118,$D118-($D118-$I$103)*MIN(H$3-$O$2,$Q$2)/$Q$2))</f>
        <v>2791.06406160692</v>
      </c>
      <c r="I118" s="15" t="n">
        <f aca="false">H118*(1+IF(I$3&lt;=$O$2,$D118,$D118-($D118-$I$103)*MIN(I$3-$O$2,$Q$2)/$Q$2))</f>
        <v>2849.23962172892</v>
      </c>
      <c r="J118" s="15" t="n">
        <f aca="false">I118*(1+IF(J$3&lt;=$O$2,$D118,$D118-($D118-$I$103)*MIN(J$3-$O$2,$Q$2)/$Q$2))</f>
        <v>2912.87683218812</v>
      </c>
      <c r="K118" s="15" t="n">
        <f aca="false">J118*(1+IF(K$3&lt;=$O$2,$D118,$D118-($D118-$I$103)*MIN(K$3-$O$2,$Q$2)/$Q$2))</f>
        <v>2982.2793371201</v>
      </c>
      <c r="L118" s="15" t="n">
        <f aca="false">K118*(1+IF(L$3&lt;=$O$2,$D118,$D118-($D118-$I$103)*MIN(L$3-$O$2,$Q$2)/$Q$2))</f>
        <v>3057.78290299942</v>
      </c>
      <c r="M118" s="15" t="n">
        <f aca="false">L118*(1+IF(M$3&lt;=$O$2,$D118,$D118-($D118-$I$103)*MIN(M$3-$O$2,$Q$2)/$Q$2))</f>
        <v>3139.7580910944</v>
      </c>
      <c r="N118" s="15" t="n">
        <f aca="false">M118*(1+IF(N$3&lt;=$O$2,$D118,$D118-($D118-$I$103)*MIN(N$3-$O$2,$Q$2)/$Q$2))</f>
        <v>3228.61324507237</v>
      </c>
      <c r="O118" s="15" t="n">
        <f aca="false">SUMPRODUCT(E118:N118,1/(1+$F$103)^$E$3:$N$3)*$E$2</f>
        <v>3757.68514347016</v>
      </c>
      <c r="P118" s="15" t="n">
        <f aca="false">N118*$E$2*(1+$I$103)/($F$103-$I$103)/(1+$F$103)^$N$3</f>
        <v>5288.70058269827</v>
      </c>
      <c r="Q118" s="15" t="n">
        <f aca="false">O118+P118</f>
        <v>9046.38572616843</v>
      </c>
      <c r="R118" s="15" t="n">
        <f aca="false">Q118-$G$2+$I$2</f>
        <v>7670.18572616843</v>
      </c>
      <c r="S118" s="42" t="n">
        <f aca="false">R118/$K$2</f>
        <v>204.483757029284</v>
      </c>
      <c r="T118" s="43" t="n">
        <f aca="false">S118-$M$2</f>
        <v>0.00495137745758711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0.020751953125</v>
      </c>
      <c r="C119" s="25" t="n">
        <f aca="false">IF(T118&gt;0,D118,C118)</f>
        <v>0.020843505859375</v>
      </c>
      <c r="D119" s="41" t="n">
        <f aca="false">(B119+C119)/2</f>
        <v>0.0207977294921875</v>
      </c>
      <c r="E119" s="15" t="n">
        <f aca="false">$C$2*(1+IF(E$3&lt;=$O$2,$D119,$D119-($D119-$I$103)*MIN(E$3-$O$2,$Q$2)/$Q$2))</f>
        <v>2623.45016479492</v>
      </c>
      <c r="F119" s="15" t="n">
        <f aca="false">E119*(1+IF(F$3&lt;=$O$2,$D119,$D119-($D119-$I$103)*MIN(F$3-$O$2,$Q$2)/$Q$2))</f>
        <v>2678.01197165856</v>
      </c>
      <c r="G119" s="15" t="n">
        <f aca="false">F119*(1+IF(G$3&lt;=$O$2,$D119,$D119-($D119-$I$103)*MIN(G$3-$O$2,$Q$2)/$Q$2))</f>
        <v>2733.70854022196</v>
      </c>
      <c r="H119" s="15" t="n">
        <f aca="false">G119*(1+IF(H$3&lt;=$O$2,$D119,$D119-($D119-$I$103)*MIN(H$3-$O$2,$Q$2)/$Q$2))</f>
        <v>2790.56347095198</v>
      </c>
      <c r="I119" s="15" t="n">
        <f aca="false">H119*(1+IF(I$3&lt;=$O$2,$D119,$D119-($D119-$I$103)*MIN(I$3-$O$2,$Q$2)/$Q$2))</f>
        <v>2848.60085515161</v>
      </c>
      <c r="J119" s="15" t="n">
        <f aca="false">I119*(1+IF(J$3&lt;=$O$2,$D119,$D119-($D119-$I$103)*MIN(J$3-$O$2,$Q$2)/$Q$2))</f>
        <v>2912.1194800051</v>
      </c>
      <c r="K119" s="15" t="n">
        <f aca="false">J119*(1+IF(K$3&lt;=$O$2,$D119,$D119-($D119-$I$103)*MIN(K$3-$O$2,$Q$2)/$Q$2))</f>
        <v>2981.4239564352</v>
      </c>
      <c r="L119" s="15" t="n">
        <f aca="false">K119*(1+IF(L$3&lt;=$O$2,$D119,$D119-($D119-$I$103)*MIN(L$3-$O$2,$Q$2)/$Q$2))</f>
        <v>3056.85127479446</v>
      </c>
      <c r="M119" s="15" t="n">
        <f aca="false">L119*(1+IF(M$3&lt;=$O$2,$D119,$D119-($D119-$I$103)*MIN(M$3-$O$2,$Q$2)/$Q$2))</f>
        <v>3138.77350083801</v>
      </c>
      <c r="N119" s="15" t="n">
        <f aca="false">M119*(1+IF(N$3&lt;=$O$2,$D119,$D119-($D119-$I$103)*MIN(N$3-$O$2,$Q$2)/$Q$2))</f>
        <v>3227.60079091172</v>
      </c>
      <c r="O119" s="15" t="n">
        <f aca="false">SUMPRODUCT(E119:N119,1/(1+$F$103)^$E$3:$N$3)*$E$2</f>
        <v>3756.93459450855</v>
      </c>
      <c r="P119" s="15" t="n">
        <f aca="false">N119*$E$2*(1+$I$103)/($F$103-$I$103)/(1+$F$103)^$N$3</f>
        <v>5287.04211000336</v>
      </c>
      <c r="Q119" s="15" t="n">
        <f aca="false">O119+P119</f>
        <v>9043.97670451192</v>
      </c>
      <c r="R119" s="15" t="n">
        <f aca="false">Q119-$G$2+$I$2</f>
        <v>7667.77670451192</v>
      </c>
      <c r="S119" s="42" t="n">
        <f aca="false">R119/$K$2</f>
        <v>204.41953357803</v>
      </c>
      <c r="T119" s="43" t="n">
        <f aca="false">S119-$M$2</f>
        <v>-0.0592720737957109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0.0207977294921875</v>
      </c>
      <c r="C120" s="25" t="n">
        <f aca="false">IF(T119&gt;0,D119,C119)</f>
        <v>0.020843505859375</v>
      </c>
      <c r="D120" s="41" t="n">
        <f aca="false">(B120+C120)/2</f>
        <v>0.0208206176757813</v>
      </c>
      <c r="E120" s="15" t="n">
        <f aca="false">$C$2*(1+IF(E$3&lt;=$O$2,$D120,$D120-($D120-$I$103)*MIN(E$3-$O$2,$Q$2)/$Q$2))</f>
        <v>2623.50898742676</v>
      </c>
      <c r="F120" s="15" t="n">
        <f aca="false">E120*(1+IF(F$3&lt;=$O$2,$D120,$D120-($D120-$I$103)*MIN(F$3-$O$2,$Q$2)/$Q$2))</f>
        <v>2678.13206502295</v>
      </c>
      <c r="G120" s="15" t="n">
        <f aca="false">F120*(1+IF(G$3&lt;=$O$2,$D120,$D120-($D120-$I$103)*MIN(G$3-$O$2,$Q$2)/$Q$2))</f>
        <v>2733.89242883404</v>
      </c>
      <c r="H120" s="15" t="n">
        <f aca="false">G120*(1+IF(H$3&lt;=$O$2,$D120,$D120-($D120-$I$103)*MIN(H$3-$O$2,$Q$2)/$Q$2))</f>
        <v>2790.81375786151</v>
      </c>
      <c r="I120" s="15" t="n">
        <f aca="false">H120*(1+IF(I$3&lt;=$O$2,$D120,$D120-($D120-$I$103)*MIN(I$3-$O$2,$Q$2)/$Q$2))</f>
        <v>2848.92022411825</v>
      </c>
      <c r="J120" s="15" t="n">
        <f aca="false">I120*(1+IF(J$3&lt;=$O$2,$D120,$D120-($D120-$I$103)*MIN(J$3-$O$2,$Q$2)/$Q$2))</f>
        <v>2912.49813560689</v>
      </c>
      <c r="K120" s="15" t="n">
        <f aca="false">J120*(1+IF(K$3&lt;=$O$2,$D120,$D120-($D120-$I$103)*MIN(K$3-$O$2,$Q$2)/$Q$2))</f>
        <v>2981.8516205997</v>
      </c>
      <c r="L120" s="15" t="n">
        <f aca="false">K120*(1+IF(L$3&lt;=$O$2,$D120,$D120-($D120-$I$103)*MIN(L$3-$O$2,$Q$2)/$Q$2))</f>
        <v>3057.31705814085</v>
      </c>
      <c r="M120" s="15" t="n">
        <f aca="false">L120*(1+IF(M$3&lt;=$O$2,$D120,$D120-($D120-$I$103)*MIN(M$3-$O$2,$Q$2)/$Q$2))</f>
        <v>3139.2657622534</v>
      </c>
      <c r="N120" s="15" t="n">
        <f aca="false">M120*(1+IF(N$3&lt;=$O$2,$D120,$D120-($D120-$I$103)*MIN(N$3-$O$2,$Q$2)/$Q$2))</f>
        <v>3228.10698332517</v>
      </c>
      <c r="O120" s="15" t="n">
        <f aca="false">SUMPRODUCT(E120:N120,1/(1+$F$103)^$E$3:$N$3)*$E$2</f>
        <v>3757.30984993887</v>
      </c>
      <c r="P120" s="15" t="n">
        <f aca="false">N120*$E$2*(1+$I$103)/($F$103-$I$103)/(1+$F$103)^$N$3</f>
        <v>5287.87128956398</v>
      </c>
      <c r="Q120" s="15" t="n">
        <f aca="false">O120+P120</f>
        <v>9045.18113950285</v>
      </c>
      <c r="R120" s="15" t="n">
        <f aca="false">Q120-$G$2+$I$2</f>
        <v>7668.98113950285</v>
      </c>
      <c r="S120" s="42" t="n">
        <f aca="false">R120/$K$2</f>
        <v>204.451643281867</v>
      </c>
      <c r="T120" s="43" t="n">
        <f aca="false">S120-$M$2</f>
        <v>-0.0271623699586598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0.0208206176757813</v>
      </c>
      <c r="C121" s="25" t="n">
        <f aca="false">IF(T120&gt;0,D120,C120)</f>
        <v>0.020843505859375</v>
      </c>
      <c r="D121" s="41" t="n">
        <f aca="false">(B121+C121)/2</f>
        <v>0.0208320617675781</v>
      </c>
      <c r="E121" s="15" t="n">
        <f aca="false">$C$2*(1+IF(E$3&lt;=$O$2,$D121,$D121-($D121-$I$103)*MIN(E$3-$O$2,$Q$2)/$Q$2))</f>
        <v>2623.53839874268</v>
      </c>
      <c r="F121" s="15" t="n">
        <f aca="false">E121*(1+IF(F$3&lt;=$O$2,$D121,$D121-($D121-$I$103)*MIN(F$3-$O$2,$Q$2)/$Q$2))</f>
        <v>2678.1921127149</v>
      </c>
      <c r="G121" s="15" t="n">
        <f aca="false">F121*(1+IF(G$3&lt;=$O$2,$D121,$D121-($D121-$I$103)*MIN(G$3-$O$2,$Q$2)/$Q$2))</f>
        <v>2733.98437623241</v>
      </c>
      <c r="H121" s="15" t="n">
        <f aca="false">G121*(1+IF(H$3&lt;=$O$2,$D121,$D121-($D121-$I$103)*MIN(H$3-$O$2,$Q$2)/$Q$2))</f>
        <v>2790.93890762968</v>
      </c>
      <c r="I121" s="15" t="n">
        <f aca="false">H121*(1+IF(I$3&lt;=$O$2,$D121,$D121-($D121-$I$103)*MIN(I$3-$O$2,$Q$2)/$Q$2))</f>
        <v>2849.07991934296</v>
      </c>
      <c r="J121" s="15" t="n">
        <f aca="false">I121*(1+IF(J$3&lt;=$O$2,$D121,$D121-($D121-$I$103)*MIN(J$3-$O$2,$Q$2)/$Q$2))</f>
        <v>2912.68747877486</v>
      </c>
      <c r="K121" s="15" t="n">
        <f aca="false">J121*(1+IF(K$3&lt;=$O$2,$D121,$D121-($D121-$I$103)*MIN(K$3-$O$2,$Q$2)/$Q$2))</f>
        <v>2982.06547231508</v>
      </c>
      <c r="L121" s="15" t="n">
        <f aca="false">K121*(1+IF(L$3&lt;=$O$2,$D121,$D121-($D121-$I$103)*MIN(L$3-$O$2,$Q$2)/$Q$2))</f>
        <v>3057.54997288068</v>
      </c>
      <c r="M121" s="15" t="n">
        <f aca="false">L121*(1+IF(M$3&lt;=$O$2,$D121,$D121-($D121-$I$103)*MIN(M$3-$O$2,$Q$2)/$Q$2))</f>
        <v>3139.5119182452</v>
      </c>
      <c r="N121" s="15" t="n">
        <f aca="false">M121*(1+IF(N$3&lt;=$O$2,$D121,$D121-($D121-$I$103)*MIN(N$3-$O$2,$Q$2)/$Q$2))</f>
        <v>3228.36010553154</v>
      </c>
      <c r="O121" s="15" t="n">
        <f aca="false">SUMPRODUCT(E121:N121,1/(1+$F$103)^$E$3:$N$3)*$E$2</f>
        <v>3757.49749194166</v>
      </c>
      <c r="P121" s="15" t="n">
        <f aca="false">N121*$E$2*(1+$I$103)/($F$103-$I$103)/(1+$F$103)^$N$3</f>
        <v>5288.28592193358</v>
      </c>
      <c r="Q121" s="15" t="n">
        <f aca="false">O121+P121</f>
        <v>9045.78341387525</v>
      </c>
      <c r="R121" s="15" t="n">
        <f aca="false">Q121-$G$2+$I$2</f>
        <v>7669.58341387525</v>
      </c>
      <c r="S121" s="42" t="n">
        <f aca="false">R121/$K$2</f>
        <v>204.4676996501</v>
      </c>
      <c r="T121" s="43" t="n">
        <f aca="false">S121-$M$2</f>
        <v>-0.0111060017262048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0.0208320617675781</v>
      </c>
      <c r="C122" s="25" t="n">
        <f aca="false">IF(T121&gt;0,D121,C121)</f>
        <v>0.020843505859375</v>
      </c>
      <c r="D122" s="41" t="n">
        <f aca="false">(B122+C122)/2</f>
        <v>0.0208377838134766</v>
      </c>
      <c r="E122" s="15" t="n">
        <f aca="false">$C$2*(1+IF(E$3&lt;=$O$2,$D122,$D122-($D122-$I$103)*MIN(E$3-$O$2,$Q$2)/$Q$2))</f>
        <v>2623.55310440063</v>
      </c>
      <c r="F122" s="15" t="n">
        <f aca="false">E122*(1+IF(F$3&lt;=$O$2,$D122,$D122-($D122-$I$103)*MIN(F$3-$O$2,$Q$2)/$Q$2))</f>
        <v>2678.22213681331</v>
      </c>
      <c r="G122" s="15" t="n">
        <f aca="false">F122*(1+IF(G$3&lt;=$O$2,$D122,$D122-($D122-$I$103)*MIN(G$3-$O$2,$Q$2)/$Q$2))</f>
        <v>2734.03035070469</v>
      </c>
      <c r="H122" s="15" t="n">
        <f aca="false">G122*(1+IF(H$3&lt;=$O$2,$D122,$D122-($D122-$I$103)*MIN(H$3-$O$2,$Q$2)/$Q$2))</f>
        <v>2791.00148409216</v>
      </c>
      <c r="I122" s="15" t="n">
        <f aca="false">H122*(1+IF(I$3&lt;=$O$2,$D122,$D122-($D122-$I$103)*MIN(I$3-$O$2,$Q$2)/$Q$2))</f>
        <v>2849.15976964077</v>
      </c>
      <c r="J122" s="15" t="n">
        <f aca="false">I122*(1+IF(J$3&lt;=$O$2,$D122,$D122-($D122-$I$103)*MIN(J$3-$O$2,$Q$2)/$Q$2))</f>
        <v>2912.7821542008</v>
      </c>
      <c r="K122" s="15" t="n">
        <f aca="false">J122*(1+IF(K$3&lt;=$O$2,$D122,$D122-($D122-$I$103)*MIN(K$3-$O$2,$Q$2)/$Q$2))</f>
        <v>2982.17240308134</v>
      </c>
      <c r="L122" s="15" t="n">
        <f aca="false">K122*(1+IF(L$3&lt;=$O$2,$D122,$D122-($D122-$I$103)*MIN(L$3-$O$2,$Q$2)/$Q$2))</f>
        <v>3057.66643601763</v>
      </c>
      <c r="M122" s="15" t="n">
        <f aca="false">L122*(1+IF(M$3&lt;=$O$2,$D122,$D122-($D122-$I$103)*MIN(M$3-$O$2,$Q$2)/$Q$2))</f>
        <v>3139.63500256256</v>
      </c>
      <c r="N122" s="15" t="n">
        <f aca="false">M122*(1+IF(N$3&lt;=$O$2,$D122,$D122-($D122-$I$103)*MIN(N$3-$O$2,$Q$2)/$Q$2))</f>
        <v>3228.48667313509</v>
      </c>
      <c r="O122" s="15" t="n">
        <f aca="false">SUMPRODUCT(E122:N122,1/(1+$F$103)^$E$3:$N$3)*$E$2</f>
        <v>3757.59131651517</v>
      </c>
      <c r="P122" s="15" t="n">
        <f aca="false">N122*$E$2*(1+$I$103)/($F$103-$I$103)/(1+$F$103)^$N$3</f>
        <v>5288.49324876644</v>
      </c>
      <c r="Q122" s="15" t="n">
        <f aca="false">O122+P122</f>
        <v>9046.08456528161</v>
      </c>
      <c r="R122" s="15" t="n">
        <f aca="false">Q122-$G$2+$I$2</f>
        <v>7669.88456528161</v>
      </c>
      <c r="S122" s="42" t="n">
        <f aca="false">R122/$K$2</f>
        <v>204.475728213319</v>
      </c>
      <c r="T122" s="43" t="n">
        <f aca="false">S122-$M$2</f>
        <v>-0.00307743850680708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0.0208377838134766</v>
      </c>
      <c r="C123" s="25" t="n">
        <f aca="false">IF(T122&gt;0,D122,C122)</f>
        <v>0.020843505859375</v>
      </c>
      <c r="D123" s="41" t="n">
        <f aca="false">(B123+C123)/2</f>
        <v>0.0208406448364258</v>
      </c>
      <c r="E123" s="15" t="n">
        <f aca="false">$C$2*(1+IF(E$3&lt;=$O$2,$D123,$D123-($D123-$I$103)*MIN(E$3-$O$2,$Q$2)/$Q$2))</f>
        <v>2623.56045722961</v>
      </c>
      <c r="F123" s="15" t="n">
        <f aca="false">E123*(1+IF(F$3&lt;=$O$2,$D123,$D123-($D123-$I$103)*MIN(F$3-$O$2,$Q$2)/$Q$2))</f>
        <v>2678.23714892563</v>
      </c>
      <c r="G123" s="15" t="n">
        <f aca="false">F123*(1+IF(G$3&lt;=$O$2,$D123,$D123-($D123-$I$103)*MIN(G$3-$O$2,$Q$2)/$Q$2))</f>
        <v>2734.05333813411</v>
      </c>
      <c r="H123" s="15" t="n">
        <f aca="false">G123*(1+IF(H$3&lt;=$O$2,$D123,$D123-($D123-$I$103)*MIN(H$3-$O$2,$Q$2)/$Q$2))</f>
        <v>2791.03277271801</v>
      </c>
      <c r="I123" s="15" t="n">
        <f aca="false">H123*(1+IF(I$3&lt;=$O$2,$D123,$D123-($D123-$I$103)*MIN(I$3-$O$2,$Q$2)/$Q$2))</f>
        <v>2849.19969546105</v>
      </c>
      <c r="J123" s="15" t="n">
        <f aca="false">I123*(1+IF(J$3&lt;=$O$2,$D123,$D123-($D123-$I$103)*MIN(J$3-$O$2,$Q$2)/$Q$2))</f>
        <v>2912.82949287428</v>
      </c>
      <c r="K123" s="15" t="n">
        <f aca="false">J123*(1+IF(K$3&lt;=$O$2,$D123,$D123-($D123-$I$103)*MIN(K$3-$O$2,$Q$2)/$Q$2))</f>
        <v>2982.22586969165</v>
      </c>
      <c r="L123" s="15" t="n">
        <f aca="false">K123*(1+IF(L$3&lt;=$O$2,$D123,$D123-($D123-$I$103)*MIN(L$3-$O$2,$Q$2)/$Q$2))</f>
        <v>3057.72466902791</v>
      </c>
      <c r="M123" s="15" t="n">
        <f aca="false">L123*(1+IF(M$3&lt;=$O$2,$D123,$D123-($D123-$I$103)*MIN(M$3-$O$2,$Q$2)/$Q$2))</f>
        <v>3139.69654630166</v>
      </c>
      <c r="N123" s="15" t="n">
        <f aca="false">M123*(1+IF(N$3&lt;=$O$2,$D123,$D123-($D123-$I$103)*MIN(N$3-$O$2,$Q$2)/$Q$2))</f>
        <v>3228.549958562</v>
      </c>
      <c r="O123" s="15" t="n">
        <f aca="false">SUMPRODUCT(E123:N123,1/(1+$F$103)^$E$3:$N$3)*$E$2</f>
        <v>3757.63822969498</v>
      </c>
      <c r="P123" s="15" t="n">
        <f aca="false">N123*$E$2*(1+$I$103)/($F$103-$I$103)/(1+$F$103)^$N$3</f>
        <v>5288.59691484497</v>
      </c>
      <c r="Q123" s="15" t="n">
        <f aca="false">O123+P123</f>
        <v>9046.23514453994</v>
      </c>
      <c r="R123" s="15" t="n">
        <f aca="false">Q123-$G$2+$I$2</f>
        <v>7670.03514453994</v>
      </c>
      <c r="S123" s="42" t="n">
        <f aca="false">R123/$K$2</f>
        <v>204.479742589708</v>
      </c>
      <c r="T123" s="43" t="n">
        <f aca="false">S123-$M$2</f>
        <v>0.000936937881817812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0.0208377838134766</v>
      </c>
      <c r="C124" s="25" t="n">
        <f aca="false">IF(T123&gt;0,D123,C123)</f>
        <v>0.0208406448364258</v>
      </c>
      <c r="D124" s="41" t="n">
        <f aca="false">(B124+C124)/2</f>
        <v>0.0208392143249512</v>
      </c>
      <c r="E124" s="15" t="n">
        <f aca="false">$C$2*(1+IF(E$3&lt;=$O$2,$D124,$D124-($D124-$I$103)*MIN(E$3-$O$2,$Q$2)/$Q$2))</f>
        <v>2623.55678081512</v>
      </c>
      <c r="F124" s="15" t="n">
        <f aca="false">E124*(1+IF(F$3&lt;=$O$2,$D124,$D124-($D124-$I$103)*MIN(F$3-$O$2,$Q$2)/$Q$2))</f>
        <v>2678.22964286421</v>
      </c>
      <c r="G124" s="15" t="n">
        <f aca="false">F124*(1+IF(G$3&lt;=$O$2,$D124,$D124-($D124-$I$103)*MIN(G$3-$O$2,$Q$2)/$Q$2))</f>
        <v>2734.04184440329</v>
      </c>
      <c r="H124" s="15" t="n">
        <f aca="false">G124*(1+IF(H$3&lt;=$O$2,$D124,$D124-($D124-$I$103)*MIN(H$3-$O$2,$Q$2)/$Q$2))</f>
        <v>2791.0171283722</v>
      </c>
      <c r="I124" s="15" t="n">
        <f aca="false">H124*(1+IF(I$3&lt;=$O$2,$D124,$D124-($D124-$I$103)*MIN(I$3-$O$2,$Q$2)/$Q$2))</f>
        <v>2849.17973249496</v>
      </c>
      <c r="J124" s="15" t="n">
        <f aca="false">I124*(1+IF(J$3&lt;=$O$2,$D124,$D124-($D124-$I$103)*MIN(J$3-$O$2,$Q$2)/$Q$2))</f>
        <v>2912.80582345749</v>
      </c>
      <c r="K124" s="15" t="n">
        <f aca="false">J124*(1+IF(K$3&lt;=$O$2,$D124,$D124-($D124-$I$103)*MIN(K$3-$O$2,$Q$2)/$Q$2))</f>
        <v>2982.19913628423</v>
      </c>
      <c r="L124" s="15" t="n">
        <f aca="false">K124*(1+IF(L$3&lt;=$O$2,$D124,$D124-($D124-$I$103)*MIN(L$3-$O$2,$Q$2)/$Q$2))</f>
        <v>3057.69555240262</v>
      </c>
      <c r="M124" s="15" t="n">
        <f aca="false">L124*(1+IF(M$3&lt;=$O$2,$D124,$D124-($D124-$I$103)*MIN(M$3-$O$2,$Q$2)/$Q$2))</f>
        <v>3139.66577430041</v>
      </c>
      <c r="N124" s="15" t="n">
        <f aca="false">M124*(1+IF(N$3&lt;=$O$2,$D124,$D124-($D124-$I$103)*MIN(N$3-$O$2,$Q$2)/$Q$2))</f>
        <v>3228.51831571311</v>
      </c>
      <c r="O124" s="15" t="n">
        <f aca="false">SUMPRODUCT(E124:N124,1/(1+$F$103)^$E$3:$N$3)*$E$2</f>
        <v>3757.61477303065</v>
      </c>
      <c r="P124" s="15" t="n">
        <f aca="false">N124*$E$2*(1+$I$103)/($F$103-$I$103)/(1+$F$103)^$N$3</f>
        <v>5288.54508158386</v>
      </c>
      <c r="Q124" s="15" t="n">
        <f aca="false">O124+P124</f>
        <v>9046.15985461451</v>
      </c>
      <c r="R124" s="15" t="n">
        <f aca="false">Q124-$G$2+$I$2</f>
        <v>7669.95985461451</v>
      </c>
      <c r="S124" s="42" t="n">
        <f aca="false">R124/$K$2</f>
        <v>204.477735393615</v>
      </c>
      <c r="T124" s="43" t="n">
        <f aca="false">S124-$M$2</f>
        <v>-0.00107025821080242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0.0208392143249512</v>
      </c>
      <c r="C125" s="25" t="n">
        <f aca="false">IF(T124&gt;0,D124,C124)</f>
        <v>0.0208406448364258</v>
      </c>
      <c r="D125" s="41" t="n">
        <f aca="false">(B125+C125)/2</f>
        <v>0.0208399295806885</v>
      </c>
      <c r="E125" s="15" t="n">
        <f aca="false">$C$2*(1+IF(E$3&lt;=$O$2,$D125,$D125-($D125-$I$103)*MIN(E$3-$O$2,$Q$2)/$Q$2))</f>
        <v>2623.55861902237</v>
      </c>
      <c r="F125" s="15" t="n">
        <f aca="false">E125*(1+IF(F$3&lt;=$O$2,$D125,$D125-($D125-$I$103)*MIN(F$3-$O$2,$Q$2)/$Q$2))</f>
        <v>2678.2333958936</v>
      </c>
      <c r="G125" s="15" t="n">
        <f aca="false">F125*(1+IF(G$3&lt;=$O$2,$D125,$D125-($D125-$I$103)*MIN(G$3-$O$2,$Q$2)/$Q$2))</f>
        <v>2734.04759126468</v>
      </c>
      <c r="H125" s="15" t="n">
        <f aca="false">G125*(1+IF(H$3&lt;=$O$2,$D125,$D125-($D125-$I$103)*MIN(H$3-$O$2,$Q$2)/$Q$2))</f>
        <v>2791.02495053688</v>
      </c>
      <c r="I125" s="15" t="n">
        <f aca="false">H125*(1+IF(I$3&lt;=$O$2,$D125,$D125-($D125-$I$103)*MIN(I$3-$O$2,$Q$2)/$Q$2))</f>
        <v>2849.18971396401</v>
      </c>
      <c r="J125" s="15" t="n">
        <f aca="false">I125*(1+IF(J$3&lt;=$O$2,$D125,$D125-($D125-$I$103)*MIN(J$3-$O$2,$Q$2)/$Q$2))</f>
        <v>2912.81765814588</v>
      </c>
      <c r="K125" s="15" t="n">
        <f aca="false">J125*(1+IF(K$3&lt;=$O$2,$D125,$D125-($D125-$I$103)*MIN(K$3-$O$2,$Q$2)/$Q$2))</f>
        <v>2982.21250296238</v>
      </c>
      <c r="L125" s="15" t="n">
        <f aca="false">K125*(1+IF(L$3&lt;=$O$2,$D125,$D125-($D125-$I$103)*MIN(L$3-$O$2,$Q$2)/$Q$2))</f>
        <v>3057.71011068523</v>
      </c>
      <c r="M125" s="15" t="n">
        <f aca="false">L125*(1+IF(M$3&lt;=$O$2,$D125,$D125-($D125-$I$103)*MIN(M$3-$O$2,$Q$2)/$Q$2))</f>
        <v>3139.68116026811</v>
      </c>
      <c r="N125" s="15" t="n">
        <f aca="false">M125*(1+IF(N$3&lt;=$O$2,$D125,$D125-($D125-$I$103)*MIN(N$3-$O$2,$Q$2)/$Q$2))</f>
        <v>3228.5341371037</v>
      </c>
      <c r="O125" s="15" t="n">
        <f aca="false">SUMPRODUCT(E125:N125,1/(1+$F$103)^$E$3:$N$3)*$E$2</f>
        <v>3757.62650134421</v>
      </c>
      <c r="P125" s="15" t="n">
        <f aca="false">N125*$E$2*(1+$I$103)/($F$103-$I$103)/(1+$F$103)^$N$3</f>
        <v>5288.57099815895</v>
      </c>
      <c r="Q125" s="15" t="n">
        <f aca="false">O125+P125</f>
        <v>9046.19749950316</v>
      </c>
      <c r="R125" s="15" t="n">
        <f aca="false">Q125-$G$2+$I$2</f>
        <v>7669.99749950316</v>
      </c>
      <c r="S125" s="42" t="n">
        <f aca="false">R125/$K$2</f>
        <v>204.478738989687</v>
      </c>
      <c r="T125" s="43" t="n">
        <f aca="false">S125-$M$2</f>
        <v>-6.66621390621458E-005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0.0208399295806885</v>
      </c>
      <c r="C126" s="25" t="n">
        <f aca="false">IF(T125&gt;0,D125,C125)</f>
        <v>0.0208406448364258</v>
      </c>
      <c r="D126" s="41" t="n">
        <f aca="false">(B126+C126)/2</f>
        <v>0.0208402872085571</v>
      </c>
      <c r="E126" s="15" t="n">
        <f aca="false">$C$2*(1+IF(E$3&lt;=$O$2,$D126,$D126-($D126-$I$103)*MIN(E$3-$O$2,$Q$2)/$Q$2))</f>
        <v>2623.55953812599</v>
      </c>
      <c r="F126" s="15" t="n">
        <f aca="false">E126*(1+IF(F$3&lt;=$O$2,$D126,$D126-($D126-$I$103)*MIN(F$3-$O$2,$Q$2)/$Q$2))</f>
        <v>2678.23527240929</v>
      </c>
      <c r="G126" s="15" t="n">
        <f aca="false">F126*(1+IF(G$3&lt;=$O$2,$D126,$D126-($D126-$I$103)*MIN(G$3-$O$2,$Q$2)/$Q$2))</f>
        <v>2734.05046469839</v>
      </c>
      <c r="H126" s="15" t="n">
        <f aca="false">G126*(1+IF(H$3&lt;=$O$2,$D126,$D126-($D126-$I$103)*MIN(H$3-$O$2,$Q$2)/$Q$2))</f>
        <v>2791.02886162539</v>
      </c>
      <c r="I126" s="15" t="n">
        <f aca="false">H126*(1+IF(I$3&lt;=$O$2,$D126,$D126-($D126-$I$103)*MIN(I$3-$O$2,$Q$2)/$Q$2))</f>
        <v>2849.19470470903</v>
      </c>
      <c r="J126" s="15" t="n">
        <f aca="false">I126*(1+IF(J$3&lt;=$O$2,$D126,$D126-($D126-$I$103)*MIN(J$3-$O$2,$Q$2)/$Q$2))</f>
        <v>2912.82357550508</v>
      </c>
      <c r="K126" s="15" t="n">
        <f aca="false">J126*(1+IF(K$3&lt;=$O$2,$D126,$D126-($D126-$I$103)*MIN(K$3-$O$2,$Q$2)/$Q$2))</f>
        <v>2982.21918632062</v>
      </c>
      <c r="L126" s="15" t="n">
        <f aca="false">K126*(1+IF(L$3&lt;=$O$2,$D126,$D126-($D126-$I$103)*MIN(L$3-$O$2,$Q$2)/$Q$2))</f>
        <v>3057.71738984906</v>
      </c>
      <c r="M126" s="15" t="n">
        <f aca="false">L126*(1+IF(M$3&lt;=$O$2,$D126,$D126-($D126-$I$103)*MIN(M$3-$O$2,$Q$2)/$Q$2))</f>
        <v>3139.68885327666</v>
      </c>
      <c r="N126" s="15" t="n">
        <f aca="false">M126*(1+IF(N$3&lt;=$O$2,$D126,$D126-($D126-$I$103)*MIN(N$3-$O$2,$Q$2)/$Q$2))</f>
        <v>3228.54204782439</v>
      </c>
      <c r="O126" s="15" t="n">
        <f aca="false">SUMPRODUCT(E126:N126,1/(1+$F$103)^$E$3:$N$3)*$E$2</f>
        <v>3757.63236551494</v>
      </c>
      <c r="P126" s="15" t="n">
        <f aca="false">N126*$E$2*(1+$I$103)/($F$103-$I$103)/(1+$F$103)^$N$3</f>
        <v>5288.58395648809</v>
      </c>
      <c r="Q126" s="15" t="n">
        <f aca="false">O126+P126</f>
        <v>9046.21632200304</v>
      </c>
      <c r="R126" s="15" t="n">
        <f aca="false">Q126-$G$2+$I$2</f>
        <v>7670.01632200304</v>
      </c>
      <c r="S126" s="42" t="n">
        <f aca="false">R126/$K$2</f>
        <v>204.479240789204</v>
      </c>
      <c r="T126" s="43" t="n">
        <f aca="false">S126-$M$2</f>
        <v>0.000435137377763795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0.0208399295806885</v>
      </c>
      <c r="C127" s="25" t="n">
        <f aca="false">IF(T126&gt;0,D126,C126)</f>
        <v>0.0208402872085571</v>
      </c>
      <c r="D127" s="41" t="n">
        <f aca="false">(B127+C127)/2</f>
        <v>0.0208401083946228</v>
      </c>
      <c r="E127" s="15" t="n">
        <f aca="false">$C$2*(1+IF(E$3&lt;=$O$2,$D127,$D127-($D127-$I$103)*MIN(E$3-$O$2,$Q$2)/$Q$2))</f>
        <v>2623.55907857418</v>
      </c>
      <c r="F127" s="15" t="n">
        <f aca="false">E127*(1+IF(F$3&lt;=$O$2,$D127,$D127-($D127-$I$103)*MIN(F$3-$O$2,$Q$2)/$Q$2))</f>
        <v>2678.23433415136</v>
      </c>
      <c r="G127" s="15" t="n">
        <f aca="false">F127*(1+IF(G$3&lt;=$O$2,$D127,$D127-($D127-$I$103)*MIN(G$3-$O$2,$Q$2)/$Q$2))</f>
        <v>2734.04902798128</v>
      </c>
      <c r="H127" s="15" t="n">
        <f aca="false">G127*(1+IF(H$3&lt;=$O$2,$D127,$D127-($D127-$I$103)*MIN(H$3-$O$2,$Q$2)/$Q$2))</f>
        <v>2791.02690608062</v>
      </c>
      <c r="I127" s="15" t="n">
        <f aca="false">H127*(1+IF(I$3&lt;=$O$2,$D127,$D127-($D127-$I$103)*MIN(I$3-$O$2,$Q$2)/$Q$2))</f>
        <v>2849.19220933565</v>
      </c>
      <c r="J127" s="15" t="n">
        <f aca="false">I127*(1+IF(J$3&lt;=$O$2,$D127,$D127-($D127-$I$103)*MIN(J$3-$O$2,$Q$2)/$Q$2))</f>
        <v>2912.82061682423</v>
      </c>
      <c r="K127" s="15" t="n">
        <f aca="false">J127*(1+IF(K$3&lt;=$O$2,$D127,$D127-($D127-$I$103)*MIN(K$3-$O$2,$Q$2)/$Q$2))</f>
        <v>2982.2158446399</v>
      </c>
      <c r="L127" s="15" t="n">
        <f aca="false">K127*(1+IF(L$3&lt;=$O$2,$D127,$D127-($D127-$I$103)*MIN(L$3-$O$2,$Q$2)/$Q$2))</f>
        <v>3057.71375026527</v>
      </c>
      <c r="M127" s="15" t="n">
        <f aca="false">L127*(1+IF(M$3&lt;=$O$2,$D127,$D127-($D127-$I$103)*MIN(M$3-$O$2,$Q$2)/$Q$2))</f>
        <v>3139.68500677033</v>
      </c>
      <c r="N127" s="15" t="n">
        <f aca="false">M127*(1+IF(N$3&lt;=$O$2,$D127,$D127-($D127-$I$103)*MIN(N$3-$O$2,$Q$2)/$Q$2))</f>
        <v>3228.53809246193</v>
      </c>
      <c r="O127" s="15" t="n">
        <f aca="false">SUMPRODUCT(E127:N127,1/(1+$F$103)^$E$3:$N$3)*$E$2</f>
        <v>3757.62943342841</v>
      </c>
      <c r="P127" s="15" t="n">
        <f aca="false">N127*$E$2*(1+$I$103)/($F$103-$I$103)/(1+$F$103)^$N$3</f>
        <v>5288.57747732006</v>
      </c>
      <c r="Q127" s="15" t="n">
        <f aca="false">O127+P127</f>
        <v>9046.20691074847</v>
      </c>
      <c r="R127" s="15" t="n">
        <f aca="false">Q127-$G$2+$I$2</f>
        <v>7670.00691074847</v>
      </c>
      <c r="S127" s="42" t="n">
        <f aca="false">R127/$K$2</f>
        <v>204.478989889322</v>
      </c>
      <c r="T127" s="43" t="n">
        <f aca="false">S127-$M$2</f>
        <v>0.00018423749591534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0.0208399295806885</v>
      </c>
      <c r="C128" s="25" t="n">
        <f aca="false">IF(T127&gt;0,D127,C127)</f>
        <v>0.0208401083946228</v>
      </c>
      <c r="D128" s="41" t="n">
        <f aca="false">(B128+C128)/2</f>
        <v>0.0208400189876556</v>
      </c>
      <c r="E128" s="15" t="n">
        <f aca="false">$C$2*(1+IF(E$3&lt;=$O$2,$D128,$D128-($D128-$I$103)*MIN(E$3-$O$2,$Q$2)/$Q$2))</f>
        <v>2623.55884879828</v>
      </c>
      <c r="F128" s="15" t="n">
        <f aca="false">E128*(1+IF(F$3&lt;=$O$2,$D128,$D128-($D128-$I$103)*MIN(F$3-$O$2,$Q$2)/$Q$2))</f>
        <v>2678.23386502246</v>
      </c>
      <c r="G128" s="15" t="n">
        <f aca="false">F128*(1+IF(G$3&lt;=$O$2,$D128,$D128-($D128-$I$103)*MIN(G$3-$O$2,$Q$2)/$Q$2))</f>
        <v>2734.04830962291</v>
      </c>
      <c r="H128" s="15" t="n">
        <f aca="false">G128*(1+IF(H$3&lt;=$O$2,$D128,$D128-($D128-$I$103)*MIN(H$3-$O$2,$Q$2)/$Q$2))</f>
        <v>2791.02592830862</v>
      </c>
      <c r="I128" s="15" t="n">
        <f aca="false">H128*(1+IF(I$3&lt;=$O$2,$D128,$D128-($D128-$I$103)*MIN(I$3-$O$2,$Q$2)/$Q$2))</f>
        <v>2849.19096164961</v>
      </c>
      <c r="J128" s="15" t="n">
        <f aca="false">I128*(1+IF(J$3&lt;=$O$2,$D128,$D128-($D128-$I$103)*MIN(J$3-$O$2,$Q$2)/$Q$2))</f>
        <v>2912.81913748474</v>
      </c>
      <c r="K128" s="15" t="n">
        <f aca="false">J128*(1+IF(K$3&lt;=$O$2,$D128,$D128-($D128-$I$103)*MIN(K$3-$O$2,$Q$2)/$Q$2))</f>
        <v>2982.21417380074</v>
      </c>
      <c r="L128" s="15" t="n">
        <f aca="false">K128*(1+IF(L$3&lt;=$O$2,$D128,$D128-($D128-$I$103)*MIN(L$3-$O$2,$Q$2)/$Q$2))</f>
        <v>3057.71193047478</v>
      </c>
      <c r="M128" s="15" t="n">
        <f aca="false">L128*(1+IF(M$3&lt;=$O$2,$D128,$D128-($D128-$I$103)*MIN(M$3-$O$2,$Q$2)/$Q$2))</f>
        <v>3139.6830835187</v>
      </c>
      <c r="N128" s="15" t="n">
        <f aca="false">M128*(1+IF(N$3&lt;=$O$2,$D128,$D128-($D128-$I$103)*MIN(N$3-$O$2,$Q$2)/$Q$2))</f>
        <v>3228.53611478228</v>
      </c>
      <c r="O128" s="15" t="n">
        <f aca="false">SUMPRODUCT(E128:N128,1/(1+$F$103)^$E$3:$N$3)*$E$2</f>
        <v>3757.62796738602</v>
      </c>
      <c r="P128" s="15" t="n">
        <f aca="false">N128*$E$2*(1+$I$103)/($F$103-$I$103)/(1+$F$103)^$N$3</f>
        <v>5288.57423773864</v>
      </c>
      <c r="Q128" s="15" t="n">
        <f aca="false">O128+P128</f>
        <v>9046.20220512466</v>
      </c>
      <c r="R128" s="15" t="n">
        <f aca="false">Q128-$G$2+$I$2</f>
        <v>7670.00220512466</v>
      </c>
      <c r="S128" s="42" t="n">
        <f aca="false">R128/$K$2</f>
        <v>204.478864439474</v>
      </c>
      <c r="T128" s="43" t="n">
        <f aca="false">S128-$M$2</f>
        <v>5.87876475321991E-005</v>
      </c>
    </row>
    <row r="130" customFormat="false" ht="15" hidden="false" customHeight="false" outlineLevel="0" collapsed="false">
      <c r="A130" s="38" t="s">
        <v>185</v>
      </c>
      <c r="E130" s="5" t="s">
        <v>11</v>
      </c>
      <c r="F130" s="12" t="n">
        <f aca="false">Sensitivity!$B$10</f>
        <v>0.084183337553844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162</v>
      </c>
      <c r="B131" s="28" t="s">
        <v>163</v>
      </c>
      <c r="C131" s="28" t="s">
        <v>164</v>
      </c>
      <c r="D131" s="28" t="s">
        <v>165</v>
      </c>
      <c r="E131" s="28" t="s">
        <v>166</v>
      </c>
      <c r="F131" s="28" t="s">
        <v>167</v>
      </c>
      <c r="G131" s="28" t="s">
        <v>168</v>
      </c>
      <c r="H131" s="28" t="s">
        <v>169</v>
      </c>
      <c r="I131" s="28" t="s">
        <v>170</v>
      </c>
      <c r="J131" s="28" t="s">
        <v>171</v>
      </c>
      <c r="K131" s="28" t="s">
        <v>172</v>
      </c>
      <c r="L131" s="28" t="s">
        <v>173</v>
      </c>
      <c r="M131" s="28" t="s">
        <v>174</v>
      </c>
      <c r="N131" s="28" t="s">
        <v>175</v>
      </c>
      <c r="O131" s="28" t="s">
        <v>176</v>
      </c>
      <c r="P131" s="28" t="s">
        <v>177</v>
      </c>
      <c r="Q131" s="28" t="s">
        <v>178</v>
      </c>
      <c r="R131" s="28" t="s">
        <v>179</v>
      </c>
      <c r="S131" s="28" t="s">
        <v>180</v>
      </c>
      <c r="T131" s="28" t="s">
        <v>181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3212.5</v>
      </c>
      <c r="F132" s="15" t="n">
        <f aca="false">E132*(1+IF(F$3&lt;=$O$2,$D132,$D132-($D132-$I$130)*MIN(F$3-$O$2,$Q$2)/$Q$2))</f>
        <v>4015.625</v>
      </c>
      <c r="G132" s="15" t="n">
        <f aca="false">F132*(1+IF(G$3&lt;=$O$2,$D132,$D132-($D132-$I$130)*MIN(G$3-$O$2,$Q$2)/$Q$2))</f>
        <v>5019.53125</v>
      </c>
      <c r="H132" s="15" t="n">
        <f aca="false">G132*(1+IF(H$3&lt;=$O$2,$D132,$D132-($D132-$I$130)*MIN(H$3-$O$2,$Q$2)/$Q$2))</f>
        <v>6274.4140625</v>
      </c>
      <c r="I132" s="15" t="n">
        <f aca="false">H132*(1+IF(I$3&lt;=$O$2,$D132,$D132-($D132-$I$130)*MIN(I$3-$O$2,$Q$2)/$Q$2))</f>
        <v>7843.017578125</v>
      </c>
      <c r="J132" s="15" t="n">
        <f aca="false">I132*(1+IF(J$3&lt;=$O$2,$D132,$D132-($D132-$I$130)*MIN(J$3-$O$2,$Q$2)/$Q$2))</f>
        <v>9463.85559082031</v>
      </c>
      <c r="K132" s="15" t="n">
        <f aca="false">J132*(1+IF(K$3&lt;=$O$2,$D132,$D132-($D132-$I$130)*MIN(K$3-$O$2,$Q$2)/$Q$2))</f>
        <v>11009.4924859131</v>
      </c>
      <c r="L132" s="15" t="n">
        <f aca="false">K132*(1+IF(L$3&lt;=$O$2,$D132,$D132-($D132-$I$130)*MIN(L$3-$O$2,$Q$2)/$Q$2))</f>
        <v>12330.4113943729</v>
      </c>
      <c r="M132" s="15" t="n">
        <f aca="false">L132*(1+IF(M$3&lt;=$O$2,$D132,$D132-($D132-$I$130)*MIN(M$3-$O$2,$Q$2)/$Q$2))</f>
        <v>13275.4141236377</v>
      </c>
      <c r="N132" s="15" t="n">
        <f aca="false">M132*(1+IF(N$3&lt;=$O$2,$D132,$D132-($D132-$I$130)*MIN(N$3-$O$2,$Q$2)/$Q$2))</f>
        <v>13717.4854139548</v>
      </c>
      <c r="O132" s="15" t="n">
        <f aca="false">SUMPRODUCT(E132:N132,1/(1+$F$130)^$E$3:$N$3)*$E$2</f>
        <v>10220.0461713714</v>
      </c>
      <c r="P132" s="15" t="n">
        <f aca="false">N132*$E$2*(1+$I$130)/($F$130-$I$130)/(1+$F$130)^$N$3</f>
        <v>24798.2368015596</v>
      </c>
      <c r="Q132" s="15" t="n">
        <f aca="false">O132+P132</f>
        <v>35018.282972931</v>
      </c>
      <c r="R132" s="15" t="n">
        <f aca="false">Q132-$G$2+$I$2</f>
        <v>33642.082972931</v>
      </c>
      <c r="S132" s="42" t="n">
        <f aca="false">R132/$K$2</f>
        <v>896.883043799814</v>
      </c>
      <c r="T132" s="43" t="n">
        <f aca="false">S132-$M$2</f>
        <v>692.404238147988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2248.75</v>
      </c>
      <c r="F133" s="15" t="n">
        <f aca="false">E133*(1+IF(F$3&lt;=$O$2,$D133,$D133-($D133-$I$130)*MIN(F$3-$O$2,$Q$2)/$Q$2))</f>
        <v>1967.65625</v>
      </c>
      <c r="G133" s="15" t="n">
        <f aca="false">F133*(1+IF(G$3&lt;=$O$2,$D133,$D133-($D133-$I$130)*MIN(G$3-$O$2,$Q$2)/$Q$2))</f>
        <v>1721.69921875</v>
      </c>
      <c r="H133" s="15" t="n">
        <f aca="false">G133*(1+IF(H$3&lt;=$O$2,$D133,$D133-($D133-$I$130)*MIN(H$3-$O$2,$Q$2)/$Q$2))</f>
        <v>1506.48681640625</v>
      </c>
      <c r="I133" s="15" t="n">
        <f aca="false">H133*(1+IF(I$3&lt;=$O$2,$D133,$D133-($D133-$I$130)*MIN(I$3-$O$2,$Q$2)/$Q$2))</f>
        <v>1318.17596435547</v>
      </c>
      <c r="J133" s="15" t="n">
        <f aca="false">I133*(1+IF(J$3&lt;=$O$2,$D133,$D133-($D133-$I$130)*MIN(J$3-$O$2,$Q$2)/$Q$2))</f>
        <v>1195.13741984253</v>
      </c>
      <c r="K133" s="15" t="n">
        <f aca="false">J133*(1+IF(K$3&lt;=$O$2,$D133,$D133-($D133-$I$130)*MIN(K$3-$O$2,$Q$2)/$Q$2))</f>
        <v>1121.42134378664</v>
      </c>
      <c r="L133" s="15" t="n">
        <f aca="false">K133*(1+IF(L$3&lt;=$O$2,$D133,$D133-($D133-$I$130)*MIN(L$3-$O$2,$Q$2)/$Q$2))</f>
        <v>1087.75627504617</v>
      </c>
      <c r="M133" s="15" t="n">
        <f aca="false">L133*(1+IF(M$3&lt;=$O$2,$D133,$D133-($D133-$I$130)*MIN(M$3-$O$2,$Q$2)/$Q$2))</f>
        <v>1089.54019533724</v>
      </c>
      <c r="N133" s="15" t="n">
        <f aca="false">M133*(1+IF(N$3&lt;=$O$2,$D133,$D133-($D133-$I$130)*MIN(N$3-$O$2,$Q$2)/$Q$2))</f>
        <v>1125.82188384197</v>
      </c>
      <c r="O133" s="15" t="n">
        <f aca="false">SUMPRODUCT(E133:N133,1/(1+$F$130)^$E$3:$N$3)*$E$2</f>
        <v>2005.65121510013</v>
      </c>
      <c r="P133" s="15" t="n">
        <f aca="false">N133*$E$2*(1+$I$130)/($F$130-$I$130)/(1+$F$130)^$N$3</f>
        <v>2035.24165176</v>
      </c>
      <c r="Q133" s="15" t="n">
        <f aca="false">O133+P133</f>
        <v>4040.89286686013</v>
      </c>
      <c r="R133" s="15" t="n">
        <f aca="false">Q133-$G$2+$I$2</f>
        <v>2664.69286686013</v>
      </c>
      <c r="S133" s="42" t="n">
        <f aca="false">R133/$K$2</f>
        <v>71.0395325742503</v>
      </c>
      <c r="T133" s="43" t="n">
        <f aca="false">S133-$M$2</f>
        <v>-133.439273077576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2730.625</v>
      </c>
      <c r="F134" s="15" t="n">
        <f aca="false">E134*(1+IF(F$3&lt;=$O$2,$D134,$D134-($D134-$I$130)*MIN(F$3-$O$2,$Q$2)/$Q$2))</f>
        <v>2901.2890625</v>
      </c>
      <c r="G134" s="15" t="n">
        <f aca="false">F134*(1+IF(G$3&lt;=$O$2,$D134,$D134-($D134-$I$130)*MIN(G$3-$O$2,$Q$2)/$Q$2))</f>
        <v>3082.61962890625</v>
      </c>
      <c r="H134" s="15" t="n">
        <f aca="false">G134*(1+IF(H$3&lt;=$O$2,$D134,$D134-($D134-$I$130)*MIN(H$3-$O$2,$Q$2)/$Q$2))</f>
        <v>3275.28335571289</v>
      </c>
      <c r="I134" s="15" t="n">
        <f aca="false">H134*(1+IF(I$3&lt;=$O$2,$D134,$D134-($D134-$I$130)*MIN(I$3-$O$2,$Q$2)/$Q$2))</f>
        <v>3479.98856544495</v>
      </c>
      <c r="J134" s="15" t="n">
        <f aca="false">I134*(1+IF(J$3&lt;=$O$2,$D134,$D134-($D134-$I$130)*MIN(J$3-$O$2,$Q$2)/$Q$2))</f>
        <v>3677.16471756306</v>
      </c>
      <c r="K134" s="15" t="n">
        <f aca="false">J134*(1+IF(K$3&lt;=$O$2,$D134,$D134-($D134-$I$130)*MIN(K$3-$O$2,$Q$2)/$Q$2))</f>
        <v>3864.03822850961</v>
      </c>
      <c r="L134" s="15" t="n">
        <f aca="false">K134*(1+IF(L$3&lt;=$O$2,$D134,$D134-($D134-$I$130)*MIN(L$3-$O$2,$Q$2)/$Q$2))</f>
        <v>4037.84266802797</v>
      </c>
      <c r="M134" s="15" t="n">
        <f aca="false">L134*(1+IF(M$3&lt;=$O$2,$D134,$D134-($D134-$I$130)*MIN(M$3-$O$2,$Q$2)/$Q$2))</f>
        <v>4195.88383005459</v>
      </c>
      <c r="N134" s="15" t="n">
        <f aca="false">M134*(1+IF(N$3&lt;=$O$2,$D134,$D134-($D134-$I$130)*MIN(N$3-$O$2,$Q$2)/$Q$2))</f>
        <v>4335.60676159541</v>
      </c>
      <c r="O134" s="15" t="n">
        <f aca="false">SUMPRODUCT(E134:N134,1/(1+$F$130)^$E$3:$N$3)*$E$2</f>
        <v>4521.14966878982</v>
      </c>
      <c r="P134" s="15" t="n">
        <f aca="false">N134*$E$2*(1+$I$130)/($F$130-$I$130)/(1+$F$130)^$N$3</f>
        <v>7837.83615640737</v>
      </c>
      <c r="Q134" s="15" t="n">
        <f aca="false">O134+P134</f>
        <v>12358.9858251972</v>
      </c>
      <c r="R134" s="15" t="n">
        <f aca="false">Q134-$G$2+$I$2</f>
        <v>10982.7858251972</v>
      </c>
      <c r="S134" s="42" t="n">
        <f aca="false">R134/$K$2</f>
        <v>292.796209682676</v>
      </c>
      <c r="T134" s="43" t="n">
        <f aca="false">S134-$M$2</f>
        <v>88.3174040308503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2489.6875</v>
      </c>
      <c r="F135" s="15" t="n">
        <f aca="false">E135*(1+IF(F$3&lt;=$O$2,$D135,$D135-($D135-$I$130)*MIN(F$3-$O$2,$Q$2)/$Q$2))</f>
        <v>2411.884765625</v>
      </c>
      <c r="G135" s="15" t="n">
        <f aca="false">F135*(1+IF(G$3&lt;=$O$2,$D135,$D135-($D135-$I$130)*MIN(G$3-$O$2,$Q$2)/$Q$2))</f>
        <v>2336.51336669922</v>
      </c>
      <c r="H135" s="15" t="n">
        <f aca="false">G135*(1+IF(H$3&lt;=$O$2,$D135,$D135-($D135-$I$130)*MIN(H$3-$O$2,$Q$2)/$Q$2))</f>
        <v>2263.49732398987</v>
      </c>
      <c r="I135" s="15" t="n">
        <f aca="false">H135*(1+IF(I$3&lt;=$O$2,$D135,$D135-($D135-$I$130)*MIN(I$3-$O$2,$Q$2)/$Q$2))</f>
        <v>2192.76303261519</v>
      </c>
      <c r="J135" s="15" t="n">
        <f aca="false">I135*(1+IF(J$3&lt;=$O$2,$D135,$D135-($D135-$I$130)*MIN(J$3-$O$2,$Q$2)/$Q$2))</f>
        <v>2152.54775859702</v>
      </c>
      <c r="K135" s="15" t="n">
        <f aca="false">J135*(1+IF(K$3&lt;=$O$2,$D135,$D135-($D135-$I$130)*MIN(K$3-$O$2,$Q$2)/$Q$2))</f>
        <v>2140.85942426784</v>
      </c>
      <c r="L135" s="15" t="n">
        <f aca="false">K135*(1+IF(L$3&lt;=$O$2,$D135,$D135-($D135-$I$130)*MIN(L$3-$O$2,$Q$2)/$Q$2))</f>
        <v>2156.87305276136</v>
      </c>
      <c r="M135" s="15" t="n">
        <f aca="false">L135*(1+IF(M$3&lt;=$O$2,$D135,$D135-($D135-$I$130)*MIN(M$3-$O$2,$Q$2)/$Q$2))</f>
        <v>2200.85169430717</v>
      </c>
      <c r="N135" s="15" t="n">
        <f aca="false">M135*(1+IF(N$3&lt;=$O$2,$D135,$D135-($D135-$I$130)*MIN(N$3-$O$2,$Q$2)/$Q$2))</f>
        <v>2274.1400557276</v>
      </c>
      <c r="O135" s="15" t="n">
        <f aca="false">SUMPRODUCT(E135:N135,1/(1+$F$130)^$E$3:$N$3)*$E$2</f>
        <v>3002.76908443238</v>
      </c>
      <c r="P135" s="15" t="n">
        <f aca="false">N135*$E$2*(1+$I$130)/($F$130-$I$130)/(1+$F$130)^$N$3</f>
        <v>4111.15171039107</v>
      </c>
      <c r="Q135" s="15" t="n">
        <f aca="false">O135+P135</f>
        <v>7113.92079482345</v>
      </c>
      <c r="R135" s="15" t="n">
        <f aca="false">Q135-$G$2+$I$2</f>
        <v>5737.72079482345</v>
      </c>
      <c r="S135" s="42" t="n">
        <f aca="false">R135/$K$2</f>
        <v>152.96509716938</v>
      </c>
      <c r="T135" s="43" t="n">
        <f aca="false">S135-$M$2</f>
        <v>-51.5137084824459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41" t="n">
        <f aca="false">(B136+C136)/2</f>
        <v>0.015625</v>
      </c>
      <c r="E136" s="15" t="n">
        <f aca="false">$C$2*(1+IF(E$3&lt;=$O$2,$D136,$D136-($D136-$I$130)*MIN(E$3-$O$2,$Q$2)/$Q$2))</f>
        <v>2610.15625</v>
      </c>
      <c r="F136" s="15" t="n">
        <f aca="false">E136*(1+IF(F$3&lt;=$O$2,$D136,$D136-($D136-$I$130)*MIN(F$3-$O$2,$Q$2)/$Q$2))</f>
        <v>2650.93994140625</v>
      </c>
      <c r="G136" s="15" t="n">
        <f aca="false">F136*(1+IF(G$3&lt;=$O$2,$D136,$D136-($D136-$I$130)*MIN(G$3-$O$2,$Q$2)/$Q$2))</f>
        <v>2692.36087799072</v>
      </c>
      <c r="H136" s="15" t="n">
        <f aca="false">G136*(1+IF(H$3&lt;=$O$2,$D136,$D136-($D136-$I$130)*MIN(H$3-$O$2,$Q$2)/$Q$2))</f>
        <v>2734.42901670933</v>
      </c>
      <c r="I136" s="15" t="n">
        <f aca="false">H136*(1+IF(I$3&lt;=$O$2,$D136,$D136-($D136-$I$130)*MIN(I$3-$O$2,$Q$2)/$Q$2))</f>
        <v>2777.15447009541</v>
      </c>
      <c r="J136" s="15" t="n">
        <f aca="false">I136*(1+IF(J$3&lt;=$O$2,$D136,$D136-($D136-$I$130)*MIN(J$3-$O$2,$Q$2)/$Q$2))</f>
        <v>2830.36474974244</v>
      </c>
      <c r="K136" s="15" t="n">
        <f aca="false">J136*(1+IF(K$3&lt;=$O$2,$D136,$D136-($D136-$I$130)*MIN(K$3-$O$2,$Q$2)/$Q$2))</f>
        <v>2894.59987773784</v>
      </c>
      <c r="L136" s="15" t="n">
        <f aca="false">K136*(1+IF(L$3&lt;=$O$2,$D136,$D136-($D136-$I$130)*MIN(L$3-$O$2,$Q$2)/$Q$2))</f>
        <v>2970.52523253091</v>
      </c>
      <c r="M136" s="15" t="n">
        <f aca="false">L136*(1+IF(M$3&lt;=$O$2,$D136,$D136-($D136-$I$130)*MIN(M$3-$O$2,$Q$2)/$Q$2))</f>
        <v>3058.94291607719</v>
      </c>
      <c r="N136" s="15" t="n">
        <f aca="false">M136*(1+IF(N$3&lt;=$O$2,$D136,$D136-($D136-$I$130)*MIN(N$3-$O$2,$Q$2)/$Q$2))</f>
        <v>3160.80571518256</v>
      </c>
      <c r="O136" s="15" t="n">
        <f aca="false">SUMPRODUCT(E136:N136,1/(1+$F$130)^$E$3:$N$3)*$E$2</f>
        <v>3683.16883365259</v>
      </c>
      <c r="P136" s="15" t="n">
        <f aca="false">N136*$E$2*(1+$I$130)/($F$130-$I$130)/(1+$F$130)^$N$3</f>
        <v>5714.05080767073</v>
      </c>
      <c r="Q136" s="15" t="n">
        <f aca="false">O136+P136</f>
        <v>9397.21964132332</v>
      </c>
      <c r="R136" s="15" t="n">
        <f aca="false">Q136-$G$2+$I$2</f>
        <v>8021.01964132332</v>
      </c>
      <c r="S136" s="42" t="n">
        <f aca="false">R136/$K$2</f>
        <v>213.836833946236</v>
      </c>
      <c r="T136" s="43" t="n">
        <f aca="false">S136-$M$2</f>
        <v>9.35802829441016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-0.03125</v>
      </c>
      <c r="C137" s="25" t="n">
        <f aca="false">IF(T136&gt;0,D136,C136)</f>
        <v>0.015625</v>
      </c>
      <c r="D137" s="41" t="n">
        <f aca="false">(B137+C137)/2</f>
        <v>-0.0078125</v>
      </c>
      <c r="E137" s="15" t="n">
        <f aca="false">$C$2*(1+IF(E$3&lt;=$O$2,$D137,$D137-($D137-$I$130)*MIN(E$3-$O$2,$Q$2)/$Q$2))</f>
        <v>2549.921875</v>
      </c>
      <c r="F137" s="15" t="n">
        <f aca="false">E137*(1+IF(F$3&lt;=$O$2,$D137,$D137-($D137-$I$130)*MIN(F$3-$O$2,$Q$2)/$Q$2))</f>
        <v>2530.00061035156</v>
      </c>
      <c r="G137" s="15" t="n">
        <f aca="false">F137*(1+IF(G$3&lt;=$O$2,$D137,$D137-($D137-$I$130)*MIN(G$3-$O$2,$Q$2)/$Q$2))</f>
        <v>2510.23498058319</v>
      </c>
      <c r="H137" s="15" t="n">
        <f aca="false">G137*(1+IF(H$3&lt;=$O$2,$D137,$D137-($D137-$I$130)*MIN(H$3-$O$2,$Q$2)/$Q$2))</f>
        <v>2490.62376979738</v>
      </c>
      <c r="I137" s="15" t="n">
        <f aca="false">H137*(1+IF(I$3&lt;=$O$2,$D137,$D137-($D137-$I$130)*MIN(I$3-$O$2,$Q$2)/$Q$2))</f>
        <v>2471.16577159584</v>
      </c>
      <c r="J137" s="15" t="n">
        <f aca="false">I137*(1+IF(J$3&lt;=$O$2,$D137,$D137-($D137-$I$130)*MIN(J$3-$O$2,$Q$2)/$Q$2))</f>
        <v>2472.1789495622</v>
      </c>
      <c r="K137" s="15" t="n">
        <f aca="false">J137*(1+IF(K$3&lt;=$O$2,$D137,$D137-($D137-$I$130)*MIN(K$3-$O$2,$Q$2)/$Q$2))</f>
        <v>2493.52003434429</v>
      </c>
      <c r="L137" s="15" t="n">
        <f aca="false">K137*(1+IF(L$3&lt;=$O$2,$D137,$D137-($D137-$I$130)*MIN(L$3-$O$2,$Q$2)/$Q$2))</f>
        <v>2535.54831452317</v>
      </c>
      <c r="M137" s="15" t="n">
        <f aca="false">L137*(1+IF(M$3&lt;=$O$2,$D137,$D137-($D137-$I$130)*MIN(M$3-$O$2,$Q$2)/$Q$2))</f>
        <v>2599.13352738062</v>
      </c>
      <c r="N137" s="15" t="n">
        <f aca="false">M137*(1+IF(N$3&lt;=$O$2,$D137,$D137-($D137-$I$130)*MIN(N$3-$O$2,$Q$2)/$Q$2))</f>
        <v>2685.6846738424</v>
      </c>
      <c r="O137" s="15" t="n">
        <f aca="false">SUMPRODUCT(E137:N137,1/(1+$F$130)^$E$3:$N$3)*$E$2</f>
        <v>3325.162814532</v>
      </c>
      <c r="P137" s="15" t="n">
        <f aca="false">N137*$E$2*(1+$I$130)/($F$130-$I$130)/(1+$F$130)^$N$3</f>
        <v>4855.13507078422</v>
      </c>
      <c r="Q137" s="15" t="n">
        <f aca="false">O137+P137</f>
        <v>8180.29788531622</v>
      </c>
      <c r="R137" s="15" t="n">
        <f aca="false">Q137-$G$2+$I$2</f>
        <v>6804.09788531622</v>
      </c>
      <c r="S137" s="42" t="n">
        <f aca="false">R137/$K$2</f>
        <v>181.394238478172</v>
      </c>
      <c r="T137" s="43" t="n">
        <f aca="false">S137-$M$2</f>
        <v>-23.0845671736545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-0.0078125</v>
      </c>
      <c r="C138" s="25" t="n">
        <f aca="false">IF(T137&gt;0,D137,C137)</f>
        <v>0.015625</v>
      </c>
      <c r="D138" s="41" t="n">
        <f aca="false">(B138+C138)/2</f>
        <v>0.00390625</v>
      </c>
      <c r="E138" s="15" t="n">
        <f aca="false">$C$2*(1+IF(E$3&lt;=$O$2,$D138,$D138-($D138-$I$130)*MIN(E$3-$O$2,$Q$2)/$Q$2))</f>
        <v>2580.0390625</v>
      </c>
      <c r="F138" s="15" t="n">
        <f aca="false">E138*(1+IF(F$3&lt;=$O$2,$D138,$D138-($D138-$I$130)*MIN(F$3-$O$2,$Q$2)/$Q$2))</f>
        <v>2590.11734008789</v>
      </c>
      <c r="G138" s="15" t="n">
        <f aca="false">F138*(1+IF(G$3&lt;=$O$2,$D138,$D138-($D138-$I$130)*MIN(G$3-$O$2,$Q$2)/$Q$2))</f>
        <v>2600.23498594761</v>
      </c>
      <c r="H138" s="15" t="n">
        <f aca="false">G138*(1+IF(H$3&lt;=$O$2,$D138,$D138-($D138-$I$130)*MIN(H$3-$O$2,$Q$2)/$Q$2))</f>
        <v>2610.39215386147</v>
      </c>
      <c r="I138" s="15" t="n">
        <f aca="false">H138*(1+IF(I$3&lt;=$O$2,$D138,$D138-($D138-$I$130)*MIN(I$3-$O$2,$Q$2)/$Q$2))</f>
        <v>2620.58899821249</v>
      </c>
      <c r="J138" s="15" t="n">
        <f aca="false">I138*(1+IF(J$3&lt;=$O$2,$D138,$D138-($D138-$I$130)*MIN(J$3-$O$2,$Q$2)/$Q$2))</f>
        <v>2646.23146156</v>
      </c>
      <c r="K138" s="15" t="n">
        <f aca="false">J138*(1+IF(K$3&lt;=$O$2,$D138,$D138-($D138-$I$130)*MIN(K$3-$O$2,$Q$2)/$Q$2))</f>
        <v>2687.68136961601</v>
      </c>
      <c r="L138" s="15" t="n">
        <f aca="false">K138*(1+IF(L$3&lt;=$O$2,$D138,$D138-($D138-$I$130)*MIN(L$3-$O$2,$Q$2)/$Q$2))</f>
        <v>2745.58074552096</v>
      </c>
      <c r="M138" s="15" t="n">
        <f aca="false">L138*(1+IF(M$3&lt;=$O$2,$D138,$D138-($D138-$I$130)*MIN(M$3-$O$2,$Q$2)/$Q$2))</f>
        <v>2820.86800153908</v>
      </c>
      <c r="N138" s="15" t="n">
        <f aca="false">M138*(1+IF(N$3&lt;=$O$2,$D138,$D138-($D138-$I$130)*MIN(N$3-$O$2,$Q$2)/$Q$2))</f>
        <v>2914.80290599033</v>
      </c>
      <c r="O138" s="15" t="n">
        <f aca="false">SUMPRODUCT(E138:N138,1/(1+$F$130)^$E$3:$N$3)*$E$2</f>
        <v>3499.49050213109</v>
      </c>
      <c r="P138" s="15" t="n">
        <f aca="false">N138*$E$2*(1+$I$130)/($F$130-$I$130)/(1+$F$130)^$N$3</f>
        <v>5269.33111363761</v>
      </c>
      <c r="Q138" s="15" t="n">
        <f aca="false">O138+P138</f>
        <v>8768.8216157687</v>
      </c>
      <c r="R138" s="15" t="n">
        <f aca="false">Q138-$G$2+$I$2</f>
        <v>7392.6216157687</v>
      </c>
      <c r="S138" s="42" t="n">
        <f aca="false">R138/$K$2</f>
        <v>197.08402068165</v>
      </c>
      <c r="T138" s="43" t="n">
        <f aca="false">S138-$M$2</f>
        <v>-7.39478497017589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0.00390625</v>
      </c>
      <c r="C139" s="25" t="n">
        <f aca="false">IF(T138&gt;0,D138,C138)</f>
        <v>0.015625</v>
      </c>
      <c r="D139" s="41" t="n">
        <f aca="false">(B139+C139)/2</f>
        <v>0.009765625</v>
      </c>
      <c r="E139" s="15" t="n">
        <f aca="false">$C$2*(1+IF(E$3&lt;=$O$2,$D139,$D139-($D139-$I$130)*MIN(E$3-$O$2,$Q$2)/$Q$2))</f>
        <v>2595.09765625</v>
      </c>
      <c r="F139" s="15" t="n">
        <f aca="false">E139*(1+IF(F$3&lt;=$O$2,$D139,$D139-($D139-$I$130)*MIN(F$3-$O$2,$Q$2)/$Q$2))</f>
        <v>2620.44040679932</v>
      </c>
      <c r="G139" s="15" t="n">
        <f aca="false">F139*(1+IF(G$3&lt;=$O$2,$D139,$D139-($D139-$I$130)*MIN(G$3-$O$2,$Q$2)/$Q$2))</f>
        <v>2646.03064514697</v>
      </c>
      <c r="H139" s="15" t="n">
        <f aca="false">G139*(1+IF(H$3&lt;=$O$2,$D139,$D139-($D139-$I$130)*MIN(H$3-$O$2,$Q$2)/$Q$2))</f>
        <v>2671.87078816598</v>
      </c>
      <c r="I139" s="15" t="n">
        <f aca="false">H139*(1+IF(I$3&lt;=$O$2,$D139,$D139-($D139-$I$130)*MIN(I$3-$O$2,$Q$2)/$Q$2))</f>
        <v>2697.96327633166</v>
      </c>
      <c r="J139" s="15" t="n">
        <f aca="false">I139*(1+IF(J$3&lt;=$O$2,$D139,$D139-($D139-$I$130)*MIN(J$3-$O$2,$Q$2)/$Q$2))</f>
        <v>2737.00954984837</v>
      </c>
      <c r="K139" s="15" t="n">
        <f aca="false">J139*(1+IF(K$3&lt;=$O$2,$D139,$D139-($D139-$I$130)*MIN(K$3-$O$2,$Q$2)/$Q$2))</f>
        <v>2789.5036823835</v>
      </c>
      <c r="L139" s="15" t="n">
        <f aca="false">K139*(1+IF(L$3&lt;=$O$2,$D139,$D139-($D139-$I$130)*MIN(L$3-$O$2,$Q$2)/$Q$2))</f>
        <v>2856.13446471683</v>
      </c>
      <c r="M139" s="15" t="n">
        <f aca="false">L139*(1+IF(M$3&lt;=$O$2,$D139,$D139-($D139-$I$130)*MIN(M$3-$O$2,$Q$2)/$Q$2))</f>
        <v>2937.80027448329</v>
      </c>
      <c r="N139" s="15" t="n">
        <f aca="false">M139*(1+IF(N$3&lt;=$O$2,$D139,$D139-($D139-$I$130)*MIN(N$3-$O$2,$Q$2)/$Q$2))</f>
        <v>3035.62902362358</v>
      </c>
      <c r="O139" s="15" t="n">
        <f aca="false">SUMPRODUCT(E139:N139,1/(1+$F$130)^$E$3:$N$3)*$E$2</f>
        <v>3590.13179263491</v>
      </c>
      <c r="P139" s="15" t="n">
        <f aca="false">N139*$E$2*(1+$I$130)/($F$130-$I$130)/(1+$F$130)^$N$3</f>
        <v>5487.7585138836</v>
      </c>
      <c r="Q139" s="15" t="n">
        <f aca="false">O139+P139</f>
        <v>9077.8903065185</v>
      </c>
      <c r="R139" s="15" t="n">
        <f aca="false">Q139-$G$2+$I$2</f>
        <v>7701.6903065185</v>
      </c>
      <c r="S139" s="42" t="n">
        <f aca="false">R139/$K$2</f>
        <v>205.323655199107</v>
      </c>
      <c r="T139" s="43" t="n">
        <f aca="false">S139-$M$2</f>
        <v>0.844849547280944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0.00390625</v>
      </c>
      <c r="C140" s="25" t="n">
        <f aca="false">IF(T139&gt;0,D139,C139)</f>
        <v>0.009765625</v>
      </c>
      <c r="D140" s="41" t="n">
        <f aca="false">(B140+C140)/2</f>
        <v>0.0068359375</v>
      </c>
      <c r="E140" s="15" t="n">
        <f aca="false">$C$2*(1+IF(E$3&lt;=$O$2,$D140,$D140-($D140-$I$130)*MIN(E$3-$O$2,$Q$2)/$Q$2))</f>
        <v>2587.568359375</v>
      </c>
      <c r="F140" s="15" t="n">
        <f aca="false">E140*(1+IF(F$3&lt;=$O$2,$D140,$D140-($D140-$I$130)*MIN(F$3-$O$2,$Q$2)/$Q$2))</f>
        <v>2605.25681495667</v>
      </c>
      <c r="G140" s="15" t="n">
        <f aca="false">F140*(1+IF(G$3&lt;=$O$2,$D140,$D140-($D140-$I$130)*MIN(G$3-$O$2,$Q$2)/$Q$2))</f>
        <v>2623.06618771516</v>
      </c>
      <c r="H140" s="15" t="n">
        <f aca="false">G140*(1+IF(H$3&lt;=$O$2,$D140,$D140-($D140-$I$130)*MIN(H$3-$O$2,$Q$2)/$Q$2))</f>
        <v>2640.99730423274</v>
      </c>
      <c r="I140" s="15" t="n">
        <f aca="false">H140*(1+IF(I$3&lt;=$O$2,$D140,$D140-($D140-$I$130)*MIN(I$3-$O$2,$Q$2)/$Q$2))</f>
        <v>2659.05099674215</v>
      </c>
      <c r="J140" s="15" t="n">
        <f aca="false">I140*(1+IF(J$3&lt;=$O$2,$D140,$D140-($D140-$I$130)*MIN(J$3-$O$2,$Q$2)/$Q$2))</f>
        <v>2691.30196151888</v>
      </c>
      <c r="K140" s="15" t="n">
        <f aca="false">J140*(1+IF(K$3&lt;=$O$2,$D140,$D140-($D140-$I$130)*MIN(K$3-$O$2,$Q$2)/$Q$2))</f>
        <v>2738.18864684786</v>
      </c>
      <c r="L140" s="15" t="n">
        <f aca="false">K140*(1+IF(L$3&lt;=$O$2,$D140,$D140-($D140-$I$130)*MIN(L$3-$O$2,$Q$2)/$Q$2))</f>
        <v>2800.3848905931</v>
      </c>
      <c r="M140" s="15" t="n">
        <f aca="false">L140*(1+IF(M$3&lt;=$O$2,$D140,$D140-($D140-$I$130)*MIN(M$3-$O$2,$Q$2)/$Q$2))</f>
        <v>2878.81579529611</v>
      </c>
      <c r="N140" s="15" t="n">
        <f aca="false">M140*(1+IF(N$3&lt;=$O$2,$D140,$D140-($D140-$I$130)*MIN(N$3-$O$2,$Q$2)/$Q$2))</f>
        <v>2974.68036127947</v>
      </c>
      <c r="O140" s="15" t="n">
        <f aca="false">SUMPRODUCT(E140:N140,1/(1+$F$130)^$E$3:$N$3)*$E$2</f>
        <v>3544.51535811708</v>
      </c>
      <c r="P140" s="15" t="n">
        <f aca="false">N140*$E$2*(1+$I$130)/($F$130-$I$130)/(1+$F$130)^$N$3</f>
        <v>5377.57655881405</v>
      </c>
      <c r="Q140" s="15" t="n">
        <f aca="false">O140+P140</f>
        <v>8922.09191693113</v>
      </c>
      <c r="R140" s="15" t="n">
        <f aca="false">Q140-$G$2+$I$2</f>
        <v>7545.89191693113</v>
      </c>
      <c r="S140" s="42" t="n">
        <f aca="false">R140/$K$2</f>
        <v>201.170139081075</v>
      </c>
      <c r="T140" s="43" t="n">
        <f aca="false">S140-$M$2</f>
        <v>-3.30866657075086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0.0068359375</v>
      </c>
      <c r="C141" s="25" t="n">
        <f aca="false">IF(T140&gt;0,D140,C140)</f>
        <v>0.009765625</v>
      </c>
      <c r="D141" s="41" t="n">
        <f aca="false">(B141+C141)/2</f>
        <v>0.00830078125</v>
      </c>
      <c r="E141" s="15" t="n">
        <f aca="false">$C$2*(1+IF(E$3&lt;=$O$2,$D141,$D141-($D141-$I$130)*MIN(E$3-$O$2,$Q$2)/$Q$2))</f>
        <v>2591.3330078125</v>
      </c>
      <c r="F141" s="15" t="n">
        <f aca="false">E141*(1+IF(F$3&lt;=$O$2,$D141,$D141-($D141-$I$130)*MIN(F$3-$O$2,$Q$2)/$Q$2))</f>
        <v>2612.84309625626</v>
      </c>
      <c r="G141" s="15" t="n">
        <f aca="false">F141*(1+IF(G$3&lt;=$O$2,$D141,$D141-($D141-$I$130)*MIN(G$3-$O$2,$Q$2)/$Q$2))</f>
        <v>2634.53173523885</v>
      </c>
      <c r="H141" s="15" t="n">
        <f aca="false">G141*(1+IF(H$3&lt;=$O$2,$D141,$D141-($D141-$I$130)*MIN(H$3-$O$2,$Q$2)/$Q$2))</f>
        <v>2656.40040686925</v>
      </c>
      <c r="I141" s="15" t="n">
        <f aca="false">H141*(1+IF(I$3&lt;=$O$2,$D141,$D141-($D141-$I$130)*MIN(I$3-$O$2,$Q$2)/$Q$2))</f>
        <v>2678.45060555909</v>
      </c>
      <c r="J141" s="15" t="n">
        <f aca="false">I141*(1+IF(J$3&lt;=$O$2,$D141,$D141-($D141-$I$130)*MIN(J$3-$O$2,$Q$2)/$Q$2))</f>
        <v>2714.07567264465</v>
      </c>
      <c r="K141" s="15" t="n">
        <f aca="false">J141*(1+IF(K$3&lt;=$O$2,$D141,$D141-($D141-$I$130)*MIN(K$3-$O$2,$Q$2)/$Q$2))</f>
        <v>2763.74452967702</v>
      </c>
      <c r="L141" s="15" t="n">
        <f aca="false">K141*(1+IF(L$3&lt;=$O$2,$D141,$D141-($D141-$I$130)*MIN(L$3-$O$2,$Q$2)/$Q$2))</f>
        <v>2828.14064088866</v>
      </c>
      <c r="M141" s="15" t="n">
        <f aca="false">L141*(1+IF(M$3&lt;=$O$2,$D141,$D141-($D141-$I$130)*MIN(M$3-$O$2,$Q$2)/$Q$2))</f>
        <v>2908.17746292278</v>
      </c>
      <c r="N141" s="15" t="n">
        <f aca="false">M141*(1+IF(N$3&lt;=$O$2,$D141,$D141-($D141-$I$130)*MIN(N$3-$O$2,$Q$2)/$Q$2))</f>
        <v>3005.01977243811</v>
      </c>
      <c r="O141" s="15" t="n">
        <f aca="false">SUMPRODUCT(E141:N141,1/(1+$F$130)^$E$3:$N$3)*$E$2</f>
        <v>3567.24917120548</v>
      </c>
      <c r="P141" s="15" t="n">
        <f aca="false">N141*$E$2*(1+$I$130)/($F$130-$I$130)/(1+$F$130)^$N$3</f>
        <v>5432.42363024352</v>
      </c>
      <c r="Q141" s="15" t="n">
        <f aca="false">O141+P141</f>
        <v>8999.672801449</v>
      </c>
      <c r="R141" s="15" t="n">
        <f aca="false">Q141-$G$2+$I$2</f>
        <v>7623.472801449</v>
      </c>
      <c r="S141" s="42" t="n">
        <f aca="false">R141/$K$2</f>
        <v>203.238411129006</v>
      </c>
      <c r="T141" s="43" t="n">
        <f aca="false">S141-$M$2</f>
        <v>-1.24039452282054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0.00830078125</v>
      </c>
      <c r="C142" s="25" t="n">
        <f aca="false">IF(T141&gt;0,D141,C141)</f>
        <v>0.009765625</v>
      </c>
      <c r="D142" s="41" t="n">
        <f aca="false">(B142+C142)/2</f>
        <v>0.009033203125</v>
      </c>
      <c r="E142" s="15" t="n">
        <f aca="false">$C$2*(1+IF(E$3&lt;=$O$2,$D142,$D142-($D142-$I$130)*MIN(E$3-$O$2,$Q$2)/$Q$2))</f>
        <v>2593.21533203125</v>
      </c>
      <c r="F142" s="15" t="n">
        <f aca="false">E142*(1+IF(F$3&lt;=$O$2,$D142,$D142-($D142-$I$130)*MIN(F$3-$O$2,$Q$2)/$Q$2))</f>
        <v>2616.64037287235</v>
      </c>
      <c r="G142" s="15" t="n">
        <f aca="false">F142*(1+IF(G$3&lt;=$O$2,$D142,$D142-($D142-$I$130)*MIN(G$3-$O$2,$Q$2)/$Q$2))</f>
        <v>2640.27701686558</v>
      </c>
      <c r="H142" s="15" t="n">
        <f aca="false">G142*(1+IF(H$3&lt;=$O$2,$D142,$D142-($D142-$I$130)*MIN(H$3-$O$2,$Q$2)/$Q$2))</f>
        <v>2664.1271754652</v>
      </c>
      <c r="I142" s="15" t="n">
        <f aca="false">H142*(1+IF(I$3&lt;=$O$2,$D142,$D142-($D142-$I$130)*MIN(I$3-$O$2,$Q$2)/$Q$2))</f>
        <v>2688.19277739201</v>
      </c>
      <c r="J142" s="15" t="n">
        <f aca="false">I142*(1+IF(J$3&lt;=$O$2,$D142,$D142-($D142-$I$130)*MIN(J$3-$O$2,$Q$2)/$Q$2))</f>
        <v>2725.52253440731</v>
      </c>
      <c r="K142" s="15" t="n">
        <f aca="false">J142*(1+IF(K$3&lt;=$O$2,$D142,$D142-($D142-$I$130)*MIN(K$3-$O$2,$Q$2)/$Q$2))</f>
        <v>2776.59861377066</v>
      </c>
      <c r="L142" s="15" t="n">
        <f aca="false">K142*(1+IF(L$3&lt;=$O$2,$D142,$D142-($D142-$I$130)*MIN(L$3-$O$2,$Q$2)/$Q$2))</f>
        <v>2842.10768578371</v>
      </c>
      <c r="M142" s="15" t="n">
        <f aca="false">L142*(1+IF(M$3&lt;=$O$2,$D142,$D142-($D142-$I$130)*MIN(M$3-$O$2,$Q$2)/$Q$2))</f>
        <v>2922.95610173875</v>
      </c>
      <c r="N142" s="15" t="n">
        <f aca="false">M142*(1+IF(N$3&lt;=$O$2,$D142,$D142-($D142-$I$130)*MIN(N$3-$O$2,$Q$2)/$Q$2))</f>
        <v>3020.29053992665</v>
      </c>
      <c r="O142" s="15" t="n">
        <f aca="false">SUMPRODUCT(E142:N142,1/(1+$F$130)^$E$3:$N$3)*$E$2</f>
        <v>3578.67182350156</v>
      </c>
      <c r="P142" s="15" t="n">
        <f aca="false">N142*$E$2*(1+$I$130)/($F$130-$I$130)/(1+$F$130)^$N$3</f>
        <v>5460.02986395871</v>
      </c>
      <c r="Q142" s="15" t="n">
        <f aca="false">O142+P142</f>
        <v>9038.70168746026</v>
      </c>
      <c r="R142" s="15" t="n">
        <f aca="false">Q142-$G$2+$I$2</f>
        <v>7662.50168746026</v>
      </c>
      <c r="S142" s="42" t="n">
        <f aca="false">R142/$K$2</f>
        <v>204.278903957885</v>
      </c>
      <c r="T142" s="43" t="n">
        <f aca="false">S142-$M$2</f>
        <v>-0.199901693941172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0.009033203125</v>
      </c>
      <c r="C143" s="25" t="n">
        <f aca="false">IF(T142&gt;0,D142,C142)</f>
        <v>0.009765625</v>
      </c>
      <c r="D143" s="41" t="n">
        <f aca="false">(B143+C143)/2</f>
        <v>0.0093994140625</v>
      </c>
      <c r="E143" s="15" t="n">
        <f aca="false">$C$2*(1+IF(E$3&lt;=$O$2,$D143,$D143-($D143-$I$130)*MIN(E$3-$O$2,$Q$2)/$Q$2))</f>
        <v>2594.15649414063</v>
      </c>
      <c r="F143" s="15" t="n">
        <f aca="false">E143*(1+IF(F$3&lt;=$O$2,$D143,$D143-($D143-$I$130)*MIN(F$3-$O$2,$Q$2)/$Q$2))</f>
        <v>2618.54004517198</v>
      </c>
      <c r="G143" s="15" t="n">
        <f aca="false">F143*(1+IF(G$3&lt;=$O$2,$D143,$D143-($D143-$I$130)*MIN(G$3-$O$2,$Q$2)/$Q$2))</f>
        <v>2643.15278729579</v>
      </c>
      <c r="H143" s="15" t="n">
        <f aca="false">G143*(1+IF(H$3&lt;=$O$2,$D143,$D143-($D143-$I$130)*MIN(H$3-$O$2,$Q$2)/$Q$2))</f>
        <v>2667.99687477403</v>
      </c>
      <c r="I143" s="15" t="n">
        <f aca="false">H143*(1+IF(I$3&lt;=$O$2,$D143,$D143-($D143-$I$130)*MIN(I$3-$O$2,$Q$2)/$Q$2))</f>
        <v>2693.07448211749</v>
      </c>
      <c r="J143" s="15" t="n">
        <f aca="false">I143*(1+IF(J$3&lt;=$O$2,$D143,$D143-($D143-$I$130)*MIN(J$3-$O$2,$Q$2)/$Q$2))</f>
        <v>2731.26101589525</v>
      </c>
      <c r="K143" s="15" t="n">
        <f aca="false">J143*(1+IF(K$3&lt;=$O$2,$D143,$D143-($D143-$I$130)*MIN(K$3-$O$2,$Q$2)/$Q$2))</f>
        <v>2783.04476454767</v>
      </c>
      <c r="L143" s="15" t="n">
        <f aca="false">K143*(1+IF(L$3&lt;=$O$2,$D143,$D143-($D143-$I$130)*MIN(L$3-$O$2,$Q$2)/$Q$2))</f>
        <v>2849.11359498192</v>
      </c>
      <c r="M143" s="15" t="n">
        <f aca="false">L143*(1+IF(M$3&lt;=$O$2,$D143,$D143-($D143-$I$130)*MIN(M$3-$O$2,$Q$2)/$Q$2))</f>
        <v>2930.3699808303</v>
      </c>
      <c r="N143" s="15" t="n">
        <f aca="false">M143*(1+IF(N$3&lt;=$O$2,$D143,$D143-($D143-$I$130)*MIN(N$3-$O$2,$Q$2)/$Q$2))</f>
        <v>3027.95130119195</v>
      </c>
      <c r="O143" s="15" t="n">
        <f aca="false">SUMPRODUCT(E143:N143,1/(1+$F$130)^$E$3:$N$3)*$E$2</f>
        <v>3584.39713627469</v>
      </c>
      <c r="P143" s="15" t="n">
        <f aca="false">N143*$E$2*(1+$I$130)/($F$130-$I$130)/(1+$F$130)^$N$3</f>
        <v>5473.87885786716</v>
      </c>
      <c r="Q143" s="15" t="n">
        <f aca="false">O143+P143</f>
        <v>9058.27599414185</v>
      </c>
      <c r="R143" s="15" t="n">
        <f aca="false">Q143-$G$2+$I$2</f>
        <v>7682.07599414185</v>
      </c>
      <c r="S143" s="42" t="n">
        <f aca="false">R143/$K$2</f>
        <v>204.800746311433</v>
      </c>
      <c r="T143" s="43" t="n">
        <f aca="false">S143-$M$2</f>
        <v>0.321940659606867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0.009033203125</v>
      </c>
      <c r="C144" s="25" t="n">
        <f aca="false">IF(T143&gt;0,D143,C143)</f>
        <v>0.0093994140625</v>
      </c>
      <c r="D144" s="41" t="n">
        <f aca="false">(B144+C144)/2</f>
        <v>0.00921630859375</v>
      </c>
      <c r="E144" s="15" t="n">
        <f aca="false">$C$2*(1+IF(E$3&lt;=$O$2,$D144,$D144-($D144-$I$130)*MIN(E$3-$O$2,$Q$2)/$Q$2))</f>
        <v>2593.68591308594</v>
      </c>
      <c r="F144" s="15" t="n">
        <f aca="false">E144*(1+IF(F$3&lt;=$O$2,$D144,$D144-($D144-$I$130)*MIN(F$3-$O$2,$Q$2)/$Q$2))</f>
        <v>2617.5901228562</v>
      </c>
      <c r="G144" s="15" t="n">
        <f aca="false">F144*(1+IF(G$3&lt;=$O$2,$D144,$D144-($D144-$I$130)*MIN(G$3-$O$2,$Q$2)/$Q$2))</f>
        <v>2641.71464120039</v>
      </c>
      <c r="H144" s="15" t="n">
        <f aca="false">G144*(1+IF(H$3&lt;=$O$2,$D144,$D144-($D144-$I$130)*MIN(H$3-$O$2,$Q$2)/$Q$2))</f>
        <v>2666.06149855033</v>
      </c>
      <c r="I144" s="15" t="n">
        <f aca="false">H144*(1+IF(I$3&lt;=$O$2,$D144,$D144-($D144-$I$130)*MIN(I$3-$O$2,$Q$2)/$Q$2))</f>
        <v>2690.63274405088</v>
      </c>
      <c r="J144" s="15" t="n">
        <f aca="false">I144*(1+IF(J$3&lt;=$O$2,$D144,$D144-($D144-$I$130)*MIN(J$3-$O$2,$Q$2)/$Q$2))</f>
        <v>2728.39051947156</v>
      </c>
      <c r="K144" s="15" t="n">
        <f aca="false">J144*(1+IF(K$3&lt;=$O$2,$D144,$D144-($D144-$I$130)*MIN(K$3-$O$2,$Q$2)/$Q$2))</f>
        <v>2779.82009458594</v>
      </c>
      <c r="L144" s="15" t="n">
        <f aca="false">K144*(1+IF(L$3&lt;=$O$2,$D144,$D144-($D144-$I$130)*MIN(L$3-$O$2,$Q$2)/$Q$2))</f>
        <v>2845.6087720065</v>
      </c>
      <c r="M144" s="15" t="n">
        <f aca="false">L144*(1+IF(M$3&lt;=$O$2,$D144,$D144-($D144-$I$130)*MIN(M$3-$O$2,$Q$2)/$Q$2))</f>
        <v>2926.66099140873</v>
      </c>
      <c r="N144" s="15" t="n">
        <f aca="false">M144*(1+IF(N$3&lt;=$O$2,$D144,$D144-($D144-$I$130)*MIN(N$3-$O$2,$Q$2)/$Q$2))</f>
        <v>3024.11880242264</v>
      </c>
      <c r="O144" s="15" t="n">
        <f aca="false">SUMPRODUCT(E144:N144,1/(1+$F$130)^$E$3:$N$3)*$E$2</f>
        <v>3581.5333128391</v>
      </c>
      <c r="P144" s="15" t="n">
        <f aca="false">N144*$E$2*(1+$I$130)/($F$130-$I$130)/(1+$F$130)^$N$3</f>
        <v>5466.95053178151</v>
      </c>
      <c r="Q144" s="15" t="n">
        <f aca="false">O144+P144</f>
        <v>9048.48384462061</v>
      </c>
      <c r="R144" s="15" t="n">
        <f aca="false">Q144-$G$2+$I$2</f>
        <v>7672.28384462061</v>
      </c>
      <c r="S144" s="42" t="n">
        <f aca="false">R144/$K$2</f>
        <v>204.539691938699</v>
      </c>
      <c r="T144" s="43" t="n">
        <f aca="false">S144-$M$2</f>
        <v>0.0608862868732274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0.009033203125</v>
      </c>
      <c r="C145" s="25" t="n">
        <f aca="false">IF(T144&gt;0,D144,C144)</f>
        <v>0.00921630859375</v>
      </c>
      <c r="D145" s="41" t="n">
        <f aca="false">(B145+C145)/2</f>
        <v>0.009124755859375</v>
      </c>
      <c r="E145" s="15" t="n">
        <f aca="false">$C$2*(1+IF(E$3&lt;=$O$2,$D145,$D145-($D145-$I$130)*MIN(E$3-$O$2,$Q$2)/$Q$2))</f>
        <v>2593.45062255859</v>
      </c>
      <c r="F145" s="15" t="n">
        <f aca="false">E145*(1+IF(F$3&lt;=$O$2,$D145,$D145-($D145-$I$130)*MIN(F$3-$O$2,$Q$2)/$Q$2))</f>
        <v>2617.11522632279</v>
      </c>
      <c r="G145" s="15" t="n">
        <f aca="false">F145*(1+IF(G$3&lt;=$O$2,$D145,$D145-($D145-$I$130)*MIN(G$3-$O$2,$Q$2)/$Q$2))</f>
        <v>2640.99576381883</v>
      </c>
      <c r="H145" s="15" t="n">
        <f aca="false">G145*(1+IF(H$3&lt;=$O$2,$D145,$D145-($D145-$I$130)*MIN(H$3-$O$2,$Q$2)/$Q$2))</f>
        <v>2665.09420538932</v>
      </c>
      <c r="I145" s="15" t="n">
        <f aca="false">H145*(1+IF(I$3&lt;=$O$2,$D145,$D145-($D145-$I$130)*MIN(I$3-$O$2,$Q$2)/$Q$2))</f>
        <v>2689.41253935574</v>
      </c>
      <c r="J145" s="15" t="n">
        <f aca="false">I145*(1+IF(J$3&lt;=$O$2,$D145,$D145-($D145-$I$130)*MIN(J$3-$O$2,$Q$2)/$Q$2))</f>
        <v>2726.95621312926</v>
      </c>
      <c r="K145" s="15" t="n">
        <f aca="false">J145*(1+IF(K$3&lt;=$O$2,$D145,$D145-($D145-$I$130)*MIN(K$3-$O$2,$Q$2)/$Q$2))</f>
        <v>2778.20895569854</v>
      </c>
      <c r="L145" s="15" t="n">
        <f aca="false">K145*(1+IF(L$3&lt;=$O$2,$D145,$D145-($D145-$I$130)*MIN(L$3-$O$2,$Q$2)/$Q$2))</f>
        <v>2843.85776201223</v>
      </c>
      <c r="M145" s="15" t="n">
        <f aca="false">L145*(1+IF(M$3&lt;=$O$2,$D145,$D145-($D145-$I$130)*MIN(M$3-$O$2,$Q$2)/$Q$2))</f>
        <v>2924.80803434767</v>
      </c>
      <c r="N145" s="15" t="n">
        <f aca="false">M145*(1+IF(N$3&lt;=$O$2,$D145,$D145-($D145-$I$130)*MIN(N$3-$O$2,$Q$2)/$Q$2))</f>
        <v>3022.20414189145</v>
      </c>
      <c r="O145" s="15" t="n">
        <f aca="false">SUMPRODUCT(E145:N145,1/(1+$F$130)^$E$3:$N$3)*$E$2</f>
        <v>3580.10227652043</v>
      </c>
      <c r="P145" s="15" t="n">
        <f aca="false">N145*$E$2*(1+$I$130)/($F$130-$I$130)/(1+$F$130)^$N$3</f>
        <v>5463.48924104095</v>
      </c>
      <c r="Q145" s="15" t="n">
        <f aca="false">O145+P145</f>
        <v>9043.59151756138</v>
      </c>
      <c r="R145" s="15" t="n">
        <f aca="false">Q145-$G$2+$I$2</f>
        <v>7667.39151756138</v>
      </c>
      <c r="S145" s="42" t="n">
        <f aca="false">R145/$K$2</f>
        <v>204.409264664393</v>
      </c>
      <c r="T145" s="43" t="n">
        <f aca="false">S145-$M$2</f>
        <v>-0.0695409874332427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0.009124755859375</v>
      </c>
      <c r="C146" s="25" t="n">
        <f aca="false">IF(T145&gt;0,D145,C145)</f>
        <v>0.00921630859375</v>
      </c>
      <c r="D146" s="41" t="n">
        <f aca="false">(B146+C146)/2</f>
        <v>0.0091705322265625</v>
      </c>
      <c r="E146" s="15" t="n">
        <f aca="false">$C$2*(1+IF(E$3&lt;=$O$2,$D146,$D146-($D146-$I$130)*MIN(E$3-$O$2,$Q$2)/$Q$2))</f>
        <v>2593.56826782227</v>
      </c>
      <c r="F146" s="15" t="n">
        <f aca="false">E146*(1+IF(F$3&lt;=$O$2,$D146,$D146-($D146-$I$130)*MIN(F$3-$O$2,$Q$2)/$Q$2))</f>
        <v>2617.35266920412</v>
      </c>
      <c r="G146" s="15" t="n">
        <f aca="false">F146*(1+IF(G$3&lt;=$O$2,$D146,$D146-($D146-$I$130)*MIN(G$3-$O$2,$Q$2)/$Q$2))</f>
        <v>2641.35518620534</v>
      </c>
      <c r="H146" s="15" t="n">
        <f aca="false">G146*(1+IF(H$3&lt;=$O$2,$D146,$D146-($D146-$I$130)*MIN(H$3-$O$2,$Q$2)/$Q$2))</f>
        <v>2665.57781906223</v>
      </c>
      <c r="I146" s="15" t="n">
        <f aca="false">H146*(1+IF(I$3&lt;=$O$2,$D146,$D146-($D146-$I$130)*MIN(I$3-$O$2,$Q$2)/$Q$2))</f>
        <v>2690.02258635435</v>
      </c>
      <c r="J146" s="15" t="n">
        <f aca="false">I146*(1+IF(J$3&lt;=$O$2,$D146,$D146-($D146-$I$130)*MIN(J$3-$O$2,$Q$2)/$Q$2))</f>
        <v>2727.67328783415</v>
      </c>
      <c r="K146" s="15" t="n">
        <f aca="false">J146*(1+IF(K$3&lt;=$O$2,$D146,$D146-($D146-$I$130)*MIN(K$3-$O$2,$Q$2)/$Q$2))</f>
        <v>2779.01442550187</v>
      </c>
      <c r="L146" s="15" t="n">
        <f aca="false">K146*(1+IF(L$3&lt;=$O$2,$D146,$D146-($D146-$I$130)*MIN(L$3-$O$2,$Q$2)/$Q$2))</f>
        <v>2844.73315026225</v>
      </c>
      <c r="M146" s="15" t="n">
        <f aca="false">L146*(1+IF(M$3&lt;=$O$2,$D146,$D146-($D146-$I$130)*MIN(M$3-$O$2,$Q$2)/$Q$2))</f>
        <v>2925.73438479133</v>
      </c>
      <c r="N146" s="15" t="n">
        <f aca="false">M146*(1+IF(N$3&lt;=$O$2,$D146,$D146-($D146-$I$130)*MIN(N$3-$O$2,$Q$2)/$Q$2))</f>
        <v>3023.16133980488</v>
      </c>
      <c r="O146" s="15" t="n">
        <f aca="false">SUMPRODUCT(E146:N146,1/(1+$F$130)^$E$3:$N$3)*$E$2</f>
        <v>3580.81772175325</v>
      </c>
      <c r="P146" s="15" t="n">
        <f aca="false">N146*$E$2*(1+$I$130)/($F$130-$I$130)/(1+$F$130)^$N$3</f>
        <v>5465.21964714724</v>
      </c>
      <c r="Q146" s="15" t="n">
        <f aca="false">O146+P146</f>
        <v>9046.03736890049</v>
      </c>
      <c r="R146" s="15" t="n">
        <f aca="false">Q146-$G$2+$I$2</f>
        <v>7669.83736890049</v>
      </c>
      <c r="S146" s="42" t="n">
        <f aca="false">R146/$K$2</f>
        <v>204.474469978685</v>
      </c>
      <c r="T146" s="43" t="n">
        <f aca="false">S146-$M$2</f>
        <v>-0.0043356731407016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0.0091705322265625</v>
      </c>
      <c r="C147" s="25" t="n">
        <f aca="false">IF(T146&gt;0,D146,C146)</f>
        <v>0.00921630859375</v>
      </c>
      <c r="D147" s="41" t="n">
        <f aca="false">(B147+C147)/2</f>
        <v>0.00919342041015625</v>
      </c>
      <c r="E147" s="15" t="n">
        <f aca="false">$C$2*(1+IF(E$3&lt;=$O$2,$D147,$D147-($D147-$I$130)*MIN(E$3-$O$2,$Q$2)/$Q$2))</f>
        <v>2593.6270904541</v>
      </c>
      <c r="F147" s="15" t="n">
        <f aca="false">E147*(1+IF(F$3&lt;=$O$2,$D147,$D147-($D147-$I$130)*MIN(F$3-$O$2,$Q$2)/$Q$2))</f>
        <v>2617.47139468382</v>
      </c>
      <c r="G147" s="15" t="n">
        <f aca="false">F147*(1+IF(G$3&lt;=$O$2,$D147,$D147-($D147-$I$130)*MIN(G$3-$O$2,$Q$2)/$Q$2))</f>
        <v>2641.5349096267</v>
      </c>
      <c r="H147" s="15" t="n">
        <f aca="false">G147*(1+IF(H$3&lt;=$O$2,$D147,$D147-($D147-$I$130)*MIN(H$3-$O$2,$Q$2)/$Q$2))</f>
        <v>2665.81965057901</v>
      </c>
      <c r="I147" s="15" t="n">
        <f aca="false">H147*(1+IF(I$3&lt;=$O$2,$D147,$D147-($D147-$I$130)*MIN(I$3-$O$2,$Q$2)/$Q$2))</f>
        <v>2690.32765136443</v>
      </c>
      <c r="J147" s="15" t="n">
        <f aca="false">I147*(1+IF(J$3&lt;=$O$2,$D147,$D147-($D147-$I$130)*MIN(J$3-$O$2,$Q$2)/$Q$2))</f>
        <v>2728.03188403457</v>
      </c>
      <c r="K147" s="15" t="n">
        <f aca="false">J147*(1+IF(K$3&lt;=$O$2,$D147,$D147-($D147-$I$130)*MIN(K$3-$O$2,$Q$2)/$Q$2))</f>
        <v>2779.41723513126</v>
      </c>
      <c r="L147" s="15" t="n">
        <f aca="false">K147*(1+IF(L$3&lt;=$O$2,$D147,$D147-($D147-$I$130)*MIN(L$3-$O$2,$Q$2)/$Q$2))</f>
        <v>2845.1709319443</v>
      </c>
      <c r="M147" s="15" t="n">
        <f aca="false">L147*(1+IF(M$3&lt;=$O$2,$D147,$D147-($D147-$I$130)*MIN(M$3-$O$2,$Q$2)/$Q$2))</f>
        <v>2926.19765607452</v>
      </c>
      <c r="N147" s="15" t="n">
        <f aca="false">M147*(1+IF(N$3&lt;=$O$2,$D147,$D147-($D147-$I$130)*MIN(N$3-$O$2,$Q$2)/$Q$2))</f>
        <v>3023.6400380218</v>
      </c>
      <c r="O147" s="15" t="n">
        <f aca="false">SUMPRODUCT(E147:N147,1/(1+$F$130)^$E$3:$N$3)*$E$2</f>
        <v>3581.17549906279</v>
      </c>
      <c r="P147" s="15" t="n">
        <f aca="false">N147*$E$2*(1+$I$130)/($F$130-$I$130)/(1+$F$130)^$N$3</f>
        <v>5466.08502964129</v>
      </c>
      <c r="Q147" s="15" t="n">
        <f aca="false">O147+P147</f>
        <v>9047.26052870408</v>
      </c>
      <c r="R147" s="15" t="n">
        <f aca="false">Q147-$G$2+$I$2</f>
        <v>7671.06052870408</v>
      </c>
      <c r="S147" s="42" t="n">
        <f aca="false">R147/$K$2</f>
        <v>204.507078877741</v>
      </c>
      <c r="T147" s="43" t="n">
        <f aca="false">S147-$M$2</f>
        <v>0.0282732259152851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0.0091705322265625</v>
      </c>
      <c r="C148" s="25" t="n">
        <f aca="false">IF(T147&gt;0,D147,C147)</f>
        <v>0.00919342041015625</v>
      </c>
      <c r="D148" s="41" t="n">
        <f aca="false">(B148+C148)/2</f>
        <v>0.00918197631835938</v>
      </c>
      <c r="E148" s="15" t="n">
        <f aca="false">$C$2*(1+IF(E$3&lt;=$O$2,$D148,$D148-($D148-$I$130)*MIN(E$3-$O$2,$Q$2)/$Q$2))</f>
        <v>2593.59767913818</v>
      </c>
      <c r="F148" s="15" t="n">
        <f aca="false">E148*(1+IF(F$3&lt;=$O$2,$D148,$D148-($D148-$I$130)*MIN(F$3-$O$2,$Q$2)/$Q$2))</f>
        <v>2617.41203160738</v>
      </c>
      <c r="G148" s="15" t="n">
        <f aca="false">F148*(1+IF(G$3&lt;=$O$2,$D148,$D148-($D148-$I$130)*MIN(G$3-$O$2,$Q$2)/$Q$2))</f>
        <v>2641.44504689699</v>
      </c>
      <c r="H148" s="15" t="n">
        <f aca="false">G148*(1+IF(H$3&lt;=$O$2,$D148,$D148-($D148-$I$130)*MIN(H$3-$O$2,$Q$2)/$Q$2))</f>
        <v>2665.69873276385</v>
      </c>
      <c r="I148" s="15" t="n">
        <f aca="false">H148*(1+IF(I$3&lt;=$O$2,$D148,$D148-($D148-$I$130)*MIN(I$3-$O$2,$Q$2)/$Q$2))</f>
        <v>2690.17511539996</v>
      </c>
      <c r="J148" s="15" t="n">
        <f aca="false">I148*(1+IF(J$3&lt;=$O$2,$D148,$D148-($D148-$I$130)*MIN(J$3-$O$2,$Q$2)/$Q$2))</f>
        <v>2727.85258103</v>
      </c>
      <c r="K148" s="15" t="n">
        <f aca="false">J148*(1+IF(K$3&lt;=$O$2,$D148,$D148-($D148-$I$130)*MIN(K$3-$O$2,$Q$2)/$Q$2))</f>
        <v>2779.21582408872</v>
      </c>
      <c r="L148" s="15" t="n">
        <f aca="false">K148*(1+IF(L$3&lt;=$O$2,$D148,$D148-($D148-$I$130)*MIN(L$3-$O$2,$Q$2)/$Q$2))</f>
        <v>2844.95203380617</v>
      </c>
      <c r="M148" s="15" t="n">
        <f aca="false">L148*(1+IF(M$3&lt;=$O$2,$D148,$D148-($D148-$I$130)*MIN(M$3-$O$2,$Q$2)/$Q$2))</f>
        <v>2925.96601242702</v>
      </c>
      <c r="N148" s="15" t="n">
        <f aca="false">M148*(1+IF(N$3&lt;=$O$2,$D148,$D148-($D148-$I$130)*MIN(N$3-$O$2,$Q$2)/$Q$2))</f>
        <v>3023.40068064084</v>
      </c>
      <c r="O148" s="15" t="n">
        <f aca="false">SUMPRODUCT(E148:N148,1/(1+$F$130)^$E$3:$N$3)*$E$2</f>
        <v>3580.99660584989</v>
      </c>
      <c r="P148" s="15" t="n">
        <f aca="false">N148*$E$2*(1+$I$130)/($F$130-$I$130)/(1+$F$130)^$N$3</f>
        <v>5465.65232343938</v>
      </c>
      <c r="Q148" s="15" t="n">
        <f aca="false">O148+P148</f>
        <v>9046.64892928927</v>
      </c>
      <c r="R148" s="15" t="n">
        <f aca="false">Q148-$G$2+$I$2</f>
        <v>7670.44892928927</v>
      </c>
      <c r="S148" s="42" t="n">
        <f aca="false">R148/$K$2</f>
        <v>204.490773908005</v>
      </c>
      <c r="T148" s="43" t="n">
        <f aca="false">S148-$M$2</f>
        <v>0.0119682561790739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0.0091705322265625</v>
      </c>
      <c r="C149" s="25" t="n">
        <f aca="false">IF(T148&gt;0,D148,C148)</f>
        <v>0.00918197631835938</v>
      </c>
      <c r="D149" s="41" t="n">
        <f aca="false">(B149+C149)/2</f>
        <v>0.00917625427246094</v>
      </c>
      <c r="E149" s="15" t="n">
        <f aca="false">$C$2*(1+IF(E$3&lt;=$O$2,$D149,$D149-($D149-$I$130)*MIN(E$3-$O$2,$Q$2)/$Q$2))</f>
        <v>2593.58297348022</v>
      </c>
      <c r="F149" s="15" t="n">
        <f aca="false">E149*(1+IF(F$3&lt;=$O$2,$D149,$D149-($D149-$I$130)*MIN(F$3-$O$2,$Q$2)/$Q$2))</f>
        <v>2617.3823503216</v>
      </c>
      <c r="G149" s="15" t="n">
        <f aca="false">F149*(1+IF(G$3&lt;=$O$2,$D149,$D149-($D149-$I$130)*MIN(G$3-$O$2,$Q$2)/$Q$2))</f>
        <v>2641.40011629641</v>
      </c>
      <c r="H149" s="15" t="n">
        <f aca="false">G149*(1+IF(H$3&lt;=$O$2,$D149,$D149-($D149-$I$130)*MIN(H$3-$O$2,$Q$2)/$Q$2))</f>
        <v>2665.63827539885</v>
      </c>
      <c r="I149" s="15" t="n">
        <f aca="false">H149*(1+IF(I$3&lt;=$O$2,$D149,$D149-($D149-$I$130)*MIN(I$3-$O$2,$Q$2)/$Q$2))</f>
        <v>2690.09885001231</v>
      </c>
      <c r="J149" s="15" t="n">
        <f aca="false">I149*(1+IF(J$3&lt;=$O$2,$D149,$D149-($D149-$I$130)*MIN(J$3-$O$2,$Q$2)/$Q$2))</f>
        <v>2727.76293320601</v>
      </c>
      <c r="K149" s="15" t="n">
        <f aca="false">J149*(1+IF(K$3&lt;=$O$2,$D149,$D149-($D149-$I$130)*MIN(K$3-$O$2,$Q$2)/$Q$2))</f>
        <v>2779.11512323837</v>
      </c>
      <c r="L149" s="15" t="n">
        <f aca="false">K149*(1+IF(L$3&lt;=$O$2,$D149,$D149-($D149-$I$130)*MIN(L$3-$O$2,$Q$2)/$Q$2))</f>
        <v>2844.84259020998</v>
      </c>
      <c r="M149" s="15" t="n">
        <f aca="false">L149*(1+IF(M$3&lt;=$O$2,$D149,$D149-($D149-$I$130)*MIN(M$3-$O$2,$Q$2)/$Q$2))</f>
        <v>2925.85019660776</v>
      </c>
      <c r="N149" s="15" t="n">
        <f aca="false">M149*(1+IF(N$3&lt;=$O$2,$D149,$D149-($D149-$I$130)*MIN(N$3-$O$2,$Q$2)/$Q$2))</f>
        <v>3023.28100815479</v>
      </c>
      <c r="O149" s="15" t="n">
        <f aca="false">SUMPRODUCT(E149:N149,1/(1+$F$130)^$E$3:$N$3)*$E$2</f>
        <v>3580.90716266207</v>
      </c>
      <c r="P149" s="15" t="n">
        <f aca="false">N149*$E$2*(1+$I$130)/($F$130-$I$130)/(1+$F$130)^$N$3</f>
        <v>5465.4359815547</v>
      </c>
      <c r="Q149" s="15" t="n">
        <f aca="false">O149+P149</f>
        <v>9046.34314421676</v>
      </c>
      <c r="R149" s="15" t="n">
        <f aca="false">Q149-$G$2+$I$2</f>
        <v>7670.14314421676</v>
      </c>
      <c r="S149" s="42" t="n">
        <f aca="false">R149/$K$2</f>
        <v>204.482621813297</v>
      </c>
      <c r="T149" s="43" t="n">
        <f aca="false">S149-$M$2</f>
        <v>0.00381616147069508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0.0091705322265625</v>
      </c>
      <c r="C150" s="25" t="n">
        <f aca="false">IF(T149&gt;0,D149,C149)</f>
        <v>0.00917625427246094</v>
      </c>
      <c r="D150" s="41" t="n">
        <f aca="false">(B150+C150)/2</f>
        <v>0.00917339324951172</v>
      </c>
      <c r="E150" s="15" t="n">
        <f aca="false">$C$2*(1+IF(E$3&lt;=$O$2,$D150,$D150-($D150-$I$130)*MIN(E$3-$O$2,$Q$2)/$Q$2))</f>
        <v>2593.57562065125</v>
      </c>
      <c r="F150" s="15" t="n">
        <f aca="false">E150*(1+IF(F$3&lt;=$O$2,$D150,$D150-($D150-$I$130)*MIN(F$3-$O$2,$Q$2)/$Q$2))</f>
        <v>2617.36750974183</v>
      </c>
      <c r="G150" s="15" t="n">
        <f aca="false">F150*(1+IF(G$3&lt;=$O$2,$D150,$D150-($D150-$I$130)*MIN(G$3-$O$2,$Q$2)/$Q$2))</f>
        <v>2641.37765118718</v>
      </c>
      <c r="H150" s="15" t="n">
        <f aca="false">G150*(1+IF(H$3&lt;=$O$2,$D150,$D150-($D150-$I$130)*MIN(H$3-$O$2,$Q$2)/$Q$2))</f>
        <v>2665.60804710199</v>
      </c>
      <c r="I150" s="15" t="n">
        <f aca="false">H150*(1+IF(I$3&lt;=$O$2,$D150,$D150-($D150-$I$130)*MIN(I$3-$O$2,$Q$2)/$Q$2))</f>
        <v>2690.06071796712</v>
      </c>
      <c r="J150" s="15" t="n">
        <f aca="false">I150*(1+IF(J$3&lt;=$O$2,$D150,$D150-($D150-$I$130)*MIN(J$3-$O$2,$Q$2)/$Q$2))</f>
        <v>2727.71811021357</v>
      </c>
      <c r="K150" s="15" t="n">
        <f aca="false">J150*(1+IF(K$3&lt;=$O$2,$D150,$D150-($D150-$I$130)*MIN(K$3-$O$2,$Q$2)/$Q$2))</f>
        <v>2779.06477398089</v>
      </c>
      <c r="L150" s="15" t="n">
        <f aca="false">K150*(1+IF(L$3&lt;=$O$2,$D150,$D150-($D150-$I$130)*MIN(L$3-$O$2,$Q$2)/$Q$2))</f>
        <v>2844.78786978007</v>
      </c>
      <c r="M150" s="15" t="n">
        <f aca="false">L150*(1+IF(M$3&lt;=$O$2,$D150,$D150-($D150-$I$130)*MIN(M$3-$O$2,$Q$2)/$Q$2))</f>
        <v>2925.7922901992</v>
      </c>
      <c r="N150" s="15" t="n">
        <f aca="false">M150*(1+IF(N$3&lt;=$O$2,$D150,$D150-($D150-$I$130)*MIN(N$3-$O$2,$Q$2)/$Q$2))</f>
        <v>3023.22117346283</v>
      </c>
      <c r="O150" s="15" t="n">
        <f aca="false">SUMPRODUCT(E150:N150,1/(1+$F$130)^$E$3:$N$3)*$E$2</f>
        <v>3580.86244192279</v>
      </c>
      <c r="P150" s="15" t="n">
        <f aca="false">N150*$E$2*(1+$I$130)/($F$130-$I$130)/(1+$F$130)^$N$3</f>
        <v>5465.32781341633</v>
      </c>
      <c r="Q150" s="15" t="n">
        <f aca="false">O150+P150</f>
        <v>9046.19025533911</v>
      </c>
      <c r="R150" s="15" t="n">
        <f aca="false">Q150-$G$2+$I$2</f>
        <v>7669.99025533911</v>
      </c>
      <c r="S150" s="42" t="n">
        <f aca="false">R150/$K$2</f>
        <v>204.478545863479</v>
      </c>
      <c r="T150" s="43" t="n">
        <f aca="false">S150-$M$2</f>
        <v>-0.000259788346653522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0.00917339324951172</v>
      </c>
      <c r="C151" s="25" t="n">
        <f aca="false">IF(T150&gt;0,D150,C150)</f>
        <v>0.00917625427246094</v>
      </c>
      <c r="D151" s="41" t="n">
        <f aca="false">(B151+C151)/2</f>
        <v>0.00917482376098633</v>
      </c>
      <c r="E151" s="15" t="n">
        <f aca="false">$C$2*(1+IF(E$3&lt;=$O$2,$D151,$D151-($D151-$I$130)*MIN(E$3-$O$2,$Q$2)/$Q$2))</f>
        <v>2593.57929706574</v>
      </c>
      <c r="F151" s="15" t="n">
        <f aca="false">E151*(1+IF(F$3&lt;=$O$2,$D151,$D151-($D151-$I$130)*MIN(F$3-$O$2,$Q$2)/$Q$2))</f>
        <v>2617.37493002646</v>
      </c>
      <c r="G151" s="15" t="n">
        <f aca="false">F151*(1+IF(G$3&lt;=$O$2,$D151,$D151-($D151-$I$130)*MIN(G$3-$O$2,$Q$2)/$Q$2))</f>
        <v>2641.38888372587</v>
      </c>
      <c r="H151" s="15" t="n">
        <f aca="false">G151*(1+IF(H$3&lt;=$O$2,$D151,$D151-($D151-$I$130)*MIN(H$3-$O$2,$Q$2)/$Q$2))</f>
        <v>2665.62316121829</v>
      </c>
      <c r="I151" s="15" t="n">
        <f aca="false">H151*(1+IF(I$3&lt;=$O$2,$D151,$D151-($D151-$I$130)*MIN(I$3-$O$2,$Q$2)/$Q$2))</f>
        <v>2690.07978393567</v>
      </c>
      <c r="J151" s="15" t="n">
        <f aca="false">I151*(1+IF(J$3&lt;=$O$2,$D151,$D151-($D151-$I$130)*MIN(J$3-$O$2,$Q$2)/$Q$2))</f>
        <v>2727.74052163316</v>
      </c>
      <c r="K151" s="15" t="n">
        <f aca="false">J151*(1+IF(K$3&lt;=$O$2,$D151,$D151-($D151-$I$130)*MIN(K$3-$O$2,$Q$2)/$Q$2))</f>
        <v>2779.08994851232</v>
      </c>
      <c r="L151" s="15" t="n">
        <f aca="false">K151*(1+IF(L$3&lt;=$O$2,$D151,$D151-($D151-$I$130)*MIN(L$3-$O$2,$Q$2)/$Q$2))</f>
        <v>2844.81522988101</v>
      </c>
      <c r="M151" s="15" t="n">
        <f aca="false">L151*(1+IF(M$3&lt;=$O$2,$D151,$D151-($D151-$I$130)*MIN(M$3-$O$2,$Q$2)/$Q$2))</f>
        <v>2925.82124327839</v>
      </c>
      <c r="N151" s="15" t="n">
        <f aca="false">M151*(1+IF(N$3&lt;=$O$2,$D151,$D151-($D151-$I$130)*MIN(N$3-$O$2,$Q$2)/$Q$2))</f>
        <v>3023.25109067956</v>
      </c>
      <c r="O151" s="15" t="n">
        <f aca="false">SUMPRODUCT(E151:N151,1/(1+$F$130)^$E$3:$N$3)*$E$2</f>
        <v>3580.88480222121</v>
      </c>
      <c r="P151" s="15" t="n">
        <f aca="false">N151*$E$2*(1+$I$130)/($F$130-$I$130)/(1+$F$130)^$N$3</f>
        <v>5465.38189725185</v>
      </c>
      <c r="Q151" s="15" t="n">
        <f aca="false">O151+P151</f>
        <v>9046.26669947306</v>
      </c>
      <c r="R151" s="15" t="n">
        <f aca="false">Q151-$G$2+$I$2</f>
        <v>7670.06669947306</v>
      </c>
      <c r="S151" s="42" t="n">
        <f aca="false">R151/$K$2</f>
        <v>204.48058383026</v>
      </c>
      <c r="T151" s="43" t="n">
        <f aca="false">S151-$M$2</f>
        <v>0.00177817843407979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0.00917339324951172</v>
      </c>
      <c r="C152" s="25" t="n">
        <f aca="false">IF(T151&gt;0,D151,C151)</f>
        <v>0.00917482376098633</v>
      </c>
      <c r="D152" s="41" t="n">
        <f aca="false">(B152+C152)/2</f>
        <v>0.00917410850524902</v>
      </c>
      <c r="E152" s="15" t="n">
        <f aca="false">$C$2*(1+IF(E$3&lt;=$O$2,$D152,$D152-($D152-$I$130)*MIN(E$3-$O$2,$Q$2)/$Q$2))</f>
        <v>2593.57745885849</v>
      </c>
      <c r="F152" s="15" t="n">
        <f aca="false">E152*(1+IF(F$3&lt;=$O$2,$D152,$D152-($D152-$I$130)*MIN(F$3-$O$2,$Q$2)/$Q$2))</f>
        <v>2617.37121988283</v>
      </c>
      <c r="G152" s="15" t="n">
        <f aca="false">F152*(1+IF(G$3&lt;=$O$2,$D152,$D152-($D152-$I$130)*MIN(G$3-$O$2,$Q$2)/$Q$2))</f>
        <v>2641.38326745255</v>
      </c>
      <c r="H152" s="15" t="n">
        <f aca="false">G152*(1+IF(H$3&lt;=$O$2,$D152,$D152-($D152-$I$130)*MIN(H$3-$O$2,$Q$2)/$Q$2))</f>
        <v>2665.61560415211</v>
      </c>
      <c r="I152" s="15" t="n">
        <f aca="false">H152*(1+IF(I$3&lt;=$O$2,$D152,$D152-($D152-$I$130)*MIN(I$3-$O$2,$Q$2)/$Q$2))</f>
        <v>2690.07025093788</v>
      </c>
      <c r="J152" s="15" t="n">
        <f aca="false">I152*(1+IF(J$3&lt;=$O$2,$D152,$D152-($D152-$I$130)*MIN(J$3-$O$2,$Q$2)/$Q$2))</f>
        <v>2727.72931590421</v>
      </c>
      <c r="K152" s="15" t="n">
        <f aca="false">J152*(1+IF(K$3&lt;=$O$2,$D152,$D152-($D152-$I$130)*MIN(K$3-$O$2,$Q$2)/$Q$2))</f>
        <v>2779.07736122228</v>
      </c>
      <c r="L152" s="15" t="n">
        <f aca="false">K152*(1+IF(L$3&lt;=$O$2,$D152,$D152-($D152-$I$130)*MIN(L$3-$O$2,$Q$2)/$Q$2))</f>
        <v>2844.80154980204</v>
      </c>
      <c r="M152" s="15" t="n">
        <f aca="false">L152*(1+IF(M$3&lt;=$O$2,$D152,$D152-($D152-$I$130)*MIN(M$3-$O$2,$Q$2)/$Q$2))</f>
        <v>2925.80676670752</v>
      </c>
      <c r="N152" s="15" t="n">
        <f aca="false">M152*(1+IF(N$3&lt;=$O$2,$D152,$D152-($D152-$I$130)*MIN(N$3-$O$2,$Q$2)/$Q$2))</f>
        <v>3023.23613203888</v>
      </c>
      <c r="O152" s="15" t="n">
        <f aca="false">SUMPRODUCT(E152:N152,1/(1+$F$130)^$E$3:$N$3)*$E$2</f>
        <v>3580.87362205419</v>
      </c>
      <c r="P152" s="15" t="n">
        <f aca="false">N152*$E$2*(1+$I$130)/($F$130-$I$130)/(1+$F$130)^$N$3</f>
        <v>5465.35485527567</v>
      </c>
      <c r="Q152" s="15" t="n">
        <f aca="false">O152+P152</f>
        <v>9046.22847732987</v>
      </c>
      <c r="R152" s="15" t="n">
        <f aca="false">Q152-$G$2+$I$2</f>
        <v>7670.02847732987</v>
      </c>
      <c r="S152" s="42" t="n">
        <f aca="false">R152/$K$2</f>
        <v>204.479564844838</v>
      </c>
      <c r="T152" s="43" t="n">
        <f aca="false">S152-$M$2</f>
        <v>0.000759193011703019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0.00917339324951172</v>
      </c>
      <c r="C153" s="25" t="n">
        <f aca="false">IF(T152&gt;0,D152,C152)</f>
        <v>0.00917410850524902</v>
      </c>
      <c r="D153" s="41" t="n">
        <f aca="false">(B153+C153)/2</f>
        <v>0.00917375087738037</v>
      </c>
      <c r="E153" s="15" t="n">
        <f aca="false">$C$2*(1+IF(E$3&lt;=$O$2,$D153,$D153-($D153-$I$130)*MIN(E$3-$O$2,$Q$2)/$Q$2))</f>
        <v>2593.57653975487</v>
      </c>
      <c r="F153" s="15" t="n">
        <f aca="false">E153*(1+IF(F$3&lt;=$O$2,$D153,$D153-($D153-$I$130)*MIN(F$3-$O$2,$Q$2)/$Q$2))</f>
        <v>2617.369364812</v>
      </c>
      <c r="G153" s="15" t="n">
        <f aca="false">F153*(1+IF(G$3&lt;=$O$2,$D153,$D153-($D153-$I$130)*MIN(G$3-$O$2,$Q$2)/$Q$2))</f>
        <v>2641.38045931887</v>
      </c>
      <c r="H153" s="15" t="n">
        <f aca="false">G153*(1+IF(H$3&lt;=$O$2,$D153,$D153-($D153-$I$130)*MIN(H$3-$O$2,$Q$2)/$Q$2))</f>
        <v>2665.61182562504</v>
      </c>
      <c r="I153" s="15" t="n">
        <f aca="false">H153*(1+IF(I$3&lt;=$O$2,$D153,$D153-($D153-$I$130)*MIN(I$3-$O$2,$Q$2)/$Q$2))</f>
        <v>2690.06548444912</v>
      </c>
      <c r="J153" s="15" t="n">
        <f aca="false">I153*(1+IF(J$3&lt;=$O$2,$D153,$D153-($D153-$I$130)*MIN(J$3-$O$2,$Q$2)/$Q$2))</f>
        <v>2727.7237130541</v>
      </c>
      <c r="K153" s="15" t="n">
        <f aca="false">J153*(1+IF(K$3&lt;=$O$2,$D153,$D153-($D153-$I$130)*MIN(K$3-$O$2,$Q$2)/$Q$2))</f>
        <v>2779.07106759551</v>
      </c>
      <c r="L153" s="15" t="n">
        <f aca="false">K153*(1+IF(L$3&lt;=$O$2,$D153,$D153-($D153-$I$130)*MIN(L$3-$O$2,$Q$2)/$Q$2))</f>
        <v>2844.79470978393</v>
      </c>
      <c r="M153" s="15" t="n">
        <f aca="false">L153*(1+IF(M$3&lt;=$O$2,$D153,$D153-($D153-$I$130)*MIN(M$3-$O$2,$Q$2)/$Q$2))</f>
        <v>2925.79952844554</v>
      </c>
      <c r="N153" s="15" t="n">
        <f aca="false">M153*(1+IF(N$3&lt;=$O$2,$D153,$D153-($D153-$I$130)*MIN(N$3-$O$2,$Q$2)/$Q$2))</f>
        <v>3023.22865274278</v>
      </c>
      <c r="O153" s="15" t="n">
        <f aca="false">SUMPRODUCT(E153:N153,1/(1+$F$130)^$E$3:$N$3)*$E$2</f>
        <v>3580.86803198404</v>
      </c>
      <c r="P153" s="15" t="n">
        <f aca="false">N153*$E$2*(1+$I$130)/($F$130-$I$130)/(1+$F$130)^$N$3</f>
        <v>5465.3413343314</v>
      </c>
      <c r="Q153" s="15" t="n">
        <f aca="false">O153+P153</f>
        <v>9046.20936631544</v>
      </c>
      <c r="R153" s="15" t="n">
        <f aca="false">Q153-$G$2+$I$2</f>
        <v>7670.00936631544</v>
      </c>
      <c r="S153" s="42" t="n">
        <f aca="false">R153/$K$2</f>
        <v>204.479055353651</v>
      </c>
      <c r="T153" s="43" t="n">
        <f aca="false">S153-$M$2</f>
        <v>0.000249701824600379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0.00917339324951172</v>
      </c>
      <c r="C154" s="25" t="n">
        <f aca="false">IF(T153&gt;0,D153,C153)</f>
        <v>0.00917375087738037</v>
      </c>
      <c r="D154" s="41" t="n">
        <f aca="false">(B154+C154)/2</f>
        <v>0.00917357206344605</v>
      </c>
      <c r="E154" s="15" t="n">
        <f aca="false">$C$2*(1+IF(E$3&lt;=$O$2,$D154,$D154-($D154-$I$130)*MIN(E$3-$O$2,$Q$2)/$Q$2))</f>
        <v>2593.57608020306</v>
      </c>
      <c r="F154" s="15" t="n">
        <f aca="false">E154*(1+IF(F$3&lt;=$O$2,$D154,$D154-($D154-$I$130)*MIN(F$3-$O$2,$Q$2)/$Q$2))</f>
        <v>2617.36843727683</v>
      </c>
      <c r="G154" s="15" t="n">
        <f aca="false">F154*(1+IF(G$3&lt;=$O$2,$D154,$D154-($D154-$I$130)*MIN(G$3-$O$2,$Q$2)/$Q$2))</f>
        <v>2641.37905525278</v>
      </c>
      <c r="H154" s="15" t="n">
        <f aca="false">G154*(1+IF(H$3&lt;=$O$2,$D154,$D154-($D154-$I$130)*MIN(H$3-$O$2,$Q$2)/$Q$2))</f>
        <v>2665.60993636302</v>
      </c>
      <c r="I154" s="15" t="n">
        <f aca="false">H154*(1+IF(I$3&lt;=$O$2,$D154,$D154-($D154-$I$130)*MIN(I$3-$O$2,$Q$2)/$Q$2))</f>
        <v>2690.06310120728</v>
      </c>
      <c r="J154" s="15" t="n">
        <f aca="false">I154*(1+IF(J$3&lt;=$O$2,$D154,$D154-($D154-$I$130)*MIN(J$3-$O$2,$Q$2)/$Q$2))</f>
        <v>2727.72091163263</v>
      </c>
      <c r="K154" s="15" t="n">
        <f aca="false">J154*(1+IF(K$3&lt;=$O$2,$D154,$D154-($D154-$I$130)*MIN(K$3-$O$2,$Q$2)/$Q$2))</f>
        <v>2779.06792078668</v>
      </c>
      <c r="L154" s="15" t="n">
        <f aca="false">K154*(1+IF(L$3&lt;=$O$2,$D154,$D154-($D154-$I$130)*MIN(L$3-$O$2,$Q$2)/$Q$2))</f>
        <v>2844.79128978022</v>
      </c>
      <c r="M154" s="15" t="n">
        <f aca="false">L154*(1+IF(M$3&lt;=$O$2,$D154,$D154-($D154-$I$130)*MIN(M$3-$O$2,$Q$2)/$Q$2))</f>
        <v>2925.79590932041</v>
      </c>
      <c r="N154" s="15" t="n">
        <f aca="false">M154*(1+IF(N$3&lt;=$O$2,$D154,$D154-($D154-$I$130)*MIN(N$3-$O$2,$Q$2)/$Q$2))</f>
        <v>3023.22491310078</v>
      </c>
      <c r="O154" s="15" t="n">
        <f aca="false">SUMPRODUCT(E154:N154,1/(1+$F$130)^$E$3:$N$3)*$E$2</f>
        <v>3580.8652369523</v>
      </c>
      <c r="P154" s="15" t="n">
        <f aca="false">N154*$E$2*(1+$I$130)/($F$130-$I$130)/(1+$F$130)^$N$3</f>
        <v>5465.33457387021</v>
      </c>
      <c r="Q154" s="15" t="n">
        <f aca="false">O154+P154</f>
        <v>9046.19981082251</v>
      </c>
      <c r="R154" s="15" t="n">
        <f aca="false">Q154-$G$2+$I$2</f>
        <v>7669.99981082251</v>
      </c>
      <c r="S154" s="42" t="n">
        <f aca="false">R154/$K$2</f>
        <v>204.478800608438</v>
      </c>
      <c r="T154" s="43" t="n">
        <f aca="false">S154-$M$2</f>
        <v>-5.04338808582361E-006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0.00917357206344605</v>
      </c>
      <c r="C155" s="25" t="n">
        <f aca="false">IF(T154&gt;0,D154,C154)</f>
        <v>0.00917375087738037</v>
      </c>
      <c r="D155" s="41" t="n">
        <f aca="false">(B155+C155)/2</f>
        <v>0.00917366147041321</v>
      </c>
      <c r="E155" s="15" t="n">
        <f aca="false">$C$2*(1+IF(E$3&lt;=$O$2,$D155,$D155-($D155-$I$130)*MIN(E$3-$O$2,$Q$2)/$Q$2))</f>
        <v>2593.57630997896</v>
      </c>
      <c r="F155" s="15" t="n">
        <f aca="false">E155*(1+IF(F$3&lt;=$O$2,$D155,$D155-($D155-$I$130)*MIN(F$3-$O$2,$Q$2)/$Q$2))</f>
        <v>2617.36890104439</v>
      </c>
      <c r="G155" s="15" t="n">
        <f aca="false">F155*(1+IF(G$3&lt;=$O$2,$D155,$D155-($D155-$I$130)*MIN(G$3-$O$2,$Q$2)/$Q$2))</f>
        <v>2641.37975728576</v>
      </c>
      <c r="H155" s="15" t="n">
        <f aca="false">G155*(1+IF(H$3&lt;=$O$2,$D155,$D155-($D155-$I$130)*MIN(H$3-$O$2,$Q$2)/$Q$2))</f>
        <v>2665.6108809939</v>
      </c>
      <c r="I155" s="15" t="n">
        <f aca="false">H155*(1+IF(I$3&lt;=$O$2,$D155,$D155-($D155-$I$130)*MIN(I$3-$O$2,$Q$2)/$Q$2))</f>
        <v>2690.06429282799</v>
      </c>
      <c r="J155" s="15" t="n">
        <f aca="false">I155*(1+IF(J$3&lt;=$O$2,$D155,$D155-($D155-$I$130)*MIN(J$3-$O$2,$Q$2)/$Q$2))</f>
        <v>2727.72231234307</v>
      </c>
      <c r="K155" s="15" t="n">
        <f aca="false">J155*(1+IF(K$3&lt;=$O$2,$D155,$D155-($D155-$I$130)*MIN(K$3-$O$2,$Q$2)/$Q$2))</f>
        <v>2779.06949419071</v>
      </c>
      <c r="L155" s="15" t="n">
        <f aca="false">K155*(1+IF(L$3&lt;=$O$2,$D155,$D155-($D155-$I$130)*MIN(L$3-$O$2,$Q$2)/$Q$2))</f>
        <v>2844.79299978163</v>
      </c>
      <c r="M155" s="15" t="n">
        <f aca="false">L155*(1+IF(M$3&lt;=$O$2,$D155,$D155-($D155-$I$130)*MIN(M$3-$O$2,$Q$2)/$Q$2))</f>
        <v>2925.79771888249</v>
      </c>
      <c r="N155" s="15" t="n">
        <f aca="false">M155*(1+IF(N$3&lt;=$O$2,$D155,$D155-($D155-$I$130)*MIN(N$3-$O$2,$Q$2)/$Q$2))</f>
        <v>3023.22678292128</v>
      </c>
      <c r="O155" s="15" t="n">
        <f aca="false">SUMPRODUCT(E155:N155,1/(1+$F$130)^$E$3:$N$3)*$E$2</f>
        <v>3580.86663446789</v>
      </c>
      <c r="P155" s="15" t="n">
        <f aca="false">N155*$E$2*(1+$I$130)/($F$130-$I$130)/(1+$F$130)^$N$3</f>
        <v>5465.33795409989</v>
      </c>
      <c r="Q155" s="15" t="n">
        <f aca="false">O155+P155</f>
        <v>9046.20458856778</v>
      </c>
      <c r="R155" s="15" t="n">
        <f aca="false">Q155-$G$2+$I$2</f>
        <v>7670.00458856778</v>
      </c>
      <c r="S155" s="42" t="n">
        <f aca="false">R155/$K$2</f>
        <v>204.478927981013</v>
      </c>
      <c r="T155" s="43" t="n">
        <f aca="false">S155-$M$2</f>
        <v>0.000122329186552861</v>
      </c>
    </row>
    <row r="157" customFormat="false" ht="15" hidden="false" customHeight="false" outlineLevel="0" collapsed="false">
      <c r="A157" s="38" t="s">
        <v>186</v>
      </c>
      <c r="E157" s="5" t="s">
        <v>11</v>
      </c>
      <c r="F157" s="12" t="n">
        <f aca="false">Sensitivity!$B$10</f>
        <v>0.084183337553844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162</v>
      </c>
      <c r="B158" s="28" t="s">
        <v>163</v>
      </c>
      <c r="C158" s="28" t="s">
        <v>164</v>
      </c>
      <c r="D158" s="28" t="s">
        <v>165</v>
      </c>
      <c r="E158" s="28" t="s">
        <v>166</v>
      </c>
      <c r="F158" s="28" t="s">
        <v>167</v>
      </c>
      <c r="G158" s="28" t="s">
        <v>168</v>
      </c>
      <c r="H158" s="28" t="s">
        <v>169</v>
      </c>
      <c r="I158" s="28" t="s">
        <v>170</v>
      </c>
      <c r="J158" s="28" t="s">
        <v>171</v>
      </c>
      <c r="K158" s="28" t="s">
        <v>172</v>
      </c>
      <c r="L158" s="28" t="s">
        <v>173</v>
      </c>
      <c r="M158" s="28" t="s">
        <v>174</v>
      </c>
      <c r="N158" s="28" t="s">
        <v>175</v>
      </c>
      <c r="O158" s="28" t="s">
        <v>176</v>
      </c>
      <c r="P158" s="28" t="s">
        <v>177</v>
      </c>
      <c r="Q158" s="28" t="s">
        <v>178</v>
      </c>
      <c r="R158" s="28" t="s">
        <v>179</v>
      </c>
      <c r="S158" s="28" t="s">
        <v>180</v>
      </c>
      <c r="T158" s="28" t="s">
        <v>181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3212.5</v>
      </c>
      <c r="F159" s="15" t="n">
        <f aca="false">E159*(1+IF(F$3&lt;=$O$2,$D159,$D159-($D159-$I$157)*MIN(F$3-$O$2,$Q$2)/$Q$2))</f>
        <v>4015.625</v>
      </c>
      <c r="G159" s="15" t="n">
        <f aca="false">F159*(1+IF(G$3&lt;=$O$2,$D159,$D159-($D159-$I$157)*MIN(G$3-$O$2,$Q$2)/$Q$2))</f>
        <v>5019.53125</v>
      </c>
      <c r="H159" s="15" t="n">
        <f aca="false">G159*(1+IF(H$3&lt;=$O$2,$D159,$D159-($D159-$I$157)*MIN(H$3-$O$2,$Q$2)/$Q$2))</f>
        <v>6274.4140625</v>
      </c>
      <c r="I159" s="15" t="n">
        <f aca="false">H159*(1+IF(I$3&lt;=$O$2,$D159,$D159-($D159-$I$157)*MIN(I$3-$O$2,$Q$2)/$Q$2))</f>
        <v>7843.017578125</v>
      </c>
      <c r="J159" s="15" t="n">
        <f aca="false">I159*(1+IF(J$3&lt;=$O$2,$D159,$D159-($D159-$I$157)*MIN(J$3-$O$2,$Q$2)/$Q$2))</f>
        <v>9471.69860839844</v>
      </c>
      <c r="K159" s="15" t="n">
        <f aca="false">J159*(1+IF(K$3&lt;=$O$2,$D159,$D159-($D159-$I$157)*MIN(K$3-$O$2,$Q$2)/$Q$2))</f>
        <v>11037.5598223389</v>
      </c>
      <c r="L159" s="15" t="n">
        <f aca="false">K159*(1+IF(L$3&lt;=$O$2,$D159,$D159-($D159-$I$157)*MIN(L$3-$O$2,$Q$2)/$Q$2))</f>
        <v>12394.9589292901</v>
      </c>
      <c r="M159" s="15" t="n">
        <f aca="false">L159*(1+IF(M$3&lt;=$O$2,$D159,$D159-($D159-$I$157)*MIN(M$3-$O$2,$Q$2)/$Q$2))</f>
        <v>13394.4884173481</v>
      </c>
      <c r="N159" s="15" t="n">
        <f aca="false">M159*(1+IF(N$3&lt;=$O$2,$D159,$D159-($D159-$I$157)*MIN(N$3-$O$2,$Q$2)/$Q$2))</f>
        <v>13907.4973237325</v>
      </c>
      <c r="O159" s="15" t="n">
        <f aca="false">SUMPRODUCT(E159:N159,1/(1+$F$157)^$E$3:$N$3)*$E$2</f>
        <v>10259.3571131158</v>
      </c>
      <c r="P159" s="15" t="n">
        <f aca="false">N159*$E$2*(1+$I$157)/($F$157-$I$157)/(1+$F$157)^$N$3</f>
        <v>28016.3977440531</v>
      </c>
      <c r="Q159" s="15" t="n">
        <f aca="false">O159+P159</f>
        <v>38275.7548571689</v>
      </c>
      <c r="R159" s="15" t="n">
        <f aca="false">Q159-$G$2+$I$2</f>
        <v>36899.5548571689</v>
      </c>
      <c r="S159" s="42" t="n">
        <f aca="false">R159/$K$2</f>
        <v>983.725802643799</v>
      </c>
      <c r="T159" s="43" t="n">
        <f aca="false">S159-$M$2</f>
        <v>779.246996991973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2248.75</v>
      </c>
      <c r="F160" s="15" t="n">
        <f aca="false">E160*(1+IF(F$3&lt;=$O$2,$D160,$D160-($D160-$I$157)*MIN(F$3-$O$2,$Q$2)/$Q$2))</f>
        <v>1967.65625</v>
      </c>
      <c r="G160" s="15" t="n">
        <f aca="false">F160*(1+IF(G$3&lt;=$O$2,$D160,$D160-($D160-$I$157)*MIN(G$3-$O$2,$Q$2)/$Q$2))</f>
        <v>1721.69921875</v>
      </c>
      <c r="H160" s="15" t="n">
        <f aca="false">G160*(1+IF(H$3&lt;=$O$2,$D160,$D160-($D160-$I$157)*MIN(H$3-$O$2,$Q$2)/$Q$2))</f>
        <v>1506.48681640625</v>
      </c>
      <c r="I160" s="15" t="n">
        <f aca="false">H160*(1+IF(I$3&lt;=$O$2,$D160,$D160-($D160-$I$157)*MIN(I$3-$O$2,$Q$2)/$Q$2))</f>
        <v>1318.17596435547</v>
      </c>
      <c r="J160" s="15" t="n">
        <f aca="false">I160*(1+IF(J$3&lt;=$O$2,$D160,$D160-($D160-$I$157)*MIN(J$3-$O$2,$Q$2)/$Q$2))</f>
        <v>1196.45559580688</v>
      </c>
      <c r="K160" s="15" t="n">
        <f aca="false">J160*(1+IF(K$3&lt;=$O$2,$D160,$D160-($D160-$I$157)*MIN(K$3-$O$2,$Q$2)/$Q$2))</f>
        <v>1125.05112584913</v>
      </c>
      <c r="L160" s="15" t="n">
        <f aca="false">K160*(1+IF(L$3&lt;=$O$2,$D160,$D160-($D160-$I$157)*MIN(L$3-$O$2,$Q$2)/$Q$2))</f>
        <v>1094.65224442869</v>
      </c>
      <c r="M160" s="15" t="n">
        <f aca="false">L160*(1+IF(M$3&lt;=$O$2,$D160,$D160-($D160-$I$157)*MIN(M$3-$O$2,$Q$2)/$Q$2))</f>
        <v>1100.82608308726</v>
      </c>
      <c r="N160" s="15" t="n">
        <f aca="false">M160*(1+IF(N$3&lt;=$O$2,$D160,$D160-($D160-$I$157)*MIN(N$3-$O$2,$Q$2)/$Q$2))</f>
        <v>1142.98772206951</v>
      </c>
      <c r="O160" s="15" t="n">
        <f aca="false">SUMPRODUCT(E160:N160,1/(1+$F$157)^$E$3:$N$3)*$E$2</f>
        <v>2009.56414520385</v>
      </c>
      <c r="P160" s="15" t="n">
        <f aca="false">N160*$E$2*(1+$I$157)/($F$157-$I$157)/(1+$F$157)^$N$3</f>
        <v>2302.52775842163</v>
      </c>
      <c r="Q160" s="15" t="n">
        <f aca="false">O160+P160</f>
        <v>4312.09190362548</v>
      </c>
      <c r="R160" s="15" t="n">
        <f aca="false">Q160-$G$2+$I$2</f>
        <v>2935.89190362548</v>
      </c>
      <c r="S160" s="42" t="n">
        <f aca="false">R160/$K$2</f>
        <v>78.2695788756459</v>
      </c>
      <c r="T160" s="43" t="n">
        <f aca="false">S160-$M$2</f>
        <v>-126.20922677618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2730.625</v>
      </c>
      <c r="F161" s="15" t="n">
        <f aca="false">E161*(1+IF(F$3&lt;=$O$2,$D161,$D161-($D161-$I$157)*MIN(F$3-$O$2,$Q$2)/$Q$2))</f>
        <v>2901.2890625</v>
      </c>
      <c r="G161" s="15" t="n">
        <f aca="false">F161*(1+IF(G$3&lt;=$O$2,$D161,$D161-($D161-$I$157)*MIN(G$3-$O$2,$Q$2)/$Q$2))</f>
        <v>3082.61962890625</v>
      </c>
      <c r="H161" s="15" t="n">
        <f aca="false">G161*(1+IF(H$3&lt;=$O$2,$D161,$D161-($D161-$I$157)*MIN(H$3-$O$2,$Q$2)/$Q$2))</f>
        <v>3275.28335571289</v>
      </c>
      <c r="I161" s="15" t="n">
        <f aca="false">H161*(1+IF(I$3&lt;=$O$2,$D161,$D161-($D161-$I$157)*MIN(I$3-$O$2,$Q$2)/$Q$2))</f>
        <v>3479.98856544495</v>
      </c>
      <c r="J161" s="15" t="n">
        <f aca="false">I161*(1+IF(J$3&lt;=$O$2,$D161,$D161-($D161-$I$157)*MIN(J$3-$O$2,$Q$2)/$Q$2))</f>
        <v>3680.6447061285</v>
      </c>
      <c r="K161" s="15" t="n">
        <f aca="false">J161*(1+IF(K$3&lt;=$O$2,$D161,$D161-($D161-$I$157)*MIN(K$3-$O$2,$Q$2)/$Q$2))</f>
        <v>3875.05635950621</v>
      </c>
      <c r="L161" s="15" t="n">
        <f aca="false">K161*(1+IF(L$3&lt;=$O$2,$D161,$D161-($D161-$I$157)*MIN(L$3-$O$2,$Q$2)/$Q$2))</f>
        <v>4060.98156363532</v>
      </c>
      <c r="M161" s="15" t="n">
        <f aca="false">L161*(1+IF(M$3&lt;=$O$2,$D161,$D161-($D161-$I$157)*MIN(M$3-$O$2,$Q$2)/$Q$2))</f>
        <v>4236.17230829055</v>
      </c>
      <c r="N161" s="15" t="n">
        <f aca="false">M161*(1+IF(N$3&lt;=$O$2,$D161,$D161-($D161-$I$157)*MIN(N$3-$O$2,$Q$2)/$Q$2))</f>
        <v>4398.41770769807</v>
      </c>
      <c r="O161" s="15" t="n">
        <f aca="false">SUMPRODUCT(E161:N161,1/(1+$F$157)^$E$3:$N$3)*$E$2</f>
        <v>4534.72898924066</v>
      </c>
      <c r="P161" s="15" t="n">
        <f aca="false">N161*$E$2*(1+$I$157)/($F$157-$I$157)/(1+$F$157)^$N$3</f>
        <v>8860.53163088323</v>
      </c>
      <c r="Q161" s="15" t="n">
        <f aca="false">O161+P161</f>
        <v>13395.2606201239</v>
      </c>
      <c r="R161" s="15" t="n">
        <f aca="false">Q161-$G$2+$I$2</f>
        <v>12019.0606201239</v>
      </c>
      <c r="S161" s="42" t="n">
        <f aca="false">R161/$K$2</f>
        <v>320.422837113407</v>
      </c>
      <c r="T161" s="43" t="n">
        <f aca="false">S161-$M$2</f>
        <v>115.944031461581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2489.6875</v>
      </c>
      <c r="F162" s="15" t="n">
        <f aca="false">E162*(1+IF(F$3&lt;=$O$2,$D162,$D162-($D162-$I$157)*MIN(F$3-$O$2,$Q$2)/$Q$2))</f>
        <v>2411.884765625</v>
      </c>
      <c r="G162" s="15" t="n">
        <f aca="false">F162*(1+IF(G$3&lt;=$O$2,$D162,$D162-($D162-$I$157)*MIN(G$3-$O$2,$Q$2)/$Q$2))</f>
        <v>2336.51336669922</v>
      </c>
      <c r="H162" s="15" t="n">
        <f aca="false">G162*(1+IF(H$3&lt;=$O$2,$D162,$D162-($D162-$I$157)*MIN(H$3-$O$2,$Q$2)/$Q$2))</f>
        <v>2263.49732398987</v>
      </c>
      <c r="I162" s="15" t="n">
        <f aca="false">H162*(1+IF(I$3&lt;=$O$2,$D162,$D162-($D162-$I$157)*MIN(I$3-$O$2,$Q$2)/$Q$2))</f>
        <v>2192.76303261519</v>
      </c>
      <c r="J162" s="15" t="n">
        <f aca="false">I162*(1+IF(J$3&lt;=$O$2,$D162,$D162-($D162-$I$157)*MIN(J$3-$O$2,$Q$2)/$Q$2))</f>
        <v>2154.74052162964</v>
      </c>
      <c r="K162" s="15" t="n">
        <f aca="false">J162*(1+IF(K$3&lt;=$O$2,$D162,$D162-($D162-$I$157)*MIN(K$3-$O$2,$Q$2)/$Q$2))</f>
        <v>2147.34976164045</v>
      </c>
      <c r="L162" s="15" t="n">
        <f aca="false">K162*(1+IF(L$3&lt;=$O$2,$D162,$D162-($D162-$I$157)*MIN(L$3-$O$2,$Q$2)/$Q$2))</f>
        <v>2169.85398714244</v>
      </c>
      <c r="M162" s="15" t="n">
        <f aca="false">L162*(1+IF(M$3&lt;=$O$2,$D162,$D162-($D162-$I$157)*MIN(M$3-$O$2,$Q$2)/$Q$2))</f>
        <v>2222.77672588884</v>
      </c>
      <c r="N162" s="15" t="n">
        <f aca="false">M162*(1+IF(N$3&lt;=$O$2,$D162,$D162-($D162-$I$157)*MIN(N$3-$O$2,$Q$2)/$Q$2))</f>
        <v>2307.90907449039</v>
      </c>
      <c r="O162" s="15" t="n">
        <f aca="false">SUMPRODUCT(E162:N162,1/(1+$F$157)^$E$3:$N$3)*$E$2</f>
        <v>3010.25574065574</v>
      </c>
      <c r="P162" s="15" t="n">
        <f aca="false">N162*$E$2*(1+$I$157)/($F$157-$I$157)/(1+$F$157)^$N$3</f>
        <v>4649.24041205416</v>
      </c>
      <c r="Q162" s="15" t="n">
        <f aca="false">O162+P162</f>
        <v>7659.4961527099</v>
      </c>
      <c r="R162" s="15" t="n">
        <f aca="false">Q162-$G$2+$I$2</f>
        <v>6283.2961527099</v>
      </c>
      <c r="S162" s="42" t="n">
        <f aca="false">R162/$K$2</f>
        <v>167.509894766993</v>
      </c>
      <c r="T162" s="43" t="n">
        <f aca="false">S162-$M$2</f>
        <v>-36.9689108848334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-0.03125</v>
      </c>
      <c r="C163" s="25" t="n">
        <f aca="false">IF(T162&gt;0,D162,C162)</f>
        <v>0.0625</v>
      </c>
      <c r="D163" s="41" t="n">
        <f aca="false">(B163+C163)/2</f>
        <v>0.015625</v>
      </c>
      <c r="E163" s="15" t="n">
        <f aca="false">$C$2*(1+IF(E$3&lt;=$O$2,$D163,$D163-($D163-$I$157)*MIN(E$3-$O$2,$Q$2)/$Q$2))</f>
        <v>2610.15625</v>
      </c>
      <c r="F163" s="15" t="n">
        <f aca="false">E163*(1+IF(F$3&lt;=$O$2,$D163,$D163-($D163-$I$157)*MIN(F$3-$O$2,$Q$2)/$Q$2))</f>
        <v>2650.93994140625</v>
      </c>
      <c r="G163" s="15" t="n">
        <f aca="false">F163*(1+IF(G$3&lt;=$O$2,$D163,$D163-($D163-$I$157)*MIN(G$3-$O$2,$Q$2)/$Q$2))</f>
        <v>2692.36087799072</v>
      </c>
      <c r="H163" s="15" t="n">
        <f aca="false">G163*(1+IF(H$3&lt;=$O$2,$D163,$D163-($D163-$I$157)*MIN(H$3-$O$2,$Q$2)/$Q$2))</f>
        <v>2734.42901670933</v>
      </c>
      <c r="I163" s="15" t="n">
        <f aca="false">H163*(1+IF(I$3&lt;=$O$2,$D163,$D163-($D163-$I$157)*MIN(I$3-$O$2,$Q$2)/$Q$2))</f>
        <v>2777.15447009541</v>
      </c>
      <c r="J163" s="15" t="n">
        <f aca="false">I163*(1+IF(J$3&lt;=$O$2,$D163,$D163-($D163-$I$157)*MIN(J$3-$O$2,$Q$2)/$Q$2))</f>
        <v>2833.14190421253</v>
      </c>
      <c r="K163" s="15" t="n">
        <f aca="false">J163*(1+IF(K$3&lt;=$O$2,$D163,$D163-($D163-$I$157)*MIN(K$3-$O$2,$Q$2)/$Q$2))</f>
        <v>2903.10634353706</v>
      </c>
      <c r="L163" s="15" t="n">
        <f aca="false">K163*(1+IF(L$3&lt;=$O$2,$D163,$D163-($D163-$I$157)*MIN(L$3-$O$2,$Q$2)/$Q$2))</f>
        <v>2987.96414195865</v>
      </c>
      <c r="M163" s="15" t="n">
        <f aca="false">L163*(1+IF(M$3&lt;=$O$2,$D163,$D163-($D163-$I$157)*MIN(M$3-$O$2,$Q$2)/$Q$2))</f>
        <v>3088.85275121189</v>
      </c>
      <c r="N163" s="15" t="n">
        <f aca="false">M163*(1+IF(N$3&lt;=$O$2,$D163,$D163-($D163-$I$157)*MIN(N$3-$O$2,$Q$2)/$Q$2))</f>
        <v>3207.1558115833</v>
      </c>
      <c r="O163" s="15" t="n">
        <f aca="false">SUMPRODUCT(E163:N163,1/(1+$F$157)^$E$3:$N$3)*$E$2</f>
        <v>3693.31323258789</v>
      </c>
      <c r="P163" s="15" t="n">
        <f aca="false">N163*$E$2*(1+$I$157)/($F$157-$I$157)/(1+$F$157)^$N$3</f>
        <v>6460.7564361087</v>
      </c>
      <c r="Q163" s="15" t="n">
        <f aca="false">O163+P163</f>
        <v>10154.0696686966</v>
      </c>
      <c r="R163" s="15" t="n">
        <f aca="false">Q163-$G$2+$I$2</f>
        <v>8777.86966869659</v>
      </c>
      <c r="S163" s="42" t="n">
        <f aca="false">R163/$K$2</f>
        <v>234.014120733047</v>
      </c>
      <c r="T163" s="43" t="n">
        <f aca="false">S163-$M$2</f>
        <v>29.5353150812209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-0.03125</v>
      </c>
      <c r="C164" s="25" t="n">
        <f aca="false">IF(T163&gt;0,D163,C163)</f>
        <v>0.015625</v>
      </c>
      <c r="D164" s="41" t="n">
        <f aca="false">(B164+C164)/2</f>
        <v>-0.0078125</v>
      </c>
      <c r="E164" s="15" t="n">
        <f aca="false">$C$2*(1+IF(E$3&lt;=$O$2,$D164,$D164-($D164-$I$157)*MIN(E$3-$O$2,$Q$2)/$Q$2))</f>
        <v>2549.921875</v>
      </c>
      <c r="F164" s="15" t="n">
        <f aca="false">E164*(1+IF(F$3&lt;=$O$2,$D164,$D164-($D164-$I$157)*MIN(F$3-$O$2,$Q$2)/$Q$2))</f>
        <v>2530.00061035156</v>
      </c>
      <c r="G164" s="15" t="n">
        <f aca="false">F164*(1+IF(G$3&lt;=$O$2,$D164,$D164-($D164-$I$157)*MIN(G$3-$O$2,$Q$2)/$Q$2))</f>
        <v>2510.23498058319</v>
      </c>
      <c r="H164" s="15" t="n">
        <f aca="false">G164*(1+IF(H$3&lt;=$O$2,$D164,$D164-($D164-$I$157)*MIN(H$3-$O$2,$Q$2)/$Q$2))</f>
        <v>2490.62376979738</v>
      </c>
      <c r="I164" s="15" t="n">
        <f aca="false">H164*(1+IF(I$3&lt;=$O$2,$D164,$D164-($D164-$I$157)*MIN(I$3-$O$2,$Q$2)/$Q$2))</f>
        <v>2471.16577159584</v>
      </c>
      <c r="J164" s="15" t="n">
        <f aca="false">I164*(1+IF(J$3&lt;=$O$2,$D164,$D164-($D164-$I$157)*MIN(J$3-$O$2,$Q$2)/$Q$2))</f>
        <v>2474.65011533379</v>
      </c>
      <c r="K164" s="15" t="n">
        <f aca="false">J164*(1+IF(K$3&lt;=$O$2,$D164,$D164-($D164-$I$157)*MIN(K$3-$O$2,$Q$2)/$Q$2))</f>
        <v>2500.96183268508</v>
      </c>
      <c r="L164" s="15" t="n">
        <f aca="false">K164*(1+IF(L$3&lt;=$O$2,$D164,$D164-($D164-$I$157)*MIN(L$3-$O$2,$Q$2)/$Q$2))</f>
        <v>2550.61842987304</v>
      </c>
      <c r="M164" s="15" t="n">
        <f aca="false">L164*(1+IF(M$3&lt;=$O$2,$D164,$D164-($D164-$I$157)*MIN(M$3-$O$2,$Q$2)/$Q$2))</f>
        <v>2624.78403726768</v>
      </c>
      <c r="N164" s="15" t="n">
        <f aca="false">M164*(1+IF(N$3&lt;=$O$2,$D164,$D164-($D164-$I$157)*MIN(N$3-$O$2,$Q$2)/$Q$2))</f>
        <v>2725.31326589503</v>
      </c>
      <c r="O164" s="15" t="n">
        <f aca="false">SUMPRODUCT(E164:N164,1/(1+$F$157)^$E$3:$N$3)*$E$2</f>
        <v>3333.89146691436</v>
      </c>
      <c r="P164" s="15" t="n">
        <f aca="false">N164*$E$2*(1+$I$157)/($F$157-$I$157)/(1+$F$157)^$N$3</f>
        <v>5490.09348390568</v>
      </c>
      <c r="Q164" s="15" t="n">
        <f aca="false">O164+P164</f>
        <v>8823.98495082004</v>
      </c>
      <c r="R164" s="15" t="n">
        <f aca="false">Q164-$G$2+$I$2</f>
        <v>7447.78495082004</v>
      </c>
      <c r="S164" s="42" t="n">
        <f aca="false">R164/$K$2</f>
        <v>198.554650781659</v>
      </c>
      <c r="T164" s="43" t="n">
        <f aca="false">S164-$M$2</f>
        <v>-5.92415487016683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-0.0078125</v>
      </c>
      <c r="C165" s="25" t="n">
        <f aca="false">IF(T164&gt;0,D164,C164)</f>
        <v>0.015625</v>
      </c>
      <c r="D165" s="41" t="n">
        <f aca="false">(B165+C165)/2</f>
        <v>0.00390625</v>
      </c>
      <c r="E165" s="15" t="n">
        <f aca="false">$C$2*(1+IF(E$3&lt;=$O$2,$D165,$D165-($D165-$I$157)*MIN(E$3-$O$2,$Q$2)/$Q$2))</f>
        <v>2580.0390625</v>
      </c>
      <c r="F165" s="15" t="n">
        <f aca="false">E165*(1+IF(F$3&lt;=$O$2,$D165,$D165-($D165-$I$157)*MIN(F$3-$O$2,$Q$2)/$Q$2))</f>
        <v>2590.11734008789</v>
      </c>
      <c r="G165" s="15" t="n">
        <f aca="false">F165*(1+IF(G$3&lt;=$O$2,$D165,$D165-($D165-$I$157)*MIN(G$3-$O$2,$Q$2)/$Q$2))</f>
        <v>2600.23498594761</v>
      </c>
      <c r="H165" s="15" t="n">
        <f aca="false">G165*(1+IF(H$3&lt;=$O$2,$D165,$D165-($D165-$I$157)*MIN(H$3-$O$2,$Q$2)/$Q$2))</f>
        <v>2610.39215386147</v>
      </c>
      <c r="I165" s="15" t="n">
        <f aca="false">H165*(1+IF(I$3&lt;=$O$2,$D165,$D165-($D165-$I$157)*MIN(I$3-$O$2,$Q$2)/$Q$2))</f>
        <v>2620.58899821249</v>
      </c>
      <c r="J165" s="15" t="n">
        <f aca="false">I165*(1+IF(J$3&lt;=$O$2,$D165,$D165-($D165-$I$157)*MIN(J$3-$O$2,$Q$2)/$Q$2))</f>
        <v>2648.85205055821</v>
      </c>
      <c r="K165" s="15" t="n">
        <f aca="false">J165*(1+IF(K$3&lt;=$O$2,$D165,$D165-($D165-$I$157)*MIN(K$3-$O$2,$Q$2)/$Q$2))</f>
        <v>2695.64071096626</v>
      </c>
      <c r="L165" s="15" t="n">
        <f aca="false">K165*(1+IF(L$3&lt;=$O$2,$D165,$D165-($D165-$I$157)*MIN(L$3-$O$2,$Q$2)/$Q$2))</f>
        <v>2761.79847311515</v>
      </c>
      <c r="M165" s="15" t="n">
        <f aca="false">L165*(1+IF(M$3&lt;=$O$2,$D165,$D165-($D165-$I$157)*MIN(M$3-$O$2,$Q$2)/$Q$2))</f>
        <v>2848.57763338852</v>
      </c>
      <c r="N165" s="15" t="n">
        <f aca="false">M165*(1+IF(N$3&lt;=$O$2,$D165,$D165-($D165-$I$157)*MIN(N$3-$O$2,$Q$2)/$Q$2))</f>
        <v>2957.6781567473</v>
      </c>
      <c r="O165" s="15" t="n">
        <f aca="false">SUMPRODUCT(E165:N165,1/(1+$F$157)^$E$3:$N$3)*$E$2</f>
        <v>3508.90409627821</v>
      </c>
      <c r="P165" s="15" t="n">
        <f aca="false">N165*$E$2*(1+$I$157)/($F$157-$I$157)/(1+$F$157)^$N$3</f>
        <v>5958.18828574768</v>
      </c>
      <c r="Q165" s="15" t="n">
        <f aca="false">O165+P165</f>
        <v>9467.09238202589</v>
      </c>
      <c r="R165" s="15" t="n">
        <f aca="false">Q165-$G$2+$I$2</f>
        <v>8090.89238202589</v>
      </c>
      <c r="S165" s="42" t="n">
        <f aca="false">R165/$K$2</f>
        <v>215.699610291279</v>
      </c>
      <c r="T165" s="43" t="n">
        <f aca="false">S165-$M$2</f>
        <v>11.2208046394532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-0.0078125</v>
      </c>
      <c r="C166" s="25" t="n">
        <f aca="false">IF(T165&gt;0,D165,C165)</f>
        <v>0.00390625</v>
      </c>
      <c r="D166" s="41" t="n">
        <f aca="false">(B166+C166)/2</f>
        <v>-0.001953125</v>
      </c>
      <c r="E166" s="15" t="n">
        <f aca="false">$C$2*(1+IF(E$3&lt;=$O$2,$D166,$D166-($D166-$I$157)*MIN(E$3-$O$2,$Q$2)/$Q$2))</f>
        <v>2564.98046875</v>
      </c>
      <c r="F166" s="15" t="n">
        <f aca="false">E166*(1+IF(F$3&lt;=$O$2,$D166,$D166-($D166-$I$157)*MIN(F$3-$O$2,$Q$2)/$Q$2))</f>
        <v>2559.97074127197</v>
      </c>
      <c r="G166" s="15" t="n">
        <f aca="false">F166*(1+IF(G$3&lt;=$O$2,$D166,$D166-($D166-$I$157)*MIN(G$3-$O$2,$Q$2)/$Q$2))</f>
        <v>2554.97079841793</v>
      </c>
      <c r="H166" s="15" t="n">
        <f aca="false">G166*(1+IF(H$3&lt;=$O$2,$D166,$D166-($D166-$I$157)*MIN(H$3-$O$2,$Q$2)/$Q$2))</f>
        <v>2549.98062107727</v>
      </c>
      <c r="I166" s="15" t="n">
        <f aca="false">H166*(1+IF(I$3&lt;=$O$2,$D166,$D166-($D166-$I$157)*MIN(I$3-$O$2,$Q$2)/$Q$2))</f>
        <v>2545.00019017672</v>
      </c>
      <c r="J166" s="15" t="n">
        <f aca="false">I166*(1+IF(J$3&lt;=$O$2,$D166,$D166-($D166-$I$157)*MIN(J$3-$O$2,$Q$2)/$Q$2))</f>
        <v>2560.51832883633</v>
      </c>
      <c r="K166" s="15" t="n">
        <f aca="false">J166*(1+IF(K$3&lt;=$O$2,$D166,$D166-($D166-$I$157)*MIN(K$3-$O$2,$Q$2)/$Q$2))</f>
        <v>2596.74486221749</v>
      </c>
      <c r="L166" s="15" t="n">
        <f aca="false">K166*(1+IF(L$3&lt;=$O$2,$D166,$D166-($D166-$I$157)*MIN(L$3-$O$2,$Q$2)/$Q$2))</f>
        <v>2654.38935222765</v>
      </c>
      <c r="M166" s="15" t="n">
        <f aca="false">L166*(1+IF(M$3&lt;=$O$2,$D166,$D166-($D166-$I$157)*MIN(M$3-$O$2,$Q$2)/$Q$2))</f>
        <v>2734.68297113919</v>
      </c>
      <c r="N166" s="15" t="n">
        <f aca="false">M166*(1+IF(N$3&lt;=$O$2,$D166,$D166-($D166-$I$157)*MIN(N$3-$O$2,$Q$2)/$Q$2))</f>
        <v>2839.42132893382</v>
      </c>
      <c r="O166" s="15" t="n">
        <f aca="false">SUMPRODUCT(E166:N166,1/(1+$F$157)^$E$3:$N$3)*$E$2</f>
        <v>3420.2521072401</v>
      </c>
      <c r="P166" s="15" t="n">
        <f aca="false">N166*$E$2*(1+$I$157)/($F$157-$I$157)/(1+$F$157)^$N$3</f>
        <v>5719.96207963375</v>
      </c>
      <c r="Q166" s="15" t="n">
        <f aca="false">O166+P166</f>
        <v>9140.21418687385</v>
      </c>
      <c r="R166" s="15" t="n">
        <f aca="false">Q166-$G$2+$I$2</f>
        <v>7764.01418687385</v>
      </c>
      <c r="S166" s="42" t="n">
        <f aca="false">R166/$K$2</f>
        <v>206.985182268031</v>
      </c>
      <c r="T166" s="43" t="n">
        <f aca="false">S166-$M$2</f>
        <v>2.50637661620499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-0.0078125</v>
      </c>
      <c r="C167" s="25" t="n">
        <f aca="false">IF(T166&gt;0,D166,C166)</f>
        <v>-0.001953125</v>
      </c>
      <c r="D167" s="41" t="n">
        <f aca="false">(B167+C167)/2</f>
        <v>-0.0048828125</v>
      </c>
      <c r="E167" s="15" t="n">
        <f aca="false">$C$2*(1+IF(E$3&lt;=$O$2,$D167,$D167-($D167-$I$157)*MIN(E$3-$O$2,$Q$2)/$Q$2))</f>
        <v>2557.451171875</v>
      </c>
      <c r="F167" s="15" t="n">
        <f aca="false">E167*(1+IF(F$3&lt;=$O$2,$D167,$D167-($D167-$I$157)*MIN(F$3-$O$2,$Q$2)/$Q$2))</f>
        <v>2544.96361732483</v>
      </c>
      <c r="G167" s="15" t="n">
        <f aca="false">F167*(1+IF(G$3&lt;=$O$2,$D167,$D167-($D167-$I$157)*MIN(G$3-$O$2,$Q$2)/$Q$2))</f>
        <v>2532.53703716211</v>
      </c>
      <c r="H167" s="15" t="n">
        <f aca="false">G167*(1+IF(H$3&lt;=$O$2,$D167,$D167-($D167-$I$157)*MIN(H$3-$O$2,$Q$2)/$Q$2))</f>
        <v>2520.17113366034</v>
      </c>
      <c r="I167" s="15" t="n">
        <f aca="false">H167*(1+IF(I$3&lt;=$O$2,$D167,$D167-($D167-$I$157)*MIN(I$3-$O$2,$Q$2)/$Q$2))</f>
        <v>2507.86561054677</v>
      </c>
      <c r="J167" s="15" t="n">
        <f aca="false">I167*(1+IF(J$3&lt;=$O$2,$D167,$D167-($D167-$I$157)*MIN(J$3-$O$2,$Q$2)/$Q$2))</f>
        <v>2517.27951108236</v>
      </c>
      <c r="K167" s="15" t="n">
        <f aca="false">J167*(1+IF(K$3&lt;=$O$2,$D167,$D167-($D167-$I$157)*MIN(K$3-$O$2,$Q$2)/$Q$2))</f>
        <v>2548.46939087451</v>
      </c>
      <c r="L167" s="15" t="n">
        <f aca="false">K167*(1+IF(L$3&lt;=$O$2,$D167,$D167-($D167-$I$157)*MIN(L$3-$O$2,$Q$2)/$Q$2))</f>
        <v>2602.05573819776</v>
      </c>
      <c r="M167" s="15" t="n">
        <f aca="false">L167*(1+IF(M$3&lt;=$O$2,$D167,$D167-($D167-$I$157)*MIN(M$3-$O$2,$Q$2)/$Q$2))</f>
        <v>2679.2416559593</v>
      </c>
      <c r="N167" s="15" t="n">
        <f aca="false">M167*(1+IF(N$3&lt;=$O$2,$D167,$D167-($D167-$I$157)*MIN(N$3-$O$2,$Q$2)/$Q$2))</f>
        <v>2781.85661138255</v>
      </c>
      <c r="O167" s="15" t="n">
        <f aca="false">SUMPRODUCT(E167:N167,1/(1+$F$157)^$E$3:$N$3)*$E$2</f>
        <v>3376.78891167009</v>
      </c>
      <c r="P167" s="15" t="n">
        <f aca="false">N167*$E$2*(1+$I$157)/($F$157-$I$157)/(1+$F$157)^$N$3</f>
        <v>5603.99901414472</v>
      </c>
      <c r="Q167" s="15" t="n">
        <f aca="false">O167+P167</f>
        <v>8980.78792581481</v>
      </c>
      <c r="R167" s="15" t="n">
        <f aca="false">Q167-$G$2+$I$2</f>
        <v>7604.58792581481</v>
      </c>
      <c r="S167" s="42" t="n">
        <f aca="false">R167/$K$2</f>
        <v>202.734948702075</v>
      </c>
      <c r="T167" s="43" t="n">
        <f aca="false">S167-$M$2</f>
        <v>-1.7438569497516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-0.0048828125</v>
      </c>
      <c r="C168" s="25" t="n">
        <f aca="false">IF(T167&gt;0,D167,C167)</f>
        <v>-0.001953125</v>
      </c>
      <c r="D168" s="41" t="n">
        <f aca="false">(B168+C168)/2</f>
        <v>-0.00341796875</v>
      </c>
      <c r="E168" s="15" t="n">
        <f aca="false">$C$2*(1+IF(E$3&lt;=$O$2,$D168,$D168-($D168-$I$157)*MIN(E$3-$O$2,$Q$2)/$Q$2))</f>
        <v>2561.2158203125</v>
      </c>
      <c r="F168" s="15" t="n">
        <f aca="false">E168*(1+IF(F$3&lt;=$O$2,$D168,$D168-($D168-$I$157)*MIN(F$3-$O$2,$Q$2)/$Q$2))</f>
        <v>2552.46166467667</v>
      </c>
      <c r="G168" s="15" t="n">
        <f aca="false">F168*(1+IF(G$3&lt;=$O$2,$D168,$D168-($D168-$I$157)*MIN(G$3-$O$2,$Q$2)/$Q$2))</f>
        <v>2543.73743047123</v>
      </c>
      <c r="H168" s="15" t="n">
        <f aca="false">G168*(1+IF(H$3&lt;=$O$2,$D168,$D168-($D168-$I$157)*MIN(H$3-$O$2,$Q$2)/$Q$2))</f>
        <v>2535.04301542567</v>
      </c>
      <c r="I168" s="15" t="n">
        <f aca="false">H168*(1+IF(I$3&lt;=$O$2,$D168,$D168-($D168-$I$157)*MIN(I$3-$O$2,$Q$2)/$Q$2))</f>
        <v>2526.37831761904</v>
      </c>
      <c r="J168" s="15" t="n">
        <f aca="false">I168*(1+IF(J$3&lt;=$O$2,$D168,$D168-($D168-$I$157)*MIN(J$3-$O$2,$Q$2)/$Q$2))</f>
        <v>2538.82230981976</v>
      </c>
      <c r="K168" s="15" t="n">
        <f aca="false">J168*(1+IF(K$3&lt;=$O$2,$D168,$D168-($D168-$I$157)*MIN(K$3-$O$2,$Q$2)/$Q$2))</f>
        <v>2572.51049841614</v>
      </c>
      <c r="L168" s="15" t="n">
        <f aca="false">K168*(1+IF(L$3&lt;=$O$2,$D168,$D168-($D168-$I$157)*MIN(L$3-$O$2,$Q$2)/$Q$2))</f>
        <v>2628.10968547269</v>
      </c>
      <c r="M168" s="15" t="n">
        <f aca="false">L168*(1+IF(M$3&lt;=$O$2,$D168,$D168-($D168-$I$157)*MIN(M$3-$O$2,$Q$2)/$Q$2))</f>
        <v>2706.83840688027</v>
      </c>
      <c r="N168" s="15" t="n">
        <f aca="false">M168*(1+IF(N$3&lt;=$O$2,$D168,$D168-($D168-$I$157)*MIN(N$3-$O$2,$Q$2)/$Q$2))</f>
        <v>2810.51031786379</v>
      </c>
      <c r="O168" s="15" t="n">
        <f aca="false">SUMPRODUCT(E168:N168,1/(1+$F$157)^$E$3:$N$3)*$E$2</f>
        <v>3398.44935070368</v>
      </c>
      <c r="P168" s="15" t="n">
        <f aca="false">N168*$E$2*(1+$I$157)/($F$157-$I$157)/(1+$F$157)^$N$3</f>
        <v>5661.72137920676</v>
      </c>
      <c r="Q168" s="15" t="n">
        <f aca="false">O168+P168</f>
        <v>9060.17072991044</v>
      </c>
      <c r="R168" s="15" t="n">
        <f aca="false">Q168-$G$2+$I$2</f>
        <v>7683.97072991044</v>
      </c>
      <c r="S168" s="42" t="n">
        <f aca="false">R168/$K$2</f>
        <v>204.851259128511</v>
      </c>
      <c r="T168" s="43" t="n">
        <f aca="false">S168-$M$2</f>
        <v>0.372453476684768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-0.0048828125</v>
      </c>
      <c r="C169" s="25" t="n">
        <f aca="false">IF(T168&gt;0,D168,C168)</f>
        <v>-0.00341796875</v>
      </c>
      <c r="D169" s="41" t="n">
        <f aca="false">(B169+C169)/2</f>
        <v>-0.004150390625</v>
      </c>
      <c r="E169" s="15" t="n">
        <f aca="false">$C$2*(1+IF(E$3&lt;=$O$2,$D169,$D169-($D169-$I$157)*MIN(E$3-$O$2,$Q$2)/$Q$2))</f>
        <v>2559.33349609375</v>
      </c>
      <c r="F169" s="15" t="n">
        <f aca="false">E169*(1+IF(F$3&lt;=$O$2,$D169,$D169-($D169-$I$157)*MIN(F$3-$O$2,$Q$2)/$Q$2))</f>
        <v>2548.71126234531</v>
      </c>
      <c r="G169" s="15" t="n">
        <f aca="false">F169*(1+IF(G$3&lt;=$O$2,$D169,$D169-($D169-$I$157)*MIN(G$3-$O$2,$Q$2)/$Q$2))</f>
        <v>2538.13311501624</v>
      </c>
      <c r="H169" s="15" t="n">
        <f aca="false">G169*(1+IF(H$3&lt;=$O$2,$D169,$D169-($D169-$I$157)*MIN(H$3-$O$2,$Q$2)/$Q$2))</f>
        <v>2527.59887113068</v>
      </c>
      <c r="I169" s="15" t="n">
        <f aca="false">H169*(1+IF(I$3&lt;=$O$2,$D169,$D169-($D169-$I$157)*MIN(I$3-$O$2,$Q$2)/$Q$2))</f>
        <v>2517.10834847218</v>
      </c>
      <c r="J169" s="15" t="n">
        <f aca="false">I169*(1+IF(J$3&lt;=$O$2,$D169,$D169-($D169-$I$157)*MIN(J$3-$O$2,$Q$2)/$Q$2))</f>
        <v>2528.03181210819</v>
      </c>
      <c r="K169" s="15" t="n">
        <f aca="false">J169*(1+IF(K$3&lt;=$O$2,$D169,$D169-($D169-$I$157)*MIN(K$3-$O$2,$Q$2)/$Q$2))</f>
        <v>2560.46586775008</v>
      </c>
      <c r="L169" s="15" t="n">
        <f aca="false">K169*(1+IF(L$3&lt;=$O$2,$D169,$D169-($D169-$I$157)*MIN(L$3-$O$2,$Q$2)/$Q$2))</f>
        <v>2615.05459997772</v>
      </c>
      <c r="M169" s="15" t="n">
        <f aca="false">L169*(1+IF(M$3&lt;=$O$2,$D169,$D169-($D169-$I$157)*MIN(M$3-$O$2,$Q$2)/$Q$2))</f>
        <v>2693.00917330191</v>
      </c>
      <c r="N169" s="15" t="n">
        <f aca="false">M169*(1+IF(N$3&lt;=$O$2,$D169,$D169-($D169-$I$157)*MIN(N$3-$O$2,$Q$2)/$Q$2))</f>
        <v>2796.15142463938</v>
      </c>
      <c r="O169" s="15" t="n">
        <f aca="false">SUMPRODUCT(E169:N169,1/(1+$F$157)^$E$3:$N$3)*$E$2</f>
        <v>3387.60139667295</v>
      </c>
      <c r="P169" s="15" t="n">
        <f aca="false">N169*$E$2*(1+$I$157)/($F$157-$I$157)/(1+$F$157)^$N$3</f>
        <v>5632.79565271728</v>
      </c>
      <c r="Q169" s="15" t="n">
        <f aca="false">O169+P169</f>
        <v>9020.39704939023</v>
      </c>
      <c r="R169" s="15" t="n">
        <f aca="false">Q169-$G$2+$I$2</f>
        <v>7644.19704939023</v>
      </c>
      <c r="S169" s="42" t="n">
        <f aca="false">R169/$K$2</f>
        <v>203.790910407631</v>
      </c>
      <c r="T169" s="43" t="n">
        <f aca="false">S169-$M$2</f>
        <v>-0.687895244195289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-0.004150390625</v>
      </c>
      <c r="C170" s="25" t="n">
        <f aca="false">IF(T169&gt;0,D169,C169)</f>
        <v>-0.00341796875</v>
      </c>
      <c r="D170" s="41" t="n">
        <f aca="false">(B170+C170)/2</f>
        <v>-0.0037841796875</v>
      </c>
      <c r="E170" s="15" t="n">
        <f aca="false">$C$2*(1+IF(E$3&lt;=$O$2,$D170,$D170-($D170-$I$157)*MIN(E$3-$O$2,$Q$2)/$Q$2))</f>
        <v>2560.27465820313</v>
      </c>
      <c r="F170" s="15" t="n">
        <f aca="false">E170*(1+IF(F$3&lt;=$O$2,$D170,$D170-($D170-$I$157)*MIN(F$3-$O$2,$Q$2)/$Q$2))</f>
        <v>2550.58611884713</v>
      </c>
      <c r="G170" s="15" t="n">
        <f aca="false">F170*(1+IF(G$3&lt;=$O$2,$D170,$D170-($D170-$I$157)*MIN(G$3-$O$2,$Q$2)/$Q$2))</f>
        <v>2540.93424266497</v>
      </c>
      <c r="H170" s="15" t="n">
        <f aca="false">G170*(1+IF(H$3&lt;=$O$2,$D170,$D170-($D170-$I$157)*MIN(H$3-$O$2,$Q$2)/$Q$2))</f>
        <v>2531.31889091661</v>
      </c>
      <c r="I170" s="15" t="n">
        <f aca="false">H170*(1+IF(I$3&lt;=$O$2,$D170,$D170-($D170-$I$157)*MIN(I$3-$O$2,$Q$2)/$Q$2))</f>
        <v>2521.73992538701</v>
      </c>
      <c r="J170" s="15" t="n">
        <f aca="false">I170*(1+IF(J$3&lt;=$O$2,$D170,$D170-($D170-$I$157)*MIN(J$3-$O$2,$Q$2)/$Q$2))</f>
        <v>2533.42227961323</v>
      </c>
      <c r="K170" s="15" t="n">
        <f aca="false">J170*(1+IF(K$3&lt;=$O$2,$D170,$D170-($D170-$I$157)*MIN(K$3-$O$2,$Q$2)/$Q$2))</f>
        <v>2566.48215385868</v>
      </c>
      <c r="L170" s="15" t="n">
        <f aca="false">K170*(1+IF(L$3&lt;=$O$2,$D170,$D170-($D170-$I$157)*MIN(L$3-$O$2,$Q$2)/$Q$2))</f>
        <v>2621.57510190037</v>
      </c>
      <c r="M170" s="15" t="n">
        <f aca="false">L170*(1+IF(M$3&lt;=$O$2,$D170,$D170-($D170-$I$157)*MIN(M$3-$O$2,$Q$2)/$Q$2))</f>
        <v>2699.91606077263</v>
      </c>
      <c r="N170" s="15" t="n">
        <f aca="false">M170*(1+IF(N$3&lt;=$O$2,$D170,$D170-($D170-$I$157)*MIN(N$3-$O$2,$Q$2)/$Q$2))</f>
        <v>2803.32284590022</v>
      </c>
      <c r="O170" s="15" t="n">
        <f aca="false">SUMPRODUCT(E170:N170,1/(1+$F$157)^$E$3:$N$3)*$E$2</f>
        <v>3393.02093317478</v>
      </c>
      <c r="P170" s="15" t="n">
        <f aca="false">N170*$E$2*(1+$I$157)/($F$157-$I$157)/(1+$F$157)^$N$3</f>
        <v>5647.2423490392</v>
      </c>
      <c r="Q170" s="15" t="n">
        <f aca="false">O170+P170</f>
        <v>9040.26328221397</v>
      </c>
      <c r="R170" s="15" t="n">
        <f aca="false">Q170-$G$2+$I$2</f>
        <v>7664.06328221397</v>
      </c>
      <c r="S170" s="42" t="n">
        <f aca="false">R170/$K$2</f>
        <v>204.320535382937</v>
      </c>
      <c r="T170" s="43" t="n">
        <f aca="false">S170-$M$2</f>
        <v>-0.15827026888897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-0.0037841796875</v>
      </c>
      <c r="C171" s="25" t="n">
        <f aca="false">IF(T170&gt;0,D170,C170)</f>
        <v>-0.00341796875</v>
      </c>
      <c r="D171" s="41" t="n">
        <f aca="false">(B171+C171)/2</f>
        <v>-0.00360107421875</v>
      </c>
      <c r="E171" s="15" t="n">
        <f aca="false">$C$2*(1+IF(E$3&lt;=$O$2,$D171,$D171-($D171-$I$157)*MIN(E$3-$O$2,$Q$2)/$Q$2))</f>
        <v>2560.74523925781</v>
      </c>
      <c r="F171" s="15" t="n">
        <f aca="false">E171*(1+IF(F$3&lt;=$O$2,$D171,$D171-($D171-$I$157)*MIN(F$3-$O$2,$Q$2)/$Q$2))</f>
        <v>2551.52380559593</v>
      </c>
      <c r="G171" s="15" t="n">
        <f aca="false">F171*(1+IF(G$3&lt;=$O$2,$D171,$D171-($D171-$I$157)*MIN(G$3-$O$2,$Q$2)/$Q$2))</f>
        <v>2542.33557900108</v>
      </c>
      <c r="H171" s="15" t="n">
        <f aca="false">G171*(1+IF(H$3&lt;=$O$2,$D171,$D171-($D171-$I$157)*MIN(H$3-$O$2,$Q$2)/$Q$2))</f>
        <v>2533.18043989212</v>
      </c>
      <c r="I171" s="15" t="n">
        <f aca="false">H171*(1+IF(I$3&lt;=$O$2,$D171,$D171-($D171-$I$157)*MIN(I$3-$O$2,$Q$2)/$Q$2))</f>
        <v>2524.05826911859</v>
      </c>
      <c r="J171" s="15" t="n">
        <f aca="false">I171*(1+IF(J$3&lt;=$O$2,$D171,$D171-($D171-$I$157)*MIN(J$3-$O$2,$Q$2)/$Q$2))</f>
        <v>2536.1210985324</v>
      </c>
      <c r="K171" s="15" t="n">
        <f aca="false">J171*(1+IF(K$3&lt;=$O$2,$D171,$D171-($D171-$I$157)*MIN(K$3-$O$2,$Q$2)/$Q$2))</f>
        <v>2569.49481757978</v>
      </c>
      <c r="L171" s="15" t="n">
        <f aca="false">K171*(1+IF(L$3&lt;=$O$2,$D171,$D171-($D171-$I$157)*MIN(L$3-$O$2,$Q$2)/$Q$2))</f>
        <v>2624.84063187065</v>
      </c>
      <c r="M171" s="15" t="n">
        <f aca="false">L171*(1+IF(M$3&lt;=$O$2,$D171,$D171-($D171-$I$157)*MIN(M$3-$O$2,$Q$2)/$Q$2))</f>
        <v>2703.37529964561</v>
      </c>
      <c r="N171" s="15" t="n">
        <f aca="false">M171*(1+IF(N$3&lt;=$O$2,$D171,$D171-($D171-$I$157)*MIN(N$3-$O$2,$Q$2)/$Q$2))</f>
        <v>2806.91457362204</v>
      </c>
      <c r="O171" s="15" t="n">
        <f aca="false">SUMPRODUCT(E171:N171,1/(1+$F$157)^$E$3:$N$3)*$E$2</f>
        <v>3395.73403094919</v>
      </c>
      <c r="P171" s="15" t="n">
        <f aca="false">N171*$E$2*(1+$I$157)/($F$157-$I$157)/(1+$F$157)^$N$3</f>
        <v>5654.4778185202</v>
      </c>
      <c r="Q171" s="15" t="n">
        <f aca="false">O171+P171</f>
        <v>9050.21184946939</v>
      </c>
      <c r="R171" s="15" t="n">
        <f aca="false">Q171-$G$2+$I$2</f>
        <v>7674.01184946939</v>
      </c>
      <c r="S171" s="42" t="n">
        <f aca="false">R171/$K$2</f>
        <v>204.585759783241</v>
      </c>
      <c r="T171" s="43" t="n">
        <f aca="false">S171-$M$2</f>
        <v>0.106954131415336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-0.0037841796875</v>
      </c>
      <c r="C172" s="25" t="n">
        <f aca="false">IF(T171&gt;0,D171,C171)</f>
        <v>-0.00360107421875</v>
      </c>
      <c r="D172" s="41" t="n">
        <f aca="false">(B172+C172)/2</f>
        <v>-0.003692626953125</v>
      </c>
      <c r="E172" s="15" t="n">
        <f aca="false">$C$2*(1+IF(E$3&lt;=$O$2,$D172,$D172-($D172-$I$157)*MIN(E$3-$O$2,$Q$2)/$Q$2))</f>
        <v>2560.50994873047</v>
      </c>
      <c r="F172" s="15" t="n">
        <f aca="false">E172*(1+IF(F$3&lt;=$O$2,$D172,$D172-($D172-$I$157)*MIN(F$3-$O$2,$Q$2)/$Q$2))</f>
        <v>2551.05494068004</v>
      </c>
      <c r="G172" s="15" t="n">
        <f aca="false">F172*(1+IF(G$3&lt;=$O$2,$D172,$D172-($D172-$I$157)*MIN(G$3-$O$2,$Q$2)/$Q$2))</f>
        <v>2541.63484644718</v>
      </c>
      <c r="H172" s="15" t="n">
        <f aca="false">G172*(1+IF(H$3&lt;=$O$2,$D172,$D172-($D172-$I$157)*MIN(H$3-$O$2,$Q$2)/$Q$2))</f>
        <v>2532.24953710819</v>
      </c>
      <c r="I172" s="15" t="n">
        <f aca="false">H172*(1+IF(I$3&lt;=$O$2,$D172,$D172-($D172-$I$157)*MIN(I$3-$O$2,$Q$2)/$Q$2))</f>
        <v>2522.89888421543</v>
      </c>
      <c r="J172" s="15" t="n">
        <f aca="false">I172*(1+IF(J$3&lt;=$O$2,$D172,$D172-($D172-$I$157)*MIN(J$3-$O$2,$Q$2)/$Q$2))</f>
        <v>2534.77139013263</v>
      </c>
      <c r="K172" s="15" t="n">
        <f aca="false">J172*(1+IF(K$3&lt;=$O$2,$D172,$D172-($D172-$I$157)*MIN(K$3-$O$2,$Q$2)/$Q$2))</f>
        <v>2567.98810873633</v>
      </c>
      <c r="L172" s="15" t="n">
        <f aca="false">K172*(1+IF(L$3&lt;=$O$2,$D172,$D172-($D172-$I$157)*MIN(L$3-$O$2,$Q$2)/$Q$2))</f>
        <v>2623.20742663284</v>
      </c>
      <c r="M172" s="15" t="n">
        <f aca="false">L172*(1+IF(M$3&lt;=$O$2,$D172,$D172-($D172-$I$157)*MIN(M$3-$O$2,$Q$2)/$Q$2))</f>
        <v>2701.64519689543</v>
      </c>
      <c r="N172" s="15" t="n">
        <f aca="false">M172*(1+IF(N$3&lt;=$O$2,$D172,$D172-($D172-$I$157)*MIN(N$3-$O$2,$Q$2)/$Q$2))</f>
        <v>2805.11820793652</v>
      </c>
      <c r="O172" s="15" t="n">
        <f aca="false">SUMPRODUCT(E172:N172,1/(1+$F$157)^$E$3:$N$3)*$E$2</f>
        <v>3394.37720442223</v>
      </c>
      <c r="P172" s="15" t="n">
        <f aca="false">N172*$E$2*(1+$I$157)/($F$157-$I$157)/(1+$F$157)^$N$3</f>
        <v>5650.85907286325</v>
      </c>
      <c r="Q172" s="15" t="n">
        <f aca="false">O172+P172</f>
        <v>9045.23627728548</v>
      </c>
      <c r="R172" s="15" t="n">
        <f aca="false">Q172-$G$2+$I$2</f>
        <v>7669.03627728548</v>
      </c>
      <c r="S172" s="42" t="n">
        <f aca="false">R172/$K$2</f>
        <v>204.453113230751</v>
      </c>
      <c r="T172" s="43" t="n">
        <f aca="false">S172-$M$2</f>
        <v>-0.025692421074865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-0.003692626953125</v>
      </c>
      <c r="C173" s="25" t="n">
        <f aca="false">IF(T172&gt;0,D172,C172)</f>
        <v>-0.00360107421875</v>
      </c>
      <c r="D173" s="41" t="n">
        <f aca="false">(B173+C173)/2</f>
        <v>-0.0036468505859375</v>
      </c>
      <c r="E173" s="15" t="n">
        <f aca="false">$C$2*(1+IF(E$3&lt;=$O$2,$D173,$D173-($D173-$I$157)*MIN(E$3-$O$2,$Q$2)/$Q$2))</f>
        <v>2560.62759399414</v>
      </c>
      <c r="F173" s="15" t="n">
        <f aca="false">E173*(1+IF(F$3&lt;=$O$2,$D173,$D173-($D173-$I$157)*MIN(F$3-$O$2,$Q$2)/$Q$2))</f>
        <v>2551.28936775262</v>
      </c>
      <c r="G173" s="15" t="n">
        <f aca="false">F173*(1+IF(G$3&lt;=$O$2,$D173,$D173-($D173-$I$157)*MIN(G$3-$O$2,$Q$2)/$Q$2))</f>
        <v>2541.98519662693</v>
      </c>
      <c r="H173" s="15" t="n">
        <f aca="false">G173*(1+IF(H$3&lt;=$O$2,$D173,$D173-($D173-$I$157)*MIN(H$3-$O$2,$Q$2)/$Q$2))</f>
        <v>2532.71495642317</v>
      </c>
      <c r="I173" s="15" t="n">
        <f aca="false">H173*(1+IF(I$3&lt;=$O$2,$D173,$D173-($D173-$I$157)*MIN(I$3-$O$2,$Q$2)/$Q$2))</f>
        <v>2523.47852340032</v>
      </c>
      <c r="J173" s="15" t="n">
        <f aca="false">I173*(1+IF(J$3&lt;=$O$2,$D173,$D173-($D173-$I$157)*MIN(J$3-$O$2,$Q$2)/$Q$2))</f>
        <v>2535.44616958424</v>
      </c>
      <c r="K173" s="15" t="n">
        <f aca="false">J173*(1+IF(K$3&lt;=$O$2,$D173,$D173-($D173-$I$157)*MIN(K$3-$O$2,$Q$2)/$Q$2))</f>
        <v>2568.74136889277</v>
      </c>
      <c r="L173" s="15" t="n">
        <f aca="false">K173*(1+IF(L$3&lt;=$O$2,$D173,$D173-($D173-$I$157)*MIN(L$3-$O$2,$Q$2)/$Q$2))</f>
        <v>2624.02391916342</v>
      </c>
      <c r="M173" s="15" t="n">
        <f aca="false">L173*(1+IF(M$3&lt;=$O$2,$D173,$D173-($D173-$I$157)*MIN(M$3-$O$2,$Q$2)/$Q$2))</f>
        <v>2702.51012741317</v>
      </c>
      <c r="N173" s="15" t="n">
        <f aca="false">M173*(1+IF(N$3&lt;=$O$2,$D173,$D173-($D173-$I$157)*MIN(N$3-$O$2,$Q$2)/$Q$2))</f>
        <v>2806.01626529309</v>
      </c>
      <c r="O173" s="15" t="n">
        <f aca="false">SUMPRODUCT(E173:N173,1/(1+$F$157)^$E$3:$N$3)*$E$2</f>
        <v>3395.0555482623</v>
      </c>
      <c r="P173" s="15" t="n">
        <f aca="false">N173*$E$2*(1+$I$157)/($F$157-$I$157)/(1+$F$157)^$N$3</f>
        <v>5652.6681929021</v>
      </c>
      <c r="Q173" s="15" t="n">
        <f aca="false">O173+P173</f>
        <v>9047.7237411644</v>
      </c>
      <c r="R173" s="15" t="n">
        <f aca="false">Q173-$G$2+$I$2</f>
        <v>7671.5237411644</v>
      </c>
      <c r="S173" s="42" t="n">
        <f aca="false">R173/$K$2</f>
        <v>204.519427916939</v>
      </c>
      <c r="T173" s="43" t="n">
        <f aca="false">S173-$M$2</f>
        <v>0.0406222651133703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-0.003692626953125</v>
      </c>
      <c r="C174" s="25" t="n">
        <f aca="false">IF(T173&gt;0,D173,C173)</f>
        <v>-0.0036468505859375</v>
      </c>
      <c r="D174" s="41" t="n">
        <f aca="false">(B174+C174)/2</f>
        <v>-0.00366973876953125</v>
      </c>
      <c r="E174" s="15" t="n">
        <f aca="false">$C$2*(1+IF(E$3&lt;=$O$2,$D174,$D174-($D174-$I$157)*MIN(E$3-$O$2,$Q$2)/$Q$2))</f>
        <v>2560.5687713623</v>
      </c>
      <c r="F174" s="15" t="n">
        <f aca="false">E174*(1+IF(F$3&lt;=$O$2,$D174,$D174-($D174-$I$157)*MIN(F$3-$O$2,$Q$2)/$Q$2))</f>
        <v>2551.17215286999</v>
      </c>
      <c r="G174" s="15" t="n">
        <f aca="false">F174*(1+IF(G$3&lt;=$O$2,$D174,$D174-($D174-$I$157)*MIN(G$3-$O$2,$Q$2)/$Q$2))</f>
        <v>2541.81001751285</v>
      </c>
      <c r="H174" s="15" t="n">
        <f aca="false">G174*(1+IF(H$3&lt;=$O$2,$D174,$D174-($D174-$I$157)*MIN(H$3-$O$2,$Q$2)/$Q$2))</f>
        <v>2532.4822387468</v>
      </c>
      <c r="I174" s="15" t="n">
        <f aca="false">H174*(1+IF(I$3&lt;=$O$2,$D174,$D174-($D174-$I$157)*MIN(I$3-$O$2,$Q$2)/$Q$2))</f>
        <v>2523.18869049212</v>
      </c>
      <c r="J174" s="15" t="n">
        <f aca="false">I174*(1+IF(J$3&lt;=$O$2,$D174,$D174-($D174-$I$157)*MIN(J$3-$O$2,$Q$2)/$Q$2))</f>
        <v>2535.10876117302</v>
      </c>
      <c r="K174" s="15" t="n">
        <f aca="false">J174*(1+IF(K$3&lt;=$O$2,$D174,$D174-($D174-$I$157)*MIN(K$3-$O$2,$Q$2)/$Q$2))</f>
        <v>2568.36471525068</v>
      </c>
      <c r="L174" s="15" t="n">
        <f aca="false">K174*(1+IF(L$3&lt;=$O$2,$D174,$D174-($D174-$I$157)*MIN(L$3-$O$2,$Q$2)/$Q$2))</f>
        <v>2623.6156453792</v>
      </c>
      <c r="M174" s="15" t="n">
        <f aca="false">L174*(1+IF(M$3&lt;=$O$2,$D174,$D174-($D174-$I$157)*MIN(M$3-$O$2,$Q$2)/$Q$2))</f>
        <v>2702.07763194357</v>
      </c>
      <c r="N174" s="15" t="n">
        <f aca="false">M174*(1+IF(N$3&lt;=$O$2,$D174,$D174-($D174-$I$157)*MIN(N$3-$O$2,$Q$2)/$Q$2))</f>
        <v>2805.56720524701</v>
      </c>
      <c r="O174" s="15" t="n">
        <f aca="false">SUMPRODUCT(E174:N174,1/(1+$F$157)^$E$3:$N$3)*$E$2</f>
        <v>3394.7163589881</v>
      </c>
      <c r="P174" s="15" t="n">
        <f aca="false">N174*$E$2*(1+$I$157)/($F$157-$I$157)/(1+$F$157)^$N$3</f>
        <v>5651.76356969283</v>
      </c>
      <c r="Q174" s="15" t="n">
        <f aca="false">O174+P174</f>
        <v>9046.47992868093</v>
      </c>
      <c r="R174" s="15" t="n">
        <f aca="false">Q174-$G$2+$I$2</f>
        <v>7670.27992868093</v>
      </c>
      <c r="S174" s="42" t="n">
        <f aca="false">R174/$K$2</f>
        <v>204.486268426578</v>
      </c>
      <c r="T174" s="43" t="n">
        <f aca="false">S174-$M$2</f>
        <v>0.00746277475158763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-0.003692626953125</v>
      </c>
      <c r="C175" s="25" t="n">
        <f aca="false">IF(T174&gt;0,D174,C174)</f>
        <v>-0.00366973876953125</v>
      </c>
      <c r="D175" s="41" t="n">
        <f aca="false">(B175+C175)/2</f>
        <v>-0.00368118286132813</v>
      </c>
      <c r="E175" s="15" t="n">
        <f aca="false">$C$2*(1+IF(E$3&lt;=$O$2,$D175,$D175-($D175-$I$157)*MIN(E$3-$O$2,$Q$2)/$Q$2))</f>
        <v>2560.53936004639</v>
      </c>
      <c r="F175" s="15" t="n">
        <f aca="false">E175*(1+IF(F$3&lt;=$O$2,$D175,$D175-($D175-$I$157)*MIN(F$3-$O$2,$Q$2)/$Q$2))</f>
        <v>2551.11354643843</v>
      </c>
      <c r="G175" s="15" t="n">
        <f aca="false">F175*(1+IF(G$3&lt;=$O$2,$D175,$D175-($D175-$I$157)*MIN(G$3-$O$2,$Q$2)/$Q$2))</f>
        <v>2541.72243097398</v>
      </c>
      <c r="H175" s="15" t="n">
        <f aca="false">G175*(1+IF(H$3&lt;=$O$2,$D175,$D175-($D175-$I$157)*MIN(H$3-$O$2,$Q$2)/$Q$2))</f>
        <v>2532.36588592282</v>
      </c>
      <c r="I175" s="15" t="n">
        <f aca="false">H175*(1+IF(I$3&lt;=$O$2,$D175,$D175-($D175-$I$157)*MIN(I$3-$O$2,$Q$2)/$Q$2))</f>
        <v>2523.04378402495</v>
      </c>
      <c r="J175" s="15" t="n">
        <f aca="false">I175*(1+IF(J$3&lt;=$O$2,$D175,$D175-($D175-$I$157)*MIN(J$3-$O$2,$Q$2)/$Q$2))</f>
        <v>2534.94007098168</v>
      </c>
      <c r="K175" s="15" t="n">
        <f aca="false">J175*(1+IF(K$3&lt;=$O$2,$D175,$D175-($D175-$I$157)*MIN(K$3-$O$2,$Q$2)/$Q$2))</f>
        <v>2568.17640610284</v>
      </c>
      <c r="L175" s="15" t="n">
        <f aca="false">K175*(1+IF(L$3&lt;=$O$2,$D175,$D175-($D175-$I$157)*MIN(L$3-$O$2,$Q$2)/$Q$2))</f>
        <v>2623.41152912668</v>
      </c>
      <c r="M175" s="15" t="n">
        <f aca="false">L175*(1+IF(M$3&lt;=$O$2,$D175,$D175-($D175-$I$157)*MIN(M$3-$O$2,$Q$2)/$Q$2))</f>
        <v>2701.86140686727</v>
      </c>
      <c r="N175" s="15" t="n">
        <f aca="false">M175*(1+IF(N$3&lt;=$O$2,$D175,$D175-($D175-$I$157)*MIN(N$3-$O$2,$Q$2)/$Q$2))</f>
        <v>2805.34269875029</v>
      </c>
      <c r="O175" s="15" t="n">
        <f aca="false">SUMPRODUCT(E175:N175,1/(1+$F$157)^$E$3:$N$3)*$E$2</f>
        <v>3394.54677736683</v>
      </c>
      <c r="P175" s="15" t="n">
        <f aca="false">N175*$E$2*(1+$I$157)/($F$157-$I$157)/(1+$F$157)^$N$3</f>
        <v>5651.31130548153</v>
      </c>
      <c r="Q175" s="15" t="n">
        <f aca="false">O175+P175</f>
        <v>9045.85808284836</v>
      </c>
      <c r="R175" s="15" t="n">
        <f aca="false">Q175-$G$2+$I$2</f>
        <v>7669.65808284836</v>
      </c>
      <c r="S175" s="42" t="n">
        <f aca="false">R175/$K$2</f>
        <v>204.469690291878</v>
      </c>
      <c r="T175" s="43" t="n">
        <f aca="false">S175-$M$2</f>
        <v>-0.00911535994771384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-0.00368118286132813</v>
      </c>
      <c r="C176" s="25" t="n">
        <f aca="false">IF(T175&gt;0,D175,C175)</f>
        <v>-0.00366973876953125</v>
      </c>
      <c r="D176" s="41" t="n">
        <f aca="false">(B176+C176)/2</f>
        <v>-0.00367546081542969</v>
      </c>
      <c r="E176" s="15" t="n">
        <f aca="false">$C$2*(1+IF(E$3&lt;=$O$2,$D176,$D176-($D176-$I$157)*MIN(E$3-$O$2,$Q$2)/$Q$2))</f>
        <v>2560.55406570435</v>
      </c>
      <c r="F176" s="15" t="n">
        <f aca="false">E176*(1+IF(F$3&lt;=$O$2,$D176,$D176-($D176-$I$157)*MIN(F$3-$O$2,$Q$2)/$Q$2))</f>
        <v>2551.14284957006</v>
      </c>
      <c r="G176" s="15" t="n">
        <f aca="false">F176*(1+IF(G$3&lt;=$O$2,$D176,$D176-($D176-$I$157)*MIN(G$3-$O$2,$Q$2)/$Q$2))</f>
        <v>2541.7662239919</v>
      </c>
      <c r="H176" s="15" t="n">
        <f aca="false">G176*(1+IF(H$3&lt;=$O$2,$D176,$D176-($D176-$I$157)*MIN(H$3-$O$2,$Q$2)/$Q$2))</f>
        <v>2532.42406183364</v>
      </c>
      <c r="I176" s="15" t="n">
        <f aca="false">H176*(1+IF(I$3&lt;=$O$2,$D176,$D176-($D176-$I$157)*MIN(I$3-$O$2,$Q$2)/$Q$2))</f>
        <v>2523.11623642632</v>
      </c>
      <c r="J176" s="15" t="n">
        <f aca="false">I176*(1+IF(J$3&lt;=$O$2,$D176,$D176-($D176-$I$157)*MIN(J$3-$O$2,$Q$2)/$Q$2))</f>
        <v>2535.02441490953</v>
      </c>
      <c r="K176" s="15" t="n">
        <f aca="false">J176*(1+IF(K$3&lt;=$O$2,$D176,$D176-($D176-$I$157)*MIN(K$3-$O$2,$Q$2)/$Q$2))</f>
        <v>2568.27055920405</v>
      </c>
      <c r="L176" s="15" t="n">
        <f aca="false">K176*(1+IF(L$3&lt;=$O$2,$D176,$D176-($D176-$I$157)*MIN(L$3-$O$2,$Q$2)/$Q$2))</f>
        <v>2623.51358553305</v>
      </c>
      <c r="M176" s="15" t="n">
        <f aca="false">L176*(1+IF(M$3&lt;=$O$2,$D176,$D176-($D176-$I$157)*MIN(M$3-$O$2,$Q$2)/$Q$2))</f>
        <v>2701.96951751731</v>
      </c>
      <c r="N176" s="15" t="n">
        <f aca="false">M176*(1+IF(N$3&lt;=$O$2,$D176,$D176-($D176-$I$157)*MIN(N$3-$O$2,$Q$2)/$Q$2))</f>
        <v>2805.45495003822</v>
      </c>
      <c r="O176" s="15" t="n">
        <f aca="false">SUMPRODUCT(E176:N176,1/(1+$F$157)^$E$3:$N$3)*$E$2</f>
        <v>3394.63156709285</v>
      </c>
      <c r="P176" s="15" t="n">
        <f aca="false">N176*$E$2*(1+$I$157)/($F$157-$I$157)/(1+$F$157)^$N$3</f>
        <v>5651.53743363793</v>
      </c>
      <c r="Q176" s="15" t="n">
        <f aca="false">O176+P176</f>
        <v>9046.16900073079</v>
      </c>
      <c r="R176" s="15" t="n">
        <f aca="false">Q176-$G$2+$I$2</f>
        <v>7669.96900073079</v>
      </c>
      <c r="S176" s="42" t="n">
        <f aca="false">R176/$K$2</f>
        <v>204.477979225028</v>
      </c>
      <c r="T176" s="43" t="n">
        <f aca="false">S176-$M$2</f>
        <v>-0.000826426798397506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-0.00367546081542969</v>
      </c>
      <c r="C177" s="25" t="n">
        <f aca="false">IF(T176&gt;0,D176,C176)</f>
        <v>-0.00366973876953125</v>
      </c>
      <c r="D177" s="41" t="n">
        <f aca="false">(B177+C177)/2</f>
        <v>-0.00367259979248047</v>
      </c>
      <c r="E177" s="15" t="n">
        <f aca="false">$C$2*(1+IF(E$3&lt;=$O$2,$D177,$D177-($D177-$I$157)*MIN(E$3-$O$2,$Q$2)/$Q$2))</f>
        <v>2560.56141853333</v>
      </c>
      <c r="F177" s="15" t="n">
        <f aca="false">E177*(1+IF(F$3&lt;=$O$2,$D177,$D177-($D177-$I$157)*MIN(F$3-$O$2,$Q$2)/$Q$2))</f>
        <v>2551.15750119899</v>
      </c>
      <c r="G177" s="15" t="n">
        <f aca="false">F177*(1+IF(G$3&lt;=$O$2,$D177,$D177-($D177-$I$157)*MIN(G$3-$O$2,$Q$2)/$Q$2))</f>
        <v>2541.7881206895</v>
      </c>
      <c r="H177" s="15" t="n">
        <f aca="false">G177*(1+IF(H$3&lt;=$O$2,$D177,$D177-($D177-$I$157)*MIN(H$3-$O$2,$Q$2)/$Q$2))</f>
        <v>2532.45315016492</v>
      </c>
      <c r="I177" s="15" t="n">
        <f aca="false">H177*(1+IF(I$3&lt;=$O$2,$D177,$D177-($D177-$I$157)*MIN(I$3-$O$2,$Q$2)/$Q$2))</f>
        <v>2523.15246325116</v>
      </c>
      <c r="J177" s="15" t="n">
        <f aca="false">I177*(1+IF(J$3&lt;=$O$2,$D177,$D177-($D177-$I$157)*MIN(J$3-$O$2,$Q$2)/$Q$2))</f>
        <v>2535.06658774932</v>
      </c>
      <c r="K177" s="15" t="n">
        <f aca="false">J177*(1+IF(K$3&lt;=$O$2,$D177,$D177-($D177-$I$157)*MIN(K$3-$O$2,$Q$2)/$Q$2))</f>
        <v>2568.31763685918</v>
      </c>
      <c r="L177" s="15" t="n">
        <f aca="false">K177*(1+IF(L$3&lt;=$O$2,$D177,$D177-($D177-$I$157)*MIN(L$3-$O$2,$Q$2)/$Q$2))</f>
        <v>2623.56461502615</v>
      </c>
      <c r="M177" s="15" t="n">
        <f aca="false">L177*(1+IF(M$3&lt;=$O$2,$D177,$D177-($D177-$I$157)*MIN(M$3-$O$2,$Q$2)/$Q$2))</f>
        <v>2702.02357425841</v>
      </c>
      <c r="N177" s="15" t="n">
        <f aca="false">M177*(1+IF(N$3&lt;=$O$2,$D177,$D177-($D177-$I$157)*MIN(N$3-$O$2,$Q$2)/$Q$2))</f>
        <v>2805.5110771525</v>
      </c>
      <c r="O177" s="15" t="n">
        <f aca="false">SUMPRODUCT(E177:N177,1/(1+$F$157)^$E$3:$N$3)*$E$2</f>
        <v>3394.67396276932</v>
      </c>
      <c r="P177" s="15" t="n">
        <f aca="false">N177*$E$2*(1+$I$157)/($F$157-$I$157)/(1+$F$157)^$N$3</f>
        <v>5651.65050067805</v>
      </c>
      <c r="Q177" s="15" t="n">
        <f aca="false">O177+P177</f>
        <v>9046.32446344737</v>
      </c>
      <c r="R177" s="15" t="n">
        <f aca="false">Q177-$G$2+$I$2</f>
        <v>7670.12446344737</v>
      </c>
      <c r="S177" s="42" t="n">
        <f aca="false">R177/$K$2</f>
        <v>204.482123792252</v>
      </c>
      <c r="T177" s="43" t="n">
        <f aca="false">S177-$M$2</f>
        <v>0.00331814042590395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-0.00367546081542969</v>
      </c>
      <c r="C178" s="25" t="n">
        <f aca="false">IF(T177&gt;0,D177,C177)</f>
        <v>-0.00367259979248047</v>
      </c>
      <c r="D178" s="41" t="n">
        <f aca="false">(B178+C178)/2</f>
        <v>-0.00367403030395508</v>
      </c>
      <c r="E178" s="15" t="n">
        <f aca="false">$C$2*(1+IF(E$3&lt;=$O$2,$D178,$D178-($D178-$I$157)*MIN(E$3-$O$2,$Q$2)/$Q$2))</f>
        <v>2560.55774211884</v>
      </c>
      <c r="F178" s="15" t="n">
        <f aca="false">E178*(1+IF(F$3&lt;=$O$2,$D178,$D178-($D178-$I$157)*MIN(F$3-$O$2,$Q$2)/$Q$2))</f>
        <v>2551.15017537926</v>
      </c>
      <c r="G178" s="15" t="n">
        <f aca="false">F178*(1+IF(G$3&lt;=$O$2,$D178,$D178-($D178-$I$157)*MIN(G$3-$O$2,$Q$2)/$Q$2))</f>
        <v>2541.77717232498</v>
      </c>
      <c r="H178" s="15" t="n">
        <f aca="false">G178*(1+IF(H$3&lt;=$O$2,$D178,$D178-($D178-$I$157)*MIN(H$3-$O$2,$Q$2)/$Q$2))</f>
        <v>2532.43860596796</v>
      </c>
      <c r="I178" s="15" t="n">
        <f aca="false">H178*(1+IF(I$3&lt;=$O$2,$D178,$D178-($D178-$I$157)*MIN(I$3-$O$2,$Q$2)/$Q$2))</f>
        <v>2523.13434978672</v>
      </c>
      <c r="J178" s="15" t="n">
        <f aca="false">I178*(1+IF(J$3&lt;=$O$2,$D178,$D178-($D178-$I$157)*MIN(J$3-$O$2,$Q$2)/$Q$2))</f>
        <v>2535.04550125644</v>
      </c>
      <c r="K178" s="15" t="n">
        <f aca="false">J178*(1+IF(K$3&lt;=$O$2,$D178,$D178-($D178-$I$157)*MIN(K$3-$O$2,$Q$2)/$Q$2))</f>
        <v>2568.29409793957</v>
      </c>
      <c r="L178" s="15" t="n">
        <f aca="false">K178*(1+IF(L$3&lt;=$O$2,$D178,$D178-($D178-$I$157)*MIN(L$3-$O$2,$Q$2)/$Q$2))</f>
        <v>2623.53910017211</v>
      </c>
      <c r="M178" s="15" t="n">
        <f aca="false">L178*(1+IF(M$3&lt;=$O$2,$D178,$D178-($D178-$I$157)*MIN(M$3-$O$2,$Q$2)/$Q$2))</f>
        <v>2701.99654576985</v>
      </c>
      <c r="N178" s="15" t="n">
        <f aca="false">M178*(1+IF(N$3&lt;=$O$2,$D178,$D178-($D178-$I$157)*MIN(N$3-$O$2,$Q$2)/$Q$2))</f>
        <v>2805.48301347284</v>
      </c>
      <c r="O178" s="15" t="n">
        <f aca="false">SUMPRODUCT(E178:N178,1/(1+$F$157)^$E$3:$N$3)*$E$2</f>
        <v>3394.6527648633</v>
      </c>
      <c r="P178" s="15" t="n">
        <f aca="false">N178*$E$2*(1+$I$157)/($F$157-$I$157)/(1+$F$157)^$N$3</f>
        <v>5651.59396691117</v>
      </c>
      <c r="Q178" s="15" t="n">
        <f aca="false">O178+P178</f>
        <v>9046.24673177446</v>
      </c>
      <c r="R178" s="15" t="n">
        <f aca="false">Q178-$G$2+$I$2</f>
        <v>7670.04673177446</v>
      </c>
      <c r="S178" s="42" t="n">
        <f aca="false">R178/$K$2</f>
        <v>204.480051500252</v>
      </c>
      <c r="T178" s="43" t="n">
        <f aca="false">S178-$M$2</f>
        <v>0.00124584842620834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-0.00367546081542969</v>
      </c>
      <c r="C179" s="25" t="n">
        <f aca="false">IF(T178&gt;0,D178,C178)</f>
        <v>-0.00367403030395508</v>
      </c>
      <c r="D179" s="41" t="n">
        <f aca="false">(B179+C179)/2</f>
        <v>-0.00367474555969238</v>
      </c>
      <c r="E179" s="15" t="n">
        <f aca="false">$C$2*(1+IF(E$3&lt;=$O$2,$D179,$D179-($D179-$I$157)*MIN(E$3-$O$2,$Q$2)/$Q$2))</f>
        <v>2560.55590391159</v>
      </c>
      <c r="F179" s="15" t="n">
        <f aca="false">E179*(1+IF(F$3&lt;=$O$2,$D179,$D179-($D179-$I$157)*MIN(F$3-$O$2,$Q$2)/$Q$2))</f>
        <v>2551.14651247335</v>
      </c>
      <c r="G179" s="15" t="n">
        <f aca="false">F179*(1+IF(G$3&lt;=$O$2,$D179,$D179-($D179-$I$157)*MIN(G$3-$O$2,$Q$2)/$Q$2))</f>
        <v>2541.77169815451</v>
      </c>
      <c r="H179" s="15" t="n">
        <f aca="false">G179*(1+IF(H$3&lt;=$O$2,$D179,$D179-($D179-$I$157)*MIN(H$3-$O$2,$Q$2)/$Q$2))</f>
        <v>2532.43133389297</v>
      </c>
      <c r="I179" s="15" t="n">
        <f aca="false">H179*(1+IF(I$3&lt;=$O$2,$D179,$D179-($D179-$I$157)*MIN(I$3-$O$2,$Q$2)/$Q$2))</f>
        <v>2523.12529309352</v>
      </c>
      <c r="J179" s="15" t="n">
        <f aca="false">I179*(1+IF(J$3&lt;=$O$2,$D179,$D179-($D179-$I$157)*MIN(J$3-$O$2,$Q$2)/$Q$2))</f>
        <v>2535.03495806474</v>
      </c>
      <c r="K179" s="15" t="n">
        <f aca="false">J179*(1+IF(K$3&lt;=$O$2,$D179,$D179-($D179-$I$157)*MIN(K$3-$O$2,$Q$2)/$Q$2))</f>
        <v>2568.2823285488</v>
      </c>
      <c r="L179" s="15" t="n">
        <f aca="false">K179*(1+IF(L$3&lt;=$O$2,$D179,$D179-($D179-$I$157)*MIN(L$3-$O$2,$Q$2)/$Q$2))</f>
        <v>2623.52634282571</v>
      </c>
      <c r="M179" s="15" t="n">
        <f aca="false">L179*(1+IF(M$3&lt;=$O$2,$D179,$D179-($D179-$I$157)*MIN(M$3-$O$2,$Q$2)/$Q$2))</f>
        <v>2701.98303161408</v>
      </c>
      <c r="N179" s="15" t="n">
        <f aca="false">M179*(1+IF(N$3&lt;=$O$2,$D179,$D179-($D179-$I$157)*MIN(N$3-$O$2,$Q$2)/$Q$2))</f>
        <v>2805.4689817249</v>
      </c>
      <c r="O179" s="15" t="n">
        <f aca="false">SUMPRODUCT(E179:N179,1/(1+$F$157)^$E$3:$N$3)*$E$2</f>
        <v>3394.64216596113</v>
      </c>
      <c r="P179" s="15" t="n">
        <f aca="false">N179*$E$2*(1+$I$157)/($F$157-$I$157)/(1+$F$157)^$N$3</f>
        <v>5651.56570021284</v>
      </c>
      <c r="Q179" s="15" t="n">
        <f aca="false">O179+P179</f>
        <v>9046.20786617397</v>
      </c>
      <c r="R179" s="15" t="n">
        <f aca="false">Q179-$G$2+$I$2</f>
        <v>7670.00786617397</v>
      </c>
      <c r="S179" s="42" t="n">
        <f aca="false">R179/$K$2</f>
        <v>204.479015360543</v>
      </c>
      <c r="T179" s="43" t="n">
        <f aca="false">S179-$M$2</f>
        <v>0.000209708716994328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-0.00367546081542969</v>
      </c>
      <c r="C180" s="25" t="n">
        <f aca="false">IF(T179&gt;0,D179,C179)</f>
        <v>-0.00367474555969238</v>
      </c>
      <c r="D180" s="41" t="n">
        <f aca="false">(B180+C180)/2</f>
        <v>-0.00367510318756104</v>
      </c>
      <c r="E180" s="15" t="n">
        <f aca="false">$C$2*(1+IF(E$3&lt;=$O$2,$D180,$D180-($D180-$I$157)*MIN(E$3-$O$2,$Q$2)/$Q$2))</f>
        <v>2560.55498480797</v>
      </c>
      <c r="F180" s="15" t="n">
        <f aca="false">E180*(1+IF(F$3&lt;=$O$2,$D180,$D180-($D180-$I$157)*MIN(F$3-$O$2,$Q$2)/$Q$2))</f>
        <v>2551.14468102138</v>
      </c>
      <c r="G180" s="15" t="n">
        <f aca="false">F180*(1+IF(G$3&lt;=$O$2,$D180,$D180-($D180-$I$157)*MIN(G$3-$O$2,$Q$2)/$Q$2))</f>
        <v>2541.76896107222</v>
      </c>
      <c r="H180" s="15" t="n">
        <f aca="false">G180*(1+IF(H$3&lt;=$O$2,$D180,$D180-($D180-$I$157)*MIN(H$3-$O$2,$Q$2)/$Q$2))</f>
        <v>2532.42769786134</v>
      </c>
      <c r="I180" s="15" t="n">
        <f aca="false">H180*(1+IF(I$3&lt;=$O$2,$D180,$D180-($D180-$I$157)*MIN(I$3-$O$2,$Q$2)/$Q$2))</f>
        <v>2523.12076475667</v>
      </c>
      <c r="J180" s="15" t="n">
        <f aca="false">I180*(1+IF(J$3&lt;=$O$2,$D180,$D180-($D180-$I$157)*MIN(J$3-$O$2,$Q$2)/$Q$2))</f>
        <v>2535.02968648258</v>
      </c>
      <c r="K180" s="15" t="n">
        <f aca="false">J180*(1+IF(K$3&lt;=$O$2,$D180,$D180-($D180-$I$157)*MIN(K$3-$O$2,$Q$2)/$Q$2))</f>
        <v>2568.27644387068</v>
      </c>
      <c r="L180" s="15" t="n">
        <f aca="false">K180*(1+IF(L$3&lt;=$O$2,$D180,$D180-($D180-$I$157)*MIN(L$3-$O$2,$Q$2)/$Q$2))</f>
        <v>2623.51996417266</v>
      </c>
      <c r="M180" s="15" t="n">
        <f aca="false">L180*(1+IF(M$3&lt;=$O$2,$D180,$D180-($D180-$I$157)*MIN(M$3-$O$2,$Q$2)/$Q$2))</f>
        <v>2701.97627455832</v>
      </c>
      <c r="N180" s="15" t="n">
        <f aca="false">M180*(1+IF(N$3&lt;=$O$2,$D180,$D180-($D180-$I$157)*MIN(N$3-$O$2,$Q$2)/$Q$2))</f>
        <v>2805.4619658739</v>
      </c>
      <c r="O180" s="15" t="n">
        <f aca="false">SUMPRODUCT(E180:N180,1/(1+$F$157)^$E$3:$N$3)*$E$2</f>
        <v>3394.63686652275</v>
      </c>
      <c r="P180" s="15" t="n">
        <f aca="false">N180*$E$2*(1+$I$157)/($F$157-$I$157)/(1+$F$157)^$N$3</f>
        <v>5651.55156690996</v>
      </c>
      <c r="Q180" s="15" t="n">
        <f aca="false">O180+P180</f>
        <v>9046.18843343272</v>
      </c>
      <c r="R180" s="15" t="n">
        <f aca="false">Q180-$G$2+$I$2</f>
        <v>7669.98843343272</v>
      </c>
      <c r="S180" s="42" t="n">
        <f aca="false">R180/$K$2</f>
        <v>204.478497292261</v>
      </c>
      <c r="T180" s="43" t="n">
        <f aca="false">S180-$M$2</f>
        <v>-0.00030835956494002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-0.00367510318756104</v>
      </c>
      <c r="C181" s="25" t="n">
        <f aca="false">IF(T180&gt;0,D180,C180)</f>
        <v>-0.00367474555969238</v>
      </c>
      <c r="D181" s="41" t="n">
        <f aca="false">(B181+C181)/2</f>
        <v>-0.00367492437362671</v>
      </c>
      <c r="E181" s="15" t="n">
        <f aca="false">$C$2*(1+IF(E$3&lt;=$O$2,$D181,$D181-($D181-$I$157)*MIN(E$3-$O$2,$Q$2)/$Q$2))</f>
        <v>2560.55544435978</v>
      </c>
      <c r="F181" s="15" t="n">
        <f aca="false">E181*(1+IF(F$3&lt;=$O$2,$D181,$D181-($D181-$I$157)*MIN(F$3-$O$2,$Q$2)/$Q$2))</f>
        <v>2551.14559674728</v>
      </c>
      <c r="G181" s="15" t="n">
        <f aca="false">F181*(1+IF(G$3&lt;=$O$2,$D181,$D181-($D181-$I$157)*MIN(G$3-$O$2,$Q$2)/$Q$2))</f>
        <v>2541.77032961312</v>
      </c>
      <c r="H181" s="15" t="n">
        <f aca="false">G181*(1+IF(H$3&lt;=$O$2,$D181,$D181-($D181-$I$157)*MIN(H$3-$O$2,$Q$2)/$Q$2))</f>
        <v>2532.42951587667</v>
      </c>
      <c r="I181" s="15" t="n">
        <f aca="false">H181*(1+IF(I$3&lt;=$O$2,$D181,$D181-($D181-$I$157)*MIN(I$3-$O$2,$Q$2)/$Q$2))</f>
        <v>2523.12302892428</v>
      </c>
      <c r="J181" s="15" t="n">
        <f aca="false">I181*(1+IF(J$3&lt;=$O$2,$D181,$D181-($D181-$I$157)*MIN(J$3-$O$2,$Q$2)/$Q$2))</f>
        <v>2535.03232227252</v>
      </c>
      <c r="K181" s="15" t="n">
        <f aca="false">J181*(1+IF(K$3&lt;=$O$2,$D181,$D181-($D181-$I$157)*MIN(K$3-$O$2,$Q$2)/$Q$2))</f>
        <v>2568.2793862083</v>
      </c>
      <c r="L181" s="15" t="n">
        <f aca="false">K181*(1+IF(L$3&lt;=$O$2,$D181,$D181-($D181-$I$157)*MIN(L$3-$O$2,$Q$2)/$Q$2))</f>
        <v>2623.5231534975</v>
      </c>
      <c r="M181" s="15" t="n">
        <f aca="false">L181*(1+IF(M$3&lt;=$O$2,$D181,$D181-($D181-$I$157)*MIN(M$3-$O$2,$Q$2)/$Q$2))</f>
        <v>2701.97965308435</v>
      </c>
      <c r="N181" s="15" t="n">
        <f aca="false">M181*(1+IF(N$3&lt;=$O$2,$D181,$D181-($D181-$I$157)*MIN(N$3-$O$2,$Q$2)/$Q$2))</f>
        <v>2805.46547379749</v>
      </c>
      <c r="O181" s="15" t="n">
        <f aca="false">SUMPRODUCT(E181:N181,1/(1+$F$157)^$E$3:$N$3)*$E$2</f>
        <v>3394.63951624088</v>
      </c>
      <c r="P181" s="15" t="n">
        <f aca="false">N181*$E$2*(1+$I$157)/($F$157-$I$157)/(1+$F$157)^$N$3</f>
        <v>5651.55863355754</v>
      </c>
      <c r="Q181" s="15" t="n">
        <f aca="false">O181+P181</f>
        <v>9046.19814979843</v>
      </c>
      <c r="R181" s="15" t="n">
        <f aca="false">Q181-$G$2+$I$2</f>
        <v>7669.99814979843</v>
      </c>
      <c r="S181" s="42" t="n">
        <f aca="false">R181/$K$2</f>
        <v>204.478756326271</v>
      </c>
      <c r="T181" s="43" t="n">
        <f aca="false">S181-$M$2</f>
        <v>-4.93255550395588E-005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-0.00367492437362671</v>
      </c>
      <c r="C182" s="25" t="n">
        <f aca="false">IF(T181&gt;0,D181,C181)</f>
        <v>-0.00367474555969238</v>
      </c>
      <c r="D182" s="41" t="n">
        <f aca="false">(B182+C182)/2</f>
        <v>-0.00367483496665955</v>
      </c>
      <c r="E182" s="15" t="n">
        <f aca="false">$C$2*(1+IF(E$3&lt;=$O$2,$D182,$D182-($D182-$I$157)*MIN(E$3-$O$2,$Q$2)/$Q$2))</f>
        <v>2560.55567413569</v>
      </c>
      <c r="F182" s="15" t="n">
        <f aca="false">E182*(1+IF(F$3&lt;=$O$2,$D182,$D182-($D182-$I$157)*MIN(F$3-$O$2,$Q$2)/$Q$2))</f>
        <v>2551.14605461029</v>
      </c>
      <c r="G182" s="15" t="n">
        <f aca="false">F182*(1+IF(G$3&lt;=$O$2,$D182,$D182-($D182-$I$157)*MIN(G$3-$O$2,$Q$2)/$Q$2))</f>
        <v>2541.77101388376</v>
      </c>
      <c r="H182" s="15" t="n">
        <f aca="false">G182*(1+IF(H$3&lt;=$O$2,$D182,$D182-($D182-$I$157)*MIN(H$3-$O$2,$Q$2)/$Q$2))</f>
        <v>2532.43042488469</v>
      </c>
      <c r="I182" s="15" t="n">
        <f aca="false">H182*(1+IF(I$3&lt;=$O$2,$D182,$D182-($D182-$I$157)*MIN(I$3-$O$2,$Q$2)/$Q$2))</f>
        <v>2523.12416100869</v>
      </c>
      <c r="J182" s="15" t="n">
        <f aca="false">I182*(1+IF(J$3&lt;=$O$2,$D182,$D182-($D182-$I$157)*MIN(J$3-$O$2,$Q$2)/$Q$2))</f>
        <v>2535.03364016834</v>
      </c>
      <c r="K182" s="15" t="n">
        <f aca="false">J182*(1+IF(K$3&lt;=$O$2,$D182,$D182-($D182-$I$157)*MIN(K$3-$O$2,$Q$2)/$Q$2))</f>
        <v>2568.28085737819</v>
      </c>
      <c r="L182" s="15" t="n">
        <f aca="false">K182*(1+IF(L$3&lt;=$O$2,$D182,$D182-($D182-$I$157)*MIN(L$3-$O$2,$Q$2)/$Q$2))</f>
        <v>2623.52474816119</v>
      </c>
      <c r="M182" s="15" t="n">
        <f aca="false">L182*(1+IF(M$3&lt;=$O$2,$D182,$D182-($D182-$I$157)*MIN(M$3-$O$2,$Q$2)/$Q$2))</f>
        <v>2701.98134234876</v>
      </c>
      <c r="N182" s="15" t="n">
        <f aca="false">M182*(1+IF(N$3&lt;=$O$2,$D182,$D182-($D182-$I$157)*MIN(N$3-$O$2,$Q$2)/$Q$2))</f>
        <v>2805.46722776071</v>
      </c>
      <c r="O182" s="15" t="n">
        <f aca="false">SUMPRODUCT(E182:N182,1/(1+$F$157)^$E$3:$N$3)*$E$2</f>
        <v>3394.64084110074</v>
      </c>
      <c r="P182" s="15" t="n">
        <f aca="false">N182*$E$2*(1+$I$157)/($F$157-$I$157)/(1+$F$157)^$N$3</f>
        <v>5651.56216688423</v>
      </c>
      <c r="Q182" s="15" t="n">
        <f aca="false">O182+P182</f>
        <v>9046.20300798497</v>
      </c>
      <c r="R182" s="15" t="n">
        <f aca="false">Q182-$G$2+$I$2</f>
        <v>7670.00300798497</v>
      </c>
      <c r="S182" s="42" t="n">
        <f aca="false">R182/$K$2</f>
        <v>204.478885843374</v>
      </c>
      <c r="T182" s="43" t="n">
        <f aca="false">S182-$M$2</f>
        <v>8.01915482213644E-005</v>
      </c>
    </row>
    <row r="184" customFormat="false" ht="15" hidden="false" customHeight="false" outlineLevel="0" collapsed="false">
      <c r="A184" s="38" t="s">
        <v>187</v>
      </c>
      <c r="E184" s="5" t="s">
        <v>11</v>
      </c>
      <c r="F184" s="12" t="n">
        <f aca="false">Sensitivity!$B$11</f>
        <v>0.089183337553844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162</v>
      </c>
      <c r="B185" s="28" t="s">
        <v>163</v>
      </c>
      <c r="C185" s="28" t="s">
        <v>164</v>
      </c>
      <c r="D185" s="28" t="s">
        <v>165</v>
      </c>
      <c r="E185" s="28" t="s">
        <v>166</v>
      </c>
      <c r="F185" s="28" t="s">
        <v>167</v>
      </c>
      <c r="G185" s="28" t="s">
        <v>168</v>
      </c>
      <c r="H185" s="28" t="s">
        <v>169</v>
      </c>
      <c r="I185" s="28" t="s">
        <v>170</v>
      </c>
      <c r="J185" s="28" t="s">
        <v>171</v>
      </c>
      <c r="K185" s="28" t="s">
        <v>172</v>
      </c>
      <c r="L185" s="28" t="s">
        <v>173</v>
      </c>
      <c r="M185" s="28" t="s">
        <v>174</v>
      </c>
      <c r="N185" s="28" t="s">
        <v>175</v>
      </c>
      <c r="O185" s="28" t="s">
        <v>176</v>
      </c>
      <c r="P185" s="28" t="s">
        <v>177</v>
      </c>
      <c r="Q185" s="28" t="s">
        <v>178</v>
      </c>
      <c r="R185" s="28" t="s">
        <v>179</v>
      </c>
      <c r="S185" s="28" t="s">
        <v>180</v>
      </c>
      <c r="T185" s="28" t="s">
        <v>181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3212.5</v>
      </c>
      <c r="F186" s="15" t="n">
        <f aca="false">E186*(1+IF(F$3&lt;=$O$2,$D186,$D186-($D186-$I$184)*MIN(F$3-$O$2,$Q$2)/$Q$2))</f>
        <v>4015.625</v>
      </c>
      <c r="G186" s="15" t="n">
        <f aca="false">F186*(1+IF(G$3&lt;=$O$2,$D186,$D186-($D186-$I$184)*MIN(G$3-$O$2,$Q$2)/$Q$2))</f>
        <v>5019.53125</v>
      </c>
      <c r="H186" s="15" t="n">
        <f aca="false">G186*(1+IF(H$3&lt;=$O$2,$D186,$D186-($D186-$I$184)*MIN(H$3-$O$2,$Q$2)/$Q$2))</f>
        <v>6274.4140625</v>
      </c>
      <c r="I186" s="15" t="n">
        <f aca="false">H186*(1+IF(I$3&lt;=$O$2,$D186,$D186-($D186-$I$184)*MIN(I$3-$O$2,$Q$2)/$Q$2))</f>
        <v>7843.017578125</v>
      </c>
      <c r="J186" s="15" t="n">
        <f aca="false">I186*(1+IF(J$3&lt;=$O$2,$D186,$D186-($D186-$I$184)*MIN(J$3-$O$2,$Q$2)/$Q$2))</f>
        <v>9440.32653808594</v>
      </c>
      <c r="K186" s="15" t="n">
        <f aca="false">J186*(1+IF(K$3&lt;=$O$2,$D186,$D186-($D186-$I$184)*MIN(K$3-$O$2,$Q$2)/$Q$2))</f>
        <v>10925.4787090576</v>
      </c>
      <c r="L186" s="15" t="n">
        <f aca="false">K186*(1+IF(L$3&lt;=$O$2,$D186,$D186-($D186-$I$184)*MIN(L$3-$O$2,$Q$2)/$Q$2))</f>
        <v>12137.9883361888</v>
      </c>
      <c r="M186" s="15" t="n">
        <f aca="false">L186*(1+IF(M$3&lt;=$O$2,$D186,$D186-($D186-$I$184)*MIN(M$3-$O$2,$Q$2)/$Q$2))</f>
        <v>12922.5879022401</v>
      </c>
      <c r="N186" s="15" t="n">
        <f aca="false">M186*(1+IF(N$3&lt;=$O$2,$D186,$D186-($D186-$I$184)*MIN(N$3-$O$2,$Q$2)/$Q$2))</f>
        <v>13159.0712608511</v>
      </c>
      <c r="O186" s="15" t="n">
        <f aca="false">SUMPRODUCT(E186:N186,1/(1+$F$184)^$E$3:$N$3)*$E$2</f>
        <v>9823.55724343905</v>
      </c>
      <c r="P186" s="15" t="n">
        <f aca="false">N186*$E$2*(1+$I$184)/($F$184-$I$184)/(1+$F$184)^$N$3</f>
        <v>16071.9908697349</v>
      </c>
      <c r="Q186" s="15" t="n">
        <f aca="false">O186+P186</f>
        <v>25895.548113174</v>
      </c>
      <c r="R186" s="15" t="n">
        <f aca="false">Q186-$G$2+$I$2</f>
        <v>24519.348113174</v>
      </c>
      <c r="S186" s="42" t="n">
        <f aca="false">R186/$K$2</f>
        <v>653.674969692721</v>
      </c>
      <c r="T186" s="43" t="n">
        <f aca="false">S186-$M$2</f>
        <v>449.196164040895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2248.75</v>
      </c>
      <c r="F187" s="15" t="n">
        <f aca="false">E187*(1+IF(F$3&lt;=$O$2,$D187,$D187-($D187-$I$184)*MIN(F$3-$O$2,$Q$2)/$Q$2))</f>
        <v>1967.65625</v>
      </c>
      <c r="G187" s="15" t="n">
        <f aca="false">F187*(1+IF(G$3&lt;=$O$2,$D187,$D187-($D187-$I$184)*MIN(G$3-$O$2,$Q$2)/$Q$2))</f>
        <v>1721.69921875</v>
      </c>
      <c r="H187" s="15" t="n">
        <f aca="false">G187*(1+IF(H$3&lt;=$O$2,$D187,$D187-($D187-$I$184)*MIN(H$3-$O$2,$Q$2)/$Q$2))</f>
        <v>1506.48681640625</v>
      </c>
      <c r="I187" s="15" t="n">
        <f aca="false">H187*(1+IF(I$3&lt;=$O$2,$D187,$D187-($D187-$I$184)*MIN(I$3-$O$2,$Q$2)/$Q$2))</f>
        <v>1318.17596435547</v>
      </c>
      <c r="J187" s="15" t="n">
        <f aca="false">I187*(1+IF(J$3&lt;=$O$2,$D187,$D187-($D187-$I$184)*MIN(J$3-$O$2,$Q$2)/$Q$2))</f>
        <v>1191.18289194946</v>
      </c>
      <c r="K187" s="15" t="n">
        <f aca="false">J187*(1+IF(K$3&lt;=$O$2,$D187,$D187-($D187-$I$184)*MIN(K$3-$O$2,$Q$2)/$Q$2))</f>
        <v>1110.56363382232</v>
      </c>
      <c r="L187" s="15" t="n">
        <f aca="false">K187*(1+IF(L$3&lt;=$O$2,$D187,$D187-($D187-$I$184)*MIN(L$3-$O$2,$Q$2)/$Q$2))</f>
        <v>1067.22944083058</v>
      </c>
      <c r="M187" s="15" t="n">
        <f aca="false">L187*(1+IF(M$3&lt;=$O$2,$D187,$D187-($D187-$I$184)*MIN(M$3-$O$2,$Q$2)/$Q$2))</f>
        <v>1056.17294382357</v>
      </c>
      <c r="N187" s="15" t="n">
        <f aca="false">M187*(1+IF(N$3&lt;=$O$2,$D187,$D187-($D187-$I$184)*MIN(N$3-$O$2,$Q$2)/$Q$2))</f>
        <v>1075.50090869554</v>
      </c>
      <c r="O187" s="15" t="n">
        <f aca="false">SUMPRODUCT(E187:N187,1/(1+$F$184)^$E$3:$N$3)*$E$2</f>
        <v>1956.99063186074</v>
      </c>
      <c r="P187" s="15" t="n">
        <f aca="false">N187*$E$2*(1+$I$184)/($F$184-$I$184)/(1+$F$184)^$N$3</f>
        <v>1313.57604517056</v>
      </c>
      <c r="Q187" s="15" t="n">
        <f aca="false">O187+P187</f>
        <v>3270.56667703131</v>
      </c>
      <c r="R187" s="15" t="n">
        <f aca="false">Q187-$G$2+$I$2</f>
        <v>1894.36667703131</v>
      </c>
      <c r="S187" s="42" t="n">
        <f aca="false">R187/$K$2</f>
        <v>50.5029772602321</v>
      </c>
      <c r="T187" s="43" t="n">
        <f aca="false">S187-$M$2</f>
        <v>-153.975828391594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2730.625</v>
      </c>
      <c r="F188" s="15" t="n">
        <f aca="false">E188*(1+IF(F$3&lt;=$O$2,$D188,$D188-($D188-$I$184)*MIN(F$3-$O$2,$Q$2)/$Q$2))</f>
        <v>2901.2890625</v>
      </c>
      <c r="G188" s="15" t="n">
        <f aca="false">F188*(1+IF(G$3&lt;=$O$2,$D188,$D188-($D188-$I$184)*MIN(G$3-$O$2,$Q$2)/$Q$2))</f>
        <v>3082.61962890625</v>
      </c>
      <c r="H188" s="15" t="n">
        <f aca="false">G188*(1+IF(H$3&lt;=$O$2,$D188,$D188-($D188-$I$184)*MIN(H$3-$O$2,$Q$2)/$Q$2))</f>
        <v>3275.28335571289</v>
      </c>
      <c r="I188" s="15" t="n">
        <f aca="false">H188*(1+IF(I$3&lt;=$O$2,$D188,$D188-($D188-$I$184)*MIN(I$3-$O$2,$Q$2)/$Q$2))</f>
        <v>3479.98856544495</v>
      </c>
      <c r="J188" s="15" t="n">
        <f aca="false">I188*(1+IF(J$3&lt;=$O$2,$D188,$D188-($D188-$I$184)*MIN(J$3-$O$2,$Q$2)/$Q$2))</f>
        <v>3666.72475186672</v>
      </c>
      <c r="K188" s="15" t="n">
        <f aca="false">J188*(1+IF(K$3&lt;=$O$2,$D188,$D188-($D188-$I$184)*MIN(K$3-$O$2,$Q$2)/$Q$2))</f>
        <v>3831.06735524539</v>
      </c>
      <c r="L188" s="15" t="n">
        <f aca="false">K188*(1+IF(L$3&lt;=$O$2,$D188,$D188-($D188-$I$184)*MIN(L$3-$O$2,$Q$2)/$Q$2))</f>
        <v>3968.90915868712</v>
      </c>
      <c r="M188" s="15" t="n">
        <f aca="false">L188*(1+IF(M$3&lt;=$O$2,$D188,$D188-($D188-$I$184)*MIN(M$3-$O$2,$Q$2)/$Q$2))</f>
        <v>4076.62535325389</v>
      </c>
      <c r="N188" s="15" t="n">
        <f aca="false">M188*(1+IF(N$3&lt;=$O$2,$D188,$D188-($D188-$I$184)*MIN(N$3-$O$2,$Q$2)/$Q$2))</f>
        <v>4151.22759721843</v>
      </c>
      <c r="O188" s="15" t="n">
        <f aca="false">SUMPRODUCT(E188:N188,1/(1+$F$184)^$E$3:$N$3)*$E$2</f>
        <v>4374.70248020602</v>
      </c>
      <c r="P188" s="15" t="n">
        <f aca="false">N188*$E$2*(1+$I$184)/($F$184-$I$184)/(1+$F$184)^$N$3</f>
        <v>5070.15204326595</v>
      </c>
      <c r="Q188" s="15" t="n">
        <f aca="false">O188+P188</f>
        <v>9444.85452347196</v>
      </c>
      <c r="R188" s="15" t="n">
        <f aca="false">Q188-$G$2+$I$2</f>
        <v>8068.65452347196</v>
      </c>
      <c r="S188" s="42" t="n">
        <f aca="false">R188/$K$2</f>
        <v>215.106758823566</v>
      </c>
      <c r="T188" s="43" t="n">
        <f aca="false">S188-$M$2</f>
        <v>10.62795317174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2489.6875</v>
      </c>
      <c r="F189" s="15" t="n">
        <f aca="false">E189*(1+IF(F$3&lt;=$O$2,$D189,$D189-($D189-$I$184)*MIN(F$3-$O$2,$Q$2)/$Q$2))</f>
        <v>2411.884765625</v>
      </c>
      <c r="G189" s="15" t="n">
        <f aca="false">F189*(1+IF(G$3&lt;=$O$2,$D189,$D189-($D189-$I$184)*MIN(G$3-$O$2,$Q$2)/$Q$2))</f>
        <v>2336.51336669922</v>
      </c>
      <c r="H189" s="15" t="n">
        <f aca="false">G189*(1+IF(H$3&lt;=$O$2,$D189,$D189-($D189-$I$184)*MIN(H$3-$O$2,$Q$2)/$Q$2))</f>
        <v>2263.49732398987</v>
      </c>
      <c r="I189" s="15" t="n">
        <f aca="false">H189*(1+IF(I$3&lt;=$O$2,$D189,$D189-($D189-$I$184)*MIN(I$3-$O$2,$Q$2)/$Q$2))</f>
        <v>2192.76303261519</v>
      </c>
      <c r="J189" s="15" t="n">
        <f aca="false">I189*(1+IF(J$3&lt;=$O$2,$D189,$D189-($D189-$I$184)*MIN(J$3-$O$2,$Q$2)/$Q$2))</f>
        <v>2145.96946949918</v>
      </c>
      <c r="K189" s="15" t="n">
        <f aca="false">J189*(1+IF(K$3&lt;=$O$2,$D189,$D189-($D189-$I$184)*MIN(K$3-$O$2,$Q$2)/$Q$2))</f>
        <v>2121.4410384628</v>
      </c>
      <c r="L189" s="15" t="n">
        <f aca="false">K189*(1+IF(L$3&lt;=$O$2,$D189,$D189-($D189-$I$184)*MIN(L$3-$O$2,$Q$2)/$Q$2))</f>
        <v>2118.21644808434</v>
      </c>
      <c r="M189" s="15" t="n">
        <f aca="false">L189*(1+IF(M$3&lt;=$O$2,$D189,$D189-($D189-$I$184)*MIN(M$3-$O$2,$Q$2)/$Q$2))</f>
        <v>2135.98828408377</v>
      </c>
      <c r="N189" s="15" t="n">
        <f aca="false">M189*(1+IF(N$3&lt;=$O$2,$D189,$D189-($D189-$I$184)*MIN(N$3-$O$2,$Q$2)/$Q$2))</f>
        <v>2175.0768696825</v>
      </c>
      <c r="O189" s="15" t="n">
        <f aca="false">SUMPRODUCT(E189:N189,1/(1+$F$184)^$E$3:$N$3)*$E$2</f>
        <v>2917.23673846333</v>
      </c>
      <c r="P189" s="15" t="n">
        <f aca="false">N189*$E$2*(1+$I$184)/($F$184-$I$184)/(1+$F$184)^$N$3</f>
        <v>2656.55644669317</v>
      </c>
      <c r="Q189" s="15" t="n">
        <f aca="false">O189+P189</f>
        <v>5573.7931851565</v>
      </c>
      <c r="R189" s="15" t="n">
        <f aca="false">Q189-$G$2+$I$2</f>
        <v>4197.5931851565</v>
      </c>
      <c r="S189" s="42" t="n">
        <f aca="false">R189/$K$2</f>
        <v>111.905976677059</v>
      </c>
      <c r="T189" s="43" t="n">
        <f aca="false">S189-$M$2</f>
        <v>-92.5728289747668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41" t="n">
        <f aca="false">(B190+C190)/2</f>
        <v>0.015625</v>
      </c>
      <c r="E190" s="15" t="n">
        <f aca="false">$C$2*(1+IF(E$3&lt;=$O$2,$D190,$D190-($D190-$I$184)*MIN(E$3-$O$2,$Q$2)/$Q$2))</f>
        <v>2610.15625</v>
      </c>
      <c r="F190" s="15" t="n">
        <f aca="false">E190*(1+IF(F$3&lt;=$O$2,$D190,$D190-($D190-$I$184)*MIN(F$3-$O$2,$Q$2)/$Q$2))</f>
        <v>2650.93994140625</v>
      </c>
      <c r="G190" s="15" t="n">
        <f aca="false">F190*(1+IF(G$3&lt;=$O$2,$D190,$D190-($D190-$I$184)*MIN(G$3-$O$2,$Q$2)/$Q$2))</f>
        <v>2692.36087799072</v>
      </c>
      <c r="H190" s="15" t="n">
        <f aca="false">G190*(1+IF(H$3&lt;=$O$2,$D190,$D190-($D190-$I$184)*MIN(H$3-$O$2,$Q$2)/$Q$2))</f>
        <v>2734.42901670933</v>
      </c>
      <c r="I190" s="15" t="n">
        <f aca="false">H190*(1+IF(I$3&lt;=$O$2,$D190,$D190-($D190-$I$184)*MIN(I$3-$O$2,$Q$2)/$Q$2))</f>
        <v>2777.15447009541</v>
      </c>
      <c r="J190" s="15" t="n">
        <f aca="false">I190*(1+IF(J$3&lt;=$O$2,$D190,$D190-($D190-$I$184)*MIN(J$3-$O$2,$Q$2)/$Q$2))</f>
        <v>2822.03328633215</v>
      </c>
      <c r="K190" s="15" t="n">
        <f aca="false">J190*(1+IF(K$3&lt;=$O$2,$D190,$D190-($D190-$I$184)*MIN(K$3-$O$2,$Q$2)/$Q$2))</f>
        <v>2869.14713204747</v>
      </c>
      <c r="L190" s="15" t="n">
        <f aca="false">K190*(1+IF(L$3&lt;=$O$2,$D190,$D190-($D190-$I$184)*MIN(L$3-$O$2,$Q$2)/$Q$2))</f>
        <v>2918.58253713265</v>
      </c>
      <c r="M190" s="15" t="n">
        <f aca="false">L190*(1+IF(M$3&lt;=$O$2,$D190,$D190-($D190-$I$184)*MIN(M$3-$O$2,$Q$2)/$Q$2))</f>
        <v>2970.43115590481</v>
      </c>
      <c r="N190" s="15" t="n">
        <f aca="false">M190*(1+IF(N$3&lt;=$O$2,$D190,$D190-($D190-$I$184)*MIN(N$3-$O$2,$Q$2)/$Q$2))</f>
        <v>3024.79004605787</v>
      </c>
      <c r="O190" s="15" t="n">
        <f aca="false">SUMPRODUCT(E190:N190,1/(1+$F$184)^$E$3:$N$3)*$E$2</f>
        <v>3570.87296995613</v>
      </c>
      <c r="P190" s="15" t="n">
        <f aca="false">N190*$E$2*(1+$I$184)/($F$184-$I$184)/(1+$F$184)^$N$3</f>
        <v>3694.36391364013</v>
      </c>
      <c r="Q190" s="15" t="n">
        <f aca="false">O190+P190</f>
        <v>7265.23688359626</v>
      </c>
      <c r="R190" s="15" t="n">
        <f aca="false">Q190-$G$2+$I$2</f>
        <v>5889.03688359626</v>
      </c>
      <c r="S190" s="42" t="n">
        <f aca="false">R190/$K$2</f>
        <v>156.999117131332</v>
      </c>
      <c r="T190" s="43" t="n">
        <f aca="false">S190-$M$2</f>
        <v>-47.4796885204943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0.015625</v>
      </c>
      <c r="C191" s="25" t="n">
        <f aca="false">IF(T190&gt;0,D190,C190)</f>
        <v>0.0625</v>
      </c>
      <c r="D191" s="41" t="n">
        <f aca="false">(B191+C191)/2</f>
        <v>0.0390625</v>
      </c>
      <c r="E191" s="15" t="n">
        <f aca="false">$C$2*(1+IF(E$3&lt;=$O$2,$D191,$D191-($D191-$I$184)*MIN(E$3-$O$2,$Q$2)/$Q$2))</f>
        <v>2670.390625</v>
      </c>
      <c r="F191" s="15" t="n">
        <f aca="false">E191*(1+IF(F$3&lt;=$O$2,$D191,$D191-($D191-$I$184)*MIN(F$3-$O$2,$Q$2)/$Q$2))</f>
        <v>2774.70275878906</v>
      </c>
      <c r="G191" s="15" t="n">
        <f aca="false">F191*(1+IF(G$3&lt;=$O$2,$D191,$D191-($D191-$I$184)*MIN(G$3-$O$2,$Q$2)/$Q$2))</f>
        <v>2883.08958530426</v>
      </c>
      <c r="H191" s="15" t="n">
        <f aca="false">G191*(1+IF(H$3&lt;=$O$2,$D191,$D191-($D191-$I$184)*MIN(H$3-$O$2,$Q$2)/$Q$2))</f>
        <v>2995.71027223021</v>
      </c>
      <c r="I191" s="15" t="n">
        <f aca="false">H191*(1+IF(I$3&lt;=$O$2,$D191,$D191-($D191-$I$184)*MIN(I$3-$O$2,$Q$2)/$Q$2))</f>
        <v>3112.7302047392</v>
      </c>
      <c r="J191" s="15" t="n">
        <f aca="false">I191*(1+IF(J$3&lt;=$O$2,$D191,$D191-($D191-$I$184)*MIN(J$3-$O$2,$Q$2)/$Q$2))</f>
        <v>3221.39561618665</v>
      </c>
      <c r="K191" s="15" t="n">
        <f aca="false">J191*(1+IF(K$3&lt;=$O$2,$D191,$D191-($D191-$I$184)*MIN(K$3-$O$2,$Q$2)/$Q$2))</f>
        <v>3320.47769185151</v>
      </c>
      <c r="L191" s="15" t="n">
        <f aca="false">K191*(1+IF(L$3&lt;=$O$2,$D191,$D191-($D191-$I$184)*MIN(L$3-$O$2,$Q$2)/$Q$2))</f>
        <v>3408.81900084322</v>
      </c>
      <c r="M191" s="15" t="n">
        <f aca="false">L191*(1+IF(M$3&lt;=$O$2,$D191,$D191-($D191-$I$184)*MIN(M$3-$O$2,$Q$2)/$Q$2))</f>
        <v>3485.35550945965</v>
      </c>
      <c r="N191" s="15" t="n">
        <f aca="false">M191*(1+IF(N$3&lt;=$O$2,$D191,$D191-($D191-$I$184)*MIN(N$3-$O$2,$Q$2)/$Q$2))</f>
        <v>3549.13751528276</v>
      </c>
      <c r="O191" s="15" t="n">
        <f aca="false">SUMPRODUCT(E191:N191,1/(1+$F$184)^$E$3:$N$3)*$E$2</f>
        <v>3952.13975715995</v>
      </c>
      <c r="P191" s="15" t="n">
        <f aca="false">N191*$E$2*(1+$I$184)/($F$184-$I$184)/(1+$F$184)^$N$3</f>
        <v>4334.78203820966</v>
      </c>
      <c r="Q191" s="15" t="n">
        <f aca="false">O191+P191</f>
        <v>8286.92179536961</v>
      </c>
      <c r="R191" s="15" t="n">
        <f aca="false">Q191-$G$2+$I$2</f>
        <v>6910.72179536961</v>
      </c>
      <c r="S191" s="42" t="n">
        <f aca="false">R191/$K$2</f>
        <v>184.236784733927</v>
      </c>
      <c r="T191" s="43" t="n">
        <f aca="false">S191-$M$2</f>
        <v>-20.2420209178989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0.0390625</v>
      </c>
      <c r="C192" s="25" t="n">
        <f aca="false">IF(T191&gt;0,D191,C191)</f>
        <v>0.0625</v>
      </c>
      <c r="D192" s="41" t="n">
        <f aca="false">(B192+C192)/2</f>
        <v>0.05078125</v>
      </c>
      <c r="E192" s="15" t="n">
        <f aca="false">$C$2*(1+IF(E$3&lt;=$O$2,$D192,$D192-($D192-$I$184)*MIN(E$3-$O$2,$Q$2)/$Q$2))</f>
        <v>2700.5078125</v>
      </c>
      <c r="F192" s="15" t="n">
        <f aca="false">E192*(1+IF(F$3&lt;=$O$2,$D192,$D192-($D192-$I$184)*MIN(F$3-$O$2,$Q$2)/$Q$2))</f>
        <v>2837.64297485352</v>
      </c>
      <c r="G192" s="15" t="n">
        <f aca="false">F192*(1+IF(G$3&lt;=$O$2,$D192,$D192-($D192-$I$184)*MIN(G$3-$O$2,$Q$2)/$Q$2))</f>
        <v>2981.7420321703</v>
      </c>
      <c r="H192" s="15" t="n">
        <f aca="false">G192*(1+IF(H$3&lt;=$O$2,$D192,$D192-($D192-$I$184)*MIN(H$3-$O$2,$Q$2)/$Q$2))</f>
        <v>3133.15861974144</v>
      </c>
      <c r="I192" s="15" t="n">
        <f aca="false">H192*(1+IF(I$3&lt;=$O$2,$D192,$D192-($D192-$I$184)*MIN(I$3-$O$2,$Q$2)/$Q$2))</f>
        <v>3292.26433090019</v>
      </c>
      <c r="J192" s="15" t="n">
        <f aca="false">I192*(1+IF(J$3&lt;=$O$2,$D192,$D192-($D192-$I$184)*MIN(J$3-$O$2,$Q$2)/$Q$2))</f>
        <v>3438.0622567941</v>
      </c>
      <c r="K192" s="15" t="n">
        <f aca="false">J192*(1+IF(K$3&lt;=$O$2,$D192,$D192-($D192-$I$184)*MIN(K$3-$O$2,$Q$2)/$Q$2))</f>
        <v>3567.98233190053</v>
      </c>
      <c r="L192" s="15" t="n">
        <f aca="false">K192*(1+IF(L$3&lt;=$O$2,$D192,$D192-($D192-$I$184)*MIN(L$3-$O$2,$Q$2)/$Q$2))</f>
        <v>3679.63341902153</v>
      </c>
      <c r="M192" s="15" t="n">
        <f aca="false">L192*(1+IF(M$3&lt;=$O$2,$D192,$D192-($D192-$I$184)*MIN(M$3-$O$2,$Q$2)/$Q$2))</f>
        <v>3770.87452918794</v>
      </c>
      <c r="N192" s="15" t="n">
        <f aca="false">M192*(1+IF(N$3&lt;=$O$2,$D192,$D192-($D192-$I$184)*MIN(N$3-$O$2,$Q$2)/$Q$2))</f>
        <v>3839.88153307208</v>
      </c>
      <c r="O192" s="15" t="n">
        <f aca="false">SUMPRODUCT(E192:N192,1/(1+$F$184)^$E$3:$N$3)*$E$2</f>
        <v>4158.00715633451</v>
      </c>
      <c r="P192" s="15" t="n">
        <f aca="false">N192*$E$2*(1+$I$184)/($F$184-$I$184)/(1+$F$184)^$N$3</f>
        <v>4689.88576146724</v>
      </c>
      <c r="Q192" s="15" t="n">
        <f aca="false">O192+P192</f>
        <v>8847.89291780175</v>
      </c>
      <c r="R192" s="15" t="n">
        <f aca="false">Q192-$G$2+$I$2</f>
        <v>7471.69291780175</v>
      </c>
      <c r="S192" s="42" t="n">
        <f aca="false">R192/$K$2</f>
        <v>199.192026600953</v>
      </c>
      <c r="T192" s="43" t="n">
        <f aca="false">S192-$M$2</f>
        <v>-5.28677905087292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0.05078125</v>
      </c>
      <c r="C193" s="25" t="n">
        <f aca="false">IF(T192&gt;0,D192,C192)</f>
        <v>0.0625</v>
      </c>
      <c r="D193" s="41" t="n">
        <f aca="false">(B193+C193)/2</f>
        <v>0.056640625</v>
      </c>
      <c r="E193" s="15" t="n">
        <f aca="false">$C$2*(1+IF(E$3&lt;=$O$2,$D193,$D193-($D193-$I$184)*MIN(E$3-$O$2,$Q$2)/$Q$2))</f>
        <v>2715.56640625</v>
      </c>
      <c r="F193" s="15" t="n">
        <f aca="false">E193*(1+IF(F$3&lt;=$O$2,$D193,$D193-($D193-$I$184)*MIN(F$3-$O$2,$Q$2)/$Q$2))</f>
        <v>2869.377784729</v>
      </c>
      <c r="G193" s="15" t="n">
        <f aca="false">F193*(1+IF(G$3&lt;=$O$2,$D193,$D193-($D193-$I$184)*MIN(G$3-$O$2,$Q$2)/$Q$2))</f>
        <v>3031.90113581717</v>
      </c>
      <c r="H193" s="15" t="n">
        <f aca="false">G193*(1+IF(H$3&lt;=$O$2,$D193,$D193-($D193-$I$184)*MIN(H$3-$O$2,$Q$2)/$Q$2))</f>
        <v>3203.62991108806</v>
      </c>
      <c r="I193" s="15" t="n">
        <f aca="false">H193*(1+IF(I$3&lt;=$O$2,$D193,$D193-($D193-$I$184)*MIN(I$3-$O$2,$Q$2)/$Q$2))</f>
        <v>3385.08551152079</v>
      </c>
      <c r="J193" s="15" t="n">
        <f aca="false">I193*(1+IF(J$3&lt;=$O$2,$D193,$D193-($D193-$I$184)*MIN(J$3-$O$2,$Q$2)/$Q$2))</f>
        <v>3550.86161173374</v>
      </c>
      <c r="K193" s="15" t="n">
        <f aca="false">J193*(1+IF(K$3&lt;=$O$2,$D193,$D193-($D193-$I$184)*MIN(K$3-$O$2,$Q$2)/$Q$2))</f>
        <v>3697.52773131789</v>
      </c>
      <c r="L193" s="15" t="n">
        <f aca="false">K193*(1+IF(L$3&lt;=$O$2,$D193,$D193-($D193-$I$184)*MIN(L$3-$O$2,$Q$2)/$Q$2))</f>
        <v>3821.89869847044</v>
      </c>
      <c r="M193" s="15" t="n">
        <f aca="false">L193*(1+IF(M$3&lt;=$O$2,$D193,$D193-($D193-$I$184)*MIN(M$3-$O$2,$Q$2)/$Q$2))</f>
        <v>3921.14624160965</v>
      </c>
      <c r="N193" s="15" t="n">
        <f aca="false">M193*(1+IF(N$3&lt;=$O$2,$D193,$D193-($D193-$I$184)*MIN(N$3-$O$2,$Q$2)/$Q$2))</f>
        <v>3992.90321783111</v>
      </c>
      <c r="O193" s="15" t="n">
        <f aca="false">SUMPRODUCT(E193:N193,1/(1+$F$184)^$E$3:$N$3)*$E$2</f>
        <v>4264.96866344184</v>
      </c>
      <c r="P193" s="15" t="n">
        <f aca="false">N193*$E$2*(1+$I$184)/($F$184-$I$184)/(1+$F$184)^$N$3</f>
        <v>4876.78064725111</v>
      </c>
      <c r="Q193" s="15" t="n">
        <f aca="false">O193+P193</f>
        <v>9141.74931069295</v>
      </c>
      <c r="R193" s="15" t="n">
        <f aca="false">Q193-$G$2+$I$2</f>
        <v>7765.54931069295</v>
      </c>
      <c r="S193" s="42" t="n">
        <f aca="false">R193/$K$2</f>
        <v>207.026107989681</v>
      </c>
      <c r="T193" s="43" t="n">
        <f aca="false">S193-$M$2</f>
        <v>2.54730233785534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0.05078125</v>
      </c>
      <c r="C194" s="25" t="n">
        <f aca="false">IF(T193&gt;0,D193,C193)</f>
        <v>0.056640625</v>
      </c>
      <c r="D194" s="41" t="n">
        <f aca="false">(B194+C194)/2</f>
        <v>0.0537109375</v>
      </c>
      <c r="E194" s="15" t="n">
        <f aca="false">$C$2*(1+IF(E$3&lt;=$O$2,$D194,$D194-($D194-$I$184)*MIN(E$3-$O$2,$Q$2)/$Q$2))</f>
        <v>2708.037109375</v>
      </c>
      <c r="F194" s="15" t="n">
        <f aca="false">E194*(1+IF(F$3&lt;=$O$2,$D194,$D194-($D194-$I$184)*MIN(F$3-$O$2,$Q$2)/$Q$2))</f>
        <v>2853.48832130432</v>
      </c>
      <c r="G194" s="15" t="n">
        <f aca="false">F194*(1+IF(G$3&lt;=$O$2,$D194,$D194-($D194-$I$184)*MIN(G$3-$O$2,$Q$2)/$Q$2))</f>
        <v>3006.75185418688</v>
      </c>
      <c r="H194" s="15" t="n">
        <f aca="false">G194*(1+IF(H$3&lt;=$O$2,$D194,$D194-($D194-$I$184)*MIN(H$3-$O$2,$Q$2)/$Q$2))</f>
        <v>3168.24731510512</v>
      </c>
      <c r="I194" s="15" t="n">
        <f aca="false">H194*(1+IF(I$3&lt;=$O$2,$D194,$D194-($D194-$I$184)*MIN(I$3-$O$2,$Q$2)/$Q$2))</f>
        <v>3338.41684863127</v>
      </c>
      <c r="J194" s="15" t="n">
        <f aca="false">I194*(1+IF(J$3&lt;=$O$2,$D194,$D194-($D194-$I$184)*MIN(J$3-$O$2,$Q$2)/$Q$2))</f>
        <v>3494.08305326189</v>
      </c>
      <c r="K194" s="15" t="n">
        <f aca="false">J194*(1+IF(K$3&lt;=$O$2,$D194,$D194-($D194-$I$184)*MIN(K$3-$O$2,$Q$2)/$Q$2))</f>
        <v>3632.2620271079</v>
      </c>
      <c r="L194" s="15" t="n">
        <f aca="false">K194*(1+IF(L$3&lt;=$O$2,$D194,$D194-($D194-$I$184)*MIN(L$3-$O$2,$Q$2)/$Q$2))</f>
        <v>3750.18114365419</v>
      </c>
      <c r="M194" s="15" t="n">
        <f aca="false">L194*(1+IF(M$3&lt;=$O$2,$D194,$D194-($D194-$I$184)*MIN(M$3-$O$2,$Q$2)/$Q$2))</f>
        <v>3845.36894460139</v>
      </c>
      <c r="N194" s="15" t="n">
        <f aca="false">M194*(1+IF(N$3&lt;=$O$2,$D194,$D194-($D194-$I$184)*MIN(N$3-$O$2,$Q$2)/$Q$2))</f>
        <v>3915.73919628759</v>
      </c>
      <c r="O194" s="15" t="n">
        <f aca="false">SUMPRODUCT(E194:N194,1/(1+$F$184)^$E$3:$N$3)*$E$2</f>
        <v>4211.14550752922</v>
      </c>
      <c r="P194" s="15" t="n">
        <f aca="false">N194*$E$2*(1+$I$184)/($F$184-$I$184)/(1+$F$184)^$N$3</f>
        <v>4782.53543608571</v>
      </c>
      <c r="Q194" s="15" t="n">
        <f aca="false">O194+P194</f>
        <v>8993.68094361493</v>
      </c>
      <c r="R194" s="15" t="n">
        <f aca="false">Q194-$G$2+$I$2</f>
        <v>7617.48094361493</v>
      </c>
      <c r="S194" s="42" t="n">
        <f aca="false">R194/$K$2</f>
        <v>203.078670850838</v>
      </c>
      <c r="T194" s="43" t="n">
        <f aca="false">S194-$M$2</f>
        <v>-1.40013480098824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0.0537109375</v>
      </c>
      <c r="C195" s="25" t="n">
        <f aca="false">IF(T194&gt;0,D194,C194)</f>
        <v>0.056640625</v>
      </c>
      <c r="D195" s="41" t="n">
        <f aca="false">(B195+C195)/2</f>
        <v>0.05517578125</v>
      </c>
      <c r="E195" s="15" t="n">
        <f aca="false">$C$2*(1+IF(E$3&lt;=$O$2,$D195,$D195-($D195-$I$184)*MIN(E$3-$O$2,$Q$2)/$Q$2))</f>
        <v>2711.8017578125</v>
      </c>
      <c r="F195" s="15" t="n">
        <f aca="false">E195*(1+IF(F$3&lt;=$O$2,$D195,$D195-($D195-$I$184)*MIN(F$3-$O$2,$Q$2)/$Q$2))</f>
        <v>2861.42753839493</v>
      </c>
      <c r="G195" s="15" t="n">
        <f aca="false">F195*(1+IF(G$3&lt;=$O$2,$D195,$D195-($D195-$I$184)*MIN(G$3-$O$2,$Q$2)/$Q$2))</f>
        <v>3019.30903831613</v>
      </c>
      <c r="H195" s="15" t="n">
        <f aca="false">G195*(1+IF(H$3&lt;=$O$2,$D195,$D195-($D195-$I$184)*MIN(H$3-$O$2,$Q$2)/$Q$2))</f>
        <v>3185.90177334041</v>
      </c>
      <c r="I195" s="15" t="n">
        <f aca="false">H195*(1+IF(I$3&lt;=$O$2,$D195,$D195-($D195-$I$184)*MIN(I$3-$O$2,$Q$2)/$Q$2))</f>
        <v>3361.68639267023</v>
      </c>
      <c r="J195" s="15" t="n">
        <f aca="false">I195*(1+IF(J$3&lt;=$O$2,$D195,$D195-($D195-$I$184)*MIN(J$3-$O$2,$Q$2)/$Q$2))</f>
        <v>3522.37710329386</v>
      </c>
      <c r="K195" s="15" t="n">
        <f aca="false">J195*(1+IF(K$3&lt;=$O$2,$D195,$D195-($D195-$I$184)*MIN(K$3-$O$2,$Q$2)/$Q$2))</f>
        <v>3664.77084880878</v>
      </c>
      <c r="L195" s="15" t="n">
        <f aca="false">K195*(1+IF(L$3&lt;=$O$2,$D195,$D195-($D195-$I$184)*MIN(L$3-$O$2,$Q$2)/$Q$2))</f>
        <v>3785.8926706028</v>
      </c>
      <c r="M195" s="15" t="n">
        <f aca="false">L195*(1+IF(M$3&lt;=$O$2,$D195,$D195-($D195-$I$184)*MIN(M$3-$O$2,$Q$2)/$Q$2))</f>
        <v>3883.09605646626</v>
      </c>
      <c r="N195" s="15" t="n">
        <f aca="false">M195*(1+IF(N$3&lt;=$O$2,$D195,$D195-($D195-$I$184)*MIN(N$3-$O$2,$Q$2)/$Q$2))</f>
        <v>3954.15671429959</v>
      </c>
      <c r="O195" s="15" t="n">
        <f aca="false">SUMPRODUCT(E195:N195,1/(1+$F$184)^$E$3:$N$3)*$E$2</f>
        <v>4237.97097121626</v>
      </c>
      <c r="P195" s="15" t="n">
        <f aca="false">N195*$E$2*(1+$I$184)/($F$184-$I$184)/(1+$F$184)^$N$3</f>
        <v>4829.45713644641</v>
      </c>
      <c r="Q195" s="15" t="n">
        <f aca="false">O195+P195</f>
        <v>9067.42810766267</v>
      </c>
      <c r="R195" s="15" t="n">
        <f aca="false">Q195-$G$2+$I$2</f>
        <v>7691.22810766267</v>
      </c>
      <c r="S195" s="42" t="n">
        <f aca="false">R195/$K$2</f>
        <v>205.044737607642</v>
      </c>
      <c r="T195" s="43" t="n">
        <f aca="false">S195-$M$2</f>
        <v>0.565931955816382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0.0537109375</v>
      </c>
      <c r="C196" s="25" t="n">
        <f aca="false">IF(T195&gt;0,D195,C195)</f>
        <v>0.05517578125</v>
      </c>
      <c r="D196" s="41" t="n">
        <f aca="false">(B196+C196)/2</f>
        <v>0.054443359375</v>
      </c>
      <c r="E196" s="15" t="n">
        <f aca="false">$C$2*(1+IF(E$3&lt;=$O$2,$D196,$D196-($D196-$I$184)*MIN(E$3-$O$2,$Q$2)/$Q$2))</f>
        <v>2709.91943359375</v>
      </c>
      <c r="F196" s="15" t="n">
        <f aca="false">E196*(1+IF(F$3&lt;=$O$2,$D196,$D196-($D196-$I$184)*MIN(F$3-$O$2,$Q$2)/$Q$2))</f>
        <v>2857.45655119419</v>
      </c>
      <c r="G196" s="15" t="n">
        <f aca="false">F196*(1+IF(G$3&lt;=$O$2,$D196,$D196-($D196-$I$184)*MIN(G$3-$O$2,$Q$2)/$Q$2))</f>
        <v>3013.0260851093</v>
      </c>
      <c r="H196" s="15" t="n">
        <f aca="false">G196*(1+IF(H$3&lt;=$O$2,$D196,$D196-($D196-$I$184)*MIN(H$3-$O$2,$Q$2)/$Q$2))</f>
        <v>3177.06534706716</v>
      </c>
      <c r="I196" s="15" t="n">
        <f aca="false">H196*(1+IF(I$3&lt;=$O$2,$D196,$D196-($D196-$I$184)*MIN(I$3-$O$2,$Q$2)/$Q$2))</f>
        <v>3350.0354575154</v>
      </c>
      <c r="J196" s="15" t="n">
        <f aca="false">I196*(1+IF(J$3&lt;=$O$2,$D196,$D196-($D196-$I$184)*MIN(J$3-$O$2,$Q$2)/$Q$2))</f>
        <v>3508.2063347559</v>
      </c>
      <c r="K196" s="15" t="n">
        <f aca="false">J196*(1+IF(K$3&lt;=$O$2,$D196,$D196-($D196-$I$184)*MIN(K$3-$O$2,$Q$2)/$Q$2))</f>
        <v>3648.48552807318</v>
      </c>
      <c r="L196" s="15" t="n">
        <f aca="false">K196*(1+IF(L$3&lt;=$O$2,$D196,$D196-($D196-$I$184)*MIN(L$3-$O$2,$Q$2)/$Q$2))</f>
        <v>3768.00022268317</v>
      </c>
      <c r="M196" s="15" t="n">
        <f aca="false">L196*(1+IF(M$3&lt;=$O$2,$D196,$D196-($D196-$I$184)*MIN(M$3-$O$2,$Q$2)/$Q$2))</f>
        <v>3864.19226399298</v>
      </c>
      <c r="N196" s="15" t="n">
        <f aca="false">M196*(1+IF(N$3&lt;=$O$2,$D196,$D196-($D196-$I$184)*MIN(N$3-$O$2,$Q$2)/$Q$2))</f>
        <v>3934.90698242405</v>
      </c>
      <c r="O196" s="15" t="n">
        <f aca="false">SUMPRODUCT(E196:N196,1/(1+$F$184)^$E$3:$N$3)*$E$2</f>
        <v>4224.53677522462</v>
      </c>
      <c r="P196" s="15" t="n">
        <f aca="false">N196*$E$2*(1+$I$184)/($F$184-$I$184)/(1+$F$184)^$N$3</f>
        <v>4805.9462435562</v>
      </c>
      <c r="Q196" s="15" t="n">
        <f aca="false">O196+P196</f>
        <v>9030.48301878082</v>
      </c>
      <c r="R196" s="15" t="n">
        <f aca="false">Q196-$G$2+$I$2</f>
        <v>7654.28301878082</v>
      </c>
      <c r="S196" s="42" t="n">
        <f aca="false">R196/$K$2</f>
        <v>204.059797888052</v>
      </c>
      <c r="T196" s="43" t="n">
        <f aca="false">S196-$M$2</f>
        <v>-0.419007763774488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0.054443359375</v>
      </c>
      <c r="C197" s="25" t="n">
        <f aca="false">IF(T196&gt;0,D196,C196)</f>
        <v>0.05517578125</v>
      </c>
      <c r="D197" s="41" t="n">
        <f aca="false">(B197+C197)/2</f>
        <v>0.0548095703125</v>
      </c>
      <c r="E197" s="15" t="n">
        <f aca="false">$C$2*(1+IF(E$3&lt;=$O$2,$D197,$D197-($D197-$I$184)*MIN(E$3-$O$2,$Q$2)/$Q$2))</f>
        <v>2710.86059570313</v>
      </c>
      <c r="F197" s="15" t="n">
        <f aca="false">E197*(1+IF(F$3&lt;=$O$2,$D197,$D197-($D197-$I$184)*MIN(F$3-$O$2,$Q$2)/$Q$2))</f>
        <v>2859.4417001307</v>
      </c>
      <c r="G197" s="15" t="n">
        <f aca="false">F197*(1+IF(G$3&lt;=$O$2,$D197,$D197-($D197-$I$184)*MIN(G$3-$O$2,$Q$2)/$Q$2))</f>
        <v>3016.16647104851</v>
      </c>
      <c r="H197" s="15" t="n">
        <f aca="false">G197*(1+IF(H$3&lt;=$O$2,$D197,$D197-($D197-$I$184)*MIN(H$3-$O$2,$Q$2)/$Q$2))</f>
        <v>3181.48125931765</v>
      </c>
      <c r="I197" s="15" t="n">
        <f aca="false">H197*(1+IF(I$3&lt;=$O$2,$D197,$D197-($D197-$I$184)*MIN(I$3-$O$2,$Q$2)/$Q$2))</f>
        <v>3355.85688009812</v>
      </c>
      <c r="J197" s="15" t="n">
        <f aca="false">I197*(1+IF(J$3&lt;=$O$2,$D197,$D197-($D197-$I$184)*MIN(J$3-$O$2,$Q$2)/$Q$2))</f>
        <v>3515.28577518202</v>
      </c>
      <c r="K197" s="15" t="n">
        <f aca="false">J197*(1+IF(K$3&lt;=$O$2,$D197,$D197-($D197-$I$184)*MIN(K$3-$O$2,$Q$2)/$Q$2))</f>
        <v>3656.62044877437</v>
      </c>
      <c r="L197" s="15" t="n">
        <f aca="false">K197*(1+IF(L$3&lt;=$O$2,$D197,$D197-($D197-$I$184)*MIN(L$3-$O$2,$Q$2)/$Q$2))</f>
        <v>3776.93725953921</v>
      </c>
      <c r="M197" s="15" t="n">
        <f aca="false">L197*(1+IF(M$3&lt;=$O$2,$D197,$D197-($D197-$I$184)*MIN(M$3-$O$2,$Q$2)/$Q$2))</f>
        <v>3873.63408267738</v>
      </c>
      <c r="N197" s="15" t="n">
        <f aca="false">M197*(1+IF(N$3&lt;=$O$2,$D197,$D197-($D197-$I$184)*MIN(N$3-$O$2,$Q$2)/$Q$2))</f>
        <v>3944.52158639038</v>
      </c>
      <c r="O197" s="15" t="n">
        <f aca="false">SUMPRODUCT(E197:N197,1/(1+$F$184)^$E$3:$N$3)*$E$2</f>
        <v>4231.24849914412</v>
      </c>
      <c r="P197" s="15" t="n">
        <f aca="false">N197*$E$2*(1+$I$184)/($F$184-$I$184)/(1+$F$184)^$N$3</f>
        <v>4817.68915641834</v>
      </c>
      <c r="Q197" s="15" t="n">
        <f aca="false">O197+P197</f>
        <v>9048.93765556246</v>
      </c>
      <c r="R197" s="15" t="n">
        <f aca="false">Q197-$G$2+$I$2</f>
        <v>7672.73765556246</v>
      </c>
      <c r="S197" s="42" t="n">
        <f aca="false">R197/$K$2</f>
        <v>204.551790337576</v>
      </c>
      <c r="T197" s="43" t="n">
        <f aca="false">S197-$M$2</f>
        <v>0.0729846857494749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0.054443359375</v>
      </c>
      <c r="C198" s="25" t="n">
        <f aca="false">IF(T197&gt;0,D197,C197)</f>
        <v>0.0548095703125</v>
      </c>
      <c r="D198" s="41" t="n">
        <f aca="false">(B198+C198)/2</f>
        <v>0.05462646484375</v>
      </c>
      <c r="E198" s="15" t="n">
        <f aca="false">$C$2*(1+IF(E$3&lt;=$O$2,$D198,$D198-($D198-$I$184)*MIN(E$3-$O$2,$Q$2)/$Q$2))</f>
        <v>2710.39001464844</v>
      </c>
      <c r="F198" s="15" t="n">
        <f aca="false">E198*(1+IF(F$3&lt;=$O$2,$D198,$D198-($D198-$I$184)*MIN(F$3-$O$2,$Q$2)/$Q$2))</f>
        <v>2858.44903949648</v>
      </c>
      <c r="G198" s="15" t="n">
        <f aca="false">F198*(1+IF(G$3&lt;=$O$2,$D198,$D198-($D198-$I$184)*MIN(G$3-$O$2,$Q$2)/$Q$2))</f>
        <v>3014.59600546019</v>
      </c>
      <c r="H198" s="15" t="n">
        <f aca="false">G198*(1+IF(H$3&lt;=$O$2,$D198,$D198-($D198-$I$184)*MIN(H$3-$O$2,$Q$2)/$Q$2))</f>
        <v>3179.27272817057</v>
      </c>
      <c r="I198" s="15" t="n">
        <f aca="false">H198*(1+IF(I$3&lt;=$O$2,$D198,$D198-($D198-$I$184)*MIN(I$3-$O$2,$Q$2)/$Q$2))</f>
        <v>3352.94515808467</v>
      </c>
      <c r="J198" s="15" t="n">
        <f aca="false">I198*(1+IF(J$3&lt;=$O$2,$D198,$D198-($D198-$I$184)*MIN(J$3-$O$2,$Q$2)/$Q$2))</f>
        <v>3511.74457000417</v>
      </c>
      <c r="K198" s="15" t="n">
        <f aca="false">J198*(1+IF(K$3&lt;=$O$2,$D198,$D198-($D198-$I$184)*MIN(K$3-$O$2,$Q$2)/$Q$2))</f>
        <v>3652.55105503274</v>
      </c>
      <c r="L198" s="15" t="n">
        <f aca="false">K198*(1+IF(L$3&lt;=$O$2,$D198,$D198-($D198-$I$184)*MIN(L$3-$O$2,$Q$2)/$Q$2))</f>
        <v>3772.46644633609</v>
      </c>
      <c r="M198" s="15" t="n">
        <f aca="false">L198*(1+IF(M$3&lt;=$O$2,$D198,$D198-($D198-$I$184)*MIN(M$3-$O$2,$Q$2)/$Q$2))</f>
        <v>3868.91065625146</v>
      </c>
      <c r="N198" s="15" t="n">
        <f aca="false">M198*(1+IF(N$3&lt;=$O$2,$D198,$D198-($D198-$I$184)*MIN(N$3-$O$2,$Q$2)/$Q$2))</f>
        <v>3939.71172126086</v>
      </c>
      <c r="O198" s="15" t="n">
        <f aca="false">SUMPRODUCT(E198:N198,1/(1+$F$184)^$E$3:$N$3)*$E$2</f>
        <v>4227.89129467102</v>
      </c>
      <c r="P198" s="15" t="n">
        <f aca="false">N198*$E$2*(1+$I$184)/($F$184-$I$184)/(1+$F$184)^$N$3</f>
        <v>4811.81456945746</v>
      </c>
      <c r="Q198" s="15" t="n">
        <f aca="false">O198+P198</f>
        <v>9039.70586412848</v>
      </c>
      <c r="R198" s="15" t="n">
        <f aca="false">Q198-$G$2+$I$2</f>
        <v>7663.50586412848</v>
      </c>
      <c r="S198" s="42" t="n">
        <f aca="false">R198/$K$2</f>
        <v>204.305674863462</v>
      </c>
      <c r="T198" s="43" t="n">
        <f aca="false">S198-$M$2</f>
        <v>-0.173130788363665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0.05462646484375</v>
      </c>
      <c r="C199" s="25" t="n">
        <f aca="false">IF(T198&gt;0,D198,C198)</f>
        <v>0.0548095703125</v>
      </c>
      <c r="D199" s="41" t="n">
        <f aca="false">(B199+C199)/2</f>
        <v>0.054718017578125</v>
      </c>
      <c r="E199" s="15" t="n">
        <f aca="false">$C$2*(1+IF(E$3&lt;=$O$2,$D199,$D199-($D199-$I$184)*MIN(E$3-$O$2,$Q$2)/$Q$2))</f>
        <v>2710.62530517578</v>
      </c>
      <c r="F199" s="15" t="n">
        <f aca="false">E199*(1+IF(F$3&lt;=$O$2,$D199,$D199-($D199-$I$184)*MIN(F$3-$O$2,$Q$2)/$Q$2))</f>
        <v>2858.9453482721</v>
      </c>
      <c r="G199" s="15" t="n">
        <f aca="false">F199*(1+IF(G$3&lt;=$O$2,$D199,$D199-($D199-$I$184)*MIN(G$3-$O$2,$Q$2)/$Q$2))</f>
        <v>3015.38117009375</v>
      </c>
      <c r="H199" s="15" t="n">
        <f aca="false">G199*(1+IF(H$3&lt;=$O$2,$D199,$D199-($D199-$I$184)*MIN(H$3-$O$2,$Q$2)/$Q$2))</f>
        <v>3180.37684996369</v>
      </c>
      <c r="I199" s="15" t="n">
        <f aca="false">H199*(1+IF(I$3&lt;=$O$2,$D199,$D199-($D199-$I$184)*MIN(I$3-$O$2,$Q$2)/$Q$2))</f>
        <v>3354.40076634506</v>
      </c>
      <c r="J199" s="15" t="n">
        <f aca="false">I199*(1+IF(J$3&lt;=$O$2,$D199,$D199-($D199-$I$184)*MIN(J$3-$O$2,$Q$2)/$Q$2))</f>
        <v>3513.51480122744</v>
      </c>
      <c r="K199" s="15" t="n">
        <f aca="false">J199*(1+IF(K$3&lt;=$O$2,$D199,$D199-($D199-$I$184)*MIN(K$3-$O$2,$Q$2)/$Q$2))</f>
        <v>3654.58526836517</v>
      </c>
      <c r="L199" s="15" t="n">
        <f aca="false">K199*(1+IF(L$3&lt;=$O$2,$D199,$D199-($D199-$I$184)*MIN(L$3-$O$2,$Q$2)/$Q$2))</f>
        <v>3774.70127899388</v>
      </c>
      <c r="M199" s="15" t="n">
        <f aca="false">L199*(1+IF(M$3&lt;=$O$2,$D199,$D199-($D199-$I$184)*MIN(M$3-$O$2,$Q$2)/$Q$2))</f>
        <v>3871.27173990558</v>
      </c>
      <c r="N199" s="15" t="n">
        <f aca="false">M199*(1+IF(N$3&lt;=$O$2,$D199,$D199-($D199-$I$184)*MIN(N$3-$O$2,$Q$2)/$Q$2))</f>
        <v>3942.11601274586</v>
      </c>
      <c r="O199" s="15" t="n">
        <f aca="false">SUMPRODUCT(E199:N199,1/(1+$F$184)^$E$3:$N$3)*$E$2</f>
        <v>4229.56956115357</v>
      </c>
      <c r="P199" s="15" t="n">
        <f aca="false">N199*$E$2*(1+$I$184)/($F$184-$I$184)/(1+$F$184)^$N$3</f>
        <v>4814.75107994738</v>
      </c>
      <c r="Q199" s="15" t="n">
        <f aca="false">O199+P199</f>
        <v>9044.32064110094</v>
      </c>
      <c r="R199" s="15" t="n">
        <f aca="false">Q199-$G$2+$I$2</f>
        <v>7668.12064110094</v>
      </c>
      <c r="S199" s="42" t="n">
        <f aca="false">R199/$K$2</f>
        <v>204.428702775285</v>
      </c>
      <c r="T199" s="43" t="n">
        <f aca="false">S199-$M$2</f>
        <v>-0.0501028765409899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0.054718017578125</v>
      </c>
      <c r="C200" s="25" t="n">
        <f aca="false">IF(T199&gt;0,D199,C199)</f>
        <v>0.0548095703125</v>
      </c>
      <c r="D200" s="41" t="n">
        <f aca="false">(B200+C200)/2</f>
        <v>0.0547637939453125</v>
      </c>
      <c r="E200" s="15" t="n">
        <f aca="false">$C$2*(1+IF(E$3&lt;=$O$2,$D200,$D200-($D200-$I$184)*MIN(E$3-$O$2,$Q$2)/$Q$2))</f>
        <v>2710.74295043945</v>
      </c>
      <c r="F200" s="15" t="n">
        <f aca="false">E200*(1+IF(F$3&lt;=$O$2,$D200,$D200-($D200-$I$184)*MIN(F$3-$O$2,$Q$2)/$Q$2))</f>
        <v>2859.19351881603</v>
      </c>
      <c r="G200" s="15" t="n">
        <f aca="false">F200*(1+IF(G$3&lt;=$O$2,$D200,$D200-($D200-$I$184)*MIN(G$3-$O$2,$Q$2)/$Q$2))</f>
        <v>3015.77380353024</v>
      </c>
      <c r="H200" s="15" t="n">
        <f aca="false">G200*(1+IF(H$3&lt;=$O$2,$D200,$D200-($D200-$I$184)*MIN(H$3-$O$2,$Q$2)/$Q$2))</f>
        <v>3180.92901869244</v>
      </c>
      <c r="I200" s="15" t="n">
        <f aca="false">H200*(1+IF(I$3&lt;=$O$2,$D200,$D200-($D200-$I$184)*MIN(I$3-$O$2,$Q$2)/$Q$2))</f>
        <v>3355.12876002678</v>
      </c>
      <c r="J200" s="15" t="n">
        <f aca="false">I200*(1+IF(J$3&lt;=$O$2,$D200,$D200-($D200-$I$184)*MIN(J$3-$O$2,$Q$2)/$Q$2))</f>
        <v>3514.40019534776</v>
      </c>
      <c r="K200" s="15" t="n">
        <f aca="false">J200*(1+IF(K$3&lt;=$O$2,$D200,$D200-($D200-$I$184)*MIN(K$3-$O$2,$Q$2)/$Q$2))</f>
        <v>3655.60273766134</v>
      </c>
      <c r="L200" s="15" t="n">
        <f aca="false">K200*(1+IF(L$3&lt;=$O$2,$D200,$D200-($D200-$I$184)*MIN(L$3-$O$2,$Q$2)/$Q$2))</f>
        <v>3775.81912574934</v>
      </c>
      <c r="M200" s="15" t="n">
        <f aca="false">L200*(1+IF(M$3&lt;=$O$2,$D200,$D200-($D200-$I$184)*MIN(M$3-$O$2,$Q$2)/$Q$2))</f>
        <v>3872.45275386577</v>
      </c>
      <c r="N200" s="15" t="n">
        <f aca="false">M200*(1+IF(N$3&lt;=$O$2,$D200,$D200-($D200-$I$184)*MIN(N$3-$O$2,$Q$2)/$Q$2))</f>
        <v>3943.31863926152</v>
      </c>
      <c r="O200" s="15" t="n">
        <f aca="false">SUMPRODUCT(E200:N200,1/(1+$F$184)^$E$3:$N$3)*$E$2</f>
        <v>4230.40894619463</v>
      </c>
      <c r="P200" s="15" t="n">
        <f aca="false">N200*$E$2*(1+$I$184)/($F$184-$I$184)/(1+$F$184)^$N$3</f>
        <v>4816.21992239046</v>
      </c>
      <c r="Q200" s="15" t="n">
        <f aca="false">O200+P200</f>
        <v>9046.62886858508</v>
      </c>
      <c r="R200" s="15" t="n">
        <f aca="false">Q200-$G$2+$I$2</f>
        <v>7670.42886858508</v>
      </c>
      <c r="S200" s="42" t="n">
        <f aca="false">R200/$K$2</f>
        <v>204.490239098509</v>
      </c>
      <c r="T200" s="43" t="n">
        <f aca="false">S200-$M$2</f>
        <v>0.0114334466831565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0.054718017578125</v>
      </c>
      <c r="C201" s="25" t="n">
        <f aca="false">IF(T200&gt;0,D200,C200)</f>
        <v>0.0547637939453125</v>
      </c>
      <c r="D201" s="41" t="n">
        <f aca="false">(B201+C201)/2</f>
        <v>0.0547409057617188</v>
      </c>
      <c r="E201" s="15" t="n">
        <f aca="false">$C$2*(1+IF(E$3&lt;=$O$2,$D201,$D201-($D201-$I$184)*MIN(E$3-$O$2,$Q$2)/$Q$2))</f>
        <v>2710.68412780762</v>
      </c>
      <c r="F201" s="15" t="n">
        <f aca="false">E201*(1+IF(F$3&lt;=$O$2,$D201,$D201-($D201-$I$184)*MIN(F$3-$O$2,$Q$2)/$Q$2))</f>
        <v>2859.06943219772</v>
      </c>
      <c r="G201" s="15" t="n">
        <f aca="false">F201*(1+IF(G$3&lt;=$O$2,$D201,$D201-($D201-$I$184)*MIN(G$3-$O$2,$Q$2)/$Q$2))</f>
        <v>3015.57748255187</v>
      </c>
      <c r="H201" s="15" t="n">
        <f aca="false">G201*(1+IF(H$3&lt;=$O$2,$D201,$D201-($D201-$I$184)*MIN(H$3-$O$2,$Q$2)/$Q$2))</f>
        <v>3180.6529253414</v>
      </c>
      <c r="I201" s="15" t="n">
        <f aca="false">H201*(1+IF(I$3&lt;=$O$2,$D201,$D201-($D201-$I$184)*MIN(I$3-$O$2,$Q$2)/$Q$2))</f>
        <v>3354.76474738825</v>
      </c>
      <c r="J201" s="15" t="n">
        <f aca="false">I201*(1+IF(J$3&lt;=$O$2,$D201,$D201-($D201-$I$184)*MIN(J$3-$O$2,$Q$2)/$Q$2))</f>
        <v>3513.9574750753</v>
      </c>
      <c r="K201" s="15" t="n">
        <f aca="false">J201*(1+IF(K$3&lt;=$O$2,$D201,$D201-($D201-$I$184)*MIN(K$3-$O$2,$Q$2)/$Q$2))</f>
        <v>3655.09397278912</v>
      </c>
      <c r="L201" s="15" t="n">
        <f aca="false">K201*(1+IF(L$3&lt;=$O$2,$D201,$D201-($D201-$I$184)*MIN(L$3-$O$2,$Q$2)/$Q$2))</f>
        <v>3775.26016649622</v>
      </c>
      <c r="M201" s="15" t="n">
        <f aca="false">L201*(1+IF(M$3&lt;=$O$2,$D201,$D201-($D201-$I$184)*MIN(M$3-$O$2,$Q$2)/$Q$2))</f>
        <v>3871.86220753375</v>
      </c>
      <c r="N201" s="15" t="n">
        <f aca="false">M201*(1+IF(N$3&lt;=$O$2,$D201,$D201-($D201-$I$184)*MIN(N$3-$O$2,$Q$2)/$Q$2))</f>
        <v>3942.71728593162</v>
      </c>
      <c r="O201" s="15" t="n">
        <f aca="false">SUMPRODUCT(E201:N201,1/(1+$F$184)^$E$3:$N$3)*$E$2</f>
        <v>4229.98923268751</v>
      </c>
      <c r="P201" s="15" t="n">
        <f aca="false">N201*$E$2*(1+$I$184)/($F$184-$I$184)/(1+$F$184)^$N$3</f>
        <v>4815.48545222641</v>
      </c>
      <c r="Q201" s="15" t="n">
        <f aca="false">O201+P201</f>
        <v>9045.47468491392</v>
      </c>
      <c r="R201" s="15" t="n">
        <f aca="false">Q201-$G$2+$I$2</f>
        <v>7669.27468491392</v>
      </c>
      <c r="S201" s="42" t="n">
        <f aca="false">R201/$K$2</f>
        <v>204.459469072619</v>
      </c>
      <c r="T201" s="43" t="n">
        <f aca="false">S201-$M$2</f>
        <v>-0.0193365792075895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0.0547409057617188</v>
      </c>
      <c r="C202" s="25" t="n">
        <f aca="false">IF(T201&gt;0,D201,C201)</f>
        <v>0.0547637939453125</v>
      </c>
      <c r="D202" s="41" t="n">
        <f aca="false">(B202+C202)/2</f>
        <v>0.0547523498535156</v>
      </c>
      <c r="E202" s="15" t="n">
        <f aca="false">$C$2*(1+IF(E$3&lt;=$O$2,$D202,$D202-($D202-$I$184)*MIN(E$3-$O$2,$Q$2)/$Q$2))</f>
        <v>2710.71353912354</v>
      </c>
      <c r="F202" s="15" t="n">
        <f aca="false">E202*(1+IF(F$3&lt;=$O$2,$D202,$D202-($D202-$I$184)*MIN(F$3-$O$2,$Q$2)/$Q$2))</f>
        <v>2859.13147517029</v>
      </c>
      <c r="G202" s="15" t="n">
        <f aca="false">F202*(1+IF(G$3&lt;=$O$2,$D202,$D202-($D202-$I$184)*MIN(G$3-$O$2,$Q$2)/$Q$2))</f>
        <v>3015.67564197601</v>
      </c>
      <c r="H202" s="15" t="n">
        <f aca="false">G202*(1+IF(H$3&lt;=$O$2,$D202,$D202-($D202-$I$184)*MIN(H$3-$O$2,$Q$2)/$Q$2))</f>
        <v>3180.79096977021</v>
      </c>
      <c r="I202" s="15" t="n">
        <f aca="false">H202*(1+IF(I$3&lt;=$O$2,$D202,$D202-($D202-$I$184)*MIN(I$3-$O$2,$Q$2)/$Q$2))</f>
        <v>3354.94674975797</v>
      </c>
      <c r="J202" s="15" t="n">
        <f aca="false">I202*(1+IF(J$3&lt;=$O$2,$D202,$D202-($D202-$I$184)*MIN(J$3-$O$2,$Q$2)/$Q$2))</f>
        <v>3514.17882940821</v>
      </c>
      <c r="K202" s="15" t="n">
        <f aca="false">J202*(1+IF(K$3&lt;=$O$2,$D202,$D202-($D202-$I$184)*MIN(K$3-$O$2,$Q$2)/$Q$2))</f>
        <v>3655.34834766883</v>
      </c>
      <c r="L202" s="15" t="n">
        <f aca="false">K202*(1+IF(L$3&lt;=$O$2,$D202,$D202-($D202-$I$184)*MIN(L$3-$O$2,$Q$2)/$Q$2))</f>
        <v>3775.53963715344</v>
      </c>
      <c r="M202" s="15" t="n">
        <f aca="false">L202*(1+IF(M$3&lt;=$O$2,$D202,$D202-($D202-$I$184)*MIN(M$3-$O$2,$Q$2)/$Q$2))</f>
        <v>3872.15747086122</v>
      </c>
      <c r="N202" s="15" t="n">
        <f aca="false">M202*(1+IF(N$3&lt;=$O$2,$D202,$D202-($D202-$I$184)*MIN(N$3-$O$2,$Q$2)/$Q$2))</f>
        <v>3943.01795257798</v>
      </c>
      <c r="O202" s="15" t="n">
        <f aca="false">SUMPRODUCT(E202:N202,1/(1+$F$184)^$E$3:$N$3)*$E$2</f>
        <v>4230.19908419417</v>
      </c>
      <c r="P202" s="15" t="n">
        <f aca="false">N202*$E$2*(1+$I$184)/($F$184-$I$184)/(1+$F$184)^$N$3</f>
        <v>4815.85267507211</v>
      </c>
      <c r="Q202" s="15" t="n">
        <f aca="false">O202+P202</f>
        <v>9046.05175926628</v>
      </c>
      <c r="R202" s="15" t="n">
        <f aca="false">Q202-$G$2+$I$2</f>
        <v>7669.85175926628</v>
      </c>
      <c r="S202" s="42" t="n">
        <f aca="false">R202/$K$2</f>
        <v>204.474853619469</v>
      </c>
      <c r="T202" s="43" t="n">
        <f aca="false">S202-$M$2</f>
        <v>-0.00395203235703434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0.0547523498535156</v>
      </c>
      <c r="C203" s="25" t="n">
        <f aca="false">IF(T202&gt;0,D202,C202)</f>
        <v>0.0547637939453125</v>
      </c>
      <c r="D203" s="41" t="n">
        <f aca="false">(B203+C203)/2</f>
        <v>0.0547580718994141</v>
      </c>
      <c r="E203" s="15" t="n">
        <f aca="false">$C$2*(1+IF(E$3&lt;=$O$2,$D203,$D203-($D203-$I$184)*MIN(E$3-$O$2,$Q$2)/$Q$2))</f>
        <v>2710.72824478149</v>
      </c>
      <c r="F203" s="15" t="n">
        <f aca="false">E203*(1+IF(F$3&lt;=$O$2,$D203,$D203-($D203-$I$184)*MIN(F$3-$O$2,$Q$2)/$Q$2))</f>
        <v>2859.16249690901</v>
      </c>
      <c r="G203" s="15" t="n">
        <f aca="false">F203*(1+IF(G$3&lt;=$O$2,$D203,$D203-($D203-$I$184)*MIN(G$3-$O$2,$Q$2)/$Q$2))</f>
        <v>3015.72472248686</v>
      </c>
      <c r="H203" s="15" t="n">
        <f aca="false">G203*(1+IF(H$3&lt;=$O$2,$D203,$D203-($D203-$I$184)*MIN(H$3-$O$2,$Q$2)/$Q$2))</f>
        <v>3180.85999366964</v>
      </c>
      <c r="I203" s="15" t="n">
        <f aca="false">H203*(1+IF(I$3&lt;=$O$2,$D203,$D203-($D203-$I$184)*MIN(I$3-$O$2,$Q$2)/$Q$2))</f>
        <v>3355.03775390497</v>
      </c>
      <c r="J203" s="15" t="n">
        <f aca="false">I203*(1+IF(J$3&lt;=$O$2,$D203,$D203-($D203-$I$184)*MIN(J$3-$O$2,$Q$2)/$Q$2))</f>
        <v>3514.28951092713</v>
      </c>
      <c r="K203" s="15" t="n">
        <f aca="false">J203*(1+IF(K$3&lt;=$O$2,$D203,$D203-($D203-$I$184)*MIN(K$3-$O$2,$Q$2)/$Q$2))</f>
        <v>3655.47554077593</v>
      </c>
      <c r="L203" s="15" t="n">
        <f aca="false">K203*(1+IF(L$3&lt;=$O$2,$D203,$D203-($D203-$I$184)*MIN(L$3-$O$2,$Q$2)/$Q$2))</f>
        <v>3775.679379209</v>
      </c>
      <c r="M203" s="15" t="n">
        <f aca="false">L203*(1+IF(M$3&lt;=$O$2,$D203,$D203-($D203-$I$184)*MIN(M$3-$O$2,$Q$2)/$Q$2))</f>
        <v>3872.30510990379</v>
      </c>
      <c r="N203" s="15" t="n">
        <f aca="false">M203*(1+IF(N$3&lt;=$O$2,$D203,$D203-($D203-$I$184)*MIN(N$3-$O$2,$Q$2)/$Q$2))</f>
        <v>3943.16829341503</v>
      </c>
      <c r="O203" s="15" t="n">
        <f aca="false">SUMPRODUCT(E203:N203,1/(1+$F$184)^$E$3:$N$3)*$E$2</f>
        <v>4230.30401388265</v>
      </c>
      <c r="P203" s="15" t="n">
        <f aca="false">N203*$E$2*(1+$I$184)/($F$184-$I$184)/(1+$F$184)^$N$3</f>
        <v>4816.03629567211</v>
      </c>
      <c r="Q203" s="15" t="n">
        <f aca="false">O203+P203</f>
        <v>9046.34030955476</v>
      </c>
      <c r="R203" s="15" t="n">
        <f aca="false">Q203-$G$2+$I$2</f>
        <v>7670.14030955476</v>
      </c>
      <c r="S203" s="42" t="n">
        <f aca="false">R203/$K$2</f>
        <v>204.482546242462</v>
      </c>
      <c r="T203" s="43" t="n">
        <f aca="false">S203-$M$2</f>
        <v>0.00374059063619825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0.0547523498535156</v>
      </c>
      <c r="C204" s="25" t="n">
        <f aca="false">IF(T203&gt;0,D203,C203)</f>
        <v>0.0547580718994141</v>
      </c>
      <c r="D204" s="41" t="n">
        <f aca="false">(B204+C204)/2</f>
        <v>0.0547552108764648</v>
      </c>
      <c r="E204" s="15" t="n">
        <f aca="false">$C$2*(1+IF(E$3&lt;=$O$2,$D204,$D204-($D204-$I$184)*MIN(E$3-$O$2,$Q$2)/$Q$2))</f>
        <v>2710.72089195251</v>
      </c>
      <c r="F204" s="15" t="n">
        <f aca="false">E204*(1+IF(F$3&lt;=$O$2,$D204,$D204-($D204-$I$184)*MIN(F$3-$O$2,$Q$2)/$Q$2))</f>
        <v>2859.14698601861</v>
      </c>
      <c r="G204" s="15" t="n">
        <f aca="false">F204*(1+IF(G$3&lt;=$O$2,$D204,$D204-($D204-$I$184)*MIN(G$3-$O$2,$Q$2)/$Q$2))</f>
        <v>3015.70018216487</v>
      </c>
      <c r="H204" s="15" t="n">
        <f aca="false">G204*(1+IF(H$3&lt;=$O$2,$D204,$D204-($D204-$I$184)*MIN(H$3-$O$2,$Q$2)/$Q$2))</f>
        <v>3180.8254815795</v>
      </c>
      <c r="I204" s="15" t="n">
        <f aca="false">H204*(1+IF(I$3&lt;=$O$2,$D204,$D204-($D204-$I$184)*MIN(I$3-$O$2,$Q$2)/$Q$2))</f>
        <v>3354.99225158462</v>
      </c>
      <c r="J204" s="15" t="n">
        <f aca="false">I204*(1+IF(J$3&lt;=$O$2,$D204,$D204-($D204-$I$184)*MIN(J$3-$O$2,$Q$2)/$Q$2))</f>
        <v>3514.23416980496</v>
      </c>
      <c r="K204" s="15" t="n">
        <f aca="false">J204*(1+IF(K$3&lt;=$O$2,$D204,$D204-($D204-$I$184)*MIN(K$3-$O$2,$Q$2)/$Q$2))</f>
        <v>3655.4119437501</v>
      </c>
      <c r="L204" s="15" t="n">
        <f aca="false">K204*(1+IF(L$3&lt;=$O$2,$D204,$D204-($D204-$I$184)*MIN(L$3-$O$2,$Q$2)/$Q$2))</f>
        <v>3775.60950762063</v>
      </c>
      <c r="M204" s="15" t="n">
        <f aca="false">L204*(1+IF(M$3&lt;=$O$2,$D204,$D204-($D204-$I$184)*MIN(M$3-$O$2,$Q$2)/$Q$2))</f>
        <v>3872.23128976759</v>
      </c>
      <c r="N204" s="15" t="n">
        <f aca="false">M204*(1+IF(N$3&lt;=$O$2,$D204,$D204-($D204-$I$184)*MIN(N$3-$O$2,$Q$2)/$Q$2))</f>
        <v>3943.09312237033</v>
      </c>
      <c r="O204" s="15" t="n">
        <f aca="false">SUMPRODUCT(E204:N204,1/(1+$F$184)^$E$3:$N$3)*$E$2</f>
        <v>4230.25154871048</v>
      </c>
      <c r="P204" s="15" t="n">
        <f aca="false">N204*$E$2*(1+$I$184)/($F$184-$I$184)/(1+$F$184)^$N$3</f>
        <v>4815.94448460733</v>
      </c>
      <c r="Q204" s="15" t="n">
        <f aca="false">O204+P204</f>
        <v>9046.19603331781</v>
      </c>
      <c r="R204" s="15" t="n">
        <f aca="false">Q204-$G$2+$I$2</f>
        <v>7669.99603331781</v>
      </c>
      <c r="S204" s="42" t="n">
        <f aca="false">R204/$K$2</f>
        <v>204.478699901834</v>
      </c>
      <c r="T204" s="43" t="n">
        <f aca="false">S204-$M$2</f>
        <v>-0.000105749991718085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0.0547552108764648</v>
      </c>
      <c r="C205" s="25" t="n">
        <f aca="false">IF(T204&gt;0,D204,C204)</f>
        <v>0.0547580718994141</v>
      </c>
      <c r="D205" s="41" t="n">
        <f aca="false">(B205+C205)/2</f>
        <v>0.0547566413879395</v>
      </c>
      <c r="E205" s="15" t="n">
        <f aca="false">$C$2*(1+IF(E$3&lt;=$O$2,$D205,$D205-($D205-$I$184)*MIN(E$3-$O$2,$Q$2)/$Q$2))</f>
        <v>2710.724568367</v>
      </c>
      <c r="F205" s="15" t="n">
        <f aca="false">E205*(1+IF(F$3&lt;=$O$2,$D205,$D205-($D205-$I$184)*MIN(F$3-$O$2,$Q$2)/$Q$2))</f>
        <v>2859.15474145855</v>
      </c>
      <c r="G205" s="15" t="n">
        <f aca="false">F205*(1+IF(G$3&lt;=$O$2,$D205,$D205-($D205-$I$184)*MIN(G$3-$O$2,$Q$2)/$Q$2))</f>
        <v>3015.71245230923</v>
      </c>
      <c r="H205" s="15" t="n">
        <f aca="false">G205*(1+IF(H$3&lt;=$O$2,$D205,$D205-($D205-$I$184)*MIN(H$3-$O$2,$Q$2)/$Q$2))</f>
        <v>3180.84273758947</v>
      </c>
      <c r="I205" s="15" t="n">
        <f aca="false">H205*(1+IF(I$3&lt;=$O$2,$D205,$D205-($D205-$I$184)*MIN(I$3-$O$2,$Q$2)/$Q$2))</f>
        <v>3355.01500268308</v>
      </c>
      <c r="J205" s="15" t="n">
        <f aca="false">I205*(1+IF(J$3&lt;=$O$2,$D205,$D205-($D205-$I$184)*MIN(J$3-$O$2,$Q$2)/$Q$2))</f>
        <v>3514.26184027536</v>
      </c>
      <c r="K205" s="15" t="n">
        <f aca="false">J205*(1+IF(K$3&lt;=$O$2,$D205,$D205-($D205-$I$184)*MIN(K$3-$O$2,$Q$2)/$Q$2))</f>
        <v>3655.44374214495</v>
      </c>
      <c r="L205" s="15" t="n">
        <f aca="false">K205*(1+IF(L$3&lt;=$O$2,$D205,$D205-($D205-$I$184)*MIN(L$3-$O$2,$Q$2)/$Q$2))</f>
        <v>3775.64444327467</v>
      </c>
      <c r="M205" s="15" t="n">
        <f aca="false">L205*(1+IF(M$3&lt;=$O$2,$D205,$D205-($D205-$I$184)*MIN(M$3-$O$2,$Q$2)/$Q$2))</f>
        <v>3872.26819968196</v>
      </c>
      <c r="N205" s="15" t="n">
        <f aca="false">M205*(1+IF(N$3&lt;=$O$2,$D205,$D205-($D205-$I$184)*MIN(N$3-$O$2,$Q$2)/$Q$2))</f>
        <v>3943.13070773614</v>
      </c>
      <c r="O205" s="15" t="n">
        <f aca="false">SUMPRODUCT(E205:N205,1/(1+$F$184)^$E$3:$N$3)*$E$2</f>
        <v>4230.27778121458</v>
      </c>
      <c r="P205" s="15" t="n">
        <f aca="false">N205*$E$2*(1+$I$184)/($F$184-$I$184)/(1+$F$184)^$N$3</f>
        <v>4815.99038994853</v>
      </c>
      <c r="Q205" s="15" t="n">
        <f aca="false">O205+P205</f>
        <v>9046.2681711631</v>
      </c>
      <c r="R205" s="15" t="n">
        <f aca="false">Q205-$G$2+$I$2</f>
        <v>7670.0681711631</v>
      </c>
      <c r="S205" s="42" t="n">
        <f aca="false">R205/$K$2</f>
        <v>204.480623064865</v>
      </c>
      <c r="T205" s="43" t="n">
        <f aca="false">S205-$M$2</f>
        <v>0.00181741303936178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0.0547552108764648</v>
      </c>
      <c r="C206" s="25" t="n">
        <f aca="false">IF(T205&gt;0,D205,C205)</f>
        <v>0.0547566413879395</v>
      </c>
      <c r="D206" s="41" t="n">
        <f aca="false">(B206+C206)/2</f>
        <v>0.0547559261322022</v>
      </c>
      <c r="E206" s="15" t="n">
        <f aca="false">$C$2*(1+IF(E$3&lt;=$O$2,$D206,$D206-($D206-$I$184)*MIN(E$3-$O$2,$Q$2)/$Q$2))</f>
        <v>2710.72273015976</v>
      </c>
      <c r="F206" s="15" t="n">
        <f aca="false">E206*(1+IF(F$3&lt;=$O$2,$D206,$D206-($D206-$I$184)*MIN(F$3-$O$2,$Q$2)/$Q$2))</f>
        <v>2859.15086373727</v>
      </c>
      <c r="G206" s="15" t="n">
        <f aca="false">F206*(1+IF(G$3&lt;=$O$2,$D206,$D206-($D206-$I$184)*MIN(G$3-$O$2,$Q$2)/$Q$2))</f>
        <v>3015.70631723289</v>
      </c>
      <c r="H206" s="15" t="n">
        <f aca="false">G206*(1+IF(H$3&lt;=$O$2,$D206,$D206-($D206-$I$184)*MIN(H$3-$O$2,$Q$2)/$Q$2))</f>
        <v>3180.83410957571</v>
      </c>
      <c r="I206" s="15" t="n">
        <f aca="false">H206*(1+IF(I$3&lt;=$O$2,$D206,$D206-($D206-$I$184)*MIN(I$3-$O$2,$Q$2)/$Q$2))</f>
        <v>3355.00362711842</v>
      </c>
      <c r="J206" s="15" t="n">
        <f aca="false">I206*(1+IF(J$3&lt;=$O$2,$D206,$D206-($D206-$I$184)*MIN(J$3-$O$2,$Q$2)/$Q$2))</f>
        <v>3514.24800501749</v>
      </c>
      <c r="K206" s="15" t="n">
        <f aca="false">J206*(1+IF(K$3&lt;=$O$2,$D206,$D206-($D206-$I$184)*MIN(K$3-$O$2,$Q$2)/$Q$2))</f>
        <v>3655.42784291801</v>
      </c>
      <c r="L206" s="15" t="n">
        <f aca="false">K206*(1+IF(L$3&lt;=$O$2,$D206,$D206-($D206-$I$184)*MIN(L$3-$O$2,$Q$2)/$Q$2))</f>
        <v>3775.62697541261</v>
      </c>
      <c r="M206" s="15" t="n">
        <f aca="false">L206*(1+IF(M$3&lt;=$O$2,$D206,$D206-($D206-$I$184)*MIN(M$3-$O$2,$Q$2)/$Q$2))</f>
        <v>3872.24974468634</v>
      </c>
      <c r="N206" s="15" t="n">
        <f aca="false">M206*(1+IF(N$3&lt;=$O$2,$D206,$D206-($D206-$I$184)*MIN(N$3-$O$2,$Q$2)/$Q$2))</f>
        <v>3943.1119150141</v>
      </c>
      <c r="O206" s="15" t="n">
        <f aca="false">SUMPRODUCT(E206:N206,1/(1+$F$184)^$E$3:$N$3)*$E$2</f>
        <v>4230.26466494203</v>
      </c>
      <c r="P206" s="15" t="n">
        <f aca="false">N206*$E$2*(1+$I$184)/($F$184-$I$184)/(1+$F$184)^$N$3</f>
        <v>4815.96743723013</v>
      </c>
      <c r="Q206" s="15" t="n">
        <f aca="false">O206+P206</f>
        <v>9046.23210217216</v>
      </c>
      <c r="R206" s="15" t="n">
        <f aca="false">Q206-$G$2+$I$2</f>
        <v>7670.03210217216</v>
      </c>
      <c r="S206" s="42" t="n">
        <f aca="false">R206/$K$2</f>
        <v>204.479661481529</v>
      </c>
      <c r="T206" s="43" t="n">
        <f aca="false">S206-$M$2</f>
        <v>0.000855829703056088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0.0547552108764648</v>
      </c>
      <c r="C207" s="25" t="n">
        <f aca="false">IF(T206&gt;0,D206,C206)</f>
        <v>0.0547559261322022</v>
      </c>
      <c r="D207" s="41" t="n">
        <f aca="false">(B207+C207)/2</f>
        <v>0.0547555685043335</v>
      </c>
      <c r="E207" s="15" t="n">
        <f aca="false">$C$2*(1+IF(E$3&lt;=$O$2,$D207,$D207-($D207-$I$184)*MIN(E$3-$O$2,$Q$2)/$Q$2))</f>
        <v>2710.72181105614</v>
      </c>
      <c r="F207" s="15" t="n">
        <f aca="false">E207*(1+IF(F$3&lt;=$O$2,$D207,$D207-($D207-$I$184)*MIN(F$3-$O$2,$Q$2)/$Q$2))</f>
        <v>2859.14892487761</v>
      </c>
      <c r="G207" s="15" t="n">
        <f aca="false">F207*(1+IF(G$3&lt;=$O$2,$D207,$D207-($D207-$I$184)*MIN(G$3-$O$2,$Q$2)/$Q$2))</f>
        <v>3015.70324969784</v>
      </c>
      <c r="H207" s="15" t="n">
        <f aca="false">G207*(1+IF(H$3&lt;=$O$2,$D207,$D207-($D207-$I$184)*MIN(H$3-$O$2,$Q$2)/$Q$2))</f>
        <v>3180.82979557541</v>
      </c>
      <c r="I207" s="15" t="n">
        <f aca="false">H207*(1+IF(I$3&lt;=$O$2,$D207,$D207-($D207-$I$184)*MIN(I$3-$O$2,$Q$2)/$Q$2))</f>
        <v>3354.99793934767</v>
      </c>
      <c r="J207" s="15" t="n">
        <f aca="false">I207*(1+IF(J$3&lt;=$O$2,$D207,$D207-($D207-$I$184)*MIN(J$3-$O$2,$Q$2)/$Q$2))</f>
        <v>3514.24108740556</v>
      </c>
      <c r="K207" s="15" t="n">
        <f aca="false">J207*(1+IF(K$3&lt;=$O$2,$D207,$D207-($D207-$I$184)*MIN(K$3-$O$2,$Q$2)/$Q$2))</f>
        <v>3655.41989332667</v>
      </c>
      <c r="L207" s="15" t="n">
        <f aca="false">K207*(1+IF(L$3&lt;=$O$2,$D207,$D207-($D207-$I$184)*MIN(L$3-$O$2,$Q$2)/$Q$2))</f>
        <v>3775.61824150786</v>
      </c>
      <c r="M207" s="15" t="n">
        <f aca="false">L207*(1+IF(M$3&lt;=$O$2,$D207,$D207-($D207-$I$184)*MIN(M$3-$O$2,$Q$2)/$Q$2))</f>
        <v>3872.24051721735</v>
      </c>
      <c r="N207" s="15" t="n">
        <f aca="false">M207*(1+IF(N$3&lt;=$O$2,$D207,$D207-($D207-$I$184)*MIN(N$3-$O$2,$Q$2)/$Q$2))</f>
        <v>3943.10251868243</v>
      </c>
      <c r="O207" s="15" t="n">
        <f aca="false">SUMPRODUCT(E207:N207,1/(1+$F$184)^$E$3:$N$3)*$E$2</f>
        <v>4230.25810682113</v>
      </c>
      <c r="P207" s="15" t="n">
        <f aca="false">N207*$E$2*(1+$I$184)/($F$184-$I$184)/(1+$F$184)^$N$3</f>
        <v>4815.95596090678</v>
      </c>
      <c r="Q207" s="15" t="n">
        <f aca="false">O207+P207</f>
        <v>9046.21406772791</v>
      </c>
      <c r="R207" s="15" t="n">
        <f aca="false">Q207-$G$2+$I$2</f>
        <v>7670.01406772791</v>
      </c>
      <c r="S207" s="42" t="n">
        <f aca="false">R207/$K$2</f>
        <v>204.479180691227</v>
      </c>
      <c r="T207" s="43" t="n">
        <f aca="false">S207-$M$2</f>
        <v>0.000375039400523747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0.0547552108764648</v>
      </c>
      <c r="C208" s="25" t="n">
        <f aca="false">IF(T207&gt;0,D207,C207)</f>
        <v>0.0547555685043335</v>
      </c>
      <c r="D208" s="41" t="n">
        <f aca="false">(B208+C208)/2</f>
        <v>0.0547553896903992</v>
      </c>
      <c r="E208" s="15" t="n">
        <f aca="false">$C$2*(1+IF(E$3&lt;=$O$2,$D208,$D208-($D208-$I$184)*MIN(E$3-$O$2,$Q$2)/$Q$2))</f>
        <v>2710.72135150433</v>
      </c>
      <c r="F208" s="15" t="n">
        <f aca="false">E208*(1+IF(F$3&lt;=$O$2,$D208,$D208-($D208-$I$184)*MIN(F$3-$O$2,$Q$2)/$Q$2))</f>
        <v>2859.14795544803</v>
      </c>
      <c r="G208" s="15" t="n">
        <f aca="false">F208*(1+IF(G$3&lt;=$O$2,$D208,$D208-($D208-$I$184)*MIN(G$3-$O$2,$Q$2)/$Q$2))</f>
        <v>3015.7017159311</v>
      </c>
      <c r="H208" s="15" t="n">
        <f aca="false">G208*(1+IF(H$3&lt;=$O$2,$D208,$D208-($D208-$I$184)*MIN(H$3-$O$2,$Q$2)/$Q$2))</f>
        <v>3180.82763857691</v>
      </c>
      <c r="I208" s="15" t="n">
        <f aca="false">H208*(1+IF(I$3&lt;=$O$2,$D208,$D208-($D208-$I$184)*MIN(I$3-$O$2,$Q$2)/$Q$2))</f>
        <v>3354.99509546518</v>
      </c>
      <c r="J208" s="15" t="n">
        <f aca="false">I208*(1+IF(J$3&lt;=$O$2,$D208,$D208-($D208-$I$184)*MIN(J$3-$O$2,$Q$2)/$Q$2))</f>
        <v>3514.23762860384</v>
      </c>
      <c r="K208" s="15" t="n">
        <f aca="false">J208*(1+IF(K$3&lt;=$O$2,$D208,$D208-($D208-$I$184)*MIN(K$3-$O$2,$Q$2)/$Q$2))</f>
        <v>3655.41591853654</v>
      </c>
      <c r="L208" s="15" t="n">
        <f aca="false">K208*(1+IF(L$3&lt;=$O$2,$D208,$D208-($D208-$I$184)*MIN(L$3-$O$2,$Q$2)/$Q$2))</f>
        <v>3775.61387456206</v>
      </c>
      <c r="M208" s="15" t="n">
        <f aca="false">L208*(1+IF(M$3&lt;=$O$2,$D208,$D208-($D208-$I$184)*MIN(M$3-$O$2,$Q$2)/$Q$2))</f>
        <v>3872.23590349007</v>
      </c>
      <c r="N208" s="15" t="n">
        <f aca="false">M208*(1+IF(N$3&lt;=$O$2,$D208,$D208-($D208-$I$184)*MIN(N$3-$O$2,$Q$2)/$Q$2))</f>
        <v>3943.09782052394</v>
      </c>
      <c r="O208" s="15" t="n">
        <f aca="false">SUMPRODUCT(E208:N208,1/(1+$F$184)^$E$3:$N$3)*$E$2</f>
        <v>4230.25482776452</v>
      </c>
      <c r="P208" s="15" t="n">
        <f aca="false">N208*$E$2*(1+$I$184)/($F$184-$I$184)/(1+$F$184)^$N$3</f>
        <v>4815.95022275407</v>
      </c>
      <c r="Q208" s="15" t="n">
        <f aca="false">O208+P208</f>
        <v>9046.20505051859</v>
      </c>
      <c r="R208" s="15" t="n">
        <f aca="false">Q208-$G$2+$I$2</f>
        <v>7670.00505051859</v>
      </c>
      <c r="S208" s="42" t="n">
        <f aca="false">R208/$K$2</f>
        <v>204.478940296417</v>
      </c>
      <c r="T208" s="43" t="n">
        <f aca="false">S208-$M$2</f>
        <v>0.000134644590644939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0.0547552108764648</v>
      </c>
      <c r="C209" s="25" t="n">
        <f aca="false">IF(T208&gt;0,D208,C208)</f>
        <v>0.0547553896903992</v>
      </c>
      <c r="D209" s="41" t="n">
        <f aca="false">(B209+C209)/2</f>
        <v>0.054755300283432</v>
      </c>
      <c r="E209" s="15" t="n">
        <f aca="false">$C$2*(1+IF(E$3&lt;=$O$2,$D209,$D209-($D209-$I$184)*MIN(E$3-$O$2,$Q$2)/$Q$2))</f>
        <v>2710.72112172842</v>
      </c>
      <c r="F209" s="15" t="n">
        <f aca="false">E209*(1+IF(F$3&lt;=$O$2,$D209,$D209-($D209-$I$184)*MIN(F$3-$O$2,$Q$2)/$Q$2))</f>
        <v>2859.1474707333</v>
      </c>
      <c r="G209" s="15" t="n">
        <f aca="false">F209*(1+IF(G$3&lt;=$O$2,$D209,$D209-($D209-$I$184)*MIN(G$3-$O$2,$Q$2)/$Q$2))</f>
        <v>3015.70094904792</v>
      </c>
      <c r="H209" s="15" t="n">
        <f aca="false">G209*(1+IF(H$3&lt;=$O$2,$D209,$D209-($D209-$I$184)*MIN(H$3-$O$2,$Q$2)/$Q$2))</f>
        <v>3180.82656007807</v>
      </c>
      <c r="I209" s="15" t="n">
        <f aca="false">H209*(1+IF(I$3&lt;=$O$2,$D209,$D209-($D209-$I$184)*MIN(I$3-$O$2,$Q$2)/$Q$2))</f>
        <v>3354.99367352466</v>
      </c>
      <c r="J209" s="15" t="n">
        <f aca="false">I209*(1+IF(J$3&lt;=$O$2,$D209,$D209-($D209-$I$184)*MIN(J$3-$O$2,$Q$2)/$Q$2))</f>
        <v>3514.23589920405</v>
      </c>
      <c r="K209" s="15" t="n">
        <f aca="false">J209*(1+IF(K$3&lt;=$O$2,$D209,$D209-($D209-$I$184)*MIN(K$3-$O$2,$Q$2)/$Q$2))</f>
        <v>3655.41393114286</v>
      </c>
      <c r="L209" s="15" t="n">
        <f aca="false">K209*(1+IF(L$3&lt;=$O$2,$D209,$D209-($D209-$I$184)*MIN(L$3-$O$2,$Q$2)/$Q$2))</f>
        <v>3775.6116910908</v>
      </c>
      <c r="M209" s="15" t="n">
        <f aca="false">L209*(1+IF(M$3&lt;=$O$2,$D209,$D209-($D209-$I$184)*MIN(M$3-$O$2,$Q$2)/$Q$2))</f>
        <v>3872.23359662823</v>
      </c>
      <c r="N209" s="15" t="n">
        <f aca="false">M209*(1+IF(N$3&lt;=$O$2,$D209,$D209-($D209-$I$184)*MIN(N$3-$O$2,$Q$2)/$Q$2))</f>
        <v>3943.09547144652</v>
      </c>
      <c r="O209" s="15" t="n">
        <f aca="false">SUMPRODUCT(E209:N209,1/(1+$F$184)^$E$3:$N$3)*$E$2</f>
        <v>4230.25318823718</v>
      </c>
      <c r="P209" s="15" t="n">
        <f aca="false">N209*$E$2*(1+$I$184)/($F$184-$I$184)/(1+$F$184)^$N$3</f>
        <v>4815.94735367995</v>
      </c>
      <c r="Q209" s="15" t="n">
        <f aca="false">O209+P209</f>
        <v>9046.20054191713</v>
      </c>
      <c r="R209" s="15" t="n">
        <f aca="false">Q209-$G$2+$I$2</f>
        <v>7670.00054191713</v>
      </c>
      <c r="S209" s="42" t="n">
        <f aca="false">R209/$K$2</f>
        <v>204.478820099097</v>
      </c>
      <c r="T209" s="43" t="n">
        <f aca="false">S209-$M$2</f>
        <v>1.44472709848742E-005</v>
      </c>
    </row>
    <row r="211" customFormat="false" ht="15" hidden="false" customHeight="false" outlineLevel="0" collapsed="false">
      <c r="A211" s="38" t="s">
        <v>188</v>
      </c>
      <c r="E211" s="5" t="s">
        <v>11</v>
      </c>
      <c r="F211" s="12" t="n">
        <f aca="false">Sensitivity!$B$11</f>
        <v>0.089183337553844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162</v>
      </c>
      <c r="B212" s="28" t="s">
        <v>163</v>
      </c>
      <c r="C212" s="28" t="s">
        <v>164</v>
      </c>
      <c r="D212" s="28" t="s">
        <v>165</v>
      </c>
      <c r="E212" s="28" t="s">
        <v>166</v>
      </c>
      <c r="F212" s="28" t="s">
        <v>167</v>
      </c>
      <c r="G212" s="28" t="s">
        <v>168</v>
      </c>
      <c r="H212" s="28" t="s">
        <v>169</v>
      </c>
      <c r="I212" s="28" t="s">
        <v>170</v>
      </c>
      <c r="J212" s="28" t="s">
        <v>171</v>
      </c>
      <c r="K212" s="28" t="s">
        <v>172</v>
      </c>
      <c r="L212" s="28" t="s">
        <v>173</v>
      </c>
      <c r="M212" s="28" t="s">
        <v>174</v>
      </c>
      <c r="N212" s="28" t="s">
        <v>175</v>
      </c>
      <c r="O212" s="28" t="s">
        <v>176</v>
      </c>
      <c r="P212" s="28" t="s">
        <v>177</v>
      </c>
      <c r="Q212" s="28" t="s">
        <v>178</v>
      </c>
      <c r="R212" s="28" t="s">
        <v>179</v>
      </c>
      <c r="S212" s="28" t="s">
        <v>180</v>
      </c>
      <c r="T212" s="28" t="s">
        <v>181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3212.5</v>
      </c>
      <c r="F213" s="15" t="n">
        <f aca="false">E213*(1+IF(F$3&lt;=$O$2,$D213,$D213-($D213-$I$211)*MIN(F$3-$O$2,$Q$2)/$Q$2))</f>
        <v>4015.625</v>
      </c>
      <c r="G213" s="15" t="n">
        <f aca="false">F213*(1+IF(G$3&lt;=$O$2,$D213,$D213-($D213-$I$211)*MIN(G$3-$O$2,$Q$2)/$Q$2))</f>
        <v>5019.53125</v>
      </c>
      <c r="H213" s="15" t="n">
        <f aca="false">G213*(1+IF(H$3&lt;=$O$2,$D213,$D213-($D213-$I$211)*MIN(H$3-$O$2,$Q$2)/$Q$2))</f>
        <v>6274.4140625</v>
      </c>
      <c r="I213" s="15" t="n">
        <f aca="false">H213*(1+IF(I$3&lt;=$O$2,$D213,$D213-($D213-$I$211)*MIN(I$3-$O$2,$Q$2)/$Q$2))</f>
        <v>7843.017578125</v>
      </c>
      <c r="J213" s="15" t="n">
        <f aca="false">I213*(1+IF(J$3&lt;=$O$2,$D213,$D213-($D213-$I$211)*MIN(J$3-$O$2,$Q$2)/$Q$2))</f>
        <v>9448.16955566406</v>
      </c>
      <c r="K213" s="15" t="n">
        <f aca="false">J213*(1+IF(K$3&lt;=$O$2,$D213,$D213-($D213-$I$211)*MIN(K$3-$O$2,$Q$2)/$Q$2))</f>
        <v>10953.4519292725</v>
      </c>
      <c r="L213" s="15" t="n">
        <f aca="false">K213*(1+IF(L$3&lt;=$O$2,$D213,$D213-($D213-$I$211)*MIN(L$3-$O$2,$Q$2)/$Q$2))</f>
        <v>12201.9263801709</v>
      </c>
      <c r="M213" s="15" t="n">
        <f aca="false">L213*(1+IF(M$3&lt;=$O$2,$D213,$D213-($D213-$I$211)*MIN(M$3-$O$2,$Q$2)/$Q$2))</f>
        <v>13039.4666069059</v>
      </c>
      <c r="N213" s="15" t="n">
        <f aca="false">M213*(1+IF(N$3&lt;=$O$2,$D213,$D213-($D213-$I$211)*MIN(N$3-$O$2,$Q$2)/$Q$2))</f>
        <v>13343.2861788468</v>
      </c>
      <c r="O213" s="15" t="n">
        <f aca="false">SUMPRODUCT(E213:N213,1/(1+$F$211)^$E$3:$N$3)*$E$2</f>
        <v>9860.50206292008</v>
      </c>
      <c r="P213" s="15" t="n">
        <f aca="false">N213*$E$2*(1+$I$211)/($F$211-$I$211)/(1+$F$211)^$N$3</f>
        <v>17619.8836228133</v>
      </c>
      <c r="Q213" s="15" t="n">
        <f aca="false">O213+P213</f>
        <v>27480.3856857334</v>
      </c>
      <c r="R213" s="15" t="n">
        <f aca="false">Q213-$G$2+$I$2</f>
        <v>26104.1856857334</v>
      </c>
      <c r="S213" s="42" t="n">
        <f aca="false">R213/$K$2</f>
        <v>695.926038009422</v>
      </c>
      <c r="T213" s="43" t="n">
        <f aca="false">S213-$M$2</f>
        <v>491.447232357596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2248.75</v>
      </c>
      <c r="F214" s="15" t="n">
        <f aca="false">E214*(1+IF(F$3&lt;=$O$2,$D214,$D214-($D214-$I$211)*MIN(F$3-$O$2,$Q$2)/$Q$2))</f>
        <v>1967.65625</v>
      </c>
      <c r="G214" s="15" t="n">
        <f aca="false">F214*(1+IF(G$3&lt;=$O$2,$D214,$D214-($D214-$I$211)*MIN(G$3-$O$2,$Q$2)/$Q$2))</f>
        <v>1721.69921875</v>
      </c>
      <c r="H214" s="15" t="n">
        <f aca="false">G214*(1+IF(H$3&lt;=$O$2,$D214,$D214-($D214-$I$211)*MIN(H$3-$O$2,$Q$2)/$Q$2))</f>
        <v>1506.48681640625</v>
      </c>
      <c r="I214" s="15" t="n">
        <f aca="false">H214*(1+IF(I$3&lt;=$O$2,$D214,$D214-($D214-$I$211)*MIN(I$3-$O$2,$Q$2)/$Q$2))</f>
        <v>1318.17596435547</v>
      </c>
      <c r="J214" s="15" t="n">
        <f aca="false">I214*(1+IF(J$3&lt;=$O$2,$D214,$D214-($D214-$I$211)*MIN(J$3-$O$2,$Q$2)/$Q$2))</f>
        <v>1192.50106791382</v>
      </c>
      <c r="K214" s="15" t="n">
        <f aca="false">J214*(1+IF(K$3&lt;=$O$2,$D214,$D214-($D214-$I$211)*MIN(K$3-$O$2,$Q$2)/$Q$2))</f>
        <v>1114.17759777324</v>
      </c>
      <c r="L214" s="15" t="n">
        <f aca="false">K214*(1+IF(L$3&lt;=$O$2,$D214,$D214-($D214-$I$211)*MIN(L$3-$O$2,$Q$2)/$Q$2))</f>
        <v>1074.04492070145</v>
      </c>
      <c r="M214" s="15" t="n">
        <f aca="false">L214*(1+IF(M$3&lt;=$O$2,$D214,$D214-($D214-$I$211)*MIN(M$3-$O$2,$Q$2)/$Q$2))</f>
        <v>1067.21399500579</v>
      </c>
      <c r="N214" s="15" t="n">
        <f aca="false">M214*(1+IF(N$3&lt;=$O$2,$D214,$D214-($D214-$I$211)*MIN(N$3-$O$2,$Q$2)/$Q$2))</f>
        <v>1092.08008108942</v>
      </c>
      <c r="O214" s="15" t="n">
        <f aca="false">SUMPRODUCT(E214:N214,1/(1+$F$211)^$E$3:$N$3)*$E$2</f>
        <v>1960.66470673519</v>
      </c>
      <c r="P214" s="15" t="n">
        <f aca="false">N214*$E$2*(1+$I$211)/($F$211-$I$211)/(1+$F$211)^$N$3</f>
        <v>1442.09782190636</v>
      </c>
      <c r="Q214" s="15" t="n">
        <f aca="false">O214+P214</f>
        <v>3402.76252864155</v>
      </c>
      <c r="R214" s="15" t="n">
        <f aca="false">Q214-$G$2+$I$2</f>
        <v>2026.56252864155</v>
      </c>
      <c r="S214" s="42" t="n">
        <f aca="false">R214/$K$2</f>
        <v>54.027260161065</v>
      </c>
      <c r="T214" s="43" t="n">
        <f aca="false">S214-$M$2</f>
        <v>-150.451545490761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2730.625</v>
      </c>
      <c r="F215" s="15" t="n">
        <f aca="false">E215*(1+IF(F$3&lt;=$O$2,$D215,$D215-($D215-$I$211)*MIN(F$3-$O$2,$Q$2)/$Q$2))</f>
        <v>2901.2890625</v>
      </c>
      <c r="G215" s="15" t="n">
        <f aca="false">F215*(1+IF(G$3&lt;=$O$2,$D215,$D215-($D215-$I$211)*MIN(G$3-$O$2,$Q$2)/$Q$2))</f>
        <v>3082.61962890625</v>
      </c>
      <c r="H215" s="15" t="n">
        <f aca="false">G215*(1+IF(H$3&lt;=$O$2,$D215,$D215-($D215-$I$211)*MIN(H$3-$O$2,$Q$2)/$Q$2))</f>
        <v>3275.28335571289</v>
      </c>
      <c r="I215" s="15" t="n">
        <f aca="false">H215*(1+IF(I$3&lt;=$O$2,$D215,$D215-($D215-$I$211)*MIN(I$3-$O$2,$Q$2)/$Q$2))</f>
        <v>3479.98856544495</v>
      </c>
      <c r="J215" s="15" t="n">
        <f aca="false">I215*(1+IF(J$3&lt;=$O$2,$D215,$D215-($D215-$I$211)*MIN(J$3-$O$2,$Q$2)/$Q$2))</f>
        <v>3670.20474043217</v>
      </c>
      <c r="K215" s="15" t="n">
        <f aca="false">J215*(1+IF(K$3&lt;=$O$2,$D215,$D215-($D215-$I$211)*MIN(K$3-$O$2,$Q$2)/$Q$2))</f>
        <v>3842.0437263792</v>
      </c>
      <c r="L215" s="15" t="n">
        <f aca="false">K215*(1+IF(L$3&lt;=$O$2,$D215,$D215-($D215-$I$211)*MIN(L$3-$O$2,$Q$2)/$Q$2))</f>
        <v>3991.80659083346</v>
      </c>
      <c r="M215" s="15" t="n">
        <f aca="false">L215*(1+IF(M$3&lt;=$O$2,$D215,$D215-($D215-$I$211)*MIN(M$3-$O$2,$Q$2)/$Q$2))</f>
        <v>4116.11144807202</v>
      </c>
      <c r="N215" s="15" t="n">
        <f aca="false">M215*(1+IF(N$3&lt;=$O$2,$D215,$D215-($D215-$I$211)*MIN(N$3-$O$2,$Q$2)/$Q$2))</f>
        <v>4212.0168448121</v>
      </c>
      <c r="O215" s="15" t="n">
        <f aca="false">SUMPRODUCT(E215:N215,1/(1+$F$211)^$E$3:$N$3)*$E$2</f>
        <v>4387.45871601107</v>
      </c>
      <c r="P215" s="15" t="n">
        <f aca="false">N215*$E$2*(1+$I$211)/($F$211-$I$211)/(1+$F$211)^$N$3</f>
        <v>5561.99167342844</v>
      </c>
      <c r="Q215" s="15" t="n">
        <f aca="false">O215+P215</f>
        <v>9949.45038943951</v>
      </c>
      <c r="R215" s="15" t="n">
        <f aca="false">Q215-$G$2+$I$2</f>
        <v>8573.25038943951</v>
      </c>
      <c r="S215" s="42" t="n">
        <f aca="false">R215/$K$2</f>
        <v>228.55906130204</v>
      </c>
      <c r="T215" s="43" t="n">
        <f aca="false">S215-$M$2</f>
        <v>24.0802556502137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2489.6875</v>
      </c>
      <c r="F216" s="15" t="n">
        <f aca="false">E216*(1+IF(F$3&lt;=$O$2,$D216,$D216-($D216-$I$211)*MIN(F$3-$O$2,$Q$2)/$Q$2))</f>
        <v>2411.884765625</v>
      </c>
      <c r="G216" s="15" t="n">
        <f aca="false">F216*(1+IF(G$3&lt;=$O$2,$D216,$D216-($D216-$I$211)*MIN(G$3-$O$2,$Q$2)/$Q$2))</f>
        <v>2336.51336669922</v>
      </c>
      <c r="H216" s="15" t="n">
        <f aca="false">G216*(1+IF(H$3&lt;=$O$2,$D216,$D216-($D216-$I$211)*MIN(H$3-$O$2,$Q$2)/$Q$2))</f>
        <v>2263.49732398987</v>
      </c>
      <c r="I216" s="15" t="n">
        <f aca="false">H216*(1+IF(I$3&lt;=$O$2,$D216,$D216-($D216-$I$211)*MIN(I$3-$O$2,$Q$2)/$Q$2))</f>
        <v>2192.76303261519</v>
      </c>
      <c r="J216" s="15" t="n">
        <f aca="false">I216*(1+IF(J$3&lt;=$O$2,$D216,$D216-($D216-$I$211)*MIN(J$3-$O$2,$Q$2)/$Q$2))</f>
        <v>2148.16223253179</v>
      </c>
      <c r="K216" s="15" t="n">
        <f aca="false">J216*(1+IF(K$3&lt;=$O$2,$D216,$D216-($D216-$I$211)*MIN(K$3-$O$2,$Q$2)/$Q$2))</f>
        <v>2127.90506267902</v>
      </c>
      <c r="L216" s="15" t="n">
        <f aca="false">K216*(1+IF(L$3&lt;=$O$2,$D216,$D216-($D216-$I$211)*MIN(L$3-$O$2,$Q$2)/$Q$2))</f>
        <v>2131.05436217178</v>
      </c>
      <c r="M216" s="15" t="n">
        <f aca="false">L216*(1+IF(M$3&lt;=$O$2,$D216,$D216-($D216-$I$211)*MIN(M$3-$O$2,$Q$2)/$Q$2))</f>
        <v>2157.45812571909</v>
      </c>
      <c r="N216" s="15" t="n">
        <f aca="false">M216*(1+IF(N$3&lt;=$O$2,$D216,$D216-($D216-$I$211)*MIN(N$3-$O$2,$Q$2)/$Q$2))</f>
        <v>2207.72690004834</v>
      </c>
      <c r="O216" s="15" t="n">
        <f aca="false">SUMPRODUCT(E216:N216,1/(1+$F$211)^$E$3:$N$3)*$E$2</f>
        <v>2924.26799682343</v>
      </c>
      <c r="P216" s="15" t="n">
        <f aca="false">N216*$E$2*(1+$I$211)/($F$211-$I$211)/(1+$F$211)^$N$3</f>
        <v>2915.31565226223</v>
      </c>
      <c r="Q216" s="15" t="n">
        <f aca="false">O216+P216</f>
        <v>5839.58364908567</v>
      </c>
      <c r="R216" s="15" t="n">
        <f aca="false">Q216-$G$2+$I$2</f>
        <v>4463.38364908567</v>
      </c>
      <c r="S216" s="42" t="n">
        <f aca="false">R216/$K$2</f>
        <v>118.991832820199</v>
      </c>
      <c r="T216" s="43" t="n">
        <f aca="false">S216-$M$2</f>
        <v>-85.486972831627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41" t="n">
        <f aca="false">(B217+C217)/2</f>
        <v>0.015625</v>
      </c>
      <c r="E217" s="15" t="n">
        <f aca="false">$C$2*(1+IF(E$3&lt;=$O$2,$D217,$D217-($D217-$I$211)*MIN(E$3-$O$2,$Q$2)/$Q$2))</f>
        <v>2610.15625</v>
      </c>
      <c r="F217" s="15" t="n">
        <f aca="false">E217*(1+IF(F$3&lt;=$O$2,$D217,$D217-($D217-$I$211)*MIN(F$3-$O$2,$Q$2)/$Q$2))</f>
        <v>2650.93994140625</v>
      </c>
      <c r="G217" s="15" t="n">
        <f aca="false">F217*(1+IF(G$3&lt;=$O$2,$D217,$D217-($D217-$I$211)*MIN(G$3-$O$2,$Q$2)/$Q$2))</f>
        <v>2692.36087799072</v>
      </c>
      <c r="H217" s="15" t="n">
        <f aca="false">G217*(1+IF(H$3&lt;=$O$2,$D217,$D217-($D217-$I$211)*MIN(H$3-$O$2,$Q$2)/$Q$2))</f>
        <v>2734.42901670933</v>
      </c>
      <c r="I217" s="15" t="n">
        <f aca="false">H217*(1+IF(I$3&lt;=$O$2,$D217,$D217-($D217-$I$211)*MIN(I$3-$O$2,$Q$2)/$Q$2))</f>
        <v>2777.15447009541</v>
      </c>
      <c r="J217" s="15" t="n">
        <f aca="false">I217*(1+IF(J$3&lt;=$O$2,$D217,$D217-($D217-$I$211)*MIN(J$3-$O$2,$Q$2)/$Q$2))</f>
        <v>2824.81044080225</v>
      </c>
      <c r="K217" s="15" t="n">
        <f aca="false">J217*(1+IF(K$3&lt;=$O$2,$D217,$D217-($D217-$I$211)*MIN(K$3-$O$2,$Q$2)/$Q$2))</f>
        <v>2877.62027199305</v>
      </c>
      <c r="L217" s="15" t="n">
        <f aca="false">K217*(1+IF(L$3&lt;=$O$2,$D217,$D217-($D217-$I$211)*MIN(L$3-$O$2,$Q$2)/$Q$2))</f>
        <v>2935.83453009547</v>
      </c>
      <c r="M217" s="15" t="n">
        <f aca="false">L217*(1+IF(M$3&lt;=$O$2,$D217,$D217-($D217-$I$211)*MIN(M$3-$O$2,$Q$2)/$Q$2))</f>
        <v>2999.73296864299</v>
      </c>
      <c r="N217" s="15" t="n">
        <f aca="false">M217*(1+IF(N$3&lt;=$O$2,$D217,$D217-($D217-$I$211)*MIN(N$3-$O$2,$Q$2)/$Q$2))</f>
        <v>3069.62674681238</v>
      </c>
      <c r="O217" s="15" t="n">
        <f aca="false">SUMPRODUCT(E217:N217,1/(1+$F$211)^$E$3:$N$3)*$E$2</f>
        <v>3580.40139687231</v>
      </c>
      <c r="P217" s="15" t="n">
        <f aca="false">N217*$E$2*(1+$I$211)/($F$211-$I$211)/(1+$F$211)^$N$3</f>
        <v>4053.45919433647</v>
      </c>
      <c r="Q217" s="15" t="n">
        <f aca="false">O217+P217</f>
        <v>7633.86059120878</v>
      </c>
      <c r="R217" s="15" t="n">
        <f aca="false">Q217-$G$2+$I$2</f>
        <v>6257.66059120878</v>
      </c>
      <c r="S217" s="42" t="n">
        <f aca="false">R217/$K$2</f>
        <v>166.826462042356</v>
      </c>
      <c r="T217" s="43" t="n">
        <f aca="false">S217-$M$2</f>
        <v>-37.6523436094701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0.015625</v>
      </c>
      <c r="C218" s="25" t="n">
        <f aca="false">IF(T217&gt;0,D217,C217)</f>
        <v>0.0625</v>
      </c>
      <c r="D218" s="41" t="n">
        <f aca="false">(B218+C218)/2</f>
        <v>0.0390625</v>
      </c>
      <c r="E218" s="15" t="n">
        <f aca="false">$C$2*(1+IF(E$3&lt;=$O$2,$D218,$D218-($D218-$I$211)*MIN(E$3-$O$2,$Q$2)/$Q$2))</f>
        <v>2670.390625</v>
      </c>
      <c r="F218" s="15" t="n">
        <f aca="false">E218*(1+IF(F$3&lt;=$O$2,$D218,$D218-($D218-$I$211)*MIN(F$3-$O$2,$Q$2)/$Q$2))</f>
        <v>2774.70275878906</v>
      </c>
      <c r="G218" s="15" t="n">
        <f aca="false">F218*(1+IF(G$3&lt;=$O$2,$D218,$D218-($D218-$I$211)*MIN(G$3-$O$2,$Q$2)/$Q$2))</f>
        <v>2883.08958530426</v>
      </c>
      <c r="H218" s="15" t="n">
        <f aca="false">G218*(1+IF(H$3&lt;=$O$2,$D218,$D218-($D218-$I$211)*MIN(H$3-$O$2,$Q$2)/$Q$2))</f>
        <v>2995.71027223021</v>
      </c>
      <c r="I218" s="15" t="n">
        <f aca="false">H218*(1+IF(I$3&lt;=$O$2,$D218,$D218-($D218-$I$211)*MIN(I$3-$O$2,$Q$2)/$Q$2))</f>
        <v>3112.7302047392</v>
      </c>
      <c r="J218" s="15" t="n">
        <f aca="false">I218*(1+IF(J$3&lt;=$O$2,$D218,$D218-($D218-$I$211)*MIN(J$3-$O$2,$Q$2)/$Q$2))</f>
        <v>3224.50834639138</v>
      </c>
      <c r="K218" s="15" t="n">
        <f aca="false">J218*(1+IF(K$3&lt;=$O$2,$D218,$D218-($D218-$I$211)*MIN(K$3-$O$2,$Q$2)/$Q$2))</f>
        <v>3330.1351785483</v>
      </c>
      <c r="L218" s="15" t="n">
        <f aca="false">K218*(1+IF(L$3&lt;=$O$2,$D218,$D218-($D218-$I$211)*MIN(L$3-$O$2,$Q$2)/$Q$2))</f>
        <v>3428.72383050922</v>
      </c>
      <c r="M218" s="15" t="n">
        <f aca="false">L218*(1+IF(M$3&lt;=$O$2,$D218,$D218-($D218-$I$211)*MIN(M$3-$O$2,$Q$2)/$Q$2))</f>
        <v>3519.42214763577</v>
      </c>
      <c r="N218" s="15" t="n">
        <f aca="false">M218*(1+IF(N$3&lt;=$O$2,$D218,$D218-($D218-$I$211)*MIN(N$3-$O$2,$Q$2)/$Q$2))</f>
        <v>3601.42468367568</v>
      </c>
      <c r="O218" s="15" t="n">
        <f aca="false">SUMPRODUCT(E218:N218,1/(1+$F$211)^$E$3:$N$3)*$E$2</f>
        <v>3963.18065633146</v>
      </c>
      <c r="P218" s="15" t="n">
        <f aca="false">N218*$E$2*(1+$I$211)/($F$211-$I$211)/(1+$F$211)^$N$3</f>
        <v>4755.70132815493</v>
      </c>
      <c r="Q218" s="15" t="n">
        <f aca="false">O218+P218</f>
        <v>8718.88198448638</v>
      </c>
      <c r="R218" s="15" t="n">
        <f aca="false">Q218-$G$2+$I$2</f>
        <v>7342.68198448638</v>
      </c>
      <c r="S218" s="42" t="n">
        <f aca="false">R218/$K$2</f>
        <v>195.75265221238</v>
      </c>
      <c r="T218" s="43" t="n">
        <f aca="false">S218-$M$2</f>
        <v>-8.72615343944582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0.0390625</v>
      </c>
      <c r="C219" s="25" t="n">
        <f aca="false">IF(T218&gt;0,D218,C218)</f>
        <v>0.0625</v>
      </c>
      <c r="D219" s="41" t="n">
        <f aca="false">(B219+C219)/2</f>
        <v>0.05078125</v>
      </c>
      <c r="E219" s="15" t="n">
        <f aca="false">$C$2*(1+IF(E$3&lt;=$O$2,$D219,$D219-($D219-$I$211)*MIN(E$3-$O$2,$Q$2)/$Q$2))</f>
        <v>2700.5078125</v>
      </c>
      <c r="F219" s="15" t="n">
        <f aca="false">E219*(1+IF(F$3&lt;=$O$2,$D219,$D219-($D219-$I$211)*MIN(F$3-$O$2,$Q$2)/$Q$2))</f>
        <v>2837.64297485352</v>
      </c>
      <c r="G219" s="15" t="n">
        <f aca="false">F219*(1+IF(G$3&lt;=$O$2,$D219,$D219-($D219-$I$211)*MIN(G$3-$O$2,$Q$2)/$Q$2))</f>
        <v>2981.7420321703</v>
      </c>
      <c r="H219" s="15" t="n">
        <f aca="false">G219*(1+IF(H$3&lt;=$O$2,$D219,$D219-($D219-$I$211)*MIN(H$3-$O$2,$Q$2)/$Q$2))</f>
        <v>3133.15861974144</v>
      </c>
      <c r="I219" s="15" t="n">
        <f aca="false">H219*(1+IF(I$3&lt;=$O$2,$D219,$D219-($D219-$I$211)*MIN(I$3-$O$2,$Q$2)/$Q$2))</f>
        <v>3292.26433090019</v>
      </c>
      <c r="J219" s="15" t="n">
        <f aca="false">I219*(1+IF(J$3&lt;=$O$2,$D219,$D219-($D219-$I$211)*MIN(J$3-$O$2,$Q$2)/$Q$2))</f>
        <v>3441.354521125</v>
      </c>
      <c r="K219" s="15" t="n">
        <f aca="false">J219*(1+IF(K$3&lt;=$O$2,$D219,$D219-($D219-$I$211)*MIN(K$3-$O$2,$Q$2)/$Q$2))</f>
        <v>3578.28171582742</v>
      </c>
      <c r="L219" s="15" t="n">
        <f aca="false">K219*(1+IF(L$3&lt;=$O$2,$D219,$D219-($D219-$I$211)*MIN(L$3-$O$2,$Q$2)/$Q$2))</f>
        <v>3700.98994156743</v>
      </c>
      <c r="M219" s="15" t="n">
        <f aca="false">L219*(1+IF(M$3&lt;=$O$2,$D219,$D219-($D219-$I$211)*MIN(M$3-$O$2,$Q$2)/$Q$2))</f>
        <v>3807.56457317229</v>
      </c>
      <c r="N219" s="15" t="n">
        <f aca="false">M219*(1+IF(N$3&lt;=$O$2,$D219,$D219-($D219-$I$211)*MIN(N$3-$O$2,$Q$2)/$Q$2))</f>
        <v>3896.2808277272</v>
      </c>
      <c r="O219" s="15" t="n">
        <f aca="false">SUMPRODUCT(E219:N219,1/(1+$F$211)^$E$3:$N$3)*$E$2</f>
        <v>4169.87900359668</v>
      </c>
      <c r="P219" s="15" t="n">
        <f aca="false">N219*$E$2*(1+$I$211)/($F$211-$I$211)/(1+$F$211)^$N$3</f>
        <v>5145.06050654799</v>
      </c>
      <c r="Q219" s="15" t="n">
        <f aca="false">O219+P219</f>
        <v>9314.93951014467</v>
      </c>
      <c r="R219" s="15" t="n">
        <f aca="false">Q219-$G$2+$I$2</f>
        <v>7938.73951014467</v>
      </c>
      <c r="S219" s="42" t="n">
        <f aca="false">R219/$K$2</f>
        <v>211.643282061975</v>
      </c>
      <c r="T219" s="43" t="n">
        <f aca="false">S219-$M$2</f>
        <v>7.16447641014864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0.0390625</v>
      </c>
      <c r="C220" s="25" t="n">
        <f aca="false">IF(T219&gt;0,D219,C219)</f>
        <v>0.05078125</v>
      </c>
      <c r="D220" s="41" t="n">
        <f aca="false">(B220+C220)/2</f>
        <v>0.044921875</v>
      </c>
      <c r="E220" s="15" t="n">
        <f aca="false">$C$2*(1+IF(E$3&lt;=$O$2,$D220,$D220-($D220-$I$211)*MIN(E$3-$O$2,$Q$2)/$Q$2))</f>
        <v>2685.44921875</v>
      </c>
      <c r="F220" s="15" t="n">
        <f aca="false">E220*(1+IF(F$3&lt;=$O$2,$D220,$D220-($D220-$I$211)*MIN(F$3-$O$2,$Q$2)/$Q$2))</f>
        <v>2806.08463287354</v>
      </c>
      <c r="G220" s="15" t="n">
        <f aca="false">F220*(1+IF(G$3&lt;=$O$2,$D220,$D220-($D220-$I$211)*MIN(G$3-$O$2,$Q$2)/$Q$2))</f>
        <v>2932.1392159909</v>
      </c>
      <c r="H220" s="15" t="n">
        <f aca="false">G220*(1+IF(H$3&lt;=$O$2,$D220,$D220-($D220-$I$211)*MIN(H$3-$O$2,$Q$2)/$Q$2))</f>
        <v>3063.85640733424</v>
      </c>
      <c r="I220" s="15" t="n">
        <f aca="false">H220*(1+IF(I$3&lt;=$O$2,$D220,$D220-($D220-$I$211)*MIN(I$3-$O$2,$Q$2)/$Q$2))</f>
        <v>3201.49058188246</v>
      </c>
      <c r="J220" s="15" t="n">
        <f aca="false">I220*(1+IF(J$3&lt;=$O$2,$D220,$D220-($D220-$I$211)*MIN(J$3-$O$2,$Q$2)/$Q$2))</f>
        <v>3331.46309578043</v>
      </c>
      <c r="K220" s="15" t="n">
        <f aca="false">J220*(1+IF(K$3&lt;=$O$2,$D220,$D220-($D220-$I$211)*MIN(K$3-$O$2,$Q$2)/$Q$2))</f>
        <v>3452.30567308656</v>
      </c>
      <c r="L220" s="15" t="n">
        <f aca="false">K220*(1+IF(L$3&lt;=$O$2,$D220,$D220-($D220-$I$211)*MIN(L$3-$O$2,$Q$2)/$Q$2))</f>
        <v>3562.60252395959</v>
      </c>
      <c r="M220" s="15" t="n">
        <f aca="false">L220*(1+IF(M$3&lt;=$O$2,$D220,$D220-($D220-$I$211)*MIN(M$3-$O$2,$Q$2)/$Q$2))</f>
        <v>3661.01719205739</v>
      </c>
      <c r="N220" s="15" t="n">
        <f aca="false">M220*(1+IF(N$3&lt;=$O$2,$D220,$D220-($D220-$I$211)*MIN(N$3-$O$2,$Q$2)/$Q$2))</f>
        <v>3746.31889263233</v>
      </c>
      <c r="O220" s="15" t="n">
        <f aca="false">SUMPRODUCT(E220:N220,1/(1+$F$211)^$E$3:$N$3)*$E$2</f>
        <v>4065.20215899723</v>
      </c>
      <c r="P220" s="15" t="n">
        <f aca="false">N220*$E$2*(1+$I$211)/($F$211-$I$211)/(1+$F$211)^$N$3</f>
        <v>4947.03493707378</v>
      </c>
      <c r="Q220" s="15" t="n">
        <f aca="false">O220+P220</f>
        <v>9012.23709607101</v>
      </c>
      <c r="R220" s="15" t="n">
        <f aca="false">Q220-$G$2+$I$2</f>
        <v>7636.03709607101</v>
      </c>
      <c r="S220" s="42" t="n">
        <f aca="false">R220/$K$2</f>
        <v>203.573369663317</v>
      </c>
      <c r="T220" s="43" t="n">
        <f aca="false">S220-$M$2</f>
        <v>-0.905435988509339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0.044921875</v>
      </c>
      <c r="C221" s="25" t="n">
        <f aca="false">IF(T220&gt;0,D220,C220)</f>
        <v>0.05078125</v>
      </c>
      <c r="D221" s="41" t="n">
        <f aca="false">(B221+C221)/2</f>
        <v>0.0478515625</v>
      </c>
      <c r="E221" s="15" t="n">
        <f aca="false">$C$2*(1+IF(E$3&lt;=$O$2,$D221,$D221-($D221-$I$211)*MIN(E$3-$O$2,$Q$2)/$Q$2))</f>
        <v>2692.978515625</v>
      </c>
      <c r="F221" s="15" t="n">
        <f aca="false">E221*(1+IF(F$3&lt;=$O$2,$D221,$D221-($D221-$I$211)*MIN(F$3-$O$2,$Q$2)/$Q$2))</f>
        <v>2821.84174537659</v>
      </c>
      <c r="G221" s="15" t="n">
        <f aca="false">F221*(1+IF(G$3&lt;=$O$2,$D221,$D221-($D221-$I$211)*MIN(G$3-$O$2,$Q$2)/$Q$2))</f>
        <v>2956.87128202058</v>
      </c>
      <c r="H221" s="15" t="n">
        <f aca="false">G221*(1+IF(H$3&lt;=$O$2,$D221,$D221-($D221-$I$211)*MIN(H$3-$O$2,$Q$2)/$Q$2))</f>
        <v>3098.36219297665</v>
      </c>
      <c r="I221" s="15" t="n">
        <f aca="false">H221*(1+IF(I$3&lt;=$O$2,$D221,$D221-($D221-$I$211)*MIN(I$3-$O$2,$Q$2)/$Q$2))</f>
        <v>3246.62366510151</v>
      </c>
      <c r="J221" s="15" t="n">
        <f aca="false">I221*(1+IF(J$3&lt;=$O$2,$D221,$D221-($D221-$I$211)*MIN(J$3-$O$2,$Q$2)/$Q$2))</f>
        <v>3386.03774356055</v>
      </c>
      <c r="K221" s="15" t="n">
        <f aca="false">J221*(1+IF(K$3&lt;=$O$2,$D221,$D221-($D221-$I$211)*MIN(K$3-$O$2,$Q$2)/$Q$2))</f>
        <v>3514.81193335854</v>
      </c>
      <c r="L221" s="15" t="n">
        <f aca="false">K221*(1+IF(L$3&lt;=$O$2,$D221,$D221-($D221-$I$211)*MIN(L$3-$O$2,$Q$2)/$Q$2))</f>
        <v>3631.22470134883</v>
      </c>
      <c r="M221" s="15" t="n">
        <f aca="false">L221*(1+IF(M$3&lt;=$O$2,$D221,$D221-($D221-$I$211)*MIN(M$3-$O$2,$Q$2)/$Q$2))</f>
        <v>3733.6626849316</v>
      </c>
      <c r="N221" s="15" t="n">
        <f aca="false">M221*(1+IF(N$3&lt;=$O$2,$D221,$D221-($D221-$I$211)*MIN(N$3-$O$2,$Q$2)/$Q$2))</f>
        <v>3820.65702549051</v>
      </c>
      <c r="O221" s="15" t="n">
        <f aca="false">SUMPRODUCT(E221:N221,1/(1+$F$211)^$E$3:$N$3)*$E$2</f>
        <v>4117.2046541601</v>
      </c>
      <c r="P221" s="15" t="n">
        <f aca="false">N221*$E$2*(1+$I$211)/($F$211-$I$211)/(1+$F$211)^$N$3</f>
        <v>5045.19885502787</v>
      </c>
      <c r="Q221" s="15" t="n">
        <f aca="false">O221+P221</f>
        <v>9162.40350918797</v>
      </c>
      <c r="R221" s="15" t="n">
        <f aca="false">Q221-$G$2+$I$2</f>
        <v>7786.20350918797</v>
      </c>
      <c r="S221" s="42" t="n">
        <f aca="false">R221/$K$2</f>
        <v>207.576739781071</v>
      </c>
      <c r="T221" s="43" t="n">
        <f aca="false">S221-$M$2</f>
        <v>3.09793412924481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0.044921875</v>
      </c>
      <c r="C222" s="25" t="n">
        <f aca="false">IF(T221&gt;0,D221,C221)</f>
        <v>0.0478515625</v>
      </c>
      <c r="D222" s="41" t="n">
        <f aca="false">(B222+C222)/2</f>
        <v>0.04638671875</v>
      </c>
      <c r="E222" s="15" t="n">
        <f aca="false">$C$2*(1+IF(E$3&lt;=$O$2,$D222,$D222-($D222-$I$211)*MIN(E$3-$O$2,$Q$2)/$Q$2))</f>
        <v>2689.2138671875</v>
      </c>
      <c r="F222" s="15" t="n">
        <f aca="false">E222*(1+IF(F$3&lt;=$O$2,$D222,$D222-($D222-$I$211)*MIN(F$3-$O$2,$Q$2)/$Q$2))</f>
        <v>2813.95767450333</v>
      </c>
      <c r="G222" s="15" t="n">
        <f aca="false">F222*(1+IF(G$3&lt;=$O$2,$D222,$D222-($D222-$I$211)*MIN(G$3-$O$2,$Q$2)/$Q$2))</f>
        <v>2944.48793772492</v>
      </c>
      <c r="H222" s="15" t="n">
        <f aca="false">G222*(1+IF(H$3&lt;=$O$2,$D222,$D222-($D222-$I$211)*MIN(H$3-$O$2,$Q$2)/$Q$2))</f>
        <v>3081.07307155493</v>
      </c>
      <c r="I222" s="15" t="n">
        <f aca="false">H222*(1+IF(I$3&lt;=$O$2,$D222,$D222-($D222-$I$211)*MIN(I$3-$O$2,$Q$2)/$Q$2))</f>
        <v>3223.99394157335</v>
      </c>
      <c r="J222" s="15" t="n">
        <f aca="false">I222*(1+IF(J$3&lt;=$O$2,$D222,$D222-($D222-$I$211)*MIN(J$3-$O$2,$Q$2)/$Q$2))</f>
        <v>3358.65815351665</v>
      </c>
      <c r="K222" s="15" t="n">
        <f aca="false">J222*(1+IF(K$3&lt;=$O$2,$D222,$D222-($D222-$I$211)*MIN(K$3-$O$2,$Q$2)/$Q$2))</f>
        <v>3483.43912619417</v>
      </c>
      <c r="L222" s="15" t="n">
        <f aca="false">K222*(1+IF(L$3&lt;=$O$2,$D222,$D222-($D222-$I$211)*MIN(L$3-$O$2,$Q$2)/$Q$2))</f>
        <v>3596.77172959017</v>
      </c>
      <c r="M222" s="15" t="n">
        <f aca="false">L222*(1+IF(M$3&lt;=$O$2,$D222,$D222-($D222-$I$211)*MIN(M$3-$O$2,$Q$2)/$Q$2))</f>
        <v>3697.18404235542</v>
      </c>
      <c r="N222" s="15" t="n">
        <f aca="false">M222*(1+IF(N$3&lt;=$O$2,$D222,$D222-($D222-$I$211)*MIN(N$3-$O$2,$Q$2)/$Q$2))</f>
        <v>3783.3284305423</v>
      </c>
      <c r="O222" s="15" t="n">
        <f aca="false">SUMPRODUCT(E222:N222,1/(1+$F$211)^$E$3:$N$3)*$E$2</f>
        <v>4091.11992925391</v>
      </c>
      <c r="P222" s="15" t="n">
        <f aca="false">N222*$E$2*(1+$I$211)/($F$211-$I$211)/(1+$F$211)^$N$3</f>
        <v>4995.90623775393</v>
      </c>
      <c r="Q222" s="15" t="n">
        <f aca="false">O222+P222</f>
        <v>9087.02616700784</v>
      </c>
      <c r="R222" s="15" t="n">
        <f aca="false">Q222-$G$2+$I$2</f>
        <v>7710.82616700784</v>
      </c>
      <c r="S222" s="42" t="n">
        <f aca="false">R222/$K$2</f>
        <v>205.56721319669</v>
      </c>
      <c r="T222" s="43" t="n">
        <f aca="false">S222-$M$2</f>
        <v>1.08840754486386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0.044921875</v>
      </c>
      <c r="C223" s="25" t="n">
        <f aca="false">IF(T222&gt;0,D222,C222)</f>
        <v>0.04638671875</v>
      </c>
      <c r="D223" s="41" t="n">
        <f aca="false">(B223+C223)/2</f>
        <v>0.045654296875</v>
      </c>
      <c r="E223" s="15" t="n">
        <f aca="false">$C$2*(1+IF(E$3&lt;=$O$2,$D223,$D223-($D223-$I$211)*MIN(E$3-$O$2,$Q$2)/$Q$2))</f>
        <v>2687.33154296875</v>
      </c>
      <c r="F223" s="15" t="n">
        <f aca="false">E223*(1+IF(F$3&lt;=$O$2,$D223,$D223-($D223-$I$211)*MIN(F$3-$O$2,$Q$2)/$Q$2))</f>
        <v>2810.019775033</v>
      </c>
      <c r="G223" s="15" t="n">
        <f aca="false">F223*(1+IF(G$3&lt;=$O$2,$D223,$D223-($D223-$I$211)*MIN(G$3-$O$2,$Q$2)/$Q$2))</f>
        <v>2938.30925206697</v>
      </c>
      <c r="H223" s="15" t="n">
        <f aca="false">G223*(1+IF(H$3&lt;=$O$2,$D223,$D223-($D223-$I$211)*MIN(H$3-$O$2,$Q$2)/$Q$2))</f>
        <v>3072.4556949714</v>
      </c>
      <c r="I223" s="15" t="n">
        <f aca="false">H223*(1+IF(I$3&lt;=$O$2,$D223,$D223-($D223-$I$211)*MIN(I$3-$O$2,$Q$2)/$Q$2))</f>
        <v>3212.72649940491</v>
      </c>
      <c r="J223" s="15" t="n">
        <f aca="false">I223*(1+IF(J$3&lt;=$O$2,$D223,$D223-($D223-$I$211)*MIN(J$3-$O$2,$Q$2)/$Q$2))</f>
        <v>3345.03762039774</v>
      </c>
      <c r="K223" s="15" t="n">
        <f aca="false">J223*(1+IF(K$3&lt;=$O$2,$D223,$D223-($D223-$I$211)*MIN(K$3-$O$2,$Q$2)/$Q$2))</f>
        <v>3467.84257536766</v>
      </c>
      <c r="L223" s="15" t="n">
        <f aca="false">K223*(1+IF(L$3&lt;=$O$2,$D223,$D223-($D223-$I$211)*MIN(L$3-$O$2,$Q$2)/$Q$2))</f>
        <v>3579.65178035194</v>
      </c>
      <c r="M223" s="15" t="n">
        <f aca="false">L223*(1+IF(M$3&lt;=$O$2,$D223,$D223-($D223-$I$211)*MIN(M$3-$O$2,$Q$2)/$Q$2))</f>
        <v>3679.06178655556</v>
      </c>
      <c r="N223" s="15" t="n">
        <f aca="false">M223*(1+IF(N$3&lt;=$O$2,$D223,$D223-($D223-$I$211)*MIN(N$3-$O$2,$Q$2)/$Q$2))</f>
        <v>3764.78392618231</v>
      </c>
      <c r="O223" s="15" t="n">
        <f aca="false">SUMPRODUCT(E223:N223,1/(1+$F$211)^$E$3:$N$3)*$E$2</f>
        <v>4078.14023756325</v>
      </c>
      <c r="P223" s="15" t="n">
        <f aca="false">N223*$E$2*(1+$I$211)/($F$211-$I$211)/(1+$F$211)^$N$3</f>
        <v>4971.41811659051</v>
      </c>
      <c r="Q223" s="15" t="n">
        <f aca="false">O223+P223</f>
        <v>9049.55835415375</v>
      </c>
      <c r="R223" s="15" t="n">
        <f aca="false">Q223-$G$2+$I$2</f>
        <v>7673.35835415376</v>
      </c>
      <c r="S223" s="42" t="n">
        <f aca="false">R223/$K$2</f>
        <v>204.56833788733</v>
      </c>
      <c r="T223" s="43" t="n">
        <f aca="false">S223-$M$2</f>
        <v>0.0895322355040946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0.044921875</v>
      </c>
      <c r="C224" s="25" t="n">
        <f aca="false">IF(T223&gt;0,D223,C223)</f>
        <v>0.045654296875</v>
      </c>
      <c r="D224" s="41" t="n">
        <f aca="false">(B224+C224)/2</f>
        <v>0.0452880859375</v>
      </c>
      <c r="E224" s="15" t="n">
        <f aca="false">$C$2*(1+IF(E$3&lt;=$O$2,$D224,$D224-($D224-$I$211)*MIN(E$3-$O$2,$Q$2)/$Q$2))</f>
        <v>2686.39038085938</v>
      </c>
      <c r="F224" s="15" t="n">
        <f aca="false">E224*(1+IF(F$3&lt;=$O$2,$D224,$D224-($D224-$I$211)*MIN(F$3-$O$2,$Q$2)/$Q$2))</f>
        <v>2808.05185928941</v>
      </c>
      <c r="G224" s="15" t="n">
        <f aca="false">F224*(1+IF(G$3&lt;=$O$2,$D224,$D224-($D224-$I$211)*MIN(G$3-$O$2,$Q$2)/$Q$2))</f>
        <v>2935.22315320986</v>
      </c>
      <c r="H224" s="15" t="n">
        <f aca="false">G224*(1+IF(H$3&lt;=$O$2,$D224,$D224-($D224-$I$211)*MIN(H$3-$O$2,$Q$2)/$Q$2))</f>
        <v>3068.15379161817</v>
      </c>
      <c r="I224" s="15" t="n">
        <f aca="false">H224*(1+IF(I$3&lt;=$O$2,$D224,$D224-($D224-$I$211)*MIN(I$3-$O$2,$Q$2)/$Q$2))</f>
        <v>3207.10460420244</v>
      </c>
      <c r="J224" s="15" t="n">
        <f aca="false">I224*(1+IF(J$3&lt;=$O$2,$D224,$D224-($D224-$I$211)*MIN(J$3-$O$2,$Q$2)/$Q$2))</f>
        <v>3338.24461479856</v>
      </c>
      <c r="K224" s="15" t="n">
        <f aca="false">J224*(1+IF(K$3&lt;=$O$2,$D224,$D224-($D224-$I$211)*MIN(K$3-$O$2,$Q$2)/$Q$2))</f>
        <v>3460.06668000572</v>
      </c>
      <c r="L224" s="15" t="n">
        <f aca="false">K224*(1+IF(L$3&lt;=$O$2,$D224,$D224-($D224-$I$211)*MIN(L$3-$O$2,$Q$2)/$Q$2))</f>
        <v>3571.11833105363</v>
      </c>
      <c r="M224" s="15" t="n">
        <f aca="false">L224*(1+IF(M$3&lt;=$O$2,$D224,$D224-($D224-$I$211)*MIN(M$3-$O$2,$Q$2)/$Q$2))</f>
        <v>3670.02979951842</v>
      </c>
      <c r="N224" s="15" t="n">
        <f aca="false">M224*(1+IF(N$3&lt;=$O$2,$D224,$D224-($D224-$I$211)*MIN(N$3-$O$2,$Q$2)/$Q$2))</f>
        <v>3755.5414938472</v>
      </c>
      <c r="O224" s="15" t="n">
        <f aca="false">SUMPRODUCT(E224:N224,1/(1+$F$211)^$E$3:$N$3)*$E$2</f>
        <v>4071.66600446779</v>
      </c>
      <c r="P224" s="15" t="n">
        <f aca="false">N224*$E$2*(1+$I$211)/($F$211-$I$211)/(1+$F$211)^$N$3</f>
        <v>4959.21343327985</v>
      </c>
      <c r="Q224" s="15" t="n">
        <f aca="false">O224+P224</f>
        <v>9030.87943774764</v>
      </c>
      <c r="R224" s="15" t="n">
        <f aca="false">Q224-$G$2+$I$2</f>
        <v>7654.67943774764</v>
      </c>
      <c r="S224" s="42" t="n">
        <f aca="false">R224/$K$2</f>
        <v>204.070366242272</v>
      </c>
      <c r="T224" s="43" t="n">
        <f aca="false">S224-$M$2</f>
        <v>-0.408439409553608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0.0452880859375</v>
      </c>
      <c r="C225" s="25" t="n">
        <f aca="false">IF(T224&gt;0,D224,C224)</f>
        <v>0.045654296875</v>
      </c>
      <c r="D225" s="41" t="n">
        <f aca="false">(B225+C225)/2</f>
        <v>0.04547119140625</v>
      </c>
      <c r="E225" s="15" t="n">
        <f aca="false">$C$2*(1+IF(E$3&lt;=$O$2,$D225,$D225-($D225-$I$211)*MIN(E$3-$O$2,$Q$2)/$Q$2))</f>
        <v>2686.86096191406</v>
      </c>
      <c r="F225" s="15" t="n">
        <f aca="false">E225*(1+IF(F$3&lt;=$O$2,$D225,$D225-($D225-$I$211)*MIN(F$3-$O$2,$Q$2)/$Q$2))</f>
        <v>2809.03573099524</v>
      </c>
      <c r="G225" s="15" t="n">
        <f aca="false">F225*(1+IF(G$3&lt;=$O$2,$D225,$D225-($D225-$I$211)*MIN(G$3-$O$2,$Q$2)/$Q$2))</f>
        <v>2936.76593238632</v>
      </c>
      <c r="H225" s="15" t="n">
        <f aca="false">G225*(1+IF(H$3&lt;=$O$2,$D225,$D225-($D225-$I$211)*MIN(H$3-$O$2,$Q$2)/$Q$2))</f>
        <v>3070.30417821321</v>
      </c>
      <c r="I225" s="15" t="n">
        <f aca="false">H225*(1+IF(I$3&lt;=$O$2,$D225,$D225-($D225-$I$211)*MIN(I$3-$O$2,$Q$2)/$Q$2))</f>
        <v>3209.91456717615</v>
      </c>
      <c r="J225" s="15" t="n">
        <f aca="false">I225*(1+IF(J$3&lt;=$O$2,$D225,$D225-($D225-$I$211)*MIN(J$3-$O$2,$Q$2)/$Q$2))</f>
        <v>3341.63968080461</v>
      </c>
      <c r="K225" s="15" t="n">
        <f aca="false">J225*(1+IF(K$3&lt;=$O$2,$D225,$D225-($D225-$I$211)*MIN(K$3-$O$2,$Q$2)/$Q$2))</f>
        <v>3463.95276515167</v>
      </c>
      <c r="L225" s="15" t="n">
        <f aca="false">K225*(1+IF(L$3&lt;=$O$2,$D225,$D225-($D225-$I$211)*MIN(L$3-$O$2,$Q$2)/$Q$2))</f>
        <v>3575.38284849105</v>
      </c>
      <c r="M225" s="15" t="n">
        <f aca="false">L225*(1+IF(M$3&lt;=$O$2,$D225,$D225-($D225-$I$211)*MIN(M$3-$O$2,$Q$2)/$Q$2))</f>
        <v>3674.5433683578</v>
      </c>
      <c r="N225" s="15" t="n">
        <f aca="false">M225*(1+IF(N$3&lt;=$O$2,$D225,$D225-($D225-$I$211)*MIN(N$3-$O$2,$Q$2)/$Q$2))</f>
        <v>3760.16022884054</v>
      </c>
      <c r="O225" s="15" t="n">
        <f aca="false">SUMPRODUCT(E225:N225,1/(1+$F$211)^$E$3:$N$3)*$E$2</f>
        <v>4074.90182158469</v>
      </c>
      <c r="P225" s="15" t="n">
        <f aca="false">N225*$E$2*(1+$I$211)/($F$211-$I$211)/(1+$F$211)^$N$3</f>
        <v>4965.31249853082</v>
      </c>
      <c r="Q225" s="15" t="n">
        <f aca="false">O225+P225</f>
        <v>9040.21432011552</v>
      </c>
      <c r="R225" s="15" t="n">
        <f aca="false">Q225-$G$2+$I$2</f>
        <v>7664.01432011552</v>
      </c>
      <c r="S225" s="42" t="n">
        <f aca="false">R225/$K$2</f>
        <v>204.31923007506</v>
      </c>
      <c r="T225" s="43" t="n">
        <f aca="false">S225-$M$2</f>
        <v>-0.159575576765661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0.04547119140625</v>
      </c>
      <c r="C226" s="25" t="n">
        <f aca="false">IF(T225&gt;0,D225,C225)</f>
        <v>0.045654296875</v>
      </c>
      <c r="D226" s="41" t="n">
        <f aca="false">(B226+C226)/2</f>
        <v>0.045562744140625</v>
      </c>
      <c r="E226" s="15" t="n">
        <f aca="false">$C$2*(1+IF(E$3&lt;=$O$2,$D226,$D226-($D226-$I$211)*MIN(E$3-$O$2,$Q$2)/$Q$2))</f>
        <v>2687.09625244141</v>
      </c>
      <c r="F226" s="15" t="n">
        <f aca="false">E226*(1+IF(F$3&lt;=$O$2,$D226,$D226-($D226-$I$211)*MIN(F$3-$O$2,$Q$2)/$Q$2))</f>
        <v>2809.52773147263</v>
      </c>
      <c r="G226" s="15" t="n">
        <f aca="false">F226*(1+IF(G$3&lt;=$O$2,$D226,$D226-($D226-$I$211)*MIN(G$3-$O$2,$Q$2)/$Q$2))</f>
        <v>2937.5375246577</v>
      </c>
      <c r="H226" s="15" t="n">
        <f aca="false">G226*(1+IF(H$3&lt;=$O$2,$D226,$D226-($D226-$I$211)*MIN(H$3-$O$2,$Q$2)/$Q$2))</f>
        <v>3071.37979529717</v>
      </c>
      <c r="I226" s="15" t="n">
        <f aca="false">H226*(1+IF(I$3&lt;=$O$2,$D226,$D226-($D226-$I$211)*MIN(I$3-$O$2,$Q$2)/$Q$2))</f>
        <v>3211.32028706898</v>
      </c>
      <c r="J226" s="15" t="n">
        <f aca="false">I226*(1+IF(J$3&lt;=$O$2,$D226,$D226-($D226-$I$211)*MIN(J$3-$O$2,$Q$2)/$Q$2))</f>
        <v>3343.33829128138</v>
      </c>
      <c r="K226" s="15" t="n">
        <f aca="false">J226*(1+IF(K$3&lt;=$O$2,$D226,$D226-($D226-$I$211)*MIN(K$3-$O$2,$Q$2)/$Q$2))</f>
        <v>3465.89720444084</v>
      </c>
      <c r="L226" s="15" t="n">
        <f aca="false">K226*(1+IF(L$3&lt;=$O$2,$D226,$D226-($D226-$I$211)*MIN(L$3-$O$2,$Q$2)/$Q$2))</f>
        <v>3577.51676237639</v>
      </c>
      <c r="M226" s="15" t="n">
        <f aca="false">L226*(1+IF(M$3&lt;=$O$2,$D226,$D226-($D226-$I$211)*MIN(M$3-$O$2,$Q$2)/$Q$2))</f>
        <v>3676.80197100767</v>
      </c>
      <c r="N226" s="15" t="n">
        <f aca="false">M226*(1+IF(N$3&lt;=$O$2,$D226,$D226-($D226-$I$211)*MIN(N$3-$O$2,$Q$2)/$Q$2))</f>
        <v>3762.47145693215</v>
      </c>
      <c r="O226" s="15" t="n">
        <f aca="false">SUMPRODUCT(E226:N226,1/(1+$F$211)^$E$3:$N$3)*$E$2</f>
        <v>4076.52070459398</v>
      </c>
      <c r="P226" s="15" t="n">
        <f aca="false">N226*$E$2*(1+$I$211)/($F$211-$I$211)/(1+$F$211)^$N$3</f>
        <v>4968.36448808229</v>
      </c>
      <c r="Q226" s="15" t="n">
        <f aca="false">O226+P226</f>
        <v>9044.88519267627</v>
      </c>
      <c r="R226" s="15" t="n">
        <f aca="false">Q226-$G$2+$I$2</f>
        <v>7668.68519267627</v>
      </c>
      <c r="S226" s="42" t="n">
        <f aca="false">R226/$K$2</f>
        <v>204.443753470442</v>
      </c>
      <c r="T226" s="43" t="n">
        <f aca="false">S226-$M$2</f>
        <v>-0.035052181384458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0.045562744140625</v>
      </c>
      <c r="C227" s="25" t="n">
        <f aca="false">IF(T226&gt;0,D226,C226)</f>
        <v>0.045654296875</v>
      </c>
      <c r="D227" s="41" t="n">
        <f aca="false">(B227+C227)/2</f>
        <v>0.0456085205078125</v>
      </c>
      <c r="E227" s="15" t="n">
        <f aca="false">$C$2*(1+IF(E$3&lt;=$O$2,$D227,$D227-($D227-$I$211)*MIN(E$3-$O$2,$Q$2)/$Q$2))</f>
        <v>2687.21389770508</v>
      </c>
      <c r="F227" s="15" t="n">
        <f aca="false">E227*(1+IF(F$3&lt;=$O$2,$D227,$D227-($D227-$I$211)*MIN(F$3-$O$2,$Q$2)/$Q$2))</f>
        <v>2809.77374786744</v>
      </c>
      <c r="G227" s="15" t="n">
        <f aca="false">F227*(1+IF(G$3&lt;=$O$2,$D227,$D227-($D227-$I$211)*MIN(G$3-$O$2,$Q$2)/$Q$2))</f>
        <v>2937.92337146936</v>
      </c>
      <c r="H227" s="15" t="n">
        <f aca="false">G227*(1+IF(H$3&lt;=$O$2,$D227,$D227-($D227-$I$211)*MIN(H$3-$O$2,$Q$2)/$Q$2))</f>
        <v>3071.91770980741</v>
      </c>
      <c r="I227" s="15" t="n">
        <f aca="false">H227*(1+IF(I$3&lt;=$O$2,$D227,$D227-($D227-$I$211)*MIN(I$3-$O$2,$Q$2)/$Q$2))</f>
        <v>3212.02333167347</v>
      </c>
      <c r="J227" s="15" t="n">
        <f aca="false">I227*(1+IF(J$3&lt;=$O$2,$D227,$D227-($D227-$I$211)*MIN(J$3-$O$2,$Q$2)/$Q$2))</f>
        <v>3344.18786599443</v>
      </c>
      <c r="K227" s="15" t="n">
        <f aca="false">J227*(1+IF(K$3&lt;=$O$2,$D227,$D227-($D227-$I$211)*MIN(K$3-$O$2,$Q$2)/$Q$2))</f>
        <v>3466.86977342641</v>
      </c>
      <c r="L227" s="15" t="n">
        <f aca="false">K227*(1+IF(L$3&lt;=$O$2,$D227,$D227-($D227-$I$211)*MIN(L$3-$O$2,$Q$2)/$Q$2))</f>
        <v>3578.5841333226</v>
      </c>
      <c r="M227" s="15" t="n">
        <f aca="false">L227*(1+IF(M$3&lt;=$O$2,$D227,$D227-($D227-$I$211)*MIN(M$3-$O$2,$Q$2)/$Q$2))</f>
        <v>3677.93172713445</v>
      </c>
      <c r="N227" s="15" t="n">
        <f aca="false">M227*(1+IF(N$3&lt;=$O$2,$D227,$D227-($D227-$I$211)*MIN(N$3-$O$2,$Q$2)/$Q$2))</f>
        <v>3763.62753637668</v>
      </c>
      <c r="O227" s="15" t="n">
        <f aca="false">SUMPRODUCT(E227:N227,1/(1+$F$211)^$E$3:$N$3)*$E$2</f>
        <v>4077.33038981833</v>
      </c>
      <c r="P227" s="15" t="n">
        <f aca="false">N227*$E$2*(1+$I$211)/($F$211-$I$211)/(1+$F$211)^$N$3</f>
        <v>4969.89109741962</v>
      </c>
      <c r="Q227" s="15" t="n">
        <f aca="false">O227+P227</f>
        <v>9047.22148723795</v>
      </c>
      <c r="R227" s="15" t="n">
        <f aca="false">Q227-$G$2+$I$2</f>
        <v>7671.02148723795</v>
      </c>
      <c r="S227" s="42" t="n">
        <f aca="false">R227/$K$2</f>
        <v>204.506038049532</v>
      </c>
      <c r="T227" s="43" t="n">
        <f aca="false">S227-$M$2</f>
        <v>0.027232397706058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0.045562744140625</v>
      </c>
      <c r="C228" s="25" t="n">
        <f aca="false">IF(T227&gt;0,D227,C227)</f>
        <v>0.0456085205078125</v>
      </c>
      <c r="D228" s="41" t="n">
        <f aca="false">(B228+C228)/2</f>
        <v>0.0455856323242188</v>
      </c>
      <c r="E228" s="15" t="n">
        <f aca="false">$C$2*(1+IF(E$3&lt;=$O$2,$D228,$D228-($D228-$I$211)*MIN(E$3-$O$2,$Q$2)/$Q$2))</f>
        <v>2687.15507507324</v>
      </c>
      <c r="F228" s="15" t="n">
        <f aca="false">E228*(1+IF(F$3&lt;=$O$2,$D228,$D228-($D228-$I$211)*MIN(F$3-$O$2,$Q$2)/$Q$2))</f>
        <v>2809.65073832369</v>
      </c>
      <c r="G228" s="15" t="n">
        <f aca="false">F228*(1+IF(G$3&lt;=$O$2,$D228,$D228-($D228-$I$211)*MIN(G$3-$O$2,$Q$2)/$Q$2))</f>
        <v>2937.73044384038</v>
      </c>
      <c r="H228" s="15" t="n">
        <f aca="false">G228*(1+IF(H$3&lt;=$O$2,$D228,$D228-($D228-$I$211)*MIN(H$3-$O$2,$Q$2)/$Q$2))</f>
        <v>3071.64874372096</v>
      </c>
      <c r="I228" s="15" t="n">
        <f aca="false">H228*(1+IF(I$3&lt;=$O$2,$D228,$D228-($D228-$I$211)*MIN(I$3-$O$2,$Q$2)/$Q$2))</f>
        <v>3211.67179398137</v>
      </c>
      <c r="J228" s="15" t="n">
        <f aca="false">I228*(1+IF(J$3&lt;=$O$2,$D228,$D228-($D228-$I$211)*MIN(J$3-$O$2,$Q$2)/$Q$2))</f>
        <v>3343.76305617852</v>
      </c>
      <c r="K228" s="15" t="n">
        <f aca="false">J228*(1+IF(K$3&lt;=$O$2,$D228,$D228-($D228-$I$211)*MIN(K$3-$O$2,$Q$2)/$Q$2))</f>
        <v>3466.38345981706</v>
      </c>
      <c r="L228" s="15" t="n">
        <f aca="false">K228*(1+IF(L$3&lt;=$O$2,$D228,$D228-($D228-$I$211)*MIN(L$3-$O$2,$Q$2)/$Q$2))</f>
        <v>3578.05041334289</v>
      </c>
      <c r="M228" s="15" t="n">
        <f aca="false">L228*(1+IF(M$3&lt;=$O$2,$D228,$D228-($D228-$I$211)*MIN(M$3-$O$2,$Q$2)/$Q$2))</f>
        <v>3677.36681116364</v>
      </c>
      <c r="N228" s="15" t="n">
        <f aca="false">M228*(1+IF(N$3&lt;=$O$2,$D228,$D228-($D228-$I$211)*MIN(N$3-$O$2,$Q$2)/$Q$2))</f>
        <v>3763.04945786375</v>
      </c>
      <c r="O228" s="15" t="n">
        <f aca="false">SUMPRODUCT(E228:N228,1/(1+$F$211)^$E$3:$N$3)*$E$2</f>
        <v>4076.92552689299</v>
      </c>
      <c r="P228" s="15" t="n">
        <f aca="false">N228*$E$2*(1+$I$211)/($F$211-$I$211)/(1+$F$211)^$N$3</f>
        <v>4969.12774152766</v>
      </c>
      <c r="Q228" s="15" t="n">
        <f aca="false">O228+P228</f>
        <v>9046.05326842065</v>
      </c>
      <c r="R228" s="15" t="n">
        <f aca="false">Q228-$G$2+$I$2</f>
        <v>7669.85326842065</v>
      </c>
      <c r="S228" s="42" t="n">
        <f aca="false">R228/$K$2</f>
        <v>204.474893852857</v>
      </c>
      <c r="T228" s="43" t="n">
        <f aca="false">S228-$M$2</f>
        <v>-0.00391179896945459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0.0455856323242188</v>
      </c>
      <c r="C229" s="25" t="n">
        <f aca="false">IF(T228&gt;0,D228,C228)</f>
        <v>0.0456085205078125</v>
      </c>
      <c r="D229" s="41" t="n">
        <f aca="false">(B229+C229)/2</f>
        <v>0.0455970764160156</v>
      </c>
      <c r="E229" s="15" t="n">
        <f aca="false">$C$2*(1+IF(E$3&lt;=$O$2,$D229,$D229-($D229-$I$211)*MIN(E$3-$O$2,$Q$2)/$Q$2))</f>
        <v>2687.18448638916</v>
      </c>
      <c r="F229" s="15" t="n">
        <f aca="false">E229*(1+IF(F$3&lt;=$O$2,$D229,$D229-($D229-$I$211)*MIN(F$3-$O$2,$Q$2)/$Q$2))</f>
        <v>2809.71224275898</v>
      </c>
      <c r="G229" s="15" t="n">
        <f aca="false">F229*(1+IF(G$3&lt;=$O$2,$D229,$D229-($D229-$I$211)*MIN(G$3-$O$2,$Q$2)/$Q$2))</f>
        <v>2937.82690659907</v>
      </c>
      <c r="H229" s="15" t="n">
        <f aca="false">G229*(1+IF(H$3&lt;=$O$2,$D229,$D229-($D229-$I$211)*MIN(H$3-$O$2,$Q$2)/$Q$2))</f>
        <v>3071.7832245563</v>
      </c>
      <c r="I229" s="15" t="n">
        <f aca="false">H229*(1+IF(I$3&lt;=$O$2,$D229,$D229-($D229-$I$211)*MIN(I$3-$O$2,$Q$2)/$Q$2))</f>
        <v>3211.84755897983</v>
      </c>
      <c r="J229" s="15" t="n">
        <f aca="false">I229*(1+IF(J$3&lt;=$O$2,$D229,$D229-($D229-$I$211)*MIN(J$3-$O$2,$Q$2)/$Q$2))</f>
        <v>3343.97545547139</v>
      </c>
      <c r="K229" s="15" t="n">
        <f aca="false">J229*(1+IF(K$3&lt;=$O$2,$D229,$D229-($D229-$I$211)*MIN(K$3-$O$2,$Q$2)/$Q$2))</f>
        <v>3466.62660934223</v>
      </c>
      <c r="L229" s="15" t="n">
        <f aca="false">K229*(1+IF(L$3&lt;=$O$2,$D229,$D229-($D229-$I$211)*MIN(L$3-$O$2,$Q$2)/$Q$2))</f>
        <v>3578.31726470562</v>
      </c>
      <c r="M229" s="15" t="n">
        <f aca="false">L229*(1+IF(M$3&lt;=$O$2,$D229,$D229-($D229-$I$211)*MIN(M$3-$O$2,$Q$2)/$Q$2))</f>
        <v>3677.64925967164</v>
      </c>
      <c r="N229" s="15" t="n">
        <f aca="false">M229*(1+IF(N$3&lt;=$O$2,$D229,$D229-($D229-$I$211)*MIN(N$3-$O$2,$Q$2)/$Q$2))</f>
        <v>3763.33848742199</v>
      </c>
      <c r="O229" s="15" t="n">
        <f aca="false">SUMPRODUCT(E229:N229,1/(1+$F$211)^$E$3:$N$3)*$E$2</f>
        <v>4077.12795327713</v>
      </c>
      <c r="P229" s="15" t="n">
        <f aca="false">N229*$E$2*(1+$I$211)/($F$211-$I$211)/(1+$F$211)^$N$3</f>
        <v>4969.50940666708</v>
      </c>
      <c r="Q229" s="15" t="n">
        <f aca="false">O229+P229</f>
        <v>9046.63735994421</v>
      </c>
      <c r="R229" s="15" t="n">
        <f aca="false">Q229-$G$2+$I$2</f>
        <v>7670.43735994421</v>
      </c>
      <c r="S229" s="42" t="n">
        <f aca="false">R229/$K$2</f>
        <v>204.490465474386</v>
      </c>
      <c r="T229" s="43" t="n">
        <f aca="false">S229-$M$2</f>
        <v>0.0116598225598068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0.0455856323242188</v>
      </c>
      <c r="C230" s="25" t="n">
        <f aca="false">IF(T229&gt;0,D229,C229)</f>
        <v>0.0455970764160156</v>
      </c>
      <c r="D230" s="41" t="n">
        <f aca="false">(B230+C230)/2</f>
        <v>0.0455913543701172</v>
      </c>
      <c r="E230" s="15" t="n">
        <f aca="false">$C$2*(1+IF(E$3&lt;=$O$2,$D230,$D230-($D230-$I$211)*MIN(E$3-$O$2,$Q$2)/$Q$2))</f>
        <v>2687.1697807312</v>
      </c>
      <c r="F230" s="15" t="n">
        <f aca="false">E230*(1+IF(F$3&lt;=$O$2,$D230,$D230-($D230-$I$211)*MIN(F$3-$O$2,$Q$2)/$Q$2))</f>
        <v>2809.68149045719</v>
      </c>
      <c r="G230" s="15" t="n">
        <f aca="false">F230*(1+IF(G$3&lt;=$O$2,$D230,$D230-($D230-$I$211)*MIN(G$3-$O$2,$Q$2)/$Q$2))</f>
        <v>2937.77867495578</v>
      </c>
      <c r="H230" s="15" t="n">
        <f aca="false">G230*(1+IF(H$3&lt;=$O$2,$D230,$D230-($D230-$I$211)*MIN(H$3-$O$2,$Q$2)/$Q$2))</f>
        <v>3071.71598358666</v>
      </c>
      <c r="I230" s="15" t="n">
        <f aca="false">H230*(1+IF(I$3&lt;=$O$2,$D230,$D230-($D230-$I$211)*MIN(I$3-$O$2,$Q$2)/$Q$2))</f>
        <v>3211.75967551872</v>
      </c>
      <c r="J230" s="15" t="n">
        <f aca="false">I230*(1+IF(J$3&lt;=$O$2,$D230,$D230-($D230-$I$211)*MIN(J$3-$O$2,$Q$2)/$Q$2))</f>
        <v>3343.86925442121</v>
      </c>
      <c r="K230" s="15" t="n">
        <f aca="false">J230*(1+IF(K$3&lt;=$O$2,$D230,$D230-($D230-$I$211)*MIN(K$3-$O$2,$Q$2)/$Q$2))</f>
        <v>3466.50503275981</v>
      </c>
      <c r="L230" s="15" t="n">
        <f aca="false">K230*(1+IF(L$3&lt;=$O$2,$D230,$D230-($D230-$I$211)*MIN(L$3-$O$2,$Q$2)/$Q$2))</f>
        <v>3578.18383686753</v>
      </c>
      <c r="M230" s="15" t="n">
        <f aca="false">L230*(1+IF(M$3&lt;=$O$2,$D230,$D230-($D230-$I$211)*MIN(M$3-$O$2,$Q$2)/$Q$2))</f>
        <v>3677.50803304836</v>
      </c>
      <c r="N230" s="15" t="n">
        <f aca="false">M230*(1+IF(N$3&lt;=$O$2,$D230,$D230-($D230-$I$211)*MIN(N$3-$O$2,$Q$2)/$Q$2))</f>
        <v>3763.19397021838</v>
      </c>
      <c r="O230" s="15" t="n">
        <f aca="false">SUMPRODUCT(E230:N230,1/(1+$F$211)^$E$3:$N$3)*$E$2</f>
        <v>4077.02673881546</v>
      </c>
      <c r="P230" s="15" t="n">
        <f aca="false">N230*$E$2*(1+$I$211)/($F$211-$I$211)/(1+$F$211)^$N$3</f>
        <v>4969.31857089582</v>
      </c>
      <c r="Q230" s="15" t="n">
        <f aca="false">O230+P230</f>
        <v>9046.34530971128</v>
      </c>
      <c r="R230" s="15" t="n">
        <f aca="false">Q230-$G$2+$I$2</f>
        <v>7670.14530971128</v>
      </c>
      <c r="S230" s="42" t="n">
        <f aca="false">R230/$K$2</f>
        <v>204.482679544422</v>
      </c>
      <c r="T230" s="43" t="n">
        <f aca="false">S230-$M$2</f>
        <v>0.00387389259626048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0.0455856323242188</v>
      </c>
      <c r="C231" s="25" t="n">
        <f aca="false">IF(T230&gt;0,D230,C230)</f>
        <v>0.0455913543701172</v>
      </c>
      <c r="D231" s="41" t="n">
        <f aca="false">(B231+C231)/2</f>
        <v>0.045588493347168</v>
      </c>
      <c r="E231" s="15" t="n">
        <f aca="false">$C$2*(1+IF(E$3&lt;=$O$2,$D231,$D231-($D231-$I$211)*MIN(E$3-$O$2,$Q$2)/$Q$2))</f>
        <v>2687.16242790222</v>
      </c>
      <c r="F231" s="15" t="n">
        <f aca="false">E231*(1+IF(F$3&lt;=$O$2,$D231,$D231-($D231-$I$211)*MIN(F$3-$O$2,$Q$2)/$Q$2))</f>
        <v>2809.6661143694</v>
      </c>
      <c r="G231" s="15" t="n">
        <f aca="false">F231*(1+IF(G$3&lt;=$O$2,$D231,$D231-($D231-$I$211)*MIN(G$3-$O$2,$Q$2)/$Q$2))</f>
        <v>2937.75455933209</v>
      </c>
      <c r="H231" s="15" t="n">
        <f aca="false">G231*(1+IF(H$3&lt;=$O$2,$D231,$D231-($D231-$I$211)*MIN(H$3-$O$2,$Q$2)/$Q$2))</f>
        <v>3071.68236351582</v>
      </c>
      <c r="I231" s="15" t="n">
        <f aca="false">H231*(1+IF(I$3&lt;=$O$2,$D231,$D231-($D231-$I$211)*MIN(I$3-$O$2,$Q$2)/$Q$2))</f>
        <v>3211.71573450957</v>
      </c>
      <c r="J231" s="15" t="n">
        <f aca="false">I231*(1+IF(J$3&lt;=$O$2,$D231,$D231-($D231-$I$211)*MIN(J$3-$O$2,$Q$2)/$Q$2))</f>
        <v>3343.81615494893</v>
      </c>
      <c r="K231" s="15" t="n">
        <f aca="false">J231*(1+IF(K$3&lt;=$O$2,$D231,$D231-($D231-$I$211)*MIN(K$3-$O$2,$Q$2)/$Q$2))</f>
        <v>3466.44424583348</v>
      </c>
      <c r="L231" s="15" t="n">
        <f aca="false">K231*(1+IF(L$3&lt;=$O$2,$D231,$D231-($D231-$I$211)*MIN(L$3-$O$2,$Q$2)/$Q$2))</f>
        <v>3578.11712456604</v>
      </c>
      <c r="M231" s="15" t="n">
        <f aca="false">L231*(1+IF(M$3&lt;=$O$2,$D231,$D231-($D231-$I$211)*MIN(M$3-$O$2,$Q$2)/$Q$2))</f>
        <v>3677.43742151368</v>
      </c>
      <c r="N231" s="15" t="n">
        <f aca="false">M231*(1+IF(N$3&lt;=$O$2,$D231,$D231-($D231-$I$211)*MIN(N$3-$O$2,$Q$2)/$Q$2))</f>
        <v>3763.12171343495</v>
      </c>
      <c r="O231" s="15" t="n">
        <f aca="false">SUMPRODUCT(E231:N231,1/(1+$F$211)^$E$3:$N$3)*$E$2</f>
        <v>4076.97613253683</v>
      </c>
      <c r="P231" s="15" t="n">
        <f aca="false">N231*$E$2*(1+$I$211)/($F$211-$I$211)/(1+$F$211)^$N$3</f>
        <v>4969.22315541137</v>
      </c>
      <c r="Q231" s="15" t="n">
        <f aca="false">O231+P231</f>
        <v>9046.1992879482</v>
      </c>
      <c r="R231" s="15" t="n">
        <f aca="false">Q231-$G$2+$I$2</f>
        <v>7669.9992879482</v>
      </c>
      <c r="S231" s="42" t="n">
        <f aca="false">R231/$K$2</f>
        <v>204.47878666884</v>
      </c>
      <c r="T231" s="43" t="n">
        <f aca="false">S231-$M$2</f>
        <v>-1.89829858641133E-005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0.045588493347168</v>
      </c>
      <c r="C232" s="25" t="n">
        <f aca="false">IF(T231&gt;0,D231,C231)</f>
        <v>0.0455913543701172</v>
      </c>
      <c r="D232" s="41" t="n">
        <f aca="false">(B232+C232)/2</f>
        <v>0.0455899238586426</v>
      </c>
      <c r="E232" s="15" t="n">
        <f aca="false">$C$2*(1+IF(E$3&lt;=$O$2,$D232,$D232-($D232-$I$211)*MIN(E$3-$O$2,$Q$2)/$Q$2))</f>
        <v>2687.16610431671</v>
      </c>
      <c r="F232" s="15" t="n">
        <f aca="false">E232*(1+IF(F$3&lt;=$O$2,$D232,$D232-($D232-$I$211)*MIN(F$3-$O$2,$Q$2)/$Q$2))</f>
        <v>2809.67380240804</v>
      </c>
      <c r="G232" s="15" t="n">
        <f aca="false">F232*(1+IF(G$3&lt;=$O$2,$D232,$D232-($D232-$I$211)*MIN(G$3-$O$2,$Q$2)/$Q$2))</f>
        <v>2937.76661712744</v>
      </c>
      <c r="H232" s="15" t="n">
        <f aca="false">G232*(1+IF(H$3&lt;=$O$2,$D232,$D232-($D232-$I$211)*MIN(H$3-$O$2,$Q$2)/$Q$2))</f>
        <v>3071.69917351674</v>
      </c>
      <c r="I232" s="15" t="n">
        <f aca="false">H232*(1+IF(I$3&lt;=$O$2,$D232,$D232-($D232-$I$211)*MIN(I$3-$O$2,$Q$2)/$Q$2))</f>
        <v>3211.73770495403</v>
      </c>
      <c r="J232" s="15" t="n">
        <f aca="false">I232*(1+IF(J$3&lt;=$O$2,$D232,$D232-($D232-$I$211)*MIN(J$3-$O$2,$Q$2)/$Q$2))</f>
        <v>3343.84270459734</v>
      </c>
      <c r="K232" s="15" t="n">
        <f aca="false">J232*(1+IF(K$3&lt;=$O$2,$D232,$D232-($D232-$I$211)*MIN(K$3-$O$2,$Q$2)/$Q$2))</f>
        <v>3466.47463918291</v>
      </c>
      <c r="L232" s="15" t="n">
        <f aca="false">K232*(1+IF(L$3&lt;=$O$2,$D232,$D232-($D232-$I$211)*MIN(L$3-$O$2,$Q$2)/$Q$2))</f>
        <v>3578.15048058199</v>
      </c>
      <c r="M232" s="15" t="n">
        <f aca="false">L232*(1+IF(M$3&lt;=$O$2,$D232,$D232-($D232-$I$211)*MIN(M$3-$O$2,$Q$2)/$Q$2))</f>
        <v>3677.47272713294</v>
      </c>
      <c r="N232" s="15" t="n">
        <f aca="false">M232*(1+IF(N$3&lt;=$O$2,$D232,$D232-($D232-$I$211)*MIN(N$3-$O$2,$Q$2)/$Q$2))</f>
        <v>3763.15784167514</v>
      </c>
      <c r="O232" s="15" t="n">
        <f aca="false">SUMPRODUCT(E232:N232,1/(1+$F$211)^$E$3:$N$3)*$E$2</f>
        <v>4077.0014355968</v>
      </c>
      <c r="P232" s="15" t="n">
        <f aca="false">N232*$E$2*(1+$I$211)/($F$211-$I$211)/(1+$F$211)^$N$3</f>
        <v>4969.2708629535</v>
      </c>
      <c r="Q232" s="15" t="n">
        <f aca="false">O232+P232</f>
        <v>9046.27229855029</v>
      </c>
      <c r="R232" s="15" t="n">
        <f aca="false">Q232-$G$2+$I$2</f>
        <v>7670.07229855029</v>
      </c>
      <c r="S232" s="42" t="n">
        <f aca="false">R232/$K$2</f>
        <v>204.480733099181</v>
      </c>
      <c r="T232" s="43" t="n">
        <f aca="false">S232-$M$2</f>
        <v>0.00192744735525707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0.045588493347168</v>
      </c>
      <c r="C233" s="25" t="n">
        <f aca="false">IF(T232&gt;0,D232,C232)</f>
        <v>0.0455899238586426</v>
      </c>
      <c r="D233" s="41" t="n">
        <f aca="false">(B233+C233)/2</f>
        <v>0.0455892086029053</v>
      </c>
      <c r="E233" s="15" t="n">
        <f aca="false">$C$2*(1+IF(E$3&lt;=$O$2,$D233,$D233-($D233-$I$211)*MIN(E$3-$O$2,$Q$2)/$Q$2))</f>
        <v>2687.16426610947</v>
      </c>
      <c r="F233" s="15" t="n">
        <f aca="false">E233*(1+IF(F$3&lt;=$O$2,$D233,$D233-($D233-$I$211)*MIN(F$3-$O$2,$Q$2)/$Q$2))</f>
        <v>2809.6699583874</v>
      </c>
      <c r="G233" s="15" t="n">
        <f aca="false">F233*(1+IF(G$3&lt;=$O$2,$D233,$D233-($D233-$I$211)*MIN(G$3-$O$2,$Q$2)/$Q$2))</f>
        <v>2937.76058822564</v>
      </c>
      <c r="H233" s="15" t="n">
        <f aca="false">G233*(1+IF(H$3&lt;=$O$2,$D233,$D233-($D233-$I$211)*MIN(H$3-$O$2,$Q$2)/$Q$2))</f>
        <v>3071.69076850766</v>
      </c>
      <c r="I233" s="15" t="n">
        <f aca="false">H233*(1+IF(I$3&lt;=$O$2,$D233,$D233-($D233-$I$211)*MIN(I$3-$O$2,$Q$2)/$Q$2))</f>
        <v>3211.72671971677</v>
      </c>
      <c r="J233" s="15" t="n">
        <f aca="false">I233*(1+IF(J$3&lt;=$O$2,$D233,$D233-($D233-$I$211)*MIN(J$3-$O$2,$Q$2)/$Q$2))</f>
        <v>3343.8294297512</v>
      </c>
      <c r="K233" s="15" t="n">
        <f aca="false">J233*(1+IF(K$3&lt;=$O$2,$D233,$D233-($D233-$I$211)*MIN(K$3-$O$2,$Q$2)/$Q$2))</f>
        <v>3466.45944247976</v>
      </c>
      <c r="L233" s="15" t="n">
        <f aca="false">K233*(1+IF(L$3&lt;=$O$2,$D233,$D233-($D233-$I$211)*MIN(L$3-$O$2,$Q$2)/$Q$2))</f>
        <v>3578.13380254032</v>
      </c>
      <c r="M233" s="15" t="n">
        <f aca="false">L233*(1+IF(M$3&lt;=$O$2,$D233,$D233-($D233-$I$211)*MIN(M$3-$O$2,$Q$2)/$Q$2))</f>
        <v>3677.45507428629</v>
      </c>
      <c r="N233" s="15" t="n">
        <f aca="false">M233*(1+IF(N$3&lt;=$O$2,$D233,$D233-($D233-$I$211)*MIN(N$3-$O$2,$Q$2)/$Q$2))</f>
        <v>3763.13977751716</v>
      </c>
      <c r="O233" s="15" t="n">
        <f aca="false">SUMPRODUCT(E233:N233,1/(1+$F$211)^$E$3:$N$3)*$E$2</f>
        <v>4076.98878404698</v>
      </c>
      <c r="P233" s="15" t="n">
        <f aca="false">N233*$E$2*(1+$I$211)/($F$211-$I$211)/(1+$F$211)^$N$3</f>
        <v>4969.24700913241</v>
      </c>
      <c r="Q233" s="15" t="n">
        <f aca="false">O233+P233</f>
        <v>9046.23579317939</v>
      </c>
      <c r="R233" s="15" t="n">
        <f aca="false">Q233-$G$2+$I$2</f>
        <v>7670.03579317939</v>
      </c>
      <c r="S233" s="42" t="n">
        <f aca="false">R233/$K$2</f>
        <v>204.479759882148</v>
      </c>
      <c r="T233" s="43" t="n">
        <f aca="false">S233-$M$2</f>
        <v>0.000954230322292915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0.045588493347168</v>
      </c>
      <c r="C234" s="25" t="n">
        <f aca="false">IF(T233&gt;0,D233,C233)</f>
        <v>0.0455892086029053</v>
      </c>
      <c r="D234" s="41" t="n">
        <f aca="false">(B234+C234)/2</f>
        <v>0.0455888509750366</v>
      </c>
      <c r="E234" s="15" t="n">
        <f aca="false">$C$2*(1+IF(E$3&lt;=$O$2,$D234,$D234-($D234-$I$211)*MIN(E$3-$O$2,$Q$2)/$Q$2))</f>
        <v>2687.16334700584</v>
      </c>
      <c r="F234" s="15" t="n">
        <f aca="false">E234*(1+IF(F$3&lt;=$O$2,$D234,$D234-($D234-$I$211)*MIN(F$3-$O$2,$Q$2)/$Q$2))</f>
        <v>2809.66803637807</v>
      </c>
      <c r="G234" s="15" t="n">
        <f aca="false">F234*(1+IF(G$3&lt;=$O$2,$D234,$D234-($D234-$I$211)*MIN(G$3-$O$2,$Q$2)/$Q$2))</f>
        <v>2937.75757377784</v>
      </c>
      <c r="H234" s="15" t="n">
        <f aca="false">G234*(1+IF(H$3&lt;=$O$2,$D234,$D234-($D234-$I$211)*MIN(H$3-$O$2,$Q$2)/$Q$2))</f>
        <v>3071.68656600958</v>
      </c>
      <c r="I234" s="15" t="n">
        <f aca="false">H234*(1+IF(I$3&lt;=$O$2,$D234,$D234-($D234-$I$211)*MIN(I$3-$O$2,$Q$2)/$Q$2))</f>
        <v>3211.72122710941</v>
      </c>
      <c r="J234" s="15" t="n">
        <f aca="false">I234*(1+IF(J$3&lt;=$O$2,$D234,$D234-($D234-$I$211)*MIN(J$3-$O$2,$Q$2)/$Q$2))</f>
        <v>3343.82279234459</v>
      </c>
      <c r="K234" s="15" t="n">
        <f aca="false">J234*(1+IF(K$3&lt;=$O$2,$D234,$D234-($D234-$I$211)*MIN(K$3-$O$2,$Q$2)/$Q$2))</f>
        <v>3466.45184414951</v>
      </c>
      <c r="L234" s="15" t="n">
        <f aca="false">K234*(1+IF(L$3&lt;=$O$2,$D234,$D234-($D234-$I$211)*MIN(L$3-$O$2,$Q$2)/$Q$2))</f>
        <v>3578.12546354475</v>
      </c>
      <c r="M234" s="15" t="n">
        <f aca="false">L234*(1+IF(M$3&lt;=$O$2,$D234,$D234-($D234-$I$211)*MIN(M$3-$O$2,$Q$2)/$Q$2))</f>
        <v>3677.44624789073</v>
      </c>
      <c r="N234" s="15" t="n">
        <f aca="false">M234*(1+IF(N$3&lt;=$O$2,$D234,$D234-($D234-$I$211)*MIN(N$3-$O$2,$Q$2)/$Q$2))</f>
        <v>3763.13074546659</v>
      </c>
      <c r="O234" s="15" t="n">
        <f aca="false">SUMPRODUCT(E234:N234,1/(1+$F$211)^$E$3:$N$3)*$E$2</f>
        <v>4076.98245828694</v>
      </c>
      <c r="P234" s="15" t="n">
        <f aca="false">N234*$E$2*(1+$I$211)/($F$211-$I$211)/(1+$F$211)^$N$3</f>
        <v>4969.23508225938</v>
      </c>
      <c r="Q234" s="15" t="n">
        <f aca="false">O234+P234</f>
        <v>9046.21754054632</v>
      </c>
      <c r="R234" s="15" t="n">
        <f aca="false">Q234-$G$2+$I$2</f>
        <v>7670.01754054632</v>
      </c>
      <c r="S234" s="42" t="n">
        <f aca="false">R234/$K$2</f>
        <v>204.479273275029</v>
      </c>
      <c r="T234" s="43" t="n">
        <f aca="false">S234-$M$2</f>
        <v>0.000467623202553114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0.045588493347168</v>
      </c>
      <c r="C235" s="25" t="n">
        <f aca="false">IF(T234&gt;0,D234,C234)</f>
        <v>0.0455888509750366</v>
      </c>
      <c r="D235" s="41" t="n">
        <f aca="false">(B235+C235)/2</f>
        <v>0.0455886721611023</v>
      </c>
      <c r="E235" s="15" t="n">
        <f aca="false">$C$2*(1+IF(E$3&lt;=$O$2,$D235,$D235-($D235-$I$211)*MIN(E$3-$O$2,$Q$2)/$Q$2))</f>
        <v>2687.16288745403</v>
      </c>
      <c r="F235" s="15" t="n">
        <f aca="false">E235*(1+IF(F$3&lt;=$O$2,$D235,$D235-($D235-$I$211)*MIN(F$3-$O$2,$Q$2)/$Q$2))</f>
        <v>2809.66707537366</v>
      </c>
      <c r="G235" s="15" t="n">
        <f aca="false">F235*(1+IF(G$3&lt;=$O$2,$D235,$D235-($D235-$I$211)*MIN(G$3-$O$2,$Q$2)/$Q$2))</f>
        <v>2937.75606655471</v>
      </c>
      <c r="H235" s="15" t="n">
        <f aca="false">G235*(1+IF(H$3&lt;=$O$2,$D235,$D235-($D235-$I$211)*MIN(H$3-$O$2,$Q$2)/$Q$2))</f>
        <v>3071.68446476216</v>
      </c>
      <c r="I235" s="15" t="n">
        <f aca="false">H235*(1+IF(I$3&lt;=$O$2,$D235,$D235-($D235-$I$211)*MIN(I$3-$O$2,$Q$2)/$Q$2))</f>
        <v>3211.71848080855</v>
      </c>
      <c r="J235" s="15" t="n">
        <f aca="false">I235*(1+IF(J$3&lt;=$O$2,$D235,$D235-($D235-$I$211)*MIN(J$3-$O$2,$Q$2)/$Q$2))</f>
        <v>3343.81947364539</v>
      </c>
      <c r="K235" s="15" t="n">
        <f aca="false">J235*(1+IF(K$3&lt;=$O$2,$D235,$D235-($D235-$I$211)*MIN(K$3-$O$2,$Q$2)/$Q$2))</f>
        <v>3466.44804498972</v>
      </c>
      <c r="L235" s="15" t="n">
        <f aca="false">K235*(1+IF(L$3&lt;=$O$2,$D235,$D235-($D235-$I$211)*MIN(L$3-$O$2,$Q$2)/$Q$2))</f>
        <v>3578.12129405329</v>
      </c>
      <c r="M235" s="15" t="n">
        <f aca="false">L235*(1+IF(M$3&lt;=$O$2,$D235,$D235-($D235-$I$211)*MIN(M$3-$O$2,$Q$2)/$Q$2))</f>
        <v>3677.44183469989</v>
      </c>
      <c r="N235" s="15" t="n">
        <f aca="false">M235*(1+IF(N$3&lt;=$O$2,$D235,$D235-($D235-$I$211)*MIN(N$3-$O$2,$Q$2)/$Q$2))</f>
        <v>3763.1262294484</v>
      </c>
      <c r="O235" s="15" t="n">
        <f aca="false">SUMPRODUCT(E235:N235,1/(1+$F$211)^$E$3:$N$3)*$E$2</f>
        <v>4076.97929541065</v>
      </c>
      <c r="P235" s="15" t="n">
        <f aca="false">N235*$E$2*(1+$I$211)/($F$211-$I$211)/(1+$F$211)^$N$3</f>
        <v>4969.22911883225</v>
      </c>
      <c r="Q235" s="15" t="n">
        <f aca="false">O235+P235</f>
        <v>9046.20841424289</v>
      </c>
      <c r="R235" s="15" t="n">
        <f aca="false">Q235-$G$2+$I$2</f>
        <v>7670.00841424289</v>
      </c>
      <c r="S235" s="42" t="n">
        <f aca="false">R235/$K$2</f>
        <v>204.479029971818</v>
      </c>
      <c r="T235" s="43" t="n">
        <f aca="false">S235-$M$2</f>
        <v>0.000224319991929178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0.045588493347168</v>
      </c>
      <c r="C236" s="25" t="n">
        <f aca="false">IF(T235&gt;0,D235,C235)</f>
        <v>0.0455886721611023</v>
      </c>
      <c r="D236" s="41" t="n">
        <f aca="false">(B236+C236)/2</f>
        <v>0.0455885827541351</v>
      </c>
      <c r="E236" s="15" t="n">
        <f aca="false">$C$2*(1+IF(E$3&lt;=$O$2,$D236,$D236-($D236-$I$211)*MIN(E$3-$O$2,$Q$2)/$Q$2))</f>
        <v>2687.16265767813</v>
      </c>
      <c r="F236" s="15" t="n">
        <f aca="false">E236*(1+IF(F$3&lt;=$O$2,$D236,$D236-($D236-$I$211)*MIN(F$3-$O$2,$Q$2)/$Q$2))</f>
        <v>2809.66659487151</v>
      </c>
      <c r="G236" s="15" t="n">
        <f aca="false">F236*(1+IF(G$3&lt;=$O$2,$D236,$D236-($D236-$I$211)*MIN(G$3-$O$2,$Q$2)/$Q$2))</f>
        <v>2937.75531294334</v>
      </c>
      <c r="H236" s="15" t="n">
        <f aca="false">G236*(1+IF(H$3&lt;=$O$2,$D236,$D236-($D236-$I$211)*MIN(H$3-$O$2,$Q$2)/$Q$2))</f>
        <v>3071.68341413885</v>
      </c>
      <c r="I236" s="15" t="n">
        <f aca="false">H236*(1+IF(I$3&lt;=$O$2,$D236,$D236-($D236-$I$211)*MIN(I$3-$O$2,$Q$2)/$Q$2))</f>
        <v>3211.71710765883</v>
      </c>
      <c r="J236" s="15" t="n">
        <f aca="false">I236*(1+IF(J$3&lt;=$O$2,$D236,$D236-($D236-$I$211)*MIN(J$3-$O$2,$Q$2)/$Q$2))</f>
        <v>3343.81781429682</v>
      </c>
      <c r="K236" s="15" t="n">
        <f aca="false">J236*(1+IF(K$3&lt;=$O$2,$D236,$D236-($D236-$I$211)*MIN(K$3-$O$2,$Q$2)/$Q$2))</f>
        <v>3466.44614541116</v>
      </c>
      <c r="L236" s="15" t="n">
        <f aca="false">K236*(1+IF(L$3&lt;=$O$2,$D236,$D236-($D236-$I$211)*MIN(L$3-$O$2,$Q$2)/$Q$2))</f>
        <v>3578.11920930914</v>
      </c>
      <c r="M236" s="15" t="n">
        <f aca="false">L236*(1+IF(M$3&lt;=$O$2,$D236,$D236-($D236-$I$211)*MIN(M$3-$O$2,$Q$2)/$Q$2))</f>
        <v>3677.43962810621</v>
      </c>
      <c r="N236" s="15" t="n">
        <f aca="false">M236*(1+IF(N$3&lt;=$O$2,$D236,$D236-($D236-$I$211)*MIN(N$3-$O$2,$Q$2)/$Q$2))</f>
        <v>3763.12397144108</v>
      </c>
      <c r="O236" s="15" t="n">
        <f aca="false">SUMPRODUCT(E236:N236,1/(1+$F$211)^$E$3:$N$3)*$E$2</f>
        <v>4076.97771397343</v>
      </c>
      <c r="P236" s="15" t="n">
        <f aca="false">N236*$E$2*(1+$I$211)/($F$211-$I$211)/(1+$F$211)^$N$3</f>
        <v>4969.22613712102</v>
      </c>
      <c r="Q236" s="15" t="n">
        <f aca="false">O236+P236</f>
        <v>9046.20385109445</v>
      </c>
      <c r="R236" s="15" t="n">
        <f aca="false">Q236-$G$2+$I$2</f>
        <v>7670.00385109445</v>
      </c>
      <c r="S236" s="42" t="n">
        <f aca="false">R236/$K$2</f>
        <v>204.4789083203</v>
      </c>
      <c r="T236" s="43" t="n">
        <f aca="false">S236-$M$2</f>
        <v>0.000102668473829226</v>
      </c>
    </row>
    <row r="238" customFormat="false" ht="15" hidden="false" customHeight="false" outlineLevel="0" collapsed="false">
      <c r="A238" s="38" t="s">
        <v>189</v>
      </c>
      <c r="E238" s="5" t="s">
        <v>11</v>
      </c>
      <c r="F238" s="12" t="n">
        <f aca="false">Sensitivity!$B$11</f>
        <v>0.089183337553844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162</v>
      </c>
      <c r="B239" s="28" t="s">
        <v>163</v>
      </c>
      <c r="C239" s="28" t="s">
        <v>164</v>
      </c>
      <c r="D239" s="28" t="s">
        <v>165</v>
      </c>
      <c r="E239" s="28" t="s">
        <v>166</v>
      </c>
      <c r="F239" s="28" t="s">
        <v>167</v>
      </c>
      <c r="G239" s="28" t="s">
        <v>168</v>
      </c>
      <c r="H239" s="28" t="s">
        <v>169</v>
      </c>
      <c r="I239" s="28" t="s">
        <v>170</v>
      </c>
      <c r="J239" s="28" t="s">
        <v>171</v>
      </c>
      <c r="K239" s="28" t="s">
        <v>172</v>
      </c>
      <c r="L239" s="28" t="s">
        <v>173</v>
      </c>
      <c r="M239" s="28" t="s">
        <v>174</v>
      </c>
      <c r="N239" s="28" t="s">
        <v>175</v>
      </c>
      <c r="O239" s="28" t="s">
        <v>176</v>
      </c>
      <c r="P239" s="28" t="s">
        <v>177</v>
      </c>
      <c r="Q239" s="28" t="s">
        <v>178</v>
      </c>
      <c r="R239" s="28" t="s">
        <v>179</v>
      </c>
      <c r="S239" s="28" t="s">
        <v>180</v>
      </c>
      <c r="T239" s="28" t="s">
        <v>181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3212.5</v>
      </c>
      <c r="F240" s="15" t="n">
        <f aca="false">E240*(1+IF(F$3&lt;=$O$2,$D240,$D240-($D240-$I$238)*MIN(F$3-$O$2,$Q$2)/$Q$2))</f>
        <v>4015.625</v>
      </c>
      <c r="G240" s="15" t="n">
        <f aca="false">F240*(1+IF(G$3&lt;=$O$2,$D240,$D240-($D240-$I$238)*MIN(G$3-$O$2,$Q$2)/$Q$2))</f>
        <v>5019.53125</v>
      </c>
      <c r="H240" s="15" t="n">
        <f aca="false">G240*(1+IF(H$3&lt;=$O$2,$D240,$D240-($D240-$I$238)*MIN(H$3-$O$2,$Q$2)/$Q$2))</f>
        <v>6274.4140625</v>
      </c>
      <c r="I240" s="15" t="n">
        <f aca="false">H240*(1+IF(I$3&lt;=$O$2,$D240,$D240-($D240-$I$238)*MIN(I$3-$O$2,$Q$2)/$Q$2))</f>
        <v>7843.017578125</v>
      </c>
      <c r="J240" s="15" t="n">
        <f aca="false">I240*(1+IF(J$3&lt;=$O$2,$D240,$D240-($D240-$I$238)*MIN(J$3-$O$2,$Q$2)/$Q$2))</f>
        <v>9456.01257324219</v>
      </c>
      <c r="K240" s="15" t="n">
        <f aca="false">J240*(1+IF(K$3&lt;=$O$2,$D240,$D240-($D240-$I$238)*MIN(K$3-$O$2,$Q$2)/$Q$2))</f>
        <v>10981.4565215576</v>
      </c>
      <c r="L240" s="15" t="n">
        <f aca="false">K240*(1+IF(L$3&lt;=$O$2,$D240,$D240-($D240-$I$238)*MIN(L$3-$O$2,$Q$2)/$Q$2))</f>
        <v>12266.0673054494</v>
      </c>
      <c r="M240" s="15" t="n">
        <f aca="false">L240*(1+IF(M$3&lt;=$O$2,$D240,$D240-($D240-$I$238)*MIN(M$3-$O$2,$Q$2)/$Q$2))</f>
        <v>13157.0744345173</v>
      </c>
      <c r="N240" s="15" t="n">
        <f aca="false">M240*(1+IF(N$3&lt;=$O$2,$D240,$D240-($D240-$I$238)*MIN(N$3-$O$2,$Q$2)/$Q$2))</f>
        <v>13529.4196410141</v>
      </c>
      <c r="O240" s="15" t="n">
        <f aca="false">SUMPRODUCT(E240:N240,1/(1+$F$238)^$E$3:$N$3)*$E$2</f>
        <v>9897.70141991715</v>
      </c>
      <c r="P240" s="15" t="n">
        <f aca="false">N240*$E$2*(1+$I$238)/($F$238-$I$238)/(1+$F$238)^$N$3</f>
        <v>19427.3428237655</v>
      </c>
      <c r="Q240" s="15" t="n">
        <f aca="false">O240+P240</f>
        <v>29325.0442436827</v>
      </c>
      <c r="R240" s="15" t="n">
        <f aca="false">Q240-$G$2+$I$2</f>
        <v>27948.8442436827</v>
      </c>
      <c r="S240" s="42" t="n">
        <f aca="false">R240/$K$2</f>
        <v>745.103818813188</v>
      </c>
      <c r="T240" s="43" t="n">
        <f aca="false">S240-$M$2</f>
        <v>540.625013161362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2248.75</v>
      </c>
      <c r="F241" s="15" t="n">
        <f aca="false">E241*(1+IF(F$3&lt;=$O$2,$D241,$D241-($D241-$I$238)*MIN(F$3-$O$2,$Q$2)/$Q$2))</f>
        <v>1967.65625</v>
      </c>
      <c r="G241" s="15" t="n">
        <f aca="false">F241*(1+IF(G$3&lt;=$O$2,$D241,$D241-($D241-$I$238)*MIN(G$3-$O$2,$Q$2)/$Q$2))</f>
        <v>1721.69921875</v>
      </c>
      <c r="H241" s="15" t="n">
        <f aca="false">G241*(1+IF(H$3&lt;=$O$2,$D241,$D241-($D241-$I$238)*MIN(H$3-$O$2,$Q$2)/$Q$2))</f>
        <v>1506.48681640625</v>
      </c>
      <c r="I241" s="15" t="n">
        <f aca="false">H241*(1+IF(I$3&lt;=$O$2,$D241,$D241-($D241-$I$238)*MIN(I$3-$O$2,$Q$2)/$Q$2))</f>
        <v>1318.17596435547</v>
      </c>
      <c r="J241" s="15" t="n">
        <f aca="false">I241*(1+IF(J$3&lt;=$O$2,$D241,$D241-($D241-$I$238)*MIN(J$3-$O$2,$Q$2)/$Q$2))</f>
        <v>1193.81924387817</v>
      </c>
      <c r="K241" s="15" t="n">
        <f aca="false">J241*(1+IF(K$3&lt;=$O$2,$D241,$D241-($D241-$I$238)*MIN(K$3-$O$2,$Q$2)/$Q$2))</f>
        <v>1117.79683442801</v>
      </c>
      <c r="L241" s="15" t="n">
        <f aca="false">K241*(1+IF(L$3&lt;=$O$2,$D241,$D241-($D241-$I$238)*MIN(L$3-$O$2,$Q$2)/$Q$2))</f>
        <v>1080.8871829552</v>
      </c>
      <c r="M241" s="15" t="n">
        <f aca="false">L241*(1+IF(M$3&lt;=$O$2,$D241,$D241-($D241-$I$238)*MIN(M$3-$O$2,$Q$2)/$Q$2))</f>
        <v>1078.33628920342</v>
      </c>
      <c r="N241" s="15" t="n">
        <f aca="false">M241*(1+IF(N$3&lt;=$O$2,$D241,$D241-($D241-$I$238)*MIN(N$3-$O$2,$Q$2)/$Q$2))</f>
        <v>1108.85320618788</v>
      </c>
      <c r="O241" s="15" t="n">
        <f aca="false">SUMPRODUCT(E241:N241,1/(1+$F$238)^$E$3:$N$3)*$E$2</f>
        <v>1964.36607478106</v>
      </c>
      <c r="P241" s="15" t="n">
        <f aca="false">N241*$E$2*(1+$I$238)/($F$238-$I$238)/(1+$F$238)^$N$3</f>
        <v>1592.23913142137</v>
      </c>
      <c r="Q241" s="15" t="n">
        <f aca="false">O241+P241</f>
        <v>3556.60520620243</v>
      </c>
      <c r="R241" s="15" t="n">
        <f aca="false">Q241-$G$2+$I$2</f>
        <v>2180.40520620243</v>
      </c>
      <c r="S241" s="42" t="n">
        <f aca="false">R241/$K$2</f>
        <v>58.1286378619682</v>
      </c>
      <c r="T241" s="43" t="n">
        <f aca="false">S241-$M$2</f>
        <v>-146.350167789858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2730.625</v>
      </c>
      <c r="F242" s="15" t="n">
        <f aca="false">E242*(1+IF(F$3&lt;=$O$2,$D242,$D242-($D242-$I$238)*MIN(F$3-$O$2,$Q$2)/$Q$2))</f>
        <v>2901.2890625</v>
      </c>
      <c r="G242" s="15" t="n">
        <f aca="false">F242*(1+IF(G$3&lt;=$O$2,$D242,$D242-($D242-$I$238)*MIN(G$3-$O$2,$Q$2)/$Q$2))</f>
        <v>3082.61962890625</v>
      </c>
      <c r="H242" s="15" t="n">
        <f aca="false">G242*(1+IF(H$3&lt;=$O$2,$D242,$D242-($D242-$I$238)*MIN(H$3-$O$2,$Q$2)/$Q$2))</f>
        <v>3275.28335571289</v>
      </c>
      <c r="I242" s="15" t="n">
        <f aca="false">H242*(1+IF(I$3&lt;=$O$2,$D242,$D242-($D242-$I$238)*MIN(I$3-$O$2,$Q$2)/$Q$2))</f>
        <v>3479.98856544495</v>
      </c>
      <c r="J242" s="15" t="n">
        <f aca="false">I242*(1+IF(J$3&lt;=$O$2,$D242,$D242-($D242-$I$238)*MIN(J$3-$O$2,$Q$2)/$Q$2))</f>
        <v>3673.68472899761</v>
      </c>
      <c r="K242" s="15" t="n">
        <f aca="false">J242*(1+IF(K$3&lt;=$O$2,$D242,$D242-($D242-$I$238)*MIN(K$3-$O$2,$Q$2)/$Q$2))</f>
        <v>3853.03401746728</v>
      </c>
      <c r="L242" s="15" t="n">
        <f aca="false">K242*(1+IF(L$3&lt;=$O$2,$D242,$D242-($D242-$I$238)*MIN(L$3-$O$2,$Q$2)/$Q$2))</f>
        <v>4014.78438552055</v>
      </c>
      <c r="M242" s="15" t="n">
        <f aca="false">L242*(1+IF(M$3&lt;=$O$2,$D242,$D242-($D242-$I$238)*MIN(M$3-$O$2,$Q$2)/$Q$2))</f>
        <v>4155.86390882774</v>
      </c>
      <c r="N242" s="15" t="n">
        <f aca="false">M242*(1+IF(N$3&lt;=$O$2,$D242,$D242-($D242-$I$238)*MIN(N$3-$O$2,$Q$2)/$Q$2))</f>
        <v>4273.47485744757</v>
      </c>
      <c r="O242" s="15" t="n">
        <f aca="false">SUMPRODUCT(E242:N242,1/(1+$F$238)^$E$3:$N$3)*$E$2</f>
        <v>4400.30610923928</v>
      </c>
      <c r="P242" s="15" t="n">
        <f aca="false">N242*$E$2*(1+$I$238)/($F$238-$I$238)/(1+$F$238)^$N$3</f>
        <v>6136.42442227872</v>
      </c>
      <c r="Q242" s="15" t="n">
        <f aca="false">O242+P242</f>
        <v>10536.730531518</v>
      </c>
      <c r="R242" s="15" t="n">
        <f aca="false">Q242-$G$2+$I$2</f>
        <v>9160.530531518</v>
      </c>
      <c r="S242" s="42" t="n">
        <f aca="false">R242/$K$2</f>
        <v>244.215689989816</v>
      </c>
      <c r="T242" s="43" t="n">
        <f aca="false">S242-$M$2</f>
        <v>39.73688433799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2489.6875</v>
      </c>
      <c r="F243" s="15" t="n">
        <f aca="false">E243*(1+IF(F$3&lt;=$O$2,$D243,$D243-($D243-$I$238)*MIN(F$3-$O$2,$Q$2)/$Q$2))</f>
        <v>2411.884765625</v>
      </c>
      <c r="G243" s="15" t="n">
        <f aca="false">F243*(1+IF(G$3&lt;=$O$2,$D243,$D243-($D243-$I$238)*MIN(G$3-$O$2,$Q$2)/$Q$2))</f>
        <v>2336.51336669922</v>
      </c>
      <c r="H243" s="15" t="n">
        <f aca="false">G243*(1+IF(H$3&lt;=$O$2,$D243,$D243-($D243-$I$238)*MIN(H$3-$O$2,$Q$2)/$Q$2))</f>
        <v>2263.49732398987</v>
      </c>
      <c r="I243" s="15" t="n">
        <f aca="false">H243*(1+IF(I$3&lt;=$O$2,$D243,$D243-($D243-$I$238)*MIN(I$3-$O$2,$Q$2)/$Q$2))</f>
        <v>2192.76303261519</v>
      </c>
      <c r="J243" s="15" t="n">
        <f aca="false">I243*(1+IF(J$3&lt;=$O$2,$D243,$D243-($D243-$I$238)*MIN(J$3-$O$2,$Q$2)/$Q$2))</f>
        <v>2150.35499556441</v>
      </c>
      <c r="K243" s="15" t="n">
        <f aca="false">J243*(1+IF(K$3&lt;=$O$2,$D243,$D243-($D243-$I$238)*MIN(K$3-$O$2,$Q$2)/$Q$2))</f>
        <v>2134.37785794736</v>
      </c>
      <c r="L243" s="15" t="n">
        <f aca="false">K243*(1+IF(L$3&lt;=$O$2,$D243,$D243-($D243-$I$238)*MIN(L$3-$O$2,$Q$2)/$Q$2))</f>
        <v>2143.93987075097</v>
      </c>
      <c r="M243" s="15" t="n">
        <f aca="false">L243*(1+IF(M$3&lt;=$O$2,$D243,$D243-($D243-$I$238)*MIN(M$3-$O$2,$Q$2)/$Q$2))</f>
        <v>2179.07904523258</v>
      </c>
      <c r="N243" s="15" t="n">
        <f aca="false">M243*(1+IF(N$3&lt;=$O$2,$D243,$D243-($D243-$I$238)*MIN(N$3-$O$2,$Q$2)/$Q$2))</f>
        <v>2240.74698221266</v>
      </c>
      <c r="O243" s="15" t="n">
        <f aca="false">SUMPRODUCT(E243:N243,1/(1+$F$238)^$E$3:$N$3)*$E$2</f>
        <v>2931.35047016321</v>
      </c>
      <c r="P243" s="15" t="n">
        <f aca="false">N243*$E$2*(1+$I$238)/($F$238-$I$238)/(1+$F$238)^$N$3</f>
        <v>3217.56298199206</v>
      </c>
      <c r="Q243" s="15" t="n">
        <f aca="false">O243+P243</f>
        <v>6148.91345215527</v>
      </c>
      <c r="R243" s="15" t="n">
        <f aca="false">Q243-$G$2+$I$2</f>
        <v>4772.71345215527</v>
      </c>
      <c r="S243" s="42" t="n">
        <f aca="false">R243/$K$2</f>
        <v>127.238428476547</v>
      </c>
      <c r="T243" s="43" t="n">
        <f aca="false">S243-$M$2</f>
        <v>-77.2403771752794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41" t="n">
        <f aca="false">(B244+C244)/2</f>
        <v>0.015625</v>
      </c>
      <c r="E244" s="15" t="n">
        <f aca="false">$C$2*(1+IF(E$3&lt;=$O$2,$D244,$D244-($D244-$I$238)*MIN(E$3-$O$2,$Q$2)/$Q$2))</f>
        <v>2610.15625</v>
      </c>
      <c r="F244" s="15" t="n">
        <f aca="false">E244*(1+IF(F$3&lt;=$O$2,$D244,$D244-($D244-$I$238)*MIN(F$3-$O$2,$Q$2)/$Q$2))</f>
        <v>2650.93994140625</v>
      </c>
      <c r="G244" s="15" t="n">
        <f aca="false">F244*(1+IF(G$3&lt;=$O$2,$D244,$D244-($D244-$I$238)*MIN(G$3-$O$2,$Q$2)/$Q$2))</f>
        <v>2692.36087799072</v>
      </c>
      <c r="H244" s="15" t="n">
        <f aca="false">G244*(1+IF(H$3&lt;=$O$2,$D244,$D244-($D244-$I$238)*MIN(H$3-$O$2,$Q$2)/$Q$2))</f>
        <v>2734.42901670933</v>
      </c>
      <c r="I244" s="15" t="n">
        <f aca="false">H244*(1+IF(I$3&lt;=$O$2,$D244,$D244-($D244-$I$238)*MIN(I$3-$O$2,$Q$2)/$Q$2))</f>
        <v>2777.15447009541</v>
      </c>
      <c r="J244" s="15" t="n">
        <f aca="false">I244*(1+IF(J$3&lt;=$O$2,$D244,$D244-($D244-$I$238)*MIN(J$3-$O$2,$Q$2)/$Q$2))</f>
        <v>2827.58759527234</v>
      </c>
      <c r="K244" s="15" t="n">
        <f aca="false">J244*(1+IF(K$3&lt;=$O$2,$D244,$D244-($D244-$I$238)*MIN(K$3-$O$2,$Q$2)/$Q$2))</f>
        <v>2886.1045205565</v>
      </c>
      <c r="L244" s="15" t="n">
        <f aca="false">K244*(1+IF(L$3&lt;=$O$2,$D244,$D244-($D244-$I$238)*MIN(L$3-$O$2,$Q$2)/$Q$2))</f>
        <v>2953.14872856903</v>
      </c>
      <c r="M244" s="15" t="n">
        <f aca="false">L244*(1+IF(M$3&lt;=$O$2,$D244,$D244-($D244-$I$238)*MIN(M$3-$O$2,$Q$2)/$Q$2))</f>
        <v>3029.23660556061</v>
      </c>
      <c r="N244" s="15" t="n">
        <f aca="false">M244*(1+IF(N$3&lt;=$O$2,$D244,$D244-($D244-$I$238)*MIN(N$3-$O$2,$Q$2)/$Q$2))</f>
        <v>3114.96400149798</v>
      </c>
      <c r="O244" s="15" t="n">
        <f aca="false">SUMPRODUCT(E244:N244,1/(1+$F$238)^$E$3:$N$3)*$E$2</f>
        <v>3589.9985634314</v>
      </c>
      <c r="P244" s="15" t="n">
        <f aca="false">N244*$E$2*(1+$I$238)/($F$238-$I$238)/(1+$F$238)^$N$3</f>
        <v>4472.88022298743</v>
      </c>
      <c r="Q244" s="15" t="n">
        <f aca="false">O244+P244</f>
        <v>8062.87878641883</v>
      </c>
      <c r="R244" s="15" t="n">
        <f aca="false">Q244-$G$2+$I$2</f>
        <v>6686.67878641883</v>
      </c>
      <c r="S244" s="42" t="n">
        <f aca="false">R244/$K$2</f>
        <v>178.263897265231</v>
      </c>
      <c r="T244" s="43" t="n">
        <f aca="false">S244-$M$2</f>
        <v>-26.2149083865947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0.015625</v>
      </c>
      <c r="C245" s="25" t="n">
        <f aca="false">IF(T244&gt;0,D244,C244)</f>
        <v>0.0625</v>
      </c>
      <c r="D245" s="41" t="n">
        <f aca="false">(B245+C245)/2</f>
        <v>0.0390625</v>
      </c>
      <c r="E245" s="15" t="n">
        <f aca="false">$C$2*(1+IF(E$3&lt;=$O$2,$D245,$D245-($D245-$I$238)*MIN(E$3-$O$2,$Q$2)/$Q$2))</f>
        <v>2670.390625</v>
      </c>
      <c r="F245" s="15" t="n">
        <f aca="false">E245*(1+IF(F$3&lt;=$O$2,$D245,$D245-($D245-$I$238)*MIN(F$3-$O$2,$Q$2)/$Q$2))</f>
        <v>2774.70275878906</v>
      </c>
      <c r="G245" s="15" t="n">
        <f aca="false">F245*(1+IF(G$3&lt;=$O$2,$D245,$D245-($D245-$I$238)*MIN(G$3-$O$2,$Q$2)/$Q$2))</f>
        <v>2883.08958530426</v>
      </c>
      <c r="H245" s="15" t="n">
        <f aca="false">G245*(1+IF(H$3&lt;=$O$2,$D245,$D245-($D245-$I$238)*MIN(H$3-$O$2,$Q$2)/$Q$2))</f>
        <v>2995.71027223021</v>
      </c>
      <c r="I245" s="15" t="n">
        <f aca="false">H245*(1+IF(I$3&lt;=$O$2,$D245,$D245-($D245-$I$238)*MIN(I$3-$O$2,$Q$2)/$Q$2))</f>
        <v>3112.7302047392</v>
      </c>
      <c r="J245" s="15" t="n">
        <f aca="false">I245*(1+IF(J$3&lt;=$O$2,$D245,$D245-($D245-$I$238)*MIN(J$3-$O$2,$Q$2)/$Q$2))</f>
        <v>3227.62107659612</v>
      </c>
      <c r="K245" s="15" t="n">
        <f aca="false">J245*(1+IF(K$3&lt;=$O$2,$D245,$D245-($D245-$I$238)*MIN(K$3-$O$2,$Q$2)/$Q$2))</f>
        <v>3339.80511616591</v>
      </c>
      <c r="L245" s="15" t="n">
        <f aca="false">K245*(1+IF(L$3&lt;=$O$2,$D245,$D245-($D245-$I$238)*MIN(L$3-$O$2,$Q$2)/$Q$2))</f>
        <v>3448.6994619785</v>
      </c>
      <c r="M245" s="15" t="n">
        <f aca="false">L245*(1+IF(M$3&lt;=$O$2,$D245,$D245-($D245-$I$238)*MIN(M$3-$O$2,$Q$2)/$Q$2))</f>
        <v>3553.7209823444</v>
      </c>
      <c r="N245" s="15" t="n">
        <f aca="false">M245*(1+IF(N$3&lt;=$O$2,$D245,$D245-($D245-$I$238)*MIN(N$3-$O$2,$Q$2)/$Q$2))</f>
        <v>3654.29128614475</v>
      </c>
      <c r="O245" s="15" t="n">
        <f aca="false">SUMPRODUCT(E245:N245,1/(1+$F$238)^$E$3:$N$3)*$E$2</f>
        <v>3974.30082837797</v>
      </c>
      <c r="P245" s="15" t="n">
        <f aca="false">N245*$E$2*(1+$I$238)/($F$238-$I$238)/(1+$F$238)^$N$3</f>
        <v>5247.31817605975</v>
      </c>
      <c r="Q245" s="15" t="n">
        <f aca="false">O245+P245</f>
        <v>9221.61900443772</v>
      </c>
      <c r="R245" s="15" t="n">
        <f aca="false">Q245-$G$2+$I$2</f>
        <v>7845.41900443772</v>
      </c>
      <c r="S245" s="42" t="n">
        <f aca="false">R245/$K$2</f>
        <v>209.155398678692</v>
      </c>
      <c r="T245" s="43" t="n">
        <f aca="false">S245-$M$2</f>
        <v>4.67659302686542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0.015625</v>
      </c>
      <c r="C246" s="25" t="n">
        <f aca="false">IF(T245&gt;0,D245,C245)</f>
        <v>0.0390625</v>
      </c>
      <c r="D246" s="41" t="n">
        <f aca="false">(B246+C246)/2</f>
        <v>0.02734375</v>
      </c>
      <c r="E246" s="15" t="n">
        <f aca="false">$C$2*(1+IF(E$3&lt;=$O$2,$D246,$D246-($D246-$I$238)*MIN(E$3-$O$2,$Q$2)/$Q$2))</f>
        <v>2640.2734375</v>
      </c>
      <c r="F246" s="15" t="n">
        <f aca="false">E246*(1+IF(F$3&lt;=$O$2,$D246,$D246-($D246-$I$238)*MIN(F$3-$O$2,$Q$2)/$Q$2))</f>
        <v>2712.46841430664</v>
      </c>
      <c r="G246" s="15" t="n">
        <f aca="false">F246*(1+IF(G$3&lt;=$O$2,$D246,$D246-($D246-$I$238)*MIN(G$3-$O$2,$Q$2)/$Q$2))</f>
        <v>2786.63747251034</v>
      </c>
      <c r="H246" s="15" t="n">
        <f aca="false">G246*(1+IF(H$3&lt;=$O$2,$D246,$D246-($D246-$I$238)*MIN(H$3-$O$2,$Q$2)/$Q$2))</f>
        <v>2862.83459089929</v>
      </c>
      <c r="I246" s="15" t="n">
        <f aca="false">H246*(1+IF(I$3&lt;=$O$2,$D246,$D246-($D246-$I$238)*MIN(I$3-$O$2,$Q$2)/$Q$2))</f>
        <v>2941.1152242442</v>
      </c>
      <c r="J246" s="15" t="n">
        <f aca="false">I246*(1+IF(J$3&lt;=$O$2,$D246,$D246-($D246-$I$238)*MIN(J$3-$O$2,$Q$2)/$Q$2))</f>
        <v>3022.09883194376</v>
      </c>
      <c r="K246" s="15" t="n">
        <f aca="false">J246*(1+IF(K$3&lt;=$O$2,$D246,$D246-($D246-$I$238)*MIN(K$3-$O$2,$Q$2)/$Q$2))</f>
        <v>3105.89029968294</v>
      </c>
      <c r="L246" s="15" t="n">
        <f aca="false">K246*(1+IF(L$3&lt;=$O$2,$D246,$D246-($D246-$I$238)*MIN(L$3-$O$2,$Q$2)/$Q$2))</f>
        <v>3192.59899212434</v>
      </c>
      <c r="M246" s="15" t="n">
        <f aca="false">L246*(1+IF(M$3&lt;=$O$2,$D246,$D246-($D246-$I$238)*MIN(M$3-$O$2,$Q$2)/$Q$2))</f>
        <v>3282.33895904421</v>
      </c>
      <c r="N246" s="15" t="n">
        <f aca="false">M246*(1+IF(N$3&lt;=$O$2,$D246,$D246-($D246-$I$238)*MIN(N$3-$O$2,$Q$2)/$Q$2))</f>
        <v>3375.22915158516</v>
      </c>
      <c r="O246" s="15" t="n">
        <f aca="false">SUMPRODUCT(E246:N246,1/(1+$F$238)^$E$3:$N$3)*$E$2</f>
        <v>3777.18621592192</v>
      </c>
      <c r="P246" s="15" t="n">
        <f aca="false">N246*$E$2*(1+$I$238)/($F$238-$I$238)/(1+$F$238)^$N$3</f>
        <v>4846.60359250245</v>
      </c>
      <c r="Q246" s="15" t="n">
        <f aca="false">O246+P246</f>
        <v>8623.78980842437</v>
      </c>
      <c r="R246" s="15" t="n">
        <f aca="false">Q246-$G$2+$I$2</f>
        <v>7247.58980842437</v>
      </c>
      <c r="S246" s="42" t="n">
        <f aca="false">R246/$K$2</f>
        <v>193.217536881482</v>
      </c>
      <c r="T246" s="43" t="n">
        <f aca="false">S246-$M$2</f>
        <v>-11.2612687703445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0.02734375</v>
      </c>
      <c r="C247" s="25" t="n">
        <f aca="false">IF(T246&gt;0,D246,C246)</f>
        <v>0.0390625</v>
      </c>
      <c r="D247" s="41" t="n">
        <f aca="false">(B247+C247)/2</f>
        <v>0.033203125</v>
      </c>
      <c r="E247" s="15" t="n">
        <f aca="false">$C$2*(1+IF(E$3&lt;=$O$2,$D247,$D247-($D247-$I$238)*MIN(E$3-$O$2,$Q$2)/$Q$2))</f>
        <v>2655.33203125</v>
      </c>
      <c r="F247" s="15" t="n">
        <f aca="false">E247*(1+IF(F$3&lt;=$O$2,$D247,$D247-($D247-$I$238)*MIN(F$3-$O$2,$Q$2)/$Q$2))</f>
        <v>2743.4973526001</v>
      </c>
      <c r="G247" s="15" t="n">
        <f aca="false">F247*(1+IF(G$3&lt;=$O$2,$D247,$D247-($D247-$I$238)*MIN(G$3-$O$2,$Q$2)/$Q$2))</f>
        <v>2834.59003813565</v>
      </c>
      <c r="H247" s="15" t="n">
        <f aca="false">G247*(1+IF(H$3&lt;=$O$2,$D247,$D247-($D247-$I$238)*MIN(H$3-$O$2,$Q$2)/$Q$2))</f>
        <v>2928.70728549562</v>
      </c>
      <c r="I247" s="15" t="n">
        <f aca="false">H247*(1+IF(I$3&lt;=$O$2,$D247,$D247-($D247-$I$238)*MIN(I$3-$O$2,$Q$2)/$Q$2))</f>
        <v>3025.94951958434</v>
      </c>
      <c r="J247" s="15" t="n">
        <f aca="false">I247*(1+IF(J$3&lt;=$O$2,$D247,$D247-($D247-$I$238)*MIN(J$3-$O$2,$Q$2)/$Q$2))</f>
        <v>3123.45317797915</v>
      </c>
      <c r="K247" s="15" t="n">
        <f aca="false">J247*(1+IF(K$3&lt;=$O$2,$D247,$D247-($D247-$I$238)*MIN(K$3-$O$2,$Q$2)/$Q$2))</f>
        <v>3221.03571173393</v>
      </c>
      <c r="L247" s="15" t="n">
        <f aca="false">K247*(1+IF(L$3&lt;=$O$2,$D247,$D247-($D247-$I$238)*MIN(L$3-$O$2,$Q$2)/$Q$2))</f>
        <v>3318.50827866564</v>
      </c>
      <c r="M247" s="15" t="n">
        <f aca="false">L247*(1+IF(M$3&lt;=$O$2,$D247,$D247-($D247-$I$238)*MIN(M$3-$O$2,$Q$2)/$Q$2))</f>
        <v>3415.67627513264</v>
      </c>
      <c r="N247" s="15" t="n">
        <f aca="false">M247*(1+IF(N$3&lt;=$O$2,$D247,$D247-($D247-$I$238)*MIN(N$3-$O$2,$Q$2)/$Q$2))</f>
        <v>3512.33991371889</v>
      </c>
      <c r="O247" s="15" t="n">
        <f aca="false">SUMPRODUCT(E247:N247,1/(1+$F$238)^$E$3:$N$3)*$E$2</f>
        <v>3874.47229801315</v>
      </c>
      <c r="P247" s="15" t="n">
        <f aca="false">N247*$E$2*(1+$I$238)/($F$238-$I$238)/(1+$F$238)^$N$3</f>
        <v>5043.48548777051</v>
      </c>
      <c r="Q247" s="15" t="n">
        <f aca="false">O247+P247</f>
        <v>8917.95778578365</v>
      </c>
      <c r="R247" s="15" t="n">
        <f aca="false">Q247-$G$2+$I$2</f>
        <v>7541.75778578365</v>
      </c>
      <c r="S247" s="42" t="n">
        <f aca="false">R247/$K$2</f>
        <v>201.059924974238</v>
      </c>
      <c r="T247" s="43" t="n">
        <f aca="false">S247-$M$2</f>
        <v>-3.41888067758853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0.033203125</v>
      </c>
      <c r="C248" s="25" t="n">
        <f aca="false">IF(T247&gt;0,D247,C247)</f>
        <v>0.0390625</v>
      </c>
      <c r="D248" s="41" t="n">
        <f aca="false">(B248+C248)/2</f>
        <v>0.0361328125</v>
      </c>
      <c r="E248" s="15" t="n">
        <f aca="false">$C$2*(1+IF(E$3&lt;=$O$2,$D248,$D248-($D248-$I$238)*MIN(E$3-$O$2,$Q$2)/$Q$2))</f>
        <v>2662.861328125</v>
      </c>
      <c r="F248" s="15" t="n">
        <f aca="false">E248*(1+IF(F$3&lt;=$O$2,$D248,$D248-($D248-$I$238)*MIN(F$3-$O$2,$Q$2)/$Q$2))</f>
        <v>2759.07799720764</v>
      </c>
      <c r="G248" s="15" t="n">
        <f aca="false">F248*(1+IF(G$3&lt;=$O$2,$D248,$D248-($D248-$I$238)*MIN(G$3-$O$2,$Q$2)/$Q$2))</f>
        <v>2858.77124515362</v>
      </c>
      <c r="H248" s="15" t="n">
        <f aca="false">G248*(1+IF(H$3&lt;=$O$2,$D248,$D248-($D248-$I$238)*MIN(H$3-$O$2,$Q$2)/$Q$2))</f>
        <v>2962.06669053515</v>
      </c>
      <c r="I248" s="15" t="n">
        <f aca="false">H248*(1+IF(I$3&lt;=$O$2,$D248,$D248-($D248-$I$238)*MIN(I$3-$O$2,$Q$2)/$Q$2))</f>
        <v>3069.09449087675</v>
      </c>
      <c r="J248" s="15" t="n">
        <f aca="false">I248*(1+IF(J$3&lt;=$O$2,$D248,$D248-($D248-$I$238)*MIN(J$3-$O$2,$Q$2)/$Q$2))</f>
        <v>3175.18157832202</v>
      </c>
      <c r="K248" s="15" t="n">
        <f aca="false">J248*(1+IF(K$3&lt;=$O$2,$D248,$D248-($D248-$I$238)*MIN(K$3-$O$2,$Q$2)/$Q$2))</f>
        <v>3279.9615781624</v>
      </c>
      <c r="L248" s="15" t="n">
        <f aca="false">K248*(1+IF(L$3&lt;=$O$2,$D248,$D248-($D248-$I$238)*MIN(L$3-$O$2,$Q$2)/$Q$2))</f>
        <v>3383.06102044398</v>
      </c>
      <c r="M248" s="15" t="n">
        <f aca="false">L248*(1+IF(M$3&lt;=$O$2,$D248,$D248-($D248-$I$238)*MIN(M$3-$O$2,$Q$2)/$Q$2))</f>
        <v>3484.10142385238</v>
      </c>
      <c r="N248" s="15" t="n">
        <f aca="false">M248*(1+IF(N$3&lt;=$O$2,$D248,$D248-($D248-$I$238)*MIN(N$3-$O$2,$Q$2)/$Q$2))</f>
        <v>3582.7014941474</v>
      </c>
      <c r="O248" s="15" t="n">
        <f aca="false">SUMPRODUCT(E248:N248,1/(1+$F$238)^$E$3:$N$3)*$E$2</f>
        <v>3924.06489222704</v>
      </c>
      <c r="P248" s="15" t="n">
        <f aca="false">N248*$E$2*(1+$I$238)/($F$238-$I$238)/(1+$F$238)^$N$3</f>
        <v>5144.52001703167</v>
      </c>
      <c r="Q248" s="15" t="n">
        <f aca="false">O248+P248</f>
        <v>9068.58490925871</v>
      </c>
      <c r="R248" s="15" t="n">
        <f aca="false">Q248-$G$2+$I$2</f>
        <v>7692.38490925871</v>
      </c>
      <c r="S248" s="42" t="n">
        <f aca="false">R248/$K$2</f>
        <v>205.075577426252</v>
      </c>
      <c r="T248" s="43" t="n">
        <f aca="false">S248-$M$2</f>
        <v>0.596771774425861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0.033203125</v>
      </c>
      <c r="C249" s="25" t="n">
        <f aca="false">IF(T248&gt;0,D248,C248)</f>
        <v>0.0361328125</v>
      </c>
      <c r="D249" s="41" t="n">
        <f aca="false">(B249+C249)/2</f>
        <v>0.03466796875</v>
      </c>
      <c r="E249" s="15" t="n">
        <f aca="false">$C$2*(1+IF(E$3&lt;=$O$2,$D249,$D249-($D249-$I$238)*MIN(E$3-$O$2,$Q$2)/$Q$2))</f>
        <v>2659.0966796875</v>
      </c>
      <c r="F249" s="15" t="n">
        <f aca="false">E249*(1+IF(F$3&lt;=$O$2,$D249,$D249-($D249-$I$238)*MIN(F$3-$O$2,$Q$2)/$Q$2))</f>
        <v>2751.28216028214</v>
      </c>
      <c r="G249" s="15" t="n">
        <f aca="false">F249*(1+IF(G$3&lt;=$O$2,$D249,$D249-($D249-$I$238)*MIN(G$3-$O$2,$Q$2)/$Q$2))</f>
        <v>2846.66352423723</v>
      </c>
      <c r="H249" s="15" t="n">
        <f aca="false">G249*(1+IF(H$3&lt;=$O$2,$D249,$D249-($D249-$I$238)*MIN(H$3-$O$2,$Q$2)/$Q$2))</f>
        <v>2945.35156633725</v>
      </c>
      <c r="I249" s="15" t="n">
        <f aca="false">H249*(1+IF(I$3&lt;=$O$2,$D249,$D249-($D249-$I$238)*MIN(I$3-$O$2,$Q$2)/$Q$2))</f>
        <v>3047.46092239679</v>
      </c>
      <c r="J249" s="15" t="n">
        <f aca="false">I249*(1+IF(J$3&lt;=$O$2,$D249,$D249-($D249-$I$238)*MIN(J$3-$O$2,$Q$2)/$Q$2))</f>
        <v>3149.22897523716</v>
      </c>
      <c r="K249" s="15" t="n">
        <f aca="false">J249*(1+IF(K$3&lt;=$O$2,$D249,$D249-($D249-$I$238)*MIN(K$3-$O$2,$Q$2)/$Q$2))</f>
        <v>3250.38467025691</v>
      </c>
      <c r="L249" s="15" t="n">
        <f aca="false">K249*(1+IF(L$3&lt;=$O$2,$D249,$D249-($D249-$I$238)*MIN(L$3-$O$2,$Q$2)/$Q$2))</f>
        <v>3350.64989562745</v>
      </c>
      <c r="M249" s="15" t="n">
        <f aca="false">L249*(1+IF(M$3&lt;=$O$2,$D249,$D249-($D249-$I$238)*MIN(M$3-$O$2,$Q$2)/$Q$2))</f>
        <v>3449.74065443922</v>
      </c>
      <c r="N249" s="15" t="n">
        <f aca="false">M249*(1+IF(N$3&lt;=$O$2,$D249,$D249-($D249-$I$238)*MIN(N$3-$O$2,$Q$2)/$Q$2))</f>
        <v>3547.36831495985</v>
      </c>
      <c r="O249" s="15" t="n">
        <f aca="false">SUMPRODUCT(E249:N249,1/(1+$F$238)^$E$3:$N$3)*$E$2</f>
        <v>3899.18866368542</v>
      </c>
      <c r="P249" s="15" t="n">
        <f aca="false">N249*$E$2*(1+$I$238)/($F$238-$I$238)/(1+$F$238)^$N$3</f>
        <v>5093.78393201519</v>
      </c>
      <c r="Q249" s="15" t="n">
        <f aca="false">O249+P249</f>
        <v>8992.97259570061</v>
      </c>
      <c r="R249" s="15" t="n">
        <f aca="false">Q249-$G$2+$I$2</f>
        <v>7616.77259570061</v>
      </c>
      <c r="S249" s="42" t="n">
        <f aca="false">R249/$K$2</f>
        <v>203.059786608921</v>
      </c>
      <c r="T249" s="43" t="n">
        <f aca="false">S249-$M$2</f>
        <v>-1.41901904290557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0.03466796875</v>
      </c>
      <c r="C250" s="25" t="n">
        <f aca="false">IF(T249&gt;0,D249,C249)</f>
        <v>0.0361328125</v>
      </c>
      <c r="D250" s="41" t="n">
        <f aca="false">(B250+C250)/2</f>
        <v>0.035400390625</v>
      </c>
      <c r="E250" s="15" t="n">
        <f aca="false">$C$2*(1+IF(E$3&lt;=$O$2,$D250,$D250-($D250-$I$238)*MIN(E$3-$O$2,$Q$2)/$Q$2))</f>
        <v>2660.97900390625</v>
      </c>
      <c r="F250" s="15" t="n">
        <f aca="false">E250*(1+IF(F$3&lt;=$O$2,$D250,$D250-($D250-$I$238)*MIN(F$3-$O$2,$Q$2)/$Q$2))</f>
        <v>2755.17870008945</v>
      </c>
      <c r="G250" s="15" t="n">
        <f aca="false">F250*(1+IF(G$3&lt;=$O$2,$D250,$D250-($D250-$I$238)*MIN(G$3-$O$2,$Q$2)/$Q$2))</f>
        <v>2852.7131023143</v>
      </c>
      <c r="H250" s="15" t="n">
        <f aca="false">G250*(1+IF(H$3&lt;=$O$2,$D250,$D250-($D250-$I$238)*MIN(H$3-$O$2,$Q$2)/$Q$2))</f>
        <v>2953.70026047728</v>
      </c>
      <c r="I250" s="15" t="n">
        <f aca="false">H250*(1+IF(I$3&lt;=$O$2,$D250,$D250-($D250-$I$238)*MIN(I$3-$O$2,$Q$2)/$Q$2))</f>
        <v>3058.26240348734</v>
      </c>
      <c r="J250" s="15" t="n">
        <f aca="false">I250*(1+IF(J$3&lt;=$O$2,$D250,$D250-($D250-$I$238)*MIN(J$3-$O$2,$Q$2)/$Q$2))</f>
        <v>3162.18311566484</v>
      </c>
      <c r="K250" s="15" t="n">
        <f aca="false">J250*(1+IF(K$3&lt;=$O$2,$D250,$D250-($D250-$I$238)*MIN(K$3-$O$2,$Q$2)/$Q$2))</f>
        <v>3265.14453904756</v>
      </c>
      <c r="L250" s="15" t="n">
        <f aca="false">K250*(1+IF(L$3&lt;=$O$2,$D250,$D250-($D250-$I$238)*MIN(L$3-$O$2,$Q$2)/$Q$2))</f>
        <v>3366.82165017233</v>
      </c>
      <c r="M250" s="15" t="n">
        <f aca="false">L250*(1+IF(M$3&lt;=$O$2,$D250,$D250-($D250-$I$238)*MIN(M$3-$O$2,$Q$2)/$Q$2))</f>
        <v>3466.8838526484</v>
      </c>
      <c r="N250" s="15" t="n">
        <f aca="false">M250*(1+IF(N$3&lt;=$O$2,$D250,$D250-($D250-$I$238)*MIN(N$3-$O$2,$Q$2)/$Q$2))</f>
        <v>3564.99666567835</v>
      </c>
      <c r="O250" s="15" t="n">
        <f aca="false">SUMPRODUCT(E250:N250,1/(1+$F$238)^$E$3:$N$3)*$E$2</f>
        <v>3911.6067345095</v>
      </c>
      <c r="P250" s="15" t="n">
        <f aca="false">N250*$E$2*(1+$I$238)/($F$238-$I$238)/(1+$F$238)^$N$3</f>
        <v>5119.09706605293</v>
      </c>
      <c r="Q250" s="15" t="n">
        <f aca="false">O250+P250</f>
        <v>9030.70380056243</v>
      </c>
      <c r="R250" s="15" t="n">
        <f aca="false">Q250-$G$2+$I$2</f>
        <v>7654.50380056244</v>
      </c>
      <c r="S250" s="42" t="n">
        <f aca="false">R250/$K$2</f>
        <v>204.065683832643</v>
      </c>
      <c r="T250" s="43" t="n">
        <f aca="false">S250-$M$2</f>
        <v>-0.413121819183203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0.035400390625</v>
      </c>
      <c r="C251" s="25" t="n">
        <f aca="false">IF(T250&gt;0,D250,C250)</f>
        <v>0.0361328125</v>
      </c>
      <c r="D251" s="41" t="n">
        <f aca="false">(B251+C251)/2</f>
        <v>0.0357666015625</v>
      </c>
      <c r="E251" s="15" t="n">
        <f aca="false">$C$2*(1+IF(E$3&lt;=$O$2,$D251,$D251-($D251-$I$238)*MIN(E$3-$O$2,$Q$2)/$Q$2))</f>
        <v>2661.92016601563</v>
      </c>
      <c r="F251" s="15" t="n">
        <f aca="false">E251*(1+IF(F$3&lt;=$O$2,$D251,$D251-($D251-$I$238)*MIN(F$3-$O$2,$Q$2)/$Q$2))</f>
        <v>2757.12800398469</v>
      </c>
      <c r="G251" s="15" t="n">
        <f aca="false">F251*(1+IF(G$3&lt;=$O$2,$D251,$D251-($D251-$I$238)*MIN(G$3-$O$2,$Q$2)/$Q$2))</f>
        <v>2855.74110276002</v>
      </c>
      <c r="H251" s="15" t="n">
        <f aca="false">G251*(1+IF(H$3&lt;=$O$2,$D251,$D251-($D251-$I$238)*MIN(H$3-$O$2,$Q$2)/$Q$2))</f>
        <v>2957.88125694809</v>
      </c>
      <c r="I251" s="15" t="n">
        <f aca="false">H251*(1+IF(I$3&lt;=$O$2,$D251,$D251-($D251-$I$238)*MIN(I$3-$O$2,$Q$2)/$Q$2))</f>
        <v>3063.67461733454</v>
      </c>
      <c r="J251" s="15" t="n">
        <f aca="false">I251*(1+IF(J$3&lt;=$O$2,$D251,$D251-($D251-$I$238)*MIN(J$3-$O$2,$Q$2)/$Q$2))</f>
        <v>3168.67679915293</v>
      </c>
      <c r="K251" s="15" t="n">
        <f aca="false">J251*(1+IF(K$3&lt;=$O$2,$D251,$D251-($D251-$I$238)*MIN(K$3-$O$2,$Q$2)/$Q$2))</f>
        <v>3272.54590085273</v>
      </c>
      <c r="L251" s="15" t="n">
        <f aca="false">K251*(1+IF(L$3&lt;=$O$2,$D251,$D251-($D251-$I$238)*MIN(L$3-$O$2,$Q$2)/$Q$2))</f>
        <v>3374.93286838153</v>
      </c>
      <c r="M251" s="15" t="n">
        <f aca="false">L251*(1+IF(M$3&lt;=$O$2,$D251,$D251-($D251-$I$238)*MIN(M$3-$O$2,$Q$2)/$Q$2))</f>
        <v>3475.4833243624</v>
      </c>
      <c r="N251" s="15" t="n">
        <f aca="false">M251*(1+IF(N$3&lt;=$O$2,$D251,$D251-($D251-$I$238)*MIN(N$3-$O$2,$Q$2)/$Q$2))</f>
        <v>3573.83950244186</v>
      </c>
      <c r="O251" s="15" t="n">
        <f aca="false">SUMPRODUCT(E251:N251,1/(1+$F$238)^$E$3:$N$3)*$E$2</f>
        <v>3917.83079491558</v>
      </c>
      <c r="P251" s="15" t="n">
        <f aca="false">N251*$E$2*(1+$I$238)/($F$238-$I$238)/(1+$F$238)^$N$3</f>
        <v>5131.79478893371</v>
      </c>
      <c r="Q251" s="15" t="n">
        <f aca="false">O251+P251</f>
        <v>9049.62558384929</v>
      </c>
      <c r="R251" s="15" t="n">
        <f aca="false">Q251-$G$2+$I$2</f>
        <v>7673.42558384929</v>
      </c>
      <c r="S251" s="42" t="n">
        <f aca="false">R251/$K$2</f>
        <v>204.570130201261</v>
      </c>
      <c r="T251" s="43" t="n">
        <f aca="false">S251-$M$2</f>
        <v>0.0913245494345745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0.035400390625</v>
      </c>
      <c r="C252" s="25" t="n">
        <f aca="false">IF(T251&gt;0,D251,C251)</f>
        <v>0.0357666015625</v>
      </c>
      <c r="D252" s="41" t="n">
        <f aca="false">(B252+C252)/2</f>
        <v>0.03558349609375</v>
      </c>
      <c r="E252" s="15" t="n">
        <f aca="false">$C$2*(1+IF(E$3&lt;=$O$2,$D252,$D252-($D252-$I$238)*MIN(E$3-$O$2,$Q$2)/$Q$2))</f>
        <v>2661.44958496094</v>
      </c>
      <c r="F252" s="15" t="n">
        <f aca="false">E252*(1+IF(F$3&lt;=$O$2,$D252,$D252-($D252-$I$238)*MIN(F$3-$O$2,$Q$2)/$Q$2))</f>
        <v>2756.15326587111</v>
      </c>
      <c r="G252" s="15" t="n">
        <f aca="false">F252*(1+IF(G$3&lt;=$O$2,$D252,$D252-($D252-$I$238)*MIN(G$3-$O$2,$Q$2)/$Q$2))</f>
        <v>2854.22683484101</v>
      </c>
      <c r="H252" s="15" t="n">
        <f aca="false">G252*(1+IF(H$3&lt;=$O$2,$D252,$D252-($D252-$I$238)*MIN(H$3-$O$2,$Q$2)/$Q$2))</f>
        <v>2955.79020426925</v>
      </c>
      <c r="I252" s="15" t="n">
        <f aca="false">H252*(1+IF(I$3&lt;=$O$2,$D252,$D252-($D252-$I$238)*MIN(I$3-$O$2,$Q$2)/$Q$2))</f>
        <v>3060.96755345681</v>
      </c>
      <c r="J252" s="15" t="n">
        <f aca="false">I252*(1+IF(J$3&lt;=$O$2,$D252,$D252-($D252-$I$238)*MIN(J$3-$O$2,$Q$2)/$Q$2))</f>
        <v>3165.4285713946</v>
      </c>
      <c r="K252" s="15" t="n">
        <f aca="false">J252*(1+IF(K$3&lt;=$O$2,$D252,$D252-($D252-$I$238)*MIN(K$3-$O$2,$Q$2)/$Q$2))</f>
        <v>3268.84343194594</v>
      </c>
      <c r="L252" s="15" t="n">
        <f aca="false">K252*(1+IF(L$3&lt;=$O$2,$D252,$D252-($D252-$I$238)*MIN(L$3-$O$2,$Q$2)/$Q$2))</f>
        <v>3370.87514441707</v>
      </c>
      <c r="M252" s="15" t="n">
        <f aca="false">L252*(1+IF(M$3&lt;=$O$2,$D252,$D252-($D252-$I$238)*MIN(M$3-$O$2,$Q$2)/$Q$2))</f>
        <v>3471.18126219345</v>
      </c>
      <c r="N252" s="15" t="n">
        <f aca="false">M252*(1+IF(N$3&lt;=$O$2,$D252,$D252-($D252-$I$238)*MIN(N$3-$O$2,$Q$2)/$Q$2))</f>
        <v>3569.41569191353</v>
      </c>
      <c r="O252" s="15" t="n">
        <f aca="false">SUMPRODUCT(E252:N252,1/(1+$F$238)^$E$3:$N$3)*$E$2</f>
        <v>3914.71751104903</v>
      </c>
      <c r="P252" s="15" t="n">
        <f aca="false">N252*$E$2*(1+$I$238)/($F$238-$I$238)/(1+$F$238)^$N$3</f>
        <v>5125.44249253064</v>
      </c>
      <c r="Q252" s="15" t="n">
        <f aca="false">O252+P252</f>
        <v>9040.16000357967</v>
      </c>
      <c r="R252" s="15" t="n">
        <f aca="false">Q252-$G$2+$I$2</f>
        <v>7663.96000357967</v>
      </c>
      <c r="S252" s="42" t="n">
        <f aca="false">R252/$K$2</f>
        <v>204.317782020252</v>
      </c>
      <c r="T252" s="43" t="n">
        <f aca="false">S252-$M$2</f>
        <v>-0.161023631573727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0.03558349609375</v>
      </c>
      <c r="C253" s="25" t="n">
        <f aca="false">IF(T252&gt;0,D252,C252)</f>
        <v>0.0357666015625</v>
      </c>
      <c r="D253" s="41" t="n">
        <f aca="false">(B253+C253)/2</f>
        <v>0.035675048828125</v>
      </c>
      <c r="E253" s="15" t="n">
        <f aca="false">$C$2*(1+IF(E$3&lt;=$O$2,$D253,$D253-($D253-$I$238)*MIN(E$3-$O$2,$Q$2)/$Q$2))</f>
        <v>2661.68487548828</v>
      </c>
      <c r="F253" s="15" t="n">
        <f aca="false">E253*(1+IF(F$3&lt;=$O$2,$D253,$D253-($D253-$I$238)*MIN(F$3-$O$2,$Q$2)/$Q$2))</f>
        <v>2756.64061338641</v>
      </c>
      <c r="G253" s="15" t="n">
        <f aca="false">F253*(1+IF(G$3&lt;=$O$2,$D253,$D253-($D253-$I$238)*MIN(G$3-$O$2,$Q$2)/$Q$2))</f>
        <v>2854.98390187056</v>
      </c>
      <c r="H253" s="15" t="n">
        <f aca="false">G253*(1+IF(H$3&lt;=$O$2,$D253,$D253-($D253-$I$238)*MIN(H$3-$O$2,$Q$2)/$Q$2))</f>
        <v>2956.8355919733</v>
      </c>
      <c r="I253" s="15" t="n">
        <f aca="false">H253*(1+IF(I$3&lt;=$O$2,$D253,$D253-($D253-$I$238)*MIN(I$3-$O$2,$Q$2)/$Q$2))</f>
        <v>3062.32084609369</v>
      </c>
      <c r="J253" s="15" t="n">
        <f aca="false">I253*(1+IF(J$3&lt;=$O$2,$D253,$D253-($D253-$I$238)*MIN(J$3-$O$2,$Q$2)/$Q$2))</f>
        <v>3167.052338652</v>
      </c>
      <c r="K253" s="15" t="n">
        <f aca="false">J253*(1+IF(K$3&lt;=$O$2,$D253,$D253-($D253-$I$238)*MIN(K$3-$O$2,$Q$2)/$Q$2))</f>
        <v>3270.69421921912</v>
      </c>
      <c r="L253" s="15" t="n">
        <f aca="false">K253*(1+IF(L$3&lt;=$O$2,$D253,$D253-($D253-$I$238)*MIN(L$3-$O$2,$Q$2)/$Q$2))</f>
        <v>3372.90347745047</v>
      </c>
      <c r="M253" s="15" t="n">
        <f aca="false">L253*(1+IF(M$3&lt;=$O$2,$D253,$D253-($D253-$I$238)*MIN(M$3-$O$2,$Q$2)/$Q$2))</f>
        <v>3473.33171143007</v>
      </c>
      <c r="N253" s="15" t="n">
        <f aca="false">M253*(1+IF(N$3&lt;=$O$2,$D253,$D253-($D253-$I$238)*MIN(N$3-$O$2,$Q$2)/$Q$2))</f>
        <v>3571.62699886354</v>
      </c>
      <c r="O253" s="15" t="n">
        <f aca="false">SUMPRODUCT(E253:N253,1/(1+$F$238)^$E$3:$N$3)*$E$2</f>
        <v>3916.27383944777</v>
      </c>
      <c r="P253" s="15" t="n">
        <f aca="false">N253*$E$2*(1+$I$238)/($F$238-$I$238)/(1+$F$238)^$N$3</f>
        <v>5128.61778159301</v>
      </c>
      <c r="Q253" s="15" t="n">
        <f aca="false">O253+P253</f>
        <v>9044.89162104078</v>
      </c>
      <c r="R253" s="15" t="n">
        <f aca="false">Q253-$G$2+$I$2</f>
        <v>7668.69162104078</v>
      </c>
      <c r="S253" s="42" t="n">
        <f aca="false">R253/$K$2</f>
        <v>204.443924847795</v>
      </c>
      <c r="T253" s="43" t="n">
        <f aca="false">S253-$M$2</f>
        <v>-0.0348808040313315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0.035675048828125</v>
      </c>
      <c r="C254" s="25" t="n">
        <f aca="false">IF(T253&gt;0,D253,C253)</f>
        <v>0.0357666015625</v>
      </c>
      <c r="D254" s="41" t="n">
        <f aca="false">(B254+C254)/2</f>
        <v>0.0357208251953125</v>
      </c>
      <c r="E254" s="15" t="n">
        <f aca="false">$C$2*(1+IF(E$3&lt;=$O$2,$D254,$D254-($D254-$I$238)*MIN(E$3-$O$2,$Q$2)/$Q$2))</f>
        <v>2661.80252075195</v>
      </c>
      <c r="F254" s="15" t="n">
        <f aca="false">E254*(1+IF(F$3&lt;=$O$2,$D254,$D254-($D254-$I$238)*MIN(F$3-$O$2,$Q$2)/$Q$2))</f>
        <v>2756.88430330018</v>
      </c>
      <c r="G254" s="15" t="n">
        <f aca="false">F254*(1+IF(G$3&lt;=$O$2,$D254,$D254-($D254-$I$238)*MIN(G$3-$O$2,$Q$2)/$Q$2))</f>
        <v>2855.36248558206</v>
      </c>
      <c r="H254" s="15" t="n">
        <f aca="false">G254*(1+IF(H$3&lt;=$O$2,$D254,$D254-($D254-$I$238)*MIN(H$3-$O$2,$Q$2)/$Q$2))</f>
        <v>2957.35838979879</v>
      </c>
      <c r="I254" s="15" t="n">
        <f aca="false">H254*(1+IF(I$3&lt;=$O$2,$D254,$D254-($D254-$I$238)*MIN(I$3-$O$2,$Q$2)/$Q$2))</f>
        <v>3062.99767188069</v>
      </c>
      <c r="J254" s="15" t="n">
        <f aca="false">I254*(1+IF(J$3&lt;=$O$2,$D254,$D254-($D254-$I$238)*MIN(J$3-$O$2,$Q$2)/$Q$2))</f>
        <v>3167.86448223225</v>
      </c>
      <c r="K254" s="15" t="n">
        <f aca="false">J254*(1+IF(K$3&lt;=$O$2,$D254,$D254-($D254-$I$238)*MIN(K$3-$O$2,$Q$2)/$Q$2))</f>
        <v>3271.61994821847</v>
      </c>
      <c r="L254" s="15" t="n">
        <f aca="false">K254*(1+IF(L$3&lt;=$O$2,$D254,$D254-($D254-$I$238)*MIN(L$3-$O$2,$Q$2)/$Q$2))</f>
        <v>3373.91804064955</v>
      </c>
      <c r="M254" s="15" t="n">
        <f aca="false">L254*(1+IF(M$3&lt;=$O$2,$D254,$D254-($D254-$I$238)*MIN(M$3-$O$2,$Q$2)/$Q$2))</f>
        <v>3474.40737240052</v>
      </c>
      <c r="N254" s="15" t="n">
        <f aca="false">M254*(1+IF(N$3&lt;=$O$2,$D254,$D254-($D254-$I$238)*MIN(N$3-$O$2,$Q$2)/$Q$2))</f>
        <v>3572.73310103946</v>
      </c>
      <c r="O254" s="15" t="n">
        <f aca="false">SUMPRODUCT(E254:N254,1/(1+$F$238)^$E$3:$N$3)*$E$2</f>
        <v>3917.05223878321</v>
      </c>
      <c r="P254" s="15" t="n">
        <f aca="false">N254*$E$2*(1+$I$238)/($F$238-$I$238)/(1+$F$238)^$N$3</f>
        <v>5130.20607042874</v>
      </c>
      <c r="Q254" s="15" t="n">
        <f aca="false">O254+P254</f>
        <v>9047.25830921195</v>
      </c>
      <c r="R254" s="15" t="n">
        <f aca="false">Q254-$G$2+$I$2</f>
        <v>7671.05830921195</v>
      </c>
      <c r="S254" s="42" t="n">
        <f aca="false">R254/$K$2</f>
        <v>204.507019707063</v>
      </c>
      <c r="T254" s="43" t="n">
        <f aca="false">S254-$M$2</f>
        <v>0.0282140552372709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0.035675048828125</v>
      </c>
      <c r="C255" s="25" t="n">
        <f aca="false">IF(T254&gt;0,D254,C254)</f>
        <v>0.0357208251953125</v>
      </c>
      <c r="D255" s="41" t="n">
        <f aca="false">(B255+C255)/2</f>
        <v>0.0356979370117188</v>
      </c>
      <c r="E255" s="15" t="n">
        <f aca="false">$C$2*(1+IF(E$3&lt;=$O$2,$D255,$D255-($D255-$I$238)*MIN(E$3-$O$2,$Q$2)/$Q$2))</f>
        <v>2661.74369812012</v>
      </c>
      <c r="F255" s="15" t="n">
        <f aca="false">E255*(1+IF(F$3&lt;=$O$2,$D255,$D255-($D255-$I$238)*MIN(F$3-$O$2,$Q$2)/$Q$2))</f>
        <v>2756.76245699695</v>
      </c>
      <c r="G255" s="15" t="n">
        <f aca="false">F255*(1+IF(G$3&lt;=$O$2,$D255,$D255-($D255-$I$238)*MIN(G$3-$O$2,$Q$2)/$Q$2))</f>
        <v>2855.1731895431</v>
      </c>
      <c r="H255" s="15" t="n">
        <f aca="false">G255*(1+IF(H$3&lt;=$O$2,$D255,$D255-($D255-$I$238)*MIN(H$3-$O$2,$Q$2)/$Q$2))</f>
        <v>2957.09698222095</v>
      </c>
      <c r="I255" s="15" t="n">
        <f aca="false">H255*(1+IF(I$3&lt;=$O$2,$D255,$D255-($D255-$I$238)*MIN(I$3-$O$2,$Q$2)/$Q$2))</f>
        <v>3062.65924402982</v>
      </c>
      <c r="J255" s="15" t="n">
        <f aca="false">I255*(1+IF(J$3&lt;=$O$2,$D255,$D255-($D255-$I$238)*MIN(J$3-$O$2,$Q$2)/$Q$2))</f>
        <v>3167.45838877642</v>
      </c>
      <c r="K255" s="15" t="n">
        <f aca="false">J255*(1+IF(K$3&lt;=$O$2,$D255,$D255-($D255-$I$238)*MIN(K$3-$O$2,$Q$2)/$Q$2))</f>
        <v>3271.15705576724</v>
      </c>
      <c r="L255" s="15" t="n">
        <f aca="false">K255*(1+IF(L$3&lt;=$O$2,$D255,$D255-($D255-$I$238)*MIN(L$3-$O$2,$Q$2)/$Q$2))</f>
        <v>3373.41072598705</v>
      </c>
      <c r="M255" s="15" t="n">
        <f aca="false">L255*(1+IF(M$3&lt;=$O$2,$D255,$D255-($D255-$I$238)*MIN(M$3-$O$2,$Q$2)/$Q$2))</f>
        <v>3473.86950554559</v>
      </c>
      <c r="N255" s="15" t="n">
        <f aca="false">M255*(1+IF(N$3&lt;=$O$2,$D255,$D255-($D255-$I$238)*MIN(N$3-$O$2,$Q$2)/$Q$2))</f>
        <v>3572.18001255253</v>
      </c>
      <c r="O255" s="15" t="n">
        <f aca="false">SUMPRODUCT(E255:N255,1/(1+$F$238)^$E$3:$N$3)*$E$2</f>
        <v>3916.66301951772</v>
      </c>
      <c r="P255" s="15" t="n">
        <f aca="false">N255*$E$2*(1+$I$238)/($F$238-$I$238)/(1+$F$238)^$N$3</f>
        <v>5129.41187230845</v>
      </c>
      <c r="Q255" s="15" t="n">
        <f aca="false">O255+P255</f>
        <v>9046.07489182618</v>
      </c>
      <c r="R255" s="15" t="n">
        <f aca="false">Q255-$G$2+$I$2</f>
        <v>7669.87489182618</v>
      </c>
      <c r="S255" s="42" t="n">
        <f aca="false">R255/$K$2</f>
        <v>204.475470323279</v>
      </c>
      <c r="T255" s="43" t="n">
        <f aca="false">S255-$M$2</f>
        <v>-0.00333532854759255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0.0356979370117188</v>
      </c>
      <c r="C256" s="25" t="n">
        <f aca="false">IF(T255&gt;0,D255,C255)</f>
        <v>0.0357208251953125</v>
      </c>
      <c r="D256" s="41" t="n">
        <f aca="false">(B256+C256)/2</f>
        <v>0.0357093811035156</v>
      </c>
      <c r="E256" s="15" t="n">
        <f aca="false">$C$2*(1+IF(E$3&lt;=$O$2,$D256,$D256-($D256-$I$238)*MIN(E$3-$O$2,$Q$2)/$Q$2))</f>
        <v>2661.77310943604</v>
      </c>
      <c r="F256" s="15" t="n">
        <f aca="false">E256*(1+IF(F$3&lt;=$O$2,$D256,$D256-($D256-$I$238)*MIN(F$3-$O$2,$Q$2)/$Q$2))</f>
        <v>2756.82337981198</v>
      </c>
      <c r="G256" s="15" t="n">
        <f aca="false">F256*(1+IF(G$3&lt;=$O$2,$D256,$D256-($D256-$I$238)*MIN(G$3-$O$2,$Q$2)/$Q$2))</f>
        <v>2855.26783651676</v>
      </c>
      <c r="H256" s="15" t="n">
        <f aca="false">G256*(1+IF(H$3&lt;=$O$2,$D256,$D256-($D256-$I$238)*MIN(H$3-$O$2,$Q$2)/$Q$2))</f>
        <v>2957.22768384355</v>
      </c>
      <c r="I256" s="15" t="n">
        <f aca="false">H256*(1+IF(I$3&lt;=$O$2,$D256,$D256-($D256-$I$238)*MIN(I$3-$O$2,$Q$2)/$Q$2))</f>
        <v>3062.82845421579</v>
      </c>
      <c r="J256" s="15" t="n">
        <f aca="false">I256*(1+IF(J$3&lt;=$O$2,$D256,$D256-($D256-$I$238)*MIN(J$3-$O$2,$Q$2)/$Q$2))</f>
        <v>3167.66143008768</v>
      </c>
      <c r="K256" s="15" t="n">
        <f aca="false">J256*(1+IF(K$3&lt;=$O$2,$D256,$D256-($D256-$I$238)*MIN(K$3-$O$2,$Q$2)/$Q$2))</f>
        <v>3271.38849500461</v>
      </c>
      <c r="L256" s="15" t="n">
        <f aca="false">K256*(1+IF(L$3&lt;=$O$2,$D256,$D256-($D256-$I$238)*MIN(L$3-$O$2,$Q$2)/$Q$2))</f>
        <v>3373.6643750521</v>
      </c>
      <c r="M256" s="15" t="n">
        <f aca="false">L256*(1+IF(M$3&lt;=$O$2,$D256,$D256-($D256-$I$238)*MIN(M$3-$O$2,$Q$2)/$Q$2))</f>
        <v>3474.1384298801</v>
      </c>
      <c r="N256" s="15" t="n">
        <f aca="false">M256*(1+IF(N$3&lt;=$O$2,$D256,$D256-($D256-$I$238)*MIN(N$3-$O$2,$Q$2)/$Q$2))</f>
        <v>3572.45654744571</v>
      </c>
      <c r="O256" s="15" t="n">
        <f aca="false">SUMPRODUCT(E256:N256,1/(1+$F$238)^$E$3:$N$3)*$E$2</f>
        <v>3916.85762425079</v>
      </c>
      <c r="P256" s="15" t="n">
        <f aca="false">N256*$E$2*(1+$I$238)/($F$238-$I$238)/(1+$F$238)^$N$3</f>
        <v>5129.80895794221</v>
      </c>
      <c r="Q256" s="15" t="n">
        <f aca="false">O256+P256</f>
        <v>9046.666582193</v>
      </c>
      <c r="R256" s="15" t="n">
        <f aca="false">Q256-$G$2+$I$2</f>
        <v>7670.466582193</v>
      </c>
      <c r="S256" s="42" t="n">
        <f aca="false">R256/$K$2</f>
        <v>204.491244526606</v>
      </c>
      <c r="T256" s="43" t="n">
        <f aca="false">S256-$M$2</f>
        <v>0.0124388747802584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0.0356979370117188</v>
      </c>
      <c r="C257" s="25" t="n">
        <f aca="false">IF(T256&gt;0,D256,C256)</f>
        <v>0.0357093811035156</v>
      </c>
      <c r="D257" s="41" t="n">
        <f aca="false">(B257+C257)/2</f>
        <v>0.0357036590576172</v>
      </c>
      <c r="E257" s="15" t="n">
        <f aca="false">$C$2*(1+IF(E$3&lt;=$O$2,$D257,$D257-($D257-$I$238)*MIN(E$3-$O$2,$Q$2)/$Q$2))</f>
        <v>2661.75840377808</v>
      </c>
      <c r="F257" s="15" t="n">
        <f aca="false">E257*(1+IF(F$3&lt;=$O$2,$D257,$D257-($D257-$I$238)*MIN(F$3-$O$2,$Q$2)/$Q$2))</f>
        <v>2756.79291832032</v>
      </c>
      <c r="G257" s="15" t="n">
        <f aca="false">F257*(1+IF(G$3&lt;=$O$2,$D257,$D257-($D257-$I$238)*MIN(G$3-$O$2,$Q$2)/$Q$2))</f>
        <v>2855.22051276848</v>
      </c>
      <c r="H257" s="15" t="n">
        <f aca="false">G257*(1+IF(H$3&lt;=$O$2,$D257,$D257-($D257-$I$238)*MIN(H$3-$O$2,$Q$2)/$Q$2))</f>
        <v>2957.16233249068</v>
      </c>
      <c r="I257" s="15" t="n">
        <f aca="false">H257*(1+IF(I$3&lt;=$O$2,$D257,$D257-($D257-$I$238)*MIN(I$3-$O$2,$Q$2)/$Q$2))</f>
        <v>3062.74384818795</v>
      </c>
      <c r="J257" s="15" t="n">
        <f aca="false">I257*(1+IF(J$3&lt;=$O$2,$D257,$D257-($D257-$I$238)*MIN(J$3-$O$2,$Q$2)/$Q$2))</f>
        <v>3167.55990807791</v>
      </c>
      <c r="K257" s="15" t="n">
        <f aca="false">J257*(1+IF(K$3&lt;=$O$2,$D257,$D257-($D257-$I$238)*MIN(K$3-$O$2,$Q$2)/$Q$2))</f>
        <v>3271.27277363891</v>
      </c>
      <c r="L257" s="15" t="n">
        <f aca="false">K257*(1+IF(L$3&lt;=$O$2,$D257,$D257-($D257-$I$238)*MIN(L$3-$O$2,$Q$2)/$Q$2))</f>
        <v>3373.53754845308</v>
      </c>
      <c r="M257" s="15" t="n">
        <f aca="false">L257*(1+IF(M$3&lt;=$O$2,$D257,$D257-($D257-$I$238)*MIN(M$3-$O$2,$Q$2)/$Q$2))</f>
        <v>3474.00396543967</v>
      </c>
      <c r="N257" s="15" t="n">
        <f aca="false">M257*(1+IF(N$3&lt;=$O$2,$D257,$D257-($D257-$I$238)*MIN(N$3-$O$2,$Q$2)/$Q$2))</f>
        <v>3572.31827766161</v>
      </c>
      <c r="O257" s="15" t="n">
        <f aca="false">SUMPRODUCT(E257:N257,1/(1+$F$238)^$E$3:$N$3)*$E$2</f>
        <v>3916.76032065937</v>
      </c>
      <c r="P257" s="15" t="n">
        <f aca="false">N257*$E$2*(1+$I$238)/($F$238-$I$238)/(1+$F$238)^$N$3</f>
        <v>5129.61041176883</v>
      </c>
      <c r="Q257" s="15" t="n">
        <f aca="false">O257+P257</f>
        <v>9046.3707324282</v>
      </c>
      <c r="R257" s="15" t="n">
        <f aca="false">Q257-$G$2+$I$2</f>
        <v>7670.1707324282</v>
      </c>
      <c r="S257" s="42" t="n">
        <f aca="false">R257/$K$2</f>
        <v>204.483357302805</v>
      </c>
      <c r="T257" s="43" t="n">
        <f aca="false">S257-$M$2</f>
        <v>0.00455165097852728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0.0356979370117188</v>
      </c>
      <c r="C258" s="25" t="n">
        <f aca="false">IF(T257&gt;0,D257,C257)</f>
        <v>0.0357036590576172</v>
      </c>
      <c r="D258" s="41" t="n">
        <f aca="false">(B258+C258)/2</f>
        <v>0.035700798034668</v>
      </c>
      <c r="E258" s="15" t="n">
        <f aca="false">$C$2*(1+IF(E$3&lt;=$O$2,$D258,$D258-($D258-$I$238)*MIN(E$3-$O$2,$Q$2)/$Q$2))</f>
        <v>2661.7510509491</v>
      </c>
      <c r="F258" s="15" t="n">
        <f aca="false">E258*(1+IF(F$3&lt;=$O$2,$D258,$D258-($D258-$I$238)*MIN(F$3-$O$2,$Q$2)/$Q$2))</f>
        <v>2756.7776876376</v>
      </c>
      <c r="G258" s="15" t="n">
        <f aca="false">F258*(1+IF(G$3&lt;=$O$2,$D258,$D258-($D258-$I$238)*MIN(G$3-$O$2,$Q$2)/$Q$2))</f>
        <v>2855.19685109042</v>
      </c>
      <c r="H258" s="15" t="n">
        <f aca="false">G258*(1+IF(H$3&lt;=$O$2,$D258,$D258-($D258-$I$238)*MIN(H$3-$O$2,$Q$2)/$Q$2))</f>
        <v>2957.12965722042</v>
      </c>
      <c r="I258" s="15" t="n">
        <f aca="false">H258*(1+IF(I$3&lt;=$O$2,$D258,$D258-($D258-$I$238)*MIN(I$3-$O$2,$Q$2)/$Q$2))</f>
        <v>3062.70154587518</v>
      </c>
      <c r="J258" s="15" t="n">
        <f aca="false">I258*(1+IF(J$3&lt;=$O$2,$D258,$D258-($D258-$I$238)*MIN(J$3-$O$2,$Q$2)/$Q$2))</f>
        <v>3167.50914808863</v>
      </c>
      <c r="K258" s="15" t="n">
        <f aca="false">J258*(1+IF(K$3&lt;=$O$2,$D258,$D258-($D258-$I$238)*MIN(K$3-$O$2,$Q$2)/$Q$2))</f>
        <v>3271.21491426632</v>
      </c>
      <c r="L258" s="15" t="n">
        <f aca="false">K258*(1+IF(L$3&lt;=$O$2,$D258,$D258-($D258-$I$238)*MIN(L$3-$O$2,$Q$2)/$Q$2))</f>
        <v>3373.47413670345</v>
      </c>
      <c r="M258" s="15" t="n">
        <f aca="false">L258*(1+IF(M$3&lt;=$O$2,$D258,$D258-($D258-$I$238)*MIN(M$3-$O$2,$Q$2)/$Q$2))</f>
        <v>3473.93673492434</v>
      </c>
      <c r="N258" s="15" t="n">
        <f aca="false">M258*(1+IF(N$3&lt;=$O$2,$D258,$D258-($D258-$I$238)*MIN(N$3-$O$2,$Q$2)/$Q$2))</f>
        <v>3572.2491445227</v>
      </c>
      <c r="O258" s="15" t="n">
        <f aca="false">SUMPRODUCT(E258:N258,1/(1+$F$238)^$E$3:$N$3)*$E$2</f>
        <v>3916.71166978233</v>
      </c>
      <c r="P258" s="15" t="n">
        <f aca="false">N258*$E$2*(1+$I$238)/($F$238-$I$238)/(1+$F$238)^$N$3</f>
        <v>5129.51114119953</v>
      </c>
      <c r="Q258" s="15" t="n">
        <f aca="false">O258+P258</f>
        <v>9046.22281098186</v>
      </c>
      <c r="R258" s="15" t="n">
        <f aca="false">Q258-$G$2+$I$2</f>
        <v>7670.02281098186</v>
      </c>
      <c r="S258" s="42" t="n">
        <f aca="false">R258/$K$2</f>
        <v>204.479413782508</v>
      </c>
      <c r="T258" s="43" t="n">
        <f aca="false">S258-$M$2</f>
        <v>0.000608130681399643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0.0356979370117188</v>
      </c>
      <c r="C259" s="25" t="n">
        <f aca="false">IF(T258&gt;0,D258,C258)</f>
        <v>0.035700798034668</v>
      </c>
      <c r="D259" s="41" t="n">
        <f aca="false">(B259+C259)/2</f>
        <v>0.0356993675231934</v>
      </c>
      <c r="E259" s="15" t="n">
        <f aca="false">$C$2*(1+IF(E$3&lt;=$O$2,$D259,$D259-($D259-$I$238)*MIN(E$3-$O$2,$Q$2)/$Q$2))</f>
        <v>2661.74737453461</v>
      </c>
      <c r="F259" s="15" t="n">
        <f aca="false">E259*(1+IF(F$3&lt;=$O$2,$D259,$D259-($D259-$I$238)*MIN(F$3-$O$2,$Q$2)/$Q$2))</f>
        <v>2756.77007231201</v>
      </c>
      <c r="G259" s="15" t="n">
        <f aca="false">F259*(1+IF(G$3&lt;=$O$2,$D259,$D259-($D259-$I$238)*MIN(G$3-$O$2,$Q$2)/$Q$2))</f>
        <v>2855.18502030042</v>
      </c>
      <c r="H259" s="15" t="n">
        <f aca="false">G259*(1+IF(H$3&lt;=$O$2,$D259,$D259-($D259-$I$238)*MIN(H$3-$O$2,$Q$2)/$Q$2))</f>
        <v>2957.11331968684</v>
      </c>
      <c r="I259" s="15" t="n">
        <f aca="false">H259*(1+IF(I$3&lt;=$O$2,$D259,$D259-($D259-$I$238)*MIN(I$3-$O$2,$Q$2)/$Q$2))</f>
        <v>3062.68039489407</v>
      </c>
      <c r="J259" s="15" t="n">
        <f aca="false">I259*(1+IF(J$3&lt;=$O$2,$D259,$D259-($D259-$I$238)*MIN(J$3-$O$2,$Q$2)/$Q$2))</f>
        <v>3167.48376834789</v>
      </c>
      <c r="K259" s="15" t="n">
        <f aca="false">J259*(1+IF(K$3&lt;=$O$2,$D259,$D259-($D259-$I$238)*MIN(K$3-$O$2,$Q$2)/$Q$2))</f>
        <v>3271.18598490759</v>
      </c>
      <c r="L259" s="15" t="n">
        <f aca="false">K259*(1+IF(L$3&lt;=$O$2,$D259,$D259-($D259-$I$238)*MIN(L$3-$O$2,$Q$2)/$Q$2))</f>
        <v>3373.4424312161</v>
      </c>
      <c r="M259" s="15" t="n">
        <f aca="false">L259*(1+IF(M$3&lt;=$O$2,$D259,$D259-($D259-$I$238)*MIN(M$3-$O$2,$Q$2)/$Q$2))</f>
        <v>3473.90312009289</v>
      </c>
      <c r="N259" s="15" t="n">
        <f aca="false">M259*(1+IF(N$3&lt;=$O$2,$D259,$D259-($D259-$I$238)*MIN(N$3-$O$2,$Q$2)/$Q$2))</f>
        <v>3572.21457839152</v>
      </c>
      <c r="O259" s="15" t="n">
        <f aca="false">SUMPRODUCT(E259:N259,1/(1+$F$238)^$E$3:$N$3)*$E$2</f>
        <v>3916.68734457347</v>
      </c>
      <c r="P259" s="15" t="n">
        <f aca="false">N259*$E$2*(1+$I$238)/($F$238-$I$238)/(1+$F$238)^$N$3</f>
        <v>5129.46150654421</v>
      </c>
      <c r="Q259" s="15" t="n">
        <f aca="false">O259+P259</f>
        <v>9046.14885111769</v>
      </c>
      <c r="R259" s="15" t="n">
        <f aca="false">Q259-$G$2+$I$2</f>
        <v>7669.94885111769</v>
      </c>
      <c r="S259" s="42" t="n">
        <f aca="false">R259/$K$2</f>
        <v>204.47744204526</v>
      </c>
      <c r="T259" s="43" t="n">
        <f aca="false">S259-$M$2</f>
        <v>-0.00136360656654233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0.0356993675231934</v>
      </c>
      <c r="C260" s="25" t="n">
        <f aca="false">IF(T259&gt;0,D259,C259)</f>
        <v>0.035700798034668</v>
      </c>
      <c r="D260" s="41" t="n">
        <f aca="false">(B260+C260)/2</f>
        <v>0.0357000827789307</v>
      </c>
      <c r="E260" s="15" t="n">
        <f aca="false">$C$2*(1+IF(E$3&lt;=$O$2,$D260,$D260-($D260-$I$238)*MIN(E$3-$O$2,$Q$2)/$Q$2))</f>
        <v>2661.74921274185</v>
      </c>
      <c r="F260" s="15" t="n">
        <f aca="false">E260*(1+IF(F$3&lt;=$O$2,$D260,$D260-($D260-$I$238)*MIN(F$3-$O$2,$Q$2)/$Q$2))</f>
        <v>2756.77387997349</v>
      </c>
      <c r="G260" s="15" t="n">
        <f aca="false">F260*(1+IF(G$3&lt;=$O$2,$D260,$D260-($D260-$I$238)*MIN(G$3-$O$2,$Q$2)/$Q$2))</f>
        <v>2855.19093569134</v>
      </c>
      <c r="H260" s="15" t="n">
        <f aca="false">G260*(1+IF(H$3&lt;=$O$2,$D260,$D260-($D260-$I$238)*MIN(H$3-$O$2,$Q$2)/$Q$2))</f>
        <v>2957.12148844517</v>
      </c>
      <c r="I260" s="15" t="n">
        <f aca="false">H260*(1+IF(I$3&lt;=$O$2,$D260,$D260-($D260-$I$238)*MIN(I$3-$O$2,$Q$2)/$Q$2))</f>
        <v>3062.69097037002</v>
      </c>
      <c r="J260" s="15" t="n">
        <f aca="false">I260*(1+IF(J$3&lt;=$O$2,$D260,$D260-($D260-$I$238)*MIN(J$3-$O$2,$Q$2)/$Q$2))</f>
        <v>3167.49645819711</v>
      </c>
      <c r="K260" s="15" t="n">
        <f aca="false">J260*(1+IF(K$3&lt;=$O$2,$D260,$D260-($D260-$I$238)*MIN(K$3-$O$2,$Q$2)/$Q$2))</f>
        <v>3271.20044955966</v>
      </c>
      <c r="L260" s="15" t="n">
        <f aca="false">K260*(1+IF(L$3&lt;=$O$2,$D260,$D260-($D260-$I$238)*MIN(L$3-$O$2,$Q$2)/$Q$2))</f>
        <v>3373.45828392749</v>
      </c>
      <c r="M260" s="15" t="n">
        <f aca="false">L260*(1+IF(M$3&lt;=$O$2,$D260,$D260-($D260-$I$238)*MIN(M$3-$O$2,$Q$2)/$Q$2))</f>
        <v>3473.9199274731</v>
      </c>
      <c r="N260" s="15" t="n">
        <f aca="false">M260*(1+IF(N$3&lt;=$O$2,$D260,$D260-($D260-$I$238)*MIN(N$3-$O$2,$Q$2)/$Q$2))</f>
        <v>3572.23186142059</v>
      </c>
      <c r="O260" s="15" t="n">
        <f aca="false">SUMPRODUCT(E260:N260,1/(1+$F$238)^$E$3:$N$3)*$E$2</f>
        <v>3916.69950715876</v>
      </c>
      <c r="P260" s="15" t="n">
        <f aca="false">N260*$E$2*(1+$I$238)/($F$238-$I$238)/(1+$F$238)^$N$3</f>
        <v>5129.48632381943</v>
      </c>
      <c r="Q260" s="15" t="n">
        <f aca="false">O260+P260</f>
        <v>9046.18583097819</v>
      </c>
      <c r="R260" s="15" t="n">
        <f aca="false">Q260-$G$2+$I$2</f>
        <v>7669.98583097819</v>
      </c>
      <c r="S260" s="42" t="n">
        <f aca="false">R260/$K$2</f>
        <v>204.478427911975</v>
      </c>
      <c r="T260" s="43" t="n">
        <f aca="false">S260-$M$2</f>
        <v>-0.000377739850932812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0.0357000827789307</v>
      </c>
      <c r="C261" s="25" t="n">
        <f aca="false">IF(T260&gt;0,D260,C260)</f>
        <v>0.035700798034668</v>
      </c>
      <c r="D261" s="41" t="n">
        <f aca="false">(B261+C261)/2</f>
        <v>0.0357004404067993</v>
      </c>
      <c r="E261" s="15" t="n">
        <f aca="false">$C$2*(1+IF(E$3&lt;=$O$2,$D261,$D261-($D261-$I$238)*MIN(E$3-$O$2,$Q$2)/$Q$2))</f>
        <v>2661.75013184547</v>
      </c>
      <c r="F261" s="15" t="n">
        <f aca="false">E261*(1+IF(F$3&lt;=$O$2,$D261,$D261-($D261-$I$238)*MIN(F$3-$O$2,$Q$2)/$Q$2))</f>
        <v>2756.77578380521</v>
      </c>
      <c r="G261" s="15" t="n">
        <f aca="false">F261*(1+IF(G$3&lt;=$O$2,$D261,$D261-($D261-$I$238)*MIN(G$3-$O$2,$Q$2)/$Q$2))</f>
        <v>2855.19389338986</v>
      </c>
      <c r="H261" s="15" t="n">
        <f aca="false">G261*(1+IF(H$3&lt;=$O$2,$D261,$D261-($D261-$I$238)*MIN(H$3-$O$2,$Q$2)/$Q$2))</f>
        <v>2957.12557283068</v>
      </c>
      <c r="I261" s="15" t="n">
        <f aca="false">H261*(1+IF(I$3&lt;=$O$2,$D261,$D261-($D261-$I$238)*MIN(I$3-$O$2,$Q$2)/$Q$2))</f>
        <v>3062.69625811895</v>
      </c>
      <c r="J261" s="15" t="n">
        <f aca="false">I261*(1+IF(J$3&lt;=$O$2,$D261,$D261-($D261-$I$238)*MIN(J$3-$O$2,$Q$2)/$Q$2))</f>
        <v>3167.50280313758</v>
      </c>
      <c r="K261" s="15" t="n">
        <f aca="false">J261*(1+IF(K$3&lt;=$O$2,$D261,$D261-($D261-$I$238)*MIN(K$3-$O$2,$Q$2)/$Q$2))</f>
        <v>3271.20768190617</v>
      </c>
      <c r="L261" s="15" t="n">
        <f aca="false">K261*(1+IF(L$3&lt;=$O$2,$D261,$D261-($D261-$I$238)*MIN(L$3-$O$2,$Q$2)/$Q$2))</f>
        <v>3373.4662103074</v>
      </c>
      <c r="M261" s="15" t="n">
        <f aca="false">L261*(1+IF(M$3&lt;=$O$2,$D261,$D261-($D261-$I$238)*MIN(M$3-$O$2,$Q$2)/$Q$2))</f>
        <v>3473.92833118984</v>
      </c>
      <c r="N261" s="15" t="n">
        <f aca="false">M261*(1+IF(N$3&lt;=$O$2,$D261,$D261-($D261-$I$238)*MIN(N$3-$O$2,$Q$2)/$Q$2))</f>
        <v>3572.24050296251</v>
      </c>
      <c r="O261" s="15" t="n">
        <f aca="false">SUMPRODUCT(E261:N261,1/(1+$F$238)^$E$3:$N$3)*$E$2</f>
        <v>3916.70558846576</v>
      </c>
      <c r="P261" s="15" t="n">
        <f aca="false">N261*$E$2*(1+$I$238)/($F$238-$I$238)/(1+$F$238)^$N$3</f>
        <v>5129.49873249637</v>
      </c>
      <c r="Q261" s="15" t="n">
        <f aca="false">O261+P261</f>
        <v>9046.20432096213</v>
      </c>
      <c r="R261" s="15" t="n">
        <f aca="false">Q261-$G$2+$I$2</f>
        <v>7670.00432096213</v>
      </c>
      <c r="S261" s="42" t="n">
        <f aca="false">R261/$K$2</f>
        <v>204.478920846764</v>
      </c>
      <c r="T261" s="43" t="n">
        <f aca="false">S261-$M$2</f>
        <v>0.000115194938160812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0.0357000827789307</v>
      </c>
      <c r="C262" s="25" t="n">
        <f aca="false">IF(T261&gt;0,D261,C261)</f>
        <v>0.0357004404067993</v>
      </c>
      <c r="D262" s="41" t="n">
        <f aca="false">(B262+C262)/2</f>
        <v>0.035700261592865</v>
      </c>
      <c r="E262" s="15" t="n">
        <f aca="false">$C$2*(1+IF(E$3&lt;=$O$2,$D262,$D262-($D262-$I$238)*MIN(E$3-$O$2,$Q$2)/$Q$2))</f>
        <v>2661.74967229366</v>
      </c>
      <c r="F262" s="15" t="n">
        <f aca="false">E262*(1+IF(F$3&lt;=$O$2,$D262,$D262-($D262-$I$238)*MIN(F$3-$O$2,$Q$2)/$Q$2))</f>
        <v>2756.77483188927</v>
      </c>
      <c r="G262" s="15" t="n">
        <f aca="false">F262*(1+IF(G$3&lt;=$O$2,$D262,$D262-($D262-$I$238)*MIN(G$3-$O$2,$Q$2)/$Q$2))</f>
        <v>2855.19241454034</v>
      </c>
      <c r="H262" s="15" t="n">
        <f aca="false">G262*(1+IF(H$3&lt;=$O$2,$D262,$D262-($D262-$I$238)*MIN(H$3-$O$2,$Q$2)/$Q$2))</f>
        <v>2957.1235306374</v>
      </c>
      <c r="I262" s="15" t="n">
        <f aca="false">H262*(1+IF(I$3&lt;=$O$2,$D262,$D262-($D262-$I$238)*MIN(I$3-$O$2,$Q$2)/$Q$2))</f>
        <v>3062.69361424357</v>
      </c>
      <c r="J262" s="15" t="n">
        <f aca="false">I262*(1+IF(J$3&lt;=$O$2,$D262,$D262-($D262-$I$238)*MIN(J$3-$O$2,$Q$2)/$Q$2))</f>
        <v>3167.49963066602</v>
      </c>
      <c r="K262" s="15" t="n">
        <f aca="false">J262*(1+IF(K$3&lt;=$O$2,$D262,$D262-($D262-$I$238)*MIN(K$3-$O$2,$Q$2)/$Q$2))</f>
        <v>3271.20406573121</v>
      </c>
      <c r="L262" s="15" t="n">
        <f aca="false">K262*(1+IF(L$3&lt;=$O$2,$D262,$D262-($D262-$I$238)*MIN(L$3-$O$2,$Q$2)/$Q$2))</f>
        <v>3373.46224711542</v>
      </c>
      <c r="M262" s="15" t="n">
        <f aca="false">L262*(1+IF(M$3&lt;=$O$2,$D262,$D262-($D262-$I$238)*MIN(M$3-$O$2,$Q$2)/$Q$2))</f>
        <v>3473.92412932925</v>
      </c>
      <c r="N262" s="15" t="n">
        <f aca="false">M262*(1+IF(N$3&lt;=$O$2,$D262,$D262-($D262-$I$238)*MIN(N$3-$O$2,$Q$2)/$Q$2))</f>
        <v>3572.23618218927</v>
      </c>
      <c r="O262" s="15" t="n">
        <f aca="false">SUMPRODUCT(E262:N262,1/(1+$F$238)^$E$3:$N$3)*$E$2</f>
        <v>3916.70254781106</v>
      </c>
      <c r="P262" s="15" t="n">
        <f aca="false">N262*$E$2*(1+$I$238)/($F$238-$I$238)/(1+$F$238)^$N$3</f>
        <v>5129.49252815462</v>
      </c>
      <c r="Q262" s="15" t="n">
        <f aca="false">O262+P262</f>
        <v>9046.19507596568</v>
      </c>
      <c r="R262" s="15" t="n">
        <f aca="false">Q262-$G$2+$I$2</f>
        <v>7669.99507596568</v>
      </c>
      <c r="S262" s="42" t="n">
        <f aca="false">R262/$K$2</f>
        <v>204.47867437925</v>
      </c>
      <c r="T262" s="43" t="n">
        <f aca="false">S262-$M$2</f>
        <v>-0.000131272575657704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0.035700261592865</v>
      </c>
      <c r="C263" s="25" t="n">
        <f aca="false">IF(T262&gt;0,D262,C262)</f>
        <v>0.0357004404067993</v>
      </c>
      <c r="D263" s="41" t="n">
        <f aca="false">(B263+C263)/2</f>
        <v>0.0357003509998322</v>
      </c>
      <c r="E263" s="15" t="n">
        <f aca="false">$C$2*(1+IF(E$3&lt;=$O$2,$D263,$D263-($D263-$I$238)*MIN(E$3-$O$2,$Q$2)/$Q$2))</f>
        <v>2661.74990206957</v>
      </c>
      <c r="F263" s="15" t="n">
        <f aca="false">E263*(1+IF(F$3&lt;=$O$2,$D263,$D263-($D263-$I$238)*MIN(F$3-$O$2,$Q$2)/$Q$2))</f>
        <v>2756.77530784722</v>
      </c>
      <c r="G263" s="15" t="n">
        <f aca="false">F263*(1+IF(G$3&lt;=$O$2,$D263,$D263-($D263-$I$238)*MIN(G$3-$O$2,$Q$2)/$Q$2))</f>
        <v>2855.19315396504</v>
      </c>
      <c r="H263" s="15" t="n">
        <f aca="false">G263*(1+IF(H$3&lt;=$O$2,$D263,$D263-($D263-$I$238)*MIN(H$3-$O$2,$Q$2)/$Q$2))</f>
        <v>2957.12455173391</v>
      </c>
      <c r="I263" s="15" t="n">
        <f aca="false">H263*(1+IF(I$3&lt;=$O$2,$D263,$D263-($D263-$I$238)*MIN(I$3-$O$2,$Q$2)/$Q$2))</f>
        <v>3062.69493618103</v>
      </c>
      <c r="J263" s="15" t="n">
        <f aca="false">I263*(1+IF(J$3&lt;=$O$2,$D263,$D263-($D263-$I$238)*MIN(J$3-$O$2,$Q$2)/$Q$2))</f>
        <v>3167.50121690147</v>
      </c>
      <c r="K263" s="15" t="n">
        <f aca="false">J263*(1+IF(K$3&lt;=$O$2,$D263,$D263-($D263-$I$238)*MIN(K$3-$O$2,$Q$2)/$Q$2))</f>
        <v>3271.20587381826</v>
      </c>
      <c r="L263" s="15" t="n">
        <f aca="false">K263*(1+IF(L$3&lt;=$O$2,$D263,$D263-($D263-$I$238)*MIN(L$3-$O$2,$Q$2)/$Q$2))</f>
        <v>3373.46422871091</v>
      </c>
      <c r="M263" s="15" t="n">
        <f aca="false">L263*(1+IF(M$3&lt;=$O$2,$D263,$D263-($D263-$I$238)*MIN(M$3-$O$2,$Q$2)/$Q$2))</f>
        <v>3473.92623025899</v>
      </c>
      <c r="N263" s="15" t="n">
        <f aca="false">M263*(1+IF(N$3&lt;=$O$2,$D263,$D263-($D263-$I$238)*MIN(N$3-$O$2,$Q$2)/$Q$2))</f>
        <v>3572.23834257532</v>
      </c>
      <c r="O263" s="15" t="n">
        <f aca="false">SUMPRODUCT(E263:N263,1/(1+$F$238)^$E$3:$N$3)*$E$2</f>
        <v>3916.70406813811</v>
      </c>
      <c r="P263" s="15" t="n">
        <f aca="false">N263*$E$2*(1+$I$238)/($F$238-$I$238)/(1+$F$238)^$N$3</f>
        <v>5129.49563032467</v>
      </c>
      <c r="Q263" s="15" t="n">
        <f aca="false">O263+P263</f>
        <v>9046.19969846279</v>
      </c>
      <c r="R263" s="15" t="n">
        <f aca="false">Q263-$G$2+$I$2</f>
        <v>7669.99969846279</v>
      </c>
      <c r="S263" s="42" t="n">
        <f aca="false">R263/$K$2</f>
        <v>204.478797612978</v>
      </c>
      <c r="T263" s="43" t="n">
        <f aca="false">S263-$M$2</f>
        <v>-8.0388485343974E-006</v>
      </c>
    </row>
    <row r="265" customFormat="false" ht="15" hidden="false" customHeight="false" outlineLevel="0" collapsed="false">
      <c r="A265" s="38" t="s">
        <v>190</v>
      </c>
      <c r="E265" s="5" t="s">
        <v>11</v>
      </c>
      <c r="F265" s="12" t="n">
        <f aca="false">Sensitivity!$B$11</f>
        <v>0.089183337553844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162</v>
      </c>
      <c r="B266" s="28" t="s">
        <v>163</v>
      </c>
      <c r="C266" s="28" t="s">
        <v>164</v>
      </c>
      <c r="D266" s="28" t="s">
        <v>165</v>
      </c>
      <c r="E266" s="28" t="s">
        <v>166</v>
      </c>
      <c r="F266" s="28" t="s">
        <v>167</v>
      </c>
      <c r="G266" s="28" t="s">
        <v>168</v>
      </c>
      <c r="H266" s="28" t="s">
        <v>169</v>
      </c>
      <c r="I266" s="28" t="s">
        <v>170</v>
      </c>
      <c r="J266" s="28" t="s">
        <v>171</v>
      </c>
      <c r="K266" s="28" t="s">
        <v>172</v>
      </c>
      <c r="L266" s="28" t="s">
        <v>173</v>
      </c>
      <c r="M266" s="28" t="s">
        <v>174</v>
      </c>
      <c r="N266" s="28" t="s">
        <v>175</v>
      </c>
      <c r="O266" s="28" t="s">
        <v>176</v>
      </c>
      <c r="P266" s="28" t="s">
        <v>177</v>
      </c>
      <c r="Q266" s="28" t="s">
        <v>178</v>
      </c>
      <c r="R266" s="28" t="s">
        <v>179</v>
      </c>
      <c r="S266" s="28" t="s">
        <v>180</v>
      </c>
      <c r="T266" s="28" t="s">
        <v>181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3212.5</v>
      </c>
      <c r="F267" s="15" t="n">
        <f aca="false">E267*(1+IF(F$3&lt;=$O$2,$D267,$D267-($D267-$I$265)*MIN(F$3-$O$2,$Q$2)/$Q$2))</f>
        <v>4015.625</v>
      </c>
      <c r="G267" s="15" t="n">
        <f aca="false">F267*(1+IF(G$3&lt;=$O$2,$D267,$D267-($D267-$I$265)*MIN(G$3-$O$2,$Q$2)/$Q$2))</f>
        <v>5019.53125</v>
      </c>
      <c r="H267" s="15" t="n">
        <f aca="false">G267*(1+IF(H$3&lt;=$O$2,$D267,$D267-($D267-$I$265)*MIN(H$3-$O$2,$Q$2)/$Q$2))</f>
        <v>6274.4140625</v>
      </c>
      <c r="I267" s="15" t="n">
        <f aca="false">H267*(1+IF(I$3&lt;=$O$2,$D267,$D267-($D267-$I$265)*MIN(I$3-$O$2,$Q$2)/$Q$2))</f>
        <v>7843.017578125</v>
      </c>
      <c r="J267" s="15" t="n">
        <f aca="false">I267*(1+IF(J$3&lt;=$O$2,$D267,$D267-($D267-$I$265)*MIN(J$3-$O$2,$Q$2)/$Q$2))</f>
        <v>9463.85559082031</v>
      </c>
      <c r="K267" s="15" t="n">
        <f aca="false">J267*(1+IF(K$3&lt;=$O$2,$D267,$D267-($D267-$I$265)*MIN(K$3-$O$2,$Q$2)/$Q$2))</f>
        <v>11009.4924859131</v>
      </c>
      <c r="L267" s="15" t="n">
        <f aca="false">K267*(1+IF(L$3&lt;=$O$2,$D267,$D267-($D267-$I$265)*MIN(L$3-$O$2,$Q$2)/$Q$2))</f>
        <v>12330.4113943729</v>
      </c>
      <c r="M267" s="15" t="n">
        <f aca="false">L267*(1+IF(M$3&lt;=$O$2,$D267,$D267-($D267-$I$265)*MIN(M$3-$O$2,$Q$2)/$Q$2))</f>
        <v>13275.4141236377</v>
      </c>
      <c r="N267" s="15" t="n">
        <f aca="false">M267*(1+IF(N$3&lt;=$O$2,$D267,$D267-($D267-$I$265)*MIN(N$3-$O$2,$Q$2)/$Q$2))</f>
        <v>13717.4854139548</v>
      </c>
      <c r="O267" s="15" t="n">
        <f aca="false">SUMPRODUCT(E267:N267,1/(1+$F$265)^$E$3:$N$3)*$E$2</f>
        <v>9935.15676691455</v>
      </c>
      <c r="P267" s="15" t="n">
        <f aca="false">N267*$E$2*(1+$I$265)/($F$265-$I$265)/(1+$F$265)^$N$3</f>
        <v>21564.105767296</v>
      </c>
      <c r="Q267" s="15" t="n">
        <f aca="false">O267+P267</f>
        <v>31499.2625342105</v>
      </c>
      <c r="R267" s="15" t="n">
        <f aca="false">Q267-$G$2+$I$2</f>
        <v>30123.0625342105</v>
      </c>
      <c r="S267" s="42" t="n">
        <f aca="false">R267/$K$2</f>
        <v>803.067516241283</v>
      </c>
      <c r="T267" s="43" t="n">
        <f aca="false">S267-$M$2</f>
        <v>598.588710589457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2248.75</v>
      </c>
      <c r="F268" s="15" t="n">
        <f aca="false">E268*(1+IF(F$3&lt;=$O$2,$D268,$D268-($D268-$I$265)*MIN(F$3-$O$2,$Q$2)/$Q$2))</f>
        <v>1967.65625</v>
      </c>
      <c r="G268" s="15" t="n">
        <f aca="false">F268*(1+IF(G$3&lt;=$O$2,$D268,$D268-($D268-$I$265)*MIN(G$3-$O$2,$Q$2)/$Q$2))</f>
        <v>1721.69921875</v>
      </c>
      <c r="H268" s="15" t="n">
        <f aca="false">G268*(1+IF(H$3&lt;=$O$2,$D268,$D268-($D268-$I$265)*MIN(H$3-$O$2,$Q$2)/$Q$2))</f>
        <v>1506.48681640625</v>
      </c>
      <c r="I268" s="15" t="n">
        <f aca="false">H268*(1+IF(I$3&lt;=$O$2,$D268,$D268-($D268-$I$265)*MIN(I$3-$O$2,$Q$2)/$Q$2))</f>
        <v>1318.17596435547</v>
      </c>
      <c r="J268" s="15" t="n">
        <f aca="false">I268*(1+IF(J$3&lt;=$O$2,$D268,$D268-($D268-$I$265)*MIN(J$3-$O$2,$Q$2)/$Q$2))</f>
        <v>1195.13741984253</v>
      </c>
      <c r="K268" s="15" t="n">
        <f aca="false">J268*(1+IF(K$3&lt;=$O$2,$D268,$D268-($D268-$I$265)*MIN(K$3-$O$2,$Q$2)/$Q$2))</f>
        <v>1121.42134378664</v>
      </c>
      <c r="L268" s="15" t="n">
        <f aca="false">K268*(1+IF(L$3&lt;=$O$2,$D268,$D268-($D268-$I$265)*MIN(L$3-$O$2,$Q$2)/$Q$2))</f>
        <v>1087.75627504617</v>
      </c>
      <c r="M268" s="15" t="n">
        <f aca="false">L268*(1+IF(M$3&lt;=$O$2,$D268,$D268-($D268-$I$265)*MIN(M$3-$O$2,$Q$2)/$Q$2))</f>
        <v>1089.54019533724</v>
      </c>
      <c r="N268" s="15" t="n">
        <f aca="false">M268*(1+IF(N$3&lt;=$O$2,$D268,$D268-($D268-$I$265)*MIN(N$3-$O$2,$Q$2)/$Q$2))</f>
        <v>1125.82188384197</v>
      </c>
      <c r="O268" s="15" t="n">
        <f aca="false">SUMPRODUCT(E268:N268,1/(1+$F$265)^$E$3:$N$3)*$E$2</f>
        <v>1968.09491096358</v>
      </c>
      <c r="P268" s="15" t="n">
        <f aca="false">N268*$E$2*(1+$I$265)/($F$265-$I$265)/(1+$F$265)^$N$3</f>
        <v>1769.80995027028</v>
      </c>
      <c r="Q268" s="15" t="n">
        <f aca="false">O268+P268</f>
        <v>3737.90486123387</v>
      </c>
      <c r="R268" s="15" t="n">
        <f aca="false">Q268-$G$2+$I$2</f>
        <v>2361.70486123387</v>
      </c>
      <c r="S268" s="42" t="n">
        <f aca="false">R268/$K$2</f>
        <v>62.9620064311882</v>
      </c>
      <c r="T268" s="43" t="n">
        <f aca="false">S268-$M$2</f>
        <v>-141.516799220638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2730.625</v>
      </c>
      <c r="F269" s="15" t="n">
        <f aca="false">E269*(1+IF(F$3&lt;=$O$2,$D269,$D269-($D269-$I$265)*MIN(F$3-$O$2,$Q$2)/$Q$2))</f>
        <v>2901.2890625</v>
      </c>
      <c r="G269" s="15" t="n">
        <f aca="false">F269*(1+IF(G$3&lt;=$O$2,$D269,$D269-($D269-$I$265)*MIN(G$3-$O$2,$Q$2)/$Q$2))</f>
        <v>3082.61962890625</v>
      </c>
      <c r="H269" s="15" t="n">
        <f aca="false">G269*(1+IF(H$3&lt;=$O$2,$D269,$D269-($D269-$I$265)*MIN(H$3-$O$2,$Q$2)/$Q$2))</f>
        <v>3275.28335571289</v>
      </c>
      <c r="I269" s="15" t="n">
        <f aca="false">H269*(1+IF(I$3&lt;=$O$2,$D269,$D269-($D269-$I$265)*MIN(I$3-$O$2,$Q$2)/$Q$2))</f>
        <v>3479.98856544495</v>
      </c>
      <c r="J269" s="15" t="n">
        <f aca="false">I269*(1+IF(J$3&lt;=$O$2,$D269,$D269-($D269-$I$265)*MIN(J$3-$O$2,$Q$2)/$Q$2))</f>
        <v>3677.16471756306</v>
      </c>
      <c r="K269" s="15" t="n">
        <f aca="false">J269*(1+IF(K$3&lt;=$O$2,$D269,$D269-($D269-$I$265)*MIN(K$3-$O$2,$Q$2)/$Q$2))</f>
        <v>3864.03822850961</v>
      </c>
      <c r="L269" s="15" t="n">
        <f aca="false">K269*(1+IF(L$3&lt;=$O$2,$D269,$D269-($D269-$I$265)*MIN(L$3-$O$2,$Q$2)/$Q$2))</f>
        <v>4037.84266802797</v>
      </c>
      <c r="M269" s="15" t="n">
        <f aca="false">L269*(1+IF(M$3&lt;=$O$2,$D269,$D269-($D269-$I$265)*MIN(M$3-$O$2,$Q$2)/$Q$2))</f>
        <v>4195.88383005459</v>
      </c>
      <c r="N269" s="15" t="n">
        <f aca="false">M269*(1+IF(N$3&lt;=$O$2,$D269,$D269-($D269-$I$265)*MIN(N$3-$O$2,$Q$2)/$Q$2))</f>
        <v>4335.60676159541</v>
      </c>
      <c r="O269" s="15" t="n">
        <f aca="false">SUMPRODUCT(E269:N269,1/(1+$F$265)^$E$3:$N$3)*$E$2</f>
        <v>4413.24520972496</v>
      </c>
      <c r="P269" s="15" t="n">
        <f aca="false">N269*$E$2*(1+$I$265)/($F$265-$I$265)/(1+$F$265)^$N$3</f>
        <v>6815.64295139224</v>
      </c>
      <c r="Q269" s="15" t="n">
        <f aca="false">O269+P269</f>
        <v>11228.8881611172</v>
      </c>
      <c r="R269" s="15" t="n">
        <f aca="false">Q269-$G$2+$I$2</f>
        <v>9852.68816111719</v>
      </c>
      <c r="S269" s="42" t="n">
        <f aca="false">R269/$K$2</f>
        <v>262.668306081503</v>
      </c>
      <c r="T269" s="43" t="n">
        <f aca="false">S269-$M$2</f>
        <v>58.1895004296773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2489.6875</v>
      </c>
      <c r="F270" s="15" t="n">
        <f aca="false">E270*(1+IF(F$3&lt;=$O$2,$D270,$D270-($D270-$I$265)*MIN(F$3-$O$2,$Q$2)/$Q$2))</f>
        <v>2411.884765625</v>
      </c>
      <c r="G270" s="15" t="n">
        <f aca="false">F270*(1+IF(G$3&lt;=$O$2,$D270,$D270-($D270-$I$265)*MIN(G$3-$O$2,$Q$2)/$Q$2))</f>
        <v>2336.51336669922</v>
      </c>
      <c r="H270" s="15" t="n">
        <f aca="false">G270*(1+IF(H$3&lt;=$O$2,$D270,$D270-($D270-$I$265)*MIN(H$3-$O$2,$Q$2)/$Q$2))</f>
        <v>2263.49732398987</v>
      </c>
      <c r="I270" s="15" t="n">
        <f aca="false">H270*(1+IF(I$3&lt;=$O$2,$D270,$D270-($D270-$I$265)*MIN(I$3-$O$2,$Q$2)/$Q$2))</f>
        <v>2192.76303261519</v>
      </c>
      <c r="J270" s="15" t="n">
        <f aca="false">I270*(1+IF(J$3&lt;=$O$2,$D270,$D270-($D270-$I$265)*MIN(J$3-$O$2,$Q$2)/$Q$2))</f>
        <v>2152.54775859702</v>
      </c>
      <c r="K270" s="15" t="n">
        <f aca="false">J270*(1+IF(K$3&lt;=$O$2,$D270,$D270-($D270-$I$265)*MIN(K$3-$O$2,$Q$2)/$Q$2))</f>
        <v>2140.85942426784</v>
      </c>
      <c r="L270" s="15" t="n">
        <f aca="false">K270*(1+IF(L$3&lt;=$O$2,$D270,$D270-($D270-$I$265)*MIN(L$3-$O$2,$Q$2)/$Q$2))</f>
        <v>2156.87305276136</v>
      </c>
      <c r="M270" s="15" t="n">
        <f aca="false">L270*(1+IF(M$3&lt;=$O$2,$D270,$D270-($D270-$I$265)*MIN(M$3-$O$2,$Q$2)/$Q$2))</f>
        <v>2200.85169430717</v>
      </c>
      <c r="N270" s="15" t="n">
        <f aca="false">M270*(1+IF(N$3&lt;=$O$2,$D270,$D270-($D270-$I$265)*MIN(N$3-$O$2,$Q$2)/$Q$2))</f>
        <v>2274.1400557276</v>
      </c>
      <c r="O270" s="15" t="n">
        <f aca="false">SUMPRODUCT(E270:N270,1/(1+$F$265)^$E$3:$N$3)*$E$2</f>
        <v>2938.48447670662</v>
      </c>
      <c r="P270" s="15" t="n">
        <f aca="false">N270*$E$2*(1+$I$265)/($F$265-$I$265)/(1+$F$265)^$N$3</f>
        <v>3574.98442400136</v>
      </c>
      <c r="Q270" s="15" t="n">
        <f aca="false">O270+P270</f>
        <v>6513.46890070798</v>
      </c>
      <c r="R270" s="15" t="n">
        <f aca="false">Q270-$G$2+$I$2</f>
        <v>5137.26890070798</v>
      </c>
      <c r="S270" s="42" t="n">
        <f aca="false">R270/$K$2</f>
        <v>136.957315401439</v>
      </c>
      <c r="T270" s="43" t="n">
        <f aca="false">S270-$M$2</f>
        <v>-67.5214902503871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41" t="n">
        <f aca="false">(B271+C271)/2</f>
        <v>0.015625</v>
      </c>
      <c r="E271" s="15" t="n">
        <f aca="false">$C$2*(1+IF(E$3&lt;=$O$2,$D271,$D271-($D271-$I$265)*MIN(E$3-$O$2,$Q$2)/$Q$2))</f>
        <v>2610.15625</v>
      </c>
      <c r="F271" s="15" t="n">
        <f aca="false">E271*(1+IF(F$3&lt;=$O$2,$D271,$D271-($D271-$I$265)*MIN(F$3-$O$2,$Q$2)/$Q$2))</f>
        <v>2650.93994140625</v>
      </c>
      <c r="G271" s="15" t="n">
        <f aca="false">F271*(1+IF(G$3&lt;=$O$2,$D271,$D271-($D271-$I$265)*MIN(G$3-$O$2,$Q$2)/$Q$2))</f>
        <v>2692.36087799072</v>
      </c>
      <c r="H271" s="15" t="n">
        <f aca="false">G271*(1+IF(H$3&lt;=$O$2,$D271,$D271-($D271-$I$265)*MIN(H$3-$O$2,$Q$2)/$Q$2))</f>
        <v>2734.42901670933</v>
      </c>
      <c r="I271" s="15" t="n">
        <f aca="false">H271*(1+IF(I$3&lt;=$O$2,$D271,$D271-($D271-$I$265)*MIN(I$3-$O$2,$Q$2)/$Q$2))</f>
        <v>2777.15447009541</v>
      </c>
      <c r="J271" s="15" t="n">
        <f aca="false">I271*(1+IF(J$3&lt;=$O$2,$D271,$D271-($D271-$I$265)*MIN(J$3-$O$2,$Q$2)/$Q$2))</f>
        <v>2830.36474974244</v>
      </c>
      <c r="K271" s="15" t="n">
        <f aca="false">J271*(1+IF(K$3&lt;=$O$2,$D271,$D271-($D271-$I$265)*MIN(K$3-$O$2,$Q$2)/$Q$2))</f>
        <v>2894.59987773784</v>
      </c>
      <c r="L271" s="15" t="n">
        <f aca="false">K271*(1+IF(L$3&lt;=$O$2,$D271,$D271-($D271-$I$265)*MIN(L$3-$O$2,$Q$2)/$Q$2))</f>
        <v>2970.52523253091</v>
      </c>
      <c r="M271" s="15" t="n">
        <f aca="false">L271*(1+IF(M$3&lt;=$O$2,$D271,$D271-($D271-$I$265)*MIN(M$3-$O$2,$Q$2)/$Q$2))</f>
        <v>3058.94291607719</v>
      </c>
      <c r="N271" s="15" t="n">
        <f aca="false">M271*(1+IF(N$3&lt;=$O$2,$D271,$D271-($D271-$I$265)*MIN(N$3-$O$2,$Q$2)/$Q$2))</f>
        <v>3160.80571518256</v>
      </c>
      <c r="O271" s="15" t="n">
        <f aca="false">SUMPRODUCT(E271:N271,1/(1+$F$265)^$E$3:$N$3)*$E$2</f>
        <v>3599.66489037639</v>
      </c>
      <c r="P271" s="15" t="n">
        <f aca="false">N271*$E$2*(1+$I$265)/($F$265-$I$265)/(1+$F$265)^$N$3</f>
        <v>4968.83697669043</v>
      </c>
      <c r="Q271" s="15" t="n">
        <f aca="false">O271+P271</f>
        <v>8568.50186706682</v>
      </c>
      <c r="R271" s="15" t="n">
        <f aca="false">Q271-$G$2+$I$2</f>
        <v>7192.30186706682</v>
      </c>
      <c r="S271" s="42" t="n">
        <f aca="false">R271/$K$2</f>
        <v>191.743584832493</v>
      </c>
      <c r="T271" s="43" t="n">
        <f aca="false">S271-$M$2</f>
        <v>-12.7352208193329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0.015625</v>
      </c>
      <c r="C272" s="25" t="n">
        <f aca="false">IF(T271&gt;0,D271,C271)</f>
        <v>0.0625</v>
      </c>
      <c r="D272" s="41" t="n">
        <f aca="false">(B272+C272)/2</f>
        <v>0.0390625</v>
      </c>
      <c r="E272" s="15" t="n">
        <f aca="false">$C$2*(1+IF(E$3&lt;=$O$2,$D272,$D272-($D272-$I$265)*MIN(E$3-$O$2,$Q$2)/$Q$2))</f>
        <v>2670.390625</v>
      </c>
      <c r="F272" s="15" t="n">
        <f aca="false">E272*(1+IF(F$3&lt;=$O$2,$D272,$D272-($D272-$I$265)*MIN(F$3-$O$2,$Q$2)/$Q$2))</f>
        <v>2774.70275878906</v>
      </c>
      <c r="G272" s="15" t="n">
        <f aca="false">F272*(1+IF(G$3&lt;=$O$2,$D272,$D272-($D272-$I$265)*MIN(G$3-$O$2,$Q$2)/$Q$2))</f>
        <v>2883.08958530426</v>
      </c>
      <c r="H272" s="15" t="n">
        <f aca="false">G272*(1+IF(H$3&lt;=$O$2,$D272,$D272-($D272-$I$265)*MIN(H$3-$O$2,$Q$2)/$Q$2))</f>
        <v>2995.71027223021</v>
      </c>
      <c r="I272" s="15" t="n">
        <f aca="false">H272*(1+IF(I$3&lt;=$O$2,$D272,$D272-($D272-$I$265)*MIN(I$3-$O$2,$Q$2)/$Q$2))</f>
        <v>3112.7302047392</v>
      </c>
      <c r="J272" s="15" t="n">
        <f aca="false">I272*(1+IF(J$3&lt;=$O$2,$D272,$D272-($D272-$I$265)*MIN(J$3-$O$2,$Q$2)/$Q$2))</f>
        <v>3230.73380680086</v>
      </c>
      <c r="K272" s="15" t="n">
        <f aca="false">J272*(1+IF(K$3&lt;=$O$2,$D272,$D272-($D272-$I$265)*MIN(K$3-$O$2,$Q$2)/$Q$2))</f>
        <v>3349.48750470435</v>
      </c>
      <c r="L272" s="15" t="n">
        <f aca="false">K272*(1+IF(L$3&lt;=$O$2,$D272,$D272-($D272-$I$265)*MIN(L$3-$O$2,$Q$2)/$Q$2))</f>
        <v>3468.74600730935</v>
      </c>
      <c r="M272" s="15" t="n">
        <f aca="false">L272*(1+IF(M$3&lt;=$O$2,$D272,$D272-($D272-$I$265)*MIN(M$3-$O$2,$Q$2)/$Q$2))</f>
        <v>3588.25297912617</v>
      </c>
      <c r="N272" s="15" t="n">
        <f aca="false">M272*(1+IF(N$3&lt;=$O$2,$D272,$D272-($D272-$I$265)*MIN(N$3-$O$2,$Q$2)/$Q$2))</f>
        <v>3707.74180333107</v>
      </c>
      <c r="O272" s="15" t="n">
        <f aca="false">SUMPRODUCT(E272:N272,1/(1+$F$265)^$E$3:$N$3)*$E$2</f>
        <v>3985.50075494811</v>
      </c>
      <c r="P272" s="15" t="n">
        <f aca="false">N272*$E$2*(1+$I$265)/($F$265-$I$265)/(1+$F$265)^$N$3</f>
        <v>5828.62922700968</v>
      </c>
      <c r="Q272" s="15" t="n">
        <f aca="false">O272+P272</f>
        <v>9814.12998195779</v>
      </c>
      <c r="R272" s="15" t="n">
        <f aca="false">Q272-$G$2+$I$2</f>
        <v>8437.92998195779</v>
      </c>
      <c r="S272" s="42" t="n">
        <f aca="false">R272/$K$2</f>
        <v>224.951479124441</v>
      </c>
      <c r="T272" s="43" t="n">
        <f aca="false">S272-$M$2</f>
        <v>20.4726734726151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0.015625</v>
      </c>
      <c r="C273" s="25" t="n">
        <f aca="false">IF(T272&gt;0,D272,C272)</f>
        <v>0.0390625</v>
      </c>
      <c r="D273" s="41" t="n">
        <f aca="false">(B273+C273)/2</f>
        <v>0.02734375</v>
      </c>
      <c r="E273" s="15" t="n">
        <f aca="false">$C$2*(1+IF(E$3&lt;=$O$2,$D273,$D273-($D273-$I$265)*MIN(E$3-$O$2,$Q$2)/$Q$2))</f>
        <v>2640.2734375</v>
      </c>
      <c r="F273" s="15" t="n">
        <f aca="false">E273*(1+IF(F$3&lt;=$O$2,$D273,$D273-($D273-$I$265)*MIN(F$3-$O$2,$Q$2)/$Q$2))</f>
        <v>2712.46841430664</v>
      </c>
      <c r="G273" s="15" t="n">
        <f aca="false">F273*(1+IF(G$3&lt;=$O$2,$D273,$D273-($D273-$I$265)*MIN(G$3-$O$2,$Q$2)/$Q$2))</f>
        <v>2786.63747251034</v>
      </c>
      <c r="H273" s="15" t="n">
        <f aca="false">G273*(1+IF(H$3&lt;=$O$2,$D273,$D273-($D273-$I$265)*MIN(H$3-$O$2,$Q$2)/$Q$2))</f>
        <v>2862.83459089929</v>
      </c>
      <c r="I273" s="15" t="n">
        <f aca="false">H273*(1+IF(I$3&lt;=$O$2,$D273,$D273-($D273-$I$265)*MIN(I$3-$O$2,$Q$2)/$Q$2))</f>
        <v>2941.1152242442</v>
      </c>
      <c r="J273" s="15" t="n">
        <f aca="false">I273*(1+IF(J$3&lt;=$O$2,$D273,$D273-($D273-$I$265)*MIN(J$3-$O$2,$Q$2)/$Q$2))</f>
        <v>3025.039947168</v>
      </c>
      <c r="K273" s="15" t="n">
        <f aca="false">J273*(1+IF(K$3&lt;=$O$2,$D273,$D273-($D273-$I$265)*MIN(K$3-$O$2,$Q$2)/$Q$2))</f>
        <v>3114.96304089751</v>
      </c>
      <c r="L273" s="15" t="n">
        <f aca="false">K273*(1+IF(L$3&lt;=$O$2,$D273,$D273-($D273-$I$265)*MIN(L$3-$O$2,$Q$2)/$Q$2))</f>
        <v>3211.26991071445</v>
      </c>
      <c r="M273" s="15" t="n">
        <f aca="false">L273*(1+IF(M$3&lt;=$O$2,$D273,$D273-($D273-$I$265)*MIN(M$3-$O$2,$Q$2)/$Q$2))</f>
        <v>3314.37977346011</v>
      </c>
      <c r="N273" s="15" t="n">
        <f aca="false">M273*(1+IF(N$3&lt;=$O$2,$D273,$D273-($D273-$I$265)*MIN(N$3-$O$2,$Q$2)/$Q$2))</f>
        <v>3424.74861991633</v>
      </c>
      <c r="O273" s="15" t="n">
        <f aca="false">SUMPRODUCT(E273:N273,1/(1+$F$265)^$E$3:$N$3)*$E$2</f>
        <v>3787.59499555467</v>
      </c>
      <c r="P273" s="15" t="n">
        <f aca="false">N273*$E$2*(1+$I$265)/($F$265-$I$265)/(1+$F$265)^$N$3</f>
        <v>5383.75943094842</v>
      </c>
      <c r="Q273" s="15" t="n">
        <f aca="false">O273+P273</f>
        <v>9171.3544265031</v>
      </c>
      <c r="R273" s="15" t="n">
        <f aca="false">Q273-$G$2+$I$2</f>
        <v>7795.1544265031</v>
      </c>
      <c r="S273" s="42" t="n">
        <f aca="false">R273/$K$2</f>
        <v>207.815367275476</v>
      </c>
      <c r="T273" s="43" t="n">
        <f aca="false">S273-$M$2</f>
        <v>3.33656162364974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0.015625</v>
      </c>
      <c r="C274" s="25" t="n">
        <f aca="false">IF(T273&gt;0,D273,C273)</f>
        <v>0.02734375</v>
      </c>
      <c r="D274" s="41" t="n">
        <f aca="false">(B274+C274)/2</f>
        <v>0.021484375</v>
      </c>
      <c r="E274" s="15" t="n">
        <f aca="false">$C$2*(1+IF(E$3&lt;=$O$2,$D274,$D274-($D274-$I$265)*MIN(E$3-$O$2,$Q$2)/$Q$2))</f>
        <v>2625.21484375</v>
      </c>
      <c r="F274" s="15" t="n">
        <f aca="false">E274*(1+IF(F$3&lt;=$O$2,$D274,$D274-($D274-$I$265)*MIN(F$3-$O$2,$Q$2)/$Q$2))</f>
        <v>2681.61594390869</v>
      </c>
      <c r="G274" s="15" t="n">
        <f aca="false">F274*(1+IF(G$3&lt;=$O$2,$D274,$D274-($D274-$I$265)*MIN(G$3-$O$2,$Q$2)/$Q$2))</f>
        <v>2739.2287864536</v>
      </c>
      <c r="H274" s="15" t="n">
        <f aca="false">G274*(1+IF(H$3&lt;=$O$2,$D274,$D274-($D274-$I$265)*MIN(H$3-$O$2,$Q$2)/$Q$2))</f>
        <v>2798.07940491257</v>
      </c>
      <c r="I274" s="15" t="n">
        <f aca="false">H274*(1+IF(I$3&lt;=$O$2,$D274,$D274-($D274-$I$265)*MIN(I$3-$O$2,$Q$2)/$Q$2))</f>
        <v>2858.19439212749</v>
      </c>
      <c r="J274" s="15" t="n">
        <f aca="false">I274*(1+IF(J$3&lt;=$O$2,$D274,$D274-($D274-$I$265)*MIN(J$3-$O$2,$Q$2)/$Q$2))</f>
        <v>2926.35518289375</v>
      </c>
      <c r="K274" s="15" t="n">
        <f aca="false">J274*(1+IF(K$3&lt;=$O$2,$D274,$D274-($D274-$I$265)*MIN(K$3-$O$2,$Q$2)/$Q$2))</f>
        <v>3003.05678120938</v>
      </c>
      <c r="L274" s="15" t="n">
        <f aca="false">K274*(1+IF(L$3&lt;=$O$2,$D274,$D274-($D274-$I$265)*MIN(L$3-$O$2,$Q$2)/$Q$2))</f>
        <v>3088.86537491146</v>
      </c>
      <c r="M274" s="15" t="n">
        <f aca="false">L274*(1+IF(M$3&lt;=$O$2,$D274,$D274-($D274-$I$265)*MIN(M$3-$O$2,$Q$2)/$Q$2))</f>
        <v>3184.42521690693</v>
      </c>
      <c r="N274" s="15" t="n">
        <f aca="false">M274*(1+IF(N$3&lt;=$O$2,$D274,$D274-($D274-$I$265)*MIN(N$3-$O$2,$Q$2)/$Q$2))</f>
        <v>3290.46657662993</v>
      </c>
      <c r="O274" s="15" t="n">
        <f aca="false">SUMPRODUCT(E274:N274,1/(1+$F$265)^$E$3:$N$3)*$E$2</f>
        <v>3692.41318241031</v>
      </c>
      <c r="P274" s="15" t="n">
        <f aca="false">N274*$E$2*(1+$I$265)/($F$265-$I$265)/(1+$F$265)^$N$3</f>
        <v>5172.66591805642</v>
      </c>
      <c r="Q274" s="15" t="n">
        <f aca="false">O274+P274</f>
        <v>8865.07910046673</v>
      </c>
      <c r="R274" s="15" t="n">
        <f aca="false">Q274-$G$2+$I$2</f>
        <v>7488.87910046673</v>
      </c>
      <c r="S274" s="42" t="n">
        <f aca="false">R274/$K$2</f>
        <v>199.650202625079</v>
      </c>
      <c r="T274" s="43" t="n">
        <f aca="false">S274-$M$2</f>
        <v>-4.82860302674672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0.021484375</v>
      </c>
      <c r="C275" s="25" t="n">
        <f aca="false">IF(T274&gt;0,D274,C274)</f>
        <v>0.02734375</v>
      </c>
      <c r="D275" s="41" t="n">
        <f aca="false">(B275+C275)/2</f>
        <v>0.0244140625</v>
      </c>
      <c r="E275" s="15" t="n">
        <f aca="false">$C$2*(1+IF(E$3&lt;=$O$2,$D275,$D275-($D275-$I$265)*MIN(E$3-$O$2,$Q$2)/$Q$2))</f>
        <v>2632.744140625</v>
      </c>
      <c r="F275" s="15" t="n">
        <f aca="false">E275*(1+IF(F$3&lt;=$O$2,$D275,$D275-($D275-$I$265)*MIN(F$3-$O$2,$Q$2)/$Q$2))</f>
        <v>2697.02012062073</v>
      </c>
      <c r="G275" s="15" t="n">
        <f aca="false">F275*(1+IF(G$3&lt;=$O$2,$D275,$D275-($D275-$I$265)*MIN(G$3-$O$2,$Q$2)/$Q$2))</f>
        <v>2762.86533840932</v>
      </c>
      <c r="H275" s="15" t="n">
        <f aca="false">G275*(1+IF(H$3&lt;=$O$2,$D275,$D275-($D275-$I$265)*MIN(H$3-$O$2,$Q$2)/$Q$2))</f>
        <v>2830.31810546033</v>
      </c>
      <c r="I275" s="15" t="n">
        <f aca="false">H275*(1+IF(I$3&lt;=$O$2,$D275,$D275-($D275-$I$265)*MIN(I$3-$O$2,$Q$2)/$Q$2))</f>
        <v>2899.41766858192</v>
      </c>
      <c r="J275" s="15" t="n">
        <f aca="false">I275*(1+IF(J$3&lt;=$O$2,$D275,$D275-($D275-$I$265)*MIN(J$3-$O$2,$Q$2)/$Q$2))</f>
        <v>2975.35704159417</v>
      </c>
      <c r="K275" s="15" t="n">
        <f aca="false">J275*(1+IF(K$3&lt;=$O$2,$D275,$D275-($D275-$I$265)*MIN(K$3-$O$2,$Q$2)/$Q$2))</f>
        <v>3058.57312905218</v>
      </c>
      <c r="L275" s="15" t="n">
        <f aca="false">K275*(1+IF(L$3&lt;=$O$2,$D275,$D275-($D275-$I$265)*MIN(L$3-$O$2,$Q$2)/$Q$2))</f>
        <v>3149.55229838404</v>
      </c>
      <c r="M275" s="15" t="n">
        <f aca="false">L275*(1+IF(M$3&lt;=$O$2,$D275,$D275-($D275-$I$265)*MIN(M$3-$O$2,$Q$2)/$Q$2))</f>
        <v>3248.83504494494</v>
      </c>
      <c r="N275" s="15" t="n">
        <f aca="false">M275*(1+IF(N$3&lt;=$O$2,$D275,$D275-($D275-$I$265)*MIN(N$3-$O$2,$Q$2)/$Q$2))</f>
        <v>3357.02125194161</v>
      </c>
      <c r="O275" s="15" t="n">
        <f aca="false">SUMPRODUCT(E275:N275,1/(1+$F$265)^$E$3:$N$3)*$E$2</f>
        <v>3739.69617436894</v>
      </c>
      <c r="P275" s="15" t="n">
        <f aca="false">N275*$E$2*(1+$I$265)/($F$265-$I$265)/(1+$F$265)^$N$3</f>
        <v>5277.29092872121</v>
      </c>
      <c r="Q275" s="15" t="n">
        <f aca="false">O275+P275</f>
        <v>9016.98710309015</v>
      </c>
      <c r="R275" s="15" t="n">
        <f aca="false">Q275-$G$2+$I$2</f>
        <v>7640.78710309015</v>
      </c>
      <c r="S275" s="42" t="n">
        <f aca="false">R275/$K$2</f>
        <v>203.700002748338</v>
      </c>
      <c r="T275" s="43" t="n">
        <f aca="false">S275-$M$2</f>
        <v>-0.778802903488383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0.0244140625</v>
      </c>
      <c r="C276" s="25" t="n">
        <f aca="false">IF(T275&gt;0,D275,C275)</f>
        <v>0.02734375</v>
      </c>
      <c r="D276" s="41" t="n">
        <f aca="false">(B276+C276)/2</f>
        <v>0.02587890625</v>
      </c>
      <c r="E276" s="15" t="n">
        <f aca="false">$C$2*(1+IF(E$3&lt;=$O$2,$D276,$D276-($D276-$I$265)*MIN(E$3-$O$2,$Q$2)/$Q$2))</f>
        <v>2636.5087890625</v>
      </c>
      <c r="F276" s="15" t="n">
        <f aca="false">E276*(1+IF(F$3&lt;=$O$2,$D276,$D276-($D276-$I$265)*MIN(F$3-$O$2,$Q$2)/$Q$2))</f>
        <v>2704.73875284195</v>
      </c>
      <c r="G276" s="15" t="n">
        <f aca="false">F276*(1+IF(G$3&lt;=$O$2,$D276,$D276-($D276-$I$265)*MIN(G$3-$O$2,$Q$2)/$Q$2))</f>
        <v>2774.73443345749</v>
      </c>
      <c r="H276" s="15" t="n">
        <f aca="false">G276*(1+IF(H$3&lt;=$O$2,$D276,$D276-($D276-$I$265)*MIN(H$3-$O$2,$Q$2)/$Q$2))</f>
        <v>2846.54152572958</v>
      </c>
      <c r="I276" s="15" t="n">
        <f aca="false">H276*(1+IF(I$3&lt;=$O$2,$D276,$D276-($D276-$I$265)*MIN(I$3-$O$2,$Q$2)/$Q$2))</f>
        <v>2920.20690701067</v>
      </c>
      <c r="J276" s="15" t="n">
        <f aca="false">I276*(1+IF(J$3&lt;=$O$2,$D276,$D276-($D276-$I$265)*MIN(J$3-$O$2,$Q$2)/$Q$2))</f>
        <v>3000.11289363307</v>
      </c>
      <c r="K276" s="15" t="n">
        <f aca="false">J276*(1+IF(K$3&lt;=$O$2,$D276,$D276-($D276-$I$265)*MIN(K$3-$O$2,$Q$2)/$Q$2))</f>
        <v>3086.65818156451</v>
      </c>
      <c r="L276" s="15" t="n">
        <f aca="false">K276*(1+IF(L$3&lt;=$O$2,$D276,$D276-($D276-$I$265)*MIN(L$3-$O$2,$Q$2)/$Q$2))</f>
        <v>3180.28134711477</v>
      </c>
      <c r="M276" s="15" t="n">
        <f aca="false">L276*(1+IF(M$3&lt;=$O$2,$D276,$D276-($D276-$I$265)*MIN(M$3-$O$2,$Q$2)/$Q$2))</f>
        <v>3281.46448276802</v>
      </c>
      <c r="N276" s="15" t="n">
        <f aca="false">M276*(1+IF(N$3&lt;=$O$2,$D276,$D276-($D276-$I$265)*MIN(N$3-$O$2,$Q$2)/$Q$2))</f>
        <v>3390.7372500442</v>
      </c>
      <c r="O276" s="15" t="n">
        <f aca="false">SUMPRODUCT(E276:N276,1/(1+$F$265)^$E$3:$N$3)*$E$2</f>
        <v>3763.568136404</v>
      </c>
      <c r="P276" s="15" t="n">
        <f aca="false">N276*$E$2*(1+$I$265)/($F$265-$I$265)/(1+$F$265)^$N$3</f>
        <v>5330.29301526942</v>
      </c>
      <c r="Q276" s="15" t="n">
        <f aca="false">O276+P276</f>
        <v>9093.86115167341</v>
      </c>
      <c r="R276" s="15" t="n">
        <f aca="false">Q276-$G$2+$I$2</f>
        <v>7717.66115167342</v>
      </c>
      <c r="S276" s="42" t="n">
        <f aca="false">R276/$K$2</f>
        <v>205.749430863061</v>
      </c>
      <c r="T276" s="43" t="n">
        <f aca="false">S276-$M$2</f>
        <v>1.27062521123483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0.0244140625</v>
      </c>
      <c r="C277" s="25" t="n">
        <f aca="false">IF(T276&gt;0,D276,C276)</f>
        <v>0.02587890625</v>
      </c>
      <c r="D277" s="41" t="n">
        <f aca="false">(B277+C277)/2</f>
        <v>0.025146484375</v>
      </c>
      <c r="E277" s="15" t="n">
        <f aca="false">$C$2*(1+IF(E$3&lt;=$O$2,$D277,$D277-($D277-$I$265)*MIN(E$3-$O$2,$Q$2)/$Q$2))</f>
        <v>2634.62646484375</v>
      </c>
      <c r="F277" s="15" t="n">
        <f aca="false">E277*(1+IF(F$3&lt;=$O$2,$D277,$D277-($D277-$I$265)*MIN(F$3-$O$2,$Q$2)/$Q$2))</f>
        <v>2700.87805807591</v>
      </c>
      <c r="G277" s="15" t="n">
        <f aca="false">F277*(1+IF(G$3&lt;=$O$2,$D277,$D277-($D277-$I$265)*MIN(G$3-$O$2,$Q$2)/$Q$2))</f>
        <v>2768.79564596209</v>
      </c>
      <c r="H277" s="15" t="n">
        <f aca="false">G277*(1+IF(H$3&lt;=$O$2,$D277,$D277-($D277-$I$265)*MIN(H$3-$O$2,$Q$2)/$Q$2))</f>
        <v>2838.42112241085</v>
      </c>
      <c r="I277" s="15" t="n">
        <f aca="false">H277*(1+IF(I$3&lt;=$O$2,$D277,$D277-($D277-$I$265)*MIN(I$3-$O$2,$Q$2)/$Q$2))</f>
        <v>2909.79743481522</v>
      </c>
      <c r="J277" s="15" t="n">
        <f aca="false">I277*(1+IF(J$3&lt;=$O$2,$D277,$D277-($D277-$I$265)*MIN(J$3-$O$2,$Q$2)/$Q$2))</f>
        <v>2987.71362631429</v>
      </c>
      <c r="K277" s="15" t="n">
        <f aca="false">J277*(1+IF(K$3&lt;=$O$2,$D277,$D277-($D277-$I$265)*MIN(K$3-$O$2,$Q$2)/$Q$2))</f>
        <v>3072.58826822944</v>
      </c>
      <c r="L277" s="15" t="n">
        <f aca="false">K277*(1+IF(L$3&lt;=$O$2,$D277,$D277-($D277-$I$265)*MIN(L$3-$O$2,$Q$2)/$Q$2))</f>
        <v>3164.8844989798</v>
      </c>
      <c r="M277" s="15" t="n">
        <f aca="false">L277*(1+IF(M$3&lt;=$O$2,$D277,$D277-($D277-$I$265)*MIN(M$3-$O$2,$Q$2)/$Q$2))</f>
        <v>3265.11416575308</v>
      </c>
      <c r="N277" s="15" t="n">
        <f aca="false">M277*(1+IF(N$3&lt;=$O$2,$D277,$D277-($D277-$I$265)*MIN(N$3-$O$2,$Q$2)/$Q$2))</f>
        <v>3373.84246747266</v>
      </c>
      <c r="O277" s="15" t="n">
        <f aca="false">SUMPRODUCT(E277:N277,1/(1+$F$265)^$E$3:$N$3)*$E$2</f>
        <v>3751.61285218015</v>
      </c>
      <c r="P277" s="15" t="n">
        <f aca="false">N277*$E$2*(1+$I$265)/($F$265-$I$265)/(1+$F$265)^$N$3</f>
        <v>5303.73414771505</v>
      </c>
      <c r="Q277" s="15" t="n">
        <f aca="false">O277+P277</f>
        <v>9055.3469998952</v>
      </c>
      <c r="R277" s="15" t="n">
        <f aca="false">Q277-$G$2+$I$2</f>
        <v>7679.1469998952</v>
      </c>
      <c r="S277" s="42" t="n">
        <f aca="false">R277/$K$2</f>
        <v>204.72266062104</v>
      </c>
      <c r="T277" s="43" t="n">
        <f aca="false">S277-$M$2</f>
        <v>0.243854969213743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0.0244140625</v>
      </c>
      <c r="C278" s="25" t="n">
        <f aca="false">IF(T277&gt;0,D277,C277)</f>
        <v>0.025146484375</v>
      </c>
      <c r="D278" s="41" t="n">
        <f aca="false">(B278+C278)/2</f>
        <v>0.0247802734375</v>
      </c>
      <c r="E278" s="15" t="n">
        <f aca="false">$C$2*(1+IF(E$3&lt;=$O$2,$D278,$D278-($D278-$I$265)*MIN(E$3-$O$2,$Q$2)/$Q$2))</f>
        <v>2633.68530273438</v>
      </c>
      <c r="F278" s="15" t="n">
        <f aca="false">E278*(1+IF(F$3&lt;=$O$2,$D278,$D278-($D278-$I$265)*MIN(F$3-$O$2,$Q$2)/$Q$2))</f>
        <v>2698.94874468446</v>
      </c>
      <c r="G278" s="15" t="n">
        <f aca="false">F278*(1+IF(G$3&lt;=$O$2,$D278,$D278-($D278-$I$265)*MIN(G$3-$O$2,$Q$2)/$Q$2))</f>
        <v>2765.82943257154</v>
      </c>
      <c r="H278" s="15" t="n">
        <f aca="false">G278*(1+IF(H$3&lt;=$O$2,$D278,$D278-($D278-$I$265)*MIN(H$3-$O$2,$Q$2)/$Q$2))</f>
        <v>2834.36744219214</v>
      </c>
      <c r="I278" s="15" t="n">
        <f aca="false">H278*(1+IF(I$3&lt;=$O$2,$D278,$D278-($D278-$I$265)*MIN(I$3-$O$2,$Q$2)/$Q$2))</f>
        <v>2904.60384243201</v>
      </c>
      <c r="J278" s="15" t="n">
        <f aca="false">I278*(1+IF(J$3&lt;=$O$2,$D278,$D278-($D278-$I$265)*MIN(J$3-$O$2,$Q$2)/$Q$2))</f>
        <v>2981.53000597707</v>
      </c>
      <c r="K278" s="15" t="n">
        <f aca="false">J278*(1+IF(K$3&lt;=$O$2,$D278,$D278-($D278-$I$265)*MIN(K$3-$O$2,$Q$2)/$Q$2))</f>
        <v>3065.57386294282</v>
      </c>
      <c r="L278" s="15" t="n">
        <f aca="false">K278*(1+IF(L$3&lt;=$O$2,$D278,$D278-($D278-$I$265)*MIN(L$3-$O$2,$Q$2)/$Q$2))</f>
        <v>3157.21033215105</v>
      </c>
      <c r="M278" s="15" t="n">
        <f aca="false">L278*(1+IF(M$3&lt;=$O$2,$D278,$D278-($D278-$I$265)*MIN(M$3-$O$2,$Q$2)/$Q$2))</f>
        <v>3256.96572246563</v>
      </c>
      <c r="N278" s="15" t="n">
        <f aca="false">M278*(1+IF(N$3&lt;=$O$2,$D278,$D278-($D278-$I$265)*MIN(N$3-$O$2,$Q$2)/$Q$2))</f>
        <v>3365.42268102374</v>
      </c>
      <c r="O278" s="15" t="n">
        <f aca="false">SUMPRODUCT(E278:N278,1/(1+$F$265)^$E$3:$N$3)*$E$2</f>
        <v>3745.6496948225</v>
      </c>
      <c r="P278" s="15" t="n">
        <f aca="false">N278*$E$2*(1+$I$265)/($F$265-$I$265)/(1+$F$265)^$N$3</f>
        <v>5290.4981091815</v>
      </c>
      <c r="Q278" s="15" t="n">
        <f aca="false">O278+P278</f>
        <v>9036.14780400401</v>
      </c>
      <c r="R278" s="15" t="n">
        <f aca="false">Q278-$G$2+$I$2</f>
        <v>7659.94780400401</v>
      </c>
      <c r="S278" s="42" t="n">
        <f aca="false">R278/$K$2</f>
        <v>204.210818555159</v>
      </c>
      <c r="T278" s="43" t="n">
        <f aca="false">S278-$M$2</f>
        <v>-0.267987096667298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0.0247802734375</v>
      </c>
      <c r="C279" s="25" t="n">
        <f aca="false">IF(T278&gt;0,D278,C278)</f>
        <v>0.025146484375</v>
      </c>
      <c r="D279" s="41" t="n">
        <f aca="false">(B279+C279)/2</f>
        <v>0.02496337890625</v>
      </c>
      <c r="E279" s="15" t="n">
        <f aca="false">$C$2*(1+IF(E$3&lt;=$O$2,$D279,$D279-($D279-$I$265)*MIN(E$3-$O$2,$Q$2)/$Q$2))</f>
        <v>2634.15588378906</v>
      </c>
      <c r="F279" s="15" t="n">
        <f aca="false">E279*(1+IF(F$3&lt;=$O$2,$D279,$D279-($D279-$I$265)*MIN(F$3-$O$2,$Q$2)/$Q$2))</f>
        <v>2699.91331521422</v>
      </c>
      <c r="G279" s="15" t="n">
        <f aca="false">F279*(1+IF(G$3&lt;=$O$2,$D279,$D279-($D279-$I$265)*MIN(G$3-$O$2,$Q$2)/$Q$2))</f>
        <v>2767.31227431594</v>
      </c>
      <c r="H279" s="15" t="n">
        <f aca="false">G279*(1+IF(H$3&lt;=$O$2,$D279,$D279-($D279-$I$265)*MIN(H$3-$O$2,$Q$2)/$Q$2))</f>
        <v>2836.3937391716</v>
      </c>
      <c r="I279" s="15" t="n">
        <f aca="false">H279*(1+IF(I$3&lt;=$O$2,$D279,$D279-($D279-$I$265)*MIN(I$3-$O$2,$Q$2)/$Q$2))</f>
        <v>2907.19971080986</v>
      </c>
      <c r="J279" s="15" t="n">
        <f aca="false">I279*(1+IF(J$3&lt;=$O$2,$D279,$D279-($D279-$I$265)*MIN(J$3-$O$2,$Q$2)/$Q$2))</f>
        <v>2984.62048323352</v>
      </c>
      <c r="K279" s="15" t="n">
        <f aca="false">J279*(1+IF(K$3&lt;=$O$2,$D279,$D279-($D279-$I$265)*MIN(K$3-$O$2,$Q$2)/$Q$2))</f>
        <v>3069.07935527878</v>
      </c>
      <c r="L279" s="15" t="n">
        <f aca="false">K279*(1+IF(L$3&lt;=$O$2,$D279,$D279-($D279-$I$265)*MIN(L$3-$O$2,$Q$2)/$Q$2))</f>
        <v>3161.04539713292</v>
      </c>
      <c r="M279" s="15" t="n">
        <f aca="false">L279*(1+IF(M$3&lt;=$O$2,$D279,$D279-($D279-$I$265)*MIN(M$3-$O$2,$Q$2)/$Q$2))</f>
        <v>3261.03772131024</v>
      </c>
      <c r="N279" s="15" t="n">
        <f aca="false">M279*(1+IF(N$3&lt;=$O$2,$D279,$D279-($D279-$I$265)*MIN(N$3-$O$2,$Q$2)/$Q$2))</f>
        <v>3369.63027742987</v>
      </c>
      <c r="O279" s="15" t="n">
        <f aca="false">SUMPRODUCT(E279:N279,1/(1+$F$265)^$E$3:$N$3)*$E$2</f>
        <v>3748.63006797039</v>
      </c>
      <c r="P279" s="15" t="n">
        <f aca="false">N279*$E$2*(1+$I$265)/($F$265-$I$265)/(1+$F$265)^$N$3</f>
        <v>5297.11251781325</v>
      </c>
      <c r="Q279" s="15" t="n">
        <f aca="false">O279+P279</f>
        <v>9045.74258578363</v>
      </c>
      <c r="R279" s="15" t="n">
        <f aca="false">Q279-$G$2+$I$2</f>
        <v>7669.54258578363</v>
      </c>
      <c r="S279" s="42" t="n">
        <f aca="false">R279/$K$2</f>
        <v>204.466611191246</v>
      </c>
      <c r="T279" s="43" t="n">
        <f aca="false">S279-$M$2</f>
        <v>-0.01219446058019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0.02496337890625</v>
      </c>
      <c r="C280" s="25" t="n">
        <f aca="false">IF(T279&gt;0,D279,C279)</f>
        <v>0.025146484375</v>
      </c>
      <c r="D280" s="41" t="n">
        <f aca="false">(B280+C280)/2</f>
        <v>0.025054931640625</v>
      </c>
      <c r="E280" s="15" t="n">
        <f aca="false">$C$2*(1+IF(E$3&lt;=$O$2,$D280,$D280-($D280-$I$265)*MIN(E$3-$O$2,$Q$2)/$Q$2))</f>
        <v>2634.39117431641</v>
      </c>
      <c r="F280" s="15" t="n">
        <f aca="false">E280*(1+IF(F$3&lt;=$O$2,$D280,$D280-($D280-$I$265)*MIN(F$3-$O$2,$Q$2)/$Q$2))</f>
        <v>2700.39566510357</v>
      </c>
      <c r="G280" s="15" t="n">
        <f aca="false">F280*(1+IF(G$3&lt;=$O$2,$D280,$D280-($D280-$I$265)*MIN(G$3-$O$2,$Q$2)/$Q$2))</f>
        <v>2768.05389389538</v>
      </c>
      <c r="H280" s="15" t="n">
        <f aca="false">G280*(1+IF(H$3&lt;=$O$2,$D280,$D280-($D280-$I$265)*MIN(H$3-$O$2,$Q$2)/$Q$2))</f>
        <v>2837.40729498449</v>
      </c>
      <c r="I280" s="15" t="n">
        <f aca="false">H280*(1+IF(I$3&lt;=$O$2,$D280,$D280-($D280-$I$265)*MIN(I$3-$O$2,$Q$2)/$Q$2))</f>
        <v>2908.49834079694</v>
      </c>
      <c r="J280" s="15" t="n">
        <f aca="false">I280*(1+IF(J$3&lt;=$O$2,$D280,$D280-($D280-$I$265)*MIN(J$3-$O$2,$Q$2)/$Q$2))</f>
        <v>2986.16672143108</v>
      </c>
      <c r="K280" s="15" t="n">
        <f aca="false">J280*(1+IF(K$3&lt;=$O$2,$D280,$D280-($D280-$I$265)*MIN(K$3-$O$2,$Q$2)/$Q$2))</f>
        <v>3070.83338400432</v>
      </c>
      <c r="L280" s="15" t="n">
        <f aca="false">K280*(1+IF(L$3&lt;=$O$2,$D280,$D280-($D280-$I$265)*MIN(L$3-$O$2,$Q$2)/$Q$2))</f>
        <v>3162.96444322312</v>
      </c>
      <c r="M280" s="15" t="n">
        <f aca="false">L280*(1+IF(M$3&lt;=$O$2,$D280,$D280-($D280-$I$265)*MIN(M$3-$O$2,$Q$2)/$Q$2))</f>
        <v>3263.07538757192</v>
      </c>
      <c r="N280" s="15" t="n">
        <f aca="false">M280*(1+IF(N$3&lt;=$O$2,$D280,$D280-($D280-$I$265)*MIN(N$3-$O$2,$Q$2)/$Q$2))</f>
        <v>3371.73579797806</v>
      </c>
      <c r="O280" s="15" t="n">
        <f aca="false">SUMPRODUCT(E280:N280,1/(1+$F$265)^$E$3:$N$3)*$E$2</f>
        <v>3750.12115857773</v>
      </c>
      <c r="P280" s="15" t="n">
        <f aca="false">N280*$E$2*(1+$I$265)/($F$265-$I$265)/(1+$F$265)^$N$3</f>
        <v>5300.42242968312</v>
      </c>
      <c r="Q280" s="15" t="n">
        <f aca="false">O280+P280</f>
        <v>9050.54358826084</v>
      </c>
      <c r="R280" s="15" t="n">
        <f aca="false">Q280-$G$2+$I$2</f>
        <v>7674.34358826084</v>
      </c>
      <c r="S280" s="42" t="n">
        <f aca="false">R280/$K$2</f>
        <v>204.594603792611</v>
      </c>
      <c r="T280" s="43" t="n">
        <f aca="false">S280-$M$2</f>
        <v>0.115798140785046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0.02496337890625</v>
      </c>
      <c r="C281" s="25" t="n">
        <f aca="false">IF(T280&gt;0,D280,C280)</f>
        <v>0.025054931640625</v>
      </c>
      <c r="D281" s="41" t="n">
        <f aca="false">(B281+C281)/2</f>
        <v>0.0250091552734375</v>
      </c>
      <c r="E281" s="15" t="n">
        <f aca="false">$C$2*(1+IF(E$3&lt;=$O$2,$D281,$D281-($D281-$I$265)*MIN(E$3-$O$2,$Q$2)/$Q$2))</f>
        <v>2634.27352905273</v>
      </c>
      <c r="F281" s="15" t="n">
        <f aca="false">E281*(1+IF(F$3&lt;=$O$2,$D281,$D281-($D281-$I$265)*MIN(F$3-$O$2,$Q$2)/$Q$2))</f>
        <v>2700.15448477352</v>
      </c>
      <c r="G281" s="15" t="n">
        <f aca="false">F281*(1+IF(G$3&lt;=$O$2,$D281,$D281-($D281-$I$265)*MIN(G$3-$O$2,$Q$2)/$Q$2))</f>
        <v>2767.68306754549</v>
      </c>
      <c r="H281" s="15" t="n">
        <f aca="false">G281*(1+IF(H$3&lt;=$O$2,$D281,$D281-($D281-$I$265)*MIN(H$3-$O$2,$Q$2)/$Q$2))</f>
        <v>2836.9004831294</v>
      </c>
      <c r="I281" s="15" t="n">
        <f aca="false">H281*(1+IF(I$3&lt;=$O$2,$D281,$D281-($D281-$I$265)*MIN(I$3-$O$2,$Q$2)/$Q$2))</f>
        <v>2907.84896780727</v>
      </c>
      <c r="J281" s="15" t="n">
        <f aca="false">I281*(1+IF(J$3&lt;=$O$2,$D281,$D281-($D281-$I$265)*MIN(J$3-$O$2,$Q$2)/$Q$2))</f>
        <v>2985.39351901095</v>
      </c>
      <c r="K281" s="15" t="n">
        <f aca="false">J281*(1+IF(K$3&lt;=$O$2,$D281,$D281-($D281-$I$265)*MIN(K$3-$O$2,$Q$2)/$Q$2))</f>
        <v>3069.95626272573</v>
      </c>
      <c r="L281" s="15" t="n">
        <f aca="false">K281*(1+IF(L$3&lt;=$O$2,$D281,$D281-($D281-$I$265)*MIN(L$3-$O$2,$Q$2)/$Q$2))</f>
        <v>3162.00479399785</v>
      </c>
      <c r="M281" s="15" t="n">
        <f aca="false">L281*(1+IF(M$3&lt;=$O$2,$D281,$D281-($D281-$I$265)*MIN(M$3-$O$2,$Q$2)/$Q$2))</f>
        <v>3262.05641548365</v>
      </c>
      <c r="N281" s="15" t="n">
        <f aca="false">M281*(1+IF(N$3&lt;=$O$2,$D281,$D281-($D281-$I$265)*MIN(N$3-$O$2,$Q$2)/$Q$2))</f>
        <v>3370.68289411925</v>
      </c>
      <c r="O281" s="15" t="n">
        <f aca="false">SUMPRODUCT(E281:N281,1/(1+$F$265)^$E$3:$N$3)*$E$2</f>
        <v>3749.37553791403</v>
      </c>
      <c r="P281" s="15" t="n">
        <f aca="false">N281*$E$2*(1+$I$265)/($F$265-$I$265)/(1+$F$265)^$N$3</f>
        <v>5298.76724803072</v>
      </c>
      <c r="Q281" s="15" t="n">
        <f aca="false">O281+P281</f>
        <v>9048.14278594475</v>
      </c>
      <c r="R281" s="15" t="n">
        <f aca="false">Q281-$G$2+$I$2</f>
        <v>7671.94278594475</v>
      </c>
      <c r="S281" s="42" t="n">
        <f aca="false">R281/$K$2</f>
        <v>204.530599465336</v>
      </c>
      <c r="T281" s="43" t="n">
        <f aca="false">S281-$M$2</f>
        <v>0.051793813509704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0.02496337890625</v>
      </c>
      <c r="C282" s="25" t="n">
        <f aca="false">IF(T281&gt;0,D281,C281)</f>
        <v>0.0250091552734375</v>
      </c>
      <c r="D282" s="41" t="n">
        <f aca="false">(B282+C282)/2</f>
        <v>0.0249862670898438</v>
      </c>
      <c r="E282" s="15" t="n">
        <f aca="false">$C$2*(1+IF(E$3&lt;=$O$2,$D282,$D282-($D282-$I$265)*MIN(E$3-$O$2,$Q$2)/$Q$2))</f>
        <v>2634.2147064209</v>
      </c>
      <c r="F282" s="15" t="n">
        <f aca="false">E282*(1+IF(F$3&lt;=$O$2,$D282,$D282-($D282-$I$265)*MIN(F$3-$O$2,$Q$2)/$Q$2))</f>
        <v>2700.03389864753</v>
      </c>
      <c r="G282" s="15" t="n">
        <f aca="false">F282*(1+IF(G$3&lt;=$O$2,$D282,$D282-($D282-$I$265)*MIN(G$3-$O$2,$Q$2)/$Q$2))</f>
        <v>2767.49766679076</v>
      </c>
      <c r="H282" s="15" t="n">
        <f aca="false">G282*(1+IF(H$3&lt;=$O$2,$D282,$D282-($D282-$I$265)*MIN(H$3-$O$2,$Q$2)/$Q$2))</f>
        <v>2836.64710266372</v>
      </c>
      <c r="I282" s="15" t="n">
        <f aca="false">H282*(1+IF(I$3&lt;=$O$2,$D282,$D282-($D282-$I$265)*MIN(I$3-$O$2,$Q$2)/$Q$2))</f>
        <v>2907.52432481051</v>
      </c>
      <c r="J282" s="15" t="n">
        <f aca="false">I282*(1+IF(J$3&lt;=$O$2,$D282,$D282-($D282-$I$265)*MIN(J$3-$O$2,$Q$2)/$Q$2))</f>
        <v>2985.00698029369</v>
      </c>
      <c r="K282" s="15" t="n">
        <f aca="false">J282*(1+IF(K$3&lt;=$O$2,$D282,$D282-($D282-$I$265)*MIN(K$3-$O$2,$Q$2)/$Q$2))</f>
        <v>3069.517782276</v>
      </c>
      <c r="L282" s="15" t="n">
        <f aca="false">K282*(1+IF(L$3&lt;=$O$2,$D282,$D282-($D282-$I$265)*MIN(L$3-$O$2,$Q$2)/$Q$2))</f>
        <v>3161.52506402387</v>
      </c>
      <c r="M282" s="15" t="n">
        <f aca="false">L282*(1+IF(M$3&lt;=$O$2,$D282,$D282-($D282-$I$265)*MIN(M$3-$O$2,$Q$2)/$Q$2))</f>
        <v>3261.54703366165</v>
      </c>
      <c r="N282" s="15" t="n">
        <f aca="false">M282*(1+IF(N$3&lt;=$O$2,$D282,$D282-($D282-$I$265)*MIN(N$3-$O$2,$Q$2)/$Q$2))</f>
        <v>3370.15654988258</v>
      </c>
      <c r="O282" s="15" t="n">
        <f aca="false">SUMPRODUCT(E282:N282,1/(1+$F$265)^$E$3:$N$3)*$E$2</f>
        <v>3749.00278410399</v>
      </c>
      <c r="P282" s="15" t="n">
        <f aca="false">N282*$E$2*(1+$I$265)/($F$265-$I$265)/(1+$F$265)^$N$3</f>
        <v>5297.93982649922</v>
      </c>
      <c r="Q282" s="15" t="n">
        <f aca="false">O282+P282</f>
        <v>9046.94261060321</v>
      </c>
      <c r="R282" s="15" t="n">
        <f aca="false">Q282-$G$2+$I$2</f>
        <v>7670.74261060321</v>
      </c>
      <c r="S282" s="42" t="n">
        <f aca="false">R282/$K$2</f>
        <v>204.498603321866</v>
      </c>
      <c r="T282" s="43" t="n">
        <f aca="false">S282-$M$2</f>
        <v>0.0197976700403615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0.02496337890625</v>
      </c>
      <c r="C283" s="25" t="n">
        <f aca="false">IF(T282&gt;0,D282,C282)</f>
        <v>0.0249862670898438</v>
      </c>
      <c r="D283" s="41" t="n">
        <f aca="false">(B283+C283)/2</f>
        <v>0.0249748229980469</v>
      </c>
      <c r="E283" s="15" t="n">
        <f aca="false">$C$2*(1+IF(E$3&lt;=$O$2,$D283,$D283-($D283-$I$265)*MIN(E$3-$O$2,$Q$2)/$Q$2))</f>
        <v>2634.18529510498</v>
      </c>
      <c r="F283" s="15" t="n">
        <f aca="false">E283*(1+IF(F$3&lt;=$O$2,$D283,$D283-($D283-$I$265)*MIN(F$3-$O$2,$Q$2)/$Q$2))</f>
        <v>2699.97360659429</v>
      </c>
      <c r="G283" s="15" t="n">
        <f aca="false">F283*(1+IF(G$3&lt;=$O$2,$D283,$D283-($D283-$I$265)*MIN(G$3-$O$2,$Q$2)/$Q$2))</f>
        <v>2767.40496951838</v>
      </c>
      <c r="H283" s="15" t="n">
        <f aca="false">G283*(1+IF(H$3&lt;=$O$2,$D283,$D283-($D283-$I$265)*MIN(H$3-$O$2,$Q$2)/$Q$2))</f>
        <v>2836.52041879601</v>
      </c>
      <c r="I283" s="15" t="n">
        <f aca="false">H283*(1+IF(I$3&lt;=$O$2,$D283,$D283-($D283-$I$265)*MIN(I$3-$O$2,$Q$2)/$Q$2))</f>
        <v>2907.36201418579</v>
      </c>
      <c r="J283" s="15" t="n">
        <f aca="false">I283*(1+IF(J$3&lt;=$O$2,$D283,$D283-($D283-$I$265)*MIN(J$3-$O$2,$Q$2)/$Q$2))</f>
        <v>2984.81372655669</v>
      </c>
      <c r="K283" s="15" t="n">
        <f aca="false">J283*(1+IF(K$3&lt;=$O$2,$D283,$D283-($D283-$I$265)*MIN(K$3-$O$2,$Q$2)/$Q$2))</f>
        <v>3069.29856209617</v>
      </c>
      <c r="L283" s="15" t="n">
        <f aca="false">K283*(1+IF(L$3&lt;=$O$2,$D283,$D283-($D283-$I$265)*MIN(L$3-$O$2,$Q$2)/$Q$2))</f>
        <v>3161.28522269345</v>
      </c>
      <c r="M283" s="15" t="n">
        <f aca="false">L283*(1+IF(M$3&lt;=$O$2,$D283,$D283-($D283-$I$265)*MIN(M$3-$O$2,$Q$2)/$Q$2))</f>
        <v>3261.29236880263</v>
      </c>
      <c r="N283" s="15" t="n">
        <f aca="false">M283*(1+IF(N$3&lt;=$O$2,$D283,$D283-($D283-$I$265)*MIN(N$3-$O$2,$Q$2)/$Q$2))</f>
        <v>3369.89340468376</v>
      </c>
      <c r="O283" s="15" t="n">
        <f aca="false">SUMPRODUCT(E283:N283,1/(1+$F$265)^$E$3:$N$3)*$E$2</f>
        <v>3748.81642132786</v>
      </c>
      <c r="P283" s="15" t="n">
        <f aca="false">N283*$E$2*(1+$I$265)/($F$265-$I$265)/(1+$F$265)^$N$3</f>
        <v>5297.52615805137</v>
      </c>
      <c r="Q283" s="15" t="n">
        <f aca="false">O283+P283</f>
        <v>9046.34257937923</v>
      </c>
      <c r="R283" s="15" t="n">
        <f aca="false">Q283-$G$2+$I$2</f>
        <v>7670.14257937923</v>
      </c>
      <c r="S283" s="42" t="n">
        <f aca="false">R283/$K$2</f>
        <v>204.482606754978</v>
      </c>
      <c r="T283" s="43" t="n">
        <f aca="false">S283-$M$2</f>
        <v>0.00380110315197157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0.02496337890625</v>
      </c>
      <c r="C284" s="25" t="n">
        <f aca="false">IF(T283&gt;0,D283,C283)</f>
        <v>0.0249748229980469</v>
      </c>
      <c r="D284" s="41" t="n">
        <f aca="false">(B284+C284)/2</f>
        <v>0.0249691009521484</v>
      </c>
      <c r="E284" s="15" t="n">
        <f aca="false">$C$2*(1+IF(E$3&lt;=$O$2,$D284,$D284-($D284-$I$265)*MIN(E$3-$O$2,$Q$2)/$Q$2))</f>
        <v>2634.17058944702</v>
      </c>
      <c r="F284" s="15" t="n">
        <f aca="false">E284*(1+IF(F$3&lt;=$O$2,$D284,$D284-($D284-$I$265)*MIN(F$3-$O$2,$Q$2)/$Q$2))</f>
        <v>2699.9434608201</v>
      </c>
      <c r="G284" s="15" t="n">
        <f aca="false">F284*(1+IF(G$3&lt;=$O$2,$D284,$D284-($D284-$I$265)*MIN(G$3-$O$2,$Q$2)/$Q$2))</f>
        <v>2767.35862165842</v>
      </c>
      <c r="H284" s="15" t="n">
        <f aca="false">G284*(1+IF(H$3&lt;=$O$2,$D284,$D284-($D284-$I$265)*MIN(H$3-$O$2,$Q$2)/$Q$2))</f>
        <v>2836.4570784534</v>
      </c>
      <c r="I284" s="15" t="n">
        <f aca="false">H284*(1+IF(I$3&lt;=$O$2,$D284,$D284-($D284-$I$265)*MIN(I$3-$O$2,$Q$2)/$Q$2))</f>
        <v>2907.28086159174</v>
      </c>
      <c r="J284" s="15" t="n">
        <f aca="false">I284*(1+IF(J$3&lt;=$O$2,$D284,$D284-($D284-$I$265)*MIN(J$3-$O$2,$Q$2)/$Q$2))</f>
        <v>2984.71710359341</v>
      </c>
      <c r="K284" s="15" t="n">
        <f aca="false">J284*(1+IF(K$3&lt;=$O$2,$D284,$D284-($D284-$I$265)*MIN(K$3-$O$2,$Q$2)/$Q$2))</f>
        <v>3069.18895701721</v>
      </c>
      <c r="L284" s="15" t="n">
        <f aca="false">K284*(1+IF(L$3&lt;=$O$2,$D284,$D284-($D284-$I$265)*MIN(L$3-$O$2,$Q$2)/$Q$2))</f>
        <v>3161.16530794201</v>
      </c>
      <c r="M284" s="15" t="n">
        <f aca="false">L284*(1+IF(M$3&lt;=$O$2,$D284,$D284-($D284-$I$265)*MIN(M$3-$O$2,$Q$2)/$Q$2))</f>
        <v>3261.16504288567</v>
      </c>
      <c r="N284" s="15" t="n">
        <f aca="false">M284*(1+IF(N$3&lt;=$O$2,$D284,$D284-($D284-$I$265)*MIN(N$3-$O$2,$Q$2)/$Q$2))</f>
        <v>3369.76183881376</v>
      </c>
      <c r="O284" s="15" t="n">
        <f aca="false">SUMPRODUCT(E284:N284,1/(1+$F$265)^$E$3:$N$3)*$E$2</f>
        <v>3748.72324347182</v>
      </c>
      <c r="P284" s="15" t="n">
        <f aca="false">N284*$E$2*(1+$I$265)/($F$265-$I$265)/(1+$F$265)^$N$3</f>
        <v>5297.31933440619</v>
      </c>
      <c r="Q284" s="15" t="n">
        <f aca="false">O284+P284</f>
        <v>9046.04257787801</v>
      </c>
      <c r="R284" s="15" t="n">
        <f aca="false">Q284-$G$2+$I$2</f>
        <v>7669.84257787801</v>
      </c>
      <c r="S284" s="42" t="n">
        <f aca="false">R284/$K$2</f>
        <v>204.474608847721</v>
      </c>
      <c r="T284" s="43" t="n">
        <f aca="false">S284-$M$2</f>
        <v>-0.00419680410519163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0.0249691009521484</v>
      </c>
      <c r="C285" s="25" t="n">
        <f aca="false">IF(T284&gt;0,D284,C284)</f>
        <v>0.0249748229980469</v>
      </c>
      <c r="D285" s="41" t="n">
        <f aca="false">(B285+C285)/2</f>
        <v>0.0249719619750977</v>
      </c>
      <c r="E285" s="15" t="n">
        <f aca="false">$C$2*(1+IF(E$3&lt;=$O$2,$D285,$D285-($D285-$I$265)*MIN(E$3-$O$2,$Q$2)/$Q$2))</f>
        <v>2634.177942276</v>
      </c>
      <c r="F285" s="15" t="n">
        <f aca="false">E285*(1+IF(F$3&lt;=$O$2,$D285,$D285-($D285-$I$265)*MIN(F$3-$O$2,$Q$2)/$Q$2))</f>
        <v>2699.95853368616</v>
      </c>
      <c r="G285" s="15" t="n">
        <f aca="false">F285*(1+IF(G$3&lt;=$O$2,$D285,$D285-($D285-$I$265)*MIN(G$3-$O$2,$Q$2)/$Q$2))</f>
        <v>2767.38179552371</v>
      </c>
      <c r="H285" s="15" t="n">
        <f aca="false">G285*(1+IF(H$3&lt;=$O$2,$D285,$D285-($D285-$I$265)*MIN(H$3-$O$2,$Q$2)/$Q$2))</f>
        <v>2836.48874849211</v>
      </c>
      <c r="I285" s="15" t="n">
        <f aca="false">H285*(1+IF(I$3&lt;=$O$2,$D285,$D285-($D285-$I$265)*MIN(I$3-$O$2,$Q$2)/$Q$2))</f>
        <v>2907.32143766224</v>
      </c>
      <c r="J285" s="15" t="n">
        <f aca="false">I285*(1+IF(J$3&lt;=$O$2,$D285,$D285-($D285-$I$265)*MIN(J$3-$O$2,$Q$2)/$Q$2))</f>
        <v>2984.76541474962</v>
      </c>
      <c r="K285" s="15" t="n">
        <f aca="false">J285*(1+IF(K$3&lt;=$O$2,$D285,$D285-($D285-$I$265)*MIN(K$3-$O$2,$Q$2)/$Q$2))</f>
        <v>3069.24375913912</v>
      </c>
      <c r="L285" s="15" t="n">
        <f aca="false">K285*(1+IF(L$3&lt;=$O$2,$D285,$D285-($D285-$I$265)*MIN(L$3-$O$2,$Q$2)/$Q$2))</f>
        <v>3161.22526482493</v>
      </c>
      <c r="M285" s="15" t="n">
        <f aca="false">L285*(1+IF(M$3&lt;=$O$2,$D285,$D285-($D285-$I$265)*MIN(M$3-$O$2,$Q$2)/$Q$2))</f>
        <v>3261.22870530145</v>
      </c>
      <c r="N285" s="15" t="n">
        <f aca="false">M285*(1+IF(N$3&lt;=$O$2,$D285,$D285-($D285-$I$265)*MIN(N$3-$O$2,$Q$2)/$Q$2))</f>
        <v>3369.82762118799</v>
      </c>
      <c r="O285" s="15" t="n">
        <f aca="false">SUMPRODUCT(E285:N285,1/(1+$F$265)^$E$3:$N$3)*$E$2</f>
        <v>3748.76983210551</v>
      </c>
      <c r="P285" s="15" t="n">
        <f aca="false">N285*$E$2*(1+$I$265)/($F$265-$I$265)/(1+$F$265)^$N$3</f>
        <v>5297.42274534724</v>
      </c>
      <c r="Q285" s="15" t="n">
        <f aca="false">O285+P285</f>
        <v>9046.19257745275</v>
      </c>
      <c r="R285" s="15" t="n">
        <f aca="false">Q285-$G$2+$I$2</f>
        <v>7669.99257745275</v>
      </c>
      <c r="S285" s="42" t="n">
        <f aca="false">R285/$K$2</f>
        <v>204.478607770001</v>
      </c>
      <c r="T285" s="43" t="n">
        <f aca="false">S285-$M$2</f>
        <v>-0.000197881824760771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0.0249719619750977</v>
      </c>
      <c r="C286" s="25" t="n">
        <f aca="false">IF(T285&gt;0,D285,C285)</f>
        <v>0.0249748229980469</v>
      </c>
      <c r="D286" s="41" t="n">
        <f aca="false">(B286+C286)/2</f>
        <v>0.0249733924865723</v>
      </c>
      <c r="E286" s="15" t="n">
        <f aca="false">$C$2*(1+IF(E$3&lt;=$O$2,$D286,$D286-($D286-$I$265)*MIN(E$3-$O$2,$Q$2)/$Q$2))</f>
        <v>2634.18161869049</v>
      </c>
      <c r="F286" s="15" t="n">
        <f aca="false">E286*(1+IF(F$3&lt;=$O$2,$D286,$D286-($D286-$I$265)*MIN(F$3-$O$2,$Q$2)/$Q$2))</f>
        <v>2699.96607013496</v>
      </c>
      <c r="G286" s="15" t="n">
        <f aca="false">F286*(1+IF(G$3&lt;=$O$2,$D286,$D286-($D286-$I$265)*MIN(G$3-$O$2,$Q$2)/$Q$2))</f>
        <v>2767.39338250487</v>
      </c>
      <c r="H286" s="15" t="n">
        <f aca="false">G286*(1+IF(H$3&lt;=$O$2,$D286,$D286-($D286-$I$265)*MIN(H$3-$O$2,$Q$2)/$Q$2))</f>
        <v>2836.50458361091</v>
      </c>
      <c r="I286" s="15" t="n">
        <f aca="false">H286*(1+IF(I$3&lt;=$O$2,$D286,$D286-($D286-$I$265)*MIN(I$3-$O$2,$Q$2)/$Q$2))</f>
        <v>2907.34172586738</v>
      </c>
      <c r="J286" s="15" t="n">
        <f aca="false">I286*(1+IF(J$3&lt;=$O$2,$D286,$D286-($D286-$I$265)*MIN(J$3-$O$2,$Q$2)/$Q$2))</f>
        <v>2984.7895705718</v>
      </c>
      <c r="K286" s="15" t="n">
        <f aca="false">J286*(1+IF(K$3&lt;=$O$2,$D286,$D286-($D286-$I$265)*MIN(K$3-$O$2,$Q$2)/$Q$2))</f>
        <v>3069.27116051325</v>
      </c>
      <c r="L286" s="15" t="n">
        <f aca="false">K286*(1+IF(L$3&lt;=$O$2,$D286,$D286-($D286-$I$265)*MIN(L$3-$O$2,$Q$2)/$Q$2))</f>
        <v>3161.25524363599</v>
      </c>
      <c r="M286" s="15" t="n">
        <f aca="false">L286*(1+IF(M$3&lt;=$O$2,$D286,$D286-($D286-$I$265)*MIN(M$3-$O$2,$Q$2)/$Q$2))</f>
        <v>3261.26053691636</v>
      </c>
      <c r="N286" s="15" t="n">
        <f aca="false">M286*(1+IF(N$3&lt;=$O$2,$D286,$D286-($D286-$I$265)*MIN(N$3-$O$2,$Q$2)/$Q$2))</f>
        <v>3369.86051279568</v>
      </c>
      <c r="O286" s="15" t="n">
        <f aca="false">SUMPRODUCT(E286:N286,1/(1+$F$265)^$E$3:$N$3)*$E$2</f>
        <v>3748.7931266431</v>
      </c>
      <c r="P286" s="15" t="n">
        <f aca="false">N286*$E$2*(1+$I$265)/($F$265-$I$265)/(1+$F$265)^$N$3</f>
        <v>5297.47445147891</v>
      </c>
      <c r="Q286" s="15" t="n">
        <f aca="false">O286+P286</f>
        <v>9046.26757812202</v>
      </c>
      <c r="R286" s="15" t="n">
        <f aca="false">Q286-$G$2+$I$2</f>
        <v>7670.06757812202</v>
      </c>
      <c r="S286" s="42" t="n">
        <f aca="false">R286/$K$2</f>
        <v>204.480607254653</v>
      </c>
      <c r="T286" s="43" t="n">
        <f aca="false">S286-$M$2</f>
        <v>0.0018016028264185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0.0249719619750977</v>
      </c>
      <c r="C287" s="25" t="n">
        <f aca="false">IF(T286&gt;0,D286,C286)</f>
        <v>0.0249733924865723</v>
      </c>
      <c r="D287" s="41" t="n">
        <f aca="false">(B287+C287)/2</f>
        <v>0.024972677230835</v>
      </c>
      <c r="E287" s="15" t="n">
        <f aca="false">$C$2*(1+IF(E$3&lt;=$O$2,$D287,$D287-($D287-$I$265)*MIN(E$3-$O$2,$Q$2)/$Q$2))</f>
        <v>2634.17978048325</v>
      </c>
      <c r="F287" s="15" t="n">
        <f aca="false">E287*(1+IF(F$3&lt;=$O$2,$D287,$D287-($D287-$I$265)*MIN(F$3-$O$2,$Q$2)/$Q$2))</f>
        <v>2699.96230190925</v>
      </c>
      <c r="G287" s="15" t="n">
        <f aca="false">F287*(1+IF(G$3&lt;=$O$2,$D287,$D287-($D287-$I$265)*MIN(G$3-$O$2,$Q$2)/$Q$2))</f>
        <v>2767.38758901025</v>
      </c>
      <c r="H287" s="15" t="n">
        <f aca="false">G287*(1+IF(H$3&lt;=$O$2,$D287,$D287-($D287-$I$265)*MIN(H$3-$O$2,$Q$2)/$Q$2))</f>
        <v>2836.49666604322</v>
      </c>
      <c r="I287" s="15" t="n">
        <f aca="false">H287*(1+IF(I$3&lt;=$O$2,$D287,$D287-($D287-$I$265)*MIN(I$3-$O$2,$Q$2)/$Q$2))</f>
        <v>2907.33158175066</v>
      </c>
      <c r="J287" s="15" t="n">
        <f aca="false">I287*(1+IF(J$3&lt;=$O$2,$D287,$D287-($D287-$I$265)*MIN(J$3-$O$2,$Q$2)/$Q$2))</f>
        <v>2984.77749264037</v>
      </c>
      <c r="K287" s="15" t="n">
        <f aca="false">J287*(1+IF(K$3&lt;=$O$2,$D287,$D287-($D287-$I$265)*MIN(K$3-$O$2,$Q$2)/$Q$2))</f>
        <v>3069.25745980008</v>
      </c>
      <c r="L287" s="15" t="n">
        <f aca="false">K287*(1+IF(L$3&lt;=$O$2,$D287,$D287-($D287-$I$265)*MIN(L$3-$O$2,$Q$2)/$Q$2))</f>
        <v>3161.24025419966</v>
      </c>
      <c r="M287" s="15" t="n">
        <f aca="false">L287*(1+IF(M$3&lt;=$O$2,$D287,$D287-($D287-$I$265)*MIN(M$3-$O$2,$Q$2)/$Q$2))</f>
        <v>3261.24462107499</v>
      </c>
      <c r="N287" s="15" t="n">
        <f aca="false">M287*(1+IF(N$3&lt;=$O$2,$D287,$D287-($D287-$I$265)*MIN(N$3-$O$2,$Q$2)/$Q$2))</f>
        <v>3369.84406695678</v>
      </c>
      <c r="O287" s="15" t="n">
        <f aca="false">SUMPRODUCT(E287:N287,1/(1+$F$265)^$E$3:$N$3)*$E$2</f>
        <v>3748.78147935591</v>
      </c>
      <c r="P287" s="15" t="n">
        <f aca="false">N287*$E$2*(1+$I$265)/($F$265-$I$265)/(1+$F$265)^$N$3</f>
        <v>5297.44859835798</v>
      </c>
      <c r="Q287" s="15" t="n">
        <f aca="false">O287+P287</f>
        <v>9046.23007771389</v>
      </c>
      <c r="R287" s="15" t="n">
        <f aca="false">Q287-$G$2+$I$2</f>
        <v>7670.03007771389</v>
      </c>
      <c r="S287" s="42" t="n">
        <f aca="false">R287/$K$2</f>
        <v>204.479607510368</v>
      </c>
      <c r="T287" s="43" t="n">
        <f aca="false">S287-$M$2</f>
        <v>0.000801858541450429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0.0249719619750977</v>
      </c>
      <c r="C288" s="25" t="n">
        <f aca="false">IF(T287&gt;0,D287,C287)</f>
        <v>0.024972677230835</v>
      </c>
      <c r="D288" s="41" t="n">
        <f aca="false">(B288+C288)/2</f>
        <v>0.0249723196029663</v>
      </c>
      <c r="E288" s="15" t="n">
        <f aca="false">$C$2*(1+IF(E$3&lt;=$O$2,$D288,$D288-($D288-$I$265)*MIN(E$3-$O$2,$Q$2)/$Q$2))</f>
        <v>2634.17886137962</v>
      </c>
      <c r="F288" s="15" t="n">
        <f aca="false">E288*(1+IF(F$3&lt;=$O$2,$D288,$D288-($D288-$I$265)*MIN(F$3-$O$2,$Q$2)/$Q$2))</f>
        <v>2699.96041779737</v>
      </c>
      <c r="G288" s="15" t="n">
        <f aca="false">F288*(1+IF(G$3&lt;=$O$2,$D288,$D288-($D288-$I$265)*MIN(G$3-$O$2,$Q$2)/$Q$2))</f>
        <v>2767.38469226597</v>
      </c>
      <c r="H288" s="15" t="n">
        <f aca="false">G288*(1+IF(H$3&lt;=$O$2,$D288,$D288-($D288-$I$265)*MIN(H$3-$O$2,$Q$2)/$Q$2))</f>
        <v>2836.49270726559</v>
      </c>
      <c r="I288" s="15" t="n">
        <f aca="false">H288*(1+IF(I$3&lt;=$O$2,$D288,$D288-($D288-$I$265)*MIN(I$3-$O$2,$Q$2)/$Q$2))</f>
        <v>2907.32650970291</v>
      </c>
      <c r="J288" s="15" t="n">
        <f aca="false">I288*(1+IF(J$3&lt;=$O$2,$D288,$D288-($D288-$I$265)*MIN(J$3-$O$2,$Q$2)/$Q$2))</f>
        <v>2984.77145368991</v>
      </c>
      <c r="K288" s="15" t="n">
        <f aca="false">J288*(1+IF(K$3&lt;=$O$2,$D288,$D288-($D288-$I$265)*MIN(K$3-$O$2,$Q$2)/$Q$2))</f>
        <v>3069.25060946308</v>
      </c>
      <c r="L288" s="15" t="n">
        <f aca="false">K288*(1+IF(L$3&lt;=$O$2,$D288,$D288-($D288-$I$265)*MIN(L$3-$O$2,$Q$2)/$Q$2))</f>
        <v>3161.23275950459</v>
      </c>
      <c r="M288" s="15" t="n">
        <f aca="false">L288*(1+IF(M$3&lt;=$O$2,$D288,$D288-($D288-$I$265)*MIN(M$3-$O$2,$Q$2)/$Q$2))</f>
        <v>3261.23666317974</v>
      </c>
      <c r="N288" s="15" t="n">
        <f aca="false">M288*(1+IF(N$3&lt;=$O$2,$D288,$D288-($D288-$I$265)*MIN(N$3-$O$2,$Q$2)/$Q$2))</f>
        <v>3369.83584406362</v>
      </c>
      <c r="O288" s="15" t="n">
        <f aca="false">SUMPRODUCT(E288:N288,1/(1+$F$265)^$E$3:$N$3)*$E$2</f>
        <v>3748.77565572611</v>
      </c>
      <c r="P288" s="15" t="n">
        <f aca="false">N288*$E$2*(1+$I$265)/($F$265-$I$265)/(1+$F$265)^$N$3</f>
        <v>5297.43567183883</v>
      </c>
      <c r="Q288" s="15" t="n">
        <f aca="false">O288+P288</f>
        <v>9046.21132756495</v>
      </c>
      <c r="R288" s="15" t="n">
        <f aca="false">Q288-$G$2+$I$2</f>
        <v>7670.01132756495</v>
      </c>
      <c r="S288" s="42" t="n">
        <f aca="false">R288/$K$2</f>
        <v>204.479107639695</v>
      </c>
      <c r="T288" s="43" t="n">
        <f aca="false">S288-$M$2</f>
        <v>0.000301987868567721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0.0249719619750977</v>
      </c>
      <c r="C289" s="25" t="n">
        <f aca="false">IF(T288&gt;0,D288,C288)</f>
        <v>0.0249723196029663</v>
      </c>
      <c r="D289" s="41" t="n">
        <f aca="false">(B289+C289)/2</f>
        <v>0.024972140789032</v>
      </c>
      <c r="E289" s="15" t="n">
        <f aca="false">$C$2*(1+IF(E$3&lt;=$O$2,$D289,$D289-($D289-$I$265)*MIN(E$3-$O$2,$Q$2)/$Q$2))</f>
        <v>2634.17840182781</v>
      </c>
      <c r="F289" s="15" t="n">
        <f aca="false">E289*(1+IF(F$3&lt;=$O$2,$D289,$D289-($D289-$I$265)*MIN(F$3-$O$2,$Q$2)/$Q$2))</f>
        <v>2699.95947574168</v>
      </c>
      <c r="G289" s="15" t="n">
        <f aca="false">F289*(1+IF(G$3&lt;=$O$2,$D289,$D289-($D289-$I$265)*MIN(G$3-$O$2,$Q$2)/$Q$2))</f>
        <v>2767.38324389459</v>
      </c>
      <c r="H289" s="15" t="n">
        <f aca="false">G289*(1+IF(H$3&lt;=$O$2,$D289,$D289-($D289-$I$265)*MIN(H$3-$O$2,$Q$2)/$Q$2))</f>
        <v>2836.49072787833</v>
      </c>
      <c r="I289" s="15" t="n">
        <f aca="false">H289*(1+IF(I$3&lt;=$O$2,$D289,$D289-($D289-$I$265)*MIN(I$3-$O$2,$Q$2)/$Q$2))</f>
        <v>2907.32397368169</v>
      </c>
      <c r="J289" s="15" t="n">
        <f aca="false">I289*(1+IF(J$3&lt;=$O$2,$D289,$D289-($D289-$I$265)*MIN(J$3-$O$2,$Q$2)/$Q$2))</f>
        <v>2984.7684342185</v>
      </c>
      <c r="K289" s="15" t="n">
        <f aca="false">J289*(1+IF(K$3&lt;=$O$2,$D289,$D289-($D289-$I$265)*MIN(K$3-$O$2,$Q$2)/$Q$2))</f>
        <v>3069.24718429946</v>
      </c>
      <c r="L289" s="15" t="n">
        <f aca="false">K289*(1+IF(L$3&lt;=$O$2,$D289,$D289-($D289-$I$265)*MIN(L$3-$O$2,$Q$2)/$Q$2))</f>
        <v>3161.22901216284</v>
      </c>
      <c r="M289" s="15" t="n">
        <f aca="false">L289*(1+IF(M$3&lt;=$O$2,$D289,$D289-($D289-$I$265)*MIN(M$3-$O$2,$Q$2)/$Q$2))</f>
        <v>3261.23268423847</v>
      </c>
      <c r="N289" s="15" t="n">
        <f aca="false">M289*(1+IF(N$3&lt;=$O$2,$D289,$D289-($D289-$I$265)*MIN(N$3-$O$2,$Q$2)/$Q$2))</f>
        <v>3369.83173262362</v>
      </c>
      <c r="O289" s="15" t="n">
        <f aca="false">SUMPRODUCT(E289:N289,1/(1+$F$265)^$E$3:$N$3)*$E$2</f>
        <v>3748.77274391466</v>
      </c>
      <c r="P289" s="15" t="n">
        <f aca="false">N289*$E$2*(1+$I$265)/($F$265-$I$265)/(1+$F$265)^$N$3</f>
        <v>5297.42920858959</v>
      </c>
      <c r="Q289" s="15" t="n">
        <f aca="false">O289+P289</f>
        <v>9046.20195250426</v>
      </c>
      <c r="R289" s="15" t="n">
        <f aca="false">Q289-$G$2+$I$2</f>
        <v>7670.00195250426</v>
      </c>
      <c r="S289" s="42" t="n">
        <f aca="false">R289/$K$2</f>
        <v>204.478857704726</v>
      </c>
      <c r="T289" s="43" t="n">
        <f aca="false">S289-$M$2</f>
        <v>5.20528994911729E-005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0.0249719619750977</v>
      </c>
      <c r="C290" s="25" t="n">
        <f aca="false">IF(T289&gt;0,D289,C289)</f>
        <v>0.024972140789032</v>
      </c>
      <c r="D290" s="41" t="n">
        <f aca="false">(B290+C290)/2</f>
        <v>0.0249720513820648</v>
      </c>
      <c r="E290" s="15" t="n">
        <f aca="false">$C$2*(1+IF(E$3&lt;=$O$2,$D290,$D290-($D290-$I$265)*MIN(E$3-$O$2,$Q$2)/$Q$2))</f>
        <v>2634.17817205191</v>
      </c>
      <c r="F290" s="15" t="n">
        <f aca="false">E290*(1+IF(F$3&lt;=$O$2,$D290,$D290-($D290-$I$265)*MIN(F$3-$O$2,$Q$2)/$Q$2))</f>
        <v>2699.9590047139</v>
      </c>
      <c r="G290" s="15" t="n">
        <f aca="false">F290*(1+IF(G$3&lt;=$O$2,$D290,$D290-($D290-$I$265)*MIN(G$3-$O$2,$Q$2)/$Q$2))</f>
        <v>2767.38251970908</v>
      </c>
      <c r="H290" s="15" t="n">
        <f aca="false">G290*(1+IF(H$3&lt;=$O$2,$D290,$D290-($D290-$I$265)*MIN(H$3-$O$2,$Q$2)/$Q$2))</f>
        <v>2836.48973818509</v>
      </c>
      <c r="I290" s="15" t="n">
        <f aca="false">H290*(1+IF(I$3&lt;=$O$2,$D290,$D290-($D290-$I$265)*MIN(I$3-$O$2,$Q$2)/$Q$2))</f>
        <v>2907.32270567175</v>
      </c>
      <c r="J290" s="15" t="n">
        <f aca="false">I290*(1+IF(J$3&lt;=$O$2,$D290,$D290-($D290-$I$265)*MIN(J$3-$O$2,$Q$2)/$Q$2))</f>
        <v>2984.76692448374</v>
      </c>
      <c r="K290" s="15" t="n">
        <f aca="false">J290*(1+IF(K$3&lt;=$O$2,$D290,$D290-($D290-$I$265)*MIN(K$3-$O$2,$Q$2)/$Q$2))</f>
        <v>3069.24547171888</v>
      </c>
      <c r="L290" s="15" t="n">
        <f aca="false">K290*(1+IF(L$3&lt;=$O$2,$D290,$D290-($D290-$I$265)*MIN(L$3-$O$2,$Q$2)/$Q$2))</f>
        <v>3161.2271384934</v>
      </c>
      <c r="M290" s="15" t="n">
        <f aca="false">L290*(1+IF(M$3&lt;=$O$2,$D290,$D290-($D290-$I$265)*MIN(M$3-$O$2,$Q$2)/$Q$2))</f>
        <v>3261.23069476943</v>
      </c>
      <c r="N290" s="15" t="n">
        <f aca="false">M290*(1+IF(N$3&lt;=$O$2,$D290,$D290-($D290-$I$265)*MIN(N$3-$O$2,$Q$2)/$Q$2))</f>
        <v>3369.82967690525</v>
      </c>
      <c r="O290" s="15" t="n">
        <f aca="false">SUMPRODUCT(E290:N290,1/(1+$F$265)^$E$3:$N$3)*$E$2</f>
        <v>3748.7712880098</v>
      </c>
      <c r="P290" s="15" t="n">
        <f aca="false">N290*$E$2*(1+$I$265)/($F$265-$I$265)/(1+$F$265)^$N$3</f>
        <v>5297.42597696755</v>
      </c>
      <c r="Q290" s="15" t="n">
        <f aca="false">O290+P290</f>
        <v>9046.19726497735</v>
      </c>
      <c r="R290" s="15" t="n">
        <f aca="false">Q290-$G$2+$I$2</f>
        <v>7669.99726497735</v>
      </c>
      <c r="S290" s="42" t="n">
        <f aca="false">R290/$K$2</f>
        <v>204.478732737333</v>
      </c>
      <c r="T290" s="43" t="n">
        <f aca="false">S290-$M$2</f>
        <v>-7.29144933018233E-005</v>
      </c>
    </row>
    <row r="292" customFormat="false" ht="15" hidden="false" customHeight="false" outlineLevel="0" collapsed="false">
      <c r="A292" s="38" t="s">
        <v>191</v>
      </c>
      <c r="E292" s="5" t="s">
        <v>11</v>
      </c>
      <c r="F292" s="12" t="n">
        <f aca="false">Sensitivity!$B$11</f>
        <v>0.089183337553844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162</v>
      </c>
      <c r="B293" s="28" t="s">
        <v>163</v>
      </c>
      <c r="C293" s="28" t="s">
        <v>164</v>
      </c>
      <c r="D293" s="28" t="s">
        <v>165</v>
      </c>
      <c r="E293" s="28" t="s">
        <v>166</v>
      </c>
      <c r="F293" s="28" t="s">
        <v>167</v>
      </c>
      <c r="G293" s="28" t="s">
        <v>168</v>
      </c>
      <c r="H293" s="28" t="s">
        <v>169</v>
      </c>
      <c r="I293" s="28" t="s">
        <v>170</v>
      </c>
      <c r="J293" s="28" t="s">
        <v>171</v>
      </c>
      <c r="K293" s="28" t="s">
        <v>172</v>
      </c>
      <c r="L293" s="28" t="s">
        <v>173</v>
      </c>
      <c r="M293" s="28" t="s">
        <v>174</v>
      </c>
      <c r="N293" s="28" t="s">
        <v>175</v>
      </c>
      <c r="O293" s="28" t="s">
        <v>176</v>
      </c>
      <c r="P293" s="28" t="s">
        <v>177</v>
      </c>
      <c r="Q293" s="28" t="s">
        <v>178</v>
      </c>
      <c r="R293" s="28" t="s">
        <v>179</v>
      </c>
      <c r="S293" s="28" t="s">
        <v>180</v>
      </c>
      <c r="T293" s="28" t="s">
        <v>181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3212.5</v>
      </c>
      <c r="F294" s="15" t="n">
        <f aca="false">E294*(1+IF(F$3&lt;=$O$2,$D294,$D294-($D294-$I$292)*MIN(F$3-$O$2,$Q$2)/$Q$2))</f>
        <v>4015.625</v>
      </c>
      <c r="G294" s="15" t="n">
        <f aca="false">F294*(1+IF(G$3&lt;=$O$2,$D294,$D294-($D294-$I$292)*MIN(G$3-$O$2,$Q$2)/$Q$2))</f>
        <v>5019.53125</v>
      </c>
      <c r="H294" s="15" t="n">
        <f aca="false">G294*(1+IF(H$3&lt;=$O$2,$D294,$D294-($D294-$I$292)*MIN(H$3-$O$2,$Q$2)/$Q$2))</f>
        <v>6274.4140625</v>
      </c>
      <c r="I294" s="15" t="n">
        <f aca="false">H294*(1+IF(I$3&lt;=$O$2,$D294,$D294-($D294-$I$292)*MIN(I$3-$O$2,$Q$2)/$Q$2))</f>
        <v>7843.017578125</v>
      </c>
      <c r="J294" s="15" t="n">
        <f aca="false">I294*(1+IF(J$3&lt;=$O$2,$D294,$D294-($D294-$I$292)*MIN(J$3-$O$2,$Q$2)/$Q$2))</f>
        <v>9471.69860839844</v>
      </c>
      <c r="K294" s="15" t="n">
        <f aca="false">J294*(1+IF(K$3&lt;=$O$2,$D294,$D294-($D294-$I$292)*MIN(K$3-$O$2,$Q$2)/$Q$2))</f>
        <v>11037.5598223389</v>
      </c>
      <c r="L294" s="15" t="n">
        <f aca="false">K294*(1+IF(L$3&lt;=$O$2,$D294,$D294-($D294-$I$292)*MIN(L$3-$O$2,$Q$2)/$Q$2))</f>
        <v>12394.9589292901</v>
      </c>
      <c r="M294" s="15" t="n">
        <f aca="false">L294*(1+IF(M$3&lt;=$O$2,$D294,$D294-($D294-$I$292)*MIN(M$3-$O$2,$Q$2)/$Q$2))</f>
        <v>13394.4884173481</v>
      </c>
      <c r="N294" s="15" t="n">
        <f aca="false">M294*(1+IF(N$3&lt;=$O$2,$D294,$D294-($D294-$I$292)*MIN(N$3-$O$2,$Q$2)/$Q$2))</f>
        <v>13907.4973237325</v>
      </c>
      <c r="O294" s="15" t="n">
        <f aca="false">SUMPRODUCT(E294:N294,1/(1+$F$292)^$E$3:$N$3)*$E$2</f>
        <v>9972.86956187027</v>
      </c>
      <c r="P294" s="15" t="n">
        <f aca="false">N294*$E$2*(1+$I$292)/($F$292-$I$292)/(1+$F$292)^$N$3</f>
        <v>24127.3209718694</v>
      </c>
      <c r="Q294" s="15" t="n">
        <f aca="false">O294+P294</f>
        <v>34100.1905337397</v>
      </c>
      <c r="R294" s="15" t="n">
        <f aca="false">Q294-$G$2+$I$2</f>
        <v>32723.9905337397</v>
      </c>
      <c r="S294" s="42" t="n">
        <f aca="false">R294/$K$2</f>
        <v>872.407105671545</v>
      </c>
      <c r="T294" s="43" t="n">
        <f aca="false">S294-$M$2</f>
        <v>667.928300019719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2248.75</v>
      </c>
      <c r="F295" s="15" t="n">
        <f aca="false">E295*(1+IF(F$3&lt;=$O$2,$D295,$D295-($D295-$I$292)*MIN(F$3-$O$2,$Q$2)/$Q$2))</f>
        <v>1967.65625</v>
      </c>
      <c r="G295" s="15" t="n">
        <f aca="false">F295*(1+IF(G$3&lt;=$O$2,$D295,$D295-($D295-$I$292)*MIN(G$3-$O$2,$Q$2)/$Q$2))</f>
        <v>1721.69921875</v>
      </c>
      <c r="H295" s="15" t="n">
        <f aca="false">G295*(1+IF(H$3&lt;=$O$2,$D295,$D295-($D295-$I$292)*MIN(H$3-$O$2,$Q$2)/$Q$2))</f>
        <v>1506.48681640625</v>
      </c>
      <c r="I295" s="15" t="n">
        <f aca="false">H295*(1+IF(I$3&lt;=$O$2,$D295,$D295-($D295-$I$292)*MIN(I$3-$O$2,$Q$2)/$Q$2))</f>
        <v>1318.17596435547</v>
      </c>
      <c r="J295" s="15" t="n">
        <f aca="false">I295*(1+IF(J$3&lt;=$O$2,$D295,$D295-($D295-$I$292)*MIN(J$3-$O$2,$Q$2)/$Q$2))</f>
        <v>1196.45559580688</v>
      </c>
      <c r="K295" s="15" t="n">
        <f aca="false">J295*(1+IF(K$3&lt;=$O$2,$D295,$D295-($D295-$I$292)*MIN(K$3-$O$2,$Q$2)/$Q$2))</f>
        <v>1125.05112584913</v>
      </c>
      <c r="L295" s="15" t="n">
        <f aca="false">K295*(1+IF(L$3&lt;=$O$2,$D295,$D295-($D295-$I$292)*MIN(L$3-$O$2,$Q$2)/$Q$2))</f>
        <v>1094.65224442869</v>
      </c>
      <c r="M295" s="15" t="n">
        <f aca="false">L295*(1+IF(M$3&lt;=$O$2,$D295,$D295-($D295-$I$292)*MIN(M$3-$O$2,$Q$2)/$Q$2))</f>
        <v>1100.82608308726</v>
      </c>
      <c r="N295" s="15" t="n">
        <f aca="false">M295*(1+IF(N$3&lt;=$O$2,$D295,$D295-($D295-$I$292)*MIN(N$3-$O$2,$Q$2)/$Q$2))</f>
        <v>1142.98772206951</v>
      </c>
      <c r="O295" s="15" t="n">
        <f aca="false">SUMPRODUCT(E295:N295,1/(1+$F$292)^$E$3:$N$3)*$E$2</f>
        <v>1971.85139101264</v>
      </c>
      <c r="P295" s="15" t="n">
        <f aca="false">N295*$E$2*(1+$I$292)/($F$292-$I$292)/(1+$F$292)^$N$3</f>
        <v>1982.9039686542</v>
      </c>
      <c r="Q295" s="15" t="n">
        <f aca="false">O295+P295</f>
        <v>3954.75535966684</v>
      </c>
      <c r="R295" s="15" t="n">
        <f aca="false">Q295-$G$2+$I$2</f>
        <v>2578.55535966684</v>
      </c>
      <c r="S295" s="42" t="n">
        <f aca="false">R295/$K$2</f>
        <v>68.7431447525151</v>
      </c>
      <c r="T295" s="43" t="n">
        <f aca="false">S295-$M$2</f>
        <v>-135.735660899311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2730.625</v>
      </c>
      <c r="F296" s="15" t="n">
        <f aca="false">E296*(1+IF(F$3&lt;=$O$2,$D296,$D296-($D296-$I$292)*MIN(F$3-$O$2,$Q$2)/$Q$2))</f>
        <v>2901.2890625</v>
      </c>
      <c r="G296" s="15" t="n">
        <f aca="false">F296*(1+IF(G$3&lt;=$O$2,$D296,$D296-($D296-$I$292)*MIN(G$3-$O$2,$Q$2)/$Q$2))</f>
        <v>3082.61962890625</v>
      </c>
      <c r="H296" s="15" t="n">
        <f aca="false">G296*(1+IF(H$3&lt;=$O$2,$D296,$D296-($D296-$I$292)*MIN(H$3-$O$2,$Q$2)/$Q$2))</f>
        <v>3275.28335571289</v>
      </c>
      <c r="I296" s="15" t="n">
        <f aca="false">H296*(1+IF(I$3&lt;=$O$2,$D296,$D296-($D296-$I$292)*MIN(I$3-$O$2,$Q$2)/$Q$2))</f>
        <v>3479.98856544495</v>
      </c>
      <c r="J296" s="15" t="n">
        <f aca="false">I296*(1+IF(J$3&lt;=$O$2,$D296,$D296-($D296-$I$292)*MIN(J$3-$O$2,$Q$2)/$Q$2))</f>
        <v>3680.6447061285</v>
      </c>
      <c r="K296" s="15" t="n">
        <f aca="false">J296*(1+IF(K$3&lt;=$O$2,$D296,$D296-($D296-$I$292)*MIN(K$3-$O$2,$Q$2)/$Q$2))</f>
        <v>3875.05635950621</v>
      </c>
      <c r="L296" s="15" t="n">
        <f aca="false">K296*(1+IF(L$3&lt;=$O$2,$D296,$D296-($D296-$I$292)*MIN(L$3-$O$2,$Q$2)/$Q$2))</f>
        <v>4060.98156363532</v>
      </c>
      <c r="M296" s="15" t="n">
        <f aca="false">L296*(1+IF(M$3&lt;=$O$2,$D296,$D296-($D296-$I$292)*MIN(M$3-$O$2,$Q$2)/$Q$2))</f>
        <v>4236.17230829055</v>
      </c>
      <c r="N296" s="15" t="n">
        <f aca="false">M296*(1+IF(N$3&lt;=$O$2,$D296,$D296-($D296-$I$292)*MIN(N$3-$O$2,$Q$2)/$Q$2))</f>
        <v>4398.41770769807</v>
      </c>
      <c r="O296" s="15" t="n">
        <f aca="false">SUMPRODUCT(E296:N296,1/(1+$F$292)^$E$3:$N$3)*$E$2</f>
        <v>4426.27656952606</v>
      </c>
      <c r="P296" s="15" t="n">
        <f aca="false">N296*$E$2*(1+$I$292)/($F$292-$I$292)/(1+$F$292)^$N$3</f>
        <v>7630.56309354043</v>
      </c>
      <c r="Q296" s="15" t="n">
        <f aca="false">O296+P296</f>
        <v>12056.8396630665</v>
      </c>
      <c r="R296" s="15" t="n">
        <f aca="false">Q296-$G$2+$I$2</f>
        <v>10680.6396630665</v>
      </c>
      <c r="S296" s="42" t="n">
        <f aca="false">R296/$K$2</f>
        <v>284.741126714649</v>
      </c>
      <c r="T296" s="43" t="n">
        <f aca="false">S296-$M$2</f>
        <v>80.2623210628231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2489.6875</v>
      </c>
      <c r="F297" s="15" t="n">
        <f aca="false">E297*(1+IF(F$3&lt;=$O$2,$D297,$D297-($D297-$I$292)*MIN(F$3-$O$2,$Q$2)/$Q$2))</f>
        <v>2411.884765625</v>
      </c>
      <c r="G297" s="15" t="n">
        <f aca="false">F297*(1+IF(G$3&lt;=$O$2,$D297,$D297-($D297-$I$292)*MIN(G$3-$O$2,$Q$2)/$Q$2))</f>
        <v>2336.51336669922</v>
      </c>
      <c r="H297" s="15" t="n">
        <f aca="false">G297*(1+IF(H$3&lt;=$O$2,$D297,$D297-($D297-$I$292)*MIN(H$3-$O$2,$Q$2)/$Q$2))</f>
        <v>2263.49732398987</v>
      </c>
      <c r="I297" s="15" t="n">
        <f aca="false">H297*(1+IF(I$3&lt;=$O$2,$D297,$D297-($D297-$I$292)*MIN(I$3-$O$2,$Q$2)/$Q$2))</f>
        <v>2192.76303261519</v>
      </c>
      <c r="J297" s="15" t="n">
        <f aca="false">I297*(1+IF(J$3&lt;=$O$2,$D297,$D297-($D297-$I$292)*MIN(J$3-$O$2,$Q$2)/$Q$2))</f>
        <v>2154.74052162964</v>
      </c>
      <c r="K297" s="15" t="n">
        <f aca="false">J297*(1+IF(K$3&lt;=$O$2,$D297,$D297-($D297-$I$292)*MIN(K$3-$O$2,$Q$2)/$Q$2))</f>
        <v>2147.34976164045</v>
      </c>
      <c r="L297" s="15" t="n">
        <f aca="false">K297*(1+IF(L$3&lt;=$O$2,$D297,$D297-($D297-$I$292)*MIN(L$3-$O$2,$Q$2)/$Q$2))</f>
        <v>2169.85398714244</v>
      </c>
      <c r="M297" s="15" t="n">
        <f aca="false">L297*(1+IF(M$3&lt;=$O$2,$D297,$D297-($D297-$I$292)*MIN(M$3-$O$2,$Q$2)/$Q$2))</f>
        <v>2222.77672588884</v>
      </c>
      <c r="N297" s="15" t="n">
        <f aca="false">M297*(1+IF(N$3&lt;=$O$2,$D297,$D297-($D297-$I$292)*MIN(N$3-$O$2,$Q$2)/$Q$2))</f>
        <v>2307.90907449039</v>
      </c>
      <c r="O297" s="15" t="n">
        <f aca="false">SUMPRODUCT(E297:N297,1/(1+$F$292)^$E$3:$N$3)*$E$2</f>
        <v>2945.6703360142</v>
      </c>
      <c r="P297" s="15" t="n">
        <f aca="false">N297*$E$2*(1+$I$292)/($F$292-$I$292)/(1+$F$292)^$N$3</f>
        <v>4003.85933701372</v>
      </c>
      <c r="Q297" s="15" t="n">
        <f aca="false">O297+P297</f>
        <v>6949.52967302791</v>
      </c>
      <c r="R297" s="15" t="n">
        <f aca="false">Q297-$G$2+$I$2</f>
        <v>5573.32967302791</v>
      </c>
      <c r="S297" s="42" t="n">
        <f aca="false">R297/$K$2</f>
        <v>148.582502613381</v>
      </c>
      <c r="T297" s="43" t="n">
        <f aca="false">S297-$M$2</f>
        <v>-55.8963030384454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41" t="n">
        <f aca="false">(B298+C298)/2</f>
        <v>0.015625</v>
      </c>
      <c r="E298" s="15" t="n">
        <f aca="false">$C$2*(1+IF(E$3&lt;=$O$2,$D298,$D298-($D298-$I$292)*MIN(E$3-$O$2,$Q$2)/$Q$2))</f>
        <v>2610.15625</v>
      </c>
      <c r="F298" s="15" t="n">
        <f aca="false">E298*(1+IF(F$3&lt;=$O$2,$D298,$D298-($D298-$I$292)*MIN(F$3-$O$2,$Q$2)/$Q$2))</f>
        <v>2650.93994140625</v>
      </c>
      <c r="G298" s="15" t="n">
        <f aca="false">F298*(1+IF(G$3&lt;=$O$2,$D298,$D298-($D298-$I$292)*MIN(G$3-$O$2,$Q$2)/$Q$2))</f>
        <v>2692.36087799072</v>
      </c>
      <c r="H298" s="15" t="n">
        <f aca="false">G298*(1+IF(H$3&lt;=$O$2,$D298,$D298-($D298-$I$292)*MIN(H$3-$O$2,$Q$2)/$Q$2))</f>
        <v>2734.42901670933</v>
      </c>
      <c r="I298" s="15" t="n">
        <f aca="false">H298*(1+IF(I$3&lt;=$O$2,$D298,$D298-($D298-$I$292)*MIN(I$3-$O$2,$Q$2)/$Q$2))</f>
        <v>2777.15447009541</v>
      </c>
      <c r="J298" s="15" t="n">
        <f aca="false">I298*(1+IF(J$3&lt;=$O$2,$D298,$D298-($D298-$I$292)*MIN(J$3-$O$2,$Q$2)/$Q$2))</f>
        <v>2833.14190421253</v>
      </c>
      <c r="K298" s="15" t="n">
        <f aca="false">J298*(1+IF(K$3&lt;=$O$2,$D298,$D298-($D298-$I$292)*MIN(K$3-$O$2,$Q$2)/$Q$2))</f>
        <v>2903.10634353706</v>
      </c>
      <c r="L298" s="15" t="n">
        <f aca="false">K298*(1+IF(L$3&lt;=$O$2,$D298,$D298-($D298-$I$292)*MIN(L$3-$O$2,$Q$2)/$Q$2))</f>
        <v>2987.96414195865</v>
      </c>
      <c r="M298" s="15" t="n">
        <f aca="false">L298*(1+IF(M$3&lt;=$O$2,$D298,$D298-($D298-$I$292)*MIN(M$3-$O$2,$Q$2)/$Q$2))</f>
        <v>3088.85275121189</v>
      </c>
      <c r="N298" s="15" t="n">
        <f aca="false">M298*(1+IF(N$3&lt;=$O$2,$D298,$D298-($D298-$I$292)*MIN(N$3-$O$2,$Q$2)/$Q$2))</f>
        <v>3207.1558115833</v>
      </c>
      <c r="O298" s="15" t="n">
        <f aca="false">SUMPRODUCT(E298:N298,1/(1+$F$292)^$E$3:$N$3)*$E$2</f>
        <v>3609.40080018389</v>
      </c>
      <c r="P298" s="15" t="n">
        <f aca="false">N298*$E$2*(1+$I$292)/($F$292-$I$292)/(1+$F$292)^$N$3</f>
        <v>5563.91102379155</v>
      </c>
      <c r="Q298" s="15" t="n">
        <f aca="false">O298+P298</f>
        <v>9173.31182397544</v>
      </c>
      <c r="R298" s="15" t="n">
        <f aca="false">Q298-$G$2+$I$2</f>
        <v>7797.11182397544</v>
      </c>
      <c r="S298" s="42" t="n">
        <f aca="false">R298/$K$2</f>
        <v>207.867550625845</v>
      </c>
      <c r="T298" s="43" t="n">
        <f aca="false">S298-$M$2</f>
        <v>3.38874497401866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-0.03125</v>
      </c>
      <c r="C299" s="25" t="n">
        <f aca="false">IF(T298&gt;0,D298,C298)</f>
        <v>0.015625</v>
      </c>
      <c r="D299" s="41" t="n">
        <f aca="false">(B299+C299)/2</f>
        <v>-0.0078125</v>
      </c>
      <c r="E299" s="15" t="n">
        <f aca="false">$C$2*(1+IF(E$3&lt;=$O$2,$D299,$D299-($D299-$I$292)*MIN(E$3-$O$2,$Q$2)/$Q$2))</f>
        <v>2549.921875</v>
      </c>
      <c r="F299" s="15" t="n">
        <f aca="false">E299*(1+IF(F$3&lt;=$O$2,$D299,$D299-($D299-$I$292)*MIN(F$3-$O$2,$Q$2)/$Q$2))</f>
        <v>2530.00061035156</v>
      </c>
      <c r="G299" s="15" t="n">
        <f aca="false">F299*(1+IF(G$3&lt;=$O$2,$D299,$D299-($D299-$I$292)*MIN(G$3-$O$2,$Q$2)/$Q$2))</f>
        <v>2510.23498058319</v>
      </c>
      <c r="H299" s="15" t="n">
        <f aca="false">G299*(1+IF(H$3&lt;=$O$2,$D299,$D299-($D299-$I$292)*MIN(H$3-$O$2,$Q$2)/$Q$2))</f>
        <v>2490.62376979738</v>
      </c>
      <c r="I299" s="15" t="n">
        <f aca="false">H299*(1+IF(I$3&lt;=$O$2,$D299,$D299-($D299-$I$292)*MIN(I$3-$O$2,$Q$2)/$Q$2))</f>
        <v>2471.16577159584</v>
      </c>
      <c r="J299" s="15" t="n">
        <f aca="false">I299*(1+IF(J$3&lt;=$O$2,$D299,$D299-($D299-$I$292)*MIN(J$3-$O$2,$Q$2)/$Q$2))</f>
        <v>2474.65011533379</v>
      </c>
      <c r="K299" s="15" t="n">
        <f aca="false">J299*(1+IF(K$3&lt;=$O$2,$D299,$D299-($D299-$I$292)*MIN(K$3-$O$2,$Q$2)/$Q$2))</f>
        <v>2500.96183268508</v>
      </c>
      <c r="L299" s="15" t="n">
        <f aca="false">K299*(1+IF(L$3&lt;=$O$2,$D299,$D299-($D299-$I$292)*MIN(L$3-$O$2,$Q$2)/$Q$2))</f>
        <v>2550.61842987304</v>
      </c>
      <c r="M299" s="15" t="n">
        <f aca="false">L299*(1+IF(M$3&lt;=$O$2,$D299,$D299-($D299-$I$292)*MIN(M$3-$O$2,$Q$2)/$Q$2))</f>
        <v>2624.78403726768</v>
      </c>
      <c r="N299" s="15" t="n">
        <f aca="false">M299*(1+IF(N$3&lt;=$O$2,$D299,$D299-($D299-$I$292)*MIN(N$3-$O$2,$Q$2)/$Q$2))</f>
        <v>2725.31326589503</v>
      </c>
      <c r="O299" s="15" t="n">
        <f aca="false">SUMPRODUCT(E299:N299,1/(1+$F$292)^$E$3:$N$3)*$E$2</f>
        <v>3260.2269210082</v>
      </c>
      <c r="P299" s="15" t="n">
        <f aca="false">N299*$E$2*(1+$I$292)/($F$292-$I$292)/(1+$F$292)^$N$3</f>
        <v>4727.98997436699</v>
      </c>
      <c r="Q299" s="15" t="n">
        <f aca="false">O299+P299</f>
        <v>7988.21689537519</v>
      </c>
      <c r="R299" s="15" t="n">
        <f aca="false">Q299-$G$2+$I$2</f>
        <v>6612.01689537519</v>
      </c>
      <c r="S299" s="42" t="n">
        <f aca="false">R299/$K$2</f>
        <v>176.273444291527</v>
      </c>
      <c r="T299" s="43" t="n">
        <f aca="false">S299-$M$2</f>
        <v>-28.2053613602987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-0.0078125</v>
      </c>
      <c r="C300" s="25" t="n">
        <f aca="false">IF(T299&gt;0,D299,C299)</f>
        <v>0.015625</v>
      </c>
      <c r="D300" s="41" t="n">
        <f aca="false">(B300+C300)/2</f>
        <v>0.00390625</v>
      </c>
      <c r="E300" s="15" t="n">
        <f aca="false">$C$2*(1+IF(E$3&lt;=$O$2,$D300,$D300-($D300-$I$292)*MIN(E$3-$O$2,$Q$2)/$Q$2))</f>
        <v>2580.0390625</v>
      </c>
      <c r="F300" s="15" t="n">
        <f aca="false">E300*(1+IF(F$3&lt;=$O$2,$D300,$D300-($D300-$I$292)*MIN(F$3-$O$2,$Q$2)/$Q$2))</f>
        <v>2590.11734008789</v>
      </c>
      <c r="G300" s="15" t="n">
        <f aca="false">F300*(1+IF(G$3&lt;=$O$2,$D300,$D300-($D300-$I$292)*MIN(G$3-$O$2,$Q$2)/$Q$2))</f>
        <v>2600.23498594761</v>
      </c>
      <c r="H300" s="15" t="n">
        <f aca="false">G300*(1+IF(H$3&lt;=$O$2,$D300,$D300-($D300-$I$292)*MIN(H$3-$O$2,$Q$2)/$Q$2))</f>
        <v>2610.39215386147</v>
      </c>
      <c r="I300" s="15" t="n">
        <f aca="false">H300*(1+IF(I$3&lt;=$O$2,$D300,$D300-($D300-$I$292)*MIN(I$3-$O$2,$Q$2)/$Q$2))</f>
        <v>2620.58899821249</v>
      </c>
      <c r="J300" s="15" t="n">
        <f aca="false">I300*(1+IF(J$3&lt;=$O$2,$D300,$D300-($D300-$I$292)*MIN(J$3-$O$2,$Q$2)/$Q$2))</f>
        <v>2648.85205055821</v>
      </c>
      <c r="K300" s="15" t="n">
        <f aca="false">J300*(1+IF(K$3&lt;=$O$2,$D300,$D300-($D300-$I$292)*MIN(K$3-$O$2,$Q$2)/$Q$2))</f>
        <v>2695.64071096626</v>
      </c>
      <c r="L300" s="15" t="n">
        <f aca="false">K300*(1+IF(L$3&lt;=$O$2,$D300,$D300-($D300-$I$292)*MIN(L$3-$O$2,$Q$2)/$Q$2))</f>
        <v>2761.79847311515</v>
      </c>
      <c r="M300" s="15" t="n">
        <f aca="false">L300*(1+IF(M$3&lt;=$O$2,$D300,$D300-($D300-$I$292)*MIN(M$3-$O$2,$Q$2)/$Q$2))</f>
        <v>2848.57763338852</v>
      </c>
      <c r="N300" s="15" t="n">
        <f aca="false">M300*(1+IF(N$3&lt;=$O$2,$D300,$D300-($D300-$I$292)*MIN(N$3-$O$2,$Q$2)/$Q$2))</f>
        <v>2957.6781567473</v>
      </c>
      <c r="O300" s="15" t="n">
        <f aca="false">SUMPRODUCT(E300:N300,1/(1+$F$292)^$E$3:$N$3)*$E$2</f>
        <v>3430.26963404631</v>
      </c>
      <c r="P300" s="15" t="n">
        <f aca="false">N300*$E$2*(1+$I$292)/($F$292-$I$292)/(1+$F$292)^$N$3</f>
        <v>5131.1065217719</v>
      </c>
      <c r="Q300" s="15" t="n">
        <f aca="false">O300+P300</f>
        <v>8561.37615581822</v>
      </c>
      <c r="R300" s="15" t="n">
        <f aca="false">Q300-$G$2+$I$2</f>
        <v>7185.17615581822</v>
      </c>
      <c r="S300" s="42" t="n">
        <f aca="false">R300/$K$2</f>
        <v>191.553616524079</v>
      </c>
      <c r="T300" s="43" t="n">
        <f aca="false">S300-$M$2</f>
        <v>-12.9251891277467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0.00390625</v>
      </c>
      <c r="C301" s="25" t="n">
        <f aca="false">IF(T300&gt;0,D300,C300)</f>
        <v>0.015625</v>
      </c>
      <c r="D301" s="41" t="n">
        <f aca="false">(B301+C301)/2</f>
        <v>0.009765625</v>
      </c>
      <c r="E301" s="15" t="n">
        <f aca="false">$C$2*(1+IF(E$3&lt;=$O$2,$D301,$D301-($D301-$I$292)*MIN(E$3-$O$2,$Q$2)/$Q$2))</f>
        <v>2595.09765625</v>
      </c>
      <c r="F301" s="15" t="n">
        <f aca="false">E301*(1+IF(F$3&lt;=$O$2,$D301,$D301-($D301-$I$292)*MIN(F$3-$O$2,$Q$2)/$Q$2))</f>
        <v>2620.44040679932</v>
      </c>
      <c r="G301" s="15" t="n">
        <f aca="false">F301*(1+IF(G$3&lt;=$O$2,$D301,$D301-($D301-$I$292)*MIN(G$3-$O$2,$Q$2)/$Q$2))</f>
        <v>2646.03064514697</v>
      </c>
      <c r="H301" s="15" t="n">
        <f aca="false">G301*(1+IF(H$3&lt;=$O$2,$D301,$D301-($D301-$I$292)*MIN(H$3-$O$2,$Q$2)/$Q$2))</f>
        <v>2671.87078816598</v>
      </c>
      <c r="I301" s="15" t="n">
        <f aca="false">H301*(1+IF(I$3&lt;=$O$2,$D301,$D301-($D301-$I$292)*MIN(I$3-$O$2,$Q$2)/$Q$2))</f>
        <v>2697.96327633166</v>
      </c>
      <c r="J301" s="15" t="n">
        <f aca="false">I301*(1+IF(J$3&lt;=$O$2,$D301,$D301-($D301-$I$292)*MIN(J$3-$O$2,$Q$2)/$Q$2))</f>
        <v>2739.7075131247</v>
      </c>
      <c r="K301" s="15" t="n">
        <f aca="false">J301*(1+IF(K$3&lt;=$O$2,$D301,$D301-($D301-$I$292)*MIN(K$3-$O$2,$Q$2)/$Q$2))</f>
        <v>2797.73280593549</v>
      </c>
      <c r="L301" s="15" t="n">
        <f aca="false">K301*(1+IF(L$3&lt;=$O$2,$D301,$D301-($D301-$I$292)*MIN(L$3-$O$2,$Q$2)/$Q$2))</f>
        <v>2872.95334958907</v>
      </c>
      <c r="M301" s="15" t="n">
        <f aca="false">L301*(1+IF(M$3&lt;=$O$2,$D301,$D301-($D301-$I$292)*MIN(M$3-$O$2,$Q$2)/$Q$2))</f>
        <v>2966.5918772314</v>
      </c>
      <c r="N301" s="15" t="n">
        <f aca="false">M301*(1+IF(N$3&lt;=$O$2,$D301,$D301-($D301-$I$292)*MIN(N$3-$O$2,$Q$2)/$Q$2))</f>
        <v>3080.21234612936</v>
      </c>
      <c r="O301" s="15" t="n">
        <f aca="false">SUMPRODUCT(E301:N301,1/(1+$F$292)^$E$3:$N$3)*$E$2</f>
        <v>3518.67098974412</v>
      </c>
      <c r="P301" s="15" t="n">
        <f aca="false">N301*$E$2*(1+$I$292)/($F$292-$I$292)/(1+$F$292)^$N$3</f>
        <v>5343.68407245774</v>
      </c>
      <c r="Q301" s="15" t="n">
        <f aca="false">O301+P301</f>
        <v>8862.35506220187</v>
      </c>
      <c r="R301" s="15" t="n">
        <f aca="false">Q301-$G$2+$I$2</f>
        <v>7486.15506220187</v>
      </c>
      <c r="S301" s="42" t="n">
        <f aca="false">R301/$K$2</f>
        <v>199.577580970458</v>
      </c>
      <c r="T301" s="43" t="n">
        <f aca="false">S301-$M$2</f>
        <v>-4.90122468136838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0.009765625</v>
      </c>
      <c r="C302" s="25" t="n">
        <f aca="false">IF(T301&gt;0,D301,C301)</f>
        <v>0.015625</v>
      </c>
      <c r="D302" s="41" t="n">
        <f aca="false">(B302+C302)/2</f>
        <v>0.0126953125</v>
      </c>
      <c r="E302" s="15" t="n">
        <f aca="false">$C$2*(1+IF(E$3&lt;=$O$2,$D302,$D302-($D302-$I$292)*MIN(E$3-$O$2,$Q$2)/$Q$2))</f>
        <v>2602.626953125</v>
      </c>
      <c r="F302" s="15" t="n">
        <f aca="false">E302*(1+IF(F$3&lt;=$O$2,$D302,$D302-($D302-$I$292)*MIN(F$3-$O$2,$Q$2)/$Q$2))</f>
        <v>2635.66811561584</v>
      </c>
      <c r="G302" s="15" t="n">
        <f aca="false">F302*(1+IF(G$3&lt;=$O$2,$D302,$D302-($D302-$I$292)*MIN(G$3-$O$2,$Q$2)/$Q$2))</f>
        <v>2669.12874598987</v>
      </c>
      <c r="H302" s="15" t="n">
        <f aca="false">G302*(1+IF(H$3&lt;=$O$2,$D302,$D302-($D302-$I$292)*MIN(H$3-$O$2,$Q$2)/$Q$2))</f>
        <v>2703.01416952295</v>
      </c>
      <c r="I302" s="15" t="n">
        <f aca="false">H302*(1+IF(I$3&lt;=$O$2,$D302,$D302-($D302-$I$292)*MIN(I$3-$O$2,$Q$2)/$Q$2))</f>
        <v>2737.32977909697</v>
      </c>
      <c r="J302" s="15" t="n">
        <f aca="false">I302*(1+IF(J$3&lt;=$O$2,$D302,$D302-($D302-$I$292)*MIN(J$3-$O$2,$Q$2)/$Q$2))</f>
        <v>2786.09873077381</v>
      </c>
      <c r="K302" s="15" t="n">
        <f aca="false">J302*(1+IF(K$3&lt;=$O$2,$D302,$D302-($D302-$I$292)*MIN(K$3-$O$2,$Q$2)/$Q$2))</f>
        <v>2850.00399975508</v>
      </c>
      <c r="L302" s="15" t="n">
        <f aca="false">K302*(1+IF(L$3&lt;=$O$2,$D302,$D302-($D302-$I$292)*MIN(L$3-$O$2,$Q$2)/$Q$2))</f>
        <v>2929.96976823071</v>
      </c>
      <c r="M302" s="15" t="n">
        <f aca="false">L302*(1+IF(M$3&lt;=$O$2,$D302,$D302-($D302-$I$292)*MIN(M$3-$O$2,$Q$2)/$Q$2))</f>
        <v>3027.18341829394</v>
      </c>
      <c r="N302" s="15" t="n">
        <f aca="false">M302*(1+IF(N$3&lt;=$O$2,$D302,$D302-($D302-$I$292)*MIN(N$3-$O$2,$Q$2)/$Q$2))</f>
        <v>3143.1245432146</v>
      </c>
      <c r="O302" s="15" t="n">
        <f aca="false">SUMPRODUCT(E302:N302,1/(1+$F$292)^$E$3:$N$3)*$E$2</f>
        <v>3563.74125018016</v>
      </c>
      <c r="P302" s="15" t="n">
        <f aca="false">N302*$E$2*(1+$I$292)/($F$292-$I$292)/(1+$F$292)^$N$3</f>
        <v>5452.82684177044</v>
      </c>
      <c r="Q302" s="15" t="n">
        <f aca="false">O302+P302</f>
        <v>9016.5680919506</v>
      </c>
      <c r="R302" s="15" t="n">
        <f aca="false">Q302-$G$2+$I$2</f>
        <v>7640.3680919506</v>
      </c>
      <c r="S302" s="42" t="n">
        <f aca="false">R302/$K$2</f>
        <v>203.68883209679</v>
      </c>
      <c r="T302" s="43" t="n">
        <f aca="false">S302-$M$2</f>
        <v>-0.789973555035999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0.0126953125</v>
      </c>
      <c r="C303" s="25" t="n">
        <f aca="false">IF(T302&gt;0,D302,C302)</f>
        <v>0.015625</v>
      </c>
      <c r="D303" s="41" t="n">
        <f aca="false">(B303+C303)/2</f>
        <v>0.01416015625</v>
      </c>
      <c r="E303" s="15" t="n">
        <f aca="false">$C$2*(1+IF(E$3&lt;=$O$2,$D303,$D303-($D303-$I$292)*MIN(E$3-$O$2,$Q$2)/$Q$2))</f>
        <v>2606.3916015625</v>
      </c>
      <c r="F303" s="15" t="n">
        <f aca="false">E303*(1+IF(F$3&lt;=$O$2,$D303,$D303-($D303-$I$292)*MIN(F$3-$O$2,$Q$2)/$Q$2))</f>
        <v>2643.29851388931</v>
      </c>
      <c r="G303" s="15" t="n">
        <f aca="false">F303*(1+IF(G$3&lt;=$O$2,$D303,$D303-($D303-$I$292)*MIN(G$3-$O$2,$Q$2)/$Q$2))</f>
        <v>2680.72803386138</v>
      </c>
      <c r="H303" s="15" t="n">
        <f aca="false">G303*(1+IF(H$3&lt;=$O$2,$D303,$D303-($D303-$I$292)*MIN(H$3-$O$2,$Q$2)/$Q$2))</f>
        <v>2718.68756168461</v>
      </c>
      <c r="I303" s="15" t="n">
        <f aca="false">H303*(1+IF(I$3&lt;=$O$2,$D303,$D303-($D303-$I$292)*MIN(I$3-$O$2,$Q$2)/$Q$2))</f>
        <v>2757.184602353</v>
      </c>
      <c r="J303" s="15" t="n">
        <f aca="false">I303*(1+IF(J$3&lt;=$O$2,$D303,$D303-($D303-$I$292)*MIN(J$3-$O$2,$Q$2)/$Q$2))</f>
        <v>2809.53836823055</v>
      </c>
      <c r="K303" s="15" t="n">
        <f aca="false">J303*(1+IF(K$3&lt;=$O$2,$D303,$D303-($D303-$I$292)*MIN(K$3-$O$2,$Q$2)/$Q$2))</f>
        <v>2876.45059740255</v>
      </c>
      <c r="L303" s="15" t="n">
        <f aca="false">K303*(1+IF(L$3&lt;=$O$2,$D303,$D303-($D303-$I$292)*MIN(L$3-$O$2,$Q$2)/$Q$2))</f>
        <v>2958.84382809271</v>
      </c>
      <c r="M303" s="15" t="n">
        <f aca="false">L303*(1+IF(M$3&lt;=$O$2,$D303,$D303-($D303-$I$292)*MIN(M$3-$O$2,$Q$2)/$Q$2))</f>
        <v>3057.8823411705</v>
      </c>
      <c r="N303" s="15" t="n">
        <f aca="false">M303*(1+IF(N$3&lt;=$O$2,$D303,$D303-($D303-$I$292)*MIN(N$3-$O$2,$Q$2)/$Q$2))</f>
        <v>3174.99923483733</v>
      </c>
      <c r="O303" s="15" t="n">
        <f aca="false">SUMPRODUCT(E303:N303,1/(1+$F$292)^$E$3:$N$3)*$E$2</f>
        <v>3586.49691127538</v>
      </c>
      <c r="P303" s="15" t="n">
        <f aca="false">N303*$E$2*(1+$I$292)/($F$292-$I$292)/(1+$F$292)^$N$3</f>
        <v>5508.1244195991</v>
      </c>
      <c r="Q303" s="15" t="n">
        <f aca="false">O303+P303</f>
        <v>9094.62133087448</v>
      </c>
      <c r="R303" s="15" t="n">
        <f aca="false">Q303-$G$2+$I$2</f>
        <v>7718.42133087448</v>
      </c>
      <c r="S303" s="42" t="n">
        <f aca="false">R303/$K$2</f>
        <v>205.769696904145</v>
      </c>
      <c r="T303" s="43" t="n">
        <f aca="false">S303-$M$2</f>
        <v>1.29089125231889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0.0126953125</v>
      </c>
      <c r="C304" s="25" t="n">
        <f aca="false">IF(T303&gt;0,D303,C303)</f>
        <v>0.01416015625</v>
      </c>
      <c r="D304" s="41" t="n">
        <f aca="false">(B304+C304)/2</f>
        <v>0.013427734375</v>
      </c>
      <c r="E304" s="15" t="n">
        <f aca="false">$C$2*(1+IF(E$3&lt;=$O$2,$D304,$D304-($D304-$I$292)*MIN(E$3-$O$2,$Q$2)/$Q$2))</f>
        <v>2604.50927734375</v>
      </c>
      <c r="F304" s="15" t="n">
        <f aca="false">E304*(1+IF(F$3&lt;=$O$2,$D304,$D304-($D304-$I$292)*MIN(F$3-$O$2,$Q$2)/$Q$2))</f>
        <v>2639.48193609715</v>
      </c>
      <c r="G304" s="15" t="n">
        <f aca="false">F304*(1+IF(G$3&lt;=$O$2,$D304,$D304-($D304-$I$292)*MIN(G$3-$O$2,$Q$2)/$Q$2))</f>
        <v>2674.92419842267</v>
      </c>
      <c r="H304" s="15" t="n">
        <f aca="false">G304*(1+IF(H$3&lt;=$O$2,$D304,$D304-($D304-$I$292)*MIN(H$3-$O$2,$Q$2)/$Q$2))</f>
        <v>2710.84237003235</v>
      </c>
      <c r="I304" s="15" t="n">
        <f aca="false">H304*(1+IF(I$3&lt;=$O$2,$D304,$D304-($D304-$I$292)*MIN(I$3-$O$2,$Q$2)/$Q$2))</f>
        <v>2747.24284130964</v>
      </c>
      <c r="J304" s="15" t="n">
        <f aca="false">I304*(1+IF(J$3&lt;=$O$2,$D304,$D304-($D304-$I$292)*MIN(J$3-$O$2,$Q$2)/$Q$2))</f>
        <v>2797.79811918345</v>
      </c>
      <c r="K304" s="15" t="n">
        <f aca="false">J304*(1+IF(K$3&lt;=$O$2,$D304,$D304-($D304-$I$292)*MIN(K$3-$O$2,$Q$2)/$Q$2))</f>
        <v>2863.2012403569</v>
      </c>
      <c r="L304" s="15" t="n">
        <f aca="false">K304*(1+IF(L$3&lt;=$O$2,$D304,$D304-($D304-$I$292)*MIN(L$3-$O$2,$Q$2)/$Q$2))</f>
        <v>2944.37612714738</v>
      </c>
      <c r="M304" s="15" t="n">
        <f aca="false">L304*(1+IF(M$3&lt;=$O$2,$D304,$D304-($D304-$I$292)*MIN(M$3-$O$2,$Q$2)/$Q$2))</f>
        <v>3042.49907179026</v>
      </c>
      <c r="N304" s="15" t="n">
        <f aca="false">M304*(1+IF(N$3&lt;=$O$2,$D304,$D304-($D304-$I$292)*MIN(N$3-$O$2,$Q$2)/$Q$2))</f>
        <v>3159.02678623983</v>
      </c>
      <c r="O304" s="15" t="n">
        <f aca="false">SUMPRODUCT(E304:N304,1/(1+$F$292)^$E$3:$N$3)*$E$2</f>
        <v>3575.10060902933</v>
      </c>
      <c r="P304" s="15" t="n">
        <f aca="false">N304*$E$2*(1+$I$292)/($F$292-$I$292)/(1+$F$292)^$N$3</f>
        <v>5480.41473287056</v>
      </c>
      <c r="Q304" s="15" t="n">
        <f aca="false">O304+P304</f>
        <v>9055.51534189989</v>
      </c>
      <c r="R304" s="15" t="n">
        <f aca="false">Q304-$G$2+$I$2</f>
        <v>7679.31534189989</v>
      </c>
      <c r="S304" s="42" t="n">
        <f aca="false">R304/$K$2</f>
        <v>204.727148544385</v>
      </c>
      <c r="T304" s="43" t="n">
        <f aca="false">S304-$M$2</f>
        <v>0.248342892559037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0.0126953125</v>
      </c>
      <c r="C305" s="25" t="n">
        <f aca="false">IF(T304&gt;0,D304,C304)</f>
        <v>0.013427734375</v>
      </c>
      <c r="D305" s="41" t="n">
        <f aca="false">(B305+C305)/2</f>
        <v>0.0130615234375</v>
      </c>
      <c r="E305" s="15" t="n">
        <f aca="false">$C$2*(1+IF(E$3&lt;=$O$2,$D305,$D305-($D305-$I$292)*MIN(E$3-$O$2,$Q$2)/$Q$2))</f>
        <v>2603.56811523438</v>
      </c>
      <c r="F305" s="15" t="n">
        <f aca="false">E305*(1+IF(F$3&lt;=$O$2,$D305,$D305-($D305-$I$292)*MIN(F$3-$O$2,$Q$2)/$Q$2))</f>
        <v>2637.57468119264</v>
      </c>
      <c r="G305" s="15" t="n">
        <f aca="false">F305*(1+IF(G$3&lt;=$O$2,$D305,$D305-($D305-$I$292)*MIN(G$3-$O$2,$Q$2)/$Q$2))</f>
        <v>2672.02542470919</v>
      </c>
      <c r="H305" s="15" t="n">
        <f aca="false">G305*(1+IF(H$3&lt;=$O$2,$D305,$D305-($D305-$I$292)*MIN(H$3-$O$2,$Q$2)/$Q$2))</f>
        <v>2706.92614741963</v>
      </c>
      <c r="I305" s="15" t="n">
        <f aca="false">H305*(1+IF(I$3&lt;=$O$2,$D305,$D305-($D305-$I$292)*MIN(I$3-$O$2,$Q$2)/$Q$2))</f>
        <v>2742.28272673773</v>
      </c>
      <c r="J305" s="15" t="n">
        <f aca="false">I305*(1+IF(J$3&lt;=$O$2,$D305,$D305-($D305-$I$292)*MIN(J$3-$O$2,$Q$2)/$Q$2))</f>
        <v>2791.94332451057</v>
      </c>
      <c r="K305" s="15" t="n">
        <f aca="false">J305*(1+IF(K$3&lt;=$O$2,$D305,$D305-($D305-$I$292)*MIN(K$3-$O$2,$Q$2)/$Q$2))</f>
        <v>2856.59611614363</v>
      </c>
      <c r="L305" s="15" t="n">
        <f aca="false">K305*(1+IF(L$3&lt;=$O$2,$D305,$D305-($D305-$I$292)*MIN(L$3-$O$2,$Q$2)/$Q$2))</f>
        <v>2937.1652937416</v>
      </c>
      <c r="M305" s="15" t="n">
        <f aca="false">L305*(1+IF(M$3&lt;=$O$2,$D305,$D305-($D305-$I$292)*MIN(M$3-$O$2,$Q$2)/$Q$2))</f>
        <v>3034.83280900665</v>
      </c>
      <c r="N305" s="15" t="n">
        <f aca="false">M305*(1+IF(N$3&lt;=$O$2,$D305,$D305-($D305-$I$292)*MIN(N$3-$O$2,$Q$2)/$Q$2))</f>
        <v>3151.0669055916</v>
      </c>
      <c r="O305" s="15" t="n">
        <f aca="false">SUMPRODUCT(E305:N305,1/(1+$F$292)^$E$3:$N$3)*$E$2</f>
        <v>3569.41631876081</v>
      </c>
      <c r="P305" s="15" t="n">
        <f aca="false">N305*$E$2*(1+$I$292)/($F$292-$I$292)/(1+$F$292)^$N$3</f>
        <v>5466.60559159755</v>
      </c>
      <c r="Q305" s="15" t="n">
        <f aca="false">O305+P305</f>
        <v>9036.02191035836</v>
      </c>
      <c r="R305" s="15" t="n">
        <f aca="false">Q305-$G$2+$I$2</f>
        <v>7659.82191035836</v>
      </c>
      <c r="S305" s="42" t="n">
        <f aca="false">R305/$K$2</f>
        <v>204.20746228628</v>
      </c>
      <c r="T305" s="43" t="n">
        <f aca="false">S305-$M$2</f>
        <v>-0.271343365546301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0.0130615234375</v>
      </c>
      <c r="C306" s="25" t="n">
        <f aca="false">IF(T305&gt;0,D305,C305)</f>
        <v>0.013427734375</v>
      </c>
      <c r="D306" s="41" t="n">
        <f aca="false">(B306+C306)/2</f>
        <v>0.01324462890625</v>
      </c>
      <c r="E306" s="15" t="n">
        <f aca="false">$C$2*(1+IF(E$3&lt;=$O$2,$D306,$D306-($D306-$I$292)*MIN(E$3-$O$2,$Q$2)/$Q$2))</f>
        <v>2604.03869628906</v>
      </c>
      <c r="F306" s="15" t="n">
        <f aca="false">E306*(1+IF(F$3&lt;=$O$2,$D306,$D306-($D306-$I$292)*MIN(F$3-$O$2,$Q$2)/$Q$2))</f>
        <v>2638.52822247893</v>
      </c>
      <c r="G306" s="15" t="n">
        <f aca="false">F306*(1+IF(G$3&lt;=$O$2,$D306,$D306-($D306-$I$292)*MIN(G$3-$O$2,$Q$2)/$Q$2))</f>
        <v>2673.47454964433</v>
      </c>
      <c r="H306" s="15" t="n">
        <f aca="false">G306*(1+IF(H$3&lt;=$O$2,$D306,$D306-($D306-$I$292)*MIN(H$3-$O$2,$Q$2)/$Q$2))</f>
        <v>2708.88372794467</v>
      </c>
      <c r="I306" s="15" t="n">
        <f aca="false">H306*(1+IF(I$3&lt;=$O$2,$D306,$D306-($D306-$I$292)*MIN(I$3-$O$2,$Q$2)/$Q$2))</f>
        <v>2744.76188767148</v>
      </c>
      <c r="J306" s="15" t="n">
        <f aca="false">I306*(1+IF(J$3&lt;=$O$2,$D306,$D306-($D306-$I$292)*MIN(J$3-$O$2,$Q$2)/$Q$2))</f>
        <v>2794.86944584162</v>
      </c>
      <c r="K306" s="15" t="n">
        <f aca="false">J306*(1+IF(K$3&lt;=$O$2,$D306,$D306-($D306-$I$292)*MIN(K$3-$O$2,$Q$2)/$Q$2))</f>
        <v>2859.89705094287</v>
      </c>
      <c r="L306" s="15" t="n">
        <f aca="false">K306*(1+IF(L$3&lt;=$O$2,$D306,$D306-($D306-$I$292)*MIN(L$3-$O$2,$Q$2)/$Q$2))</f>
        <v>2940.76879523346</v>
      </c>
      <c r="M306" s="15" t="n">
        <f aca="false">L306*(1+IF(M$3&lt;=$O$2,$D306,$D306-($D306-$I$292)*MIN(M$3-$O$2,$Q$2)/$Q$2))</f>
        <v>3038.6638293978</v>
      </c>
      <c r="N306" s="15" t="n">
        <f aca="false">M306*(1+IF(N$3&lt;=$O$2,$D306,$D306-($D306-$I$292)*MIN(N$3-$O$2,$Q$2)/$Q$2))</f>
        <v>3155.04465406374</v>
      </c>
      <c r="O306" s="15" t="n">
        <f aca="false">SUMPRODUCT(E306:N306,1/(1+$F$292)^$E$3:$N$3)*$E$2</f>
        <v>3572.25731029974</v>
      </c>
      <c r="P306" s="15" t="n">
        <f aca="false">N306*$E$2*(1+$I$292)/($F$292-$I$292)/(1+$F$292)^$N$3</f>
        <v>5473.50635971553</v>
      </c>
      <c r="Q306" s="15" t="n">
        <f aca="false">O306+P306</f>
        <v>9045.76367001527</v>
      </c>
      <c r="R306" s="15" t="n">
        <f aca="false">Q306-$G$2+$I$2</f>
        <v>7669.56367001527</v>
      </c>
      <c r="S306" s="42" t="n">
        <f aca="false">R306/$K$2</f>
        <v>204.467173287531</v>
      </c>
      <c r="T306" s="43" t="n">
        <f aca="false">S306-$M$2</f>
        <v>-0.0116323642954228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0.01324462890625</v>
      </c>
      <c r="C307" s="25" t="n">
        <f aca="false">IF(T306&gt;0,D306,C306)</f>
        <v>0.013427734375</v>
      </c>
      <c r="D307" s="41" t="n">
        <f aca="false">(B307+C307)/2</f>
        <v>0.013336181640625</v>
      </c>
      <c r="E307" s="15" t="n">
        <f aca="false">$C$2*(1+IF(E$3&lt;=$O$2,$D307,$D307-($D307-$I$292)*MIN(E$3-$O$2,$Q$2)/$Q$2))</f>
        <v>2604.27398681641</v>
      </c>
      <c r="F307" s="15" t="n">
        <f aca="false">E307*(1+IF(F$3&lt;=$O$2,$D307,$D307-($D307-$I$292)*MIN(F$3-$O$2,$Q$2)/$Q$2))</f>
        <v>2639.00505774654</v>
      </c>
      <c r="G307" s="15" t="n">
        <f aca="false">F307*(1+IF(G$3&lt;=$O$2,$D307,$D307-($D307-$I$292)*MIN(G$3-$O$2,$Q$2)/$Q$2))</f>
        <v>2674.19930854718</v>
      </c>
      <c r="H307" s="15" t="n">
        <f aca="false">G307*(1+IF(H$3&lt;=$O$2,$D307,$D307-($D307-$I$292)*MIN(H$3-$O$2,$Q$2)/$Q$2))</f>
        <v>2709.8629162692</v>
      </c>
      <c r="I307" s="15" t="n">
        <f aca="false">H307*(1+IF(I$3&lt;=$O$2,$D307,$D307-($D307-$I$292)*MIN(I$3-$O$2,$Q$2)/$Q$2))</f>
        <v>2746.00214034176</v>
      </c>
      <c r="J307" s="15" t="n">
        <f aca="false">I307*(1+IF(J$3&lt;=$O$2,$D307,$D307-($D307-$I$292)*MIN(J$3-$O$2,$Q$2)/$Q$2))</f>
        <v>2796.33346340009</v>
      </c>
      <c r="K307" s="15" t="n">
        <f aca="false">J307*(1+IF(K$3&lt;=$O$2,$D307,$D307-($D307-$I$292)*MIN(K$3-$O$2,$Q$2)/$Q$2))</f>
        <v>2861.54873865678</v>
      </c>
      <c r="L307" s="15" t="n">
        <f aca="false">K307*(1+IF(L$3&lt;=$O$2,$D307,$D307-($D307-$I$292)*MIN(L$3-$O$2,$Q$2)/$Q$2))</f>
        <v>2942.571982172</v>
      </c>
      <c r="M307" s="15" t="n">
        <f aca="false">L307*(1+IF(M$3&lt;=$O$2,$D307,$D307-($D307-$I$292)*MIN(M$3-$O$2,$Q$2)/$Q$2))</f>
        <v>3040.58092259472</v>
      </c>
      <c r="N307" s="15" t="n">
        <f aca="false">M307*(1+IF(N$3&lt;=$O$2,$D307,$D307-($D307-$I$292)*MIN(N$3-$O$2,$Q$2)/$Q$2))</f>
        <v>3157.0351719301</v>
      </c>
      <c r="O307" s="15" t="n">
        <f aca="false">SUMPRODUCT(E307:N307,1/(1+$F$292)^$E$3:$N$3)*$E$2</f>
        <v>3573.6786711551</v>
      </c>
      <c r="P307" s="15" t="n">
        <f aca="false">N307*$E$2*(1+$I$292)/($F$292-$I$292)/(1+$F$292)^$N$3</f>
        <v>5476.95959521463</v>
      </c>
      <c r="Q307" s="15" t="n">
        <f aca="false">O307+P307</f>
        <v>9050.63826636973</v>
      </c>
      <c r="R307" s="15" t="n">
        <f aca="false">Q307-$G$2+$I$2</f>
        <v>7674.43826636973</v>
      </c>
      <c r="S307" s="42" t="n">
        <f aca="false">R307/$K$2</f>
        <v>204.597127869094</v>
      </c>
      <c r="T307" s="43" t="n">
        <f aca="false">S307-$M$2</f>
        <v>0.118322217268286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0.01324462890625</v>
      </c>
      <c r="C308" s="25" t="n">
        <f aca="false">IF(T307&gt;0,D307,C307)</f>
        <v>0.013336181640625</v>
      </c>
      <c r="D308" s="41" t="n">
        <f aca="false">(B308+C308)/2</f>
        <v>0.0132904052734375</v>
      </c>
      <c r="E308" s="15" t="n">
        <f aca="false">$C$2*(1+IF(E$3&lt;=$O$2,$D308,$D308-($D308-$I$292)*MIN(E$3-$O$2,$Q$2)/$Q$2))</f>
        <v>2604.15634155273</v>
      </c>
      <c r="F308" s="15" t="n">
        <f aca="false">E308*(1+IF(F$3&lt;=$O$2,$D308,$D308-($D308-$I$292)*MIN(F$3-$O$2,$Q$2)/$Q$2))</f>
        <v>2638.76663472736</v>
      </c>
      <c r="G308" s="15" t="n">
        <f aca="false">F308*(1+IF(G$3&lt;=$O$2,$D308,$D308-($D308-$I$292)*MIN(G$3-$O$2,$Q$2)/$Q$2))</f>
        <v>2673.83691272491</v>
      </c>
      <c r="H308" s="15" t="n">
        <f aca="false">G308*(1+IF(H$3&lt;=$O$2,$D308,$D308-($D308-$I$292)*MIN(H$3-$O$2,$Q$2)/$Q$2))</f>
        <v>2709.37328893011</v>
      </c>
      <c r="I308" s="15" t="n">
        <f aca="false">H308*(1+IF(I$3&lt;=$O$2,$D308,$D308-($D308-$I$292)*MIN(I$3-$O$2,$Q$2)/$Q$2))</f>
        <v>2745.38195797701</v>
      </c>
      <c r="J308" s="15" t="n">
        <f aca="false">I308*(1+IF(J$3&lt;=$O$2,$D308,$D308-($D308-$I$292)*MIN(J$3-$O$2,$Q$2)/$Q$2))</f>
        <v>2795.60137485663</v>
      </c>
      <c r="K308" s="15" t="n">
        <f aca="false">J308*(1+IF(K$3&lt;=$O$2,$D308,$D308-($D308-$I$292)*MIN(K$3-$O$2,$Q$2)/$Q$2))</f>
        <v>2860.72279307233</v>
      </c>
      <c r="L308" s="15" t="n">
        <f aca="false">K308*(1+IF(L$3&lt;=$O$2,$D308,$D308-($D308-$I$292)*MIN(L$3-$O$2,$Q$2)/$Q$2))</f>
        <v>2941.67026897509</v>
      </c>
      <c r="M308" s="15" t="n">
        <f aca="false">L308*(1+IF(M$3&lt;=$O$2,$D308,$D308-($D308-$I$292)*MIN(M$3-$O$2,$Q$2)/$Q$2))</f>
        <v>3039.62224402759</v>
      </c>
      <c r="N308" s="15" t="n">
        <f aca="false">M308*(1+IF(N$3&lt;=$O$2,$D308,$D308-($D308-$I$292)*MIN(N$3-$O$2,$Q$2)/$Q$2))</f>
        <v>3156.03977597385</v>
      </c>
      <c r="O308" s="15" t="n">
        <f aca="false">SUMPRODUCT(E308:N308,1/(1+$F$292)^$E$3:$N$3)*$E$2</f>
        <v>3572.96791861389</v>
      </c>
      <c r="P308" s="15" t="n">
        <f aca="false">N308*$E$2*(1+$I$292)/($F$292-$I$292)/(1+$F$292)^$N$3</f>
        <v>5475.23273975159</v>
      </c>
      <c r="Q308" s="15" t="n">
        <f aca="false">O308+P308</f>
        <v>9048.20065836548</v>
      </c>
      <c r="R308" s="15" t="n">
        <f aca="false">Q308-$G$2+$I$2</f>
        <v>7672.00065836548</v>
      </c>
      <c r="S308" s="42" t="n">
        <f aca="false">R308/$K$2</f>
        <v>204.532142318461</v>
      </c>
      <c r="T308" s="43" t="n">
        <f aca="false">S308-$M$2</f>
        <v>0.0533366666350901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0.01324462890625</v>
      </c>
      <c r="C309" s="25" t="n">
        <f aca="false">IF(T308&gt;0,D308,C308)</f>
        <v>0.0132904052734375</v>
      </c>
      <c r="D309" s="41" t="n">
        <f aca="false">(B309+C309)/2</f>
        <v>0.0132675170898438</v>
      </c>
      <c r="E309" s="15" t="n">
        <f aca="false">$C$2*(1+IF(E$3&lt;=$O$2,$D309,$D309-($D309-$I$292)*MIN(E$3-$O$2,$Q$2)/$Q$2))</f>
        <v>2604.0975189209</v>
      </c>
      <c r="F309" s="15" t="n">
        <f aca="false">E309*(1+IF(F$3&lt;=$O$2,$D309,$D309-($D309-$I$292)*MIN(F$3-$O$2,$Q$2)/$Q$2))</f>
        <v>2638.6474272568</v>
      </c>
      <c r="G309" s="15" t="n">
        <f aca="false">F309*(1+IF(G$3&lt;=$O$2,$D309,$D309-($D309-$I$292)*MIN(G$3-$O$2,$Q$2)/$Q$2))</f>
        <v>2673.655727092</v>
      </c>
      <c r="H309" s="15" t="n">
        <f aca="false">G309*(1+IF(H$3&lt;=$O$2,$D309,$D309-($D309-$I$292)*MIN(H$3-$O$2,$Q$2)/$Q$2))</f>
        <v>2709.12850014356</v>
      </c>
      <c r="I309" s="15" t="n">
        <f aca="false">H309*(1+IF(I$3&lt;=$O$2,$D309,$D309-($D309-$I$292)*MIN(I$3-$O$2,$Q$2)/$Q$2))</f>
        <v>2745.07190881779</v>
      </c>
      <c r="J309" s="15" t="n">
        <f aca="false">I309*(1+IF(J$3&lt;=$O$2,$D309,$D309-($D309-$I$292)*MIN(J$3-$O$2,$Q$2)/$Q$2))</f>
        <v>2795.23539040981</v>
      </c>
      <c r="K309" s="15" t="n">
        <f aca="false">J309*(1+IF(K$3&lt;=$O$2,$D309,$D309-($D309-$I$292)*MIN(K$3-$O$2,$Q$2)/$Q$2))</f>
        <v>2860.30989657833</v>
      </c>
      <c r="L309" s="15" t="n">
        <f aca="false">K309*(1+IF(L$3&lt;=$O$2,$D309,$D309-($D309-$I$292)*MIN(L$3-$O$2,$Q$2)/$Q$2))</f>
        <v>2941.21950217574</v>
      </c>
      <c r="M309" s="15" t="n">
        <f aca="false">L309*(1+IF(M$3&lt;=$O$2,$D309,$D309-($D309-$I$292)*MIN(M$3-$O$2,$Q$2)/$Q$2))</f>
        <v>3039.14300372442</v>
      </c>
      <c r="N309" s="15" t="n">
        <f aca="false">M309*(1+IF(N$3&lt;=$O$2,$D309,$D309-($D309-$I$292)*MIN(N$3-$O$2,$Q$2)/$Q$2))</f>
        <v>3155.54218076707</v>
      </c>
      <c r="O309" s="15" t="n">
        <f aca="false">SUMPRODUCT(E309:N309,1/(1+$F$292)^$E$3:$N$3)*$E$2</f>
        <v>3572.61259643016</v>
      </c>
      <c r="P309" s="15" t="n">
        <f aca="false">N309*$E$2*(1+$I$292)/($F$292-$I$292)/(1+$F$292)^$N$3</f>
        <v>5474.3694903122</v>
      </c>
      <c r="Q309" s="15" t="n">
        <f aca="false">O309+P309</f>
        <v>9046.98208674236</v>
      </c>
      <c r="R309" s="15" t="n">
        <f aca="false">Q309-$G$2+$I$2</f>
        <v>7670.78208674236</v>
      </c>
      <c r="S309" s="42" t="n">
        <f aca="false">R309/$K$2</f>
        <v>204.499655738266</v>
      </c>
      <c r="T309" s="43" t="n">
        <f aca="false">S309-$M$2</f>
        <v>0.0208500864400492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0.01324462890625</v>
      </c>
      <c r="C310" s="25" t="n">
        <f aca="false">IF(T309&gt;0,D309,C309)</f>
        <v>0.0132675170898438</v>
      </c>
      <c r="D310" s="41" t="n">
        <f aca="false">(B310+C310)/2</f>
        <v>0.0132560729980469</v>
      </c>
      <c r="E310" s="15" t="n">
        <f aca="false">$C$2*(1+IF(E$3&lt;=$O$2,$D310,$D310-($D310-$I$292)*MIN(E$3-$O$2,$Q$2)/$Q$2))</f>
        <v>2604.06810760498</v>
      </c>
      <c r="F310" s="15" t="n">
        <f aca="false">E310*(1+IF(F$3&lt;=$O$2,$D310,$D310-($D310-$I$292)*MIN(F$3-$O$2,$Q$2)/$Q$2))</f>
        <v>2638.58782453128</v>
      </c>
      <c r="G310" s="15" t="n">
        <f aca="false">F310*(1+IF(G$3&lt;=$O$2,$D310,$D310-($D310-$I$292)*MIN(G$3-$O$2,$Q$2)/$Q$2))</f>
        <v>2673.56513734502</v>
      </c>
      <c r="H310" s="15" t="n">
        <f aca="false">G310*(1+IF(H$3&lt;=$O$2,$D310,$D310-($D310-$I$292)*MIN(H$3-$O$2,$Q$2)/$Q$2))</f>
        <v>2709.0061119707</v>
      </c>
      <c r="I310" s="15" t="n">
        <f aca="false">H310*(1+IF(I$3&lt;=$O$2,$D310,$D310-($D310-$I$292)*MIN(I$3-$O$2,$Q$2)/$Q$2))</f>
        <v>2744.91689474314</v>
      </c>
      <c r="J310" s="15" t="n">
        <f aca="false">I310*(1+IF(J$3&lt;=$O$2,$D310,$D310-($D310-$I$292)*MIN(J$3-$O$2,$Q$2)/$Q$2))</f>
        <v>2795.0524131411</v>
      </c>
      <c r="K310" s="15" t="n">
        <f aca="false">J310*(1+IF(K$3&lt;=$O$2,$D310,$D310-($D310-$I$292)*MIN(K$3-$O$2,$Q$2)/$Q$2))</f>
        <v>2860.1034674036</v>
      </c>
      <c r="L310" s="15" t="n">
        <f aca="false">K310*(1+IF(L$3&lt;=$O$2,$D310,$D310-($D310-$I$292)*MIN(L$3-$O$2,$Q$2)/$Q$2))</f>
        <v>2940.99414122289</v>
      </c>
      <c r="M310" s="15" t="n">
        <f aca="false">L310*(1+IF(M$3&lt;=$O$2,$D310,$D310-($D310-$I$292)*MIN(M$3-$O$2,$Q$2)/$Q$2))</f>
        <v>3038.90340831453</v>
      </c>
      <c r="N310" s="15" t="n">
        <f aca="false">M310*(1+IF(N$3&lt;=$O$2,$D310,$D310-($D310-$I$292)*MIN(N$3-$O$2,$Q$2)/$Q$2))</f>
        <v>3155.29340885298</v>
      </c>
      <c r="O310" s="15" t="n">
        <f aca="false">SUMPRODUCT(E310:N310,1/(1+$F$292)^$E$3:$N$3)*$E$2</f>
        <v>3572.4349488585</v>
      </c>
      <c r="P310" s="15" t="n">
        <f aca="false">N310*$E$2*(1+$I$292)/($F$292-$I$292)/(1+$F$292)^$N$3</f>
        <v>5473.9379101594</v>
      </c>
      <c r="Q310" s="15" t="n">
        <f aca="false">O310+P310</f>
        <v>9046.37285901791</v>
      </c>
      <c r="R310" s="15" t="n">
        <f aca="false">Q310-$G$2+$I$2</f>
        <v>7670.17285901791</v>
      </c>
      <c r="S310" s="42" t="n">
        <f aca="false">R310/$K$2</f>
        <v>204.483413996745</v>
      </c>
      <c r="T310" s="43" t="n">
        <f aca="false">S310-$M$2</f>
        <v>0.00460834491903484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0.01324462890625</v>
      </c>
      <c r="C311" s="25" t="n">
        <f aca="false">IF(T310&gt;0,D310,C310)</f>
        <v>0.0132560729980469</v>
      </c>
      <c r="D311" s="41" t="n">
        <f aca="false">(B311+C311)/2</f>
        <v>0.0132503509521484</v>
      </c>
      <c r="E311" s="15" t="n">
        <f aca="false">$C$2*(1+IF(E$3&lt;=$O$2,$D311,$D311-($D311-$I$292)*MIN(E$3-$O$2,$Q$2)/$Q$2))</f>
        <v>2604.05340194702</v>
      </c>
      <c r="F311" s="15" t="n">
        <f aca="false">E311*(1+IF(F$3&lt;=$O$2,$D311,$D311-($D311-$I$292)*MIN(F$3-$O$2,$Q$2)/$Q$2))</f>
        <v>2638.55802342096</v>
      </c>
      <c r="G311" s="15" t="n">
        <f aca="false">F311*(1+IF(G$3&lt;=$O$2,$D311,$D311-($D311-$I$292)*MIN(G$3-$O$2,$Q$2)/$Q$2))</f>
        <v>2673.51984323889</v>
      </c>
      <c r="H311" s="15" t="n">
        <f aca="false">G311*(1+IF(H$3&lt;=$O$2,$D311,$D311-($D311-$I$292)*MIN(H$3-$O$2,$Q$2)/$Q$2))</f>
        <v>2708.94491943934</v>
      </c>
      <c r="I311" s="15" t="n">
        <f aca="false">H311*(1+IF(I$3&lt;=$O$2,$D311,$D311-($D311-$I$292)*MIN(I$3-$O$2,$Q$2)/$Q$2))</f>
        <v>2744.83939033195</v>
      </c>
      <c r="J311" s="15" t="n">
        <f aca="false">I311*(1+IF(J$3&lt;=$O$2,$D311,$D311-($D311-$I$292)*MIN(J$3-$O$2,$Q$2)/$Q$2))</f>
        <v>2794.96092824524</v>
      </c>
      <c r="K311" s="15" t="n">
        <f aca="false">J311*(1+IF(K$3&lt;=$O$2,$D311,$D311-($D311-$I$292)*MIN(K$3-$O$2,$Q$2)/$Q$2))</f>
        <v>2860.00025758403</v>
      </c>
      <c r="L311" s="15" t="n">
        <f aca="false">K311*(1+IF(L$3&lt;=$O$2,$D311,$D311-($D311-$I$292)*MIN(L$3-$O$2,$Q$2)/$Q$2))</f>
        <v>2940.8814663578</v>
      </c>
      <c r="M311" s="15" t="n">
        <f aca="false">L311*(1+IF(M$3&lt;=$O$2,$D311,$D311-($D311-$I$292)*MIN(M$3-$O$2,$Q$2)/$Q$2))</f>
        <v>3038.78361679458</v>
      </c>
      <c r="N311" s="15" t="n">
        <f aca="false">M311*(1+IF(N$3&lt;=$O$2,$D311,$D311-($D311-$I$292)*MIN(N$3-$O$2,$Q$2)/$Q$2))</f>
        <v>3155.16902931782</v>
      </c>
      <c r="O311" s="15" t="n">
        <f aca="false">SUMPRODUCT(E311:N311,1/(1+$F$292)^$E$3:$N$3)*$E$2</f>
        <v>3572.34612845254</v>
      </c>
      <c r="P311" s="15" t="n">
        <f aca="false">N311*$E$2*(1+$I$292)/($F$292-$I$292)/(1+$F$292)^$N$3</f>
        <v>5473.72213122396</v>
      </c>
      <c r="Q311" s="15" t="n">
        <f aca="false">O311+P311</f>
        <v>9046.0682596765</v>
      </c>
      <c r="R311" s="15" t="n">
        <f aca="false">Q311-$G$2+$I$2</f>
        <v>7669.8682596765</v>
      </c>
      <c r="S311" s="42" t="n">
        <f aca="false">R311/$K$2</f>
        <v>204.475293513103</v>
      </c>
      <c r="T311" s="43" t="n">
        <f aca="false">S311-$M$2</f>
        <v>-0.00351213872289691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0.0132503509521484</v>
      </c>
      <c r="C312" s="25" t="n">
        <f aca="false">IF(T311&gt;0,D311,C311)</f>
        <v>0.0132560729980469</v>
      </c>
      <c r="D312" s="41" t="n">
        <f aca="false">(B312+C312)/2</f>
        <v>0.0132532119750977</v>
      </c>
      <c r="E312" s="15" t="n">
        <f aca="false">$C$2*(1+IF(E$3&lt;=$O$2,$D312,$D312-($D312-$I$292)*MIN(E$3-$O$2,$Q$2)/$Q$2))</f>
        <v>2604.060754776</v>
      </c>
      <c r="F312" s="15" t="n">
        <f aca="false">E312*(1+IF(F$3&lt;=$O$2,$D312,$D312-($D312-$I$292)*MIN(F$3-$O$2,$Q$2)/$Q$2))</f>
        <v>2638.57292395508</v>
      </c>
      <c r="G312" s="15" t="n">
        <f aca="false">F312*(1+IF(G$3&lt;=$O$2,$D312,$D312-($D312-$I$292)*MIN(G$3-$O$2,$Q$2)/$Q$2))</f>
        <v>2673.54249022801</v>
      </c>
      <c r="H312" s="15" t="n">
        <f aca="false">G312*(1+IF(H$3&lt;=$O$2,$D312,$D312-($D312-$I$292)*MIN(H$3-$O$2,$Q$2)/$Q$2))</f>
        <v>2708.97551557543</v>
      </c>
      <c r="I312" s="15" t="n">
        <f aca="false">H312*(1+IF(I$3&lt;=$O$2,$D312,$D312-($D312-$I$292)*MIN(I$3-$O$2,$Q$2)/$Q$2))</f>
        <v>2744.8781423187</v>
      </c>
      <c r="J312" s="15" t="n">
        <f aca="false">I312*(1+IF(J$3&lt;=$O$2,$D312,$D312-($D312-$I$292)*MIN(J$3-$O$2,$Q$2)/$Q$2))</f>
        <v>2795.00667038163</v>
      </c>
      <c r="K312" s="15" t="n">
        <f aca="false">J312*(1+IF(K$3&lt;=$O$2,$D312,$D312-($D312-$I$292)*MIN(K$3-$O$2,$Q$2)/$Q$2))</f>
        <v>2860.05186209651</v>
      </c>
      <c r="L312" s="15" t="n">
        <f aca="false">K312*(1+IF(L$3&lt;=$O$2,$D312,$D312-($D312-$I$292)*MIN(L$3-$O$2,$Q$2)/$Q$2))</f>
        <v>2940.93780332274</v>
      </c>
      <c r="M312" s="15" t="n">
        <f aca="false">L312*(1+IF(M$3&lt;=$O$2,$D312,$D312-($D312-$I$292)*MIN(M$3-$O$2,$Q$2)/$Q$2))</f>
        <v>3038.84351203915</v>
      </c>
      <c r="N312" s="15" t="n">
        <f aca="false">M312*(1+IF(N$3&lt;=$O$2,$D312,$D312-($D312-$I$292)*MIN(N$3-$O$2,$Q$2)/$Q$2))</f>
        <v>3155.23121855025</v>
      </c>
      <c r="O312" s="15" t="n">
        <f aca="false">SUMPRODUCT(E312:N312,1/(1+$F$292)^$E$3:$N$3)*$E$2</f>
        <v>3572.39053837387</v>
      </c>
      <c r="P312" s="15" t="n">
        <f aca="false">N312*$E$2*(1+$I$292)/($F$292-$I$292)/(1+$F$292)^$N$3</f>
        <v>5473.83001976329</v>
      </c>
      <c r="Q312" s="15" t="n">
        <f aca="false">O312+P312</f>
        <v>9046.22055813717</v>
      </c>
      <c r="R312" s="15" t="n">
        <f aca="false">Q312-$G$2+$I$2</f>
        <v>7670.02055813717</v>
      </c>
      <c r="S312" s="42" t="n">
        <f aca="false">R312/$K$2</f>
        <v>204.479353722665</v>
      </c>
      <c r="T312" s="43" t="n">
        <f aca="false">S312-$M$2</f>
        <v>0.000548070838959802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0.0132503509521484</v>
      </c>
      <c r="C313" s="25" t="n">
        <f aca="false">IF(T312&gt;0,D312,C312)</f>
        <v>0.0132532119750977</v>
      </c>
      <c r="D313" s="41" t="n">
        <f aca="false">(B313+C313)/2</f>
        <v>0.013251781463623</v>
      </c>
      <c r="E313" s="15" t="n">
        <f aca="false">$C$2*(1+IF(E$3&lt;=$O$2,$D313,$D313-($D313-$I$292)*MIN(E$3-$O$2,$Q$2)/$Q$2))</f>
        <v>2604.05707836151</v>
      </c>
      <c r="F313" s="15" t="n">
        <f aca="false">E313*(1+IF(F$3&lt;=$O$2,$D313,$D313-($D313-$I$292)*MIN(F$3-$O$2,$Q$2)/$Q$2))</f>
        <v>2638.56547368276</v>
      </c>
      <c r="G313" s="15" t="n">
        <f aca="false">F313*(1+IF(G$3&lt;=$O$2,$D313,$D313-($D313-$I$292)*MIN(G$3-$O$2,$Q$2)/$Q$2))</f>
        <v>2673.53116671746</v>
      </c>
      <c r="H313" s="15" t="n">
        <f aca="false">G313*(1+IF(H$3&lt;=$O$2,$D313,$D313-($D313-$I$292)*MIN(H$3-$O$2,$Q$2)/$Q$2))</f>
        <v>2708.96021747499</v>
      </c>
      <c r="I313" s="15" t="n">
        <f aca="false">H313*(1+IF(I$3&lt;=$O$2,$D313,$D313-($D313-$I$292)*MIN(I$3-$O$2,$Q$2)/$Q$2))</f>
        <v>2744.85876627062</v>
      </c>
      <c r="J313" s="15" t="n">
        <f aca="false">I313*(1+IF(J$3&lt;=$O$2,$D313,$D313-($D313-$I$292)*MIN(J$3-$O$2,$Q$2)/$Q$2))</f>
        <v>2794.98379923555</v>
      </c>
      <c r="K313" s="15" t="n">
        <f aca="false">J313*(1+IF(K$3&lt;=$O$2,$D313,$D313-($D313-$I$292)*MIN(K$3-$O$2,$Q$2)/$Q$2))</f>
        <v>2860.02605974094</v>
      </c>
      <c r="L313" s="15" t="n">
        <f aca="false">K313*(1+IF(L$3&lt;=$O$2,$D313,$D313-($D313-$I$292)*MIN(L$3-$O$2,$Q$2)/$Q$2))</f>
        <v>2940.90963472337</v>
      </c>
      <c r="M313" s="15" t="n">
        <f aca="false">L313*(1+IF(M$3&lt;=$O$2,$D313,$D313-($D313-$I$292)*MIN(M$3-$O$2,$Q$2)/$Q$2))</f>
        <v>3038.81356428802</v>
      </c>
      <c r="N313" s="15" t="n">
        <f aca="false">M313*(1+IF(N$3&lt;=$O$2,$D313,$D313-($D313-$I$292)*MIN(N$3-$O$2,$Q$2)/$Q$2))</f>
        <v>3155.20012380025</v>
      </c>
      <c r="O313" s="15" t="n">
        <f aca="false">SUMPRODUCT(E313:N313,1/(1+$F$292)^$E$3:$N$3)*$E$2</f>
        <v>3572.36833334279</v>
      </c>
      <c r="P313" s="15" t="n">
        <f aca="false">N313*$E$2*(1+$I$292)/($F$292-$I$292)/(1+$F$292)^$N$3</f>
        <v>5473.77607526153</v>
      </c>
      <c r="Q313" s="15" t="n">
        <f aca="false">O313+P313</f>
        <v>9046.14440860433</v>
      </c>
      <c r="R313" s="15" t="n">
        <f aca="false">Q313-$G$2+$I$2</f>
        <v>7669.94440860433</v>
      </c>
      <c r="S313" s="42" t="n">
        <f aca="false">R313/$K$2</f>
        <v>204.477323609819</v>
      </c>
      <c r="T313" s="43" t="n">
        <f aca="false">S313-$M$2</f>
        <v>-0.00148204200664281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0.013251781463623</v>
      </c>
      <c r="C314" s="25" t="n">
        <f aca="false">IF(T313&gt;0,D313,C313)</f>
        <v>0.0132532119750977</v>
      </c>
      <c r="D314" s="41" t="n">
        <f aca="false">(B314+C314)/2</f>
        <v>0.0132524967193604</v>
      </c>
      <c r="E314" s="15" t="n">
        <f aca="false">$C$2*(1+IF(E$3&lt;=$O$2,$D314,$D314-($D314-$I$292)*MIN(E$3-$O$2,$Q$2)/$Q$2))</f>
        <v>2604.05891656876</v>
      </c>
      <c r="F314" s="15" t="n">
        <f aca="false">E314*(1+IF(F$3&lt;=$O$2,$D314,$D314-($D314-$I$292)*MIN(F$3-$O$2,$Q$2)/$Q$2))</f>
        <v>2638.5691988176</v>
      </c>
      <c r="G314" s="15" t="n">
        <f aca="false">F314*(1+IF(G$3&lt;=$O$2,$D314,$D314-($D314-$I$292)*MIN(G$3-$O$2,$Q$2)/$Q$2))</f>
        <v>2673.53682846874</v>
      </c>
      <c r="H314" s="15" t="n">
        <f aca="false">G314*(1+IF(H$3&lt;=$O$2,$D314,$D314-($D314-$I$292)*MIN(H$3-$O$2,$Q$2)/$Q$2))</f>
        <v>2708.96786651711</v>
      </c>
      <c r="I314" s="15" t="n">
        <f aca="false">H314*(1+IF(I$3&lt;=$O$2,$D314,$D314-($D314-$I$292)*MIN(I$3-$O$2,$Q$2)/$Q$2))</f>
        <v>2744.86845428098</v>
      </c>
      <c r="J314" s="15" t="n">
        <f aca="false">I314*(1+IF(J$3&lt;=$O$2,$D314,$D314-($D314-$I$292)*MIN(J$3-$O$2,$Q$2)/$Q$2))</f>
        <v>2794.99523478912</v>
      </c>
      <c r="K314" s="15" t="n">
        <f aca="false">J314*(1+IF(K$3&lt;=$O$2,$D314,$D314-($D314-$I$292)*MIN(K$3-$O$2,$Q$2)/$Q$2))</f>
        <v>2860.03896089389</v>
      </c>
      <c r="L314" s="15" t="n">
        <f aca="false">K314*(1+IF(L$3&lt;=$O$2,$D314,$D314-($D314-$I$292)*MIN(L$3-$O$2,$Q$2)/$Q$2))</f>
        <v>2940.92371899383</v>
      </c>
      <c r="M314" s="15" t="n">
        <f aca="false">L314*(1+IF(M$3&lt;=$O$2,$D314,$D314-($D314-$I$292)*MIN(M$3-$O$2,$Q$2)/$Q$2))</f>
        <v>3038.82853813137</v>
      </c>
      <c r="N314" s="15" t="n">
        <f aca="false">M314*(1+IF(N$3&lt;=$O$2,$D314,$D314-($D314-$I$292)*MIN(N$3-$O$2,$Q$2)/$Q$2))</f>
        <v>3155.2156711418</v>
      </c>
      <c r="O314" s="15" t="n">
        <f aca="false">SUMPRODUCT(E314:N314,1/(1+$F$292)^$E$3:$N$3)*$E$2</f>
        <v>3572.37943584073</v>
      </c>
      <c r="P314" s="15" t="n">
        <f aca="false">N314*$E$2*(1+$I$292)/($F$292-$I$292)/(1+$F$292)^$N$3</f>
        <v>5473.80304745439</v>
      </c>
      <c r="Q314" s="15" t="n">
        <f aca="false">O314+P314</f>
        <v>9046.18248329512</v>
      </c>
      <c r="R314" s="15" t="n">
        <f aca="false">Q314-$G$2+$I$2</f>
        <v>7669.98248329512</v>
      </c>
      <c r="S314" s="42" t="n">
        <f aca="false">R314/$K$2</f>
        <v>204.478338664226</v>
      </c>
      <c r="T314" s="43" t="n">
        <f aca="false">S314-$M$2</f>
        <v>-0.000466987600077573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0.0132524967193604</v>
      </c>
      <c r="C315" s="25" t="n">
        <f aca="false">IF(T314&gt;0,D314,C314)</f>
        <v>0.0132532119750977</v>
      </c>
      <c r="D315" s="41" t="n">
        <f aca="false">(B315+C315)/2</f>
        <v>0.013252854347229</v>
      </c>
      <c r="E315" s="15" t="n">
        <f aca="false">$C$2*(1+IF(E$3&lt;=$O$2,$D315,$D315-($D315-$I$292)*MIN(E$3-$O$2,$Q$2)/$Q$2))</f>
        <v>2604.05983567238</v>
      </c>
      <c r="F315" s="15" t="n">
        <f aca="false">E315*(1+IF(F$3&lt;=$O$2,$D315,$D315-($D315-$I$292)*MIN(F$3-$O$2,$Q$2)/$Q$2))</f>
        <v>2638.57106138601</v>
      </c>
      <c r="G315" s="15" t="n">
        <f aca="false">F315*(1+IF(G$3&lt;=$O$2,$D315,$D315-($D315-$I$292)*MIN(G$3-$O$2,$Q$2)/$Q$2))</f>
        <v>2673.53965934738</v>
      </c>
      <c r="H315" s="15" t="n">
        <f aca="false">G315*(1+IF(H$3&lt;=$O$2,$D315,$D315-($D315-$I$292)*MIN(H$3-$O$2,$Q$2)/$Q$2))</f>
        <v>2708.97169104425</v>
      </c>
      <c r="I315" s="15" t="n">
        <f aca="false">H315*(1+IF(I$3&lt;=$O$2,$D315,$D315-($D315-$I$292)*MIN(I$3-$O$2,$Q$2)/$Q$2))</f>
        <v>2744.87329829642</v>
      </c>
      <c r="J315" s="15" t="n">
        <f aca="false">I315*(1+IF(J$3&lt;=$O$2,$D315,$D315-($D315-$I$292)*MIN(J$3-$O$2,$Q$2)/$Q$2))</f>
        <v>2795.00095258051</v>
      </c>
      <c r="K315" s="15" t="n">
        <f aca="false">J315*(1+IF(K$3&lt;=$O$2,$D315,$D315-($D315-$I$292)*MIN(K$3-$O$2,$Q$2)/$Q$2))</f>
        <v>2860.04541148899</v>
      </c>
      <c r="L315" s="15" t="n">
        <f aca="false">K315*(1+IF(L$3&lt;=$O$2,$D315,$D315-($D315-$I$292)*MIN(L$3-$O$2,$Q$2)/$Q$2))</f>
        <v>2940.93076115098</v>
      </c>
      <c r="M315" s="15" t="n">
        <f aca="false">L315*(1+IF(M$3&lt;=$O$2,$D315,$D315-($D315-$I$292)*MIN(M$3-$O$2,$Q$2)/$Q$2))</f>
        <v>3038.83602507721</v>
      </c>
      <c r="N315" s="15" t="n">
        <f aca="false">M315*(1+IF(N$3&lt;=$O$2,$D315,$D315-($D315-$I$292)*MIN(N$3-$O$2,$Q$2)/$Q$2))</f>
        <v>3155.22344483767</v>
      </c>
      <c r="O315" s="15" t="n">
        <f aca="false">SUMPRODUCT(E315:N315,1/(1+$F$292)^$E$3:$N$3)*$E$2</f>
        <v>3572.3849871029</v>
      </c>
      <c r="P315" s="15" t="n">
        <f aca="false">N315*$E$2*(1+$I$292)/($F$292-$I$292)/(1+$F$292)^$N$3</f>
        <v>5473.81653359434</v>
      </c>
      <c r="Q315" s="15" t="n">
        <f aca="false">O315+P315</f>
        <v>9046.20152069724</v>
      </c>
      <c r="R315" s="15" t="n">
        <f aca="false">Q315-$G$2+$I$2</f>
        <v>7670.00152069724</v>
      </c>
      <c r="S315" s="42" t="n">
        <f aca="false">R315/$K$2</f>
        <v>204.478846192942</v>
      </c>
      <c r="T315" s="43" t="n">
        <f aca="false">S315-$M$2</f>
        <v>4.05411154247304E-005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0.0132524967193604</v>
      </c>
      <c r="C316" s="25" t="n">
        <f aca="false">IF(T315&gt;0,D315,C315)</f>
        <v>0.013252854347229</v>
      </c>
      <c r="D316" s="41" t="n">
        <f aca="false">(B316+C316)/2</f>
        <v>0.0132526755332947</v>
      </c>
      <c r="E316" s="15" t="n">
        <f aca="false">$C$2*(1+IF(E$3&lt;=$O$2,$D316,$D316-($D316-$I$292)*MIN(E$3-$O$2,$Q$2)/$Q$2))</f>
        <v>2604.05937612057</v>
      </c>
      <c r="F316" s="15" t="n">
        <f aca="false">E316*(1+IF(F$3&lt;=$O$2,$D316,$D316-($D316-$I$292)*MIN(F$3-$O$2,$Q$2)/$Q$2))</f>
        <v>2638.57013010173</v>
      </c>
      <c r="G316" s="15" t="n">
        <f aca="false">F316*(1+IF(G$3&lt;=$O$2,$D316,$D316-($D316-$I$292)*MIN(G$3-$O$2,$Q$2)/$Q$2))</f>
        <v>2673.53824390781</v>
      </c>
      <c r="H316" s="15" t="n">
        <f aca="false">G316*(1+IF(H$3&lt;=$O$2,$D316,$D316-($D316-$I$292)*MIN(H$3-$O$2,$Q$2)/$Q$2))</f>
        <v>2708.96977878017</v>
      </c>
      <c r="I316" s="15" t="n">
        <f aca="false">H316*(1+IF(I$3&lt;=$O$2,$D316,$D316-($D316-$I$292)*MIN(I$3-$O$2,$Q$2)/$Q$2))</f>
        <v>2744.87087628785</v>
      </c>
      <c r="J316" s="15" t="n">
        <f aca="false">I316*(1+IF(J$3&lt;=$O$2,$D316,$D316-($D316-$I$292)*MIN(J$3-$O$2,$Q$2)/$Q$2))</f>
        <v>2794.9980936836</v>
      </c>
      <c r="K316" s="15" t="n">
        <f aca="false">J316*(1+IF(K$3&lt;=$O$2,$D316,$D316-($D316-$I$292)*MIN(K$3-$O$2,$Q$2)/$Q$2))</f>
        <v>2860.04218618989</v>
      </c>
      <c r="L316" s="15" t="n">
        <f aca="false">K316*(1+IF(L$3&lt;=$O$2,$D316,$D316-($D316-$I$292)*MIN(L$3-$O$2,$Q$2)/$Q$2))</f>
        <v>2940.92724007058</v>
      </c>
      <c r="M316" s="15" t="n">
        <f aca="false">L316*(1+IF(M$3&lt;=$O$2,$D316,$D316-($D316-$I$292)*MIN(M$3-$O$2,$Q$2)/$Q$2))</f>
        <v>3038.83228160228</v>
      </c>
      <c r="N316" s="15" t="n">
        <f aca="false">M316*(1+IF(N$3&lt;=$O$2,$D316,$D316-($D316-$I$292)*MIN(N$3-$O$2,$Q$2)/$Q$2))</f>
        <v>3155.21955798765</v>
      </c>
      <c r="O316" s="15" t="n">
        <f aca="false">SUMPRODUCT(E316:N316,1/(1+$F$292)^$E$3:$N$3)*$E$2</f>
        <v>3572.38221147071</v>
      </c>
      <c r="P316" s="15" t="n">
        <f aca="false">N316*$E$2*(1+$I$292)/($F$292-$I$292)/(1+$F$292)^$N$3</f>
        <v>5473.80979052074</v>
      </c>
      <c r="Q316" s="15" t="n">
        <f aca="false">O316+P316</f>
        <v>9046.19200199145</v>
      </c>
      <c r="R316" s="15" t="n">
        <f aca="false">Q316-$G$2+$I$2</f>
        <v>7669.99200199145</v>
      </c>
      <c r="S316" s="42" t="n">
        <f aca="false">R316/$K$2</f>
        <v>204.478592428458</v>
      </c>
      <c r="T316" s="43" t="n">
        <f aca="false">S316-$M$2</f>
        <v>-0.000213223368319859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0.0132526755332947</v>
      </c>
      <c r="C317" s="25" t="n">
        <f aca="false">IF(T316&gt;0,D316,C316)</f>
        <v>0.013252854347229</v>
      </c>
      <c r="D317" s="41" t="n">
        <f aca="false">(B317+C317)/2</f>
        <v>0.0132527649402618</v>
      </c>
      <c r="E317" s="15" t="n">
        <f aca="false">$C$2*(1+IF(E$3&lt;=$O$2,$D317,$D317-($D317-$I$292)*MIN(E$3-$O$2,$Q$2)/$Q$2))</f>
        <v>2604.05960589647</v>
      </c>
      <c r="F317" s="15" t="n">
        <f aca="false">E317*(1+IF(F$3&lt;=$O$2,$D317,$D317-($D317-$I$292)*MIN(F$3-$O$2,$Q$2)/$Q$2))</f>
        <v>2638.57059574385</v>
      </c>
      <c r="G317" s="15" t="n">
        <f aca="false">F317*(1+IF(G$3&lt;=$O$2,$D317,$D317-($D317-$I$292)*MIN(G$3-$O$2,$Q$2)/$Q$2))</f>
        <v>2673.53895162753</v>
      </c>
      <c r="H317" s="15" t="n">
        <f aca="false">G317*(1+IF(H$3&lt;=$O$2,$D317,$D317-($D317-$I$292)*MIN(H$3-$O$2,$Q$2)/$Q$2))</f>
        <v>2708.97073491208</v>
      </c>
      <c r="I317" s="15" t="n">
        <f aca="false">H317*(1+IF(I$3&lt;=$O$2,$D317,$D317-($D317-$I$292)*MIN(I$3-$O$2,$Q$2)/$Q$2))</f>
        <v>2744.87208729192</v>
      </c>
      <c r="J317" s="15" t="n">
        <f aca="false">I317*(1+IF(J$3&lt;=$O$2,$D317,$D317-($D317-$I$292)*MIN(J$3-$O$2,$Q$2)/$Q$2))</f>
        <v>2794.99952313175</v>
      </c>
      <c r="K317" s="15" t="n">
        <f aca="false">J317*(1+IF(K$3&lt;=$O$2,$D317,$D317-($D317-$I$292)*MIN(K$3-$O$2,$Q$2)/$Q$2))</f>
        <v>2860.04379883905</v>
      </c>
      <c r="L317" s="15" t="n">
        <f aca="false">K317*(1+IF(L$3&lt;=$O$2,$D317,$D317-($D317-$I$292)*MIN(L$3-$O$2,$Q$2)/$Q$2))</f>
        <v>2940.92900061032</v>
      </c>
      <c r="M317" s="15" t="n">
        <f aca="false">L317*(1+IF(M$3&lt;=$O$2,$D317,$D317-($D317-$I$292)*MIN(M$3-$O$2,$Q$2)/$Q$2))</f>
        <v>3038.83415333924</v>
      </c>
      <c r="N317" s="15" t="n">
        <f aca="false">M317*(1+IF(N$3&lt;=$O$2,$D317,$D317-($D317-$I$292)*MIN(N$3-$O$2,$Q$2)/$Q$2))</f>
        <v>3155.22150141213</v>
      </c>
      <c r="O317" s="15" t="n">
        <f aca="false">SUMPRODUCT(E317:N317,1/(1+$F$292)^$E$3:$N$3)*$E$2</f>
        <v>3572.38359928653</v>
      </c>
      <c r="P317" s="15" t="n">
        <f aca="false">N317*$E$2*(1+$I$292)/($F$292-$I$292)/(1+$F$292)^$N$3</f>
        <v>5473.81316205663</v>
      </c>
      <c r="Q317" s="15" t="n">
        <f aca="false">O317+P317</f>
        <v>9046.19676134316</v>
      </c>
      <c r="R317" s="15" t="n">
        <f aca="false">Q317-$G$2+$I$2</f>
        <v>7669.99676134316</v>
      </c>
      <c r="S317" s="42" t="n">
        <f aca="false">R317/$K$2</f>
        <v>204.478719310668</v>
      </c>
      <c r="T317" s="43" t="n">
        <f aca="false">S317-$M$2</f>
        <v>-8.6341157981451E-005</v>
      </c>
    </row>
    <row r="319" customFormat="false" ht="15" hidden="false" customHeight="false" outlineLevel="0" collapsed="false">
      <c r="A319" s="38" t="s">
        <v>192</v>
      </c>
      <c r="E319" s="5" t="s">
        <v>11</v>
      </c>
      <c r="F319" s="12" t="n">
        <f aca="false">Sensitivity!$B$12</f>
        <v>0.094183337553844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162</v>
      </c>
      <c r="B320" s="28" t="s">
        <v>163</v>
      </c>
      <c r="C320" s="28" t="s">
        <v>164</v>
      </c>
      <c r="D320" s="28" t="s">
        <v>165</v>
      </c>
      <c r="E320" s="28" t="s">
        <v>166</v>
      </c>
      <c r="F320" s="28" t="s">
        <v>167</v>
      </c>
      <c r="G320" s="28" t="s">
        <v>168</v>
      </c>
      <c r="H320" s="28" t="s">
        <v>169</v>
      </c>
      <c r="I320" s="28" t="s">
        <v>170</v>
      </c>
      <c r="J320" s="28" t="s">
        <v>171</v>
      </c>
      <c r="K320" s="28" t="s">
        <v>172</v>
      </c>
      <c r="L320" s="28" t="s">
        <v>173</v>
      </c>
      <c r="M320" s="28" t="s">
        <v>174</v>
      </c>
      <c r="N320" s="28" t="s">
        <v>175</v>
      </c>
      <c r="O320" s="28" t="s">
        <v>176</v>
      </c>
      <c r="P320" s="28" t="s">
        <v>177</v>
      </c>
      <c r="Q320" s="28" t="s">
        <v>178</v>
      </c>
      <c r="R320" s="28" t="s">
        <v>179</v>
      </c>
      <c r="S320" s="28" t="s">
        <v>180</v>
      </c>
      <c r="T320" s="28" t="s">
        <v>181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3212.5</v>
      </c>
      <c r="F321" s="15" t="n">
        <f aca="false">E321*(1+IF(F$3&lt;=$O$2,$D321,$D321-($D321-$I$319)*MIN(F$3-$O$2,$Q$2)/$Q$2))</f>
        <v>4015.625</v>
      </c>
      <c r="G321" s="15" t="n">
        <f aca="false">F321*(1+IF(G$3&lt;=$O$2,$D321,$D321-($D321-$I$319)*MIN(G$3-$O$2,$Q$2)/$Q$2))</f>
        <v>5019.53125</v>
      </c>
      <c r="H321" s="15" t="n">
        <f aca="false">G321*(1+IF(H$3&lt;=$O$2,$D321,$D321-($D321-$I$319)*MIN(H$3-$O$2,$Q$2)/$Q$2))</f>
        <v>6274.4140625</v>
      </c>
      <c r="I321" s="15" t="n">
        <f aca="false">H321*(1+IF(I$3&lt;=$O$2,$D321,$D321-($D321-$I$319)*MIN(I$3-$O$2,$Q$2)/$Q$2))</f>
        <v>7843.017578125</v>
      </c>
      <c r="J321" s="15" t="n">
        <f aca="false">I321*(1+IF(J$3&lt;=$O$2,$D321,$D321-($D321-$I$319)*MIN(J$3-$O$2,$Q$2)/$Q$2))</f>
        <v>9440.32653808594</v>
      </c>
      <c r="K321" s="15" t="n">
        <f aca="false">J321*(1+IF(K$3&lt;=$O$2,$D321,$D321-($D321-$I$319)*MIN(K$3-$O$2,$Q$2)/$Q$2))</f>
        <v>10925.4787090576</v>
      </c>
      <c r="L321" s="15" t="n">
        <f aca="false">K321*(1+IF(L$3&lt;=$O$2,$D321,$D321-($D321-$I$319)*MIN(L$3-$O$2,$Q$2)/$Q$2))</f>
        <v>12137.9883361888</v>
      </c>
      <c r="M321" s="15" t="n">
        <f aca="false">L321*(1+IF(M$3&lt;=$O$2,$D321,$D321-($D321-$I$319)*MIN(M$3-$O$2,$Q$2)/$Q$2))</f>
        <v>12922.5879022401</v>
      </c>
      <c r="N321" s="15" t="n">
        <f aca="false">M321*(1+IF(N$3&lt;=$O$2,$D321,$D321-($D321-$I$319)*MIN(N$3-$O$2,$Q$2)/$Q$2))</f>
        <v>13159.0712608511</v>
      </c>
      <c r="O321" s="15" t="n">
        <f aca="false">SUMPRODUCT(E321:N321,1/(1+$F$319)^$E$3:$N$3)*$E$2</f>
        <v>9553.86006291921</v>
      </c>
      <c r="P321" s="15" t="n">
        <f aca="false">N321*$E$2*(1+$I$319)/($F$319-$I$319)/(1+$F$319)^$N$3</f>
        <v>14340.8974359235</v>
      </c>
      <c r="Q321" s="15" t="n">
        <f aca="false">O321+P321</f>
        <v>23894.7574988427</v>
      </c>
      <c r="R321" s="15" t="n">
        <f aca="false">Q321-$G$2+$I$2</f>
        <v>22518.5574988427</v>
      </c>
      <c r="S321" s="42" t="n">
        <f aca="false">R321/$K$2</f>
        <v>600.334777361843</v>
      </c>
      <c r="T321" s="43" t="n">
        <f aca="false">S321-$M$2</f>
        <v>395.855971710016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2248.75</v>
      </c>
      <c r="F322" s="15" t="n">
        <f aca="false">E322*(1+IF(F$3&lt;=$O$2,$D322,$D322-($D322-$I$319)*MIN(F$3-$O$2,$Q$2)/$Q$2))</f>
        <v>1967.65625</v>
      </c>
      <c r="G322" s="15" t="n">
        <f aca="false">F322*(1+IF(G$3&lt;=$O$2,$D322,$D322-($D322-$I$319)*MIN(G$3-$O$2,$Q$2)/$Q$2))</f>
        <v>1721.69921875</v>
      </c>
      <c r="H322" s="15" t="n">
        <f aca="false">G322*(1+IF(H$3&lt;=$O$2,$D322,$D322-($D322-$I$319)*MIN(H$3-$O$2,$Q$2)/$Q$2))</f>
        <v>1506.48681640625</v>
      </c>
      <c r="I322" s="15" t="n">
        <f aca="false">H322*(1+IF(I$3&lt;=$O$2,$D322,$D322-($D322-$I$319)*MIN(I$3-$O$2,$Q$2)/$Q$2))</f>
        <v>1318.17596435547</v>
      </c>
      <c r="J322" s="15" t="n">
        <f aca="false">I322*(1+IF(J$3&lt;=$O$2,$D322,$D322-($D322-$I$319)*MIN(J$3-$O$2,$Q$2)/$Q$2))</f>
        <v>1191.18289194946</v>
      </c>
      <c r="K322" s="15" t="n">
        <f aca="false">J322*(1+IF(K$3&lt;=$O$2,$D322,$D322-($D322-$I$319)*MIN(K$3-$O$2,$Q$2)/$Q$2))</f>
        <v>1110.56363382232</v>
      </c>
      <c r="L322" s="15" t="n">
        <f aca="false">K322*(1+IF(L$3&lt;=$O$2,$D322,$D322-($D322-$I$319)*MIN(L$3-$O$2,$Q$2)/$Q$2))</f>
        <v>1067.22944083058</v>
      </c>
      <c r="M322" s="15" t="n">
        <f aca="false">L322*(1+IF(M$3&lt;=$O$2,$D322,$D322-($D322-$I$319)*MIN(M$3-$O$2,$Q$2)/$Q$2))</f>
        <v>1056.17294382357</v>
      </c>
      <c r="N322" s="15" t="n">
        <f aca="false">M322*(1+IF(N$3&lt;=$O$2,$D322,$D322-($D322-$I$319)*MIN(N$3-$O$2,$Q$2)/$Q$2))</f>
        <v>1075.50090869554</v>
      </c>
      <c r="O322" s="15" t="n">
        <f aca="false">SUMPRODUCT(E322:N322,1/(1+$F$319)^$E$3:$N$3)*$E$2</f>
        <v>1921.05273971912</v>
      </c>
      <c r="P322" s="15" t="n">
        <f aca="false">N322*$E$2*(1+$I$319)/($F$319-$I$319)/(1+$F$319)^$N$3</f>
        <v>1172.09246139821</v>
      </c>
      <c r="Q322" s="15" t="n">
        <f aca="false">O322+P322</f>
        <v>3093.14520111732</v>
      </c>
      <c r="R322" s="15" t="n">
        <f aca="false">Q322-$G$2+$I$2</f>
        <v>1716.94520111732</v>
      </c>
      <c r="S322" s="42" t="n">
        <f aca="false">R322/$K$2</f>
        <v>45.7729992300006</v>
      </c>
      <c r="T322" s="43" t="n">
        <f aca="false">S322-$M$2</f>
        <v>-158.705806421825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2730.625</v>
      </c>
      <c r="F323" s="15" t="n">
        <f aca="false">E323*(1+IF(F$3&lt;=$O$2,$D323,$D323-($D323-$I$319)*MIN(F$3-$O$2,$Q$2)/$Q$2))</f>
        <v>2901.2890625</v>
      </c>
      <c r="G323" s="15" t="n">
        <f aca="false">F323*(1+IF(G$3&lt;=$O$2,$D323,$D323-($D323-$I$319)*MIN(G$3-$O$2,$Q$2)/$Q$2))</f>
        <v>3082.61962890625</v>
      </c>
      <c r="H323" s="15" t="n">
        <f aca="false">G323*(1+IF(H$3&lt;=$O$2,$D323,$D323-($D323-$I$319)*MIN(H$3-$O$2,$Q$2)/$Q$2))</f>
        <v>3275.28335571289</v>
      </c>
      <c r="I323" s="15" t="n">
        <f aca="false">H323*(1+IF(I$3&lt;=$O$2,$D323,$D323-($D323-$I$319)*MIN(I$3-$O$2,$Q$2)/$Q$2))</f>
        <v>3479.98856544495</v>
      </c>
      <c r="J323" s="15" t="n">
        <f aca="false">I323*(1+IF(J$3&lt;=$O$2,$D323,$D323-($D323-$I$319)*MIN(J$3-$O$2,$Q$2)/$Q$2))</f>
        <v>3666.72475186672</v>
      </c>
      <c r="K323" s="15" t="n">
        <f aca="false">J323*(1+IF(K$3&lt;=$O$2,$D323,$D323-($D323-$I$319)*MIN(K$3-$O$2,$Q$2)/$Q$2))</f>
        <v>3831.06735524539</v>
      </c>
      <c r="L323" s="15" t="n">
        <f aca="false">K323*(1+IF(L$3&lt;=$O$2,$D323,$D323-($D323-$I$319)*MIN(L$3-$O$2,$Q$2)/$Q$2))</f>
        <v>3968.90915868712</v>
      </c>
      <c r="M323" s="15" t="n">
        <f aca="false">L323*(1+IF(M$3&lt;=$O$2,$D323,$D323-($D323-$I$319)*MIN(M$3-$O$2,$Q$2)/$Q$2))</f>
        <v>4076.62535325389</v>
      </c>
      <c r="N323" s="15" t="n">
        <f aca="false">M323*(1+IF(N$3&lt;=$O$2,$D323,$D323-($D323-$I$319)*MIN(N$3-$O$2,$Q$2)/$Q$2))</f>
        <v>4151.22759721843</v>
      </c>
      <c r="O323" s="15" t="n">
        <f aca="false">SUMPRODUCT(E323:N323,1/(1+$F$319)^$E$3:$N$3)*$E$2</f>
        <v>4272.13045534842</v>
      </c>
      <c r="P323" s="15" t="n">
        <f aca="false">N323*$E$2*(1+$I$319)/($F$319-$I$319)/(1+$F$319)^$N$3</f>
        <v>4524.05249768626</v>
      </c>
      <c r="Q323" s="15" t="n">
        <f aca="false">O323+P323</f>
        <v>8796.18295303467</v>
      </c>
      <c r="R323" s="15" t="n">
        <f aca="false">Q323-$G$2+$I$2</f>
        <v>7419.98295303467</v>
      </c>
      <c r="S323" s="42" t="n">
        <f aca="false">R323/$K$2</f>
        <v>197.813461824438</v>
      </c>
      <c r="T323" s="43" t="n">
        <f aca="false">S323-$M$2</f>
        <v>-6.66534382738797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41" t="n">
        <f aca="false">(B324+C324)/2</f>
        <v>0.15625</v>
      </c>
      <c r="E324" s="15" t="n">
        <f aca="false">$C$2*(1+IF(E$3&lt;=$O$2,$D324,$D324-($D324-$I$319)*MIN(E$3-$O$2,$Q$2)/$Q$2))</f>
        <v>2971.5625</v>
      </c>
      <c r="F324" s="15" t="n">
        <f aca="false">E324*(1+IF(F$3&lt;=$O$2,$D324,$D324-($D324-$I$319)*MIN(F$3-$O$2,$Q$2)/$Q$2))</f>
        <v>3435.869140625</v>
      </c>
      <c r="G324" s="15" t="n">
        <f aca="false">F324*(1+IF(G$3&lt;=$O$2,$D324,$D324-($D324-$I$319)*MIN(G$3-$O$2,$Q$2)/$Q$2))</f>
        <v>3972.72369384766</v>
      </c>
      <c r="H324" s="15" t="n">
        <f aca="false">G324*(1+IF(H$3&lt;=$O$2,$D324,$D324-($D324-$I$319)*MIN(H$3-$O$2,$Q$2)/$Q$2))</f>
        <v>4593.46177101135</v>
      </c>
      <c r="I324" s="15" t="n">
        <f aca="false">H324*(1+IF(I$3&lt;=$O$2,$D324,$D324-($D324-$I$319)*MIN(I$3-$O$2,$Q$2)/$Q$2))</f>
        <v>5311.19017273188</v>
      </c>
      <c r="J324" s="15" t="n">
        <f aca="false">I324*(1+IF(J$3&lt;=$O$2,$D324,$D324-($D324-$I$319)*MIN(J$3-$O$2,$Q$2)/$Q$2))</f>
        <v>5994.52790035556</v>
      </c>
      <c r="K324" s="15" t="n">
        <f aca="false">J324*(1+IF(K$3&lt;=$O$2,$D324,$D324-($D324-$I$319)*MIN(K$3-$O$2,$Q$2)/$Q$2))</f>
        <v>6600.3948352445</v>
      </c>
      <c r="L324" s="15" t="n">
        <f aca="false">K324*(1+IF(L$3&lt;=$O$2,$D324,$D324-($D324-$I$319)*MIN(L$3-$O$2,$Q$2)/$Q$2))</f>
        <v>7085.39184773826</v>
      </c>
      <c r="M324" s="15" t="n">
        <f aca="false">L324*(1+IF(M$3&lt;=$O$2,$D324,$D324-($D324-$I$319)*MIN(M$3-$O$2,$Q$2)/$Q$2))</f>
        <v>7410.54047963097</v>
      </c>
      <c r="N324" s="15" t="n">
        <f aca="false">M324*(1+IF(N$3&lt;=$O$2,$D324,$D324-($D324-$I$319)*MIN(N$3-$O$2,$Q$2)/$Q$2))</f>
        <v>7546.15337040822</v>
      </c>
      <c r="O324" s="15" t="n">
        <f aca="false">SUMPRODUCT(E324:N324,1/(1+$F$319)^$E$3:$N$3)*$E$2</f>
        <v>6398.58598370556</v>
      </c>
      <c r="P324" s="15" t="n">
        <f aca="false">N324*$E$2*(1+$I$319)/($F$319-$I$319)/(1+$F$319)^$N$3</f>
        <v>8223.87913064418</v>
      </c>
      <c r="Q324" s="15" t="n">
        <f aca="false">O324+P324</f>
        <v>14622.4651143497</v>
      </c>
      <c r="R324" s="15" t="n">
        <f aca="false">Q324-$G$2+$I$2</f>
        <v>13246.2651143497</v>
      </c>
      <c r="S324" s="42" t="n">
        <f aca="false">R324/$K$2</f>
        <v>353.139565831771</v>
      </c>
      <c r="T324" s="43" t="n">
        <f aca="false">S324-$M$2</f>
        <v>148.660760179945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41" t="n">
        <f aca="false">(B325+C325)/2</f>
        <v>0.109375</v>
      </c>
      <c r="E325" s="15" t="n">
        <f aca="false">$C$2*(1+IF(E$3&lt;=$O$2,$D325,$D325-($D325-$I$319)*MIN(E$3-$O$2,$Q$2)/$Q$2))</f>
        <v>2851.09375</v>
      </c>
      <c r="F325" s="15" t="n">
        <f aca="false">E325*(1+IF(F$3&lt;=$O$2,$D325,$D325-($D325-$I$319)*MIN(F$3-$O$2,$Q$2)/$Q$2))</f>
        <v>3162.93212890625</v>
      </c>
      <c r="G325" s="15" t="n">
        <f aca="false">F325*(1+IF(G$3&lt;=$O$2,$D325,$D325-($D325-$I$319)*MIN(G$3-$O$2,$Q$2)/$Q$2))</f>
        <v>3508.87783050537</v>
      </c>
      <c r="H325" s="15" t="n">
        <f aca="false">G325*(1+IF(H$3&lt;=$O$2,$D325,$D325-($D325-$I$319)*MIN(H$3-$O$2,$Q$2)/$Q$2))</f>
        <v>3892.6613432169</v>
      </c>
      <c r="I325" s="15" t="n">
        <f aca="false">H325*(1+IF(I$3&lt;=$O$2,$D325,$D325-($D325-$I$319)*MIN(I$3-$O$2,$Q$2)/$Q$2))</f>
        <v>4318.42117763124</v>
      </c>
      <c r="J325" s="15" t="n">
        <f aca="false">I325*(1+IF(J$3&lt;=$O$2,$D325,$D325-($D325-$I$319)*MIN(J$3-$O$2,$Q$2)/$Q$2))</f>
        <v>4712.08845218411</v>
      </c>
      <c r="K325" s="15" t="n">
        <f aca="false">J325*(1+IF(K$3&lt;=$O$2,$D325,$D325-($D325-$I$319)*MIN(K$3-$O$2,$Q$2)/$Q$2))</f>
        <v>5055.81174432868</v>
      </c>
      <c r="L325" s="15" t="n">
        <f aca="false">K325*(1+IF(L$3&lt;=$O$2,$D325,$D325-($D325-$I$319)*MIN(L$3-$O$2,$Q$2)/$Q$2))</f>
        <v>5332.51632109579</v>
      </c>
      <c r="M325" s="15" t="n">
        <f aca="false">L325*(1+IF(M$3&lt;=$O$2,$D325,$D325-($D325-$I$319)*MIN(M$3-$O$2,$Q$2)/$Q$2))</f>
        <v>5527.2331545606</v>
      </c>
      <c r="N325" s="15" t="n">
        <f aca="false">M325*(1+IF(N$3&lt;=$O$2,$D325,$D325-($D325-$I$319)*MIN(N$3-$O$2,$Q$2)/$Q$2))</f>
        <v>5628.38152128906</v>
      </c>
      <c r="O325" s="15" t="n">
        <f aca="false">SUMPRODUCT(E325:N325,1/(1+$F$319)^$E$3:$N$3)*$E$2</f>
        <v>5229.05436509068</v>
      </c>
      <c r="P325" s="15" t="n">
        <f aca="false">N325*$E$2*(1+$I$319)/($F$319-$I$319)/(1+$F$319)^$N$3</f>
        <v>6133.87073654567</v>
      </c>
      <c r="Q325" s="15" t="n">
        <f aca="false">O325+P325</f>
        <v>11362.9251016364</v>
      </c>
      <c r="R325" s="15" t="n">
        <f aca="false">Q325-$G$2+$I$2</f>
        <v>9986.72510163635</v>
      </c>
      <c r="S325" s="42" t="n">
        <f aca="false">R325/$K$2</f>
        <v>266.241671597877</v>
      </c>
      <c r="T325" s="43" t="n">
        <f aca="false">S325-$M$2</f>
        <v>61.7628659460505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0.0625</v>
      </c>
      <c r="C326" s="25" t="n">
        <f aca="false">IF(T325&gt;0,D325,C325)</f>
        <v>0.109375</v>
      </c>
      <c r="D326" s="41" t="n">
        <f aca="false">(B326+C326)/2</f>
        <v>0.0859375</v>
      </c>
      <c r="E326" s="15" t="n">
        <f aca="false">$C$2*(1+IF(E$3&lt;=$O$2,$D326,$D326-($D326-$I$319)*MIN(E$3-$O$2,$Q$2)/$Q$2))</f>
        <v>2790.859375</v>
      </c>
      <c r="F326" s="15" t="n">
        <f aca="false">E326*(1+IF(F$3&lt;=$O$2,$D326,$D326-($D326-$I$319)*MIN(F$3-$O$2,$Q$2)/$Q$2))</f>
        <v>3030.69885253906</v>
      </c>
      <c r="G326" s="15" t="n">
        <f aca="false">F326*(1+IF(G$3&lt;=$O$2,$D326,$D326-($D326-$I$319)*MIN(G$3-$O$2,$Q$2)/$Q$2))</f>
        <v>3291.14953517914</v>
      </c>
      <c r="H326" s="15" t="n">
        <f aca="false">G326*(1+IF(H$3&lt;=$O$2,$D326,$D326-($D326-$I$319)*MIN(H$3-$O$2,$Q$2)/$Q$2))</f>
        <v>3573.9826983586</v>
      </c>
      <c r="I326" s="15" t="n">
        <f aca="false">H326*(1+IF(I$3&lt;=$O$2,$D326,$D326-($D326-$I$319)*MIN(I$3-$O$2,$Q$2)/$Q$2))</f>
        <v>3881.12183649879</v>
      </c>
      <c r="J326" s="15" t="n">
        <f aca="false">I326*(1+IF(J$3&lt;=$O$2,$D326,$D326-($D326-$I$319)*MIN(J$3-$O$2,$Q$2)/$Q$2))</f>
        <v>4162.15386867967</v>
      </c>
      <c r="K326" s="15" t="n">
        <f aca="false">J326*(1+IF(K$3&lt;=$O$2,$D326,$D326-($D326-$I$319)*MIN(K$3-$O$2,$Q$2)/$Q$2))</f>
        <v>4407.2318938522</v>
      </c>
      <c r="L326" s="15" t="n">
        <f aca="false">K326*(1+IF(L$3&lt;=$O$2,$D326,$D326-($D326-$I$319)*MIN(L$3-$O$2,$Q$2)/$Q$2))</f>
        <v>4607.12189639786</v>
      </c>
      <c r="M326" s="15" t="n">
        <f aca="false">L326*(1+IF(M$3&lt;=$O$2,$D326,$D326-($D326-$I$319)*MIN(M$3-$O$2,$Q$2)/$Q$2))</f>
        <v>4753.75506855546</v>
      </c>
      <c r="N326" s="15" t="n">
        <f aca="false">M326*(1+IF(N$3&lt;=$O$2,$D326,$D326-($D326-$I$319)*MIN(N$3-$O$2,$Q$2)/$Q$2))</f>
        <v>4840.74878631003</v>
      </c>
      <c r="O326" s="15" t="n">
        <f aca="false">SUMPRODUCT(E326:N326,1/(1+$F$319)^$E$3:$N$3)*$E$2</f>
        <v>4726.43241923439</v>
      </c>
      <c r="P326" s="15" t="n">
        <f aca="false">N326*$E$2*(1+$I$319)/($F$319-$I$319)/(1+$F$319)^$N$3</f>
        <v>5275.50010798053</v>
      </c>
      <c r="Q326" s="15" t="n">
        <f aca="false">O326+P326</f>
        <v>10001.9325272149</v>
      </c>
      <c r="R326" s="15" t="n">
        <f aca="false">Q326-$G$2+$I$2</f>
        <v>8625.73252721493</v>
      </c>
      <c r="S326" s="42" t="n">
        <f aca="false">R326/$K$2</f>
        <v>229.958211869233</v>
      </c>
      <c r="T326" s="43" t="n">
        <f aca="false">S326-$M$2</f>
        <v>25.4794062174068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0.0625</v>
      </c>
      <c r="C327" s="25" t="n">
        <f aca="false">IF(T326&gt;0,D326,C326)</f>
        <v>0.0859375</v>
      </c>
      <c r="D327" s="41" t="n">
        <f aca="false">(B327+C327)/2</f>
        <v>0.07421875</v>
      </c>
      <c r="E327" s="15" t="n">
        <f aca="false">$C$2*(1+IF(E$3&lt;=$O$2,$D327,$D327-($D327-$I$319)*MIN(E$3-$O$2,$Q$2)/$Q$2))</f>
        <v>2760.7421875</v>
      </c>
      <c r="F327" s="15" t="n">
        <f aca="false">E327*(1+IF(F$3&lt;=$O$2,$D327,$D327-($D327-$I$319)*MIN(F$3-$O$2,$Q$2)/$Q$2))</f>
        <v>2965.64102172852</v>
      </c>
      <c r="G327" s="15" t="n">
        <f aca="false">F327*(1+IF(G$3&lt;=$O$2,$D327,$D327-($D327-$I$319)*MIN(G$3-$O$2,$Q$2)/$Q$2))</f>
        <v>3185.74719130993</v>
      </c>
      <c r="H327" s="15" t="n">
        <f aca="false">G327*(1+IF(H$3&lt;=$O$2,$D327,$D327-($D327-$I$319)*MIN(H$3-$O$2,$Q$2)/$Q$2))</f>
        <v>3422.18936566496</v>
      </c>
      <c r="I327" s="15" t="n">
        <f aca="false">H327*(1+IF(I$3&lt;=$O$2,$D327,$D327-($D327-$I$319)*MIN(I$3-$O$2,$Q$2)/$Q$2))</f>
        <v>3676.17998264791</v>
      </c>
      <c r="J327" s="15" t="n">
        <f aca="false">I327*(1+IF(J$3&lt;=$O$2,$D327,$D327-($D327-$I$319)*MIN(J$3-$O$2,$Q$2)/$Q$2))</f>
        <v>3907.90798785412</v>
      </c>
      <c r="K327" s="15" t="n">
        <f aca="false">J327*(1+IF(K$3&lt;=$O$2,$D327,$D327-($D327-$I$319)*MIN(K$3-$O$2,$Q$2)/$Q$2))</f>
        <v>4110.53790190934</v>
      </c>
      <c r="L327" s="15" t="n">
        <f aca="false">K327*(1+IF(L$3&lt;=$O$2,$D327,$D327-($D327-$I$319)*MIN(L$3-$O$2,$Q$2)/$Q$2))</f>
        <v>4277.70320203524</v>
      </c>
      <c r="M327" s="15" t="n">
        <f aca="false">L327*(1+IF(M$3&lt;=$O$2,$D327,$D327-($D327-$I$319)*MIN(M$3-$O$2,$Q$2)/$Q$2))</f>
        <v>4403.82593381825</v>
      </c>
      <c r="N327" s="15" t="n">
        <f aca="false">M327*(1+IF(N$3&lt;=$O$2,$D327,$D327-($D327-$I$319)*MIN(N$3-$O$2,$Q$2)/$Q$2))</f>
        <v>4484.41594840712</v>
      </c>
      <c r="O327" s="15" t="n">
        <f aca="false">SUMPRODUCT(E327:N327,1/(1+$F$319)^$E$3:$N$3)*$E$2</f>
        <v>4493.52245483059</v>
      </c>
      <c r="P327" s="15" t="n">
        <f aca="false">N327*$E$2*(1+$I$319)/($F$319-$I$319)/(1+$F$319)^$N$3</f>
        <v>4887.16474751933</v>
      </c>
      <c r="Q327" s="15" t="n">
        <f aca="false">O327+P327</f>
        <v>9380.68720234992</v>
      </c>
      <c r="R327" s="15" t="n">
        <f aca="false">Q327-$G$2+$I$2</f>
        <v>8004.48720234992</v>
      </c>
      <c r="S327" s="42" t="n">
        <f aca="false">R327/$K$2</f>
        <v>213.396086439614</v>
      </c>
      <c r="T327" s="43" t="n">
        <f aca="false">S327-$M$2</f>
        <v>8.91728078778789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0.0625</v>
      </c>
      <c r="C328" s="25" t="n">
        <f aca="false">IF(T327&gt;0,D327,C327)</f>
        <v>0.07421875</v>
      </c>
      <c r="D328" s="41" t="n">
        <f aca="false">(B328+C328)/2</f>
        <v>0.068359375</v>
      </c>
      <c r="E328" s="15" t="n">
        <f aca="false">$C$2*(1+IF(E$3&lt;=$O$2,$D328,$D328-($D328-$I$319)*MIN(E$3-$O$2,$Q$2)/$Q$2))</f>
        <v>2745.68359375</v>
      </c>
      <c r="F328" s="15" t="n">
        <f aca="false">E328*(1+IF(F$3&lt;=$O$2,$D328,$D328-($D328-$I$319)*MIN(F$3-$O$2,$Q$2)/$Q$2))</f>
        <v>2933.3768081665</v>
      </c>
      <c r="G328" s="15" t="n">
        <f aca="false">F328*(1+IF(G$3&lt;=$O$2,$D328,$D328-($D328-$I$319)*MIN(G$3-$O$2,$Q$2)/$Q$2))</f>
        <v>3133.90061341226</v>
      </c>
      <c r="H328" s="15" t="n">
        <f aca="false">G328*(1+IF(H$3&lt;=$O$2,$D328,$D328-($D328-$I$319)*MIN(H$3-$O$2,$Q$2)/$Q$2))</f>
        <v>3348.13210065724</v>
      </c>
      <c r="I328" s="15" t="n">
        <f aca="false">H328*(1+IF(I$3&lt;=$O$2,$D328,$D328-($D328-$I$319)*MIN(I$3-$O$2,$Q$2)/$Q$2))</f>
        <v>3577.00831847561</v>
      </c>
      <c r="J328" s="15" t="n">
        <f aca="false">I328*(1+IF(J$3&lt;=$O$2,$D328,$D328-($D328-$I$319)*MIN(J$3-$O$2,$Q$2)/$Q$2))</f>
        <v>3785.71781133786</v>
      </c>
      <c r="K328" s="15" t="n">
        <f aca="false">J328*(1+IF(K$3&lt;=$O$2,$D328,$D328-($D328-$I$319)*MIN(K$3-$O$2,$Q$2)/$Q$2))</f>
        <v>3968.70284782251</v>
      </c>
      <c r="L328" s="15" t="n">
        <f aca="false">K328*(1+IF(L$3&lt;=$O$2,$D328,$D328-($D328-$I$319)*MIN(L$3-$O$2,$Q$2)/$Q$2))</f>
        <v>4120.79842358675</v>
      </c>
      <c r="M328" s="15" t="n">
        <f aca="false">L328*(1+IF(M$3&lt;=$O$2,$D328,$D328-($D328-$I$319)*MIN(M$3-$O$2,$Q$2)/$Q$2))</f>
        <v>4237.46595345553</v>
      </c>
      <c r="N328" s="15" t="n">
        <f aca="false">M328*(1+IF(N$3&lt;=$O$2,$D328,$D328-($D328-$I$319)*MIN(N$3-$O$2,$Q$2)/$Q$2))</f>
        <v>4315.01158040377</v>
      </c>
      <c r="O328" s="15" t="n">
        <f aca="false">SUMPRODUCT(E328:N328,1/(1+$F$319)^$E$3:$N$3)*$E$2</f>
        <v>4381.42059009457</v>
      </c>
      <c r="P328" s="15" t="n">
        <f aca="false">N328*$E$2*(1+$I$319)/($F$319-$I$319)/(1+$F$319)^$N$3</f>
        <v>4702.54604468115</v>
      </c>
      <c r="Q328" s="15" t="n">
        <f aca="false">O328+P328</f>
        <v>9083.96663477573</v>
      </c>
      <c r="R328" s="15" t="n">
        <f aca="false">Q328-$G$2+$I$2</f>
        <v>7707.76663477573</v>
      </c>
      <c r="S328" s="42" t="n">
        <f aca="false">R328/$K$2</f>
        <v>205.485647421374</v>
      </c>
      <c r="T328" s="43" t="n">
        <f aca="false">S328-$M$2</f>
        <v>1.00684176954755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0.0625</v>
      </c>
      <c r="C329" s="25" t="n">
        <f aca="false">IF(T328&gt;0,D328,C328)</f>
        <v>0.068359375</v>
      </c>
      <c r="D329" s="41" t="n">
        <f aca="false">(B329+C329)/2</f>
        <v>0.0654296875</v>
      </c>
      <c r="E329" s="15" t="n">
        <f aca="false">$C$2*(1+IF(E$3&lt;=$O$2,$D329,$D329-($D329-$I$319)*MIN(E$3-$O$2,$Q$2)/$Q$2))</f>
        <v>2738.154296875</v>
      </c>
      <c r="F329" s="15" t="n">
        <f aca="false">E329*(1+IF(F$3&lt;=$O$2,$D329,$D329-($D329-$I$319)*MIN(F$3-$O$2,$Q$2)/$Q$2))</f>
        <v>2917.31087684631</v>
      </c>
      <c r="G329" s="15" t="n">
        <f aca="false">F329*(1+IF(G$3&lt;=$O$2,$D329,$D329-($D329-$I$319)*MIN(G$3-$O$2,$Q$2)/$Q$2))</f>
        <v>3108.18961585872</v>
      </c>
      <c r="H329" s="15" t="n">
        <f aca="false">G329*(1+IF(H$3&lt;=$O$2,$D329,$D329-($D329-$I$319)*MIN(H$3-$O$2,$Q$2)/$Q$2))</f>
        <v>3311.5574911151</v>
      </c>
      <c r="I329" s="15" t="n">
        <f aca="false">H329*(1+IF(I$3&lt;=$O$2,$D329,$D329-($D329-$I$319)*MIN(I$3-$O$2,$Q$2)/$Q$2))</f>
        <v>3528.23166289704</v>
      </c>
      <c r="J329" s="15" t="n">
        <f aca="false">I329*(1+IF(J$3&lt;=$O$2,$D329,$D329-($D329-$I$319)*MIN(J$3-$O$2,$Q$2)/$Q$2))</f>
        <v>3725.82586688802</v>
      </c>
      <c r="K329" s="15" t="n">
        <f aca="false">J329*(1+IF(K$3&lt;=$O$2,$D329,$D329-($D329-$I$319)*MIN(K$3-$O$2,$Q$2)/$Q$2))</f>
        <v>3899.36668552357</v>
      </c>
      <c r="L329" s="15" t="n">
        <f aca="false">K329*(1+IF(L$3&lt;=$O$2,$D329,$D329-($D329-$I$319)*MIN(L$3-$O$2,$Q$2)/$Q$2))</f>
        <v>4044.23546920331</v>
      </c>
      <c r="M329" s="15" t="n">
        <f aca="false">L329*(1+IF(M$3&lt;=$O$2,$D329,$D329-($D329-$I$319)*MIN(M$3-$O$2,$Q$2)/$Q$2))</f>
        <v>4156.36568905773</v>
      </c>
      <c r="N329" s="15" t="n">
        <f aca="false">M329*(1+IF(N$3&lt;=$O$2,$D329,$D329-($D329-$I$319)*MIN(N$3-$O$2,$Q$2)/$Q$2))</f>
        <v>4232.42718116748</v>
      </c>
      <c r="O329" s="15" t="n">
        <f aca="false">SUMPRODUCT(E329:N329,1/(1+$F$319)^$E$3:$N$3)*$E$2</f>
        <v>4326.42821562139</v>
      </c>
      <c r="P329" s="15" t="n">
        <f aca="false">N329*$E$2*(1+$I$319)/($F$319-$I$319)/(1+$F$319)^$N$3</f>
        <v>4612.54467788421</v>
      </c>
      <c r="Q329" s="15" t="n">
        <f aca="false">O329+P329</f>
        <v>8938.97289350561</v>
      </c>
      <c r="R329" s="15" t="n">
        <f aca="false">Q329-$G$2+$I$2</f>
        <v>7562.77289350561</v>
      </c>
      <c r="S329" s="42" t="n">
        <f aca="false">R329/$K$2</f>
        <v>201.620178445897</v>
      </c>
      <c r="T329" s="43" t="n">
        <f aca="false">S329-$M$2</f>
        <v>-2.85862720592885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0.0654296875</v>
      </c>
      <c r="C330" s="25" t="n">
        <f aca="false">IF(T329&gt;0,D329,C329)</f>
        <v>0.068359375</v>
      </c>
      <c r="D330" s="41" t="n">
        <f aca="false">(B330+C330)/2</f>
        <v>0.06689453125</v>
      </c>
      <c r="E330" s="15" t="n">
        <f aca="false">$C$2*(1+IF(E$3&lt;=$O$2,$D330,$D330-($D330-$I$319)*MIN(E$3-$O$2,$Q$2)/$Q$2))</f>
        <v>2741.9189453125</v>
      </c>
      <c r="F330" s="15" t="n">
        <f aca="false">E330*(1+IF(F$3&lt;=$O$2,$D330,$D330-($D330-$I$319)*MIN(F$3-$O$2,$Q$2)/$Q$2))</f>
        <v>2925.33832788467</v>
      </c>
      <c r="G330" s="15" t="n">
        <f aca="false">F330*(1+IF(G$3&lt;=$O$2,$D330,$D330-($D330-$I$319)*MIN(G$3-$O$2,$Q$2)/$Q$2))</f>
        <v>3121.02746407618</v>
      </c>
      <c r="H330" s="15" t="n">
        <f aca="false">G330*(1+IF(H$3&lt;=$O$2,$D330,$D330-($D330-$I$319)*MIN(H$3-$O$2,$Q$2)/$Q$2))</f>
        <v>3329.80713330393</v>
      </c>
      <c r="I330" s="15" t="n">
        <f aca="false">H330*(1+IF(I$3&lt;=$O$2,$D330,$D330-($D330-$I$319)*MIN(I$3-$O$2,$Q$2)/$Q$2))</f>
        <v>3552.5530206392</v>
      </c>
      <c r="J330" s="15" t="n">
        <f aca="false">I330*(1+IF(J$3&lt;=$O$2,$D330,$D330-($D330-$I$319)*MIN(J$3-$O$2,$Q$2)/$Q$2))</f>
        <v>3755.67245993989</v>
      </c>
      <c r="K330" s="15" t="n">
        <f aca="false">J330*(1+IF(K$3&lt;=$O$2,$D330,$D330-($D330-$I$319)*MIN(K$3-$O$2,$Q$2)/$Q$2))</f>
        <v>3933.90435158837</v>
      </c>
      <c r="L330" s="15" t="n">
        <f aca="false">K330*(1+IF(L$3&lt;=$O$2,$D330,$D330-($D330-$I$319)*MIN(L$3-$O$2,$Q$2)/$Q$2))</f>
        <v>4082.36129640155</v>
      </c>
      <c r="M330" s="15" t="n">
        <f aca="false">L330*(1+IF(M$3&lt;=$O$2,$D330,$D330-($D330-$I$319)*MIN(M$3-$O$2,$Q$2)/$Q$2))</f>
        <v>4196.74459484405</v>
      </c>
      <c r="N330" s="15" t="n">
        <f aca="false">M330*(1+IF(N$3&lt;=$O$2,$D330,$D330-($D330-$I$319)*MIN(N$3-$O$2,$Q$2)/$Q$2))</f>
        <v>4273.5450209297</v>
      </c>
      <c r="O330" s="15" t="n">
        <f aca="false">SUMPRODUCT(E330:N330,1/(1+$F$319)^$E$3:$N$3)*$E$2</f>
        <v>4353.83705954167</v>
      </c>
      <c r="P330" s="15" t="n">
        <f aca="false">N330*$E$2*(1+$I$319)/($F$319-$I$319)/(1+$F$319)^$N$3</f>
        <v>4657.35534203579</v>
      </c>
      <c r="Q330" s="15" t="n">
        <f aca="false">O330+P330</f>
        <v>9011.19240157746</v>
      </c>
      <c r="R330" s="15" t="n">
        <f aca="false">Q330-$G$2+$I$2</f>
        <v>7634.99240157746</v>
      </c>
      <c r="S330" s="42" t="n">
        <f aca="false">R330/$K$2</f>
        <v>203.545518570447</v>
      </c>
      <c r="T330" s="43" t="n">
        <f aca="false">S330-$M$2</f>
        <v>-0.933287081379262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0.06689453125</v>
      </c>
      <c r="C331" s="25" t="n">
        <f aca="false">IF(T330&gt;0,D330,C330)</f>
        <v>0.068359375</v>
      </c>
      <c r="D331" s="41" t="n">
        <f aca="false">(B331+C331)/2</f>
        <v>0.067626953125</v>
      </c>
      <c r="E331" s="15" t="n">
        <f aca="false">$C$2*(1+IF(E$3&lt;=$O$2,$D331,$D331-($D331-$I$319)*MIN(E$3-$O$2,$Q$2)/$Q$2))</f>
        <v>2743.80126953125</v>
      </c>
      <c r="F331" s="15" t="n">
        <f aca="false">E331*(1+IF(F$3&lt;=$O$2,$D331,$D331-($D331-$I$319)*MIN(F$3-$O$2,$Q$2)/$Q$2))</f>
        <v>2929.35618937016</v>
      </c>
      <c r="G331" s="15" t="n">
        <f aca="false">F331*(1+IF(G$3&lt;=$O$2,$D331,$D331-($D331-$I$319)*MIN(G$3-$O$2,$Q$2)/$Q$2))</f>
        <v>3127.45962307512</v>
      </c>
      <c r="H331" s="15" t="n">
        <f aca="false">G331*(1+IF(H$3&lt;=$O$2,$D331,$D331-($D331-$I$319)*MIN(H$3-$O$2,$Q$2)/$Q$2))</f>
        <v>3338.96018840515</v>
      </c>
      <c r="I331" s="15" t="n">
        <f aca="false">H331*(1+IF(I$3&lt;=$O$2,$D331,$D331-($D331-$I$319)*MIN(I$3-$O$2,$Q$2)/$Q$2))</f>
        <v>3564.76389255267</v>
      </c>
      <c r="J331" s="15" t="n">
        <f aca="false">I331*(1+IF(J$3&lt;=$O$2,$D331,$D331-($D331-$I$319)*MIN(J$3-$O$2,$Q$2)/$Q$2))</f>
        <v>3770.67022493009</v>
      </c>
      <c r="K331" s="15" t="n">
        <f aca="false">J331*(1+IF(K$3&lt;=$O$2,$D331,$D331-($D331-$I$319)*MIN(K$3-$O$2,$Q$2)/$Q$2))</f>
        <v>3951.27089410729</v>
      </c>
      <c r="L331" s="15" t="n">
        <f aca="false">K331*(1+IF(L$3&lt;=$O$2,$D331,$D331-($D331-$I$319)*MIN(L$3-$O$2,$Q$2)/$Q$2))</f>
        <v>4101.54081314057</v>
      </c>
      <c r="M331" s="15" t="n">
        <f aca="false">L331*(1+IF(M$3&lt;=$O$2,$D331,$D331-($D331-$I$319)*MIN(M$3-$O$2,$Q$2)/$Q$2))</f>
        <v>4217.06231230706</v>
      </c>
      <c r="N331" s="15" t="n">
        <f aca="false">M331*(1+IF(N$3&lt;=$O$2,$D331,$D331-($D331-$I$319)*MIN(N$3-$O$2,$Q$2)/$Q$2))</f>
        <v>4294.23455262228</v>
      </c>
      <c r="O331" s="15" t="n">
        <f aca="false">SUMPRODUCT(E331:N331,1/(1+$F$319)^$E$3:$N$3)*$E$2</f>
        <v>4367.60692412918</v>
      </c>
      <c r="P331" s="15" t="n">
        <f aca="false">N331*$E$2*(1+$I$319)/($F$319-$I$319)/(1+$F$319)^$N$3</f>
        <v>4679.90301626895</v>
      </c>
      <c r="Q331" s="15" t="n">
        <f aca="false">O331+P331</f>
        <v>9047.50994039813</v>
      </c>
      <c r="R331" s="15" t="n">
        <f aca="false">Q331-$G$2+$I$2</f>
        <v>7671.30994039813</v>
      </c>
      <c r="S331" s="42" t="n">
        <f aca="false">R331/$K$2</f>
        <v>204.513728083128</v>
      </c>
      <c r="T331" s="43" t="n">
        <f aca="false">S331-$M$2</f>
        <v>0.0349224313017658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0.06689453125</v>
      </c>
      <c r="C332" s="25" t="n">
        <f aca="false">IF(T331&gt;0,D331,C331)</f>
        <v>0.067626953125</v>
      </c>
      <c r="D332" s="41" t="n">
        <f aca="false">(B332+C332)/2</f>
        <v>0.0672607421875</v>
      </c>
      <c r="E332" s="15" t="n">
        <f aca="false">$C$2*(1+IF(E$3&lt;=$O$2,$D332,$D332-($D332-$I$319)*MIN(E$3-$O$2,$Q$2)/$Q$2))</f>
        <v>2742.86010742188</v>
      </c>
      <c r="F332" s="15" t="n">
        <f aca="false">E332*(1+IF(F$3&lt;=$O$2,$D332,$D332-($D332-$I$319)*MIN(F$3-$O$2,$Q$2)/$Q$2))</f>
        <v>2927.34691396356</v>
      </c>
      <c r="G332" s="15" t="n">
        <f aca="false">F332*(1+IF(G$3&lt;=$O$2,$D332,$D332-($D332-$I$319)*MIN(G$3-$O$2,$Q$2)/$Q$2))</f>
        <v>3124.24244003703</v>
      </c>
      <c r="H332" s="15" t="n">
        <f aca="false">G332*(1+IF(H$3&lt;=$O$2,$D332,$D332-($D332-$I$319)*MIN(H$3-$O$2,$Q$2)/$Q$2))</f>
        <v>3334.38130532761</v>
      </c>
      <c r="I332" s="15" t="n">
        <f aca="false">H332*(1+IF(I$3&lt;=$O$2,$D332,$D332-($D332-$I$319)*MIN(I$3-$O$2,$Q$2)/$Q$2))</f>
        <v>3558.65426666007</v>
      </c>
      <c r="J332" s="15" t="n">
        <f aca="false">I332*(1+IF(J$3&lt;=$O$2,$D332,$D332-($D332-$I$319)*MIN(J$3-$O$2,$Q$2)/$Q$2))</f>
        <v>3763.16512300746</v>
      </c>
      <c r="K332" s="15" t="n">
        <f aca="false">J332*(1+IF(K$3&lt;=$O$2,$D332,$D332-($D332-$I$319)*MIN(K$3-$O$2,$Q$2)/$Q$2))</f>
        <v>3942.57945919643</v>
      </c>
      <c r="L332" s="15" t="n">
        <f aca="false">K332*(1+IF(L$3&lt;=$O$2,$D332,$D332-($D332-$I$319)*MIN(L$3-$O$2,$Q$2)/$Q$2))</f>
        <v>4091.94130988191</v>
      </c>
      <c r="M332" s="15" t="n">
        <f aca="false">L332*(1+IF(M$3&lt;=$O$2,$D332,$D332-($D332-$I$319)*MIN(M$3-$O$2,$Q$2)/$Q$2))</f>
        <v>4206.89273255665</v>
      </c>
      <c r="N332" s="15" t="n">
        <f aca="false">M332*(1+IF(N$3&lt;=$O$2,$D332,$D332-($D332-$I$319)*MIN(N$3-$O$2,$Q$2)/$Q$2))</f>
        <v>4283.87886956244</v>
      </c>
      <c r="O332" s="15" t="n">
        <f aca="false">SUMPRODUCT(E332:N332,1/(1+$F$319)^$E$3:$N$3)*$E$2</f>
        <v>4360.71652478375</v>
      </c>
      <c r="P332" s="15" t="n">
        <f aca="false">N332*$E$2*(1+$I$319)/($F$319-$I$319)/(1+$F$319)^$N$3</f>
        <v>4668.61728145558</v>
      </c>
      <c r="Q332" s="15" t="n">
        <f aca="false">O332+P332</f>
        <v>9029.33380623933</v>
      </c>
      <c r="R332" s="15" t="n">
        <f aca="false">Q332-$G$2+$I$2</f>
        <v>7653.13380623933</v>
      </c>
      <c r="S332" s="42" t="n">
        <f aca="false">R332/$K$2</f>
        <v>204.029160390278</v>
      </c>
      <c r="T332" s="43" t="n">
        <f aca="false">S332-$M$2</f>
        <v>-0.449645261547914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0.0672607421875</v>
      </c>
      <c r="C333" s="25" t="n">
        <f aca="false">IF(T332&gt;0,D332,C332)</f>
        <v>0.067626953125</v>
      </c>
      <c r="D333" s="41" t="n">
        <f aca="false">(B333+C333)/2</f>
        <v>0.06744384765625</v>
      </c>
      <c r="E333" s="15" t="n">
        <f aca="false">$C$2*(1+IF(E$3&lt;=$O$2,$D333,$D333-($D333-$I$319)*MIN(E$3-$O$2,$Q$2)/$Q$2))</f>
        <v>2743.33068847656</v>
      </c>
      <c r="F333" s="15" t="n">
        <f aca="false">E333*(1+IF(F$3&lt;=$O$2,$D333,$D333-($D333-$I$319)*MIN(F$3-$O$2,$Q$2)/$Q$2))</f>
        <v>2928.35146550089</v>
      </c>
      <c r="G333" s="15" t="n">
        <f aca="false">F333*(1+IF(G$3&lt;=$O$2,$D333,$D333-($D333-$I$319)*MIN(G$3-$O$2,$Q$2)/$Q$2))</f>
        <v>3125.85075562409</v>
      </c>
      <c r="H333" s="15" t="n">
        <f aca="false">G333*(1+IF(H$3&lt;=$O$2,$D333,$D333-($D333-$I$319)*MIN(H$3-$O$2,$Q$2)/$Q$2))</f>
        <v>3336.67015778257</v>
      </c>
      <c r="I333" s="15" t="n">
        <f aca="false">H333*(1+IF(I$3&lt;=$O$2,$D333,$D333-($D333-$I$319)*MIN(I$3-$O$2,$Q$2)/$Q$2))</f>
        <v>3561.70803158322</v>
      </c>
      <c r="J333" s="15" t="n">
        <f aca="false">I333*(1+IF(J$3&lt;=$O$2,$D333,$D333-($D333-$I$319)*MIN(J$3-$O$2,$Q$2)/$Q$2))</f>
        <v>3766.91611808133</v>
      </c>
      <c r="K333" s="15" t="n">
        <f aca="false">J333*(1+IF(K$3&lt;=$O$2,$D333,$D333-($D333-$I$319)*MIN(K$3-$O$2,$Q$2)/$Q$2))</f>
        <v>3946.92313414673</v>
      </c>
      <c r="L333" s="15" t="n">
        <f aca="false">K333*(1+IF(L$3&lt;=$O$2,$D333,$D333-($D333-$I$319)*MIN(L$3-$O$2,$Q$2)/$Q$2))</f>
        <v>4096.73862318779</v>
      </c>
      <c r="M333" s="15" t="n">
        <f aca="false">L333*(1+IF(M$3&lt;=$O$2,$D333,$D333-($D333-$I$319)*MIN(M$3-$O$2,$Q$2)/$Q$2))</f>
        <v>4211.97483974921</v>
      </c>
      <c r="N333" s="15" t="n">
        <f aca="false">M333*(1+IF(N$3&lt;=$O$2,$D333,$D333-($D333-$I$319)*MIN(N$3-$O$2,$Q$2)/$Q$2))</f>
        <v>4289.05397931662</v>
      </c>
      <c r="O333" s="15" t="n">
        <f aca="false">SUMPRODUCT(E333:N333,1/(1+$F$319)^$E$3:$N$3)*$E$2</f>
        <v>4364.1603566793</v>
      </c>
      <c r="P333" s="15" t="n">
        <f aca="false">N333*$E$2*(1+$I$319)/($F$319-$I$319)/(1+$F$319)^$N$3</f>
        <v>4674.25717174368</v>
      </c>
      <c r="Q333" s="15" t="n">
        <f aca="false">O333+P333</f>
        <v>9038.41752842297</v>
      </c>
      <c r="R333" s="15" t="n">
        <f aca="false">Q333-$G$2+$I$2</f>
        <v>7662.21752842297</v>
      </c>
      <c r="S333" s="42" t="n">
        <f aca="false">R333/$K$2</f>
        <v>204.271328403705</v>
      </c>
      <c r="T333" s="43" t="n">
        <f aca="false">S333-$M$2</f>
        <v>-0.207477248121165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0.06744384765625</v>
      </c>
      <c r="C334" s="25" t="n">
        <f aca="false">IF(T333&gt;0,D333,C333)</f>
        <v>0.067626953125</v>
      </c>
      <c r="D334" s="41" t="n">
        <f aca="false">(B334+C334)/2</f>
        <v>0.067535400390625</v>
      </c>
      <c r="E334" s="15" t="n">
        <f aca="false">$C$2*(1+IF(E$3&lt;=$O$2,$D334,$D334-($D334-$I$319)*MIN(E$3-$O$2,$Q$2)/$Q$2))</f>
        <v>2743.56597900391</v>
      </c>
      <c r="F334" s="15" t="n">
        <f aca="false">E334*(1+IF(F$3&lt;=$O$2,$D334,$D334-($D334-$I$319)*MIN(F$3-$O$2,$Q$2)/$Q$2))</f>
        <v>2928.85380589403</v>
      </c>
      <c r="G334" s="15" t="n">
        <f aca="false">F334*(1+IF(G$3&lt;=$O$2,$D334,$D334-($D334-$I$319)*MIN(G$3-$O$2,$Q$2)/$Q$2))</f>
        <v>3126.65512036069</v>
      </c>
      <c r="H334" s="15" t="n">
        <f aca="false">G334*(1+IF(H$3&lt;=$O$2,$D334,$D334-($D334-$I$319)*MIN(H$3-$O$2,$Q$2)/$Q$2))</f>
        <v>3337.81502579765</v>
      </c>
      <c r="I334" s="15" t="n">
        <f aca="false">H334*(1+IF(I$3&lt;=$O$2,$D334,$D334-($D334-$I$319)*MIN(I$3-$O$2,$Q$2)/$Q$2))</f>
        <v>3563.23569999474</v>
      </c>
      <c r="J334" s="15" t="n">
        <f aca="false">I334*(1+IF(J$3&lt;=$O$2,$D334,$D334-($D334-$I$319)*MIN(J$3-$O$2,$Q$2)/$Q$2))</f>
        <v>3768.79278240497</v>
      </c>
      <c r="K334" s="15" t="n">
        <f aca="false">J334*(1+IF(K$3&lt;=$O$2,$D334,$D334-($D334-$I$319)*MIN(K$3-$O$2,$Q$2)/$Q$2))</f>
        <v>3949.09650330158</v>
      </c>
      <c r="L334" s="15" t="n">
        <f aca="false">K334*(1+IF(L$3&lt;=$O$2,$D334,$D334-($D334-$I$319)*MIN(L$3-$O$2,$Q$2)/$Q$2))</f>
        <v>4099.13910832051</v>
      </c>
      <c r="M334" s="15" t="n">
        <f aca="false">L334*(1+IF(M$3&lt;=$O$2,$D334,$D334-($D334-$I$319)*MIN(M$3-$O$2,$Q$2)/$Q$2))</f>
        <v>4214.51790505378</v>
      </c>
      <c r="N334" s="15" t="n">
        <f aca="false">M334*(1+IF(N$3&lt;=$O$2,$D334,$D334-($D334-$I$319)*MIN(N$3-$O$2,$Q$2)/$Q$2))</f>
        <v>4291.64358271627</v>
      </c>
      <c r="O334" s="15" t="n">
        <f aca="false">SUMPRODUCT(E334:N334,1/(1+$F$319)^$E$3:$N$3)*$E$2</f>
        <v>4365.88329833309</v>
      </c>
      <c r="P334" s="15" t="n">
        <f aca="false">N334*$E$2*(1+$I$319)/($F$319-$I$319)/(1+$F$319)^$N$3</f>
        <v>4677.07934938964</v>
      </c>
      <c r="Q334" s="15" t="n">
        <f aca="false">O334+P334</f>
        <v>9042.96264772273</v>
      </c>
      <c r="R334" s="15" t="n">
        <f aca="false">Q334-$G$2+$I$2</f>
        <v>7666.76264772273</v>
      </c>
      <c r="S334" s="42" t="n">
        <f aca="false">R334/$K$2</f>
        <v>204.3924992728</v>
      </c>
      <c r="T334" s="43" t="n">
        <f aca="false">S334-$M$2</f>
        <v>-0.086306379025956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0.067535400390625</v>
      </c>
      <c r="C335" s="25" t="n">
        <f aca="false">IF(T334&gt;0,D334,C334)</f>
        <v>0.067626953125</v>
      </c>
      <c r="D335" s="41" t="n">
        <f aca="false">(B335+C335)/2</f>
        <v>0.0675811767578125</v>
      </c>
      <c r="E335" s="15" t="n">
        <f aca="false">$C$2*(1+IF(E$3&lt;=$O$2,$D335,$D335-($D335-$I$319)*MIN(E$3-$O$2,$Q$2)/$Q$2))</f>
        <v>2743.68362426758</v>
      </c>
      <c r="F335" s="15" t="n">
        <f aca="false">E335*(1+IF(F$3&lt;=$O$2,$D335,$D335-($D335-$I$319)*MIN(F$3-$O$2,$Q$2)/$Q$2))</f>
        <v>2929.10499224672</v>
      </c>
      <c r="G335" s="15" t="n">
        <f aca="false">F335*(1+IF(G$3&lt;=$O$2,$D335,$D335-($D335-$I$319)*MIN(G$3-$O$2,$Q$2)/$Q$2))</f>
        <v>3127.05735446994</v>
      </c>
      <c r="H335" s="15" t="n">
        <f aca="false">G335*(1+IF(H$3&lt;=$O$2,$D335,$D335-($D335-$I$319)*MIN(H$3-$O$2,$Q$2)/$Q$2))</f>
        <v>3338.38757027419</v>
      </c>
      <c r="I335" s="15" t="n">
        <f aca="false">H335*(1+IF(I$3&lt;=$O$2,$D335,$D335-($D335-$I$319)*MIN(I$3-$O$2,$Q$2)/$Q$2))</f>
        <v>3563.99973074697</v>
      </c>
      <c r="J335" s="15" t="n">
        <f aca="false">I335*(1+IF(J$3&lt;=$O$2,$D335,$D335-($D335-$I$319)*MIN(J$3-$O$2,$Q$2)/$Q$2))</f>
        <v>3769.73140637623</v>
      </c>
      <c r="K335" s="15" t="n">
        <f aca="false">J335*(1+IF(K$3&lt;=$O$2,$D335,$D335-($D335-$I$319)*MIN(K$3-$O$2,$Q$2)/$Q$2))</f>
        <v>3950.18357097318</v>
      </c>
      <c r="L335" s="15" t="n">
        <f aca="false">K335*(1+IF(L$3&lt;=$O$2,$D335,$D335-($D335-$I$319)*MIN(L$3-$O$2,$Q$2)/$Q$2))</f>
        <v>4100.33980823676</v>
      </c>
      <c r="M335" s="15" t="n">
        <f aca="false">L335*(1+IF(M$3&lt;=$O$2,$D335,$D335-($D335-$I$319)*MIN(M$3-$O$2,$Q$2)/$Q$2))</f>
        <v>4215.78994089886</v>
      </c>
      <c r="N335" s="15" t="n">
        <f aca="false">M335*(1+IF(N$3&lt;=$O$2,$D335,$D335-($D335-$I$319)*MIN(N$3-$O$2,$Q$2)/$Q$2))</f>
        <v>4292.93889681731</v>
      </c>
      <c r="O335" s="15" t="n">
        <f aca="false">SUMPRODUCT(E335:N335,1/(1+$F$319)^$E$3:$N$3)*$E$2</f>
        <v>4366.74502569749</v>
      </c>
      <c r="P335" s="15" t="n">
        <f aca="false">N335*$E$2*(1+$I$319)/($F$319-$I$319)/(1+$F$319)^$N$3</f>
        <v>4678.49099663298</v>
      </c>
      <c r="Q335" s="15" t="n">
        <f aca="false">O335+P335</f>
        <v>9045.23602233047</v>
      </c>
      <c r="R335" s="15" t="n">
        <f aca="false">Q335-$G$2+$I$2</f>
        <v>7669.03602233047</v>
      </c>
      <c r="S335" s="42" t="n">
        <f aca="false">R335/$K$2</f>
        <v>204.453106433764</v>
      </c>
      <c r="T335" s="43" t="n">
        <f aca="false">S335-$M$2</f>
        <v>-0.0256992180624991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0.0675811767578125</v>
      </c>
      <c r="C336" s="25" t="n">
        <f aca="false">IF(T335&gt;0,D335,C335)</f>
        <v>0.067626953125</v>
      </c>
      <c r="D336" s="41" t="n">
        <f aca="false">(B336+C336)/2</f>
        <v>0.0676040649414063</v>
      </c>
      <c r="E336" s="15" t="n">
        <f aca="false">$C$2*(1+IF(E$3&lt;=$O$2,$D336,$D336-($D336-$I$319)*MIN(E$3-$O$2,$Q$2)/$Q$2))</f>
        <v>2743.74244689941</v>
      </c>
      <c r="F336" s="15" t="n">
        <f aca="false">E336*(1+IF(F$3&lt;=$O$2,$D336,$D336-($D336-$I$319)*MIN(F$3-$O$2,$Q$2)/$Q$2))</f>
        <v>2929.2305894621</v>
      </c>
      <c r="G336" s="15" t="n">
        <f aca="false">F336*(1+IF(G$3&lt;=$O$2,$D336,$D336-($D336-$I$319)*MIN(G$3-$O$2,$Q$2)/$Q$2))</f>
        <v>3127.25848446044</v>
      </c>
      <c r="H336" s="15" t="n">
        <f aca="false">G336*(1+IF(H$3&lt;=$O$2,$D336,$D336-($D336-$I$319)*MIN(H$3-$O$2,$Q$2)/$Q$2))</f>
        <v>3338.67387013247</v>
      </c>
      <c r="I336" s="15" t="n">
        <f aca="false">H336*(1+IF(I$3&lt;=$O$2,$D336,$D336-($D336-$I$319)*MIN(I$3-$O$2,$Q$2)/$Q$2))</f>
        <v>3564.38179526708</v>
      </c>
      <c r="J336" s="15" t="n">
        <f aca="false">I336*(1+IF(J$3&lt;=$O$2,$D336,$D336-($D336-$I$319)*MIN(J$3-$O$2,$Q$2)/$Q$2))</f>
        <v>3770.20079132832</v>
      </c>
      <c r="K336" s="15" t="n">
        <f aca="false">J336*(1+IF(K$3&lt;=$O$2,$D336,$D336-($D336-$I$319)*MIN(K$3-$O$2,$Q$2)/$Q$2))</f>
        <v>3950.72720060431</v>
      </c>
      <c r="L336" s="15" t="n">
        <f aca="false">K336*(1+IF(L$3&lt;=$O$2,$D336,$D336-($D336-$I$319)*MIN(L$3-$O$2,$Q$2)/$Q$2))</f>
        <v>4100.94027256111</v>
      </c>
      <c r="M336" s="15" t="n">
        <f aca="false">L336*(1+IF(M$3&lt;=$O$2,$D336,$D336-($D336-$I$319)*MIN(M$3-$O$2,$Q$2)/$Q$2))</f>
        <v>4216.42608465282</v>
      </c>
      <c r="N336" s="15" t="n">
        <f aca="false">M336*(1+IF(N$3&lt;=$O$2,$D336,$D336-($D336-$I$319)*MIN(N$3-$O$2,$Q$2)/$Q$2))</f>
        <v>4293.58668200197</v>
      </c>
      <c r="O336" s="15" t="n">
        <f aca="false">SUMPRODUCT(E336:N336,1/(1+$F$319)^$E$3:$N$3)*$E$2</f>
        <v>4367.17595352794</v>
      </c>
      <c r="P336" s="15" t="n">
        <f aca="false">N336*$E$2*(1+$I$319)/($F$319-$I$319)/(1+$F$319)^$N$3</f>
        <v>4679.19695989662</v>
      </c>
      <c r="Q336" s="15" t="n">
        <f aca="false">O336+P336</f>
        <v>9046.37291342456</v>
      </c>
      <c r="R336" s="15" t="n">
        <f aca="false">Q336-$G$2+$I$2</f>
        <v>7670.17291342456</v>
      </c>
      <c r="S336" s="42" t="n">
        <f aca="false">R336/$K$2</f>
        <v>204.483415447202</v>
      </c>
      <c r="T336" s="43" t="n">
        <f aca="false">S336-$M$2</f>
        <v>0.00460979537623985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0.0675811767578125</v>
      </c>
      <c r="C337" s="25" t="n">
        <f aca="false">IF(T336&gt;0,D336,C336)</f>
        <v>0.0676040649414063</v>
      </c>
      <c r="D337" s="41" t="n">
        <f aca="false">(B337+C337)/2</f>
        <v>0.0675926208496094</v>
      </c>
      <c r="E337" s="15" t="n">
        <f aca="false">$C$2*(1+IF(E$3&lt;=$O$2,$D337,$D337-($D337-$I$319)*MIN(E$3-$O$2,$Q$2)/$Q$2))</f>
        <v>2743.7130355835</v>
      </c>
      <c r="F337" s="15" t="n">
        <f aca="false">E337*(1+IF(F$3&lt;=$O$2,$D337,$D337-($D337-$I$319)*MIN(F$3-$O$2,$Q$2)/$Q$2))</f>
        <v>2929.16779051782</v>
      </c>
      <c r="G337" s="15" t="n">
        <f aca="false">F337*(1+IF(G$3&lt;=$O$2,$D337,$D337-($D337-$I$319)*MIN(G$3-$O$2,$Q$2)/$Q$2))</f>
        <v>3127.15791838718</v>
      </c>
      <c r="H337" s="15" t="n">
        <f aca="false">G337*(1+IF(H$3&lt;=$O$2,$D337,$D337-($D337-$I$319)*MIN(H$3-$O$2,$Q$2)/$Q$2))</f>
        <v>3338.53071790158</v>
      </c>
      <c r="I337" s="15" t="n">
        <f aca="false">H337*(1+IF(I$3&lt;=$O$2,$D337,$D337-($D337-$I$319)*MIN(I$3-$O$2,$Q$2)/$Q$2))</f>
        <v>3564.19075891148</v>
      </c>
      <c r="J337" s="15" t="n">
        <f aca="false">I337*(1+IF(J$3&lt;=$O$2,$D337,$D337-($D337-$I$319)*MIN(J$3-$O$2,$Q$2)/$Q$2))</f>
        <v>3769.96609277132</v>
      </c>
      <c r="K337" s="15" t="n">
        <f aca="false">J337*(1+IF(K$3&lt;=$O$2,$D337,$D337-($D337-$I$319)*MIN(K$3-$O$2,$Q$2)/$Q$2))</f>
        <v>3950.45537780515</v>
      </c>
      <c r="L337" s="15" t="n">
        <f aca="false">K337*(1+IF(L$3&lt;=$O$2,$D337,$D337-($D337-$I$319)*MIN(L$3-$O$2,$Q$2)/$Q$2))</f>
        <v>4100.64003086757</v>
      </c>
      <c r="M337" s="15" t="n">
        <f aca="false">L337*(1+IF(M$3&lt;=$O$2,$D337,$D337-($D337-$I$319)*MIN(M$3-$O$2,$Q$2)/$Q$2))</f>
        <v>4216.1080022889</v>
      </c>
      <c r="N337" s="15" t="n">
        <f aca="false">M337*(1+IF(N$3&lt;=$O$2,$D337,$D337-($D337-$I$319)*MIN(N$3-$O$2,$Q$2)/$Q$2))</f>
        <v>4293.26277873079</v>
      </c>
      <c r="O337" s="15" t="n">
        <f aca="false">SUMPRODUCT(E337:N337,1/(1+$F$319)^$E$3:$N$3)*$E$2</f>
        <v>4366.96048426661</v>
      </c>
      <c r="P337" s="15" t="n">
        <f aca="false">N337*$E$2*(1+$I$319)/($F$319-$I$319)/(1+$F$319)^$N$3</f>
        <v>4678.84396662687</v>
      </c>
      <c r="Q337" s="15" t="n">
        <f aca="false">O337+P337</f>
        <v>9045.80445089349</v>
      </c>
      <c r="R337" s="15" t="n">
        <f aca="false">Q337-$G$2+$I$2</f>
        <v>7669.60445089349</v>
      </c>
      <c r="S337" s="42" t="n">
        <f aca="false">R337/$K$2</f>
        <v>204.468260487696</v>
      </c>
      <c r="T337" s="43" t="n">
        <f aca="false">S337-$M$2</f>
        <v>-0.0105451641298089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0.0675926208496094</v>
      </c>
      <c r="C338" s="25" t="n">
        <f aca="false">IF(T337&gt;0,D337,C337)</f>
        <v>0.0676040649414063</v>
      </c>
      <c r="D338" s="41" t="n">
        <f aca="false">(B338+C338)/2</f>
        <v>0.0675983428955078</v>
      </c>
      <c r="E338" s="15" t="n">
        <f aca="false">$C$2*(1+IF(E$3&lt;=$O$2,$D338,$D338-($D338-$I$319)*MIN(E$3-$O$2,$Q$2)/$Q$2))</f>
        <v>2743.72774124146</v>
      </c>
      <c r="F338" s="15" t="n">
        <f aca="false">E338*(1+IF(F$3&lt;=$O$2,$D338,$D338-($D338-$I$319)*MIN(F$3-$O$2,$Q$2)/$Q$2))</f>
        <v>2929.19918990581</v>
      </c>
      <c r="G338" s="15" t="n">
        <f aca="false">F338*(1+IF(G$3&lt;=$O$2,$D338,$D338-($D338-$I$319)*MIN(G$3-$O$2,$Q$2)/$Q$2))</f>
        <v>3127.20820115431</v>
      </c>
      <c r="H338" s="15" t="n">
        <f aca="false">G338*(1+IF(H$3&lt;=$O$2,$D338,$D338-($D338-$I$319)*MIN(H$3-$O$2,$Q$2)/$Q$2))</f>
        <v>3338.60229344158</v>
      </c>
      <c r="I338" s="15" t="n">
        <f aca="false">H338*(1+IF(I$3&lt;=$O$2,$D338,$D338-($D338-$I$319)*MIN(I$3-$O$2,$Q$2)/$Q$2))</f>
        <v>3564.28627606537</v>
      </c>
      <c r="J338" s="15" t="n">
        <f aca="false">I338*(1+IF(J$3&lt;=$O$2,$D338,$D338-($D338-$I$319)*MIN(J$3-$O$2,$Q$2)/$Q$2))</f>
        <v>3770.08344052955</v>
      </c>
      <c r="K338" s="15" t="n">
        <f aca="false">J338*(1+IF(K$3&lt;=$O$2,$D338,$D338-($D338-$I$319)*MIN(K$3-$O$2,$Q$2)/$Q$2))</f>
        <v>3950.59128720878</v>
      </c>
      <c r="L338" s="15" t="n">
        <f aca="false">K338*(1+IF(L$3&lt;=$O$2,$D338,$D338-($D338-$I$319)*MIN(L$3-$O$2,$Q$2)/$Q$2))</f>
        <v>4100.79014933143</v>
      </c>
      <c r="M338" s="15" t="n">
        <f aca="false">L338*(1+IF(M$3&lt;=$O$2,$D338,$D338-($D338-$I$319)*MIN(M$3-$O$2,$Q$2)/$Q$2))</f>
        <v>4216.26704084905</v>
      </c>
      <c r="N338" s="15" t="n">
        <f aca="false">M338*(1+IF(N$3&lt;=$O$2,$D338,$D338-($D338-$I$319)*MIN(N$3-$O$2,$Q$2)/$Q$2))</f>
        <v>4293.42472769659</v>
      </c>
      <c r="O338" s="15" t="n">
        <f aca="false">SUMPRODUCT(E338:N338,1/(1+$F$319)^$E$3:$N$3)*$E$2</f>
        <v>4367.06821756072</v>
      </c>
      <c r="P338" s="15" t="n">
        <f aca="false">N338*$E$2*(1+$I$319)/($F$319-$I$319)/(1+$F$319)^$N$3</f>
        <v>4679.02046035218</v>
      </c>
      <c r="Q338" s="15" t="n">
        <f aca="false">O338+P338</f>
        <v>9046.0886779129</v>
      </c>
      <c r="R338" s="15" t="n">
        <f aca="false">Q338-$G$2+$I$2</f>
        <v>7669.8886779129</v>
      </c>
      <c r="S338" s="42" t="n">
        <f aca="false">R338/$K$2</f>
        <v>204.47583785425</v>
      </c>
      <c r="T338" s="43" t="n">
        <f aca="false">S338-$M$2</f>
        <v>-0.00296779757644572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0.0675983428955078</v>
      </c>
      <c r="C339" s="25" t="n">
        <f aca="false">IF(T338&gt;0,D338,C338)</f>
        <v>0.0676040649414063</v>
      </c>
      <c r="D339" s="41" t="n">
        <f aca="false">(B339+C339)/2</f>
        <v>0.067601203918457</v>
      </c>
      <c r="E339" s="15" t="n">
        <f aca="false">$C$2*(1+IF(E$3&lt;=$O$2,$D339,$D339-($D339-$I$319)*MIN(E$3-$O$2,$Q$2)/$Q$2))</f>
        <v>2743.73509407043</v>
      </c>
      <c r="F339" s="15" t="n">
        <f aca="false">E339*(1+IF(F$3&lt;=$O$2,$D339,$D339-($D339-$I$319)*MIN(F$3-$O$2,$Q$2)/$Q$2))</f>
        <v>2929.21488966292</v>
      </c>
      <c r="G339" s="15" t="n">
        <f aca="false">F339*(1+IF(G$3&lt;=$O$2,$D339,$D339-($D339-$I$319)*MIN(G$3-$O$2,$Q$2)/$Q$2))</f>
        <v>3127.23334274</v>
      </c>
      <c r="H339" s="15" t="n">
        <f aca="false">G339*(1+IF(H$3&lt;=$O$2,$D339,$D339-($D339-$I$319)*MIN(H$3-$O$2,$Q$2)/$Q$2))</f>
        <v>3338.63808164317</v>
      </c>
      <c r="I339" s="15" t="n">
        <f aca="false">H339*(1+IF(I$3&lt;=$O$2,$D339,$D339-($D339-$I$319)*MIN(I$3-$O$2,$Q$2)/$Q$2))</f>
        <v>3564.33403541025</v>
      </c>
      <c r="J339" s="15" t="n">
        <f aca="false">I339*(1+IF(J$3&lt;=$O$2,$D339,$D339-($D339-$I$319)*MIN(J$3-$O$2,$Q$2)/$Q$2))</f>
        <v>3770.14211554886</v>
      </c>
      <c r="K339" s="15" t="n">
        <f aca="false">J339*(1+IF(K$3&lt;=$O$2,$D339,$D339-($D339-$I$319)*MIN(K$3-$O$2,$Q$2)/$Q$2))</f>
        <v>3950.65924340755</v>
      </c>
      <c r="L339" s="15" t="n">
        <f aca="false">K339*(1+IF(L$3&lt;=$O$2,$D339,$D339-($D339-$I$319)*MIN(L$3-$O$2,$Q$2)/$Q$2))</f>
        <v>4100.86521035054</v>
      </c>
      <c r="M339" s="15" t="n">
        <f aca="false">L339*(1+IF(M$3&lt;=$O$2,$D339,$D339-($D339-$I$319)*MIN(M$3-$O$2,$Q$2)/$Q$2))</f>
        <v>4216.34656209547</v>
      </c>
      <c r="N339" s="15" t="n">
        <f aca="false">M339*(1+IF(N$3&lt;=$O$2,$D339,$D339-($D339-$I$319)*MIN(N$3-$O$2,$Q$2)/$Q$2))</f>
        <v>4293.50570418182</v>
      </c>
      <c r="O339" s="15" t="n">
        <f aca="false">SUMPRODUCT(E339:N339,1/(1+$F$319)^$E$3:$N$3)*$E$2</f>
        <v>4367.12208521019</v>
      </c>
      <c r="P339" s="15" t="n">
        <f aca="false">N339*$E$2*(1+$I$319)/($F$319-$I$319)/(1+$F$319)^$N$3</f>
        <v>4679.108709397</v>
      </c>
      <c r="Q339" s="15" t="n">
        <f aca="false">O339+P339</f>
        <v>9046.23079460719</v>
      </c>
      <c r="R339" s="15" t="n">
        <f aca="false">Q339-$G$2+$I$2</f>
        <v>7670.03079460719</v>
      </c>
      <c r="S339" s="42" t="n">
        <f aca="false">R339/$K$2</f>
        <v>204.479626622426</v>
      </c>
      <c r="T339" s="43" t="n">
        <f aca="false">S339-$M$2</f>
        <v>0.000820970599647808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0.0675983428955078</v>
      </c>
      <c r="C340" s="25" t="n">
        <f aca="false">IF(T339&gt;0,D339,C339)</f>
        <v>0.067601203918457</v>
      </c>
      <c r="D340" s="41" t="n">
        <f aca="false">(B340+C340)/2</f>
        <v>0.0675997734069824</v>
      </c>
      <c r="E340" s="15" t="n">
        <f aca="false">$C$2*(1+IF(E$3&lt;=$O$2,$D340,$D340-($D340-$I$319)*MIN(E$3-$O$2,$Q$2)/$Q$2))</f>
        <v>2743.73141765595</v>
      </c>
      <c r="F340" s="15" t="n">
        <f aca="false">E340*(1+IF(F$3&lt;=$O$2,$D340,$D340-($D340-$I$319)*MIN(F$3-$O$2,$Q$2)/$Q$2))</f>
        <v>2929.20703977911</v>
      </c>
      <c r="G340" s="15" t="n">
        <f aca="false">F340*(1+IF(G$3&lt;=$O$2,$D340,$D340-($D340-$I$319)*MIN(G$3-$O$2,$Q$2)/$Q$2))</f>
        <v>3127.22077193031</v>
      </c>
      <c r="H340" s="15" t="n">
        <f aca="false">G340*(1+IF(H$3&lt;=$O$2,$D340,$D340-($D340-$I$319)*MIN(H$3-$O$2,$Q$2)/$Q$2))</f>
        <v>3338.62018750641</v>
      </c>
      <c r="I340" s="15" t="n">
        <f aca="false">H340*(1+IF(I$3&lt;=$O$2,$D340,$D340-($D340-$I$319)*MIN(I$3-$O$2,$Q$2)/$Q$2))</f>
        <v>3564.31015567382</v>
      </c>
      <c r="J340" s="15" t="n">
        <f aca="false">I340*(1+IF(J$3&lt;=$O$2,$D340,$D340-($D340-$I$319)*MIN(J$3-$O$2,$Q$2)/$Q$2))</f>
        <v>3770.11277794419</v>
      </c>
      <c r="K340" s="15" t="n">
        <f aca="false">J340*(1+IF(K$3&lt;=$O$2,$D340,$D340-($D340-$I$319)*MIN(K$3-$O$2,$Q$2)/$Q$2))</f>
        <v>3950.62526518342</v>
      </c>
      <c r="L340" s="15" t="n">
        <f aca="false">K340*(1+IF(L$3&lt;=$O$2,$D340,$D340-($D340-$I$319)*MIN(L$3-$O$2,$Q$2)/$Q$2))</f>
        <v>4100.82767969205</v>
      </c>
      <c r="M340" s="15" t="n">
        <f aca="false">L340*(1+IF(M$3&lt;=$O$2,$D340,$D340-($D340-$I$319)*MIN(M$3-$O$2,$Q$2)/$Q$2))</f>
        <v>4216.3068013084</v>
      </c>
      <c r="N340" s="15" t="n">
        <f aca="false">M340*(1+IF(N$3&lt;=$O$2,$D340,$D340-($D340-$I$319)*MIN(N$3-$O$2,$Q$2)/$Q$2))</f>
        <v>4293.46521577234</v>
      </c>
      <c r="O340" s="15" t="n">
        <f aca="false">SUMPRODUCT(E340:N340,1/(1+$F$319)^$E$3:$N$3)*$E$2</f>
        <v>4367.09515130192</v>
      </c>
      <c r="P340" s="15" t="n">
        <f aca="false">N340*$E$2*(1+$I$319)/($F$319-$I$319)/(1+$F$319)^$N$3</f>
        <v>4679.06458469274</v>
      </c>
      <c r="Q340" s="15" t="n">
        <f aca="false">O340+P340</f>
        <v>9046.15973599466</v>
      </c>
      <c r="R340" s="15" t="n">
        <f aca="false">Q340-$G$2+$I$2</f>
        <v>7669.95973599466</v>
      </c>
      <c r="S340" s="42" t="n">
        <f aca="false">R340/$K$2</f>
        <v>204.477732231263</v>
      </c>
      <c r="T340" s="43" t="n">
        <f aca="false">S340-$M$2</f>
        <v>-0.00107342056344351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0.0675997734069824</v>
      </c>
      <c r="C341" s="25" t="n">
        <f aca="false">IF(T340&gt;0,D340,C340)</f>
        <v>0.067601203918457</v>
      </c>
      <c r="D341" s="41" t="n">
        <f aca="false">(B341+C341)/2</f>
        <v>0.0676004886627197</v>
      </c>
      <c r="E341" s="15" t="n">
        <f aca="false">$C$2*(1+IF(E$3&lt;=$O$2,$D341,$D341-($D341-$I$319)*MIN(E$3-$O$2,$Q$2)/$Q$2))</f>
        <v>2743.73325586319</v>
      </c>
      <c r="F341" s="15" t="n">
        <f aca="false">E341*(1+IF(F$3&lt;=$O$2,$D341,$D341-($D341-$I$319)*MIN(F$3-$O$2,$Q$2)/$Q$2))</f>
        <v>2929.2109647197</v>
      </c>
      <c r="G341" s="15" t="n">
        <f aca="false">F341*(1+IF(G$3&lt;=$O$2,$D341,$D341-($D341-$I$319)*MIN(G$3-$O$2,$Q$2)/$Q$2))</f>
        <v>3127.22705733094</v>
      </c>
      <c r="H341" s="15" t="n">
        <f aca="false">G341*(1+IF(H$3&lt;=$O$2,$D341,$D341-($D341-$I$319)*MIN(H$3-$O$2,$Q$2)/$Q$2))</f>
        <v>3338.6291345658</v>
      </c>
      <c r="I341" s="15" t="n">
        <f aca="false">H341*(1+IF(I$3&lt;=$O$2,$D341,$D341-($D341-$I$319)*MIN(I$3-$O$2,$Q$2)/$Q$2))</f>
        <v>3564.32209552604</v>
      </c>
      <c r="J341" s="15" t="n">
        <f aca="false">I341*(1+IF(J$3&lt;=$O$2,$D341,$D341-($D341-$I$319)*MIN(J$3-$O$2,$Q$2)/$Q$2))</f>
        <v>3770.12744672277</v>
      </c>
      <c r="K341" s="15" t="n">
        <f aca="false">J341*(1+IF(K$3&lt;=$O$2,$D341,$D341-($D341-$I$319)*MIN(K$3-$O$2,$Q$2)/$Q$2))</f>
        <v>3950.6422542643</v>
      </c>
      <c r="L341" s="15" t="n">
        <f aca="false">K341*(1+IF(L$3&lt;=$O$2,$D341,$D341-($D341-$I$319)*MIN(L$3-$O$2,$Q$2)/$Q$2))</f>
        <v>4100.84644498406</v>
      </c>
      <c r="M341" s="15" t="n">
        <f aca="false">L341*(1+IF(M$3&lt;=$O$2,$D341,$D341-($D341-$I$319)*MIN(M$3-$O$2,$Q$2)/$Q$2))</f>
        <v>4216.32668166097</v>
      </c>
      <c r="N341" s="15" t="n">
        <f aca="false">M341*(1+IF(N$3&lt;=$O$2,$D341,$D341-($D341-$I$319)*MIN(N$3-$O$2,$Q$2)/$Q$2))</f>
        <v>4293.48545993536</v>
      </c>
      <c r="O341" s="15" t="n">
        <f aca="false">SUMPRODUCT(E341:N341,1/(1+$F$319)^$E$3:$N$3)*$E$2</f>
        <v>4367.10861823517</v>
      </c>
      <c r="P341" s="15" t="n">
        <f aca="false">N341*$E$2*(1+$I$319)/($F$319-$I$319)/(1+$F$319)^$N$3</f>
        <v>4679.08664699941</v>
      </c>
      <c r="Q341" s="15" t="n">
        <f aca="false">O341+P341</f>
        <v>9046.19526523458</v>
      </c>
      <c r="R341" s="15" t="n">
        <f aca="false">Q341-$G$2+$I$2</f>
        <v>7669.99526523458</v>
      </c>
      <c r="S341" s="42" t="n">
        <f aca="false">R341/$K$2</f>
        <v>204.478679425075</v>
      </c>
      <c r="T341" s="43" t="n">
        <f aca="false">S341-$M$2</f>
        <v>-0.000126226750751357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0.0676004886627197</v>
      </c>
      <c r="C342" s="25" t="n">
        <f aca="false">IF(T341&gt;0,D341,C341)</f>
        <v>0.067601203918457</v>
      </c>
      <c r="D342" s="41" t="n">
        <f aca="false">(B342+C342)/2</f>
        <v>0.0676008462905884</v>
      </c>
      <c r="E342" s="15" t="n">
        <f aca="false">$C$2*(1+IF(E$3&lt;=$O$2,$D342,$D342-($D342-$I$319)*MIN(E$3-$O$2,$Q$2)/$Q$2))</f>
        <v>2743.73417496681</v>
      </c>
      <c r="F342" s="15" t="n">
        <f aca="false">E342*(1+IF(F$3&lt;=$O$2,$D342,$D342-($D342-$I$319)*MIN(F$3-$O$2,$Q$2)/$Q$2))</f>
        <v>2929.21292719098</v>
      </c>
      <c r="G342" s="15" t="n">
        <f aca="false">F342*(1+IF(G$3&lt;=$O$2,$D342,$D342-($D342-$I$319)*MIN(G$3-$O$2,$Q$2)/$Q$2))</f>
        <v>3127.23020003442</v>
      </c>
      <c r="H342" s="15" t="n">
        <f aca="false">G342*(1+IF(H$3&lt;=$O$2,$D342,$D342-($D342-$I$319)*MIN(H$3-$O$2,$Q$2)/$Q$2))</f>
        <v>3338.63360810223</v>
      </c>
      <c r="I342" s="15" t="n">
        <f aca="false">H342*(1+IF(I$3&lt;=$O$2,$D342,$D342-($D342-$I$319)*MIN(I$3-$O$2,$Q$2)/$Q$2))</f>
        <v>3564.32806546414</v>
      </c>
      <c r="J342" s="15" t="n">
        <f aca="false">I342*(1+IF(J$3&lt;=$O$2,$D342,$D342-($D342-$I$319)*MIN(J$3-$O$2,$Q$2)/$Q$2))</f>
        <v>3770.13478112988</v>
      </c>
      <c r="K342" s="15" t="n">
        <f aca="false">J342*(1+IF(K$3&lt;=$O$2,$D342,$D342-($D342-$I$319)*MIN(K$3-$O$2,$Q$2)/$Q$2))</f>
        <v>3950.65074882813</v>
      </c>
      <c r="L342" s="15" t="n">
        <f aca="false">K342*(1+IF(L$3&lt;=$O$2,$D342,$D342-($D342-$I$319)*MIN(L$3-$O$2,$Q$2)/$Q$2))</f>
        <v>4100.85582765799</v>
      </c>
      <c r="M342" s="15" t="n">
        <f aca="false">L342*(1+IF(M$3&lt;=$O$2,$D342,$D342-($D342-$I$319)*MIN(M$3-$O$2,$Q$2)/$Q$2))</f>
        <v>4216.33662186798</v>
      </c>
      <c r="N342" s="15" t="n">
        <f aca="false">M342*(1+IF(N$3&lt;=$O$2,$D342,$D342-($D342-$I$319)*MIN(N$3-$O$2,$Q$2)/$Q$2))</f>
        <v>4293.49558204817</v>
      </c>
      <c r="O342" s="15" t="n">
        <f aca="false">SUMPRODUCT(E342:N342,1/(1+$F$319)^$E$3:$N$3)*$E$2</f>
        <v>4367.11535171746</v>
      </c>
      <c r="P342" s="15" t="n">
        <f aca="false">N342*$E$2*(1+$I$319)/($F$319-$I$319)/(1+$F$319)^$N$3</f>
        <v>4679.09767818684</v>
      </c>
      <c r="Q342" s="15" t="n">
        <f aca="false">O342+P342</f>
        <v>9046.2130299043</v>
      </c>
      <c r="R342" s="15" t="n">
        <f aca="false">Q342-$G$2+$I$2</f>
        <v>7670.0130299043</v>
      </c>
      <c r="S342" s="42" t="n">
        <f aca="false">R342/$K$2</f>
        <v>204.479153023308</v>
      </c>
      <c r="T342" s="43" t="n">
        <f aca="false">S342-$M$2</f>
        <v>0.000347371482291692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0.0676004886627197</v>
      </c>
      <c r="C343" s="25" t="n">
        <f aca="false">IF(T342&gt;0,D342,C342)</f>
        <v>0.0676008462905884</v>
      </c>
      <c r="D343" s="41" t="n">
        <f aca="false">(B343+C343)/2</f>
        <v>0.0676006674766541</v>
      </c>
      <c r="E343" s="15" t="n">
        <f aca="false">$C$2*(1+IF(E$3&lt;=$O$2,$D343,$D343-($D343-$I$319)*MIN(E$3-$O$2,$Q$2)/$Q$2))</f>
        <v>2743.733715415</v>
      </c>
      <c r="F343" s="15" t="n">
        <f aca="false">E343*(1+IF(F$3&lt;=$O$2,$D343,$D343-($D343-$I$319)*MIN(F$3-$O$2,$Q$2)/$Q$2))</f>
        <v>2929.21194595526</v>
      </c>
      <c r="G343" s="15" t="n">
        <f aca="false">F343*(1+IF(G$3&lt;=$O$2,$D343,$D343-($D343-$I$319)*MIN(G$3-$O$2,$Q$2)/$Q$2))</f>
        <v>3127.22862868242</v>
      </c>
      <c r="H343" s="15" t="n">
        <f aca="false">G343*(1+IF(H$3&lt;=$O$2,$D343,$D343-($D343-$I$319)*MIN(H$3-$O$2,$Q$2)/$Q$2))</f>
        <v>3338.63137133345</v>
      </c>
      <c r="I343" s="15" t="n">
        <f aca="false">H343*(1+IF(I$3&lt;=$O$2,$D343,$D343-($D343-$I$319)*MIN(I$3-$O$2,$Q$2)/$Q$2))</f>
        <v>3564.32508049409</v>
      </c>
      <c r="J343" s="15" t="n">
        <f aca="false">I343*(1+IF(J$3&lt;=$O$2,$D343,$D343-($D343-$I$319)*MIN(J$3-$O$2,$Q$2)/$Q$2))</f>
        <v>3770.13111392484</v>
      </c>
      <c r="K343" s="15" t="n">
        <f aca="false">J343*(1+IF(K$3&lt;=$O$2,$D343,$D343-($D343-$I$319)*MIN(K$3-$O$2,$Q$2)/$Q$2))</f>
        <v>3950.64650154427</v>
      </c>
      <c r="L343" s="15" t="n">
        <f aca="false">K343*(1+IF(L$3&lt;=$O$2,$D343,$D343-($D343-$I$319)*MIN(L$3-$O$2,$Q$2)/$Q$2))</f>
        <v>4100.8511363187</v>
      </c>
      <c r="M343" s="15" t="n">
        <f aca="false">L343*(1+IF(M$3&lt;=$O$2,$D343,$D343-($D343-$I$319)*MIN(M$3-$O$2,$Q$2)/$Q$2))</f>
        <v>4216.33165176191</v>
      </c>
      <c r="N343" s="15" t="n">
        <f aca="false">M343*(1+IF(N$3&lt;=$O$2,$D343,$D343-($D343-$I$319)*MIN(N$3-$O$2,$Q$2)/$Q$2))</f>
        <v>4293.49052098916</v>
      </c>
      <c r="O343" s="15" t="n">
        <f aca="false">SUMPRODUCT(E343:N343,1/(1+$F$319)^$E$3:$N$3)*$E$2</f>
        <v>4367.11198497501</v>
      </c>
      <c r="P343" s="15" t="n">
        <f aca="false">N343*$E$2*(1+$I$319)/($F$319-$I$319)/(1+$F$319)^$N$3</f>
        <v>4679.09216259028</v>
      </c>
      <c r="Q343" s="15" t="n">
        <f aca="false">O343+P343</f>
        <v>9046.20414756529</v>
      </c>
      <c r="R343" s="15" t="n">
        <f aca="false">Q343-$G$2+$I$2</f>
        <v>7670.00414756529</v>
      </c>
      <c r="S343" s="42" t="n">
        <f aca="false">R343/$K$2</f>
        <v>204.478916224081</v>
      </c>
      <c r="T343" s="43" t="n">
        <f aca="false">S343-$M$2</f>
        <v>0.000110572255181296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0.0676004886627197</v>
      </c>
      <c r="C344" s="25" t="n">
        <f aca="false">IF(T343&gt;0,D343,C343)</f>
        <v>0.0676006674766541</v>
      </c>
      <c r="D344" s="41" t="n">
        <f aca="false">(B344+C344)/2</f>
        <v>0.0676005780696869</v>
      </c>
      <c r="E344" s="15" t="n">
        <f aca="false">$C$2*(1+IF(E$3&lt;=$O$2,$D344,$D344-($D344-$I$319)*MIN(E$3-$O$2,$Q$2)/$Q$2))</f>
        <v>2743.7334856391</v>
      </c>
      <c r="F344" s="15" t="n">
        <f aca="false">E344*(1+IF(F$3&lt;=$O$2,$D344,$D344-($D344-$I$319)*MIN(F$3-$O$2,$Q$2)/$Q$2))</f>
        <v>2929.21145533746</v>
      </c>
      <c r="G344" s="15" t="n">
        <f aca="false">F344*(1+IF(G$3&lt;=$O$2,$D344,$D344-($D344-$I$319)*MIN(G$3-$O$2,$Q$2)/$Q$2))</f>
        <v>3127.22784300662</v>
      </c>
      <c r="H344" s="15" t="n">
        <f aca="false">G344*(1+IF(H$3&lt;=$O$2,$D344,$D344-($D344-$I$319)*MIN(H$3-$O$2,$Q$2)/$Q$2))</f>
        <v>3338.63025294948</v>
      </c>
      <c r="I344" s="15" t="n">
        <f aca="false">H344*(1+IF(I$3&lt;=$O$2,$D344,$D344-($D344-$I$319)*MIN(I$3-$O$2,$Q$2)/$Q$2))</f>
        <v>3564.32358800981</v>
      </c>
      <c r="J344" s="15" t="n">
        <f aca="false">I344*(1+IF(J$3&lt;=$O$2,$D344,$D344-($D344-$I$319)*MIN(J$3-$O$2,$Q$2)/$Q$2))</f>
        <v>3770.12928032344</v>
      </c>
      <c r="K344" s="15" t="n">
        <f aca="false">J344*(1+IF(K$3&lt;=$O$2,$D344,$D344-($D344-$I$319)*MIN(K$3-$O$2,$Q$2)/$Q$2))</f>
        <v>3950.64437790379</v>
      </c>
      <c r="L344" s="15" t="n">
        <f aca="false">K344*(1+IF(L$3&lt;=$O$2,$D344,$D344-($D344-$I$319)*MIN(L$3-$O$2,$Q$2)/$Q$2))</f>
        <v>4100.8487906508</v>
      </c>
      <c r="M344" s="15" t="n">
        <f aca="false">L344*(1+IF(M$3&lt;=$O$2,$D344,$D344-($D344-$I$319)*MIN(M$3-$O$2,$Q$2)/$Q$2))</f>
        <v>4216.3291667108</v>
      </c>
      <c r="N344" s="15" t="n">
        <f aca="false">M344*(1+IF(N$3&lt;=$O$2,$D344,$D344-($D344-$I$319)*MIN(N$3-$O$2,$Q$2)/$Q$2))</f>
        <v>4293.48799046161</v>
      </c>
      <c r="O344" s="15" t="n">
        <f aca="false">SUMPRODUCT(E344:N344,1/(1+$F$319)^$E$3:$N$3)*$E$2</f>
        <v>4367.11030160476</v>
      </c>
      <c r="P344" s="15" t="n">
        <f aca="false">N344*$E$2*(1+$I$319)/($F$319-$I$319)/(1+$F$319)^$N$3</f>
        <v>4679.08940479414</v>
      </c>
      <c r="Q344" s="15" t="n">
        <f aca="false">O344+P344</f>
        <v>9046.1997063989</v>
      </c>
      <c r="R344" s="15" t="n">
        <f aca="false">Q344-$G$2+$I$2</f>
        <v>7669.9997063989</v>
      </c>
      <c r="S344" s="42" t="n">
        <f aca="false">R344/$K$2</f>
        <v>204.478797824551</v>
      </c>
      <c r="T344" s="43" t="n">
        <f aca="false">S344-$M$2</f>
        <v>-7.82727539672123E-006</v>
      </c>
    </row>
    <row r="346" customFormat="false" ht="15" hidden="false" customHeight="false" outlineLevel="0" collapsed="false">
      <c r="A346" s="38" t="s">
        <v>193</v>
      </c>
      <c r="E346" s="5" t="s">
        <v>11</v>
      </c>
      <c r="F346" s="12" t="n">
        <f aca="false">Sensitivity!$B$12</f>
        <v>0.094183337553844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162</v>
      </c>
      <c r="B347" s="28" t="s">
        <v>163</v>
      </c>
      <c r="C347" s="28" t="s">
        <v>164</v>
      </c>
      <c r="D347" s="28" t="s">
        <v>165</v>
      </c>
      <c r="E347" s="28" t="s">
        <v>166</v>
      </c>
      <c r="F347" s="28" t="s">
        <v>167</v>
      </c>
      <c r="G347" s="28" t="s">
        <v>168</v>
      </c>
      <c r="H347" s="28" t="s">
        <v>169</v>
      </c>
      <c r="I347" s="28" t="s">
        <v>170</v>
      </c>
      <c r="J347" s="28" t="s">
        <v>171</v>
      </c>
      <c r="K347" s="28" t="s">
        <v>172</v>
      </c>
      <c r="L347" s="28" t="s">
        <v>173</v>
      </c>
      <c r="M347" s="28" t="s">
        <v>174</v>
      </c>
      <c r="N347" s="28" t="s">
        <v>175</v>
      </c>
      <c r="O347" s="28" t="s">
        <v>176</v>
      </c>
      <c r="P347" s="28" t="s">
        <v>177</v>
      </c>
      <c r="Q347" s="28" t="s">
        <v>178</v>
      </c>
      <c r="R347" s="28" t="s">
        <v>179</v>
      </c>
      <c r="S347" s="28" t="s">
        <v>180</v>
      </c>
      <c r="T347" s="28" t="s">
        <v>181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3212.5</v>
      </c>
      <c r="F348" s="15" t="n">
        <f aca="false">E348*(1+IF(F$3&lt;=$O$2,$D348,$D348-($D348-$I$346)*MIN(F$3-$O$2,$Q$2)/$Q$2))</f>
        <v>4015.625</v>
      </c>
      <c r="G348" s="15" t="n">
        <f aca="false">F348*(1+IF(G$3&lt;=$O$2,$D348,$D348-($D348-$I$346)*MIN(G$3-$O$2,$Q$2)/$Q$2))</f>
        <v>5019.53125</v>
      </c>
      <c r="H348" s="15" t="n">
        <f aca="false">G348*(1+IF(H$3&lt;=$O$2,$D348,$D348-($D348-$I$346)*MIN(H$3-$O$2,$Q$2)/$Q$2))</f>
        <v>6274.4140625</v>
      </c>
      <c r="I348" s="15" t="n">
        <f aca="false">H348*(1+IF(I$3&lt;=$O$2,$D348,$D348-($D348-$I$346)*MIN(I$3-$O$2,$Q$2)/$Q$2))</f>
        <v>7843.017578125</v>
      </c>
      <c r="J348" s="15" t="n">
        <f aca="false">I348*(1+IF(J$3&lt;=$O$2,$D348,$D348-($D348-$I$346)*MIN(J$3-$O$2,$Q$2)/$Q$2))</f>
        <v>9448.16955566406</v>
      </c>
      <c r="K348" s="15" t="n">
        <f aca="false">J348*(1+IF(K$3&lt;=$O$2,$D348,$D348-($D348-$I$346)*MIN(K$3-$O$2,$Q$2)/$Q$2))</f>
        <v>10953.4519292725</v>
      </c>
      <c r="L348" s="15" t="n">
        <f aca="false">K348*(1+IF(L$3&lt;=$O$2,$D348,$D348-($D348-$I$346)*MIN(L$3-$O$2,$Q$2)/$Q$2))</f>
        <v>12201.9263801709</v>
      </c>
      <c r="M348" s="15" t="n">
        <f aca="false">L348*(1+IF(M$3&lt;=$O$2,$D348,$D348-($D348-$I$346)*MIN(M$3-$O$2,$Q$2)/$Q$2))</f>
        <v>13039.4666069059</v>
      </c>
      <c r="N348" s="15" t="n">
        <f aca="false">M348*(1+IF(N$3&lt;=$O$2,$D348,$D348-($D348-$I$346)*MIN(N$3-$O$2,$Q$2)/$Q$2))</f>
        <v>13343.2861788468</v>
      </c>
      <c r="O348" s="15" t="n">
        <f aca="false">SUMPRODUCT(E348:N348,1/(1+$F$346)^$E$3:$N$3)*$E$2</f>
        <v>9589.31227301394</v>
      </c>
      <c r="P348" s="15" t="n">
        <f aca="false">N348*$E$2*(1+$I$346)/($F$346-$I$346)/(1+$F$346)^$N$3</f>
        <v>15643.840806908</v>
      </c>
      <c r="Q348" s="15" t="n">
        <f aca="false">O348+P348</f>
        <v>25233.153079922</v>
      </c>
      <c r="R348" s="15" t="n">
        <f aca="false">Q348-$G$2+$I$2</f>
        <v>23856.953079922</v>
      </c>
      <c r="S348" s="42" t="n">
        <f aca="false">R348/$K$2</f>
        <v>636.015811248253</v>
      </c>
      <c r="T348" s="43" t="n">
        <f aca="false">S348-$M$2</f>
        <v>431.537005596427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2248.75</v>
      </c>
      <c r="F349" s="15" t="n">
        <f aca="false">E349*(1+IF(F$3&lt;=$O$2,$D349,$D349-($D349-$I$346)*MIN(F$3-$O$2,$Q$2)/$Q$2))</f>
        <v>1967.65625</v>
      </c>
      <c r="G349" s="15" t="n">
        <f aca="false">F349*(1+IF(G$3&lt;=$O$2,$D349,$D349-($D349-$I$346)*MIN(G$3-$O$2,$Q$2)/$Q$2))</f>
        <v>1721.69921875</v>
      </c>
      <c r="H349" s="15" t="n">
        <f aca="false">G349*(1+IF(H$3&lt;=$O$2,$D349,$D349-($D349-$I$346)*MIN(H$3-$O$2,$Q$2)/$Q$2))</f>
        <v>1506.48681640625</v>
      </c>
      <c r="I349" s="15" t="n">
        <f aca="false">H349*(1+IF(I$3&lt;=$O$2,$D349,$D349-($D349-$I$346)*MIN(I$3-$O$2,$Q$2)/$Q$2))</f>
        <v>1318.17596435547</v>
      </c>
      <c r="J349" s="15" t="n">
        <f aca="false">I349*(1+IF(J$3&lt;=$O$2,$D349,$D349-($D349-$I$346)*MIN(J$3-$O$2,$Q$2)/$Q$2))</f>
        <v>1192.50106791382</v>
      </c>
      <c r="K349" s="15" t="n">
        <f aca="false">J349*(1+IF(K$3&lt;=$O$2,$D349,$D349-($D349-$I$346)*MIN(K$3-$O$2,$Q$2)/$Q$2))</f>
        <v>1114.17759777324</v>
      </c>
      <c r="L349" s="15" t="n">
        <f aca="false">K349*(1+IF(L$3&lt;=$O$2,$D349,$D349-($D349-$I$346)*MIN(L$3-$O$2,$Q$2)/$Q$2))</f>
        <v>1074.04492070145</v>
      </c>
      <c r="M349" s="15" t="n">
        <f aca="false">L349*(1+IF(M$3&lt;=$O$2,$D349,$D349-($D349-$I$346)*MIN(M$3-$O$2,$Q$2)/$Q$2))</f>
        <v>1067.21399500579</v>
      </c>
      <c r="N349" s="15" t="n">
        <f aca="false">M349*(1+IF(N$3&lt;=$O$2,$D349,$D349-($D349-$I$346)*MIN(N$3-$O$2,$Q$2)/$Q$2))</f>
        <v>1092.08008108942</v>
      </c>
      <c r="O349" s="15" t="n">
        <f aca="false">SUMPRODUCT(E349:N349,1/(1+$F$346)^$E$3:$N$3)*$E$2</f>
        <v>1924.58089223118</v>
      </c>
      <c r="P349" s="15" t="n">
        <f aca="false">N349*$E$2*(1+$I$346)/($F$346-$I$346)/(1+$F$346)^$N$3</f>
        <v>1280.36877182789</v>
      </c>
      <c r="Q349" s="15" t="n">
        <f aca="false">O349+P349</f>
        <v>3204.94966405907</v>
      </c>
      <c r="R349" s="15" t="n">
        <f aca="false">Q349-$G$2+$I$2</f>
        <v>1828.74966405907</v>
      </c>
      <c r="S349" s="42" t="n">
        <f aca="false">R349/$K$2</f>
        <v>48.753656733113</v>
      </c>
      <c r="T349" s="43" t="n">
        <f aca="false">S349-$M$2</f>
        <v>-155.725148918713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2730.625</v>
      </c>
      <c r="F350" s="15" t="n">
        <f aca="false">E350*(1+IF(F$3&lt;=$O$2,$D350,$D350-($D350-$I$346)*MIN(F$3-$O$2,$Q$2)/$Q$2))</f>
        <v>2901.2890625</v>
      </c>
      <c r="G350" s="15" t="n">
        <f aca="false">F350*(1+IF(G$3&lt;=$O$2,$D350,$D350-($D350-$I$346)*MIN(G$3-$O$2,$Q$2)/$Q$2))</f>
        <v>3082.61962890625</v>
      </c>
      <c r="H350" s="15" t="n">
        <f aca="false">G350*(1+IF(H$3&lt;=$O$2,$D350,$D350-($D350-$I$346)*MIN(H$3-$O$2,$Q$2)/$Q$2))</f>
        <v>3275.28335571289</v>
      </c>
      <c r="I350" s="15" t="n">
        <f aca="false">H350*(1+IF(I$3&lt;=$O$2,$D350,$D350-($D350-$I$346)*MIN(I$3-$O$2,$Q$2)/$Q$2))</f>
        <v>3479.98856544495</v>
      </c>
      <c r="J350" s="15" t="n">
        <f aca="false">I350*(1+IF(J$3&lt;=$O$2,$D350,$D350-($D350-$I$346)*MIN(J$3-$O$2,$Q$2)/$Q$2))</f>
        <v>3670.20474043217</v>
      </c>
      <c r="K350" s="15" t="n">
        <f aca="false">J350*(1+IF(K$3&lt;=$O$2,$D350,$D350-($D350-$I$346)*MIN(K$3-$O$2,$Q$2)/$Q$2))</f>
        <v>3842.0437263792</v>
      </c>
      <c r="L350" s="15" t="n">
        <f aca="false">K350*(1+IF(L$3&lt;=$O$2,$D350,$D350-($D350-$I$346)*MIN(L$3-$O$2,$Q$2)/$Q$2))</f>
        <v>3991.80659083346</v>
      </c>
      <c r="M350" s="15" t="n">
        <f aca="false">L350*(1+IF(M$3&lt;=$O$2,$D350,$D350-($D350-$I$346)*MIN(M$3-$O$2,$Q$2)/$Q$2))</f>
        <v>4116.11144807202</v>
      </c>
      <c r="N350" s="15" t="n">
        <f aca="false">M350*(1+IF(N$3&lt;=$O$2,$D350,$D350-($D350-$I$346)*MIN(N$3-$O$2,$Q$2)/$Q$2))</f>
        <v>4212.0168448121</v>
      </c>
      <c r="O350" s="15" t="n">
        <f aca="false">SUMPRODUCT(E350:N350,1/(1+$F$346)^$E$3:$N$3)*$E$2</f>
        <v>4284.37524524836</v>
      </c>
      <c r="P350" s="15" t="n">
        <f aca="false">N350*$E$2*(1+$I$346)/($F$346-$I$346)/(1+$F$346)^$N$3</f>
        <v>4938.22287201745</v>
      </c>
      <c r="Q350" s="15" t="n">
        <f aca="false">O350+P350</f>
        <v>9222.59811726581</v>
      </c>
      <c r="R350" s="15" t="n">
        <f aca="false">Q350-$G$2+$I$2</f>
        <v>7846.39811726581</v>
      </c>
      <c r="S350" s="42" t="n">
        <f aca="false">R350/$K$2</f>
        <v>209.181501393383</v>
      </c>
      <c r="T350" s="43" t="n">
        <f aca="false">S350-$M$2</f>
        <v>4.70269574155739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41" t="n">
        <f aca="false">(B351+C351)/2</f>
        <v>-0.03125</v>
      </c>
      <c r="E351" s="15" t="n">
        <f aca="false">$C$2*(1+IF(E$3&lt;=$O$2,$D351,$D351-($D351-$I$346)*MIN(E$3-$O$2,$Q$2)/$Q$2))</f>
        <v>2489.6875</v>
      </c>
      <c r="F351" s="15" t="n">
        <f aca="false">E351*(1+IF(F$3&lt;=$O$2,$D351,$D351-($D351-$I$346)*MIN(F$3-$O$2,$Q$2)/$Q$2))</f>
        <v>2411.884765625</v>
      </c>
      <c r="G351" s="15" t="n">
        <f aca="false">F351*(1+IF(G$3&lt;=$O$2,$D351,$D351-($D351-$I$346)*MIN(G$3-$O$2,$Q$2)/$Q$2))</f>
        <v>2336.51336669922</v>
      </c>
      <c r="H351" s="15" t="n">
        <f aca="false">G351*(1+IF(H$3&lt;=$O$2,$D351,$D351-($D351-$I$346)*MIN(H$3-$O$2,$Q$2)/$Q$2))</f>
        <v>2263.49732398987</v>
      </c>
      <c r="I351" s="15" t="n">
        <f aca="false">H351*(1+IF(I$3&lt;=$O$2,$D351,$D351-($D351-$I$346)*MIN(I$3-$O$2,$Q$2)/$Q$2))</f>
        <v>2192.76303261519</v>
      </c>
      <c r="J351" s="15" t="n">
        <f aca="false">I351*(1+IF(J$3&lt;=$O$2,$D351,$D351-($D351-$I$346)*MIN(J$3-$O$2,$Q$2)/$Q$2))</f>
        <v>2148.16223253179</v>
      </c>
      <c r="K351" s="15" t="n">
        <f aca="false">J351*(1+IF(K$3&lt;=$O$2,$D351,$D351-($D351-$I$346)*MIN(K$3-$O$2,$Q$2)/$Q$2))</f>
        <v>2127.90506267902</v>
      </c>
      <c r="L351" s="15" t="n">
        <f aca="false">K351*(1+IF(L$3&lt;=$O$2,$D351,$D351-($D351-$I$346)*MIN(L$3-$O$2,$Q$2)/$Q$2))</f>
        <v>2131.05436217178</v>
      </c>
      <c r="M351" s="15" t="n">
        <f aca="false">L351*(1+IF(M$3&lt;=$O$2,$D351,$D351-($D351-$I$346)*MIN(M$3-$O$2,$Q$2)/$Q$2))</f>
        <v>2157.45812571909</v>
      </c>
      <c r="N351" s="15" t="n">
        <f aca="false">M351*(1+IF(N$3&lt;=$O$2,$D351,$D351-($D351-$I$346)*MIN(N$3-$O$2,$Q$2)/$Q$2))</f>
        <v>2207.72690004834</v>
      </c>
      <c r="O351" s="15" t="n">
        <f aca="false">SUMPRODUCT(E351:N351,1/(1+$F$346)^$E$3:$N$3)*$E$2</f>
        <v>2862.69995043594</v>
      </c>
      <c r="P351" s="15" t="n">
        <f aca="false">N351*$E$2*(1+$I$346)/($F$346-$I$346)/(1+$F$346)^$N$3</f>
        <v>2588.36749107856</v>
      </c>
      <c r="Q351" s="15" t="n">
        <f aca="false">O351+P351</f>
        <v>5451.0674415145</v>
      </c>
      <c r="R351" s="15" t="n">
        <f aca="false">Q351-$G$2+$I$2</f>
        <v>4074.8674415145</v>
      </c>
      <c r="S351" s="42" t="n">
        <f aca="false">R351/$K$2</f>
        <v>108.634162663676</v>
      </c>
      <c r="T351" s="43" t="n">
        <f aca="false">S351-$M$2</f>
        <v>-95.8446429881498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41" t="n">
        <f aca="false">(B352+C352)/2</f>
        <v>0.015625</v>
      </c>
      <c r="E352" s="15" t="n">
        <f aca="false">$C$2*(1+IF(E$3&lt;=$O$2,$D352,$D352-($D352-$I$346)*MIN(E$3-$O$2,$Q$2)/$Q$2))</f>
        <v>2610.15625</v>
      </c>
      <c r="F352" s="15" t="n">
        <f aca="false">E352*(1+IF(F$3&lt;=$O$2,$D352,$D352-($D352-$I$346)*MIN(F$3-$O$2,$Q$2)/$Q$2))</f>
        <v>2650.93994140625</v>
      </c>
      <c r="G352" s="15" t="n">
        <f aca="false">F352*(1+IF(G$3&lt;=$O$2,$D352,$D352-($D352-$I$346)*MIN(G$3-$O$2,$Q$2)/$Q$2))</f>
        <v>2692.36087799072</v>
      </c>
      <c r="H352" s="15" t="n">
        <f aca="false">G352*(1+IF(H$3&lt;=$O$2,$D352,$D352-($D352-$I$346)*MIN(H$3-$O$2,$Q$2)/$Q$2))</f>
        <v>2734.42901670933</v>
      </c>
      <c r="I352" s="15" t="n">
        <f aca="false">H352*(1+IF(I$3&lt;=$O$2,$D352,$D352-($D352-$I$346)*MIN(I$3-$O$2,$Q$2)/$Q$2))</f>
        <v>2777.15447009541</v>
      </c>
      <c r="J352" s="15" t="n">
        <f aca="false">I352*(1+IF(J$3&lt;=$O$2,$D352,$D352-($D352-$I$346)*MIN(J$3-$O$2,$Q$2)/$Q$2))</f>
        <v>2824.81044080225</v>
      </c>
      <c r="K352" s="15" t="n">
        <f aca="false">J352*(1+IF(K$3&lt;=$O$2,$D352,$D352-($D352-$I$346)*MIN(K$3-$O$2,$Q$2)/$Q$2))</f>
        <v>2877.62027199305</v>
      </c>
      <c r="L352" s="15" t="n">
        <f aca="false">K352*(1+IF(L$3&lt;=$O$2,$D352,$D352-($D352-$I$346)*MIN(L$3-$O$2,$Q$2)/$Q$2))</f>
        <v>2935.83453009547</v>
      </c>
      <c r="M352" s="15" t="n">
        <f aca="false">L352*(1+IF(M$3&lt;=$O$2,$D352,$D352-($D352-$I$346)*MIN(M$3-$O$2,$Q$2)/$Q$2))</f>
        <v>2999.73296864299</v>
      </c>
      <c r="N352" s="15" t="n">
        <f aca="false">M352*(1+IF(N$3&lt;=$O$2,$D352,$D352-($D352-$I$346)*MIN(N$3-$O$2,$Q$2)/$Q$2))</f>
        <v>3069.62674681238</v>
      </c>
      <c r="O352" s="15" t="n">
        <f aca="false">SUMPRODUCT(E352:N352,1/(1+$F$346)^$E$3:$N$3)*$E$2</f>
        <v>3500.53321482359</v>
      </c>
      <c r="P352" s="15" t="n">
        <f aca="false">N352*$E$2*(1+$I$346)/($F$346-$I$346)/(1+$F$346)^$N$3</f>
        <v>3598.86998750634</v>
      </c>
      <c r="Q352" s="15" t="n">
        <f aca="false">O352+P352</f>
        <v>7099.40320232993</v>
      </c>
      <c r="R352" s="15" t="n">
        <f aca="false">Q352-$G$2+$I$2</f>
        <v>5723.20320232993</v>
      </c>
      <c r="S352" s="42" t="n">
        <f aca="false">R352/$K$2</f>
        <v>152.578064578244</v>
      </c>
      <c r="T352" s="43" t="n">
        <f aca="false">S352-$M$2</f>
        <v>-51.9007410735823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0.015625</v>
      </c>
      <c r="C353" s="25" t="n">
        <f aca="false">IF(T352&gt;0,D352,C352)</f>
        <v>0.0625</v>
      </c>
      <c r="D353" s="41" t="n">
        <f aca="false">(B353+C353)/2</f>
        <v>0.0390625</v>
      </c>
      <c r="E353" s="15" t="n">
        <f aca="false">$C$2*(1+IF(E$3&lt;=$O$2,$D353,$D353-($D353-$I$346)*MIN(E$3-$O$2,$Q$2)/$Q$2))</f>
        <v>2670.390625</v>
      </c>
      <c r="F353" s="15" t="n">
        <f aca="false">E353*(1+IF(F$3&lt;=$O$2,$D353,$D353-($D353-$I$346)*MIN(F$3-$O$2,$Q$2)/$Q$2))</f>
        <v>2774.70275878906</v>
      </c>
      <c r="G353" s="15" t="n">
        <f aca="false">F353*(1+IF(G$3&lt;=$O$2,$D353,$D353-($D353-$I$346)*MIN(G$3-$O$2,$Q$2)/$Q$2))</f>
        <v>2883.08958530426</v>
      </c>
      <c r="H353" s="15" t="n">
        <f aca="false">G353*(1+IF(H$3&lt;=$O$2,$D353,$D353-($D353-$I$346)*MIN(H$3-$O$2,$Q$2)/$Q$2))</f>
        <v>2995.71027223021</v>
      </c>
      <c r="I353" s="15" t="n">
        <f aca="false">H353*(1+IF(I$3&lt;=$O$2,$D353,$D353-($D353-$I$346)*MIN(I$3-$O$2,$Q$2)/$Q$2))</f>
        <v>3112.7302047392</v>
      </c>
      <c r="J353" s="15" t="n">
        <f aca="false">I353*(1+IF(J$3&lt;=$O$2,$D353,$D353-($D353-$I$346)*MIN(J$3-$O$2,$Q$2)/$Q$2))</f>
        <v>3224.50834639138</v>
      </c>
      <c r="K353" s="15" t="n">
        <f aca="false">J353*(1+IF(K$3&lt;=$O$2,$D353,$D353-($D353-$I$346)*MIN(K$3-$O$2,$Q$2)/$Q$2))</f>
        <v>3330.1351785483</v>
      </c>
      <c r="L353" s="15" t="n">
        <f aca="false">K353*(1+IF(L$3&lt;=$O$2,$D353,$D353-($D353-$I$346)*MIN(L$3-$O$2,$Q$2)/$Q$2))</f>
        <v>3428.72383050922</v>
      </c>
      <c r="M353" s="15" t="n">
        <f aca="false">L353*(1+IF(M$3&lt;=$O$2,$D353,$D353-($D353-$I$346)*MIN(M$3-$O$2,$Q$2)/$Q$2))</f>
        <v>3519.42214763577</v>
      </c>
      <c r="N353" s="15" t="n">
        <f aca="false">M353*(1+IF(N$3&lt;=$O$2,$D353,$D353-($D353-$I$346)*MIN(N$3-$O$2,$Q$2)/$Q$2))</f>
        <v>3601.42468367568</v>
      </c>
      <c r="O353" s="15" t="n">
        <f aca="false">SUMPRODUCT(E353:N353,1/(1+$F$346)^$E$3:$N$3)*$E$2</f>
        <v>3872.38538914089</v>
      </c>
      <c r="P353" s="15" t="n">
        <f aca="false">N353*$E$2*(1+$I$346)/($F$346-$I$346)/(1+$F$346)^$N$3</f>
        <v>4222.35674738116</v>
      </c>
      <c r="Q353" s="15" t="n">
        <f aca="false">O353+P353</f>
        <v>8094.74213652205</v>
      </c>
      <c r="R353" s="15" t="n">
        <f aca="false">Q353-$G$2+$I$2</f>
        <v>6718.54213652205</v>
      </c>
      <c r="S353" s="42" t="n">
        <f aca="false">R353/$K$2</f>
        <v>179.113360077901</v>
      </c>
      <c r="T353" s="43" t="n">
        <f aca="false">S353-$M$2</f>
        <v>-25.3654455739254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0.0390625</v>
      </c>
      <c r="C354" s="25" t="n">
        <f aca="false">IF(T353&gt;0,D353,C353)</f>
        <v>0.0625</v>
      </c>
      <c r="D354" s="41" t="n">
        <f aca="false">(B354+C354)/2</f>
        <v>0.05078125</v>
      </c>
      <c r="E354" s="15" t="n">
        <f aca="false">$C$2*(1+IF(E$3&lt;=$O$2,$D354,$D354-($D354-$I$346)*MIN(E$3-$O$2,$Q$2)/$Q$2))</f>
        <v>2700.5078125</v>
      </c>
      <c r="F354" s="15" t="n">
        <f aca="false">E354*(1+IF(F$3&lt;=$O$2,$D354,$D354-($D354-$I$346)*MIN(F$3-$O$2,$Q$2)/$Q$2))</f>
        <v>2837.64297485352</v>
      </c>
      <c r="G354" s="15" t="n">
        <f aca="false">F354*(1+IF(G$3&lt;=$O$2,$D354,$D354-($D354-$I$346)*MIN(G$3-$O$2,$Q$2)/$Q$2))</f>
        <v>2981.7420321703</v>
      </c>
      <c r="H354" s="15" t="n">
        <f aca="false">G354*(1+IF(H$3&lt;=$O$2,$D354,$D354-($D354-$I$346)*MIN(H$3-$O$2,$Q$2)/$Q$2))</f>
        <v>3133.15861974144</v>
      </c>
      <c r="I354" s="15" t="n">
        <f aca="false">H354*(1+IF(I$3&lt;=$O$2,$D354,$D354-($D354-$I$346)*MIN(I$3-$O$2,$Q$2)/$Q$2))</f>
        <v>3292.26433090019</v>
      </c>
      <c r="J354" s="15" t="n">
        <f aca="false">I354*(1+IF(J$3&lt;=$O$2,$D354,$D354-($D354-$I$346)*MIN(J$3-$O$2,$Q$2)/$Q$2))</f>
        <v>3441.354521125</v>
      </c>
      <c r="K354" s="15" t="n">
        <f aca="false">J354*(1+IF(K$3&lt;=$O$2,$D354,$D354-($D354-$I$346)*MIN(K$3-$O$2,$Q$2)/$Q$2))</f>
        <v>3578.28171582742</v>
      </c>
      <c r="L354" s="15" t="n">
        <f aca="false">K354*(1+IF(L$3&lt;=$O$2,$D354,$D354-($D354-$I$346)*MIN(L$3-$O$2,$Q$2)/$Q$2))</f>
        <v>3700.98994156743</v>
      </c>
      <c r="M354" s="15" t="n">
        <f aca="false">L354*(1+IF(M$3&lt;=$O$2,$D354,$D354-($D354-$I$346)*MIN(M$3-$O$2,$Q$2)/$Q$2))</f>
        <v>3807.56457317229</v>
      </c>
      <c r="N354" s="15" t="n">
        <f aca="false">M354*(1+IF(N$3&lt;=$O$2,$D354,$D354-($D354-$I$346)*MIN(N$3-$O$2,$Q$2)/$Q$2))</f>
        <v>3896.2808277272</v>
      </c>
      <c r="O354" s="15" t="n">
        <f aca="false">SUMPRODUCT(E354:N354,1/(1+$F$346)^$E$3:$N$3)*$E$2</f>
        <v>4073.11870357715</v>
      </c>
      <c r="P354" s="15" t="n">
        <f aca="false">N354*$E$2*(1+$I$346)/($F$346-$I$346)/(1+$F$346)^$N$3</f>
        <v>4568.04989348136</v>
      </c>
      <c r="Q354" s="15" t="n">
        <f aca="false">O354+P354</f>
        <v>8641.16859705851</v>
      </c>
      <c r="R354" s="15" t="n">
        <f aca="false">Q354-$G$2+$I$2</f>
        <v>7264.96859705851</v>
      </c>
      <c r="S354" s="42" t="n">
        <f aca="false">R354/$K$2</f>
        <v>193.680847695508</v>
      </c>
      <c r="T354" s="43" t="n">
        <f aca="false">S354-$M$2</f>
        <v>-10.797957956318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0.05078125</v>
      </c>
      <c r="C355" s="25" t="n">
        <f aca="false">IF(T354&gt;0,D354,C354)</f>
        <v>0.0625</v>
      </c>
      <c r="D355" s="41" t="n">
        <f aca="false">(B355+C355)/2</f>
        <v>0.056640625</v>
      </c>
      <c r="E355" s="15" t="n">
        <f aca="false">$C$2*(1+IF(E$3&lt;=$O$2,$D355,$D355-($D355-$I$346)*MIN(E$3-$O$2,$Q$2)/$Q$2))</f>
        <v>2715.56640625</v>
      </c>
      <c r="F355" s="15" t="n">
        <f aca="false">E355*(1+IF(F$3&lt;=$O$2,$D355,$D355-($D355-$I$346)*MIN(F$3-$O$2,$Q$2)/$Q$2))</f>
        <v>2869.377784729</v>
      </c>
      <c r="G355" s="15" t="n">
        <f aca="false">F355*(1+IF(G$3&lt;=$O$2,$D355,$D355-($D355-$I$346)*MIN(G$3-$O$2,$Q$2)/$Q$2))</f>
        <v>3031.90113581717</v>
      </c>
      <c r="H355" s="15" t="n">
        <f aca="false">G355*(1+IF(H$3&lt;=$O$2,$D355,$D355-($D355-$I$346)*MIN(H$3-$O$2,$Q$2)/$Q$2))</f>
        <v>3203.62991108806</v>
      </c>
      <c r="I355" s="15" t="n">
        <f aca="false">H355*(1+IF(I$3&lt;=$O$2,$D355,$D355-($D355-$I$346)*MIN(I$3-$O$2,$Q$2)/$Q$2))</f>
        <v>3385.08551152079</v>
      </c>
      <c r="J355" s="15" t="n">
        <f aca="false">I355*(1+IF(J$3&lt;=$O$2,$D355,$D355-($D355-$I$346)*MIN(J$3-$O$2,$Q$2)/$Q$2))</f>
        <v>3554.24669724526</v>
      </c>
      <c r="K355" s="15" t="n">
        <f aca="false">J355*(1+IF(K$3&lt;=$O$2,$D355,$D355-($D355-$I$346)*MIN(K$3-$O$2,$Q$2)/$Q$2))</f>
        <v>3708.16112906528</v>
      </c>
      <c r="L355" s="15" t="n">
        <f aca="false">K355*(1+IF(L$3&lt;=$O$2,$D355,$D355-($D355-$I$346)*MIN(L$3-$O$2,$Q$2)/$Q$2))</f>
        <v>3844.01424723</v>
      </c>
      <c r="M355" s="15" t="n">
        <f aca="false">L355*(1+IF(M$3&lt;=$O$2,$D355,$D355-($D355-$I$346)*MIN(M$3-$O$2,$Q$2)/$Q$2))</f>
        <v>3959.21214669277</v>
      </c>
      <c r="N355" s="15" t="n">
        <f aca="false">M355*(1+IF(N$3&lt;=$O$2,$D355,$D355-($D355-$I$346)*MIN(N$3-$O$2,$Q$2)/$Q$2))</f>
        <v>4051.46178971071</v>
      </c>
      <c r="O355" s="15" t="n">
        <f aca="false">SUMPRODUCT(E355:N355,1/(1+$F$346)^$E$3:$N$3)*$E$2</f>
        <v>4177.39988952547</v>
      </c>
      <c r="P355" s="15" t="n">
        <f aca="false">N355*$E$2*(1+$I$346)/($F$346-$I$346)/(1+$F$346)^$N$3</f>
        <v>4749.98605470836</v>
      </c>
      <c r="Q355" s="15" t="n">
        <f aca="false">O355+P355</f>
        <v>8927.38594423383</v>
      </c>
      <c r="R355" s="15" t="n">
        <f aca="false">Q355-$G$2+$I$2</f>
        <v>7551.18594423383</v>
      </c>
      <c r="S355" s="42" t="n">
        <f aca="false">R355/$K$2</f>
        <v>201.311275506101</v>
      </c>
      <c r="T355" s="43" t="n">
        <f aca="false">S355-$M$2</f>
        <v>-3.16753014572561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0.056640625</v>
      </c>
      <c r="C356" s="25" t="n">
        <f aca="false">IF(T355&gt;0,D355,C355)</f>
        <v>0.0625</v>
      </c>
      <c r="D356" s="41" t="n">
        <f aca="false">(B356+C356)/2</f>
        <v>0.0595703125</v>
      </c>
      <c r="E356" s="15" t="n">
        <f aca="false">$C$2*(1+IF(E$3&lt;=$O$2,$D356,$D356-($D356-$I$346)*MIN(E$3-$O$2,$Q$2)/$Q$2))</f>
        <v>2723.095703125</v>
      </c>
      <c r="F356" s="15" t="n">
        <f aca="false">E356*(1+IF(F$3&lt;=$O$2,$D356,$D356-($D356-$I$346)*MIN(F$3-$O$2,$Q$2)/$Q$2))</f>
        <v>2885.31136512756</v>
      </c>
      <c r="G356" s="15" t="n">
        <f aca="false">F356*(1+IF(G$3&lt;=$O$2,$D356,$D356-($D356-$I$346)*MIN(G$3-$O$2,$Q$2)/$Q$2))</f>
        <v>3057.19026480801</v>
      </c>
      <c r="H356" s="15" t="n">
        <f aca="false">G356*(1+IF(H$3&lt;=$O$2,$D356,$D356-($D356-$I$346)*MIN(H$3-$O$2,$Q$2)/$Q$2))</f>
        <v>3239.30804425459</v>
      </c>
      <c r="I356" s="15" t="n">
        <f aca="false">H356*(1+IF(I$3&lt;=$O$2,$D356,$D356-($D356-$I$346)*MIN(I$3-$O$2,$Q$2)/$Q$2))</f>
        <v>3432.2746367346</v>
      </c>
      <c r="J356" s="15" t="n">
        <f aca="false">I356*(1+IF(J$3&lt;=$O$2,$D356,$D356-($D356-$I$346)*MIN(J$3-$O$2,$Q$2)/$Q$2))</f>
        <v>3611.83837469866</v>
      </c>
      <c r="K356" s="15" t="n">
        <f aca="false">J356*(1+IF(K$3&lt;=$O$2,$D356,$D356-($D356-$I$346)*MIN(K$3-$O$2,$Q$2)/$Q$2))</f>
        <v>3774.59571275903</v>
      </c>
      <c r="L356" s="15" t="n">
        <f aca="false">K356*(1+IF(L$3&lt;=$O$2,$D356,$D356-($D356-$I$346)*MIN(L$3-$O$2,$Q$2)/$Q$2))</f>
        <v>3917.30609929148</v>
      </c>
      <c r="M356" s="15" t="n">
        <f aca="false">L356*(1+IF(M$3&lt;=$O$2,$D356,$D356-($D356-$I$346)*MIN(M$3-$O$2,$Q$2)/$Q$2))</f>
        <v>4036.99571468087</v>
      </c>
      <c r="N356" s="15" t="n">
        <f aca="false">M356*(1+IF(N$3&lt;=$O$2,$D356,$D356-($D356-$I$346)*MIN(N$3-$O$2,$Q$2)/$Q$2))</f>
        <v>4131.05771483293</v>
      </c>
      <c r="O356" s="15" t="n">
        <f aca="false">SUMPRODUCT(E356:N356,1/(1+$F$346)^$E$3:$N$3)*$E$2</f>
        <v>4230.54676344498</v>
      </c>
      <c r="P356" s="15" t="n">
        <f aca="false">N356*$E$2*(1+$I$346)/($F$346-$I$346)/(1+$F$346)^$N$3</f>
        <v>4843.30534388502</v>
      </c>
      <c r="Q356" s="15" t="n">
        <f aca="false">O356+P356</f>
        <v>9073.85210733</v>
      </c>
      <c r="R356" s="15" t="n">
        <f aca="false">Q356-$G$2+$I$2</f>
        <v>7697.65210733</v>
      </c>
      <c r="S356" s="42" t="n">
        <f aca="false">R356/$K$2</f>
        <v>205.215998595841</v>
      </c>
      <c r="T356" s="43" t="n">
        <f aca="false">S356-$M$2</f>
        <v>0.737192944015135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0.056640625</v>
      </c>
      <c r="C357" s="25" t="n">
        <f aca="false">IF(T356&gt;0,D356,C356)</f>
        <v>0.0595703125</v>
      </c>
      <c r="D357" s="41" t="n">
        <f aca="false">(B357+C357)/2</f>
        <v>0.05810546875</v>
      </c>
      <c r="E357" s="15" t="n">
        <f aca="false">$C$2*(1+IF(E$3&lt;=$O$2,$D357,$D357-($D357-$I$346)*MIN(E$3-$O$2,$Q$2)/$Q$2))</f>
        <v>2719.3310546875</v>
      </c>
      <c r="F357" s="15" t="n">
        <f aca="false">E357*(1+IF(F$3&lt;=$O$2,$D357,$D357-($D357-$I$346)*MIN(F$3-$O$2,$Q$2)/$Q$2))</f>
        <v>2877.33906030655</v>
      </c>
      <c r="G357" s="15" t="n">
        <f aca="false">F357*(1+IF(G$3&lt;=$O$2,$D357,$D357-($D357-$I$346)*MIN(G$3-$O$2,$Q$2)/$Q$2))</f>
        <v>3044.52819515835</v>
      </c>
      <c r="H357" s="15" t="n">
        <f aca="false">G357*(1+IF(H$3&lt;=$O$2,$D357,$D357-($D357-$I$346)*MIN(H$3-$O$2,$Q$2)/$Q$2))</f>
        <v>3221.43193306061</v>
      </c>
      <c r="I357" s="15" t="n">
        <f aca="false">H357*(1+IF(I$3&lt;=$O$2,$D357,$D357-($D357-$I$346)*MIN(I$3-$O$2,$Q$2)/$Q$2))</f>
        <v>3408.61474557732</v>
      </c>
      <c r="J357" s="15" t="n">
        <f aca="false">I357*(1+IF(J$3&lt;=$O$2,$D357,$D357-($D357-$I$346)*MIN(J$3-$O$2,$Q$2)/$Q$2))</f>
        <v>3582.94621635565</v>
      </c>
      <c r="K357" s="15" t="n">
        <f aca="false">J357*(1+IF(K$3&lt;=$O$2,$D357,$D357-($D357-$I$346)*MIN(K$3-$O$2,$Q$2)/$Q$2))</f>
        <v>3741.25253673652</v>
      </c>
      <c r="L357" s="15" t="n">
        <f aca="false">K357*(1+IF(L$3&lt;=$O$2,$D357,$D357-($D357-$I$346)*MIN(L$3-$O$2,$Q$2)/$Q$2))</f>
        <v>3880.51014014378</v>
      </c>
      <c r="M357" s="15" t="n">
        <f aca="false">L357*(1+IF(M$3&lt;=$O$2,$D357,$D357-($D357-$I$346)*MIN(M$3-$O$2,$Q$2)/$Q$2))</f>
        <v>3997.93862129249</v>
      </c>
      <c r="N357" s="15" t="n">
        <f aca="false">M357*(1+IF(N$3&lt;=$O$2,$D357,$D357-($D357-$I$346)*MIN(N$3-$O$2,$Q$2)/$Q$2))</f>
        <v>4091.09059116861</v>
      </c>
      <c r="O357" s="15" t="n">
        <f aca="false">SUMPRODUCT(E357:N357,1/(1+$F$346)^$E$3:$N$3)*$E$2</f>
        <v>4203.88863286416</v>
      </c>
      <c r="P357" s="15" t="n">
        <f aca="false">N357*$E$2*(1+$I$346)/($F$346-$I$346)/(1+$F$346)^$N$3</f>
        <v>4796.44737263758</v>
      </c>
      <c r="Q357" s="15" t="n">
        <f aca="false">O357+P357</f>
        <v>9000.33600550175</v>
      </c>
      <c r="R357" s="15" t="n">
        <f aca="false">Q357-$G$2+$I$2</f>
        <v>7624.13600550175</v>
      </c>
      <c r="S357" s="42" t="n">
        <f aca="false">R357/$K$2</f>
        <v>203.256091855552</v>
      </c>
      <c r="T357" s="43" t="n">
        <f aca="false">S357-$M$2</f>
        <v>-1.22271379627435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0.05810546875</v>
      </c>
      <c r="C358" s="25" t="n">
        <f aca="false">IF(T357&gt;0,D357,C357)</f>
        <v>0.0595703125</v>
      </c>
      <c r="D358" s="41" t="n">
        <f aca="false">(B358+C358)/2</f>
        <v>0.058837890625</v>
      </c>
      <c r="E358" s="15" t="n">
        <f aca="false">$C$2*(1+IF(E$3&lt;=$O$2,$D358,$D358-($D358-$I$346)*MIN(E$3-$O$2,$Q$2)/$Q$2))</f>
        <v>2721.21337890625</v>
      </c>
      <c r="F358" s="15" t="n">
        <f aca="false">E358*(1+IF(F$3&lt;=$O$2,$D358,$D358-($D358-$I$346)*MIN(F$3-$O$2,$Q$2)/$Q$2))</f>
        <v>2881.32383406162</v>
      </c>
      <c r="G358" s="15" t="n">
        <f aca="false">F358*(1+IF(G$3&lt;=$O$2,$D358,$D358-($D358-$I$346)*MIN(G$3-$O$2,$Q$2)/$Q$2))</f>
        <v>3050.85485066535</v>
      </c>
      <c r="H358" s="15" t="n">
        <f aca="false">G358*(1+IF(H$3&lt;=$O$2,$D358,$D358-($D358-$I$346)*MIN(H$3-$O$2,$Q$2)/$Q$2))</f>
        <v>3230.36071468154</v>
      </c>
      <c r="I358" s="15" t="n">
        <f aca="false">H358*(1+IF(I$3&lt;=$O$2,$D358,$D358-($D358-$I$346)*MIN(I$3-$O$2,$Q$2)/$Q$2))</f>
        <v>3420.42832509127</v>
      </c>
      <c r="J358" s="15" t="n">
        <f aca="false">I358*(1+IF(J$3&lt;=$O$2,$D358,$D358-($D358-$I$346)*MIN(J$3-$O$2,$Q$2)/$Q$2))</f>
        <v>3597.3681512321</v>
      </c>
      <c r="K358" s="15" t="n">
        <f aca="false">J358*(1+IF(K$3&lt;=$O$2,$D358,$D358-($D358-$I$346)*MIN(K$3-$O$2,$Q$2)/$Q$2))</f>
        <v>3757.89255469361</v>
      </c>
      <c r="L358" s="15" t="n">
        <f aca="false">K358*(1+IF(L$3&lt;=$O$2,$D358,$D358-($D358-$I$346)*MIN(L$3-$O$2,$Q$2)/$Q$2))</f>
        <v>3898.87048105365</v>
      </c>
      <c r="M358" s="15" t="n">
        <f aca="false">L358*(1+IF(M$3&lt;=$O$2,$D358,$D358-($D358-$I$346)*MIN(M$3-$O$2,$Q$2)/$Q$2))</f>
        <v>4017.42568980555</v>
      </c>
      <c r="N358" s="15" t="n">
        <f aca="false">M358*(1+IF(N$3&lt;=$O$2,$D358,$D358-($D358-$I$346)*MIN(N$3-$O$2,$Q$2)/$Q$2))</f>
        <v>4111.03170837802</v>
      </c>
      <c r="O358" s="15" t="n">
        <f aca="false">SUMPRODUCT(E358:N358,1/(1+$F$346)^$E$3:$N$3)*$E$2</f>
        <v>4217.19646153437</v>
      </c>
      <c r="P358" s="15" t="n">
        <f aca="false">N358*$E$2*(1+$I$346)/($F$346-$I$346)/(1+$F$346)^$N$3</f>
        <v>4819.82659563817</v>
      </c>
      <c r="Q358" s="15" t="n">
        <f aca="false">O358+P358</f>
        <v>9037.02305717254</v>
      </c>
      <c r="R358" s="15" t="n">
        <f aca="false">Q358-$G$2+$I$2</f>
        <v>7660.82305717254</v>
      </c>
      <c r="S358" s="42" t="n">
        <f aca="false">R358/$K$2</f>
        <v>204.23415241729</v>
      </c>
      <c r="T358" s="43" t="n">
        <f aca="false">S358-$M$2</f>
        <v>-0.244653234536258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0.058837890625</v>
      </c>
      <c r="C359" s="25" t="n">
        <f aca="false">IF(T358&gt;0,D358,C358)</f>
        <v>0.0595703125</v>
      </c>
      <c r="D359" s="41" t="n">
        <f aca="false">(B359+C359)/2</f>
        <v>0.0592041015625</v>
      </c>
      <c r="E359" s="15" t="n">
        <f aca="false">$C$2*(1+IF(E$3&lt;=$O$2,$D359,$D359-($D359-$I$346)*MIN(E$3-$O$2,$Q$2)/$Q$2))</f>
        <v>2722.15454101563</v>
      </c>
      <c r="F359" s="15" t="n">
        <f aca="false">E359*(1+IF(F$3&lt;=$O$2,$D359,$D359-($D359-$I$346)*MIN(F$3-$O$2,$Q$2)/$Q$2))</f>
        <v>2883.31725493073</v>
      </c>
      <c r="G359" s="15" t="n">
        <f aca="false">F359*(1+IF(G$3&lt;=$O$2,$D359,$D359-($D359-$I$346)*MIN(G$3-$O$2,$Q$2)/$Q$2))</f>
        <v>3054.02146252856</v>
      </c>
      <c r="H359" s="15" t="n">
        <f aca="false">G359*(1+IF(H$3&lt;=$O$2,$D359,$D359-($D359-$I$346)*MIN(H$3-$O$2,$Q$2)/$Q$2))</f>
        <v>3234.83205937016</v>
      </c>
      <c r="I359" s="15" t="n">
        <f aca="false">H359*(1+IF(I$3&lt;=$O$2,$D359,$D359-($D359-$I$346)*MIN(I$3-$O$2,$Q$2)/$Q$2))</f>
        <v>3426.34738515074</v>
      </c>
      <c r="J359" s="15" t="n">
        <f aca="false">I359*(1+IF(J$3&lt;=$O$2,$D359,$D359-($D359-$I$346)*MIN(J$3-$O$2,$Q$2)/$Q$2))</f>
        <v>3604.59721882864</v>
      </c>
      <c r="K359" s="15" t="n">
        <f aca="false">J359*(1+IF(K$3&lt;=$O$2,$D359,$D359-($D359-$I$346)*MIN(K$3-$O$2,$Q$2)/$Q$2))</f>
        <v>3766.23622880938</v>
      </c>
      <c r="L359" s="15" t="n">
        <f aca="false">K359*(1+IF(L$3&lt;=$O$2,$D359,$D359-($D359-$I$346)*MIN(L$3-$O$2,$Q$2)/$Q$2))</f>
        <v>3908.07886416766</v>
      </c>
      <c r="M359" s="15" t="n">
        <f aca="false">L359*(1+IF(M$3&lt;=$O$2,$D359,$D359-($D359-$I$346)*MIN(M$3-$O$2,$Q$2)/$Q$2))</f>
        <v>4027.20031379343</v>
      </c>
      <c r="N359" s="15" t="n">
        <f aca="false">M359*(1+IF(N$3&lt;=$O$2,$D359,$D359-($D359-$I$346)*MIN(N$3-$O$2,$Q$2)/$Q$2))</f>
        <v>4121.03408110482</v>
      </c>
      <c r="O359" s="15" t="n">
        <f aca="false">SUMPRODUCT(E359:N359,1/(1+$F$346)^$E$3:$N$3)*$E$2</f>
        <v>4223.8662954148</v>
      </c>
      <c r="P359" s="15" t="n">
        <f aca="false">N359*$E$2*(1+$I$346)/($F$346-$I$346)/(1+$F$346)^$N$3</f>
        <v>4831.55350642552</v>
      </c>
      <c r="Q359" s="15" t="n">
        <f aca="false">O359+P359</f>
        <v>9055.41980184032</v>
      </c>
      <c r="R359" s="15" t="n">
        <f aca="false">Q359-$G$2+$I$2</f>
        <v>7679.21980184032</v>
      </c>
      <c r="S359" s="42" t="n">
        <f aca="false">R359/$K$2</f>
        <v>204.724601488678</v>
      </c>
      <c r="T359" s="43" t="n">
        <f aca="false">S359-$M$2</f>
        <v>0.24579583685221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0.058837890625</v>
      </c>
      <c r="C360" s="25" t="n">
        <f aca="false">IF(T359&gt;0,D359,C359)</f>
        <v>0.0592041015625</v>
      </c>
      <c r="D360" s="41" t="n">
        <f aca="false">(B360+C360)/2</f>
        <v>0.05902099609375</v>
      </c>
      <c r="E360" s="15" t="n">
        <f aca="false">$C$2*(1+IF(E$3&lt;=$O$2,$D360,$D360-($D360-$I$346)*MIN(E$3-$O$2,$Q$2)/$Q$2))</f>
        <v>2721.68395996094</v>
      </c>
      <c r="F360" s="15" t="n">
        <f aca="false">E360*(1+IF(F$3&lt;=$O$2,$D360,$D360-($D360-$I$346)*MIN(F$3-$O$2,$Q$2)/$Q$2))</f>
        <v>2882.32045833021</v>
      </c>
      <c r="G360" s="15" t="n">
        <f aca="false">F360*(1+IF(G$3&lt;=$O$2,$D360,$D360-($D360-$I$346)*MIN(G$3-$O$2,$Q$2)/$Q$2))</f>
        <v>3052.43788284226</v>
      </c>
      <c r="H360" s="15" t="n">
        <f aca="false">G360*(1+IF(H$3&lt;=$O$2,$D360,$D360-($D360-$I$346)*MIN(H$3-$O$2,$Q$2)/$Q$2))</f>
        <v>3232.59580720191</v>
      </c>
      <c r="I360" s="15" t="n">
        <f aca="false">H360*(1+IF(I$3&lt;=$O$2,$D360,$D360-($D360-$I$346)*MIN(I$3-$O$2,$Q$2)/$Q$2))</f>
        <v>3423.38683171144</v>
      </c>
      <c r="J360" s="15" t="n">
        <f aca="false">I360*(1+IF(J$3&lt;=$O$2,$D360,$D360-($D360-$I$346)*MIN(J$3-$O$2,$Q$2)/$Q$2))</f>
        <v>3600.98117500469</v>
      </c>
      <c r="K360" s="15" t="n">
        <f aca="false">J360*(1+IF(K$3&lt;=$O$2,$D360,$D360-($D360-$I$346)*MIN(K$3-$O$2,$Q$2)/$Q$2))</f>
        <v>3762.0624170739</v>
      </c>
      <c r="L360" s="15" t="n">
        <f aca="false">K360*(1+IF(L$3&lt;=$O$2,$D360,$D360-($D360-$I$346)*MIN(L$3-$O$2,$Q$2)/$Q$2))</f>
        <v>3903.47231815362</v>
      </c>
      <c r="M360" s="15" t="n">
        <f aca="false">L360*(1+IF(M$3&lt;=$O$2,$D360,$D360-($D360-$I$346)*MIN(M$3-$O$2,$Q$2)/$Q$2))</f>
        <v>4022.31040705236</v>
      </c>
      <c r="N360" s="15" t="n">
        <f aca="false">M360*(1+IF(N$3&lt;=$O$2,$D360,$D360-($D360-$I$346)*MIN(N$3-$O$2,$Q$2)/$Q$2))</f>
        <v>4116.03023953668</v>
      </c>
      <c r="O360" s="15" t="n">
        <f aca="false">SUMPRODUCT(E360:N360,1/(1+$F$346)^$E$3:$N$3)*$E$2</f>
        <v>4220.53005019665</v>
      </c>
      <c r="P360" s="15" t="n">
        <f aca="false">N360*$E$2*(1+$I$346)/($F$346-$I$346)/(1+$F$346)^$N$3</f>
        <v>4825.68693803557</v>
      </c>
      <c r="Q360" s="15" t="n">
        <f aca="false">O360+P360</f>
        <v>9046.21698823222</v>
      </c>
      <c r="R360" s="15" t="n">
        <f aca="false">Q360-$G$2+$I$2</f>
        <v>7670.01698823222</v>
      </c>
      <c r="S360" s="42" t="n">
        <f aca="false">R360/$K$2</f>
        <v>204.479258550579</v>
      </c>
      <c r="T360" s="43" t="n">
        <f aca="false">S360-$M$2</f>
        <v>0.000452898752968167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0.058837890625</v>
      </c>
      <c r="C361" s="25" t="n">
        <f aca="false">IF(T360&gt;0,D360,C360)</f>
        <v>0.05902099609375</v>
      </c>
      <c r="D361" s="41" t="n">
        <f aca="false">(B361+C361)/2</f>
        <v>0.058929443359375</v>
      </c>
      <c r="E361" s="15" t="n">
        <f aca="false">$C$2*(1+IF(E$3&lt;=$O$2,$D361,$D361-($D361-$I$346)*MIN(E$3-$O$2,$Q$2)/$Q$2))</f>
        <v>2721.44866943359</v>
      </c>
      <c r="F361" s="15" t="n">
        <f aca="false">E361*(1+IF(F$3&lt;=$O$2,$D361,$D361-($D361-$I$346)*MIN(F$3-$O$2,$Q$2)/$Q$2))</f>
        <v>2881.82212465443</v>
      </c>
      <c r="G361" s="15" t="n">
        <f aca="false">F361*(1+IF(G$3&lt;=$O$2,$D361,$D361-($D361-$I$346)*MIN(G$3-$O$2,$Q$2)/$Q$2))</f>
        <v>3051.64629832104</v>
      </c>
      <c r="H361" s="15" t="n">
        <f aca="false">G361*(1+IF(H$3&lt;=$O$2,$D361,$D361-($D361-$I$346)*MIN(H$3-$O$2,$Q$2)/$Q$2))</f>
        <v>3231.4781160108</v>
      </c>
      <c r="I361" s="15" t="n">
        <f aca="false">H361*(1+IF(I$3&lt;=$O$2,$D361,$D361-($D361-$I$346)*MIN(I$3-$O$2,$Q$2)/$Q$2))</f>
        <v>3421.90732261532</v>
      </c>
      <c r="J361" s="15" t="n">
        <f aca="false">I361*(1+IF(J$3&lt;=$O$2,$D361,$D361-($D361-$I$346)*MIN(J$3-$O$2,$Q$2)/$Q$2))</f>
        <v>3599.17428573798</v>
      </c>
      <c r="K361" s="15" t="n">
        <f aca="false">J361*(1+IF(K$3&lt;=$O$2,$D361,$D361-($D361-$I$346)*MIN(K$3-$O$2,$Q$2)/$Q$2))</f>
        <v>3759.97699240821</v>
      </c>
      <c r="L361" s="15" t="n">
        <f aca="false">K361*(1+IF(L$3&lt;=$O$2,$D361,$D361-($D361-$I$346)*MIN(L$3-$O$2,$Q$2)/$Q$2))</f>
        <v>3901.17081124474</v>
      </c>
      <c r="M361" s="15" t="n">
        <f aca="false">L361*(1+IF(M$3&lt;=$O$2,$D361,$D361-($D361-$I$346)*MIN(M$3-$O$2,$Q$2)/$Q$2))</f>
        <v>4019.86740003764</v>
      </c>
      <c r="N361" s="15" t="n">
        <f aca="false">M361*(1+IF(N$3&lt;=$O$2,$D361,$D361-($D361-$I$346)*MIN(N$3-$O$2,$Q$2)/$Q$2))</f>
        <v>4113.53031045852</v>
      </c>
      <c r="O361" s="15" t="n">
        <f aca="false">SUMPRODUCT(E361:N361,1/(1+$F$346)^$E$3:$N$3)*$E$2</f>
        <v>4218.8629239198</v>
      </c>
      <c r="P361" s="15" t="n">
        <f aca="false">N361*$E$2*(1+$I$346)/($F$346-$I$346)/(1+$F$346)^$N$3</f>
        <v>4822.75598894228</v>
      </c>
      <c r="Q361" s="15" t="n">
        <f aca="false">O361+P361</f>
        <v>9041.61891286208</v>
      </c>
      <c r="R361" s="15" t="n">
        <f aca="false">Q361-$G$2+$I$2</f>
        <v>7665.41891286208</v>
      </c>
      <c r="S361" s="42" t="n">
        <f aca="false">R361/$K$2</f>
        <v>204.356675896083</v>
      </c>
      <c r="T361" s="43" t="n">
        <f aca="false">S361-$M$2</f>
        <v>-0.122129755742833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0.058929443359375</v>
      </c>
      <c r="C362" s="25" t="n">
        <f aca="false">IF(T361&gt;0,D361,C361)</f>
        <v>0.05902099609375</v>
      </c>
      <c r="D362" s="41" t="n">
        <f aca="false">(B362+C362)/2</f>
        <v>0.0589752197265625</v>
      </c>
      <c r="E362" s="15" t="n">
        <f aca="false">$C$2*(1+IF(E$3&lt;=$O$2,$D362,$D362-($D362-$I$346)*MIN(E$3-$O$2,$Q$2)/$Q$2))</f>
        <v>2721.56631469727</v>
      </c>
      <c r="F362" s="15" t="n">
        <f aca="false">E362*(1+IF(F$3&lt;=$O$2,$D362,$D362-($D362-$I$346)*MIN(F$3-$O$2,$Q$2)/$Q$2))</f>
        <v>2882.07128610695</v>
      </c>
      <c r="G362" s="15" t="n">
        <f aca="false">F362*(1+IF(G$3&lt;=$O$2,$D362,$D362-($D362-$I$346)*MIN(G$3-$O$2,$Q$2)/$Q$2))</f>
        <v>3052.04207347272</v>
      </c>
      <c r="H362" s="15" t="n">
        <f aca="false">G362*(1+IF(H$3&lt;=$O$2,$D362,$D362-($D362-$I$346)*MIN(H$3-$O$2,$Q$2)/$Q$2))</f>
        <v>3232.03692537049</v>
      </c>
      <c r="I362" s="15" t="n">
        <f aca="false">H362*(1+IF(I$3&lt;=$O$2,$D362,$D362-($D362-$I$346)*MIN(I$3-$O$2,$Q$2)/$Q$2))</f>
        <v>3422.64701320858</v>
      </c>
      <c r="J362" s="15" t="n">
        <f aca="false">I362*(1+IF(J$3&lt;=$O$2,$D362,$D362-($D362-$I$346)*MIN(J$3-$O$2,$Q$2)/$Q$2))</f>
        <v>3600.07763601048</v>
      </c>
      <c r="K362" s="15" t="n">
        <f aca="false">J362*(1+IF(K$3&lt;=$O$2,$D362,$D362-($D362-$I$346)*MIN(K$3-$O$2,$Q$2)/$Q$2))</f>
        <v>3761.01958134794</v>
      </c>
      <c r="L362" s="15" t="n">
        <f aca="false">K362*(1+IF(L$3&lt;=$O$2,$D362,$D362-($D362-$I$346)*MIN(L$3-$O$2,$Q$2)/$Q$2))</f>
        <v>3902.32141757754</v>
      </c>
      <c r="M362" s="15" t="n">
        <f aca="false">L362*(1+IF(M$3&lt;=$O$2,$D362,$D362-($D362-$I$346)*MIN(M$3-$O$2,$Q$2)/$Q$2))</f>
        <v>4021.08874141025</v>
      </c>
      <c r="N362" s="15" t="n">
        <f aca="false">M362*(1+IF(N$3&lt;=$O$2,$D362,$D362-($D362-$I$346)*MIN(N$3-$O$2,$Q$2)/$Q$2))</f>
        <v>4114.78010908511</v>
      </c>
      <c r="O362" s="15" t="n">
        <f aca="false">SUMPRODUCT(E362:N362,1/(1+$F$346)^$E$3:$N$3)*$E$2</f>
        <v>4219.69640405633</v>
      </c>
      <c r="P362" s="15" t="n">
        <f aca="false">N362*$E$2*(1+$I$346)/($F$346-$I$346)/(1+$F$346)^$N$3</f>
        <v>4824.22126897098</v>
      </c>
      <c r="Q362" s="15" t="n">
        <f aca="false">O362+P362</f>
        <v>9043.91767302731</v>
      </c>
      <c r="R362" s="15" t="n">
        <f aca="false">Q362-$G$2+$I$2</f>
        <v>7667.71767302731</v>
      </c>
      <c r="S362" s="42" t="n">
        <f aca="false">R362/$K$2</f>
        <v>204.417959824775</v>
      </c>
      <c r="T362" s="43" t="n">
        <f aca="false">S362-$M$2</f>
        <v>-0.0608458270511392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0.0589752197265625</v>
      </c>
      <c r="C363" s="25" t="n">
        <f aca="false">IF(T362&gt;0,D362,C362)</f>
        <v>0.05902099609375</v>
      </c>
      <c r="D363" s="41" t="n">
        <f aca="false">(B363+C363)/2</f>
        <v>0.0589981079101563</v>
      </c>
      <c r="E363" s="15" t="n">
        <f aca="false">$C$2*(1+IF(E$3&lt;=$O$2,$D363,$D363-($D363-$I$346)*MIN(E$3-$O$2,$Q$2)/$Q$2))</f>
        <v>2721.6251373291</v>
      </c>
      <c r="F363" s="15" t="n">
        <f aca="false">E363*(1+IF(F$3&lt;=$O$2,$D363,$D363-($D363-$I$346)*MIN(F$3-$O$2,$Q$2)/$Q$2))</f>
        <v>2882.19587087224</v>
      </c>
      <c r="G363" s="15" t="n">
        <f aca="false">F363*(1+IF(G$3&lt;=$O$2,$D363,$D363-($D363-$I$346)*MIN(G$3-$O$2,$Q$2)/$Q$2))</f>
        <v>3052.23997388016</v>
      </c>
      <c r="H363" s="15" t="n">
        <f aca="false">G363*(1+IF(H$3&lt;=$O$2,$D363,$D363-($D363-$I$346)*MIN(H$3-$O$2,$Q$2)/$Q$2))</f>
        <v>3232.31635722684</v>
      </c>
      <c r="I363" s="15" t="n">
        <f aca="false">H363*(1+IF(I$3&lt;=$O$2,$D363,$D363-($D363-$I$346)*MIN(I$3-$O$2,$Q$2)/$Q$2))</f>
        <v>3423.01690647027</v>
      </c>
      <c r="J363" s="15" t="n">
        <f aca="false">I363*(1+IF(J$3&lt;=$O$2,$D363,$D363-($D363-$I$346)*MIN(J$3-$O$2,$Q$2)/$Q$2))</f>
        <v>3600.5293819154</v>
      </c>
      <c r="K363" s="15" t="n">
        <f aca="false">J363*(1+IF(K$3&lt;=$O$2,$D363,$D363-($D363-$I$346)*MIN(K$3-$O$2,$Q$2)/$Q$2))</f>
        <v>3761.54096835961</v>
      </c>
      <c r="L363" s="15" t="n">
        <f aca="false">K363*(1+IF(L$3&lt;=$O$2,$D363,$D363-($D363-$I$346)*MIN(L$3-$O$2,$Q$2)/$Q$2))</f>
        <v>3902.89683108118</v>
      </c>
      <c r="M363" s="15" t="n">
        <f aca="false">L363*(1+IF(M$3&lt;=$O$2,$D363,$D363-($D363-$I$346)*MIN(M$3-$O$2,$Q$2)/$Q$2))</f>
        <v>4021.699533693</v>
      </c>
      <c r="N363" s="15" t="n">
        <f aca="false">M363*(1+IF(N$3&lt;=$O$2,$D363,$D363-($D363-$I$346)*MIN(N$3-$O$2,$Q$2)/$Q$2))</f>
        <v>4115.40513282805</v>
      </c>
      <c r="O363" s="15" t="n">
        <f aca="false">SUMPRODUCT(E363:N363,1/(1+$F$346)^$E$3:$N$3)*$E$2</f>
        <v>4220.11320637408</v>
      </c>
      <c r="P363" s="15" t="n">
        <f aca="false">N363*$E$2*(1+$I$346)/($F$346-$I$346)/(1+$F$346)^$N$3</f>
        <v>4824.95405486825</v>
      </c>
      <c r="Q363" s="15" t="n">
        <f aca="false">O363+P363</f>
        <v>9045.06726124233</v>
      </c>
      <c r="R363" s="15" t="n">
        <f aca="false">Q363-$G$2+$I$2</f>
        <v>7668.86726124233</v>
      </c>
      <c r="S363" s="42" t="n">
        <f aca="false">R363/$K$2</f>
        <v>204.448607337839</v>
      </c>
      <c r="T363" s="43" t="n">
        <f aca="false">S363-$M$2</f>
        <v>-0.0301983139873698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0.0589981079101563</v>
      </c>
      <c r="C364" s="25" t="n">
        <f aca="false">IF(T363&gt;0,D363,C363)</f>
        <v>0.05902099609375</v>
      </c>
      <c r="D364" s="41" t="n">
        <f aca="false">(B364+C364)/2</f>
        <v>0.0590095520019531</v>
      </c>
      <c r="E364" s="15" t="n">
        <f aca="false">$C$2*(1+IF(E$3&lt;=$O$2,$D364,$D364-($D364-$I$346)*MIN(E$3-$O$2,$Q$2)/$Q$2))</f>
        <v>2721.65454864502</v>
      </c>
      <c r="F364" s="15" t="n">
        <f aca="false">E364*(1+IF(F$3&lt;=$O$2,$D364,$D364-($D364-$I$346)*MIN(F$3-$O$2,$Q$2)/$Q$2))</f>
        <v>2882.25816426464</v>
      </c>
      <c r="G364" s="15" t="n">
        <f aca="false">F364*(1+IF(G$3&lt;=$O$2,$D364,$D364-($D364-$I$346)*MIN(G$3-$O$2,$Q$2)/$Q$2))</f>
        <v>3052.33892729187</v>
      </c>
      <c r="H364" s="15" t="n">
        <f aca="false">G364*(1+IF(H$3&lt;=$O$2,$D364,$D364-($D364-$I$346)*MIN(H$3-$O$2,$Q$2)/$Q$2))</f>
        <v>3232.45607994948</v>
      </c>
      <c r="I364" s="15" t="n">
        <f aca="false">H364*(1+IF(I$3&lt;=$O$2,$D364,$D364-($D364-$I$346)*MIN(I$3-$O$2,$Q$2)/$Q$2))</f>
        <v>3423.20186509329</v>
      </c>
      <c r="J364" s="15" t="n">
        <f aca="false">I364*(1+IF(J$3&lt;=$O$2,$D364,$D364-($D364-$I$346)*MIN(J$3-$O$2,$Q$2)/$Q$2))</f>
        <v>3600.75527256175</v>
      </c>
      <c r="K364" s="15" t="n">
        <f aca="false">J364*(1+IF(K$3&lt;=$O$2,$D364,$D364-($D364-$I$346)*MIN(K$3-$O$2,$Q$2)/$Q$2))</f>
        <v>3761.80168500355</v>
      </c>
      <c r="L364" s="15" t="n">
        <f aca="false">K364*(1+IF(L$3&lt;=$O$2,$D364,$D364-($D364-$I$346)*MIN(L$3-$O$2,$Q$2)/$Q$2))</f>
        <v>3903.1845654208</v>
      </c>
      <c r="M364" s="15" t="n">
        <f aca="false">L364*(1+IF(M$3&lt;=$O$2,$D364,$D364-($D364-$I$346)*MIN(M$3-$O$2,$Q$2)/$Q$2))</f>
        <v>4022.00496023753</v>
      </c>
      <c r="N364" s="15" t="n">
        <f aca="false">M364*(1+IF(N$3&lt;=$O$2,$D364,$D364-($D364-$I$346)*MIN(N$3-$O$2,$Q$2)/$Q$2))</f>
        <v>4115.71767581106</v>
      </c>
      <c r="O364" s="15" t="n">
        <f aca="false">SUMPRODUCT(E364:N364,1/(1+$F$346)^$E$3:$N$3)*$E$2</f>
        <v>4220.32162309702</v>
      </c>
      <c r="P364" s="15" t="n">
        <f aca="false">N364*$E$2*(1+$I$346)/($F$346-$I$346)/(1+$F$346)^$N$3</f>
        <v>4825.32048429246</v>
      </c>
      <c r="Q364" s="15" t="n">
        <f aca="false">O364+P364</f>
        <v>9045.64210738948</v>
      </c>
      <c r="R364" s="15" t="n">
        <f aca="false">Q364-$G$2+$I$2</f>
        <v>7669.44210738948</v>
      </c>
      <c r="S364" s="42" t="n">
        <f aca="false">R364/$K$2</f>
        <v>204.463932481724</v>
      </c>
      <c r="T364" s="43" t="n">
        <f aca="false">S364-$M$2</f>
        <v>-0.01487317010168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0.0590095520019531</v>
      </c>
      <c r="C365" s="25" t="n">
        <f aca="false">IF(T364&gt;0,D364,C364)</f>
        <v>0.05902099609375</v>
      </c>
      <c r="D365" s="41" t="n">
        <f aca="false">(B365+C365)/2</f>
        <v>0.0590152740478516</v>
      </c>
      <c r="E365" s="15" t="n">
        <f aca="false">$C$2*(1+IF(E$3&lt;=$O$2,$D365,$D365-($D365-$I$346)*MIN(E$3-$O$2,$Q$2)/$Q$2))</f>
        <v>2721.66925430298</v>
      </c>
      <c r="F365" s="15" t="n">
        <f aca="false">E365*(1+IF(F$3&lt;=$O$2,$D365,$D365-($D365-$I$346)*MIN(F$3-$O$2,$Q$2)/$Q$2))</f>
        <v>2882.28931121328</v>
      </c>
      <c r="G365" s="15" t="n">
        <f aca="false">F365*(1+IF(G$3&lt;=$O$2,$D365,$D365-($D365-$I$346)*MIN(G$3-$O$2,$Q$2)/$Q$2))</f>
        <v>3052.38840479973</v>
      </c>
      <c r="H365" s="15" t="n">
        <f aca="false">G365*(1+IF(H$3&lt;=$O$2,$D365,$D365-($D365-$I$346)*MIN(H$3-$O$2,$Q$2)/$Q$2))</f>
        <v>3232.52594300947</v>
      </c>
      <c r="I365" s="15" t="n">
        <f aca="false">H365*(1+IF(I$3&lt;=$O$2,$D365,$D365-($D365-$I$346)*MIN(I$3-$O$2,$Q$2)/$Q$2))</f>
        <v>3423.29434740296</v>
      </c>
      <c r="J365" s="15" t="n">
        <f aca="false">I365*(1+IF(J$3&lt;=$O$2,$D365,$D365-($D365-$I$346)*MIN(J$3-$O$2,$Q$2)/$Q$2))</f>
        <v>3600.86822230861</v>
      </c>
      <c r="K365" s="15" t="n">
        <f aca="false">J365*(1+IF(K$3&lt;=$O$2,$D365,$D365-($D365-$I$346)*MIN(K$3-$O$2,$Q$2)/$Q$2))</f>
        <v>3761.93204911038</v>
      </c>
      <c r="L365" s="15" t="n">
        <f aca="false">K365*(1+IF(L$3&lt;=$O$2,$D365,$D365-($D365-$I$346)*MIN(L$3-$O$2,$Q$2)/$Q$2))</f>
        <v>3903.328439488</v>
      </c>
      <c r="M365" s="15" t="n">
        <f aca="false">L365*(1+IF(M$3&lt;=$O$2,$D365,$D365-($D365-$I$346)*MIN(M$3-$O$2,$Q$2)/$Q$2))</f>
        <v>4022.15768111108</v>
      </c>
      <c r="N365" s="15" t="n">
        <f aca="false">M365*(1+IF(N$3&lt;=$O$2,$D365,$D365-($D365-$I$346)*MIN(N$3-$O$2,$Q$2)/$Q$2))</f>
        <v>4115.87395508097</v>
      </c>
      <c r="O365" s="15" t="n">
        <f aca="false">SUMPRODUCT(E365:N365,1/(1+$F$346)^$E$3:$N$3)*$E$2</f>
        <v>4220.42583534972</v>
      </c>
      <c r="P365" s="15" t="n">
        <f aca="false">N365*$E$2*(1+$I$346)/($F$346-$I$346)/(1+$F$346)^$N$3</f>
        <v>4825.50370812407</v>
      </c>
      <c r="Q365" s="15" t="n">
        <f aca="false">O365+P365</f>
        <v>9045.92954347378</v>
      </c>
      <c r="R365" s="15" t="n">
        <f aca="false">Q365-$G$2+$I$2</f>
        <v>7669.72954347378</v>
      </c>
      <c r="S365" s="42" t="n">
        <f aca="false">R365/$K$2</f>
        <v>204.471595400527</v>
      </c>
      <c r="T365" s="43" t="n">
        <f aca="false">S365-$M$2</f>
        <v>-0.00721025129865893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0.0590152740478516</v>
      </c>
      <c r="C366" s="25" t="n">
        <f aca="false">IF(T365&gt;0,D365,C365)</f>
        <v>0.05902099609375</v>
      </c>
      <c r="D366" s="41" t="n">
        <f aca="false">(B366+C366)/2</f>
        <v>0.0590181350708008</v>
      </c>
      <c r="E366" s="15" t="n">
        <f aca="false">$C$2*(1+IF(E$3&lt;=$O$2,$D366,$D366-($D366-$I$346)*MIN(E$3-$O$2,$Q$2)/$Q$2))</f>
        <v>2721.67660713196</v>
      </c>
      <c r="F366" s="15" t="n">
        <f aca="false">E366*(1+IF(F$3&lt;=$O$2,$D366,$D366-($D366-$I$346)*MIN(F$3-$O$2,$Q$2)/$Q$2))</f>
        <v>2882.30488475071</v>
      </c>
      <c r="G366" s="15" t="n">
        <f aca="false">F366*(1+IF(G$3&lt;=$O$2,$D366,$D366-($D366-$I$346)*MIN(G$3-$O$2,$Q$2)/$Q$2))</f>
        <v>3052.41314375416</v>
      </c>
      <c r="H366" s="15" t="n">
        <f aca="false">G366*(1+IF(H$3&lt;=$O$2,$D366,$D366-($D366-$I$346)*MIN(H$3-$O$2,$Q$2)/$Q$2))</f>
        <v>3232.56087496413</v>
      </c>
      <c r="I366" s="15" t="n">
        <f aca="false">H366*(1+IF(I$3&lt;=$O$2,$D366,$D366-($D366-$I$346)*MIN(I$3-$O$2,$Q$2)/$Q$2))</f>
        <v>3423.34058930735</v>
      </c>
      <c r="J366" s="15" t="n">
        <f aca="false">I366*(1+IF(J$3&lt;=$O$2,$D366,$D366-($D366-$I$346)*MIN(J$3-$O$2,$Q$2)/$Q$2))</f>
        <v>3600.924698288</v>
      </c>
      <c r="K366" s="15" t="n">
        <f aca="false">J366*(1+IF(K$3&lt;=$O$2,$D366,$D366-($D366-$I$346)*MIN(K$3-$O$2,$Q$2)/$Q$2))</f>
        <v>3761.99723261005</v>
      </c>
      <c r="L366" s="15" t="n">
        <f aca="false">K366*(1+IF(L$3&lt;=$O$2,$D366,$D366-($D366-$I$346)*MIN(L$3-$O$2,$Q$2)/$Q$2))</f>
        <v>3903.400378246</v>
      </c>
      <c r="M366" s="15" t="n">
        <f aca="false">L366*(1+IF(M$3&lt;=$O$2,$D366,$D366-($D366-$I$346)*MIN(M$3-$O$2,$Q$2)/$Q$2))</f>
        <v>4022.23404344825</v>
      </c>
      <c r="N366" s="15" t="n">
        <f aca="false">M366*(1+IF(N$3&lt;=$O$2,$D366,$D366-($D366-$I$346)*MIN(N$3-$O$2,$Q$2)/$Q$2))</f>
        <v>4115.95209666059</v>
      </c>
      <c r="O366" s="15" t="n">
        <f aca="false">SUMPRODUCT(E366:N366,1/(1+$F$346)^$E$3:$N$3)*$E$2</f>
        <v>4220.4779424489</v>
      </c>
      <c r="P366" s="15" t="n">
        <f aca="false">N366*$E$2*(1+$I$346)/($F$346-$I$346)/(1+$F$346)^$N$3</f>
        <v>4825.59532231982</v>
      </c>
      <c r="Q366" s="15" t="n">
        <f aca="false">O366+P366</f>
        <v>9046.07326476872</v>
      </c>
      <c r="R366" s="15" t="n">
        <f aca="false">Q366-$G$2+$I$2</f>
        <v>7669.87326476872</v>
      </c>
      <c r="S366" s="42" t="n">
        <f aca="false">R366/$K$2</f>
        <v>204.475426946647</v>
      </c>
      <c r="T366" s="43" t="n">
        <f aca="false">S366-$M$2</f>
        <v>-0.00337870517930128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0.0590181350708008</v>
      </c>
      <c r="C367" s="25" t="n">
        <f aca="false">IF(T366&gt;0,D366,C366)</f>
        <v>0.05902099609375</v>
      </c>
      <c r="D367" s="41" t="n">
        <f aca="false">(B367+C367)/2</f>
        <v>0.0590195655822754</v>
      </c>
      <c r="E367" s="15" t="n">
        <f aca="false">$C$2*(1+IF(E$3&lt;=$O$2,$D367,$D367-($D367-$I$346)*MIN(E$3-$O$2,$Q$2)/$Q$2))</f>
        <v>2721.68028354645</v>
      </c>
      <c r="F367" s="15" t="n">
        <f aca="false">E367*(1+IF(F$3&lt;=$O$2,$D367,$D367-($D367-$I$346)*MIN(F$3-$O$2,$Q$2)/$Q$2))</f>
        <v>2882.3126715352</v>
      </c>
      <c r="G367" s="15" t="n">
        <f aca="false">F367*(1+IF(G$3&lt;=$O$2,$D367,$D367-($D367-$I$346)*MIN(G$3-$O$2,$Q$2)/$Q$2))</f>
        <v>3052.4255132815</v>
      </c>
      <c r="H367" s="15" t="n">
        <f aca="false">G367*(1+IF(H$3&lt;=$O$2,$D367,$D367-($D367-$I$346)*MIN(H$3-$O$2,$Q$2)/$Q$2))</f>
        <v>3232.57834104763</v>
      </c>
      <c r="I367" s="15" t="n">
        <f aca="false">H367*(1+IF(I$3&lt;=$O$2,$D367,$D367-($D367-$I$346)*MIN(I$3-$O$2,$Q$2)/$Q$2))</f>
        <v>3423.36371044693</v>
      </c>
      <c r="J367" s="15" t="n">
        <f aca="false">I367*(1+IF(J$3&lt;=$O$2,$D367,$D367-($D367-$I$346)*MIN(J$3-$O$2,$Q$2)/$Q$2))</f>
        <v>3600.95293655418</v>
      </c>
      <c r="K367" s="15" t="n">
        <f aca="false">J367*(1+IF(K$3&lt;=$O$2,$D367,$D367-($D367-$I$346)*MIN(K$3-$O$2,$Q$2)/$Q$2))</f>
        <v>3762.02982472145</v>
      </c>
      <c r="L367" s="15" t="n">
        <f aca="false">K367*(1+IF(L$3&lt;=$O$2,$D367,$D367-($D367-$I$346)*MIN(L$3-$O$2,$Q$2)/$Q$2))</f>
        <v>3903.4363480561</v>
      </c>
      <c r="M367" s="15" t="n">
        <f aca="false">L367*(1+IF(M$3&lt;=$O$2,$D367,$D367-($D367-$I$346)*MIN(M$3-$O$2,$Q$2)/$Q$2))</f>
        <v>4022.27222509194</v>
      </c>
      <c r="N367" s="15" t="n">
        <f aca="false">M367*(1+IF(N$3&lt;=$O$2,$D367,$D367-($D367-$I$346)*MIN(N$3-$O$2,$Q$2)/$Q$2))</f>
        <v>4115.99116793658</v>
      </c>
      <c r="O367" s="15" t="n">
        <f aca="false">SUMPRODUCT(E367:N367,1/(1+$F$346)^$E$3:$N$3)*$E$2</f>
        <v>4220.5039962417</v>
      </c>
      <c r="P367" s="15" t="n">
        <f aca="false">N367*$E$2*(1+$I$346)/($F$346-$I$346)/(1+$F$346)^$N$3</f>
        <v>4825.64112998769</v>
      </c>
      <c r="Q367" s="15" t="n">
        <f aca="false">O367+P367</f>
        <v>9046.1451262294</v>
      </c>
      <c r="R367" s="15" t="n">
        <f aca="false">Q367-$G$2+$I$2</f>
        <v>7669.9451262294</v>
      </c>
      <c r="S367" s="42" t="n">
        <f aca="false">R367/$K$2</f>
        <v>204.477342741386</v>
      </c>
      <c r="T367" s="43" t="n">
        <f aca="false">S367-$M$2</f>
        <v>-0.00146291043989777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0.0590195655822754</v>
      </c>
      <c r="C368" s="25" t="n">
        <f aca="false">IF(T367&gt;0,D367,C367)</f>
        <v>0.05902099609375</v>
      </c>
      <c r="D368" s="41" t="n">
        <f aca="false">(B368+C368)/2</f>
        <v>0.0590202808380127</v>
      </c>
      <c r="E368" s="15" t="n">
        <f aca="false">$C$2*(1+IF(E$3&lt;=$O$2,$D368,$D368-($D368-$I$346)*MIN(E$3-$O$2,$Q$2)/$Q$2))</f>
        <v>2721.68212175369</v>
      </c>
      <c r="F368" s="15" t="n">
        <f aca="false">E368*(1+IF(F$3&lt;=$O$2,$D368,$D368-($D368-$I$346)*MIN(F$3-$O$2,$Q$2)/$Q$2))</f>
        <v>2882.31656493139</v>
      </c>
      <c r="G368" s="15" t="n">
        <f aca="false">F368*(1+IF(G$3&lt;=$O$2,$D368,$D368-($D368-$I$346)*MIN(G$3-$O$2,$Q$2)/$Q$2))</f>
        <v>3052.4316980577</v>
      </c>
      <c r="H368" s="15" t="n">
        <f aca="false">G368*(1+IF(H$3&lt;=$O$2,$D368,$D368-($D368-$I$346)*MIN(H$3-$O$2,$Q$2)/$Q$2))</f>
        <v>3232.58707411592</v>
      </c>
      <c r="I368" s="15" t="n">
        <f aca="false">H368*(1+IF(I$3&lt;=$O$2,$D368,$D368-($D368-$I$346)*MIN(I$3-$O$2,$Q$2)/$Q$2))</f>
        <v>3423.37527106357</v>
      </c>
      <c r="J368" s="15" t="n">
        <f aca="false">I368*(1+IF(J$3&lt;=$O$2,$D368,$D368-($D368-$I$346)*MIN(J$3-$O$2,$Q$2)/$Q$2))</f>
        <v>3600.96705575639</v>
      </c>
      <c r="K368" s="15" t="n">
        <f aca="false">J368*(1+IF(K$3&lt;=$O$2,$D368,$D368-($D368-$I$346)*MIN(K$3-$O$2,$Q$2)/$Q$2))</f>
        <v>3762.04612086754</v>
      </c>
      <c r="L368" s="15" t="n">
        <f aca="false">K368*(1+IF(L$3&lt;=$O$2,$D368,$D368-($D368-$I$346)*MIN(L$3-$O$2,$Q$2)/$Q$2))</f>
        <v>3903.45433306894</v>
      </c>
      <c r="M368" s="15" t="n">
        <f aca="false">L368*(1+IF(M$3&lt;=$O$2,$D368,$D368-($D368-$I$346)*MIN(M$3-$O$2,$Q$2)/$Q$2))</f>
        <v>4022.29131603256</v>
      </c>
      <c r="N368" s="15" t="n">
        <f aca="false">M368*(1+IF(N$3&lt;=$O$2,$D368,$D368-($D368-$I$346)*MIN(N$3-$O$2,$Q$2)/$Q$2))</f>
        <v>4116.01070369612</v>
      </c>
      <c r="O368" s="15" t="n">
        <f aca="false">SUMPRODUCT(E368:N368,1/(1+$F$346)^$E$3:$N$3)*$E$2</f>
        <v>4220.51702319891</v>
      </c>
      <c r="P368" s="15" t="n">
        <f aca="false">N368*$E$2*(1+$I$346)/($F$346-$I$346)/(1+$F$346)^$N$3</f>
        <v>4825.66403396413</v>
      </c>
      <c r="Q368" s="15" t="n">
        <f aca="false">O368+P368</f>
        <v>9046.18105716304</v>
      </c>
      <c r="R368" s="15" t="n">
        <f aca="false">Q368-$G$2+$I$2</f>
        <v>7669.98105716304</v>
      </c>
      <c r="S368" s="42" t="n">
        <f aca="false">R368/$K$2</f>
        <v>204.478300644176</v>
      </c>
      <c r="T368" s="43" t="n">
        <f aca="false">S368-$M$2</f>
        <v>-0.000505007650190237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0.0590202808380127</v>
      </c>
      <c r="C369" s="25" t="n">
        <f aca="false">IF(T368&gt;0,D368,C368)</f>
        <v>0.05902099609375</v>
      </c>
      <c r="D369" s="41" t="n">
        <f aca="false">(B369+C369)/2</f>
        <v>0.0590206384658814</v>
      </c>
      <c r="E369" s="15" t="n">
        <f aca="false">$C$2*(1+IF(E$3&lt;=$O$2,$D369,$D369-($D369-$I$346)*MIN(E$3-$O$2,$Q$2)/$Q$2))</f>
        <v>2721.68304085732</v>
      </c>
      <c r="F369" s="15" t="n">
        <f aca="false">E369*(1+IF(F$3&lt;=$O$2,$D369,$D369-($D369-$I$346)*MIN(F$3-$O$2,$Q$2)/$Q$2))</f>
        <v>2882.31851163048</v>
      </c>
      <c r="G369" s="15" t="n">
        <f aca="false">F369*(1+IF(G$3&lt;=$O$2,$D369,$D369-($D369-$I$346)*MIN(G$3-$O$2,$Q$2)/$Q$2))</f>
        <v>3052.43479044894</v>
      </c>
      <c r="H369" s="15" t="n">
        <f aca="false">G369*(1+IF(H$3&lt;=$O$2,$D369,$D369-($D369-$I$346)*MIN(H$3-$O$2,$Q$2)/$Q$2))</f>
        <v>3232.5914406567</v>
      </c>
      <c r="I369" s="15" t="n">
        <f aca="false">H369*(1+IF(I$3&lt;=$O$2,$D369,$D369-($D369-$I$346)*MIN(I$3-$O$2,$Q$2)/$Q$2))</f>
        <v>3423.3810513836</v>
      </c>
      <c r="J369" s="15" t="n">
        <f aca="false">I369*(1+IF(J$3&lt;=$O$2,$D369,$D369-($D369-$I$346)*MIN(J$3-$O$2,$Q$2)/$Q$2))</f>
        <v>3600.97411537478</v>
      </c>
      <c r="K369" s="15" t="n">
        <f aca="false">J369*(1+IF(K$3&lt;=$O$2,$D369,$D369-($D369-$I$346)*MIN(K$3-$O$2,$Q$2)/$Q$2))</f>
        <v>3762.05426896319</v>
      </c>
      <c r="L369" s="15" t="n">
        <f aca="false">K369*(1+IF(L$3&lt;=$O$2,$D369,$D369-($D369-$I$346)*MIN(L$3-$O$2,$Q$2)/$Q$2))</f>
        <v>3903.4633256023</v>
      </c>
      <c r="M369" s="15" t="n">
        <f aca="false">L369*(1+IF(M$3&lt;=$O$2,$D369,$D369-($D369-$I$346)*MIN(M$3-$O$2,$Q$2)/$Q$2))</f>
        <v>4022.30086153256</v>
      </c>
      <c r="N369" s="15" t="n">
        <f aca="false">M369*(1+IF(N$3&lt;=$O$2,$D369,$D369-($D369-$I$346)*MIN(N$3-$O$2,$Q$2)/$Q$2))</f>
        <v>4116.02047160627</v>
      </c>
      <c r="O369" s="15" t="n">
        <f aca="false">SUMPRODUCT(E369:N369,1/(1+$F$346)^$E$3:$N$3)*$E$2</f>
        <v>4220.52353669271</v>
      </c>
      <c r="P369" s="15" t="n">
        <f aca="false">N369*$E$2*(1+$I$346)/($F$346-$I$346)/(1+$F$346)^$N$3</f>
        <v>4825.67548598797</v>
      </c>
      <c r="Q369" s="15" t="n">
        <f aca="false">O369+P369</f>
        <v>9046.19902268069</v>
      </c>
      <c r="R369" s="15" t="n">
        <f aca="false">Q369-$G$2+$I$2</f>
        <v>7669.99902268069</v>
      </c>
      <c r="S369" s="42" t="n">
        <f aca="false">R369/$K$2</f>
        <v>204.478779596926</v>
      </c>
      <c r="T369" s="43" t="n">
        <f aca="false">S369-$M$2</f>
        <v>-2.60549003314736E-005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0.0590206384658814</v>
      </c>
      <c r="C370" s="25" t="n">
        <f aca="false">IF(T369&gt;0,D369,C369)</f>
        <v>0.05902099609375</v>
      </c>
      <c r="D370" s="41" t="n">
        <f aca="false">(B370+C370)/2</f>
        <v>0.0590208172798157</v>
      </c>
      <c r="E370" s="15" t="n">
        <f aca="false">$C$2*(1+IF(E$3&lt;=$O$2,$D370,$D370-($D370-$I$346)*MIN(E$3-$O$2,$Q$2)/$Q$2))</f>
        <v>2721.68350040913</v>
      </c>
      <c r="F370" s="15" t="n">
        <f aca="false">E370*(1+IF(F$3&lt;=$O$2,$D370,$D370-($D370-$I$346)*MIN(F$3-$O$2,$Q$2)/$Q$2))</f>
        <v>2882.31948498026</v>
      </c>
      <c r="G370" s="15" t="n">
        <f aca="false">F370*(1+IF(G$3&lt;=$O$2,$D370,$D370-($D370-$I$346)*MIN(G$3-$O$2,$Q$2)/$Q$2))</f>
        <v>3052.43633664534</v>
      </c>
      <c r="H370" s="15" t="n">
        <f aca="false">G370*(1+IF(H$3&lt;=$O$2,$D370,$D370-($D370-$I$346)*MIN(H$3-$O$2,$Q$2)/$Q$2))</f>
        <v>3232.59362392875</v>
      </c>
      <c r="I370" s="15" t="n">
        <f aca="false">H370*(1+IF(I$3&lt;=$O$2,$D370,$D370-($D370-$I$346)*MIN(I$3-$O$2,$Q$2)/$Q$2))</f>
        <v>3423.38394154655</v>
      </c>
      <c r="J370" s="15" t="n">
        <f aca="false">I370*(1+IF(J$3&lt;=$O$2,$D370,$D370-($D370-$I$346)*MIN(J$3-$O$2,$Q$2)/$Q$2))</f>
        <v>3600.97764518829</v>
      </c>
      <c r="K370" s="15" t="n">
        <f aca="false">J370*(1+IF(K$3&lt;=$O$2,$D370,$D370-($D370-$I$346)*MIN(K$3-$O$2,$Q$2)/$Q$2))</f>
        <v>3762.05834301666</v>
      </c>
      <c r="L370" s="15" t="n">
        <f aca="false">K370*(1+IF(L$3&lt;=$O$2,$D370,$D370-($D370-$I$346)*MIN(L$3-$O$2,$Q$2)/$Q$2))</f>
        <v>3903.46782187571</v>
      </c>
      <c r="M370" s="15" t="n">
        <f aca="false">L370*(1+IF(M$3&lt;=$O$2,$D370,$D370-($D370-$I$346)*MIN(M$3-$O$2,$Q$2)/$Q$2))</f>
        <v>4022.30563428999</v>
      </c>
      <c r="N370" s="15" t="n">
        <f aca="false">M370*(1+IF(N$3&lt;=$O$2,$D370,$D370-($D370-$I$346)*MIN(N$3-$O$2,$Q$2)/$Q$2))</f>
        <v>4116.02535556895</v>
      </c>
      <c r="O370" s="15" t="n">
        <f aca="false">SUMPRODUCT(E370:N370,1/(1+$F$346)^$E$3:$N$3)*$E$2</f>
        <v>4220.52679344341</v>
      </c>
      <c r="P370" s="15" t="n">
        <f aca="false">N370*$E$2*(1+$I$346)/($F$346-$I$346)/(1+$F$346)^$N$3</f>
        <v>4825.6812120088</v>
      </c>
      <c r="Q370" s="15" t="n">
        <f aca="false">O370+P370</f>
        <v>9046.20800545222</v>
      </c>
      <c r="R370" s="15" t="n">
        <f aca="false">Q370-$G$2+$I$2</f>
        <v>7670.00800545222</v>
      </c>
      <c r="S370" s="42" t="n">
        <f aca="false">R370/$K$2</f>
        <v>204.479019073639</v>
      </c>
      <c r="T370" s="43" t="n">
        <f aca="false">S370-$M$2</f>
        <v>0.000213421813384684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0.0590206384658814</v>
      </c>
      <c r="C371" s="25" t="n">
        <f aca="false">IF(T370&gt;0,D370,C370)</f>
        <v>0.0590208172798157</v>
      </c>
      <c r="D371" s="41" t="n">
        <f aca="false">(B371+C371)/2</f>
        <v>0.0590207278728485</v>
      </c>
      <c r="E371" s="15" t="n">
        <f aca="false">$C$2*(1+IF(E$3&lt;=$O$2,$D371,$D371-($D371-$I$346)*MIN(E$3-$O$2,$Q$2)/$Q$2))</f>
        <v>2721.68327063322</v>
      </c>
      <c r="F371" s="15" t="n">
        <f aca="false">E371*(1+IF(F$3&lt;=$O$2,$D371,$D371-($D371-$I$346)*MIN(F$3-$O$2,$Q$2)/$Q$2))</f>
        <v>2882.31899830535</v>
      </c>
      <c r="G371" s="15" t="n">
        <f aca="false">F371*(1+IF(G$3&lt;=$O$2,$D371,$D371-($D371-$I$346)*MIN(G$3-$O$2,$Q$2)/$Q$2))</f>
        <v>3052.43556354707</v>
      </c>
      <c r="H371" s="15" t="n">
        <f aca="false">G371*(1+IF(H$3&lt;=$O$2,$D371,$D371-($D371-$I$346)*MIN(H$3-$O$2,$Q$2)/$Q$2))</f>
        <v>3232.59253229259</v>
      </c>
      <c r="I371" s="15" t="n">
        <f aca="false">H371*(1+IF(I$3&lt;=$O$2,$D371,$D371-($D371-$I$346)*MIN(I$3-$O$2,$Q$2)/$Q$2))</f>
        <v>3423.38249646483</v>
      </c>
      <c r="J371" s="15" t="n">
        <f aca="false">I371*(1+IF(J$3&lt;=$O$2,$D371,$D371-($D371-$I$346)*MIN(J$3-$O$2,$Q$2)/$Q$2))</f>
        <v>3600.97588028117</v>
      </c>
      <c r="K371" s="15" t="n">
        <f aca="false">J371*(1+IF(K$3&lt;=$O$2,$D371,$D371-($D371-$I$346)*MIN(K$3-$O$2,$Q$2)/$Q$2))</f>
        <v>3762.05630598945</v>
      </c>
      <c r="L371" s="15" t="n">
        <f aca="false">K371*(1+IF(L$3&lt;=$O$2,$D371,$D371-($D371-$I$346)*MIN(L$3-$O$2,$Q$2)/$Q$2))</f>
        <v>3903.46557373844</v>
      </c>
      <c r="M371" s="15" t="n">
        <f aca="false">L371*(1+IF(M$3&lt;=$O$2,$D371,$D371-($D371-$I$346)*MIN(M$3-$O$2,$Q$2)/$Q$2))</f>
        <v>4022.30324791066</v>
      </c>
      <c r="N371" s="15" t="n">
        <f aca="false">M371*(1+IF(N$3&lt;=$O$2,$D371,$D371-($D371-$I$346)*MIN(N$3-$O$2,$Q$2)/$Q$2))</f>
        <v>4116.02291358698</v>
      </c>
      <c r="O371" s="15" t="n">
        <f aca="false">SUMPRODUCT(E371:N371,1/(1+$F$346)^$E$3:$N$3)*$E$2</f>
        <v>4220.52516506775</v>
      </c>
      <c r="P371" s="15" t="n">
        <f aca="false">N371*$E$2*(1+$I$346)/($F$346-$I$346)/(1+$F$346)^$N$3</f>
        <v>4825.67834899765</v>
      </c>
      <c r="Q371" s="15" t="n">
        <f aca="false">O371+P371</f>
        <v>9046.20351406539</v>
      </c>
      <c r="R371" s="15" t="n">
        <f aca="false">Q371-$G$2+$I$2</f>
        <v>7670.00351406539</v>
      </c>
      <c r="S371" s="42" t="n">
        <f aca="false">R371/$K$2</f>
        <v>204.478899335254</v>
      </c>
      <c r="T371" s="43" t="n">
        <f aca="false">S371-$M$2</f>
        <v>9.36834283322696E-005</v>
      </c>
    </row>
    <row r="373" customFormat="false" ht="15" hidden="false" customHeight="false" outlineLevel="0" collapsed="false">
      <c r="A373" s="38" t="s">
        <v>194</v>
      </c>
      <c r="E373" s="5" t="s">
        <v>11</v>
      </c>
      <c r="F373" s="12" t="n">
        <f aca="false">Sensitivity!$B$12</f>
        <v>0.094183337553844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162</v>
      </c>
      <c r="B374" s="28" t="s">
        <v>163</v>
      </c>
      <c r="C374" s="28" t="s">
        <v>164</v>
      </c>
      <c r="D374" s="28" t="s">
        <v>165</v>
      </c>
      <c r="E374" s="28" t="s">
        <v>166</v>
      </c>
      <c r="F374" s="28" t="s">
        <v>167</v>
      </c>
      <c r="G374" s="28" t="s">
        <v>168</v>
      </c>
      <c r="H374" s="28" t="s">
        <v>169</v>
      </c>
      <c r="I374" s="28" t="s">
        <v>170</v>
      </c>
      <c r="J374" s="28" t="s">
        <v>171</v>
      </c>
      <c r="K374" s="28" t="s">
        <v>172</v>
      </c>
      <c r="L374" s="28" t="s">
        <v>173</v>
      </c>
      <c r="M374" s="28" t="s">
        <v>174</v>
      </c>
      <c r="N374" s="28" t="s">
        <v>175</v>
      </c>
      <c r="O374" s="28" t="s">
        <v>176</v>
      </c>
      <c r="P374" s="28" t="s">
        <v>177</v>
      </c>
      <c r="Q374" s="28" t="s">
        <v>178</v>
      </c>
      <c r="R374" s="28" t="s">
        <v>179</v>
      </c>
      <c r="S374" s="28" t="s">
        <v>180</v>
      </c>
      <c r="T374" s="28" t="s">
        <v>181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3212.5</v>
      </c>
      <c r="F375" s="15" t="n">
        <f aca="false">E375*(1+IF(F$3&lt;=$O$2,$D375,$D375-($D375-$I$373)*MIN(F$3-$O$2,$Q$2)/$Q$2))</f>
        <v>4015.625</v>
      </c>
      <c r="G375" s="15" t="n">
        <f aca="false">F375*(1+IF(G$3&lt;=$O$2,$D375,$D375-($D375-$I$373)*MIN(G$3-$O$2,$Q$2)/$Q$2))</f>
        <v>5019.53125</v>
      </c>
      <c r="H375" s="15" t="n">
        <f aca="false">G375*(1+IF(H$3&lt;=$O$2,$D375,$D375-($D375-$I$373)*MIN(H$3-$O$2,$Q$2)/$Q$2))</f>
        <v>6274.4140625</v>
      </c>
      <c r="I375" s="15" t="n">
        <f aca="false">H375*(1+IF(I$3&lt;=$O$2,$D375,$D375-($D375-$I$373)*MIN(I$3-$O$2,$Q$2)/$Q$2))</f>
        <v>7843.017578125</v>
      </c>
      <c r="J375" s="15" t="n">
        <f aca="false">I375*(1+IF(J$3&lt;=$O$2,$D375,$D375-($D375-$I$373)*MIN(J$3-$O$2,$Q$2)/$Q$2))</f>
        <v>9456.01257324219</v>
      </c>
      <c r="K375" s="15" t="n">
        <f aca="false">J375*(1+IF(K$3&lt;=$O$2,$D375,$D375-($D375-$I$373)*MIN(K$3-$O$2,$Q$2)/$Q$2))</f>
        <v>10981.4565215576</v>
      </c>
      <c r="L375" s="15" t="n">
        <f aca="false">K375*(1+IF(L$3&lt;=$O$2,$D375,$D375-($D375-$I$373)*MIN(L$3-$O$2,$Q$2)/$Q$2))</f>
        <v>12266.0673054494</v>
      </c>
      <c r="M375" s="15" t="n">
        <f aca="false">L375*(1+IF(M$3&lt;=$O$2,$D375,$D375-($D375-$I$373)*MIN(M$3-$O$2,$Q$2)/$Q$2))</f>
        <v>13157.0744345173</v>
      </c>
      <c r="N375" s="15" t="n">
        <f aca="false">M375*(1+IF(N$3&lt;=$O$2,$D375,$D375-($D375-$I$373)*MIN(N$3-$O$2,$Q$2)/$Q$2))</f>
        <v>13529.4196410141</v>
      </c>
      <c r="O375" s="15" t="n">
        <f aca="false">SUMPRODUCT(E375:N375,1/(1+$F$373)^$E$3:$N$3)*$E$2</f>
        <v>9625.00814700594</v>
      </c>
      <c r="P375" s="15" t="n">
        <f aca="false">N375*$E$2*(1+$I$373)/($F$373-$I$373)/(1+$F$373)^$N$3</f>
        <v>17149.2520269667</v>
      </c>
      <c r="Q375" s="15" t="n">
        <f aca="false">O375+P375</f>
        <v>26774.2601739726</v>
      </c>
      <c r="R375" s="15" t="n">
        <f aca="false">Q375-$G$2+$I$2</f>
        <v>25398.0601739726</v>
      </c>
      <c r="S375" s="42" t="n">
        <f aca="false">R375/$K$2</f>
        <v>677.101044360774</v>
      </c>
      <c r="T375" s="43" t="n">
        <f aca="false">S375-$M$2</f>
        <v>472.622238708948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2248.75</v>
      </c>
      <c r="F376" s="15" t="n">
        <f aca="false">E376*(1+IF(F$3&lt;=$O$2,$D376,$D376-($D376-$I$373)*MIN(F$3-$O$2,$Q$2)/$Q$2))</f>
        <v>1967.65625</v>
      </c>
      <c r="G376" s="15" t="n">
        <f aca="false">F376*(1+IF(G$3&lt;=$O$2,$D376,$D376-($D376-$I$373)*MIN(G$3-$O$2,$Q$2)/$Q$2))</f>
        <v>1721.69921875</v>
      </c>
      <c r="H376" s="15" t="n">
        <f aca="false">G376*(1+IF(H$3&lt;=$O$2,$D376,$D376-($D376-$I$373)*MIN(H$3-$O$2,$Q$2)/$Q$2))</f>
        <v>1506.48681640625</v>
      </c>
      <c r="I376" s="15" t="n">
        <f aca="false">H376*(1+IF(I$3&lt;=$O$2,$D376,$D376-($D376-$I$373)*MIN(I$3-$O$2,$Q$2)/$Q$2))</f>
        <v>1318.17596435547</v>
      </c>
      <c r="J376" s="15" t="n">
        <f aca="false">I376*(1+IF(J$3&lt;=$O$2,$D376,$D376-($D376-$I$373)*MIN(J$3-$O$2,$Q$2)/$Q$2))</f>
        <v>1193.81924387817</v>
      </c>
      <c r="K376" s="15" t="n">
        <f aca="false">J376*(1+IF(K$3&lt;=$O$2,$D376,$D376-($D376-$I$373)*MIN(K$3-$O$2,$Q$2)/$Q$2))</f>
        <v>1117.79683442801</v>
      </c>
      <c r="L376" s="15" t="n">
        <f aca="false">K376*(1+IF(L$3&lt;=$O$2,$D376,$D376-($D376-$I$373)*MIN(L$3-$O$2,$Q$2)/$Q$2))</f>
        <v>1080.8871829552</v>
      </c>
      <c r="M376" s="15" t="n">
        <f aca="false">L376*(1+IF(M$3&lt;=$O$2,$D376,$D376-($D376-$I$373)*MIN(M$3-$O$2,$Q$2)/$Q$2))</f>
        <v>1078.33628920342</v>
      </c>
      <c r="N376" s="15" t="n">
        <f aca="false">M376*(1+IF(N$3&lt;=$O$2,$D376,$D376-($D376-$I$373)*MIN(N$3-$O$2,$Q$2)/$Q$2))</f>
        <v>1108.85320618788</v>
      </c>
      <c r="O376" s="15" t="n">
        <f aca="false">SUMPRODUCT(E376:N376,1/(1+$F$373)^$E$3:$N$3)*$E$2</f>
        <v>1928.13518044664</v>
      </c>
      <c r="P376" s="15" t="n">
        <f aca="false">N376*$E$2*(1+$I$373)/($F$373-$I$373)/(1+$F$373)^$N$3</f>
        <v>1405.52984521077</v>
      </c>
      <c r="Q376" s="15" t="n">
        <f aca="false">O376+P376</f>
        <v>3333.66502565741</v>
      </c>
      <c r="R376" s="15" t="n">
        <f aca="false">Q376-$G$2+$I$2</f>
        <v>1957.46502565741</v>
      </c>
      <c r="S376" s="42" t="n">
        <f aca="false">R376/$K$2</f>
        <v>52.1851513105148</v>
      </c>
      <c r="T376" s="43" t="n">
        <f aca="false">S376-$M$2</f>
        <v>-152.293654341311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2730.625</v>
      </c>
      <c r="F377" s="15" t="n">
        <f aca="false">E377*(1+IF(F$3&lt;=$O$2,$D377,$D377-($D377-$I$373)*MIN(F$3-$O$2,$Q$2)/$Q$2))</f>
        <v>2901.2890625</v>
      </c>
      <c r="G377" s="15" t="n">
        <f aca="false">F377*(1+IF(G$3&lt;=$O$2,$D377,$D377-($D377-$I$373)*MIN(G$3-$O$2,$Q$2)/$Q$2))</f>
        <v>3082.61962890625</v>
      </c>
      <c r="H377" s="15" t="n">
        <f aca="false">G377*(1+IF(H$3&lt;=$O$2,$D377,$D377-($D377-$I$373)*MIN(H$3-$O$2,$Q$2)/$Q$2))</f>
        <v>3275.28335571289</v>
      </c>
      <c r="I377" s="15" t="n">
        <f aca="false">H377*(1+IF(I$3&lt;=$O$2,$D377,$D377-($D377-$I$373)*MIN(I$3-$O$2,$Q$2)/$Q$2))</f>
        <v>3479.98856544495</v>
      </c>
      <c r="J377" s="15" t="n">
        <f aca="false">I377*(1+IF(J$3&lt;=$O$2,$D377,$D377-($D377-$I$373)*MIN(J$3-$O$2,$Q$2)/$Q$2))</f>
        <v>3673.68472899761</v>
      </c>
      <c r="K377" s="15" t="n">
        <f aca="false">J377*(1+IF(K$3&lt;=$O$2,$D377,$D377-($D377-$I$373)*MIN(K$3-$O$2,$Q$2)/$Q$2))</f>
        <v>3853.03401746728</v>
      </c>
      <c r="L377" s="15" t="n">
        <f aca="false">K377*(1+IF(L$3&lt;=$O$2,$D377,$D377-($D377-$I$373)*MIN(L$3-$O$2,$Q$2)/$Q$2))</f>
        <v>4014.78438552055</v>
      </c>
      <c r="M377" s="15" t="n">
        <f aca="false">L377*(1+IF(M$3&lt;=$O$2,$D377,$D377-($D377-$I$373)*MIN(M$3-$O$2,$Q$2)/$Q$2))</f>
        <v>4155.86390882774</v>
      </c>
      <c r="N377" s="15" t="n">
        <f aca="false">M377*(1+IF(N$3&lt;=$O$2,$D377,$D377-($D377-$I$373)*MIN(N$3-$O$2,$Q$2)/$Q$2))</f>
        <v>4273.47485744757</v>
      </c>
      <c r="O377" s="15" t="n">
        <f aca="false">SUMPRODUCT(E377:N377,1/(1+$F$373)^$E$3:$N$3)*$E$2</f>
        <v>4296.70731126501</v>
      </c>
      <c r="P377" s="15" t="n">
        <f aca="false">N377*$E$2*(1+$I$373)/($F$373-$I$373)/(1+$F$373)^$N$3</f>
        <v>5416.85447756432</v>
      </c>
      <c r="Q377" s="15" t="n">
        <f aca="false">O377+P377</f>
        <v>9713.56178882933</v>
      </c>
      <c r="R377" s="15" t="n">
        <f aca="false">Q377-$G$2+$I$2</f>
        <v>8337.36178882933</v>
      </c>
      <c r="S377" s="42" t="n">
        <f aca="false">R377/$K$2</f>
        <v>222.270375601955</v>
      </c>
      <c r="T377" s="43" t="n">
        <f aca="false">S377-$M$2</f>
        <v>17.7915699501289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2489.6875</v>
      </c>
      <c r="F378" s="15" t="n">
        <f aca="false">E378*(1+IF(F$3&lt;=$O$2,$D378,$D378-($D378-$I$373)*MIN(F$3-$O$2,$Q$2)/$Q$2))</f>
        <v>2411.884765625</v>
      </c>
      <c r="G378" s="15" t="n">
        <f aca="false">F378*(1+IF(G$3&lt;=$O$2,$D378,$D378-($D378-$I$373)*MIN(G$3-$O$2,$Q$2)/$Q$2))</f>
        <v>2336.51336669922</v>
      </c>
      <c r="H378" s="15" t="n">
        <f aca="false">G378*(1+IF(H$3&lt;=$O$2,$D378,$D378-($D378-$I$373)*MIN(H$3-$O$2,$Q$2)/$Q$2))</f>
        <v>2263.49732398987</v>
      </c>
      <c r="I378" s="15" t="n">
        <f aca="false">H378*(1+IF(I$3&lt;=$O$2,$D378,$D378-($D378-$I$373)*MIN(I$3-$O$2,$Q$2)/$Q$2))</f>
        <v>2192.76303261519</v>
      </c>
      <c r="J378" s="15" t="n">
        <f aca="false">I378*(1+IF(J$3&lt;=$O$2,$D378,$D378-($D378-$I$373)*MIN(J$3-$O$2,$Q$2)/$Q$2))</f>
        <v>2150.35499556441</v>
      </c>
      <c r="K378" s="15" t="n">
        <f aca="false">J378*(1+IF(K$3&lt;=$O$2,$D378,$D378-($D378-$I$373)*MIN(K$3-$O$2,$Q$2)/$Q$2))</f>
        <v>2134.37785794736</v>
      </c>
      <c r="L378" s="15" t="n">
        <f aca="false">K378*(1+IF(L$3&lt;=$O$2,$D378,$D378-($D378-$I$373)*MIN(L$3-$O$2,$Q$2)/$Q$2))</f>
        <v>2143.93987075097</v>
      </c>
      <c r="M378" s="15" t="n">
        <f aca="false">L378*(1+IF(M$3&lt;=$O$2,$D378,$D378-($D378-$I$373)*MIN(M$3-$O$2,$Q$2)/$Q$2))</f>
        <v>2179.07904523258</v>
      </c>
      <c r="N378" s="15" t="n">
        <f aca="false">M378*(1+IF(N$3&lt;=$O$2,$D378,$D378-($D378-$I$373)*MIN(N$3-$O$2,$Q$2)/$Q$2))</f>
        <v>2240.74698221266</v>
      </c>
      <c r="O378" s="15" t="n">
        <f aca="false">SUMPRODUCT(E378:N378,1/(1+$F$373)^$E$3:$N$3)*$E$2</f>
        <v>2869.49959094623</v>
      </c>
      <c r="P378" s="15" t="n">
        <f aca="false">N378*$E$2*(1+$I$373)/($F$373-$I$373)/(1+$F$373)^$N$3</f>
        <v>2840.26482630038</v>
      </c>
      <c r="Q378" s="15" t="n">
        <f aca="false">O378+P378</f>
        <v>5709.76441724661</v>
      </c>
      <c r="R378" s="15" t="n">
        <f aca="false">Q378-$G$2+$I$2</f>
        <v>4333.56441724661</v>
      </c>
      <c r="S378" s="42" t="n">
        <f aca="false">R378/$K$2</f>
        <v>115.530909550696</v>
      </c>
      <c r="T378" s="43" t="n">
        <f aca="false">S378-$M$2</f>
        <v>-88.94789610113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41" t="n">
        <f aca="false">(B379+C379)/2</f>
        <v>0.015625</v>
      </c>
      <c r="E379" s="15" t="n">
        <f aca="false">$C$2*(1+IF(E$3&lt;=$O$2,$D379,$D379-($D379-$I$373)*MIN(E$3-$O$2,$Q$2)/$Q$2))</f>
        <v>2610.15625</v>
      </c>
      <c r="F379" s="15" t="n">
        <f aca="false">E379*(1+IF(F$3&lt;=$O$2,$D379,$D379-($D379-$I$373)*MIN(F$3-$O$2,$Q$2)/$Q$2))</f>
        <v>2650.93994140625</v>
      </c>
      <c r="G379" s="15" t="n">
        <f aca="false">F379*(1+IF(G$3&lt;=$O$2,$D379,$D379-($D379-$I$373)*MIN(G$3-$O$2,$Q$2)/$Q$2))</f>
        <v>2692.36087799072</v>
      </c>
      <c r="H379" s="15" t="n">
        <f aca="false">G379*(1+IF(H$3&lt;=$O$2,$D379,$D379-($D379-$I$373)*MIN(H$3-$O$2,$Q$2)/$Q$2))</f>
        <v>2734.42901670933</v>
      </c>
      <c r="I379" s="15" t="n">
        <f aca="false">H379*(1+IF(I$3&lt;=$O$2,$D379,$D379-($D379-$I$373)*MIN(I$3-$O$2,$Q$2)/$Q$2))</f>
        <v>2777.15447009541</v>
      </c>
      <c r="J379" s="15" t="n">
        <f aca="false">I379*(1+IF(J$3&lt;=$O$2,$D379,$D379-($D379-$I$373)*MIN(J$3-$O$2,$Q$2)/$Q$2))</f>
        <v>2827.58759527234</v>
      </c>
      <c r="K379" s="15" t="n">
        <f aca="false">J379*(1+IF(K$3&lt;=$O$2,$D379,$D379-($D379-$I$373)*MIN(K$3-$O$2,$Q$2)/$Q$2))</f>
        <v>2886.1045205565</v>
      </c>
      <c r="L379" s="15" t="n">
        <f aca="false">K379*(1+IF(L$3&lt;=$O$2,$D379,$D379-($D379-$I$373)*MIN(L$3-$O$2,$Q$2)/$Q$2))</f>
        <v>2953.14872856903</v>
      </c>
      <c r="M379" s="15" t="n">
        <f aca="false">L379*(1+IF(M$3&lt;=$O$2,$D379,$D379-($D379-$I$373)*MIN(M$3-$O$2,$Q$2)/$Q$2))</f>
        <v>3029.23660556061</v>
      </c>
      <c r="N379" s="15" t="n">
        <f aca="false">M379*(1+IF(N$3&lt;=$O$2,$D379,$D379-($D379-$I$373)*MIN(N$3-$O$2,$Q$2)/$Q$2))</f>
        <v>3114.96400149798</v>
      </c>
      <c r="O379" s="15" t="n">
        <f aca="false">SUMPRODUCT(E379:N379,1/(1+$F$373)^$E$3:$N$3)*$E$2</f>
        <v>3509.74625351294</v>
      </c>
      <c r="P379" s="15" t="n">
        <f aca="false">N379*$E$2*(1+$I$373)/($F$373-$I$373)/(1+$F$373)^$N$3</f>
        <v>3948.38094567473</v>
      </c>
      <c r="Q379" s="15" t="n">
        <f aca="false">O379+P379</f>
        <v>7458.12719918767</v>
      </c>
      <c r="R379" s="15" t="n">
        <f aca="false">Q379-$G$2+$I$2</f>
        <v>6081.92719918767</v>
      </c>
      <c r="S379" s="42" t="n">
        <f aca="false">R379/$K$2</f>
        <v>162.141487581649</v>
      </c>
      <c r="T379" s="43" t="n">
        <f aca="false">S379-$M$2</f>
        <v>-42.3373180701766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0.015625</v>
      </c>
      <c r="C380" s="25" t="n">
        <f aca="false">IF(T379&gt;0,D379,C379)</f>
        <v>0.0625</v>
      </c>
      <c r="D380" s="41" t="n">
        <f aca="false">(B380+C380)/2</f>
        <v>0.0390625</v>
      </c>
      <c r="E380" s="15" t="n">
        <f aca="false">$C$2*(1+IF(E$3&lt;=$O$2,$D380,$D380-($D380-$I$373)*MIN(E$3-$O$2,$Q$2)/$Q$2))</f>
        <v>2670.390625</v>
      </c>
      <c r="F380" s="15" t="n">
        <f aca="false">E380*(1+IF(F$3&lt;=$O$2,$D380,$D380-($D380-$I$373)*MIN(F$3-$O$2,$Q$2)/$Q$2))</f>
        <v>2774.70275878906</v>
      </c>
      <c r="G380" s="15" t="n">
        <f aca="false">F380*(1+IF(G$3&lt;=$O$2,$D380,$D380-($D380-$I$373)*MIN(G$3-$O$2,$Q$2)/$Q$2))</f>
        <v>2883.08958530426</v>
      </c>
      <c r="H380" s="15" t="n">
        <f aca="false">G380*(1+IF(H$3&lt;=$O$2,$D380,$D380-($D380-$I$373)*MIN(H$3-$O$2,$Q$2)/$Q$2))</f>
        <v>2995.71027223021</v>
      </c>
      <c r="I380" s="15" t="n">
        <f aca="false">H380*(1+IF(I$3&lt;=$O$2,$D380,$D380-($D380-$I$373)*MIN(I$3-$O$2,$Q$2)/$Q$2))</f>
        <v>3112.7302047392</v>
      </c>
      <c r="J380" s="15" t="n">
        <f aca="false">I380*(1+IF(J$3&lt;=$O$2,$D380,$D380-($D380-$I$373)*MIN(J$3-$O$2,$Q$2)/$Q$2))</f>
        <v>3227.62107659612</v>
      </c>
      <c r="K380" s="15" t="n">
        <f aca="false">J380*(1+IF(K$3&lt;=$O$2,$D380,$D380-($D380-$I$373)*MIN(K$3-$O$2,$Q$2)/$Q$2))</f>
        <v>3339.80511616591</v>
      </c>
      <c r="L380" s="15" t="n">
        <f aca="false">K380*(1+IF(L$3&lt;=$O$2,$D380,$D380-($D380-$I$373)*MIN(L$3-$O$2,$Q$2)/$Q$2))</f>
        <v>3448.6994619785</v>
      </c>
      <c r="M380" s="15" t="n">
        <f aca="false">L380*(1+IF(M$3&lt;=$O$2,$D380,$D380-($D380-$I$373)*MIN(M$3-$O$2,$Q$2)/$Q$2))</f>
        <v>3553.7209823444</v>
      </c>
      <c r="N380" s="15" t="n">
        <f aca="false">M380*(1+IF(N$3&lt;=$O$2,$D380,$D380-($D380-$I$373)*MIN(N$3-$O$2,$Q$2)/$Q$2))</f>
        <v>3654.29128614475</v>
      </c>
      <c r="O380" s="15" t="n">
        <f aca="false">SUMPRODUCT(E380:N380,1/(1+$F$373)^$E$3:$N$3)*$E$2</f>
        <v>3883.05998884554</v>
      </c>
      <c r="P380" s="15" t="n">
        <f aca="false">N380*$E$2*(1+$I$373)/($F$373-$I$373)/(1+$F$373)^$N$3</f>
        <v>4632.00668682543</v>
      </c>
      <c r="Q380" s="15" t="n">
        <f aca="false">O380+P380</f>
        <v>8515.06667567097</v>
      </c>
      <c r="R380" s="15" t="n">
        <f aca="false">Q380-$G$2+$I$2</f>
        <v>7138.86667567097</v>
      </c>
      <c r="S380" s="42" t="n">
        <f aca="false">R380/$K$2</f>
        <v>190.319026277552</v>
      </c>
      <c r="T380" s="43" t="n">
        <f aca="false">S380-$M$2</f>
        <v>-14.1597793742744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0.0390625</v>
      </c>
      <c r="C381" s="25" t="n">
        <f aca="false">IF(T380&gt;0,D380,C380)</f>
        <v>0.0625</v>
      </c>
      <c r="D381" s="41" t="n">
        <f aca="false">(B381+C381)/2</f>
        <v>0.05078125</v>
      </c>
      <c r="E381" s="15" t="n">
        <f aca="false">$C$2*(1+IF(E$3&lt;=$O$2,$D381,$D381-($D381-$I$373)*MIN(E$3-$O$2,$Q$2)/$Q$2))</f>
        <v>2700.5078125</v>
      </c>
      <c r="F381" s="15" t="n">
        <f aca="false">E381*(1+IF(F$3&lt;=$O$2,$D381,$D381-($D381-$I$373)*MIN(F$3-$O$2,$Q$2)/$Q$2))</f>
        <v>2837.64297485352</v>
      </c>
      <c r="G381" s="15" t="n">
        <f aca="false">F381*(1+IF(G$3&lt;=$O$2,$D381,$D381-($D381-$I$373)*MIN(G$3-$O$2,$Q$2)/$Q$2))</f>
        <v>2981.7420321703</v>
      </c>
      <c r="H381" s="15" t="n">
        <f aca="false">G381*(1+IF(H$3&lt;=$O$2,$D381,$D381-($D381-$I$373)*MIN(H$3-$O$2,$Q$2)/$Q$2))</f>
        <v>3133.15861974144</v>
      </c>
      <c r="I381" s="15" t="n">
        <f aca="false">H381*(1+IF(I$3&lt;=$O$2,$D381,$D381-($D381-$I$373)*MIN(I$3-$O$2,$Q$2)/$Q$2))</f>
        <v>3292.26433090019</v>
      </c>
      <c r="J381" s="15" t="n">
        <f aca="false">I381*(1+IF(J$3&lt;=$O$2,$D381,$D381-($D381-$I$373)*MIN(J$3-$O$2,$Q$2)/$Q$2))</f>
        <v>3444.6467854559</v>
      </c>
      <c r="K381" s="15" t="n">
        <f aca="false">J381*(1+IF(K$3&lt;=$O$2,$D381,$D381-($D381-$I$373)*MIN(K$3-$O$2,$Q$2)/$Q$2))</f>
        <v>3588.59426881162</v>
      </c>
      <c r="L381" s="15" t="n">
        <f aca="false">K381*(1+IF(L$3&lt;=$O$2,$D381,$D381-($D381-$I$373)*MIN(L$3-$O$2,$Q$2)/$Q$2))</f>
        <v>3722.42192058128</v>
      </c>
      <c r="M381" s="15" t="n">
        <f aca="false">L381*(1+IF(M$3&lt;=$O$2,$D381,$D381-($D381-$I$373)*MIN(M$3-$O$2,$Q$2)/$Q$2))</f>
        <v>3844.50340049415</v>
      </c>
      <c r="N381" s="15" t="n">
        <f aca="false">M381*(1+IF(N$3&lt;=$O$2,$D381,$D381-($D381-$I$373)*MIN(N$3-$O$2,$Q$2)/$Q$2))</f>
        <v>3953.30284672813</v>
      </c>
      <c r="O381" s="15" t="n">
        <f aca="false">SUMPRODUCT(E381:N381,1/(1+$F$373)^$E$3:$N$3)*$E$2</f>
        <v>4084.59623379987</v>
      </c>
      <c r="P381" s="15" t="n">
        <f aca="false">N381*$E$2*(1+$I$373)/($F$373-$I$373)/(1+$F$373)^$N$3</f>
        <v>5011.01958963141</v>
      </c>
      <c r="Q381" s="15" t="n">
        <f aca="false">O381+P381</f>
        <v>9095.61582343128</v>
      </c>
      <c r="R381" s="15" t="n">
        <f aca="false">Q381-$G$2+$I$2</f>
        <v>7719.41582343128</v>
      </c>
      <c r="S381" s="42" t="n">
        <f aca="false">R381/$K$2</f>
        <v>205.796209635598</v>
      </c>
      <c r="T381" s="43" t="n">
        <f aca="false">S381-$M$2</f>
        <v>1.31740398377181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0.0390625</v>
      </c>
      <c r="C382" s="25" t="n">
        <f aca="false">IF(T381&gt;0,D381,C381)</f>
        <v>0.05078125</v>
      </c>
      <c r="D382" s="41" t="n">
        <f aca="false">(B382+C382)/2</f>
        <v>0.044921875</v>
      </c>
      <c r="E382" s="15" t="n">
        <f aca="false">$C$2*(1+IF(E$3&lt;=$O$2,$D382,$D382-($D382-$I$373)*MIN(E$3-$O$2,$Q$2)/$Q$2))</f>
        <v>2685.44921875</v>
      </c>
      <c r="F382" s="15" t="n">
        <f aca="false">E382*(1+IF(F$3&lt;=$O$2,$D382,$D382-($D382-$I$373)*MIN(F$3-$O$2,$Q$2)/$Q$2))</f>
        <v>2806.08463287354</v>
      </c>
      <c r="G382" s="15" t="n">
        <f aca="false">F382*(1+IF(G$3&lt;=$O$2,$D382,$D382-($D382-$I$373)*MIN(G$3-$O$2,$Q$2)/$Q$2))</f>
        <v>2932.1392159909</v>
      </c>
      <c r="H382" s="15" t="n">
        <f aca="false">G382*(1+IF(H$3&lt;=$O$2,$D382,$D382-($D382-$I$373)*MIN(H$3-$O$2,$Q$2)/$Q$2))</f>
        <v>3063.85640733424</v>
      </c>
      <c r="I382" s="15" t="n">
        <f aca="false">H382*(1+IF(I$3&lt;=$O$2,$D382,$D382-($D382-$I$373)*MIN(I$3-$O$2,$Q$2)/$Q$2))</f>
        <v>3201.49058188246</v>
      </c>
      <c r="J382" s="15" t="n">
        <f aca="false">I382*(1+IF(J$3&lt;=$O$2,$D382,$D382-($D382-$I$373)*MIN(J$3-$O$2,$Q$2)/$Q$2))</f>
        <v>3334.66458636232</v>
      </c>
      <c r="K382" s="15" t="n">
        <f aca="false">J382*(1+IF(K$3&lt;=$O$2,$D382,$D382-($D382-$I$373)*MIN(K$3-$O$2,$Q$2)/$Q$2))</f>
        <v>3462.29262090923</v>
      </c>
      <c r="L382" s="15" t="n">
        <f aca="false">K382*(1+IF(L$3&lt;=$O$2,$D382,$D382-($D382-$I$373)*MIN(L$3-$O$2,$Q$2)/$Q$2))</f>
        <v>3583.29542014424</v>
      </c>
      <c r="M382" s="15" t="n">
        <f aca="false">L382*(1+IF(M$3&lt;=$O$2,$D382,$D382-($D382-$I$373)*MIN(M$3-$O$2,$Q$2)/$Q$2))</f>
        <v>3696.61489824666</v>
      </c>
      <c r="N382" s="15" t="n">
        <f aca="false">M382*(1+IF(N$3&lt;=$O$2,$D382,$D382-($D382-$I$373)*MIN(N$3-$O$2,$Q$2)/$Q$2))</f>
        <v>3801.22909986704</v>
      </c>
      <c r="O382" s="15" t="n">
        <f aca="false">SUMPRODUCT(E382:N382,1/(1+$F$373)^$E$3:$N$3)*$E$2</f>
        <v>3982.53777877777</v>
      </c>
      <c r="P382" s="15" t="n">
        <f aca="false">N382*$E$2*(1+$I$373)/($F$373-$I$373)/(1+$F$373)^$N$3</f>
        <v>4818.25810533979</v>
      </c>
      <c r="Q382" s="15" t="n">
        <f aca="false">O382+P382</f>
        <v>8800.79588411757</v>
      </c>
      <c r="R382" s="15" t="n">
        <f aca="false">Q382-$G$2+$I$2</f>
        <v>7424.59588411757</v>
      </c>
      <c r="S382" s="42" t="n">
        <f aca="false">R382/$K$2</f>
        <v>197.936440525662</v>
      </c>
      <c r="T382" s="43" t="n">
        <f aca="false">S382-$M$2</f>
        <v>-6.5423651261645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0.044921875</v>
      </c>
      <c r="C383" s="25" t="n">
        <f aca="false">IF(T382&gt;0,D382,C382)</f>
        <v>0.05078125</v>
      </c>
      <c r="D383" s="41" t="n">
        <f aca="false">(B383+C383)/2</f>
        <v>0.0478515625</v>
      </c>
      <c r="E383" s="15" t="n">
        <f aca="false">$C$2*(1+IF(E$3&lt;=$O$2,$D383,$D383-($D383-$I$373)*MIN(E$3-$O$2,$Q$2)/$Q$2))</f>
        <v>2692.978515625</v>
      </c>
      <c r="F383" s="15" t="n">
        <f aca="false">E383*(1+IF(F$3&lt;=$O$2,$D383,$D383-($D383-$I$373)*MIN(F$3-$O$2,$Q$2)/$Q$2))</f>
        <v>2821.84174537659</v>
      </c>
      <c r="G383" s="15" t="n">
        <f aca="false">F383*(1+IF(G$3&lt;=$O$2,$D383,$D383-($D383-$I$373)*MIN(G$3-$O$2,$Q$2)/$Q$2))</f>
        <v>2956.87128202058</v>
      </c>
      <c r="H383" s="15" t="n">
        <f aca="false">G383*(1+IF(H$3&lt;=$O$2,$D383,$D383-($D383-$I$373)*MIN(H$3-$O$2,$Q$2)/$Q$2))</f>
        <v>3098.36219297665</v>
      </c>
      <c r="I383" s="15" t="n">
        <f aca="false">H383*(1+IF(I$3&lt;=$O$2,$D383,$D383-($D383-$I$373)*MIN(I$3-$O$2,$Q$2)/$Q$2))</f>
        <v>3246.62366510151</v>
      </c>
      <c r="J383" s="15" t="n">
        <f aca="false">I383*(1+IF(J$3&lt;=$O$2,$D383,$D383-($D383-$I$373)*MIN(J$3-$O$2,$Q$2)/$Q$2))</f>
        <v>3389.28436722565</v>
      </c>
      <c r="K383" s="15" t="n">
        <f aca="false">J383*(1+IF(K$3&lt;=$O$2,$D383,$D383-($D383-$I$373)*MIN(K$3-$O$2,$Q$2)/$Q$2))</f>
        <v>3524.96059789978</v>
      </c>
      <c r="L383" s="15" t="n">
        <f aca="false">K383*(1+IF(L$3&lt;=$O$2,$D383,$D383-($D383-$I$373)*MIN(L$3-$O$2,$Q$2)/$Q$2))</f>
        <v>3652.2843777963</v>
      </c>
      <c r="M383" s="15" t="n">
        <f aca="false">L383*(1+IF(M$3&lt;=$O$2,$D383,$D383-($D383-$I$373)*MIN(M$3-$O$2,$Q$2)/$Q$2))</f>
        <v>3769.92559894399</v>
      </c>
      <c r="N383" s="15" t="n">
        <f aca="false">M383*(1+IF(N$3&lt;=$O$2,$D383,$D383-($D383-$I$373)*MIN(N$3-$O$2,$Q$2)/$Q$2))</f>
        <v>3876.6144933941</v>
      </c>
      <c r="O383" s="15" t="n">
        <f aca="false">SUMPRODUCT(E383:N383,1/(1+$F$373)^$E$3:$N$3)*$E$2</f>
        <v>4033.24053434911</v>
      </c>
      <c r="P383" s="15" t="n">
        <f aca="false">N383*$E$2*(1+$I$373)/($F$373-$I$373)/(1+$F$373)^$N$3</f>
        <v>4913.81306239268</v>
      </c>
      <c r="Q383" s="15" t="n">
        <f aca="false">O383+P383</f>
        <v>8947.0535967418</v>
      </c>
      <c r="R383" s="15" t="n">
        <f aca="false">Q383-$G$2+$I$2</f>
        <v>7570.8535967418</v>
      </c>
      <c r="S383" s="42" t="n">
        <f aca="false">R383/$K$2</f>
        <v>201.83560641807</v>
      </c>
      <c r="T383" s="43" t="n">
        <f aca="false">S383-$M$2</f>
        <v>-2.64319923375632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0.0478515625</v>
      </c>
      <c r="C384" s="25" t="n">
        <f aca="false">IF(T383&gt;0,D383,C383)</f>
        <v>0.05078125</v>
      </c>
      <c r="D384" s="41" t="n">
        <f aca="false">(B384+C384)/2</f>
        <v>0.04931640625</v>
      </c>
      <c r="E384" s="15" t="n">
        <f aca="false">$C$2*(1+IF(E$3&lt;=$O$2,$D384,$D384-($D384-$I$373)*MIN(E$3-$O$2,$Q$2)/$Q$2))</f>
        <v>2696.7431640625</v>
      </c>
      <c r="F384" s="15" t="n">
        <f aca="false">E384*(1+IF(F$3&lt;=$O$2,$D384,$D384-($D384-$I$373)*MIN(F$3-$O$2,$Q$2)/$Q$2))</f>
        <v>2829.73684549332</v>
      </c>
      <c r="G384" s="15" t="n">
        <f aca="false">F384*(1+IF(G$3&lt;=$O$2,$D384,$D384-($D384-$I$373)*MIN(G$3-$O$2,$Q$2)/$Q$2))</f>
        <v>2969.28929734626</v>
      </c>
      <c r="H384" s="15" t="n">
        <f aca="false">G384*(1+IF(H$3&lt;=$O$2,$D384,$D384-($D384-$I$373)*MIN(H$3-$O$2,$Q$2)/$Q$2))</f>
        <v>3115.72397460796</v>
      </c>
      <c r="I384" s="15" t="n">
        <f aca="false">H384*(1+IF(I$3&lt;=$O$2,$D384,$D384-($D384-$I$373)*MIN(I$3-$O$2,$Q$2)/$Q$2))</f>
        <v>3269.3802839026</v>
      </c>
      <c r="J384" s="15" t="n">
        <f aca="false">I384*(1+IF(J$3&lt;=$O$2,$D384,$D384-($D384-$I$373)*MIN(J$3-$O$2,$Q$2)/$Q$2))</f>
        <v>3416.87224532283</v>
      </c>
      <c r="K384" s="15" t="n">
        <f aca="false">J384*(1+IF(K$3&lt;=$O$2,$D384,$D384-($D384-$I$373)*MIN(K$3-$O$2,$Q$2)/$Q$2))</f>
        <v>3556.6559549927</v>
      </c>
      <c r="L384" s="15" t="n">
        <f aca="false">K384*(1+IF(L$3&lt;=$O$2,$D384,$D384-($D384-$I$373)*MIN(L$3-$O$2,$Q$2)/$Q$2))</f>
        <v>3687.20856909563</v>
      </c>
      <c r="M384" s="15" t="n">
        <f aca="false">L384*(1+IF(M$3&lt;=$O$2,$D384,$D384-($D384-$I$373)*MIN(M$3-$O$2,$Q$2)/$Q$2))</f>
        <v>3807.05494624436</v>
      </c>
      <c r="N384" s="15" t="n">
        <f aca="false">M384*(1+IF(N$3&lt;=$O$2,$D384,$D384-($D384-$I$373)*MIN(N$3-$O$2,$Q$2)/$Q$2))</f>
        <v>3914.79460122307</v>
      </c>
      <c r="O384" s="15" t="n">
        <f aca="false">SUMPRODUCT(E384:N384,1/(1+$F$373)^$E$3:$N$3)*$E$2</f>
        <v>4058.83627552771</v>
      </c>
      <c r="P384" s="15" t="n">
        <f aca="false">N384*$E$2*(1+$I$373)/($F$373-$I$373)/(1+$F$373)^$N$3</f>
        <v>4962.20836011787</v>
      </c>
      <c r="Q384" s="15" t="n">
        <f aca="false">O384+P384</f>
        <v>9021.04463564558</v>
      </c>
      <c r="R384" s="15" t="n">
        <f aca="false">Q384-$G$2+$I$2</f>
        <v>7644.84463564558</v>
      </c>
      <c r="S384" s="42" t="n">
        <f aca="false">R384/$K$2</f>
        <v>203.80817477061</v>
      </c>
      <c r="T384" s="43" t="n">
        <f aca="false">S384-$M$2</f>
        <v>-0.670630881216084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0.04931640625</v>
      </c>
      <c r="C385" s="25" t="n">
        <f aca="false">IF(T384&gt;0,D384,C384)</f>
        <v>0.05078125</v>
      </c>
      <c r="D385" s="41" t="n">
        <f aca="false">(B385+C385)/2</f>
        <v>0.050048828125</v>
      </c>
      <c r="E385" s="15" t="n">
        <f aca="false">$C$2*(1+IF(E$3&lt;=$O$2,$D385,$D385-($D385-$I$373)*MIN(E$3-$O$2,$Q$2)/$Q$2))</f>
        <v>2698.62548828125</v>
      </c>
      <c r="F385" s="15" t="n">
        <f aca="false">E385*(1+IF(F$3&lt;=$O$2,$D385,$D385-($D385-$I$373)*MIN(F$3-$O$2,$Q$2)/$Q$2))</f>
        <v>2833.68853151798</v>
      </c>
      <c r="G385" s="15" t="n">
        <f aca="false">F385*(1+IF(G$3&lt;=$O$2,$D385,$D385-($D385-$I$373)*MIN(G$3-$O$2,$Q$2)/$Q$2))</f>
        <v>2975.51132179171</v>
      </c>
      <c r="H385" s="15" t="n">
        <f aca="false">G385*(1+IF(H$3&lt;=$O$2,$D385,$D385-($D385-$I$373)*MIN(H$3-$O$2,$Q$2)/$Q$2))</f>
        <v>3124.43217652005</v>
      </c>
      <c r="I385" s="15" t="n">
        <f aca="false">H385*(1+IF(I$3&lt;=$O$2,$D385,$D385-($D385-$I$373)*MIN(I$3-$O$2,$Q$2)/$Q$2))</f>
        <v>3280.80634551093</v>
      </c>
      <c r="J385" s="15" t="n">
        <f aca="false">I385*(1+IF(J$3&lt;=$O$2,$D385,$D385-($D385-$I$373)*MIN(J$3-$O$2,$Q$2)/$Q$2))</f>
        <v>3430.73611974483</v>
      </c>
      <c r="K385" s="15" t="n">
        <f aca="false">J385*(1+IF(K$3&lt;=$O$2,$D385,$D385-($D385-$I$373)*MIN(K$3-$O$2,$Q$2)/$Q$2))</f>
        <v>3572.59464605994</v>
      </c>
      <c r="L385" s="15" t="n">
        <f aca="false">K385*(1+IF(L$3&lt;=$O$2,$D385,$D385-($D385-$I$373)*MIN(L$3-$O$2,$Q$2)/$Q$2))</f>
        <v>3704.77897331042</v>
      </c>
      <c r="M385" s="15" t="n">
        <f aca="false">L385*(1+IF(M$3&lt;=$O$2,$D385,$D385-($D385-$I$373)*MIN(M$3-$O$2,$Q$2)/$Q$2))</f>
        <v>3825.73913848143</v>
      </c>
      <c r="N385" s="15" t="n">
        <f aca="false">M385*(1+IF(N$3&lt;=$O$2,$D385,$D385-($D385-$I$373)*MIN(N$3-$O$2,$Q$2)/$Q$2))</f>
        <v>3934.00755610046</v>
      </c>
      <c r="O385" s="15" t="n">
        <f aca="false">SUMPRODUCT(E385:N385,1/(1+$F$373)^$E$3:$N$3)*$E$2</f>
        <v>4071.69566592622</v>
      </c>
      <c r="P385" s="15" t="n">
        <f aca="false">N385*$E$2*(1+$I$373)/($F$373-$I$373)/(1+$F$373)^$N$3</f>
        <v>4986.56179242447</v>
      </c>
      <c r="Q385" s="15" t="n">
        <f aca="false">O385+P385</f>
        <v>9058.25745835069</v>
      </c>
      <c r="R385" s="15" t="n">
        <f aca="false">Q385-$G$2+$I$2</f>
        <v>7682.05745835069</v>
      </c>
      <c r="S385" s="42" t="n">
        <f aca="false">R385/$K$2</f>
        <v>204.800252155444</v>
      </c>
      <c r="T385" s="43" t="n">
        <f aca="false">S385-$M$2</f>
        <v>0.321446503617409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0.04931640625</v>
      </c>
      <c r="C386" s="25" t="n">
        <f aca="false">IF(T385&gt;0,D385,C385)</f>
        <v>0.050048828125</v>
      </c>
      <c r="D386" s="41" t="n">
        <f aca="false">(B386+C386)/2</f>
        <v>0.0496826171875</v>
      </c>
      <c r="E386" s="15" t="n">
        <f aca="false">$C$2*(1+IF(E$3&lt;=$O$2,$D386,$D386-($D386-$I$373)*MIN(E$3-$O$2,$Q$2)/$Q$2))</f>
        <v>2697.68432617188</v>
      </c>
      <c r="F386" s="15" t="n">
        <f aca="false">E386*(1+IF(F$3&lt;=$O$2,$D386,$D386-($D386-$I$373)*MIN(F$3-$O$2,$Q$2)/$Q$2))</f>
        <v>2831.71234384179</v>
      </c>
      <c r="G386" s="15" t="n">
        <f aca="false">F386*(1+IF(G$3&lt;=$O$2,$D386,$D386-($D386-$I$373)*MIN(G$3-$O$2,$Q$2)/$Q$2))</f>
        <v>2972.399224206</v>
      </c>
      <c r="H386" s="15" t="n">
        <f aca="false">G386*(1+IF(H$3&lt;=$O$2,$D386,$D386-($D386-$I$373)*MIN(H$3-$O$2,$Q$2)/$Q$2))</f>
        <v>3120.07579699065</v>
      </c>
      <c r="I386" s="15" t="n">
        <f aca="false">H386*(1+IF(I$3&lt;=$O$2,$D386,$D386-($D386-$I$373)*MIN(I$3-$O$2,$Q$2)/$Q$2))</f>
        <v>3275.08932840852</v>
      </c>
      <c r="J386" s="15" t="n">
        <f aca="false">I386*(1+IF(J$3&lt;=$O$2,$D386,$D386-($D386-$I$373)*MIN(J$3-$O$2,$Q$2)/$Q$2))</f>
        <v>3423.79834149386</v>
      </c>
      <c r="K386" s="15" t="n">
        <f aca="false">J386*(1+IF(K$3&lt;=$O$2,$D386,$D386-($D386-$I$373)*MIN(K$3-$O$2,$Q$2)/$Q$2))</f>
        <v>3564.61769611616</v>
      </c>
      <c r="L386" s="15" t="n">
        <f aca="false">K386*(1+IF(L$3&lt;=$O$2,$D386,$D386-($D386-$I$373)*MIN(L$3-$O$2,$Q$2)/$Q$2))</f>
        <v>3695.98471916258</v>
      </c>
      <c r="M386" s="15" t="n">
        <f aca="false">L386*(1+IF(M$3&lt;=$O$2,$D386,$D386-($D386-$I$373)*MIN(M$3-$O$2,$Q$2)/$Q$2))</f>
        <v>3816.38705199102</v>
      </c>
      <c r="N386" s="15" t="n">
        <f aca="false">M386*(1+IF(N$3&lt;=$O$2,$D386,$D386-($D386-$I$373)*MIN(N$3-$O$2,$Q$2)/$Q$2))</f>
        <v>3924.39080556237</v>
      </c>
      <c r="O386" s="15" t="n">
        <f aca="false">SUMPRODUCT(E386:N386,1/(1+$F$373)^$E$3:$N$3)*$E$2</f>
        <v>4065.26083125525</v>
      </c>
      <c r="P386" s="15" t="n">
        <f aca="false">N386*$E$2*(1+$I$373)/($F$373-$I$373)/(1+$F$373)^$N$3</f>
        <v>4974.37205457657</v>
      </c>
      <c r="Q386" s="15" t="n">
        <f aca="false">O386+P386</f>
        <v>9039.63288583181</v>
      </c>
      <c r="R386" s="15" t="n">
        <f aca="false">Q386-$G$2+$I$2</f>
        <v>7663.43288583181</v>
      </c>
      <c r="S386" s="42" t="n">
        <f aca="false">R386/$K$2</f>
        <v>204.30372929437</v>
      </c>
      <c r="T386" s="43" t="n">
        <f aca="false">S386-$M$2</f>
        <v>-0.175076357456248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0.0496826171875</v>
      </c>
      <c r="C387" s="25" t="n">
        <f aca="false">IF(T386&gt;0,D386,C386)</f>
        <v>0.050048828125</v>
      </c>
      <c r="D387" s="41" t="n">
        <f aca="false">(B387+C387)/2</f>
        <v>0.04986572265625</v>
      </c>
      <c r="E387" s="15" t="n">
        <f aca="false">$C$2*(1+IF(E$3&lt;=$O$2,$D387,$D387-($D387-$I$373)*MIN(E$3-$O$2,$Q$2)/$Q$2))</f>
        <v>2698.15490722656</v>
      </c>
      <c r="F387" s="15" t="n">
        <f aca="false">E387*(1+IF(F$3&lt;=$O$2,$D387,$D387-($D387-$I$373)*MIN(F$3-$O$2,$Q$2)/$Q$2))</f>
        <v>2832.70035151392</v>
      </c>
      <c r="G387" s="15" t="n">
        <f aca="false">F387*(1+IF(G$3&lt;=$O$2,$D387,$D387-($D387-$I$373)*MIN(G$3-$O$2,$Q$2)/$Q$2))</f>
        <v>2973.95500161078</v>
      </c>
      <c r="H387" s="15" t="n">
        <f aca="false">G387*(1+IF(H$3&lt;=$O$2,$D387,$D387-($D387-$I$373)*MIN(H$3-$O$2,$Q$2)/$Q$2))</f>
        <v>3122.25341691327</v>
      </c>
      <c r="I387" s="15" t="n">
        <f aca="false">H387*(1+IF(I$3&lt;=$O$2,$D387,$D387-($D387-$I$373)*MIN(I$3-$O$2,$Q$2)/$Q$2))</f>
        <v>3277.94683986359</v>
      </c>
      <c r="J387" s="15" t="n">
        <f aca="false">I387*(1+IF(J$3&lt;=$O$2,$D387,$D387-($D387-$I$373)*MIN(J$3-$O$2,$Q$2)/$Q$2))</f>
        <v>3427.26576937608</v>
      </c>
      <c r="K387" s="15" t="n">
        <f aca="false">J387*(1+IF(K$3&lt;=$O$2,$D387,$D387-($D387-$I$373)*MIN(K$3-$O$2,$Q$2)/$Q$2))</f>
        <v>3568.60426848039</v>
      </c>
      <c r="L387" s="15" t="n">
        <f aca="false">K387*(1+IF(L$3&lt;=$O$2,$D387,$D387-($D387-$I$373)*MIN(L$3-$O$2,$Q$2)/$Q$2))</f>
        <v>3700.37958124797</v>
      </c>
      <c r="M387" s="15" t="n">
        <f aca="false">L387*(1+IF(M$3&lt;=$O$2,$D387,$D387-($D387-$I$373)*MIN(M$3-$O$2,$Q$2)/$Q$2))</f>
        <v>3821.0605953517</v>
      </c>
      <c r="N387" s="15" t="n">
        <f aca="false">M387*(1+IF(N$3&lt;=$O$2,$D387,$D387-($D387-$I$373)*MIN(N$3-$O$2,$Q$2)/$Q$2))</f>
        <v>3929.19661020015</v>
      </c>
      <c r="O387" s="15" t="n">
        <f aca="false">SUMPRODUCT(E387:N387,1/(1+$F$373)^$E$3:$N$3)*$E$2</f>
        <v>4068.4769627595</v>
      </c>
      <c r="P387" s="15" t="n">
        <f aca="false">N387*$E$2*(1+$I$373)/($F$373-$I$373)/(1+$F$373)^$N$3</f>
        <v>4980.46366508999</v>
      </c>
      <c r="Q387" s="15" t="n">
        <f aca="false">O387+P387</f>
        <v>9048.9406278495</v>
      </c>
      <c r="R387" s="15" t="n">
        <f aca="false">Q387-$G$2+$I$2</f>
        <v>7672.7406278495</v>
      </c>
      <c r="S387" s="42" t="n">
        <f aca="false">R387/$K$2</f>
        <v>204.551869577433</v>
      </c>
      <c r="T387" s="43" t="n">
        <f aca="false">S387-$M$2</f>
        <v>0.0730639256064762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0.0496826171875</v>
      </c>
      <c r="C388" s="25" t="n">
        <f aca="false">IF(T387&gt;0,D387,C387)</f>
        <v>0.04986572265625</v>
      </c>
      <c r="D388" s="41" t="n">
        <f aca="false">(B388+C388)/2</f>
        <v>0.049774169921875</v>
      </c>
      <c r="E388" s="15" t="n">
        <f aca="false">$C$2*(1+IF(E$3&lt;=$O$2,$D388,$D388-($D388-$I$373)*MIN(E$3-$O$2,$Q$2)/$Q$2))</f>
        <v>2697.91961669922</v>
      </c>
      <c r="F388" s="15" t="n">
        <f aca="false">E388*(1+IF(F$3&lt;=$O$2,$D388,$D388-($D388-$I$373)*MIN(F$3-$O$2,$Q$2)/$Q$2))</f>
        <v>2832.20632613637</v>
      </c>
      <c r="G388" s="15" t="n">
        <f aca="false">F388*(1+IF(G$3&lt;=$O$2,$D388,$D388-($D388-$I$373)*MIN(G$3-$O$2,$Q$2)/$Q$2))</f>
        <v>2973.17704506729</v>
      </c>
      <c r="H388" s="15" t="n">
        <f aca="false">G388*(1+IF(H$3&lt;=$O$2,$D388,$D388-($D388-$I$373)*MIN(H$3-$O$2,$Q$2)/$Q$2))</f>
        <v>3121.16446451628</v>
      </c>
      <c r="I388" s="15" t="n">
        <f aca="false">H388*(1+IF(I$3&lt;=$O$2,$D388,$D388-($D388-$I$373)*MIN(I$3-$O$2,$Q$2)/$Q$2))</f>
        <v>3276.51783492723</v>
      </c>
      <c r="J388" s="15" t="n">
        <f aca="false">I388*(1+IF(J$3&lt;=$O$2,$D388,$D388-($D388-$I$373)*MIN(J$3-$O$2,$Q$2)/$Q$2))</f>
        <v>3425.5316902471</v>
      </c>
      <c r="K388" s="15" t="n">
        <f aca="false">J388*(1+IF(K$3&lt;=$O$2,$D388,$D388-($D388-$I$373)*MIN(K$3-$O$2,$Q$2)/$Q$2))</f>
        <v>3566.61050683457</v>
      </c>
      <c r="L388" s="15" t="n">
        <f aca="false">K388*(1+IF(L$3&lt;=$O$2,$D388,$D388-($D388-$I$373)*MIN(L$3-$O$2,$Q$2)/$Q$2))</f>
        <v>3698.18158420556</v>
      </c>
      <c r="M388" s="15" t="n">
        <f aca="false">L388*(1+IF(M$3&lt;=$O$2,$D388,$D388-($D388-$I$373)*MIN(M$3-$O$2,$Q$2)/$Q$2))</f>
        <v>3818.72319898681</v>
      </c>
      <c r="N388" s="15" t="n">
        <f aca="false">M388*(1+IF(N$3&lt;=$O$2,$D388,$D388-($D388-$I$373)*MIN(N$3-$O$2,$Q$2)/$Q$2))</f>
        <v>3926.79306551814</v>
      </c>
      <c r="O388" s="15" t="n">
        <f aca="false">SUMPRODUCT(E388:N388,1/(1+$F$373)^$E$3:$N$3)*$E$2</f>
        <v>4066.86857567003</v>
      </c>
      <c r="P388" s="15" t="n">
        <f aca="false">N388*$E$2*(1+$I$373)/($F$373-$I$373)/(1+$F$373)^$N$3</f>
        <v>4977.41704560419</v>
      </c>
      <c r="Q388" s="15" t="n">
        <f aca="false">O388+P388</f>
        <v>9044.28562127422</v>
      </c>
      <c r="R388" s="15" t="n">
        <f aca="false">Q388-$G$2+$I$2</f>
        <v>7668.08562127422</v>
      </c>
      <c r="S388" s="42" t="n">
        <f aca="false">R388/$K$2</f>
        <v>204.427769162203</v>
      </c>
      <c r="T388" s="43" t="n">
        <f aca="false">S388-$M$2</f>
        <v>-0.0510364896235842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0.049774169921875</v>
      </c>
      <c r="C389" s="25" t="n">
        <f aca="false">IF(T388&gt;0,D388,C388)</f>
        <v>0.04986572265625</v>
      </c>
      <c r="D389" s="41" t="n">
        <f aca="false">(B389+C389)/2</f>
        <v>0.0498199462890625</v>
      </c>
      <c r="E389" s="15" t="n">
        <f aca="false">$C$2*(1+IF(E$3&lt;=$O$2,$D389,$D389-($D389-$I$373)*MIN(E$3-$O$2,$Q$2)/$Q$2))</f>
        <v>2698.03726196289</v>
      </c>
      <c r="F389" s="15" t="n">
        <f aca="false">E389*(1+IF(F$3&lt;=$O$2,$D389,$D389-($D389-$I$373)*MIN(F$3-$O$2,$Q$2)/$Q$2))</f>
        <v>2832.45333343977</v>
      </c>
      <c r="G389" s="15" t="n">
        <f aca="false">F389*(1+IF(G$3&lt;=$O$2,$D389,$D389-($D389-$I$373)*MIN(G$3-$O$2,$Q$2)/$Q$2))</f>
        <v>2973.56600637802</v>
      </c>
      <c r="H389" s="15" t="n">
        <f aca="false">G389*(1+IF(H$3&lt;=$O$2,$D389,$D389-($D389-$I$373)*MIN(H$3-$O$2,$Q$2)/$Q$2))</f>
        <v>3121.70890510275</v>
      </c>
      <c r="I389" s="15" t="n">
        <f aca="false">H389*(1+IF(I$3&lt;=$O$2,$D389,$D389-($D389-$I$373)*MIN(I$3-$O$2,$Q$2)/$Q$2))</f>
        <v>3277.23227508506</v>
      </c>
      <c r="J389" s="15" t="n">
        <f aca="false">I389*(1+IF(J$3&lt;=$O$2,$D389,$D389-($D389-$I$373)*MIN(J$3-$O$2,$Q$2)/$Q$2))</f>
        <v>3426.39863849926</v>
      </c>
      <c r="K389" s="15" t="n">
        <f aca="false">J389*(1+IF(K$3&lt;=$O$2,$D389,$D389-($D389-$I$373)*MIN(K$3-$O$2,$Q$2)/$Q$2))</f>
        <v>3567.60726876804</v>
      </c>
      <c r="L389" s="15" t="n">
        <f aca="false">K389*(1+IF(L$3&lt;=$O$2,$D389,$D389-($D389-$I$373)*MIN(L$3-$O$2,$Q$2)/$Q$2))</f>
        <v>3699.28044119592</v>
      </c>
      <c r="M389" s="15" t="n">
        <f aca="false">L389*(1+IF(M$3&lt;=$O$2,$D389,$D389-($D389-$I$373)*MIN(M$3-$O$2,$Q$2)/$Q$2))</f>
        <v>3819.8917409623</v>
      </c>
      <c r="N389" s="15" t="n">
        <f aca="false">M389*(1+IF(N$3&lt;=$O$2,$D389,$D389-($D389-$I$373)*MIN(N$3-$O$2,$Q$2)/$Q$2))</f>
        <v>3927.99467723154</v>
      </c>
      <c r="O389" s="15" t="n">
        <f aca="false">SUMPRODUCT(E389:N389,1/(1+$F$373)^$E$3:$N$3)*$E$2</f>
        <v>4067.67268886538</v>
      </c>
      <c r="P389" s="15" t="n">
        <f aca="false">N389*$E$2*(1+$I$373)/($F$373-$I$373)/(1+$F$373)^$N$3</f>
        <v>4978.94015174314</v>
      </c>
      <c r="Q389" s="15" t="n">
        <f aca="false">O389+P389</f>
        <v>9046.61284060851</v>
      </c>
      <c r="R389" s="15" t="n">
        <f aca="false">Q389-$G$2+$I$2</f>
        <v>7670.41284060851</v>
      </c>
      <c r="S389" s="42" t="n">
        <f aca="false">R389/$K$2</f>
        <v>204.489811799747</v>
      </c>
      <c r="T389" s="43" t="n">
        <f aca="false">S389-$M$2</f>
        <v>0.0110061479209662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0.049774169921875</v>
      </c>
      <c r="C390" s="25" t="n">
        <f aca="false">IF(T389&gt;0,D389,C389)</f>
        <v>0.0498199462890625</v>
      </c>
      <c r="D390" s="41" t="n">
        <f aca="false">(B390+C390)/2</f>
        <v>0.0497970581054688</v>
      </c>
      <c r="E390" s="15" t="n">
        <f aca="false">$C$2*(1+IF(E$3&lt;=$O$2,$D390,$D390-($D390-$I$373)*MIN(E$3-$O$2,$Q$2)/$Q$2))</f>
        <v>2697.97843933105</v>
      </c>
      <c r="F390" s="15" t="n">
        <f aca="false">E390*(1+IF(F$3&lt;=$O$2,$D390,$D390-($D390-$I$373)*MIN(F$3-$O$2,$Q$2)/$Q$2))</f>
        <v>2832.32982844173</v>
      </c>
      <c r="G390" s="15" t="n">
        <f aca="false">F390*(1+IF(G$3&lt;=$O$2,$D390,$D390-($D390-$I$373)*MIN(G$3-$O$2,$Q$2)/$Q$2))</f>
        <v>2973.37152148249</v>
      </c>
      <c r="H390" s="15" t="n">
        <f aca="false">G390*(1+IF(H$3&lt;=$O$2,$D390,$D390-($D390-$I$373)*MIN(H$3-$O$2,$Q$2)/$Q$2))</f>
        <v>3121.4366759069</v>
      </c>
      <c r="I390" s="15" t="n">
        <f aca="false">H390*(1+IF(I$3&lt;=$O$2,$D390,$D390-($D390-$I$373)*MIN(I$3-$O$2,$Q$2)/$Q$2))</f>
        <v>3276.87503942958</v>
      </c>
      <c r="J390" s="15" t="n">
        <f aca="false">I390*(1+IF(J$3&lt;=$O$2,$D390,$D390-($D390-$I$373)*MIN(J$3-$O$2,$Q$2)/$Q$2))</f>
        <v>3425.96514154702</v>
      </c>
      <c r="K390" s="15" t="n">
        <f aca="false">J390*(1+IF(K$3&lt;=$O$2,$D390,$D390-($D390-$I$373)*MIN(K$3-$O$2,$Q$2)/$Q$2))</f>
        <v>3567.10885808189</v>
      </c>
      <c r="L390" s="15" t="n">
        <f aca="false">K390*(1+IF(L$3&lt;=$O$2,$D390,$D390-($D390-$I$373)*MIN(L$3-$O$2,$Q$2)/$Q$2))</f>
        <v>3698.73097732189</v>
      </c>
      <c r="M390" s="15" t="n">
        <f aca="false">L390*(1+IF(M$3&lt;=$O$2,$D390,$D390-($D390-$I$373)*MIN(M$3-$O$2,$Q$2)/$Q$2))</f>
        <v>3819.3074309273</v>
      </c>
      <c r="N390" s="15" t="n">
        <f aca="false">M390*(1+IF(N$3&lt;=$O$2,$D390,$D390-($D390-$I$373)*MIN(N$3-$O$2,$Q$2)/$Q$2))</f>
        <v>3927.39383122254</v>
      </c>
      <c r="O390" s="15" t="n">
        <f aca="false">SUMPRODUCT(E390:N390,1/(1+$F$373)^$E$3:$N$3)*$E$2</f>
        <v>4067.27061218224</v>
      </c>
      <c r="P390" s="15" t="n">
        <f aca="false">N390*$E$2*(1+$I$373)/($F$373-$I$373)/(1+$F$373)^$N$3</f>
        <v>4978.17854777851</v>
      </c>
      <c r="Q390" s="15" t="n">
        <f aca="false">O390+P390</f>
        <v>9045.44915996075</v>
      </c>
      <c r="R390" s="15" t="n">
        <f aca="false">Q390-$G$2+$I$2</f>
        <v>7669.24915996075</v>
      </c>
      <c r="S390" s="42" t="n">
        <f aca="false">R390/$K$2</f>
        <v>204.458788588663</v>
      </c>
      <c r="T390" s="43" t="n">
        <f aca="false">S390-$M$2</f>
        <v>-0.0200170631631522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0.0497970581054688</v>
      </c>
      <c r="C391" s="25" t="n">
        <f aca="false">IF(T390&gt;0,D390,C390)</f>
        <v>0.0498199462890625</v>
      </c>
      <c r="D391" s="41" t="n">
        <f aca="false">(B391+C391)/2</f>
        <v>0.0498085021972656</v>
      </c>
      <c r="E391" s="15" t="n">
        <f aca="false">$C$2*(1+IF(E$3&lt;=$O$2,$D391,$D391-($D391-$I$373)*MIN(E$3-$O$2,$Q$2)/$Q$2))</f>
        <v>2698.00785064697</v>
      </c>
      <c r="F391" s="15" t="n">
        <f aca="false">E391*(1+IF(F$3&lt;=$O$2,$D391,$D391-($D391-$I$373)*MIN(F$3-$O$2,$Q$2)/$Q$2))</f>
        <v>2832.39158060416</v>
      </c>
      <c r="G391" s="15" t="n">
        <f aca="false">F391*(1+IF(G$3&lt;=$O$2,$D391,$D391-($D391-$I$373)*MIN(G$3-$O$2,$Q$2)/$Q$2))</f>
        <v>2973.4687628702</v>
      </c>
      <c r="H391" s="15" t="n">
        <f aca="false">G391*(1+IF(H$3&lt;=$O$2,$D391,$D391-($D391-$I$373)*MIN(H$3-$O$2,$Q$2)/$Q$2))</f>
        <v>3121.57278827912</v>
      </c>
      <c r="I391" s="15" t="n">
        <f aca="false">H391*(1+IF(I$3&lt;=$O$2,$D391,$D391-($D391-$I$373)*MIN(I$3-$O$2,$Q$2)/$Q$2))</f>
        <v>3277.05365336305</v>
      </c>
      <c r="J391" s="15" t="n">
        <f aca="false">I391*(1+IF(J$3&lt;=$O$2,$D391,$D391-($D391-$I$373)*MIN(J$3-$O$2,$Q$2)/$Q$2))</f>
        <v>3426.18188431636</v>
      </c>
      <c r="K391" s="15" t="n">
        <f aca="false">J391*(1+IF(K$3&lt;=$O$2,$D391,$D391-($D391-$I$373)*MIN(K$3-$O$2,$Q$2)/$Q$2))</f>
        <v>3567.35805599474</v>
      </c>
      <c r="L391" s="15" t="n">
        <f aca="false">K391*(1+IF(L$3&lt;=$O$2,$D391,$D391-($D391-$I$373)*MIN(L$3-$O$2,$Q$2)/$Q$2))</f>
        <v>3699.00570041371</v>
      </c>
      <c r="M391" s="15" t="n">
        <f aca="false">L391*(1+IF(M$3&lt;=$O$2,$D391,$D391-($D391-$I$373)*MIN(M$3-$O$2,$Q$2)/$Q$2))</f>
        <v>3819.59957618243</v>
      </c>
      <c r="N391" s="15" t="n">
        <f aca="false">M391*(1+IF(N$3&lt;=$O$2,$D391,$D391-($D391-$I$373)*MIN(N$3-$O$2,$Q$2)/$Q$2))</f>
        <v>3927.69424418839</v>
      </c>
      <c r="O391" s="15" t="n">
        <f aca="false">SUMPRODUCT(E391:N391,1/(1+$F$373)^$E$3:$N$3)*$E$2</f>
        <v>4067.47164550221</v>
      </c>
      <c r="P391" s="15" t="n">
        <f aca="false">N391*$E$2*(1+$I$373)/($F$373-$I$373)/(1+$F$373)^$N$3</f>
        <v>4978.5593370363</v>
      </c>
      <c r="Q391" s="15" t="n">
        <f aca="false">O391+P391</f>
        <v>9046.03098253851</v>
      </c>
      <c r="R391" s="15" t="n">
        <f aca="false">Q391-$G$2+$I$2</f>
        <v>7669.83098253851</v>
      </c>
      <c r="S391" s="42" t="n">
        <f aca="false">R391/$K$2</f>
        <v>204.474299721101</v>
      </c>
      <c r="T391" s="43" t="n">
        <f aca="false">S391-$M$2</f>
        <v>-0.00450593072480388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0.0498085021972656</v>
      </c>
      <c r="C392" s="25" t="n">
        <f aca="false">IF(T391&gt;0,D391,C391)</f>
        <v>0.0498199462890625</v>
      </c>
      <c r="D392" s="41" t="n">
        <f aca="false">(B392+C392)/2</f>
        <v>0.0498142242431641</v>
      </c>
      <c r="E392" s="15" t="n">
        <f aca="false">$C$2*(1+IF(E$3&lt;=$O$2,$D392,$D392-($D392-$I$373)*MIN(E$3-$O$2,$Q$2)/$Q$2))</f>
        <v>2698.02255630493</v>
      </c>
      <c r="F392" s="15" t="n">
        <f aca="false">E392*(1+IF(F$3&lt;=$O$2,$D392,$D392-($D392-$I$373)*MIN(F$3-$O$2,$Q$2)/$Q$2))</f>
        <v>2832.42245693782</v>
      </c>
      <c r="G392" s="15" t="n">
        <f aca="false">F392*(1+IF(G$3&lt;=$O$2,$D392,$D392-($D392-$I$373)*MIN(G$3-$O$2,$Q$2)/$Q$2))</f>
        <v>2973.51738435909</v>
      </c>
      <c r="H392" s="15" t="n">
        <f aca="false">G392*(1+IF(H$3&lt;=$O$2,$D392,$D392-($D392-$I$373)*MIN(H$3-$O$2,$Q$2)/$Q$2))</f>
        <v>3121.64084613451</v>
      </c>
      <c r="I392" s="15" t="n">
        <f aca="false">H392*(1+IF(I$3&lt;=$O$2,$D392,$D392-($D392-$I$373)*MIN(I$3-$O$2,$Q$2)/$Q$2))</f>
        <v>3277.14296325047</v>
      </c>
      <c r="J392" s="15" t="n">
        <f aca="false">I392*(1+IF(J$3&lt;=$O$2,$D392,$D392-($D392-$I$373)*MIN(J$3-$O$2,$Q$2)/$Q$2))</f>
        <v>3426.29025998108</v>
      </c>
      <c r="K392" s="15" t="n">
        <f aca="false">J392*(1+IF(K$3&lt;=$O$2,$D392,$D392-($D392-$I$373)*MIN(K$3-$O$2,$Q$2)/$Q$2))</f>
        <v>3567.48266052379</v>
      </c>
      <c r="L392" s="15" t="n">
        <f aca="false">K392*(1+IF(L$3&lt;=$O$2,$D392,$D392-($D392-$I$373)*MIN(L$3-$O$2,$Q$2)/$Q$2))</f>
        <v>3699.14306859345</v>
      </c>
      <c r="M392" s="15" t="n">
        <f aca="false">L392*(1+IF(M$3&lt;=$O$2,$D392,$D392-($D392-$I$373)*MIN(M$3-$O$2,$Q$2)/$Q$2))</f>
        <v>3819.7456561317</v>
      </c>
      <c r="N392" s="15" t="n">
        <f aca="false">M392*(1+IF(N$3&lt;=$O$2,$D392,$D392-($D392-$I$373)*MIN(N$3-$O$2,$Q$2)/$Q$2))</f>
        <v>3927.84445820023</v>
      </c>
      <c r="O392" s="15" t="n">
        <f aca="false">SUMPRODUCT(E392:N392,1/(1+$F$373)^$E$3:$N$3)*$E$2</f>
        <v>4067.57216592836</v>
      </c>
      <c r="P392" s="15" t="n">
        <f aca="false">N392*$E$2*(1+$I$373)/($F$373-$I$373)/(1+$F$373)^$N$3</f>
        <v>4978.7497412085</v>
      </c>
      <c r="Q392" s="15" t="n">
        <f aca="false">O392+P392</f>
        <v>9046.32190713686</v>
      </c>
      <c r="R392" s="15" t="n">
        <f aca="false">Q392-$G$2+$I$2</f>
        <v>7670.12190713686</v>
      </c>
      <c r="S392" s="42" t="n">
        <f aca="false">R392/$K$2</f>
        <v>204.482055642145</v>
      </c>
      <c r="T392" s="43" t="n">
        <f aca="false">S392-$M$2</f>
        <v>0.00324999031892048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0.0498085021972656</v>
      </c>
      <c r="C393" s="25" t="n">
        <f aca="false">IF(T392&gt;0,D392,C392)</f>
        <v>0.0498142242431641</v>
      </c>
      <c r="D393" s="41" t="n">
        <f aca="false">(B393+C393)/2</f>
        <v>0.0498113632202148</v>
      </c>
      <c r="E393" s="15" t="n">
        <f aca="false">$C$2*(1+IF(E$3&lt;=$O$2,$D393,$D393-($D393-$I$373)*MIN(E$3-$O$2,$Q$2)/$Q$2))</f>
        <v>2698.01520347595</v>
      </c>
      <c r="F393" s="15" t="n">
        <f aca="false">E393*(1+IF(F$3&lt;=$O$2,$D393,$D393-($D393-$I$373)*MIN(F$3-$O$2,$Q$2)/$Q$2))</f>
        <v>2832.40701874995</v>
      </c>
      <c r="G393" s="15" t="n">
        <f aca="false">F393*(1+IF(G$3&lt;=$O$2,$D393,$D393-($D393-$I$373)*MIN(G$3-$O$2,$Q$2)/$Q$2))</f>
        <v>2973.49307354839</v>
      </c>
      <c r="H393" s="15" t="n">
        <f aca="false">G393*(1+IF(H$3&lt;=$O$2,$D393,$D393-($D393-$I$373)*MIN(H$3-$O$2,$Q$2)/$Q$2))</f>
        <v>3121.60681706771</v>
      </c>
      <c r="I393" s="15" t="n">
        <f aca="false">H393*(1+IF(I$3&lt;=$O$2,$D393,$D393-($D393-$I$373)*MIN(I$3-$O$2,$Q$2)/$Q$2))</f>
        <v>3277.09830806337</v>
      </c>
      <c r="J393" s="15" t="n">
        <f aca="false">I393*(1+IF(J$3&lt;=$O$2,$D393,$D393-($D393-$I$373)*MIN(J$3-$O$2,$Q$2)/$Q$2))</f>
        <v>3426.23607179204</v>
      </c>
      <c r="K393" s="15" t="n">
        <f aca="false">J393*(1+IF(K$3&lt;=$O$2,$D393,$D393-($D393-$I$373)*MIN(K$3-$O$2,$Q$2)/$Q$2))</f>
        <v>3567.42035779487</v>
      </c>
      <c r="L393" s="15" t="n">
        <f aca="false">K393*(1+IF(L$3&lt;=$O$2,$D393,$D393-($D393-$I$373)*MIN(L$3-$O$2,$Q$2)/$Q$2))</f>
        <v>3699.07438395075</v>
      </c>
      <c r="M393" s="15" t="n">
        <f aca="false">L393*(1+IF(M$3&lt;=$O$2,$D393,$D393-($D393-$I$373)*MIN(M$3-$O$2,$Q$2)/$Q$2))</f>
        <v>3819.67261554691</v>
      </c>
      <c r="N393" s="15" t="n">
        <f aca="false">M393*(1+IF(N$3&lt;=$O$2,$D393,$D393-($D393-$I$373)*MIN(N$3-$O$2,$Q$2)/$Q$2))</f>
        <v>3927.76935056688</v>
      </c>
      <c r="O393" s="15" t="n">
        <f aca="false">SUMPRODUCT(E393:N393,1/(1+$F$373)^$E$3:$N$3)*$E$2</f>
        <v>4067.52190540143</v>
      </c>
      <c r="P393" s="15" t="n">
        <f aca="false">N393*$E$2*(1+$I$373)/($F$373-$I$373)/(1+$F$373)^$N$3</f>
        <v>4978.65453832711</v>
      </c>
      <c r="Q393" s="15" t="n">
        <f aca="false">O393+P393</f>
        <v>9046.17644372854</v>
      </c>
      <c r="R393" s="15" t="n">
        <f aca="false">Q393-$G$2+$I$2</f>
        <v>7669.97644372854</v>
      </c>
      <c r="S393" s="42" t="n">
        <f aca="false">R393/$K$2</f>
        <v>204.478177652054</v>
      </c>
      <c r="T393" s="43" t="n">
        <f aca="false">S393-$M$2</f>
        <v>-0.000627999772262911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0.0498113632202148</v>
      </c>
      <c r="C394" s="25" t="n">
        <f aca="false">IF(T393&gt;0,D393,C393)</f>
        <v>0.0498142242431641</v>
      </c>
      <c r="D394" s="41" t="n">
        <f aca="false">(B394+C394)/2</f>
        <v>0.0498127937316895</v>
      </c>
      <c r="E394" s="15" t="n">
        <f aca="false">$C$2*(1+IF(E$3&lt;=$O$2,$D394,$D394-($D394-$I$373)*MIN(E$3-$O$2,$Q$2)/$Q$2))</f>
        <v>2698.01887989044</v>
      </c>
      <c r="F394" s="15" t="n">
        <f aca="false">E394*(1+IF(F$3&lt;=$O$2,$D394,$D394-($D394-$I$373)*MIN(F$3-$O$2,$Q$2)/$Q$2))</f>
        <v>2832.41473783863</v>
      </c>
      <c r="G394" s="15" t="n">
        <f aca="false">F394*(1+IF(G$3&lt;=$O$2,$D394,$D394-($D394-$I$373)*MIN(G$3-$O$2,$Q$2)/$Q$2))</f>
        <v>2973.50522893718</v>
      </c>
      <c r="H394" s="15" t="n">
        <f aca="false">G394*(1+IF(H$3&lt;=$O$2,$D394,$D394-($D394-$I$373)*MIN(H$3-$O$2,$Q$2)/$Q$2))</f>
        <v>3121.62383156633</v>
      </c>
      <c r="I394" s="15" t="n">
        <f aca="false">H394*(1+IF(I$3&lt;=$O$2,$D394,$D394-($D394-$I$373)*MIN(I$3-$O$2,$Q$2)/$Q$2))</f>
        <v>3277.12063559607</v>
      </c>
      <c r="J394" s="15" t="n">
        <f aca="false">I394*(1+IF(J$3&lt;=$O$2,$D394,$D394-($D394-$I$373)*MIN(J$3-$O$2,$Q$2)/$Q$2))</f>
        <v>3426.26316579739</v>
      </c>
      <c r="K394" s="15" t="n">
        <f aca="false">J394*(1+IF(K$3&lt;=$O$2,$D394,$D394-($D394-$I$373)*MIN(K$3-$O$2,$Q$2)/$Q$2))</f>
        <v>3567.45150904323</v>
      </c>
      <c r="L394" s="15" t="n">
        <f aca="false">K394*(1+IF(L$3&lt;=$O$2,$D394,$D394-($D394-$I$373)*MIN(L$3-$O$2,$Q$2)/$Q$2))</f>
        <v>3699.10872613389</v>
      </c>
      <c r="M394" s="15" t="n">
        <f aca="false">L394*(1+IF(M$3&lt;=$O$2,$D394,$D394-($D394-$I$373)*MIN(M$3-$O$2,$Q$2)/$Q$2))</f>
        <v>3819.70913568676</v>
      </c>
      <c r="N394" s="15" t="n">
        <f aca="false">M394*(1+IF(N$3&lt;=$O$2,$D394,$D394-($D394-$I$373)*MIN(N$3-$O$2,$Q$2)/$Q$2))</f>
        <v>3927.8069042267</v>
      </c>
      <c r="O394" s="15" t="n">
        <f aca="false">SUMPRODUCT(E394:N394,1/(1+$F$373)^$E$3:$N$3)*$E$2</f>
        <v>4067.54703558643</v>
      </c>
      <c r="P394" s="15" t="n">
        <f aca="false">N394*$E$2*(1+$I$373)/($F$373-$I$373)/(1+$F$373)^$N$3</f>
        <v>4978.70213956898</v>
      </c>
      <c r="Q394" s="15" t="n">
        <f aca="false">O394+P394</f>
        <v>9046.24917515541</v>
      </c>
      <c r="R394" s="15" t="n">
        <f aca="false">Q394-$G$2+$I$2</f>
        <v>7670.04917515541</v>
      </c>
      <c r="S394" s="42" t="n">
        <f aca="false">R394/$K$2</f>
        <v>204.480116639707</v>
      </c>
      <c r="T394" s="43" t="n">
        <f aca="false">S394-$M$2</f>
        <v>0.0013109878808848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0.0498113632202148</v>
      </c>
      <c r="C395" s="25" t="n">
        <f aca="false">IF(T394&gt;0,D394,C394)</f>
        <v>0.0498127937316895</v>
      </c>
      <c r="D395" s="41" t="n">
        <f aca="false">(B395+C395)/2</f>
        <v>0.0498120784759522</v>
      </c>
      <c r="E395" s="15" t="n">
        <f aca="false">$C$2*(1+IF(E$3&lt;=$O$2,$D395,$D395-($D395-$I$373)*MIN(E$3-$O$2,$Q$2)/$Q$2))</f>
        <v>2698.0170416832</v>
      </c>
      <c r="F395" s="15" t="n">
        <f aca="false">E395*(1+IF(F$3&lt;=$O$2,$D395,$D395-($D395-$I$373)*MIN(F$3-$O$2,$Q$2)/$Q$2))</f>
        <v>2832.41087829298</v>
      </c>
      <c r="G395" s="15" t="n">
        <f aca="false">F395*(1+IF(G$3&lt;=$O$2,$D395,$D395-($D395-$I$373)*MIN(G$3-$O$2,$Q$2)/$Q$2))</f>
        <v>2973.49915123865</v>
      </c>
      <c r="H395" s="15" t="n">
        <f aca="false">G395*(1+IF(H$3&lt;=$O$2,$D395,$D395-($D395-$I$373)*MIN(H$3-$O$2,$Q$2)/$Q$2))</f>
        <v>3121.61532430832</v>
      </c>
      <c r="I395" s="15" t="n">
        <f aca="false">H395*(1+IF(I$3&lt;=$O$2,$D395,$D395-($D395-$I$373)*MIN(I$3-$O$2,$Q$2)/$Q$2))</f>
        <v>3277.1094718145</v>
      </c>
      <c r="J395" s="15" t="n">
        <f aca="false">I395*(1+IF(J$3&lt;=$O$2,$D395,$D395-($D395-$I$373)*MIN(J$3-$O$2,$Q$2)/$Q$2))</f>
        <v>3426.24961877242</v>
      </c>
      <c r="K395" s="15" t="n">
        <f aca="false">J395*(1+IF(K$3&lt;=$O$2,$D395,$D395-($D395-$I$373)*MIN(K$3-$O$2,$Q$2)/$Q$2))</f>
        <v>3567.43593339002</v>
      </c>
      <c r="L395" s="15" t="n">
        <f aca="false">K395*(1+IF(L$3&lt;=$O$2,$D395,$D395-($D395-$I$373)*MIN(L$3-$O$2,$Q$2)/$Q$2))</f>
        <v>3699.09155500777</v>
      </c>
      <c r="M395" s="15" t="n">
        <f aca="false">L395*(1+IF(M$3&lt;=$O$2,$D395,$D395-($D395-$I$373)*MIN(M$3-$O$2,$Q$2)/$Q$2))</f>
        <v>3819.6908755787</v>
      </c>
      <c r="N395" s="15" t="n">
        <f aca="false">M395*(1+IF(N$3&lt;=$O$2,$D395,$D395-($D395-$I$373)*MIN(N$3-$O$2,$Q$2)/$Q$2))</f>
        <v>3927.78812735758</v>
      </c>
      <c r="O395" s="15" t="n">
        <f aca="false">SUMPRODUCT(E395:N395,1/(1+$F$373)^$E$3:$N$3)*$E$2</f>
        <v>4067.53447047431</v>
      </c>
      <c r="P395" s="15" t="n">
        <f aca="false">N395*$E$2*(1+$I$373)/($F$373-$I$373)/(1+$F$373)^$N$3</f>
        <v>4978.67833889834</v>
      </c>
      <c r="Q395" s="15" t="n">
        <f aca="false">O395+P395</f>
        <v>9046.21280937265</v>
      </c>
      <c r="R395" s="15" t="n">
        <f aca="false">Q395-$G$2+$I$2</f>
        <v>7670.01280937265</v>
      </c>
      <c r="S395" s="42" t="n">
        <f aca="false">R395/$K$2</f>
        <v>204.479147144032</v>
      </c>
      <c r="T395" s="43" t="n">
        <f aca="false">S395-$M$2</f>
        <v>0.000341492206217708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0.0498113632202148</v>
      </c>
      <c r="C396" s="25" t="n">
        <f aca="false">IF(T395&gt;0,D395,C395)</f>
        <v>0.0498120784759522</v>
      </c>
      <c r="D396" s="41" t="n">
        <f aca="false">(B396+C396)/2</f>
        <v>0.0498117208480835</v>
      </c>
      <c r="E396" s="15" t="n">
        <f aca="false">$C$2*(1+IF(E$3&lt;=$O$2,$D396,$D396-($D396-$I$373)*MIN(E$3-$O$2,$Q$2)/$Q$2))</f>
        <v>2698.01612257957</v>
      </c>
      <c r="F396" s="15" t="n">
        <f aca="false">E396*(1+IF(F$3&lt;=$O$2,$D396,$D396-($D396-$I$373)*MIN(F$3-$O$2,$Q$2)/$Q$2))</f>
        <v>2832.40894852114</v>
      </c>
      <c r="G396" s="15" t="n">
        <f aca="false">F396*(1+IF(G$3&lt;=$O$2,$D396,$D396-($D396-$I$373)*MIN(G$3-$O$2,$Q$2)/$Q$2))</f>
        <v>2973.49611239249</v>
      </c>
      <c r="H396" s="15" t="n">
        <f aca="false">G396*(1+IF(H$3&lt;=$O$2,$D396,$D396-($D396-$I$373)*MIN(H$3-$O$2,$Q$2)/$Q$2))</f>
        <v>3121.61107068584</v>
      </c>
      <c r="I396" s="15" t="n">
        <f aca="false">H396*(1+IF(I$3&lt;=$O$2,$D396,$D396-($D396-$I$373)*MIN(I$3-$O$2,$Q$2)/$Q$2))</f>
        <v>3277.10388993513</v>
      </c>
      <c r="J396" s="15" t="n">
        <f aca="false">I396*(1+IF(J$3&lt;=$O$2,$D396,$D396-($D396-$I$373)*MIN(J$3-$O$2,$Q$2)/$Q$2))</f>
        <v>3426.24284527666</v>
      </c>
      <c r="K396" s="15" t="n">
        <f aca="false">J396*(1+IF(K$3&lt;=$O$2,$D396,$D396-($D396-$I$373)*MIN(K$3-$O$2,$Q$2)/$Q$2))</f>
        <v>3567.42814558519</v>
      </c>
      <c r="L396" s="15" t="n">
        <f aca="false">K396*(1+IF(L$3&lt;=$O$2,$D396,$D396-($D396-$I$373)*MIN(L$3-$O$2,$Q$2)/$Q$2))</f>
        <v>3699.08296947062</v>
      </c>
      <c r="M396" s="15" t="n">
        <f aca="false">L396*(1+IF(M$3&lt;=$O$2,$D396,$D396-($D396-$I$373)*MIN(M$3-$O$2,$Q$2)/$Q$2))</f>
        <v>3819.68174555327</v>
      </c>
      <c r="N396" s="15" t="n">
        <f aca="false">M396*(1+IF(N$3&lt;=$O$2,$D396,$D396-($D396-$I$373)*MIN(N$3-$O$2,$Q$2)/$Q$2))</f>
        <v>3927.77873895243</v>
      </c>
      <c r="O396" s="15" t="n">
        <f aca="false">SUMPRODUCT(E396:N396,1/(1+$F$373)^$E$3:$N$3)*$E$2</f>
        <v>4067.52818793297</v>
      </c>
      <c r="P396" s="15" t="n">
        <f aca="false">N396*$E$2*(1+$I$373)/($F$373-$I$373)/(1+$F$373)^$N$3</f>
        <v>4978.66643860029</v>
      </c>
      <c r="Q396" s="15" t="n">
        <f aca="false">O396+P396</f>
        <v>9046.19462653326</v>
      </c>
      <c r="R396" s="15" t="n">
        <f aca="false">Q396-$G$2+$I$2</f>
        <v>7669.99462653326</v>
      </c>
      <c r="S396" s="42" t="n">
        <f aca="false">R396/$K$2</f>
        <v>204.478662397581</v>
      </c>
      <c r="T396" s="43" t="n">
        <f aca="false">S396-$M$2</f>
        <v>-0.000143254245102753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0.0498117208480835</v>
      </c>
      <c r="C397" s="25" t="n">
        <f aca="false">IF(T396&gt;0,D396,C396)</f>
        <v>0.0498120784759522</v>
      </c>
      <c r="D397" s="41" t="n">
        <f aca="false">(B397+C397)/2</f>
        <v>0.0498118996620178</v>
      </c>
      <c r="E397" s="15" t="n">
        <f aca="false">$C$2*(1+IF(E$3&lt;=$O$2,$D397,$D397-($D397-$I$373)*MIN(E$3-$O$2,$Q$2)/$Q$2))</f>
        <v>2698.01658213139</v>
      </c>
      <c r="F397" s="15" t="n">
        <f aca="false">E397*(1+IF(F$3&lt;=$O$2,$D397,$D397-($D397-$I$373)*MIN(F$3-$O$2,$Q$2)/$Q$2))</f>
        <v>2832.40991340697</v>
      </c>
      <c r="G397" s="15" t="n">
        <f aca="false">F397*(1+IF(G$3&lt;=$O$2,$D397,$D397-($D397-$I$373)*MIN(G$3-$O$2,$Q$2)/$Q$2))</f>
        <v>2973.49763181531</v>
      </c>
      <c r="H397" s="15" t="n">
        <f aca="false">G397*(1+IF(H$3&lt;=$O$2,$D397,$D397-($D397-$I$373)*MIN(H$3-$O$2,$Q$2)/$Q$2))</f>
        <v>3121.61319749654</v>
      </c>
      <c r="I397" s="15" t="n">
        <f aca="false">H397*(1+IF(I$3&lt;=$O$2,$D397,$D397-($D397-$I$373)*MIN(I$3-$O$2,$Q$2)/$Q$2))</f>
        <v>3277.10668087387</v>
      </c>
      <c r="J397" s="15" t="n">
        <f aca="false">I397*(1+IF(J$3&lt;=$O$2,$D397,$D397-($D397-$I$373)*MIN(J$3-$O$2,$Q$2)/$Q$2))</f>
        <v>3426.24623202315</v>
      </c>
      <c r="K397" s="15" t="n">
        <f aca="false">J397*(1+IF(K$3&lt;=$O$2,$D397,$D397-($D397-$I$373)*MIN(K$3-$O$2,$Q$2)/$Q$2))</f>
        <v>3567.43203948579</v>
      </c>
      <c r="L397" s="15" t="n">
        <f aca="false">K397*(1+IF(L$3&lt;=$O$2,$D397,$D397-($D397-$I$373)*MIN(L$3-$O$2,$Q$2)/$Q$2))</f>
        <v>3699.08726223703</v>
      </c>
      <c r="M397" s="15" t="n">
        <f aca="false">L397*(1+IF(M$3&lt;=$O$2,$D397,$D397-($D397-$I$373)*MIN(M$3-$O$2,$Q$2)/$Q$2))</f>
        <v>3819.6863105636</v>
      </c>
      <c r="N397" s="15" t="n">
        <f aca="false">M397*(1+IF(N$3&lt;=$O$2,$D397,$D397-($D397-$I$373)*MIN(N$3-$O$2,$Q$2)/$Q$2))</f>
        <v>3927.78343315255</v>
      </c>
      <c r="O397" s="15" t="n">
        <f aca="false">SUMPRODUCT(E397:N397,1/(1+$F$373)^$E$3:$N$3)*$E$2</f>
        <v>4067.53132920242</v>
      </c>
      <c r="P397" s="15" t="n">
        <f aca="false">N397*$E$2*(1+$I$373)/($F$373-$I$373)/(1+$F$373)^$N$3</f>
        <v>4978.67238874621</v>
      </c>
      <c r="Q397" s="15" t="n">
        <f aca="false">O397+P397</f>
        <v>9046.20371794863</v>
      </c>
      <c r="R397" s="15" t="n">
        <f aca="false">Q397-$G$2+$I$2</f>
        <v>7670.00371794863</v>
      </c>
      <c r="S397" s="42" t="n">
        <f aca="false">R397/$K$2</f>
        <v>204.478904770691</v>
      </c>
      <c r="T397" s="43" t="n">
        <f aca="false">S397-$M$2</f>
        <v>9.91188650800723E-005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0.0498117208480835</v>
      </c>
      <c r="C398" s="25" t="n">
        <f aca="false">IF(T397&gt;0,D397,C397)</f>
        <v>0.0498118996620178</v>
      </c>
      <c r="D398" s="41" t="n">
        <f aca="false">(B398+C398)/2</f>
        <v>0.0498118102550507</v>
      </c>
      <c r="E398" s="15" t="n">
        <f aca="false">$C$2*(1+IF(E$3&lt;=$O$2,$D398,$D398-($D398-$I$373)*MIN(E$3-$O$2,$Q$2)/$Q$2))</f>
        <v>2698.01635235548</v>
      </c>
      <c r="F398" s="15" t="n">
        <f aca="false">E398*(1+IF(F$3&lt;=$O$2,$D398,$D398-($D398-$I$373)*MIN(F$3-$O$2,$Q$2)/$Q$2))</f>
        <v>2832.40943096404</v>
      </c>
      <c r="G398" s="15" t="n">
        <f aca="false">F398*(1+IF(G$3&lt;=$O$2,$D398,$D398-($D398-$I$373)*MIN(G$3-$O$2,$Q$2)/$Q$2))</f>
        <v>2973.49687210383</v>
      </c>
      <c r="H398" s="15" t="n">
        <f aca="false">G398*(1+IF(H$3&lt;=$O$2,$D398,$D398-($D398-$I$373)*MIN(H$3-$O$2,$Q$2)/$Q$2))</f>
        <v>3121.61213409106</v>
      </c>
      <c r="I398" s="15" t="n">
        <f aca="false">H398*(1+IF(I$3&lt;=$O$2,$D398,$D398-($D398-$I$373)*MIN(I$3-$O$2,$Q$2)/$Q$2))</f>
        <v>3277.10528540426</v>
      </c>
      <c r="J398" s="15" t="n">
        <f aca="false">I398*(1+IF(J$3&lt;=$O$2,$D398,$D398-($D398-$I$373)*MIN(J$3-$O$2,$Q$2)/$Q$2))</f>
        <v>3426.24453864956</v>
      </c>
      <c r="K398" s="15" t="n">
        <f aca="false">J398*(1+IF(K$3&lt;=$O$2,$D398,$D398-($D398-$I$373)*MIN(K$3-$O$2,$Q$2)/$Q$2))</f>
        <v>3567.43009253504</v>
      </c>
      <c r="L398" s="15" t="n">
        <f aca="false">K398*(1+IF(L$3&lt;=$O$2,$D398,$D398-($D398-$I$373)*MIN(L$3-$O$2,$Q$2)/$Q$2))</f>
        <v>3699.08511585329</v>
      </c>
      <c r="M398" s="15" t="n">
        <f aca="false">L398*(1+IF(M$3&lt;=$O$2,$D398,$D398-($D398-$I$373)*MIN(M$3-$O$2,$Q$2)/$Q$2))</f>
        <v>3819.68402805784</v>
      </c>
      <c r="N398" s="15" t="n">
        <f aca="false">M398*(1+IF(N$3&lt;=$O$2,$D398,$D398-($D398-$I$373)*MIN(N$3-$O$2,$Q$2)/$Q$2))</f>
        <v>3927.78108605188</v>
      </c>
      <c r="O398" s="15" t="n">
        <f aca="false">SUMPRODUCT(E398:N398,1/(1+$F$373)^$E$3:$N$3)*$E$2</f>
        <v>4067.52975856739</v>
      </c>
      <c r="P398" s="15" t="n">
        <f aca="false">N398*$E$2*(1+$I$373)/($F$373-$I$373)/(1+$F$373)^$N$3</f>
        <v>4978.66941367248</v>
      </c>
      <c r="Q398" s="15" t="n">
        <f aca="false">O398+P398</f>
        <v>9046.19917223986</v>
      </c>
      <c r="R398" s="15" t="n">
        <f aca="false">Q398-$G$2+$I$2</f>
        <v>7669.99917223986</v>
      </c>
      <c r="S398" s="42" t="n">
        <f aca="false">R398/$K$2</f>
        <v>204.478783584107</v>
      </c>
      <c r="T398" s="43" t="n">
        <f aca="false">S398-$M$2</f>
        <v>-2.20677188735863E-005</v>
      </c>
    </row>
    <row r="400" customFormat="false" ht="15" hidden="false" customHeight="false" outlineLevel="0" collapsed="false">
      <c r="A400" s="38" t="s">
        <v>195</v>
      </c>
      <c r="E400" s="5" t="s">
        <v>11</v>
      </c>
      <c r="F400" s="12" t="n">
        <f aca="false">Sensitivity!$B$12</f>
        <v>0.094183337553844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162</v>
      </c>
      <c r="B401" s="28" t="s">
        <v>163</v>
      </c>
      <c r="C401" s="28" t="s">
        <v>164</v>
      </c>
      <c r="D401" s="28" t="s">
        <v>165</v>
      </c>
      <c r="E401" s="28" t="s">
        <v>166</v>
      </c>
      <c r="F401" s="28" t="s">
        <v>167</v>
      </c>
      <c r="G401" s="28" t="s">
        <v>168</v>
      </c>
      <c r="H401" s="28" t="s">
        <v>169</v>
      </c>
      <c r="I401" s="28" t="s">
        <v>170</v>
      </c>
      <c r="J401" s="28" t="s">
        <v>171</v>
      </c>
      <c r="K401" s="28" t="s">
        <v>172</v>
      </c>
      <c r="L401" s="28" t="s">
        <v>173</v>
      </c>
      <c r="M401" s="28" t="s">
        <v>174</v>
      </c>
      <c r="N401" s="28" t="s">
        <v>175</v>
      </c>
      <c r="O401" s="28" t="s">
        <v>176</v>
      </c>
      <c r="P401" s="28" t="s">
        <v>177</v>
      </c>
      <c r="Q401" s="28" t="s">
        <v>178</v>
      </c>
      <c r="R401" s="28" t="s">
        <v>179</v>
      </c>
      <c r="S401" s="28" t="s">
        <v>180</v>
      </c>
      <c r="T401" s="28" t="s">
        <v>181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3212.5</v>
      </c>
      <c r="F402" s="15" t="n">
        <f aca="false">E402*(1+IF(F$3&lt;=$O$2,$D402,$D402-($D402-$I$400)*MIN(F$3-$O$2,$Q$2)/$Q$2))</f>
        <v>4015.625</v>
      </c>
      <c r="G402" s="15" t="n">
        <f aca="false">F402*(1+IF(G$3&lt;=$O$2,$D402,$D402-($D402-$I$400)*MIN(G$3-$O$2,$Q$2)/$Q$2))</f>
        <v>5019.53125</v>
      </c>
      <c r="H402" s="15" t="n">
        <f aca="false">G402*(1+IF(H$3&lt;=$O$2,$D402,$D402-($D402-$I$400)*MIN(H$3-$O$2,$Q$2)/$Q$2))</f>
        <v>6274.4140625</v>
      </c>
      <c r="I402" s="15" t="n">
        <f aca="false">H402*(1+IF(I$3&lt;=$O$2,$D402,$D402-($D402-$I$400)*MIN(I$3-$O$2,$Q$2)/$Q$2))</f>
        <v>7843.017578125</v>
      </c>
      <c r="J402" s="15" t="n">
        <f aca="false">I402*(1+IF(J$3&lt;=$O$2,$D402,$D402-($D402-$I$400)*MIN(J$3-$O$2,$Q$2)/$Q$2))</f>
        <v>9463.85559082031</v>
      </c>
      <c r="K402" s="15" t="n">
        <f aca="false">J402*(1+IF(K$3&lt;=$O$2,$D402,$D402-($D402-$I$400)*MIN(K$3-$O$2,$Q$2)/$Q$2))</f>
        <v>11009.4924859131</v>
      </c>
      <c r="L402" s="15" t="n">
        <f aca="false">K402*(1+IF(L$3&lt;=$O$2,$D402,$D402-($D402-$I$400)*MIN(L$3-$O$2,$Q$2)/$Q$2))</f>
        <v>12330.4113943729</v>
      </c>
      <c r="M402" s="15" t="n">
        <f aca="false">L402*(1+IF(M$3&lt;=$O$2,$D402,$D402-($D402-$I$400)*MIN(M$3-$O$2,$Q$2)/$Q$2))</f>
        <v>13275.4141236377</v>
      </c>
      <c r="N402" s="15" t="n">
        <f aca="false">M402*(1+IF(N$3&lt;=$O$2,$D402,$D402-($D402-$I$400)*MIN(N$3-$O$2,$Q$2)/$Q$2))</f>
        <v>13717.4854139548</v>
      </c>
      <c r="O402" s="15" t="n">
        <f aca="false">SUMPRODUCT(E402:N402,1/(1+$F$400)^$E$3:$N$3)*$E$2</f>
        <v>9660.94907371723</v>
      </c>
      <c r="P402" s="15" t="n">
        <f aca="false">N402*$E$2*(1+$I$400)/($F$400-$I$400)/(1+$F$400)^$N$3</f>
        <v>18907.0710344488</v>
      </c>
      <c r="Q402" s="15" t="n">
        <f aca="false">O402+P402</f>
        <v>28568.0201081661</v>
      </c>
      <c r="R402" s="15" t="n">
        <f aca="false">Q402-$G$2+$I$2</f>
        <v>27191.8201081661</v>
      </c>
      <c r="S402" s="42" t="n">
        <f aca="false">R402/$K$2</f>
        <v>724.921890380327</v>
      </c>
      <c r="T402" s="43" t="n">
        <f aca="false">S402-$M$2</f>
        <v>520.443084728501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2248.75</v>
      </c>
      <c r="F403" s="15" t="n">
        <f aca="false">E403*(1+IF(F$3&lt;=$O$2,$D403,$D403-($D403-$I$400)*MIN(F$3-$O$2,$Q$2)/$Q$2))</f>
        <v>1967.65625</v>
      </c>
      <c r="G403" s="15" t="n">
        <f aca="false">F403*(1+IF(G$3&lt;=$O$2,$D403,$D403-($D403-$I$400)*MIN(G$3-$O$2,$Q$2)/$Q$2))</f>
        <v>1721.69921875</v>
      </c>
      <c r="H403" s="15" t="n">
        <f aca="false">G403*(1+IF(H$3&lt;=$O$2,$D403,$D403-($D403-$I$400)*MIN(H$3-$O$2,$Q$2)/$Q$2))</f>
        <v>1506.48681640625</v>
      </c>
      <c r="I403" s="15" t="n">
        <f aca="false">H403*(1+IF(I$3&lt;=$O$2,$D403,$D403-($D403-$I$400)*MIN(I$3-$O$2,$Q$2)/$Q$2))</f>
        <v>1318.17596435547</v>
      </c>
      <c r="J403" s="15" t="n">
        <f aca="false">I403*(1+IF(J$3&lt;=$O$2,$D403,$D403-($D403-$I$400)*MIN(J$3-$O$2,$Q$2)/$Q$2))</f>
        <v>1195.13741984253</v>
      </c>
      <c r="K403" s="15" t="n">
        <f aca="false">J403*(1+IF(K$3&lt;=$O$2,$D403,$D403-($D403-$I$400)*MIN(K$3-$O$2,$Q$2)/$Q$2))</f>
        <v>1121.42134378664</v>
      </c>
      <c r="L403" s="15" t="n">
        <f aca="false">K403*(1+IF(L$3&lt;=$O$2,$D403,$D403-($D403-$I$400)*MIN(L$3-$O$2,$Q$2)/$Q$2))</f>
        <v>1087.75627504617</v>
      </c>
      <c r="M403" s="15" t="n">
        <f aca="false">L403*(1+IF(M$3&lt;=$O$2,$D403,$D403-($D403-$I$400)*MIN(M$3-$O$2,$Q$2)/$Q$2))</f>
        <v>1089.54019533724</v>
      </c>
      <c r="N403" s="15" t="n">
        <f aca="false">M403*(1+IF(N$3&lt;=$O$2,$D403,$D403-($D403-$I$400)*MIN(N$3-$O$2,$Q$2)/$Q$2))</f>
        <v>1125.82188384197</v>
      </c>
      <c r="O403" s="15" t="n">
        <f aca="false">SUMPRODUCT(E403:N403,1/(1+$F$400)^$E$3:$N$3)*$E$2</f>
        <v>1931.71577168981</v>
      </c>
      <c r="P403" s="15" t="n">
        <f aca="false">N403*$E$2*(1+$I$400)/($F$400-$I$400)/(1+$F$400)^$N$3</f>
        <v>1551.74171413975</v>
      </c>
      <c r="Q403" s="15" t="n">
        <f aca="false">O403+P403</f>
        <v>3483.45748582955</v>
      </c>
      <c r="R403" s="15" t="n">
        <f aca="false">Q403-$G$2+$I$2</f>
        <v>2107.25748582955</v>
      </c>
      <c r="S403" s="42" t="n">
        <f aca="false">R403/$K$2</f>
        <v>56.1785520082526</v>
      </c>
      <c r="T403" s="43" t="n">
        <f aca="false">S403-$M$2</f>
        <v>-148.300253643574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2730.625</v>
      </c>
      <c r="F404" s="15" t="n">
        <f aca="false">E404*(1+IF(F$3&lt;=$O$2,$D404,$D404-($D404-$I$400)*MIN(F$3-$O$2,$Q$2)/$Q$2))</f>
        <v>2901.2890625</v>
      </c>
      <c r="G404" s="15" t="n">
        <f aca="false">F404*(1+IF(G$3&lt;=$O$2,$D404,$D404-($D404-$I$400)*MIN(G$3-$O$2,$Q$2)/$Q$2))</f>
        <v>3082.61962890625</v>
      </c>
      <c r="H404" s="15" t="n">
        <f aca="false">G404*(1+IF(H$3&lt;=$O$2,$D404,$D404-($D404-$I$400)*MIN(H$3-$O$2,$Q$2)/$Q$2))</f>
        <v>3275.28335571289</v>
      </c>
      <c r="I404" s="15" t="n">
        <f aca="false">H404*(1+IF(I$3&lt;=$O$2,$D404,$D404-($D404-$I$400)*MIN(I$3-$O$2,$Q$2)/$Q$2))</f>
        <v>3479.98856544495</v>
      </c>
      <c r="J404" s="15" t="n">
        <f aca="false">I404*(1+IF(J$3&lt;=$O$2,$D404,$D404-($D404-$I$400)*MIN(J$3-$O$2,$Q$2)/$Q$2))</f>
        <v>3677.16471756306</v>
      </c>
      <c r="K404" s="15" t="n">
        <f aca="false">J404*(1+IF(K$3&lt;=$O$2,$D404,$D404-($D404-$I$400)*MIN(K$3-$O$2,$Q$2)/$Q$2))</f>
        <v>3864.03822850961</v>
      </c>
      <c r="L404" s="15" t="n">
        <f aca="false">K404*(1+IF(L$3&lt;=$O$2,$D404,$D404-($D404-$I$400)*MIN(L$3-$O$2,$Q$2)/$Q$2))</f>
        <v>4037.84266802797</v>
      </c>
      <c r="M404" s="15" t="n">
        <f aca="false">L404*(1+IF(M$3&lt;=$O$2,$D404,$D404-($D404-$I$400)*MIN(M$3-$O$2,$Q$2)/$Q$2))</f>
        <v>4195.88383005459</v>
      </c>
      <c r="N404" s="15" t="n">
        <f aca="false">M404*(1+IF(N$3&lt;=$O$2,$D404,$D404-($D404-$I$400)*MIN(N$3-$O$2,$Q$2)/$Q$2))</f>
        <v>4335.60676159541</v>
      </c>
      <c r="O404" s="15" t="n">
        <f aca="false">SUMPRODUCT(E404:N404,1/(1+$F$400)^$E$3:$N$3)*$E$2</f>
        <v>4309.12717917327</v>
      </c>
      <c r="P404" s="15" t="n">
        <f aca="false">N404*$E$2*(1+$I$400)/($F$400-$I$400)/(1+$F$400)^$N$3</f>
        <v>5975.84925700225</v>
      </c>
      <c r="Q404" s="15" t="n">
        <f aca="false">O404+P404</f>
        <v>10284.9764361755</v>
      </c>
      <c r="R404" s="15" t="n">
        <f aca="false">Q404-$G$2+$I$2</f>
        <v>8908.77643617552</v>
      </c>
      <c r="S404" s="42" t="n">
        <f aca="false">R404/$K$2</f>
        <v>237.504037221422</v>
      </c>
      <c r="T404" s="43" t="n">
        <f aca="false">S404-$M$2</f>
        <v>33.0252315695955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2489.6875</v>
      </c>
      <c r="F405" s="15" t="n">
        <f aca="false">E405*(1+IF(F$3&lt;=$O$2,$D405,$D405-($D405-$I$400)*MIN(F$3-$O$2,$Q$2)/$Q$2))</f>
        <v>2411.884765625</v>
      </c>
      <c r="G405" s="15" t="n">
        <f aca="false">F405*(1+IF(G$3&lt;=$O$2,$D405,$D405-($D405-$I$400)*MIN(G$3-$O$2,$Q$2)/$Q$2))</f>
        <v>2336.51336669922</v>
      </c>
      <c r="H405" s="15" t="n">
        <f aca="false">G405*(1+IF(H$3&lt;=$O$2,$D405,$D405-($D405-$I$400)*MIN(H$3-$O$2,$Q$2)/$Q$2))</f>
        <v>2263.49732398987</v>
      </c>
      <c r="I405" s="15" t="n">
        <f aca="false">H405*(1+IF(I$3&lt;=$O$2,$D405,$D405-($D405-$I$400)*MIN(I$3-$O$2,$Q$2)/$Q$2))</f>
        <v>2192.76303261519</v>
      </c>
      <c r="J405" s="15" t="n">
        <f aca="false">I405*(1+IF(J$3&lt;=$O$2,$D405,$D405-($D405-$I$400)*MIN(J$3-$O$2,$Q$2)/$Q$2))</f>
        <v>2152.54775859702</v>
      </c>
      <c r="K405" s="15" t="n">
        <f aca="false">J405*(1+IF(K$3&lt;=$O$2,$D405,$D405-($D405-$I$400)*MIN(K$3-$O$2,$Q$2)/$Q$2))</f>
        <v>2140.85942426784</v>
      </c>
      <c r="L405" s="15" t="n">
        <f aca="false">K405*(1+IF(L$3&lt;=$O$2,$D405,$D405-($D405-$I$400)*MIN(L$3-$O$2,$Q$2)/$Q$2))</f>
        <v>2156.87305276136</v>
      </c>
      <c r="M405" s="15" t="n">
        <f aca="false">L405*(1+IF(M$3&lt;=$O$2,$D405,$D405-($D405-$I$400)*MIN(M$3-$O$2,$Q$2)/$Q$2))</f>
        <v>2200.85169430717</v>
      </c>
      <c r="N405" s="15" t="n">
        <f aca="false">M405*(1+IF(N$3&lt;=$O$2,$D405,$D405-($D405-$I$400)*MIN(N$3-$O$2,$Q$2)/$Q$2))</f>
        <v>2274.1400557276</v>
      </c>
      <c r="O405" s="15" t="n">
        <f aca="false">SUMPRODUCT(E405:N405,1/(1+$F$400)^$E$3:$N$3)*$E$2</f>
        <v>2876.34857423975</v>
      </c>
      <c r="P405" s="15" t="n">
        <f aca="false">N405*$E$2*(1+$I$400)/($F$400-$I$400)/(1+$F$400)^$N$3</f>
        <v>3134.49048993964</v>
      </c>
      <c r="Q405" s="15" t="n">
        <f aca="false">O405+P405</f>
        <v>6010.83906417939</v>
      </c>
      <c r="R405" s="15" t="n">
        <f aca="false">Q405-$G$2+$I$2</f>
        <v>4634.63906417939</v>
      </c>
      <c r="S405" s="42" t="n">
        <f aca="false">R405/$K$2</f>
        <v>123.557426397744</v>
      </c>
      <c r="T405" s="43" t="n">
        <f aca="false">S405-$M$2</f>
        <v>-80.9213792540817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2610.15625</v>
      </c>
      <c r="F406" s="15" t="n">
        <f aca="false">E406*(1+IF(F$3&lt;=$O$2,$D406,$D406-($D406-$I$400)*MIN(F$3-$O$2,$Q$2)/$Q$2))</f>
        <v>2650.93994140625</v>
      </c>
      <c r="G406" s="15" t="n">
        <f aca="false">F406*(1+IF(G$3&lt;=$O$2,$D406,$D406-($D406-$I$400)*MIN(G$3-$O$2,$Q$2)/$Q$2))</f>
        <v>2692.36087799072</v>
      </c>
      <c r="H406" s="15" t="n">
        <f aca="false">G406*(1+IF(H$3&lt;=$O$2,$D406,$D406-($D406-$I$400)*MIN(H$3-$O$2,$Q$2)/$Q$2))</f>
        <v>2734.42901670933</v>
      </c>
      <c r="I406" s="15" t="n">
        <f aca="false">H406*(1+IF(I$3&lt;=$O$2,$D406,$D406-($D406-$I$400)*MIN(I$3-$O$2,$Q$2)/$Q$2))</f>
        <v>2777.15447009541</v>
      </c>
      <c r="J406" s="15" t="n">
        <f aca="false">I406*(1+IF(J$3&lt;=$O$2,$D406,$D406-($D406-$I$400)*MIN(J$3-$O$2,$Q$2)/$Q$2))</f>
        <v>2830.36474974244</v>
      </c>
      <c r="K406" s="15" t="n">
        <f aca="false">J406*(1+IF(K$3&lt;=$O$2,$D406,$D406-($D406-$I$400)*MIN(K$3-$O$2,$Q$2)/$Q$2))</f>
        <v>2894.59987773784</v>
      </c>
      <c r="L406" s="15" t="n">
        <f aca="false">K406*(1+IF(L$3&lt;=$O$2,$D406,$D406-($D406-$I$400)*MIN(L$3-$O$2,$Q$2)/$Q$2))</f>
        <v>2970.52523253091</v>
      </c>
      <c r="M406" s="15" t="n">
        <f aca="false">L406*(1+IF(M$3&lt;=$O$2,$D406,$D406-($D406-$I$400)*MIN(M$3-$O$2,$Q$2)/$Q$2))</f>
        <v>3058.94291607719</v>
      </c>
      <c r="N406" s="15" t="n">
        <f aca="false">M406*(1+IF(N$3&lt;=$O$2,$D406,$D406-($D406-$I$400)*MIN(N$3-$O$2,$Q$2)/$Q$2))</f>
        <v>3160.80571518256</v>
      </c>
      <c r="O406" s="15" t="n">
        <f aca="false">SUMPRODUCT(E406:N406,1/(1+$F$400)^$E$3:$N$3)*$E$2</f>
        <v>3519.02551008885</v>
      </c>
      <c r="P406" s="15" t="n">
        <f aca="false">N406*$E$2*(1+$I$400)/($F$400-$I$400)/(1+$F$400)^$N$3</f>
        <v>4356.5986315723</v>
      </c>
      <c r="Q406" s="15" t="n">
        <f aca="false">O406+P406</f>
        <v>7875.62414166115</v>
      </c>
      <c r="R406" s="15" t="n">
        <f aca="false">Q406-$G$2+$I$2</f>
        <v>6499.42414166115</v>
      </c>
      <c r="S406" s="42" t="n">
        <f aca="false">R406/$K$2</f>
        <v>173.271771305283</v>
      </c>
      <c r="T406" s="43" t="n">
        <f aca="false">S406-$M$2</f>
        <v>-31.2070343465434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0.015625</v>
      </c>
      <c r="C407" s="25" t="n">
        <f aca="false">IF(T406&gt;0,D406,C406)</f>
        <v>0.0625</v>
      </c>
      <c r="D407" s="41" t="n">
        <f aca="false">(B407+C407)/2</f>
        <v>0.0390625</v>
      </c>
      <c r="E407" s="15" t="n">
        <f aca="false">$C$2*(1+IF(E$3&lt;=$O$2,$D407,$D407-($D407-$I$400)*MIN(E$3-$O$2,$Q$2)/$Q$2))</f>
        <v>2670.390625</v>
      </c>
      <c r="F407" s="15" t="n">
        <f aca="false">E407*(1+IF(F$3&lt;=$O$2,$D407,$D407-($D407-$I$400)*MIN(F$3-$O$2,$Q$2)/$Q$2))</f>
        <v>2774.70275878906</v>
      </c>
      <c r="G407" s="15" t="n">
        <f aca="false">F407*(1+IF(G$3&lt;=$O$2,$D407,$D407-($D407-$I$400)*MIN(G$3-$O$2,$Q$2)/$Q$2))</f>
        <v>2883.08958530426</v>
      </c>
      <c r="H407" s="15" t="n">
        <f aca="false">G407*(1+IF(H$3&lt;=$O$2,$D407,$D407-($D407-$I$400)*MIN(H$3-$O$2,$Q$2)/$Q$2))</f>
        <v>2995.71027223021</v>
      </c>
      <c r="I407" s="15" t="n">
        <f aca="false">H407*(1+IF(I$3&lt;=$O$2,$D407,$D407-($D407-$I$400)*MIN(I$3-$O$2,$Q$2)/$Q$2))</f>
        <v>3112.7302047392</v>
      </c>
      <c r="J407" s="15" t="n">
        <f aca="false">I407*(1+IF(J$3&lt;=$O$2,$D407,$D407-($D407-$I$400)*MIN(J$3-$O$2,$Q$2)/$Q$2))</f>
        <v>3230.73380680086</v>
      </c>
      <c r="K407" s="15" t="n">
        <f aca="false">J407*(1+IF(K$3&lt;=$O$2,$D407,$D407-($D407-$I$400)*MIN(K$3-$O$2,$Q$2)/$Q$2))</f>
        <v>3349.48750470435</v>
      </c>
      <c r="L407" s="15" t="n">
        <f aca="false">K407*(1+IF(L$3&lt;=$O$2,$D407,$D407-($D407-$I$400)*MIN(L$3-$O$2,$Q$2)/$Q$2))</f>
        <v>3468.74600730935</v>
      </c>
      <c r="M407" s="15" t="n">
        <f aca="false">L407*(1+IF(M$3&lt;=$O$2,$D407,$D407-($D407-$I$400)*MIN(M$3-$O$2,$Q$2)/$Q$2))</f>
        <v>3588.25297912617</v>
      </c>
      <c r="N407" s="15" t="n">
        <f aca="false">M407*(1+IF(N$3&lt;=$O$2,$D407,$D407-($D407-$I$400)*MIN(N$3-$O$2,$Q$2)/$Q$2))</f>
        <v>3707.74180333107</v>
      </c>
      <c r="O407" s="15" t="n">
        <f aca="false">SUMPRODUCT(E407:N407,1/(1+$F$400)^$E$3:$N$3)*$E$2</f>
        <v>3893.81094825838</v>
      </c>
      <c r="P407" s="15" t="n">
        <f aca="false">N407*$E$2*(1+$I$400)/($F$400-$I$400)/(1+$F$400)^$N$3</f>
        <v>5110.45104386703</v>
      </c>
      <c r="Q407" s="15" t="n">
        <f aca="false">O407+P407</f>
        <v>9004.26199212541</v>
      </c>
      <c r="R407" s="15" t="n">
        <f aca="false">Q407-$G$2+$I$2</f>
        <v>7628.06199212541</v>
      </c>
      <c r="S407" s="42" t="n">
        <f aca="false">R407/$K$2</f>
        <v>203.360756921498</v>
      </c>
      <c r="T407" s="43" t="n">
        <f aca="false">S407-$M$2</f>
        <v>-1.11804873032764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0.0390625</v>
      </c>
      <c r="C408" s="25" t="n">
        <f aca="false">IF(T407&gt;0,D407,C407)</f>
        <v>0.0625</v>
      </c>
      <c r="D408" s="41" t="n">
        <f aca="false">(B408+C408)/2</f>
        <v>0.05078125</v>
      </c>
      <c r="E408" s="15" t="n">
        <f aca="false">$C$2*(1+IF(E$3&lt;=$O$2,$D408,$D408-($D408-$I$400)*MIN(E$3-$O$2,$Q$2)/$Q$2))</f>
        <v>2700.5078125</v>
      </c>
      <c r="F408" s="15" t="n">
        <f aca="false">E408*(1+IF(F$3&lt;=$O$2,$D408,$D408-($D408-$I$400)*MIN(F$3-$O$2,$Q$2)/$Q$2))</f>
        <v>2837.64297485352</v>
      </c>
      <c r="G408" s="15" t="n">
        <f aca="false">F408*(1+IF(G$3&lt;=$O$2,$D408,$D408-($D408-$I$400)*MIN(G$3-$O$2,$Q$2)/$Q$2))</f>
        <v>2981.7420321703</v>
      </c>
      <c r="H408" s="15" t="n">
        <f aca="false">G408*(1+IF(H$3&lt;=$O$2,$D408,$D408-($D408-$I$400)*MIN(H$3-$O$2,$Q$2)/$Q$2))</f>
        <v>3133.15861974144</v>
      </c>
      <c r="I408" s="15" t="n">
        <f aca="false">H408*(1+IF(I$3&lt;=$O$2,$D408,$D408-($D408-$I$400)*MIN(I$3-$O$2,$Q$2)/$Q$2))</f>
        <v>3292.26433090019</v>
      </c>
      <c r="J408" s="15" t="n">
        <f aca="false">I408*(1+IF(J$3&lt;=$O$2,$D408,$D408-($D408-$I$400)*MIN(J$3-$O$2,$Q$2)/$Q$2))</f>
        <v>3447.9390497868</v>
      </c>
      <c r="K408" s="15" t="n">
        <f aca="false">J408*(1+IF(K$3&lt;=$O$2,$D408,$D408-($D408-$I$400)*MIN(K$3-$O$2,$Q$2)/$Q$2))</f>
        <v>3598.91999085316</v>
      </c>
      <c r="L408" s="15" t="n">
        <f aca="false">K408*(1+IF(L$3&lt;=$O$2,$D408,$D408-($D408-$I$400)*MIN(L$3-$O$2,$Q$2)/$Q$2))</f>
        <v>3743.92947458461</v>
      </c>
      <c r="M408" s="15" t="n">
        <f aca="false">L408*(1+IF(M$3&lt;=$O$2,$D408,$D408-($D408-$I$400)*MIN(M$3-$O$2,$Q$2)/$Q$2))</f>
        <v>3881.69203951379</v>
      </c>
      <c r="N408" s="15" t="n">
        <f aca="false">M408*(1+IF(N$3&lt;=$O$2,$D408,$D408-($D408-$I$400)*MIN(N$3-$O$2,$Q$2)/$Q$2))</f>
        <v>4010.9523844296</v>
      </c>
      <c r="O408" s="15" t="n">
        <f aca="false">SUMPRODUCT(E408:N408,1/(1+$F$400)^$E$3:$N$3)*$E$2</f>
        <v>4096.15567401905</v>
      </c>
      <c r="P408" s="15" t="n">
        <f aca="false">N408*$E$2*(1+$I$400)/($F$400-$I$400)/(1+$F$400)^$N$3</f>
        <v>5528.37195445858</v>
      </c>
      <c r="Q408" s="15" t="n">
        <f aca="false">O408+P408</f>
        <v>9624.52762847763</v>
      </c>
      <c r="R408" s="15" t="n">
        <f aca="false">Q408-$G$2+$I$2</f>
        <v>8248.32762847763</v>
      </c>
      <c r="S408" s="42" t="n">
        <f aca="false">R408/$K$2</f>
        <v>219.896764288926</v>
      </c>
      <c r="T408" s="43" t="n">
        <f aca="false">S408-$M$2</f>
        <v>15.4179586371004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0.0390625</v>
      </c>
      <c r="C409" s="25" t="n">
        <f aca="false">IF(T408&gt;0,D408,C408)</f>
        <v>0.05078125</v>
      </c>
      <c r="D409" s="41" t="n">
        <f aca="false">(B409+C409)/2</f>
        <v>0.044921875</v>
      </c>
      <c r="E409" s="15" t="n">
        <f aca="false">$C$2*(1+IF(E$3&lt;=$O$2,$D409,$D409-($D409-$I$400)*MIN(E$3-$O$2,$Q$2)/$Q$2))</f>
        <v>2685.44921875</v>
      </c>
      <c r="F409" s="15" t="n">
        <f aca="false">E409*(1+IF(F$3&lt;=$O$2,$D409,$D409-($D409-$I$400)*MIN(F$3-$O$2,$Q$2)/$Q$2))</f>
        <v>2806.08463287354</v>
      </c>
      <c r="G409" s="15" t="n">
        <f aca="false">F409*(1+IF(G$3&lt;=$O$2,$D409,$D409-($D409-$I$400)*MIN(G$3-$O$2,$Q$2)/$Q$2))</f>
        <v>2932.1392159909</v>
      </c>
      <c r="H409" s="15" t="n">
        <f aca="false">G409*(1+IF(H$3&lt;=$O$2,$D409,$D409-($D409-$I$400)*MIN(H$3-$O$2,$Q$2)/$Q$2))</f>
        <v>3063.85640733424</v>
      </c>
      <c r="I409" s="15" t="n">
        <f aca="false">H409*(1+IF(I$3&lt;=$O$2,$D409,$D409-($D409-$I$400)*MIN(I$3-$O$2,$Q$2)/$Q$2))</f>
        <v>3201.49058188246</v>
      </c>
      <c r="J409" s="15" t="n">
        <f aca="false">I409*(1+IF(J$3&lt;=$O$2,$D409,$D409-($D409-$I$400)*MIN(J$3-$O$2,$Q$2)/$Q$2))</f>
        <v>3337.8660769442</v>
      </c>
      <c r="K409" s="15" t="n">
        <f aca="false">J409*(1+IF(K$3&lt;=$O$2,$D409,$D409-($D409-$I$400)*MIN(K$3-$O$2,$Q$2)/$Q$2))</f>
        <v>3472.29237469423</v>
      </c>
      <c r="L409" s="15" t="n">
        <f aca="false">K409*(1+IF(L$3&lt;=$O$2,$D409,$D409-($D409-$I$400)*MIN(L$3-$O$2,$Q$2)/$Q$2))</f>
        <v>3604.06152994841</v>
      </c>
      <c r="M409" s="15" t="n">
        <f aca="false">L409*(1+IF(M$3&lt;=$O$2,$D409,$D409-($D409-$I$400)*MIN(M$3-$O$2,$Q$2)/$Q$2))</f>
        <v>3732.45396941437</v>
      </c>
      <c r="N409" s="15" t="n">
        <f aca="false">M409*(1+IF(N$3&lt;=$O$2,$D409,$D409-($D409-$I$400)*MIN(N$3-$O$2,$Q$2)/$Q$2))</f>
        <v>3856.74468659586</v>
      </c>
      <c r="O409" s="15" t="n">
        <f aca="false">SUMPRODUCT(E409:N409,1/(1+$F$400)^$E$3:$N$3)*$E$2</f>
        <v>3993.68665507449</v>
      </c>
      <c r="P409" s="15" t="n">
        <f aca="false">N409*$E$2*(1+$I$400)/($F$400-$I$400)/(1+$F$400)^$N$3</f>
        <v>5315.82455170828</v>
      </c>
      <c r="Q409" s="15" t="n">
        <f aca="false">O409+P409</f>
        <v>9309.51120678276</v>
      </c>
      <c r="R409" s="15" t="n">
        <f aca="false">Q409-$G$2+$I$2</f>
        <v>7933.31120678276</v>
      </c>
      <c r="S409" s="42" t="n">
        <f aca="false">R409/$K$2</f>
        <v>211.498565896635</v>
      </c>
      <c r="T409" s="43" t="n">
        <f aca="false">S409-$M$2</f>
        <v>7.01976024480851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0.0390625</v>
      </c>
      <c r="C410" s="25" t="n">
        <f aca="false">IF(T409&gt;0,D409,C409)</f>
        <v>0.044921875</v>
      </c>
      <c r="D410" s="41" t="n">
        <f aca="false">(B410+C410)/2</f>
        <v>0.0419921875</v>
      </c>
      <c r="E410" s="15" t="n">
        <f aca="false">$C$2*(1+IF(E$3&lt;=$O$2,$D410,$D410-($D410-$I$400)*MIN(E$3-$O$2,$Q$2)/$Q$2))</f>
        <v>2677.919921875</v>
      </c>
      <c r="F410" s="15" t="n">
        <f aca="false">E410*(1+IF(F$3&lt;=$O$2,$D410,$D410-($D410-$I$400)*MIN(F$3-$O$2,$Q$2)/$Q$2))</f>
        <v>2790.37163734436</v>
      </c>
      <c r="G410" s="15" t="n">
        <f aca="false">F410*(1+IF(G$3&lt;=$O$2,$D410,$D410-($D410-$I$400)*MIN(G$3-$O$2,$Q$2)/$Q$2))</f>
        <v>2907.54544633441</v>
      </c>
      <c r="H410" s="15" t="n">
        <f aca="false">G410*(1+IF(H$3&lt;=$O$2,$D410,$D410-($D410-$I$400)*MIN(H$3-$O$2,$Q$2)/$Q$2))</f>
        <v>3029.63963988165</v>
      </c>
      <c r="I410" s="15" t="n">
        <f aca="false">H410*(1+IF(I$3&lt;=$O$2,$D410,$D410-($D410-$I$400)*MIN(I$3-$O$2,$Q$2)/$Q$2))</f>
        <v>3156.860835697</v>
      </c>
      <c r="J410" s="15" t="n">
        <f aca="false">I410*(1+IF(J$3&lt;=$O$2,$D410,$D410-($D410-$I$400)*MIN(J$3-$O$2,$Q$2)/$Q$2))</f>
        <v>3283.93632256193</v>
      </c>
      <c r="K410" s="15" t="n">
        <f aca="false">J410*(1+IF(K$3&lt;=$O$2,$D410,$D410-($D410-$I$400)*MIN(K$3-$O$2,$Q$2)/$Q$2))</f>
        <v>3410.41815625551</v>
      </c>
      <c r="L410" s="15" t="n">
        <f aca="false">K410*(1+IF(L$3&lt;=$O$2,$D410,$D410-($D410-$I$400)*MIN(L$3-$O$2,$Q$2)/$Q$2))</f>
        <v>3535.84267848585</v>
      </c>
      <c r="M410" s="15" t="n">
        <f aca="false">L410*(1+IF(M$3&lt;=$O$2,$D410,$D410-($D410-$I$400)*MIN(M$3-$O$2,$Q$2)/$Q$2))</f>
        <v>3659.7330811858</v>
      </c>
      <c r="N410" s="15" t="n">
        <f aca="false">M410*(1+IF(N$3&lt;=$O$2,$D410,$D410-($D410-$I$400)*MIN(N$3-$O$2,$Q$2)/$Q$2))</f>
        <v>3781.60219278929</v>
      </c>
      <c r="O410" s="15" t="n">
        <f aca="false">SUMPRODUCT(E410:N410,1/(1+$F$400)^$E$3:$N$3)*$E$2</f>
        <v>3943.4285269771</v>
      </c>
      <c r="P410" s="15" t="n">
        <f aca="false">N410*$E$2*(1+$I$400)/($F$400-$I$400)/(1+$F$400)^$N$3</f>
        <v>5212.25422338402</v>
      </c>
      <c r="Q410" s="15" t="n">
        <f aca="false">O410+P410</f>
        <v>9155.68275036112</v>
      </c>
      <c r="R410" s="15" t="n">
        <f aca="false">Q410-$G$2+$I$2</f>
        <v>7779.48275036112</v>
      </c>
      <c r="S410" s="42" t="n">
        <f aca="false">R410/$K$2</f>
        <v>207.39756732501</v>
      </c>
      <c r="T410" s="43" t="n">
        <f aca="false">S410-$M$2</f>
        <v>2.91876167318384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0.0390625</v>
      </c>
      <c r="C411" s="25" t="n">
        <f aca="false">IF(T410&gt;0,D410,C410)</f>
        <v>0.0419921875</v>
      </c>
      <c r="D411" s="41" t="n">
        <f aca="false">(B411+C411)/2</f>
        <v>0.04052734375</v>
      </c>
      <c r="E411" s="15" t="n">
        <f aca="false">$C$2*(1+IF(E$3&lt;=$O$2,$D411,$D411-($D411-$I$400)*MIN(E$3-$O$2,$Q$2)/$Q$2))</f>
        <v>2674.1552734375</v>
      </c>
      <c r="F411" s="15" t="n">
        <f aca="false">E411*(1+IF(F$3&lt;=$O$2,$D411,$D411-($D411-$I$400)*MIN(F$3-$O$2,$Q$2)/$Q$2))</f>
        <v>2782.53168344498</v>
      </c>
      <c r="G411" s="15" t="n">
        <f aca="false">F411*(1+IF(G$3&lt;=$O$2,$D411,$D411-($D411-$I$400)*MIN(G$3-$O$2,$Q$2)/$Q$2))</f>
        <v>2895.30030147522</v>
      </c>
      <c r="H411" s="15" t="n">
        <f aca="false">G411*(1+IF(H$3&lt;=$O$2,$D411,$D411-($D411-$I$400)*MIN(H$3-$O$2,$Q$2)/$Q$2))</f>
        <v>3012.63913205258</v>
      </c>
      <c r="I411" s="15" t="n">
        <f aca="false">H411*(1+IF(I$3&lt;=$O$2,$D411,$D411-($D411-$I$400)*MIN(I$3-$O$2,$Q$2)/$Q$2))</f>
        <v>3134.73339375198</v>
      </c>
      <c r="J411" s="15" t="n">
        <f aca="false">I411*(1+IF(J$3&lt;=$O$2,$D411,$D411-($D411-$I$400)*MIN(J$3-$O$2,$Q$2)/$Q$2))</f>
        <v>3257.24465240492</v>
      </c>
      <c r="K411" s="15" t="n">
        <f aca="false">J411*(1+IF(K$3&lt;=$O$2,$D411,$D411-($D411-$I$400)*MIN(K$3-$O$2,$Q$2)/$Q$2))</f>
        <v>3379.83563539847</v>
      </c>
      <c r="L411" s="15" t="n">
        <f aca="false">K411*(1+IF(L$3&lt;=$O$2,$D411,$D411-($D411-$I$400)*MIN(L$3-$O$2,$Q$2)/$Q$2))</f>
        <v>3502.15505563945</v>
      </c>
      <c r="M411" s="15" t="n">
        <f aca="false">L411*(1+IF(M$3&lt;=$O$2,$D411,$D411-($D411-$I$400)*MIN(M$3-$O$2,$Q$2)/$Q$2))</f>
        <v>3623.83907468283</v>
      </c>
      <c r="N411" s="15" t="n">
        <f aca="false">M411*(1+IF(N$3&lt;=$O$2,$D411,$D411-($D411-$I$400)*MIN(N$3-$O$2,$Q$2)/$Q$2))</f>
        <v>3744.51291586976</v>
      </c>
      <c r="O411" s="15" t="n">
        <f aca="false">SUMPRODUCT(E411:N411,1/(1+$F$400)^$E$3:$N$3)*$E$2</f>
        <v>3918.54015066357</v>
      </c>
      <c r="P411" s="15" t="n">
        <f aca="false">N411*$E$2*(1+$I$400)/($F$400-$I$400)/(1+$F$400)^$N$3</f>
        <v>5161.13336761694</v>
      </c>
      <c r="Q411" s="15" t="n">
        <f aca="false">O411+P411</f>
        <v>9079.6735182805</v>
      </c>
      <c r="R411" s="15" t="n">
        <f aca="false">Q411-$G$2+$I$2</f>
        <v>7703.4735182805</v>
      </c>
      <c r="S411" s="42" t="n">
        <f aca="false">R411/$K$2</f>
        <v>205.371194835524</v>
      </c>
      <c r="T411" s="43" t="n">
        <f aca="false">S411-$M$2</f>
        <v>0.892389183697844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0.0390625</v>
      </c>
      <c r="C412" s="25" t="n">
        <f aca="false">IF(T411&gt;0,D411,C411)</f>
        <v>0.04052734375</v>
      </c>
      <c r="D412" s="41" t="n">
        <f aca="false">(B412+C412)/2</f>
        <v>0.039794921875</v>
      </c>
      <c r="E412" s="15" t="n">
        <f aca="false">$C$2*(1+IF(E$3&lt;=$O$2,$D412,$D412-($D412-$I$400)*MIN(E$3-$O$2,$Q$2)/$Q$2))</f>
        <v>2672.27294921875</v>
      </c>
      <c r="F412" s="15" t="n">
        <f aca="false">E412*(1+IF(F$3&lt;=$O$2,$D412,$D412-($D412-$I$400)*MIN(F$3-$O$2,$Q$2)/$Q$2))</f>
        <v>2778.61584246159</v>
      </c>
      <c r="G412" s="15" t="n">
        <f aca="false">F412*(1+IF(G$3&lt;=$O$2,$D412,$D412-($D412-$I$400)*MIN(G$3-$O$2,$Q$2)/$Q$2))</f>
        <v>2889.19064283298</v>
      </c>
      <c r="H412" s="15" t="n">
        <f aca="false">G412*(1+IF(H$3&lt;=$O$2,$D412,$D412-($D412-$I$400)*MIN(H$3-$O$2,$Q$2)/$Q$2))</f>
        <v>3004.1657587465</v>
      </c>
      <c r="I412" s="15" t="n">
        <f aca="false">H412*(1+IF(I$3&lt;=$O$2,$D412,$D412-($D412-$I$400)*MIN(I$3-$O$2,$Q$2)/$Q$2))</f>
        <v>3123.71630041537</v>
      </c>
      <c r="J412" s="15" t="n">
        <f aca="false">I412*(1+IF(J$3&lt;=$O$2,$D412,$D412-($D412-$I$400)*MIN(J$3-$O$2,$Q$2)/$Q$2))</f>
        <v>3243.96668788389</v>
      </c>
      <c r="K412" s="15" t="n">
        <f aca="false">J412*(1+IF(K$3&lt;=$O$2,$D412,$D412-($D412-$I$400)*MIN(K$3-$O$2,$Q$2)/$Q$2))</f>
        <v>3364.63236471217</v>
      </c>
      <c r="L412" s="15" t="n">
        <f aca="false">K412*(1+IF(L$3&lt;=$O$2,$D412,$D412-($D412-$I$400)*MIN(L$3-$O$2,$Q$2)/$Q$2))</f>
        <v>3485.41583219585</v>
      </c>
      <c r="M412" s="15" t="n">
        <f aca="false">L412*(1+IF(M$3&lt;=$O$2,$D412,$D412-($D412-$I$400)*MIN(M$3-$O$2,$Q$2)/$Q$2))</f>
        <v>3606.00768011437</v>
      </c>
      <c r="N412" s="15" t="n">
        <f aca="false">M412*(1+IF(N$3&lt;=$O$2,$D412,$D412-($D412-$I$400)*MIN(N$3-$O$2,$Q$2)/$Q$2))</f>
        <v>3726.08773586218</v>
      </c>
      <c r="O412" s="15" t="n">
        <f aca="false">SUMPRODUCT(E412:N412,1/(1+$F$400)^$E$3:$N$3)*$E$2</f>
        <v>3906.15571266102</v>
      </c>
      <c r="P412" s="15" t="n">
        <f aca="false">N412*$E$2*(1+$I$400)/($F$400-$I$400)/(1+$F$400)^$N$3</f>
        <v>5135.73759158997</v>
      </c>
      <c r="Q412" s="15" t="n">
        <f aca="false">O412+P412</f>
        <v>9041.89330425099</v>
      </c>
      <c r="R412" s="15" t="n">
        <f aca="false">Q412-$G$2+$I$2</f>
        <v>7665.69330425099</v>
      </c>
      <c r="S412" s="42" t="n">
        <f aca="false">R412/$K$2</f>
        <v>204.36399104908</v>
      </c>
      <c r="T412" s="43" t="n">
        <f aca="false">S412-$M$2</f>
        <v>-0.114814602746037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0.039794921875</v>
      </c>
      <c r="C413" s="25" t="n">
        <f aca="false">IF(T412&gt;0,D412,C412)</f>
        <v>0.04052734375</v>
      </c>
      <c r="D413" s="41" t="n">
        <f aca="false">(B413+C413)/2</f>
        <v>0.0401611328125</v>
      </c>
      <c r="E413" s="15" t="n">
        <f aca="false">$C$2*(1+IF(E$3&lt;=$O$2,$D413,$D413-($D413-$I$400)*MIN(E$3-$O$2,$Q$2)/$Q$2))</f>
        <v>2673.21411132813</v>
      </c>
      <c r="F413" s="15" t="n">
        <f aca="false">E413*(1+IF(F$3&lt;=$O$2,$D413,$D413-($D413-$I$400)*MIN(F$3-$O$2,$Q$2)/$Q$2))</f>
        <v>2780.57341828942</v>
      </c>
      <c r="G413" s="15" t="n">
        <f aca="false">F413*(1+IF(G$3&lt;=$O$2,$D413,$D413-($D413-$I$400)*MIN(G$3-$O$2,$Q$2)/$Q$2))</f>
        <v>2892.24439663625</v>
      </c>
      <c r="H413" s="15" t="n">
        <f aca="false">G413*(1+IF(H$3&lt;=$O$2,$D413,$D413-($D413-$I$400)*MIN(H$3-$O$2,$Q$2)/$Q$2))</f>
        <v>3008.40020797577</v>
      </c>
      <c r="I413" s="15" t="n">
        <f aca="false">H413*(1+IF(I$3&lt;=$O$2,$D413,$D413-($D413-$I$400)*MIN(I$3-$O$2,$Q$2)/$Q$2))</f>
        <v>3129.22096828144</v>
      </c>
      <c r="J413" s="15" t="n">
        <f aca="false">I413*(1+IF(J$3&lt;=$O$2,$D413,$D413-($D413-$I$400)*MIN(J$3-$O$2,$Q$2)/$Q$2))</f>
        <v>3250.60002705564</v>
      </c>
      <c r="K413" s="15" t="n">
        <f aca="false">J413*(1+IF(K$3&lt;=$O$2,$D413,$D413-($D413-$I$400)*MIN(K$3-$O$2,$Q$2)/$Q$2))</f>
        <v>3372.22668706016</v>
      </c>
      <c r="L413" s="15" t="n">
        <f aca="false">K413*(1+IF(L$3&lt;=$O$2,$D413,$D413-($D413-$I$400)*MIN(L$3-$O$2,$Q$2)/$Q$2))</f>
        <v>3493.77675380877</v>
      </c>
      <c r="M413" s="15" t="n">
        <f aca="false">L413*(1+IF(M$3&lt;=$O$2,$D413,$D413-($D413-$I$400)*MIN(M$3-$O$2,$Q$2)/$Q$2))</f>
        <v>3614.91377297563</v>
      </c>
      <c r="N413" s="15" t="n">
        <f aca="false">M413*(1+IF(N$3&lt;=$O$2,$D413,$D413-($D413-$I$400)*MIN(N$3-$O$2,$Q$2)/$Q$2))</f>
        <v>3735.29040161572</v>
      </c>
      <c r="O413" s="15" t="n">
        <f aca="false">SUMPRODUCT(E413:N413,1/(1+$F$400)^$E$3:$N$3)*$E$2</f>
        <v>3912.34296498228</v>
      </c>
      <c r="P413" s="15" t="n">
        <f aca="false">N413*$E$2*(1+$I$400)/($F$400-$I$400)/(1+$F$400)^$N$3</f>
        <v>5148.42180082058</v>
      </c>
      <c r="Q413" s="15" t="n">
        <f aca="false">O413+P413</f>
        <v>9060.76476580286</v>
      </c>
      <c r="R413" s="15" t="n">
        <f aca="false">Q413-$G$2+$I$2</f>
        <v>7684.56476580286</v>
      </c>
      <c r="S413" s="42" t="n">
        <f aca="false">R413/$K$2</f>
        <v>204.867095862513</v>
      </c>
      <c r="T413" s="43" t="n">
        <f aca="false">S413-$M$2</f>
        <v>0.38829021068679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0.039794921875</v>
      </c>
      <c r="C414" s="25" t="n">
        <f aca="false">IF(T413&gt;0,D413,C413)</f>
        <v>0.0401611328125</v>
      </c>
      <c r="D414" s="41" t="n">
        <f aca="false">(B414+C414)/2</f>
        <v>0.03997802734375</v>
      </c>
      <c r="E414" s="15" t="n">
        <f aca="false">$C$2*(1+IF(E$3&lt;=$O$2,$D414,$D414-($D414-$I$400)*MIN(E$3-$O$2,$Q$2)/$Q$2))</f>
        <v>2672.74353027344</v>
      </c>
      <c r="F414" s="15" t="n">
        <f aca="false">E414*(1+IF(F$3&lt;=$O$2,$D414,$D414-($D414-$I$400)*MIN(F$3-$O$2,$Q$2)/$Q$2))</f>
        <v>2779.59454420954</v>
      </c>
      <c r="G414" s="15" t="n">
        <f aca="false">F414*(1+IF(G$3&lt;=$O$2,$D414,$D414-($D414-$I$400)*MIN(G$3-$O$2,$Q$2)/$Q$2))</f>
        <v>2890.71725090249</v>
      </c>
      <c r="H414" s="15" t="n">
        <f aca="false">G414*(1+IF(H$3&lt;=$O$2,$D414,$D414-($D414-$I$400)*MIN(H$3-$O$2,$Q$2)/$Q$2))</f>
        <v>3006.28242420212</v>
      </c>
      <c r="I414" s="15" t="n">
        <f aca="false">H414*(1+IF(I$3&lt;=$O$2,$D414,$D414-($D414-$I$400)*MIN(I$3-$O$2,$Q$2)/$Q$2))</f>
        <v>3126.4676651599</v>
      </c>
      <c r="J414" s="15" t="n">
        <f aca="false">I414*(1+IF(J$3&lt;=$O$2,$D414,$D414-($D414-$I$400)*MIN(J$3-$O$2,$Q$2)/$Q$2))</f>
        <v>3247.28194765556</v>
      </c>
      <c r="K414" s="15" t="n">
        <f aca="false">J414*(1+IF(K$3&lt;=$O$2,$D414,$D414-($D414-$I$400)*MIN(K$3-$O$2,$Q$2)/$Q$2))</f>
        <v>3368.42769909608</v>
      </c>
      <c r="L414" s="15" t="n">
        <f aca="false">K414*(1+IF(L$3&lt;=$O$2,$D414,$D414-($D414-$I$400)*MIN(L$3-$O$2,$Q$2)/$Q$2))</f>
        <v>3489.59412238798</v>
      </c>
      <c r="M414" s="15" t="n">
        <f aca="false">L414*(1+IF(M$3&lt;=$O$2,$D414,$D414-($D414-$I$400)*MIN(M$3-$O$2,$Q$2)/$Q$2))</f>
        <v>3610.45832765708</v>
      </c>
      <c r="N414" s="15" t="n">
        <f aca="false">M414*(1+IF(N$3&lt;=$O$2,$D414,$D414-($D414-$I$400)*MIN(N$3-$O$2,$Q$2)/$Q$2))</f>
        <v>3730.68658996806</v>
      </c>
      <c r="O414" s="15" t="n">
        <f aca="false">SUMPRODUCT(E414:N414,1/(1+$F$400)^$E$3:$N$3)*$E$2</f>
        <v>3909.24809808742</v>
      </c>
      <c r="P414" s="15" t="n">
        <f aca="false">N414*$E$2*(1+$I$400)/($F$400-$I$400)/(1+$F$400)^$N$3</f>
        <v>5142.07627966822</v>
      </c>
      <c r="Q414" s="15" t="n">
        <f aca="false">O414+P414</f>
        <v>9051.32437775564</v>
      </c>
      <c r="R414" s="15" t="n">
        <f aca="false">Q414-$G$2+$I$2</f>
        <v>7675.12437775564</v>
      </c>
      <c r="S414" s="42" t="n">
        <f aca="false">R414/$K$2</f>
        <v>204.615419295005</v>
      </c>
      <c r="T414" s="43" t="n">
        <f aca="false">S414-$M$2</f>
        <v>0.13661364317889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0.039794921875</v>
      </c>
      <c r="C415" s="25" t="n">
        <f aca="false">IF(T414&gt;0,D414,C414)</f>
        <v>0.03997802734375</v>
      </c>
      <c r="D415" s="41" t="n">
        <f aca="false">(B415+C415)/2</f>
        <v>0.039886474609375</v>
      </c>
      <c r="E415" s="15" t="n">
        <f aca="false">$C$2*(1+IF(E$3&lt;=$O$2,$D415,$D415-($D415-$I$400)*MIN(E$3-$O$2,$Q$2)/$Q$2))</f>
        <v>2672.50823974609</v>
      </c>
      <c r="F415" s="15" t="n">
        <f aca="false">E415*(1+IF(F$3&lt;=$O$2,$D415,$D415-($D415-$I$400)*MIN(F$3-$O$2,$Q$2)/$Q$2))</f>
        <v>2779.10517179407</v>
      </c>
      <c r="G415" s="15" t="n">
        <f aca="false">F415*(1+IF(G$3&lt;=$O$2,$D415,$D415-($D415-$I$400)*MIN(G$3-$O$2,$Q$2)/$Q$2))</f>
        <v>2889.95387966562</v>
      </c>
      <c r="H415" s="15" t="n">
        <f aca="false">G415*(1+IF(H$3&lt;=$O$2,$D415,$D415-($D415-$I$400)*MIN(H$3-$O$2,$Q$2)/$Q$2))</f>
        <v>3005.22395170917</v>
      </c>
      <c r="I415" s="15" t="n">
        <f aca="false">H415*(1+IF(I$3&lt;=$O$2,$D415,$D415-($D415-$I$400)*MIN(I$3-$O$2,$Q$2)/$Q$2))</f>
        <v>3125.0917405545</v>
      </c>
      <c r="J415" s="15" t="n">
        <f aca="false">I415*(1+IF(J$3&lt;=$O$2,$D415,$D415-($D415-$I$400)*MIN(J$3-$O$2,$Q$2)/$Q$2))</f>
        <v>3245.62396543587</v>
      </c>
      <c r="K415" s="15" t="n">
        <f aca="false">J415*(1+IF(K$3&lt;=$O$2,$D415,$D415-($D415-$I$400)*MIN(K$3-$O$2,$Q$2)/$Q$2))</f>
        <v>3366.52957538884</v>
      </c>
      <c r="L415" s="15" t="n">
        <f aca="false">K415*(1+IF(L$3&lt;=$O$2,$D415,$D415-($D415-$I$400)*MIN(L$3-$O$2,$Q$2)/$Q$2))</f>
        <v>3487.50443487729</v>
      </c>
      <c r="M415" s="15" t="n">
        <f aca="false">L415*(1+IF(M$3&lt;=$O$2,$D415,$D415-($D415-$I$400)*MIN(M$3-$O$2,$Q$2)/$Q$2))</f>
        <v>3608.23240444078</v>
      </c>
      <c r="N415" s="15" t="n">
        <f aca="false">M415*(1+IF(N$3&lt;=$O$2,$D415,$D415-($D415-$I$400)*MIN(N$3-$O$2,$Q$2)/$Q$2))</f>
        <v>3728.38654350866</v>
      </c>
      <c r="O415" s="15" t="n">
        <f aca="false">SUMPRODUCT(E415:N415,1/(1+$F$400)^$E$3:$N$3)*$E$2</f>
        <v>3907.70159530756</v>
      </c>
      <c r="P415" s="15" t="n">
        <f aca="false">N415*$E$2*(1+$I$400)/($F$400-$I$400)/(1+$F$400)^$N$3</f>
        <v>5138.9060818894</v>
      </c>
      <c r="Q415" s="15" t="n">
        <f aca="false">O415+P415</f>
        <v>9046.60767719696</v>
      </c>
      <c r="R415" s="15" t="n">
        <f aca="false">Q415-$G$2+$I$2</f>
        <v>7670.40767719696</v>
      </c>
      <c r="S415" s="42" t="n">
        <f aca="false">R415/$K$2</f>
        <v>204.48967414548</v>
      </c>
      <c r="T415" s="43" t="n">
        <f aca="false">S415-$M$2</f>
        <v>0.0108684936540726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0.039794921875</v>
      </c>
      <c r="C416" s="25" t="n">
        <f aca="false">IF(T415&gt;0,D415,C415)</f>
        <v>0.039886474609375</v>
      </c>
      <c r="D416" s="41" t="n">
        <f aca="false">(B416+C416)/2</f>
        <v>0.0398406982421875</v>
      </c>
      <c r="E416" s="15" t="n">
        <f aca="false">$C$2*(1+IF(E$3&lt;=$O$2,$D416,$D416-($D416-$I$400)*MIN(E$3-$O$2,$Q$2)/$Q$2))</f>
        <v>2672.39059448242</v>
      </c>
      <c r="F416" s="15" t="n">
        <f aca="false">E416*(1+IF(F$3&lt;=$O$2,$D416,$D416-($D416-$I$400)*MIN(F$3-$O$2,$Q$2)/$Q$2))</f>
        <v>2778.86050174246</v>
      </c>
      <c r="G416" s="15" t="n">
        <f aca="false">F416*(1+IF(G$3&lt;=$O$2,$D416,$D416-($D416-$I$400)*MIN(G$3-$O$2,$Q$2)/$Q$2))</f>
        <v>2889.57224444951</v>
      </c>
      <c r="H416" s="15" t="n">
        <f aca="false">G416*(1+IF(H$3&lt;=$O$2,$D416,$D416-($D416-$I$400)*MIN(H$3-$O$2,$Q$2)/$Q$2))</f>
        <v>3004.69482028962</v>
      </c>
      <c r="I416" s="15" t="n">
        <f aca="false">H416*(1+IF(I$3&lt;=$O$2,$D416,$D416-($D416-$I$400)*MIN(I$3-$O$2,$Q$2)/$Q$2))</f>
        <v>3124.40395993465</v>
      </c>
      <c r="J416" s="15" t="n">
        <f aca="false">I416*(1+IF(J$3&lt;=$O$2,$D416,$D416-($D416-$I$400)*MIN(J$3-$O$2,$Q$2)/$Q$2))</f>
        <v>3244.79523859137</v>
      </c>
      <c r="K416" s="15" t="n">
        <f aca="false">J416*(1+IF(K$3&lt;=$O$2,$D416,$D416-($D416-$I$400)*MIN(K$3-$O$2,$Q$2)/$Q$2))</f>
        <v>3365.58085594445</v>
      </c>
      <c r="L416" s="15" t="n">
        <f aca="false">K416*(1+IF(L$3&lt;=$O$2,$D416,$D416-($D416-$I$400)*MIN(L$3-$O$2,$Q$2)/$Q$2))</f>
        <v>3486.45999796277</v>
      </c>
      <c r="M416" s="15" t="n">
        <f aca="false">L416*(1+IF(M$3&lt;=$O$2,$D416,$D416-($D416-$I$400)*MIN(M$3-$O$2,$Q$2)/$Q$2))</f>
        <v>3607.11989245096</v>
      </c>
      <c r="N416" s="15" t="n">
        <f aca="false">M416*(1+IF(N$3&lt;=$O$2,$D416,$D416-($D416-$I$400)*MIN(N$3-$O$2,$Q$2)/$Q$2))</f>
        <v>3727.23698486957</v>
      </c>
      <c r="O416" s="15" t="n">
        <f aca="false">SUMPRODUCT(E416:N416,1/(1+$F$400)^$E$3:$N$3)*$E$2</f>
        <v>3906.92857648224</v>
      </c>
      <c r="P416" s="15" t="n">
        <f aca="false">N416*$E$2*(1+$I$400)/($F$400-$I$400)/(1+$F$400)^$N$3</f>
        <v>5137.32162335406</v>
      </c>
      <c r="Q416" s="15" t="n">
        <f aca="false">O416+P416</f>
        <v>9044.2501998363</v>
      </c>
      <c r="R416" s="15" t="n">
        <f aca="false">Q416-$G$2+$I$2</f>
        <v>7668.0501998363</v>
      </c>
      <c r="S416" s="42" t="n">
        <f aca="false">R416/$K$2</f>
        <v>204.426824842343</v>
      </c>
      <c r="T416" s="43" t="n">
        <f aca="false">S416-$M$2</f>
        <v>-0.0519808094826999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0.0398406982421875</v>
      </c>
      <c r="C417" s="25" t="n">
        <f aca="false">IF(T416&gt;0,D416,C416)</f>
        <v>0.039886474609375</v>
      </c>
      <c r="D417" s="41" t="n">
        <f aca="false">(B417+C417)/2</f>
        <v>0.0398635864257813</v>
      </c>
      <c r="E417" s="15" t="n">
        <f aca="false">$C$2*(1+IF(E$3&lt;=$O$2,$D417,$D417-($D417-$I$400)*MIN(E$3-$O$2,$Q$2)/$Q$2))</f>
        <v>2672.44941711426</v>
      </c>
      <c r="F417" s="15" t="n">
        <f aca="false">E417*(1+IF(F$3&lt;=$O$2,$D417,$D417-($D417-$I$400)*MIN(F$3-$O$2,$Q$2)/$Q$2))</f>
        <v>2778.98283542192</v>
      </c>
      <c r="G417" s="15" t="n">
        <f aca="false">F417*(1+IF(G$3&lt;=$O$2,$D417,$D417-($D417-$I$400)*MIN(G$3-$O$2,$Q$2)/$Q$2))</f>
        <v>2889.76305785753</v>
      </c>
      <c r="H417" s="15" t="n">
        <f aca="false">G417*(1+IF(H$3&lt;=$O$2,$D417,$D417-($D417-$I$400)*MIN(H$3-$O$2,$Q$2)/$Q$2))</f>
        <v>3004.95937726446</v>
      </c>
      <c r="I417" s="15" t="n">
        <f aca="false">H417*(1+IF(I$3&lt;=$O$2,$D417,$D417-($D417-$I$400)*MIN(I$3-$O$2,$Q$2)/$Q$2))</f>
        <v>3124.747835106</v>
      </c>
      <c r="J417" s="15" t="n">
        <f aca="false">I417*(1+IF(J$3&lt;=$O$2,$D417,$D417-($D417-$I$400)*MIN(J$3-$O$2,$Q$2)/$Q$2))</f>
        <v>3245.20957999463</v>
      </c>
      <c r="K417" s="15" t="n">
        <f aca="false">J417*(1+IF(K$3&lt;=$O$2,$D417,$D417-($D417-$I$400)*MIN(K$3-$O$2,$Q$2)/$Q$2))</f>
        <v>3366.05518713729</v>
      </c>
      <c r="L417" s="15" t="n">
        <f aca="false">K417*(1+IF(L$3&lt;=$O$2,$D417,$D417-($D417-$I$400)*MIN(L$3-$O$2,$Q$2)/$Q$2))</f>
        <v>3486.98218252285</v>
      </c>
      <c r="M417" s="15" t="n">
        <f aca="false">L417*(1+IF(M$3&lt;=$O$2,$D417,$D417-($D417-$I$400)*MIN(M$3-$O$2,$Q$2)/$Q$2))</f>
        <v>3607.67611098489</v>
      </c>
      <c r="N417" s="15" t="n">
        <f aca="false">M417*(1+IF(N$3&lt;=$O$2,$D417,$D417-($D417-$I$400)*MIN(N$3-$O$2,$Q$2)/$Q$2))</f>
        <v>3727.81172548069</v>
      </c>
      <c r="O417" s="15" t="n">
        <f aca="false">SUMPRODUCT(E417:N417,1/(1+$F$400)^$E$3:$N$3)*$E$2</f>
        <v>3907.31506651756</v>
      </c>
      <c r="P417" s="15" t="n">
        <f aca="false">N417*$E$2*(1+$I$400)/($F$400-$I$400)/(1+$F$400)^$N$3</f>
        <v>5138.11379926916</v>
      </c>
      <c r="Q417" s="15" t="n">
        <f aca="false">O417+P417</f>
        <v>9045.42886578672</v>
      </c>
      <c r="R417" s="15" t="n">
        <f aca="false">Q417-$G$2+$I$2</f>
        <v>7669.22886578672</v>
      </c>
      <c r="S417" s="42" t="n">
        <f aca="false">R417/$K$2</f>
        <v>204.458247554965</v>
      </c>
      <c r="T417" s="43" t="n">
        <f aca="false">S417-$M$2</f>
        <v>-0.0205580968614356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0.0398635864257813</v>
      </c>
      <c r="C418" s="25" t="n">
        <f aca="false">IF(T417&gt;0,D417,C417)</f>
        <v>0.039886474609375</v>
      </c>
      <c r="D418" s="41" t="n">
        <f aca="false">(B418+C418)/2</f>
        <v>0.0398750305175781</v>
      </c>
      <c r="E418" s="15" t="n">
        <f aca="false">$C$2*(1+IF(E$3&lt;=$O$2,$D418,$D418-($D418-$I$400)*MIN(E$3-$O$2,$Q$2)/$Q$2))</f>
        <v>2672.47882843018</v>
      </c>
      <c r="F418" s="15" t="n">
        <f aca="false">E418*(1+IF(F$3&lt;=$O$2,$D418,$D418-($D418-$I$400)*MIN(F$3-$O$2,$Q$2)/$Q$2))</f>
        <v>2779.04400327141</v>
      </c>
      <c r="G418" s="15" t="n">
        <f aca="false">F418*(1+IF(G$3&lt;=$O$2,$D418,$D418-($D418-$I$400)*MIN(G$3-$O$2,$Q$2)/$Q$2))</f>
        <v>2889.85846771155</v>
      </c>
      <c r="H418" s="15" t="n">
        <f aca="false">G418*(1+IF(H$3&lt;=$O$2,$D418,$D418-($D418-$I$400)*MIN(H$3-$O$2,$Q$2)/$Q$2))</f>
        <v>3005.09166230303</v>
      </c>
      <c r="I418" s="15" t="n">
        <f aca="false">H418*(1+IF(I$3&lt;=$O$2,$D418,$D418-($D418-$I$400)*MIN(I$3-$O$2,$Q$2)/$Q$2))</f>
        <v>3124.91978404548</v>
      </c>
      <c r="J418" s="15" t="n">
        <f aca="false">I418*(1+IF(J$3&lt;=$O$2,$D418,$D418-($D418-$I$400)*MIN(J$3-$O$2,$Q$2)/$Q$2))</f>
        <v>3245.41676721026</v>
      </c>
      <c r="K418" s="15" t="n">
        <f aca="false">J418*(1+IF(K$3&lt;=$O$2,$D418,$D418-($D418-$I$400)*MIN(K$3-$O$2,$Q$2)/$Q$2))</f>
        <v>3366.29237413037</v>
      </c>
      <c r="L418" s="15" t="n">
        <f aca="false">K418*(1+IF(L$3&lt;=$O$2,$D418,$D418-($D418-$I$400)*MIN(L$3-$O$2,$Q$2)/$Q$2))</f>
        <v>3487.24330022531</v>
      </c>
      <c r="M418" s="15" t="n">
        <f aca="false">L418*(1+IF(M$3&lt;=$O$2,$D418,$D418-($D418-$I$400)*MIN(M$3-$O$2,$Q$2)/$Q$2))</f>
        <v>3607.95424834705</v>
      </c>
      <c r="N418" s="15" t="n">
        <f aca="false">M418*(1+IF(N$3&lt;=$O$2,$D418,$D418-($D418-$I$400)*MIN(N$3-$O$2,$Q$2)/$Q$2))</f>
        <v>3728.09912481701</v>
      </c>
      <c r="O418" s="15" t="n">
        <f aca="false">SUMPRODUCT(E418:N418,1/(1+$F$400)^$E$3:$N$3)*$E$2</f>
        <v>3907.508326068</v>
      </c>
      <c r="P418" s="15" t="n">
        <f aca="false">N418*$E$2*(1+$I$400)/($F$400-$I$400)/(1+$F$400)^$N$3</f>
        <v>5138.50992724037</v>
      </c>
      <c r="Q418" s="15" t="n">
        <f aca="false">O418+P418</f>
        <v>9046.01825330837</v>
      </c>
      <c r="R418" s="15" t="n">
        <f aca="false">Q418-$G$2+$I$2</f>
        <v>7669.81825330837</v>
      </c>
      <c r="S418" s="42" t="n">
        <f aca="false">R418/$K$2</f>
        <v>204.473960365459</v>
      </c>
      <c r="T418" s="43" t="n">
        <f aca="false">S418-$M$2</f>
        <v>-0.00484528636710024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0.0398750305175781</v>
      </c>
      <c r="C419" s="25" t="n">
        <f aca="false">IF(T418&gt;0,D418,C418)</f>
        <v>0.039886474609375</v>
      </c>
      <c r="D419" s="41" t="n">
        <f aca="false">(B419+C419)/2</f>
        <v>0.0398807525634766</v>
      </c>
      <c r="E419" s="15" t="n">
        <f aca="false">$C$2*(1+IF(E$3&lt;=$O$2,$D419,$D419-($D419-$I$400)*MIN(E$3-$O$2,$Q$2)/$Q$2))</f>
        <v>2672.49353408813</v>
      </c>
      <c r="F419" s="15" t="n">
        <f aca="false">E419*(1+IF(F$3&lt;=$O$2,$D419,$D419-($D419-$I$400)*MIN(F$3-$O$2,$Q$2)/$Q$2))</f>
        <v>2779.07458744859</v>
      </c>
      <c r="G419" s="15" t="n">
        <f aca="false">F419*(1+IF(G$3&lt;=$O$2,$D419,$D419-($D419-$I$400)*MIN(G$3-$O$2,$Q$2)/$Q$2))</f>
        <v>2889.90617342608</v>
      </c>
      <c r="H419" s="15" t="n">
        <f aca="false">G419*(1+IF(H$3&lt;=$O$2,$D419,$D419-($D419-$I$400)*MIN(H$3-$O$2,$Q$2)/$Q$2))</f>
        <v>3005.15780646015</v>
      </c>
      <c r="I419" s="15" t="n">
        <f aca="false">H419*(1+IF(I$3&lt;=$O$2,$D419,$D419-($D419-$I$400)*MIN(I$3-$O$2,$Q$2)/$Q$2))</f>
        <v>3125.00576135378</v>
      </c>
      <c r="J419" s="15" t="n">
        <f aca="false">I419*(1+IF(J$3&lt;=$O$2,$D419,$D419-($D419-$I$400)*MIN(J$3-$O$2,$Q$2)/$Q$2))</f>
        <v>3245.52036494679</v>
      </c>
      <c r="K419" s="15" t="n">
        <f aca="false">J419*(1+IF(K$3&lt;=$O$2,$D419,$D419-($D419-$I$400)*MIN(K$3-$O$2,$Q$2)/$Q$2))</f>
        <v>3366.41097297638</v>
      </c>
      <c r="L419" s="15" t="n">
        <f aca="false">K419*(1+IF(L$3&lt;=$O$2,$D419,$D419-($D419-$I$400)*MIN(L$3-$O$2,$Q$2)/$Q$2))</f>
        <v>3487.37386543255</v>
      </c>
      <c r="M419" s="15" t="n">
        <f aca="false">L419*(1+IF(M$3&lt;=$O$2,$D419,$D419-($D419-$I$400)*MIN(M$3-$O$2,$Q$2)/$Q$2))</f>
        <v>3608.0933240524</v>
      </c>
      <c r="N419" s="15" t="n">
        <f aca="false">M419*(1+IF(N$3&lt;=$O$2,$D419,$D419-($D419-$I$400)*MIN(N$3-$O$2,$Q$2)/$Q$2))</f>
        <v>3728.24283174335</v>
      </c>
      <c r="O419" s="15" t="n">
        <f aca="false">SUMPRODUCT(E419:N419,1/(1+$F$400)^$E$3:$N$3)*$E$2</f>
        <v>3907.60495947661</v>
      </c>
      <c r="P419" s="15" t="n">
        <f aca="false">N419*$E$2*(1+$I$400)/($F$400-$I$400)/(1+$F$400)^$N$3</f>
        <v>5138.70800123006</v>
      </c>
      <c r="Q419" s="15" t="n">
        <f aca="false">O419+P419</f>
        <v>9046.31296070667</v>
      </c>
      <c r="R419" s="15" t="n">
        <f aca="false">Q419-$G$2+$I$2</f>
        <v>7670.11296070667</v>
      </c>
      <c r="S419" s="42" t="n">
        <f aca="false">R419/$K$2</f>
        <v>204.481817134275</v>
      </c>
      <c r="T419" s="43" t="n">
        <f aca="false">S419-$M$2</f>
        <v>0.0030114824492955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0.0398750305175781</v>
      </c>
      <c r="C420" s="25" t="n">
        <f aca="false">IF(T419&gt;0,D419,C419)</f>
        <v>0.0398807525634766</v>
      </c>
      <c r="D420" s="41" t="n">
        <f aca="false">(B420+C420)/2</f>
        <v>0.0398778915405273</v>
      </c>
      <c r="E420" s="15" t="n">
        <f aca="false">$C$2*(1+IF(E$3&lt;=$O$2,$D420,$D420-($D420-$I$400)*MIN(E$3-$O$2,$Q$2)/$Q$2))</f>
        <v>2672.48618125916</v>
      </c>
      <c r="F420" s="15" t="n">
        <f aca="false">E420*(1+IF(F$3&lt;=$O$2,$D420,$D420-($D420-$I$400)*MIN(F$3-$O$2,$Q$2)/$Q$2))</f>
        <v>2779.05929533897</v>
      </c>
      <c r="G420" s="15" t="n">
        <f aca="false">F420*(1+IF(G$3&lt;=$O$2,$D420,$D420-($D420-$I$400)*MIN(G$3-$O$2,$Q$2)/$Q$2))</f>
        <v>2889.88232050319</v>
      </c>
      <c r="H420" s="15" t="n">
        <f aca="false">G420*(1+IF(H$3&lt;=$O$2,$D420,$D420-($D420-$I$400)*MIN(H$3-$O$2,$Q$2)/$Q$2))</f>
        <v>3005.1247342451</v>
      </c>
      <c r="I420" s="15" t="n">
        <f aca="false">H420*(1+IF(I$3&lt;=$O$2,$D420,$D420-($D420-$I$400)*MIN(I$3-$O$2,$Q$2)/$Q$2))</f>
        <v>3124.96277246308</v>
      </c>
      <c r="J420" s="15" t="n">
        <f aca="false">I420*(1+IF(J$3&lt;=$O$2,$D420,$D420-($D420-$I$400)*MIN(J$3-$O$2,$Q$2)/$Q$2))</f>
        <v>3245.46856573446</v>
      </c>
      <c r="K420" s="15" t="n">
        <f aca="false">J420*(1+IF(K$3&lt;=$O$2,$D420,$D420-($D420-$I$400)*MIN(K$3-$O$2,$Q$2)/$Q$2))</f>
        <v>3366.35167310758</v>
      </c>
      <c r="L420" s="15" t="n">
        <f aca="false">K420*(1+IF(L$3&lt;=$O$2,$D420,$D420-($D420-$I$400)*MIN(L$3-$O$2,$Q$2)/$Q$2))</f>
        <v>3487.30858229925</v>
      </c>
      <c r="M420" s="15" t="n">
        <f aca="false">L420*(1+IF(M$3&lt;=$O$2,$D420,$D420-($D420-$I$400)*MIN(M$3-$O$2,$Q$2)/$Q$2))</f>
        <v>3608.02378561436</v>
      </c>
      <c r="N420" s="15" t="n">
        <f aca="false">M420*(1+IF(N$3&lt;=$O$2,$D420,$D420-($D420-$I$400)*MIN(N$3-$O$2,$Q$2)/$Q$2))</f>
        <v>3728.17097767531</v>
      </c>
      <c r="O420" s="15" t="n">
        <f aca="false">SUMPRODUCT(E420:N420,1/(1+$F$400)^$E$3:$N$3)*$E$2</f>
        <v>3907.55664246952</v>
      </c>
      <c r="P420" s="15" t="n">
        <f aca="false">N420*$E$2*(1+$I$400)/($F$400-$I$400)/(1+$F$400)^$N$3</f>
        <v>5138.60896340152</v>
      </c>
      <c r="Q420" s="15" t="n">
        <f aca="false">O420+P420</f>
        <v>9046.16560587104</v>
      </c>
      <c r="R420" s="15" t="n">
        <f aca="false">Q420-$G$2+$I$2</f>
        <v>7669.96560587104</v>
      </c>
      <c r="S420" s="42" t="n">
        <f aca="false">R420/$K$2</f>
        <v>204.477888719569</v>
      </c>
      <c r="T420" s="43" t="n">
        <f aca="false">S420-$M$2</f>
        <v>-0.000916932257013059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0.0398778915405273</v>
      </c>
      <c r="C421" s="25" t="n">
        <f aca="false">IF(T420&gt;0,D420,C420)</f>
        <v>0.0398807525634766</v>
      </c>
      <c r="D421" s="41" t="n">
        <f aca="false">(B421+C421)/2</f>
        <v>0.039879322052002</v>
      </c>
      <c r="E421" s="15" t="n">
        <f aca="false">$C$2*(1+IF(E$3&lt;=$O$2,$D421,$D421-($D421-$I$400)*MIN(E$3-$O$2,$Q$2)/$Q$2))</f>
        <v>2672.48985767365</v>
      </c>
      <c r="F421" s="15" t="n">
        <f aca="false">E421*(1+IF(F$3&lt;=$O$2,$D421,$D421-($D421-$I$400)*MIN(F$3-$O$2,$Q$2)/$Q$2))</f>
        <v>2779.06694138852</v>
      </c>
      <c r="G421" s="15" t="n">
        <f aca="false">F421*(1+IF(G$3&lt;=$O$2,$D421,$D421-($D421-$I$400)*MIN(G$3-$O$2,$Q$2)/$Q$2))</f>
        <v>2889.89424694823</v>
      </c>
      <c r="H421" s="15" t="n">
        <f aca="false">G421*(1+IF(H$3&lt;=$O$2,$D421,$D421-($D421-$I$400)*MIN(H$3-$O$2,$Q$2)/$Q$2))</f>
        <v>3005.1412703185</v>
      </c>
      <c r="I421" s="15" t="n">
        <f aca="false">H421*(1+IF(I$3&lt;=$O$2,$D421,$D421-($D421-$I$400)*MIN(I$3-$O$2,$Q$2)/$Q$2))</f>
        <v>3124.9842668493</v>
      </c>
      <c r="J421" s="15" t="n">
        <f aca="false">I421*(1+IF(J$3&lt;=$O$2,$D421,$D421-($D421-$I$400)*MIN(J$3-$O$2,$Q$2)/$Q$2))</f>
        <v>3245.49446525461</v>
      </c>
      <c r="K421" s="15" t="n">
        <f aca="false">J421*(1+IF(K$3&lt;=$O$2,$D421,$D421-($D421-$I$400)*MIN(K$3-$O$2,$Q$2)/$Q$2))</f>
        <v>3366.38132293053</v>
      </c>
      <c r="L421" s="15" t="n">
        <f aca="false">K421*(1+IF(L$3&lt;=$O$2,$D421,$D421-($D421-$I$400)*MIN(L$3-$O$2,$Q$2)/$Q$2))</f>
        <v>3487.34122373348</v>
      </c>
      <c r="M421" s="15" t="n">
        <f aca="false">L421*(1+IF(M$3&lt;=$O$2,$D421,$D421-($D421-$I$400)*MIN(M$3-$O$2,$Q$2)/$Q$2))</f>
        <v>3608.05855468703</v>
      </c>
      <c r="N421" s="15" t="n">
        <f aca="false">M421*(1+IF(N$3&lt;=$O$2,$D421,$D421-($D421-$I$400)*MIN(N$3-$O$2,$Q$2)/$Q$2))</f>
        <v>3728.20690455811</v>
      </c>
      <c r="O421" s="15" t="n">
        <f aca="false">SUMPRODUCT(E421:N421,1/(1+$F$400)^$E$3:$N$3)*$E$2</f>
        <v>3907.58080089737</v>
      </c>
      <c r="P421" s="15" t="n">
        <f aca="false">N421*$E$2*(1+$I$400)/($F$400-$I$400)/(1+$F$400)^$N$3</f>
        <v>5138.65848210736</v>
      </c>
      <c r="Q421" s="15" t="n">
        <f aca="false">O421+P421</f>
        <v>9046.23928300473</v>
      </c>
      <c r="R421" s="15" t="n">
        <f aca="false">Q421-$G$2+$I$2</f>
        <v>7670.03928300473</v>
      </c>
      <c r="S421" s="42" t="n">
        <f aca="false">R421/$K$2</f>
        <v>204.479852919348</v>
      </c>
      <c r="T421" s="43" t="n">
        <f aca="false">S421-$M$2</f>
        <v>0.00104726752152828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0.0398778915405273</v>
      </c>
      <c r="C422" s="25" t="n">
        <f aca="false">IF(T421&gt;0,D421,C421)</f>
        <v>0.039879322052002</v>
      </c>
      <c r="D422" s="41" t="n">
        <f aca="false">(B422+C422)/2</f>
        <v>0.0398786067962647</v>
      </c>
      <c r="E422" s="15" t="n">
        <f aca="false">$C$2*(1+IF(E$3&lt;=$O$2,$D422,$D422-($D422-$I$400)*MIN(E$3-$O$2,$Q$2)/$Q$2))</f>
        <v>2672.4880194664</v>
      </c>
      <c r="F422" s="15" t="n">
        <f aca="false">E422*(1+IF(F$3&lt;=$O$2,$D422,$D422-($D422-$I$400)*MIN(F$3-$O$2,$Q$2)/$Q$2))</f>
        <v>2779.06311836243</v>
      </c>
      <c r="G422" s="15" t="n">
        <f aca="false">F422*(1+IF(G$3&lt;=$O$2,$D422,$D422-($D422-$I$400)*MIN(G$3-$O$2,$Q$2)/$Q$2))</f>
        <v>2889.88828372161</v>
      </c>
      <c r="H422" s="15" t="n">
        <f aca="false">G422*(1+IF(H$3&lt;=$O$2,$D422,$D422-($D422-$I$400)*MIN(H$3-$O$2,$Q$2)/$Q$2))</f>
        <v>3005.13300227327</v>
      </c>
      <c r="I422" s="15" t="n">
        <f aca="false">H422*(1+IF(I$3&lt;=$O$2,$D422,$D422-($D422-$I$400)*MIN(I$3-$O$2,$Q$2)/$Q$2))</f>
        <v>3124.97351964141</v>
      </c>
      <c r="J422" s="15" t="n">
        <f aca="false">I422*(1+IF(J$3&lt;=$O$2,$D422,$D422-($D422-$I$400)*MIN(J$3-$O$2,$Q$2)/$Q$2))</f>
        <v>3245.48151547303</v>
      </c>
      <c r="K422" s="15" t="n">
        <f aca="false">J422*(1+IF(K$3&lt;=$O$2,$D422,$D422-($D422-$I$400)*MIN(K$3-$O$2,$Q$2)/$Q$2))</f>
        <v>3366.36649799119</v>
      </c>
      <c r="L422" s="15" t="n">
        <f aca="false">K422*(1+IF(L$3&lt;=$O$2,$D422,$D422-($D422-$I$400)*MIN(L$3-$O$2,$Q$2)/$Q$2))</f>
        <v>3487.32490298326</v>
      </c>
      <c r="M422" s="15" t="n">
        <f aca="false">L422*(1+IF(M$3&lt;=$O$2,$D422,$D422-($D422-$I$400)*MIN(M$3-$O$2,$Q$2)/$Q$2))</f>
        <v>3608.04117011411</v>
      </c>
      <c r="N422" s="15" t="n">
        <f aca="false">M422*(1+IF(N$3&lt;=$O$2,$D422,$D422-($D422-$I$400)*MIN(N$3-$O$2,$Q$2)/$Q$2))</f>
        <v>3728.18894107891</v>
      </c>
      <c r="O422" s="15" t="n">
        <f aca="false">SUMPRODUCT(E422:N422,1/(1+$F$400)^$E$3:$N$3)*$E$2</f>
        <v>3907.56872166452</v>
      </c>
      <c r="P422" s="15" t="n">
        <f aca="false">N422*$E$2*(1+$I$400)/($F$400-$I$400)/(1+$F$400)^$N$3</f>
        <v>5138.63372270233</v>
      </c>
      <c r="Q422" s="15" t="n">
        <f aca="false">O422+P422</f>
        <v>9046.20244436685</v>
      </c>
      <c r="R422" s="15" t="n">
        <f aca="false">Q422-$G$2+$I$2</f>
        <v>7670.00244436685</v>
      </c>
      <c r="S422" s="42" t="n">
        <f aca="false">R422/$K$2</f>
        <v>204.478870817565</v>
      </c>
      <c r="T422" s="43" t="n">
        <f aca="false">S422-$M$2</f>
        <v>6.51657386470106E-005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0.0398778915405273</v>
      </c>
      <c r="C423" s="25" t="n">
        <f aca="false">IF(T422&gt;0,D422,C422)</f>
        <v>0.0398786067962647</v>
      </c>
      <c r="D423" s="41" t="n">
        <f aca="false">(B423+C423)/2</f>
        <v>0.039878249168396</v>
      </c>
      <c r="E423" s="15" t="n">
        <f aca="false">$C$2*(1+IF(E$3&lt;=$O$2,$D423,$D423-($D423-$I$400)*MIN(E$3-$O$2,$Q$2)/$Q$2))</f>
        <v>2672.48710036278</v>
      </c>
      <c r="F423" s="15" t="n">
        <f aca="false">E423*(1+IF(F$3&lt;=$O$2,$D423,$D423-($D423-$I$400)*MIN(F$3-$O$2,$Q$2)/$Q$2))</f>
        <v>2779.06120685037</v>
      </c>
      <c r="G423" s="15" t="n">
        <f aca="false">F423*(1+IF(G$3&lt;=$O$2,$D423,$D423-($D423-$I$400)*MIN(G$3-$O$2,$Q$2)/$Q$2))</f>
        <v>2889.88530211137</v>
      </c>
      <c r="H423" s="15" t="n">
        <f aca="false">G423*(1+IF(H$3&lt;=$O$2,$D423,$D423-($D423-$I$400)*MIN(H$3-$O$2,$Q$2)/$Q$2))</f>
        <v>3005.12886825705</v>
      </c>
      <c r="I423" s="15" t="n">
        <f aca="false">H423*(1+IF(I$3&lt;=$O$2,$D423,$D423-($D423-$I$400)*MIN(I$3-$O$2,$Q$2)/$Q$2))</f>
        <v>3124.96814604855</v>
      </c>
      <c r="J423" s="15" t="n">
        <f aca="false">I423*(1+IF(J$3&lt;=$O$2,$D423,$D423-($D423-$I$400)*MIN(J$3-$O$2,$Q$2)/$Q$2))</f>
        <v>3245.47504059837</v>
      </c>
      <c r="K423" s="15" t="n">
        <f aca="false">J423*(1+IF(K$3&lt;=$O$2,$D423,$D423-($D423-$I$400)*MIN(K$3-$O$2,$Q$2)/$Q$2))</f>
        <v>3366.35908554242</v>
      </c>
      <c r="L423" s="15" t="n">
        <f aca="false">K423*(1+IF(L$3&lt;=$O$2,$D423,$D423-($D423-$I$400)*MIN(L$3-$O$2,$Q$2)/$Q$2))</f>
        <v>3487.31674263298</v>
      </c>
      <c r="M423" s="15" t="n">
        <f aca="false">L423*(1+IF(M$3&lt;=$O$2,$D423,$D423-($D423-$I$400)*MIN(M$3-$O$2,$Q$2)/$Q$2))</f>
        <v>3608.03247785509</v>
      </c>
      <c r="N423" s="15" t="n">
        <f aca="false">M423*(1+IF(N$3&lt;=$O$2,$D423,$D423-($D423-$I$400)*MIN(N$3-$O$2,$Q$2)/$Q$2))</f>
        <v>3728.17995936766</v>
      </c>
      <c r="O423" s="15" t="n">
        <f aca="false">SUMPRODUCT(E423:N423,1/(1+$F$400)^$E$3:$N$3)*$E$2</f>
        <v>3907.56268206229</v>
      </c>
      <c r="P423" s="15" t="n">
        <f aca="false">N423*$E$2*(1+$I$400)/($F$400-$I$400)/(1+$F$400)^$N$3</f>
        <v>5138.6213430389</v>
      </c>
      <c r="Q423" s="15" t="n">
        <f aca="false">O423+P423</f>
        <v>9046.18402510119</v>
      </c>
      <c r="R423" s="15" t="n">
        <f aca="false">Q423-$G$2+$I$2</f>
        <v>7669.98402510119</v>
      </c>
      <c r="S423" s="42" t="n">
        <f aca="false">R423/$K$2</f>
        <v>204.478379768093</v>
      </c>
      <c r="T423" s="43" t="n">
        <f aca="false">S423-$M$2</f>
        <v>-0.000425883732617649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0.039878249168396</v>
      </c>
      <c r="C424" s="25" t="n">
        <f aca="false">IF(T423&gt;0,D423,C423)</f>
        <v>0.0398786067962647</v>
      </c>
      <c r="D424" s="41" t="n">
        <f aca="false">(B424+C424)/2</f>
        <v>0.0398784279823303</v>
      </c>
      <c r="E424" s="15" t="n">
        <f aca="false">$C$2*(1+IF(E$3&lt;=$O$2,$D424,$D424-($D424-$I$400)*MIN(E$3-$O$2,$Q$2)/$Q$2))</f>
        <v>2672.48755991459</v>
      </c>
      <c r="F424" s="15" t="n">
        <f aca="false">E424*(1+IF(F$3&lt;=$O$2,$D424,$D424-($D424-$I$400)*MIN(F$3-$O$2,$Q$2)/$Q$2))</f>
        <v>2779.06216260632</v>
      </c>
      <c r="G424" s="15" t="n">
        <f aca="false">F424*(1+IF(G$3&lt;=$O$2,$D424,$D424-($D424-$I$400)*MIN(G$3-$O$2,$Q$2)/$Q$2))</f>
        <v>2889.88679291623</v>
      </c>
      <c r="H424" s="15" t="n">
        <f aca="false">G424*(1+IF(H$3&lt;=$O$2,$D424,$D424-($D424-$I$400)*MIN(H$3-$O$2,$Q$2)/$Q$2))</f>
        <v>3005.13093526463</v>
      </c>
      <c r="I424" s="15" t="n">
        <f aca="false">H424*(1+IF(I$3&lt;=$O$2,$D424,$D424-($D424-$I$400)*MIN(I$3-$O$2,$Q$2)/$Q$2))</f>
        <v>3124.97083284405</v>
      </c>
      <c r="J424" s="15" t="n">
        <f aca="false">I424*(1+IF(J$3&lt;=$O$2,$D424,$D424-($D424-$I$400)*MIN(J$3-$O$2,$Q$2)/$Q$2))</f>
        <v>3245.47827803436</v>
      </c>
      <c r="K424" s="15" t="n">
        <f aca="false">J424*(1+IF(K$3&lt;=$O$2,$D424,$D424-($D424-$I$400)*MIN(K$3-$O$2,$Q$2)/$Q$2))</f>
        <v>3366.36279176506</v>
      </c>
      <c r="L424" s="15" t="n">
        <f aca="false">K424*(1+IF(L$3&lt;=$O$2,$D424,$D424-($D424-$I$400)*MIN(L$3-$O$2,$Q$2)/$Q$2))</f>
        <v>3487.32082280605</v>
      </c>
      <c r="M424" s="15" t="n">
        <f aca="false">L424*(1+IF(M$3&lt;=$O$2,$D424,$D424-($D424-$I$400)*MIN(M$3-$O$2,$Q$2)/$Q$2))</f>
        <v>3608.03682398231</v>
      </c>
      <c r="N424" s="15" t="n">
        <f aca="false">M424*(1+IF(N$3&lt;=$O$2,$D424,$D424-($D424-$I$400)*MIN(N$3-$O$2,$Q$2)/$Q$2))</f>
        <v>3728.18445022092</v>
      </c>
      <c r="O424" s="15" t="n">
        <f aca="false">SUMPRODUCT(E424:N424,1/(1+$F$400)^$E$3:$N$3)*$E$2</f>
        <v>3907.56570186222</v>
      </c>
      <c r="P424" s="15" t="n">
        <f aca="false">N424*$E$2*(1+$I$400)/($F$400-$I$400)/(1+$F$400)^$N$3</f>
        <v>5138.62753286736</v>
      </c>
      <c r="Q424" s="15" t="n">
        <f aca="false">O424+P424</f>
        <v>9046.19323472958</v>
      </c>
      <c r="R424" s="15" t="n">
        <f aca="false">Q424-$G$2+$I$2</f>
        <v>7669.99323472958</v>
      </c>
      <c r="S424" s="42" t="n">
        <f aca="false">R424/$K$2</f>
        <v>204.478625292711</v>
      </c>
      <c r="T424" s="43" t="n">
        <f aca="false">S424-$M$2</f>
        <v>-0.000180359115404372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0.0398784279823303</v>
      </c>
      <c r="C425" s="25" t="n">
        <f aca="false">IF(T424&gt;0,D424,C424)</f>
        <v>0.0398786067962647</v>
      </c>
      <c r="D425" s="41" t="n">
        <f aca="false">(B425+C425)/2</f>
        <v>0.0398785173892975</v>
      </c>
      <c r="E425" s="15" t="n">
        <f aca="false">$C$2*(1+IF(E$3&lt;=$O$2,$D425,$D425-($D425-$I$400)*MIN(E$3-$O$2,$Q$2)/$Q$2))</f>
        <v>2672.48778969049</v>
      </c>
      <c r="F425" s="15" t="n">
        <f aca="false">E425*(1+IF(F$3&lt;=$O$2,$D425,$D425-($D425-$I$400)*MIN(F$3-$O$2,$Q$2)/$Q$2))</f>
        <v>2779.06264048435</v>
      </c>
      <c r="G425" s="15" t="n">
        <f aca="false">F425*(1+IF(G$3&lt;=$O$2,$D425,$D425-($D425-$I$400)*MIN(G$3-$O$2,$Q$2)/$Q$2))</f>
        <v>2889.88753831885</v>
      </c>
      <c r="H425" s="15" t="n">
        <f aca="false">G425*(1+IF(H$3&lt;=$O$2,$D425,$D425-($D425-$I$400)*MIN(H$3-$O$2,$Q$2)/$Q$2))</f>
        <v>3005.13196876882</v>
      </c>
      <c r="I425" s="15" t="n">
        <f aca="false">H425*(1+IF(I$3&lt;=$O$2,$D425,$D425-($D425-$I$400)*MIN(I$3-$O$2,$Q$2)/$Q$2))</f>
        <v>3124.9721762425</v>
      </c>
      <c r="J425" s="15" t="n">
        <f aca="false">I425*(1+IF(J$3&lt;=$O$2,$D425,$D425-($D425-$I$400)*MIN(J$3-$O$2,$Q$2)/$Q$2))</f>
        <v>3245.47989675336</v>
      </c>
      <c r="K425" s="15" t="n">
        <f aca="false">J425*(1+IF(K$3&lt;=$O$2,$D425,$D425-($D425-$I$400)*MIN(K$3-$O$2,$Q$2)/$Q$2))</f>
        <v>3366.36464487769</v>
      </c>
      <c r="L425" s="15" t="n">
        <f aca="false">K425*(1+IF(L$3&lt;=$O$2,$D425,$D425-($D425-$I$400)*MIN(L$3-$O$2,$Q$2)/$Q$2))</f>
        <v>3487.32286289414</v>
      </c>
      <c r="M425" s="15" t="n">
        <f aca="false">L425*(1+IF(M$3&lt;=$O$2,$D425,$D425-($D425-$I$400)*MIN(M$3-$O$2,$Q$2)/$Q$2))</f>
        <v>3608.03899704764</v>
      </c>
      <c r="N425" s="15" t="n">
        <f aca="false">M425*(1+IF(N$3&lt;=$O$2,$D425,$D425-($D425-$I$400)*MIN(N$3-$O$2,$Q$2)/$Q$2))</f>
        <v>3728.18669564933</v>
      </c>
      <c r="O425" s="15" t="n">
        <f aca="false">SUMPRODUCT(E425:N425,1/(1+$F$400)^$E$3:$N$3)*$E$2</f>
        <v>3907.56721176307</v>
      </c>
      <c r="P425" s="15" t="n">
        <f aca="false">N425*$E$2*(1+$I$400)/($F$400-$I$400)/(1+$F$400)^$N$3</f>
        <v>5138.63062778403</v>
      </c>
      <c r="Q425" s="15" t="n">
        <f aca="false">O425+P425</f>
        <v>9046.19783954711</v>
      </c>
      <c r="R425" s="15" t="n">
        <f aca="false">Q425-$G$2+$I$2</f>
        <v>7669.99783954711</v>
      </c>
      <c r="S425" s="42" t="n">
        <f aca="false">R425/$K$2</f>
        <v>204.478748055108</v>
      </c>
      <c r="T425" s="43" t="n">
        <f aca="false">S425-$M$2</f>
        <v>-5.75967179088366E-005</v>
      </c>
    </row>
    <row r="427" customFormat="false" ht="15" hidden="false" customHeight="false" outlineLevel="0" collapsed="false">
      <c r="A427" s="38" t="s">
        <v>196</v>
      </c>
      <c r="E427" s="5" t="s">
        <v>11</v>
      </c>
      <c r="F427" s="12" t="n">
        <f aca="false">Sensitivity!$B$12</f>
        <v>0.094183337553844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162</v>
      </c>
      <c r="B428" s="28" t="s">
        <v>163</v>
      </c>
      <c r="C428" s="28" t="s">
        <v>164</v>
      </c>
      <c r="D428" s="28" t="s">
        <v>165</v>
      </c>
      <c r="E428" s="28" t="s">
        <v>166</v>
      </c>
      <c r="F428" s="28" t="s">
        <v>167</v>
      </c>
      <c r="G428" s="28" t="s">
        <v>168</v>
      </c>
      <c r="H428" s="28" t="s">
        <v>169</v>
      </c>
      <c r="I428" s="28" t="s">
        <v>170</v>
      </c>
      <c r="J428" s="28" t="s">
        <v>171</v>
      </c>
      <c r="K428" s="28" t="s">
        <v>172</v>
      </c>
      <c r="L428" s="28" t="s">
        <v>173</v>
      </c>
      <c r="M428" s="28" t="s">
        <v>174</v>
      </c>
      <c r="N428" s="28" t="s">
        <v>175</v>
      </c>
      <c r="O428" s="28" t="s">
        <v>176</v>
      </c>
      <c r="P428" s="28" t="s">
        <v>177</v>
      </c>
      <c r="Q428" s="28" t="s">
        <v>178</v>
      </c>
      <c r="R428" s="28" t="s">
        <v>179</v>
      </c>
      <c r="S428" s="28" t="s">
        <v>180</v>
      </c>
      <c r="T428" s="28" t="s">
        <v>181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3212.5</v>
      </c>
      <c r="F429" s="15" t="n">
        <f aca="false">E429*(1+IF(F$3&lt;=$O$2,$D429,$D429-($D429-$I$427)*MIN(F$3-$O$2,$Q$2)/$Q$2))</f>
        <v>4015.625</v>
      </c>
      <c r="G429" s="15" t="n">
        <f aca="false">F429*(1+IF(G$3&lt;=$O$2,$D429,$D429-($D429-$I$427)*MIN(G$3-$O$2,$Q$2)/$Q$2))</f>
        <v>5019.53125</v>
      </c>
      <c r="H429" s="15" t="n">
        <f aca="false">G429*(1+IF(H$3&lt;=$O$2,$D429,$D429-($D429-$I$427)*MIN(H$3-$O$2,$Q$2)/$Q$2))</f>
        <v>6274.4140625</v>
      </c>
      <c r="I429" s="15" t="n">
        <f aca="false">H429*(1+IF(I$3&lt;=$O$2,$D429,$D429-($D429-$I$427)*MIN(I$3-$O$2,$Q$2)/$Q$2))</f>
        <v>7843.017578125</v>
      </c>
      <c r="J429" s="15" t="n">
        <f aca="false">I429*(1+IF(J$3&lt;=$O$2,$D429,$D429-($D429-$I$427)*MIN(J$3-$O$2,$Q$2)/$Q$2))</f>
        <v>9471.69860839844</v>
      </c>
      <c r="K429" s="15" t="n">
        <f aca="false">J429*(1+IF(K$3&lt;=$O$2,$D429,$D429-($D429-$I$427)*MIN(K$3-$O$2,$Q$2)/$Q$2))</f>
        <v>11037.5598223389</v>
      </c>
      <c r="L429" s="15" t="n">
        <f aca="false">K429*(1+IF(L$3&lt;=$O$2,$D429,$D429-($D429-$I$427)*MIN(L$3-$O$2,$Q$2)/$Q$2))</f>
        <v>12394.9589292901</v>
      </c>
      <c r="M429" s="15" t="n">
        <f aca="false">L429*(1+IF(M$3&lt;=$O$2,$D429,$D429-($D429-$I$427)*MIN(M$3-$O$2,$Q$2)/$Q$2))</f>
        <v>13394.4884173481</v>
      </c>
      <c r="N429" s="15" t="n">
        <f aca="false">M429*(1+IF(N$3&lt;=$O$2,$D429,$D429-($D429-$I$427)*MIN(N$3-$O$2,$Q$2)/$Q$2))</f>
        <v>13907.4973237325</v>
      </c>
      <c r="O429" s="15" t="n">
        <f aca="false">SUMPRODUCT(E429:N429,1/(1+$F$427)^$E$3:$N$3)*$E$2</f>
        <v>9697.13644720027</v>
      </c>
      <c r="P429" s="15" t="n">
        <f aca="false">N429*$E$2*(1+$I$427)/($F$427-$I$427)/(1+$F$427)^$N$3</f>
        <v>20985.1111837351</v>
      </c>
      <c r="Q429" s="15" t="n">
        <f aca="false">O429+P429</f>
        <v>30682.2476309354</v>
      </c>
      <c r="R429" s="15" t="n">
        <f aca="false">Q429-$G$2+$I$2</f>
        <v>29306.0476309354</v>
      </c>
      <c r="S429" s="42" t="n">
        <f aca="false">R429/$K$2</f>
        <v>781.286260488814</v>
      </c>
      <c r="T429" s="43" t="n">
        <f aca="false">S429-$M$2</f>
        <v>576.807454836988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2248.75</v>
      </c>
      <c r="F430" s="15" t="n">
        <f aca="false">E430*(1+IF(F$3&lt;=$O$2,$D430,$D430-($D430-$I$427)*MIN(F$3-$O$2,$Q$2)/$Q$2))</f>
        <v>1967.65625</v>
      </c>
      <c r="G430" s="15" t="n">
        <f aca="false">F430*(1+IF(G$3&lt;=$O$2,$D430,$D430-($D430-$I$427)*MIN(G$3-$O$2,$Q$2)/$Q$2))</f>
        <v>1721.69921875</v>
      </c>
      <c r="H430" s="15" t="n">
        <f aca="false">G430*(1+IF(H$3&lt;=$O$2,$D430,$D430-($D430-$I$427)*MIN(H$3-$O$2,$Q$2)/$Q$2))</f>
        <v>1506.48681640625</v>
      </c>
      <c r="I430" s="15" t="n">
        <f aca="false">H430*(1+IF(I$3&lt;=$O$2,$D430,$D430-($D430-$I$427)*MIN(I$3-$O$2,$Q$2)/$Q$2))</f>
        <v>1318.17596435547</v>
      </c>
      <c r="J430" s="15" t="n">
        <f aca="false">I430*(1+IF(J$3&lt;=$O$2,$D430,$D430-($D430-$I$427)*MIN(J$3-$O$2,$Q$2)/$Q$2))</f>
        <v>1196.45559580688</v>
      </c>
      <c r="K430" s="15" t="n">
        <f aca="false">J430*(1+IF(K$3&lt;=$O$2,$D430,$D430-($D430-$I$427)*MIN(K$3-$O$2,$Q$2)/$Q$2))</f>
        <v>1125.05112584913</v>
      </c>
      <c r="L430" s="15" t="n">
        <f aca="false">K430*(1+IF(L$3&lt;=$O$2,$D430,$D430-($D430-$I$427)*MIN(L$3-$O$2,$Q$2)/$Q$2))</f>
        <v>1094.65224442869</v>
      </c>
      <c r="M430" s="15" t="n">
        <f aca="false">L430*(1+IF(M$3&lt;=$O$2,$D430,$D430-($D430-$I$427)*MIN(M$3-$O$2,$Q$2)/$Q$2))</f>
        <v>1100.82608308726</v>
      </c>
      <c r="N430" s="15" t="n">
        <f aca="false">M430*(1+IF(N$3&lt;=$O$2,$D430,$D430-($D430-$I$427)*MIN(N$3-$O$2,$Q$2)/$Q$2))</f>
        <v>1142.98772206951</v>
      </c>
      <c r="O430" s="15" t="n">
        <f aca="false">SUMPRODUCT(E430:N430,1/(1+$F$427)^$E$3:$N$3)*$E$2</f>
        <v>1935.32283401568</v>
      </c>
      <c r="P430" s="15" t="n">
        <f aca="false">N430*$E$2*(1+$I$427)/($F$427-$I$427)/(1+$F$427)^$N$3</f>
        <v>1724.66144489866</v>
      </c>
      <c r="Q430" s="15" t="n">
        <f aca="false">O430+P430</f>
        <v>3659.98427891434</v>
      </c>
      <c r="R430" s="15" t="n">
        <f aca="false">Q430-$G$2+$I$2</f>
        <v>2283.78427891434</v>
      </c>
      <c r="S430" s="42" t="n">
        <f aca="false">R430/$K$2</f>
        <v>60.8846781901983</v>
      </c>
      <c r="T430" s="43" t="n">
        <f aca="false">S430-$M$2</f>
        <v>-143.594127461628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2730.625</v>
      </c>
      <c r="F431" s="15" t="n">
        <f aca="false">E431*(1+IF(F$3&lt;=$O$2,$D431,$D431-($D431-$I$427)*MIN(F$3-$O$2,$Q$2)/$Q$2))</f>
        <v>2901.2890625</v>
      </c>
      <c r="G431" s="15" t="n">
        <f aca="false">F431*(1+IF(G$3&lt;=$O$2,$D431,$D431-($D431-$I$427)*MIN(G$3-$O$2,$Q$2)/$Q$2))</f>
        <v>3082.61962890625</v>
      </c>
      <c r="H431" s="15" t="n">
        <f aca="false">G431*(1+IF(H$3&lt;=$O$2,$D431,$D431-($D431-$I$427)*MIN(H$3-$O$2,$Q$2)/$Q$2))</f>
        <v>3275.28335571289</v>
      </c>
      <c r="I431" s="15" t="n">
        <f aca="false">H431*(1+IF(I$3&lt;=$O$2,$D431,$D431-($D431-$I$427)*MIN(I$3-$O$2,$Q$2)/$Q$2))</f>
        <v>3479.98856544495</v>
      </c>
      <c r="J431" s="15" t="n">
        <f aca="false">I431*(1+IF(J$3&lt;=$O$2,$D431,$D431-($D431-$I$427)*MIN(J$3-$O$2,$Q$2)/$Q$2))</f>
        <v>3680.6447061285</v>
      </c>
      <c r="K431" s="15" t="n">
        <f aca="false">J431*(1+IF(K$3&lt;=$O$2,$D431,$D431-($D431-$I$427)*MIN(K$3-$O$2,$Q$2)/$Q$2))</f>
        <v>3875.05635950621</v>
      </c>
      <c r="L431" s="15" t="n">
        <f aca="false">K431*(1+IF(L$3&lt;=$O$2,$D431,$D431-($D431-$I$427)*MIN(L$3-$O$2,$Q$2)/$Q$2))</f>
        <v>4060.98156363532</v>
      </c>
      <c r="M431" s="15" t="n">
        <f aca="false">L431*(1+IF(M$3&lt;=$O$2,$D431,$D431-($D431-$I$427)*MIN(M$3-$O$2,$Q$2)/$Q$2))</f>
        <v>4236.17230829055</v>
      </c>
      <c r="N431" s="15" t="n">
        <f aca="false">M431*(1+IF(N$3&lt;=$O$2,$D431,$D431-($D431-$I$427)*MIN(N$3-$O$2,$Q$2)/$Q$2))</f>
        <v>4398.41770769807</v>
      </c>
      <c r="O431" s="15" t="n">
        <f aca="false">SUMPRODUCT(E431:N431,1/(1+$F$427)^$E$3:$N$3)*$E$2</f>
        <v>4321.63537687298</v>
      </c>
      <c r="P431" s="15" t="n">
        <f aca="false">N431*$E$2*(1+$I$427)/($F$427-$I$427)/(1+$F$427)^$N$3</f>
        <v>6636.80045949358</v>
      </c>
      <c r="Q431" s="15" t="n">
        <f aca="false">O431+P431</f>
        <v>10958.4358363666</v>
      </c>
      <c r="R431" s="15" t="n">
        <f aca="false">Q431-$G$2+$I$2</f>
        <v>9582.23583636655</v>
      </c>
      <c r="S431" s="42" t="n">
        <f aca="false">R431/$K$2</f>
        <v>255.458166791964</v>
      </c>
      <c r="T431" s="43" t="n">
        <f aca="false">S431-$M$2</f>
        <v>50.9793611401374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2489.6875</v>
      </c>
      <c r="F432" s="15" t="n">
        <f aca="false">E432*(1+IF(F$3&lt;=$O$2,$D432,$D432-($D432-$I$427)*MIN(F$3-$O$2,$Q$2)/$Q$2))</f>
        <v>2411.884765625</v>
      </c>
      <c r="G432" s="15" t="n">
        <f aca="false">F432*(1+IF(G$3&lt;=$O$2,$D432,$D432-($D432-$I$427)*MIN(G$3-$O$2,$Q$2)/$Q$2))</f>
        <v>2336.51336669922</v>
      </c>
      <c r="H432" s="15" t="n">
        <f aca="false">G432*(1+IF(H$3&lt;=$O$2,$D432,$D432-($D432-$I$427)*MIN(H$3-$O$2,$Q$2)/$Q$2))</f>
        <v>2263.49732398987</v>
      </c>
      <c r="I432" s="15" t="n">
        <f aca="false">H432*(1+IF(I$3&lt;=$O$2,$D432,$D432-($D432-$I$427)*MIN(I$3-$O$2,$Q$2)/$Q$2))</f>
        <v>2192.76303261519</v>
      </c>
      <c r="J432" s="15" t="n">
        <f aca="false">I432*(1+IF(J$3&lt;=$O$2,$D432,$D432-($D432-$I$427)*MIN(J$3-$O$2,$Q$2)/$Q$2))</f>
        <v>2154.74052162964</v>
      </c>
      <c r="K432" s="15" t="n">
        <f aca="false">J432*(1+IF(K$3&lt;=$O$2,$D432,$D432-($D432-$I$427)*MIN(K$3-$O$2,$Q$2)/$Q$2))</f>
        <v>2147.34976164045</v>
      </c>
      <c r="L432" s="15" t="n">
        <f aca="false">K432*(1+IF(L$3&lt;=$O$2,$D432,$D432-($D432-$I$427)*MIN(L$3-$O$2,$Q$2)/$Q$2))</f>
        <v>2169.85398714244</v>
      </c>
      <c r="M432" s="15" t="n">
        <f aca="false">L432*(1+IF(M$3&lt;=$O$2,$D432,$D432-($D432-$I$427)*MIN(M$3-$O$2,$Q$2)/$Q$2))</f>
        <v>2222.77672588884</v>
      </c>
      <c r="N432" s="15" t="n">
        <f aca="false">M432*(1+IF(N$3&lt;=$O$2,$D432,$D432-($D432-$I$427)*MIN(N$3-$O$2,$Q$2)/$Q$2))</f>
        <v>2307.90907449039</v>
      </c>
      <c r="O432" s="15" t="n">
        <f aca="false">SUMPRODUCT(E432:N432,1/(1+$F$427)^$E$3:$N$3)*$E$2</f>
        <v>2883.2472059061</v>
      </c>
      <c r="P432" s="15" t="n">
        <f aca="false">N432*$E$2*(1+$I$427)/($F$427-$I$427)/(1+$F$427)^$N$3</f>
        <v>3482.41868416437</v>
      </c>
      <c r="Q432" s="15" t="n">
        <f aca="false">O432+P432</f>
        <v>6365.66589007047</v>
      </c>
      <c r="R432" s="15" t="n">
        <f aca="false">Q432-$G$2+$I$2</f>
        <v>4989.46589007047</v>
      </c>
      <c r="S432" s="42" t="n">
        <f aca="false">R432/$K$2</f>
        <v>133.016952547866</v>
      </c>
      <c r="T432" s="43" t="n">
        <f aca="false">S432-$M$2</f>
        <v>-71.4618531039597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41" t="n">
        <f aca="false">(B433+C433)/2</f>
        <v>0.015625</v>
      </c>
      <c r="E433" s="15" t="n">
        <f aca="false">$C$2*(1+IF(E$3&lt;=$O$2,$D433,$D433-($D433-$I$427)*MIN(E$3-$O$2,$Q$2)/$Q$2))</f>
        <v>2610.15625</v>
      </c>
      <c r="F433" s="15" t="n">
        <f aca="false">E433*(1+IF(F$3&lt;=$O$2,$D433,$D433-($D433-$I$427)*MIN(F$3-$O$2,$Q$2)/$Q$2))</f>
        <v>2650.93994140625</v>
      </c>
      <c r="G433" s="15" t="n">
        <f aca="false">F433*(1+IF(G$3&lt;=$O$2,$D433,$D433-($D433-$I$427)*MIN(G$3-$O$2,$Q$2)/$Q$2))</f>
        <v>2692.36087799072</v>
      </c>
      <c r="H433" s="15" t="n">
        <f aca="false">G433*(1+IF(H$3&lt;=$O$2,$D433,$D433-($D433-$I$427)*MIN(H$3-$O$2,$Q$2)/$Q$2))</f>
        <v>2734.42901670933</v>
      </c>
      <c r="I433" s="15" t="n">
        <f aca="false">H433*(1+IF(I$3&lt;=$O$2,$D433,$D433-($D433-$I$427)*MIN(I$3-$O$2,$Q$2)/$Q$2))</f>
        <v>2777.15447009541</v>
      </c>
      <c r="J433" s="15" t="n">
        <f aca="false">I433*(1+IF(J$3&lt;=$O$2,$D433,$D433-($D433-$I$427)*MIN(J$3-$O$2,$Q$2)/$Q$2))</f>
        <v>2833.14190421253</v>
      </c>
      <c r="K433" s="15" t="n">
        <f aca="false">J433*(1+IF(K$3&lt;=$O$2,$D433,$D433-($D433-$I$427)*MIN(K$3-$O$2,$Q$2)/$Q$2))</f>
        <v>2903.10634353706</v>
      </c>
      <c r="L433" s="15" t="n">
        <f aca="false">K433*(1+IF(L$3&lt;=$O$2,$D433,$D433-($D433-$I$427)*MIN(L$3-$O$2,$Q$2)/$Q$2))</f>
        <v>2987.96414195865</v>
      </c>
      <c r="M433" s="15" t="n">
        <f aca="false">L433*(1+IF(M$3&lt;=$O$2,$D433,$D433-($D433-$I$427)*MIN(M$3-$O$2,$Q$2)/$Q$2))</f>
        <v>3088.85275121189</v>
      </c>
      <c r="N433" s="15" t="n">
        <f aca="false">M433*(1+IF(N$3&lt;=$O$2,$D433,$D433-($D433-$I$427)*MIN(N$3-$O$2,$Q$2)/$Q$2))</f>
        <v>3207.1558115833</v>
      </c>
      <c r="O433" s="15" t="n">
        <f aca="false">SUMPRODUCT(E433:N433,1/(1+$F$427)^$E$3:$N$3)*$E$2</f>
        <v>3528.37138854875</v>
      </c>
      <c r="P433" s="15" t="n">
        <f aca="false">N433*$E$2*(1+$I$427)/($F$427-$I$427)/(1+$F$427)^$N$3</f>
        <v>4839.2978062839</v>
      </c>
      <c r="Q433" s="15" t="n">
        <f aca="false">O433+P433</f>
        <v>8367.66919483265</v>
      </c>
      <c r="R433" s="15" t="n">
        <f aca="false">Q433-$G$2+$I$2</f>
        <v>6991.46919483265</v>
      </c>
      <c r="S433" s="42" t="n">
        <f aca="false">R433/$K$2</f>
        <v>186.389474668959</v>
      </c>
      <c r="T433" s="43" t="n">
        <f aca="false">S433-$M$2</f>
        <v>-18.089330982867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0.015625</v>
      </c>
      <c r="C434" s="25" t="n">
        <f aca="false">IF(T433&gt;0,D433,C433)</f>
        <v>0.0625</v>
      </c>
      <c r="D434" s="41" t="n">
        <f aca="false">(B434+C434)/2</f>
        <v>0.0390625</v>
      </c>
      <c r="E434" s="15" t="n">
        <f aca="false">$C$2*(1+IF(E$3&lt;=$O$2,$D434,$D434-($D434-$I$427)*MIN(E$3-$O$2,$Q$2)/$Q$2))</f>
        <v>2670.390625</v>
      </c>
      <c r="F434" s="15" t="n">
        <f aca="false">E434*(1+IF(F$3&lt;=$O$2,$D434,$D434-($D434-$I$427)*MIN(F$3-$O$2,$Q$2)/$Q$2))</f>
        <v>2774.70275878906</v>
      </c>
      <c r="G434" s="15" t="n">
        <f aca="false">F434*(1+IF(G$3&lt;=$O$2,$D434,$D434-($D434-$I$427)*MIN(G$3-$O$2,$Q$2)/$Q$2))</f>
        <v>2883.08958530426</v>
      </c>
      <c r="H434" s="15" t="n">
        <f aca="false">G434*(1+IF(H$3&lt;=$O$2,$D434,$D434-($D434-$I$427)*MIN(H$3-$O$2,$Q$2)/$Q$2))</f>
        <v>2995.71027223021</v>
      </c>
      <c r="I434" s="15" t="n">
        <f aca="false">H434*(1+IF(I$3&lt;=$O$2,$D434,$D434-($D434-$I$427)*MIN(I$3-$O$2,$Q$2)/$Q$2))</f>
        <v>3112.7302047392</v>
      </c>
      <c r="J434" s="15" t="n">
        <f aca="false">I434*(1+IF(J$3&lt;=$O$2,$D434,$D434-($D434-$I$427)*MIN(J$3-$O$2,$Q$2)/$Q$2))</f>
        <v>3233.8465370056</v>
      </c>
      <c r="K434" s="15" t="n">
        <f aca="false">J434*(1+IF(K$3&lt;=$O$2,$D434,$D434-($D434-$I$427)*MIN(K$3-$O$2,$Q$2)/$Q$2))</f>
        <v>3359.1823441636</v>
      </c>
      <c r="L434" s="15" t="n">
        <f aca="false">K434*(1+IF(L$3&lt;=$O$2,$D434,$D434-($D434-$I$427)*MIN(L$3-$O$2,$Q$2)/$Q$2))</f>
        <v>3488.86357856003</v>
      </c>
      <c r="M434" s="15" t="n">
        <f aca="false">L434*(1+IF(M$3&lt;=$O$2,$D434,$D434-($D434-$I$427)*MIN(M$3-$O$2,$Q$2)/$Q$2))</f>
        <v>3623.01910531461</v>
      </c>
      <c r="N434" s="15" t="n">
        <f aca="false">M434*(1+IF(N$3&lt;=$O$2,$D434,$D434-($D434-$I$427)*MIN(N$3-$O$2,$Q$2)/$Q$2))</f>
        <v>3761.78073704816</v>
      </c>
      <c r="O434" s="15" t="n">
        <f aca="false">SUMPRODUCT(E434:N434,1/(1+$F$427)^$E$3:$N$3)*$E$2</f>
        <v>3904.63872983584</v>
      </c>
      <c r="P434" s="15" t="n">
        <f aca="false">N434*$E$2*(1+$I$427)/($F$427-$I$427)/(1+$F$427)^$N$3</f>
        <v>5676.1748845408</v>
      </c>
      <c r="Q434" s="15" t="n">
        <f aca="false">O434+P434</f>
        <v>9580.81361437665</v>
      </c>
      <c r="R434" s="15" t="n">
        <f aca="false">Q434-$G$2+$I$2</f>
        <v>8204.61361437665</v>
      </c>
      <c r="S434" s="42" t="n">
        <f aca="false">R434/$K$2</f>
        <v>218.731368018572</v>
      </c>
      <c r="T434" s="43" t="n">
        <f aca="false">S434-$M$2</f>
        <v>14.2525623667462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0.015625</v>
      </c>
      <c r="C435" s="25" t="n">
        <f aca="false">IF(T434&gt;0,D434,C434)</f>
        <v>0.0390625</v>
      </c>
      <c r="D435" s="41" t="n">
        <f aca="false">(B435+C435)/2</f>
        <v>0.02734375</v>
      </c>
      <c r="E435" s="15" t="n">
        <f aca="false">$C$2*(1+IF(E$3&lt;=$O$2,$D435,$D435-($D435-$I$427)*MIN(E$3-$O$2,$Q$2)/$Q$2))</f>
        <v>2640.2734375</v>
      </c>
      <c r="F435" s="15" t="n">
        <f aca="false">E435*(1+IF(F$3&lt;=$O$2,$D435,$D435-($D435-$I$427)*MIN(F$3-$O$2,$Q$2)/$Q$2))</f>
        <v>2712.46841430664</v>
      </c>
      <c r="G435" s="15" t="n">
        <f aca="false">F435*(1+IF(G$3&lt;=$O$2,$D435,$D435-($D435-$I$427)*MIN(G$3-$O$2,$Q$2)/$Q$2))</f>
        <v>2786.63747251034</v>
      </c>
      <c r="H435" s="15" t="n">
        <f aca="false">G435*(1+IF(H$3&lt;=$O$2,$D435,$D435-($D435-$I$427)*MIN(H$3-$O$2,$Q$2)/$Q$2))</f>
        <v>2862.83459089929</v>
      </c>
      <c r="I435" s="15" t="n">
        <f aca="false">H435*(1+IF(I$3&lt;=$O$2,$D435,$D435-($D435-$I$427)*MIN(I$3-$O$2,$Q$2)/$Q$2))</f>
        <v>2941.1152242442</v>
      </c>
      <c r="J435" s="15" t="n">
        <f aca="false">I435*(1+IF(J$3&lt;=$O$2,$D435,$D435-($D435-$I$427)*MIN(J$3-$O$2,$Q$2)/$Q$2))</f>
        <v>3027.98106239225</v>
      </c>
      <c r="K435" s="15" t="n">
        <f aca="false">J435*(1+IF(K$3&lt;=$O$2,$D435,$D435-($D435-$I$427)*MIN(K$3-$O$2,$Q$2)/$Q$2))</f>
        <v>3124.04754657297</v>
      </c>
      <c r="L435" s="15" t="n">
        <f aca="false">K435*(1+IF(L$3&lt;=$O$2,$D435,$D435-($D435-$I$427)*MIN(L$3-$O$2,$Q$2)/$Q$2))</f>
        <v>3230.00742923386</v>
      </c>
      <c r="M435" s="15" t="n">
        <f aca="false">L435*(1+IF(M$3&lt;=$O$2,$D435,$D435-($D435-$I$427)*MIN(M$3-$O$2,$Q$2)/$Q$2))</f>
        <v>3346.63895999421</v>
      </c>
      <c r="N435" s="15" t="n">
        <f aca="false">M435*(1+IF(N$3&lt;=$O$2,$D435,$D435-($D435-$I$427)*MIN(N$3-$O$2,$Q$2)/$Q$2))</f>
        <v>3474.81523216198</v>
      </c>
      <c r="O435" s="15" t="n">
        <f aca="false">SUMPRODUCT(E435:N435,1/(1+$F$427)^$E$3:$N$3)*$E$2</f>
        <v>3711.65710034424</v>
      </c>
      <c r="P435" s="15" t="n">
        <f aca="false">N435*$E$2*(1+$I$427)/($F$427-$I$427)/(1+$F$427)^$N$3</f>
        <v>5243.17080869915</v>
      </c>
      <c r="Q435" s="15" t="n">
        <f aca="false">O435+P435</f>
        <v>8954.82790904339</v>
      </c>
      <c r="R435" s="15" t="n">
        <f aca="false">Q435-$G$2+$I$2</f>
        <v>7578.62790904339</v>
      </c>
      <c r="S435" s="42" t="n">
        <f aca="false">R435/$K$2</f>
        <v>202.042866143519</v>
      </c>
      <c r="T435" s="43" t="n">
        <f aca="false">S435-$M$2</f>
        <v>-2.43593950830734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0.02734375</v>
      </c>
      <c r="C436" s="25" t="n">
        <f aca="false">IF(T435&gt;0,D435,C435)</f>
        <v>0.0390625</v>
      </c>
      <c r="D436" s="41" t="n">
        <f aca="false">(B436+C436)/2</f>
        <v>0.033203125</v>
      </c>
      <c r="E436" s="15" t="n">
        <f aca="false">$C$2*(1+IF(E$3&lt;=$O$2,$D436,$D436-($D436-$I$427)*MIN(E$3-$O$2,$Q$2)/$Q$2))</f>
        <v>2655.33203125</v>
      </c>
      <c r="F436" s="15" t="n">
        <f aca="false">E436*(1+IF(F$3&lt;=$O$2,$D436,$D436-($D436-$I$427)*MIN(F$3-$O$2,$Q$2)/$Q$2))</f>
        <v>2743.4973526001</v>
      </c>
      <c r="G436" s="15" t="n">
        <f aca="false">F436*(1+IF(G$3&lt;=$O$2,$D436,$D436-($D436-$I$427)*MIN(G$3-$O$2,$Q$2)/$Q$2))</f>
        <v>2834.59003813565</v>
      </c>
      <c r="H436" s="15" t="n">
        <f aca="false">G436*(1+IF(H$3&lt;=$O$2,$D436,$D436-($D436-$I$427)*MIN(H$3-$O$2,$Q$2)/$Q$2))</f>
        <v>2928.70728549562</v>
      </c>
      <c r="I436" s="15" t="n">
        <f aca="false">H436*(1+IF(I$3&lt;=$O$2,$D436,$D436-($D436-$I$427)*MIN(I$3-$O$2,$Q$2)/$Q$2))</f>
        <v>3025.94951958434</v>
      </c>
      <c r="J436" s="15" t="n">
        <f aca="false">I436*(1+IF(J$3&lt;=$O$2,$D436,$D436-($D436-$I$427)*MIN(J$3-$O$2,$Q$2)/$Q$2))</f>
        <v>3129.50507701832</v>
      </c>
      <c r="K436" s="15" t="n">
        <f aca="false">J436*(1+IF(K$3&lt;=$O$2,$D436,$D436-($D436-$I$427)*MIN(K$3-$O$2,$Q$2)/$Q$2))</f>
        <v>3239.79470375446</v>
      </c>
      <c r="L436" s="15" t="n">
        <f aca="false">K436*(1+IF(L$3&lt;=$O$2,$D436,$D436-($D436-$I$427)*MIN(L$3-$O$2,$Q$2)/$Q$2))</f>
        <v>3357.27370945598</v>
      </c>
      <c r="M436" s="15" t="n">
        <f aca="false">L436*(1+IF(M$3&lt;=$O$2,$D436,$D436-($D436-$I$427)*MIN(M$3-$O$2,$Q$2)/$Q$2))</f>
        <v>3482.43497164057</v>
      </c>
      <c r="N436" s="15" t="n">
        <f aca="false">M436*(1+IF(N$3&lt;=$O$2,$D436,$D436-($D436-$I$427)*MIN(N$3-$O$2,$Q$2)/$Q$2))</f>
        <v>3615.8122310544</v>
      </c>
      <c r="O436" s="15" t="n">
        <f aca="false">SUMPRODUCT(E436:N436,1/(1+$F$427)^$E$3:$N$3)*$E$2</f>
        <v>3806.90632383011</v>
      </c>
      <c r="P436" s="15" t="n">
        <f aca="false">N436*$E$2*(1+$I$427)/($F$427-$I$427)/(1+$F$427)^$N$3</f>
        <v>5455.92207727435</v>
      </c>
      <c r="Q436" s="15" t="n">
        <f aca="false">O436+P436</f>
        <v>9262.82840110446</v>
      </c>
      <c r="R436" s="15" t="n">
        <f aca="false">Q436-$G$2+$I$2</f>
        <v>7886.62840110446</v>
      </c>
      <c r="S436" s="42" t="n">
        <f aca="false">R436/$K$2</f>
        <v>210.254022956664</v>
      </c>
      <c r="T436" s="43" t="n">
        <f aca="false">S436-$M$2</f>
        <v>5.77521730483764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0.02734375</v>
      </c>
      <c r="C437" s="25" t="n">
        <f aca="false">IF(T436&gt;0,D436,C436)</f>
        <v>0.033203125</v>
      </c>
      <c r="D437" s="41" t="n">
        <f aca="false">(B437+C437)/2</f>
        <v>0.0302734375</v>
      </c>
      <c r="E437" s="15" t="n">
        <f aca="false">$C$2*(1+IF(E$3&lt;=$O$2,$D437,$D437-($D437-$I$427)*MIN(E$3-$O$2,$Q$2)/$Q$2))</f>
        <v>2647.802734375</v>
      </c>
      <c r="F437" s="15" t="n">
        <f aca="false">E437*(1+IF(F$3&lt;=$O$2,$D437,$D437-($D437-$I$427)*MIN(F$3-$O$2,$Q$2)/$Q$2))</f>
        <v>2727.96082496643</v>
      </c>
      <c r="G437" s="15" t="n">
        <f aca="false">F437*(1+IF(G$3&lt;=$O$2,$D437,$D437-($D437-$I$427)*MIN(G$3-$O$2,$Q$2)/$Q$2))</f>
        <v>2810.5455765035</v>
      </c>
      <c r="H437" s="15" t="n">
        <f aca="false">G437*(1+IF(H$3&lt;=$O$2,$D437,$D437-($D437-$I$427)*MIN(H$3-$O$2,$Q$2)/$Q$2))</f>
        <v>2895.63045235468</v>
      </c>
      <c r="I437" s="15" t="n">
        <f aca="false">H437*(1+IF(I$3&lt;=$O$2,$D437,$D437-($D437-$I$427)*MIN(I$3-$O$2,$Q$2)/$Q$2))</f>
        <v>2983.29113987714</v>
      </c>
      <c r="J437" s="15" t="n">
        <f aca="false">I437*(1+IF(J$3&lt;=$O$2,$D437,$D437-($D437-$I$427)*MIN(J$3-$O$2,$Q$2)/$Q$2))</f>
        <v>3078.3947323025</v>
      </c>
      <c r="K437" s="15" t="n">
        <f aca="false">J437*(1+IF(K$3&lt;=$O$2,$D437,$D437-($D437-$I$427)*MIN(K$3-$O$2,$Q$2)/$Q$2))</f>
        <v>3181.47189391858</v>
      </c>
      <c r="L437" s="15" t="n">
        <f aca="false">K437*(1+IF(L$3&lt;=$O$2,$D437,$D437-($D437-$I$427)*MIN(L$3-$O$2,$Q$2)/$Q$2))</f>
        <v>3293.10775425625</v>
      </c>
      <c r="M437" s="15" t="n">
        <f aca="false">L437*(1+IF(M$3&lt;=$O$2,$D437,$D437-($D437-$I$427)*MIN(M$3-$O$2,$Q$2)/$Q$2))</f>
        <v>3413.94731420251</v>
      </c>
      <c r="N437" s="15" t="n">
        <f aca="false">M437*(1+IF(N$3&lt;=$O$2,$D437,$D437-($D437-$I$427)*MIN(N$3-$O$2,$Q$2)/$Q$2))</f>
        <v>3544.70149633647</v>
      </c>
      <c r="O437" s="15" t="n">
        <f aca="false">SUMPRODUCT(E437:N437,1/(1+$F$427)^$E$3:$N$3)*$E$2</f>
        <v>3758.97506344966</v>
      </c>
      <c r="P437" s="15" t="n">
        <f aca="false">N437*$E$2*(1+$I$427)/($F$427-$I$427)/(1+$F$427)^$N$3</f>
        <v>5348.62263729053</v>
      </c>
      <c r="Q437" s="15" t="n">
        <f aca="false">O437+P437</f>
        <v>9107.59770074019</v>
      </c>
      <c r="R437" s="15" t="n">
        <f aca="false">Q437-$G$2+$I$2</f>
        <v>7731.39770074019</v>
      </c>
      <c r="S437" s="42" t="n">
        <f aca="false">R437/$K$2</f>
        <v>206.11564118209</v>
      </c>
      <c r="T437" s="43" t="n">
        <f aca="false">S437-$M$2</f>
        <v>1.6368355302638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0.02734375</v>
      </c>
      <c r="C438" s="25" t="n">
        <f aca="false">IF(T437&gt;0,D437,C437)</f>
        <v>0.0302734375</v>
      </c>
      <c r="D438" s="41" t="n">
        <f aca="false">(B438+C438)/2</f>
        <v>0.02880859375</v>
      </c>
      <c r="E438" s="15" t="n">
        <f aca="false">$C$2*(1+IF(E$3&lt;=$O$2,$D438,$D438-($D438-$I$427)*MIN(E$3-$O$2,$Q$2)/$Q$2))</f>
        <v>2644.0380859375</v>
      </c>
      <c r="F438" s="15" t="n">
        <f aca="false">E438*(1+IF(F$3&lt;=$O$2,$D438,$D438-($D438-$I$427)*MIN(F$3-$O$2,$Q$2)/$Q$2))</f>
        <v>2720.2091050148</v>
      </c>
      <c r="G438" s="15" t="n">
        <f aca="false">F438*(1+IF(G$3&lt;=$O$2,$D438,$D438-($D438-$I$427)*MIN(G$3-$O$2,$Q$2)/$Q$2))</f>
        <v>2798.57450403622</v>
      </c>
      <c r="H438" s="15" t="n">
        <f aca="false">G438*(1+IF(H$3&lt;=$O$2,$D438,$D438-($D438-$I$427)*MIN(H$3-$O$2,$Q$2)/$Q$2))</f>
        <v>2879.19750000211</v>
      </c>
      <c r="I438" s="15" t="n">
        <f aca="false">H438*(1+IF(I$3&lt;=$O$2,$D438,$D438-($D438-$I$427)*MIN(I$3-$O$2,$Q$2)/$Q$2))</f>
        <v>2962.14313110569</v>
      </c>
      <c r="J438" s="15" t="n">
        <f aca="false">I438*(1+IF(J$3&lt;=$O$2,$D438,$D438-($D438-$I$427)*MIN(J$3-$O$2,$Q$2)/$Q$2))</f>
        <v>3053.10128996466</v>
      </c>
      <c r="K438" s="15" t="n">
        <f aca="false">J438*(1+IF(K$3&lt;=$O$2,$D438,$D438-($D438-$I$427)*MIN(K$3-$O$2,$Q$2)/$Q$2))</f>
        <v>3152.64813457103</v>
      </c>
      <c r="L438" s="15" t="n">
        <f aca="false">K438*(1+IF(L$3&lt;=$O$2,$D438,$D438-($D438-$I$427)*MIN(L$3-$O$2,$Q$2)/$Q$2))</f>
        <v>3261.4253324417</v>
      </c>
      <c r="M438" s="15" t="n">
        <f aca="false">L438*(1+IF(M$3&lt;=$O$2,$D438,$D438-($D438-$I$427)*MIN(M$3-$O$2,$Q$2)/$Q$2))</f>
        <v>3380.14682011736</v>
      </c>
      <c r="N438" s="15" t="n">
        <f aca="false">M438*(1+IF(N$3&lt;=$O$2,$D438,$D438-($D438-$I$427)*MIN(N$3-$O$2,$Q$2)/$Q$2))</f>
        <v>3509.60644332786</v>
      </c>
      <c r="O438" s="15" t="n">
        <f aca="false">SUMPRODUCT(E438:N438,1/(1+$F$427)^$E$3:$N$3)*$E$2</f>
        <v>3735.23988406497</v>
      </c>
      <c r="P438" s="15" t="n">
        <f aca="false">N438*$E$2*(1+$I$427)/($F$427-$I$427)/(1+$F$427)^$N$3</f>
        <v>5295.66748855015</v>
      </c>
      <c r="Q438" s="15" t="n">
        <f aca="false">O438+P438</f>
        <v>9030.90737261512</v>
      </c>
      <c r="R438" s="15" t="n">
        <f aca="false">Q438-$G$2+$I$2</f>
        <v>7654.70737261512</v>
      </c>
      <c r="S438" s="42" t="n">
        <f aca="false">R438/$K$2</f>
        <v>204.071110973477</v>
      </c>
      <c r="T438" s="43" t="n">
        <f aca="false">S438-$M$2</f>
        <v>-0.407694678349174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0.02880859375</v>
      </c>
      <c r="C439" s="25" t="n">
        <f aca="false">IF(T438&gt;0,D438,C438)</f>
        <v>0.0302734375</v>
      </c>
      <c r="D439" s="41" t="n">
        <f aca="false">(B439+C439)/2</f>
        <v>0.029541015625</v>
      </c>
      <c r="E439" s="15" t="n">
        <f aca="false">$C$2*(1+IF(E$3&lt;=$O$2,$D439,$D439-($D439-$I$427)*MIN(E$3-$O$2,$Q$2)/$Q$2))</f>
        <v>2645.92041015625</v>
      </c>
      <c r="F439" s="15" t="n">
        <f aca="false">E439*(1+IF(F$3&lt;=$O$2,$D439,$D439-($D439-$I$427)*MIN(F$3-$O$2,$Q$2)/$Q$2))</f>
        <v>2724.08358633518</v>
      </c>
      <c r="G439" s="15" t="n">
        <f aca="false">F439*(1+IF(G$3&lt;=$O$2,$D439,$D439-($D439-$I$427)*MIN(G$3-$O$2,$Q$2)/$Q$2))</f>
        <v>2804.55578212292</v>
      </c>
      <c r="H439" s="15" t="n">
        <f aca="false">G439*(1+IF(H$3&lt;=$O$2,$D439,$D439-($D439-$I$427)*MIN(H$3-$O$2,$Q$2)/$Q$2))</f>
        <v>2887.40520830379</v>
      </c>
      <c r="I439" s="15" t="n">
        <f aca="false">H439*(1+IF(I$3&lt;=$O$2,$D439,$D439-($D439-$I$427)*MIN(I$3-$O$2,$Q$2)/$Q$2))</f>
        <v>2972.702090678</v>
      </c>
      <c r="J439" s="15" t="n">
        <f aca="false">I439*(1+IF(J$3&lt;=$O$2,$D439,$D439-($D439-$I$427)*MIN(J$3-$O$2,$Q$2)/$Q$2))</f>
        <v>3065.72629981995</v>
      </c>
      <c r="K439" s="15" t="n">
        <f aca="false">J439*(1+IF(K$3&lt;=$O$2,$D439,$D439-($D439-$I$427)*MIN(K$3-$O$2,$Q$2)/$Q$2))</f>
        <v>3167.03202784816</v>
      </c>
      <c r="L439" s="15" t="n">
        <f aca="false">K439*(1+IF(L$3&lt;=$O$2,$D439,$D439-($D439-$I$427)*MIN(L$3-$O$2,$Q$2)/$Q$2))</f>
        <v>3277.23336089593</v>
      </c>
      <c r="M439" s="15" t="n">
        <f aca="false">L439*(1+IF(M$3&lt;=$O$2,$D439,$D439-($D439-$I$427)*MIN(M$3-$O$2,$Q$2)/$Q$2))</f>
        <v>3397.01035145798</v>
      </c>
      <c r="N439" s="15" t="n">
        <f aca="false">M439*(1+IF(N$3&lt;=$O$2,$D439,$D439-($D439-$I$427)*MIN(N$3-$O$2,$Q$2)/$Q$2))</f>
        <v>3527.11584791882</v>
      </c>
      <c r="O439" s="15" t="n">
        <f aca="false">SUMPRODUCT(E439:N439,1/(1+$F$427)^$E$3:$N$3)*$E$2</f>
        <v>3747.08836645015</v>
      </c>
      <c r="P439" s="15" t="n">
        <f aca="false">N439*$E$2*(1+$I$427)/($F$427-$I$427)/(1+$F$427)^$N$3</f>
        <v>5322.08754052278</v>
      </c>
      <c r="Q439" s="15" t="n">
        <f aca="false">O439+P439</f>
        <v>9069.17590697293</v>
      </c>
      <c r="R439" s="15" t="n">
        <f aca="false">Q439-$G$2+$I$2</f>
        <v>7692.97590697293</v>
      </c>
      <c r="S439" s="42" t="n">
        <f aca="false">R439/$K$2</f>
        <v>205.091333163768</v>
      </c>
      <c r="T439" s="43" t="n">
        <f aca="false">S439-$M$2</f>
        <v>0.612527511941835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0.02880859375</v>
      </c>
      <c r="C440" s="25" t="n">
        <f aca="false">IF(T439&gt;0,D439,C439)</f>
        <v>0.029541015625</v>
      </c>
      <c r="D440" s="41" t="n">
        <f aca="false">(B440+C440)/2</f>
        <v>0.0291748046875</v>
      </c>
      <c r="E440" s="15" t="n">
        <f aca="false">$C$2*(1+IF(E$3&lt;=$O$2,$D440,$D440-($D440-$I$427)*MIN(E$3-$O$2,$Q$2)/$Q$2))</f>
        <v>2644.97924804688</v>
      </c>
      <c r="F440" s="15" t="n">
        <f aca="false">E440*(1+IF(F$3&lt;=$O$2,$D440,$D440-($D440-$I$427)*MIN(F$3-$O$2,$Q$2)/$Q$2))</f>
        <v>2722.14600101113</v>
      </c>
      <c r="G440" s="15" t="n">
        <f aca="false">F440*(1+IF(G$3&lt;=$O$2,$D440,$D440-($D440-$I$427)*MIN(G$3-$O$2,$Q$2)/$Q$2))</f>
        <v>2801.56407892149</v>
      </c>
      <c r="H440" s="15" t="n">
        <f aca="false">G440*(1+IF(H$3&lt;=$O$2,$D440,$D440-($D440-$I$427)*MIN(H$3-$O$2,$Q$2)/$Q$2))</f>
        <v>2883.29916374354</v>
      </c>
      <c r="I440" s="15" t="n">
        <f aca="false">H440*(1+IF(I$3&lt;=$O$2,$D440,$D440-($D440-$I$427)*MIN(I$3-$O$2,$Q$2)/$Q$2))</f>
        <v>2967.41885370139</v>
      </c>
      <c r="J440" s="15" t="n">
        <f aca="false">I440*(1+IF(J$3&lt;=$O$2,$D440,$D440-($D440-$I$427)*MIN(J$3-$O$2,$Q$2)/$Q$2))</f>
        <v>3059.40837450694</v>
      </c>
      <c r="K440" s="15" t="n">
        <f aca="false">J440*(1+IF(K$3&lt;=$O$2,$D440,$D440-($D440-$I$427)*MIN(K$3-$O$2,$Q$2)/$Q$2))</f>
        <v>3159.83309587571</v>
      </c>
      <c r="L440" s="15" t="n">
        <f aca="false">K440*(1+IF(L$3&lt;=$O$2,$D440,$D440-($D440-$I$427)*MIN(L$3-$O$2,$Q$2)/$Q$2))</f>
        <v>3269.32106578584</v>
      </c>
      <c r="M440" s="15" t="n">
        <f aca="false">L440*(1+IF(M$3&lt;=$O$2,$D440,$D440-($D440-$I$427)*MIN(M$3-$O$2,$Q$2)/$Q$2))</f>
        <v>3388.56942395253</v>
      </c>
      <c r="N440" s="15" t="n">
        <f aca="false">M440*(1+IF(N$3&lt;=$O$2,$D440,$D440-($D440-$I$427)*MIN(N$3-$O$2,$Q$2)/$Q$2))</f>
        <v>3518.35163288991</v>
      </c>
      <c r="O440" s="15" t="n">
        <f aca="false">SUMPRODUCT(E440:N440,1/(1+$F$427)^$E$3:$N$3)*$E$2</f>
        <v>3741.15935567387</v>
      </c>
      <c r="P440" s="15" t="n">
        <f aca="false">N440*$E$2*(1+$I$427)/($F$427-$I$427)/(1+$F$427)^$N$3</f>
        <v>5308.86316071248</v>
      </c>
      <c r="Q440" s="15" t="n">
        <f aca="false">O440+P440</f>
        <v>9050.02251638635</v>
      </c>
      <c r="R440" s="15" t="n">
        <f aca="false">Q440-$G$2+$I$2</f>
        <v>7673.82251638635</v>
      </c>
      <c r="S440" s="42" t="n">
        <f aca="false">R440/$K$2</f>
        <v>204.580712247037</v>
      </c>
      <c r="T440" s="43" t="n">
        <f aca="false">S440-$M$2</f>
        <v>0.101906595210778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0.02880859375</v>
      </c>
      <c r="C441" s="25" t="n">
        <f aca="false">IF(T440&gt;0,D440,C440)</f>
        <v>0.0291748046875</v>
      </c>
      <c r="D441" s="41" t="n">
        <f aca="false">(B441+C441)/2</f>
        <v>0.02899169921875</v>
      </c>
      <c r="E441" s="15" t="n">
        <f aca="false">$C$2*(1+IF(E$3&lt;=$O$2,$D441,$D441-($D441-$I$427)*MIN(E$3-$O$2,$Q$2)/$Q$2))</f>
        <v>2644.50866699219</v>
      </c>
      <c r="F441" s="15" t="n">
        <f aca="false">E441*(1+IF(F$3&lt;=$O$2,$D441,$D441-($D441-$I$427)*MIN(F$3-$O$2,$Q$2)/$Q$2))</f>
        <v>2721.177466847</v>
      </c>
      <c r="G441" s="15" t="n">
        <f aca="false">F441*(1+IF(G$3&lt;=$O$2,$D441,$D441-($D441-$I$427)*MIN(G$3-$O$2,$Q$2)/$Q$2))</f>
        <v>2800.06902548667</v>
      </c>
      <c r="H441" s="15" t="n">
        <f aca="false">G441*(1+IF(H$3&lt;=$O$2,$D441,$D441-($D441-$I$427)*MIN(H$3-$O$2,$Q$2)/$Q$2))</f>
        <v>2881.24778446532</v>
      </c>
      <c r="I441" s="15" t="n">
        <f aca="false">H441*(1+IF(I$3&lt;=$O$2,$D441,$D441-($D441-$I$427)*MIN(I$3-$O$2,$Q$2)/$Q$2))</f>
        <v>2964.78005360723</v>
      </c>
      <c r="J441" s="15" t="n">
        <f aca="false">I441*(1+IF(J$3&lt;=$O$2,$D441,$D441-($D441-$I$427)*MIN(J$3-$O$2,$Q$2)/$Q$2))</f>
        <v>3056.253478069</v>
      </c>
      <c r="K441" s="15" t="n">
        <f aca="false">J441*(1+IF(K$3&lt;=$O$2,$D441,$D441-($D441-$I$427)*MIN(K$3-$O$2,$Q$2)/$Q$2))</f>
        <v>3156.23887029648</v>
      </c>
      <c r="L441" s="15" t="n">
        <f aca="false">K441*(1+IF(L$3&lt;=$O$2,$D441,$D441-($D441-$I$427)*MIN(L$3-$O$2,$Q$2)/$Q$2))</f>
        <v>3265.37113073196</v>
      </c>
      <c r="M441" s="15" t="n">
        <f aca="false">L441*(1+IF(M$3&lt;=$O$2,$D441,$D441-($D441-$I$427)*MIN(M$3-$O$2,$Q$2)/$Q$2))</f>
        <v>3384.35583370954</v>
      </c>
      <c r="N441" s="15" t="n">
        <f aca="false">M441*(1+IF(N$3&lt;=$O$2,$D441,$D441-($D441-$I$427)*MIN(N$3-$O$2,$Q$2)/$Q$2))</f>
        <v>3513.97666214062</v>
      </c>
      <c r="O441" s="15" t="n">
        <f aca="false">SUMPRODUCT(E441:N441,1/(1+$F$427)^$E$3:$N$3)*$E$2</f>
        <v>3738.19842837784</v>
      </c>
      <c r="P441" s="15" t="n">
        <f aca="false">N441*$E$2*(1+$I$427)/($F$427-$I$427)/(1+$F$427)^$N$3</f>
        <v>5302.26173951768</v>
      </c>
      <c r="Q441" s="15" t="n">
        <f aca="false">O441+P441</f>
        <v>9040.46016789552</v>
      </c>
      <c r="R441" s="15" t="n">
        <f aca="false">Q441-$G$2+$I$2</f>
        <v>7664.26016789552</v>
      </c>
      <c r="S441" s="42" t="n">
        <f aca="false">R441/$K$2</f>
        <v>204.325784268076</v>
      </c>
      <c r="T441" s="43" t="n">
        <f aca="false">S441-$M$2</f>
        <v>-0.153021383750342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0.02899169921875</v>
      </c>
      <c r="C442" s="25" t="n">
        <f aca="false">IF(T441&gt;0,D441,C441)</f>
        <v>0.0291748046875</v>
      </c>
      <c r="D442" s="41" t="n">
        <f aca="false">(B442+C442)/2</f>
        <v>0.029083251953125</v>
      </c>
      <c r="E442" s="15" t="n">
        <f aca="false">$C$2*(1+IF(E$3&lt;=$O$2,$D442,$D442-($D442-$I$427)*MIN(E$3-$O$2,$Q$2)/$Q$2))</f>
        <v>2644.74395751953</v>
      </c>
      <c r="F442" s="15" t="n">
        <f aca="false">E442*(1+IF(F$3&lt;=$O$2,$D442,$D442-($D442-$I$427)*MIN(F$3-$O$2,$Q$2)/$Q$2))</f>
        <v>2721.66171238758</v>
      </c>
      <c r="G442" s="15" t="n">
        <f aca="false">F442*(1+IF(G$3&lt;=$O$2,$D442,$D442-($D442-$I$427)*MIN(G$3-$O$2,$Q$2)/$Q$2))</f>
        <v>2800.81648570012</v>
      </c>
      <c r="H442" s="15" t="n">
        <f aca="false">G442*(1+IF(H$3&lt;=$O$2,$D442,$D442-($D442-$I$427)*MIN(H$3-$O$2,$Q$2)/$Q$2))</f>
        <v>2882.2733372282</v>
      </c>
      <c r="I442" s="15" t="n">
        <f aca="false">H442*(1+IF(I$3&lt;=$O$2,$D442,$D442-($D442-$I$427)*MIN(I$3-$O$2,$Q$2)/$Q$2))</f>
        <v>2966.09921889258</v>
      </c>
      <c r="J442" s="15" t="n">
        <f aca="false">I442*(1+IF(J$3&lt;=$O$2,$D442,$D442-($D442-$I$427)*MIN(J$3-$O$2,$Q$2)/$Q$2))</f>
        <v>3057.83058763012</v>
      </c>
      <c r="K442" s="15" t="n">
        <f aca="false">J442*(1+IF(K$3&lt;=$O$2,$D442,$D442-($D442-$I$427)*MIN(K$3-$O$2,$Q$2)/$Q$2))</f>
        <v>3158.03554667862</v>
      </c>
      <c r="L442" s="15" t="n">
        <f aca="false">K442*(1+IF(L$3&lt;=$O$2,$D442,$D442-($D442-$I$427)*MIN(L$3-$O$2,$Q$2)/$Q$2))</f>
        <v>3267.34558093369</v>
      </c>
      <c r="M442" s="15" t="n">
        <f aca="false">L442*(1+IF(M$3&lt;=$O$2,$D442,$D442-($D442-$I$427)*MIN(M$3-$O$2,$Q$2)/$Q$2))</f>
        <v>3386.46205648314</v>
      </c>
      <c r="N442" s="15" t="n">
        <f aca="false">M442*(1+IF(N$3&lt;=$O$2,$D442,$D442-($D442-$I$427)*MIN(N$3-$O$2,$Q$2)/$Q$2))</f>
        <v>3516.16355324644</v>
      </c>
      <c r="O442" s="15" t="n">
        <f aca="false">SUMPRODUCT(E442:N442,1/(1+$F$427)^$E$3:$N$3)*$E$2</f>
        <v>3739.67859403996</v>
      </c>
      <c r="P442" s="15" t="n">
        <f aca="false">N442*$E$2*(1+$I$427)/($F$427-$I$427)/(1+$F$427)^$N$3</f>
        <v>5305.56155341908</v>
      </c>
      <c r="Q442" s="15" t="n">
        <f aca="false">O442+P442</f>
        <v>9045.24014745904</v>
      </c>
      <c r="R442" s="15" t="n">
        <f aca="false">Q442-$G$2+$I$2</f>
        <v>7669.04014745904</v>
      </c>
      <c r="S442" s="42" t="n">
        <f aca="false">R442/$K$2</f>
        <v>204.453216407866</v>
      </c>
      <c r="T442" s="43" t="n">
        <f aca="false">S442-$M$2</f>
        <v>-0.0255892439603258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0.029083251953125</v>
      </c>
      <c r="C443" s="25" t="n">
        <f aca="false">IF(T442&gt;0,D442,C442)</f>
        <v>0.0291748046875</v>
      </c>
      <c r="D443" s="41" t="n">
        <f aca="false">(B443+C443)/2</f>
        <v>0.0291290283203125</v>
      </c>
      <c r="E443" s="15" t="n">
        <f aca="false">$C$2*(1+IF(E$3&lt;=$O$2,$D443,$D443-($D443-$I$427)*MIN(E$3-$O$2,$Q$2)/$Q$2))</f>
        <v>2644.8616027832</v>
      </c>
      <c r="F443" s="15" t="n">
        <f aca="false">E443*(1+IF(F$3&lt;=$O$2,$D443,$D443-($D443-$I$427)*MIN(F$3-$O$2,$Q$2)/$Q$2))</f>
        <v>2721.90385131398</v>
      </c>
      <c r="G443" s="15" t="n">
        <f aca="false">F443*(1+IF(G$3&lt;=$O$2,$D443,$D443-($D443-$I$427)*MIN(G$3-$O$2,$Q$2)/$Q$2))</f>
        <v>2801.19026568408</v>
      </c>
      <c r="H443" s="15" t="n">
        <f aca="false">G443*(1+IF(H$3&lt;=$O$2,$D443,$D443-($D443-$I$427)*MIN(H$3-$O$2,$Q$2)/$Q$2))</f>
        <v>2882.78621626377</v>
      </c>
      <c r="I443" s="15" t="n">
        <f aca="false">H443*(1+IF(I$3&lt;=$O$2,$D443,$D443-($D443-$I$427)*MIN(I$3-$O$2,$Q$2)/$Q$2))</f>
        <v>2966.75897759872</v>
      </c>
      <c r="J443" s="15" t="n">
        <f aca="false">I443*(1+IF(J$3&lt;=$O$2,$D443,$D443-($D443-$I$427)*MIN(J$3-$O$2,$Q$2)/$Q$2))</f>
        <v>3058.61939638954</v>
      </c>
      <c r="K443" s="15" t="n">
        <f aca="false">J443*(1+IF(K$3&lt;=$O$2,$D443,$D443-($D443-$I$427)*MIN(K$3-$O$2,$Q$2)/$Q$2))</f>
        <v>3158.93421215332</v>
      </c>
      <c r="L443" s="15" t="n">
        <f aca="false">K443*(1+IF(L$3&lt;=$O$2,$D443,$D443-($D443-$I$427)*MIN(L$3-$O$2,$Q$2)/$Q$2))</f>
        <v>3268.33319399973</v>
      </c>
      <c r="M443" s="15" t="n">
        <f aca="false">L443*(1+IF(M$3&lt;=$O$2,$D443,$D443-($D443-$I$427)*MIN(M$3-$O$2,$Q$2)/$Q$2))</f>
        <v>3387.51559709753</v>
      </c>
      <c r="N443" s="15" t="n">
        <f aca="false">M443*(1+IF(N$3&lt;=$O$2,$D443,$D443-($D443-$I$427)*MIN(N$3-$O$2,$Q$2)/$Q$2))</f>
        <v>3517.25744446637</v>
      </c>
      <c r="O443" s="15" t="n">
        <f aca="false">SUMPRODUCT(E443:N443,1/(1+$F$427)^$E$3:$N$3)*$E$2</f>
        <v>3740.41890034632</v>
      </c>
      <c r="P443" s="15" t="n">
        <f aca="false">N443*$E$2*(1+$I$427)/($F$427-$I$427)/(1+$F$427)^$N$3</f>
        <v>5307.21213283956</v>
      </c>
      <c r="Q443" s="15" t="n">
        <f aca="false">O443+P443</f>
        <v>9047.63103318588</v>
      </c>
      <c r="R443" s="15" t="n">
        <f aca="false">Q443-$G$2+$I$2</f>
        <v>7671.43103318588</v>
      </c>
      <c r="S443" s="42" t="n">
        <f aca="false">R443/$K$2</f>
        <v>204.51695636326</v>
      </c>
      <c r="T443" s="43" t="n">
        <f aca="false">S443-$M$2</f>
        <v>0.0381507114338149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0.029083251953125</v>
      </c>
      <c r="C444" s="25" t="n">
        <f aca="false">IF(T443&gt;0,D443,C443)</f>
        <v>0.0291290283203125</v>
      </c>
      <c r="D444" s="41" t="n">
        <f aca="false">(B444+C444)/2</f>
        <v>0.0291061401367188</v>
      </c>
      <c r="E444" s="15" t="n">
        <f aca="false">$C$2*(1+IF(E$3&lt;=$O$2,$D444,$D444-($D444-$I$427)*MIN(E$3-$O$2,$Q$2)/$Q$2))</f>
        <v>2644.80278015137</v>
      </c>
      <c r="F444" s="15" t="n">
        <f aca="false">E444*(1+IF(F$3&lt;=$O$2,$D444,$D444-($D444-$I$427)*MIN(F$3-$O$2,$Q$2)/$Q$2))</f>
        <v>2721.78278050444</v>
      </c>
      <c r="G444" s="15" t="n">
        <f aca="false">F444*(1+IF(G$3&lt;=$O$2,$D444,$D444-($D444-$I$427)*MIN(G$3-$O$2,$Q$2)/$Q$2))</f>
        <v>2801.00337153551</v>
      </c>
      <c r="H444" s="15" t="n">
        <f aca="false">G444*(1+IF(H$3&lt;=$O$2,$D444,$D444-($D444-$I$427)*MIN(H$3-$O$2,$Q$2)/$Q$2))</f>
        <v>2882.52976819084</v>
      </c>
      <c r="I444" s="15" t="n">
        <f aca="false">H444*(1+IF(I$3&lt;=$O$2,$D444,$D444-($D444-$I$427)*MIN(I$3-$O$2,$Q$2)/$Q$2))</f>
        <v>2966.42908357207</v>
      </c>
      <c r="J444" s="15" t="n">
        <f aca="false">I444*(1+IF(J$3&lt;=$O$2,$D444,$D444-($D444-$I$427)*MIN(J$3-$O$2,$Q$2)/$Q$2))</f>
        <v>3058.2249708419</v>
      </c>
      <c r="K444" s="15" t="n">
        <f aca="false">J444*(1+IF(K$3&lt;=$O$2,$D444,$D444-($D444-$I$427)*MIN(K$3-$O$2,$Q$2)/$Q$2))</f>
        <v>3158.48485213776</v>
      </c>
      <c r="L444" s="15" t="n">
        <f aca="false">K444*(1+IF(L$3&lt;=$O$2,$D444,$D444-($D444-$I$427)*MIN(L$3-$O$2,$Q$2)/$Q$2))</f>
        <v>3267.83935513029</v>
      </c>
      <c r="M444" s="15" t="n">
        <f aca="false">L444*(1+IF(M$3&lt;=$O$2,$D444,$D444-($D444-$I$427)*MIN(M$3-$O$2,$Q$2)/$Q$2))</f>
        <v>3386.98879101443</v>
      </c>
      <c r="N444" s="15" t="n">
        <f aca="false">M444*(1+IF(N$3&lt;=$O$2,$D444,$D444-($D444-$I$427)*MIN(N$3-$O$2,$Q$2)/$Q$2))</f>
        <v>3516.71046171028</v>
      </c>
      <c r="O444" s="15" t="n">
        <f aca="false">SUMPRODUCT(E444:N444,1/(1+$F$427)^$E$3:$N$3)*$E$2</f>
        <v>3740.04872856726</v>
      </c>
      <c r="P444" s="15" t="n">
        <f aca="false">N444*$E$2*(1+$I$427)/($F$427-$I$427)/(1+$F$427)^$N$3</f>
        <v>5306.3867870793</v>
      </c>
      <c r="Q444" s="15" t="n">
        <f aca="false">O444+P444</f>
        <v>9046.43551564655</v>
      </c>
      <c r="R444" s="15" t="n">
        <f aca="false">Q444-$G$2+$I$2</f>
        <v>7670.23551564655</v>
      </c>
      <c r="S444" s="42" t="n">
        <f aca="false">R444/$K$2</f>
        <v>204.485084394736</v>
      </c>
      <c r="T444" s="43" t="n">
        <f aca="false">S444-$M$2</f>
        <v>0.00627874291009789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0.029083251953125</v>
      </c>
      <c r="C445" s="25" t="n">
        <f aca="false">IF(T444&gt;0,D444,C444)</f>
        <v>0.0291061401367188</v>
      </c>
      <c r="D445" s="41" t="n">
        <f aca="false">(B445+C445)/2</f>
        <v>0.0290946960449219</v>
      </c>
      <c r="E445" s="15" t="n">
        <f aca="false">$C$2*(1+IF(E$3&lt;=$O$2,$D445,$D445-($D445-$I$427)*MIN(E$3-$O$2,$Q$2)/$Q$2))</f>
        <v>2644.77336883545</v>
      </c>
      <c r="F445" s="15" t="n">
        <f aca="false">E445*(1+IF(F$3&lt;=$O$2,$D445,$D445-($D445-$I$427)*MIN(F$3-$O$2,$Q$2)/$Q$2))</f>
        <v>2721.72224610942</v>
      </c>
      <c r="G445" s="15" t="n">
        <f aca="false">F445*(1+IF(G$3&lt;=$O$2,$D445,$D445-($D445-$I$427)*MIN(G$3-$O$2,$Q$2)/$Q$2))</f>
        <v>2800.90992757868</v>
      </c>
      <c r="H445" s="15" t="n">
        <f aca="false">G445*(1+IF(H$3&lt;=$O$2,$D445,$D445-($D445-$I$427)*MIN(H$3-$O$2,$Q$2)/$Q$2))</f>
        <v>2882.40155057078</v>
      </c>
      <c r="I445" s="15" t="n">
        <f aca="false">H445*(1+IF(I$3&lt;=$O$2,$D445,$D445-($D445-$I$427)*MIN(I$3-$O$2,$Q$2)/$Q$2))</f>
        <v>2966.26414756405</v>
      </c>
      <c r="J445" s="15" t="n">
        <f aca="false">I445*(1+IF(J$3&lt;=$O$2,$D445,$D445-($D445-$I$427)*MIN(J$3-$O$2,$Q$2)/$Q$2))</f>
        <v>3058.02777394425</v>
      </c>
      <c r="K445" s="15" t="n">
        <f aca="false">J445*(1+IF(K$3&lt;=$O$2,$D445,$D445-($D445-$I$427)*MIN(K$3-$O$2,$Q$2)/$Q$2))</f>
        <v>3158.26019258898</v>
      </c>
      <c r="L445" s="15" t="n">
        <f aca="false">K445*(1+IF(L$3&lt;=$O$2,$D445,$D445-($D445-$I$427)*MIN(L$3-$O$2,$Q$2)/$Q$2))</f>
        <v>3267.59245994833</v>
      </c>
      <c r="M445" s="15" t="n">
        <f aca="false">L445*(1+IF(M$3&lt;=$O$2,$D445,$D445-($D445-$I$427)*MIN(M$3-$O$2,$Q$2)/$Q$2))</f>
        <v>3386.72541480533</v>
      </c>
      <c r="N445" s="15" t="n">
        <f aca="false">M445*(1+IF(N$3&lt;=$O$2,$D445,$D445-($D445-$I$427)*MIN(N$3-$O$2,$Q$2)/$Q$2))</f>
        <v>3516.43699819237</v>
      </c>
      <c r="O445" s="15" t="n">
        <f aca="false">SUMPRODUCT(E445:N445,1/(1+$F$427)^$E$3:$N$3)*$E$2</f>
        <v>3739.86365664736</v>
      </c>
      <c r="P445" s="15" t="n">
        <f aca="false">N445*$E$2*(1+$I$427)/($F$427-$I$427)/(1+$F$427)^$N$3</f>
        <v>5305.9741562375</v>
      </c>
      <c r="Q445" s="15" t="n">
        <f aca="false">O445+P445</f>
        <v>9045.83781288486</v>
      </c>
      <c r="R445" s="15" t="n">
        <f aca="false">Q445-$G$2+$I$2</f>
        <v>7669.63781288486</v>
      </c>
      <c r="S445" s="42" t="n">
        <f aca="false">R445/$K$2</f>
        <v>204.469149903622</v>
      </c>
      <c r="T445" s="43" t="n">
        <f aca="false">S445-$M$2</f>
        <v>-0.00965574820421011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0.0290946960449219</v>
      </c>
      <c r="C446" s="25" t="n">
        <f aca="false">IF(T445&gt;0,D445,C445)</f>
        <v>0.0291061401367188</v>
      </c>
      <c r="D446" s="41" t="n">
        <f aca="false">(B446+C446)/2</f>
        <v>0.0291004180908203</v>
      </c>
      <c r="E446" s="15" t="n">
        <f aca="false">$C$2*(1+IF(E$3&lt;=$O$2,$D446,$D446-($D446-$I$427)*MIN(E$3-$O$2,$Q$2)/$Q$2))</f>
        <v>2644.78807449341</v>
      </c>
      <c r="F446" s="15" t="n">
        <f aca="false">E446*(1+IF(F$3&lt;=$O$2,$D446,$D446-($D446-$I$427)*MIN(F$3-$O$2,$Q$2)/$Q$2))</f>
        <v>2721.75251322278</v>
      </c>
      <c r="G446" s="15" t="n">
        <f aca="false">F446*(1+IF(G$3&lt;=$O$2,$D446,$D446-($D446-$I$427)*MIN(G$3-$O$2,$Q$2)/$Q$2))</f>
        <v>2800.95664929731</v>
      </c>
      <c r="H446" s="15" t="n">
        <f aca="false">G446*(1+IF(H$3&lt;=$O$2,$D446,$D446-($D446-$I$427)*MIN(H$3-$O$2,$Q$2)/$Q$2))</f>
        <v>2882.46565884612</v>
      </c>
      <c r="I446" s="15" t="n">
        <f aca="false">H446*(1+IF(I$3&lt;=$O$2,$D446,$D446-($D446-$I$427)*MIN(I$3-$O$2,$Q$2)/$Q$2))</f>
        <v>2966.34661465097</v>
      </c>
      <c r="J446" s="15" t="n">
        <f aca="false">I446*(1+IF(J$3&lt;=$O$2,$D446,$D446-($D446-$I$427)*MIN(J$3-$O$2,$Q$2)/$Q$2))</f>
        <v>3058.12637107011</v>
      </c>
      <c r="K446" s="15" t="n">
        <f aca="false">J446*(1+IF(K$3&lt;=$O$2,$D446,$D446-($D446-$I$427)*MIN(K$3-$O$2,$Q$2)/$Q$2))</f>
        <v>3158.37252065852</v>
      </c>
      <c r="L446" s="15" t="n">
        <f aca="false">K446*(1+IF(L$3&lt;=$O$2,$D446,$D446-($D446-$I$427)*MIN(L$3-$O$2,$Q$2)/$Q$2))</f>
        <v>3267.71590551834</v>
      </c>
      <c r="M446" s="15" t="n">
        <f aca="false">L446*(1+IF(M$3&lt;=$O$2,$D446,$D446-($D446-$I$427)*MIN(M$3-$O$2,$Q$2)/$Q$2))</f>
        <v>3386.85710067395</v>
      </c>
      <c r="N446" s="15" t="n">
        <f aca="false">M446*(1+IF(N$3&lt;=$O$2,$D446,$D446-($D446-$I$427)*MIN(N$3-$O$2,$Q$2)/$Q$2))</f>
        <v>3516.57372762976</v>
      </c>
      <c r="O446" s="15" t="n">
        <f aca="false">SUMPRODUCT(E446:N446,1/(1+$F$427)^$E$3:$N$3)*$E$2</f>
        <v>3739.95619144322</v>
      </c>
      <c r="P446" s="15" t="n">
        <f aca="false">N446*$E$2*(1+$I$427)/($F$427-$I$427)/(1+$F$427)^$N$3</f>
        <v>5306.18046815537</v>
      </c>
      <c r="Q446" s="15" t="n">
        <f aca="false">O446+P446</f>
        <v>9046.13665959859</v>
      </c>
      <c r="R446" s="15" t="n">
        <f aca="false">Q446-$G$2+$I$2</f>
        <v>7669.93665959859</v>
      </c>
      <c r="S446" s="42" t="n">
        <f aca="false">R446/$K$2</f>
        <v>204.477117024756</v>
      </c>
      <c r="T446" s="43" t="n">
        <f aca="false">S446-$M$2</f>
        <v>-0.00168862707030826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0.0291004180908203</v>
      </c>
      <c r="C447" s="25" t="n">
        <f aca="false">IF(T446&gt;0,D446,C446)</f>
        <v>0.0291061401367188</v>
      </c>
      <c r="D447" s="41" t="n">
        <f aca="false">(B447+C447)/2</f>
        <v>0.0291032791137695</v>
      </c>
      <c r="E447" s="15" t="n">
        <f aca="false">$C$2*(1+IF(E$3&lt;=$O$2,$D447,$D447-($D447-$I$427)*MIN(E$3-$O$2,$Q$2)/$Q$2))</f>
        <v>2644.79542732239</v>
      </c>
      <c r="F447" s="15" t="n">
        <f aca="false">E447*(1+IF(F$3&lt;=$O$2,$D447,$D447-($D447-$I$427)*MIN(F$3-$O$2,$Q$2)/$Q$2))</f>
        <v>2721.76764684257</v>
      </c>
      <c r="G447" s="15" t="n">
        <f aca="false">F447*(1+IF(G$3&lt;=$O$2,$D447,$D447-($D447-$I$427)*MIN(G$3-$O$2,$Q$2)/$Q$2))</f>
        <v>2800.98001035146</v>
      </c>
      <c r="H447" s="15" t="n">
        <f aca="false">G447*(1+IF(H$3&lt;=$O$2,$D447,$D447-($D447-$I$427)*MIN(H$3-$O$2,$Q$2)/$Q$2))</f>
        <v>2882.49771338481</v>
      </c>
      <c r="I447" s="15" t="n">
        <f aca="false">H447*(1+IF(I$3&lt;=$O$2,$D447,$D447-($D447-$I$427)*MIN(I$3-$O$2,$Q$2)/$Q$2))</f>
        <v>2966.38784888225</v>
      </c>
      <c r="J447" s="15" t="n">
        <f aca="false">I447*(1+IF(J$3&lt;=$O$2,$D447,$D447-($D447-$I$427)*MIN(J$3-$O$2,$Q$2)/$Q$2))</f>
        <v>3058.17567062526</v>
      </c>
      <c r="K447" s="15" t="n">
        <f aca="false">J447*(1+IF(K$3&lt;=$O$2,$D447,$D447-($D447-$I$427)*MIN(K$3-$O$2,$Q$2)/$Q$2))</f>
        <v>3158.42868597192</v>
      </c>
      <c r="L447" s="15" t="n">
        <f aca="false">K447*(1+IF(L$3&lt;=$O$2,$D447,$D447-($D447-$I$427)*MIN(L$3-$O$2,$Q$2)/$Q$2))</f>
        <v>3267.77762981907</v>
      </c>
      <c r="M447" s="15" t="n">
        <f aca="false">L447*(1+IF(M$3&lt;=$O$2,$D447,$D447-($D447-$I$427)*MIN(M$3-$O$2,$Q$2)/$Q$2))</f>
        <v>3386.9229452852</v>
      </c>
      <c r="N447" s="15" t="n">
        <f aca="false">M447*(1+IF(N$3&lt;=$O$2,$D447,$D447-($D447-$I$427)*MIN(N$3-$O$2,$Q$2)/$Q$2))</f>
        <v>3516.64209408962</v>
      </c>
      <c r="O447" s="15" t="n">
        <f aca="false">SUMPRODUCT(E447:N447,1/(1+$F$427)^$E$3:$N$3)*$E$2</f>
        <v>3740.00245971421</v>
      </c>
      <c r="P447" s="15" t="n">
        <f aca="false">N447*$E$2*(1+$I$427)/($F$427-$I$427)/(1+$F$427)^$N$3</f>
        <v>5306.28362674156</v>
      </c>
      <c r="Q447" s="15" t="n">
        <f aca="false">O447+P447</f>
        <v>9046.28608645578</v>
      </c>
      <c r="R447" s="15" t="n">
        <f aca="false">Q447-$G$2+$I$2</f>
        <v>7670.08608645578</v>
      </c>
      <c r="S447" s="42" t="n">
        <f aca="false">R447/$K$2</f>
        <v>204.48110067864</v>
      </c>
      <c r="T447" s="43" t="n">
        <f aca="false">S447-$M$2</f>
        <v>0.00229502681361282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0.0291004180908203</v>
      </c>
      <c r="C448" s="25" t="n">
        <f aca="false">IF(T447&gt;0,D447,C447)</f>
        <v>0.0291032791137695</v>
      </c>
      <c r="D448" s="41" t="n">
        <f aca="false">(B448+C448)/2</f>
        <v>0.0291018486022949</v>
      </c>
      <c r="E448" s="15" t="n">
        <f aca="false">$C$2*(1+IF(E$3&lt;=$O$2,$D448,$D448-($D448-$I$427)*MIN(E$3-$O$2,$Q$2)/$Q$2))</f>
        <v>2644.7917509079</v>
      </c>
      <c r="F448" s="15" t="n">
        <f aca="false">E448*(1+IF(F$3&lt;=$O$2,$D448,$D448-($D448-$I$427)*MIN(F$3-$O$2,$Q$2)/$Q$2))</f>
        <v>2721.76008002742</v>
      </c>
      <c r="G448" s="15" t="n">
        <f aca="false">F448*(1+IF(G$3&lt;=$O$2,$D448,$D448-($D448-$I$427)*MIN(G$3-$O$2,$Q$2)/$Q$2))</f>
        <v>2800.96832980815</v>
      </c>
      <c r="H448" s="15" t="n">
        <f aca="false">G448*(1+IF(H$3&lt;=$O$2,$D448,$D448-($D448-$I$427)*MIN(H$3-$O$2,$Q$2)/$Q$2))</f>
        <v>2882.48168608205</v>
      </c>
      <c r="I448" s="15" t="n">
        <f aca="false">H448*(1+IF(I$3&lt;=$O$2,$D448,$D448-($D448-$I$427)*MIN(I$3-$O$2,$Q$2)/$Q$2))</f>
        <v>2966.36723170929</v>
      </c>
      <c r="J448" s="15" t="n">
        <f aca="false">I448*(1+IF(J$3&lt;=$O$2,$D448,$D448-($D448-$I$427)*MIN(J$3-$O$2,$Q$2)/$Q$2))</f>
        <v>3058.151020765</v>
      </c>
      <c r="K448" s="15" t="n">
        <f aca="false">J448*(1+IF(K$3&lt;=$O$2,$D448,$D448-($D448-$I$427)*MIN(K$3-$O$2,$Q$2)/$Q$2))</f>
        <v>3158.40060320867</v>
      </c>
      <c r="L448" s="15" t="n">
        <f aca="false">K448*(1+IF(L$3&lt;=$O$2,$D448,$D448-($D448-$I$427)*MIN(L$3-$O$2,$Q$2)/$Q$2))</f>
        <v>3267.7467675424</v>
      </c>
      <c r="M448" s="15" t="n">
        <f aca="false">L448*(1+IF(M$3&lt;=$O$2,$D448,$D448-($D448-$I$427)*MIN(M$3-$O$2,$Q$2)/$Q$2))</f>
        <v>3386.89002283983</v>
      </c>
      <c r="N448" s="15" t="n">
        <f aca="false">M448*(1+IF(N$3&lt;=$O$2,$D448,$D448-($D448-$I$427)*MIN(N$3-$O$2,$Q$2)/$Q$2))</f>
        <v>3516.60791071459</v>
      </c>
      <c r="O448" s="15" t="n">
        <f aca="false">SUMPRODUCT(E448:N448,1/(1+$F$427)^$E$3:$N$3)*$E$2</f>
        <v>3739.97932550596</v>
      </c>
      <c r="P448" s="15" t="n">
        <f aca="false">N448*$E$2*(1+$I$427)/($F$427-$I$427)/(1+$F$427)^$N$3</f>
        <v>5306.23204722953</v>
      </c>
      <c r="Q448" s="15" t="n">
        <f aca="false">O448+P448</f>
        <v>9046.21137273549</v>
      </c>
      <c r="R448" s="15" t="n">
        <f aca="false">Q448-$G$2+$I$2</f>
        <v>7670.01137273549</v>
      </c>
      <c r="S448" s="42" t="n">
        <f aca="false">R448/$K$2</f>
        <v>204.479108843921</v>
      </c>
      <c r="T448" s="43" t="n">
        <f aca="false">S448-$M$2</f>
        <v>0.000303192095174154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0.0291004180908203</v>
      </c>
      <c r="C449" s="25" t="n">
        <f aca="false">IF(T448&gt;0,D448,C448)</f>
        <v>0.0291018486022949</v>
      </c>
      <c r="D449" s="41" t="n">
        <f aca="false">(B449+C449)/2</f>
        <v>0.0291011333465576</v>
      </c>
      <c r="E449" s="15" t="n">
        <f aca="false">$C$2*(1+IF(E$3&lt;=$O$2,$D449,$D449-($D449-$I$427)*MIN(E$3-$O$2,$Q$2)/$Q$2))</f>
        <v>2644.78991270065</v>
      </c>
      <c r="F449" s="15" t="n">
        <f aca="false">E449*(1+IF(F$3&lt;=$O$2,$D449,$D449-($D449-$I$427)*MIN(F$3-$O$2,$Q$2)/$Q$2))</f>
        <v>2721.75629662379</v>
      </c>
      <c r="G449" s="15" t="n">
        <f aca="false">F449*(1+IF(G$3&lt;=$O$2,$D449,$D449-($D449-$I$427)*MIN(G$3-$O$2,$Q$2)/$Q$2))</f>
        <v>2800.96248954867</v>
      </c>
      <c r="H449" s="15" t="n">
        <f aca="false">G449*(1+IF(H$3&lt;=$O$2,$D449,$D449-($D449-$I$427)*MIN(H$3-$O$2,$Q$2)/$Q$2))</f>
        <v>2882.47367245573</v>
      </c>
      <c r="I449" s="15" t="n">
        <f aca="false">H449*(1+IF(I$3&lt;=$O$2,$D449,$D449-($D449-$I$427)*MIN(I$3-$O$2,$Q$2)/$Q$2))</f>
        <v>2966.3569231658</v>
      </c>
      <c r="J449" s="15" t="n">
        <f aca="false">I449*(1+IF(J$3&lt;=$O$2,$D449,$D449-($D449-$I$427)*MIN(J$3-$O$2,$Q$2)/$Q$2))</f>
        <v>3058.13869589688</v>
      </c>
      <c r="K449" s="15" t="n">
        <f aca="false">J449*(1+IF(K$3&lt;=$O$2,$D449,$D449-($D449-$I$427)*MIN(K$3-$O$2,$Q$2)/$Q$2))</f>
        <v>3158.38656190696</v>
      </c>
      <c r="L449" s="15" t="n">
        <f aca="false">K449*(1+IF(L$3&lt;=$O$2,$D449,$D449-($D449-$I$427)*MIN(L$3-$O$2,$Q$2)/$Q$2))</f>
        <v>3267.73133649879</v>
      </c>
      <c r="M449" s="15" t="n">
        <f aca="false">L449*(1+IF(M$3&lt;=$O$2,$D449,$D449-($D449-$I$427)*MIN(M$3-$O$2,$Q$2)/$Q$2))</f>
        <v>3386.87356172195</v>
      </c>
      <c r="N449" s="15" t="n">
        <f aca="false">M449*(1+IF(N$3&lt;=$O$2,$D449,$D449-($D449-$I$427)*MIN(N$3-$O$2,$Q$2)/$Q$2))</f>
        <v>3516.5908191359</v>
      </c>
      <c r="O449" s="15" t="n">
        <f aca="false">SUMPRODUCT(E449:N449,1/(1+$F$427)^$E$3:$N$3)*$E$2</f>
        <v>3739.9677584564</v>
      </c>
      <c r="P449" s="15" t="n">
        <f aca="false">N449*$E$2*(1+$I$427)/($F$427-$I$427)/(1+$F$427)^$N$3</f>
        <v>5306.20625763772</v>
      </c>
      <c r="Q449" s="15" t="n">
        <f aca="false">O449+P449</f>
        <v>9046.17401609412</v>
      </c>
      <c r="R449" s="15" t="n">
        <f aca="false">Q449-$G$2+$I$2</f>
        <v>7669.97401609412</v>
      </c>
      <c r="S449" s="42" t="n">
        <f aca="false">R449/$K$2</f>
        <v>204.478112932394</v>
      </c>
      <c r="T449" s="43" t="n">
        <f aca="false">S449-$M$2</f>
        <v>-0.000692719431640398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0.0291011333465576</v>
      </c>
      <c r="C450" s="25" t="n">
        <f aca="false">IF(T449&gt;0,D449,C449)</f>
        <v>0.0291018486022949</v>
      </c>
      <c r="D450" s="41" t="n">
        <f aca="false">(B450+C450)/2</f>
        <v>0.0291014909744263</v>
      </c>
      <c r="E450" s="15" t="n">
        <f aca="false">$C$2*(1+IF(E$3&lt;=$O$2,$D450,$D450-($D450-$I$427)*MIN(E$3-$O$2,$Q$2)/$Q$2))</f>
        <v>2644.79083180428</v>
      </c>
      <c r="F450" s="15" t="n">
        <f aca="false">E450*(1+IF(F$3&lt;=$O$2,$D450,$D450-($D450-$I$427)*MIN(F$3-$O$2,$Q$2)/$Q$2))</f>
        <v>2721.75818832527</v>
      </c>
      <c r="G450" s="15" t="n">
        <f aca="false">F450*(1+IF(G$3&lt;=$O$2,$D450,$D450-($D450-$I$427)*MIN(G$3-$O$2,$Q$2)/$Q$2))</f>
        <v>2800.96540967739</v>
      </c>
      <c r="H450" s="15" t="n">
        <f aca="false">G450*(1+IF(H$3&lt;=$O$2,$D450,$D450-($D450-$I$427)*MIN(H$3-$O$2,$Q$2)/$Q$2))</f>
        <v>2882.4776792668</v>
      </c>
      <c r="I450" s="15" t="n">
        <f aca="false">H450*(1+IF(I$3&lt;=$O$2,$D450,$D450-($D450-$I$427)*MIN(I$3-$O$2,$Q$2)/$Q$2))</f>
        <v>2966.36207743397</v>
      </c>
      <c r="J450" s="15" t="n">
        <f aca="false">I450*(1+IF(J$3&lt;=$O$2,$D450,$D450-($D450-$I$427)*MIN(J$3-$O$2,$Q$2)/$Q$2))</f>
        <v>3058.14485832577</v>
      </c>
      <c r="K450" s="15" t="n">
        <f aca="false">J450*(1+IF(K$3&lt;=$O$2,$D450,$D450-($D450-$I$427)*MIN(K$3-$O$2,$Q$2)/$Q$2))</f>
        <v>3158.39358255116</v>
      </c>
      <c r="L450" s="15" t="n">
        <f aca="false">K450*(1+IF(L$3&lt;=$O$2,$D450,$D450-($D450-$I$427)*MIN(L$3-$O$2,$Q$2)/$Q$2))</f>
        <v>3267.7390520127</v>
      </c>
      <c r="M450" s="15" t="n">
        <f aca="false">L450*(1+IF(M$3&lt;=$O$2,$D450,$D450-($D450-$I$427)*MIN(M$3-$O$2,$Q$2)/$Q$2))</f>
        <v>3386.88179227216</v>
      </c>
      <c r="N450" s="15" t="n">
        <f aca="false">M450*(1+IF(N$3&lt;=$O$2,$D450,$D450-($D450-$I$427)*MIN(N$3-$O$2,$Q$2)/$Q$2))</f>
        <v>3516.59936491618</v>
      </c>
      <c r="O450" s="15" t="n">
        <f aca="false">SUMPRODUCT(E450:N450,1/(1+$F$427)^$E$3:$N$3)*$E$2</f>
        <v>3739.97354197663</v>
      </c>
      <c r="P450" s="15" t="n">
        <f aca="false">N450*$E$2*(1+$I$427)/($F$427-$I$427)/(1+$F$427)^$N$3</f>
        <v>5306.21915241994</v>
      </c>
      <c r="Q450" s="15" t="n">
        <f aca="false">O450+P450</f>
        <v>9046.19269439657</v>
      </c>
      <c r="R450" s="15" t="n">
        <f aca="false">Q450-$G$2+$I$2</f>
        <v>7669.99269439657</v>
      </c>
      <c r="S450" s="42" t="n">
        <f aca="false">R450/$K$2</f>
        <v>204.478610887672</v>
      </c>
      <c r="T450" s="43" t="n">
        <f aca="false">S450-$M$2</f>
        <v>-0.000194764154201721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0.0291014909744263</v>
      </c>
      <c r="C451" s="25" t="n">
        <f aca="false">IF(T450&gt;0,D450,C450)</f>
        <v>0.0291018486022949</v>
      </c>
      <c r="D451" s="41" t="n">
        <f aca="false">(B451+C451)/2</f>
        <v>0.0291016697883606</v>
      </c>
      <c r="E451" s="15" t="n">
        <f aca="false">$C$2*(1+IF(E$3&lt;=$O$2,$D451,$D451-($D451-$I$427)*MIN(E$3-$O$2,$Q$2)/$Q$2))</f>
        <v>2644.79129135609</v>
      </c>
      <c r="F451" s="15" t="n">
        <f aca="false">E451*(1+IF(F$3&lt;=$O$2,$D451,$D451-($D451-$I$427)*MIN(F$3-$O$2,$Q$2)/$Q$2))</f>
        <v>2721.75913417626</v>
      </c>
      <c r="G451" s="15" t="n">
        <f aca="false">F451*(1+IF(G$3&lt;=$O$2,$D451,$D451-($D451-$I$427)*MIN(G$3-$O$2,$Q$2)/$Q$2))</f>
        <v>2800.96686974252</v>
      </c>
      <c r="H451" s="15" t="n">
        <f aca="false">G451*(1+IF(H$3&lt;=$O$2,$D451,$D451-($D451-$I$427)*MIN(H$3-$O$2,$Q$2)/$Q$2))</f>
        <v>2882.4796826739</v>
      </c>
      <c r="I451" s="15" t="n">
        <f aca="false">H451*(1+IF(I$3&lt;=$O$2,$D451,$D451-($D451-$I$427)*MIN(I$3-$O$2,$Q$2)/$Q$2))</f>
        <v>2966.36465457073</v>
      </c>
      <c r="J451" s="15" t="n">
        <f aca="false">I451*(1+IF(J$3&lt;=$O$2,$D451,$D451-($D451-$I$427)*MIN(J$3-$O$2,$Q$2)/$Q$2))</f>
        <v>3058.14793954409</v>
      </c>
      <c r="K451" s="15" t="n">
        <f aca="false">J451*(1+IF(K$3&lt;=$O$2,$D451,$D451-($D451-$I$427)*MIN(K$3-$O$2,$Q$2)/$Q$2))</f>
        <v>3158.39709287825</v>
      </c>
      <c r="L451" s="15" t="n">
        <f aca="false">K451*(1+IF(L$3&lt;=$O$2,$D451,$D451-($D451-$I$427)*MIN(L$3-$O$2,$Q$2)/$Q$2))</f>
        <v>3267.74290977557</v>
      </c>
      <c r="M451" s="15" t="n">
        <f aca="false">L451*(1+IF(M$3&lt;=$O$2,$D451,$D451-($D451-$I$427)*MIN(M$3-$O$2,$Q$2)/$Q$2))</f>
        <v>3386.88590755381</v>
      </c>
      <c r="N451" s="15" t="n">
        <f aca="false">M451*(1+IF(N$3&lt;=$O$2,$D451,$D451-($D451-$I$427)*MIN(N$3-$O$2,$Q$2)/$Q$2))</f>
        <v>3516.60363781312</v>
      </c>
      <c r="O451" s="15" t="n">
        <f aca="false">SUMPRODUCT(E451:N451,1/(1+$F$427)^$E$3:$N$3)*$E$2</f>
        <v>3739.97643374016</v>
      </c>
      <c r="P451" s="15" t="n">
        <f aca="false">N451*$E$2*(1+$I$427)/($F$427-$I$427)/(1+$F$427)^$N$3</f>
        <v>5306.22559982131</v>
      </c>
      <c r="Q451" s="15" t="n">
        <f aca="false">O451+P451</f>
        <v>9046.20203356147</v>
      </c>
      <c r="R451" s="15" t="n">
        <f aca="false">Q451-$G$2+$I$2</f>
        <v>7670.00203356147</v>
      </c>
      <c r="S451" s="42" t="n">
        <f aca="false">R451/$K$2</f>
        <v>204.478859865675</v>
      </c>
      <c r="T451" s="43" t="n">
        <f aca="false">S451-$M$2</f>
        <v>5.4213848954987E-005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0.0291014909744263</v>
      </c>
      <c r="C452" s="25" t="n">
        <f aca="false">IF(T451&gt;0,D451,C451)</f>
        <v>0.0291016697883606</v>
      </c>
      <c r="D452" s="41" t="n">
        <f aca="false">(B452+C452)/2</f>
        <v>0.0291015803813934</v>
      </c>
      <c r="E452" s="15" t="n">
        <f aca="false">$C$2*(1+IF(E$3&lt;=$O$2,$D452,$D452-($D452-$I$427)*MIN(E$3-$O$2,$Q$2)/$Q$2))</f>
        <v>2644.79106158018</v>
      </c>
      <c r="F452" s="15" t="n">
        <f aca="false">E452*(1+IF(F$3&lt;=$O$2,$D452,$D452-($D452-$I$427)*MIN(F$3-$O$2,$Q$2)/$Q$2))</f>
        <v>2721.75866125075</v>
      </c>
      <c r="G452" s="15" t="n">
        <f aca="false">F452*(1+IF(G$3&lt;=$O$2,$D452,$D452-($D452-$I$427)*MIN(G$3-$O$2,$Q$2)/$Q$2))</f>
        <v>2800.96613970989</v>
      </c>
      <c r="H452" s="15" t="n">
        <f aca="false">G452*(1+IF(H$3&lt;=$O$2,$D452,$D452-($D452-$I$427)*MIN(H$3-$O$2,$Q$2)/$Q$2))</f>
        <v>2882.47868097022</v>
      </c>
      <c r="I452" s="15" t="n">
        <f aca="false">H452*(1+IF(I$3&lt;=$O$2,$D452,$D452-($D452-$I$427)*MIN(I$3-$O$2,$Q$2)/$Q$2))</f>
        <v>2966.36336600213</v>
      </c>
      <c r="J452" s="15" t="n">
        <f aca="false">I452*(1+IF(J$3&lt;=$O$2,$D452,$D452-($D452-$I$427)*MIN(J$3-$O$2,$Q$2)/$Q$2))</f>
        <v>3058.14639893461</v>
      </c>
      <c r="K452" s="15" t="n">
        <f aca="false">J452*(1+IF(K$3&lt;=$O$2,$D452,$D452-($D452-$I$427)*MIN(K$3-$O$2,$Q$2)/$Q$2))</f>
        <v>3158.39533771429</v>
      </c>
      <c r="L452" s="15" t="n">
        <f aca="false">K452*(1+IF(L$3&lt;=$O$2,$D452,$D452-($D452-$I$427)*MIN(L$3-$O$2,$Q$2)/$Q$2))</f>
        <v>3267.74098089364</v>
      </c>
      <c r="M452" s="15" t="n">
        <f aca="false">L452*(1+IF(M$3&lt;=$O$2,$D452,$D452-($D452-$I$427)*MIN(M$3-$O$2,$Q$2)/$Q$2))</f>
        <v>3386.88384991243</v>
      </c>
      <c r="N452" s="15" t="n">
        <f aca="false">M452*(1+IF(N$3&lt;=$O$2,$D452,$D452-($D452-$I$427)*MIN(N$3-$O$2,$Q$2)/$Q$2))</f>
        <v>3516.60150136408</v>
      </c>
      <c r="O452" s="15" t="n">
        <f aca="false">SUMPRODUCT(E452:N452,1/(1+$F$427)^$E$3:$N$3)*$E$2</f>
        <v>3739.97498785811</v>
      </c>
      <c r="P452" s="15" t="n">
        <f aca="false">N452*$E$2*(1+$I$427)/($F$427-$I$427)/(1+$F$427)^$N$3</f>
        <v>5306.22237611977</v>
      </c>
      <c r="Q452" s="15" t="n">
        <f aca="false">O452+P452</f>
        <v>9046.19736397788</v>
      </c>
      <c r="R452" s="15" t="n">
        <f aca="false">Q452-$G$2+$I$2</f>
        <v>7669.99736397788</v>
      </c>
      <c r="S452" s="42" t="n">
        <f aca="false">R452/$K$2</f>
        <v>204.478735376643</v>
      </c>
      <c r="T452" s="43" t="n">
        <f aca="false">S452-$M$2</f>
        <v>-7.02751830203852E-005</v>
      </c>
    </row>
    <row r="454" customFormat="false" ht="15" hidden="false" customHeight="false" outlineLevel="0" collapsed="false">
      <c r="A454" s="38" t="s">
        <v>197</v>
      </c>
      <c r="E454" s="5" t="s">
        <v>11</v>
      </c>
      <c r="F454" s="12" t="n">
        <f aca="false">Sensitivity!$B$13</f>
        <v>0.099183337553844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162</v>
      </c>
      <c r="B455" s="28" t="s">
        <v>163</v>
      </c>
      <c r="C455" s="28" t="s">
        <v>164</v>
      </c>
      <c r="D455" s="28" t="s">
        <v>165</v>
      </c>
      <c r="E455" s="28" t="s">
        <v>166</v>
      </c>
      <c r="F455" s="28" t="s">
        <v>167</v>
      </c>
      <c r="G455" s="28" t="s">
        <v>168</v>
      </c>
      <c r="H455" s="28" t="s">
        <v>169</v>
      </c>
      <c r="I455" s="28" t="s">
        <v>170</v>
      </c>
      <c r="J455" s="28" t="s">
        <v>171</v>
      </c>
      <c r="K455" s="28" t="s">
        <v>172</v>
      </c>
      <c r="L455" s="28" t="s">
        <v>173</v>
      </c>
      <c r="M455" s="28" t="s">
        <v>174</v>
      </c>
      <c r="N455" s="28" t="s">
        <v>175</v>
      </c>
      <c r="O455" s="28" t="s">
        <v>176</v>
      </c>
      <c r="P455" s="28" t="s">
        <v>177</v>
      </c>
      <c r="Q455" s="28" t="s">
        <v>178</v>
      </c>
      <c r="R455" s="28" t="s">
        <v>179</v>
      </c>
      <c r="S455" s="28" t="s">
        <v>180</v>
      </c>
      <c r="T455" s="28" t="s">
        <v>181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3212.5</v>
      </c>
      <c r="F456" s="15" t="n">
        <f aca="false">E456*(1+IF(F$3&lt;=$O$2,$D456,$D456-($D456-$I$454)*MIN(F$3-$O$2,$Q$2)/$Q$2))</f>
        <v>4015.625</v>
      </c>
      <c r="G456" s="15" t="n">
        <f aca="false">F456*(1+IF(G$3&lt;=$O$2,$D456,$D456-($D456-$I$454)*MIN(G$3-$O$2,$Q$2)/$Q$2))</f>
        <v>5019.53125</v>
      </c>
      <c r="H456" s="15" t="n">
        <f aca="false">G456*(1+IF(H$3&lt;=$O$2,$D456,$D456-($D456-$I$454)*MIN(H$3-$O$2,$Q$2)/$Q$2))</f>
        <v>6274.4140625</v>
      </c>
      <c r="I456" s="15" t="n">
        <f aca="false">H456*(1+IF(I$3&lt;=$O$2,$D456,$D456-($D456-$I$454)*MIN(I$3-$O$2,$Q$2)/$Q$2))</f>
        <v>7843.017578125</v>
      </c>
      <c r="J456" s="15" t="n">
        <f aca="false">I456*(1+IF(J$3&lt;=$O$2,$D456,$D456-($D456-$I$454)*MIN(J$3-$O$2,$Q$2)/$Q$2))</f>
        <v>9440.32653808594</v>
      </c>
      <c r="K456" s="15" t="n">
        <f aca="false">J456*(1+IF(K$3&lt;=$O$2,$D456,$D456-($D456-$I$454)*MIN(K$3-$O$2,$Q$2)/$Q$2))</f>
        <v>10925.4787090576</v>
      </c>
      <c r="L456" s="15" t="n">
        <f aca="false">K456*(1+IF(L$3&lt;=$O$2,$D456,$D456-($D456-$I$454)*MIN(L$3-$O$2,$Q$2)/$Q$2))</f>
        <v>12137.9883361888</v>
      </c>
      <c r="M456" s="15" t="n">
        <f aca="false">L456*(1+IF(M$3&lt;=$O$2,$D456,$D456-($D456-$I$454)*MIN(M$3-$O$2,$Q$2)/$Q$2))</f>
        <v>12922.5879022401</v>
      </c>
      <c r="N456" s="15" t="n">
        <f aca="false">M456*(1+IF(N$3&lt;=$O$2,$D456,$D456-($D456-$I$454)*MIN(N$3-$O$2,$Q$2)/$Q$2))</f>
        <v>13159.0712608511</v>
      </c>
      <c r="O456" s="15" t="n">
        <f aca="false">SUMPRODUCT(E456:N456,1/(1+$F$454)^$E$3:$N$3)*$E$2</f>
        <v>9294.16615648753</v>
      </c>
      <c r="P456" s="15" t="n">
        <f aca="false">N456*$E$2*(1+$I$454)/($F$454-$I$454)/(1+$F$454)^$N$3</f>
        <v>12854.7399907811</v>
      </c>
      <c r="Q456" s="15" t="n">
        <f aca="false">O456+P456</f>
        <v>22148.9061472686</v>
      </c>
      <c r="R456" s="15" t="n">
        <f aca="false">Q456-$G$2+$I$2</f>
        <v>20772.7061472686</v>
      </c>
      <c r="S456" s="42" t="n">
        <f aca="false">R456/$K$2</f>
        <v>553.791152953042</v>
      </c>
      <c r="T456" s="43" t="n">
        <f aca="false">S456-$M$2</f>
        <v>349.312347301216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2248.75</v>
      </c>
      <c r="F457" s="15" t="n">
        <f aca="false">E457*(1+IF(F$3&lt;=$O$2,$D457,$D457-($D457-$I$454)*MIN(F$3-$O$2,$Q$2)/$Q$2))</f>
        <v>1967.65625</v>
      </c>
      <c r="G457" s="15" t="n">
        <f aca="false">F457*(1+IF(G$3&lt;=$O$2,$D457,$D457-($D457-$I$454)*MIN(G$3-$O$2,$Q$2)/$Q$2))</f>
        <v>1721.69921875</v>
      </c>
      <c r="H457" s="15" t="n">
        <f aca="false">G457*(1+IF(H$3&lt;=$O$2,$D457,$D457-($D457-$I$454)*MIN(H$3-$O$2,$Q$2)/$Q$2))</f>
        <v>1506.48681640625</v>
      </c>
      <c r="I457" s="15" t="n">
        <f aca="false">H457*(1+IF(I$3&lt;=$O$2,$D457,$D457-($D457-$I$454)*MIN(I$3-$O$2,$Q$2)/$Q$2))</f>
        <v>1318.17596435547</v>
      </c>
      <c r="J457" s="15" t="n">
        <f aca="false">I457*(1+IF(J$3&lt;=$O$2,$D457,$D457-($D457-$I$454)*MIN(J$3-$O$2,$Q$2)/$Q$2))</f>
        <v>1191.18289194946</v>
      </c>
      <c r="K457" s="15" t="n">
        <f aca="false">J457*(1+IF(K$3&lt;=$O$2,$D457,$D457-($D457-$I$454)*MIN(K$3-$O$2,$Q$2)/$Q$2))</f>
        <v>1110.56363382232</v>
      </c>
      <c r="L457" s="15" t="n">
        <f aca="false">K457*(1+IF(L$3&lt;=$O$2,$D457,$D457-($D457-$I$454)*MIN(L$3-$O$2,$Q$2)/$Q$2))</f>
        <v>1067.22944083058</v>
      </c>
      <c r="M457" s="15" t="n">
        <f aca="false">L457*(1+IF(M$3&lt;=$O$2,$D457,$D457-($D457-$I$454)*MIN(M$3-$O$2,$Q$2)/$Q$2))</f>
        <v>1056.17294382357</v>
      </c>
      <c r="N457" s="15" t="n">
        <f aca="false">M457*(1+IF(N$3&lt;=$O$2,$D457,$D457-($D457-$I$454)*MIN(N$3-$O$2,$Q$2)/$Q$2))</f>
        <v>1075.50090869554</v>
      </c>
      <c r="O457" s="15" t="n">
        <f aca="false">SUMPRODUCT(E457:N457,1/(1+$F$454)^$E$3:$N$3)*$E$2</f>
        <v>1886.22474715868</v>
      </c>
      <c r="P457" s="15" t="n">
        <f aca="false">N457*$E$2*(1+$I$454)/($F$454-$I$454)/(1+$F$454)^$N$3</f>
        <v>1050.62768238523</v>
      </c>
      <c r="Q457" s="15" t="n">
        <f aca="false">O457+P457</f>
        <v>2936.8524295439</v>
      </c>
      <c r="R457" s="15" t="n">
        <f aca="false">Q457-$G$2+$I$2</f>
        <v>1560.6524295439</v>
      </c>
      <c r="S457" s="42" t="n">
        <f aca="false">R457/$K$2</f>
        <v>41.6063031070089</v>
      </c>
      <c r="T457" s="43" t="n">
        <f aca="false">S457-$M$2</f>
        <v>-162.872502544817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2730.625</v>
      </c>
      <c r="F458" s="15" t="n">
        <f aca="false">E458*(1+IF(F$3&lt;=$O$2,$D458,$D458-($D458-$I$454)*MIN(F$3-$O$2,$Q$2)/$Q$2))</f>
        <v>2901.2890625</v>
      </c>
      <c r="G458" s="15" t="n">
        <f aca="false">F458*(1+IF(G$3&lt;=$O$2,$D458,$D458-($D458-$I$454)*MIN(G$3-$O$2,$Q$2)/$Q$2))</f>
        <v>3082.61962890625</v>
      </c>
      <c r="H458" s="15" t="n">
        <f aca="false">G458*(1+IF(H$3&lt;=$O$2,$D458,$D458-($D458-$I$454)*MIN(H$3-$O$2,$Q$2)/$Q$2))</f>
        <v>3275.28335571289</v>
      </c>
      <c r="I458" s="15" t="n">
        <f aca="false">H458*(1+IF(I$3&lt;=$O$2,$D458,$D458-($D458-$I$454)*MIN(I$3-$O$2,$Q$2)/$Q$2))</f>
        <v>3479.98856544495</v>
      </c>
      <c r="J458" s="15" t="n">
        <f aca="false">I458*(1+IF(J$3&lt;=$O$2,$D458,$D458-($D458-$I$454)*MIN(J$3-$O$2,$Q$2)/$Q$2))</f>
        <v>3666.72475186672</v>
      </c>
      <c r="K458" s="15" t="n">
        <f aca="false">J458*(1+IF(K$3&lt;=$O$2,$D458,$D458-($D458-$I$454)*MIN(K$3-$O$2,$Q$2)/$Q$2))</f>
        <v>3831.06735524539</v>
      </c>
      <c r="L458" s="15" t="n">
        <f aca="false">K458*(1+IF(L$3&lt;=$O$2,$D458,$D458-($D458-$I$454)*MIN(L$3-$O$2,$Q$2)/$Q$2))</f>
        <v>3968.90915868712</v>
      </c>
      <c r="M458" s="15" t="n">
        <f aca="false">L458*(1+IF(M$3&lt;=$O$2,$D458,$D458-($D458-$I$454)*MIN(M$3-$O$2,$Q$2)/$Q$2))</f>
        <v>4076.62535325389</v>
      </c>
      <c r="N458" s="15" t="n">
        <f aca="false">M458*(1+IF(N$3&lt;=$O$2,$D458,$D458-($D458-$I$454)*MIN(N$3-$O$2,$Q$2)/$Q$2))</f>
        <v>4151.22759721843</v>
      </c>
      <c r="O458" s="15" t="n">
        <f aca="false">SUMPRODUCT(E458:N458,1/(1+$F$454)^$E$3:$N$3)*$E$2</f>
        <v>4173.11294822359</v>
      </c>
      <c r="P458" s="15" t="n">
        <f aca="false">N458*$E$2*(1+$I$454)/($F$454-$I$454)/(1+$F$454)^$N$3</f>
        <v>4055.22170577155</v>
      </c>
      <c r="Q458" s="15" t="n">
        <f aca="false">O458+P458</f>
        <v>8228.33465399514</v>
      </c>
      <c r="R458" s="15" t="n">
        <f aca="false">Q458-$G$2+$I$2</f>
        <v>6852.13465399514</v>
      </c>
      <c r="S458" s="42" t="n">
        <f aca="false">R458/$K$2</f>
        <v>182.674877472544</v>
      </c>
      <c r="T458" s="43" t="n">
        <f aca="false">S458-$M$2</f>
        <v>-21.8039281792817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2971.5625</v>
      </c>
      <c r="F459" s="15" t="n">
        <f aca="false">E459*(1+IF(F$3&lt;=$O$2,$D459,$D459-($D459-$I$454)*MIN(F$3-$O$2,$Q$2)/$Q$2))</f>
        <v>3435.869140625</v>
      </c>
      <c r="G459" s="15" t="n">
        <f aca="false">F459*(1+IF(G$3&lt;=$O$2,$D459,$D459-($D459-$I$454)*MIN(G$3-$O$2,$Q$2)/$Q$2))</f>
        <v>3972.72369384766</v>
      </c>
      <c r="H459" s="15" t="n">
        <f aca="false">G459*(1+IF(H$3&lt;=$O$2,$D459,$D459-($D459-$I$454)*MIN(H$3-$O$2,$Q$2)/$Q$2))</f>
        <v>4593.46177101135</v>
      </c>
      <c r="I459" s="15" t="n">
        <f aca="false">H459*(1+IF(I$3&lt;=$O$2,$D459,$D459-($D459-$I$454)*MIN(I$3-$O$2,$Q$2)/$Q$2))</f>
        <v>5311.19017273188</v>
      </c>
      <c r="J459" s="15" t="n">
        <f aca="false">I459*(1+IF(J$3&lt;=$O$2,$D459,$D459-($D459-$I$454)*MIN(J$3-$O$2,$Q$2)/$Q$2))</f>
        <v>5994.52790035556</v>
      </c>
      <c r="K459" s="15" t="n">
        <f aca="false">J459*(1+IF(K$3&lt;=$O$2,$D459,$D459-($D459-$I$454)*MIN(K$3-$O$2,$Q$2)/$Q$2))</f>
        <v>6600.3948352445</v>
      </c>
      <c r="L459" s="15" t="n">
        <f aca="false">K459*(1+IF(L$3&lt;=$O$2,$D459,$D459-($D459-$I$454)*MIN(L$3-$O$2,$Q$2)/$Q$2))</f>
        <v>7085.39184773826</v>
      </c>
      <c r="M459" s="15" t="n">
        <f aca="false">L459*(1+IF(M$3&lt;=$O$2,$D459,$D459-($D459-$I$454)*MIN(M$3-$O$2,$Q$2)/$Q$2))</f>
        <v>7410.54047963097</v>
      </c>
      <c r="N459" s="15" t="n">
        <f aca="false">M459*(1+IF(N$3&lt;=$O$2,$D459,$D459-($D459-$I$454)*MIN(N$3-$O$2,$Q$2)/$Q$2))</f>
        <v>7546.15337040822</v>
      </c>
      <c r="O459" s="15" t="n">
        <f aca="false">SUMPRODUCT(E459:N459,1/(1+$F$454)^$E$3:$N$3)*$E$2</f>
        <v>6236.52049538854</v>
      </c>
      <c r="P459" s="15" t="n">
        <f aca="false">N459*$E$2*(1+$I$454)/($F$454-$I$454)/(1+$F$454)^$N$3</f>
        <v>7371.63266192998</v>
      </c>
      <c r="Q459" s="15" t="n">
        <f aca="false">O459+P459</f>
        <v>13608.1531573185</v>
      </c>
      <c r="R459" s="15" t="n">
        <f aca="false">Q459-$G$2+$I$2</f>
        <v>12231.9531573185</v>
      </c>
      <c r="S459" s="42" t="n">
        <f aca="false">R459/$K$2</f>
        <v>326.09845793971</v>
      </c>
      <c r="T459" s="43" t="n">
        <f aca="false">S459-$M$2</f>
        <v>121.619652287884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41" t="n">
        <f aca="false">(B460+C460)/2</f>
        <v>0.109375</v>
      </c>
      <c r="E460" s="15" t="n">
        <f aca="false">$C$2*(1+IF(E$3&lt;=$O$2,$D460,$D460-($D460-$I$454)*MIN(E$3-$O$2,$Q$2)/$Q$2))</f>
        <v>2851.09375</v>
      </c>
      <c r="F460" s="15" t="n">
        <f aca="false">E460*(1+IF(F$3&lt;=$O$2,$D460,$D460-($D460-$I$454)*MIN(F$3-$O$2,$Q$2)/$Q$2))</f>
        <v>3162.93212890625</v>
      </c>
      <c r="G460" s="15" t="n">
        <f aca="false">F460*(1+IF(G$3&lt;=$O$2,$D460,$D460-($D460-$I$454)*MIN(G$3-$O$2,$Q$2)/$Q$2))</f>
        <v>3508.87783050537</v>
      </c>
      <c r="H460" s="15" t="n">
        <f aca="false">G460*(1+IF(H$3&lt;=$O$2,$D460,$D460-($D460-$I$454)*MIN(H$3-$O$2,$Q$2)/$Q$2))</f>
        <v>3892.6613432169</v>
      </c>
      <c r="I460" s="15" t="n">
        <f aca="false">H460*(1+IF(I$3&lt;=$O$2,$D460,$D460-($D460-$I$454)*MIN(I$3-$O$2,$Q$2)/$Q$2))</f>
        <v>4318.42117763124</v>
      </c>
      <c r="J460" s="15" t="n">
        <f aca="false">I460*(1+IF(J$3&lt;=$O$2,$D460,$D460-($D460-$I$454)*MIN(J$3-$O$2,$Q$2)/$Q$2))</f>
        <v>4712.08845218411</v>
      </c>
      <c r="K460" s="15" t="n">
        <f aca="false">J460*(1+IF(K$3&lt;=$O$2,$D460,$D460-($D460-$I$454)*MIN(K$3-$O$2,$Q$2)/$Q$2))</f>
        <v>5055.81174432868</v>
      </c>
      <c r="L460" s="15" t="n">
        <f aca="false">K460*(1+IF(L$3&lt;=$O$2,$D460,$D460-($D460-$I$454)*MIN(L$3-$O$2,$Q$2)/$Q$2))</f>
        <v>5332.51632109579</v>
      </c>
      <c r="M460" s="15" t="n">
        <f aca="false">L460*(1+IF(M$3&lt;=$O$2,$D460,$D460-($D460-$I$454)*MIN(M$3-$O$2,$Q$2)/$Q$2))</f>
        <v>5527.2331545606</v>
      </c>
      <c r="N460" s="15" t="n">
        <f aca="false">M460*(1+IF(N$3&lt;=$O$2,$D460,$D460-($D460-$I$454)*MIN(N$3-$O$2,$Q$2)/$Q$2))</f>
        <v>5628.38152128906</v>
      </c>
      <c r="O460" s="15" t="n">
        <f aca="false">SUMPRODUCT(E460:N460,1/(1+$F$454)^$E$3:$N$3)*$E$2</f>
        <v>5102.0417975113</v>
      </c>
      <c r="P460" s="15" t="n">
        <f aca="false">N460*$E$2*(1+$I$454)/($F$454-$I$454)/(1+$F$454)^$N$3</f>
        <v>5498.21333062743</v>
      </c>
      <c r="Q460" s="15" t="n">
        <f aca="false">O460+P460</f>
        <v>10600.2551281387</v>
      </c>
      <c r="R460" s="15" t="n">
        <f aca="false">Q460-$G$2+$I$2</f>
        <v>9224.05512813873</v>
      </c>
      <c r="S460" s="42" t="n">
        <f aca="false">R460/$K$2</f>
        <v>245.909227623</v>
      </c>
      <c r="T460" s="43" t="n">
        <f aca="false">S460-$M$2</f>
        <v>41.430421971174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0.0625</v>
      </c>
      <c r="C461" s="25" t="n">
        <f aca="false">IF(T460&gt;0,D460,C460)</f>
        <v>0.109375</v>
      </c>
      <c r="D461" s="41" t="n">
        <f aca="false">(B461+C461)/2</f>
        <v>0.0859375</v>
      </c>
      <c r="E461" s="15" t="n">
        <f aca="false">$C$2*(1+IF(E$3&lt;=$O$2,$D461,$D461-($D461-$I$454)*MIN(E$3-$O$2,$Q$2)/$Q$2))</f>
        <v>2790.859375</v>
      </c>
      <c r="F461" s="15" t="n">
        <f aca="false">E461*(1+IF(F$3&lt;=$O$2,$D461,$D461-($D461-$I$454)*MIN(F$3-$O$2,$Q$2)/$Q$2))</f>
        <v>3030.69885253906</v>
      </c>
      <c r="G461" s="15" t="n">
        <f aca="false">F461*(1+IF(G$3&lt;=$O$2,$D461,$D461-($D461-$I$454)*MIN(G$3-$O$2,$Q$2)/$Q$2))</f>
        <v>3291.14953517914</v>
      </c>
      <c r="H461" s="15" t="n">
        <f aca="false">G461*(1+IF(H$3&lt;=$O$2,$D461,$D461-($D461-$I$454)*MIN(H$3-$O$2,$Q$2)/$Q$2))</f>
        <v>3573.9826983586</v>
      </c>
      <c r="I461" s="15" t="n">
        <f aca="false">H461*(1+IF(I$3&lt;=$O$2,$D461,$D461-($D461-$I$454)*MIN(I$3-$O$2,$Q$2)/$Q$2))</f>
        <v>3881.12183649879</v>
      </c>
      <c r="J461" s="15" t="n">
        <f aca="false">I461*(1+IF(J$3&lt;=$O$2,$D461,$D461-($D461-$I$454)*MIN(J$3-$O$2,$Q$2)/$Q$2))</f>
        <v>4162.15386867967</v>
      </c>
      <c r="K461" s="15" t="n">
        <f aca="false">J461*(1+IF(K$3&lt;=$O$2,$D461,$D461-($D461-$I$454)*MIN(K$3-$O$2,$Q$2)/$Q$2))</f>
        <v>4407.2318938522</v>
      </c>
      <c r="L461" s="15" t="n">
        <f aca="false">K461*(1+IF(L$3&lt;=$O$2,$D461,$D461-($D461-$I$454)*MIN(L$3-$O$2,$Q$2)/$Q$2))</f>
        <v>4607.12189639786</v>
      </c>
      <c r="M461" s="15" t="n">
        <f aca="false">L461*(1+IF(M$3&lt;=$O$2,$D461,$D461-($D461-$I$454)*MIN(M$3-$O$2,$Q$2)/$Q$2))</f>
        <v>4753.75506855546</v>
      </c>
      <c r="N461" s="15" t="n">
        <f aca="false">M461*(1+IF(N$3&lt;=$O$2,$D461,$D461-($D461-$I$454)*MIN(N$3-$O$2,$Q$2)/$Q$2))</f>
        <v>4840.74878631003</v>
      </c>
      <c r="O461" s="15" t="n">
        <f aca="false">SUMPRODUCT(E461:N461,1/(1+$F$454)^$E$3:$N$3)*$E$2</f>
        <v>4614.21418002695</v>
      </c>
      <c r="P461" s="15" t="n">
        <f aca="false">N461*$E$2*(1+$I$454)/($F$454-$I$454)/(1+$F$454)^$N$3</f>
        <v>4728.79626344389</v>
      </c>
      <c r="Q461" s="15" t="n">
        <f aca="false">O461+P461</f>
        <v>9343.01044347085</v>
      </c>
      <c r="R461" s="15" t="n">
        <f aca="false">Q461-$G$2+$I$2</f>
        <v>7966.81044347085</v>
      </c>
      <c r="S461" s="42" t="n">
        <f aca="false">R461/$K$2</f>
        <v>212.391640721697</v>
      </c>
      <c r="T461" s="43" t="n">
        <f aca="false">S461-$M$2</f>
        <v>7.91283506987071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0.0625</v>
      </c>
      <c r="C462" s="25" t="n">
        <f aca="false">IF(T461&gt;0,D461,C461)</f>
        <v>0.0859375</v>
      </c>
      <c r="D462" s="41" t="n">
        <f aca="false">(B462+C462)/2</f>
        <v>0.07421875</v>
      </c>
      <c r="E462" s="15" t="n">
        <f aca="false">$C$2*(1+IF(E$3&lt;=$O$2,$D462,$D462-($D462-$I$454)*MIN(E$3-$O$2,$Q$2)/$Q$2))</f>
        <v>2760.7421875</v>
      </c>
      <c r="F462" s="15" t="n">
        <f aca="false">E462*(1+IF(F$3&lt;=$O$2,$D462,$D462-($D462-$I$454)*MIN(F$3-$O$2,$Q$2)/$Q$2))</f>
        <v>2965.64102172852</v>
      </c>
      <c r="G462" s="15" t="n">
        <f aca="false">F462*(1+IF(G$3&lt;=$O$2,$D462,$D462-($D462-$I$454)*MIN(G$3-$O$2,$Q$2)/$Q$2))</f>
        <v>3185.74719130993</v>
      </c>
      <c r="H462" s="15" t="n">
        <f aca="false">G462*(1+IF(H$3&lt;=$O$2,$D462,$D462-($D462-$I$454)*MIN(H$3-$O$2,$Q$2)/$Q$2))</f>
        <v>3422.18936566496</v>
      </c>
      <c r="I462" s="15" t="n">
        <f aca="false">H462*(1+IF(I$3&lt;=$O$2,$D462,$D462-($D462-$I$454)*MIN(I$3-$O$2,$Q$2)/$Q$2))</f>
        <v>3676.17998264791</v>
      </c>
      <c r="J462" s="15" t="n">
        <f aca="false">I462*(1+IF(J$3&lt;=$O$2,$D462,$D462-($D462-$I$454)*MIN(J$3-$O$2,$Q$2)/$Q$2))</f>
        <v>3907.90798785412</v>
      </c>
      <c r="K462" s="15" t="n">
        <f aca="false">J462*(1+IF(K$3&lt;=$O$2,$D462,$D462-($D462-$I$454)*MIN(K$3-$O$2,$Q$2)/$Q$2))</f>
        <v>4110.53790190934</v>
      </c>
      <c r="L462" s="15" t="n">
        <f aca="false">K462*(1+IF(L$3&lt;=$O$2,$D462,$D462-($D462-$I$454)*MIN(L$3-$O$2,$Q$2)/$Q$2))</f>
        <v>4277.70320203524</v>
      </c>
      <c r="M462" s="15" t="n">
        <f aca="false">L462*(1+IF(M$3&lt;=$O$2,$D462,$D462-($D462-$I$454)*MIN(M$3-$O$2,$Q$2)/$Q$2))</f>
        <v>4403.82593381825</v>
      </c>
      <c r="N462" s="15" t="n">
        <f aca="false">M462*(1+IF(N$3&lt;=$O$2,$D462,$D462-($D462-$I$454)*MIN(N$3-$O$2,$Q$2)/$Q$2))</f>
        <v>4484.41594840712</v>
      </c>
      <c r="O462" s="15" t="n">
        <f aca="false">SUMPRODUCT(E462:N462,1/(1+$F$454)^$E$3:$N$3)*$E$2</f>
        <v>4388.09387711072</v>
      </c>
      <c r="P462" s="15" t="n">
        <f aca="false">N462*$E$2*(1+$I$454)/($F$454-$I$454)/(1+$F$454)^$N$3</f>
        <v>4380.70437377943</v>
      </c>
      <c r="Q462" s="15" t="n">
        <f aca="false">O462+P462</f>
        <v>8768.79825089015</v>
      </c>
      <c r="R462" s="15" t="n">
        <f aca="false">Q462-$G$2+$I$2</f>
        <v>7392.59825089015</v>
      </c>
      <c r="S462" s="42" t="n">
        <f aca="false">R462/$K$2</f>
        <v>197.083397784328</v>
      </c>
      <c r="T462" s="43" t="n">
        <f aca="false">S462-$M$2</f>
        <v>-7.39540786749799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0.07421875</v>
      </c>
      <c r="C463" s="25" t="n">
        <f aca="false">IF(T462&gt;0,D462,C462)</f>
        <v>0.0859375</v>
      </c>
      <c r="D463" s="41" t="n">
        <f aca="false">(B463+C463)/2</f>
        <v>0.080078125</v>
      </c>
      <c r="E463" s="15" t="n">
        <f aca="false">$C$2*(1+IF(E$3&lt;=$O$2,$D463,$D463-($D463-$I$454)*MIN(E$3-$O$2,$Q$2)/$Q$2))</f>
        <v>2775.80078125</v>
      </c>
      <c r="F463" s="15" t="n">
        <f aca="false">E463*(1+IF(F$3&lt;=$O$2,$D463,$D463-($D463-$I$454)*MIN(F$3-$O$2,$Q$2)/$Q$2))</f>
        <v>2998.08170318604</v>
      </c>
      <c r="G463" s="15" t="n">
        <f aca="false">F463*(1+IF(G$3&lt;=$O$2,$D463,$D463-($D463-$I$454)*MIN(G$3-$O$2,$Q$2)/$Q$2))</f>
        <v>3238.16246457398</v>
      </c>
      <c r="H463" s="15" t="n">
        <f aca="false">G463*(1+IF(H$3&lt;=$O$2,$D463,$D463-($D463-$I$454)*MIN(H$3-$O$2,$Q$2)/$Q$2))</f>
        <v>3497.46844318244</v>
      </c>
      <c r="I463" s="15" t="n">
        <f aca="false">H463*(1+IF(I$3&lt;=$O$2,$D463,$D463-($D463-$I$454)*MIN(I$3-$O$2,$Q$2)/$Q$2))</f>
        <v>3777.53915835916</v>
      </c>
      <c r="J463" s="15" t="n">
        <f aca="false">I463*(1+IF(J$3&lt;=$O$2,$D463,$D463-($D463-$I$454)*MIN(J$3-$O$2,$Q$2)/$Q$2))</f>
        <v>4033.36355401114</v>
      </c>
      <c r="K463" s="15" t="n">
        <f aca="false">J463*(1+IF(K$3&lt;=$O$2,$D463,$D463-($D463-$I$454)*MIN(K$3-$O$2,$Q$2)/$Q$2))</f>
        <v>4256.67828973563</v>
      </c>
      <c r="L463" s="15" t="n">
        <f aca="false">K463*(1+IF(L$3&lt;=$O$2,$D463,$D463-($D463-$I$454)*MIN(L$3-$O$2,$Q$2)/$Q$2))</f>
        <v>4439.76334382502</v>
      </c>
      <c r="M463" s="15" t="n">
        <f aca="false">L463*(1+IF(M$3&lt;=$O$2,$D463,$D463-($D463-$I$454)*MIN(M$3-$O$2,$Q$2)/$Q$2))</f>
        <v>4575.86706398207</v>
      </c>
      <c r="N463" s="15" t="n">
        <f aca="false">M463*(1+IF(N$3&lt;=$O$2,$D463,$D463-($D463-$I$454)*MIN(N$3-$O$2,$Q$2)/$Q$2))</f>
        <v>4659.60543125294</v>
      </c>
      <c r="O463" s="15" t="n">
        <f aca="false">SUMPRODUCT(E463:N463,1/(1+$F$454)^$E$3:$N$3)*$E$2</f>
        <v>4499.72858108137</v>
      </c>
      <c r="P463" s="15" t="n">
        <f aca="false">N463*$E$2*(1+$I$454)/($F$454-$I$454)/(1+$F$454)^$N$3</f>
        <v>4551.84223043063</v>
      </c>
      <c r="Q463" s="15" t="n">
        <f aca="false">O463+P463</f>
        <v>9051.57081151199</v>
      </c>
      <c r="R463" s="15" t="n">
        <f aca="false">Q463-$G$2+$I$2</f>
        <v>7675.37081151199</v>
      </c>
      <c r="S463" s="42" t="n">
        <f aca="false">R463/$K$2</f>
        <v>204.621989109891</v>
      </c>
      <c r="T463" s="43" t="n">
        <f aca="false">S463-$M$2</f>
        <v>0.143183458064414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0.07421875</v>
      </c>
      <c r="C464" s="25" t="n">
        <f aca="false">IF(T463&gt;0,D463,C463)</f>
        <v>0.080078125</v>
      </c>
      <c r="D464" s="41" t="n">
        <f aca="false">(B464+C464)/2</f>
        <v>0.0771484375</v>
      </c>
      <c r="E464" s="15" t="n">
        <f aca="false">$C$2*(1+IF(E$3&lt;=$O$2,$D464,$D464-($D464-$I$454)*MIN(E$3-$O$2,$Q$2)/$Q$2))</f>
        <v>2768.271484375</v>
      </c>
      <c r="F464" s="15" t="n">
        <f aca="false">E464*(1+IF(F$3&lt;=$O$2,$D464,$D464-($D464-$I$454)*MIN(F$3-$O$2,$Q$2)/$Q$2))</f>
        <v>2981.83930397034</v>
      </c>
      <c r="G464" s="15" t="n">
        <f aca="false">F464*(1+IF(G$3&lt;=$O$2,$D464,$D464-($D464-$I$454)*MIN(G$3-$O$2,$Q$2)/$Q$2))</f>
        <v>3211.88354714774</v>
      </c>
      <c r="H464" s="15" t="n">
        <f aca="false">G464*(1+IF(H$3&lt;=$O$2,$D464,$D464-($D464-$I$454)*MIN(H$3-$O$2,$Q$2)/$Q$2))</f>
        <v>3459.67534424214</v>
      </c>
      <c r="I464" s="15" t="n">
        <f aca="false">H464*(1+IF(I$3&lt;=$O$2,$D464,$D464-($D464-$I$454)*MIN(I$3-$O$2,$Q$2)/$Q$2))</f>
        <v>3726.5838913077</v>
      </c>
      <c r="J464" s="15" t="n">
        <f aca="false">I464*(1+IF(J$3&lt;=$O$2,$D464,$D464-($D464-$I$454)*MIN(J$3-$O$2,$Q$2)/$Q$2))</f>
        <v>3970.22328789153</v>
      </c>
      <c r="K464" s="15" t="n">
        <f aca="false">J464*(1+IF(K$3&lt;=$O$2,$D464,$D464-($D464-$I$454)*MIN(K$3-$O$2,$Q$2)/$Q$2))</f>
        <v>4183.06323627106</v>
      </c>
      <c r="L464" s="15" t="n">
        <f aca="false">K464*(1+IF(L$3&lt;=$O$2,$D464,$D464-($D464-$I$454)*MIN(L$3-$O$2,$Q$2)/$Q$2))</f>
        <v>4358.07998766212</v>
      </c>
      <c r="M464" s="15" t="n">
        <f aca="false">L464*(1+IF(M$3&lt;=$O$2,$D464,$D464-($D464-$I$454)*MIN(M$3-$O$2,$Q$2)/$Q$2))</f>
        <v>4489.12609099113</v>
      </c>
      <c r="N464" s="15" t="n">
        <f aca="false">M464*(1+IF(N$3&lt;=$O$2,$D464,$D464-($D464-$I$454)*MIN(N$3-$O$2,$Q$2)/$Q$2))</f>
        <v>4571.27709845626</v>
      </c>
      <c r="O464" s="15" t="n">
        <f aca="false">SUMPRODUCT(E464:N464,1/(1+$F$454)^$E$3:$N$3)*$E$2</f>
        <v>4443.55904839045</v>
      </c>
      <c r="P464" s="15" t="n">
        <f aca="false">N464*$E$2*(1+$I$454)/($F$454-$I$454)/(1+$F$454)^$N$3</f>
        <v>4465.55667657863</v>
      </c>
      <c r="Q464" s="15" t="n">
        <f aca="false">O464+P464</f>
        <v>8909.11572496908</v>
      </c>
      <c r="R464" s="15" t="n">
        <f aca="false">Q464-$G$2+$I$2</f>
        <v>7532.91572496908</v>
      </c>
      <c r="S464" s="42" t="n">
        <f aca="false">R464/$K$2</f>
        <v>200.824199545963</v>
      </c>
      <c r="T464" s="43" t="n">
        <f aca="false">S464-$M$2</f>
        <v>-3.65460610586294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0.0771484375</v>
      </c>
      <c r="C465" s="25" t="n">
        <f aca="false">IF(T464&gt;0,D464,C464)</f>
        <v>0.080078125</v>
      </c>
      <c r="D465" s="41" t="n">
        <f aca="false">(B465+C465)/2</f>
        <v>0.07861328125</v>
      </c>
      <c r="E465" s="15" t="n">
        <f aca="false">$C$2*(1+IF(E$3&lt;=$O$2,$D465,$D465-($D465-$I$454)*MIN(E$3-$O$2,$Q$2)/$Q$2))</f>
        <v>2772.0361328125</v>
      </c>
      <c r="F465" s="15" t="n">
        <f aca="false">E465*(1+IF(F$3&lt;=$O$2,$D465,$D465-($D465-$I$454)*MIN(F$3-$O$2,$Q$2)/$Q$2))</f>
        <v>2989.95498895645</v>
      </c>
      <c r="G465" s="15" t="n">
        <f aca="false">F465*(1+IF(G$3&lt;=$O$2,$D465,$D465-($D465-$I$454)*MIN(G$3-$O$2,$Q$2)/$Q$2))</f>
        <v>3225.00516142813</v>
      </c>
      <c r="H465" s="15" t="n">
        <f aca="false">G465*(1+IF(H$3&lt;=$O$2,$D465,$D465-($D465-$I$454)*MIN(H$3-$O$2,$Q$2)/$Q$2))</f>
        <v>3478.53339921618</v>
      </c>
      <c r="I465" s="15" t="n">
        <f aca="false">H465*(1+IF(I$3&lt;=$O$2,$D465,$D465-($D465-$I$454)*MIN(I$3-$O$2,$Q$2)/$Q$2))</f>
        <v>3751.99232366628</v>
      </c>
      <c r="J465" s="15" t="n">
        <f aca="false">I465*(1+IF(J$3&lt;=$O$2,$D465,$D465-($D465-$I$454)*MIN(J$3-$O$2,$Q$2)/$Q$2))</f>
        <v>4001.68975780147</v>
      </c>
      <c r="K465" s="15" t="n">
        <f aca="false">J465*(1+IF(K$3&lt;=$O$2,$D465,$D465-($D465-$I$454)*MIN(K$3-$O$2,$Q$2)/$Q$2))</f>
        <v>4219.73370427175</v>
      </c>
      <c r="L465" s="15" t="n">
        <f aca="false">K465*(1+IF(L$3&lt;=$O$2,$D465,$D465-($D465-$I$454)*MIN(L$3-$O$2,$Q$2)/$Q$2))</f>
        <v>4398.75722534226</v>
      </c>
      <c r="M465" s="15" t="n">
        <f aca="false">L465*(1+IF(M$3&lt;=$O$2,$D465,$D465-($D465-$I$454)*MIN(M$3-$O$2,$Q$2)/$Q$2))</f>
        <v>4532.31517890253</v>
      </c>
      <c r="N465" s="15" t="n">
        <f aca="false">M465*(1+IF(N$3&lt;=$O$2,$D465,$D465-($D465-$I$454)*MIN(N$3-$O$2,$Q$2)/$Q$2))</f>
        <v>4615.25654667645</v>
      </c>
      <c r="O465" s="15" t="n">
        <f aca="false">SUMPRODUCT(E465:N465,1/(1+$F$454)^$E$3:$N$3)*$E$2</f>
        <v>4471.55525025391</v>
      </c>
      <c r="P465" s="15" t="n">
        <f aca="false">N465*$E$2*(1+$I$454)/($F$454-$I$454)/(1+$F$454)^$N$3</f>
        <v>4508.51900732384</v>
      </c>
      <c r="Q465" s="15" t="n">
        <f aca="false">O465+P465</f>
        <v>8980.07425757775</v>
      </c>
      <c r="R465" s="15" t="n">
        <f aca="false">Q465-$G$2+$I$2</f>
        <v>7603.87425757775</v>
      </c>
      <c r="S465" s="42" t="n">
        <f aca="false">R465/$K$2</f>
        <v>202.715922622707</v>
      </c>
      <c r="T465" s="43" t="n">
        <f aca="false">S465-$M$2</f>
        <v>-1.76288302911885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0.07861328125</v>
      </c>
      <c r="C466" s="25" t="n">
        <f aca="false">IF(T465&gt;0,D465,C465)</f>
        <v>0.080078125</v>
      </c>
      <c r="D466" s="41" t="n">
        <f aca="false">(B466+C466)/2</f>
        <v>0.079345703125</v>
      </c>
      <c r="E466" s="15" t="n">
        <f aca="false">$C$2*(1+IF(E$3&lt;=$O$2,$D466,$D466-($D466-$I$454)*MIN(E$3-$O$2,$Q$2)/$Q$2))</f>
        <v>2773.91845703125</v>
      </c>
      <c r="F466" s="15" t="n">
        <f aca="false">E466*(1+IF(F$3&lt;=$O$2,$D466,$D466-($D466-$I$454)*MIN(F$3-$O$2,$Q$2)/$Q$2))</f>
        <v>2994.01696741581</v>
      </c>
      <c r="G466" s="15" t="n">
        <f aca="false">F466*(1+IF(G$3&lt;=$O$2,$D466,$D466-($D466-$I$454)*MIN(G$3-$O$2,$Q$2)/$Q$2))</f>
        <v>3231.5793488636</v>
      </c>
      <c r="H466" s="15" t="n">
        <f aca="false">G466*(1+IF(H$3&lt;=$O$2,$D466,$D466-($D466-$I$454)*MIN(H$3-$O$2,$Q$2)/$Q$2))</f>
        <v>3487.99128450341</v>
      </c>
      <c r="I466" s="15" t="n">
        <f aca="false">H466*(1+IF(I$3&lt;=$O$2,$D466,$D466-($D466-$I$454)*MIN(I$3-$O$2,$Q$2)/$Q$2))</f>
        <v>3764.7484054662</v>
      </c>
      <c r="J466" s="15" t="n">
        <f aca="false">I466*(1+IF(J$3&lt;=$O$2,$D466,$D466-($D466-$I$454)*MIN(J$3-$O$2,$Q$2)/$Q$2))</f>
        <v>4017.50067208656</v>
      </c>
      <c r="K466" s="15" t="n">
        <f aca="false">J466*(1+IF(K$3&lt;=$O$2,$D466,$D466-($D466-$I$454)*MIN(K$3-$O$2,$Q$2)/$Q$2))</f>
        <v>4238.17162638536</v>
      </c>
      <c r="L466" s="15" t="n">
        <f aca="false">K466*(1+IF(L$3&lt;=$O$2,$D466,$D466-($D466-$I$454)*MIN(L$3-$O$2,$Q$2)/$Q$2))</f>
        <v>4419.21903390706</v>
      </c>
      <c r="M466" s="15" t="n">
        <f aca="false">L466*(1+IF(M$3&lt;=$O$2,$D466,$D466-($D466-$I$454)*MIN(M$3-$O$2,$Q$2)/$Q$2))</f>
        <v>4554.0456088652</v>
      </c>
      <c r="N466" s="15" t="n">
        <f aca="false">M466*(1+IF(N$3&lt;=$O$2,$D466,$D466-($D466-$I$454)*MIN(N$3-$O$2,$Q$2)/$Q$2))</f>
        <v>4637.38464350744</v>
      </c>
      <c r="O466" s="15" t="n">
        <f aca="false">SUMPRODUCT(E466:N466,1/(1+$F$454)^$E$3:$N$3)*$E$2</f>
        <v>4485.61970934278</v>
      </c>
      <c r="P466" s="15" t="n">
        <f aca="false">N466*$E$2*(1+$I$454)/($F$454-$I$454)/(1+$F$454)^$N$3</f>
        <v>4530.1353452564</v>
      </c>
      <c r="Q466" s="15" t="n">
        <f aca="false">O466+P466</f>
        <v>9015.75505459918</v>
      </c>
      <c r="R466" s="15" t="n">
        <f aca="false">Q466-$G$2+$I$2</f>
        <v>7639.55505459918</v>
      </c>
      <c r="S466" s="42" t="n">
        <f aca="false">R466/$K$2</f>
        <v>203.66715688081</v>
      </c>
      <c r="T466" s="43" t="n">
        <f aca="false">S466-$M$2</f>
        <v>-0.811648771016166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0.079345703125</v>
      </c>
      <c r="C467" s="25" t="n">
        <f aca="false">IF(T466&gt;0,D466,C466)</f>
        <v>0.080078125</v>
      </c>
      <c r="D467" s="41" t="n">
        <f aca="false">(B467+C467)/2</f>
        <v>0.0797119140625</v>
      </c>
      <c r="E467" s="15" t="n">
        <f aca="false">$C$2*(1+IF(E$3&lt;=$O$2,$D467,$D467-($D467-$I$454)*MIN(E$3-$O$2,$Q$2)/$Q$2))</f>
        <v>2774.85961914063</v>
      </c>
      <c r="F467" s="15" t="n">
        <f aca="false">E467*(1+IF(F$3&lt;=$O$2,$D467,$D467-($D467-$I$454)*MIN(F$3-$O$2,$Q$2)/$Q$2))</f>
        <v>2996.04899063706</v>
      </c>
      <c r="G467" s="15" t="n">
        <f aca="false">F467*(1+IF(G$3&lt;=$O$2,$D467,$D467-($D467-$I$454)*MIN(G$3-$O$2,$Q$2)/$Q$2))</f>
        <v>3234.86979030577</v>
      </c>
      <c r="H467" s="15" t="n">
        <f aca="false">G467*(1+IF(H$3&lt;=$O$2,$D467,$D467-($D467-$I$454)*MIN(H$3-$O$2,$Q$2)/$Q$2))</f>
        <v>3492.727453034</v>
      </c>
      <c r="I467" s="15" t="n">
        <f aca="false">H467*(1+IF(I$3&lt;=$O$2,$D467,$D467-($D467-$I$454)*MIN(I$3-$O$2,$Q$2)/$Q$2))</f>
        <v>3771.13944361398</v>
      </c>
      <c r="J467" s="15" t="n">
        <f aca="false">I467*(1+IF(J$3&lt;=$O$2,$D467,$D467-($D467-$I$454)*MIN(J$3-$O$2,$Q$2)/$Q$2))</f>
        <v>4025.42560857525</v>
      </c>
      <c r="K467" s="15" t="n">
        <f aca="false">J467*(1+IF(K$3&lt;=$O$2,$D467,$D467-($D467-$I$454)*MIN(K$3-$O$2,$Q$2)/$Q$2))</f>
        <v>4247.41635213547</v>
      </c>
      <c r="L467" s="15" t="n">
        <f aca="false">K467*(1+IF(L$3&lt;=$O$2,$D467,$D467-($D467-$I$454)*MIN(L$3-$O$2,$Q$2)/$Q$2))</f>
        <v>4429.48085858154</v>
      </c>
      <c r="M467" s="15" t="n">
        <f aca="false">L467*(1+IF(M$3&lt;=$O$2,$D467,$D467-($D467-$I$454)*MIN(M$3-$O$2,$Q$2)/$Q$2))</f>
        <v>4564.94493785933</v>
      </c>
      <c r="N467" s="15" t="n">
        <f aca="false">M467*(1+IF(N$3&lt;=$O$2,$D467,$D467-($D467-$I$454)*MIN(N$3-$O$2,$Q$2)/$Q$2))</f>
        <v>4648.48343022215</v>
      </c>
      <c r="O467" s="15" t="n">
        <f aca="false">SUMPRODUCT(E467:N467,1/(1+$F$454)^$E$3:$N$3)*$E$2</f>
        <v>4492.66858546206</v>
      </c>
      <c r="P467" s="15" t="n">
        <f aca="false">N467*$E$2*(1+$I$454)/($F$454-$I$454)/(1+$F$454)^$N$3</f>
        <v>4540.97744912548</v>
      </c>
      <c r="Q467" s="15" t="n">
        <f aca="false">O467+P467</f>
        <v>9033.64603458754</v>
      </c>
      <c r="R467" s="15" t="n">
        <f aca="false">Q467-$G$2+$I$2</f>
        <v>7657.44603458754</v>
      </c>
      <c r="S467" s="42" t="n">
        <f aca="false">R467/$K$2</f>
        <v>204.144122489671</v>
      </c>
      <c r="T467" s="43" t="n">
        <f aca="false">S467-$M$2</f>
        <v>-0.334683162155528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0.0797119140625</v>
      </c>
      <c r="C468" s="25" t="n">
        <f aca="false">IF(T467&gt;0,D467,C467)</f>
        <v>0.080078125</v>
      </c>
      <c r="D468" s="41" t="n">
        <f aca="false">(B468+C468)/2</f>
        <v>0.07989501953125</v>
      </c>
      <c r="E468" s="15" t="n">
        <f aca="false">$C$2*(1+IF(E$3&lt;=$O$2,$D468,$D468-($D468-$I$454)*MIN(E$3-$O$2,$Q$2)/$Q$2))</f>
        <v>2775.33020019531</v>
      </c>
      <c r="F468" s="15" t="n">
        <f aca="false">E468*(1+IF(F$3&lt;=$O$2,$D468,$D468-($D468-$I$454)*MIN(F$3-$O$2,$Q$2)/$Q$2))</f>
        <v>2997.06526074559</v>
      </c>
      <c r="G468" s="15" t="n">
        <f aca="false">F468*(1+IF(G$3&lt;=$O$2,$D468,$D468-($D468-$I$454)*MIN(G$3-$O$2,$Q$2)/$Q$2))</f>
        <v>3236.51584828928</v>
      </c>
      <c r="H468" s="15" t="n">
        <f aca="false">G468*(1+IF(H$3&lt;=$O$2,$D468,$D468-($D468-$I$454)*MIN(H$3-$O$2,$Q$2)/$Q$2))</f>
        <v>3495.09734520156</v>
      </c>
      <c r="I468" s="15" t="n">
        <f aca="false">H468*(1+IF(I$3&lt;=$O$2,$D468,$D468-($D468-$I$454)*MIN(I$3-$O$2,$Q$2)/$Q$2))</f>
        <v>3774.33821586006</v>
      </c>
      <c r="J468" s="15" t="n">
        <f aca="false">I468*(1+IF(J$3&lt;=$O$2,$D468,$D468-($D468-$I$454)*MIN(J$3-$O$2,$Q$2)/$Q$2))</f>
        <v>4029.39295410905</v>
      </c>
      <c r="K468" s="15" t="n">
        <f aca="false">J468*(1+IF(K$3&lt;=$O$2,$D468,$D468-($D468-$I$454)*MIN(K$3-$O$2,$Q$2)/$Q$2))</f>
        <v>4252.0451677937</v>
      </c>
      <c r="L468" s="15" t="n">
        <f aca="false">K468*(1+IF(L$3&lt;=$O$2,$D468,$D468-($D468-$I$454)*MIN(L$3-$O$2,$Q$2)/$Q$2))</f>
        <v>4434.61951642753</v>
      </c>
      <c r="M468" s="15" t="n">
        <f aca="false">L468*(1+IF(M$3&lt;=$O$2,$D468,$D468-($D468-$I$454)*MIN(M$3-$O$2,$Q$2)/$Q$2))</f>
        <v>4570.40314872376</v>
      </c>
      <c r="N468" s="15" t="n">
        <f aca="false">M468*(1+IF(N$3&lt;=$O$2,$D468,$D468-($D468-$I$454)*MIN(N$3-$O$2,$Q$2)/$Q$2))</f>
        <v>4654.0415263454</v>
      </c>
      <c r="O468" s="15" t="n">
        <f aca="false">SUMPRODUCT(E468:N468,1/(1+$F$454)^$E$3:$N$3)*$E$2</f>
        <v>4496.19719231197</v>
      </c>
      <c r="P468" s="15" t="n">
        <f aca="false">N468*$E$2*(1+$I$454)/($F$454-$I$454)/(1+$F$454)^$N$3</f>
        <v>4546.4070025561</v>
      </c>
      <c r="Q468" s="15" t="n">
        <f aca="false">O468+P468</f>
        <v>9042.60419486807</v>
      </c>
      <c r="R468" s="15" t="n">
        <f aca="false">Q468-$G$2+$I$2</f>
        <v>7666.40419486807</v>
      </c>
      <c r="S468" s="42" t="n">
        <f aca="false">R468/$K$2</f>
        <v>204.382943078328</v>
      </c>
      <c r="T468" s="43" t="n">
        <f aca="false">S468-$M$2</f>
        <v>-0.0958625734984651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0.07989501953125</v>
      </c>
      <c r="C469" s="25" t="n">
        <f aca="false">IF(T468&gt;0,D468,C468)</f>
        <v>0.080078125</v>
      </c>
      <c r="D469" s="41" t="n">
        <f aca="false">(B469+C469)/2</f>
        <v>0.079986572265625</v>
      </c>
      <c r="E469" s="15" t="n">
        <f aca="false">$C$2*(1+IF(E$3&lt;=$O$2,$D469,$D469-($D469-$I$454)*MIN(E$3-$O$2,$Q$2)/$Q$2))</f>
        <v>2775.56549072266</v>
      </c>
      <c r="F469" s="15" t="n">
        <f aca="false">E469*(1+IF(F$3&lt;=$O$2,$D469,$D469-($D469-$I$454)*MIN(F$3-$O$2,$Q$2)/$Q$2))</f>
        <v>2997.57346042432</v>
      </c>
      <c r="G469" s="15" t="n">
        <f aca="false">F469*(1+IF(G$3&lt;=$O$2,$D469,$D469-($D469-$I$454)*MIN(G$3-$O$2,$Q$2)/$Q$2))</f>
        <v>3237.33908663807</v>
      </c>
      <c r="H469" s="15" t="n">
        <f aca="false">G469*(1+IF(H$3&lt;=$O$2,$D469,$D469-($D469-$I$454)*MIN(H$3-$O$2,$Q$2)/$Q$2))</f>
        <v>3496.28274343978</v>
      </c>
      <c r="I469" s="15" t="n">
        <f aca="false">H469*(1+IF(I$3&lt;=$O$2,$D469,$D469-($D469-$I$454)*MIN(I$3-$O$2,$Q$2)/$Q$2))</f>
        <v>3775.93841575898</v>
      </c>
      <c r="J469" s="15" t="n">
        <f aca="false">I469*(1+IF(J$3&lt;=$O$2,$D469,$D469-($D469-$I$454)*MIN(J$3-$O$2,$Q$2)/$Q$2))</f>
        <v>4031.37784713078</v>
      </c>
      <c r="K469" s="15" t="n">
        <f aca="false">J469*(1+IF(K$3&lt;=$O$2,$D469,$D469-($D469-$I$454)*MIN(K$3-$O$2,$Q$2)/$Q$2))</f>
        <v>4254.36119027152</v>
      </c>
      <c r="L469" s="15" t="n">
        <f aca="false">K469*(1+IF(L$3&lt;=$O$2,$D469,$D469-($D469-$I$454)*MIN(L$3-$O$2,$Q$2)/$Q$2))</f>
        <v>4437.19078365659</v>
      </c>
      <c r="M469" s="15" t="n">
        <f aca="false">L469*(1+IF(M$3&lt;=$O$2,$D469,$D469-($D469-$I$454)*MIN(M$3-$O$2,$Q$2)/$Q$2))</f>
        <v>4573.13439298398</v>
      </c>
      <c r="N469" s="15" t="n">
        <f aca="false">M469*(1+IF(N$3&lt;=$O$2,$D469,$D469-($D469-$I$454)*MIN(N$3-$O$2,$Q$2)/$Q$2))</f>
        <v>4656.82275237559</v>
      </c>
      <c r="O469" s="15" t="n">
        <f aca="false">SUMPRODUCT(E469:N469,1/(1+$F$454)^$E$3:$N$3)*$E$2</f>
        <v>4497.96253882888</v>
      </c>
      <c r="P469" s="15" t="n">
        <f aca="false">N469*$E$2*(1+$I$454)/($F$454-$I$454)/(1+$F$454)^$N$3</f>
        <v>4549.12390686986</v>
      </c>
      <c r="Q469" s="15" t="n">
        <f aca="false">O469+P469</f>
        <v>9047.08644569874</v>
      </c>
      <c r="R469" s="15" t="n">
        <f aca="false">Q469-$G$2+$I$2</f>
        <v>7670.88644569874</v>
      </c>
      <c r="S469" s="42" t="n">
        <f aca="false">R469/$K$2</f>
        <v>204.502437901859</v>
      </c>
      <c r="T469" s="43" t="n">
        <f aca="false">S469-$M$2</f>
        <v>0.0236322500331596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0.07989501953125</v>
      </c>
      <c r="C470" s="25" t="n">
        <f aca="false">IF(T469&gt;0,D469,C469)</f>
        <v>0.079986572265625</v>
      </c>
      <c r="D470" s="41" t="n">
        <f aca="false">(B470+C470)/2</f>
        <v>0.0799407958984375</v>
      </c>
      <c r="E470" s="15" t="n">
        <f aca="false">$C$2*(1+IF(E$3&lt;=$O$2,$D470,$D470-($D470-$I$454)*MIN(E$3-$O$2,$Q$2)/$Q$2))</f>
        <v>2775.44784545898</v>
      </c>
      <c r="F470" s="15" t="n">
        <f aca="false">E470*(1+IF(F$3&lt;=$O$2,$D470,$D470-($D470-$I$454)*MIN(F$3-$O$2,$Q$2)/$Q$2))</f>
        <v>2997.31935519958</v>
      </c>
      <c r="G470" s="15" t="n">
        <f aca="false">F470*(1+IF(G$3&lt;=$O$2,$D470,$D470-($D470-$I$454)*MIN(G$3-$O$2,$Q$2)/$Q$2))</f>
        <v>3236.92745001603</v>
      </c>
      <c r="H470" s="15" t="n">
        <f aca="false">G470*(1+IF(H$3&lt;=$O$2,$D470,$D470-($D470-$I$454)*MIN(H$3-$O$2,$Q$2)/$Q$2))</f>
        <v>3495.69000663581</v>
      </c>
      <c r="I470" s="15" t="n">
        <f aca="false">H470*(1+IF(I$3&lt;=$O$2,$D470,$D470-($D470-$I$454)*MIN(I$3-$O$2,$Q$2)/$Q$2))</f>
        <v>3775.13824798049</v>
      </c>
      <c r="J470" s="15" t="n">
        <f aca="false">I470*(1+IF(J$3&lt;=$O$2,$D470,$D470-($D470-$I$454)*MIN(J$3-$O$2,$Q$2)/$Q$2))</f>
        <v>4030.38529890425</v>
      </c>
      <c r="K470" s="15" t="n">
        <f aca="false">J470*(1+IF(K$3&lt;=$O$2,$D470,$D470-($D470-$I$454)*MIN(K$3-$O$2,$Q$2)/$Q$2))</f>
        <v>4253.20304443529</v>
      </c>
      <c r="L470" s="15" t="n">
        <f aca="false">K470*(1+IF(L$3&lt;=$O$2,$D470,$D470-($D470-$I$454)*MIN(L$3-$O$2,$Q$2)/$Q$2))</f>
        <v>4435.90498845911</v>
      </c>
      <c r="M470" s="15" t="n">
        <f aca="false">L470*(1+IF(M$3&lt;=$O$2,$D470,$D470-($D470-$I$454)*MIN(M$3-$O$2,$Q$2)/$Q$2))</f>
        <v>4571.76859255161</v>
      </c>
      <c r="N470" s="15" t="n">
        <f aca="false">M470*(1+IF(N$3&lt;=$O$2,$D470,$D470-($D470-$I$454)*MIN(N$3-$O$2,$Q$2)/$Q$2))</f>
        <v>4655.4319577953</v>
      </c>
      <c r="O470" s="15" t="n">
        <f aca="false">SUMPRODUCT(E470:N470,1/(1+$F$454)^$E$3:$N$3)*$E$2</f>
        <v>4497.07977861946</v>
      </c>
      <c r="P470" s="15" t="n">
        <f aca="false">N470*$E$2*(1+$I$454)/($F$454-$I$454)/(1+$F$454)^$N$3</f>
        <v>4547.76527734686</v>
      </c>
      <c r="Q470" s="15" t="n">
        <f aca="false">O470+P470</f>
        <v>9044.84505596633</v>
      </c>
      <c r="R470" s="15" t="n">
        <f aca="false">Q470-$G$2+$I$2</f>
        <v>7668.64505596633</v>
      </c>
      <c r="S470" s="42" t="n">
        <f aca="false">R470/$K$2</f>
        <v>204.442683443517</v>
      </c>
      <c r="T470" s="43" t="n">
        <f aca="false">S470-$M$2</f>
        <v>-0.036122208309024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0.0799407958984375</v>
      </c>
      <c r="C471" s="25" t="n">
        <f aca="false">IF(T470&gt;0,D470,C470)</f>
        <v>0.079986572265625</v>
      </c>
      <c r="D471" s="41" t="n">
        <f aca="false">(B471+C471)/2</f>
        <v>0.0799636840820313</v>
      </c>
      <c r="E471" s="15" t="n">
        <f aca="false">$C$2*(1+IF(E$3&lt;=$O$2,$D471,$D471-($D471-$I$454)*MIN(E$3-$O$2,$Q$2)/$Q$2))</f>
        <v>2775.50666809082</v>
      </c>
      <c r="F471" s="15" t="n">
        <f aca="false">E471*(1+IF(F$3&lt;=$O$2,$D471,$D471-($D471-$I$454)*MIN(F$3-$O$2,$Q$2)/$Q$2))</f>
        <v>2997.44640646561</v>
      </c>
      <c r="G471" s="15" t="n">
        <f aca="false">F471*(1+IF(G$3&lt;=$O$2,$D471,$D471-($D471-$I$454)*MIN(G$3-$O$2,$Q$2)/$Q$2))</f>
        <v>3237.13326396504</v>
      </c>
      <c r="H471" s="15" t="n">
        <f aca="false">G471*(1+IF(H$3&lt;=$O$2,$D471,$D471-($D471-$I$454)*MIN(H$3-$O$2,$Q$2)/$Q$2))</f>
        <v>3495.98636561618</v>
      </c>
      <c r="I471" s="15" t="n">
        <f aca="false">H471*(1+IF(I$3&lt;=$O$2,$D471,$D471-($D471-$I$454)*MIN(I$3-$O$2,$Q$2)/$Q$2))</f>
        <v>3775.5383149114</v>
      </c>
      <c r="J471" s="15" t="n">
        <f aca="false">I471*(1+IF(J$3&lt;=$O$2,$D471,$D471-($D471-$I$454)*MIN(J$3-$O$2,$Q$2)/$Q$2))</f>
        <v>4030.88154758652</v>
      </c>
      <c r="K471" s="15" t="n">
        <f aca="false">J471*(1+IF(K$3&lt;=$O$2,$D471,$D471-($D471-$I$454)*MIN(K$3-$O$2,$Q$2)/$Q$2))</f>
        <v>4253.78208370083</v>
      </c>
      <c r="L471" s="15" t="n">
        <f aca="false">K471*(1+IF(L$3&lt;=$O$2,$D471,$D471-($D471-$I$454)*MIN(L$3-$O$2,$Q$2)/$Q$2))</f>
        <v>4436.54784565781</v>
      </c>
      <c r="M471" s="15" t="n">
        <f aca="false">L471*(1+IF(M$3&lt;=$O$2,$D471,$D471-($D471-$I$454)*MIN(M$3-$O$2,$Q$2)/$Q$2))</f>
        <v>4572.45144818724</v>
      </c>
      <c r="N471" s="15" t="n">
        <f aca="false">M471*(1+IF(N$3&lt;=$O$2,$D471,$D471-($D471-$I$454)*MIN(N$3-$O$2,$Q$2)/$Q$2))</f>
        <v>4656.12730968906</v>
      </c>
      <c r="O471" s="15" t="n">
        <f aca="false">SUMPRODUCT(E471:N471,1/(1+$F$454)^$E$3:$N$3)*$E$2</f>
        <v>4497.52113698443</v>
      </c>
      <c r="P471" s="15" t="n">
        <f aca="false">N471*$E$2*(1+$I$454)/($F$454-$I$454)/(1+$F$454)^$N$3</f>
        <v>4548.44454776186</v>
      </c>
      <c r="Q471" s="15" t="n">
        <f aca="false">O471+P471</f>
        <v>9045.9656847463</v>
      </c>
      <c r="R471" s="15" t="n">
        <f aca="false">Q471-$G$2+$I$2</f>
        <v>7669.7656847463</v>
      </c>
      <c r="S471" s="42" t="n">
        <f aca="false">R471/$K$2</f>
        <v>204.472558910858</v>
      </c>
      <c r="T471" s="43" t="n">
        <f aca="false">S471-$M$2</f>
        <v>-0.00624674096775379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0.0799636840820313</v>
      </c>
      <c r="C472" s="25" t="n">
        <f aca="false">IF(T471&gt;0,D471,C471)</f>
        <v>0.079986572265625</v>
      </c>
      <c r="D472" s="41" t="n">
        <f aca="false">(B472+C472)/2</f>
        <v>0.0799751281738281</v>
      </c>
      <c r="E472" s="15" t="n">
        <f aca="false">$C$2*(1+IF(E$3&lt;=$O$2,$D472,$D472-($D472-$I$454)*MIN(E$3-$O$2,$Q$2)/$Q$2))</f>
        <v>2775.53607940674</v>
      </c>
      <c r="F472" s="15" t="n">
        <f aca="false">E472*(1+IF(F$3&lt;=$O$2,$D472,$D472-($D472-$I$454)*MIN(F$3-$O$2,$Q$2)/$Q$2))</f>
        <v>2997.50993310838</v>
      </c>
      <c r="G472" s="15" t="n">
        <f aca="false">F472*(1+IF(G$3&lt;=$O$2,$D472,$D472-($D472-$I$454)*MIN(G$3-$O$2,$Q$2)/$Q$2))</f>
        <v>3237.23617421104</v>
      </c>
      <c r="H472" s="15" t="n">
        <f aca="false">G472*(1+IF(H$3&lt;=$O$2,$D472,$D472-($D472-$I$454)*MIN(H$3-$O$2,$Q$2)/$Q$2))</f>
        <v>3496.13455217252</v>
      </c>
      <c r="I472" s="15" t="n">
        <f aca="false">H472*(1+IF(I$3&lt;=$O$2,$D472,$D472-($D472-$I$454)*MIN(I$3-$O$2,$Q$2)/$Q$2))</f>
        <v>3775.73836109547</v>
      </c>
      <c r="J472" s="15" t="n">
        <f aca="false">I472*(1+IF(J$3&lt;=$O$2,$D472,$D472-($D472-$I$454)*MIN(J$3-$O$2,$Q$2)/$Q$2))</f>
        <v>4031.12969100064</v>
      </c>
      <c r="K472" s="15" t="n">
        <f aca="false">J472*(1+IF(K$3&lt;=$O$2,$D472,$D472-($D472-$I$454)*MIN(K$3-$O$2,$Q$2)/$Q$2))</f>
        <v>4254.07162857262</v>
      </c>
      <c r="L472" s="15" t="n">
        <f aca="false">K472*(1+IF(L$3&lt;=$O$2,$D472,$D472-($D472-$I$454)*MIN(L$3-$O$2,$Q$2)/$Q$2))</f>
        <v>4436.86930455665</v>
      </c>
      <c r="M472" s="15" t="n">
        <f aca="false">L472*(1+IF(M$3&lt;=$O$2,$D472,$D472-($D472-$I$454)*MIN(M$3-$O$2,$Q$2)/$Q$2))</f>
        <v>4572.79290943985</v>
      </c>
      <c r="N472" s="15" t="n">
        <f aca="false">M472*(1+IF(N$3&lt;=$O$2,$D472,$D472-($D472-$I$454)*MIN(N$3-$O$2,$Q$2)/$Q$2))</f>
        <v>4656.47501968259</v>
      </c>
      <c r="O472" s="15" t="n">
        <f aca="false">SUMPRODUCT(E472:N472,1/(1+$F$454)^$E$3:$N$3)*$E$2</f>
        <v>4497.74183247147</v>
      </c>
      <c r="P472" s="15" t="n">
        <f aca="false">N472*$E$2*(1+$I$454)/($F$454-$I$454)/(1+$F$454)^$N$3</f>
        <v>4548.78421622862</v>
      </c>
      <c r="Q472" s="15" t="n">
        <f aca="false">O472+P472</f>
        <v>9046.52604870009</v>
      </c>
      <c r="R472" s="15" t="n">
        <f aca="false">Q472-$G$2+$I$2</f>
        <v>7670.32604870009</v>
      </c>
      <c r="S472" s="42" t="n">
        <f aca="false">R472/$K$2</f>
        <v>204.487497965878</v>
      </c>
      <c r="T472" s="43" t="n">
        <f aca="false">S472-$M$2</f>
        <v>0.00869231405204118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0.0799636840820313</v>
      </c>
      <c r="C473" s="25" t="n">
        <f aca="false">IF(T472&gt;0,D472,C472)</f>
        <v>0.0799751281738281</v>
      </c>
      <c r="D473" s="41" t="n">
        <f aca="false">(B473+C473)/2</f>
        <v>0.0799694061279297</v>
      </c>
      <c r="E473" s="15" t="n">
        <f aca="false">$C$2*(1+IF(E$3&lt;=$O$2,$D473,$D473-($D473-$I$454)*MIN(E$3-$O$2,$Q$2)/$Q$2))</f>
        <v>2775.52137374878</v>
      </c>
      <c r="F473" s="15" t="n">
        <f aca="false">E473*(1+IF(F$3&lt;=$O$2,$D473,$D473-($D473-$I$454)*MIN(F$3-$O$2,$Q$2)/$Q$2))</f>
        <v>2997.47816970284</v>
      </c>
      <c r="G473" s="15" t="n">
        <f aca="false">F473*(1+IF(G$3&lt;=$O$2,$D473,$D473-($D473-$I$454)*MIN(G$3-$O$2,$Q$2)/$Q$2))</f>
        <v>3237.18471881541</v>
      </c>
      <c r="H473" s="15" t="n">
        <f aca="false">G473*(1+IF(H$3&lt;=$O$2,$D473,$D473-($D473-$I$454)*MIN(H$3-$O$2,$Q$2)/$Q$2))</f>
        <v>3496.06045830549</v>
      </c>
      <c r="I473" s="15" t="n">
        <f aca="false">H473*(1+IF(I$3&lt;=$O$2,$D473,$D473-($D473-$I$454)*MIN(I$3-$O$2,$Q$2)/$Q$2))</f>
        <v>3775.63833694352</v>
      </c>
      <c r="J473" s="15" t="n">
        <f aca="false">I473*(1+IF(J$3&lt;=$O$2,$D473,$D473-($D473-$I$454)*MIN(J$3-$O$2,$Q$2)/$Q$2))</f>
        <v>4031.00561770411</v>
      </c>
      <c r="K473" s="15" t="n">
        <f aca="false">J473*(1+IF(K$3&lt;=$O$2,$D473,$D473-($D473-$I$454)*MIN(K$3-$O$2,$Q$2)/$Q$2))</f>
        <v>4253.92685403339</v>
      </c>
      <c r="L473" s="15" t="n">
        <f aca="false">K473*(1+IF(L$3&lt;=$O$2,$D473,$D473-($D473-$I$454)*MIN(L$3-$O$2,$Q$2)/$Q$2))</f>
        <v>4436.70857258216</v>
      </c>
      <c r="M473" s="15" t="n">
        <f aca="false">L473*(1+IF(M$3&lt;=$O$2,$D473,$D473-($D473-$I$454)*MIN(M$3-$O$2,$Q$2)/$Q$2))</f>
        <v>4572.62217602718</v>
      </c>
      <c r="N473" s="15" t="n">
        <f aca="false">M473*(1+IF(N$3&lt;=$O$2,$D473,$D473-($D473-$I$454)*MIN(N$3-$O$2,$Q$2)/$Q$2))</f>
        <v>4656.30116184847</v>
      </c>
      <c r="O473" s="15" t="n">
        <f aca="false">SUMPRODUCT(E473:N473,1/(1+$F$454)^$E$3:$N$3)*$E$2</f>
        <v>4497.63148336919</v>
      </c>
      <c r="P473" s="15" t="n">
        <f aca="false">N473*$E$2*(1+$I$454)/($F$454-$I$454)/(1+$F$454)^$N$3</f>
        <v>4548.61437922351</v>
      </c>
      <c r="Q473" s="15" t="n">
        <f aca="false">O473+P473</f>
        <v>9046.24586259269</v>
      </c>
      <c r="R473" s="15" t="n">
        <f aca="false">Q473-$G$2+$I$2</f>
        <v>7670.04586259269</v>
      </c>
      <c r="S473" s="42" t="n">
        <f aca="false">R473/$K$2</f>
        <v>204.480028328251</v>
      </c>
      <c r="T473" s="43" t="n">
        <f aca="false">S473-$M$2</f>
        <v>0.0012226764248453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0.0799636840820313</v>
      </c>
      <c r="C474" s="25" t="n">
        <f aca="false">IF(T473&gt;0,D473,C473)</f>
        <v>0.0799694061279297</v>
      </c>
      <c r="D474" s="41" t="n">
        <f aca="false">(B474+C474)/2</f>
        <v>0.0799665451049805</v>
      </c>
      <c r="E474" s="15" t="n">
        <f aca="false">$C$2*(1+IF(E$3&lt;=$O$2,$D474,$D474-($D474-$I$454)*MIN(E$3-$O$2,$Q$2)/$Q$2))</f>
        <v>2775.5140209198</v>
      </c>
      <c r="F474" s="15" t="n">
        <f aca="false">E474*(1+IF(F$3&lt;=$O$2,$D474,$D474-($D474-$I$454)*MIN(F$3-$O$2,$Q$2)/$Q$2))</f>
        <v>2997.46228806319</v>
      </c>
      <c r="G474" s="15" t="n">
        <f aca="false">F474*(1+IF(G$3&lt;=$O$2,$D474,$D474-($D474-$I$454)*MIN(G$3-$O$2,$Q$2)/$Q$2))</f>
        <v>3237.15899132207</v>
      </c>
      <c r="H474" s="15" t="n">
        <f aca="false">G474*(1+IF(H$3&lt;=$O$2,$D474,$D474-($D474-$I$454)*MIN(H$3-$O$2,$Q$2)/$Q$2))</f>
        <v>3496.02341181362</v>
      </c>
      <c r="I474" s="15" t="n">
        <f aca="false">H474*(1+IF(I$3&lt;=$O$2,$D474,$D474-($D474-$I$454)*MIN(I$3-$O$2,$Q$2)/$Q$2))</f>
        <v>3775.58832566248</v>
      </c>
      <c r="J474" s="15" t="n">
        <f aca="false">I474*(1+IF(J$3&lt;=$O$2,$D474,$D474-($D474-$I$454)*MIN(J$3-$O$2,$Q$2)/$Q$2))</f>
        <v>4030.94358224795</v>
      </c>
      <c r="K474" s="15" t="n">
        <f aca="false">J474*(1+IF(K$3&lt;=$O$2,$D474,$D474-($D474-$I$454)*MIN(K$3-$O$2,$Q$2)/$Q$2))</f>
        <v>4253.85446834128</v>
      </c>
      <c r="L474" s="15" t="n">
        <f aca="false">K474*(1+IF(L$3&lt;=$O$2,$D474,$D474-($D474-$I$454)*MIN(L$3-$O$2,$Q$2)/$Q$2))</f>
        <v>4436.62820848872</v>
      </c>
      <c r="M474" s="15" t="n">
        <f aca="false">L474*(1+IF(M$3&lt;=$O$2,$D474,$D474-($D474-$I$454)*MIN(M$3-$O$2,$Q$2)/$Q$2))</f>
        <v>4572.53681141063</v>
      </c>
      <c r="N474" s="15" t="n">
        <f aca="false">M474*(1+IF(N$3&lt;=$O$2,$D474,$D474-($D474-$I$454)*MIN(N$3-$O$2,$Q$2)/$Q$2))</f>
        <v>4656.21423505944</v>
      </c>
      <c r="O474" s="15" t="n">
        <f aca="false">SUMPRODUCT(E474:N474,1/(1+$F$454)^$E$3:$N$3)*$E$2</f>
        <v>4497.57630983712</v>
      </c>
      <c r="P474" s="15" t="n">
        <f aca="false">N474*$E$2*(1+$I$454)/($F$454-$I$454)/(1+$F$454)^$N$3</f>
        <v>4548.52946279976</v>
      </c>
      <c r="Q474" s="15" t="n">
        <f aca="false">O474+P474</f>
        <v>9046.10577263688</v>
      </c>
      <c r="R474" s="15" t="n">
        <f aca="false">Q474-$G$2+$I$2</f>
        <v>7669.90577263688</v>
      </c>
      <c r="S474" s="42" t="n">
        <f aca="false">R474/$K$2</f>
        <v>204.476293592026</v>
      </c>
      <c r="T474" s="43" t="n">
        <f aca="false">S474-$M$2</f>
        <v>-0.00251205980038094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0.0799665451049805</v>
      </c>
      <c r="C475" s="25" t="n">
        <f aca="false">IF(T474&gt;0,D474,C474)</f>
        <v>0.0799694061279297</v>
      </c>
      <c r="D475" s="41" t="n">
        <f aca="false">(B475+C475)/2</f>
        <v>0.0799679756164551</v>
      </c>
      <c r="E475" s="15" t="n">
        <f aca="false">$C$2*(1+IF(E$3&lt;=$O$2,$D475,$D475-($D475-$I$454)*MIN(E$3-$O$2,$Q$2)/$Q$2))</f>
        <v>2775.51769733429</v>
      </c>
      <c r="F475" s="15" t="n">
        <f aca="false">E475*(1+IF(F$3&lt;=$O$2,$D475,$D475-($D475-$I$454)*MIN(F$3-$O$2,$Q$2)/$Q$2))</f>
        <v>2997.47022887776</v>
      </c>
      <c r="G475" s="15" t="n">
        <f aca="false">F475*(1+IF(G$3&lt;=$O$2,$D475,$D475-($D475-$I$454)*MIN(G$3-$O$2,$Q$2)/$Q$2))</f>
        <v>3237.1718550517</v>
      </c>
      <c r="H475" s="15" t="n">
        <f aca="false">G475*(1+IF(H$3&lt;=$O$2,$D475,$D475-($D475-$I$454)*MIN(H$3-$O$2,$Q$2)/$Q$2))</f>
        <v>3496.04193502275</v>
      </c>
      <c r="I475" s="15" t="n">
        <f aca="false">H475*(1+IF(I$3&lt;=$O$2,$D475,$D475-($D475-$I$454)*MIN(I$3-$O$2,$Q$2)/$Q$2))</f>
        <v>3775.61333123676</v>
      </c>
      <c r="J475" s="15" t="n">
        <f aca="false">I475*(1+IF(J$3&lt;=$O$2,$D475,$D475-($D475-$I$454)*MIN(J$3-$O$2,$Q$2)/$Q$2))</f>
        <v>4030.97459987669</v>
      </c>
      <c r="K475" s="15" t="n">
        <f aca="false">J475*(1+IF(K$3&lt;=$O$2,$D475,$D475-($D475-$I$454)*MIN(K$3-$O$2,$Q$2)/$Q$2))</f>
        <v>4253.89066105588</v>
      </c>
      <c r="L475" s="15" t="n">
        <f aca="false">K475*(1+IF(L$3&lt;=$O$2,$D475,$D475-($D475-$I$454)*MIN(L$3-$O$2,$Q$2)/$Q$2))</f>
        <v>4436.66839037762</v>
      </c>
      <c r="M475" s="15" t="n">
        <f aca="false">L475*(1+IF(M$3&lt;=$O$2,$D475,$D475-($D475-$I$454)*MIN(M$3-$O$2,$Q$2)/$Q$2))</f>
        <v>4572.57949354476</v>
      </c>
      <c r="N475" s="15" t="n">
        <f aca="false">M475*(1+IF(N$3&lt;=$O$2,$D475,$D475-($D475-$I$454)*MIN(N$3-$O$2,$Q$2)/$Q$2))</f>
        <v>4656.25769827662</v>
      </c>
      <c r="O475" s="15" t="n">
        <f aca="false">SUMPRODUCT(E475:N475,1/(1+$F$454)^$E$3:$N$3)*$E$2</f>
        <v>4497.60389651823</v>
      </c>
      <c r="P475" s="15" t="n">
        <f aca="false">N475*$E$2*(1+$I$454)/($F$454-$I$454)/(1+$F$454)^$N$3</f>
        <v>4548.5719208384</v>
      </c>
      <c r="Q475" s="15" t="n">
        <f aca="false">O475+P475</f>
        <v>9046.17581735663</v>
      </c>
      <c r="R475" s="15" t="n">
        <f aca="false">Q475-$G$2+$I$2</f>
        <v>7669.97581735663</v>
      </c>
      <c r="S475" s="42" t="n">
        <f aca="false">R475/$K$2</f>
        <v>204.478160953256</v>
      </c>
      <c r="T475" s="43" t="n">
        <f aca="false">S475-$M$2</f>
        <v>-0.000644698570027913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0.0799679756164551</v>
      </c>
      <c r="C476" s="25" t="n">
        <f aca="false">IF(T475&gt;0,D475,C475)</f>
        <v>0.0799694061279297</v>
      </c>
      <c r="D476" s="41" t="n">
        <f aca="false">(B476+C476)/2</f>
        <v>0.0799686908721924</v>
      </c>
      <c r="E476" s="15" t="n">
        <f aca="false">$C$2*(1+IF(E$3&lt;=$O$2,$D476,$D476-($D476-$I$454)*MIN(E$3-$O$2,$Q$2)/$Q$2))</f>
        <v>2775.51953554153</v>
      </c>
      <c r="F476" s="15" t="n">
        <f aca="false">E476*(1+IF(F$3&lt;=$O$2,$D476,$D476-($D476-$I$454)*MIN(F$3-$O$2,$Q$2)/$Q$2))</f>
        <v>2997.47419928899</v>
      </c>
      <c r="G476" s="15" t="n">
        <f aca="false">F476*(1+IF(G$3&lt;=$O$2,$D476,$D476-($D476-$I$454)*MIN(G$3-$O$2,$Q$2)/$Q$2))</f>
        <v>3237.1782869293</v>
      </c>
      <c r="H476" s="15" t="n">
        <f aca="false">G476*(1+IF(H$3&lt;=$O$2,$D476,$D476-($D476-$I$454)*MIN(H$3-$O$2,$Q$2)/$Q$2))</f>
        <v>3496.05119665492</v>
      </c>
      <c r="I476" s="15" t="n">
        <f aca="false">H476*(1+IF(I$3&lt;=$O$2,$D476,$D476-($D476-$I$454)*MIN(I$3-$O$2,$Q$2)/$Q$2))</f>
        <v>3775.62583407358</v>
      </c>
      <c r="J476" s="15" t="n">
        <f aca="false">I476*(1+IF(J$3&lt;=$O$2,$D476,$D476-($D476-$I$454)*MIN(J$3-$O$2,$Q$2)/$Q$2))</f>
        <v>4030.99010876556</v>
      </c>
      <c r="K476" s="15" t="n">
        <f aca="false">J476*(1+IF(K$3&lt;=$O$2,$D476,$D476-($D476-$I$454)*MIN(K$3-$O$2,$Q$2)/$Q$2))</f>
        <v>4253.90875751177</v>
      </c>
      <c r="L476" s="15" t="n">
        <f aca="false">K476*(1+IF(L$3&lt;=$O$2,$D476,$D476-($D476-$I$454)*MIN(L$3-$O$2,$Q$2)/$Q$2))</f>
        <v>4436.68848144044</v>
      </c>
      <c r="M476" s="15" t="n">
        <f aca="false">L476*(1+IF(M$3&lt;=$O$2,$D476,$D476-($D476-$I$454)*MIN(M$3-$O$2,$Q$2)/$Q$2))</f>
        <v>4572.60083474243</v>
      </c>
      <c r="N476" s="15" t="n">
        <f aca="false">M476*(1+IF(N$3&lt;=$O$2,$D476,$D476-($D476-$I$454)*MIN(N$3-$O$2,$Q$2)/$Q$2))</f>
        <v>4656.27943001822</v>
      </c>
      <c r="O476" s="15" t="n">
        <f aca="false">SUMPRODUCT(E476:N476,1/(1+$F$454)^$E$3:$N$3)*$E$2</f>
        <v>4497.61768992248</v>
      </c>
      <c r="P476" s="15" t="n">
        <f aca="false">N476*$E$2*(1+$I$454)/($F$454-$I$454)/(1+$F$454)^$N$3</f>
        <v>4548.59314998765</v>
      </c>
      <c r="Q476" s="15" t="n">
        <f aca="false">O476+P476</f>
        <v>9046.21083991012</v>
      </c>
      <c r="R476" s="15" t="n">
        <f aca="false">Q476-$G$2+$I$2</f>
        <v>7670.01083991012</v>
      </c>
      <c r="S476" s="42" t="n">
        <f aca="false">R476/$K$2</f>
        <v>204.479094639033</v>
      </c>
      <c r="T476" s="43" t="n">
        <f aca="false">S476-$M$2</f>
        <v>0.000288987206801039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0.0799679756164551</v>
      </c>
      <c r="C477" s="25" t="n">
        <f aca="false">IF(T476&gt;0,D476,C476)</f>
        <v>0.0799686908721924</v>
      </c>
      <c r="D477" s="41" t="n">
        <f aca="false">(B477+C477)/2</f>
        <v>0.0799683332443237</v>
      </c>
      <c r="E477" s="15" t="n">
        <f aca="false">$C$2*(1+IF(E$3&lt;=$O$2,$D477,$D477-($D477-$I$454)*MIN(E$3-$O$2,$Q$2)/$Q$2))</f>
        <v>2775.51861643791</v>
      </c>
      <c r="F477" s="15" t="n">
        <f aca="false">E477*(1+IF(F$3&lt;=$O$2,$D477,$D477-($D477-$I$454)*MIN(F$3-$O$2,$Q$2)/$Q$2))</f>
        <v>2997.47221408304</v>
      </c>
      <c r="G477" s="15" t="n">
        <f aca="false">F477*(1+IF(G$3&lt;=$O$2,$D477,$D477-($D477-$I$454)*MIN(G$3-$O$2,$Q$2)/$Q$2))</f>
        <v>3237.17507098944</v>
      </c>
      <c r="H477" s="15" t="n">
        <f aca="false">G477*(1+IF(H$3&lt;=$O$2,$D477,$D477-($D477-$I$454)*MIN(H$3-$O$2,$Q$2)/$Q$2))</f>
        <v>3496.04656583654</v>
      </c>
      <c r="I477" s="15" t="n">
        <f aca="false">H477*(1+IF(I$3&lt;=$O$2,$D477,$D477-($D477-$I$454)*MIN(I$3-$O$2,$Q$2)/$Q$2))</f>
        <v>3775.61958265103</v>
      </c>
      <c r="J477" s="15" t="n">
        <f aca="false">I477*(1+IF(J$3&lt;=$O$2,$D477,$D477-($D477-$I$454)*MIN(J$3-$O$2,$Q$2)/$Q$2))</f>
        <v>4030.98235431492</v>
      </c>
      <c r="K477" s="15" t="n">
        <f aca="false">J477*(1+IF(K$3&lt;=$O$2,$D477,$D477-($D477-$I$454)*MIN(K$3-$O$2,$Q$2)/$Q$2))</f>
        <v>4253.89970927561</v>
      </c>
      <c r="L477" s="15" t="n">
        <f aca="false">K477*(1+IF(L$3&lt;=$O$2,$D477,$D477-($D477-$I$454)*MIN(L$3-$O$2,$Q$2)/$Q$2))</f>
        <v>4436.67843589917</v>
      </c>
      <c r="M477" s="15" t="n">
        <f aca="false">L477*(1+IF(M$3&lt;=$O$2,$D477,$D477-($D477-$I$454)*MIN(M$3-$O$2,$Q$2)/$Q$2))</f>
        <v>4572.59016413271</v>
      </c>
      <c r="N477" s="15" t="n">
        <f aca="false">M477*(1+IF(N$3&lt;=$O$2,$D477,$D477-($D477-$I$454)*MIN(N$3-$O$2,$Q$2)/$Q$2))</f>
        <v>4656.26856413634</v>
      </c>
      <c r="O477" s="15" t="n">
        <f aca="false">SUMPRODUCT(E477:N477,1/(1+$F$454)^$E$3:$N$3)*$E$2</f>
        <v>4497.61079321505</v>
      </c>
      <c r="P477" s="15" t="n">
        <f aca="false">N477*$E$2*(1+$I$454)/($F$454-$I$454)/(1+$F$454)^$N$3</f>
        <v>4548.5825354022</v>
      </c>
      <c r="Q477" s="15" t="n">
        <f aca="false">O477+P477</f>
        <v>9046.19332861724</v>
      </c>
      <c r="R477" s="15" t="n">
        <f aca="false">Q477-$G$2+$I$2</f>
        <v>7669.99332861724</v>
      </c>
      <c r="S477" s="42" t="n">
        <f aca="false">R477/$K$2</f>
        <v>204.478627795714</v>
      </c>
      <c r="T477" s="43" t="n">
        <f aca="false">S477-$M$2</f>
        <v>-0.000177856111747587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0.0799683332443237</v>
      </c>
      <c r="C478" s="25" t="n">
        <f aca="false">IF(T477&gt;0,D477,C477)</f>
        <v>0.0799686908721924</v>
      </c>
      <c r="D478" s="41" t="n">
        <f aca="false">(B478+C478)/2</f>
        <v>0.0799685120582581</v>
      </c>
      <c r="E478" s="15" t="n">
        <f aca="false">$C$2*(1+IF(E$3&lt;=$O$2,$D478,$D478-($D478-$I$454)*MIN(E$3-$O$2,$Q$2)/$Q$2))</f>
        <v>2775.51907598972</v>
      </c>
      <c r="F478" s="15" t="n">
        <f aca="false">E478*(1+IF(F$3&lt;=$O$2,$D478,$D478-($D478-$I$454)*MIN(F$3-$O$2,$Q$2)/$Q$2))</f>
        <v>2997.47320668593</v>
      </c>
      <c r="G478" s="15" t="n">
        <f aca="false">F478*(1+IF(G$3&lt;=$O$2,$D478,$D478-($D478-$I$454)*MIN(G$3-$O$2,$Q$2)/$Q$2))</f>
        <v>3237.1766789591</v>
      </c>
      <c r="H478" s="15" t="n">
        <f aca="false">G478*(1+IF(H$3&lt;=$O$2,$D478,$D478-($D478-$I$454)*MIN(H$3-$O$2,$Q$2)/$Q$2))</f>
        <v>3496.04888124516</v>
      </c>
      <c r="I478" s="15" t="n">
        <f aca="false">H478*(1+IF(I$3&lt;=$O$2,$D478,$D478-($D478-$I$454)*MIN(I$3-$O$2,$Q$2)/$Q$2))</f>
        <v>3775.62270836127</v>
      </c>
      <c r="J478" s="15" t="n">
        <f aca="false">I478*(1+IF(J$3&lt;=$O$2,$D478,$D478-($D478-$I$454)*MIN(J$3-$O$2,$Q$2)/$Q$2))</f>
        <v>4030.98623153869</v>
      </c>
      <c r="K478" s="15" t="n">
        <f aca="false">J478*(1+IF(K$3&lt;=$O$2,$D478,$D478-($D478-$I$454)*MIN(K$3-$O$2,$Q$2)/$Q$2))</f>
        <v>4253.90423339163</v>
      </c>
      <c r="L478" s="15" t="n">
        <f aca="false">K478*(1+IF(L$3&lt;=$O$2,$D478,$D478-($D478-$I$454)*MIN(L$3-$O$2,$Q$2)/$Q$2))</f>
        <v>4436.68345866734</v>
      </c>
      <c r="M478" s="15" t="n">
        <f aca="false">L478*(1+IF(M$3&lt;=$O$2,$D478,$D478-($D478-$I$454)*MIN(M$3-$O$2,$Q$2)/$Q$2))</f>
        <v>4572.59549943485</v>
      </c>
      <c r="N478" s="15" t="n">
        <f aca="false">M478*(1+IF(N$3&lt;=$O$2,$D478,$D478-($D478-$I$454)*MIN(N$3-$O$2,$Q$2)/$Q$2))</f>
        <v>4656.27399707451</v>
      </c>
      <c r="O478" s="15" t="n">
        <f aca="false">SUMPRODUCT(E478:N478,1/(1+$F$454)^$E$3:$N$3)*$E$2</f>
        <v>4497.61424156744</v>
      </c>
      <c r="P478" s="15" t="n">
        <f aca="false">N478*$E$2*(1+$I$454)/($F$454-$I$454)/(1+$F$454)^$N$3</f>
        <v>4548.58784269222</v>
      </c>
      <c r="Q478" s="15" t="n">
        <f aca="false">O478+P478</f>
        <v>9046.20208425965</v>
      </c>
      <c r="R478" s="15" t="n">
        <f aca="false">Q478-$G$2+$I$2</f>
        <v>7670.00208425965</v>
      </c>
      <c r="S478" s="42" t="n">
        <f aca="false">R478/$K$2</f>
        <v>204.478861217266</v>
      </c>
      <c r="T478" s="43" t="n">
        <f aca="false">S478-$M$2</f>
        <v>5.55654400500316E-005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0.0799683332443237</v>
      </c>
      <c r="C479" s="25" t="n">
        <f aca="false">IF(T478&gt;0,D478,C478)</f>
        <v>0.0799685120582581</v>
      </c>
      <c r="D479" s="41" t="n">
        <f aca="false">(B479+C479)/2</f>
        <v>0.0799684226512909</v>
      </c>
      <c r="E479" s="15" t="n">
        <f aca="false">$C$2*(1+IF(E$3&lt;=$O$2,$D479,$D479-($D479-$I$454)*MIN(E$3-$O$2,$Q$2)/$Q$2))</f>
        <v>2775.51884621382</v>
      </c>
      <c r="F479" s="15" t="n">
        <f aca="false">E479*(1+IF(F$3&lt;=$O$2,$D479,$D479-($D479-$I$454)*MIN(F$3-$O$2,$Q$2)/$Q$2))</f>
        <v>2997.47271038447</v>
      </c>
      <c r="G479" s="15" t="n">
        <f aca="false">F479*(1+IF(G$3&lt;=$O$2,$D479,$D479-($D479-$I$454)*MIN(G$3-$O$2,$Q$2)/$Q$2))</f>
        <v>3237.1758749742</v>
      </c>
      <c r="H479" s="15" t="n">
        <f aca="false">G479*(1+IF(H$3&lt;=$O$2,$D479,$D479-($D479-$I$454)*MIN(H$3-$O$2,$Q$2)/$Q$2))</f>
        <v>3496.0477235407</v>
      </c>
      <c r="I479" s="15" t="n">
        <f aca="false">H479*(1+IF(I$3&lt;=$O$2,$D479,$D479-($D479-$I$454)*MIN(I$3-$O$2,$Q$2)/$Q$2))</f>
        <v>3775.62114550589</v>
      </c>
      <c r="J479" s="15" t="n">
        <f aca="false">I479*(1+IF(J$3&lt;=$O$2,$D479,$D479-($D479-$I$454)*MIN(J$3-$O$2,$Q$2)/$Q$2))</f>
        <v>4030.98429292641</v>
      </c>
      <c r="K479" s="15" t="n">
        <f aca="false">J479*(1+IF(K$3&lt;=$O$2,$D479,$D479-($D479-$I$454)*MIN(K$3-$O$2,$Q$2)/$Q$2))</f>
        <v>4253.90197133311</v>
      </c>
      <c r="L479" s="15" t="n">
        <f aca="false">K479*(1+IF(L$3&lt;=$O$2,$D479,$D479-($D479-$I$454)*MIN(L$3-$O$2,$Q$2)/$Q$2))</f>
        <v>4436.68094728263</v>
      </c>
      <c r="M479" s="15" t="n">
        <f aca="false">L479*(1+IF(M$3&lt;=$O$2,$D479,$D479-($D479-$I$454)*MIN(M$3-$O$2,$Q$2)/$Q$2))</f>
        <v>4572.5928317831</v>
      </c>
      <c r="N479" s="15" t="n">
        <f aca="false">M479*(1+IF(N$3&lt;=$O$2,$D479,$D479-($D479-$I$454)*MIN(N$3-$O$2,$Q$2)/$Q$2))</f>
        <v>4656.27128060473</v>
      </c>
      <c r="O479" s="15" t="n">
        <f aca="false">SUMPRODUCT(E479:N479,1/(1+$F$454)^$E$3:$N$3)*$E$2</f>
        <v>4497.61251739091</v>
      </c>
      <c r="P479" s="15" t="n">
        <f aca="false">N479*$E$2*(1+$I$454)/($F$454-$I$454)/(1+$F$454)^$N$3</f>
        <v>4548.58518904653</v>
      </c>
      <c r="Q479" s="15" t="n">
        <f aca="false">O479+P479</f>
        <v>9046.19770643744</v>
      </c>
      <c r="R479" s="15" t="n">
        <f aca="false">Q479-$G$2+$I$2</f>
        <v>7669.99770643744</v>
      </c>
      <c r="S479" s="42" t="n">
        <f aca="false">R479/$K$2</f>
        <v>204.478744506463</v>
      </c>
      <c r="T479" s="43" t="n">
        <f aca="false">S479-$M$2</f>
        <v>-6.11453627072933E-005</v>
      </c>
    </row>
    <row r="481" customFormat="false" ht="15" hidden="false" customHeight="false" outlineLevel="0" collapsed="false">
      <c r="A481" s="38" t="s">
        <v>198</v>
      </c>
      <c r="E481" s="5" t="s">
        <v>11</v>
      </c>
      <c r="F481" s="12" t="n">
        <f aca="false">Sensitivity!$B$13</f>
        <v>0.099183337553844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162</v>
      </c>
      <c r="B482" s="28" t="s">
        <v>163</v>
      </c>
      <c r="C482" s="28" t="s">
        <v>164</v>
      </c>
      <c r="D482" s="28" t="s">
        <v>165</v>
      </c>
      <c r="E482" s="28" t="s">
        <v>166</v>
      </c>
      <c r="F482" s="28" t="s">
        <v>167</v>
      </c>
      <c r="G482" s="28" t="s">
        <v>168</v>
      </c>
      <c r="H482" s="28" t="s">
        <v>169</v>
      </c>
      <c r="I482" s="28" t="s">
        <v>170</v>
      </c>
      <c r="J482" s="28" t="s">
        <v>171</v>
      </c>
      <c r="K482" s="28" t="s">
        <v>172</v>
      </c>
      <c r="L482" s="28" t="s">
        <v>173</v>
      </c>
      <c r="M482" s="28" t="s">
        <v>174</v>
      </c>
      <c r="N482" s="28" t="s">
        <v>175</v>
      </c>
      <c r="O482" s="28" t="s">
        <v>176</v>
      </c>
      <c r="P482" s="28" t="s">
        <v>177</v>
      </c>
      <c r="Q482" s="28" t="s">
        <v>178</v>
      </c>
      <c r="R482" s="28" t="s">
        <v>179</v>
      </c>
      <c r="S482" s="28" t="s">
        <v>180</v>
      </c>
      <c r="T482" s="28" t="s">
        <v>181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3212.5</v>
      </c>
      <c r="F483" s="15" t="n">
        <f aca="false">E483*(1+IF(F$3&lt;=$O$2,$D483,$D483-($D483-$I$481)*MIN(F$3-$O$2,$Q$2)/$Q$2))</f>
        <v>4015.625</v>
      </c>
      <c r="G483" s="15" t="n">
        <f aca="false">F483*(1+IF(G$3&lt;=$O$2,$D483,$D483-($D483-$I$481)*MIN(G$3-$O$2,$Q$2)/$Q$2))</f>
        <v>5019.53125</v>
      </c>
      <c r="H483" s="15" t="n">
        <f aca="false">G483*(1+IF(H$3&lt;=$O$2,$D483,$D483-($D483-$I$481)*MIN(H$3-$O$2,$Q$2)/$Q$2))</f>
        <v>6274.4140625</v>
      </c>
      <c r="I483" s="15" t="n">
        <f aca="false">H483*(1+IF(I$3&lt;=$O$2,$D483,$D483-($D483-$I$481)*MIN(I$3-$O$2,$Q$2)/$Q$2))</f>
        <v>7843.017578125</v>
      </c>
      <c r="J483" s="15" t="n">
        <f aca="false">I483*(1+IF(J$3&lt;=$O$2,$D483,$D483-($D483-$I$481)*MIN(J$3-$O$2,$Q$2)/$Q$2))</f>
        <v>9448.16955566406</v>
      </c>
      <c r="K483" s="15" t="n">
        <f aca="false">J483*(1+IF(K$3&lt;=$O$2,$D483,$D483-($D483-$I$481)*MIN(K$3-$O$2,$Q$2)/$Q$2))</f>
        <v>10953.4519292725</v>
      </c>
      <c r="L483" s="15" t="n">
        <f aca="false">K483*(1+IF(L$3&lt;=$O$2,$D483,$D483-($D483-$I$481)*MIN(L$3-$O$2,$Q$2)/$Q$2))</f>
        <v>12201.9263801709</v>
      </c>
      <c r="M483" s="15" t="n">
        <f aca="false">L483*(1+IF(M$3&lt;=$O$2,$D483,$D483-($D483-$I$481)*MIN(M$3-$O$2,$Q$2)/$Q$2))</f>
        <v>13039.4666069059</v>
      </c>
      <c r="N483" s="15" t="n">
        <f aca="false">M483*(1+IF(N$3&lt;=$O$2,$D483,$D483-($D483-$I$481)*MIN(N$3-$O$2,$Q$2)/$Q$2))</f>
        <v>13343.2861788468</v>
      </c>
      <c r="O483" s="15" t="n">
        <f aca="false">SUMPRODUCT(E483:N483,1/(1+$F$481)^$E$3:$N$3)*$E$2</f>
        <v>9328.19328305096</v>
      </c>
      <c r="P483" s="15" t="n">
        <f aca="false">N483*$E$2*(1+$I$481)/($F$481-$I$481)/(1+$F$481)^$N$3</f>
        <v>13961.7780069852</v>
      </c>
      <c r="Q483" s="15" t="n">
        <f aca="false">O483+P483</f>
        <v>23289.9712900362</v>
      </c>
      <c r="R483" s="15" t="n">
        <f aca="false">Q483-$G$2+$I$2</f>
        <v>21913.7712900362</v>
      </c>
      <c r="S483" s="42" t="n">
        <f aca="false">R483/$K$2</f>
        <v>584.211444682382</v>
      </c>
      <c r="T483" s="43" t="n">
        <f aca="false">S483-$M$2</f>
        <v>379.732639030556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2248.75</v>
      </c>
      <c r="F484" s="15" t="n">
        <f aca="false">E484*(1+IF(F$3&lt;=$O$2,$D484,$D484-($D484-$I$481)*MIN(F$3-$O$2,$Q$2)/$Q$2))</f>
        <v>1967.65625</v>
      </c>
      <c r="G484" s="15" t="n">
        <f aca="false">F484*(1+IF(G$3&lt;=$O$2,$D484,$D484-($D484-$I$481)*MIN(G$3-$O$2,$Q$2)/$Q$2))</f>
        <v>1721.69921875</v>
      </c>
      <c r="H484" s="15" t="n">
        <f aca="false">G484*(1+IF(H$3&lt;=$O$2,$D484,$D484-($D484-$I$481)*MIN(H$3-$O$2,$Q$2)/$Q$2))</f>
        <v>1506.48681640625</v>
      </c>
      <c r="I484" s="15" t="n">
        <f aca="false">H484*(1+IF(I$3&lt;=$O$2,$D484,$D484-($D484-$I$481)*MIN(I$3-$O$2,$Q$2)/$Q$2))</f>
        <v>1318.17596435547</v>
      </c>
      <c r="J484" s="15" t="n">
        <f aca="false">I484*(1+IF(J$3&lt;=$O$2,$D484,$D484-($D484-$I$481)*MIN(J$3-$O$2,$Q$2)/$Q$2))</f>
        <v>1192.50106791382</v>
      </c>
      <c r="K484" s="15" t="n">
        <f aca="false">J484*(1+IF(K$3&lt;=$O$2,$D484,$D484-($D484-$I$481)*MIN(K$3-$O$2,$Q$2)/$Q$2))</f>
        <v>1114.17759777324</v>
      </c>
      <c r="L484" s="15" t="n">
        <f aca="false">K484*(1+IF(L$3&lt;=$O$2,$D484,$D484-($D484-$I$481)*MIN(L$3-$O$2,$Q$2)/$Q$2))</f>
        <v>1074.04492070145</v>
      </c>
      <c r="M484" s="15" t="n">
        <f aca="false">L484*(1+IF(M$3&lt;=$O$2,$D484,$D484-($D484-$I$481)*MIN(M$3-$O$2,$Q$2)/$Q$2))</f>
        <v>1067.21399500579</v>
      </c>
      <c r="N484" s="15" t="n">
        <f aca="false">M484*(1+IF(N$3&lt;=$O$2,$D484,$D484-($D484-$I$481)*MIN(N$3-$O$2,$Q$2)/$Q$2))</f>
        <v>1092.08008108942</v>
      </c>
      <c r="O484" s="15" t="n">
        <f aca="false">SUMPRODUCT(E484:N484,1/(1+$F$481)^$E$3:$N$3)*$E$2</f>
        <v>1889.6134958644</v>
      </c>
      <c r="P484" s="15" t="n">
        <f aca="false">N484*$E$2*(1+$I$481)/($F$481-$I$481)/(1+$F$481)^$N$3</f>
        <v>1142.700490243</v>
      </c>
      <c r="Q484" s="15" t="n">
        <f aca="false">O484+P484</f>
        <v>3032.31398610741</v>
      </c>
      <c r="R484" s="15" t="n">
        <f aca="false">Q484-$G$2+$I$2</f>
        <v>1656.11398610741</v>
      </c>
      <c r="S484" s="42" t="n">
        <f aca="false">R484/$K$2</f>
        <v>44.1512659586085</v>
      </c>
      <c r="T484" s="43" t="n">
        <f aca="false">S484-$M$2</f>
        <v>-160.327539693218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2730.625</v>
      </c>
      <c r="F485" s="15" t="n">
        <f aca="false">E485*(1+IF(F$3&lt;=$O$2,$D485,$D485-($D485-$I$481)*MIN(F$3-$O$2,$Q$2)/$Q$2))</f>
        <v>2901.2890625</v>
      </c>
      <c r="G485" s="15" t="n">
        <f aca="false">F485*(1+IF(G$3&lt;=$O$2,$D485,$D485-($D485-$I$481)*MIN(G$3-$O$2,$Q$2)/$Q$2))</f>
        <v>3082.61962890625</v>
      </c>
      <c r="H485" s="15" t="n">
        <f aca="false">G485*(1+IF(H$3&lt;=$O$2,$D485,$D485-($D485-$I$481)*MIN(H$3-$O$2,$Q$2)/$Q$2))</f>
        <v>3275.28335571289</v>
      </c>
      <c r="I485" s="15" t="n">
        <f aca="false">H485*(1+IF(I$3&lt;=$O$2,$D485,$D485-($D485-$I$481)*MIN(I$3-$O$2,$Q$2)/$Q$2))</f>
        <v>3479.98856544495</v>
      </c>
      <c r="J485" s="15" t="n">
        <f aca="false">I485*(1+IF(J$3&lt;=$O$2,$D485,$D485-($D485-$I$481)*MIN(J$3-$O$2,$Q$2)/$Q$2))</f>
        <v>3670.20474043217</v>
      </c>
      <c r="K485" s="15" t="n">
        <f aca="false">J485*(1+IF(K$3&lt;=$O$2,$D485,$D485-($D485-$I$481)*MIN(K$3-$O$2,$Q$2)/$Q$2))</f>
        <v>3842.0437263792</v>
      </c>
      <c r="L485" s="15" t="n">
        <f aca="false">K485*(1+IF(L$3&lt;=$O$2,$D485,$D485-($D485-$I$481)*MIN(L$3-$O$2,$Q$2)/$Q$2))</f>
        <v>3991.80659083346</v>
      </c>
      <c r="M485" s="15" t="n">
        <f aca="false">L485*(1+IF(M$3&lt;=$O$2,$D485,$D485-($D485-$I$481)*MIN(M$3-$O$2,$Q$2)/$Q$2))</f>
        <v>4116.11144807202</v>
      </c>
      <c r="N485" s="15" t="n">
        <f aca="false">M485*(1+IF(N$3&lt;=$O$2,$D485,$D485-($D485-$I$481)*MIN(N$3-$O$2,$Q$2)/$Q$2))</f>
        <v>4212.0168448121</v>
      </c>
      <c r="O485" s="15" t="n">
        <f aca="false">SUMPRODUCT(E485:N485,1/(1+$F$481)^$E$3:$N$3)*$E$2</f>
        <v>4184.86929953654</v>
      </c>
      <c r="P485" s="15" t="n">
        <f aca="false">N485*$E$2*(1+$I$481)/($F$481-$I$481)/(1+$F$481)^$N$3</f>
        <v>4407.25345771092</v>
      </c>
      <c r="Q485" s="15" t="n">
        <f aca="false">O485+P485</f>
        <v>8592.12275724746</v>
      </c>
      <c r="R485" s="15" t="n">
        <f aca="false">Q485-$G$2+$I$2</f>
        <v>7215.92275724746</v>
      </c>
      <c r="S485" s="42" t="n">
        <f aca="false">R485/$K$2</f>
        <v>192.373307311316</v>
      </c>
      <c r="T485" s="43" t="n">
        <f aca="false">S485-$M$2</f>
        <v>-12.1054983405103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41" t="n">
        <f aca="false">(B486+C486)/2</f>
        <v>0.15625</v>
      </c>
      <c r="E486" s="15" t="n">
        <f aca="false">$C$2*(1+IF(E$3&lt;=$O$2,$D486,$D486-($D486-$I$481)*MIN(E$3-$O$2,$Q$2)/$Q$2))</f>
        <v>2971.5625</v>
      </c>
      <c r="F486" s="15" t="n">
        <f aca="false">E486*(1+IF(F$3&lt;=$O$2,$D486,$D486-($D486-$I$481)*MIN(F$3-$O$2,$Q$2)/$Q$2))</f>
        <v>3435.869140625</v>
      </c>
      <c r="G486" s="15" t="n">
        <f aca="false">F486*(1+IF(G$3&lt;=$O$2,$D486,$D486-($D486-$I$481)*MIN(G$3-$O$2,$Q$2)/$Q$2))</f>
        <v>3972.72369384766</v>
      </c>
      <c r="H486" s="15" t="n">
        <f aca="false">G486*(1+IF(H$3&lt;=$O$2,$D486,$D486-($D486-$I$481)*MIN(H$3-$O$2,$Q$2)/$Q$2))</f>
        <v>4593.46177101135</v>
      </c>
      <c r="I486" s="15" t="n">
        <f aca="false">H486*(1+IF(I$3&lt;=$O$2,$D486,$D486-($D486-$I$481)*MIN(I$3-$O$2,$Q$2)/$Q$2))</f>
        <v>5311.19017273188</v>
      </c>
      <c r="J486" s="15" t="n">
        <f aca="false">I486*(1+IF(J$3&lt;=$O$2,$D486,$D486-($D486-$I$481)*MIN(J$3-$O$2,$Q$2)/$Q$2))</f>
        <v>5999.83909052829</v>
      </c>
      <c r="K486" s="15" t="n">
        <f aca="false">J486*(1+IF(K$3&lt;=$O$2,$D486,$D486-($D486-$I$481)*MIN(K$3-$O$2,$Q$2)/$Q$2))</f>
        <v>6618.24250558904</v>
      </c>
      <c r="L486" s="15" t="n">
        <f aca="false">K486*(1+IF(L$3&lt;=$O$2,$D486,$D486-($D486-$I$481)*MIN(L$3-$O$2,$Q$2)/$Q$2))</f>
        <v>7124.40569241649</v>
      </c>
      <c r="M486" s="15" t="n">
        <f aca="false">L486*(1+IF(M$3&lt;=$O$2,$D486,$D486-($D486-$I$481)*MIN(M$3-$O$2,$Q$2)/$Q$2))</f>
        <v>7479.84229241115</v>
      </c>
      <c r="N486" s="15" t="n">
        <f aca="false">M486*(1+IF(N$3&lt;=$O$2,$D486,$D486-($D486-$I$481)*MIN(N$3-$O$2,$Q$2)/$Q$2))</f>
        <v>7654.12261782433</v>
      </c>
      <c r="O486" s="15" t="n">
        <f aca="false">SUMPRODUCT(E486:N486,1/(1+$F$481)^$E$3:$N$3)*$E$2</f>
        <v>6256.90697368951</v>
      </c>
      <c r="P486" s="15" t="n">
        <f aca="false">N486*$E$2*(1+$I$481)/($F$481-$I$481)/(1+$F$481)^$N$3</f>
        <v>8008.90870479283</v>
      </c>
      <c r="Q486" s="15" t="n">
        <f aca="false">O486+P486</f>
        <v>14265.8156784823</v>
      </c>
      <c r="R486" s="15" t="n">
        <f aca="false">Q486-$G$2+$I$2</f>
        <v>12889.6156784823</v>
      </c>
      <c r="S486" s="42" t="n">
        <f aca="false">R486/$K$2</f>
        <v>343.631449706274</v>
      </c>
      <c r="T486" s="43" t="n">
        <f aca="false">S486-$M$2</f>
        <v>139.152644054448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0.0625</v>
      </c>
      <c r="C487" s="25" t="n">
        <f aca="false">IF(T486&gt;0,D486,C486)</f>
        <v>0.15625</v>
      </c>
      <c r="D487" s="41" t="n">
        <f aca="false">(B487+C487)/2</f>
        <v>0.109375</v>
      </c>
      <c r="E487" s="15" t="n">
        <f aca="false">$C$2*(1+IF(E$3&lt;=$O$2,$D487,$D487-($D487-$I$481)*MIN(E$3-$O$2,$Q$2)/$Q$2))</f>
        <v>2851.09375</v>
      </c>
      <c r="F487" s="15" t="n">
        <f aca="false">E487*(1+IF(F$3&lt;=$O$2,$D487,$D487-($D487-$I$481)*MIN(F$3-$O$2,$Q$2)/$Q$2))</f>
        <v>3162.93212890625</v>
      </c>
      <c r="G487" s="15" t="n">
        <f aca="false">F487*(1+IF(G$3&lt;=$O$2,$D487,$D487-($D487-$I$481)*MIN(G$3-$O$2,$Q$2)/$Q$2))</f>
        <v>3508.87783050537</v>
      </c>
      <c r="H487" s="15" t="n">
        <f aca="false">G487*(1+IF(H$3&lt;=$O$2,$D487,$D487-($D487-$I$481)*MIN(H$3-$O$2,$Q$2)/$Q$2))</f>
        <v>3892.6613432169</v>
      </c>
      <c r="I487" s="15" t="n">
        <f aca="false">H487*(1+IF(I$3&lt;=$O$2,$D487,$D487-($D487-$I$481)*MIN(I$3-$O$2,$Q$2)/$Q$2))</f>
        <v>4318.42117763124</v>
      </c>
      <c r="J487" s="15" t="n">
        <f aca="false">I487*(1+IF(J$3&lt;=$O$2,$D487,$D487-($D487-$I$481)*MIN(J$3-$O$2,$Q$2)/$Q$2))</f>
        <v>4716.40687336174</v>
      </c>
      <c r="K487" s="15" t="n">
        <f aca="false">J487*(1+IF(K$3&lt;=$O$2,$D487,$D487-($D487-$I$481)*MIN(K$3-$O$2,$Q$2)/$Q$2))</f>
        <v>5069.87798648584</v>
      </c>
      <c r="L487" s="15" t="n">
        <f aca="false">K487*(1+IF(L$3&lt;=$O$2,$D487,$D487-($D487-$I$481)*MIN(L$3-$O$2,$Q$2)/$Q$2))</f>
        <v>5362.56204264566</v>
      </c>
      <c r="M487" s="15" t="n">
        <f aca="false">L487*(1+IF(M$3&lt;=$O$2,$D487,$D487-($D487-$I$481)*MIN(M$3-$O$2,$Q$2)/$Q$2))</f>
        <v>5579.82624380345</v>
      </c>
      <c r="N487" s="15" t="n">
        <f aca="false">M487*(1+IF(N$3&lt;=$O$2,$D487,$D487-($D487-$I$481)*MIN(N$3-$O$2,$Q$2)/$Q$2))</f>
        <v>5709.83619528407</v>
      </c>
      <c r="O487" s="15" t="n">
        <f aca="false">SUMPRODUCT(E487:N487,1/(1+$F$481)^$E$3:$N$3)*$E$2</f>
        <v>5117.60301854334</v>
      </c>
      <c r="P487" s="15" t="n">
        <f aca="false">N487*$E$2*(1+$I$481)/($F$481-$I$481)/(1+$F$481)^$N$3</f>
        <v>5974.50016032671</v>
      </c>
      <c r="Q487" s="15" t="n">
        <f aca="false">O487+P487</f>
        <v>11092.1031788701</v>
      </c>
      <c r="R487" s="15" t="n">
        <f aca="false">Q487-$G$2+$I$2</f>
        <v>9715.90317887005</v>
      </c>
      <c r="S487" s="42" t="n">
        <f aca="false">R487/$K$2</f>
        <v>259.021678988804</v>
      </c>
      <c r="T487" s="43" t="n">
        <f aca="false">S487-$M$2</f>
        <v>54.5428733369783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0.0625</v>
      </c>
      <c r="C488" s="25" t="n">
        <f aca="false">IF(T487&gt;0,D487,C487)</f>
        <v>0.109375</v>
      </c>
      <c r="D488" s="41" t="n">
        <f aca="false">(B488+C488)/2</f>
        <v>0.0859375</v>
      </c>
      <c r="E488" s="15" t="n">
        <f aca="false">$C$2*(1+IF(E$3&lt;=$O$2,$D488,$D488-($D488-$I$481)*MIN(E$3-$O$2,$Q$2)/$Q$2))</f>
        <v>2790.859375</v>
      </c>
      <c r="F488" s="15" t="n">
        <f aca="false">E488*(1+IF(F$3&lt;=$O$2,$D488,$D488-($D488-$I$481)*MIN(F$3-$O$2,$Q$2)/$Q$2))</f>
        <v>3030.69885253906</v>
      </c>
      <c r="G488" s="15" t="n">
        <f aca="false">F488*(1+IF(G$3&lt;=$O$2,$D488,$D488-($D488-$I$481)*MIN(G$3-$O$2,$Q$2)/$Q$2))</f>
        <v>3291.14953517914</v>
      </c>
      <c r="H488" s="15" t="n">
        <f aca="false">G488*(1+IF(H$3&lt;=$O$2,$D488,$D488-($D488-$I$481)*MIN(H$3-$O$2,$Q$2)/$Q$2))</f>
        <v>3573.9826983586</v>
      </c>
      <c r="I488" s="15" t="n">
        <f aca="false">H488*(1+IF(I$3&lt;=$O$2,$D488,$D488-($D488-$I$481)*MIN(I$3-$O$2,$Q$2)/$Q$2))</f>
        <v>3881.12183649879</v>
      </c>
      <c r="J488" s="15" t="n">
        <f aca="false">I488*(1+IF(J$3&lt;=$O$2,$D488,$D488-($D488-$I$481)*MIN(J$3-$O$2,$Q$2)/$Q$2))</f>
        <v>4166.03499051616</v>
      </c>
      <c r="K488" s="15" t="n">
        <f aca="false">J488*(1+IF(K$3&lt;=$O$2,$D488,$D488-($D488-$I$481)*MIN(K$3-$O$2,$Q$2)/$Q$2))</f>
        <v>4419.67361582626</v>
      </c>
      <c r="L488" s="15" t="n">
        <f aca="false">K488*(1+IF(L$3&lt;=$O$2,$D488,$D488-($D488-$I$481)*MIN(L$3-$O$2,$Q$2)/$Q$2))</f>
        <v>4633.38693351954</v>
      </c>
      <c r="M488" s="15" t="n">
        <f aca="false">L488*(1+IF(M$3&lt;=$O$2,$D488,$D488-($D488-$I$481)*MIN(M$3-$O$2,$Q$2)/$Q$2))</f>
        <v>4799.38960388021</v>
      </c>
      <c r="N488" s="15" t="n">
        <f aca="false">M488*(1+IF(N$3&lt;=$O$2,$D488,$D488-($D488-$I$481)*MIN(N$3-$O$2,$Q$2)/$Q$2))</f>
        <v>4911.21538165062</v>
      </c>
      <c r="O488" s="15" t="n">
        <f aca="false">SUMPRODUCT(E488:N488,1/(1+$F$481)^$E$3:$N$3)*$E$2</f>
        <v>4627.75795603424</v>
      </c>
      <c r="P488" s="15" t="n">
        <f aca="false">N488*$E$2*(1+$I$481)/($F$481-$I$481)/(1+$F$481)^$N$3</f>
        <v>5138.861445676</v>
      </c>
      <c r="Q488" s="15" t="n">
        <f aca="false">O488+P488</f>
        <v>9766.61940171023</v>
      </c>
      <c r="R488" s="15" t="n">
        <f aca="false">Q488-$G$2+$I$2</f>
        <v>8390.41940171023</v>
      </c>
      <c r="S488" s="42" t="n">
        <f aca="false">R488/$K$2</f>
        <v>223.684868080785</v>
      </c>
      <c r="T488" s="43" t="n">
        <f aca="false">S488-$M$2</f>
        <v>19.2060624289586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0.0625</v>
      </c>
      <c r="C489" s="25" t="n">
        <f aca="false">IF(T488&gt;0,D488,C488)</f>
        <v>0.0859375</v>
      </c>
      <c r="D489" s="41" t="n">
        <f aca="false">(B489+C489)/2</f>
        <v>0.07421875</v>
      </c>
      <c r="E489" s="15" t="n">
        <f aca="false">$C$2*(1+IF(E$3&lt;=$O$2,$D489,$D489-($D489-$I$481)*MIN(E$3-$O$2,$Q$2)/$Q$2))</f>
        <v>2760.7421875</v>
      </c>
      <c r="F489" s="15" t="n">
        <f aca="false">E489*(1+IF(F$3&lt;=$O$2,$D489,$D489-($D489-$I$481)*MIN(F$3-$O$2,$Q$2)/$Q$2))</f>
        <v>2965.64102172852</v>
      </c>
      <c r="G489" s="15" t="n">
        <f aca="false">F489*(1+IF(G$3&lt;=$O$2,$D489,$D489-($D489-$I$481)*MIN(G$3-$O$2,$Q$2)/$Q$2))</f>
        <v>3185.74719130993</v>
      </c>
      <c r="H489" s="15" t="n">
        <f aca="false">G489*(1+IF(H$3&lt;=$O$2,$D489,$D489-($D489-$I$481)*MIN(H$3-$O$2,$Q$2)/$Q$2))</f>
        <v>3422.18936566496</v>
      </c>
      <c r="I489" s="15" t="n">
        <f aca="false">H489*(1+IF(I$3&lt;=$O$2,$D489,$D489-($D489-$I$481)*MIN(I$3-$O$2,$Q$2)/$Q$2))</f>
        <v>3676.17998264791</v>
      </c>
      <c r="J489" s="15" t="n">
        <f aca="false">I489*(1+IF(J$3&lt;=$O$2,$D489,$D489-($D489-$I$481)*MIN(J$3-$O$2,$Q$2)/$Q$2))</f>
        <v>3911.58416783677</v>
      </c>
      <c r="K489" s="15" t="n">
        <f aca="false">J489*(1+IF(K$3&lt;=$O$2,$D489,$D489-($D489-$I$481)*MIN(K$3-$O$2,$Q$2)/$Q$2))</f>
        <v>4122.22786475499</v>
      </c>
      <c r="L489" s="15" t="n">
        <f aca="false">K489*(1+IF(L$3&lt;=$O$2,$D489,$D489-($D489-$I$481)*MIN(L$3-$O$2,$Q$2)/$Q$2))</f>
        <v>4302.23525003918</v>
      </c>
      <c r="M489" s="15" t="n">
        <f aca="false">L489*(1+IF(M$3&lt;=$O$2,$D489,$D489-($D489-$I$481)*MIN(M$3-$O$2,$Q$2)/$Q$2))</f>
        <v>4446.29021959267</v>
      </c>
      <c r="N489" s="15" t="n">
        <f aca="false">M489*(1+IF(N$3&lt;=$O$2,$D489,$D489-($D489-$I$481)*MIN(N$3-$O$2,$Q$2)/$Q$2))</f>
        <v>4549.88878170918</v>
      </c>
      <c r="O489" s="15" t="n">
        <f aca="false">SUMPRODUCT(E489:N489,1/(1+$F$481)^$E$3:$N$3)*$E$2</f>
        <v>4400.7166436196</v>
      </c>
      <c r="P489" s="15" t="n">
        <f aca="false">N489*$E$2*(1+$I$481)/($F$481-$I$481)/(1+$F$481)^$N$3</f>
        <v>4760.78653153689</v>
      </c>
      <c r="Q489" s="15" t="n">
        <f aca="false">O489+P489</f>
        <v>9161.50317515649</v>
      </c>
      <c r="R489" s="15" t="n">
        <f aca="false">Q489-$G$2+$I$2</f>
        <v>7785.30317515649</v>
      </c>
      <c r="S489" s="42" t="n">
        <f aca="false">R489/$K$2</f>
        <v>207.552737274233</v>
      </c>
      <c r="T489" s="43" t="n">
        <f aca="false">S489-$M$2</f>
        <v>3.07393162240712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0.0625</v>
      </c>
      <c r="C490" s="25" t="n">
        <f aca="false">IF(T489&gt;0,D489,C489)</f>
        <v>0.07421875</v>
      </c>
      <c r="D490" s="41" t="n">
        <f aca="false">(B490+C490)/2</f>
        <v>0.068359375</v>
      </c>
      <c r="E490" s="15" t="n">
        <f aca="false">$C$2*(1+IF(E$3&lt;=$O$2,$D490,$D490-($D490-$I$481)*MIN(E$3-$O$2,$Q$2)/$Q$2))</f>
        <v>2745.68359375</v>
      </c>
      <c r="F490" s="15" t="n">
        <f aca="false">E490*(1+IF(F$3&lt;=$O$2,$D490,$D490-($D490-$I$481)*MIN(F$3-$O$2,$Q$2)/$Q$2))</f>
        <v>2933.3768081665</v>
      </c>
      <c r="G490" s="15" t="n">
        <f aca="false">F490*(1+IF(G$3&lt;=$O$2,$D490,$D490-($D490-$I$481)*MIN(G$3-$O$2,$Q$2)/$Q$2))</f>
        <v>3133.90061341226</v>
      </c>
      <c r="H490" s="15" t="n">
        <f aca="false">G490*(1+IF(H$3&lt;=$O$2,$D490,$D490-($D490-$I$481)*MIN(H$3-$O$2,$Q$2)/$Q$2))</f>
        <v>3348.13210065724</v>
      </c>
      <c r="I490" s="15" t="n">
        <f aca="false">H490*(1+IF(I$3&lt;=$O$2,$D490,$D490-($D490-$I$481)*MIN(I$3-$O$2,$Q$2)/$Q$2))</f>
        <v>3577.00831847561</v>
      </c>
      <c r="J490" s="15" t="n">
        <f aca="false">I490*(1+IF(J$3&lt;=$O$2,$D490,$D490-($D490-$I$481)*MIN(J$3-$O$2,$Q$2)/$Q$2))</f>
        <v>3789.29481965634</v>
      </c>
      <c r="K490" s="15" t="n">
        <f aca="false">J490*(1+IF(K$3&lt;=$O$2,$D490,$D490-($D490-$I$481)*MIN(K$3-$O$2,$Q$2)/$Q$2))</f>
        <v>3980.031342713</v>
      </c>
      <c r="L490" s="15" t="n">
        <f aca="false">K490*(1+IF(L$3&lt;=$O$2,$D490,$D490-($D490-$I$481)*MIN(L$3-$O$2,$Q$2)/$Q$2))</f>
        <v>4144.50116291144</v>
      </c>
      <c r="M490" s="15" t="n">
        <f aca="false">L490*(1+IF(M$3&lt;=$O$2,$D490,$D490-($D490-$I$481)*MIN(M$3-$O$2,$Q$2)/$Q$2))</f>
        <v>4278.41776642479</v>
      </c>
      <c r="N490" s="15" t="n">
        <f aca="false">M490*(1+IF(N$3&lt;=$O$2,$D490,$D490-($D490-$I$481)*MIN(N$3-$O$2,$Q$2)/$Q$2))</f>
        <v>4378.10490038248</v>
      </c>
      <c r="O490" s="15" t="n">
        <f aca="false">SUMPRODUCT(E490:N490,1/(1+$F$481)^$E$3:$N$3)*$E$2</f>
        <v>4291.42658938146</v>
      </c>
      <c r="P490" s="15" t="n">
        <f aca="false">N490*$E$2*(1+$I$481)/($F$481-$I$481)/(1+$F$481)^$N$3</f>
        <v>4581.04007447117</v>
      </c>
      <c r="Q490" s="15" t="n">
        <f aca="false">O490+P490</f>
        <v>8872.46666385262</v>
      </c>
      <c r="R490" s="15" t="n">
        <f aca="false">Q490-$G$2+$I$2</f>
        <v>7496.26666385262</v>
      </c>
      <c r="S490" s="42" t="n">
        <f aca="false">R490/$K$2</f>
        <v>199.847151795591</v>
      </c>
      <c r="T490" s="43" t="n">
        <f aca="false">S490-$M$2</f>
        <v>-4.63165385623495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0.068359375</v>
      </c>
      <c r="C491" s="25" t="n">
        <f aca="false">IF(T490&gt;0,D490,C490)</f>
        <v>0.07421875</v>
      </c>
      <c r="D491" s="41" t="n">
        <f aca="false">(B491+C491)/2</f>
        <v>0.0712890625</v>
      </c>
      <c r="E491" s="15" t="n">
        <f aca="false">$C$2*(1+IF(E$3&lt;=$O$2,$D491,$D491-($D491-$I$481)*MIN(E$3-$O$2,$Q$2)/$Q$2))</f>
        <v>2753.212890625</v>
      </c>
      <c r="F491" s="15" t="n">
        <f aca="false">E491*(1+IF(F$3&lt;=$O$2,$D491,$D491-($D491-$I$481)*MIN(F$3-$O$2,$Q$2)/$Q$2))</f>
        <v>2949.48685646057</v>
      </c>
      <c r="G491" s="15" t="n">
        <f aca="false">F491*(1+IF(G$3&lt;=$O$2,$D491,$D491-($D491-$I$481)*MIN(G$3-$O$2,$Q$2)/$Q$2))</f>
        <v>3159.75300931372</v>
      </c>
      <c r="H491" s="15" t="n">
        <f aca="false">G491*(1+IF(H$3&lt;=$O$2,$D491,$D491-($D491-$I$481)*MIN(H$3-$O$2,$Q$2)/$Q$2))</f>
        <v>3385.00883907925</v>
      </c>
      <c r="I491" s="15" t="n">
        <f aca="false">H491*(1+IF(I$3&lt;=$O$2,$D491,$D491-($D491-$I$481)*MIN(I$3-$O$2,$Q$2)/$Q$2))</f>
        <v>3626.32294577142</v>
      </c>
      <c r="J491" s="15" t="n">
        <f aca="false">I491*(1+IF(J$3&lt;=$O$2,$D491,$D491-($D491-$I$481)*MIN(J$3-$O$2,$Q$2)/$Q$2))</f>
        <v>3850.03534119974</v>
      </c>
      <c r="K491" s="15" t="n">
        <f aca="false">J491*(1+IF(K$3&lt;=$O$2,$D491,$D491-($D491-$I$481)*MIN(K$3-$O$2,$Q$2)/$Q$2))</f>
        <v>4050.59691661932</v>
      </c>
      <c r="L491" s="15" t="n">
        <f aca="false">K491*(1+IF(L$3&lt;=$O$2,$D491,$D491-($D491-$I$481)*MIN(L$3-$O$2,$Q$2)/$Q$2))</f>
        <v>4222.72956421413</v>
      </c>
      <c r="M491" s="15" t="n">
        <f aca="false">L491*(1+IF(M$3&lt;=$O$2,$D491,$D491-($D491-$I$481)*MIN(M$3-$O$2,$Q$2)/$Q$2))</f>
        <v>4361.64812965585</v>
      </c>
      <c r="N491" s="15" t="n">
        <f aca="false">M491*(1+IF(N$3&lt;=$O$2,$D491,$D491-($D491-$I$481)*MIN(N$3-$O$2,$Q$2)/$Q$2))</f>
        <v>4463.27453107684</v>
      </c>
      <c r="O491" s="15" t="n">
        <f aca="false">SUMPRODUCT(E491:N491,1/(1+$F$481)^$E$3:$N$3)*$E$2</f>
        <v>4345.72596567524</v>
      </c>
      <c r="P491" s="15" t="n">
        <f aca="false">N491*$E$2*(1+$I$481)/($F$481-$I$481)/(1+$F$481)^$N$3</f>
        <v>4670.15751231617</v>
      </c>
      <c r="Q491" s="15" t="n">
        <f aca="false">O491+P491</f>
        <v>9015.8834779914</v>
      </c>
      <c r="R491" s="15" t="n">
        <f aca="false">Q491-$G$2+$I$2</f>
        <v>7639.6834779914</v>
      </c>
      <c r="S491" s="42" t="n">
        <f aca="false">R491/$K$2</f>
        <v>203.670580591613</v>
      </c>
      <c r="T491" s="43" t="n">
        <f aca="false">S491-$M$2</f>
        <v>-0.80822506021309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0.0712890625</v>
      </c>
      <c r="C492" s="25" t="n">
        <f aca="false">IF(T491&gt;0,D491,C491)</f>
        <v>0.07421875</v>
      </c>
      <c r="D492" s="41" t="n">
        <f aca="false">(B492+C492)/2</f>
        <v>0.07275390625</v>
      </c>
      <c r="E492" s="15" t="n">
        <f aca="false">$C$2*(1+IF(E$3&lt;=$O$2,$D492,$D492-($D492-$I$481)*MIN(E$3-$O$2,$Q$2)/$Q$2))</f>
        <v>2756.9775390625</v>
      </c>
      <c r="F492" s="15" t="n">
        <f aca="false">E492*(1+IF(F$3&lt;=$O$2,$D492,$D492-($D492-$I$481)*MIN(F$3-$O$2,$Q$2)/$Q$2))</f>
        <v>2957.55842447281</v>
      </c>
      <c r="G492" s="15" t="n">
        <f aca="false">F492*(1+IF(G$3&lt;=$O$2,$D492,$D492-($D492-$I$481)*MIN(G$3-$O$2,$Q$2)/$Q$2))</f>
        <v>3172.7323528158</v>
      </c>
      <c r="H492" s="15" t="n">
        <f aca="false">G492*(1+IF(H$3&lt;=$O$2,$D492,$D492-($D492-$I$481)*MIN(H$3-$O$2,$Q$2)/$Q$2))</f>
        <v>3403.5610249689</v>
      </c>
      <c r="I492" s="15" t="n">
        <f aca="false">H492*(1+IF(I$3&lt;=$O$2,$D492,$D492-($D492-$I$481)*MIN(I$3-$O$2,$Q$2)/$Q$2))</f>
        <v>3651.18338469565</v>
      </c>
      <c r="J492" s="15" t="n">
        <f aca="false">I492*(1+IF(J$3&lt;=$O$2,$D492,$D492-($D492-$I$481)*MIN(J$3-$O$2,$Q$2)/$Q$2))</f>
        <v>3880.70818220569</v>
      </c>
      <c r="K492" s="15" t="n">
        <f aca="false">J492*(1+IF(K$3&lt;=$O$2,$D492,$D492-($D492-$I$481)*MIN(K$3-$O$2,$Q$2)/$Q$2))</f>
        <v>4086.27839002693</v>
      </c>
      <c r="L492" s="15" t="n">
        <f aca="false">K492*(1+IF(L$3&lt;=$O$2,$D492,$D492-($D492-$I$481)*MIN(L$3-$O$2,$Q$2)/$Q$2))</f>
        <v>4262.32164787927</v>
      </c>
      <c r="M492" s="15" t="n">
        <f aca="false">L492*(1+IF(M$3&lt;=$O$2,$D492,$D492-($D492-$I$481)*MIN(M$3-$O$2,$Q$2)/$Q$2))</f>
        <v>4403.79143331118</v>
      </c>
      <c r="N492" s="15" t="n">
        <f aca="false">M492*(1+IF(N$3&lt;=$O$2,$D492,$D492-($D492-$I$481)*MIN(N$3-$O$2,$Q$2)/$Q$2))</f>
        <v>4506.39977370733</v>
      </c>
      <c r="O492" s="15" t="n">
        <f aca="false">SUMPRODUCT(E492:N492,1/(1+$F$481)^$E$3:$N$3)*$E$2</f>
        <v>4373.13438045514</v>
      </c>
      <c r="P492" s="15" t="n">
        <f aca="false">N492*$E$2*(1+$I$481)/($F$481-$I$481)/(1+$F$481)^$N$3</f>
        <v>4715.28170856243</v>
      </c>
      <c r="Q492" s="15" t="n">
        <f aca="false">O492+P492</f>
        <v>9088.41608901757</v>
      </c>
      <c r="R492" s="15" t="n">
        <f aca="false">Q492-$G$2+$I$2</f>
        <v>7712.21608901757</v>
      </c>
      <c r="S492" s="42" t="n">
        <f aca="false">R492/$K$2</f>
        <v>205.604267902361</v>
      </c>
      <c r="T492" s="43" t="n">
        <f aca="false">S492-$M$2</f>
        <v>1.12546225053515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0.0712890625</v>
      </c>
      <c r="C493" s="25" t="n">
        <f aca="false">IF(T492&gt;0,D492,C492)</f>
        <v>0.07275390625</v>
      </c>
      <c r="D493" s="41" t="n">
        <f aca="false">(B493+C493)/2</f>
        <v>0.072021484375</v>
      </c>
      <c r="E493" s="15" t="n">
        <f aca="false">$C$2*(1+IF(E$3&lt;=$O$2,$D493,$D493-($D493-$I$481)*MIN(E$3-$O$2,$Q$2)/$Q$2))</f>
        <v>2755.09521484375</v>
      </c>
      <c r="F493" s="15" t="n">
        <f aca="false">E493*(1+IF(F$3&lt;=$O$2,$D493,$D493-($D493-$I$481)*MIN(F$3-$O$2,$Q$2)/$Q$2))</f>
        <v>2953.52126181126</v>
      </c>
      <c r="G493" s="15" t="n">
        <f aca="false">F493*(1+IF(G$3&lt;=$O$2,$D493,$D493-($D493-$I$481)*MIN(G$3-$O$2,$Q$2)/$Q$2))</f>
        <v>3166.23824722003</v>
      </c>
      <c r="H493" s="15" t="n">
        <f aca="false">G493*(1+IF(H$3&lt;=$O$2,$D493,$D493-($D493-$I$481)*MIN(H$3-$O$2,$Q$2)/$Q$2))</f>
        <v>3394.27542566971</v>
      </c>
      <c r="I493" s="15" t="n">
        <f aca="false">H493*(1+IF(I$3&lt;=$O$2,$D493,$D493-($D493-$I$481)*MIN(I$3-$O$2,$Q$2)/$Q$2))</f>
        <v>3638.73618020403</v>
      </c>
      <c r="J493" s="15" t="n">
        <f aca="false">I493*(1+IF(J$3&lt;=$O$2,$D493,$D493-($D493-$I$481)*MIN(J$3-$O$2,$Q$2)/$Q$2))</f>
        <v>3865.34643556163</v>
      </c>
      <c r="K493" s="15" t="n">
        <f aca="false">J493*(1+IF(K$3&lt;=$O$2,$D493,$D493-($D493-$I$481)*MIN(K$3-$O$2,$Q$2)/$Q$2))</f>
        <v>4068.40425708872</v>
      </c>
      <c r="L493" s="15" t="n">
        <f aca="false">K493*(1+IF(L$3&lt;=$O$2,$D493,$D493-($D493-$I$481)*MIN(L$3-$O$2,$Q$2)/$Q$2))</f>
        <v>4242.48555405606</v>
      </c>
      <c r="M493" s="15" t="n">
        <f aca="false">L493*(1+IF(M$3&lt;=$O$2,$D493,$D493-($D493-$I$481)*MIN(M$3-$O$2,$Q$2)/$Q$2))</f>
        <v>4382.67550619219</v>
      </c>
      <c r="N493" s="15" t="n">
        <f aca="false">M493*(1+IF(N$3&lt;=$O$2,$D493,$D493-($D493-$I$481)*MIN(N$3-$O$2,$Q$2)/$Q$2))</f>
        <v>4484.79184548647</v>
      </c>
      <c r="O493" s="15" t="n">
        <f aca="false">SUMPRODUCT(E493:N493,1/(1+$F$481)^$E$3:$N$3)*$E$2</f>
        <v>4359.4085061583</v>
      </c>
      <c r="P493" s="15" t="n">
        <f aca="false">N493*$E$2*(1+$I$481)/($F$481-$I$481)/(1+$F$481)^$N$3</f>
        <v>4692.672203455</v>
      </c>
      <c r="Q493" s="15" t="n">
        <f aca="false">O493+P493</f>
        <v>9052.0807096133</v>
      </c>
      <c r="R493" s="15" t="n">
        <f aca="false">Q493-$G$2+$I$2</f>
        <v>7675.8807096133</v>
      </c>
      <c r="S493" s="42" t="n">
        <f aca="false">R493/$K$2</f>
        <v>204.635582767617</v>
      </c>
      <c r="T493" s="43" t="n">
        <f aca="false">S493-$M$2</f>
        <v>0.156777115790504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0.0712890625</v>
      </c>
      <c r="C494" s="25" t="n">
        <f aca="false">IF(T493&gt;0,D493,C493)</f>
        <v>0.072021484375</v>
      </c>
      <c r="D494" s="41" t="n">
        <f aca="false">(B494+C494)/2</f>
        <v>0.0716552734375</v>
      </c>
      <c r="E494" s="15" t="n">
        <f aca="false">$C$2*(1+IF(E$3&lt;=$O$2,$D494,$D494-($D494-$I$481)*MIN(E$3-$O$2,$Q$2)/$Q$2))</f>
        <v>2754.15405273438</v>
      </c>
      <c r="F494" s="15" t="n">
        <f aca="false">E494*(1+IF(F$3&lt;=$O$2,$D494,$D494-($D494-$I$481)*MIN(F$3-$O$2,$Q$2)/$Q$2))</f>
        <v>2951.50371447206</v>
      </c>
      <c r="G494" s="15" t="n">
        <f aca="false">F494*(1+IF(G$3&lt;=$O$2,$D494,$D494-($D494-$I$481)*MIN(G$3-$O$2,$Q$2)/$Q$2))</f>
        <v>3162.99452018435</v>
      </c>
      <c r="H494" s="15" t="n">
        <f aca="false">G494*(1+IF(H$3&lt;=$O$2,$D494,$D494-($D494-$I$481)*MIN(H$3-$O$2,$Q$2)/$Q$2))</f>
        <v>3389.63975740947</v>
      </c>
      <c r="I494" s="15" t="n">
        <f aca="false">H494*(1+IF(I$3&lt;=$O$2,$D494,$D494-($D494-$I$481)*MIN(I$3-$O$2,$Q$2)/$Q$2))</f>
        <v>3632.52532108127</v>
      </c>
      <c r="J494" s="15" t="n">
        <f aca="false">I494*(1+IF(J$3&lt;=$O$2,$D494,$D494-($D494-$I$481)*MIN(J$3-$O$2,$Q$2)/$Q$2))</f>
        <v>3857.68456519808</v>
      </c>
      <c r="K494" s="15" t="n">
        <f aca="false">J494*(1+IF(K$3&lt;=$O$2,$D494,$D494-($D494-$I$481)*MIN(K$3-$O$2,$Q$2)/$Q$2))</f>
        <v>4059.49225075866</v>
      </c>
      <c r="L494" s="15" t="n">
        <f aca="false">K494*(1+IF(L$3&lt;=$O$2,$D494,$D494-($D494-$I$481)*MIN(L$3-$O$2,$Q$2)/$Q$2))</f>
        <v>4232.59756332248</v>
      </c>
      <c r="M494" s="15" t="n">
        <f aca="false">L494*(1+IF(M$3&lt;=$O$2,$D494,$D494-($D494-$I$481)*MIN(M$3-$O$2,$Q$2)/$Q$2))</f>
        <v>4372.15076905296</v>
      </c>
      <c r="N494" s="15" t="n">
        <f aca="false">M494*(1+IF(N$3&lt;=$O$2,$D494,$D494-($D494-$I$481)*MIN(N$3-$O$2,$Q$2)/$Q$2))</f>
        <v>4474.0218819719</v>
      </c>
      <c r="O494" s="15" t="n">
        <f aca="false">SUMPRODUCT(E494:N494,1/(1+$F$481)^$E$3:$N$3)*$E$2</f>
        <v>4352.56182718968</v>
      </c>
      <c r="P494" s="15" t="n">
        <f aca="false">N494*$E$2*(1+$I$481)/($F$481-$I$481)/(1+$F$481)^$N$3</f>
        <v>4681.40302750252</v>
      </c>
      <c r="Q494" s="15" t="n">
        <f aca="false">O494+P494</f>
        <v>9033.9648546922</v>
      </c>
      <c r="R494" s="15" t="n">
        <f aca="false">Q494-$G$2+$I$2</f>
        <v>7657.7648546922</v>
      </c>
      <c r="S494" s="42" t="n">
        <f aca="false">R494/$K$2</f>
        <v>204.152622092567</v>
      </c>
      <c r="T494" s="43" t="n">
        <f aca="false">S494-$M$2</f>
        <v>-0.326183559258766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0.0716552734375</v>
      </c>
      <c r="C495" s="25" t="n">
        <f aca="false">IF(T494&gt;0,D494,C494)</f>
        <v>0.072021484375</v>
      </c>
      <c r="D495" s="41" t="n">
        <f aca="false">(B495+C495)/2</f>
        <v>0.07183837890625</v>
      </c>
      <c r="E495" s="15" t="n">
        <f aca="false">$C$2*(1+IF(E$3&lt;=$O$2,$D495,$D495-($D495-$I$481)*MIN(E$3-$O$2,$Q$2)/$Q$2))</f>
        <v>2754.62463378906</v>
      </c>
      <c r="F495" s="15" t="n">
        <f aca="false">E495*(1+IF(F$3&lt;=$O$2,$D495,$D495-($D495-$I$481)*MIN(F$3-$O$2,$Q$2)/$Q$2))</f>
        <v>2952.51240197569</v>
      </c>
      <c r="G495" s="15" t="n">
        <f aca="false">F495*(1+IF(G$3&lt;=$O$2,$D495,$D495-($D495-$I$481)*MIN(G$3-$O$2,$Q$2)/$Q$2))</f>
        <v>3164.61610663422</v>
      </c>
      <c r="H495" s="15" t="n">
        <f aca="false">G495*(1+IF(H$3&lt;=$O$2,$D495,$D495-($D495-$I$481)*MIN(H$3-$O$2,$Q$2)/$Q$2))</f>
        <v>3391.95699759543</v>
      </c>
      <c r="I495" s="15" t="n">
        <f aca="false">H495*(1+IF(I$3&lt;=$O$2,$D495,$D495-($D495-$I$481)*MIN(I$3-$O$2,$Q$2)/$Q$2))</f>
        <v>3635.6296896224</v>
      </c>
      <c r="J495" s="15" t="n">
        <f aca="false">I495*(1+IF(J$3&lt;=$O$2,$D495,$D495-($D495-$I$481)*MIN(J$3-$O$2,$Q$2)/$Q$2))</f>
        <v>3861.51391854077</v>
      </c>
      <c r="K495" s="15" t="n">
        <f aca="false">J495*(1+IF(K$3&lt;=$O$2,$D495,$D495-($D495-$I$481)*MIN(K$3-$O$2,$Q$2)/$Q$2))</f>
        <v>4063.9461682807</v>
      </c>
      <c r="L495" s="15" t="n">
        <f aca="false">K495*(1+IF(L$3&lt;=$O$2,$D495,$D495-($D495-$I$481)*MIN(L$3-$O$2,$Q$2)/$Q$2))</f>
        <v>4237.53905758989</v>
      </c>
      <c r="M495" s="15" t="n">
        <f aca="false">L495*(1+IF(M$3&lt;=$O$2,$D495,$D495-($D495-$I$481)*MIN(M$3-$O$2,$Q$2)/$Q$2))</f>
        <v>4377.4103729132</v>
      </c>
      <c r="N495" s="15" t="n">
        <f aca="false">M495*(1+IF(N$3&lt;=$O$2,$D495,$D495-($D495-$I$481)*MIN(N$3-$O$2,$Q$2)/$Q$2))</f>
        <v>4479.40403460208</v>
      </c>
      <c r="O495" s="15" t="n">
        <f aca="false">SUMPRODUCT(E495:N495,1/(1+$F$481)^$E$3:$N$3)*$E$2</f>
        <v>4355.98381349307</v>
      </c>
      <c r="P495" s="15" t="n">
        <f aca="false">N495*$E$2*(1+$I$481)/($F$481-$I$481)/(1+$F$481)^$N$3</f>
        <v>4687.03465521514</v>
      </c>
      <c r="Q495" s="15" t="n">
        <f aca="false">O495+P495</f>
        <v>9043.01846870821</v>
      </c>
      <c r="R495" s="15" t="n">
        <f aca="false">Q495-$G$2+$I$2</f>
        <v>7666.81846870821</v>
      </c>
      <c r="S495" s="42" t="n">
        <f aca="false">R495/$K$2</f>
        <v>204.393987435569</v>
      </c>
      <c r="T495" s="43" t="n">
        <f aca="false">S495-$M$2</f>
        <v>-0.0848182162567071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0.07183837890625</v>
      </c>
      <c r="C496" s="25" t="n">
        <f aca="false">IF(T495&gt;0,D495,C495)</f>
        <v>0.072021484375</v>
      </c>
      <c r="D496" s="41" t="n">
        <f aca="false">(B496+C496)/2</f>
        <v>0.071929931640625</v>
      </c>
      <c r="E496" s="15" t="n">
        <f aca="false">$C$2*(1+IF(E$3&lt;=$O$2,$D496,$D496-($D496-$I$481)*MIN(E$3-$O$2,$Q$2)/$Q$2))</f>
        <v>2754.85992431641</v>
      </c>
      <c r="F496" s="15" t="n">
        <f aca="false">E496*(1+IF(F$3&lt;=$O$2,$D496,$D496-($D496-$I$481)*MIN(F$3-$O$2,$Q$2)/$Q$2))</f>
        <v>2953.01681035198</v>
      </c>
      <c r="G496" s="15" t="n">
        <f aca="false">F496*(1+IF(G$3&lt;=$O$2,$D496,$D496-($D496-$I$481)*MIN(G$3-$O$2,$Q$2)/$Q$2))</f>
        <v>3165.42710765422</v>
      </c>
      <c r="H496" s="15" t="n">
        <f aca="false">G496*(1+IF(H$3&lt;=$O$2,$D496,$D496-($D496-$I$481)*MIN(H$3-$O$2,$Q$2)/$Q$2))</f>
        <v>3393.11606312117</v>
      </c>
      <c r="I496" s="15" t="n">
        <f aca="false">H496*(1+IF(I$3&lt;=$O$2,$D496,$D496-($D496-$I$481)*MIN(I$3-$O$2,$Q$2)/$Q$2))</f>
        <v>3637.18266959018</v>
      </c>
      <c r="J496" s="15" t="n">
        <f aca="false">I496*(1+IF(J$3&lt;=$O$2,$D496,$D496-($D496-$I$481)*MIN(J$3-$O$2,$Q$2)/$Q$2))</f>
        <v>3863.42978146094</v>
      </c>
      <c r="K496" s="15" t="n">
        <f aca="false">J496*(1+IF(K$3&lt;=$O$2,$D496,$D496-($D496-$I$481)*MIN(K$3-$O$2,$Q$2)/$Q$2))</f>
        <v>4066.17469107146</v>
      </c>
      <c r="L496" s="15" t="n">
        <f aca="false">K496*(1+IF(L$3&lt;=$O$2,$D496,$D496-($D496-$I$481)*MIN(L$3-$O$2,$Q$2)/$Q$2))</f>
        <v>4240.01168027968</v>
      </c>
      <c r="M496" s="15" t="n">
        <f aca="false">L496*(1+IF(M$3&lt;=$O$2,$D496,$D496-($D496-$I$481)*MIN(M$3-$O$2,$Q$2)/$Q$2))</f>
        <v>4380.04224806369</v>
      </c>
      <c r="N496" s="15" t="n">
        <f aca="false">M496*(1+IF(N$3&lt;=$O$2,$D496,$D496-($D496-$I$481)*MIN(N$3-$O$2,$Q$2)/$Q$2))</f>
        <v>4482.09723244357</v>
      </c>
      <c r="O496" s="15" t="n">
        <f aca="false">SUMPRODUCT(E496:N496,1/(1+$F$481)^$E$3:$N$3)*$E$2</f>
        <v>4357.69582140549</v>
      </c>
      <c r="P496" s="15" t="n">
        <f aca="false">N496*$E$2*(1+$I$481)/($F$481-$I$481)/(1+$F$481)^$N$3</f>
        <v>4689.85268893546</v>
      </c>
      <c r="Q496" s="15" t="n">
        <f aca="false">O496+P496</f>
        <v>9047.54851034095</v>
      </c>
      <c r="R496" s="15" t="n">
        <f aca="false">Q496-$G$2+$I$2</f>
        <v>7671.34851034095</v>
      </c>
      <c r="S496" s="42" t="n">
        <f aca="false">R496/$K$2</f>
        <v>204.514756340734</v>
      </c>
      <c r="T496" s="43" t="n">
        <f aca="false">S496-$M$2</f>
        <v>0.0359506889083434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0.07183837890625</v>
      </c>
      <c r="C497" s="25" t="n">
        <f aca="false">IF(T496&gt;0,D496,C496)</f>
        <v>0.071929931640625</v>
      </c>
      <c r="D497" s="41" t="n">
        <f aca="false">(B497+C497)/2</f>
        <v>0.0718841552734375</v>
      </c>
      <c r="E497" s="15" t="n">
        <f aca="false">$C$2*(1+IF(E$3&lt;=$O$2,$D497,$D497-($D497-$I$481)*MIN(E$3-$O$2,$Q$2)/$Q$2))</f>
        <v>2754.74227905273</v>
      </c>
      <c r="F497" s="15" t="n">
        <f aca="false">E497*(1+IF(F$3&lt;=$O$2,$D497,$D497-($D497-$I$481)*MIN(F$3-$O$2,$Q$2)/$Q$2))</f>
        <v>2952.76460077846</v>
      </c>
      <c r="G497" s="15" t="n">
        <f aca="false">F497*(1+IF(G$3&lt;=$O$2,$D497,$D497-($D497-$I$481)*MIN(G$3-$O$2,$Q$2)/$Q$2))</f>
        <v>3165.02158982673</v>
      </c>
      <c r="H497" s="15" t="n">
        <f aca="false">G497*(1+IF(H$3&lt;=$O$2,$D497,$D497-($D497-$I$481)*MIN(H$3-$O$2,$Q$2)/$Q$2))</f>
        <v>3392.53649323362</v>
      </c>
      <c r="I497" s="15" t="n">
        <f aca="false">H497*(1+IF(I$3&lt;=$O$2,$D497,$D497-($D497-$I$481)*MIN(I$3-$O$2,$Q$2)/$Q$2))</f>
        <v>3636.40611328403</v>
      </c>
      <c r="J497" s="15" t="n">
        <f aca="false">I497*(1+IF(J$3&lt;=$O$2,$D497,$D497-($D497-$I$481)*MIN(J$3-$O$2,$Q$2)/$Q$2))</f>
        <v>3862.4717511196</v>
      </c>
      <c r="K497" s="15" t="n">
        <f aca="false">J497*(1+IF(K$3&lt;=$O$2,$D497,$D497-($D497-$I$481)*MIN(K$3-$O$2,$Q$2)/$Q$2))</f>
        <v>4065.06029929808</v>
      </c>
      <c r="L497" s="15" t="n">
        <f aca="false">K497*(1+IF(L$3&lt;=$O$2,$D497,$D497-($D497-$I$481)*MIN(L$3-$O$2,$Q$2)/$Q$2))</f>
        <v>4238.77521258252</v>
      </c>
      <c r="M497" s="15" t="n">
        <f aca="false">L497*(1+IF(M$3&lt;=$O$2,$D497,$D497-($D497-$I$481)*MIN(M$3-$O$2,$Q$2)/$Q$2))</f>
        <v>4378.72613765516</v>
      </c>
      <c r="N497" s="15" t="n">
        <f aca="false">M497*(1+IF(N$3&lt;=$O$2,$D497,$D497-($D497-$I$481)*MIN(N$3-$O$2,$Q$2)/$Q$2))</f>
        <v>4480.75045666252</v>
      </c>
      <c r="O497" s="15" t="n">
        <f aca="false">SUMPRODUCT(E497:N497,1/(1+$F$481)^$E$3:$N$3)*$E$2</f>
        <v>4356.83973285985</v>
      </c>
      <c r="P497" s="15" t="n">
        <f aca="false">N497*$E$2*(1+$I$481)/($F$481-$I$481)/(1+$F$481)^$N$3</f>
        <v>4688.44348701712</v>
      </c>
      <c r="Q497" s="15" t="n">
        <f aca="false">O497+P497</f>
        <v>9045.28321987697</v>
      </c>
      <c r="R497" s="15" t="n">
        <f aca="false">Q497-$G$2+$I$2</f>
        <v>7669.08321987697</v>
      </c>
      <c r="S497" s="42" t="n">
        <f aca="false">R497/$K$2</f>
        <v>204.454364699466</v>
      </c>
      <c r="T497" s="43" t="n">
        <f aca="false">S497-$M$2</f>
        <v>-0.0244409523600098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0.0718841552734375</v>
      </c>
      <c r="C498" s="25" t="n">
        <f aca="false">IF(T497&gt;0,D497,C497)</f>
        <v>0.071929931640625</v>
      </c>
      <c r="D498" s="41" t="n">
        <f aca="false">(B498+C498)/2</f>
        <v>0.0719070434570313</v>
      </c>
      <c r="E498" s="15" t="n">
        <f aca="false">$C$2*(1+IF(E$3&lt;=$O$2,$D498,$D498-($D498-$I$481)*MIN(E$3-$O$2,$Q$2)/$Q$2))</f>
        <v>2754.80110168457</v>
      </c>
      <c r="F498" s="15" t="n">
        <f aca="false">E498*(1+IF(F$3&lt;=$O$2,$D498,$D498-($D498-$I$481)*MIN(F$3-$O$2,$Q$2)/$Q$2))</f>
        <v>2952.89070421888</v>
      </c>
      <c r="G498" s="15" t="n">
        <f aca="false">F498*(1+IF(G$3&lt;=$O$2,$D498,$D498-($D498-$I$481)*MIN(G$3-$O$2,$Q$2)/$Q$2))</f>
        <v>3165.22434441101</v>
      </c>
      <c r="H498" s="15" t="n">
        <f aca="false">G498*(1+IF(H$3&lt;=$O$2,$D498,$D498-($D498-$I$481)*MIN(H$3-$O$2,$Q$2)/$Q$2))</f>
        <v>3392.82626889583</v>
      </c>
      <c r="I498" s="15" t="n">
        <f aca="false">H498*(1+IF(I$3&lt;=$O$2,$D498,$D498-($D498-$I$481)*MIN(I$3-$O$2,$Q$2)/$Q$2))</f>
        <v>3636.79437485548</v>
      </c>
      <c r="J498" s="15" t="n">
        <f aca="false">I498*(1+IF(J$3&lt;=$O$2,$D498,$D498-($D498-$I$481)*MIN(J$3-$O$2,$Q$2)/$Q$2))</f>
        <v>3862.95074156792</v>
      </c>
      <c r="K498" s="15" t="n">
        <f aca="false">J498*(1+IF(K$3&lt;=$O$2,$D498,$D498-($D498-$I$481)*MIN(K$3-$O$2,$Q$2)/$Q$2))</f>
        <v>4065.61746258711</v>
      </c>
      <c r="L498" s="15" t="n">
        <f aca="false">K498*(1+IF(L$3&lt;=$O$2,$D498,$D498-($D498-$I$481)*MIN(L$3-$O$2,$Q$2)/$Q$2))</f>
        <v>4239.39340733884</v>
      </c>
      <c r="M498" s="15" t="n">
        <f aca="false">L498*(1+IF(M$3&lt;=$O$2,$D498,$D498-($D498-$I$481)*MIN(M$3-$O$2,$Q$2)/$Q$2))</f>
        <v>4379.38414964623</v>
      </c>
      <c r="N498" s="15" t="n">
        <f aca="false">M498*(1+IF(N$3&lt;=$O$2,$D498,$D498-($D498-$I$481)*MIN(N$3-$O$2,$Q$2)/$Q$2))</f>
        <v>4481.42380033299</v>
      </c>
      <c r="O498" s="15" t="n">
        <f aca="false">SUMPRODUCT(E498:N498,1/(1+$F$481)^$E$3:$N$3)*$E$2</f>
        <v>4357.26775598336</v>
      </c>
      <c r="P498" s="15" t="n">
        <f aca="false">N498*$E$2*(1+$I$481)/($F$481-$I$481)/(1+$F$481)^$N$3</f>
        <v>4689.14804170653</v>
      </c>
      <c r="Q498" s="15" t="n">
        <f aca="false">O498+P498</f>
        <v>9046.41579768989</v>
      </c>
      <c r="R498" s="15" t="n">
        <f aca="false">Q498-$G$2+$I$2</f>
        <v>7670.21579768989</v>
      </c>
      <c r="S498" s="42" t="n">
        <f aca="false">R498/$K$2</f>
        <v>204.484558722738</v>
      </c>
      <c r="T498" s="43" t="n">
        <f aca="false">S498-$M$2</f>
        <v>0.00575307091168043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0.0718841552734375</v>
      </c>
      <c r="C499" s="25" t="n">
        <f aca="false">IF(T498&gt;0,D498,C498)</f>
        <v>0.0719070434570313</v>
      </c>
      <c r="D499" s="41" t="n">
        <f aca="false">(B499+C499)/2</f>
        <v>0.0718955993652344</v>
      </c>
      <c r="E499" s="15" t="n">
        <f aca="false">$C$2*(1+IF(E$3&lt;=$O$2,$D499,$D499-($D499-$I$481)*MIN(E$3-$O$2,$Q$2)/$Q$2))</f>
        <v>2754.77169036865</v>
      </c>
      <c r="F499" s="15" t="n">
        <f aca="false">E499*(1+IF(F$3&lt;=$O$2,$D499,$D499-($D499-$I$481)*MIN(F$3-$O$2,$Q$2)/$Q$2))</f>
        <v>2952.82765216209</v>
      </c>
      <c r="G499" s="15" t="n">
        <f aca="false">F499*(1+IF(G$3&lt;=$O$2,$D499,$D499-($D499-$I$481)*MIN(G$3-$O$2,$Q$2)/$Q$2))</f>
        <v>3165.12296603652</v>
      </c>
      <c r="H499" s="15" t="n">
        <f aca="false">G499*(1+IF(H$3&lt;=$O$2,$D499,$D499-($D499-$I$481)*MIN(H$3-$O$2,$Q$2)/$Q$2))</f>
        <v>3392.68137874438</v>
      </c>
      <c r="I499" s="15" t="n">
        <f aca="false">H499*(1+IF(I$3&lt;=$O$2,$D499,$D499-($D499-$I$481)*MIN(I$3-$O$2,$Q$2)/$Q$2))</f>
        <v>3636.60023992448</v>
      </c>
      <c r="J499" s="15" t="n">
        <f aca="false">I499*(1+IF(J$3&lt;=$O$2,$D499,$D499-($D499-$I$481)*MIN(J$3-$O$2,$Q$2)/$Q$2))</f>
        <v>3862.71124016343</v>
      </c>
      <c r="K499" s="15" t="n">
        <f aca="false">J499*(1+IF(K$3&lt;=$O$2,$D499,$D499-($D499-$I$481)*MIN(K$3-$O$2,$Q$2)/$Q$2))</f>
        <v>4065.33887279358</v>
      </c>
      <c r="L499" s="15" t="n">
        <f aca="false">K499*(1+IF(L$3&lt;=$O$2,$D499,$D499-($D499-$I$481)*MIN(L$3-$O$2,$Q$2)/$Q$2))</f>
        <v>4239.08430018814</v>
      </c>
      <c r="M499" s="15" t="n">
        <f aca="false">L499*(1+IF(M$3&lt;=$O$2,$D499,$D499-($D499-$I$481)*MIN(M$3-$O$2,$Q$2)/$Q$2))</f>
        <v>4379.05513284801</v>
      </c>
      <c r="N499" s="15" t="n">
        <f aca="false">M499*(1+IF(N$3&lt;=$O$2,$D499,$D499-($D499-$I$481)*MIN(N$3-$O$2,$Q$2)/$Q$2))</f>
        <v>4481.08711744337</v>
      </c>
      <c r="O499" s="15" t="n">
        <f aca="false">SUMPRODUCT(E499:N499,1/(1+$F$481)^$E$3:$N$3)*$E$2</f>
        <v>4357.05373913452</v>
      </c>
      <c r="P499" s="15" t="n">
        <f aca="false">N499*$E$2*(1+$I$481)/($F$481-$I$481)/(1+$F$481)^$N$3</f>
        <v>4688.79575279504</v>
      </c>
      <c r="Q499" s="15" t="n">
        <f aca="false">O499+P499</f>
        <v>9045.84949192956</v>
      </c>
      <c r="R499" s="15" t="n">
        <f aca="false">Q499-$G$2+$I$2</f>
        <v>7669.64949192956</v>
      </c>
      <c r="S499" s="42" t="n">
        <f aca="false">R499/$K$2</f>
        <v>204.469461261785</v>
      </c>
      <c r="T499" s="43" t="n">
        <f aca="false">S499-$M$2</f>
        <v>-0.00934439004089427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0.0718955993652344</v>
      </c>
      <c r="C500" s="25" t="n">
        <f aca="false">IF(T499&gt;0,D499,C499)</f>
        <v>0.0719070434570313</v>
      </c>
      <c r="D500" s="41" t="n">
        <f aca="false">(B500+C500)/2</f>
        <v>0.0719013214111328</v>
      </c>
      <c r="E500" s="15" t="n">
        <f aca="false">$C$2*(1+IF(E$3&lt;=$O$2,$D500,$D500-($D500-$I$481)*MIN(E$3-$O$2,$Q$2)/$Q$2))</f>
        <v>2754.78639602661</v>
      </c>
      <c r="F500" s="15" t="n">
        <f aca="false">E500*(1+IF(F$3&lt;=$O$2,$D500,$D500-($D500-$I$481)*MIN(F$3-$O$2,$Q$2)/$Q$2))</f>
        <v>2952.85917810634</v>
      </c>
      <c r="G500" s="15" t="n">
        <f aca="false">F500*(1+IF(G$3&lt;=$O$2,$D500,$D500-($D500-$I$481)*MIN(G$3-$O$2,$Q$2)/$Q$2))</f>
        <v>3165.17365495317</v>
      </c>
      <c r="H500" s="15" t="n">
        <f aca="false">G500*(1+IF(H$3&lt;=$O$2,$D500,$D500-($D500-$I$481)*MIN(H$3-$O$2,$Q$2)/$Q$2))</f>
        <v>3392.75382324001</v>
      </c>
      <c r="I500" s="15" t="n">
        <f aca="false">H500*(1+IF(I$3&lt;=$O$2,$D500,$D500-($D500-$I$481)*MIN(I$3-$O$2,$Q$2)/$Q$2))</f>
        <v>3636.69730635364</v>
      </c>
      <c r="J500" s="15" t="n">
        <f aca="false">I500*(1+IF(J$3&lt;=$O$2,$D500,$D500-($D500-$I$481)*MIN(J$3-$O$2,$Q$2)/$Q$2))</f>
        <v>3862.83098932056</v>
      </c>
      <c r="K500" s="15" t="n">
        <f aca="false">J500*(1+IF(K$3&lt;=$O$2,$D500,$D500-($D500-$I$481)*MIN(K$3-$O$2,$Q$2)/$Q$2))</f>
        <v>4065.47816565304</v>
      </c>
      <c r="L500" s="15" t="n">
        <f aca="false">K500*(1+IF(L$3&lt;=$O$2,$D500,$D500-($D500-$I$481)*MIN(L$3-$O$2,$Q$2)/$Q$2))</f>
        <v>4239.23885132029</v>
      </c>
      <c r="M500" s="15" t="n">
        <f aca="false">L500*(1+IF(M$3&lt;=$O$2,$D500,$D500-($D500-$I$481)*MIN(M$3-$O$2,$Q$2)/$Q$2))</f>
        <v>4379.21963854637</v>
      </c>
      <c r="N500" s="15" t="n">
        <f aca="false">M500*(1+IF(N$3&lt;=$O$2,$D500,$D500-($D500-$I$481)*MIN(N$3-$O$2,$Q$2)/$Q$2))</f>
        <v>4481.2554561245</v>
      </c>
      <c r="O500" s="15" t="n">
        <f aca="false">SUMPRODUCT(E500:N500,1/(1+$F$481)^$E$3:$N$3)*$E$2</f>
        <v>4357.16074623714</v>
      </c>
      <c r="P500" s="15" t="n">
        <f aca="false">N500*$E$2*(1+$I$481)/($F$481-$I$481)/(1+$F$481)^$N$3</f>
        <v>4688.97189435901</v>
      </c>
      <c r="Q500" s="15" t="n">
        <f aca="false">O500+P500</f>
        <v>9046.13264059615</v>
      </c>
      <c r="R500" s="15" t="n">
        <f aca="false">Q500-$G$2+$I$2</f>
        <v>7669.93264059615</v>
      </c>
      <c r="S500" s="42" t="n">
        <f aca="false">R500/$K$2</f>
        <v>204.477009879929</v>
      </c>
      <c r="T500" s="43" t="n">
        <f aca="false">S500-$M$2</f>
        <v>-0.00179577189678071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0.0719013214111328</v>
      </c>
      <c r="C501" s="25" t="n">
        <f aca="false">IF(T500&gt;0,D500,C500)</f>
        <v>0.0719070434570313</v>
      </c>
      <c r="D501" s="41" t="n">
        <f aca="false">(B501+C501)/2</f>
        <v>0.071904182434082</v>
      </c>
      <c r="E501" s="15" t="n">
        <f aca="false">$C$2*(1+IF(E$3&lt;=$O$2,$D501,$D501-($D501-$I$481)*MIN(E$3-$O$2,$Q$2)/$Q$2))</f>
        <v>2754.79374885559</v>
      </c>
      <c r="F501" s="15" t="n">
        <f aca="false">E501*(1+IF(F$3&lt;=$O$2,$D501,$D501-($D501-$I$481)*MIN(F$3-$O$2,$Q$2)/$Q$2))</f>
        <v>2952.87494114157</v>
      </c>
      <c r="G501" s="15" t="n">
        <f aca="false">F501*(1+IF(G$3&lt;=$O$2,$D501,$D501-($D501-$I$481)*MIN(G$3-$O$2,$Q$2)/$Q$2))</f>
        <v>3165.19899961445</v>
      </c>
      <c r="H501" s="15" t="n">
        <f aca="false">G501*(1+IF(H$3&lt;=$O$2,$D501,$D501-($D501-$I$481)*MIN(H$3-$O$2,$Q$2)/$Q$2))</f>
        <v>3392.7900459229</v>
      </c>
      <c r="I501" s="15" t="n">
        <f aca="false">H501*(1+IF(I$3&lt;=$O$2,$D501,$D501-($D501-$I$481)*MIN(I$3-$O$2,$Q$2)/$Q$2))</f>
        <v>3636.74584034547</v>
      </c>
      <c r="J501" s="15" t="n">
        <f aca="false">I501*(1+IF(J$3&lt;=$O$2,$D501,$D501-($D501-$I$481)*MIN(J$3-$O$2,$Q$2)/$Q$2))</f>
        <v>3862.89086505796</v>
      </c>
      <c r="K501" s="15" t="n">
        <f aca="false">J501*(1+IF(K$3&lt;=$O$2,$D501,$D501-($D501-$I$481)*MIN(K$3-$O$2,$Q$2)/$Q$2))</f>
        <v>4065.54781361074</v>
      </c>
      <c r="L501" s="15" t="n">
        <f aca="false">K501*(1+IF(L$3&lt;=$O$2,$D501,$D501-($D501-$I$481)*MIN(L$3-$O$2,$Q$2)/$Q$2))</f>
        <v>4239.31612871876</v>
      </c>
      <c r="M501" s="15" t="n">
        <f aca="false">L501*(1+IF(M$3&lt;=$O$2,$D501,$D501-($D501-$I$481)*MIN(M$3-$O$2,$Q$2)/$Q$2))</f>
        <v>4379.3018934211</v>
      </c>
      <c r="N501" s="15" t="n">
        <f aca="false">M501*(1+IF(N$3&lt;=$O$2,$D501,$D501-($D501-$I$481)*MIN(N$3-$O$2,$Q$2)/$Q$2))</f>
        <v>4481.33962753782</v>
      </c>
      <c r="O501" s="15" t="n">
        <f aca="false">SUMPRODUCT(E501:N501,1/(1+$F$481)^$E$3:$N$3)*$E$2</f>
        <v>4357.2142507798</v>
      </c>
      <c r="P501" s="15" t="n">
        <f aca="false">N501*$E$2*(1+$I$481)/($F$481-$I$481)/(1+$F$481)^$N$3</f>
        <v>4689.05996730981</v>
      </c>
      <c r="Q501" s="15" t="n">
        <f aca="false">O501+P501</f>
        <v>9046.27421808961</v>
      </c>
      <c r="R501" s="15" t="n">
        <f aca="false">Q501-$G$2+$I$2</f>
        <v>7670.07421808961</v>
      </c>
      <c r="S501" s="42" t="n">
        <f aca="false">R501/$K$2</f>
        <v>204.48078427325</v>
      </c>
      <c r="T501" s="43" t="n">
        <f aca="false">S501-$M$2</f>
        <v>0.00197862142397298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0.0719013214111328</v>
      </c>
      <c r="C502" s="25" t="n">
        <f aca="false">IF(T501&gt;0,D501,C501)</f>
        <v>0.071904182434082</v>
      </c>
      <c r="D502" s="41" t="n">
        <f aca="false">(B502+C502)/2</f>
        <v>0.0719027519226074</v>
      </c>
      <c r="E502" s="15" t="n">
        <f aca="false">$C$2*(1+IF(E$3&lt;=$O$2,$D502,$D502-($D502-$I$481)*MIN(E$3-$O$2,$Q$2)/$Q$2))</f>
        <v>2754.7900724411</v>
      </c>
      <c r="F502" s="15" t="n">
        <f aca="false">E502*(1+IF(F$3&lt;=$O$2,$D502,$D502-($D502-$I$481)*MIN(F$3-$O$2,$Q$2)/$Q$2))</f>
        <v>2952.8670596187</v>
      </c>
      <c r="G502" s="15" t="n">
        <f aca="false">F502*(1+IF(G$3&lt;=$O$2,$D502,$D502-($D502-$I$481)*MIN(G$3-$O$2,$Q$2)/$Q$2))</f>
        <v>3165.1863272669</v>
      </c>
      <c r="H502" s="15" t="n">
        <f aca="false">G502*(1+IF(H$3&lt;=$O$2,$D502,$D502-($D502-$I$481)*MIN(H$3-$O$2,$Q$2)/$Q$2))</f>
        <v>3392.7719345452</v>
      </c>
      <c r="I502" s="15" t="n">
        <f aca="false">H502*(1+IF(I$3&lt;=$O$2,$D502,$D502-($D502-$I$481)*MIN(I$3-$O$2,$Q$2)/$Q$2))</f>
        <v>3636.72157328479</v>
      </c>
      <c r="J502" s="15" t="n">
        <f aca="false">I502*(1+IF(J$3&lt;=$O$2,$D502,$D502-($D502-$I$481)*MIN(J$3-$O$2,$Q$2)/$Q$2))</f>
        <v>3862.86092709269</v>
      </c>
      <c r="K502" s="15" t="n">
        <f aca="false">J502*(1+IF(K$3&lt;=$O$2,$D502,$D502-($D502-$I$481)*MIN(K$3-$O$2,$Q$2)/$Q$2))</f>
        <v>4065.51298950456</v>
      </c>
      <c r="L502" s="15" t="n">
        <f aca="false">K502*(1+IF(L$3&lt;=$O$2,$D502,$D502-($D502-$I$481)*MIN(L$3-$O$2,$Q$2)/$Q$2))</f>
        <v>4239.27748986683</v>
      </c>
      <c r="M502" s="15" t="n">
        <f aca="false">L502*(1+IF(M$3&lt;=$O$2,$D502,$D502-($D502-$I$481)*MIN(M$3-$O$2,$Q$2)/$Q$2))</f>
        <v>4379.26076581494</v>
      </c>
      <c r="N502" s="15" t="n">
        <f aca="false">M502*(1+IF(N$3&lt;=$O$2,$D502,$D502-($D502-$I$481)*MIN(N$3-$O$2,$Q$2)/$Q$2))</f>
        <v>4481.29754165843</v>
      </c>
      <c r="O502" s="15" t="n">
        <f aca="false">SUMPRODUCT(E502:N502,1/(1+$F$481)^$E$3:$N$3)*$E$2</f>
        <v>4357.18749842586</v>
      </c>
      <c r="P502" s="15" t="n">
        <f aca="false">N502*$E$2*(1+$I$481)/($F$481-$I$481)/(1+$F$481)^$N$3</f>
        <v>4689.01593065367</v>
      </c>
      <c r="Q502" s="15" t="n">
        <f aca="false">O502+P502</f>
        <v>9046.20342907953</v>
      </c>
      <c r="R502" s="15" t="n">
        <f aca="false">Q502-$G$2+$I$2</f>
        <v>7670.00342907953</v>
      </c>
      <c r="S502" s="42" t="n">
        <f aca="false">R502/$K$2</f>
        <v>204.478897069569</v>
      </c>
      <c r="T502" s="43" t="n">
        <f aca="false">S502-$M$2</f>
        <v>9.1417742851263E-005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0.0719013214111328</v>
      </c>
      <c r="C503" s="25" t="n">
        <f aca="false">IF(T502&gt;0,D502,C502)</f>
        <v>0.0719027519226074</v>
      </c>
      <c r="D503" s="41" t="n">
        <f aca="false">(B503+C503)/2</f>
        <v>0.0719020366668701</v>
      </c>
      <c r="E503" s="15" t="n">
        <f aca="false">$C$2*(1+IF(E$3&lt;=$O$2,$D503,$D503-($D503-$I$481)*MIN(E$3-$O$2,$Q$2)/$Q$2))</f>
        <v>2754.78823423386</v>
      </c>
      <c r="F503" s="15" t="n">
        <f aca="false">E503*(1+IF(F$3&lt;=$O$2,$D503,$D503-($D503-$I$481)*MIN(F$3-$O$2,$Q$2)/$Q$2))</f>
        <v>2952.8631188612</v>
      </c>
      <c r="G503" s="15" t="n">
        <f aca="false">F503*(1+IF(G$3&lt;=$O$2,$D503,$D503-($D503-$I$481)*MIN(G$3-$O$2,$Q$2)/$Q$2))</f>
        <v>3165.17999110581</v>
      </c>
      <c r="H503" s="15" t="n">
        <f aca="false">G503*(1+IF(H$3&lt;=$O$2,$D503,$D503-($D503-$I$481)*MIN(H$3-$O$2,$Q$2)/$Q$2))</f>
        <v>3392.76287888354</v>
      </c>
      <c r="I503" s="15" t="n">
        <f aca="false">H503*(1+IF(I$3&lt;=$O$2,$D503,$D503-($D503-$I$481)*MIN(I$3-$O$2,$Q$2)/$Q$2))</f>
        <v>3636.70943980302</v>
      </c>
      <c r="J503" s="15" t="n">
        <f aca="false">I503*(1+IF(J$3&lt;=$O$2,$D503,$D503-($D503-$I$481)*MIN(J$3-$O$2,$Q$2)/$Q$2))</f>
        <v>3862.84595818248</v>
      </c>
      <c r="K503" s="15" t="n">
        <f aca="false">J503*(1+IF(K$3&lt;=$O$2,$D503,$D503-($D503-$I$481)*MIN(K$3-$O$2,$Q$2)/$Q$2))</f>
        <v>4065.49557754697</v>
      </c>
      <c r="L503" s="15" t="n">
        <f aca="false">K503*(1+IF(L$3&lt;=$O$2,$D503,$D503-($D503-$I$481)*MIN(L$3-$O$2,$Q$2)/$Q$2))</f>
        <v>4239.25817055538</v>
      </c>
      <c r="M503" s="15" t="n">
        <f aca="false">L503*(1+IF(M$3&lt;=$O$2,$D503,$D503-($D503-$I$481)*MIN(M$3-$O$2,$Q$2)/$Q$2))</f>
        <v>4379.24020213846</v>
      </c>
      <c r="N503" s="15" t="n">
        <f aca="false">M503*(1+IF(N$3&lt;=$O$2,$D503,$D503-($D503-$I$481)*MIN(N$3-$O$2,$Q$2)/$Q$2))</f>
        <v>4481.27649884828</v>
      </c>
      <c r="O503" s="15" t="n">
        <f aca="false">SUMPRODUCT(E503:N503,1/(1+$F$481)^$E$3:$N$3)*$E$2</f>
        <v>4357.17412231085</v>
      </c>
      <c r="P503" s="15" t="n">
        <f aca="false">N503*$E$2*(1+$I$481)/($F$481-$I$481)/(1+$F$481)^$N$3</f>
        <v>4688.99391246116</v>
      </c>
      <c r="Q503" s="15" t="n">
        <f aca="false">O503+P503</f>
        <v>9046.168034772</v>
      </c>
      <c r="R503" s="15" t="n">
        <f aca="false">Q503-$G$2+$I$2</f>
        <v>7669.968034772</v>
      </c>
      <c r="S503" s="42" t="n">
        <f aca="false">R503/$K$2</f>
        <v>204.477953472994</v>
      </c>
      <c r="T503" s="43" t="n">
        <f aca="false">S503-$M$2</f>
        <v>-0.00085217883219002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0.0719020366668701</v>
      </c>
      <c r="C504" s="25" t="n">
        <f aca="false">IF(T503&gt;0,D503,C503)</f>
        <v>0.0719027519226074</v>
      </c>
      <c r="D504" s="41" t="n">
        <f aca="false">(B504+C504)/2</f>
        <v>0.0719023942947388</v>
      </c>
      <c r="E504" s="15" t="n">
        <f aca="false">$C$2*(1+IF(E$3&lt;=$O$2,$D504,$D504-($D504-$I$481)*MIN(E$3-$O$2,$Q$2)/$Q$2))</f>
        <v>2754.78915333748</v>
      </c>
      <c r="F504" s="15" t="n">
        <f aca="false">E504*(1+IF(F$3&lt;=$O$2,$D504,$D504-($D504-$I$481)*MIN(F$3-$O$2,$Q$2)/$Q$2))</f>
        <v>2952.86508923962</v>
      </c>
      <c r="G504" s="15" t="n">
        <f aca="false">F504*(1+IF(G$3&lt;=$O$2,$D504,$D504-($D504-$I$481)*MIN(G$3-$O$2,$Q$2)/$Q$2))</f>
        <v>3165.1831591853</v>
      </c>
      <c r="H504" s="15" t="n">
        <f aca="false">G504*(1+IF(H$3&lt;=$O$2,$D504,$D504-($D504-$I$481)*MIN(H$3-$O$2,$Q$2)/$Q$2))</f>
        <v>3392.7674067121</v>
      </c>
      <c r="I504" s="15" t="n">
        <f aca="false">H504*(1+IF(I$3&lt;=$O$2,$D504,$D504-($D504-$I$481)*MIN(I$3-$O$2,$Q$2)/$Q$2))</f>
        <v>3636.71550653986</v>
      </c>
      <c r="J504" s="15" t="n">
        <f aca="false">I504*(1+IF(J$3&lt;=$O$2,$D504,$D504-($D504-$I$481)*MIN(J$3-$O$2,$Q$2)/$Q$2))</f>
        <v>3862.85344263155</v>
      </c>
      <c r="K504" s="15" t="n">
        <f aca="false">J504*(1+IF(K$3&lt;=$O$2,$D504,$D504-($D504-$I$481)*MIN(K$3-$O$2,$Q$2)/$Q$2))</f>
        <v>4065.5042835178</v>
      </c>
      <c r="L504" s="15" t="n">
        <f aca="false">K504*(1+IF(L$3&lt;=$O$2,$D504,$D504-($D504-$I$481)*MIN(L$3-$O$2,$Q$2)/$Q$2))</f>
        <v>4239.26783020156</v>
      </c>
      <c r="M504" s="15" t="n">
        <f aca="false">L504*(1+IF(M$3&lt;=$O$2,$D504,$D504-($D504-$I$481)*MIN(M$3-$O$2,$Q$2)/$Q$2))</f>
        <v>4379.25048396615</v>
      </c>
      <c r="N504" s="15" t="n">
        <f aca="false">M504*(1+IF(N$3&lt;=$O$2,$D504,$D504-($D504-$I$481)*MIN(N$3-$O$2,$Q$2)/$Q$2))</f>
        <v>4481.28702024256</v>
      </c>
      <c r="O504" s="15" t="n">
        <f aca="false">SUMPRODUCT(E504:N504,1/(1+$F$481)^$E$3:$N$3)*$E$2</f>
        <v>4357.18081036319</v>
      </c>
      <c r="P504" s="15" t="n">
        <f aca="false">N504*$E$2*(1+$I$481)/($F$481-$I$481)/(1+$F$481)^$N$3</f>
        <v>4689.00492154612</v>
      </c>
      <c r="Q504" s="15" t="n">
        <f aca="false">O504+P504</f>
        <v>9046.18573190931</v>
      </c>
      <c r="R504" s="15" t="n">
        <f aca="false">Q504-$G$2+$I$2</f>
        <v>7669.98573190931</v>
      </c>
      <c r="S504" s="42" t="n">
        <f aca="false">R504/$K$2</f>
        <v>204.478425270843</v>
      </c>
      <c r="T504" s="43" t="n">
        <f aca="false">S504-$M$2</f>
        <v>-0.000380380983500572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0.0719023942947388</v>
      </c>
      <c r="C505" s="25" t="n">
        <f aca="false">IF(T504&gt;0,D504,C504)</f>
        <v>0.0719027519226074</v>
      </c>
      <c r="D505" s="41" t="n">
        <f aca="false">(B505+C505)/2</f>
        <v>0.0719025731086731</v>
      </c>
      <c r="E505" s="15" t="n">
        <f aca="false">$C$2*(1+IF(E$3&lt;=$O$2,$D505,$D505-($D505-$I$481)*MIN(E$3-$O$2,$Q$2)/$Q$2))</f>
        <v>2754.78961288929</v>
      </c>
      <c r="F505" s="15" t="n">
        <f aca="false">E505*(1+IF(F$3&lt;=$O$2,$D505,$D505-($D505-$I$481)*MIN(F$3-$O$2,$Q$2)/$Q$2))</f>
        <v>2952.86607442908</v>
      </c>
      <c r="G505" s="15" t="n">
        <f aca="false">F505*(1+IF(G$3&lt;=$O$2,$D505,$D505-($D505-$I$481)*MIN(G$3-$O$2,$Q$2)/$Q$2))</f>
        <v>3165.18474322583</v>
      </c>
      <c r="H505" s="15" t="n">
        <f aca="false">G505*(1+IF(H$3&lt;=$O$2,$D505,$D505-($D505-$I$481)*MIN(H$3-$O$2,$Q$2)/$Q$2))</f>
        <v>3392.76967062808</v>
      </c>
      <c r="I505" s="15" t="n">
        <f aca="false">H505*(1+IF(I$3&lt;=$O$2,$D505,$D505-($D505-$I$481)*MIN(I$3-$O$2,$Q$2)/$Q$2))</f>
        <v>3636.71853991131</v>
      </c>
      <c r="J505" s="15" t="n">
        <f aca="false">I505*(1+IF(J$3&lt;=$O$2,$D505,$D505-($D505-$I$481)*MIN(J$3-$O$2,$Q$2)/$Q$2))</f>
        <v>3862.85718486061</v>
      </c>
      <c r="K505" s="15" t="n">
        <f aca="false">J505*(1+IF(K$3&lt;=$O$2,$D505,$D505-($D505-$I$481)*MIN(K$3-$O$2,$Q$2)/$Q$2))</f>
        <v>4065.50863650919</v>
      </c>
      <c r="L505" s="15" t="n">
        <f aca="false">K505*(1+IF(L$3&lt;=$O$2,$D505,$D505-($D505-$I$481)*MIN(L$3-$O$2,$Q$2)/$Q$2))</f>
        <v>4239.27266003181</v>
      </c>
      <c r="M505" s="15" t="n">
        <f aca="false">L505*(1+IF(M$3&lt;=$O$2,$D505,$D505-($D505-$I$481)*MIN(M$3-$O$2,$Q$2)/$Q$2))</f>
        <v>4379.25562488791</v>
      </c>
      <c r="N505" s="15" t="n">
        <f aca="false">M505*(1+IF(N$3&lt;=$O$2,$D505,$D505-($D505-$I$481)*MIN(N$3-$O$2,$Q$2)/$Q$2))</f>
        <v>4481.2922809478</v>
      </c>
      <c r="O505" s="15" t="n">
        <f aca="false">SUMPRODUCT(E505:N505,1/(1+$F$481)^$E$3:$N$3)*$E$2</f>
        <v>4357.18415439323</v>
      </c>
      <c r="P505" s="15" t="n">
        <f aca="false">N505*$E$2*(1+$I$481)/($F$481-$I$481)/(1+$F$481)^$N$3</f>
        <v>4689.01042609707</v>
      </c>
      <c r="Q505" s="15" t="n">
        <f aca="false">O505+P505</f>
        <v>9046.1945804903</v>
      </c>
      <c r="R505" s="15" t="n">
        <f aca="false">Q505-$G$2+$I$2</f>
        <v>7669.9945804903</v>
      </c>
      <c r="S505" s="42" t="n">
        <f aca="false">R505/$K$2</f>
        <v>204.478661170096</v>
      </c>
      <c r="T505" s="43" t="n">
        <f aca="false">S505-$M$2</f>
        <v>-0.000144481730075086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0.0719025731086731</v>
      </c>
      <c r="C506" s="25" t="n">
        <f aca="false">IF(T505&gt;0,D505,C505)</f>
        <v>0.0719027519226074</v>
      </c>
      <c r="D506" s="41" t="n">
        <f aca="false">(B506+C506)/2</f>
        <v>0.0719026625156403</v>
      </c>
      <c r="E506" s="15" t="n">
        <f aca="false">$C$2*(1+IF(E$3&lt;=$O$2,$D506,$D506-($D506-$I$481)*MIN(E$3-$O$2,$Q$2)/$Q$2))</f>
        <v>2754.7898426652</v>
      </c>
      <c r="F506" s="15" t="n">
        <f aca="false">E506*(1+IF(F$3&lt;=$O$2,$D506,$D506-($D506-$I$481)*MIN(F$3-$O$2,$Q$2)/$Q$2))</f>
        <v>2952.86656702386</v>
      </c>
      <c r="G506" s="15" t="n">
        <f aca="false">F506*(1+IF(G$3&lt;=$O$2,$D506,$D506-($D506-$I$481)*MIN(G$3-$O$2,$Q$2)/$Q$2))</f>
        <v>3165.1855352463</v>
      </c>
      <c r="H506" s="15" t="n">
        <f aca="false">G506*(1+IF(H$3&lt;=$O$2,$D506,$D506-($D506-$I$481)*MIN(H$3-$O$2,$Q$2)/$Q$2))</f>
        <v>3392.7708025865</v>
      </c>
      <c r="I506" s="15" t="n">
        <f aca="false">H506*(1+IF(I$3&lt;=$O$2,$D506,$D506-($D506-$I$481)*MIN(I$3-$O$2,$Q$2)/$Q$2))</f>
        <v>3636.7200565978</v>
      </c>
      <c r="J506" s="15" t="n">
        <f aca="false">I506*(1+IF(J$3&lt;=$O$2,$D506,$D506-($D506-$I$481)*MIN(J$3-$O$2,$Q$2)/$Q$2))</f>
        <v>3862.85905597627</v>
      </c>
      <c r="K506" s="15" t="n">
        <f aca="false">J506*(1+IF(K$3&lt;=$O$2,$D506,$D506-($D506-$I$481)*MIN(K$3-$O$2,$Q$2)/$Q$2))</f>
        <v>4065.51081300638</v>
      </c>
      <c r="L506" s="15" t="n">
        <f aca="false">K506*(1+IF(L$3&lt;=$O$2,$D506,$D506-($D506-$I$481)*MIN(L$3-$O$2,$Q$2)/$Q$2))</f>
        <v>4239.27507494872</v>
      </c>
      <c r="M506" s="15" t="n">
        <f aca="false">L506*(1+IF(M$3&lt;=$O$2,$D506,$D506-($D506-$I$481)*MIN(M$3-$O$2,$Q$2)/$Q$2))</f>
        <v>4379.25819535076</v>
      </c>
      <c r="N506" s="15" t="n">
        <f aca="false">M506*(1+IF(N$3&lt;=$O$2,$D506,$D506-($D506-$I$481)*MIN(N$3-$O$2,$Q$2)/$Q$2))</f>
        <v>4481.29491130244</v>
      </c>
      <c r="O506" s="15" t="n">
        <f aca="false">SUMPRODUCT(E506:N506,1/(1+$F$481)^$E$3:$N$3)*$E$2</f>
        <v>4357.18582640922</v>
      </c>
      <c r="P506" s="15" t="n">
        <f aca="false">N506*$E$2*(1+$I$481)/($F$481-$I$481)/(1+$F$481)^$N$3</f>
        <v>4689.01317837467</v>
      </c>
      <c r="Q506" s="15" t="n">
        <f aca="false">O506+P506</f>
        <v>9046.19900478389</v>
      </c>
      <c r="R506" s="15" t="n">
        <f aca="false">Q506-$G$2+$I$2</f>
        <v>7669.99900478389</v>
      </c>
      <c r="S506" s="42" t="n">
        <f aca="false">R506/$K$2</f>
        <v>204.478779119805</v>
      </c>
      <c r="T506" s="43" t="n">
        <f aca="false">S506-$M$2</f>
        <v>-2.65320209962283E-005</v>
      </c>
    </row>
    <row r="508" customFormat="false" ht="15" hidden="false" customHeight="false" outlineLevel="0" collapsed="false">
      <c r="A508" s="38" t="s">
        <v>199</v>
      </c>
      <c r="E508" s="5" t="s">
        <v>11</v>
      </c>
      <c r="F508" s="12" t="n">
        <f aca="false">Sensitivity!$B$13</f>
        <v>0.099183337553844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162</v>
      </c>
      <c r="B509" s="28" t="s">
        <v>163</v>
      </c>
      <c r="C509" s="28" t="s">
        <v>164</v>
      </c>
      <c r="D509" s="28" t="s">
        <v>165</v>
      </c>
      <c r="E509" s="28" t="s">
        <v>166</v>
      </c>
      <c r="F509" s="28" t="s">
        <v>167</v>
      </c>
      <c r="G509" s="28" t="s">
        <v>168</v>
      </c>
      <c r="H509" s="28" t="s">
        <v>169</v>
      </c>
      <c r="I509" s="28" t="s">
        <v>170</v>
      </c>
      <c r="J509" s="28" t="s">
        <v>171</v>
      </c>
      <c r="K509" s="28" t="s">
        <v>172</v>
      </c>
      <c r="L509" s="28" t="s">
        <v>173</v>
      </c>
      <c r="M509" s="28" t="s">
        <v>174</v>
      </c>
      <c r="N509" s="28" t="s">
        <v>175</v>
      </c>
      <c r="O509" s="28" t="s">
        <v>176</v>
      </c>
      <c r="P509" s="28" t="s">
        <v>177</v>
      </c>
      <c r="Q509" s="28" t="s">
        <v>178</v>
      </c>
      <c r="R509" s="28" t="s">
        <v>179</v>
      </c>
      <c r="S509" s="28" t="s">
        <v>180</v>
      </c>
      <c r="T509" s="28" t="s">
        <v>181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3212.5</v>
      </c>
      <c r="F510" s="15" t="n">
        <f aca="false">E510*(1+IF(F$3&lt;=$O$2,$D510,$D510-($D510-$I$508)*MIN(F$3-$O$2,$Q$2)/$Q$2))</f>
        <v>4015.625</v>
      </c>
      <c r="G510" s="15" t="n">
        <f aca="false">F510*(1+IF(G$3&lt;=$O$2,$D510,$D510-($D510-$I$508)*MIN(G$3-$O$2,$Q$2)/$Q$2))</f>
        <v>5019.53125</v>
      </c>
      <c r="H510" s="15" t="n">
        <f aca="false">G510*(1+IF(H$3&lt;=$O$2,$D510,$D510-($D510-$I$508)*MIN(H$3-$O$2,$Q$2)/$Q$2))</f>
        <v>6274.4140625</v>
      </c>
      <c r="I510" s="15" t="n">
        <f aca="false">H510*(1+IF(I$3&lt;=$O$2,$D510,$D510-($D510-$I$508)*MIN(I$3-$O$2,$Q$2)/$Q$2))</f>
        <v>7843.017578125</v>
      </c>
      <c r="J510" s="15" t="n">
        <f aca="false">I510*(1+IF(J$3&lt;=$O$2,$D510,$D510-($D510-$I$508)*MIN(J$3-$O$2,$Q$2)/$Q$2))</f>
        <v>9456.01257324219</v>
      </c>
      <c r="K510" s="15" t="n">
        <f aca="false">J510*(1+IF(K$3&lt;=$O$2,$D510,$D510-($D510-$I$508)*MIN(K$3-$O$2,$Q$2)/$Q$2))</f>
        <v>10981.4565215576</v>
      </c>
      <c r="L510" s="15" t="n">
        <f aca="false">K510*(1+IF(L$3&lt;=$O$2,$D510,$D510-($D510-$I$508)*MIN(L$3-$O$2,$Q$2)/$Q$2))</f>
        <v>12266.0673054494</v>
      </c>
      <c r="M510" s="15" t="n">
        <f aca="false">L510*(1+IF(M$3&lt;=$O$2,$D510,$D510-($D510-$I$508)*MIN(M$3-$O$2,$Q$2)/$Q$2))</f>
        <v>13157.0744345173</v>
      </c>
      <c r="N510" s="15" t="n">
        <f aca="false">M510*(1+IF(N$3&lt;=$O$2,$D510,$D510-($D510-$I$508)*MIN(N$3-$O$2,$Q$2)/$Q$2))</f>
        <v>13529.4196410141</v>
      </c>
      <c r="O510" s="15" t="n">
        <f aca="false">SUMPRODUCT(E510:N510,1/(1+$F$508)^$E$3:$N$3)*$E$2</f>
        <v>9362.45371323481</v>
      </c>
      <c r="P510" s="15" t="n">
        <f aca="false">N510*$E$2*(1+$I$508)/($F$508-$I$508)/(1+$F$508)^$N$3</f>
        <v>15229.1695863173</v>
      </c>
      <c r="Q510" s="15" t="n">
        <f aca="false">O510+P510</f>
        <v>24591.6232995521</v>
      </c>
      <c r="R510" s="15" t="n">
        <f aca="false">Q510-$G$2+$I$2</f>
        <v>23215.4232995521</v>
      </c>
      <c r="S510" s="42" t="n">
        <f aca="false">R510/$K$2</f>
        <v>618.912911211732</v>
      </c>
      <c r="T510" s="43" t="n">
        <f aca="false">S510-$M$2</f>
        <v>414.434105559906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2248.75</v>
      </c>
      <c r="F511" s="15" t="n">
        <f aca="false">E511*(1+IF(F$3&lt;=$O$2,$D511,$D511-($D511-$I$508)*MIN(F$3-$O$2,$Q$2)/$Q$2))</f>
        <v>1967.65625</v>
      </c>
      <c r="G511" s="15" t="n">
        <f aca="false">F511*(1+IF(G$3&lt;=$O$2,$D511,$D511-($D511-$I$508)*MIN(G$3-$O$2,$Q$2)/$Q$2))</f>
        <v>1721.69921875</v>
      </c>
      <c r="H511" s="15" t="n">
        <f aca="false">G511*(1+IF(H$3&lt;=$O$2,$D511,$D511-($D511-$I$508)*MIN(H$3-$O$2,$Q$2)/$Q$2))</f>
        <v>1506.48681640625</v>
      </c>
      <c r="I511" s="15" t="n">
        <f aca="false">H511*(1+IF(I$3&lt;=$O$2,$D511,$D511-($D511-$I$508)*MIN(I$3-$O$2,$Q$2)/$Q$2))</f>
        <v>1318.17596435547</v>
      </c>
      <c r="J511" s="15" t="n">
        <f aca="false">I511*(1+IF(J$3&lt;=$O$2,$D511,$D511-($D511-$I$508)*MIN(J$3-$O$2,$Q$2)/$Q$2))</f>
        <v>1193.81924387817</v>
      </c>
      <c r="K511" s="15" t="n">
        <f aca="false">J511*(1+IF(K$3&lt;=$O$2,$D511,$D511-($D511-$I$508)*MIN(K$3-$O$2,$Q$2)/$Q$2))</f>
        <v>1117.79683442801</v>
      </c>
      <c r="L511" s="15" t="n">
        <f aca="false">K511*(1+IF(L$3&lt;=$O$2,$D511,$D511-($D511-$I$508)*MIN(L$3-$O$2,$Q$2)/$Q$2))</f>
        <v>1080.8871829552</v>
      </c>
      <c r="M511" s="15" t="n">
        <f aca="false">L511*(1+IF(M$3&lt;=$O$2,$D511,$D511-($D511-$I$508)*MIN(M$3-$O$2,$Q$2)/$Q$2))</f>
        <v>1078.33628920342</v>
      </c>
      <c r="N511" s="15" t="n">
        <f aca="false">M511*(1+IF(N$3&lt;=$O$2,$D511,$D511-($D511-$I$508)*MIN(N$3-$O$2,$Q$2)/$Q$2))</f>
        <v>1108.85320618788</v>
      </c>
      <c r="O511" s="15" t="n">
        <f aca="false">SUMPRODUCT(E511:N511,1/(1+$F$508)^$E$3:$N$3)*$E$2</f>
        <v>1893.02727713802</v>
      </c>
      <c r="P511" s="15" t="n">
        <f aca="false">N511*$E$2*(1+$I$508)/($F$508-$I$508)/(1+$F$508)^$N$3</f>
        <v>1248.16244683361</v>
      </c>
      <c r="Q511" s="15" t="n">
        <f aca="false">O511+P511</f>
        <v>3141.18972397163</v>
      </c>
      <c r="R511" s="15" t="n">
        <f aca="false">Q511-$G$2+$I$2</f>
        <v>1764.98972397163</v>
      </c>
      <c r="S511" s="42" t="n">
        <f aca="false">R511/$K$2</f>
        <v>47.0538449472575</v>
      </c>
      <c r="T511" s="43" t="n">
        <f aca="false">S511-$M$2</f>
        <v>-157.424960704569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2730.625</v>
      </c>
      <c r="F512" s="15" t="n">
        <f aca="false">E512*(1+IF(F$3&lt;=$O$2,$D512,$D512-($D512-$I$508)*MIN(F$3-$O$2,$Q$2)/$Q$2))</f>
        <v>2901.2890625</v>
      </c>
      <c r="G512" s="15" t="n">
        <f aca="false">F512*(1+IF(G$3&lt;=$O$2,$D512,$D512-($D512-$I$508)*MIN(G$3-$O$2,$Q$2)/$Q$2))</f>
        <v>3082.61962890625</v>
      </c>
      <c r="H512" s="15" t="n">
        <f aca="false">G512*(1+IF(H$3&lt;=$O$2,$D512,$D512-($D512-$I$508)*MIN(H$3-$O$2,$Q$2)/$Q$2))</f>
        <v>3275.28335571289</v>
      </c>
      <c r="I512" s="15" t="n">
        <f aca="false">H512*(1+IF(I$3&lt;=$O$2,$D512,$D512-($D512-$I$508)*MIN(I$3-$O$2,$Q$2)/$Q$2))</f>
        <v>3479.98856544495</v>
      </c>
      <c r="J512" s="15" t="n">
        <f aca="false">I512*(1+IF(J$3&lt;=$O$2,$D512,$D512-($D512-$I$508)*MIN(J$3-$O$2,$Q$2)/$Q$2))</f>
        <v>3673.68472899761</v>
      </c>
      <c r="K512" s="15" t="n">
        <f aca="false">J512*(1+IF(K$3&lt;=$O$2,$D512,$D512-($D512-$I$508)*MIN(K$3-$O$2,$Q$2)/$Q$2))</f>
        <v>3853.03401746728</v>
      </c>
      <c r="L512" s="15" t="n">
        <f aca="false">K512*(1+IF(L$3&lt;=$O$2,$D512,$D512-($D512-$I$508)*MIN(L$3-$O$2,$Q$2)/$Q$2))</f>
        <v>4014.78438552055</v>
      </c>
      <c r="M512" s="15" t="n">
        <f aca="false">L512*(1+IF(M$3&lt;=$O$2,$D512,$D512-($D512-$I$508)*MIN(M$3-$O$2,$Q$2)/$Q$2))</f>
        <v>4155.86390882774</v>
      </c>
      <c r="N512" s="15" t="n">
        <f aca="false">M512*(1+IF(N$3&lt;=$O$2,$D512,$D512-($D512-$I$508)*MIN(N$3-$O$2,$Q$2)/$Q$2))</f>
        <v>4273.47485744757</v>
      </c>
      <c r="O512" s="15" t="n">
        <f aca="false">SUMPRODUCT(E512:N512,1/(1+$F$508)^$E$3:$N$3)*$E$2</f>
        <v>4196.70922842061</v>
      </c>
      <c r="P512" s="15" t="n">
        <f aca="false">N512*$E$2*(1+$I$508)/($F$508-$I$508)/(1+$F$508)^$N$3</f>
        <v>4810.36696723037</v>
      </c>
      <c r="Q512" s="15" t="n">
        <f aca="false">O512+P512</f>
        <v>9007.07619565098</v>
      </c>
      <c r="R512" s="15" t="n">
        <f aca="false">Q512-$G$2+$I$2</f>
        <v>7630.87619565098</v>
      </c>
      <c r="S512" s="42" t="n">
        <f aca="false">R512/$K$2</f>
        <v>203.435782342068</v>
      </c>
      <c r="T512" s="43" t="n">
        <f aca="false">S512-$M$2</f>
        <v>-1.0430233097579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41" t="n">
        <f aca="false">(B513+C513)/2</f>
        <v>0.15625</v>
      </c>
      <c r="E513" s="15" t="n">
        <f aca="false">$C$2*(1+IF(E$3&lt;=$O$2,$D513,$D513-($D513-$I$508)*MIN(E$3-$O$2,$Q$2)/$Q$2))</f>
        <v>2971.5625</v>
      </c>
      <c r="F513" s="15" t="n">
        <f aca="false">E513*(1+IF(F$3&lt;=$O$2,$D513,$D513-($D513-$I$508)*MIN(F$3-$O$2,$Q$2)/$Q$2))</f>
        <v>3435.869140625</v>
      </c>
      <c r="G513" s="15" t="n">
        <f aca="false">F513*(1+IF(G$3&lt;=$O$2,$D513,$D513-($D513-$I$508)*MIN(G$3-$O$2,$Q$2)/$Q$2))</f>
        <v>3972.72369384766</v>
      </c>
      <c r="H513" s="15" t="n">
        <f aca="false">G513*(1+IF(H$3&lt;=$O$2,$D513,$D513-($D513-$I$508)*MIN(H$3-$O$2,$Q$2)/$Q$2))</f>
        <v>4593.46177101135</v>
      </c>
      <c r="I513" s="15" t="n">
        <f aca="false">H513*(1+IF(I$3&lt;=$O$2,$D513,$D513-($D513-$I$508)*MIN(I$3-$O$2,$Q$2)/$Q$2))</f>
        <v>5311.19017273188</v>
      </c>
      <c r="J513" s="15" t="n">
        <f aca="false">I513*(1+IF(J$3&lt;=$O$2,$D513,$D513-($D513-$I$508)*MIN(J$3-$O$2,$Q$2)/$Q$2))</f>
        <v>6005.15028070102</v>
      </c>
      <c r="K513" s="15" t="n">
        <f aca="false">J513*(1+IF(K$3&lt;=$O$2,$D513,$D513-($D513-$I$508)*MIN(K$3-$O$2,$Q$2)/$Q$2))</f>
        <v>6636.11142069428</v>
      </c>
      <c r="L513" s="15" t="n">
        <f aca="false">K513*(1+IF(L$3&lt;=$O$2,$D513,$D513-($D513-$I$508)*MIN(L$3-$O$2,$Q$2)/$Q$2))</f>
        <v>7163.54955641106</v>
      </c>
      <c r="M513" s="15" t="n">
        <f aca="false">L513*(1+IF(M$3&lt;=$O$2,$D513,$D513-($D513-$I$508)*MIN(M$3-$O$2,$Q$2)/$Q$2))</f>
        <v>7549.59324200605</v>
      </c>
      <c r="N513" s="15" t="n">
        <f aca="false">M513*(1+IF(N$3&lt;=$O$2,$D513,$D513-($D513-$I$508)*MIN(N$3-$O$2,$Q$2)/$Q$2))</f>
        <v>7763.24673075482</v>
      </c>
      <c r="O513" s="15" t="n">
        <f aca="false">SUMPRODUCT(E513:N513,1/(1+$F$508)^$E$3:$N$3)*$E$2</f>
        <v>6277.43574575819</v>
      </c>
      <c r="P513" s="15" t="n">
        <f aca="false">N513*$E$2*(1+$I$508)/($F$508-$I$508)/(1+$F$508)^$N$3</f>
        <v>8738.57150861694</v>
      </c>
      <c r="Q513" s="15" t="n">
        <f aca="false">O513+P513</f>
        <v>15016.0072543751</v>
      </c>
      <c r="R513" s="15" t="n">
        <f aca="false">Q513-$G$2+$I$2</f>
        <v>13639.8072543751</v>
      </c>
      <c r="S513" s="42" t="n">
        <f aca="false">R513/$K$2</f>
        <v>363.631225123304</v>
      </c>
      <c r="T513" s="43" t="n">
        <f aca="false">S513-$M$2</f>
        <v>159.152419471478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41" t="n">
        <f aca="false">(B514+C514)/2</f>
        <v>0.109375</v>
      </c>
      <c r="E514" s="15" t="n">
        <f aca="false">$C$2*(1+IF(E$3&lt;=$O$2,$D514,$D514-($D514-$I$508)*MIN(E$3-$O$2,$Q$2)/$Q$2))</f>
        <v>2851.09375</v>
      </c>
      <c r="F514" s="15" t="n">
        <f aca="false">E514*(1+IF(F$3&lt;=$O$2,$D514,$D514-($D514-$I$508)*MIN(F$3-$O$2,$Q$2)/$Q$2))</f>
        <v>3162.93212890625</v>
      </c>
      <c r="G514" s="15" t="n">
        <f aca="false">F514*(1+IF(G$3&lt;=$O$2,$D514,$D514-($D514-$I$508)*MIN(G$3-$O$2,$Q$2)/$Q$2))</f>
        <v>3508.87783050537</v>
      </c>
      <c r="H514" s="15" t="n">
        <f aca="false">G514*(1+IF(H$3&lt;=$O$2,$D514,$D514-($D514-$I$508)*MIN(H$3-$O$2,$Q$2)/$Q$2))</f>
        <v>3892.6613432169</v>
      </c>
      <c r="I514" s="15" t="n">
        <f aca="false">H514*(1+IF(I$3&lt;=$O$2,$D514,$D514-($D514-$I$508)*MIN(I$3-$O$2,$Q$2)/$Q$2))</f>
        <v>4318.42117763124</v>
      </c>
      <c r="J514" s="15" t="n">
        <f aca="false">I514*(1+IF(J$3&lt;=$O$2,$D514,$D514-($D514-$I$508)*MIN(J$3-$O$2,$Q$2)/$Q$2))</f>
        <v>4720.72529453937</v>
      </c>
      <c r="K514" s="15" t="n">
        <f aca="false">J514*(1+IF(K$3&lt;=$O$2,$D514,$D514-($D514-$I$508)*MIN(K$3-$O$2,$Q$2)/$Q$2))</f>
        <v>5083.9615023277</v>
      </c>
      <c r="L514" s="15" t="n">
        <f aca="false">K514*(1+IF(L$3&lt;=$O$2,$D514,$D514-($D514-$I$508)*MIN(L$3-$O$2,$Q$2)/$Q$2))</f>
        <v>5392.71048436406</v>
      </c>
      <c r="M514" s="15" t="n">
        <f aca="false">L514*(1+IF(M$3&lt;=$O$2,$D514,$D514-($D514-$I$508)*MIN(M$3-$O$2,$Q$2)/$Q$2))</f>
        <v>5632.76699157553</v>
      </c>
      <c r="N514" s="15" t="n">
        <f aca="false">M514*(1+IF(N$3&lt;=$O$2,$D514,$D514-($D514-$I$508)*MIN(N$3-$O$2,$Q$2)/$Q$2))</f>
        <v>5792.17429743712</v>
      </c>
      <c r="O514" s="15" t="n">
        <f aca="false">SUMPRODUCT(E514:N514,1/(1+$F$508)^$E$3:$N$3)*$E$2</f>
        <v>5133.2738483669</v>
      </c>
      <c r="P514" s="15" t="n">
        <f aca="false">N514*$E$2*(1+$I$508)/($F$508-$I$508)/(1+$F$508)^$N$3</f>
        <v>6519.86611323456</v>
      </c>
      <c r="Q514" s="15" t="n">
        <f aca="false">O514+P514</f>
        <v>11653.1399616015</v>
      </c>
      <c r="R514" s="15" t="n">
        <f aca="false">Q514-$G$2+$I$2</f>
        <v>10276.9399616015</v>
      </c>
      <c r="S514" s="42" t="n">
        <f aca="false">R514/$K$2</f>
        <v>273.978671330351</v>
      </c>
      <c r="T514" s="43" t="n">
        <f aca="false">S514-$M$2</f>
        <v>69.4998656785247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0.0625</v>
      </c>
      <c r="C515" s="25" t="n">
        <f aca="false">IF(T514&gt;0,D514,C514)</f>
        <v>0.109375</v>
      </c>
      <c r="D515" s="41" t="n">
        <f aca="false">(B515+C515)/2</f>
        <v>0.0859375</v>
      </c>
      <c r="E515" s="15" t="n">
        <f aca="false">$C$2*(1+IF(E$3&lt;=$O$2,$D515,$D515-($D515-$I$508)*MIN(E$3-$O$2,$Q$2)/$Q$2))</f>
        <v>2790.859375</v>
      </c>
      <c r="F515" s="15" t="n">
        <f aca="false">E515*(1+IF(F$3&lt;=$O$2,$D515,$D515-($D515-$I$508)*MIN(F$3-$O$2,$Q$2)/$Q$2))</f>
        <v>3030.69885253906</v>
      </c>
      <c r="G515" s="15" t="n">
        <f aca="false">F515*(1+IF(G$3&lt;=$O$2,$D515,$D515-($D515-$I$508)*MIN(G$3-$O$2,$Q$2)/$Q$2))</f>
        <v>3291.14953517914</v>
      </c>
      <c r="H515" s="15" t="n">
        <f aca="false">G515*(1+IF(H$3&lt;=$O$2,$D515,$D515-($D515-$I$508)*MIN(H$3-$O$2,$Q$2)/$Q$2))</f>
        <v>3573.9826983586</v>
      </c>
      <c r="I515" s="15" t="n">
        <f aca="false">H515*(1+IF(I$3&lt;=$O$2,$D515,$D515-($D515-$I$508)*MIN(I$3-$O$2,$Q$2)/$Q$2))</f>
        <v>3881.12183649879</v>
      </c>
      <c r="J515" s="15" t="n">
        <f aca="false">I515*(1+IF(J$3&lt;=$O$2,$D515,$D515-($D515-$I$508)*MIN(J$3-$O$2,$Q$2)/$Q$2))</f>
        <v>4169.91611235266</v>
      </c>
      <c r="K515" s="15" t="n">
        <f aca="false">J515*(1+IF(K$3&lt;=$O$2,$D515,$D515-($D515-$I$508)*MIN(K$3-$O$2,$Q$2)/$Q$2))</f>
        <v>4432.13086228768</v>
      </c>
      <c r="L515" s="15" t="n">
        <f aca="false">K515*(1+IF(L$3&lt;=$O$2,$D515,$D515-($D515-$I$508)*MIN(L$3-$O$2,$Q$2)/$Q$2))</f>
        <v>4659.74294272046</v>
      </c>
      <c r="M515" s="15" t="n">
        <f aca="false">L515*(1+IF(M$3&lt;=$O$2,$D515,$D515-($D515-$I$508)*MIN(M$3-$O$2,$Q$2)/$Q$2))</f>
        <v>4845.32885477166</v>
      </c>
      <c r="N515" s="15" t="n">
        <f aca="false">M515*(1+IF(N$3&lt;=$O$2,$D515,$D515-($D515-$I$508)*MIN(N$3-$O$2,$Q$2)/$Q$2))</f>
        <v>4982.4516613617</v>
      </c>
      <c r="O515" s="15" t="n">
        <f aca="false">SUMPRODUCT(E515:N515,1/(1+$F$508)^$E$3:$N$3)*$E$2</f>
        <v>4641.3975709784</v>
      </c>
      <c r="P515" s="15" t="n">
        <f aca="false">N515*$E$2*(1+$I$508)/($F$508-$I$508)/(1+$F$508)^$N$3</f>
        <v>5608.41509243171</v>
      </c>
      <c r="Q515" s="15" t="n">
        <f aca="false">O515+P515</f>
        <v>10249.8126634101</v>
      </c>
      <c r="R515" s="15" t="n">
        <f aca="false">Q515-$G$2+$I$2</f>
        <v>8873.61266341011</v>
      </c>
      <c r="S515" s="42" t="n">
        <f aca="false">R515/$K$2</f>
        <v>236.566586601176</v>
      </c>
      <c r="T515" s="43" t="n">
        <f aca="false">S515-$M$2</f>
        <v>32.0877809493498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0.0625</v>
      </c>
      <c r="C516" s="25" t="n">
        <f aca="false">IF(T515&gt;0,D515,C515)</f>
        <v>0.0859375</v>
      </c>
      <c r="D516" s="41" t="n">
        <f aca="false">(B516+C516)/2</f>
        <v>0.07421875</v>
      </c>
      <c r="E516" s="15" t="n">
        <f aca="false">$C$2*(1+IF(E$3&lt;=$O$2,$D516,$D516-($D516-$I$508)*MIN(E$3-$O$2,$Q$2)/$Q$2))</f>
        <v>2760.7421875</v>
      </c>
      <c r="F516" s="15" t="n">
        <f aca="false">E516*(1+IF(F$3&lt;=$O$2,$D516,$D516-($D516-$I$508)*MIN(F$3-$O$2,$Q$2)/$Q$2))</f>
        <v>2965.64102172852</v>
      </c>
      <c r="G516" s="15" t="n">
        <f aca="false">F516*(1+IF(G$3&lt;=$O$2,$D516,$D516-($D516-$I$508)*MIN(G$3-$O$2,$Q$2)/$Q$2))</f>
        <v>3185.74719130993</v>
      </c>
      <c r="H516" s="15" t="n">
        <f aca="false">G516*(1+IF(H$3&lt;=$O$2,$D516,$D516-($D516-$I$508)*MIN(H$3-$O$2,$Q$2)/$Q$2))</f>
        <v>3422.18936566496</v>
      </c>
      <c r="I516" s="15" t="n">
        <f aca="false">H516*(1+IF(I$3&lt;=$O$2,$D516,$D516-($D516-$I$508)*MIN(I$3-$O$2,$Q$2)/$Q$2))</f>
        <v>3676.17998264791</v>
      </c>
      <c r="J516" s="15" t="n">
        <f aca="false">I516*(1+IF(J$3&lt;=$O$2,$D516,$D516-($D516-$I$508)*MIN(J$3-$O$2,$Q$2)/$Q$2))</f>
        <v>3915.26034781942</v>
      </c>
      <c r="K516" s="15" t="n">
        <f aca="false">J516*(1+IF(K$3&lt;=$O$2,$D516,$D516-($D516-$I$508)*MIN(K$3-$O$2,$Q$2)/$Q$2))</f>
        <v>4133.93253232056</v>
      </c>
      <c r="L516" s="15" t="n">
        <f aca="false">K516*(1+IF(L$3&lt;=$O$2,$D516,$D516-($D516-$I$508)*MIN(L$3-$O$2,$Q$2)/$Q$2))</f>
        <v>4326.85282877263</v>
      </c>
      <c r="M516" s="15" t="n">
        <f aca="false">L516*(1+IF(M$3&lt;=$O$2,$D516,$D516-($D516-$I$508)*MIN(M$3-$O$2,$Q$2)/$Q$2))</f>
        <v>4489.03949849314</v>
      </c>
      <c r="N516" s="15" t="n">
        <f aca="false">M516*(1+IF(N$3&lt;=$O$2,$D516,$D516-($D516-$I$508)*MIN(N$3-$O$2,$Q$2)/$Q$2))</f>
        <v>4616.0793163005</v>
      </c>
      <c r="O516" s="15" t="n">
        <f aca="false">SUMPRODUCT(E516:N516,1/(1+$F$508)^$E$3:$N$3)*$E$2</f>
        <v>4413.42893886245</v>
      </c>
      <c r="P516" s="15" t="n">
        <f aca="false">N516*$E$2*(1+$I$508)/($F$508-$I$508)/(1+$F$508)^$N$3</f>
        <v>5196.01406395303</v>
      </c>
      <c r="Q516" s="15" t="n">
        <f aca="false">O516+P516</f>
        <v>9609.44300281549</v>
      </c>
      <c r="R516" s="15" t="n">
        <f aca="false">Q516-$G$2+$I$2</f>
        <v>8233.24300281549</v>
      </c>
      <c r="S516" s="42" t="n">
        <f aca="false">R516/$K$2</f>
        <v>219.494614844454</v>
      </c>
      <c r="T516" s="43" t="n">
        <f aca="false">S516-$M$2</f>
        <v>15.0158091926284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0.0625</v>
      </c>
      <c r="C517" s="25" t="n">
        <f aca="false">IF(T516&gt;0,D516,C516)</f>
        <v>0.07421875</v>
      </c>
      <c r="D517" s="41" t="n">
        <f aca="false">(B517+C517)/2</f>
        <v>0.068359375</v>
      </c>
      <c r="E517" s="15" t="n">
        <f aca="false">$C$2*(1+IF(E$3&lt;=$O$2,$D517,$D517-($D517-$I$508)*MIN(E$3-$O$2,$Q$2)/$Q$2))</f>
        <v>2745.68359375</v>
      </c>
      <c r="F517" s="15" t="n">
        <f aca="false">E517*(1+IF(F$3&lt;=$O$2,$D517,$D517-($D517-$I$508)*MIN(F$3-$O$2,$Q$2)/$Q$2))</f>
        <v>2933.3768081665</v>
      </c>
      <c r="G517" s="15" t="n">
        <f aca="false">F517*(1+IF(G$3&lt;=$O$2,$D517,$D517-($D517-$I$508)*MIN(G$3-$O$2,$Q$2)/$Q$2))</f>
        <v>3133.90061341226</v>
      </c>
      <c r="H517" s="15" t="n">
        <f aca="false">G517*(1+IF(H$3&lt;=$O$2,$D517,$D517-($D517-$I$508)*MIN(H$3-$O$2,$Q$2)/$Q$2))</f>
        <v>3348.13210065724</v>
      </c>
      <c r="I517" s="15" t="n">
        <f aca="false">H517*(1+IF(I$3&lt;=$O$2,$D517,$D517-($D517-$I$508)*MIN(I$3-$O$2,$Q$2)/$Q$2))</f>
        <v>3577.00831847561</v>
      </c>
      <c r="J517" s="15" t="n">
        <f aca="false">I517*(1+IF(J$3&lt;=$O$2,$D517,$D517-($D517-$I$508)*MIN(J$3-$O$2,$Q$2)/$Q$2))</f>
        <v>3792.87182797481</v>
      </c>
      <c r="K517" s="15" t="n">
        <f aca="false">J517*(1+IF(K$3&lt;=$O$2,$D517,$D517-($D517-$I$508)*MIN(K$3-$O$2,$Q$2)/$Q$2))</f>
        <v>3991.37414563677</v>
      </c>
      <c r="L517" s="15" t="n">
        <f aca="false">K517*(1+IF(L$3&lt;=$O$2,$D517,$D517-($D517-$I$508)*MIN(L$3-$O$2,$Q$2)/$Q$2))</f>
        <v>4168.28681542443</v>
      </c>
      <c r="M517" s="15" t="n">
        <f aca="false">L517*(1+IF(M$3&lt;=$O$2,$D517,$D517-($D517-$I$508)*MIN(M$3-$O$2,$Q$2)/$Q$2))</f>
        <v>4319.64512523027</v>
      </c>
      <c r="N517" s="15" t="n">
        <f aca="false">M517*(1+IF(N$3&lt;=$O$2,$D517,$D517-($D517-$I$508)*MIN(N$3-$O$2,$Q$2)/$Q$2))</f>
        <v>4441.89108227429</v>
      </c>
      <c r="O517" s="15" t="n">
        <f aca="false">SUMPRODUCT(E517:N517,1/(1+$F$508)^$E$3:$N$3)*$E$2</f>
        <v>4303.69600864107</v>
      </c>
      <c r="P517" s="15" t="n">
        <f aca="false">N517*$E$2*(1+$I$508)/($F$508-$I$508)/(1+$F$508)^$N$3</f>
        <v>4999.94193179117</v>
      </c>
      <c r="Q517" s="15" t="n">
        <f aca="false">O517+P517</f>
        <v>9303.63794043225</v>
      </c>
      <c r="R517" s="15" t="n">
        <f aca="false">Q517-$G$2+$I$2</f>
        <v>7927.43794043225</v>
      </c>
      <c r="S517" s="42" t="n">
        <f aca="false">R517/$K$2</f>
        <v>211.341987214936</v>
      </c>
      <c r="T517" s="43" t="n">
        <f aca="false">S517-$M$2</f>
        <v>6.86318156310981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0.0625</v>
      </c>
      <c r="C518" s="25" t="n">
        <f aca="false">IF(T517&gt;0,D517,C517)</f>
        <v>0.068359375</v>
      </c>
      <c r="D518" s="41" t="n">
        <f aca="false">(B518+C518)/2</f>
        <v>0.0654296875</v>
      </c>
      <c r="E518" s="15" t="n">
        <f aca="false">$C$2*(1+IF(E$3&lt;=$O$2,$D518,$D518-($D518-$I$508)*MIN(E$3-$O$2,$Q$2)/$Q$2))</f>
        <v>2738.154296875</v>
      </c>
      <c r="F518" s="15" t="n">
        <f aca="false">E518*(1+IF(F$3&lt;=$O$2,$D518,$D518-($D518-$I$508)*MIN(F$3-$O$2,$Q$2)/$Q$2))</f>
        <v>2917.31087684631</v>
      </c>
      <c r="G518" s="15" t="n">
        <f aca="false">F518*(1+IF(G$3&lt;=$O$2,$D518,$D518-($D518-$I$508)*MIN(G$3-$O$2,$Q$2)/$Q$2))</f>
        <v>3108.18961585872</v>
      </c>
      <c r="H518" s="15" t="n">
        <f aca="false">G518*(1+IF(H$3&lt;=$O$2,$D518,$D518-($D518-$I$508)*MIN(H$3-$O$2,$Q$2)/$Q$2))</f>
        <v>3311.5574911151</v>
      </c>
      <c r="I518" s="15" t="n">
        <f aca="false">H518*(1+IF(I$3&lt;=$O$2,$D518,$D518-($D518-$I$508)*MIN(I$3-$O$2,$Q$2)/$Q$2))</f>
        <v>3528.23166289704</v>
      </c>
      <c r="J518" s="15" t="n">
        <f aca="false">I518*(1+IF(J$3&lt;=$O$2,$D518,$D518-($D518-$I$508)*MIN(J$3-$O$2,$Q$2)/$Q$2))</f>
        <v>3732.88233021381</v>
      </c>
      <c r="K518" s="15" t="n">
        <f aca="false">J518*(1+IF(K$3&lt;=$O$2,$D518,$D518-($D518-$I$508)*MIN(K$3-$O$2,$Q$2)/$Q$2))</f>
        <v>3921.68335279593</v>
      </c>
      <c r="L518" s="15" t="n">
        <f aca="false">K518*(1+IF(L$3&lt;=$O$2,$D518,$D518-($D518-$I$508)*MIN(L$3-$O$2,$Q$2)/$Q$2))</f>
        <v>4090.91134262536</v>
      </c>
      <c r="M518" s="15" t="n">
        <f aca="false">L518*(1+IF(M$3&lt;=$O$2,$D518,$D518-($D518-$I$508)*MIN(M$3-$O$2,$Q$2)/$Q$2))</f>
        <v>4237.06298557003</v>
      </c>
      <c r="N518" s="15" t="n">
        <f aca="false">M518*(1+IF(N$3&lt;=$O$2,$D518,$D518-($D518-$I$508)*MIN(N$3-$O$2,$Q$2)/$Q$2))</f>
        <v>4356.97186806166</v>
      </c>
      <c r="O518" s="15" t="n">
        <f aca="false">SUMPRODUCT(E518:N518,1/(1+$F$508)^$E$3:$N$3)*$E$2</f>
        <v>4249.86340586252</v>
      </c>
      <c r="P518" s="15" t="n">
        <f aca="false">N518*$E$2*(1+$I$508)/($F$508-$I$508)/(1+$F$508)^$N$3</f>
        <v>4904.35400941936</v>
      </c>
      <c r="Q518" s="15" t="n">
        <f aca="false">O518+P518</f>
        <v>9154.21741528188</v>
      </c>
      <c r="R518" s="15" t="n">
        <f aca="false">Q518-$G$2+$I$2</f>
        <v>7778.01741528188</v>
      </c>
      <c r="S518" s="42" t="n">
        <f aca="false">R518/$K$2</f>
        <v>207.358502140279</v>
      </c>
      <c r="T518" s="43" t="n">
        <f aca="false">S518-$M$2</f>
        <v>2.87969648845333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0.0625</v>
      </c>
      <c r="C519" s="25" t="n">
        <f aca="false">IF(T518&gt;0,D518,C518)</f>
        <v>0.0654296875</v>
      </c>
      <c r="D519" s="41" t="n">
        <f aca="false">(B519+C519)/2</f>
        <v>0.06396484375</v>
      </c>
      <c r="E519" s="15" t="n">
        <f aca="false">$C$2*(1+IF(E$3&lt;=$O$2,$D519,$D519-($D519-$I$508)*MIN(E$3-$O$2,$Q$2)/$Q$2))</f>
        <v>2734.3896484375</v>
      </c>
      <c r="F519" s="15" t="n">
        <f aca="false">E519*(1+IF(F$3&lt;=$O$2,$D519,$D519-($D519-$I$508)*MIN(F$3-$O$2,$Q$2)/$Q$2))</f>
        <v>2909.29445505142</v>
      </c>
      <c r="G519" s="15" t="n">
        <f aca="false">F519*(1+IF(G$3&lt;=$O$2,$D519,$D519-($D519-$I$508)*MIN(G$3-$O$2,$Q$2)/$Q$2))</f>
        <v>3095.38702029153</v>
      </c>
      <c r="H519" s="15" t="n">
        <f aca="false">G519*(1+IF(H$3&lt;=$O$2,$D519,$D519-($D519-$I$508)*MIN(H$3-$O$2,$Q$2)/$Q$2))</f>
        <v>3293.38296739025</v>
      </c>
      <c r="I519" s="15" t="n">
        <f aca="false">H519*(1+IF(I$3&lt;=$O$2,$D519,$D519-($D519-$I$508)*MIN(I$3-$O$2,$Q$2)/$Q$2))</f>
        <v>3504.04369430828</v>
      </c>
      <c r="J519" s="15" t="n">
        <f aca="false">I519*(1+IF(J$3&lt;=$O$2,$D519,$D519-($D519-$I$508)*MIN(J$3-$O$2,$Q$2)/$Q$2))</f>
        <v>3703.18506753775</v>
      </c>
      <c r="K519" s="15" t="n">
        <f aca="false">J519*(1+IF(K$3&lt;=$O$2,$D519,$D519-($D519-$I$508)*MIN(K$3-$O$2,$Q$2)/$Q$2))</f>
        <v>3887.22931503571</v>
      </c>
      <c r="L519" s="15" t="n">
        <f aca="false">K519*(1+IF(L$3&lt;=$O$2,$D519,$D519-($D519-$I$508)*MIN(L$3-$O$2,$Q$2)/$Q$2))</f>
        <v>4052.69287510769</v>
      </c>
      <c r="M519" s="15" t="n">
        <f aca="false">L519*(1+IF(M$3&lt;=$O$2,$D519,$D519-($D519-$I$508)*MIN(M$3-$O$2,$Q$2)/$Q$2))</f>
        <v>4196.29181510472</v>
      </c>
      <c r="N519" s="15" t="n">
        <f aca="false">M519*(1+IF(N$3&lt;=$O$2,$D519,$D519-($D519-$I$508)*MIN(N$3-$O$2,$Q$2)/$Q$2))</f>
        <v>4315.04687347219</v>
      </c>
      <c r="O519" s="15" t="n">
        <f aca="false">SUMPRODUCT(E519:N519,1/(1+$F$508)^$E$3:$N$3)*$E$2</f>
        <v>4223.20201642186</v>
      </c>
      <c r="P519" s="15" t="n">
        <f aca="false">N519*$E$2*(1+$I$508)/($F$508-$I$508)/(1+$F$508)^$N$3</f>
        <v>4857.16182605526</v>
      </c>
      <c r="Q519" s="15" t="n">
        <f aca="false">O519+P519</f>
        <v>9080.36384247713</v>
      </c>
      <c r="R519" s="15" t="n">
        <f aca="false">Q519-$G$2+$I$2</f>
        <v>7704.16384247713</v>
      </c>
      <c r="S519" s="42" t="n">
        <f aca="false">R519/$K$2</f>
        <v>205.389598573104</v>
      </c>
      <c r="T519" s="43" t="n">
        <f aca="false">S519-$M$2</f>
        <v>0.910792921277817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0.0625</v>
      </c>
      <c r="C520" s="25" t="n">
        <f aca="false">IF(T519&gt;0,D519,C519)</f>
        <v>0.06396484375</v>
      </c>
      <c r="D520" s="41" t="n">
        <f aca="false">(B520+C520)/2</f>
        <v>0.063232421875</v>
      </c>
      <c r="E520" s="15" t="n">
        <f aca="false">$C$2*(1+IF(E$3&lt;=$O$2,$D520,$D520-($D520-$I$508)*MIN(E$3-$O$2,$Q$2)/$Q$2))</f>
        <v>2732.50732421875</v>
      </c>
      <c r="F520" s="15" t="n">
        <f aca="false">E520*(1+IF(F$3&lt;=$O$2,$D520,$D520-($D520-$I$508)*MIN(F$3-$O$2,$Q$2)/$Q$2))</f>
        <v>2905.29038012028</v>
      </c>
      <c r="G520" s="15" t="n">
        <f aca="false">F520*(1+IF(G$3&lt;=$O$2,$D520,$D520-($D520-$I$508)*MIN(G$3-$O$2,$Q$2)/$Q$2))</f>
        <v>3088.99892710542</v>
      </c>
      <c r="H520" s="15" t="n">
        <f aca="false">G520*(1+IF(H$3&lt;=$O$2,$D520,$D520-($D520-$I$508)*MIN(H$3-$O$2,$Q$2)/$Q$2))</f>
        <v>3284.32381043557</v>
      </c>
      <c r="I520" s="15" t="n">
        <f aca="false">H520*(1+IF(I$3&lt;=$O$2,$D520,$D520-($D520-$I$508)*MIN(I$3-$O$2,$Q$2)/$Q$2))</f>
        <v>3491.99955919114</v>
      </c>
      <c r="J520" s="15" t="n">
        <f aca="false">I520*(1+IF(J$3&lt;=$O$2,$D520,$D520-($D520-$I$508)*MIN(J$3-$O$2,$Q$2)/$Q$2))</f>
        <v>3688.41034814744</v>
      </c>
      <c r="K520" s="15" t="n">
        <f aca="false">J520*(1+IF(K$3&lt;=$O$2,$D520,$D520-($D520-$I$508)*MIN(K$3-$O$2,$Q$2)/$Q$2))</f>
        <v>3870.09942479777</v>
      </c>
      <c r="L520" s="15" t="n">
        <f aca="false">K520*(1+IF(L$3&lt;=$O$2,$D520,$D520-($D520-$I$508)*MIN(L$3-$O$2,$Q$2)/$Q$2))</f>
        <v>4033.70001684164</v>
      </c>
      <c r="M520" s="15" t="n">
        <f aca="false">L520*(1+IF(M$3&lt;=$O$2,$D520,$D520-($D520-$I$508)*MIN(M$3-$O$2,$Q$2)/$Q$2))</f>
        <v>4176.03510945936</v>
      </c>
      <c r="N520" s="15" t="n">
        <f aca="false">M520*(1+IF(N$3&lt;=$O$2,$D520,$D520-($D520-$I$508)*MIN(N$3-$O$2,$Q$2)/$Q$2))</f>
        <v>4294.21690305706</v>
      </c>
      <c r="O520" s="15" t="n">
        <f aca="false">SUMPRODUCT(E520:N520,1/(1+$F$508)^$E$3:$N$3)*$E$2</f>
        <v>4209.93460976387</v>
      </c>
      <c r="P520" s="15" t="n">
        <f aca="false">N520*$E$2*(1+$I$508)/($F$508-$I$508)/(1+$F$508)^$N$3</f>
        <v>4833.71491108426</v>
      </c>
      <c r="Q520" s="15" t="n">
        <f aca="false">O520+P520</f>
        <v>9043.64952084813</v>
      </c>
      <c r="R520" s="15" t="n">
        <f aca="false">Q520-$G$2+$I$2</f>
        <v>7667.44952084813</v>
      </c>
      <c r="S520" s="42" t="n">
        <f aca="false">R520/$K$2</f>
        <v>204.410811006348</v>
      </c>
      <c r="T520" s="43" t="n">
        <f aca="false">S520-$M$2</f>
        <v>-0.0679946454777678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0.063232421875</v>
      </c>
      <c r="C521" s="25" t="n">
        <f aca="false">IF(T520&gt;0,D520,C520)</f>
        <v>0.06396484375</v>
      </c>
      <c r="D521" s="41" t="n">
        <f aca="false">(B521+C521)/2</f>
        <v>0.0635986328125</v>
      </c>
      <c r="E521" s="15" t="n">
        <f aca="false">$C$2*(1+IF(E$3&lt;=$O$2,$D521,$D521-($D521-$I$508)*MIN(E$3-$O$2,$Q$2)/$Q$2))</f>
        <v>2733.44848632813</v>
      </c>
      <c r="F521" s="15" t="n">
        <f aca="false">E521*(1+IF(F$3&lt;=$O$2,$D521,$D521-($D521-$I$508)*MIN(F$3-$O$2,$Q$2)/$Q$2))</f>
        <v>2907.29207292199</v>
      </c>
      <c r="G521" s="15" t="n">
        <f aca="false">F521*(1+IF(G$3&lt;=$O$2,$D521,$D521-($D521-$I$508)*MIN(G$3-$O$2,$Q$2)/$Q$2))</f>
        <v>3092.19187394645</v>
      </c>
      <c r="H521" s="15" t="n">
        <f aca="false">G521*(1+IF(H$3&lt;=$O$2,$D521,$D521-($D521-$I$508)*MIN(H$3-$O$2,$Q$2)/$Q$2))</f>
        <v>3288.85104952337</v>
      </c>
      <c r="I521" s="15" t="n">
        <f aca="false">H521*(1+IF(I$3&lt;=$O$2,$D521,$D521-($D521-$I$508)*MIN(I$3-$O$2,$Q$2)/$Q$2))</f>
        <v>3498.01747979701</v>
      </c>
      <c r="J521" s="15" t="n">
        <f aca="false">I521*(1+IF(J$3&lt;=$O$2,$D521,$D521-($D521-$I$508)*MIN(J$3-$O$2,$Q$2)/$Q$2))</f>
        <v>3695.79156214811</v>
      </c>
      <c r="K521" s="15" t="n">
        <f aca="false">J521*(1+IF(K$3&lt;=$O$2,$D521,$D521-($D521-$I$508)*MIN(K$3-$O$2,$Q$2)/$Q$2))</f>
        <v>3878.65629693918</v>
      </c>
      <c r="L521" s="15" t="n">
        <f aca="false">K521*(1+IF(L$3&lt;=$O$2,$D521,$D521-($D521-$I$508)*MIN(L$3-$O$2,$Q$2)/$Q$2))</f>
        <v>4043.18677591518</v>
      </c>
      <c r="M521" s="15" t="n">
        <f aca="false">L521*(1+IF(M$3&lt;=$O$2,$D521,$D521-($D521-$I$508)*MIN(M$3-$O$2,$Q$2)/$Q$2))</f>
        <v>4186.15275475266</v>
      </c>
      <c r="N521" s="15" t="n">
        <f aca="false">M521*(1+IF(N$3&lt;=$O$2,$D521,$D521-($D521-$I$508)*MIN(N$3-$O$2,$Q$2)/$Q$2))</f>
        <v>4304.62087771216</v>
      </c>
      <c r="O521" s="15" t="n">
        <f aca="false">SUMPRODUCT(E521:N521,1/(1+$F$508)^$E$3:$N$3)*$E$2</f>
        <v>4216.56305212582</v>
      </c>
      <c r="P521" s="15" t="n">
        <f aca="false">N521*$E$2*(1+$I$508)/($F$508-$I$508)/(1+$F$508)^$N$3</f>
        <v>4845.42597472175</v>
      </c>
      <c r="Q521" s="15" t="n">
        <f aca="false">O521+P521</f>
        <v>9061.98902684757</v>
      </c>
      <c r="R521" s="15" t="n">
        <f aca="false">Q521-$G$2+$I$2</f>
        <v>7685.78902684757</v>
      </c>
      <c r="S521" s="42" t="n">
        <f aca="false">R521/$K$2</f>
        <v>204.89973412017</v>
      </c>
      <c r="T521" s="43" t="n">
        <f aca="false">S521-$M$2</f>
        <v>0.420928468343703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0.063232421875</v>
      </c>
      <c r="C522" s="25" t="n">
        <f aca="false">IF(T521&gt;0,D521,C521)</f>
        <v>0.0635986328125</v>
      </c>
      <c r="D522" s="41" t="n">
        <f aca="false">(B522+C522)/2</f>
        <v>0.06341552734375</v>
      </c>
      <c r="E522" s="15" t="n">
        <f aca="false">$C$2*(1+IF(E$3&lt;=$O$2,$D522,$D522-($D522-$I$508)*MIN(E$3-$O$2,$Q$2)/$Q$2))</f>
        <v>2732.97790527344</v>
      </c>
      <c r="F522" s="15" t="n">
        <f aca="false">E522*(1+IF(F$3&lt;=$O$2,$D522,$D522-($D522-$I$508)*MIN(F$3-$O$2,$Q$2)/$Q$2))</f>
        <v>2906.29114035517</v>
      </c>
      <c r="G522" s="15" t="n">
        <f aca="false">F522*(1+IF(G$3&lt;=$O$2,$D522,$D522-($D522-$I$508)*MIN(G$3-$O$2,$Q$2)/$Q$2))</f>
        <v>3090.59512563526</v>
      </c>
      <c r="H522" s="15" t="n">
        <f aca="false">G522*(1+IF(H$3&lt;=$O$2,$D522,$D522-($D522-$I$508)*MIN(H$3-$O$2,$Q$2)/$Q$2))</f>
        <v>3286.58684533344</v>
      </c>
      <c r="I522" s="15" t="n">
        <f aca="false">H522*(1+IF(I$3&lt;=$O$2,$D522,$D522-($D522-$I$508)*MIN(I$3-$O$2,$Q$2)/$Q$2))</f>
        <v>3495.0074832913</v>
      </c>
      <c r="J522" s="15" t="n">
        <f aca="false">I522*(1+IF(J$3&lt;=$O$2,$D522,$D522-($D522-$I$508)*MIN(J$3-$O$2,$Q$2)/$Q$2))</f>
        <v>3692.09941974534</v>
      </c>
      <c r="K522" s="15" t="n">
        <f aca="false">J522*(1+IF(K$3&lt;=$O$2,$D522,$D522-($D522-$I$508)*MIN(K$3-$O$2,$Q$2)/$Q$2))</f>
        <v>3874.37584420208</v>
      </c>
      <c r="L522" s="15" t="n">
        <f aca="false">K522*(1+IF(L$3&lt;=$O$2,$D522,$D522-($D522-$I$508)*MIN(L$3-$O$2,$Q$2)/$Q$2))</f>
        <v>4038.44098095182</v>
      </c>
      <c r="M522" s="15" t="n">
        <f aca="false">L522*(1+IF(M$3&lt;=$O$2,$D522,$D522-($D522-$I$508)*MIN(M$3-$O$2,$Q$2)/$Q$2))</f>
        <v>4181.0912576513</v>
      </c>
      <c r="N522" s="15" t="n">
        <f aca="false">M522*(1+IF(N$3&lt;=$O$2,$D522,$D522-($D522-$I$508)*MIN(N$3-$O$2,$Q$2)/$Q$2))</f>
        <v>4299.41614024283</v>
      </c>
      <c r="O522" s="15" t="n">
        <f aca="false">SUMPRODUCT(E522:N522,1/(1+$F$508)^$E$3:$N$3)*$E$2</f>
        <v>4213.24751667921</v>
      </c>
      <c r="P522" s="15" t="n">
        <f aca="false">N522*$E$2*(1+$I$508)/($F$508-$I$508)/(1+$F$508)^$N$3</f>
        <v>4839.56734725096</v>
      </c>
      <c r="Q522" s="15" t="n">
        <f aca="false">O522+P522</f>
        <v>9052.81486393017</v>
      </c>
      <c r="R522" s="15" t="n">
        <f aca="false">Q522-$G$2+$I$2</f>
        <v>7676.61486393017</v>
      </c>
      <c r="S522" s="42" t="n">
        <f aca="false">R522/$K$2</f>
        <v>204.655154996805</v>
      </c>
      <c r="T522" s="43" t="n">
        <f aca="false">S522-$M$2</f>
        <v>0.176349344979371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0.063232421875</v>
      </c>
      <c r="C523" s="25" t="n">
        <f aca="false">IF(T522&gt;0,D522,C522)</f>
        <v>0.06341552734375</v>
      </c>
      <c r="D523" s="41" t="n">
        <f aca="false">(B523+C523)/2</f>
        <v>0.063323974609375</v>
      </c>
      <c r="E523" s="15" t="n">
        <f aca="false">$C$2*(1+IF(E$3&lt;=$O$2,$D523,$D523-($D523-$I$508)*MIN(E$3-$O$2,$Q$2)/$Q$2))</f>
        <v>2732.74261474609</v>
      </c>
      <c r="F523" s="15" t="n">
        <f aca="false">E523*(1+IF(F$3&lt;=$O$2,$D523,$D523-($D523-$I$508)*MIN(F$3-$O$2,$Q$2)/$Q$2))</f>
        <v>2905.79073869623</v>
      </c>
      <c r="G523" s="15" t="n">
        <f aca="false">F523*(1+IF(G$3&lt;=$O$2,$D523,$D523-($D523-$I$508)*MIN(G$3-$O$2,$Q$2)/$Q$2))</f>
        <v>3089.79695765359</v>
      </c>
      <c r="H523" s="15" t="n">
        <f aca="false">G523*(1+IF(H$3&lt;=$O$2,$D523,$D523-($D523-$I$508)*MIN(H$3-$O$2,$Q$2)/$Q$2))</f>
        <v>3285.45518174817</v>
      </c>
      <c r="I523" s="15" t="n">
        <f aca="false">H523*(1+IF(I$3&lt;=$O$2,$D523,$D523-($D523-$I$508)*MIN(I$3-$O$2,$Q$2)/$Q$2))</f>
        <v>3493.50326225743</v>
      </c>
      <c r="J523" s="15" t="n">
        <f aca="false">I523*(1+IF(J$3&lt;=$O$2,$D523,$D523-($D523-$I$508)*MIN(J$3-$O$2,$Q$2)/$Q$2))</f>
        <v>3690.25450022337</v>
      </c>
      <c r="K523" s="15" t="n">
        <f aca="false">J523*(1+IF(K$3&lt;=$O$2,$D523,$D523-($D523-$I$508)*MIN(K$3-$O$2,$Q$2)/$Q$2))</f>
        <v>3872.23713053047</v>
      </c>
      <c r="L523" s="15" t="n">
        <f aca="false">K523*(1+IF(L$3&lt;=$O$2,$D523,$D523-($D523-$I$508)*MIN(L$3-$O$2,$Q$2)/$Q$2))</f>
        <v>4036.06989530095</v>
      </c>
      <c r="M523" s="15" t="n">
        <f aca="false">L523*(1+IF(M$3&lt;=$O$2,$D523,$D523-($D523-$I$508)*MIN(M$3-$O$2,$Q$2)/$Q$2))</f>
        <v>4178.56251524491</v>
      </c>
      <c r="N523" s="15" t="n">
        <f aca="false">M523*(1+IF(N$3&lt;=$O$2,$D523,$D523-($D523-$I$508)*MIN(N$3-$O$2,$Q$2)/$Q$2))</f>
        <v>4296.81583442634</v>
      </c>
      <c r="O523" s="15" t="n">
        <f aca="false">SUMPRODUCT(E523:N523,1/(1+$F$508)^$E$3:$N$3)*$E$2</f>
        <v>4211.59073477708</v>
      </c>
      <c r="P523" s="15" t="n">
        <f aca="false">N523*$E$2*(1+$I$508)/($F$508-$I$508)/(1+$F$508)^$N$3</f>
        <v>4836.64035560561</v>
      </c>
      <c r="Q523" s="15" t="n">
        <f aca="false">O523+P523</f>
        <v>9048.23109038269</v>
      </c>
      <c r="R523" s="15" t="n">
        <f aca="false">Q523-$G$2+$I$2</f>
        <v>7672.03109038269</v>
      </c>
      <c r="S523" s="42" t="n">
        <f aca="false">R523/$K$2</f>
        <v>204.532953622572</v>
      </c>
      <c r="T523" s="43" t="n">
        <f aca="false">S523-$M$2</f>
        <v>0.0541479707463282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0.063232421875</v>
      </c>
      <c r="C524" s="25" t="n">
        <f aca="false">IF(T523&gt;0,D523,C523)</f>
        <v>0.063323974609375</v>
      </c>
      <c r="D524" s="41" t="n">
        <f aca="false">(B524+C524)/2</f>
        <v>0.0632781982421875</v>
      </c>
      <c r="E524" s="15" t="n">
        <f aca="false">$C$2*(1+IF(E$3&lt;=$O$2,$D524,$D524-($D524-$I$508)*MIN(E$3-$O$2,$Q$2)/$Q$2))</f>
        <v>2732.62496948242</v>
      </c>
      <c r="F524" s="15" t="n">
        <f aca="false">E524*(1+IF(F$3&lt;=$O$2,$D524,$D524-($D524-$I$508)*MIN(F$3-$O$2,$Q$2)/$Q$2))</f>
        <v>2905.54055402288</v>
      </c>
      <c r="G524" s="15" t="n">
        <f aca="false">F524*(1+IF(G$3&lt;=$O$2,$D524,$D524-($D524-$I$508)*MIN(G$3-$O$2,$Q$2)/$Q$2))</f>
        <v>3089.39792520106</v>
      </c>
      <c r="H524" s="15" t="n">
        <f aca="false">G524*(1+IF(H$3&lt;=$O$2,$D524,$D524-($D524-$I$508)*MIN(H$3-$O$2,$Q$2)/$Q$2))</f>
        <v>3284.88945956093</v>
      </c>
      <c r="I524" s="15" t="n">
        <f aca="false">H524*(1+IF(I$3&lt;=$O$2,$D524,$D524-($D524-$I$508)*MIN(I$3-$O$2,$Q$2)/$Q$2))</f>
        <v>3492.7513459867</v>
      </c>
      <c r="J524" s="15" t="n">
        <f aca="false">I524*(1+IF(J$3&lt;=$O$2,$D524,$D524-($D524-$I$508)*MIN(J$3-$O$2,$Q$2)/$Q$2))</f>
        <v>3689.3323282706</v>
      </c>
      <c r="K524" s="15" t="n">
        <f aca="false">J524*(1+IF(K$3&lt;=$O$2,$D524,$D524-($D524-$I$508)*MIN(K$3-$O$2,$Q$2)/$Q$2))</f>
        <v>3871.16815169639</v>
      </c>
      <c r="L524" s="15" t="n">
        <f aca="false">K524*(1+IF(L$3&lt;=$O$2,$D524,$D524-($D524-$I$508)*MIN(L$3-$O$2,$Q$2)/$Q$2))</f>
        <v>4034.88480520495</v>
      </c>
      <c r="M524" s="15" t="n">
        <f aca="false">L524*(1+IF(M$3&lt;=$O$2,$D524,$D524-($D524-$I$508)*MIN(M$3-$O$2,$Q$2)/$Q$2))</f>
        <v>4177.29864531242</v>
      </c>
      <c r="N524" s="15" t="n">
        <f aca="false">M524*(1+IF(N$3&lt;=$O$2,$D524,$D524-($D524-$I$508)*MIN(N$3-$O$2,$Q$2)/$Q$2))</f>
        <v>4295.51619697476</v>
      </c>
      <c r="O524" s="15" t="n">
        <f aca="false">SUMPRODUCT(E524:N524,1/(1+$F$508)^$E$3:$N$3)*$E$2</f>
        <v>4210.7625901746</v>
      </c>
      <c r="P524" s="15" t="n">
        <f aca="false">N524*$E$2*(1+$I$508)/($F$508-$I$508)/(1+$F$508)^$N$3</f>
        <v>4835.1774399983</v>
      </c>
      <c r="Q524" s="15" t="n">
        <f aca="false">O524+P524</f>
        <v>9045.94003017289</v>
      </c>
      <c r="R524" s="15" t="n">
        <f aca="false">Q524-$G$2+$I$2</f>
        <v>7669.74003017289</v>
      </c>
      <c r="S524" s="42" t="n">
        <f aca="false">R524/$K$2</f>
        <v>204.471874971285</v>
      </c>
      <c r="T524" s="43" t="n">
        <f aca="false">S524-$M$2</f>
        <v>-0.00693068054127366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0.0632781982421875</v>
      </c>
      <c r="C525" s="25" t="n">
        <f aca="false">IF(T524&gt;0,D524,C524)</f>
        <v>0.063323974609375</v>
      </c>
      <c r="D525" s="41" t="n">
        <f aca="false">(B525+C525)/2</f>
        <v>0.0633010864257813</v>
      </c>
      <c r="E525" s="15" t="n">
        <f aca="false">$C$2*(1+IF(E$3&lt;=$O$2,$D525,$D525-($D525-$I$508)*MIN(E$3-$O$2,$Q$2)/$Q$2))</f>
        <v>2732.68379211426</v>
      </c>
      <c r="F525" s="15" t="n">
        <f aca="false">E525*(1+IF(F$3&lt;=$O$2,$D525,$D525-($D525-$I$508)*MIN(F$3-$O$2,$Q$2)/$Q$2))</f>
        <v>2905.66564501321</v>
      </c>
      <c r="G525" s="15" t="n">
        <f aca="false">F525*(1+IF(G$3&lt;=$O$2,$D525,$D525-($D525-$I$508)*MIN(G$3-$O$2,$Q$2)/$Q$2))</f>
        <v>3089.59743713262</v>
      </c>
      <c r="H525" s="15" t="n">
        <f aca="false">G525*(1+IF(H$3&lt;=$O$2,$D525,$D525-($D525-$I$508)*MIN(H$3-$O$2,$Q$2)/$Q$2))</f>
        <v>3285.17231152142</v>
      </c>
      <c r="I525" s="15" t="n">
        <f aca="false">H525*(1+IF(I$3&lt;=$O$2,$D525,$D525-($D525-$I$508)*MIN(I$3-$O$2,$Q$2)/$Q$2))</f>
        <v>3493.12728793662</v>
      </c>
      <c r="J525" s="15" t="n">
        <f aca="false">I525*(1+IF(J$3&lt;=$O$2,$D525,$D525-($D525-$I$508)*MIN(J$3-$O$2,$Q$2)/$Q$2))</f>
        <v>3689.79339026629</v>
      </c>
      <c r="K525" s="15" t="n">
        <f aca="false">J525*(1+IF(K$3&lt;=$O$2,$D525,$D525-($D525-$I$508)*MIN(K$3-$O$2,$Q$2)/$Q$2))</f>
        <v>3871.70260961842</v>
      </c>
      <c r="L525" s="15" t="n">
        <f aca="false">K525*(1+IF(L$3&lt;=$O$2,$D525,$D525-($D525-$I$508)*MIN(L$3-$O$2,$Q$2)/$Q$2))</f>
        <v>4035.47731253229</v>
      </c>
      <c r="M525" s="15" t="n">
        <f aca="false">L525*(1+IF(M$3&lt;=$O$2,$D525,$D525-($D525-$I$508)*MIN(M$3-$O$2,$Q$2)/$Q$2))</f>
        <v>4177.930538514</v>
      </c>
      <c r="N525" s="15" t="n">
        <f aca="false">M525*(1+IF(N$3&lt;=$O$2,$D525,$D525-($D525-$I$508)*MIN(N$3-$O$2,$Q$2)/$Q$2))</f>
        <v>4296.16597275394</v>
      </c>
      <c r="O525" s="15" t="n">
        <f aca="false">SUMPRODUCT(E525:N525,1/(1+$F$508)^$E$3:$N$3)*$E$2</f>
        <v>4211.17664194996</v>
      </c>
      <c r="P525" s="15" t="n">
        <f aca="false">N525*$E$2*(1+$I$508)/($F$508-$I$508)/(1+$F$508)^$N$3</f>
        <v>4835.90884945981</v>
      </c>
      <c r="Q525" s="15" t="n">
        <f aca="false">O525+P525</f>
        <v>9047.08549140978</v>
      </c>
      <c r="R525" s="15" t="n">
        <f aca="false">Q525-$G$2+$I$2</f>
        <v>7670.88549140978</v>
      </c>
      <c r="S525" s="42" t="n">
        <f aca="false">R525/$K$2</f>
        <v>204.502412460938</v>
      </c>
      <c r="T525" s="43" t="n">
        <f aca="false">S525-$M$2</f>
        <v>0.0236068091116977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0.0632781982421875</v>
      </c>
      <c r="C526" s="25" t="n">
        <f aca="false">IF(T525&gt;0,D525,C525)</f>
        <v>0.0633010864257813</v>
      </c>
      <c r="D526" s="41" t="n">
        <f aca="false">(B526+C526)/2</f>
        <v>0.0632896423339844</v>
      </c>
      <c r="E526" s="15" t="n">
        <f aca="false">$C$2*(1+IF(E$3&lt;=$O$2,$D526,$D526-($D526-$I$508)*MIN(E$3-$O$2,$Q$2)/$Q$2))</f>
        <v>2732.65438079834</v>
      </c>
      <c r="F526" s="15" t="n">
        <f aca="false">E526*(1+IF(F$3&lt;=$O$2,$D526,$D526-($D526-$I$508)*MIN(F$3-$O$2,$Q$2)/$Q$2))</f>
        <v>2905.60309918146</v>
      </c>
      <c r="G526" s="15" t="n">
        <f aca="false">F526*(1+IF(G$3&lt;=$O$2,$D526,$D526-($D526-$I$508)*MIN(G$3-$O$2,$Q$2)/$Q$2))</f>
        <v>3089.49768009317</v>
      </c>
      <c r="H526" s="15" t="n">
        <f aca="false">G526*(1+IF(H$3&lt;=$O$2,$D526,$D526-($D526-$I$508)*MIN(H$3-$O$2,$Q$2)/$Q$2))</f>
        <v>3285.03088325795</v>
      </c>
      <c r="I526" s="15" t="n">
        <f aca="false">H526*(1+IF(I$3&lt;=$O$2,$D526,$D526-($D526-$I$508)*MIN(I$3-$O$2,$Q$2)/$Q$2))</f>
        <v>3492.93931291543</v>
      </c>
      <c r="J526" s="15" t="n">
        <f aca="false">I526*(1+IF(J$3&lt;=$O$2,$D526,$D526-($D526-$I$508)*MIN(J$3-$O$2,$Q$2)/$Q$2))</f>
        <v>3689.56285327352</v>
      </c>
      <c r="K526" s="15" t="n">
        <f aca="false">J526*(1+IF(K$3&lt;=$O$2,$D526,$D526-($D526-$I$508)*MIN(K$3-$O$2,$Q$2)/$Q$2))</f>
        <v>3871.43537278404</v>
      </c>
      <c r="L526" s="15" t="n">
        <f aca="false">K526*(1+IF(L$3&lt;=$O$2,$D526,$D526-($D526-$I$508)*MIN(L$3-$O$2,$Q$2)/$Q$2))</f>
        <v>4035.18104943896</v>
      </c>
      <c r="M526" s="15" t="n">
        <f aca="false">L526*(1+IF(M$3&lt;=$O$2,$D526,$D526-($D526-$I$508)*MIN(M$3-$O$2,$Q$2)/$Q$2))</f>
        <v>4177.61458147264</v>
      </c>
      <c r="N526" s="15" t="n">
        <f aca="false">M526*(1+IF(N$3&lt;=$O$2,$D526,$D526-($D526-$I$508)*MIN(N$3-$O$2,$Q$2)/$Q$2))</f>
        <v>4295.84107412831</v>
      </c>
      <c r="O526" s="15" t="n">
        <f aca="false">SUMPRODUCT(E526:N526,1/(1+$F$508)^$E$3:$N$3)*$E$2</f>
        <v>4210.96961093105</v>
      </c>
      <c r="P526" s="15" t="n">
        <f aca="false">N526*$E$2*(1+$I$508)/($F$508-$I$508)/(1+$F$508)^$N$3</f>
        <v>4835.5431326442</v>
      </c>
      <c r="Q526" s="15" t="n">
        <f aca="false">O526+P526</f>
        <v>9046.51274357525</v>
      </c>
      <c r="R526" s="15" t="n">
        <f aca="false">Q526-$G$2+$I$2</f>
        <v>7670.31274357525</v>
      </c>
      <c r="S526" s="42" t="n">
        <f aca="false">R526/$K$2</f>
        <v>204.487143257138</v>
      </c>
      <c r="T526" s="43" t="n">
        <f aca="false">S526-$M$2</f>
        <v>0.00833760531210714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0.0632781982421875</v>
      </c>
      <c r="C527" s="25" t="n">
        <f aca="false">IF(T526&gt;0,D526,C526)</f>
        <v>0.0632896423339844</v>
      </c>
      <c r="D527" s="41" t="n">
        <f aca="false">(B527+C527)/2</f>
        <v>0.0632839202880859</v>
      </c>
      <c r="E527" s="15" t="n">
        <f aca="false">$C$2*(1+IF(E$3&lt;=$O$2,$D527,$D527-($D527-$I$508)*MIN(E$3-$O$2,$Q$2)/$Q$2))</f>
        <v>2732.63967514038</v>
      </c>
      <c r="F527" s="15" t="n">
        <f aca="false">E527*(1+IF(F$3&lt;=$O$2,$D527,$D527-($D527-$I$508)*MIN(F$3-$O$2,$Q$2)/$Q$2))</f>
        <v>2905.57182651803</v>
      </c>
      <c r="G527" s="15" t="n">
        <f aca="false">F527*(1+IF(G$3&lt;=$O$2,$D527,$D527-($D527-$I$508)*MIN(G$3-$O$2,$Q$2)/$Q$2))</f>
        <v>3089.4478023787</v>
      </c>
      <c r="H527" s="15" t="n">
        <f aca="false">G527*(1+IF(H$3&lt;=$O$2,$D527,$D527-($D527-$I$508)*MIN(H$3-$O$2,$Q$2)/$Q$2))</f>
        <v>3284.96017083864</v>
      </c>
      <c r="I527" s="15" t="n">
        <f aca="false">H527*(1+IF(I$3&lt;=$O$2,$D527,$D527-($D527-$I$508)*MIN(I$3-$O$2,$Q$2)/$Q$2))</f>
        <v>3492.84532843953</v>
      </c>
      <c r="J527" s="15" t="n">
        <f aca="false">I527*(1+IF(J$3&lt;=$O$2,$D527,$D527-($D527-$I$508)*MIN(J$3-$O$2,$Q$2)/$Q$2))</f>
        <v>3689.44758927336</v>
      </c>
      <c r="K527" s="15" t="n">
        <f aca="false">J527*(1+IF(K$3&lt;=$O$2,$D527,$D527-($D527-$I$508)*MIN(K$3-$O$2,$Q$2)/$Q$2))</f>
        <v>3871.30176027192</v>
      </c>
      <c r="L527" s="15" t="n">
        <f aca="false">K527*(1+IF(L$3&lt;=$O$2,$D527,$D527-($D527-$I$508)*MIN(L$3-$O$2,$Q$2)/$Q$2))</f>
        <v>4035.03292496461</v>
      </c>
      <c r="M527" s="15" t="n">
        <f aca="false">L527*(1+IF(M$3&lt;=$O$2,$D527,$D527-($D527-$I$508)*MIN(M$3-$O$2,$Q$2)/$Q$2))</f>
        <v>4177.45661078246</v>
      </c>
      <c r="N527" s="15" t="n">
        <f aca="false">M527*(1+IF(N$3&lt;=$O$2,$D527,$D527-($D527-$I$508)*MIN(N$3-$O$2,$Q$2)/$Q$2))</f>
        <v>4295.6786328676</v>
      </c>
      <c r="O527" s="15" t="n">
        <f aca="false">SUMPRODUCT(E527:N527,1/(1+$F$508)^$E$3:$N$3)*$E$2</f>
        <v>4210.86609927005</v>
      </c>
      <c r="P527" s="15" t="n">
        <f aca="false">N527*$E$2*(1+$I$508)/($F$508-$I$508)/(1+$F$508)^$N$3</f>
        <v>4835.36028330012</v>
      </c>
      <c r="Q527" s="15" t="n">
        <f aca="false">O527+P527</f>
        <v>9046.22638257017</v>
      </c>
      <c r="R527" s="15" t="n">
        <f aca="false">Q527-$G$2+$I$2</f>
        <v>7670.02638257017</v>
      </c>
      <c r="S527" s="42" t="n">
        <f aca="false">R527/$K$2</f>
        <v>204.479508999471</v>
      </c>
      <c r="T527" s="43" t="n">
        <f aca="false">S527-$M$2</f>
        <v>0.000703347645270469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0.0632781982421875</v>
      </c>
      <c r="C528" s="25" t="n">
        <f aca="false">IF(T527&gt;0,D527,C527)</f>
        <v>0.0632839202880859</v>
      </c>
      <c r="D528" s="41" t="n">
        <f aca="false">(B528+C528)/2</f>
        <v>0.0632810592651367</v>
      </c>
      <c r="E528" s="15" t="n">
        <f aca="false">$C$2*(1+IF(E$3&lt;=$O$2,$D528,$D528-($D528-$I$508)*MIN(E$3-$O$2,$Q$2)/$Q$2))</f>
        <v>2732.6323223114</v>
      </c>
      <c r="F528" s="15" t="n">
        <f aca="false">E528*(1+IF(F$3&lt;=$O$2,$D528,$D528-($D528-$I$508)*MIN(F$3-$O$2,$Q$2)/$Q$2))</f>
        <v>2905.55619024942</v>
      </c>
      <c r="G528" s="15" t="n">
        <f aca="false">F528*(1+IF(G$3&lt;=$O$2,$D528,$D528-($D528-$I$508)*MIN(G$3-$O$2,$Q$2)/$Q$2))</f>
        <v>3089.42286372278</v>
      </c>
      <c r="H528" s="15" t="n">
        <f aca="false">G528*(1+IF(H$3&lt;=$O$2,$D528,$D528-($D528-$I$508)*MIN(H$3-$O$2,$Q$2)/$Q$2))</f>
        <v>3284.92481505709</v>
      </c>
      <c r="I528" s="15" t="n">
        <f aca="false">H528*(1+IF(I$3&lt;=$O$2,$D528,$D528-($D528-$I$508)*MIN(I$3-$O$2,$Q$2)/$Q$2))</f>
        <v>3492.79833696023</v>
      </c>
      <c r="J528" s="15" t="n">
        <f aca="false">I528*(1+IF(J$3&lt;=$O$2,$D528,$D528-($D528-$I$508)*MIN(J$3-$O$2,$Q$2)/$Q$2))</f>
        <v>3689.38995839731</v>
      </c>
      <c r="K528" s="15" t="n">
        <f aca="false">J528*(1+IF(K$3&lt;=$O$2,$D528,$D528-($D528-$I$508)*MIN(K$3-$O$2,$Q$2)/$Q$2))</f>
        <v>3871.23495549209</v>
      </c>
      <c r="L528" s="15" t="n">
        <f aca="false">K528*(1+IF(L$3&lt;=$O$2,$D528,$D528-($D528-$I$508)*MIN(L$3-$O$2,$Q$2)/$Q$2))</f>
        <v>4034.95886449545</v>
      </c>
      <c r="M528" s="15" t="n">
        <f aca="false">L528*(1+IF(M$3&lt;=$O$2,$D528,$D528-($D528-$I$508)*MIN(M$3-$O$2,$Q$2)/$Q$2))</f>
        <v>4177.37762739493</v>
      </c>
      <c r="N528" s="15" t="n">
        <f aca="false">M528*(1+IF(N$3&lt;=$O$2,$D528,$D528-($D528-$I$508)*MIN(N$3-$O$2,$Q$2)/$Q$2))</f>
        <v>4295.59741425021</v>
      </c>
      <c r="O528" s="15" t="n">
        <f aca="false">SUMPRODUCT(E528:N528,1/(1+$F$508)^$E$3:$N$3)*$E$2</f>
        <v>4210.81434440163</v>
      </c>
      <c r="P528" s="15" t="n">
        <f aca="false">N528*$E$2*(1+$I$508)/($F$508-$I$508)/(1+$F$508)^$N$3</f>
        <v>4835.26886089394</v>
      </c>
      <c r="Q528" s="15" t="n">
        <f aca="false">O528+P528</f>
        <v>9046.08320529557</v>
      </c>
      <c r="R528" s="15" t="n">
        <f aca="false">Q528-$G$2+$I$2</f>
        <v>7669.88320529557</v>
      </c>
      <c r="S528" s="42" t="n">
        <f aca="false">R528/$K$2</f>
        <v>204.475691956693</v>
      </c>
      <c r="T528" s="43" t="n">
        <f aca="false">S528-$M$2</f>
        <v>-0.00311369513266868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0.0632810592651367</v>
      </c>
      <c r="C529" s="25" t="n">
        <f aca="false">IF(T528&gt;0,D528,C528)</f>
        <v>0.0632839202880859</v>
      </c>
      <c r="D529" s="41" t="n">
        <f aca="false">(B529+C529)/2</f>
        <v>0.0632824897766113</v>
      </c>
      <c r="E529" s="15" t="n">
        <f aca="false">$C$2*(1+IF(E$3&lt;=$O$2,$D529,$D529-($D529-$I$508)*MIN(E$3-$O$2,$Q$2)/$Q$2))</f>
        <v>2732.63599872589</v>
      </c>
      <c r="F529" s="15" t="n">
        <f aca="false">E529*(1+IF(F$3&lt;=$O$2,$D529,$D529-($D529-$I$508)*MIN(F$3-$O$2,$Q$2)/$Q$2))</f>
        <v>2905.56400837846</v>
      </c>
      <c r="G529" s="15" t="n">
        <f aca="false">F529*(1+IF(G$3&lt;=$O$2,$D529,$D529-($D529-$I$508)*MIN(G$3-$O$2,$Q$2)/$Q$2))</f>
        <v>3089.43533303396</v>
      </c>
      <c r="H529" s="15" t="n">
        <f aca="false">G529*(1+IF(H$3&lt;=$O$2,$D529,$D529-($D529-$I$508)*MIN(H$3-$O$2,$Q$2)/$Q$2))</f>
        <v>3284.94249291219</v>
      </c>
      <c r="I529" s="15" t="n">
        <f aca="false">H529*(1+IF(I$3&lt;=$O$2,$D529,$D529-($D529-$I$508)*MIN(I$3-$O$2,$Q$2)/$Q$2))</f>
        <v>3492.82183263666</v>
      </c>
      <c r="J529" s="15" t="n">
        <f aca="false">I529*(1+IF(J$3&lt;=$O$2,$D529,$D529-($D529-$I$508)*MIN(J$3-$O$2,$Q$2)/$Q$2))</f>
        <v>3689.41877374166</v>
      </c>
      <c r="K529" s="15" t="n">
        <f aca="false">J529*(1+IF(K$3&lt;=$O$2,$D529,$D529-($D529-$I$508)*MIN(K$3-$O$2,$Q$2)/$Q$2))</f>
        <v>3871.26835775899</v>
      </c>
      <c r="L529" s="15" t="n">
        <f aca="false">K529*(1+IF(L$3&lt;=$O$2,$D529,$D529-($D529-$I$508)*MIN(L$3-$O$2,$Q$2)/$Q$2))</f>
        <v>4034.99589458269</v>
      </c>
      <c r="M529" s="15" t="n">
        <f aca="false">L529*(1+IF(M$3&lt;=$O$2,$D529,$D529-($D529-$I$508)*MIN(M$3-$O$2,$Q$2)/$Q$2))</f>
        <v>4177.41711892557</v>
      </c>
      <c r="N529" s="15" t="n">
        <f aca="false">M529*(1+IF(N$3&lt;=$O$2,$D529,$D529-($D529-$I$508)*MIN(N$3-$O$2,$Q$2)/$Q$2))</f>
        <v>4295.63802339116</v>
      </c>
      <c r="O529" s="15" t="n">
        <f aca="false">SUMPRODUCT(E529:N529,1/(1+$F$508)^$E$3:$N$3)*$E$2</f>
        <v>4210.84022175567</v>
      </c>
      <c r="P529" s="15" t="n">
        <f aca="false">N529*$E$2*(1+$I$508)/($F$508-$I$508)/(1+$F$508)^$N$3</f>
        <v>4835.31457190821</v>
      </c>
      <c r="Q529" s="15" t="n">
        <f aca="false">O529+P529</f>
        <v>9046.15479366388</v>
      </c>
      <c r="R529" s="15" t="n">
        <f aca="false">Q529-$G$2+$I$2</f>
        <v>7669.95479366388</v>
      </c>
      <c r="S529" s="42" t="n">
        <f aca="false">R529/$K$2</f>
        <v>204.477600470911</v>
      </c>
      <c r="T529" s="43" t="n">
        <f aca="false">S529-$M$2</f>
        <v>-0.0012051809148943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0.0632824897766113</v>
      </c>
      <c r="C530" s="25" t="n">
        <f aca="false">IF(T529&gt;0,D529,C529)</f>
        <v>0.0632839202880859</v>
      </c>
      <c r="D530" s="41" t="n">
        <f aca="false">(B530+C530)/2</f>
        <v>0.0632832050323486</v>
      </c>
      <c r="E530" s="15" t="n">
        <f aca="false">$C$2*(1+IF(E$3&lt;=$O$2,$D530,$D530-($D530-$I$508)*MIN(E$3-$O$2,$Q$2)/$Q$2))</f>
        <v>2732.63783693314</v>
      </c>
      <c r="F530" s="15" t="n">
        <f aca="false">E530*(1+IF(F$3&lt;=$O$2,$D530,$D530-($D530-$I$508)*MIN(F$3-$O$2,$Q$2)/$Q$2))</f>
        <v>2905.56791744693</v>
      </c>
      <c r="G530" s="15" t="n">
        <f aca="false">F530*(1+IF(G$3&lt;=$O$2,$D530,$D530-($D530-$I$508)*MIN(G$3-$O$2,$Q$2)/$Q$2))</f>
        <v>3089.44156770214</v>
      </c>
      <c r="H530" s="15" t="n">
        <f aca="false">G530*(1+IF(H$3&lt;=$O$2,$D530,$D530-($D530-$I$508)*MIN(H$3-$O$2,$Q$2)/$Q$2))</f>
        <v>3284.95133186649</v>
      </c>
      <c r="I530" s="15" t="n">
        <f aca="false">H530*(1+IF(I$3&lt;=$O$2,$D530,$D530-($D530-$I$508)*MIN(I$3-$O$2,$Q$2)/$Q$2))</f>
        <v>3492.83358052229</v>
      </c>
      <c r="J530" s="15" t="n">
        <f aca="false">I530*(1+IF(J$3&lt;=$O$2,$D530,$D530-($D530-$I$508)*MIN(J$3-$O$2,$Q$2)/$Q$2))</f>
        <v>3689.43318148409</v>
      </c>
      <c r="K530" s="15" t="n">
        <f aca="false">J530*(1+IF(K$3&lt;=$O$2,$D530,$D530-($D530-$I$508)*MIN(K$3-$O$2,$Q$2)/$Q$2))</f>
        <v>3871.2850589847</v>
      </c>
      <c r="L530" s="15" t="n">
        <f aca="false">K530*(1+IF(L$3&lt;=$O$2,$D530,$D530-($D530-$I$508)*MIN(L$3-$O$2,$Q$2)/$Q$2))</f>
        <v>4035.01440973682</v>
      </c>
      <c r="M530" s="15" t="n">
        <f aca="false">L530*(1+IF(M$3&lt;=$O$2,$D530,$D530-($D530-$I$508)*MIN(M$3-$O$2,$Q$2)/$Q$2))</f>
        <v>4177.43686481323</v>
      </c>
      <c r="N530" s="15" t="n">
        <f aca="false">M530*(1+IF(N$3&lt;=$O$2,$D530,$D530-($D530-$I$508)*MIN(N$3-$O$2,$Q$2)/$Q$2))</f>
        <v>4295.65832808745</v>
      </c>
      <c r="O530" s="15" t="n">
        <f aca="false">SUMPRODUCT(E530:N530,1/(1+$F$508)^$E$3:$N$3)*$E$2</f>
        <v>4210.85316049281</v>
      </c>
      <c r="P530" s="15" t="n">
        <f aca="false">N530*$E$2*(1+$I$508)/($F$508-$I$508)/(1+$F$508)^$N$3</f>
        <v>4835.33742755696</v>
      </c>
      <c r="Q530" s="15" t="n">
        <f aca="false">O530+P530</f>
        <v>9046.19058804978</v>
      </c>
      <c r="R530" s="15" t="n">
        <f aca="false">Q530-$G$2+$I$2</f>
        <v>7669.99058804978</v>
      </c>
      <c r="S530" s="42" t="n">
        <f aca="false">R530/$K$2</f>
        <v>204.478554733398</v>
      </c>
      <c r="T530" s="43" t="n">
        <f aca="false">S530-$M$2</f>
        <v>-0.000250918427610714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0.0632832050323486</v>
      </c>
      <c r="C531" s="25" t="n">
        <f aca="false">IF(T530&gt;0,D530,C530)</f>
        <v>0.0632839202880859</v>
      </c>
      <c r="D531" s="41" t="n">
        <f aca="false">(B531+C531)/2</f>
        <v>0.0632835626602173</v>
      </c>
      <c r="E531" s="15" t="n">
        <f aca="false">$C$2*(1+IF(E$3&lt;=$O$2,$D531,$D531-($D531-$I$508)*MIN(E$3-$O$2,$Q$2)/$Q$2))</f>
        <v>2732.63875603676</v>
      </c>
      <c r="F531" s="15" t="n">
        <f aca="false">E531*(1+IF(F$3&lt;=$O$2,$D531,$D531-($D531-$I$508)*MIN(F$3-$O$2,$Q$2)/$Q$2))</f>
        <v>2905.56987198215</v>
      </c>
      <c r="G531" s="15" t="n">
        <f aca="false">F531*(1+IF(G$3&lt;=$O$2,$D531,$D531-($D531-$I$508)*MIN(G$3-$O$2,$Q$2)/$Q$2))</f>
        <v>3089.44468503937</v>
      </c>
      <c r="H531" s="15" t="n">
        <f aca="false">G531*(1+IF(H$3&lt;=$O$2,$D531,$D531-($D531-$I$508)*MIN(H$3-$O$2,$Q$2)/$Q$2))</f>
        <v>3284.95575135034</v>
      </c>
      <c r="I531" s="15" t="n">
        <f aca="false">H531*(1+IF(I$3&lt;=$O$2,$D531,$D531-($D531-$I$508)*MIN(I$3-$O$2,$Q$2)/$Q$2))</f>
        <v>3492.83945447696</v>
      </c>
      <c r="J531" s="15" t="n">
        <f aca="false">I531*(1+IF(J$3&lt;=$O$2,$D531,$D531-($D531-$I$508)*MIN(J$3-$O$2,$Q$2)/$Q$2))</f>
        <v>3689.44038537287</v>
      </c>
      <c r="K531" s="15" t="n">
        <f aca="false">J531*(1+IF(K$3&lt;=$O$2,$D531,$D531-($D531-$I$508)*MIN(K$3-$O$2,$Q$2)/$Q$2))</f>
        <v>3871.29340962062</v>
      </c>
      <c r="L531" s="15" t="n">
        <f aca="false">K531*(1+IF(L$3&lt;=$O$2,$D531,$D531-($D531-$I$508)*MIN(L$3-$O$2,$Q$2)/$Q$2))</f>
        <v>4035.0236673415</v>
      </c>
      <c r="M531" s="15" t="n">
        <f aca="false">L531*(1+IF(M$3&lt;=$O$2,$D531,$D531-($D531-$I$508)*MIN(M$3-$O$2,$Q$2)/$Q$2))</f>
        <v>4177.44673778765</v>
      </c>
      <c r="N531" s="15" t="n">
        <f aca="false">M531*(1+IF(N$3&lt;=$O$2,$D531,$D531-($D531-$I$508)*MIN(N$3-$O$2,$Q$2)/$Q$2))</f>
        <v>4295.66848046704</v>
      </c>
      <c r="O531" s="15" t="n">
        <f aca="false">SUMPRODUCT(E531:N531,1/(1+$F$508)^$E$3:$N$3)*$E$2</f>
        <v>4210.85962987642</v>
      </c>
      <c r="P531" s="15" t="n">
        <f aca="false">N531*$E$2*(1+$I$508)/($F$508-$I$508)/(1+$F$508)^$N$3</f>
        <v>4835.34885541674</v>
      </c>
      <c r="Q531" s="15" t="n">
        <f aca="false">O531+P531</f>
        <v>9046.20848529316</v>
      </c>
      <c r="R531" s="15" t="n">
        <f aca="false">Q531-$G$2+$I$2</f>
        <v>7670.00848529316</v>
      </c>
      <c r="S531" s="42" t="n">
        <f aca="false">R531/$K$2</f>
        <v>204.479031865987</v>
      </c>
      <c r="T531" s="43" t="n">
        <f aca="false">S531-$M$2</f>
        <v>0.000226214160591098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0.0632832050323486</v>
      </c>
      <c r="C532" s="25" t="n">
        <f aca="false">IF(T531&gt;0,D531,C531)</f>
        <v>0.0632835626602173</v>
      </c>
      <c r="D532" s="41" t="n">
        <f aca="false">(B532+C532)/2</f>
        <v>0.063283383846283</v>
      </c>
      <c r="E532" s="15" t="n">
        <f aca="false">$C$2*(1+IF(E$3&lt;=$O$2,$D532,$D532-($D532-$I$508)*MIN(E$3-$O$2,$Q$2)/$Q$2))</f>
        <v>2732.63829648495</v>
      </c>
      <c r="F532" s="15" t="n">
        <f aca="false">E532*(1+IF(F$3&lt;=$O$2,$D532,$D532-($D532-$I$508)*MIN(F$3-$O$2,$Q$2)/$Q$2))</f>
        <v>2905.56889471446</v>
      </c>
      <c r="G532" s="15" t="n">
        <f aca="false">F532*(1+IF(G$3&lt;=$O$2,$D532,$D532-($D532-$I$508)*MIN(G$3-$O$2,$Q$2)/$Q$2))</f>
        <v>3089.44312637049</v>
      </c>
      <c r="H532" s="15" t="n">
        <f aca="false">G532*(1+IF(H$3&lt;=$O$2,$D532,$D532-($D532-$I$508)*MIN(H$3-$O$2,$Q$2)/$Q$2))</f>
        <v>3284.95354160786</v>
      </c>
      <c r="I532" s="15" t="n">
        <f aca="false">H532*(1+IF(I$3&lt;=$O$2,$D532,$D532-($D532-$I$508)*MIN(I$3-$O$2,$Q$2)/$Q$2))</f>
        <v>3492.83651749863</v>
      </c>
      <c r="J532" s="15" t="n">
        <f aca="false">I532*(1+IF(J$3&lt;=$O$2,$D532,$D532-($D532-$I$508)*MIN(J$3-$O$2,$Q$2)/$Q$2))</f>
        <v>3689.43678342702</v>
      </c>
      <c r="K532" s="15" t="n">
        <f aca="false">J532*(1+IF(K$3&lt;=$O$2,$D532,$D532-($D532-$I$508)*MIN(K$3-$O$2,$Q$2)/$Q$2))</f>
        <v>3871.28923430074</v>
      </c>
      <c r="L532" s="15" t="n">
        <f aca="false">K532*(1+IF(L$3&lt;=$O$2,$D532,$D532-($D532-$I$508)*MIN(L$3-$O$2,$Q$2)/$Q$2))</f>
        <v>4035.01903853686</v>
      </c>
      <c r="M532" s="15" t="n">
        <f aca="false">L532*(1+IF(M$3&lt;=$O$2,$D532,$D532-($D532-$I$508)*MIN(M$3-$O$2,$Q$2)/$Q$2))</f>
        <v>4177.44180129789</v>
      </c>
      <c r="N532" s="15" t="n">
        <f aca="false">M532*(1+IF(N$3&lt;=$O$2,$D532,$D532-($D532-$I$508)*MIN(N$3-$O$2,$Q$2)/$Q$2))</f>
        <v>4295.66340427462</v>
      </c>
      <c r="O532" s="15" t="n">
        <f aca="false">SUMPRODUCT(E532:N532,1/(1+$F$508)^$E$3:$N$3)*$E$2</f>
        <v>4210.85639518336</v>
      </c>
      <c r="P532" s="15" t="n">
        <f aca="false">N532*$E$2*(1+$I$508)/($F$508-$I$508)/(1+$F$508)^$N$3</f>
        <v>4835.3431414839</v>
      </c>
      <c r="Q532" s="15" t="n">
        <f aca="false">O532+P532</f>
        <v>9046.19953666726</v>
      </c>
      <c r="R532" s="15" t="n">
        <f aca="false">Q532-$G$2+$I$2</f>
        <v>7669.99953666726</v>
      </c>
      <c r="S532" s="42" t="n">
        <f aca="false">R532/$K$2</f>
        <v>204.478793299581</v>
      </c>
      <c r="T532" s="43" t="n">
        <f aca="false">S532-$M$2</f>
        <v>-1.23522455908187E-005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0.063283383846283</v>
      </c>
      <c r="C533" s="25" t="n">
        <f aca="false">IF(T532&gt;0,D532,C532)</f>
        <v>0.0632835626602173</v>
      </c>
      <c r="D533" s="41" t="n">
        <f aca="false">(B533+C533)/2</f>
        <v>0.0632834732532501</v>
      </c>
      <c r="E533" s="15" t="n">
        <f aca="false">$C$2*(1+IF(E$3&lt;=$O$2,$D533,$D533-($D533-$I$508)*MIN(E$3-$O$2,$Q$2)/$Q$2))</f>
        <v>2732.63852626085</v>
      </c>
      <c r="F533" s="15" t="n">
        <f aca="false">E533*(1+IF(F$3&lt;=$O$2,$D533,$D533-($D533-$I$508)*MIN(F$3-$O$2,$Q$2)/$Q$2))</f>
        <v>2905.56938334828</v>
      </c>
      <c r="G533" s="15" t="n">
        <f aca="false">F533*(1+IF(G$3&lt;=$O$2,$D533,$D533-($D533-$I$508)*MIN(G$3-$O$2,$Q$2)/$Q$2))</f>
        <v>3089.44390570487</v>
      </c>
      <c r="H533" s="15" t="n">
        <f aca="false">G533*(1+IF(H$3&lt;=$O$2,$D533,$D533-($D533-$I$508)*MIN(H$3-$O$2,$Q$2)/$Q$2))</f>
        <v>3284.95464647896</v>
      </c>
      <c r="I533" s="15" t="n">
        <f aca="false">H533*(1+IF(I$3&lt;=$O$2,$D533,$D533-($D533-$I$508)*MIN(I$3-$O$2,$Q$2)/$Q$2))</f>
        <v>3492.83798598755</v>
      </c>
      <c r="J533" s="15" t="n">
        <f aca="false">I533*(1+IF(J$3&lt;=$O$2,$D533,$D533-($D533-$I$508)*MIN(J$3-$O$2,$Q$2)/$Q$2))</f>
        <v>3689.43858439958</v>
      </c>
      <c r="K533" s="15" t="n">
        <f aca="false">J533*(1+IF(K$3&lt;=$O$2,$D533,$D533-($D533-$I$508)*MIN(K$3-$O$2,$Q$2)/$Q$2))</f>
        <v>3871.2913219602</v>
      </c>
      <c r="L533" s="15" t="n">
        <f aca="false">K533*(1+IF(L$3&lt;=$O$2,$D533,$D533-($D533-$I$508)*MIN(L$3-$O$2,$Q$2)/$Q$2))</f>
        <v>4035.02135293861</v>
      </c>
      <c r="M533" s="15" t="n">
        <f aca="false">L533*(1+IF(M$3&lt;=$O$2,$D533,$D533-($D533-$I$508)*MIN(M$3-$O$2,$Q$2)/$Q$2))</f>
        <v>4177.44426954213</v>
      </c>
      <c r="N533" s="15" t="n">
        <f aca="false">M533*(1+IF(N$3&lt;=$O$2,$D533,$D533-($D533-$I$508)*MIN(N$3-$O$2,$Q$2)/$Q$2))</f>
        <v>4295.66594237018</v>
      </c>
      <c r="O533" s="15" t="n">
        <f aca="false">SUMPRODUCT(E533:N533,1/(1+$F$508)^$E$3:$N$3)*$E$2</f>
        <v>4210.85801252958</v>
      </c>
      <c r="P533" s="15" t="n">
        <f aca="false">N533*$E$2*(1+$I$508)/($F$508-$I$508)/(1+$F$508)^$N$3</f>
        <v>4835.34599844959</v>
      </c>
      <c r="Q533" s="15" t="n">
        <f aca="false">O533+P533</f>
        <v>9046.20401097916</v>
      </c>
      <c r="R533" s="15" t="n">
        <f aca="false">Q533-$G$2+$I$2</f>
        <v>7670.00401097916</v>
      </c>
      <c r="S533" s="42" t="n">
        <f aca="false">R533/$K$2</f>
        <v>204.478912582756</v>
      </c>
      <c r="T533" s="43" t="n">
        <f aca="false">S533-$M$2</f>
        <v>0.000106930929547389</v>
      </c>
    </row>
    <row r="535" customFormat="false" ht="15" hidden="false" customHeight="false" outlineLevel="0" collapsed="false">
      <c r="A535" s="38" t="s">
        <v>200</v>
      </c>
      <c r="E535" s="5" t="s">
        <v>11</v>
      </c>
      <c r="F535" s="12" t="n">
        <f aca="false">Sensitivity!$B$13</f>
        <v>0.099183337553844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162</v>
      </c>
      <c r="B536" s="28" t="s">
        <v>163</v>
      </c>
      <c r="C536" s="28" t="s">
        <v>164</v>
      </c>
      <c r="D536" s="28" t="s">
        <v>165</v>
      </c>
      <c r="E536" s="28" t="s">
        <v>166</v>
      </c>
      <c r="F536" s="28" t="s">
        <v>167</v>
      </c>
      <c r="G536" s="28" t="s">
        <v>168</v>
      </c>
      <c r="H536" s="28" t="s">
        <v>169</v>
      </c>
      <c r="I536" s="28" t="s">
        <v>170</v>
      </c>
      <c r="J536" s="28" t="s">
        <v>171</v>
      </c>
      <c r="K536" s="28" t="s">
        <v>172</v>
      </c>
      <c r="L536" s="28" t="s">
        <v>173</v>
      </c>
      <c r="M536" s="28" t="s">
        <v>174</v>
      </c>
      <c r="N536" s="28" t="s">
        <v>175</v>
      </c>
      <c r="O536" s="28" t="s">
        <v>176</v>
      </c>
      <c r="P536" s="28" t="s">
        <v>177</v>
      </c>
      <c r="Q536" s="28" t="s">
        <v>178</v>
      </c>
      <c r="R536" s="28" t="s">
        <v>179</v>
      </c>
      <c r="S536" s="28" t="s">
        <v>180</v>
      </c>
      <c r="T536" s="28" t="s">
        <v>181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3212.5</v>
      </c>
      <c r="F537" s="15" t="n">
        <f aca="false">E537*(1+IF(F$3&lt;=$O$2,$D537,$D537-($D537-$I$535)*MIN(F$3-$O$2,$Q$2)/$Q$2))</f>
        <v>4015.625</v>
      </c>
      <c r="G537" s="15" t="n">
        <f aca="false">F537*(1+IF(G$3&lt;=$O$2,$D537,$D537-($D537-$I$535)*MIN(G$3-$O$2,$Q$2)/$Q$2))</f>
        <v>5019.53125</v>
      </c>
      <c r="H537" s="15" t="n">
        <f aca="false">G537*(1+IF(H$3&lt;=$O$2,$D537,$D537-($D537-$I$535)*MIN(H$3-$O$2,$Q$2)/$Q$2))</f>
        <v>6274.4140625</v>
      </c>
      <c r="I537" s="15" t="n">
        <f aca="false">H537*(1+IF(I$3&lt;=$O$2,$D537,$D537-($D537-$I$535)*MIN(I$3-$O$2,$Q$2)/$Q$2))</f>
        <v>7843.017578125</v>
      </c>
      <c r="J537" s="15" t="n">
        <f aca="false">I537*(1+IF(J$3&lt;=$O$2,$D537,$D537-($D537-$I$535)*MIN(J$3-$O$2,$Q$2)/$Q$2))</f>
        <v>9463.85559082031</v>
      </c>
      <c r="K537" s="15" t="n">
        <f aca="false">J537*(1+IF(K$3&lt;=$O$2,$D537,$D537-($D537-$I$535)*MIN(K$3-$O$2,$Q$2)/$Q$2))</f>
        <v>11009.4924859131</v>
      </c>
      <c r="L537" s="15" t="n">
        <f aca="false">K537*(1+IF(L$3&lt;=$O$2,$D537,$D537-($D537-$I$535)*MIN(L$3-$O$2,$Q$2)/$Q$2))</f>
        <v>12330.4113943729</v>
      </c>
      <c r="M537" s="15" t="n">
        <f aca="false">L537*(1+IF(M$3&lt;=$O$2,$D537,$D537-($D537-$I$535)*MIN(M$3-$O$2,$Q$2)/$Q$2))</f>
        <v>13275.4141236377</v>
      </c>
      <c r="N537" s="15" t="n">
        <f aca="false">M537*(1+IF(N$3&lt;=$O$2,$D537,$D537-($D537-$I$535)*MIN(N$3-$O$2,$Q$2)/$Q$2))</f>
        <v>13717.4854139548</v>
      </c>
      <c r="O537" s="15" t="n">
        <f aca="false">SUMPRODUCT(E537:N537,1/(1+$F$535)^$E$3:$N$3)*$E$2</f>
        <v>9396.94877526628</v>
      </c>
      <c r="P537" s="15" t="n">
        <f aca="false">N537*$E$2*(1+$I$535)/($F$535-$I$535)/(1+$F$535)^$N$3</f>
        <v>16693.4738994884</v>
      </c>
      <c r="Q537" s="15" t="n">
        <f aca="false">O537+P537</f>
        <v>26090.4226747547</v>
      </c>
      <c r="R537" s="15" t="n">
        <f aca="false">Q537-$G$2+$I$2</f>
        <v>24714.2226747547</v>
      </c>
      <c r="S537" s="42" t="n">
        <f aca="false">R537/$K$2</f>
        <v>658.870239262988</v>
      </c>
      <c r="T537" s="43" t="n">
        <f aca="false">S537-$M$2</f>
        <v>454.391433611162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2248.75</v>
      </c>
      <c r="F538" s="15" t="n">
        <f aca="false">E538*(1+IF(F$3&lt;=$O$2,$D538,$D538-($D538-$I$535)*MIN(F$3-$O$2,$Q$2)/$Q$2))</f>
        <v>1967.65625</v>
      </c>
      <c r="G538" s="15" t="n">
        <f aca="false">F538*(1+IF(G$3&lt;=$O$2,$D538,$D538-($D538-$I$535)*MIN(G$3-$O$2,$Q$2)/$Q$2))</f>
        <v>1721.69921875</v>
      </c>
      <c r="H538" s="15" t="n">
        <f aca="false">G538*(1+IF(H$3&lt;=$O$2,$D538,$D538-($D538-$I$535)*MIN(H$3-$O$2,$Q$2)/$Q$2))</f>
        <v>1506.48681640625</v>
      </c>
      <c r="I538" s="15" t="n">
        <f aca="false">H538*(1+IF(I$3&lt;=$O$2,$D538,$D538-($D538-$I$535)*MIN(I$3-$O$2,$Q$2)/$Q$2))</f>
        <v>1318.17596435547</v>
      </c>
      <c r="J538" s="15" t="n">
        <f aca="false">I538*(1+IF(J$3&lt;=$O$2,$D538,$D538-($D538-$I$535)*MIN(J$3-$O$2,$Q$2)/$Q$2))</f>
        <v>1195.13741984253</v>
      </c>
      <c r="K538" s="15" t="n">
        <f aca="false">J538*(1+IF(K$3&lt;=$O$2,$D538,$D538-($D538-$I$535)*MIN(K$3-$O$2,$Q$2)/$Q$2))</f>
        <v>1121.42134378664</v>
      </c>
      <c r="L538" s="15" t="n">
        <f aca="false">K538*(1+IF(L$3&lt;=$O$2,$D538,$D538-($D538-$I$535)*MIN(L$3-$O$2,$Q$2)/$Q$2))</f>
        <v>1087.75627504617</v>
      </c>
      <c r="M538" s="15" t="n">
        <f aca="false">L538*(1+IF(M$3&lt;=$O$2,$D538,$D538-($D538-$I$535)*MIN(M$3-$O$2,$Q$2)/$Q$2))</f>
        <v>1089.54019533724</v>
      </c>
      <c r="N538" s="15" t="n">
        <f aca="false">M538*(1+IF(N$3&lt;=$O$2,$D538,$D538-($D538-$I$535)*MIN(N$3-$O$2,$Q$2)/$Q$2))</f>
        <v>1125.82188384197</v>
      </c>
      <c r="O538" s="15" t="n">
        <f aca="false">SUMPRODUCT(E538:N538,1/(1+$F$535)^$E$3:$N$3)*$E$2</f>
        <v>1896.46625102994</v>
      </c>
      <c r="P538" s="15" t="n">
        <f aca="false">N538*$E$2*(1+$I$535)/($F$535-$I$535)/(1+$F$535)^$N$3</f>
        <v>1370.06730215072</v>
      </c>
      <c r="Q538" s="15" t="n">
        <f aca="false">O538+P538</f>
        <v>3266.53355318066</v>
      </c>
      <c r="R538" s="15" t="n">
        <f aca="false">Q538-$G$2+$I$2</f>
        <v>1890.33355318066</v>
      </c>
      <c r="S538" s="42" t="n">
        <f aca="false">R538/$K$2</f>
        <v>50.3954559632274</v>
      </c>
      <c r="T538" s="43" t="n">
        <f aca="false">S538-$M$2</f>
        <v>-154.083349688599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2730.625</v>
      </c>
      <c r="F539" s="15" t="n">
        <f aca="false">E539*(1+IF(F$3&lt;=$O$2,$D539,$D539-($D539-$I$535)*MIN(F$3-$O$2,$Q$2)/$Q$2))</f>
        <v>2901.2890625</v>
      </c>
      <c r="G539" s="15" t="n">
        <f aca="false">F539*(1+IF(G$3&lt;=$O$2,$D539,$D539-($D539-$I$535)*MIN(G$3-$O$2,$Q$2)/$Q$2))</f>
        <v>3082.61962890625</v>
      </c>
      <c r="H539" s="15" t="n">
        <f aca="false">G539*(1+IF(H$3&lt;=$O$2,$D539,$D539-($D539-$I$535)*MIN(H$3-$O$2,$Q$2)/$Q$2))</f>
        <v>3275.28335571289</v>
      </c>
      <c r="I539" s="15" t="n">
        <f aca="false">H539*(1+IF(I$3&lt;=$O$2,$D539,$D539-($D539-$I$535)*MIN(I$3-$O$2,$Q$2)/$Q$2))</f>
        <v>3479.98856544495</v>
      </c>
      <c r="J539" s="15" t="n">
        <f aca="false">I539*(1+IF(J$3&lt;=$O$2,$D539,$D539-($D539-$I$535)*MIN(J$3-$O$2,$Q$2)/$Q$2))</f>
        <v>3677.16471756306</v>
      </c>
      <c r="K539" s="15" t="n">
        <f aca="false">J539*(1+IF(K$3&lt;=$O$2,$D539,$D539-($D539-$I$535)*MIN(K$3-$O$2,$Q$2)/$Q$2))</f>
        <v>3864.03822850961</v>
      </c>
      <c r="L539" s="15" t="n">
        <f aca="false">K539*(1+IF(L$3&lt;=$O$2,$D539,$D539-($D539-$I$535)*MIN(L$3-$O$2,$Q$2)/$Q$2))</f>
        <v>4037.84266802797</v>
      </c>
      <c r="M539" s="15" t="n">
        <f aca="false">L539*(1+IF(M$3&lt;=$O$2,$D539,$D539-($D539-$I$535)*MIN(M$3-$O$2,$Q$2)/$Q$2))</f>
        <v>4195.88383005459</v>
      </c>
      <c r="N539" s="15" t="n">
        <f aca="false">M539*(1+IF(N$3&lt;=$O$2,$D539,$D539-($D539-$I$535)*MIN(N$3-$O$2,$Q$2)/$Q$2))</f>
        <v>4335.60676159541</v>
      </c>
      <c r="O539" s="15" t="n">
        <f aca="false">SUMPRODUCT(E539:N539,1/(1+$F$535)^$E$3:$N$3)*$E$2</f>
        <v>4208.633237749</v>
      </c>
      <c r="P539" s="15" t="n">
        <f aca="false">N539*$E$2*(1+$I$535)/($F$535-$I$535)/(1+$F$535)^$N$3</f>
        <v>5276.21033513255</v>
      </c>
      <c r="Q539" s="15" t="n">
        <f aca="false">O539+P539</f>
        <v>9484.84357288155</v>
      </c>
      <c r="R539" s="15" t="n">
        <f aca="false">Q539-$G$2+$I$2</f>
        <v>8108.64357288155</v>
      </c>
      <c r="S539" s="42" t="n">
        <f aca="false">R539/$K$2</f>
        <v>216.172849183726</v>
      </c>
      <c r="T539" s="43" t="n">
        <f aca="false">S539-$M$2</f>
        <v>11.6940435318997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2489.6875</v>
      </c>
      <c r="F540" s="15" t="n">
        <f aca="false">E540*(1+IF(F$3&lt;=$O$2,$D540,$D540-($D540-$I$535)*MIN(F$3-$O$2,$Q$2)/$Q$2))</f>
        <v>2411.884765625</v>
      </c>
      <c r="G540" s="15" t="n">
        <f aca="false">F540*(1+IF(G$3&lt;=$O$2,$D540,$D540-($D540-$I$535)*MIN(G$3-$O$2,$Q$2)/$Q$2))</f>
        <v>2336.51336669922</v>
      </c>
      <c r="H540" s="15" t="n">
        <f aca="false">G540*(1+IF(H$3&lt;=$O$2,$D540,$D540-($D540-$I$535)*MIN(H$3-$O$2,$Q$2)/$Q$2))</f>
        <v>2263.49732398987</v>
      </c>
      <c r="I540" s="15" t="n">
        <f aca="false">H540*(1+IF(I$3&lt;=$O$2,$D540,$D540-($D540-$I$535)*MIN(I$3-$O$2,$Q$2)/$Q$2))</f>
        <v>2192.76303261519</v>
      </c>
      <c r="J540" s="15" t="n">
        <f aca="false">I540*(1+IF(J$3&lt;=$O$2,$D540,$D540-($D540-$I$535)*MIN(J$3-$O$2,$Q$2)/$Q$2))</f>
        <v>2152.54775859702</v>
      </c>
      <c r="K540" s="15" t="n">
        <f aca="false">J540*(1+IF(K$3&lt;=$O$2,$D540,$D540-($D540-$I$535)*MIN(K$3-$O$2,$Q$2)/$Q$2))</f>
        <v>2140.85942426784</v>
      </c>
      <c r="L540" s="15" t="n">
        <f aca="false">K540*(1+IF(L$3&lt;=$O$2,$D540,$D540-($D540-$I$535)*MIN(L$3-$O$2,$Q$2)/$Q$2))</f>
        <v>2156.87305276136</v>
      </c>
      <c r="M540" s="15" t="n">
        <f aca="false">L540*(1+IF(M$3&lt;=$O$2,$D540,$D540-($D540-$I$535)*MIN(M$3-$O$2,$Q$2)/$Q$2))</f>
        <v>2200.85169430717</v>
      </c>
      <c r="N540" s="15" t="n">
        <f aca="false">M540*(1+IF(N$3&lt;=$O$2,$D540,$D540-($D540-$I$535)*MIN(N$3-$O$2,$Q$2)/$Q$2))</f>
        <v>2274.1400557276</v>
      </c>
      <c r="O540" s="15" t="n">
        <f aca="false">SUMPRODUCT(E540:N540,1/(1+$F$535)^$E$3:$N$3)*$E$2</f>
        <v>2816.27157640723</v>
      </c>
      <c r="P540" s="15" t="n">
        <f aca="false">N540*$E$2*(1+$I$535)/($F$535-$I$535)/(1+$F$535)^$N$3</f>
        <v>2767.51142927768</v>
      </c>
      <c r="Q540" s="15" t="n">
        <f aca="false">O540+P540</f>
        <v>5583.78300568491</v>
      </c>
      <c r="R540" s="15" t="n">
        <f aca="false">Q540-$G$2+$I$2</f>
        <v>4207.58300568491</v>
      </c>
      <c r="S540" s="42" t="n">
        <f aca="false">R540/$K$2</f>
        <v>112.172300871365</v>
      </c>
      <c r="T540" s="43" t="n">
        <f aca="false">S540-$M$2</f>
        <v>-92.3065047804609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41" t="n">
        <f aca="false">(B541+C541)/2</f>
        <v>0.015625</v>
      </c>
      <c r="E541" s="15" t="n">
        <f aca="false">$C$2*(1+IF(E$3&lt;=$O$2,$D541,$D541-($D541-$I$535)*MIN(E$3-$O$2,$Q$2)/$Q$2))</f>
        <v>2610.15625</v>
      </c>
      <c r="F541" s="15" t="n">
        <f aca="false">E541*(1+IF(F$3&lt;=$O$2,$D541,$D541-($D541-$I$535)*MIN(F$3-$O$2,$Q$2)/$Q$2))</f>
        <v>2650.93994140625</v>
      </c>
      <c r="G541" s="15" t="n">
        <f aca="false">F541*(1+IF(G$3&lt;=$O$2,$D541,$D541-($D541-$I$535)*MIN(G$3-$O$2,$Q$2)/$Q$2))</f>
        <v>2692.36087799072</v>
      </c>
      <c r="H541" s="15" t="n">
        <f aca="false">G541*(1+IF(H$3&lt;=$O$2,$D541,$D541-($D541-$I$535)*MIN(H$3-$O$2,$Q$2)/$Q$2))</f>
        <v>2734.42901670933</v>
      </c>
      <c r="I541" s="15" t="n">
        <f aca="false">H541*(1+IF(I$3&lt;=$O$2,$D541,$D541-($D541-$I$535)*MIN(I$3-$O$2,$Q$2)/$Q$2))</f>
        <v>2777.15447009541</v>
      </c>
      <c r="J541" s="15" t="n">
        <f aca="false">I541*(1+IF(J$3&lt;=$O$2,$D541,$D541-($D541-$I$535)*MIN(J$3-$O$2,$Q$2)/$Q$2))</f>
        <v>2830.36474974244</v>
      </c>
      <c r="K541" s="15" t="n">
        <f aca="false">J541*(1+IF(K$3&lt;=$O$2,$D541,$D541-($D541-$I$535)*MIN(K$3-$O$2,$Q$2)/$Q$2))</f>
        <v>2894.59987773784</v>
      </c>
      <c r="L541" s="15" t="n">
        <f aca="false">K541*(1+IF(L$3&lt;=$O$2,$D541,$D541-($D541-$I$535)*MIN(L$3-$O$2,$Q$2)/$Q$2))</f>
        <v>2970.52523253091</v>
      </c>
      <c r="M541" s="15" t="n">
        <f aca="false">L541*(1+IF(M$3&lt;=$O$2,$D541,$D541-($D541-$I$535)*MIN(M$3-$O$2,$Q$2)/$Q$2))</f>
        <v>3058.94291607719</v>
      </c>
      <c r="N541" s="15" t="n">
        <f aca="false">M541*(1+IF(N$3&lt;=$O$2,$D541,$D541-($D541-$I$535)*MIN(N$3-$O$2,$Q$2)/$Q$2))</f>
        <v>3160.80571518256</v>
      </c>
      <c r="O541" s="15" t="n">
        <f aca="false">SUMPRODUCT(E541:N541,1/(1+$F$535)^$E$3:$N$3)*$E$2</f>
        <v>3441.129329018</v>
      </c>
      <c r="P541" s="15" t="n">
        <f aca="false">N541*$E$2*(1+$I$535)/($F$535-$I$535)/(1+$F$535)^$N$3</f>
        <v>3846.53791241332</v>
      </c>
      <c r="Q541" s="15" t="n">
        <f aca="false">O541+P541</f>
        <v>7287.66724143132</v>
      </c>
      <c r="R541" s="15" t="n">
        <f aca="false">Q541-$G$2+$I$2</f>
        <v>5911.46724143132</v>
      </c>
      <c r="S541" s="42" t="n">
        <f aca="false">R541/$K$2</f>
        <v>157.59710054469</v>
      </c>
      <c r="T541" s="43" t="n">
        <f aca="false">S541-$M$2</f>
        <v>-46.8817051071361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0.015625</v>
      </c>
      <c r="C542" s="25" t="n">
        <f aca="false">IF(T541&gt;0,D541,C541)</f>
        <v>0.0625</v>
      </c>
      <c r="D542" s="41" t="n">
        <f aca="false">(B542+C542)/2</f>
        <v>0.0390625</v>
      </c>
      <c r="E542" s="15" t="n">
        <f aca="false">$C$2*(1+IF(E$3&lt;=$O$2,$D542,$D542-($D542-$I$535)*MIN(E$3-$O$2,$Q$2)/$Q$2))</f>
        <v>2670.390625</v>
      </c>
      <c r="F542" s="15" t="n">
        <f aca="false">E542*(1+IF(F$3&lt;=$O$2,$D542,$D542-($D542-$I$535)*MIN(F$3-$O$2,$Q$2)/$Q$2))</f>
        <v>2774.70275878906</v>
      </c>
      <c r="G542" s="15" t="n">
        <f aca="false">F542*(1+IF(G$3&lt;=$O$2,$D542,$D542-($D542-$I$535)*MIN(G$3-$O$2,$Q$2)/$Q$2))</f>
        <v>2883.08958530426</v>
      </c>
      <c r="H542" s="15" t="n">
        <f aca="false">G542*(1+IF(H$3&lt;=$O$2,$D542,$D542-($D542-$I$535)*MIN(H$3-$O$2,$Q$2)/$Q$2))</f>
        <v>2995.71027223021</v>
      </c>
      <c r="I542" s="15" t="n">
        <f aca="false">H542*(1+IF(I$3&lt;=$O$2,$D542,$D542-($D542-$I$535)*MIN(I$3-$O$2,$Q$2)/$Q$2))</f>
        <v>3112.7302047392</v>
      </c>
      <c r="J542" s="15" t="n">
        <f aca="false">I542*(1+IF(J$3&lt;=$O$2,$D542,$D542-($D542-$I$535)*MIN(J$3-$O$2,$Q$2)/$Q$2))</f>
        <v>3230.73380680086</v>
      </c>
      <c r="K542" s="15" t="n">
        <f aca="false">J542*(1+IF(K$3&lt;=$O$2,$D542,$D542-($D542-$I$535)*MIN(K$3-$O$2,$Q$2)/$Q$2))</f>
        <v>3349.48750470435</v>
      </c>
      <c r="L542" s="15" t="n">
        <f aca="false">K542*(1+IF(L$3&lt;=$O$2,$D542,$D542-($D542-$I$535)*MIN(L$3-$O$2,$Q$2)/$Q$2))</f>
        <v>3468.74600730935</v>
      </c>
      <c r="M542" s="15" t="n">
        <f aca="false">L542*(1+IF(M$3&lt;=$O$2,$D542,$D542-($D542-$I$535)*MIN(M$3-$O$2,$Q$2)/$Q$2))</f>
        <v>3588.25297912617</v>
      </c>
      <c r="N542" s="15" t="n">
        <f aca="false">M542*(1+IF(N$3&lt;=$O$2,$D542,$D542-($D542-$I$535)*MIN(N$3-$O$2,$Q$2)/$Q$2))</f>
        <v>3707.74180333107</v>
      </c>
      <c r="O542" s="15" t="n">
        <f aca="false">SUMPRODUCT(E542:N542,1/(1+$F$535)^$E$3:$N$3)*$E$2</f>
        <v>3805.27745525701</v>
      </c>
      <c r="P542" s="15" t="n">
        <f aca="false">N542*$E$2*(1+$I$535)/($F$535-$I$535)/(1+$F$535)^$N$3</f>
        <v>4512.13098845241</v>
      </c>
      <c r="Q542" s="15" t="n">
        <f aca="false">O542+P542</f>
        <v>8317.40844370941</v>
      </c>
      <c r="R542" s="15" t="n">
        <f aca="false">Q542-$G$2+$I$2</f>
        <v>6941.20844370941</v>
      </c>
      <c r="S542" s="42" t="n">
        <f aca="false">R542/$K$2</f>
        <v>185.049545286841</v>
      </c>
      <c r="T542" s="43" t="n">
        <f aca="false">S542-$M$2</f>
        <v>-19.4292603649849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0.0390625</v>
      </c>
      <c r="C543" s="25" t="n">
        <f aca="false">IF(T542&gt;0,D542,C542)</f>
        <v>0.0625</v>
      </c>
      <c r="D543" s="41" t="n">
        <f aca="false">(B543+C543)/2</f>
        <v>0.05078125</v>
      </c>
      <c r="E543" s="15" t="n">
        <f aca="false">$C$2*(1+IF(E$3&lt;=$O$2,$D543,$D543-($D543-$I$535)*MIN(E$3-$O$2,$Q$2)/$Q$2))</f>
        <v>2700.5078125</v>
      </c>
      <c r="F543" s="15" t="n">
        <f aca="false">E543*(1+IF(F$3&lt;=$O$2,$D543,$D543-($D543-$I$535)*MIN(F$3-$O$2,$Q$2)/$Q$2))</f>
        <v>2837.64297485352</v>
      </c>
      <c r="G543" s="15" t="n">
        <f aca="false">F543*(1+IF(G$3&lt;=$O$2,$D543,$D543-($D543-$I$535)*MIN(G$3-$O$2,$Q$2)/$Q$2))</f>
        <v>2981.7420321703</v>
      </c>
      <c r="H543" s="15" t="n">
        <f aca="false">G543*(1+IF(H$3&lt;=$O$2,$D543,$D543-($D543-$I$535)*MIN(H$3-$O$2,$Q$2)/$Q$2))</f>
        <v>3133.15861974144</v>
      </c>
      <c r="I543" s="15" t="n">
        <f aca="false">H543*(1+IF(I$3&lt;=$O$2,$D543,$D543-($D543-$I$535)*MIN(I$3-$O$2,$Q$2)/$Q$2))</f>
        <v>3292.26433090019</v>
      </c>
      <c r="J543" s="15" t="n">
        <f aca="false">I543*(1+IF(J$3&lt;=$O$2,$D543,$D543-($D543-$I$535)*MIN(J$3-$O$2,$Q$2)/$Q$2))</f>
        <v>3447.9390497868</v>
      </c>
      <c r="K543" s="15" t="n">
        <f aca="false">J543*(1+IF(K$3&lt;=$O$2,$D543,$D543-($D543-$I$535)*MIN(K$3-$O$2,$Q$2)/$Q$2))</f>
        <v>3598.91999085316</v>
      </c>
      <c r="L543" s="15" t="n">
        <f aca="false">K543*(1+IF(L$3&lt;=$O$2,$D543,$D543-($D543-$I$535)*MIN(L$3-$O$2,$Q$2)/$Q$2))</f>
        <v>3743.92947458461</v>
      </c>
      <c r="M543" s="15" t="n">
        <f aca="false">L543*(1+IF(M$3&lt;=$O$2,$D543,$D543-($D543-$I$535)*MIN(M$3-$O$2,$Q$2)/$Q$2))</f>
        <v>3881.69203951379</v>
      </c>
      <c r="N543" s="15" t="n">
        <f aca="false">M543*(1+IF(N$3&lt;=$O$2,$D543,$D543-($D543-$I$535)*MIN(N$3-$O$2,$Q$2)/$Q$2))</f>
        <v>4010.9523844296</v>
      </c>
      <c r="O543" s="15" t="n">
        <f aca="false">SUMPRODUCT(E543:N543,1/(1+$F$535)^$E$3:$N$3)*$E$2</f>
        <v>4001.8160182012</v>
      </c>
      <c r="P543" s="15" t="n">
        <f aca="false">N543*$E$2*(1+$I$535)/($F$535-$I$535)/(1+$F$535)^$N$3</f>
        <v>4881.12266359338</v>
      </c>
      <c r="Q543" s="15" t="n">
        <f aca="false">O543+P543</f>
        <v>8882.93868179457</v>
      </c>
      <c r="R543" s="15" t="n">
        <f aca="false">Q543-$G$2+$I$2</f>
        <v>7506.73868179457</v>
      </c>
      <c r="S543" s="42" t="n">
        <f aca="false">R543/$K$2</f>
        <v>200.126331159546</v>
      </c>
      <c r="T543" s="43" t="n">
        <f aca="false">S543-$M$2</f>
        <v>-4.35247449227998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0.05078125</v>
      </c>
      <c r="C544" s="25" t="n">
        <f aca="false">IF(T543&gt;0,D543,C543)</f>
        <v>0.0625</v>
      </c>
      <c r="D544" s="41" t="n">
        <f aca="false">(B544+C544)/2</f>
        <v>0.056640625</v>
      </c>
      <c r="E544" s="15" t="n">
        <f aca="false">$C$2*(1+IF(E$3&lt;=$O$2,$D544,$D544-($D544-$I$535)*MIN(E$3-$O$2,$Q$2)/$Q$2))</f>
        <v>2715.56640625</v>
      </c>
      <c r="F544" s="15" t="n">
        <f aca="false">E544*(1+IF(F$3&lt;=$O$2,$D544,$D544-($D544-$I$535)*MIN(F$3-$O$2,$Q$2)/$Q$2))</f>
        <v>2869.377784729</v>
      </c>
      <c r="G544" s="15" t="n">
        <f aca="false">F544*(1+IF(G$3&lt;=$O$2,$D544,$D544-($D544-$I$535)*MIN(G$3-$O$2,$Q$2)/$Q$2))</f>
        <v>3031.90113581717</v>
      </c>
      <c r="H544" s="15" t="n">
        <f aca="false">G544*(1+IF(H$3&lt;=$O$2,$D544,$D544-($D544-$I$535)*MIN(H$3-$O$2,$Q$2)/$Q$2))</f>
        <v>3203.62991108806</v>
      </c>
      <c r="I544" s="15" t="n">
        <f aca="false">H544*(1+IF(I$3&lt;=$O$2,$D544,$D544-($D544-$I$535)*MIN(I$3-$O$2,$Q$2)/$Q$2))</f>
        <v>3385.08551152079</v>
      </c>
      <c r="J544" s="15" t="n">
        <f aca="false">I544*(1+IF(J$3&lt;=$O$2,$D544,$D544-($D544-$I$535)*MIN(J$3-$O$2,$Q$2)/$Q$2))</f>
        <v>3561.0168682683</v>
      </c>
      <c r="K544" s="15" t="n">
        <f aca="false">J544*(1+IF(K$3&lt;=$O$2,$D544,$D544-($D544-$I$535)*MIN(K$3-$O$2,$Q$2)/$Q$2))</f>
        <v>3729.46854558619</v>
      </c>
      <c r="L544" s="15" t="n">
        <f aca="false">K544*(1+IF(L$3&lt;=$O$2,$D544,$D544-($D544-$I$535)*MIN(L$3-$O$2,$Q$2)/$Q$2))</f>
        <v>3888.47909886294</v>
      </c>
      <c r="M544" s="15" t="n">
        <f aca="false">L544*(1+IF(M$3&lt;=$O$2,$D544,$D544-($D544-$I$535)*MIN(M$3-$O$2,$Q$2)/$Q$2))</f>
        <v>4036.11735934845</v>
      </c>
      <c r="N544" s="15" t="n">
        <f aca="false">M544*(1+IF(N$3&lt;=$O$2,$D544,$D544-($D544-$I$535)*MIN(N$3-$O$2,$Q$2)/$Q$2))</f>
        <v>4170.52006741476</v>
      </c>
      <c r="O544" s="15" t="n">
        <f aca="false">SUMPRODUCT(E544:N544,1/(1+$F$535)^$E$3:$N$3)*$E$2</f>
        <v>4103.90889789204</v>
      </c>
      <c r="P544" s="15" t="n">
        <f aca="false">N544*$E$2*(1+$I$535)/($F$535-$I$535)/(1+$F$535)^$N$3</f>
        <v>5075.3083230441</v>
      </c>
      <c r="Q544" s="15" t="n">
        <f aca="false">O544+P544</f>
        <v>9179.21722093614</v>
      </c>
      <c r="R544" s="15" t="n">
        <f aca="false">Q544-$G$2+$I$2</f>
        <v>7803.01722093614</v>
      </c>
      <c r="S544" s="42" t="n">
        <f aca="false">R544/$K$2</f>
        <v>208.024985895392</v>
      </c>
      <c r="T544" s="43" t="n">
        <f aca="false">S544-$M$2</f>
        <v>3.5461802435656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0.05078125</v>
      </c>
      <c r="C545" s="25" t="n">
        <f aca="false">IF(T544&gt;0,D544,C544)</f>
        <v>0.056640625</v>
      </c>
      <c r="D545" s="41" t="n">
        <f aca="false">(B545+C545)/2</f>
        <v>0.0537109375</v>
      </c>
      <c r="E545" s="15" t="n">
        <f aca="false">$C$2*(1+IF(E$3&lt;=$O$2,$D545,$D545-($D545-$I$535)*MIN(E$3-$O$2,$Q$2)/$Q$2))</f>
        <v>2708.037109375</v>
      </c>
      <c r="F545" s="15" t="n">
        <f aca="false">E545*(1+IF(F$3&lt;=$O$2,$D545,$D545-($D545-$I$535)*MIN(F$3-$O$2,$Q$2)/$Q$2))</f>
        <v>2853.48832130432</v>
      </c>
      <c r="G545" s="15" t="n">
        <f aca="false">F545*(1+IF(G$3&lt;=$O$2,$D545,$D545-($D545-$I$535)*MIN(G$3-$O$2,$Q$2)/$Q$2))</f>
        <v>3006.75185418688</v>
      </c>
      <c r="H545" s="15" t="n">
        <f aca="false">G545*(1+IF(H$3&lt;=$O$2,$D545,$D545-($D545-$I$535)*MIN(H$3-$O$2,$Q$2)/$Q$2))</f>
        <v>3168.24731510512</v>
      </c>
      <c r="I545" s="15" t="n">
        <f aca="false">H545*(1+IF(I$3&lt;=$O$2,$D545,$D545-($D545-$I$535)*MIN(I$3-$O$2,$Q$2)/$Q$2))</f>
        <v>3338.41684863127</v>
      </c>
      <c r="J545" s="15" t="n">
        <f aca="false">I545*(1+IF(J$3&lt;=$O$2,$D545,$D545-($D545-$I$535)*MIN(J$3-$O$2,$Q$2)/$Q$2))</f>
        <v>3504.09830380778</v>
      </c>
      <c r="K545" s="15" t="n">
        <f aca="false">J545*(1+IF(K$3&lt;=$O$2,$D545,$D545-($D545-$I$535)*MIN(K$3-$O$2,$Q$2)/$Q$2))</f>
        <v>3663.69793620831</v>
      </c>
      <c r="L545" s="15" t="n">
        <f aca="false">K545*(1+IF(L$3&lt;=$O$2,$D545,$D545-($D545-$I$535)*MIN(L$3-$O$2,$Q$2)/$Q$2))</f>
        <v>3815.61088132197</v>
      </c>
      <c r="M545" s="15" t="n">
        <f aca="false">L545*(1+IF(M$3&lt;=$O$2,$D545,$D545-($D545-$I$535)*MIN(M$3-$O$2,$Q$2)/$Q$2))</f>
        <v>3958.24676271459</v>
      </c>
      <c r="N545" s="15" t="n">
        <f aca="false">M545*(1+IF(N$3&lt;=$O$2,$D545,$D545-($D545-$I$535)*MIN(N$3-$O$2,$Q$2)/$Q$2))</f>
        <v>4090.05637991299</v>
      </c>
      <c r="O545" s="15" t="n">
        <f aca="false">SUMPRODUCT(E545:N545,1/(1+$F$535)^$E$3:$N$3)*$E$2</f>
        <v>4052.53743806267</v>
      </c>
      <c r="P545" s="15" t="n">
        <f aca="false">N545*$E$2*(1+$I$535)/($F$535-$I$535)/(1+$F$535)^$N$3</f>
        <v>4977.38815570783</v>
      </c>
      <c r="Q545" s="15" t="n">
        <f aca="false">O545+P545</f>
        <v>9029.9255937705</v>
      </c>
      <c r="R545" s="15" t="n">
        <f aca="false">Q545-$G$2+$I$2</f>
        <v>7653.7255937705</v>
      </c>
      <c r="S545" s="42" t="n">
        <f aca="false">R545/$K$2</f>
        <v>204.044937183964</v>
      </c>
      <c r="T545" s="43" t="n">
        <f aca="false">S545-$M$2</f>
        <v>-0.433868467861942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0.0537109375</v>
      </c>
      <c r="C546" s="25" t="n">
        <f aca="false">IF(T545&gt;0,D545,C545)</f>
        <v>0.056640625</v>
      </c>
      <c r="D546" s="41" t="n">
        <f aca="false">(B546+C546)/2</f>
        <v>0.05517578125</v>
      </c>
      <c r="E546" s="15" t="n">
        <f aca="false">$C$2*(1+IF(E$3&lt;=$O$2,$D546,$D546-($D546-$I$535)*MIN(E$3-$O$2,$Q$2)/$Q$2))</f>
        <v>2711.8017578125</v>
      </c>
      <c r="F546" s="15" t="n">
        <f aca="false">E546*(1+IF(F$3&lt;=$O$2,$D546,$D546-($D546-$I$535)*MIN(F$3-$O$2,$Q$2)/$Q$2))</f>
        <v>2861.42753839493</v>
      </c>
      <c r="G546" s="15" t="n">
        <f aca="false">F546*(1+IF(G$3&lt;=$O$2,$D546,$D546-($D546-$I$535)*MIN(G$3-$O$2,$Q$2)/$Q$2))</f>
        <v>3019.30903831613</v>
      </c>
      <c r="H546" s="15" t="n">
        <f aca="false">G546*(1+IF(H$3&lt;=$O$2,$D546,$D546-($D546-$I$535)*MIN(H$3-$O$2,$Q$2)/$Q$2))</f>
        <v>3185.90177334041</v>
      </c>
      <c r="I546" s="15" t="n">
        <f aca="false">H546*(1+IF(I$3&lt;=$O$2,$D546,$D546-($D546-$I$535)*MIN(I$3-$O$2,$Q$2)/$Q$2))</f>
        <v>3361.68639267023</v>
      </c>
      <c r="J546" s="15" t="n">
        <f aca="false">I546*(1+IF(J$3&lt;=$O$2,$D546,$D546-($D546-$I$535)*MIN(J$3-$O$2,$Q$2)/$Q$2))</f>
        <v>3532.46216247187</v>
      </c>
      <c r="K546" s="15" t="n">
        <f aca="false">J546*(1+IF(K$3&lt;=$O$2,$D546,$D546-($D546-$I$535)*MIN(K$3-$O$2,$Q$2)/$Q$2))</f>
        <v>3696.45837420627</v>
      </c>
      <c r="L546" s="15" t="n">
        <f aca="false">K546*(1+IF(L$3&lt;=$O$2,$D546,$D546-($D546-$I$535)*MIN(L$3-$O$2,$Q$2)/$Q$2))</f>
        <v>3851.89560398488</v>
      </c>
      <c r="M546" s="15" t="n">
        <f aca="false">L546*(1+IF(M$3&lt;=$O$2,$D546,$D546-($D546-$I$535)*MIN(M$3-$O$2,$Q$2)/$Q$2))</f>
        <v>3997.0163727237</v>
      </c>
      <c r="N546" s="15" t="n">
        <f aca="false">M546*(1+IF(N$3&lt;=$O$2,$D546,$D546-($D546-$I$535)*MIN(N$3-$O$2,$Q$2)/$Q$2))</f>
        <v>4130.1170179354</v>
      </c>
      <c r="O546" s="15" t="n">
        <f aca="false">SUMPRODUCT(E546:N546,1/(1+$F$535)^$E$3:$N$3)*$E$2</f>
        <v>4078.14142708685</v>
      </c>
      <c r="P546" s="15" t="n">
        <f aca="false">N546*$E$2*(1+$I$535)/($F$535-$I$535)/(1+$F$535)^$N$3</f>
        <v>5026.13989081401</v>
      </c>
      <c r="Q546" s="15" t="n">
        <f aca="false">O546+P546</f>
        <v>9104.28131790086</v>
      </c>
      <c r="R546" s="15" t="n">
        <f aca="false">Q546-$G$2+$I$2</f>
        <v>7728.08131790086</v>
      </c>
      <c r="S546" s="42" t="n">
        <f aca="false">R546/$K$2</f>
        <v>206.027227883254</v>
      </c>
      <c r="T546" s="43" t="n">
        <f aca="false">S546-$M$2</f>
        <v>1.54842223142802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0.0537109375</v>
      </c>
      <c r="C547" s="25" t="n">
        <f aca="false">IF(T546&gt;0,D546,C546)</f>
        <v>0.05517578125</v>
      </c>
      <c r="D547" s="41" t="n">
        <f aca="false">(B547+C547)/2</f>
        <v>0.054443359375</v>
      </c>
      <c r="E547" s="15" t="n">
        <f aca="false">$C$2*(1+IF(E$3&lt;=$O$2,$D547,$D547-($D547-$I$535)*MIN(E$3-$O$2,$Q$2)/$Q$2))</f>
        <v>2709.91943359375</v>
      </c>
      <c r="F547" s="15" t="n">
        <f aca="false">E547*(1+IF(F$3&lt;=$O$2,$D547,$D547-($D547-$I$535)*MIN(F$3-$O$2,$Q$2)/$Q$2))</f>
        <v>2857.45655119419</v>
      </c>
      <c r="G547" s="15" t="n">
        <f aca="false">F547*(1+IF(G$3&lt;=$O$2,$D547,$D547-($D547-$I$535)*MIN(G$3-$O$2,$Q$2)/$Q$2))</f>
        <v>3013.0260851093</v>
      </c>
      <c r="H547" s="15" t="n">
        <f aca="false">G547*(1+IF(H$3&lt;=$O$2,$D547,$D547-($D547-$I$535)*MIN(H$3-$O$2,$Q$2)/$Q$2))</f>
        <v>3177.06534706716</v>
      </c>
      <c r="I547" s="15" t="n">
        <f aca="false">H547*(1+IF(I$3&lt;=$O$2,$D547,$D547-($D547-$I$535)*MIN(I$3-$O$2,$Q$2)/$Q$2))</f>
        <v>3350.0354575154</v>
      </c>
      <c r="J547" s="15" t="n">
        <f aca="false">I547*(1+IF(J$3&lt;=$O$2,$D547,$D547-($D547-$I$535)*MIN(J$3-$O$2,$Q$2)/$Q$2))</f>
        <v>3518.25644112845</v>
      </c>
      <c r="K547" s="15" t="n">
        <f aca="false">J547*(1+IF(K$3&lt;=$O$2,$D547,$D547-($D547-$I$535)*MIN(K$3-$O$2,$Q$2)/$Q$2))</f>
        <v>3680.04703680294</v>
      </c>
      <c r="L547" s="15" t="n">
        <f aca="false">K547*(1+IF(L$3&lt;=$O$2,$D547,$D547-($D547-$I$535)*MIN(L$3-$O$2,$Q$2)/$Q$2))</f>
        <v>3833.71602593489</v>
      </c>
      <c r="M547" s="15" t="n">
        <f aca="false">L547*(1+IF(M$3&lt;=$O$2,$D547,$D547-($D547-$I$535)*MIN(M$3-$O$2,$Q$2)/$Q$2))</f>
        <v>3977.59029673413</v>
      </c>
      <c r="N547" s="15" t="n">
        <f aca="false">M547*(1+IF(N$3&lt;=$O$2,$D547,$D547-($D547-$I$535)*MIN(N$3-$O$2,$Q$2)/$Q$2))</f>
        <v>4110.04405361538</v>
      </c>
      <c r="O547" s="15" t="n">
        <f aca="false">SUMPRODUCT(E547:N547,1/(1+$F$535)^$E$3:$N$3)*$E$2</f>
        <v>4065.3190582863</v>
      </c>
      <c r="P547" s="15" t="n">
        <f aca="false">N547*$E$2*(1+$I$535)/($F$535-$I$535)/(1+$F$535)^$N$3</f>
        <v>5001.71212611445</v>
      </c>
      <c r="Q547" s="15" t="n">
        <f aca="false">O547+P547</f>
        <v>9067.03118440075</v>
      </c>
      <c r="R547" s="15" t="n">
        <f aca="false">Q547-$G$2+$I$2</f>
        <v>7690.83118440075</v>
      </c>
      <c r="S547" s="42" t="n">
        <f aca="false">R547/$K$2</f>
        <v>205.034155809138</v>
      </c>
      <c r="T547" s="43" t="n">
        <f aca="false">S547-$M$2</f>
        <v>0.555350157311551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0.0537109375</v>
      </c>
      <c r="C548" s="25" t="n">
        <f aca="false">IF(T547&gt;0,D547,C547)</f>
        <v>0.054443359375</v>
      </c>
      <c r="D548" s="41" t="n">
        <f aca="false">(B548+C548)/2</f>
        <v>0.0540771484375</v>
      </c>
      <c r="E548" s="15" t="n">
        <f aca="false">$C$2*(1+IF(E$3&lt;=$O$2,$D548,$D548-($D548-$I$535)*MIN(E$3-$O$2,$Q$2)/$Q$2))</f>
        <v>2708.97827148438</v>
      </c>
      <c r="F548" s="15" t="n">
        <f aca="false">E548*(1+IF(F$3&lt;=$O$2,$D548,$D548-($D548-$I$535)*MIN(F$3-$O$2,$Q$2)/$Q$2))</f>
        <v>2855.4720915854</v>
      </c>
      <c r="G548" s="15" t="n">
        <f aca="false">F548*(1+IF(G$3&lt;=$O$2,$D548,$D548-($D548-$I$535)*MIN(G$3-$O$2,$Q$2)/$Q$2))</f>
        <v>3009.8878797412</v>
      </c>
      <c r="H548" s="15" t="n">
        <f aca="false">G548*(1+IF(H$3&lt;=$O$2,$D548,$D548-($D548-$I$535)*MIN(H$3-$O$2,$Q$2)/$Q$2))</f>
        <v>3172.6540333942</v>
      </c>
      <c r="I548" s="15" t="n">
        <f aca="false">H548*(1+IF(I$3&lt;=$O$2,$D548,$D548-($D548-$I$535)*MIN(I$3-$O$2,$Q$2)/$Q$2))</f>
        <v>3344.22211649889</v>
      </c>
      <c r="J548" s="15" t="n">
        <f aca="false">I548*(1+IF(J$3&lt;=$O$2,$D548,$D548-($D548-$I$535)*MIN(J$3-$O$2,$Q$2)/$Q$2))</f>
        <v>3511.17143243628</v>
      </c>
      <c r="K548" s="15" t="n">
        <f aca="false">J548*(1+IF(K$3&lt;=$O$2,$D548,$D548-($D548-$I$535)*MIN(K$3-$O$2,$Q$2)/$Q$2))</f>
        <v>3671.86471916115</v>
      </c>
      <c r="L548" s="15" t="n">
        <f aca="false">K548*(1+IF(L$3&lt;=$O$2,$D548,$D548-($D548-$I$535)*MIN(L$3-$O$2,$Q$2)/$Q$2))</f>
        <v>3824.65416563418</v>
      </c>
      <c r="M548" s="15" t="n">
        <f aca="false">L548*(1+IF(M$3&lt;=$O$2,$D548,$D548-($D548-$I$535)*MIN(M$3-$O$2,$Q$2)/$Q$2))</f>
        <v>3967.9082308141</v>
      </c>
      <c r="N548" s="15" t="n">
        <f aca="false">M548*(1+IF(N$3&lt;=$O$2,$D548,$D548-($D548-$I$535)*MIN(N$3-$O$2,$Q$2)/$Q$2))</f>
        <v>4100.03957490021</v>
      </c>
      <c r="O548" s="15" t="n">
        <f aca="false">SUMPRODUCT(E548:N548,1/(1+$F$535)^$E$3:$N$3)*$E$2</f>
        <v>4058.92316220184</v>
      </c>
      <c r="P548" s="15" t="n">
        <f aca="false">N548*$E$2*(1+$I$535)/($F$535-$I$535)/(1+$F$535)^$N$3</f>
        <v>4989.53719031027</v>
      </c>
      <c r="Q548" s="15" t="n">
        <f aca="false">O548+P548</f>
        <v>9048.46035251211</v>
      </c>
      <c r="R548" s="15" t="n">
        <f aca="false">Q548-$G$2+$I$2</f>
        <v>7672.26035251211</v>
      </c>
      <c r="S548" s="42" t="n">
        <f aca="false">R548/$K$2</f>
        <v>204.539065649483</v>
      </c>
      <c r="T548" s="43" t="n">
        <f aca="false">S548-$M$2</f>
        <v>0.0602599976570843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0.0537109375</v>
      </c>
      <c r="C549" s="25" t="n">
        <f aca="false">IF(T548&gt;0,D548,C548)</f>
        <v>0.0540771484375</v>
      </c>
      <c r="D549" s="41" t="n">
        <f aca="false">(B549+C549)/2</f>
        <v>0.05389404296875</v>
      </c>
      <c r="E549" s="15" t="n">
        <f aca="false">$C$2*(1+IF(E$3&lt;=$O$2,$D549,$D549-($D549-$I$535)*MIN(E$3-$O$2,$Q$2)/$Q$2))</f>
        <v>2708.50769042969</v>
      </c>
      <c r="F549" s="15" t="n">
        <f aca="false">E549*(1+IF(F$3&lt;=$O$2,$D549,$D549-($D549-$I$535)*MIN(F$3-$O$2,$Q$2)/$Q$2))</f>
        <v>2854.4801202789</v>
      </c>
      <c r="G549" s="15" t="n">
        <f aca="false">F549*(1+IF(G$3&lt;=$O$2,$D549,$D549-($D549-$I$535)*MIN(G$3-$O$2,$Q$2)/$Q$2))</f>
        <v>3008.31959453465</v>
      </c>
      <c r="H549" s="15" t="n">
        <f aca="false">G549*(1+IF(H$3&lt;=$O$2,$D549,$D549-($D549-$I$535)*MIN(H$3-$O$2,$Q$2)/$Q$2))</f>
        <v>3170.45010002623</v>
      </c>
      <c r="I549" s="15" t="n">
        <f aca="false">H549*(1+IF(I$3&lt;=$O$2,$D549,$D549-($D549-$I$535)*MIN(I$3-$O$2,$Q$2)/$Q$2))</f>
        <v>3341.31847394732</v>
      </c>
      <c r="J549" s="15" t="n">
        <f aca="false">I549*(1+IF(J$3&lt;=$O$2,$D549,$D549-($D549-$I$535)*MIN(J$3-$O$2,$Q$2)/$Q$2))</f>
        <v>3507.63338410957</v>
      </c>
      <c r="K549" s="15" t="n">
        <f aca="false">J549*(1+IF(K$3&lt;=$O$2,$D549,$D549-($D549-$I$535)*MIN(K$3-$O$2,$Q$2)/$Q$2))</f>
        <v>3667.779387379</v>
      </c>
      <c r="L549" s="15" t="n">
        <f aca="false">K549*(1+IF(L$3&lt;=$O$2,$D549,$D549-($D549-$I$535)*MIN(L$3-$O$2,$Q$2)/$Q$2))</f>
        <v>3820.13020350015</v>
      </c>
      <c r="M549" s="15" t="n">
        <f aca="false">L549*(1+IF(M$3&lt;=$O$2,$D549,$D549-($D549-$I$535)*MIN(M$3-$O$2,$Q$2)/$Q$2))</f>
        <v>3963.07492438813</v>
      </c>
      <c r="N549" s="15" t="n">
        <f aca="false">M549*(1+IF(N$3&lt;=$O$2,$D549,$D549-($D549-$I$535)*MIN(N$3-$O$2,$Q$2)/$Q$2))</f>
        <v>4095.04531937025</v>
      </c>
      <c r="O549" s="15" t="n">
        <f aca="false">SUMPRODUCT(E549:N549,1/(1+$F$535)^$E$3:$N$3)*$E$2</f>
        <v>4055.72902958795</v>
      </c>
      <c r="P549" s="15" t="n">
        <f aca="false">N549*$E$2*(1+$I$535)/($F$535-$I$535)/(1+$F$535)^$N$3</f>
        <v>4983.45943831559</v>
      </c>
      <c r="Q549" s="15" t="n">
        <f aca="false">O549+P549</f>
        <v>9039.18846790354</v>
      </c>
      <c r="R549" s="15" t="n">
        <f aca="false">Q549-$G$2+$I$2</f>
        <v>7662.98846790354</v>
      </c>
      <c r="S549" s="42" t="n">
        <f aca="false">R549/$K$2</f>
        <v>204.291881309079</v>
      </c>
      <c r="T549" s="43" t="n">
        <f aca="false">S549-$M$2</f>
        <v>-0.186924342747545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0.05389404296875</v>
      </c>
      <c r="C550" s="25" t="n">
        <f aca="false">IF(T549&gt;0,D549,C549)</f>
        <v>0.0540771484375</v>
      </c>
      <c r="D550" s="41" t="n">
        <f aca="false">(B550+C550)/2</f>
        <v>0.053985595703125</v>
      </c>
      <c r="E550" s="15" t="n">
        <f aca="false">$C$2*(1+IF(E$3&lt;=$O$2,$D550,$D550-($D550-$I$535)*MIN(E$3-$O$2,$Q$2)/$Q$2))</f>
        <v>2708.74298095703</v>
      </c>
      <c r="F550" s="15" t="n">
        <f aca="false">E550*(1+IF(F$3&lt;=$O$2,$D550,$D550-($D550-$I$535)*MIN(F$3-$O$2,$Q$2)/$Q$2))</f>
        <v>2854.97608439066</v>
      </c>
      <c r="G550" s="15" t="n">
        <f aca="false">F550*(1+IF(G$3&lt;=$O$2,$D550,$D550-($D550-$I$535)*MIN(G$3-$O$2,$Q$2)/$Q$2))</f>
        <v>3009.10366902466</v>
      </c>
      <c r="H550" s="15" t="n">
        <f aca="false">G550*(1+IF(H$3&lt;=$O$2,$D550,$D550-($D550-$I$535)*MIN(H$3-$O$2,$Q$2)/$Q$2))</f>
        <v>3171.55192312942</v>
      </c>
      <c r="I550" s="15" t="n">
        <f aca="false">H550*(1+IF(I$3&lt;=$O$2,$D550,$D550-($D550-$I$535)*MIN(I$3-$O$2,$Q$2)/$Q$2))</f>
        <v>3342.77004300295</v>
      </c>
      <c r="J550" s="15" t="n">
        <f aca="false">I550*(1+IF(J$3&lt;=$O$2,$D550,$D550-($D550-$I$535)*MIN(J$3-$O$2,$Q$2)/$Q$2))</f>
        <v>3509.40203714541</v>
      </c>
      <c r="K550" s="15" t="n">
        <f aca="false">J550*(1+IF(K$3&lt;=$O$2,$D550,$D550-($D550-$I$535)*MIN(K$3-$O$2,$Q$2)/$Q$2))</f>
        <v>3669.82156800242</v>
      </c>
      <c r="L550" s="15" t="n">
        <f aca="false">K550*(1+IF(L$3&lt;=$O$2,$D550,$D550-($D550-$I$535)*MIN(L$3-$O$2,$Q$2)/$Q$2))</f>
        <v>3822.39160432022</v>
      </c>
      <c r="M550" s="15" t="n">
        <f aca="false">L550*(1+IF(M$3&lt;=$O$2,$D550,$D550-($D550-$I$535)*MIN(M$3-$O$2,$Q$2)/$Q$2))</f>
        <v>3965.49093421328</v>
      </c>
      <c r="N550" s="15" t="n">
        <f aca="false">M550*(1+IF(N$3&lt;=$O$2,$D550,$D550-($D550-$I$535)*MIN(N$3-$O$2,$Q$2)/$Q$2))</f>
        <v>4097.54178232259</v>
      </c>
      <c r="O550" s="15" t="n">
        <f aca="false">SUMPRODUCT(E550:N550,1/(1+$F$535)^$E$3:$N$3)*$E$2</f>
        <v>4057.32577814026</v>
      </c>
      <c r="P550" s="15" t="n">
        <f aca="false">N550*$E$2*(1+$I$535)/($F$535-$I$535)/(1+$F$535)^$N$3</f>
        <v>4986.49750527015</v>
      </c>
      <c r="Q550" s="15" t="n">
        <f aca="false">O550+P550</f>
        <v>9043.82328341041</v>
      </c>
      <c r="R550" s="15" t="n">
        <f aca="false">Q550-$G$2+$I$2</f>
        <v>7667.62328341041</v>
      </c>
      <c r="S550" s="42" t="n">
        <f aca="false">R550/$K$2</f>
        <v>204.41544343936</v>
      </c>
      <c r="T550" s="43" t="n">
        <f aca="false">S550-$M$2</f>
        <v>-0.0633622124656483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0.053985595703125</v>
      </c>
      <c r="C551" s="25" t="n">
        <f aca="false">IF(T550&gt;0,D550,C550)</f>
        <v>0.0540771484375</v>
      </c>
      <c r="D551" s="41" t="n">
        <f aca="false">(B551+C551)/2</f>
        <v>0.0540313720703125</v>
      </c>
      <c r="E551" s="15" t="n">
        <f aca="false">$C$2*(1+IF(E$3&lt;=$O$2,$D551,$D551-($D551-$I$535)*MIN(E$3-$O$2,$Q$2)/$Q$2))</f>
        <v>2708.8606262207</v>
      </c>
      <c r="F551" s="15" t="n">
        <f aca="false">E551*(1+IF(F$3&lt;=$O$2,$D551,$D551-($D551-$I$535)*MIN(F$3-$O$2,$Q$2)/$Q$2))</f>
        <v>2855.22408260265</v>
      </c>
      <c r="G551" s="15" t="n">
        <f aca="false">F551*(1+IF(G$3&lt;=$O$2,$D551,$D551-($D551-$I$535)*MIN(G$3-$O$2,$Q$2)/$Q$2))</f>
        <v>3009.49575735387</v>
      </c>
      <c r="H551" s="15" t="n">
        <f aca="false">G551*(1+IF(H$3&lt;=$O$2,$D551,$D551-($D551-$I$535)*MIN(H$3-$O$2,$Q$2)/$Q$2))</f>
        <v>3172.10294236349</v>
      </c>
      <c r="I551" s="15" t="n">
        <f aca="false">H551*(1+IF(I$3&lt;=$O$2,$D551,$D551-($D551-$I$535)*MIN(I$3-$O$2,$Q$2)/$Q$2))</f>
        <v>3343.49601668766</v>
      </c>
      <c r="J551" s="15" t="n">
        <f aca="false">I551*(1+IF(J$3&lt;=$O$2,$D551,$D551-($D551-$I$535)*MIN(J$3-$O$2,$Q$2)/$Q$2))</f>
        <v>3510.28664199341</v>
      </c>
      <c r="K551" s="15" t="n">
        <f aca="false">J551*(1+IF(K$3&lt;=$O$2,$D551,$D551-($D551-$I$535)*MIN(K$3-$O$2,$Q$2)/$Q$2))</f>
        <v>3670.84302224096</v>
      </c>
      <c r="L551" s="15" t="n">
        <f aca="false">K551*(1+IF(L$3&lt;=$O$2,$D551,$D551-($D551-$I$535)*MIN(L$3-$O$2,$Q$2)/$Q$2))</f>
        <v>3823.5227398839</v>
      </c>
      <c r="M551" s="15" t="n">
        <f aca="false">L551*(1+IF(M$3&lt;=$O$2,$D551,$D551-($D551-$I$535)*MIN(M$3-$O$2,$Q$2)/$Q$2))</f>
        <v>3966.69942163</v>
      </c>
      <c r="N551" s="15" t="n">
        <f aca="false">M551*(1+IF(N$3&lt;=$O$2,$D551,$D551-($D551-$I$535)*MIN(N$3-$O$2,$Q$2)/$Q$2))</f>
        <v>4098.79051237028</v>
      </c>
      <c r="O551" s="15" t="n">
        <f aca="false">SUMPRODUCT(E551:N551,1/(1+$F$535)^$E$3:$N$3)*$E$2</f>
        <v>4058.12439071757</v>
      </c>
      <c r="P551" s="15" t="n">
        <f aca="false">N551*$E$2*(1+$I$535)/($F$535-$I$535)/(1+$F$535)^$N$3</f>
        <v>4988.01714548332</v>
      </c>
      <c r="Q551" s="15" t="n">
        <f aca="false">O551+P551</f>
        <v>9046.14153620089</v>
      </c>
      <c r="R551" s="15" t="n">
        <f aca="false">Q551-$G$2+$I$2</f>
        <v>7669.94153620089</v>
      </c>
      <c r="S551" s="42" t="n">
        <f aca="false">R551/$K$2</f>
        <v>204.477247032815</v>
      </c>
      <c r="T551" s="43" t="n">
        <f aca="false">S551-$M$2</f>
        <v>-0.00155861901114918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0.0540313720703125</v>
      </c>
      <c r="C552" s="25" t="n">
        <f aca="false">IF(T551&gt;0,D551,C551)</f>
        <v>0.0540771484375</v>
      </c>
      <c r="D552" s="41" t="n">
        <f aca="false">(B552+C552)/2</f>
        <v>0.0540542602539063</v>
      </c>
      <c r="E552" s="15" t="n">
        <f aca="false">$C$2*(1+IF(E$3&lt;=$O$2,$D552,$D552-($D552-$I$535)*MIN(E$3-$O$2,$Q$2)/$Q$2))</f>
        <v>2708.91944885254</v>
      </c>
      <c r="F552" s="15" t="n">
        <f aca="false">E552*(1+IF(F$3&lt;=$O$2,$D552,$D552-($D552-$I$535)*MIN(F$3-$O$2,$Q$2)/$Q$2))</f>
        <v>2855.34808574768</v>
      </c>
      <c r="G552" s="15" t="n">
        <f aca="false">F552*(1+IF(G$3&lt;=$O$2,$D552,$D552-($D552-$I$535)*MIN(G$3-$O$2,$Q$2)/$Q$2))</f>
        <v>3009.69181429018</v>
      </c>
      <c r="H552" s="15" t="n">
        <f aca="false">G552*(1+IF(H$3&lt;=$O$2,$D552,$D552-($D552-$I$535)*MIN(H$3-$O$2,$Q$2)/$Q$2))</f>
        <v>3172.37847890387</v>
      </c>
      <c r="I552" s="15" t="n">
        <f aca="false">H552*(1+IF(I$3&lt;=$O$2,$D552,$D552-($D552-$I$535)*MIN(I$3-$O$2,$Q$2)/$Q$2))</f>
        <v>3343.85905082643</v>
      </c>
      <c r="J552" s="15" t="n">
        <f aca="false">I552*(1+IF(J$3&lt;=$O$2,$D552,$D552-($D552-$I$535)*MIN(J$3-$O$2,$Q$2)/$Q$2))</f>
        <v>3510.72901401354</v>
      </c>
      <c r="K552" s="15" t="n">
        <f aca="false">J552*(1+IF(K$3&lt;=$O$2,$D552,$D552-($D552-$I$535)*MIN(K$3-$O$2,$Q$2)/$Q$2))</f>
        <v>3671.35384036286</v>
      </c>
      <c r="L552" s="15" t="n">
        <f aca="false">K552*(1+IF(L$3&lt;=$O$2,$D552,$D552-($D552-$I$535)*MIN(L$3-$O$2,$Q$2)/$Q$2))</f>
        <v>3824.08841648177</v>
      </c>
      <c r="M552" s="15" t="n">
        <f aca="false">L552*(1+IF(M$3&lt;=$O$2,$D552,$D552-($D552-$I$535)*MIN(M$3-$O$2,$Q$2)/$Q$2))</f>
        <v>3967.30378599653</v>
      </c>
      <c r="N552" s="15" t="n">
        <f aca="false">M552*(1+IF(N$3&lt;=$O$2,$D552,$D552-($D552-$I$535)*MIN(N$3-$O$2,$Q$2)/$Q$2))</f>
        <v>4099.41500207022</v>
      </c>
      <c r="O552" s="15" t="n">
        <f aca="false">SUMPRODUCT(E552:N552,1/(1+$F$535)^$E$3:$N$3)*$E$2</f>
        <v>4058.52375659448</v>
      </c>
      <c r="P552" s="15" t="n">
        <f aca="false">N552*$E$2*(1+$I$535)/($F$535-$I$535)/(1+$F$535)^$N$3</f>
        <v>4988.7771173143</v>
      </c>
      <c r="Q552" s="15" t="n">
        <f aca="false">O552+P552</f>
        <v>9047.30087390878</v>
      </c>
      <c r="R552" s="15" t="n">
        <f aca="false">Q552-$G$2+$I$2</f>
        <v>7671.10087390878</v>
      </c>
      <c r="S552" s="42" t="n">
        <f aca="false">R552/$K$2</f>
        <v>204.508154463044</v>
      </c>
      <c r="T552" s="43" t="n">
        <f aca="false">S552-$M$2</f>
        <v>0.0293488112178579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0.0540313720703125</v>
      </c>
      <c r="C553" s="25" t="n">
        <f aca="false">IF(T552&gt;0,D552,C552)</f>
        <v>0.0540542602539063</v>
      </c>
      <c r="D553" s="41" t="n">
        <f aca="false">(B553+C553)/2</f>
        <v>0.0540428161621094</v>
      </c>
      <c r="E553" s="15" t="n">
        <f aca="false">$C$2*(1+IF(E$3&lt;=$O$2,$D553,$D553-($D553-$I$535)*MIN(E$3-$O$2,$Q$2)/$Q$2))</f>
        <v>2708.89003753662</v>
      </c>
      <c r="F553" s="15" t="n">
        <f aca="false">E553*(1+IF(F$3&lt;=$O$2,$D553,$D553-($D553-$I$535)*MIN(F$3-$O$2,$Q$2)/$Q$2))</f>
        <v>2855.28608383858</v>
      </c>
      <c r="G553" s="15" t="n">
        <f aca="false">F553*(1+IF(G$3&lt;=$O$2,$D553,$D553-($D553-$I$535)*MIN(G$3-$O$2,$Q$2)/$Q$2))</f>
        <v>3009.5937847577</v>
      </c>
      <c r="H553" s="15" t="n">
        <f aca="false">G553*(1+IF(H$3&lt;=$O$2,$D553,$D553-($D553-$I$535)*MIN(H$3-$O$2,$Q$2)/$Q$2))</f>
        <v>3172.24070838999</v>
      </c>
      <c r="I553" s="15" t="n">
        <f aca="false">H553*(1+IF(I$3&lt;=$O$2,$D553,$D553-($D553-$I$535)*MIN(I$3-$O$2,$Q$2)/$Q$2))</f>
        <v>3343.67752981547</v>
      </c>
      <c r="J553" s="15" t="n">
        <f aca="false">I553*(1+IF(J$3&lt;=$O$2,$D553,$D553-($D553-$I$535)*MIN(J$3-$O$2,$Q$2)/$Q$2))</f>
        <v>3510.50782220339</v>
      </c>
      <c r="K553" s="15" t="n">
        <f aca="false">J553*(1+IF(K$3&lt;=$O$2,$D553,$D553-($D553-$I$535)*MIN(K$3-$O$2,$Q$2)/$Q$2))</f>
        <v>3671.09842371773</v>
      </c>
      <c r="L553" s="15" t="n">
        <f aca="false">K553*(1+IF(L$3&lt;=$O$2,$D553,$D553-($D553-$I$535)*MIN(L$3-$O$2,$Q$2)/$Q$2))</f>
        <v>3823.80556911401</v>
      </c>
      <c r="M553" s="15" t="n">
        <f aca="false">L553*(1+IF(M$3&lt;=$O$2,$D553,$D553-($D553-$I$535)*MIN(M$3-$O$2,$Q$2)/$Q$2))</f>
        <v>3967.00159375746</v>
      </c>
      <c r="N553" s="15" t="n">
        <f aca="false">M553*(1+IF(N$3&lt;=$O$2,$D553,$D553-($D553-$I$535)*MIN(N$3-$O$2,$Q$2)/$Q$2))</f>
        <v>4099.10274682959</v>
      </c>
      <c r="O553" s="15" t="n">
        <f aca="false">SUMPRODUCT(E553:N553,1/(1+$F$535)^$E$3:$N$3)*$E$2</f>
        <v>4058.32406868995</v>
      </c>
      <c r="P553" s="15" t="n">
        <f aca="false">N553*$E$2*(1+$I$535)/($F$535-$I$535)/(1+$F$535)^$N$3</f>
        <v>4988.39711875391</v>
      </c>
      <c r="Q553" s="15" t="n">
        <f aca="false">O553+P553</f>
        <v>9046.72118744386</v>
      </c>
      <c r="R553" s="15" t="n">
        <f aca="false">Q553-$G$2+$I$2</f>
        <v>7670.52118744386</v>
      </c>
      <c r="S553" s="42" t="n">
        <f aca="false">R553/$K$2</f>
        <v>204.492700278429</v>
      </c>
      <c r="T553" s="43" t="n">
        <f aca="false">S553-$M$2</f>
        <v>0.0138946266025641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0.0540313720703125</v>
      </c>
      <c r="C554" s="25" t="n">
        <f aca="false">IF(T553&gt;0,D553,C553)</f>
        <v>0.0540428161621094</v>
      </c>
      <c r="D554" s="41" t="n">
        <f aca="false">(B554+C554)/2</f>
        <v>0.0540370941162109</v>
      </c>
      <c r="E554" s="15" t="n">
        <f aca="false">$C$2*(1+IF(E$3&lt;=$O$2,$D554,$D554-($D554-$I$535)*MIN(E$3-$O$2,$Q$2)/$Q$2))</f>
        <v>2708.87533187866</v>
      </c>
      <c r="F554" s="15" t="n">
        <f aca="false">E554*(1+IF(F$3&lt;=$O$2,$D554,$D554-($D554-$I$535)*MIN(F$3-$O$2,$Q$2)/$Q$2))</f>
        <v>2855.25508313647</v>
      </c>
      <c r="G554" s="15" t="n">
        <f aca="false">F554*(1+IF(G$3&lt;=$O$2,$D554,$D554-($D554-$I$535)*MIN(G$3-$O$2,$Q$2)/$Q$2))</f>
        <v>3009.54477078971</v>
      </c>
      <c r="H554" s="15" t="n">
        <f aca="false">G554*(1+IF(H$3&lt;=$O$2,$D554,$D554-($D554-$I$535)*MIN(H$3-$O$2,$Q$2)/$Q$2))</f>
        <v>3172.17182481582</v>
      </c>
      <c r="I554" s="15" t="n">
        <f aca="false">H554*(1+IF(I$3&lt;=$O$2,$D554,$D554-($D554-$I$535)*MIN(I$3-$O$2,$Q$2)/$Q$2))</f>
        <v>3343.58677226619</v>
      </c>
      <c r="J554" s="15" t="n">
        <f aca="false">I554*(1+IF(J$3&lt;=$O$2,$D554,$D554-($D554-$I$535)*MIN(J$3-$O$2,$Q$2)/$Q$2))</f>
        <v>3510.39723064841</v>
      </c>
      <c r="K554" s="15" t="n">
        <f aca="false">J554*(1+IF(K$3&lt;=$O$2,$D554,$D554-($D554-$I$535)*MIN(K$3-$O$2,$Q$2)/$Q$2))</f>
        <v>3670.97072108335</v>
      </c>
      <c r="L554" s="15" t="n">
        <f aca="false">K554*(1+IF(L$3&lt;=$O$2,$D554,$D554-($D554-$I$535)*MIN(L$3-$O$2,$Q$2)/$Q$2))</f>
        <v>3823.66415223181</v>
      </c>
      <c r="M554" s="15" t="n">
        <f aca="false">L554*(1+IF(M$3&lt;=$O$2,$D554,$D554-($D554-$I$535)*MIN(M$3-$O$2,$Q$2)/$Q$2))</f>
        <v>3966.85050517985</v>
      </c>
      <c r="N554" s="15" t="n">
        <f aca="false">M554*(1+IF(N$3&lt;=$O$2,$D554,$D554-($D554-$I$535)*MIN(N$3-$O$2,$Q$2)/$Q$2))</f>
        <v>4098.94662700234</v>
      </c>
      <c r="O554" s="15" t="n">
        <f aca="false">SUMPRODUCT(E554:N554,1/(1+$F$535)^$E$3:$N$3)*$E$2</f>
        <v>4058.22422846227</v>
      </c>
      <c r="P554" s="15" t="n">
        <f aca="false">N554*$E$2*(1+$I$535)/($F$535-$I$535)/(1+$F$535)^$N$3</f>
        <v>4988.20712895748</v>
      </c>
      <c r="Q554" s="15" t="n">
        <f aca="false">O554+P554</f>
        <v>9046.43135741975</v>
      </c>
      <c r="R554" s="15" t="n">
        <f aca="false">Q554-$G$2+$I$2</f>
        <v>7670.23135741975</v>
      </c>
      <c r="S554" s="42" t="n">
        <f aca="false">R554/$K$2</f>
        <v>204.48497353825</v>
      </c>
      <c r="T554" s="43" t="n">
        <f aca="false">S554-$M$2</f>
        <v>0.00616788642366828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0.0540313720703125</v>
      </c>
      <c r="C555" s="25" t="n">
        <f aca="false">IF(T554&gt;0,D554,C554)</f>
        <v>0.0540370941162109</v>
      </c>
      <c r="D555" s="41" t="n">
        <f aca="false">(B555+C555)/2</f>
        <v>0.0540342330932617</v>
      </c>
      <c r="E555" s="15" t="n">
        <f aca="false">$C$2*(1+IF(E$3&lt;=$O$2,$D555,$D555-($D555-$I$535)*MIN(E$3-$O$2,$Q$2)/$Q$2))</f>
        <v>2708.86797904968</v>
      </c>
      <c r="F555" s="15" t="n">
        <f aca="false">E555*(1+IF(F$3&lt;=$O$2,$D555,$D555-($D555-$I$535)*MIN(F$3-$O$2,$Q$2)/$Q$2))</f>
        <v>2855.23958284853</v>
      </c>
      <c r="G555" s="15" t="n">
        <f aca="false">F555*(1+IF(G$3&lt;=$O$2,$D555,$D555-($D555-$I$535)*MIN(G$3-$O$2,$Q$2)/$Q$2))</f>
        <v>3009.52026400527</v>
      </c>
      <c r="H555" s="15" t="n">
        <f aca="false">G555*(1+IF(H$3&lt;=$O$2,$D555,$D555-($D555-$I$535)*MIN(H$3-$O$2,$Q$2)/$Q$2))</f>
        <v>3172.13738344943</v>
      </c>
      <c r="I555" s="15" t="n">
        <f aca="false">H555*(1+IF(I$3&lt;=$O$2,$D555,$D555-($D555-$I$535)*MIN(I$3-$O$2,$Q$2)/$Q$2))</f>
        <v>3343.54139423058</v>
      </c>
      <c r="J555" s="15" t="n">
        <f aca="false">I555*(1+IF(J$3&lt;=$O$2,$D555,$D555-($D555-$I$535)*MIN(J$3-$O$2,$Q$2)/$Q$2))</f>
        <v>3510.34193595842</v>
      </c>
      <c r="K555" s="15" t="n">
        <f aca="false">J555*(1+IF(K$3&lt;=$O$2,$D555,$D555-($D555-$I$535)*MIN(K$3-$O$2,$Q$2)/$Q$2))</f>
        <v>3670.90687118816</v>
      </c>
      <c r="L555" s="15" t="n">
        <f aca="false">K555*(1+IF(L$3&lt;=$O$2,$D555,$D555-($D555-$I$535)*MIN(L$3-$O$2,$Q$2)/$Q$2))</f>
        <v>3823.59344549108</v>
      </c>
      <c r="M555" s="15" t="n">
        <f aca="false">L555*(1+IF(M$3&lt;=$O$2,$D555,$D555-($D555-$I$535)*MIN(M$3-$O$2,$Q$2)/$Q$2))</f>
        <v>3966.77496277646</v>
      </c>
      <c r="N555" s="15" t="n">
        <f aca="false">M555*(1+IF(N$3&lt;=$O$2,$D555,$D555-($D555-$I$535)*MIN(N$3-$O$2,$Q$2)/$Q$2))</f>
        <v>4098.86856903692</v>
      </c>
      <c r="O555" s="15" t="n">
        <f aca="false">SUMPRODUCT(E555:N555,1/(1+$F$535)^$E$3:$N$3)*$E$2</f>
        <v>4058.17430927955</v>
      </c>
      <c r="P555" s="15" t="n">
        <f aca="false">N555*$E$2*(1+$I$535)/($F$535-$I$535)/(1+$F$535)^$N$3</f>
        <v>4988.11213643013</v>
      </c>
      <c r="Q555" s="15" t="n">
        <f aca="false">O555+P555</f>
        <v>9046.28644570968</v>
      </c>
      <c r="R555" s="15" t="n">
        <f aca="false">Q555-$G$2+$I$2</f>
        <v>7670.08644570968</v>
      </c>
      <c r="S555" s="42" t="n">
        <f aca="false">R555/$K$2</f>
        <v>204.48111025619</v>
      </c>
      <c r="T555" s="43" t="n">
        <f aca="false">S555-$M$2</f>
        <v>0.0023046043636441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0.0540313720703125</v>
      </c>
      <c r="C556" s="25" t="n">
        <f aca="false">IF(T555&gt;0,D555,C555)</f>
        <v>0.0540342330932617</v>
      </c>
      <c r="D556" s="41" t="n">
        <f aca="false">(B556+C556)/2</f>
        <v>0.0540328025817871</v>
      </c>
      <c r="E556" s="15" t="n">
        <f aca="false">$C$2*(1+IF(E$3&lt;=$O$2,$D556,$D556-($D556-$I$535)*MIN(E$3-$O$2,$Q$2)/$Q$2))</f>
        <v>2708.86430263519</v>
      </c>
      <c r="F556" s="15" t="n">
        <f aca="false">E556*(1+IF(F$3&lt;=$O$2,$D556,$D556-($D556-$I$535)*MIN(F$3-$O$2,$Q$2)/$Q$2))</f>
        <v>2855.23183272033</v>
      </c>
      <c r="G556" s="15" t="n">
        <f aca="false">F556*(1+IF(G$3&lt;=$O$2,$D556,$D556-($D556-$I$535)*MIN(G$3-$O$2,$Q$2)/$Q$2))</f>
        <v>3009.50801066294</v>
      </c>
      <c r="H556" s="15" t="n">
        <f aca="false">G556*(1+IF(H$3&lt;=$O$2,$D556,$D556-($D556-$I$535)*MIN(H$3-$O$2,$Q$2)/$Q$2))</f>
        <v>3172.1201628714</v>
      </c>
      <c r="I556" s="15" t="n">
        <f aca="false">H556*(1+IF(I$3&lt;=$O$2,$D556,$D556-($D556-$I$535)*MIN(I$3-$O$2,$Q$2)/$Q$2))</f>
        <v>3343.51870539754</v>
      </c>
      <c r="J556" s="15" t="n">
        <f aca="false">I556*(1+IF(J$3&lt;=$O$2,$D556,$D556-($D556-$I$535)*MIN(J$3-$O$2,$Q$2)/$Q$2))</f>
        <v>3510.31428888529</v>
      </c>
      <c r="K556" s="15" t="n">
        <f aca="false">J556*(1+IF(K$3&lt;=$O$2,$D556,$D556-($D556-$I$535)*MIN(K$3-$O$2,$Q$2)/$Q$2))</f>
        <v>3670.87494659606</v>
      </c>
      <c r="L556" s="15" t="n">
        <f aca="false">K556*(1+IF(L$3&lt;=$O$2,$D556,$D556-($D556-$I$535)*MIN(L$3-$O$2,$Q$2)/$Q$2))</f>
        <v>3823.55809254579</v>
      </c>
      <c r="M556" s="15" t="n">
        <f aca="false">L556*(1+IF(M$3&lt;=$O$2,$D556,$D556-($D556-$I$535)*MIN(M$3-$O$2,$Q$2)/$Q$2))</f>
        <v>3966.73719204612</v>
      </c>
      <c r="N556" s="15" t="n">
        <f aca="false">M556*(1+IF(N$3&lt;=$O$2,$D556,$D556-($D556-$I$535)*MIN(N$3-$O$2,$Q$2)/$Q$2))</f>
        <v>4098.82954054125</v>
      </c>
      <c r="O556" s="15" t="n">
        <f aca="false">SUMPRODUCT(E556:N556,1/(1+$F$535)^$E$3:$N$3)*$E$2</f>
        <v>4058.14934992096</v>
      </c>
      <c r="P556" s="15" t="n">
        <f aca="false">N556*$E$2*(1+$I$535)/($F$535-$I$535)/(1+$F$535)^$N$3</f>
        <v>4988.06464075916</v>
      </c>
      <c r="Q556" s="15" t="n">
        <f aca="false">O556+P556</f>
        <v>9046.21399068012</v>
      </c>
      <c r="R556" s="15" t="n">
        <f aca="false">Q556-$G$2+$I$2</f>
        <v>7670.01399068012</v>
      </c>
      <c r="S556" s="42" t="n">
        <f aca="false">R556/$K$2</f>
        <v>204.479178637167</v>
      </c>
      <c r="T556" s="43" t="n">
        <f aca="false">S556-$M$2</f>
        <v>0.000372985340646892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0.0540313720703125</v>
      </c>
      <c r="C557" s="25" t="n">
        <f aca="false">IF(T556&gt;0,D556,C556)</f>
        <v>0.0540328025817871</v>
      </c>
      <c r="D557" s="41" t="n">
        <f aca="false">(B557+C557)/2</f>
        <v>0.0540320873260498</v>
      </c>
      <c r="E557" s="15" t="n">
        <f aca="false">$C$2*(1+IF(E$3&lt;=$O$2,$D557,$D557-($D557-$I$535)*MIN(E$3-$O$2,$Q$2)/$Q$2))</f>
        <v>2708.86246442795</v>
      </c>
      <c r="F557" s="15" t="n">
        <f aca="false">E557*(1+IF(F$3&lt;=$O$2,$D557,$D557-($D557-$I$535)*MIN(F$3-$O$2,$Q$2)/$Q$2))</f>
        <v>2855.22795766018</v>
      </c>
      <c r="G557" s="15" t="n">
        <f aca="false">F557*(1+IF(G$3&lt;=$O$2,$D557,$D557-($D557-$I$535)*MIN(G$3-$O$2,$Q$2)/$Q$2))</f>
        <v>3009.50188400425</v>
      </c>
      <c r="H557" s="15" t="n">
        <f aca="false">G557*(1+IF(H$3&lt;=$O$2,$D557,$D557-($D557-$I$535)*MIN(H$3-$O$2,$Q$2)/$Q$2))</f>
        <v>3172.11155260868</v>
      </c>
      <c r="I557" s="15" t="n">
        <f aca="false">H557*(1+IF(I$3&lt;=$O$2,$D557,$D557-($D557-$I$535)*MIN(I$3-$O$2,$Q$2)/$Q$2))</f>
        <v>3343.5073610272</v>
      </c>
      <c r="J557" s="15" t="n">
        <f aca="false">I557*(1+IF(J$3&lt;=$O$2,$D557,$D557-($D557-$I$535)*MIN(J$3-$O$2,$Q$2)/$Q$2))</f>
        <v>3510.30046541669</v>
      </c>
      <c r="K557" s="15" t="n">
        <f aca="false">J557*(1+IF(K$3&lt;=$O$2,$D557,$D557-($D557-$I$535)*MIN(K$3-$O$2,$Q$2)/$Q$2))</f>
        <v>3670.85898438889</v>
      </c>
      <c r="L557" s="15" t="n">
        <f aca="false">K557*(1+IF(L$3&lt;=$O$2,$D557,$D557-($D557-$I$535)*MIN(L$3-$O$2,$Q$2)/$Q$2))</f>
        <v>3823.54041617942</v>
      </c>
      <c r="M557" s="15" t="n">
        <f aca="false">L557*(1+IF(M$3&lt;=$O$2,$D557,$D557-($D557-$I$535)*MIN(M$3-$O$2,$Q$2)/$Q$2))</f>
        <v>3966.71830679878</v>
      </c>
      <c r="N557" s="15" t="n">
        <f aca="false">M557*(1+IF(N$3&lt;=$O$2,$D557,$D557-($D557-$I$535)*MIN(N$3-$O$2,$Q$2)/$Q$2))</f>
        <v>4098.81002641518</v>
      </c>
      <c r="O557" s="15" t="n">
        <f aca="false">SUMPRODUCT(E557:N557,1/(1+$F$535)^$E$3:$N$3)*$E$2</f>
        <v>4058.13687029987</v>
      </c>
      <c r="P557" s="15" t="n">
        <f aca="false">N557*$E$2*(1+$I$535)/($F$535-$I$535)/(1+$F$535)^$N$3</f>
        <v>4988.04089307185</v>
      </c>
      <c r="Q557" s="15" t="n">
        <f aca="false">O557+P557</f>
        <v>9046.17776337172</v>
      </c>
      <c r="R557" s="15" t="n">
        <f aca="false">Q557-$G$2+$I$2</f>
        <v>7669.97776337172</v>
      </c>
      <c r="S557" s="42" t="n">
        <f aca="false">R557/$K$2</f>
        <v>204.478212833157</v>
      </c>
      <c r="T557" s="43" t="n">
        <f aca="false">S557-$M$2</f>
        <v>-0.000592818669133521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0.0540320873260498</v>
      </c>
      <c r="C558" s="25" t="n">
        <f aca="false">IF(T557&gt;0,D557,C557)</f>
        <v>0.0540328025817871</v>
      </c>
      <c r="D558" s="41" t="n">
        <f aca="false">(B558+C558)/2</f>
        <v>0.0540324449539185</v>
      </c>
      <c r="E558" s="15" t="n">
        <f aca="false">$C$2*(1+IF(E$3&lt;=$O$2,$D558,$D558-($D558-$I$535)*MIN(E$3-$O$2,$Q$2)/$Q$2))</f>
        <v>2708.86338353157</v>
      </c>
      <c r="F558" s="15" t="n">
        <f aca="false">E558*(1+IF(F$3&lt;=$O$2,$D558,$D558-($D558-$I$535)*MIN(F$3-$O$2,$Q$2)/$Q$2))</f>
        <v>2855.22989518993</v>
      </c>
      <c r="G558" s="15" t="n">
        <f aca="false">F558*(1+IF(G$3&lt;=$O$2,$D558,$D558-($D558-$I$535)*MIN(G$3-$O$2,$Q$2)/$Q$2))</f>
        <v>3009.50494733256</v>
      </c>
      <c r="H558" s="15" t="n">
        <f aca="false">G558*(1+IF(H$3&lt;=$O$2,$D558,$D558-($D558-$I$535)*MIN(H$3-$O$2,$Q$2)/$Q$2))</f>
        <v>3172.11585773785</v>
      </c>
      <c r="I558" s="15" t="n">
        <f aca="false">H558*(1+IF(I$3&lt;=$O$2,$D558,$D558-($D558-$I$535)*MIN(I$3-$O$2,$Q$2)/$Q$2))</f>
        <v>3343.51303320852</v>
      </c>
      <c r="J558" s="15" t="n">
        <f aca="false">I558*(1+IF(J$3&lt;=$O$2,$D558,$D558-($D558-$I$535)*MIN(J$3-$O$2,$Q$2)/$Q$2))</f>
        <v>3510.30737714533</v>
      </c>
      <c r="K558" s="15" t="n">
        <f aca="false">J558*(1+IF(K$3&lt;=$O$2,$D558,$D558-($D558-$I$535)*MIN(K$3-$O$2,$Q$2)/$Q$2))</f>
        <v>3670.86696548507</v>
      </c>
      <c r="L558" s="15" t="n">
        <f aca="false">K558*(1+IF(L$3&lt;=$O$2,$D558,$D558-($D558-$I$535)*MIN(L$3-$O$2,$Q$2)/$Q$2))</f>
        <v>3823.54925435375</v>
      </c>
      <c r="M558" s="15" t="n">
        <f aca="false">L558*(1+IF(M$3&lt;=$O$2,$D558,$D558-($D558-$I$535)*MIN(M$3-$O$2,$Q$2)/$Q$2))</f>
        <v>3966.72774941263</v>
      </c>
      <c r="N558" s="15" t="n">
        <f aca="false">M558*(1+IF(N$3&lt;=$O$2,$D558,$D558-($D558-$I$535)*MIN(N$3-$O$2,$Q$2)/$Q$2))</f>
        <v>4098.81978346807</v>
      </c>
      <c r="O558" s="15" t="n">
        <f aca="false">SUMPRODUCT(E558:N558,1/(1+$F$535)^$E$3:$N$3)*$E$2</f>
        <v>4058.14311010557</v>
      </c>
      <c r="P558" s="15" t="n">
        <f aca="false">N558*$E$2*(1+$I$535)/($F$535-$I$535)/(1+$F$535)^$N$3</f>
        <v>4988.05276690316</v>
      </c>
      <c r="Q558" s="15" t="n">
        <f aca="false">O558+P558</f>
        <v>9046.19587700872</v>
      </c>
      <c r="R558" s="15" t="n">
        <f aca="false">Q558-$G$2+$I$2</f>
        <v>7669.99587700872</v>
      </c>
      <c r="S558" s="42" t="n">
        <f aca="false">R558/$K$2</f>
        <v>204.478695734703</v>
      </c>
      <c r="T558" s="43" t="n">
        <f aca="false">S558-$M$2</f>
        <v>-0.00010991712272812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0.0540324449539185</v>
      </c>
      <c r="C559" s="25" t="n">
        <f aca="false">IF(T558&gt;0,D558,C558)</f>
        <v>0.0540328025817871</v>
      </c>
      <c r="D559" s="41" t="n">
        <f aca="false">(B559+C559)/2</f>
        <v>0.0540326237678528</v>
      </c>
      <c r="E559" s="15" t="n">
        <f aca="false">$C$2*(1+IF(E$3&lt;=$O$2,$D559,$D559-($D559-$I$535)*MIN(E$3-$O$2,$Q$2)/$Q$2))</f>
        <v>2708.86384308338</v>
      </c>
      <c r="F559" s="15" t="n">
        <f aca="false">E559*(1+IF(F$3&lt;=$O$2,$D559,$D559-($D559-$I$535)*MIN(F$3-$O$2,$Q$2)/$Q$2))</f>
        <v>2855.23086395505</v>
      </c>
      <c r="G559" s="15" t="n">
        <f aca="false">F559*(1+IF(G$3&lt;=$O$2,$D559,$D559-($D559-$I$535)*MIN(G$3-$O$2,$Q$2)/$Q$2))</f>
        <v>3009.50647899749</v>
      </c>
      <c r="H559" s="15" t="n">
        <f aca="false">G559*(1+IF(H$3&lt;=$O$2,$D559,$D559-($D559-$I$535)*MIN(H$3-$O$2,$Q$2)/$Q$2))</f>
        <v>3172.11801030408</v>
      </c>
      <c r="I559" s="15" t="n">
        <f aca="false">H559*(1+IF(I$3&lt;=$O$2,$D559,$D559-($D559-$I$535)*MIN(I$3-$O$2,$Q$2)/$Q$2))</f>
        <v>3343.51586930207</v>
      </c>
      <c r="J559" s="15" t="n">
        <f aca="false">I559*(1+IF(J$3&lt;=$O$2,$D559,$D559-($D559-$I$535)*MIN(J$3-$O$2,$Q$2)/$Q$2))</f>
        <v>3510.31083301389</v>
      </c>
      <c r="K559" s="15" t="n">
        <f aca="false">J559*(1+IF(K$3&lt;=$O$2,$D559,$D559-($D559-$I$535)*MIN(K$3-$O$2,$Q$2)/$Q$2))</f>
        <v>3670.87095603871</v>
      </c>
      <c r="L559" s="15" t="n">
        <f aca="false">K559*(1+IF(L$3&lt;=$O$2,$D559,$D559-($D559-$I$535)*MIN(L$3-$O$2,$Q$2)/$Q$2))</f>
        <v>3823.55367344756</v>
      </c>
      <c r="M559" s="15" t="n">
        <f aca="false">L559*(1+IF(M$3&lt;=$O$2,$D559,$D559-($D559-$I$535)*MIN(M$3-$O$2,$Q$2)/$Q$2))</f>
        <v>3966.73247072692</v>
      </c>
      <c r="N559" s="15" t="n">
        <f aca="false">M559*(1+IF(N$3&lt;=$O$2,$D559,$D559-($D559-$I$535)*MIN(N$3-$O$2,$Q$2)/$Q$2))</f>
        <v>4098.82466200212</v>
      </c>
      <c r="O559" s="15" t="n">
        <f aca="false">SUMPRODUCT(E559:N559,1/(1+$F$535)^$E$3:$N$3)*$E$2</f>
        <v>4058.14623001205</v>
      </c>
      <c r="P559" s="15" t="n">
        <f aca="false">N559*$E$2*(1+$I$535)/($F$535-$I$535)/(1+$F$535)^$N$3</f>
        <v>4988.05870382807</v>
      </c>
      <c r="Q559" s="15" t="n">
        <f aca="false">O559+P559</f>
        <v>9046.20493384012</v>
      </c>
      <c r="R559" s="15" t="n">
        <f aca="false">Q559-$G$2+$I$2</f>
        <v>7670.00493384012</v>
      </c>
      <c r="S559" s="42" t="n">
        <f aca="false">R559/$K$2</f>
        <v>204.47893718582</v>
      </c>
      <c r="T559" s="43" t="n">
        <f aca="false">S559-$M$2</f>
        <v>0.00013153399430621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0.0540324449539185</v>
      </c>
      <c r="C560" s="25" t="n">
        <f aca="false">IF(T559&gt;0,D559,C559)</f>
        <v>0.0540326237678528</v>
      </c>
      <c r="D560" s="41" t="n">
        <f aca="false">(B560+C560)/2</f>
        <v>0.0540325343608856</v>
      </c>
      <c r="E560" s="15" t="n">
        <f aca="false">$C$2*(1+IF(E$3&lt;=$O$2,$D560,$D560-($D560-$I$535)*MIN(E$3-$O$2,$Q$2)/$Q$2))</f>
        <v>2708.86361330748</v>
      </c>
      <c r="F560" s="15" t="n">
        <f aca="false">E560*(1+IF(F$3&lt;=$O$2,$D560,$D560-($D560-$I$535)*MIN(F$3-$O$2,$Q$2)/$Q$2))</f>
        <v>2855.23037957247</v>
      </c>
      <c r="G560" s="15" t="n">
        <f aca="false">F560*(1+IF(G$3&lt;=$O$2,$D560,$D560-($D560-$I$535)*MIN(G$3-$O$2,$Q$2)/$Q$2))</f>
        <v>3009.50571316496</v>
      </c>
      <c r="H560" s="15" t="n">
        <f aca="false">G560*(1+IF(H$3&lt;=$O$2,$D560,$D560-($D560-$I$535)*MIN(H$3-$O$2,$Q$2)/$Q$2))</f>
        <v>3172.11693402083</v>
      </c>
      <c r="I560" s="15" t="n">
        <f aca="false">H560*(1+IF(I$3&lt;=$O$2,$D560,$D560-($D560-$I$535)*MIN(I$3-$O$2,$Q$2)/$Q$2))</f>
        <v>3343.51445125505</v>
      </c>
      <c r="J560" s="15" t="n">
        <f aca="false">I560*(1+IF(J$3&lt;=$O$2,$D560,$D560-($D560-$I$535)*MIN(J$3-$O$2,$Q$2)/$Q$2))</f>
        <v>3510.30910507926</v>
      </c>
      <c r="K560" s="15" t="n">
        <f aca="false">J560*(1+IF(K$3&lt;=$O$2,$D560,$D560-($D560-$I$535)*MIN(K$3-$O$2,$Q$2)/$Q$2))</f>
        <v>3670.86896076143</v>
      </c>
      <c r="L560" s="15" t="n">
        <f aca="false">K560*(1+IF(L$3&lt;=$O$2,$D560,$D560-($D560-$I$535)*MIN(L$3-$O$2,$Q$2)/$Q$2))</f>
        <v>3823.5514639001</v>
      </c>
      <c r="M560" s="15" t="n">
        <f aca="false">L560*(1+IF(M$3&lt;=$O$2,$D560,$D560-($D560-$I$535)*MIN(M$3-$O$2,$Q$2)/$Q$2))</f>
        <v>3966.73011006916</v>
      </c>
      <c r="N560" s="15" t="n">
        <f aca="false">M560*(1+IF(N$3&lt;=$O$2,$D560,$D560-($D560-$I$535)*MIN(N$3-$O$2,$Q$2)/$Q$2))</f>
        <v>4098.82222273446</v>
      </c>
      <c r="O560" s="15" t="n">
        <f aca="false">SUMPRODUCT(E560:N560,1/(1+$F$535)^$E$3:$N$3)*$E$2</f>
        <v>4058.14467005851</v>
      </c>
      <c r="P560" s="15" t="n">
        <f aca="false">N560*$E$2*(1+$I$535)/($F$535-$I$535)/(1+$F$535)^$N$3</f>
        <v>4988.05573536484</v>
      </c>
      <c r="Q560" s="15" t="n">
        <f aca="false">O560+P560</f>
        <v>9046.20040542335</v>
      </c>
      <c r="R560" s="15" t="n">
        <f aca="false">Q560-$G$2+$I$2</f>
        <v>7670.00040542335</v>
      </c>
      <c r="S560" s="42" t="n">
        <f aca="false">R560/$K$2</f>
        <v>204.478816460233</v>
      </c>
      <c r="T560" s="43" t="n">
        <f aca="false">S560-$M$2</f>
        <v>1.08084071825942E-005</v>
      </c>
    </row>
    <row r="562" customFormat="false" ht="15" hidden="false" customHeight="false" outlineLevel="0" collapsed="false">
      <c r="A562" s="38" t="s">
        <v>201</v>
      </c>
      <c r="E562" s="5" t="s">
        <v>11</v>
      </c>
      <c r="F562" s="12" t="n">
        <f aca="false">Sensitivity!$B$13</f>
        <v>0.099183337553844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162</v>
      </c>
      <c r="B563" s="28" t="s">
        <v>163</v>
      </c>
      <c r="C563" s="28" t="s">
        <v>164</v>
      </c>
      <c r="D563" s="28" t="s">
        <v>165</v>
      </c>
      <c r="E563" s="28" t="s">
        <v>166</v>
      </c>
      <c r="F563" s="28" t="s">
        <v>167</v>
      </c>
      <c r="G563" s="28" t="s">
        <v>168</v>
      </c>
      <c r="H563" s="28" t="s">
        <v>169</v>
      </c>
      <c r="I563" s="28" t="s">
        <v>170</v>
      </c>
      <c r="J563" s="28" t="s">
        <v>171</v>
      </c>
      <c r="K563" s="28" t="s">
        <v>172</v>
      </c>
      <c r="L563" s="28" t="s">
        <v>173</v>
      </c>
      <c r="M563" s="28" t="s">
        <v>174</v>
      </c>
      <c r="N563" s="28" t="s">
        <v>175</v>
      </c>
      <c r="O563" s="28" t="s">
        <v>176</v>
      </c>
      <c r="P563" s="28" t="s">
        <v>177</v>
      </c>
      <c r="Q563" s="28" t="s">
        <v>178</v>
      </c>
      <c r="R563" s="28" t="s">
        <v>179</v>
      </c>
      <c r="S563" s="28" t="s">
        <v>180</v>
      </c>
      <c r="T563" s="28" t="s">
        <v>181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3212.5</v>
      </c>
      <c r="F564" s="15" t="n">
        <f aca="false">E564*(1+IF(F$3&lt;=$O$2,$D564,$D564-($D564-$I$562)*MIN(F$3-$O$2,$Q$2)/$Q$2))</f>
        <v>4015.625</v>
      </c>
      <c r="G564" s="15" t="n">
        <f aca="false">F564*(1+IF(G$3&lt;=$O$2,$D564,$D564-($D564-$I$562)*MIN(G$3-$O$2,$Q$2)/$Q$2))</f>
        <v>5019.53125</v>
      </c>
      <c r="H564" s="15" t="n">
        <f aca="false">G564*(1+IF(H$3&lt;=$O$2,$D564,$D564-($D564-$I$562)*MIN(H$3-$O$2,$Q$2)/$Q$2))</f>
        <v>6274.4140625</v>
      </c>
      <c r="I564" s="15" t="n">
        <f aca="false">H564*(1+IF(I$3&lt;=$O$2,$D564,$D564-($D564-$I$562)*MIN(I$3-$O$2,$Q$2)/$Q$2))</f>
        <v>7843.017578125</v>
      </c>
      <c r="J564" s="15" t="n">
        <f aca="false">I564*(1+IF(J$3&lt;=$O$2,$D564,$D564-($D564-$I$562)*MIN(J$3-$O$2,$Q$2)/$Q$2))</f>
        <v>9471.69860839844</v>
      </c>
      <c r="K564" s="15" t="n">
        <f aca="false">J564*(1+IF(K$3&lt;=$O$2,$D564,$D564-($D564-$I$562)*MIN(K$3-$O$2,$Q$2)/$Q$2))</f>
        <v>11037.5598223389</v>
      </c>
      <c r="L564" s="15" t="n">
        <f aca="false">K564*(1+IF(L$3&lt;=$O$2,$D564,$D564-($D564-$I$562)*MIN(L$3-$O$2,$Q$2)/$Q$2))</f>
        <v>12394.9589292901</v>
      </c>
      <c r="M564" s="15" t="n">
        <f aca="false">L564*(1+IF(M$3&lt;=$O$2,$D564,$D564-($D564-$I$562)*MIN(M$3-$O$2,$Q$2)/$Q$2))</f>
        <v>13394.4884173481</v>
      </c>
      <c r="N564" s="15" t="n">
        <f aca="false">M564*(1+IF(N$3&lt;=$O$2,$D564,$D564-($D564-$I$562)*MIN(N$3-$O$2,$Q$2)/$Q$2))</f>
        <v>13907.4973237325</v>
      </c>
      <c r="O564" s="15" t="n">
        <f aca="false">SUMPRODUCT(E564:N564,1/(1+$F$562)^$E$3:$N$3)*$E$2</f>
        <v>9431.67980237164</v>
      </c>
      <c r="P564" s="15" t="n">
        <f aca="false">N564*$E$2*(1+$I$562)/($F$562-$I$562)/(1+$F$562)^$N$3</f>
        <v>18403.2601284527</v>
      </c>
      <c r="Q564" s="15" t="n">
        <f aca="false">O564+P564</f>
        <v>27834.9399308243</v>
      </c>
      <c r="R564" s="15" t="n">
        <f aca="false">Q564-$G$2+$I$2</f>
        <v>26458.7399308243</v>
      </c>
      <c r="S564" s="42" t="n">
        <f aca="false">R564/$K$2</f>
        <v>705.378297276042</v>
      </c>
      <c r="T564" s="43" t="n">
        <f aca="false">S564-$M$2</f>
        <v>500.899491624216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2248.75</v>
      </c>
      <c r="F565" s="15" t="n">
        <f aca="false">E565*(1+IF(F$3&lt;=$O$2,$D565,$D565-($D565-$I$562)*MIN(F$3-$O$2,$Q$2)/$Q$2))</f>
        <v>1967.65625</v>
      </c>
      <c r="G565" s="15" t="n">
        <f aca="false">F565*(1+IF(G$3&lt;=$O$2,$D565,$D565-($D565-$I$562)*MIN(G$3-$O$2,$Q$2)/$Q$2))</f>
        <v>1721.69921875</v>
      </c>
      <c r="H565" s="15" t="n">
        <f aca="false">G565*(1+IF(H$3&lt;=$O$2,$D565,$D565-($D565-$I$562)*MIN(H$3-$O$2,$Q$2)/$Q$2))</f>
        <v>1506.48681640625</v>
      </c>
      <c r="I565" s="15" t="n">
        <f aca="false">H565*(1+IF(I$3&lt;=$O$2,$D565,$D565-($D565-$I$562)*MIN(I$3-$O$2,$Q$2)/$Q$2))</f>
        <v>1318.17596435547</v>
      </c>
      <c r="J565" s="15" t="n">
        <f aca="false">I565*(1+IF(J$3&lt;=$O$2,$D565,$D565-($D565-$I$562)*MIN(J$3-$O$2,$Q$2)/$Q$2))</f>
        <v>1196.45559580688</v>
      </c>
      <c r="K565" s="15" t="n">
        <f aca="false">J565*(1+IF(K$3&lt;=$O$2,$D565,$D565-($D565-$I$562)*MIN(K$3-$O$2,$Q$2)/$Q$2))</f>
        <v>1125.05112584913</v>
      </c>
      <c r="L565" s="15" t="n">
        <f aca="false">K565*(1+IF(L$3&lt;=$O$2,$D565,$D565-($D565-$I$562)*MIN(L$3-$O$2,$Q$2)/$Q$2))</f>
        <v>1094.65224442869</v>
      </c>
      <c r="M565" s="15" t="n">
        <f aca="false">L565*(1+IF(M$3&lt;=$O$2,$D565,$D565-($D565-$I$562)*MIN(M$3-$O$2,$Q$2)/$Q$2))</f>
        <v>1100.82608308726</v>
      </c>
      <c r="N565" s="15" t="n">
        <f aca="false">M565*(1+IF(N$3&lt;=$O$2,$D565,$D565-($D565-$I$562)*MIN(N$3-$O$2,$Q$2)/$Q$2))</f>
        <v>1142.98772206951</v>
      </c>
      <c r="O565" s="15" t="n">
        <f aca="false">SUMPRODUCT(E565:N565,1/(1+$F$562)^$E$3:$N$3)*$E$2</f>
        <v>1899.93057828905</v>
      </c>
      <c r="P565" s="15" t="n">
        <f aca="false">N565*$E$2*(1+$I$562)/($F$562-$I$562)/(1+$F$562)^$N$3</f>
        <v>1512.4720057992</v>
      </c>
      <c r="Q565" s="15" t="n">
        <f aca="false">O565+P565</f>
        <v>3412.40258408826</v>
      </c>
      <c r="R565" s="15" t="n">
        <f aca="false">Q565-$G$2+$I$2</f>
        <v>2036.20258408826</v>
      </c>
      <c r="S565" s="42" t="n">
        <f aca="false">R565/$K$2</f>
        <v>54.2842597730807</v>
      </c>
      <c r="T565" s="43" t="n">
        <f aca="false">S565-$M$2</f>
        <v>-150.194545878745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2730.625</v>
      </c>
      <c r="F566" s="15" t="n">
        <f aca="false">E566*(1+IF(F$3&lt;=$O$2,$D566,$D566-($D566-$I$562)*MIN(F$3-$O$2,$Q$2)/$Q$2))</f>
        <v>2901.2890625</v>
      </c>
      <c r="G566" s="15" t="n">
        <f aca="false">F566*(1+IF(G$3&lt;=$O$2,$D566,$D566-($D566-$I$562)*MIN(G$3-$O$2,$Q$2)/$Q$2))</f>
        <v>3082.61962890625</v>
      </c>
      <c r="H566" s="15" t="n">
        <f aca="false">G566*(1+IF(H$3&lt;=$O$2,$D566,$D566-($D566-$I$562)*MIN(H$3-$O$2,$Q$2)/$Q$2))</f>
        <v>3275.28335571289</v>
      </c>
      <c r="I566" s="15" t="n">
        <f aca="false">H566*(1+IF(I$3&lt;=$O$2,$D566,$D566-($D566-$I$562)*MIN(I$3-$O$2,$Q$2)/$Q$2))</f>
        <v>3479.98856544495</v>
      </c>
      <c r="J566" s="15" t="n">
        <f aca="false">I566*(1+IF(J$3&lt;=$O$2,$D566,$D566-($D566-$I$562)*MIN(J$3-$O$2,$Q$2)/$Q$2))</f>
        <v>3680.6447061285</v>
      </c>
      <c r="K566" s="15" t="n">
        <f aca="false">J566*(1+IF(K$3&lt;=$O$2,$D566,$D566-($D566-$I$562)*MIN(K$3-$O$2,$Q$2)/$Q$2))</f>
        <v>3875.05635950621</v>
      </c>
      <c r="L566" s="15" t="n">
        <f aca="false">K566*(1+IF(L$3&lt;=$O$2,$D566,$D566-($D566-$I$562)*MIN(L$3-$O$2,$Q$2)/$Q$2))</f>
        <v>4060.98156363532</v>
      </c>
      <c r="M566" s="15" t="n">
        <f aca="false">L566*(1+IF(M$3&lt;=$O$2,$D566,$D566-($D566-$I$562)*MIN(M$3-$O$2,$Q$2)/$Q$2))</f>
        <v>4236.17230829055</v>
      </c>
      <c r="N566" s="15" t="n">
        <f aca="false">M566*(1+IF(N$3&lt;=$O$2,$D566,$D566-($D566-$I$562)*MIN(N$3-$O$2,$Q$2)/$Q$2))</f>
        <v>4398.41770769807</v>
      </c>
      <c r="O566" s="15" t="n">
        <f aca="false">SUMPRODUCT(E566:N566,1/(1+$F$562)^$E$3:$N$3)*$E$2</f>
        <v>4220.64183242593</v>
      </c>
      <c r="P566" s="15" t="n">
        <f aca="false">N566*$E$2*(1+$I$562)/($F$562-$I$562)/(1+$F$562)^$N$3</f>
        <v>5820.25819197758</v>
      </c>
      <c r="Q566" s="15" t="n">
        <f aca="false">O566+P566</f>
        <v>10040.9000244035</v>
      </c>
      <c r="R566" s="15" t="n">
        <f aca="false">Q566-$G$2+$I$2</f>
        <v>8664.7000244035</v>
      </c>
      <c r="S566" s="42" t="n">
        <f aca="false">R566/$K$2</f>
        <v>230.997068099267</v>
      </c>
      <c r="T566" s="43" t="n">
        <f aca="false">S566-$M$2</f>
        <v>26.5182624474409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2489.6875</v>
      </c>
      <c r="F567" s="15" t="n">
        <f aca="false">E567*(1+IF(F$3&lt;=$O$2,$D567,$D567-($D567-$I$562)*MIN(F$3-$O$2,$Q$2)/$Q$2))</f>
        <v>2411.884765625</v>
      </c>
      <c r="G567" s="15" t="n">
        <f aca="false">F567*(1+IF(G$3&lt;=$O$2,$D567,$D567-($D567-$I$562)*MIN(G$3-$O$2,$Q$2)/$Q$2))</f>
        <v>2336.51336669922</v>
      </c>
      <c r="H567" s="15" t="n">
        <f aca="false">G567*(1+IF(H$3&lt;=$O$2,$D567,$D567-($D567-$I$562)*MIN(H$3-$O$2,$Q$2)/$Q$2))</f>
        <v>2263.49732398987</v>
      </c>
      <c r="I567" s="15" t="n">
        <f aca="false">H567*(1+IF(I$3&lt;=$O$2,$D567,$D567-($D567-$I$562)*MIN(I$3-$O$2,$Q$2)/$Q$2))</f>
        <v>2192.76303261519</v>
      </c>
      <c r="J567" s="15" t="n">
        <f aca="false">I567*(1+IF(J$3&lt;=$O$2,$D567,$D567-($D567-$I$562)*MIN(J$3-$O$2,$Q$2)/$Q$2))</f>
        <v>2154.74052162964</v>
      </c>
      <c r="K567" s="15" t="n">
        <f aca="false">J567*(1+IF(K$3&lt;=$O$2,$D567,$D567-($D567-$I$562)*MIN(K$3-$O$2,$Q$2)/$Q$2))</f>
        <v>2147.34976164045</v>
      </c>
      <c r="L567" s="15" t="n">
        <f aca="false">K567*(1+IF(L$3&lt;=$O$2,$D567,$D567-($D567-$I$562)*MIN(L$3-$O$2,$Q$2)/$Q$2))</f>
        <v>2169.85398714244</v>
      </c>
      <c r="M567" s="15" t="n">
        <f aca="false">L567*(1+IF(M$3&lt;=$O$2,$D567,$D567-($D567-$I$562)*MIN(M$3-$O$2,$Q$2)/$Q$2))</f>
        <v>2222.77672588884</v>
      </c>
      <c r="N567" s="15" t="n">
        <f aca="false">M567*(1+IF(N$3&lt;=$O$2,$D567,$D567-($D567-$I$562)*MIN(N$3-$O$2,$Q$2)/$Q$2))</f>
        <v>2307.90907449039</v>
      </c>
      <c r="O567" s="15" t="n">
        <f aca="false">SUMPRODUCT(E567:N567,1/(1+$F$562)^$E$3:$N$3)*$E$2</f>
        <v>2822.89587314687</v>
      </c>
      <c r="P567" s="15" t="n">
        <f aca="false">N567*$E$2*(1+$I$562)/($F$562-$I$562)/(1+$F$562)^$N$3</f>
        <v>3053.9679470716</v>
      </c>
      <c r="Q567" s="15" t="n">
        <f aca="false">O567+P567</f>
        <v>5876.86382021847</v>
      </c>
      <c r="R567" s="15" t="n">
        <f aca="false">Q567-$G$2+$I$2</f>
        <v>4500.66382021847</v>
      </c>
      <c r="S567" s="42" t="n">
        <f aca="false">R567/$K$2</f>
        <v>119.98570568431</v>
      </c>
      <c r="T567" s="43" t="n">
        <f aca="false">S567-$M$2</f>
        <v>-84.4930999675161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2610.15625</v>
      </c>
      <c r="F568" s="15" t="n">
        <f aca="false">E568*(1+IF(F$3&lt;=$O$2,$D568,$D568-($D568-$I$562)*MIN(F$3-$O$2,$Q$2)/$Q$2))</f>
        <v>2650.93994140625</v>
      </c>
      <c r="G568" s="15" t="n">
        <f aca="false">F568*(1+IF(G$3&lt;=$O$2,$D568,$D568-($D568-$I$562)*MIN(G$3-$O$2,$Q$2)/$Q$2))</f>
        <v>2692.36087799072</v>
      </c>
      <c r="H568" s="15" t="n">
        <f aca="false">G568*(1+IF(H$3&lt;=$O$2,$D568,$D568-($D568-$I$562)*MIN(H$3-$O$2,$Q$2)/$Q$2))</f>
        <v>2734.42901670933</v>
      </c>
      <c r="I568" s="15" t="n">
        <f aca="false">H568*(1+IF(I$3&lt;=$O$2,$D568,$D568-($D568-$I$562)*MIN(I$3-$O$2,$Q$2)/$Q$2))</f>
        <v>2777.15447009541</v>
      </c>
      <c r="J568" s="15" t="n">
        <f aca="false">I568*(1+IF(J$3&lt;=$O$2,$D568,$D568-($D568-$I$562)*MIN(J$3-$O$2,$Q$2)/$Q$2))</f>
        <v>2833.14190421253</v>
      </c>
      <c r="K568" s="15" t="n">
        <f aca="false">J568*(1+IF(K$3&lt;=$O$2,$D568,$D568-($D568-$I$562)*MIN(K$3-$O$2,$Q$2)/$Q$2))</f>
        <v>2903.10634353706</v>
      </c>
      <c r="L568" s="15" t="n">
        <f aca="false">K568*(1+IF(L$3&lt;=$O$2,$D568,$D568-($D568-$I$562)*MIN(L$3-$O$2,$Q$2)/$Q$2))</f>
        <v>2987.96414195865</v>
      </c>
      <c r="M568" s="15" t="n">
        <f aca="false">L568*(1+IF(M$3&lt;=$O$2,$D568,$D568-($D568-$I$562)*MIN(M$3-$O$2,$Q$2)/$Q$2))</f>
        <v>3088.85275121189</v>
      </c>
      <c r="N568" s="15" t="n">
        <f aca="false">M568*(1+IF(N$3&lt;=$O$2,$D568,$D568-($D568-$I$562)*MIN(N$3-$O$2,$Q$2)/$Q$2))</f>
        <v>3207.1558115833</v>
      </c>
      <c r="O568" s="15" t="n">
        <f aca="false">SUMPRODUCT(E568:N568,1/(1+$F$562)^$E$3:$N$3)*$E$2</f>
        <v>3450.10271245723</v>
      </c>
      <c r="P568" s="15" t="n">
        <f aca="false">N568*$E$2*(1+$I$562)/($F$562-$I$562)/(1+$F$562)^$N$3</f>
        <v>4243.90681509087</v>
      </c>
      <c r="Q568" s="15" t="n">
        <f aca="false">O568+P568</f>
        <v>7694.0095275481</v>
      </c>
      <c r="R568" s="15" t="n">
        <f aca="false">Q568-$G$2+$I$2</f>
        <v>6317.8095275481</v>
      </c>
      <c r="S568" s="42" t="n">
        <f aca="false">R568/$K$2</f>
        <v>168.430006066332</v>
      </c>
      <c r="T568" s="43" t="n">
        <f aca="false">S568-$M$2</f>
        <v>-36.0487995854945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0.015625</v>
      </c>
      <c r="C569" s="25" t="n">
        <f aca="false">IF(T568&gt;0,D568,C568)</f>
        <v>0.0625</v>
      </c>
      <c r="D569" s="41" t="n">
        <f aca="false">(B569+C569)/2</f>
        <v>0.0390625</v>
      </c>
      <c r="E569" s="15" t="n">
        <f aca="false">$C$2*(1+IF(E$3&lt;=$O$2,$D569,$D569-($D569-$I$562)*MIN(E$3-$O$2,$Q$2)/$Q$2))</f>
        <v>2670.390625</v>
      </c>
      <c r="F569" s="15" t="n">
        <f aca="false">E569*(1+IF(F$3&lt;=$O$2,$D569,$D569-($D569-$I$562)*MIN(F$3-$O$2,$Q$2)/$Q$2))</f>
        <v>2774.70275878906</v>
      </c>
      <c r="G569" s="15" t="n">
        <f aca="false">F569*(1+IF(G$3&lt;=$O$2,$D569,$D569-($D569-$I$562)*MIN(G$3-$O$2,$Q$2)/$Q$2))</f>
        <v>2883.08958530426</v>
      </c>
      <c r="H569" s="15" t="n">
        <f aca="false">G569*(1+IF(H$3&lt;=$O$2,$D569,$D569-($D569-$I$562)*MIN(H$3-$O$2,$Q$2)/$Q$2))</f>
        <v>2995.71027223021</v>
      </c>
      <c r="I569" s="15" t="n">
        <f aca="false">H569*(1+IF(I$3&lt;=$O$2,$D569,$D569-($D569-$I$562)*MIN(I$3-$O$2,$Q$2)/$Q$2))</f>
        <v>3112.7302047392</v>
      </c>
      <c r="J569" s="15" t="n">
        <f aca="false">I569*(1+IF(J$3&lt;=$O$2,$D569,$D569-($D569-$I$562)*MIN(J$3-$O$2,$Q$2)/$Q$2))</f>
        <v>3233.8465370056</v>
      </c>
      <c r="K569" s="15" t="n">
        <f aca="false">J569*(1+IF(K$3&lt;=$O$2,$D569,$D569-($D569-$I$562)*MIN(K$3-$O$2,$Q$2)/$Q$2))</f>
        <v>3359.1823441636</v>
      </c>
      <c r="L569" s="15" t="n">
        <f aca="false">K569*(1+IF(L$3&lt;=$O$2,$D569,$D569-($D569-$I$562)*MIN(L$3-$O$2,$Q$2)/$Q$2))</f>
        <v>3488.86357856003</v>
      </c>
      <c r="M569" s="15" t="n">
        <f aca="false">L569*(1+IF(M$3&lt;=$O$2,$D569,$D569-($D569-$I$562)*MIN(M$3-$O$2,$Q$2)/$Q$2))</f>
        <v>3623.01910531461</v>
      </c>
      <c r="N569" s="15" t="n">
        <f aca="false">M569*(1+IF(N$3&lt;=$O$2,$D569,$D569-($D569-$I$562)*MIN(N$3-$O$2,$Q$2)/$Q$2))</f>
        <v>3761.78073704816</v>
      </c>
      <c r="O569" s="15" t="n">
        <f aca="false">SUMPRODUCT(E569:N569,1/(1+$F$562)^$E$3:$N$3)*$E$2</f>
        <v>3815.67320966057</v>
      </c>
      <c r="P569" s="15" t="n">
        <f aca="false">N569*$E$2*(1+$I$562)/($F$562-$I$562)/(1+$F$562)^$N$3</f>
        <v>4977.82079971813</v>
      </c>
      <c r="Q569" s="15" t="n">
        <f aca="false">O569+P569</f>
        <v>8793.4940093787</v>
      </c>
      <c r="R569" s="15" t="n">
        <f aca="false">Q569-$G$2+$I$2</f>
        <v>7417.2940093787</v>
      </c>
      <c r="S569" s="42" t="n">
        <f aca="false">R569/$K$2</f>
        <v>197.741775776558</v>
      </c>
      <c r="T569" s="43" t="n">
        <f aca="false">S569-$M$2</f>
        <v>-6.73702987526789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0.0390625</v>
      </c>
      <c r="C570" s="25" t="n">
        <f aca="false">IF(T569&gt;0,D569,C569)</f>
        <v>0.0625</v>
      </c>
      <c r="D570" s="41" t="n">
        <f aca="false">(B570+C570)/2</f>
        <v>0.05078125</v>
      </c>
      <c r="E570" s="15" t="n">
        <f aca="false">$C$2*(1+IF(E$3&lt;=$O$2,$D570,$D570-($D570-$I$562)*MIN(E$3-$O$2,$Q$2)/$Q$2))</f>
        <v>2700.5078125</v>
      </c>
      <c r="F570" s="15" t="n">
        <f aca="false">E570*(1+IF(F$3&lt;=$O$2,$D570,$D570-($D570-$I$562)*MIN(F$3-$O$2,$Q$2)/$Q$2))</f>
        <v>2837.64297485352</v>
      </c>
      <c r="G570" s="15" t="n">
        <f aca="false">F570*(1+IF(G$3&lt;=$O$2,$D570,$D570-($D570-$I$562)*MIN(G$3-$O$2,$Q$2)/$Q$2))</f>
        <v>2981.7420321703</v>
      </c>
      <c r="H570" s="15" t="n">
        <f aca="false">G570*(1+IF(H$3&lt;=$O$2,$D570,$D570-($D570-$I$562)*MIN(H$3-$O$2,$Q$2)/$Q$2))</f>
        <v>3133.15861974144</v>
      </c>
      <c r="I570" s="15" t="n">
        <f aca="false">H570*(1+IF(I$3&lt;=$O$2,$D570,$D570-($D570-$I$562)*MIN(I$3-$O$2,$Q$2)/$Q$2))</f>
        <v>3292.26433090019</v>
      </c>
      <c r="J570" s="15" t="n">
        <f aca="false">I570*(1+IF(J$3&lt;=$O$2,$D570,$D570-($D570-$I$562)*MIN(J$3-$O$2,$Q$2)/$Q$2))</f>
        <v>3451.2313141177</v>
      </c>
      <c r="K570" s="15" t="n">
        <f aca="false">J570*(1+IF(K$3&lt;=$O$2,$D570,$D570-($D570-$I$562)*MIN(K$3-$O$2,$Q$2)/$Q$2))</f>
        <v>3609.25888195201</v>
      </c>
      <c r="L570" s="15" t="n">
        <f aca="false">K570*(1+IF(L$3&lt;=$O$2,$D570,$D570-($D570-$I$562)*MIN(L$3-$O$2,$Q$2)/$Q$2))</f>
        <v>3765.51272209892</v>
      </c>
      <c r="M570" s="15" t="n">
        <f aca="false">L570*(1+IF(M$3&lt;=$O$2,$D570,$D570-($D570-$I$562)*MIN(M$3-$O$2,$Q$2)/$Q$2))</f>
        <v>3919.13152048785</v>
      </c>
      <c r="N570" s="15" t="n">
        <f aca="false">M570*(1+IF(N$3&lt;=$O$2,$D570,$D570-($D570-$I$562)*MIN(N$3-$O$2,$Q$2)/$Q$2))</f>
        <v>4069.23425772253</v>
      </c>
      <c r="O570" s="15" t="n">
        <f aca="false">SUMPRODUCT(E570:N570,1/(1+$F$562)^$E$3:$N$3)*$E$2</f>
        <v>4012.99310746738</v>
      </c>
      <c r="P570" s="15" t="n">
        <f aca="false">N570*$E$2*(1+$I$562)/($F$562-$I$562)/(1+$F$562)^$N$3</f>
        <v>5384.6623030218</v>
      </c>
      <c r="Q570" s="15" t="n">
        <f aca="false">O570+P570</f>
        <v>9397.65541048918</v>
      </c>
      <c r="R570" s="15" t="n">
        <f aca="false">Q570-$G$2+$I$2</f>
        <v>8021.45541048918</v>
      </c>
      <c r="S570" s="42" t="n">
        <f aca="false">R570/$K$2</f>
        <v>213.848451359349</v>
      </c>
      <c r="T570" s="43" t="n">
        <f aca="false">S570-$M$2</f>
        <v>9.36964570752281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0.0390625</v>
      </c>
      <c r="C571" s="25" t="n">
        <f aca="false">IF(T570&gt;0,D570,C570)</f>
        <v>0.05078125</v>
      </c>
      <c r="D571" s="41" t="n">
        <f aca="false">(B571+C571)/2</f>
        <v>0.044921875</v>
      </c>
      <c r="E571" s="15" t="n">
        <f aca="false">$C$2*(1+IF(E$3&lt;=$O$2,$D571,$D571-($D571-$I$562)*MIN(E$3-$O$2,$Q$2)/$Q$2))</f>
        <v>2685.44921875</v>
      </c>
      <c r="F571" s="15" t="n">
        <f aca="false">E571*(1+IF(F$3&lt;=$O$2,$D571,$D571-($D571-$I$562)*MIN(F$3-$O$2,$Q$2)/$Q$2))</f>
        <v>2806.08463287354</v>
      </c>
      <c r="G571" s="15" t="n">
        <f aca="false">F571*(1+IF(G$3&lt;=$O$2,$D571,$D571-($D571-$I$562)*MIN(G$3-$O$2,$Q$2)/$Q$2))</f>
        <v>2932.1392159909</v>
      </c>
      <c r="H571" s="15" t="n">
        <f aca="false">G571*(1+IF(H$3&lt;=$O$2,$D571,$D571-($D571-$I$562)*MIN(H$3-$O$2,$Q$2)/$Q$2))</f>
        <v>3063.85640733424</v>
      </c>
      <c r="I571" s="15" t="n">
        <f aca="false">H571*(1+IF(I$3&lt;=$O$2,$D571,$D571-($D571-$I$562)*MIN(I$3-$O$2,$Q$2)/$Q$2))</f>
        <v>3201.49058188246</v>
      </c>
      <c r="J571" s="15" t="n">
        <f aca="false">I571*(1+IF(J$3&lt;=$O$2,$D571,$D571-($D571-$I$562)*MIN(J$3-$O$2,$Q$2)/$Q$2))</f>
        <v>3341.06756752608</v>
      </c>
      <c r="K571" s="15" t="n">
        <f aca="false">J571*(1+IF(K$3&lt;=$O$2,$D571,$D571-($D571-$I$562)*MIN(K$3-$O$2,$Q$2)/$Q$2))</f>
        <v>3482.30493444156</v>
      </c>
      <c r="L571" s="15" t="n">
        <f aca="false">K571*(1+IF(L$3&lt;=$O$2,$D571,$D571-($D571-$I$562)*MIN(L$3-$O$2,$Q$2)/$Q$2))</f>
        <v>3624.90096862577</v>
      </c>
      <c r="M571" s="15" t="n">
        <f aca="false">L571*(1+IF(M$3&lt;=$O$2,$D571,$D571-($D571-$I$562)*MIN(M$3-$O$2,$Q$2)/$Q$2))</f>
        <v>3768.53540394446</v>
      </c>
      <c r="N571" s="15" t="n">
        <f aca="false">M571*(1+IF(N$3&lt;=$O$2,$D571,$D571-($D571-$I$562)*MIN(N$3-$O$2,$Q$2)/$Q$2))</f>
        <v>3912.87030991553</v>
      </c>
      <c r="O571" s="15" t="n">
        <f aca="false">SUMPRODUCT(E571:N571,1/(1+$F$562)^$E$3:$N$3)*$E$2</f>
        <v>3913.07279691683</v>
      </c>
      <c r="P571" s="15" t="n">
        <f aca="false">N571*$E$2*(1+$I$562)/($F$562-$I$562)/(1+$F$562)^$N$3</f>
        <v>5177.75186189639</v>
      </c>
      <c r="Q571" s="15" t="n">
        <f aca="false">O571+P571</f>
        <v>9090.82465881322</v>
      </c>
      <c r="R571" s="15" t="n">
        <f aca="false">Q571-$G$2+$I$2</f>
        <v>7714.62465881322</v>
      </c>
      <c r="S571" s="42" t="n">
        <f aca="false">R571/$K$2</f>
        <v>205.668479307204</v>
      </c>
      <c r="T571" s="43" t="n">
        <f aca="false">S571-$M$2</f>
        <v>1.18967365537785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0.0390625</v>
      </c>
      <c r="C572" s="25" t="n">
        <f aca="false">IF(T571&gt;0,D571,C571)</f>
        <v>0.044921875</v>
      </c>
      <c r="D572" s="41" t="n">
        <f aca="false">(B572+C572)/2</f>
        <v>0.0419921875</v>
      </c>
      <c r="E572" s="15" t="n">
        <f aca="false">$C$2*(1+IF(E$3&lt;=$O$2,$D572,$D572-($D572-$I$562)*MIN(E$3-$O$2,$Q$2)/$Q$2))</f>
        <v>2677.919921875</v>
      </c>
      <c r="F572" s="15" t="n">
        <f aca="false">E572*(1+IF(F$3&lt;=$O$2,$D572,$D572-($D572-$I$562)*MIN(F$3-$O$2,$Q$2)/$Q$2))</f>
        <v>2790.37163734436</v>
      </c>
      <c r="G572" s="15" t="n">
        <f aca="false">F572*(1+IF(G$3&lt;=$O$2,$D572,$D572-($D572-$I$562)*MIN(G$3-$O$2,$Q$2)/$Q$2))</f>
        <v>2907.54544633441</v>
      </c>
      <c r="H572" s="15" t="n">
        <f aca="false">G572*(1+IF(H$3&lt;=$O$2,$D572,$D572-($D572-$I$562)*MIN(H$3-$O$2,$Q$2)/$Q$2))</f>
        <v>3029.63963988165</v>
      </c>
      <c r="I572" s="15" t="n">
        <f aca="false">H572*(1+IF(I$3&lt;=$O$2,$D572,$D572-($D572-$I$562)*MIN(I$3-$O$2,$Q$2)/$Q$2))</f>
        <v>3156.860835697</v>
      </c>
      <c r="J572" s="15" t="n">
        <f aca="false">I572*(1+IF(J$3&lt;=$O$2,$D572,$D572-($D572-$I$562)*MIN(J$3-$O$2,$Q$2)/$Q$2))</f>
        <v>3287.09318339763</v>
      </c>
      <c r="K572" s="15" t="n">
        <f aca="false">J572*(1+IF(K$3&lt;=$O$2,$D572,$D572-($D572-$I$562)*MIN(K$3-$O$2,$Q$2)/$Q$2))</f>
        <v>3420.27079093961</v>
      </c>
      <c r="L572" s="15" t="n">
        <f aca="false">K572*(1+IF(L$3&lt;=$O$2,$D572,$D572-($D572-$I$562)*MIN(L$3-$O$2,$Q$2)/$Q$2))</f>
        <v>3556.31847465696</v>
      </c>
      <c r="M572" s="15" t="n">
        <f aca="false">L572*(1+IF(M$3&lt;=$O$2,$D572,$D572-($D572-$I$562)*MIN(M$3-$O$2,$Q$2)/$Q$2))</f>
        <v>3695.15159115995</v>
      </c>
      <c r="N572" s="15" t="n">
        <f aca="false">M572*(1+IF(N$3&lt;=$O$2,$D572,$D572-($D572-$I$562)*MIN(N$3-$O$2,$Q$2)/$Q$2))</f>
        <v>3836.67589710138</v>
      </c>
      <c r="O572" s="15" t="n">
        <f aca="false">SUMPRODUCT(E572:N572,1/(1+$F$562)^$E$3:$N$3)*$E$2</f>
        <v>3864.0616857716</v>
      </c>
      <c r="P572" s="15" t="n">
        <f aca="false">N572*$E$2*(1+$I$562)/($F$562-$I$562)/(1+$F$562)^$N$3</f>
        <v>5076.92670502501</v>
      </c>
      <c r="Q572" s="15" t="n">
        <f aca="false">O572+P572</f>
        <v>8940.98839079661</v>
      </c>
      <c r="R572" s="15" t="n">
        <f aca="false">Q572-$G$2+$I$2</f>
        <v>7564.78839079661</v>
      </c>
      <c r="S572" s="42" t="n">
        <f aca="false">R572/$K$2</f>
        <v>201.67391071172</v>
      </c>
      <c r="T572" s="43" t="n">
        <f aca="false">S572-$M$2</f>
        <v>-2.80489494010641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0.0419921875</v>
      </c>
      <c r="C573" s="25" t="n">
        <f aca="false">IF(T572&gt;0,D572,C572)</f>
        <v>0.044921875</v>
      </c>
      <c r="D573" s="41" t="n">
        <f aca="false">(B573+C573)/2</f>
        <v>0.04345703125</v>
      </c>
      <c r="E573" s="15" t="n">
        <f aca="false">$C$2*(1+IF(E$3&lt;=$O$2,$D573,$D573-($D573-$I$562)*MIN(E$3-$O$2,$Q$2)/$Q$2))</f>
        <v>2681.6845703125</v>
      </c>
      <c r="F573" s="15" t="n">
        <f aca="false">E573*(1+IF(F$3&lt;=$O$2,$D573,$D573-($D573-$I$562)*MIN(F$3-$O$2,$Q$2)/$Q$2))</f>
        <v>2798.22262048721</v>
      </c>
      <c r="G573" s="15" t="n">
        <f aca="false">F573*(1+IF(G$3&lt;=$O$2,$D573,$D573-($D573-$I$562)*MIN(G$3-$O$2,$Q$2)/$Q$2))</f>
        <v>2919.82506835018</v>
      </c>
      <c r="H573" s="15" t="n">
        <f aca="false">G573*(1+IF(H$3&lt;=$O$2,$D573,$D573-($D573-$I$562)*MIN(H$3-$O$2,$Q$2)/$Q$2))</f>
        <v>3046.71199759001</v>
      </c>
      <c r="I573" s="15" t="n">
        <f aca="false">H573*(1+IF(I$3&lt;=$O$2,$D573,$D573-($D573-$I$562)*MIN(I$3-$O$2,$Q$2)/$Q$2))</f>
        <v>3179.11305607903</v>
      </c>
      <c r="J573" s="15" t="n">
        <f aca="false">I573*(1+IF(J$3&lt;=$O$2,$D573,$D573-($D573-$I$562)*MIN(J$3-$O$2,$Q$2)/$Q$2))</f>
        <v>3313.98891442884</v>
      </c>
      <c r="K573" s="15" t="n">
        <f aca="false">J573*(1+IF(K$3&lt;=$O$2,$D573,$D573-($D573-$I$562)*MIN(K$3-$O$2,$Q$2)/$Q$2))</f>
        <v>3451.16889648778</v>
      </c>
      <c r="L573" s="15" t="n">
        <f aca="false">K573*(1+IF(L$3&lt;=$O$2,$D573,$D573-($D573-$I$562)*MIN(L$3-$O$2,$Q$2)/$Q$2))</f>
        <v>3590.46777956255</v>
      </c>
      <c r="M573" s="15" t="n">
        <f aca="false">L573*(1+IF(M$3&lt;=$O$2,$D573,$D573-($D573-$I$562)*MIN(M$3-$O$2,$Q$2)/$Q$2))</f>
        <v>3731.68592642806</v>
      </c>
      <c r="N573" s="15" t="n">
        <f aca="false">M573*(1+IF(N$3&lt;=$O$2,$D573,$D573-($D573-$I$562)*MIN(N$3-$O$2,$Q$2)/$Q$2))</f>
        <v>3874.60949741026</v>
      </c>
      <c r="O573" s="15" t="n">
        <f aca="false">SUMPRODUCT(E573:N573,1/(1+$F$562)^$E$3:$N$3)*$E$2</f>
        <v>3888.48894343538</v>
      </c>
      <c r="P573" s="15" t="n">
        <f aca="false">N573*$E$2*(1+$I$562)/($F$562-$I$562)/(1+$F$562)^$N$3</f>
        <v>5127.12278975851</v>
      </c>
      <c r="Q573" s="15" t="n">
        <f aca="false">O573+P573</f>
        <v>9015.61173319389</v>
      </c>
      <c r="R573" s="15" t="n">
        <f aca="false">Q573-$G$2+$I$2</f>
        <v>7639.41173319389</v>
      </c>
      <c r="S573" s="42" t="n">
        <f aca="false">R573/$K$2</f>
        <v>203.663335995572</v>
      </c>
      <c r="T573" s="43" t="n">
        <f aca="false">S573-$M$2</f>
        <v>-0.815469656254464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0.04345703125</v>
      </c>
      <c r="C574" s="25" t="n">
        <f aca="false">IF(T573&gt;0,D573,C573)</f>
        <v>0.044921875</v>
      </c>
      <c r="D574" s="41" t="n">
        <f aca="false">(B574+C574)/2</f>
        <v>0.044189453125</v>
      </c>
      <c r="E574" s="15" t="n">
        <f aca="false">$C$2*(1+IF(E$3&lt;=$O$2,$D574,$D574-($D574-$I$562)*MIN(E$3-$O$2,$Q$2)/$Q$2))</f>
        <v>2683.56689453125</v>
      </c>
      <c r="F574" s="15" t="n">
        <f aca="false">E574*(1+IF(F$3&lt;=$O$2,$D574,$D574-($D574-$I$562)*MIN(F$3-$O$2,$Q$2)/$Q$2))</f>
        <v>2802.15224802494</v>
      </c>
      <c r="G574" s="15" t="n">
        <f aca="false">F574*(1+IF(G$3&lt;=$O$2,$D574,$D574-($D574-$I$562)*MIN(G$3-$O$2,$Q$2)/$Q$2))</f>
        <v>2925.97782343815</v>
      </c>
      <c r="H574" s="15" t="n">
        <f aca="false">G574*(1+IF(H$3&lt;=$O$2,$D574,$D574-($D574-$I$562)*MIN(H$3-$O$2,$Q$2)/$Q$2))</f>
        <v>3055.27518331176</v>
      </c>
      <c r="I574" s="15" t="n">
        <f aca="false">H574*(1+IF(I$3&lt;=$O$2,$D574,$D574-($D574-$I$562)*MIN(I$3-$O$2,$Q$2)/$Q$2))</f>
        <v>3190.28612280869</v>
      </c>
      <c r="J574" s="15" t="n">
        <f aca="false">I574*(1+IF(J$3&lt;=$O$2,$D574,$D574-($D574-$I$562)*MIN(J$3-$O$2,$Q$2)/$Q$2))</f>
        <v>3327.50531377276</v>
      </c>
      <c r="K574" s="15" t="n">
        <f aca="false">J574*(1+IF(K$3&lt;=$O$2,$D574,$D574-($D574-$I$562)*MIN(K$3-$O$2,$Q$2)/$Q$2))</f>
        <v>3466.70707923145</v>
      </c>
      <c r="L574" s="15" t="n">
        <f aca="false">K574*(1+IF(L$3&lt;=$O$2,$D574,$D574-($D574-$I$562)*MIN(L$3-$O$2,$Q$2)/$Q$2))</f>
        <v>3607.64876390251</v>
      </c>
      <c r="M574" s="15" t="n">
        <f aca="false">L574*(1+IF(M$3&lt;=$O$2,$D574,$D574-($D574-$I$562)*MIN(M$3-$O$2,$Q$2)/$Q$2))</f>
        <v>3750.07112721727</v>
      </c>
      <c r="N574" s="15" t="n">
        <f aca="false">M574*(1+IF(N$3&lt;=$O$2,$D574,$D574-($D574-$I$562)*MIN(N$3-$O$2,$Q$2)/$Q$2))</f>
        <v>3893.69885138969</v>
      </c>
      <c r="O574" s="15" t="n">
        <f aca="false">SUMPRODUCT(E574:N574,1/(1+$F$562)^$E$3:$N$3)*$E$2</f>
        <v>3900.76123686405</v>
      </c>
      <c r="P574" s="15" t="n">
        <f aca="false">N574*$E$2*(1+$I$562)/($F$562-$I$562)/(1+$F$562)^$N$3</f>
        <v>5152.38300292196</v>
      </c>
      <c r="Q574" s="15" t="n">
        <f aca="false">O574+P574</f>
        <v>9053.14423978602</v>
      </c>
      <c r="R574" s="15" t="n">
        <f aca="false">Q574-$G$2+$I$2</f>
        <v>7676.94423978602</v>
      </c>
      <c r="S574" s="42" t="n">
        <f aca="false">R574/$K$2</f>
        <v>204.663936011357</v>
      </c>
      <c r="T574" s="43" t="n">
        <f aca="false">S574-$M$2</f>
        <v>0.185130359531371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0.04345703125</v>
      </c>
      <c r="C575" s="25" t="n">
        <f aca="false">IF(T574&gt;0,D574,C574)</f>
        <v>0.044189453125</v>
      </c>
      <c r="D575" s="41" t="n">
        <f aca="false">(B575+C575)/2</f>
        <v>0.0438232421875</v>
      </c>
      <c r="E575" s="15" t="n">
        <f aca="false">$C$2*(1+IF(E$3&lt;=$O$2,$D575,$D575-($D575-$I$562)*MIN(E$3-$O$2,$Q$2)/$Q$2))</f>
        <v>2682.62573242188</v>
      </c>
      <c r="F575" s="15" t="n">
        <f aca="false">E575*(1+IF(F$3&lt;=$O$2,$D575,$D575-($D575-$I$562)*MIN(F$3-$O$2,$Q$2)/$Q$2))</f>
        <v>2800.18708959222</v>
      </c>
      <c r="G575" s="15" t="n">
        <f aca="false">F575*(1+IF(G$3&lt;=$O$2,$D575,$D575-($D575-$I$562)*MIN(G$3-$O$2,$Q$2)/$Q$2))</f>
        <v>2922.90036658973</v>
      </c>
      <c r="H575" s="15" t="n">
        <f aca="false">G575*(1+IF(H$3&lt;=$O$2,$D575,$D575-($D575-$I$562)*MIN(H$3-$O$2,$Q$2)/$Q$2))</f>
        <v>3050.99133724472</v>
      </c>
      <c r="I575" s="15" t="n">
        <f aca="false">H575*(1+IF(I$3&lt;=$O$2,$D575,$D575-($D575-$I$562)*MIN(I$3-$O$2,$Q$2)/$Q$2))</f>
        <v>3184.69566952876</v>
      </c>
      <c r="J575" s="15" t="n">
        <f aca="false">I575*(1+IF(J$3&lt;=$O$2,$D575,$D575-($D575-$I$562)*MIN(J$3-$O$2,$Q$2)/$Q$2))</f>
        <v>3320.74139005275</v>
      </c>
      <c r="K575" s="15" t="n">
        <f aca="false">J575*(1+IF(K$3&lt;=$O$2,$D575,$D575-($D575-$I$562)*MIN(K$3-$O$2,$Q$2)/$Q$2))</f>
        <v>3458.93054065536</v>
      </c>
      <c r="L575" s="15" t="n">
        <f aca="false">K575*(1+IF(L$3&lt;=$O$2,$D575,$D575-($D575-$I$562)*MIN(L$3-$O$2,$Q$2)/$Q$2))</f>
        <v>3599.04938479677</v>
      </c>
      <c r="M575" s="15" t="n">
        <f aca="false">L575*(1+IF(M$3&lt;=$O$2,$D575,$D575-($D575-$I$562)*MIN(M$3-$O$2,$Q$2)/$Q$2))</f>
        <v>3740.86866051389</v>
      </c>
      <c r="N575" s="15" t="n">
        <f aca="false">M575*(1+IF(N$3&lt;=$O$2,$D575,$D575-($D575-$I$562)*MIN(N$3-$O$2,$Q$2)/$Q$2))</f>
        <v>3884.14393021157</v>
      </c>
      <c r="O575" s="15" t="n">
        <f aca="false">SUMPRODUCT(E575:N575,1/(1+$F$562)^$E$3:$N$3)*$E$2</f>
        <v>3894.62018918809</v>
      </c>
      <c r="P575" s="15" t="n">
        <f aca="false">N575*$E$2*(1+$I$562)/($F$562-$I$562)/(1+$F$562)^$N$3</f>
        <v>5139.73934059691</v>
      </c>
      <c r="Q575" s="15" t="n">
        <f aca="false">O575+P575</f>
        <v>9034.359529785</v>
      </c>
      <c r="R575" s="15" t="n">
        <f aca="false">Q575-$G$2+$I$2</f>
        <v>7658.159529785</v>
      </c>
      <c r="S575" s="42" t="n">
        <f aca="false">R575/$K$2</f>
        <v>204.163143955878</v>
      </c>
      <c r="T575" s="43" t="n">
        <f aca="false">S575-$M$2</f>
        <v>-0.315661695947767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0.0438232421875</v>
      </c>
      <c r="C576" s="25" t="n">
        <f aca="false">IF(T575&gt;0,D575,C575)</f>
        <v>0.044189453125</v>
      </c>
      <c r="D576" s="41" t="n">
        <f aca="false">(B576+C576)/2</f>
        <v>0.04400634765625</v>
      </c>
      <c r="E576" s="15" t="n">
        <f aca="false">$C$2*(1+IF(E$3&lt;=$O$2,$D576,$D576-($D576-$I$562)*MIN(E$3-$O$2,$Q$2)/$Q$2))</f>
        <v>2683.09631347656</v>
      </c>
      <c r="F576" s="15" t="n">
        <f aca="false">E576*(1+IF(F$3&lt;=$O$2,$D576,$D576-($D576-$I$562)*MIN(F$3-$O$2,$Q$2)/$Q$2))</f>
        <v>2801.16958264262</v>
      </c>
      <c r="G576" s="15" t="n">
        <f aca="false">F576*(1+IF(G$3&lt;=$O$2,$D576,$D576-($D576-$I$562)*MIN(G$3-$O$2,$Q$2)/$Q$2))</f>
        <v>2924.4388251405</v>
      </c>
      <c r="H576" s="15" t="n">
        <f aca="false">G576*(1+IF(H$3&lt;=$O$2,$D576,$D576-($D576-$I$562)*MIN(H$3-$O$2,$Q$2)/$Q$2))</f>
        <v>3053.13269677907</v>
      </c>
      <c r="I576" s="15" t="n">
        <f aca="false">H576*(1+IF(I$3&lt;=$O$2,$D576,$D576-($D576-$I$562)*MIN(I$3-$O$2,$Q$2)/$Q$2))</f>
        <v>3187.48991567419</v>
      </c>
      <c r="J576" s="15" t="n">
        <f aca="false">I576*(1+IF(J$3&lt;=$O$2,$D576,$D576-($D576-$I$562)*MIN(J$3-$O$2,$Q$2)/$Q$2))</f>
        <v>3324.12191993221</v>
      </c>
      <c r="K576" s="15" t="n">
        <f aca="false">J576*(1+IF(K$3&lt;=$O$2,$D576,$D576-($D576-$I$562)*MIN(K$3-$O$2,$Q$2)/$Q$2))</f>
        <v>3462.81694666175</v>
      </c>
      <c r="L576" s="15" t="n">
        <f aca="false">K576*(1+IF(L$3&lt;=$O$2,$D576,$D576-($D576-$I$562)*MIN(L$3-$O$2,$Q$2)/$Q$2))</f>
        <v>3603.34685066594</v>
      </c>
      <c r="M576" s="15" t="n">
        <f aca="false">L576*(1+IF(M$3&lt;=$O$2,$D576,$D576-($D576-$I$562)*MIN(M$3-$O$2,$Q$2)/$Q$2))</f>
        <v>3745.46742501764</v>
      </c>
      <c r="N576" s="15" t="n">
        <f aca="false">M576*(1+IF(N$3&lt;=$O$2,$D576,$D576-($D576-$I$562)*MIN(N$3-$O$2,$Q$2)/$Q$2))</f>
        <v>3888.91882739581</v>
      </c>
      <c r="O576" s="15" t="n">
        <f aca="false">SUMPRODUCT(E576:N576,1/(1+$F$562)^$E$3:$N$3)*$E$2</f>
        <v>3897.68948686562</v>
      </c>
      <c r="P576" s="15" t="n">
        <f aca="false">N576*$E$2*(1+$I$562)/($F$562-$I$562)/(1+$F$562)^$N$3</f>
        <v>5146.05777970373</v>
      </c>
      <c r="Q576" s="15" t="n">
        <f aca="false">O576+P576</f>
        <v>9043.74726656935</v>
      </c>
      <c r="R576" s="15" t="n">
        <f aca="false">Q576-$G$2+$I$2</f>
        <v>7667.54726656935</v>
      </c>
      <c r="S576" s="42" t="n">
        <f aca="false">R576/$K$2</f>
        <v>204.413416864019</v>
      </c>
      <c r="T576" s="43" t="n">
        <f aca="false">S576-$M$2</f>
        <v>-0.0653887878071657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0.04400634765625</v>
      </c>
      <c r="C577" s="25" t="n">
        <f aca="false">IF(T576&gt;0,D576,C576)</f>
        <v>0.044189453125</v>
      </c>
      <c r="D577" s="41" t="n">
        <f aca="false">(B577+C577)/2</f>
        <v>0.044097900390625</v>
      </c>
      <c r="E577" s="15" t="n">
        <f aca="false">$C$2*(1+IF(E$3&lt;=$O$2,$D577,$D577-($D577-$I$562)*MIN(E$3-$O$2,$Q$2)/$Q$2))</f>
        <v>2683.33160400391</v>
      </c>
      <c r="F577" s="15" t="n">
        <f aca="false">E577*(1+IF(F$3&lt;=$O$2,$D577,$D577-($D577-$I$562)*MIN(F$3-$O$2,$Q$2)/$Q$2))</f>
        <v>2801.66089379229</v>
      </c>
      <c r="G577" s="15" t="n">
        <f aca="false">F577*(1+IF(G$3&lt;=$O$2,$D577,$D577-($D577-$I$562)*MIN(G$3-$O$2,$Q$2)/$Q$2))</f>
        <v>2925.20825681505</v>
      </c>
      <c r="H577" s="15" t="n">
        <f aca="false">G577*(1+IF(H$3&lt;=$O$2,$D577,$D577-($D577-$I$562)*MIN(H$3-$O$2,$Q$2)/$Q$2))</f>
        <v>3054.20379914591</v>
      </c>
      <c r="I577" s="15" t="n">
        <f aca="false">H577*(1+IF(I$3&lt;=$O$2,$D577,$D577-($D577-$I$562)*MIN(I$3-$O$2,$Q$2)/$Q$2))</f>
        <v>3188.88777405332</v>
      </c>
      <c r="J577" s="15" t="n">
        <f aca="false">I577*(1+IF(J$3&lt;=$O$2,$D577,$D577-($D577-$I$562)*MIN(J$3-$O$2,$Q$2)/$Q$2))</f>
        <v>3325.81325873623</v>
      </c>
      <c r="K577" s="15" t="n">
        <f aca="false">J577*(1+IF(K$3&lt;=$O$2,$D577,$D577-($D577-$I$562)*MIN(K$3-$O$2,$Q$2)/$Q$2))</f>
        <v>3464.76154694101</v>
      </c>
      <c r="L577" s="15" t="n">
        <f aca="false">K577*(1+IF(L$3&lt;=$O$2,$D577,$D577-($D577-$I$562)*MIN(L$3-$O$2,$Q$2)/$Q$2))</f>
        <v>3605.49725111943</v>
      </c>
      <c r="M577" s="15" t="n">
        <f aca="false">L577*(1+IF(M$3&lt;=$O$2,$D577,$D577-($D577-$I$562)*MIN(M$3-$O$2,$Q$2)/$Q$2))</f>
        <v>3747.76865862143</v>
      </c>
      <c r="N577" s="15" t="n">
        <f aca="false">M577*(1+IF(N$3&lt;=$O$2,$D577,$D577-($D577-$I$562)*MIN(N$3-$O$2,$Q$2)/$Q$2))</f>
        <v>3891.30819824664</v>
      </c>
      <c r="O577" s="15" t="n">
        <f aca="false">SUMPRODUCT(E577:N577,1/(1+$F$562)^$E$3:$N$3)*$E$2</f>
        <v>3899.22505520965</v>
      </c>
      <c r="P577" s="15" t="n">
        <f aca="false">N577*$E$2*(1+$I$562)/($F$562-$I$562)/(1+$F$562)^$N$3</f>
        <v>5149.21954290867</v>
      </c>
      <c r="Q577" s="15" t="n">
        <f aca="false">O577+P577</f>
        <v>9048.44459811833</v>
      </c>
      <c r="R577" s="15" t="n">
        <f aca="false">Q577-$G$2+$I$2</f>
        <v>7672.24459811833</v>
      </c>
      <c r="S577" s="42" t="n">
        <f aca="false">R577/$K$2</f>
        <v>204.538645644317</v>
      </c>
      <c r="T577" s="43" t="n">
        <f aca="false">S577-$M$2</f>
        <v>0.0598399924907938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0.04400634765625</v>
      </c>
      <c r="C578" s="25" t="n">
        <f aca="false">IF(T577&gt;0,D577,C577)</f>
        <v>0.044097900390625</v>
      </c>
      <c r="D578" s="41" t="n">
        <f aca="false">(B578+C578)/2</f>
        <v>0.0440521240234375</v>
      </c>
      <c r="E578" s="15" t="n">
        <f aca="false">$C$2*(1+IF(E$3&lt;=$O$2,$D578,$D578-($D578-$I$562)*MIN(E$3-$O$2,$Q$2)/$Q$2))</f>
        <v>2683.21395874023</v>
      </c>
      <c r="F578" s="15" t="n">
        <f aca="false">E578*(1+IF(F$3&lt;=$O$2,$D578,$D578-($D578-$I$562)*MIN(F$3-$O$2,$Q$2)/$Q$2))</f>
        <v>2801.41523283208</v>
      </c>
      <c r="G578" s="15" t="n">
        <f aca="false">F578*(1+IF(G$3&lt;=$O$2,$D578,$D578-($D578-$I$562)*MIN(G$3-$O$2,$Q$2)/$Q$2))</f>
        <v>2924.82352410994</v>
      </c>
      <c r="H578" s="15" t="n">
        <f aca="false">G578*(1+IF(H$3&lt;=$O$2,$D578,$D578-($D578-$I$562)*MIN(H$3-$O$2,$Q$2)/$Q$2))</f>
        <v>3053.6682127407</v>
      </c>
      <c r="I578" s="15" t="n">
        <f aca="false">H578*(1+IF(I$3&lt;=$O$2,$D578,$D578-($D578-$I$562)*MIN(I$3-$O$2,$Q$2)/$Q$2))</f>
        <v>3188.18878357479</v>
      </c>
      <c r="J578" s="15" t="n">
        <f aca="false">I578*(1+IF(J$3&lt;=$O$2,$D578,$D578-($D578-$I$562)*MIN(J$3-$O$2,$Q$2)/$Q$2))</f>
        <v>3324.9674998203</v>
      </c>
      <c r="K578" s="15" t="n">
        <f aca="false">J578*(1+IF(K$3&lt;=$O$2,$D578,$D578-($D578-$I$562)*MIN(K$3-$O$2,$Q$2)/$Q$2))</f>
        <v>3463.78913032314</v>
      </c>
      <c r="L578" s="15" t="n">
        <f aca="false">K578*(1+IF(L$3&lt;=$O$2,$D578,$D578-($D578-$I$562)*MIN(L$3-$O$2,$Q$2)/$Q$2))</f>
        <v>3604.42191188198</v>
      </c>
      <c r="M578" s="15" t="n">
        <f aca="false">L578*(1+IF(M$3&lt;=$O$2,$D578,$D578-($D578-$I$562)*MIN(M$3-$O$2,$Q$2)/$Q$2))</f>
        <v>3746.61788748105</v>
      </c>
      <c r="N578" s="15" t="n">
        <f aca="false">M578*(1+IF(N$3&lt;=$O$2,$D578,$D578-($D578-$I$562)*MIN(N$3-$O$2,$Q$2)/$Q$2))</f>
        <v>3890.11335257157</v>
      </c>
      <c r="O578" s="15" t="n">
        <f aca="false">SUMPRODUCT(E578:N578,1/(1+$F$562)^$E$3:$N$3)*$E$2</f>
        <v>3898.45719438823</v>
      </c>
      <c r="P578" s="15" t="n">
        <f aca="false">N578*$E$2*(1+$I$562)/($F$562-$I$562)/(1+$F$562)^$N$3</f>
        <v>5147.63844925395</v>
      </c>
      <c r="Q578" s="15" t="n">
        <f aca="false">O578+P578</f>
        <v>9046.09564364218</v>
      </c>
      <c r="R578" s="15" t="n">
        <f aca="false">Q578-$G$2+$I$2</f>
        <v>7669.89564364218</v>
      </c>
      <c r="S578" s="42" t="n">
        <f aca="false">R578/$K$2</f>
        <v>204.476023557509</v>
      </c>
      <c r="T578" s="43" t="n">
        <f aca="false">S578-$M$2</f>
        <v>-0.00278209431664322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0.0440521240234375</v>
      </c>
      <c r="C579" s="25" t="n">
        <f aca="false">IF(T578&gt;0,D578,C578)</f>
        <v>0.044097900390625</v>
      </c>
      <c r="D579" s="41" t="n">
        <f aca="false">(B579+C579)/2</f>
        <v>0.0440750122070313</v>
      </c>
      <c r="E579" s="15" t="n">
        <f aca="false">$C$2*(1+IF(E$3&lt;=$O$2,$D579,$D579-($D579-$I$562)*MIN(E$3-$O$2,$Q$2)/$Q$2))</f>
        <v>2683.27278137207</v>
      </c>
      <c r="F579" s="15" t="n">
        <f aca="false">E579*(1+IF(F$3&lt;=$O$2,$D579,$D579-($D579-$I$562)*MIN(F$3-$O$2,$Q$2)/$Q$2))</f>
        <v>2801.53806196584</v>
      </c>
      <c r="G579" s="15" t="n">
        <f aca="false">F579*(1+IF(G$3&lt;=$O$2,$D579,$D579-($D579-$I$562)*MIN(G$3-$O$2,$Q$2)/$Q$2))</f>
        <v>2925.01588624545</v>
      </c>
      <c r="H579" s="15" t="n">
        <f aca="false">G579*(1+IF(H$3&lt;=$O$2,$D579,$D579-($D579-$I$562)*MIN(H$3-$O$2,$Q$2)/$Q$2))</f>
        <v>3053.93599713747</v>
      </c>
      <c r="I579" s="15" t="n">
        <f aca="false">H579*(1+IF(I$3&lt;=$O$2,$D579,$D579-($D579-$I$562)*MIN(I$3-$O$2,$Q$2)/$Q$2))</f>
        <v>3188.5382634908</v>
      </c>
      <c r="J579" s="15" t="n">
        <f aca="false">I579*(1+IF(J$3&lt;=$O$2,$D579,$D579-($D579-$I$562)*MIN(J$3-$O$2,$Q$2)/$Q$2))</f>
        <v>3325.3903568979</v>
      </c>
      <c r="K579" s="15" t="n">
        <f aca="false">J579*(1+IF(K$3&lt;=$O$2,$D579,$D579-($D579-$I$562)*MIN(K$3-$O$2,$Q$2)/$Q$2))</f>
        <v>3464.27530950962</v>
      </c>
      <c r="L579" s="15" t="n">
        <f aca="false">K579*(1+IF(L$3&lt;=$O$2,$D579,$D579-($D579-$I$562)*MIN(L$3-$O$2,$Q$2)/$Q$2))</f>
        <v>3604.95954674421</v>
      </c>
      <c r="M579" s="15" t="n">
        <f aca="false">L579*(1+IF(M$3&lt;=$O$2,$D579,$D579-($D579-$I$562)*MIN(M$3-$O$2,$Q$2)/$Q$2))</f>
        <v>3747.19323446218</v>
      </c>
      <c r="N579" s="15" t="n">
        <f aca="false">M579*(1+IF(N$3&lt;=$O$2,$D579,$D579-($D579-$I$562)*MIN(N$3-$O$2,$Q$2)/$Q$2))</f>
        <v>3890.71073534208</v>
      </c>
      <c r="O579" s="15" t="n">
        <f aca="false">SUMPRODUCT(E579:N579,1/(1+$F$562)^$E$3:$N$3)*$E$2</f>
        <v>3898.84110563479</v>
      </c>
      <c r="P579" s="15" t="n">
        <f aca="false">N579*$E$2*(1+$I$562)/($F$562-$I$562)/(1+$F$562)^$N$3</f>
        <v>5148.42894306215</v>
      </c>
      <c r="Q579" s="15" t="n">
        <f aca="false">O579+P579</f>
        <v>9047.27004869694</v>
      </c>
      <c r="R579" s="15" t="n">
        <f aca="false">Q579-$G$2+$I$2</f>
        <v>7671.07004869694</v>
      </c>
      <c r="S579" s="42" t="n">
        <f aca="false">R579/$K$2</f>
        <v>204.507332676538</v>
      </c>
      <c r="T579" s="43" t="n">
        <f aca="false">S579-$M$2</f>
        <v>0.0285270247119342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0.0440521240234375</v>
      </c>
      <c r="C580" s="25" t="n">
        <f aca="false">IF(T579&gt;0,D579,C579)</f>
        <v>0.0440750122070313</v>
      </c>
      <c r="D580" s="41" t="n">
        <f aca="false">(B580+C580)/2</f>
        <v>0.0440635681152344</v>
      </c>
      <c r="E580" s="15" t="n">
        <f aca="false">$C$2*(1+IF(E$3&lt;=$O$2,$D580,$D580-($D580-$I$562)*MIN(E$3-$O$2,$Q$2)/$Q$2))</f>
        <v>2683.24337005615</v>
      </c>
      <c r="F580" s="15" t="n">
        <f aca="false">E580*(1+IF(F$3&lt;=$O$2,$D580,$D580-($D580-$I$562)*MIN(F$3-$O$2,$Q$2)/$Q$2))</f>
        <v>2801.47664706237</v>
      </c>
      <c r="G580" s="15" t="n">
        <f aca="false">F580*(1+IF(G$3&lt;=$O$2,$D580,$D580-($D580-$I$562)*MIN(G$3-$O$2,$Q$2)/$Q$2))</f>
        <v>2924.91970412344</v>
      </c>
      <c r="H580" s="15" t="n">
        <f aca="false">G580*(1+IF(H$3&lt;=$O$2,$D580,$D580-($D580-$I$562)*MIN(H$3-$O$2,$Q$2)/$Q$2))</f>
        <v>3053.80210273768</v>
      </c>
      <c r="I580" s="15" t="n">
        <f aca="false">H580*(1+IF(I$3&lt;=$O$2,$D580,$D580-($D580-$I$562)*MIN(I$3-$O$2,$Q$2)/$Q$2))</f>
        <v>3188.36351970211</v>
      </c>
      <c r="J580" s="15" t="n">
        <f aca="false">I580*(1+IF(J$3&lt;=$O$2,$D580,$D580-($D580-$I$562)*MIN(J$3-$O$2,$Q$2)/$Q$2))</f>
        <v>3325.17892276424</v>
      </c>
      <c r="K580" s="15" t="n">
        <f aca="false">J580*(1+IF(K$3&lt;=$O$2,$D580,$D580-($D580-$I$562)*MIN(K$3-$O$2,$Q$2)/$Q$2))</f>
        <v>3464.03221263613</v>
      </c>
      <c r="L580" s="15" t="n">
        <f aca="false">K580*(1+IF(L$3&lt;=$O$2,$D580,$D580-($D580-$I$562)*MIN(L$3-$O$2,$Q$2)/$Q$2))</f>
        <v>3604.69072062445</v>
      </c>
      <c r="M580" s="15" t="n">
        <f aca="false">L580*(1+IF(M$3&lt;=$O$2,$D580,$D580-($D580-$I$562)*MIN(M$3-$O$2,$Q$2)/$Q$2))</f>
        <v>3746.9055513249</v>
      </c>
      <c r="N580" s="15" t="n">
        <f aca="false">M580*(1+IF(N$3&lt;=$O$2,$D580,$D580-($D580-$I$562)*MIN(N$3-$O$2,$Q$2)/$Q$2))</f>
        <v>3890.41203394064</v>
      </c>
      <c r="O580" s="15" t="n">
        <f aca="false">SUMPRODUCT(E580:N580,1/(1+$F$562)^$E$3:$N$3)*$E$2</f>
        <v>3898.64914522069</v>
      </c>
      <c r="P580" s="15" t="n">
        <f aca="false">N580*$E$2*(1+$I$562)/($F$562-$I$562)/(1+$F$562)^$N$3</f>
        <v>5148.03368290402</v>
      </c>
      <c r="Q580" s="15" t="n">
        <f aca="false">O580+P580</f>
        <v>9046.68282812472</v>
      </c>
      <c r="R580" s="15" t="n">
        <f aca="false">Q580-$G$2+$I$2</f>
        <v>7670.48282812472</v>
      </c>
      <c r="S580" s="42" t="n">
        <f aca="false">R580/$K$2</f>
        <v>204.491677635956</v>
      </c>
      <c r="T580" s="43" t="n">
        <f aca="false">S580-$M$2</f>
        <v>0.0128719841301574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0.0440521240234375</v>
      </c>
      <c r="C581" s="25" t="n">
        <f aca="false">IF(T580&gt;0,D580,C580)</f>
        <v>0.0440635681152344</v>
      </c>
      <c r="D581" s="41" t="n">
        <f aca="false">(B581+C581)/2</f>
        <v>0.0440578460693359</v>
      </c>
      <c r="E581" s="15" t="n">
        <f aca="false">$C$2*(1+IF(E$3&lt;=$O$2,$D581,$D581-($D581-$I$562)*MIN(E$3-$O$2,$Q$2)/$Q$2))</f>
        <v>2683.22866439819</v>
      </c>
      <c r="F581" s="15" t="n">
        <f aca="false">E581*(1+IF(F$3&lt;=$O$2,$D581,$D581-($D581-$I$562)*MIN(F$3-$O$2,$Q$2)/$Q$2))</f>
        <v>2801.44593986308</v>
      </c>
      <c r="G581" s="15" t="n">
        <f aca="false">F581*(1+IF(G$3&lt;=$O$2,$D581,$D581-($D581-$I$562)*MIN(G$3-$O$2,$Q$2)/$Q$2))</f>
        <v>2924.87161385313</v>
      </c>
      <c r="H581" s="15" t="n">
        <f aca="false">G581*(1+IF(H$3&lt;=$O$2,$D581,$D581-($D581-$I$562)*MIN(H$3-$O$2,$Q$2)/$Q$2))</f>
        <v>3053.73515718884</v>
      </c>
      <c r="I581" s="15" t="n">
        <f aca="false">H581*(1+IF(I$3&lt;=$O$2,$D581,$D581-($D581-$I$562)*MIN(I$3-$O$2,$Q$2)/$Q$2))</f>
        <v>3188.27615068079</v>
      </c>
      <c r="J581" s="15" t="n">
        <f aca="false">I581*(1+IF(J$3&lt;=$O$2,$D581,$D581-($D581-$I$562)*MIN(J$3-$O$2,$Q$2)/$Q$2))</f>
        <v>3325.07320989359</v>
      </c>
      <c r="K581" s="15" t="n">
        <f aca="false">J581*(1+IF(K$3&lt;=$O$2,$D581,$D581-($D581-$I$562)*MIN(K$3-$O$2,$Q$2)/$Q$2))</f>
        <v>3463.91066965962</v>
      </c>
      <c r="L581" s="15" t="n">
        <f aca="false">K581*(1+IF(L$3&lt;=$O$2,$D581,$D581-($D581-$I$562)*MIN(L$3-$O$2,$Q$2)/$Q$2))</f>
        <v>3604.55631408111</v>
      </c>
      <c r="M581" s="15" t="n">
        <f aca="false">L581*(1+IF(M$3&lt;=$O$2,$D581,$D581-($D581-$I$562)*MIN(M$3-$O$2,$Q$2)/$Q$2))</f>
        <v>3746.76171699137</v>
      </c>
      <c r="N581" s="15" t="n">
        <f aca="false">M581*(1+IF(N$3&lt;=$O$2,$D581,$D581-($D581-$I$562)*MIN(N$3-$O$2,$Q$2)/$Q$2))</f>
        <v>3890.26269075213</v>
      </c>
      <c r="O581" s="15" t="n">
        <f aca="false">SUMPRODUCT(E581:N581,1/(1+$F$562)^$E$3:$N$3)*$E$2</f>
        <v>3898.55316860679</v>
      </c>
      <c r="P581" s="15" t="n">
        <f aca="false">N581*$E$2*(1+$I$562)/($F$562-$I$562)/(1+$F$562)^$N$3</f>
        <v>5147.83606276558</v>
      </c>
      <c r="Q581" s="15" t="n">
        <f aca="false">O581+P581</f>
        <v>9046.38923137236</v>
      </c>
      <c r="R581" s="15" t="n">
        <f aca="false">Q581-$G$2+$I$2</f>
        <v>7670.18923137236</v>
      </c>
      <c r="S581" s="42" t="n">
        <f aca="false">R581/$K$2</f>
        <v>204.483850476469</v>
      </c>
      <c r="T581" s="43" t="n">
        <f aca="false">S581-$M$2</f>
        <v>0.00504482464319267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0.0440521240234375</v>
      </c>
      <c r="C582" s="25" t="n">
        <f aca="false">IF(T581&gt;0,D581,C581)</f>
        <v>0.0440578460693359</v>
      </c>
      <c r="D582" s="41" t="n">
        <f aca="false">(B582+C582)/2</f>
        <v>0.0440549850463867</v>
      </c>
      <c r="E582" s="15" t="n">
        <f aca="false">$C$2*(1+IF(E$3&lt;=$O$2,$D582,$D582-($D582-$I$562)*MIN(E$3-$O$2,$Q$2)/$Q$2))</f>
        <v>2683.22131156921</v>
      </c>
      <c r="F582" s="15" t="n">
        <f aca="false">E582*(1+IF(F$3&lt;=$O$2,$D582,$D582-($D582-$I$562)*MIN(F$3-$O$2,$Q$2)/$Q$2))</f>
        <v>2801.43058632654</v>
      </c>
      <c r="G582" s="15" t="n">
        <f aca="false">F582*(1+IF(G$3&lt;=$O$2,$D582,$D582-($D582-$I$562)*MIN(G$3-$O$2,$Q$2)/$Q$2))</f>
        <v>2924.84756891565</v>
      </c>
      <c r="H582" s="15" t="n">
        <f aca="false">G582*(1+IF(H$3&lt;=$O$2,$D582,$D582-($D582-$I$562)*MIN(H$3-$O$2,$Q$2)/$Q$2))</f>
        <v>3053.70168482719</v>
      </c>
      <c r="I582" s="15" t="n">
        <f aca="false">H582*(1+IF(I$3&lt;=$O$2,$D582,$D582-($D582-$I$562)*MIN(I$3-$O$2,$Q$2)/$Q$2))</f>
        <v>3188.23246688838</v>
      </c>
      <c r="J582" s="15" t="n">
        <f aca="false">I582*(1+IF(J$3&lt;=$O$2,$D582,$D582-($D582-$I$562)*MIN(J$3-$O$2,$Q$2)/$Q$2))</f>
        <v>3325.02035450728</v>
      </c>
      <c r="K582" s="15" t="n">
        <f aca="false">J582*(1+IF(K$3&lt;=$O$2,$D582,$D582-($D582-$I$562)*MIN(K$3-$O$2,$Q$2)/$Q$2))</f>
        <v>3463.84989953638</v>
      </c>
      <c r="L582" s="15" t="n">
        <f aca="false">K582*(1+IF(L$3&lt;=$O$2,$D582,$D582-($D582-$I$562)*MIN(L$3-$O$2,$Q$2)/$Q$2))</f>
        <v>3604.48911243853</v>
      </c>
      <c r="M582" s="15" t="n">
        <f aca="false">L582*(1+IF(M$3&lt;=$O$2,$D582,$D582-($D582-$I$562)*MIN(M$3-$O$2,$Q$2)/$Q$2))</f>
        <v>3746.68980163331</v>
      </c>
      <c r="N582" s="15" t="n">
        <f aca="false">M582*(1+IF(N$3&lt;=$O$2,$D582,$D582-($D582-$I$562)*MIN(N$3-$O$2,$Q$2)/$Q$2))</f>
        <v>3890.18802103587</v>
      </c>
      <c r="O582" s="15" t="n">
        <f aca="false">SUMPRODUCT(E582:N582,1/(1+$F$562)^$E$3:$N$3)*$E$2</f>
        <v>3898.50518119809</v>
      </c>
      <c r="P582" s="15" t="n">
        <f aca="false">N582*$E$2*(1+$I$562)/($F$562-$I$562)/(1+$F$562)^$N$3</f>
        <v>5147.73725518142</v>
      </c>
      <c r="Q582" s="15" t="n">
        <f aca="false">O582+P582</f>
        <v>9046.24243637951</v>
      </c>
      <c r="R582" s="15" t="n">
        <f aca="false">Q582-$G$2+$I$2</f>
        <v>7670.04243637951</v>
      </c>
      <c r="S582" s="42" t="n">
        <f aca="false">R582/$K$2</f>
        <v>204.479936986924</v>
      </c>
      <c r="T582" s="43" t="n">
        <f aca="false">S582-$M$2</f>
        <v>0.00113133509773888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0.0440521240234375</v>
      </c>
      <c r="C583" s="25" t="n">
        <f aca="false">IF(T582&gt;0,D582,C582)</f>
        <v>0.0440549850463867</v>
      </c>
      <c r="D583" s="41" t="n">
        <f aca="false">(B583+C583)/2</f>
        <v>0.0440535545349121</v>
      </c>
      <c r="E583" s="15" t="n">
        <f aca="false">$C$2*(1+IF(E$3&lt;=$O$2,$D583,$D583-($D583-$I$562)*MIN(E$3-$O$2,$Q$2)/$Q$2))</f>
        <v>2683.21763515472</v>
      </c>
      <c r="F583" s="15" t="n">
        <f aca="false">E583*(1+IF(F$3&lt;=$O$2,$D583,$D583-($D583-$I$562)*MIN(F$3-$O$2,$Q$2)/$Q$2))</f>
        <v>2801.42290957405</v>
      </c>
      <c r="G583" s="15" t="n">
        <f aca="false">F583*(1+IF(G$3&lt;=$O$2,$D583,$D583-($D583-$I$562)*MIN(G$3-$O$2,$Q$2)/$Q$2))</f>
        <v>2924.83554649632</v>
      </c>
      <c r="H583" s="15" t="n">
        <f aca="false">G583*(1+IF(H$3&lt;=$O$2,$D583,$D583-($D583-$I$562)*MIN(H$3-$O$2,$Q$2)/$Q$2))</f>
        <v>3053.68494874955</v>
      </c>
      <c r="I583" s="15" t="n">
        <f aca="false">H583*(1+IF(I$3&lt;=$O$2,$D583,$D583-($D583-$I$562)*MIN(I$3-$O$2,$Q$2)/$Q$2))</f>
        <v>3188.21062517173</v>
      </c>
      <c r="J583" s="15" t="n">
        <f aca="false">I583*(1+IF(J$3&lt;=$O$2,$D583,$D583-($D583-$I$562)*MIN(J$3-$O$2,$Q$2)/$Q$2))</f>
        <v>3324.99392707637</v>
      </c>
      <c r="K583" s="15" t="n">
        <f aca="false">J583*(1+IF(K$3&lt;=$O$2,$D583,$D583-($D583-$I$562)*MIN(K$3-$O$2,$Q$2)/$Q$2))</f>
        <v>3463.81951481601</v>
      </c>
      <c r="L583" s="15" t="n">
        <f aca="false">K583*(1+IF(L$3&lt;=$O$2,$D583,$D583-($D583-$I$562)*MIN(L$3-$O$2,$Q$2)/$Q$2))</f>
        <v>3604.4555120245</v>
      </c>
      <c r="M583" s="15" t="n">
        <f aca="false">L583*(1+IF(M$3&lt;=$O$2,$D583,$D583-($D583-$I$562)*MIN(M$3-$O$2,$Q$2)/$Q$2))</f>
        <v>3746.65384440646</v>
      </c>
      <c r="N583" s="15" t="n">
        <f aca="false">M583*(1+IF(N$3&lt;=$O$2,$D583,$D583-($D583-$I$562)*MIN(N$3-$O$2,$Q$2)/$Q$2))</f>
        <v>3890.15068664722</v>
      </c>
      <c r="O583" s="15" t="n">
        <f aca="false">SUMPRODUCT(E583:N583,1/(1+$F$562)^$E$3:$N$3)*$E$2</f>
        <v>3898.4811877183</v>
      </c>
      <c r="P583" s="15" t="n">
        <f aca="false">N583*$E$2*(1+$I$562)/($F$562-$I$562)/(1+$F$562)^$N$3</f>
        <v>5147.6878520106</v>
      </c>
      <c r="Q583" s="15" t="n">
        <f aca="false">O583+P583</f>
        <v>9046.16903972891</v>
      </c>
      <c r="R583" s="15" t="n">
        <f aca="false">Q583-$G$2+$I$2</f>
        <v>7669.96903972891</v>
      </c>
      <c r="S583" s="42" t="n">
        <f aca="false">R583/$K$2</f>
        <v>204.4779802647</v>
      </c>
      <c r="T583" s="43" t="n">
        <f aca="false">S583-$M$2</f>
        <v>-0.000825387125786392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0.0440535545349121</v>
      </c>
      <c r="C584" s="25" t="n">
        <f aca="false">IF(T583&gt;0,D583,C583)</f>
        <v>0.0440549850463867</v>
      </c>
      <c r="D584" s="41" t="n">
        <f aca="false">(B584+C584)/2</f>
        <v>0.0440542697906494</v>
      </c>
      <c r="E584" s="15" t="n">
        <f aca="false">$C$2*(1+IF(E$3&lt;=$O$2,$D584,$D584-($D584-$I$562)*MIN(E$3-$O$2,$Q$2)/$Q$2))</f>
        <v>2683.21947336197</v>
      </c>
      <c r="F584" s="15" t="n">
        <f aca="false">E584*(1+IF(F$3&lt;=$O$2,$D584,$D584-($D584-$I$562)*MIN(F$3-$O$2,$Q$2)/$Q$2))</f>
        <v>2801.42674794898</v>
      </c>
      <c r="G584" s="15" t="n">
        <f aca="false">F584*(1+IF(G$3&lt;=$O$2,$D584,$D584-($D584-$I$562)*MIN(G$3-$O$2,$Q$2)/$Q$2))</f>
        <v>2924.84155770187</v>
      </c>
      <c r="H584" s="15" t="n">
        <f aca="false">G584*(1+IF(H$3&lt;=$O$2,$D584,$D584-($D584-$I$562)*MIN(H$3-$O$2,$Q$2)/$Q$2))</f>
        <v>3053.69331677977</v>
      </c>
      <c r="I584" s="15" t="n">
        <f aca="false">H584*(1+IF(I$3&lt;=$O$2,$D584,$D584-($D584-$I$562)*MIN(I$3-$O$2,$Q$2)/$Q$2))</f>
        <v>3188.22154601509</v>
      </c>
      <c r="J584" s="15" t="n">
        <f aca="false">I584*(1+IF(J$3&lt;=$O$2,$D584,$D584-($D584-$I$562)*MIN(J$3-$O$2,$Q$2)/$Q$2))</f>
        <v>3325.00714076997</v>
      </c>
      <c r="K584" s="15" t="n">
        <f aca="false">J584*(1+IF(K$3&lt;=$O$2,$D584,$D584-($D584-$I$562)*MIN(K$3-$O$2,$Q$2)/$Q$2))</f>
        <v>3463.83470714776</v>
      </c>
      <c r="L584" s="15" t="n">
        <f aca="false">K584*(1+IF(L$3&lt;=$O$2,$D584,$D584-($D584-$I$562)*MIN(L$3-$O$2,$Q$2)/$Q$2))</f>
        <v>3604.47231219757</v>
      </c>
      <c r="M584" s="15" t="n">
        <f aca="false">L584*(1+IF(M$3&lt;=$O$2,$D584,$D584-($D584-$I$562)*MIN(M$3-$O$2,$Q$2)/$Q$2))</f>
        <v>3746.6718229822</v>
      </c>
      <c r="N584" s="15" t="n">
        <f aca="false">M584*(1+IF(N$3&lt;=$O$2,$D584,$D584-($D584-$I$562)*MIN(N$3-$O$2,$Q$2)/$Q$2))</f>
        <v>3890.16935380242</v>
      </c>
      <c r="O584" s="15" t="n">
        <f aca="false">SUMPRODUCT(E584:N584,1/(1+$F$562)^$E$3:$N$3)*$E$2</f>
        <v>3898.49318443948</v>
      </c>
      <c r="P584" s="15" t="n">
        <f aca="false">N584*$E$2*(1+$I$562)/($F$562-$I$562)/(1+$F$562)^$N$3</f>
        <v>5147.71255354424</v>
      </c>
      <c r="Q584" s="15" t="n">
        <f aca="false">O584+P584</f>
        <v>9046.20573798372</v>
      </c>
      <c r="R584" s="15" t="n">
        <f aca="false">Q584-$G$2+$I$2</f>
        <v>7670.00573798372</v>
      </c>
      <c r="S584" s="42" t="n">
        <f aca="false">R584/$K$2</f>
        <v>204.478958623933</v>
      </c>
      <c r="T584" s="43" t="n">
        <f aca="false">S584-$M$2</f>
        <v>0.000152972106860716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0.0440535545349121</v>
      </c>
      <c r="C585" s="25" t="n">
        <f aca="false">IF(T584&gt;0,D584,C584)</f>
        <v>0.0440542697906494</v>
      </c>
      <c r="D585" s="41" t="n">
        <f aca="false">(B585+C585)/2</f>
        <v>0.0440539121627808</v>
      </c>
      <c r="E585" s="15" t="n">
        <f aca="false">$C$2*(1+IF(E$3&lt;=$O$2,$D585,$D585-($D585-$I$562)*MIN(E$3-$O$2,$Q$2)/$Q$2))</f>
        <v>2683.21855425835</v>
      </c>
      <c r="F585" s="15" t="n">
        <f aca="false">E585*(1+IF(F$3&lt;=$O$2,$D585,$D585-($D585-$I$562)*MIN(F$3-$O$2,$Q$2)/$Q$2))</f>
        <v>2801.42482876119</v>
      </c>
      <c r="G585" s="15" t="n">
        <f aca="false">F585*(1+IF(G$3&lt;=$O$2,$D585,$D585-($D585-$I$562)*MIN(G$3-$O$2,$Q$2)/$Q$2))</f>
        <v>2924.83855209807</v>
      </c>
      <c r="H585" s="15" t="n">
        <f aca="false">G585*(1+IF(H$3&lt;=$O$2,$D585,$D585-($D585-$I$562)*MIN(H$3-$O$2,$Q$2)/$Q$2))</f>
        <v>3053.68913276251</v>
      </c>
      <c r="I585" s="15" t="n">
        <f aca="false">H585*(1+IF(I$3&lt;=$O$2,$D585,$D585-($D585-$I$562)*MIN(I$3-$O$2,$Q$2)/$Q$2))</f>
        <v>3188.21608558967</v>
      </c>
      <c r="J585" s="15" t="n">
        <f aca="false">I585*(1+IF(J$3&lt;=$O$2,$D585,$D585-($D585-$I$562)*MIN(J$3-$O$2,$Q$2)/$Q$2))</f>
        <v>3325.00053391771</v>
      </c>
      <c r="K585" s="15" t="n">
        <f aca="false">J585*(1+IF(K$3&lt;=$O$2,$D585,$D585-($D585-$I$562)*MIN(K$3-$O$2,$Q$2)/$Q$2))</f>
        <v>3463.82711097477</v>
      </c>
      <c r="L585" s="15" t="n">
        <f aca="false">K585*(1+IF(L$3&lt;=$O$2,$D585,$D585-($D585-$I$562)*MIN(L$3-$O$2,$Q$2)/$Q$2))</f>
        <v>3604.46391210255</v>
      </c>
      <c r="M585" s="15" t="n">
        <f aca="false">L585*(1+IF(M$3&lt;=$O$2,$D585,$D585-($D585-$I$562)*MIN(M$3-$O$2,$Q$2)/$Q$2))</f>
        <v>3746.66283368491</v>
      </c>
      <c r="N585" s="15" t="n">
        <f aca="false">M585*(1+IF(N$3&lt;=$O$2,$D585,$D585-($D585-$I$562)*MIN(N$3-$O$2,$Q$2)/$Q$2))</f>
        <v>3890.16002021504</v>
      </c>
      <c r="O585" s="15" t="n">
        <f aca="false">SUMPRODUCT(E585:N585,1/(1+$F$562)^$E$3:$N$3)*$E$2</f>
        <v>3898.48718607422</v>
      </c>
      <c r="P585" s="15" t="n">
        <f aca="false">N585*$E$2*(1+$I$562)/($F$562-$I$562)/(1+$F$562)^$N$3</f>
        <v>5147.70020276448</v>
      </c>
      <c r="Q585" s="15" t="n">
        <f aca="false">O585+P585</f>
        <v>9046.18738883869</v>
      </c>
      <c r="R585" s="15" t="n">
        <f aca="false">Q585-$G$2+$I$2</f>
        <v>7669.9873888387</v>
      </c>
      <c r="S585" s="42" t="n">
        <f aca="false">R585/$K$2</f>
        <v>204.478469443847</v>
      </c>
      <c r="T585" s="43" t="n">
        <f aca="false">S585-$M$2</f>
        <v>-0.000336207979245273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0.0440539121627808</v>
      </c>
      <c r="C586" s="25" t="n">
        <f aca="false">IF(T585&gt;0,D585,C585)</f>
        <v>0.0440542697906494</v>
      </c>
      <c r="D586" s="41" t="n">
        <f aca="false">(B586+C586)/2</f>
        <v>0.0440540909767151</v>
      </c>
      <c r="E586" s="15" t="n">
        <f aca="false">$C$2*(1+IF(E$3&lt;=$O$2,$D586,$D586-($D586-$I$562)*MIN(E$3-$O$2,$Q$2)/$Q$2))</f>
        <v>2683.21901381016</v>
      </c>
      <c r="F586" s="15" t="n">
        <f aca="false">E586*(1+IF(F$3&lt;=$O$2,$D586,$D586-($D586-$I$562)*MIN(F$3-$O$2,$Q$2)/$Q$2))</f>
        <v>2801.425788355</v>
      </c>
      <c r="G586" s="15" t="n">
        <f aca="false">F586*(1+IF(G$3&lt;=$O$2,$D586,$D586-($D586-$I$562)*MIN(G$3-$O$2,$Q$2)/$Q$2))</f>
        <v>2924.84005489971</v>
      </c>
      <c r="H586" s="15" t="n">
        <f aca="false">G586*(1+IF(H$3&lt;=$O$2,$D586,$D586-($D586-$I$562)*MIN(H$3-$O$2,$Q$2)/$Q$2))</f>
        <v>3053.6912247706</v>
      </c>
      <c r="I586" s="15" t="n">
        <f aca="false">H586*(1+IF(I$3&lt;=$O$2,$D586,$D586-($D586-$I$562)*MIN(I$3-$O$2,$Q$2)/$Q$2))</f>
        <v>3188.21881580144</v>
      </c>
      <c r="J586" s="15" t="n">
        <f aca="false">I586*(1+IF(J$3&lt;=$O$2,$D586,$D586-($D586-$I$562)*MIN(J$3-$O$2,$Q$2)/$Q$2))</f>
        <v>3325.00383734247</v>
      </c>
      <c r="K586" s="15" t="n">
        <f aca="false">J586*(1+IF(K$3&lt;=$O$2,$D586,$D586-($D586-$I$562)*MIN(K$3-$O$2,$Q$2)/$Q$2))</f>
        <v>3463.83090905949</v>
      </c>
      <c r="L586" s="15" t="n">
        <f aca="false">K586*(1+IF(L$3&lt;=$O$2,$D586,$D586-($D586-$I$562)*MIN(L$3-$O$2,$Q$2)/$Q$2))</f>
        <v>3604.46811214794</v>
      </c>
      <c r="M586" s="15" t="n">
        <f aca="false">L586*(1+IF(M$3&lt;=$O$2,$D586,$D586-($D586-$I$562)*MIN(M$3-$O$2,$Q$2)/$Q$2))</f>
        <v>3746.6673283312</v>
      </c>
      <c r="N586" s="15" t="n">
        <f aca="false">M586*(1+IF(N$3&lt;=$O$2,$D586,$D586-($D586-$I$562)*MIN(N$3-$O$2,$Q$2)/$Q$2))</f>
        <v>3890.16468700629</v>
      </c>
      <c r="O586" s="15" t="n">
        <f aca="false">SUMPRODUCT(E586:N586,1/(1+$F$562)^$E$3:$N$3)*$E$2</f>
        <v>3898.49018525568</v>
      </c>
      <c r="P586" s="15" t="n">
        <f aca="false">N586*$E$2*(1+$I$562)/($F$562-$I$562)/(1+$F$562)^$N$3</f>
        <v>5147.70637815112</v>
      </c>
      <c r="Q586" s="15" t="n">
        <f aca="false">O586+P586</f>
        <v>9046.1965634068</v>
      </c>
      <c r="R586" s="15" t="n">
        <f aca="false">Q586-$G$2+$I$2</f>
        <v>7669.9965634068</v>
      </c>
      <c r="S586" s="42" t="n">
        <f aca="false">R586/$K$2</f>
        <v>204.478714033772</v>
      </c>
      <c r="T586" s="43" t="n">
        <f aca="false">S586-$M$2</f>
        <v>-9.16180536592037E-005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0.0440540909767151</v>
      </c>
      <c r="C587" s="25" t="n">
        <f aca="false">IF(T586&gt;0,D586,C586)</f>
        <v>0.0440542697906494</v>
      </c>
      <c r="D587" s="41" t="n">
        <f aca="false">(B587+C587)/2</f>
        <v>0.0440541803836823</v>
      </c>
      <c r="E587" s="15" t="n">
        <f aca="false">$C$2*(1+IF(E$3&lt;=$O$2,$D587,$D587-($D587-$I$562)*MIN(E$3-$O$2,$Q$2)/$Q$2))</f>
        <v>2683.21924358606</v>
      </c>
      <c r="F587" s="15" t="n">
        <f aca="false">E587*(1+IF(F$3&lt;=$O$2,$D587,$D587-($D587-$I$562)*MIN(F$3-$O$2,$Q$2)/$Q$2))</f>
        <v>2801.42626815197</v>
      </c>
      <c r="G587" s="15" t="n">
        <f aca="false">F587*(1+IF(G$3&lt;=$O$2,$D587,$D587-($D587-$I$562)*MIN(G$3-$O$2,$Q$2)/$Q$2))</f>
        <v>2924.84080630072</v>
      </c>
      <c r="H587" s="15" t="n">
        <f aca="false">G587*(1+IF(H$3&lt;=$O$2,$D587,$D587-($D587-$I$562)*MIN(H$3-$O$2,$Q$2)/$Q$2))</f>
        <v>3053.69227077505</v>
      </c>
      <c r="I587" s="15" t="n">
        <f aca="false">H587*(1+IF(I$3&lt;=$O$2,$D587,$D587-($D587-$I$562)*MIN(I$3-$O$2,$Q$2)/$Q$2))</f>
        <v>3188.22018090803</v>
      </c>
      <c r="J587" s="15" t="n">
        <f aca="false">I587*(1+IF(J$3&lt;=$O$2,$D587,$D587-($D587-$I$562)*MIN(J$3-$O$2,$Q$2)/$Q$2))</f>
        <v>3325.00548905588</v>
      </c>
      <c r="K587" s="15" t="n">
        <f aca="false">J587*(1+IF(K$3&lt;=$O$2,$D587,$D587-($D587-$I$562)*MIN(K$3-$O$2,$Q$2)/$Q$2))</f>
        <v>3463.83280810318</v>
      </c>
      <c r="L587" s="15" t="n">
        <f aca="false">K587*(1+IF(L$3&lt;=$O$2,$D587,$D587-($D587-$I$562)*MIN(L$3-$O$2,$Q$2)/$Q$2))</f>
        <v>3604.47021217223</v>
      </c>
      <c r="M587" s="15" t="n">
        <f aca="false">L587*(1+IF(M$3&lt;=$O$2,$D587,$D587-($D587-$I$562)*MIN(M$3-$O$2,$Q$2)/$Q$2))</f>
        <v>3746.66957565611</v>
      </c>
      <c r="N587" s="15" t="n">
        <f aca="false">M587*(1+IF(N$3&lt;=$O$2,$D587,$D587-($D587-$I$562)*MIN(N$3-$O$2,$Q$2)/$Q$2))</f>
        <v>3890.16702040374</v>
      </c>
      <c r="O587" s="15" t="n">
        <f aca="false">SUMPRODUCT(E587:N587,1/(1+$F$562)^$E$3:$N$3)*$E$2</f>
        <v>3898.49168484729</v>
      </c>
      <c r="P587" s="15" t="n">
        <f aca="false">N587*$E$2*(1+$I$562)/($F$562-$I$562)/(1+$F$562)^$N$3</f>
        <v>5147.70946584687</v>
      </c>
      <c r="Q587" s="15" t="n">
        <f aca="false">O587+P587</f>
        <v>9046.20115069416</v>
      </c>
      <c r="R587" s="15" t="n">
        <f aca="false">Q587-$G$2+$I$2</f>
        <v>7670.00115069416</v>
      </c>
      <c r="S587" s="42" t="n">
        <f aca="false">R587/$K$2</f>
        <v>204.478836328823</v>
      </c>
      <c r="T587" s="43" t="n">
        <f aca="false">S587-$M$2</f>
        <v>3.06769972553411E-005</v>
      </c>
    </row>
    <row r="589" customFormat="false" ht="15" hidden="false" customHeight="false" outlineLevel="0" collapsed="false">
      <c r="A589" s="38" t="s">
        <v>202</v>
      </c>
      <c r="E589" s="5" t="s">
        <v>11</v>
      </c>
      <c r="F589" s="12" t="n">
        <f aca="false">Sensitivity!$B$14</f>
        <v>0.104183337553844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162</v>
      </c>
      <c r="B590" s="28" t="s">
        <v>163</v>
      </c>
      <c r="C590" s="28" t="s">
        <v>164</v>
      </c>
      <c r="D590" s="28" t="s">
        <v>165</v>
      </c>
      <c r="E590" s="28" t="s">
        <v>166</v>
      </c>
      <c r="F590" s="28" t="s">
        <v>167</v>
      </c>
      <c r="G590" s="28" t="s">
        <v>168</v>
      </c>
      <c r="H590" s="28" t="s">
        <v>169</v>
      </c>
      <c r="I590" s="28" t="s">
        <v>170</v>
      </c>
      <c r="J590" s="28" t="s">
        <v>171</v>
      </c>
      <c r="K590" s="28" t="s">
        <v>172</v>
      </c>
      <c r="L590" s="28" t="s">
        <v>173</v>
      </c>
      <c r="M590" s="28" t="s">
        <v>174</v>
      </c>
      <c r="N590" s="28" t="s">
        <v>175</v>
      </c>
      <c r="O590" s="28" t="s">
        <v>176</v>
      </c>
      <c r="P590" s="28" t="s">
        <v>177</v>
      </c>
      <c r="Q590" s="28" t="s">
        <v>178</v>
      </c>
      <c r="R590" s="28" t="s">
        <v>179</v>
      </c>
      <c r="S590" s="28" t="s">
        <v>180</v>
      </c>
      <c r="T590" s="28" t="s">
        <v>181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3212.5</v>
      </c>
      <c r="F591" s="15" t="n">
        <f aca="false">E591*(1+IF(F$3&lt;=$O$2,$D591,$D591-($D591-$I$589)*MIN(F$3-$O$2,$Q$2)/$Q$2))</f>
        <v>4015.625</v>
      </c>
      <c r="G591" s="15" t="n">
        <f aca="false">F591*(1+IF(G$3&lt;=$O$2,$D591,$D591-($D591-$I$589)*MIN(G$3-$O$2,$Q$2)/$Q$2))</f>
        <v>5019.53125</v>
      </c>
      <c r="H591" s="15" t="n">
        <f aca="false">G591*(1+IF(H$3&lt;=$O$2,$D591,$D591-($D591-$I$589)*MIN(H$3-$O$2,$Q$2)/$Q$2))</f>
        <v>6274.4140625</v>
      </c>
      <c r="I591" s="15" t="n">
        <f aca="false">H591*(1+IF(I$3&lt;=$O$2,$D591,$D591-($D591-$I$589)*MIN(I$3-$O$2,$Q$2)/$Q$2))</f>
        <v>7843.017578125</v>
      </c>
      <c r="J591" s="15" t="n">
        <f aca="false">I591*(1+IF(J$3&lt;=$O$2,$D591,$D591-($D591-$I$589)*MIN(J$3-$O$2,$Q$2)/$Q$2))</f>
        <v>9440.32653808594</v>
      </c>
      <c r="K591" s="15" t="n">
        <f aca="false">J591*(1+IF(K$3&lt;=$O$2,$D591,$D591-($D591-$I$589)*MIN(K$3-$O$2,$Q$2)/$Q$2))</f>
        <v>10925.4787090576</v>
      </c>
      <c r="L591" s="15" t="n">
        <f aca="false">K591*(1+IF(L$3&lt;=$O$2,$D591,$D591-($D591-$I$589)*MIN(L$3-$O$2,$Q$2)/$Q$2))</f>
        <v>12137.9883361888</v>
      </c>
      <c r="M591" s="15" t="n">
        <f aca="false">L591*(1+IF(M$3&lt;=$O$2,$D591,$D591-($D591-$I$589)*MIN(M$3-$O$2,$Q$2)/$Q$2))</f>
        <v>12922.5879022401</v>
      </c>
      <c r="N591" s="15" t="n">
        <f aca="false">M591*(1+IF(N$3&lt;=$O$2,$D591,$D591-($D591-$I$589)*MIN(N$3-$O$2,$Q$2)/$Q$2))</f>
        <v>13159.0712608511</v>
      </c>
      <c r="O591" s="15" t="n">
        <f aca="false">SUMPRODUCT(E591:N591,1/(1+$F$589)^$E$3:$N$3)*$E$2</f>
        <v>9044.03523935046</v>
      </c>
      <c r="P591" s="15" t="n">
        <f aca="false">N591*$E$2*(1+$I$589)/($F$589-$I$589)/(1+$F$589)^$N$3</f>
        <v>11569.1890509324</v>
      </c>
      <c r="Q591" s="15" t="n">
        <f aca="false">O591+P591</f>
        <v>20613.2242902829</v>
      </c>
      <c r="R591" s="15" t="n">
        <f aca="false">Q591-$G$2+$I$2</f>
        <v>19237.0242902829</v>
      </c>
      <c r="S591" s="42" t="n">
        <f aca="false">R591/$K$2</f>
        <v>512.850554259741</v>
      </c>
      <c r="T591" s="43" t="n">
        <f aca="false">S591-$M$2</f>
        <v>308.371748607915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2248.75</v>
      </c>
      <c r="F592" s="15" t="n">
        <f aca="false">E592*(1+IF(F$3&lt;=$O$2,$D592,$D592-($D592-$I$589)*MIN(F$3-$O$2,$Q$2)/$Q$2))</f>
        <v>1967.65625</v>
      </c>
      <c r="G592" s="15" t="n">
        <f aca="false">F592*(1+IF(G$3&lt;=$O$2,$D592,$D592-($D592-$I$589)*MIN(G$3-$O$2,$Q$2)/$Q$2))</f>
        <v>1721.69921875</v>
      </c>
      <c r="H592" s="15" t="n">
        <f aca="false">G592*(1+IF(H$3&lt;=$O$2,$D592,$D592-($D592-$I$589)*MIN(H$3-$O$2,$Q$2)/$Q$2))</f>
        <v>1506.48681640625</v>
      </c>
      <c r="I592" s="15" t="n">
        <f aca="false">H592*(1+IF(I$3&lt;=$O$2,$D592,$D592-($D592-$I$589)*MIN(I$3-$O$2,$Q$2)/$Q$2))</f>
        <v>1318.17596435547</v>
      </c>
      <c r="J592" s="15" t="n">
        <f aca="false">I592*(1+IF(J$3&lt;=$O$2,$D592,$D592-($D592-$I$589)*MIN(J$3-$O$2,$Q$2)/$Q$2))</f>
        <v>1191.18289194946</v>
      </c>
      <c r="K592" s="15" t="n">
        <f aca="false">J592*(1+IF(K$3&lt;=$O$2,$D592,$D592-($D592-$I$589)*MIN(K$3-$O$2,$Q$2)/$Q$2))</f>
        <v>1110.56363382232</v>
      </c>
      <c r="L592" s="15" t="n">
        <f aca="false">K592*(1+IF(L$3&lt;=$O$2,$D592,$D592-($D592-$I$589)*MIN(L$3-$O$2,$Q$2)/$Q$2))</f>
        <v>1067.22944083058</v>
      </c>
      <c r="M592" s="15" t="n">
        <f aca="false">L592*(1+IF(M$3&lt;=$O$2,$D592,$D592-($D592-$I$589)*MIN(M$3-$O$2,$Q$2)/$Q$2))</f>
        <v>1056.17294382357</v>
      </c>
      <c r="N592" s="15" t="n">
        <f aca="false">M592*(1+IF(N$3&lt;=$O$2,$D592,$D592-($D592-$I$589)*MIN(N$3-$O$2,$Q$2)/$Q$2))</f>
        <v>1075.50090869554</v>
      </c>
      <c r="O592" s="15" t="n">
        <f aca="false">SUMPRODUCT(E592:N592,1/(1+$F$589)^$E$3:$N$3)*$E$2</f>
        <v>1852.46234339958</v>
      </c>
      <c r="P592" s="15" t="n">
        <f aca="false">N592*$E$2*(1+$I$589)/($F$589-$I$589)/(1+$F$589)^$N$3</f>
        <v>945.558625718972</v>
      </c>
      <c r="Q592" s="15" t="n">
        <f aca="false">O592+P592</f>
        <v>2798.02096911855</v>
      </c>
      <c r="R592" s="15" t="n">
        <f aca="false">Q592-$G$2+$I$2</f>
        <v>1421.82096911855</v>
      </c>
      <c r="S592" s="42" t="n">
        <f aca="false">R592/$K$2</f>
        <v>37.905117811745</v>
      </c>
      <c r="T592" s="43" t="n">
        <f aca="false">S592-$M$2</f>
        <v>-166.573687840081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2730.625</v>
      </c>
      <c r="F593" s="15" t="n">
        <f aca="false">E593*(1+IF(F$3&lt;=$O$2,$D593,$D593-($D593-$I$589)*MIN(F$3-$O$2,$Q$2)/$Q$2))</f>
        <v>2901.2890625</v>
      </c>
      <c r="G593" s="15" t="n">
        <f aca="false">F593*(1+IF(G$3&lt;=$O$2,$D593,$D593-($D593-$I$589)*MIN(G$3-$O$2,$Q$2)/$Q$2))</f>
        <v>3082.61962890625</v>
      </c>
      <c r="H593" s="15" t="n">
        <f aca="false">G593*(1+IF(H$3&lt;=$O$2,$D593,$D593-($D593-$I$589)*MIN(H$3-$O$2,$Q$2)/$Q$2))</f>
        <v>3275.28335571289</v>
      </c>
      <c r="I593" s="15" t="n">
        <f aca="false">H593*(1+IF(I$3&lt;=$O$2,$D593,$D593-($D593-$I$589)*MIN(I$3-$O$2,$Q$2)/$Q$2))</f>
        <v>3479.98856544495</v>
      </c>
      <c r="J593" s="15" t="n">
        <f aca="false">I593*(1+IF(J$3&lt;=$O$2,$D593,$D593-($D593-$I$589)*MIN(J$3-$O$2,$Q$2)/$Q$2))</f>
        <v>3666.72475186672</v>
      </c>
      <c r="K593" s="15" t="n">
        <f aca="false">J593*(1+IF(K$3&lt;=$O$2,$D593,$D593-($D593-$I$589)*MIN(K$3-$O$2,$Q$2)/$Q$2))</f>
        <v>3831.06735524539</v>
      </c>
      <c r="L593" s="15" t="n">
        <f aca="false">K593*(1+IF(L$3&lt;=$O$2,$D593,$D593-($D593-$I$589)*MIN(L$3-$O$2,$Q$2)/$Q$2))</f>
        <v>3968.90915868712</v>
      </c>
      <c r="M593" s="15" t="n">
        <f aca="false">L593*(1+IF(M$3&lt;=$O$2,$D593,$D593-($D593-$I$589)*MIN(M$3-$O$2,$Q$2)/$Q$2))</f>
        <v>4076.62535325389</v>
      </c>
      <c r="N593" s="15" t="n">
        <f aca="false">M593*(1+IF(N$3&lt;=$O$2,$D593,$D593-($D593-$I$589)*MIN(N$3-$O$2,$Q$2)/$Q$2))</f>
        <v>4151.22759721843</v>
      </c>
      <c r="O593" s="15" t="n">
        <f aca="false">SUMPRODUCT(E593:N593,1/(1+$F$589)^$E$3:$N$3)*$E$2</f>
        <v>4077.49906845829</v>
      </c>
      <c r="P593" s="15" t="n">
        <f aca="false">N593*$E$2*(1+$I$589)/($F$589-$I$589)/(1+$F$589)^$N$3</f>
        <v>3649.6752630673</v>
      </c>
      <c r="Q593" s="15" t="n">
        <f aca="false">O593+P593</f>
        <v>7727.1743315256</v>
      </c>
      <c r="R593" s="15" t="n">
        <f aca="false">Q593-$G$2+$I$2</f>
        <v>6350.9743315256</v>
      </c>
      <c r="S593" s="42" t="n">
        <f aca="false">R593/$K$2</f>
        <v>169.314165063332</v>
      </c>
      <c r="T593" s="43" t="n">
        <f aca="false">S593-$M$2</f>
        <v>-35.1646405884938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2971.5625</v>
      </c>
      <c r="F594" s="15" t="n">
        <f aca="false">E594*(1+IF(F$3&lt;=$O$2,$D594,$D594-($D594-$I$589)*MIN(F$3-$O$2,$Q$2)/$Q$2))</f>
        <v>3435.869140625</v>
      </c>
      <c r="G594" s="15" t="n">
        <f aca="false">F594*(1+IF(G$3&lt;=$O$2,$D594,$D594-($D594-$I$589)*MIN(G$3-$O$2,$Q$2)/$Q$2))</f>
        <v>3972.72369384766</v>
      </c>
      <c r="H594" s="15" t="n">
        <f aca="false">G594*(1+IF(H$3&lt;=$O$2,$D594,$D594-($D594-$I$589)*MIN(H$3-$O$2,$Q$2)/$Q$2))</f>
        <v>4593.46177101135</v>
      </c>
      <c r="I594" s="15" t="n">
        <f aca="false">H594*(1+IF(I$3&lt;=$O$2,$D594,$D594-($D594-$I$589)*MIN(I$3-$O$2,$Q$2)/$Q$2))</f>
        <v>5311.19017273188</v>
      </c>
      <c r="J594" s="15" t="n">
        <f aca="false">I594*(1+IF(J$3&lt;=$O$2,$D594,$D594-($D594-$I$589)*MIN(J$3-$O$2,$Q$2)/$Q$2))</f>
        <v>5994.52790035556</v>
      </c>
      <c r="K594" s="15" t="n">
        <f aca="false">J594*(1+IF(K$3&lt;=$O$2,$D594,$D594-($D594-$I$589)*MIN(K$3-$O$2,$Q$2)/$Q$2))</f>
        <v>6600.3948352445</v>
      </c>
      <c r="L594" s="15" t="n">
        <f aca="false">K594*(1+IF(L$3&lt;=$O$2,$D594,$D594-($D594-$I$589)*MIN(L$3-$O$2,$Q$2)/$Q$2))</f>
        <v>7085.39184773826</v>
      </c>
      <c r="M594" s="15" t="n">
        <f aca="false">L594*(1+IF(M$3&lt;=$O$2,$D594,$D594-($D594-$I$589)*MIN(M$3-$O$2,$Q$2)/$Q$2))</f>
        <v>7410.54047963097</v>
      </c>
      <c r="N594" s="15" t="n">
        <f aca="false">M594*(1+IF(N$3&lt;=$O$2,$D594,$D594-($D594-$I$589)*MIN(N$3-$O$2,$Q$2)/$Q$2))</f>
        <v>7546.15337040822</v>
      </c>
      <c r="O594" s="15" t="n">
        <f aca="false">SUMPRODUCT(E594:N594,1/(1+$F$589)^$E$3:$N$3)*$E$2</f>
        <v>6080.24548779686</v>
      </c>
      <c r="P594" s="15" t="n">
        <f aca="false">N594*$E$2*(1+$I$589)/($F$589-$I$589)/(1+$F$589)^$N$3</f>
        <v>6634.42527356123</v>
      </c>
      <c r="Q594" s="15" t="n">
        <f aca="false">O594+P594</f>
        <v>12714.6707613581</v>
      </c>
      <c r="R594" s="15" t="n">
        <f aca="false">Q594-$G$2+$I$2</f>
        <v>11338.4707613581</v>
      </c>
      <c r="S594" s="42" t="n">
        <f aca="false">R594/$K$2</f>
        <v>302.278612672836</v>
      </c>
      <c r="T594" s="43" t="n">
        <f aca="false">S594-$M$2</f>
        <v>97.7998070210104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41" t="n">
        <f aca="false">(B595+C595)/2</f>
        <v>0.109375</v>
      </c>
      <c r="E595" s="15" t="n">
        <f aca="false">$C$2*(1+IF(E$3&lt;=$O$2,$D595,$D595-($D595-$I$589)*MIN(E$3-$O$2,$Q$2)/$Q$2))</f>
        <v>2851.09375</v>
      </c>
      <c r="F595" s="15" t="n">
        <f aca="false">E595*(1+IF(F$3&lt;=$O$2,$D595,$D595-($D595-$I$589)*MIN(F$3-$O$2,$Q$2)/$Q$2))</f>
        <v>3162.93212890625</v>
      </c>
      <c r="G595" s="15" t="n">
        <f aca="false">F595*(1+IF(G$3&lt;=$O$2,$D595,$D595-($D595-$I$589)*MIN(G$3-$O$2,$Q$2)/$Q$2))</f>
        <v>3508.87783050537</v>
      </c>
      <c r="H595" s="15" t="n">
        <f aca="false">G595*(1+IF(H$3&lt;=$O$2,$D595,$D595-($D595-$I$589)*MIN(H$3-$O$2,$Q$2)/$Q$2))</f>
        <v>3892.6613432169</v>
      </c>
      <c r="I595" s="15" t="n">
        <f aca="false">H595*(1+IF(I$3&lt;=$O$2,$D595,$D595-($D595-$I$589)*MIN(I$3-$O$2,$Q$2)/$Q$2))</f>
        <v>4318.42117763124</v>
      </c>
      <c r="J595" s="15" t="n">
        <f aca="false">I595*(1+IF(J$3&lt;=$O$2,$D595,$D595-($D595-$I$589)*MIN(J$3-$O$2,$Q$2)/$Q$2))</f>
        <v>4712.08845218411</v>
      </c>
      <c r="K595" s="15" t="n">
        <f aca="false">J595*(1+IF(K$3&lt;=$O$2,$D595,$D595-($D595-$I$589)*MIN(K$3-$O$2,$Q$2)/$Q$2))</f>
        <v>5055.81174432868</v>
      </c>
      <c r="L595" s="15" t="n">
        <f aca="false">K595*(1+IF(L$3&lt;=$O$2,$D595,$D595-($D595-$I$589)*MIN(L$3-$O$2,$Q$2)/$Q$2))</f>
        <v>5332.51632109579</v>
      </c>
      <c r="M595" s="15" t="n">
        <f aca="false">L595*(1+IF(M$3&lt;=$O$2,$D595,$D595-($D595-$I$589)*MIN(M$3-$O$2,$Q$2)/$Q$2))</f>
        <v>5527.2331545606</v>
      </c>
      <c r="N595" s="15" t="n">
        <f aca="false">M595*(1+IF(N$3&lt;=$O$2,$D595,$D595-($D595-$I$589)*MIN(N$3-$O$2,$Q$2)/$Q$2))</f>
        <v>5628.38152128906</v>
      </c>
      <c r="O595" s="15" t="n">
        <f aca="false">SUMPRODUCT(E595:N595,1/(1+$F$589)^$E$3:$N$3)*$E$2</f>
        <v>4979.48589240598</v>
      </c>
      <c r="P595" s="15" t="n">
        <f aca="false">N595*$E$2*(1+$I$589)/($F$589-$I$589)/(1+$F$589)^$N$3</f>
        <v>4948.35908855443</v>
      </c>
      <c r="Q595" s="15" t="n">
        <f aca="false">O595+P595</f>
        <v>9927.84498096041</v>
      </c>
      <c r="R595" s="15" t="n">
        <f aca="false">Q595-$G$2+$I$2</f>
        <v>8551.64498096041</v>
      </c>
      <c r="S595" s="42" t="n">
        <f aca="false">R595/$K$2</f>
        <v>227.983070673431</v>
      </c>
      <c r="T595" s="43" t="n">
        <f aca="false">S595-$M$2</f>
        <v>23.5042650216053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0.0625</v>
      </c>
      <c r="C596" s="25" t="n">
        <f aca="false">IF(T595&gt;0,D595,C595)</f>
        <v>0.109375</v>
      </c>
      <c r="D596" s="41" t="n">
        <f aca="false">(B596+C596)/2</f>
        <v>0.0859375</v>
      </c>
      <c r="E596" s="15" t="n">
        <f aca="false">$C$2*(1+IF(E$3&lt;=$O$2,$D596,$D596-($D596-$I$589)*MIN(E$3-$O$2,$Q$2)/$Q$2))</f>
        <v>2790.859375</v>
      </c>
      <c r="F596" s="15" t="n">
        <f aca="false">E596*(1+IF(F$3&lt;=$O$2,$D596,$D596-($D596-$I$589)*MIN(F$3-$O$2,$Q$2)/$Q$2))</f>
        <v>3030.69885253906</v>
      </c>
      <c r="G596" s="15" t="n">
        <f aca="false">F596*(1+IF(G$3&lt;=$O$2,$D596,$D596-($D596-$I$589)*MIN(G$3-$O$2,$Q$2)/$Q$2))</f>
        <v>3291.14953517914</v>
      </c>
      <c r="H596" s="15" t="n">
        <f aca="false">G596*(1+IF(H$3&lt;=$O$2,$D596,$D596-($D596-$I$589)*MIN(H$3-$O$2,$Q$2)/$Q$2))</f>
        <v>3573.9826983586</v>
      </c>
      <c r="I596" s="15" t="n">
        <f aca="false">H596*(1+IF(I$3&lt;=$O$2,$D596,$D596-($D596-$I$589)*MIN(I$3-$O$2,$Q$2)/$Q$2))</f>
        <v>3881.12183649879</v>
      </c>
      <c r="J596" s="15" t="n">
        <f aca="false">I596*(1+IF(J$3&lt;=$O$2,$D596,$D596-($D596-$I$589)*MIN(J$3-$O$2,$Q$2)/$Q$2))</f>
        <v>4162.15386867967</v>
      </c>
      <c r="K596" s="15" t="n">
        <f aca="false">J596*(1+IF(K$3&lt;=$O$2,$D596,$D596-($D596-$I$589)*MIN(K$3-$O$2,$Q$2)/$Q$2))</f>
        <v>4407.2318938522</v>
      </c>
      <c r="L596" s="15" t="n">
        <f aca="false">K596*(1+IF(L$3&lt;=$O$2,$D596,$D596-($D596-$I$589)*MIN(L$3-$O$2,$Q$2)/$Q$2))</f>
        <v>4607.12189639786</v>
      </c>
      <c r="M596" s="15" t="n">
        <f aca="false">L596*(1+IF(M$3&lt;=$O$2,$D596,$D596-($D596-$I$589)*MIN(M$3-$O$2,$Q$2)/$Q$2))</f>
        <v>4753.75506855546</v>
      </c>
      <c r="N596" s="15" t="n">
        <f aca="false">M596*(1+IF(N$3&lt;=$O$2,$D596,$D596-($D596-$I$589)*MIN(N$3-$O$2,$Q$2)/$Q$2))</f>
        <v>4840.74878631003</v>
      </c>
      <c r="O596" s="15" t="n">
        <f aca="false">SUMPRODUCT(E596:N596,1/(1+$F$589)^$E$3:$N$3)*$E$2</f>
        <v>4505.89450585283</v>
      </c>
      <c r="P596" s="15" t="n">
        <f aca="false">N596*$E$2*(1+$I$589)/($F$589-$I$589)/(1+$F$589)^$N$3</f>
        <v>4255.88833335875</v>
      </c>
      <c r="Q596" s="15" t="n">
        <f aca="false">O596+P596</f>
        <v>8761.78283921158</v>
      </c>
      <c r="R596" s="15" t="n">
        <f aca="false">Q596-$G$2+$I$2</f>
        <v>7385.58283921158</v>
      </c>
      <c r="S596" s="42" t="n">
        <f aca="false">R596/$K$2</f>
        <v>196.896370013639</v>
      </c>
      <c r="T596" s="43" t="n">
        <f aca="false">S596-$M$2</f>
        <v>-7.58243563818758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0.0859375</v>
      </c>
      <c r="C597" s="25" t="n">
        <f aca="false">IF(T596&gt;0,D596,C596)</f>
        <v>0.109375</v>
      </c>
      <c r="D597" s="41" t="n">
        <f aca="false">(B597+C597)/2</f>
        <v>0.09765625</v>
      </c>
      <c r="E597" s="15" t="n">
        <f aca="false">$C$2*(1+IF(E$3&lt;=$O$2,$D597,$D597-($D597-$I$589)*MIN(E$3-$O$2,$Q$2)/$Q$2))</f>
        <v>2820.9765625</v>
      </c>
      <c r="F597" s="15" t="n">
        <f aca="false">E597*(1+IF(F$3&lt;=$O$2,$D597,$D597-($D597-$I$589)*MIN(F$3-$O$2,$Q$2)/$Q$2))</f>
        <v>3096.46255493164</v>
      </c>
      <c r="G597" s="15" t="n">
        <f aca="false">F597*(1+IF(G$3&lt;=$O$2,$D597,$D597-($D597-$I$589)*MIN(G$3-$O$2,$Q$2)/$Q$2))</f>
        <v>3398.85147631168</v>
      </c>
      <c r="H597" s="15" t="n">
        <f aca="false">G597*(1+IF(H$3&lt;=$O$2,$D597,$D597-($D597-$I$589)*MIN(H$3-$O$2,$Q$2)/$Q$2))</f>
        <v>3730.77056579525</v>
      </c>
      <c r="I597" s="15" t="n">
        <f aca="false">H597*(1+IF(I$3&lt;=$O$2,$D597,$D597-($D597-$I$589)*MIN(I$3-$O$2,$Q$2)/$Q$2))</f>
        <v>4095.10362886119</v>
      </c>
      <c r="J597" s="15" t="n">
        <f aca="false">I597*(1+IF(J$3&lt;=$O$2,$D597,$D597-($D597-$I$589)*MIN(J$3-$O$2,$Q$2)/$Q$2))</f>
        <v>4430.0216791476</v>
      </c>
      <c r="K597" s="15" t="n">
        <f aca="false">J597*(1+IF(K$3&lt;=$O$2,$D597,$D597-($D597-$I$589)*MIN(K$3-$O$2,$Q$2)/$Q$2))</f>
        <v>4722.02102060152</v>
      </c>
      <c r="L597" s="15" t="n">
        <f aca="false">K597*(1+IF(L$3&lt;=$O$2,$D597,$D597-($D597-$I$589)*MIN(L$3-$O$2,$Q$2)/$Q$2))</f>
        <v>4958.32275752497</v>
      </c>
      <c r="M597" s="15" t="n">
        <f aca="false">L597*(1+IF(M$3&lt;=$O$2,$D597,$D597-($D597-$I$589)*MIN(M$3-$O$2,$Q$2)/$Q$2))</f>
        <v>5127.75484405304</v>
      </c>
      <c r="N597" s="15" t="n">
        <f aca="false">M597*(1+IF(N$3&lt;=$O$2,$D597,$D597-($D597-$I$589)*MIN(N$3-$O$2,$Q$2)/$Q$2))</f>
        <v>5221.59275769921</v>
      </c>
      <c r="O597" s="15" t="n">
        <f aca="false">SUMPRODUCT(E597:N597,1/(1+$F$589)^$E$3:$N$3)*$E$2</f>
        <v>4736.773715759</v>
      </c>
      <c r="P597" s="15" t="n">
        <f aca="false">N597*$E$2*(1+$I$589)/($F$589-$I$589)/(1+$F$589)^$N$3</f>
        <v>4590.7186429276</v>
      </c>
      <c r="Q597" s="15" t="n">
        <f aca="false">O597+P597</f>
        <v>9327.4923586866</v>
      </c>
      <c r="R597" s="15" t="n">
        <f aca="false">Q597-$G$2+$I$2</f>
        <v>7951.2923586866</v>
      </c>
      <c r="S597" s="42" t="n">
        <f aca="false">R597/$K$2</f>
        <v>211.977935448856</v>
      </c>
      <c r="T597" s="43" t="n">
        <f aca="false">S597-$M$2</f>
        <v>7.49912979703021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0.0859375</v>
      </c>
      <c r="C598" s="25" t="n">
        <f aca="false">IF(T597&gt;0,D597,C597)</f>
        <v>0.09765625</v>
      </c>
      <c r="D598" s="41" t="n">
        <f aca="false">(B598+C598)/2</f>
        <v>0.091796875</v>
      </c>
      <c r="E598" s="15" t="n">
        <f aca="false">$C$2*(1+IF(E$3&lt;=$O$2,$D598,$D598-($D598-$I$589)*MIN(E$3-$O$2,$Q$2)/$Q$2))</f>
        <v>2805.91796875</v>
      </c>
      <c r="F598" s="15" t="n">
        <f aca="false">E598*(1+IF(F$3&lt;=$O$2,$D598,$D598-($D598-$I$589)*MIN(F$3-$O$2,$Q$2)/$Q$2))</f>
        <v>3063.4924697876</v>
      </c>
      <c r="G598" s="15" t="n">
        <f aca="false">F598*(1+IF(G$3&lt;=$O$2,$D598,$D598-($D598-$I$589)*MIN(G$3-$O$2,$Q$2)/$Q$2))</f>
        <v>3344.71150510013</v>
      </c>
      <c r="H598" s="15" t="n">
        <f aca="false">G598*(1+IF(H$3&lt;=$O$2,$D598,$D598-($D598-$I$589)*MIN(H$3-$O$2,$Q$2)/$Q$2))</f>
        <v>3651.74556904487</v>
      </c>
      <c r="I598" s="15" t="n">
        <f aca="false">H598*(1+IF(I$3&lt;=$O$2,$D598,$D598-($D598-$I$589)*MIN(I$3-$O$2,$Q$2)/$Q$2))</f>
        <v>3986.96440057829</v>
      </c>
      <c r="J598" s="15" t="n">
        <f aca="false">I598*(1+IF(J$3&lt;=$O$2,$D598,$D598-($D598-$I$589)*MIN(J$3-$O$2,$Q$2)/$Q$2))</f>
        <v>4294.34938845187</v>
      </c>
      <c r="K598" s="15" t="n">
        <f aca="false">J598*(1+IF(K$3&lt;=$O$2,$D598,$D598-($D598-$I$589)*MIN(K$3-$O$2,$Q$2)/$Q$2))</f>
        <v>4562.30873838616</v>
      </c>
      <c r="L598" s="15" t="n">
        <f aca="false">K598*(1+IF(L$3&lt;=$O$2,$D598,$D598-($D598-$I$589)*MIN(L$3-$O$2,$Q$2)/$Q$2))</f>
        <v>4779.92516232126</v>
      </c>
      <c r="M598" s="15" t="n">
        <f aca="false">L598*(1+IF(M$3&lt;=$O$2,$D598,$D598-($D598-$I$589)*MIN(M$3-$O$2,$Q$2)/$Q$2))</f>
        <v>4937.65970522463</v>
      </c>
      <c r="N598" s="15" t="n">
        <f aca="false">M598*(1+IF(N$3&lt;=$O$2,$D598,$D598-($D598-$I$589)*MIN(N$3-$O$2,$Q$2)/$Q$2))</f>
        <v>5028.01887783025</v>
      </c>
      <c r="O598" s="15" t="n">
        <f aca="false">SUMPRODUCT(E598:N598,1/(1+$F$589)^$E$3:$N$3)*$E$2</f>
        <v>4619.88921210941</v>
      </c>
      <c r="P598" s="15" t="n">
        <f aca="false">N598*$E$2*(1+$I$589)/($F$589-$I$589)/(1+$F$589)^$N$3</f>
        <v>4420.53240659425</v>
      </c>
      <c r="Q598" s="15" t="n">
        <f aca="false">O598+P598</f>
        <v>9040.42161870366</v>
      </c>
      <c r="R598" s="15" t="n">
        <f aca="false">Q598-$G$2+$I$2</f>
        <v>7664.22161870366</v>
      </c>
      <c r="S598" s="42" t="n">
        <f aca="false">R598/$K$2</f>
        <v>204.324756563681</v>
      </c>
      <c r="T598" s="43" t="n">
        <f aca="false">S598-$M$2</f>
        <v>-0.154049088145399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0.091796875</v>
      </c>
      <c r="C599" s="25" t="n">
        <f aca="false">IF(T598&gt;0,D598,C598)</f>
        <v>0.09765625</v>
      </c>
      <c r="D599" s="41" t="n">
        <f aca="false">(B599+C599)/2</f>
        <v>0.0947265625</v>
      </c>
      <c r="E599" s="15" t="n">
        <f aca="false">$C$2*(1+IF(E$3&lt;=$O$2,$D599,$D599-($D599-$I$589)*MIN(E$3-$O$2,$Q$2)/$Q$2))</f>
        <v>2813.447265625</v>
      </c>
      <c r="F599" s="15" t="n">
        <f aca="false">E599*(1+IF(F$3&lt;=$O$2,$D599,$D599-($D599-$I$589)*MIN(F$3-$O$2,$Q$2)/$Q$2))</f>
        <v>3079.95545387268</v>
      </c>
      <c r="G599" s="15" t="n">
        <f aca="false">F599*(1+IF(G$3&lt;=$O$2,$D599,$D599-($D599-$I$589)*MIN(G$3-$O$2,$Q$2)/$Q$2))</f>
        <v>3371.70904667117</v>
      </c>
      <c r="H599" s="15" t="n">
        <f aca="false">G599*(1+IF(H$3&lt;=$O$2,$D599,$D599-($D599-$I$589)*MIN(H$3-$O$2,$Q$2)/$Q$2))</f>
        <v>3691.09945441248</v>
      </c>
      <c r="I599" s="15" t="n">
        <f aca="false">H599*(1+IF(I$3&lt;=$O$2,$D599,$D599-($D599-$I$589)*MIN(I$3-$O$2,$Q$2)/$Q$2))</f>
        <v>4040.7446175746</v>
      </c>
      <c r="J599" s="15" t="n">
        <f aca="false">I599*(1+IF(J$3&lt;=$O$2,$D599,$D599-($D599-$I$589)*MIN(J$3-$O$2,$Q$2)/$Q$2))</f>
        <v>4361.7464209255</v>
      </c>
      <c r="K599" s="15" t="n">
        <f aca="false">J599*(1+IF(K$3&lt;=$O$2,$D599,$D599-($D599-$I$589)*MIN(K$3-$O$2,$Q$2)/$Q$2))</f>
        <v>4641.57835169724</v>
      </c>
      <c r="L599" s="15" t="n">
        <f aca="false">K599*(1+IF(L$3&lt;=$O$2,$D599,$D599-($D599-$I$589)*MIN(L$3-$O$2,$Q$2)/$Q$2))</f>
        <v>4868.41518673115</v>
      </c>
      <c r="M599" s="15" t="n">
        <f aca="false">L599*(1+IF(M$3&lt;=$O$2,$D599,$D599-($D599-$I$589)*MIN(M$3-$O$2,$Q$2)/$Q$2))</f>
        <v>5031.92243215727</v>
      </c>
      <c r="N599" s="15" t="n">
        <f aca="false">M599*(1+IF(N$3&lt;=$O$2,$D599,$D599-($D599-$I$589)*MIN(N$3-$O$2,$Q$2)/$Q$2))</f>
        <v>5124.00661266574</v>
      </c>
      <c r="O599" s="15" t="n">
        <f aca="false">SUMPRODUCT(E599:N599,1/(1+$F$589)^$E$3:$N$3)*$E$2</f>
        <v>4677.96601549815</v>
      </c>
      <c r="P599" s="15" t="n">
        <f aca="false">N599*$E$2*(1+$I$589)/($F$589-$I$589)/(1+$F$589)^$N$3</f>
        <v>4504.92287981757</v>
      </c>
      <c r="Q599" s="15" t="n">
        <f aca="false">O599+P599</f>
        <v>9182.88889531572</v>
      </c>
      <c r="R599" s="15" t="n">
        <f aca="false">Q599-$G$2+$I$2</f>
        <v>7806.68889531572</v>
      </c>
      <c r="S599" s="42" t="n">
        <f aca="false">R599/$K$2</f>
        <v>208.122871109457</v>
      </c>
      <c r="T599" s="43" t="n">
        <f aca="false">S599-$M$2</f>
        <v>3.64406545763066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0.091796875</v>
      </c>
      <c r="C600" s="25" t="n">
        <f aca="false">IF(T599&gt;0,D599,C599)</f>
        <v>0.0947265625</v>
      </c>
      <c r="D600" s="41" t="n">
        <f aca="false">(B600+C600)/2</f>
        <v>0.09326171875</v>
      </c>
      <c r="E600" s="15" t="n">
        <f aca="false">$C$2*(1+IF(E$3&lt;=$O$2,$D600,$D600-($D600-$I$589)*MIN(E$3-$O$2,$Q$2)/$Q$2))</f>
        <v>2809.6826171875</v>
      </c>
      <c r="F600" s="15" t="n">
        <f aca="false">E600*(1+IF(F$3&lt;=$O$2,$D600,$D600-($D600-$I$589)*MIN(F$3-$O$2,$Q$2)/$Q$2))</f>
        <v>3071.7184472084</v>
      </c>
      <c r="G600" s="15" t="n">
        <f aca="false">F600*(1+IF(G$3&lt;=$O$2,$D600,$D600-($D600-$I$589)*MIN(G$3-$O$2,$Q$2)/$Q$2))</f>
        <v>3358.19218911114</v>
      </c>
      <c r="H600" s="15" t="n">
        <f aca="false">G600*(1+IF(H$3&lt;=$O$2,$D600,$D600-($D600-$I$589)*MIN(H$3-$O$2,$Q$2)/$Q$2))</f>
        <v>3671.38296456047</v>
      </c>
      <c r="I600" s="15" t="n">
        <f aca="false">H600*(1+IF(I$3&lt;=$O$2,$D600,$D600-($D600-$I$589)*MIN(I$3-$O$2,$Q$2)/$Q$2))</f>
        <v>4013.78245002485</v>
      </c>
      <c r="J600" s="15" t="n">
        <f aca="false">I600*(1+IF(J$3&lt;=$O$2,$D600,$D600-($D600-$I$589)*MIN(J$3-$O$2,$Q$2)/$Q$2))</f>
        <v>4327.93869377427</v>
      </c>
      <c r="K600" s="15" t="n">
        <f aca="false">J600*(1+IF(K$3&lt;=$O$2,$D600,$D600-($D600-$I$589)*MIN(K$3-$O$2,$Q$2)/$Q$2))</f>
        <v>4601.7978057483</v>
      </c>
      <c r="L600" s="15" t="n">
        <f aca="false">K600*(1+IF(L$3&lt;=$O$2,$D600,$D600-($D600-$I$589)*MIN(L$3-$O$2,$Q$2)/$Q$2))</f>
        <v>4823.99417473705</v>
      </c>
      <c r="M600" s="15" t="n">
        <f aca="false">L600*(1+IF(M$3&lt;=$O$2,$D600,$D600-($D600-$I$589)*MIN(M$3-$O$2,$Q$2)/$Q$2))</f>
        <v>4984.59624705039</v>
      </c>
      <c r="N600" s="15" t="n">
        <f aca="false">M600*(1+IF(N$3&lt;=$O$2,$D600,$D600-($D600-$I$589)*MIN(N$3-$O$2,$Q$2)/$Q$2))</f>
        <v>5075.81435837141</v>
      </c>
      <c r="O600" s="15" t="n">
        <f aca="false">SUMPRODUCT(E600:N600,1/(1+$F$589)^$E$3:$N$3)*$E$2</f>
        <v>4648.83678300945</v>
      </c>
      <c r="P600" s="15" t="n">
        <f aca="false">N600*$E$2*(1+$I$589)/($F$589-$I$589)/(1+$F$589)^$N$3</f>
        <v>4462.55322548031</v>
      </c>
      <c r="Q600" s="15" t="n">
        <f aca="false">O600+P600</f>
        <v>9111.39000848975</v>
      </c>
      <c r="R600" s="15" t="n">
        <f aca="false">Q600-$G$2+$I$2</f>
        <v>7735.19000848975</v>
      </c>
      <c r="S600" s="42" t="n">
        <f aca="false">R600/$K$2</f>
        <v>206.216742428412</v>
      </c>
      <c r="T600" s="43" t="n">
        <f aca="false">S600-$M$2</f>
        <v>1.73793677658637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0.091796875</v>
      </c>
      <c r="C601" s="25" t="n">
        <f aca="false">IF(T600&gt;0,D600,C600)</f>
        <v>0.09326171875</v>
      </c>
      <c r="D601" s="41" t="n">
        <f aca="false">(B601+C601)/2</f>
        <v>0.092529296875</v>
      </c>
      <c r="E601" s="15" t="n">
        <f aca="false">$C$2*(1+IF(E$3&lt;=$O$2,$D601,$D601-($D601-$I$589)*MIN(E$3-$O$2,$Q$2)/$Q$2))</f>
        <v>2807.80029296875</v>
      </c>
      <c r="F601" s="15" t="n">
        <f aca="false">E601*(1+IF(F$3&lt;=$O$2,$D601,$D601-($D601-$I$589)*MIN(F$3-$O$2,$Q$2)/$Q$2))</f>
        <v>3067.60407984257</v>
      </c>
      <c r="G601" s="15" t="n">
        <f aca="false">F601*(1+IF(G$3&lt;=$O$2,$D601,$D601-($D601-$I$589)*MIN(G$3-$O$2,$Q$2)/$Q$2))</f>
        <v>3351.44732844128</v>
      </c>
      <c r="H601" s="15" t="n">
        <f aca="false">G601*(1+IF(H$3&lt;=$O$2,$D601,$D601-($D601-$I$589)*MIN(H$3-$O$2,$Q$2)/$Q$2))</f>
        <v>3661.55439325555</v>
      </c>
      <c r="I601" s="15" t="n">
        <f aca="false">H601*(1+IF(I$3&lt;=$O$2,$D601,$D601-($D601-$I$589)*MIN(I$3-$O$2,$Q$2)/$Q$2))</f>
        <v>4000.35544673305</v>
      </c>
      <c r="J601" s="15" t="n">
        <f aca="false">I601*(1+IF(J$3&lt;=$O$2,$D601,$D601-($D601-$I$589)*MIN(J$3-$O$2,$Q$2)/$Q$2))</f>
        <v>4311.11680905713</v>
      </c>
      <c r="K601" s="15" t="n">
        <f aca="false">J601*(1+IF(K$3&lt;=$O$2,$D601,$D601-($D601-$I$589)*MIN(K$3-$O$2,$Q$2)/$Q$2))</f>
        <v>4582.01694835225</v>
      </c>
      <c r="L601" s="15" t="n">
        <f aca="false">K601*(1+IF(L$3&lt;=$O$2,$D601,$D601-($D601-$I$589)*MIN(L$3-$O$2,$Q$2)/$Q$2))</f>
        <v>4801.91581704531</v>
      </c>
      <c r="M601" s="15" t="n">
        <f aca="false">L601*(1+IF(M$3&lt;=$O$2,$D601,$D601-($D601-$I$589)*MIN(M$3-$O$2,$Q$2)/$Q$2))</f>
        <v>4961.07944344768</v>
      </c>
      <c r="N601" s="15" t="n">
        <f aca="false">M601*(1+IF(N$3&lt;=$O$2,$D601,$D601-($D601-$I$589)*MIN(N$3-$O$2,$Q$2)/$Q$2))</f>
        <v>5051.86719726277</v>
      </c>
      <c r="O601" s="15" t="n">
        <f aca="false">SUMPRODUCT(E601:N601,1/(1+$F$589)^$E$3:$N$3)*$E$2</f>
        <v>4634.34035598144</v>
      </c>
      <c r="P601" s="15" t="n">
        <f aca="false">N601*$E$2*(1+$I$589)/($F$589-$I$589)/(1+$F$589)^$N$3</f>
        <v>4441.49936623697</v>
      </c>
      <c r="Q601" s="15" t="n">
        <f aca="false">O601+P601</f>
        <v>9075.83972221841</v>
      </c>
      <c r="R601" s="15" t="n">
        <f aca="false">Q601-$G$2+$I$2</f>
        <v>7699.63972221841</v>
      </c>
      <c r="S601" s="42" t="n">
        <f aca="false">R601/$K$2</f>
        <v>205.26898752915</v>
      </c>
      <c r="T601" s="43" t="n">
        <f aca="false">S601-$M$2</f>
        <v>0.790181877323761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0.091796875</v>
      </c>
      <c r="C602" s="25" t="n">
        <f aca="false">IF(T601&gt;0,D601,C601)</f>
        <v>0.092529296875</v>
      </c>
      <c r="D602" s="41" t="n">
        <f aca="false">(B602+C602)/2</f>
        <v>0.0921630859375</v>
      </c>
      <c r="E602" s="15" t="n">
        <f aca="false">$C$2*(1+IF(E$3&lt;=$O$2,$D602,$D602-($D602-$I$589)*MIN(E$3-$O$2,$Q$2)/$Q$2))</f>
        <v>2806.85913085938</v>
      </c>
      <c r="F602" s="15" t="n">
        <f aca="false">E602*(1+IF(F$3&lt;=$O$2,$D602,$D602-($D602-$I$589)*MIN(F$3-$O$2,$Q$2)/$Q$2))</f>
        <v>3065.54793015122</v>
      </c>
      <c r="G602" s="15" t="n">
        <f aca="false">F602*(1+IF(G$3&lt;=$O$2,$D602,$D602-($D602-$I$589)*MIN(G$3-$O$2,$Q$2)/$Q$2))</f>
        <v>3348.07828748328</v>
      </c>
      <c r="H602" s="15" t="n">
        <f aca="false">G602*(1+IF(H$3&lt;=$O$2,$D602,$D602-($D602-$I$589)*MIN(H$3-$O$2,$Q$2)/$Q$2))</f>
        <v>3656.64751441808</v>
      </c>
      <c r="I602" s="15" t="n">
        <f aca="false">H602*(1+IF(I$3&lt;=$O$2,$D602,$D602-($D602-$I$589)*MIN(I$3-$O$2,$Q$2)/$Q$2))</f>
        <v>3993.65543353253</v>
      </c>
      <c r="J602" s="15" t="n">
        <f aca="false">I602*(1+IF(J$3&lt;=$O$2,$D602,$D602-($D602-$I$589)*MIN(J$3-$O$2,$Q$2)/$Q$2))</f>
        <v>4302.7262995596</v>
      </c>
      <c r="K602" s="15" t="n">
        <f aca="false">J602*(1+IF(K$3&lt;=$O$2,$D602,$D602-($D602-$I$589)*MIN(K$3-$O$2,$Q$2)/$Q$2))</f>
        <v>4572.15377629949</v>
      </c>
      <c r="L602" s="15" t="n">
        <f aca="false">K602*(1+IF(L$3&lt;=$O$2,$D602,$D602-($D602-$I$589)*MIN(L$3-$O$2,$Q$2)/$Q$2))</f>
        <v>4790.90954532508</v>
      </c>
      <c r="M602" s="15" t="n">
        <f aca="false">L602*(1+IF(M$3&lt;=$O$2,$D602,$D602-($D602-$I$589)*MIN(M$3-$O$2,$Q$2)/$Q$2))</f>
        <v>4949.35746269756</v>
      </c>
      <c r="N602" s="15" t="n">
        <f aca="false">M602*(1+IF(N$3&lt;=$O$2,$D602,$D602-($D602-$I$589)*MIN(N$3-$O$2,$Q$2)/$Q$2))</f>
        <v>5039.93070426492</v>
      </c>
      <c r="O602" s="15" t="n">
        <f aca="false">SUMPRODUCT(E602:N602,1/(1+$F$589)^$E$3:$N$3)*$E$2</f>
        <v>4627.1091318977</v>
      </c>
      <c r="P602" s="15" t="n">
        <f aca="false">N602*$E$2*(1+$I$589)/($F$589-$I$589)/(1+$F$589)^$N$3</f>
        <v>4431.00504324412</v>
      </c>
      <c r="Q602" s="15" t="n">
        <f aca="false">O602+P602</f>
        <v>9058.11417514182</v>
      </c>
      <c r="R602" s="15" t="n">
        <f aca="false">Q602-$G$2+$I$2</f>
        <v>7681.91417514182</v>
      </c>
      <c r="S602" s="42" t="n">
        <f aca="false">R602/$K$2</f>
        <v>204.796432288505</v>
      </c>
      <c r="T602" s="43" t="n">
        <f aca="false">S602-$M$2</f>
        <v>0.317626636678938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0.091796875</v>
      </c>
      <c r="C603" s="25" t="n">
        <f aca="false">IF(T602&gt;0,D602,C602)</f>
        <v>0.0921630859375</v>
      </c>
      <c r="D603" s="41" t="n">
        <f aca="false">(B603+C603)/2</f>
        <v>0.09197998046875</v>
      </c>
      <c r="E603" s="15" t="n">
        <f aca="false">$C$2*(1+IF(E$3&lt;=$O$2,$D603,$D603-($D603-$I$589)*MIN(E$3-$O$2,$Q$2)/$Q$2))</f>
        <v>2806.38854980469</v>
      </c>
      <c r="F603" s="15" t="n">
        <f aca="false">E603*(1+IF(F$3&lt;=$O$2,$D603,$D603-($D603-$I$589)*MIN(F$3-$O$2,$Q$2)/$Q$2))</f>
        <v>3064.52011380345</v>
      </c>
      <c r="G603" s="15" t="n">
        <f aca="false">F603*(1+IF(G$3&lt;=$O$2,$D603,$D603-($D603-$I$589)*MIN(G$3-$O$2,$Q$2)/$Q$2))</f>
        <v>3346.39461401718</v>
      </c>
      <c r="H603" s="15" t="n">
        <f aca="false">G603*(1+IF(H$3&lt;=$O$2,$D603,$D603-($D603-$I$589)*MIN(H$3-$O$2,$Q$2)/$Q$2))</f>
        <v>3654.19592525521</v>
      </c>
      <c r="I603" s="15" t="n">
        <f aca="false">H603*(1+IF(I$3&lt;=$O$2,$D603,$D603-($D603-$I$589)*MIN(I$3-$O$2,$Q$2)/$Q$2))</f>
        <v>3990.30879508917</v>
      </c>
      <c r="J603" s="15" t="n">
        <f aca="false">I603*(1+IF(J$3&lt;=$O$2,$D603,$D603-($D603-$I$589)*MIN(J$3-$O$2,$Q$2)/$Q$2))</f>
        <v>4298.53614530846</v>
      </c>
      <c r="K603" s="15" t="n">
        <f aca="false">J603*(1+IF(K$3&lt;=$O$2,$D603,$D603-($D603-$I$589)*MIN(K$3-$O$2,$Q$2)/$Q$2))</f>
        <v>4567.22899230593</v>
      </c>
      <c r="L603" s="15" t="n">
        <f aca="false">K603*(1+IF(L$3&lt;=$O$2,$D603,$D603-($D603-$I$589)*MIN(L$3-$O$2,$Q$2)/$Q$2))</f>
        <v>4785.4146200449</v>
      </c>
      <c r="M603" s="15" t="n">
        <f aca="false">L603*(1+IF(M$3&lt;=$O$2,$D603,$D603-($D603-$I$589)*MIN(M$3-$O$2,$Q$2)/$Q$2))</f>
        <v>4943.50555873967</v>
      </c>
      <c r="N603" s="15" t="n">
        <f aca="false">M603*(1+IF(N$3&lt;=$O$2,$D603,$D603-($D603-$I$589)*MIN(N$3-$O$2,$Q$2)/$Q$2))</f>
        <v>5033.97171046461</v>
      </c>
      <c r="O603" s="15" t="n">
        <f aca="false">SUMPRODUCT(E603:N603,1/(1+$F$589)^$E$3:$N$3)*$E$2</f>
        <v>4623.49775999633</v>
      </c>
      <c r="P603" s="15" t="n">
        <f aca="false">N603*$E$2*(1+$I$589)/($F$589-$I$589)/(1+$F$589)^$N$3</f>
        <v>4425.766016533</v>
      </c>
      <c r="Q603" s="15" t="n">
        <f aca="false">O603+P603</f>
        <v>9049.26377652933</v>
      </c>
      <c r="R603" s="15" t="n">
        <f aca="false">Q603-$G$2+$I$2</f>
        <v>7673.06377652933</v>
      </c>
      <c r="S603" s="42" t="n">
        <f aca="false">R603/$K$2</f>
        <v>204.560484578228</v>
      </c>
      <c r="T603" s="43" t="n">
        <f aca="false">S603-$M$2</f>
        <v>0.0816789264018496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0.091796875</v>
      </c>
      <c r="C604" s="25" t="n">
        <f aca="false">IF(T603&gt;0,D603,C603)</f>
        <v>0.09197998046875</v>
      </c>
      <c r="D604" s="41" t="n">
        <f aca="false">(B604+C604)/2</f>
        <v>0.091888427734375</v>
      </c>
      <c r="E604" s="15" t="n">
        <f aca="false">$C$2*(1+IF(E$3&lt;=$O$2,$D604,$D604-($D604-$I$589)*MIN(E$3-$O$2,$Q$2)/$Q$2))</f>
        <v>2806.15325927734</v>
      </c>
      <c r="F604" s="15" t="n">
        <f aca="false">E604*(1+IF(F$3&lt;=$O$2,$D604,$D604-($D604-$I$589)*MIN(F$3-$O$2,$Q$2)/$Q$2))</f>
        <v>3064.00627025403</v>
      </c>
      <c r="G604" s="15" t="n">
        <f aca="false">F604*(1+IF(G$3&lt;=$O$2,$D604,$D604-($D604-$I$589)*MIN(G$3-$O$2,$Q$2)/$Q$2))</f>
        <v>3345.55298899594</v>
      </c>
      <c r="H604" s="15" t="n">
        <f aca="false">G604*(1+IF(H$3&lt;=$O$2,$D604,$D604-($D604-$I$589)*MIN(H$3-$O$2,$Q$2)/$Q$2))</f>
        <v>3652.97059305682</v>
      </c>
      <c r="I604" s="15" t="n">
        <f aca="false">H604*(1+IF(I$3&lt;=$O$2,$D604,$D604-($D604-$I$589)*MIN(I$3-$O$2,$Q$2)/$Q$2))</f>
        <v>3988.63631741271</v>
      </c>
      <c r="J604" s="15" t="n">
        <f aca="false">I604*(1+IF(J$3&lt;=$O$2,$D604,$D604-($D604-$I$589)*MIN(J$3-$O$2,$Q$2)/$Q$2))</f>
        <v>4296.44234234347</v>
      </c>
      <c r="K604" s="15" t="n">
        <f aca="false">J604*(1+IF(K$3&lt;=$O$2,$D604,$D604-($D604-$I$589)*MIN(K$3-$O$2,$Q$2)/$Q$2))</f>
        <v>4564.76829930303</v>
      </c>
      <c r="L604" s="15" t="n">
        <f aca="false">K604*(1+IF(L$3&lt;=$O$2,$D604,$D604-($D604-$I$589)*MIN(L$3-$O$2,$Q$2)/$Q$2))</f>
        <v>4782.66920802724</v>
      </c>
      <c r="M604" s="15" t="n">
        <f aca="false">L604*(1+IF(M$3&lt;=$O$2,$D604,$D604-($D604-$I$589)*MIN(M$3-$O$2,$Q$2)/$Q$2))</f>
        <v>4940.58187601261</v>
      </c>
      <c r="N604" s="15" t="n">
        <f aca="false">M604*(1+IF(N$3&lt;=$O$2,$D604,$D604-($D604-$I$589)*MIN(N$3-$O$2,$Q$2)/$Q$2))</f>
        <v>5030.99452434364</v>
      </c>
      <c r="O604" s="15" t="n">
        <f aca="false">SUMPRODUCT(E604:N604,1/(1+$F$589)^$E$3:$N$3)*$E$2</f>
        <v>4621.6931331797</v>
      </c>
      <c r="P604" s="15" t="n">
        <f aca="false">N604*$E$2*(1+$I$589)/($F$589-$I$589)/(1+$F$589)^$N$3</f>
        <v>4423.14853476772</v>
      </c>
      <c r="Q604" s="15" t="n">
        <f aca="false">O604+P604</f>
        <v>9044.84166794743</v>
      </c>
      <c r="R604" s="15" t="n">
        <f aca="false">Q604-$G$2+$I$2</f>
        <v>7668.64166794743</v>
      </c>
      <c r="S604" s="42" t="n">
        <f aca="false">R604/$K$2</f>
        <v>204.442593120433</v>
      </c>
      <c r="T604" s="43" t="n">
        <f aca="false">S604-$M$2</f>
        <v>-0.0362125313935167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0.091888427734375</v>
      </c>
      <c r="C605" s="25" t="n">
        <f aca="false">IF(T604&gt;0,D604,C604)</f>
        <v>0.09197998046875</v>
      </c>
      <c r="D605" s="41" t="n">
        <f aca="false">(B605+C605)/2</f>
        <v>0.0919342041015625</v>
      </c>
      <c r="E605" s="15" t="n">
        <f aca="false">$C$2*(1+IF(E$3&lt;=$O$2,$D605,$D605-($D605-$I$589)*MIN(E$3-$O$2,$Q$2)/$Q$2))</f>
        <v>2806.27090454102</v>
      </c>
      <c r="F605" s="15" t="n">
        <f aca="false">E605*(1+IF(F$3&lt;=$O$2,$D605,$D605-($D605-$I$589)*MIN(F$3-$O$2,$Q$2)/$Q$2))</f>
        <v>3064.26318664337</v>
      </c>
      <c r="G605" s="15" t="n">
        <f aca="false">F605*(1+IF(G$3&lt;=$O$2,$D605,$D605-($D605-$I$589)*MIN(G$3-$O$2,$Q$2)/$Q$2))</f>
        <v>3345.97378386514</v>
      </c>
      <c r="H605" s="15" t="n">
        <f aca="false">G605*(1+IF(H$3&lt;=$O$2,$D605,$D605-($D605-$I$589)*MIN(H$3-$O$2,$Q$2)/$Q$2))</f>
        <v>3653.58322062948</v>
      </c>
      <c r="I605" s="15" t="n">
        <f aca="false">H605*(1+IF(I$3&lt;=$O$2,$D605,$D605-($D605-$I$589)*MIN(I$3-$O$2,$Q$2)/$Q$2))</f>
        <v>3989.47248613687</v>
      </c>
      <c r="J605" s="15" t="n">
        <f aca="false">I605*(1+IF(J$3&lt;=$O$2,$D605,$D605-($D605-$I$589)*MIN(J$3-$O$2,$Q$2)/$Q$2))</f>
        <v>4297.48913767459</v>
      </c>
      <c r="K605" s="15" t="n">
        <f aca="false">J605*(1+IF(K$3&lt;=$O$2,$D605,$D605-($D605-$I$589)*MIN(K$3-$O$2,$Q$2)/$Q$2))</f>
        <v>4565.9985042667</v>
      </c>
      <c r="L605" s="15" t="n">
        <f aca="false">K605*(1+IF(L$3&lt;=$O$2,$D605,$D605-($D605-$I$589)*MIN(L$3-$O$2,$Q$2)/$Q$2))</f>
        <v>4784.04174321103</v>
      </c>
      <c r="M605" s="15" t="n">
        <f aca="false">L605*(1+IF(M$3&lt;=$O$2,$D605,$D605-($D605-$I$589)*MIN(M$3-$O$2,$Q$2)/$Q$2))</f>
        <v>4942.04352834179</v>
      </c>
      <c r="N605" s="15" t="n">
        <f aca="false">M605*(1+IF(N$3&lt;=$O$2,$D605,$D605-($D605-$I$589)*MIN(N$3-$O$2,$Q$2)/$Q$2))</f>
        <v>5032.48292491044</v>
      </c>
      <c r="O605" s="15" t="n">
        <f aca="false">SUMPRODUCT(E605:N605,1/(1+$F$589)^$E$3:$N$3)*$E$2</f>
        <v>4622.59535835365</v>
      </c>
      <c r="P605" s="15" t="n">
        <f aca="false">N605*$E$2*(1+$I$589)/($F$589-$I$589)/(1+$F$589)^$N$3</f>
        <v>4424.45710641381</v>
      </c>
      <c r="Q605" s="15" t="n">
        <f aca="false">O605+P605</f>
        <v>9047.05246476746</v>
      </c>
      <c r="R605" s="15" t="n">
        <f aca="false">Q605-$G$2+$I$2</f>
        <v>7670.85246476746</v>
      </c>
      <c r="S605" s="42" t="n">
        <f aca="false">R605/$K$2</f>
        <v>204.50153198527</v>
      </c>
      <c r="T605" s="43" t="n">
        <f aca="false">S605-$M$2</f>
        <v>0.0227263334434724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0.091888427734375</v>
      </c>
      <c r="C606" s="25" t="n">
        <f aca="false">IF(T605&gt;0,D605,C605)</f>
        <v>0.0919342041015625</v>
      </c>
      <c r="D606" s="41" t="n">
        <f aca="false">(B606+C606)/2</f>
        <v>0.0919113159179688</v>
      </c>
      <c r="E606" s="15" t="n">
        <f aca="false">$C$2*(1+IF(E$3&lt;=$O$2,$D606,$D606-($D606-$I$589)*MIN(E$3-$O$2,$Q$2)/$Q$2))</f>
        <v>2806.21208190918</v>
      </c>
      <c r="F606" s="15" t="n">
        <f aca="false">E606*(1+IF(F$3&lt;=$O$2,$D606,$D606-($D606-$I$589)*MIN(F$3-$O$2,$Q$2)/$Q$2))</f>
        <v>3064.13472710236</v>
      </c>
      <c r="G606" s="15" t="n">
        <f aca="false">F606*(1+IF(G$3&lt;=$O$2,$D606,$D606-($D606-$I$589)*MIN(G$3-$O$2,$Q$2)/$Q$2))</f>
        <v>3345.76338202028</v>
      </c>
      <c r="H606" s="15" t="n">
        <f aca="false">G606*(1+IF(H$3&lt;=$O$2,$D606,$D606-($D606-$I$589)*MIN(H$3-$O$2,$Q$2)/$Q$2))</f>
        <v>3653.27689721192</v>
      </c>
      <c r="I606" s="15" t="n">
        <f aca="false">H606*(1+IF(I$3&lt;=$O$2,$D606,$D606-($D606-$I$589)*MIN(I$3-$O$2,$Q$2)/$Q$2))</f>
        <v>3989.05438424738</v>
      </c>
      <c r="J606" s="15" t="n">
        <f aca="false">I606*(1+IF(J$3&lt;=$O$2,$D606,$D606-($D606-$I$589)*MIN(J$3-$O$2,$Q$2)/$Q$2))</f>
        <v>4296.96571347334</v>
      </c>
      <c r="K606" s="15" t="n">
        <f aca="false">J606*(1+IF(K$3&lt;=$O$2,$D606,$D606-($D606-$I$589)*MIN(K$3-$O$2,$Q$2)/$Q$2))</f>
        <v>4565.3833664038</v>
      </c>
      <c r="L606" s="15" t="n">
        <f aca="false">K606*(1+IF(L$3&lt;=$O$2,$D606,$D606-($D606-$I$589)*MIN(L$3-$O$2,$Q$2)/$Q$2))</f>
        <v>4783.35543291739</v>
      </c>
      <c r="M606" s="15" t="n">
        <f aca="false">L606*(1+IF(M$3&lt;=$O$2,$D606,$D606-($D606-$I$589)*MIN(M$3-$O$2,$Q$2)/$Q$2))</f>
        <v>4941.31265492386</v>
      </c>
      <c r="N606" s="15" t="n">
        <f aca="false">M606*(1+IF(N$3&lt;=$O$2,$D606,$D606-($D606-$I$589)*MIN(N$3-$O$2,$Q$2)/$Q$2))</f>
        <v>5031.73867650896</v>
      </c>
      <c r="O606" s="15" t="n">
        <f aca="false">SUMPRODUCT(E606:N606,1/(1+$F$589)^$E$3:$N$3)*$E$2</f>
        <v>4622.14422371009</v>
      </c>
      <c r="P606" s="15" t="n">
        <f aca="false">N606*$E$2*(1+$I$589)/($F$589-$I$589)/(1+$F$589)^$N$3</f>
        <v>4423.80277828633</v>
      </c>
      <c r="Q606" s="15" t="n">
        <f aca="false">O606+P606</f>
        <v>9045.94700199642</v>
      </c>
      <c r="R606" s="15" t="n">
        <f aca="false">Q606-$G$2+$I$2</f>
        <v>7669.74700199642</v>
      </c>
      <c r="S606" s="42" t="n">
        <f aca="false">R606/$K$2</f>
        <v>204.472060837015</v>
      </c>
      <c r="T606" s="43" t="n">
        <f aca="false">S606-$M$2</f>
        <v>-0.00674481481144085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0.0919113159179688</v>
      </c>
      <c r="C607" s="25" t="n">
        <f aca="false">IF(T606&gt;0,D606,C606)</f>
        <v>0.0919342041015625</v>
      </c>
      <c r="D607" s="41" t="n">
        <f aca="false">(B607+C607)/2</f>
        <v>0.0919227600097656</v>
      </c>
      <c r="E607" s="15" t="n">
        <f aca="false">$C$2*(1+IF(E$3&lt;=$O$2,$D607,$D607-($D607-$I$589)*MIN(E$3-$O$2,$Q$2)/$Q$2))</f>
        <v>2806.2414932251</v>
      </c>
      <c r="F607" s="15" t="n">
        <f aca="false">E607*(1+IF(F$3&lt;=$O$2,$D607,$D607-($D607-$I$589)*MIN(F$3-$O$2,$Q$2)/$Q$2))</f>
        <v>3064.19895653627</v>
      </c>
      <c r="G607" s="15" t="n">
        <f aca="false">F607*(1+IF(G$3&lt;=$O$2,$D607,$D607-($D607-$I$589)*MIN(G$3-$O$2,$Q$2)/$Q$2))</f>
        <v>3345.86858184013</v>
      </c>
      <c r="H607" s="15" t="n">
        <f aca="false">G607*(1+IF(H$3&lt;=$O$2,$D607,$D607-($D607-$I$589)*MIN(H$3-$O$2,$Q$2)/$Q$2))</f>
        <v>3653.43005651284</v>
      </c>
      <c r="I607" s="15" t="n">
        <f aca="false">H607*(1+IF(I$3&lt;=$O$2,$D607,$D607-($D607-$I$589)*MIN(I$3-$O$2,$Q$2)/$Q$2))</f>
        <v>3989.26343081013</v>
      </c>
      <c r="J607" s="15" t="n">
        <f aca="false">I607*(1+IF(J$3&lt;=$O$2,$D607,$D607-($D607-$I$589)*MIN(J$3-$O$2,$Q$2)/$Q$2))</f>
        <v>4297.22741893977</v>
      </c>
      <c r="K607" s="15" t="n">
        <f aca="false">J607*(1+IF(K$3&lt;=$O$2,$D607,$D607-($D607-$I$589)*MIN(K$3-$O$2,$Q$2)/$Q$2))</f>
        <v>4565.69092648956</v>
      </c>
      <c r="L607" s="15" t="n">
        <f aca="false">K607*(1+IF(L$3&lt;=$O$2,$D607,$D607-($D607-$I$589)*MIN(L$3-$O$2,$Q$2)/$Q$2))</f>
        <v>4783.6985773882</v>
      </c>
      <c r="M607" s="15" t="n">
        <f aca="false">L607*(1+IF(M$3&lt;=$O$2,$D607,$D607-($D607-$I$589)*MIN(M$3-$O$2,$Q$2)/$Q$2))</f>
        <v>4941.67807981883</v>
      </c>
      <c r="N607" s="15" t="n">
        <f aca="false">M607*(1+IF(N$3&lt;=$O$2,$D607,$D607-($D607-$I$589)*MIN(N$3-$O$2,$Q$2)/$Q$2))</f>
        <v>5032.11078867951</v>
      </c>
      <c r="O607" s="15" t="n">
        <f aca="false">SUMPRODUCT(E607:N607,1/(1+$F$589)^$E$3:$N$3)*$E$2</f>
        <v>4622.36978551747</v>
      </c>
      <c r="P607" s="15" t="n">
        <f aca="false">N607*$E$2*(1+$I$589)/($F$589-$I$589)/(1+$F$589)^$N$3</f>
        <v>4424.12993177337</v>
      </c>
      <c r="Q607" s="15" t="n">
        <f aca="false">O607+P607</f>
        <v>9046.49971729085</v>
      </c>
      <c r="R607" s="15" t="n">
        <f aca="false">Q607-$G$2+$I$2</f>
        <v>7670.29971729085</v>
      </c>
      <c r="S607" s="42" t="n">
        <f aca="false">R607/$K$2</f>
        <v>204.486795982161</v>
      </c>
      <c r="T607" s="43" t="n">
        <f aca="false">S607-$M$2</f>
        <v>0.00799033033456453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0.0919113159179688</v>
      </c>
      <c r="C608" s="25" t="n">
        <f aca="false">IF(T607&gt;0,D607,C607)</f>
        <v>0.0919227600097656</v>
      </c>
      <c r="D608" s="41" t="n">
        <f aca="false">(B608+C608)/2</f>
        <v>0.0919170379638672</v>
      </c>
      <c r="E608" s="15" t="n">
        <f aca="false">$C$2*(1+IF(E$3&lt;=$O$2,$D608,$D608-($D608-$I$589)*MIN(E$3-$O$2,$Q$2)/$Q$2))</f>
        <v>2806.22678756714</v>
      </c>
      <c r="F608" s="15" t="n">
        <f aca="false">E608*(1+IF(F$3&lt;=$O$2,$D608,$D608-($D608-$I$589)*MIN(F$3-$O$2,$Q$2)/$Q$2))</f>
        <v>3064.16684173517</v>
      </c>
      <c r="G608" s="15" t="n">
        <f aca="false">F608*(1+IF(G$3&lt;=$O$2,$D608,$D608-($D608-$I$589)*MIN(G$3-$O$2,$Q$2)/$Q$2))</f>
        <v>3345.81598165456</v>
      </c>
      <c r="H608" s="15" t="n">
        <f aca="false">G608*(1+IF(H$3&lt;=$O$2,$D608,$D608-($D608-$I$589)*MIN(H$3-$O$2,$Q$2)/$Q$2))</f>
        <v>3653.35347626042</v>
      </c>
      <c r="I608" s="15" t="n">
        <f aca="false">H608*(1+IF(I$3&lt;=$O$2,$D608,$D608-($D608-$I$589)*MIN(I$3-$O$2,$Q$2)/$Q$2))</f>
        <v>3989.15890643327</v>
      </c>
      <c r="J608" s="15" t="n">
        <f aca="false">I608*(1+IF(J$3&lt;=$O$2,$D608,$D608-($D608-$I$589)*MIN(J$3-$O$2,$Q$2)/$Q$2))</f>
        <v>4297.09656454804</v>
      </c>
      <c r="K608" s="15" t="n">
        <f aca="false">J608*(1+IF(K$3&lt;=$O$2,$D608,$D608-($D608-$I$589)*MIN(K$3-$O$2,$Q$2)/$Q$2))</f>
        <v>4565.53714423531</v>
      </c>
      <c r="L608" s="15" t="n">
        <f aca="false">K608*(1+IF(L$3&lt;=$O$2,$D608,$D608-($D608-$I$589)*MIN(L$3-$O$2,$Q$2)/$Q$2))</f>
        <v>4783.52700248387</v>
      </c>
      <c r="M608" s="15" t="n">
        <f aca="false">L608*(1+IF(M$3&lt;=$O$2,$D608,$D608-($D608-$I$589)*MIN(M$3-$O$2,$Q$2)/$Q$2))</f>
        <v>4941.49536441793</v>
      </c>
      <c r="N608" s="15" t="n">
        <f aca="false">M608*(1+IF(N$3&lt;=$O$2,$D608,$D608-($D608-$I$589)*MIN(N$3-$O$2,$Q$2)/$Q$2))</f>
        <v>5031.92472958677</v>
      </c>
      <c r="O608" s="15" t="n">
        <f aca="false">SUMPRODUCT(E608:N608,1/(1+$F$589)^$E$3:$N$3)*$E$2</f>
        <v>4622.25700323522</v>
      </c>
      <c r="P608" s="15" t="n">
        <f aca="false">N608*$E$2*(1+$I$589)/($F$589-$I$589)/(1+$F$589)^$N$3</f>
        <v>4423.96635238575</v>
      </c>
      <c r="Q608" s="15" t="n">
        <f aca="false">O608+P608</f>
        <v>9046.22335562097</v>
      </c>
      <c r="R608" s="15" t="n">
        <f aca="false">Q608-$G$2+$I$2</f>
        <v>7670.02335562097</v>
      </c>
      <c r="S608" s="42" t="n">
        <f aca="false">R608/$K$2</f>
        <v>204.479428302345</v>
      </c>
      <c r="T608" s="43" t="n">
        <f aca="false">S608-$M$2</f>
        <v>0.000622650519034096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0.0919113159179688</v>
      </c>
      <c r="C609" s="25" t="n">
        <f aca="false">IF(T608&gt;0,D608,C608)</f>
        <v>0.0919170379638672</v>
      </c>
      <c r="D609" s="41" t="n">
        <f aca="false">(B609+C609)/2</f>
        <v>0.091914176940918</v>
      </c>
      <c r="E609" s="15" t="n">
        <f aca="false">$C$2*(1+IF(E$3&lt;=$O$2,$D609,$D609-($D609-$I$589)*MIN(E$3-$O$2,$Q$2)/$Q$2))</f>
        <v>2806.21943473816</v>
      </c>
      <c r="F609" s="15" t="n">
        <f aca="false">E609*(1+IF(F$3&lt;=$O$2,$D609,$D609-($D609-$I$589)*MIN(F$3-$O$2,$Q$2)/$Q$2))</f>
        <v>3064.15078439773</v>
      </c>
      <c r="G609" s="15" t="n">
        <f aca="false">F609*(1+IF(G$3&lt;=$O$2,$D609,$D609-($D609-$I$589)*MIN(G$3-$O$2,$Q$2)/$Q$2))</f>
        <v>3345.78968176851</v>
      </c>
      <c r="H609" s="15" t="n">
        <f aca="false">G609*(1+IF(H$3&lt;=$O$2,$D609,$D609-($D609-$I$589)*MIN(H$3-$O$2,$Q$2)/$Q$2))</f>
        <v>3653.31518658568</v>
      </c>
      <c r="I609" s="15" t="n">
        <f aca="false">H609*(1+IF(I$3&lt;=$O$2,$D609,$D609-($D609-$I$589)*MIN(I$3-$O$2,$Q$2)/$Q$2))</f>
        <v>3989.10664506646</v>
      </c>
      <c r="J609" s="15" t="n">
        <f aca="false">I609*(1+IF(J$3&lt;=$O$2,$D609,$D609-($D609-$I$589)*MIN(J$3-$O$2,$Q$2)/$Q$2))</f>
        <v>4297.03113859606</v>
      </c>
      <c r="K609" s="15" t="n">
        <f aca="false">J609*(1+IF(K$3&lt;=$O$2,$D609,$D609-($D609-$I$589)*MIN(K$3-$O$2,$Q$2)/$Q$2))</f>
        <v>4565.46025476672</v>
      </c>
      <c r="L609" s="15" t="n">
        <f aca="false">K609*(1+IF(L$3&lt;=$O$2,$D609,$D609-($D609-$I$589)*MIN(L$3-$O$2,$Q$2)/$Q$2))</f>
        <v>4783.4412170334</v>
      </c>
      <c r="M609" s="15" t="n">
        <f aca="false">L609*(1+IF(M$3&lt;=$O$2,$D609,$D609-($D609-$I$589)*MIN(M$3-$O$2,$Q$2)/$Q$2))</f>
        <v>4941.40400893255</v>
      </c>
      <c r="N609" s="15" t="n">
        <f aca="false">M609*(1+IF(N$3&lt;=$O$2,$D609,$D609-($D609-$I$589)*MIN(N$3-$O$2,$Q$2)/$Q$2))</f>
        <v>5031.83170229601</v>
      </c>
      <c r="O609" s="15" t="n">
        <f aca="false">SUMPRODUCT(E609:N609,1/(1+$F$589)^$E$3:$N$3)*$E$2</f>
        <v>4622.20061312802</v>
      </c>
      <c r="P609" s="15" t="n">
        <f aca="false">N609*$E$2*(1+$I$589)/($F$589-$I$589)/(1+$F$589)^$N$3</f>
        <v>4423.88456467502</v>
      </c>
      <c r="Q609" s="15" t="n">
        <f aca="false">O609+P609</f>
        <v>9046.08517780304</v>
      </c>
      <c r="R609" s="15" t="n">
        <f aca="false">Q609-$G$2+$I$2</f>
        <v>7669.88517780304</v>
      </c>
      <c r="S609" s="42" t="n">
        <f aca="false">R609/$K$2</f>
        <v>204.47574454287</v>
      </c>
      <c r="T609" s="43" t="n">
        <f aca="false">S609-$M$2</f>
        <v>-0.00306110895650136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0.091914176940918</v>
      </c>
      <c r="C610" s="25" t="n">
        <f aca="false">IF(T609&gt;0,D609,C609)</f>
        <v>0.0919170379638672</v>
      </c>
      <c r="D610" s="41" t="n">
        <f aca="false">(B610+C610)/2</f>
        <v>0.0919156074523926</v>
      </c>
      <c r="E610" s="15" t="n">
        <f aca="false">$C$2*(1+IF(E$3&lt;=$O$2,$D610,$D610-($D610-$I$589)*MIN(E$3-$O$2,$Q$2)/$Q$2))</f>
        <v>2806.22311115265</v>
      </c>
      <c r="F610" s="15" t="n">
        <f aca="false">E610*(1+IF(F$3&lt;=$O$2,$D610,$D610-($D610-$I$589)*MIN(F$3-$O$2,$Q$2)/$Q$2))</f>
        <v>3064.15881306119</v>
      </c>
      <c r="G610" s="15" t="n">
        <f aca="false">F610*(1+IF(G$3&lt;=$O$2,$D610,$D610-($D610-$I$589)*MIN(G$3-$O$2,$Q$2)/$Q$2))</f>
        <v>3345.80283169431</v>
      </c>
      <c r="H610" s="15" t="n">
        <f aca="false">G610*(1+IF(H$3&lt;=$O$2,$D610,$D610-($D610-$I$589)*MIN(H$3-$O$2,$Q$2)/$Q$2))</f>
        <v>3653.33433138543</v>
      </c>
      <c r="I610" s="15" t="n">
        <f aca="false">H610*(1+IF(I$3&lt;=$O$2,$D610,$D610-($D610-$I$589)*MIN(I$3-$O$2,$Q$2)/$Q$2))</f>
        <v>3989.1327756814</v>
      </c>
      <c r="J610" s="15" t="n">
        <f aca="false">I610*(1+IF(J$3&lt;=$O$2,$D610,$D610-($D610-$I$589)*MIN(J$3-$O$2,$Q$2)/$Q$2))</f>
        <v>4297.0638514684</v>
      </c>
      <c r="K610" s="15" t="n">
        <f aca="false">J610*(1+IF(K$3&lt;=$O$2,$D610,$D610-($D610-$I$589)*MIN(K$3-$O$2,$Q$2)/$Q$2))</f>
        <v>4565.49869936281</v>
      </c>
      <c r="L610" s="15" t="n">
        <f aca="false">K610*(1+IF(L$3&lt;=$O$2,$D610,$D610-($D610-$I$589)*MIN(L$3-$O$2,$Q$2)/$Q$2))</f>
        <v>4783.48410959183</v>
      </c>
      <c r="M610" s="15" t="n">
        <f aca="false">L610*(1+IF(M$3&lt;=$O$2,$D610,$D610-($D610-$I$589)*MIN(M$3-$O$2,$Q$2)/$Q$2))</f>
        <v>4941.44968649065</v>
      </c>
      <c r="N610" s="15" t="n">
        <f aca="false">M610*(1+IF(N$3&lt;=$O$2,$D610,$D610-($D610-$I$589)*MIN(N$3-$O$2,$Q$2)/$Q$2))</f>
        <v>5031.87821575343</v>
      </c>
      <c r="O610" s="15" t="n">
        <f aca="false">SUMPRODUCT(E610:N610,1/(1+$F$589)^$E$3:$N$3)*$E$2</f>
        <v>4622.22880809546</v>
      </c>
      <c r="P610" s="15" t="n">
        <f aca="false">N610*$E$2*(1+$I$589)/($F$589-$I$589)/(1+$F$589)^$N$3</f>
        <v>4423.92545836513</v>
      </c>
      <c r="Q610" s="15" t="n">
        <f aca="false">O610+P610</f>
        <v>9046.15426646059</v>
      </c>
      <c r="R610" s="15" t="n">
        <f aca="false">Q610-$G$2+$I$2</f>
        <v>7669.95426646059</v>
      </c>
      <c r="S610" s="42" t="n">
        <f aca="false">R610/$K$2</f>
        <v>204.477586415905</v>
      </c>
      <c r="T610" s="43" t="n">
        <f aca="false">S610-$M$2</f>
        <v>-0.00121923592132589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0.0919156074523926</v>
      </c>
      <c r="C611" s="25" t="n">
        <f aca="false">IF(T610&gt;0,D610,C610)</f>
        <v>0.0919170379638672</v>
      </c>
      <c r="D611" s="41" t="n">
        <f aca="false">(B611+C611)/2</f>
        <v>0.0919163227081299</v>
      </c>
      <c r="E611" s="15" t="n">
        <f aca="false">$C$2*(1+IF(E$3&lt;=$O$2,$D611,$D611-($D611-$I$589)*MIN(E$3-$O$2,$Q$2)/$Q$2))</f>
        <v>2806.22494935989</v>
      </c>
      <c r="F611" s="15" t="n">
        <f aca="false">E611*(1+IF(F$3&lt;=$O$2,$D611,$D611-($D611-$I$589)*MIN(F$3-$O$2,$Q$2)/$Q$2))</f>
        <v>3064.16282739686</v>
      </c>
      <c r="G611" s="15" t="n">
        <f aca="false">F611*(1+IF(G$3&lt;=$O$2,$D611,$D611-($D611-$I$589)*MIN(G$3-$O$2,$Q$2)/$Q$2))</f>
        <v>3345.80940667013</v>
      </c>
      <c r="H611" s="15" t="n">
        <f aca="false">G611*(1+IF(H$3&lt;=$O$2,$D611,$D611-($D611-$I$589)*MIN(H$3-$O$2,$Q$2)/$Q$2))</f>
        <v>3653.34390381352</v>
      </c>
      <c r="I611" s="15" t="n">
        <f aca="false">H611*(1+IF(I$3&lt;=$O$2,$D611,$D611-($D611-$I$589)*MIN(I$3-$O$2,$Q$2)/$Q$2))</f>
        <v>3989.14584104022</v>
      </c>
      <c r="J611" s="15" t="n">
        <f aca="false">I611*(1+IF(J$3&lt;=$O$2,$D611,$D611-($D611-$I$589)*MIN(J$3-$O$2,$Q$2)/$Q$2))</f>
        <v>4297.0802079823</v>
      </c>
      <c r="K611" s="15" t="n">
        <f aca="false">J611*(1+IF(K$3&lt;=$O$2,$D611,$D611-($D611-$I$589)*MIN(K$3-$O$2,$Q$2)/$Q$2))</f>
        <v>4565.51792176451</v>
      </c>
      <c r="L611" s="15" t="n">
        <f aca="false">K611*(1+IF(L$3&lt;=$O$2,$D611,$D611-($D611-$I$589)*MIN(L$3-$O$2,$Q$2)/$Q$2))</f>
        <v>4783.50555599614</v>
      </c>
      <c r="M611" s="15" t="n">
        <f aca="false">L611*(1+IF(M$3&lt;=$O$2,$D611,$D611-($D611-$I$589)*MIN(M$3-$O$2,$Q$2)/$Q$2))</f>
        <v>4941.47252540814</v>
      </c>
      <c r="N611" s="15" t="n">
        <f aca="false">M611*(1+IF(N$3&lt;=$O$2,$D611,$D611-($D611-$I$589)*MIN(N$3-$O$2,$Q$2)/$Q$2))</f>
        <v>5031.90147262311</v>
      </c>
      <c r="O611" s="15" t="n">
        <f aca="false">SUMPRODUCT(E611:N611,1/(1+$F$589)^$E$3:$N$3)*$E$2</f>
        <v>4622.2429056438</v>
      </c>
      <c r="P611" s="15" t="n">
        <f aca="false">N611*$E$2*(1+$I$589)/($F$589-$I$589)/(1+$F$589)^$N$3</f>
        <v>4423.94590533413</v>
      </c>
      <c r="Q611" s="15" t="n">
        <f aca="false">O611+P611</f>
        <v>9046.18881097792</v>
      </c>
      <c r="R611" s="15" t="n">
        <f aca="false">Q611-$G$2+$I$2</f>
        <v>7669.98881097792</v>
      </c>
      <c r="S611" s="42" t="n">
        <f aca="false">R611/$K$2</f>
        <v>204.478507357449</v>
      </c>
      <c r="T611" s="43" t="n">
        <f aca="false">S611-$M$2</f>
        <v>-0.000298294376847252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0.0919163227081299</v>
      </c>
      <c r="C612" s="25" t="n">
        <f aca="false">IF(T611&gt;0,D611,C611)</f>
        <v>0.0919170379638672</v>
      </c>
      <c r="D612" s="41" t="n">
        <f aca="false">(B612+C612)/2</f>
        <v>0.0919166803359985</v>
      </c>
      <c r="E612" s="15" t="n">
        <f aca="false">$C$2*(1+IF(E$3&lt;=$O$2,$D612,$D612-($D612-$I$589)*MIN(E$3-$O$2,$Q$2)/$Q$2))</f>
        <v>2806.22586846352</v>
      </c>
      <c r="F612" s="15" t="n">
        <f aca="false">E612*(1+IF(F$3&lt;=$O$2,$D612,$D612-($D612-$I$589)*MIN(F$3-$O$2,$Q$2)/$Q$2))</f>
        <v>3064.16483456569</v>
      </c>
      <c r="G612" s="15" t="n">
        <f aca="false">F612*(1+IF(G$3&lt;=$O$2,$D612,$D612-($D612-$I$589)*MIN(G$3-$O$2,$Q$2)/$Q$2))</f>
        <v>3345.81269416127</v>
      </c>
      <c r="H612" s="15" t="n">
        <f aca="false">G612*(1+IF(H$3&lt;=$O$2,$D612,$D612-($D612-$I$589)*MIN(H$3-$O$2,$Q$2)/$Q$2))</f>
        <v>3653.34869003462</v>
      </c>
      <c r="I612" s="15" t="n">
        <f aca="false">H612*(1+IF(I$3&lt;=$O$2,$D612,$D612-($D612-$I$589)*MIN(I$3-$O$2,$Q$2)/$Q$2))</f>
        <v>3989.15237373247</v>
      </c>
      <c r="J612" s="15" t="n">
        <f aca="false">I612*(1+IF(J$3&lt;=$O$2,$D612,$D612-($D612-$I$589)*MIN(J$3-$O$2,$Q$2)/$Q$2))</f>
        <v>4297.08838625869</v>
      </c>
      <c r="K612" s="15" t="n">
        <f aca="false">J612*(1+IF(K$3&lt;=$O$2,$D612,$D612-($D612-$I$589)*MIN(K$3-$O$2,$Q$2)/$Q$2))</f>
        <v>4565.52753299127</v>
      </c>
      <c r="L612" s="15" t="n">
        <f aca="false">K612*(1+IF(L$3&lt;=$O$2,$D612,$D612-($D612-$I$589)*MIN(L$3-$O$2,$Q$2)/$Q$2))</f>
        <v>4783.51627922958</v>
      </c>
      <c r="M612" s="15" t="n">
        <f aca="false">L612*(1+IF(M$3&lt;=$O$2,$D612,$D612-($D612-$I$589)*MIN(M$3-$O$2,$Q$2)/$Q$2))</f>
        <v>4941.4839449015</v>
      </c>
      <c r="N612" s="15" t="n">
        <f aca="false">M612*(1+IF(N$3&lt;=$O$2,$D612,$D612-($D612-$I$589)*MIN(N$3-$O$2,$Q$2)/$Q$2))</f>
        <v>5031.9131010932</v>
      </c>
      <c r="O612" s="15" t="n">
        <f aca="false">SUMPRODUCT(E612:N612,1/(1+$F$589)^$E$3:$N$3)*$E$2</f>
        <v>4622.24995443412</v>
      </c>
      <c r="P612" s="15" t="n">
        <f aca="false">N612*$E$2*(1+$I$589)/($F$589-$I$589)/(1+$F$589)^$N$3</f>
        <v>4423.95612884961</v>
      </c>
      <c r="Q612" s="15" t="n">
        <f aca="false">O612+P612</f>
        <v>9046.20608328373</v>
      </c>
      <c r="R612" s="15" t="n">
        <f aca="false">Q612-$G$2+$I$2</f>
        <v>7670.00608328373</v>
      </c>
      <c r="S612" s="42" t="n">
        <f aca="false">R612/$K$2</f>
        <v>204.478967829478</v>
      </c>
      <c r="T612" s="43" t="n">
        <f aca="false">S612-$M$2</f>
        <v>0.000162177652214268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0.0919163227081299</v>
      </c>
      <c r="C613" s="25" t="n">
        <f aca="false">IF(T612&gt;0,D612,C612)</f>
        <v>0.0919166803359985</v>
      </c>
      <c r="D613" s="41" t="n">
        <f aca="false">(B613+C613)/2</f>
        <v>0.0919165015220642</v>
      </c>
      <c r="E613" s="15" t="n">
        <f aca="false">$C$2*(1+IF(E$3&lt;=$O$2,$D613,$D613-($D613-$I$589)*MIN(E$3-$O$2,$Q$2)/$Q$2))</f>
        <v>2806.22540891171</v>
      </c>
      <c r="F613" s="15" t="n">
        <f aca="false">E613*(1+IF(F$3&lt;=$O$2,$D613,$D613-($D613-$I$589)*MIN(F$3-$O$2,$Q$2)/$Q$2))</f>
        <v>3064.16383098119</v>
      </c>
      <c r="G613" s="15" t="n">
        <f aca="false">F613*(1+IF(G$3&lt;=$O$2,$D613,$D613-($D613-$I$589)*MIN(G$3-$O$2,$Q$2)/$Q$2))</f>
        <v>3345.81105041543</v>
      </c>
      <c r="H613" s="15" t="n">
        <f aca="false">G613*(1+IF(H$3&lt;=$O$2,$D613,$D613-($D613-$I$589)*MIN(H$3-$O$2,$Q$2)/$Q$2))</f>
        <v>3653.34629692348</v>
      </c>
      <c r="I613" s="15" t="n">
        <f aca="false">H613*(1+IF(I$3&lt;=$O$2,$D613,$D613-($D613-$I$589)*MIN(I$3-$O$2,$Q$2)/$Q$2))</f>
        <v>3989.14910738527</v>
      </c>
      <c r="J613" s="15" t="n">
        <f aca="false">I613*(1+IF(J$3&lt;=$O$2,$D613,$D613-($D613-$I$589)*MIN(J$3-$O$2,$Q$2)/$Q$2))</f>
        <v>4297.08429711888</v>
      </c>
      <c r="K613" s="15" t="n">
        <f aca="false">J613*(1+IF(K$3&lt;=$O$2,$D613,$D613-($D613-$I$589)*MIN(K$3-$O$2,$Q$2)/$Q$2))</f>
        <v>4565.52272737573</v>
      </c>
      <c r="L613" s="15" t="n">
        <f aca="false">K613*(1+IF(L$3&lt;=$O$2,$D613,$D613-($D613-$I$589)*MIN(L$3-$O$2,$Q$2)/$Q$2))</f>
        <v>4783.51091761025</v>
      </c>
      <c r="M613" s="15" t="n">
        <f aca="false">L613*(1+IF(M$3&lt;=$O$2,$D613,$D613-($D613-$I$589)*MIN(M$3-$O$2,$Q$2)/$Q$2))</f>
        <v>4941.47823515193</v>
      </c>
      <c r="N613" s="15" t="n">
        <f aca="false">M613*(1+IF(N$3&lt;=$O$2,$D613,$D613-($D613-$I$589)*MIN(N$3-$O$2,$Q$2)/$Q$2))</f>
        <v>5031.90728685522</v>
      </c>
      <c r="O613" s="15" t="n">
        <f aca="false">SUMPRODUCT(E613:N613,1/(1+$F$589)^$E$3:$N$3)*$E$2</f>
        <v>4622.24643003761</v>
      </c>
      <c r="P613" s="15" t="n">
        <f aca="false">N613*$E$2*(1+$I$589)/($F$589-$I$589)/(1+$F$589)^$N$3</f>
        <v>4423.95101708928</v>
      </c>
      <c r="Q613" s="15" t="n">
        <f aca="false">O613+P613</f>
        <v>9046.1974471269</v>
      </c>
      <c r="R613" s="15" t="n">
        <f aca="false">Q613-$G$2+$I$2</f>
        <v>7669.9974471269</v>
      </c>
      <c r="S613" s="42" t="n">
        <f aca="false">R613/$K$2</f>
        <v>204.478737593359</v>
      </c>
      <c r="T613" s="43" t="n">
        <f aca="false">S613-$M$2</f>
        <v>-6.80584670931239E-005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0.0919165015220642</v>
      </c>
      <c r="C614" s="25" t="n">
        <f aca="false">IF(T613&gt;0,D613,C613)</f>
        <v>0.0919166803359985</v>
      </c>
      <c r="D614" s="41" t="n">
        <f aca="false">(B614+C614)/2</f>
        <v>0.0919165909290314</v>
      </c>
      <c r="E614" s="15" t="n">
        <f aca="false">$C$2*(1+IF(E$3&lt;=$O$2,$D614,$D614-($D614-$I$589)*MIN(E$3-$O$2,$Q$2)/$Q$2))</f>
        <v>2806.22563868761</v>
      </c>
      <c r="F614" s="15" t="n">
        <f aca="false">E614*(1+IF(F$3&lt;=$O$2,$D614,$D614-($D614-$I$589)*MIN(F$3-$O$2,$Q$2)/$Q$2))</f>
        <v>3064.16433277342</v>
      </c>
      <c r="G614" s="15" t="n">
        <f aca="false">F614*(1+IF(G$3&lt;=$O$2,$D614,$D614-($D614-$I$589)*MIN(G$3-$O$2,$Q$2)/$Q$2))</f>
        <v>3345.81187228828</v>
      </c>
      <c r="H614" s="15" t="n">
        <f aca="false">G614*(1+IF(H$3&lt;=$O$2,$D614,$D614-($D614-$I$589)*MIN(H$3-$O$2,$Q$2)/$Q$2))</f>
        <v>3653.3474934789</v>
      </c>
      <c r="I614" s="15" t="n">
        <f aca="false">H614*(1+IF(I$3&lt;=$O$2,$D614,$D614-($D614-$I$589)*MIN(I$3-$O$2,$Q$2)/$Q$2))</f>
        <v>3989.1507405586</v>
      </c>
      <c r="J614" s="15" t="n">
        <f aca="false">I614*(1+IF(J$3&lt;=$O$2,$D614,$D614-($D614-$I$589)*MIN(J$3-$O$2,$Q$2)/$Q$2))</f>
        <v>4297.08634168838</v>
      </c>
      <c r="K614" s="15" t="n">
        <f aca="false">J614*(1+IF(K$3&lt;=$O$2,$D614,$D614-($D614-$I$589)*MIN(K$3-$O$2,$Q$2)/$Q$2))</f>
        <v>4565.52513018296</v>
      </c>
      <c r="L614" s="15" t="n">
        <f aca="false">K614*(1+IF(L$3&lt;=$O$2,$D614,$D614-($D614-$I$589)*MIN(L$3-$O$2,$Q$2)/$Q$2))</f>
        <v>4783.51359841927</v>
      </c>
      <c r="M614" s="15" t="n">
        <f aca="false">L614*(1+IF(M$3&lt;=$O$2,$D614,$D614-($D614-$I$589)*MIN(M$3-$O$2,$Q$2)/$Q$2))</f>
        <v>4941.481090026</v>
      </c>
      <c r="N614" s="15" t="n">
        <f aca="false">M614*(1+IF(N$3&lt;=$O$2,$D614,$D614-($D614-$I$589)*MIN(N$3-$O$2,$Q$2)/$Q$2))</f>
        <v>5031.91019397347</v>
      </c>
      <c r="O614" s="15" t="n">
        <f aca="false">SUMPRODUCT(E614:N614,1/(1+$F$589)^$E$3:$N$3)*$E$2</f>
        <v>4622.24819223553</v>
      </c>
      <c r="P614" s="15" t="n">
        <f aca="false">N614*$E$2*(1+$I$589)/($F$589-$I$589)/(1+$F$589)^$N$3</f>
        <v>4423.9535729688</v>
      </c>
      <c r="Q614" s="15" t="n">
        <f aca="false">O614+P614</f>
        <v>9046.20176520433</v>
      </c>
      <c r="R614" s="15" t="n">
        <f aca="false">Q614-$G$2+$I$2</f>
        <v>7670.00176520433</v>
      </c>
      <c r="S614" s="42" t="n">
        <f aca="false">R614/$K$2</f>
        <v>204.478852711393</v>
      </c>
      <c r="T614" s="43" t="n">
        <f aca="false">S614-$M$2</f>
        <v>4.70595664125995E-005</v>
      </c>
    </row>
    <row r="616" customFormat="false" ht="15" hidden="false" customHeight="false" outlineLevel="0" collapsed="false">
      <c r="A616" s="38" t="s">
        <v>203</v>
      </c>
      <c r="E616" s="5" t="s">
        <v>11</v>
      </c>
      <c r="F616" s="12" t="n">
        <f aca="false">Sensitivity!$B$14</f>
        <v>0.104183337553844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162</v>
      </c>
      <c r="B617" s="28" t="s">
        <v>163</v>
      </c>
      <c r="C617" s="28" t="s">
        <v>164</v>
      </c>
      <c r="D617" s="28" t="s">
        <v>165</v>
      </c>
      <c r="E617" s="28" t="s">
        <v>166</v>
      </c>
      <c r="F617" s="28" t="s">
        <v>167</v>
      </c>
      <c r="G617" s="28" t="s">
        <v>168</v>
      </c>
      <c r="H617" s="28" t="s">
        <v>169</v>
      </c>
      <c r="I617" s="28" t="s">
        <v>170</v>
      </c>
      <c r="J617" s="28" t="s">
        <v>171</v>
      </c>
      <c r="K617" s="28" t="s">
        <v>172</v>
      </c>
      <c r="L617" s="28" t="s">
        <v>173</v>
      </c>
      <c r="M617" s="28" t="s">
        <v>174</v>
      </c>
      <c r="N617" s="28" t="s">
        <v>175</v>
      </c>
      <c r="O617" s="28" t="s">
        <v>176</v>
      </c>
      <c r="P617" s="28" t="s">
        <v>177</v>
      </c>
      <c r="Q617" s="28" t="s">
        <v>178</v>
      </c>
      <c r="R617" s="28" t="s">
        <v>179</v>
      </c>
      <c r="S617" s="28" t="s">
        <v>180</v>
      </c>
      <c r="T617" s="28" t="s">
        <v>181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3212.5</v>
      </c>
      <c r="F618" s="15" t="n">
        <f aca="false">E618*(1+IF(F$3&lt;=$O$2,$D618,$D618-($D618-$I$616)*MIN(F$3-$O$2,$Q$2)/$Q$2))</f>
        <v>4015.625</v>
      </c>
      <c r="G618" s="15" t="n">
        <f aca="false">F618*(1+IF(G$3&lt;=$O$2,$D618,$D618-($D618-$I$616)*MIN(G$3-$O$2,$Q$2)/$Q$2))</f>
        <v>5019.53125</v>
      </c>
      <c r="H618" s="15" t="n">
        <f aca="false">G618*(1+IF(H$3&lt;=$O$2,$D618,$D618-($D618-$I$616)*MIN(H$3-$O$2,$Q$2)/$Q$2))</f>
        <v>6274.4140625</v>
      </c>
      <c r="I618" s="15" t="n">
        <f aca="false">H618*(1+IF(I$3&lt;=$O$2,$D618,$D618-($D618-$I$616)*MIN(I$3-$O$2,$Q$2)/$Q$2))</f>
        <v>7843.017578125</v>
      </c>
      <c r="J618" s="15" t="n">
        <f aca="false">I618*(1+IF(J$3&lt;=$O$2,$D618,$D618-($D618-$I$616)*MIN(J$3-$O$2,$Q$2)/$Q$2))</f>
        <v>9448.16955566406</v>
      </c>
      <c r="K618" s="15" t="n">
        <f aca="false">J618*(1+IF(K$3&lt;=$O$2,$D618,$D618-($D618-$I$616)*MIN(K$3-$O$2,$Q$2)/$Q$2))</f>
        <v>10953.4519292725</v>
      </c>
      <c r="L618" s="15" t="n">
        <f aca="false">K618*(1+IF(L$3&lt;=$O$2,$D618,$D618-($D618-$I$616)*MIN(L$3-$O$2,$Q$2)/$Q$2))</f>
        <v>12201.9263801709</v>
      </c>
      <c r="M618" s="15" t="n">
        <f aca="false">L618*(1+IF(M$3&lt;=$O$2,$D618,$D618-($D618-$I$616)*MIN(M$3-$O$2,$Q$2)/$Q$2))</f>
        <v>13039.4666069059</v>
      </c>
      <c r="N618" s="15" t="n">
        <f aca="false">M618*(1+IF(N$3&lt;=$O$2,$D618,$D618-($D618-$I$616)*MIN(N$3-$O$2,$Q$2)/$Q$2))</f>
        <v>13343.2861788468</v>
      </c>
      <c r="O618" s="15" t="n">
        <f aca="false">SUMPRODUCT(E618:N618,1/(1+$F$616)^$E$3:$N$3)*$E$2</f>
        <v>9076.70143783724</v>
      </c>
      <c r="P618" s="15" t="n">
        <f aca="false">N618*$E$2*(1+$I$616)/($F$616-$I$616)/(1+$F$616)^$N$3</f>
        <v>12517.4988424693</v>
      </c>
      <c r="Q618" s="15" t="n">
        <f aca="false">O618+P618</f>
        <v>21594.2002803065</v>
      </c>
      <c r="R618" s="15" t="n">
        <f aca="false">Q618-$G$2+$I$2</f>
        <v>20218.0002803065</v>
      </c>
      <c r="S618" s="42" t="n">
        <f aca="false">R618/$K$2</f>
        <v>539.002940024168</v>
      </c>
      <c r="T618" s="43" t="n">
        <f aca="false">S618-$M$2</f>
        <v>334.524134372342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2248.75</v>
      </c>
      <c r="F619" s="15" t="n">
        <f aca="false">E619*(1+IF(F$3&lt;=$O$2,$D619,$D619-($D619-$I$616)*MIN(F$3-$O$2,$Q$2)/$Q$2))</f>
        <v>1967.65625</v>
      </c>
      <c r="G619" s="15" t="n">
        <f aca="false">F619*(1+IF(G$3&lt;=$O$2,$D619,$D619-($D619-$I$616)*MIN(G$3-$O$2,$Q$2)/$Q$2))</f>
        <v>1721.69921875</v>
      </c>
      <c r="H619" s="15" t="n">
        <f aca="false">G619*(1+IF(H$3&lt;=$O$2,$D619,$D619-($D619-$I$616)*MIN(H$3-$O$2,$Q$2)/$Q$2))</f>
        <v>1506.48681640625</v>
      </c>
      <c r="I619" s="15" t="n">
        <f aca="false">H619*(1+IF(I$3&lt;=$O$2,$D619,$D619-($D619-$I$616)*MIN(I$3-$O$2,$Q$2)/$Q$2))</f>
        <v>1318.17596435547</v>
      </c>
      <c r="J619" s="15" t="n">
        <f aca="false">I619*(1+IF(J$3&lt;=$O$2,$D619,$D619-($D619-$I$616)*MIN(J$3-$O$2,$Q$2)/$Q$2))</f>
        <v>1192.50106791382</v>
      </c>
      <c r="K619" s="15" t="n">
        <f aca="false">J619*(1+IF(K$3&lt;=$O$2,$D619,$D619-($D619-$I$616)*MIN(K$3-$O$2,$Q$2)/$Q$2))</f>
        <v>1114.17759777324</v>
      </c>
      <c r="L619" s="15" t="n">
        <f aca="false">K619*(1+IF(L$3&lt;=$O$2,$D619,$D619-($D619-$I$616)*MIN(L$3-$O$2,$Q$2)/$Q$2))</f>
        <v>1074.04492070145</v>
      </c>
      <c r="M619" s="15" t="n">
        <f aca="false">L619*(1+IF(M$3&lt;=$O$2,$D619,$D619-($D619-$I$616)*MIN(M$3-$O$2,$Q$2)/$Q$2))</f>
        <v>1067.21399500579</v>
      </c>
      <c r="N619" s="15" t="n">
        <f aca="false">M619*(1+IF(N$3&lt;=$O$2,$D619,$D619-($D619-$I$616)*MIN(N$3-$O$2,$Q$2)/$Q$2))</f>
        <v>1092.08008108942</v>
      </c>
      <c r="O619" s="15" t="n">
        <f aca="false">SUMPRODUCT(E619:N619,1/(1+$F$616)^$E$3:$N$3)*$E$2</f>
        <v>1855.71788461754</v>
      </c>
      <c r="P619" s="15" t="n">
        <f aca="false">N619*$E$2*(1+$I$616)/($F$616-$I$616)/(1+$F$616)^$N$3</f>
        <v>1024.49358933723</v>
      </c>
      <c r="Q619" s="15" t="n">
        <f aca="false">O619+P619</f>
        <v>2880.21147395477</v>
      </c>
      <c r="R619" s="15" t="n">
        <f aca="false">Q619-$G$2+$I$2</f>
        <v>1504.01147395477</v>
      </c>
      <c r="S619" s="42" t="n">
        <f aca="false">R619/$K$2</f>
        <v>40.0962802973813</v>
      </c>
      <c r="T619" s="43" t="n">
        <f aca="false">S619-$M$2</f>
        <v>-164.382525354445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2730.625</v>
      </c>
      <c r="F620" s="15" t="n">
        <f aca="false">E620*(1+IF(F$3&lt;=$O$2,$D620,$D620-($D620-$I$616)*MIN(F$3-$O$2,$Q$2)/$Q$2))</f>
        <v>2901.2890625</v>
      </c>
      <c r="G620" s="15" t="n">
        <f aca="false">F620*(1+IF(G$3&lt;=$O$2,$D620,$D620-($D620-$I$616)*MIN(G$3-$O$2,$Q$2)/$Q$2))</f>
        <v>3082.61962890625</v>
      </c>
      <c r="H620" s="15" t="n">
        <f aca="false">G620*(1+IF(H$3&lt;=$O$2,$D620,$D620-($D620-$I$616)*MIN(H$3-$O$2,$Q$2)/$Q$2))</f>
        <v>3275.28335571289</v>
      </c>
      <c r="I620" s="15" t="n">
        <f aca="false">H620*(1+IF(I$3&lt;=$O$2,$D620,$D620-($D620-$I$616)*MIN(I$3-$O$2,$Q$2)/$Q$2))</f>
        <v>3479.98856544495</v>
      </c>
      <c r="J620" s="15" t="n">
        <f aca="false">I620*(1+IF(J$3&lt;=$O$2,$D620,$D620-($D620-$I$616)*MIN(J$3-$O$2,$Q$2)/$Q$2))</f>
        <v>3670.20474043217</v>
      </c>
      <c r="K620" s="15" t="n">
        <f aca="false">J620*(1+IF(K$3&lt;=$O$2,$D620,$D620-($D620-$I$616)*MIN(K$3-$O$2,$Q$2)/$Q$2))</f>
        <v>3842.0437263792</v>
      </c>
      <c r="L620" s="15" t="n">
        <f aca="false">K620*(1+IF(L$3&lt;=$O$2,$D620,$D620-($D620-$I$616)*MIN(L$3-$O$2,$Q$2)/$Q$2))</f>
        <v>3991.80659083346</v>
      </c>
      <c r="M620" s="15" t="n">
        <f aca="false">L620*(1+IF(M$3&lt;=$O$2,$D620,$D620-($D620-$I$616)*MIN(M$3-$O$2,$Q$2)/$Q$2))</f>
        <v>4116.11144807202</v>
      </c>
      <c r="N620" s="15" t="n">
        <f aca="false">M620*(1+IF(N$3&lt;=$O$2,$D620,$D620-($D620-$I$616)*MIN(N$3-$O$2,$Q$2)/$Q$2))</f>
        <v>4212.0168448121</v>
      </c>
      <c r="O620" s="15" t="n">
        <f aca="false">SUMPRODUCT(E620:N620,1/(1+$F$616)^$E$3:$N$3)*$E$2</f>
        <v>4088.78884509375</v>
      </c>
      <c r="P620" s="15" t="n">
        <f aca="false">N620*$E$2*(1+$I$616)/($F$616-$I$616)/(1+$F$616)^$N$3</f>
        <v>3951.3441646017</v>
      </c>
      <c r="Q620" s="15" t="n">
        <f aca="false">O620+P620</f>
        <v>8040.13300969545</v>
      </c>
      <c r="R620" s="15" t="n">
        <f aca="false">Q620-$G$2+$I$2</f>
        <v>6663.93300969545</v>
      </c>
      <c r="S620" s="42" t="n">
        <f aca="false">R620/$K$2</f>
        <v>177.657504923899</v>
      </c>
      <c r="T620" s="43" t="n">
        <f aca="false">S620-$M$2</f>
        <v>-26.8213007279271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2971.5625</v>
      </c>
      <c r="F621" s="15" t="n">
        <f aca="false">E621*(1+IF(F$3&lt;=$O$2,$D621,$D621-($D621-$I$616)*MIN(F$3-$O$2,$Q$2)/$Q$2))</f>
        <v>3435.869140625</v>
      </c>
      <c r="G621" s="15" t="n">
        <f aca="false">F621*(1+IF(G$3&lt;=$O$2,$D621,$D621-($D621-$I$616)*MIN(G$3-$O$2,$Q$2)/$Q$2))</f>
        <v>3972.72369384766</v>
      </c>
      <c r="H621" s="15" t="n">
        <f aca="false">G621*(1+IF(H$3&lt;=$O$2,$D621,$D621-($D621-$I$616)*MIN(H$3-$O$2,$Q$2)/$Q$2))</f>
        <v>4593.46177101135</v>
      </c>
      <c r="I621" s="15" t="n">
        <f aca="false">H621*(1+IF(I$3&lt;=$O$2,$D621,$D621-($D621-$I$616)*MIN(I$3-$O$2,$Q$2)/$Q$2))</f>
        <v>5311.19017273188</v>
      </c>
      <c r="J621" s="15" t="n">
        <f aca="false">I621*(1+IF(J$3&lt;=$O$2,$D621,$D621-($D621-$I$616)*MIN(J$3-$O$2,$Q$2)/$Q$2))</f>
        <v>5999.83909052829</v>
      </c>
      <c r="K621" s="15" t="n">
        <f aca="false">J621*(1+IF(K$3&lt;=$O$2,$D621,$D621-($D621-$I$616)*MIN(K$3-$O$2,$Q$2)/$Q$2))</f>
        <v>6618.24250558904</v>
      </c>
      <c r="L621" s="15" t="n">
        <f aca="false">K621*(1+IF(L$3&lt;=$O$2,$D621,$D621-($D621-$I$616)*MIN(L$3-$O$2,$Q$2)/$Q$2))</f>
        <v>7124.40569241649</v>
      </c>
      <c r="M621" s="15" t="n">
        <f aca="false">L621*(1+IF(M$3&lt;=$O$2,$D621,$D621-($D621-$I$616)*MIN(M$3-$O$2,$Q$2)/$Q$2))</f>
        <v>7479.84229241115</v>
      </c>
      <c r="N621" s="15" t="n">
        <f aca="false">M621*(1+IF(N$3&lt;=$O$2,$D621,$D621-($D621-$I$616)*MIN(N$3-$O$2,$Q$2)/$Q$2))</f>
        <v>7654.12261782433</v>
      </c>
      <c r="O621" s="15" t="n">
        <f aca="false">SUMPRODUCT(E621:N621,1/(1+$F$616)^$E$3:$N$3)*$E$2</f>
        <v>6099.81959361901</v>
      </c>
      <c r="P621" s="15" t="n">
        <f aca="false">N621*$E$2*(1+$I$616)/($F$616-$I$616)/(1+$F$616)^$N$3</f>
        <v>7180.42540079995</v>
      </c>
      <c r="Q621" s="15" t="n">
        <f aca="false">O621+P621</f>
        <v>13280.244994419</v>
      </c>
      <c r="R621" s="15" t="n">
        <f aca="false">Q621-$G$2+$I$2</f>
        <v>11904.044994419</v>
      </c>
      <c r="S621" s="42" t="n">
        <f aca="false">R621/$K$2</f>
        <v>317.356571432124</v>
      </c>
      <c r="T621" s="43" t="n">
        <f aca="false">S621-$M$2</f>
        <v>112.877765780297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41" t="n">
        <f aca="false">(B622+C622)/2</f>
        <v>0.109375</v>
      </c>
      <c r="E622" s="15" t="n">
        <f aca="false">$C$2*(1+IF(E$3&lt;=$O$2,$D622,$D622-($D622-$I$616)*MIN(E$3-$O$2,$Q$2)/$Q$2))</f>
        <v>2851.09375</v>
      </c>
      <c r="F622" s="15" t="n">
        <f aca="false">E622*(1+IF(F$3&lt;=$O$2,$D622,$D622-($D622-$I$616)*MIN(F$3-$O$2,$Q$2)/$Q$2))</f>
        <v>3162.93212890625</v>
      </c>
      <c r="G622" s="15" t="n">
        <f aca="false">F622*(1+IF(G$3&lt;=$O$2,$D622,$D622-($D622-$I$616)*MIN(G$3-$O$2,$Q$2)/$Q$2))</f>
        <v>3508.87783050537</v>
      </c>
      <c r="H622" s="15" t="n">
        <f aca="false">G622*(1+IF(H$3&lt;=$O$2,$D622,$D622-($D622-$I$616)*MIN(H$3-$O$2,$Q$2)/$Q$2))</f>
        <v>3892.6613432169</v>
      </c>
      <c r="I622" s="15" t="n">
        <f aca="false">H622*(1+IF(I$3&lt;=$O$2,$D622,$D622-($D622-$I$616)*MIN(I$3-$O$2,$Q$2)/$Q$2))</f>
        <v>4318.42117763124</v>
      </c>
      <c r="J622" s="15" t="n">
        <f aca="false">I622*(1+IF(J$3&lt;=$O$2,$D622,$D622-($D622-$I$616)*MIN(J$3-$O$2,$Q$2)/$Q$2))</f>
        <v>4716.40687336174</v>
      </c>
      <c r="K622" s="15" t="n">
        <f aca="false">J622*(1+IF(K$3&lt;=$O$2,$D622,$D622-($D622-$I$616)*MIN(K$3-$O$2,$Q$2)/$Q$2))</f>
        <v>5069.87798648584</v>
      </c>
      <c r="L622" s="15" t="n">
        <f aca="false">K622*(1+IF(L$3&lt;=$O$2,$D622,$D622-($D622-$I$616)*MIN(L$3-$O$2,$Q$2)/$Q$2))</f>
        <v>5362.56204264566</v>
      </c>
      <c r="M622" s="15" t="n">
        <f aca="false">L622*(1+IF(M$3&lt;=$O$2,$D622,$D622-($D622-$I$616)*MIN(M$3-$O$2,$Q$2)/$Q$2))</f>
        <v>5579.82624380345</v>
      </c>
      <c r="N622" s="15" t="n">
        <f aca="false">M622*(1+IF(N$3&lt;=$O$2,$D622,$D622-($D622-$I$616)*MIN(N$3-$O$2,$Q$2)/$Q$2))</f>
        <v>5709.83619528407</v>
      </c>
      <c r="O622" s="15" t="n">
        <f aca="false">SUMPRODUCT(E622:N622,1/(1+$F$616)^$E$3:$N$3)*$E$2</f>
        <v>4994.42824671633</v>
      </c>
      <c r="P622" s="15" t="n">
        <f aca="false">N622*$E$2*(1+$I$616)/($F$616-$I$616)/(1+$F$616)^$N$3</f>
        <v>5356.46669097634</v>
      </c>
      <c r="Q622" s="15" t="n">
        <f aca="false">O622+P622</f>
        <v>10350.8949376927</v>
      </c>
      <c r="R622" s="15" t="n">
        <f aca="false">Q622-$G$2+$I$2</f>
        <v>8974.69493769268</v>
      </c>
      <c r="S622" s="42" t="n">
        <f aca="false">R622/$K$2</f>
        <v>239.261395299725</v>
      </c>
      <c r="T622" s="43" t="n">
        <f aca="false">S622-$M$2</f>
        <v>34.7825896478987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0.0625</v>
      </c>
      <c r="C623" s="25" t="n">
        <f aca="false">IF(T622&gt;0,D622,C622)</f>
        <v>0.109375</v>
      </c>
      <c r="D623" s="41" t="n">
        <f aca="false">(B623+C623)/2</f>
        <v>0.0859375</v>
      </c>
      <c r="E623" s="15" t="n">
        <f aca="false">$C$2*(1+IF(E$3&lt;=$O$2,$D623,$D623-($D623-$I$616)*MIN(E$3-$O$2,$Q$2)/$Q$2))</f>
        <v>2790.859375</v>
      </c>
      <c r="F623" s="15" t="n">
        <f aca="false">E623*(1+IF(F$3&lt;=$O$2,$D623,$D623-($D623-$I$616)*MIN(F$3-$O$2,$Q$2)/$Q$2))</f>
        <v>3030.69885253906</v>
      </c>
      <c r="G623" s="15" t="n">
        <f aca="false">F623*(1+IF(G$3&lt;=$O$2,$D623,$D623-($D623-$I$616)*MIN(G$3-$O$2,$Q$2)/$Q$2))</f>
        <v>3291.14953517914</v>
      </c>
      <c r="H623" s="15" t="n">
        <f aca="false">G623*(1+IF(H$3&lt;=$O$2,$D623,$D623-($D623-$I$616)*MIN(H$3-$O$2,$Q$2)/$Q$2))</f>
        <v>3573.9826983586</v>
      </c>
      <c r="I623" s="15" t="n">
        <f aca="false">H623*(1+IF(I$3&lt;=$O$2,$D623,$D623-($D623-$I$616)*MIN(I$3-$O$2,$Q$2)/$Q$2))</f>
        <v>3881.12183649879</v>
      </c>
      <c r="J623" s="15" t="n">
        <f aca="false">I623*(1+IF(J$3&lt;=$O$2,$D623,$D623-($D623-$I$616)*MIN(J$3-$O$2,$Q$2)/$Q$2))</f>
        <v>4166.03499051616</v>
      </c>
      <c r="K623" s="15" t="n">
        <f aca="false">J623*(1+IF(K$3&lt;=$O$2,$D623,$D623-($D623-$I$616)*MIN(K$3-$O$2,$Q$2)/$Q$2))</f>
        <v>4419.67361582626</v>
      </c>
      <c r="L623" s="15" t="n">
        <f aca="false">K623*(1+IF(L$3&lt;=$O$2,$D623,$D623-($D623-$I$616)*MIN(L$3-$O$2,$Q$2)/$Q$2))</f>
        <v>4633.38693351954</v>
      </c>
      <c r="M623" s="15" t="n">
        <f aca="false">L623*(1+IF(M$3&lt;=$O$2,$D623,$D623-($D623-$I$616)*MIN(M$3-$O$2,$Q$2)/$Q$2))</f>
        <v>4799.38960388021</v>
      </c>
      <c r="N623" s="15" t="n">
        <f aca="false">M623*(1+IF(N$3&lt;=$O$2,$D623,$D623-($D623-$I$616)*MIN(N$3-$O$2,$Q$2)/$Q$2))</f>
        <v>4911.21538165062</v>
      </c>
      <c r="O623" s="15" t="n">
        <f aca="false">SUMPRODUCT(E623:N623,1/(1+$F$616)^$E$3:$N$3)*$E$2</f>
        <v>4518.90020204912</v>
      </c>
      <c r="P623" s="15" t="n">
        <f aca="false">N623*$E$2*(1+$I$616)/($F$616-$I$616)/(1+$F$616)^$N$3</f>
        <v>4607.27080502761</v>
      </c>
      <c r="Q623" s="15" t="n">
        <f aca="false">O623+P623</f>
        <v>9126.17100707673</v>
      </c>
      <c r="R623" s="15" t="n">
        <f aca="false">Q623-$G$2+$I$2</f>
        <v>7749.97100707673</v>
      </c>
      <c r="S623" s="42" t="n">
        <f aca="false">R623/$K$2</f>
        <v>206.61079730943</v>
      </c>
      <c r="T623" s="43" t="n">
        <f aca="false">S623-$M$2</f>
        <v>2.13199165760429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0.0625</v>
      </c>
      <c r="C624" s="25" t="n">
        <f aca="false">IF(T623&gt;0,D623,C623)</f>
        <v>0.0859375</v>
      </c>
      <c r="D624" s="41" t="n">
        <f aca="false">(B624+C624)/2</f>
        <v>0.07421875</v>
      </c>
      <c r="E624" s="15" t="n">
        <f aca="false">$C$2*(1+IF(E$3&lt;=$O$2,$D624,$D624-($D624-$I$616)*MIN(E$3-$O$2,$Q$2)/$Q$2))</f>
        <v>2760.7421875</v>
      </c>
      <c r="F624" s="15" t="n">
        <f aca="false">E624*(1+IF(F$3&lt;=$O$2,$D624,$D624-($D624-$I$616)*MIN(F$3-$O$2,$Q$2)/$Q$2))</f>
        <v>2965.64102172852</v>
      </c>
      <c r="G624" s="15" t="n">
        <f aca="false">F624*(1+IF(G$3&lt;=$O$2,$D624,$D624-($D624-$I$616)*MIN(G$3-$O$2,$Q$2)/$Q$2))</f>
        <v>3185.74719130993</v>
      </c>
      <c r="H624" s="15" t="n">
        <f aca="false">G624*(1+IF(H$3&lt;=$O$2,$D624,$D624-($D624-$I$616)*MIN(H$3-$O$2,$Q$2)/$Q$2))</f>
        <v>3422.18936566496</v>
      </c>
      <c r="I624" s="15" t="n">
        <f aca="false">H624*(1+IF(I$3&lt;=$O$2,$D624,$D624-($D624-$I$616)*MIN(I$3-$O$2,$Q$2)/$Q$2))</f>
        <v>3676.17998264791</v>
      </c>
      <c r="J624" s="15" t="n">
        <f aca="false">I624*(1+IF(J$3&lt;=$O$2,$D624,$D624-($D624-$I$616)*MIN(J$3-$O$2,$Q$2)/$Q$2))</f>
        <v>3911.58416783677</v>
      </c>
      <c r="K624" s="15" t="n">
        <f aca="false">J624*(1+IF(K$3&lt;=$O$2,$D624,$D624-($D624-$I$616)*MIN(K$3-$O$2,$Q$2)/$Q$2))</f>
        <v>4122.22786475499</v>
      </c>
      <c r="L624" s="15" t="n">
        <f aca="false">K624*(1+IF(L$3&lt;=$O$2,$D624,$D624-($D624-$I$616)*MIN(L$3-$O$2,$Q$2)/$Q$2))</f>
        <v>4302.23525003918</v>
      </c>
      <c r="M624" s="15" t="n">
        <f aca="false">L624*(1+IF(M$3&lt;=$O$2,$D624,$D624-($D624-$I$616)*MIN(M$3-$O$2,$Q$2)/$Q$2))</f>
        <v>4446.29021959267</v>
      </c>
      <c r="N624" s="15" t="n">
        <f aca="false">M624*(1+IF(N$3&lt;=$O$2,$D624,$D624-($D624-$I$616)*MIN(N$3-$O$2,$Q$2)/$Q$2))</f>
        <v>4549.88878170918</v>
      </c>
      <c r="O624" s="15" t="n">
        <f aca="false">SUMPRODUCT(E624:N624,1/(1+$F$616)^$E$3:$N$3)*$E$2</f>
        <v>4298.43044780837</v>
      </c>
      <c r="P624" s="15" t="n">
        <f aca="false">N624*$E$2*(1+$I$616)/($F$616-$I$616)/(1+$F$616)^$N$3</f>
        <v>4268.30593266427</v>
      </c>
      <c r="Q624" s="15" t="n">
        <f aca="false">O624+P624</f>
        <v>8566.73638047264</v>
      </c>
      <c r="R624" s="15" t="n">
        <f aca="false">Q624-$G$2+$I$2</f>
        <v>7190.53638047264</v>
      </c>
      <c r="S624" s="42" t="n">
        <f aca="false">R624/$K$2</f>
        <v>191.696517741206</v>
      </c>
      <c r="T624" s="43" t="n">
        <f aca="false">S624-$M$2</f>
        <v>-12.7822879106199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0.07421875</v>
      </c>
      <c r="C625" s="25" t="n">
        <f aca="false">IF(T624&gt;0,D624,C624)</f>
        <v>0.0859375</v>
      </c>
      <c r="D625" s="41" t="n">
        <f aca="false">(B625+C625)/2</f>
        <v>0.080078125</v>
      </c>
      <c r="E625" s="15" t="n">
        <f aca="false">$C$2*(1+IF(E$3&lt;=$O$2,$D625,$D625-($D625-$I$616)*MIN(E$3-$O$2,$Q$2)/$Q$2))</f>
        <v>2775.80078125</v>
      </c>
      <c r="F625" s="15" t="n">
        <f aca="false">E625*(1+IF(F$3&lt;=$O$2,$D625,$D625-($D625-$I$616)*MIN(F$3-$O$2,$Q$2)/$Q$2))</f>
        <v>2998.08170318604</v>
      </c>
      <c r="G625" s="15" t="n">
        <f aca="false">F625*(1+IF(G$3&lt;=$O$2,$D625,$D625-($D625-$I$616)*MIN(G$3-$O$2,$Q$2)/$Q$2))</f>
        <v>3238.16246457398</v>
      </c>
      <c r="H625" s="15" t="n">
        <f aca="false">G625*(1+IF(H$3&lt;=$O$2,$D625,$D625-($D625-$I$616)*MIN(H$3-$O$2,$Q$2)/$Q$2))</f>
        <v>3497.46844318244</v>
      </c>
      <c r="I625" s="15" t="n">
        <f aca="false">H625*(1+IF(I$3&lt;=$O$2,$D625,$D625-($D625-$I$616)*MIN(I$3-$O$2,$Q$2)/$Q$2))</f>
        <v>3777.53915835916</v>
      </c>
      <c r="J625" s="15" t="n">
        <f aca="false">I625*(1+IF(J$3&lt;=$O$2,$D625,$D625-($D625-$I$616)*MIN(J$3-$O$2,$Q$2)/$Q$2))</f>
        <v>4037.1410931695</v>
      </c>
      <c r="K625" s="15" t="n">
        <f aca="false">J625*(1+IF(K$3&lt;=$O$2,$D625,$D625-($D625-$I$616)*MIN(K$3-$O$2,$Q$2)/$Q$2))</f>
        <v>4268.73926161872</v>
      </c>
      <c r="L625" s="15" t="n">
        <f aca="false">K625*(1+IF(L$3&lt;=$O$2,$D625,$D625-($D625-$I$616)*MIN(L$3-$O$2,$Q$2)/$Q$2))</f>
        <v>4465.14929096987</v>
      </c>
      <c r="M625" s="15" t="n">
        <f aca="false">L625*(1+IF(M$3&lt;=$O$2,$D625,$D625-($D625-$I$616)*MIN(M$3-$O$2,$Q$2)/$Q$2))</f>
        <v>4619.89183036674</v>
      </c>
      <c r="N625" s="15" t="n">
        <f aca="false">M625*(1+IF(N$3&lt;=$O$2,$D625,$D625-($D625-$I$616)*MIN(N$3-$O$2,$Q$2)/$Q$2))</f>
        <v>4727.53531001429</v>
      </c>
      <c r="O625" s="15" t="n">
        <f aca="false">SUMPRODUCT(E625:N625,1/(1+$F$616)^$E$3:$N$3)*$E$2</f>
        <v>4407.27976580068</v>
      </c>
      <c r="P625" s="15" t="n">
        <f aca="false">N625*$E$2*(1+$I$616)/($F$616-$I$616)/(1+$F$616)^$N$3</f>
        <v>4434.95829870233</v>
      </c>
      <c r="Q625" s="15" t="n">
        <f aca="false">O625+P625</f>
        <v>8842.23806450302</v>
      </c>
      <c r="R625" s="15" t="n">
        <f aca="false">Q625-$G$2+$I$2</f>
        <v>7466.03806450302</v>
      </c>
      <c r="S625" s="42" t="n">
        <f aca="false">R625/$K$2</f>
        <v>199.041270714557</v>
      </c>
      <c r="T625" s="43" t="n">
        <f aca="false">S625-$M$2</f>
        <v>-5.43753493726956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0.080078125</v>
      </c>
      <c r="C626" s="25" t="n">
        <f aca="false">IF(T625&gt;0,D625,C625)</f>
        <v>0.0859375</v>
      </c>
      <c r="D626" s="41" t="n">
        <f aca="false">(B626+C626)/2</f>
        <v>0.0830078125</v>
      </c>
      <c r="E626" s="15" t="n">
        <f aca="false">$C$2*(1+IF(E$3&lt;=$O$2,$D626,$D626-($D626-$I$616)*MIN(E$3-$O$2,$Q$2)/$Q$2))</f>
        <v>2783.330078125</v>
      </c>
      <c r="F626" s="15" t="n">
        <f aca="false">E626*(1+IF(F$3&lt;=$O$2,$D626,$D626-($D626-$I$616)*MIN(F$3-$O$2,$Q$2)/$Q$2))</f>
        <v>3014.36821937561</v>
      </c>
      <c r="G626" s="15" t="n">
        <f aca="false">F626*(1+IF(G$3&lt;=$O$2,$D626,$D626-($D626-$I$616)*MIN(G$3-$O$2,$Q$2)/$Q$2))</f>
        <v>3264.5843313355</v>
      </c>
      <c r="H626" s="15" t="n">
        <f aca="false">G626*(1+IF(H$3&lt;=$O$2,$D626,$D626-($D626-$I$616)*MIN(H$3-$O$2,$Q$2)/$Q$2))</f>
        <v>3535.57033540144</v>
      </c>
      <c r="I626" s="15" t="n">
        <f aca="false">H626*(1+IF(I$3&lt;=$O$2,$D626,$D626-($D626-$I$616)*MIN(I$3-$O$2,$Q$2)/$Q$2))</f>
        <v>3829.050294883</v>
      </c>
      <c r="J626" s="15" t="n">
        <f aca="false">I626*(1+IF(J$3&lt;=$O$2,$D626,$D626-($D626-$I$616)*MIN(J$3-$O$2,$Q$2)/$Q$2))</f>
        <v>4101.16654040173</v>
      </c>
      <c r="K626" s="15" t="n">
        <f aca="false">J626*(1+IF(K$3&lt;=$O$2,$D626,$D626-($D626-$I$616)*MIN(K$3-$O$2,$Q$2)/$Q$2))</f>
        <v>4343.64673048844</v>
      </c>
      <c r="L626" s="15" t="n">
        <f aca="false">K626*(1+IF(L$3&lt;=$O$2,$D626,$D626-($D626-$I$616)*MIN(L$3-$O$2,$Q$2)/$Q$2))</f>
        <v>4548.59355712891</v>
      </c>
      <c r="M626" s="15" t="n">
        <f aca="false">L626*(1+IF(M$3&lt;=$O$2,$D626,$D626-($D626-$I$616)*MIN(M$3-$O$2,$Q$2)/$Q$2))</f>
        <v>4708.89310125957</v>
      </c>
      <c r="N626" s="15" t="n">
        <f aca="false">M626*(1+IF(N$3&lt;=$O$2,$D626,$D626-($D626-$I$616)*MIN(N$3-$O$2,$Q$2)/$Q$2))</f>
        <v>4818.61031051892</v>
      </c>
      <c r="O626" s="15" t="n">
        <f aca="false">SUMPRODUCT(E626:N626,1/(1+$F$616)^$E$3:$N$3)*$E$2</f>
        <v>4462.73951707027</v>
      </c>
      <c r="P626" s="15" t="n">
        <f aca="false">N626*$E$2*(1+$I$616)/($F$616-$I$616)/(1+$F$616)^$N$3</f>
        <v>4520.39686294462</v>
      </c>
      <c r="Q626" s="15" t="n">
        <f aca="false">O626+P626</f>
        <v>8983.13638001488</v>
      </c>
      <c r="R626" s="15" t="n">
        <f aca="false">Q626-$G$2+$I$2</f>
        <v>7606.93638001488</v>
      </c>
      <c r="S626" s="42" t="n">
        <f aca="false">R626/$K$2</f>
        <v>202.797557451743</v>
      </c>
      <c r="T626" s="43" t="n">
        <f aca="false">S626-$M$2</f>
        <v>-1.68124820008299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0.0830078125</v>
      </c>
      <c r="C627" s="25" t="n">
        <f aca="false">IF(T626&gt;0,D626,C626)</f>
        <v>0.0859375</v>
      </c>
      <c r="D627" s="41" t="n">
        <f aca="false">(B627+C627)/2</f>
        <v>0.08447265625</v>
      </c>
      <c r="E627" s="15" t="n">
        <f aca="false">$C$2*(1+IF(E$3&lt;=$O$2,$D627,$D627-($D627-$I$616)*MIN(E$3-$O$2,$Q$2)/$Q$2))</f>
        <v>2787.0947265625</v>
      </c>
      <c r="F627" s="15" t="n">
        <f aca="false">E627*(1+IF(F$3&lt;=$O$2,$D627,$D627-($D627-$I$616)*MIN(F$3-$O$2,$Q$2)/$Q$2))</f>
        <v>3022.5280213356</v>
      </c>
      <c r="G627" s="15" t="n">
        <f aca="false">F627*(1+IF(G$3&lt;=$O$2,$D627,$D627-($D627-$I$616)*MIN(G$3-$O$2,$Q$2)/$Q$2))</f>
        <v>3277.84899188788</v>
      </c>
      <c r="H627" s="15" t="n">
        <f aca="false">G627*(1+IF(H$3&lt;=$O$2,$D627,$D627-($D627-$I$616)*MIN(H$3-$O$2,$Q$2)/$Q$2))</f>
        <v>3554.73760301903</v>
      </c>
      <c r="I627" s="15" t="n">
        <f aca="false">H627*(1+IF(I$3&lt;=$O$2,$D627,$D627-($D627-$I$616)*MIN(I$3-$O$2,$Q$2)/$Q$2))</f>
        <v>3855.01573061781</v>
      </c>
      <c r="J627" s="15" t="n">
        <f aca="false">I627*(1+IF(J$3&lt;=$O$2,$D627,$D627-($D627-$I$616)*MIN(J$3-$O$2,$Q$2)/$Q$2))</f>
        <v>4133.49483884314</v>
      </c>
      <c r="K627" s="15" t="n">
        <f aca="false">J627*(1+IF(K$3&lt;=$O$2,$D627,$D627-($D627-$I$616)*MIN(K$3-$O$2,$Q$2)/$Q$2))</f>
        <v>4381.51938392081</v>
      </c>
      <c r="L627" s="15" t="n">
        <f aca="false">K627*(1+IF(L$3&lt;=$O$2,$D627,$D627-($D627-$I$616)*MIN(L$3-$O$2,$Q$2)/$Q$2))</f>
        <v>4590.82045721628</v>
      </c>
      <c r="M627" s="15" t="n">
        <f aca="false">L627*(1+IF(M$3&lt;=$O$2,$D627,$D627-($D627-$I$616)*MIN(M$3-$O$2,$Q$2)/$Q$2))</f>
        <v>4753.95311021637</v>
      </c>
      <c r="N627" s="15" t="n">
        <f aca="false">M627*(1+IF(N$3&lt;=$O$2,$D627,$D627-($D627-$I$616)*MIN(N$3-$O$2,$Q$2)/$Q$2))</f>
        <v>4864.72021768441</v>
      </c>
      <c r="O627" s="15" t="n">
        <f aca="false">SUMPRODUCT(E627:N627,1/(1+$F$616)^$E$3:$N$3)*$E$2</f>
        <v>4490.73172865169</v>
      </c>
      <c r="P627" s="15" t="n">
        <f aca="false">N627*$E$2*(1+$I$616)/($F$616-$I$616)/(1+$F$616)^$N$3</f>
        <v>4563.65312694392</v>
      </c>
      <c r="Q627" s="15" t="n">
        <f aca="false">O627+P627</f>
        <v>9054.38485559561</v>
      </c>
      <c r="R627" s="15" t="n">
        <f aca="false">Q627-$G$2+$I$2</f>
        <v>7678.18485559561</v>
      </c>
      <c r="S627" s="42" t="n">
        <f aca="false">R627/$K$2</f>
        <v>204.697010279808</v>
      </c>
      <c r="T627" s="43" t="n">
        <f aca="false">S627-$M$2</f>
        <v>0.218204627982232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0.0830078125</v>
      </c>
      <c r="C628" s="25" t="n">
        <f aca="false">IF(T627&gt;0,D627,C627)</f>
        <v>0.08447265625</v>
      </c>
      <c r="D628" s="41" t="n">
        <f aca="false">(B628+C628)/2</f>
        <v>0.083740234375</v>
      </c>
      <c r="E628" s="15" t="n">
        <f aca="false">$C$2*(1+IF(E$3&lt;=$O$2,$D628,$D628-($D628-$I$616)*MIN(E$3-$O$2,$Q$2)/$Q$2))</f>
        <v>2785.21240234375</v>
      </c>
      <c r="F628" s="15" t="n">
        <f aca="false">E628*(1+IF(F$3&lt;=$O$2,$D628,$D628-($D628-$I$616)*MIN(F$3-$O$2,$Q$2)/$Q$2))</f>
        <v>3018.44674170017</v>
      </c>
      <c r="G628" s="15" t="n">
        <f aca="false">F628*(1+IF(G$3&lt;=$O$2,$D628,$D628-($D628-$I$616)*MIN(G$3-$O$2,$Q$2)/$Q$2))</f>
        <v>3271.2121792986</v>
      </c>
      <c r="H628" s="15" t="n">
        <f aca="false">G628*(1+IF(H$3&lt;=$O$2,$D628,$D628-($D628-$I$616)*MIN(H$3-$O$2,$Q$2)/$Q$2))</f>
        <v>3545.14425388342</v>
      </c>
      <c r="I628" s="15" t="n">
        <f aca="false">H628*(1+IF(I$3&lt;=$O$2,$D628,$D628-($D628-$I$616)*MIN(I$3-$O$2,$Q$2)/$Q$2))</f>
        <v>3842.0154645968</v>
      </c>
      <c r="J628" s="15" t="n">
        <f aca="false">I628*(1+IF(J$3&lt;=$O$2,$D628,$D628-($D628-$I$616)*MIN(J$3-$O$2,$Q$2)/$Q$2))</f>
        <v>4117.30427704399</v>
      </c>
      <c r="K628" s="15" t="n">
        <f aca="false">J628*(1+IF(K$3&lt;=$O$2,$D628,$D628-($D628-$I$616)*MIN(K$3-$O$2,$Q$2)/$Q$2))</f>
        <v>4362.54796799775</v>
      </c>
      <c r="L628" s="15" t="n">
        <f aca="false">K628*(1+IF(L$3&lt;=$O$2,$D628,$D628-($D628-$I$616)*MIN(L$3-$O$2,$Q$2)/$Q$2))</f>
        <v>4569.66470431529</v>
      </c>
      <c r="M628" s="15" t="n">
        <f aca="false">L628*(1+IF(M$3&lt;=$O$2,$D628,$D628-($D628-$I$616)*MIN(M$3-$O$2,$Q$2)/$Q$2))</f>
        <v>4731.37621307463</v>
      </c>
      <c r="N628" s="15" t="n">
        <f aca="false">M628*(1+IF(N$3&lt;=$O$2,$D628,$D628-($D628-$I$616)*MIN(N$3-$O$2,$Q$2)/$Q$2))</f>
        <v>4841.61727883927</v>
      </c>
      <c r="O628" s="15" t="n">
        <f aca="false">SUMPRODUCT(E628:N628,1/(1+$F$616)^$E$3:$N$3)*$E$2</f>
        <v>4476.71365461297</v>
      </c>
      <c r="P628" s="15" t="n">
        <f aca="false">N628*$E$2*(1+$I$616)/($F$616-$I$616)/(1+$F$616)^$N$3</f>
        <v>4541.97997938675</v>
      </c>
      <c r="Q628" s="15" t="n">
        <f aca="false">O628+P628</f>
        <v>9018.69363399972</v>
      </c>
      <c r="R628" s="15" t="n">
        <f aca="false">Q628-$G$2+$I$2</f>
        <v>7642.49363399972</v>
      </c>
      <c r="S628" s="42" t="n">
        <f aca="false">R628/$K$2</f>
        <v>203.745498107164</v>
      </c>
      <c r="T628" s="43" t="n">
        <f aca="false">S628-$M$2</f>
        <v>-0.733307544662154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0.083740234375</v>
      </c>
      <c r="C629" s="25" t="n">
        <f aca="false">IF(T628&gt;0,D628,C628)</f>
        <v>0.08447265625</v>
      </c>
      <c r="D629" s="41" t="n">
        <f aca="false">(B629+C629)/2</f>
        <v>0.0841064453125</v>
      </c>
      <c r="E629" s="15" t="n">
        <f aca="false">$C$2*(1+IF(E$3&lt;=$O$2,$D629,$D629-($D629-$I$616)*MIN(E$3-$O$2,$Q$2)/$Q$2))</f>
        <v>2786.15356445313</v>
      </c>
      <c r="F629" s="15" t="n">
        <f aca="false">E629*(1+IF(F$3&lt;=$O$2,$D629,$D629-($D629-$I$616)*MIN(F$3-$O$2,$Q$2)/$Q$2))</f>
        <v>3020.48703685403</v>
      </c>
      <c r="G629" s="15" t="n">
        <f aca="false">F629*(1+IF(G$3&lt;=$O$2,$D629,$D629-($D629-$I$616)*MIN(G$3-$O$2,$Q$2)/$Q$2))</f>
        <v>3274.52946463631</v>
      </c>
      <c r="H629" s="15" t="n">
        <f aca="false">G629*(1+IF(H$3&lt;=$O$2,$D629,$D629-($D629-$I$616)*MIN(H$3-$O$2,$Q$2)/$Q$2))</f>
        <v>3549.93849797791</v>
      </c>
      <c r="I629" s="15" t="n">
        <f aca="false">H629*(1+IF(I$3&lt;=$O$2,$D629,$D629-($D629-$I$616)*MIN(I$3-$O$2,$Q$2)/$Q$2))</f>
        <v>3848.51120612083</v>
      </c>
      <c r="J629" s="15" t="n">
        <f aca="false">I629*(1+IF(J$3&lt;=$O$2,$D629,$D629-($D629-$I$616)*MIN(J$3-$O$2,$Q$2)/$Q$2))</f>
        <v>4125.39294617507</v>
      </c>
      <c r="K629" s="15" t="n">
        <f aca="false">J629*(1+IF(K$3&lt;=$O$2,$D629,$D629-($D629-$I$616)*MIN(K$3-$O$2,$Q$2)/$Q$2))</f>
        <v>4372.02489016545</v>
      </c>
      <c r="L629" s="15" t="n">
        <f aca="false">K629*(1+IF(L$3&lt;=$O$2,$D629,$D629-($D629-$I$616)*MIN(L$3-$O$2,$Q$2)/$Q$2))</f>
        <v>4580.23198706179</v>
      </c>
      <c r="M629" s="15" t="n">
        <f aca="false">L629*(1+IF(M$3&lt;=$O$2,$D629,$D629-($D629-$I$616)*MIN(M$3-$O$2,$Q$2)/$Q$2))</f>
        <v>4742.6529175283</v>
      </c>
      <c r="N629" s="15" t="n">
        <f aca="false">M629*(1+IF(N$3&lt;=$O$2,$D629,$D629-($D629-$I$616)*MIN(N$3-$O$2,$Q$2)/$Q$2))</f>
        <v>4853.15673050671</v>
      </c>
      <c r="O629" s="15" t="n">
        <f aca="false">SUMPRODUCT(E629:N629,1/(1+$F$616)^$E$3:$N$3)*$E$2</f>
        <v>4483.71719152327</v>
      </c>
      <c r="P629" s="15" t="n">
        <f aca="false">N629*$E$2*(1+$I$616)/($F$616-$I$616)/(1+$F$616)^$N$3</f>
        <v>4552.80527916327</v>
      </c>
      <c r="Q629" s="15" t="n">
        <f aca="false">O629+P629</f>
        <v>9036.52247068654</v>
      </c>
      <c r="R629" s="15" t="n">
        <f aca="false">Q629-$G$2+$I$2</f>
        <v>7660.32247068654</v>
      </c>
      <c r="S629" s="42" t="n">
        <f aca="false">R629/$K$2</f>
        <v>204.220807003107</v>
      </c>
      <c r="T629" s="43" t="n">
        <f aca="false">S629-$M$2</f>
        <v>-0.257998648719109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0.0841064453125</v>
      </c>
      <c r="C630" s="25" t="n">
        <f aca="false">IF(T629&gt;0,D629,C629)</f>
        <v>0.08447265625</v>
      </c>
      <c r="D630" s="41" t="n">
        <f aca="false">(B630+C630)/2</f>
        <v>0.08428955078125</v>
      </c>
      <c r="E630" s="15" t="n">
        <f aca="false">$C$2*(1+IF(E$3&lt;=$O$2,$D630,$D630-($D630-$I$616)*MIN(E$3-$O$2,$Q$2)/$Q$2))</f>
        <v>2786.62414550781</v>
      </c>
      <c r="F630" s="15" t="n">
        <f aca="false">E630*(1+IF(F$3&lt;=$O$2,$D630,$D630-($D630-$I$616)*MIN(F$3-$O$2,$Q$2)/$Q$2))</f>
        <v>3021.50744292885</v>
      </c>
      <c r="G630" s="15" t="n">
        <f aca="false">F630*(1+IF(G$3&lt;=$O$2,$D630,$D630-($D630-$I$616)*MIN(G$3-$O$2,$Q$2)/$Q$2))</f>
        <v>3276.18894797553</v>
      </c>
      <c r="H630" s="15" t="n">
        <f aca="false">G630*(1+IF(H$3&lt;=$O$2,$D630,$D630-($D630-$I$616)*MIN(H$3-$O$2,$Q$2)/$Q$2))</f>
        <v>3552.33744267488</v>
      </c>
      <c r="I630" s="15" t="n">
        <f aca="false">H630*(1+IF(I$3&lt;=$O$2,$D630,$D630-($D630-$I$616)*MIN(I$3-$O$2,$Q$2)/$Q$2))</f>
        <v>3851.76236994136</v>
      </c>
      <c r="J630" s="15" t="n">
        <f aca="false">I630*(1+IF(J$3&lt;=$O$2,$D630,$D630-($D630-$I$616)*MIN(J$3-$O$2,$Q$2)/$Q$2))</f>
        <v>4129.44223848807</v>
      </c>
      <c r="K630" s="15" t="n">
        <f aca="false">J630*(1+IF(K$3&lt;=$O$2,$D630,$D630-($D630-$I$616)*MIN(K$3-$O$2,$Q$2)/$Q$2))</f>
        <v>4376.76993890635</v>
      </c>
      <c r="L630" s="15" t="n">
        <f aca="false">K630*(1+IF(L$3&lt;=$O$2,$D630,$D630-($D630-$I$616)*MIN(L$3-$O$2,$Q$2)/$Q$2))</f>
        <v>4585.52357146158</v>
      </c>
      <c r="M630" s="15" t="n">
        <f aca="false">L630*(1+IF(M$3&lt;=$O$2,$D630,$D630-($D630-$I$616)*MIN(M$3-$O$2,$Q$2)/$Q$2))</f>
        <v>4748.30007522069</v>
      </c>
      <c r="N630" s="15" t="n">
        <f aca="false">M630*(1+IF(N$3&lt;=$O$2,$D630,$D630-($D630-$I$616)*MIN(N$3-$O$2,$Q$2)/$Q$2))</f>
        <v>4858.93546697333</v>
      </c>
      <c r="O630" s="15" t="n">
        <f aca="false">SUMPRODUCT(E630:N630,1/(1+$F$616)^$E$3:$N$3)*$E$2</f>
        <v>4487.22308405322</v>
      </c>
      <c r="P630" s="15" t="n">
        <f aca="false">N630*$E$2*(1+$I$616)/($F$616-$I$616)/(1+$F$616)^$N$3</f>
        <v>4558.2263820357</v>
      </c>
      <c r="Q630" s="15" t="n">
        <f aca="false">O630+P630</f>
        <v>9045.44946608892</v>
      </c>
      <c r="R630" s="15" t="n">
        <f aca="false">Q630-$G$2+$I$2</f>
        <v>7669.24946608892</v>
      </c>
      <c r="S630" s="42" t="n">
        <f aca="false">R630/$K$2</f>
        <v>204.458796749904</v>
      </c>
      <c r="T630" s="43" t="n">
        <f aca="false">S630-$M$2</f>
        <v>-0.0200089019216421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0.08428955078125</v>
      </c>
      <c r="C631" s="25" t="n">
        <f aca="false">IF(T630&gt;0,D630,C630)</f>
        <v>0.08447265625</v>
      </c>
      <c r="D631" s="41" t="n">
        <f aca="false">(B631+C631)/2</f>
        <v>0.084381103515625</v>
      </c>
      <c r="E631" s="15" t="n">
        <f aca="false">$C$2*(1+IF(E$3&lt;=$O$2,$D631,$D631-($D631-$I$616)*MIN(E$3-$O$2,$Q$2)/$Q$2))</f>
        <v>2786.85943603516</v>
      </c>
      <c r="F631" s="15" t="n">
        <f aca="false">E631*(1+IF(F$3&lt;=$O$2,$D631,$D631-($D631-$I$616)*MIN(F$3-$O$2,$Q$2)/$Q$2))</f>
        <v>3022.01771059074</v>
      </c>
      <c r="G631" s="15" t="n">
        <f aca="false">F631*(1+IF(G$3&lt;=$O$2,$D631,$D631-($D631-$I$616)*MIN(G$3-$O$2,$Q$2)/$Q$2))</f>
        <v>3277.01889985414</v>
      </c>
      <c r="H631" s="15" t="n">
        <f aca="false">G631*(1+IF(H$3&lt;=$O$2,$D631,$D631-($D631-$I$616)*MIN(H$3-$O$2,$Q$2)/$Q$2))</f>
        <v>3553.5373708654</v>
      </c>
      <c r="I631" s="15" t="n">
        <f aca="false">H631*(1+IF(I$3&lt;=$O$2,$D631,$D631-($D631-$I$616)*MIN(I$3-$O$2,$Q$2)/$Q$2))</f>
        <v>3853.38877560303</v>
      </c>
      <c r="J631" s="15" t="n">
        <f aca="false">I631*(1+IF(J$3&lt;=$O$2,$D631,$D631-($D631-$I$616)*MIN(J$3-$O$2,$Q$2)/$Q$2))</f>
        <v>4131.46812502543</v>
      </c>
      <c r="K631" s="15" t="n">
        <f aca="false">J631*(1+IF(K$3&lt;=$O$2,$D631,$D631-($D631-$I$616)*MIN(K$3-$O$2,$Q$2)/$Q$2))</f>
        <v>4379.14411166823</v>
      </c>
      <c r="L631" s="15" t="n">
        <f aca="false">K631*(1+IF(L$3&lt;=$O$2,$D631,$D631-($D631-$I$616)*MIN(L$3-$O$2,$Q$2)/$Q$2))</f>
        <v>4588.17135138796</v>
      </c>
      <c r="M631" s="15" t="n">
        <f aca="false">L631*(1+IF(M$3&lt;=$O$2,$D631,$D631-($D631-$I$616)*MIN(M$3-$O$2,$Q$2)/$Q$2))</f>
        <v>4751.12585772761</v>
      </c>
      <c r="N631" s="15" t="n">
        <f aca="false">M631*(1+IF(N$3&lt;=$O$2,$D631,$D631-($D631-$I$616)*MIN(N$3-$O$2,$Q$2)/$Q$2))</f>
        <v>4861.82709021266</v>
      </c>
      <c r="O631" s="15" t="n">
        <f aca="false">SUMPRODUCT(E631:N631,1/(1+$F$616)^$E$3:$N$3)*$E$2</f>
        <v>4488.97706221794</v>
      </c>
      <c r="P631" s="15" t="n">
        <f aca="false">N631*$E$2*(1+$I$616)/($F$616-$I$616)/(1+$F$616)^$N$3</f>
        <v>4560.93904892046</v>
      </c>
      <c r="Q631" s="15" t="n">
        <f aca="false">O631+P631</f>
        <v>9049.9161111384</v>
      </c>
      <c r="R631" s="15" t="n">
        <f aca="false">Q631-$G$2+$I$2</f>
        <v>7673.7161111384</v>
      </c>
      <c r="S631" s="42" t="n">
        <f aca="false">R631/$K$2</f>
        <v>204.577875530216</v>
      </c>
      <c r="T631" s="43" t="n">
        <f aca="false">S631-$M$2</f>
        <v>0.0990698783898267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0.08428955078125</v>
      </c>
      <c r="C632" s="25" t="n">
        <f aca="false">IF(T631&gt;0,D631,C631)</f>
        <v>0.084381103515625</v>
      </c>
      <c r="D632" s="41" t="n">
        <f aca="false">(B632+C632)/2</f>
        <v>0.0843353271484375</v>
      </c>
      <c r="E632" s="15" t="n">
        <f aca="false">$C$2*(1+IF(E$3&lt;=$O$2,$D632,$D632-($D632-$I$616)*MIN(E$3-$O$2,$Q$2)/$Q$2))</f>
        <v>2786.74179077148</v>
      </c>
      <c r="F632" s="15" t="n">
        <f aca="false">E632*(1+IF(F$3&lt;=$O$2,$D632,$D632-($D632-$I$616)*MIN(F$3-$O$2,$Q$2)/$Q$2))</f>
        <v>3021.76257137442</v>
      </c>
      <c r="G632" s="15" t="n">
        <f aca="false">F632*(1+IF(G$3&lt;=$O$2,$D632,$D632-($D632-$I$616)*MIN(G$3-$O$2,$Q$2)/$Q$2))</f>
        <v>3276.60390639619</v>
      </c>
      <c r="H632" s="15" t="n">
        <f aca="false">G632*(1+IF(H$3&lt;=$O$2,$D632,$D632-($D632-$I$616)*MIN(H$3-$O$2,$Q$2)/$Q$2))</f>
        <v>3552.93736877796</v>
      </c>
      <c r="I632" s="15" t="n">
        <f aca="false">H632*(1+IF(I$3&lt;=$O$2,$D632,$D632-($D632-$I$616)*MIN(I$3-$O$2,$Q$2)/$Q$2))</f>
        <v>3852.57550411175</v>
      </c>
      <c r="J632" s="15" t="n">
        <f aca="false">I632*(1+IF(J$3&lt;=$O$2,$D632,$D632-($D632-$I$616)*MIN(J$3-$O$2,$Q$2)/$Q$2))</f>
        <v>4130.45507836357</v>
      </c>
      <c r="K632" s="15" t="n">
        <f aca="false">J632*(1+IF(K$3&lt;=$O$2,$D632,$D632-($D632-$I$616)*MIN(K$3-$O$2,$Q$2)/$Q$2))</f>
        <v>4377.95688787735</v>
      </c>
      <c r="L632" s="15" t="n">
        <f aca="false">K632*(1+IF(L$3&lt;=$O$2,$D632,$D632-($D632-$I$616)*MIN(L$3-$O$2,$Q$2)/$Q$2))</f>
        <v>4586.84729572223</v>
      </c>
      <c r="M632" s="15" t="n">
        <f aca="false">L632*(1+IF(M$3&lt;=$O$2,$D632,$D632-($D632-$I$616)*MIN(M$3-$O$2,$Q$2)/$Q$2))</f>
        <v>4749.71278276743</v>
      </c>
      <c r="N632" s="15" t="n">
        <f aca="false">M632*(1+IF(N$3&lt;=$O$2,$D632,$D632-($D632-$I$616)*MIN(N$3-$O$2,$Q$2)/$Q$2))</f>
        <v>4860.38109060591</v>
      </c>
      <c r="O632" s="15" t="n">
        <f aca="false">SUMPRODUCT(E632:N632,1/(1+$F$616)^$E$3:$N$3)*$E$2</f>
        <v>4488.0999871177</v>
      </c>
      <c r="P632" s="15" t="n">
        <f aca="false">N632*$E$2*(1+$I$616)/($F$616-$I$616)/(1+$F$616)^$N$3</f>
        <v>4559.58253912511</v>
      </c>
      <c r="Q632" s="15" t="n">
        <f aca="false">O632+P632</f>
        <v>9047.68252624281</v>
      </c>
      <c r="R632" s="15" t="n">
        <f aca="false">Q632-$G$2+$I$2</f>
        <v>7671.48252624281</v>
      </c>
      <c r="S632" s="42" t="n">
        <f aca="false">R632/$K$2</f>
        <v>204.518329145369</v>
      </c>
      <c r="T632" s="43" t="n">
        <f aca="false">S632-$M$2</f>
        <v>0.039523493543328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0.08428955078125</v>
      </c>
      <c r="C633" s="25" t="n">
        <f aca="false">IF(T632&gt;0,D632,C632)</f>
        <v>0.0843353271484375</v>
      </c>
      <c r="D633" s="41" t="n">
        <f aca="false">(B633+C633)/2</f>
        <v>0.0843124389648438</v>
      </c>
      <c r="E633" s="15" t="n">
        <f aca="false">$C$2*(1+IF(E$3&lt;=$O$2,$D633,$D633-($D633-$I$616)*MIN(E$3-$O$2,$Q$2)/$Q$2))</f>
        <v>2786.68296813965</v>
      </c>
      <c r="F633" s="15" t="n">
        <f aca="false">E633*(1+IF(F$3&lt;=$O$2,$D633,$D633-($D633-$I$616)*MIN(F$3-$O$2,$Q$2)/$Q$2))</f>
        <v>3021.63500580529</v>
      </c>
      <c r="G633" s="15" t="n">
        <f aca="false">F633*(1+IF(G$3&lt;=$O$2,$D633,$D633-($D633-$I$616)*MIN(G$3-$O$2,$Q$2)/$Q$2))</f>
        <v>3276.39642280629</v>
      </c>
      <c r="H633" s="15" t="n">
        <f aca="false">G633*(1+IF(H$3&lt;=$O$2,$D633,$D633-($D633-$I$616)*MIN(H$3-$O$2,$Q$2)/$Q$2))</f>
        <v>3552.63739622877</v>
      </c>
      <c r="I633" s="15" t="n">
        <f aca="false">H633*(1+IF(I$3&lt;=$O$2,$D633,$D633-($D633-$I$616)*MIN(I$3-$O$2,$Q$2)/$Q$2))</f>
        <v>3852.16891986253</v>
      </c>
      <c r="J633" s="15" t="n">
        <f aca="false">I633*(1+IF(J$3&lt;=$O$2,$D633,$D633-($D633-$I$616)*MIN(J$3-$O$2,$Q$2)/$Q$2))</f>
        <v>4129.94863257964</v>
      </c>
      <c r="K633" s="15" t="n">
        <f aca="false">J633*(1+IF(K$3&lt;=$O$2,$D633,$D633-($D633-$I$616)*MIN(K$3-$O$2,$Q$2)/$Q$2))</f>
        <v>4377.36337904266</v>
      </c>
      <c r="L633" s="15" t="n">
        <f aca="false">K633*(1+IF(L$3&lt;=$O$2,$D633,$D633-($D633-$I$616)*MIN(L$3-$O$2,$Q$2)/$Q$2))</f>
        <v>4586.18539217067</v>
      </c>
      <c r="M633" s="15" t="n">
        <f aca="false">L633*(1+IF(M$3&lt;=$O$2,$D633,$D633-($D633-$I$616)*MIN(M$3-$O$2,$Q$2)/$Q$2))</f>
        <v>4749.0063830725</v>
      </c>
      <c r="N633" s="15" t="n">
        <f aca="false">M633*(1+IF(N$3&lt;=$O$2,$D633,$D633-($D633-$I$616)*MIN(N$3-$O$2,$Q$2)/$Q$2))</f>
        <v>4859.65823179809</v>
      </c>
      <c r="O633" s="15" t="n">
        <f aca="false">SUMPRODUCT(E633:N633,1/(1+$F$616)^$E$3:$N$3)*$E$2</f>
        <v>4487.66151408295</v>
      </c>
      <c r="P633" s="15" t="n">
        <f aca="false">N633*$E$2*(1+$I$616)/($F$616-$I$616)/(1+$F$616)^$N$3</f>
        <v>4558.90441649709</v>
      </c>
      <c r="Q633" s="15" t="n">
        <f aca="false">O633+P633</f>
        <v>9046.56593058004</v>
      </c>
      <c r="R633" s="15" t="n">
        <f aca="false">Q633-$G$2+$I$2</f>
        <v>7670.36593058004</v>
      </c>
      <c r="S633" s="42" t="n">
        <f aca="false">R633/$K$2</f>
        <v>204.488561199148</v>
      </c>
      <c r="T633" s="43" t="n">
        <f aca="false">S633-$M$2</f>
        <v>0.00975554732187334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0.08428955078125</v>
      </c>
      <c r="C634" s="25" t="n">
        <f aca="false">IF(T633&gt;0,D633,C633)</f>
        <v>0.0843124389648438</v>
      </c>
      <c r="D634" s="41" t="n">
        <f aca="false">(B634+C634)/2</f>
        <v>0.0843009948730469</v>
      </c>
      <c r="E634" s="15" t="n">
        <f aca="false">$C$2*(1+IF(E$3&lt;=$O$2,$D634,$D634-($D634-$I$616)*MIN(E$3-$O$2,$Q$2)/$Q$2))</f>
        <v>2786.65355682373</v>
      </c>
      <c r="F634" s="15" t="n">
        <f aca="false">E634*(1+IF(F$3&lt;=$O$2,$D634,$D634-($D634-$I$616)*MIN(F$3-$O$2,$Q$2)/$Q$2))</f>
        <v>3021.57122403049</v>
      </c>
      <c r="G634" s="15" t="n">
        <f aca="false">F634*(1+IF(G$3&lt;=$O$2,$D634,$D634-($D634-$I$616)*MIN(G$3-$O$2,$Q$2)/$Q$2))</f>
        <v>3276.29268429603</v>
      </c>
      <c r="H634" s="15" t="n">
        <f aca="false">G634*(1+IF(H$3&lt;=$O$2,$D634,$D634-($D634-$I$616)*MIN(H$3-$O$2,$Q$2)/$Q$2))</f>
        <v>3552.48741707747</v>
      </c>
      <c r="I634" s="15" t="n">
        <f aca="false">H634*(1+IF(I$3&lt;=$O$2,$D634,$D634-($D634-$I$616)*MIN(I$3-$O$2,$Q$2)/$Q$2))</f>
        <v>3851.96564061108</v>
      </c>
      <c r="J634" s="15" t="n">
        <f aca="false">I634*(1+IF(J$3&lt;=$O$2,$D634,$D634-($D634-$I$616)*MIN(J$3-$O$2,$Q$2)/$Q$2))</f>
        <v>4129.69542907257</v>
      </c>
      <c r="K634" s="15" t="n">
        <f aca="false">J634*(1+IF(K$3&lt;=$O$2,$D634,$D634-($D634-$I$616)*MIN(K$3-$O$2,$Q$2)/$Q$2))</f>
        <v>4377.06665038762</v>
      </c>
      <c r="L634" s="15" t="n">
        <f aca="false">K634*(1+IF(L$3&lt;=$O$2,$D634,$D634-($D634-$I$616)*MIN(L$3-$O$2,$Q$2)/$Q$2))</f>
        <v>4585.85447146137</v>
      </c>
      <c r="M634" s="15" t="n">
        <f aca="false">L634*(1+IF(M$3&lt;=$O$2,$D634,$D634-($D634-$I$616)*MIN(M$3-$O$2,$Q$2)/$Q$2))</f>
        <v>4748.65321766685</v>
      </c>
      <c r="N634" s="15" t="n">
        <f aca="false">M634*(1+IF(N$3&lt;=$O$2,$D634,$D634-($D634-$I$616)*MIN(N$3-$O$2,$Q$2)/$Q$2))</f>
        <v>4859.29683763848</v>
      </c>
      <c r="O634" s="15" t="n">
        <f aca="false">SUMPRODUCT(E634:N634,1/(1+$F$616)^$E$3:$N$3)*$E$2</f>
        <v>4487.4422936927</v>
      </c>
      <c r="P634" s="15" t="n">
        <f aca="false">N634*$E$2*(1+$I$616)/($F$616-$I$616)/(1+$F$616)^$N$3</f>
        <v>4558.56538824618</v>
      </c>
      <c r="Q634" s="15" t="n">
        <f aca="false">O634+P634</f>
        <v>9046.00768193888</v>
      </c>
      <c r="R634" s="15" t="n">
        <f aca="false">Q634-$G$2+$I$2</f>
        <v>7669.80768193888</v>
      </c>
      <c r="S634" s="42" t="n">
        <f aca="false">R634/$K$2</f>
        <v>204.473678537427</v>
      </c>
      <c r="T634" s="43" t="n">
        <f aca="false">S634-$M$2</f>
        <v>-0.00512711439921532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0.0843009948730469</v>
      </c>
      <c r="C635" s="25" t="n">
        <f aca="false">IF(T634&gt;0,D634,C634)</f>
        <v>0.0843124389648438</v>
      </c>
      <c r="D635" s="41" t="n">
        <f aca="false">(B635+C635)/2</f>
        <v>0.0843067169189453</v>
      </c>
      <c r="E635" s="15" t="n">
        <f aca="false">$C$2*(1+IF(E$3&lt;=$O$2,$D635,$D635-($D635-$I$616)*MIN(E$3-$O$2,$Q$2)/$Q$2))</f>
        <v>2786.66826248169</v>
      </c>
      <c r="F635" s="15" t="n">
        <f aca="false">E635*(1+IF(F$3&lt;=$O$2,$D635,$D635-($D635-$I$616)*MIN(F$3-$O$2,$Q$2)/$Q$2))</f>
        <v>3021.60311483374</v>
      </c>
      <c r="G635" s="15" t="n">
        <f aca="false">F635*(1+IF(G$3&lt;=$O$2,$D635,$D635-($D635-$I$616)*MIN(G$3-$O$2,$Q$2)/$Q$2))</f>
        <v>3276.34455327743</v>
      </c>
      <c r="H635" s="15" t="n">
        <f aca="false">G635*(1+IF(H$3&lt;=$O$2,$D635,$D635-($D635-$I$616)*MIN(H$3-$O$2,$Q$2)/$Q$2))</f>
        <v>3552.56240605952</v>
      </c>
      <c r="I635" s="15" t="n">
        <f aca="false">H635*(1+IF(I$3&lt;=$O$2,$D635,$D635-($D635-$I$616)*MIN(I$3-$O$2,$Q$2)/$Q$2))</f>
        <v>3852.06727916407</v>
      </c>
      <c r="J635" s="15" t="n">
        <f aca="false">I635*(1+IF(J$3&lt;=$O$2,$D635,$D635-($D635-$I$616)*MIN(J$3-$O$2,$Q$2)/$Q$2))</f>
        <v>4129.82202921075</v>
      </c>
      <c r="K635" s="15" t="n">
        <f aca="false">J635*(1+IF(K$3&lt;=$O$2,$D635,$D635-($D635-$I$616)*MIN(K$3-$O$2,$Q$2)/$Q$2))</f>
        <v>4377.21501256837</v>
      </c>
      <c r="L635" s="15" t="n">
        <f aca="false">K635*(1+IF(L$3&lt;=$O$2,$D635,$D635-($D635-$I$616)*MIN(L$3-$O$2,$Q$2)/$Q$2))</f>
        <v>4586.01992922726</v>
      </c>
      <c r="M635" s="15" t="n">
        <f aca="false">L635*(1+IF(M$3&lt;=$O$2,$D635,$D635-($D635-$I$616)*MIN(M$3-$O$2,$Q$2)/$Q$2))</f>
        <v>4748.82979749966</v>
      </c>
      <c r="N635" s="15" t="n">
        <f aca="false">M635*(1+IF(N$3&lt;=$O$2,$D635,$D635-($D635-$I$616)*MIN(N$3-$O$2,$Q$2)/$Q$2))</f>
        <v>4859.4775317814</v>
      </c>
      <c r="O635" s="15" t="n">
        <f aca="false">SUMPRODUCT(E635:N635,1/(1+$F$616)^$E$3:$N$3)*$E$2</f>
        <v>4487.55190254395</v>
      </c>
      <c r="P635" s="15" t="n">
        <f aca="false">N635*$E$2*(1+$I$616)/($F$616-$I$616)/(1+$F$616)^$N$3</f>
        <v>4558.7348996165</v>
      </c>
      <c r="Q635" s="15" t="n">
        <f aca="false">O635+P635</f>
        <v>9046.28680216045</v>
      </c>
      <c r="R635" s="15" t="n">
        <f aca="false">Q635-$G$2+$I$2</f>
        <v>7670.08680216045</v>
      </c>
      <c r="S635" s="42" t="n">
        <f aca="false">R635/$K$2</f>
        <v>204.48111975901</v>
      </c>
      <c r="T635" s="43" t="n">
        <f aca="false">S635-$M$2</f>
        <v>0.00231410718356528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0.0843009948730469</v>
      </c>
      <c r="C636" s="25" t="n">
        <f aca="false">IF(T635&gt;0,D635,C635)</f>
        <v>0.0843067169189453</v>
      </c>
      <c r="D636" s="41" t="n">
        <f aca="false">(B636+C636)/2</f>
        <v>0.0843038558959961</v>
      </c>
      <c r="E636" s="15" t="n">
        <f aca="false">$C$2*(1+IF(E$3&lt;=$O$2,$D636,$D636-($D636-$I$616)*MIN(E$3-$O$2,$Q$2)/$Q$2))</f>
        <v>2786.66090965271</v>
      </c>
      <c r="F636" s="15" t="n">
        <f aca="false">E636*(1+IF(F$3&lt;=$O$2,$D636,$D636-($D636-$I$616)*MIN(F$3-$O$2,$Q$2)/$Q$2))</f>
        <v>3021.58716941108</v>
      </c>
      <c r="G636" s="15" t="n">
        <f aca="false">F636*(1+IF(G$3&lt;=$O$2,$D636,$D636-($D636-$I$616)*MIN(G$3-$O$2,$Q$2)/$Q$2))</f>
        <v>3276.3186187183</v>
      </c>
      <c r="H636" s="15" t="n">
        <f aca="false">G636*(1+IF(H$3&lt;=$O$2,$D636,$D636-($D636-$I$616)*MIN(H$3-$O$2,$Q$2)/$Q$2))</f>
        <v>3552.5249114201</v>
      </c>
      <c r="I636" s="15" t="n">
        <f aca="false">H636*(1+IF(I$3&lt;=$O$2,$D636,$D636-($D636-$I$616)*MIN(I$3-$O$2,$Q$2)/$Q$2))</f>
        <v>3852.01645961939</v>
      </c>
      <c r="J636" s="15" t="n">
        <f aca="false">I636*(1+IF(J$3&lt;=$O$2,$D636,$D636-($D636-$I$616)*MIN(J$3-$O$2,$Q$2)/$Q$2))</f>
        <v>4129.75872873783</v>
      </c>
      <c r="K636" s="15" t="n">
        <f aca="false">J636*(1+IF(K$3&lt;=$O$2,$D636,$D636-($D636-$I$616)*MIN(K$3-$O$2,$Q$2)/$Q$2))</f>
        <v>4377.14083094131</v>
      </c>
      <c r="L636" s="15" t="n">
        <f aca="false">K636*(1+IF(L$3&lt;=$O$2,$D636,$D636-($D636-$I$616)*MIN(L$3-$O$2,$Q$2)/$Q$2))</f>
        <v>4585.93719969713</v>
      </c>
      <c r="M636" s="15" t="n">
        <f aca="false">L636*(1+IF(M$3&lt;=$O$2,$D636,$D636-($D636-$I$616)*MIN(M$3-$O$2,$Q$2)/$Q$2))</f>
        <v>4748.74150686576</v>
      </c>
      <c r="N636" s="15" t="n">
        <f aca="false">M636*(1+IF(N$3&lt;=$O$2,$D636,$D636-($D636-$I$616)*MIN(N$3-$O$2,$Q$2)/$Q$2))</f>
        <v>4859.38718397573</v>
      </c>
      <c r="O636" s="15" t="n">
        <f aca="false">SUMPRODUCT(E636:N636,1/(1+$F$616)^$E$3:$N$3)*$E$2</f>
        <v>4487.49709778236</v>
      </c>
      <c r="P636" s="15" t="n">
        <f aca="false">N636*$E$2*(1+$I$616)/($F$616-$I$616)/(1+$F$616)^$N$3</f>
        <v>4558.65014324257</v>
      </c>
      <c r="Q636" s="15" t="n">
        <f aca="false">O636+P636</f>
        <v>9046.14724102493</v>
      </c>
      <c r="R636" s="15" t="n">
        <f aca="false">Q636-$G$2+$I$2</f>
        <v>7669.94724102493</v>
      </c>
      <c r="S636" s="42" t="n">
        <f aca="false">R636/$K$2</f>
        <v>204.477399120899</v>
      </c>
      <c r="T636" s="43" t="n">
        <f aca="false">S636-$M$2</f>
        <v>-0.00140653092685739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0.0843038558959961</v>
      </c>
      <c r="C637" s="25" t="n">
        <f aca="false">IF(T636&gt;0,D636,C636)</f>
        <v>0.0843067169189453</v>
      </c>
      <c r="D637" s="41" t="n">
        <f aca="false">(B637+C637)/2</f>
        <v>0.0843052864074707</v>
      </c>
      <c r="E637" s="15" t="n">
        <f aca="false">$C$2*(1+IF(E$3&lt;=$O$2,$D637,$D637-($D637-$I$616)*MIN(E$3-$O$2,$Q$2)/$Q$2))</f>
        <v>2786.6645860672</v>
      </c>
      <c r="F637" s="15" t="n">
        <f aca="false">E637*(1+IF(F$3&lt;=$O$2,$D637,$D637-($D637-$I$616)*MIN(F$3-$O$2,$Q$2)/$Q$2))</f>
        <v>3021.59514211715</v>
      </c>
      <c r="G637" s="15" t="n">
        <f aca="false">F637*(1+IF(G$3&lt;=$O$2,$D637,$D637-($D637-$I$616)*MIN(G$3-$O$2,$Q$2)/$Q$2))</f>
        <v>3276.33158598076</v>
      </c>
      <c r="H637" s="15" t="n">
        <f aca="false">G637*(1+IF(H$3&lt;=$O$2,$D637,$D637-($D637-$I$616)*MIN(H$3-$O$2,$Q$2)/$Q$2))</f>
        <v>3552.54365870271</v>
      </c>
      <c r="I637" s="15" t="n">
        <f aca="false">H637*(1+IF(I$3&lt;=$O$2,$D637,$D637-($D637-$I$616)*MIN(I$3-$O$2,$Q$2)/$Q$2))</f>
        <v>3852.04186932469</v>
      </c>
      <c r="J637" s="15" t="n">
        <f aca="false">I637*(1+IF(J$3&lt;=$O$2,$D637,$D637-($D637-$I$616)*MIN(J$3-$O$2,$Q$2)/$Q$2))</f>
        <v>4129.79037887333</v>
      </c>
      <c r="K637" s="15" t="n">
        <f aca="false">J637*(1+IF(K$3&lt;=$O$2,$D637,$D637-($D637-$I$616)*MIN(K$3-$O$2,$Q$2)/$Q$2))</f>
        <v>4377.17792162067</v>
      </c>
      <c r="L637" s="15" t="n">
        <f aca="false">K637*(1+IF(L$3&lt;=$O$2,$D637,$D637-($D637-$I$616)*MIN(L$3-$O$2,$Q$2)/$Q$2))</f>
        <v>4585.9785643004</v>
      </c>
      <c r="M637" s="15" t="n">
        <f aca="false">L637*(1+IF(M$3&lt;=$O$2,$D637,$D637-($D637-$I$616)*MIN(M$3-$O$2,$Q$2)/$Q$2))</f>
        <v>4748.78565200333</v>
      </c>
      <c r="N637" s="15" t="n">
        <f aca="false">M637*(1+IF(N$3&lt;=$O$2,$D637,$D637-($D637-$I$616)*MIN(N$3-$O$2,$Q$2)/$Q$2))</f>
        <v>4859.43235769501</v>
      </c>
      <c r="O637" s="15" t="n">
        <f aca="false">SUMPRODUCT(E637:N637,1/(1+$F$616)^$E$3:$N$3)*$E$2</f>
        <v>4487.52450007917</v>
      </c>
      <c r="P637" s="15" t="n">
        <f aca="false">N637*$E$2*(1+$I$616)/($F$616-$I$616)/(1+$F$616)^$N$3</f>
        <v>4558.69252125734</v>
      </c>
      <c r="Q637" s="15" t="n">
        <f aca="false">O637+P637</f>
        <v>9046.21702133651</v>
      </c>
      <c r="R637" s="15" t="n">
        <f aca="false">Q637-$G$2+$I$2</f>
        <v>7670.01702133651</v>
      </c>
      <c r="S637" s="42" t="n">
        <f aca="false">R637/$K$2</f>
        <v>204.479259433125</v>
      </c>
      <c r="T637" s="43" t="n">
        <f aca="false">S637-$M$2</f>
        <v>0.00045378129857454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0.0843038558959961</v>
      </c>
      <c r="C638" s="25" t="n">
        <f aca="false">IF(T637&gt;0,D637,C637)</f>
        <v>0.0843052864074707</v>
      </c>
      <c r="D638" s="41" t="n">
        <f aca="false">(B638+C638)/2</f>
        <v>0.0843045711517334</v>
      </c>
      <c r="E638" s="15" t="n">
        <f aca="false">$C$2*(1+IF(E$3&lt;=$O$2,$D638,$D638-($D638-$I$616)*MIN(E$3-$O$2,$Q$2)/$Q$2))</f>
        <v>2786.66274785996</v>
      </c>
      <c r="F638" s="15" t="n">
        <f aca="false">E638*(1+IF(F$3&lt;=$O$2,$D638,$D638-($D638-$I$616)*MIN(F$3-$O$2,$Q$2)/$Q$2))</f>
        <v>3021.5911557628</v>
      </c>
      <c r="G638" s="15" t="n">
        <f aca="false">F638*(1+IF(G$3&lt;=$O$2,$D638,$D638-($D638-$I$616)*MIN(G$3-$O$2,$Q$2)/$Q$2))</f>
        <v>3276.32510234525</v>
      </c>
      <c r="H638" s="15" t="n">
        <f aca="false">G638*(1+IF(H$3&lt;=$O$2,$D638,$D638-($D638-$I$616)*MIN(H$3-$O$2,$Q$2)/$Q$2))</f>
        <v>3552.53428505213</v>
      </c>
      <c r="I638" s="15" t="n">
        <f aca="false">H638*(1+IF(I$3&lt;=$O$2,$D638,$D638-($D638-$I$616)*MIN(I$3-$O$2,$Q$2)/$Q$2))</f>
        <v>3852.02916445528</v>
      </c>
      <c r="J638" s="15" t="n">
        <f aca="false">I638*(1+IF(J$3&lt;=$O$2,$D638,$D638-($D638-$I$616)*MIN(J$3-$O$2,$Q$2)/$Q$2))</f>
        <v>4129.77455378034</v>
      </c>
      <c r="K638" s="15" t="n">
        <f aca="false">J638*(1+IF(K$3&lt;=$O$2,$D638,$D638-($D638-$I$616)*MIN(K$3-$O$2,$Q$2)/$Q$2))</f>
        <v>4377.15937624745</v>
      </c>
      <c r="L638" s="15" t="n">
        <f aca="false">K638*(1+IF(L$3&lt;=$O$2,$D638,$D638-($D638-$I$616)*MIN(L$3-$O$2,$Q$2)/$Q$2))</f>
        <v>4585.95788195832</v>
      </c>
      <c r="M638" s="15" t="n">
        <f aca="false">L638*(1+IF(M$3&lt;=$O$2,$D638,$D638-($D638-$I$616)*MIN(M$3-$O$2,$Q$2)/$Q$2))</f>
        <v>4748.7635793897</v>
      </c>
      <c r="N638" s="15" t="n">
        <f aca="false">M638*(1+IF(N$3&lt;=$O$2,$D638,$D638-($D638-$I$616)*MIN(N$3-$O$2,$Q$2)/$Q$2))</f>
        <v>4859.40977078948</v>
      </c>
      <c r="O638" s="15" t="n">
        <f aca="false">SUMPRODUCT(E638:N638,1/(1+$F$616)^$E$3:$N$3)*$E$2</f>
        <v>4487.51079890977</v>
      </c>
      <c r="P638" s="15" t="n">
        <f aca="false">N638*$E$2*(1+$I$616)/($F$616-$I$616)/(1+$F$616)^$N$3</f>
        <v>4558.6713322069</v>
      </c>
      <c r="Q638" s="15" t="n">
        <f aca="false">O638+P638</f>
        <v>9046.18213111667</v>
      </c>
      <c r="R638" s="15" t="n">
        <f aca="false">Q638-$G$2+$I$2</f>
        <v>7669.98213111667</v>
      </c>
      <c r="S638" s="42" t="n">
        <f aca="false">R638/$K$2</f>
        <v>204.478329275304</v>
      </c>
      <c r="T638" s="43" t="n">
        <f aca="false">S638-$M$2</f>
        <v>-0.000476376521646671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0.0843045711517334</v>
      </c>
      <c r="C639" s="25" t="n">
        <f aca="false">IF(T638&gt;0,D638,C638)</f>
        <v>0.0843052864074707</v>
      </c>
      <c r="D639" s="41" t="n">
        <f aca="false">(B639+C639)/2</f>
        <v>0.0843049287796021</v>
      </c>
      <c r="E639" s="15" t="n">
        <f aca="false">$C$2*(1+IF(E$3&lt;=$O$2,$D639,$D639-($D639-$I$616)*MIN(E$3-$O$2,$Q$2)/$Q$2))</f>
        <v>2786.66366696358</v>
      </c>
      <c r="F639" s="15" t="n">
        <f aca="false">E639*(1+IF(F$3&lt;=$O$2,$D639,$D639-($D639-$I$616)*MIN(F$3-$O$2,$Q$2)/$Q$2))</f>
        <v>3021.59314893965</v>
      </c>
      <c r="G639" s="15" t="n">
        <f aca="false">F639*(1+IF(G$3&lt;=$O$2,$D639,$D639-($D639-$I$616)*MIN(G$3-$O$2,$Q$2)/$Q$2))</f>
        <v>3276.32834416194</v>
      </c>
      <c r="H639" s="15" t="n">
        <f aca="false">G639*(1+IF(H$3&lt;=$O$2,$D639,$D639-($D639-$I$616)*MIN(H$3-$O$2,$Q$2)/$Q$2))</f>
        <v>3552.5389718751</v>
      </c>
      <c r="I639" s="15" t="n">
        <f aca="false">H639*(1+IF(I$3&lt;=$O$2,$D639,$D639-($D639-$I$616)*MIN(I$3-$O$2,$Q$2)/$Q$2))</f>
        <v>3852.03551688579</v>
      </c>
      <c r="J639" s="15" t="n">
        <f aca="false">I639*(1+IF(J$3&lt;=$O$2,$D639,$D639-($D639-$I$616)*MIN(J$3-$O$2,$Q$2)/$Q$2))</f>
        <v>4129.78246632052</v>
      </c>
      <c r="K639" s="15" t="n">
        <f aca="false">J639*(1+IF(K$3&lt;=$O$2,$D639,$D639-($D639-$I$616)*MIN(K$3-$O$2,$Q$2)/$Q$2))</f>
        <v>4377.16864892567</v>
      </c>
      <c r="L639" s="15" t="n">
        <f aca="false">K639*(1+IF(L$3&lt;=$O$2,$D639,$D639-($D639-$I$616)*MIN(L$3-$O$2,$Q$2)/$Q$2))</f>
        <v>4585.96822311925</v>
      </c>
      <c r="M639" s="15" t="n">
        <f aca="false">L639*(1+IF(M$3&lt;=$O$2,$D639,$D639-($D639-$I$616)*MIN(M$3-$O$2,$Q$2)/$Q$2))</f>
        <v>4748.7746156853</v>
      </c>
      <c r="N639" s="15" t="n">
        <f aca="false">M639*(1+IF(N$3&lt;=$O$2,$D639,$D639-($D639-$I$616)*MIN(N$3-$O$2,$Q$2)/$Q$2))</f>
        <v>4859.42106423077</v>
      </c>
      <c r="O639" s="15" t="n">
        <f aca="false">SUMPRODUCT(E639:N639,1/(1+$F$616)^$E$3:$N$3)*$E$2</f>
        <v>4487.51764948922</v>
      </c>
      <c r="P639" s="15" t="n">
        <f aca="false">N639*$E$2*(1+$I$616)/($F$616-$I$616)/(1+$F$616)^$N$3</f>
        <v>4558.68192672136</v>
      </c>
      <c r="Q639" s="15" t="n">
        <f aca="false">O639+P639</f>
        <v>9046.19957621058</v>
      </c>
      <c r="R639" s="15" t="n">
        <f aca="false">Q639-$G$2+$I$2</f>
        <v>7669.99957621058</v>
      </c>
      <c r="S639" s="42" t="n">
        <f aca="false">R639/$K$2</f>
        <v>204.478794353788</v>
      </c>
      <c r="T639" s="43" t="n">
        <f aca="false">S639-$M$2</f>
        <v>-1.12980384017192E-005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0.0843049287796021</v>
      </c>
      <c r="C640" s="25" t="n">
        <f aca="false">IF(T639&gt;0,D639,C639)</f>
        <v>0.0843052864074707</v>
      </c>
      <c r="D640" s="41" t="n">
        <f aca="false">(B640+C640)/2</f>
        <v>0.0843051075935364</v>
      </c>
      <c r="E640" s="15" t="n">
        <f aca="false">$C$2*(1+IF(E$3&lt;=$O$2,$D640,$D640-($D640-$I$616)*MIN(E$3-$O$2,$Q$2)/$Q$2))</f>
        <v>2786.66412651539</v>
      </c>
      <c r="F640" s="15" t="n">
        <f aca="false">E640*(1+IF(F$3&lt;=$O$2,$D640,$D640-($D640-$I$616)*MIN(F$3-$O$2,$Q$2)/$Q$2))</f>
        <v>3021.59414552832</v>
      </c>
      <c r="G640" s="15" t="n">
        <f aca="false">F640*(1+IF(G$3&lt;=$O$2,$D640,$D640-($D640-$I$616)*MIN(G$3-$O$2,$Q$2)/$Q$2))</f>
        <v>3276.32996507108</v>
      </c>
      <c r="H640" s="15" t="n">
        <f aca="false">G640*(1+IF(H$3&lt;=$O$2,$D640,$D640-($D640-$I$616)*MIN(H$3-$O$2,$Q$2)/$Q$2))</f>
        <v>3552.54131528833</v>
      </c>
      <c r="I640" s="15" t="n">
        <f aca="false">H640*(1+IF(I$3&lt;=$O$2,$D640,$D640-($D640-$I$616)*MIN(I$3-$O$2,$Q$2)/$Q$2))</f>
        <v>3852.03869310419</v>
      </c>
      <c r="J640" s="15" t="n">
        <f aca="false">I640*(1+IF(J$3&lt;=$O$2,$D640,$D640-($D640-$I$616)*MIN(J$3-$O$2,$Q$2)/$Q$2))</f>
        <v>4129.78642259535</v>
      </c>
      <c r="K640" s="15" t="n">
        <f aca="false">J640*(1+IF(K$3&lt;=$O$2,$D640,$D640-($D640-$I$616)*MIN(K$3-$O$2,$Q$2)/$Q$2))</f>
        <v>4377.17328527107</v>
      </c>
      <c r="L640" s="15" t="n">
        <f aca="false">K640*(1+IF(L$3&lt;=$O$2,$D640,$D640-($D640-$I$616)*MIN(L$3-$O$2,$Q$2)/$Q$2))</f>
        <v>4585.97339370729</v>
      </c>
      <c r="M640" s="15" t="n">
        <f aca="false">L640*(1+IF(M$3&lt;=$O$2,$D640,$D640-($D640-$I$616)*MIN(M$3-$O$2,$Q$2)/$Q$2))</f>
        <v>4748.78013384152</v>
      </c>
      <c r="N640" s="15" t="n">
        <f aca="false">M640*(1+IF(N$3&lt;=$O$2,$D640,$D640-($D640-$I$616)*MIN(N$3-$O$2,$Q$2)/$Q$2))</f>
        <v>4859.42671096002</v>
      </c>
      <c r="O640" s="15" t="n">
        <f aca="false">SUMPRODUCT(E640:N640,1/(1+$F$616)^$E$3:$N$3)*$E$2</f>
        <v>4487.52107478288</v>
      </c>
      <c r="P640" s="15" t="n">
        <f aca="false">N640*$E$2*(1+$I$616)/($F$616-$I$616)/(1+$F$616)^$N$3</f>
        <v>4558.68722398666</v>
      </c>
      <c r="Q640" s="15" t="n">
        <f aca="false">O640+P640</f>
        <v>9046.20829876954</v>
      </c>
      <c r="R640" s="15" t="n">
        <f aca="false">Q640-$G$2+$I$2</f>
        <v>7670.00829876954</v>
      </c>
      <c r="S640" s="42" t="n">
        <f aca="false">R640/$K$2</f>
        <v>204.479026893349</v>
      </c>
      <c r="T640" s="43" t="n">
        <f aca="false">S640-$M$2</f>
        <v>0.000221241523377103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0.0843049287796021</v>
      </c>
      <c r="C641" s="25" t="n">
        <f aca="false">IF(T640&gt;0,D640,C640)</f>
        <v>0.0843051075935364</v>
      </c>
      <c r="D641" s="41" t="n">
        <f aca="false">(B641+C641)/2</f>
        <v>0.0843050181865692</v>
      </c>
      <c r="E641" s="15" t="n">
        <f aca="false">$C$2*(1+IF(E$3&lt;=$O$2,$D641,$D641-($D641-$I$616)*MIN(E$3-$O$2,$Q$2)/$Q$2))</f>
        <v>2786.66389673948</v>
      </c>
      <c r="F641" s="15" t="n">
        <f aca="false">E641*(1+IF(F$3&lt;=$O$2,$D641,$D641-($D641-$I$616)*MIN(F$3-$O$2,$Q$2)/$Q$2))</f>
        <v>3021.59364723396</v>
      </c>
      <c r="G641" s="15" t="n">
        <f aca="false">F641*(1+IF(G$3&lt;=$O$2,$D641,$D641-($D641-$I$616)*MIN(G$3-$O$2,$Q$2)/$Q$2))</f>
        <v>3276.32915461644</v>
      </c>
      <c r="H641" s="15" t="n">
        <f aca="false">G641*(1+IF(H$3&lt;=$O$2,$D641,$D641-($D641-$I$616)*MIN(H$3-$O$2,$Q$2)/$Q$2))</f>
        <v>3552.54014358157</v>
      </c>
      <c r="I641" s="15" t="n">
        <f aca="false">H641*(1+IF(I$3&lt;=$O$2,$D641,$D641-($D641-$I$616)*MIN(I$3-$O$2,$Q$2)/$Q$2))</f>
        <v>3852.03710499473</v>
      </c>
      <c r="J641" s="15" t="n">
        <f aca="false">I641*(1+IF(J$3&lt;=$O$2,$D641,$D641-($D641-$I$616)*MIN(J$3-$O$2,$Q$2)/$Q$2))</f>
        <v>4129.78444445754</v>
      </c>
      <c r="K641" s="15" t="n">
        <f aca="false">J641*(1+IF(K$3&lt;=$O$2,$D641,$D641-($D641-$I$616)*MIN(K$3-$O$2,$Q$2)/$Q$2))</f>
        <v>4377.17096709785</v>
      </c>
      <c r="L641" s="15" t="n">
        <f aca="false">K641*(1+IF(L$3&lt;=$O$2,$D641,$D641-($D641-$I$616)*MIN(L$3-$O$2,$Q$2)/$Q$2))</f>
        <v>4585.97080841264</v>
      </c>
      <c r="M641" s="15" t="n">
        <f aca="false">L641*(1+IF(M$3&lt;=$O$2,$D641,$D641-($D641-$I$616)*MIN(M$3-$O$2,$Q$2)/$Q$2))</f>
        <v>4748.77737476271</v>
      </c>
      <c r="N641" s="15" t="n">
        <f aca="false">M641*(1+IF(N$3&lt;=$O$2,$D641,$D641-($D641-$I$616)*MIN(N$3-$O$2,$Q$2)/$Q$2))</f>
        <v>4859.42388759468</v>
      </c>
      <c r="O641" s="15" t="n">
        <f aca="false">SUMPRODUCT(E641:N641,1/(1+$F$616)^$E$3:$N$3)*$E$2</f>
        <v>4487.51936213572</v>
      </c>
      <c r="P641" s="15" t="n">
        <f aca="false">N641*$E$2*(1+$I$616)/($F$616-$I$616)/(1+$F$616)^$N$3</f>
        <v>4558.68457535334</v>
      </c>
      <c r="Q641" s="15" t="n">
        <f aca="false">O641+P641</f>
        <v>9046.20393748906</v>
      </c>
      <c r="R641" s="15" t="n">
        <f aca="false">Q641-$G$2+$I$2</f>
        <v>7670.00393748906</v>
      </c>
      <c r="S641" s="42" t="n">
        <f aca="false">R641/$K$2</f>
        <v>204.478910623542</v>
      </c>
      <c r="T641" s="43" t="n">
        <f aca="false">S641-$M$2</f>
        <v>0.000104971715785496</v>
      </c>
    </row>
    <row r="643" customFormat="false" ht="15" hidden="false" customHeight="false" outlineLevel="0" collapsed="false">
      <c r="A643" s="38" t="s">
        <v>204</v>
      </c>
      <c r="E643" s="5" t="s">
        <v>11</v>
      </c>
      <c r="F643" s="12" t="n">
        <f aca="false">Sensitivity!$B$14</f>
        <v>0.104183337553844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162</v>
      </c>
      <c r="B644" s="28" t="s">
        <v>163</v>
      </c>
      <c r="C644" s="28" t="s">
        <v>164</v>
      </c>
      <c r="D644" s="28" t="s">
        <v>165</v>
      </c>
      <c r="E644" s="28" t="s">
        <v>166</v>
      </c>
      <c r="F644" s="28" t="s">
        <v>167</v>
      </c>
      <c r="G644" s="28" t="s">
        <v>168</v>
      </c>
      <c r="H644" s="28" t="s">
        <v>169</v>
      </c>
      <c r="I644" s="28" t="s">
        <v>170</v>
      </c>
      <c r="J644" s="28" t="s">
        <v>171</v>
      </c>
      <c r="K644" s="28" t="s">
        <v>172</v>
      </c>
      <c r="L644" s="28" t="s">
        <v>173</v>
      </c>
      <c r="M644" s="28" t="s">
        <v>174</v>
      </c>
      <c r="N644" s="28" t="s">
        <v>175</v>
      </c>
      <c r="O644" s="28" t="s">
        <v>176</v>
      </c>
      <c r="P644" s="28" t="s">
        <v>177</v>
      </c>
      <c r="Q644" s="28" t="s">
        <v>178</v>
      </c>
      <c r="R644" s="28" t="s">
        <v>179</v>
      </c>
      <c r="S644" s="28" t="s">
        <v>180</v>
      </c>
      <c r="T644" s="28" t="s">
        <v>181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3212.5</v>
      </c>
      <c r="F645" s="15" t="n">
        <f aca="false">E645*(1+IF(F$3&lt;=$O$2,$D645,$D645-($D645-$I$643)*MIN(F$3-$O$2,$Q$2)/$Q$2))</f>
        <v>4015.625</v>
      </c>
      <c r="G645" s="15" t="n">
        <f aca="false">F645*(1+IF(G$3&lt;=$O$2,$D645,$D645-($D645-$I$643)*MIN(G$3-$O$2,$Q$2)/$Q$2))</f>
        <v>5019.53125</v>
      </c>
      <c r="H645" s="15" t="n">
        <f aca="false">G645*(1+IF(H$3&lt;=$O$2,$D645,$D645-($D645-$I$643)*MIN(H$3-$O$2,$Q$2)/$Q$2))</f>
        <v>6274.4140625</v>
      </c>
      <c r="I645" s="15" t="n">
        <f aca="false">H645*(1+IF(I$3&lt;=$O$2,$D645,$D645-($D645-$I$643)*MIN(I$3-$O$2,$Q$2)/$Q$2))</f>
        <v>7843.017578125</v>
      </c>
      <c r="J645" s="15" t="n">
        <f aca="false">I645*(1+IF(J$3&lt;=$O$2,$D645,$D645-($D645-$I$643)*MIN(J$3-$O$2,$Q$2)/$Q$2))</f>
        <v>9456.01257324219</v>
      </c>
      <c r="K645" s="15" t="n">
        <f aca="false">J645*(1+IF(K$3&lt;=$O$2,$D645,$D645-($D645-$I$643)*MIN(K$3-$O$2,$Q$2)/$Q$2))</f>
        <v>10981.4565215576</v>
      </c>
      <c r="L645" s="15" t="n">
        <f aca="false">K645*(1+IF(L$3&lt;=$O$2,$D645,$D645-($D645-$I$643)*MIN(L$3-$O$2,$Q$2)/$Q$2))</f>
        <v>12266.0673054494</v>
      </c>
      <c r="M645" s="15" t="n">
        <f aca="false">L645*(1+IF(M$3&lt;=$O$2,$D645,$D645-($D645-$I$643)*MIN(M$3-$O$2,$Q$2)/$Q$2))</f>
        <v>13157.0744345173</v>
      </c>
      <c r="N645" s="15" t="n">
        <f aca="false">M645*(1+IF(N$3&lt;=$O$2,$D645,$D645-($D645-$I$643)*MIN(N$3-$O$2,$Q$2)/$Q$2))</f>
        <v>13529.4196410141</v>
      </c>
      <c r="O645" s="15" t="n">
        <f aca="false">SUMPRODUCT(E645:N645,1/(1+$F$643)^$E$3:$N$3)*$E$2</f>
        <v>9109.59106651271</v>
      </c>
      <c r="P645" s="15" t="n">
        <f aca="false">N645*$E$2*(1+$I$643)/($F$643-$I$643)/(1+$F$643)^$N$3</f>
        <v>13594.5059133025</v>
      </c>
      <c r="Q645" s="15" t="n">
        <f aca="false">O645+P645</f>
        <v>22704.0969798152</v>
      </c>
      <c r="R645" s="15" t="n">
        <f aca="false">Q645-$G$2+$I$2</f>
        <v>21327.8969798152</v>
      </c>
      <c r="S645" s="42" t="n">
        <f aca="false">R645/$K$2</f>
        <v>568.59229484978</v>
      </c>
      <c r="T645" s="43" t="n">
        <f aca="false">S645-$M$2</f>
        <v>364.113489197954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2248.75</v>
      </c>
      <c r="F646" s="15" t="n">
        <f aca="false">E646*(1+IF(F$3&lt;=$O$2,$D646,$D646-($D646-$I$643)*MIN(F$3-$O$2,$Q$2)/$Q$2))</f>
        <v>1967.65625</v>
      </c>
      <c r="G646" s="15" t="n">
        <f aca="false">F646*(1+IF(G$3&lt;=$O$2,$D646,$D646-($D646-$I$643)*MIN(G$3-$O$2,$Q$2)/$Q$2))</f>
        <v>1721.69921875</v>
      </c>
      <c r="H646" s="15" t="n">
        <f aca="false">G646*(1+IF(H$3&lt;=$O$2,$D646,$D646-($D646-$I$643)*MIN(H$3-$O$2,$Q$2)/$Q$2))</f>
        <v>1506.48681640625</v>
      </c>
      <c r="I646" s="15" t="n">
        <f aca="false">H646*(1+IF(I$3&lt;=$O$2,$D646,$D646-($D646-$I$643)*MIN(I$3-$O$2,$Q$2)/$Q$2))</f>
        <v>1318.17596435547</v>
      </c>
      <c r="J646" s="15" t="n">
        <f aca="false">I646*(1+IF(J$3&lt;=$O$2,$D646,$D646-($D646-$I$643)*MIN(J$3-$O$2,$Q$2)/$Q$2))</f>
        <v>1193.81924387817</v>
      </c>
      <c r="K646" s="15" t="n">
        <f aca="false">J646*(1+IF(K$3&lt;=$O$2,$D646,$D646-($D646-$I$643)*MIN(K$3-$O$2,$Q$2)/$Q$2))</f>
        <v>1117.79683442801</v>
      </c>
      <c r="L646" s="15" t="n">
        <f aca="false">K646*(1+IF(L$3&lt;=$O$2,$D646,$D646-($D646-$I$643)*MIN(L$3-$O$2,$Q$2)/$Q$2))</f>
        <v>1080.8871829552</v>
      </c>
      <c r="M646" s="15" t="n">
        <f aca="false">L646*(1+IF(M$3&lt;=$O$2,$D646,$D646-($D646-$I$643)*MIN(M$3-$O$2,$Q$2)/$Q$2))</f>
        <v>1078.33628920342</v>
      </c>
      <c r="N646" s="15" t="n">
        <f aca="false">M646*(1+IF(N$3&lt;=$O$2,$D646,$D646-($D646-$I$643)*MIN(N$3-$O$2,$Q$2)/$Q$2))</f>
        <v>1108.85320618788</v>
      </c>
      <c r="O646" s="15" t="n">
        <f aca="false">SUMPRODUCT(E646:N646,1/(1+$F$643)^$E$3:$N$3)*$E$2</f>
        <v>1858.99740680876</v>
      </c>
      <c r="P646" s="15" t="n">
        <f aca="false">N646*$E$2*(1+$I$643)/($F$643-$I$643)/(1+$F$643)^$N$3</f>
        <v>1114.18759033892</v>
      </c>
      <c r="Q646" s="15" t="n">
        <f aca="false">O646+P646</f>
        <v>2973.18499714769</v>
      </c>
      <c r="R646" s="15" t="n">
        <f aca="false">Q646-$G$2+$I$2</f>
        <v>1596.98499714769</v>
      </c>
      <c r="S646" s="42" t="n">
        <f aca="false">R646/$K$2</f>
        <v>42.5749132803969</v>
      </c>
      <c r="T646" s="43" t="n">
        <f aca="false">S646-$M$2</f>
        <v>-161.903892371429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2730.625</v>
      </c>
      <c r="F647" s="15" t="n">
        <f aca="false">E647*(1+IF(F$3&lt;=$O$2,$D647,$D647-($D647-$I$643)*MIN(F$3-$O$2,$Q$2)/$Q$2))</f>
        <v>2901.2890625</v>
      </c>
      <c r="G647" s="15" t="n">
        <f aca="false">F647*(1+IF(G$3&lt;=$O$2,$D647,$D647-($D647-$I$643)*MIN(G$3-$O$2,$Q$2)/$Q$2))</f>
        <v>3082.61962890625</v>
      </c>
      <c r="H647" s="15" t="n">
        <f aca="false">G647*(1+IF(H$3&lt;=$O$2,$D647,$D647-($D647-$I$643)*MIN(H$3-$O$2,$Q$2)/$Q$2))</f>
        <v>3275.28335571289</v>
      </c>
      <c r="I647" s="15" t="n">
        <f aca="false">H647*(1+IF(I$3&lt;=$O$2,$D647,$D647-($D647-$I$643)*MIN(I$3-$O$2,$Q$2)/$Q$2))</f>
        <v>3479.98856544495</v>
      </c>
      <c r="J647" s="15" t="n">
        <f aca="false">I647*(1+IF(J$3&lt;=$O$2,$D647,$D647-($D647-$I$643)*MIN(J$3-$O$2,$Q$2)/$Q$2))</f>
        <v>3673.68472899761</v>
      </c>
      <c r="K647" s="15" t="n">
        <f aca="false">J647*(1+IF(K$3&lt;=$O$2,$D647,$D647-($D647-$I$643)*MIN(K$3-$O$2,$Q$2)/$Q$2))</f>
        <v>3853.03401746728</v>
      </c>
      <c r="L647" s="15" t="n">
        <f aca="false">K647*(1+IF(L$3&lt;=$O$2,$D647,$D647-($D647-$I$643)*MIN(L$3-$O$2,$Q$2)/$Q$2))</f>
        <v>4014.78438552055</v>
      </c>
      <c r="M647" s="15" t="n">
        <f aca="false">L647*(1+IF(M$3&lt;=$O$2,$D647,$D647-($D647-$I$643)*MIN(M$3-$O$2,$Q$2)/$Q$2))</f>
        <v>4155.86390882774</v>
      </c>
      <c r="N647" s="15" t="n">
        <f aca="false">M647*(1+IF(N$3&lt;=$O$2,$D647,$D647-($D647-$I$643)*MIN(N$3-$O$2,$Q$2)/$Q$2))</f>
        <v>4273.47485744757</v>
      </c>
      <c r="O647" s="15" t="n">
        <f aca="false">SUMPRODUCT(E647:N647,1/(1+$F$643)^$E$3:$N$3)*$E$2</f>
        <v>4100.15867410184</v>
      </c>
      <c r="P647" s="15" t="n">
        <f aca="false">N647*$E$2*(1+$I$643)/($F$643-$I$643)/(1+$F$643)^$N$3</f>
        <v>4294.03335556277</v>
      </c>
      <c r="Q647" s="15" t="n">
        <f aca="false">O647+P647</f>
        <v>8394.19202966461</v>
      </c>
      <c r="R647" s="15" t="n">
        <f aca="false">Q647-$G$2+$I$2</f>
        <v>7017.99202966461</v>
      </c>
      <c r="S647" s="42" t="n">
        <f aca="false">R647/$K$2</f>
        <v>187.096561707934</v>
      </c>
      <c r="T647" s="43" t="n">
        <f aca="false">S647-$M$2</f>
        <v>-17.3822439438918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41" t="n">
        <f aca="false">(B648+C648)/2</f>
        <v>0.15625</v>
      </c>
      <c r="E648" s="15" t="n">
        <f aca="false">$C$2*(1+IF(E$3&lt;=$O$2,$D648,$D648-($D648-$I$643)*MIN(E$3-$O$2,$Q$2)/$Q$2))</f>
        <v>2971.5625</v>
      </c>
      <c r="F648" s="15" t="n">
        <f aca="false">E648*(1+IF(F$3&lt;=$O$2,$D648,$D648-($D648-$I$643)*MIN(F$3-$O$2,$Q$2)/$Q$2))</f>
        <v>3435.869140625</v>
      </c>
      <c r="G648" s="15" t="n">
        <f aca="false">F648*(1+IF(G$3&lt;=$O$2,$D648,$D648-($D648-$I$643)*MIN(G$3-$O$2,$Q$2)/$Q$2))</f>
        <v>3972.72369384766</v>
      </c>
      <c r="H648" s="15" t="n">
        <f aca="false">G648*(1+IF(H$3&lt;=$O$2,$D648,$D648-($D648-$I$643)*MIN(H$3-$O$2,$Q$2)/$Q$2))</f>
        <v>4593.46177101135</v>
      </c>
      <c r="I648" s="15" t="n">
        <f aca="false">H648*(1+IF(I$3&lt;=$O$2,$D648,$D648-($D648-$I$643)*MIN(I$3-$O$2,$Q$2)/$Q$2))</f>
        <v>5311.19017273188</v>
      </c>
      <c r="J648" s="15" t="n">
        <f aca="false">I648*(1+IF(J$3&lt;=$O$2,$D648,$D648-($D648-$I$643)*MIN(J$3-$O$2,$Q$2)/$Q$2))</f>
        <v>6005.15028070102</v>
      </c>
      <c r="K648" s="15" t="n">
        <f aca="false">J648*(1+IF(K$3&lt;=$O$2,$D648,$D648-($D648-$I$643)*MIN(K$3-$O$2,$Q$2)/$Q$2))</f>
        <v>6636.11142069428</v>
      </c>
      <c r="L648" s="15" t="n">
        <f aca="false">K648*(1+IF(L$3&lt;=$O$2,$D648,$D648-($D648-$I$643)*MIN(L$3-$O$2,$Q$2)/$Q$2))</f>
        <v>7163.54955641106</v>
      </c>
      <c r="M648" s="15" t="n">
        <f aca="false">L648*(1+IF(M$3&lt;=$O$2,$D648,$D648-($D648-$I$643)*MIN(M$3-$O$2,$Q$2)/$Q$2))</f>
        <v>7549.59324200605</v>
      </c>
      <c r="N648" s="15" t="n">
        <f aca="false">M648*(1+IF(N$3&lt;=$O$2,$D648,$D648-($D648-$I$643)*MIN(N$3-$O$2,$Q$2)/$Q$2))</f>
        <v>7763.24673075482</v>
      </c>
      <c r="O648" s="15" t="n">
        <f aca="false">SUMPRODUCT(E648:N648,1/(1+$F$643)^$E$3:$N$3)*$E$2</f>
        <v>6119.52998094829</v>
      </c>
      <c r="P648" s="15" t="n">
        <f aca="false">N648*$E$2*(1+$I$643)/($F$643-$I$643)/(1+$F$643)^$N$3</f>
        <v>7800.59355005433</v>
      </c>
      <c r="Q648" s="15" t="n">
        <f aca="false">O648+P648</f>
        <v>13920.1235310026</v>
      </c>
      <c r="R648" s="15" t="n">
        <f aca="false">Q648-$G$2+$I$2</f>
        <v>12543.9235310026</v>
      </c>
      <c r="S648" s="42" t="n">
        <f aca="false">R648/$K$2</f>
        <v>334.415450040059</v>
      </c>
      <c r="T648" s="43" t="n">
        <f aca="false">S648-$M$2</f>
        <v>129.936644388233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0.0625</v>
      </c>
      <c r="C649" s="25" t="n">
        <f aca="false">IF(T648&gt;0,D648,C648)</f>
        <v>0.15625</v>
      </c>
      <c r="D649" s="41" t="n">
        <f aca="false">(B649+C649)/2</f>
        <v>0.109375</v>
      </c>
      <c r="E649" s="15" t="n">
        <f aca="false">$C$2*(1+IF(E$3&lt;=$O$2,$D649,$D649-($D649-$I$643)*MIN(E$3-$O$2,$Q$2)/$Q$2))</f>
        <v>2851.09375</v>
      </c>
      <c r="F649" s="15" t="n">
        <f aca="false">E649*(1+IF(F$3&lt;=$O$2,$D649,$D649-($D649-$I$643)*MIN(F$3-$O$2,$Q$2)/$Q$2))</f>
        <v>3162.93212890625</v>
      </c>
      <c r="G649" s="15" t="n">
        <f aca="false">F649*(1+IF(G$3&lt;=$O$2,$D649,$D649-($D649-$I$643)*MIN(G$3-$O$2,$Q$2)/$Q$2))</f>
        <v>3508.87783050537</v>
      </c>
      <c r="H649" s="15" t="n">
        <f aca="false">G649*(1+IF(H$3&lt;=$O$2,$D649,$D649-($D649-$I$643)*MIN(H$3-$O$2,$Q$2)/$Q$2))</f>
        <v>3892.6613432169</v>
      </c>
      <c r="I649" s="15" t="n">
        <f aca="false">H649*(1+IF(I$3&lt;=$O$2,$D649,$D649-($D649-$I$643)*MIN(I$3-$O$2,$Q$2)/$Q$2))</f>
        <v>4318.42117763124</v>
      </c>
      <c r="J649" s="15" t="n">
        <f aca="false">I649*(1+IF(J$3&lt;=$O$2,$D649,$D649-($D649-$I$643)*MIN(J$3-$O$2,$Q$2)/$Q$2))</f>
        <v>4720.72529453937</v>
      </c>
      <c r="K649" s="15" t="n">
        <f aca="false">J649*(1+IF(K$3&lt;=$O$2,$D649,$D649-($D649-$I$643)*MIN(K$3-$O$2,$Q$2)/$Q$2))</f>
        <v>5083.9615023277</v>
      </c>
      <c r="L649" s="15" t="n">
        <f aca="false">K649*(1+IF(L$3&lt;=$O$2,$D649,$D649-($D649-$I$643)*MIN(L$3-$O$2,$Q$2)/$Q$2))</f>
        <v>5392.71048436406</v>
      </c>
      <c r="M649" s="15" t="n">
        <f aca="false">L649*(1+IF(M$3&lt;=$O$2,$D649,$D649-($D649-$I$643)*MIN(M$3-$O$2,$Q$2)/$Q$2))</f>
        <v>5632.76699157553</v>
      </c>
      <c r="N649" s="15" t="n">
        <f aca="false">M649*(1+IF(N$3&lt;=$O$2,$D649,$D649-($D649-$I$643)*MIN(N$3-$O$2,$Q$2)/$Q$2))</f>
        <v>5792.17429743712</v>
      </c>
      <c r="O649" s="15" t="n">
        <f aca="false">SUMPRODUCT(E649:N649,1/(1+$F$643)^$E$3:$N$3)*$E$2</f>
        <v>5009.47558252751</v>
      </c>
      <c r="P649" s="15" t="n">
        <f aca="false">N649*$E$2*(1+$I$643)/($F$643-$I$643)/(1+$F$643)^$N$3</f>
        <v>5820.03883586286</v>
      </c>
      <c r="Q649" s="15" t="n">
        <f aca="false">O649+P649</f>
        <v>10829.5144183904</v>
      </c>
      <c r="R649" s="15" t="n">
        <f aca="false">Q649-$G$2+$I$2</f>
        <v>9453.31441839036</v>
      </c>
      <c r="S649" s="42" t="n">
        <f aca="false">R649/$K$2</f>
        <v>252.021178842718</v>
      </c>
      <c r="T649" s="43" t="n">
        <f aca="false">S649-$M$2</f>
        <v>47.5423731908923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0.0625</v>
      </c>
      <c r="C650" s="25" t="n">
        <f aca="false">IF(T649&gt;0,D649,C649)</f>
        <v>0.109375</v>
      </c>
      <c r="D650" s="41" t="n">
        <f aca="false">(B650+C650)/2</f>
        <v>0.0859375</v>
      </c>
      <c r="E650" s="15" t="n">
        <f aca="false">$C$2*(1+IF(E$3&lt;=$O$2,$D650,$D650-($D650-$I$643)*MIN(E$3-$O$2,$Q$2)/$Q$2))</f>
        <v>2790.859375</v>
      </c>
      <c r="F650" s="15" t="n">
        <f aca="false">E650*(1+IF(F$3&lt;=$O$2,$D650,$D650-($D650-$I$643)*MIN(F$3-$O$2,$Q$2)/$Q$2))</f>
        <v>3030.69885253906</v>
      </c>
      <c r="G650" s="15" t="n">
        <f aca="false">F650*(1+IF(G$3&lt;=$O$2,$D650,$D650-($D650-$I$643)*MIN(G$3-$O$2,$Q$2)/$Q$2))</f>
        <v>3291.14953517914</v>
      </c>
      <c r="H650" s="15" t="n">
        <f aca="false">G650*(1+IF(H$3&lt;=$O$2,$D650,$D650-($D650-$I$643)*MIN(H$3-$O$2,$Q$2)/$Q$2))</f>
        <v>3573.9826983586</v>
      </c>
      <c r="I650" s="15" t="n">
        <f aca="false">H650*(1+IF(I$3&lt;=$O$2,$D650,$D650-($D650-$I$643)*MIN(I$3-$O$2,$Q$2)/$Q$2))</f>
        <v>3881.12183649879</v>
      </c>
      <c r="J650" s="15" t="n">
        <f aca="false">I650*(1+IF(J$3&lt;=$O$2,$D650,$D650-($D650-$I$643)*MIN(J$3-$O$2,$Q$2)/$Q$2))</f>
        <v>4169.91611235266</v>
      </c>
      <c r="K650" s="15" t="n">
        <f aca="false">J650*(1+IF(K$3&lt;=$O$2,$D650,$D650-($D650-$I$643)*MIN(K$3-$O$2,$Q$2)/$Q$2))</f>
        <v>4432.13086228768</v>
      </c>
      <c r="L650" s="15" t="n">
        <f aca="false">K650*(1+IF(L$3&lt;=$O$2,$D650,$D650-($D650-$I$643)*MIN(L$3-$O$2,$Q$2)/$Q$2))</f>
        <v>4659.74294272046</v>
      </c>
      <c r="M650" s="15" t="n">
        <f aca="false">L650*(1+IF(M$3&lt;=$O$2,$D650,$D650-($D650-$I$643)*MIN(M$3-$O$2,$Q$2)/$Q$2))</f>
        <v>4845.32885477166</v>
      </c>
      <c r="N650" s="15" t="n">
        <f aca="false">M650*(1+IF(N$3&lt;=$O$2,$D650,$D650-($D650-$I$643)*MIN(N$3-$O$2,$Q$2)/$Q$2))</f>
        <v>4982.4516613617</v>
      </c>
      <c r="O650" s="15" t="n">
        <f aca="false">SUMPRODUCT(E650:N650,1/(1+$F$643)^$E$3:$N$3)*$E$2</f>
        <v>4531.99769298985</v>
      </c>
      <c r="P650" s="15" t="n">
        <f aca="false">N650*$E$2*(1+$I$643)/($F$643-$I$643)/(1+$F$643)^$N$3</f>
        <v>5006.42084955306</v>
      </c>
      <c r="Q650" s="15" t="n">
        <f aca="false">O650+P650</f>
        <v>9538.41854254291</v>
      </c>
      <c r="R650" s="15" t="n">
        <f aca="false">Q650-$G$2+$I$2</f>
        <v>8162.21854254291</v>
      </c>
      <c r="S650" s="42" t="n">
        <f aca="false">R650/$K$2</f>
        <v>217.601134165367</v>
      </c>
      <c r="T650" s="43" t="n">
        <f aca="false">S650-$M$2</f>
        <v>13.1223285135407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0.0625</v>
      </c>
      <c r="C651" s="25" t="n">
        <f aca="false">IF(T650&gt;0,D650,C650)</f>
        <v>0.0859375</v>
      </c>
      <c r="D651" s="41" t="n">
        <f aca="false">(B651+C651)/2</f>
        <v>0.07421875</v>
      </c>
      <c r="E651" s="15" t="n">
        <f aca="false">$C$2*(1+IF(E$3&lt;=$O$2,$D651,$D651-($D651-$I$643)*MIN(E$3-$O$2,$Q$2)/$Q$2))</f>
        <v>2760.7421875</v>
      </c>
      <c r="F651" s="15" t="n">
        <f aca="false">E651*(1+IF(F$3&lt;=$O$2,$D651,$D651-($D651-$I$643)*MIN(F$3-$O$2,$Q$2)/$Q$2))</f>
        <v>2965.64102172852</v>
      </c>
      <c r="G651" s="15" t="n">
        <f aca="false">F651*(1+IF(G$3&lt;=$O$2,$D651,$D651-($D651-$I$643)*MIN(G$3-$O$2,$Q$2)/$Q$2))</f>
        <v>3185.74719130993</v>
      </c>
      <c r="H651" s="15" t="n">
        <f aca="false">G651*(1+IF(H$3&lt;=$O$2,$D651,$D651-($D651-$I$643)*MIN(H$3-$O$2,$Q$2)/$Q$2))</f>
        <v>3422.18936566496</v>
      </c>
      <c r="I651" s="15" t="n">
        <f aca="false">H651*(1+IF(I$3&lt;=$O$2,$D651,$D651-($D651-$I$643)*MIN(I$3-$O$2,$Q$2)/$Q$2))</f>
        <v>3676.17998264791</v>
      </c>
      <c r="J651" s="15" t="n">
        <f aca="false">I651*(1+IF(J$3&lt;=$O$2,$D651,$D651-($D651-$I$643)*MIN(J$3-$O$2,$Q$2)/$Q$2))</f>
        <v>3915.26034781942</v>
      </c>
      <c r="K651" s="15" t="n">
        <f aca="false">J651*(1+IF(K$3&lt;=$O$2,$D651,$D651-($D651-$I$643)*MIN(K$3-$O$2,$Q$2)/$Q$2))</f>
        <v>4133.93253232056</v>
      </c>
      <c r="L651" s="15" t="n">
        <f aca="false">K651*(1+IF(L$3&lt;=$O$2,$D651,$D651-($D651-$I$643)*MIN(L$3-$O$2,$Q$2)/$Q$2))</f>
        <v>4326.85282877263</v>
      </c>
      <c r="M651" s="15" t="n">
        <f aca="false">L651*(1+IF(M$3&lt;=$O$2,$D651,$D651-($D651-$I$643)*MIN(M$3-$O$2,$Q$2)/$Q$2))</f>
        <v>4489.03949849314</v>
      </c>
      <c r="N651" s="15" t="n">
        <f aca="false">M651*(1+IF(N$3&lt;=$O$2,$D651,$D651-($D651-$I$643)*MIN(N$3-$O$2,$Q$2)/$Q$2))</f>
        <v>4616.0793163005</v>
      </c>
      <c r="O651" s="15" t="n">
        <f aca="false">SUMPRODUCT(E651:N651,1/(1+$F$643)^$E$3:$N$3)*$E$2</f>
        <v>4310.63773971045</v>
      </c>
      <c r="P651" s="15" t="n">
        <f aca="false">N651*$E$2*(1+$I$643)/($F$643-$I$643)/(1+$F$643)^$N$3</f>
        <v>4638.28598911113</v>
      </c>
      <c r="Q651" s="15" t="n">
        <f aca="false">O651+P651</f>
        <v>8948.92372882158</v>
      </c>
      <c r="R651" s="15" t="n">
        <f aca="false">Q651-$G$2+$I$2</f>
        <v>7572.72372882158</v>
      </c>
      <c r="S651" s="42" t="n">
        <f aca="false">R651/$K$2</f>
        <v>201.885463311692</v>
      </c>
      <c r="T651" s="43" t="n">
        <f aca="false">S651-$M$2</f>
        <v>-2.5933423401338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0.07421875</v>
      </c>
      <c r="C652" s="25" t="n">
        <f aca="false">IF(T651&gt;0,D651,C651)</f>
        <v>0.0859375</v>
      </c>
      <c r="D652" s="41" t="n">
        <f aca="false">(B652+C652)/2</f>
        <v>0.080078125</v>
      </c>
      <c r="E652" s="15" t="n">
        <f aca="false">$C$2*(1+IF(E$3&lt;=$O$2,$D652,$D652-($D652-$I$643)*MIN(E$3-$O$2,$Q$2)/$Q$2))</f>
        <v>2775.80078125</v>
      </c>
      <c r="F652" s="15" t="n">
        <f aca="false">E652*(1+IF(F$3&lt;=$O$2,$D652,$D652-($D652-$I$643)*MIN(F$3-$O$2,$Q$2)/$Q$2))</f>
        <v>2998.08170318604</v>
      </c>
      <c r="G652" s="15" t="n">
        <f aca="false">F652*(1+IF(G$3&lt;=$O$2,$D652,$D652-($D652-$I$643)*MIN(G$3-$O$2,$Q$2)/$Q$2))</f>
        <v>3238.16246457398</v>
      </c>
      <c r="H652" s="15" t="n">
        <f aca="false">G652*(1+IF(H$3&lt;=$O$2,$D652,$D652-($D652-$I$643)*MIN(H$3-$O$2,$Q$2)/$Q$2))</f>
        <v>3497.46844318244</v>
      </c>
      <c r="I652" s="15" t="n">
        <f aca="false">H652*(1+IF(I$3&lt;=$O$2,$D652,$D652-($D652-$I$643)*MIN(I$3-$O$2,$Q$2)/$Q$2))</f>
        <v>3777.53915835916</v>
      </c>
      <c r="J652" s="15" t="n">
        <f aca="false">I652*(1+IF(J$3&lt;=$O$2,$D652,$D652-($D652-$I$643)*MIN(J$3-$O$2,$Q$2)/$Q$2))</f>
        <v>4040.91863232786</v>
      </c>
      <c r="K652" s="15" t="n">
        <f aca="false">J652*(1+IF(K$3&lt;=$O$2,$D652,$D652-($D652-$I$643)*MIN(K$3-$O$2,$Q$2)/$Q$2))</f>
        <v>4280.81534365844</v>
      </c>
      <c r="L652" s="15" t="n">
        <f aca="false">K652*(1+IF(L$3&lt;=$O$2,$D652,$D652-($D652-$I$643)*MIN(L$3-$O$2,$Q$2)/$Q$2))</f>
        <v>4490.62345467032</v>
      </c>
      <c r="M652" s="15" t="n">
        <f aca="false">L652*(1+IF(M$3&lt;=$O$2,$D652,$D652-($D652-$I$643)*MIN(M$3-$O$2,$Q$2)/$Q$2))</f>
        <v>4664.21131095026</v>
      </c>
      <c r="N652" s="15" t="n">
        <f aca="false">M652*(1+IF(N$3&lt;=$O$2,$D652,$D652-($D652-$I$643)*MIN(N$3-$O$2,$Q$2)/$Q$2))</f>
        <v>4796.20849105015</v>
      </c>
      <c r="O652" s="15" t="n">
        <f aca="false">SUMPRODUCT(E652:N652,1/(1+$F$643)^$E$3:$N$3)*$E$2</f>
        <v>4419.92539421719</v>
      </c>
      <c r="P652" s="15" t="n">
        <f aca="false">N652*$E$2*(1+$I$643)/($F$643-$I$643)/(1+$F$643)^$N$3</f>
        <v>4819.28171518566</v>
      </c>
      <c r="Q652" s="15" t="n">
        <f aca="false">O652+P652</f>
        <v>9239.20710940286</v>
      </c>
      <c r="R652" s="15" t="n">
        <f aca="false">Q652-$G$2+$I$2</f>
        <v>7863.00710940286</v>
      </c>
      <c r="S652" s="42" t="n">
        <f aca="false">R652/$K$2</f>
        <v>209.62428977347</v>
      </c>
      <c r="T652" s="43" t="n">
        <f aca="false">S652-$M$2</f>
        <v>5.14548412164388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0.07421875</v>
      </c>
      <c r="C653" s="25" t="n">
        <f aca="false">IF(T652&gt;0,D652,C652)</f>
        <v>0.080078125</v>
      </c>
      <c r="D653" s="41" t="n">
        <f aca="false">(B653+C653)/2</f>
        <v>0.0771484375</v>
      </c>
      <c r="E653" s="15" t="n">
        <f aca="false">$C$2*(1+IF(E$3&lt;=$O$2,$D653,$D653-($D653-$I$643)*MIN(E$3-$O$2,$Q$2)/$Q$2))</f>
        <v>2768.271484375</v>
      </c>
      <c r="F653" s="15" t="n">
        <f aca="false">E653*(1+IF(F$3&lt;=$O$2,$D653,$D653-($D653-$I$643)*MIN(F$3-$O$2,$Q$2)/$Q$2))</f>
        <v>2981.83930397034</v>
      </c>
      <c r="G653" s="15" t="n">
        <f aca="false">F653*(1+IF(G$3&lt;=$O$2,$D653,$D653-($D653-$I$643)*MIN(G$3-$O$2,$Q$2)/$Q$2))</f>
        <v>3211.88354714774</v>
      </c>
      <c r="H653" s="15" t="n">
        <f aca="false">G653*(1+IF(H$3&lt;=$O$2,$D653,$D653-($D653-$I$643)*MIN(H$3-$O$2,$Q$2)/$Q$2))</f>
        <v>3459.67534424214</v>
      </c>
      <c r="I653" s="15" t="n">
        <f aca="false">H653*(1+IF(I$3&lt;=$O$2,$D653,$D653-($D653-$I$643)*MIN(I$3-$O$2,$Q$2)/$Q$2))</f>
        <v>3726.5838913077</v>
      </c>
      <c r="J653" s="15" t="n">
        <f aca="false">I653*(1+IF(J$3&lt;=$O$2,$D653,$D653-($D653-$I$643)*MIN(J$3-$O$2,$Q$2)/$Q$2))</f>
        <v>3977.67645567415</v>
      </c>
      <c r="K653" s="15" t="n">
        <f aca="false">J653*(1+IF(K$3&lt;=$O$2,$D653,$D653-($D653-$I$643)*MIN(K$3-$O$2,$Q$2)/$Q$2))</f>
        <v>4206.82666721386</v>
      </c>
      <c r="L653" s="15" t="n">
        <f aca="false">K653*(1+IF(L$3&lt;=$O$2,$D653,$D653-($D653-$I$643)*MIN(L$3-$O$2,$Q$2)/$Q$2))</f>
        <v>4408.0786257067</v>
      </c>
      <c r="M653" s="15" t="n">
        <f aca="false">L653*(1+IF(M$3&lt;=$O$2,$D653,$D653-($D653-$I$643)*MIN(M$3-$O$2,$Q$2)/$Q$2))</f>
        <v>4575.89280146278</v>
      </c>
      <c r="N653" s="15" t="n">
        <f aca="false">M653*(1+IF(N$3&lt;=$O$2,$D653,$D653-($D653-$I$643)*MIN(N$3-$O$2,$Q$2)/$Q$2))</f>
        <v>4705.39056774418</v>
      </c>
      <c r="O653" s="15" t="n">
        <f aca="false">SUMPRODUCT(E653:N653,1/(1+$F$643)^$E$3:$N$3)*$E$2</f>
        <v>4364.93756440026</v>
      </c>
      <c r="P653" s="15" t="n">
        <f aca="false">N653*$E$2*(1+$I$643)/($F$643-$I$643)/(1+$F$643)^$N$3</f>
        <v>4728.02689212776</v>
      </c>
      <c r="Q653" s="15" t="n">
        <f aca="false">O653+P653</f>
        <v>9092.96445652802</v>
      </c>
      <c r="R653" s="15" t="n">
        <f aca="false">Q653-$G$2+$I$2</f>
        <v>7716.76445652802</v>
      </c>
      <c r="S653" s="42" t="n">
        <f aca="false">R653/$K$2</f>
        <v>205.725525367316</v>
      </c>
      <c r="T653" s="43" t="n">
        <f aca="false">S653-$M$2</f>
        <v>1.24671971548977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0.07421875</v>
      </c>
      <c r="C654" s="25" t="n">
        <f aca="false">IF(T653&gt;0,D653,C653)</f>
        <v>0.0771484375</v>
      </c>
      <c r="D654" s="41" t="n">
        <f aca="false">(B654+C654)/2</f>
        <v>0.07568359375</v>
      </c>
      <c r="E654" s="15" t="n">
        <f aca="false">$C$2*(1+IF(E$3&lt;=$O$2,$D654,$D654-($D654-$I$643)*MIN(E$3-$O$2,$Q$2)/$Q$2))</f>
        <v>2764.5068359375</v>
      </c>
      <c r="F654" s="15" t="n">
        <f aca="false">E654*(1+IF(F$3&lt;=$O$2,$D654,$D654-($D654-$I$643)*MIN(F$3-$O$2,$Q$2)/$Q$2))</f>
        <v>2973.73464822769</v>
      </c>
      <c r="G654" s="15" t="n">
        <f aca="false">F654*(1+IF(G$3&lt;=$O$2,$D654,$D654-($D654-$I$643)*MIN(G$3-$O$2,$Q$2)/$Q$2))</f>
        <v>3198.79757326446</v>
      </c>
      <c r="H654" s="15" t="n">
        <f aca="false">G654*(1+IF(H$3&lt;=$O$2,$D654,$D654-($D654-$I$643)*MIN(H$3-$O$2,$Q$2)/$Q$2))</f>
        <v>3440.89406928789</v>
      </c>
      <c r="I654" s="15" t="n">
        <f aca="false">H654*(1+IF(I$3&lt;=$O$2,$D654,$D654-($D654-$I$643)*MIN(I$3-$O$2,$Q$2)/$Q$2))</f>
        <v>3701.31329816466</v>
      </c>
      <c r="J654" s="15" t="n">
        <f aca="false">I654*(1+IF(J$3&lt;=$O$2,$D654,$D654-($D654-$I$643)*MIN(J$3-$O$2,$Q$2)/$Q$2))</f>
        <v>3946.36568503208</v>
      </c>
      <c r="K654" s="15" t="n">
        <f aca="false">J654*(1+IF(K$3&lt;=$O$2,$D654,$D654-($D654-$I$643)*MIN(K$3-$O$2,$Q$2)/$Q$2))</f>
        <v>4170.24362696359</v>
      </c>
      <c r="L654" s="15" t="n">
        <f aca="false">K654*(1+IF(L$3&lt;=$O$2,$D654,$D654-($D654-$I$643)*MIN(L$3-$O$2,$Q$2)/$Q$2))</f>
        <v>4367.30197355009</v>
      </c>
      <c r="M654" s="15" t="n">
        <f aca="false">L654*(1+IF(M$3&lt;=$O$2,$D654,$D654-($D654-$I$643)*MIN(M$3-$O$2,$Q$2)/$Q$2))</f>
        <v>4532.28431190121</v>
      </c>
      <c r="N654" s="15" t="n">
        <f aca="false">M654*(1+IF(N$3&lt;=$O$2,$D654,$D654-($D654-$I$643)*MIN(N$3-$O$2,$Q$2)/$Q$2))</f>
        <v>4660.54795792801</v>
      </c>
      <c r="O654" s="15" t="n">
        <f aca="false">SUMPRODUCT(E654:N654,1/(1+$F$643)^$E$3:$N$3)*$E$2</f>
        <v>4337.70215661373</v>
      </c>
      <c r="P654" s="15" t="n">
        <f aca="false">N654*$E$2*(1+$I$643)/($F$643-$I$643)/(1+$F$643)^$N$3</f>
        <v>4682.96855699668</v>
      </c>
      <c r="Q654" s="15" t="n">
        <f aca="false">O654+P654</f>
        <v>9020.67071361041</v>
      </c>
      <c r="R654" s="15" t="n">
        <f aca="false">Q654-$G$2+$I$2</f>
        <v>7644.47071361041</v>
      </c>
      <c r="S654" s="42" t="n">
        <f aca="false">R654/$K$2</f>
        <v>203.798206174631</v>
      </c>
      <c r="T654" s="43" t="n">
        <f aca="false">S654-$M$2</f>
        <v>-0.680599477195074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0.07568359375</v>
      </c>
      <c r="C655" s="25" t="n">
        <f aca="false">IF(T654&gt;0,D654,C654)</f>
        <v>0.0771484375</v>
      </c>
      <c r="D655" s="41" t="n">
        <f aca="false">(B655+C655)/2</f>
        <v>0.076416015625</v>
      </c>
      <c r="E655" s="15" t="n">
        <f aca="false">$C$2*(1+IF(E$3&lt;=$O$2,$D655,$D655-($D655-$I$643)*MIN(E$3-$O$2,$Q$2)/$Q$2))</f>
        <v>2766.38916015625</v>
      </c>
      <c r="F655" s="15" t="n">
        <f aca="false">E655*(1+IF(F$3&lt;=$O$2,$D655,$D655-($D655-$I$643)*MIN(F$3-$O$2,$Q$2)/$Q$2))</f>
        <v>2977.78559744358</v>
      </c>
      <c r="G655" s="15" t="n">
        <f aca="false">F655*(1+IF(G$3&lt;=$O$2,$D655,$D655-($D655-$I$643)*MIN(G$3-$O$2,$Q$2)/$Q$2))</f>
        <v>3205.33610818573</v>
      </c>
      <c r="H655" s="15" t="n">
        <f aca="false">G655*(1+IF(H$3&lt;=$O$2,$D655,$D655-($D655-$I$643)*MIN(H$3-$O$2,$Q$2)/$Q$2))</f>
        <v>3450.27512231223</v>
      </c>
      <c r="I655" s="15" t="n">
        <f aca="false">H655*(1+IF(I$3&lt;=$O$2,$D655,$D655-($D655-$I$643)*MIN(I$3-$O$2,$Q$2)/$Q$2))</f>
        <v>3713.93139996939</v>
      </c>
      <c r="J655" s="15" t="n">
        <f aca="false">I655*(1+IF(J$3&lt;=$O$2,$D655,$D655-($D655-$I$643)*MIN(J$3-$O$2,$Q$2)/$Q$2))</f>
        <v>3961.9953236054</v>
      </c>
      <c r="K655" s="15" t="n">
        <f aca="false">J655*(1+IF(K$3&lt;=$O$2,$D655,$D655-($D655-$I$643)*MIN(K$3-$O$2,$Q$2)/$Q$2))</f>
        <v>4188.5010486015</v>
      </c>
      <c r="L655" s="15" t="n">
        <f aca="false">K655*(1+IF(L$3&lt;=$O$2,$D655,$D655-($D655-$I$643)*MIN(L$3-$O$2,$Q$2)/$Q$2))</f>
        <v>4387.64922103686</v>
      </c>
      <c r="M655" s="15" t="n">
        <f aca="false">L655*(1+IF(M$3&lt;=$O$2,$D655,$D655-($D655-$I$643)*MIN(M$3-$O$2,$Q$2)/$Q$2))</f>
        <v>4554.04293368749</v>
      </c>
      <c r="N655" s="15" t="n">
        <f aca="false">M655*(1+IF(N$3&lt;=$O$2,$D655,$D655-($D655-$I$643)*MIN(N$3-$O$2,$Q$2)/$Q$2))</f>
        <v>4682.92234871085</v>
      </c>
      <c r="O655" s="15" t="n">
        <f aca="false">SUMPRODUCT(E655:N655,1/(1+$F$643)^$E$3:$N$3)*$E$2</f>
        <v>4351.29842369855</v>
      </c>
      <c r="P655" s="15" t="n">
        <f aca="false">N655*$E$2*(1+$I$643)/($F$643-$I$643)/(1+$F$643)^$N$3</f>
        <v>4705.45058474617</v>
      </c>
      <c r="Q655" s="15" t="n">
        <f aca="false">O655+P655</f>
        <v>9056.74900844472</v>
      </c>
      <c r="R655" s="15" t="n">
        <f aca="false">Q655-$G$2+$I$2</f>
        <v>7680.54900844472</v>
      </c>
      <c r="S655" s="42" t="n">
        <f aca="false">R655/$K$2</f>
        <v>204.760037548513</v>
      </c>
      <c r="T655" s="43" t="n">
        <f aca="false">S655-$M$2</f>
        <v>0.281231896686961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0.07568359375</v>
      </c>
      <c r="C656" s="25" t="n">
        <f aca="false">IF(T655&gt;0,D655,C655)</f>
        <v>0.076416015625</v>
      </c>
      <c r="D656" s="41" t="n">
        <f aca="false">(B656+C656)/2</f>
        <v>0.0760498046875</v>
      </c>
      <c r="E656" s="15" t="n">
        <f aca="false">$C$2*(1+IF(E$3&lt;=$O$2,$D656,$D656-($D656-$I$643)*MIN(E$3-$O$2,$Q$2)/$Q$2))</f>
        <v>2765.44799804688</v>
      </c>
      <c r="F656" s="15" t="n">
        <f aca="false">E656*(1+IF(F$3&lt;=$O$2,$D656,$D656-($D656-$I$643)*MIN(F$3-$O$2,$Q$2)/$Q$2))</f>
        <v>2975.75977817178</v>
      </c>
      <c r="G656" s="15" t="n">
        <f aca="false">F656*(1+IF(G$3&lt;=$O$2,$D656,$D656-($D656-$I$643)*MIN(G$3-$O$2,$Q$2)/$Q$2))</f>
        <v>3202.06572809866</v>
      </c>
      <c r="H656" s="15" t="n">
        <f aca="false">G656*(1+IF(H$3&lt;=$O$2,$D656,$D656-($D656-$I$643)*MIN(H$3-$O$2,$Q$2)/$Q$2))</f>
        <v>3445.5822013171</v>
      </c>
      <c r="I656" s="15" t="n">
        <f aca="false">H656*(1+IF(I$3&lt;=$O$2,$D656,$D656-($D656-$I$643)*MIN(I$3-$O$2,$Q$2)/$Q$2))</f>
        <v>3707.61805476199</v>
      </c>
      <c r="J656" s="15" t="n">
        <f aca="false">I656*(1+IF(J$3&lt;=$O$2,$D656,$D656-($D656-$I$643)*MIN(J$3-$O$2,$Q$2)/$Q$2))</f>
        <v>3954.17407608834</v>
      </c>
      <c r="K656" s="15" t="n">
        <f aca="false">J656*(1+IF(K$3&lt;=$O$2,$D656,$D656-($D656-$I$643)*MIN(K$3-$O$2,$Q$2)/$Q$2))</f>
        <v>4179.3638263418</v>
      </c>
      <c r="L656" s="15" t="n">
        <f aca="false">K656*(1+IF(L$3&lt;=$O$2,$D656,$D656-($D656-$I$643)*MIN(L$3-$O$2,$Q$2)/$Q$2))</f>
        <v>4377.4653451976</v>
      </c>
      <c r="M656" s="15" t="n">
        <f aca="false">L656*(1+IF(M$3&lt;=$O$2,$D656,$D656-($D656-$I$643)*MIN(M$3-$O$2,$Q$2)/$Q$2))</f>
        <v>4543.15223751859</v>
      </c>
      <c r="N656" s="15" t="n">
        <f aca="false">M656*(1+IF(N$3&lt;=$O$2,$D656,$D656-($D656-$I$643)*MIN(N$3-$O$2,$Q$2)/$Q$2))</f>
        <v>4671.72344584037</v>
      </c>
      <c r="O656" s="15" t="n">
        <f aca="false">SUMPRODUCT(E656:N656,1/(1+$F$643)^$E$3:$N$3)*$E$2</f>
        <v>4344.49493883512</v>
      </c>
      <c r="P656" s="15" t="n">
        <f aca="false">N656*$E$2*(1+$I$643)/($F$643-$I$643)/(1+$F$643)^$N$3</f>
        <v>4694.19780707094</v>
      </c>
      <c r="Q656" s="15" t="n">
        <f aca="false">O656+P656</f>
        <v>9038.69274590606</v>
      </c>
      <c r="R656" s="15" t="n">
        <f aca="false">Q656-$G$2+$I$2</f>
        <v>7662.49274590607</v>
      </c>
      <c r="S656" s="42" t="n">
        <f aca="false">R656/$K$2</f>
        <v>204.278665580007</v>
      </c>
      <c r="T656" s="43" t="n">
        <f aca="false">S656-$M$2</f>
        <v>-0.200140071819021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0.0760498046875</v>
      </c>
      <c r="C657" s="25" t="n">
        <f aca="false">IF(T656&gt;0,D656,C656)</f>
        <v>0.076416015625</v>
      </c>
      <c r="D657" s="41" t="n">
        <f aca="false">(B657+C657)/2</f>
        <v>0.07623291015625</v>
      </c>
      <c r="E657" s="15" t="n">
        <f aca="false">$C$2*(1+IF(E$3&lt;=$O$2,$D657,$D657-($D657-$I$643)*MIN(E$3-$O$2,$Q$2)/$Q$2))</f>
        <v>2765.91857910156</v>
      </c>
      <c r="F657" s="15" t="n">
        <f aca="false">E657*(1+IF(F$3&lt;=$O$2,$D657,$D657-($D657-$I$643)*MIN(F$3-$O$2,$Q$2)/$Q$2))</f>
        <v>2976.77260164171</v>
      </c>
      <c r="G657" s="15" t="n">
        <f aca="false">F657*(1+IF(G$3&lt;=$O$2,$D657,$D657-($D657-$I$643)*MIN(G$3-$O$2,$Q$2)/$Q$2))</f>
        <v>3203.70063993825</v>
      </c>
      <c r="H657" s="15" t="n">
        <f aca="false">G657*(1+IF(H$3&lt;=$O$2,$D657,$D657-($D657-$I$643)*MIN(H$3-$O$2,$Q$2)/$Q$2))</f>
        <v>3447.92806299019</v>
      </c>
      <c r="I657" s="15" t="n">
        <f aca="false">H657*(1+IF(I$3&lt;=$O$2,$D657,$D657-($D657-$I$643)*MIN(I$3-$O$2,$Q$2)/$Q$2))</f>
        <v>3710.77365324133</v>
      </c>
      <c r="J657" s="15" t="n">
        <f aca="false">I657*(1+IF(J$3&lt;=$O$2,$D657,$D657-($D657-$I$643)*MIN(J$3-$O$2,$Q$2)/$Q$2))</f>
        <v>3958.08309173286</v>
      </c>
      <c r="K657" s="15" t="n">
        <f aca="false">J657*(1+IF(K$3&lt;=$O$2,$D657,$D657-($D657-$I$643)*MIN(K$3-$O$2,$Q$2)/$Q$2))</f>
        <v>4183.9303079651</v>
      </c>
      <c r="L657" s="15" t="n">
        <f aca="false">K657*(1+IF(L$3&lt;=$O$2,$D657,$D657-($D657-$I$643)*MIN(L$3-$O$2,$Q$2)/$Q$2))</f>
        <v>4382.55471790119</v>
      </c>
      <c r="M657" s="15" t="n">
        <f aca="false">L657*(1+IF(M$3&lt;=$O$2,$D657,$D657-($D657-$I$643)*MIN(M$3-$O$2,$Q$2)/$Q$2))</f>
        <v>4548.5947367274</v>
      </c>
      <c r="N657" s="15" t="n">
        <f aca="false">M657*(1+IF(N$3&lt;=$O$2,$D657,$D657-($D657-$I$643)*MIN(N$3-$O$2,$Q$2)/$Q$2))</f>
        <v>4677.31996777678</v>
      </c>
      <c r="O657" s="15" t="n">
        <f aca="false">SUMPRODUCT(E657:N657,1/(1+$F$643)^$E$3:$N$3)*$E$2</f>
        <v>4347.89534245223</v>
      </c>
      <c r="P657" s="15" t="n">
        <f aca="false">N657*$E$2*(1+$I$643)/($F$643-$I$643)/(1+$F$643)^$N$3</f>
        <v>4699.82125231673</v>
      </c>
      <c r="Q657" s="15" t="n">
        <f aca="false">O657+P657</f>
        <v>9047.71659476897</v>
      </c>
      <c r="R657" s="15" t="n">
        <f aca="false">Q657-$G$2+$I$2</f>
        <v>7671.51659476897</v>
      </c>
      <c r="S657" s="42" t="n">
        <f aca="false">R657/$K$2</f>
        <v>204.5192373972</v>
      </c>
      <c r="T657" s="43" t="n">
        <f aca="false">S657-$M$2</f>
        <v>0.0404317453737235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0.0760498046875</v>
      </c>
      <c r="C658" s="25" t="n">
        <f aca="false">IF(T657&gt;0,D657,C657)</f>
        <v>0.07623291015625</v>
      </c>
      <c r="D658" s="41" t="n">
        <f aca="false">(B658+C658)/2</f>
        <v>0.076141357421875</v>
      </c>
      <c r="E658" s="15" t="n">
        <f aca="false">$C$2*(1+IF(E$3&lt;=$O$2,$D658,$D658-($D658-$I$643)*MIN(E$3-$O$2,$Q$2)/$Q$2))</f>
        <v>2765.68328857422</v>
      </c>
      <c r="F658" s="15" t="n">
        <f aca="false">E658*(1+IF(F$3&lt;=$O$2,$D658,$D658-($D658-$I$643)*MIN(F$3-$O$2,$Q$2)/$Q$2))</f>
        <v>2976.26616836526</v>
      </c>
      <c r="G658" s="15" t="n">
        <f aca="false">F658*(1+IF(G$3&lt;=$O$2,$D658,$D658-($D658-$I$643)*MIN(G$3-$O$2,$Q$2)/$Q$2))</f>
        <v>3202.88311447339</v>
      </c>
      <c r="H658" s="15" t="n">
        <f aca="false">G658*(1+IF(H$3&lt;=$O$2,$D658,$D658-($D658-$I$643)*MIN(H$3-$O$2,$Q$2)/$Q$2))</f>
        <v>3446.75498247299</v>
      </c>
      <c r="I658" s="15" t="n">
        <f aca="false">H658*(1+IF(I$3&lt;=$O$2,$D658,$D658-($D658-$I$643)*MIN(I$3-$O$2,$Q$2)/$Q$2))</f>
        <v>3709.1955855391</v>
      </c>
      <c r="J658" s="15" t="n">
        <f aca="false">I658*(1+IF(J$3&lt;=$O$2,$D658,$D658-($D658-$I$643)*MIN(J$3-$O$2,$Q$2)/$Q$2))</f>
        <v>3956.12818201419</v>
      </c>
      <c r="K658" s="15" t="n">
        <f aca="false">J658*(1+IF(K$3&lt;=$O$2,$D658,$D658-($D658-$I$643)*MIN(K$3-$O$2,$Q$2)/$Q$2))</f>
        <v>4181.64653498269</v>
      </c>
      <c r="L658" s="15" t="n">
        <f aca="false">K658*(1+IF(L$3&lt;=$O$2,$D658,$D658-($D658-$I$643)*MIN(L$3-$O$2,$Q$2)/$Q$2))</f>
        <v>4380.00939051952</v>
      </c>
      <c r="M658" s="15" t="n">
        <f aca="false">L658*(1+IF(M$3&lt;=$O$2,$D658,$D658-($D658-$I$643)*MIN(M$3-$O$2,$Q$2)/$Q$2))</f>
        <v>4545.87277522382</v>
      </c>
      <c r="N658" s="15" t="n">
        <f aca="false">M658*(1+IF(N$3&lt;=$O$2,$D658,$D658-($D658-$I$643)*MIN(N$3-$O$2,$Q$2)/$Q$2))</f>
        <v>4674.52097476266</v>
      </c>
      <c r="O658" s="15" t="n">
        <f aca="false">SUMPRODUCT(E658:N658,1/(1+$F$643)^$E$3:$N$3)*$E$2</f>
        <v>4346.19480606312</v>
      </c>
      <c r="P658" s="15" t="n">
        <f aca="false">N658*$E$2*(1+$I$643)/($F$643-$I$643)/(1+$F$643)^$N$3</f>
        <v>4697.00879412625</v>
      </c>
      <c r="Q658" s="15" t="n">
        <f aca="false">O658+P658</f>
        <v>9043.20360018937</v>
      </c>
      <c r="R658" s="15" t="n">
        <f aca="false">Q658-$G$2+$I$2</f>
        <v>7667.00360018937</v>
      </c>
      <c r="S658" s="42" t="n">
        <f aca="false">R658/$K$2</f>
        <v>204.398922958927</v>
      </c>
      <c r="T658" s="43" t="n">
        <f aca="false">S658-$M$2</f>
        <v>-0.0798826928986216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0.076141357421875</v>
      </c>
      <c r="C659" s="25" t="n">
        <f aca="false">IF(T658&gt;0,D658,C658)</f>
        <v>0.07623291015625</v>
      </c>
      <c r="D659" s="41" t="n">
        <f aca="false">(B659+C659)/2</f>
        <v>0.0761871337890625</v>
      </c>
      <c r="E659" s="15" t="n">
        <f aca="false">$C$2*(1+IF(E$3&lt;=$O$2,$D659,$D659-($D659-$I$643)*MIN(E$3-$O$2,$Q$2)/$Q$2))</f>
        <v>2765.80093383789</v>
      </c>
      <c r="F659" s="15" t="n">
        <f aca="false">E659*(1+IF(F$3&lt;=$O$2,$D659,$D659-($D659-$I$643)*MIN(F$3-$O$2,$Q$2)/$Q$2))</f>
        <v>2976.51937961811</v>
      </c>
      <c r="G659" s="15" t="n">
        <f aca="false">F659*(1+IF(G$3&lt;=$O$2,$D659,$D659-($D659-$I$643)*MIN(G$3-$O$2,$Q$2)/$Q$2))</f>
        <v>3203.29185981881</v>
      </c>
      <c r="H659" s="15" t="n">
        <f aca="false">G659*(1+IF(H$3&lt;=$O$2,$D659,$D659-($D659-$I$643)*MIN(H$3-$O$2,$Q$2)/$Q$2))</f>
        <v>3447.34148530825</v>
      </c>
      <c r="I659" s="15" t="n">
        <f aca="false">H659*(1+IF(I$3&lt;=$O$2,$D659,$D659-($D659-$I$643)*MIN(I$3-$O$2,$Q$2)/$Q$2))</f>
        <v>3709.98455226601</v>
      </c>
      <c r="J659" s="15" t="n">
        <f aca="false">I659*(1+IF(J$3&lt;=$O$2,$D659,$D659-($D659-$I$643)*MIN(J$3-$O$2,$Q$2)/$Q$2))</f>
        <v>3957.10553638291</v>
      </c>
      <c r="K659" s="15" t="n">
        <f aca="false">J659*(1+IF(K$3&lt;=$O$2,$D659,$D659-($D659-$I$643)*MIN(K$3-$O$2,$Q$2)/$Q$2))</f>
        <v>4182.78828840547</v>
      </c>
      <c r="L659" s="15" t="n">
        <f aca="false">K659*(1+IF(L$3&lt;=$O$2,$D659,$D659-($D659-$I$643)*MIN(L$3-$O$2,$Q$2)/$Q$2))</f>
        <v>4381.28189391863</v>
      </c>
      <c r="M659" s="15" t="n">
        <f aca="false">L659*(1+IF(M$3&lt;=$O$2,$D659,$D659-($D659-$I$643)*MIN(M$3-$O$2,$Q$2)/$Q$2))</f>
        <v>4547.23357796086</v>
      </c>
      <c r="N659" s="15" t="n">
        <f aca="false">M659*(1+IF(N$3&lt;=$O$2,$D659,$D659-($D659-$I$643)*MIN(N$3-$O$2,$Q$2)/$Q$2))</f>
        <v>4675.92028821715</v>
      </c>
      <c r="O659" s="15" t="n">
        <f aca="false">SUMPRODUCT(E659:N659,1/(1+$F$643)^$E$3:$N$3)*$E$2</f>
        <v>4347.04499059715</v>
      </c>
      <c r="P659" s="15" t="n">
        <f aca="false">N659*$E$2*(1+$I$643)/($F$643-$I$643)/(1+$F$643)^$N$3</f>
        <v>4698.41483928831</v>
      </c>
      <c r="Q659" s="15" t="n">
        <f aca="false">O659+P659</f>
        <v>9045.45982988546</v>
      </c>
      <c r="R659" s="15" t="n">
        <f aca="false">Q659-$G$2+$I$2</f>
        <v>7669.25982988546</v>
      </c>
      <c r="S659" s="42" t="n">
        <f aca="false">R659/$K$2</f>
        <v>204.459073044134</v>
      </c>
      <c r="T659" s="43" t="n">
        <f aca="false">S659-$M$2</f>
        <v>-0.0197326076921911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0.0761871337890625</v>
      </c>
      <c r="C660" s="25" t="n">
        <f aca="false">IF(T659&gt;0,D659,C659)</f>
        <v>0.07623291015625</v>
      </c>
      <c r="D660" s="41" t="n">
        <f aca="false">(B660+C660)/2</f>
        <v>0.0762100219726563</v>
      </c>
      <c r="E660" s="15" t="n">
        <f aca="false">$C$2*(1+IF(E$3&lt;=$O$2,$D660,$D660-($D660-$I$643)*MIN(E$3-$O$2,$Q$2)/$Q$2))</f>
        <v>2765.85975646973</v>
      </c>
      <c r="F660" s="15" t="n">
        <f aca="false">E660*(1+IF(F$3&lt;=$O$2,$D660,$D660-($D660-$I$643)*MIN(F$3-$O$2,$Q$2)/$Q$2))</f>
        <v>2976.64598928357</v>
      </c>
      <c r="G660" s="15" t="n">
        <f aca="false">F660*(1+IF(G$3&lt;=$O$2,$D660,$D660-($D660-$I$643)*MIN(G$3-$O$2,$Q$2)/$Q$2))</f>
        <v>3203.49624553169</v>
      </c>
      <c r="H660" s="15" t="n">
        <f aca="false">G660*(1+IF(H$3&lt;=$O$2,$D660,$D660-($D660-$I$643)*MIN(H$3-$O$2,$Q$2)/$Q$2))</f>
        <v>3447.63476479298</v>
      </c>
      <c r="I660" s="15" t="n">
        <f aca="false">H660*(1+IF(I$3&lt;=$O$2,$D660,$D660-($D660-$I$643)*MIN(I$3-$O$2,$Q$2)/$Q$2))</f>
        <v>3710.37908597155</v>
      </c>
      <c r="J660" s="15" t="n">
        <f aca="false">I660*(1+IF(J$3&lt;=$O$2,$D660,$D660-($D660-$I$643)*MIN(J$3-$O$2,$Q$2)/$Q$2))</f>
        <v>3957.59428893317</v>
      </c>
      <c r="K660" s="15" t="n">
        <f aca="false">J660*(1+IF(K$3&lt;=$O$2,$D660,$D660-($D660-$I$643)*MIN(K$3-$O$2,$Q$2)/$Q$2))</f>
        <v>4183.35926491497</v>
      </c>
      <c r="L660" s="15" t="n">
        <f aca="false">K660*(1+IF(L$3&lt;=$O$2,$D660,$D660-($D660-$I$643)*MIN(L$3-$O$2,$Q$2)/$Q$2))</f>
        <v>4381.9182658327</v>
      </c>
      <c r="M660" s="15" t="n">
        <f aca="false">L660*(1+IF(M$3&lt;=$O$2,$D660,$D660-($D660-$I$643)*MIN(M$3-$O$2,$Q$2)/$Q$2))</f>
        <v>4547.91411283545</v>
      </c>
      <c r="N660" s="15" t="n">
        <f aca="false">M660*(1+IF(N$3&lt;=$O$2,$D660,$D660-($D660-$I$643)*MIN(N$3-$O$2,$Q$2)/$Q$2))</f>
        <v>4676.62008222869</v>
      </c>
      <c r="O660" s="15" t="n">
        <f aca="false">SUMPRODUCT(E660:N660,1/(1+$F$643)^$E$3:$N$3)*$E$2</f>
        <v>4347.47014560764</v>
      </c>
      <c r="P660" s="15" t="n">
        <f aca="false">N660*$E$2*(1+$I$643)/($F$643-$I$643)/(1+$F$643)^$N$3</f>
        <v>4699.11799981406</v>
      </c>
      <c r="Q660" s="15" t="n">
        <f aca="false">O660+P660</f>
        <v>9046.5881454217</v>
      </c>
      <c r="R660" s="15" t="n">
        <f aca="false">Q660-$G$2+$I$2</f>
        <v>7670.3881454217</v>
      </c>
      <c r="S660" s="42" t="n">
        <f aca="false">R660/$K$2</f>
        <v>204.489153436996</v>
      </c>
      <c r="T660" s="43" t="n">
        <f aca="false">S660-$M$2</f>
        <v>0.0103477851694436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0.0761871337890625</v>
      </c>
      <c r="C661" s="25" t="n">
        <f aca="false">IF(T660&gt;0,D660,C660)</f>
        <v>0.0762100219726563</v>
      </c>
      <c r="D661" s="41" t="n">
        <f aca="false">(B661+C661)/2</f>
        <v>0.0761985778808594</v>
      </c>
      <c r="E661" s="15" t="n">
        <f aca="false">$C$2*(1+IF(E$3&lt;=$O$2,$D661,$D661-($D661-$I$643)*MIN(E$3-$O$2,$Q$2)/$Q$2))</f>
        <v>2765.83034515381</v>
      </c>
      <c r="F661" s="15" t="n">
        <f aca="false">E661*(1+IF(F$3&lt;=$O$2,$D661,$D661-($D661-$I$643)*MIN(F$3-$O$2,$Q$2)/$Q$2))</f>
        <v>2976.58268411426</v>
      </c>
      <c r="G661" s="15" t="n">
        <f aca="false">F661*(1+IF(G$3&lt;=$O$2,$D661,$D661-($D661-$I$643)*MIN(G$3-$O$2,$Q$2)/$Q$2))</f>
        <v>3203.39405158855</v>
      </c>
      <c r="H661" s="15" t="n">
        <f aca="false">G661*(1+IF(H$3&lt;=$O$2,$D661,$D661-($D661-$I$643)*MIN(H$3-$O$2,$Q$2)/$Q$2))</f>
        <v>3447.48812271161</v>
      </c>
      <c r="I661" s="15" t="n">
        <f aca="false">H661*(1+IF(I$3&lt;=$O$2,$D661,$D661-($D661-$I$643)*MIN(I$3-$O$2,$Q$2)/$Q$2))</f>
        <v>3710.18181492338</v>
      </c>
      <c r="J661" s="15" t="n">
        <f aca="false">I661*(1+IF(J$3&lt;=$O$2,$D661,$D661-($D661-$I$643)*MIN(J$3-$O$2,$Q$2)/$Q$2))</f>
        <v>3957.34990637712</v>
      </c>
      <c r="K661" s="15" t="n">
        <f aca="false">J661*(1+IF(K$3&lt;=$O$2,$D661,$D661-($D661-$I$643)*MIN(K$3-$O$2,$Q$2)/$Q$2))</f>
        <v>4183.07376834304</v>
      </c>
      <c r="L661" s="15" t="n">
        <f aca="false">K661*(1+IF(L$3&lt;=$O$2,$D661,$D661-($D661-$I$643)*MIN(L$3-$O$2,$Q$2)/$Q$2))</f>
        <v>4381.60006985689</v>
      </c>
      <c r="M661" s="15" t="n">
        <f aca="false">L661*(1+IF(M$3&lt;=$O$2,$D661,$D661-($D661-$I$643)*MIN(M$3-$O$2,$Q$2)/$Q$2))</f>
        <v>4547.57383427161</v>
      </c>
      <c r="N661" s="15" t="n">
        <f aca="false">M661*(1+IF(N$3&lt;=$O$2,$D661,$D661-($D661-$I$643)*MIN(N$3-$O$2,$Q$2)/$Q$2))</f>
        <v>4676.27017378149</v>
      </c>
      <c r="O661" s="15" t="n">
        <f aca="false">SUMPRODUCT(E661:N661,1/(1+$F$643)^$E$3:$N$3)*$E$2</f>
        <v>4347.25756287337</v>
      </c>
      <c r="P661" s="15" t="n">
        <f aca="false">N661*$E$2*(1+$I$643)/($F$643-$I$643)/(1+$F$643)^$N$3</f>
        <v>4698.76640805472</v>
      </c>
      <c r="Q661" s="15" t="n">
        <f aca="false">O661+P661</f>
        <v>9046.02397092809</v>
      </c>
      <c r="R661" s="15" t="n">
        <f aca="false">Q661-$G$2+$I$2</f>
        <v>7669.82397092809</v>
      </c>
      <c r="S661" s="42" t="n">
        <f aca="false">R661/$K$2</f>
        <v>204.47411279467</v>
      </c>
      <c r="T661" s="43" t="n">
        <f aca="false">S661-$M$2</f>
        <v>-0.00469285715561796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0.0761985778808594</v>
      </c>
      <c r="C662" s="25" t="n">
        <f aca="false">IF(T661&gt;0,D661,C661)</f>
        <v>0.0762100219726563</v>
      </c>
      <c r="D662" s="41" t="n">
        <f aca="false">(B662+C662)/2</f>
        <v>0.0762042999267578</v>
      </c>
      <c r="E662" s="15" t="n">
        <f aca="false">$C$2*(1+IF(E$3&lt;=$O$2,$D662,$D662-($D662-$I$643)*MIN(E$3-$O$2,$Q$2)/$Q$2))</f>
        <v>2765.84505081177</v>
      </c>
      <c r="F662" s="15" t="n">
        <f aca="false">E662*(1+IF(F$3&lt;=$O$2,$D662,$D662-($D662-$I$643)*MIN(F$3-$O$2,$Q$2)/$Q$2))</f>
        <v>2976.61433661477</v>
      </c>
      <c r="G662" s="15" t="n">
        <f aca="false">F662*(1+IF(G$3&lt;=$O$2,$D662,$D662-($D662-$I$643)*MIN(G$3-$O$2,$Q$2)/$Q$2))</f>
        <v>3203.44514828845</v>
      </c>
      <c r="H662" s="15" t="n">
        <f aca="false">G662*(1+IF(H$3&lt;=$O$2,$D662,$D662-($D662-$I$643)*MIN(H$3-$O$2,$Q$2)/$Q$2))</f>
        <v>3447.56144316754</v>
      </c>
      <c r="I662" s="15" t="n">
        <f aca="false">H662*(1+IF(I$3&lt;=$O$2,$D662,$D662-($D662-$I$643)*MIN(I$3-$O$2,$Q$2)/$Q$2))</f>
        <v>3710.2804493986</v>
      </c>
      <c r="J662" s="15" t="n">
        <f aca="false">I662*(1+IF(J$3&lt;=$O$2,$D662,$D662-($D662-$I$643)*MIN(J$3-$O$2,$Q$2)/$Q$2))</f>
        <v>3957.47209608488</v>
      </c>
      <c r="K662" s="15" t="n">
        <f aca="false">J662*(1+IF(K$3&lt;=$O$2,$D662,$D662-($D662-$I$643)*MIN(K$3-$O$2,$Q$2)/$Q$2))</f>
        <v>4183.21651454966</v>
      </c>
      <c r="L662" s="15" t="n">
        <f aca="false">K662*(1+IF(L$3&lt;=$O$2,$D662,$D662-($D662-$I$643)*MIN(L$3-$O$2,$Q$2)/$Q$2))</f>
        <v>4381.75916534004</v>
      </c>
      <c r="M662" s="15" t="n">
        <f aca="false">L662*(1+IF(M$3&lt;=$O$2,$D662,$D662-($D662-$I$643)*MIN(M$3-$O$2,$Q$2)/$Q$2))</f>
        <v>4547.74397077181</v>
      </c>
      <c r="N662" s="15" t="n">
        <f aca="false">M662*(1+IF(N$3&lt;=$O$2,$D662,$D662-($D662-$I$643)*MIN(N$3-$O$2,$Q$2)/$Q$2))</f>
        <v>4676.44512514465</v>
      </c>
      <c r="O662" s="15" t="n">
        <f aca="false">SUMPRODUCT(E662:N662,1/(1+$F$643)^$E$3:$N$3)*$E$2</f>
        <v>4347.36385293322</v>
      </c>
      <c r="P662" s="15" t="n">
        <f aca="false">N662*$E$2*(1+$I$643)/($F$643-$I$643)/(1+$F$643)^$N$3</f>
        <v>4698.94220106019</v>
      </c>
      <c r="Q662" s="15" t="n">
        <f aca="false">O662+P662</f>
        <v>9046.30605399341</v>
      </c>
      <c r="R662" s="15" t="n">
        <f aca="false">Q662-$G$2+$I$2</f>
        <v>7670.10605399341</v>
      </c>
      <c r="S662" s="42" t="n">
        <f aca="false">R662/$K$2</f>
        <v>204.481633004357</v>
      </c>
      <c r="T662" s="43" t="n">
        <f aca="false">S662-$M$2</f>
        <v>0.00282735253043143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0.0761985778808594</v>
      </c>
      <c r="C663" s="25" t="n">
        <f aca="false">IF(T662&gt;0,D662,C662)</f>
        <v>0.0762042999267578</v>
      </c>
      <c r="D663" s="41" t="n">
        <f aca="false">(B663+C663)/2</f>
        <v>0.0762014389038086</v>
      </c>
      <c r="E663" s="15" t="n">
        <f aca="false">$C$2*(1+IF(E$3&lt;=$O$2,$D663,$D663-($D663-$I$643)*MIN(E$3-$O$2,$Q$2)/$Q$2))</f>
        <v>2765.83769798279</v>
      </c>
      <c r="F663" s="15" t="n">
        <f aca="false">E663*(1+IF(F$3&lt;=$O$2,$D663,$D663-($D663-$I$643)*MIN(F$3-$O$2,$Q$2)/$Q$2))</f>
        <v>2976.59851034347</v>
      </c>
      <c r="G663" s="15" t="n">
        <f aca="false">F663*(1+IF(G$3&lt;=$O$2,$D663,$D663-($D663-$I$643)*MIN(G$3-$O$2,$Q$2)/$Q$2))</f>
        <v>3203.41959987058</v>
      </c>
      <c r="H663" s="15" t="n">
        <f aca="false">G663*(1+IF(H$3&lt;=$O$2,$D663,$D663-($D663-$I$643)*MIN(H$3-$O$2,$Q$2)/$Q$2))</f>
        <v>3447.52478279338</v>
      </c>
      <c r="I663" s="15" t="n">
        <f aca="false">H663*(1+IF(I$3&lt;=$O$2,$D663,$D663-($D663-$I$643)*MIN(I$3-$O$2,$Q$2)/$Q$2))</f>
        <v>3710.23113189878</v>
      </c>
      <c r="J663" s="15" t="n">
        <f aca="false">I663*(1+IF(J$3&lt;=$O$2,$D663,$D663-($D663-$I$643)*MIN(J$3-$O$2,$Q$2)/$Q$2))</f>
        <v>3957.41100083844</v>
      </c>
      <c r="K663" s="15" t="n">
        <f aca="false">J663*(1+IF(K$3&lt;=$O$2,$D663,$D663-($D663-$I$643)*MIN(K$3-$O$2,$Q$2)/$Q$2))</f>
        <v>4183.14514092652</v>
      </c>
      <c r="L663" s="15" t="n">
        <f aca="false">K663*(1+IF(L$3&lt;=$O$2,$D663,$D663-($D663-$I$643)*MIN(L$3-$O$2,$Q$2)/$Q$2))</f>
        <v>4381.67961697228</v>
      </c>
      <c r="M663" s="15" t="n">
        <f aca="false">L663*(1+IF(M$3&lt;=$O$2,$D663,$D663-($D663-$I$643)*MIN(M$3-$O$2,$Q$2)/$Q$2))</f>
        <v>4547.65890182629</v>
      </c>
      <c r="N663" s="15" t="n">
        <f aca="false">M663*(1+IF(N$3&lt;=$O$2,$D663,$D663-($D663-$I$643)*MIN(N$3-$O$2,$Q$2)/$Q$2))</f>
        <v>4676.35764874798</v>
      </c>
      <c r="O663" s="15" t="n">
        <f aca="false">SUMPRODUCT(E663:N663,1/(1+$F$643)^$E$3:$N$3)*$E$2</f>
        <v>4347.31070757648</v>
      </c>
      <c r="P663" s="15" t="n">
        <f aca="false">N663*$E$2*(1+$I$643)/($F$643-$I$643)/(1+$F$643)^$N$3</f>
        <v>4698.85430383891</v>
      </c>
      <c r="Q663" s="15" t="n">
        <f aca="false">O663+P663</f>
        <v>9046.16501141539</v>
      </c>
      <c r="R663" s="15" t="n">
        <f aca="false">Q663-$G$2+$I$2</f>
        <v>7669.96501141539</v>
      </c>
      <c r="S663" s="42" t="n">
        <f aca="false">R663/$K$2</f>
        <v>204.477872871645</v>
      </c>
      <c r="T663" s="43" t="n">
        <f aca="false">S663-$M$2</f>
        <v>-0.000932780181386761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0.0762014389038086</v>
      </c>
      <c r="C664" s="25" t="n">
        <f aca="false">IF(T663&gt;0,D663,C663)</f>
        <v>0.0762042999267578</v>
      </c>
      <c r="D664" s="41" t="n">
        <f aca="false">(B664+C664)/2</f>
        <v>0.0762028694152832</v>
      </c>
      <c r="E664" s="15" t="n">
        <f aca="false">$C$2*(1+IF(E$3&lt;=$O$2,$D664,$D664-($D664-$I$643)*MIN(E$3-$O$2,$Q$2)/$Q$2))</f>
        <v>2765.84137439728</v>
      </c>
      <c r="F664" s="15" t="n">
        <f aca="false">E664*(1+IF(F$3&lt;=$O$2,$D664,$D664-($D664-$I$643)*MIN(F$3-$O$2,$Q$2)/$Q$2))</f>
        <v>2976.60642347386</v>
      </c>
      <c r="G664" s="15" t="n">
        <f aca="false">F664*(1+IF(G$3&lt;=$O$2,$D664,$D664-($D664-$I$643)*MIN(G$3-$O$2,$Q$2)/$Q$2))</f>
        <v>3203.43237406253</v>
      </c>
      <c r="H664" s="15" t="n">
        <f aca="false">G664*(1+IF(H$3&lt;=$O$2,$D664,$D664-($D664-$I$643)*MIN(H$3-$O$2,$Q$2)/$Q$2))</f>
        <v>3447.54311294391</v>
      </c>
      <c r="I664" s="15" t="n">
        <f aca="false">H664*(1+IF(I$3&lt;=$O$2,$D664,$D664-($D664-$I$643)*MIN(I$3-$O$2,$Q$2)/$Q$2))</f>
        <v>3710.25579058313</v>
      </c>
      <c r="J664" s="15" t="n">
        <f aca="false">I664*(1+IF(J$3&lt;=$O$2,$D664,$D664-($D664-$I$643)*MIN(J$3-$O$2,$Q$2)/$Q$2))</f>
        <v>3957.44154836352</v>
      </c>
      <c r="K664" s="15" t="n">
        <f aca="false">J664*(1+IF(K$3&lt;=$O$2,$D664,$D664-($D664-$I$643)*MIN(K$3-$O$2,$Q$2)/$Q$2))</f>
        <v>4183.18082760813</v>
      </c>
      <c r="L664" s="15" t="n">
        <f aca="false">K664*(1+IF(L$3&lt;=$O$2,$D664,$D664-($D664-$I$643)*MIN(L$3-$O$2,$Q$2)/$Q$2))</f>
        <v>4381.71939099961</v>
      </c>
      <c r="M664" s="15" t="n">
        <f aca="false">L664*(1+IF(M$3&lt;=$O$2,$D664,$D664-($D664-$I$643)*MIN(M$3-$O$2,$Q$2)/$Q$2))</f>
        <v>4547.7014361252</v>
      </c>
      <c r="N664" s="15" t="n">
        <f aca="false">M664*(1+IF(N$3&lt;=$O$2,$D664,$D664-($D664-$I$643)*MIN(N$3-$O$2,$Q$2)/$Q$2))</f>
        <v>4676.40138676754</v>
      </c>
      <c r="O664" s="15" t="n">
        <f aca="false">SUMPRODUCT(E664:N664,1/(1+$F$643)^$E$3:$N$3)*$E$2</f>
        <v>4347.33728017315</v>
      </c>
      <c r="P664" s="15" t="n">
        <f aca="false">N664*$E$2*(1+$I$643)/($F$643-$I$643)/(1+$F$643)^$N$3</f>
        <v>4698.89825226992</v>
      </c>
      <c r="Q664" s="15" t="n">
        <f aca="false">O664+P664</f>
        <v>9046.23553244306</v>
      </c>
      <c r="R664" s="15" t="n">
        <f aca="false">Q664-$G$2+$I$2</f>
        <v>7670.03553244306</v>
      </c>
      <c r="S664" s="42" t="n">
        <f aca="false">R664/$K$2</f>
        <v>204.479752931033</v>
      </c>
      <c r="T664" s="43" t="n">
        <f aca="false">S664-$M$2</f>
        <v>0.000947279207281326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0.0762014389038086</v>
      </c>
      <c r="C665" s="25" t="n">
        <f aca="false">IF(T664&gt;0,D664,C664)</f>
        <v>0.0762028694152832</v>
      </c>
      <c r="D665" s="41" t="n">
        <f aca="false">(B665+C665)/2</f>
        <v>0.0762021541595459</v>
      </c>
      <c r="E665" s="15" t="n">
        <f aca="false">$C$2*(1+IF(E$3&lt;=$O$2,$D665,$D665-($D665-$I$643)*MIN(E$3-$O$2,$Q$2)/$Q$2))</f>
        <v>2765.83953619003</v>
      </c>
      <c r="F665" s="15" t="n">
        <f aca="false">E665*(1+IF(F$3&lt;=$O$2,$D665,$D665-($D665-$I$643)*MIN(F$3-$O$2,$Q$2)/$Q$2))</f>
        <v>2976.60246690735</v>
      </c>
      <c r="G665" s="15" t="n">
        <f aca="false">F665*(1+IF(G$3&lt;=$O$2,$D665,$D665-($D665-$I$643)*MIN(G$3-$O$2,$Q$2)/$Q$2))</f>
        <v>3203.42598696231</v>
      </c>
      <c r="H665" s="15" t="n">
        <f aca="false">G665*(1+IF(H$3&lt;=$O$2,$D665,$D665-($D665-$I$643)*MIN(H$3-$O$2,$Q$2)/$Q$2))</f>
        <v>3447.53394785951</v>
      </c>
      <c r="I665" s="15" t="n">
        <f aca="false">H665*(1+IF(I$3&lt;=$O$2,$D665,$D665-($D665-$I$643)*MIN(I$3-$O$2,$Q$2)/$Q$2))</f>
        <v>3710.24346122457</v>
      </c>
      <c r="J665" s="15" t="n">
        <f aca="false">I665*(1+IF(J$3&lt;=$O$2,$D665,$D665-($D665-$I$643)*MIN(J$3-$O$2,$Q$2)/$Q$2))</f>
        <v>3957.42627457644</v>
      </c>
      <c r="K665" s="15" t="n">
        <f aca="false">J665*(1+IF(K$3&lt;=$O$2,$D665,$D665-($D665-$I$643)*MIN(K$3-$O$2,$Q$2)/$Q$2))</f>
        <v>4183.16298423484</v>
      </c>
      <c r="L665" s="15" t="n">
        <f aca="false">K665*(1+IF(L$3&lt;=$O$2,$D665,$D665-($D665-$I$643)*MIN(L$3-$O$2,$Q$2)/$Q$2))</f>
        <v>4381.69950394681</v>
      </c>
      <c r="M665" s="15" t="n">
        <f aca="false">L665*(1+IF(M$3&lt;=$O$2,$D665,$D665-($D665-$I$643)*MIN(M$3-$O$2,$Q$2)/$Q$2))</f>
        <v>4547.68016893228</v>
      </c>
      <c r="N665" s="15" t="n">
        <f aca="false">M665*(1+IF(N$3&lt;=$O$2,$D665,$D665-($D665-$I$643)*MIN(N$3-$O$2,$Q$2)/$Q$2))</f>
        <v>4676.37951771306</v>
      </c>
      <c r="O665" s="15" t="n">
        <f aca="false">SUMPRODUCT(E665:N665,1/(1+$F$643)^$E$3:$N$3)*$E$2</f>
        <v>4347.32399385439</v>
      </c>
      <c r="P665" s="15" t="n">
        <f aca="false">N665*$E$2*(1+$I$643)/($F$643-$I$643)/(1+$F$643)^$N$3</f>
        <v>4698.87627800951</v>
      </c>
      <c r="Q665" s="15" t="n">
        <f aca="false">O665+P665</f>
        <v>9046.20027186389</v>
      </c>
      <c r="R665" s="15" t="n">
        <f aca="false">Q665-$G$2+$I$2</f>
        <v>7670.00027186389</v>
      </c>
      <c r="S665" s="42" t="n">
        <f aca="false">R665/$K$2</f>
        <v>204.478812899597</v>
      </c>
      <c r="T665" s="43" t="n">
        <f aca="false">S665-$M$2</f>
        <v>7.2477712080854E-006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0.0762014389038086</v>
      </c>
      <c r="C666" s="25" t="n">
        <f aca="false">IF(T665&gt;0,D665,C665)</f>
        <v>0.0762021541595459</v>
      </c>
      <c r="D666" s="41" t="n">
        <f aca="false">(B666+C666)/2</f>
        <v>0.0762017965316773</v>
      </c>
      <c r="E666" s="15" t="n">
        <f aca="false">$C$2*(1+IF(E$3&lt;=$O$2,$D666,$D666-($D666-$I$643)*MIN(E$3-$O$2,$Q$2)/$Q$2))</f>
        <v>2765.83861708641</v>
      </c>
      <c r="F666" s="15" t="n">
        <f aca="false">E666*(1+IF(F$3&lt;=$O$2,$D666,$D666-($D666-$I$643)*MIN(F$3-$O$2,$Q$2)/$Q$2))</f>
        <v>2976.60048862509</v>
      </c>
      <c r="G666" s="15" t="n">
        <f aca="false">F666*(1+IF(G$3&lt;=$O$2,$D666,$D666-($D666-$I$643)*MIN(G$3-$O$2,$Q$2)/$Q$2))</f>
        <v>3203.42279341538</v>
      </c>
      <c r="H666" s="15" t="n">
        <f aca="false">G666*(1+IF(H$3&lt;=$O$2,$D666,$D666-($D666-$I$643)*MIN(H$3-$O$2,$Q$2)/$Q$2))</f>
        <v>3447.52936532416</v>
      </c>
      <c r="I666" s="15" t="n">
        <f aca="false">H666*(1+IF(I$3&lt;=$O$2,$D666,$D666-($D666-$I$643)*MIN(I$3-$O$2,$Q$2)/$Q$2))</f>
        <v>3710.23729655758</v>
      </c>
      <c r="J666" s="15" t="n">
        <f aca="false">I666*(1+IF(J$3&lt;=$O$2,$D666,$D666-($D666-$I$643)*MIN(J$3-$O$2,$Q$2)/$Q$2))</f>
        <v>3957.41863770131</v>
      </c>
      <c r="K666" s="15" t="n">
        <f aca="false">J666*(1+IF(K$3&lt;=$O$2,$D666,$D666-($D666-$I$643)*MIN(K$3-$O$2,$Q$2)/$Q$2))</f>
        <v>4183.15406257256</v>
      </c>
      <c r="L666" s="15" t="n">
        <f aca="false">K666*(1+IF(L$3&lt;=$O$2,$D666,$D666-($D666-$I$643)*MIN(L$3-$O$2,$Q$2)/$Q$2))</f>
        <v>4381.68956044976</v>
      </c>
      <c r="M666" s="15" t="n">
        <f aca="false">L666*(1+IF(M$3&lt;=$O$2,$D666,$D666-($D666-$I$643)*MIN(M$3-$O$2,$Q$2)/$Q$2))</f>
        <v>4547.66953536842</v>
      </c>
      <c r="N666" s="15" t="n">
        <f aca="false">M666*(1+IF(N$3&lt;=$O$2,$D666,$D666-($D666-$I$643)*MIN(N$3-$O$2,$Q$2)/$Q$2))</f>
        <v>4676.36858321934</v>
      </c>
      <c r="O666" s="15" t="n">
        <f aca="false">SUMPRODUCT(E666:N666,1/(1+$F$643)^$E$3:$N$3)*$E$2</f>
        <v>4347.31735071033</v>
      </c>
      <c r="P666" s="15" t="n">
        <f aca="false">N666*$E$2*(1+$I$643)/($F$643-$I$643)/(1+$F$643)^$N$3</f>
        <v>4698.86529091298</v>
      </c>
      <c r="Q666" s="15" t="n">
        <f aca="false">O666+P666</f>
        <v>9046.18264162331</v>
      </c>
      <c r="R666" s="15" t="n">
        <f aca="false">Q666-$G$2+$I$2</f>
        <v>7669.98264162331</v>
      </c>
      <c r="S666" s="42" t="n">
        <f aca="false">R666/$K$2</f>
        <v>204.478342885186</v>
      </c>
      <c r="T666" s="43" t="n">
        <f aca="false">S666-$M$2</f>
        <v>-0.000462766640595191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0.0762017965316773</v>
      </c>
      <c r="C667" s="25" t="n">
        <f aca="false">IF(T666&gt;0,D666,C666)</f>
        <v>0.0762021541595459</v>
      </c>
      <c r="D667" s="41" t="n">
        <f aca="false">(B667+C667)/2</f>
        <v>0.0762019753456116</v>
      </c>
      <c r="E667" s="15" t="n">
        <f aca="false">$C$2*(1+IF(E$3&lt;=$O$2,$D667,$D667-($D667-$I$643)*MIN(E$3-$O$2,$Q$2)/$Q$2))</f>
        <v>2765.83907663822</v>
      </c>
      <c r="F667" s="15" t="n">
        <f aca="false">E667*(1+IF(F$3&lt;=$O$2,$D667,$D667-($D667-$I$643)*MIN(F$3-$O$2,$Q$2)/$Q$2))</f>
        <v>2976.60147776614</v>
      </c>
      <c r="G667" s="15" t="n">
        <f aca="false">F667*(1+IF(G$3&lt;=$O$2,$D667,$D667-($D667-$I$643)*MIN(G$3-$O$2,$Q$2)/$Q$2))</f>
        <v>3203.42439018858</v>
      </c>
      <c r="H667" s="15" t="n">
        <f aca="false">G667*(1+IF(H$3&lt;=$O$2,$D667,$D667-($D667-$I$643)*MIN(H$3-$O$2,$Q$2)/$Q$2))</f>
        <v>3447.53165659126</v>
      </c>
      <c r="I667" s="15" t="n">
        <f aca="false">H667*(1+IF(I$3&lt;=$O$2,$D667,$D667-($D667-$I$643)*MIN(I$3-$O$2,$Q$2)/$Q$2))</f>
        <v>3710.24037889005</v>
      </c>
      <c r="J667" s="15" t="n">
        <f aca="false">I667*(1+IF(J$3&lt;=$O$2,$D667,$D667-($D667-$I$643)*MIN(J$3-$O$2,$Q$2)/$Q$2))</f>
        <v>3957.42245613734</v>
      </c>
      <c r="K667" s="15" t="n">
        <f aca="false">J667*(1+IF(K$3&lt;=$O$2,$D667,$D667-($D667-$I$643)*MIN(K$3-$O$2,$Q$2)/$Q$2))</f>
        <v>4183.15852340167</v>
      </c>
      <c r="L667" s="15" t="n">
        <f aca="false">K667*(1+IF(L$3&lt;=$O$2,$D667,$D667-($D667-$I$643)*MIN(L$3-$O$2,$Q$2)/$Q$2))</f>
        <v>4381.69453219584</v>
      </c>
      <c r="M667" s="15" t="n">
        <f aca="false">L667*(1+IF(M$3&lt;=$O$2,$D667,$D667-($D667-$I$643)*MIN(M$3-$O$2,$Q$2)/$Q$2))</f>
        <v>4547.67485214763</v>
      </c>
      <c r="N667" s="15" t="n">
        <f aca="false">M667*(1+IF(N$3&lt;=$O$2,$D667,$D667-($D667-$I$643)*MIN(N$3-$O$2,$Q$2)/$Q$2))</f>
        <v>4676.37405046341</v>
      </c>
      <c r="O667" s="15" t="n">
        <f aca="false">SUMPRODUCT(E667:N667,1/(1+$F$643)^$E$3:$N$3)*$E$2</f>
        <v>4347.32067228108</v>
      </c>
      <c r="P667" s="15" t="n">
        <f aca="false">N667*$E$2*(1+$I$643)/($F$643-$I$643)/(1+$F$643)^$N$3</f>
        <v>4698.87078445844</v>
      </c>
      <c r="Q667" s="15" t="n">
        <f aca="false">O667+P667</f>
        <v>9046.19145673952</v>
      </c>
      <c r="R667" s="15" t="n">
        <f aca="false">Q667-$G$2+$I$2</f>
        <v>7669.99145673952</v>
      </c>
      <c r="S667" s="42" t="n">
        <f aca="false">R667/$K$2</f>
        <v>204.478577892283</v>
      </c>
      <c r="T667" s="43" t="n">
        <f aca="false">S667-$M$2</f>
        <v>-0.0002277595435487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0.0762019753456116</v>
      </c>
      <c r="C668" s="25" t="n">
        <f aca="false">IF(T667&gt;0,D667,C667)</f>
        <v>0.0762021541595459</v>
      </c>
      <c r="D668" s="41" t="n">
        <f aca="false">(B668+C668)/2</f>
        <v>0.0762020647525787</v>
      </c>
      <c r="E668" s="15" t="n">
        <f aca="false">$C$2*(1+IF(E$3&lt;=$O$2,$D668,$D668-($D668-$I$643)*MIN(E$3-$O$2,$Q$2)/$Q$2))</f>
        <v>2765.83930641413</v>
      </c>
      <c r="F668" s="15" t="n">
        <f aca="false">E668*(1+IF(F$3&lt;=$O$2,$D668,$D668-($D668-$I$643)*MIN(F$3-$O$2,$Q$2)/$Q$2))</f>
        <v>2976.60197233672</v>
      </c>
      <c r="G668" s="15" t="n">
        <f aca="false">F668*(1+IF(G$3&lt;=$O$2,$D668,$D668-($D668-$I$643)*MIN(G$3-$O$2,$Q$2)/$Q$2))</f>
        <v>3203.42518857538</v>
      </c>
      <c r="H668" s="15" t="n">
        <f aca="false">G668*(1+IF(H$3&lt;=$O$2,$D668,$D668-($D668-$I$643)*MIN(H$3-$O$2,$Q$2)/$Q$2))</f>
        <v>3447.53280222524</v>
      </c>
      <c r="I668" s="15" t="n">
        <f aca="false">H668*(1+IF(I$3&lt;=$O$2,$D668,$D668-($D668-$I$643)*MIN(I$3-$O$2,$Q$2)/$Q$2))</f>
        <v>3710.24192005705</v>
      </c>
      <c r="J668" s="15" t="n">
        <f aca="false">I668*(1+IF(J$3&lt;=$O$2,$D668,$D668-($D668-$I$643)*MIN(J$3-$O$2,$Q$2)/$Q$2))</f>
        <v>3957.42436535651</v>
      </c>
      <c r="K668" s="15" t="n">
        <f aca="false">J668*(1+IF(K$3&lt;=$O$2,$D668,$D668-($D668-$I$643)*MIN(K$3-$O$2,$Q$2)/$Q$2))</f>
        <v>4183.16075381774</v>
      </c>
      <c r="L668" s="15" t="n">
        <f aca="false">K668*(1+IF(L$3&lt;=$O$2,$D668,$D668-($D668-$I$643)*MIN(L$3-$O$2,$Q$2)/$Q$2))</f>
        <v>4381.69701807071</v>
      </c>
      <c r="M668" s="15" t="n">
        <f aca="false">L668*(1+IF(M$3&lt;=$O$2,$D668,$D668-($D668-$I$643)*MIN(M$3-$O$2,$Q$2)/$Q$2))</f>
        <v>4547.67751053928</v>
      </c>
      <c r="N668" s="15" t="n">
        <f aca="false">M668*(1+IF(N$3&lt;=$O$2,$D668,$D668-($D668-$I$643)*MIN(N$3-$O$2,$Q$2)/$Q$2))</f>
        <v>4676.37678408754</v>
      </c>
      <c r="O668" s="15" t="n">
        <f aca="false">SUMPRODUCT(E668:N668,1/(1+$F$643)^$E$3:$N$3)*$E$2</f>
        <v>4347.32233306741</v>
      </c>
      <c r="P668" s="15" t="n">
        <f aca="false">N668*$E$2*(1+$I$643)/($F$643-$I$643)/(1+$F$643)^$N$3</f>
        <v>4698.87353123327</v>
      </c>
      <c r="Q668" s="15" t="n">
        <f aca="false">O668+P668</f>
        <v>9046.19586430068</v>
      </c>
      <c r="R668" s="15" t="n">
        <f aca="false">Q668-$G$2+$I$2</f>
        <v>7669.99586430068</v>
      </c>
      <c r="S668" s="42" t="n">
        <f aca="false">R668/$K$2</f>
        <v>204.478695395913</v>
      </c>
      <c r="T668" s="43" t="n">
        <f aca="false">S668-$M$2</f>
        <v>-0.000110255913426727</v>
      </c>
    </row>
    <row r="670" customFormat="false" ht="15" hidden="false" customHeight="false" outlineLevel="0" collapsed="false">
      <c r="A670" s="38" t="s">
        <v>205</v>
      </c>
      <c r="E670" s="5" t="s">
        <v>11</v>
      </c>
      <c r="F670" s="12" t="n">
        <f aca="false">Sensitivity!$B$14</f>
        <v>0.104183337553844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162</v>
      </c>
      <c r="B671" s="28" t="s">
        <v>163</v>
      </c>
      <c r="C671" s="28" t="s">
        <v>164</v>
      </c>
      <c r="D671" s="28" t="s">
        <v>165</v>
      </c>
      <c r="E671" s="28" t="s">
        <v>166</v>
      </c>
      <c r="F671" s="28" t="s">
        <v>167</v>
      </c>
      <c r="G671" s="28" t="s">
        <v>168</v>
      </c>
      <c r="H671" s="28" t="s">
        <v>169</v>
      </c>
      <c r="I671" s="28" t="s">
        <v>170</v>
      </c>
      <c r="J671" s="28" t="s">
        <v>171</v>
      </c>
      <c r="K671" s="28" t="s">
        <v>172</v>
      </c>
      <c r="L671" s="28" t="s">
        <v>173</v>
      </c>
      <c r="M671" s="28" t="s">
        <v>174</v>
      </c>
      <c r="N671" s="28" t="s">
        <v>175</v>
      </c>
      <c r="O671" s="28" t="s">
        <v>176</v>
      </c>
      <c r="P671" s="28" t="s">
        <v>177</v>
      </c>
      <c r="Q671" s="28" t="s">
        <v>178</v>
      </c>
      <c r="R671" s="28" t="s">
        <v>179</v>
      </c>
      <c r="S671" s="28" t="s">
        <v>180</v>
      </c>
      <c r="T671" s="28" t="s">
        <v>181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3212.5</v>
      </c>
      <c r="F672" s="15" t="n">
        <f aca="false">E672*(1+IF(F$3&lt;=$O$2,$D672,$D672-($D672-$I$670)*MIN(F$3-$O$2,$Q$2)/$Q$2))</f>
        <v>4015.625</v>
      </c>
      <c r="G672" s="15" t="n">
        <f aca="false">F672*(1+IF(G$3&lt;=$O$2,$D672,$D672-($D672-$I$670)*MIN(G$3-$O$2,$Q$2)/$Q$2))</f>
        <v>5019.53125</v>
      </c>
      <c r="H672" s="15" t="n">
        <f aca="false">G672*(1+IF(H$3&lt;=$O$2,$D672,$D672-($D672-$I$670)*MIN(H$3-$O$2,$Q$2)/$Q$2))</f>
        <v>6274.4140625</v>
      </c>
      <c r="I672" s="15" t="n">
        <f aca="false">H672*(1+IF(I$3&lt;=$O$2,$D672,$D672-($D672-$I$670)*MIN(I$3-$O$2,$Q$2)/$Q$2))</f>
        <v>7843.017578125</v>
      </c>
      <c r="J672" s="15" t="n">
        <f aca="false">I672*(1+IF(J$3&lt;=$O$2,$D672,$D672-($D672-$I$670)*MIN(J$3-$O$2,$Q$2)/$Q$2))</f>
        <v>9463.85559082031</v>
      </c>
      <c r="K672" s="15" t="n">
        <f aca="false">J672*(1+IF(K$3&lt;=$O$2,$D672,$D672-($D672-$I$670)*MIN(K$3-$O$2,$Q$2)/$Q$2))</f>
        <v>11009.4924859131</v>
      </c>
      <c r="L672" s="15" t="n">
        <f aca="false">K672*(1+IF(L$3&lt;=$O$2,$D672,$D672-($D672-$I$670)*MIN(L$3-$O$2,$Q$2)/$Q$2))</f>
        <v>12330.4113943729</v>
      </c>
      <c r="M672" s="15" t="n">
        <f aca="false">L672*(1+IF(M$3&lt;=$O$2,$D672,$D672-($D672-$I$670)*MIN(M$3-$O$2,$Q$2)/$Q$2))</f>
        <v>13275.4141236377</v>
      </c>
      <c r="N672" s="15" t="n">
        <f aca="false">M672*(1+IF(N$3&lt;=$O$2,$D672,$D672-($D672-$I$670)*MIN(N$3-$O$2,$Q$2)/$Q$2))</f>
        <v>13717.4854139548</v>
      </c>
      <c r="O672" s="15" t="n">
        <f aca="false">SUMPRODUCT(E672:N672,1/(1+$F$670)^$E$3:$N$3)*$E$2</f>
        <v>9142.70539591569</v>
      </c>
      <c r="P672" s="15" t="n">
        <f aca="false">N672*$E$2*(1+$I$670)/($F$670-$I$670)/(1+$F$670)^$N$3</f>
        <v>14827.4895640494</v>
      </c>
      <c r="Q672" s="15" t="n">
        <f aca="false">O672+P672</f>
        <v>23970.1949599651</v>
      </c>
      <c r="R672" s="15" t="n">
        <f aca="false">Q672-$G$2+$I$2</f>
        <v>22593.9949599651</v>
      </c>
      <c r="S672" s="42" t="n">
        <f aca="false">R672/$K$2</f>
        <v>602.34590669062</v>
      </c>
      <c r="T672" s="43" t="n">
        <f aca="false">S672-$M$2</f>
        <v>397.867101038793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2248.75</v>
      </c>
      <c r="F673" s="15" t="n">
        <f aca="false">E673*(1+IF(F$3&lt;=$O$2,$D673,$D673-($D673-$I$670)*MIN(F$3-$O$2,$Q$2)/$Q$2))</f>
        <v>1967.65625</v>
      </c>
      <c r="G673" s="15" t="n">
        <f aca="false">F673*(1+IF(G$3&lt;=$O$2,$D673,$D673-($D673-$I$670)*MIN(G$3-$O$2,$Q$2)/$Q$2))</f>
        <v>1721.69921875</v>
      </c>
      <c r="H673" s="15" t="n">
        <f aca="false">G673*(1+IF(H$3&lt;=$O$2,$D673,$D673-($D673-$I$670)*MIN(H$3-$O$2,$Q$2)/$Q$2))</f>
        <v>1506.48681640625</v>
      </c>
      <c r="I673" s="15" t="n">
        <f aca="false">H673*(1+IF(I$3&lt;=$O$2,$D673,$D673-($D673-$I$670)*MIN(I$3-$O$2,$Q$2)/$Q$2))</f>
        <v>1318.17596435547</v>
      </c>
      <c r="J673" s="15" t="n">
        <f aca="false">I673*(1+IF(J$3&lt;=$O$2,$D673,$D673-($D673-$I$670)*MIN(J$3-$O$2,$Q$2)/$Q$2))</f>
        <v>1195.13741984253</v>
      </c>
      <c r="K673" s="15" t="n">
        <f aca="false">J673*(1+IF(K$3&lt;=$O$2,$D673,$D673-($D673-$I$670)*MIN(K$3-$O$2,$Q$2)/$Q$2))</f>
        <v>1121.42134378664</v>
      </c>
      <c r="L673" s="15" t="n">
        <f aca="false">K673*(1+IF(L$3&lt;=$O$2,$D673,$D673-($D673-$I$670)*MIN(L$3-$O$2,$Q$2)/$Q$2))</f>
        <v>1087.75627504617</v>
      </c>
      <c r="M673" s="15" t="n">
        <f aca="false">L673*(1+IF(M$3&lt;=$O$2,$D673,$D673-($D673-$I$670)*MIN(M$3-$O$2,$Q$2)/$Q$2))</f>
        <v>1089.54019533724</v>
      </c>
      <c r="N673" s="15" t="n">
        <f aca="false">M673*(1+IF(N$3&lt;=$O$2,$D673,$D673-($D673-$I$670)*MIN(N$3-$O$2,$Q$2)/$Q$2))</f>
        <v>1125.82188384197</v>
      </c>
      <c r="O673" s="15" t="n">
        <f aca="false">SUMPRODUCT(E673:N673,1/(1+$F$670)^$E$3:$N$3)*$E$2</f>
        <v>1862.30106309767</v>
      </c>
      <c r="P673" s="15" t="n">
        <f aca="false">N673*$E$2*(1+$I$670)/($F$670-$I$670)/(1+$F$670)^$N$3</f>
        <v>1216.92217851119</v>
      </c>
      <c r="Q673" s="15" t="n">
        <f aca="false">O673+P673</f>
        <v>3079.22324160886</v>
      </c>
      <c r="R673" s="15" t="n">
        <f aca="false">Q673-$G$2+$I$2</f>
        <v>1703.02324160886</v>
      </c>
      <c r="S673" s="42" t="n">
        <f aca="false">R673/$K$2</f>
        <v>45.4018459506493</v>
      </c>
      <c r="T673" s="43" t="n">
        <f aca="false">S673-$M$2</f>
        <v>-159.076959701177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2730.625</v>
      </c>
      <c r="F674" s="15" t="n">
        <f aca="false">E674*(1+IF(F$3&lt;=$O$2,$D674,$D674-($D674-$I$670)*MIN(F$3-$O$2,$Q$2)/$Q$2))</f>
        <v>2901.2890625</v>
      </c>
      <c r="G674" s="15" t="n">
        <f aca="false">F674*(1+IF(G$3&lt;=$O$2,$D674,$D674-($D674-$I$670)*MIN(G$3-$O$2,$Q$2)/$Q$2))</f>
        <v>3082.61962890625</v>
      </c>
      <c r="H674" s="15" t="n">
        <f aca="false">G674*(1+IF(H$3&lt;=$O$2,$D674,$D674-($D674-$I$670)*MIN(H$3-$O$2,$Q$2)/$Q$2))</f>
        <v>3275.28335571289</v>
      </c>
      <c r="I674" s="15" t="n">
        <f aca="false">H674*(1+IF(I$3&lt;=$O$2,$D674,$D674-($D674-$I$670)*MIN(I$3-$O$2,$Q$2)/$Q$2))</f>
        <v>3479.98856544495</v>
      </c>
      <c r="J674" s="15" t="n">
        <f aca="false">I674*(1+IF(J$3&lt;=$O$2,$D674,$D674-($D674-$I$670)*MIN(J$3-$O$2,$Q$2)/$Q$2))</f>
        <v>3677.16471756306</v>
      </c>
      <c r="K674" s="15" t="n">
        <f aca="false">J674*(1+IF(K$3&lt;=$O$2,$D674,$D674-($D674-$I$670)*MIN(K$3-$O$2,$Q$2)/$Q$2))</f>
        <v>3864.03822850961</v>
      </c>
      <c r="L674" s="15" t="n">
        <f aca="false">K674*(1+IF(L$3&lt;=$O$2,$D674,$D674-($D674-$I$670)*MIN(L$3-$O$2,$Q$2)/$Q$2))</f>
        <v>4037.84266802797</v>
      </c>
      <c r="M674" s="15" t="n">
        <f aca="false">L674*(1+IF(M$3&lt;=$O$2,$D674,$D674-($D674-$I$670)*MIN(M$3-$O$2,$Q$2)/$Q$2))</f>
        <v>4195.88383005459</v>
      </c>
      <c r="N674" s="15" t="n">
        <f aca="false">M674*(1+IF(N$3&lt;=$O$2,$D674,$D674-($D674-$I$670)*MIN(N$3-$O$2,$Q$2)/$Q$2))</f>
        <v>4335.60676159541</v>
      </c>
      <c r="O674" s="15" t="n">
        <f aca="false">SUMPRODUCT(E674:N674,1/(1+$F$670)^$E$3:$N$3)*$E$2</f>
        <v>4111.60903655108</v>
      </c>
      <c r="P674" s="15" t="n">
        <f aca="false">N674*$E$2*(1+$I$670)/($F$670-$I$670)/(1+$F$670)^$N$3</f>
        <v>4686.43939260032</v>
      </c>
      <c r="Q674" s="15" t="n">
        <f aca="false">O674+P674</f>
        <v>8798.0484291514</v>
      </c>
      <c r="R674" s="15" t="n">
        <f aca="false">Q674-$G$2+$I$2</f>
        <v>7421.8484291514</v>
      </c>
      <c r="S674" s="42" t="n">
        <f aca="false">R674/$K$2</f>
        <v>197.863194592146</v>
      </c>
      <c r="T674" s="43" t="n">
        <f aca="false">S674-$M$2</f>
        <v>-6.61561105967996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41" t="n">
        <f aca="false">(B675+C675)/2</f>
        <v>0.15625</v>
      </c>
      <c r="E675" s="15" t="n">
        <f aca="false">$C$2*(1+IF(E$3&lt;=$O$2,$D675,$D675-($D675-$I$670)*MIN(E$3-$O$2,$Q$2)/$Q$2))</f>
        <v>2971.5625</v>
      </c>
      <c r="F675" s="15" t="n">
        <f aca="false">E675*(1+IF(F$3&lt;=$O$2,$D675,$D675-($D675-$I$670)*MIN(F$3-$O$2,$Q$2)/$Q$2))</f>
        <v>3435.869140625</v>
      </c>
      <c r="G675" s="15" t="n">
        <f aca="false">F675*(1+IF(G$3&lt;=$O$2,$D675,$D675-($D675-$I$670)*MIN(G$3-$O$2,$Q$2)/$Q$2))</f>
        <v>3972.72369384766</v>
      </c>
      <c r="H675" s="15" t="n">
        <f aca="false">G675*(1+IF(H$3&lt;=$O$2,$D675,$D675-($D675-$I$670)*MIN(H$3-$O$2,$Q$2)/$Q$2))</f>
        <v>4593.46177101135</v>
      </c>
      <c r="I675" s="15" t="n">
        <f aca="false">H675*(1+IF(I$3&lt;=$O$2,$D675,$D675-($D675-$I$670)*MIN(I$3-$O$2,$Q$2)/$Q$2))</f>
        <v>5311.19017273188</v>
      </c>
      <c r="J675" s="15" t="n">
        <f aca="false">I675*(1+IF(J$3&lt;=$O$2,$D675,$D675-($D675-$I$670)*MIN(J$3-$O$2,$Q$2)/$Q$2))</f>
        <v>6010.46147087376</v>
      </c>
      <c r="K675" s="15" t="n">
        <f aca="false">J675*(1+IF(K$3&lt;=$O$2,$D675,$D675-($D675-$I$670)*MIN(K$3-$O$2,$Q$2)/$Q$2))</f>
        <v>6654.00158056021</v>
      </c>
      <c r="L675" s="15" t="n">
        <f aca="false">K675*(1+IF(L$3&lt;=$O$2,$D675,$D675-($D675-$I$670)*MIN(L$3-$O$2,$Q$2)/$Q$2))</f>
        <v>7202.82363092481</v>
      </c>
      <c r="M675" s="15" t="n">
        <f aca="false">L675*(1+IF(M$3&lt;=$O$2,$D675,$D675-($D675-$I$670)*MIN(M$3-$O$2,$Q$2)/$Q$2))</f>
        <v>7619.79509091905</v>
      </c>
      <c r="N675" s="15" t="n">
        <f aca="false">M675*(1+IF(N$3&lt;=$O$2,$D675,$D675-($D675-$I$670)*MIN(N$3-$O$2,$Q$2)/$Q$2))</f>
        <v>7873.53426744666</v>
      </c>
      <c r="O675" s="15" t="n">
        <f aca="false">SUMPRODUCT(E675:N675,1/(1+$F$670)^$E$3:$N$3)*$E$2</f>
        <v>6139.37744596921</v>
      </c>
      <c r="P675" s="15" t="n">
        <f aca="false">N675*$E$2*(1+$I$670)/($F$670-$I$670)/(1+$F$670)^$N$3</f>
        <v>8510.65218294211</v>
      </c>
      <c r="Q675" s="15" t="n">
        <f aca="false">O675+P675</f>
        <v>14650.0296289113</v>
      </c>
      <c r="R675" s="15" t="n">
        <f aca="false">Q675-$G$2+$I$2</f>
        <v>13273.8296289113</v>
      </c>
      <c r="S675" s="42" t="n">
        <f aca="false">R675/$K$2</f>
        <v>353.874423591344</v>
      </c>
      <c r="T675" s="43" t="n">
        <f aca="false">S675-$M$2</f>
        <v>149.395617939518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41" t="n">
        <f aca="false">(B676+C676)/2</f>
        <v>0.109375</v>
      </c>
      <c r="E676" s="15" t="n">
        <f aca="false">$C$2*(1+IF(E$3&lt;=$O$2,$D676,$D676-($D676-$I$670)*MIN(E$3-$O$2,$Q$2)/$Q$2))</f>
        <v>2851.09375</v>
      </c>
      <c r="F676" s="15" t="n">
        <f aca="false">E676*(1+IF(F$3&lt;=$O$2,$D676,$D676-($D676-$I$670)*MIN(F$3-$O$2,$Q$2)/$Q$2))</f>
        <v>3162.93212890625</v>
      </c>
      <c r="G676" s="15" t="n">
        <f aca="false">F676*(1+IF(G$3&lt;=$O$2,$D676,$D676-($D676-$I$670)*MIN(G$3-$O$2,$Q$2)/$Q$2))</f>
        <v>3508.87783050537</v>
      </c>
      <c r="H676" s="15" t="n">
        <f aca="false">G676*(1+IF(H$3&lt;=$O$2,$D676,$D676-($D676-$I$670)*MIN(H$3-$O$2,$Q$2)/$Q$2))</f>
        <v>3892.6613432169</v>
      </c>
      <c r="I676" s="15" t="n">
        <f aca="false">H676*(1+IF(I$3&lt;=$O$2,$D676,$D676-($D676-$I$670)*MIN(I$3-$O$2,$Q$2)/$Q$2))</f>
        <v>4318.42117763124</v>
      </c>
      <c r="J676" s="15" t="n">
        <f aca="false">I676*(1+IF(J$3&lt;=$O$2,$D676,$D676-($D676-$I$670)*MIN(J$3-$O$2,$Q$2)/$Q$2))</f>
        <v>4725.043715717</v>
      </c>
      <c r="K676" s="15" t="n">
        <f aca="false">J676*(1+IF(K$3&lt;=$O$2,$D676,$D676-($D676-$I$670)*MIN(K$3-$O$2,$Q$2)/$Q$2))</f>
        <v>5098.06229185428</v>
      </c>
      <c r="L676" s="15" t="n">
        <f aca="false">K676*(1+IF(L$3&lt;=$O$2,$D676,$D676-($D676-$I$670)*MIN(L$3-$O$2,$Q$2)/$Q$2))</f>
        <v>5422.96180171415</v>
      </c>
      <c r="M676" s="15" t="n">
        <f aca="false">L676*(1+IF(M$3&lt;=$O$2,$D676,$D676-($D676-$I$670)*MIN(M$3-$O$2,$Q$2)/$Q$2))</f>
        <v>5686.05679352432</v>
      </c>
      <c r="N676" s="15" t="n">
        <f aca="false">M676*(1+IF(N$3&lt;=$O$2,$D676,$D676-($D676-$I$670)*MIN(N$3-$O$2,$Q$2)/$Q$2))</f>
        <v>5875.40248474868</v>
      </c>
      <c r="O676" s="15" t="n">
        <f aca="false">SUMPRODUCT(E676:N676,1/(1+$F$670)^$E$3:$N$3)*$E$2</f>
        <v>5024.62852177924</v>
      </c>
      <c r="P676" s="15" t="n">
        <f aca="false">N676*$E$2*(1+$I$670)/($F$670-$I$670)/(1+$F$670)^$N$3</f>
        <v>6350.83372777466</v>
      </c>
      <c r="Q676" s="15" t="n">
        <f aca="false">O676+P676</f>
        <v>11375.4622495539</v>
      </c>
      <c r="R676" s="15" t="n">
        <f aca="false">Q676-$G$2+$I$2</f>
        <v>9999.26224955391</v>
      </c>
      <c r="S676" s="42" t="n">
        <f aca="false">R676/$K$2</f>
        <v>266.575906413061</v>
      </c>
      <c r="T676" s="43" t="n">
        <f aca="false">S676-$M$2</f>
        <v>62.0971007612347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0.0625</v>
      </c>
      <c r="C677" s="25" t="n">
        <f aca="false">IF(T676&gt;0,D676,C676)</f>
        <v>0.109375</v>
      </c>
      <c r="D677" s="41" t="n">
        <f aca="false">(B677+C677)/2</f>
        <v>0.0859375</v>
      </c>
      <c r="E677" s="15" t="n">
        <f aca="false">$C$2*(1+IF(E$3&lt;=$O$2,$D677,$D677-($D677-$I$670)*MIN(E$3-$O$2,$Q$2)/$Q$2))</f>
        <v>2790.859375</v>
      </c>
      <c r="F677" s="15" t="n">
        <f aca="false">E677*(1+IF(F$3&lt;=$O$2,$D677,$D677-($D677-$I$670)*MIN(F$3-$O$2,$Q$2)/$Q$2))</f>
        <v>3030.69885253906</v>
      </c>
      <c r="G677" s="15" t="n">
        <f aca="false">F677*(1+IF(G$3&lt;=$O$2,$D677,$D677-($D677-$I$670)*MIN(G$3-$O$2,$Q$2)/$Q$2))</f>
        <v>3291.14953517914</v>
      </c>
      <c r="H677" s="15" t="n">
        <f aca="false">G677*(1+IF(H$3&lt;=$O$2,$D677,$D677-($D677-$I$670)*MIN(H$3-$O$2,$Q$2)/$Q$2))</f>
        <v>3573.9826983586</v>
      </c>
      <c r="I677" s="15" t="n">
        <f aca="false">H677*(1+IF(I$3&lt;=$O$2,$D677,$D677-($D677-$I$670)*MIN(I$3-$O$2,$Q$2)/$Q$2))</f>
        <v>3881.12183649879</v>
      </c>
      <c r="J677" s="15" t="n">
        <f aca="false">I677*(1+IF(J$3&lt;=$O$2,$D677,$D677-($D677-$I$670)*MIN(J$3-$O$2,$Q$2)/$Q$2))</f>
        <v>4173.79723418916</v>
      </c>
      <c r="K677" s="15" t="n">
        <f aca="false">J677*(1+IF(K$3&lt;=$O$2,$D677,$D677-($D677-$I$670)*MIN(K$3-$O$2,$Q$2)/$Q$2))</f>
        <v>4444.60363323644</v>
      </c>
      <c r="L677" s="15" t="n">
        <f aca="false">K677*(1+IF(L$3&lt;=$O$2,$D677,$D677-($D677-$I$670)*MIN(L$3-$O$2,$Q$2)/$Q$2))</f>
        <v>4686.19006372101</v>
      </c>
      <c r="M677" s="15" t="n">
        <f aca="false">L677*(1+IF(M$3&lt;=$O$2,$D677,$D677-($D677-$I$670)*MIN(M$3-$O$2,$Q$2)/$Q$2))</f>
        <v>4891.57405873874</v>
      </c>
      <c r="N677" s="15" t="n">
        <f aca="false">M677*(1+IF(N$3&lt;=$O$2,$D677,$D677-($D677-$I$670)*MIN(N$3-$O$2,$Q$2)/$Q$2))</f>
        <v>5054.46347489474</v>
      </c>
      <c r="O677" s="15" t="n">
        <f aca="false">SUMPRODUCT(E677:N677,1/(1+$F$670)^$E$3:$N$3)*$E$2</f>
        <v>4545.1875263642</v>
      </c>
      <c r="P677" s="15" t="n">
        <f aca="false">N677*$E$2*(1+$I$670)/($F$670-$I$670)/(1+$F$670)^$N$3</f>
        <v>5463.46521714754</v>
      </c>
      <c r="Q677" s="15" t="n">
        <f aca="false">O677+P677</f>
        <v>10008.6527435117</v>
      </c>
      <c r="R677" s="15" t="n">
        <f aca="false">Q677-$G$2+$I$2</f>
        <v>8632.45274351174</v>
      </c>
      <c r="S677" s="42" t="n">
        <f aca="false">R677/$K$2</f>
        <v>230.137369861683</v>
      </c>
      <c r="T677" s="43" t="n">
        <f aca="false">S677-$M$2</f>
        <v>25.6585642098572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0.0625</v>
      </c>
      <c r="C678" s="25" t="n">
        <f aca="false">IF(T677&gt;0,D677,C677)</f>
        <v>0.0859375</v>
      </c>
      <c r="D678" s="41" t="n">
        <f aca="false">(B678+C678)/2</f>
        <v>0.07421875</v>
      </c>
      <c r="E678" s="15" t="n">
        <f aca="false">$C$2*(1+IF(E$3&lt;=$O$2,$D678,$D678-($D678-$I$670)*MIN(E$3-$O$2,$Q$2)/$Q$2))</f>
        <v>2760.7421875</v>
      </c>
      <c r="F678" s="15" t="n">
        <f aca="false">E678*(1+IF(F$3&lt;=$O$2,$D678,$D678-($D678-$I$670)*MIN(F$3-$O$2,$Q$2)/$Q$2))</f>
        <v>2965.64102172852</v>
      </c>
      <c r="G678" s="15" t="n">
        <f aca="false">F678*(1+IF(G$3&lt;=$O$2,$D678,$D678-($D678-$I$670)*MIN(G$3-$O$2,$Q$2)/$Q$2))</f>
        <v>3185.74719130993</v>
      </c>
      <c r="H678" s="15" t="n">
        <f aca="false">G678*(1+IF(H$3&lt;=$O$2,$D678,$D678-($D678-$I$670)*MIN(H$3-$O$2,$Q$2)/$Q$2))</f>
        <v>3422.18936566496</v>
      </c>
      <c r="I678" s="15" t="n">
        <f aca="false">H678*(1+IF(I$3&lt;=$O$2,$D678,$D678-($D678-$I$670)*MIN(I$3-$O$2,$Q$2)/$Q$2))</f>
        <v>3676.17998264791</v>
      </c>
      <c r="J678" s="15" t="n">
        <f aca="false">I678*(1+IF(J$3&lt;=$O$2,$D678,$D678-($D678-$I$670)*MIN(J$3-$O$2,$Q$2)/$Q$2))</f>
        <v>3918.93652780206</v>
      </c>
      <c r="K678" s="15" t="n">
        <f aca="false">J678*(1+IF(K$3&lt;=$O$2,$D678,$D678-($D678-$I$670)*MIN(K$3-$O$2,$Q$2)/$Q$2))</f>
        <v>4145.65190460607</v>
      </c>
      <c r="L678" s="15" t="n">
        <f aca="false">K678*(1+IF(L$3&lt;=$O$2,$D678,$D678-($D678-$I$670)*MIN(L$3-$O$2,$Q$2)/$Q$2))</f>
        <v>4351.5560705781</v>
      </c>
      <c r="M678" s="15" t="n">
        <f aca="false">L678*(1+IF(M$3&lt;=$O$2,$D678,$D678-($D678-$I$670)*MIN(M$3-$O$2,$Q$2)/$Q$2))</f>
        <v>4532.07493472094</v>
      </c>
      <c r="N678" s="15" t="n">
        <f aca="false">M678*(1+IF(N$3&lt;=$O$2,$D678,$D678-($D678-$I$670)*MIN(N$3-$O$2,$Q$2)/$Q$2))</f>
        <v>4682.99303004715</v>
      </c>
      <c r="O678" s="15" t="n">
        <f aca="false">SUMPRODUCT(E678:N678,1/(1+$F$670)^$E$3:$N$3)*$E$2</f>
        <v>4322.9312967453</v>
      </c>
      <c r="P678" s="15" t="n">
        <f aca="false">N678*$E$2*(1+$I$670)/($F$670-$I$670)/(1+$F$670)^$N$3</f>
        <v>5061.93578386473</v>
      </c>
      <c r="Q678" s="15" t="n">
        <f aca="false">O678+P678</f>
        <v>9384.86708061003</v>
      </c>
      <c r="R678" s="15" t="n">
        <f aca="false">Q678-$G$2+$I$2</f>
        <v>8008.66708061003</v>
      </c>
      <c r="S678" s="42" t="n">
        <f aca="false">R678/$K$2</f>
        <v>213.507520144229</v>
      </c>
      <c r="T678" s="43" t="n">
        <f aca="false">S678-$M$2</f>
        <v>9.02871449240294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0.0625</v>
      </c>
      <c r="C679" s="25" t="n">
        <f aca="false">IF(T678&gt;0,D678,C678)</f>
        <v>0.07421875</v>
      </c>
      <c r="D679" s="41" t="n">
        <f aca="false">(B679+C679)/2</f>
        <v>0.068359375</v>
      </c>
      <c r="E679" s="15" t="n">
        <f aca="false">$C$2*(1+IF(E$3&lt;=$O$2,$D679,$D679-($D679-$I$670)*MIN(E$3-$O$2,$Q$2)/$Q$2))</f>
        <v>2745.68359375</v>
      </c>
      <c r="F679" s="15" t="n">
        <f aca="false">E679*(1+IF(F$3&lt;=$O$2,$D679,$D679-($D679-$I$670)*MIN(F$3-$O$2,$Q$2)/$Q$2))</f>
        <v>2933.3768081665</v>
      </c>
      <c r="G679" s="15" t="n">
        <f aca="false">F679*(1+IF(G$3&lt;=$O$2,$D679,$D679-($D679-$I$670)*MIN(G$3-$O$2,$Q$2)/$Q$2))</f>
        <v>3133.90061341226</v>
      </c>
      <c r="H679" s="15" t="n">
        <f aca="false">G679*(1+IF(H$3&lt;=$O$2,$D679,$D679-($D679-$I$670)*MIN(H$3-$O$2,$Q$2)/$Q$2))</f>
        <v>3348.13210065724</v>
      </c>
      <c r="I679" s="15" t="n">
        <f aca="false">H679*(1+IF(I$3&lt;=$O$2,$D679,$D679-($D679-$I$670)*MIN(I$3-$O$2,$Q$2)/$Q$2))</f>
        <v>3577.00831847561</v>
      </c>
      <c r="J679" s="15" t="n">
        <f aca="false">I679*(1+IF(J$3&lt;=$O$2,$D679,$D679-($D679-$I$670)*MIN(J$3-$O$2,$Q$2)/$Q$2))</f>
        <v>3796.44883629329</v>
      </c>
      <c r="K679" s="15" t="n">
        <f aca="false">J679*(1+IF(K$3&lt;=$O$2,$D679,$D679-($D679-$I$670)*MIN(K$3-$O$2,$Q$2)/$Q$2))</f>
        <v>4002.73125659381</v>
      </c>
      <c r="L679" s="15" t="n">
        <f aca="false">K679*(1+IF(L$3&lt;=$O$2,$D679,$D679-($D679-$I$670)*MIN(L$3-$O$2,$Q$2)/$Q$2))</f>
        <v>4192.15550989804</v>
      </c>
      <c r="M679" s="15" t="n">
        <f aca="false">L679*(1+IF(M$3&lt;=$O$2,$D679,$D679-($D679-$I$670)*MIN(M$3-$O$2,$Q$2)/$Q$2))</f>
        <v>4361.14915879361</v>
      </c>
      <c r="N679" s="15" t="n">
        <f aca="false">M679*(1+IF(N$3&lt;=$O$2,$D679,$D679-($D679-$I$670)*MIN(N$3-$O$2,$Q$2)/$Q$2))</f>
        <v>4506.37542578144</v>
      </c>
      <c r="O679" s="15" t="n">
        <f aca="false">SUMPRODUCT(E679:N679,1/(1+$F$670)^$E$3:$N$3)*$E$2</f>
        <v>4215.93547348107</v>
      </c>
      <c r="P679" s="15" t="n">
        <f aca="false">N679*$E$2*(1+$I$670)/($F$670-$I$670)/(1+$F$670)^$N$3</f>
        <v>4871.02647322584</v>
      </c>
      <c r="Q679" s="15" t="n">
        <f aca="false">O679+P679</f>
        <v>9086.9619467069</v>
      </c>
      <c r="R679" s="15" t="n">
        <f aca="false">Q679-$G$2+$I$2</f>
        <v>7710.7619467069</v>
      </c>
      <c r="S679" s="42" t="n">
        <f aca="false">R679/$K$2</f>
        <v>205.565501111888</v>
      </c>
      <c r="T679" s="43" t="n">
        <f aca="false">S679-$M$2</f>
        <v>1.08669546006149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0.0625</v>
      </c>
      <c r="C680" s="25" t="n">
        <f aca="false">IF(T679&gt;0,D679,C679)</f>
        <v>0.068359375</v>
      </c>
      <c r="D680" s="41" t="n">
        <f aca="false">(B680+C680)/2</f>
        <v>0.0654296875</v>
      </c>
      <c r="E680" s="15" t="n">
        <f aca="false">$C$2*(1+IF(E$3&lt;=$O$2,$D680,$D680-($D680-$I$670)*MIN(E$3-$O$2,$Q$2)/$Q$2))</f>
        <v>2738.154296875</v>
      </c>
      <c r="F680" s="15" t="n">
        <f aca="false">E680*(1+IF(F$3&lt;=$O$2,$D680,$D680-($D680-$I$670)*MIN(F$3-$O$2,$Q$2)/$Q$2))</f>
        <v>2917.31087684631</v>
      </c>
      <c r="G680" s="15" t="n">
        <f aca="false">F680*(1+IF(G$3&lt;=$O$2,$D680,$D680-($D680-$I$670)*MIN(G$3-$O$2,$Q$2)/$Q$2))</f>
        <v>3108.18961585872</v>
      </c>
      <c r="H680" s="15" t="n">
        <f aca="false">G680*(1+IF(H$3&lt;=$O$2,$D680,$D680-($D680-$I$670)*MIN(H$3-$O$2,$Q$2)/$Q$2))</f>
        <v>3311.5574911151</v>
      </c>
      <c r="I680" s="15" t="n">
        <f aca="false">H680*(1+IF(I$3&lt;=$O$2,$D680,$D680-($D680-$I$670)*MIN(I$3-$O$2,$Q$2)/$Q$2))</f>
        <v>3528.23166289704</v>
      </c>
      <c r="J680" s="15" t="n">
        <f aca="false">I680*(1+IF(J$3&lt;=$O$2,$D680,$D680-($D680-$I$670)*MIN(J$3-$O$2,$Q$2)/$Q$2))</f>
        <v>3736.41056187671</v>
      </c>
      <c r="K680" s="15" t="n">
        <f aca="false">J680*(1+IF(K$3&lt;=$O$2,$D680,$D680-($D680-$I$670)*MIN(K$3-$O$2,$Q$2)/$Q$2))</f>
        <v>3932.86285582208</v>
      </c>
      <c r="L680" s="15" t="n">
        <f aca="false">K680*(1+IF(L$3&lt;=$O$2,$D680,$D680-($D680-$I$670)*MIN(L$3-$O$2,$Q$2)/$Q$2))</f>
        <v>4114.37185073612</v>
      </c>
      <c r="M680" s="15" t="n">
        <f aca="false">L680*(1+IF(M$3&lt;=$O$2,$D680,$D680-($D680-$I$670)*MIN(M$3-$O$2,$Q$2)/$Q$2))</f>
        <v>4277.81912973023</v>
      </c>
      <c r="N680" s="15" t="n">
        <f aca="false">M680*(1+IF(N$3&lt;=$O$2,$D680,$D680-($D680-$I$670)*MIN(N$3-$O$2,$Q$2)/$Q$2))</f>
        <v>4420.27050675024</v>
      </c>
      <c r="O680" s="15" t="n">
        <f aca="false">SUMPRODUCT(E680:N680,1/(1+$F$670)^$E$3:$N$3)*$E$2</f>
        <v>4163.44251672612</v>
      </c>
      <c r="P680" s="15" t="n">
        <f aca="false">N680*$E$2*(1+$I$670)/($F$670-$I$670)/(1+$F$670)^$N$3</f>
        <v>4777.95403685572</v>
      </c>
      <c r="Q680" s="15" t="n">
        <f aca="false">O680+P680</f>
        <v>8941.39655358184</v>
      </c>
      <c r="R680" s="15" t="n">
        <f aca="false">Q680-$G$2+$I$2</f>
        <v>7565.19655358184</v>
      </c>
      <c r="S680" s="42" t="n">
        <f aca="false">R680/$K$2</f>
        <v>201.684792150942</v>
      </c>
      <c r="T680" s="43" t="n">
        <f aca="false">S680-$M$2</f>
        <v>-2.79401350088406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0.0654296875</v>
      </c>
      <c r="C681" s="25" t="n">
        <f aca="false">IF(T680&gt;0,D680,C680)</f>
        <v>0.068359375</v>
      </c>
      <c r="D681" s="41" t="n">
        <f aca="false">(B681+C681)/2</f>
        <v>0.06689453125</v>
      </c>
      <c r="E681" s="15" t="n">
        <f aca="false">$C$2*(1+IF(E$3&lt;=$O$2,$D681,$D681-($D681-$I$670)*MIN(E$3-$O$2,$Q$2)/$Q$2))</f>
        <v>2741.9189453125</v>
      </c>
      <c r="F681" s="15" t="n">
        <f aca="false">E681*(1+IF(F$3&lt;=$O$2,$D681,$D681-($D681-$I$670)*MIN(F$3-$O$2,$Q$2)/$Q$2))</f>
        <v>2925.33832788467</v>
      </c>
      <c r="G681" s="15" t="n">
        <f aca="false">F681*(1+IF(G$3&lt;=$O$2,$D681,$D681-($D681-$I$670)*MIN(G$3-$O$2,$Q$2)/$Q$2))</f>
        <v>3121.02746407618</v>
      </c>
      <c r="H681" s="15" t="n">
        <f aca="false">G681*(1+IF(H$3&lt;=$O$2,$D681,$D681-($D681-$I$670)*MIN(H$3-$O$2,$Q$2)/$Q$2))</f>
        <v>3329.80713330393</v>
      </c>
      <c r="I681" s="15" t="n">
        <f aca="false">H681*(1+IF(I$3&lt;=$O$2,$D681,$D681-($D681-$I$670)*MIN(I$3-$O$2,$Q$2)/$Q$2))</f>
        <v>3552.5530206392</v>
      </c>
      <c r="J681" s="15" t="n">
        <f aca="false">I681*(1+IF(J$3&lt;=$O$2,$D681,$D681-($D681-$I$670)*MIN(J$3-$O$2,$Q$2)/$Q$2))</f>
        <v>3766.33011900181</v>
      </c>
      <c r="K681" s="15" t="n">
        <f aca="false">J681*(1+IF(K$3&lt;=$O$2,$D681,$D681-($D681-$I$670)*MIN(K$3-$O$2,$Q$2)/$Q$2))</f>
        <v>3967.66576889294</v>
      </c>
      <c r="L681" s="15" t="n">
        <f aca="false">K681*(1+IF(L$3&lt;=$O$2,$D681,$D681-($D681-$I$670)*MIN(L$3-$O$2,$Q$2)/$Q$2))</f>
        <v>4153.10578766212</v>
      </c>
      <c r="M681" s="15" t="n">
        <f aca="false">L681*(1+IF(M$3&lt;=$O$2,$D681,$D681-($D681-$I$670)*MIN(M$3-$O$2,$Q$2)/$Q$2))</f>
        <v>4319.30853882491</v>
      </c>
      <c r="N681" s="15" t="n">
        <f aca="false">M681*(1+IF(N$3&lt;=$O$2,$D681,$D681-($D681-$I$670)*MIN(N$3-$O$2,$Q$2)/$Q$2))</f>
        <v>4463.14151316778</v>
      </c>
      <c r="O681" s="15" t="n">
        <f aca="false">SUMPRODUCT(E681:N681,1/(1+$F$670)^$E$3:$N$3)*$E$2</f>
        <v>4189.60607181823</v>
      </c>
      <c r="P681" s="15" t="n">
        <f aca="false">N681*$E$2*(1+$I$670)/($F$670-$I$670)/(1+$F$670)^$N$3</f>
        <v>4824.29411895339</v>
      </c>
      <c r="Q681" s="15" t="n">
        <f aca="false">O681+P681</f>
        <v>9013.90019077162</v>
      </c>
      <c r="R681" s="15" t="n">
        <f aca="false">Q681-$G$2+$I$2</f>
        <v>7637.70019077162</v>
      </c>
      <c r="S681" s="42" t="n">
        <f aca="false">R681/$K$2</f>
        <v>203.617707032035</v>
      </c>
      <c r="T681" s="43" t="n">
        <f aca="false">S681-$M$2</f>
        <v>-0.861098619791477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0.06689453125</v>
      </c>
      <c r="C682" s="25" t="n">
        <f aca="false">IF(T681&gt;0,D681,C681)</f>
        <v>0.068359375</v>
      </c>
      <c r="D682" s="41" t="n">
        <f aca="false">(B682+C682)/2</f>
        <v>0.067626953125</v>
      </c>
      <c r="E682" s="15" t="n">
        <f aca="false">$C$2*(1+IF(E$3&lt;=$O$2,$D682,$D682-($D682-$I$670)*MIN(E$3-$O$2,$Q$2)/$Q$2))</f>
        <v>2743.80126953125</v>
      </c>
      <c r="F682" s="15" t="n">
        <f aca="false">E682*(1+IF(F$3&lt;=$O$2,$D682,$D682-($D682-$I$670)*MIN(F$3-$O$2,$Q$2)/$Q$2))</f>
        <v>2929.35618937016</v>
      </c>
      <c r="G682" s="15" t="n">
        <f aca="false">F682*(1+IF(G$3&lt;=$O$2,$D682,$D682-($D682-$I$670)*MIN(G$3-$O$2,$Q$2)/$Q$2))</f>
        <v>3127.45962307512</v>
      </c>
      <c r="H682" s="15" t="n">
        <f aca="false">G682*(1+IF(H$3&lt;=$O$2,$D682,$D682-($D682-$I$670)*MIN(H$3-$O$2,$Q$2)/$Q$2))</f>
        <v>3338.96018840515</v>
      </c>
      <c r="I682" s="15" t="n">
        <f aca="false">H682*(1+IF(I$3&lt;=$O$2,$D682,$D682-($D682-$I$670)*MIN(I$3-$O$2,$Q$2)/$Q$2))</f>
        <v>3564.76389255267</v>
      </c>
      <c r="J682" s="15" t="n">
        <f aca="false">I682*(1+IF(J$3&lt;=$O$2,$D682,$D682-($D682-$I$670)*MIN(J$3-$O$2,$Q$2)/$Q$2))</f>
        <v>3781.36451660775</v>
      </c>
      <c r="K682" s="15" t="n">
        <f aca="false">J682*(1+IF(K$3&lt;=$O$2,$D682,$D682-($D682-$I$670)*MIN(K$3-$O$2,$Q$2)/$Q$2))</f>
        <v>3985.16558851687</v>
      </c>
      <c r="L682" s="15" t="n">
        <f aca="false">K682*(1+IF(L$3&lt;=$O$2,$D682,$D682-($D682-$I$670)*MIN(L$3-$O$2,$Q$2)/$Q$2))</f>
        <v>4172.59103955543</v>
      </c>
      <c r="M682" s="15" t="n">
        <f aca="false">L682*(1+IF(M$3&lt;=$O$2,$D682,$D682-($D682-$I$670)*MIN(M$3-$O$2,$Q$2)/$Q$2))</f>
        <v>4340.18478857755</v>
      </c>
      <c r="N682" s="15" t="n">
        <f aca="false">M682*(1+IF(N$3&lt;=$O$2,$D682,$D682-($D682-$I$670)*MIN(N$3-$O$2,$Q$2)/$Q$2))</f>
        <v>4484.71294203718</v>
      </c>
      <c r="O682" s="15" t="n">
        <f aca="false">SUMPRODUCT(E682:N682,1/(1+$F$670)^$E$3:$N$3)*$E$2</f>
        <v>4202.74998046355</v>
      </c>
      <c r="P682" s="15" t="n">
        <f aca="false">N682*$E$2*(1+$I$670)/($F$670-$I$670)/(1+$F$670)^$N$3</f>
        <v>4847.61108462097</v>
      </c>
      <c r="Q682" s="15" t="n">
        <f aca="false">O682+P682</f>
        <v>9050.36106508452</v>
      </c>
      <c r="R682" s="15" t="n">
        <f aca="false">Q682-$G$2+$I$2</f>
        <v>7674.16106508452</v>
      </c>
      <c r="S682" s="42" t="n">
        <f aca="false">R682/$K$2</f>
        <v>204.589737805506</v>
      </c>
      <c r="T682" s="43" t="n">
        <f aca="false">S682-$M$2</f>
        <v>0.110932153679613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0.06689453125</v>
      </c>
      <c r="C683" s="25" t="n">
        <f aca="false">IF(T682&gt;0,D682,C682)</f>
        <v>0.067626953125</v>
      </c>
      <c r="D683" s="41" t="n">
        <f aca="false">(B683+C683)/2</f>
        <v>0.0672607421875</v>
      </c>
      <c r="E683" s="15" t="n">
        <f aca="false">$C$2*(1+IF(E$3&lt;=$O$2,$D683,$D683-($D683-$I$670)*MIN(E$3-$O$2,$Q$2)/$Q$2))</f>
        <v>2742.86010742188</v>
      </c>
      <c r="F683" s="15" t="n">
        <f aca="false">E683*(1+IF(F$3&lt;=$O$2,$D683,$D683-($D683-$I$670)*MIN(F$3-$O$2,$Q$2)/$Q$2))</f>
        <v>2927.34691396356</v>
      </c>
      <c r="G683" s="15" t="n">
        <f aca="false">F683*(1+IF(G$3&lt;=$O$2,$D683,$D683-($D683-$I$670)*MIN(G$3-$O$2,$Q$2)/$Q$2))</f>
        <v>3124.24244003703</v>
      </c>
      <c r="H683" s="15" t="n">
        <f aca="false">G683*(1+IF(H$3&lt;=$O$2,$D683,$D683-($D683-$I$670)*MIN(H$3-$O$2,$Q$2)/$Q$2))</f>
        <v>3334.38130532761</v>
      </c>
      <c r="I683" s="15" t="n">
        <f aca="false">H683*(1+IF(I$3&lt;=$O$2,$D683,$D683-($D683-$I$670)*MIN(I$3-$O$2,$Q$2)/$Q$2))</f>
        <v>3558.65426666007</v>
      </c>
      <c r="J683" s="15" t="n">
        <f aca="false">I683*(1+IF(J$3&lt;=$O$2,$D683,$D683-($D683-$I$670)*MIN(J$3-$O$2,$Q$2)/$Q$2))</f>
        <v>3773.84108580744</v>
      </c>
      <c r="K683" s="15" t="n">
        <f aca="false">J683*(1+IF(K$3&lt;=$O$2,$D683,$D683-($D683-$I$670)*MIN(K$3-$O$2,$Q$2)/$Q$2))</f>
        <v>3976.40746046785</v>
      </c>
      <c r="L683" s="15" t="n">
        <f aca="false">K683*(1+IF(L$3&lt;=$O$2,$D683,$D683-($D683-$I$670)*MIN(L$3-$O$2,$Q$2)/$Q$2))</f>
        <v>4162.83852834039</v>
      </c>
      <c r="M683" s="15" t="n">
        <f aca="false">L683*(1+IF(M$3&lt;=$O$2,$D683,$D683-($D683-$I$670)*MIN(M$3-$O$2,$Q$2)/$Q$2))</f>
        <v>4329.73566853996</v>
      </c>
      <c r="N683" s="15" t="n">
        <f aca="false">M683*(1+IF(N$3&lt;=$O$2,$D683,$D683-($D683-$I$670)*MIN(N$3-$O$2,$Q$2)/$Q$2))</f>
        <v>4473.91586630234</v>
      </c>
      <c r="O683" s="15" t="n">
        <f aca="false">SUMPRODUCT(E683:N683,1/(1+$F$670)^$E$3:$N$3)*$E$2</f>
        <v>4196.1728357773</v>
      </c>
      <c r="P683" s="15" t="n">
        <f aca="false">N683*$E$2*(1+$I$670)/($F$670-$I$670)/(1+$F$670)^$N$3</f>
        <v>4835.94032114286</v>
      </c>
      <c r="Q683" s="15" t="n">
        <f aca="false">O683+P683</f>
        <v>9032.11315692016</v>
      </c>
      <c r="R683" s="15" t="n">
        <f aca="false">Q683-$G$2+$I$2</f>
        <v>7655.91315692016</v>
      </c>
      <c r="S683" s="42" t="n">
        <f aca="false">R683/$K$2</f>
        <v>204.103256649431</v>
      </c>
      <c r="T683" s="43" t="n">
        <f aca="false">S683-$M$2</f>
        <v>-0.375549002394877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0.0672607421875</v>
      </c>
      <c r="C684" s="25" t="n">
        <f aca="false">IF(T683&gt;0,D683,C683)</f>
        <v>0.067626953125</v>
      </c>
      <c r="D684" s="41" t="n">
        <f aca="false">(B684+C684)/2</f>
        <v>0.06744384765625</v>
      </c>
      <c r="E684" s="15" t="n">
        <f aca="false">$C$2*(1+IF(E$3&lt;=$O$2,$D684,$D684-($D684-$I$670)*MIN(E$3-$O$2,$Q$2)/$Q$2))</f>
        <v>2743.33068847656</v>
      </c>
      <c r="F684" s="15" t="n">
        <f aca="false">E684*(1+IF(F$3&lt;=$O$2,$D684,$D684-($D684-$I$670)*MIN(F$3-$O$2,$Q$2)/$Q$2))</f>
        <v>2928.35146550089</v>
      </c>
      <c r="G684" s="15" t="n">
        <f aca="false">F684*(1+IF(G$3&lt;=$O$2,$D684,$D684-($D684-$I$670)*MIN(G$3-$O$2,$Q$2)/$Q$2))</f>
        <v>3125.85075562409</v>
      </c>
      <c r="H684" s="15" t="n">
        <f aca="false">G684*(1+IF(H$3&lt;=$O$2,$D684,$D684-($D684-$I$670)*MIN(H$3-$O$2,$Q$2)/$Q$2))</f>
        <v>3336.67015778257</v>
      </c>
      <c r="I684" s="15" t="n">
        <f aca="false">H684*(1+IF(I$3&lt;=$O$2,$D684,$D684-($D684-$I$670)*MIN(I$3-$O$2,$Q$2)/$Q$2))</f>
        <v>3561.70803158322</v>
      </c>
      <c r="J684" s="15" t="n">
        <f aca="false">I684*(1+IF(J$3&lt;=$O$2,$D684,$D684-($D684-$I$670)*MIN(J$3-$O$2,$Q$2)/$Q$2))</f>
        <v>3777.60124217608</v>
      </c>
      <c r="K684" s="15" t="n">
        <f aca="false">J684*(1+IF(K$3&lt;=$O$2,$D684,$D684-($D684-$I$670)*MIN(K$3-$O$2,$Q$2)/$Q$2))</f>
        <v>3980.78446833189</v>
      </c>
      <c r="L684" s="15" t="n">
        <f aca="false">K684*(1+IF(L$3&lt;=$O$2,$D684,$D684-($D684-$I$670)*MIN(L$3-$O$2,$Q$2)/$Q$2))</f>
        <v>4167.71231050298</v>
      </c>
      <c r="M684" s="15" t="n">
        <f aca="false">L684*(1+IF(M$3&lt;=$O$2,$D684,$D684-($D684-$I$670)*MIN(M$3-$O$2,$Q$2)/$Q$2))</f>
        <v>4334.95747728371</v>
      </c>
      <c r="N684" s="15" t="n">
        <f aca="false">M684*(1+IF(N$3&lt;=$O$2,$D684,$D684-($D684-$I$670)*MIN(N$3-$O$2,$Q$2)/$Q$2))</f>
        <v>4479.31156127725</v>
      </c>
      <c r="O684" s="15" t="n">
        <f aca="false">SUMPRODUCT(E684:N684,1/(1+$F$670)^$E$3:$N$3)*$E$2</f>
        <v>4199.46010956993</v>
      </c>
      <c r="P684" s="15" t="n">
        <f aca="false">N684*$E$2*(1+$I$670)/($F$670-$I$670)/(1+$F$670)^$N$3</f>
        <v>4841.77262994561</v>
      </c>
      <c r="Q684" s="15" t="n">
        <f aca="false">O684+P684</f>
        <v>9041.23273951554</v>
      </c>
      <c r="R684" s="15" t="n">
        <f aca="false">Q684-$G$2+$I$2</f>
        <v>7665.03273951554</v>
      </c>
      <c r="S684" s="42" t="n">
        <f aca="false">R684/$K$2</f>
        <v>204.346380685565</v>
      </c>
      <c r="T684" s="43" t="n">
        <f aca="false">S684-$M$2</f>
        <v>-0.132424966261084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0.06744384765625</v>
      </c>
      <c r="C685" s="25" t="n">
        <f aca="false">IF(T684&gt;0,D684,C684)</f>
        <v>0.067626953125</v>
      </c>
      <c r="D685" s="41" t="n">
        <f aca="false">(B685+C685)/2</f>
        <v>0.067535400390625</v>
      </c>
      <c r="E685" s="15" t="n">
        <f aca="false">$C$2*(1+IF(E$3&lt;=$O$2,$D685,$D685-($D685-$I$670)*MIN(E$3-$O$2,$Q$2)/$Q$2))</f>
        <v>2743.56597900391</v>
      </c>
      <c r="F685" s="15" t="n">
        <f aca="false">E685*(1+IF(F$3&lt;=$O$2,$D685,$D685-($D685-$I$670)*MIN(F$3-$O$2,$Q$2)/$Q$2))</f>
        <v>2928.85380589403</v>
      </c>
      <c r="G685" s="15" t="n">
        <f aca="false">F685*(1+IF(G$3&lt;=$O$2,$D685,$D685-($D685-$I$670)*MIN(G$3-$O$2,$Q$2)/$Q$2))</f>
        <v>3126.65512036069</v>
      </c>
      <c r="H685" s="15" t="n">
        <f aca="false">G685*(1+IF(H$3&lt;=$O$2,$D685,$D685-($D685-$I$670)*MIN(H$3-$O$2,$Q$2)/$Q$2))</f>
        <v>3337.81502579765</v>
      </c>
      <c r="I685" s="15" t="n">
        <f aca="false">H685*(1+IF(I$3&lt;=$O$2,$D685,$D685-($D685-$I$670)*MIN(I$3-$O$2,$Q$2)/$Q$2))</f>
        <v>3563.23569999474</v>
      </c>
      <c r="J685" s="15" t="n">
        <f aca="false">I685*(1+IF(J$3&lt;=$O$2,$D685,$D685-($D685-$I$670)*MIN(J$3-$O$2,$Q$2)/$Q$2))</f>
        <v>3779.48248950495</v>
      </c>
      <c r="K685" s="15" t="n">
        <f aca="false">J685*(1+IF(K$3&lt;=$O$2,$D685,$D685-($D685-$I$670)*MIN(K$3-$O$2,$Q$2)/$Q$2))</f>
        <v>3982.974514184</v>
      </c>
      <c r="L685" s="15" t="n">
        <f aca="false">K685*(1+IF(L$3&lt;=$O$2,$D685,$D685-($D685-$I$670)*MIN(L$3-$O$2,$Q$2)/$Q$2))</f>
        <v>4170.15105640183</v>
      </c>
      <c r="M685" s="15" t="n">
        <f aca="false">L685*(1+IF(M$3&lt;=$O$2,$D685,$D685-($D685-$I$670)*MIN(M$3-$O$2,$Q$2)/$Q$2))</f>
        <v>4337.57044480107</v>
      </c>
      <c r="N685" s="15" t="n">
        <f aca="false">M685*(1+IF(N$3&lt;=$O$2,$D685,$D685-($D685-$I$670)*MIN(N$3-$O$2,$Q$2)/$Q$2))</f>
        <v>4482.01154061295</v>
      </c>
      <c r="O685" s="15" t="n">
        <f aca="false">SUMPRODUCT(E685:N685,1/(1+$F$670)^$E$3:$N$3)*$E$2</f>
        <v>4201.1047202591</v>
      </c>
      <c r="P685" s="15" t="n">
        <f aca="false">N685*$E$2*(1+$I$670)/($F$670-$I$670)/(1+$F$670)^$N$3</f>
        <v>4844.69108870208</v>
      </c>
      <c r="Q685" s="15" t="n">
        <f aca="false">O685+P685</f>
        <v>9045.79580896118</v>
      </c>
      <c r="R685" s="15" t="n">
        <f aca="false">Q685-$G$2+$I$2</f>
        <v>7669.59580896118</v>
      </c>
      <c r="S685" s="42" t="n">
        <f aca="false">R685/$K$2</f>
        <v>204.468030097606</v>
      </c>
      <c r="T685" s="43" t="n">
        <f aca="false">S685-$M$2</f>
        <v>-0.0107755542205723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0.067535400390625</v>
      </c>
      <c r="C686" s="25" t="n">
        <f aca="false">IF(T685&gt;0,D685,C685)</f>
        <v>0.067626953125</v>
      </c>
      <c r="D686" s="41" t="n">
        <f aca="false">(B686+C686)/2</f>
        <v>0.0675811767578125</v>
      </c>
      <c r="E686" s="15" t="n">
        <f aca="false">$C$2*(1+IF(E$3&lt;=$O$2,$D686,$D686-($D686-$I$670)*MIN(E$3-$O$2,$Q$2)/$Q$2))</f>
        <v>2743.68362426758</v>
      </c>
      <c r="F686" s="15" t="n">
        <f aca="false">E686*(1+IF(F$3&lt;=$O$2,$D686,$D686-($D686-$I$670)*MIN(F$3-$O$2,$Q$2)/$Q$2))</f>
        <v>2929.10499224672</v>
      </c>
      <c r="G686" s="15" t="n">
        <f aca="false">F686*(1+IF(G$3&lt;=$O$2,$D686,$D686-($D686-$I$670)*MIN(G$3-$O$2,$Q$2)/$Q$2))</f>
        <v>3127.05735446994</v>
      </c>
      <c r="H686" s="15" t="n">
        <f aca="false">G686*(1+IF(H$3&lt;=$O$2,$D686,$D686-($D686-$I$670)*MIN(H$3-$O$2,$Q$2)/$Q$2))</f>
        <v>3338.38757027419</v>
      </c>
      <c r="I686" s="15" t="n">
        <f aca="false">H686*(1+IF(I$3&lt;=$O$2,$D686,$D686-($D686-$I$670)*MIN(I$3-$O$2,$Q$2)/$Q$2))</f>
        <v>3563.99973074697</v>
      </c>
      <c r="J686" s="15" t="n">
        <f aca="false">I686*(1+IF(J$3&lt;=$O$2,$D686,$D686-($D686-$I$670)*MIN(J$3-$O$2,$Q$2)/$Q$2))</f>
        <v>3780.42340556847</v>
      </c>
      <c r="K686" s="15" t="n">
        <f aca="false">J686*(1+IF(K$3&lt;=$O$2,$D686,$D686-($D686-$I$670)*MIN(K$3-$O$2,$Q$2)/$Q$2))</f>
        <v>3984.0699227653</v>
      </c>
      <c r="L686" s="15" t="n">
        <f aca="false">K686*(1+IF(L$3&lt;=$O$2,$D686,$D686-($D686-$I$670)*MIN(L$3-$O$2,$Q$2)/$Q$2))</f>
        <v>4171.37089328851</v>
      </c>
      <c r="M686" s="15" t="n">
        <f aca="false">L686*(1+IF(M$3&lt;=$O$2,$D686,$D686-($D686-$I$670)*MIN(M$3-$O$2,$Q$2)/$Q$2))</f>
        <v>4338.87744461806</v>
      </c>
      <c r="N686" s="15" t="n">
        <f aca="false">M686*(1+IF(N$3&lt;=$O$2,$D686,$D686-($D686-$I$670)*MIN(N$3-$O$2,$Q$2)/$Q$2))</f>
        <v>4483.36206352384</v>
      </c>
      <c r="O686" s="15" t="n">
        <f aca="false">SUMPRODUCT(E686:N686,1/(1+$F$670)^$E$3:$N$3)*$E$2</f>
        <v>4201.92726915691</v>
      </c>
      <c r="P686" s="15" t="n">
        <f aca="false">N686*$E$2*(1+$I$670)/($F$670-$I$670)/(1+$F$670)^$N$3</f>
        <v>4846.15089447282</v>
      </c>
      <c r="Q686" s="15" t="n">
        <f aca="false">O686+P686</f>
        <v>9048.07816362973</v>
      </c>
      <c r="R686" s="15" t="n">
        <f aca="false">Q686-$G$2+$I$2</f>
        <v>7671.87816362973</v>
      </c>
      <c r="S686" s="42" t="n">
        <f aca="false">R686/$K$2</f>
        <v>204.528876663016</v>
      </c>
      <c r="T686" s="43" t="n">
        <f aca="false">S686-$M$2</f>
        <v>0.0500710111898002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0.067535400390625</v>
      </c>
      <c r="C687" s="25" t="n">
        <f aca="false">IF(T686&gt;0,D686,C686)</f>
        <v>0.0675811767578125</v>
      </c>
      <c r="D687" s="41" t="n">
        <f aca="false">(B687+C687)/2</f>
        <v>0.0675582885742188</v>
      </c>
      <c r="E687" s="15" t="n">
        <f aca="false">$C$2*(1+IF(E$3&lt;=$O$2,$D687,$D687-($D687-$I$670)*MIN(E$3-$O$2,$Q$2)/$Q$2))</f>
        <v>2743.62480163574</v>
      </c>
      <c r="F687" s="15" t="n">
        <f aca="false">E687*(1+IF(F$3&lt;=$O$2,$D687,$D687-($D687-$I$670)*MIN(F$3-$O$2,$Q$2)/$Q$2))</f>
        <v>2928.97939772403</v>
      </c>
      <c r="G687" s="15" t="n">
        <f aca="false">F687*(1+IF(G$3&lt;=$O$2,$D687,$D687-($D687-$I$670)*MIN(G$3-$O$2,$Q$2)/$Q$2))</f>
        <v>3126.85623310342</v>
      </c>
      <c r="H687" s="15" t="n">
        <f aca="false">G687*(1+IF(H$3&lt;=$O$2,$D687,$D687-($D687-$I$670)*MIN(H$3-$O$2,$Q$2)/$Q$2))</f>
        <v>3338.10128882951</v>
      </c>
      <c r="I687" s="15" t="n">
        <f aca="false">H687*(1+IF(I$3&lt;=$O$2,$D687,$D687-($D687-$I$670)*MIN(I$3-$O$2,$Q$2)/$Q$2))</f>
        <v>3563.61769899023</v>
      </c>
      <c r="J687" s="15" t="n">
        <f aca="false">I687*(1+IF(J$3&lt;=$O$2,$D687,$D687-($D687-$I$670)*MIN(J$3-$O$2,$Q$2)/$Q$2))</f>
        <v>3779.95292316676</v>
      </c>
      <c r="K687" s="15" t="n">
        <f aca="false">J687*(1+IF(K$3&lt;=$O$2,$D687,$D687-($D687-$I$670)*MIN(K$3-$O$2,$Q$2)/$Q$2))</f>
        <v>3983.5221863315</v>
      </c>
      <c r="L687" s="15" t="n">
        <f aca="false">K687*(1+IF(L$3&lt;=$O$2,$D687,$D687-($D687-$I$670)*MIN(L$3-$O$2,$Q$2)/$Q$2))</f>
        <v>4170.7609361768</v>
      </c>
      <c r="M687" s="15" t="n">
        <f aca="false">L687*(1+IF(M$3&lt;=$O$2,$D687,$D687-($D687-$I$670)*MIN(M$3-$O$2,$Q$2)/$Q$2))</f>
        <v>4338.22390169661</v>
      </c>
      <c r="N687" s="15" t="n">
        <f aca="false">M687*(1+IF(N$3&lt;=$O$2,$D687,$D687-($D687-$I$670)*MIN(N$3-$O$2,$Q$2)/$Q$2))</f>
        <v>4482.68675762311</v>
      </c>
      <c r="O687" s="15" t="n">
        <f aca="false">SUMPRODUCT(E687:N687,1/(1+$F$670)^$E$3:$N$3)*$E$2</f>
        <v>4201.51597440878</v>
      </c>
      <c r="P687" s="15" t="n">
        <f aca="false">N687*$E$2*(1+$I$670)/($F$670-$I$670)/(1+$F$670)^$N$3</f>
        <v>4845.4209435457</v>
      </c>
      <c r="Q687" s="15" t="n">
        <f aca="false">O687+P687</f>
        <v>9046.93691795448</v>
      </c>
      <c r="R687" s="15" t="n">
        <f aca="false">Q687-$G$2+$I$2</f>
        <v>7670.73691795448</v>
      </c>
      <c r="S687" s="42" t="n">
        <f aca="false">R687/$K$2</f>
        <v>204.498451558371</v>
      </c>
      <c r="T687" s="43" t="n">
        <f aca="false">S687-$M$2</f>
        <v>0.0196459065444117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0.067535400390625</v>
      </c>
      <c r="C688" s="25" t="n">
        <f aca="false">IF(T687&gt;0,D687,C687)</f>
        <v>0.0675582885742188</v>
      </c>
      <c r="D688" s="41" t="n">
        <f aca="false">(B688+C688)/2</f>
        <v>0.0675468444824219</v>
      </c>
      <c r="E688" s="15" t="n">
        <f aca="false">$C$2*(1+IF(E$3&lt;=$O$2,$D688,$D688-($D688-$I$670)*MIN(E$3-$O$2,$Q$2)/$Q$2))</f>
        <v>2743.59539031982</v>
      </c>
      <c r="F688" s="15" t="n">
        <f aca="false">E688*(1+IF(F$3&lt;=$O$2,$D688,$D688-($D688-$I$670)*MIN(F$3-$O$2,$Q$2)/$Q$2))</f>
        <v>2928.91660147245</v>
      </c>
      <c r="G688" s="15" t="n">
        <f aca="false">F688*(1+IF(G$3&lt;=$O$2,$D688,$D688-($D688-$I$670)*MIN(G$3-$O$2,$Q$2)/$Q$2))</f>
        <v>3126.75567565409</v>
      </c>
      <c r="H688" s="15" t="n">
        <f aca="false">G688*(1+IF(H$3&lt;=$O$2,$D688,$D688-($D688-$I$670)*MIN(H$3-$O$2,$Q$2)/$Q$2))</f>
        <v>3337.95815501203</v>
      </c>
      <c r="I688" s="15" t="n">
        <f aca="false">H688*(1+IF(I$3&lt;=$O$2,$D688,$D688-($D688-$I$670)*MIN(I$3-$O$2,$Q$2)/$Q$2))</f>
        <v>3563.42669539746</v>
      </c>
      <c r="J688" s="15" t="n">
        <f aca="false">I688*(1+IF(J$3&lt;=$O$2,$D688,$D688-($D688-$I$670)*MIN(J$3-$O$2,$Q$2)/$Q$2))</f>
        <v>3779.71770024362</v>
      </c>
      <c r="K688" s="15" t="n">
        <f aca="false">J688*(1+IF(K$3&lt;=$O$2,$D688,$D688-($D688-$I$670)*MIN(K$3-$O$2,$Q$2)/$Q$2))</f>
        <v>3983.24834222235</v>
      </c>
      <c r="L688" s="15" t="n">
        <f aca="false">K688*(1+IF(L$3&lt;=$O$2,$D688,$D688-($D688-$I$670)*MIN(L$3-$O$2,$Q$2)/$Q$2))</f>
        <v>4170.45598662274</v>
      </c>
      <c r="M688" s="15" t="n">
        <f aca="false">L688*(1+IF(M$3&lt;=$O$2,$D688,$D688-($D688-$I$670)*MIN(M$3-$O$2,$Q$2)/$Q$2))</f>
        <v>4337.89716249621</v>
      </c>
      <c r="N688" s="15" t="n">
        <f aca="false">M688*(1+IF(N$3&lt;=$O$2,$D688,$D688-($D688-$I$670)*MIN(N$3-$O$2,$Q$2)/$Q$2))</f>
        <v>4482.34913800733</v>
      </c>
      <c r="O688" s="15" t="n">
        <f aca="false">SUMPRODUCT(E688:N688,1/(1+$F$670)^$E$3:$N$3)*$E$2</f>
        <v>4201.31034225937</v>
      </c>
      <c r="P688" s="15" t="n">
        <f aca="false">N688*$E$2*(1+$I$670)/($F$670-$I$670)/(1+$F$670)^$N$3</f>
        <v>4845.05600411413</v>
      </c>
      <c r="Q688" s="15" t="n">
        <f aca="false">O688+P688</f>
        <v>9046.3663463735</v>
      </c>
      <c r="R688" s="15" t="n">
        <f aca="false">Q688-$G$2+$I$2</f>
        <v>7670.1663463735</v>
      </c>
      <c r="S688" s="42" t="n">
        <f aca="false">R688/$K$2</f>
        <v>204.483240372527</v>
      </c>
      <c r="T688" s="43" t="n">
        <f aca="false">S688-$M$2</f>
        <v>0.00443472070114126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0.067535400390625</v>
      </c>
      <c r="C689" s="25" t="n">
        <f aca="false">IF(T688&gt;0,D688,C688)</f>
        <v>0.0675468444824219</v>
      </c>
      <c r="D689" s="41" t="n">
        <f aca="false">(B689+C689)/2</f>
        <v>0.0675411224365234</v>
      </c>
      <c r="E689" s="15" t="n">
        <f aca="false">$C$2*(1+IF(E$3&lt;=$O$2,$D689,$D689-($D689-$I$670)*MIN(E$3-$O$2,$Q$2)/$Q$2))</f>
        <v>2743.58068466187</v>
      </c>
      <c r="F689" s="15" t="n">
        <f aca="false">E689*(1+IF(F$3&lt;=$O$2,$D689,$D689-($D689-$I$670)*MIN(F$3-$O$2,$Q$2)/$Q$2))</f>
        <v>2928.88520359909</v>
      </c>
      <c r="G689" s="15" t="n">
        <f aca="false">F689*(1+IF(G$3&lt;=$O$2,$D689,$D689-($D689-$I$670)*MIN(G$3-$O$2,$Q$2)/$Q$2))</f>
        <v>3126.7053977379</v>
      </c>
      <c r="H689" s="15" t="n">
        <f aca="false">G689*(1+IF(H$3&lt;=$O$2,$D689,$D689-($D689-$I$670)*MIN(H$3-$O$2,$Q$2)/$Q$2))</f>
        <v>3337.88658982946</v>
      </c>
      <c r="I689" s="15" t="n">
        <f aca="false">H689*(1+IF(I$3&lt;=$O$2,$D689,$D689-($D689-$I$670)*MIN(I$3-$O$2,$Q$2)/$Q$2))</f>
        <v>3563.33119667236</v>
      </c>
      <c r="J689" s="15" t="n">
        <f aca="false">I689*(1+IF(J$3&lt;=$O$2,$D689,$D689-($D689-$I$670)*MIN(J$3-$O$2,$Q$2)/$Q$2))</f>
        <v>3779.60009335126</v>
      </c>
      <c r="K689" s="15" t="n">
        <f aca="false">J689*(1+IF(K$3&lt;=$O$2,$D689,$D689-($D689-$I$670)*MIN(K$3-$O$2,$Q$2)/$Q$2))</f>
        <v>3983.11142619438</v>
      </c>
      <c r="L689" s="15" t="n">
        <f aca="false">K689*(1+IF(L$3&lt;=$O$2,$D689,$D689-($D689-$I$670)*MIN(L$3-$O$2,$Q$2)/$Q$2))</f>
        <v>4170.30351909571</v>
      </c>
      <c r="M689" s="15" t="n">
        <f aca="false">L689*(1+IF(M$3&lt;=$O$2,$D689,$D689-($D689-$I$670)*MIN(M$3-$O$2,$Q$2)/$Q$2))</f>
        <v>4337.73380096056</v>
      </c>
      <c r="N689" s="15" t="n">
        <f aca="false">M689*(1+IF(N$3&lt;=$O$2,$D689,$D689-($D689-$I$670)*MIN(N$3-$O$2,$Q$2)/$Q$2))</f>
        <v>4482.18033653254</v>
      </c>
      <c r="O689" s="15" t="n">
        <f aca="false">SUMPRODUCT(E689:N689,1/(1+$F$670)^$E$3:$N$3)*$E$2</f>
        <v>4201.20752999062</v>
      </c>
      <c r="P689" s="15" t="n">
        <f aca="false">N689*$E$2*(1+$I$670)/($F$670-$I$670)/(1+$F$670)^$N$3</f>
        <v>4844.87354340575</v>
      </c>
      <c r="Q689" s="15" t="n">
        <f aca="false">O689+P689</f>
        <v>9046.08107339637</v>
      </c>
      <c r="R689" s="15" t="n">
        <f aca="false">Q689-$G$2+$I$2</f>
        <v>7669.88107339637</v>
      </c>
      <c r="S689" s="42" t="n">
        <f aca="false">R689/$K$2</f>
        <v>204.475635121204</v>
      </c>
      <c r="T689" s="43" t="n">
        <f aca="false">S689-$M$2</f>
        <v>-0.00317053062187256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0.0675411224365234</v>
      </c>
      <c r="C690" s="25" t="n">
        <f aca="false">IF(T689&gt;0,D689,C689)</f>
        <v>0.0675468444824219</v>
      </c>
      <c r="D690" s="41" t="n">
        <f aca="false">(B690+C690)/2</f>
        <v>0.0675439834594727</v>
      </c>
      <c r="E690" s="15" t="n">
        <f aca="false">$C$2*(1+IF(E$3&lt;=$O$2,$D690,$D690-($D690-$I$670)*MIN(E$3-$O$2,$Q$2)/$Q$2))</f>
        <v>2743.58803749084</v>
      </c>
      <c r="F690" s="15" t="n">
        <f aca="false">E690*(1+IF(F$3&lt;=$O$2,$D690,$D690-($D690-$I$670)*MIN(F$3-$O$2,$Q$2)/$Q$2))</f>
        <v>2928.90090251473</v>
      </c>
      <c r="G690" s="15" t="n">
        <f aca="false">F690*(1+IF(G$3&lt;=$O$2,$D690,$D690-($D690-$I$670)*MIN(G$3-$O$2,$Q$2)/$Q$2))</f>
        <v>3126.73053662862</v>
      </c>
      <c r="H690" s="15" t="n">
        <f aca="false">G690*(1+IF(H$3&lt;=$O$2,$D690,$D690-($D690-$I$670)*MIN(H$3-$O$2,$Q$2)/$Q$2))</f>
        <v>3337.9223722769</v>
      </c>
      <c r="I690" s="15" t="n">
        <f aca="false">H690*(1+IF(I$3&lt;=$O$2,$D690,$D690-($D690-$I$670)*MIN(I$3-$O$2,$Q$2)/$Q$2))</f>
        <v>3563.37894577897</v>
      </c>
      <c r="J690" s="15" t="n">
        <f aca="false">I690*(1+IF(J$3&lt;=$O$2,$D690,$D690-($D690-$I$670)*MIN(J$3-$O$2,$Q$2)/$Q$2))</f>
        <v>3779.65889641668</v>
      </c>
      <c r="K690" s="15" t="n">
        <f aca="false">J690*(1+IF(K$3&lt;=$O$2,$D690,$D690-($D690-$I$670)*MIN(K$3-$O$2,$Q$2)/$Q$2))</f>
        <v>3983.17988370616</v>
      </c>
      <c r="L690" s="15" t="n">
        <f aca="false">K690*(1+IF(L$3&lt;=$O$2,$D690,$D690-($D690-$I$670)*MIN(L$3-$O$2,$Q$2)/$Q$2))</f>
        <v>4170.37975225507</v>
      </c>
      <c r="M690" s="15" t="n">
        <f aca="false">L690*(1+IF(M$3&lt;=$O$2,$D690,$D690-($D690-$I$670)*MIN(M$3-$O$2,$Q$2)/$Q$2))</f>
        <v>4337.81548105635</v>
      </c>
      <c r="N690" s="15" t="n">
        <f aca="false">M690*(1+IF(N$3&lt;=$O$2,$D690,$D690-($D690-$I$670)*MIN(N$3-$O$2,$Q$2)/$Q$2))</f>
        <v>4482.26473657553</v>
      </c>
      <c r="O690" s="15" t="n">
        <f aca="false">SUMPRODUCT(E690:N690,1/(1+$F$670)^$E$3:$N$3)*$E$2</f>
        <v>4201.25893580784</v>
      </c>
      <c r="P690" s="15" t="n">
        <f aca="false">N690*$E$2*(1+$I$670)/($F$670-$I$670)/(1+$F$670)^$N$3</f>
        <v>4844.96477300934</v>
      </c>
      <c r="Q690" s="15" t="n">
        <f aca="false">O690+P690</f>
        <v>9046.22370881718</v>
      </c>
      <c r="R690" s="15" t="n">
        <f aca="false">Q690-$G$2+$I$2</f>
        <v>7670.02370881718</v>
      </c>
      <c r="S690" s="42" t="n">
        <f aca="false">R690/$K$2</f>
        <v>204.4794377184</v>
      </c>
      <c r="T690" s="43" t="n">
        <f aca="false">S690-$M$2</f>
        <v>0.000632066573786005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0.0675411224365234</v>
      </c>
      <c r="C691" s="25" t="n">
        <f aca="false">IF(T690&gt;0,D690,C690)</f>
        <v>0.0675439834594727</v>
      </c>
      <c r="D691" s="41" t="n">
        <f aca="false">(B691+C691)/2</f>
        <v>0.0675425529479981</v>
      </c>
      <c r="E691" s="15" t="n">
        <f aca="false">$C$2*(1+IF(E$3&lt;=$O$2,$D691,$D691-($D691-$I$670)*MIN(E$3-$O$2,$Q$2)/$Q$2))</f>
        <v>2743.58436107636</v>
      </c>
      <c r="F691" s="15" t="n">
        <f aca="false">E691*(1+IF(F$3&lt;=$O$2,$D691,$D691-($D691-$I$670)*MIN(F$3-$O$2,$Q$2)/$Q$2))</f>
        <v>2928.89305305165</v>
      </c>
      <c r="G691" s="15" t="n">
        <f aca="false">F691*(1+IF(G$3&lt;=$O$2,$D691,$D691-($D691-$I$670)*MIN(G$3-$O$2,$Q$2)/$Q$2))</f>
        <v>3126.71796716642</v>
      </c>
      <c r="H691" s="15" t="n">
        <f aca="false">G691*(1+IF(H$3&lt;=$O$2,$D691,$D691-($D691-$I$670)*MIN(H$3-$O$2,$Q$2)/$Q$2))</f>
        <v>3337.90448101721</v>
      </c>
      <c r="I691" s="15" t="n">
        <f aca="false">H691*(1+IF(I$3&lt;=$O$2,$D691,$D691-($D691-$I$670)*MIN(I$3-$O$2,$Q$2)/$Q$2))</f>
        <v>3563.35507116168</v>
      </c>
      <c r="J691" s="15" t="n">
        <f aca="false">I691*(1+IF(J$3&lt;=$O$2,$D691,$D691-($D691-$I$670)*MIN(J$3-$O$2,$Q$2)/$Q$2))</f>
        <v>3779.62949478878</v>
      </c>
      <c r="K691" s="15" t="n">
        <f aca="false">J691*(1+IF(K$3&lt;=$O$2,$D691,$D691-($D691-$I$670)*MIN(K$3-$O$2,$Q$2)/$Q$2))</f>
        <v>3983.14565482472</v>
      </c>
      <c r="L691" s="15" t="n">
        <f aca="false">K691*(1+IF(L$3&lt;=$O$2,$D691,$D691-($D691-$I$670)*MIN(L$3-$O$2,$Q$2)/$Q$2))</f>
        <v>4170.34163552435</v>
      </c>
      <c r="M691" s="15" t="n">
        <f aca="false">L691*(1+IF(M$3&lt;=$O$2,$D691,$D691-($D691-$I$670)*MIN(M$3-$O$2,$Q$2)/$Q$2))</f>
        <v>4337.77464084045</v>
      </c>
      <c r="N691" s="15" t="n">
        <f aca="false">M691*(1+IF(N$3&lt;=$O$2,$D691,$D691-($D691-$I$670)*MIN(N$3-$O$2,$Q$2)/$Q$2))</f>
        <v>4482.22253638044</v>
      </c>
      <c r="O691" s="15" t="n">
        <f aca="false">SUMPRODUCT(E691:N691,1/(1+$F$670)^$E$3:$N$3)*$E$2</f>
        <v>4201.23323281994</v>
      </c>
      <c r="P691" s="15" t="n">
        <f aca="false">N691*$E$2*(1+$I$670)/($F$670-$I$670)/(1+$F$670)^$N$3</f>
        <v>4844.9191580199</v>
      </c>
      <c r="Q691" s="15" t="n">
        <f aca="false">O691+P691</f>
        <v>9046.15239083984</v>
      </c>
      <c r="R691" s="15" t="n">
        <f aca="false">Q691-$G$2+$I$2</f>
        <v>7669.95239083984</v>
      </c>
      <c r="S691" s="42" t="n">
        <f aca="false">R691/$K$2</f>
        <v>204.477536412686</v>
      </c>
      <c r="T691" s="43" t="n">
        <f aca="false">S691-$M$2</f>
        <v>-0.00126923914049826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0.0675425529479981</v>
      </c>
      <c r="C692" s="25" t="n">
        <f aca="false">IF(T691&gt;0,D691,C691)</f>
        <v>0.0675439834594727</v>
      </c>
      <c r="D692" s="41" t="n">
        <f aca="false">(B692+C692)/2</f>
        <v>0.0675432682037354</v>
      </c>
      <c r="E692" s="15" t="n">
        <f aca="false">$C$2*(1+IF(E$3&lt;=$O$2,$D692,$D692-($D692-$I$670)*MIN(E$3-$O$2,$Q$2)/$Q$2))</f>
        <v>2743.5861992836</v>
      </c>
      <c r="F692" s="15" t="n">
        <f aca="false">E692*(1+IF(F$3&lt;=$O$2,$D692,$D692-($D692-$I$670)*MIN(F$3-$O$2,$Q$2)/$Q$2))</f>
        <v>2928.89697778188</v>
      </c>
      <c r="G692" s="15" t="n">
        <f aca="false">F692*(1+IF(G$3&lt;=$O$2,$D692,$D692-($D692-$I$670)*MIN(G$3-$O$2,$Q$2)/$Q$2))</f>
        <v>3126.72425189331</v>
      </c>
      <c r="H692" s="15" t="n">
        <f aca="false">G692*(1+IF(H$3&lt;=$O$2,$D692,$D692-($D692-$I$670)*MIN(H$3-$O$2,$Q$2)/$Q$2))</f>
        <v>3337.91342663806</v>
      </c>
      <c r="I692" s="15" t="n">
        <f aca="false">H692*(1+IF(I$3&lt;=$O$2,$D692,$D692-($D692-$I$670)*MIN(I$3-$O$2,$Q$2)/$Q$2))</f>
        <v>3563.36700845433</v>
      </c>
      <c r="J692" s="15" t="n">
        <f aca="false">I692*(1+IF(J$3&lt;=$O$2,$D692,$D692-($D692-$I$670)*MIN(J$3-$O$2,$Q$2)/$Q$2))</f>
        <v>3779.64419557893</v>
      </c>
      <c r="K692" s="15" t="n">
        <f aca="false">J692*(1+IF(K$3&lt;=$O$2,$D692,$D692-($D692-$I$670)*MIN(K$3-$O$2,$Q$2)/$Q$2))</f>
        <v>3983.16276923405</v>
      </c>
      <c r="L692" s="15" t="n">
        <f aca="false">K692*(1+IF(L$3&lt;=$O$2,$D692,$D692-($D692-$I$670)*MIN(L$3-$O$2,$Q$2)/$Q$2))</f>
        <v>4170.36069385195</v>
      </c>
      <c r="M692" s="15" t="n">
        <f aca="false">L692*(1+IF(M$3&lt;=$O$2,$D692,$D692-($D692-$I$670)*MIN(M$3-$O$2,$Q$2)/$Q$2))</f>
        <v>4337.7950609064</v>
      </c>
      <c r="N692" s="15" t="n">
        <f aca="false">M692*(1+IF(N$3&lt;=$O$2,$D692,$D692-($D692-$I$670)*MIN(N$3-$O$2,$Q$2)/$Q$2))</f>
        <v>4482.24363643458</v>
      </c>
      <c r="O692" s="15" t="n">
        <f aca="false">SUMPRODUCT(E692:N692,1/(1+$F$670)^$E$3:$N$3)*$E$2</f>
        <v>4201.24608429407</v>
      </c>
      <c r="P692" s="15" t="n">
        <f aca="false">N692*$E$2*(1+$I$670)/($F$670-$I$670)/(1+$F$670)^$N$3</f>
        <v>4844.94196546771</v>
      </c>
      <c r="Q692" s="15" t="n">
        <f aca="false">O692+P692</f>
        <v>9046.18804976177</v>
      </c>
      <c r="R692" s="15" t="n">
        <f aca="false">Q692-$G$2+$I$2</f>
        <v>7669.98804976177</v>
      </c>
      <c r="S692" s="42" t="n">
        <f aca="false">R692/$K$2</f>
        <v>204.478487063764</v>
      </c>
      <c r="T692" s="43" t="n">
        <f aca="false">S692-$M$2</f>
        <v>-0.000318588062526715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0.0675432682037354</v>
      </c>
      <c r="C693" s="25" t="n">
        <f aca="false">IF(T692&gt;0,D692,C692)</f>
        <v>0.0675439834594727</v>
      </c>
      <c r="D693" s="41" t="n">
        <f aca="false">(B693+C693)/2</f>
        <v>0.067543625831604</v>
      </c>
      <c r="E693" s="15" t="n">
        <f aca="false">$C$2*(1+IF(E$3&lt;=$O$2,$D693,$D693-($D693-$I$670)*MIN(E$3-$O$2,$Q$2)/$Q$2))</f>
        <v>2743.58711838722</v>
      </c>
      <c r="F693" s="15" t="n">
        <f aca="false">E693*(1+IF(F$3&lt;=$O$2,$D693,$D693-($D693-$I$670)*MIN(F$3-$O$2,$Q$2)/$Q$2))</f>
        <v>2928.89894014798</v>
      </c>
      <c r="G693" s="15" t="n">
        <f aca="false">F693*(1+IF(G$3&lt;=$O$2,$D693,$D693-($D693-$I$670)*MIN(G$3-$O$2,$Q$2)/$Q$2))</f>
        <v>3126.72739425991</v>
      </c>
      <c r="H693" s="15" t="n">
        <f aca="false">G693*(1+IF(H$3&lt;=$O$2,$D693,$D693-($D693-$I$670)*MIN(H$3-$O$2,$Q$2)/$Q$2))</f>
        <v>3337.91789945523</v>
      </c>
      <c r="I693" s="15" t="n">
        <f aca="false">H693*(1+IF(I$3&lt;=$O$2,$D693,$D693-($D693-$I$670)*MIN(I$3-$O$2,$Q$2)/$Q$2))</f>
        <v>3563.37297711265</v>
      </c>
      <c r="J693" s="15" t="n">
        <f aca="false">I693*(1+IF(J$3&lt;=$O$2,$D693,$D693-($D693-$I$670)*MIN(J$3-$O$2,$Q$2)/$Q$2))</f>
        <v>3779.65154599186</v>
      </c>
      <c r="K693" s="15" t="n">
        <f aca="false">J693*(1+IF(K$3&lt;=$O$2,$D693,$D693-($D693-$I$670)*MIN(K$3-$O$2,$Q$2)/$Q$2))</f>
        <v>3983.17132646226</v>
      </c>
      <c r="L693" s="15" t="n">
        <f aca="false">K693*(1+IF(L$3&lt;=$O$2,$D693,$D693-($D693-$I$670)*MIN(L$3-$O$2,$Q$2)/$Q$2))</f>
        <v>4170.37022304407</v>
      </c>
      <c r="M693" s="15" t="n">
        <f aca="false">L693*(1+IF(M$3&lt;=$O$2,$D693,$D693-($D693-$I$670)*MIN(M$3-$O$2,$Q$2)/$Q$2))</f>
        <v>4337.80527097087</v>
      </c>
      <c r="N693" s="15" t="n">
        <f aca="false">M693*(1+IF(N$3&lt;=$O$2,$D693,$D693-($D693-$I$670)*MIN(N$3-$O$2,$Q$2)/$Q$2))</f>
        <v>4482.25418649421</v>
      </c>
      <c r="O693" s="15" t="n">
        <f aca="false">SUMPRODUCT(E693:N693,1/(1+$F$670)^$E$3:$N$3)*$E$2</f>
        <v>4201.252510046</v>
      </c>
      <c r="P693" s="15" t="n">
        <f aca="false">N693*$E$2*(1+$I$670)/($F$670-$I$670)/(1+$F$670)^$N$3</f>
        <v>4844.95336922679</v>
      </c>
      <c r="Q693" s="15" t="n">
        <f aca="false">O693+P693</f>
        <v>9046.20587927279</v>
      </c>
      <c r="R693" s="15" t="n">
        <f aca="false">Q693-$G$2+$I$2</f>
        <v>7670.00587927279</v>
      </c>
      <c r="S693" s="42" t="n">
        <f aca="false">R693/$K$2</f>
        <v>204.478962390637</v>
      </c>
      <c r="T693" s="43" t="n">
        <f aca="false">S693-$M$2</f>
        <v>0.000156738810801471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0.0675432682037354</v>
      </c>
      <c r="C694" s="25" t="n">
        <f aca="false">IF(T693&gt;0,D693,C693)</f>
        <v>0.067543625831604</v>
      </c>
      <c r="D694" s="41" t="n">
        <f aca="false">(B694+C694)/2</f>
        <v>0.0675434470176697</v>
      </c>
      <c r="E694" s="15" t="n">
        <f aca="false">$C$2*(1+IF(E$3&lt;=$O$2,$D694,$D694-($D694-$I$670)*MIN(E$3-$O$2,$Q$2)/$Q$2))</f>
        <v>2743.58665883541</v>
      </c>
      <c r="F694" s="15" t="n">
        <f aca="false">E694*(1+IF(F$3&lt;=$O$2,$D694,$D694-($D694-$I$670)*MIN(F$3-$O$2,$Q$2)/$Q$2))</f>
        <v>2928.89795896485</v>
      </c>
      <c r="G694" s="15" t="n">
        <f aca="false">F694*(1+IF(G$3&lt;=$O$2,$D694,$D694-($D694-$I$670)*MIN(G$3-$O$2,$Q$2)/$Q$2))</f>
        <v>3126.72582307635</v>
      </c>
      <c r="H694" s="15" t="n">
        <f aca="false">G694*(1+IF(H$3&lt;=$O$2,$D694,$D694-($D694-$I$670)*MIN(H$3-$O$2,$Q$2)/$Q$2))</f>
        <v>3337.91566304609</v>
      </c>
      <c r="I694" s="15" t="n">
        <f aca="false">H694*(1+IF(I$3&lt;=$O$2,$D694,$D694-($D694-$I$670)*MIN(I$3-$O$2,$Q$2)/$Q$2))</f>
        <v>3563.36999278249</v>
      </c>
      <c r="J694" s="15" t="n">
        <f aca="false">I694*(1+IF(J$3&lt;=$O$2,$D694,$D694-($D694-$I$670)*MIN(J$3-$O$2,$Q$2)/$Q$2))</f>
        <v>3779.64787078391</v>
      </c>
      <c r="K694" s="15" t="n">
        <f aca="false">J694*(1+IF(K$3&lt;=$O$2,$D694,$D694-($D694-$I$670)*MIN(K$3-$O$2,$Q$2)/$Q$2))</f>
        <v>3983.16704784619</v>
      </c>
      <c r="L694" s="15" t="n">
        <f aca="false">K694*(1+IF(L$3&lt;=$O$2,$D694,$D694-($D694-$I$670)*MIN(L$3-$O$2,$Q$2)/$Q$2))</f>
        <v>4170.36545844565</v>
      </c>
      <c r="M694" s="15" t="n">
        <f aca="false">L694*(1+IF(M$3&lt;=$O$2,$D694,$D694-($D694-$I$670)*MIN(M$3-$O$2,$Q$2)/$Q$2))</f>
        <v>4337.80016593601</v>
      </c>
      <c r="N694" s="15" t="n">
        <f aca="false">M694*(1+IF(N$3&lt;=$O$2,$D694,$D694-($D694-$I$670)*MIN(N$3-$O$2,$Q$2)/$Q$2))</f>
        <v>4482.24891146168</v>
      </c>
      <c r="O694" s="15" t="n">
        <f aca="false">SUMPRODUCT(E694:N694,1/(1+$F$670)^$E$3:$N$3)*$E$2</f>
        <v>4201.24929716879</v>
      </c>
      <c r="P694" s="15" t="n">
        <f aca="false">N694*$E$2*(1+$I$670)/($F$670-$I$670)/(1+$F$670)^$N$3</f>
        <v>4844.94766734432</v>
      </c>
      <c r="Q694" s="15" t="n">
        <f aca="false">O694+P694</f>
        <v>9046.19696451311</v>
      </c>
      <c r="R694" s="15" t="n">
        <f aca="false">Q694-$G$2+$I$2</f>
        <v>7669.99696451311</v>
      </c>
      <c r="S694" s="42" t="n">
        <f aca="false">R694/$K$2</f>
        <v>204.478724727089</v>
      </c>
      <c r="T694" s="43" t="n">
        <f aca="false">S694-$M$2</f>
        <v>-8.09247370341382E-005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0.0675434470176697</v>
      </c>
      <c r="C695" s="25" t="n">
        <f aca="false">IF(T694&gt;0,D694,C694)</f>
        <v>0.067543625831604</v>
      </c>
      <c r="D695" s="41" t="n">
        <f aca="false">(B695+C695)/2</f>
        <v>0.0675435364246368</v>
      </c>
      <c r="E695" s="15" t="n">
        <f aca="false">$C$2*(1+IF(E$3&lt;=$O$2,$D695,$D695-($D695-$I$670)*MIN(E$3-$O$2,$Q$2)/$Q$2))</f>
        <v>2743.58688861132</v>
      </c>
      <c r="F695" s="15" t="n">
        <f aca="false">E695*(1+IF(F$3&lt;=$O$2,$D695,$D695-($D695-$I$670)*MIN(F$3-$O$2,$Q$2)/$Q$2))</f>
        <v>2928.89844955639</v>
      </c>
      <c r="G695" s="15" t="n">
        <f aca="false">F695*(1+IF(G$3&lt;=$O$2,$D695,$D695-($D695-$I$670)*MIN(G$3-$O$2,$Q$2)/$Q$2))</f>
        <v>3126.72660866807</v>
      </c>
      <c r="H695" s="15" t="n">
        <f aca="false">G695*(1+IF(H$3&lt;=$O$2,$D695,$D695-($D695-$I$670)*MIN(H$3-$O$2,$Q$2)/$Q$2))</f>
        <v>3337.91678125052</v>
      </c>
      <c r="I695" s="15" t="n">
        <f aca="false">H695*(1+IF(I$3&lt;=$O$2,$D695,$D695-($D695-$I$670)*MIN(I$3-$O$2,$Q$2)/$Q$2))</f>
        <v>3563.37148494732</v>
      </c>
      <c r="J695" s="15" t="n">
        <f aca="false">I695*(1+IF(J$3&lt;=$O$2,$D695,$D695-($D695-$I$670)*MIN(J$3-$O$2,$Q$2)/$Q$2))</f>
        <v>3779.64970838751</v>
      </c>
      <c r="K695" s="15" t="n">
        <f aca="false">J695*(1+IF(K$3&lt;=$O$2,$D695,$D695-($D695-$I$670)*MIN(K$3-$O$2,$Q$2)/$Q$2))</f>
        <v>3983.16918715374</v>
      </c>
      <c r="L695" s="15" t="n">
        <f aca="false">K695*(1+IF(L$3&lt;=$O$2,$D695,$D695-($D695-$I$670)*MIN(L$3-$O$2,$Q$2)/$Q$2))</f>
        <v>4170.36784074427</v>
      </c>
      <c r="M695" s="15" t="n">
        <f aca="false">L695*(1+IF(M$3&lt;=$O$2,$D695,$D695-($D695-$I$670)*MIN(M$3-$O$2,$Q$2)/$Q$2))</f>
        <v>4337.80271845279</v>
      </c>
      <c r="N695" s="15" t="n">
        <f aca="false">M695*(1+IF(N$3&lt;=$O$2,$D695,$D695-($D695-$I$670)*MIN(N$3-$O$2,$Q$2)/$Q$2))</f>
        <v>4482.25154897727</v>
      </c>
      <c r="O695" s="15" t="n">
        <f aca="false">SUMPRODUCT(E695:N695,1/(1+$F$670)^$E$3:$N$3)*$E$2</f>
        <v>4201.25090360708</v>
      </c>
      <c r="P695" s="15" t="n">
        <f aca="false">N695*$E$2*(1+$I$670)/($F$670-$I$670)/(1+$F$670)^$N$3</f>
        <v>4844.95051828482</v>
      </c>
      <c r="Q695" s="15" t="n">
        <f aca="false">O695+P695</f>
        <v>9046.20142189191</v>
      </c>
      <c r="R695" s="15" t="n">
        <f aca="false">Q695-$G$2+$I$2</f>
        <v>7670.00142189191</v>
      </c>
      <c r="S695" s="42" t="n">
        <f aca="false">R695/$K$2</f>
        <v>204.478843558835</v>
      </c>
      <c r="T695" s="43" t="n">
        <f aca="false">S695-$M$2</f>
        <v>3.79070090730238E-005</v>
      </c>
    </row>
    <row r="697" customFormat="false" ht="15" hidden="false" customHeight="false" outlineLevel="0" collapsed="false">
      <c r="A697" s="38" t="s">
        <v>206</v>
      </c>
      <c r="E697" s="5" t="s">
        <v>11</v>
      </c>
      <c r="F697" s="12" t="n">
        <f aca="false">Sensitivity!$B$14</f>
        <v>0.104183337553844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162</v>
      </c>
      <c r="B698" s="28" t="s">
        <v>163</v>
      </c>
      <c r="C698" s="28" t="s">
        <v>164</v>
      </c>
      <c r="D698" s="28" t="s">
        <v>165</v>
      </c>
      <c r="E698" s="28" t="s">
        <v>166</v>
      </c>
      <c r="F698" s="28" t="s">
        <v>167</v>
      </c>
      <c r="G698" s="28" t="s">
        <v>168</v>
      </c>
      <c r="H698" s="28" t="s">
        <v>169</v>
      </c>
      <c r="I698" s="28" t="s">
        <v>170</v>
      </c>
      <c r="J698" s="28" t="s">
        <v>171</v>
      </c>
      <c r="K698" s="28" t="s">
        <v>172</v>
      </c>
      <c r="L698" s="28" t="s">
        <v>173</v>
      </c>
      <c r="M698" s="28" t="s">
        <v>174</v>
      </c>
      <c r="N698" s="28" t="s">
        <v>175</v>
      </c>
      <c r="O698" s="28" t="s">
        <v>176</v>
      </c>
      <c r="P698" s="28" t="s">
        <v>177</v>
      </c>
      <c r="Q698" s="28" t="s">
        <v>178</v>
      </c>
      <c r="R698" s="28" t="s">
        <v>179</v>
      </c>
      <c r="S698" s="28" t="s">
        <v>180</v>
      </c>
      <c r="T698" s="28" t="s">
        <v>181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3212.5</v>
      </c>
      <c r="F699" s="15" t="n">
        <f aca="false">E699*(1+IF(F$3&lt;=$O$2,$D699,$D699-($D699-$I$697)*MIN(F$3-$O$2,$Q$2)/$Q$2))</f>
        <v>4015.625</v>
      </c>
      <c r="G699" s="15" t="n">
        <f aca="false">F699*(1+IF(G$3&lt;=$O$2,$D699,$D699-($D699-$I$697)*MIN(G$3-$O$2,$Q$2)/$Q$2))</f>
        <v>5019.53125</v>
      </c>
      <c r="H699" s="15" t="n">
        <f aca="false">G699*(1+IF(H$3&lt;=$O$2,$D699,$D699-($D699-$I$697)*MIN(H$3-$O$2,$Q$2)/$Q$2))</f>
        <v>6274.4140625</v>
      </c>
      <c r="I699" s="15" t="n">
        <f aca="false">H699*(1+IF(I$3&lt;=$O$2,$D699,$D699-($D699-$I$697)*MIN(I$3-$O$2,$Q$2)/$Q$2))</f>
        <v>7843.017578125</v>
      </c>
      <c r="J699" s="15" t="n">
        <f aca="false">I699*(1+IF(J$3&lt;=$O$2,$D699,$D699-($D699-$I$697)*MIN(J$3-$O$2,$Q$2)/$Q$2))</f>
        <v>9471.69860839844</v>
      </c>
      <c r="K699" s="15" t="n">
        <f aca="false">J699*(1+IF(K$3&lt;=$O$2,$D699,$D699-($D699-$I$697)*MIN(K$3-$O$2,$Q$2)/$Q$2))</f>
        <v>11037.5598223389</v>
      </c>
      <c r="L699" s="15" t="n">
        <f aca="false">K699*(1+IF(L$3&lt;=$O$2,$D699,$D699-($D699-$I$697)*MIN(L$3-$O$2,$Q$2)/$Q$2))</f>
        <v>12394.9589292901</v>
      </c>
      <c r="M699" s="15" t="n">
        <f aca="false">L699*(1+IF(M$3&lt;=$O$2,$D699,$D699-($D699-$I$697)*MIN(M$3-$O$2,$Q$2)/$Q$2))</f>
        <v>13394.4884173481</v>
      </c>
      <c r="N699" s="15" t="n">
        <f aca="false">M699*(1+IF(N$3&lt;=$O$2,$D699,$D699-($D699-$I$697)*MIN(N$3-$O$2,$Q$2)/$Q$2))</f>
        <v>13907.4973237325</v>
      </c>
      <c r="O699" s="15" t="n">
        <f aca="false">SUMPRODUCT(E699:N699,1/(1+$F$697)^$E$3:$N$3)*$E$2</f>
        <v>9176.04570136398</v>
      </c>
      <c r="P699" s="15" t="n">
        <f aca="false">N699*$E$2*(1+$I$697)/($F$697-$I$697)/(1+$F$697)^$N$3</f>
        <v>16252.01056719</v>
      </c>
      <c r="Q699" s="15" t="n">
        <f aca="false">O699+P699</f>
        <v>25428.056268554</v>
      </c>
      <c r="R699" s="15" t="n">
        <f aca="false">Q699-$G$2+$I$2</f>
        <v>24051.856268554</v>
      </c>
      <c r="S699" s="42" t="n">
        <f aca="false">R699/$K$2</f>
        <v>641.211844003038</v>
      </c>
      <c r="T699" s="43" t="n">
        <f aca="false">S699-$M$2</f>
        <v>436.733038351212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2248.75</v>
      </c>
      <c r="F700" s="15" t="n">
        <f aca="false">E700*(1+IF(F$3&lt;=$O$2,$D700,$D700-($D700-$I$697)*MIN(F$3-$O$2,$Q$2)/$Q$2))</f>
        <v>1967.65625</v>
      </c>
      <c r="G700" s="15" t="n">
        <f aca="false">F700*(1+IF(G$3&lt;=$O$2,$D700,$D700-($D700-$I$697)*MIN(G$3-$O$2,$Q$2)/$Q$2))</f>
        <v>1721.69921875</v>
      </c>
      <c r="H700" s="15" t="n">
        <f aca="false">G700*(1+IF(H$3&lt;=$O$2,$D700,$D700-($D700-$I$697)*MIN(H$3-$O$2,$Q$2)/$Q$2))</f>
        <v>1506.48681640625</v>
      </c>
      <c r="I700" s="15" t="n">
        <f aca="false">H700*(1+IF(I$3&lt;=$O$2,$D700,$D700-($D700-$I$697)*MIN(I$3-$O$2,$Q$2)/$Q$2))</f>
        <v>1318.17596435547</v>
      </c>
      <c r="J700" s="15" t="n">
        <f aca="false">I700*(1+IF(J$3&lt;=$O$2,$D700,$D700-($D700-$I$697)*MIN(J$3-$O$2,$Q$2)/$Q$2))</f>
        <v>1196.45559580688</v>
      </c>
      <c r="K700" s="15" t="n">
        <f aca="false">J700*(1+IF(K$3&lt;=$O$2,$D700,$D700-($D700-$I$697)*MIN(K$3-$O$2,$Q$2)/$Q$2))</f>
        <v>1125.05112584913</v>
      </c>
      <c r="L700" s="15" t="n">
        <f aca="false">K700*(1+IF(L$3&lt;=$O$2,$D700,$D700-($D700-$I$697)*MIN(L$3-$O$2,$Q$2)/$Q$2))</f>
        <v>1094.65224442869</v>
      </c>
      <c r="M700" s="15" t="n">
        <f aca="false">L700*(1+IF(M$3&lt;=$O$2,$D700,$D700-($D700-$I$697)*MIN(M$3-$O$2,$Q$2)/$Q$2))</f>
        <v>1100.82608308726</v>
      </c>
      <c r="N700" s="15" t="n">
        <f aca="false">M700*(1+IF(N$3&lt;=$O$2,$D700,$D700-($D700-$I$697)*MIN(N$3-$O$2,$Q$2)/$Q$2))</f>
        <v>1142.98772206951</v>
      </c>
      <c r="O700" s="15" t="n">
        <f aca="false">SUMPRODUCT(E700:N700,1/(1+$F$697)^$E$3:$N$3)*$E$2</f>
        <v>1865.62900727641</v>
      </c>
      <c r="P700" s="15" t="n">
        <f aca="false">N700*$E$2*(1+$I$697)/($F$697-$I$697)/(1+$F$697)^$N$3</f>
        <v>1335.67155217375</v>
      </c>
      <c r="Q700" s="15" t="n">
        <f aca="false">O700+P700</f>
        <v>3201.30055945016</v>
      </c>
      <c r="R700" s="15" t="n">
        <f aca="false">Q700-$G$2+$I$2</f>
        <v>1825.10055945016</v>
      </c>
      <c r="S700" s="42" t="n">
        <f aca="false">R700/$K$2</f>
        <v>48.6563732191458</v>
      </c>
      <c r="T700" s="43" t="n">
        <f aca="false">S700-$M$2</f>
        <v>-155.82243243268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2730.625</v>
      </c>
      <c r="F701" s="15" t="n">
        <f aca="false">E701*(1+IF(F$3&lt;=$O$2,$D701,$D701-($D701-$I$697)*MIN(F$3-$O$2,$Q$2)/$Q$2))</f>
        <v>2901.2890625</v>
      </c>
      <c r="G701" s="15" t="n">
        <f aca="false">F701*(1+IF(G$3&lt;=$O$2,$D701,$D701-($D701-$I$697)*MIN(G$3-$O$2,$Q$2)/$Q$2))</f>
        <v>3082.61962890625</v>
      </c>
      <c r="H701" s="15" t="n">
        <f aca="false">G701*(1+IF(H$3&lt;=$O$2,$D701,$D701-($D701-$I$697)*MIN(H$3-$O$2,$Q$2)/$Q$2))</f>
        <v>3275.28335571289</v>
      </c>
      <c r="I701" s="15" t="n">
        <f aca="false">H701*(1+IF(I$3&lt;=$O$2,$D701,$D701-($D701-$I$697)*MIN(I$3-$O$2,$Q$2)/$Q$2))</f>
        <v>3479.98856544495</v>
      </c>
      <c r="J701" s="15" t="n">
        <f aca="false">I701*(1+IF(J$3&lt;=$O$2,$D701,$D701-($D701-$I$697)*MIN(J$3-$O$2,$Q$2)/$Q$2))</f>
        <v>3680.6447061285</v>
      </c>
      <c r="K701" s="15" t="n">
        <f aca="false">J701*(1+IF(K$3&lt;=$O$2,$D701,$D701-($D701-$I$697)*MIN(K$3-$O$2,$Q$2)/$Q$2))</f>
        <v>3875.05635950621</v>
      </c>
      <c r="L701" s="15" t="n">
        <f aca="false">K701*(1+IF(L$3&lt;=$O$2,$D701,$D701-($D701-$I$697)*MIN(L$3-$O$2,$Q$2)/$Q$2))</f>
        <v>4060.98156363532</v>
      </c>
      <c r="M701" s="15" t="n">
        <f aca="false">L701*(1+IF(M$3&lt;=$O$2,$D701,$D701-($D701-$I$697)*MIN(M$3-$O$2,$Q$2)/$Q$2))</f>
        <v>4236.17230829055</v>
      </c>
      <c r="N701" s="15" t="n">
        <f aca="false">M701*(1+IF(N$3&lt;=$O$2,$D701,$D701-($D701-$I$697)*MIN(N$3-$O$2,$Q$2)/$Q$2))</f>
        <v>4398.41770769807</v>
      </c>
      <c r="O701" s="15" t="n">
        <f aca="false">SUMPRODUCT(E701:N701,1/(1+$F$697)^$E$3:$N$3)*$E$2</f>
        <v>4123.14041545163</v>
      </c>
      <c r="P701" s="15" t="n">
        <f aca="false">N701*$E$2*(1+$I$697)/($F$697-$I$697)/(1+$F$697)^$N$3</f>
        <v>5139.89896244251</v>
      </c>
      <c r="Q701" s="15" t="n">
        <f aca="false">O701+P701</f>
        <v>9263.03937789414</v>
      </c>
      <c r="R701" s="15" t="n">
        <f aca="false">Q701-$G$2+$I$2</f>
        <v>7886.83937789414</v>
      </c>
      <c r="S701" s="42" t="n">
        <f aca="false">R701/$K$2</f>
        <v>210.259647504509</v>
      </c>
      <c r="T701" s="43" t="n">
        <f aca="false">S701-$M$2</f>
        <v>5.78084185268313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2489.6875</v>
      </c>
      <c r="F702" s="15" t="n">
        <f aca="false">E702*(1+IF(F$3&lt;=$O$2,$D702,$D702-($D702-$I$697)*MIN(F$3-$O$2,$Q$2)/$Q$2))</f>
        <v>2411.884765625</v>
      </c>
      <c r="G702" s="15" t="n">
        <f aca="false">F702*(1+IF(G$3&lt;=$O$2,$D702,$D702-($D702-$I$697)*MIN(G$3-$O$2,$Q$2)/$Q$2))</f>
        <v>2336.51336669922</v>
      </c>
      <c r="H702" s="15" t="n">
        <f aca="false">G702*(1+IF(H$3&lt;=$O$2,$D702,$D702-($D702-$I$697)*MIN(H$3-$O$2,$Q$2)/$Q$2))</f>
        <v>2263.49732398987</v>
      </c>
      <c r="I702" s="15" t="n">
        <f aca="false">H702*(1+IF(I$3&lt;=$O$2,$D702,$D702-($D702-$I$697)*MIN(I$3-$O$2,$Q$2)/$Q$2))</f>
        <v>2192.76303261519</v>
      </c>
      <c r="J702" s="15" t="n">
        <f aca="false">I702*(1+IF(J$3&lt;=$O$2,$D702,$D702-($D702-$I$697)*MIN(J$3-$O$2,$Q$2)/$Q$2))</f>
        <v>2154.74052162964</v>
      </c>
      <c r="K702" s="15" t="n">
        <f aca="false">J702*(1+IF(K$3&lt;=$O$2,$D702,$D702-($D702-$I$697)*MIN(K$3-$O$2,$Q$2)/$Q$2))</f>
        <v>2147.34976164045</v>
      </c>
      <c r="L702" s="15" t="n">
        <f aca="false">K702*(1+IF(L$3&lt;=$O$2,$D702,$D702-($D702-$I$697)*MIN(L$3-$O$2,$Q$2)/$Q$2))</f>
        <v>2169.85398714244</v>
      </c>
      <c r="M702" s="15" t="n">
        <f aca="false">L702*(1+IF(M$3&lt;=$O$2,$D702,$D702-($D702-$I$697)*MIN(M$3-$O$2,$Q$2)/$Q$2))</f>
        <v>2222.77672588884</v>
      </c>
      <c r="N702" s="15" t="n">
        <f aca="false">M702*(1+IF(N$3&lt;=$O$2,$D702,$D702-($D702-$I$697)*MIN(N$3-$O$2,$Q$2)/$Q$2))</f>
        <v>2307.90907449039</v>
      </c>
      <c r="O702" s="15" t="n">
        <f aca="false">SUMPRODUCT(E702:N702,1/(1+$F$697)^$E$3:$N$3)*$E$2</f>
        <v>2764.53025190601</v>
      </c>
      <c r="P702" s="15" t="n">
        <f aca="false">N702*$E$2*(1+$I$697)/($F$697-$I$697)/(1+$F$697)^$N$3</f>
        <v>2696.9742861446</v>
      </c>
      <c r="Q702" s="15" t="n">
        <f aca="false">O702+P702</f>
        <v>5461.50453805061</v>
      </c>
      <c r="R702" s="15" t="n">
        <f aca="false">Q702-$G$2+$I$2</f>
        <v>4085.30453805061</v>
      </c>
      <c r="S702" s="42" t="n">
        <f aca="false">R702/$K$2</f>
        <v>108.912411038406</v>
      </c>
      <c r="T702" s="43" t="n">
        <f aca="false">S702-$M$2</f>
        <v>-95.5663946134201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41" t="n">
        <f aca="false">(B703+C703)/2</f>
        <v>0.015625</v>
      </c>
      <c r="E703" s="15" t="n">
        <f aca="false">$C$2*(1+IF(E$3&lt;=$O$2,$D703,$D703-($D703-$I$697)*MIN(E$3-$O$2,$Q$2)/$Q$2))</f>
        <v>2610.15625</v>
      </c>
      <c r="F703" s="15" t="n">
        <f aca="false">E703*(1+IF(F$3&lt;=$O$2,$D703,$D703-($D703-$I$697)*MIN(F$3-$O$2,$Q$2)/$Q$2))</f>
        <v>2650.93994140625</v>
      </c>
      <c r="G703" s="15" t="n">
        <f aca="false">F703*(1+IF(G$3&lt;=$O$2,$D703,$D703-($D703-$I$697)*MIN(G$3-$O$2,$Q$2)/$Q$2))</f>
        <v>2692.36087799072</v>
      </c>
      <c r="H703" s="15" t="n">
        <f aca="false">G703*(1+IF(H$3&lt;=$O$2,$D703,$D703-($D703-$I$697)*MIN(H$3-$O$2,$Q$2)/$Q$2))</f>
        <v>2734.42901670933</v>
      </c>
      <c r="I703" s="15" t="n">
        <f aca="false">H703*(1+IF(I$3&lt;=$O$2,$D703,$D703-($D703-$I$697)*MIN(I$3-$O$2,$Q$2)/$Q$2))</f>
        <v>2777.15447009541</v>
      </c>
      <c r="J703" s="15" t="n">
        <f aca="false">I703*(1+IF(J$3&lt;=$O$2,$D703,$D703-($D703-$I$697)*MIN(J$3-$O$2,$Q$2)/$Q$2))</f>
        <v>2833.14190421253</v>
      </c>
      <c r="K703" s="15" t="n">
        <f aca="false">J703*(1+IF(K$3&lt;=$O$2,$D703,$D703-($D703-$I$697)*MIN(K$3-$O$2,$Q$2)/$Q$2))</f>
        <v>2903.10634353706</v>
      </c>
      <c r="L703" s="15" t="n">
        <f aca="false">K703*(1+IF(L$3&lt;=$O$2,$D703,$D703-($D703-$I$697)*MIN(L$3-$O$2,$Q$2)/$Q$2))</f>
        <v>2987.96414195865</v>
      </c>
      <c r="M703" s="15" t="n">
        <f aca="false">L703*(1+IF(M$3&lt;=$O$2,$D703,$D703-($D703-$I$697)*MIN(M$3-$O$2,$Q$2)/$Q$2))</f>
        <v>3088.85275121189</v>
      </c>
      <c r="N703" s="15" t="n">
        <f aca="false">M703*(1+IF(N$3&lt;=$O$2,$D703,$D703-($D703-$I$697)*MIN(N$3-$O$2,$Q$2)/$Q$2))</f>
        <v>3207.1558115833</v>
      </c>
      <c r="O703" s="15" t="n">
        <f aca="false">SUMPRODUCT(E703:N703,1/(1+$F$697)^$E$3:$N$3)*$E$2</f>
        <v>3374.47846900479</v>
      </c>
      <c r="P703" s="15" t="n">
        <f aca="false">N703*$E$2*(1+$I$697)/($F$697-$I$697)/(1+$F$697)^$N$3</f>
        <v>3747.8152198909</v>
      </c>
      <c r="Q703" s="15" t="n">
        <f aca="false">O703+P703</f>
        <v>7122.29368889569</v>
      </c>
      <c r="R703" s="15" t="n">
        <f aca="false">Q703-$G$2+$I$2</f>
        <v>5746.09368889569</v>
      </c>
      <c r="S703" s="42" t="n">
        <f aca="false">R703/$K$2</f>
        <v>153.188314819933</v>
      </c>
      <c r="T703" s="43" t="n">
        <f aca="false">S703-$M$2</f>
        <v>-51.290490831893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0.015625</v>
      </c>
      <c r="C704" s="25" t="n">
        <f aca="false">IF(T703&gt;0,D703,C703)</f>
        <v>0.0625</v>
      </c>
      <c r="D704" s="41" t="n">
        <f aca="false">(B704+C704)/2</f>
        <v>0.0390625</v>
      </c>
      <c r="E704" s="15" t="n">
        <f aca="false">$C$2*(1+IF(E$3&lt;=$O$2,$D704,$D704-($D704-$I$697)*MIN(E$3-$O$2,$Q$2)/$Q$2))</f>
        <v>2670.390625</v>
      </c>
      <c r="F704" s="15" t="n">
        <f aca="false">E704*(1+IF(F$3&lt;=$O$2,$D704,$D704-($D704-$I$697)*MIN(F$3-$O$2,$Q$2)/$Q$2))</f>
        <v>2774.70275878906</v>
      </c>
      <c r="G704" s="15" t="n">
        <f aca="false">F704*(1+IF(G$3&lt;=$O$2,$D704,$D704-($D704-$I$697)*MIN(G$3-$O$2,$Q$2)/$Q$2))</f>
        <v>2883.08958530426</v>
      </c>
      <c r="H704" s="15" t="n">
        <f aca="false">G704*(1+IF(H$3&lt;=$O$2,$D704,$D704-($D704-$I$697)*MIN(H$3-$O$2,$Q$2)/$Q$2))</f>
        <v>2995.71027223021</v>
      </c>
      <c r="I704" s="15" t="n">
        <f aca="false">H704*(1+IF(I$3&lt;=$O$2,$D704,$D704-($D704-$I$697)*MIN(I$3-$O$2,$Q$2)/$Q$2))</f>
        <v>3112.7302047392</v>
      </c>
      <c r="J704" s="15" t="n">
        <f aca="false">I704*(1+IF(J$3&lt;=$O$2,$D704,$D704-($D704-$I$697)*MIN(J$3-$O$2,$Q$2)/$Q$2))</f>
        <v>3233.8465370056</v>
      </c>
      <c r="K704" s="15" t="n">
        <f aca="false">J704*(1+IF(K$3&lt;=$O$2,$D704,$D704-($D704-$I$697)*MIN(K$3-$O$2,$Q$2)/$Q$2))</f>
        <v>3359.1823441636</v>
      </c>
      <c r="L704" s="15" t="n">
        <f aca="false">K704*(1+IF(L$3&lt;=$O$2,$D704,$D704-($D704-$I$697)*MIN(L$3-$O$2,$Q$2)/$Q$2))</f>
        <v>3488.86357856003</v>
      </c>
      <c r="M704" s="15" t="n">
        <f aca="false">L704*(1+IF(M$3&lt;=$O$2,$D704,$D704-($D704-$I$697)*MIN(M$3-$O$2,$Q$2)/$Q$2))</f>
        <v>3623.01910531461</v>
      </c>
      <c r="N704" s="15" t="n">
        <f aca="false">M704*(1+IF(N$3&lt;=$O$2,$D704,$D704-($D704-$I$697)*MIN(N$3-$O$2,$Q$2)/$Q$2))</f>
        <v>3761.78073704816</v>
      </c>
      <c r="O704" s="15" t="n">
        <f aca="false">SUMPRODUCT(E704:N704,1/(1+$F$697)^$E$3:$N$3)*$E$2</f>
        <v>3729.74970169095</v>
      </c>
      <c r="P704" s="15" t="n">
        <f aca="false">N704*$E$2*(1+$I$697)/($F$697-$I$697)/(1+$F$697)^$N$3</f>
        <v>4395.9383105997</v>
      </c>
      <c r="Q704" s="15" t="n">
        <f aca="false">O704+P704</f>
        <v>8125.68801229065</v>
      </c>
      <c r="R704" s="15" t="n">
        <f aca="false">Q704-$G$2+$I$2</f>
        <v>6749.48801229065</v>
      </c>
      <c r="S704" s="42" t="n">
        <f aca="false">R704/$K$2</f>
        <v>179.938363430836</v>
      </c>
      <c r="T704" s="43" t="n">
        <f aca="false">S704-$M$2</f>
        <v>-24.5404422209904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0.0390625</v>
      </c>
      <c r="C705" s="25" t="n">
        <f aca="false">IF(T704&gt;0,D704,C704)</f>
        <v>0.0625</v>
      </c>
      <c r="D705" s="41" t="n">
        <f aca="false">(B705+C705)/2</f>
        <v>0.05078125</v>
      </c>
      <c r="E705" s="15" t="n">
        <f aca="false">$C$2*(1+IF(E$3&lt;=$O$2,$D705,$D705-($D705-$I$697)*MIN(E$3-$O$2,$Q$2)/$Q$2))</f>
        <v>2700.5078125</v>
      </c>
      <c r="F705" s="15" t="n">
        <f aca="false">E705*(1+IF(F$3&lt;=$O$2,$D705,$D705-($D705-$I$697)*MIN(F$3-$O$2,$Q$2)/$Q$2))</f>
        <v>2837.64297485352</v>
      </c>
      <c r="G705" s="15" t="n">
        <f aca="false">F705*(1+IF(G$3&lt;=$O$2,$D705,$D705-($D705-$I$697)*MIN(G$3-$O$2,$Q$2)/$Q$2))</f>
        <v>2981.7420321703</v>
      </c>
      <c r="H705" s="15" t="n">
        <f aca="false">G705*(1+IF(H$3&lt;=$O$2,$D705,$D705-($D705-$I$697)*MIN(H$3-$O$2,$Q$2)/$Q$2))</f>
        <v>3133.15861974144</v>
      </c>
      <c r="I705" s="15" t="n">
        <f aca="false">H705*(1+IF(I$3&lt;=$O$2,$D705,$D705-($D705-$I$697)*MIN(I$3-$O$2,$Q$2)/$Q$2))</f>
        <v>3292.26433090019</v>
      </c>
      <c r="J705" s="15" t="n">
        <f aca="false">I705*(1+IF(J$3&lt;=$O$2,$D705,$D705-($D705-$I$697)*MIN(J$3-$O$2,$Q$2)/$Q$2))</f>
        <v>3451.2313141177</v>
      </c>
      <c r="K705" s="15" t="n">
        <f aca="false">J705*(1+IF(K$3&lt;=$O$2,$D705,$D705-($D705-$I$697)*MIN(K$3-$O$2,$Q$2)/$Q$2))</f>
        <v>3609.25888195201</v>
      </c>
      <c r="L705" s="15" t="n">
        <f aca="false">K705*(1+IF(L$3&lt;=$O$2,$D705,$D705-($D705-$I$697)*MIN(L$3-$O$2,$Q$2)/$Q$2))</f>
        <v>3765.51272209892</v>
      </c>
      <c r="M705" s="15" t="n">
        <f aca="false">L705*(1+IF(M$3&lt;=$O$2,$D705,$D705-($D705-$I$697)*MIN(M$3-$O$2,$Q$2)/$Q$2))</f>
        <v>3919.13152048785</v>
      </c>
      <c r="N705" s="15" t="n">
        <f aca="false">M705*(1+IF(N$3&lt;=$O$2,$D705,$D705-($D705-$I$697)*MIN(N$3-$O$2,$Q$2)/$Q$2))</f>
        <v>4069.23425772253</v>
      </c>
      <c r="O705" s="15" t="n">
        <f aca="false">SUMPRODUCT(E705:N705,1/(1+$F$697)^$E$3:$N$3)*$E$2</f>
        <v>3921.44884144</v>
      </c>
      <c r="P705" s="15" t="n">
        <f aca="false">N705*$E$2*(1+$I$697)/($F$697-$I$697)/(1+$F$697)^$N$3</f>
        <v>4755.22206601649</v>
      </c>
      <c r="Q705" s="15" t="n">
        <f aca="false">O705+P705</f>
        <v>8676.67090745649</v>
      </c>
      <c r="R705" s="15" t="n">
        <f aca="false">Q705-$G$2+$I$2</f>
        <v>7300.47090745649</v>
      </c>
      <c r="S705" s="42" t="n">
        <f aca="false">R705/$K$2</f>
        <v>194.627323579219</v>
      </c>
      <c r="T705" s="43" t="n">
        <f aca="false">S705-$M$2</f>
        <v>-9.85148207260747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0.05078125</v>
      </c>
      <c r="C706" s="25" t="n">
        <f aca="false">IF(T705&gt;0,D705,C705)</f>
        <v>0.0625</v>
      </c>
      <c r="D706" s="41" t="n">
        <f aca="false">(B706+C706)/2</f>
        <v>0.056640625</v>
      </c>
      <c r="E706" s="15" t="n">
        <f aca="false">$C$2*(1+IF(E$3&lt;=$O$2,$D706,$D706-($D706-$I$697)*MIN(E$3-$O$2,$Q$2)/$Q$2))</f>
        <v>2715.56640625</v>
      </c>
      <c r="F706" s="15" t="n">
        <f aca="false">E706*(1+IF(F$3&lt;=$O$2,$D706,$D706-($D706-$I$697)*MIN(F$3-$O$2,$Q$2)/$Q$2))</f>
        <v>2869.377784729</v>
      </c>
      <c r="G706" s="15" t="n">
        <f aca="false">F706*(1+IF(G$3&lt;=$O$2,$D706,$D706-($D706-$I$697)*MIN(G$3-$O$2,$Q$2)/$Q$2))</f>
        <v>3031.90113581717</v>
      </c>
      <c r="H706" s="15" t="n">
        <f aca="false">G706*(1+IF(H$3&lt;=$O$2,$D706,$D706-($D706-$I$697)*MIN(H$3-$O$2,$Q$2)/$Q$2))</f>
        <v>3203.62991108806</v>
      </c>
      <c r="I706" s="15" t="n">
        <f aca="false">H706*(1+IF(I$3&lt;=$O$2,$D706,$D706-($D706-$I$697)*MIN(I$3-$O$2,$Q$2)/$Q$2))</f>
        <v>3385.08551152079</v>
      </c>
      <c r="J706" s="15" t="n">
        <f aca="false">I706*(1+IF(J$3&lt;=$O$2,$D706,$D706-($D706-$I$697)*MIN(J$3-$O$2,$Q$2)/$Q$2))</f>
        <v>3564.40195377982</v>
      </c>
      <c r="K706" s="15" t="n">
        <f aca="false">J706*(1+IF(K$3&lt;=$O$2,$D706,$D706-($D706-$I$697)*MIN(K$3-$O$2,$Q$2)/$Q$2))</f>
        <v>3740.14256435972</v>
      </c>
      <c r="L706" s="15" t="n">
        <f aca="false">K706*(1+IF(L$3&lt;=$O$2,$D706,$D706-($D706-$I$697)*MIN(L$3-$O$2,$Q$2)/$Q$2))</f>
        <v>3910.82864546248</v>
      </c>
      <c r="M706" s="15" t="n">
        <f aca="false">L706*(1+IF(M$3&lt;=$O$2,$D706,$D706-($D706-$I$697)*MIN(M$3-$O$2,$Q$2)/$Q$2))</f>
        <v>4074.95879090883</v>
      </c>
      <c r="N706" s="15" t="n">
        <f aca="false">M706*(1+IF(N$3&lt;=$O$2,$D706,$D706-($D706-$I$697)*MIN(N$3-$O$2,$Q$2)/$Q$2))</f>
        <v>4231.02971260063</v>
      </c>
      <c r="O706" s="15" t="n">
        <f aca="false">SUMPRODUCT(E706:N706,1/(1+$F$697)^$E$3:$N$3)*$E$2</f>
        <v>4021.01559678029</v>
      </c>
      <c r="P706" s="15" t="n">
        <f aca="false">N706*$E$2*(1+$I$697)/($F$697-$I$697)/(1+$F$697)^$N$3</f>
        <v>4944.29285144926</v>
      </c>
      <c r="Q706" s="15" t="n">
        <f aca="false">O706+P706</f>
        <v>8965.30844822955</v>
      </c>
      <c r="R706" s="15" t="n">
        <f aca="false">Q706-$G$2+$I$2</f>
        <v>7589.10844822955</v>
      </c>
      <c r="S706" s="42" t="n">
        <f aca="false">R706/$K$2</f>
        <v>202.322272680073</v>
      </c>
      <c r="T706" s="43" t="n">
        <f aca="false">S706-$M$2</f>
        <v>-2.15653297175274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0.056640625</v>
      </c>
      <c r="C707" s="25" t="n">
        <f aca="false">IF(T706&gt;0,D706,C706)</f>
        <v>0.0625</v>
      </c>
      <c r="D707" s="41" t="n">
        <f aca="false">(B707+C707)/2</f>
        <v>0.0595703125</v>
      </c>
      <c r="E707" s="15" t="n">
        <f aca="false">$C$2*(1+IF(E$3&lt;=$O$2,$D707,$D707-($D707-$I$697)*MIN(E$3-$O$2,$Q$2)/$Q$2))</f>
        <v>2723.095703125</v>
      </c>
      <c r="F707" s="15" t="n">
        <f aca="false">E707*(1+IF(F$3&lt;=$O$2,$D707,$D707-($D707-$I$697)*MIN(F$3-$O$2,$Q$2)/$Q$2))</f>
        <v>2885.31136512756</v>
      </c>
      <c r="G707" s="15" t="n">
        <f aca="false">F707*(1+IF(G$3&lt;=$O$2,$D707,$D707-($D707-$I$697)*MIN(G$3-$O$2,$Q$2)/$Q$2))</f>
        <v>3057.19026480801</v>
      </c>
      <c r="H707" s="15" t="n">
        <f aca="false">G707*(1+IF(H$3&lt;=$O$2,$D707,$D707-($D707-$I$697)*MIN(H$3-$O$2,$Q$2)/$Q$2))</f>
        <v>3239.30804425459</v>
      </c>
      <c r="I707" s="15" t="n">
        <f aca="false">H707*(1+IF(I$3&lt;=$O$2,$D707,$D707-($D707-$I$697)*MIN(I$3-$O$2,$Q$2)/$Q$2))</f>
        <v>3432.2746367346</v>
      </c>
      <c r="J707" s="15" t="n">
        <f aca="false">I707*(1+IF(J$3&lt;=$O$2,$D707,$D707-($D707-$I$697)*MIN(J$3-$O$2,$Q$2)/$Q$2))</f>
        <v>3622.13519860887</v>
      </c>
      <c r="K707" s="15" t="n">
        <f aca="false">J707*(1+IF(K$3&lt;=$O$2,$D707,$D707-($D707-$I$697)*MIN(K$3-$O$2,$Q$2)/$Q$2))</f>
        <v>3807.08934527058</v>
      </c>
      <c r="L707" s="15" t="n">
        <f aca="false">K707*(1+IF(L$3&lt;=$O$2,$D707,$D707-($D707-$I$697)*MIN(L$3-$O$2,$Q$2)/$Q$2))</f>
        <v>3985.29205923017</v>
      </c>
      <c r="M707" s="15" t="n">
        <f aca="false">L707*(1+IF(M$3&lt;=$O$2,$D707,$D707-($D707-$I$697)*MIN(M$3-$O$2,$Q$2)/$Q$2))</f>
        <v>4154.88242659941</v>
      </c>
      <c r="N707" s="15" t="n">
        <f aca="false">M707*(1+IF(N$3&lt;=$O$2,$D707,$D707-($D707-$I$697)*MIN(N$3-$O$2,$Q$2)/$Q$2))</f>
        <v>4314.01442353817</v>
      </c>
      <c r="O707" s="15" t="n">
        <f aca="false">SUMPRODUCT(E707:N707,1/(1+$F$697)^$E$3:$N$3)*$E$2</f>
        <v>4071.75443259677</v>
      </c>
      <c r="P707" s="15" t="n">
        <f aca="false">N707*$E$2*(1+$I$697)/($F$697-$I$697)/(1+$F$697)^$N$3</f>
        <v>5041.26704944321</v>
      </c>
      <c r="Q707" s="15" t="n">
        <f aca="false">O707+P707</f>
        <v>9113.02148203998</v>
      </c>
      <c r="R707" s="15" t="n">
        <f aca="false">Q707-$G$2+$I$2</f>
        <v>7736.82148203998</v>
      </c>
      <c r="S707" s="42" t="n">
        <f aca="false">R707/$K$2</f>
        <v>206.260236791255</v>
      </c>
      <c r="T707" s="43" t="n">
        <f aca="false">S707-$M$2</f>
        <v>1.78143113942906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0.056640625</v>
      </c>
      <c r="C708" s="25" t="n">
        <f aca="false">IF(T707&gt;0,D707,C707)</f>
        <v>0.0595703125</v>
      </c>
      <c r="D708" s="41" t="n">
        <f aca="false">(B708+C708)/2</f>
        <v>0.05810546875</v>
      </c>
      <c r="E708" s="15" t="n">
        <f aca="false">$C$2*(1+IF(E$3&lt;=$O$2,$D708,$D708-($D708-$I$697)*MIN(E$3-$O$2,$Q$2)/$Q$2))</f>
        <v>2719.3310546875</v>
      </c>
      <c r="F708" s="15" t="n">
        <f aca="false">E708*(1+IF(F$3&lt;=$O$2,$D708,$D708-($D708-$I$697)*MIN(F$3-$O$2,$Q$2)/$Q$2))</f>
        <v>2877.33906030655</v>
      </c>
      <c r="G708" s="15" t="n">
        <f aca="false">F708*(1+IF(G$3&lt;=$O$2,$D708,$D708-($D708-$I$697)*MIN(G$3-$O$2,$Q$2)/$Q$2))</f>
        <v>3044.52819515835</v>
      </c>
      <c r="H708" s="15" t="n">
        <f aca="false">G708*(1+IF(H$3&lt;=$O$2,$D708,$D708-($D708-$I$697)*MIN(H$3-$O$2,$Q$2)/$Q$2))</f>
        <v>3221.43193306061</v>
      </c>
      <c r="I708" s="15" t="n">
        <f aca="false">H708*(1+IF(I$3&lt;=$O$2,$D708,$D708-($D708-$I$697)*MIN(I$3-$O$2,$Q$2)/$Q$2))</f>
        <v>3408.61474557732</v>
      </c>
      <c r="J708" s="15" t="n">
        <f aca="false">I708*(1+IF(J$3&lt;=$O$2,$D708,$D708-($D708-$I$697)*MIN(J$3-$O$2,$Q$2)/$Q$2))</f>
        <v>3593.17206059239</v>
      </c>
      <c r="K708" s="15" t="n">
        <f aca="false">J708*(1+IF(K$3&lt;=$O$2,$D708,$D708-($D708-$I$697)*MIN(K$3-$O$2,$Q$2)/$Q$2))</f>
        <v>3773.48922468874</v>
      </c>
      <c r="L708" s="15" t="n">
        <f aca="false">K708*(1+IF(L$3&lt;=$O$2,$D708,$D708-($D708-$I$697)*MIN(L$3-$O$2,$Q$2)/$Q$2))</f>
        <v>3947.90815116153</v>
      </c>
      <c r="M708" s="15" t="n">
        <f aca="false">L708*(1+IF(M$3&lt;=$O$2,$D708,$D708-($D708-$I$697)*MIN(M$3-$O$2,$Q$2)/$Q$2))</f>
        <v>4114.75106765415</v>
      </c>
      <c r="N708" s="15" t="n">
        <f aca="false">M708*(1+IF(N$3&lt;=$O$2,$D708,$D708-($D708-$I$697)*MIN(N$3-$O$2,$Q$2)/$Q$2))</f>
        <v>4272.34603354531</v>
      </c>
      <c r="O708" s="15" t="n">
        <f aca="false">SUMPRODUCT(E708:N708,1/(1+$F$697)^$E$3:$N$3)*$E$2</f>
        <v>4046.30460134808</v>
      </c>
      <c r="P708" s="15" t="n">
        <f aca="false">N708*$E$2*(1+$I$697)/($F$697-$I$697)/(1+$F$697)^$N$3</f>
        <v>4992.57424018226</v>
      </c>
      <c r="Q708" s="15" t="n">
        <f aca="false">O708+P708</f>
        <v>9038.87884153034</v>
      </c>
      <c r="R708" s="15" t="n">
        <f aca="false">Q708-$G$2+$I$2</f>
        <v>7662.67884153034</v>
      </c>
      <c r="S708" s="42" t="n">
        <f aca="false">R708/$K$2</f>
        <v>204.283626806994</v>
      </c>
      <c r="T708" s="43" t="n">
        <f aca="false">S708-$M$2</f>
        <v>-0.195178844832157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0.05810546875</v>
      </c>
      <c r="C709" s="25" t="n">
        <f aca="false">IF(T708&gt;0,D708,C708)</f>
        <v>0.0595703125</v>
      </c>
      <c r="D709" s="41" t="n">
        <f aca="false">(B709+C709)/2</f>
        <v>0.058837890625</v>
      </c>
      <c r="E709" s="15" t="n">
        <f aca="false">$C$2*(1+IF(E$3&lt;=$O$2,$D709,$D709-($D709-$I$697)*MIN(E$3-$O$2,$Q$2)/$Q$2))</f>
        <v>2721.21337890625</v>
      </c>
      <c r="F709" s="15" t="n">
        <f aca="false">E709*(1+IF(F$3&lt;=$O$2,$D709,$D709-($D709-$I$697)*MIN(F$3-$O$2,$Q$2)/$Q$2))</f>
        <v>2881.32383406162</v>
      </c>
      <c r="G709" s="15" t="n">
        <f aca="false">F709*(1+IF(G$3&lt;=$O$2,$D709,$D709-($D709-$I$697)*MIN(G$3-$O$2,$Q$2)/$Q$2))</f>
        <v>3050.85485066535</v>
      </c>
      <c r="H709" s="15" t="n">
        <f aca="false">G709*(1+IF(H$3&lt;=$O$2,$D709,$D709-($D709-$I$697)*MIN(H$3-$O$2,$Q$2)/$Q$2))</f>
        <v>3230.36071468154</v>
      </c>
      <c r="I709" s="15" t="n">
        <f aca="false">H709*(1+IF(I$3&lt;=$O$2,$D709,$D709-($D709-$I$697)*MIN(I$3-$O$2,$Q$2)/$Q$2))</f>
        <v>3420.42832509127</v>
      </c>
      <c r="J709" s="15" t="n">
        <f aca="false">I709*(1+IF(J$3&lt;=$O$2,$D709,$D709-($D709-$I$697)*MIN(J$3-$O$2,$Q$2)/$Q$2))</f>
        <v>3607.62943620737</v>
      </c>
      <c r="K709" s="15" t="n">
        <f aca="false">J709*(1+IF(K$3&lt;=$O$2,$D709,$D709-($D709-$I$697)*MIN(K$3-$O$2,$Q$2)/$Q$2))</f>
        <v>3790.25750287993</v>
      </c>
      <c r="L709" s="15" t="n">
        <f aca="false">K709*(1+IF(L$3&lt;=$O$2,$D709,$D709-($D709-$I$697)*MIN(L$3-$O$2,$Q$2)/$Q$2))</f>
        <v>3966.56192285412</v>
      </c>
      <c r="M709" s="15" t="n">
        <f aca="false">L709*(1+IF(M$3&lt;=$O$2,$D709,$D709-($D709-$I$697)*MIN(M$3-$O$2,$Q$2)/$Q$2))</f>
        <v>4134.77420748521</v>
      </c>
      <c r="N709" s="15" t="n">
        <f aca="false">M709*(1+IF(N$3&lt;=$O$2,$D709,$D709-($D709-$I$697)*MIN(N$3-$O$2,$Q$2)/$Q$2))</f>
        <v>4293.13605963189</v>
      </c>
      <c r="O709" s="15" t="n">
        <f aca="false">SUMPRODUCT(E709:N709,1/(1+$F$697)^$E$3:$N$3)*$E$2</f>
        <v>4059.00935382637</v>
      </c>
      <c r="P709" s="15" t="n">
        <f aca="false">N709*$E$2*(1+$I$697)/($F$697-$I$697)/(1+$F$697)^$N$3</f>
        <v>5016.86902994826</v>
      </c>
      <c r="Q709" s="15" t="n">
        <f aca="false">O709+P709</f>
        <v>9075.87838377463</v>
      </c>
      <c r="R709" s="15" t="n">
        <f aca="false">Q709-$G$2+$I$2</f>
        <v>7699.67838377463</v>
      </c>
      <c r="S709" s="42" t="n">
        <f aca="false">R709/$K$2</f>
        <v>205.270018229129</v>
      </c>
      <c r="T709" s="43" t="n">
        <f aca="false">S709-$M$2</f>
        <v>0.791212577302872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0.05810546875</v>
      </c>
      <c r="C710" s="25" t="n">
        <f aca="false">IF(T709&gt;0,D709,C709)</f>
        <v>0.058837890625</v>
      </c>
      <c r="D710" s="41" t="n">
        <f aca="false">(B710+C710)/2</f>
        <v>0.0584716796875</v>
      </c>
      <c r="E710" s="15" t="n">
        <f aca="false">$C$2*(1+IF(E$3&lt;=$O$2,$D710,$D710-($D710-$I$697)*MIN(E$3-$O$2,$Q$2)/$Q$2))</f>
        <v>2720.27221679688</v>
      </c>
      <c r="F710" s="15" t="n">
        <f aca="false">E710*(1+IF(F$3&lt;=$O$2,$D710,$D710-($D710-$I$697)*MIN(F$3-$O$2,$Q$2)/$Q$2))</f>
        <v>2879.33110252023</v>
      </c>
      <c r="G710" s="15" t="n">
        <f aca="false">F710*(1+IF(G$3&lt;=$O$2,$D710,$D710-($D710-$I$697)*MIN(G$3-$O$2,$Q$2)/$Q$2))</f>
        <v>3047.69042846105</v>
      </c>
      <c r="H710" s="15" t="n">
        <f aca="false">G710*(1+IF(H$3&lt;=$O$2,$D710,$D710-($D710-$I$697)*MIN(H$3-$O$2,$Q$2)/$Q$2))</f>
        <v>3225.89400698068</v>
      </c>
      <c r="I710" s="15" t="n">
        <f aca="false">H710*(1+IF(I$3&lt;=$O$2,$D710,$D710-($D710-$I$697)*MIN(I$3-$O$2,$Q$2)/$Q$2))</f>
        <v>3414.51744806268</v>
      </c>
      <c r="J710" s="15" t="n">
        <f aca="false">I710*(1+IF(J$3&lt;=$O$2,$D710,$D710-($D710-$I$697)*MIN(J$3-$O$2,$Q$2)/$Q$2))</f>
        <v>3600.39470812324</v>
      </c>
      <c r="K710" s="15" t="n">
        <f aca="false">J710*(1+IF(K$3&lt;=$O$2,$D710,$D710-($D710-$I$697)*MIN(K$3-$O$2,$Q$2)/$Q$2))</f>
        <v>3781.86543072486</v>
      </c>
      <c r="L710" s="15" t="n">
        <f aca="false">K710*(1+IF(L$3&lt;=$O$2,$D710,$D710-($D710-$I$697)*MIN(L$3-$O$2,$Q$2)/$Q$2))</f>
        <v>3957.22550795755</v>
      </c>
      <c r="M710" s="15" t="n">
        <f aca="false">L710*(1+IF(M$3&lt;=$O$2,$D710,$D710-($D710-$I$697)*MIN(M$3-$O$2,$Q$2)/$Q$2))</f>
        <v>4124.75202199187</v>
      </c>
      <c r="N710" s="15" t="n">
        <f aca="false">M710*(1+IF(N$3&lt;=$O$2,$D710,$D710-($D710-$I$697)*MIN(N$3-$O$2,$Q$2)/$Q$2))</f>
        <v>4282.73002443416</v>
      </c>
      <c r="O710" s="15" t="n">
        <f aca="false">SUMPRODUCT(E710:N710,1/(1+$F$697)^$E$3:$N$3)*$E$2</f>
        <v>4052.65194428917</v>
      </c>
      <c r="P710" s="15" t="n">
        <f aca="false">N710*$E$2*(1+$I$697)/($F$697-$I$697)/(1+$F$697)^$N$3</f>
        <v>5004.70875480605</v>
      </c>
      <c r="Q710" s="15" t="n">
        <f aca="false">O710+P710</f>
        <v>9057.36069909522</v>
      </c>
      <c r="R710" s="15" t="n">
        <f aca="false">Q710-$G$2+$I$2</f>
        <v>7681.16069909522</v>
      </c>
      <c r="S710" s="42" t="n">
        <f aca="false">R710/$K$2</f>
        <v>204.776344950552</v>
      </c>
      <c r="T710" s="43" t="n">
        <f aca="false">S710-$M$2</f>
        <v>0.297539298726349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0.05810546875</v>
      </c>
      <c r="C711" s="25" t="n">
        <f aca="false">IF(T710&gt;0,D710,C710)</f>
        <v>0.0584716796875</v>
      </c>
      <c r="D711" s="41" t="n">
        <f aca="false">(B711+C711)/2</f>
        <v>0.05828857421875</v>
      </c>
      <c r="E711" s="15" t="n">
        <f aca="false">$C$2*(1+IF(E$3&lt;=$O$2,$D711,$D711-($D711-$I$697)*MIN(E$3-$O$2,$Q$2)/$Q$2))</f>
        <v>2719.80163574219</v>
      </c>
      <c r="F711" s="15" t="n">
        <f aca="false">E711*(1+IF(F$3&lt;=$O$2,$D711,$D711-($D711-$I$697)*MIN(F$3-$O$2,$Q$2)/$Q$2))</f>
        <v>2878.33499524742</v>
      </c>
      <c r="G711" s="15" t="n">
        <f aca="false">F711*(1+IF(G$3&lt;=$O$2,$D711,$D711-($D711-$I$697)*MIN(G$3-$O$2,$Q$2)/$Q$2))</f>
        <v>3046.10903824433</v>
      </c>
      <c r="H711" s="15" t="n">
        <f aca="false">G711*(1+IF(H$3&lt;=$O$2,$D711,$D711-($D711-$I$697)*MIN(H$3-$O$2,$Q$2)/$Q$2))</f>
        <v>3223.66239099844</v>
      </c>
      <c r="I711" s="15" t="n">
        <f aca="false">H711*(1+IF(I$3&lt;=$O$2,$D711,$D711-($D711-$I$697)*MIN(I$3-$O$2,$Q$2)/$Q$2))</f>
        <v>3411.56507553234</v>
      </c>
      <c r="J711" s="15" t="n">
        <f aca="false">I711*(1+IF(J$3&lt;=$O$2,$D711,$D711-($D711-$I$697)*MIN(J$3-$O$2,$Q$2)/$Q$2))</f>
        <v>3596.78187529673</v>
      </c>
      <c r="K711" s="15" t="n">
        <f aca="false">J711*(1+IF(K$3&lt;=$O$2,$D711,$D711-($D711-$I$697)*MIN(K$3-$O$2,$Q$2)/$Q$2))</f>
        <v>3777.67534599841</v>
      </c>
      <c r="L711" s="15" t="n">
        <f aca="false">K711*(1+IF(L$3&lt;=$O$2,$D711,$D711-($D711-$I$697)*MIN(L$3-$O$2,$Q$2)/$Q$2))</f>
        <v>3952.56444936128</v>
      </c>
      <c r="M711" s="15" t="n">
        <f aca="false">L711*(1+IF(M$3&lt;=$O$2,$D711,$D711-($D711-$I$697)*MIN(M$3-$O$2,$Q$2)/$Q$2))</f>
        <v>4119.74889334191</v>
      </c>
      <c r="N711" s="15" t="n">
        <f aca="false">M711*(1+IF(N$3&lt;=$O$2,$D711,$D711-($D711-$I$697)*MIN(N$3-$O$2,$Q$2)/$Q$2))</f>
        <v>4277.5352759569</v>
      </c>
      <c r="O711" s="15" t="n">
        <f aca="false">SUMPRODUCT(E711:N711,1/(1+$F$697)^$E$3:$N$3)*$E$2</f>
        <v>4049.47701542911</v>
      </c>
      <c r="P711" s="15" t="n">
        <f aca="false">N711*$E$2*(1+$I$697)/($F$697-$I$697)/(1+$F$697)^$N$3</f>
        <v>4998.63828035756</v>
      </c>
      <c r="Q711" s="15" t="n">
        <f aca="false">O711+P711</f>
        <v>9048.11529578667</v>
      </c>
      <c r="R711" s="15" t="n">
        <f aca="false">Q711-$G$2+$I$2</f>
        <v>7671.91529578667</v>
      </c>
      <c r="S711" s="42" t="n">
        <f aca="false">R711/$K$2</f>
        <v>204.529866589887</v>
      </c>
      <c r="T711" s="43" t="n">
        <f aca="false">S711-$M$2</f>
        <v>0.0510609380611697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0.05810546875</v>
      </c>
      <c r="C712" s="25" t="n">
        <f aca="false">IF(T711&gt;0,D711,C711)</f>
        <v>0.05828857421875</v>
      </c>
      <c r="D712" s="41" t="n">
        <f aca="false">(B712+C712)/2</f>
        <v>0.058197021484375</v>
      </c>
      <c r="E712" s="15" t="n">
        <f aca="false">$C$2*(1+IF(E$3&lt;=$O$2,$D712,$D712-($D712-$I$697)*MIN(E$3-$O$2,$Q$2)/$Q$2))</f>
        <v>2719.56634521484</v>
      </c>
      <c r="F712" s="15" t="n">
        <f aca="false">E712*(1+IF(F$3&lt;=$O$2,$D712,$D712-($D712-$I$697)*MIN(F$3-$O$2,$Q$2)/$Q$2))</f>
        <v>2877.8370062355</v>
      </c>
      <c r="G712" s="15" t="n">
        <f aca="false">F712*(1+IF(G$3&lt;=$O$2,$D712,$D712-($D712-$I$697)*MIN(G$3-$O$2,$Q$2)/$Q$2))</f>
        <v>3045.31854831591</v>
      </c>
      <c r="H712" s="15" t="n">
        <f aca="false">G712*(1+IF(H$3&lt;=$O$2,$D712,$D712-($D712-$I$697)*MIN(H$3-$O$2,$Q$2)/$Q$2))</f>
        <v>3222.54701729902</v>
      </c>
      <c r="I712" s="15" t="n">
        <f aca="false">H712*(1+IF(I$3&lt;=$O$2,$D712,$D712-($D712-$I$697)*MIN(I$3-$O$2,$Q$2)/$Q$2))</f>
        <v>3410.08965529918</v>
      </c>
      <c r="J712" s="15" t="n">
        <f aca="false">I712*(1+IF(J$3&lt;=$O$2,$D712,$D712-($D712-$I$697)*MIN(J$3-$O$2,$Q$2)/$Q$2))</f>
        <v>3594.97659080524</v>
      </c>
      <c r="K712" s="15" t="n">
        <f aca="false">J712*(1+IF(K$3&lt;=$O$2,$D712,$D712-($D712-$I$697)*MIN(K$3-$O$2,$Q$2)/$Q$2))</f>
        <v>3775.58179011093</v>
      </c>
      <c r="L712" s="15" t="n">
        <f aca="false">K712*(1+IF(L$3&lt;=$O$2,$D712,$D712-($D712-$I$697)*MIN(L$3-$O$2,$Q$2)/$Q$2))</f>
        <v>3950.23570546972</v>
      </c>
      <c r="M712" s="15" t="n">
        <f aca="false">L712*(1+IF(M$3&lt;=$O$2,$D712,$D712-($D712-$I$697)*MIN(M$3-$O$2,$Q$2)/$Q$2))</f>
        <v>4117.24931792923</v>
      </c>
      <c r="N712" s="15" t="n">
        <f aca="false">M712*(1+IF(N$3&lt;=$O$2,$D712,$D712-($D712-$I$697)*MIN(N$3-$O$2,$Q$2)/$Q$2))</f>
        <v>4274.93996680591</v>
      </c>
      <c r="O712" s="15" t="n">
        <f aca="false">SUMPRODUCT(E712:N712,1/(1+$F$697)^$E$3:$N$3)*$E$2</f>
        <v>4047.89049415803</v>
      </c>
      <c r="P712" s="15" t="n">
        <f aca="false">N712*$E$2*(1+$I$697)/($F$697-$I$697)/(1+$F$697)^$N$3</f>
        <v>4995.60545635154</v>
      </c>
      <c r="Q712" s="15" t="n">
        <f aca="false">O712+P712</f>
        <v>9043.49595050957</v>
      </c>
      <c r="R712" s="15" t="n">
        <f aca="false">Q712-$G$2+$I$2</f>
        <v>7667.29595050957</v>
      </c>
      <c r="S712" s="42" t="n">
        <f aca="false">R712/$K$2</f>
        <v>204.406716889085</v>
      </c>
      <c r="T712" s="43" t="n">
        <f aca="false">S712-$M$2</f>
        <v>-0.0720887627412878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0.058197021484375</v>
      </c>
      <c r="C713" s="25" t="n">
        <f aca="false">IF(T712&gt;0,D712,C712)</f>
        <v>0.05828857421875</v>
      </c>
      <c r="D713" s="41" t="n">
        <f aca="false">(B713+C713)/2</f>
        <v>0.0582427978515625</v>
      </c>
      <c r="E713" s="15" t="n">
        <f aca="false">$C$2*(1+IF(E$3&lt;=$O$2,$D713,$D713-($D713-$I$697)*MIN(E$3-$O$2,$Q$2)/$Q$2))</f>
        <v>2719.68399047852</v>
      </c>
      <c r="F713" s="15" t="n">
        <f aca="false">E713*(1+IF(F$3&lt;=$O$2,$D713,$D713-($D713-$I$697)*MIN(F$3-$O$2,$Q$2)/$Q$2))</f>
        <v>2878.08599535609</v>
      </c>
      <c r="G713" s="15" t="n">
        <f aca="false">F713*(1+IF(G$3&lt;=$O$2,$D713,$D713-($D713-$I$697)*MIN(G$3-$O$2,$Q$2)/$Q$2))</f>
        <v>3045.71377618302</v>
      </c>
      <c r="H713" s="15" t="n">
        <f aca="false">G713*(1+IF(H$3&lt;=$O$2,$D713,$D713-($D713-$I$697)*MIN(H$3-$O$2,$Q$2)/$Q$2))</f>
        <v>3223.10466796297</v>
      </c>
      <c r="I713" s="15" t="n">
        <f aca="false">H713*(1+IF(I$3&lt;=$O$2,$D713,$D713-($D713-$I$697)*MIN(I$3-$O$2,$Q$2)/$Q$2))</f>
        <v>3410.82730159357</v>
      </c>
      <c r="J713" s="15" t="n">
        <f aca="false">I713*(1+IF(J$3&lt;=$O$2,$D713,$D713-($D713-$I$697)*MIN(J$3-$O$2,$Q$2)/$Q$2))</f>
        <v>3595.87913875042</v>
      </c>
      <c r="K713" s="15" t="n">
        <f aca="false">J713*(1+IF(K$3&lt;=$O$2,$D713,$D713-($D713-$I$697)*MIN(K$3-$O$2,$Q$2)/$Q$2))</f>
        <v>3776.62844422221</v>
      </c>
      <c r="L713" s="15" t="n">
        <f aca="false">K713*(1+IF(L$3&lt;=$O$2,$D713,$D713-($D713-$I$697)*MIN(L$3-$O$2,$Q$2)/$Q$2))</f>
        <v>3951.39992868535</v>
      </c>
      <c r="M713" s="15" t="n">
        <f aca="false">L713*(1+IF(M$3&lt;=$O$2,$D713,$D713-($D713-$I$697)*MIN(M$3-$O$2,$Q$2)/$Q$2))</f>
        <v>4118.49893995569</v>
      </c>
      <c r="N713" s="15" t="n">
        <f aca="false">M713*(1+IF(N$3&lt;=$O$2,$D713,$D713-($D713-$I$697)*MIN(N$3-$O$2,$Q$2)/$Q$2))</f>
        <v>4276.23744935599</v>
      </c>
      <c r="O713" s="15" t="n">
        <f aca="false">SUMPRODUCT(E713:N713,1/(1+$F$697)^$E$3:$N$3)*$E$2</f>
        <v>4048.68367622133</v>
      </c>
      <c r="P713" s="15" t="n">
        <f aca="false">N713*$E$2*(1+$I$697)/($F$697-$I$697)/(1+$F$697)^$N$3</f>
        <v>4997.12166732925</v>
      </c>
      <c r="Q713" s="15" t="n">
        <f aca="false">O713+P713</f>
        <v>9045.80534355058</v>
      </c>
      <c r="R713" s="15" t="n">
        <f aca="false">Q713-$G$2+$I$2</f>
        <v>7669.60534355058</v>
      </c>
      <c r="S713" s="42" t="n">
        <f aca="false">R713/$K$2</f>
        <v>204.468284285539</v>
      </c>
      <c r="T713" s="43" t="n">
        <f aca="false">S713-$M$2</f>
        <v>-0.0105213662868664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0.0582427978515625</v>
      </c>
      <c r="C714" s="25" t="n">
        <f aca="false">IF(T713&gt;0,D713,C713)</f>
        <v>0.05828857421875</v>
      </c>
      <c r="D714" s="41" t="n">
        <f aca="false">(B714+C714)/2</f>
        <v>0.0582656860351563</v>
      </c>
      <c r="E714" s="15" t="n">
        <f aca="false">$C$2*(1+IF(E$3&lt;=$O$2,$D714,$D714-($D714-$I$697)*MIN(E$3-$O$2,$Q$2)/$Q$2))</f>
        <v>2719.74281311035</v>
      </c>
      <c r="F714" s="15" t="n">
        <f aca="false">E714*(1+IF(F$3&lt;=$O$2,$D714,$D714-($D714-$I$697)*MIN(F$3-$O$2,$Q$2)/$Q$2))</f>
        <v>2878.21049395541</v>
      </c>
      <c r="G714" s="15" t="n">
        <f aca="false">F714*(1+IF(G$3&lt;=$O$2,$D714,$D714-($D714-$I$697)*MIN(G$3-$O$2,$Q$2)/$Q$2))</f>
        <v>3045.91140293931</v>
      </c>
      <c r="H714" s="15" t="n">
        <f aca="false">G714*(1+IF(H$3&lt;=$O$2,$D714,$D714-($D714-$I$697)*MIN(H$3-$O$2,$Q$2)/$Q$2))</f>
        <v>3223.38352043387</v>
      </c>
      <c r="I714" s="15" t="n">
        <f aca="false">H714*(1+IF(I$3&lt;=$O$2,$D714,$D714-($D714-$I$697)*MIN(I$3-$O$2,$Q$2)/$Q$2))</f>
        <v>3411.19617260637</v>
      </c>
      <c r="J714" s="15" t="n">
        <f aca="false">I714*(1+IF(J$3&lt;=$O$2,$D714,$D714-($D714-$I$697)*MIN(J$3-$O$2,$Q$2)/$Q$2))</f>
        <v>3596.33048344646</v>
      </c>
      <c r="K714" s="15" t="n">
        <f aca="false">J714*(1+IF(K$3&lt;=$O$2,$D714,$D714-($D714-$I$697)*MIN(K$3-$O$2,$Q$2)/$Q$2))</f>
        <v>3777.15186414916</v>
      </c>
      <c r="L714" s="15" t="n">
        <f aca="false">K714*(1+IF(L$3&lt;=$O$2,$D714,$D714-($D714-$I$697)*MIN(L$3-$O$2,$Q$2)/$Q$2))</f>
        <v>3951.98215183675</v>
      </c>
      <c r="M714" s="15" t="n">
        <f aca="false">L714*(1+IF(M$3&lt;=$O$2,$D714,$D714-($D714-$I$697)*MIN(M$3-$O$2,$Q$2)/$Q$2))</f>
        <v>4119.12387522412</v>
      </c>
      <c r="N714" s="15" t="n">
        <f aca="false">M714*(1+IF(N$3&lt;=$O$2,$D714,$D714-($D714-$I$697)*MIN(N$3-$O$2,$Q$2)/$Q$2))</f>
        <v>4276.88631964521</v>
      </c>
      <c r="O714" s="15" t="n">
        <f aca="false">SUMPRODUCT(E714:N714,1/(1+$F$697)^$E$3:$N$3)*$E$2</f>
        <v>4049.08032618034</v>
      </c>
      <c r="P714" s="15" t="n">
        <f aca="false">N714*$E$2*(1+$I$697)/($F$697-$I$697)/(1+$F$697)^$N$3</f>
        <v>4997.87992358136</v>
      </c>
      <c r="Q714" s="15" t="n">
        <f aca="false">O714+P714</f>
        <v>9046.9602497617</v>
      </c>
      <c r="R714" s="15" t="n">
        <f aca="false">Q714-$G$2+$I$2</f>
        <v>7670.7602497617</v>
      </c>
      <c r="S714" s="42" t="n">
        <f aca="false">R714/$K$2</f>
        <v>204.499073574026</v>
      </c>
      <c r="T714" s="43" t="n">
        <f aca="false">S714-$M$2</f>
        <v>0.0202679221994515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0.0582427978515625</v>
      </c>
      <c r="C715" s="25" t="n">
        <f aca="false">IF(T714&gt;0,D714,C714)</f>
        <v>0.0582656860351563</v>
      </c>
      <c r="D715" s="41" t="n">
        <f aca="false">(B715+C715)/2</f>
        <v>0.0582542419433594</v>
      </c>
      <c r="E715" s="15" t="n">
        <f aca="false">$C$2*(1+IF(E$3&lt;=$O$2,$D715,$D715-($D715-$I$697)*MIN(E$3-$O$2,$Q$2)/$Q$2))</f>
        <v>2719.71340179443</v>
      </c>
      <c r="F715" s="15" t="n">
        <f aca="false">E715*(1+IF(F$3&lt;=$O$2,$D715,$D715-($D715-$I$697)*MIN(F$3-$O$2,$Q$2)/$Q$2))</f>
        <v>2878.14824431916</v>
      </c>
      <c r="G715" s="15" t="n">
        <f aca="false">F715*(1+IF(G$3&lt;=$O$2,$D715,$D715-($D715-$I$697)*MIN(G$3-$O$2,$Q$2)/$Q$2))</f>
        <v>3045.81258849259</v>
      </c>
      <c r="H715" s="15" t="n">
        <f aca="false">G715*(1+IF(H$3&lt;=$O$2,$D715,$D715-($D715-$I$697)*MIN(H$3-$O$2,$Q$2)/$Q$2))</f>
        <v>3223.24409193676</v>
      </c>
      <c r="I715" s="15" t="n">
        <f aca="false">H715*(1+IF(I$3&lt;=$O$2,$D715,$D715-($D715-$I$697)*MIN(I$3-$O$2,$Q$2)/$Q$2))</f>
        <v>3411.01173311095</v>
      </c>
      <c r="J715" s="15" t="n">
        <f aca="false">I715*(1+IF(J$3&lt;=$O$2,$D715,$D715-($D715-$I$697)*MIN(J$3-$O$2,$Q$2)/$Q$2))</f>
        <v>3596.10480520441</v>
      </c>
      <c r="K715" s="15" t="n">
        <f aca="false">J715*(1+IF(K$3&lt;=$O$2,$D715,$D715-($D715-$I$697)*MIN(K$3-$O$2,$Q$2)/$Q$2))</f>
        <v>3776.89014644577</v>
      </c>
      <c r="L715" s="15" t="n">
        <f aca="false">K715*(1+IF(L$3&lt;=$O$2,$D715,$D715-($D715-$I$697)*MIN(L$3-$O$2,$Q$2)/$Q$2))</f>
        <v>3951.69103096491</v>
      </c>
      <c r="M715" s="15" t="n">
        <f aca="false">L715*(1+IF(M$3&lt;=$O$2,$D715,$D715-($D715-$I$697)*MIN(M$3-$O$2,$Q$2)/$Q$2))</f>
        <v>4118.81139723433</v>
      </c>
      <c r="N715" s="15" t="n">
        <f aca="false">M715*(1+IF(N$3&lt;=$O$2,$D715,$D715-($D715-$I$697)*MIN(N$3-$O$2,$Q$2)/$Q$2))</f>
        <v>4276.5618737484</v>
      </c>
      <c r="O715" s="15" t="n">
        <f aca="false">SUMPRODUCT(E715:N715,1/(1+$F$697)^$E$3:$N$3)*$E$2</f>
        <v>4048.88199628984</v>
      </c>
      <c r="P715" s="15" t="n">
        <f aca="false">N715*$E$2*(1+$I$697)/($F$697-$I$697)/(1+$F$697)^$N$3</f>
        <v>4997.50078289051</v>
      </c>
      <c r="Q715" s="15" t="n">
        <f aca="false">O715+P715</f>
        <v>9046.38277918035</v>
      </c>
      <c r="R715" s="15" t="n">
        <f aca="false">Q715-$G$2+$I$2</f>
        <v>7670.18277918035</v>
      </c>
      <c r="S715" s="42" t="n">
        <f aca="false">R715/$K$2</f>
        <v>204.483678463886</v>
      </c>
      <c r="T715" s="43" t="n">
        <f aca="false">S715-$M$2</f>
        <v>0.00487281205951717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0.0582427978515625</v>
      </c>
      <c r="C716" s="25" t="n">
        <f aca="false">IF(T715&gt;0,D715,C715)</f>
        <v>0.0582542419433594</v>
      </c>
      <c r="D716" s="41" t="n">
        <f aca="false">(B716+C716)/2</f>
        <v>0.0582485198974609</v>
      </c>
      <c r="E716" s="15" t="n">
        <f aca="false">$C$2*(1+IF(E$3&lt;=$O$2,$D716,$D716-($D716-$I$697)*MIN(E$3-$O$2,$Q$2)/$Q$2))</f>
        <v>2719.69869613647</v>
      </c>
      <c r="F716" s="15" t="n">
        <f aca="false">E716*(1+IF(F$3&lt;=$O$2,$D716,$D716-($D716-$I$697)*MIN(F$3-$O$2,$Q$2)/$Q$2))</f>
        <v>2878.11711975348</v>
      </c>
      <c r="G716" s="15" t="n">
        <f aca="false">F716*(1+IF(G$3&lt;=$O$2,$D716,$D716-($D716-$I$697)*MIN(G$3-$O$2,$Q$2)/$Q$2))</f>
        <v>3045.76318207066</v>
      </c>
      <c r="H716" s="15" t="n">
        <f aca="false">G716*(1+IF(H$3&lt;=$O$2,$D716,$D716-($D716-$I$697)*MIN(H$3-$O$2,$Q$2)/$Q$2))</f>
        <v>3223.17437938446</v>
      </c>
      <c r="I716" s="15" t="n">
        <f aca="false">H716*(1+IF(I$3&lt;=$O$2,$D716,$D716-($D716-$I$697)*MIN(I$3-$O$2,$Q$2)/$Q$2))</f>
        <v>3410.91951635502</v>
      </c>
      <c r="J716" s="15" t="n">
        <f aca="false">I716*(1+IF(J$3&lt;=$O$2,$D716,$D716-($D716-$I$697)*MIN(J$3-$O$2,$Q$2)/$Q$2))</f>
        <v>3595.99197050393</v>
      </c>
      <c r="K716" s="15" t="n">
        <f aca="false">J716*(1+IF(K$3&lt;=$O$2,$D716,$D716-($D716-$I$697)*MIN(K$3-$O$2,$Q$2)/$Q$2))</f>
        <v>3776.75929339906</v>
      </c>
      <c r="L716" s="15" t="n">
        <f aca="false">K716*(1+IF(L$3&lt;=$O$2,$D716,$D716-($D716-$I$697)*MIN(L$3-$O$2,$Q$2)/$Q$2))</f>
        <v>3951.54547750116</v>
      </c>
      <c r="M716" s="15" t="n">
        <f aca="false">L716*(1+IF(M$3&lt;=$O$2,$D716,$D716-($D716-$I$697)*MIN(M$3-$O$2,$Q$2)/$Q$2))</f>
        <v>4118.65516600619</v>
      </c>
      <c r="N716" s="15" t="n">
        <f aca="false">M716*(1+IF(N$3&lt;=$O$2,$D716,$D716-($D716-$I$697)*MIN(N$3-$O$2,$Q$2)/$Q$2))</f>
        <v>4276.39965886422</v>
      </c>
      <c r="O716" s="15" t="n">
        <f aca="false">SUMPRODUCT(E716:N716,1/(1+$F$697)^$E$3:$N$3)*$E$2</f>
        <v>4048.78283502787</v>
      </c>
      <c r="P716" s="15" t="n">
        <f aca="false">N716*$E$2*(1+$I$697)/($F$697-$I$697)/(1+$F$697)^$N$3</f>
        <v>4997.31122196877</v>
      </c>
      <c r="Q716" s="15" t="n">
        <f aca="false">O716+P716</f>
        <v>9046.09405699663</v>
      </c>
      <c r="R716" s="15" t="n">
        <f aca="false">Q716-$G$2+$I$2</f>
        <v>7669.89405699663</v>
      </c>
      <c r="S716" s="42" t="n">
        <f aca="false">R716/$K$2</f>
        <v>204.475981258241</v>
      </c>
      <c r="T716" s="43" t="n">
        <f aca="false">S716-$M$2</f>
        <v>-0.0028243935847172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0.0582485198974609</v>
      </c>
      <c r="C717" s="25" t="n">
        <f aca="false">IF(T716&gt;0,D716,C716)</f>
        <v>0.0582542419433594</v>
      </c>
      <c r="D717" s="41" t="n">
        <f aca="false">(B717+C717)/2</f>
        <v>0.0582513809204102</v>
      </c>
      <c r="E717" s="15" t="n">
        <f aca="false">$C$2*(1+IF(E$3&lt;=$O$2,$D717,$D717-($D717-$I$697)*MIN(E$3-$O$2,$Q$2)/$Q$2))</f>
        <v>2719.70604896545</v>
      </c>
      <c r="F717" s="15" t="n">
        <f aca="false">E717*(1+IF(F$3&lt;=$O$2,$D717,$D717-($D717-$I$697)*MIN(F$3-$O$2,$Q$2)/$Q$2))</f>
        <v>2878.13268201528</v>
      </c>
      <c r="G717" s="15" t="n">
        <f aca="false">F717*(1+IF(G$3&lt;=$O$2,$D717,$D717-($D717-$I$697)*MIN(G$3-$O$2,$Q$2)/$Q$2))</f>
        <v>3045.78788521484</v>
      </c>
      <c r="H717" s="15" t="n">
        <f aca="false">G717*(1+IF(H$3&lt;=$O$2,$D717,$D717-($D717-$I$697)*MIN(H$3-$O$2,$Q$2)/$Q$2))</f>
        <v>3223.20923551926</v>
      </c>
      <c r="I717" s="15" t="n">
        <f aca="false">H717*(1+IF(I$3&lt;=$O$2,$D717,$D717-($D717-$I$697)*MIN(I$3-$O$2,$Q$2)/$Q$2))</f>
        <v>3410.96562448367</v>
      </c>
      <c r="J717" s="15" t="n">
        <f aca="false">I717*(1+IF(J$3&lt;=$O$2,$D717,$D717-($D717-$I$697)*MIN(J$3-$O$2,$Q$2)/$Q$2))</f>
        <v>3596.0483874858</v>
      </c>
      <c r="K717" s="15" t="n">
        <f aca="false">J717*(1+IF(K$3&lt;=$O$2,$D717,$D717-($D717-$I$697)*MIN(K$3-$O$2,$Q$2)/$Q$2))</f>
        <v>3776.82471943868</v>
      </c>
      <c r="L717" s="15" t="n">
        <f aca="false">K717*(1+IF(L$3&lt;=$O$2,$D717,$D717-($D717-$I$697)*MIN(L$3-$O$2,$Q$2)/$Q$2))</f>
        <v>3951.61825365204</v>
      </c>
      <c r="M717" s="15" t="n">
        <f aca="false">L717*(1+IF(M$3&lt;=$O$2,$D717,$D717-($D717-$I$697)*MIN(M$3-$O$2,$Q$2)/$Q$2))</f>
        <v>4118.73328097304</v>
      </c>
      <c r="N717" s="15" t="n">
        <f aca="false">M717*(1+IF(N$3&lt;=$O$2,$D717,$D717-($D717-$I$697)*MIN(N$3-$O$2,$Q$2)/$Q$2))</f>
        <v>4276.48076563431</v>
      </c>
      <c r="O717" s="15" t="n">
        <f aca="false">SUMPRODUCT(E717:N717,1/(1+$F$697)^$E$3:$N$3)*$E$2</f>
        <v>4048.83241535192</v>
      </c>
      <c r="P717" s="15" t="n">
        <f aca="false">N717*$E$2*(1+$I$697)/($F$697-$I$697)/(1+$F$697)^$N$3</f>
        <v>4997.40600164435</v>
      </c>
      <c r="Q717" s="15" t="n">
        <f aca="false">O717+P717</f>
        <v>9046.23841699627</v>
      </c>
      <c r="R717" s="15" t="n">
        <f aca="false">Q717-$G$2+$I$2</f>
        <v>7670.03841699627</v>
      </c>
      <c r="S717" s="42" t="n">
        <f aca="false">R717/$K$2</f>
        <v>204.479829831945</v>
      </c>
      <c r="T717" s="43" t="n">
        <f aca="false">S717-$M$2</f>
        <v>0.0010241801192592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0.0582485198974609</v>
      </c>
      <c r="C718" s="25" t="n">
        <f aca="false">IF(T717&gt;0,D717,C717)</f>
        <v>0.0582513809204102</v>
      </c>
      <c r="D718" s="41" t="n">
        <f aca="false">(B718+C718)/2</f>
        <v>0.0582499504089356</v>
      </c>
      <c r="E718" s="15" t="n">
        <f aca="false">$C$2*(1+IF(E$3&lt;=$O$2,$D718,$D718-($D718-$I$697)*MIN(E$3-$O$2,$Q$2)/$Q$2))</f>
        <v>2719.70237255096</v>
      </c>
      <c r="F718" s="15" t="n">
        <f aca="false">E718*(1+IF(F$3&lt;=$O$2,$D718,$D718-($D718-$I$697)*MIN(F$3-$O$2,$Q$2)/$Q$2))</f>
        <v>2878.12490087912</v>
      </c>
      <c r="G718" s="15" t="n">
        <f aca="false">F718*(1+IF(G$3&lt;=$O$2,$D718,$D718-($D718-$I$697)*MIN(G$3-$O$2,$Q$2)/$Q$2))</f>
        <v>3045.77553362605</v>
      </c>
      <c r="H718" s="15" t="n">
        <f aca="false">G718*(1+IF(H$3&lt;=$O$2,$D718,$D718-($D718-$I$697)*MIN(H$3-$O$2,$Q$2)/$Q$2))</f>
        <v>3223.19180741652</v>
      </c>
      <c r="I718" s="15" t="n">
        <f aca="false">H718*(1+IF(I$3&lt;=$O$2,$D718,$D718-($D718-$I$697)*MIN(I$3-$O$2,$Q$2)/$Q$2))</f>
        <v>3410.94257035702</v>
      </c>
      <c r="J718" s="15" t="n">
        <f aca="false">I718*(1+IF(J$3&lt;=$O$2,$D718,$D718-($D718-$I$697)*MIN(J$3-$O$2,$Q$2)/$Q$2))</f>
        <v>3596.02017890277</v>
      </c>
      <c r="K718" s="15" t="n">
        <f aca="false">J718*(1+IF(K$3&lt;=$O$2,$D718,$D718-($D718-$I$697)*MIN(K$3-$O$2,$Q$2)/$Q$2))</f>
        <v>3776.79200629794</v>
      </c>
      <c r="L718" s="15" t="n">
        <f aca="false">K718*(1+IF(L$3&lt;=$O$2,$D718,$D718-($D718-$I$697)*MIN(L$3-$O$2,$Q$2)/$Q$2))</f>
        <v>3951.58186543135</v>
      </c>
      <c r="M718" s="15" t="n">
        <f aca="false">L718*(1+IF(M$3&lt;=$O$2,$D718,$D718-($D718-$I$697)*MIN(M$3-$O$2,$Q$2)/$Q$2))</f>
        <v>4118.69422332781</v>
      </c>
      <c r="N718" s="15" t="n">
        <f aca="false">M718*(1+IF(N$3&lt;=$O$2,$D718,$D718-($D718-$I$697)*MIN(N$3-$O$2,$Q$2)/$Q$2))</f>
        <v>4276.44021208127</v>
      </c>
      <c r="O718" s="15" t="n">
        <f aca="false">SUMPRODUCT(E718:N718,1/(1+$F$697)^$E$3:$N$3)*$E$2</f>
        <v>4048.80762511316</v>
      </c>
      <c r="P718" s="15" t="n">
        <f aca="false">N718*$E$2*(1+$I$697)/($F$697-$I$697)/(1+$F$697)^$N$3</f>
        <v>4997.35861161024</v>
      </c>
      <c r="Q718" s="15" t="n">
        <f aca="false">O718+P718</f>
        <v>9046.1662367234</v>
      </c>
      <c r="R718" s="15" t="n">
        <f aca="false">Q718-$G$2+$I$2</f>
        <v>7669.9662367234</v>
      </c>
      <c r="S718" s="42" t="n">
        <f aca="false">R718/$K$2</f>
        <v>204.477905537814</v>
      </c>
      <c r="T718" s="43" t="n">
        <f aca="false">S718-$M$2</f>
        <v>-0.000900114012239328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0.0582499504089356</v>
      </c>
      <c r="C719" s="25" t="n">
        <f aca="false">IF(T718&gt;0,D718,C718)</f>
        <v>0.0582513809204102</v>
      </c>
      <c r="D719" s="41" t="n">
        <f aca="false">(B719+C719)/2</f>
        <v>0.0582506656646729</v>
      </c>
      <c r="E719" s="15" t="n">
        <f aca="false">$C$2*(1+IF(E$3&lt;=$O$2,$D719,$D719-($D719-$I$697)*MIN(E$3-$O$2,$Q$2)/$Q$2))</f>
        <v>2719.70421075821</v>
      </c>
      <c r="F719" s="15" t="n">
        <f aca="false">E719*(1+IF(F$3&lt;=$O$2,$D719,$D719-($D719-$I$697)*MIN(F$3-$O$2,$Q$2)/$Q$2))</f>
        <v>2878.12879144589</v>
      </c>
      <c r="G719" s="15" t="n">
        <f aca="false">F719*(1+IF(G$3&lt;=$O$2,$D719,$D719-($D719-$I$697)*MIN(G$3-$O$2,$Q$2)/$Q$2))</f>
        <v>3045.78170941627</v>
      </c>
      <c r="H719" s="15" t="n">
        <f aca="false">G719*(1+IF(H$3&lt;=$O$2,$D719,$D719-($D719-$I$697)*MIN(H$3-$O$2,$Q$2)/$Q$2))</f>
        <v>3223.20052145906</v>
      </c>
      <c r="I719" s="15" t="n">
        <f aca="false">H719*(1+IF(I$3&lt;=$O$2,$D719,$D719-($D719-$I$697)*MIN(I$3-$O$2,$Q$2)/$Q$2))</f>
        <v>3410.95409740477</v>
      </c>
      <c r="J719" s="15" t="n">
        <f aca="false">I719*(1+IF(J$3&lt;=$O$2,$D719,$D719-($D719-$I$697)*MIN(J$3-$O$2,$Q$2)/$Q$2))</f>
        <v>3596.03428317126</v>
      </c>
      <c r="K719" s="15" t="n">
        <f aca="false">J719*(1+IF(K$3&lt;=$O$2,$D719,$D719-($D719-$I$697)*MIN(K$3-$O$2,$Q$2)/$Q$2))</f>
        <v>3776.80836283807</v>
      </c>
      <c r="L719" s="15" t="n">
        <f aca="false">K719*(1+IF(L$3&lt;=$O$2,$D719,$D719-($D719-$I$697)*MIN(L$3-$O$2,$Q$2)/$Q$2))</f>
        <v>3951.60005950538</v>
      </c>
      <c r="M719" s="15" t="n">
        <f aca="false">L719*(1+IF(M$3&lt;=$O$2,$D719,$D719-($D719-$I$697)*MIN(M$3-$O$2,$Q$2)/$Q$2))</f>
        <v>4118.71375210998</v>
      </c>
      <c r="N719" s="15" t="n">
        <f aca="false">M719*(1+IF(N$3&lt;=$O$2,$D719,$D719-($D719-$I$697)*MIN(N$3-$O$2,$Q$2)/$Q$2))</f>
        <v>4276.46048881579</v>
      </c>
      <c r="O719" s="15" t="n">
        <f aca="false">SUMPRODUCT(E719:N719,1/(1+$F$697)^$E$3:$N$3)*$E$2</f>
        <v>4048.82002021336</v>
      </c>
      <c r="P719" s="15" t="n">
        <f aca="false">N719*$E$2*(1+$I$697)/($F$697-$I$697)/(1+$F$697)^$N$3</f>
        <v>4997.38230657821</v>
      </c>
      <c r="Q719" s="15" t="n">
        <f aca="false">O719+P719</f>
        <v>9046.20232679157</v>
      </c>
      <c r="R719" s="15" t="n">
        <f aca="false">Q719-$G$2+$I$2</f>
        <v>7670.00232679157</v>
      </c>
      <c r="S719" s="42" t="n">
        <f aca="false">R719/$K$2</f>
        <v>204.47886768306</v>
      </c>
      <c r="T719" s="43" t="n">
        <f aca="false">S719-$M$2</f>
        <v>6.20312335968265E-005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0.0582499504089356</v>
      </c>
      <c r="C720" s="25" t="n">
        <f aca="false">IF(T719&gt;0,D719,C719)</f>
        <v>0.0582506656646729</v>
      </c>
      <c r="D720" s="41" t="n">
        <f aca="false">(B720+C720)/2</f>
        <v>0.0582503080368042</v>
      </c>
      <c r="E720" s="15" t="n">
        <f aca="false">$C$2*(1+IF(E$3&lt;=$O$2,$D720,$D720-($D720-$I$697)*MIN(E$3-$O$2,$Q$2)/$Q$2))</f>
        <v>2719.70329165459</v>
      </c>
      <c r="F720" s="15" t="n">
        <f aca="false">E720*(1+IF(F$3&lt;=$O$2,$D720,$D720-($D720-$I$697)*MIN(F$3-$O$2,$Q$2)/$Q$2))</f>
        <v>2878.12684616218</v>
      </c>
      <c r="G720" s="15" t="n">
        <f aca="false">F720*(1+IF(G$3&lt;=$O$2,$D720,$D720-($D720-$I$697)*MIN(G$3-$O$2,$Q$2)/$Q$2))</f>
        <v>3045.77862152012</v>
      </c>
      <c r="H720" s="15" t="n">
        <f aca="false">G720*(1+IF(H$3&lt;=$O$2,$D720,$D720-($D720-$I$697)*MIN(H$3-$O$2,$Q$2)/$Q$2))</f>
        <v>3223.19616443558</v>
      </c>
      <c r="I720" s="15" t="n">
        <f aca="false">H720*(1+IF(I$3&lt;=$O$2,$D720,$D720-($D720-$I$697)*MIN(I$3-$O$2,$Q$2)/$Q$2))</f>
        <v>3410.948333877</v>
      </c>
      <c r="J720" s="15" t="n">
        <f aca="false">I720*(1+IF(J$3&lt;=$O$2,$D720,$D720-($D720-$I$697)*MIN(J$3-$O$2,$Q$2)/$Q$2))</f>
        <v>3596.02723103126</v>
      </c>
      <c r="K720" s="15" t="n">
        <f aca="false">J720*(1+IF(K$3&lt;=$O$2,$D720,$D720-($D720-$I$697)*MIN(K$3-$O$2,$Q$2)/$Q$2))</f>
        <v>3776.80018456045</v>
      </c>
      <c r="L720" s="15" t="n">
        <f aca="false">K720*(1+IF(L$3&lt;=$O$2,$D720,$D720-($D720-$I$697)*MIN(L$3-$O$2,$Q$2)/$Q$2))</f>
        <v>3951.59096245929</v>
      </c>
      <c r="M720" s="15" t="n">
        <f aca="false">L720*(1+IF(M$3&lt;=$O$2,$D720,$D720-($D720-$I$697)*MIN(M$3-$O$2,$Q$2)/$Q$2))</f>
        <v>4118.70398770878</v>
      </c>
      <c r="N720" s="15" t="n">
        <f aca="false">M720*(1+IF(N$3&lt;=$O$2,$D720,$D720-($D720-$I$697)*MIN(N$3-$O$2,$Q$2)/$Q$2))</f>
        <v>4276.45035043803</v>
      </c>
      <c r="O720" s="15" t="n">
        <f aca="false">SUMPRODUCT(E720:N720,1/(1+$F$697)^$E$3:$N$3)*$E$2</f>
        <v>4048.81382265846</v>
      </c>
      <c r="P720" s="15" t="n">
        <f aca="false">N720*$E$2*(1+$I$697)/($F$697-$I$697)/(1+$F$697)^$N$3</f>
        <v>4997.37045908195</v>
      </c>
      <c r="Q720" s="15" t="n">
        <f aca="false">O720+P720</f>
        <v>9046.18428174042</v>
      </c>
      <c r="R720" s="15" t="n">
        <f aca="false">Q720-$G$2+$I$2</f>
        <v>7669.98428174042</v>
      </c>
      <c r="S720" s="42" t="n">
        <f aca="false">R720/$K$2</f>
        <v>204.478386609982</v>
      </c>
      <c r="T720" s="43" t="n">
        <f aca="false">S720-$M$2</f>
        <v>-0.000419041844310186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0.0582503080368042</v>
      </c>
      <c r="C721" s="25" t="n">
        <f aca="false">IF(T720&gt;0,D720,C720)</f>
        <v>0.0582506656646729</v>
      </c>
      <c r="D721" s="41" t="n">
        <f aca="false">(B721+C721)/2</f>
        <v>0.0582504868507385</v>
      </c>
      <c r="E721" s="15" t="n">
        <f aca="false">$C$2*(1+IF(E$3&lt;=$O$2,$D721,$D721-($D721-$I$697)*MIN(E$3-$O$2,$Q$2)/$Q$2))</f>
        <v>2719.7037512064</v>
      </c>
      <c r="F721" s="15" t="n">
        <f aca="false">E721*(1+IF(F$3&lt;=$O$2,$D721,$D721-($D721-$I$697)*MIN(F$3-$O$2,$Q$2)/$Q$2))</f>
        <v>2878.12781880395</v>
      </c>
      <c r="G721" s="15" t="n">
        <f aca="false">F721*(1+IF(G$3&lt;=$O$2,$D721,$D721-($D721-$I$697)*MIN(G$3-$O$2,$Q$2)/$Q$2))</f>
        <v>3045.78016546793</v>
      </c>
      <c r="H721" s="15" t="n">
        <f aca="false">G721*(1+IF(H$3&lt;=$O$2,$D721,$D721-($D721-$I$697)*MIN(H$3-$O$2,$Q$2)/$Q$2))</f>
        <v>3223.19834294677</v>
      </c>
      <c r="I721" s="15" t="n">
        <f aca="false">H721*(1+IF(I$3&lt;=$O$2,$D721,$D721-($D721-$I$697)*MIN(I$3-$O$2,$Q$2)/$Q$2))</f>
        <v>3410.95121563991</v>
      </c>
      <c r="J721" s="15" t="n">
        <f aca="false">I721*(1+IF(J$3&lt;=$O$2,$D721,$D721-($D721-$I$697)*MIN(J$3-$O$2,$Q$2)/$Q$2))</f>
        <v>3596.03075709982</v>
      </c>
      <c r="K721" s="15" t="n">
        <f aca="false">J721*(1+IF(K$3&lt;=$O$2,$D721,$D721-($D721-$I$697)*MIN(K$3-$O$2,$Q$2)/$Q$2))</f>
        <v>3776.80427369737</v>
      </c>
      <c r="L721" s="15" t="n">
        <f aca="false">K721*(1+IF(L$3&lt;=$O$2,$D721,$D721-($D721-$I$697)*MIN(L$3-$O$2,$Q$2)/$Q$2))</f>
        <v>3951.59551098006</v>
      </c>
      <c r="M721" s="15" t="n">
        <f aca="false">L721*(1+IF(M$3&lt;=$O$2,$D721,$D721-($D721-$I$697)*MIN(M$3-$O$2,$Q$2)/$Q$2))</f>
        <v>4118.70886990685</v>
      </c>
      <c r="N721" s="15" t="n">
        <f aca="false">M721*(1+IF(N$3&lt;=$O$2,$D721,$D721-($D721-$I$697)*MIN(N$3-$O$2,$Q$2)/$Q$2))</f>
        <v>4276.45541962428</v>
      </c>
      <c r="O721" s="15" t="n">
        <f aca="false">SUMPRODUCT(E721:N721,1/(1+$F$697)^$E$3:$N$3)*$E$2</f>
        <v>4048.81692143471</v>
      </c>
      <c r="P721" s="15" t="n">
        <f aca="false">N721*$E$2*(1+$I$697)/($F$697-$I$697)/(1+$F$697)^$N$3</f>
        <v>4997.37638282702</v>
      </c>
      <c r="Q721" s="15" t="n">
        <f aca="false">O721+P721</f>
        <v>9046.19330426173</v>
      </c>
      <c r="R721" s="15" t="n">
        <f aca="false">Q721-$G$2+$I$2</f>
        <v>7669.99330426173</v>
      </c>
      <c r="S721" s="42" t="n">
        <f aca="false">R721/$K$2</f>
        <v>204.478627146407</v>
      </c>
      <c r="T721" s="43" t="n">
        <f aca="false">S721-$M$2</f>
        <v>-0.000178505419057728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0.0582504868507385</v>
      </c>
      <c r="C722" s="25" t="n">
        <f aca="false">IF(T721&gt;0,D721,C721)</f>
        <v>0.0582506656646729</v>
      </c>
      <c r="D722" s="41" t="n">
        <f aca="false">(B722+C722)/2</f>
        <v>0.0582505762577057</v>
      </c>
      <c r="E722" s="15" t="n">
        <f aca="false">$C$2*(1+IF(E$3&lt;=$O$2,$D722,$D722-($D722-$I$697)*MIN(E$3-$O$2,$Q$2)/$Q$2))</f>
        <v>2719.7039809823</v>
      </c>
      <c r="F722" s="15" t="n">
        <f aca="false">E722*(1+IF(F$3&lt;=$O$2,$D722,$D722-($D722-$I$697)*MIN(F$3-$O$2,$Q$2)/$Q$2))</f>
        <v>2878.1283051249</v>
      </c>
      <c r="G722" s="15" t="n">
        <f aca="false">F722*(1+IF(G$3&lt;=$O$2,$D722,$D722-($D722-$I$697)*MIN(G$3-$O$2,$Q$2)/$Q$2))</f>
        <v>3045.78093744204</v>
      </c>
      <c r="H722" s="15" t="n">
        <f aca="false">G722*(1+IF(H$3&lt;=$O$2,$D722,$D722-($D722-$I$697)*MIN(H$3-$O$2,$Q$2)/$Q$2))</f>
        <v>3223.19943220277</v>
      </c>
      <c r="I722" s="15" t="n">
        <f aca="false">H722*(1+IF(I$3&lt;=$O$2,$D722,$D722-($D722-$I$697)*MIN(I$3-$O$2,$Q$2)/$Q$2))</f>
        <v>3410.95265652209</v>
      </c>
      <c r="J722" s="15" t="n">
        <f aca="false">I722*(1+IF(J$3&lt;=$O$2,$D722,$D722-($D722-$I$697)*MIN(J$3-$O$2,$Q$2)/$Q$2))</f>
        <v>3596.03252013518</v>
      </c>
      <c r="K722" s="15" t="n">
        <f aca="false">J722*(1+IF(K$3&lt;=$O$2,$D722,$D722-($D722-$I$697)*MIN(K$3-$O$2,$Q$2)/$Q$2))</f>
        <v>3776.80631826725</v>
      </c>
      <c r="L722" s="15" t="n">
        <f aca="false">K722*(1+IF(L$3&lt;=$O$2,$D722,$D722-($D722-$I$697)*MIN(L$3-$O$2,$Q$2)/$Q$2))</f>
        <v>3951.59778524215</v>
      </c>
      <c r="M722" s="15" t="n">
        <f aca="false">L722*(1+IF(M$3&lt;=$O$2,$D722,$D722-($D722-$I$697)*MIN(M$3-$O$2,$Q$2)/$Q$2))</f>
        <v>4118.71131100778</v>
      </c>
      <c r="N722" s="15" t="n">
        <f aca="false">M722*(1+IF(N$3&lt;=$O$2,$D722,$D722-($D722-$I$697)*MIN(N$3-$O$2,$Q$2)/$Q$2))</f>
        <v>4276.45795421938</v>
      </c>
      <c r="O722" s="15" t="n">
        <f aca="false">SUMPRODUCT(E722:N722,1/(1+$F$697)^$E$3:$N$3)*$E$2</f>
        <v>4048.81847082373</v>
      </c>
      <c r="P722" s="15" t="n">
        <f aca="false">N722*$E$2*(1+$I$697)/($F$697-$I$697)/(1+$F$697)^$N$3</f>
        <v>4997.37934470185</v>
      </c>
      <c r="Q722" s="15" t="n">
        <f aca="false">O722+P722</f>
        <v>9046.19781552558</v>
      </c>
      <c r="R722" s="15" t="n">
        <f aca="false">Q722-$G$2+$I$2</f>
        <v>7669.99781552558</v>
      </c>
      <c r="S722" s="42" t="n">
        <f aca="false">R722/$K$2</f>
        <v>204.478747414705</v>
      </c>
      <c r="T722" s="43" t="n">
        <f aca="false">S722-$M$2</f>
        <v>-5.82371211521604E-005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207</v>
      </c>
    </row>
    <row r="3" customFormat="false" ht="15" hidden="false" customHeight="false" outlineLevel="0" collapsed="false">
      <c r="B3" s="2" t="s">
        <v>208</v>
      </c>
    </row>
    <row r="5" customFormat="false" ht="15" hidden="false" customHeight="false" outlineLevel="0" collapsed="false">
      <c r="B5" s="3" t="s">
        <v>209</v>
      </c>
    </row>
    <row r="6" customFormat="false" ht="15" hidden="false" customHeight="false" outlineLevel="0" collapsed="false">
      <c r="B6" s="28" t="s">
        <v>158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210</v>
      </c>
      <c r="C7" s="23" t="n">
        <f aca="false">IF(C$6&lt;=Inputs!$C$46,Solver!$W$7,Solver!$W$7-(Solver!$W$7-Inputs!$C$37)*MIN(C$6-Inputs!$C$46,Inputs!$C$47)/Inputs!$C$47)</f>
        <v>0.0498118265345511</v>
      </c>
      <c r="D7" s="23" t="n">
        <f aca="false">IF(D$6&lt;=Inputs!$C$46,Solver!$W$7,Solver!$W$7-(Solver!$W$7-Inputs!$C$37)*MIN(D$6-Inputs!$C$46,Inputs!$C$47)/Inputs!$C$47)</f>
        <v>0.0498118265345511</v>
      </c>
      <c r="E7" s="23" t="n">
        <f aca="false">IF(E$6&lt;=Inputs!$C$46,Solver!$W$7,Solver!$W$7-(Solver!$W$7-Inputs!$C$37)*MIN(E$6-Inputs!$C$46,Inputs!$C$47)/Inputs!$C$47)</f>
        <v>0.0498118265345511</v>
      </c>
      <c r="F7" s="23" t="n">
        <f aca="false">IF(F$6&lt;=Inputs!$C$46,Solver!$W$7,Solver!$W$7-(Solver!$W$7-Inputs!$C$37)*MIN(F$6-Inputs!$C$46,Inputs!$C$47)/Inputs!$C$47)</f>
        <v>0.0498118265345511</v>
      </c>
      <c r="G7" s="23" t="n">
        <f aca="false">IF(G$6&lt;=Inputs!$C$46,Solver!$W$7,Solver!$W$7-(Solver!$W$7-Inputs!$C$37)*MIN(G$6-Inputs!$C$46,Inputs!$C$47)/Inputs!$C$47)</f>
        <v>0.0498118265345511</v>
      </c>
      <c r="H7" s="23" t="n">
        <f aca="false">IF(H$6&lt;=Inputs!$C$46,Solver!$W$7,Solver!$W$7-(Solver!$W$7-Inputs!$C$37)*MIN(H$6-Inputs!$C$46,Inputs!$C$47)/Inputs!$C$47)</f>
        <v>0.0455094612276409</v>
      </c>
      <c r="I7" s="23" t="n">
        <f aca="false">IF(I$6&lt;=Inputs!$C$46,Solver!$W$7,Solver!$W$7-(Solver!$W$7-Inputs!$C$37)*MIN(I$6-Inputs!$C$46,Inputs!$C$47)/Inputs!$C$47)</f>
        <v>0.0412070959207306</v>
      </c>
      <c r="J7" s="23" t="n">
        <f aca="false">IF(J$6&lt;=Inputs!$C$46,Solver!$W$7,Solver!$W$7-(Solver!$W$7-Inputs!$C$37)*MIN(J$6-Inputs!$C$46,Inputs!$C$47)/Inputs!$C$47)</f>
        <v>0.0369047306138204</v>
      </c>
      <c r="K7" s="23" t="n">
        <f aca="false">IF(K$6&lt;=Inputs!$C$46,Solver!$W$7,Solver!$W$7-(Solver!$W$7-Inputs!$C$37)*MIN(K$6-Inputs!$C$46,Inputs!$C$47)/Inputs!$C$47)</f>
        <v>0.0326023653069102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2698.0163941938</v>
      </c>
      <c r="D8" s="15" t="n">
        <f aca="false">C8*(1+D7)</f>
        <v>2832.40951880875</v>
      </c>
      <c r="E8" s="15" t="n">
        <f aca="false">D8*(1+E7)</f>
        <v>2973.49701043447</v>
      </c>
      <c r="F8" s="15" t="n">
        <f aca="false">E8*(1+F7)</f>
        <v>3121.61232771923</v>
      </c>
      <c r="G8" s="15" t="n">
        <f aca="false">F8*(1+G7)</f>
        <v>3277.1055394957</v>
      </c>
      <c r="H8" s="15" t="n">
        <f aca="false">G8*(1+H7)</f>
        <v>3426.24484698427</v>
      </c>
      <c r="I8" s="15" t="n">
        <f aca="false">H8*(1+I7)</f>
        <v>3567.43044704186</v>
      </c>
      <c r="J8" s="15" t="n">
        <f aca="false">I8*(1+J7)</f>
        <v>3699.08550667348</v>
      </c>
      <c r="K8" s="15" t="n">
        <f aca="false">J8*(1+K7)</f>
        <v>3819.68444366354</v>
      </c>
      <c r="L8" s="15" t="n">
        <f aca="false">K8*(1+L7)</f>
        <v>3927.78151341922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538.973391742839</v>
      </c>
      <c r="D9" s="15" t="n">
        <f aca="false">D8*Inputs!$C$23</f>
        <v>565.820640839072</v>
      </c>
      <c r="E9" s="15" t="n">
        <f aca="false">E8*Inputs!$C$23</f>
        <v>594.005200450216</v>
      </c>
      <c r="F9" s="15" t="n">
        <f aca="false">F8*Inputs!$C$23</f>
        <v>623.593684455663</v>
      </c>
      <c r="G9" s="15" t="n">
        <f aca="false">G8*Inputs!$C$23</f>
        <v>654.656024893811</v>
      </c>
      <c r="H9" s="15" t="n">
        <f aca="false">H8*Inputs!$C$23</f>
        <v>684.449067876157</v>
      </c>
      <c r="I9" s="15" t="n">
        <f aca="false">I8*Inputs!$C$23</f>
        <v>712.653226268984</v>
      </c>
      <c r="J9" s="15" t="n">
        <f aca="false">J8*Inputs!$C$23</f>
        <v>738.953501605511</v>
      </c>
      <c r="K9" s="15" t="n">
        <f aca="false">K8*Inputs!$C$23</f>
        <v>763.045133609675</v>
      </c>
      <c r="L9" s="15" t="n">
        <f aca="false">L8*Inputs!$C$23</f>
        <v>784.639310890828</v>
      </c>
    </row>
    <row r="10" customFormat="false" ht="15" hidden="false" customHeight="false" outlineLevel="0" collapsed="false">
      <c r="B10" s="5" t="s">
        <v>211</v>
      </c>
      <c r="C10" s="45" t="n">
        <f aca="false">1/(1+WACC!$C$34)^C$6</f>
        <v>0.913923622923741</v>
      </c>
      <c r="D10" s="45" t="n">
        <f aca="false">1/(1+WACC!$C$34)^D$6</f>
        <v>0.835256388538057</v>
      </c>
      <c r="E10" s="45" t="n">
        <f aca="false">1/(1+WACC!$C$34)^E$6</f>
        <v>0.763360544682901</v>
      </c>
      <c r="F10" s="45" t="n">
        <f aca="false">1/(1+WACC!$C$34)^F$6</f>
        <v>0.697653234593637</v>
      </c>
      <c r="G10" s="45" t="n">
        <f aca="false">1/(1+WACC!$C$34)^G$6</f>
        <v>0.637601771704283</v>
      </c>
      <c r="H10" s="45" t="n">
        <f aca="false">1/(1+WACC!$C$34)^H$6</f>
        <v>0.582719321178575</v>
      </c>
      <c r="I10" s="45" t="n">
        <f aca="false">1/(1+WACC!$C$34)^I$6</f>
        <v>0.532560953159186</v>
      </c>
      <c r="J10" s="45" t="n">
        <f aca="false">1/(1+WACC!$C$34)^J$6</f>
        <v>0.486720035738964</v>
      </c>
      <c r="K10" s="45" t="n">
        <f aca="false">1/(1+WACC!$C$34)^K$6</f>
        <v>0.444824938412127</v>
      </c>
      <c r="L10" s="45" t="n">
        <f aca="false">1/(1+WACC!$C$34)^L$6</f>
        <v>0.406536019280441</v>
      </c>
    </row>
    <row r="11" customFormat="false" ht="15" hidden="false" customHeight="false" outlineLevel="0" collapsed="false">
      <c r="B11" s="5" t="s">
        <v>212</v>
      </c>
      <c r="C11" s="15" t="n">
        <f aca="false">C9*C10</f>
        <v>492.580514841112</v>
      </c>
      <c r="D11" s="15" t="n">
        <f aca="false">D9*D10</f>
        <v>472.605305027532</v>
      </c>
      <c r="E11" s="15" t="n">
        <f aca="false">E9*E10</f>
        <v>453.440133360152</v>
      </c>
      <c r="F11" s="15" t="n">
        <f aca="false">F9*F10</f>
        <v>435.052151032657</v>
      </c>
      <c r="G11" s="15" t="n">
        <f aca="false">G9*G10</f>
        <v>417.409841329177</v>
      </c>
      <c r="H11" s="15" t="n">
        <f aca="false">H9*H10</f>
        <v>398.841696214102</v>
      </c>
      <c r="I11" s="15" t="n">
        <f aca="false">I9*I10</f>
        <v>379.531281453779</v>
      </c>
      <c r="J11" s="15" t="n">
        <f aca="false">J9*J10</f>
        <v>359.663474710867</v>
      </c>
      <c r="K11" s="15" t="n">
        <f aca="false">K9*K10</f>
        <v>339.421504563597</v>
      </c>
      <c r="L11" s="15" t="n">
        <f aca="false">L9*L10</f>
        <v>318.984142020506</v>
      </c>
    </row>
    <row r="13" customFormat="false" ht="15" hidden="false" customHeight="false" outlineLevel="0" collapsed="false">
      <c r="B13" s="5" t="s">
        <v>213</v>
      </c>
      <c r="C13" s="15" t="n">
        <f aca="false">SUM(C11:L11)</f>
        <v>4067.53004455348</v>
      </c>
    </row>
    <row r="14" customFormat="false" ht="15" hidden="false" customHeight="false" outlineLevel="0" collapsed="false">
      <c r="B14" s="5" t="s">
        <v>214</v>
      </c>
      <c r="C14" s="15" t="n">
        <f aca="false">L9*(1+Inputs!$C$37)/(WACC!$C$34-Inputs!$C$37)</f>
        <v>12246.5654192099</v>
      </c>
    </row>
    <row r="15" customFormat="false" ht="15" hidden="false" customHeight="false" outlineLevel="0" collapsed="false">
      <c r="B15" s="5" t="s">
        <v>215</v>
      </c>
      <c r="C15" s="15" t="n">
        <f aca="false">C14*L10</f>
        <v>4978.6699553831</v>
      </c>
    </row>
    <row r="16" customFormat="false" ht="15" hidden="false" customHeight="false" outlineLevel="0" collapsed="false">
      <c r="B16" s="7" t="s">
        <v>216</v>
      </c>
      <c r="C16" s="15" t="n">
        <f aca="false">C13+C15</f>
        <v>9046.19999993658</v>
      </c>
    </row>
    <row r="17" customFormat="false" ht="15" hidden="false" customHeight="false" outlineLevel="0" collapsed="false">
      <c r="B17" s="5" t="s">
        <v>217</v>
      </c>
      <c r="C17" s="16" t="n">
        <f aca="false">-Inputs!$C$27</f>
        <v>-1900</v>
      </c>
    </row>
    <row r="18" customFormat="false" ht="15" hidden="false" customHeight="false" outlineLevel="0" collapsed="false">
      <c r="B18" s="5" t="s">
        <v>218</v>
      </c>
      <c r="C18" s="16" t="n">
        <f aca="false">Inputs!$C$28</f>
        <v>523.8</v>
      </c>
    </row>
    <row r="19" customFormat="false" ht="15" hidden="false" customHeight="false" outlineLevel="0" collapsed="false">
      <c r="B19" s="5" t="s">
        <v>219</v>
      </c>
      <c r="C19" s="15" t="n">
        <f aca="false">SUM(C16:C18)</f>
        <v>7669.99999993658</v>
      </c>
    </row>
    <row r="20" customFormat="false" ht="15" hidden="false" customHeight="false" outlineLevel="0" collapsed="false">
      <c r="B20" s="5" t="s">
        <v>220</v>
      </c>
      <c r="C20" s="36" t="n">
        <f aca="false">Inputs!$C$7</f>
        <v>37.51</v>
      </c>
    </row>
    <row r="21" customFormat="false" ht="15" hidden="false" customHeight="false" outlineLevel="0" collapsed="false">
      <c r="B21" s="7" t="s">
        <v>221</v>
      </c>
      <c r="C21" s="46" t="n">
        <f aca="false">C19/C20</f>
        <v>204.478805650135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204.478805651826</v>
      </c>
    </row>
    <row r="23" customFormat="false" ht="15" hidden="false" customHeight="false" outlineLevel="0" collapsed="false">
      <c r="B23" s="5" t="s">
        <v>222</v>
      </c>
      <c r="C23" s="23" t="n">
        <f aca="false">C21/C22-1</f>
        <v>-8.26805290898847E-012</v>
      </c>
    </row>
    <row r="24" customFormat="false" ht="15" hidden="false" customHeight="false" outlineLevel="0" collapsed="false">
      <c r="B24" s="5" t="s">
        <v>223</v>
      </c>
      <c r="C24" s="23" t="n">
        <f aca="false">C15/C16</f>
        <v>0.550360367382769</v>
      </c>
    </row>
    <row r="25" customFormat="false" ht="15" hidden="false" customHeight="false" outlineLevel="0" collapsed="false">
      <c r="B25" s="3" t="s">
        <v>224</v>
      </c>
    </row>
    <row r="26" customFormat="false" ht="15" hidden="false" customHeight="false" outlineLevel="0" collapsed="false">
      <c r="B26" s="28" t="s">
        <v>158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210</v>
      </c>
      <c r="C27" s="23" t="n">
        <f aca="false">IF(C$26&lt;=Inputs!$C$46,Inputs!$C$45,Inputs!$C$45-(Inputs!$C$45-Inputs!$C$37)*MIN(C$26-Inputs!$C$46,Inputs!$C$47)/Inputs!$C$47)</f>
        <v>0.0820738337486065</v>
      </c>
      <c r="D27" s="23" t="n">
        <f aca="false">IF(D$26&lt;=Inputs!$C$46,Inputs!$C$45,Inputs!$C$45-(Inputs!$C$45-Inputs!$C$37)*MIN(D$26-Inputs!$C$46,Inputs!$C$47)/Inputs!$C$47)</f>
        <v>0.0820738337486065</v>
      </c>
      <c r="E27" s="23" t="n">
        <f aca="false">IF(E$26&lt;=Inputs!$C$46,Inputs!$C$45,Inputs!$C$45-(Inputs!$C$45-Inputs!$C$37)*MIN(E$26-Inputs!$C$46,Inputs!$C$47)/Inputs!$C$47)</f>
        <v>0.0820738337486065</v>
      </c>
      <c r="F27" s="23" t="n">
        <f aca="false">IF(F$26&lt;=Inputs!$C$46,Inputs!$C$45,Inputs!$C$45-(Inputs!$C$45-Inputs!$C$37)*MIN(F$26-Inputs!$C$46,Inputs!$C$47)/Inputs!$C$47)</f>
        <v>0.0820738337486065</v>
      </c>
      <c r="G27" s="23" t="n">
        <f aca="false">IF(G$26&lt;=Inputs!$C$46,Inputs!$C$45,Inputs!$C$45-(Inputs!$C$45-Inputs!$C$37)*MIN(G$26-Inputs!$C$46,Inputs!$C$47)/Inputs!$C$47)</f>
        <v>0.0820738337486065</v>
      </c>
      <c r="H27" s="23" t="n">
        <f aca="false">IF(H$26&lt;=Inputs!$C$46,Inputs!$C$45,Inputs!$C$45-(Inputs!$C$45-Inputs!$C$37)*MIN(H$26-Inputs!$C$46,Inputs!$C$47)/Inputs!$C$47)</f>
        <v>0.0713190669988852</v>
      </c>
      <c r="I27" s="23" t="n">
        <f aca="false">IF(I$26&lt;=Inputs!$C$46,Inputs!$C$45,Inputs!$C$45-(Inputs!$C$45-Inputs!$C$37)*MIN(I$26-Inputs!$C$46,Inputs!$C$47)/Inputs!$C$47)</f>
        <v>0.0605643002491639</v>
      </c>
      <c r="J27" s="23" t="n">
        <f aca="false">IF(J$26&lt;=Inputs!$C$46,Inputs!$C$45,Inputs!$C$45-(Inputs!$C$45-Inputs!$C$37)*MIN(J$26-Inputs!$C$46,Inputs!$C$47)/Inputs!$C$47)</f>
        <v>0.0498095334994426</v>
      </c>
      <c r="K27" s="23" t="n">
        <f aca="false">IF(K$26&lt;=Inputs!$C$46,Inputs!$C$45,Inputs!$C$45-(Inputs!$C$45-Inputs!$C$37)*MIN(K$26-Inputs!$C$46,Inputs!$C$47)/Inputs!$C$47)</f>
        <v>0.0390547667497213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2780.92975273392</v>
      </c>
      <c r="D28" s="15" t="n">
        <f aca="false">C28*(1+D27)</f>
        <v>3009.17131892636</v>
      </c>
      <c r="E28" s="15" t="n">
        <f aca="false">D28*(1+E27)</f>
        <v>3256.14554547699</v>
      </c>
      <c r="F28" s="15" t="n">
        <f aca="false">E28*(1+F27)</f>
        <v>3523.38989363774</v>
      </c>
      <c r="G28" s="15" t="n">
        <f aca="false">F28*(1+G27)</f>
        <v>3812.56800999968</v>
      </c>
      <c r="H28" s="15" t="n">
        <f aca="false">G28*(1+H27)</f>
        <v>4084.47680334265</v>
      </c>
      <c r="I28" s="15" t="n">
        <f aca="false">H28*(1+I27)</f>
        <v>4331.85028282104</v>
      </c>
      <c r="J28" s="15" t="n">
        <f aca="false">I28*(1+J27)</f>
        <v>4547.61772459779</v>
      </c>
      <c r="K28" s="15" t="n">
        <f aca="false">J28*(1+K27)</f>
        <v>4725.22387409885</v>
      </c>
      <c r="L28" s="15" t="n">
        <f aca="false">K28*(1+L27)</f>
        <v>4858.94770973585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555.536706246535</v>
      </c>
      <c r="D29" s="15" t="n">
        <f aca="false">D28*Inputs!$C$23</f>
        <v>601.131733516261</v>
      </c>
      <c r="E29" s="15" t="n">
        <f aca="false">E28*Inputs!$C$23</f>
        <v>650.468919473886</v>
      </c>
      <c r="F29" s="15" t="n">
        <f aca="false">F28*Inputs!$C$23</f>
        <v>703.855397429422</v>
      </c>
      <c r="G29" s="15" t="n">
        <f aca="false">G28*Inputs!$C$23</f>
        <v>761.623508301104</v>
      </c>
      <c r="H29" s="15" t="n">
        <f aca="false">H28*Inputs!$C$23</f>
        <v>815.941786317556</v>
      </c>
      <c r="I29" s="15" t="n">
        <f aca="false">I28*Inputs!$C$23</f>
        <v>865.358729649932</v>
      </c>
      <c r="J29" s="15" t="n">
        <f aca="false">J28*Inputs!$C$23</f>
        <v>908.461844283465</v>
      </c>
      <c r="K29" s="15" t="n">
        <f aca="false">K28*Inputs!$C$23</f>
        <v>943.941609712977</v>
      </c>
      <c r="L29" s="15" t="n">
        <f aca="false">L28*Inputs!$C$23</f>
        <v>970.655157267854</v>
      </c>
    </row>
    <row r="30" customFormat="false" ht="15" hidden="false" customHeight="false" outlineLevel="0" collapsed="false">
      <c r="B30" s="5" t="s">
        <v>211</v>
      </c>
      <c r="C30" s="45" t="n">
        <f aca="false">1/(1+WACC!$C$34)^C$26</f>
        <v>0.913923622923741</v>
      </c>
      <c r="D30" s="45" t="n">
        <f aca="false">1/(1+WACC!$C$34)^D$26</f>
        <v>0.835256388538057</v>
      </c>
      <c r="E30" s="45" t="n">
        <f aca="false">1/(1+WACC!$C$34)^E$26</f>
        <v>0.763360544682901</v>
      </c>
      <c r="F30" s="45" t="n">
        <f aca="false">1/(1+WACC!$C$34)^F$26</f>
        <v>0.697653234593637</v>
      </c>
      <c r="G30" s="45" t="n">
        <f aca="false">1/(1+WACC!$C$34)^G$26</f>
        <v>0.637601771704283</v>
      </c>
      <c r="H30" s="45" t="n">
        <f aca="false">1/(1+WACC!$C$34)^H$26</f>
        <v>0.582719321178575</v>
      </c>
      <c r="I30" s="45" t="n">
        <f aca="false">1/(1+WACC!$C$34)^I$26</f>
        <v>0.532560953159186</v>
      </c>
      <c r="J30" s="45" t="n">
        <f aca="false">1/(1+WACC!$C$34)^J$26</f>
        <v>0.486720035738964</v>
      </c>
      <c r="K30" s="45" t="n">
        <f aca="false">1/(1+WACC!$C$34)^K$26</f>
        <v>0.444824938412127</v>
      </c>
      <c r="L30" s="45" t="n">
        <f aca="false">1/(1+WACC!$C$34)^L$26</f>
        <v>0.406536019280441</v>
      </c>
    </row>
    <row r="31" customFormat="false" ht="15" hidden="false" customHeight="false" outlineLevel="0" collapsed="false">
      <c r="B31" s="5" t="s">
        <v>212</v>
      </c>
      <c r="C31" s="15" t="n">
        <f aca="false">C29*C30</f>
        <v>507.718119239955</v>
      </c>
      <c r="D31" s="15" t="n">
        <f aca="false">D29*D30</f>
        <v>502.099120772414</v>
      </c>
      <c r="E31" s="15" t="n">
        <f aca="false">E29*E30</f>
        <v>496.542308668884</v>
      </c>
      <c r="F31" s="15" t="n">
        <f aca="false">F29*F30</f>
        <v>491.046994702826</v>
      </c>
      <c r="G31" s="15" t="n">
        <f aca="false">G29*G30</f>
        <v>485.612498264416</v>
      </c>
      <c r="H31" s="15" t="n">
        <f aca="false">H29*H30</f>
        <v>475.4650438442</v>
      </c>
      <c r="I31" s="15" t="n">
        <f aca="false">I29*I30</f>
        <v>460.85626988699</v>
      </c>
      <c r="J31" s="15" t="n">
        <f aca="false">J29*J30</f>
        <v>442.166581317133</v>
      </c>
      <c r="K31" s="15" t="n">
        <f aca="false">K29*K30</f>
        <v>419.888768405219</v>
      </c>
      <c r="L31" s="15" t="n">
        <f aca="false">L29*L30</f>
        <v>394.606283729704</v>
      </c>
    </row>
    <row r="33" customFormat="false" ht="15" hidden="false" customHeight="false" outlineLevel="0" collapsed="false">
      <c r="B33" s="5" t="s">
        <v>213</v>
      </c>
      <c r="C33" s="15" t="n">
        <f aca="false">SUM(C31:L31)</f>
        <v>4676.00198883174</v>
      </c>
    </row>
    <row r="34" customFormat="false" ht="15" hidden="false" customHeight="false" outlineLevel="0" collapsed="false">
      <c r="B34" s="5" t="s">
        <v>214</v>
      </c>
      <c r="C34" s="15" t="n">
        <f aca="false">L29*(1+Inputs!$C$37)/(WACC!$C$34-Inputs!$C$37)</f>
        <v>15149.880611358</v>
      </c>
    </row>
    <row r="35" customFormat="false" ht="15" hidden="false" customHeight="false" outlineLevel="0" collapsed="false">
      <c r="B35" s="5" t="s">
        <v>215</v>
      </c>
      <c r="C35" s="15" t="n">
        <f aca="false">C34*L30</f>
        <v>6158.97215631541</v>
      </c>
    </row>
    <row r="36" customFormat="false" ht="15" hidden="false" customHeight="false" outlineLevel="0" collapsed="false">
      <c r="B36" s="7" t="s">
        <v>216</v>
      </c>
      <c r="C36" s="15" t="n">
        <f aca="false">C33+C35</f>
        <v>10834.9741451472</v>
      </c>
    </row>
    <row r="37" customFormat="false" ht="15" hidden="false" customHeight="false" outlineLevel="0" collapsed="false">
      <c r="B37" s="5" t="s">
        <v>217</v>
      </c>
      <c r="C37" s="16" t="n">
        <f aca="false">-Inputs!$C$27</f>
        <v>-1900</v>
      </c>
    </row>
    <row r="38" customFormat="false" ht="15" hidden="false" customHeight="false" outlineLevel="0" collapsed="false">
      <c r="B38" s="5" t="s">
        <v>218</v>
      </c>
      <c r="C38" s="16" t="n">
        <f aca="false">Inputs!$C$28</f>
        <v>523.8</v>
      </c>
    </row>
    <row r="39" customFormat="false" ht="15" hidden="false" customHeight="false" outlineLevel="0" collapsed="false">
      <c r="B39" s="5" t="s">
        <v>219</v>
      </c>
      <c r="C39" s="15" t="n">
        <f aca="false">SUM(C36:C38)</f>
        <v>9458.77414514715</v>
      </c>
    </row>
    <row r="40" customFormat="false" ht="15" hidden="false" customHeight="false" outlineLevel="0" collapsed="false">
      <c r="B40" s="5" t="s">
        <v>220</v>
      </c>
      <c r="C40" s="36" t="n">
        <f aca="false">Inputs!$C$7</f>
        <v>37.51</v>
      </c>
    </row>
    <row r="41" customFormat="false" ht="15" hidden="false" customHeight="false" outlineLevel="0" collapsed="false">
      <c r="B41" s="7" t="s">
        <v>221</v>
      </c>
      <c r="C41" s="46" t="n">
        <f aca="false">C39/C40</f>
        <v>252.16673274186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204.478805651826</v>
      </c>
    </row>
    <row r="43" customFormat="false" ht="15" hidden="false" customHeight="false" outlineLevel="0" collapsed="false">
      <c r="B43" s="5" t="s">
        <v>222</v>
      </c>
      <c r="C43" s="23" t="n">
        <f aca="false">C41/C42-1</f>
        <v>0.233216968076552</v>
      </c>
    </row>
    <row r="44" customFormat="false" ht="15" hidden="false" customHeight="false" outlineLevel="0" collapsed="false">
      <c r="B44" s="5" t="s">
        <v>223</v>
      </c>
      <c r="C44" s="23" t="n">
        <f aca="false">C35/C36</f>
        <v>0.568434411915412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225</v>
      </c>
    </row>
    <row r="3" customFormat="false" ht="15" hidden="false" customHeight="false" outlineLevel="0" collapsed="false">
      <c r="B3" s="2" t="s">
        <v>226</v>
      </c>
    </row>
    <row r="5" customFormat="false" ht="15" hidden="false" customHeight="false" outlineLevel="0" collapsed="false">
      <c r="B5" s="5" t="s">
        <v>227</v>
      </c>
      <c r="C5" s="24" t="n">
        <v>0.005</v>
      </c>
      <c r="D5" s="5" t="s">
        <v>228</v>
      </c>
      <c r="F5" s="24" t="n">
        <v>0.005</v>
      </c>
    </row>
    <row r="6" customFormat="false" ht="15" hidden="false" customHeight="false" outlineLevel="0" collapsed="false">
      <c r="B6" s="5" t="s">
        <v>229</v>
      </c>
      <c r="C6" s="24" t="n">
        <v>0.02</v>
      </c>
    </row>
    <row r="8" customFormat="false" ht="15" hidden="false" customHeight="false" outlineLevel="0" collapsed="false">
      <c r="B8" s="3" t="s">
        <v>230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WACC!$C$34+(0-2)*$C$5</f>
        <v>0.084183337553844</v>
      </c>
      <c r="C10" s="9" t="n">
        <f aca="false">Solver!$D$74</f>
        <v>0.0413624942302704</v>
      </c>
      <c r="D10" s="9" t="n">
        <f aca="false">Solver!$D$101</f>
        <v>0.0315195024013519</v>
      </c>
      <c r="E10" s="9" t="n">
        <f aca="false">Solver!$D$128</f>
        <v>0.0208400189876556</v>
      </c>
      <c r="F10" s="9" t="n">
        <f aca="false">Solver!$D$155</f>
        <v>0.00917366147041321</v>
      </c>
      <c r="G10" s="9" t="n">
        <f aca="false">Solver!$D$182</f>
        <v>-0.00367483496665955</v>
      </c>
      <c r="I10" s="19" t="s">
        <v>231</v>
      </c>
    </row>
    <row r="11" customFormat="false" ht="15" hidden="false" customHeight="false" outlineLevel="0" collapsed="false">
      <c r="B11" s="47" t="n">
        <f aca="false">WACC!$C$34+(1-2)*$C$5</f>
        <v>0.089183337553844</v>
      </c>
      <c r="C11" s="9" t="n">
        <f aca="false">Solver!$D$209</f>
        <v>0.054755300283432</v>
      </c>
      <c r="D11" s="9" t="n">
        <f aca="false">Solver!$D$236</f>
        <v>0.0455885827541351</v>
      </c>
      <c r="E11" s="9" t="n">
        <f aca="false">Solver!$D$263</f>
        <v>0.0357003509998322</v>
      </c>
      <c r="F11" s="9" t="n">
        <f aca="false">Solver!$D$290</f>
        <v>0.0249720513820648</v>
      </c>
      <c r="G11" s="9" t="n">
        <f aca="false">Solver!$D$317</f>
        <v>0.0132527649402618</v>
      </c>
    </row>
    <row r="12" customFormat="false" ht="15" hidden="false" customHeight="false" outlineLevel="0" collapsed="false">
      <c r="B12" s="47" t="n">
        <f aca="false">WACC!$C$34+(2-2)*$C$5</f>
        <v>0.094183337553844</v>
      </c>
      <c r="C12" s="9" t="n">
        <f aca="false">Solver!$D$344</f>
        <v>0.0676005780696869</v>
      </c>
      <c r="D12" s="9" t="n">
        <f aca="false">Solver!$D$371</f>
        <v>0.0590207278728485</v>
      </c>
      <c r="E12" s="8" t="n">
        <f aca="false">Solver!$D$398</f>
        <v>0.0498118102550507</v>
      </c>
      <c r="F12" s="9" t="n">
        <f aca="false">Solver!$D$425</f>
        <v>0.0398785173892975</v>
      </c>
      <c r="G12" s="9" t="n">
        <f aca="false">Solver!$D$452</f>
        <v>0.0291015803813934</v>
      </c>
    </row>
    <row r="13" customFormat="false" ht="15" hidden="false" customHeight="false" outlineLevel="0" collapsed="false">
      <c r="B13" s="47" t="n">
        <f aca="false">WACC!$C$34+(3-2)*$C$5</f>
        <v>0.099183337553844</v>
      </c>
      <c r="C13" s="9" t="n">
        <f aca="false">Solver!$D$479</f>
        <v>0.0799684226512909</v>
      </c>
      <c r="D13" s="9" t="n">
        <f aca="false">Solver!$D$506</f>
        <v>0.0719026625156403</v>
      </c>
      <c r="E13" s="9" t="n">
        <f aca="false">Solver!$D$533</f>
        <v>0.0632834732532501</v>
      </c>
      <c r="F13" s="9" t="n">
        <f aca="false">Solver!$D$560</f>
        <v>0.0540325343608856</v>
      </c>
      <c r="G13" s="9" t="n">
        <f aca="false">Solver!$D$587</f>
        <v>0.0440541803836823</v>
      </c>
    </row>
    <row r="14" customFormat="false" ht="15" hidden="false" customHeight="false" outlineLevel="0" collapsed="false">
      <c r="B14" s="47" t="n">
        <f aca="false">WACC!$C$34+(4-2)*$C$5</f>
        <v>0.104183337553844</v>
      </c>
      <c r="C14" s="9" t="n">
        <f aca="false">Solver!$D$614</f>
        <v>0.0919165909290314</v>
      </c>
      <c r="D14" s="9" t="n">
        <f aca="false">Solver!$D$641</f>
        <v>0.0843050181865692</v>
      </c>
      <c r="E14" s="9" t="n">
        <f aca="false">Solver!$D$668</f>
        <v>0.0762020647525787</v>
      </c>
      <c r="F14" s="9" t="n">
        <f aca="false">Solver!$D$695</f>
        <v>0.0675435364246368</v>
      </c>
      <c r="G14" s="9" t="n">
        <f aca="false">Solver!$D$722</f>
        <v>0.0582505762577057</v>
      </c>
    </row>
    <row r="17" customFormat="false" ht="15" hidden="false" customHeight="false" outlineLevel="0" collapsed="false">
      <c r="B17" s="3" t="s">
        <v>232</v>
      </c>
    </row>
    <row r="18" customFormat="false" ht="15" hidden="false" customHeight="false" outlineLevel="0" collapsed="false">
      <c r="C18" s="48" t="n">
        <f aca="false">Inputs!$C$45+(0-2)*$C$6</f>
        <v>0.0420738337486065</v>
      </c>
      <c r="D18" s="48" t="n">
        <f aca="false">Inputs!$C$45+(1-2)*$C$6</f>
        <v>0.0620738337486065</v>
      </c>
      <c r="E18" s="48" t="n">
        <f aca="false">Inputs!$C$45+(2-2)*$C$6</f>
        <v>0.0820738337486065</v>
      </c>
      <c r="F18" s="48" t="n">
        <f aca="false">Inputs!$C$45+(3-2)*$C$6</f>
        <v>0.102073833748607</v>
      </c>
      <c r="G18" s="48" t="n">
        <f aca="false">Inputs!$C$45+(4-2)*$C$6</f>
        <v>0.122073833748607</v>
      </c>
    </row>
    <row r="19" customFormat="false" ht="15" hidden="false" customHeight="false" outlineLevel="0" collapsed="false">
      <c r="B19" s="47" t="n">
        <f aca="false">WACC!$C$34+(0-2)*$C$5</f>
        <v>0.084183337553844</v>
      </c>
      <c r="C19" s="42" t="n">
        <f aca="false">(SUMPRODUCT($C28:$L28,1/(1+$B19)^$C$27:$L$27)*Inputs!$C$23+$L28*Inputs!$C$23*(1+Inputs!$C$37)/($B19-Inputs!$C$37)/(1+$B19)^$L$27-Inputs!$C$27+Inputs!$C$28)/Inputs!$C$7</f>
        <v>236.074560492446</v>
      </c>
      <c r="D19" s="42" t="n">
        <f aca="false">(SUMPRODUCT($C29:$L29,1/(1+$B19)^$C$27:$L$27)*Inputs!$C$23+$L29*Inputs!$C$23*(1+Inputs!$C$37)/($B19-Inputs!$C$37)/(1+$B19)^$L$27-Inputs!$C$27+Inputs!$C$28)/Inputs!$C$7</f>
        <v>269.358363813725</v>
      </c>
      <c r="E19" s="42" t="n">
        <f aca="false">(SUMPRODUCT($C30:$L30,1/(1+$B19)^$C$27:$L$27)*Inputs!$C$23+$L30*Inputs!$C$23*(1+Inputs!$C$37)/($B19-Inputs!$C$37)/(1+$B19)^$L$27-Inputs!$C$27+Inputs!$C$28)/Inputs!$C$7</f>
        <v>306.410988668237</v>
      </c>
      <c r="F19" s="42" t="n">
        <f aca="false">(SUMPRODUCT($C31:$L31,1/(1+$B19)^$C$27:$L$27)*Inputs!$C$23+$L31*Inputs!$C$23*(1+Inputs!$C$37)/($B19-Inputs!$C$37)/(1+$B19)^$L$27-Inputs!$C$27+Inputs!$C$28)/Inputs!$C$7</f>
        <v>347.604873378535</v>
      </c>
      <c r="G19" s="42" t="n">
        <f aca="false">(SUMPRODUCT($C32:$L32,1/(1+$B19)^$C$27:$L$27)*Inputs!$C$23+$L32*Inputs!$C$23*(1+Inputs!$C$37)/($B19-Inputs!$C$37)/(1+$B19)^$L$27-Inputs!$C$27+Inputs!$C$28)/Inputs!$C$7</f>
        <v>393.34321663723</v>
      </c>
      <c r="I19" s="19" t="s">
        <v>233</v>
      </c>
    </row>
    <row r="20" customFormat="false" ht="15" hidden="false" customHeight="false" outlineLevel="0" collapsed="false">
      <c r="B20" s="47" t="n">
        <f aca="false">WACC!$C$34+(1-2)*$C$5</f>
        <v>0.089183337553844</v>
      </c>
      <c r="C20" s="42" t="n">
        <f aca="false">(SUMPRODUCT($C28:$L28,1/(1+$B20)^$C$27:$L$27)*Inputs!$C$23+$L28*Inputs!$C$23*(1+Inputs!$C$37)/($B20-Inputs!$C$37)/(1+$B20)^$L$27-Inputs!$C$27+Inputs!$C$28)/Inputs!$C$7</f>
        <v>213.41675322275</v>
      </c>
      <c r="D20" s="42" t="n">
        <f aca="false">(SUMPRODUCT($C29:$L29,1/(1+$B20)^$C$27:$L$27)*Inputs!$C$23+$L29*Inputs!$C$23*(1+Inputs!$C$37)/($B20-Inputs!$C$37)/(1+$B20)^$L$27-Inputs!$C$27+Inputs!$C$28)/Inputs!$C$7</f>
        <v>243.538140023249</v>
      </c>
      <c r="E20" s="42" t="n">
        <f aca="false">(SUMPRODUCT($C30:$L30,1/(1+$B20)^$C$27:$L$27)*Inputs!$C$23+$L30*Inputs!$C$23*(1+Inputs!$C$37)/($B20-Inputs!$C$37)/(1+$B20)^$L$27-Inputs!$C$27+Inputs!$C$28)/Inputs!$C$7</f>
        <v>277.046188591963</v>
      </c>
      <c r="F20" s="42" t="n">
        <f aca="false">(SUMPRODUCT($C31:$L31,1/(1+$B20)^$C$27:$L$27)*Inputs!$C$23+$L31*Inputs!$C$23*(1+Inputs!$C$37)/($B20-Inputs!$C$37)/(1+$B20)^$L$27-Inputs!$C$27+Inputs!$C$28)/Inputs!$C$7</f>
        <v>314.274213732739</v>
      </c>
      <c r="G20" s="42" t="n">
        <f aca="false">(SUMPRODUCT($C32:$L32,1/(1+$B20)^$C$27:$L$27)*Inputs!$C$23+$L32*Inputs!$C$23*(1+Inputs!$C$37)/($B20-Inputs!$C$37)/(1+$B20)^$L$27-Inputs!$C$27+Inputs!$C$28)/Inputs!$C$7</f>
        <v>355.58298154877</v>
      </c>
    </row>
    <row r="21" customFormat="false" ht="15" hidden="false" customHeight="false" outlineLevel="0" collapsed="false">
      <c r="B21" s="47" t="n">
        <f aca="false">WACC!$C$34+(2-2)*$C$5</f>
        <v>0.094183337553844</v>
      </c>
      <c r="C21" s="42" t="n">
        <f aca="false">(SUMPRODUCT($C28:$L28,1/(1+$B21)^$C$27:$L$27)*Inputs!$C$23+$L28*Inputs!$C$23*(1+Inputs!$C$37)/($B21-Inputs!$C$37)/(1+$B21)^$L$27-Inputs!$C$27+Inputs!$C$28)/Inputs!$C$7</f>
        <v>194.204023438184</v>
      </c>
      <c r="D21" s="42" t="n">
        <f aca="false">(SUMPRODUCT($C29:$L29,1/(1+$B21)^$C$27:$L$27)*Inputs!$C$23+$L29*Inputs!$C$23*(1+Inputs!$C$37)/($B21-Inputs!$C$37)/(1+$B21)^$L$27-Inputs!$C$27+Inputs!$C$28)/Inputs!$C$7</f>
        <v>221.653160745471</v>
      </c>
      <c r="E21" s="46" t="n">
        <f aca="false">(SUMPRODUCT($C30:$L30,1/(1+$B21)^$C$27:$L$27)*Inputs!$C$23+$L30*Inputs!$C$23*(1+Inputs!$C$37)/($B21-Inputs!$C$37)/(1+$B21)^$L$27-Inputs!$C$27+Inputs!$C$28)/Inputs!$C$7</f>
        <v>252.16673274186</v>
      </c>
      <c r="F21" s="42" t="n">
        <f aca="false">(SUMPRODUCT($C31:$L31,1/(1+$B21)^$C$27:$L$27)*Inputs!$C$23+$L31*Inputs!$C$23*(1+Inputs!$C$37)/($B21-Inputs!$C$37)/(1+$B21)^$L$27-Inputs!$C$27+Inputs!$C$28)/Inputs!$C$7</f>
        <v>286.04511582305</v>
      </c>
      <c r="G21" s="42" t="n">
        <f aca="false">(SUMPRODUCT($C32:$L32,1/(1+$B21)^$C$27:$L$27)*Inputs!$C$23+$L32*Inputs!$C$23*(1+Inputs!$C$37)/($B21-Inputs!$C$37)/(1+$B21)^$L$27-Inputs!$C$27+Inputs!$C$28)/Inputs!$C$7</f>
        <v>323.613354988264</v>
      </c>
    </row>
    <row r="22" customFormat="false" ht="15" hidden="false" customHeight="false" outlineLevel="0" collapsed="false">
      <c r="B22" s="47" t="n">
        <f aca="false">WACC!$C$34+(3-2)*$C$5</f>
        <v>0.099183337553844</v>
      </c>
      <c r="C22" s="42" t="n">
        <f aca="false">(SUMPRODUCT($C28:$L28,1/(1+$B22)^$C$27:$L$27)*Inputs!$C$23+$L28*Inputs!$C$23*(1+Inputs!$C$37)/($B22-Inputs!$C$37)/(1+$B22)^$L$27-Inputs!$C$27+Inputs!$C$28)/Inputs!$C$7</f>
        <v>177.707159327859</v>
      </c>
      <c r="D22" s="42" t="n">
        <f aca="false">(SUMPRODUCT($C29:$L29,1/(1+$B22)^$C$27:$L$27)*Inputs!$C$23+$L29*Inputs!$C$23*(1+Inputs!$C$37)/($B22-Inputs!$C$37)/(1+$B22)^$L$27-Inputs!$C$27+Inputs!$C$28)/Inputs!$C$7</f>
        <v>202.870177927409</v>
      </c>
      <c r="E22" s="42" t="n">
        <f aca="false">(SUMPRODUCT($C30:$L30,1/(1+$B22)^$C$27:$L$27)*Inputs!$C$23+$L30*Inputs!$C$23*(1+Inputs!$C$37)/($B22-Inputs!$C$37)/(1+$B22)^$L$27-Inputs!$C$27+Inputs!$C$28)/Inputs!$C$7</f>
        <v>230.822591448514</v>
      </c>
      <c r="F22" s="42" t="n">
        <f aca="false">(SUMPRODUCT($C31:$L31,1/(1+$B22)^$C$27:$L$27)*Inputs!$C$23+$L31*Inputs!$C$23*(1+Inputs!$C$37)/($B22-Inputs!$C$37)/(1+$B22)^$L$27-Inputs!$C$27+Inputs!$C$28)/Inputs!$C$7</f>
        <v>261.836705652608</v>
      </c>
      <c r="G22" s="42" t="n">
        <f aca="false">(SUMPRODUCT($C32:$L32,1/(1+$B22)^$C$27:$L$27)*Inputs!$C$23+$L32*Inputs!$C$23*(1+Inputs!$C$37)/($B22-Inputs!$C$37)/(1+$B22)^$L$27-Inputs!$C$27+Inputs!$C$28)/Inputs!$C$7</f>
        <v>296.20712633065</v>
      </c>
    </row>
    <row r="23" customFormat="false" ht="15" hidden="false" customHeight="false" outlineLevel="0" collapsed="false">
      <c r="B23" s="47" t="n">
        <f aca="false">WACC!$C$34+(4-2)*$C$5</f>
        <v>0.104183337553844</v>
      </c>
      <c r="C23" s="42" t="n">
        <f aca="false">(SUMPRODUCT($C28:$L28,1/(1+$B23)^$C$27:$L$27)*Inputs!$C$23+$L28*Inputs!$C$23*(1+Inputs!$C$37)/($B23-Inputs!$C$37)/(1+$B23)^$L$27-Inputs!$C$27+Inputs!$C$28)/Inputs!$C$7</f>
        <v>163.389148464917</v>
      </c>
      <c r="D23" s="42" t="n">
        <f aca="false">(SUMPRODUCT($C29:$L29,1/(1+$B23)^$C$27:$L$27)*Inputs!$C$23+$L29*Inputs!$C$23*(1+Inputs!$C$37)/($B23-Inputs!$C$37)/(1+$B23)^$L$27-Inputs!$C$27+Inputs!$C$28)/Inputs!$C$7</f>
        <v>186.57557419259</v>
      </c>
      <c r="E23" s="42" t="n">
        <f aca="false">(SUMPRODUCT($C30:$L30,1/(1+$B23)^$C$27:$L$27)*Inputs!$C$23+$L30*Inputs!$C$23*(1+Inputs!$C$37)/($B23-Inputs!$C$37)/(1+$B23)^$L$27-Inputs!$C$27+Inputs!$C$28)/Inputs!$C$7</f>
        <v>212.314158595181</v>
      </c>
      <c r="F23" s="42" t="n">
        <f aca="false">(SUMPRODUCT($C31:$L31,1/(1+$B23)^$C$27:$L$27)*Inputs!$C$23+$L31*Inputs!$C$23*(1+Inputs!$C$37)/($B23-Inputs!$C$37)/(1+$B23)^$L$27-Inputs!$C$27+Inputs!$C$28)/Inputs!$C$7</f>
        <v>240.853034771525</v>
      </c>
      <c r="G23" s="42" t="n">
        <f aca="false">(SUMPRODUCT($C32:$L32,1/(1+$B23)^$C$27:$L$27)*Inputs!$C$23+$L32*Inputs!$C$23*(1+Inputs!$C$37)/($B23-Inputs!$C$37)/(1+$B23)^$L$27-Inputs!$C$27+Inputs!$C$28)/Inputs!$C$7</f>
        <v>272.460598765546</v>
      </c>
    </row>
    <row r="26" customFormat="false" ht="15" hidden="false" customHeight="false" outlineLevel="0" collapsed="false">
      <c r="B26" s="19" t="s">
        <v>234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0.0420738337486065</v>
      </c>
      <c r="C28" s="15" t="n">
        <f aca="false">Inputs!$C$12*(1+IF(C$27&lt;=Inputs!$C$46,$B28,$B28-($B28-Inputs!$C$37)*MIN(C$27-Inputs!$C$46,Inputs!$C$47)/Inputs!$C$47))</f>
        <v>2678.12975273392</v>
      </c>
      <c r="D28" s="15" t="n">
        <f aca="false">C28*(1+IF(D$27&lt;=Inputs!$C$46,$B28,$B28-($B28-Inputs!$C$37)*MIN(D$27-Inputs!$C$46,Inputs!$C$47)/Inputs!$C$47))</f>
        <v>2790.80893870764</v>
      </c>
      <c r="E28" s="15" t="n">
        <f aca="false">D28*(1+IF(E$27&lt;=Inputs!$C$46,$B28,$B28-($B28-Inputs!$C$37)*MIN(E$27-Inputs!$C$46,Inputs!$C$47)/Inputs!$C$47))</f>
        <v>2908.22897001895</v>
      </c>
      <c r="F28" s="15" t="n">
        <f aca="false">E28*(1+IF(F$27&lt;=Inputs!$C$46,$B28,$B28-($B28-Inputs!$C$37)*MIN(F$27-Inputs!$C$46,Inputs!$C$47)/Inputs!$C$47))</f>
        <v>3030.58931220641</v>
      </c>
      <c r="G28" s="15" t="n">
        <f aca="false">F28*(1+IF(G$27&lt;=Inputs!$C$46,$B28,$B28-($B28-Inputs!$C$37)*MIN(G$27-Inputs!$C$46,Inputs!$C$47)/Inputs!$C$47))</f>
        <v>3158.09782308849</v>
      </c>
      <c r="H28" s="15" t="n">
        <f aca="false">G28*(1+IF(H$27&lt;=Inputs!$C$46,$B28,$B28-($B28-Inputs!$C$37)*MIN(H$27-Inputs!$C$46,Inputs!$C$47)/Inputs!$C$47))</f>
        <v>3282.27128298354</v>
      </c>
      <c r="I28" s="15" t="n">
        <f aca="false">H28*(1+IF(I$27&lt;=Inputs!$C$46,$B28,$B28-($B28-Inputs!$C$37)*MIN(I$27-Inputs!$C$46,Inputs!$C$47)/Inputs!$C$47))</f>
        <v>3402.28523567375</v>
      </c>
      <c r="J28" s="15" t="n">
        <f aca="false">I28*(1+IF(J$27&lt;=Inputs!$C$46,$B28,$B28-($B28-Inputs!$C$37)*MIN(J$27-Inputs!$C$46,Inputs!$C$47)/Inputs!$C$47))</f>
        <v>3517.31491232392</v>
      </c>
      <c r="K28" s="15" t="n">
        <f aca="false">J28*(1+IF(K$27&lt;=Inputs!$C$46,$B28,$B28-($B28-Inputs!$C$37)*MIN(K$27-Inputs!$C$46,Inputs!$C$47)/Inputs!$C$47))</f>
        <v>3626.54430651146</v>
      </c>
      <c r="L28" s="15" t="n">
        <f aca="false">K28*(1+IF(L$27&lt;=Inputs!$C$46,$B28,$B28-($B28-Inputs!$C$37)*MIN(L$27-Inputs!$C$46,Inputs!$C$47)/Inputs!$C$47))</f>
        <v>3729.17551038574</v>
      </c>
    </row>
    <row r="29" customFormat="false" ht="15" hidden="false" customHeight="false" outlineLevel="0" collapsed="false">
      <c r="B29" s="23" t="n">
        <f aca="false">D$18</f>
        <v>0.0620738337486065</v>
      </c>
      <c r="C29" s="15" t="n">
        <f aca="false">Inputs!$C$12*(1+IF(C$27&lt;=Inputs!$C$46,$B29,$B29-($B29-Inputs!$C$37)*MIN(C$27-Inputs!$C$46,Inputs!$C$47)/Inputs!$C$47))</f>
        <v>2729.52975273392</v>
      </c>
      <c r="D29" s="15" t="n">
        <f aca="false">C29*(1+IF(D$27&lt;=Inputs!$C$46,$B29,$B29-($B29-Inputs!$C$37)*MIN(D$27-Inputs!$C$46,Inputs!$C$47)/Inputs!$C$47))</f>
        <v>2898.962128817</v>
      </c>
      <c r="E29" s="15" t="n">
        <f aca="false">D29*(1+IF(E$27&lt;=Inputs!$C$46,$B29,$B29-($B29-Inputs!$C$37)*MIN(E$27-Inputs!$C$46,Inputs!$C$47)/Inputs!$C$47))</f>
        <v>3078.91182204469</v>
      </c>
      <c r="F29" s="15" t="n">
        <f aca="false">E29*(1+IF(F$27&lt;=Inputs!$C$46,$B29,$B29-($B29-Inputs!$C$37)*MIN(F$27-Inputs!$C$46,Inputs!$C$47)/Inputs!$C$47))</f>
        <v>3270.03168261291</v>
      </c>
      <c r="G29" s="15" t="n">
        <f aca="false">F29*(1+IF(G$27&lt;=Inputs!$C$46,$B29,$B29-($B29-Inputs!$C$37)*MIN(G$27-Inputs!$C$46,Inputs!$C$47)/Inputs!$C$47))</f>
        <v>3473.0150856321</v>
      </c>
      <c r="H29" s="15" t="n">
        <f aca="false">G29*(1+IF(H$27&lt;=Inputs!$C$46,$B29,$B29-($B29-Inputs!$C$37)*MIN(H$27-Inputs!$C$46,Inputs!$C$47)/Inputs!$C$47))</f>
        <v>3665.13903984232</v>
      </c>
      <c r="I29" s="15" t="n">
        <f aca="false">H29*(1+IF(I$27&lt;=Inputs!$C$46,$B29,$B29-($B29-Inputs!$C$37)*MIN(I$27-Inputs!$C$46,Inputs!$C$47)/Inputs!$C$47))</f>
        <v>3843.13395262816</v>
      </c>
      <c r="J29" s="15" t="n">
        <f aca="false">I29*(1+IF(J$27&lt;=Inputs!$C$46,$B29,$B29-($B29-Inputs!$C$37)*MIN(J$27-Inputs!$C$46,Inputs!$C$47)/Inputs!$C$47))</f>
        <v>4003.81359036341</v>
      </c>
      <c r="K29" s="15" t="n">
        <f aca="false">J29*(1+IF(K$27&lt;=Inputs!$C$46,$B29,$B29-($B29-Inputs!$C$37)*MIN(K$27-Inputs!$C$46,Inputs!$C$47)/Inputs!$C$47))</f>
        <v>4144.16634188296</v>
      </c>
      <c r="L29" s="15" t="n">
        <f aca="false">K29*(1+IF(L$27&lt;=Inputs!$C$46,$B29,$B29-($B29-Inputs!$C$37)*MIN(L$27-Inputs!$C$46,Inputs!$C$47)/Inputs!$C$47))</f>
        <v>4261.44624935825</v>
      </c>
    </row>
    <row r="30" customFormat="false" ht="15" hidden="false" customHeight="false" outlineLevel="0" collapsed="false">
      <c r="B30" s="23" t="n">
        <f aca="false">E$18</f>
        <v>0.0820738337486065</v>
      </c>
      <c r="C30" s="15" t="n">
        <f aca="false">Inputs!$C$12*(1+IF(C$27&lt;=Inputs!$C$46,$B30,$B30-($B30-Inputs!$C$37)*MIN(C$27-Inputs!$C$46,Inputs!$C$47)/Inputs!$C$47))</f>
        <v>2780.92975273392</v>
      </c>
      <c r="D30" s="15" t="n">
        <f aca="false">C30*(1+IF(D$27&lt;=Inputs!$C$46,$B30,$B30-($B30-Inputs!$C$37)*MIN(D$27-Inputs!$C$46,Inputs!$C$47)/Inputs!$C$47))</f>
        <v>3009.17131892636</v>
      </c>
      <c r="E30" s="15" t="n">
        <f aca="false">D30*(1+IF(E$27&lt;=Inputs!$C$46,$B30,$B30-($B30-Inputs!$C$37)*MIN(E$27-Inputs!$C$46,Inputs!$C$47)/Inputs!$C$47))</f>
        <v>3256.14554547699</v>
      </c>
      <c r="F30" s="15" t="n">
        <f aca="false">E30*(1+IF(F$27&lt;=Inputs!$C$46,$B30,$B30-($B30-Inputs!$C$37)*MIN(F$27-Inputs!$C$46,Inputs!$C$47)/Inputs!$C$47))</f>
        <v>3523.38989363774</v>
      </c>
      <c r="G30" s="15" t="n">
        <f aca="false">F30*(1+IF(G$27&lt;=Inputs!$C$46,$B30,$B30-($B30-Inputs!$C$37)*MIN(G$27-Inputs!$C$46,Inputs!$C$47)/Inputs!$C$47))</f>
        <v>3812.56800999968</v>
      </c>
      <c r="H30" s="15" t="n">
        <f aca="false">G30*(1+IF(H$27&lt;=Inputs!$C$46,$B30,$B30-($B30-Inputs!$C$37)*MIN(H$27-Inputs!$C$46,Inputs!$C$47)/Inputs!$C$47))</f>
        <v>4084.47680334265</v>
      </c>
      <c r="I30" s="15" t="n">
        <f aca="false">H30*(1+IF(I$27&lt;=Inputs!$C$46,$B30,$B30-($B30-Inputs!$C$37)*MIN(I$27-Inputs!$C$46,Inputs!$C$47)/Inputs!$C$47))</f>
        <v>4331.85028282104</v>
      </c>
      <c r="J30" s="15" t="n">
        <f aca="false">I30*(1+IF(J$27&lt;=Inputs!$C$46,$B30,$B30-($B30-Inputs!$C$37)*MIN(J$27-Inputs!$C$46,Inputs!$C$47)/Inputs!$C$47))</f>
        <v>4547.61772459779</v>
      </c>
      <c r="K30" s="15" t="n">
        <f aca="false">J30*(1+IF(K$27&lt;=Inputs!$C$46,$B30,$B30-($B30-Inputs!$C$37)*MIN(K$27-Inputs!$C$46,Inputs!$C$47)/Inputs!$C$47))</f>
        <v>4725.22387409885</v>
      </c>
      <c r="L30" s="15" t="n">
        <f aca="false">K30*(1+IF(L$27&lt;=Inputs!$C$46,$B30,$B30-($B30-Inputs!$C$37)*MIN(L$27-Inputs!$C$46,Inputs!$C$47)/Inputs!$C$47))</f>
        <v>4858.94770973585</v>
      </c>
    </row>
    <row r="31" customFormat="false" ht="15" hidden="false" customHeight="false" outlineLevel="0" collapsed="false">
      <c r="B31" s="23" t="n">
        <f aca="false">F$18</f>
        <v>0.102073833748607</v>
      </c>
      <c r="C31" s="15" t="n">
        <f aca="false">Inputs!$C$12*(1+IF(C$27&lt;=Inputs!$C$46,$B31,$B31-($B31-Inputs!$C$37)*MIN(C$27-Inputs!$C$46,Inputs!$C$47)/Inputs!$C$47))</f>
        <v>2832.32975273392</v>
      </c>
      <c r="D31" s="15" t="n">
        <f aca="false">C31*(1+IF(D$27&lt;=Inputs!$C$46,$B31,$B31-($B31-Inputs!$C$37)*MIN(D$27-Inputs!$C$46,Inputs!$C$47)/Inputs!$C$47))</f>
        <v>3121.43650903571</v>
      </c>
      <c r="E31" s="15" t="n">
        <f aca="false">D31*(1+IF(E$27&lt;=Inputs!$C$46,$B31,$B31-($B31-Inputs!$C$37)*MIN(E$27-Inputs!$C$46,Inputs!$C$47)/Inputs!$C$47))</f>
        <v>3440.05350031585</v>
      </c>
      <c r="F31" s="15" t="n">
        <f aca="false">E31*(1+IF(F$27&lt;=Inputs!$C$46,$B31,$B31-($B31-Inputs!$C$37)*MIN(F$27-Inputs!$C$46,Inputs!$C$47)/Inputs!$C$47))</f>
        <v>3791.19294939341</v>
      </c>
      <c r="G31" s="15" t="n">
        <f aca="false">F31*(1+IF(G$27&lt;=Inputs!$C$46,$B31,$B31-($B31-Inputs!$C$37)*MIN(G$27-Inputs!$C$46,Inputs!$C$47)/Inputs!$C$47))</f>
        <v>4178.17454821868</v>
      </c>
      <c r="H31" s="15" t="n">
        <f aca="false">G31*(1+IF(H$27&lt;=Inputs!$C$46,$B31,$B31-($B31-Inputs!$C$37)*MIN(H$27-Inputs!$C$46,Inputs!$C$47)/Inputs!$C$47))</f>
        <v>4543.00885152762</v>
      </c>
      <c r="I31" s="15" t="n">
        <f aca="false">H31*(1+IF(I$27&lt;=Inputs!$C$46,$B31,$B31-($B31-Inputs!$C$37)*MIN(I$27-Inputs!$C$46,Inputs!$C$47)/Inputs!$C$47))</f>
        <v>4872.66910986448</v>
      </c>
      <c r="J31" s="15" t="n">
        <f aca="false">I31*(1+IF(J$27&lt;=Inputs!$C$46,$B31,$B31-($B31-Inputs!$C$37)*MIN(J$27-Inputs!$C$46,Inputs!$C$47)/Inputs!$C$47))</f>
        <v>5154.35583800289</v>
      </c>
      <c r="K31" s="15" t="n">
        <f aca="false">J31*(1+IF(K$27&lt;=Inputs!$C$46,$B31,$B31-($B31-Inputs!$C$37)*MIN(K$27-Inputs!$C$46,Inputs!$C$47)/Inputs!$C$47))</f>
        <v>5376.27542635317</v>
      </c>
      <c r="L31" s="15" t="n">
        <f aca="false">K31*(1+IF(L$27&lt;=Inputs!$C$46,$B31,$B31-($B31-Inputs!$C$37)*MIN(L$27-Inputs!$C$46,Inputs!$C$47)/Inputs!$C$47))</f>
        <v>5528.42402091897</v>
      </c>
    </row>
    <row r="32" customFormat="false" ht="15" hidden="false" customHeight="false" outlineLevel="0" collapsed="false">
      <c r="B32" s="23" t="n">
        <f aca="false">G$18</f>
        <v>0.122073833748607</v>
      </c>
      <c r="C32" s="15" t="n">
        <f aca="false">Inputs!$C$12*(1+IF(C$27&lt;=Inputs!$C$46,$B32,$B32-($B32-Inputs!$C$37)*MIN(C$27-Inputs!$C$46,Inputs!$C$47)/Inputs!$C$47))</f>
        <v>2883.72975273392</v>
      </c>
      <c r="D32" s="15" t="n">
        <f aca="false">C32*(1+IF(D$27&lt;=Inputs!$C$46,$B32,$B32-($B32-Inputs!$C$37)*MIN(D$27-Inputs!$C$46,Inputs!$C$47)/Inputs!$C$47))</f>
        <v>3235.75769914507</v>
      </c>
      <c r="E32" s="15" t="n">
        <f aca="false">D32*(1+IF(E$27&lt;=Inputs!$C$46,$B32,$B32-($B32-Inputs!$C$37)*MIN(E$27-Inputs!$C$46,Inputs!$C$47)/Inputs!$C$47))</f>
        <v>3630.75904656128</v>
      </c>
      <c r="F32" s="15" t="n">
        <f aca="false">E32*(1+IF(F$27&lt;=Inputs!$C$46,$B32,$B32-($B32-Inputs!$C$37)*MIN(F$27-Inputs!$C$46,Inputs!$C$47)/Inputs!$C$47))</f>
        <v>4073.97972279245</v>
      </c>
      <c r="G32" s="15" t="n">
        <f aca="false">F32*(1+IF(G$27&lt;=Inputs!$C$46,$B32,$B32-($B32-Inputs!$C$37)*MIN(G$27-Inputs!$C$46,Inputs!$C$47)/Inputs!$C$47))</f>
        <v>4571.30604616781</v>
      </c>
      <c r="H32" s="15" t="n">
        <f aca="false">G32*(1+IF(H$27&lt;=Inputs!$C$46,$B32,$B32-($B32-Inputs!$C$37)*MIN(H$27-Inputs!$C$46,Inputs!$C$47)/Inputs!$C$47))</f>
        <v>5043.60912182423</v>
      </c>
      <c r="I32" s="15" t="n">
        <f aca="false">H32*(1+IF(I$27&lt;=Inputs!$C$46,$B32,$B32-($B32-Inputs!$C$37)*MIN(I$27-Inputs!$C$46,Inputs!$C$47)/Inputs!$C$47))</f>
        <v>5470.1183979416</v>
      </c>
      <c r="J32" s="15" t="n">
        <f aca="false">I32*(1+IF(J$27&lt;=Inputs!$C$46,$B32,$B32-($B32-Inputs!$C$37)*MIN(J$27-Inputs!$C$46,Inputs!$C$47)/Inputs!$C$47))</f>
        <v>5830.10433789685</v>
      </c>
      <c r="K32" s="15" t="n">
        <f aca="false">J32*(1+IF(K$27&lt;=Inputs!$C$46,$B32,$B32-($B32-Inputs!$C$37)*MIN(K$27-Inputs!$C$46,Inputs!$C$47)/Inputs!$C$47))</f>
        <v>6104.43853764312</v>
      </c>
      <c r="L32" s="15" t="n">
        <f aca="false">K32*(1+IF(L$27&lt;=Inputs!$C$46,$B32,$B32-($B32-Inputs!$C$37)*MIN(L$27-Inputs!$C$46,Inputs!$C$47)/Inputs!$C$47))</f>
        <v>6277.19414825842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235</v>
      </c>
    </row>
    <row r="3" customFormat="false" ht="15" hidden="false" customHeight="false" outlineLevel="0" collapsed="false">
      <c r="B3" s="2" t="s">
        <v>236</v>
      </c>
    </row>
    <row r="5" customFormat="false" ht="15" hidden="false" customHeight="false" outlineLevel="0" collapsed="false">
      <c r="B5" s="28" t="s">
        <v>237</v>
      </c>
      <c r="C5" s="28" t="s">
        <v>238</v>
      </c>
      <c r="D5" s="28" t="s">
        <v>239</v>
      </c>
      <c r="E5" s="28" t="s">
        <v>240</v>
      </c>
      <c r="F5" s="28" t="s">
        <v>241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0.199766536964981</v>
      </c>
      <c r="D6" s="24" t="n">
        <v>0.19976654</v>
      </c>
      <c r="E6" s="49" t="n">
        <f aca="false">C6-D6</f>
        <v>-3.0350194024642E-009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131</v>
      </c>
      <c r="C7" s="50" t="n">
        <f aca="false">WACC!$C$11</f>
        <v>1.05189909086848</v>
      </c>
      <c r="D7" s="51" t="n">
        <v>1.05189909</v>
      </c>
      <c r="E7" s="49" t="n">
        <f aca="false">C7-D7</f>
        <v>8.68484839600114E-010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WACC!$C$34</f>
        <v>0.094183337553844</v>
      </c>
      <c r="D8" s="24" t="n">
        <v>0.09418334</v>
      </c>
      <c r="E8" s="49" t="n">
        <f aca="false">C8-D8</f>
        <v>-2.44615599997999E-009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242</v>
      </c>
      <c r="C10" s="12" t="n">
        <f aca="false">Inputs!$C$43</f>
        <v>0.0820738337486065</v>
      </c>
      <c r="D10" s="24" t="n">
        <v>0.08207383</v>
      </c>
      <c r="E10" s="49" t="n">
        <f aca="false">C10-D10</f>
        <v>3.74860652241349E-009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243</v>
      </c>
      <c r="C11" s="12" t="n">
        <f aca="false">Solver!$W$7</f>
        <v>0.0498118265345511</v>
      </c>
      <c r="D11" s="24" t="n">
        <v>0.04981183</v>
      </c>
      <c r="E11" s="49" t="n">
        <f aca="false">C11-D11</f>
        <v>-3.46544892781964E-009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244</v>
      </c>
      <c r="C12" s="12" t="n">
        <f aca="false">Sensitivity!$E$14</f>
        <v>0.0762020647525787</v>
      </c>
      <c r="D12" s="24" t="n">
        <v>0.07620215</v>
      </c>
      <c r="E12" s="49" t="n">
        <f aca="false">C12-D12</f>
        <v>-8.52474212609256E-008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245</v>
      </c>
      <c r="C13" s="6" t="n">
        <f aca="false">DCF!$C$41</f>
        <v>252.16673274186</v>
      </c>
      <c r="D13" s="20" t="n">
        <v>252.16673274</v>
      </c>
      <c r="E13" s="49" t="n">
        <f aca="false">C13-D13</f>
        <v>1.85957560461247E-009</v>
      </c>
      <c r="F13" s="5" t="str">
        <f aca="false">IF(ABS(E13)&lt;=0.0252166732741859,"Pass","Check")</f>
        <v>Pass</v>
      </c>
    </row>
    <row r="14" customFormat="false" ht="15" hidden="false" customHeight="false" outlineLevel="0" collapsed="false">
      <c r="B14" s="5" t="s">
        <v>246</v>
      </c>
      <c r="C14" s="6" t="n">
        <f aca="false">DCF!$C$21-DCF!$C$22</f>
        <v>-1.69063696375815E-009</v>
      </c>
      <c r="D14" s="20" t="n">
        <v>0</v>
      </c>
      <c r="E14" s="49" t="n">
        <f aca="false">C14-D14</f>
        <v>-1.69063696375815E-009</v>
      </c>
      <c r="F14" s="5" t="str">
        <f aca="false">IF(ABS(E14)&lt;=0.01,"Pass","Check")</f>
        <v>Pass</v>
      </c>
      <c r="G14" s="19" t="s">
        <v>247</v>
      </c>
    </row>
    <row r="16" customFormat="false" ht="15" hidden="false" customHeight="false" outlineLevel="0" collapsed="false">
      <c r="B16" s="38" t="s">
        <v>248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2026-10-14T16:48:48Z</dcterms:created>
  <dc:creator>openpyxl</dc:creator>
  <dc:description/>
  <dc:language>en-US</dc:language>
  <cp:lastModifiedBy/>
  <dcterms:modified xsi:type="dcterms:W3CDTF">2026-10-14T16:48:49Z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