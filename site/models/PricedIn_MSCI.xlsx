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<sst xmlns="http://schemas.openxmlformats.org/spreadsheetml/2006/main" count="842" uniqueCount="249">
  <si>
    <t xml:space="preserve">Priced In: MSCI (MSCI)</t>
  </si>
  <si>
    <t xml:space="preserve">Reverse DCF, model v1.0. Inputs as of the Oct 13, 2026 close; model locked Oct 14, 2026 (commit 0735af0).</t>
  </si>
  <si>
    <t xml:space="preserve">Ratings and indexes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</si>
  <si>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</si>
  <si>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</si>
  <si>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</si>
  <si>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</si>
  <si>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</si>
  <si>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</si>
  <si>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</si>
  <si>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</si>
  <si>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</si>
  <si>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</si>
  <si>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</si>
  <si>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</si>
  <si>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</si>
  <si>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</si>
  <si>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</si>
  <si>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</si>
  <si>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</si>
  <si>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</si>
  <si>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</si>
  <si>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</si>
  <si>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</si>
  <si>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</si>
  <si>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</si>
  <si>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</si>
  <si>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</si>
  <si>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</si>
  <si>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</si>
  <si>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MSCI (MSCI):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</si>
  <si>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</si>
  <si>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</si>
  <si>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</si>
  <si>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</si>
  <si>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</si>
  <si>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</si>
  <si>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</si>
  <si>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</si>
  <si>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</si>
  <si>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</si>
  <si>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</si>
  <si>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</si>
  <si>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</si>
  <si>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</si>
  <si>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</si>
  <si>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</si>
  <si>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</si>
  <si>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</si>
  <si>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</si>
  <si>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</si>
  <si>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</si>
  <si>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</si>
  <si>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</si>
  <si>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</si>
  <si>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</si>
  <si>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</si>
  <si>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</si>
  <si>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</si>
  <si>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</si>
  <si>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</si>
  <si>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</si>
  <si>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</si>
  <si>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</si>
  <si>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</si>
  <si>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</si>
  <si>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</si>
  <si>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</si>
  <si>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</si>
  <si>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</si>
  <si>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</si>
  <si>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</si>
  <si>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</si>
  <si>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</si>
  <si>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</si>
  <si>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</si>
  <si>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</si>
  <si>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</si>
  <si>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</si>
  <si>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</si>
  <si>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</si>
  <si>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</si>
  <si>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</si>
  <si>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</si>
  <si>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</si>
  <si>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</si>
  <si>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</si>
  <si>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</si>
  <si>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</si>
  <si>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</si>
  <si>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</si>
  <si>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</si>
  <si>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</si>
  <si>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</si>
  <si>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MSCI (MSCI):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</si>
  <si>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</si>
  <si>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</si>
  <si>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</si>
  <si>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</si>
  <si>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</si>
  <si>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</si>
  <si>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</si>
  <si>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</si>
  <si>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</si>
  <si>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</si>
  <si>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</si>
  <si>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</si>
  <si>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</si>
  <si>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</si>
  <si>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</si>
  <si>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</si>
  <si>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</si>
  <si>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</si>
  <si>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</si>
  <si>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</si>
  <si>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</si>
  <si>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</si>
  <si>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</si>
  <si>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</si>
  <si>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MSCI (MSCI):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</si>
  <si>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</si>
  <si>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</si>
  <si>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</si>
  <si>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</si>
  <si>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</si>
  <si>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</si>
  <si>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S&amp;P Global (SPGI)</t>
  </si>
  <si>
    <t xml:space="preserve">Raw betas: 60 monthly returns to Sep 2026 against the S&amp;P 500 (S&amp;P/TSX for TMX); Cboe uses Stock Analysis's 5-year beta. Debt and equity from Stock Analysis, Oct 13, 2026.</t>
  </si>
  <si>
    <t xml:space="preserve">Moody's (MCO)</t>
  </si>
  <si>
    <t xml:space="preserve">MSCI (MSCI)</t>
  </si>
  <si>
    <t xml:space="preserve">Morningstar (MORN)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</si>
  <si>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</si>
  <si>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</si>
  <si>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</si>
  <si>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</si>
  <si>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</si>
  <si>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</si>
  <si>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</si>
  <si>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</si>
  <si>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</si>
  <si>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</si>
  <si>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</si>
  <si>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</si>
  <si>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</si>
  <si>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</si>
  <si>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</si>
  <si>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</si>
  <si>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</si>
  <si>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</si>
  <si>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</si>
  <si>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</si>
  <si>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</si>
  <si>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</si>
  <si>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</si>
  <si>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</si>
  <si>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</si>
  <si>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</si>
  <si>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</si>
  <si>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</si>
  <si>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</si>
  <si>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</si>
  <si>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</si>
  <si>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</si>
  <si>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</si>
  <si>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</si>
  <si>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</si>
  <si>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</si>
  <si>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</si>
  <si>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</si>
  <si>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</si>
  <si>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</si>
  <si>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</si>
  <si>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</si>
  <si>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</si>
  <si>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</si>
  <si>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</si>
  <si>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</si>
  <si>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</si>
  <si>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</si>
  <si>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</si>
  <si>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</si>
  <si>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</si>
  <si>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</si>
  <si>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</si>
  <si>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</si>
  <si>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</si>
  <si>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</si>
  <si>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</si>
  <si>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</si>
  <si>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</si>
  <si>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</si>
  <si>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</si>
  <si>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</si>
  <si>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</si>
  <si>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</si>
  <si>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</si>
  <si>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</si>
  <si>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</si>
  <si>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</si>
  <si>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</si>
  <si>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</si>
  <si>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</si>
  <si>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</si>
  <si>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</si>
  <si>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</si>
  <si>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</si>
  <si>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</si>
  <si>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MSCI (MSCI):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</si>
  <si>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</si>
  <si>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</si>
  <si>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</si>
  <si>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</si>
  <si>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</si>
  <si>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</si>
  <si>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</si>
  <si>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</si>
  <si>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</si>
  <si>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</si>
  <si>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</si>
  <si>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</si>
  <si>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</si>
  <si>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</si>
  <si>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</si>
  <si>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</si>
  <si>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</si>
  <si>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MSCI (MSCI):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</si>
  <si>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</si>
  <si>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</si>
  <si>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</si>
  <si>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</si>
  <si>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</si>
  <si>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</si>
  <si>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</si>
  <si>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$560.80.</t>
  </si>
  <si>
    <t xml:space="preserve">Helper: revenue paths for each growth view (years 1 to 10)</t>
  </si>
  <si>
    <t xml:space="preserve">MSCI (MSCI):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</si>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</sst>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560.797799174691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0.123574744153757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0.106128061110648</v>
      </c>
    </row>
    <row r="13" customFormat="false" ht="15" hidden="false" customHeight="false" outlineLevel="0" collapsed="false">
      <c r="B13" s="7" t="s">
        <v>9</v>
      </c>
      <c r="C13" s="10" t="n">
        <f aca="false">C11-C12</f>
        <v>0.0174466830431088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About right</v>
      </c>
    </row>
    <row r="15" customFormat="false" ht="15" hidden="false" customHeight="false" outlineLevel="0" collapsed="false">
      <c r="B15" s="5" t="s">
        <v>11</v>
      </c>
      <c r="C15" s="12" t="n">
        <f aca="false">WACC!$C$34</f>
        <v>0.0953306228759286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0.541291291291291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0.106128061110648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501.831951027529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-0.105146361547674</v>
      </c>
    </row>
    <row r="23" customFormat="false" ht="30" hidden="false" customHeight="true" outlineLevel="0" collapsed="false">
      <c r="B23" s="13"/>
      <c r="C23" s="13"/>
      <c r="D23" s="13"/>
      <c r="E23" s="13"/>
    </row>
    <row r="25" customFormat="false" ht="15" hidden="false" customHeight="false" outlineLevel="0" collapsed="false">
      <c r="B25" s="3" t="s">
        <v>17</v>
      </c>
    </row>
    <row r="26" customFormat="false" ht="15" hidden="false" customHeight="false" outlineLevel="0" collapsed="false">
      <c r="B26" s="5" t="s">
        <v>18</v>
      </c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5" t="s">
        <v>20</v>
      </c>
    </row>
    <row r="29" customFormat="false" ht="15" hidden="false" customHeight="false" outlineLevel="0" collapsed="false">
      <c r="B29" s="5" t="s">
        <v>21</v>
      </c>
    </row>
    <row r="31" customFormat="false" ht="15" hidden="false" customHeight="false" outlineLevel="0" collapsed="false">
      <c r="B31" s="3" t="s">
        <v>22</v>
      </c>
    </row>
    <row r="32" customFormat="false" ht="15" hidden="false" customHeight="false" outlineLevel="0" collapsed="false">
      <c r="B32" s="5" t="s">
        <v>23</v>
      </c>
      <c r="C32" s="14" t="n">
        <v>1234</v>
      </c>
    </row>
    <row r="33" customFormat="false" ht="15" hidden="false" customHeight="false" outlineLevel="0" collapsed="false">
      <c r="B33" s="5" t="s">
        <v>24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25</v>
      </c>
      <c r="C34" s="16" t="n">
        <f aca="false">Inputs!$C$12</f>
        <v>3330</v>
      </c>
    </row>
    <row r="35" customFormat="false" ht="15" hidden="false" customHeight="false" outlineLevel="0" collapsed="false">
      <c r="B35" s="5" t="s">
        <v>26</v>
      </c>
      <c r="C35" s="17" t="n">
        <f aca="false">Inputs!$C$45</f>
        <v>0.106128061110648</v>
      </c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18" t="s">
        <v>28</v>
      </c>
    </row>
    <row r="40" customFormat="false" ht="15" hidden="false" customHeight="false" outlineLevel="0" collapsed="false">
      <c r="B40" s="19" t="s">
        <v>29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31</v>
      </c>
    </row>
    <row r="5" customFormat="false" ht="15" hidden="false" customHeight="false" outlineLevel="0" collapsed="false">
      <c r="B5" s="3" t="s">
        <v>32</v>
      </c>
    </row>
    <row r="6" customFormat="false" ht="15" hidden="false" customHeight="false" outlineLevel="0" collapsed="false">
      <c r="B6" s="5" t="s">
        <v>33</v>
      </c>
      <c r="C6" s="20" t="n">
        <v>560.797799174691</v>
      </c>
      <c r="E6" s="19" t="s">
        <v>34</v>
      </c>
    </row>
    <row r="7" customFormat="false" ht="15" hidden="false" customHeight="false" outlineLevel="0" collapsed="false">
      <c r="B7" s="5" t="s">
        <v>35</v>
      </c>
      <c r="C7" s="21" t="n">
        <v>72.7</v>
      </c>
      <c r="E7" s="19" t="s">
        <v>36</v>
      </c>
    </row>
    <row r="8" customFormat="false" ht="15" hidden="false" customHeight="false" outlineLevel="0" collapsed="false">
      <c r="B8" s="5" t="s">
        <v>37</v>
      </c>
      <c r="C8" s="15" t="n">
        <f aca="false">C6*C7</f>
        <v>40770</v>
      </c>
      <c r="E8" s="19" t="s">
        <v>38</v>
      </c>
    </row>
    <row r="10" customFormat="false" ht="15" hidden="false" customHeight="false" outlineLevel="0" collapsed="false">
      <c r="B10" s="3" t="s">
        <v>39</v>
      </c>
    </row>
    <row r="11" customFormat="false" ht="15" hidden="false" customHeight="false" outlineLevel="0" collapsed="false">
      <c r="B11" s="5" t="s">
        <v>40</v>
      </c>
      <c r="C11" s="14" t="n">
        <v>3330</v>
      </c>
      <c r="E11" s="19" t="s">
        <v>41</v>
      </c>
    </row>
    <row r="12" customFormat="false" ht="15" hidden="false" customHeight="false" outlineLevel="0" collapsed="false">
      <c r="B12" s="5" t="s">
        <v>42</v>
      </c>
      <c r="C12" s="15" t="n">
        <f aca="false">C11</f>
        <v>3330</v>
      </c>
      <c r="E12" s="19" t="s">
        <v>43</v>
      </c>
    </row>
    <row r="13" customFormat="false" ht="15" hidden="false" customHeight="false" outlineLevel="0" collapsed="false">
      <c r="B13" s="5" t="s">
        <v>44</v>
      </c>
      <c r="C13" s="14" t="n">
        <v>1600</v>
      </c>
      <c r="E13" s="19" t="s">
        <v>45</v>
      </c>
    </row>
    <row r="14" customFormat="false" ht="15" hidden="false" customHeight="false" outlineLevel="0" collapsed="false">
      <c r="B14" s="5" t="s">
        <v>46</v>
      </c>
      <c r="C14" s="15" t="n">
        <f aca="false">C13</f>
        <v>1600</v>
      </c>
      <c r="E14" s="19" t="s">
        <v>43</v>
      </c>
    </row>
    <row r="15" customFormat="false" ht="15" hidden="false" customHeight="false" outlineLevel="0" collapsed="false">
      <c r="B15" s="5" t="s">
        <v>47</v>
      </c>
      <c r="C15" s="14" t="n">
        <v>0</v>
      </c>
      <c r="E15" s="19" t="s">
        <v>48</v>
      </c>
    </row>
    <row r="16" customFormat="false" ht="15" hidden="false" customHeight="false" outlineLevel="0" collapsed="false">
      <c r="B16" s="5" t="s">
        <v>49</v>
      </c>
      <c r="C16" s="15" t="n">
        <f aca="false">C14-C15</f>
        <v>1600</v>
      </c>
    </row>
    <row r="17" customFormat="false" ht="15" hidden="false" customHeight="false" outlineLevel="0" collapsed="false">
      <c r="B17" s="5" t="s">
        <v>50</v>
      </c>
      <c r="C17" s="14" t="n">
        <v>1860</v>
      </c>
      <c r="E17" s="19" t="s">
        <v>51</v>
      </c>
    </row>
    <row r="18" customFormat="false" ht="15" hidden="false" customHeight="false" outlineLevel="0" collapsed="false">
      <c r="B18" s="5" t="s">
        <v>52</v>
      </c>
      <c r="C18" s="14" t="n">
        <v>1590</v>
      </c>
      <c r="E18" s="19" t="s">
        <v>51</v>
      </c>
    </row>
    <row r="19" customFormat="false" ht="15" hidden="false" customHeight="false" outlineLevel="0" collapsed="false">
      <c r="B19" s="5" t="s">
        <v>53</v>
      </c>
      <c r="C19" s="15" t="n">
        <f aca="false">MAX(0,C17-C18)</f>
        <v>270</v>
      </c>
      <c r="E19" s="19" t="s">
        <v>54</v>
      </c>
    </row>
    <row r="20" customFormat="false" ht="15" hidden="false" customHeight="false" outlineLevel="0" collapsed="false">
      <c r="B20" s="5" t="s">
        <v>55</v>
      </c>
      <c r="C20" s="22" t="n">
        <v>0.25</v>
      </c>
      <c r="E20" s="19" t="s">
        <v>56</v>
      </c>
    </row>
    <row r="21" customFormat="false" ht="15" hidden="false" customHeight="false" outlineLevel="0" collapsed="false">
      <c r="B21" s="5" t="s">
        <v>57</v>
      </c>
      <c r="C21" s="15" t="n">
        <f aca="false">C19*(1-C20)</f>
        <v>202.5</v>
      </c>
    </row>
    <row r="22" customFormat="false" ht="15" hidden="false" customHeight="false" outlineLevel="0" collapsed="false">
      <c r="B22" s="5" t="s">
        <v>58</v>
      </c>
      <c r="C22" s="15" t="n">
        <f aca="false">C16+C21</f>
        <v>1802.5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0.541291291291291</v>
      </c>
      <c r="E23" s="19" t="s">
        <v>59</v>
      </c>
    </row>
    <row r="24" customFormat="false" ht="15" hidden="false" customHeight="false" outlineLevel="0" collapsed="false">
      <c r="B24" s="5" t="s">
        <v>60</v>
      </c>
      <c r="C24" s="14" t="n">
        <v>1960</v>
      </c>
      <c r="E24" s="19" t="s">
        <v>51</v>
      </c>
    </row>
    <row r="26" customFormat="false" ht="15" hidden="false" customHeight="false" outlineLevel="0" collapsed="false">
      <c r="B26" s="3" t="s">
        <v>61</v>
      </c>
    </row>
    <row r="27" customFormat="false" ht="15" hidden="false" customHeight="false" outlineLevel="0" collapsed="false">
      <c r="B27" s="5" t="s">
        <v>62</v>
      </c>
      <c r="C27" s="14" t="n">
        <v>6540</v>
      </c>
      <c r="E27" s="19" t="s">
        <v>63</v>
      </c>
    </row>
    <row r="28" customFormat="false" ht="15" hidden="false" customHeight="false" outlineLevel="0" collapsed="false">
      <c r="B28" s="5" t="s">
        <v>64</v>
      </c>
      <c r="C28" s="14" t="n">
        <v>352.7</v>
      </c>
      <c r="E28" s="19" t="s">
        <v>63</v>
      </c>
    </row>
    <row r="29" customFormat="false" ht="15" hidden="false" customHeight="false" outlineLevel="0" collapsed="false">
      <c r="B29" s="5" t="s">
        <v>65</v>
      </c>
      <c r="C29" s="15" t="n">
        <f aca="false">C27-C28</f>
        <v>6187.3</v>
      </c>
    </row>
    <row r="31" customFormat="false" ht="15" hidden="false" customHeight="false" outlineLevel="0" collapsed="false">
      <c r="B31" s="3" t="s">
        <v>66</v>
      </c>
    </row>
    <row r="32" customFormat="false" ht="15" hidden="false" customHeight="false" outlineLevel="0" collapsed="false">
      <c r="B32" s="5" t="s">
        <v>67</v>
      </c>
      <c r="C32" s="24" t="n">
        <v>0.0521</v>
      </c>
      <c r="E32" s="19" t="s">
        <v>68</v>
      </c>
    </row>
    <row r="33" customFormat="false" ht="15" hidden="false" customHeight="false" outlineLevel="0" collapsed="false">
      <c r="B33" s="5" t="s">
        <v>69</v>
      </c>
      <c r="C33" s="24" t="n">
        <v>0.0288</v>
      </c>
      <c r="E33" s="19" t="s">
        <v>70</v>
      </c>
    </row>
    <row r="34" customFormat="false" ht="15" hidden="false" customHeight="false" outlineLevel="0" collapsed="false">
      <c r="B34" s="5" t="s">
        <v>71</v>
      </c>
      <c r="C34" s="25" t="n">
        <f aca="false">C32-C33</f>
        <v>0.0233</v>
      </c>
      <c r="E34" s="19" t="s">
        <v>72</v>
      </c>
    </row>
    <row r="35" customFormat="false" ht="15" hidden="false" customHeight="false" outlineLevel="0" collapsed="false">
      <c r="B35" s="5" t="s">
        <v>73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74</v>
      </c>
      <c r="C36" s="24" t="n">
        <v>0.005</v>
      </c>
      <c r="E36" s="19" t="s">
        <v>75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76</v>
      </c>
    </row>
    <row r="38" customFormat="false" ht="15" hidden="false" customHeight="false" outlineLevel="0" collapsed="false">
      <c r="B38" s="5" t="s">
        <v>77</v>
      </c>
      <c r="C38" s="24" t="n">
        <v>0.0423</v>
      </c>
      <c r="E38" s="19" t="s">
        <v>78</v>
      </c>
    </row>
    <row r="40" customFormat="false" ht="15" hidden="false" customHeight="false" outlineLevel="0" collapsed="false">
      <c r="B40" s="3" t="s">
        <v>79</v>
      </c>
    </row>
    <row r="41" customFormat="false" ht="15" hidden="false" customHeight="false" outlineLevel="0" collapsed="false">
      <c r="B41" s="5" t="s">
        <v>80</v>
      </c>
      <c r="C41" s="9" t="n">
        <f aca="false">History!$C$12</f>
        <v>0.114856122221296</v>
      </c>
      <c r="E41" s="19" t="s">
        <v>81</v>
      </c>
    </row>
    <row r="42" customFormat="false" ht="15" hidden="false" customHeight="false" outlineLevel="0" collapsed="false">
      <c r="B42" s="5" t="s">
        <v>82</v>
      </c>
      <c r="C42" s="22" t="n">
        <v>0.0974</v>
      </c>
      <c r="E42" s="19" t="s">
        <v>83</v>
      </c>
    </row>
    <row r="43" customFormat="false" ht="15" hidden="false" customHeight="false" outlineLevel="0" collapsed="false">
      <c r="B43" s="5" t="s">
        <v>84</v>
      </c>
      <c r="C43" s="23" t="n">
        <f aca="false">AVERAGE(C41:C42)</f>
        <v>0.106128061110648</v>
      </c>
      <c r="E43" s="19" t="s">
        <v>85</v>
      </c>
    </row>
    <row r="44" customFormat="false" ht="15" hidden="false" customHeight="false" outlineLevel="0" collapsed="false">
      <c r="B44" s="5" t="s">
        <v>86</v>
      </c>
      <c r="C44" s="22" t="n">
        <v>0.03</v>
      </c>
      <c r="E44" s="19" t="s">
        <v>87</v>
      </c>
    </row>
    <row r="45" customFormat="false" ht="15" hidden="false" customHeight="false" outlineLevel="0" collapsed="false">
      <c r="B45" s="5" t="s">
        <v>88</v>
      </c>
      <c r="C45" s="26" t="n">
        <v>0.106128061110648</v>
      </c>
      <c r="E45" s="19" t="s">
        <v>89</v>
      </c>
    </row>
    <row r="46" customFormat="false" ht="15" hidden="false" customHeight="false" outlineLevel="0" collapsed="false">
      <c r="B46" s="5" t="s">
        <v>90</v>
      </c>
      <c r="C46" s="27" t="n">
        <v>5</v>
      </c>
      <c r="E46" s="19" t="s">
        <v>91</v>
      </c>
    </row>
    <row r="47" customFormat="false" ht="15" hidden="false" customHeight="false" outlineLevel="0" collapsed="false">
      <c r="B47" s="5" t="s">
        <v>92</v>
      </c>
      <c r="C47" s="27" t="n">
        <v>5</v>
      </c>
      <c r="E47" s="1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94</v>
      </c>
    </row>
    <row r="3" customFormat="false" ht="15" hidden="false" customHeight="false" outlineLevel="0" collapsed="false">
      <c r="B3" s="2" t="s">
        <v>95</v>
      </c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</row>
    <row r="6" customFormat="false" ht="15" hidden="false" customHeight="false" outlineLevel="0" collapsed="false">
      <c r="B6" s="5" t="s">
        <v>103</v>
      </c>
      <c r="C6" s="14" t="n">
        <v>2044</v>
      </c>
      <c r="D6" s="14" t="n">
        <v>2249</v>
      </c>
      <c r="E6" s="14" t="n">
        <v>2529</v>
      </c>
      <c r="F6" s="14" t="n">
        <v>2856</v>
      </c>
      <c r="G6" s="14" t="n">
        <v>3134</v>
      </c>
      <c r="H6" s="14" t="n">
        <v>3334</v>
      </c>
    </row>
    <row r="7" customFormat="false" ht="15" hidden="false" customHeight="false" outlineLevel="0" collapsed="false">
      <c r="B7" s="5" t="s">
        <v>104</v>
      </c>
      <c r="D7" s="23" t="n">
        <f aca="false">D6/C6-1</f>
        <v>0.100293542074364</v>
      </c>
      <c r="E7" s="23" t="n">
        <f aca="false">E6/D6-1</f>
        <v>0.124499777678968</v>
      </c>
      <c r="F7" s="23" t="n">
        <f aca="false">F6/E6-1</f>
        <v>0.129300118623962</v>
      </c>
      <c r="G7" s="23" t="n">
        <f aca="false">G6/F6-1</f>
        <v>0.0973389355742298</v>
      </c>
    </row>
    <row r="10" customFormat="false" ht="15" hidden="false" customHeight="false" outlineLevel="0" collapsed="false">
      <c r="B10" s="3" t="s">
        <v>105</v>
      </c>
    </row>
    <row r="11" customFormat="false" ht="15" hidden="false" customHeight="false" outlineLevel="0" collapsed="false">
      <c r="B11" s="5" t="s">
        <v>106</v>
      </c>
      <c r="C11" s="29" t="s">
        <v>97</v>
      </c>
      <c r="E11" s="5" t="s">
        <v>107</v>
      </c>
      <c r="G11" s="30" t="n">
        <v>4.5</v>
      </c>
    </row>
    <row r="12" customFormat="false" ht="15" hidden="false" customHeight="false" outlineLevel="0" collapsed="false">
      <c r="B12" s="5" t="s">
        <v>108</v>
      </c>
      <c r="C12" s="23" t="n">
        <f aca="false">(H6/INDEX(C6:H6,MATCH(C11,C5:H5,0)))^(1/G11)-1</f>
        <v>0.114856122221296</v>
      </c>
      <c r="I12" s="19" t="s">
        <v>81</v>
      </c>
    </row>
    <row r="15" customFormat="false" ht="15" hidden="false" customHeight="false" outlineLevel="0" collapsed="false">
      <c r="B15" s="3" t="s">
        <v>109</v>
      </c>
    </row>
    <row r="16" customFormat="false" ht="15" hidden="false" customHeight="false" outlineLevel="0" collapsed="false">
      <c r="B16" s="28" t="s">
        <v>96</v>
      </c>
      <c r="C16" s="28" t="s">
        <v>110</v>
      </c>
      <c r="D16" s="28" t="s">
        <v>111</v>
      </c>
      <c r="E16" s="28" t="s">
        <v>112</v>
      </c>
      <c r="F16" s="28" t="s">
        <v>113</v>
      </c>
      <c r="G16" s="28" t="s">
        <v>114</v>
      </c>
    </row>
    <row r="17" customFormat="false" ht="15" hidden="false" customHeight="false" outlineLevel="0" collapsed="false">
      <c r="B17" s="5" t="s">
        <v>115</v>
      </c>
      <c r="C17" s="22" t="n">
        <v>0.4515</v>
      </c>
      <c r="D17" s="22" t="n">
        <v>0.4811</v>
      </c>
      <c r="E17" s="22" t="n">
        <v>0.4798</v>
      </c>
      <c r="F17" s="22" t="n">
        <v>0.5139</v>
      </c>
      <c r="G17" s="22" t="n">
        <v>0.4942</v>
      </c>
      <c r="I17" s="19" t="s">
        <v>116</v>
      </c>
    </row>
    <row r="18" customFormat="false" ht="15" hidden="false" customHeight="false" outlineLevel="0" collapsed="false">
      <c r="B18" s="5" t="s">
        <v>117</v>
      </c>
      <c r="C18" s="23" t="n">
        <f aca="false">C17+(Inputs!$C$23-Inputs!$C$16/Inputs!$C$12)</f>
        <v>0.512310810810811</v>
      </c>
      <c r="D18" s="23" t="n">
        <f aca="false">D17+(Inputs!$C$23-Inputs!$C$16/Inputs!$C$12)</f>
        <v>0.541910810810811</v>
      </c>
      <c r="E18" s="23" t="n">
        <f aca="false">E17+(Inputs!$C$23-Inputs!$C$16/Inputs!$C$12)</f>
        <v>0.540610810810811</v>
      </c>
      <c r="F18" s="23" t="n">
        <f aca="false">F17+(Inputs!$C$23-Inputs!$C$16/Inputs!$C$12)</f>
        <v>0.574710810810811</v>
      </c>
      <c r="G18" s="23" t="n">
        <f aca="false">G17+(Inputs!$C$23-Inputs!$C$16/Inputs!$C$12)</f>
        <v>0.555010810810811</v>
      </c>
    </row>
    <row r="19" customFormat="false" ht="15" hidden="false" customHeight="false" outlineLevel="0" collapsed="false">
      <c r="B19" s="5" t="s">
        <v>118</v>
      </c>
      <c r="C19" s="23" t="n">
        <f aca="false">MIN(C18:G18)</f>
        <v>0.512310810810811</v>
      </c>
      <c r="D19" s="23" t="n">
        <f aca="false">MAX(C18:G18)</f>
        <v>0.574710810810811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119</v>
      </c>
    </row>
    <row r="3" customFormat="false" ht="15" hidden="false" customHeight="false" outlineLevel="0" collapsed="false">
      <c r="B3" s="2" t="s">
        <v>120</v>
      </c>
    </row>
    <row r="5" customFormat="false" ht="15" hidden="false" customHeight="false" outlineLevel="0" collapsed="false">
      <c r="B5" s="28" t="s">
        <v>121</v>
      </c>
      <c r="C5" s="28" t="s">
        <v>122</v>
      </c>
      <c r="D5" s="28" t="s">
        <v>123</v>
      </c>
      <c r="E5" s="28" t="s">
        <v>124</v>
      </c>
      <c r="F5" s="28" t="s">
        <v>55</v>
      </c>
      <c r="G5" s="28" t="s">
        <v>125</v>
      </c>
    </row>
    <row r="6" customFormat="false" ht="15" hidden="false" customHeight="false" outlineLevel="0" collapsed="false">
      <c r="B6" s="5" t="s">
        <v>126</v>
      </c>
      <c r="C6" s="31" t="n">
        <v>1.09250166626551</v>
      </c>
      <c r="D6" s="14" t="n">
        <v>15750</v>
      </c>
      <c r="E6" s="14" t="n">
        <v>120850</v>
      </c>
      <c r="F6" s="22" t="n">
        <v>0.25</v>
      </c>
      <c r="G6" s="32" t="n">
        <f aca="false">C6/(1+(1-F6)*D6/E6)</f>
        <v>0.995223415570996</v>
      </c>
      <c r="H6" s="19" t="s">
        <v>127</v>
      </c>
    </row>
    <row r="7" customFormat="false" ht="15" hidden="false" customHeight="false" outlineLevel="0" collapsed="false">
      <c r="B7" s="5" t="s">
        <v>128</v>
      </c>
      <c r="C7" s="31" t="n">
        <v>1.3479366702065</v>
      </c>
      <c r="D7" s="14" t="n">
        <v>7620</v>
      </c>
      <c r="E7" s="14" t="n">
        <v>80380</v>
      </c>
      <c r="F7" s="22" t="n">
        <v>0.25</v>
      </c>
      <c r="G7" s="32" t="n">
        <f aca="false">C7/(1+(1-F7)*D7/E7)</f>
        <v>1.2584604164144</v>
      </c>
    </row>
    <row r="8" customFormat="false" ht="15" hidden="false" customHeight="false" outlineLevel="0" collapsed="false">
      <c r="B8" s="7" t="s">
        <v>129</v>
      </c>
      <c r="C8" s="31" t="n">
        <v>1.24194634399389</v>
      </c>
      <c r="D8" s="14" t="n">
        <v>6540</v>
      </c>
      <c r="E8" s="14" t="n">
        <v>40770</v>
      </c>
      <c r="F8" s="22" t="n">
        <v>0.25</v>
      </c>
      <c r="G8" s="32" t="n">
        <f aca="false">C8/(1+(1-F8)*D8/E8)</f>
        <v>1.10857476616597</v>
      </c>
    </row>
    <row r="9" customFormat="false" ht="15" hidden="false" customHeight="false" outlineLevel="0" collapsed="false">
      <c r="B9" s="5" t="s">
        <v>130</v>
      </c>
      <c r="C9" s="31" t="n">
        <v>1.02503279266652</v>
      </c>
      <c r="D9" s="14" t="n">
        <v>1900</v>
      </c>
      <c r="E9" s="14" t="n">
        <v>7670</v>
      </c>
      <c r="F9" s="22" t="n">
        <v>0.25</v>
      </c>
      <c r="G9" s="32" t="n">
        <f aca="false">C9/(1+(1-F9)*D9/E9)</f>
        <v>0.864431173144824</v>
      </c>
    </row>
    <row r="11" customFormat="false" ht="15" hidden="false" customHeight="false" outlineLevel="0" collapsed="false">
      <c r="B11" s="5" t="s">
        <v>131</v>
      </c>
      <c r="C11" s="32" t="n">
        <f aca="false">MEDIAN(G6:G9)</f>
        <v>1.05189909086848</v>
      </c>
    </row>
    <row r="12" customFormat="false" ht="15" hidden="false" customHeight="false" outlineLevel="0" collapsed="false">
      <c r="B12" s="5" t="s">
        <v>123</v>
      </c>
      <c r="C12" s="16" t="n">
        <f aca="false">Inputs!$C$27</f>
        <v>6540</v>
      </c>
    </row>
    <row r="13" customFormat="false" ht="15" hidden="false" customHeight="false" outlineLevel="0" collapsed="false">
      <c r="B13" s="5" t="s">
        <v>37</v>
      </c>
      <c r="C13" s="16" t="n">
        <f aca="false">Inputs!$C$8</f>
        <v>40770</v>
      </c>
    </row>
    <row r="14" customFormat="false" ht="15" hidden="false" customHeight="false" outlineLevel="0" collapsed="false">
      <c r="B14" s="5" t="s">
        <v>55</v>
      </c>
      <c r="C14" s="9" t="n">
        <f aca="false">Inputs!$C$20</f>
        <v>0.25</v>
      </c>
    </row>
    <row r="15" customFormat="false" ht="15" hidden="false" customHeight="false" outlineLevel="0" collapsed="false">
      <c r="B15" s="5" t="s">
        <v>132</v>
      </c>
      <c r="C15" s="32" t="n">
        <f aca="false">WACC!$C$11*(1+(1-WACC!$C$14)*WACC!$C$12/WACC!$C$13)</f>
        <v>1.17845207199946</v>
      </c>
      <c r="H15" s="19" t="s">
        <v>133</v>
      </c>
    </row>
    <row r="16" customFormat="false" ht="15" hidden="false" customHeight="false" outlineLevel="0" collapsed="false">
      <c r="B16" s="5" t="s">
        <v>134</v>
      </c>
      <c r="C16" s="12" t="n">
        <f aca="false">Inputs!$C$35</f>
        <v>0.0521</v>
      </c>
    </row>
    <row r="17" customFormat="false" ht="15" hidden="false" customHeight="false" outlineLevel="0" collapsed="false">
      <c r="B17" s="5" t="s">
        <v>77</v>
      </c>
      <c r="C17" s="12" t="n">
        <f aca="false">Inputs!$C$38</f>
        <v>0.0423</v>
      </c>
    </row>
    <row r="18" customFormat="false" ht="15" hidden="false" customHeight="false" outlineLevel="0" collapsed="false">
      <c r="B18" s="5" t="s">
        <v>135</v>
      </c>
      <c r="C18" s="25" t="n">
        <f aca="false">WACC!$C$16+WACC!$C$15*WACC!$C$17</f>
        <v>0.101948522645577</v>
      </c>
      <c r="H18" s="19" t="s">
        <v>136</v>
      </c>
    </row>
    <row r="20" customFormat="false" ht="15" hidden="false" customHeight="false" outlineLevel="0" collapsed="false">
      <c r="B20" s="3" t="s">
        <v>137</v>
      </c>
    </row>
    <row r="21" customFormat="false" ht="15" hidden="false" customHeight="false" outlineLevel="0" collapsed="false">
      <c r="B21" s="28" t="s">
        <v>138</v>
      </c>
      <c r="C21" s="28" t="s">
        <v>139</v>
      </c>
    </row>
    <row r="22" customFormat="false" ht="15" hidden="false" customHeight="false" outlineLevel="0" collapsed="false">
      <c r="B22" s="33" t="n">
        <v>1</v>
      </c>
      <c r="C22" s="24" t="n">
        <v>0.01</v>
      </c>
      <c r="H22" s="19" t="s">
        <v>140</v>
      </c>
    </row>
    <row r="23" customFormat="false" ht="15" hidden="false" customHeight="false" outlineLevel="0" collapsed="false">
      <c r="B23" s="33" t="n">
        <v>2</v>
      </c>
      <c r="C23" s="24" t="n">
        <v>0.0125</v>
      </c>
    </row>
    <row r="24" customFormat="false" ht="15" hidden="false" customHeight="false" outlineLevel="0" collapsed="false">
      <c r="B24" s="33" t="n">
        <v>3</v>
      </c>
      <c r="C24" s="24" t="n">
        <v>0.016</v>
      </c>
    </row>
    <row r="25" customFormat="false" ht="15" hidden="false" customHeight="false" outlineLevel="0" collapsed="false">
      <c r="B25" s="33" t="n">
        <v>4</v>
      </c>
      <c r="C25" s="24" t="n">
        <v>0.02</v>
      </c>
    </row>
    <row r="26" customFormat="false" ht="15" hidden="false" customHeight="false" outlineLevel="0" collapsed="false">
      <c r="B26" s="33" t="n">
        <v>99</v>
      </c>
      <c r="C26" s="24" t="n">
        <v>0.0275</v>
      </c>
    </row>
    <row r="28" customFormat="false" ht="15" hidden="false" customHeight="false" outlineLevel="0" collapsed="false">
      <c r="B28" s="5" t="s">
        <v>141</v>
      </c>
      <c r="C28" s="34" t="n">
        <f aca="false">Inputs!$C$27/Inputs!$C$24</f>
        <v>3.33673469387755</v>
      </c>
    </row>
    <row r="29" customFormat="false" ht="15" hidden="false" customHeight="false" outlineLevel="0" collapsed="false">
      <c r="B29" s="5" t="s">
        <v>142</v>
      </c>
      <c r="C29" s="25" t="n">
        <f aca="false">INDEX(C22:C26,COUNTIF(B22:B26,"&lt;="&amp;WACC!$C$28)+1)</f>
        <v>0.02</v>
      </c>
      <c r="H29" s="19" t="s">
        <v>143</v>
      </c>
    </row>
    <row r="30" customFormat="false" ht="15" hidden="false" customHeight="false" outlineLevel="0" collapsed="false">
      <c r="B30" s="5" t="s">
        <v>144</v>
      </c>
      <c r="C30" s="25" t="n">
        <f aca="false">WACC!$C$16+WACC!$C$29</f>
        <v>0.0721</v>
      </c>
    </row>
    <row r="31" customFormat="false" ht="15" hidden="false" customHeight="false" outlineLevel="0" collapsed="false">
      <c r="B31" s="5" t="s">
        <v>145</v>
      </c>
      <c r="C31" s="25" t="n">
        <f aca="false">WACC!$C$30*(1-WACC!$C$14)</f>
        <v>0.054075</v>
      </c>
    </row>
    <row r="32" customFormat="false" ht="15" hidden="false" customHeight="false" outlineLevel="0" collapsed="false">
      <c r="B32" s="5" t="s">
        <v>146</v>
      </c>
      <c r="C32" s="23" t="n">
        <f aca="false">WACC!$C$12/(WACC!$C$12+WACC!$C$13)</f>
        <v>0.138237159162968</v>
      </c>
      <c r="H32" s="19" t="s">
        <v>147</v>
      </c>
    </row>
    <row r="33" customFormat="false" ht="15" hidden="false" customHeight="false" outlineLevel="0" collapsed="false">
      <c r="B33" s="5" t="s">
        <v>148</v>
      </c>
      <c r="C33" s="23" t="n">
        <f aca="false">1-WACC!$C$32</f>
        <v>0.861762840837032</v>
      </c>
    </row>
    <row r="34" customFormat="false" ht="15" hidden="false" customHeight="false" outlineLevel="0" collapsed="false">
      <c r="B34" s="5" t="s">
        <v>11</v>
      </c>
      <c r="C34" s="35" t="n">
        <f aca="false">WACC!$C$33*WACC!$C$18+WACC!$C$32*WACC!$C$31</f>
        <v>0.0953306228759286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149</v>
      </c>
    </row>
    <row r="2" customFormat="false" ht="15" hidden="false" customHeight="false" outlineLevel="0" collapsed="false">
      <c r="B2" s="5" t="s">
        <v>150</v>
      </c>
      <c r="C2" s="16" t="n">
        <f aca="false">Inputs!$C$12</f>
        <v>3330</v>
      </c>
      <c r="D2" s="5" t="s">
        <v>151</v>
      </c>
      <c r="E2" s="9" t="n">
        <f aca="false">Inputs!$C$23</f>
        <v>0.541291291291291</v>
      </c>
      <c r="F2" s="5" t="s">
        <v>152</v>
      </c>
      <c r="G2" s="16" t="n">
        <f aca="false">Inputs!$C$27</f>
        <v>6540</v>
      </c>
      <c r="H2" s="5" t="s">
        <v>153</v>
      </c>
      <c r="I2" s="16" t="n">
        <f aca="false">Inputs!$C$28</f>
        <v>352.7</v>
      </c>
      <c r="J2" s="5" t="s">
        <v>154</v>
      </c>
      <c r="K2" s="36" t="n">
        <f aca="false">Inputs!$C$7</f>
        <v>72.7</v>
      </c>
      <c r="L2" s="5" t="s">
        <v>155</v>
      </c>
      <c r="M2" s="6" t="n">
        <f aca="false">Inputs!$C$6</f>
        <v>560.797799174691</v>
      </c>
      <c r="N2" s="5" t="s">
        <v>156</v>
      </c>
      <c r="O2" s="37" t="n">
        <f aca="false">Inputs!$C$46</f>
        <v>5</v>
      </c>
      <c r="P2" s="5" t="s">
        <v>157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158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159</v>
      </c>
    </row>
    <row r="6" customFormat="false" ht="15" hidden="false" customHeight="false" outlineLevel="0" collapsed="false">
      <c r="A6" s="38" t="s">
        <v>160</v>
      </c>
      <c r="E6" s="5" t="s">
        <v>11</v>
      </c>
      <c r="F6" s="12" t="n">
        <f aca="false">WACC!$C$34</f>
        <v>0.0953306228759286</v>
      </c>
      <c r="G6" s="5" t="s">
        <v>12</v>
      </c>
      <c r="I6" s="12" t="n">
        <f aca="false">Inputs!$C$37</f>
        <v>0.0283</v>
      </c>
      <c r="W6" s="38" t="s">
        <v>161</v>
      </c>
    </row>
    <row r="7" customFormat="false" ht="23.85" hidden="false" customHeight="false" outlineLevel="0" collapsed="false">
      <c r="A7" s="38" t="s">
        <v>162</v>
      </c>
      <c r="B7" s="28" t="s">
        <v>163</v>
      </c>
      <c r="C7" s="28" t="s">
        <v>164</v>
      </c>
      <c r="D7" s="28" t="s">
        <v>165</v>
      </c>
      <c r="E7" s="28" t="s">
        <v>166</v>
      </c>
      <c r="F7" s="28" t="s">
        <v>167</v>
      </c>
      <c r="G7" s="28" t="s">
        <v>168</v>
      </c>
      <c r="H7" s="28" t="s">
        <v>169</v>
      </c>
      <c r="I7" s="28" t="s">
        <v>170</v>
      </c>
      <c r="J7" s="28" t="s">
        <v>171</v>
      </c>
      <c r="K7" s="28" t="s">
        <v>172</v>
      </c>
      <c r="L7" s="28" t="s">
        <v>173</v>
      </c>
      <c r="M7" s="28" t="s">
        <v>174</v>
      </c>
      <c r="N7" s="28" t="s">
        <v>175</v>
      </c>
      <c r="O7" s="28" t="s">
        <v>176</v>
      </c>
      <c r="P7" s="28" t="s">
        <v>177</v>
      </c>
      <c r="Q7" s="28" t="s">
        <v>178</v>
      </c>
      <c r="R7" s="28" t="s">
        <v>179</v>
      </c>
      <c r="S7" s="28" t="s">
        <v>180</v>
      </c>
      <c r="T7" s="28" t="s">
        <v>181</v>
      </c>
      <c r="W7" s="40" t="n">
        <f aca="false">$D$47</f>
        <v>0.123574744153757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4162.5</v>
      </c>
      <c r="F8" s="15" t="n">
        <f aca="false">E8*(1+IF(F$3&lt;=$O$2,$D8,$D8-($D8-$I$6)*MIN(F$3-$O$2,$Q$2)/$Q$2))</f>
        <v>5203.125</v>
      </c>
      <c r="G8" s="15" t="n">
        <f aca="false">F8*(1+IF(G$3&lt;=$O$2,$D8,$D8-($D8-$I$6)*MIN(G$3-$O$2,$Q$2)/$Q$2))</f>
        <v>6503.90625</v>
      </c>
      <c r="H8" s="15" t="n">
        <f aca="false">G8*(1+IF(H$3&lt;=$O$2,$D8,$D8-($D8-$I$6)*MIN(H$3-$O$2,$Q$2)/$Q$2))</f>
        <v>8129.8828125</v>
      </c>
      <c r="I8" s="15" t="n">
        <f aca="false">H8*(1+IF(I$3&lt;=$O$2,$D8,$D8-($D8-$I$6)*MIN(I$3-$O$2,$Q$2)/$Q$2))</f>
        <v>10162.353515625</v>
      </c>
      <c r="J8" s="15" t="n">
        <f aca="false">I8*(1+IF(J$3&lt;=$O$2,$D8,$D8-($D8-$I$6)*MIN(J$3-$O$2,$Q$2)/$Q$2))</f>
        <v>12252.3431396484</v>
      </c>
      <c r="K8" s="15" t="n">
        <f aca="false">J8*(1+IF(K$3&lt;=$O$2,$D8,$D8-($D8-$I$6)*MIN(K$3-$O$2,$Q$2)/$Q$2))</f>
        <v>14228.8911349365</v>
      </c>
      <c r="L8" s="15" t="n">
        <f aca="false">K8*(1+IF(L$3&lt;=$O$2,$D8,$D8-($D8-$I$6)*MIN(L$3-$O$2,$Q$2)/$Q$2))</f>
        <v>15893.3868199014</v>
      </c>
      <c r="M8" s="15" t="n">
        <f aca="false">L8*(1+IF(M$3&lt;=$O$2,$D8,$D8-($D8-$I$6)*MIN(M$3-$O$2,$Q$2)/$Q$2))</f>
        <v>17047.882438499</v>
      </c>
      <c r="N8" s="15" t="n">
        <f aca="false">M8*(1+IF(N$3&lt;=$O$2,$D8,$D8-($D8-$I$6)*MIN(N$3-$O$2,$Q$2)/$Q$2))</f>
        <v>17530.3375115086</v>
      </c>
      <c r="O8" s="15" t="n">
        <f aca="false">SUMPRODUCT(E8:N8,1/(1+$F$6)^$E$3:$N$3)*$E$2</f>
        <v>33577.9117547546</v>
      </c>
      <c r="P8" s="15" t="n">
        <f aca="false">N8*$E$2*(1+$I$6)/($F$6-$I$6)/(1+$F$6)^$N$3</f>
        <v>58561.9596918242</v>
      </c>
      <c r="Q8" s="15" t="n">
        <f aca="false">O8+P8</f>
        <v>92139.8714465788</v>
      </c>
      <c r="R8" s="15" t="n">
        <f aca="false">Q8-$G$2+$I$2</f>
        <v>85952.5714465788</v>
      </c>
      <c r="S8" s="42" t="n">
        <f aca="false">R8/$K$2</f>
        <v>1182.29121659668</v>
      </c>
      <c r="T8" s="43" t="n">
        <f aca="false">S8-$M$2</f>
        <v>621.493417421991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2913.75</v>
      </c>
      <c r="F9" s="15" t="n">
        <f aca="false">E9*(1+IF(F$3&lt;=$O$2,$D9,$D9-($D9-$I$6)*MIN(F$3-$O$2,$Q$2)/$Q$2))</f>
        <v>2549.53125</v>
      </c>
      <c r="G9" s="15" t="n">
        <f aca="false">F9*(1+IF(G$3&lt;=$O$2,$D9,$D9-($D9-$I$6)*MIN(G$3-$O$2,$Q$2)/$Q$2))</f>
        <v>2230.83984375</v>
      </c>
      <c r="H9" s="15" t="n">
        <f aca="false">G9*(1+IF(H$3&lt;=$O$2,$D9,$D9-($D9-$I$6)*MIN(H$3-$O$2,$Q$2)/$Q$2))</f>
        <v>1951.98486328125</v>
      </c>
      <c r="I9" s="15" t="n">
        <f aca="false">H9*(1+IF(I$3&lt;=$O$2,$D9,$D9-($D9-$I$6)*MIN(I$3-$O$2,$Q$2)/$Q$2))</f>
        <v>1707.98675537109</v>
      </c>
      <c r="J9" s="15" t="n">
        <f aca="false">I9*(1+IF(J$3&lt;=$O$2,$D9,$D9-($D9-$I$6)*MIN(J$3-$O$2,$Q$2)/$Q$2))</f>
        <v>1546.85528486938</v>
      </c>
      <c r="K9" s="15" t="n">
        <f aca="false">J9*(1+IF(K$3&lt;=$O$2,$D9,$D9-($D9-$I$6)*MIN(K$3-$O$2,$Q$2)/$Q$2))</f>
        <v>1448.3515403289</v>
      </c>
      <c r="L9" s="15" t="n">
        <f aca="false">K9*(1+IF(L$3&lt;=$O$2,$D9,$D9-($D9-$I$6)*MIN(L$3-$O$2,$Q$2)/$Q$2))</f>
        <v>1400.52697246724</v>
      </c>
      <c r="M9" s="15" t="n">
        <f aca="false">L9*(1+IF(M$3&lt;=$O$2,$D9,$D9-($D9-$I$6)*MIN(M$3-$O$2,$Q$2)/$Q$2))</f>
        <v>1397.22172881222</v>
      </c>
      <c r="N9" s="15" t="n">
        <f aca="false">M9*(1+IF(N$3&lt;=$O$2,$D9,$D9-($D9-$I$6)*MIN(N$3-$O$2,$Q$2)/$Q$2))</f>
        <v>1436.76310373761</v>
      </c>
      <c r="O9" s="15" t="n">
        <f aca="false">SUMPRODUCT(E9:N9,1/(1+$F$6)^$E$3:$N$3)*$E$2</f>
        <v>6740.87887765708</v>
      </c>
      <c r="P9" s="15" t="n">
        <f aca="false">N9*$E$2*(1+$I$6)/($F$6-$I$6)/(1+$F$6)^$N$3</f>
        <v>4799.66018409769</v>
      </c>
      <c r="Q9" s="15" t="n">
        <f aca="false">O9+P9</f>
        <v>11540.5390617548</v>
      </c>
      <c r="R9" s="15" t="n">
        <f aca="false">Q9-$G$2+$I$2</f>
        <v>5353.23906175476</v>
      </c>
      <c r="S9" s="42" t="n">
        <f aca="false">R9/$K$2</f>
        <v>73.6346500929128</v>
      </c>
      <c r="T9" s="43" t="n">
        <f aca="false">S9-$M$2</f>
        <v>-487.163149081778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3538.125</v>
      </c>
      <c r="F10" s="15" t="n">
        <f aca="false">E10*(1+IF(F$3&lt;=$O$2,$D10,$D10-($D10-$I$6)*MIN(F$3-$O$2,$Q$2)/$Q$2))</f>
        <v>3759.2578125</v>
      </c>
      <c r="G10" s="15" t="n">
        <f aca="false">F10*(1+IF(G$3&lt;=$O$2,$D10,$D10-($D10-$I$6)*MIN(G$3-$O$2,$Q$2)/$Q$2))</f>
        <v>3994.21142578125</v>
      </c>
      <c r="H10" s="15" t="n">
        <f aca="false">G10*(1+IF(H$3&lt;=$O$2,$D10,$D10-($D10-$I$6)*MIN(H$3-$O$2,$Q$2)/$Q$2))</f>
        <v>4243.84963989258</v>
      </c>
      <c r="I10" s="15" t="n">
        <f aca="false">H10*(1+IF(I$3&lt;=$O$2,$D10,$D10-($D10-$I$6)*MIN(I$3-$O$2,$Q$2)/$Q$2))</f>
        <v>4509.09024238586</v>
      </c>
      <c r="J10" s="15" t="n">
        <f aca="false">I10*(1+IF(J$3&lt;=$O$2,$D10,$D10-($D10-$I$6)*MIN(J$3-$O$2,$Q$2)/$Q$2))</f>
        <v>4760.06620527706</v>
      </c>
      <c r="K10" s="15" t="n">
        <f aca="false">J10*(1+IF(K$3&lt;=$O$2,$D10,$D10-($D10-$I$6)*MIN(K$3-$O$2,$Q$2)/$Q$2))</f>
        <v>4992.45263741869</v>
      </c>
      <c r="L10" s="15" t="n">
        <f aca="false">K10*(1+IF(L$3&lt;=$O$2,$D10,$D10-($D10-$I$6)*MIN(L$3-$O$2,$Q$2)/$Q$2))</f>
        <v>5202.03579913752</v>
      </c>
      <c r="M10" s="15" t="n">
        <f aca="false">L10*(1+IF(M$3&lt;=$O$2,$D10,$D10-($D10-$I$6)*MIN(M$3-$O$2,$Q$2)/$Q$2))</f>
        <v>5384.83533711922</v>
      </c>
      <c r="N10" s="15" t="n">
        <f aca="false">M10*(1+IF(N$3&lt;=$O$2,$D10,$D10-($D10-$I$6)*MIN(N$3-$O$2,$Q$2)/$Q$2))</f>
        <v>5537.22617715969</v>
      </c>
      <c r="O10" s="15" t="n">
        <f aca="false">SUMPRODUCT(E10:N10,1/(1+$F$6)^$E$3:$N$3)*$E$2</f>
        <v>15003.6863065712</v>
      </c>
      <c r="P10" s="15" t="n">
        <f aca="false">N10*$E$2*(1+$I$6)/($F$6-$I$6)/(1+$F$6)^$N$3</f>
        <v>18497.6938395201</v>
      </c>
      <c r="Q10" s="15" t="n">
        <f aca="false">O10+P10</f>
        <v>33501.3801460913</v>
      </c>
      <c r="R10" s="15" t="n">
        <f aca="false">Q10-$G$2+$I$2</f>
        <v>27314.0801460913</v>
      </c>
      <c r="S10" s="42" t="n">
        <f aca="false">R10/$K$2</f>
        <v>375.709493068655</v>
      </c>
      <c r="T10" s="43" t="n">
        <f aca="false">S10-$M$2</f>
        <v>-185.088306106035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0.0625</v>
      </c>
      <c r="C11" s="25" t="n">
        <f aca="false">IF(T10&gt;0,D10,C10)</f>
        <v>0.25</v>
      </c>
      <c r="D11" s="41" t="n">
        <f aca="false">(B11+C11)/2</f>
        <v>0.15625</v>
      </c>
      <c r="E11" s="15" t="n">
        <f aca="false">$C$2*(1+IF(E$3&lt;=$O$2,$D11,$D11-($D11-$I$6)*MIN(E$3-$O$2,$Q$2)/$Q$2))</f>
        <v>3850.3125</v>
      </c>
      <c r="F11" s="15" t="n">
        <f aca="false">E11*(1+IF(F$3&lt;=$O$2,$D11,$D11-($D11-$I$6)*MIN(F$3-$O$2,$Q$2)/$Q$2))</f>
        <v>4451.923828125</v>
      </c>
      <c r="G11" s="15" t="n">
        <f aca="false">F11*(1+IF(G$3&lt;=$O$2,$D11,$D11-($D11-$I$6)*MIN(G$3-$O$2,$Q$2)/$Q$2))</f>
        <v>5147.53692626953</v>
      </c>
      <c r="H11" s="15" t="n">
        <f aca="false">G11*(1+IF(H$3&lt;=$O$2,$D11,$D11-($D11-$I$6)*MIN(H$3-$O$2,$Q$2)/$Q$2))</f>
        <v>5951.83957099915</v>
      </c>
      <c r="I11" s="15" t="n">
        <f aca="false">H11*(1+IF(I$3&lt;=$O$2,$D11,$D11-($D11-$I$6)*MIN(I$3-$O$2,$Q$2)/$Q$2))</f>
        <v>6881.81450396776</v>
      </c>
      <c r="J11" s="15" t="n">
        <f aca="false">I11*(1+IF(J$3&lt;=$O$2,$D11,$D11-($D11-$I$6)*MIN(J$3-$O$2,$Q$2)/$Q$2))</f>
        <v>7780.99238705619</v>
      </c>
      <c r="K11" s="15" t="n">
        <f aca="false">J11*(1+IF(K$3&lt;=$O$2,$D11,$D11-($D11-$I$6)*MIN(K$3-$O$2,$Q$2)/$Q$2))</f>
        <v>8598.54125716418</v>
      </c>
      <c r="L11" s="15" t="n">
        <f aca="false">K11*(1+IF(L$3&lt;=$O$2,$D11,$D11-($D11-$I$6)*MIN(L$3-$O$2,$Q$2)/$Q$2))</f>
        <v>9281.95331628359</v>
      </c>
      <c r="M11" s="15" t="n">
        <f aca="false">L11*(1+IF(M$3&lt;=$O$2,$D11,$D11-($D11-$I$6)*MIN(M$3-$O$2,$Q$2)/$Q$2))</f>
        <v>9782.15778049812</v>
      </c>
      <c r="N11" s="15" t="n">
        <f aca="false">M11*(1+IF(N$3&lt;=$O$2,$D11,$D11-($D11-$I$6)*MIN(N$3-$O$2,$Q$2)/$Q$2))</f>
        <v>10058.9928456862</v>
      </c>
      <c r="O11" s="15" t="n">
        <f aca="false">SUMPRODUCT(E11:N11,1/(1+$F$6)^$E$3:$N$3)*$E$2</f>
        <v>22480.6840228325</v>
      </c>
      <c r="P11" s="15" t="n">
        <f aca="false">N11*$E$2*(1+$I$6)/($F$6-$I$6)/(1+$F$6)^$N$3</f>
        <v>33603.1370293185</v>
      </c>
      <c r="Q11" s="15" t="n">
        <f aca="false">O11+P11</f>
        <v>56083.821052151</v>
      </c>
      <c r="R11" s="15" t="n">
        <f aca="false">Q11-$G$2+$I$2</f>
        <v>49896.521052151</v>
      </c>
      <c r="S11" s="42" t="n">
        <f aca="false">R11/$K$2</f>
        <v>686.334539919545</v>
      </c>
      <c r="T11" s="43" t="n">
        <f aca="false">S11-$M$2</f>
        <v>125.536740744855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0.0625</v>
      </c>
      <c r="C12" s="25" t="n">
        <f aca="false">IF(T11&gt;0,D11,C11)</f>
        <v>0.15625</v>
      </c>
      <c r="D12" s="41" t="n">
        <f aca="false">(B12+C12)/2</f>
        <v>0.109375</v>
      </c>
      <c r="E12" s="15" t="n">
        <f aca="false">$C$2*(1+IF(E$3&lt;=$O$2,$D12,$D12-($D12-$I$6)*MIN(E$3-$O$2,$Q$2)/$Q$2))</f>
        <v>3694.21875</v>
      </c>
      <c r="F12" s="15" t="n">
        <f aca="false">E12*(1+IF(F$3&lt;=$O$2,$D12,$D12-($D12-$I$6)*MIN(F$3-$O$2,$Q$2)/$Q$2))</f>
        <v>4098.27392578125</v>
      </c>
      <c r="G12" s="15" t="n">
        <f aca="false">F12*(1+IF(G$3&lt;=$O$2,$D12,$D12-($D12-$I$6)*MIN(G$3-$O$2,$Q$2)/$Q$2))</f>
        <v>4546.52263641357</v>
      </c>
      <c r="H12" s="15" t="n">
        <f aca="false">G12*(1+IF(H$3&lt;=$O$2,$D12,$D12-($D12-$I$6)*MIN(H$3-$O$2,$Q$2)/$Q$2))</f>
        <v>5043.79854977131</v>
      </c>
      <c r="I12" s="15" t="n">
        <f aca="false">H12*(1+IF(I$3&lt;=$O$2,$D12,$D12-($D12-$I$6)*MIN(I$3-$O$2,$Q$2)/$Q$2))</f>
        <v>5595.46401615255</v>
      </c>
      <c r="J12" s="15" t="n">
        <f aca="false">I12*(1+IF(J$3&lt;=$O$2,$D12,$D12-($D12-$I$6)*MIN(J$3-$O$2,$Q$2)/$Q$2))</f>
        <v>6116.73744389732</v>
      </c>
      <c r="K12" s="15" t="n">
        <f aca="false">J12*(1+IF(K$3&lt;=$O$2,$D12,$D12-($D12-$I$6)*MIN(K$3-$O$2,$Q$2)/$Q$2))</f>
        <v>6587.389806518</v>
      </c>
      <c r="L12" s="15" t="n">
        <f aca="false">K12*(1+IF(L$3&lt;=$O$2,$D12,$D12-($D12-$I$6)*MIN(L$3-$O$2,$Q$2)/$Q$2))</f>
        <v>6987.44198946783</v>
      </c>
      <c r="M12" s="15" t="n">
        <f aca="false">L12*(1+IF(M$3&lt;=$O$2,$D12,$D12-($D12-$I$6)*MIN(M$3-$O$2,$Q$2)/$Q$2))</f>
        <v>7298.48796962899</v>
      </c>
      <c r="N12" s="15" t="n">
        <f aca="false">M12*(1+IF(N$3&lt;=$O$2,$D12,$D12-($D12-$I$6)*MIN(N$3-$O$2,$Q$2)/$Q$2))</f>
        <v>7505.0351791695</v>
      </c>
      <c r="O12" s="15" t="n">
        <f aca="false">SUMPRODUCT(E12:N12,1/(1+$F$6)^$E$3:$N$3)*$E$2</f>
        <v>18368.1391182169</v>
      </c>
      <c r="P12" s="15" t="n">
        <f aca="false">N12*$E$2*(1+$I$6)/($F$6-$I$6)/(1+$F$6)^$N$3</f>
        <v>25071.3694108691</v>
      </c>
      <c r="Q12" s="15" t="n">
        <f aca="false">O12+P12</f>
        <v>43439.5085290859</v>
      </c>
      <c r="R12" s="15" t="n">
        <f aca="false">Q12-$G$2+$I$2</f>
        <v>37252.2085290859</v>
      </c>
      <c r="S12" s="42" t="n">
        <f aca="false">R12/$K$2</f>
        <v>512.410021032819</v>
      </c>
      <c r="T12" s="43" t="n">
        <f aca="false">S12-$M$2</f>
        <v>-48.3877781418717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0.109375</v>
      </c>
      <c r="C13" s="25" t="n">
        <f aca="false">IF(T12&gt;0,D12,C12)</f>
        <v>0.15625</v>
      </c>
      <c r="D13" s="41" t="n">
        <f aca="false">(B13+C13)/2</f>
        <v>0.1328125</v>
      </c>
      <c r="E13" s="15" t="n">
        <f aca="false">$C$2*(1+IF(E$3&lt;=$O$2,$D13,$D13-($D13-$I$6)*MIN(E$3-$O$2,$Q$2)/$Q$2))</f>
        <v>3772.265625</v>
      </c>
      <c r="F13" s="15" t="n">
        <f aca="false">E13*(1+IF(F$3&lt;=$O$2,$D13,$D13-($D13-$I$6)*MIN(F$3-$O$2,$Q$2)/$Q$2))</f>
        <v>4273.26965332031</v>
      </c>
      <c r="G13" s="15" t="n">
        <f aca="false">F13*(1+IF(G$3&lt;=$O$2,$D13,$D13-($D13-$I$6)*MIN(G$3-$O$2,$Q$2)/$Q$2))</f>
        <v>4840.81327915192</v>
      </c>
      <c r="H13" s="15" t="n">
        <f aca="false">G13*(1+IF(H$3&lt;=$O$2,$D13,$D13-($D13-$I$6)*MIN(H$3-$O$2,$Q$2)/$Q$2))</f>
        <v>5483.73379278928</v>
      </c>
      <c r="I13" s="15" t="n">
        <f aca="false">H13*(1+IF(I$3&lt;=$O$2,$D13,$D13-($D13-$I$6)*MIN(I$3-$O$2,$Q$2)/$Q$2))</f>
        <v>6212.04218714411</v>
      </c>
      <c r="J13" s="15" t="n">
        <f aca="false">I13*(1+IF(J$3&lt;=$O$2,$D13,$D13-($D13-$I$6)*MIN(J$3-$O$2,$Q$2)/$Q$2))</f>
        <v>6907.2318283074</v>
      </c>
      <c r="K13" s="15" t="n">
        <f aca="false">J13*(1+IF(K$3&lt;=$O$2,$D13,$D13-($D13-$I$6)*MIN(K$3-$O$2,$Q$2)/$Q$2))</f>
        <v>7535.84172892209</v>
      </c>
      <c r="L13" s="15" t="n">
        <f aca="false">K13*(1+IF(L$3&lt;=$O$2,$D13,$D13-($D13-$I$6)*MIN(L$3-$O$2,$Q$2)/$Q$2))</f>
        <v>8064.14191332817</v>
      </c>
      <c r="M13" s="15" t="n">
        <f aca="false">L13*(1+IF(M$3&lt;=$O$2,$D13,$D13-($D13-$I$6)*MIN(M$3-$O$2,$Q$2)/$Q$2))</f>
        <v>8460.9178558187</v>
      </c>
      <c r="N13" s="15" t="n">
        <f aca="false">M13*(1+IF(N$3&lt;=$O$2,$D13,$D13-($D13-$I$6)*MIN(N$3-$O$2,$Q$2)/$Q$2))</f>
        <v>8700.36183113837</v>
      </c>
      <c r="O13" s="15" t="n">
        <f aca="false">SUMPRODUCT(E13:N13,1/(1+$F$6)^$E$3:$N$3)*$E$2</f>
        <v>20322.0475561795</v>
      </c>
      <c r="P13" s="15" t="n">
        <f aca="false">N13*$E$2*(1+$I$6)/($F$6-$I$6)/(1+$F$6)^$N$3</f>
        <v>29064.4854113573</v>
      </c>
      <c r="Q13" s="15" t="n">
        <f aca="false">O13+P13</f>
        <v>49386.5329675369</v>
      </c>
      <c r="R13" s="15" t="n">
        <f aca="false">Q13-$G$2+$I$2</f>
        <v>43199.2329675368</v>
      </c>
      <c r="S13" s="42" t="n">
        <f aca="false">R13/$K$2</f>
        <v>594.212282909723</v>
      </c>
      <c r="T13" s="43" t="n">
        <f aca="false">S13-$M$2</f>
        <v>33.4144837350323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0.109375</v>
      </c>
      <c r="C14" s="25" t="n">
        <f aca="false">IF(T13&gt;0,D13,C13)</f>
        <v>0.1328125</v>
      </c>
      <c r="D14" s="41" t="n">
        <f aca="false">(B14+C14)/2</f>
        <v>0.12109375</v>
      </c>
      <c r="E14" s="15" t="n">
        <f aca="false">$C$2*(1+IF(E$3&lt;=$O$2,$D14,$D14-($D14-$I$6)*MIN(E$3-$O$2,$Q$2)/$Q$2))</f>
        <v>3733.2421875</v>
      </c>
      <c r="F14" s="15" t="n">
        <f aca="false">E14*(1+IF(F$3&lt;=$O$2,$D14,$D14-($D14-$I$6)*MIN(F$3-$O$2,$Q$2)/$Q$2))</f>
        <v>4185.31448364258</v>
      </c>
      <c r="G14" s="15" t="n">
        <f aca="false">F14*(1+IF(G$3&lt;=$O$2,$D14,$D14-($D14-$I$6)*MIN(G$3-$O$2,$Q$2)/$Q$2))</f>
        <v>4692.12990939617</v>
      </c>
      <c r="H14" s="15" t="n">
        <f aca="false">G14*(1+IF(H$3&lt;=$O$2,$D14,$D14-($D14-$I$6)*MIN(H$3-$O$2,$Q$2)/$Q$2))</f>
        <v>5260.31751561211</v>
      </c>
      <c r="I14" s="15" t="n">
        <f aca="false">H14*(1+IF(I$3&lt;=$O$2,$D14,$D14-($D14-$I$6)*MIN(I$3-$O$2,$Q$2)/$Q$2))</f>
        <v>5897.30908976827</v>
      </c>
      <c r="J14" s="15" t="n">
        <f aca="false">I14*(1+IF(J$3&lt;=$O$2,$D14,$D14-($D14-$I$6)*MIN(J$3-$O$2,$Q$2)/$Q$2))</f>
        <v>6501.98967728766</v>
      </c>
      <c r="K14" s="15" t="n">
        <f aca="false">J14*(1+IF(K$3&lt;=$O$2,$D14,$D14-($D14-$I$6)*MIN(K$3-$O$2,$Q$2)/$Q$2))</f>
        <v>7048.00238792499</v>
      </c>
      <c r="L14" s="15" t="n">
        <f aca="false">K14*(1+IF(L$3&lt;=$O$2,$D14,$D14-($D14-$I$6)*MIN(L$3-$O$2,$Q$2)/$Q$2))</f>
        <v>7509.06508413707</v>
      </c>
      <c r="M14" s="15" t="n">
        <f aca="false">L14*(1+IF(M$3&lt;=$O$2,$D14,$D14-($D14-$I$6)*MIN(M$3-$O$2,$Q$2)/$Q$2))</f>
        <v>7860.93048764838</v>
      </c>
      <c r="N14" s="15" t="n">
        <f aca="false">M14*(1+IF(N$3&lt;=$O$2,$D14,$D14-($D14-$I$6)*MIN(N$3-$O$2,$Q$2)/$Q$2))</f>
        <v>8083.39482044883</v>
      </c>
      <c r="O14" s="15" t="n">
        <f aca="false">SUMPRODUCT(E14:N14,1/(1+$F$6)^$E$3:$N$3)*$E$2</f>
        <v>19320.6645162881</v>
      </c>
      <c r="P14" s="15" t="n">
        <f aca="false">N14*$E$2*(1+$I$6)/($F$6-$I$6)/(1+$F$6)^$N$3</f>
        <v>27003.441396234</v>
      </c>
      <c r="Q14" s="15" t="n">
        <f aca="false">O14+P14</f>
        <v>46324.1059125221</v>
      </c>
      <c r="R14" s="15" t="n">
        <f aca="false">Q14-$G$2+$I$2</f>
        <v>40136.8059125221</v>
      </c>
      <c r="S14" s="42" t="n">
        <f aca="false">R14/$K$2</f>
        <v>552.088114340057</v>
      </c>
      <c r="T14" s="43" t="n">
        <f aca="false">S14-$M$2</f>
        <v>-8.70968483463378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0.12109375</v>
      </c>
      <c r="C15" s="25" t="n">
        <f aca="false">IF(T14&gt;0,D14,C14)</f>
        <v>0.1328125</v>
      </c>
      <c r="D15" s="41" t="n">
        <f aca="false">(B15+C15)/2</f>
        <v>0.126953125</v>
      </c>
      <c r="E15" s="15" t="n">
        <f aca="false">$C$2*(1+IF(E$3&lt;=$O$2,$D15,$D15-($D15-$I$6)*MIN(E$3-$O$2,$Q$2)/$Q$2))</f>
        <v>3752.75390625</v>
      </c>
      <c r="F15" s="15" t="n">
        <f aca="false">E15*(1+IF(F$3&lt;=$O$2,$D15,$D15-($D15-$I$6)*MIN(F$3-$O$2,$Q$2)/$Q$2))</f>
        <v>4229.17774200439</v>
      </c>
      <c r="G15" s="15" t="n">
        <f aca="false">F15*(1+IF(G$3&lt;=$O$2,$D15,$D15-($D15-$I$6)*MIN(G$3-$O$2,$Q$2)/$Q$2))</f>
        <v>4766.0850725323</v>
      </c>
      <c r="H15" s="15" t="n">
        <f aca="false">G15*(1+IF(H$3&lt;=$O$2,$D15,$D15-($D15-$I$6)*MIN(H$3-$O$2,$Q$2)/$Q$2))</f>
        <v>5371.15446650612</v>
      </c>
      <c r="I15" s="15" t="n">
        <f aca="false">H15*(1+IF(I$3&lt;=$O$2,$D15,$D15-($D15-$I$6)*MIN(I$3-$O$2,$Q$2)/$Q$2))</f>
        <v>6053.03931088678</v>
      </c>
      <c r="J15" s="15" t="n">
        <f aca="false">I15*(1+IF(J$3&lt;=$O$2,$D15,$D15-($D15-$I$6)*MIN(J$3-$O$2,$Q$2)/$Q$2))</f>
        <v>6702.06131839834</v>
      </c>
      <c r="K15" s="15" t="n">
        <f aca="false">J15*(1+IF(K$3&lt;=$O$2,$D15,$D15-($D15-$I$6)*MIN(K$3-$O$2,$Q$2)/$Q$2))</f>
        <v>7288.43722950999</v>
      </c>
      <c r="L15" s="15" t="n">
        <f aca="false">K15*(1+IF(L$3&lt;=$O$2,$D15,$D15-($D15-$I$6)*MIN(L$3-$O$2,$Q$2)/$Q$2))</f>
        <v>7782.31084672812</v>
      </c>
      <c r="M15" s="15" t="n">
        <f aca="false">L15*(1+IF(M$3&lt;=$O$2,$D15,$D15-($D15-$I$6)*MIN(M$3-$O$2,$Q$2)/$Q$2))</f>
        <v>8156.10010064075</v>
      </c>
      <c r="N15" s="15" t="n">
        <f aca="false">M15*(1+IF(N$3&lt;=$O$2,$D15,$D15-($D15-$I$6)*MIN(N$3-$O$2,$Q$2)/$Q$2))</f>
        <v>8386.91773348888</v>
      </c>
      <c r="O15" s="15" t="n">
        <f aca="false">SUMPRODUCT(E15:N15,1/(1+$F$6)^$E$3:$N$3)*$E$2</f>
        <v>19815.107161181</v>
      </c>
      <c r="P15" s="15" t="n">
        <f aca="false">N15*$E$2*(1+$I$6)/($F$6-$I$6)/(1+$F$6)^$N$3</f>
        <v>28017.3920168269</v>
      </c>
      <c r="Q15" s="15" t="n">
        <f aca="false">O15+P15</f>
        <v>47832.4991780079</v>
      </c>
      <c r="R15" s="15" t="n">
        <f aca="false">Q15-$G$2+$I$2</f>
        <v>41645.1991780079</v>
      </c>
      <c r="S15" s="42" t="n">
        <f aca="false">R15/$K$2</f>
        <v>572.836302310975</v>
      </c>
      <c r="T15" s="43" t="n">
        <f aca="false">S15-$M$2</f>
        <v>12.0385031362845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0.12109375</v>
      </c>
      <c r="C16" s="25" t="n">
        <f aca="false">IF(T15&gt;0,D15,C15)</f>
        <v>0.126953125</v>
      </c>
      <c r="D16" s="41" t="n">
        <f aca="false">(B16+C16)/2</f>
        <v>0.1240234375</v>
      </c>
      <c r="E16" s="15" t="n">
        <f aca="false">$C$2*(1+IF(E$3&lt;=$O$2,$D16,$D16-($D16-$I$6)*MIN(E$3-$O$2,$Q$2)/$Q$2))</f>
        <v>3742.998046875</v>
      </c>
      <c r="F16" s="15" t="n">
        <f aca="false">E16*(1+IF(F$3&lt;=$O$2,$D16,$D16-($D16-$I$6)*MIN(F$3-$O$2,$Q$2)/$Q$2))</f>
        <v>4207.21753120422</v>
      </c>
      <c r="G16" s="15" t="n">
        <f aca="false">F16*(1+IF(G$3&lt;=$O$2,$D16,$D16-($D16-$I$6)*MIN(G$3-$O$2,$Q$2)/$Q$2))</f>
        <v>4729.01111173444</v>
      </c>
      <c r="H16" s="15" t="n">
        <f aca="false">G16*(1+IF(H$3&lt;=$O$2,$D16,$D16-($D16-$I$6)*MIN(H$3-$O$2,$Q$2)/$Q$2))</f>
        <v>5315.51932578744</v>
      </c>
      <c r="I16" s="15" t="n">
        <f aca="false">H16*(1+IF(I$3&lt;=$O$2,$D16,$D16-($D16-$I$6)*MIN(I$3-$O$2,$Q$2)/$Q$2))</f>
        <v>5974.76830466928</v>
      </c>
      <c r="J16" s="15" t="n">
        <f aca="false">I16*(1+IF(J$3&lt;=$O$2,$D16,$D16-($D16-$I$6)*MIN(J$3-$O$2,$Q$2)/$Q$2))</f>
        <v>6601.39453600261</v>
      </c>
      <c r="K16" s="15" t="n">
        <f aca="false">J16*(1+IF(K$3&lt;=$O$2,$D16,$D16-($D16-$I$6)*MIN(K$3-$O$2,$Q$2)/$Q$2))</f>
        <v>7167.35890773942</v>
      </c>
      <c r="L16" s="15" t="n">
        <f aca="false">K16*(1+IF(L$3&lt;=$O$2,$D16,$D16-($D16-$I$6)*MIN(L$3-$O$2,$Q$2)/$Q$2))</f>
        <v>7644.62885780647</v>
      </c>
      <c r="M16" s="15" t="n">
        <f aca="false">L16*(1+IF(M$3&lt;=$O$2,$D16,$D16-($D16-$I$6)*MIN(M$3-$O$2,$Q$2)/$Q$2))</f>
        <v>8007.32588501858</v>
      </c>
      <c r="N16" s="15" t="n">
        <f aca="false">M16*(1+IF(N$3&lt;=$O$2,$D16,$D16-($D16-$I$6)*MIN(N$3-$O$2,$Q$2)/$Q$2))</f>
        <v>8233.9332075646</v>
      </c>
      <c r="O16" s="15" t="n">
        <f aca="false">SUMPRODUCT(E16:N16,1/(1+$F$6)^$E$3:$N$3)*$E$2</f>
        <v>19566.3415498367</v>
      </c>
      <c r="P16" s="15" t="n">
        <f aca="false">N16*$E$2*(1+$I$6)/($F$6-$I$6)/(1+$F$6)^$N$3</f>
        <v>27506.330912911</v>
      </c>
      <c r="Q16" s="15" t="n">
        <f aca="false">O16+P16</f>
        <v>47072.6724627477</v>
      </c>
      <c r="R16" s="15" t="n">
        <f aca="false">Q16-$G$2+$I$2</f>
        <v>40885.3724627477</v>
      </c>
      <c r="S16" s="42" t="n">
        <f aca="false">R16/$K$2</f>
        <v>562.384765649899</v>
      </c>
      <c r="T16" s="43" t="n">
        <f aca="false">S16-$M$2</f>
        <v>1.58696647520856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0.12109375</v>
      </c>
      <c r="C17" s="25" t="n">
        <f aca="false">IF(T16&gt;0,D16,C16)</f>
        <v>0.1240234375</v>
      </c>
      <c r="D17" s="41" t="n">
        <f aca="false">(B17+C17)/2</f>
        <v>0.12255859375</v>
      </c>
      <c r="E17" s="15" t="n">
        <f aca="false">$C$2*(1+IF(E$3&lt;=$O$2,$D17,$D17-($D17-$I$6)*MIN(E$3-$O$2,$Q$2)/$Q$2))</f>
        <v>3738.1201171875</v>
      </c>
      <c r="F17" s="15" t="n">
        <f aca="false">E17*(1+IF(F$3&lt;=$O$2,$D17,$D17-($D17-$I$6)*MIN(F$3-$O$2,$Q$2)/$Q$2))</f>
        <v>4196.25886201859</v>
      </c>
      <c r="G17" s="15" t="n">
        <f aca="false">F17*(1+IF(G$3&lt;=$O$2,$D17,$D17-($D17-$I$6)*MIN(G$3-$O$2,$Q$2)/$Q$2))</f>
        <v>4710.54644715856</v>
      </c>
      <c r="H17" s="15" t="n">
        <f aca="false">G17*(1+IF(H$3&lt;=$O$2,$D17,$D17-($D17-$I$6)*MIN(H$3-$O$2,$Q$2)/$Q$2))</f>
        <v>5287.86439551637</v>
      </c>
      <c r="I17" s="15" t="n">
        <f aca="false">H17*(1+IF(I$3&lt;=$O$2,$D17,$D17-($D17-$I$6)*MIN(I$3-$O$2,$Q$2)/$Q$2))</f>
        <v>5935.93761977155</v>
      </c>
      <c r="J17" s="15" t="n">
        <f aca="false">I17*(1+IF(J$3&lt;=$O$2,$D17,$D17-($D17-$I$6)*MIN(J$3-$O$2,$Q$2)/$Q$2))</f>
        <v>6551.535160513</v>
      </c>
      <c r="K17" s="15" t="n">
        <f aca="false">J17*(1+IF(K$3&lt;=$O$2,$D17,$D17-($D17-$I$6)*MIN(K$3-$O$2,$Q$2)/$Q$2))</f>
        <v>7107.4667002357</v>
      </c>
      <c r="L17" s="15" t="n">
        <f aca="false">K17*(1+IF(L$3&lt;=$O$2,$D17,$D17-($D17-$I$6)*MIN(L$3-$O$2,$Q$2)/$Q$2))</f>
        <v>7576.58393436803</v>
      </c>
      <c r="M17" s="15" t="n">
        <f aca="false">L17*(1+IF(M$3&lt;=$O$2,$D17,$D17-($D17-$I$6)*MIN(M$3-$O$2,$Q$2)/$Q$2))</f>
        <v>7933.83288912712</v>
      </c>
      <c r="N17" s="15" t="n">
        <f aca="false">M17*(1+IF(N$3&lt;=$O$2,$D17,$D17-($D17-$I$6)*MIN(N$3-$O$2,$Q$2)/$Q$2))</f>
        <v>8158.36035988942</v>
      </c>
      <c r="O17" s="15" t="n">
        <f aca="false">SUMPRODUCT(E17:N17,1/(1+$F$6)^$E$3:$N$3)*$E$2</f>
        <v>19443.1191825784</v>
      </c>
      <c r="P17" s="15" t="n">
        <f aca="false">N17*$E$2*(1+$I$6)/($F$6-$I$6)/(1+$F$6)^$N$3</f>
        <v>27253.8717656501</v>
      </c>
      <c r="Q17" s="15" t="n">
        <f aca="false">O17+P17</f>
        <v>46696.9909482285</v>
      </c>
      <c r="R17" s="15" t="n">
        <f aca="false">Q17-$G$2+$I$2</f>
        <v>40509.6909482285</v>
      </c>
      <c r="S17" s="42" t="n">
        <f aca="false">R17/$K$2</f>
        <v>557.217206990763</v>
      </c>
      <c r="T17" s="43" t="n">
        <f aca="false">S17-$M$2</f>
        <v>-3.58059218392714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0.12255859375</v>
      </c>
      <c r="C18" s="25" t="n">
        <f aca="false">IF(T17&gt;0,D17,C17)</f>
        <v>0.1240234375</v>
      </c>
      <c r="D18" s="41" t="n">
        <f aca="false">(B18+C18)/2</f>
        <v>0.123291015625</v>
      </c>
      <c r="E18" s="15" t="n">
        <f aca="false">$C$2*(1+IF(E$3&lt;=$O$2,$D18,$D18-($D18-$I$6)*MIN(E$3-$O$2,$Q$2)/$Q$2))</f>
        <v>3740.55908203125</v>
      </c>
      <c r="F18" s="15" t="n">
        <f aca="false">E18*(1+IF(F$3&lt;=$O$2,$D18,$D18-($D18-$I$6)*MIN(F$3-$O$2,$Q$2)/$Q$2))</f>
        <v>4201.7364102602</v>
      </c>
      <c r="G18" s="15" t="n">
        <f aca="false">F18*(1+IF(G$3&lt;=$O$2,$D18,$D18-($D18-$I$6)*MIN(G$3-$O$2,$Q$2)/$Q$2))</f>
        <v>4719.77275966972</v>
      </c>
      <c r="H18" s="15" t="n">
        <f aca="false">G18*(1+IF(H$3&lt;=$O$2,$D18,$D18-($D18-$I$6)*MIN(H$3-$O$2,$Q$2)/$Q$2))</f>
        <v>5301.67833672861</v>
      </c>
      <c r="I18" s="15" t="n">
        <f aca="false">H18*(1+IF(I$3&lt;=$O$2,$D18,$D18-($D18-$I$6)*MIN(I$3-$O$2,$Q$2)/$Q$2))</f>
        <v>5955.32764338094</v>
      </c>
      <c r="J18" s="15" t="n">
        <f aca="false">I18*(1+IF(J$3&lt;=$O$2,$D18,$D18-($D18-$I$6)*MIN(J$3-$O$2,$Q$2)/$Q$2))</f>
        <v>6576.42551266814</v>
      </c>
      <c r="K18" s="15" t="n">
        <f aca="false">J18*(1+IF(K$3&lt;=$O$2,$D18,$D18-($D18-$I$6)*MIN(K$3-$O$2,$Q$2)/$Q$2))</f>
        <v>7137.35915785495</v>
      </c>
      <c r="L18" s="15" t="n">
        <f aca="false">K18*(1+IF(L$3&lt;=$O$2,$D18,$D18-($D18-$I$6)*MIN(L$3-$O$2,$Q$2)/$Q$2))</f>
        <v>7610.54042013626</v>
      </c>
      <c r="M18" s="15" t="n">
        <f aca="false">L18*(1+IF(M$3&lt;=$O$2,$D18,$D18-($D18-$I$6)*MIN(M$3-$O$2,$Q$2)/$Q$2))</f>
        <v>7970.50530681889</v>
      </c>
      <c r="N18" s="15" t="n">
        <f aca="false">M18*(1+IF(N$3&lt;=$O$2,$D18,$D18-($D18-$I$6)*MIN(N$3-$O$2,$Q$2)/$Q$2))</f>
        <v>8196.07060700186</v>
      </c>
      <c r="O18" s="15" t="n">
        <f aca="false">SUMPRODUCT(E18:N18,1/(1+$F$6)^$E$3:$N$3)*$E$2</f>
        <v>19504.6341267346</v>
      </c>
      <c r="P18" s="15" t="n">
        <f aca="false">N18*$E$2*(1+$I$6)/($F$6-$I$6)/(1+$F$6)^$N$3</f>
        <v>27379.8468628163</v>
      </c>
      <c r="Q18" s="15" t="n">
        <f aca="false">O18+P18</f>
        <v>46884.4809895508</v>
      </c>
      <c r="R18" s="15" t="n">
        <f aca="false">Q18-$G$2+$I$2</f>
        <v>40697.1809895508</v>
      </c>
      <c r="S18" s="42" t="n">
        <f aca="false">R18/$K$2</f>
        <v>559.796162167136</v>
      </c>
      <c r="T18" s="43" t="n">
        <f aca="false">S18-$M$2</f>
        <v>-1.00163700755411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0.123291015625</v>
      </c>
      <c r="C19" s="25" t="n">
        <f aca="false">IF(T18&gt;0,D18,C18)</f>
        <v>0.1240234375</v>
      </c>
      <c r="D19" s="41" t="n">
        <f aca="false">(B19+C19)/2</f>
        <v>0.1236572265625</v>
      </c>
      <c r="E19" s="15" t="n">
        <f aca="false">$C$2*(1+IF(E$3&lt;=$O$2,$D19,$D19-($D19-$I$6)*MIN(E$3-$O$2,$Q$2)/$Q$2))</f>
        <v>3741.77856445313</v>
      </c>
      <c r="F19" s="15" t="n">
        <f aca="false">E19*(1+IF(F$3&lt;=$O$2,$D19,$D19-($D19-$I$6)*MIN(F$3-$O$2,$Q$2)/$Q$2))</f>
        <v>4204.47652414441</v>
      </c>
      <c r="G19" s="15" t="n">
        <f aca="false">F19*(1+IF(G$3&lt;=$O$2,$D19,$D19-($D19-$I$6)*MIN(G$3-$O$2,$Q$2)/$Q$2))</f>
        <v>4724.39043026725</v>
      </c>
      <c r="H19" s="15" t="n">
        <f aca="false">G19*(1+IF(H$3&lt;=$O$2,$D19,$D19-($D19-$I$6)*MIN(H$3-$O$2,$Q$2)/$Q$2))</f>
        <v>5308.59544807251</v>
      </c>
      <c r="I19" s="15" t="n">
        <f aca="false">H19*(1+IF(I$3&lt;=$O$2,$D19,$D19-($D19-$I$6)*MIN(I$3-$O$2,$Q$2)/$Q$2))</f>
        <v>5965.04163812347</v>
      </c>
      <c r="J19" s="15" t="n">
        <f aca="false">I19*(1+IF(J$3&lt;=$O$2,$D19,$D19-($D19-$I$6)*MIN(J$3-$O$2,$Q$2)/$Q$2))</f>
        <v>6588.9001780354</v>
      </c>
      <c r="K19" s="15" t="n">
        <f aca="false">J19*(1+IF(K$3&lt;=$O$2,$D19,$D19-($D19-$I$6)*MIN(K$3-$O$2,$Q$2)/$Q$2))</f>
        <v>7152.34560131857</v>
      </c>
      <c r="L19" s="15" t="n">
        <f aca="false">K19*(1+IF(L$3&lt;=$O$2,$D19,$D19-($D19-$I$6)*MIN(L$3-$O$2,$Q$2)/$Q$2))</f>
        <v>7627.56811781918</v>
      </c>
      <c r="M19" s="15" t="n">
        <f aca="false">L19*(1+IF(M$3&lt;=$O$2,$D19,$D19-($D19-$I$6)*MIN(M$3-$O$2,$Q$2)/$Q$2))</f>
        <v>7988.89704377982</v>
      </c>
      <c r="N19" s="15" t="n">
        <f aca="false">M19*(1+IF(N$3&lt;=$O$2,$D19,$D19-($D19-$I$6)*MIN(N$3-$O$2,$Q$2)/$Q$2))</f>
        <v>8214.98283011878</v>
      </c>
      <c r="O19" s="15" t="n">
        <f aca="false">SUMPRODUCT(E19:N19,1/(1+$F$6)^$E$3:$N$3)*$E$2</f>
        <v>19535.4637437353</v>
      </c>
      <c r="P19" s="15" t="n">
        <f aca="false">N19*$E$2*(1+$I$6)/($F$6-$I$6)/(1+$F$6)^$N$3</f>
        <v>27443.0251585638</v>
      </c>
      <c r="Q19" s="15" t="n">
        <f aca="false">O19+P19</f>
        <v>46978.4889022991</v>
      </c>
      <c r="R19" s="15" t="n">
        <f aca="false">Q19-$G$2+$I$2</f>
        <v>40791.1889022991</v>
      </c>
      <c r="S19" s="42" t="n">
        <f aca="false">R19/$K$2</f>
        <v>561.089255877566</v>
      </c>
      <c r="T19" s="43" t="n">
        <f aca="false">S19-$M$2</f>
        <v>0.291456702875507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0.123291015625</v>
      </c>
      <c r="C20" s="25" t="n">
        <f aca="false">IF(T19&gt;0,D19,C19)</f>
        <v>0.1236572265625</v>
      </c>
      <c r="D20" s="41" t="n">
        <f aca="false">(B20+C20)/2</f>
        <v>0.12347412109375</v>
      </c>
      <c r="E20" s="15" t="n">
        <f aca="false">$C$2*(1+IF(E$3&lt;=$O$2,$D20,$D20-($D20-$I$6)*MIN(E$3-$O$2,$Q$2)/$Q$2))</f>
        <v>3741.16882324219</v>
      </c>
      <c r="F20" s="15" t="n">
        <f aca="false">E20*(1+IF(F$3&lt;=$O$2,$D20,$D20-($D20-$I$6)*MIN(F$3-$O$2,$Q$2)/$Q$2))</f>
        <v>4203.10635555536</v>
      </c>
      <c r="G20" s="15" t="n">
        <f aca="false">F20*(1+IF(G$3&lt;=$O$2,$D20,$D20-($D20-$I$6)*MIN(G$3-$O$2,$Q$2)/$Q$2))</f>
        <v>4722.08121867111</v>
      </c>
      <c r="H20" s="15" t="n">
        <f aca="false">G20*(1+IF(H$3&lt;=$O$2,$D20,$D20-($D20-$I$6)*MIN(H$3-$O$2,$Q$2)/$Q$2))</f>
        <v>5305.13604687983</v>
      </c>
      <c r="I20" s="15" t="n">
        <f aca="false">H20*(1+IF(I$3&lt;=$O$2,$D20,$D20-($D20-$I$6)*MIN(I$3-$O$2,$Q$2)/$Q$2))</f>
        <v>5960.18305755109</v>
      </c>
      <c r="J20" s="15" t="n">
        <f aca="false">I20*(1+IF(J$3&lt;=$O$2,$D20,$D20-($D20-$I$6)*MIN(J$3-$O$2,$Q$2)/$Q$2))</f>
        <v>6582.66038532801</v>
      </c>
      <c r="K20" s="15" t="n">
        <f aca="false">J20*(1+IF(K$3&lt;=$O$2,$D20,$D20-($D20-$I$6)*MIN(K$3-$O$2,$Q$2)/$Q$2))</f>
        <v>7144.84902421214</v>
      </c>
      <c r="L20" s="15" t="n">
        <f aca="false">K20*(1+IF(L$3&lt;=$O$2,$D20,$D20-($D20-$I$6)*MIN(L$3-$O$2,$Q$2)/$Q$2))</f>
        <v>7619.05014208811</v>
      </c>
      <c r="M20" s="15" t="n">
        <f aca="false">L20*(1+IF(M$3&lt;=$O$2,$D20,$D20-($D20-$I$6)*MIN(M$3-$O$2,$Q$2)/$Q$2))</f>
        <v>7979.69654127769</v>
      </c>
      <c r="N20" s="15" t="n">
        <f aca="false">M20*(1+IF(N$3&lt;=$O$2,$D20,$D20-($D20-$I$6)*MIN(N$3-$O$2,$Q$2)/$Q$2))</f>
        <v>8205.52195339585</v>
      </c>
      <c r="O20" s="15" t="n">
        <f aca="false">SUMPRODUCT(E20:N20,1/(1+$F$6)^$E$3:$N$3)*$E$2</f>
        <v>19520.042915936</v>
      </c>
      <c r="P20" s="15" t="n">
        <f aca="false">N20*$E$2*(1+$I$6)/($F$6-$I$6)/(1+$F$6)^$N$3</f>
        <v>27411.4200921505</v>
      </c>
      <c r="Q20" s="15" t="n">
        <f aca="false">O20+P20</f>
        <v>46931.4630080865</v>
      </c>
      <c r="R20" s="15" t="n">
        <f aca="false">Q20-$G$2+$I$2</f>
        <v>40744.1630080865</v>
      </c>
      <c r="S20" s="42" t="n">
        <f aca="false">R20/$K$2</f>
        <v>560.442407263914</v>
      </c>
      <c r="T20" s="43" t="n">
        <f aca="false">S20-$M$2</f>
        <v>-0.355391910776916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0.12347412109375</v>
      </c>
      <c r="C21" s="25" t="n">
        <f aca="false">IF(T20&gt;0,D20,C20)</f>
        <v>0.1236572265625</v>
      </c>
      <c r="D21" s="41" t="n">
        <f aca="false">(B21+C21)/2</f>
        <v>0.123565673828125</v>
      </c>
      <c r="E21" s="15" t="n">
        <f aca="false">$C$2*(1+IF(E$3&lt;=$O$2,$D21,$D21-($D21-$I$6)*MIN(E$3-$O$2,$Q$2)/$Q$2))</f>
        <v>3741.47369384766</v>
      </c>
      <c r="F21" s="15" t="n">
        <f aca="false">E21*(1+IF(F$3&lt;=$O$2,$D21,$D21-($D21-$I$6)*MIN(F$3-$O$2,$Q$2)/$Q$2))</f>
        <v>4203.79141193815</v>
      </c>
      <c r="G21" s="15" t="n">
        <f aca="false">F21*(1+IF(G$3&lt;=$O$2,$D21,$D21-($D21-$I$6)*MIN(G$3-$O$2,$Q$2)/$Q$2))</f>
        <v>4723.23573038717</v>
      </c>
      <c r="H21" s="15" t="n">
        <f aca="false">G21*(1+IF(H$3&lt;=$O$2,$D21,$D21-($D21-$I$6)*MIN(H$3-$O$2,$Q$2)/$Q$2))</f>
        <v>5306.86553606153</v>
      </c>
      <c r="I21" s="15" t="n">
        <f aca="false">H21*(1+IF(I$3&lt;=$O$2,$D21,$D21-($D21-$I$6)*MIN(I$3-$O$2,$Q$2)/$Q$2))</f>
        <v>5962.61195194023</v>
      </c>
      <c r="J21" s="15" t="n">
        <f aca="false">I21*(1+IF(J$3&lt;=$O$2,$D21,$D21-($D21-$I$6)*MIN(J$3-$O$2,$Q$2)/$Q$2))</f>
        <v>6585.77966648191</v>
      </c>
      <c r="K21" s="15" t="n">
        <f aca="false">J21*(1+IF(K$3&lt;=$O$2,$D21,$D21-($D21-$I$6)*MIN(K$3-$O$2,$Q$2)/$Q$2))</f>
        <v>7148.59647360993</v>
      </c>
      <c r="L21" s="15" t="n">
        <f aca="false">K21*(1+IF(L$3&lt;=$O$2,$D21,$D21-($D21-$I$6)*MIN(L$3-$O$2,$Q$2)/$Q$2))</f>
        <v>7623.30809780662</v>
      </c>
      <c r="M21" s="15" t="n">
        <f aca="false">L21*(1+IF(M$3&lt;=$O$2,$D21,$D21-($D21-$I$6)*MIN(M$3-$O$2,$Q$2)/$Q$2))</f>
        <v>7984.29563352193</v>
      </c>
      <c r="N21" s="15" t="n">
        <f aca="false">M21*(1+IF(N$3&lt;=$O$2,$D21,$D21-($D21-$I$6)*MIN(N$3-$O$2,$Q$2)/$Q$2))</f>
        <v>8210.2511999506</v>
      </c>
      <c r="O21" s="15" t="n">
        <f aca="false">SUMPRODUCT(E21:N21,1/(1+$F$6)^$E$3:$N$3)*$E$2</f>
        <v>19527.7518244688</v>
      </c>
      <c r="P21" s="15" t="n">
        <f aca="false">N21*$E$2*(1+$I$6)/($F$6-$I$6)/(1+$F$6)^$N$3</f>
        <v>27427.2186439999</v>
      </c>
      <c r="Q21" s="15" t="n">
        <f aca="false">O21+P21</f>
        <v>46954.9704684687</v>
      </c>
      <c r="R21" s="15" t="n">
        <f aca="false">Q21-$G$2+$I$2</f>
        <v>40767.6704684687</v>
      </c>
      <c r="S21" s="42" t="n">
        <f aca="false">R21/$K$2</f>
        <v>560.765756099981</v>
      </c>
      <c r="T21" s="43" t="n">
        <f aca="false">S21-$M$2</f>
        <v>-0.0320430747091223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0.123565673828125</v>
      </c>
      <c r="C22" s="25" t="n">
        <f aca="false">IF(T21&gt;0,D21,C21)</f>
        <v>0.1236572265625</v>
      </c>
      <c r="D22" s="41" t="n">
        <f aca="false">(B22+C22)/2</f>
        <v>0.123611450195313</v>
      </c>
      <c r="E22" s="15" t="n">
        <f aca="false">$C$2*(1+IF(E$3&lt;=$O$2,$D22,$D22-($D22-$I$6)*MIN(E$3-$O$2,$Q$2)/$Q$2))</f>
        <v>3741.62612915039</v>
      </c>
      <c r="F22" s="15" t="n">
        <f aca="false">E22*(1+IF(F$3&lt;=$O$2,$D22,$D22-($D22-$I$6)*MIN(F$3-$O$2,$Q$2)/$Q$2))</f>
        <v>4204.13396106334</v>
      </c>
      <c r="G22" s="15" t="n">
        <f aca="false">F22*(1+IF(G$3&lt;=$O$2,$D22,$D22-($D22-$I$6)*MIN(G$3-$O$2,$Q$2)/$Q$2))</f>
        <v>4723.81305680575</v>
      </c>
      <c r="H22" s="15" t="n">
        <f aca="false">G22*(1+IF(H$3&lt;=$O$2,$D22,$D22-($D22-$I$6)*MIN(H$3-$O$2,$Q$2)/$Q$2))</f>
        <v>5307.73043920906</v>
      </c>
      <c r="I22" s="15" t="n">
        <f aca="false">H22*(1+IF(I$3&lt;=$O$2,$D22,$D22-($D22-$I$6)*MIN(I$3-$O$2,$Q$2)/$Q$2))</f>
        <v>5963.82669604549</v>
      </c>
      <c r="J22" s="15" t="n">
        <f aca="false">I22*(1+IF(J$3&lt;=$O$2,$D22,$D22-($D22-$I$6)*MIN(J$3-$O$2,$Q$2)/$Q$2))</f>
        <v>6587.33976843447</v>
      </c>
      <c r="K22" s="15" t="n">
        <f aca="false">J22*(1+IF(K$3&lt;=$O$2,$D22,$D22-($D22-$I$6)*MIN(K$3-$O$2,$Q$2)/$Q$2))</f>
        <v>7150.47082763642</v>
      </c>
      <c r="L22" s="15" t="n">
        <f aca="false">K22*(1+IF(L$3&lt;=$O$2,$D22,$D22-($D22-$I$6)*MIN(L$3-$O$2,$Q$2)/$Q$2))</f>
        <v>7625.43784972305</v>
      </c>
      <c r="M22" s="15" t="n">
        <f aca="false">L22*(1+IF(M$3&lt;=$O$2,$D22,$D22-($D22-$I$6)*MIN(M$3-$O$2,$Q$2)/$Q$2))</f>
        <v>7986.59604883647</v>
      </c>
      <c r="N22" s="15" t="n">
        <f aca="false">M22*(1+IF(N$3&lt;=$O$2,$D22,$D22-($D22-$I$6)*MIN(N$3-$O$2,$Q$2)/$Q$2))</f>
        <v>8212.61671701855</v>
      </c>
      <c r="O22" s="15" t="n">
        <f aca="false">SUMPRODUCT(E22:N22,1/(1+$F$6)^$E$3:$N$3)*$E$2</f>
        <v>19531.6074076925</v>
      </c>
      <c r="P22" s="15" t="n">
        <f aca="false">N22*$E$2*(1+$I$6)/($F$6-$I$6)/(1+$F$6)^$N$3</f>
        <v>27435.1209057272</v>
      </c>
      <c r="Q22" s="15" t="n">
        <f aca="false">O22+P22</f>
        <v>46966.7283134197</v>
      </c>
      <c r="R22" s="15" t="n">
        <f aca="false">Q22-$G$2+$I$2</f>
        <v>40779.4283134197</v>
      </c>
      <c r="S22" s="42" t="n">
        <f aca="false">R22/$K$2</f>
        <v>560.92748711719</v>
      </c>
      <c r="T22" s="43" t="n">
        <f aca="false">S22-$M$2</f>
        <v>0.129687942499118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0.123565673828125</v>
      </c>
      <c r="C23" s="25" t="n">
        <f aca="false">IF(T22&gt;0,D22,C22)</f>
        <v>0.123611450195313</v>
      </c>
      <c r="D23" s="41" t="n">
        <f aca="false">(B23+C23)/2</f>
        <v>0.123588562011719</v>
      </c>
      <c r="E23" s="15" t="n">
        <f aca="false">$C$2*(1+IF(E$3&lt;=$O$2,$D23,$D23-($D23-$I$6)*MIN(E$3-$O$2,$Q$2)/$Q$2))</f>
        <v>3741.54991149902</v>
      </c>
      <c r="F23" s="15" t="n">
        <f aca="false">E23*(1+IF(F$3&lt;=$O$2,$D23,$D23-($D23-$I$6)*MIN(F$3-$O$2,$Q$2)/$Q$2))</f>
        <v>4203.96268475626</v>
      </c>
      <c r="G23" s="15" t="n">
        <f aca="false">F23*(1+IF(G$3&lt;=$O$2,$D23,$D23-($D23-$I$6)*MIN(G$3-$O$2,$Q$2)/$Q$2))</f>
        <v>4723.52438771621</v>
      </c>
      <c r="H23" s="15" t="n">
        <f aca="false">G23*(1+IF(H$3&lt;=$O$2,$D23,$D23-($D23-$I$6)*MIN(H$3-$O$2,$Q$2)/$Q$2))</f>
        <v>5307.29797442134</v>
      </c>
      <c r="I23" s="15" t="n">
        <f aca="false">H23*(1+IF(I$3&lt;=$O$2,$D23,$D23-($D23-$I$6)*MIN(I$3-$O$2,$Q$2)/$Q$2))</f>
        <v>5963.21929924778</v>
      </c>
      <c r="J23" s="15" t="n">
        <f aca="false">I23*(1+IF(J$3&lt;=$O$2,$D23,$D23-($D23-$I$6)*MIN(J$3-$O$2,$Q$2)/$Q$2))</f>
        <v>6586.55967900518</v>
      </c>
      <c r="K23" s="15" t="n">
        <f aca="false">J23*(1+IF(K$3&lt;=$O$2,$D23,$D23-($D23-$I$6)*MIN(K$3-$O$2,$Q$2)/$Q$2))</f>
        <v>7149.53359817109</v>
      </c>
      <c r="L23" s="15" t="n">
        <f aca="false">K23*(1+IF(L$3&lt;=$O$2,$D23,$D23-($D23-$I$6)*MIN(L$3-$O$2,$Q$2)/$Q$2))</f>
        <v>7624.37290924901</v>
      </c>
      <c r="M23" s="15" t="n">
        <f aca="false">L23*(1+IF(M$3&lt;=$O$2,$D23,$D23-($D23-$I$6)*MIN(M$3-$O$2,$Q$2)/$Q$2))</f>
        <v>7985.44576873344</v>
      </c>
      <c r="N23" s="15" t="n">
        <f aca="false">M23*(1+IF(N$3&lt;=$O$2,$D23,$D23-($D23-$I$6)*MIN(N$3-$O$2,$Q$2)/$Q$2))</f>
        <v>8211.4338839886</v>
      </c>
      <c r="O23" s="15" t="n">
        <f aca="false">SUMPRODUCT(E23:N23,1/(1+$F$6)^$E$3:$N$3)*$E$2</f>
        <v>19529.6795219868</v>
      </c>
      <c r="P23" s="15" t="n">
        <f aca="false">N23*$E$2*(1+$I$6)/($F$6-$I$6)/(1+$F$6)^$N$3</f>
        <v>27431.1695260018</v>
      </c>
      <c r="Q23" s="15" t="n">
        <f aca="false">O23+P23</f>
        <v>46960.8490479885</v>
      </c>
      <c r="R23" s="15" t="n">
        <f aca="false">Q23-$G$2+$I$2</f>
        <v>40773.5490479885</v>
      </c>
      <c r="S23" s="42" t="n">
        <f aca="false">R23/$K$2</f>
        <v>560.846616891176</v>
      </c>
      <c r="T23" s="43" t="n">
        <f aca="false">S23-$M$2</f>
        <v>0.0488177164857007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0.123565673828125</v>
      </c>
      <c r="C24" s="25" t="n">
        <f aca="false">IF(T23&gt;0,D23,C23)</f>
        <v>0.123588562011719</v>
      </c>
      <c r="D24" s="41" t="n">
        <f aca="false">(B24+C24)/2</f>
        <v>0.123577117919922</v>
      </c>
      <c r="E24" s="15" t="n">
        <f aca="false">$C$2*(1+IF(E$3&lt;=$O$2,$D24,$D24-($D24-$I$6)*MIN(E$3-$O$2,$Q$2)/$Q$2))</f>
        <v>3741.51180267334</v>
      </c>
      <c r="F24" s="15" t="n">
        <f aca="false">E24*(1+IF(F$3&lt;=$O$2,$D24,$D24-($D24-$I$6)*MIN(F$3-$O$2,$Q$2)/$Q$2))</f>
        <v>4203.87704791108</v>
      </c>
      <c r="G24" s="15" t="n">
        <f aca="false">F24*(1+IF(G$3&lt;=$O$2,$D24,$D24-($D24-$I$6)*MIN(G$3-$O$2,$Q$2)/$Q$2))</f>
        <v>4723.38005758164</v>
      </c>
      <c r="H24" s="15" t="n">
        <f aca="false">G24*(1+IF(H$3&lt;=$O$2,$D24,$D24-($D24-$I$6)*MIN(H$3-$O$2,$Q$2)/$Q$2))</f>
        <v>5307.08175193802</v>
      </c>
      <c r="I24" s="15" t="n">
        <f aca="false">H24*(1+IF(I$3&lt;=$O$2,$D24,$D24-($D24-$I$6)*MIN(I$3-$O$2,$Q$2)/$Q$2))</f>
        <v>5962.91561940793</v>
      </c>
      <c r="J24" s="15" t="n">
        <f aca="false">I24*(1+IF(J$3&lt;=$O$2,$D24,$D24-($D24-$I$6)*MIN(J$3-$O$2,$Q$2)/$Q$2))</f>
        <v>6586.16966313067</v>
      </c>
      <c r="K24" s="15" t="n">
        <f aca="false">J24*(1+IF(K$3&lt;=$O$2,$D24,$D24-($D24-$I$6)*MIN(K$3-$O$2,$Q$2)/$Q$2))</f>
        <v>7149.0650227781</v>
      </c>
      <c r="L24" s="15" t="n">
        <f aca="false">K24*(1+IF(L$3&lt;=$O$2,$D24,$D24-($D24-$I$6)*MIN(L$3-$O$2,$Q$2)/$Q$2))</f>
        <v>7623.84048739968</v>
      </c>
      <c r="M24" s="15" t="n">
        <f aca="false">L24*(1+IF(M$3&lt;=$O$2,$D24,$D24-($D24-$I$6)*MIN(M$3-$O$2,$Q$2)/$Q$2))</f>
        <v>7984.87068301723</v>
      </c>
      <c r="N24" s="15" t="n">
        <f aca="false">M24*(1+IF(N$3&lt;=$O$2,$D24,$D24-($D24-$I$6)*MIN(N$3-$O$2,$Q$2)/$Q$2))</f>
        <v>8210.84252334661</v>
      </c>
      <c r="O24" s="15" t="n">
        <f aca="false">SUMPRODUCT(E24:N24,1/(1+$F$6)^$E$3:$N$3)*$E$2</f>
        <v>19528.7156497053</v>
      </c>
      <c r="P24" s="15" t="n">
        <f aca="false">N24*$E$2*(1+$I$6)/($F$6-$I$6)/(1+$F$6)^$N$3</f>
        <v>27429.1940227888</v>
      </c>
      <c r="Q24" s="15" t="n">
        <f aca="false">O24+P24</f>
        <v>46957.9096724941</v>
      </c>
      <c r="R24" s="15" t="n">
        <f aca="false">Q24-$G$2+$I$2</f>
        <v>40770.6096724941</v>
      </c>
      <c r="S24" s="42" t="n">
        <f aca="false">R24/$K$2</f>
        <v>560.806185316288</v>
      </c>
      <c r="T24" s="43" t="n">
        <f aca="false">S24-$M$2</f>
        <v>0.00838614159704321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0.123565673828125</v>
      </c>
      <c r="C25" s="25" t="n">
        <f aca="false">IF(T24&gt;0,D24,C24)</f>
        <v>0.123577117919922</v>
      </c>
      <c r="D25" s="41" t="n">
        <f aca="false">(B25+C25)/2</f>
        <v>0.123571395874023</v>
      </c>
      <c r="E25" s="15" t="n">
        <f aca="false">$C$2*(1+IF(E$3&lt;=$O$2,$D25,$D25-($D25-$I$6)*MIN(E$3-$O$2,$Q$2)/$Q$2))</f>
        <v>3741.4927482605</v>
      </c>
      <c r="F25" s="15" t="n">
        <f aca="false">E25*(1+IF(F$3&lt;=$O$2,$D25,$D25-($D25-$I$6)*MIN(F$3-$O$2,$Q$2)/$Q$2))</f>
        <v>4203.83422981558</v>
      </c>
      <c r="G25" s="15" t="n">
        <f aca="false">F25*(1+IF(G$3&lt;=$O$2,$D25,$D25-($D25-$I$6)*MIN(G$3-$O$2,$Q$2)/$Q$2))</f>
        <v>4723.3078936169</v>
      </c>
      <c r="H25" s="15" t="n">
        <f aca="false">G25*(1+IF(H$3&lt;=$O$2,$D25,$D25-($D25-$I$6)*MIN(H$3-$O$2,$Q$2)/$Q$2))</f>
        <v>5306.97364317393</v>
      </c>
      <c r="I25" s="15" t="n">
        <f aca="false">H25*(1+IF(I$3&lt;=$O$2,$D25,$D25-($D25-$I$6)*MIN(I$3-$O$2,$Q$2)/$Q$2))</f>
        <v>5962.76378412758</v>
      </c>
      <c r="J25" s="15" t="n">
        <f aca="false">I25*(1+IF(J$3&lt;=$O$2,$D25,$D25-($D25-$I$6)*MIN(J$3-$O$2,$Q$2)/$Q$2))</f>
        <v>6585.97466240312</v>
      </c>
      <c r="K25" s="15" t="n">
        <f aca="false">J25*(1+IF(K$3&lt;=$O$2,$D25,$D25-($D25-$I$6)*MIN(K$3-$O$2,$Q$2)/$Q$2))</f>
        <v>7148.83074491599</v>
      </c>
      <c r="L25" s="15" t="n">
        <f aca="false">K25*(1+IF(L$3&lt;=$O$2,$D25,$D25-($D25-$I$6)*MIN(L$3-$O$2,$Q$2)/$Q$2))</f>
        <v>7623.57428857122</v>
      </c>
      <c r="M25" s="15" t="n">
        <f aca="false">L25*(1+IF(M$3&lt;=$O$2,$D25,$D25-($D25-$I$6)*MIN(M$3-$O$2,$Q$2)/$Q$2))</f>
        <v>7984.58315374209</v>
      </c>
      <c r="N25" s="15" t="n">
        <f aca="false">M25*(1+IF(N$3&lt;=$O$2,$D25,$D25-($D25-$I$6)*MIN(N$3-$O$2,$Q$2)/$Q$2))</f>
        <v>8210.54685699299</v>
      </c>
      <c r="O25" s="15" t="n">
        <f aca="false">SUMPRODUCT(E25:N25,1/(1+$F$6)^$E$3:$N$3)*$E$2</f>
        <v>19528.2337312066</v>
      </c>
      <c r="P25" s="15" t="n">
        <f aca="false">N25*$E$2*(1+$I$6)/($F$6-$I$6)/(1+$F$6)^$N$3</f>
        <v>27428.2063178417</v>
      </c>
      <c r="Q25" s="15" t="n">
        <f aca="false">O25+P25</f>
        <v>46956.4400490483</v>
      </c>
      <c r="R25" s="15" t="n">
        <f aca="false">Q25-$G$2+$I$2</f>
        <v>40769.1400490483</v>
      </c>
      <c r="S25" s="42" t="n">
        <f aca="false">R25/$K$2</f>
        <v>560.785970413319</v>
      </c>
      <c r="T25" s="43" t="n">
        <f aca="false">S25-$M$2</f>
        <v>-0.0118287613712482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0.123571395874023</v>
      </c>
      <c r="C26" s="25" t="n">
        <f aca="false">IF(T25&gt;0,D25,C25)</f>
        <v>0.123577117919922</v>
      </c>
      <c r="D26" s="41" t="n">
        <f aca="false">(B26+C26)/2</f>
        <v>0.123574256896973</v>
      </c>
      <c r="E26" s="15" t="n">
        <f aca="false">$C$2*(1+IF(E$3&lt;=$O$2,$D26,$D26-($D26-$I$6)*MIN(E$3-$O$2,$Q$2)/$Q$2))</f>
        <v>3741.50227546692</v>
      </c>
      <c r="F26" s="15" t="n">
        <f aca="false">E26*(1+IF(F$3&lt;=$O$2,$D26,$D26-($D26-$I$6)*MIN(F$3-$O$2,$Q$2)/$Q$2))</f>
        <v>4203.85563883608</v>
      </c>
      <c r="G26" s="15" t="n">
        <f aca="false">F26*(1+IF(G$3&lt;=$O$2,$D26,$D26-($D26-$I$6)*MIN(G$3-$O$2,$Q$2)/$Q$2))</f>
        <v>4723.34397550739</v>
      </c>
      <c r="H26" s="15" t="n">
        <f aca="false">G26*(1+IF(H$3&lt;=$O$2,$D26,$D26-($D26-$I$6)*MIN(H$3-$O$2,$Q$2)/$Q$2))</f>
        <v>5307.02769734951</v>
      </c>
      <c r="I26" s="15" t="n">
        <f aca="false">H26*(1+IF(I$3&lt;=$O$2,$D26,$D26-($D26-$I$6)*MIN(I$3-$O$2,$Q$2)/$Q$2))</f>
        <v>5962.83970138113</v>
      </c>
      <c r="J26" s="15" t="n">
        <f aca="false">I26*(1+IF(J$3&lt;=$O$2,$D26,$D26-($D26-$I$6)*MIN(J$3-$O$2,$Q$2)/$Q$2))</f>
        <v>6586.0721621661</v>
      </c>
      <c r="K26" s="15" t="n">
        <f aca="false">J26*(1+IF(K$3&lt;=$O$2,$D26,$D26-($D26-$I$6)*MIN(K$3-$O$2,$Q$2)/$Q$2))</f>
        <v>7148.94788302753</v>
      </c>
      <c r="L26" s="15" t="n">
        <f aca="false">K26*(1+IF(L$3&lt;=$O$2,$D26,$D26-($D26-$I$6)*MIN(L$3-$O$2,$Q$2)/$Q$2))</f>
        <v>7623.70738697746</v>
      </c>
      <c r="M26" s="15" t="n">
        <f aca="false">L26*(1+IF(M$3&lt;=$O$2,$D26,$D26-($D26-$I$6)*MIN(M$3-$O$2,$Q$2)/$Q$2))</f>
        <v>7984.72691724777</v>
      </c>
      <c r="N26" s="15" t="n">
        <f aca="false">M26*(1+IF(N$3&lt;=$O$2,$D26,$D26-($D26-$I$6)*MIN(N$3-$O$2,$Q$2)/$Q$2))</f>
        <v>8210.69468900588</v>
      </c>
      <c r="O26" s="15" t="n">
        <f aca="false">SUMPRODUCT(E26:N26,1/(1+$F$6)^$E$3:$N$3)*$E$2</f>
        <v>19528.4746889858</v>
      </c>
      <c r="P26" s="15" t="n">
        <f aca="false">N26*$E$2*(1+$I$6)/($F$6-$I$6)/(1+$F$6)^$N$3</f>
        <v>27428.700166427</v>
      </c>
      <c r="Q26" s="15" t="n">
        <f aca="false">O26+P26</f>
        <v>46957.1748554129</v>
      </c>
      <c r="R26" s="15" t="n">
        <f aca="false">Q26-$G$2+$I$2</f>
        <v>40769.8748554129</v>
      </c>
      <c r="S26" s="42" t="n">
        <f aca="false">R26/$K$2</f>
        <v>560.796077791099</v>
      </c>
      <c r="T26" s="43" t="n">
        <f aca="false">S26-$M$2</f>
        <v>-0.00172138359175733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0.123574256896973</v>
      </c>
      <c r="C27" s="25" t="n">
        <f aca="false">IF(T26&gt;0,D26,C26)</f>
        <v>0.123577117919922</v>
      </c>
      <c r="D27" s="41" t="n">
        <f aca="false">(B27+C27)/2</f>
        <v>0.123575687408447</v>
      </c>
      <c r="E27" s="15" t="n">
        <f aca="false">$C$2*(1+IF(E$3&lt;=$O$2,$D27,$D27-($D27-$I$6)*MIN(E$3-$O$2,$Q$2)/$Q$2))</f>
        <v>3741.50703907013</v>
      </c>
      <c r="F27" s="15" t="n">
        <f aca="false">E27*(1+IF(F$3&lt;=$O$2,$D27,$D27-($D27-$I$6)*MIN(F$3-$O$2,$Q$2)/$Q$2))</f>
        <v>4203.86634336676</v>
      </c>
      <c r="G27" s="15" t="n">
        <f aca="false">F27*(1+IF(G$3&lt;=$O$2,$D27,$D27-($D27-$I$6)*MIN(G$3-$O$2,$Q$2)/$Q$2))</f>
        <v>4723.36201652155</v>
      </c>
      <c r="H27" s="15" t="n">
        <f aca="false">G27*(1+IF(H$3&lt;=$O$2,$D27,$D27-($D27-$I$6)*MIN(H$3-$O$2,$Q$2)/$Q$2))</f>
        <v>5307.05472459215</v>
      </c>
      <c r="I27" s="15" t="n">
        <f aca="false">H27*(1+IF(I$3&lt;=$O$2,$D27,$D27-($D27-$I$6)*MIN(I$3-$O$2,$Q$2)/$Q$2))</f>
        <v>5962.87766029787</v>
      </c>
      <c r="J27" s="15" t="n">
        <f aca="false">I27*(1+IF(J$3&lt;=$O$2,$D27,$D27-($D27-$I$6)*MIN(J$3-$O$2,$Q$2)/$Q$2))</f>
        <v>6586.12091249818</v>
      </c>
      <c r="K27" s="15" t="n">
        <f aca="false">J27*(1+IF(K$3&lt;=$O$2,$D27,$D27-($D27-$I$6)*MIN(K$3-$O$2,$Q$2)/$Q$2))</f>
        <v>7149.00645269793</v>
      </c>
      <c r="L27" s="15" t="n">
        <f aca="false">K27*(1+IF(L$3&lt;=$O$2,$D27,$D27-($D27-$I$6)*MIN(L$3-$O$2,$Q$2)/$Q$2))</f>
        <v>7623.77393693657</v>
      </c>
      <c r="M27" s="15" t="n">
        <f aca="false">L27*(1+IF(M$3&lt;=$O$2,$D27,$D27-($D27-$I$6)*MIN(M$3-$O$2,$Q$2)/$Q$2))</f>
        <v>7984.79879984952</v>
      </c>
      <c r="N27" s="15" t="n">
        <f aca="false">M27*(1+IF(N$3&lt;=$O$2,$D27,$D27-($D27-$I$6)*MIN(N$3-$O$2,$Q$2)/$Q$2))</f>
        <v>8210.76860588526</v>
      </c>
      <c r="O27" s="15" t="n">
        <f aca="false">SUMPRODUCT(E27:N27,1/(1+$F$6)^$E$3:$N$3)*$E$2</f>
        <v>19528.5951689781</v>
      </c>
      <c r="P27" s="15" t="n">
        <f aca="false">N27*$E$2*(1+$I$6)/($F$6-$I$6)/(1+$F$6)^$N$3</f>
        <v>27428.9470936358</v>
      </c>
      <c r="Q27" s="15" t="n">
        <f aca="false">O27+P27</f>
        <v>46957.5422626139</v>
      </c>
      <c r="R27" s="15" t="n">
        <f aca="false">Q27-$G$2+$I$2</f>
        <v>40770.2422626139</v>
      </c>
      <c r="S27" s="42" t="n">
        <f aca="false">R27/$K$2</f>
        <v>560.801131535267</v>
      </c>
      <c r="T27" s="43" t="n">
        <f aca="false">S27-$M$2</f>
        <v>0.00333236057622344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0.123574256896973</v>
      </c>
      <c r="C28" s="25" t="n">
        <f aca="false">IF(T27&gt;0,D27,C27)</f>
        <v>0.123575687408447</v>
      </c>
      <c r="D28" s="41" t="n">
        <f aca="false">(B28+C28)/2</f>
        <v>0.12357497215271</v>
      </c>
      <c r="E28" s="15" t="n">
        <f aca="false">$C$2*(1+IF(E$3&lt;=$O$2,$D28,$D28-($D28-$I$6)*MIN(E$3-$O$2,$Q$2)/$Q$2))</f>
        <v>3741.50465726852</v>
      </c>
      <c r="F28" s="15" t="n">
        <f aca="false">E28*(1+IF(F$3&lt;=$O$2,$D28,$D28-($D28-$I$6)*MIN(F$3-$O$2,$Q$2)/$Q$2))</f>
        <v>4203.86099109972</v>
      </c>
      <c r="G28" s="15" t="n">
        <f aca="false">F28*(1+IF(G$3&lt;=$O$2,$D28,$D28-($D28-$I$6)*MIN(G$3-$O$2,$Q$2)/$Q$2))</f>
        <v>4723.35299600873</v>
      </c>
      <c r="H28" s="15" t="n">
        <f aca="false">G28*(1+IF(H$3&lt;=$O$2,$D28,$D28-($D28-$I$6)*MIN(H$3-$O$2,$Q$2)/$Q$2))</f>
        <v>5307.04121095793</v>
      </c>
      <c r="I28" s="15" t="n">
        <f aca="false">H28*(1+IF(I$3&lt;=$O$2,$D28,$D28-($D28-$I$6)*MIN(I$3-$O$2,$Q$2)/$Q$2))</f>
        <v>5962.85868081534</v>
      </c>
      <c r="J28" s="15" t="n">
        <f aca="false">I28*(1+IF(J$3&lt;=$O$2,$D28,$D28-($D28-$I$6)*MIN(J$3-$O$2,$Q$2)/$Q$2))</f>
        <v>6586.09653729459</v>
      </c>
      <c r="K28" s="15" t="n">
        <f aca="false">J28*(1+IF(K$3&lt;=$O$2,$D28,$D28-($D28-$I$6)*MIN(K$3-$O$2,$Q$2)/$Q$2))</f>
        <v>7148.97716781151</v>
      </c>
      <c r="L28" s="15" t="n">
        <f aca="false">K28*(1+IF(L$3&lt;=$O$2,$D28,$D28-($D28-$I$6)*MIN(L$3-$O$2,$Q$2)/$Q$2))</f>
        <v>7623.74066189401</v>
      </c>
      <c r="M28" s="15" t="n">
        <f aca="false">L28*(1+IF(M$3&lt;=$O$2,$D28,$D28-($D28-$I$6)*MIN(M$3-$O$2,$Q$2)/$Q$2))</f>
        <v>7984.7628584779</v>
      </c>
      <c r="N28" s="15" t="n">
        <f aca="false">M28*(1+IF(N$3&lt;=$O$2,$D28,$D28-($D28-$I$6)*MIN(N$3-$O$2,$Q$2)/$Q$2))</f>
        <v>8210.73164737283</v>
      </c>
      <c r="O28" s="15" t="n">
        <f aca="false">SUMPRODUCT(E28:N28,1/(1+$F$6)^$E$3:$N$3)*$E$2</f>
        <v>19528.5349288901</v>
      </c>
      <c r="P28" s="15" t="n">
        <f aca="false">N28*$E$2*(1+$I$6)/($F$6-$I$6)/(1+$F$6)^$N$3</f>
        <v>27428.8236297884</v>
      </c>
      <c r="Q28" s="15" t="n">
        <f aca="false">O28+P28</f>
        <v>46957.3585586785</v>
      </c>
      <c r="R28" s="15" t="n">
        <f aca="false">Q28-$G$2+$I$2</f>
        <v>40770.0585586785</v>
      </c>
      <c r="S28" s="42" t="n">
        <f aca="false">R28/$K$2</f>
        <v>560.798604658576</v>
      </c>
      <c r="T28" s="43" t="n">
        <f aca="false">S28-$M$2</f>
        <v>0.000805483885642389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0.123574256896973</v>
      </c>
      <c r="C29" s="25" t="n">
        <f aca="false">IF(T28&gt;0,D28,C28)</f>
        <v>0.12357497215271</v>
      </c>
      <c r="D29" s="41" t="n">
        <f aca="false">(B29+C29)/2</f>
        <v>0.123574614524841</v>
      </c>
      <c r="E29" s="15" t="n">
        <f aca="false">$C$2*(1+IF(E$3&lt;=$O$2,$D29,$D29-($D29-$I$6)*MIN(E$3-$O$2,$Q$2)/$Q$2))</f>
        <v>3741.50346636772</v>
      </c>
      <c r="F29" s="15" t="n">
        <f aca="false">E29*(1+IF(F$3&lt;=$O$2,$D29,$D29-($D29-$I$6)*MIN(F$3-$O$2,$Q$2)/$Q$2))</f>
        <v>4203.85831496747</v>
      </c>
      <c r="G29" s="15" t="n">
        <f aca="false">F29*(1+IF(G$3&lt;=$O$2,$D29,$D29-($D29-$I$6)*MIN(G$3-$O$2,$Q$2)/$Q$2))</f>
        <v>4723.34848575662</v>
      </c>
      <c r="H29" s="15" t="n">
        <f aca="false">G29*(1+IF(H$3&lt;=$O$2,$D29,$D29-($D29-$I$6)*MIN(H$3-$O$2,$Q$2)/$Q$2))</f>
        <v>5307.03445415049</v>
      </c>
      <c r="I29" s="15" t="n">
        <f aca="false">H29*(1+IF(I$3&lt;=$O$2,$D29,$D29-($D29-$I$6)*MIN(I$3-$O$2,$Q$2)/$Q$2))</f>
        <v>5962.84919109219</v>
      </c>
      <c r="J29" s="15" t="n">
        <f aca="false">I29*(1+IF(J$3&lt;=$O$2,$D29,$D29-($D29-$I$6)*MIN(J$3-$O$2,$Q$2)/$Q$2))</f>
        <v>6586.08434972096</v>
      </c>
      <c r="K29" s="15" t="n">
        <f aca="false">J29*(1+IF(K$3&lt;=$O$2,$D29,$D29-($D29-$I$6)*MIN(K$3-$O$2,$Q$2)/$Q$2))</f>
        <v>7148.96252540671</v>
      </c>
      <c r="L29" s="15" t="n">
        <f aca="false">K29*(1+IF(L$3&lt;=$O$2,$D29,$D29-($D29-$I$6)*MIN(L$3-$O$2,$Q$2)/$Q$2))</f>
        <v>7623.72402441999</v>
      </c>
      <c r="M29" s="15" t="n">
        <f aca="false">L29*(1+IF(M$3&lt;=$O$2,$D29,$D29-($D29-$I$6)*MIN(M$3-$O$2,$Q$2)/$Q$2))</f>
        <v>7984.74488784515</v>
      </c>
      <c r="N29" s="15" t="n">
        <f aca="false">M29*(1+IF(N$3&lt;=$O$2,$D29,$D29-($D29-$I$6)*MIN(N$3-$O$2,$Q$2)/$Q$2))</f>
        <v>8210.71316817117</v>
      </c>
      <c r="O29" s="15" t="n">
        <f aca="false">SUMPRODUCT(E29:N29,1/(1+$F$6)^$E$3:$N$3)*$E$2</f>
        <v>19528.504808915</v>
      </c>
      <c r="P29" s="15" t="n">
        <f aca="false">N29*$E$2*(1+$I$6)/($F$6-$I$6)/(1+$F$6)^$N$3</f>
        <v>27428.761898047</v>
      </c>
      <c r="Q29" s="15" t="n">
        <f aca="false">O29+P29</f>
        <v>46957.266706962</v>
      </c>
      <c r="R29" s="15" t="n">
        <f aca="false">Q29-$G$2+$I$2</f>
        <v>40769.9667069619</v>
      </c>
      <c r="S29" s="42" t="n">
        <f aca="false">R29/$K$2</f>
        <v>560.797341223686</v>
      </c>
      <c r="T29" s="43" t="n">
        <f aca="false">S29-$M$2</f>
        <v>-0.000457951004818824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0.123574614524841</v>
      </c>
      <c r="C30" s="25" t="n">
        <f aca="false">IF(T29&gt;0,D29,C29)</f>
        <v>0.12357497215271</v>
      </c>
      <c r="D30" s="41" t="n">
        <f aca="false">(B30+C30)/2</f>
        <v>0.123574793338776</v>
      </c>
      <c r="E30" s="15" t="n">
        <f aca="false">$C$2*(1+IF(E$3&lt;=$O$2,$D30,$D30-($D30-$I$6)*MIN(E$3-$O$2,$Q$2)/$Q$2))</f>
        <v>3741.50406181812</v>
      </c>
      <c r="F30" s="15" t="n">
        <f aca="false">E30*(1+IF(F$3&lt;=$O$2,$D30,$D30-($D30-$I$6)*MIN(F$3-$O$2,$Q$2)/$Q$2))</f>
        <v>4203.85965303349</v>
      </c>
      <c r="G30" s="15" t="n">
        <f aca="false">F30*(1+IF(G$3&lt;=$O$2,$D30,$D30-($D30-$I$6)*MIN(G$3-$O$2,$Q$2)/$Q$2))</f>
        <v>4723.35074088232</v>
      </c>
      <c r="H30" s="15" t="n">
        <f aca="false">G30*(1+IF(H$3&lt;=$O$2,$D30,$D30-($D30-$I$6)*MIN(H$3-$O$2,$Q$2)/$Q$2))</f>
        <v>5307.0378325534</v>
      </c>
      <c r="I30" s="15" t="n">
        <f aca="false">H30*(1+IF(I$3&lt;=$O$2,$D30,$D30-($D30-$I$6)*MIN(I$3-$O$2,$Q$2)/$Q$2))</f>
        <v>5962.85393595225</v>
      </c>
      <c r="J30" s="15" t="n">
        <f aca="false">I30*(1+IF(J$3&lt;=$O$2,$D30,$D30-($D30-$I$6)*MIN(J$3-$O$2,$Q$2)/$Q$2))</f>
        <v>6586.09044350543</v>
      </c>
      <c r="K30" s="15" t="n">
        <f aca="false">J30*(1+IF(K$3&lt;=$O$2,$D30,$D30-($D30-$I$6)*MIN(K$3-$O$2,$Q$2)/$Q$2))</f>
        <v>7148.96984660591</v>
      </c>
      <c r="L30" s="15" t="n">
        <f aca="false">K30*(1+IF(L$3&lt;=$O$2,$D30,$D30-($D30-$I$6)*MIN(L$3-$O$2,$Q$2)/$Q$2))</f>
        <v>7623.73234315306</v>
      </c>
      <c r="M30" s="15" t="n">
        <f aca="false">L30*(1+IF(M$3&lt;=$O$2,$D30,$D30-($D30-$I$6)*MIN(M$3-$O$2,$Q$2)/$Q$2))</f>
        <v>7984.7538731571</v>
      </c>
      <c r="N30" s="15" t="n">
        <f aca="false">M30*(1+IF(N$3&lt;=$O$2,$D30,$D30-($D30-$I$6)*MIN(N$3-$O$2,$Q$2)/$Q$2))</f>
        <v>8210.72240776745</v>
      </c>
      <c r="O30" s="15" t="n">
        <f aca="false">SUMPRODUCT(E30:N30,1/(1+$F$6)^$E$3:$N$3)*$E$2</f>
        <v>19528.5198688968</v>
      </c>
      <c r="P30" s="15" t="n">
        <f aca="false">N30*$E$2*(1+$I$6)/($F$6-$I$6)/(1+$F$6)^$N$3</f>
        <v>27428.7927639025</v>
      </c>
      <c r="Q30" s="15" t="n">
        <f aca="false">O30+P30</f>
        <v>46957.3126327993</v>
      </c>
      <c r="R30" s="15" t="n">
        <f aca="false">Q30-$G$2+$I$2</f>
        <v>40770.0126327993</v>
      </c>
      <c r="S30" s="42" t="n">
        <f aca="false">R30/$K$2</f>
        <v>560.797972940843</v>
      </c>
      <c r="T30" s="43" t="n">
        <f aca="false">S30-$M$2</f>
        <v>0.000173766152443022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0.123574614524841</v>
      </c>
      <c r="C31" s="25" t="n">
        <f aca="false">IF(T30&gt;0,D30,C30)</f>
        <v>0.123574793338776</v>
      </c>
      <c r="D31" s="41" t="n">
        <f aca="false">(B31+C31)/2</f>
        <v>0.123574703931808</v>
      </c>
      <c r="E31" s="15" t="n">
        <f aca="false">$C$2*(1+IF(E$3&lt;=$O$2,$D31,$D31-($D31-$I$6)*MIN(E$3-$O$2,$Q$2)/$Q$2))</f>
        <v>3741.50376409292</v>
      </c>
      <c r="F31" s="15" t="n">
        <f aca="false">E31*(1+IF(F$3&lt;=$O$2,$D31,$D31-($D31-$I$6)*MIN(F$3-$O$2,$Q$2)/$Q$2))</f>
        <v>4203.85898400045</v>
      </c>
      <c r="G31" s="15" t="n">
        <f aca="false">F31*(1+IF(G$3&lt;=$O$2,$D31,$D31-($D31-$I$6)*MIN(G$3-$O$2,$Q$2)/$Q$2))</f>
        <v>4723.34961331938</v>
      </c>
      <c r="H31" s="15" t="n">
        <f aca="false">G31*(1+IF(H$3&lt;=$O$2,$D31,$D31-($D31-$I$6)*MIN(H$3-$O$2,$Q$2)/$Q$2))</f>
        <v>5307.03614335175</v>
      </c>
      <c r="I31" s="15" t="n">
        <f aca="false">H31*(1+IF(I$3&lt;=$O$2,$D31,$D31-($D31-$I$6)*MIN(I$3-$O$2,$Q$2)/$Q$2))</f>
        <v>5962.85156352185</v>
      </c>
      <c r="J31" s="15" t="n">
        <f aca="false">I31*(1+IF(J$3&lt;=$O$2,$D31,$D31-($D31-$I$6)*MIN(J$3-$O$2,$Q$2)/$Q$2))</f>
        <v>6586.08739661261</v>
      </c>
      <c r="K31" s="15" t="n">
        <f aca="false">J31*(1+IF(K$3&lt;=$O$2,$D31,$D31-($D31-$I$6)*MIN(K$3-$O$2,$Q$2)/$Q$2))</f>
        <v>7148.96618600551</v>
      </c>
      <c r="L31" s="15" t="n">
        <f aca="false">K31*(1+IF(L$3&lt;=$O$2,$D31,$D31-($D31-$I$6)*MIN(L$3-$O$2,$Q$2)/$Q$2))</f>
        <v>7623.72818378554</v>
      </c>
      <c r="M31" s="15" t="n">
        <f aca="false">L31*(1+IF(M$3&lt;=$O$2,$D31,$D31-($D31-$I$6)*MIN(M$3-$O$2,$Q$2)/$Q$2))</f>
        <v>7984.74938050002</v>
      </c>
      <c r="N31" s="15" t="n">
        <f aca="false">M31*(1+IF(N$3&lt;=$O$2,$D31,$D31-($D31-$I$6)*MIN(N$3-$O$2,$Q$2)/$Q$2))</f>
        <v>8210.71778796817</v>
      </c>
      <c r="O31" s="15" t="n">
        <f aca="false">SUMPRODUCT(E31:N31,1/(1+$F$6)^$E$3:$N$3)*$E$2</f>
        <v>19528.5123389044</v>
      </c>
      <c r="P31" s="15" t="n">
        <f aca="false">N31*$E$2*(1+$I$6)/($F$6-$I$6)/(1+$F$6)^$N$3</f>
        <v>27428.7773309709</v>
      </c>
      <c r="Q31" s="15" t="n">
        <f aca="false">O31+P31</f>
        <v>46957.2896698754</v>
      </c>
      <c r="R31" s="15" t="n">
        <f aca="false">Q31-$G$2+$I$2</f>
        <v>40769.9896698754</v>
      </c>
      <c r="S31" s="42" t="n">
        <f aca="false">R31/$K$2</f>
        <v>560.797657082192</v>
      </c>
      <c r="T31" s="43" t="n">
        <f aca="false">S31-$M$2</f>
        <v>-0.000142092498208513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0.123574703931808</v>
      </c>
      <c r="C32" s="25" t="n">
        <f aca="false">IF(T31&gt;0,D31,C31)</f>
        <v>0.123574793338776</v>
      </c>
      <c r="D32" s="41" t="n">
        <f aca="false">(B32+C32)/2</f>
        <v>0.123574748635292</v>
      </c>
      <c r="E32" s="15" t="n">
        <f aca="false">$C$2*(1+IF(E$3&lt;=$O$2,$D32,$D32-($D32-$I$6)*MIN(E$3-$O$2,$Q$2)/$Q$2))</f>
        <v>3741.50391295552</v>
      </c>
      <c r="F32" s="15" t="n">
        <f aca="false">E32*(1+IF(F$3&lt;=$O$2,$D32,$D32-($D32-$I$6)*MIN(F$3-$O$2,$Q$2)/$Q$2))</f>
        <v>4203.85931851696</v>
      </c>
      <c r="G32" s="15" t="n">
        <f aca="false">F32*(1+IF(G$3&lt;=$O$2,$D32,$D32-($D32-$I$6)*MIN(G$3-$O$2,$Q$2)/$Q$2))</f>
        <v>4723.35017710083</v>
      </c>
      <c r="H32" s="15" t="n">
        <f aca="false">G32*(1+IF(H$3&lt;=$O$2,$D32,$D32-($D32-$I$6)*MIN(H$3-$O$2,$Q$2)/$Q$2))</f>
        <v>5307.03698795252</v>
      </c>
      <c r="I32" s="15" t="n">
        <f aca="false">H32*(1+IF(I$3&lt;=$O$2,$D32,$D32-($D32-$I$6)*MIN(I$3-$O$2,$Q$2)/$Q$2))</f>
        <v>5962.85274973695</v>
      </c>
      <c r="J32" s="15" t="n">
        <f aca="false">I32*(1+IF(J$3&lt;=$O$2,$D32,$D32-($D32-$I$6)*MIN(J$3-$O$2,$Q$2)/$Q$2))</f>
        <v>6586.08892005887</v>
      </c>
      <c r="K32" s="15" t="n">
        <f aca="false">J32*(1+IF(K$3&lt;=$O$2,$D32,$D32-($D32-$I$6)*MIN(K$3-$O$2,$Q$2)/$Q$2))</f>
        <v>7148.96801630551</v>
      </c>
      <c r="L32" s="15" t="n">
        <f aca="false">K32*(1+IF(L$3&lt;=$O$2,$D32,$D32-($D32-$I$6)*MIN(L$3-$O$2,$Q$2)/$Q$2))</f>
        <v>7623.73026346906</v>
      </c>
      <c r="M32" s="15" t="n">
        <f aca="false">L32*(1+IF(M$3&lt;=$O$2,$D32,$D32-($D32-$I$6)*MIN(M$3-$O$2,$Q$2)/$Q$2))</f>
        <v>7984.75162682829</v>
      </c>
      <c r="N32" s="15" t="n">
        <f aca="false">M32*(1+IF(N$3&lt;=$O$2,$D32,$D32-($D32-$I$6)*MIN(N$3-$O$2,$Q$2)/$Q$2))</f>
        <v>8210.72009786753</v>
      </c>
      <c r="O32" s="15" t="n">
        <f aca="false">SUMPRODUCT(E32:N32,1/(1+$F$6)^$E$3:$N$3)*$E$2</f>
        <v>19528.5161039003</v>
      </c>
      <c r="P32" s="15" t="n">
        <f aca="false">N32*$E$2*(1+$I$6)/($F$6-$I$6)/(1+$F$6)^$N$3</f>
        <v>27428.7850474358</v>
      </c>
      <c r="Q32" s="15" t="n">
        <f aca="false">O32+P32</f>
        <v>46957.301151336</v>
      </c>
      <c r="R32" s="15" t="n">
        <f aca="false">Q32-$G$2+$I$2</f>
        <v>40770.001151336</v>
      </c>
      <c r="S32" s="42" t="n">
        <f aca="false">R32/$K$2</f>
        <v>560.7978150115</v>
      </c>
      <c r="T32" s="43" t="n">
        <f aca="false">S32-$M$2</f>
        <v>1.58368092115779E-005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0.123574703931808</v>
      </c>
      <c r="C33" s="25" t="n">
        <f aca="false">IF(T32&gt;0,D32,C32)</f>
        <v>0.123574748635292</v>
      </c>
      <c r="D33" s="41" t="n">
        <f aca="false">(B33+C33)/2</f>
        <v>0.12357472628355</v>
      </c>
      <c r="E33" s="15" t="n">
        <f aca="false">$C$2*(1+IF(E$3&lt;=$O$2,$D33,$D33-($D33-$I$6)*MIN(E$3-$O$2,$Q$2)/$Q$2))</f>
        <v>3741.50383852422</v>
      </c>
      <c r="F33" s="15" t="n">
        <f aca="false">E33*(1+IF(F$3&lt;=$O$2,$D33,$D33-($D33-$I$6)*MIN(F$3-$O$2,$Q$2)/$Q$2))</f>
        <v>4203.85915125871</v>
      </c>
      <c r="G33" s="15" t="n">
        <f aca="false">F33*(1+IF(G$3&lt;=$O$2,$D33,$D33-($D33-$I$6)*MIN(G$3-$O$2,$Q$2)/$Q$2))</f>
        <v>4723.3498952101</v>
      </c>
      <c r="H33" s="15" t="n">
        <f aca="false">G33*(1+IF(H$3&lt;=$O$2,$D33,$D33-($D33-$I$6)*MIN(H$3-$O$2,$Q$2)/$Q$2))</f>
        <v>5307.03656565212</v>
      </c>
      <c r="I33" s="15" t="n">
        <f aca="false">H33*(1+IF(I$3&lt;=$O$2,$D33,$D33-($D33-$I$6)*MIN(I$3-$O$2,$Q$2)/$Q$2))</f>
        <v>5962.85215662938</v>
      </c>
      <c r="J33" s="15" t="n">
        <f aca="false">I33*(1+IF(J$3&lt;=$O$2,$D33,$D33-($D33-$I$6)*MIN(J$3-$O$2,$Q$2)/$Q$2))</f>
        <v>6586.0881583357</v>
      </c>
      <c r="K33" s="15" t="n">
        <f aca="false">J33*(1+IF(K$3&lt;=$O$2,$D33,$D33-($D33-$I$6)*MIN(K$3-$O$2,$Q$2)/$Q$2))</f>
        <v>7148.96710115546</v>
      </c>
      <c r="L33" s="15" t="n">
        <f aca="false">K33*(1+IF(L$3&lt;=$O$2,$D33,$D33-($D33-$I$6)*MIN(L$3-$O$2,$Q$2)/$Q$2))</f>
        <v>7623.72922362723</v>
      </c>
      <c r="M33" s="15" t="n">
        <f aca="false">L33*(1+IF(M$3&lt;=$O$2,$D33,$D33-($D33-$I$6)*MIN(M$3-$O$2,$Q$2)/$Q$2))</f>
        <v>7984.75050366408</v>
      </c>
      <c r="N33" s="15" t="n">
        <f aca="false">M33*(1+IF(N$3&lt;=$O$2,$D33,$D33-($D33-$I$6)*MIN(N$3-$O$2,$Q$2)/$Q$2))</f>
        <v>8210.71894291778</v>
      </c>
      <c r="O33" s="15" t="n">
        <f aca="false">SUMPRODUCT(E33:N33,1/(1+$F$6)^$E$3:$N$3)*$E$2</f>
        <v>19528.5142214023</v>
      </c>
      <c r="P33" s="15" t="n">
        <f aca="false">N33*$E$2*(1+$I$6)/($F$6-$I$6)/(1+$F$6)^$N$3</f>
        <v>27428.7811892031</v>
      </c>
      <c r="Q33" s="15" t="n">
        <f aca="false">O33+P33</f>
        <v>46957.2954106054</v>
      </c>
      <c r="R33" s="15" t="n">
        <f aca="false">Q33-$G$2+$I$2</f>
        <v>40769.9954106054</v>
      </c>
      <c r="S33" s="42" t="n">
        <f aca="false">R33/$K$2</f>
        <v>560.797736046841</v>
      </c>
      <c r="T33" s="43" t="n">
        <f aca="false">S33-$M$2</f>
        <v>-6.31278492164711E-005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0.12357472628355</v>
      </c>
      <c r="C34" s="25" t="n">
        <f aca="false">IF(T33&gt;0,D33,C33)</f>
        <v>0.123574748635292</v>
      </c>
      <c r="D34" s="41" t="n">
        <f aca="false">(B34+C34)/2</f>
        <v>0.123574737459421</v>
      </c>
      <c r="E34" s="15" t="n">
        <f aca="false">$C$2*(1+IF(E$3&lt;=$O$2,$D34,$D34-($D34-$I$6)*MIN(E$3-$O$2,$Q$2)/$Q$2))</f>
        <v>3741.50387573987</v>
      </c>
      <c r="F34" s="15" t="n">
        <f aca="false">E34*(1+IF(F$3&lt;=$O$2,$D34,$D34-($D34-$I$6)*MIN(F$3-$O$2,$Q$2)/$Q$2))</f>
        <v>4203.85923488783</v>
      </c>
      <c r="G34" s="15" t="n">
        <f aca="false">F34*(1+IF(G$3&lt;=$O$2,$D34,$D34-($D34-$I$6)*MIN(G$3-$O$2,$Q$2)/$Q$2))</f>
        <v>4723.35003615546</v>
      </c>
      <c r="H34" s="15" t="n">
        <f aca="false">G34*(1+IF(H$3&lt;=$O$2,$D34,$D34-($D34-$I$6)*MIN(H$3-$O$2,$Q$2)/$Q$2))</f>
        <v>5307.03677680232</v>
      </c>
      <c r="I34" s="15" t="n">
        <f aca="false">H34*(1+IF(I$3&lt;=$O$2,$D34,$D34-($D34-$I$6)*MIN(I$3-$O$2,$Q$2)/$Q$2))</f>
        <v>5962.85245318316</v>
      </c>
      <c r="J34" s="15" t="n">
        <f aca="false">I34*(1+IF(J$3&lt;=$O$2,$D34,$D34-($D34-$I$6)*MIN(J$3-$O$2,$Q$2)/$Q$2))</f>
        <v>6586.08853919727</v>
      </c>
      <c r="K34" s="15" t="n">
        <f aca="false">J34*(1+IF(K$3&lt;=$O$2,$D34,$D34-($D34-$I$6)*MIN(K$3-$O$2,$Q$2)/$Q$2))</f>
        <v>7148.96755873047</v>
      </c>
      <c r="L34" s="15" t="n">
        <f aca="false">K34*(1+IF(L$3&lt;=$O$2,$D34,$D34-($D34-$I$6)*MIN(L$3-$O$2,$Q$2)/$Q$2))</f>
        <v>7623.72974354813</v>
      </c>
      <c r="M34" s="15" t="n">
        <f aca="false">L34*(1+IF(M$3&lt;=$O$2,$D34,$D34-($D34-$I$6)*MIN(M$3-$O$2,$Q$2)/$Q$2))</f>
        <v>7984.75106524617</v>
      </c>
      <c r="N34" s="15" t="n">
        <f aca="false">M34*(1+IF(N$3&lt;=$O$2,$D34,$D34-($D34-$I$6)*MIN(N$3-$O$2,$Q$2)/$Q$2))</f>
        <v>8210.71952039263</v>
      </c>
      <c r="O34" s="15" t="n">
        <f aca="false">SUMPRODUCT(E34:N34,1/(1+$F$6)^$E$3:$N$3)*$E$2</f>
        <v>19528.5151626512</v>
      </c>
      <c r="P34" s="15" t="n">
        <f aca="false">N34*$E$2*(1+$I$6)/($F$6-$I$6)/(1+$F$6)^$N$3</f>
        <v>27428.7831183194</v>
      </c>
      <c r="Q34" s="15" t="n">
        <f aca="false">O34+P34</f>
        <v>46957.2982809706</v>
      </c>
      <c r="R34" s="15" t="n">
        <f aca="false">Q34-$G$2+$I$2</f>
        <v>40769.9982809706</v>
      </c>
      <c r="S34" s="42" t="n">
        <f aca="false">R34/$K$2</f>
        <v>560.797775529169</v>
      </c>
      <c r="T34" s="43" t="n">
        <f aca="false">S34-$M$2</f>
        <v>-2.36455210824715E-005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0.123574737459421</v>
      </c>
      <c r="C35" s="25" t="n">
        <f aca="false">IF(T34&gt;0,D34,C34)</f>
        <v>0.123574748635292</v>
      </c>
      <c r="D35" s="41" t="n">
        <f aca="false">(B35+C35)/2</f>
        <v>0.123574743047357</v>
      </c>
      <c r="E35" s="15" t="n">
        <f aca="false">$C$2*(1+IF(E$3&lt;=$O$2,$D35,$D35-($D35-$I$6)*MIN(E$3-$O$2,$Q$2)/$Q$2))</f>
        <v>3741.5038943477</v>
      </c>
      <c r="F35" s="15" t="n">
        <f aca="false">E35*(1+IF(F$3&lt;=$O$2,$D35,$D35-($D35-$I$6)*MIN(F$3-$O$2,$Q$2)/$Q$2))</f>
        <v>4203.8592767024</v>
      </c>
      <c r="G35" s="15" t="n">
        <f aca="false">F35*(1+IF(G$3&lt;=$O$2,$D35,$D35-($D35-$I$6)*MIN(G$3-$O$2,$Q$2)/$Q$2))</f>
        <v>4723.35010662814</v>
      </c>
      <c r="H35" s="15" t="n">
        <f aca="false">G35*(1+IF(H$3&lt;=$O$2,$D35,$D35-($D35-$I$6)*MIN(H$3-$O$2,$Q$2)/$Q$2))</f>
        <v>5307.03688237742</v>
      </c>
      <c r="I35" s="15" t="n">
        <f aca="false">H35*(1+IF(I$3&lt;=$O$2,$D35,$D35-($D35-$I$6)*MIN(I$3-$O$2,$Q$2)/$Q$2))</f>
        <v>5962.85260146006</v>
      </c>
      <c r="J35" s="15" t="n">
        <f aca="false">I35*(1+IF(J$3&lt;=$O$2,$D35,$D35-($D35-$I$6)*MIN(J$3-$O$2,$Q$2)/$Q$2))</f>
        <v>6586.08872962807</v>
      </c>
      <c r="K35" s="15" t="n">
        <f aca="false">J35*(1+IF(K$3&lt;=$O$2,$D35,$D35-($D35-$I$6)*MIN(K$3-$O$2,$Q$2)/$Q$2))</f>
        <v>7148.96778751799</v>
      </c>
      <c r="L35" s="15" t="n">
        <f aca="false">K35*(1+IF(L$3&lt;=$O$2,$D35,$D35-($D35-$I$6)*MIN(L$3-$O$2,$Q$2)/$Q$2))</f>
        <v>7623.73000350859</v>
      </c>
      <c r="M35" s="15" t="n">
        <f aca="false">L35*(1+IF(M$3&lt;=$O$2,$D35,$D35-($D35-$I$6)*MIN(M$3-$O$2,$Q$2)/$Q$2))</f>
        <v>7984.75134603722</v>
      </c>
      <c r="N35" s="15" t="n">
        <f aca="false">M35*(1+IF(N$3&lt;=$O$2,$D35,$D35-($D35-$I$6)*MIN(N$3-$O$2,$Q$2)/$Q$2))</f>
        <v>8210.71980913008</v>
      </c>
      <c r="O35" s="15" t="n">
        <f aca="false">SUMPRODUCT(E35:N35,1/(1+$F$6)^$E$3:$N$3)*$E$2</f>
        <v>19528.5156332757</v>
      </c>
      <c r="P35" s="15" t="n">
        <f aca="false">N35*$E$2*(1+$I$6)/($F$6-$I$6)/(1+$F$6)^$N$3</f>
        <v>27428.7840828776</v>
      </c>
      <c r="Q35" s="15" t="n">
        <f aca="false">O35+P35</f>
        <v>46957.2997161533</v>
      </c>
      <c r="R35" s="15" t="n">
        <f aca="false">Q35-$G$2+$I$2</f>
        <v>40769.9997161533</v>
      </c>
      <c r="S35" s="42" t="n">
        <f aca="false">R35/$K$2</f>
        <v>560.797795270334</v>
      </c>
      <c r="T35" s="43" t="n">
        <f aca="false">S35-$M$2</f>
        <v>-3.90435627650732E-006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0.123574743047357</v>
      </c>
      <c r="C36" s="25" t="n">
        <f aca="false">IF(T35&gt;0,D35,C35)</f>
        <v>0.123574748635292</v>
      </c>
      <c r="D36" s="41" t="n">
        <f aca="false">(B36+C36)/2</f>
        <v>0.123574745841324</v>
      </c>
      <c r="E36" s="15" t="n">
        <f aca="false">$C$2*(1+IF(E$3&lt;=$O$2,$D36,$D36-($D36-$I$6)*MIN(E$3-$O$2,$Q$2)/$Q$2))</f>
        <v>3741.50390365161</v>
      </c>
      <c r="F36" s="15" t="n">
        <f aca="false">E36*(1+IF(F$3&lt;=$O$2,$D36,$D36-($D36-$I$6)*MIN(F$3-$O$2,$Q$2)/$Q$2))</f>
        <v>4203.85929760968</v>
      </c>
      <c r="G36" s="15" t="n">
        <f aca="false">F36*(1+IF(G$3&lt;=$O$2,$D36,$D36-($D36-$I$6)*MIN(G$3-$O$2,$Q$2)/$Q$2))</f>
        <v>4723.35014186449</v>
      </c>
      <c r="H36" s="15" t="n">
        <f aca="false">G36*(1+IF(H$3&lt;=$O$2,$D36,$D36-($D36-$I$6)*MIN(H$3-$O$2,$Q$2)/$Q$2))</f>
        <v>5307.03693516497</v>
      </c>
      <c r="I36" s="15" t="n">
        <f aca="false">H36*(1+IF(I$3&lt;=$O$2,$D36,$D36-($D36-$I$6)*MIN(I$3-$O$2,$Q$2)/$Q$2))</f>
        <v>5962.85267559851</v>
      </c>
      <c r="J36" s="15" t="n">
        <f aca="false">I36*(1+IF(J$3&lt;=$O$2,$D36,$D36-($D36-$I$6)*MIN(J$3-$O$2,$Q$2)/$Q$2))</f>
        <v>6586.08882484347</v>
      </c>
      <c r="K36" s="15" t="n">
        <f aca="false">J36*(1+IF(K$3&lt;=$O$2,$D36,$D36-($D36-$I$6)*MIN(K$3-$O$2,$Q$2)/$Q$2))</f>
        <v>7148.96790191175</v>
      </c>
      <c r="L36" s="15" t="n">
        <f aca="false">K36*(1+IF(L$3&lt;=$O$2,$D36,$D36-($D36-$I$6)*MIN(L$3-$O$2,$Q$2)/$Q$2))</f>
        <v>7623.73013348882</v>
      </c>
      <c r="M36" s="15" t="n">
        <f aca="false">L36*(1+IF(M$3&lt;=$O$2,$D36,$D36-($D36-$I$6)*MIN(M$3-$O$2,$Q$2)/$Q$2))</f>
        <v>7984.75148643275</v>
      </c>
      <c r="N36" s="15" t="n">
        <f aca="false">M36*(1+IF(N$3&lt;=$O$2,$D36,$D36-($D36-$I$6)*MIN(N$3-$O$2,$Q$2)/$Q$2))</f>
        <v>8210.7199534988</v>
      </c>
      <c r="O36" s="15" t="n">
        <f aca="false">SUMPRODUCT(E36:N36,1/(1+$F$6)^$E$3:$N$3)*$E$2</f>
        <v>19528.515868588</v>
      </c>
      <c r="P36" s="15" t="n">
        <f aca="false">N36*$E$2*(1+$I$6)/($F$6-$I$6)/(1+$F$6)^$N$3</f>
        <v>27428.7845651567</v>
      </c>
      <c r="Q36" s="15" t="n">
        <f aca="false">O36+P36</f>
        <v>46957.3004337447</v>
      </c>
      <c r="R36" s="15" t="n">
        <f aca="false">Q36-$G$2+$I$2</f>
        <v>40770.0004337447</v>
      </c>
      <c r="S36" s="42" t="n">
        <f aca="false">R36/$K$2</f>
        <v>560.797805140917</v>
      </c>
      <c r="T36" s="43" t="n">
        <f aca="false">S36-$M$2</f>
        <v>5.96622658122215E-006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0.123574743047357</v>
      </c>
      <c r="C37" s="25" t="n">
        <f aca="false">IF(T36&gt;0,D36,C36)</f>
        <v>0.123574745841324</v>
      </c>
      <c r="D37" s="41" t="n">
        <f aca="false">(B37+C37)/2</f>
        <v>0.12357474444434</v>
      </c>
      <c r="E37" s="15" t="n">
        <f aca="false">$C$2*(1+IF(E$3&lt;=$O$2,$D37,$D37-($D37-$I$6)*MIN(E$3-$O$2,$Q$2)/$Q$2))</f>
        <v>3741.50389899965</v>
      </c>
      <c r="F37" s="15" t="n">
        <f aca="false">E37*(1+IF(F$3&lt;=$O$2,$D37,$D37-($D37-$I$6)*MIN(F$3-$O$2,$Q$2)/$Q$2))</f>
        <v>4203.85928715604</v>
      </c>
      <c r="G37" s="15" t="n">
        <f aca="false">F37*(1+IF(G$3&lt;=$O$2,$D37,$D37-($D37-$I$6)*MIN(G$3-$O$2,$Q$2)/$Q$2))</f>
        <v>4723.35012424631</v>
      </c>
      <c r="H37" s="15" t="n">
        <f aca="false">G37*(1+IF(H$3&lt;=$O$2,$D37,$D37-($D37-$I$6)*MIN(H$3-$O$2,$Q$2)/$Q$2))</f>
        <v>5307.0369087712</v>
      </c>
      <c r="I37" s="15" t="n">
        <f aca="false">H37*(1+IF(I$3&lt;=$O$2,$D37,$D37-($D37-$I$6)*MIN(I$3-$O$2,$Q$2)/$Q$2))</f>
        <v>5962.85263852928</v>
      </c>
      <c r="J37" s="15" t="n">
        <f aca="false">I37*(1+IF(J$3&lt;=$O$2,$D37,$D37-($D37-$I$6)*MIN(J$3-$O$2,$Q$2)/$Q$2))</f>
        <v>6586.08877723577</v>
      </c>
      <c r="K37" s="15" t="n">
        <f aca="false">J37*(1+IF(K$3&lt;=$O$2,$D37,$D37-($D37-$I$6)*MIN(K$3-$O$2,$Q$2)/$Q$2))</f>
        <v>7148.96784471487</v>
      </c>
      <c r="L37" s="15" t="n">
        <f aca="false">K37*(1+IF(L$3&lt;=$O$2,$D37,$D37-($D37-$I$6)*MIN(L$3-$O$2,$Q$2)/$Q$2))</f>
        <v>7623.7300684987</v>
      </c>
      <c r="M37" s="15" t="n">
        <f aca="false">L37*(1+IF(M$3&lt;=$O$2,$D37,$D37-($D37-$I$6)*MIN(M$3-$O$2,$Q$2)/$Q$2))</f>
        <v>7984.75141623499</v>
      </c>
      <c r="N37" s="15" t="n">
        <f aca="false">M37*(1+IF(N$3&lt;=$O$2,$D37,$D37-($D37-$I$6)*MIN(N$3-$O$2,$Q$2)/$Q$2))</f>
        <v>8210.71988131444</v>
      </c>
      <c r="O37" s="15" t="n">
        <f aca="false">SUMPRODUCT(E37:N37,1/(1+$F$6)^$E$3:$N$3)*$E$2</f>
        <v>19528.5157509319</v>
      </c>
      <c r="P37" s="15" t="n">
        <f aca="false">N37*$E$2*(1+$I$6)/($F$6-$I$6)/(1+$F$6)^$N$3</f>
        <v>27428.7843240171</v>
      </c>
      <c r="Q37" s="15" t="n">
        <f aca="false">O37+P37</f>
        <v>46957.300074949</v>
      </c>
      <c r="R37" s="15" t="n">
        <f aca="false">Q37-$G$2+$I$2</f>
        <v>40770.000074949</v>
      </c>
      <c r="S37" s="42" t="n">
        <f aca="false">R37/$K$2</f>
        <v>560.797800205625</v>
      </c>
      <c r="T37" s="43" t="n">
        <f aca="false">S37-$M$2</f>
        <v>1.03093498182716E-006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0.123574743047357</v>
      </c>
      <c r="C38" s="25" t="n">
        <f aca="false">IF(T37&gt;0,D37,C37)</f>
        <v>0.12357474444434</v>
      </c>
      <c r="D38" s="41" t="n">
        <f aca="false">(B38+C38)/2</f>
        <v>0.123574743745849</v>
      </c>
      <c r="E38" s="15" t="n">
        <f aca="false">$C$2*(1+IF(E$3&lt;=$O$2,$D38,$D38-($D38-$I$6)*MIN(E$3-$O$2,$Q$2)/$Q$2))</f>
        <v>3741.50389667368</v>
      </c>
      <c r="F38" s="15" t="n">
        <f aca="false">E38*(1+IF(F$3&lt;=$O$2,$D38,$D38-($D38-$I$6)*MIN(F$3-$O$2,$Q$2)/$Q$2))</f>
        <v>4203.85928192922</v>
      </c>
      <c r="G38" s="15" t="n">
        <f aca="false">F38*(1+IF(G$3&lt;=$O$2,$D38,$D38-($D38-$I$6)*MIN(G$3-$O$2,$Q$2)/$Q$2))</f>
        <v>4723.35011543723</v>
      </c>
      <c r="H38" s="15" t="n">
        <f aca="false">G38*(1+IF(H$3&lt;=$O$2,$D38,$D38-($D38-$I$6)*MIN(H$3-$O$2,$Q$2)/$Q$2))</f>
        <v>5307.03689557431</v>
      </c>
      <c r="I38" s="15" t="n">
        <f aca="false">H38*(1+IF(I$3&lt;=$O$2,$D38,$D38-($D38-$I$6)*MIN(I$3-$O$2,$Q$2)/$Q$2))</f>
        <v>5962.85261999467</v>
      </c>
      <c r="J38" s="15" t="n">
        <f aca="false">I38*(1+IF(J$3&lt;=$O$2,$D38,$D38-($D38-$I$6)*MIN(J$3-$O$2,$Q$2)/$Q$2))</f>
        <v>6586.08875343192</v>
      </c>
      <c r="K38" s="15" t="n">
        <f aca="false">J38*(1+IF(K$3&lt;=$O$2,$D38,$D38-($D38-$I$6)*MIN(K$3-$O$2,$Q$2)/$Q$2))</f>
        <v>7148.96781611643</v>
      </c>
      <c r="L38" s="15" t="n">
        <f aca="false">K38*(1+IF(L$3&lt;=$O$2,$D38,$D38-($D38-$I$6)*MIN(L$3-$O$2,$Q$2)/$Q$2))</f>
        <v>7623.73003600365</v>
      </c>
      <c r="M38" s="15" t="n">
        <f aca="false">L38*(1+IF(M$3&lt;=$O$2,$D38,$D38-($D38-$I$6)*MIN(M$3-$O$2,$Q$2)/$Q$2))</f>
        <v>7984.75138113611</v>
      </c>
      <c r="N38" s="15" t="n">
        <f aca="false">M38*(1+IF(N$3&lt;=$O$2,$D38,$D38-($D38-$I$6)*MIN(N$3-$O$2,$Q$2)/$Q$2))</f>
        <v>8210.71984522226</v>
      </c>
      <c r="O38" s="15" t="n">
        <f aca="false">SUMPRODUCT(E38:N38,1/(1+$F$6)^$E$3:$N$3)*$E$2</f>
        <v>19528.5156921038</v>
      </c>
      <c r="P38" s="15" t="n">
        <f aca="false">N38*$E$2*(1+$I$6)/($F$6-$I$6)/(1+$F$6)^$N$3</f>
        <v>27428.7842034473</v>
      </c>
      <c r="Q38" s="15" t="n">
        <f aca="false">O38+P38</f>
        <v>46957.2998955511</v>
      </c>
      <c r="R38" s="15" t="n">
        <f aca="false">Q38-$G$2+$I$2</f>
        <v>40769.9998955511</v>
      </c>
      <c r="S38" s="42" t="n">
        <f aca="false">R38/$K$2</f>
        <v>560.79779773798</v>
      </c>
      <c r="T38" s="43" t="n">
        <f aca="false">S38-$M$2</f>
        <v>-1.43671059049666E-006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0.123574743745849</v>
      </c>
      <c r="C39" s="25" t="n">
        <f aca="false">IF(T38&gt;0,D38,C38)</f>
        <v>0.12357474444434</v>
      </c>
      <c r="D39" s="41" t="n">
        <f aca="false">(B39+C39)/2</f>
        <v>0.123574744095095</v>
      </c>
      <c r="E39" s="15" t="n">
        <f aca="false">$C$2*(1+IF(E$3&lt;=$O$2,$D39,$D39-($D39-$I$6)*MIN(E$3-$O$2,$Q$2)/$Q$2))</f>
        <v>3741.50389783666</v>
      </c>
      <c r="F39" s="15" t="n">
        <f aca="false">E39*(1+IF(F$3&lt;=$O$2,$D39,$D39-($D39-$I$6)*MIN(F$3-$O$2,$Q$2)/$Q$2))</f>
        <v>4203.85928454263</v>
      </c>
      <c r="G39" s="15" t="n">
        <f aca="false">F39*(1+IF(G$3&lt;=$O$2,$D39,$D39-($D39-$I$6)*MIN(G$3-$O$2,$Q$2)/$Q$2))</f>
        <v>4723.35011984177</v>
      </c>
      <c r="H39" s="15" t="n">
        <f aca="false">G39*(1+IF(H$3&lt;=$O$2,$D39,$D39-($D39-$I$6)*MIN(H$3-$O$2,$Q$2)/$Q$2))</f>
        <v>5307.03690217275</v>
      </c>
      <c r="I39" s="15" t="n">
        <f aca="false">H39*(1+IF(I$3&lt;=$O$2,$D39,$D39-($D39-$I$6)*MIN(I$3-$O$2,$Q$2)/$Q$2))</f>
        <v>5962.85262926197</v>
      </c>
      <c r="J39" s="15" t="n">
        <f aca="false">I39*(1+IF(J$3&lt;=$O$2,$D39,$D39-($D39-$I$6)*MIN(J$3-$O$2,$Q$2)/$Q$2))</f>
        <v>6586.08876533385</v>
      </c>
      <c r="K39" s="15" t="n">
        <f aca="false">J39*(1+IF(K$3&lt;=$O$2,$D39,$D39-($D39-$I$6)*MIN(K$3-$O$2,$Q$2)/$Q$2))</f>
        <v>7148.96783041565</v>
      </c>
      <c r="L39" s="15" t="n">
        <f aca="false">K39*(1+IF(L$3&lt;=$O$2,$D39,$D39-($D39-$I$6)*MIN(L$3-$O$2,$Q$2)/$Q$2))</f>
        <v>7623.73005225118</v>
      </c>
      <c r="M39" s="15" t="n">
        <f aca="false">L39*(1+IF(M$3&lt;=$O$2,$D39,$D39-($D39-$I$6)*MIN(M$3-$O$2,$Q$2)/$Q$2))</f>
        <v>7984.75139868555</v>
      </c>
      <c r="N39" s="15" t="n">
        <f aca="false">M39*(1+IF(N$3&lt;=$O$2,$D39,$D39-($D39-$I$6)*MIN(N$3-$O$2,$Q$2)/$Q$2))</f>
        <v>8210.71986326835</v>
      </c>
      <c r="O39" s="15" t="n">
        <f aca="false">SUMPRODUCT(E39:N39,1/(1+$F$6)^$E$3:$N$3)*$E$2</f>
        <v>19528.5157215178</v>
      </c>
      <c r="P39" s="15" t="n">
        <f aca="false">N39*$E$2*(1+$I$6)/($F$6-$I$6)/(1+$F$6)^$N$3</f>
        <v>27428.7842637322</v>
      </c>
      <c r="Q39" s="15" t="n">
        <f aca="false">O39+P39</f>
        <v>46957.2999852501</v>
      </c>
      <c r="R39" s="15" t="n">
        <f aca="false">Q39-$G$2+$I$2</f>
        <v>40769.9999852501</v>
      </c>
      <c r="S39" s="42" t="n">
        <f aca="false">R39/$K$2</f>
        <v>560.797798971803</v>
      </c>
      <c r="T39" s="43" t="n">
        <f aca="false">S39-$M$2</f>
        <v>-2.02887690647913E-007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0.123574744095095</v>
      </c>
      <c r="C40" s="25" t="n">
        <f aca="false">IF(T39&gt;0,D39,C39)</f>
        <v>0.12357474444434</v>
      </c>
      <c r="D40" s="41" t="n">
        <f aca="false">(B40+C40)/2</f>
        <v>0.123574744269717</v>
      </c>
      <c r="E40" s="15" t="n">
        <f aca="false">$C$2*(1+IF(E$3&lt;=$O$2,$D40,$D40-($D40-$I$6)*MIN(E$3-$O$2,$Q$2)/$Q$2))</f>
        <v>3741.50389841816</v>
      </c>
      <c r="F40" s="15" t="n">
        <f aca="false">E40*(1+IF(F$3&lt;=$O$2,$D40,$D40-($D40-$I$6)*MIN(F$3-$O$2,$Q$2)/$Q$2))</f>
        <v>4203.85928584933</v>
      </c>
      <c r="G40" s="15" t="n">
        <f aca="false">F40*(1+IF(G$3&lt;=$O$2,$D40,$D40-($D40-$I$6)*MIN(G$3-$O$2,$Q$2)/$Q$2))</f>
        <v>4723.35012204404</v>
      </c>
      <c r="H40" s="15" t="n">
        <f aca="false">G40*(1+IF(H$3&lt;=$O$2,$D40,$D40-($D40-$I$6)*MIN(H$3-$O$2,$Q$2)/$Q$2))</f>
        <v>5307.03690547197</v>
      </c>
      <c r="I40" s="15" t="n">
        <f aca="false">H40*(1+IF(I$3&lt;=$O$2,$D40,$D40-($D40-$I$6)*MIN(I$3-$O$2,$Q$2)/$Q$2))</f>
        <v>5962.85263389563</v>
      </c>
      <c r="J40" s="15" t="n">
        <f aca="false">I40*(1+IF(J$3&lt;=$O$2,$D40,$D40-($D40-$I$6)*MIN(J$3-$O$2,$Q$2)/$Q$2))</f>
        <v>6586.08877128481</v>
      </c>
      <c r="K40" s="15" t="n">
        <f aca="false">J40*(1+IF(K$3&lt;=$O$2,$D40,$D40-($D40-$I$6)*MIN(K$3-$O$2,$Q$2)/$Q$2))</f>
        <v>7148.96783756526</v>
      </c>
      <c r="L40" s="15" t="n">
        <f aca="false">K40*(1+IF(L$3&lt;=$O$2,$D40,$D40-($D40-$I$6)*MIN(L$3-$O$2,$Q$2)/$Q$2))</f>
        <v>7623.73006037494</v>
      </c>
      <c r="M40" s="15" t="n">
        <f aca="false">L40*(1+IF(M$3&lt;=$O$2,$D40,$D40-($D40-$I$6)*MIN(M$3-$O$2,$Q$2)/$Q$2))</f>
        <v>7984.75140746027</v>
      </c>
      <c r="N40" s="15" t="n">
        <f aca="false">M40*(1+IF(N$3&lt;=$O$2,$D40,$D40-($D40-$I$6)*MIN(N$3-$O$2,$Q$2)/$Q$2))</f>
        <v>8210.71987229139</v>
      </c>
      <c r="O40" s="15" t="n">
        <f aca="false">SUMPRODUCT(E40:N40,1/(1+$F$6)^$E$3:$N$3)*$E$2</f>
        <v>19528.5157362248</v>
      </c>
      <c r="P40" s="15" t="n">
        <f aca="false">N40*$E$2*(1+$I$6)/($F$6-$I$6)/(1+$F$6)^$N$3</f>
        <v>27428.7842938747</v>
      </c>
      <c r="Q40" s="15" t="n">
        <f aca="false">O40+P40</f>
        <v>46957.3000300995</v>
      </c>
      <c r="R40" s="15" t="n">
        <f aca="false">Q40-$G$2+$I$2</f>
        <v>40770.0000300995</v>
      </c>
      <c r="S40" s="42" t="n">
        <f aca="false">R40/$K$2</f>
        <v>560.797799588714</v>
      </c>
      <c r="T40" s="43" t="n">
        <f aca="false">S40-$M$2</f>
        <v>4.14023588746204E-007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0.123574744095095</v>
      </c>
      <c r="C41" s="25" t="n">
        <f aca="false">IF(T40&gt;0,D40,C40)</f>
        <v>0.123574744269717</v>
      </c>
      <c r="D41" s="41" t="n">
        <f aca="false">(B41+C41)/2</f>
        <v>0.123574744182406</v>
      </c>
      <c r="E41" s="15" t="n">
        <f aca="false">$C$2*(1+IF(E$3&lt;=$O$2,$D41,$D41-($D41-$I$6)*MIN(E$3-$O$2,$Q$2)/$Q$2))</f>
        <v>3741.50389812741</v>
      </c>
      <c r="F41" s="15" t="n">
        <f aca="false">E41*(1+IF(F$3&lt;=$O$2,$D41,$D41-($D41-$I$6)*MIN(F$3-$O$2,$Q$2)/$Q$2))</f>
        <v>4203.85928519598</v>
      </c>
      <c r="G41" s="15" t="n">
        <f aca="false">F41*(1+IF(G$3&lt;=$O$2,$D41,$D41-($D41-$I$6)*MIN(G$3-$O$2,$Q$2)/$Q$2))</f>
        <v>4723.35012094291</v>
      </c>
      <c r="H41" s="15" t="n">
        <f aca="false">G41*(1+IF(H$3&lt;=$O$2,$D41,$D41-($D41-$I$6)*MIN(H$3-$O$2,$Q$2)/$Q$2))</f>
        <v>5307.03690382236</v>
      </c>
      <c r="I41" s="15" t="n">
        <f aca="false">H41*(1+IF(I$3&lt;=$O$2,$D41,$D41-($D41-$I$6)*MIN(I$3-$O$2,$Q$2)/$Q$2))</f>
        <v>5962.8526315788</v>
      </c>
      <c r="J41" s="15" t="n">
        <f aca="false">I41*(1+IF(J$3&lt;=$O$2,$D41,$D41-($D41-$I$6)*MIN(J$3-$O$2,$Q$2)/$Q$2))</f>
        <v>6586.08876830933</v>
      </c>
      <c r="K41" s="15" t="n">
        <f aca="false">J41*(1+IF(K$3&lt;=$O$2,$D41,$D41-($D41-$I$6)*MIN(K$3-$O$2,$Q$2)/$Q$2))</f>
        <v>7148.96783399045</v>
      </c>
      <c r="L41" s="15" t="n">
        <f aca="false">K41*(1+IF(L$3&lt;=$O$2,$D41,$D41-($D41-$I$6)*MIN(L$3-$O$2,$Q$2)/$Q$2))</f>
        <v>7623.73005631306</v>
      </c>
      <c r="M41" s="15" t="n">
        <f aca="false">L41*(1+IF(M$3&lt;=$O$2,$D41,$D41-($D41-$I$6)*MIN(M$3-$O$2,$Q$2)/$Q$2))</f>
        <v>7984.75140307291</v>
      </c>
      <c r="N41" s="15" t="n">
        <f aca="false">M41*(1+IF(N$3&lt;=$O$2,$D41,$D41-($D41-$I$6)*MIN(N$3-$O$2,$Q$2)/$Q$2))</f>
        <v>8210.71986777987</v>
      </c>
      <c r="O41" s="15" t="n">
        <f aca="false">SUMPRODUCT(E41:N41,1/(1+$F$6)^$E$3:$N$3)*$E$2</f>
        <v>19528.5157288713</v>
      </c>
      <c r="P41" s="15" t="n">
        <f aca="false">N41*$E$2*(1+$I$6)/($F$6-$I$6)/(1+$F$6)^$N$3</f>
        <v>27428.7842788035</v>
      </c>
      <c r="Q41" s="15" t="n">
        <f aca="false">O41+P41</f>
        <v>46957.3000076748</v>
      </c>
      <c r="R41" s="15" t="n">
        <f aca="false">Q41-$G$2+$I$2</f>
        <v>40770.0000076748</v>
      </c>
      <c r="S41" s="42" t="n">
        <f aca="false">R41/$K$2</f>
        <v>560.797799280259</v>
      </c>
      <c r="T41" s="43" t="n">
        <f aca="false">S41-$M$2</f>
        <v>1.05568119579402E-007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0.123574744095095</v>
      </c>
      <c r="C42" s="25" t="n">
        <f aca="false">IF(T41&gt;0,D41,C41)</f>
        <v>0.123574744182406</v>
      </c>
      <c r="D42" s="41" t="n">
        <f aca="false">(B42+C42)/2</f>
        <v>0.12357474413875</v>
      </c>
      <c r="E42" s="15" t="n">
        <f aca="false">$C$2*(1+IF(E$3&lt;=$O$2,$D42,$D42-($D42-$I$6)*MIN(E$3-$O$2,$Q$2)/$Q$2))</f>
        <v>3741.50389798204</v>
      </c>
      <c r="F42" s="15" t="n">
        <f aca="false">E42*(1+IF(F$3&lt;=$O$2,$D42,$D42-($D42-$I$6)*MIN(F$3-$O$2,$Q$2)/$Q$2))</f>
        <v>4203.85928486931</v>
      </c>
      <c r="G42" s="15" t="n">
        <f aca="false">F42*(1+IF(G$3&lt;=$O$2,$D42,$D42-($D42-$I$6)*MIN(G$3-$O$2,$Q$2)/$Q$2))</f>
        <v>4723.35012039234</v>
      </c>
      <c r="H42" s="15" t="n">
        <f aca="false">G42*(1+IF(H$3&lt;=$O$2,$D42,$D42-($D42-$I$6)*MIN(H$3-$O$2,$Q$2)/$Q$2))</f>
        <v>5307.03690299756</v>
      </c>
      <c r="I42" s="15" t="n">
        <f aca="false">H42*(1+IF(I$3&lt;=$O$2,$D42,$D42-($D42-$I$6)*MIN(I$3-$O$2,$Q$2)/$Q$2))</f>
        <v>5962.85263042039</v>
      </c>
      <c r="J42" s="15" t="n">
        <f aca="false">I42*(1+IF(J$3&lt;=$O$2,$D42,$D42-($D42-$I$6)*MIN(J$3-$O$2,$Q$2)/$Q$2))</f>
        <v>6586.08876682158</v>
      </c>
      <c r="K42" s="15" t="n">
        <f aca="false">J42*(1+IF(K$3&lt;=$O$2,$D42,$D42-($D42-$I$6)*MIN(K$3-$O$2,$Q$2)/$Q$2))</f>
        <v>7148.96783220305</v>
      </c>
      <c r="L42" s="15" t="n">
        <f aca="false">K42*(1+IF(L$3&lt;=$O$2,$D42,$D42-($D42-$I$6)*MIN(L$3-$O$2,$Q$2)/$Q$2))</f>
        <v>7623.73005428212</v>
      </c>
      <c r="M42" s="15" t="n">
        <f aca="false">L42*(1+IF(M$3&lt;=$O$2,$D42,$D42-($D42-$I$6)*MIN(M$3-$O$2,$Q$2)/$Q$2))</f>
        <v>7984.75140087923</v>
      </c>
      <c r="N42" s="15" t="n">
        <f aca="false">M42*(1+IF(N$3&lt;=$O$2,$D42,$D42-($D42-$I$6)*MIN(N$3-$O$2,$Q$2)/$Q$2))</f>
        <v>8210.71986552411</v>
      </c>
      <c r="O42" s="15" t="n">
        <f aca="false">SUMPRODUCT(E42:N42,1/(1+$F$6)^$E$3:$N$3)*$E$2</f>
        <v>19528.5157251946</v>
      </c>
      <c r="P42" s="15" t="n">
        <f aca="false">N42*$E$2*(1+$I$6)/($F$6-$I$6)/(1+$F$6)^$N$3</f>
        <v>27428.7842712678</v>
      </c>
      <c r="Q42" s="15" t="n">
        <f aca="false">O42+P42</f>
        <v>46957.2999964624</v>
      </c>
      <c r="R42" s="15" t="n">
        <f aca="false">Q42-$G$2+$I$2</f>
        <v>40769.9999964624</v>
      </c>
      <c r="S42" s="42" t="n">
        <f aca="false">R42/$K$2</f>
        <v>560.797799126031</v>
      </c>
      <c r="T42" s="43" t="n">
        <f aca="false">S42-$M$2</f>
        <v>-4.86598992210929E-008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0.12357474413875</v>
      </c>
      <c r="C43" s="25" t="n">
        <f aca="false">IF(T42&gt;0,D42,C42)</f>
        <v>0.123574744182406</v>
      </c>
      <c r="D43" s="41" t="n">
        <f aca="false">(B43+C43)/2</f>
        <v>0.123574744160578</v>
      </c>
      <c r="E43" s="15" t="n">
        <f aca="false">$C$2*(1+IF(E$3&lt;=$O$2,$D43,$D43-($D43-$I$6)*MIN(E$3-$O$2,$Q$2)/$Q$2))</f>
        <v>3741.50389805473</v>
      </c>
      <c r="F43" s="15" t="n">
        <f aca="false">E43*(1+IF(F$3&lt;=$O$2,$D43,$D43-($D43-$I$6)*MIN(F$3-$O$2,$Q$2)/$Q$2))</f>
        <v>4203.85928503264</v>
      </c>
      <c r="G43" s="15" t="n">
        <f aca="false">F43*(1+IF(G$3&lt;=$O$2,$D43,$D43-($D43-$I$6)*MIN(G$3-$O$2,$Q$2)/$Q$2))</f>
        <v>4723.35012066762</v>
      </c>
      <c r="H43" s="15" t="n">
        <f aca="false">G43*(1+IF(H$3&lt;=$O$2,$D43,$D43-($D43-$I$6)*MIN(H$3-$O$2,$Q$2)/$Q$2))</f>
        <v>5307.03690340996</v>
      </c>
      <c r="I43" s="15" t="n">
        <f aca="false">H43*(1+IF(I$3&lt;=$O$2,$D43,$D43-($D43-$I$6)*MIN(I$3-$O$2,$Q$2)/$Q$2))</f>
        <v>5962.85263099959</v>
      </c>
      <c r="J43" s="15" t="n">
        <f aca="false">I43*(1+IF(J$3&lt;=$O$2,$D43,$D43-($D43-$I$6)*MIN(J$3-$O$2,$Q$2)/$Q$2))</f>
        <v>6586.08876756546</v>
      </c>
      <c r="K43" s="15" t="n">
        <f aca="false">J43*(1+IF(K$3&lt;=$O$2,$D43,$D43-($D43-$I$6)*MIN(K$3-$O$2,$Q$2)/$Q$2))</f>
        <v>7148.96783309675</v>
      </c>
      <c r="L43" s="15" t="n">
        <f aca="false">K43*(1+IF(L$3&lt;=$O$2,$D43,$D43-($D43-$I$6)*MIN(L$3-$O$2,$Q$2)/$Q$2))</f>
        <v>7623.73005529759</v>
      </c>
      <c r="M43" s="15" t="n">
        <f aca="false">L43*(1+IF(M$3&lt;=$O$2,$D43,$D43-($D43-$I$6)*MIN(M$3-$O$2,$Q$2)/$Q$2))</f>
        <v>7984.75140197607</v>
      </c>
      <c r="N43" s="15" t="n">
        <f aca="false">M43*(1+IF(N$3&lt;=$O$2,$D43,$D43-($D43-$I$6)*MIN(N$3-$O$2,$Q$2)/$Q$2))</f>
        <v>8210.71986665199</v>
      </c>
      <c r="O43" s="15" t="n">
        <f aca="false">SUMPRODUCT(E43:N43,1/(1+$F$6)^$E$3:$N$3)*$E$2</f>
        <v>19528.515727033</v>
      </c>
      <c r="P43" s="15" t="n">
        <f aca="false">N43*$E$2*(1+$I$6)/($F$6-$I$6)/(1+$F$6)^$N$3</f>
        <v>27428.7842750357</v>
      </c>
      <c r="Q43" s="15" t="n">
        <f aca="false">O43+P43</f>
        <v>46957.3000020686</v>
      </c>
      <c r="R43" s="15" t="n">
        <f aca="false">Q43-$G$2+$I$2</f>
        <v>40770.0000020686</v>
      </c>
      <c r="S43" s="42" t="n">
        <f aca="false">R43/$K$2</f>
        <v>560.797799203145</v>
      </c>
      <c r="T43" s="43" t="n">
        <f aca="false">S43-$M$2</f>
        <v>2.84541101791547E-008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0.12357474413875</v>
      </c>
      <c r="C44" s="25" t="n">
        <f aca="false">IF(T43&gt;0,D43,C43)</f>
        <v>0.123574744160578</v>
      </c>
      <c r="D44" s="41" t="n">
        <f aca="false">(B44+C44)/2</f>
        <v>0.123574744149664</v>
      </c>
      <c r="E44" s="15" t="n">
        <f aca="false">$C$2*(1+IF(E$3&lt;=$O$2,$D44,$D44-($D44-$I$6)*MIN(E$3-$O$2,$Q$2)/$Q$2))</f>
        <v>3741.50389801838</v>
      </c>
      <c r="F44" s="15" t="n">
        <f aca="false">E44*(1+IF(F$3&lt;=$O$2,$D44,$D44-($D44-$I$6)*MIN(F$3-$O$2,$Q$2)/$Q$2))</f>
        <v>4203.85928495097</v>
      </c>
      <c r="G44" s="15" t="n">
        <f aca="false">F44*(1+IF(G$3&lt;=$O$2,$D44,$D44-($D44-$I$6)*MIN(G$3-$O$2,$Q$2)/$Q$2))</f>
        <v>4723.35012052998</v>
      </c>
      <c r="H44" s="15" t="n">
        <f aca="false">G44*(1+IF(H$3&lt;=$O$2,$D44,$D44-($D44-$I$6)*MIN(H$3-$O$2,$Q$2)/$Q$2))</f>
        <v>5307.03690320376</v>
      </c>
      <c r="I44" s="15" t="n">
        <f aca="false">H44*(1+IF(I$3&lt;=$O$2,$D44,$D44-($D44-$I$6)*MIN(I$3-$O$2,$Q$2)/$Q$2))</f>
        <v>5962.85263070999</v>
      </c>
      <c r="J44" s="15" t="n">
        <f aca="false">I44*(1+IF(J$3&lt;=$O$2,$D44,$D44-($D44-$I$6)*MIN(J$3-$O$2,$Q$2)/$Q$2))</f>
        <v>6586.08876719352</v>
      </c>
      <c r="K44" s="15" t="n">
        <f aca="false">J44*(1+IF(K$3&lt;=$O$2,$D44,$D44-($D44-$I$6)*MIN(K$3-$O$2,$Q$2)/$Q$2))</f>
        <v>7148.9678326499</v>
      </c>
      <c r="L44" s="15" t="n">
        <f aca="false">K44*(1+IF(L$3&lt;=$O$2,$D44,$D44-($D44-$I$6)*MIN(L$3-$O$2,$Q$2)/$Q$2))</f>
        <v>7623.73005478985</v>
      </c>
      <c r="M44" s="15" t="n">
        <f aca="false">L44*(1+IF(M$3&lt;=$O$2,$D44,$D44-($D44-$I$6)*MIN(M$3-$O$2,$Q$2)/$Q$2))</f>
        <v>7984.75140142765</v>
      </c>
      <c r="N44" s="15" t="n">
        <f aca="false">M44*(1+IF(N$3&lt;=$O$2,$D44,$D44-($D44-$I$6)*MIN(N$3-$O$2,$Q$2)/$Q$2))</f>
        <v>8210.71986608805</v>
      </c>
      <c r="O44" s="15" t="n">
        <f aca="false">SUMPRODUCT(E44:N44,1/(1+$F$6)^$E$3:$N$3)*$E$2</f>
        <v>19528.5157261138</v>
      </c>
      <c r="P44" s="15" t="n">
        <f aca="false">N44*$E$2*(1+$I$6)/($F$6-$I$6)/(1+$F$6)^$N$3</f>
        <v>27428.7842731518</v>
      </c>
      <c r="Q44" s="15" t="n">
        <f aca="false">O44+P44</f>
        <v>46957.2999992655</v>
      </c>
      <c r="R44" s="15" t="n">
        <f aca="false">Q44-$G$2+$I$2</f>
        <v>40769.9999992655</v>
      </c>
      <c r="S44" s="42" t="n">
        <f aca="false">R44/$K$2</f>
        <v>560.797799164588</v>
      </c>
      <c r="T44" s="43" t="n">
        <f aca="false">S44-$M$2</f>
        <v>-1.01028945209691E-008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0.123574744149664</v>
      </c>
      <c r="C45" s="25" t="n">
        <f aca="false">IF(T44&gt;0,D44,C44)</f>
        <v>0.123574744160578</v>
      </c>
      <c r="D45" s="41" t="n">
        <f aca="false">(B45+C45)/2</f>
        <v>0.123574744155121</v>
      </c>
      <c r="E45" s="15" t="n">
        <f aca="false">$C$2*(1+IF(E$3&lt;=$O$2,$D45,$D45-($D45-$I$6)*MIN(E$3-$O$2,$Q$2)/$Q$2))</f>
        <v>3741.50389803655</v>
      </c>
      <c r="F45" s="15" t="n">
        <f aca="false">E45*(1+IF(F$3&lt;=$O$2,$D45,$D45-($D45-$I$6)*MIN(F$3-$O$2,$Q$2)/$Q$2))</f>
        <v>4203.85928499181</v>
      </c>
      <c r="G45" s="15" t="n">
        <f aca="false">F45*(1+IF(G$3&lt;=$O$2,$D45,$D45-($D45-$I$6)*MIN(G$3-$O$2,$Q$2)/$Q$2))</f>
        <v>4723.3501205988</v>
      </c>
      <c r="H45" s="15" t="n">
        <f aca="false">G45*(1+IF(H$3&lt;=$O$2,$D45,$D45-($D45-$I$6)*MIN(H$3-$O$2,$Q$2)/$Q$2))</f>
        <v>5307.03690330686</v>
      </c>
      <c r="I45" s="15" t="n">
        <f aca="false">H45*(1+IF(I$3&lt;=$O$2,$D45,$D45-($D45-$I$6)*MIN(I$3-$O$2,$Q$2)/$Q$2))</f>
        <v>5962.85263085479</v>
      </c>
      <c r="J45" s="15" t="n">
        <f aca="false">I45*(1+IF(J$3&lt;=$O$2,$D45,$D45-($D45-$I$6)*MIN(J$3-$O$2,$Q$2)/$Q$2))</f>
        <v>6586.08876737949</v>
      </c>
      <c r="K45" s="15" t="n">
        <f aca="false">J45*(1+IF(K$3&lt;=$O$2,$D45,$D45-($D45-$I$6)*MIN(K$3-$O$2,$Q$2)/$Q$2))</f>
        <v>7148.96783287333</v>
      </c>
      <c r="L45" s="15" t="n">
        <f aca="false">K45*(1+IF(L$3&lt;=$O$2,$D45,$D45-($D45-$I$6)*MIN(L$3-$O$2,$Q$2)/$Q$2))</f>
        <v>7623.73005504372</v>
      </c>
      <c r="M45" s="15" t="n">
        <f aca="false">L45*(1+IF(M$3&lt;=$O$2,$D45,$D45-($D45-$I$6)*MIN(M$3-$O$2,$Q$2)/$Q$2))</f>
        <v>7984.75140170186</v>
      </c>
      <c r="N45" s="15" t="n">
        <f aca="false">M45*(1+IF(N$3&lt;=$O$2,$D45,$D45-($D45-$I$6)*MIN(N$3-$O$2,$Q$2)/$Q$2))</f>
        <v>8210.71986637002</v>
      </c>
      <c r="O45" s="15" t="n">
        <f aca="false">SUMPRODUCT(E45:N45,1/(1+$F$6)^$E$3:$N$3)*$E$2</f>
        <v>19528.5157265734</v>
      </c>
      <c r="P45" s="15" t="n">
        <f aca="false">N45*$E$2*(1+$I$6)/($F$6-$I$6)/(1+$F$6)^$N$3</f>
        <v>27428.7842740937</v>
      </c>
      <c r="Q45" s="15" t="n">
        <f aca="false">O45+P45</f>
        <v>46957.3000006671</v>
      </c>
      <c r="R45" s="15" t="n">
        <f aca="false">Q45-$G$2+$I$2</f>
        <v>40770.0000006671</v>
      </c>
      <c r="S45" s="42" t="n">
        <f aca="false">R45/$K$2</f>
        <v>560.797799183866</v>
      </c>
      <c r="T45" s="43" t="n">
        <f aca="false">S45-$M$2</f>
        <v>9.17543729883619E-009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0.123574744149664</v>
      </c>
      <c r="C46" s="25" t="n">
        <f aca="false">IF(T45&gt;0,D45,C45)</f>
        <v>0.123574744155121</v>
      </c>
      <c r="D46" s="41" t="n">
        <f aca="false">(B46+C46)/2</f>
        <v>0.123574744152393</v>
      </c>
      <c r="E46" s="15" t="n">
        <f aca="false">$C$2*(1+IF(E$3&lt;=$O$2,$D46,$D46-($D46-$I$6)*MIN(E$3-$O$2,$Q$2)/$Q$2))</f>
        <v>3741.50389802747</v>
      </c>
      <c r="F46" s="15" t="n">
        <f aca="false">E46*(1+IF(F$3&lt;=$O$2,$D46,$D46-($D46-$I$6)*MIN(F$3-$O$2,$Q$2)/$Q$2))</f>
        <v>4203.85928497139</v>
      </c>
      <c r="G46" s="15" t="n">
        <f aca="false">F46*(1+IF(G$3&lt;=$O$2,$D46,$D46-($D46-$I$6)*MIN(G$3-$O$2,$Q$2)/$Q$2))</f>
        <v>4723.35012056439</v>
      </c>
      <c r="H46" s="15" t="n">
        <f aca="false">G46*(1+IF(H$3&lt;=$O$2,$D46,$D46-($D46-$I$6)*MIN(H$3-$O$2,$Q$2)/$Q$2))</f>
        <v>5307.03690325531</v>
      </c>
      <c r="I46" s="15" t="n">
        <f aca="false">H46*(1+IF(I$3&lt;=$O$2,$D46,$D46-($D46-$I$6)*MIN(I$3-$O$2,$Q$2)/$Q$2))</f>
        <v>5962.85263078239</v>
      </c>
      <c r="J46" s="15" t="n">
        <f aca="false">I46*(1+IF(J$3&lt;=$O$2,$D46,$D46-($D46-$I$6)*MIN(J$3-$O$2,$Q$2)/$Q$2))</f>
        <v>6586.0887672865</v>
      </c>
      <c r="K46" s="15" t="n">
        <f aca="false">J46*(1+IF(K$3&lt;=$O$2,$D46,$D46-($D46-$I$6)*MIN(K$3-$O$2,$Q$2)/$Q$2))</f>
        <v>7148.96783276161</v>
      </c>
      <c r="L46" s="15" t="n">
        <f aca="false">K46*(1+IF(L$3&lt;=$O$2,$D46,$D46-($D46-$I$6)*MIN(L$3-$O$2,$Q$2)/$Q$2))</f>
        <v>7623.73005491679</v>
      </c>
      <c r="M46" s="15" t="n">
        <f aca="false">L46*(1+IF(M$3&lt;=$O$2,$D46,$D46-($D46-$I$6)*MIN(M$3-$O$2,$Q$2)/$Q$2))</f>
        <v>7984.75140156475</v>
      </c>
      <c r="N46" s="15" t="n">
        <f aca="false">M46*(1+IF(N$3&lt;=$O$2,$D46,$D46-($D46-$I$6)*MIN(N$3-$O$2,$Q$2)/$Q$2))</f>
        <v>8210.71986622903</v>
      </c>
      <c r="O46" s="15" t="n">
        <f aca="false">SUMPRODUCT(E46:N46,1/(1+$F$6)^$E$3:$N$3)*$E$2</f>
        <v>19528.5157263436</v>
      </c>
      <c r="P46" s="15" t="n">
        <f aca="false">N46*$E$2*(1+$I$6)/($F$6-$I$6)/(1+$F$6)^$N$3</f>
        <v>27428.7842736227</v>
      </c>
      <c r="Q46" s="15" t="n">
        <f aca="false">O46+P46</f>
        <v>46957.2999999663</v>
      </c>
      <c r="R46" s="15" t="n">
        <f aca="false">Q46-$G$2+$I$2</f>
        <v>40769.9999999663</v>
      </c>
      <c r="S46" s="42" t="n">
        <f aca="false">R46/$K$2</f>
        <v>560.797799174227</v>
      </c>
      <c r="T46" s="43" t="n">
        <f aca="false">S46-$M$2</f>
        <v>-4.63842297904193E-010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0.123574744152393</v>
      </c>
      <c r="C47" s="25" t="n">
        <f aca="false">IF(T46&gt;0,D46,C46)</f>
        <v>0.123574744155121</v>
      </c>
      <c r="D47" s="41" t="n">
        <f aca="false">(B47+C47)/2</f>
        <v>0.123574744153757</v>
      </c>
      <c r="E47" s="15" t="n">
        <f aca="false">$C$2*(1+IF(E$3&lt;=$O$2,$D47,$D47-($D47-$I$6)*MIN(E$3-$O$2,$Q$2)/$Q$2))</f>
        <v>3741.50389803201</v>
      </c>
      <c r="F47" s="15" t="n">
        <f aca="false">E47*(1+IF(F$3&lt;=$O$2,$D47,$D47-($D47-$I$6)*MIN(F$3-$O$2,$Q$2)/$Q$2))</f>
        <v>4203.8592849816</v>
      </c>
      <c r="G47" s="15" t="n">
        <f aca="false">F47*(1+IF(G$3&lt;=$O$2,$D47,$D47-($D47-$I$6)*MIN(G$3-$O$2,$Q$2)/$Q$2))</f>
        <v>4723.3501205816</v>
      </c>
      <c r="H47" s="15" t="n">
        <f aca="false">G47*(1+IF(H$3&lt;=$O$2,$D47,$D47-($D47-$I$6)*MIN(H$3-$O$2,$Q$2)/$Q$2))</f>
        <v>5307.03690328109</v>
      </c>
      <c r="I47" s="15" t="n">
        <f aca="false">H47*(1+IF(I$3&lt;=$O$2,$D47,$D47-($D47-$I$6)*MIN(I$3-$O$2,$Q$2)/$Q$2))</f>
        <v>5962.85263081859</v>
      </c>
      <c r="J47" s="15" t="n">
        <f aca="false">I47*(1+IF(J$3&lt;=$O$2,$D47,$D47-($D47-$I$6)*MIN(J$3-$O$2,$Q$2)/$Q$2))</f>
        <v>6586.088767333</v>
      </c>
      <c r="K47" s="15" t="n">
        <f aca="false">J47*(1+IF(K$3&lt;=$O$2,$D47,$D47-($D47-$I$6)*MIN(K$3-$O$2,$Q$2)/$Q$2))</f>
        <v>7148.96783281747</v>
      </c>
      <c r="L47" s="15" t="n">
        <f aca="false">K47*(1+IF(L$3&lt;=$O$2,$D47,$D47-($D47-$I$6)*MIN(L$3-$O$2,$Q$2)/$Q$2))</f>
        <v>7623.73005498025</v>
      </c>
      <c r="M47" s="15" t="n">
        <f aca="false">L47*(1+IF(M$3&lt;=$O$2,$D47,$D47-($D47-$I$6)*MIN(M$3-$O$2,$Q$2)/$Q$2))</f>
        <v>7984.7514016333</v>
      </c>
      <c r="N47" s="15" t="n">
        <f aca="false">M47*(1+IF(N$3&lt;=$O$2,$D47,$D47-($D47-$I$6)*MIN(N$3-$O$2,$Q$2)/$Q$2))</f>
        <v>8210.71986629953</v>
      </c>
      <c r="O47" s="15" t="n">
        <f aca="false">SUMPRODUCT(E47:N47,1/(1+$F$6)^$E$3:$N$3)*$E$2</f>
        <v>19528.5157264585</v>
      </c>
      <c r="P47" s="15" t="n">
        <f aca="false">N47*$E$2*(1+$I$6)/($F$6-$I$6)/(1+$F$6)^$N$3</f>
        <v>27428.7842738582</v>
      </c>
      <c r="Q47" s="15" t="n">
        <f aca="false">O47+P47</f>
        <v>46957.3000003167</v>
      </c>
      <c r="R47" s="15" t="n">
        <f aca="false">Q47-$G$2+$I$2</f>
        <v>40770.0000003167</v>
      </c>
      <c r="S47" s="42" t="n">
        <f aca="false">R47/$K$2</f>
        <v>560.797799179046</v>
      </c>
      <c r="T47" s="43" t="n">
        <f aca="false">S47-$M$2</f>
        <v>4.355797500466E-009</v>
      </c>
    </row>
    <row r="49" customFormat="false" ht="15" hidden="false" customHeight="false" outlineLevel="0" collapsed="false">
      <c r="A49" s="38" t="s">
        <v>182</v>
      </c>
      <c r="E49" s="5" t="s">
        <v>11</v>
      </c>
      <c r="F49" s="12" t="n">
        <f aca="false">Sensitivity!$B$10</f>
        <v>0.0853306228759286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162</v>
      </c>
      <c r="B50" s="28" t="s">
        <v>163</v>
      </c>
      <c r="C50" s="28" t="s">
        <v>164</v>
      </c>
      <c r="D50" s="28" t="s">
        <v>165</v>
      </c>
      <c r="E50" s="28" t="s">
        <v>166</v>
      </c>
      <c r="F50" s="28" t="s">
        <v>167</v>
      </c>
      <c r="G50" s="28" t="s">
        <v>168</v>
      </c>
      <c r="H50" s="28" t="s">
        <v>169</v>
      </c>
      <c r="I50" s="28" t="s">
        <v>170</v>
      </c>
      <c r="J50" s="28" t="s">
        <v>171</v>
      </c>
      <c r="K50" s="28" t="s">
        <v>172</v>
      </c>
      <c r="L50" s="28" t="s">
        <v>173</v>
      </c>
      <c r="M50" s="28" t="s">
        <v>174</v>
      </c>
      <c r="N50" s="28" t="s">
        <v>175</v>
      </c>
      <c r="O50" s="28" t="s">
        <v>176</v>
      </c>
      <c r="P50" s="28" t="s">
        <v>177</v>
      </c>
      <c r="Q50" s="28" t="s">
        <v>178</v>
      </c>
      <c r="R50" s="28" t="s">
        <v>179</v>
      </c>
      <c r="S50" s="28" t="s">
        <v>180</v>
      </c>
      <c r="T50" s="28" t="s">
        <v>181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4162.5</v>
      </c>
      <c r="F51" s="15" t="n">
        <f aca="false">E51*(1+IF(F$3&lt;=$O$2,$D51,$D51-($D51-$I$49)*MIN(F$3-$O$2,$Q$2)/$Q$2))</f>
        <v>5203.125</v>
      </c>
      <c r="G51" s="15" t="n">
        <f aca="false">F51*(1+IF(G$3&lt;=$O$2,$D51,$D51-($D51-$I$49)*MIN(G$3-$O$2,$Q$2)/$Q$2))</f>
        <v>6503.90625</v>
      </c>
      <c r="H51" s="15" t="n">
        <f aca="false">G51*(1+IF(H$3&lt;=$O$2,$D51,$D51-($D51-$I$49)*MIN(H$3-$O$2,$Q$2)/$Q$2))</f>
        <v>8129.8828125</v>
      </c>
      <c r="I51" s="15" t="n">
        <f aca="false">H51*(1+IF(I$3&lt;=$O$2,$D51,$D51-($D51-$I$49)*MIN(I$3-$O$2,$Q$2)/$Q$2))</f>
        <v>10162.353515625</v>
      </c>
      <c r="J51" s="15" t="n">
        <f aca="false">I51*(1+IF(J$3&lt;=$O$2,$D51,$D51-($D51-$I$49)*MIN(J$3-$O$2,$Q$2)/$Q$2))</f>
        <v>12232.0184326172</v>
      </c>
      <c r="K51" s="15" t="n">
        <f aca="false">J51*(1+IF(K$3&lt;=$O$2,$D51,$D51-($D51-$I$49)*MIN(K$3-$O$2,$Q$2)/$Q$2))</f>
        <v>14156.3595724365</v>
      </c>
      <c r="L51" s="15" t="n">
        <f aca="false">K51*(1+IF(L$3&lt;=$O$2,$D51,$D51-($D51-$I$49)*MIN(L$3-$O$2,$Q$2)/$Q$2))</f>
        <v>15727.4323577855</v>
      </c>
      <c r="M51" s="15" t="n">
        <f aca="false">L51*(1+IF(M$3&lt;=$O$2,$D51,$D51-($D51-$I$49)*MIN(M$3-$O$2,$Q$2)/$Q$2))</f>
        <v>16744.0535853928</v>
      </c>
      <c r="N51" s="15" t="n">
        <f aca="false">M51*(1+IF(N$3&lt;=$O$2,$D51,$D51-($D51-$I$49)*MIN(N$3-$O$2,$Q$2)/$Q$2))</f>
        <v>17050.4697660055</v>
      </c>
      <c r="O51" s="15" t="n">
        <f aca="false">SUMPRODUCT(E51:N51,1/(1+$F$49)^$E$3:$N$3)*$E$2</f>
        <v>35244.1949562338</v>
      </c>
      <c r="P51" s="15" t="n">
        <f aca="false">N51*$E$2*(1+$I$49)/($F$49-$I$49)/(1+$F$49)^$N$3</f>
        <v>61822.8907866324</v>
      </c>
      <c r="Q51" s="15" t="n">
        <f aca="false">O51+P51</f>
        <v>97067.0857428662</v>
      </c>
      <c r="R51" s="15" t="n">
        <f aca="false">Q51-$G$2+$I$2</f>
        <v>90879.7857428662</v>
      </c>
      <c r="S51" s="42" t="n">
        <f aca="false">R51/$K$2</f>
        <v>1250.06582865015</v>
      </c>
      <c r="T51" s="43" t="n">
        <f aca="false">S51-$M$2</f>
        <v>689.268029475463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2913.75</v>
      </c>
      <c r="F52" s="15" t="n">
        <f aca="false">E52*(1+IF(F$3&lt;=$O$2,$D52,$D52-($D52-$I$49)*MIN(F$3-$O$2,$Q$2)/$Q$2))</f>
        <v>2549.53125</v>
      </c>
      <c r="G52" s="15" t="n">
        <f aca="false">F52*(1+IF(G$3&lt;=$O$2,$D52,$D52-($D52-$I$49)*MIN(G$3-$O$2,$Q$2)/$Q$2))</f>
        <v>2230.83984375</v>
      </c>
      <c r="H52" s="15" t="n">
        <f aca="false">G52*(1+IF(H$3&lt;=$O$2,$D52,$D52-($D52-$I$49)*MIN(H$3-$O$2,$Q$2)/$Q$2))</f>
        <v>1951.98486328125</v>
      </c>
      <c r="I52" s="15" t="n">
        <f aca="false">H52*(1+IF(I$3&lt;=$O$2,$D52,$D52-($D52-$I$49)*MIN(I$3-$O$2,$Q$2)/$Q$2))</f>
        <v>1707.98675537109</v>
      </c>
      <c r="J52" s="15" t="n">
        <f aca="false">I52*(1+IF(J$3&lt;=$O$2,$D52,$D52-($D52-$I$49)*MIN(J$3-$O$2,$Q$2)/$Q$2))</f>
        <v>1543.43931135864</v>
      </c>
      <c r="K52" s="15" t="n">
        <f aca="false">J52*(1+IF(K$3&lt;=$O$2,$D52,$D52-($D52-$I$49)*MIN(K$3-$O$2,$Q$2)/$Q$2))</f>
        <v>1438.97933876589</v>
      </c>
      <c r="L52" s="15" t="n">
        <f aca="false">K52*(1+IF(L$3&lt;=$O$2,$D52,$D52-($D52-$I$49)*MIN(L$3-$O$2,$Q$2)/$Q$2))</f>
        <v>1382.83036496724</v>
      </c>
      <c r="M52" s="15" t="n">
        <f aca="false">L52*(1+IF(M$3&lt;=$O$2,$D52,$D52-($D52-$I$49)*MIN(M$3-$O$2,$Q$2)/$Q$2))</f>
        <v>1368.50424238618</v>
      </c>
      <c r="N52" s="15" t="n">
        <f aca="false">M52*(1+IF(N$3&lt;=$O$2,$D52,$D52-($D52-$I$49)*MIN(N$3-$O$2,$Q$2)/$Q$2))</f>
        <v>1393.54787002185</v>
      </c>
      <c r="O52" s="15" t="n">
        <f aca="false">SUMPRODUCT(E52:N52,1/(1+$F$49)^$E$3:$N$3)*$E$2</f>
        <v>6970.79711064872</v>
      </c>
      <c r="P52" s="15" t="n">
        <f aca="false">N52*$E$2*(1+$I$49)/($F$49-$I$49)/(1+$F$49)^$N$3</f>
        <v>5052.83191352732</v>
      </c>
      <c r="Q52" s="15" t="n">
        <f aca="false">O52+P52</f>
        <v>12023.629024176</v>
      </c>
      <c r="R52" s="15" t="n">
        <f aca="false">Q52-$G$2+$I$2</f>
        <v>5836.32902417603</v>
      </c>
      <c r="S52" s="42" t="n">
        <f aca="false">R52/$K$2</f>
        <v>80.2796289432742</v>
      </c>
      <c r="T52" s="43" t="n">
        <f aca="false">S52-$M$2</f>
        <v>-480.518170231416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3538.125</v>
      </c>
      <c r="F53" s="15" t="n">
        <f aca="false">E53*(1+IF(F$3&lt;=$O$2,$D53,$D53-($D53-$I$49)*MIN(F$3-$O$2,$Q$2)/$Q$2))</f>
        <v>3759.2578125</v>
      </c>
      <c r="G53" s="15" t="n">
        <f aca="false">F53*(1+IF(G$3&lt;=$O$2,$D53,$D53-($D53-$I$49)*MIN(G$3-$O$2,$Q$2)/$Q$2))</f>
        <v>3994.21142578125</v>
      </c>
      <c r="H53" s="15" t="n">
        <f aca="false">G53*(1+IF(H$3&lt;=$O$2,$D53,$D53-($D53-$I$49)*MIN(H$3-$O$2,$Q$2)/$Q$2))</f>
        <v>4243.84963989258</v>
      </c>
      <c r="I53" s="15" t="n">
        <f aca="false">H53*(1+IF(I$3&lt;=$O$2,$D53,$D53-($D53-$I$49)*MIN(I$3-$O$2,$Q$2)/$Q$2))</f>
        <v>4509.09024238586</v>
      </c>
      <c r="J53" s="15" t="n">
        <f aca="false">I53*(1+IF(J$3&lt;=$O$2,$D53,$D53-($D53-$I$49)*MIN(J$3-$O$2,$Q$2)/$Q$2))</f>
        <v>4751.04802479229</v>
      </c>
      <c r="K53" s="15" t="n">
        <f aca="false">J53*(1+IF(K$3&lt;=$O$2,$D53,$D53-($D53-$I$49)*MIN(K$3-$O$2,$Q$2)/$Q$2))</f>
        <v>4963.98999726348</v>
      </c>
      <c r="L53" s="15" t="n">
        <f aca="false">K53*(1+IF(L$3&lt;=$O$2,$D53,$D53-($D53-$I$49)*MIN(L$3-$O$2,$Q$2)/$Q$2))</f>
        <v>5142.59435736502</v>
      </c>
      <c r="M53" s="15" t="n">
        <f aca="false">L53*(1+IF(M$3&lt;=$O$2,$D53,$D53-($D53-$I$49)*MIN(M$3-$O$2,$Q$2)/$Q$2))</f>
        <v>5282.16436822391</v>
      </c>
      <c r="N53" s="15" t="n">
        <f aca="false">M53*(1+IF(N$3&lt;=$O$2,$D53,$D53-($D53-$I$49)*MIN(N$3-$O$2,$Q$2)/$Q$2))</f>
        <v>5378.8279761624</v>
      </c>
      <c r="O53" s="15" t="n">
        <f aca="false">SUMPRODUCT(E53:N53,1/(1+$F$49)^$E$3:$N$3)*$E$2</f>
        <v>15645.527884702</v>
      </c>
      <c r="P53" s="15" t="n">
        <f aca="false">N53*$E$2*(1+$I$49)/($F$49-$I$49)/(1+$F$49)^$N$3</f>
        <v>19502.9637947786</v>
      </c>
      <c r="Q53" s="15" t="n">
        <f aca="false">O53+P53</f>
        <v>35148.4916794805</v>
      </c>
      <c r="R53" s="15" t="n">
        <f aca="false">Q53-$G$2+$I$2</f>
        <v>28961.1916794805</v>
      </c>
      <c r="S53" s="42" t="n">
        <f aca="false">R53/$K$2</f>
        <v>398.365772757641</v>
      </c>
      <c r="T53" s="43" t="n">
        <f aca="false">S53-$M$2</f>
        <v>-162.432026417049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0.0625</v>
      </c>
      <c r="C54" s="25" t="n">
        <f aca="false">IF(T53&gt;0,D53,C53)</f>
        <v>0.25</v>
      </c>
      <c r="D54" s="41" t="n">
        <f aca="false">(B54+C54)/2</f>
        <v>0.15625</v>
      </c>
      <c r="E54" s="15" t="n">
        <f aca="false">$C$2*(1+IF(E$3&lt;=$O$2,$D54,$D54-($D54-$I$49)*MIN(E$3-$O$2,$Q$2)/$Q$2))</f>
        <v>3850.3125</v>
      </c>
      <c r="F54" s="15" t="n">
        <f aca="false">E54*(1+IF(F$3&lt;=$O$2,$D54,$D54-($D54-$I$49)*MIN(F$3-$O$2,$Q$2)/$Q$2))</f>
        <v>4451.923828125</v>
      </c>
      <c r="G54" s="15" t="n">
        <f aca="false">F54*(1+IF(G$3&lt;=$O$2,$D54,$D54-($D54-$I$49)*MIN(G$3-$O$2,$Q$2)/$Q$2))</f>
        <v>5147.53692626953</v>
      </c>
      <c r="H54" s="15" t="n">
        <f aca="false">G54*(1+IF(H$3&lt;=$O$2,$D54,$D54-($D54-$I$49)*MIN(H$3-$O$2,$Q$2)/$Q$2))</f>
        <v>5951.83957099915</v>
      </c>
      <c r="I54" s="15" t="n">
        <f aca="false">H54*(1+IF(I$3&lt;=$O$2,$D54,$D54-($D54-$I$49)*MIN(I$3-$O$2,$Q$2)/$Q$2))</f>
        <v>6881.81450396776</v>
      </c>
      <c r="J54" s="15" t="n">
        <f aca="false">I54*(1+IF(J$3&lt;=$O$2,$D54,$D54-($D54-$I$49)*MIN(J$3-$O$2,$Q$2)/$Q$2))</f>
        <v>7767.22875804825</v>
      </c>
      <c r="K54" s="15" t="n">
        <f aca="false">J54*(1+IF(K$3&lt;=$O$2,$D54,$D54-($D54-$I$49)*MIN(K$3-$O$2,$Q$2)/$Q$2))</f>
        <v>8552.26256862419</v>
      </c>
      <c r="L54" s="15" t="n">
        <f aca="false">K54*(1+IF(L$3&lt;=$O$2,$D54,$D54-($D54-$I$49)*MIN(L$3-$O$2,$Q$2)/$Q$2))</f>
        <v>9180.6828221667</v>
      </c>
      <c r="M54" s="15" t="n">
        <f aca="false">L54*(1+IF(M$3&lt;=$O$2,$D54,$D54-($D54-$I$49)*MIN(M$3-$O$2,$Q$2)/$Q$2))</f>
        <v>9601.98435687593</v>
      </c>
      <c r="N54" s="15" t="n">
        <f aca="false">M54*(1+IF(N$3&lt;=$O$2,$D54,$D54-($D54-$I$49)*MIN(N$3-$O$2,$Q$2)/$Q$2))</f>
        <v>9777.70067060676</v>
      </c>
      <c r="O54" s="15" t="n">
        <f aca="false">SUMPRODUCT(E54:N54,1/(1+$F$49)^$E$3:$N$3)*$E$2</f>
        <v>23525.006987735</v>
      </c>
      <c r="P54" s="15" t="n">
        <f aca="false">N54*$E$2*(1+$I$49)/($F$49-$I$49)/(1+$F$49)^$N$3</f>
        <v>35452.7311563288</v>
      </c>
      <c r="Q54" s="15" t="n">
        <f aca="false">O54+P54</f>
        <v>58977.7381440638</v>
      </c>
      <c r="R54" s="15" t="n">
        <f aca="false">Q54-$G$2+$I$2</f>
        <v>52790.4381440638</v>
      </c>
      <c r="S54" s="42" t="n">
        <f aca="false">R54/$K$2</f>
        <v>726.140827291111</v>
      </c>
      <c r="T54" s="43" t="n">
        <f aca="false">S54-$M$2</f>
        <v>165.343028116421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0.0625</v>
      </c>
      <c r="C55" s="25" t="n">
        <f aca="false">IF(T54&gt;0,D54,C54)</f>
        <v>0.15625</v>
      </c>
      <c r="D55" s="41" t="n">
        <f aca="false">(B55+C55)/2</f>
        <v>0.109375</v>
      </c>
      <c r="E55" s="15" t="n">
        <f aca="false">$C$2*(1+IF(E$3&lt;=$O$2,$D55,$D55-($D55-$I$49)*MIN(E$3-$O$2,$Q$2)/$Q$2))</f>
        <v>3694.21875</v>
      </c>
      <c r="F55" s="15" t="n">
        <f aca="false">E55*(1+IF(F$3&lt;=$O$2,$D55,$D55-($D55-$I$49)*MIN(F$3-$O$2,$Q$2)/$Q$2))</f>
        <v>4098.27392578125</v>
      </c>
      <c r="G55" s="15" t="n">
        <f aca="false">F55*(1+IF(G$3&lt;=$O$2,$D55,$D55-($D55-$I$49)*MIN(G$3-$O$2,$Q$2)/$Q$2))</f>
        <v>4546.52263641357</v>
      </c>
      <c r="H55" s="15" t="n">
        <f aca="false">G55*(1+IF(H$3&lt;=$O$2,$D55,$D55-($D55-$I$49)*MIN(H$3-$O$2,$Q$2)/$Q$2))</f>
        <v>5043.79854977131</v>
      </c>
      <c r="I55" s="15" t="n">
        <f aca="false">H55*(1+IF(I$3&lt;=$O$2,$D55,$D55-($D55-$I$49)*MIN(I$3-$O$2,$Q$2)/$Q$2))</f>
        <v>5595.46401615255</v>
      </c>
      <c r="J55" s="15" t="n">
        <f aca="false">I55*(1+IF(J$3&lt;=$O$2,$D55,$D55-($D55-$I$49)*MIN(J$3-$O$2,$Q$2)/$Q$2))</f>
        <v>6105.54651586501</v>
      </c>
      <c r="K55" s="15" t="n">
        <f aca="false">J55*(1+IF(K$3&lt;=$O$2,$D55,$D55-($D55-$I$49)*MIN(K$3-$O$2,$Q$2)/$Q$2))</f>
        <v>6550.91560646479</v>
      </c>
      <c r="L55" s="15" t="n">
        <f aca="false">K55*(1+IF(L$3&lt;=$O$2,$D55,$D55-($D55-$I$49)*MIN(L$3-$O$2,$Q$2)/$Q$2))</f>
        <v>6909.4472176066</v>
      </c>
      <c r="M55" s="15" t="n">
        <f aca="false">L55*(1+IF(M$3&lt;=$O$2,$D55,$D55-($D55-$I$49)*MIN(M$3-$O$2,$Q$2)/$Q$2))</f>
        <v>7161.74568275751</v>
      </c>
      <c r="N55" s="15" t="n">
        <f aca="false">M55*(1+IF(N$3&lt;=$O$2,$D55,$D55-($D55-$I$49)*MIN(N$3-$O$2,$Q$2)/$Q$2))</f>
        <v>7292.80562875197</v>
      </c>
      <c r="O55" s="15" t="n">
        <f aca="false">SUMPRODUCT(E55:N55,1/(1+$F$49)^$E$3:$N$3)*$E$2</f>
        <v>19188.8252492147</v>
      </c>
      <c r="P55" s="15" t="n">
        <f aca="false">N55*$E$2*(1+$I$49)/($F$49-$I$49)/(1+$F$49)^$N$3</f>
        <v>26442.8096176788</v>
      </c>
      <c r="Q55" s="15" t="n">
        <f aca="false">O55+P55</f>
        <v>45631.6348668935</v>
      </c>
      <c r="R55" s="15" t="n">
        <f aca="false">Q55-$G$2+$I$2</f>
        <v>39444.3348668935</v>
      </c>
      <c r="S55" s="42" t="n">
        <f aca="false">R55/$K$2</f>
        <v>542.563065569374</v>
      </c>
      <c r="T55" s="43" t="n">
        <f aca="false">S55-$M$2</f>
        <v>-18.2347336053165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0.109375</v>
      </c>
      <c r="C56" s="25" t="n">
        <f aca="false">IF(T55&gt;0,D55,C55)</f>
        <v>0.15625</v>
      </c>
      <c r="D56" s="41" t="n">
        <f aca="false">(B56+C56)/2</f>
        <v>0.1328125</v>
      </c>
      <c r="E56" s="15" t="n">
        <f aca="false">$C$2*(1+IF(E$3&lt;=$O$2,$D56,$D56-($D56-$I$49)*MIN(E$3-$O$2,$Q$2)/$Q$2))</f>
        <v>3772.265625</v>
      </c>
      <c r="F56" s="15" t="n">
        <f aca="false">E56*(1+IF(F$3&lt;=$O$2,$D56,$D56-($D56-$I$49)*MIN(F$3-$O$2,$Q$2)/$Q$2))</f>
        <v>4273.26965332031</v>
      </c>
      <c r="G56" s="15" t="n">
        <f aca="false">F56*(1+IF(G$3&lt;=$O$2,$D56,$D56-($D56-$I$49)*MIN(G$3-$O$2,$Q$2)/$Q$2))</f>
        <v>4840.81327915192</v>
      </c>
      <c r="H56" s="15" t="n">
        <f aca="false">G56*(1+IF(H$3&lt;=$O$2,$D56,$D56-($D56-$I$49)*MIN(H$3-$O$2,$Q$2)/$Q$2))</f>
        <v>5483.73379278928</v>
      </c>
      <c r="I56" s="15" t="n">
        <f aca="false">H56*(1+IF(I$3&lt;=$O$2,$D56,$D56-($D56-$I$49)*MIN(I$3-$O$2,$Q$2)/$Q$2))</f>
        <v>6212.04218714411</v>
      </c>
      <c r="J56" s="15" t="n">
        <f aca="false">I56*(1+IF(J$3&lt;=$O$2,$D56,$D56-($D56-$I$49)*MIN(J$3-$O$2,$Q$2)/$Q$2))</f>
        <v>6894.80774393312</v>
      </c>
      <c r="K56" s="15" t="n">
        <f aca="false">J56*(1+IF(K$3&lt;=$O$2,$D56,$D56-($D56-$I$49)*MIN(K$3-$O$2,$Q$2)/$Q$2))</f>
        <v>7494.70772871338</v>
      </c>
      <c r="L56" s="15" t="n">
        <f aca="false">K56*(1+IF(L$3&lt;=$O$2,$D56,$D56-($D56-$I$49)*MIN(L$3-$O$2,$Q$2)/$Q$2))</f>
        <v>7975.15596766255</v>
      </c>
      <c r="M56" s="15" t="n">
        <f aca="false">L56*(1+IF(M$3&lt;=$O$2,$D56,$D56-($D56-$I$49)*MIN(M$3-$O$2,$Q$2)/$Q$2))</f>
        <v>8303.75233142016</v>
      </c>
      <c r="N56" s="15" t="n">
        <f aca="false">M56*(1+IF(N$3&lt;=$O$2,$D56,$D56-($D56-$I$49)*MIN(N$3-$O$2,$Q$2)/$Q$2))</f>
        <v>8455.71099908515</v>
      </c>
      <c r="O56" s="15" t="n">
        <f aca="false">SUMPRODUCT(E56:N56,1/(1+$F$49)^$E$3:$N$3)*$E$2</f>
        <v>21248.3876800441</v>
      </c>
      <c r="P56" s="15" t="n">
        <f aca="false">N56*$E$2*(1+$I$49)/($F$49-$I$49)/(1+$F$49)^$N$3</f>
        <v>30659.3604043695</v>
      </c>
      <c r="Q56" s="15" t="n">
        <f aca="false">O56+P56</f>
        <v>51907.7480844136</v>
      </c>
      <c r="R56" s="15" t="n">
        <f aca="false">Q56-$G$2+$I$2</f>
        <v>45720.4480844136</v>
      </c>
      <c r="S56" s="42" t="n">
        <f aca="false">R56/$K$2</f>
        <v>628.891995659059</v>
      </c>
      <c r="T56" s="43" t="n">
        <f aca="false">S56-$M$2</f>
        <v>68.0941964843682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0.109375</v>
      </c>
      <c r="C57" s="25" t="n">
        <f aca="false">IF(T56&gt;0,D56,C56)</f>
        <v>0.1328125</v>
      </c>
      <c r="D57" s="41" t="n">
        <f aca="false">(B57+C57)/2</f>
        <v>0.12109375</v>
      </c>
      <c r="E57" s="15" t="n">
        <f aca="false">$C$2*(1+IF(E$3&lt;=$O$2,$D57,$D57-($D57-$I$49)*MIN(E$3-$O$2,$Q$2)/$Q$2))</f>
        <v>3733.2421875</v>
      </c>
      <c r="F57" s="15" t="n">
        <f aca="false">E57*(1+IF(F$3&lt;=$O$2,$D57,$D57-($D57-$I$49)*MIN(F$3-$O$2,$Q$2)/$Q$2))</f>
        <v>4185.31448364258</v>
      </c>
      <c r="G57" s="15" t="n">
        <f aca="false">F57*(1+IF(G$3&lt;=$O$2,$D57,$D57-($D57-$I$49)*MIN(G$3-$O$2,$Q$2)/$Q$2))</f>
        <v>4692.12990939617</v>
      </c>
      <c r="H57" s="15" t="n">
        <f aca="false">G57*(1+IF(H$3&lt;=$O$2,$D57,$D57-($D57-$I$49)*MIN(H$3-$O$2,$Q$2)/$Q$2))</f>
        <v>5260.31751561211</v>
      </c>
      <c r="I57" s="15" t="n">
        <f aca="false">H57*(1+IF(I$3&lt;=$O$2,$D57,$D57-($D57-$I$49)*MIN(I$3-$O$2,$Q$2)/$Q$2))</f>
        <v>5897.30908976827</v>
      </c>
      <c r="J57" s="15" t="n">
        <f aca="false">I57*(1+IF(J$3&lt;=$O$2,$D57,$D57-($D57-$I$49)*MIN(J$3-$O$2,$Q$2)/$Q$2))</f>
        <v>6490.19505910812</v>
      </c>
      <c r="K57" s="15" t="n">
        <f aca="false">J57*(1+IF(K$3&lt;=$O$2,$D57,$D57-($D57-$I$49)*MIN(K$3-$O$2,$Q$2)/$Q$2))</f>
        <v>7009.25652170412</v>
      </c>
      <c r="L57" s="15" t="n">
        <f aca="false">K57*(1+IF(L$3&lt;=$O$2,$D57,$D57-($D57-$I$49)*MIN(L$3-$O$2,$Q$2)/$Q$2))</f>
        <v>7425.72902108247</v>
      </c>
      <c r="M57" s="15" t="n">
        <f aca="false">L57*(1+IF(M$3&lt;=$O$2,$D57,$D57-($D57-$I$49)*MIN(M$3-$O$2,$Q$2)/$Q$2))</f>
        <v>7714.28356868046</v>
      </c>
      <c r="N57" s="15" t="n">
        <f aca="false">M57*(1+IF(N$3&lt;=$O$2,$D57,$D57-($D57-$I$49)*MIN(N$3-$O$2,$Q$2)/$Q$2))</f>
        <v>7855.45495798731</v>
      </c>
      <c r="O57" s="15" t="n">
        <f aca="false">SUMPRODUCT(E57:N57,1/(1+$F$49)^$E$3:$N$3)*$E$2</f>
        <v>20192.7109413226</v>
      </c>
      <c r="P57" s="15" t="n">
        <f aca="false">N57*$E$2*(1+$I$49)/($F$49-$I$49)/(1+$F$49)^$N$3</f>
        <v>28482.9063721882</v>
      </c>
      <c r="Q57" s="15" t="n">
        <f aca="false">O57+P57</f>
        <v>48675.6173135108</v>
      </c>
      <c r="R57" s="15" t="n">
        <f aca="false">Q57-$G$2+$I$2</f>
        <v>42488.3173135108</v>
      </c>
      <c r="S57" s="42" t="n">
        <f aca="false">R57/$K$2</f>
        <v>584.433525632886</v>
      </c>
      <c r="T57" s="43" t="n">
        <f aca="false">S57-$M$2</f>
        <v>23.6357264581951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0.109375</v>
      </c>
      <c r="C58" s="25" t="n">
        <f aca="false">IF(T57&gt;0,D57,C57)</f>
        <v>0.12109375</v>
      </c>
      <c r="D58" s="41" t="n">
        <f aca="false">(B58+C58)/2</f>
        <v>0.115234375</v>
      </c>
      <c r="E58" s="15" t="n">
        <f aca="false">$C$2*(1+IF(E$3&lt;=$O$2,$D58,$D58-($D58-$I$49)*MIN(E$3-$O$2,$Q$2)/$Q$2))</f>
        <v>3713.73046875</v>
      </c>
      <c r="F58" s="15" t="n">
        <f aca="false">E58*(1+IF(F$3&lt;=$O$2,$D58,$D58-($D58-$I$49)*MIN(F$3-$O$2,$Q$2)/$Q$2))</f>
        <v>4141.67987823486</v>
      </c>
      <c r="G58" s="15" t="n">
        <f aca="false">F58*(1+IF(G$3&lt;=$O$2,$D58,$D58-($D58-$I$49)*MIN(G$3-$O$2,$Q$2)/$Q$2))</f>
        <v>4618.94377045333</v>
      </c>
      <c r="H58" s="15" t="n">
        <f aca="false">G58*(1+IF(H$3&lt;=$O$2,$D58,$D58-($D58-$I$49)*MIN(H$3-$O$2,$Q$2)/$Q$2))</f>
        <v>5151.20486900167</v>
      </c>
      <c r="I58" s="15" t="n">
        <f aca="false">H58*(1+IF(I$3&lt;=$O$2,$D58,$D58-($D58-$I$49)*MIN(I$3-$O$2,$Q$2)/$Q$2))</f>
        <v>5744.80074257803</v>
      </c>
      <c r="J58" s="15" t="n">
        <f aca="false">I58*(1+IF(J$3&lt;=$O$2,$D58,$D58-($D58-$I$49)*MIN(J$3-$O$2,$Q$2)/$Q$2))</f>
        <v>6295.42553175228</v>
      </c>
      <c r="K58" s="15" t="n">
        <f aca="false">J58*(1+IF(K$3&lt;=$O$2,$D58,$D58-($D58-$I$49)*MIN(K$3-$O$2,$Q$2)/$Q$2))</f>
        <v>6776.77770255102</v>
      </c>
      <c r="L58" s="15" t="n">
        <f aca="false">K58*(1+IF(L$3&lt;=$O$2,$D58,$D58-($D58-$I$49)*MIN(L$3-$O$2,$Q$2)/$Q$2))</f>
        <v>7163.55381895199</v>
      </c>
      <c r="M58" s="15" t="n">
        <f aca="false">L58*(1+IF(M$3&lt;=$O$2,$D58,$D58-($D58-$I$49)*MIN(M$3-$O$2,$Q$2)/$Q$2))</f>
        <v>7433.5257762826</v>
      </c>
      <c r="N58" s="15" t="n">
        <f aca="false">M58*(1+IF(N$3&lt;=$O$2,$D58,$D58-($D58-$I$49)*MIN(N$3-$O$2,$Q$2)/$Q$2))</f>
        <v>7569.55929798858</v>
      </c>
      <c r="O58" s="15" t="n">
        <f aca="false">SUMPRODUCT(E58:N58,1/(1+$F$49)^$E$3:$N$3)*$E$2</f>
        <v>19684.4434398996</v>
      </c>
      <c r="P58" s="15" t="n">
        <f aca="false">N58*$E$2*(1+$I$49)/($F$49-$I$49)/(1+$F$49)^$N$3</f>
        <v>27446.2841320366</v>
      </c>
      <c r="Q58" s="15" t="n">
        <f aca="false">O58+P58</f>
        <v>47130.7275719362</v>
      </c>
      <c r="R58" s="15" t="n">
        <f aca="false">Q58-$G$2+$I$2</f>
        <v>40943.4275719362</v>
      </c>
      <c r="S58" s="42" t="n">
        <f aca="false">R58/$K$2</f>
        <v>563.183322860195</v>
      </c>
      <c r="T58" s="43" t="n">
        <f aca="false">S58-$M$2</f>
        <v>2.3855236855045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0.109375</v>
      </c>
      <c r="C59" s="25" t="n">
        <f aca="false">IF(T58&gt;0,D58,C58)</f>
        <v>0.115234375</v>
      </c>
      <c r="D59" s="41" t="n">
        <f aca="false">(B59+C59)/2</f>
        <v>0.1123046875</v>
      </c>
      <c r="E59" s="15" t="n">
        <f aca="false">$C$2*(1+IF(E$3&lt;=$O$2,$D59,$D59-($D59-$I$49)*MIN(E$3-$O$2,$Q$2)/$Q$2))</f>
        <v>3703.974609375</v>
      </c>
      <c r="F59" s="15" t="n">
        <f aca="false">E59*(1+IF(F$3&lt;=$O$2,$D59,$D59-($D59-$I$49)*MIN(F$3-$O$2,$Q$2)/$Q$2))</f>
        <v>4119.94832038879</v>
      </c>
      <c r="G59" s="15" t="n">
        <f aca="false">F59*(1+IF(G$3&lt;=$O$2,$D59,$D59-($D59-$I$49)*MIN(G$3-$O$2,$Q$2)/$Q$2))</f>
        <v>4582.63782902621</v>
      </c>
      <c r="H59" s="15" t="n">
        <f aca="false">G59*(1+IF(H$3&lt;=$O$2,$D59,$D59-($D59-$I$49)*MIN(H$3-$O$2,$Q$2)/$Q$2))</f>
        <v>5097.28953834067</v>
      </c>
      <c r="I59" s="15" t="n">
        <f aca="false">H59*(1+IF(I$3&lt;=$O$2,$D59,$D59-($D59-$I$49)*MIN(I$3-$O$2,$Q$2)/$Q$2))</f>
        <v>5669.73904704104</v>
      </c>
      <c r="J59" s="15" t="n">
        <f aca="false">I59*(1+IF(J$3&lt;=$O$2,$D59,$D59-($D59-$I$49)*MIN(J$3-$O$2,$Q$2)/$Q$2))</f>
        <v>6199.88090946081</v>
      </c>
      <c r="K59" s="15" t="n">
        <f aca="false">J59*(1+IF(K$3&lt;=$O$2,$D59,$D59-($D59-$I$49)*MIN(K$3-$O$2,$Q$2)/$Q$2))</f>
        <v>6663.02945056259</v>
      </c>
      <c r="L59" s="15" t="n">
        <f aca="false">K59*(1+IF(L$3&lt;=$O$2,$D59,$D59-($D59-$I$49)*MIN(L$3-$O$2,$Q$2)/$Q$2))</f>
        <v>7035.50529002926</v>
      </c>
      <c r="M59" s="15" t="n">
        <f aca="false">L59*(1+IF(M$3&lt;=$O$2,$D59,$D59-($D59-$I$49)*MIN(M$3-$O$2,$Q$2)/$Q$2))</f>
        <v>7296.52913207555</v>
      </c>
      <c r="N59" s="15" t="n">
        <f aca="false">M59*(1+IF(N$3&lt;=$O$2,$D59,$D59-($D59-$I$49)*MIN(N$3-$O$2,$Q$2)/$Q$2))</f>
        <v>7430.05561519253</v>
      </c>
      <c r="O59" s="15" t="n">
        <f aca="false">SUMPRODUCT(E59:N59,1/(1+$F$49)^$E$3:$N$3)*$E$2</f>
        <v>19435.0715078634</v>
      </c>
      <c r="P59" s="15" t="n">
        <f aca="false">N59*$E$2*(1+$I$49)/($F$49-$I$49)/(1+$F$49)^$N$3</f>
        <v>26940.4610629838</v>
      </c>
      <c r="Q59" s="15" t="n">
        <f aca="false">O59+P59</f>
        <v>46375.5325708472</v>
      </c>
      <c r="R59" s="15" t="n">
        <f aca="false">Q59-$G$2+$I$2</f>
        <v>40188.2325708472</v>
      </c>
      <c r="S59" s="42" t="n">
        <f aca="false">R59/$K$2</f>
        <v>552.795496160209</v>
      </c>
      <c r="T59" s="43" t="n">
        <f aca="false">S59-$M$2</f>
        <v>-8.00230301448187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0.1123046875</v>
      </c>
      <c r="C60" s="25" t="n">
        <f aca="false">IF(T59&gt;0,D59,C59)</f>
        <v>0.115234375</v>
      </c>
      <c r="D60" s="41" t="n">
        <f aca="false">(B60+C60)/2</f>
        <v>0.11376953125</v>
      </c>
      <c r="E60" s="15" t="n">
        <f aca="false">$C$2*(1+IF(E$3&lt;=$O$2,$D60,$D60-($D60-$I$49)*MIN(E$3-$O$2,$Q$2)/$Q$2))</f>
        <v>3708.8525390625</v>
      </c>
      <c r="F60" s="15" t="n">
        <f aca="false">E60*(1+IF(F$3&lt;=$O$2,$D60,$D60-($D60-$I$49)*MIN(F$3-$O$2,$Q$2)/$Q$2))</f>
        <v>4130.80695390701</v>
      </c>
      <c r="G60" s="15" t="n">
        <f aca="false">F60*(1+IF(G$3&lt;=$O$2,$D60,$D60-($D60-$I$49)*MIN(G$3-$O$2,$Q$2)/$Q$2))</f>
        <v>4600.76692473725</v>
      </c>
      <c r="H60" s="15" t="n">
        <f aca="false">G60*(1+IF(H$3&lt;=$O$2,$D60,$D60-($D60-$I$49)*MIN(H$3-$O$2,$Q$2)/$Q$2))</f>
        <v>5124.19402115512</v>
      </c>
      <c r="I60" s="15" t="n">
        <f aca="false">H60*(1+IF(I$3&lt;=$O$2,$D60,$D60-($D60-$I$49)*MIN(I$3-$O$2,$Q$2)/$Q$2))</f>
        <v>5707.17117297599</v>
      </c>
      <c r="J60" s="15" t="n">
        <f aca="false">I60*(1+IF(J$3&lt;=$O$2,$D60,$D60-($D60-$I$49)*MIN(J$3-$O$2,$Q$2)/$Q$2))</f>
        <v>6247.50117075947</v>
      </c>
      <c r="K60" s="15" t="n">
        <f aca="false">J60*(1+IF(K$3&lt;=$O$2,$D60,$D60-($D60-$I$49)*MIN(K$3-$O$2,$Q$2)/$Q$2))</f>
        <v>6719.69804713811</v>
      </c>
      <c r="L60" s="15" t="n">
        <f aca="false">K60*(1+IF(L$3&lt;=$O$2,$D60,$D60-($D60-$I$49)*MIN(L$3-$O$2,$Q$2)/$Q$2))</f>
        <v>7099.27909048146</v>
      </c>
      <c r="M60" s="15" t="n">
        <f aca="false">L60*(1+IF(M$3&lt;=$O$2,$D60,$D60-($D60-$I$49)*MIN(M$3-$O$2,$Q$2)/$Q$2))</f>
        <v>7364.74886723351</v>
      </c>
      <c r="N60" s="15" t="n">
        <f aca="false">M60*(1+IF(N$3&lt;=$O$2,$D60,$D60-($D60-$I$49)*MIN(N$3-$O$2,$Q$2)/$Q$2))</f>
        <v>7499.52377150388</v>
      </c>
      <c r="O60" s="15" t="n">
        <f aca="false">SUMPRODUCT(E60:N60,1/(1+$F$49)^$E$3:$N$3)*$E$2</f>
        <v>19559.3644882133</v>
      </c>
      <c r="P60" s="15" t="n">
        <f aca="false">N60*$E$2*(1+$I$49)/($F$49-$I$49)/(1+$F$49)^$N$3</f>
        <v>27192.343990535</v>
      </c>
      <c r="Q60" s="15" t="n">
        <f aca="false">O60+P60</f>
        <v>46751.7084787483</v>
      </c>
      <c r="R60" s="15" t="n">
        <f aca="false">Q60-$G$2+$I$2</f>
        <v>40564.4084787483</v>
      </c>
      <c r="S60" s="42" t="n">
        <f aca="false">R60/$K$2</f>
        <v>557.969855278519</v>
      </c>
      <c r="T60" s="43" t="n">
        <f aca="false">S60-$M$2</f>
        <v>-2.82794389617197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0.11376953125</v>
      </c>
      <c r="C61" s="25" t="n">
        <f aca="false">IF(T60&gt;0,D60,C60)</f>
        <v>0.115234375</v>
      </c>
      <c r="D61" s="41" t="n">
        <f aca="false">(B61+C61)/2</f>
        <v>0.114501953125</v>
      </c>
      <c r="E61" s="15" t="n">
        <f aca="false">$C$2*(1+IF(E$3&lt;=$O$2,$D61,$D61-($D61-$I$49)*MIN(E$3-$O$2,$Q$2)/$Q$2))</f>
        <v>3711.29150390625</v>
      </c>
      <c r="F61" s="15" t="n">
        <f aca="false">E61*(1+IF(F$3&lt;=$O$2,$D61,$D61-($D61-$I$49)*MIN(F$3-$O$2,$Q$2)/$Q$2))</f>
        <v>4136.24162971973</v>
      </c>
      <c r="G61" s="15" t="n">
        <f aca="false">F61*(1+IF(G$3&lt;=$O$2,$D61,$D61-($D61-$I$49)*MIN(G$3-$O$2,$Q$2)/$Q$2))</f>
        <v>4609.84937491958</v>
      </c>
      <c r="H61" s="15" t="n">
        <f aca="false">G61*(1+IF(H$3&lt;=$O$2,$D61,$D61-($D61-$I$49)*MIN(H$3-$O$2,$Q$2)/$Q$2))</f>
        <v>5137.68613195993</v>
      </c>
      <c r="I61" s="15" t="n">
        <f aca="false">H61*(1+IF(I$3&lt;=$O$2,$D61,$D61-($D61-$I$49)*MIN(I$3-$O$2,$Q$2)/$Q$2))</f>
        <v>5725.96122861257</v>
      </c>
      <c r="J61" s="15" t="n">
        <f aca="false">I61*(1+IF(J$3&lt;=$O$2,$D61,$D61-($D61-$I$49)*MIN(J$3-$O$2,$Q$2)/$Q$2))</f>
        <v>6271.42524206462</v>
      </c>
      <c r="K61" s="15" t="n">
        <f aca="false">J61*(1+IF(K$3&lt;=$O$2,$D61,$D61-($D61-$I$49)*MIN(K$3-$O$2,$Q$2)/$Q$2))</f>
        <v>6748.18633829283</v>
      </c>
      <c r="L61" s="15" t="n">
        <f aca="false">K61*(1+IF(L$3&lt;=$O$2,$D61,$D61-($D61-$I$49)*MIN(L$3-$O$2,$Q$2)/$Q$2))</f>
        <v>7131.35363060167</v>
      </c>
      <c r="M61" s="15" t="n">
        <f aca="false">L61*(1+IF(M$3&lt;=$O$2,$D61,$D61-($D61-$I$49)*MIN(M$3-$O$2,$Q$2)/$Q$2))</f>
        <v>7399.06743157947</v>
      </c>
      <c r="N61" s="15" t="n">
        <f aca="false">M61*(1+IF(N$3&lt;=$O$2,$D61,$D61-($D61-$I$49)*MIN(N$3-$O$2,$Q$2)/$Q$2))</f>
        <v>7534.47036557737</v>
      </c>
      <c r="O61" s="15" t="n">
        <f aca="false">SUMPRODUCT(E61:N61,1/(1+$F$49)^$E$3:$N$3)*$E$2</f>
        <v>19621.8054318223</v>
      </c>
      <c r="P61" s="15" t="n">
        <f aca="false">N61*$E$2*(1+$I$49)/($F$49-$I$49)/(1+$F$49)^$N$3</f>
        <v>27319.0560106975</v>
      </c>
      <c r="Q61" s="15" t="n">
        <f aca="false">O61+P61</f>
        <v>46940.8614425199</v>
      </c>
      <c r="R61" s="15" t="n">
        <f aca="false">Q61-$G$2+$I$2</f>
        <v>40753.5614425199</v>
      </c>
      <c r="S61" s="42" t="n">
        <f aca="false">R61/$K$2</f>
        <v>560.571684216229</v>
      </c>
      <c r="T61" s="43" t="n">
        <f aca="false">S61-$M$2</f>
        <v>-0.22611495846138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0.114501953125</v>
      </c>
      <c r="C62" s="25" t="n">
        <f aca="false">IF(T61&gt;0,D61,C61)</f>
        <v>0.115234375</v>
      </c>
      <c r="D62" s="41" t="n">
        <f aca="false">(B62+C62)/2</f>
        <v>0.1148681640625</v>
      </c>
      <c r="E62" s="15" t="n">
        <f aca="false">$C$2*(1+IF(E$3&lt;=$O$2,$D62,$D62-($D62-$I$49)*MIN(E$3-$O$2,$Q$2)/$Q$2))</f>
        <v>3712.51098632813</v>
      </c>
      <c r="F62" s="15" t="n">
        <f aca="false">E62*(1+IF(F$3&lt;=$O$2,$D62,$D62-($D62-$I$49)*MIN(F$3-$O$2,$Q$2)/$Q$2))</f>
        <v>4138.9603073895</v>
      </c>
      <c r="G62" s="15" t="n">
        <f aca="false">F62*(1+IF(G$3&lt;=$O$2,$D62,$D62-($D62-$I$49)*MIN(G$3-$O$2,$Q$2)/$Q$2))</f>
        <v>4614.39507902689</v>
      </c>
      <c r="H62" s="15" t="n">
        <f aca="false">G62*(1+IF(H$3&lt;=$O$2,$D62,$D62-($D62-$I$49)*MIN(H$3-$O$2,$Q$2)/$Q$2))</f>
        <v>5144.44217001374</v>
      </c>
      <c r="I62" s="15" t="n">
        <f aca="false">H62*(1+IF(I$3&lt;=$O$2,$D62,$D62-($D62-$I$49)*MIN(I$3-$O$2,$Q$2)/$Q$2))</f>
        <v>5735.37479720893</v>
      </c>
      <c r="J62" s="15" t="n">
        <f aca="false">I62*(1+IF(J$3&lt;=$O$2,$D62,$D62-($D62-$I$49)*MIN(J$3-$O$2,$Q$2)/$Q$2))</f>
        <v>6283.41584749929</v>
      </c>
      <c r="K62" s="15" t="n">
        <f aca="false">J62*(1+IF(K$3&lt;=$O$2,$D62,$D62-($D62-$I$49)*MIN(K$3-$O$2,$Q$2)/$Q$2))</f>
        <v>6762.46911696906</v>
      </c>
      <c r="L62" s="15" t="n">
        <f aca="false">K62*(1+IF(L$3&lt;=$O$2,$D62,$D62-($D62-$I$49)*MIN(L$3-$O$2,$Q$2)/$Q$2))</f>
        <v>7147.43799267162</v>
      </c>
      <c r="M62" s="15" t="n">
        <f aca="false">L62*(1+IF(M$3&lt;=$O$2,$D62,$D62-($D62-$I$49)*MIN(M$3-$O$2,$Q$2)/$Q$2))</f>
        <v>7416.27910087808</v>
      </c>
      <c r="N62" s="15" t="n">
        <f aca="false">M62*(1+IF(N$3&lt;=$O$2,$D62,$D62-($D62-$I$49)*MIN(N$3-$O$2,$Q$2)/$Q$2))</f>
        <v>7551.99700842415</v>
      </c>
      <c r="O62" s="15" t="n">
        <f aca="false">SUMPRODUCT(E62:N62,1/(1+$F$49)^$E$3:$N$3)*$E$2</f>
        <v>19653.0997669966</v>
      </c>
      <c r="P62" s="15" t="n">
        <f aca="false">N62*$E$2*(1+$I$49)/($F$49-$I$49)/(1+$F$49)^$N$3</f>
        <v>27382.6054460763</v>
      </c>
      <c r="Q62" s="15" t="n">
        <f aca="false">O62+P62</f>
        <v>47035.7052130729</v>
      </c>
      <c r="R62" s="15" t="n">
        <f aca="false">Q62-$G$2+$I$2</f>
        <v>40848.4052130729</v>
      </c>
      <c r="S62" s="42" t="n">
        <f aca="false">R62/$K$2</f>
        <v>561.876275282984</v>
      </c>
      <c r="T62" s="43" t="n">
        <f aca="false">S62-$M$2</f>
        <v>1.07847610829333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0.114501953125</v>
      </c>
      <c r="C63" s="25" t="n">
        <f aca="false">IF(T62&gt;0,D62,C62)</f>
        <v>0.1148681640625</v>
      </c>
      <c r="D63" s="41" t="n">
        <f aca="false">(B63+C63)/2</f>
        <v>0.11468505859375</v>
      </c>
      <c r="E63" s="15" t="n">
        <f aca="false">$C$2*(1+IF(E$3&lt;=$O$2,$D63,$D63-($D63-$I$49)*MIN(E$3-$O$2,$Q$2)/$Q$2))</f>
        <v>3711.90124511719</v>
      </c>
      <c r="F63" s="15" t="n">
        <f aca="false">E63*(1+IF(F$3&lt;=$O$2,$D63,$D63-($D63-$I$49)*MIN(F$3-$O$2,$Q$2)/$Q$2))</f>
        <v>4137.60085690767</v>
      </c>
      <c r="G63" s="15" t="n">
        <f aca="false">F63*(1+IF(G$3&lt;=$O$2,$D63,$D63-($D63-$I$49)*MIN(G$3-$O$2,$Q$2)/$Q$2))</f>
        <v>4612.12185361967</v>
      </c>
      <c r="H63" s="15" t="n">
        <f aca="false">G63*(1+IF(H$3&lt;=$O$2,$D63,$D63-($D63-$I$49)*MIN(H$3-$O$2,$Q$2)/$Q$2))</f>
        <v>5141.06331864356</v>
      </c>
      <c r="I63" s="15" t="n">
        <f aca="false">H63*(1+IF(I$3&lt;=$O$2,$D63,$D63-($D63-$I$49)*MIN(I$3-$O$2,$Q$2)/$Q$2))</f>
        <v>5730.66646657638</v>
      </c>
      <c r="J63" s="15" t="n">
        <f aca="false">I63*(1+IF(J$3&lt;=$O$2,$D63,$D63-($D63-$I$49)*MIN(J$3-$O$2,$Q$2)/$Q$2))</f>
        <v>6277.41816144448</v>
      </c>
      <c r="K63" s="15" t="n">
        <f aca="false">J63*(1+IF(K$3&lt;=$O$2,$D63,$D63-($D63-$I$49)*MIN(K$3-$O$2,$Q$2)/$Q$2))</f>
        <v>6755.3245041839</v>
      </c>
      <c r="L63" s="15" t="n">
        <f aca="false">K63*(1+IF(L$3&lt;=$O$2,$D63,$D63-($D63-$I$49)*MIN(L$3-$O$2,$Q$2)/$Q$2))</f>
        <v>7139.39188187269</v>
      </c>
      <c r="M63" s="15" t="n">
        <f aca="false">L63*(1+IF(M$3&lt;=$O$2,$D63,$D63-($D63-$I$49)*MIN(M$3-$O$2,$Q$2)/$Q$2))</f>
        <v>7407.66889428256</v>
      </c>
      <c r="N63" s="15" t="n">
        <f aca="false">M63*(1+IF(N$3&lt;=$O$2,$D63,$D63-($D63-$I$49)*MIN(N$3-$O$2,$Q$2)/$Q$2))</f>
        <v>7543.22923504794</v>
      </c>
      <c r="O63" s="15" t="n">
        <f aca="false">SUMPRODUCT(E63:N63,1/(1+$F$49)^$E$3:$N$3)*$E$2</f>
        <v>19637.4464366726</v>
      </c>
      <c r="P63" s="15" t="n">
        <f aca="false">N63*$E$2*(1+$I$49)/($F$49-$I$49)/(1+$F$49)^$N$3</f>
        <v>27350.8145861576</v>
      </c>
      <c r="Q63" s="15" t="n">
        <f aca="false">O63+P63</f>
        <v>46988.2610228302</v>
      </c>
      <c r="R63" s="15" t="n">
        <f aca="false">Q63-$G$2+$I$2</f>
        <v>40800.9610228302</v>
      </c>
      <c r="S63" s="42" t="n">
        <f aca="false">R63/$K$2</f>
        <v>561.223672941268</v>
      </c>
      <c r="T63" s="43" t="n">
        <f aca="false">S63-$M$2</f>
        <v>0.425873766577865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0.114501953125</v>
      </c>
      <c r="C64" s="25" t="n">
        <f aca="false">IF(T63&gt;0,D63,C63)</f>
        <v>0.11468505859375</v>
      </c>
      <c r="D64" s="41" t="n">
        <f aca="false">(B64+C64)/2</f>
        <v>0.114593505859375</v>
      </c>
      <c r="E64" s="15" t="n">
        <f aca="false">$C$2*(1+IF(E$3&lt;=$O$2,$D64,$D64-($D64-$I$49)*MIN(E$3-$O$2,$Q$2)/$Q$2))</f>
        <v>3711.59637451172</v>
      </c>
      <c r="F64" s="15" t="n">
        <f aca="false">E64*(1+IF(F$3&lt;=$O$2,$D64,$D64-($D64-$I$49)*MIN(F$3-$O$2,$Q$2)/$Q$2))</f>
        <v>4136.92121540196</v>
      </c>
      <c r="G64" s="15" t="n">
        <f aca="false">F64*(1+IF(G$3&lt;=$O$2,$D64,$D64-($D64-$I$49)*MIN(G$3-$O$2,$Q$2)/$Q$2))</f>
        <v>4610.9855209389</v>
      </c>
      <c r="H64" s="15" t="n">
        <f aca="false">G64*(1+IF(H$3&lt;=$O$2,$D64,$D64-($D64-$I$49)*MIN(H$3-$O$2,$Q$2)/$Q$2))</f>
        <v>5139.37451725011</v>
      </c>
      <c r="I64" s="15" t="n">
        <f aca="false">H64*(1+IF(I$3&lt;=$O$2,$D64,$D64-($D64-$I$49)*MIN(I$3-$O$2,$Q$2)/$Q$2))</f>
        <v>5728.31346110613</v>
      </c>
      <c r="J64" s="15" t="n">
        <f aca="false">I64*(1+IF(J$3&lt;=$O$2,$D64,$D64-($D64-$I$49)*MIN(J$3-$O$2,$Q$2)/$Q$2))</f>
        <v>6274.42110610946</v>
      </c>
      <c r="K64" s="15" t="n">
        <f aca="false">J64*(1+IF(K$3&lt;=$O$2,$D64,$D64-($D64-$I$49)*MIN(K$3-$O$2,$Q$2)/$Q$2))</f>
        <v>6751.75461567846</v>
      </c>
      <c r="L64" s="15" t="n">
        <f aca="false">K64*(1+IF(L$3&lt;=$O$2,$D64,$D64-($D64-$I$49)*MIN(L$3-$O$2,$Q$2)/$Q$2))</f>
        <v>7135.37177420374</v>
      </c>
      <c r="M64" s="15" t="n">
        <f aca="false">L64*(1+IF(M$3&lt;=$O$2,$D64,$D64-($D64-$I$49)*MIN(M$3-$O$2,$Q$2)/$Q$2))</f>
        <v>7403.36707042129</v>
      </c>
      <c r="N64" s="15" t="n">
        <f aca="false">M64*(1+IF(N$3&lt;=$O$2,$D64,$D64-($D64-$I$49)*MIN(N$3-$O$2,$Q$2)/$Q$2))</f>
        <v>7538.84868781</v>
      </c>
      <c r="O64" s="15" t="n">
        <f aca="false">SUMPRODUCT(E64:N64,1/(1+$F$49)^$E$3:$N$3)*$E$2</f>
        <v>19629.6243941229</v>
      </c>
      <c r="P64" s="15" t="n">
        <f aca="false">N64*$E$2*(1+$I$49)/($F$49-$I$49)/(1+$F$49)^$N$3</f>
        <v>27334.9312646308</v>
      </c>
      <c r="Q64" s="15" t="n">
        <f aca="false">O64+P64</f>
        <v>46964.5556587536</v>
      </c>
      <c r="R64" s="15" t="n">
        <f aca="false">Q64-$G$2+$I$2</f>
        <v>40777.2556587536</v>
      </c>
      <c r="S64" s="42" t="n">
        <f aca="false">R64/$K$2</f>
        <v>560.897601908578</v>
      </c>
      <c r="T64" s="43" t="n">
        <f aca="false">S64-$M$2</f>
        <v>0.0998027338877137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0.114501953125</v>
      </c>
      <c r="C65" s="25" t="n">
        <f aca="false">IF(T64&gt;0,D64,C64)</f>
        <v>0.114593505859375</v>
      </c>
      <c r="D65" s="41" t="n">
        <f aca="false">(B65+C65)/2</f>
        <v>0.114547729492188</v>
      </c>
      <c r="E65" s="15" t="n">
        <f aca="false">$C$2*(1+IF(E$3&lt;=$O$2,$D65,$D65-($D65-$I$49)*MIN(E$3-$O$2,$Q$2)/$Q$2))</f>
        <v>3711.44393920898</v>
      </c>
      <c r="F65" s="15" t="n">
        <f aca="false">E65*(1+IF(F$3&lt;=$O$2,$D65,$D65-($D65-$I$49)*MIN(F$3-$O$2,$Q$2)/$Q$2))</f>
        <v>4136.58141558291</v>
      </c>
      <c r="G65" s="15" t="n">
        <f aca="false">F65*(1+IF(G$3&lt;=$O$2,$D65,$D65-($D65-$I$49)*MIN(G$3-$O$2,$Q$2)/$Q$2))</f>
        <v>4610.41742459752</v>
      </c>
      <c r="H65" s="15" t="n">
        <f aca="false">G65*(1+IF(H$3&lt;=$O$2,$D65,$D65-($D65-$I$49)*MIN(H$3-$O$2,$Q$2)/$Q$2))</f>
        <v>5138.53027259638</v>
      </c>
      <c r="I65" s="15" t="n">
        <f aca="false">H65*(1+IF(I$3&lt;=$O$2,$D65,$D65-($D65-$I$49)*MIN(I$3-$O$2,$Q$2)/$Q$2))</f>
        <v>5727.13724824917</v>
      </c>
      <c r="J65" s="15" t="n">
        <f aca="false">I65*(1+IF(J$3&lt;=$O$2,$D65,$D65-($D65-$I$49)*MIN(J$3-$O$2,$Q$2)/$Q$2))</f>
        <v>6272.92302519942</v>
      </c>
      <c r="K65" s="15" t="n">
        <f aca="false">J65*(1+IF(K$3&lt;=$O$2,$D65,$D65-($D65-$I$49)*MIN(K$3-$O$2,$Q$2)/$Q$2))</f>
        <v>6749.97027563339</v>
      </c>
      <c r="L65" s="15" t="n">
        <f aca="false">K65*(1+IF(L$3&lt;=$O$2,$D65,$D65-($D65-$I$49)*MIN(L$3-$O$2,$Q$2)/$Q$2))</f>
        <v>7133.36245694527</v>
      </c>
      <c r="M65" s="15" t="n">
        <f aca="false">L65*(1+IF(M$3&lt;=$O$2,$D65,$D65-($D65-$I$49)*MIN(M$3-$O$2,$Q$2)/$Q$2))</f>
        <v>7401.21697793253</v>
      </c>
      <c r="N65" s="15" t="n">
        <f aca="false">M65*(1+IF(N$3&lt;=$O$2,$D65,$D65-($D65-$I$49)*MIN(N$3-$O$2,$Q$2)/$Q$2))</f>
        <v>7536.65924862869</v>
      </c>
      <c r="O65" s="15" t="n">
        <f aca="false">SUMPRODUCT(E65:N65,1/(1+$F$49)^$E$3:$N$3)*$E$2</f>
        <v>19625.7145280114</v>
      </c>
      <c r="P65" s="15" t="n">
        <f aca="false">N65*$E$2*(1+$I$49)/($F$49-$I$49)/(1+$F$49)^$N$3</f>
        <v>27326.9926294349</v>
      </c>
      <c r="Q65" s="15" t="n">
        <f aca="false">O65+P65</f>
        <v>46952.7071574463</v>
      </c>
      <c r="R65" s="15" t="n">
        <f aca="false">Q65-$G$2+$I$2</f>
        <v>40765.4071574463</v>
      </c>
      <c r="S65" s="42" t="n">
        <f aca="false">R65/$K$2</f>
        <v>560.734623898849</v>
      </c>
      <c r="T65" s="43" t="n">
        <f aca="false">S65-$M$2</f>
        <v>-0.0631752758415587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0.114547729492188</v>
      </c>
      <c r="C66" s="25" t="n">
        <f aca="false">IF(T65&gt;0,D65,C65)</f>
        <v>0.114593505859375</v>
      </c>
      <c r="D66" s="41" t="n">
        <f aca="false">(B66+C66)/2</f>
        <v>0.114570617675781</v>
      </c>
      <c r="E66" s="15" t="n">
        <f aca="false">$C$2*(1+IF(E$3&lt;=$O$2,$D66,$D66-($D66-$I$49)*MIN(E$3-$O$2,$Q$2)/$Q$2))</f>
        <v>3711.52015686035</v>
      </c>
      <c r="F66" s="15" t="n">
        <f aca="false">E66*(1+IF(F$3&lt;=$O$2,$D66,$D66-($D66-$I$49)*MIN(F$3-$O$2,$Q$2)/$Q$2))</f>
        <v>4136.75131374796</v>
      </c>
      <c r="G66" s="15" t="n">
        <f aca="false">F66*(1+IF(G$3&lt;=$O$2,$D66,$D66-($D66-$I$49)*MIN(G$3-$O$2,$Q$2)/$Q$2))</f>
        <v>4610.70146693516</v>
      </c>
      <c r="H66" s="15" t="n">
        <f aca="false">G66*(1+IF(H$3&lt;=$O$2,$D66,$D66-($D66-$I$49)*MIN(H$3-$O$2,$Q$2)/$Q$2))</f>
        <v>5138.95238192055</v>
      </c>
      <c r="I66" s="15" t="n">
        <f aca="false">H66*(1+IF(I$3&lt;=$O$2,$D66,$D66-($D66-$I$49)*MIN(I$3-$O$2,$Q$2)/$Q$2))</f>
        <v>5727.72533052361</v>
      </c>
      <c r="J66" s="15" t="n">
        <f aca="false">I66*(1+IF(J$3&lt;=$O$2,$D66,$D66-($D66-$I$49)*MIN(J$3-$O$2,$Q$2)/$Q$2))</f>
        <v>6273.67202842958</v>
      </c>
      <c r="K66" s="15" t="n">
        <f aca="false">J66*(1+IF(K$3&lt;=$O$2,$D66,$D66-($D66-$I$49)*MIN(K$3-$O$2,$Q$2)/$Q$2))</f>
        <v>6750.86239531315</v>
      </c>
      <c r="L66" s="15" t="n">
        <f aca="false">K66*(1+IF(L$3&lt;=$O$2,$D66,$D66-($D66-$I$49)*MIN(L$3-$O$2,$Q$2)/$Q$2))</f>
        <v>7134.36705420378</v>
      </c>
      <c r="M66" s="15" t="n">
        <f aca="false">L66*(1+IF(M$3&lt;=$O$2,$D66,$D66-($D66-$I$49)*MIN(M$3-$O$2,$Q$2)/$Q$2))</f>
        <v>7402.2919559025</v>
      </c>
      <c r="N66" s="15" t="n">
        <f aca="false">M66*(1+IF(N$3&lt;=$O$2,$D66,$D66-($D66-$I$49)*MIN(N$3-$O$2,$Q$2)/$Q$2))</f>
        <v>7537.75389869551</v>
      </c>
      <c r="O66" s="15" t="n">
        <f aca="false">SUMPRODUCT(E66:N66,1/(1+$F$49)^$E$3:$N$3)*$E$2</f>
        <v>19627.6693648181</v>
      </c>
      <c r="P66" s="15" t="n">
        <f aca="false">N66*$E$2*(1+$I$49)/($F$49-$I$49)/(1+$F$49)^$N$3</f>
        <v>27330.961694948</v>
      </c>
      <c r="Q66" s="15" t="n">
        <f aca="false">O66+P66</f>
        <v>46958.6310597661</v>
      </c>
      <c r="R66" s="15" t="n">
        <f aca="false">Q66-$G$2+$I$2</f>
        <v>40771.3310597661</v>
      </c>
      <c r="S66" s="42" t="n">
        <f aca="false">R66/$K$2</f>
        <v>560.816108112326</v>
      </c>
      <c r="T66" s="43" t="n">
        <f aca="false">S66-$M$2</f>
        <v>0.0183089376359931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0.114547729492188</v>
      </c>
      <c r="C67" s="25" t="n">
        <f aca="false">IF(T66&gt;0,D66,C66)</f>
        <v>0.114570617675781</v>
      </c>
      <c r="D67" s="41" t="n">
        <f aca="false">(B67+C67)/2</f>
        <v>0.114559173583984</v>
      </c>
      <c r="E67" s="15" t="n">
        <f aca="false">$C$2*(1+IF(E$3&lt;=$O$2,$D67,$D67-($D67-$I$49)*MIN(E$3-$O$2,$Q$2)/$Q$2))</f>
        <v>3711.48204803467</v>
      </c>
      <c r="F67" s="15" t="n">
        <f aca="false">E67*(1+IF(F$3&lt;=$O$2,$D67,$D67-($D67-$I$49)*MIN(F$3-$O$2,$Q$2)/$Q$2))</f>
        <v>4136.66636422931</v>
      </c>
      <c r="G67" s="15" t="n">
        <f aca="false">F67*(1+IF(G$3&lt;=$O$2,$D67,$D67-($D67-$I$49)*MIN(G$3-$O$2,$Q$2)/$Q$2))</f>
        <v>4610.55944430809</v>
      </c>
      <c r="H67" s="15" t="n">
        <f aca="false">G67*(1+IF(H$3&lt;=$O$2,$D67,$D67-($D67-$I$49)*MIN(H$3-$O$2,$Q$2)/$Q$2))</f>
        <v>5138.74132400786</v>
      </c>
      <c r="I67" s="15" t="n">
        <f aca="false">H67*(1+IF(I$3&lt;=$O$2,$D67,$D67-($D67-$I$49)*MIN(I$3-$O$2,$Q$2)/$Q$2))</f>
        <v>5727.43128334807</v>
      </c>
      <c r="J67" s="15" t="n">
        <f aca="false">I67*(1+IF(J$3&lt;=$O$2,$D67,$D67-($D67-$I$49)*MIN(J$3-$O$2,$Q$2)/$Q$2))</f>
        <v>6273.29751750865</v>
      </c>
      <c r="K67" s="15" t="n">
        <f aca="false">J67*(1+IF(K$3&lt;=$O$2,$D67,$D67-($D67-$I$49)*MIN(K$3-$O$2,$Q$2)/$Q$2))</f>
        <v>6750.41632288817</v>
      </c>
      <c r="L67" s="15" t="n">
        <f aca="false">K67*(1+IF(L$3&lt;=$O$2,$D67,$D67-($D67-$I$49)*MIN(L$3-$O$2,$Q$2)/$Q$2))</f>
        <v>7133.86474023264</v>
      </c>
      <c r="M67" s="15" t="n">
        <f aca="false">L67*(1+IF(M$3&lt;=$O$2,$D67,$D67-($D67-$I$49)*MIN(M$3-$O$2,$Q$2)/$Q$2))</f>
        <v>7401.75444984984</v>
      </c>
      <c r="N67" s="15" t="n">
        <f aca="false">M67*(1+IF(N$3&lt;=$O$2,$D67,$D67-($D67-$I$49)*MIN(N$3-$O$2,$Q$2)/$Q$2))</f>
        <v>7537.20655628209</v>
      </c>
      <c r="O67" s="15" t="n">
        <f aca="false">SUMPRODUCT(E67:N67,1/(1+$F$49)^$E$3:$N$3)*$E$2</f>
        <v>19626.6919223536</v>
      </c>
      <c r="P67" s="15" t="n">
        <f aca="false">N67*$E$2*(1+$I$49)/($F$49-$I$49)/(1+$F$49)^$N$3</f>
        <v>27328.9770991737</v>
      </c>
      <c r="Q67" s="15" t="n">
        <f aca="false">O67+P67</f>
        <v>46955.6690215273</v>
      </c>
      <c r="R67" s="15" t="n">
        <f aca="false">Q67-$G$2+$I$2</f>
        <v>40768.3690215273</v>
      </c>
      <c r="S67" s="42" t="n">
        <f aca="false">R67/$K$2</f>
        <v>560.775364807803</v>
      </c>
      <c r="T67" s="43" t="n">
        <f aca="false">S67-$M$2</f>
        <v>-0.0224343668872962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0.114559173583984</v>
      </c>
      <c r="C68" s="25" t="n">
        <f aca="false">IF(T67&gt;0,D67,C67)</f>
        <v>0.114570617675781</v>
      </c>
      <c r="D68" s="41" t="n">
        <f aca="false">(B68+C68)/2</f>
        <v>0.114564895629883</v>
      </c>
      <c r="E68" s="15" t="n">
        <f aca="false">$C$2*(1+IF(E$3&lt;=$O$2,$D68,$D68-($D68-$I$49)*MIN(E$3-$O$2,$Q$2)/$Q$2))</f>
        <v>3711.50110244751</v>
      </c>
      <c r="F68" s="15" t="n">
        <f aca="false">E68*(1+IF(F$3&lt;=$O$2,$D68,$D68-($D68-$I$49)*MIN(F$3-$O$2,$Q$2)/$Q$2))</f>
        <v>4136.7088388796</v>
      </c>
      <c r="G68" s="15" t="n">
        <f aca="false">F68*(1+IF(G$3&lt;=$O$2,$D68,$D68-($D68-$I$49)*MIN(G$3-$O$2,$Q$2)/$Q$2))</f>
        <v>4610.63045525706</v>
      </c>
      <c r="H68" s="15" t="n">
        <f aca="false">G68*(1+IF(H$3&lt;=$O$2,$D68,$D68-($D68-$I$49)*MIN(H$3-$O$2,$Q$2)/$Q$2))</f>
        <v>5138.84685215154</v>
      </c>
      <c r="I68" s="15" t="n">
        <f aca="false">H68*(1+IF(I$3&lt;=$O$2,$D68,$D68-($D68-$I$49)*MIN(I$3-$O$2,$Q$2)/$Q$2))</f>
        <v>5727.57830542624</v>
      </c>
      <c r="J68" s="15" t="n">
        <f aca="false">I68*(1+IF(J$3&lt;=$O$2,$D68,$D68-($D68-$I$49)*MIN(J$3-$O$2,$Q$2)/$Q$2))</f>
        <v>6273.48477064261</v>
      </c>
      <c r="K68" s="15" t="n">
        <f aca="false">J68*(1+IF(K$3&lt;=$O$2,$D68,$D68-($D68-$I$49)*MIN(K$3-$O$2,$Q$2)/$Q$2))</f>
        <v>6750.63935595431</v>
      </c>
      <c r="L68" s="15" t="n">
        <f aca="false">K68*(1+IF(L$3&lt;=$O$2,$D68,$D68-($D68-$I$49)*MIN(L$3-$O$2,$Q$2)/$Q$2))</f>
        <v>7134.11589338264</v>
      </c>
      <c r="M68" s="15" t="n">
        <f aca="false">L68*(1+IF(M$3&lt;=$O$2,$D68,$D68-($D68-$I$49)*MIN(M$3-$O$2,$Q$2)/$Q$2))</f>
        <v>7402.02319860914</v>
      </c>
      <c r="N68" s="15" t="n">
        <f aca="false">M68*(1+IF(N$3&lt;=$O$2,$D68,$D68-($D68-$I$49)*MIN(N$3-$O$2,$Q$2)/$Q$2))</f>
        <v>7537.48022314368</v>
      </c>
      <c r="O68" s="15" t="n">
        <f aca="false">SUMPRODUCT(E68:N68,1/(1+$F$49)^$E$3:$N$3)*$E$2</f>
        <v>19627.1806375704</v>
      </c>
      <c r="P68" s="15" t="n">
        <f aca="false">N68*$E$2*(1+$I$49)/($F$49-$I$49)/(1+$F$49)^$N$3</f>
        <v>27329.969381306</v>
      </c>
      <c r="Q68" s="15" t="n">
        <f aca="false">O68+P68</f>
        <v>46957.1500188764</v>
      </c>
      <c r="R68" s="15" t="n">
        <f aca="false">Q68-$G$2+$I$2</f>
        <v>40769.8500188764</v>
      </c>
      <c r="S68" s="42" t="n">
        <f aca="false">R68/$K$2</f>
        <v>560.795736160611</v>
      </c>
      <c r="T68" s="43" t="n">
        <f aca="false">S68-$M$2</f>
        <v>-0.00206301407956744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0.114564895629883</v>
      </c>
      <c r="C69" s="25" t="n">
        <f aca="false">IF(T68&gt;0,D68,C68)</f>
        <v>0.114570617675781</v>
      </c>
      <c r="D69" s="41" t="n">
        <f aca="false">(B69+C69)/2</f>
        <v>0.114567756652832</v>
      </c>
      <c r="E69" s="15" t="n">
        <f aca="false">$C$2*(1+IF(E$3&lt;=$O$2,$D69,$D69-($D69-$I$49)*MIN(E$3-$O$2,$Q$2)/$Q$2))</f>
        <v>3711.51062965393</v>
      </c>
      <c r="F69" s="15" t="n">
        <f aca="false">E69*(1+IF(F$3&lt;=$O$2,$D69,$D69-($D69-$I$49)*MIN(F$3-$O$2,$Q$2)/$Q$2))</f>
        <v>4136.73007628652</v>
      </c>
      <c r="G69" s="15" t="n">
        <f aca="false">F69*(1+IF(G$3&lt;=$O$2,$D69,$D69-($D69-$I$49)*MIN(G$3-$O$2,$Q$2)/$Q$2))</f>
        <v>4610.66596100497</v>
      </c>
      <c r="H69" s="15" t="n">
        <f aca="false">G69*(1+IF(H$3&lt;=$O$2,$D69,$D69-($D69-$I$49)*MIN(H$3-$O$2,$Q$2)/$Q$2))</f>
        <v>5138.89961683288</v>
      </c>
      <c r="I69" s="15" t="n">
        <f aca="false">H69*(1+IF(I$3&lt;=$O$2,$D69,$D69-($D69-$I$49)*MIN(I$3-$O$2,$Q$2)/$Q$2))</f>
        <v>5727.65181759752</v>
      </c>
      <c r="J69" s="15" t="n">
        <f aca="false">I69*(1+IF(J$3&lt;=$O$2,$D69,$D69-($D69-$I$49)*MIN(J$3-$O$2,$Q$2)/$Q$2))</f>
        <v>6273.57839895446</v>
      </c>
      <c r="K69" s="15" t="n">
        <f aca="false">J69*(1+IF(K$3&lt;=$O$2,$D69,$D69-($D69-$I$49)*MIN(K$3-$O$2,$Q$2)/$Q$2))</f>
        <v>6750.75087484713</v>
      </c>
      <c r="L69" s="15" t="n">
        <f aca="false">K69*(1+IF(L$3&lt;=$O$2,$D69,$D69-($D69-$I$49)*MIN(L$3-$O$2,$Q$2)/$Q$2))</f>
        <v>7134.24147283431</v>
      </c>
      <c r="M69" s="15" t="n">
        <f aca="false">L69*(1+IF(M$3&lt;=$O$2,$D69,$D69-($D69-$I$49)*MIN(M$3-$O$2,$Q$2)/$Q$2))</f>
        <v>7402.15757618904</v>
      </c>
      <c r="N69" s="15" t="n">
        <f aca="false">M69*(1+IF(N$3&lt;=$O$2,$D69,$D69-($D69-$I$49)*MIN(N$3-$O$2,$Q$2)/$Q$2))</f>
        <v>7537.6170598333</v>
      </c>
      <c r="O69" s="15" t="n">
        <f aca="false">SUMPRODUCT(E69:N69,1/(1+$F$49)^$E$3:$N$3)*$E$2</f>
        <v>19627.4249996904</v>
      </c>
      <c r="P69" s="15" t="n">
        <f aca="false">N69*$E$2*(1+$I$49)/($F$49-$I$49)/(1+$F$49)^$N$3</f>
        <v>27330.4655341883</v>
      </c>
      <c r="Q69" s="15" t="n">
        <f aca="false">O69+P69</f>
        <v>46957.8905338786</v>
      </c>
      <c r="R69" s="15" t="n">
        <f aca="false">Q69-$G$2+$I$2</f>
        <v>40770.5905338786</v>
      </c>
      <c r="S69" s="42" t="n">
        <f aca="false">R69/$K$2</f>
        <v>560.805922061604</v>
      </c>
      <c r="T69" s="43" t="n">
        <f aca="false">S69-$M$2</f>
        <v>0.00812288691372487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0.114564895629883</v>
      </c>
      <c r="C70" s="25" t="n">
        <f aca="false">IF(T69&gt;0,D69,C69)</f>
        <v>0.114567756652832</v>
      </c>
      <c r="D70" s="41" t="n">
        <f aca="false">(B70+C70)/2</f>
        <v>0.114566326141357</v>
      </c>
      <c r="E70" s="15" t="n">
        <f aca="false">$C$2*(1+IF(E$3&lt;=$O$2,$D70,$D70-($D70-$I$49)*MIN(E$3-$O$2,$Q$2)/$Q$2))</f>
        <v>3711.50586605072</v>
      </c>
      <c r="F70" s="15" t="n">
        <f aca="false">E70*(1+IF(F$3&lt;=$O$2,$D70,$D70-($D70-$I$49)*MIN(F$3-$O$2,$Q$2)/$Q$2))</f>
        <v>4136.71945757625</v>
      </c>
      <c r="G70" s="15" t="n">
        <f aca="false">F70*(1+IF(G$3&lt;=$O$2,$D70,$D70-($D70-$I$49)*MIN(G$3-$O$2,$Q$2)/$Q$2))</f>
        <v>4610.64820810823</v>
      </c>
      <c r="H70" s="15" t="n">
        <f aca="false">G70*(1+IF(H$3&lt;=$O$2,$D70,$D70-($D70-$I$49)*MIN(H$3-$O$2,$Q$2)/$Q$2))</f>
        <v>5138.87323444142</v>
      </c>
      <c r="I70" s="15" t="n">
        <f aca="false">H70*(1+IF(I$3&lt;=$O$2,$D70,$D70-($D70-$I$49)*MIN(I$3-$O$2,$Q$2)/$Q$2))</f>
        <v>5727.61506141753</v>
      </c>
      <c r="J70" s="15" t="n">
        <f aca="false">I70*(1+IF(J$3&lt;=$O$2,$D70,$D70-($D70-$I$49)*MIN(J$3-$O$2,$Q$2)/$Q$2))</f>
        <v>6273.53158465313</v>
      </c>
      <c r="K70" s="15" t="n">
        <f aca="false">J70*(1+IF(K$3&lt;=$O$2,$D70,$D70-($D70-$I$49)*MIN(K$3-$O$2,$Q$2)/$Q$2))</f>
        <v>6750.69511520407</v>
      </c>
      <c r="L70" s="15" t="n">
        <f aca="false">K70*(1+IF(L$3&lt;=$O$2,$D70,$D70-($D70-$I$49)*MIN(L$3-$O$2,$Q$2)/$Q$2))</f>
        <v>7134.17868286875</v>
      </c>
      <c r="M70" s="15" t="n">
        <f aca="false">L70*(1+IF(M$3&lt;=$O$2,$D70,$D70-($D70-$I$49)*MIN(M$3-$O$2,$Q$2)/$Q$2))</f>
        <v>7402.0903871324</v>
      </c>
      <c r="N70" s="15" t="n">
        <f aca="false">M70*(1+IF(N$3&lt;=$O$2,$D70,$D70-($D70-$I$49)*MIN(N$3-$O$2,$Q$2)/$Q$2))</f>
        <v>7537.54864121692</v>
      </c>
      <c r="O70" s="15" t="n">
        <f aca="false">SUMPRODUCT(E70:N70,1/(1+$F$49)^$E$3:$N$3)*$E$2</f>
        <v>19627.3028182544</v>
      </c>
      <c r="P70" s="15" t="n">
        <f aca="false">N70*$E$2*(1+$I$49)/($F$49-$I$49)/(1+$F$49)^$N$3</f>
        <v>27330.2174567625</v>
      </c>
      <c r="Q70" s="15" t="n">
        <f aca="false">O70+P70</f>
        <v>46957.5202750169</v>
      </c>
      <c r="R70" s="15" t="n">
        <f aca="false">Q70-$G$2+$I$2</f>
        <v>40770.2202750169</v>
      </c>
      <c r="S70" s="42" t="n">
        <f aca="false">R70/$K$2</f>
        <v>560.800829092392</v>
      </c>
      <c r="T70" s="43" t="n">
        <f aca="false">S70-$M$2</f>
        <v>0.003029917701042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0.114564895629883</v>
      </c>
      <c r="C71" s="25" t="n">
        <f aca="false">IF(T70&gt;0,D70,C70)</f>
        <v>0.114566326141357</v>
      </c>
      <c r="D71" s="41" t="n">
        <f aca="false">(B71+C71)/2</f>
        <v>0.11456561088562</v>
      </c>
      <c r="E71" s="15" t="n">
        <f aca="false">$C$2*(1+IF(E$3&lt;=$O$2,$D71,$D71-($D71-$I$49)*MIN(E$3-$O$2,$Q$2)/$Q$2))</f>
        <v>3711.50348424912</v>
      </c>
      <c r="F71" s="15" t="n">
        <f aca="false">E71*(1+IF(F$3&lt;=$O$2,$D71,$D71-($D71-$I$49)*MIN(F$3-$O$2,$Q$2)/$Q$2))</f>
        <v>4136.71414822622</v>
      </c>
      <c r="G71" s="15" t="n">
        <f aca="false">F71*(1+IF(G$3&lt;=$O$2,$D71,$D71-($D71-$I$49)*MIN(G$3-$O$2,$Q$2)/$Q$2))</f>
        <v>4610.63933167695</v>
      </c>
      <c r="H71" s="15" t="n">
        <f aca="false">G71*(1+IF(H$3&lt;=$O$2,$D71,$D71-($D71-$I$49)*MIN(H$3-$O$2,$Q$2)/$Q$2))</f>
        <v>5138.86004328378</v>
      </c>
      <c r="I71" s="15" t="n">
        <f aca="false">H71*(1+IF(I$3&lt;=$O$2,$D71,$D71-($D71-$I$49)*MIN(I$3-$O$2,$Q$2)/$Q$2))</f>
        <v>5727.5966833983</v>
      </c>
      <c r="J71" s="15" t="n">
        <f aca="false">I71*(1+IF(J$3&lt;=$O$2,$D71,$D71-($D71-$I$49)*MIN(J$3-$O$2,$Q$2)/$Q$2))</f>
        <v>6273.50817761152</v>
      </c>
      <c r="K71" s="15" t="n">
        <f aca="false">J71*(1+IF(K$3&lt;=$O$2,$D71,$D71-($D71-$I$49)*MIN(K$3-$O$2,$Q$2)/$Q$2))</f>
        <v>6750.66723553003</v>
      </c>
      <c r="L71" s="15" t="n">
        <f aca="false">K71*(1+IF(L$3&lt;=$O$2,$D71,$D71-($D71-$I$49)*MIN(L$3-$O$2,$Q$2)/$Q$2))</f>
        <v>7134.14728806576</v>
      </c>
      <c r="M71" s="15" t="n">
        <f aca="false">L71*(1+IF(M$3&lt;=$O$2,$D71,$D71-($D71-$I$49)*MIN(M$3-$O$2,$Q$2)/$Q$2))</f>
        <v>7402.0567928041</v>
      </c>
      <c r="N71" s="15" t="n">
        <f aca="false">M71*(1+IF(N$3&lt;=$O$2,$D71,$D71-($D71-$I$49)*MIN(N$3-$O$2,$Q$2)/$Q$2))</f>
        <v>7537.51443211241</v>
      </c>
      <c r="O71" s="15" t="n">
        <f aca="false">SUMPRODUCT(E71:N71,1/(1+$F$49)^$E$3:$N$3)*$E$2</f>
        <v>19627.2417278184</v>
      </c>
      <c r="P71" s="15" t="n">
        <f aca="false">N71*$E$2*(1+$I$49)/($F$49-$I$49)/(1+$F$49)^$N$3</f>
        <v>27330.0934187881</v>
      </c>
      <c r="Q71" s="15" t="n">
        <f aca="false">O71+P71</f>
        <v>46957.3351466065</v>
      </c>
      <c r="R71" s="15" t="n">
        <f aca="false">Q71-$G$2+$I$2</f>
        <v>40770.0351466065</v>
      </c>
      <c r="S71" s="42" t="n">
        <f aca="false">R71/$K$2</f>
        <v>560.798282621822</v>
      </c>
      <c r="T71" s="43" t="n">
        <f aca="false">S71-$M$2</f>
        <v>0.000483447131728099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0.114564895629883</v>
      </c>
      <c r="C72" s="25" t="n">
        <f aca="false">IF(T71&gt;0,D71,C71)</f>
        <v>0.11456561088562</v>
      </c>
      <c r="D72" s="41" t="n">
        <f aca="false">(B72+C72)/2</f>
        <v>0.114565253257751</v>
      </c>
      <c r="E72" s="15" t="n">
        <f aca="false">$C$2*(1+IF(E$3&lt;=$O$2,$D72,$D72-($D72-$I$49)*MIN(E$3-$O$2,$Q$2)/$Q$2))</f>
        <v>3711.50229334831</v>
      </c>
      <c r="F72" s="15" t="n">
        <f aca="false">E72*(1+IF(F$3&lt;=$O$2,$D72,$D72-($D72-$I$49)*MIN(F$3-$O$2,$Q$2)/$Q$2))</f>
        <v>4136.71149355249</v>
      </c>
      <c r="G72" s="15" t="n">
        <f aca="false">F72*(1+IF(G$3&lt;=$O$2,$D72,$D72-($D72-$I$49)*MIN(G$3-$O$2,$Q$2)/$Q$2))</f>
        <v>4610.63489346558</v>
      </c>
      <c r="H72" s="15" t="n">
        <f aca="false">G72*(1+IF(H$3&lt;=$O$2,$D72,$D72-($D72-$I$49)*MIN(H$3-$O$2,$Q$2)/$Q$2))</f>
        <v>5138.85344771449</v>
      </c>
      <c r="I72" s="15" t="n">
        <f aca="false">H72*(1+IF(I$3&lt;=$O$2,$D72,$D72-($D72-$I$49)*MIN(I$3-$O$2,$Q$2)/$Q$2))</f>
        <v>5727.58749440637</v>
      </c>
      <c r="J72" s="15" t="n">
        <f aca="false">I72*(1+IF(J$3&lt;=$O$2,$D72,$D72-($D72-$I$49)*MIN(J$3-$O$2,$Q$2)/$Q$2))</f>
        <v>6273.49647411797</v>
      </c>
      <c r="K72" s="15" t="n">
        <f aca="false">J72*(1+IF(K$3&lt;=$O$2,$D72,$D72-($D72-$I$49)*MIN(K$3-$O$2,$Q$2)/$Q$2))</f>
        <v>6750.65329572988</v>
      </c>
      <c r="L72" s="15" t="n">
        <f aca="false">K72*(1+IF(L$3&lt;=$O$2,$D72,$D72-($D72-$I$49)*MIN(L$3-$O$2,$Q$2)/$Q$2))</f>
        <v>7134.13159070922</v>
      </c>
      <c r="M72" s="15" t="n">
        <f aca="false">L72*(1+IF(M$3&lt;=$O$2,$D72,$D72-($D72-$I$49)*MIN(M$3-$O$2,$Q$2)/$Q$2))</f>
        <v>7402.03999568995</v>
      </c>
      <c r="N72" s="15" t="n">
        <f aca="false">M72*(1+IF(N$3&lt;=$O$2,$D72,$D72-($D72-$I$49)*MIN(N$3-$O$2,$Q$2)/$Q$2))</f>
        <v>7537.49732761107</v>
      </c>
      <c r="O72" s="15" t="n">
        <f aca="false">SUMPRODUCT(E72:N72,1/(1+$F$49)^$E$3:$N$3)*$E$2</f>
        <v>19627.2111826709</v>
      </c>
      <c r="P72" s="15" t="n">
        <f aca="false">N72*$E$2*(1+$I$49)/($F$49-$I$49)/(1+$F$49)^$N$3</f>
        <v>27330.0313999855</v>
      </c>
      <c r="Q72" s="15" t="n">
        <f aca="false">O72+P72</f>
        <v>46957.2425826564</v>
      </c>
      <c r="R72" s="15" t="n">
        <f aca="false">Q72-$G$2+$I$2</f>
        <v>40769.9425826564</v>
      </c>
      <c r="S72" s="42" t="n">
        <f aca="false">R72/$K$2</f>
        <v>560.797009390047</v>
      </c>
      <c r="T72" s="43" t="n">
        <f aca="false">S72-$M$2</f>
        <v>-0.00078978464375723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0.114565253257751</v>
      </c>
      <c r="C73" s="25" t="n">
        <f aca="false">IF(T72&gt;0,D72,C72)</f>
        <v>0.11456561088562</v>
      </c>
      <c r="D73" s="41" t="n">
        <f aca="false">(B73+C73)/2</f>
        <v>0.114565432071686</v>
      </c>
      <c r="E73" s="15" t="n">
        <f aca="false">$C$2*(1+IF(E$3&lt;=$O$2,$D73,$D73-($D73-$I$49)*MIN(E$3-$O$2,$Q$2)/$Q$2))</f>
        <v>3711.50288879871</v>
      </c>
      <c r="F73" s="15" t="n">
        <f aca="false">E73*(1+IF(F$3&lt;=$O$2,$D73,$D73-($D73-$I$49)*MIN(F$3-$O$2,$Q$2)/$Q$2))</f>
        <v>4136.71282088925</v>
      </c>
      <c r="G73" s="15" t="n">
        <f aca="false">F73*(1+IF(G$3&lt;=$O$2,$D73,$D73-($D73-$I$49)*MIN(G$3-$O$2,$Q$2)/$Q$2))</f>
        <v>4610.63711257091</v>
      </c>
      <c r="H73" s="15" t="n">
        <f aca="false">G73*(1+IF(H$3&lt;=$O$2,$D73,$D73-($D73-$I$49)*MIN(H$3-$O$2,$Q$2)/$Q$2))</f>
        <v>5138.85674549834</v>
      </c>
      <c r="I73" s="15" t="n">
        <f aca="false">H73*(1+IF(I$3&lt;=$O$2,$D73,$D73-($D73-$I$49)*MIN(I$3-$O$2,$Q$2)/$Q$2))</f>
        <v>5727.59208890086</v>
      </c>
      <c r="J73" s="15" t="n">
        <f aca="false">I73*(1+IF(J$3&lt;=$O$2,$D73,$D73-($D73-$I$49)*MIN(J$3-$O$2,$Q$2)/$Q$2))</f>
        <v>6273.50232586247</v>
      </c>
      <c r="K73" s="15" t="n">
        <f aca="false">J73*(1+IF(K$3&lt;=$O$2,$D73,$D73-($D73-$I$49)*MIN(K$3-$O$2,$Q$2)/$Q$2))</f>
        <v>6750.66026562688</v>
      </c>
      <c r="L73" s="15" t="n">
        <f aca="false">K73*(1+IF(L$3&lt;=$O$2,$D73,$D73-($D73-$I$49)*MIN(L$3-$O$2,$Q$2)/$Q$2))</f>
        <v>7134.13943938375</v>
      </c>
      <c r="M73" s="15" t="n">
        <f aca="false">L73*(1+IF(M$3&lt;=$O$2,$D73,$D73-($D73-$I$49)*MIN(M$3-$O$2,$Q$2)/$Q$2))</f>
        <v>7402.04839424286</v>
      </c>
      <c r="N73" s="15" t="n">
        <f aca="false">M73*(1+IF(N$3&lt;=$O$2,$D73,$D73-($D73-$I$49)*MIN(N$3-$O$2,$Q$2)/$Q$2))</f>
        <v>7537.5058798575</v>
      </c>
      <c r="O73" s="15" t="n">
        <f aca="false">SUMPRODUCT(E73:N73,1/(1+$F$49)^$E$3:$N$3)*$E$2</f>
        <v>19627.2264552388</v>
      </c>
      <c r="P73" s="15" t="n">
        <f aca="false">N73*$E$2*(1+$I$49)/($F$49-$I$49)/(1+$F$49)^$N$3</f>
        <v>27330.0624093714</v>
      </c>
      <c r="Q73" s="15" t="n">
        <f aca="false">O73+P73</f>
        <v>46957.2888646102</v>
      </c>
      <c r="R73" s="15" t="n">
        <f aca="false">Q73-$G$2+$I$2</f>
        <v>40769.9888646102</v>
      </c>
      <c r="S73" s="42" t="n">
        <f aca="false">R73/$K$2</f>
        <v>560.797646005642</v>
      </c>
      <c r="T73" s="43" t="n">
        <f aca="false">S73-$M$2</f>
        <v>-0.000153169048303425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0.114565432071686</v>
      </c>
      <c r="C74" s="25" t="n">
        <f aca="false">IF(T73&gt;0,D73,C73)</f>
        <v>0.11456561088562</v>
      </c>
      <c r="D74" s="41" t="n">
        <f aca="false">(B74+C74)/2</f>
        <v>0.114565521478653</v>
      </c>
      <c r="E74" s="15" t="n">
        <f aca="false">$C$2*(1+IF(E$3&lt;=$O$2,$D74,$D74-($D74-$I$49)*MIN(E$3-$O$2,$Q$2)/$Q$2))</f>
        <v>3711.50318652391</v>
      </c>
      <c r="F74" s="15" t="n">
        <f aca="false">E74*(1+IF(F$3&lt;=$O$2,$D74,$D74-($D74-$I$49)*MIN(F$3-$O$2,$Q$2)/$Q$2))</f>
        <v>4136.71348455771</v>
      </c>
      <c r="G74" s="15" t="n">
        <f aca="false">F74*(1+IF(G$3&lt;=$O$2,$D74,$D74-($D74-$I$49)*MIN(G$3-$O$2,$Q$2)/$Q$2))</f>
        <v>4610.63822212384</v>
      </c>
      <c r="H74" s="15" t="n">
        <f aca="false">G74*(1+IF(H$3&lt;=$O$2,$D74,$D74-($D74-$I$49)*MIN(H$3-$O$2,$Q$2)/$Q$2))</f>
        <v>5138.85839439087</v>
      </c>
      <c r="I74" s="15" t="n">
        <f aca="false">H74*(1+IF(I$3&lt;=$O$2,$D74,$D74-($D74-$I$49)*MIN(I$3-$O$2,$Q$2)/$Q$2))</f>
        <v>5727.59438614921</v>
      </c>
      <c r="J74" s="15" t="n">
        <f aca="false">I74*(1+IF(J$3&lt;=$O$2,$D74,$D74-($D74-$I$49)*MIN(J$3-$O$2,$Q$2)/$Q$2))</f>
        <v>6273.50525173643</v>
      </c>
      <c r="K74" s="15" t="n">
        <f aca="false">J74*(1+IF(K$3&lt;=$O$2,$D74,$D74-($D74-$I$49)*MIN(K$3-$O$2,$Q$2)/$Q$2))</f>
        <v>6750.66375057769</v>
      </c>
      <c r="L74" s="15" t="n">
        <f aca="false">K74*(1+IF(L$3&lt;=$O$2,$D74,$D74-($D74-$I$49)*MIN(L$3-$O$2,$Q$2)/$Q$2))</f>
        <v>7134.14336372382</v>
      </c>
      <c r="M74" s="15" t="n">
        <f aca="false">L74*(1+IF(M$3&lt;=$O$2,$D74,$D74-($D74-$I$49)*MIN(M$3-$O$2,$Q$2)/$Q$2))</f>
        <v>7402.05259352243</v>
      </c>
      <c r="N74" s="15" t="n">
        <f aca="false">M74*(1+IF(N$3&lt;=$O$2,$D74,$D74-($D74-$I$49)*MIN(N$3-$O$2,$Q$2)/$Q$2))</f>
        <v>7537.51015598389</v>
      </c>
      <c r="O74" s="15" t="n">
        <f aca="false">SUMPRODUCT(E74:N74,1/(1+$F$49)^$E$3:$N$3)*$E$2</f>
        <v>19627.2340915271</v>
      </c>
      <c r="P74" s="15" t="n">
        <f aca="false">N74*$E$2*(1+$I$49)/($F$49-$I$49)/(1+$F$49)^$N$3</f>
        <v>27330.0779140759</v>
      </c>
      <c r="Q74" s="15" t="n">
        <f aca="false">O74+P74</f>
        <v>46957.312005603</v>
      </c>
      <c r="R74" s="15" t="n">
        <f aca="false">Q74-$G$2+$I$2</f>
        <v>40770.012005603</v>
      </c>
      <c r="S74" s="42" t="n">
        <f aca="false">R74/$K$2</f>
        <v>560.797964313659</v>
      </c>
      <c r="T74" s="43" t="n">
        <f aca="false">S74-$M$2</f>
        <v>0.000165138968554857</v>
      </c>
    </row>
    <row r="76" customFormat="false" ht="15" hidden="false" customHeight="false" outlineLevel="0" collapsed="false">
      <c r="A76" s="38" t="s">
        <v>183</v>
      </c>
      <c r="E76" s="5" t="s">
        <v>11</v>
      </c>
      <c r="F76" s="12" t="n">
        <f aca="false">Sensitivity!$B$10</f>
        <v>0.0853306228759286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162</v>
      </c>
      <c r="B77" s="28" t="s">
        <v>163</v>
      </c>
      <c r="C77" s="28" t="s">
        <v>164</v>
      </c>
      <c r="D77" s="28" t="s">
        <v>165</v>
      </c>
      <c r="E77" s="28" t="s">
        <v>166</v>
      </c>
      <c r="F77" s="28" t="s">
        <v>167</v>
      </c>
      <c r="G77" s="28" t="s">
        <v>168</v>
      </c>
      <c r="H77" s="28" t="s">
        <v>169</v>
      </c>
      <c r="I77" s="28" t="s">
        <v>170</v>
      </c>
      <c r="J77" s="28" t="s">
        <v>171</v>
      </c>
      <c r="K77" s="28" t="s">
        <v>172</v>
      </c>
      <c r="L77" s="28" t="s">
        <v>173</v>
      </c>
      <c r="M77" s="28" t="s">
        <v>174</v>
      </c>
      <c r="N77" s="28" t="s">
        <v>175</v>
      </c>
      <c r="O77" s="28" t="s">
        <v>176</v>
      </c>
      <c r="P77" s="28" t="s">
        <v>177</v>
      </c>
      <c r="Q77" s="28" t="s">
        <v>178</v>
      </c>
      <c r="R77" s="28" t="s">
        <v>179</v>
      </c>
      <c r="S77" s="28" t="s">
        <v>180</v>
      </c>
      <c r="T77" s="28" t="s">
        <v>181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4162.5</v>
      </c>
      <c r="F78" s="15" t="n">
        <f aca="false">E78*(1+IF(F$3&lt;=$O$2,$D78,$D78-($D78-$I$76)*MIN(F$3-$O$2,$Q$2)/$Q$2))</f>
        <v>5203.125</v>
      </c>
      <c r="G78" s="15" t="n">
        <f aca="false">F78*(1+IF(G$3&lt;=$O$2,$D78,$D78-($D78-$I$76)*MIN(G$3-$O$2,$Q$2)/$Q$2))</f>
        <v>6503.90625</v>
      </c>
      <c r="H78" s="15" t="n">
        <f aca="false">G78*(1+IF(H$3&lt;=$O$2,$D78,$D78-($D78-$I$76)*MIN(H$3-$O$2,$Q$2)/$Q$2))</f>
        <v>8129.8828125</v>
      </c>
      <c r="I78" s="15" t="n">
        <f aca="false">H78*(1+IF(I$3&lt;=$O$2,$D78,$D78-($D78-$I$76)*MIN(I$3-$O$2,$Q$2)/$Q$2))</f>
        <v>10162.353515625</v>
      </c>
      <c r="J78" s="15" t="n">
        <f aca="false">I78*(1+IF(J$3&lt;=$O$2,$D78,$D78-($D78-$I$76)*MIN(J$3-$O$2,$Q$2)/$Q$2))</f>
        <v>12242.1807861328</v>
      </c>
      <c r="K78" s="15" t="n">
        <f aca="false">J78*(1+IF(K$3&lt;=$O$2,$D78,$D78-($D78-$I$76)*MIN(K$3-$O$2,$Q$2)/$Q$2))</f>
        <v>14192.6050289795</v>
      </c>
      <c r="L78" s="15" t="n">
        <f aca="false">K78*(1+IF(L$3&lt;=$O$2,$D78,$D78-($D78-$I$76)*MIN(L$3-$O$2,$Q$2)/$Q$2))</f>
        <v>15810.2781501826</v>
      </c>
      <c r="M78" s="15" t="n">
        <f aca="false">L78*(1+IF(M$3&lt;=$O$2,$D78,$D78-($D78-$I$76)*MIN(M$3-$O$2,$Q$2)/$Q$2))</f>
        <v>16895.4956424111</v>
      </c>
      <c r="N78" s="15" t="n">
        <f aca="false">M78*(1+IF(N$3&lt;=$O$2,$D78,$D78-($D78-$I$76)*MIN(N$3-$O$2,$Q$2)/$Q$2))</f>
        <v>17289.1606908793</v>
      </c>
      <c r="O78" s="15" t="n">
        <f aca="false">SUMPRODUCT(E78:N78,1/(1+$F$76)^$E$3:$N$3)*$E$2</f>
        <v>35378.1123499767</v>
      </c>
      <c r="P78" s="15" t="n">
        <f aca="false">N78*$E$2*(1+$I$76)/($F$76-$I$76)/(1+$F$76)^$N$3</f>
        <v>68073.9911050899</v>
      </c>
      <c r="Q78" s="15" t="n">
        <f aca="false">O78+P78</f>
        <v>103452.103455067</v>
      </c>
      <c r="R78" s="15" t="n">
        <f aca="false">Q78-$G$2+$I$2</f>
        <v>97264.8034550665</v>
      </c>
      <c r="S78" s="42" t="n">
        <f aca="false">R78/$K$2</f>
        <v>1337.89275729115</v>
      </c>
      <c r="T78" s="43" t="n">
        <f aca="false">S78-$M$2</f>
        <v>777.094958116458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2913.75</v>
      </c>
      <c r="F79" s="15" t="n">
        <f aca="false">E79*(1+IF(F$3&lt;=$O$2,$D79,$D79-($D79-$I$76)*MIN(F$3-$O$2,$Q$2)/$Q$2))</f>
        <v>2549.53125</v>
      </c>
      <c r="G79" s="15" t="n">
        <f aca="false">F79*(1+IF(G$3&lt;=$O$2,$D79,$D79-($D79-$I$76)*MIN(G$3-$O$2,$Q$2)/$Q$2))</f>
        <v>2230.83984375</v>
      </c>
      <c r="H79" s="15" t="n">
        <f aca="false">G79*(1+IF(H$3&lt;=$O$2,$D79,$D79-($D79-$I$76)*MIN(H$3-$O$2,$Q$2)/$Q$2))</f>
        <v>1951.98486328125</v>
      </c>
      <c r="I79" s="15" t="n">
        <f aca="false">H79*(1+IF(I$3&lt;=$O$2,$D79,$D79-($D79-$I$76)*MIN(I$3-$O$2,$Q$2)/$Q$2))</f>
        <v>1707.98675537109</v>
      </c>
      <c r="J79" s="15" t="n">
        <f aca="false">I79*(1+IF(J$3&lt;=$O$2,$D79,$D79-($D79-$I$76)*MIN(J$3-$O$2,$Q$2)/$Q$2))</f>
        <v>1545.14729811401</v>
      </c>
      <c r="K79" s="15" t="n">
        <f aca="false">J79*(1+IF(K$3&lt;=$O$2,$D79,$D79-($D79-$I$76)*MIN(K$3-$O$2,$Q$2)/$Q$2))</f>
        <v>1443.66202357389</v>
      </c>
      <c r="L79" s="15" t="n">
        <f aca="false">K79*(1+IF(L$3&lt;=$O$2,$D79,$D79-($D79-$I$76)*MIN(L$3-$O$2,$Q$2)/$Q$2))</f>
        <v>1391.66131748475</v>
      </c>
      <c r="M79" s="15" t="n">
        <f aca="false">L79*(1+IF(M$3&lt;=$O$2,$D79,$D79-($D79-$I$76)*MIN(M$3-$O$2,$Q$2)/$Q$2))</f>
        <v>1382.81035150555</v>
      </c>
      <c r="N79" s="15" t="n">
        <f aca="false">M79*(1+IF(N$3&lt;=$O$2,$D79,$D79-($D79-$I$76)*MIN(N$3-$O$2,$Q$2)/$Q$2))</f>
        <v>1415.02983269563</v>
      </c>
      <c r="O79" s="15" t="n">
        <f aca="false">SUMPRODUCT(E79:N79,1/(1+$F$76)^$E$3:$N$3)*$E$2</f>
        <v>6984.10757549491</v>
      </c>
      <c r="P79" s="15" t="n">
        <f aca="false">N79*$E$2*(1+$I$76)/($F$76-$I$76)/(1+$F$76)^$N$3</f>
        <v>5571.5098012349</v>
      </c>
      <c r="Q79" s="15" t="n">
        <f aca="false">O79+P79</f>
        <v>12555.6173767298</v>
      </c>
      <c r="R79" s="15" t="n">
        <f aca="false">Q79-$G$2+$I$2</f>
        <v>6368.31737672982</v>
      </c>
      <c r="S79" s="42" t="n">
        <f aca="false">R79/$K$2</f>
        <v>87.5972128848668</v>
      </c>
      <c r="T79" s="43" t="n">
        <f aca="false">S79-$M$2</f>
        <v>-473.200586289824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3538.125</v>
      </c>
      <c r="F80" s="15" t="n">
        <f aca="false">E80*(1+IF(F$3&lt;=$O$2,$D80,$D80-($D80-$I$76)*MIN(F$3-$O$2,$Q$2)/$Q$2))</f>
        <v>3759.2578125</v>
      </c>
      <c r="G80" s="15" t="n">
        <f aca="false">F80*(1+IF(G$3&lt;=$O$2,$D80,$D80-($D80-$I$76)*MIN(G$3-$O$2,$Q$2)/$Q$2))</f>
        <v>3994.21142578125</v>
      </c>
      <c r="H80" s="15" t="n">
        <f aca="false">G80*(1+IF(H$3&lt;=$O$2,$D80,$D80-($D80-$I$76)*MIN(H$3-$O$2,$Q$2)/$Q$2))</f>
        <v>4243.84963989258</v>
      </c>
      <c r="I80" s="15" t="n">
        <f aca="false">H80*(1+IF(I$3&lt;=$O$2,$D80,$D80-($D80-$I$76)*MIN(I$3-$O$2,$Q$2)/$Q$2))</f>
        <v>4509.09024238586</v>
      </c>
      <c r="J80" s="15" t="n">
        <f aca="false">I80*(1+IF(J$3&lt;=$O$2,$D80,$D80-($D80-$I$76)*MIN(J$3-$O$2,$Q$2)/$Q$2))</f>
        <v>4755.55711503468</v>
      </c>
      <c r="K80" s="15" t="n">
        <f aca="false">J80*(1+IF(K$3&lt;=$O$2,$D80,$D80-($D80-$I$76)*MIN(K$3-$O$2,$Q$2)/$Q$2))</f>
        <v>4978.2122991606</v>
      </c>
      <c r="L80" s="15" t="n">
        <f aca="false">K80*(1+IF(L$3&lt;=$O$2,$D80,$D80-($D80-$I$76)*MIN(L$3-$O$2,$Q$2)/$Q$2))</f>
        <v>5172.26301458188</v>
      </c>
      <c r="M80" s="15" t="n">
        <f aca="false">L80*(1+IF(M$3&lt;=$O$2,$D80,$D80-($D80-$I$76)*MIN(M$3-$O$2,$Q$2)/$Q$2))</f>
        <v>5333.32728485596</v>
      </c>
      <c r="N80" s="15" t="n">
        <f aca="false">M80*(1+IF(N$3&lt;=$O$2,$D80,$D80-($D80-$I$76)*MIN(N$3-$O$2,$Q$2)/$Q$2))</f>
        <v>5457.5938105931</v>
      </c>
      <c r="O80" s="15" t="n">
        <f aca="false">SUMPRODUCT(E80:N80,1/(1+$F$76)^$E$3:$N$3)*$E$2</f>
        <v>15691.7552350432</v>
      </c>
      <c r="P80" s="15" t="n">
        <f aca="false">N80*$E$2*(1+$I$76)/($F$76-$I$76)/(1+$F$76)^$N$3</f>
        <v>21488.6193239849</v>
      </c>
      <c r="Q80" s="15" t="n">
        <f aca="false">O80+P80</f>
        <v>37180.3745590281</v>
      </c>
      <c r="R80" s="15" t="n">
        <f aca="false">Q80-$G$2+$I$2</f>
        <v>30993.0745590281</v>
      </c>
      <c r="S80" s="42" t="n">
        <f aca="false">R80/$K$2</f>
        <v>426.314643177828</v>
      </c>
      <c r="T80" s="43" t="n">
        <f aca="false">S80-$M$2</f>
        <v>-134.483155996863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0.0625</v>
      </c>
      <c r="C81" s="25" t="n">
        <f aca="false">IF(T80&gt;0,D80,C80)</f>
        <v>0.25</v>
      </c>
      <c r="D81" s="41" t="n">
        <f aca="false">(B81+C81)/2</f>
        <v>0.15625</v>
      </c>
      <c r="E81" s="15" t="n">
        <f aca="false">$C$2*(1+IF(E$3&lt;=$O$2,$D81,$D81-($D81-$I$76)*MIN(E$3-$O$2,$Q$2)/$Q$2))</f>
        <v>3850.3125</v>
      </c>
      <c r="F81" s="15" t="n">
        <f aca="false">E81*(1+IF(F$3&lt;=$O$2,$D81,$D81-($D81-$I$76)*MIN(F$3-$O$2,$Q$2)/$Q$2))</f>
        <v>4451.923828125</v>
      </c>
      <c r="G81" s="15" t="n">
        <f aca="false">F81*(1+IF(G$3&lt;=$O$2,$D81,$D81-($D81-$I$76)*MIN(G$3-$O$2,$Q$2)/$Q$2))</f>
        <v>5147.53692626953</v>
      </c>
      <c r="H81" s="15" t="n">
        <f aca="false">G81*(1+IF(H$3&lt;=$O$2,$D81,$D81-($D81-$I$76)*MIN(H$3-$O$2,$Q$2)/$Q$2))</f>
        <v>5951.83957099915</v>
      </c>
      <c r="I81" s="15" t="n">
        <f aca="false">H81*(1+IF(I$3&lt;=$O$2,$D81,$D81-($D81-$I$76)*MIN(I$3-$O$2,$Q$2)/$Q$2))</f>
        <v>6881.81450396776</v>
      </c>
      <c r="J81" s="15" t="n">
        <f aca="false">I81*(1+IF(J$3&lt;=$O$2,$D81,$D81-($D81-$I$76)*MIN(J$3-$O$2,$Q$2)/$Q$2))</f>
        <v>7774.11057255222</v>
      </c>
      <c r="K81" s="15" t="n">
        <f aca="false">J81*(1+IF(K$3&lt;=$O$2,$D81,$D81-($D81-$I$76)*MIN(K$3-$O$2,$Q$2)/$Q$2))</f>
        <v>8575.38814926518</v>
      </c>
      <c r="L81" s="15" t="n">
        <f aca="false">K81*(1+IF(L$3&lt;=$O$2,$D81,$D81-($D81-$I$76)*MIN(L$3-$O$2,$Q$2)/$Q$2))</f>
        <v>9231.23383492098</v>
      </c>
      <c r="M81" s="15" t="n">
        <f aca="false">L81*(1+IF(M$3&lt;=$O$2,$D81,$D81-($D81-$I$76)*MIN(M$3-$O$2,$Q$2)/$Q$2))</f>
        <v>9691.78009094519</v>
      </c>
      <c r="N81" s="15" t="n">
        <f aca="false">M81*(1+IF(N$3&lt;=$O$2,$D81,$D81-($D81-$I$76)*MIN(N$3-$O$2,$Q$2)/$Q$2))</f>
        <v>9917.59856706421</v>
      </c>
      <c r="O81" s="15" t="n">
        <f aca="false">SUMPRODUCT(E81:N81,1/(1+$F$76)^$E$3:$N$3)*$E$2</f>
        <v>23605.206274965</v>
      </c>
      <c r="P81" s="15" t="n">
        <f aca="false">N81*$E$2*(1+$I$76)/($F$76-$I$76)/(1+$F$76)^$N$3</f>
        <v>39049.3517128532</v>
      </c>
      <c r="Q81" s="15" t="n">
        <f aca="false">O81+P81</f>
        <v>62654.5579878182</v>
      </c>
      <c r="R81" s="15" t="n">
        <f aca="false">Q81-$G$2+$I$2</f>
        <v>56467.2579878182</v>
      </c>
      <c r="S81" s="42" t="n">
        <f aca="false">R81/$K$2</f>
        <v>776.716065857197</v>
      </c>
      <c r="T81" s="43" t="n">
        <f aca="false">S81-$M$2</f>
        <v>215.918266682506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0.0625</v>
      </c>
      <c r="C82" s="25" t="n">
        <f aca="false">IF(T81&gt;0,D81,C81)</f>
        <v>0.15625</v>
      </c>
      <c r="D82" s="41" t="n">
        <f aca="false">(B82+C82)/2</f>
        <v>0.109375</v>
      </c>
      <c r="E82" s="15" t="n">
        <f aca="false">$C$2*(1+IF(E$3&lt;=$O$2,$D82,$D82-($D82-$I$76)*MIN(E$3-$O$2,$Q$2)/$Q$2))</f>
        <v>3694.21875</v>
      </c>
      <c r="F82" s="15" t="n">
        <f aca="false">E82*(1+IF(F$3&lt;=$O$2,$D82,$D82-($D82-$I$76)*MIN(F$3-$O$2,$Q$2)/$Q$2))</f>
        <v>4098.27392578125</v>
      </c>
      <c r="G82" s="15" t="n">
        <f aca="false">F82*(1+IF(G$3&lt;=$O$2,$D82,$D82-($D82-$I$76)*MIN(G$3-$O$2,$Q$2)/$Q$2))</f>
        <v>4546.52263641357</v>
      </c>
      <c r="H82" s="15" t="n">
        <f aca="false">G82*(1+IF(H$3&lt;=$O$2,$D82,$D82-($D82-$I$76)*MIN(H$3-$O$2,$Q$2)/$Q$2))</f>
        <v>5043.79854977131</v>
      </c>
      <c r="I82" s="15" t="n">
        <f aca="false">H82*(1+IF(I$3&lt;=$O$2,$D82,$D82-($D82-$I$76)*MIN(I$3-$O$2,$Q$2)/$Q$2))</f>
        <v>5595.46401615255</v>
      </c>
      <c r="J82" s="15" t="n">
        <f aca="false">I82*(1+IF(J$3&lt;=$O$2,$D82,$D82-($D82-$I$76)*MIN(J$3-$O$2,$Q$2)/$Q$2))</f>
        <v>6111.14197988117</v>
      </c>
      <c r="K82" s="15" t="n">
        <f aca="false">J82*(1+IF(K$3&lt;=$O$2,$D82,$D82-($D82-$I$76)*MIN(K$3-$O$2,$Q$2)/$Q$2))</f>
        <v>6569.14151556336</v>
      </c>
      <c r="L82" s="15" t="n">
        <f aca="false">K82*(1+IF(L$3&lt;=$O$2,$D82,$D82-($D82-$I$76)*MIN(L$3-$O$2,$Q$2)/$Q$2))</f>
        <v>6948.37805525683</v>
      </c>
      <c r="M82" s="15" t="n">
        <f aca="false">L82*(1+IF(M$3&lt;=$O$2,$D82,$D82-($D82-$I$76)*MIN(M$3-$O$2,$Q$2)/$Q$2))</f>
        <v>7229.89159216556</v>
      </c>
      <c r="N82" s="15" t="n">
        <f aca="false">M82*(1+IF(N$3&lt;=$O$2,$D82,$D82-($D82-$I$76)*MIN(N$3-$O$2,$Q$2)/$Q$2))</f>
        <v>7398.34806626302</v>
      </c>
      <c r="O82" s="15" t="n">
        <f aca="false">SUMPRODUCT(E82:N82,1/(1+$F$76)^$E$3:$N$3)*$E$2</f>
        <v>19250.0283650147</v>
      </c>
      <c r="P82" s="15" t="n">
        <f aca="false">N82*$E$2*(1+$I$76)/($F$76-$I$76)/(1+$F$76)^$N$3</f>
        <v>29130.1058194708</v>
      </c>
      <c r="Q82" s="15" t="n">
        <f aca="false">O82+P82</f>
        <v>48380.1341844855</v>
      </c>
      <c r="R82" s="15" t="n">
        <f aca="false">Q82-$G$2+$I$2</f>
        <v>42192.8341844855</v>
      </c>
      <c r="S82" s="42" t="n">
        <f aca="false">R82/$K$2</f>
        <v>580.369108452345</v>
      </c>
      <c r="T82" s="43" t="n">
        <f aca="false">S82-$M$2</f>
        <v>19.5713092776546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0.0625</v>
      </c>
      <c r="C83" s="25" t="n">
        <f aca="false">IF(T82&gt;0,D82,C82)</f>
        <v>0.109375</v>
      </c>
      <c r="D83" s="41" t="n">
        <f aca="false">(B83+C83)/2</f>
        <v>0.0859375</v>
      </c>
      <c r="E83" s="15" t="n">
        <f aca="false">$C$2*(1+IF(E$3&lt;=$O$2,$D83,$D83-($D83-$I$76)*MIN(E$3-$O$2,$Q$2)/$Q$2))</f>
        <v>3616.171875</v>
      </c>
      <c r="F83" s="15" t="n">
        <f aca="false">E83*(1+IF(F$3&lt;=$O$2,$D83,$D83-($D83-$I$76)*MIN(F$3-$O$2,$Q$2)/$Q$2))</f>
        <v>3926.93664550781</v>
      </c>
      <c r="G83" s="15" t="n">
        <f aca="false">F83*(1+IF(G$3&lt;=$O$2,$D83,$D83-($D83-$I$76)*MIN(G$3-$O$2,$Q$2)/$Q$2))</f>
        <v>4264.40776348114</v>
      </c>
      <c r="H83" s="15" t="n">
        <f aca="false">G83*(1+IF(H$3&lt;=$O$2,$D83,$D83-($D83-$I$76)*MIN(H$3-$O$2,$Q$2)/$Q$2))</f>
        <v>4630.8803056553</v>
      </c>
      <c r="I83" s="15" t="n">
        <f aca="false">H83*(1+IF(I$3&lt;=$O$2,$D83,$D83-($D83-$I$76)*MIN(I$3-$O$2,$Q$2)/$Q$2))</f>
        <v>5028.84658192255</v>
      </c>
      <c r="J83" s="15" t="n">
        <f aca="false">I83*(1+IF(J$3&lt;=$O$2,$D83,$D83-($D83-$I$76)*MIN(J$3-$O$2,$Q$2)/$Q$2))</f>
        <v>5398.01420950149</v>
      </c>
      <c r="K83" s="15" t="n">
        <f aca="false">J83*(1+IF(K$3&lt;=$O$2,$D83,$D83-($D83-$I$76)*MIN(K$3-$O$2,$Q$2)/$Q$2))</f>
        <v>5726.65880961146</v>
      </c>
      <c r="L83" s="15" t="n">
        <f aca="false">K83*(1+IF(L$3&lt;=$O$2,$D83,$D83-($D83-$I$76)*MIN(L$3-$O$2,$Q$2)/$Q$2))</f>
        <v>6003.57139635022</v>
      </c>
      <c r="M83" s="15" t="n">
        <f aca="false">L83*(1+IF(M$3&lt;=$O$2,$D83,$D83-($D83-$I$76)*MIN(M$3-$O$2,$Q$2)/$Q$2))</f>
        <v>6218.66435055296</v>
      </c>
      <c r="N83" s="15" t="n">
        <f aca="false">M83*(1+IF(N$3&lt;=$O$2,$D83,$D83-($D83-$I$76)*MIN(N$3-$O$2,$Q$2)/$Q$2))</f>
        <v>6363.55922992085</v>
      </c>
      <c r="O83" s="15" t="n">
        <f aca="false">SUMPRODUCT(E83:N83,1/(1+$F$76)^$E$3:$N$3)*$E$2</f>
        <v>17380.3736706287</v>
      </c>
      <c r="P83" s="15" t="n">
        <f aca="false">N83*$E$2*(1+$I$76)/($F$76-$I$76)/(1+$F$76)^$N$3</f>
        <v>25055.7492153376</v>
      </c>
      <c r="Q83" s="15" t="n">
        <f aca="false">O83+P83</f>
        <v>42436.1228859663</v>
      </c>
      <c r="R83" s="15" t="n">
        <f aca="false">Q83-$G$2+$I$2</f>
        <v>36248.8228859663</v>
      </c>
      <c r="S83" s="42" t="n">
        <f aca="false">R83/$K$2</f>
        <v>498.608292791833</v>
      </c>
      <c r="T83" s="43" t="n">
        <f aca="false">S83-$M$2</f>
        <v>-62.189506382857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0.0859375</v>
      </c>
      <c r="C84" s="25" t="n">
        <f aca="false">IF(T83&gt;0,D83,C83)</f>
        <v>0.109375</v>
      </c>
      <c r="D84" s="41" t="n">
        <f aca="false">(B84+C84)/2</f>
        <v>0.09765625</v>
      </c>
      <c r="E84" s="15" t="n">
        <f aca="false">$C$2*(1+IF(E$3&lt;=$O$2,$D84,$D84-($D84-$I$76)*MIN(E$3-$O$2,$Q$2)/$Q$2))</f>
        <v>3655.1953125</v>
      </c>
      <c r="F84" s="15" t="n">
        <f aca="false">E84*(1+IF(F$3&lt;=$O$2,$D84,$D84-($D84-$I$76)*MIN(F$3-$O$2,$Q$2)/$Q$2))</f>
        <v>4012.14797973633</v>
      </c>
      <c r="G84" s="15" t="n">
        <f aca="false">F84*(1+IF(G$3&lt;=$O$2,$D84,$D84-($D84-$I$76)*MIN(G$3-$O$2,$Q$2)/$Q$2))</f>
        <v>4403.95930588245</v>
      </c>
      <c r="H84" s="15" t="n">
        <f aca="false">G84*(1+IF(H$3&lt;=$O$2,$D84,$D84-($D84-$I$76)*MIN(H$3-$O$2,$Q$2)/$Q$2))</f>
        <v>4834.03345684754</v>
      </c>
      <c r="I84" s="15" t="n">
        <f aca="false">H84*(1+IF(I$3&lt;=$O$2,$D84,$D84-($D84-$I$76)*MIN(I$3-$O$2,$Q$2)/$Q$2))</f>
        <v>5306.10703661781</v>
      </c>
      <c r="J84" s="15" t="n">
        <f aca="false">I84*(1+IF(J$3&lt;=$O$2,$D84,$D84-($D84-$I$76)*MIN(J$3-$O$2,$Q$2)/$Q$2))</f>
        <v>5745.37310764421</v>
      </c>
      <c r="K84" s="15" t="n">
        <f aca="false">J84*(1+IF(K$3&lt;=$O$2,$D84,$D84-($D84-$I$76)*MIN(K$3-$O$2,$Q$2)/$Q$2))</f>
        <v>6135.56294053348</v>
      </c>
      <c r="L84" s="15" t="n">
        <f aca="false">K84*(1+IF(L$3&lt;=$O$2,$D84,$D84-($D84-$I$76)*MIN(L$3-$O$2,$Q$2)/$Q$2))</f>
        <v>6461.00853780673</v>
      </c>
      <c r="M84" s="15" t="n">
        <f aca="false">L84*(1+IF(M$3&lt;=$O$2,$D84,$D84-($D84-$I$76)*MIN(M$3-$O$2,$Q$2)/$Q$2))</f>
        <v>6707.63330995548</v>
      </c>
      <c r="N84" s="15" t="n">
        <f aca="false">M84*(1+IF(N$3&lt;=$O$2,$D84,$D84-($D84-$I$76)*MIN(N$3-$O$2,$Q$2)/$Q$2))</f>
        <v>6863.92116607745</v>
      </c>
      <c r="O84" s="15" t="n">
        <f aca="false">SUMPRODUCT(E84:N84,1/(1+$F$76)^$E$3:$N$3)*$E$2</f>
        <v>18291.4919616858</v>
      </c>
      <c r="P84" s="15" t="n">
        <f aca="false">N84*$E$2*(1+$I$76)/($F$76-$I$76)/(1+$F$76)^$N$3</f>
        <v>27025.8641677204</v>
      </c>
      <c r="Q84" s="15" t="n">
        <f aca="false">O84+P84</f>
        <v>45317.3561294062</v>
      </c>
      <c r="R84" s="15" t="n">
        <f aca="false">Q84-$G$2+$I$2</f>
        <v>39130.0561294062</v>
      </c>
      <c r="S84" s="42" t="n">
        <f aca="false">R84/$K$2</f>
        <v>538.240111821268</v>
      </c>
      <c r="T84" s="43" t="n">
        <f aca="false">S84-$M$2</f>
        <v>-22.5576873534228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0.09765625</v>
      </c>
      <c r="C85" s="25" t="n">
        <f aca="false">IF(T84&gt;0,D84,C84)</f>
        <v>0.109375</v>
      </c>
      <c r="D85" s="41" t="n">
        <f aca="false">(B85+C85)/2</f>
        <v>0.103515625</v>
      </c>
      <c r="E85" s="15" t="n">
        <f aca="false">$C$2*(1+IF(E$3&lt;=$O$2,$D85,$D85-($D85-$I$76)*MIN(E$3-$O$2,$Q$2)/$Q$2))</f>
        <v>3674.70703125</v>
      </c>
      <c r="F85" s="15" t="n">
        <f aca="false">E85*(1+IF(F$3&lt;=$O$2,$D85,$D85-($D85-$I$76)*MIN(F$3-$O$2,$Q$2)/$Q$2))</f>
        <v>4055.09662628174</v>
      </c>
      <c r="G85" s="15" t="n">
        <f aca="false">F85*(1+IF(G$3&lt;=$O$2,$D85,$D85-($D85-$I$76)*MIN(G$3-$O$2,$Q$2)/$Q$2))</f>
        <v>4474.86248798668</v>
      </c>
      <c r="H85" s="15" t="n">
        <f aca="false">G85*(1+IF(H$3&lt;=$O$2,$D85,$D85-($D85-$I$76)*MIN(H$3-$O$2,$Q$2)/$Q$2))</f>
        <v>4938.08067521968</v>
      </c>
      <c r="I85" s="15" t="n">
        <f aca="false">H85*(1+IF(I$3&lt;=$O$2,$D85,$D85-($D85-$I$76)*MIN(I$3-$O$2,$Q$2)/$Q$2))</f>
        <v>5449.24918261547</v>
      </c>
      <c r="J85" s="15" t="n">
        <f aca="false">I85*(1+IF(J$3&lt;=$O$2,$D85,$D85-($D85-$I$76)*MIN(J$3-$O$2,$Q$2)/$Q$2))</f>
        <v>5925.9086317418</v>
      </c>
      <c r="K85" s="15" t="n">
        <f aca="false">J85*(1+IF(K$3&lt;=$O$2,$D85,$D85-($D85-$I$76)*MIN(K$3-$O$2,$Q$2)/$Q$2))</f>
        <v>6349.19258161422</v>
      </c>
      <c r="L85" s="15" t="n">
        <f aca="false">K85*(1+IF(L$3&lt;=$O$2,$D85,$D85-($D85-$I$76)*MIN(L$3-$O$2,$Q$2)/$Q$2))</f>
        <v>6700.85054923765</v>
      </c>
      <c r="M85" s="15" t="n">
        <f aca="false">L85*(1+IF(M$3&lt;=$O$2,$D85,$D85-($D85-$I$76)*MIN(M$3-$O$2,$Q$2)/$Q$2))</f>
        <v>6964.48295000263</v>
      </c>
      <c r="N85" s="15" t="n">
        <f aca="false">M85*(1+IF(N$3&lt;=$O$2,$D85,$D85-($D85-$I$76)*MIN(N$3-$O$2,$Q$2)/$Q$2))</f>
        <v>7126.75540273769</v>
      </c>
      <c r="O85" s="15" t="n">
        <f aca="false">SUMPRODUCT(E85:N85,1/(1+$F$76)^$E$3:$N$3)*$E$2</f>
        <v>18764.693091893</v>
      </c>
      <c r="P85" s="15" t="n">
        <f aca="false">N85*$E$2*(1+$I$76)/($F$76-$I$76)/(1+$F$76)^$N$3</f>
        <v>28060.7423673291</v>
      </c>
      <c r="Q85" s="15" t="n">
        <f aca="false">O85+P85</f>
        <v>46825.4354592221</v>
      </c>
      <c r="R85" s="15" t="n">
        <f aca="false">Q85-$G$2+$I$2</f>
        <v>40638.1354592221</v>
      </c>
      <c r="S85" s="42" t="n">
        <f aca="false">R85/$K$2</f>
        <v>558.983981557388</v>
      </c>
      <c r="T85" s="43" t="n">
        <f aca="false">S85-$M$2</f>
        <v>-1.8138176173029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0.103515625</v>
      </c>
      <c r="C86" s="25" t="n">
        <f aca="false">IF(T85&gt;0,D85,C85)</f>
        <v>0.109375</v>
      </c>
      <c r="D86" s="41" t="n">
        <f aca="false">(B86+C86)/2</f>
        <v>0.1064453125</v>
      </c>
      <c r="E86" s="15" t="n">
        <f aca="false">$C$2*(1+IF(E$3&lt;=$O$2,$D86,$D86-($D86-$I$76)*MIN(E$3-$O$2,$Q$2)/$Q$2))</f>
        <v>3684.462890625</v>
      </c>
      <c r="F86" s="15" t="n">
        <f aca="false">E86*(1+IF(F$3&lt;=$O$2,$D86,$D86-($D86-$I$76)*MIN(F$3-$O$2,$Q$2)/$Q$2))</f>
        <v>4076.65669441223</v>
      </c>
      <c r="G86" s="15" t="n">
        <f aca="false">F86*(1+IF(G$3&lt;=$O$2,$D86,$D86-($D86-$I$76)*MIN(G$3-$O$2,$Q$2)/$Q$2))</f>
        <v>4510.59769020416</v>
      </c>
      <c r="H86" s="15" t="n">
        <f aca="false">G86*(1+IF(H$3&lt;=$O$2,$D86,$D86-($D86-$I$76)*MIN(H$3-$O$2,$Q$2)/$Q$2))</f>
        <v>4990.72967089972</v>
      </c>
      <c r="I86" s="15" t="n">
        <f aca="false">H86*(1+IF(I$3&lt;=$O$2,$D86,$D86-($D86-$I$76)*MIN(I$3-$O$2,$Q$2)/$Q$2))</f>
        <v>5521.96945032166</v>
      </c>
      <c r="J86" s="15" t="n">
        <f aca="false">I86*(1+IF(J$3&lt;=$O$2,$D86,$D86-($D86-$I$76)*MIN(J$3-$O$2,$Q$2)/$Q$2))</f>
        <v>6017.93203896411</v>
      </c>
      <c r="K86" s="15" t="n">
        <f aca="false">J86*(1+IF(K$3&lt;=$O$2,$D86,$D86-($D86-$I$76)*MIN(K$3-$O$2,$Q$2)/$Q$2))</f>
        <v>6458.36755946204</v>
      </c>
      <c r="L86" s="15" t="n">
        <f aca="false">K86*(1+IF(L$3&lt;=$O$2,$D86,$D86-($D86-$I$76)*MIN(L$3-$O$2,$Q$2)/$Q$2))</f>
        <v>6823.64071918604</v>
      </c>
      <c r="M86" s="15" t="n">
        <f aca="false">L86*(1+IF(M$3&lt;=$O$2,$D86,$D86-($D86-$I$76)*MIN(M$3-$O$2,$Q$2)/$Q$2))</f>
        <v>7096.10229593996</v>
      </c>
      <c r="N86" s="15" t="n">
        <f aca="false">M86*(1+IF(N$3&lt;=$O$2,$D86,$D86-($D86-$I$76)*MIN(N$3-$O$2,$Q$2)/$Q$2))</f>
        <v>7261.44147943536</v>
      </c>
      <c r="O86" s="15" t="n">
        <f aca="false">SUMPRODUCT(E86:N86,1/(1+$F$76)^$E$3:$N$3)*$E$2</f>
        <v>19005.8261727614</v>
      </c>
      <c r="P86" s="15" t="n">
        <f aca="false">N86*$E$2*(1+$I$76)/($F$76-$I$76)/(1+$F$76)^$N$3</f>
        <v>28591.0525975957</v>
      </c>
      <c r="Q86" s="15" t="n">
        <f aca="false">O86+P86</f>
        <v>47596.8787703571</v>
      </c>
      <c r="R86" s="15" t="n">
        <f aca="false">Q86-$G$2+$I$2</f>
        <v>41409.5787703571</v>
      </c>
      <c r="S86" s="42" t="n">
        <f aca="false">R86/$K$2</f>
        <v>569.595306332285</v>
      </c>
      <c r="T86" s="43" t="n">
        <f aca="false">S86-$M$2</f>
        <v>8.7975071575944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0.103515625</v>
      </c>
      <c r="C87" s="25" t="n">
        <f aca="false">IF(T86&gt;0,D86,C86)</f>
        <v>0.1064453125</v>
      </c>
      <c r="D87" s="41" t="n">
        <f aca="false">(B87+C87)/2</f>
        <v>0.10498046875</v>
      </c>
      <c r="E87" s="15" t="n">
        <f aca="false">$C$2*(1+IF(E$3&lt;=$O$2,$D87,$D87-($D87-$I$76)*MIN(E$3-$O$2,$Q$2)/$Q$2))</f>
        <v>3679.5849609375</v>
      </c>
      <c r="F87" s="15" t="n">
        <f aca="false">E87*(1+IF(F$3&lt;=$O$2,$D87,$D87-($D87-$I$76)*MIN(F$3-$O$2,$Q$2)/$Q$2))</f>
        <v>4065.86951494217</v>
      </c>
      <c r="G87" s="15" t="n">
        <f aca="false">F87*(1+IF(G$3&lt;=$O$2,$D87,$D87-($D87-$I$76)*MIN(G$3-$O$2,$Q$2)/$Q$2))</f>
        <v>4492.70640249713</v>
      </c>
      <c r="H87" s="15" t="n">
        <f aca="false">G87*(1+IF(H$3&lt;=$O$2,$D87,$D87-($D87-$I$76)*MIN(H$3-$O$2,$Q$2)/$Q$2))</f>
        <v>4964.35282658741</v>
      </c>
      <c r="I87" s="15" t="n">
        <f aca="false">H87*(1+IF(I$3&lt;=$O$2,$D87,$D87-($D87-$I$76)*MIN(I$3-$O$2,$Q$2)/$Q$2))</f>
        <v>5485.51291336294</v>
      </c>
      <c r="J87" s="15" t="n">
        <f aca="false">I87*(1+IF(J$3&lt;=$O$2,$D87,$D87-($D87-$I$76)*MIN(J$3-$O$2,$Q$2)/$Q$2))</f>
        <v>5971.77277712243</v>
      </c>
      <c r="K87" s="15" t="n">
        <f aca="false">J87*(1+IF(K$3&lt;=$O$2,$D87,$D87-($D87-$I$76)*MIN(K$3-$O$2,$Q$2)/$Q$2))</f>
        <v>6403.58140265169</v>
      </c>
      <c r="L87" s="15" t="n">
        <f aca="false">K87*(1+IF(L$3&lt;=$O$2,$D87,$D87-($D87-$I$76)*MIN(L$3-$O$2,$Q$2)/$Q$2))</f>
        <v>6762.00386159242</v>
      </c>
      <c r="M87" s="15" t="n">
        <f aca="false">L87*(1+IF(M$3&lt;=$O$2,$D87,$D87-($D87-$I$76)*MIN(M$3-$O$2,$Q$2)/$Q$2))</f>
        <v>7030.02328058836</v>
      </c>
      <c r="N87" s="15" t="n">
        <f aca="false">M87*(1+IF(N$3&lt;=$O$2,$D87,$D87-($D87-$I$76)*MIN(N$3-$O$2,$Q$2)/$Q$2))</f>
        <v>7193.82282302607</v>
      </c>
      <c r="O87" s="15" t="n">
        <f aca="false">SUMPRODUCT(E87:N87,1/(1+$F$76)^$E$3:$N$3)*$E$2</f>
        <v>18884.8782309584</v>
      </c>
      <c r="P87" s="15" t="n">
        <f aca="false">N87*$E$2*(1+$I$76)/($F$76-$I$76)/(1+$F$76)^$N$3</f>
        <v>28324.8122694939</v>
      </c>
      <c r="Q87" s="15" t="n">
        <f aca="false">O87+P87</f>
        <v>47209.6905004523</v>
      </c>
      <c r="R87" s="15" t="n">
        <f aca="false">Q87-$G$2+$I$2</f>
        <v>41022.3905004523</v>
      </c>
      <c r="S87" s="42" t="n">
        <f aca="false">R87/$K$2</f>
        <v>564.269470432631</v>
      </c>
      <c r="T87" s="43" t="n">
        <f aca="false">S87-$M$2</f>
        <v>3.47167125794067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0.103515625</v>
      </c>
      <c r="C88" s="25" t="n">
        <f aca="false">IF(T87&gt;0,D87,C87)</f>
        <v>0.10498046875</v>
      </c>
      <c r="D88" s="41" t="n">
        <f aca="false">(B88+C88)/2</f>
        <v>0.104248046875</v>
      </c>
      <c r="E88" s="15" t="n">
        <f aca="false">$C$2*(1+IF(E$3&lt;=$O$2,$D88,$D88-($D88-$I$76)*MIN(E$3-$O$2,$Q$2)/$Q$2))</f>
        <v>3677.14599609375</v>
      </c>
      <c r="F88" s="15" t="n">
        <f aca="false">E88*(1+IF(F$3&lt;=$O$2,$D88,$D88-($D88-$I$76)*MIN(F$3-$O$2,$Q$2)/$Q$2))</f>
        <v>4060.48128426075</v>
      </c>
      <c r="G88" s="15" t="n">
        <f aca="false">F88*(1+IF(G$3&lt;=$O$2,$D88,$D88-($D88-$I$76)*MIN(G$3-$O$2,$Q$2)/$Q$2))</f>
        <v>4483.77852751743</v>
      </c>
      <c r="H88" s="15" t="n">
        <f aca="false">G88*(1+IF(H$3&lt;=$O$2,$D88,$D88-($D88-$I$76)*MIN(H$3-$O$2,$Q$2)/$Q$2))</f>
        <v>4951.20368163118</v>
      </c>
      <c r="I88" s="15" t="n">
        <f aca="false">H88*(1+IF(I$3&lt;=$O$2,$D88,$D88-($D88-$I$76)*MIN(I$3-$O$2,$Q$2)/$Q$2))</f>
        <v>5467.35699512154</v>
      </c>
      <c r="J88" s="15" t="n">
        <f aca="false">I88*(1+IF(J$3&lt;=$O$2,$D88,$D88-($D88-$I$76)*MIN(J$3-$O$2,$Q$2)/$Q$2))</f>
        <v>5948.80390936664</v>
      </c>
      <c r="K88" s="15" t="n">
        <f aca="false">J88*(1+IF(K$3&lt;=$O$2,$D88,$D88-($D88-$I$76)*MIN(K$3-$O$2,$Q$2)/$Q$2))</f>
        <v>6376.33747507824</v>
      </c>
      <c r="L88" s="15" t="n">
        <f aca="false">K88*(1+IF(L$3&lt;=$O$2,$D88,$D88-($D88-$I$76)*MIN(L$3-$O$2,$Q$2)/$Q$2))</f>
        <v>6731.36696417694</v>
      </c>
      <c r="M88" s="15" t="n">
        <f aca="false">L88*(1+IF(M$3&lt;=$O$2,$D88,$D88-($D88-$I$76)*MIN(M$3-$O$2,$Q$2)/$Q$2))</f>
        <v>6997.18601615206</v>
      </c>
      <c r="N88" s="15" t="n">
        <f aca="false">M88*(1+IF(N$3&lt;=$O$2,$D88,$D88-($D88-$I$76)*MIN(N$3-$O$2,$Q$2)/$Q$2))</f>
        <v>7160.22045032841</v>
      </c>
      <c r="O88" s="15" t="n">
        <f aca="false">SUMPRODUCT(E88:N88,1/(1+$F$76)^$E$3:$N$3)*$E$2</f>
        <v>18824.6905895415</v>
      </c>
      <c r="P88" s="15" t="n">
        <f aca="false">N88*$E$2*(1+$I$76)/($F$76-$I$76)/(1+$F$76)^$N$3</f>
        <v>28192.5069678642</v>
      </c>
      <c r="Q88" s="15" t="n">
        <f aca="false">O88+P88</f>
        <v>47017.1975574057</v>
      </c>
      <c r="R88" s="15" t="n">
        <f aca="false">Q88-$G$2+$I$2</f>
        <v>40829.8975574057</v>
      </c>
      <c r="S88" s="42" t="n">
        <f aca="false">R88/$K$2</f>
        <v>561.621699551661</v>
      </c>
      <c r="T88" s="43" t="n">
        <f aca="false">S88-$M$2</f>
        <v>0.8239003769703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0.103515625</v>
      </c>
      <c r="C89" s="25" t="n">
        <f aca="false">IF(T88&gt;0,D88,C88)</f>
        <v>0.104248046875</v>
      </c>
      <c r="D89" s="41" t="n">
        <f aca="false">(B89+C89)/2</f>
        <v>0.1038818359375</v>
      </c>
      <c r="E89" s="15" t="n">
        <f aca="false">$C$2*(1+IF(E$3&lt;=$O$2,$D89,$D89-($D89-$I$76)*MIN(E$3-$O$2,$Q$2)/$Q$2))</f>
        <v>3675.92651367188</v>
      </c>
      <c r="F89" s="15" t="n">
        <f aca="false">E89*(1+IF(F$3&lt;=$O$2,$D89,$D89-($D89-$I$76)*MIN(F$3-$O$2,$Q$2)/$Q$2))</f>
        <v>4057.78850868344</v>
      </c>
      <c r="G89" s="15" t="n">
        <f aca="false">F89*(1+IF(G$3&lt;=$O$2,$D89,$D89-($D89-$I$76)*MIN(G$3-$O$2,$Q$2)/$Q$2))</f>
        <v>4479.31902881157</v>
      </c>
      <c r="H89" s="15" t="n">
        <f aca="false">G89*(1+IF(H$3&lt;=$O$2,$D89,$D89-($D89-$I$76)*MIN(H$3-$O$2,$Q$2)/$Q$2))</f>
        <v>4944.63891327429</v>
      </c>
      <c r="I89" s="15" t="n">
        <f aca="false">H89*(1+IF(I$3&lt;=$O$2,$D89,$D89-($D89-$I$76)*MIN(I$3-$O$2,$Q$2)/$Q$2))</f>
        <v>5458.29708163323</v>
      </c>
      <c r="J89" s="15" t="n">
        <f aca="false">I89*(1+IF(J$3&lt;=$O$2,$D89,$D89-($D89-$I$76)*MIN(J$3-$O$2,$Q$2)/$Q$2))</f>
        <v>5937.34708357953</v>
      </c>
      <c r="K89" s="15" t="n">
        <f aca="false">J89*(1+IF(K$3&lt;=$O$2,$D89,$D89-($D89-$I$76)*MIN(K$3-$O$2,$Q$2)/$Q$2))</f>
        <v>6362.75266778273</v>
      </c>
      <c r="L89" s="15" t="n">
        <f aca="false">K89*(1+IF(L$3&lt;=$O$2,$D89,$D89-($D89-$I$76)*MIN(L$3-$O$2,$Q$2)/$Q$2))</f>
        <v>6716.09372157654</v>
      </c>
      <c r="M89" s="15" t="n">
        <f aca="false">L89*(1+IF(M$3&lt;=$O$2,$D89,$D89-($D89-$I$76)*MIN(M$3-$O$2,$Q$2)/$Q$2))</f>
        <v>6980.81773777186</v>
      </c>
      <c r="N89" s="15" t="n">
        <f aca="false">M89*(1+IF(N$3&lt;=$O$2,$D89,$D89-($D89-$I$76)*MIN(N$3-$O$2,$Q$2)/$Q$2))</f>
        <v>7143.47079106195</v>
      </c>
      <c r="O89" s="15" t="n">
        <f aca="false">SUMPRODUCT(E89:N89,1/(1+$F$76)^$E$3:$N$3)*$E$2</f>
        <v>18794.6681074764</v>
      </c>
      <c r="P89" s="15" t="n">
        <f aca="false">N89*$E$2*(1+$I$76)/($F$76-$I$76)/(1+$F$76)^$N$3</f>
        <v>28126.5571987398</v>
      </c>
      <c r="Q89" s="15" t="n">
        <f aca="false">O89+P89</f>
        <v>46921.2253062163</v>
      </c>
      <c r="R89" s="15" t="n">
        <f aca="false">Q89-$G$2+$I$2</f>
        <v>40733.9253062163</v>
      </c>
      <c r="S89" s="42" t="n">
        <f aca="false">R89/$K$2</f>
        <v>560.301586055244</v>
      </c>
      <c r="T89" s="43" t="n">
        <f aca="false">S89-$M$2</f>
        <v>-0.496213119446225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0.1038818359375</v>
      </c>
      <c r="C90" s="25" t="n">
        <f aca="false">IF(T89&gt;0,D89,C89)</f>
        <v>0.104248046875</v>
      </c>
      <c r="D90" s="41" t="n">
        <f aca="false">(B90+C90)/2</f>
        <v>0.10406494140625</v>
      </c>
      <c r="E90" s="15" t="n">
        <f aca="false">$C$2*(1+IF(E$3&lt;=$O$2,$D90,$D90-($D90-$I$76)*MIN(E$3-$O$2,$Q$2)/$Q$2))</f>
        <v>3676.53625488281</v>
      </c>
      <c r="F90" s="15" t="n">
        <f aca="false">E90*(1+IF(F$3&lt;=$O$2,$D90,$D90-($D90-$I$76)*MIN(F$3-$O$2,$Q$2)/$Q$2))</f>
        <v>4059.13478482515</v>
      </c>
      <c r="G90" s="15" t="n">
        <f aca="false">F90*(1+IF(G$3&lt;=$O$2,$D90,$D90-($D90-$I$76)*MIN(G$3-$O$2,$Q$2)/$Q$2))</f>
        <v>4481.54840836805</v>
      </c>
      <c r="H90" s="15" t="n">
        <f aca="false">G90*(1+IF(H$3&lt;=$O$2,$D90,$D90-($D90-$I$76)*MIN(H$3-$O$2,$Q$2)/$Q$2))</f>
        <v>4947.92048089414</v>
      </c>
      <c r="I90" s="15" t="n">
        <f aca="false">H90*(1+IF(I$3&lt;=$O$2,$D90,$D90-($D90-$I$76)*MIN(I$3-$O$2,$Q$2)/$Q$2))</f>
        <v>5462.82553582117</v>
      </c>
      <c r="J90" s="15" t="n">
        <f aca="false">I90*(1+IF(J$3&lt;=$O$2,$D90,$D90-($D90-$I$76)*MIN(J$3-$O$2,$Q$2)/$Q$2))</f>
        <v>5943.07319825634</v>
      </c>
      <c r="K90" s="15" t="n">
        <f aca="false">J90*(1+IF(K$3&lt;=$O$2,$D90,$D90-($D90-$I$76)*MIN(K$3-$O$2,$Q$2)/$Q$2))</f>
        <v>6369.54197895385</v>
      </c>
      <c r="L90" s="15" t="n">
        <f aca="false">K90*(1+IF(L$3&lt;=$O$2,$D90,$D90-($D90-$I$76)*MIN(L$3-$O$2,$Q$2)/$Q$2))</f>
        <v>6723.72658094941</v>
      </c>
      <c r="M90" s="15" t="n">
        <f aca="false">L90*(1+IF(M$3&lt;=$O$2,$D90,$D90-($D90-$I$76)*MIN(M$3-$O$2,$Q$2)/$Q$2))</f>
        <v>6988.99768695394</v>
      </c>
      <c r="N90" s="15" t="n">
        <f aca="false">M90*(1+IF(N$3&lt;=$O$2,$D90,$D90-($D90-$I$76)*MIN(N$3-$O$2,$Q$2)/$Q$2))</f>
        <v>7151.84133305997</v>
      </c>
      <c r="O90" s="15" t="n">
        <f aca="false">SUMPRODUCT(E90:N90,1/(1+$F$76)^$E$3:$N$3)*$E$2</f>
        <v>18809.6734108609</v>
      </c>
      <c r="P90" s="15" t="n">
        <f aca="false">N90*$E$2*(1+$I$76)/($F$76-$I$76)/(1+$F$76)^$N$3</f>
        <v>28159.515201254</v>
      </c>
      <c r="Q90" s="15" t="n">
        <f aca="false">O90+P90</f>
        <v>46969.1886121149</v>
      </c>
      <c r="R90" s="15" t="n">
        <f aca="false">Q90-$G$2+$I$2</f>
        <v>40781.8886121149</v>
      </c>
      <c r="S90" s="42" t="n">
        <f aca="false">R90/$K$2</f>
        <v>560.961328914923</v>
      </c>
      <c r="T90" s="43" t="n">
        <f aca="false">S90-$M$2</f>
        <v>0.163529740232661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0.1038818359375</v>
      </c>
      <c r="C91" s="25" t="n">
        <f aca="false">IF(T90&gt;0,D90,C90)</f>
        <v>0.10406494140625</v>
      </c>
      <c r="D91" s="41" t="n">
        <f aca="false">(B91+C91)/2</f>
        <v>0.103973388671875</v>
      </c>
      <c r="E91" s="15" t="n">
        <f aca="false">$C$2*(1+IF(E$3&lt;=$O$2,$D91,$D91-($D91-$I$76)*MIN(E$3-$O$2,$Q$2)/$Q$2))</f>
        <v>3676.23138427734</v>
      </c>
      <c r="F91" s="15" t="n">
        <f aca="false">E91*(1+IF(F$3&lt;=$O$2,$D91,$D91-($D91-$I$76)*MIN(F$3-$O$2,$Q$2)/$Q$2))</f>
        <v>4058.46161884256</v>
      </c>
      <c r="G91" s="15" t="n">
        <f aca="false">F91*(1+IF(G$3&lt;=$O$2,$D91,$D91-($D91-$I$76)*MIN(G$3-$O$2,$Q$2)/$Q$2))</f>
        <v>4480.43362614836</v>
      </c>
      <c r="H91" s="15" t="n">
        <f aca="false">G91*(1+IF(H$3&lt;=$O$2,$D91,$D91-($D91-$I$76)*MIN(H$3-$O$2,$Q$2)/$Q$2))</f>
        <v>4946.27949297842</v>
      </c>
      <c r="I91" s="15" t="n">
        <f aca="false">H91*(1+IF(I$3&lt;=$O$2,$D91,$D91-($D91-$I$76)*MIN(I$3-$O$2,$Q$2)/$Q$2))</f>
        <v>5460.56093318159</v>
      </c>
      <c r="J91" s="15" t="n">
        <f aca="false">I91*(1+IF(J$3&lt;=$O$2,$D91,$D91-($D91-$I$76)*MIN(J$3-$O$2,$Q$2)/$Q$2))</f>
        <v>5940.20956654794</v>
      </c>
      <c r="K91" s="15" t="n">
        <f aca="false">J91*(1+IF(K$3&lt;=$O$2,$D91,$D91-($D91-$I$76)*MIN(K$3-$O$2,$Q$2)/$Q$2))</f>
        <v>6366.14655054121</v>
      </c>
      <c r="L91" s="15" t="n">
        <f aca="false">K91*(1+IF(L$3&lt;=$O$2,$D91,$D91-($D91-$I$76)*MIN(L$3-$O$2,$Q$2)/$Q$2))</f>
        <v>6719.90921117439</v>
      </c>
      <c r="M91" s="15" t="n">
        <f aca="false">L91*(1+IF(M$3&lt;=$O$2,$D91,$D91-($D91-$I$76)*MIN(M$3-$O$2,$Q$2)/$Q$2))</f>
        <v>6984.90666532131</v>
      </c>
      <c r="N91" s="15" t="n">
        <f aca="false">M91*(1+IF(N$3&lt;=$O$2,$D91,$D91-($D91-$I$76)*MIN(N$3-$O$2,$Q$2)/$Q$2))</f>
        <v>7147.6549906233</v>
      </c>
      <c r="O91" s="15" t="n">
        <f aca="false">SUMPRODUCT(E91:N91,1/(1+$F$76)^$E$3:$N$3)*$E$2</f>
        <v>18802.1692752991</v>
      </c>
      <c r="P91" s="15" t="n">
        <f aca="false">N91*$E$2*(1+$I$76)/($F$76-$I$76)/(1+$F$76)^$N$3</f>
        <v>28143.03198134</v>
      </c>
      <c r="Q91" s="15" t="n">
        <f aca="false">O91+P91</f>
        <v>46945.2012566391</v>
      </c>
      <c r="R91" s="15" t="n">
        <f aca="false">Q91-$G$2+$I$2</f>
        <v>40757.9012566391</v>
      </c>
      <c r="S91" s="42" t="n">
        <f aca="false">R91/$K$2</f>
        <v>560.63137904593</v>
      </c>
      <c r="T91" s="43" t="n">
        <f aca="false">S91-$M$2</f>
        <v>-0.166420128760819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0.103973388671875</v>
      </c>
      <c r="C92" s="25" t="n">
        <f aca="false">IF(T91&gt;0,D91,C91)</f>
        <v>0.10406494140625</v>
      </c>
      <c r="D92" s="41" t="n">
        <f aca="false">(B92+C92)/2</f>
        <v>0.104019165039063</v>
      </c>
      <c r="E92" s="15" t="n">
        <f aca="false">$C$2*(1+IF(E$3&lt;=$O$2,$D92,$D92-($D92-$I$76)*MIN(E$3-$O$2,$Q$2)/$Q$2))</f>
        <v>3676.38381958008</v>
      </c>
      <c r="F92" s="15" t="n">
        <f aca="false">E92*(1+IF(F$3&lt;=$O$2,$D92,$D92-($D92-$I$76)*MIN(F$3-$O$2,$Q$2)/$Q$2))</f>
        <v>4058.79819485592</v>
      </c>
      <c r="G92" s="15" t="n">
        <f aca="false">F92*(1+IF(G$3&lt;=$O$2,$D92,$D92-($D92-$I$76)*MIN(G$3-$O$2,$Q$2)/$Q$2))</f>
        <v>4480.99099414688</v>
      </c>
      <c r="H92" s="15" t="n">
        <f aca="false">G92*(1+IF(H$3&lt;=$O$2,$D92,$D92-($D92-$I$76)*MIN(H$3-$O$2,$Q$2)/$Q$2))</f>
        <v>4947.0999359056</v>
      </c>
      <c r="I92" s="15" t="n">
        <f aca="false">H92*(1+IF(I$3&lt;=$O$2,$D92,$D92-($D92-$I$76)*MIN(I$3-$O$2,$Q$2)/$Q$2))</f>
        <v>5461.6931406033</v>
      </c>
      <c r="J92" s="15" t="n">
        <f aca="false">I92*(1+IF(J$3&lt;=$O$2,$D92,$D92-($D92-$I$76)*MIN(J$3-$O$2,$Q$2)/$Q$2))</f>
        <v>5941.64123878662</v>
      </c>
      <c r="K92" s="15" t="n">
        <f aca="false">J92*(1+IF(K$3&lt;=$O$2,$D92,$D92-($D92-$I$76)*MIN(K$3-$O$2,$Q$2)/$Q$2))</f>
        <v>6367.84407150426</v>
      </c>
      <c r="L92" s="15" t="n">
        <f aca="false">K92*(1+IF(L$3&lt;=$O$2,$D92,$D92-($D92-$I$76)*MIN(L$3-$O$2,$Q$2)/$Q$2))</f>
        <v>6721.81766099061</v>
      </c>
      <c r="M92" s="15" t="n">
        <f aca="false">L92*(1+IF(M$3&lt;=$O$2,$D92,$D92-($D92-$I$76)*MIN(M$3-$O$2,$Q$2)/$Q$2))</f>
        <v>6986.95191431969</v>
      </c>
      <c r="N92" s="15" t="n">
        <f aca="false">M92*(1+IF(N$3&lt;=$O$2,$D92,$D92-($D92-$I$76)*MIN(N$3-$O$2,$Q$2)/$Q$2))</f>
        <v>7149.74789392334</v>
      </c>
      <c r="O92" s="15" t="n">
        <f aca="false">SUMPRODUCT(E92:N92,1/(1+$F$76)^$E$3:$N$3)*$E$2</f>
        <v>18805.9209720448</v>
      </c>
      <c r="P92" s="15" t="n">
        <f aca="false">N92*$E$2*(1+$I$76)/($F$76-$I$76)/(1+$F$76)^$N$3</f>
        <v>28151.2725364009</v>
      </c>
      <c r="Q92" s="15" t="n">
        <f aca="false">O92+P92</f>
        <v>46957.1935084458</v>
      </c>
      <c r="R92" s="15" t="n">
        <f aca="false">Q92-$G$2+$I$2</f>
        <v>40769.8935084458</v>
      </c>
      <c r="S92" s="42" t="n">
        <f aca="false">R92/$K$2</f>
        <v>560.796334366517</v>
      </c>
      <c r="T92" s="43" t="n">
        <f aca="false">S92-$M$2</f>
        <v>-0.0014648081737505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0.104019165039063</v>
      </c>
      <c r="C93" s="25" t="n">
        <f aca="false">IF(T92&gt;0,D92,C92)</f>
        <v>0.10406494140625</v>
      </c>
      <c r="D93" s="41" t="n">
        <f aca="false">(B93+C93)/2</f>
        <v>0.104042053222656</v>
      </c>
      <c r="E93" s="15" t="n">
        <f aca="false">$C$2*(1+IF(E$3&lt;=$O$2,$D93,$D93-($D93-$I$76)*MIN(E$3-$O$2,$Q$2)/$Q$2))</f>
        <v>3676.46003723145</v>
      </c>
      <c r="F93" s="15" t="n">
        <f aca="false">E93*(1+IF(F$3&lt;=$O$2,$D93,$D93-($D93-$I$76)*MIN(F$3-$O$2,$Q$2)/$Q$2))</f>
        <v>4058.96648809605</v>
      </c>
      <c r="G93" s="15" t="n">
        <f aca="false">F93*(1+IF(G$3&lt;=$O$2,$D93,$D93-($D93-$I$76)*MIN(G$3-$O$2,$Q$2)/$Q$2))</f>
        <v>4481.26969547952</v>
      </c>
      <c r="H93" s="15" t="n">
        <f aca="false">G93*(1+IF(H$3&lt;=$O$2,$D93,$D93-($D93-$I$76)*MIN(H$3-$O$2,$Q$2)/$Q$2))</f>
        <v>4947.51019564167</v>
      </c>
      <c r="I93" s="15" t="n">
        <f aca="false">H93*(1+IF(I$3&lt;=$O$2,$D93,$D93-($D93-$I$76)*MIN(I$3-$O$2,$Q$2)/$Q$2))</f>
        <v>5462.25931473626</v>
      </c>
      <c r="J93" s="15" t="n">
        <f aca="false">I93*(1+IF(J$3&lt;=$O$2,$D93,$D93-($D93-$I$76)*MIN(J$3-$O$2,$Q$2)/$Q$2))</f>
        <v>5942.35718261472</v>
      </c>
      <c r="K93" s="15" t="n">
        <f aca="false">J93*(1+IF(K$3&lt;=$O$2,$D93,$D93-($D93-$I$76)*MIN(K$3-$O$2,$Q$2)/$Q$2))</f>
        <v>6368.69297691367</v>
      </c>
      <c r="L93" s="15" t="n">
        <f aca="false">K93*(1+IF(L$3&lt;=$O$2,$D93,$D93-($D93-$I$76)*MIN(L$3-$O$2,$Q$2)/$Q$2))</f>
        <v>6722.77206219605</v>
      </c>
      <c r="M93" s="15" t="n">
        <f aca="false">L93*(1+IF(M$3&lt;=$O$2,$D93,$D93-($D93-$I$76)*MIN(M$3-$O$2,$Q$2)/$Q$2))</f>
        <v>6987.97473517514</v>
      </c>
      <c r="N93" s="15" t="n">
        <f aca="false">M93*(1+IF(N$3&lt;=$O$2,$D93,$D93-($D93-$I$76)*MIN(N$3-$O$2,$Q$2)/$Q$2))</f>
        <v>7150.79454650472</v>
      </c>
      <c r="O93" s="15" t="n">
        <f aca="false">SUMPRODUCT(E93:N93,1/(1+$F$76)^$E$3:$N$3)*$E$2</f>
        <v>18807.7970986856</v>
      </c>
      <c r="P93" s="15" t="n">
        <f aca="false">N93*$E$2*(1+$I$76)/($F$76-$I$76)/(1+$F$76)^$N$3</f>
        <v>28155.3936050745</v>
      </c>
      <c r="Q93" s="15" t="n">
        <f aca="false">O93+P93</f>
        <v>46963.1907037601</v>
      </c>
      <c r="R93" s="15" t="n">
        <f aca="false">Q93-$G$2+$I$2</f>
        <v>40775.8907037601</v>
      </c>
      <c r="S93" s="42" t="n">
        <f aca="false">R93/$K$2</f>
        <v>560.878826736727</v>
      </c>
      <c r="T93" s="43" t="n">
        <f aca="false">S93-$M$2</f>
        <v>0.081027562036752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0.104019165039063</v>
      </c>
      <c r="C94" s="25" t="n">
        <f aca="false">IF(T93&gt;0,D93,C93)</f>
        <v>0.104042053222656</v>
      </c>
      <c r="D94" s="41" t="n">
        <f aca="false">(B94+C94)/2</f>
        <v>0.104030609130859</v>
      </c>
      <c r="E94" s="15" t="n">
        <f aca="false">$C$2*(1+IF(E$3&lt;=$O$2,$D94,$D94-($D94-$I$76)*MIN(E$3-$O$2,$Q$2)/$Q$2))</f>
        <v>3676.42192840576</v>
      </c>
      <c r="F94" s="15" t="n">
        <f aca="false">E94*(1+IF(F$3&lt;=$O$2,$D94,$D94-($D94-$I$76)*MIN(F$3-$O$2,$Q$2)/$Q$2))</f>
        <v>4058.88234103986</v>
      </c>
      <c r="G94" s="15" t="n">
        <f aca="false">F94*(1+IF(G$3&lt;=$O$2,$D94,$D94-($D94-$I$76)*MIN(G$3-$O$2,$Q$2)/$Q$2))</f>
        <v>4481.13034336873</v>
      </c>
      <c r="H94" s="15" t="n">
        <f aca="false">G94*(1+IF(H$3&lt;=$O$2,$D94,$D94-($D94-$I$76)*MIN(H$3-$O$2,$Q$2)/$Q$2))</f>
        <v>4947.30506258415</v>
      </c>
      <c r="I94" s="15" t="n">
        <f aca="false">H94*(1+IF(I$3&lt;=$O$2,$D94,$D94-($D94-$I$76)*MIN(I$3-$O$2,$Q$2)/$Q$2))</f>
        <v>5461.97622180097</v>
      </c>
      <c r="J94" s="15" t="n">
        <f aca="false">I94*(1+IF(J$3&lt;=$O$2,$D94,$D94-($D94-$I$76)*MIN(J$3-$O$2,$Q$2)/$Q$2))</f>
        <v>5941.99920172434</v>
      </c>
      <c r="K94" s="15" t="n">
        <f aca="false">J94*(1+IF(K$3&lt;=$O$2,$D94,$D94-($D94-$I$76)*MIN(K$3-$O$2,$Q$2)/$Q$2))</f>
        <v>6368.26851213069</v>
      </c>
      <c r="L94" s="15" t="n">
        <f aca="false">K94*(1+IF(L$3&lt;=$O$2,$D94,$D94-($D94-$I$76)*MIN(L$3-$O$2,$Q$2)/$Q$2))</f>
        <v>6722.2948469006</v>
      </c>
      <c r="M94" s="15" t="n">
        <f aca="false">L94*(1+IF(M$3&lt;=$O$2,$D94,$D94-($D94-$I$76)*MIN(M$3-$O$2,$Q$2)/$Q$2))</f>
        <v>6987.46330838289</v>
      </c>
      <c r="N94" s="15" t="n">
        <f aca="false">M94*(1+IF(N$3&lt;=$O$2,$D94,$D94-($D94-$I$76)*MIN(N$3-$O$2,$Q$2)/$Q$2))</f>
        <v>7150.27120346822</v>
      </c>
      <c r="O94" s="15" t="n">
        <f aca="false">SUMPRODUCT(E94:N94,1/(1+$F$76)^$E$3:$N$3)*$E$2</f>
        <v>18806.8590121745</v>
      </c>
      <c r="P94" s="15" t="n">
        <f aca="false">N94*$E$2*(1+$I$76)/($F$76-$I$76)/(1+$F$76)^$N$3</f>
        <v>28153.3330048031</v>
      </c>
      <c r="Q94" s="15" t="n">
        <f aca="false">O94+P94</f>
        <v>46960.1920169775</v>
      </c>
      <c r="R94" s="15" t="n">
        <f aca="false">Q94-$G$2+$I$2</f>
        <v>40772.8920169775</v>
      </c>
      <c r="S94" s="42" t="n">
        <f aca="false">R94/$K$2</f>
        <v>560.837579325688</v>
      </c>
      <c r="T94" s="43" t="n">
        <f aca="false">S94-$M$2</f>
        <v>0.0397801509975579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0.104019165039063</v>
      </c>
      <c r="C95" s="25" t="n">
        <f aca="false">IF(T94&gt;0,D94,C94)</f>
        <v>0.104030609130859</v>
      </c>
      <c r="D95" s="41" t="n">
        <f aca="false">(B95+C95)/2</f>
        <v>0.104024887084961</v>
      </c>
      <c r="E95" s="15" t="n">
        <f aca="false">$C$2*(1+IF(E$3&lt;=$O$2,$D95,$D95-($D95-$I$76)*MIN(E$3-$O$2,$Q$2)/$Q$2))</f>
        <v>3676.40287399292</v>
      </c>
      <c r="F95" s="15" t="n">
        <f aca="false">E95*(1+IF(F$3&lt;=$O$2,$D95,$D95-($D95-$I$76)*MIN(F$3-$O$2,$Q$2)/$Q$2))</f>
        <v>4058.84026783886</v>
      </c>
      <c r="G95" s="15" t="n">
        <f aca="false">F95*(1+IF(G$3&lt;=$O$2,$D95,$D95-($D95-$I$76)*MIN(G$3-$O$2,$Q$2)/$Q$2))</f>
        <v>4481.06066839669</v>
      </c>
      <c r="H95" s="15" t="n">
        <f aca="false">G95*(1+IF(H$3&lt;=$O$2,$D95,$D95-($D95-$I$76)*MIN(H$3-$O$2,$Q$2)/$Q$2))</f>
        <v>4947.20249844751</v>
      </c>
      <c r="I95" s="15" t="n">
        <f aca="false">H95*(1+IF(I$3&lt;=$O$2,$D95,$D95-($D95-$I$76)*MIN(I$3-$O$2,$Q$2)/$Q$2))</f>
        <v>5461.83467973495</v>
      </c>
      <c r="J95" s="15" t="n">
        <f aca="false">I95*(1+IF(J$3&lt;=$O$2,$D95,$D95-($D95-$I$76)*MIN(J$3-$O$2,$Q$2)/$Q$2))</f>
        <v>5941.82021801144</v>
      </c>
      <c r="K95" s="15" t="n">
        <f aca="false">J95*(1+IF(K$3&lt;=$O$2,$D95,$D95-($D95-$I$76)*MIN(K$3-$O$2,$Q$2)/$Q$2))</f>
        <v>6368.05628879797</v>
      </c>
      <c r="L95" s="15" t="n">
        <f aca="false">K95*(1+IF(L$3&lt;=$O$2,$D95,$D95-($D95-$I$76)*MIN(L$3-$O$2,$Q$2)/$Q$2))</f>
        <v>6722.05625027252</v>
      </c>
      <c r="M95" s="15" t="n">
        <f aca="false">L95*(1+IF(M$3&lt;=$O$2,$D95,$D95-($D95-$I$76)*MIN(M$3-$O$2,$Q$2)/$Q$2))</f>
        <v>6987.20760726028</v>
      </c>
      <c r="N95" s="15" t="n">
        <f aca="false">M95*(1+IF(N$3&lt;=$O$2,$D95,$D95-($D95-$I$76)*MIN(N$3-$O$2,$Q$2)/$Q$2))</f>
        <v>7150.00954450944</v>
      </c>
      <c r="O95" s="15" t="n">
        <f aca="false">SUMPRODUCT(E95:N95,1/(1+$F$76)^$E$3:$N$3)*$E$2</f>
        <v>18806.3899863121</v>
      </c>
      <c r="P95" s="15" t="n">
        <f aca="false">N95*$E$2*(1+$I$76)/($F$76-$I$76)/(1+$F$76)^$N$3</f>
        <v>28152.3027541188</v>
      </c>
      <c r="Q95" s="15" t="n">
        <f aca="false">O95+P95</f>
        <v>46958.6927404309</v>
      </c>
      <c r="R95" s="15" t="n">
        <f aca="false">Q95-$G$2+$I$2</f>
        <v>40771.3927404309</v>
      </c>
      <c r="S95" s="42" t="n">
        <f aca="false">R95/$K$2</f>
        <v>560.816956539627</v>
      </c>
      <c r="T95" s="43" t="n">
        <f aca="false">S95-$M$2</f>
        <v>0.0191573649366319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0.104019165039063</v>
      </c>
      <c r="C96" s="25" t="n">
        <f aca="false">IF(T95&gt;0,D95,C95)</f>
        <v>0.104024887084961</v>
      </c>
      <c r="D96" s="41" t="n">
        <f aca="false">(B96+C96)/2</f>
        <v>0.104022026062012</v>
      </c>
      <c r="E96" s="15" t="n">
        <f aca="false">$C$2*(1+IF(E$3&lt;=$O$2,$D96,$D96-($D96-$I$76)*MIN(E$3-$O$2,$Q$2)/$Q$2))</f>
        <v>3676.3933467865</v>
      </c>
      <c r="F96" s="15" t="n">
        <f aca="false">E96*(1+IF(F$3&lt;=$O$2,$D96,$D96-($D96-$I$76)*MIN(F$3-$O$2,$Q$2)/$Q$2))</f>
        <v>4058.81923132013</v>
      </c>
      <c r="G96" s="15" t="n">
        <f aca="false">F96*(1+IF(G$3&lt;=$O$2,$D96,$D96-($D96-$I$76)*MIN(G$3-$O$2,$Q$2)/$Q$2))</f>
        <v>4481.02583118151</v>
      </c>
      <c r="H96" s="15" t="n">
        <f aca="false">G96*(1+IF(H$3&lt;=$O$2,$D96,$D96-($D96-$I$76)*MIN(H$3-$O$2,$Q$2)/$Q$2))</f>
        <v>4947.15121697722</v>
      </c>
      <c r="I96" s="15" t="n">
        <f aca="false">H96*(1+IF(I$3&lt;=$O$2,$D96,$D96-($D96-$I$76)*MIN(I$3-$O$2,$Q$2)/$Q$2))</f>
        <v>5461.76390980234</v>
      </c>
      <c r="J96" s="15" t="n">
        <f aca="false">I96*(1+IF(J$3&lt;=$O$2,$D96,$D96-($D96-$I$76)*MIN(J$3-$O$2,$Q$2)/$Q$2))</f>
        <v>5941.73072783803</v>
      </c>
      <c r="K96" s="15" t="n">
        <f aca="false">J96*(1+IF(K$3&lt;=$O$2,$D96,$D96-($D96-$I$76)*MIN(K$3-$O$2,$Q$2)/$Q$2))</f>
        <v>6367.95017939625</v>
      </c>
      <c r="L96" s="15" t="n">
        <f aca="false">K96*(1+IF(L$3&lt;=$O$2,$D96,$D96-($D96-$I$76)*MIN(L$3-$O$2,$Q$2)/$Q$2))</f>
        <v>6721.93695471331</v>
      </c>
      <c r="M96" s="15" t="n">
        <f aca="false">L96*(1+IF(M$3&lt;=$O$2,$D96,$D96-($D96-$I$76)*MIN(M$3-$O$2,$Q$2)/$Q$2))</f>
        <v>6987.07975976724</v>
      </c>
      <c r="N96" s="15" t="n">
        <f aca="false">M96*(1+IF(N$3&lt;=$O$2,$D96,$D96-($D96-$I$76)*MIN(N$3-$O$2,$Q$2)/$Q$2))</f>
        <v>7149.87871816982</v>
      </c>
      <c r="O96" s="15" t="n">
        <f aca="false">SUMPRODUCT(E96:N96,1/(1+$F$76)^$E$3:$N$3)*$E$2</f>
        <v>18806.1554777291</v>
      </c>
      <c r="P96" s="15" t="n">
        <f aca="false">N96*$E$2*(1+$I$76)/($F$76-$I$76)/(1+$F$76)^$N$3</f>
        <v>28151.7876411391</v>
      </c>
      <c r="Q96" s="15" t="n">
        <f aca="false">O96+P96</f>
        <v>46957.9431188682</v>
      </c>
      <c r="R96" s="15" t="n">
        <f aca="false">Q96-$G$2+$I$2</f>
        <v>40770.6431188682</v>
      </c>
      <c r="S96" s="42" t="n">
        <f aca="false">R96/$K$2</f>
        <v>560.806645376454</v>
      </c>
      <c r="T96" s="43" t="n">
        <f aca="false">S96-$M$2</f>
        <v>0.00884620176350381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0.104019165039063</v>
      </c>
      <c r="C97" s="25" t="n">
        <f aca="false">IF(T96&gt;0,D96,C96)</f>
        <v>0.104022026062012</v>
      </c>
      <c r="D97" s="41" t="n">
        <f aca="false">(B97+C97)/2</f>
        <v>0.104020595550537</v>
      </c>
      <c r="E97" s="15" t="n">
        <f aca="false">$C$2*(1+IF(E$3&lt;=$O$2,$D97,$D97-($D97-$I$76)*MIN(E$3-$O$2,$Q$2)/$Q$2))</f>
        <v>3676.38858318329</v>
      </c>
      <c r="F97" s="15" t="n">
        <f aca="false">E97*(1+IF(F$3&lt;=$O$2,$D97,$D97-($D97-$I$76)*MIN(F$3-$O$2,$Q$2)/$Q$2))</f>
        <v>4058.80871308121</v>
      </c>
      <c r="G97" s="15" t="n">
        <f aca="false">F97*(1+IF(G$3&lt;=$O$2,$D97,$D97-($D97-$I$76)*MIN(G$3-$O$2,$Q$2)/$Q$2))</f>
        <v>4481.00841264163</v>
      </c>
      <c r="H97" s="15" t="n">
        <f aca="false">G97*(1+IF(H$3&lt;=$O$2,$D97,$D97-($D97-$I$76)*MIN(H$3-$O$2,$Q$2)/$Q$2))</f>
        <v>4947.12557639158</v>
      </c>
      <c r="I97" s="15" t="n">
        <f aca="false">H97*(1+IF(I$3&lt;=$O$2,$D97,$D97-($D97-$I$76)*MIN(I$3-$O$2,$Q$2)/$Q$2))</f>
        <v>5461.72852511112</v>
      </c>
      <c r="J97" s="15" t="n">
        <f aca="false">I97*(1+IF(J$3&lt;=$O$2,$D97,$D97-($D97-$I$76)*MIN(J$3-$O$2,$Q$2)/$Q$2))</f>
        <v>5941.68598317207</v>
      </c>
      <c r="K97" s="15" t="n">
        <f aca="false">J97*(1+IF(K$3&lt;=$O$2,$D97,$D97-($D97-$I$76)*MIN(K$3-$O$2,$Q$2)/$Q$2))</f>
        <v>6367.89712526154</v>
      </c>
      <c r="L97" s="15" t="n">
        <f aca="false">K97*(1+IF(L$3&lt;=$O$2,$D97,$D97-($D97-$I$76)*MIN(L$3-$O$2,$Q$2)/$Q$2))</f>
        <v>6721.8773076224</v>
      </c>
      <c r="M97" s="15" t="n">
        <f aca="false">L97*(1+IF(M$3&lt;=$O$2,$D97,$D97-($D97-$I$76)*MIN(M$3-$O$2,$Q$2)/$Q$2))</f>
        <v>6987.01583678778</v>
      </c>
      <c r="N97" s="15" t="n">
        <f aca="false">M97*(1+IF(N$3&lt;=$O$2,$D97,$D97-($D97-$I$76)*MIN(N$3-$O$2,$Q$2)/$Q$2))</f>
        <v>7149.81330578494</v>
      </c>
      <c r="O97" s="15" t="n">
        <f aca="false">SUMPRODUCT(E97:N97,1/(1+$F$76)^$E$3:$N$3)*$E$2</f>
        <v>18806.0382245246</v>
      </c>
      <c r="P97" s="15" t="n">
        <f aca="false">N97*$E$2*(1+$I$76)/($F$76-$I$76)/(1+$F$76)^$N$3</f>
        <v>28151.5300877398</v>
      </c>
      <c r="Q97" s="15" t="n">
        <f aca="false">O97+P97</f>
        <v>46957.5683122645</v>
      </c>
      <c r="R97" s="15" t="n">
        <f aca="false">Q97-$G$2+$I$2</f>
        <v>40770.2683122645</v>
      </c>
      <c r="S97" s="42" t="n">
        <f aca="false">R97/$K$2</f>
        <v>560.801489852331</v>
      </c>
      <c r="T97" s="43" t="n">
        <f aca="false">S97-$M$2</f>
        <v>0.00369067764052033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0.104019165039063</v>
      </c>
      <c r="C98" s="25" t="n">
        <f aca="false">IF(T97&gt;0,D97,C97)</f>
        <v>0.104020595550537</v>
      </c>
      <c r="D98" s="41" t="n">
        <f aca="false">(B98+C98)/2</f>
        <v>0.1040198802948</v>
      </c>
      <c r="E98" s="15" t="n">
        <f aca="false">$C$2*(1+IF(E$3&lt;=$O$2,$D98,$D98-($D98-$I$76)*MIN(E$3-$O$2,$Q$2)/$Q$2))</f>
        <v>3676.38620138168</v>
      </c>
      <c r="F98" s="15" t="n">
        <f aca="false">E98*(1+IF(F$3&lt;=$O$2,$D98,$D98-($D98-$I$76)*MIN(F$3-$O$2,$Q$2)/$Q$2))</f>
        <v>4058.80345396686</v>
      </c>
      <c r="G98" s="15" t="n">
        <f aca="false">F98*(1+IF(G$3&lt;=$O$2,$D98,$D98-($D98-$I$76)*MIN(G$3-$O$2,$Q$2)/$Q$2))</f>
        <v>4480.99970338861</v>
      </c>
      <c r="H98" s="15" t="n">
        <f aca="false">G98*(1+IF(H$3&lt;=$O$2,$D98,$D98-($D98-$I$76)*MIN(H$3-$O$2,$Q$2)/$Q$2))</f>
        <v>4947.11275613613</v>
      </c>
      <c r="I98" s="15" t="n">
        <f aca="false">H98*(1+IF(I$3&lt;=$O$2,$D98,$D98-($D98-$I$76)*MIN(I$3-$O$2,$Q$2)/$Q$2))</f>
        <v>5461.71083283429</v>
      </c>
      <c r="J98" s="15" t="n">
        <f aca="false">I98*(1+IF(J$3&lt;=$O$2,$D98,$D98-($D98-$I$76)*MIN(J$3-$O$2,$Q$2)/$Q$2))</f>
        <v>5941.66361094428</v>
      </c>
      <c r="K98" s="15" t="n">
        <f aca="false">J98*(1+IF(K$3&lt;=$O$2,$D98,$D98-($D98-$I$76)*MIN(K$3-$O$2,$Q$2)/$Q$2))</f>
        <v>6367.87059833572</v>
      </c>
      <c r="L98" s="15" t="n">
        <f aca="false">K98*(1+IF(L$3&lt;=$O$2,$D98,$D98-($D98-$I$76)*MIN(L$3-$O$2,$Q$2)/$Q$2))</f>
        <v>6721.84748424911</v>
      </c>
      <c r="M98" s="15" t="n">
        <f aca="false">L98*(1+IF(M$3&lt;=$O$2,$D98,$D98-($D98-$I$76)*MIN(M$3-$O$2,$Q$2)/$Q$2))</f>
        <v>6986.98387548982</v>
      </c>
      <c r="N98" s="15" t="n">
        <f aca="false">M98*(1+IF(N$3&lt;=$O$2,$D98,$D98-($D98-$I$76)*MIN(N$3-$O$2,$Q$2)/$Q$2))</f>
        <v>7149.78059978873</v>
      </c>
      <c r="O98" s="15" t="n">
        <f aca="false">SUMPRODUCT(E98:N98,1/(1+$F$76)^$E$3:$N$3)*$E$2</f>
        <v>18805.9795981942</v>
      </c>
      <c r="P98" s="15" t="n">
        <f aca="false">N98*$E$2*(1+$I$76)/($F$76-$I$76)/(1+$F$76)^$N$3</f>
        <v>28151.4013118128</v>
      </c>
      <c r="Q98" s="15" t="n">
        <f aca="false">O98+P98</f>
        <v>46957.380910007</v>
      </c>
      <c r="R98" s="15" t="n">
        <f aca="false">Q98-$G$2+$I$2</f>
        <v>40770.080910007</v>
      </c>
      <c r="S98" s="42" t="n">
        <f aca="false">R98/$K$2</f>
        <v>560.798912104635</v>
      </c>
      <c r="T98" s="43" t="n">
        <f aca="false">S98-$M$2</f>
        <v>0.00111292994472478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0.104019165039063</v>
      </c>
      <c r="C99" s="25" t="n">
        <f aca="false">IF(T98&gt;0,D98,C98)</f>
        <v>0.1040198802948</v>
      </c>
      <c r="D99" s="41" t="n">
        <f aca="false">(B99+C99)/2</f>
        <v>0.104019522666931</v>
      </c>
      <c r="E99" s="15" t="n">
        <f aca="false">$C$2*(1+IF(E$3&lt;=$O$2,$D99,$D99-($D99-$I$76)*MIN(E$3-$O$2,$Q$2)/$Q$2))</f>
        <v>3676.38501048088</v>
      </c>
      <c r="F99" s="15" t="n">
        <f aca="false">E99*(1+IF(F$3&lt;=$O$2,$D99,$D99-($D99-$I$76)*MIN(F$3-$O$2,$Q$2)/$Q$2))</f>
        <v>4058.80082441096</v>
      </c>
      <c r="G99" s="15" t="n">
        <f aca="false">F99*(1+IF(G$3&lt;=$O$2,$D99,$D99-($D99-$I$76)*MIN(G$3-$O$2,$Q$2)/$Q$2))</f>
        <v>4480.99534876634</v>
      </c>
      <c r="H99" s="15" t="n">
        <f aca="false">G99*(1+IF(H$3&lt;=$O$2,$D99,$D99-($D99-$I$76)*MIN(H$3-$O$2,$Q$2)/$Q$2))</f>
        <v>4947.10634601775</v>
      </c>
      <c r="I99" s="15" t="n">
        <f aca="false">H99*(1+IF(I$3&lt;=$O$2,$D99,$D99-($D99-$I$76)*MIN(I$3-$O$2,$Q$2)/$Q$2))</f>
        <v>5461.70198671306</v>
      </c>
      <c r="J99" s="15" t="n">
        <f aca="false">I99*(1+IF(J$3&lt;=$O$2,$D99,$D99-($D99-$I$76)*MIN(J$3-$O$2,$Q$2)/$Q$2))</f>
        <v>5941.65242485669</v>
      </c>
      <c r="K99" s="15" t="n">
        <f aca="false">J99*(1+IF(K$3&lt;=$O$2,$D99,$D99-($D99-$I$76)*MIN(K$3-$O$2,$Q$2)/$Q$2))</f>
        <v>6367.85733490819</v>
      </c>
      <c r="L99" s="15" t="n">
        <f aca="false">K99*(1+IF(L$3&lt;=$O$2,$D99,$D99-($D99-$I$76)*MIN(L$3-$O$2,$Q$2)/$Q$2))</f>
        <v>6721.83257260552</v>
      </c>
      <c r="M99" s="15" t="n">
        <f aca="false">L99*(1+IF(M$3&lt;=$O$2,$D99,$D99-($D99-$I$76)*MIN(M$3-$O$2,$Q$2)/$Q$2))</f>
        <v>6986.96789488878</v>
      </c>
      <c r="N99" s="15" t="n">
        <f aca="false">M99*(1+IF(N$3&lt;=$O$2,$D99,$D99-($D99-$I$76)*MIN(N$3-$O$2,$Q$2)/$Q$2))</f>
        <v>7149.76424683969</v>
      </c>
      <c r="O99" s="15" t="n">
        <f aca="false">SUMPRODUCT(E99:N99,1/(1+$F$76)^$E$3:$N$3)*$E$2</f>
        <v>18805.9502850969</v>
      </c>
      <c r="P99" s="15" t="n">
        <f aca="false">N99*$E$2*(1+$I$76)/($F$76-$I$76)/(1+$F$76)^$N$3</f>
        <v>28151.3369240425</v>
      </c>
      <c r="Q99" s="15" t="n">
        <f aca="false">O99+P99</f>
        <v>46957.2872091394</v>
      </c>
      <c r="R99" s="15" t="n">
        <f aca="false">Q99-$G$2+$I$2</f>
        <v>40769.9872091394</v>
      </c>
      <c r="S99" s="42" t="n">
        <f aca="false">R99/$K$2</f>
        <v>560.797623234379</v>
      </c>
      <c r="T99" s="43" t="n">
        <f aca="false">S99-$M$2</f>
        <v>-0.000175940311464728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0.104019522666931</v>
      </c>
      <c r="C100" s="25" t="n">
        <f aca="false">IF(T99&gt;0,D99,C99)</f>
        <v>0.1040198802948</v>
      </c>
      <c r="D100" s="41" t="n">
        <f aca="false">(B100+C100)/2</f>
        <v>0.104019701480865</v>
      </c>
      <c r="E100" s="15" t="n">
        <f aca="false">$C$2*(1+IF(E$3&lt;=$O$2,$D100,$D100-($D100-$I$76)*MIN(E$3-$O$2,$Q$2)/$Q$2))</f>
        <v>3676.38560593128</v>
      </c>
      <c r="F100" s="15" t="n">
        <f aca="false">E100*(1+IF(F$3&lt;=$O$2,$D100,$D100-($D100-$I$76)*MIN(F$3-$O$2,$Q$2)/$Q$2))</f>
        <v>4058.8021391888</v>
      </c>
      <c r="G100" s="15" t="n">
        <f aca="false">F100*(1+IF(G$3&lt;=$O$2,$D100,$D100-($D100-$I$76)*MIN(G$3-$O$2,$Q$2)/$Q$2))</f>
        <v>4480.99752607712</v>
      </c>
      <c r="H100" s="15" t="n">
        <f aca="false">G100*(1+IF(H$3&lt;=$O$2,$D100,$D100-($D100-$I$76)*MIN(H$3-$O$2,$Q$2)/$Q$2))</f>
        <v>4947.10955107616</v>
      </c>
      <c r="I100" s="15" t="n">
        <f aca="false">H100*(1+IF(I$3&lt;=$O$2,$D100,$D100-($D100-$I$76)*MIN(I$3-$O$2,$Q$2)/$Q$2))</f>
        <v>5461.70640977224</v>
      </c>
      <c r="J100" s="15" t="n">
        <f aca="false">I100*(1+IF(J$3&lt;=$O$2,$D100,$D100-($D100-$I$76)*MIN(J$3-$O$2,$Q$2)/$Q$2))</f>
        <v>5941.65801789829</v>
      </c>
      <c r="K100" s="15" t="n">
        <f aca="false">J100*(1+IF(K$3&lt;=$O$2,$D100,$D100-($D100-$I$76)*MIN(K$3-$O$2,$Q$2)/$Q$2))</f>
        <v>6367.86396661901</v>
      </c>
      <c r="L100" s="15" t="n">
        <f aca="false">K100*(1+IF(L$3&lt;=$O$2,$D100,$D100-($D100-$I$76)*MIN(L$3-$O$2,$Q$2)/$Q$2))</f>
        <v>6721.84002842373</v>
      </c>
      <c r="M100" s="15" t="n">
        <f aca="false">L100*(1+IF(M$3&lt;=$O$2,$D100,$D100-($D100-$I$76)*MIN(M$3-$O$2,$Q$2)/$Q$2))</f>
        <v>6986.9758851853</v>
      </c>
      <c r="N100" s="15" t="n">
        <f aca="false">M100*(1+IF(N$3&lt;=$O$2,$D100,$D100-($D100-$I$76)*MIN(N$3-$O$2,$Q$2)/$Q$2))</f>
        <v>7149.77242331012</v>
      </c>
      <c r="O100" s="15" t="n">
        <f aca="false">SUMPRODUCT(E100:N100,1/(1+$F$76)^$E$3:$N$3)*$E$2</f>
        <v>18805.9649416398</v>
      </c>
      <c r="P100" s="15" t="n">
        <f aca="false">N100*$E$2*(1+$I$76)/($F$76-$I$76)/(1+$F$76)^$N$3</f>
        <v>28151.3691179116</v>
      </c>
      <c r="Q100" s="15" t="n">
        <f aca="false">O100+P100</f>
        <v>46957.3340595514</v>
      </c>
      <c r="R100" s="15" t="n">
        <f aca="false">Q100-$G$2+$I$2</f>
        <v>40770.0340595514</v>
      </c>
      <c r="S100" s="42" t="n">
        <f aca="false">R100/$K$2</f>
        <v>560.798267669208</v>
      </c>
      <c r="T100" s="43" t="n">
        <f aca="false">S100-$M$2</f>
        <v>0.00046849451723574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0.104019522666931</v>
      </c>
      <c r="C101" s="25" t="n">
        <f aca="false">IF(T100&gt;0,D100,C100)</f>
        <v>0.104019701480865</v>
      </c>
      <c r="D101" s="41" t="n">
        <f aca="false">(B101+C101)/2</f>
        <v>0.104019612073898</v>
      </c>
      <c r="E101" s="15" t="n">
        <f aca="false">$C$2*(1+IF(E$3&lt;=$O$2,$D101,$D101-($D101-$I$76)*MIN(E$3-$O$2,$Q$2)/$Q$2))</f>
        <v>3676.38530820608</v>
      </c>
      <c r="F101" s="15" t="n">
        <f aca="false">E101*(1+IF(F$3&lt;=$O$2,$D101,$D101-($D101-$I$76)*MIN(F$3-$O$2,$Q$2)/$Q$2))</f>
        <v>4058.80148179986</v>
      </c>
      <c r="G101" s="15" t="n">
        <f aca="false">F101*(1+IF(G$3&lt;=$O$2,$D101,$D101-($D101-$I$76)*MIN(G$3-$O$2,$Q$2)/$Q$2))</f>
        <v>4480.99643742164</v>
      </c>
      <c r="H101" s="15" t="n">
        <f aca="false">G101*(1+IF(H$3&lt;=$O$2,$D101,$D101-($D101-$I$76)*MIN(H$3-$O$2,$Q$2)/$Q$2))</f>
        <v>4947.10794854676</v>
      </c>
      <c r="I101" s="15" t="n">
        <f aca="false">H101*(1+IF(I$3&lt;=$O$2,$D101,$D101-($D101-$I$76)*MIN(I$3-$O$2,$Q$2)/$Q$2))</f>
        <v>5461.70419824229</v>
      </c>
      <c r="J101" s="15" t="n">
        <f aca="false">I101*(1+IF(J$3&lt;=$O$2,$D101,$D101-($D101-$I$76)*MIN(J$3-$O$2,$Q$2)/$Q$2))</f>
        <v>5941.65522137694</v>
      </c>
      <c r="K101" s="15" t="n">
        <f aca="false">J101*(1+IF(K$3&lt;=$O$2,$D101,$D101-($D101-$I$76)*MIN(K$3-$O$2,$Q$2)/$Q$2))</f>
        <v>6367.86065076286</v>
      </c>
      <c r="L101" s="15" t="n">
        <f aca="false">K101*(1+IF(L$3&lt;=$O$2,$D101,$D101-($D101-$I$76)*MIN(L$3-$O$2,$Q$2)/$Q$2))</f>
        <v>6721.83630051372</v>
      </c>
      <c r="M101" s="15" t="n">
        <f aca="false">L101*(1+IF(M$3&lt;=$O$2,$D101,$D101-($D101-$I$76)*MIN(M$3-$O$2,$Q$2)/$Q$2))</f>
        <v>6986.97189003604</v>
      </c>
      <c r="N101" s="15" t="n">
        <f aca="false">M101*(1+IF(N$3&lt;=$O$2,$D101,$D101-($D101-$I$76)*MIN(N$3-$O$2,$Q$2)/$Q$2))</f>
        <v>7149.76833507388</v>
      </c>
      <c r="O101" s="15" t="n">
        <f aca="false">SUMPRODUCT(E101:N101,1/(1+$F$76)^$E$3:$N$3)*$E$2</f>
        <v>18805.9576133669</v>
      </c>
      <c r="P101" s="15" t="n">
        <f aca="false">N101*$E$2*(1+$I$76)/($F$76-$I$76)/(1+$F$76)^$N$3</f>
        <v>28151.353020973</v>
      </c>
      <c r="Q101" s="15" t="n">
        <f aca="false">O101+P101</f>
        <v>46957.3106343399</v>
      </c>
      <c r="R101" s="15" t="n">
        <f aca="false">Q101-$G$2+$I$2</f>
        <v>40770.0106343399</v>
      </c>
      <c r="S101" s="42" t="n">
        <f aca="false">R101/$K$2</f>
        <v>560.797945451718</v>
      </c>
      <c r="T101" s="43" t="n">
        <f aca="false">S101-$M$2</f>
        <v>0.000146277027738506</v>
      </c>
    </row>
    <row r="103" customFormat="false" ht="15" hidden="false" customHeight="false" outlineLevel="0" collapsed="false">
      <c r="A103" s="38" t="s">
        <v>184</v>
      </c>
      <c r="E103" s="5" t="s">
        <v>11</v>
      </c>
      <c r="F103" s="12" t="n">
        <f aca="false">Sensitivity!$B$10</f>
        <v>0.0853306228759286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162</v>
      </c>
      <c r="B104" s="28" t="s">
        <v>163</v>
      </c>
      <c r="C104" s="28" t="s">
        <v>164</v>
      </c>
      <c r="D104" s="28" t="s">
        <v>165</v>
      </c>
      <c r="E104" s="28" t="s">
        <v>166</v>
      </c>
      <c r="F104" s="28" t="s">
        <v>167</v>
      </c>
      <c r="G104" s="28" t="s">
        <v>168</v>
      </c>
      <c r="H104" s="28" t="s">
        <v>169</v>
      </c>
      <c r="I104" s="28" t="s">
        <v>170</v>
      </c>
      <c r="J104" s="28" t="s">
        <v>171</v>
      </c>
      <c r="K104" s="28" t="s">
        <v>172</v>
      </c>
      <c r="L104" s="28" t="s">
        <v>173</v>
      </c>
      <c r="M104" s="28" t="s">
        <v>174</v>
      </c>
      <c r="N104" s="28" t="s">
        <v>175</v>
      </c>
      <c r="O104" s="28" t="s">
        <v>176</v>
      </c>
      <c r="P104" s="28" t="s">
        <v>177</v>
      </c>
      <c r="Q104" s="28" t="s">
        <v>178</v>
      </c>
      <c r="R104" s="28" t="s">
        <v>179</v>
      </c>
      <c r="S104" s="28" t="s">
        <v>180</v>
      </c>
      <c r="T104" s="28" t="s">
        <v>181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4162.5</v>
      </c>
      <c r="F105" s="15" t="n">
        <f aca="false">E105*(1+IF(F$3&lt;=$O$2,$D105,$D105-($D105-$I$103)*MIN(F$3-$O$2,$Q$2)/$Q$2))</f>
        <v>5203.125</v>
      </c>
      <c r="G105" s="15" t="n">
        <f aca="false">F105*(1+IF(G$3&lt;=$O$2,$D105,$D105-($D105-$I$103)*MIN(G$3-$O$2,$Q$2)/$Q$2))</f>
        <v>6503.90625</v>
      </c>
      <c r="H105" s="15" t="n">
        <f aca="false">G105*(1+IF(H$3&lt;=$O$2,$D105,$D105-($D105-$I$103)*MIN(H$3-$O$2,$Q$2)/$Q$2))</f>
        <v>8129.8828125</v>
      </c>
      <c r="I105" s="15" t="n">
        <f aca="false">H105*(1+IF(I$3&lt;=$O$2,$D105,$D105-($D105-$I$103)*MIN(I$3-$O$2,$Q$2)/$Q$2))</f>
        <v>10162.353515625</v>
      </c>
      <c r="J105" s="15" t="n">
        <f aca="false">I105*(1+IF(J$3&lt;=$O$2,$D105,$D105-($D105-$I$103)*MIN(J$3-$O$2,$Q$2)/$Q$2))</f>
        <v>12252.3431396484</v>
      </c>
      <c r="K105" s="15" t="n">
        <f aca="false">J105*(1+IF(K$3&lt;=$O$2,$D105,$D105-($D105-$I$103)*MIN(K$3-$O$2,$Q$2)/$Q$2))</f>
        <v>14228.8911349365</v>
      </c>
      <c r="L105" s="15" t="n">
        <f aca="false">K105*(1+IF(L$3&lt;=$O$2,$D105,$D105-($D105-$I$103)*MIN(L$3-$O$2,$Q$2)/$Q$2))</f>
        <v>15893.3868199014</v>
      </c>
      <c r="M105" s="15" t="n">
        <f aca="false">L105*(1+IF(M$3&lt;=$O$2,$D105,$D105-($D105-$I$103)*MIN(M$3-$O$2,$Q$2)/$Q$2))</f>
        <v>17047.882438499</v>
      </c>
      <c r="N105" s="15" t="n">
        <f aca="false">M105*(1+IF(N$3&lt;=$O$2,$D105,$D105-($D105-$I$103)*MIN(N$3-$O$2,$Q$2)/$Q$2))</f>
        <v>17530.3375115086</v>
      </c>
      <c r="O105" s="15" t="n">
        <f aca="false">SUMPRODUCT(E105:N105,1/(1+$F$103)^$E$3:$N$3)*$E$2</f>
        <v>35512.9541091967</v>
      </c>
      <c r="P105" s="15" t="n">
        <f aca="false">N105*$E$2*(1+$I$103)/($F$103-$I$103)/(1+$F$103)^$N$3</f>
        <v>75441.874255504</v>
      </c>
      <c r="Q105" s="15" t="n">
        <f aca="false">O105+P105</f>
        <v>110954.828364701</v>
      </c>
      <c r="R105" s="15" t="n">
        <f aca="false">Q105-$G$2+$I$2</f>
        <v>104767.528364701</v>
      </c>
      <c r="S105" s="42" t="n">
        <f aca="false">R105/$K$2</f>
        <v>1441.0939252366</v>
      </c>
      <c r="T105" s="43" t="n">
        <f aca="false">S105-$M$2</f>
        <v>880.296126061907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2913.75</v>
      </c>
      <c r="F106" s="15" t="n">
        <f aca="false">E106*(1+IF(F$3&lt;=$O$2,$D106,$D106-($D106-$I$103)*MIN(F$3-$O$2,$Q$2)/$Q$2))</f>
        <v>2549.53125</v>
      </c>
      <c r="G106" s="15" t="n">
        <f aca="false">F106*(1+IF(G$3&lt;=$O$2,$D106,$D106-($D106-$I$103)*MIN(G$3-$O$2,$Q$2)/$Q$2))</f>
        <v>2230.83984375</v>
      </c>
      <c r="H106" s="15" t="n">
        <f aca="false">G106*(1+IF(H$3&lt;=$O$2,$D106,$D106-($D106-$I$103)*MIN(H$3-$O$2,$Q$2)/$Q$2))</f>
        <v>1951.98486328125</v>
      </c>
      <c r="I106" s="15" t="n">
        <f aca="false">H106*(1+IF(I$3&lt;=$O$2,$D106,$D106-($D106-$I$103)*MIN(I$3-$O$2,$Q$2)/$Q$2))</f>
        <v>1707.98675537109</v>
      </c>
      <c r="J106" s="15" t="n">
        <f aca="false">I106*(1+IF(J$3&lt;=$O$2,$D106,$D106-($D106-$I$103)*MIN(J$3-$O$2,$Q$2)/$Q$2))</f>
        <v>1546.85528486938</v>
      </c>
      <c r="K106" s="15" t="n">
        <f aca="false">J106*(1+IF(K$3&lt;=$O$2,$D106,$D106-($D106-$I$103)*MIN(K$3-$O$2,$Q$2)/$Q$2))</f>
        <v>1448.3515403289</v>
      </c>
      <c r="L106" s="15" t="n">
        <f aca="false">K106*(1+IF(L$3&lt;=$O$2,$D106,$D106-($D106-$I$103)*MIN(L$3-$O$2,$Q$2)/$Q$2))</f>
        <v>1400.52697246724</v>
      </c>
      <c r="M106" s="15" t="n">
        <f aca="false">L106*(1+IF(M$3&lt;=$O$2,$D106,$D106-($D106-$I$103)*MIN(M$3-$O$2,$Q$2)/$Q$2))</f>
        <v>1397.22172881222</v>
      </c>
      <c r="N106" s="15" t="n">
        <f aca="false">M106*(1+IF(N$3&lt;=$O$2,$D106,$D106-($D106-$I$103)*MIN(N$3-$O$2,$Q$2)/$Q$2))</f>
        <v>1436.76310373761</v>
      </c>
      <c r="O106" s="15" t="n">
        <f aca="false">SUMPRODUCT(E106:N106,1/(1+$F$103)^$E$3:$N$3)*$E$2</f>
        <v>6997.51713209128</v>
      </c>
      <c r="P106" s="15" t="n">
        <f aca="false">N106*$E$2*(1+$I$103)/($F$103-$I$103)/(1+$F$103)^$N$3</f>
        <v>6183.11548970242</v>
      </c>
      <c r="Q106" s="15" t="n">
        <f aca="false">O106+P106</f>
        <v>13180.6326217937</v>
      </c>
      <c r="R106" s="15" t="n">
        <f aca="false">Q106-$G$2+$I$2</f>
        <v>6993.33262179371</v>
      </c>
      <c r="S106" s="42" t="n">
        <f aca="false">R106/$K$2</f>
        <v>96.1943964483316</v>
      </c>
      <c r="T106" s="43" t="n">
        <f aca="false">S106-$M$2</f>
        <v>-464.603402726359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3538.125</v>
      </c>
      <c r="F107" s="15" t="n">
        <f aca="false">E107*(1+IF(F$3&lt;=$O$2,$D107,$D107-($D107-$I$103)*MIN(F$3-$O$2,$Q$2)/$Q$2))</f>
        <v>3759.2578125</v>
      </c>
      <c r="G107" s="15" t="n">
        <f aca="false">F107*(1+IF(G$3&lt;=$O$2,$D107,$D107-($D107-$I$103)*MIN(G$3-$O$2,$Q$2)/$Q$2))</f>
        <v>3994.21142578125</v>
      </c>
      <c r="H107" s="15" t="n">
        <f aca="false">G107*(1+IF(H$3&lt;=$O$2,$D107,$D107-($D107-$I$103)*MIN(H$3-$O$2,$Q$2)/$Q$2))</f>
        <v>4243.84963989258</v>
      </c>
      <c r="I107" s="15" t="n">
        <f aca="false">H107*(1+IF(I$3&lt;=$O$2,$D107,$D107-($D107-$I$103)*MIN(I$3-$O$2,$Q$2)/$Q$2))</f>
        <v>4509.09024238586</v>
      </c>
      <c r="J107" s="15" t="n">
        <f aca="false">I107*(1+IF(J$3&lt;=$O$2,$D107,$D107-($D107-$I$103)*MIN(J$3-$O$2,$Q$2)/$Q$2))</f>
        <v>4760.06620527706</v>
      </c>
      <c r="K107" s="15" t="n">
        <f aca="false">J107*(1+IF(K$3&lt;=$O$2,$D107,$D107-($D107-$I$103)*MIN(K$3-$O$2,$Q$2)/$Q$2))</f>
        <v>4992.45263741869</v>
      </c>
      <c r="L107" s="15" t="n">
        <f aca="false">K107*(1+IF(L$3&lt;=$O$2,$D107,$D107-($D107-$I$103)*MIN(L$3-$O$2,$Q$2)/$Q$2))</f>
        <v>5202.03579913752</v>
      </c>
      <c r="M107" s="15" t="n">
        <f aca="false">L107*(1+IF(M$3&lt;=$O$2,$D107,$D107-($D107-$I$103)*MIN(M$3-$O$2,$Q$2)/$Q$2))</f>
        <v>5384.83533711922</v>
      </c>
      <c r="N107" s="15" t="n">
        <f aca="false">M107*(1+IF(N$3&lt;=$O$2,$D107,$D107-($D107-$I$103)*MIN(N$3-$O$2,$Q$2)/$Q$2))</f>
        <v>5537.22617715969</v>
      </c>
      <c r="O107" s="15" t="n">
        <f aca="false">SUMPRODUCT(E107:N107,1/(1+$F$103)^$E$3:$N$3)*$E$2</f>
        <v>15738.3135904828</v>
      </c>
      <c r="P107" s="15" t="n">
        <f aca="false">N107*$E$2*(1+$I$103)/($F$103-$I$103)/(1+$F$103)^$N$3</f>
        <v>23829.4739452291</v>
      </c>
      <c r="Q107" s="15" t="n">
        <f aca="false">O107+P107</f>
        <v>39567.7875357119</v>
      </c>
      <c r="R107" s="15" t="n">
        <f aca="false">Q107-$G$2+$I$2</f>
        <v>33380.4875357119</v>
      </c>
      <c r="S107" s="42" t="n">
        <f aca="false">R107/$K$2</f>
        <v>459.15388632341</v>
      </c>
      <c r="T107" s="43" t="n">
        <f aca="false">S107-$M$2</f>
        <v>-101.64391285128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0.0625</v>
      </c>
      <c r="C108" s="25" t="n">
        <f aca="false">IF(T107&gt;0,D107,C107)</f>
        <v>0.25</v>
      </c>
      <c r="D108" s="41" t="n">
        <f aca="false">(B108+C108)/2</f>
        <v>0.15625</v>
      </c>
      <c r="E108" s="15" t="n">
        <f aca="false">$C$2*(1+IF(E$3&lt;=$O$2,$D108,$D108-($D108-$I$103)*MIN(E$3-$O$2,$Q$2)/$Q$2))</f>
        <v>3850.3125</v>
      </c>
      <c r="F108" s="15" t="n">
        <f aca="false">E108*(1+IF(F$3&lt;=$O$2,$D108,$D108-($D108-$I$103)*MIN(F$3-$O$2,$Q$2)/$Q$2))</f>
        <v>4451.923828125</v>
      </c>
      <c r="G108" s="15" t="n">
        <f aca="false">F108*(1+IF(G$3&lt;=$O$2,$D108,$D108-($D108-$I$103)*MIN(G$3-$O$2,$Q$2)/$Q$2))</f>
        <v>5147.53692626953</v>
      </c>
      <c r="H108" s="15" t="n">
        <f aca="false">G108*(1+IF(H$3&lt;=$O$2,$D108,$D108-($D108-$I$103)*MIN(H$3-$O$2,$Q$2)/$Q$2))</f>
        <v>5951.83957099915</v>
      </c>
      <c r="I108" s="15" t="n">
        <f aca="false">H108*(1+IF(I$3&lt;=$O$2,$D108,$D108-($D108-$I$103)*MIN(I$3-$O$2,$Q$2)/$Q$2))</f>
        <v>6881.81450396776</v>
      </c>
      <c r="J108" s="15" t="n">
        <f aca="false">I108*(1+IF(J$3&lt;=$O$2,$D108,$D108-($D108-$I$103)*MIN(J$3-$O$2,$Q$2)/$Q$2))</f>
        <v>7780.99238705619</v>
      </c>
      <c r="K108" s="15" t="n">
        <f aca="false">J108*(1+IF(K$3&lt;=$O$2,$D108,$D108-($D108-$I$103)*MIN(K$3-$O$2,$Q$2)/$Q$2))</f>
        <v>8598.54125716418</v>
      </c>
      <c r="L108" s="15" t="n">
        <f aca="false">K108*(1+IF(L$3&lt;=$O$2,$D108,$D108-($D108-$I$103)*MIN(L$3-$O$2,$Q$2)/$Q$2))</f>
        <v>9281.95331628359</v>
      </c>
      <c r="M108" s="15" t="n">
        <f aca="false">L108*(1+IF(M$3&lt;=$O$2,$D108,$D108-($D108-$I$103)*MIN(M$3-$O$2,$Q$2)/$Q$2))</f>
        <v>9782.15778049812</v>
      </c>
      <c r="N108" s="15" t="n">
        <f aca="false">M108*(1+IF(N$3&lt;=$O$2,$D108,$D108-($D108-$I$103)*MIN(N$3-$O$2,$Q$2)/$Q$2))</f>
        <v>10058.9928456862</v>
      </c>
      <c r="O108" s="15" t="n">
        <f aca="false">SUMPRODUCT(E108:N108,1/(1+$F$103)^$E$3:$N$3)*$E$2</f>
        <v>23685.969230031</v>
      </c>
      <c r="P108" s="15" t="n">
        <f aca="false">N108*$E$2*(1+$I$103)/($F$103-$I$103)/(1+$F$103)^$N$3</f>
        <v>43288.9140270734</v>
      </c>
      <c r="Q108" s="15" t="n">
        <f aca="false">O108+P108</f>
        <v>66974.8832571044</v>
      </c>
      <c r="R108" s="15" t="n">
        <f aca="false">Q108-$G$2+$I$2</f>
        <v>60787.5832571044</v>
      </c>
      <c r="S108" s="42" t="n">
        <f aca="false">R108/$K$2</f>
        <v>836.142823343939</v>
      </c>
      <c r="T108" s="43" t="n">
        <f aca="false">S108-$M$2</f>
        <v>275.345024169248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0.0625</v>
      </c>
      <c r="C109" s="25" t="n">
        <f aca="false">IF(T108&gt;0,D108,C108)</f>
        <v>0.15625</v>
      </c>
      <c r="D109" s="41" t="n">
        <f aca="false">(B109+C109)/2</f>
        <v>0.109375</v>
      </c>
      <c r="E109" s="15" t="n">
        <f aca="false">$C$2*(1+IF(E$3&lt;=$O$2,$D109,$D109-($D109-$I$103)*MIN(E$3-$O$2,$Q$2)/$Q$2))</f>
        <v>3694.21875</v>
      </c>
      <c r="F109" s="15" t="n">
        <f aca="false">E109*(1+IF(F$3&lt;=$O$2,$D109,$D109-($D109-$I$103)*MIN(F$3-$O$2,$Q$2)/$Q$2))</f>
        <v>4098.27392578125</v>
      </c>
      <c r="G109" s="15" t="n">
        <f aca="false">F109*(1+IF(G$3&lt;=$O$2,$D109,$D109-($D109-$I$103)*MIN(G$3-$O$2,$Q$2)/$Q$2))</f>
        <v>4546.52263641357</v>
      </c>
      <c r="H109" s="15" t="n">
        <f aca="false">G109*(1+IF(H$3&lt;=$O$2,$D109,$D109-($D109-$I$103)*MIN(H$3-$O$2,$Q$2)/$Q$2))</f>
        <v>5043.79854977131</v>
      </c>
      <c r="I109" s="15" t="n">
        <f aca="false">H109*(1+IF(I$3&lt;=$O$2,$D109,$D109-($D109-$I$103)*MIN(I$3-$O$2,$Q$2)/$Q$2))</f>
        <v>5595.46401615255</v>
      </c>
      <c r="J109" s="15" t="n">
        <f aca="false">I109*(1+IF(J$3&lt;=$O$2,$D109,$D109-($D109-$I$103)*MIN(J$3-$O$2,$Q$2)/$Q$2))</f>
        <v>6116.73744389732</v>
      </c>
      <c r="K109" s="15" t="n">
        <f aca="false">J109*(1+IF(K$3&lt;=$O$2,$D109,$D109-($D109-$I$103)*MIN(K$3-$O$2,$Q$2)/$Q$2))</f>
        <v>6587.389806518</v>
      </c>
      <c r="L109" s="15" t="n">
        <f aca="false">K109*(1+IF(L$3&lt;=$O$2,$D109,$D109-($D109-$I$103)*MIN(L$3-$O$2,$Q$2)/$Q$2))</f>
        <v>6987.44198946783</v>
      </c>
      <c r="M109" s="15" t="n">
        <f aca="false">L109*(1+IF(M$3&lt;=$O$2,$D109,$D109-($D109-$I$103)*MIN(M$3-$O$2,$Q$2)/$Q$2))</f>
        <v>7298.48796962899</v>
      </c>
      <c r="N109" s="15" t="n">
        <f aca="false">M109*(1+IF(N$3&lt;=$O$2,$D109,$D109-($D109-$I$103)*MIN(N$3-$O$2,$Q$2)/$Q$2))</f>
        <v>7505.0351791695</v>
      </c>
      <c r="O109" s="15" t="n">
        <f aca="false">SUMPRODUCT(E109:N109,1/(1+$F$103)^$E$3:$N$3)*$E$2</f>
        <v>19311.6656285735</v>
      </c>
      <c r="P109" s="15" t="n">
        <f aca="false">N109*$E$2*(1+$I$103)/($F$103-$I$103)/(1+$F$103)^$N$3</f>
        <v>32297.9474809504</v>
      </c>
      <c r="Q109" s="15" t="n">
        <f aca="false">O109+P109</f>
        <v>51609.6131095239</v>
      </c>
      <c r="R109" s="15" t="n">
        <f aca="false">Q109-$G$2+$I$2</f>
        <v>45422.3131095239</v>
      </c>
      <c r="S109" s="42" t="n">
        <f aca="false">R109/$K$2</f>
        <v>624.791101919174</v>
      </c>
      <c r="T109" s="43" t="n">
        <f aca="false">S109-$M$2</f>
        <v>63.993302744483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0.0625</v>
      </c>
      <c r="C110" s="25" t="n">
        <f aca="false">IF(T109&gt;0,D109,C109)</f>
        <v>0.109375</v>
      </c>
      <c r="D110" s="41" t="n">
        <f aca="false">(B110+C110)/2</f>
        <v>0.0859375</v>
      </c>
      <c r="E110" s="15" t="n">
        <f aca="false">$C$2*(1+IF(E$3&lt;=$O$2,$D110,$D110-($D110-$I$103)*MIN(E$3-$O$2,$Q$2)/$Q$2))</f>
        <v>3616.171875</v>
      </c>
      <c r="F110" s="15" t="n">
        <f aca="false">E110*(1+IF(F$3&lt;=$O$2,$D110,$D110-($D110-$I$103)*MIN(F$3-$O$2,$Q$2)/$Q$2))</f>
        <v>3926.93664550781</v>
      </c>
      <c r="G110" s="15" t="n">
        <f aca="false">F110*(1+IF(G$3&lt;=$O$2,$D110,$D110-($D110-$I$103)*MIN(G$3-$O$2,$Q$2)/$Q$2))</f>
        <v>4264.40776348114</v>
      </c>
      <c r="H110" s="15" t="n">
        <f aca="false">G110*(1+IF(H$3&lt;=$O$2,$D110,$D110-($D110-$I$103)*MIN(H$3-$O$2,$Q$2)/$Q$2))</f>
        <v>4630.8803056553</v>
      </c>
      <c r="I110" s="15" t="n">
        <f aca="false">H110*(1+IF(I$3&lt;=$O$2,$D110,$D110-($D110-$I$103)*MIN(I$3-$O$2,$Q$2)/$Q$2))</f>
        <v>5028.84658192255</v>
      </c>
      <c r="J110" s="15" t="n">
        <f aca="false">I110*(1+IF(J$3&lt;=$O$2,$D110,$D110-($D110-$I$103)*MIN(J$3-$O$2,$Q$2)/$Q$2))</f>
        <v>5403.04305608341</v>
      </c>
      <c r="K110" s="15" t="n">
        <f aca="false">J110*(1+IF(K$3&lt;=$O$2,$D110,$D110-($D110-$I$103)*MIN(K$3-$O$2,$Q$2)/$Q$2))</f>
        <v>5742.79991105758</v>
      </c>
      <c r="L110" s="15" t="n">
        <f aca="false">K110*(1+IF(L$3&lt;=$O$2,$D110,$D110-($D110-$I$103)*MIN(L$3-$O$2,$Q$2)/$Q$2))</f>
        <v>6037.72140048994</v>
      </c>
      <c r="M110" s="15" t="n">
        <f aca="false">L110*(1+IF(M$3&lt;=$O$2,$D110,$D110-($D110-$I$103)*MIN(M$3-$O$2,$Q$2)/$Q$2))</f>
        <v>6278.18874956795</v>
      </c>
      <c r="N110" s="15" t="n">
        <f aca="false">M110*(1+IF(N$3&lt;=$O$2,$D110,$D110-($D110-$I$103)*MIN(N$3-$O$2,$Q$2)/$Q$2))</f>
        <v>6455.86149118072</v>
      </c>
      <c r="O110" s="15" t="n">
        <f aca="false">SUMPRODUCT(E110:N110,1/(1+$F$103)^$E$3:$N$3)*$E$2</f>
        <v>17434.0153911911</v>
      </c>
      <c r="P110" s="15" t="n">
        <f aca="false">N110*$E$2*(1+$I$103)/($F$103-$I$103)/(1+$F$103)^$N$3</f>
        <v>27782.8245182881</v>
      </c>
      <c r="Q110" s="15" t="n">
        <f aca="false">O110+P110</f>
        <v>45216.8399094793</v>
      </c>
      <c r="R110" s="15" t="n">
        <f aca="false">Q110-$G$2+$I$2</f>
        <v>39029.5399094793</v>
      </c>
      <c r="S110" s="42" t="n">
        <f aca="false">R110/$K$2</f>
        <v>536.857495316083</v>
      </c>
      <c r="T110" s="43" t="n">
        <f aca="false">S110-$M$2</f>
        <v>-23.9403038586071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0.0859375</v>
      </c>
      <c r="C111" s="25" t="n">
        <f aca="false">IF(T110&gt;0,D110,C110)</f>
        <v>0.109375</v>
      </c>
      <c r="D111" s="41" t="n">
        <f aca="false">(B111+C111)/2</f>
        <v>0.09765625</v>
      </c>
      <c r="E111" s="15" t="n">
        <f aca="false">$C$2*(1+IF(E$3&lt;=$O$2,$D111,$D111-($D111-$I$103)*MIN(E$3-$O$2,$Q$2)/$Q$2))</f>
        <v>3655.1953125</v>
      </c>
      <c r="F111" s="15" t="n">
        <f aca="false">E111*(1+IF(F$3&lt;=$O$2,$D111,$D111-($D111-$I$103)*MIN(F$3-$O$2,$Q$2)/$Q$2))</f>
        <v>4012.14797973633</v>
      </c>
      <c r="G111" s="15" t="n">
        <f aca="false">F111*(1+IF(G$3&lt;=$O$2,$D111,$D111-($D111-$I$103)*MIN(G$3-$O$2,$Q$2)/$Q$2))</f>
        <v>4403.95930588245</v>
      </c>
      <c r="H111" s="15" t="n">
        <f aca="false">G111*(1+IF(H$3&lt;=$O$2,$D111,$D111-($D111-$I$103)*MIN(H$3-$O$2,$Q$2)/$Q$2))</f>
        <v>4834.03345684754</v>
      </c>
      <c r="I111" s="15" t="n">
        <f aca="false">H111*(1+IF(I$3&lt;=$O$2,$D111,$D111-($D111-$I$103)*MIN(I$3-$O$2,$Q$2)/$Q$2))</f>
        <v>5306.10703661781</v>
      </c>
      <c r="J111" s="15" t="n">
        <f aca="false">I111*(1+IF(J$3&lt;=$O$2,$D111,$D111-($D111-$I$103)*MIN(J$3-$O$2,$Q$2)/$Q$2))</f>
        <v>5750.67921468083</v>
      </c>
      <c r="K111" s="15" t="n">
        <f aca="false">J111*(1+IF(K$3&lt;=$O$2,$D111,$D111-($D111-$I$103)*MIN(K$3-$O$2,$Q$2)/$Q$2))</f>
        <v>6152.73076362622</v>
      </c>
      <c r="L111" s="15" t="n">
        <f aca="false">K111*(1+IF(L$3&lt;=$O$2,$D111,$D111-($D111-$I$103)*MIN(L$3-$O$2,$Q$2)/$Q$2))</f>
        <v>6497.54517744674</v>
      </c>
      <c r="M111" s="15" t="n">
        <f aca="false">L111*(1+IF(M$3&lt;=$O$2,$D111,$D111-($D111-$I$103)*MIN(M$3-$O$2,$Q$2)/$Q$2))</f>
        <v>6771.55477951114</v>
      </c>
      <c r="N111" s="15" t="n">
        <f aca="false">M111*(1+IF(N$3&lt;=$O$2,$D111,$D111-($D111-$I$103)*MIN(N$3-$O$2,$Q$2)/$Q$2))</f>
        <v>6963.18977977131</v>
      </c>
      <c r="O111" s="15" t="n">
        <f aca="false">SUMPRODUCT(E111:N111,1/(1+$F$103)^$E$3:$N$3)*$E$2</f>
        <v>18349.0115332318</v>
      </c>
      <c r="P111" s="15" t="n">
        <f aca="false">N111*$E$2*(1+$I$103)/($F$103-$I$103)/(1+$F$103)^$N$3</f>
        <v>29966.1137406995</v>
      </c>
      <c r="Q111" s="15" t="n">
        <f aca="false">O111+P111</f>
        <v>48315.1252739313</v>
      </c>
      <c r="R111" s="15" t="n">
        <f aca="false">Q111-$G$2+$I$2</f>
        <v>42127.8252739313</v>
      </c>
      <c r="S111" s="42" t="n">
        <f aca="false">R111/$K$2</f>
        <v>579.474900604282</v>
      </c>
      <c r="T111" s="43" t="n">
        <f aca="false">S111-$M$2</f>
        <v>18.6771014295919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0.0859375</v>
      </c>
      <c r="C112" s="25" t="n">
        <f aca="false">IF(T111&gt;0,D111,C111)</f>
        <v>0.09765625</v>
      </c>
      <c r="D112" s="41" t="n">
        <f aca="false">(B112+C112)/2</f>
        <v>0.091796875</v>
      </c>
      <c r="E112" s="15" t="n">
        <f aca="false">$C$2*(1+IF(E$3&lt;=$O$2,$D112,$D112-($D112-$I$103)*MIN(E$3-$O$2,$Q$2)/$Q$2))</f>
        <v>3635.68359375</v>
      </c>
      <c r="F112" s="15" t="n">
        <f aca="false">E112*(1+IF(F$3&lt;=$O$2,$D112,$D112-($D112-$I$103)*MIN(F$3-$O$2,$Q$2)/$Q$2))</f>
        <v>3969.42798614502</v>
      </c>
      <c r="G112" s="15" t="n">
        <f aca="false">F112*(1+IF(G$3&lt;=$O$2,$D112,$D112-($D112-$I$103)*MIN(G$3-$O$2,$Q$2)/$Q$2))</f>
        <v>4333.80907081068</v>
      </c>
      <c r="H112" s="15" t="n">
        <f aca="false">G112*(1+IF(H$3&lt;=$O$2,$D112,$D112-($D112-$I$103)*MIN(H$3-$O$2,$Q$2)/$Q$2))</f>
        <v>4731.63920035775</v>
      </c>
      <c r="I112" s="15" t="n">
        <f aca="false">H112*(1+IF(I$3&lt;=$O$2,$D112,$D112-($D112-$I$103)*MIN(I$3-$O$2,$Q$2)/$Q$2))</f>
        <v>5165.98889257809</v>
      </c>
      <c r="J112" s="15" t="n">
        <f aca="false">I112*(1+IF(J$3&lt;=$O$2,$D112,$D112-($D112-$I$103)*MIN(J$3-$O$2,$Q$2)/$Q$2))</f>
        <v>5574.60569900879</v>
      </c>
      <c r="K112" s="15" t="n">
        <f aca="false">J112*(1+IF(K$3&lt;=$O$2,$D112,$D112-($D112-$I$103)*MIN(K$3-$O$2,$Q$2)/$Q$2))</f>
        <v>5944.74906503728</v>
      </c>
      <c r="L112" s="15" t="n">
        <f aca="false">K112*(1+IF(L$3&lt;=$O$2,$D112,$D112-($D112-$I$103)*MIN(L$3-$O$2,$Q$2)/$Q$2))</f>
        <v>6263.97465889345</v>
      </c>
      <c r="M112" s="15" t="n">
        <f aca="false">L112*(1+IF(M$3&lt;=$O$2,$D112,$D112-($D112-$I$103)*MIN(M$3-$O$2,$Q$2)/$Q$2))</f>
        <v>6520.79370492392</v>
      </c>
      <c r="N112" s="15" t="n">
        <f aca="false">M112*(1+IF(N$3&lt;=$O$2,$D112,$D112-($D112-$I$103)*MIN(N$3-$O$2,$Q$2)/$Q$2))</f>
        <v>6705.33216677327</v>
      </c>
      <c r="O112" s="15" t="n">
        <f aca="false">SUMPRODUCT(E112:N112,1/(1+$F$103)^$E$3:$N$3)*$E$2</f>
        <v>17885.6953681893</v>
      </c>
      <c r="P112" s="15" t="n">
        <f aca="false">N112*$E$2*(1+$I$103)/($F$103-$I$103)/(1+$F$103)^$N$3</f>
        <v>28856.4225209583</v>
      </c>
      <c r="Q112" s="15" t="n">
        <f aca="false">O112+P112</f>
        <v>46742.1178891475</v>
      </c>
      <c r="R112" s="15" t="n">
        <f aca="false">Q112-$G$2+$I$2</f>
        <v>40554.8178891475</v>
      </c>
      <c r="S112" s="42" t="n">
        <f aca="false">R112/$K$2</f>
        <v>557.837935201479</v>
      </c>
      <c r="T112" s="43" t="n">
        <f aca="false">S112-$M$2</f>
        <v>-2.95986397321121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0.091796875</v>
      </c>
      <c r="C113" s="25" t="n">
        <f aca="false">IF(T112&gt;0,D112,C112)</f>
        <v>0.09765625</v>
      </c>
      <c r="D113" s="41" t="n">
        <f aca="false">(B113+C113)/2</f>
        <v>0.0947265625</v>
      </c>
      <c r="E113" s="15" t="n">
        <f aca="false">$C$2*(1+IF(E$3&lt;=$O$2,$D113,$D113-($D113-$I$103)*MIN(E$3-$O$2,$Q$2)/$Q$2))</f>
        <v>3645.439453125</v>
      </c>
      <c r="F113" s="15" t="n">
        <f aca="false">E113*(1+IF(F$3&lt;=$O$2,$D113,$D113-($D113-$I$103)*MIN(F$3-$O$2,$Q$2)/$Q$2))</f>
        <v>3990.75940132141</v>
      </c>
      <c r="G113" s="15" t="n">
        <f aca="false">F113*(1+IF(G$3&lt;=$O$2,$D113,$D113-($D113-$I$103)*MIN(G$3-$O$2,$Q$2)/$Q$2))</f>
        <v>4368.79032117315</v>
      </c>
      <c r="H113" s="15" t="n">
        <f aca="false">G113*(1+IF(H$3&lt;=$O$2,$D113,$D113-($D113-$I$103)*MIN(H$3-$O$2,$Q$2)/$Q$2))</f>
        <v>4782.63081058115</v>
      </c>
      <c r="I113" s="15" t="n">
        <f aca="false">H113*(1+IF(I$3&lt;=$O$2,$D113,$D113-($D113-$I$103)*MIN(I$3-$O$2,$Q$2)/$Q$2))</f>
        <v>5235.67298697409</v>
      </c>
      <c r="J113" s="15" t="n">
        <f aca="false">I113*(1+IF(J$3&lt;=$O$2,$D113,$D113-($D113-$I$103)*MIN(J$3-$O$2,$Q$2)/$Q$2))</f>
        <v>5662.07273962449</v>
      </c>
      <c r="K113" s="15" t="n">
        <f aca="false">J113*(1+IF(K$3&lt;=$O$2,$D113,$D113-($D113-$I$103)*MIN(K$3-$O$2,$Q$2)/$Q$2))</f>
        <v>6047.9766153868</v>
      </c>
      <c r="L113" s="15" t="n">
        <f aca="false">K113*(1+IF(L$3&lt;=$O$2,$D113,$D113-($D113-$I$103)*MIN(L$3-$O$2,$Q$2)/$Q$2))</f>
        <v>6379.83287225845</v>
      </c>
      <c r="M113" s="15" t="n">
        <f aca="false">L113*(1+IF(M$3&lt;=$O$2,$D113,$D113-($D113-$I$103)*MIN(M$3-$O$2,$Q$2)/$Q$2))</f>
        <v>6645.14021594909</v>
      </c>
      <c r="N113" s="15" t="n">
        <f aca="false">M113*(1+IF(N$3&lt;=$O$2,$D113,$D113-($D113-$I$103)*MIN(N$3-$O$2,$Q$2)/$Q$2))</f>
        <v>6833.19768406045</v>
      </c>
      <c r="O113" s="15" t="n">
        <f aca="false">SUMPRODUCT(E113:N113,1/(1+$F$103)^$E$3:$N$3)*$E$2</f>
        <v>18115.8817544899</v>
      </c>
      <c r="P113" s="15" t="n">
        <f aca="false">N113*$E$2*(1+$I$103)/($F$103-$I$103)/(1+$F$103)^$N$3</f>
        <v>29406.6922616556</v>
      </c>
      <c r="Q113" s="15" t="n">
        <f aca="false">O113+P113</f>
        <v>47522.5740161454</v>
      </c>
      <c r="R113" s="15" t="n">
        <f aca="false">Q113-$G$2+$I$2</f>
        <v>41335.2740161454</v>
      </c>
      <c r="S113" s="42" t="n">
        <f aca="false">R113/$K$2</f>
        <v>568.573232684256</v>
      </c>
      <c r="T113" s="43" t="n">
        <f aca="false">S113-$M$2</f>
        <v>7.77543350956591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0.091796875</v>
      </c>
      <c r="C114" s="25" t="n">
        <f aca="false">IF(T113&gt;0,D113,C113)</f>
        <v>0.0947265625</v>
      </c>
      <c r="D114" s="41" t="n">
        <f aca="false">(B114+C114)/2</f>
        <v>0.09326171875</v>
      </c>
      <c r="E114" s="15" t="n">
        <f aca="false">$C$2*(1+IF(E$3&lt;=$O$2,$D114,$D114-($D114-$I$103)*MIN(E$3-$O$2,$Q$2)/$Q$2))</f>
        <v>3640.5615234375</v>
      </c>
      <c r="F114" s="15" t="n">
        <f aca="false">E114*(1+IF(F$3&lt;=$O$2,$D114,$D114-($D114-$I$103)*MIN(F$3-$O$2,$Q$2)/$Q$2))</f>
        <v>3980.0865483284</v>
      </c>
      <c r="G114" s="15" t="n">
        <f aca="false">F114*(1+IF(G$3&lt;=$O$2,$D114,$D114-($D114-$I$103)*MIN(G$3-$O$2,$Q$2)/$Q$2))</f>
        <v>4351.27626059926</v>
      </c>
      <c r="H114" s="15" t="n">
        <f aca="false">G114*(1+IF(H$3&lt;=$O$2,$D114,$D114-($D114-$I$103)*MIN(H$3-$O$2,$Q$2)/$Q$2))</f>
        <v>4757.08376341882</v>
      </c>
      <c r="I114" s="15" t="n">
        <f aca="false">H114*(1+IF(I$3&lt;=$O$2,$D114,$D114-($D114-$I$103)*MIN(I$3-$O$2,$Q$2)/$Q$2))</f>
        <v>5200.73757143298</v>
      </c>
      <c r="J114" s="15" t="n">
        <f aca="false">I114*(1+IF(J$3&lt;=$O$2,$D114,$D114-($D114-$I$103)*MIN(J$3-$O$2,$Q$2)/$Q$2))</f>
        <v>5618.19752583092</v>
      </c>
      <c r="K114" s="15" t="n">
        <f aca="false">J114*(1+IF(K$3&lt;=$O$2,$D114,$D114-($D114-$I$103)*MIN(K$3-$O$2,$Q$2)/$Q$2))</f>
        <v>5996.17317634492</v>
      </c>
      <c r="L114" s="15" t="n">
        <f aca="false">K114*(1+IF(L$3&lt;=$O$2,$D114,$D114-($D114-$I$103)*MIN(L$3-$O$2,$Q$2)/$Q$2))</f>
        <v>6321.67356341869</v>
      </c>
      <c r="M114" s="15" t="n">
        <f aca="false">L114*(1+IF(M$3&lt;=$O$2,$D114,$D114-($D114-$I$103)*MIN(M$3-$O$2,$Q$2)/$Q$2))</f>
        <v>6582.71028127466</v>
      </c>
      <c r="N114" s="15" t="n">
        <f aca="false">M114*(1+IF(N$3&lt;=$O$2,$D114,$D114-($D114-$I$103)*MIN(N$3-$O$2,$Q$2)/$Q$2))</f>
        <v>6769.00098223473</v>
      </c>
      <c r="O114" s="15" t="n">
        <f aca="false">SUMPRODUCT(E114:N114,1/(1+$F$103)^$E$3:$N$3)*$E$2</f>
        <v>18000.4227975622</v>
      </c>
      <c r="P114" s="15" t="n">
        <f aca="false">N114*$E$2*(1+$I$103)/($F$103-$I$103)/(1+$F$103)^$N$3</f>
        <v>29130.4215108172</v>
      </c>
      <c r="Q114" s="15" t="n">
        <f aca="false">O114+P114</f>
        <v>47130.8443083795</v>
      </c>
      <c r="R114" s="15" t="n">
        <f aca="false">Q114-$G$2+$I$2</f>
        <v>40943.5443083795</v>
      </c>
      <c r="S114" s="42" t="n">
        <f aca="false">R114/$K$2</f>
        <v>563.184928588438</v>
      </c>
      <c r="T114" s="43" t="n">
        <f aca="false">S114-$M$2</f>
        <v>2.38712941374786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0.091796875</v>
      </c>
      <c r="C115" s="25" t="n">
        <f aca="false">IF(T114&gt;0,D114,C114)</f>
        <v>0.09326171875</v>
      </c>
      <c r="D115" s="41" t="n">
        <f aca="false">(B115+C115)/2</f>
        <v>0.092529296875</v>
      </c>
      <c r="E115" s="15" t="n">
        <f aca="false">$C$2*(1+IF(E$3&lt;=$O$2,$D115,$D115-($D115-$I$103)*MIN(E$3-$O$2,$Q$2)/$Q$2))</f>
        <v>3638.12255859375</v>
      </c>
      <c r="F115" s="15" t="n">
        <f aca="false">E115*(1+IF(F$3&lt;=$O$2,$D115,$D115-($D115-$I$103)*MIN(F$3-$O$2,$Q$2)/$Q$2))</f>
        <v>3974.75548088551</v>
      </c>
      <c r="G115" s="15" t="n">
        <f aca="false">F115*(1+IF(G$3&lt;=$O$2,$D115,$D115-($D115-$I$103)*MIN(G$3-$O$2,$Q$2)/$Q$2))</f>
        <v>4342.53681078189</v>
      </c>
      <c r="H115" s="15" t="n">
        <f aca="false">G115*(1+IF(H$3&lt;=$O$2,$D115,$D115-($D115-$I$103)*MIN(H$3-$O$2,$Q$2)/$Q$2))</f>
        <v>4744.34868853735</v>
      </c>
      <c r="I115" s="15" t="n">
        <f aca="false">H115*(1+IF(I$3&lt;=$O$2,$D115,$D115-($D115-$I$103)*MIN(I$3-$O$2,$Q$2)/$Q$2))</f>
        <v>5183.33993681754</v>
      </c>
      <c r="J115" s="15" t="n">
        <f aca="false">I115*(1+IF(J$3&lt;=$O$2,$D115,$D115-($D115-$I$103)*MIN(J$3-$O$2,$Q$2)/$Q$2))</f>
        <v>5596.36628071419</v>
      </c>
      <c r="K115" s="15" t="n">
        <f aca="false">J115*(1+IF(K$3&lt;=$O$2,$D115,$D115-($D115-$I$103)*MIN(K$3-$O$2,$Q$2)/$Q$2))</f>
        <v>5970.41384921754</v>
      </c>
      <c r="L115" s="15" t="n">
        <f aca="false">K115*(1+IF(L$3&lt;=$O$2,$D115,$D115-($D115-$I$103)*MIN(L$3-$O$2,$Q$2)/$Q$2))</f>
        <v>6292.7667545856</v>
      </c>
      <c r="M115" s="15" t="n">
        <f aca="false">L115*(1+IF(M$3&lt;=$O$2,$D115,$D115-($D115-$I$103)*MIN(M$3-$O$2,$Q$2)/$Q$2))</f>
        <v>6551.68805054945</v>
      </c>
      <c r="N115" s="15" t="n">
        <f aca="false">M115*(1+IF(N$3&lt;=$O$2,$D115,$D115-($D115-$I$103)*MIN(N$3-$O$2,$Q$2)/$Q$2))</f>
        <v>6737.10082238</v>
      </c>
      <c r="O115" s="15" t="n">
        <f aca="false">SUMPRODUCT(E115:N115,1/(1+$F$103)^$E$3:$N$3)*$E$2</f>
        <v>17942.9679107639</v>
      </c>
      <c r="P115" s="15" t="n">
        <f aca="false">N115*$E$2*(1+$I$103)/($F$103-$I$103)/(1+$F$103)^$N$3</f>
        <v>28993.1390513717</v>
      </c>
      <c r="Q115" s="15" t="n">
        <f aca="false">O115+P115</f>
        <v>46936.1069621356</v>
      </c>
      <c r="R115" s="15" t="n">
        <f aca="false">Q115-$G$2+$I$2</f>
        <v>40748.8069621355</v>
      </c>
      <c r="S115" s="42" t="n">
        <f aca="false">R115/$K$2</f>
        <v>560.506285586459</v>
      </c>
      <c r="T115" s="43" t="n">
        <f aca="false">S115-$M$2</f>
        <v>-0.291513588231737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0.092529296875</v>
      </c>
      <c r="C116" s="25" t="n">
        <f aca="false">IF(T115&gt;0,D115,C115)</f>
        <v>0.09326171875</v>
      </c>
      <c r="D116" s="41" t="n">
        <f aca="false">(B116+C116)/2</f>
        <v>0.0928955078125</v>
      </c>
      <c r="E116" s="15" t="n">
        <f aca="false">$C$2*(1+IF(E$3&lt;=$O$2,$D116,$D116-($D116-$I$103)*MIN(E$3-$O$2,$Q$2)/$Q$2))</f>
        <v>3639.34204101563</v>
      </c>
      <c r="F116" s="15" t="n">
        <f aca="false">E116*(1+IF(F$3&lt;=$O$2,$D116,$D116-($D116-$I$103)*MIN(F$3-$O$2,$Q$2)/$Q$2))</f>
        <v>3977.42056801915</v>
      </c>
      <c r="G116" s="15" t="n">
        <f aca="false">F116*(1+IF(G$3&lt;=$O$2,$D116,$D116-($D116-$I$103)*MIN(G$3-$O$2,$Q$2)/$Q$2))</f>
        <v>4346.90507146917</v>
      </c>
      <c r="H116" s="15" t="n">
        <f aca="false">G116*(1+IF(H$3&lt;=$O$2,$D116,$D116-($D116-$I$103)*MIN(H$3-$O$2,$Q$2)/$Q$2))</f>
        <v>4750.71302549603</v>
      </c>
      <c r="I116" s="15" t="n">
        <f aca="false">H116*(1+IF(I$3&lt;=$O$2,$D116,$D116-($D116-$I$103)*MIN(I$3-$O$2,$Q$2)/$Q$2))</f>
        <v>5192.03292447095</v>
      </c>
      <c r="J116" s="15" t="n">
        <f aca="false">I116*(1+IF(J$3&lt;=$O$2,$D116,$D116-($D116-$I$103)*MIN(J$3-$O$2,$Q$2)/$Q$2))</f>
        <v>5607.27305890181</v>
      </c>
      <c r="K116" s="15" t="n">
        <f aca="false">J116*(1+IF(K$3&lt;=$O$2,$D116,$D116-($D116-$I$103)*MIN(K$3-$O$2,$Q$2)/$Q$2))</f>
        <v>5983.2816768786</v>
      </c>
      <c r="L116" s="15" t="n">
        <f aca="false">K116*(1+IF(L$3&lt;=$O$2,$D116,$D116-($D116-$I$103)*MIN(L$3-$O$2,$Q$2)/$Q$2))</f>
        <v>6307.20579565554</v>
      </c>
      <c r="M116" s="15" t="n">
        <f aca="false">L116*(1+IF(M$3&lt;=$O$2,$D116,$D116-($D116-$I$103)*MIN(M$3-$O$2,$Q$2)/$Q$2))</f>
        <v>6567.18315192226</v>
      </c>
      <c r="N116" s="15" t="n">
        <f aca="false">M116*(1+IF(N$3&lt;=$O$2,$D116,$D116-($D116-$I$103)*MIN(N$3-$O$2,$Q$2)/$Q$2))</f>
        <v>6753.03443512166</v>
      </c>
      <c r="O116" s="15" t="n">
        <f aca="false">SUMPRODUCT(E116:N116,1/(1+$F$103)^$E$3:$N$3)*$E$2</f>
        <v>17971.6725275846</v>
      </c>
      <c r="P116" s="15" t="n">
        <f aca="false">N116*$E$2*(1+$I$103)/($F$103-$I$103)/(1+$F$103)^$N$3</f>
        <v>29061.709414498</v>
      </c>
      <c r="Q116" s="15" t="n">
        <f aca="false">O116+P116</f>
        <v>47033.3819420826</v>
      </c>
      <c r="R116" s="15" t="n">
        <f aca="false">Q116-$G$2+$I$2</f>
        <v>40846.0819420826</v>
      </c>
      <c r="S116" s="42" t="n">
        <f aca="false">R116/$K$2</f>
        <v>561.844318323007</v>
      </c>
      <c r="T116" s="43" t="n">
        <f aca="false">S116-$M$2</f>
        <v>1.04651914831607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0.092529296875</v>
      </c>
      <c r="C117" s="25" t="n">
        <f aca="false">IF(T116&gt;0,D116,C116)</f>
        <v>0.0928955078125</v>
      </c>
      <c r="D117" s="41" t="n">
        <f aca="false">(B117+C117)/2</f>
        <v>0.09271240234375</v>
      </c>
      <c r="E117" s="15" t="n">
        <f aca="false">$C$2*(1+IF(E$3&lt;=$O$2,$D117,$D117-($D117-$I$103)*MIN(E$3-$O$2,$Q$2)/$Q$2))</f>
        <v>3638.73229980469</v>
      </c>
      <c r="F117" s="15" t="n">
        <f aca="false">E117*(1+IF(F$3&lt;=$O$2,$D117,$D117-($D117-$I$103)*MIN(F$3-$O$2,$Q$2)/$Q$2))</f>
        <v>3976.08791280538</v>
      </c>
      <c r="G117" s="15" t="n">
        <f aca="false">F117*(1+IF(G$3&lt;=$O$2,$D117,$D117-($D117-$I$103)*MIN(G$3-$O$2,$Q$2)/$Q$2))</f>
        <v>4344.72057513151</v>
      </c>
      <c r="H117" s="15" t="n">
        <f aca="false">G117*(1+IF(H$3&lt;=$O$2,$D117,$D117-($D117-$I$103)*MIN(H$3-$O$2,$Q$2)/$Q$2))</f>
        <v>4747.53005716427</v>
      </c>
      <c r="I117" s="15" t="n">
        <f aca="false">H117*(1+IF(I$3&lt;=$O$2,$D117,$D117-($D117-$I$103)*MIN(I$3-$O$2,$Q$2)/$Q$2))</f>
        <v>5187.68497396313</v>
      </c>
      <c r="J117" s="15" t="n">
        <f aca="false">I117*(1+IF(J$3&lt;=$O$2,$D117,$D117-($D117-$I$103)*MIN(J$3-$O$2,$Q$2)/$Q$2))</f>
        <v>5601.81746014672</v>
      </c>
      <c r="K117" s="15" t="n">
        <f aca="false">J117*(1+IF(K$3&lt;=$O$2,$D117,$D117-($D117-$I$103)*MIN(K$3-$O$2,$Q$2)/$Q$2))</f>
        <v>5976.8448063284</v>
      </c>
      <c r="L117" s="15" t="n">
        <f aca="false">K117*(1+IF(L$3&lt;=$O$2,$D117,$D117-($D117-$I$103)*MIN(L$3-$O$2,$Q$2)/$Q$2))</f>
        <v>6299.98268731205</v>
      </c>
      <c r="M117" s="15" t="n">
        <f aca="false">L117*(1+IF(M$3&lt;=$O$2,$D117,$D117-($D117-$I$103)*MIN(M$3-$O$2,$Q$2)/$Q$2))</f>
        <v>6559.43160128574</v>
      </c>
      <c r="N117" s="15" t="n">
        <f aca="false">M117*(1+IF(N$3&lt;=$O$2,$D117,$D117-($D117-$I$103)*MIN(N$3-$O$2,$Q$2)/$Q$2))</f>
        <v>6745.06351560213</v>
      </c>
      <c r="O117" s="15" t="n">
        <f aca="false">SUMPRODUCT(E117:N117,1/(1+$F$103)^$E$3:$N$3)*$E$2</f>
        <v>17957.3145167268</v>
      </c>
      <c r="P117" s="15" t="n">
        <f aca="false">N117*$E$2*(1+$I$103)/($F$103-$I$103)/(1+$F$103)^$N$3</f>
        <v>29027.4065319837</v>
      </c>
      <c r="Q117" s="15" t="n">
        <f aca="false">O117+P117</f>
        <v>46984.7210487105</v>
      </c>
      <c r="R117" s="15" t="n">
        <f aca="false">Q117-$G$2+$I$2</f>
        <v>40797.4210487105</v>
      </c>
      <c r="S117" s="42" t="n">
        <f aca="false">R117/$K$2</f>
        <v>561.174980037283</v>
      </c>
      <c r="T117" s="43" t="n">
        <f aca="false">S117-$M$2</f>
        <v>0.377180862592581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0.092529296875</v>
      </c>
      <c r="C118" s="25" t="n">
        <f aca="false">IF(T117&gt;0,D117,C117)</f>
        <v>0.09271240234375</v>
      </c>
      <c r="D118" s="41" t="n">
        <f aca="false">(B118+C118)/2</f>
        <v>0.092620849609375</v>
      </c>
      <c r="E118" s="15" t="n">
        <f aca="false">$C$2*(1+IF(E$3&lt;=$O$2,$D118,$D118-($D118-$I$103)*MIN(E$3-$O$2,$Q$2)/$Q$2))</f>
        <v>3638.42742919922</v>
      </c>
      <c r="F118" s="15" t="n">
        <f aca="false">E118*(1+IF(F$3&lt;=$O$2,$D118,$D118-($D118-$I$103)*MIN(F$3-$O$2,$Q$2)/$Q$2))</f>
        <v>3975.4216689337</v>
      </c>
      <c r="G118" s="15" t="n">
        <f aca="false">F118*(1+IF(G$3&lt;=$O$2,$D118,$D118-($D118-$I$103)*MIN(G$3-$O$2,$Q$2)/$Q$2))</f>
        <v>4343.62860146586</v>
      </c>
      <c r="H118" s="15" t="n">
        <f aca="false">G118*(1+IF(H$3&lt;=$O$2,$D118,$D118-($D118-$I$103)*MIN(H$3-$O$2,$Q$2)/$Q$2))</f>
        <v>4745.93917292121</v>
      </c>
      <c r="I118" s="15" t="n">
        <f aca="false">H118*(1+IF(I$3&lt;=$O$2,$D118,$D118-($D118-$I$103)*MIN(I$3-$O$2,$Q$2)/$Q$2))</f>
        <v>5185.51209131159</v>
      </c>
      <c r="J118" s="15" t="n">
        <f aca="false">I118*(1+IF(J$3&lt;=$O$2,$D118,$D118-($D118-$I$103)*MIN(J$3-$O$2,$Q$2)/$Q$2))</f>
        <v>5599.09131819399</v>
      </c>
      <c r="K118" s="15" t="n">
        <f aca="false">J118*(1+IF(K$3&lt;=$O$2,$D118,$D118-($D118-$I$103)*MIN(K$3-$O$2,$Q$2)/$Q$2))</f>
        <v>5973.6285888749</v>
      </c>
      <c r="L118" s="15" t="n">
        <f aca="false">K118*(1+IF(L$3&lt;=$O$2,$D118,$D118-($D118-$I$103)*MIN(L$3-$O$2,$Q$2)/$Q$2))</f>
        <v>6296.37382437498</v>
      </c>
      <c r="M118" s="15" t="n">
        <f aca="false">L118*(1+IF(M$3&lt;=$O$2,$D118,$D118-($D118-$I$103)*MIN(M$3-$O$2,$Q$2)/$Q$2))</f>
        <v>6555.5588263732</v>
      </c>
      <c r="N118" s="15" t="n">
        <f aca="false">M118*(1+IF(N$3&lt;=$O$2,$D118,$D118-($D118-$I$103)*MIN(N$3-$O$2,$Q$2)/$Q$2))</f>
        <v>6741.08114115956</v>
      </c>
      <c r="O118" s="15" t="n">
        <f aca="false">SUMPRODUCT(E118:N118,1/(1+$F$103)^$E$3:$N$3)*$E$2</f>
        <v>17950.1397886578</v>
      </c>
      <c r="P118" s="15" t="n">
        <f aca="false">N118*$E$2*(1+$I$103)/($F$103-$I$103)/(1+$F$103)^$N$3</f>
        <v>29010.2683684009</v>
      </c>
      <c r="Q118" s="15" t="n">
        <f aca="false">O118+P118</f>
        <v>46960.4081570587</v>
      </c>
      <c r="R118" s="15" t="n">
        <f aca="false">Q118-$G$2+$I$2</f>
        <v>40773.1081570587</v>
      </c>
      <c r="S118" s="42" t="n">
        <f aca="false">R118/$K$2</f>
        <v>560.840552366695</v>
      </c>
      <c r="T118" s="43" t="n">
        <f aca="false">S118-$M$2</f>
        <v>0.0427531920041702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0.092529296875</v>
      </c>
      <c r="C119" s="25" t="n">
        <f aca="false">IF(T118&gt;0,D118,C118)</f>
        <v>0.092620849609375</v>
      </c>
      <c r="D119" s="41" t="n">
        <f aca="false">(B119+C119)/2</f>
        <v>0.0925750732421875</v>
      </c>
      <c r="E119" s="15" t="n">
        <f aca="false">$C$2*(1+IF(E$3&lt;=$O$2,$D119,$D119-($D119-$I$103)*MIN(E$3-$O$2,$Q$2)/$Q$2))</f>
        <v>3638.27499389648</v>
      </c>
      <c r="F119" s="15" t="n">
        <f aca="false">E119*(1+IF(F$3&lt;=$O$2,$D119,$D119-($D119-$I$103)*MIN(F$3-$O$2,$Q$2)/$Q$2))</f>
        <v>3975.08856793167</v>
      </c>
      <c r="G119" s="15" t="n">
        <f aca="false">F119*(1+IF(G$3&lt;=$O$2,$D119,$D119-($D119-$I$103)*MIN(G$3-$O$2,$Q$2)/$Q$2))</f>
        <v>4343.08268325213</v>
      </c>
      <c r="H119" s="15" t="n">
        <f aca="false">G119*(1+IF(H$3&lt;=$O$2,$D119,$D119-($D119-$I$103)*MIN(H$3-$O$2,$Q$2)/$Q$2))</f>
        <v>4745.14388075107</v>
      </c>
      <c r="I119" s="15" t="n">
        <f aca="false">H119*(1+IF(I$3&lt;=$O$2,$D119,$D119-($D119-$I$103)*MIN(I$3-$O$2,$Q$2)/$Q$2))</f>
        <v>5184.42592305632</v>
      </c>
      <c r="J119" s="15" t="n">
        <f aca="false">I119*(1+IF(J$3&lt;=$O$2,$D119,$D119-($D119-$I$103)*MIN(J$3-$O$2,$Q$2)/$Q$2))</f>
        <v>5597.72866141732</v>
      </c>
      <c r="K119" s="15" t="n">
        <f aca="false">J119*(1+IF(K$3&lt;=$O$2,$D119,$D119-($D119-$I$103)*MIN(K$3-$O$2,$Q$2)/$Q$2))</f>
        <v>5972.02103435693</v>
      </c>
      <c r="L119" s="15" t="n">
        <f aca="false">K119*(1+IF(L$3&lt;=$O$2,$D119,$D119-($D119-$I$103)*MIN(L$3-$O$2,$Q$2)/$Q$2))</f>
        <v>6294.5700653841</v>
      </c>
      <c r="M119" s="15" t="n">
        <f aca="false">L119*(1+IF(M$3&lt;=$O$2,$D119,$D119-($D119-$I$103)*MIN(M$3-$O$2,$Q$2)/$Q$2))</f>
        <v>6553.6231886306</v>
      </c>
      <c r="N119" s="15" t="n">
        <f aca="false">M119*(1+IF(N$3&lt;=$O$2,$D119,$D119-($D119-$I$103)*MIN(N$3-$O$2,$Q$2)/$Q$2))</f>
        <v>6739.09072486884</v>
      </c>
      <c r="O119" s="15" t="n">
        <f aca="false">SUMPRODUCT(E119:N119,1/(1+$F$103)^$E$3:$N$3)*$E$2</f>
        <v>17946.5534935045</v>
      </c>
      <c r="P119" s="15" t="n">
        <f aca="false">N119*$E$2*(1+$I$103)/($F$103-$I$103)/(1+$F$103)^$N$3</f>
        <v>29001.7026043121</v>
      </c>
      <c r="Q119" s="15" t="n">
        <f aca="false">O119+P119</f>
        <v>46948.2560978166</v>
      </c>
      <c r="R119" s="15" t="n">
        <f aca="false">Q119-$G$2+$I$2</f>
        <v>40760.9560978166</v>
      </c>
      <c r="S119" s="42" t="n">
        <f aca="false">R119/$K$2</f>
        <v>560.673398869554</v>
      </c>
      <c r="T119" s="43" t="n">
        <f aca="false">S119-$M$2</f>
        <v>-0.124400305136078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0.0925750732421875</v>
      </c>
      <c r="C120" s="25" t="n">
        <f aca="false">IF(T119&gt;0,D119,C119)</f>
        <v>0.092620849609375</v>
      </c>
      <c r="D120" s="41" t="n">
        <f aca="false">(B120+C120)/2</f>
        <v>0.0925979614257813</v>
      </c>
      <c r="E120" s="15" t="n">
        <f aca="false">$C$2*(1+IF(E$3&lt;=$O$2,$D120,$D120-($D120-$I$103)*MIN(E$3-$O$2,$Q$2)/$Q$2))</f>
        <v>3638.35121154785</v>
      </c>
      <c r="F120" s="15" t="n">
        <f aca="false">E120*(1+IF(F$3&lt;=$O$2,$D120,$D120-($D120-$I$103)*MIN(F$3-$O$2,$Q$2)/$Q$2))</f>
        <v>3975.2551166882</v>
      </c>
      <c r="G120" s="15" t="n">
        <f aca="false">F120*(1+IF(G$3&lt;=$O$2,$D120,$D120-($D120-$I$103)*MIN(G$3-$O$2,$Q$2)/$Q$2))</f>
        <v>4343.35563664094</v>
      </c>
      <c r="H120" s="15" t="n">
        <f aca="false">G120*(1+IF(H$3&lt;=$O$2,$D120,$D120-($D120-$I$103)*MIN(H$3-$O$2,$Q$2)/$Q$2))</f>
        <v>4745.54151434107</v>
      </c>
      <c r="I120" s="15" t="n">
        <f aca="false">H120*(1+IF(I$3&lt;=$O$2,$D120,$D120-($D120-$I$103)*MIN(I$3-$O$2,$Q$2)/$Q$2))</f>
        <v>5184.96898443046</v>
      </c>
      <c r="J120" s="15" t="n">
        <f aca="false">I120*(1+IF(J$3&lt;=$O$2,$D120,$D120-($D120-$I$103)*MIN(J$3-$O$2,$Q$2)/$Q$2))</f>
        <v>5598.40995529367</v>
      </c>
      <c r="K120" s="15" t="n">
        <f aca="false">J120*(1+IF(K$3&lt;=$O$2,$D120,$D120-($D120-$I$103)*MIN(K$3-$O$2,$Q$2)/$Q$2))</f>
        <v>5972.82476543919</v>
      </c>
      <c r="L120" s="15" t="n">
        <f aca="false">K120*(1+IF(L$3&lt;=$O$2,$D120,$D120-($D120-$I$103)*MIN(L$3-$O$2,$Q$2)/$Q$2))</f>
        <v>6295.47188884958</v>
      </c>
      <c r="M120" s="15" t="n">
        <f aca="false">L120*(1+IF(M$3&lt;=$O$2,$D120,$D120-($D120-$I$103)*MIN(M$3-$O$2,$Q$2)/$Q$2))</f>
        <v>6554.5909450373</v>
      </c>
      <c r="N120" s="15" t="n">
        <f aca="false">M120*(1+IF(N$3&lt;=$O$2,$D120,$D120-($D120-$I$103)*MIN(N$3-$O$2,$Q$2)/$Q$2))</f>
        <v>6740.08586878185</v>
      </c>
      <c r="O120" s="15" t="n">
        <f aca="false">SUMPRODUCT(E120:N120,1/(1+$F$103)^$E$3:$N$3)*$E$2</f>
        <v>17948.3465520214</v>
      </c>
      <c r="P120" s="15" t="n">
        <f aca="false">N120*$E$2*(1+$I$103)/($F$103-$I$103)/(1+$F$103)^$N$3</f>
        <v>29005.9852099323</v>
      </c>
      <c r="Q120" s="15" t="n">
        <f aca="false">O120+P120</f>
        <v>46954.3317619537</v>
      </c>
      <c r="R120" s="15" t="n">
        <f aca="false">Q120-$G$2+$I$2</f>
        <v>40767.0317619537</v>
      </c>
      <c r="S120" s="42" t="n">
        <f aca="false">R120/$K$2</f>
        <v>560.756970590835</v>
      </c>
      <c r="T120" s="43" t="n">
        <f aca="false">S120-$M$2</f>
        <v>-0.0408285838553866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0.0925979614257813</v>
      </c>
      <c r="C121" s="25" t="n">
        <f aca="false">IF(T120&gt;0,D120,C120)</f>
        <v>0.092620849609375</v>
      </c>
      <c r="D121" s="41" t="n">
        <f aca="false">(B121+C121)/2</f>
        <v>0.0926094055175781</v>
      </c>
      <c r="E121" s="15" t="n">
        <f aca="false">$C$2*(1+IF(E$3&lt;=$O$2,$D121,$D121-($D121-$I$103)*MIN(E$3-$O$2,$Q$2)/$Q$2))</f>
        <v>3638.38932037354</v>
      </c>
      <c r="F121" s="15" t="n">
        <f aca="false">E121*(1+IF(F$3&lt;=$O$2,$D121,$D121-($D121-$I$103)*MIN(F$3-$O$2,$Q$2)/$Q$2))</f>
        <v>3975.33839237483</v>
      </c>
      <c r="G121" s="15" t="n">
        <f aca="false">F121*(1+IF(G$3&lt;=$O$2,$D121,$D121-($D121-$I$103)*MIN(G$3-$O$2,$Q$2)/$Q$2))</f>
        <v>4343.49211762387</v>
      </c>
      <c r="H121" s="15" t="n">
        <f aca="false">G121*(1+IF(H$3&lt;=$O$2,$D121,$D121-($D121-$I$103)*MIN(H$3-$O$2,$Q$2)/$Q$2))</f>
        <v>4745.74034050731</v>
      </c>
      <c r="I121" s="15" t="n">
        <f aca="false">H121*(1+IF(I$3&lt;=$O$2,$D121,$D121-($D121-$I$103)*MIN(I$3-$O$2,$Q$2)/$Q$2))</f>
        <v>5185.24053218247</v>
      </c>
      <c r="J121" s="15" t="n">
        <f aca="false">I121*(1+IF(J$3&lt;=$O$2,$D121,$D121-($D121-$I$103)*MIN(J$3-$O$2,$Q$2)/$Q$2))</f>
        <v>5598.75062811548</v>
      </c>
      <c r="K121" s="15" t="n">
        <f aca="false">J121*(1+IF(K$3&lt;=$O$2,$D121,$D121-($D121-$I$103)*MIN(K$3-$O$2,$Q$2)/$Q$2))</f>
        <v>5973.22666561232</v>
      </c>
      <c r="L121" s="15" t="n">
        <f aca="false">K121*(1+IF(L$3&lt;=$O$2,$D121,$D121-($D121-$I$103)*MIN(L$3-$O$2,$Q$2)/$Q$2))</f>
        <v>6295.92284260405</v>
      </c>
      <c r="M121" s="15" t="n">
        <f aca="false">L121*(1+IF(M$3&lt;=$O$2,$D121,$D121-($D121-$I$103)*MIN(M$3-$O$2,$Q$2)/$Q$2))</f>
        <v>6555.07487008823</v>
      </c>
      <c r="N121" s="15" t="n">
        <f aca="false">M121*(1+IF(N$3&lt;=$O$2,$D121,$D121-($D121-$I$103)*MIN(N$3-$O$2,$Q$2)/$Q$2))</f>
        <v>6740.58348891173</v>
      </c>
      <c r="O121" s="15" t="n">
        <f aca="false">SUMPRODUCT(E121:N121,1/(1+$F$103)^$E$3:$N$3)*$E$2</f>
        <v>17949.2431480736</v>
      </c>
      <c r="P121" s="15" t="n">
        <f aca="false">N121*$E$2*(1+$I$103)/($F$103-$I$103)/(1+$F$103)^$N$3</f>
        <v>29008.1267200568</v>
      </c>
      <c r="Q121" s="15" t="n">
        <f aca="false">O121+P121</f>
        <v>46957.3698681304</v>
      </c>
      <c r="R121" s="15" t="n">
        <f aca="false">Q121-$G$2+$I$2</f>
        <v>40770.0698681304</v>
      </c>
      <c r="S121" s="42" t="n">
        <f aca="false">R121/$K$2</f>
        <v>560.798760221876</v>
      </c>
      <c r="T121" s="43" t="n">
        <f aca="false">S121-$M$2</f>
        <v>0.000961047185228381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0.0925979614257813</v>
      </c>
      <c r="C122" s="25" t="n">
        <f aca="false">IF(T121&gt;0,D121,C121)</f>
        <v>0.0926094055175781</v>
      </c>
      <c r="D122" s="41" t="n">
        <f aca="false">(B122+C122)/2</f>
        <v>0.0926036834716797</v>
      </c>
      <c r="E122" s="15" t="n">
        <f aca="false">$C$2*(1+IF(E$3&lt;=$O$2,$D122,$D122-($D122-$I$103)*MIN(E$3-$O$2,$Q$2)/$Q$2))</f>
        <v>3638.37026596069</v>
      </c>
      <c r="F122" s="15" t="n">
        <f aca="false">E122*(1+IF(F$3&lt;=$O$2,$D122,$D122-($D122-$I$103)*MIN(F$3-$O$2,$Q$2)/$Q$2))</f>
        <v>3975.29675442249</v>
      </c>
      <c r="G122" s="15" t="n">
        <f aca="false">F122*(1+IF(G$3&lt;=$O$2,$D122,$D122-($D122-$I$103)*MIN(G$3-$O$2,$Q$2)/$Q$2))</f>
        <v>4343.42387677502</v>
      </c>
      <c r="H122" s="15" t="n">
        <f aca="false">G122*(1+IF(H$3&lt;=$O$2,$D122,$D122-($D122-$I$103)*MIN(H$3-$O$2,$Q$2)/$Q$2))</f>
        <v>4745.64092664323</v>
      </c>
      <c r="I122" s="15" t="n">
        <f aca="false">H122*(1+IF(I$3&lt;=$O$2,$D122,$D122-($D122-$I$103)*MIN(I$3-$O$2,$Q$2)/$Q$2))</f>
        <v>5185.10475688435</v>
      </c>
      <c r="J122" s="15" t="n">
        <f aca="false">I122*(1+IF(J$3&lt;=$O$2,$D122,$D122-($D122-$I$103)*MIN(J$3-$O$2,$Q$2)/$Q$2))</f>
        <v>5598.58028954753</v>
      </c>
      <c r="K122" s="15" t="n">
        <f aca="false">J122*(1+IF(K$3&lt;=$O$2,$D122,$D122-($D122-$I$103)*MIN(K$3-$O$2,$Q$2)/$Q$2))</f>
        <v>5973.02571263964</v>
      </c>
      <c r="L122" s="15" t="n">
        <f aca="false">K122*(1+IF(L$3&lt;=$O$2,$D122,$D122-($D122-$I$103)*MIN(L$3-$O$2,$Q$2)/$Q$2))</f>
        <v>6295.69736222485</v>
      </c>
      <c r="M122" s="15" t="n">
        <f aca="false">L122*(1+IF(M$3&lt;=$O$2,$D122,$D122-($D122-$I$103)*MIN(M$3-$O$2,$Q$2)/$Q$2))</f>
        <v>6554.83290365862</v>
      </c>
      <c r="N122" s="15" t="n">
        <f aca="false">M122*(1+IF(N$3&lt;=$O$2,$D122,$D122-($D122-$I$103)*MIN(N$3-$O$2,$Q$2)/$Q$2))</f>
        <v>6740.33467483216</v>
      </c>
      <c r="O122" s="15" t="n">
        <f aca="false">SUMPRODUCT(E122:N122,1/(1+$F$103)^$E$3:$N$3)*$E$2</f>
        <v>17948.7948444811</v>
      </c>
      <c r="P122" s="15" t="n">
        <f aca="false">N122*$E$2*(1+$I$103)/($F$103-$I$103)/(1+$F$103)^$N$3</f>
        <v>29007.0559477176</v>
      </c>
      <c r="Q122" s="15" t="n">
        <f aca="false">O122+P122</f>
        <v>46955.8507921987</v>
      </c>
      <c r="R122" s="15" t="n">
        <f aca="false">Q122-$G$2+$I$2</f>
        <v>40768.5507921987</v>
      </c>
      <c r="S122" s="42" t="n">
        <f aca="false">R122/$K$2</f>
        <v>560.777865092142</v>
      </c>
      <c r="T122" s="43" t="n">
        <f aca="false">S122-$M$2</f>
        <v>-0.0199340825489571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0.0926036834716797</v>
      </c>
      <c r="C123" s="25" t="n">
        <f aca="false">IF(T122&gt;0,D122,C122)</f>
        <v>0.0926094055175781</v>
      </c>
      <c r="D123" s="41" t="n">
        <f aca="false">(B123+C123)/2</f>
        <v>0.0926065444946289</v>
      </c>
      <c r="E123" s="15" t="n">
        <f aca="false">$C$2*(1+IF(E$3&lt;=$O$2,$D123,$D123-($D123-$I$103)*MIN(E$3-$O$2,$Q$2)/$Q$2))</f>
        <v>3638.37979316711</v>
      </c>
      <c r="F123" s="15" t="n">
        <f aca="false">E123*(1+IF(F$3&lt;=$O$2,$D123,$D123-($D123-$I$103)*MIN(F$3-$O$2,$Q$2)/$Q$2))</f>
        <v>3975.3175733714</v>
      </c>
      <c r="G123" s="15" t="n">
        <f aca="false">F123*(1+IF(G$3&lt;=$O$2,$D123,$D123-($D123-$I$103)*MIN(G$3-$O$2,$Q$2)/$Q$2))</f>
        <v>4343.4579971101</v>
      </c>
      <c r="H123" s="15" t="n">
        <f aca="false">G123*(1+IF(H$3&lt;=$O$2,$D123,$D123-($D123-$I$103)*MIN(H$3-$O$2,$Q$2)/$Q$2))</f>
        <v>4745.69063338003</v>
      </c>
      <c r="I123" s="15" t="n">
        <f aca="false">H123*(1+IF(I$3&lt;=$O$2,$D123,$D123-($D123-$I$103)*MIN(I$3-$O$2,$Q$2)/$Q$2))</f>
        <v>5185.17264417788</v>
      </c>
      <c r="J123" s="15" t="n">
        <f aca="false">I123*(1+IF(J$3&lt;=$O$2,$D123,$D123-($D123-$I$103)*MIN(J$3-$O$2,$Q$2)/$Q$2))</f>
        <v>5598.66545829224</v>
      </c>
      <c r="K123" s="15" t="n">
        <f aca="false">J123*(1+IF(K$3&lt;=$O$2,$D123,$D123-($D123-$I$103)*MIN(K$3-$O$2,$Q$2)/$Q$2))</f>
        <v>5973.12618840444</v>
      </c>
      <c r="L123" s="15" t="n">
        <f aca="false">K123*(1+IF(L$3&lt;=$O$2,$D123,$D123-($D123-$I$103)*MIN(L$3-$O$2,$Q$2)/$Q$2))</f>
        <v>6295.81010153895</v>
      </c>
      <c r="M123" s="15" t="n">
        <f aca="false">L123*(1+IF(M$3&lt;=$O$2,$D123,$D123-($D123-$I$103)*MIN(M$3-$O$2,$Q$2)/$Q$2))</f>
        <v>6554.95388589737</v>
      </c>
      <c r="N123" s="15" t="n">
        <f aca="false">M123*(1+IF(N$3&lt;=$O$2,$D123,$D123-($D123-$I$103)*MIN(N$3-$O$2,$Q$2)/$Q$2))</f>
        <v>6740.45908086827</v>
      </c>
      <c r="O123" s="15" t="n">
        <f aca="false">SUMPRODUCT(E123:N123,1/(1+$F$103)^$E$3:$N$3)*$E$2</f>
        <v>17949.0189948858</v>
      </c>
      <c r="P123" s="15" t="n">
        <f aca="false">N123*$E$2*(1+$I$103)/($F$103-$I$103)/(1+$F$103)^$N$3</f>
        <v>29007.5913295678</v>
      </c>
      <c r="Q123" s="15" t="n">
        <f aca="false">O123+P123</f>
        <v>46956.6103244536</v>
      </c>
      <c r="R123" s="15" t="n">
        <f aca="false">Q123-$G$2+$I$2</f>
        <v>40769.3103244536</v>
      </c>
      <c r="S123" s="42" t="n">
        <f aca="false">R123/$K$2</f>
        <v>560.788312578454</v>
      </c>
      <c r="T123" s="43" t="n">
        <f aca="false">S123-$M$2</f>
        <v>-0.00948659623645654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0.0926065444946289</v>
      </c>
      <c r="C124" s="25" t="n">
        <f aca="false">IF(T123&gt;0,D123,C123)</f>
        <v>0.0926094055175781</v>
      </c>
      <c r="D124" s="41" t="n">
        <f aca="false">(B124+C124)/2</f>
        <v>0.0926079750061035</v>
      </c>
      <c r="E124" s="15" t="n">
        <f aca="false">$C$2*(1+IF(E$3&lt;=$O$2,$D124,$D124-($D124-$I$103)*MIN(E$3-$O$2,$Q$2)/$Q$2))</f>
        <v>3638.38455677032</v>
      </c>
      <c r="F124" s="15" t="n">
        <f aca="false">E124*(1+IF(F$3&lt;=$O$2,$D124,$D124-($D124-$I$103)*MIN(F$3-$O$2,$Q$2)/$Q$2))</f>
        <v>3975.3279828663</v>
      </c>
      <c r="G124" s="15" t="n">
        <f aca="false">F124*(1+IF(G$3&lt;=$O$2,$D124,$D124-($D124-$I$103)*MIN(G$3-$O$2,$Q$2)/$Q$2))</f>
        <v>4343.47505734465</v>
      </c>
      <c r="H124" s="15" t="n">
        <f aca="false">G124*(1+IF(H$3&lt;=$O$2,$D124,$D124-($D124-$I$103)*MIN(H$3-$O$2,$Q$2)/$Q$2))</f>
        <v>4745.71548689486</v>
      </c>
      <c r="I124" s="15" t="n">
        <f aca="false">H124*(1+IF(I$3&lt;=$O$2,$D124,$D124-($D124-$I$103)*MIN(I$3-$O$2,$Q$2)/$Q$2))</f>
        <v>5185.2065880913</v>
      </c>
      <c r="J124" s="15" t="n">
        <f aca="false">I124*(1+IF(J$3&lt;=$O$2,$D124,$D124-($D124-$I$103)*MIN(J$3-$O$2,$Q$2)/$Q$2))</f>
        <v>5598.70804306905</v>
      </c>
      <c r="K124" s="15" t="n">
        <f aca="false">J124*(1+IF(K$3&lt;=$O$2,$D124,$D124-($D124-$I$103)*MIN(K$3-$O$2,$Q$2)/$Q$2))</f>
        <v>5973.17642682799</v>
      </c>
      <c r="L124" s="15" t="n">
        <f aca="false">K124*(1+IF(L$3&lt;=$O$2,$D124,$D124-($D124-$I$103)*MIN(L$3-$O$2,$Q$2)/$Q$2))</f>
        <v>6295.86647185263</v>
      </c>
      <c r="M124" s="15" t="n">
        <f aca="false">L124*(1+IF(M$3&lt;=$O$2,$D124,$D124-($D124-$I$103)*MIN(M$3-$O$2,$Q$2)/$Q$2))</f>
        <v>6555.01437774879</v>
      </c>
      <c r="N124" s="15" t="n">
        <f aca="false">M124*(1+IF(N$3&lt;=$O$2,$D124,$D124-($D124-$I$103)*MIN(N$3-$O$2,$Q$2)/$Q$2))</f>
        <v>6740.52128463908</v>
      </c>
      <c r="O124" s="15" t="n">
        <f aca="false">SUMPRODUCT(E124:N124,1/(1+$F$103)^$E$3:$N$3)*$E$2</f>
        <v>17949.1310711318</v>
      </c>
      <c r="P124" s="15" t="n">
        <f aca="false">N124*$E$2*(1+$I$103)/($F$103-$I$103)/(1+$F$103)^$N$3</f>
        <v>29007.8590237325</v>
      </c>
      <c r="Q124" s="15" t="n">
        <f aca="false">O124+P124</f>
        <v>46956.9900948642</v>
      </c>
      <c r="R124" s="15" t="n">
        <f aca="false">Q124-$G$2+$I$2</f>
        <v>40769.6900948642</v>
      </c>
      <c r="S124" s="42" t="n">
        <f aca="false">R124/$K$2</f>
        <v>560.793536380526</v>
      </c>
      <c r="T124" s="43" t="n">
        <f aca="false">S124-$M$2</f>
        <v>-0.00426279416444686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0.0926079750061035</v>
      </c>
      <c r="C125" s="25" t="n">
        <f aca="false">IF(T124&gt;0,D124,C124)</f>
        <v>0.0926094055175781</v>
      </c>
      <c r="D125" s="41" t="n">
        <f aca="false">(B125+C125)/2</f>
        <v>0.0926086902618408</v>
      </c>
      <c r="E125" s="15" t="n">
        <f aca="false">$C$2*(1+IF(E$3&lt;=$O$2,$D125,$D125-($D125-$I$103)*MIN(E$3-$O$2,$Q$2)/$Q$2))</f>
        <v>3638.38693857193</v>
      </c>
      <c r="F125" s="15" t="n">
        <f aca="false">E125*(1+IF(F$3&lt;=$O$2,$D125,$D125-($D125-$I$103)*MIN(F$3-$O$2,$Q$2)/$Q$2))</f>
        <v>3975.33318761887</v>
      </c>
      <c r="G125" s="15" t="n">
        <f aca="false">F125*(1+IF(G$3&lt;=$O$2,$D125,$D125-($D125-$I$103)*MIN(G$3-$O$2,$Q$2)/$Q$2))</f>
        <v>4343.48358747868</v>
      </c>
      <c r="H125" s="15" t="n">
        <f aca="false">G125*(1+IF(H$3&lt;=$O$2,$D125,$D125-($D125-$I$103)*MIN(H$3-$O$2,$Q$2)/$Q$2))</f>
        <v>4745.72791368888</v>
      </c>
      <c r="I125" s="15" t="n">
        <f aca="false">H125*(1+IF(I$3&lt;=$O$2,$D125,$D125-($D125-$I$103)*MIN(I$3-$O$2,$Q$2)/$Q$2))</f>
        <v>5185.22356011467</v>
      </c>
      <c r="J125" s="15" t="n">
        <f aca="false">I125*(1+IF(J$3&lt;=$O$2,$D125,$D125-($D125-$I$103)*MIN(J$3-$O$2,$Q$2)/$Q$2))</f>
        <v>5598.72933555856</v>
      </c>
      <c r="K125" s="15" t="n">
        <f aca="false">J125*(1+IF(K$3&lt;=$O$2,$D125,$D125-($D125-$I$103)*MIN(K$3-$O$2,$Q$2)/$Q$2))</f>
        <v>5973.20154617506</v>
      </c>
      <c r="L125" s="15" t="n">
        <f aca="false">K125*(1+IF(L$3&lt;=$O$2,$D125,$D125-($D125-$I$103)*MIN(L$3-$O$2,$Q$2)/$Q$2))</f>
        <v>6295.89465717362</v>
      </c>
      <c r="M125" s="15" t="n">
        <f aca="false">L125*(1+IF(M$3&lt;=$O$2,$D125,$D125-($D125-$I$103)*MIN(M$3-$O$2,$Q$2)/$Q$2))</f>
        <v>6555.04462385751</v>
      </c>
      <c r="N125" s="15" t="n">
        <f aca="false">M125*(1+IF(N$3&lt;=$O$2,$D125,$D125-($D125-$I$103)*MIN(N$3-$O$2,$Q$2)/$Q$2))</f>
        <v>6740.55238671267</v>
      </c>
      <c r="O125" s="15" t="n">
        <f aca="false">SUMPRODUCT(E125:N125,1/(1+$F$103)^$E$3:$N$3)*$E$2</f>
        <v>17949.1871095157</v>
      </c>
      <c r="P125" s="15" t="n">
        <f aca="false">N125*$E$2*(1+$I$103)/($F$103-$I$103)/(1+$F$103)^$N$3</f>
        <v>29007.9928716247</v>
      </c>
      <c r="Q125" s="15" t="n">
        <f aca="false">O125+P125</f>
        <v>46957.1799811404</v>
      </c>
      <c r="R125" s="15" t="n">
        <f aca="false">Q125-$G$2+$I$2</f>
        <v>40769.8799811404</v>
      </c>
      <c r="S125" s="42" t="n">
        <f aca="false">R125/$K$2</f>
        <v>560.796148296291</v>
      </c>
      <c r="T125" s="43" t="n">
        <f aca="false">S125-$M$2</f>
        <v>-0.00165087839923217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0.0926086902618408</v>
      </c>
      <c r="C126" s="25" t="n">
        <f aca="false">IF(T125&gt;0,D125,C125)</f>
        <v>0.0926094055175781</v>
      </c>
      <c r="D126" s="41" t="n">
        <f aca="false">(B126+C126)/2</f>
        <v>0.0926090478897095</v>
      </c>
      <c r="E126" s="15" t="n">
        <f aca="false">$C$2*(1+IF(E$3&lt;=$O$2,$D126,$D126-($D126-$I$103)*MIN(E$3-$O$2,$Q$2)/$Q$2))</f>
        <v>3638.38812947273</v>
      </c>
      <c r="F126" s="15" t="n">
        <f aca="false">E126*(1+IF(F$3&lt;=$O$2,$D126,$D126-($D126-$I$103)*MIN(F$3-$O$2,$Q$2)/$Q$2))</f>
        <v>3975.33578999642</v>
      </c>
      <c r="G126" s="15" t="n">
        <f aca="false">F126*(1+IF(G$3&lt;=$O$2,$D126,$D126-($D126-$I$103)*MIN(G$3-$O$2,$Q$2)/$Q$2))</f>
        <v>4343.48785254988</v>
      </c>
      <c r="H126" s="15" t="n">
        <f aca="false">G126*(1+IF(H$3&lt;=$O$2,$D126,$D126-($D126-$I$103)*MIN(H$3-$O$2,$Q$2)/$Q$2))</f>
        <v>4745.73412709504</v>
      </c>
      <c r="I126" s="15" t="n">
        <f aca="false">H126*(1+IF(I$3&lt;=$O$2,$D126,$D126-($D126-$I$103)*MIN(I$3-$O$2,$Q$2)/$Q$2))</f>
        <v>5185.23204614301</v>
      </c>
      <c r="J126" s="15" t="n">
        <f aca="false">I126*(1+IF(J$3&lt;=$O$2,$D126,$D126-($D126-$I$103)*MIN(J$3-$O$2,$Q$2)/$Q$2))</f>
        <v>5598.7399818286</v>
      </c>
      <c r="K126" s="15" t="n">
        <f aca="false">J126*(1+IF(K$3&lt;=$O$2,$D126,$D126-($D126-$I$103)*MIN(K$3-$O$2,$Q$2)/$Q$2))</f>
        <v>5973.21410588241</v>
      </c>
      <c r="L126" s="15" t="n">
        <f aca="false">K126*(1+IF(L$3&lt;=$O$2,$D126,$D126-($D126-$I$103)*MIN(L$3-$O$2,$Q$2)/$Q$2))</f>
        <v>6295.90874987516</v>
      </c>
      <c r="M126" s="15" t="n">
        <f aca="false">L126*(1+IF(M$3&lt;=$O$2,$D126,$D126-($D126-$I$103)*MIN(M$3-$O$2,$Q$2)/$Q$2))</f>
        <v>6555.05974695762</v>
      </c>
      <c r="N126" s="15" t="n">
        <f aca="false">M126*(1+IF(N$3&lt;=$O$2,$D126,$D126-($D126-$I$103)*MIN(N$3-$O$2,$Q$2)/$Q$2))</f>
        <v>6740.56793779652</v>
      </c>
      <c r="O126" s="15" t="n">
        <f aca="false">SUMPRODUCT(E126:N126,1/(1+$F$103)^$E$3:$N$3)*$E$2</f>
        <v>17949.2151287729</v>
      </c>
      <c r="P126" s="15" t="n">
        <f aca="false">N126*$E$2*(1+$I$103)/($F$103-$I$103)/(1+$F$103)^$N$3</f>
        <v>29008.0597957732</v>
      </c>
      <c r="Q126" s="15" t="n">
        <f aca="false">O126+P126</f>
        <v>46957.2749245461</v>
      </c>
      <c r="R126" s="15" t="n">
        <f aca="false">Q126-$G$2+$I$2</f>
        <v>40769.9749245461</v>
      </c>
      <c r="S126" s="42" t="n">
        <f aca="false">R126/$K$2</f>
        <v>560.797454257856</v>
      </c>
      <c r="T126" s="43" t="n">
        <f aca="false">S126-$M$2</f>
        <v>-0.000344916834478681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0.0926090478897095</v>
      </c>
      <c r="C127" s="25" t="n">
        <f aca="false">IF(T126&gt;0,D126,C126)</f>
        <v>0.0926094055175781</v>
      </c>
      <c r="D127" s="41" t="n">
        <f aca="false">(B127+C127)/2</f>
        <v>0.0926092267036438</v>
      </c>
      <c r="E127" s="15" t="n">
        <f aca="false">$C$2*(1+IF(E$3&lt;=$O$2,$D127,$D127-($D127-$I$103)*MIN(E$3-$O$2,$Q$2)/$Q$2))</f>
        <v>3638.38872492313</v>
      </c>
      <c r="F127" s="15" t="n">
        <f aca="false">E127*(1+IF(F$3&lt;=$O$2,$D127,$D127-($D127-$I$103)*MIN(F$3-$O$2,$Q$2)/$Q$2))</f>
        <v>3975.33709118552</v>
      </c>
      <c r="G127" s="15" t="n">
        <f aca="false">F127*(1+IF(G$3&lt;=$O$2,$D127,$D127-($D127-$I$103)*MIN(G$3-$O$2,$Q$2)/$Q$2))</f>
        <v>4343.48998508653</v>
      </c>
      <c r="H127" s="15" t="n">
        <f aca="false">G127*(1+IF(H$3&lt;=$O$2,$D127,$D127-($D127-$I$103)*MIN(H$3-$O$2,$Q$2)/$Q$2))</f>
        <v>4745.73723380041</v>
      </c>
      <c r="I127" s="15" t="n">
        <f aca="false">H127*(1+IF(I$3&lt;=$O$2,$D127,$D127-($D127-$I$103)*MIN(I$3-$O$2,$Q$2)/$Q$2))</f>
        <v>5185.23628916136</v>
      </c>
      <c r="J127" s="15" t="n">
        <f aca="false">I127*(1+IF(J$3&lt;=$O$2,$D127,$D127-($D127-$I$103)*MIN(J$3-$O$2,$Q$2)/$Q$2))</f>
        <v>5598.74530496993</v>
      </c>
      <c r="K127" s="15" t="n">
        <f aca="false">J127*(1+IF(K$3&lt;=$O$2,$D127,$D127-($D127-$I$103)*MIN(K$3-$O$2,$Q$2)/$Q$2))</f>
        <v>5973.22038574455</v>
      </c>
      <c r="L127" s="15" t="n">
        <f aca="false">K127*(1+IF(L$3&lt;=$O$2,$D127,$D127-($D127-$I$103)*MIN(L$3-$O$2,$Q$2)/$Q$2))</f>
        <v>6295.91579623619</v>
      </c>
      <c r="M127" s="15" t="n">
        <f aca="false">L127*(1+IF(M$3&lt;=$O$2,$D127,$D127-($D127-$I$103)*MIN(M$3-$O$2,$Q$2)/$Q$2))</f>
        <v>6555.06730851911</v>
      </c>
      <c r="N127" s="15" t="n">
        <f aca="false">M127*(1+IF(N$3&lt;=$O$2,$D127,$D127-($D127-$I$103)*MIN(N$3-$O$2,$Q$2)/$Q$2))</f>
        <v>6740.5757133502</v>
      </c>
      <c r="O127" s="15" t="n">
        <f aca="false">SUMPRODUCT(E127:N127,1/(1+$F$103)^$E$3:$N$3)*$E$2</f>
        <v>17949.2291384178</v>
      </c>
      <c r="P127" s="15" t="n">
        <f aca="false">N127*$E$2*(1+$I$103)/($F$103-$I$103)/(1+$F$103)^$N$3</f>
        <v>29008.0932578981</v>
      </c>
      <c r="Q127" s="15" t="n">
        <f aca="false">O127+P127</f>
        <v>46957.322396316</v>
      </c>
      <c r="R127" s="15" t="n">
        <f aca="false">Q127-$G$2+$I$2</f>
        <v>40770.0223963159</v>
      </c>
      <c r="S127" s="42" t="n">
        <f aca="false">R127/$K$2</f>
        <v>560.798107239559</v>
      </c>
      <c r="T127" s="43" t="n">
        <f aca="false">S127-$M$2</f>
        <v>0.000308064868590918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0.0926090478897095</v>
      </c>
      <c r="C128" s="25" t="n">
        <f aca="false">IF(T127&gt;0,D127,C127)</f>
        <v>0.0926092267036438</v>
      </c>
      <c r="D128" s="41" t="n">
        <f aca="false">(B128+C128)/2</f>
        <v>0.0926091372966766</v>
      </c>
      <c r="E128" s="15" t="n">
        <f aca="false">$C$2*(1+IF(E$3&lt;=$O$2,$D128,$D128-($D128-$I$103)*MIN(E$3-$O$2,$Q$2)/$Q$2))</f>
        <v>3638.38842719793</v>
      </c>
      <c r="F128" s="15" t="n">
        <f aca="false">E128*(1+IF(F$3&lt;=$O$2,$D128,$D128-($D128-$I$103)*MIN(F$3-$O$2,$Q$2)/$Q$2))</f>
        <v>3975.33644059095</v>
      </c>
      <c r="G128" s="15" t="n">
        <f aca="false">F128*(1+IF(G$3&lt;=$O$2,$D128,$D128-($D128-$I$103)*MIN(G$3-$O$2,$Q$2)/$Q$2))</f>
        <v>4343.48891881812</v>
      </c>
      <c r="H128" s="15" t="n">
        <f aca="false">G128*(1+IF(H$3&lt;=$O$2,$D128,$D128-($D128-$I$103)*MIN(H$3-$O$2,$Q$2)/$Q$2))</f>
        <v>4745.73568044754</v>
      </c>
      <c r="I128" s="15" t="n">
        <f aca="false">H128*(1+IF(I$3&lt;=$O$2,$D128,$D128-($D128-$I$103)*MIN(I$3-$O$2,$Q$2)/$Q$2))</f>
        <v>5185.23416765184</v>
      </c>
      <c r="J128" s="15" t="n">
        <f aca="false">I128*(1+IF(J$3&lt;=$O$2,$D128,$D128-($D128-$I$103)*MIN(J$3-$O$2,$Q$2)/$Q$2))</f>
        <v>5598.74264339874</v>
      </c>
      <c r="K128" s="15" t="n">
        <f aca="false">J128*(1+IF(K$3&lt;=$O$2,$D128,$D128-($D128-$I$103)*MIN(K$3-$O$2,$Q$2)/$Q$2))</f>
        <v>5973.21724581278</v>
      </c>
      <c r="L128" s="15" t="n">
        <f aca="false">K128*(1+IF(L$3&lt;=$O$2,$D128,$D128-($D128-$I$103)*MIN(L$3-$O$2,$Q$2)/$Q$2))</f>
        <v>6295.91227305482</v>
      </c>
      <c r="M128" s="15" t="n">
        <f aca="false">L128*(1+IF(M$3&lt;=$O$2,$D128,$D128-($D128-$I$103)*MIN(M$3-$O$2,$Q$2)/$Q$2))</f>
        <v>6555.06352773741</v>
      </c>
      <c r="N128" s="15" t="n">
        <f aca="false">M128*(1+IF(N$3&lt;=$O$2,$D128,$D128-($D128-$I$103)*MIN(N$3-$O$2,$Q$2)/$Q$2))</f>
        <v>6740.57182557238</v>
      </c>
      <c r="O128" s="15" t="n">
        <f aca="false">SUMPRODUCT(E128:N128,1/(1+$F$103)^$E$3:$N$3)*$E$2</f>
        <v>17949.222133594</v>
      </c>
      <c r="P128" s="15" t="n">
        <f aca="false">N128*$E$2*(1+$I$103)/($F$103-$I$103)/(1+$F$103)^$N$3</f>
        <v>29008.0765268314</v>
      </c>
      <c r="Q128" s="15" t="n">
        <f aca="false">O128+P128</f>
        <v>46957.2986604255</v>
      </c>
      <c r="R128" s="15" t="n">
        <f aca="false">Q128-$G$2+$I$2</f>
        <v>40769.9986604255</v>
      </c>
      <c r="S128" s="42" t="n">
        <f aca="false">R128/$K$2</f>
        <v>560.797780748631</v>
      </c>
      <c r="T128" s="43" t="n">
        <f aca="false">S128-$M$2</f>
        <v>-1.84260595688102E-005</v>
      </c>
    </row>
    <row r="130" customFormat="false" ht="15" hidden="false" customHeight="false" outlineLevel="0" collapsed="false">
      <c r="A130" s="38" t="s">
        <v>185</v>
      </c>
      <c r="E130" s="5" t="s">
        <v>11</v>
      </c>
      <c r="F130" s="12" t="n">
        <f aca="false">Sensitivity!$B$10</f>
        <v>0.0853306228759286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162</v>
      </c>
      <c r="B131" s="28" t="s">
        <v>163</v>
      </c>
      <c r="C131" s="28" t="s">
        <v>164</v>
      </c>
      <c r="D131" s="28" t="s">
        <v>165</v>
      </c>
      <c r="E131" s="28" t="s">
        <v>166</v>
      </c>
      <c r="F131" s="28" t="s">
        <v>167</v>
      </c>
      <c r="G131" s="28" t="s">
        <v>168</v>
      </c>
      <c r="H131" s="28" t="s">
        <v>169</v>
      </c>
      <c r="I131" s="28" t="s">
        <v>170</v>
      </c>
      <c r="J131" s="28" t="s">
        <v>171</v>
      </c>
      <c r="K131" s="28" t="s">
        <v>172</v>
      </c>
      <c r="L131" s="28" t="s">
        <v>173</v>
      </c>
      <c r="M131" s="28" t="s">
        <v>174</v>
      </c>
      <c r="N131" s="28" t="s">
        <v>175</v>
      </c>
      <c r="O131" s="28" t="s">
        <v>176</v>
      </c>
      <c r="P131" s="28" t="s">
        <v>177</v>
      </c>
      <c r="Q131" s="28" t="s">
        <v>178</v>
      </c>
      <c r="R131" s="28" t="s">
        <v>179</v>
      </c>
      <c r="S131" s="28" t="s">
        <v>180</v>
      </c>
      <c r="T131" s="28" t="s">
        <v>181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4162.5</v>
      </c>
      <c r="F132" s="15" t="n">
        <f aca="false">E132*(1+IF(F$3&lt;=$O$2,$D132,$D132-($D132-$I$130)*MIN(F$3-$O$2,$Q$2)/$Q$2))</f>
        <v>5203.125</v>
      </c>
      <c r="G132" s="15" t="n">
        <f aca="false">F132*(1+IF(G$3&lt;=$O$2,$D132,$D132-($D132-$I$130)*MIN(G$3-$O$2,$Q$2)/$Q$2))</f>
        <v>6503.90625</v>
      </c>
      <c r="H132" s="15" t="n">
        <f aca="false">G132*(1+IF(H$3&lt;=$O$2,$D132,$D132-($D132-$I$130)*MIN(H$3-$O$2,$Q$2)/$Q$2))</f>
        <v>8129.8828125</v>
      </c>
      <c r="I132" s="15" t="n">
        <f aca="false">H132*(1+IF(I$3&lt;=$O$2,$D132,$D132-($D132-$I$130)*MIN(I$3-$O$2,$Q$2)/$Q$2))</f>
        <v>10162.353515625</v>
      </c>
      <c r="J132" s="15" t="n">
        <f aca="false">I132*(1+IF(J$3&lt;=$O$2,$D132,$D132-($D132-$I$130)*MIN(J$3-$O$2,$Q$2)/$Q$2))</f>
        <v>12262.5054931641</v>
      </c>
      <c r="K132" s="15" t="n">
        <f aca="false">J132*(1+IF(K$3&lt;=$O$2,$D132,$D132-($D132-$I$130)*MIN(K$3-$O$2,$Q$2)/$Q$2))</f>
        <v>14265.2178903076</v>
      </c>
      <c r="L132" s="15" t="n">
        <f aca="false">K132*(1+IF(L$3&lt;=$O$2,$D132,$D132-($D132-$I$130)*MIN(L$3-$O$2,$Q$2)/$Q$2))</f>
        <v>15976.7587327867</v>
      </c>
      <c r="M132" s="15" t="n">
        <f aca="false">L132*(1+IF(M$3&lt;=$O$2,$D132,$D132-($D132-$I$130)*MIN(M$3-$O$2,$Q$2)/$Q$2))</f>
        <v>17201.2175220675</v>
      </c>
      <c r="N132" s="15" t="n">
        <f aca="false">M132*(1+IF(N$3&lt;=$O$2,$D132,$D132-($D132-$I$130)*MIN(N$3-$O$2,$Q$2)/$Q$2))</f>
        <v>17774.0180655523</v>
      </c>
      <c r="O132" s="15" t="n">
        <f aca="false">SUMPRODUCT(E132:N132,1/(1+$F$130)^$E$3:$N$3)*$E$2</f>
        <v>35648.7255133807</v>
      </c>
      <c r="P132" s="15" t="n">
        <f aca="false">N132*$E$2*(1+$I$130)/($F$130-$I$130)/(1+$F$130)^$N$3</f>
        <v>84248.7551308246</v>
      </c>
      <c r="Q132" s="15" t="n">
        <f aca="false">O132+P132</f>
        <v>119897.480644205</v>
      </c>
      <c r="R132" s="15" t="n">
        <f aca="false">Q132-$G$2+$I$2</f>
        <v>113710.180644205</v>
      </c>
      <c r="S132" s="42" t="n">
        <f aca="false">R132/$K$2</f>
        <v>1564.10152192855</v>
      </c>
      <c r="T132" s="43" t="n">
        <f aca="false">S132-$M$2</f>
        <v>1003.30372275386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2913.75</v>
      </c>
      <c r="F133" s="15" t="n">
        <f aca="false">E133*(1+IF(F$3&lt;=$O$2,$D133,$D133-($D133-$I$130)*MIN(F$3-$O$2,$Q$2)/$Q$2))</f>
        <v>2549.53125</v>
      </c>
      <c r="G133" s="15" t="n">
        <f aca="false">F133*(1+IF(G$3&lt;=$O$2,$D133,$D133-($D133-$I$130)*MIN(G$3-$O$2,$Q$2)/$Q$2))</f>
        <v>2230.83984375</v>
      </c>
      <c r="H133" s="15" t="n">
        <f aca="false">G133*(1+IF(H$3&lt;=$O$2,$D133,$D133-($D133-$I$130)*MIN(H$3-$O$2,$Q$2)/$Q$2))</f>
        <v>1951.98486328125</v>
      </c>
      <c r="I133" s="15" t="n">
        <f aca="false">H133*(1+IF(I$3&lt;=$O$2,$D133,$D133-($D133-$I$130)*MIN(I$3-$O$2,$Q$2)/$Q$2))</f>
        <v>1707.98675537109</v>
      </c>
      <c r="J133" s="15" t="n">
        <f aca="false">I133*(1+IF(J$3&lt;=$O$2,$D133,$D133-($D133-$I$130)*MIN(J$3-$O$2,$Q$2)/$Q$2))</f>
        <v>1548.56327162476</v>
      </c>
      <c r="K133" s="15" t="n">
        <f aca="false">J133*(1+IF(K$3&lt;=$O$2,$D133,$D133-($D133-$I$130)*MIN(K$3-$O$2,$Q$2)/$Q$2))</f>
        <v>1453.04788903094</v>
      </c>
      <c r="L133" s="15" t="n">
        <f aca="false">K133*(1+IF(L$3&lt;=$O$2,$D133,$D133-($D133-$I$130)*MIN(L$3-$O$2,$Q$2)/$Q$2))</f>
        <v>1409.42739140223</v>
      </c>
      <c r="M133" s="15" t="n">
        <f aca="false">L133*(1+IF(M$3&lt;=$O$2,$D133,$D133-($D133-$I$130)*MIN(M$3-$O$2,$Q$2)/$Q$2))</f>
        <v>1411.73885232413</v>
      </c>
      <c r="N133" s="15" t="n">
        <f aca="false">M133*(1+IF(N$3&lt;=$O$2,$D133,$D133-($D133-$I$130)*MIN(N$3-$O$2,$Q$2)/$Q$2))</f>
        <v>1458.74975610653</v>
      </c>
      <c r="O133" s="15" t="n">
        <f aca="false">SUMPRODUCT(E133:N133,1/(1+$F$130)^$E$3:$N$3)*$E$2</f>
        <v>7011.02641631976</v>
      </c>
      <c r="P133" s="15" t="n">
        <f aca="false">N133*$E$2*(1+$I$130)/($F$130-$I$130)/(1+$F$130)^$N$3</f>
        <v>6914.46641643489</v>
      </c>
      <c r="Q133" s="15" t="n">
        <f aca="false">O133+P133</f>
        <v>13925.4928327547</v>
      </c>
      <c r="R133" s="15" t="n">
        <f aca="false">Q133-$G$2+$I$2</f>
        <v>7738.19283275465</v>
      </c>
      <c r="S133" s="42" t="n">
        <f aca="false">R133/$K$2</f>
        <v>106.440066475305</v>
      </c>
      <c r="T133" s="43" t="n">
        <f aca="false">S133-$M$2</f>
        <v>-454.357732699386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3538.125</v>
      </c>
      <c r="F134" s="15" t="n">
        <f aca="false">E134*(1+IF(F$3&lt;=$O$2,$D134,$D134-($D134-$I$130)*MIN(F$3-$O$2,$Q$2)/$Q$2))</f>
        <v>3759.2578125</v>
      </c>
      <c r="G134" s="15" t="n">
        <f aca="false">F134*(1+IF(G$3&lt;=$O$2,$D134,$D134-($D134-$I$130)*MIN(G$3-$O$2,$Q$2)/$Q$2))</f>
        <v>3994.21142578125</v>
      </c>
      <c r="H134" s="15" t="n">
        <f aca="false">G134*(1+IF(H$3&lt;=$O$2,$D134,$D134-($D134-$I$130)*MIN(H$3-$O$2,$Q$2)/$Q$2))</f>
        <v>4243.84963989258</v>
      </c>
      <c r="I134" s="15" t="n">
        <f aca="false">H134*(1+IF(I$3&lt;=$O$2,$D134,$D134-($D134-$I$130)*MIN(I$3-$O$2,$Q$2)/$Q$2))</f>
        <v>4509.09024238586</v>
      </c>
      <c r="J134" s="15" t="n">
        <f aca="false">I134*(1+IF(J$3&lt;=$O$2,$D134,$D134-($D134-$I$130)*MIN(J$3-$O$2,$Q$2)/$Q$2))</f>
        <v>4764.57529551945</v>
      </c>
      <c r="K134" s="15" t="n">
        <f aca="false">J134*(1+IF(K$3&lt;=$O$2,$D134,$D134-($D134-$I$130)*MIN(K$3-$O$2,$Q$2)/$Q$2))</f>
        <v>5006.71101203775</v>
      </c>
      <c r="L134" s="15" t="n">
        <f aca="false">K134*(1+IF(L$3&lt;=$O$2,$D134,$D134-($D134-$I$130)*MIN(L$3-$O$2,$Q$2)/$Q$2))</f>
        <v>5231.9128733592</v>
      </c>
      <c r="M134" s="15" t="n">
        <f aca="false">L134*(1+IF(M$3&lt;=$O$2,$D134,$D134-($D134-$I$130)*MIN(M$3-$O$2,$Q$2)/$Q$2))</f>
        <v>5436.68994322248</v>
      </c>
      <c r="N134" s="15" t="n">
        <f aca="false">M134*(1+IF(N$3&lt;=$O$2,$D134,$D134-($D134-$I$130)*MIN(N$3-$O$2,$Q$2)/$Q$2))</f>
        <v>5617.73171833179</v>
      </c>
      <c r="O134" s="15" t="n">
        <f aca="false">SUMPRODUCT(E134:N134,1/(1+$F$130)^$E$3:$N$3)*$E$2</f>
        <v>15785.2049494406</v>
      </c>
      <c r="P134" s="15" t="n">
        <f aca="false">N134*$E$2*(1+$I$130)/($F$130-$I$130)/(1+$F$130)^$N$3</f>
        <v>26628.0197411116</v>
      </c>
      <c r="Q134" s="15" t="n">
        <f aca="false">O134+P134</f>
        <v>42413.2246905522</v>
      </c>
      <c r="R134" s="15" t="n">
        <f aca="false">Q134-$G$2+$I$2</f>
        <v>36225.9246905522</v>
      </c>
      <c r="S134" s="42" t="n">
        <f aca="false">R134/$K$2</f>
        <v>498.293324491777</v>
      </c>
      <c r="T134" s="43" t="n">
        <f aca="false">S134-$M$2</f>
        <v>-62.5044746829135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0.0625</v>
      </c>
      <c r="C135" s="25" t="n">
        <f aca="false">IF(T134&gt;0,D134,C134)</f>
        <v>0.25</v>
      </c>
      <c r="D135" s="41" t="n">
        <f aca="false">(B135+C135)/2</f>
        <v>0.15625</v>
      </c>
      <c r="E135" s="15" t="n">
        <f aca="false">$C$2*(1+IF(E$3&lt;=$O$2,$D135,$D135-($D135-$I$130)*MIN(E$3-$O$2,$Q$2)/$Q$2))</f>
        <v>3850.3125</v>
      </c>
      <c r="F135" s="15" t="n">
        <f aca="false">E135*(1+IF(F$3&lt;=$O$2,$D135,$D135-($D135-$I$130)*MIN(F$3-$O$2,$Q$2)/$Q$2))</f>
        <v>4451.923828125</v>
      </c>
      <c r="G135" s="15" t="n">
        <f aca="false">F135*(1+IF(G$3&lt;=$O$2,$D135,$D135-($D135-$I$130)*MIN(G$3-$O$2,$Q$2)/$Q$2))</f>
        <v>5147.53692626953</v>
      </c>
      <c r="H135" s="15" t="n">
        <f aca="false">G135*(1+IF(H$3&lt;=$O$2,$D135,$D135-($D135-$I$130)*MIN(H$3-$O$2,$Q$2)/$Q$2))</f>
        <v>5951.83957099915</v>
      </c>
      <c r="I135" s="15" t="n">
        <f aca="false">H135*(1+IF(I$3&lt;=$O$2,$D135,$D135-($D135-$I$130)*MIN(I$3-$O$2,$Q$2)/$Q$2))</f>
        <v>6881.81450396776</v>
      </c>
      <c r="J135" s="15" t="n">
        <f aca="false">I135*(1+IF(J$3&lt;=$O$2,$D135,$D135-($D135-$I$130)*MIN(J$3-$O$2,$Q$2)/$Q$2))</f>
        <v>7787.87420156016</v>
      </c>
      <c r="K135" s="15" t="n">
        <f aca="false">J135*(1+IF(K$3&lt;=$O$2,$D135,$D135-($D135-$I$130)*MIN(K$3-$O$2,$Q$2)/$Q$2))</f>
        <v>8621.7218923212</v>
      </c>
      <c r="L135" s="15" t="n">
        <f aca="false">K135*(1+IF(L$3&lt;=$O$2,$D135,$D135-($D135-$I$130)*MIN(L$3-$O$2,$Q$2)/$Q$2))</f>
        <v>9332.84151399986</v>
      </c>
      <c r="M135" s="15" t="n">
        <f aca="false">L135*(1+IF(M$3&lt;=$O$2,$D135,$D135-($D135-$I$130)*MIN(M$3-$O$2,$Q$2)/$Q$2))</f>
        <v>9873.11970924531</v>
      </c>
      <c r="N135" s="15" t="n">
        <f aca="false">M135*(1+IF(N$3&lt;=$O$2,$D135,$D135-($D135-$I$130)*MIN(N$3-$O$2,$Q$2)/$Q$2))</f>
        <v>10201.8945955632</v>
      </c>
      <c r="O135" s="15" t="n">
        <f aca="false">SUMPRODUCT(E135:N135,1/(1+$F$130)^$E$3:$N$3)*$E$2</f>
        <v>23767.2991608764</v>
      </c>
      <c r="P135" s="15" t="n">
        <f aca="false">N135*$E$2*(1+$I$130)/($F$130-$I$130)/(1+$F$130)^$N$3</f>
        <v>48356.9284380253</v>
      </c>
      <c r="Q135" s="15" t="n">
        <f aca="false">O135+P135</f>
        <v>72124.2275989018</v>
      </c>
      <c r="R135" s="15" t="n">
        <f aca="false">Q135-$G$2+$I$2</f>
        <v>65936.9275989018</v>
      </c>
      <c r="S135" s="42" t="n">
        <f aca="false">R135/$K$2</f>
        <v>906.972869310891</v>
      </c>
      <c r="T135" s="43" t="n">
        <f aca="false">S135-$M$2</f>
        <v>346.1750701362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0.0625</v>
      </c>
      <c r="C136" s="25" t="n">
        <f aca="false">IF(T135&gt;0,D135,C135)</f>
        <v>0.15625</v>
      </c>
      <c r="D136" s="41" t="n">
        <f aca="false">(B136+C136)/2</f>
        <v>0.109375</v>
      </c>
      <c r="E136" s="15" t="n">
        <f aca="false">$C$2*(1+IF(E$3&lt;=$O$2,$D136,$D136-($D136-$I$130)*MIN(E$3-$O$2,$Q$2)/$Q$2))</f>
        <v>3694.21875</v>
      </c>
      <c r="F136" s="15" t="n">
        <f aca="false">E136*(1+IF(F$3&lt;=$O$2,$D136,$D136-($D136-$I$130)*MIN(F$3-$O$2,$Q$2)/$Q$2))</f>
        <v>4098.27392578125</v>
      </c>
      <c r="G136" s="15" t="n">
        <f aca="false">F136*(1+IF(G$3&lt;=$O$2,$D136,$D136-($D136-$I$130)*MIN(G$3-$O$2,$Q$2)/$Q$2))</f>
        <v>4546.52263641357</v>
      </c>
      <c r="H136" s="15" t="n">
        <f aca="false">G136*(1+IF(H$3&lt;=$O$2,$D136,$D136-($D136-$I$130)*MIN(H$3-$O$2,$Q$2)/$Q$2))</f>
        <v>5043.79854977131</v>
      </c>
      <c r="I136" s="15" t="n">
        <f aca="false">H136*(1+IF(I$3&lt;=$O$2,$D136,$D136-($D136-$I$130)*MIN(I$3-$O$2,$Q$2)/$Q$2))</f>
        <v>5595.46401615255</v>
      </c>
      <c r="J136" s="15" t="n">
        <f aca="false">I136*(1+IF(J$3&lt;=$O$2,$D136,$D136-($D136-$I$130)*MIN(J$3-$O$2,$Q$2)/$Q$2))</f>
        <v>6122.33290791347</v>
      </c>
      <c r="K136" s="15" t="n">
        <f aca="false">J136*(1+IF(K$3&lt;=$O$2,$D136,$D136-($D136-$I$130)*MIN(K$3-$O$2,$Q$2)/$Q$2))</f>
        <v>6605.6604793287</v>
      </c>
      <c r="L136" s="15" t="n">
        <f aca="false">K136*(1+IF(L$3&lt;=$O$2,$D136,$D136-($D136-$I$130)*MIN(L$3-$O$2,$Q$2)/$Q$2))</f>
        <v>7026.63922167632</v>
      </c>
      <c r="M136" s="15" t="n">
        <f aca="false">L136*(1+IF(M$3&lt;=$O$2,$D136,$D136-($D136-$I$130)*MIN(M$3-$O$2,$Q$2)/$Q$2))</f>
        <v>7367.53662351594</v>
      </c>
      <c r="N136" s="15" t="n">
        <f aca="false">M136*(1+IF(N$3&lt;=$O$2,$D136,$D136-($D136-$I$130)*MIN(N$3-$O$2,$Q$2)/$Q$2))</f>
        <v>7612.87559307903</v>
      </c>
      <c r="O136" s="15" t="n">
        <f aca="false">SUMPRODUCT(E136:N136,1/(1+$F$130)^$E$3:$N$3)*$E$2</f>
        <v>19373.7396237039</v>
      </c>
      <c r="P136" s="15" t="n">
        <f aca="false">N136*$E$2*(1+$I$130)/($F$130-$I$130)/(1+$F$130)^$N$3</f>
        <v>36084.9915487477</v>
      </c>
      <c r="Q136" s="15" t="n">
        <f aca="false">O136+P136</f>
        <v>55458.7311724517</v>
      </c>
      <c r="R136" s="15" t="n">
        <f aca="false">Q136-$G$2+$I$2</f>
        <v>49271.4311724516</v>
      </c>
      <c r="S136" s="42" t="n">
        <f aca="false">R136/$K$2</f>
        <v>677.736329744864</v>
      </c>
      <c r="T136" s="43" t="n">
        <f aca="false">S136-$M$2</f>
        <v>116.938530570174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0.0625</v>
      </c>
      <c r="C137" s="25" t="n">
        <f aca="false">IF(T136&gt;0,D136,C136)</f>
        <v>0.109375</v>
      </c>
      <c r="D137" s="41" t="n">
        <f aca="false">(B137+C137)/2</f>
        <v>0.0859375</v>
      </c>
      <c r="E137" s="15" t="n">
        <f aca="false">$C$2*(1+IF(E$3&lt;=$O$2,$D137,$D137-($D137-$I$130)*MIN(E$3-$O$2,$Q$2)/$Q$2))</f>
        <v>3616.171875</v>
      </c>
      <c r="F137" s="15" t="n">
        <f aca="false">E137*(1+IF(F$3&lt;=$O$2,$D137,$D137-($D137-$I$130)*MIN(F$3-$O$2,$Q$2)/$Q$2))</f>
        <v>3926.93664550781</v>
      </c>
      <c r="G137" s="15" t="n">
        <f aca="false">F137*(1+IF(G$3&lt;=$O$2,$D137,$D137-($D137-$I$130)*MIN(G$3-$O$2,$Q$2)/$Q$2))</f>
        <v>4264.40776348114</v>
      </c>
      <c r="H137" s="15" t="n">
        <f aca="false">G137*(1+IF(H$3&lt;=$O$2,$D137,$D137-($D137-$I$130)*MIN(H$3-$O$2,$Q$2)/$Q$2))</f>
        <v>4630.8803056553</v>
      </c>
      <c r="I137" s="15" t="n">
        <f aca="false">H137*(1+IF(I$3&lt;=$O$2,$D137,$D137-($D137-$I$130)*MIN(I$3-$O$2,$Q$2)/$Q$2))</f>
        <v>5028.84658192255</v>
      </c>
      <c r="J137" s="15" t="n">
        <f aca="false">I137*(1+IF(J$3&lt;=$O$2,$D137,$D137-($D137-$I$130)*MIN(J$3-$O$2,$Q$2)/$Q$2))</f>
        <v>5408.07190266533</v>
      </c>
      <c r="K137" s="15" t="n">
        <f aca="false">J137*(1+IF(K$3&lt;=$O$2,$D137,$D137-($D137-$I$130)*MIN(K$3-$O$2,$Q$2)/$Q$2))</f>
        <v>5758.96112789002</v>
      </c>
      <c r="L137" s="15" t="n">
        <f aca="false">K137*(1+IF(L$3&lt;=$O$2,$D137,$D137-($D137-$I$130)*MIN(L$3-$O$2,$Q$2)/$Q$2))</f>
        <v>6071.98945999648</v>
      </c>
      <c r="M137" s="15" t="n">
        <f aca="false">L137*(1+IF(M$3&lt;=$O$2,$D137,$D137-($D137-$I$130)*MIN(M$3-$O$2,$Q$2)/$Q$2))</f>
        <v>6338.10957805447</v>
      </c>
      <c r="N137" s="15" t="n">
        <f aca="false">M137*(1+IF(N$3&lt;=$O$2,$D137,$D137-($D137-$I$130)*MIN(N$3-$O$2,$Q$2)/$Q$2))</f>
        <v>6549.16862700369</v>
      </c>
      <c r="O137" s="15" t="n">
        <f aca="false">SUMPRODUCT(E137:N137,1/(1+$F$130)^$E$3:$N$3)*$E$2</f>
        <v>17488.0389735541</v>
      </c>
      <c r="P137" s="15" t="n">
        <f aca="false">N137*$E$2*(1+$I$130)/($F$130-$I$130)/(1+$F$130)^$N$3</f>
        <v>31043.0259456229</v>
      </c>
      <c r="Q137" s="15" t="n">
        <f aca="false">O137+P137</f>
        <v>48531.064919177</v>
      </c>
      <c r="R137" s="15" t="n">
        <f aca="false">Q137-$G$2+$I$2</f>
        <v>42343.764919177</v>
      </c>
      <c r="S137" s="42" t="n">
        <f aca="false">R137/$K$2</f>
        <v>582.445184582903</v>
      </c>
      <c r="T137" s="43" t="n">
        <f aca="false">S137-$M$2</f>
        <v>21.6473854082124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0.0625</v>
      </c>
      <c r="C138" s="25" t="n">
        <f aca="false">IF(T137&gt;0,D137,C137)</f>
        <v>0.0859375</v>
      </c>
      <c r="D138" s="41" t="n">
        <f aca="false">(B138+C138)/2</f>
        <v>0.07421875</v>
      </c>
      <c r="E138" s="15" t="n">
        <f aca="false">$C$2*(1+IF(E$3&lt;=$O$2,$D138,$D138-($D138-$I$130)*MIN(E$3-$O$2,$Q$2)/$Q$2))</f>
        <v>3577.1484375</v>
      </c>
      <c r="F138" s="15" t="n">
        <f aca="false">E138*(1+IF(F$3&lt;=$O$2,$D138,$D138-($D138-$I$130)*MIN(F$3-$O$2,$Q$2)/$Q$2))</f>
        <v>3842.6399230957</v>
      </c>
      <c r="G138" s="15" t="n">
        <f aca="false">F138*(1+IF(G$3&lt;=$O$2,$D138,$D138-($D138-$I$130)*MIN(G$3-$O$2,$Q$2)/$Q$2))</f>
        <v>4127.83585488796</v>
      </c>
      <c r="H138" s="15" t="n">
        <f aca="false">G138*(1+IF(H$3&lt;=$O$2,$D138,$D138-($D138-$I$130)*MIN(H$3-$O$2,$Q$2)/$Q$2))</f>
        <v>4434.19867224293</v>
      </c>
      <c r="I138" s="15" t="n">
        <f aca="false">H138*(1+IF(I$3&lt;=$O$2,$D138,$D138-($D138-$I$130)*MIN(I$3-$O$2,$Q$2)/$Q$2))</f>
        <v>4763.29935494846</v>
      </c>
      <c r="J138" s="15" t="n">
        <f aca="false">I138*(1+IF(J$3&lt;=$O$2,$D138,$D138-($D138-$I$130)*MIN(J$3-$O$2,$Q$2)/$Q$2))</f>
        <v>5077.84382785248</v>
      </c>
      <c r="K138" s="15" t="n">
        <f aca="false">J138*(1+IF(K$3&lt;=$O$2,$D138,$D138-($D138-$I$130)*MIN(K$3-$O$2,$Q$2)/$Q$2))</f>
        <v>5371.60344059853</v>
      </c>
      <c r="L138" s="15" t="n">
        <f aca="false">K138*(1+IF(L$3&lt;=$O$2,$D138,$D138-($D138-$I$130)*MIN(L$3-$O$2,$Q$2)/$Q$2))</f>
        <v>5638.39755448446</v>
      </c>
      <c r="M138" s="15" t="n">
        <f aca="false">L138*(1+IF(M$3&lt;=$O$2,$D138,$D138-($D138-$I$130)*MIN(M$3-$O$2,$Q$2)/$Q$2))</f>
        <v>5872.2994290353</v>
      </c>
      <c r="N138" s="15" t="n">
        <f aca="false">M138*(1+IF(N$3&lt;=$O$2,$D138,$D138-($D138-$I$130)*MIN(N$3-$O$2,$Q$2)/$Q$2))</f>
        <v>6067.84700002218</v>
      </c>
      <c r="O138" s="15" t="n">
        <f aca="false">SUMPRODUCT(E138:N138,1/(1+$F$130)^$E$3:$N$3)*$E$2</f>
        <v>16614.8328668923</v>
      </c>
      <c r="P138" s="15" t="n">
        <f aca="false">N138*$E$2*(1+$I$130)/($F$130-$I$130)/(1+$F$130)^$N$3</f>
        <v>28761.5638844739</v>
      </c>
      <c r="Q138" s="15" t="n">
        <f aca="false">O138+P138</f>
        <v>45376.3967513662</v>
      </c>
      <c r="R138" s="15" t="n">
        <f aca="false">Q138-$G$2+$I$2</f>
        <v>39189.0967513662</v>
      </c>
      <c r="S138" s="42" t="n">
        <f aca="false">R138/$K$2</f>
        <v>539.052224915629</v>
      </c>
      <c r="T138" s="43" t="n">
        <f aca="false">S138-$M$2</f>
        <v>-21.7455742590614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0.07421875</v>
      </c>
      <c r="C139" s="25" t="n">
        <f aca="false">IF(T138&gt;0,D138,C138)</f>
        <v>0.0859375</v>
      </c>
      <c r="D139" s="41" t="n">
        <f aca="false">(B139+C139)/2</f>
        <v>0.080078125</v>
      </c>
      <c r="E139" s="15" t="n">
        <f aca="false">$C$2*(1+IF(E$3&lt;=$O$2,$D139,$D139-($D139-$I$130)*MIN(E$3-$O$2,$Q$2)/$Q$2))</f>
        <v>3596.66015625</v>
      </c>
      <c r="F139" s="15" t="n">
        <f aca="false">E139*(1+IF(F$3&lt;=$O$2,$D139,$D139-($D139-$I$130)*MIN(F$3-$O$2,$Q$2)/$Q$2))</f>
        <v>3884.67395782471</v>
      </c>
      <c r="G139" s="15" t="n">
        <f aca="false">F139*(1+IF(G$3&lt;=$O$2,$D139,$D139-($D139-$I$130)*MIN(G$3-$O$2,$Q$2)/$Q$2))</f>
        <v>4195.75136460364</v>
      </c>
      <c r="H139" s="15" t="n">
        <f aca="false">G139*(1+IF(H$3&lt;=$O$2,$D139,$D139-($D139-$I$130)*MIN(H$3-$O$2,$Q$2)/$Q$2))</f>
        <v>4531.73926684729</v>
      </c>
      <c r="I139" s="15" t="n">
        <f aca="false">H139*(1+IF(I$3&lt;=$O$2,$D139,$D139-($D139-$I$130)*MIN(I$3-$O$2,$Q$2)/$Q$2))</f>
        <v>4894.6324503253</v>
      </c>
      <c r="J139" s="15" t="n">
        <f aca="false">I139*(1+IF(J$3&lt;=$O$2,$D139,$D139-($D139-$I$130)*MIN(J$3-$O$2,$Q$2)/$Q$2))</f>
        <v>5240.79309379343</v>
      </c>
      <c r="K139" s="15" t="n">
        <f aca="false">J139*(1+IF(K$3&lt;=$O$2,$D139,$D139-($D139-$I$130)*MIN(K$3-$O$2,$Q$2)/$Q$2))</f>
        <v>5562.40418848111</v>
      </c>
      <c r="L139" s="15" t="n">
        <f aca="false">K139*(1+IF(L$3&lt;=$O$2,$D139,$D139-($D139-$I$130)*MIN(L$3-$O$2,$Q$2)/$Q$2))</f>
        <v>5851.71178332925</v>
      </c>
      <c r="M139" s="15" t="n">
        <f aca="false">L139*(1+IF(M$3&lt;=$O$2,$D139,$D139-($D139-$I$130)*MIN(M$3-$O$2,$Q$2)/$Q$2))</f>
        <v>6101.32020676702</v>
      </c>
      <c r="N139" s="15" t="n">
        <f aca="false">M139*(1+IF(N$3&lt;=$O$2,$D139,$D139-($D139-$I$130)*MIN(N$3-$O$2,$Q$2)/$Q$2))</f>
        <v>6304.49416965237</v>
      </c>
      <c r="O139" s="15" t="n">
        <f aca="false">SUMPRODUCT(E139:N139,1/(1+$F$130)^$E$3:$N$3)*$E$2</f>
        <v>17045.8584142243</v>
      </c>
      <c r="P139" s="15" t="n">
        <f aca="false">N139*$E$2*(1+$I$130)/($F$130-$I$130)/(1+$F$130)^$N$3</f>
        <v>29883.2702635856</v>
      </c>
      <c r="Q139" s="15" t="n">
        <f aca="false">O139+P139</f>
        <v>46929.1286778099</v>
      </c>
      <c r="R139" s="15" t="n">
        <f aca="false">Q139-$G$2+$I$2</f>
        <v>40741.8286778099</v>
      </c>
      <c r="S139" s="42" t="n">
        <f aca="false">R139/$K$2</f>
        <v>560.410298181704</v>
      </c>
      <c r="T139" s="43" t="n">
        <f aca="false">S139-$M$2</f>
        <v>-0.387500992986929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0.080078125</v>
      </c>
      <c r="C140" s="25" t="n">
        <f aca="false">IF(T139&gt;0,D139,C139)</f>
        <v>0.0859375</v>
      </c>
      <c r="D140" s="41" t="n">
        <f aca="false">(B140+C140)/2</f>
        <v>0.0830078125</v>
      </c>
      <c r="E140" s="15" t="n">
        <f aca="false">$C$2*(1+IF(E$3&lt;=$O$2,$D140,$D140-($D140-$I$130)*MIN(E$3-$O$2,$Q$2)/$Q$2))</f>
        <v>3606.416015625</v>
      </c>
      <c r="F140" s="15" t="n">
        <f aca="false">E140*(1+IF(F$3&lt;=$O$2,$D140,$D140-($D140-$I$130)*MIN(F$3-$O$2,$Q$2)/$Q$2))</f>
        <v>3905.776720047</v>
      </c>
      <c r="G140" s="15" t="n">
        <f aca="false">F140*(1+IF(G$3&lt;=$O$2,$D140,$D140-($D140-$I$130)*MIN(G$3-$O$2,$Q$2)/$Q$2))</f>
        <v>4229.98670169152</v>
      </c>
      <c r="H140" s="15" t="n">
        <f aca="false">G140*(1+IF(H$3&lt;=$O$2,$D140,$D140-($D140-$I$130)*MIN(H$3-$O$2,$Q$2)/$Q$2))</f>
        <v>4581.10864470303</v>
      </c>
      <c r="I140" s="15" t="n">
        <f aca="false">H140*(1+IF(I$3&lt;=$O$2,$D140,$D140-($D140-$I$130)*MIN(I$3-$O$2,$Q$2)/$Q$2))</f>
        <v>4961.37645212467</v>
      </c>
      <c r="J140" s="15" t="n">
        <f aca="false">I140*(1+IF(J$3&lt;=$O$2,$D140,$D140-($D140-$I$130)*MIN(J$3-$O$2,$Q$2)/$Q$2))</f>
        <v>5323.88562431972</v>
      </c>
      <c r="K140" s="15" t="n">
        <f aca="false">J140*(1+IF(K$3&lt;=$O$2,$D140,$D140-($D140-$I$130)*MIN(K$3-$O$2,$Q$2)/$Q$2))</f>
        <v>5659.95424064064</v>
      </c>
      <c r="L140" s="15" t="n">
        <f aca="false">K140*(1+IF(L$3&lt;=$O$2,$D140,$D140-($D140-$I$130)*MIN(L$3-$O$2,$Q$2)/$Q$2))</f>
        <v>5960.96829451492</v>
      </c>
      <c r="M140" s="15" t="n">
        <f aca="false">L140*(1+IF(M$3&lt;=$O$2,$D140,$D140-($D140-$I$130)*MIN(M$3-$O$2,$Q$2)/$Q$2))</f>
        <v>6218.7298775827</v>
      </c>
      <c r="N140" s="15" t="n">
        <f aca="false">M140*(1+IF(N$3&lt;=$O$2,$D140,$D140-($D140-$I$130)*MIN(N$3-$O$2,$Q$2)/$Q$2))</f>
        <v>6425.8135825062</v>
      </c>
      <c r="O140" s="15" t="n">
        <f aca="false">SUMPRODUCT(E140:N140,1/(1+$F$130)^$E$3:$N$3)*$E$2</f>
        <v>17265.5377434927</v>
      </c>
      <c r="P140" s="15" t="n">
        <f aca="false">N140*$E$2*(1+$I$130)/($F$130-$I$130)/(1+$F$130)^$N$3</f>
        <v>30458.3236627912</v>
      </c>
      <c r="Q140" s="15" t="n">
        <f aca="false">O140+P140</f>
        <v>47723.8614062839</v>
      </c>
      <c r="R140" s="15" t="n">
        <f aca="false">Q140-$G$2+$I$2</f>
        <v>41536.5614062839</v>
      </c>
      <c r="S140" s="42" t="n">
        <f aca="false">R140/$K$2</f>
        <v>571.34197257612</v>
      </c>
      <c r="T140" s="43" t="n">
        <f aca="false">S140-$M$2</f>
        <v>10.5441734014294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0.080078125</v>
      </c>
      <c r="C141" s="25" t="n">
        <f aca="false">IF(T140&gt;0,D140,C140)</f>
        <v>0.0830078125</v>
      </c>
      <c r="D141" s="41" t="n">
        <f aca="false">(B141+C141)/2</f>
        <v>0.08154296875</v>
      </c>
      <c r="E141" s="15" t="n">
        <f aca="false">$C$2*(1+IF(E$3&lt;=$O$2,$D141,$D141-($D141-$I$130)*MIN(E$3-$O$2,$Q$2)/$Q$2))</f>
        <v>3601.5380859375</v>
      </c>
      <c r="F141" s="15" t="n">
        <f aca="false">E141*(1+IF(F$3&lt;=$O$2,$D141,$D141-($D141-$I$130)*MIN(F$3-$O$2,$Q$2)/$Q$2))</f>
        <v>3895.21819353104</v>
      </c>
      <c r="G141" s="15" t="n">
        <f aca="false">F141*(1+IF(G$3&lt;=$O$2,$D141,$D141-($D141-$I$130)*MIN(G$3-$O$2,$Q$2)/$Q$2))</f>
        <v>4212.84584896057</v>
      </c>
      <c r="H141" s="15" t="n">
        <f aca="false">G141*(1+IF(H$3&lt;=$O$2,$D141,$D141-($D141-$I$130)*MIN(H$3-$O$2,$Q$2)/$Q$2))</f>
        <v>4556.37380637093</v>
      </c>
      <c r="I141" s="15" t="n">
        <f aca="false">H141*(1+IF(I$3&lt;=$O$2,$D141,$D141-($D141-$I$130)*MIN(I$3-$O$2,$Q$2)/$Q$2))</f>
        <v>4927.91405327715</v>
      </c>
      <c r="J141" s="15" t="n">
        <f aca="false">I141*(1+IF(J$3&lt;=$O$2,$D141,$D141-($D141-$I$130)*MIN(J$3-$O$2,$Q$2)/$Q$2))</f>
        <v>5282.20335419123</v>
      </c>
      <c r="K141" s="15" t="n">
        <f aca="false">J141*(1+IF(K$3&lt;=$O$2,$D141,$D141-($D141-$I$130)*MIN(K$3-$O$2,$Q$2)/$Q$2))</f>
        <v>5610.99822869423</v>
      </c>
      <c r="L141" s="15" t="n">
        <f aca="false">K141*(1+IF(L$3&lt;=$O$2,$D141,$D141-($D141-$I$130)*MIN(L$3-$O$2,$Q$2)/$Q$2))</f>
        <v>5906.12095459103</v>
      </c>
      <c r="M141" s="15" t="n">
        <f aca="false">L141*(1+IF(M$3&lt;=$O$2,$D141,$D141-($D141-$I$130)*MIN(M$3-$O$2,$Q$2)/$Q$2))</f>
        <v>6159.78054410812</v>
      </c>
      <c r="N141" s="15" t="n">
        <f aca="false">M141*(1+IF(N$3&lt;=$O$2,$D141,$D141-($D141-$I$130)*MIN(N$3-$O$2,$Q$2)/$Q$2))</f>
        <v>6364.90123622692</v>
      </c>
      <c r="O141" s="15" t="n">
        <f aca="false">SUMPRODUCT(E141:N141,1/(1+$F$130)^$E$3:$N$3)*$E$2</f>
        <v>17155.347426305</v>
      </c>
      <c r="P141" s="15" t="n">
        <f aca="false">N141*$E$2*(1+$I$130)/($F$130-$I$130)/(1+$F$130)^$N$3</f>
        <v>30169.5994515746</v>
      </c>
      <c r="Q141" s="15" t="n">
        <f aca="false">O141+P141</f>
        <v>47324.9468778796</v>
      </c>
      <c r="R141" s="15" t="n">
        <f aca="false">Q141-$G$2+$I$2</f>
        <v>41137.6468778796</v>
      </c>
      <c r="S141" s="42" t="n">
        <f aca="false">R141/$K$2</f>
        <v>565.854840135895</v>
      </c>
      <c r="T141" s="43" t="n">
        <f aca="false">S141-$M$2</f>
        <v>5.05704096120473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0.080078125</v>
      </c>
      <c r="C142" s="25" t="n">
        <f aca="false">IF(T141&gt;0,D141,C141)</f>
        <v>0.08154296875</v>
      </c>
      <c r="D142" s="41" t="n">
        <f aca="false">(B142+C142)/2</f>
        <v>0.080810546875</v>
      </c>
      <c r="E142" s="15" t="n">
        <f aca="false">$C$2*(1+IF(E$3&lt;=$O$2,$D142,$D142-($D142-$I$130)*MIN(E$3-$O$2,$Q$2)/$Q$2))</f>
        <v>3599.09912109375</v>
      </c>
      <c r="F142" s="15" t="n">
        <f aca="false">E142*(1+IF(F$3&lt;=$O$2,$D142,$D142-($D142-$I$130)*MIN(F$3-$O$2,$Q$2)/$Q$2))</f>
        <v>3889.94428932667</v>
      </c>
      <c r="G142" s="15" t="n">
        <f aca="false">F142*(1+IF(G$3&lt;=$O$2,$D142,$D142-($D142-$I$130)*MIN(G$3-$O$2,$Q$2)/$Q$2))</f>
        <v>4204.29281466044</v>
      </c>
      <c r="H142" s="15" t="n">
        <f aca="false">G142*(1+IF(H$3&lt;=$O$2,$D142,$D142-($D142-$I$130)*MIN(H$3-$O$2,$Q$2)/$Q$2))</f>
        <v>4544.04401623578</v>
      </c>
      <c r="I142" s="15" t="n">
        <f aca="false">H142*(1+IF(I$3&lt;=$O$2,$D142,$D142-($D142-$I$130)*MIN(I$3-$O$2,$Q$2)/$Q$2))</f>
        <v>4911.25069821187</v>
      </c>
      <c r="J142" s="15" t="n">
        <f aca="false">I142*(1+IF(J$3&lt;=$O$2,$D142,$D142-($D142-$I$130)*MIN(J$3-$O$2,$Q$2)/$Q$2))</f>
        <v>5261.46431167214</v>
      </c>
      <c r="K142" s="15" t="n">
        <f aca="false">J142*(1+IF(K$3&lt;=$O$2,$D142,$D142-($D142-$I$130)*MIN(K$3-$O$2,$Q$2)/$Q$2))</f>
        <v>5586.65610133732</v>
      </c>
      <c r="L142" s="15" t="n">
        <f aca="false">K142*(1+IF(L$3&lt;=$O$2,$D142,$D142-($D142-$I$130)*MIN(L$3-$O$2,$Q$2)/$Q$2))</f>
        <v>5878.86178414269</v>
      </c>
      <c r="M142" s="15" t="n">
        <f aca="false">L142*(1+IF(M$3&lt;=$O$2,$D142,$D142-($D142-$I$130)*MIN(M$3-$O$2,$Q$2)/$Q$2))</f>
        <v>6130.48946922808</v>
      </c>
      <c r="N142" s="15" t="n">
        <f aca="false">M142*(1+IF(N$3&lt;=$O$2,$D142,$D142-($D142-$I$130)*MIN(N$3-$O$2,$Q$2)/$Q$2))</f>
        <v>6334.63476855337</v>
      </c>
      <c r="O142" s="15" t="n">
        <f aca="false">SUMPRODUCT(E142:N142,1/(1+$F$130)^$E$3:$N$3)*$E$2</f>
        <v>17100.515516588</v>
      </c>
      <c r="P142" s="15" t="n">
        <f aca="false">N142*$E$2*(1+$I$130)/($F$130-$I$130)/(1+$F$130)^$N$3</f>
        <v>30026.1365489096</v>
      </c>
      <c r="Q142" s="15" t="n">
        <f aca="false">O142+P142</f>
        <v>47126.6520654976</v>
      </c>
      <c r="R142" s="15" t="n">
        <f aca="false">Q142-$G$2+$I$2</f>
        <v>40939.3520654976</v>
      </c>
      <c r="S142" s="42" t="n">
        <f aca="false">R142/$K$2</f>
        <v>563.127263624452</v>
      </c>
      <c r="T142" s="43" t="n">
        <f aca="false">S142-$M$2</f>
        <v>2.32946444976108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0.080078125</v>
      </c>
      <c r="C143" s="25" t="n">
        <f aca="false">IF(T142&gt;0,D142,C142)</f>
        <v>0.080810546875</v>
      </c>
      <c r="D143" s="41" t="n">
        <f aca="false">(B143+C143)/2</f>
        <v>0.0804443359375</v>
      </c>
      <c r="E143" s="15" t="n">
        <f aca="false">$C$2*(1+IF(E$3&lt;=$O$2,$D143,$D143-($D143-$I$130)*MIN(E$3-$O$2,$Q$2)/$Q$2))</f>
        <v>3597.87963867188</v>
      </c>
      <c r="F143" s="15" t="n">
        <f aca="false">E143*(1+IF(F$3&lt;=$O$2,$D143,$D143-($D143-$I$130)*MIN(F$3-$O$2,$Q$2)/$Q$2))</f>
        <v>3887.30867698789</v>
      </c>
      <c r="G143" s="15" t="n">
        <f aca="false">F143*(1+IF(G$3&lt;=$O$2,$D143,$D143-($D143-$I$130)*MIN(G$3-$O$2,$Q$2)/$Q$2))</f>
        <v>4200.02064209226</v>
      </c>
      <c r="H143" s="15" t="n">
        <f aca="false">G143*(1+IF(H$3&lt;=$O$2,$D143,$D143-($D143-$I$130)*MIN(H$3-$O$2,$Q$2)/$Q$2))</f>
        <v>4537.88851356916</v>
      </c>
      <c r="I143" s="15" t="n">
        <f aca="false">H143*(1+IF(I$3&lt;=$O$2,$D143,$D143-($D143-$I$130)*MIN(I$3-$O$2,$Q$2)/$Q$2))</f>
        <v>4902.93594160164</v>
      </c>
      <c r="J143" s="15" t="n">
        <f aca="false">I143*(1+IF(J$3&lt;=$O$2,$D143,$D143-($D143-$I$130)*MIN(J$3-$O$2,$Q$2)/$Q$2))</f>
        <v>5251.12023574571</v>
      </c>
      <c r="K143" s="15" t="n">
        <f aca="false">J143*(1+IF(K$3&lt;=$O$2,$D143,$D143-($D143-$I$130)*MIN(K$3-$O$2,$Q$2)/$Q$2))</f>
        <v>5574.51888546136</v>
      </c>
      <c r="L143" s="15" t="n">
        <f aca="false">K143*(1+IF(L$3&lt;=$O$2,$D143,$D143-($D143-$I$130)*MIN(L$3-$O$2,$Q$2)/$Q$2))</f>
        <v>5865.27316075767</v>
      </c>
      <c r="M143" s="15" t="n">
        <f aca="false">L143*(1+IF(M$3&lt;=$O$2,$D143,$D143-($D143-$I$130)*MIN(M$3-$O$2,$Q$2)/$Q$2))</f>
        <v>6115.8896386621</v>
      </c>
      <c r="N143" s="15" t="n">
        <f aca="false">M143*(1+IF(N$3&lt;=$O$2,$D143,$D143-($D143-$I$130)*MIN(N$3-$O$2,$Q$2)/$Q$2))</f>
        <v>6319.54876362954</v>
      </c>
      <c r="O143" s="15" t="n">
        <f aca="false">SUMPRODUCT(E143:N143,1/(1+$F$130)^$E$3:$N$3)*$E$2</f>
        <v>17073.1651468469</v>
      </c>
      <c r="P143" s="15" t="n">
        <f aca="false">N143*$E$2*(1+$I$130)/($F$130-$I$130)/(1+$F$130)^$N$3</f>
        <v>29954.628962384</v>
      </c>
      <c r="Q143" s="15" t="n">
        <f aca="false">O143+P143</f>
        <v>47027.7941092309</v>
      </c>
      <c r="R143" s="15" t="n">
        <f aca="false">Q143-$G$2+$I$2</f>
        <v>40840.4941092309</v>
      </c>
      <c r="S143" s="42" t="n">
        <f aca="false">R143/$K$2</f>
        <v>561.767456798224</v>
      </c>
      <c r="T143" s="43" t="n">
        <f aca="false">S143-$M$2</f>
        <v>0.969657623533522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0.080078125</v>
      </c>
      <c r="C144" s="25" t="n">
        <f aca="false">IF(T143&gt;0,D143,C143)</f>
        <v>0.0804443359375</v>
      </c>
      <c r="D144" s="41" t="n">
        <f aca="false">(B144+C144)/2</f>
        <v>0.08026123046875</v>
      </c>
      <c r="E144" s="15" t="n">
        <f aca="false">$C$2*(1+IF(E$3&lt;=$O$2,$D144,$D144-($D144-$I$130)*MIN(E$3-$O$2,$Q$2)/$Q$2))</f>
        <v>3597.26989746094</v>
      </c>
      <c r="F144" s="15" t="n">
        <f aca="false">E144*(1+IF(F$3&lt;=$O$2,$D144,$D144-($D144-$I$130)*MIN(F$3-$O$2,$Q$2)/$Q$2))</f>
        <v>3885.99120575935</v>
      </c>
      <c r="G144" s="15" t="n">
        <f aca="false">F144*(1+IF(G$3&lt;=$O$2,$D144,$D144-($D144-$I$130)*MIN(G$3-$O$2,$Q$2)/$Q$2))</f>
        <v>4197.88564152433</v>
      </c>
      <c r="H144" s="15" t="n">
        <f aca="false">G144*(1+IF(H$3&lt;=$O$2,$D144,$D144-($D144-$I$130)*MIN(H$3-$O$2,$Q$2)/$Q$2))</f>
        <v>4534.81310848017</v>
      </c>
      <c r="I144" s="15" t="n">
        <f aca="false">H144*(1+IF(I$3&lt;=$O$2,$D144,$D144-($D144-$I$130)*MIN(I$3-$O$2,$Q$2)/$Q$2))</f>
        <v>4898.78278851261</v>
      </c>
      <c r="J144" s="15" t="n">
        <f aca="false">I144*(1+IF(J$3&lt;=$O$2,$D144,$D144-($D144-$I$130)*MIN(J$3-$O$2,$Q$2)/$Q$2))</f>
        <v>5245.95454940823</v>
      </c>
      <c r="K144" s="15" t="n">
        <f aca="false">J144*(1+IF(K$3&lt;=$O$2,$D144,$D144-($D144-$I$130)*MIN(K$3-$O$2,$Q$2)/$Q$2))</f>
        <v>5568.45872427753</v>
      </c>
      <c r="L144" s="15" t="n">
        <f aca="false">K144*(1+IF(L$3&lt;=$O$2,$D144,$D144-($D144-$I$130)*MIN(L$3-$O$2,$Q$2)/$Q$2))</f>
        <v>5858.48906919858</v>
      </c>
      <c r="M144" s="15" t="n">
        <f aca="false">L144*(1+IF(M$3&lt;=$O$2,$D144,$D144-($D144-$I$130)*MIN(M$3-$O$2,$Q$2)/$Q$2))</f>
        <v>6108.60112627835</v>
      </c>
      <c r="N144" s="15" t="n">
        <f aca="false">M144*(1+IF(N$3&lt;=$O$2,$D144,$D144-($D144-$I$130)*MIN(N$3-$O$2,$Q$2)/$Q$2))</f>
        <v>6312.01754378342</v>
      </c>
      <c r="O144" s="15" t="n">
        <f aca="false">SUMPRODUCT(E144:N144,1/(1+$F$130)^$E$3:$N$3)*$E$2</f>
        <v>17059.5063299362</v>
      </c>
      <c r="P144" s="15" t="n">
        <f aca="false">N144*$E$2*(1+$I$130)/($F$130-$I$130)/(1+$F$130)^$N$3</f>
        <v>29918.9310186601</v>
      </c>
      <c r="Q144" s="15" t="n">
        <f aca="false">O144+P144</f>
        <v>46978.4373485963</v>
      </c>
      <c r="R144" s="15" t="n">
        <f aca="false">Q144-$G$2+$I$2</f>
        <v>40791.1373485963</v>
      </c>
      <c r="S144" s="42" t="n">
        <f aca="false">R144/$K$2</f>
        <v>561.088546748229</v>
      </c>
      <c r="T144" s="43" t="n">
        <f aca="false">S144-$M$2</f>
        <v>0.290747573538852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0.080078125</v>
      </c>
      <c r="C145" s="25" t="n">
        <f aca="false">IF(T144&gt;0,D144,C144)</f>
        <v>0.08026123046875</v>
      </c>
      <c r="D145" s="41" t="n">
        <f aca="false">(B145+C145)/2</f>
        <v>0.080169677734375</v>
      </c>
      <c r="E145" s="15" t="n">
        <f aca="false">$C$2*(1+IF(E$3&lt;=$O$2,$D145,$D145-($D145-$I$130)*MIN(E$3-$O$2,$Q$2)/$Q$2))</f>
        <v>3596.96502685547</v>
      </c>
      <c r="F145" s="15" t="n">
        <f aca="false">E145*(1+IF(F$3&lt;=$O$2,$D145,$D145-($D145-$I$130)*MIN(F$3-$O$2,$Q$2)/$Q$2))</f>
        <v>3885.33255388029</v>
      </c>
      <c r="G145" s="15" t="n">
        <f aca="false">F145*(1+IF(G$3&lt;=$O$2,$D145,$D145-($D145-$I$130)*MIN(G$3-$O$2,$Q$2)/$Q$2))</f>
        <v>4196.81841261575</v>
      </c>
      <c r="H145" s="15" t="n">
        <f aca="false">G145*(1+IF(H$3&lt;=$O$2,$D145,$D145-($D145-$I$130)*MIN(H$3-$O$2,$Q$2)/$Q$2))</f>
        <v>4533.27599226484</v>
      </c>
      <c r="I145" s="15" t="n">
        <f aca="false">H145*(1+IF(I$3&lt;=$O$2,$D145,$D145-($D145-$I$130)*MIN(I$3-$O$2,$Q$2)/$Q$2))</f>
        <v>4896.7072676457</v>
      </c>
      <c r="J145" s="15" t="n">
        <f aca="false">I145*(1+IF(J$3&lt;=$O$2,$D145,$D145-($D145-$I$130)*MIN(J$3-$O$2,$Q$2)/$Q$2))</f>
        <v>5243.3732929336</v>
      </c>
      <c r="K145" s="15" t="n">
        <f aca="false">J145*(1+IF(K$3&lt;=$O$2,$D145,$D145-($D145-$I$130)*MIN(K$3-$O$2,$Q$2)/$Q$2))</f>
        <v>5565.43075347678</v>
      </c>
      <c r="L145" s="15" t="n">
        <f aca="false">K145*(1+IF(L$3&lt;=$O$2,$D145,$D145-($D145-$I$130)*MIN(L$3-$O$2,$Q$2)/$Q$2))</f>
        <v>5855.09957591493</v>
      </c>
      <c r="M145" s="15" t="n">
        <f aca="false">L145*(1+IF(M$3&lt;=$O$2,$D145,$D145-($D145-$I$130)*MIN(M$3-$O$2,$Q$2)/$Q$2))</f>
        <v>6104.95971783806</v>
      </c>
      <c r="N145" s="15" t="n">
        <f aca="false">M145*(1+IF(N$3&lt;=$O$2,$D145,$D145-($D145-$I$130)*MIN(N$3-$O$2,$Q$2)/$Q$2))</f>
        <v>6308.25487644207</v>
      </c>
      <c r="O145" s="15" t="n">
        <f aca="false">SUMPRODUCT(E145:N145,1/(1+$F$130)^$E$3:$N$3)*$E$2</f>
        <v>17052.6810099352</v>
      </c>
      <c r="P145" s="15" t="n">
        <f aca="false">N145*$E$2*(1+$I$130)/($F$130-$I$130)/(1+$F$130)^$N$3</f>
        <v>29901.0959946204</v>
      </c>
      <c r="Q145" s="15" t="n">
        <f aca="false">O145+P145</f>
        <v>46953.7770045556</v>
      </c>
      <c r="R145" s="15" t="n">
        <f aca="false">Q145-$G$2+$I$2</f>
        <v>40766.4770045556</v>
      </c>
      <c r="S145" s="42" t="n">
        <f aca="false">R145/$K$2</f>
        <v>560.74933981507</v>
      </c>
      <c r="T145" s="43" t="n">
        <f aca="false">S145-$M$2</f>
        <v>-0.0484593596206651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0.080169677734375</v>
      </c>
      <c r="C146" s="25" t="n">
        <f aca="false">IF(T145&gt;0,D145,C145)</f>
        <v>0.08026123046875</v>
      </c>
      <c r="D146" s="41" t="n">
        <f aca="false">(B146+C146)/2</f>
        <v>0.0802154541015625</v>
      </c>
      <c r="E146" s="15" t="n">
        <f aca="false">$C$2*(1+IF(E$3&lt;=$O$2,$D146,$D146-($D146-$I$130)*MIN(E$3-$O$2,$Q$2)/$Q$2))</f>
        <v>3597.1174621582</v>
      </c>
      <c r="F146" s="15" t="n">
        <f aca="false">E146*(1+IF(F$3&lt;=$O$2,$D146,$D146-($D146-$I$130)*MIN(F$3-$O$2,$Q$2)/$Q$2))</f>
        <v>3885.66187284188</v>
      </c>
      <c r="G146" s="15" t="n">
        <f aca="false">F146*(1+IF(G$3&lt;=$O$2,$D146,$D146-($D146-$I$130)*MIN(G$3-$O$2,$Q$2)/$Q$2))</f>
        <v>4197.35200445702</v>
      </c>
      <c r="H146" s="15" t="n">
        <f aca="false">G146*(1+IF(H$3&lt;=$O$2,$D146,$D146-($D146-$I$130)*MIN(H$3-$O$2,$Q$2)/$Q$2))</f>
        <v>4534.04450151865</v>
      </c>
      <c r="I146" s="15" t="n">
        <f aca="false">H146*(1+IF(I$3&lt;=$O$2,$D146,$D146-($D146-$I$130)*MIN(I$3-$O$2,$Q$2)/$Q$2))</f>
        <v>4897.74494012466</v>
      </c>
      <c r="J146" s="15" t="n">
        <f aca="false">I146*(1+IF(J$3&lt;=$O$2,$D146,$D146-($D146-$I$130)*MIN(J$3-$O$2,$Q$2)/$Q$2))</f>
        <v>5244.66378898247</v>
      </c>
      <c r="K146" s="15" t="n">
        <f aca="false">J146*(1+IF(K$3&lt;=$O$2,$D146,$D146-($D146-$I$130)*MIN(K$3-$O$2,$Q$2)/$Q$2))</f>
        <v>5566.94456311767</v>
      </c>
      <c r="L146" s="15" t="n">
        <f aca="false">K146*(1+IF(L$3&lt;=$O$2,$D146,$D146-($D146-$I$130)*MIN(L$3-$O$2,$Q$2)/$Q$2))</f>
        <v>5856.79410992424</v>
      </c>
      <c r="M146" s="15" t="n">
        <f aca="false">L146*(1+IF(M$3&lt;=$O$2,$D146,$D146-($D146-$I$130)*MIN(M$3-$O$2,$Q$2)/$Q$2))</f>
        <v>6106.78018483401</v>
      </c>
      <c r="N146" s="15" t="n">
        <f aca="false">M146*(1+IF(N$3&lt;=$O$2,$D146,$D146-($D146-$I$130)*MIN(N$3-$O$2,$Q$2)/$Q$2))</f>
        <v>6310.13596498898</v>
      </c>
      <c r="O146" s="15" t="n">
        <f aca="false">SUMPRODUCT(E146:N146,1/(1+$F$130)^$E$3:$N$3)*$E$2</f>
        <v>17056.0933293363</v>
      </c>
      <c r="P146" s="15" t="n">
        <f aca="false">N146*$E$2*(1+$I$130)/($F$130-$I$130)/(1+$F$130)^$N$3</f>
        <v>29910.0123447548</v>
      </c>
      <c r="Q146" s="15" t="n">
        <f aca="false">O146+P146</f>
        <v>46966.1056740912</v>
      </c>
      <c r="R146" s="15" t="n">
        <f aca="false">Q146-$G$2+$I$2</f>
        <v>40778.8056740912</v>
      </c>
      <c r="S146" s="42" t="n">
        <f aca="false">R146/$K$2</f>
        <v>560.918922614734</v>
      </c>
      <c r="T146" s="43" t="n">
        <f aca="false">S146-$M$2</f>
        <v>0.121123440043675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0.080169677734375</v>
      </c>
      <c r="C147" s="25" t="n">
        <f aca="false">IF(T146&gt;0,D146,C146)</f>
        <v>0.0802154541015625</v>
      </c>
      <c r="D147" s="41" t="n">
        <f aca="false">(B147+C147)/2</f>
        <v>0.0801925659179688</v>
      </c>
      <c r="E147" s="15" t="n">
        <f aca="false">$C$2*(1+IF(E$3&lt;=$O$2,$D147,$D147-($D147-$I$130)*MIN(E$3-$O$2,$Q$2)/$Q$2))</f>
        <v>3597.04124450684</v>
      </c>
      <c r="F147" s="15" t="n">
        <f aca="false">E147*(1+IF(F$3&lt;=$O$2,$D147,$D147-($D147-$I$130)*MIN(F$3-$O$2,$Q$2)/$Q$2))</f>
        <v>3885.4972116166</v>
      </c>
      <c r="G147" s="15" t="n">
        <f aca="false">F147*(1+IF(G$3&lt;=$O$2,$D147,$D147-($D147-$I$130)*MIN(G$3-$O$2,$Q$2)/$Q$2))</f>
        <v>4197.08520288325</v>
      </c>
      <c r="H147" s="15" t="n">
        <f aca="false">G147*(1+IF(H$3&lt;=$O$2,$D147,$D147-($D147-$I$130)*MIN(H$3-$O$2,$Q$2)/$Q$2))</f>
        <v>4533.6602346788</v>
      </c>
      <c r="I147" s="15" t="n">
        <f aca="false">H147*(1+IF(I$3&lt;=$O$2,$D147,$D147-($D147-$I$130)*MIN(I$3-$O$2,$Q$2)/$Q$2))</f>
        <v>4897.22608189795</v>
      </c>
      <c r="J147" s="15" t="n">
        <f aca="false">I147*(1+IF(J$3&lt;=$O$2,$D147,$D147-($D147-$I$130)*MIN(J$3-$O$2,$Q$2)/$Q$2))</f>
        <v>5244.01850791363</v>
      </c>
      <c r="K147" s="15" t="n">
        <f aca="false">J147*(1+IF(K$3&lt;=$O$2,$D147,$D147-($D147-$I$130)*MIN(K$3-$O$2,$Q$2)/$Q$2))</f>
        <v>5566.18761436159</v>
      </c>
      <c r="L147" s="15" t="n">
        <f aca="false">K147*(1+IF(L$3&lt;=$O$2,$D147,$D147-($D147-$I$130)*MIN(L$3-$O$2,$Q$2)/$Q$2))</f>
        <v>5855.94678976712</v>
      </c>
      <c r="M147" s="15" t="n">
        <f aca="false">L147*(1+IF(M$3&lt;=$O$2,$D147,$D147-($D147-$I$130)*MIN(M$3-$O$2,$Q$2)/$Q$2))</f>
        <v>6105.86989203662</v>
      </c>
      <c r="N147" s="15" t="n">
        <f aca="false">M147*(1+IF(N$3&lt;=$O$2,$D147,$D147-($D147-$I$130)*MIN(N$3-$O$2,$Q$2)/$Q$2))</f>
        <v>6309.19535944144</v>
      </c>
      <c r="O147" s="15" t="n">
        <f aca="false">SUMPRODUCT(E147:N147,1/(1+$F$130)^$E$3:$N$3)*$E$2</f>
        <v>17054.3870844938</v>
      </c>
      <c r="P147" s="15" t="n">
        <f aca="false">N147*$E$2*(1+$I$130)/($F$130-$I$130)/(1+$F$130)^$N$3</f>
        <v>29905.5538792488</v>
      </c>
      <c r="Q147" s="15" t="n">
        <f aca="false">O147+P147</f>
        <v>46959.9409637426</v>
      </c>
      <c r="R147" s="15" t="n">
        <f aca="false">Q147-$G$2+$I$2</f>
        <v>40772.6409637426</v>
      </c>
      <c r="S147" s="42" t="n">
        <f aca="false">R147/$K$2</f>
        <v>560.834126048728</v>
      </c>
      <c r="T147" s="43" t="n">
        <f aca="false">S147-$M$2</f>
        <v>0.0363268740378544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0.080169677734375</v>
      </c>
      <c r="C148" s="25" t="n">
        <f aca="false">IF(T147&gt;0,D147,C147)</f>
        <v>0.0801925659179688</v>
      </c>
      <c r="D148" s="41" t="n">
        <f aca="false">(B148+C148)/2</f>
        <v>0.0801811218261719</v>
      </c>
      <c r="E148" s="15" t="n">
        <f aca="false">$C$2*(1+IF(E$3&lt;=$O$2,$D148,$D148-($D148-$I$130)*MIN(E$3-$O$2,$Q$2)/$Q$2))</f>
        <v>3597.00313568115</v>
      </c>
      <c r="F148" s="15" t="n">
        <f aca="false">E148*(1+IF(F$3&lt;=$O$2,$D148,$D148-($D148-$I$130)*MIN(F$3-$O$2,$Q$2)/$Q$2))</f>
        <v>3885.41488231233</v>
      </c>
      <c r="G148" s="15" t="n">
        <f aca="false">F148*(1+IF(G$3&lt;=$O$2,$D148,$D148-($D148-$I$130)*MIN(G$3-$O$2,$Q$2)/$Q$2))</f>
        <v>4196.95180633623</v>
      </c>
      <c r="H148" s="15" t="n">
        <f aca="false">G148*(1+IF(H$3&lt;=$O$2,$D148,$D148-($D148-$I$130)*MIN(H$3-$O$2,$Q$2)/$Q$2))</f>
        <v>4533.46811041865</v>
      </c>
      <c r="I148" s="15" t="n">
        <f aca="false">H148*(1+IF(I$3&lt;=$O$2,$D148,$D148-($D148-$I$130)*MIN(I$3-$O$2,$Q$2)/$Q$2))</f>
        <v>4896.96666927519</v>
      </c>
      <c r="J148" s="15" t="n">
        <f aca="false">I148*(1+IF(J$3&lt;=$O$2,$D148,$D148-($D148-$I$130)*MIN(J$3-$O$2,$Q$2)/$Q$2))</f>
        <v>5243.69589216285</v>
      </c>
      <c r="K148" s="15" t="n">
        <f aca="false">J148*(1+IF(K$3&lt;=$O$2,$D148,$D148-($D148-$I$130)*MIN(K$3-$O$2,$Q$2)/$Q$2))</f>
        <v>5565.8091729358</v>
      </c>
      <c r="L148" s="15" t="n">
        <f aca="false">K148*(1+IF(L$3&lt;=$O$2,$D148,$D148-($D148-$I$130)*MIN(L$3-$O$2,$Q$2)/$Q$2))</f>
        <v>5855.52316955362</v>
      </c>
      <c r="M148" s="15" t="n">
        <f aca="false">L148*(1+IF(M$3&lt;=$O$2,$D148,$D148-($D148-$I$130)*MIN(M$3-$O$2,$Q$2)/$Q$2))</f>
        <v>6105.41479011332</v>
      </c>
      <c r="N148" s="15" t="n">
        <f aca="false">M148*(1+IF(N$3&lt;=$O$2,$D148,$D148-($D148-$I$130)*MIN(N$3-$O$2,$Q$2)/$Q$2))</f>
        <v>6308.72510262409</v>
      </c>
      <c r="O148" s="15" t="n">
        <f aca="false">SUMPRODUCT(E148:N148,1/(1+$F$130)^$E$3:$N$3)*$E$2</f>
        <v>17053.53402593</v>
      </c>
      <c r="P148" s="15" t="n">
        <f aca="false">N148*$E$2*(1+$I$130)/($F$130-$I$130)/(1+$F$130)^$N$3</f>
        <v>29903.3248643289</v>
      </c>
      <c r="Q148" s="15" t="n">
        <f aca="false">O148+P148</f>
        <v>46956.8588902589</v>
      </c>
      <c r="R148" s="15" t="n">
        <f aca="false">Q148-$G$2+$I$2</f>
        <v>40769.5588902589</v>
      </c>
      <c r="S148" s="42" t="n">
        <f aca="false">R148/$K$2</f>
        <v>560.791731640425</v>
      </c>
      <c r="T148" s="43" t="n">
        <f aca="false">S148-$M$2</f>
        <v>-0.00606753426529849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0.0801811218261719</v>
      </c>
      <c r="C149" s="25" t="n">
        <f aca="false">IF(T148&gt;0,D148,C148)</f>
        <v>0.0801925659179688</v>
      </c>
      <c r="D149" s="41" t="n">
        <f aca="false">(B149+C149)/2</f>
        <v>0.0801868438720703</v>
      </c>
      <c r="E149" s="15" t="n">
        <f aca="false">$C$2*(1+IF(E$3&lt;=$O$2,$D149,$D149-($D149-$I$130)*MIN(E$3-$O$2,$Q$2)/$Q$2))</f>
        <v>3597.02219009399</v>
      </c>
      <c r="F149" s="15" t="n">
        <f aca="false">E149*(1+IF(F$3&lt;=$O$2,$D149,$D149-($D149-$I$130)*MIN(F$3-$O$2,$Q$2)/$Q$2))</f>
        <v>3885.45604685543</v>
      </c>
      <c r="G149" s="15" t="n">
        <f aca="false">F149*(1+IF(G$3&lt;=$O$2,$D149,$D149-($D149-$I$130)*MIN(G$3-$O$2,$Q$2)/$Q$2))</f>
        <v>4197.01850425642</v>
      </c>
      <c r="H149" s="15" t="n">
        <f aca="false">G149*(1+IF(H$3&lt;=$O$2,$D149,$D149-($D149-$I$130)*MIN(H$3-$O$2,$Q$2)/$Q$2))</f>
        <v>4533.56417178542</v>
      </c>
      <c r="I149" s="15" t="n">
        <f aca="false">H149*(1+IF(I$3&lt;=$O$2,$D149,$D149-($D149-$I$130)*MIN(I$3-$O$2,$Q$2)/$Q$2))</f>
        <v>4897.09637421239</v>
      </c>
      <c r="J149" s="15" t="n">
        <f aca="false">I149*(1+IF(J$3&lt;=$O$2,$D149,$D149-($D149-$I$130)*MIN(J$3-$O$2,$Q$2)/$Q$2))</f>
        <v>5243.85719797301</v>
      </c>
      <c r="K149" s="15" t="n">
        <f aca="false">J149*(1+IF(K$3&lt;=$O$2,$D149,$D149-($D149-$I$130)*MIN(K$3-$O$2,$Q$2)/$Q$2))</f>
        <v>5565.99839090278</v>
      </c>
      <c r="L149" s="15" t="n">
        <f aca="false">K149*(1+IF(L$3&lt;=$O$2,$D149,$D149-($D149-$I$130)*MIN(L$3-$O$2,$Q$2)/$Q$2))</f>
        <v>5855.73497633843</v>
      </c>
      <c r="M149" s="15" t="n">
        <f aca="false">L149*(1+IF(M$3&lt;=$O$2,$D149,$D149-($D149-$I$130)*MIN(M$3-$O$2,$Q$2)/$Q$2))</f>
        <v>6105.64233736886</v>
      </c>
      <c r="N149" s="15" t="n">
        <f aca="false">M149*(1+IF(N$3&lt;=$O$2,$D149,$D149-($D149-$I$130)*MIN(N$3-$O$2,$Q$2)/$Q$2))</f>
        <v>6308.96022720324</v>
      </c>
      <c r="O149" s="15" t="n">
        <f aca="false">SUMPRODUCT(E149:N149,1/(1+$F$130)^$E$3:$N$3)*$E$2</f>
        <v>17053.9605498906</v>
      </c>
      <c r="P149" s="15" t="n">
        <f aca="false">N149*$E$2*(1+$I$130)/($F$130-$I$130)/(1+$F$130)^$N$3</f>
        <v>29904.4393536369</v>
      </c>
      <c r="Q149" s="15" t="n">
        <f aca="false">O149+P149</f>
        <v>46958.3999035276</v>
      </c>
      <c r="R149" s="15" t="n">
        <f aca="false">Q149-$G$2+$I$2</f>
        <v>40771.0999035275</v>
      </c>
      <c r="S149" s="42" t="n">
        <f aca="false">R149/$K$2</f>
        <v>560.812928521699</v>
      </c>
      <c r="T149" s="43" t="n">
        <f aca="false">S149-$M$2</f>
        <v>0.0151293470089513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0.0801811218261719</v>
      </c>
      <c r="C150" s="25" t="n">
        <f aca="false">IF(T149&gt;0,D149,C149)</f>
        <v>0.0801868438720703</v>
      </c>
      <c r="D150" s="41" t="n">
        <f aca="false">(B150+C150)/2</f>
        <v>0.0801839828491211</v>
      </c>
      <c r="E150" s="15" t="n">
        <f aca="false">$C$2*(1+IF(E$3&lt;=$O$2,$D150,$D150-($D150-$I$130)*MIN(E$3-$O$2,$Q$2)/$Q$2))</f>
        <v>3597.01266288757</v>
      </c>
      <c r="F150" s="15" t="n">
        <f aca="false">E150*(1+IF(F$3&lt;=$O$2,$D150,$D150-($D150-$I$130)*MIN(F$3-$O$2,$Q$2)/$Q$2))</f>
        <v>3885.43546455662</v>
      </c>
      <c r="G150" s="15" t="n">
        <f aca="false">F150*(1+IF(G$3&lt;=$O$2,$D150,$D150-($D150-$I$130)*MIN(G$3-$O$2,$Q$2)/$Q$2))</f>
        <v>4196.985155208</v>
      </c>
      <c r="H150" s="15" t="n">
        <f aca="false">G150*(1+IF(H$3&lt;=$O$2,$D150,$D150-($D150-$I$130)*MIN(H$3-$O$2,$Q$2)/$Q$2))</f>
        <v>4533.51614091121</v>
      </c>
      <c r="I150" s="15" t="n">
        <f aca="false">H150*(1+IF(I$3&lt;=$O$2,$D150,$D150-($D150-$I$130)*MIN(I$3-$O$2,$Q$2)/$Q$2))</f>
        <v>4897.03152140025</v>
      </c>
      <c r="J150" s="15" t="n">
        <f aca="false">I150*(1+IF(J$3&lt;=$O$2,$D150,$D150-($D150-$I$130)*MIN(J$3-$O$2,$Q$2)/$Q$2))</f>
        <v>5243.77654455163</v>
      </c>
      <c r="K150" s="15" t="n">
        <f aca="false">J150*(1+IF(K$3&lt;=$O$2,$D150,$D150-($D150-$I$130)*MIN(K$3-$O$2,$Q$2)/$Q$2))</f>
        <v>5565.90378123282</v>
      </c>
      <c r="L150" s="15" t="n">
        <f aca="false">K150*(1+IF(L$3&lt;=$O$2,$D150,$D150-($D150-$I$130)*MIN(L$3-$O$2,$Q$2)/$Q$2))</f>
        <v>5855.62907211555</v>
      </c>
      <c r="M150" s="15" t="n">
        <f aca="false">L150*(1+IF(M$3&lt;=$O$2,$D150,$D150-($D150-$I$130)*MIN(M$3-$O$2,$Q$2)/$Q$2))</f>
        <v>6105.52856281457</v>
      </c>
      <c r="N150" s="15" t="n">
        <f aca="false">M150*(1+IF(N$3&lt;=$O$2,$D150,$D150-($D150-$I$130)*MIN(N$3-$O$2,$Q$2)/$Q$2))</f>
        <v>6308.8426639563</v>
      </c>
      <c r="O150" s="15" t="n">
        <f aca="false">SUMPRODUCT(E150:N150,1/(1+$F$130)^$E$3:$N$3)*$E$2</f>
        <v>17053.74728658</v>
      </c>
      <c r="P150" s="15" t="n">
        <f aca="false">N150*$E$2*(1+$I$130)/($F$130-$I$130)/(1+$F$130)^$N$3</f>
        <v>29903.882104445</v>
      </c>
      <c r="Q150" s="15" t="n">
        <f aca="false">O150+P150</f>
        <v>46957.629391025</v>
      </c>
      <c r="R150" s="15" t="n">
        <f aca="false">Q150-$G$2+$I$2</f>
        <v>40770.329391025</v>
      </c>
      <c r="S150" s="42" t="n">
        <f aca="false">R150/$K$2</f>
        <v>560.802330000344</v>
      </c>
      <c r="T150" s="43" t="n">
        <f aca="false">S150-$M$2</f>
        <v>0.00453082565366003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0.0801811218261719</v>
      </c>
      <c r="C151" s="25" t="n">
        <f aca="false">IF(T150&gt;0,D150,C150)</f>
        <v>0.0801839828491211</v>
      </c>
      <c r="D151" s="41" t="n">
        <f aca="false">(B151+C151)/2</f>
        <v>0.0801825523376465</v>
      </c>
      <c r="E151" s="15" t="n">
        <f aca="false">$C$2*(1+IF(E$3&lt;=$O$2,$D151,$D151-($D151-$I$130)*MIN(E$3-$O$2,$Q$2)/$Q$2))</f>
        <v>3597.00789928436</v>
      </c>
      <c r="F151" s="15" t="n">
        <f aca="false">E151*(1+IF(F$3&lt;=$O$2,$D151,$D151-($D151-$I$130)*MIN(F$3-$O$2,$Q$2)/$Q$2))</f>
        <v>3885.42517342766</v>
      </c>
      <c r="G151" s="15" t="n">
        <f aca="false">F151*(1+IF(G$3&lt;=$O$2,$D151,$D151-($D151-$I$130)*MIN(G$3-$O$2,$Q$2)/$Q$2))</f>
        <v>4196.96848075003</v>
      </c>
      <c r="H151" s="15" t="n">
        <f aca="false">G151*(1+IF(H$3&lt;=$O$2,$D151,$D151-($D151-$I$130)*MIN(H$3-$O$2,$Q$2)/$Q$2))</f>
        <v>4533.49212561722</v>
      </c>
      <c r="I151" s="15" t="n">
        <f aca="false">H151*(1+IF(I$3&lt;=$O$2,$D151,$D151-($D151-$I$130)*MIN(I$3-$O$2,$Q$2)/$Q$2))</f>
        <v>4896.99909525184</v>
      </c>
      <c r="J151" s="15" t="n">
        <f aca="false">I151*(1+IF(J$3&lt;=$O$2,$D151,$D151-($D151-$I$130)*MIN(J$3-$O$2,$Q$2)/$Q$2))</f>
        <v>5243.73621822816</v>
      </c>
      <c r="K151" s="15" t="n">
        <f aca="false">J151*(1+IF(K$3&lt;=$O$2,$D151,$D151-($D151-$I$130)*MIN(K$3-$O$2,$Q$2)/$Q$2))</f>
        <v>5565.8564769127</v>
      </c>
      <c r="L151" s="15" t="n">
        <f aca="false">K151*(1+IF(L$3&lt;=$O$2,$D151,$D151-($D151-$I$130)*MIN(L$3-$O$2,$Q$2)/$Q$2))</f>
        <v>5855.57612062697</v>
      </c>
      <c r="M151" s="15" t="n">
        <f aca="false">L151*(1+IF(M$3&lt;=$O$2,$D151,$D151-($D151-$I$130)*MIN(M$3-$O$2,$Q$2)/$Q$2))</f>
        <v>6105.47167623232</v>
      </c>
      <c r="N151" s="15" t="n">
        <f aca="false">M151*(1+IF(N$3&lt;=$O$2,$D151,$D151-($D151-$I$130)*MIN(N$3-$O$2,$Q$2)/$Q$2))</f>
        <v>6308.78388305085</v>
      </c>
      <c r="O151" s="15" t="n">
        <f aca="false">SUMPRODUCT(E151:N151,1/(1+$F$130)^$E$3:$N$3)*$E$2</f>
        <v>17053.6406559224</v>
      </c>
      <c r="P151" s="15" t="n">
        <f aca="false">N151*$E$2*(1+$I$130)/($F$130-$I$130)/(1+$F$130)^$N$3</f>
        <v>29903.6034832525</v>
      </c>
      <c r="Q151" s="15" t="n">
        <f aca="false">O151+P151</f>
        <v>46957.2441391749</v>
      </c>
      <c r="R151" s="15" t="n">
        <f aca="false">Q151-$G$2+$I$2</f>
        <v>40769.9441391749</v>
      </c>
      <c r="S151" s="42" t="n">
        <f aca="false">R151/$K$2</f>
        <v>560.797030800205</v>
      </c>
      <c r="T151" s="43" t="n">
        <f aca="false">S151-$M$2</f>
        <v>-0.000768374485232926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0.0801825523376465</v>
      </c>
      <c r="C152" s="25" t="n">
        <f aca="false">IF(T151&gt;0,D151,C151)</f>
        <v>0.0801839828491211</v>
      </c>
      <c r="D152" s="41" t="n">
        <f aca="false">(B152+C152)/2</f>
        <v>0.0801832675933838</v>
      </c>
      <c r="E152" s="15" t="n">
        <f aca="false">$C$2*(1+IF(E$3&lt;=$O$2,$D152,$D152-($D152-$I$130)*MIN(E$3-$O$2,$Q$2)/$Q$2))</f>
        <v>3597.01028108597</v>
      </c>
      <c r="F152" s="15" t="n">
        <f aca="false">E152*(1+IF(F$3&lt;=$O$2,$D152,$D152-($D152-$I$130)*MIN(F$3-$O$2,$Q$2)/$Q$2))</f>
        <v>3885.43031899044</v>
      </c>
      <c r="G152" s="15" t="n">
        <f aca="false">F152*(1+IF(G$3&lt;=$O$2,$D152,$D152-($D152-$I$130)*MIN(G$3-$O$2,$Q$2)/$Q$2))</f>
        <v>4196.97681797349</v>
      </c>
      <c r="H152" s="15" t="n">
        <f aca="false">G152*(1+IF(H$3&lt;=$O$2,$D152,$D152-($D152-$I$130)*MIN(H$3-$O$2,$Q$2)/$Q$2))</f>
        <v>4533.50413325229</v>
      </c>
      <c r="I152" s="15" t="n">
        <f aca="false">H152*(1+IF(I$3&lt;=$O$2,$D152,$D152-($D152-$I$130)*MIN(I$3-$O$2,$Q$2)/$Q$2))</f>
        <v>4897.01530830457</v>
      </c>
      <c r="J152" s="15" t="n">
        <f aca="false">I152*(1+IF(J$3&lt;=$O$2,$D152,$D152-($D152-$I$130)*MIN(J$3-$O$2,$Q$2)/$Q$2))</f>
        <v>5243.75638135762</v>
      </c>
      <c r="K152" s="15" t="n">
        <f aca="false">J152*(1+IF(K$3&lt;=$O$2,$D152,$D152-($D152-$I$130)*MIN(K$3-$O$2,$Q$2)/$Q$2))</f>
        <v>5565.88012902986</v>
      </c>
      <c r="L152" s="15" t="n">
        <f aca="false">K152*(1+IF(L$3&lt;=$O$2,$D152,$D152-($D152-$I$130)*MIN(L$3-$O$2,$Q$2)/$Q$2))</f>
        <v>5855.60259631935</v>
      </c>
      <c r="M152" s="15" t="n">
        <f aca="false">L152*(1+IF(M$3&lt;=$O$2,$D152,$D152-($D152-$I$130)*MIN(M$3-$O$2,$Q$2)/$Q$2))</f>
        <v>6105.50011946554</v>
      </c>
      <c r="N152" s="15" t="n">
        <f aca="false">M152*(1+IF(N$3&lt;=$O$2,$D152,$D152-($D152-$I$130)*MIN(N$3-$O$2,$Q$2)/$Q$2))</f>
        <v>6308.81327344374</v>
      </c>
      <c r="O152" s="15" t="n">
        <f aca="false">SUMPRODUCT(E152:N152,1/(1+$F$130)^$E$3:$N$3)*$E$2</f>
        <v>17053.6939711681</v>
      </c>
      <c r="P152" s="15" t="n">
        <f aca="false">N152*$E$2*(1+$I$130)/($F$130-$I$130)/(1+$F$130)^$N$3</f>
        <v>29903.7427935651</v>
      </c>
      <c r="Q152" s="15" t="n">
        <f aca="false">O152+P152</f>
        <v>46957.4367647332</v>
      </c>
      <c r="R152" s="15" t="n">
        <f aca="false">Q152-$G$2+$I$2</f>
        <v>40770.1367647332</v>
      </c>
      <c r="S152" s="42" t="n">
        <f aca="false">R152/$K$2</f>
        <v>560.79968039523</v>
      </c>
      <c r="T152" s="43" t="n">
        <f aca="false">S152-$M$2</f>
        <v>0.0018812205391896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0.0801825523376465</v>
      </c>
      <c r="C153" s="25" t="n">
        <f aca="false">IF(T152&gt;0,D152,C152)</f>
        <v>0.0801832675933838</v>
      </c>
      <c r="D153" s="41" t="n">
        <f aca="false">(B153+C153)/2</f>
        <v>0.0801829099655151</v>
      </c>
      <c r="E153" s="15" t="n">
        <f aca="false">$C$2*(1+IF(E$3&lt;=$O$2,$D153,$D153-($D153-$I$130)*MIN(E$3-$O$2,$Q$2)/$Q$2))</f>
        <v>3597.00909018517</v>
      </c>
      <c r="F153" s="15" t="n">
        <f aca="false">E153*(1+IF(F$3&lt;=$O$2,$D153,$D153-($D153-$I$130)*MIN(F$3-$O$2,$Q$2)/$Q$2))</f>
        <v>3885.42774620862</v>
      </c>
      <c r="G153" s="15" t="n">
        <f aca="false">F153*(1+IF(G$3&lt;=$O$2,$D153,$D153-($D153-$I$130)*MIN(G$3-$O$2,$Q$2)/$Q$2))</f>
        <v>4196.97264936038</v>
      </c>
      <c r="H153" s="15" t="n">
        <f aca="false">G153*(1+IF(H$3&lt;=$O$2,$D153,$D153-($D153-$I$130)*MIN(H$3-$O$2,$Q$2)/$Q$2))</f>
        <v>4533.49812943178</v>
      </c>
      <c r="I153" s="15" t="n">
        <f aca="false">H153*(1+IF(I$3&lt;=$O$2,$D153,$D153-($D153-$I$130)*MIN(I$3-$O$2,$Q$2)/$Q$2))</f>
        <v>4897.00720177283</v>
      </c>
      <c r="J153" s="15" t="n">
        <f aca="false">I153*(1+IF(J$3&lt;=$O$2,$D153,$D153-($D153-$I$130)*MIN(J$3-$O$2,$Q$2)/$Q$2))</f>
        <v>5243.74629978483</v>
      </c>
      <c r="K153" s="15" t="n">
        <f aca="false">J153*(1+IF(K$3&lt;=$O$2,$D153,$D153-($D153-$I$130)*MIN(K$3-$O$2,$Q$2)/$Q$2))</f>
        <v>5565.86830296055</v>
      </c>
      <c r="L153" s="15" t="n">
        <f aca="false">K153*(1+IF(L$3&lt;=$O$2,$D153,$D153-($D153-$I$130)*MIN(L$3-$O$2,$Q$2)/$Q$2))</f>
        <v>5855.58935846018</v>
      </c>
      <c r="M153" s="15" t="n">
        <f aca="false">L153*(1+IF(M$3&lt;=$O$2,$D153,$D153-($D153-$I$130)*MIN(M$3-$O$2,$Q$2)/$Q$2))</f>
        <v>6105.48589783445</v>
      </c>
      <c r="N153" s="15" t="n">
        <f aca="false">M153*(1+IF(N$3&lt;=$O$2,$D153,$D153-($D153-$I$130)*MIN(N$3-$O$2,$Q$2)/$Q$2))</f>
        <v>6308.79857823234</v>
      </c>
      <c r="O153" s="15" t="n">
        <f aca="false">SUMPRODUCT(E153:N153,1/(1+$F$130)^$E$3:$N$3)*$E$2</f>
        <v>17053.6673135245</v>
      </c>
      <c r="P153" s="15" t="n">
        <f aca="false">N153*$E$2*(1+$I$130)/($F$130-$I$130)/(1+$F$130)^$N$3</f>
        <v>29903.6731383379</v>
      </c>
      <c r="Q153" s="15" t="n">
        <f aca="false">O153+P153</f>
        <v>46957.3404518624</v>
      </c>
      <c r="R153" s="15" t="n">
        <f aca="false">Q153-$G$2+$I$2</f>
        <v>40770.0404518624</v>
      </c>
      <c r="S153" s="42" t="n">
        <f aca="false">R153/$K$2</f>
        <v>560.798355596456</v>
      </c>
      <c r="T153" s="43" t="n">
        <f aca="false">S153-$M$2</f>
        <v>0.000556421765622872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0.0801825523376465</v>
      </c>
      <c r="C154" s="25" t="n">
        <f aca="false">IF(T153&gt;0,D153,C153)</f>
        <v>0.0801829099655151</v>
      </c>
      <c r="D154" s="41" t="n">
        <f aca="false">(B154+C154)/2</f>
        <v>0.0801827311515808</v>
      </c>
      <c r="E154" s="15" t="n">
        <f aca="false">$C$2*(1+IF(E$3&lt;=$O$2,$D154,$D154-($D154-$I$130)*MIN(E$3-$O$2,$Q$2)/$Q$2))</f>
        <v>3597.00849473476</v>
      </c>
      <c r="F154" s="15" t="n">
        <f aca="false">E154*(1+IF(F$3&lt;=$O$2,$D154,$D154-($D154-$I$130)*MIN(F$3-$O$2,$Q$2)/$Q$2))</f>
        <v>3885.42645981803</v>
      </c>
      <c r="G154" s="15" t="n">
        <f aca="false">F154*(1+IF(G$3&lt;=$O$2,$D154,$D154-($D154-$I$130)*MIN(G$3-$O$2,$Q$2)/$Q$2))</f>
        <v>4196.97056505486</v>
      </c>
      <c r="H154" s="15" t="n">
        <f aca="false">G154*(1+IF(H$3&lt;=$O$2,$D154,$D154-($D154-$I$130)*MIN(H$3-$O$2,$Q$2)/$Q$2))</f>
        <v>4533.49512752375</v>
      </c>
      <c r="I154" s="15" t="n">
        <f aca="false">H154*(1+IF(I$3&lt;=$O$2,$D154,$D154-($D154-$I$130)*MIN(I$3-$O$2,$Q$2)/$Q$2))</f>
        <v>4897.00314851099</v>
      </c>
      <c r="J154" s="15" t="n">
        <f aca="false">I154*(1+IF(J$3&lt;=$O$2,$D154,$D154-($D154-$I$130)*MIN(J$3-$O$2,$Q$2)/$Q$2))</f>
        <v>5243.74125900448</v>
      </c>
      <c r="K154" s="15" t="n">
        <f aca="false">J154*(1+IF(K$3&lt;=$O$2,$D154,$D154-($D154-$I$130)*MIN(K$3-$O$2,$Q$2)/$Q$2))</f>
        <v>5565.86238993394</v>
      </c>
      <c r="L154" s="15" t="n">
        <f aca="false">K154*(1+IF(L$3&lt;=$O$2,$D154,$D154-($D154-$I$130)*MIN(L$3-$O$2,$Q$2)/$Q$2))</f>
        <v>5855.58273954033</v>
      </c>
      <c r="M154" s="15" t="n">
        <f aca="false">L154*(1+IF(M$3&lt;=$O$2,$D154,$D154-($D154-$I$130)*MIN(M$3-$O$2,$Q$2)/$Q$2))</f>
        <v>6105.47878702976</v>
      </c>
      <c r="N154" s="15" t="n">
        <f aca="false">M154*(1+IF(N$3&lt;=$O$2,$D154,$D154-($D154-$I$130)*MIN(N$3-$O$2,$Q$2)/$Q$2))</f>
        <v>6308.79123063786</v>
      </c>
      <c r="O154" s="15" t="n">
        <f aca="false">SUMPRODUCT(E154:N154,1/(1+$F$130)^$E$3:$N$3)*$E$2</f>
        <v>17053.6539847183</v>
      </c>
      <c r="P154" s="15" t="n">
        <f aca="false">N154*$E$2*(1+$I$130)/($F$130-$I$130)/(1+$F$130)^$N$3</f>
        <v>29903.6383107775</v>
      </c>
      <c r="Q154" s="15" t="n">
        <f aca="false">O154+P154</f>
        <v>46957.2922954957</v>
      </c>
      <c r="R154" s="15" t="n">
        <f aca="false">Q154-$G$2+$I$2</f>
        <v>40769.9922954957</v>
      </c>
      <c r="S154" s="42" t="n">
        <f aca="false">R154/$K$2</f>
        <v>560.797693198015</v>
      </c>
      <c r="T154" s="43" t="n">
        <f aca="false">S154-$M$2</f>
        <v>-0.000105976675058628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0.0801827311515808</v>
      </c>
      <c r="C155" s="25" t="n">
        <f aca="false">IF(T154&gt;0,D154,C154)</f>
        <v>0.0801829099655151</v>
      </c>
      <c r="D155" s="41" t="n">
        <f aca="false">(B155+C155)/2</f>
        <v>0.080182820558548</v>
      </c>
      <c r="E155" s="15" t="n">
        <f aca="false">$C$2*(1+IF(E$3&lt;=$O$2,$D155,$D155-($D155-$I$130)*MIN(E$3-$O$2,$Q$2)/$Q$2))</f>
        <v>3597.00879245996</v>
      </c>
      <c r="F155" s="15" t="n">
        <f aca="false">E155*(1+IF(F$3&lt;=$O$2,$D155,$D155-($D155-$I$130)*MIN(F$3-$O$2,$Q$2)/$Q$2))</f>
        <v>3885.4271030133</v>
      </c>
      <c r="G155" s="15" t="n">
        <f aca="false">F155*(1+IF(G$3&lt;=$O$2,$D155,$D155-($D155-$I$130)*MIN(G$3-$O$2,$Q$2)/$Q$2))</f>
        <v>4196.97160720754</v>
      </c>
      <c r="H155" s="15" t="n">
        <f aca="false">G155*(1+IF(H$3&lt;=$O$2,$D155,$D155-($D155-$I$130)*MIN(H$3-$O$2,$Q$2)/$Q$2))</f>
        <v>4533.49662847758</v>
      </c>
      <c r="I155" s="15" t="n">
        <f aca="false">H155*(1+IF(I$3&lt;=$O$2,$D155,$D155-($D155-$I$130)*MIN(I$3-$O$2,$Q$2)/$Q$2))</f>
        <v>4897.00517514158</v>
      </c>
      <c r="J155" s="15" t="n">
        <f aca="false">I155*(1+IF(J$3&lt;=$O$2,$D155,$D155-($D155-$I$130)*MIN(J$3-$O$2,$Q$2)/$Q$2))</f>
        <v>5243.74377939415</v>
      </c>
      <c r="K155" s="15" t="n">
        <f aca="false">J155*(1+IF(K$3&lt;=$O$2,$D155,$D155-($D155-$I$130)*MIN(K$3-$O$2,$Q$2)/$Q$2))</f>
        <v>5565.86534644658</v>
      </c>
      <c r="L155" s="15" t="n">
        <f aca="false">K155*(1+IF(L$3&lt;=$O$2,$D155,$D155-($D155-$I$130)*MIN(L$3-$O$2,$Q$2)/$Q$2))</f>
        <v>5855.58604899945</v>
      </c>
      <c r="M155" s="15" t="n">
        <f aca="false">L155*(1+IF(M$3&lt;=$O$2,$D155,$D155-($D155-$I$130)*MIN(M$3-$O$2,$Q$2)/$Q$2))</f>
        <v>6105.4823424312</v>
      </c>
      <c r="N155" s="15" t="n">
        <f aca="false">M155*(1+IF(N$3&lt;=$O$2,$D155,$D155-($D155-$I$130)*MIN(N$3-$O$2,$Q$2)/$Q$2))</f>
        <v>6308.79490443416</v>
      </c>
      <c r="O155" s="15" t="n">
        <f aca="false">SUMPRODUCT(E155:N155,1/(1+$F$130)^$E$3:$N$3)*$E$2</f>
        <v>17053.6606491201</v>
      </c>
      <c r="P155" s="15" t="n">
        <f aca="false">N155*$E$2*(1+$I$130)/($F$130-$I$130)/(1+$F$130)^$N$3</f>
        <v>29903.6557245533</v>
      </c>
      <c r="Q155" s="15" t="n">
        <f aca="false">O155+P155</f>
        <v>46957.3163736733</v>
      </c>
      <c r="R155" s="15" t="n">
        <f aca="false">Q155-$G$2+$I$2</f>
        <v>40770.0163736733</v>
      </c>
      <c r="S155" s="42" t="n">
        <f aca="false">R155/$K$2</f>
        <v>560.798024397157</v>
      </c>
      <c r="T155" s="43" t="n">
        <f aca="false">S155-$M$2</f>
        <v>0.00022522246661083</v>
      </c>
    </row>
    <row r="157" customFormat="false" ht="15" hidden="false" customHeight="false" outlineLevel="0" collapsed="false">
      <c r="A157" s="38" t="s">
        <v>186</v>
      </c>
      <c r="E157" s="5" t="s">
        <v>11</v>
      </c>
      <c r="F157" s="12" t="n">
        <f aca="false">Sensitivity!$B$10</f>
        <v>0.0853306228759286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162</v>
      </c>
      <c r="B158" s="28" t="s">
        <v>163</v>
      </c>
      <c r="C158" s="28" t="s">
        <v>164</v>
      </c>
      <c r="D158" s="28" t="s">
        <v>165</v>
      </c>
      <c r="E158" s="28" t="s">
        <v>166</v>
      </c>
      <c r="F158" s="28" t="s">
        <v>167</v>
      </c>
      <c r="G158" s="28" t="s">
        <v>168</v>
      </c>
      <c r="H158" s="28" t="s">
        <v>169</v>
      </c>
      <c r="I158" s="28" t="s">
        <v>170</v>
      </c>
      <c r="J158" s="28" t="s">
        <v>171</v>
      </c>
      <c r="K158" s="28" t="s">
        <v>172</v>
      </c>
      <c r="L158" s="28" t="s">
        <v>173</v>
      </c>
      <c r="M158" s="28" t="s">
        <v>174</v>
      </c>
      <c r="N158" s="28" t="s">
        <v>175</v>
      </c>
      <c r="O158" s="28" t="s">
        <v>176</v>
      </c>
      <c r="P158" s="28" t="s">
        <v>177</v>
      </c>
      <c r="Q158" s="28" t="s">
        <v>178</v>
      </c>
      <c r="R158" s="28" t="s">
        <v>179</v>
      </c>
      <c r="S158" s="28" t="s">
        <v>180</v>
      </c>
      <c r="T158" s="28" t="s">
        <v>181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4162.5</v>
      </c>
      <c r="F159" s="15" t="n">
        <f aca="false">E159*(1+IF(F$3&lt;=$O$2,$D159,$D159-($D159-$I$157)*MIN(F$3-$O$2,$Q$2)/$Q$2))</f>
        <v>5203.125</v>
      </c>
      <c r="G159" s="15" t="n">
        <f aca="false">F159*(1+IF(G$3&lt;=$O$2,$D159,$D159-($D159-$I$157)*MIN(G$3-$O$2,$Q$2)/$Q$2))</f>
        <v>6503.90625</v>
      </c>
      <c r="H159" s="15" t="n">
        <f aca="false">G159*(1+IF(H$3&lt;=$O$2,$D159,$D159-($D159-$I$157)*MIN(H$3-$O$2,$Q$2)/$Q$2))</f>
        <v>8129.8828125</v>
      </c>
      <c r="I159" s="15" t="n">
        <f aca="false">H159*(1+IF(I$3&lt;=$O$2,$D159,$D159-($D159-$I$157)*MIN(I$3-$O$2,$Q$2)/$Q$2))</f>
        <v>10162.353515625</v>
      </c>
      <c r="J159" s="15" t="n">
        <f aca="false">I159*(1+IF(J$3&lt;=$O$2,$D159,$D159-($D159-$I$157)*MIN(J$3-$O$2,$Q$2)/$Q$2))</f>
        <v>12272.6678466797</v>
      </c>
      <c r="K159" s="15" t="n">
        <f aca="false">J159*(1+IF(K$3&lt;=$O$2,$D159,$D159-($D159-$I$157)*MIN(K$3-$O$2,$Q$2)/$Q$2))</f>
        <v>14301.5852950928</v>
      </c>
      <c r="L159" s="15" t="n">
        <f aca="false">K159*(1+IF(L$3&lt;=$O$2,$D159,$D159-($D159-$I$157)*MIN(L$3-$O$2,$Q$2)/$Q$2))</f>
        <v>16060.3942546833</v>
      </c>
      <c r="M159" s="15" t="n">
        <f aca="false">L159*(1+IF(M$3&lt;=$O$2,$D159,$D159-($D159-$I$157)*MIN(M$3-$O$2,$Q$2)/$Q$2))</f>
        <v>17355.5044473809</v>
      </c>
      <c r="N159" s="15" t="n">
        <f aca="false">M159*(1+IF(N$3&lt;=$O$2,$D159,$D159-($D159-$I$157)*MIN(N$3-$O$2,$Q$2)/$Q$2))</f>
        <v>18020.2202677156</v>
      </c>
      <c r="O159" s="15" t="n">
        <f aca="false">SUMPRODUCT(E159:N159,1/(1+$F$157)^$E$3:$N$3)*$E$2</f>
        <v>35785.4318619209</v>
      </c>
      <c r="P159" s="15" t="n">
        <f aca="false">N159*$E$2*(1+$I$157)/($F$157-$I$157)/(1+$F$157)^$N$3</f>
        <v>94953.87428318</v>
      </c>
      <c r="Q159" s="15" t="n">
        <f aca="false">O159+P159</f>
        <v>130739.306145101</v>
      </c>
      <c r="R159" s="15" t="n">
        <f aca="false">Q159-$G$2+$I$2</f>
        <v>124552.006145101</v>
      </c>
      <c r="S159" s="42" t="n">
        <f aca="false">R159/$K$2</f>
        <v>1713.23254670015</v>
      </c>
      <c r="T159" s="43" t="n">
        <f aca="false">S159-$M$2</f>
        <v>1152.43474752546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2913.75</v>
      </c>
      <c r="F160" s="15" t="n">
        <f aca="false">E160*(1+IF(F$3&lt;=$O$2,$D160,$D160-($D160-$I$157)*MIN(F$3-$O$2,$Q$2)/$Q$2))</f>
        <v>2549.53125</v>
      </c>
      <c r="G160" s="15" t="n">
        <f aca="false">F160*(1+IF(G$3&lt;=$O$2,$D160,$D160-($D160-$I$157)*MIN(G$3-$O$2,$Q$2)/$Q$2))</f>
        <v>2230.83984375</v>
      </c>
      <c r="H160" s="15" t="n">
        <f aca="false">G160*(1+IF(H$3&lt;=$O$2,$D160,$D160-($D160-$I$157)*MIN(H$3-$O$2,$Q$2)/$Q$2))</f>
        <v>1951.98486328125</v>
      </c>
      <c r="I160" s="15" t="n">
        <f aca="false">H160*(1+IF(I$3&lt;=$O$2,$D160,$D160-($D160-$I$157)*MIN(I$3-$O$2,$Q$2)/$Q$2))</f>
        <v>1707.98675537109</v>
      </c>
      <c r="J160" s="15" t="n">
        <f aca="false">I160*(1+IF(J$3&lt;=$O$2,$D160,$D160-($D160-$I$157)*MIN(J$3-$O$2,$Q$2)/$Q$2))</f>
        <v>1550.27125838013</v>
      </c>
      <c r="K160" s="15" t="n">
        <f aca="false">J160*(1+IF(K$3&lt;=$O$2,$D160,$D160-($D160-$I$157)*MIN(K$3-$O$2,$Q$2)/$Q$2))</f>
        <v>1457.75106968</v>
      </c>
      <c r="L160" s="15" t="n">
        <f aca="false">K160*(1+IF(L$3&lt;=$O$2,$D160,$D160-($D160-$I$157)*MIN(L$3-$O$2,$Q$2)/$Q$2))</f>
        <v>1418.36263577725</v>
      </c>
      <c r="M160" s="15" t="n">
        <f aca="false">L160*(1+IF(M$3&lt;=$O$2,$D160,$D160-($D160-$I$157)*MIN(M$3-$O$2,$Q$2)/$Q$2))</f>
        <v>1426.36220104303</v>
      </c>
      <c r="N160" s="15" t="n">
        <f aca="false">M160*(1+IF(N$3&lt;=$O$2,$D160,$D160-($D160-$I$157)*MIN(N$3-$O$2,$Q$2)/$Q$2))</f>
        <v>1480.99187334298</v>
      </c>
      <c r="O160" s="15" t="n">
        <f aca="false">SUMPRODUCT(E160:N160,1/(1+$F$157)^$E$3:$N$3)*$E$2</f>
        <v>7024.63606684276</v>
      </c>
      <c r="P160" s="15" t="n">
        <f aca="false">N160*$E$2*(1+$I$157)/($F$157-$I$157)/(1+$F$157)^$N$3</f>
        <v>7803.78453019027</v>
      </c>
      <c r="Q160" s="15" t="n">
        <f aca="false">O160+P160</f>
        <v>14828.420597033</v>
      </c>
      <c r="R160" s="15" t="n">
        <f aca="false">Q160-$G$2+$I$2</f>
        <v>8641.12059703303</v>
      </c>
      <c r="S160" s="42" t="n">
        <f aca="false">R160/$K$2</f>
        <v>118.859980701967</v>
      </c>
      <c r="T160" s="43" t="n">
        <f aca="false">S160-$M$2</f>
        <v>-441.937818472723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3538.125</v>
      </c>
      <c r="F161" s="15" t="n">
        <f aca="false">E161*(1+IF(F$3&lt;=$O$2,$D161,$D161-($D161-$I$157)*MIN(F$3-$O$2,$Q$2)/$Q$2))</f>
        <v>3759.2578125</v>
      </c>
      <c r="G161" s="15" t="n">
        <f aca="false">F161*(1+IF(G$3&lt;=$O$2,$D161,$D161-($D161-$I$157)*MIN(G$3-$O$2,$Q$2)/$Q$2))</f>
        <v>3994.21142578125</v>
      </c>
      <c r="H161" s="15" t="n">
        <f aca="false">G161*(1+IF(H$3&lt;=$O$2,$D161,$D161-($D161-$I$157)*MIN(H$3-$O$2,$Q$2)/$Q$2))</f>
        <v>4243.84963989258</v>
      </c>
      <c r="I161" s="15" t="n">
        <f aca="false">H161*(1+IF(I$3&lt;=$O$2,$D161,$D161-($D161-$I$157)*MIN(I$3-$O$2,$Q$2)/$Q$2))</f>
        <v>4509.09024238586</v>
      </c>
      <c r="J161" s="15" t="n">
        <f aca="false">I161*(1+IF(J$3&lt;=$O$2,$D161,$D161-($D161-$I$157)*MIN(J$3-$O$2,$Q$2)/$Q$2))</f>
        <v>4769.08438576183</v>
      </c>
      <c r="K161" s="15" t="n">
        <f aca="false">J161*(1+IF(K$3&lt;=$O$2,$D161,$D161-($D161-$I$157)*MIN(K$3-$O$2,$Q$2)/$Q$2))</f>
        <v>5020.98742301777</v>
      </c>
      <c r="L161" s="15" t="n">
        <f aca="false">K161*(1+IF(L$3&lt;=$O$2,$D161,$D161-($D161-$I$157)*MIN(L$3-$O$2,$Q$2)/$Q$2))</f>
        <v>5261.89439957417</v>
      </c>
      <c r="M161" s="15" t="n">
        <f aca="false">L161*(1+IF(M$3&lt;=$O$2,$D161,$D161-($D161-$I$157)*MIN(M$3-$O$2,$Q$2)/$Q$2))</f>
        <v>5488.8925239718</v>
      </c>
      <c r="N161" s="15" t="n">
        <f aca="false">M161*(1+IF(N$3&lt;=$O$2,$D161,$D161-($D161-$I$157)*MIN(N$3-$O$2,$Q$2)/$Q$2))</f>
        <v>5699.11710763992</v>
      </c>
      <c r="O161" s="15" t="n">
        <f aca="false">SUMPRODUCT(E161:N161,1/(1+$F$157)^$E$3:$N$3)*$E$2</f>
        <v>15832.431318423</v>
      </c>
      <c r="P161" s="15" t="n">
        <f aca="false">N161*$E$2*(1+$I$157)/($F$157-$I$157)/(1+$F$157)^$N$3</f>
        <v>30030.3348862761</v>
      </c>
      <c r="Q161" s="15" t="n">
        <f aca="false">O161+P161</f>
        <v>45862.7662046991</v>
      </c>
      <c r="R161" s="15" t="n">
        <f aca="false">Q161-$G$2+$I$2</f>
        <v>39675.4662046991</v>
      </c>
      <c r="S161" s="42" t="n">
        <f aca="false">R161/$K$2</f>
        <v>545.742313682243</v>
      </c>
      <c r="T161" s="43" t="n">
        <f aca="false">S161-$M$2</f>
        <v>-15.055485492447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0.0625</v>
      </c>
      <c r="C162" s="25" t="n">
        <f aca="false">IF(T161&gt;0,D161,C161)</f>
        <v>0.25</v>
      </c>
      <c r="D162" s="41" t="n">
        <f aca="false">(B162+C162)/2</f>
        <v>0.15625</v>
      </c>
      <c r="E162" s="15" t="n">
        <f aca="false">$C$2*(1+IF(E$3&lt;=$O$2,$D162,$D162-($D162-$I$157)*MIN(E$3-$O$2,$Q$2)/$Q$2))</f>
        <v>3850.3125</v>
      </c>
      <c r="F162" s="15" t="n">
        <f aca="false">E162*(1+IF(F$3&lt;=$O$2,$D162,$D162-($D162-$I$157)*MIN(F$3-$O$2,$Q$2)/$Q$2))</f>
        <v>4451.923828125</v>
      </c>
      <c r="G162" s="15" t="n">
        <f aca="false">F162*(1+IF(G$3&lt;=$O$2,$D162,$D162-($D162-$I$157)*MIN(G$3-$O$2,$Q$2)/$Q$2))</f>
        <v>5147.53692626953</v>
      </c>
      <c r="H162" s="15" t="n">
        <f aca="false">G162*(1+IF(H$3&lt;=$O$2,$D162,$D162-($D162-$I$157)*MIN(H$3-$O$2,$Q$2)/$Q$2))</f>
        <v>5951.83957099915</v>
      </c>
      <c r="I162" s="15" t="n">
        <f aca="false">H162*(1+IF(I$3&lt;=$O$2,$D162,$D162-($D162-$I$157)*MIN(I$3-$O$2,$Q$2)/$Q$2))</f>
        <v>6881.81450396776</v>
      </c>
      <c r="J162" s="15" t="n">
        <f aca="false">I162*(1+IF(J$3&lt;=$O$2,$D162,$D162-($D162-$I$157)*MIN(J$3-$O$2,$Q$2)/$Q$2))</f>
        <v>7794.75601606413</v>
      </c>
      <c r="K162" s="15" t="n">
        <f aca="false">J162*(1+IF(K$3&lt;=$O$2,$D162,$D162-($D162-$I$157)*MIN(K$3-$O$2,$Q$2)/$Q$2))</f>
        <v>8644.93005473624</v>
      </c>
      <c r="L162" s="15" t="n">
        <f aca="false">K162*(1+IF(L$3&lt;=$O$2,$D162,$D162-($D162-$I$157)*MIN(L$3-$O$2,$Q$2)/$Q$2))</f>
        <v>9383.89867581509</v>
      </c>
      <c r="M162" s="15" t="n">
        <f aca="false">L162*(1+IF(M$3&lt;=$O$2,$D162,$D162-($D162-$I$157)*MIN(M$3-$O$2,$Q$2)/$Q$2))</f>
        <v>9964.66816486129</v>
      </c>
      <c r="N162" s="15" t="n">
        <f aca="false">M162*(1+IF(N$3&lt;=$O$2,$D162,$D162-($D162-$I$157)*MIN(N$3-$O$2,$Q$2)/$Q$2))</f>
        <v>10346.3149555755</v>
      </c>
      <c r="O162" s="15" t="n">
        <f aca="false">SUMPRODUCT(E162:N162,1/(1+$F$157)^$E$3:$N$3)*$E$2</f>
        <v>23849.1993883552</v>
      </c>
      <c r="P162" s="15" t="n">
        <f aca="false">N162*$E$2*(1+$I$157)/($F$157-$I$157)/(1+$F$157)^$N$3</f>
        <v>54517.7958421502</v>
      </c>
      <c r="Q162" s="15" t="n">
        <f aca="false">O162+P162</f>
        <v>78366.9952305054</v>
      </c>
      <c r="R162" s="15" t="n">
        <f aca="false">Q162-$G$2+$I$2</f>
        <v>72179.6952305054</v>
      </c>
      <c r="S162" s="42" t="n">
        <f aca="false">R162/$K$2</f>
        <v>992.843125591546</v>
      </c>
      <c r="T162" s="43" t="n">
        <f aca="false">S162-$M$2</f>
        <v>432.045326416856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0.0625</v>
      </c>
      <c r="C163" s="25" t="n">
        <f aca="false">IF(T162&gt;0,D162,C162)</f>
        <v>0.15625</v>
      </c>
      <c r="D163" s="41" t="n">
        <f aca="false">(B163+C163)/2</f>
        <v>0.109375</v>
      </c>
      <c r="E163" s="15" t="n">
        <f aca="false">$C$2*(1+IF(E$3&lt;=$O$2,$D163,$D163-($D163-$I$157)*MIN(E$3-$O$2,$Q$2)/$Q$2))</f>
        <v>3694.21875</v>
      </c>
      <c r="F163" s="15" t="n">
        <f aca="false">E163*(1+IF(F$3&lt;=$O$2,$D163,$D163-($D163-$I$157)*MIN(F$3-$O$2,$Q$2)/$Q$2))</f>
        <v>4098.27392578125</v>
      </c>
      <c r="G163" s="15" t="n">
        <f aca="false">F163*(1+IF(G$3&lt;=$O$2,$D163,$D163-($D163-$I$157)*MIN(G$3-$O$2,$Q$2)/$Q$2))</f>
        <v>4546.52263641357</v>
      </c>
      <c r="H163" s="15" t="n">
        <f aca="false">G163*(1+IF(H$3&lt;=$O$2,$D163,$D163-($D163-$I$157)*MIN(H$3-$O$2,$Q$2)/$Q$2))</f>
        <v>5043.79854977131</v>
      </c>
      <c r="I163" s="15" t="n">
        <f aca="false">H163*(1+IF(I$3&lt;=$O$2,$D163,$D163-($D163-$I$157)*MIN(I$3-$O$2,$Q$2)/$Q$2))</f>
        <v>5595.46401615255</v>
      </c>
      <c r="J163" s="15" t="n">
        <f aca="false">I163*(1+IF(J$3&lt;=$O$2,$D163,$D163-($D163-$I$157)*MIN(J$3-$O$2,$Q$2)/$Q$2))</f>
        <v>6127.92837192962</v>
      </c>
      <c r="K163" s="15" t="n">
        <f aca="false">J163*(1+IF(K$3&lt;=$O$2,$D163,$D163-($D163-$I$157)*MIN(K$3-$O$2,$Q$2)/$Q$2))</f>
        <v>6623.95353399547</v>
      </c>
      <c r="L163" s="15" t="n">
        <f aca="false">K163*(1+IF(L$3&lt;=$O$2,$D163,$D163-($D163-$I$157)*MIN(L$3-$O$2,$Q$2)/$Q$2))</f>
        <v>7065.96995331898</v>
      </c>
      <c r="M163" s="15" t="n">
        <f aca="false">L163*(1+IF(M$3&lt;=$O$2,$D163,$D163-($D163-$I$157)*MIN(M$3-$O$2,$Q$2)/$Q$2))</f>
        <v>7437.03936541753</v>
      </c>
      <c r="N163" s="15" t="n">
        <f aca="false">M163*(1+IF(N$3&lt;=$O$2,$D163,$D163-($D163-$I$157)*MIN(N$3-$O$2,$Q$2)/$Q$2))</f>
        <v>7721.87797311302</v>
      </c>
      <c r="O163" s="15" t="n">
        <f aca="false">SUMPRODUCT(E163:N163,1/(1+$F$157)^$E$3:$N$3)*$E$2</f>
        <v>19436.2529444849</v>
      </c>
      <c r="P163" s="15" t="n">
        <f aca="false">N163*$E$2*(1+$I$157)/($F$157-$I$157)/(1+$F$157)^$N$3</f>
        <v>40688.8605908244</v>
      </c>
      <c r="Q163" s="15" t="n">
        <f aca="false">O163+P163</f>
        <v>60125.1135353094</v>
      </c>
      <c r="R163" s="15" t="n">
        <f aca="false">Q163-$G$2+$I$2</f>
        <v>53937.8135353094</v>
      </c>
      <c r="S163" s="42" t="n">
        <f aca="false">R163/$K$2</f>
        <v>741.923157294489</v>
      </c>
      <c r="T163" s="43" t="n">
        <f aca="false">S163-$M$2</f>
        <v>181.125358119799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0.0625</v>
      </c>
      <c r="C164" s="25" t="n">
        <f aca="false">IF(T163&gt;0,D163,C163)</f>
        <v>0.109375</v>
      </c>
      <c r="D164" s="41" t="n">
        <f aca="false">(B164+C164)/2</f>
        <v>0.0859375</v>
      </c>
      <c r="E164" s="15" t="n">
        <f aca="false">$C$2*(1+IF(E$3&lt;=$O$2,$D164,$D164-($D164-$I$157)*MIN(E$3-$O$2,$Q$2)/$Q$2))</f>
        <v>3616.171875</v>
      </c>
      <c r="F164" s="15" t="n">
        <f aca="false">E164*(1+IF(F$3&lt;=$O$2,$D164,$D164-($D164-$I$157)*MIN(F$3-$O$2,$Q$2)/$Q$2))</f>
        <v>3926.93664550781</v>
      </c>
      <c r="G164" s="15" t="n">
        <f aca="false">F164*(1+IF(G$3&lt;=$O$2,$D164,$D164-($D164-$I$157)*MIN(G$3-$O$2,$Q$2)/$Q$2))</f>
        <v>4264.40776348114</v>
      </c>
      <c r="H164" s="15" t="n">
        <f aca="false">G164*(1+IF(H$3&lt;=$O$2,$D164,$D164-($D164-$I$157)*MIN(H$3-$O$2,$Q$2)/$Q$2))</f>
        <v>4630.8803056553</v>
      </c>
      <c r="I164" s="15" t="n">
        <f aca="false">H164*(1+IF(I$3&lt;=$O$2,$D164,$D164-($D164-$I$157)*MIN(I$3-$O$2,$Q$2)/$Q$2))</f>
        <v>5028.84658192255</v>
      </c>
      <c r="J164" s="15" t="n">
        <f aca="false">I164*(1+IF(J$3&lt;=$O$2,$D164,$D164-($D164-$I$157)*MIN(J$3-$O$2,$Q$2)/$Q$2))</f>
        <v>5413.10074924726</v>
      </c>
      <c r="K164" s="15" t="n">
        <f aca="false">J164*(1+IF(K$3&lt;=$O$2,$D164,$D164-($D164-$I$157)*MIN(K$3-$O$2,$Q$2)/$Q$2))</f>
        <v>5775.14246010879</v>
      </c>
      <c r="L164" s="15" t="n">
        <f aca="false">K164*(1+IF(L$3&lt;=$O$2,$D164,$D164-($D164-$I$157)*MIN(L$3-$O$2,$Q$2)/$Q$2))</f>
        <v>6106.37575590832</v>
      </c>
      <c r="M164" s="15" t="n">
        <f aca="false">L164*(1+IF(M$3&lt;=$O$2,$D164,$D164-($D164-$I$157)*MIN(M$3-$O$2,$Q$2)/$Q$2))</f>
        <v>6398.42844237403</v>
      </c>
      <c r="N164" s="15" t="n">
        <f aca="false">M164*(1+IF(N$3&lt;=$O$2,$D164,$D164-($D164-$I$157)*MIN(N$3-$O$2,$Q$2)/$Q$2))</f>
        <v>6643.48825171695</v>
      </c>
      <c r="O164" s="15" t="n">
        <f aca="false">SUMPRODUCT(E164:N164,1/(1+$F$157)^$E$3:$N$3)*$E$2</f>
        <v>17542.4467020979</v>
      </c>
      <c r="P164" s="15" t="n">
        <f aca="false">N164*$E$2*(1+$I$157)/($F$157-$I$157)/(1+$F$157)^$N$3</f>
        <v>35006.5059629419</v>
      </c>
      <c r="Q164" s="15" t="n">
        <f aca="false">O164+P164</f>
        <v>52548.9526650399</v>
      </c>
      <c r="R164" s="15" t="n">
        <f aca="false">Q164-$G$2+$I$2</f>
        <v>46361.6526650399</v>
      </c>
      <c r="S164" s="42" t="n">
        <f aca="false">R164/$K$2</f>
        <v>637.711866094084</v>
      </c>
      <c r="T164" s="43" t="n">
        <f aca="false">S164-$M$2</f>
        <v>76.9140669193932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0.0625</v>
      </c>
      <c r="C165" s="25" t="n">
        <f aca="false">IF(T164&gt;0,D164,C164)</f>
        <v>0.0859375</v>
      </c>
      <c r="D165" s="41" t="n">
        <f aca="false">(B165+C165)/2</f>
        <v>0.07421875</v>
      </c>
      <c r="E165" s="15" t="n">
        <f aca="false">$C$2*(1+IF(E$3&lt;=$O$2,$D165,$D165-($D165-$I$157)*MIN(E$3-$O$2,$Q$2)/$Q$2))</f>
        <v>3577.1484375</v>
      </c>
      <c r="F165" s="15" t="n">
        <f aca="false">E165*(1+IF(F$3&lt;=$O$2,$D165,$D165-($D165-$I$157)*MIN(F$3-$O$2,$Q$2)/$Q$2))</f>
        <v>3842.6399230957</v>
      </c>
      <c r="G165" s="15" t="n">
        <f aca="false">F165*(1+IF(G$3&lt;=$O$2,$D165,$D165-($D165-$I$157)*MIN(G$3-$O$2,$Q$2)/$Q$2))</f>
        <v>4127.83585488796</v>
      </c>
      <c r="H165" s="15" t="n">
        <f aca="false">G165*(1+IF(H$3&lt;=$O$2,$D165,$D165-($D165-$I$157)*MIN(H$3-$O$2,$Q$2)/$Q$2))</f>
        <v>4434.19867224293</v>
      </c>
      <c r="I165" s="15" t="n">
        <f aca="false">H165*(1+IF(I$3&lt;=$O$2,$D165,$D165-($D165-$I$157)*MIN(I$3-$O$2,$Q$2)/$Q$2))</f>
        <v>4763.29935494846</v>
      </c>
      <c r="J165" s="15" t="n">
        <f aca="false">I165*(1+IF(J$3&lt;=$O$2,$D165,$D165-($D165-$I$157)*MIN(J$3-$O$2,$Q$2)/$Q$2))</f>
        <v>5082.60712720743</v>
      </c>
      <c r="K165" s="15" t="n">
        <f aca="false">J165*(1+IF(K$3&lt;=$O$2,$D165,$D165-($D165-$I$157)*MIN(K$3-$O$2,$Q$2)/$Q$2))</f>
        <v>5386.8075170297</v>
      </c>
      <c r="L165" s="15" t="n">
        <f aca="false">K165*(1+IF(L$3&lt;=$O$2,$D165,$D165-($D165-$I$157)*MIN(L$3-$O$2,$Q$2)/$Q$2))</f>
        <v>5670.51720193286</v>
      </c>
      <c r="M165" s="15" t="n">
        <f aca="false">L165*(1+IF(M$3&lt;=$O$2,$D165,$D165-($D165-$I$157)*MIN(M$3-$O$2,$Q$2)/$Q$2))</f>
        <v>5928.43358871628</v>
      </c>
      <c r="N165" s="15" t="n">
        <f aca="false">M165*(1+IF(N$3&lt;=$O$2,$D165,$D165-($D165-$I$157)*MIN(N$3-$O$2,$Q$2)/$Q$2))</f>
        <v>6155.49259516411</v>
      </c>
      <c r="O165" s="15" t="n">
        <f aca="false">SUMPRODUCT(E165:N165,1/(1+$F$157)^$E$3:$N$3)*$E$2</f>
        <v>16665.5402343124</v>
      </c>
      <c r="P165" s="15" t="n">
        <f aca="false">N165*$E$2*(1+$I$157)/($F$157-$I$157)/(1+$F$157)^$N$3</f>
        <v>32435.1124097748</v>
      </c>
      <c r="Q165" s="15" t="n">
        <f aca="false">O165+P165</f>
        <v>49100.6526440872</v>
      </c>
      <c r="R165" s="15" t="n">
        <f aca="false">Q165-$G$2+$I$2</f>
        <v>42913.3526440872</v>
      </c>
      <c r="S165" s="42" t="n">
        <f aca="false">R165/$K$2</f>
        <v>590.279953838888</v>
      </c>
      <c r="T165" s="43" t="n">
        <f aca="false">S165-$M$2</f>
        <v>29.4821546641977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0.0625</v>
      </c>
      <c r="C166" s="25" t="n">
        <f aca="false">IF(T165&gt;0,D165,C165)</f>
        <v>0.07421875</v>
      </c>
      <c r="D166" s="41" t="n">
        <f aca="false">(B166+C166)/2</f>
        <v>0.068359375</v>
      </c>
      <c r="E166" s="15" t="n">
        <f aca="false">$C$2*(1+IF(E$3&lt;=$O$2,$D166,$D166-($D166-$I$157)*MIN(E$3-$O$2,$Q$2)/$Q$2))</f>
        <v>3557.63671875</v>
      </c>
      <c r="F166" s="15" t="n">
        <f aca="false">E166*(1+IF(F$3&lt;=$O$2,$D166,$D166-($D166-$I$157)*MIN(F$3-$O$2,$Q$2)/$Q$2))</f>
        <v>3800.8345413208</v>
      </c>
      <c r="G166" s="15" t="n">
        <f aca="false">F166*(1+IF(G$3&lt;=$O$2,$D166,$D166-($D166-$I$157)*MIN(G$3-$O$2,$Q$2)/$Q$2))</f>
        <v>4060.6572150439</v>
      </c>
      <c r="H166" s="15" t="n">
        <f aca="false">G166*(1+IF(H$3&lt;=$O$2,$D166,$D166-($D166-$I$157)*MIN(H$3-$O$2,$Q$2)/$Q$2))</f>
        <v>4338.24120435354</v>
      </c>
      <c r="I166" s="15" t="n">
        <f aca="false">H166*(1+IF(I$3&lt;=$O$2,$D166,$D166-($D166-$I$157)*MIN(I$3-$O$2,$Q$2)/$Q$2))</f>
        <v>4634.8006616824</v>
      </c>
      <c r="J166" s="15" t="n">
        <f aca="false">I166*(1+IF(J$3&lt;=$O$2,$D166,$D166-($D166-$I$157)*MIN(J$3-$O$2,$Q$2)/$Q$2))</f>
        <v>4923.76889593664</v>
      </c>
      <c r="K166" s="15" t="n">
        <f aca="false">J166*(1+IF(K$3&lt;=$O$2,$D166,$D166-($D166-$I$157)*MIN(K$3-$O$2,$Q$2)/$Q$2))</f>
        <v>5201.15249404479</v>
      </c>
      <c r="L166" s="15" t="n">
        <f aca="false">K166*(1+IF(L$3&lt;=$O$2,$D166,$D166-($D166-$I$157)*MIN(L$3-$O$2,$Q$2)/$Q$2))</f>
        <v>5462.89399186698</v>
      </c>
      <c r="M166" s="15" t="n">
        <f aca="false">L166*(1+IF(M$3&lt;=$O$2,$D166,$D166-($D166-$I$157)*MIN(M$3-$O$2,$Q$2)/$Q$2))</f>
        <v>5704.96506757284</v>
      </c>
      <c r="N166" s="15" t="n">
        <f aca="false">M166*(1+IF(N$3&lt;=$O$2,$D166,$D166-($D166-$I$157)*MIN(N$3-$O$2,$Q$2)/$Q$2))</f>
        <v>5923.46522966088</v>
      </c>
      <c r="O166" s="15" t="n">
        <f aca="false">SUMPRODUCT(E166:N166,1/(1+$F$157)^$E$3:$N$3)*$E$2</f>
        <v>16243.6406824755</v>
      </c>
      <c r="P166" s="15" t="n">
        <f aca="false">N166*$E$2*(1+$I$157)/($F$157-$I$157)/(1+$F$157)^$N$3</f>
        <v>31212.4915446057</v>
      </c>
      <c r="Q166" s="15" t="n">
        <f aca="false">O166+P166</f>
        <v>47456.1322270813</v>
      </c>
      <c r="R166" s="15" t="n">
        <f aca="false">Q166-$G$2+$I$2</f>
        <v>41268.8322270813</v>
      </c>
      <c r="S166" s="42" t="n">
        <f aca="false">R166/$K$2</f>
        <v>567.65931536563</v>
      </c>
      <c r="T166" s="43" t="n">
        <f aca="false">S166-$M$2</f>
        <v>6.86151619093914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0.0625</v>
      </c>
      <c r="C167" s="25" t="n">
        <f aca="false">IF(T166&gt;0,D166,C166)</f>
        <v>0.068359375</v>
      </c>
      <c r="D167" s="41" t="n">
        <f aca="false">(B167+C167)/2</f>
        <v>0.0654296875</v>
      </c>
      <c r="E167" s="15" t="n">
        <f aca="false">$C$2*(1+IF(E$3&lt;=$O$2,$D167,$D167-($D167-$I$157)*MIN(E$3-$O$2,$Q$2)/$Q$2))</f>
        <v>3547.880859375</v>
      </c>
      <c r="F167" s="15" t="n">
        <f aca="false">E167*(1+IF(F$3&lt;=$O$2,$D167,$D167-($D167-$I$157)*MIN(F$3-$O$2,$Q$2)/$Q$2))</f>
        <v>3780.01759529114</v>
      </c>
      <c r="G167" s="15" t="n">
        <f aca="false">F167*(1+IF(G$3&lt;=$O$2,$D167,$D167-($D167-$I$157)*MIN(G$3-$O$2,$Q$2)/$Q$2))</f>
        <v>4027.34296529554</v>
      </c>
      <c r="H167" s="15" t="n">
        <f aca="false">G167*(1+IF(H$3&lt;=$O$2,$D167,$D167-($D167-$I$157)*MIN(H$3-$O$2,$Q$2)/$Q$2))</f>
        <v>4290.85075697015</v>
      </c>
      <c r="I167" s="15" t="n">
        <f aca="false">H167*(1+IF(I$3&lt;=$O$2,$D167,$D167-($D167-$I$157)*MIN(I$3-$O$2,$Q$2)/$Q$2))</f>
        <v>4571.59978110784</v>
      </c>
      <c r="J167" s="15" t="n">
        <f aca="false">I167*(1+IF(J$3&lt;=$O$2,$D167,$D167-($D167-$I$157)*MIN(J$3-$O$2,$Q$2)/$Q$2))</f>
        <v>4845.91291147349</v>
      </c>
      <c r="K167" s="15" t="n">
        <f aca="false">J167*(1+IF(K$3&lt;=$O$2,$D167,$D167-($D167-$I$157)*MIN(K$3-$O$2,$Q$2)/$Q$2))</f>
        <v>5110.39223774722</v>
      </c>
      <c r="L167" s="15" t="n">
        <f aca="false">K167*(1+IF(L$3&lt;=$O$2,$D167,$D167-($D167-$I$157)*MIN(L$3-$O$2,$Q$2)/$Q$2))</f>
        <v>5361.57759821794</v>
      </c>
      <c r="M167" s="15" t="n">
        <f aca="false">L167*(1+IF(M$3&lt;=$O$2,$D167,$D167-($D167-$I$157)*MIN(M$3-$O$2,$Q$2)/$Q$2))</f>
        <v>5596.01760517902</v>
      </c>
      <c r="N167" s="15" t="n">
        <f aca="false">M167*(1+IF(N$3&lt;=$O$2,$D167,$D167-($D167-$I$157)*MIN(N$3-$O$2,$Q$2)/$Q$2))</f>
        <v>5810.34507945738</v>
      </c>
      <c r="O167" s="15" t="n">
        <f aca="false">SUMPRODUCT(E167:N167,1/(1+$F$157)^$E$3:$N$3)*$E$2</f>
        <v>16036.715635478</v>
      </c>
      <c r="P167" s="15" t="n">
        <f aca="false">N167*$E$2*(1+$I$157)/($F$157-$I$157)/(1+$F$157)^$N$3</f>
        <v>30616.4279914559</v>
      </c>
      <c r="Q167" s="15" t="n">
        <f aca="false">O167+P167</f>
        <v>46653.1436269339</v>
      </c>
      <c r="R167" s="15" t="n">
        <f aca="false">Q167-$G$2+$I$2</f>
        <v>40465.8436269339</v>
      </c>
      <c r="S167" s="42" t="n">
        <f aca="false">R167/$K$2</f>
        <v>556.614080150397</v>
      </c>
      <c r="T167" s="43" t="n">
        <f aca="false">S167-$M$2</f>
        <v>-4.18371902429328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0.0654296875</v>
      </c>
      <c r="C168" s="25" t="n">
        <f aca="false">IF(T167&gt;0,D167,C167)</f>
        <v>0.068359375</v>
      </c>
      <c r="D168" s="41" t="n">
        <f aca="false">(B168+C168)/2</f>
        <v>0.06689453125</v>
      </c>
      <c r="E168" s="15" t="n">
        <f aca="false">$C$2*(1+IF(E$3&lt;=$O$2,$D168,$D168-($D168-$I$157)*MIN(E$3-$O$2,$Q$2)/$Q$2))</f>
        <v>3552.7587890625</v>
      </c>
      <c r="F168" s="15" t="n">
        <f aca="false">E168*(1+IF(F$3&lt;=$O$2,$D168,$D168-($D168-$I$157)*MIN(F$3-$O$2,$Q$2)/$Q$2))</f>
        <v>3790.41892290115</v>
      </c>
      <c r="G168" s="15" t="n">
        <f aca="false">F168*(1+IF(G$3&lt;=$O$2,$D168,$D168-($D168-$I$157)*MIN(G$3-$O$2,$Q$2)/$Q$2))</f>
        <v>4043.97721998976</v>
      </c>
      <c r="H168" s="15" t="n">
        <f aca="false">G168*(1+IF(H$3&lt;=$O$2,$D168,$D168-($D168-$I$157)*MIN(H$3-$O$2,$Q$2)/$Q$2))</f>
        <v>4314.49718050665</v>
      </c>
      <c r="I168" s="15" t="n">
        <f aca="false">H168*(1+IF(I$3&lt;=$O$2,$D168,$D168-($D168-$I$157)*MIN(I$3-$O$2,$Q$2)/$Q$2))</f>
        <v>4603.11344697609</v>
      </c>
      <c r="J168" s="15" t="n">
        <f aca="false">I168*(1+IF(J$3&lt;=$O$2,$D168,$D168-($D168-$I$157)*MIN(J$3-$O$2,$Q$2)/$Q$2))</f>
        <v>4884.71178904075</v>
      </c>
      <c r="K168" s="15" t="n">
        <f aca="false">J168*(1+IF(K$3&lt;=$O$2,$D168,$D168-($D168-$I$157)*MIN(K$3-$O$2,$Q$2)/$Q$2))</f>
        <v>5155.6018769004</v>
      </c>
      <c r="L168" s="15" t="n">
        <f aca="false">K168*(1+IF(L$3&lt;=$O$2,$D168,$D168-($D168-$I$157)*MIN(L$3-$O$2,$Q$2)/$Q$2))</f>
        <v>5412.03023637832</v>
      </c>
      <c r="M168" s="15" t="n">
        <f aca="false">L168*(1+IF(M$3&lt;=$O$2,$D168,$D168-($D168-$I$157)*MIN(M$3-$O$2,$Q$2)/$Q$2))</f>
        <v>5650.26188797562</v>
      </c>
      <c r="N168" s="15" t="n">
        <f aca="false">M168*(1+IF(N$3&lt;=$O$2,$D168,$D168-($D168-$I$157)*MIN(N$3-$O$2,$Q$2)/$Q$2))</f>
        <v>5866.66691828509</v>
      </c>
      <c r="O168" s="15" t="n">
        <f aca="false">SUMPRODUCT(E168:N168,1/(1+$F$157)^$E$3:$N$3)*$E$2</f>
        <v>16139.8460920412</v>
      </c>
      <c r="P168" s="15" t="n">
        <f aca="false">N168*$E$2*(1+$I$157)/($F$157-$I$157)/(1+$F$157)^$N$3</f>
        <v>30913.2044305888</v>
      </c>
      <c r="Q168" s="15" t="n">
        <f aca="false">O168+P168</f>
        <v>47053.05052263</v>
      </c>
      <c r="R168" s="15" t="n">
        <f aca="false">Q168-$G$2+$I$2</f>
        <v>40865.75052263</v>
      </c>
      <c r="S168" s="42" t="n">
        <f aca="false">R168/$K$2</f>
        <v>562.114862759697</v>
      </c>
      <c r="T168" s="43" t="n">
        <f aca="false">S168-$M$2</f>
        <v>1.31706358500685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0.0654296875</v>
      </c>
      <c r="C169" s="25" t="n">
        <f aca="false">IF(T168&gt;0,D168,C168)</f>
        <v>0.06689453125</v>
      </c>
      <c r="D169" s="41" t="n">
        <f aca="false">(B169+C169)/2</f>
        <v>0.066162109375</v>
      </c>
      <c r="E169" s="15" t="n">
        <f aca="false">$C$2*(1+IF(E$3&lt;=$O$2,$D169,$D169-($D169-$I$157)*MIN(E$3-$O$2,$Q$2)/$Q$2))</f>
        <v>3550.31982421875</v>
      </c>
      <c r="F169" s="15" t="n">
        <f aca="false">E169*(1+IF(F$3&lt;=$O$2,$D169,$D169-($D169-$I$157)*MIN(F$3-$O$2,$Q$2)/$Q$2))</f>
        <v>3785.21647274494</v>
      </c>
      <c r="G169" s="15" t="n">
        <f aca="false">F169*(1+IF(G$3&lt;=$O$2,$D169,$D169-($D169-$I$157)*MIN(G$3-$O$2,$Q$2)/$Q$2))</f>
        <v>4035.65437902274</v>
      </c>
      <c r="H169" s="15" t="n">
        <f aca="false">G169*(1+IF(H$3&lt;=$O$2,$D169,$D169-($D169-$I$157)*MIN(H$3-$O$2,$Q$2)/$Q$2))</f>
        <v>4302.66178544735</v>
      </c>
      <c r="I169" s="15" t="n">
        <f aca="false">H169*(1+IF(I$3&lt;=$O$2,$D169,$D169-($D169-$I$157)*MIN(I$3-$O$2,$Q$2)/$Q$2))</f>
        <v>4587.33496509975</v>
      </c>
      <c r="J169" s="15" t="n">
        <f aca="false">I169*(1+IF(J$3&lt;=$O$2,$D169,$D169-($D169-$I$157)*MIN(J$3-$O$2,$Q$2)/$Q$2))</f>
        <v>4865.28015709296</v>
      </c>
      <c r="K169" s="15" t="n">
        <f aca="false">J169*(1+IF(K$3&lt;=$O$2,$D169,$D169-($D169-$I$157)*MIN(K$3-$O$2,$Q$2)/$Q$2))</f>
        <v>5132.95456783579</v>
      </c>
      <c r="L169" s="15" t="n">
        <f aca="false">K169*(1+IF(L$3&lt;=$O$2,$D169,$D169-($D169-$I$157)*MIN(L$3-$O$2,$Q$2)/$Q$2))</f>
        <v>5386.75270441828</v>
      </c>
      <c r="M169" s="15" t="n">
        <f aca="false">L169*(1+IF(M$3&lt;=$O$2,$D169,$D169-($D169-$I$157)*MIN(M$3-$O$2,$Q$2)/$Q$2))</f>
        <v>5623.08259160281</v>
      </c>
      <c r="N169" s="15" t="n">
        <f aca="false">M169*(1+IF(N$3&lt;=$O$2,$D169,$D169-($D169-$I$157)*MIN(N$3-$O$2,$Q$2)/$Q$2))</f>
        <v>5838.4466548612</v>
      </c>
      <c r="O169" s="15" t="n">
        <f aca="false">SUMPRODUCT(E169:N169,1/(1+$F$157)^$E$3:$N$3)*$E$2</f>
        <v>16088.1980947879</v>
      </c>
      <c r="P169" s="15" t="n">
        <f aca="false">N169*$E$2*(1+$I$157)/($F$157-$I$157)/(1+$F$157)^$N$3</f>
        <v>30764.5035098686</v>
      </c>
      <c r="Q169" s="15" t="n">
        <f aca="false">O169+P169</f>
        <v>46852.7016046565</v>
      </c>
      <c r="R169" s="15" t="n">
        <f aca="false">Q169-$G$2+$I$2</f>
        <v>40665.4016046565</v>
      </c>
      <c r="S169" s="42" t="n">
        <f aca="false">R169/$K$2</f>
        <v>559.359031700915</v>
      </c>
      <c r="T169" s="43" t="n">
        <f aca="false">S169-$M$2</f>
        <v>-1.43876747377544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0.066162109375</v>
      </c>
      <c r="C170" s="25" t="n">
        <f aca="false">IF(T169&gt;0,D169,C169)</f>
        <v>0.06689453125</v>
      </c>
      <c r="D170" s="41" t="n">
        <f aca="false">(B170+C170)/2</f>
        <v>0.0665283203125</v>
      </c>
      <c r="E170" s="15" t="n">
        <f aca="false">$C$2*(1+IF(E$3&lt;=$O$2,$D170,$D170-($D170-$I$157)*MIN(E$3-$O$2,$Q$2)/$Q$2))</f>
        <v>3551.53930664063</v>
      </c>
      <c r="F170" s="15" t="n">
        <f aca="false">E170*(1+IF(F$3&lt;=$O$2,$D170,$D170-($D170-$I$157)*MIN(F$3-$O$2,$Q$2)/$Q$2))</f>
        <v>3787.81725123525</v>
      </c>
      <c r="G170" s="15" t="n">
        <f aca="false">F170*(1+IF(G$3&lt;=$O$2,$D170,$D170-($D170-$I$157)*MIN(G$3-$O$2,$Q$2)/$Q$2))</f>
        <v>4039.81437061064</v>
      </c>
      <c r="H170" s="15" t="n">
        <f aca="false">G170*(1+IF(H$3&lt;=$O$2,$D170,$D170-($D170-$I$157)*MIN(H$3-$O$2,$Q$2)/$Q$2))</f>
        <v>4308.57643506166</v>
      </c>
      <c r="I170" s="15" t="n">
        <f aca="false">H170*(1+IF(I$3&lt;=$O$2,$D170,$D170-($D170-$I$157)*MIN(I$3-$O$2,$Q$2)/$Q$2))</f>
        <v>4595.21878822434</v>
      </c>
      <c r="J170" s="15" t="n">
        <f aca="false">I170*(1+IF(J$3&lt;=$O$2,$D170,$D170-($D170-$I$157)*MIN(J$3-$O$2,$Q$2)/$Q$2))</f>
        <v>4874.98791410134</v>
      </c>
      <c r="K170" s="15" t="n">
        <f aca="false">J170*(1+IF(K$3&lt;=$O$2,$D170,$D170-($D170-$I$157)*MIN(K$3-$O$2,$Q$2)/$Q$2))</f>
        <v>5144.26758342671</v>
      </c>
      <c r="L170" s="15" t="n">
        <f aca="false">K170*(1+IF(L$3&lt;=$O$2,$D170,$D170-($D170-$I$157)*MIN(L$3-$O$2,$Q$2)/$Q$2))</f>
        <v>5399.37864511923</v>
      </c>
      <c r="M170" s="15" t="n">
        <f aca="false">L170*(1+IF(M$3&lt;=$O$2,$D170,$D170-($D170-$I$157)*MIN(M$3-$O$2,$Q$2)/$Q$2))</f>
        <v>5636.65792520387</v>
      </c>
      <c r="N170" s="15" t="n">
        <f aca="false">M170*(1+IF(N$3&lt;=$O$2,$D170,$D170-($D170-$I$157)*MIN(N$3-$O$2,$Q$2)/$Q$2))</f>
        <v>5852.54192373918</v>
      </c>
      <c r="O170" s="15" t="n">
        <f aca="false">SUMPRODUCT(E170:N170,1/(1+$F$157)^$E$3:$N$3)*$E$2</f>
        <v>16114.0013702515</v>
      </c>
      <c r="P170" s="15" t="n">
        <f aca="false">N170*$E$2*(1+$I$157)/($F$157-$I$157)/(1+$F$157)^$N$3</f>
        <v>30838.7756535574</v>
      </c>
      <c r="Q170" s="15" t="n">
        <f aca="false">O170+P170</f>
        <v>46952.7770238089</v>
      </c>
      <c r="R170" s="15" t="n">
        <f aca="false">Q170-$G$2+$I$2</f>
        <v>40765.4770238089</v>
      </c>
      <c r="S170" s="42" t="n">
        <f aca="false">R170/$K$2</f>
        <v>560.735584921718</v>
      </c>
      <c r="T170" s="43" t="n">
        <f aca="false">S170-$M$2</f>
        <v>-0.0622142529723533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0.0665283203125</v>
      </c>
      <c r="C171" s="25" t="n">
        <f aca="false">IF(T170&gt;0,D170,C170)</f>
        <v>0.06689453125</v>
      </c>
      <c r="D171" s="41" t="n">
        <f aca="false">(B171+C171)/2</f>
        <v>0.06671142578125</v>
      </c>
      <c r="E171" s="15" t="n">
        <f aca="false">$C$2*(1+IF(E$3&lt;=$O$2,$D171,$D171-($D171-$I$157)*MIN(E$3-$O$2,$Q$2)/$Q$2))</f>
        <v>3552.14904785156</v>
      </c>
      <c r="F171" s="15" t="n">
        <f aca="false">E171*(1+IF(F$3&lt;=$O$2,$D171,$D171-($D171-$I$157)*MIN(F$3-$O$2,$Q$2)/$Q$2))</f>
        <v>3789.11797542125</v>
      </c>
      <c r="G171" s="15" t="n">
        <f aca="false">F171*(1+IF(G$3&lt;=$O$2,$D171,$D171-($D171-$I$157)*MIN(G$3-$O$2,$Q$2)/$Q$2))</f>
        <v>4041.89543801497</v>
      </c>
      <c r="H171" s="15" t="n">
        <f aca="false">G171*(1+IF(H$3&lt;=$O$2,$D171,$D171-($D171-$I$157)*MIN(H$3-$O$2,$Q$2)/$Q$2))</f>
        <v>4311.53604554367</v>
      </c>
      <c r="I171" s="15" t="n">
        <f aca="false">H171*(1+IF(I$3&lt;=$O$2,$D171,$D171-($D171-$I$157)*MIN(I$3-$O$2,$Q$2)/$Q$2))</f>
        <v>4599.16476244914</v>
      </c>
      <c r="J171" s="15" t="n">
        <f aca="false">I171*(1+IF(J$3&lt;=$O$2,$D171,$D171-($D171-$I$157)*MIN(J$3-$O$2,$Q$2)/$Q$2))</f>
        <v>4879.8478354942</v>
      </c>
      <c r="K171" s="15" t="n">
        <f aca="false">J171*(1+IF(K$3&lt;=$O$2,$D171,$D171-($D171-$I$157)*MIN(K$3-$O$2,$Q$2)/$Q$2))</f>
        <v>5149.93206835479</v>
      </c>
      <c r="L171" s="15" t="n">
        <f aca="false">K171*(1+IF(L$3&lt;=$O$2,$D171,$D171-($D171-$I$157)*MIN(L$3-$O$2,$Q$2)/$Q$2))</f>
        <v>5405.70123166819</v>
      </c>
      <c r="M171" s="15" t="n">
        <f aca="false">L171*(1+IF(M$3&lt;=$O$2,$D171,$D171-($D171-$I$157)*MIN(M$3-$O$2,$Q$2)/$Q$2))</f>
        <v>5643.45632470891</v>
      </c>
      <c r="N171" s="15" t="n">
        <f aca="false">M171*(1+IF(N$3&lt;=$O$2,$D171,$D171-($D171-$I$157)*MIN(N$3-$O$2,$Q$2)/$Q$2))</f>
        <v>5859.60070194527</v>
      </c>
      <c r="O171" s="15" t="n">
        <f aca="false">SUMPRODUCT(E171:N171,1/(1+$F$157)^$E$3:$N$3)*$E$2</f>
        <v>16126.9185464862</v>
      </c>
      <c r="P171" s="15" t="n">
        <f aca="false">N171*$E$2*(1+$I$157)/($F$157-$I$157)/(1+$F$157)^$N$3</f>
        <v>30875.970445209</v>
      </c>
      <c r="Q171" s="15" t="n">
        <f aca="false">O171+P171</f>
        <v>47002.8889916952</v>
      </c>
      <c r="R171" s="15" t="n">
        <f aca="false">Q171-$G$2+$I$2</f>
        <v>40815.5889916952</v>
      </c>
      <c r="S171" s="42" t="n">
        <f aca="false">R171/$K$2</f>
        <v>561.424882966921</v>
      </c>
      <c r="T171" s="43" t="n">
        <f aca="false">S171-$M$2</f>
        <v>0.627083792230906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0.0665283203125</v>
      </c>
      <c r="C172" s="25" t="n">
        <f aca="false">IF(T171&gt;0,D171,C171)</f>
        <v>0.06671142578125</v>
      </c>
      <c r="D172" s="41" t="n">
        <f aca="false">(B172+C172)/2</f>
        <v>0.066619873046875</v>
      </c>
      <c r="E172" s="15" t="n">
        <f aca="false">$C$2*(1+IF(E$3&lt;=$O$2,$D172,$D172-($D172-$I$157)*MIN(E$3-$O$2,$Q$2)/$Q$2))</f>
        <v>3551.84417724609</v>
      </c>
      <c r="F172" s="15" t="n">
        <f aca="false">E172*(1+IF(F$3&lt;=$O$2,$D172,$D172-($D172-$I$157)*MIN(F$3-$O$2,$Q$2)/$Q$2))</f>
        <v>3788.46758541651</v>
      </c>
      <c r="G172" s="15" t="n">
        <f aca="false">F172*(1+IF(G$3&lt;=$O$2,$D172,$D172-($D172-$I$157)*MIN(G$3-$O$2,$Q$2)/$Q$2))</f>
        <v>4040.85481499916</v>
      </c>
      <c r="H172" s="15" t="n">
        <f aca="false">G172*(1+IF(H$3&lt;=$O$2,$D172,$D172-($D172-$I$157)*MIN(H$3-$O$2,$Q$2)/$Q$2))</f>
        <v>4310.05604977526</v>
      </c>
      <c r="I172" s="15" t="n">
        <f aca="false">H172*(1+IF(I$3&lt;=$O$2,$D172,$D172-($D172-$I$157)*MIN(I$3-$O$2,$Q$2)/$Q$2))</f>
        <v>4597.1914366362</v>
      </c>
      <c r="J172" s="15" t="n">
        <f aca="false">I172*(1+IF(J$3&lt;=$O$2,$D172,$D172-($D172-$I$157)*MIN(J$3-$O$2,$Q$2)/$Q$2))</f>
        <v>4877.41737094554</v>
      </c>
      <c r="K172" s="15" t="n">
        <f aca="false">J172*(1+IF(K$3&lt;=$O$2,$D172,$D172-($D172-$I$157)*MIN(K$3-$O$2,$Q$2)/$Q$2))</f>
        <v>5147.09916069784</v>
      </c>
      <c r="L172" s="15" t="n">
        <f aca="false">K172*(1+IF(L$3&lt;=$O$2,$D172,$D172-($D172-$I$157)*MIN(L$3-$O$2,$Q$2)/$Q$2))</f>
        <v>5402.53913646882</v>
      </c>
      <c r="M172" s="15" t="n">
        <f aca="false">L172*(1+IF(M$3&lt;=$O$2,$D172,$D172-($D172-$I$157)*MIN(M$3-$O$2,$Q$2)/$Q$2))</f>
        <v>5640.05622989069</v>
      </c>
      <c r="N172" s="15" t="n">
        <f aca="false">M172*(1+IF(N$3&lt;=$O$2,$D172,$D172-($D172-$I$157)*MIN(N$3-$O$2,$Q$2)/$Q$2))</f>
        <v>5856.0703834955</v>
      </c>
      <c r="O172" s="15" t="n">
        <f aca="false">SUMPRODUCT(E172:N172,1/(1+$F$157)^$E$3:$N$3)*$E$2</f>
        <v>16120.4586626877</v>
      </c>
      <c r="P172" s="15" t="n">
        <f aca="false">N172*$E$2*(1+$I$157)/($F$157-$I$157)/(1+$F$157)^$N$3</f>
        <v>30857.3681523802</v>
      </c>
      <c r="Q172" s="15" t="n">
        <f aca="false">O172+P172</f>
        <v>46977.8268150679</v>
      </c>
      <c r="R172" s="15" t="n">
        <f aca="false">Q172-$G$2+$I$2</f>
        <v>40790.5268150679</v>
      </c>
      <c r="S172" s="42" t="n">
        <f aca="false">R172/$K$2</f>
        <v>561.08014876297</v>
      </c>
      <c r="T172" s="43" t="n">
        <f aca="false">S172-$M$2</f>
        <v>0.282349588279772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0.0665283203125</v>
      </c>
      <c r="C173" s="25" t="n">
        <f aca="false">IF(T172&gt;0,D172,C172)</f>
        <v>0.066619873046875</v>
      </c>
      <c r="D173" s="41" t="n">
        <f aca="false">(B173+C173)/2</f>
        <v>0.0665740966796875</v>
      </c>
      <c r="E173" s="15" t="n">
        <f aca="false">$C$2*(1+IF(E$3&lt;=$O$2,$D173,$D173-($D173-$I$157)*MIN(E$3-$O$2,$Q$2)/$Q$2))</f>
        <v>3551.69174194336</v>
      </c>
      <c r="F173" s="15" t="n">
        <f aca="false">E173*(1+IF(F$3&lt;=$O$2,$D173,$D173-($D173-$I$157)*MIN(F$3-$O$2,$Q$2)/$Q$2))</f>
        <v>3788.14241134794</v>
      </c>
      <c r="G173" s="15" t="n">
        <f aca="false">F173*(1+IF(G$3&lt;=$O$2,$D173,$D173-($D173-$I$157)*MIN(G$3-$O$2,$Q$2)/$Q$2))</f>
        <v>4040.33457047745</v>
      </c>
      <c r="H173" s="15" t="n">
        <f aca="false">G173*(1+IF(H$3&lt;=$O$2,$D173,$D173-($D173-$I$157)*MIN(H$3-$O$2,$Q$2)/$Q$2))</f>
        <v>4309.3161947907</v>
      </c>
      <c r="I173" s="15" t="n">
        <f aca="false">H173*(1+IF(I$3&lt;=$O$2,$D173,$D173-($D173-$I$157)*MIN(I$3-$O$2,$Q$2)/$Q$2))</f>
        <v>4596.20502776604</v>
      </c>
      <c r="J173" s="15" t="n">
        <f aca="false">I173*(1+IF(J$3&lt;=$O$2,$D173,$D173-($D173-$I$157)*MIN(J$3-$O$2,$Q$2)/$Q$2))</f>
        <v>4876.20251658125</v>
      </c>
      <c r="K173" s="15" t="n">
        <f aca="false">J173*(1+IF(K$3&lt;=$O$2,$D173,$D173-($D173-$I$157)*MIN(K$3-$O$2,$Q$2)/$Q$2))</f>
        <v>5145.68320579645</v>
      </c>
      <c r="L173" s="15" t="n">
        <f aca="false">K173*(1+IF(L$3&lt;=$O$2,$D173,$D173-($D173-$I$157)*MIN(L$3-$O$2,$Q$2)/$Q$2))</f>
        <v>5400.95869035594</v>
      </c>
      <c r="M173" s="15" t="n">
        <f aca="false">L173*(1+IF(M$3&lt;=$O$2,$D173,$D173-($D173-$I$157)*MIN(M$3-$O$2,$Q$2)/$Q$2))</f>
        <v>5638.3568538314</v>
      </c>
      <c r="N173" s="15" t="n">
        <f aca="false">M173*(1+IF(N$3&lt;=$O$2,$D173,$D173-($D173-$I$157)*MIN(N$3-$O$2,$Q$2)/$Q$2))</f>
        <v>5854.30592133314</v>
      </c>
      <c r="O173" s="15" t="n">
        <f aca="false">SUMPRODUCT(E173:N173,1/(1+$F$157)^$E$3:$N$3)*$E$2</f>
        <v>16117.2296926098</v>
      </c>
      <c r="P173" s="15" t="n">
        <f aca="false">N173*$E$2*(1+$I$157)/($F$157-$I$157)/(1+$F$157)^$N$3</f>
        <v>30848.0706789946</v>
      </c>
      <c r="Q173" s="15" t="n">
        <f aca="false">O173+P173</f>
        <v>46965.3003716044</v>
      </c>
      <c r="R173" s="15" t="n">
        <f aca="false">Q173-$G$2+$I$2</f>
        <v>40778.0003716044</v>
      </c>
      <c r="S173" s="42" t="n">
        <f aca="false">R173/$K$2</f>
        <v>560.907845551643</v>
      </c>
      <c r="T173" s="43" t="n">
        <f aca="false">S173-$M$2</f>
        <v>0.110046376952027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0.0665283203125</v>
      </c>
      <c r="C174" s="25" t="n">
        <f aca="false">IF(T173&gt;0,D173,C173)</f>
        <v>0.0665740966796875</v>
      </c>
      <c r="D174" s="41" t="n">
        <f aca="false">(B174+C174)/2</f>
        <v>0.0665512084960938</v>
      </c>
      <c r="E174" s="15" t="n">
        <f aca="false">$C$2*(1+IF(E$3&lt;=$O$2,$D174,$D174-($D174-$I$157)*MIN(E$3-$O$2,$Q$2)/$Q$2))</f>
        <v>3551.61552429199</v>
      </c>
      <c r="F174" s="15" t="n">
        <f aca="false">E174*(1+IF(F$3&lt;=$O$2,$D174,$D174-($D174-$I$157)*MIN(F$3-$O$2,$Q$2)/$Q$2))</f>
        <v>3787.97982954711</v>
      </c>
      <c r="G174" s="15" t="n">
        <f aca="false">F174*(1+IF(G$3&lt;=$O$2,$D174,$D174-($D174-$I$157)*MIN(G$3-$O$2,$Q$2)/$Q$2))</f>
        <v>4040.0744649623</v>
      </c>
      <c r="H174" s="15" t="n">
        <f aca="false">G174*(1+IF(H$3&lt;=$O$2,$D174,$D174-($D174-$I$157)*MIN(H$3-$O$2,$Q$2)/$Q$2))</f>
        <v>4308.94630301975</v>
      </c>
      <c r="I174" s="15" t="n">
        <f aca="false">H174*(1+IF(I$3&lt;=$O$2,$D174,$D174-($D174-$I$157)*MIN(I$3-$O$2,$Q$2)/$Q$2))</f>
        <v>4595.71188683049</v>
      </c>
      <c r="J174" s="15" t="n">
        <f aca="false">I174*(1+IF(J$3&lt;=$O$2,$D174,$D174-($D174-$I$157)*MIN(J$3-$O$2,$Q$2)/$Q$2))</f>
        <v>4875.59518385836</v>
      </c>
      <c r="K174" s="15" t="n">
        <f aca="false">J174*(1+IF(K$3&lt;=$O$2,$D174,$D174-($D174-$I$157)*MIN(K$3-$O$2,$Q$2)/$Q$2))</f>
        <v>5144.97535304917</v>
      </c>
      <c r="L174" s="15" t="n">
        <f aca="false">K174*(1+IF(L$3&lt;=$O$2,$D174,$D174-($D174-$I$157)*MIN(L$3-$O$2,$Q$2)/$Q$2))</f>
        <v>5400.16861763346</v>
      </c>
      <c r="M174" s="15" t="n">
        <f aca="false">L174*(1+IF(M$3&lt;=$O$2,$D174,$D174-($D174-$I$157)*MIN(M$3-$O$2,$Q$2)/$Q$2))</f>
        <v>5637.50733359498</v>
      </c>
      <c r="N174" s="15" t="n">
        <f aca="false">M174*(1+IF(N$3&lt;=$O$2,$D174,$D174-($D174-$I$157)*MIN(N$3-$O$2,$Q$2)/$Q$2))</f>
        <v>5853.42386447167</v>
      </c>
      <c r="O174" s="15" t="n">
        <f aca="false">SUMPRODUCT(E174:N174,1/(1+$F$157)^$E$3:$N$3)*$E$2</f>
        <v>16115.6154504733</v>
      </c>
      <c r="P174" s="15" t="n">
        <f aca="false">N174*$E$2*(1+$I$157)/($F$157-$I$157)/(1+$F$157)^$N$3</f>
        <v>30843.422860317</v>
      </c>
      <c r="Q174" s="15" t="n">
        <f aca="false">O174+P174</f>
        <v>46959.0383107903</v>
      </c>
      <c r="R174" s="15" t="n">
        <f aca="false">Q174-$G$2+$I$2</f>
        <v>40771.7383107903</v>
      </c>
      <c r="S174" s="42" t="n">
        <f aca="false">R174/$K$2</f>
        <v>560.821709914584</v>
      </c>
      <c r="T174" s="43" t="n">
        <f aca="false">S174-$M$2</f>
        <v>0.0239107398937222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0.0665283203125</v>
      </c>
      <c r="C175" s="25" t="n">
        <f aca="false">IF(T174&gt;0,D174,C174)</f>
        <v>0.0665512084960938</v>
      </c>
      <c r="D175" s="41" t="n">
        <f aca="false">(B175+C175)/2</f>
        <v>0.0665397644042969</v>
      </c>
      <c r="E175" s="15" t="n">
        <f aca="false">$C$2*(1+IF(E$3&lt;=$O$2,$D175,$D175-($D175-$I$157)*MIN(E$3-$O$2,$Q$2)/$Q$2))</f>
        <v>3551.57741546631</v>
      </c>
      <c r="F175" s="15" t="n">
        <f aca="false">E175*(1+IF(F$3&lt;=$O$2,$D175,$D175-($D175-$I$157)*MIN(F$3-$O$2,$Q$2)/$Q$2))</f>
        <v>3787.89853995506</v>
      </c>
      <c r="G175" s="15" t="n">
        <f aca="false">F175*(1+IF(G$3&lt;=$O$2,$D175,$D175-($D175-$I$157)*MIN(G$3-$O$2,$Q$2)/$Q$2))</f>
        <v>4039.94441639105</v>
      </c>
      <c r="H175" s="15" t="n">
        <f aca="false">G175*(1+IF(H$3&lt;=$O$2,$D175,$D175-($D175-$I$157)*MIN(H$3-$O$2,$Q$2)/$Q$2))</f>
        <v>4308.76136606416</v>
      </c>
      <c r="I175" s="15" t="n">
        <f aca="false">H175*(1+IF(I$3&lt;=$O$2,$D175,$D175-($D175-$I$157)*MIN(I$3-$O$2,$Q$2)/$Q$2))</f>
        <v>4595.46533223641</v>
      </c>
      <c r="J175" s="15" t="n">
        <f aca="false">I175*(1+IF(J$3&lt;=$O$2,$D175,$D175-($D175-$I$157)*MIN(J$3-$O$2,$Q$2)/$Q$2))</f>
        <v>4875.29154110944</v>
      </c>
      <c r="K175" s="15" t="n">
        <f aca="false">J175*(1+IF(K$3&lt;=$O$2,$D175,$D175-($D175-$I$157)*MIN(K$3-$O$2,$Q$2)/$Q$2))</f>
        <v>5144.62145784785</v>
      </c>
      <c r="L175" s="15" t="n">
        <f aca="false">K175*(1+IF(L$3&lt;=$O$2,$D175,$D175-($D175-$I$157)*MIN(L$3-$O$2,$Q$2)/$Q$2))</f>
        <v>5399.77361885098</v>
      </c>
      <c r="M175" s="15" t="n">
        <f aca="false">L175*(1+IF(M$3&lt;=$O$2,$D175,$D175-($D175-$I$157)*MIN(M$3-$O$2,$Q$2)/$Q$2))</f>
        <v>5637.08261541955</v>
      </c>
      <c r="N175" s="15" t="n">
        <f aca="false">M175*(1+IF(N$3&lt;=$O$2,$D175,$D175-($D175-$I$157)*MIN(N$3-$O$2,$Q$2)/$Q$2))</f>
        <v>5852.98287959012</v>
      </c>
      <c r="O175" s="15" t="n">
        <f aca="false">SUMPRODUCT(E175:N175,1/(1+$F$157)^$E$3:$N$3)*$E$2</f>
        <v>16114.808390124</v>
      </c>
      <c r="P175" s="15" t="n">
        <f aca="false">N175*$E$2*(1+$I$157)/($F$157-$I$157)/(1+$F$157)^$N$3</f>
        <v>30841.0991804518</v>
      </c>
      <c r="Q175" s="15" t="n">
        <f aca="false">O175+P175</f>
        <v>46955.9075705758</v>
      </c>
      <c r="R175" s="15" t="n">
        <f aca="false">Q175-$G$2+$I$2</f>
        <v>40768.6075705758</v>
      </c>
      <c r="S175" s="42" t="n">
        <f aca="false">R175/$K$2</f>
        <v>560.7786460877</v>
      </c>
      <c r="T175" s="43" t="n">
        <f aca="false">S175-$M$2</f>
        <v>-0.0191530869909684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0.0665397644042969</v>
      </c>
      <c r="C176" s="25" t="n">
        <f aca="false">IF(T175&gt;0,D175,C175)</f>
        <v>0.0665512084960938</v>
      </c>
      <c r="D176" s="41" t="n">
        <f aca="false">(B176+C176)/2</f>
        <v>0.0665454864501953</v>
      </c>
      <c r="E176" s="15" t="n">
        <f aca="false">$C$2*(1+IF(E$3&lt;=$O$2,$D176,$D176-($D176-$I$157)*MIN(E$3-$O$2,$Q$2)/$Q$2))</f>
        <v>3551.59646987915</v>
      </c>
      <c r="F176" s="15" t="n">
        <f aca="false">E176*(1+IF(F$3&lt;=$O$2,$D176,$D176-($D176-$I$157)*MIN(F$3-$O$2,$Q$2)/$Q$2))</f>
        <v>3787.93918464206</v>
      </c>
      <c r="G176" s="15" t="n">
        <f aca="false">F176*(1+IF(G$3&lt;=$O$2,$D176,$D176-($D176-$I$157)*MIN(G$3-$O$2,$Q$2)/$Q$2))</f>
        <v>4040.00944032782</v>
      </c>
      <c r="H176" s="15" t="n">
        <f aca="false">G176*(1+IF(H$3&lt;=$O$2,$D176,$D176-($D176-$I$157)*MIN(H$3-$O$2,$Q$2)/$Q$2))</f>
        <v>4308.85383379781</v>
      </c>
      <c r="I176" s="15" t="n">
        <f aca="false">H176*(1+IF(I$3&lt;=$O$2,$D176,$D176-($D176-$I$157)*MIN(I$3-$O$2,$Q$2)/$Q$2))</f>
        <v>4595.58860821068</v>
      </c>
      <c r="J176" s="15" t="n">
        <f aca="false">I176*(1+IF(J$3&lt;=$O$2,$D176,$D176-($D176-$I$157)*MIN(J$3-$O$2,$Q$2)/$Q$2))</f>
        <v>4875.44336051626</v>
      </c>
      <c r="K176" s="15" t="n">
        <f aca="false">J176*(1+IF(K$3&lt;=$O$2,$D176,$D176-($D176-$I$157)*MIN(K$3-$O$2,$Q$2)/$Q$2))</f>
        <v>5144.79840285092</v>
      </c>
      <c r="L176" s="15" t="n">
        <f aca="false">K176*(1+IF(L$3&lt;=$O$2,$D176,$D176-($D176-$I$157)*MIN(L$3-$O$2,$Q$2)/$Q$2))</f>
        <v>5399.9711151108</v>
      </c>
      <c r="M176" s="15" t="n">
        <f aca="false">L176*(1+IF(M$3&lt;=$O$2,$D176,$D176-($D176-$I$157)*MIN(M$3-$O$2,$Q$2)/$Q$2))</f>
        <v>5637.2949710122</v>
      </c>
      <c r="N176" s="15" t="n">
        <f aca="false">M176*(1+IF(N$3&lt;=$O$2,$D176,$D176-($D176-$I$157)*MIN(N$3-$O$2,$Q$2)/$Q$2))</f>
        <v>5853.20336840197</v>
      </c>
      <c r="O176" s="15" t="n">
        <f aca="false">SUMPRODUCT(E176:N176,1/(1+$F$157)^$E$3:$N$3)*$E$2</f>
        <v>16115.2119152389</v>
      </c>
      <c r="P176" s="15" t="n">
        <f aca="false">N176*$E$2*(1+$I$157)/($F$157-$I$157)/(1+$F$157)^$N$3</f>
        <v>30842.2610012625</v>
      </c>
      <c r="Q176" s="15" t="n">
        <f aca="false">O176+P176</f>
        <v>46957.4729165014</v>
      </c>
      <c r="R176" s="15" t="n">
        <f aca="false">Q176-$G$2+$I$2</f>
        <v>40770.1729165014</v>
      </c>
      <c r="S176" s="42" t="n">
        <f aca="false">R176/$K$2</f>
        <v>560.80017766852</v>
      </c>
      <c r="T176" s="43" t="n">
        <f aca="false">S176-$M$2</f>
        <v>0.00237849382949662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0.0665397644042969</v>
      </c>
      <c r="C177" s="25" t="n">
        <f aca="false">IF(T176&gt;0,D176,C176)</f>
        <v>0.0665454864501953</v>
      </c>
      <c r="D177" s="41" t="n">
        <f aca="false">(B177+C177)/2</f>
        <v>0.0665426254272461</v>
      </c>
      <c r="E177" s="15" t="n">
        <f aca="false">$C$2*(1+IF(E$3&lt;=$O$2,$D177,$D177-($D177-$I$157)*MIN(E$3-$O$2,$Q$2)/$Q$2))</f>
        <v>3551.58694267273</v>
      </c>
      <c r="F177" s="15" t="n">
        <f aca="false">E177*(1+IF(F$3&lt;=$O$2,$D177,$D177-($D177-$I$157)*MIN(F$3-$O$2,$Q$2)/$Q$2))</f>
        <v>3787.9188622713</v>
      </c>
      <c r="G177" s="15" t="n">
        <f aca="false">F177*(1+IF(G$3&lt;=$O$2,$D177,$D177-($D177-$I$157)*MIN(G$3-$O$2,$Q$2)/$Q$2))</f>
        <v>4039.97692827222</v>
      </c>
      <c r="H177" s="15" t="n">
        <f aca="false">G177*(1+IF(H$3&lt;=$O$2,$D177,$D177-($D177-$I$157)*MIN(H$3-$O$2,$Q$2)/$Q$2))</f>
        <v>4308.80759974495</v>
      </c>
      <c r="I177" s="15" t="n">
        <f aca="false">H177*(1+IF(I$3&lt;=$O$2,$D177,$D177-($D177-$I$157)*MIN(I$3-$O$2,$Q$2)/$Q$2))</f>
        <v>4595.52696989285</v>
      </c>
      <c r="J177" s="15" t="n">
        <f aca="false">I177*(1+IF(J$3&lt;=$O$2,$D177,$D177-($D177-$I$157)*MIN(J$3-$O$2,$Q$2)/$Q$2))</f>
        <v>4875.36745032094</v>
      </c>
      <c r="K177" s="15" t="n">
        <f aca="false">J177*(1+IF(K$3&lt;=$O$2,$D177,$D177-($D177-$I$157)*MIN(K$3-$O$2,$Q$2)/$Q$2))</f>
        <v>5144.7099297</v>
      </c>
      <c r="L177" s="15" t="n">
        <f aca="false">K177*(1+IF(L$3&lt;=$O$2,$D177,$D177-($D177-$I$157)*MIN(L$3-$O$2,$Q$2)/$Q$2))</f>
        <v>5399.87236619805</v>
      </c>
      <c r="M177" s="15" t="n">
        <f aca="false">L177*(1+IF(M$3&lt;=$O$2,$D177,$D177-($D177-$I$157)*MIN(M$3-$O$2,$Q$2)/$Q$2))</f>
        <v>5637.18879234212</v>
      </c>
      <c r="N177" s="15" t="n">
        <f aca="false">M177*(1+IF(N$3&lt;=$O$2,$D177,$D177-($D177-$I$157)*MIN(N$3-$O$2,$Q$2)/$Q$2))</f>
        <v>5853.09312308883</v>
      </c>
      <c r="O177" s="15" t="n">
        <f aca="false">SUMPRODUCT(E177:N177,1/(1+$F$157)^$E$3:$N$3)*$E$2</f>
        <v>16115.0101514165</v>
      </c>
      <c r="P177" s="15" t="n">
        <f aca="false">N177*$E$2*(1+$I$157)/($F$157-$I$157)/(1+$F$157)^$N$3</f>
        <v>30841.6800860767</v>
      </c>
      <c r="Q177" s="15" t="n">
        <f aca="false">O177+P177</f>
        <v>46956.6902374933</v>
      </c>
      <c r="R177" s="15" t="n">
        <f aca="false">Q177-$G$2+$I$2</f>
        <v>40769.3902374933</v>
      </c>
      <c r="S177" s="42" t="n">
        <f aca="false">R177/$K$2</f>
        <v>560.789411794955</v>
      </c>
      <c r="T177" s="43" t="n">
        <f aca="false">S177-$M$2</f>
        <v>-0.00838737973515435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0.0665426254272461</v>
      </c>
      <c r="C178" s="25" t="n">
        <f aca="false">IF(T177&gt;0,D177,C177)</f>
        <v>0.0665454864501953</v>
      </c>
      <c r="D178" s="41" t="n">
        <f aca="false">(B178+C178)/2</f>
        <v>0.0665440559387207</v>
      </c>
      <c r="E178" s="15" t="n">
        <f aca="false">$C$2*(1+IF(E$3&lt;=$O$2,$D178,$D178-($D178-$I$157)*MIN(E$3-$O$2,$Q$2)/$Q$2))</f>
        <v>3551.59170627594</v>
      </c>
      <c r="F178" s="15" t="n">
        <f aca="false">E178*(1+IF(F$3&lt;=$O$2,$D178,$D178-($D178-$I$157)*MIN(F$3-$O$2,$Q$2)/$Q$2))</f>
        <v>3787.92902344986</v>
      </c>
      <c r="G178" s="15" t="n">
        <f aca="false">F178*(1+IF(G$3&lt;=$O$2,$D178,$D178-($D178-$I$157)*MIN(G$3-$O$2,$Q$2)/$Q$2))</f>
        <v>4039.99318427821</v>
      </c>
      <c r="H178" s="15" t="n">
        <f aca="false">G178*(1+IF(H$3&lt;=$O$2,$D178,$D178-($D178-$I$157)*MIN(H$3-$O$2,$Q$2)/$Q$2))</f>
        <v>4308.83071672487</v>
      </c>
      <c r="I178" s="15" t="n">
        <f aca="false">H178*(1+IF(I$3&lt;=$O$2,$D178,$D178-($D178-$I$157)*MIN(I$3-$O$2,$Q$2)/$Q$2))</f>
        <v>4595.55778896909</v>
      </c>
      <c r="J178" s="15" t="n">
        <f aca="false">I178*(1+IF(J$3&lt;=$O$2,$D178,$D178-($D178-$I$157)*MIN(J$3-$O$2,$Q$2)/$Q$2))</f>
        <v>4875.40540529562</v>
      </c>
      <c r="K178" s="15" t="n">
        <f aca="false">J178*(1+IF(K$3&lt;=$O$2,$D178,$D178-($D178-$I$157)*MIN(K$3-$O$2,$Q$2)/$Q$2))</f>
        <v>5144.75416611311</v>
      </c>
      <c r="L178" s="15" t="n">
        <f aca="false">K178*(1+IF(L$3&lt;=$O$2,$D178,$D178-($D178-$I$157)*MIN(L$3-$O$2,$Q$2)/$Q$2))</f>
        <v>5399.92174045871</v>
      </c>
      <c r="M178" s="15" t="n">
        <f aca="false">L178*(1+IF(M$3&lt;=$O$2,$D178,$D178-($D178-$I$157)*MIN(M$3-$O$2,$Q$2)/$Q$2))</f>
        <v>5637.24188145872</v>
      </c>
      <c r="N178" s="15" t="n">
        <f aca="false">M178*(1+IF(N$3&lt;=$O$2,$D178,$D178-($D178-$I$157)*MIN(N$3-$O$2,$Q$2)/$Q$2))</f>
        <v>5853.14824551859</v>
      </c>
      <c r="O178" s="15" t="n">
        <f aca="false">SUMPRODUCT(E178:N178,1/(1+$F$157)^$E$3:$N$3)*$E$2</f>
        <v>16115.1110330115</v>
      </c>
      <c r="P178" s="15" t="n">
        <f aca="false">N178*$E$2*(1+$I$157)/($F$157-$I$157)/(1+$F$157)^$N$3</f>
        <v>30841.9705424745</v>
      </c>
      <c r="Q178" s="15" t="n">
        <f aca="false">O178+P178</f>
        <v>46957.081575486</v>
      </c>
      <c r="R178" s="15" t="n">
        <f aca="false">Q178-$G$2+$I$2</f>
        <v>40769.781575486</v>
      </c>
      <c r="S178" s="42" t="n">
        <f aca="false">R178/$K$2</f>
        <v>560.794794710949</v>
      </c>
      <c r="T178" s="43" t="n">
        <f aca="false">S178-$M$2</f>
        <v>-0.00300446374149033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0.0665440559387207</v>
      </c>
      <c r="C179" s="25" t="n">
        <f aca="false">IF(T178&gt;0,D178,C178)</f>
        <v>0.0665454864501953</v>
      </c>
      <c r="D179" s="41" t="n">
        <f aca="false">(B179+C179)/2</f>
        <v>0.066544771194458</v>
      </c>
      <c r="E179" s="15" t="n">
        <f aca="false">$C$2*(1+IF(E$3&lt;=$O$2,$D179,$D179-($D179-$I$157)*MIN(E$3-$O$2,$Q$2)/$Q$2))</f>
        <v>3551.59408807755</v>
      </c>
      <c r="F179" s="15" t="n">
        <f aca="false">E179*(1+IF(F$3&lt;=$O$2,$D179,$D179-($D179-$I$157)*MIN(F$3-$O$2,$Q$2)/$Q$2))</f>
        <v>3787.93410404426</v>
      </c>
      <c r="G179" s="15" t="n">
        <f aca="false">F179*(1+IF(G$3&lt;=$O$2,$D179,$D179-($D179-$I$157)*MIN(G$3-$O$2,$Q$2)/$Q$2))</f>
        <v>4040.00131229756</v>
      </c>
      <c r="H179" s="15" t="n">
        <f aca="false">G179*(1+IF(H$3&lt;=$O$2,$D179,$D179-($D179-$I$157)*MIN(H$3-$O$2,$Q$2)/$Q$2))</f>
        <v>4308.84227524972</v>
      </c>
      <c r="I179" s="15" t="n">
        <f aca="false">H179*(1+IF(I$3&lt;=$O$2,$D179,$D179-($D179-$I$157)*MIN(I$3-$O$2,$Q$2)/$Q$2))</f>
        <v>4595.57319856922</v>
      </c>
      <c r="J179" s="15" t="n">
        <f aca="false">I179*(1+IF(J$3&lt;=$O$2,$D179,$D179-($D179-$I$157)*MIN(J$3-$O$2,$Q$2)/$Q$2))</f>
        <v>4875.42438287519</v>
      </c>
      <c r="K179" s="15" t="n">
        <f aca="false">J179*(1+IF(K$3&lt;=$O$2,$D179,$D179-($D179-$I$157)*MIN(K$3-$O$2,$Q$2)/$Q$2))</f>
        <v>5144.77628444143</v>
      </c>
      <c r="L179" s="15" t="n">
        <f aca="false">K179*(1+IF(L$3&lt;=$O$2,$D179,$D179-($D179-$I$157)*MIN(L$3-$O$2,$Q$2)/$Q$2))</f>
        <v>5399.94642773582</v>
      </c>
      <c r="M179" s="15" t="n">
        <f aca="false">L179*(1+IF(M$3&lt;=$O$2,$D179,$D179-($D179-$I$157)*MIN(M$3-$O$2,$Q$2)/$Q$2))</f>
        <v>5637.26842618085</v>
      </c>
      <c r="N179" s="15" t="n">
        <f aca="false">M179*(1+IF(N$3&lt;=$O$2,$D179,$D179-($D179-$I$157)*MIN(N$3-$O$2,$Q$2)/$Q$2))</f>
        <v>5853.17580690358</v>
      </c>
      <c r="O179" s="15" t="n">
        <f aca="false">SUMPRODUCT(E179:N179,1/(1+$F$157)^$E$3:$N$3)*$E$2</f>
        <v>16115.1614740461</v>
      </c>
      <c r="P179" s="15" t="n">
        <f aca="false">N179*$E$2*(1+$I$157)/($F$157-$I$157)/(1+$F$157)^$N$3</f>
        <v>30842.1157715697</v>
      </c>
      <c r="Q179" s="15" t="n">
        <f aca="false">O179+P179</f>
        <v>46957.2772456159</v>
      </c>
      <c r="R179" s="15" t="n">
        <f aca="false">Q179-$G$2+$I$2</f>
        <v>40769.9772456158</v>
      </c>
      <c r="S179" s="42" t="n">
        <f aca="false">R179/$K$2</f>
        <v>560.797486184537</v>
      </c>
      <c r="T179" s="43" t="n">
        <f aca="false">S179-$M$2</f>
        <v>-0.00031299015336117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0.066544771194458</v>
      </c>
      <c r="C180" s="25" t="n">
        <f aca="false">IF(T179&gt;0,D179,C179)</f>
        <v>0.0665454864501953</v>
      </c>
      <c r="D180" s="41" t="n">
        <f aca="false">(B180+C180)/2</f>
        <v>0.0665451288223267</v>
      </c>
      <c r="E180" s="15" t="n">
        <f aca="false">$C$2*(1+IF(E$3&lt;=$O$2,$D180,$D180-($D180-$I$157)*MIN(E$3-$O$2,$Q$2)/$Q$2))</f>
        <v>3551.59527897835</v>
      </c>
      <c r="F180" s="15" t="n">
        <f aca="false">E180*(1+IF(F$3&lt;=$O$2,$D180,$D180-($D180-$I$157)*MIN(F$3-$O$2,$Q$2)/$Q$2))</f>
        <v>3787.93664434273</v>
      </c>
      <c r="G180" s="15" t="n">
        <f aca="false">F180*(1+IF(G$3&lt;=$O$2,$D180,$D180-($D180-$I$157)*MIN(G$3-$O$2,$Q$2)/$Q$2))</f>
        <v>4040.00537631133</v>
      </c>
      <c r="H180" s="15" t="n">
        <f aca="false">G180*(1+IF(H$3&lt;=$O$2,$D180,$D180-($D180-$I$157)*MIN(H$3-$O$2,$Q$2)/$Q$2))</f>
        <v>4308.84805452086</v>
      </c>
      <c r="I180" s="15" t="n">
        <f aca="false">H180*(1+IF(I$3&lt;=$O$2,$D180,$D180-($D180-$I$157)*MIN(I$3-$O$2,$Q$2)/$Q$2))</f>
        <v>4595.58090338478</v>
      </c>
      <c r="J180" s="15" t="n">
        <f aca="false">I180*(1+IF(J$3&lt;=$O$2,$D180,$D180-($D180-$I$157)*MIN(J$3-$O$2,$Q$2)/$Q$2))</f>
        <v>4875.43387168804</v>
      </c>
      <c r="K180" s="15" t="n">
        <f aca="false">J180*(1+IF(K$3&lt;=$O$2,$D180,$D180-($D180-$I$157)*MIN(K$3-$O$2,$Q$2)/$Q$2))</f>
        <v>5144.78734363603</v>
      </c>
      <c r="L180" s="15" t="n">
        <f aca="false">K180*(1+IF(L$3&lt;=$O$2,$D180,$D180-($D180-$I$157)*MIN(L$3-$O$2,$Q$2)/$Q$2))</f>
        <v>5399.95877141108</v>
      </c>
      <c r="M180" s="15" t="n">
        <f aca="false">L180*(1+IF(M$3&lt;=$O$2,$D180,$D180-($D180-$I$157)*MIN(M$3-$O$2,$Q$2)/$Q$2))</f>
        <v>5637.28169858288</v>
      </c>
      <c r="N180" s="15" t="n">
        <f aca="false">M180*(1+IF(N$3&lt;=$O$2,$D180,$D180-($D180-$I$157)*MIN(N$3-$O$2,$Q$2)/$Q$2))</f>
        <v>5853.1895876386</v>
      </c>
      <c r="O180" s="15" t="n">
        <f aca="false">SUMPRODUCT(E180:N180,1/(1+$F$157)^$E$3:$N$3)*$E$2</f>
        <v>16115.1866946228</v>
      </c>
      <c r="P180" s="15" t="n">
        <f aca="false">N180*$E$2*(1+$I$157)/($F$157-$I$157)/(1+$F$157)^$N$3</f>
        <v>30842.1883863414</v>
      </c>
      <c r="Q180" s="15" t="n">
        <f aca="false">O180+P180</f>
        <v>46957.3750809642</v>
      </c>
      <c r="R180" s="15" t="n">
        <f aca="false">Q180-$G$2+$I$2</f>
        <v>40770.0750809642</v>
      </c>
      <c r="S180" s="42" t="n">
        <f aca="false">R180/$K$2</f>
        <v>560.798831925229</v>
      </c>
      <c r="T180" s="43" t="n">
        <f aca="false">S180-$M$2</f>
        <v>0.0010327505387977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0.066544771194458</v>
      </c>
      <c r="C181" s="25" t="n">
        <f aca="false">IF(T180&gt;0,D180,C180)</f>
        <v>0.0665451288223267</v>
      </c>
      <c r="D181" s="41" t="n">
        <f aca="false">(B181+C181)/2</f>
        <v>0.0665449500083923</v>
      </c>
      <c r="E181" s="15" t="n">
        <f aca="false">$C$2*(1+IF(E$3&lt;=$O$2,$D181,$D181-($D181-$I$157)*MIN(E$3-$O$2,$Q$2)/$Q$2))</f>
        <v>3551.59468352795</v>
      </c>
      <c r="F181" s="15" t="n">
        <f aca="false">E181*(1+IF(F$3&lt;=$O$2,$D181,$D181-($D181-$I$157)*MIN(F$3-$O$2,$Q$2)/$Q$2))</f>
        <v>3787.93537419339</v>
      </c>
      <c r="G181" s="15" t="n">
        <f aca="false">F181*(1+IF(G$3&lt;=$O$2,$D181,$D181-($D181-$I$157)*MIN(G$3-$O$2,$Q$2)/$Q$2))</f>
        <v>4040.00334430411</v>
      </c>
      <c r="H181" s="15" t="n">
        <f aca="false">G181*(1+IF(H$3&lt;=$O$2,$D181,$D181-($D181-$I$157)*MIN(H$3-$O$2,$Q$2)/$Q$2))</f>
        <v>4308.84516488456</v>
      </c>
      <c r="I181" s="15" t="n">
        <f aca="false">H181*(1+IF(I$3&lt;=$O$2,$D181,$D181-($D181-$I$157)*MIN(I$3-$O$2,$Q$2)/$Q$2))</f>
        <v>4595.57705097571</v>
      </c>
      <c r="J181" s="15" t="n">
        <f aca="false">I181*(1+IF(J$3&lt;=$O$2,$D181,$D181-($D181-$I$157)*MIN(J$3-$O$2,$Q$2)/$Q$2))</f>
        <v>4875.42912727969</v>
      </c>
      <c r="K181" s="15" t="n">
        <f aca="false">J181*(1+IF(K$3&lt;=$O$2,$D181,$D181-($D181-$I$157)*MIN(K$3-$O$2,$Q$2)/$Q$2))</f>
        <v>5144.78181403619</v>
      </c>
      <c r="L181" s="15" t="n">
        <f aca="false">K181*(1+IF(L$3&lt;=$O$2,$D181,$D181-($D181-$I$157)*MIN(L$3-$O$2,$Q$2)/$Q$2))</f>
        <v>5399.95259957039</v>
      </c>
      <c r="M181" s="15" t="n">
        <f aca="false">L181*(1+IF(M$3&lt;=$O$2,$D181,$D181-($D181-$I$157)*MIN(M$3-$O$2,$Q$2)/$Q$2))</f>
        <v>5637.27506237845</v>
      </c>
      <c r="N181" s="15" t="n">
        <f aca="false">M181*(1+IF(N$3&lt;=$O$2,$D181,$D181-($D181-$I$157)*MIN(N$3-$O$2,$Q$2)/$Q$2))</f>
        <v>5853.18269726755</v>
      </c>
      <c r="O181" s="15" t="n">
        <f aca="false">SUMPRODUCT(E181:N181,1/(1+$F$157)^$E$3:$N$3)*$E$2</f>
        <v>16115.1740843295</v>
      </c>
      <c r="P181" s="15" t="n">
        <f aca="false">N181*$E$2*(1+$I$157)/($F$157-$I$157)/(1+$F$157)^$N$3</f>
        <v>30842.1520789369</v>
      </c>
      <c r="Q181" s="15" t="n">
        <f aca="false">O181+P181</f>
        <v>46957.3261632664</v>
      </c>
      <c r="R181" s="15" t="n">
        <f aca="false">Q181-$G$2+$I$2</f>
        <v>40770.0261632664</v>
      </c>
      <c r="S181" s="42" t="n">
        <f aca="false">R181/$K$2</f>
        <v>560.798159054559</v>
      </c>
      <c r="T181" s="43" t="n">
        <f aca="false">S181-$M$2</f>
        <v>0.000359879868028656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0.066544771194458</v>
      </c>
      <c r="C182" s="25" t="n">
        <f aca="false">IF(T181&gt;0,D181,C181)</f>
        <v>0.0665449500083923</v>
      </c>
      <c r="D182" s="41" t="n">
        <f aca="false">(B182+C182)/2</f>
        <v>0.0665448606014252</v>
      </c>
      <c r="E182" s="15" t="n">
        <f aca="false">$C$2*(1+IF(E$3&lt;=$O$2,$D182,$D182-($D182-$I$157)*MIN(E$3-$O$2,$Q$2)/$Q$2))</f>
        <v>3551.59438580275</v>
      </c>
      <c r="F182" s="15" t="n">
        <f aca="false">E182*(1+IF(F$3&lt;=$O$2,$D182,$D182-($D182-$I$157)*MIN(F$3-$O$2,$Q$2)/$Q$2))</f>
        <v>3787.93473911879</v>
      </c>
      <c r="G182" s="15" t="n">
        <f aca="false">F182*(1+IF(G$3&lt;=$O$2,$D182,$D182-($D182-$I$157)*MIN(G$3-$O$2,$Q$2)/$Q$2))</f>
        <v>4040.00232830075</v>
      </c>
      <c r="H182" s="15" t="n">
        <f aca="false">G182*(1+IF(H$3&lt;=$O$2,$D182,$D182-($D182-$I$157)*MIN(H$3-$O$2,$Q$2)/$Q$2))</f>
        <v>4308.84372006696</v>
      </c>
      <c r="I182" s="15" t="n">
        <f aca="false">H182*(1+IF(I$3&lt;=$O$2,$D182,$D182-($D182-$I$157)*MIN(I$3-$O$2,$Q$2)/$Q$2))</f>
        <v>4595.57512477214</v>
      </c>
      <c r="J182" s="15" t="n">
        <f aca="false">I182*(1+IF(J$3&lt;=$O$2,$D182,$D182-($D182-$I$157)*MIN(J$3-$O$2,$Q$2)/$Q$2))</f>
        <v>4875.42675507697</v>
      </c>
      <c r="K182" s="15" t="n">
        <f aca="false">J182*(1+IF(K$3&lt;=$O$2,$D182,$D182-($D182-$I$157)*MIN(K$3-$O$2,$Q$2)/$Q$2))</f>
        <v>5144.77904923818</v>
      </c>
      <c r="L182" s="15" t="n">
        <f aca="false">K182*(1+IF(L$3&lt;=$O$2,$D182,$D182-($D182-$I$157)*MIN(L$3-$O$2,$Q$2)/$Q$2))</f>
        <v>5399.94951365235</v>
      </c>
      <c r="M182" s="15" t="n">
        <f aca="false">L182*(1+IF(M$3&lt;=$O$2,$D182,$D182-($D182-$I$157)*MIN(M$3-$O$2,$Q$2)/$Q$2))</f>
        <v>5637.2717442788</v>
      </c>
      <c r="N182" s="15" t="n">
        <f aca="false">M182*(1+IF(N$3&lt;=$O$2,$D182,$D182-($D182-$I$157)*MIN(N$3-$O$2,$Q$2)/$Q$2))</f>
        <v>5853.17925208468</v>
      </c>
      <c r="O182" s="15" t="n">
        <f aca="false">SUMPRODUCT(E182:N182,1/(1+$F$157)^$E$3:$N$3)*$E$2</f>
        <v>16115.1677791866</v>
      </c>
      <c r="P182" s="15" t="n">
        <f aca="false">N182*$E$2*(1+$I$157)/($F$157-$I$157)/(1+$F$157)^$N$3</f>
        <v>30842.1339252486</v>
      </c>
      <c r="Q182" s="15" t="n">
        <f aca="false">O182+P182</f>
        <v>46957.3017044352</v>
      </c>
      <c r="R182" s="15" t="n">
        <f aca="false">Q182-$G$2+$I$2</f>
        <v>40770.0017044352</v>
      </c>
      <c r="S182" s="42" t="n">
        <f aca="false">R182/$K$2</f>
        <v>560.797822619467</v>
      </c>
      <c r="T182" s="43" t="n">
        <f aca="false">S182-$M$2</f>
        <v>2.3444776161341E-005</v>
      </c>
    </row>
    <row r="184" customFormat="false" ht="15" hidden="false" customHeight="false" outlineLevel="0" collapsed="false">
      <c r="A184" s="38" t="s">
        <v>187</v>
      </c>
      <c r="E184" s="5" t="s">
        <v>11</v>
      </c>
      <c r="F184" s="12" t="n">
        <f aca="false">Sensitivity!$B$11</f>
        <v>0.0903306228759286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162</v>
      </c>
      <c r="B185" s="28" t="s">
        <v>163</v>
      </c>
      <c r="C185" s="28" t="s">
        <v>164</v>
      </c>
      <c r="D185" s="28" t="s">
        <v>165</v>
      </c>
      <c r="E185" s="28" t="s">
        <v>166</v>
      </c>
      <c r="F185" s="28" t="s">
        <v>167</v>
      </c>
      <c r="G185" s="28" t="s">
        <v>168</v>
      </c>
      <c r="H185" s="28" t="s">
        <v>169</v>
      </c>
      <c r="I185" s="28" t="s">
        <v>170</v>
      </c>
      <c r="J185" s="28" t="s">
        <v>171</v>
      </c>
      <c r="K185" s="28" t="s">
        <v>172</v>
      </c>
      <c r="L185" s="28" t="s">
        <v>173</v>
      </c>
      <c r="M185" s="28" t="s">
        <v>174</v>
      </c>
      <c r="N185" s="28" t="s">
        <v>175</v>
      </c>
      <c r="O185" s="28" t="s">
        <v>176</v>
      </c>
      <c r="P185" s="28" t="s">
        <v>177</v>
      </c>
      <c r="Q185" s="28" t="s">
        <v>178</v>
      </c>
      <c r="R185" s="28" t="s">
        <v>179</v>
      </c>
      <c r="S185" s="28" t="s">
        <v>180</v>
      </c>
      <c r="T185" s="28" t="s">
        <v>181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4162.5</v>
      </c>
      <c r="F186" s="15" t="n">
        <f aca="false">E186*(1+IF(F$3&lt;=$O$2,$D186,$D186-($D186-$I$184)*MIN(F$3-$O$2,$Q$2)/$Q$2))</f>
        <v>5203.125</v>
      </c>
      <c r="G186" s="15" t="n">
        <f aca="false">F186*(1+IF(G$3&lt;=$O$2,$D186,$D186-($D186-$I$184)*MIN(G$3-$O$2,$Q$2)/$Q$2))</f>
        <v>6503.90625</v>
      </c>
      <c r="H186" s="15" t="n">
        <f aca="false">G186*(1+IF(H$3&lt;=$O$2,$D186,$D186-($D186-$I$184)*MIN(H$3-$O$2,$Q$2)/$Q$2))</f>
        <v>8129.8828125</v>
      </c>
      <c r="I186" s="15" t="n">
        <f aca="false">H186*(1+IF(I$3&lt;=$O$2,$D186,$D186-($D186-$I$184)*MIN(I$3-$O$2,$Q$2)/$Q$2))</f>
        <v>10162.353515625</v>
      </c>
      <c r="J186" s="15" t="n">
        <f aca="false">I186*(1+IF(J$3&lt;=$O$2,$D186,$D186-($D186-$I$184)*MIN(J$3-$O$2,$Q$2)/$Q$2))</f>
        <v>12232.0184326172</v>
      </c>
      <c r="K186" s="15" t="n">
        <f aca="false">J186*(1+IF(K$3&lt;=$O$2,$D186,$D186-($D186-$I$184)*MIN(K$3-$O$2,$Q$2)/$Q$2))</f>
        <v>14156.3595724365</v>
      </c>
      <c r="L186" s="15" t="n">
        <f aca="false">K186*(1+IF(L$3&lt;=$O$2,$D186,$D186-($D186-$I$184)*MIN(L$3-$O$2,$Q$2)/$Q$2))</f>
        <v>15727.4323577855</v>
      </c>
      <c r="M186" s="15" t="n">
        <f aca="false">L186*(1+IF(M$3&lt;=$O$2,$D186,$D186-($D186-$I$184)*MIN(M$3-$O$2,$Q$2)/$Q$2))</f>
        <v>16744.0535853928</v>
      </c>
      <c r="N186" s="15" t="n">
        <f aca="false">M186*(1+IF(N$3&lt;=$O$2,$D186,$D186-($D186-$I$184)*MIN(N$3-$O$2,$Q$2)/$Q$2))</f>
        <v>17050.4697660055</v>
      </c>
      <c r="O186" s="15" t="n">
        <f aca="false">SUMPRODUCT(E186:N186,1/(1+$F$184)^$E$3:$N$3)*$E$2</f>
        <v>34269.1454423051</v>
      </c>
      <c r="P186" s="15" t="n">
        <f aca="false">N186*$E$2*(1+$I$184)/($F$184-$I$184)/(1+$F$184)^$N$3</f>
        <v>54946.9846429482</v>
      </c>
      <c r="Q186" s="15" t="n">
        <f aca="false">O186+P186</f>
        <v>89216.1300852533</v>
      </c>
      <c r="R186" s="15" t="n">
        <f aca="false">Q186-$G$2+$I$2</f>
        <v>83028.8300852533</v>
      </c>
      <c r="S186" s="42" t="n">
        <f aca="false">R186/$K$2</f>
        <v>1142.07469168161</v>
      </c>
      <c r="T186" s="43" t="n">
        <f aca="false">S186-$M$2</f>
        <v>581.276892506923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2913.75</v>
      </c>
      <c r="F187" s="15" t="n">
        <f aca="false">E187*(1+IF(F$3&lt;=$O$2,$D187,$D187-($D187-$I$184)*MIN(F$3-$O$2,$Q$2)/$Q$2))</f>
        <v>2549.53125</v>
      </c>
      <c r="G187" s="15" t="n">
        <f aca="false">F187*(1+IF(G$3&lt;=$O$2,$D187,$D187-($D187-$I$184)*MIN(G$3-$O$2,$Q$2)/$Q$2))</f>
        <v>2230.83984375</v>
      </c>
      <c r="H187" s="15" t="n">
        <f aca="false">G187*(1+IF(H$3&lt;=$O$2,$D187,$D187-($D187-$I$184)*MIN(H$3-$O$2,$Q$2)/$Q$2))</f>
        <v>1951.98486328125</v>
      </c>
      <c r="I187" s="15" t="n">
        <f aca="false">H187*(1+IF(I$3&lt;=$O$2,$D187,$D187-($D187-$I$184)*MIN(I$3-$O$2,$Q$2)/$Q$2))</f>
        <v>1707.98675537109</v>
      </c>
      <c r="J187" s="15" t="n">
        <f aca="false">I187*(1+IF(J$3&lt;=$O$2,$D187,$D187-($D187-$I$184)*MIN(J$3-$O$2,$Q$2)/$Q$2))</f>
        <v>1543.43931135864</v>
      </c>
      <c r="K187" s="15" t="n">
        <f aca="false">J187*(1+IF(K$3&lt;=$O$2,$D187,$D187-($D187-$I$184)*MIN(K$3-$O$2,$Q$2)/$Q$2))</f>
        <v>1438.97933876589</v>
      </c>
      <c r="L187" s="15" t="n">
        <f aca="false">K187*(1+IF(L$3&lt;=$O$2,$D187,$D187-($D187-$I$184)*MIN(L$3-$O$2,$Q$2)/$Q$2))</f>
        <v>1382.83036496724</v>
      </c>
      <c r="M187" s="15" t="n">
        <f aca="false">L187*(1+IF(M$3&lt;=$O$2,$D187,$D187-($D187-$I$184)*MIN(M$3-$O$2,$Q$2)/$Q$2))</f>
        <v>1368.50424238618</v>
      </c>
      <c r="N187" s="15" t="n">
        <f aca="false">M187*(1+IF(N$3&lt;=$O$2,$D187,$D187-($D187-$I$184)*MIN(N$3-$O$2,$Q$2)/$Q$2))</f>
        <v>1393.54787002185</v>
      </c>
      <c r="O187" s="15" t="n">
        <f aca="false">SUMPRODUCT(E187:N187,1/(1+$F$184)^$E$3:$N$3)*$E$2</f>
        <v>6841.50889132655</v>
      </c>
      <c r="P187" s="15" t="n">
        <f aca="false">N187*$E$2*(1+$I$184)/($F$184-$I$184)/(1+$F$184)^$N$3</f>
        <v>4490.85887158185</v>
      </c>
      <c r="Q187" s="15" t="n">
        <f aca="false">O187+P187</f>
        <v>11332.3677629084</v>
      </c>
      <c r="R187" s="15" t="n">
        <f aca="false">Q187-$G$2+$I$2</f>
        <v>5145.06776290841</v>
      </c>
      <c r="S187" s="42" t="n">
        <f aca="false">R187/$K$2</f>
        <v>70.771220947846</v>
      </c>
      <c r="T187" s="43" t="n">
        <f aca="false">S187-$M$2</f>
        <v>-490.026578226844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3538.125</v>
      </c>
      <c r="F188" s="15" t="n">
        <f aca="false">E188*(1+IF(F$3&lt;=$O$2,$D188,$D188-($D188-$I$184)*MIN(F$3-$O$2,$Q$2)/$Q$2))</f>
        <v>3759.2578125</v>
      </c>
      <c r="G188" s="15" t="n">
        <f aca="false">F188*(1+IF(G$3&lt;=$O$2,$D188,$D188-($D188-$I$184)*MIN(G$3-$O$2,$Q$2)/$Q$2))</f>
        <v>3994.21142578125</v>
      </c>
      <c r="H188" s="15" t="n">
        <f aca="false">G188*(1+IF(H$3&lt;=$O$2,$D188,$D188-($D188-$I$184)*MIN(H$3-$O$2,$Q$2)/$Q$2))</f>
        <v>4243.84963989258</v>
      </c>
      <c r="I188" s="15" t="n">
        <f aca="false">H188*(1+IF(I$3&lt;=$O$2,$D188,$D188-($D188-$I$184)*MIN(I$3-$O$2,$Q$2)/$Q$2))</f>
        <v>4509.09024238586</v>
      </c>
      <c r="J188" s="15" t="n">
        <f aca="false">I188*(1+IF(J$3&lt;=$O$2,$D188,$D188-($D188-$I$184)*MIN(J$3-$O$2,$Q$2)/$Q$2))</f>
        <v>4751.04802479229</v>
      </c>
      <c r="K188" s="15" t="n">
        <f aca="false">J188*(1+IF(K$3&lt;=$O$2,$D188,$D188-($D188-$I$184)*MIN(K$3-$O$2,$Q$2)/$Q$2))</f>
        <v>4963.98999726348</v>
      </c>
      <c r="L188" s="15" t="n">
        <f aca="false">K188*(1+IF(L$3&lt;=$O$2,$D188,$D188-($D188-$I$184)*MIN(L$3-$O$2,$Q$2)/$Q$2))</f>
        <v>5142.59435736502</v>
      </c>
      <c r="M188" s="15" t="n">
        <f aca="false">L188*(1+IF(M$3&lt;=$O$2,$D188,$D188-($D188-$I$184)*MIN(M$3-$O$2,$Q$2)/$Q$2))</f>
        <v>5282.16436822391</v>
      </c>
      <c r="N188" s="15" t="n">
        <f aca="false">M188*(1+IF(N$3&lt;=$O$2,$D188,$D188-($D188-$I$184)*MIN(N$3-$O$2,$Q$2)/$Q$2))</f>
        <v>5378.8279761624</v>
      </c>
      <c r="O188" s="15" t="n">
        <f aca="false">SUMPRODUCT(E188:N188,1/(1+$F$184)^$E$3:$N$3)*$E$2</f>
        <v>15275.4123736843</v>
      </c>
      <c r="P188" s="15" t="n">
        <f aca="false">N188*$E$2*(1+$I$184)/($F$184-$I$184)/(1+$F$184)^$N$3</f>
        <v>17333.855445585</v>
      </c>
      <c r="Q188" s="15" t="n">
        <f aca="false">O188+P188</f>
        <v>32609.2678192693</v>
      </c>
      <c r="R188" s="15" t="n">
        <f aca="false">Q188-$G$2+$I$2</f>
        <v>26421.9678192693</v>
      </c>
      <c r="S188" s="42" t="n">
        <f aca="false">R188/$K$2</f>
        <v>363.438346895039</v>
      </c>
      <c r="T188" s="43" t="n">
        <f aca="false">S188-$M$2</f>
        <v>-197.359452279652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0.0625</v>
      </c>
      <c r="C189" s="25" t="n">
        <f aca="false">IF(T188&gt;0,D188,C188)</f>
        <v>0.25</v>
      </c>
      <c r="D189" s="41" t="n">
        <f aca="false">(B189+C189)/2</f>
        <v>0.15625</v>
      </c>
      <c r="E189" s="15" t="n">
        <f aca="false">$C$2*(1+IF(E$3&lt;=$O$2,$D189,$D189-($D189-$I$184)*MIN(E$3-$O$2,$Q$2)/$Q$2))</f>
        <v>3850.3125</v>
      </c>
      <c r="F189" s="15" t="n">
        <f aca="false">E189*(1+IF(F$3&lt;=$O$2,$D189,$D189-($D189-$I$184)*MIN(F$3-$O$2,$Q$2)/$Q$2))</f>
        <v>4451.923828125</v>
      </c>
      <c r="G189" s="15" t="n">
        <f aca="false">F189*(1+IF(G$3&lt;=$O$2,$D189,$D189-($D189-$I$184)*MIN(G$3-$O$2,$Q$2)/$Q$2))</f>
        <v>5147.53692626953</v>
      </c>
      <c r="H189" s="15" t="n">
        <f aca="false">G189*(1+IF(H$3&lt;=$O$2,$D189,$D189-($D189-$I$184)*MIN(H$3-$O$2,$Q$2)/$Q$2))</f>
        <v>5951.83957099915</v>
      </c>
      <c r="I189" s="15" t="n">
        <f aca="false">H189*(1+IF(I$3&lt;=$O$2,$D189,$D189-($D189-$I$184)*MIN(I$3-$O$2,$Q$2)/$Q$2))</f>
        <v>6881.81450396776</v>
      </c>
      <c r="J189" s="15" t="n">
        <f aca="false">I189*(1+IF(J$3&lt;=$O$2,$D189,$D189-($D189-$I$184)*MIN(J$3-$O$2,$Q$2)/$Q$2))</f>
        <v>7767.22875804825</v>
      </c>
      <c r="K189" s="15" t="n">
        <f aca="false">J189*(1+IF(K$3&lt;=$O$2,$D189,$D189-($D189-$I$184)*MIN(K$3-$O$2,$Q$2)/$Q$2))</f>
        <v>8552.26256862419</v>
      </c>
      <c r="L189" s="15" t="n">
        <f aca="false">K189*(1+IF(L$3&lt;=$O$2,$D189,$D189-($D189-$I$184)*MIN(L$3-$O$2,$Q$2)/$Q$2))</f>
        <v>9180.6828221667</v>
      </c>
      <c r="M189" s="15" t="n">
        <f aca="false">L189*(1+IF(M$3&lt;=$O$2,$D189,$D189-($D189-$I$184)*MIN(M$3-$O$2,$Q$2)/$Q$2))</f>
        <v>9601.98435687593</v>
      </c>
      <c r="N189" s="15" t="n">
        <f aca="false">M189*(1+IF(N$3&lt;=$O$2,$D189,$D189-($D189-$I$184)*MIN(N$3-$O$2,$Q$2)/$Q$2))</f>
        <v>9777.70067060676</v>
      </c>
      <c r="O189" s="15" t="n">
        <f aca="false">SUMPRODUCT(E189:N189,1/(1+$F$184)^$E$3:$N$3)*$E$2</f>
        <v>22917.7272015816</v>
      </c>
      <c r="P189" s="15" t="n">
        <f aca="false">N189*$E$2*(1+$I$184)/($F$184-$I$184)/(1+$F$184)^$N$3</f>
        <v>31509.6989094301</v>
      </c>
      <c r="Q189" s="15" t="n">
        <f aca="false">O189+P189</f>
        <v>54427.4261110117</v>
      </c>
      <c r="R189" s="15" t="n">
        <f aca="false">Q189-$G$2+$I$2</f>
        <v>48240.1261110117</v>
      </c>
      <c r="S189" s="42" t="n">
        <f aca="false">R189/$K$2</f>
        <v>663.550565488469</v>
      </c>
      <c r="T189" s="43" t="n">
        <f aca="false">S189-$M$2</f>
        <v>102.752766313778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0.0625</v>
      </c>
      <c r="C190" s="25" t="n">
        <f aca="false">IF(T189&gt;0,D189,C189)</f>
        <v>0.15625</v>
      </c>
      <c r="D190" s="41" t="n">
        <f aca="false">(B190+C190)/2</f>
        <v>0.109375</v>
      </c>
      <c r="E190" s="15" t="n">
        <f aca="false">$C$2*(1+IF(E$3&lt;=$O$2,$D190,$D190-($D190-$I$184)*MIN(E$3-$O$2,$Q$2)/$Q$2))</f>
        <v>3694.21875</v>
      </c>
      <c r="F190" s="15" t="n">
        <f aca="false">E190*(1+IF(F$3&lt;=$O$2,$D190,$D190-($D190-$I$184)*MIN(F$3-$O$2,$Q$2)/$Q$2))</f>
        <v>4098.27392578125</v>
      </c>
      <c r="G190" s="15" t="n">
        <f aca="false">F190*(1+IF(G$3&lt;=$O$2,$D190,$D190-($D190-$I$184)*MIN(G$3-$O$2,$Q$2)/$Q$2))</f>
        <v>4546.52263641357</v>
      </c>
      <c r="H190" s="15" t="n">
        <f aca="false">G190*(1+IF(H$3&lt;=$O$2,$D190,$D190-($D190-$I$184)*MIN(H$3-$O$2,$Q$2)/$Q$2))</f>
        <v>5043.79854977131</v>
      </c>
      <c r="I190" s="15" t="n">
        <f aca="false">H190*(1+IF(I$3&lt;=$O$2,$D190,$D190-($D190-$I$184)*MIN(I$3-$O$2,$Q$2)/$Q$2))</f>
        <v>5595.46401615255</v>
      </c>
      <c r="J190" s="15" t="n">
        <f aca="false">I190*(1+IF(J$3&lt;=$O$2,$D190,$D190-($D190-$I$184)*MIN(J$3-$O$2,$Q$2)/$Q$2))</f>
        <v>6105.54651586501</v>
      </c>
      <c r="K190" s="15" t="n">
        <f aca="false">J190*(1+IF(K$3&lt;=$O$2,$D190,$D190-($D190-$I$184)*MIN(K$3-$O$2,$Q$2)/$Q$2))</f>
        <v>6550.91560646479</v>
      </c>
      <c r="L190" s="15" t="n">
        <f aca="false">K190*(1+IF(L$3&lt;=$O$2,$D190,$D190-($D190-$I$184)*MIN(L$3-$O$2,$Q$2)/$Q$2))</f>
        <v>6909.4472176066</v>
      </c>
      <c r="M190" s="15" t="n">
        <f aca="false">L190*(1+IF(M$3&lt;=$O$2,$D190,$D190-($D190-$I$184)*MIN(M$3-$O$2,$Q$2)/$Q$2))</f>
        <v>7161.74568275751</v>
      </c>
      <c r="N190" s="15" t="n">
        <f aca="false">M190*(1+IF(N$3&lt;=$O$2,$D190,$D190-($D190-$I$184)*MIN(N$3-$O$2,$Q$2)/$Q$2))</f>
        <v>7292.80562875197</v>
      </c>
      <c r="O190" s="15" t="n">
        <f aca="false">SUMPRODUCT(E190:N190,1/(1+$F$184)^$E$3:$N$3)*$E$2</f>
        <v>18713.4488567944</v>
      </c>
      <c r="P190" s="15" t="n">
        <f aca="false">N190*$E$2*(1+$I$184)/($F$184-$I$184)/(1+$F$184)^$N$3</f>
        <v>23501.8556313314</v>
      </c>
      <c r="Q190" s="15" t="n">
        <f aca="false">O190+P190</f>
        <v>42215.3044881257</v>
      </c>
      <c r="R190" s="15" t="n">
        <f aca="false">Q190-$G$2+$I$2</f>
        <v>36028.0044881257</v>
      </c>
      <c r="S190" s="42" t="n">
        <f aca="false">R190/$K$2</f>
        <v>495.570900799529</v>
      </c>
      <c r="T190" s="43" t="n">
        <f aca="false">S190-$M$2</f>
        <v>-65.2268983751618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0.109375</v>
      </c>
      <c r="C191" s="25" t="n">
        <f aca="false">IF(T190&gt;0,D190,C190)</f>
        <v>0.15625</v>
      </c>
      <c r="D191" s="41" t="n">
        <f aca="false">(B191+C191)/2</f>
        <v>0.1328125</v>
      </c>
      <c r="E191" s="15" t="n">
        <f aca="false">$C$2*(1+IF(E$3&lt;=$O$2,$D191,$D191-($D191-$I$184)*MIN(E$3-$O$2,$Q$2)/$Q$2))</f>
        <v>3772.265625</v>
      </c>
      <c r="F191" s="15" t="n">
        <f aca="false">E191*(1+IF(F$3&lt;=$O$2,$D191,$D191-($D191-$I$184)*MIN(F$3-$O$2,$Q$2)/$Q$2))</f>
        <v>4273.26965332031</v>
      </c>
      <c r="G191" s="15" t="n">
        <f aca="false">F191*(1+IF(G$3&lt;=$O$2,$D191,$D191-($D191-$I$184)*MIN(G$3-$O$2,$Q$2)/$Q$2))</f>
        <v>4840.81327915192</v>
      </c>
      <c r="H191" s="15" t="n">
        <f aca="false">G191*(1+IF(H$3&lt;=$O$2,$D191,$D191-($D191-$I$184)*MIN(H$3-$O$2,$Q$2)/$Q$2))</f>
        <v>5483.73379278928</v>
      </c>
      <c r="I191" s="15" t="n">
        <f aca="false">H191*(1+IF(I$3&lt;=$O$2,$D191,$D191-($D191-$I$184)*MIN(I$3-$O$2,$Q$2)/$Q$2))</f>
        <v>6212.04218714411</v>
      </c>
      <c r="J191" s="15" t="n">
        <f aca="false">I191*(1+IF(J$3&lt;=$O$2,$D191,$D191-($D191-$I$184)*MIN(J$3-$O$2,$Q$2)/$Q$2))</f>
        <v>6894.80774393312</v>
      </c>
      <c r="K191" s="15" t="n">
        <f aca="false">J191*(1+IF(K$3&lt;=$O$2,$D191,$D191-($D191-$I$184)*MIN(K$3-$O$2,$Q$2)/$Q$2))</f>
        <v>7494.70772871338</v>
      </c>
      <c r="L191" s="15" t="n">
        <f aca="false">K191*(1+IF(L$3&lt;=$O$2,$D191,$D191-($D191-$I$184)*MIN(L$3-$O$2,$Q$2)/$Q$2))</f>
        <v>7975.15596766255</v>
      </c>
      <c r="M191" s="15" t="n">
        <f aca="false">L191*(1+IF(M$3&lt;=$O$2,$D191,$D191-($D191-$I$184)*MIN(M$3-$O$2,$Q$2)/$Q$2))</f>
        <v>8303.75233142016</v>
      </c>
      <c r="N191" s="15" t="n">
        <f aca="false">M191*(1+IF(N$3&lt;=$O$2,$D191,$D191-($D191-$I$184)*MIN(N$3-$O$2,$Q$2)/$Q$2))</f>
        <v>8455.71099908515</v>
      </c>
      <c r="O191" s="15" t="n">
        <f aca="false">SUMPRODUCT(E191:N191,1/(1+$F$184)^$E$3:$N$3)*$E$2</f>
        <v>20710.7271440661</v>
      </c>
      <c r="P191" s="15" t="n">
        <f aca="false">N191*$E$2*(1+$I$184)/($F$184-$I$184)/(1+$F$184)^$N$3</f>
        <v>27249.4440791463</v>
      </c>
      <c r="Q191" s="15" t="n">
        <f aca="false">O191+P191</f>
        <v>47960.1712232123</v>
      </c>
      <c r="R191" s="15" t="n">
        <f aca="false">Q191-$G$2+$I$2</f>
        <v>41772.8712232123</v>
      </c>
      <c r="S191" s="42" t="n">
        <f aca="false">R191/$K$2</f>
        <v>574.592451488478</v>
      </c>
      <c r="T191" s="43" t="n">
        <f aca="false">S191-$M$2</f>
        <v>13.7946523137871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0.109375</v>
      </c>
      <c r="C192" s="25" t="n">
        <f aca="false">IF(T191&gt;0,D191,C191)</f>
        <v>0.1328125</v>
      </c>
      <c r="D192" s="41" t="n">
        <f aca="false">(B192+C192)/2</f>
        <v>0.12109375</v>
      </c>
      <c r="E192" s="15" t="n">
        <f aca="false">$C$2*(1+IF(E$3&lt;=$O$2,$D192,$D192-($D192-$I$184)*MIN(E$3-$O$2,$Q$2)/$Q$2))</f>
        <v>3733.2421875</v>
      </c>
      <c r="F192" s="15" t="n">
        <f aca="false">E192*(1+IF(F$3&lt;=$O$2,$D192,$D192-($D192-$I$184)*MIN(F$3-$O$2,$Q$2)/$Q$2))</f>
        <v>4185.31448364258</v>
      </c>
      <c r="G192" s="15" t="n">
        <f aca="false">F192*(1+IF(G$3&lt;=$O$2,$D192,$D192-($D192-$I$184)*MIN(G$3-$O$2,$Q$2)/$Q$2))</f>
        <v>4692.12990939617</v>
      </c>
      <c r="H192" s="15" t="n">
        <f aca="false">G192*(1+IF(H$3&lt;=$O$2,$D192,$D192-($D192-$I$184)*MIN(H$3-$O$2,$Q$2)/$Q$2))</f>
        <v>5260.31751561211</v>
      </c>
      <c r="I192" s="15" t="n">
        <f aca="false">H192*(1+IF(I$3&lt;=$O$2,$D192,$D192-($D192-$I$184)*MIN(I$3-$O$2,$Q$2)/$Q$2))</f>
        <v>5897.30908976827</v>
      </c>
      <c r="J192" s="15" t="n">
        <f aca="false">I192*(1+IF(J$3&lt;=$O$2,$D192,$D192-($D192-$I$184)*MIN(J$3-$O$2,$Q$2)/$Q$2))</f>
        <v>6490.19505910812</v>
      </c>
      <c r="K192" s="15" t="n">
        <f aca="false">J192*(1+IF(K$3&lt;=$O$2,$D192,$D192-($D192-$I$184)*MIN(K$3-$O$2,$Q$2)/$Q$2))</f>
        <v>7009.25652170412</v>
      </c>
      <c r="L192" s="15" t="n">
        <f aca="false">K192*(1+IF(L$3&lt;=$O$2,$D192,$D192-($D192-$I$184)*MIN(L$3-$O$2,$Q$2)/$Q$2))</f>
        <v>7425.72902108247</v>
      </c>
      <c r="M192" s="15" t="n">
        <f aca="false">L192*(1+IF(M$3&lt;=$O$2,$D192,$D192-($D192-$I$184)*MIN(M$3-$O$2,$Q$2)/$Q$2))</f>
        <v>7714.28356868046</v>
      </c>
      <c r="N192" s="15" t="n">
        <f aca="false">M192*(1+IF(N$3&lt;=$O$2,$D192,$D192-($D192-$I$184)*MIN(N$3-$O$2,$Q$2)/$Q$2))</f>
        <v>7855.45495798731</v>
      </c>
      <c r="O192" s="15" t="n">
        <f aca="false">SUMPRODUCT(E192:N192,1/(1+$F$184)^$E$3:$N$3)*$E$2</f>
        <v>19687.0649917861</v>
      </c>
      <c r="P192" s="15" t="n">
        <f aca="false">N192*$E$2*(1+$I$184)/($F$184-$I$184)/(1+$F$184)^$N$3</f>
        <v>25315.0540051673</v>
      </c>
      <c r="Q192" s="15" t="n">
        <f aca="false">O192+P192</f>
        <v>45002.1189969534</v>
      </c>
      <c r="R192" s="15" t="n">
        <f aca="false">Q192-$G$2+$I$2</f>
        <v>38814.8189969534</v>
      </c>
      <c r="S192" s="42" t="n">
        <f aca="false">R192/$K$2</f>
        <v>533.903975198809</v>
      </c>
      <c r="T192" s="43" t="n">
        <f aca="false">S192-$M$2</f>
        <v>-26.8938239758819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0.12109375</v>
      </c>
      <c r="C193" s="25" t="n">
        <f aca="false">IF(T192&gt;0,D192,C192)</f>
        <v>0.1328125</v>
      </c>
      <c r="D193" s="41" t="n">
        <f aca="false">(B193+C193)/2</f>
        <v>0.126953125</v>
      </c>
      <c r="E193" s="15" t="n">
        <f aca="false">$C$2*(1+IF(E$3&lt;=$O$2,$D193,$D193-($D193-$I$184)*MIN(E$3-$O$2,$Q$2)/$Q$2))</f>
        <v>3752.75390625</v>
      </c>
      <c r="F193" s="15" t="n">
        <f aca="false">E193*(1+IF(F$3&lt;=$O$2,$D193,$D193-($D193-$I$184)*MIN(F$3-$O$2,$Q$2)/$Q$2))</f>
        <v>4229.17774200439</v>
      </c>
      <c r="G193" s="15" t="n">
        <f aca="false">F193*(1+IF(G$3&lt;=$O$2,$D193,$D193-($D193-$I$184)*MIN(G$3-$O$2,$Q$2)/$Q$2))</f>
        <v>4766.0850725323</v>
      </c>
      <c r="H193" s="15" t="n">
        <f aca="false">G193*(1+IF(H$3&lt;=$O$2,$D193,$D193-($D193-$I$184)*MIN(H$3-$O$2,$Q$2)/$Q$2))</f>
        <v>5371.15446650612</v>
      </c>
      <c r="I193" s="15" t="n">
        <f aca="false">H193*(1+IF(I$3&lt;=$O$2,$D193,$D193-($D193-$I$184)*MIN(I$3-$O$2,$Q$2)/$Q$2))</f>
        <v>6053.03931088678</v>
      </c>
      <c r="J193" s="15" t="n">
        <f aca="false">I193*(1+IF(J$3&lt;=$O$2,$D193,$D193-($D193-$I$184)*MIN(J$3-$O$2,$Q$2)/$Q$2))</f>
        <v>6689.95523977657</v>
      </c>
      <c r="K193" s="15" t="n">
        <f aca="false">J193*(1+IF(K$3&lt;=$O$2,$D193,$D193-($D193-$I$184)*MIN(K$3-$O$2,$Q$2)/$Q$2))</f>
        <v>7248.51214641159</v>
      </c>
      <c r="L193" s="15" t="n">
        <f aca="false">K193*(1+IF(L$3&lt;=$O$2,$D193,$D193-($D193-$I$184)*MIN(L$3-$O$2,$Q$2)/$Q$2))</f>
        <v>7696.18931721415</v>
      </c>
      <c r="M193" s="15" t="n">
        <f aca="false">L193*(1+IF(M$3&lt;=$O$2,$D193,$D193-($D193-$I$184)*MIN(M$3-$O$2,$Q$2)/$Q$2))</f>
        <v>8004.27258570056</v>
      </c>
      <c r="N193" s="15" t="n">
        <f aca="false">M193*(1+IF(N$3&lt;=$O$2,$D193,$D193-($D193-$I$184)*MIN(N$3-$O$2,$Q$2)/$Q$2))</f>
        <v>8150.75077401888</v>
      </c>
      <c r="O193" s="15" t="n">
        <f aca="false">SUMPRODUCT(E193:N193,1/(1+$F$184)^$E$3:$N$3)*$E$2</f>
        <v>20192.4949902891</v>
      </c>
      <c r="P193" s="15" t="n">
        <f aca="false">N193*$E$2*(1+$I$184)/($F$184-$I$184)/(1+$F$184)^$N$3</f>
        <v>26266.6767399826</v>
      </c>
      <c r="Q193" s="15" t="n">
        <f aca="false">O193+P193</f>
        <v>46459.1717302718</v>
      </c>
      <c r="R193" s="15" t="n">
        <f aca="false">Q193-$G$2+$I$2</f>
        <v>40271.8717302718</v>
      </c>
      <c r="S193" s="42" t="n">
        <f aca="false">R193/$K$2</f>
        <v>553.945966028497</v>
      </c>
      <c r="T193" s="43" t="n">
        <f aca="false">S193-$M$2</f>
        <v>-6.85183314619303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0.126953125</v>
      </c>
      <c r="C194" s="25" t="n">
        <f aca="false">IF(T193&gt;0,D193,C193)</f>
        <v>0.1328125</v>
      </c>
      <c r="D194" s="41" t="n">
        <f aca="false">(B194+C194)/2</f>
        <v>0.1298828125</v>
      </c>
      <c r="E194" s="15" t="n">
        <f aca="false">$C$2*(1+IF(E$3&lt;=$O$2,$D194,$D194-($D194-$I$184)*MIN(E$3-$O$2,$Q$2)/$Q$2))</f>
        <v>3762.509765625</v>
      </c>
      <c r="F194" s="15" t="n">
        <f aca="false">E194*(1+IF(F$3&lt;=$O$2,$D194,$D194-($D194-$I$184)*MIN(F$3-$O$2,$Q$2)/$Q$2))</f>
        <v>4251.19511604309</v>
      </c>
      <c r="G194" s="15" t="n">
        <f aca="false">F194*(1+IF(G$3&lt;=$O$2,$D194,$D194-($D194-$I$184)*MIN(G$3-$O$2,$Q$2)/$Q$2))</f>
        <v>4803.35229420103</v>
      </c>
      <c r="H194" s="15" t="n">
        <f aca="false">G194*(1+IF(H$3&lt;=$O$2,$D194,$D194-($D194-$I$184)*MIN(H$3-$O$2,$Q$2)/$Q$2))</f>
        <v>5427.22519960019</v>
      </c>
      <c r="I194" s="15" t="n">
        <f aca="false">H194*(1+IF(I$3&lt;=$O$2,$D194,$D194-($D194-$I$184)*MIN(I$3-$O$2,$Q$2)/$Q$2))</f>
        <v>6132.12847259514</v>
      </c>
      <c r="J194" s="15" t="n">
        <f aca="false">I194*(1+IF(J$3&lt;=$O$2,$D194,$D194-($D194-$I$184)*MIN(J$3-$O$2,$Q$2)/$Q$2))</f>
        <v>6791.73853691042</v>
      </c>
      <c r="K194" s="15" t="n">
        <f aca="false">J194*(1+IF(K$3&lt;=$O$2,$D194,$D194-($D194-$I$184)*MIN(K$3-$O$2,$Q$2)/$Q$2))</f>
        <v>7370.73212476374</v>
      </c>
      <c r="L194" s="15" t="n">
        <f aca="false">K194*(1+IF(L$3&lt;=$O$2,$D194,$D194-($D194-$I$184)*MIN(L$3-$O$2,$Q$2)/$Q$2))</f>
        <v>7834.59533091302</v>
      </c>
      <c r="M194" s="15" t="n">
        <f aca="false">L194*(1+IF(M$3&lt;=$O$2,$D194,$D194-($D194-$I$184)*MIN(M$3-$O$2,$Q$2)/$Q$2))</f>
        <v>8152.80966183325</v>
      </c>
      <c r="N194" s="15" t="n">
        <f aca="false">M194*(1+IF(N$3&lt;=$O$2,$D194,$D194-($D194-$I$184)*MIN(N$3-$O$2,$Q$2)/$Q$2))</f>
        <v>8302.0060786448</v>
      </c>
      <c r="O194" s="15" t="n">
        <f aca="false">SUMPRODUCT(E194:N194,1/(1+$F$184)^$E$3:$N$3)*$E$2</f>
        <v>20449.9923130211</v>
      </c>
      <c r="P194" s="15" t="n">
        <f aca="false">N194*$E$2*(1+$I$184)/($F$184-$I$184)/(1+$F$184)^$N$3</f>
        <v>26754.1133334902</v>
      </c>
      <c r="Q194" s="15" t="n">
        <f aca="false">O194+P194</f>
        <v>47204.1056465113</v>
      </c>
      <c r="R194" s="15" t="n">
        <f aca="false">Q194-$G$2+$I$2</f>
        <v>41016.8056465112</v>
      </c>
      <c r="S194" s="42" t="n">
        <f aca="false">R194/$K$2</f>
        <v>564.192649883236</v>
      </c>
      <c r="T194" s="43" t="n">
        <f aca="false">S194-$M$2</f>
        <v>3.39485070854539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0.126953125</v>
      </c>
      <c r="C195" s="25" t="n">
        <f aca="false">IF(T194&gt;0,D194,C194)</f>
        <v>0.1298828125</v>
      </c>
      <c r="D195" s="41" t="n">
        <f aca="false">(B195+C195)/2</f>
        <v>0.12841796875</v>
      </c>
      <c r="E195" s="15" t="n">
        <f aca="false">$C$2*(1+IF(E$3&lt;=$O$2,$D195,$D195-($D195-$I$184)*MIN(E$3-$O$2,$Q$2)/$Q$2))</f>
        <v>3757.6318359375</v>
      </c>
      <c r="F195" s="15" t="n">
        <f aca="false">E195*(1+IF(F$3&lt;=$O$2,$D195,$D195-($D195-$I$184)*MIN(F$3-$O$2,$Q$2)/$Q$2))</f>
        <v>4240.17928361893</v>
      </c>
      <c r="G195" s="15" t="n">
        <f aca="false">F195*(1+IF(G$3&lt;=$O$2,$D195,$D195-($D195-$I$184)*MIN(G$3-$O$2,$Q$2)/$Q$2))</f>
        <v>4784.6944943571</v>
      </c>
      <c r="H195" s="15" t="n">
        <f aca="false">G195*(1+IF(H$3&lt;=$O$2,$D195,$D195-($D195-$I$184)*MIN(H$3-$O$2,$Q$2)/$Q$2))</f>
        <v>5399.13524241175</v>
      </c>
      <c r="I195" s="15" t="n">
        <f aca="false">H195*(1+IF(I$3&lt;=$O$2,$D195,$D195-($D195-$I$184)*MIN(I$3-$O$2,$Q$2)/$Q$2))</f>
        <v>6092.4812232488</v>
      </c>
      <c r="J195" s="15" t="n">
        <f aca="false">I195*(1+IF(J$3&lt;=$O$2,$D195,$D195-($D195-$I$184)*MIN(J$3-$O$2,$Q$2)/$Q$2))</f>
        <v>6740.68695519559</v>
      </c>
      <c r="K195" s="15" t="n">
        <f aca="false">J195*(1+IF(K$3&lt;=$O$2,$D195,$D195-($D195-$I$184)*MIN(K$3-$O$2,$Q$2)/$Q$2))</f>
        <v>7309.40397976713</v>
      </c>
      <c r="L195" s="15" t="n">
        <f aca="false">K195*(1+IF(L$3&lt;=$O$2,$D195,$D195-($D195-$I$184)*MIN(L$3-$O$2,$Q$2)/$Q$2))</f>
        <v>7765.12476020692</v>
      </c>
      <c r="M195" s="15" t="n">
        <f aca="false">L195*(1+IF(M$3&lt;=$O$2,$D195,$D195-($D195-$I$184)*MIN(M$3-$O$2,$Q$2)/$Q$2))</f>
        <v>8078.24249645557</v>
      </c>
      <c r="N195" s="15" t="n">
        <f aca="false">M195*(1+IF(N$3&lt;=$O$2,$D195,$D195-($D195-$I$184)*MIN(N$3-$O$2,$Q$2)/$Q$2))</f>
        <v>8226.07433414071</v>
      </c>
      <c r="O195" s="15" t="n">
        <f aca="false">SUMPRODUCT(E195:N195,1/(1+$F$184)^$E$3:$N$3)*$E$2</f>
        <v>20320.8412881059</v>
      </c>
      <c r="P195" s="15" t="n">
        <f aca="false">N195*$E$2*(1+$I$184)/($F$184-$I$184)/(1+$F$184)^$N$3</f>
        <v>26509.4150667306</v>
      </c>
      <c r="Q195" s="15" t="n">
        <f aca="false">O195+P195</f>
        <v>46830.2563548365</v>
      </c>
      <c r="R195" s="15" t="n">
        <f aca="false">Q195-$G$2+$I$2</f>
        <v>40642.9563548365</v>
      </c>
      <c r="S195" s="42" t="n">
        <f aca="false">R195/$K$2</f>
        <v>559.050293739154</v>
      </c>
      <c r="T195" s="43" t="n">
        <f aca="false">S195-$M$2</f>
        <v>-1.7475054355366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0.12841796875</v>
      </c>
      <c r="C196" s="25" t="n">
        <f aca="false">IF(T195&gt;0,D195,C195)</f>
        <v>0.1298828125</v>
      </c>
      <c r="D196" s="41" t="n">
        <f aca="false">(B196+C196)/2</f>
        <v>0.129150390625</v>
      </c>
      <c r="E196" s="15" t="n">
        <f aca="false">$C$2*(1+IF(E$3&lt;=$O$2,$D196,$D196-($D196-$I$184)*MIN(E$3-$O$2,$Q$2)/$Q$2))</f>
        <v>3760.07080078125</v>
      </c>
      <c r="F196" s="15" t="n">
        <f aca="false">E196*(1+IF(F$3&lt;=$O$2,$D196,$D196-($D196-$I$184)*MIN(F$3-$O$2,$Q$2)/$Q$2))</f>
        <v>4245.68541347981</v>
      </c>
      <c r="G196" s="15" t="n">
        <f aca="false">F196*(1+IF(G$3&lt;=$O$2,$D196,$D196-($D196-$I$184)*MIN(G$3-$O$2,$Q$2)/$Q$2))</f>
        <v>4794.01734310159</v>
      </c>
      <c r="H196" s="15" t="n">
        <f aca="false">G196*(1+IF(H$3&lt;=$O$2,$D196,$D196-($D196-$I$184)*MIN(H$3-$O$2,$Q$2)/$Q$2))</f>
        <v>5413.16655562618</v>
      </c>
      <c r="I196" s="15" t="n">
        <f aca="false">H196*(1+IF(I$3&lt;=$O$2,$D196,$D196-($D196-$I$184)*MIN(I$3-$O$2,$Q$2)/$Q$2))</f>
        <v>6112.27913080349</v>
      </c>
      <c r="J196" s="15" t="n">
        <f aca="false">I196*(1+IF(J$3&lt;=$O$2,$D196,$D196-($D196-$I$184)*MIN(J$3-$O$2,$Q$2)/$Q$2))</f>
        <v>6766.17266230407</v>
      </c>
      <c r="K196" s="15" t="n">
        <f aca="false">J196*(1+IF(K$3&lt;=$O$2,$D196,$D196-($D196-$I$184)*MIN(K$3-$O$2,$Q$2)/$Q$2))</f>
        <v>7340.0133516158</v>
      </c>
      <c r="L196" s="15" t="n">
        <f aca="false">K196*(1+IF(L$3&lt;=$O$2,$D196,$D196-($D196-$I$184)*MIN(L$3-$O$2,$Q$2)/$Q$2))</f>
        <v>7799.7929348381</v>
      </c>
      <c r="M196" s="15" t="n">
        <f aca="false">L196*(1+IF(M$3&lt;=$O$2,$D196,$D196-($D196-$I$184)*MIN(M$3-$O$2,$Q$2)/$Q$2))</f>
        <v>8115.45116426982</v>
      </c>
      <c r="N196" s="15" t="n">
        <f aca="false">M196*(1+IF(N$3&lt;=$O$2,$D196,$D196-($D196-$I$184)*MIN(N$3-$O$2,$Q$2)/$Q$2))</f>
        <v>8263.96392057596</v>
      </c>
      <c r="O196" s="15" t="n">
        <f aca="false">SUMPRODUCT(E196:N196,1/(1+$F$184)^$E$3:$N$3)*$E$2</f>
        <v>20385.3159199563</v>
      </c>
      <c r="P196" s="15" t="n">
        <f aca="false">N196*$E$2*(1+$I$184)/($F$184-$I$184)/(1+$F$184)^$N$3</f>
        <v>26631.5183608073</v>
      </c>
      <c r="Q196" s="15" t="n">
        <f aca="false">O196+P196</f>
        <v>47016.8342807636</v>
      </c>
      <c r="R196" s="15" t="n">
        <f aca="false">Q196-$G$2+$I$2</f>
        <v>40829.5342807636</v>
      </c>
      <c r="S196" s="42" t="n">
        <f aca="false">R196/$K$2</f>
        <v>561.616702623984</v>
      </c>
      <c r="T196" s="43" t="n">
        <f aca="false">S196-$M$2</f>
        <v>0.81890344929343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0.12841796875</v>
      </c>
      <c r="C197" s="25" t="n">
        <f aca="false">IF(T196&gt;0,D196,C196)</f>
        <v>0.129150390625</v>
      </c>
      <c r="D197" s="41" t="n">
        <f aca="false">(B197+C197)/2</f>
        <v>0.1287841796875</v>
      </c>
      <c r="E197" s="15" t="n">
        <f aca="false">$C$2*(1+IF(E$3&lt;=$O$2,$D197,$D197-($D197-$I$184)*MIN(E$3-$O$2,$Q$2)/$Q$2))</f>
        <v>3758.85131835938</v>
      </c>
      <c r="F197" s="15" t="n">
        <f aca="false">E197*(1+IF(F$3&lt;=$O$2,$D197,$D197-($D197-$I$184)*MIN(F$3-$O$2,$Q$2)/$Q$2))</f>
        <v>4242.93190196157</v>
      </c>
      <c r="G197" s="15" t="n">
        <f aca="false">F197*(1+IF(G$3&lt;=$O$2,$D197,$D197-($D197-$I$184)*MIN(G$3-$O$2,$Q$2)/$Q$2))</f>
        <v>4789.35440642561</v>
      </c>
      <c r="H197" s="15" t="n">
        <f aca="false">G197*(1+IF(H$3&lt;=$O$2,$D197,$D197-($D197-$I$184)*MIN(H$3-$O$2,$Q$2)/$Q$2))</f>
        <v>5406.14748488985</v>
      </c>
      <c r="I197" s="15" t="n">
        <f aca="false">H197*(1+IF(I$3&lt;=$O$2,$D197,$D197-($D197-$I$184)*MIN(I$3-$O$2,$Q$2)/$Q$2))</f>
        <v>6102.37375400103</v>
      </c>
      <c r="J197" s="15" t="n">
        <f aca="false">I197*(1+IF(J$3&lt;=$O$2,$D197,$D197-($D197-$I$184)*MIN(J$3-$O$2,$Q$2)/$Q$2))</f>
        <v>6753.41980038511</v>
      </c>
      <c r="K197" s="15" t="n">
        <f aca="false">J197*(1+IF(K$3&lt;=$O$2,$D197,$D197-($D197-$I$184)*MIN(K$3-$O$2,$Q$2)/$Q$2))</f>
        <v>7324.69501077068</v>
      </c>
      <c r="L197" s="15" t="n">
        <f aca="false">K197*(1+IF(L$3&lt;=$O$2,$D197,$D197-($D197-$I$184)*MIN(L$3-$O$2,$Q$2)/$Q$2))</f>
        <v>7782.44209735823</v>
      </c>
      <c r="M197" s="15" t="n">
        <f aca="false">L197*(1+IF(M$3&lt;=$O$2,$D197,$D197-($D197-$I$184)*MIN(M$3-$O$2,$Q$2)/$Q$2))</f>
        <v>8096.82813395831</v>
      </c>
      <c r="N197" s="15" t="n">
        <f aca="false">M197*(1+IF(N$3&lt;=$O$2,$D197,$D197-($D197-$I$184)*MIN(N$3-$O$2,$Q$2)/$Q$2))</f>
        <v>8245.00008880974</v>
      </c>
      <c r="O197" s="15" t="n">
        <f aca="false">SUMPRODUCT(E197:N197,1/(1+$F$184)^$E$3:$N$3)*$E$2</f>
        <v>20353.0534201507</v>
      </c>
      <c r="P197" s="15" t="n">
        <f aca="false">N197*$E$2*(1+$I$184)/($F$184-$I$184)/(1+$F$184)^$N$3</f>
        <v>26570.4053599851</v>
      </c>
      <c r="Q197" s="15" t="n">
        <f aca="false">O197+P197</f>
        <v>46923.4587801358</v>
      </c>
      <c r="R197" s="15" t="n">
        <f aca="false">Q197-$G$2+$I$2</f>
        <v>40736.1587801357</v>
      </c>
      <c r="S197" s="42" t="n">
        <f aca="false">R197/$K$2</f>
        <v>560.332307842307</v>
      </c>
      <c r="T197" s="43" t="n">
        <f aca="false">S197-$M$2</f>
        <v>-0.465491332383067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0.1287841796875</v>
      </c>
      <c r="C198" s="25" t="n">
        <f aca="false">IF(T197&gt;0,D197,C197)</f>
        <v>0.129150390625</v>
      </c>
      <c r="D198" s="41" t="n">
        <f aca="false">(B198+C198)/2</f>
        <v>0.12896728515625</v>
      </c>
      <c r="E198" s="15" t="n">
        <f aca="false">$C$2*(1+IF(E$3&lt;=$O$2,$D198,$D198-($D198-$I$184)*MIN(E$3-$O$2,$Q$2)/$Q$2))</f>
        <v>3759.46105957031</v>
      </c>
      <c r="F198" s="15" t="n">
        <f aca="false">E198*(1+IF(F$3&lt;=$O$2,$D198,$D198-($D198-$I$184)*MIN(F$3-$O$2,$Q$2)/$Q$2))</f>
        <v>4244.30854607374</v>
      </c>
      <c r="G198" s="15" t="n">
        <f aca="false">F198*(1+IF(G$3&lt;=$O$2,$D198,$D198-($D198-$I$184)*MIN(G$3-$O$2,$Q$2)/$Q$2))</f>
        <v>4791.68549662633</v>
      </c>
      <c r="H198" s="15" t="n">
        <f aca="false">G198*(1+IF(H$3&lt;=$O$2,$D198,$D198-($D198-$I$184)*MIN(H$3-$O$2,$Q$2)/$Q$2))</f>
        <v>5409.65616644881</v>
      </c>
      <c r="I198" s="15" t="n">
        <f aca="false">H198*(1+IF(I$3&lt;=$O$2,$D198,$D198-($D198-$I$184)*MIN(I$3-$O$2,$Q$2)/$Q$2))</f>
        <v>6107.32483586448</v>
      </c>
      <c r="J198" s="15" t="n">
        <f aca="false">I198*(1+IF(J$3&lt;=$O$2,$D198,$D198-($D198-$I$184)*MIN(J$3-$O$2,$Q$2)/$Q$2))</f>
        <v>6759.79372768277</v>
      </c>
      <c r="K198" s="15" t="n">
        <f aca="false">J198*(1+IF(K$3&lt;=$O$2,$D198,$D198-($D198-$I$184)*MIN(K$3-$O$2,$Q$2)/$Q$2))</f>
        <v>7332.3507649347</v>
      </c>
      <c r="L198" s="15" t="n">
        <f aca="false">K198*(1+IF(L$3&lt;=$O$2,$D198,$D198-($D198-$I$184)*MIN(L$3-$O$2,$Q$2)/$Q$2))</f>
        <v>7791.11332512048</v>
      </c>
      <c r="M198" s="15" t="n">
        <f aca="false">L198*(1+IF(M$3&lt;=$O$2,$D198,$D198-($D198-$I$184)*MIN(M$3-$O$2,$Q$2)/$Q$2))</f>
        <v>8106.13497097734</v>
      </c>
      <c r="N198" s="15" t="n">
        <f aca="false">M198*(1+IF(N$3&lt;=$O$2,$D198,$D198-($D198-$I$184)*MIN(N$3-$O$2,$Q$2)/$Q$2))</f>
        <v>8254.47724094622</v>
      </c>
      <c r="O198" s="15" t="n">
        <f aca="false">SUMPRODUCT(E198:N198,1/(1+$F$184)^$E$3:$N$3)*$E$2</f>
        <v>20369.178369553</v>
      </c>
      <c r="P198" s="15" t="n">
        <f aca="false">N198*$E$2*(1+$I$184)/($F$184-$I$184)/(1+$F$184)^$N$3</f>
        <v>26600.946508707</v>
      </c>
      <c r="Q198" s="15" t="n">
        <f aca="false">O198+P198</f>
        <v>46970.12487826</v>
      </c>
      <c r="R198" s="15" t="n">
        <f aca="false">Q198-$G$2+$I$2</f>
        <v>40782.82487826</v>
      </c>
      <c r="S198" s="42" t="n">
        <f aca="false">R198/$K$2</f>
        <v>560.974207403851</v>
      </c>
      <c r="T198" s="43" t="n">
        <f aca="false">S198-$M$2</f>
        <v>0.176408229160415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0.1287841796875</v>
      </c>
      <c r="C199" s="25" t="n">
        <f aca="false">IF(T198&gt;0,D198,C198)</f>
        <v>0.12896728515625</v>
      </c>
      <c r="D199" s="41" t="n">
        <f aca="false">(B199+C199)/2</f>
        <v>0.128875732421875</v>
      </c>
      <c r="E199" s="15" t="n">
        <f aca="false">$C$2*(1+IF(E$3&lt;=$O$2,$D199,$D199-($D199-$I$184)*MIN(E$3-$O$2,$Q$2)/$Q$2))</f>
        <v>3759.15618896484</v>
      </c>
      <c r="F199" s="15" t="n">
        <f aca="false">E199*(1+IF(F$3&lt;=$O$2,$D199,$D199-($D199-$I$184)*MIN(F$3-$O$2,$Q$2)/$Q$2))</f>
        <v>4243.62019610591</v>
      </c>
      <c r="G199" s="15" t="n">
        <f aca="false">F199*(1+IF(G$3&lt;=$O$2,$D199,$D199-($D199-$I$184)*MIN(G$3-$O$2,$Q$2)/$Q$2))</f>
        <v>4790.51985699932</v>
      </c>
      <c r="H199" s="15" t="n">
        <f aca="false">G199*(1+IF(H$3&lt;=$O$2,$D199,$D199-($D199-$I$184)*MIN(H$3-$O$2,$Q$2)/$Q$2))</f>
        <v>5407.90161225165</v>
      </c>
      <c r="I199" s="15" t="n">
        <f aca="false">H199*(1+IF(I$3&lt;=$O$2,$D199,$D199-($D199-$I$184)*MIN(I$3-$O$2,$Q$2)/$Q$2))</f>
        <v>6104.84889339602</v>
      </c>
      <c r="J199" s="15" t="n">
        <f aca="false">I199*(1+IF(J$3&lt;=$O$2,$D199,$D199-($D199-$I$184)*MIN(J$3-$O$2,$Q$2)/$Q$2))</f>
        <v>6756.60613831487</v>
      </c>
      <c r="K199" s="15" t="n">
        <f aca="false">J199*(1+IF(K$3&lt;=$O$2,$D199,$D199-($D199-$I$184)*MIN(K$3-$O$2,$Q$2)/$Q$2))</f>
        <v>7328.52203410422</v>
      </c>
      <c r="L199" s="15" t="n">
        <f aca="false">K199*(1+IF(L$3&lt;=$O$2,$D199,$D199-($D199-$I$184)*MIN(L$3-$O$2,$Q$2)/$Q$2))</f>
        <v>7786.77666392469</v>
      </c>
      <c r="M199" s="15" t="n">
        <f aca="false">L199*(1+IF(M$3&lt;=$O$2,$D199,$D199-($D199-$I$184)*MIN(M$3-$O$2,$Q$2)/$Q$2))</f>
        <v>8101.48038343832</v>
      </c>
      <c r="N199" s="15" t="n">
        <f aca="false">M199*(1+IF(N$3&lt;=$O$2,$D199,$D199-($D199-$I$184)*MIN(N$3-$O$2,$Q$2)/$Q$2))</f>
        <v>8249.73747445524</v>
      </c>
      <c r="O199" s="15" t="n">
        <f aca="false">SUMPRODUCT(E199:N199,1/(1+$F$184)^$E$3:$N$3)*$E$2</f>
        <v>20361.1143202932</v>
      </c>
      <c r="P199" s="15" t="n">
        <f aca="false">N199*$E$2*(1+$I$184)/($F$184-$I$184)/(1+$F$184)^$N$3</f>
        <v>26585.6720980799</v>
      </c>
      <c r="Q199" s="15" t="n">
        <f aca="false">O199+P199</f>
        <v>46946.7864183731</v>
      </c>
      <c r="R199" s="15" t="n">
        <f aca="false">Q199-$G$2+$I$2</f>
        <v>40759.4864183731</v>
      </c>
      <c r="S199" s="42" t="n">
        <f aca="false">R199/$K$2</f>
        <v>560.653183196329</v>
      </c>
      <c r="T199" s="43" t="n">
        <f aca="false">S199-$M$2</f>
        <v>-0.144615978361799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0.128875732421875</v>
      </c>
      <c r="C200" s="25" t="n">
        <f aca="false">IF(T199&gt;0,D199,C199)</f>
        <v>0.12896728515625</v>
      </c>
      <c r="D200" s="41" t="n">
        <f aca="false">(B200+C200)/2</f>
        <v>0.128921508789063</v>
      </c>
      <c r="E200" s="15" t="n">
        <f aca="false">$C$2*(1+IF(E$3&lt;=$O$2,$D200,$D200-($D200-$I$184)*MIN(E$3-$O$2,$Q$2)/$Q$2))</f>
        <v>3759.30862426758</v>
      </c>
      <c r="F200" s="15" t="n">
        <f aca="false">E200*(1+IF(F$3&lt;=$O$2,$D200,$D200-($D200-$I$184)*MIN(F$3-$O$2,$Q$2)/$Q$2))</f>
        <v>4243.96436411189</v>
      </c>
      <c r="G200" s="15" t="n">
        <f aca="false">F200*(1+IF(G$3&lt;=$O$2,$D200,$D200-($D200-$I$184)*MIN(G$3-$O$2,$Q$2)/$Q$2))</f>
        <v>4791.10265318021</v>
      </c>
      <c r="H200" s="15" t="n">
        <f aca="false">G200*(1+IF(H$3&lt;=$O$2,$D200,$D200-($D200-$I$184)*MIN(H$3-$O$2,$Q$2)/$Q$2))</f>
        <v>5408.77883599148</v>
      </c>
      <c r="I200" s="15" t="n">
        <f aca="false">H200*(1+IF(I$3&lt;=$O$2,$D200,$D200-($D200-$I$184)*MIN(I$3-$O$2,$Q$2)/$Q$2))</f>
        <v>6106.08676423385</v>
      </c>
      <c r="J200" s="15" t="n">
        <f aca="false">I200*(1+IF(J$3&lt;=$O$2,$D200,$D200-($D200-$I$184)*MIN(J$3-$O$2,$Q$2)/$Q$2))</f>
        <v>6758.19977654451</v>
      </c>
      <c r="K200" s="15" t="n">
        <f aca="false">J200*(1+IF(K$3&lt;=$O$2,$D200,$D200-($D200-$I$184)*MIN(K$3-$O$2,$Q$2)/$Q$2))</f>
        <v>7330.43618604283</v>
      </c>
      <c r="L200" s="15" t="n">
        <f aca="false">K200*(1+IF(L$3&lt;=$O$2,$D200,$D200-($D200-$I$184)*MIN(L$3-$O$2,$Q$2)/$Q$2))</f>
        <v>7788.94473264021</v>
      </c>
      <c r="M200" s="15" t="n">
        <f aca="false">L200*(1+IF(M$3&lt;=$O$2,$D200,$D200-($D200-$I$184)*MIN(M$3-$O$2,$Q$2)/$Q$2))</f>
        <v>8103.80738488739</v>
      </c>
      <c r="N200" s="15" t="n">
        <f aca="false">M200*(1+IF(N$3&lt;=$O$2,$D200,$D200-($D200-$I$184)*MIN(N$3-$O$2,$Q$2)/$Q$2))</f>
        <v>8252.10706003083</v>
      </c>
      <c r="O200" s="15" t="n">
        <f aca="false">SUMPRODUCT(E200:N200,1/(1+$F$184)^$E$3:$N$3)*$E$2</f>
        <v>20365.1459512126</v>
      </c>
      <c r="P200" s="15" t="n">
        <f aca="false">N200*$E$2*(1+$I$184)/($F$184-$I$184)/(1+$F$184)^$N$3</f>
        <v>26593.3083441199</v>
      </c>
      <c r="Q200" s="15" t="n">
        <f aca="false">O200+P200</f>
        <v>46958.4542953326</v>
      </c>
      <c r="R200" s="15" t="n">
        <f aca="false">Q200-$G$2+$I$2</f>
        <v>40771.1542953326</v>
      </c>
      <c r="S200" s="42" t="n">
        <f aca="false">R200/$K$2</f>
        <v>560.813676689582</v>
      </c>
      <c r="T200" s="43" t="n">
        <f aca="false">S200-$M$2</f>
        <v>0.0158775148911445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0.128875732421875</v>
      </c>
      <c r="C201" s="25" t="n">
        <f aca="false">IF(T200&gt;0,D200,C200)</f>
        <v>0.128921508789063</v>
      </c>
      <c r="D201" s="41" t="n">
        <f aca="false">(B201+C201)/2</f>
        <v>0.128898620605469</v>
      </c>
      <c r="E201" s="15" t="n">
        <f aca="false">$C$2*(1+IF(E$3&lt;=$O$2,$D201,$D201-($D201-$I$184)*MIN(E$3-$O$2,$Q$2)/$Q$2))</f>
        <v>3759.23240661621</v>
      </c>
      <c r="F201" s="15" t="n">
        <f aca="false">E201*(1+IF(F$3&lt;=$O$2,$D201,$D201-($D201-$I$184)*MIN(F$3-$O$2,$Q$2)/$Q$2))</f>
        <v>4243.79227836442</v>
      </c>
      <c r="G201" s="15" t="n">
        <f aca="false">F201*(1+IF(G$3&lt;=$O$2,$D201,$D201-($D201-$I$184)*MIN(G$3-$O$2,$Q$2)/$Q$2))</f>
        <v>4790.81124918173</v>
      </c>
      <c r="H201" s="15" t="n">
        <f aca="false">G201*(1+IF(H$3&lt;=$O$2,$D201,$D201-($D201-$I$184)*MIN(H$3-$O$2,$Q$2)/$Q$2))</f>
        <v>5408.34021078242</v>
      </c>
      <c r="I201" s="15" t="n">
        <f aca="false">H201*(1+IF(I$3&lt;=$O$2,$D201,$D201-($D201-$I$184)*MIN(I$3-$O$2,$Q$2)/$Q$2))</f>
        <v>6105.46780371736</v>
      </c>
      <c r="J201" s="15" t="n">
        <f aca="false">I201*(1+IF(J$3&lt;=$O$2,$D201,$D201-($D201-$I$184)*MIN(J$3-$O$2,$Q$2)/$Q$2))</f>
        <v>6757.40291831918</v>
      </c>
      <c r="K201" s="15" t="n">
        <f aca="false">J201*(1+IF(K$3&lt;=$O$2,$D201,$D201-($D201-$I$184)*MIN(K$3-$O$2,$Q$2)/$Q$2))</f>
        <v>7329.47905670931</v>
      </c>
      <c r="L201" s="15" t="n">
        <f aca="false">K201*(1+IF(L$3&lt;=$O$2,$D201,$D201-($D201-$I$184)*MIN(L$3-$O$2,$Q$2)/$Q$2))</f>
        <v>7787.86063281858</v>
      </c>
      <c r="M201" s="15" t="n">
        <f aca="false">L201*(1+IF(M$3&lt;=$O$2,$D201,$D201-($D201-$I$184)*MIN(M$3-$O$2,$Q$2)/$Q$2))</f>
        <v>8102.64381109063</v>
      </c>
      <c r="N201" s="15" t="n">
        <f aca="false">M201*(1+IF(N$3&lt;=$O$2,$D201,$D201-($D201-$I$184)*MIN(N$3-$O$2,$Q$2)/$Q$2))</f>
        <v>8250.92219283359</v>
      </c>
      <c r="O201" s="15" t="n">
        <f aca="false">SUMPRODUCT(E201:N201,1/(1+$F$184)^$E$3:$N$3)*$E$2</f>
        <v>20363.1300373342</v>
      </c>
      <c r="P201" s="15" t="n">
        <f aca="false">N201*$E$2*(1+$I$184)/($F$184-$I$184)/(1+$F$184)^$N$3</f>
        <v>26589.4899813074</v>
      </c>
      <c r="Q201" s="15" t="n">
        <f aca="false">O201+P201</f>
        <v>46952.6200186416</v>
      </c>
      <c r="R201" s="15" t="n">
        <f aca="false">Q201-$G$2+$I$2</f>
        <v>40765.3200186416</v>
      </c>
      <c r="S201" s="42" t="n">
        <f aca="false">R201/$K$2</f>
        <v>560.733425290806</v>
      </c>
      <c r="T201" s="43" t="n">
        <f aca="false">S201-$M$2</f>
        <v>-0.0643738838847412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0.128898620605469</v>
      </c>
      <c r="C202" s="25" t="n">
        <f aca="false">IF(T201&gt;0,D201,C201)</f>
        <v>0.128921508789063</v>
      </c>
      <c r="D202" s="41" t="n">
        <f aca="false">(B202+C202)/2</f>
        <v>0.128910064697266</v>
      </c>
      <c r="E202" s="15" t="n">
        <f aca="false">$C$2*(1+IF(E$3&lt;=$O$2,$D202,$D202-($D202-$I$184)*MIN(E$3-$O$2,$Q$2)/$Q$2))</f>
        <v>3759.27051544189</v>
      </c>
      <c r="F202" s="15" t="n">
        <f aca="false">E202*(1+IF(F$3&lt;=$O$2,$D202,$D202-($D202-$I$184)*MIN(F$3-$O$2,$Q$2)/$Q$2))</f>
        <v>4243.87832080203</v>
      </c>
      <c r="G202" s="15" t="n">
        <f aca="false">F202*(1+IF(G$3&lt;=$O$2,$D202,$D202-($D202-$I$184)*MIN(G$3-$O$2,$Q$2)/$Q$2))</f>
        <v>4790.95694970395</v>
      </c>
      <c r="H202" s="15" t="n">
        <f aca="false">G202*(1+IF(H$3&lt;=$O$2,$D202,$D202-($D202-$I$184)*MIN(H$3-$O$2,$Q$2)/$Q$2))</f>
        <v>5408.5595200521</v>
      </c>
      <c r="I202" s="15" t="n">
        <f aca="false">H202*(1+IF(I$3&lt;=$O$2,$D202,$D202-($D202-$I$184)*MIN(I$3-$O$2,$Q$2)/$Q$2))</f>
        <v>6105.77727770102</v>
      </c>
      <c r="J202" s="15" t="n">
        <f aca="false">I202*(1+IF(J$3&lt;=$O$2,$D202,$D202-($D202-$I$184)*MIN(J$3-$O$2,$Q$2)/$Q$2))</f>
        <v>6757.80133765384</v>
      </c>
      <c r="K202" s="15" t="n">
        <f aca="false">J202*(1+IF(K$3&lt;=$O$2,$D202,$D202-($D202-$I$184)*MIN(K$3-$O$2,$Q$2)/$Q$2))</f>
        <v>7329.9576080344</v>
      </c>
      <c r="L202" s="15" t="n">
        <f aca="false">K202*(1+IF(L$3&lt;=$O$2,$D202,$D202-($D202-$I$184)*MIN(L$3-$O$2,$Q$2)/$Q$2))</f>
        <v>7788.40266636259</v>
      </c>
      <c r="M202" s="15" t="n">
        <f aca="false">L202*(1+IF(M$3&lt;=$O$2,$D202,$D202-($D202-$I$184)*MIN(M$3-$O$2,$Q$2)/$Q$2))</f>
        <v>8103.22557971997</v>
      </c>
      <c r="N202" s="15" t="n">
        <f aca="false">M202*(1+IF(N$3&lt;=$O$2,$D202,$D202-($D202-$I$184)*MIN(N$3-$O$2,$Q$2)/$Q$2))</f>
        <v>8251.51460782884</v>
      </c>
      <c r="O202" s="15" t="n">
        <f aca="false">SUMPRODUCT(E202:N202,1/(1+$F$184)^$E$3:$N$3)*$E$2</f>
        <v>20364.1379696676</v>
      </c>
      <c r="P202" s="15" t="n">
        <f aca="false">N202*$E$2*(1+$I$184)/($F$184-$I$184)/(1+$F$184)^$N$3</f>
        <v>26591.3991027623</v>
      </c>
      <c r="Q202" s="15" t="n">
        <f aca="false">O202+P202</f>
        <v>46955.5370724299</v>
      </c>
      <c r="R202" s="15" t="n">
        <f aca="false">Q202-$G$2+$I$2</f>
        <v>40768.2370724299</v>
      </c>
      <c r="S202" s="42" t="n">
        <f aca="false">R202/$K$2</f>
        <v>560.773549827097</v>
      </c>
      <c r="T202" s="43" t="n">
        <f aca="false">S202-$M$2</f>
        <v>-0.024249347593809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0.128910064697266</v>
      </c>
      <c r="C203" s="25" t="n">
        <f aca="false">IF(T202&gt;0,D202,C202)</f>
        <v>0.128921508789063</v>
      </c>
      <c r="D203" s="41" t="n">
        <f aca="false">(B203+C203)/2</f>
        <v>0.128915786743164</v>
      </c>
      <c r="E203" s="15" t="n">
        <f aca="false">$C$2*(1+IF(E$3&lt;=$O$2,$D203,$D203-($D203-$I$184)*MIN(E$3-$O$2,$Q$2)/$Q$2))</f>
        <v>3759.28956985474</v>
      </c>
      <c r="F203" s="15" t="n">
        <f aca="false">E203*(1+IF(F$3&lt;=$O$2,$D203,$D203-($D203-$I$184)*MIN(F$3-$O$2,$Q$2)/$Q$2))</f>
        <v>4243.92134234793</v>
      </c>
      <c r="G203" s="15" t="n">
        <f aca="false">F203*(1+IF(G$3&lt;=$O$2,$D203,$D203-($D203-$I$184)*MIN(G$3-$O$2,$Q$2)/$Q$2))</f>
        <v>4791.02980107282</v>
      </c>
      <c r="H203" s="15" t="n">
        <f aca="false">G203*(1+IF(H$3&lt;=$O$2,$D203,$D203-($D203-$I$184)*MIN(H$3-$O$2,$Q$2)/$Q$2))</f>
        <v>5408.66917718807</v>
      </c>
      <c r="I203" s="15" t="n">
        <f aca="false">H203*(1+IF(I$3&lt;=$O$2,$D203,$D203-($D203-$I$184)*MIN(I$3-$O$2,$Q$2)/$Q$2))</f>
        <v>6105.93201939877</v>
      </c>
      <c r="J203" s="15" t="n">
        <f aca="false">I203*(1+IF(J$3&lt;=$O$2,$D203,$D203-($D203-$I$184)*MIN(J$3-$O$2,$Q$2)/$Q$2))</f>
        <v>6758.00055465462</v>
      </c>
      <c r="K203" s="15" t="n">
        <f aca="false">J203*(1+IF(K$3&lt;=$O$2,$D203,$D203-($D203-$I$184)*MIN(K$3-$O$2,$Q$2)/$Q$2))</f>
        <v>7330.19689370312</v>
      </c>
      <c r="L203" s="15" t="n">
        <f aca="false">K203*(1+IF(L$3&lt;=$O$2,$D203,$D203-($D203-$I$184)*MIN(L$3-$O$2,$Q$2)/$Q$2))</f>
        <v>7788.67369540959</v>
      </c>
      <c r="M203" s="15" t="n">
        <f aca="false">L203*(1+IF(M$3&lt;=$O$2,$D203,$D203-($D203-$I$184)*MIN(M$3-$O$2,$Q$2)/$Q$2))</f>
        <v>8103.51647773629</v>
      </c>
      <c r="N203" s="15" t="n">
        <f aca="false">M203*(1+IF(N$3&lt;=$O$2,$D203,$D203-($D203-$I$184)*MIN(N$3-$O$2,$Q$2)/$Q$2))</f>
        <v>8251.81082927887</v>
      </c>
      <c r="O203" s="15" t="n">
        <f aca="false">SUMPRODUCT(E203:N203,1/(1+$F$184)^$E$3:$N$3)*$E$2</f>
        <v>20364.6419542885</v>
      </c>
      <c r="P203" s="15" t="n">
        <f aca="false">N203*$E$2*(1+$I$184)/($F$184-$I$184)/(1+$F$184)^$N$3</f>
        <v>26592.3537084529</v>
      </c>
      <c r="Q203" s="15" t="n">
        <f aca="false">O203+P203</f>
        <v>46956.9956627414</v>
      </c>
      <c r="R203" s="15" t="n">
        <f aca="false">Q203-$G$2+$I$2</f>
        <v>40769.6956627414</v>
      </c>
      <c r="S203" s="42" t="n">
        <f aca="false">R203/$K$2</f>
        <v>560.793612967557</v>
      </c>
      <c r="T203" s="43" t="n">
        <f aca="false">S203-$M$2</f>
        <v>-0.00418620713310247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0.128915786743164</v>
      </c>
      <c r="C204" s="25" t="n">
        <f aca="false">IF(T203&gt;0,D203,C203)</f>
        <v>0.128921508789063</v>
      </c>
      <c r="D204" s="41" t="n">
        <f aca="false">(B204+C204)/2</f>
        <v>0.128918647766113</v>
      </c>
      <c r="E204" s="15" t="n">
        <f aca="false">$C$2*(1+IF(E$3&lt;=$O$2,$D204,$D204-($D204-$I$184)*MIN(E$3-$O$2,$Q$2)/$Q$2))</f>
        <v>3759.29909706116</v>
      </c>
      <c r="F204" s="15" t="n">
        <f aca="false">E204*(1+IF(F$3&lt;=$O$2,$D204,$D204-($D204-$I$184)*MIN(F$3-$O$2,$Q$2)/$Q$2))</f>
        <v>4243.94285320265</v>
      </c>
      <c r="G204" s="15" t="n">
        <f aca="false">F204*(1+IF(G$3&lt;=$O$2,$D204,$D204-($D204-$I$184)*MIN(G$3-$O$2,$Q$2)/$Q$2))</f>
        <v>4791.0662270342</v>
      </c>
      <c r="H204" s="15" t="n">
        <f aca="false">G204*(1+IF(H$3&lt;=$O$2,$D204,$D204-($D204-$I$184)*MIN(H$3-$O$2,$Q$2)/$Q$2))</f>
        <v>5408.72400638134</v>
      </c>
      <c r="I204" s="15" t="n">
        <f aca="false">H204*(1+IF(I$3&lt;=$O$2,$D204,$D204-($D204-$I$184)*MIN(I$3-$O$2,$Q$2)/$Q$2))</f>
        <v>6106.00939142414</v>
      </c>
      <c r="J204" s="15" t="n">
        <f aca="false">I204*(1+IF(J$3&lt;=$O$2,$D204,$D204-($D204-$I$184)*MIN(J$3-$O$2,$Q$2)/$Q$2))</f>
        <v>6758.10016498842</v>
      </c>
      <c r="K204" s="15" t="n">
        <f aca="false">J204*(1+IF(K$3&lt;=$O$2,$D204,$D204-($D204-$I$184)*MIN(K$3-$O$2,$Q$2)/$Q$2))</f>
        <v>7330.31653903909</v>
      </c>
      <c r="L204" s="15" t="n">
        <f aca="false">K204*(1+IF(L$3&lt;=$O$2,$D204,$D204-($D204-$I$184)*MIN(L$3-$O$2,$Q$2)/$Q$2))</f>
        <v>7788.80921300194</v>
      </c>
      <c r="M204" s="15" t="n">
        <f aca="false">L204*(1+IF(M$3&lt;=$O$2,$D204,$D204-($D204-$I$184)*MIN(M$3-$O$2,$Q$2)/$Q$2))</f>
        <v>8103.66193016998</v>
      </c>
      <c r="N204" s="15" t="n">
        <f aca="false">M204*(1+IF(N$3&lt;=$O$2,$D204,$D204-($D204-$I$184)*MIN(N$3-$O$2,$Q$2)/$Q$2))</f>
        <v>8251.95894349209</v>
      </c>
      <c r="O204" s="15" t="n">
        <f aca="false">SUMPRODUCT(E204:N204,1/(1+$F$184)^$E$3:$N$3)*$E$2</f>
        <v>20364.8939512127</v>
      </c>
      <c r="P204" s="15" t="n">
        <f aca="false">N204*$E$2*(1+$I$184)/($F$184-$I$184)/(1+$F$184)^$N$3</f>
        <v>26592.8310225393</v>
      </c>
      <c r="Q204" s="15" t="n">
        <f aca="false">O204+P204</f>
        <v>46957.724973752</v>
      </c>
      <c r="R204" s="15" t="n">
        <f aca="false">Q204-$G$2+$I$2</f>
        <v>40770.424973752</v>
      </c>
      <c r="S204" s="42" t="n">
        <f aca="false">R204/$K$2</f>
        <v>560.803644755873</v>
      </c>
      <c r="T204" s="43" t="n">
        <f aca="false">S204-$M$2</f>
        <v>0.00584558118259793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0.128915786743164</v>
      </c>
      <c r="C205" s="25" t="n">
        <f aca="false">IF(T204&gt;0,D204,C204)</f>
        <v>0.128918647766113</v>
      </c>
      <c r="D205" s="41" t="n">
        <f aca="false">(B205+C205)/2</f>
        <v>0.128917217254639</v>
      </c>
      <c r="E205" s="15" t="n">
        <f aca="false">$C$2*(1+IF(E$3&lt;=$O$2,$D205,$D205-($D205-$I$184)*MIN(E$3-$O$2,$Q$2)/$Q$2))</f>
        <v>3759.29433345795</v>
      </c>
      <c r="F205" s="15" t="n">
        <f aca="false">E205*(1+IF(F$3&lt;=$O$2,$D205,$D205-($D205-$I$184)*MIN(F$3-$O$2,$Q$2)/$Q$2))</f>
        <v>4243.93209776848</v>
      </c>
      <c r="G205" s="15" t="n">
        <f aca="false">F205*(1+IF(G$3&lt;=$O$2,$D205,$D205-($D205-$I$184)*MIN(G$3-$O$2,$Q$2)/$Q$2))</f>
        <v>4791.04801403043</v>
      </c>
      <c r="H205" s="15" t="n">
        <f aca="false">G205*(1+IF(H$3&lt;=$O$2,$D205,$D205-($D205-$I$184)*MIN(H$3-$O$2,$Q$2)/$Q$2))</f>
        <v>5408.6965917326</v>
      </c>
      <c r="I205" s="15" t="n">
        <f aca="false">H205*(1+IF(I$3&lt;=$O$2,$D205,$D205-($D205-$I$184)*MIN(I$3-$O$2,$Q$2)/$Q$2))</f>
        <v>6105.97070531341</v>
      </c>
      <c r="J205" s="15" t="n">
        <f aca="false">I205*(1+IF(J$3&lt;=$O$2,$D205,$D205-($D205-$I$184)*MIN(J$3-$O$2,$Q$2)/$Q$2))</f>
        <v>6758.05035966874</v>
      </c>
      <c r="K205" s="15" t="n">
        <f aca="false">J205*(1+IF(K$3&lt;=$O$2,$D205,$D205-($D205-$I$184)*MIN(K$3-$O$2,$Q$2)/$Q$2))</f>
        <v>7330.25671616263</v>
      </c>
      <c r="L205" s="15" t="n">
        <f aca="false">K205*(1+IF(L$3&lt;=$O$2,$D205,$D205-($D205-$I$184)*MIN(L$3-$O$2,$Q$2)/$Q$2))</f>
        <v>7788.74145395003</v>
      </c>
      <c r="M205" s="15" t="n">
        <f aca="false">L205*(1+IF(M$3&lt;=$O$2,$D205,$D205-($D205-$I$184)*MIN(M$3-$O$2,$Q$2)/$Q$2))</f>
        <v>8103.58920366767</v>
      </c>
      <c r="N205" s="15" t="n">
        <f aca="false">M205*(1+IF(N$3&lt;=$O$2,$D205,$D205-($D205-$I$184)*MIN(N$3-$O$2,$Q$2)/$Q$2))</f>
        <v>8251.88488609479</v>
      </c>
      <c r="O205" s="15" t="n">
        <f aca="false">SUMPRODUCT(E205:N205,1/(1+$F$184)^$E$3:$N$3)*$E$2</f>
        <v>20364.7679523661</v>
      </c>
      <c r="P205" s="15" t="n">
        <f aca="false">N205*$E$2*(1+$I$184)/($F$184-$I$184)/(1+$F$184)^$N$3</f>
        <v>26592.5923645593</v>
      </c>
      <c r="Q205" s="15" t="n">
        <f aca="false">O205+P205</f>
        <v>46957.3603169254</v>
      </c>
      <c r="R205" s="15" t="n">
        <f aca="false">Q205-$G$2+$I$2</f>
        <v>40770.0603169254</v>
      </c>
      <c r="S205" s="42" t="n">
        <f aca="false">R205/$K$2</f>
        <v>560.798628843541</v>
      </c>
      <c r="T205" s="43" t="n">
        <f aca="false">S205-$M$2</f>
        <v>0.000829668850656162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0.128915786743164</v>
      </c>
      <c r="C206" s="25" t="n">
        <f aca="false">IF(T205&gt;0,D205,C205)</f>
        <v>0.128917217254639</v>
      </c>
      <c r="D206" s="41" t="n">
        <f aca="false">(B206+C206)/2</f>
        <v>0.128916501998901</v>
      </c>
      <c r="E206" s="15" t="n">
        <f aca="false">$C$2*(1+IF(E$3&lt;=$O$2,$D206,$D206-($D206-$I$184)*MIN(E$3-$O$2,$Q$2)/$Q$2))</f>
        <v>3759.29195165634</v>
      </c>
      <c r="F206" s="15" t="n">
        <f aca="false">E206*(1+IF(F$3&lt;=$O$2,$D206,$D206-($D206-$I$184)*MIN(F$3-$O$2,$Q$2)/$Q$2))</f>
        <v>4243.9267200565</v>
      </c>
      <c r="G206" s="15" t="n">
        <f aca="false">F206*(1+IF(G$3&lt;=$O$2,$D206,$D206-($D206-$I$184)*MIN(G$3-$O$2,$Q$2)/$Q$2))</f>
        <v>4791.03890754585</v>
      </c>
      <c r="H206" s="15" t="n">
        <f aca="false">G206*(1+IF(H$3&lt;=$O$2,$D206,$D206-($D206-$I$184)*MIN(H$3-$O$2,$Q$2)/$Q$2))</f>
        <v>5408.6828844473</v>
      </c>
      <c r="I206" s="15" t="n">
        <f aca="false">H206*(1+IF(I$3&lt;=$O$2,$D206,$D206-($D206-$I$184)*MIN(I$3-$O$2,$Q$2)/$Q$2))</f>
        <v>6105.95136233158</v>
      </c>
      <c r="J206" s="15" t="n">
        <f aca="false">I206*(1+IF(J$3&lt;=$O$2,$D206,$D206-($D206-$I$184)*MIN(J$3-$O$2,$Q$2)/$Q$2))</f>
        <v>6758.02545712348</v>
      </c>
      <c r="K206" s="15" t="n">
        <f aca="false">J206*(1+IF(K$3&lt;=$O$2,$D206,$D206-($D206-$I$184)*MIN(K$3-$O$2,$Q$2)/$Q$2))</f>
        <v>7330.22680488076</v>
      </c>
      <c r="L206" s="15" t="n">
        <f aca="false">K206*(1+IF(L$3&lt;=$O$2,$D206,$D206-($D206-$I$184)*MIN(L$3-$O$2,$Q$2)/$Q$2))</f>
        <v>7788.70757461587</v>
      </c>
      <c r="M206" s="15" t="n">
        <f aca="false">L206*(1+IF(M$3&lt;=$O$2,$D206,$D206-($D206-$I$184)*MIN(M$3-$O$2,$Q$2)/$Q$2))</f>
        <v>8103.55284063061</v>
      </c>
      <c r="N206" s="15" t="n">
        <f aca="false">M206*(1+IF(N$3&lt;=$O$2,$D206,$D206-($D206-$I$184)*MIN(N$3-$O$2,$Q$2)/$Q$2))</f>
        <v>8251.84785761415</v>
      </c>
      <c r="O206" s="15" t="n">
        <f aca="false">SUMPRODUCT(E206:N206,1/(1+$F$184)^$E$3:$N$3)*$E$2</f>
        <v>20364.7049532312</v>
      </c>
      <c r="P206" s="15" t="n">
        <f aca="false">N206*$E$2*(1+$I$184)/($F$184-$I$184)/(1+$F$184)^$N$3</f>
        <v>26592.4730362719</v>
      </c>
      <c r="Q206" s="15" t="n">
        <f aca="false">O206+P206</f>
        <v>46957.1779895031</v>
      </c>
      <c r="R206" s="15" t="n">
        <f aca="false">Q206-$G$2+$I$2</f>
        <v>40769.8779895031</v>
      </c>
      <c r="S206" s="42" t="n">
        <f aca="false">R206/$K$2</f>
        <v>560.796120901006</v>
      </c>
      <c r="T206" s="43" t="n">
        <f aca="false">S206-$M$2</f>
        <v>-0.00167827368477447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0.128916501998901</v>
      </c>
      <c r="C207" s="25" t="n">
        <f aca="false">IF(T206&gt;0,D206,C206)</f>
        <v>0.128917217254639</v>
      </c>
      <c r="D207" s="41" t="n">
        <f aca="false">(B207+C207)/2</f>
        <v>0.12891685962677</v>
      </c>
      <c r="E207" s="15" t="n">
        <f aca="false">$C$2*(1+IF(E$3&lt;=$O$2,$D207,$D207-($D207-$I$184)*MIN(E$3-$O$2,$Q$2)/$Q$2))</f>
        <v>3759.29314255714</v>
      </c>
      <c r="F207" s="15" t="n">
        <f aca="false">E207*(1+IF(F$3&lt;=$O$2,$D207,$D207-($D207-$I$184)*MIN(F$3-$O$2,$Q$2)/$Q$2))</f>
        <v>4243.92940891206</v>
      </c>
      <c r="G207" s="15" t="n">
        <f aca="false">F207*(1+IF(G$3&lt;=$O$2,$D207,$D207-($D207-$I$184)*MIN(G$3-$O$2,$Q$2)/$Q$2))</f>
        <v>4791.0434607867</v>
      </c>
      <c r="H207" s="15" t="n">
        <f aca="false">G207*(1+IF(H$3&lt;=$O$2,$D207,$D207-($D207-$I$184)*MIN(H$3-$O$2,$Q$2)/$Q$2))</f>
        <v>5408.6897380867</v>
      </c>
      <c r="I207" s="15" t="n">
        <f aca="false">H207*(1+IF(I$3&lt;=$O$2,$D207,$D207-($D207-$I$184)*MIN(I$3-$O$2,$Q$2)/$Q$2))</f>
        <v>6105.96103381637</v>
      </c>
      <c r="J207" s="15" t="n">
        <f aca="false">I207*(1+IF(J$3&lt;=$O$2,$D207,$D207-($D207-$I$184)*MIN(J$3-$O$2,$Q$2)/$Q$2))</f>
        <v>6758.03790838656</v>
      </c>
      <c r="K207" s="15" t="n">
        <f aca="false">J207*(1+IF(K$3&lt;=$O$2,$D207,$D207-($D207-$I$184)*MIN(K$3-$O$2,$Q$2)/$Q$2))</f>
        <v>7330.24176050867</v>
      </c>
      <c r="L207" s="15" t="n">
        <f aca="false">K207*(1+IF(L$3&lt;=$O$2,$D207,$D207-($D207-$I$184)*MIN(L$3-$O$2,$Q$2)/$Q$2))</f>
        <v>7788.72451426697</v>
      </c>
      <c r="M207" s="15" t="n">
        <f aca="false">L207*(1+IF(M$3&lt;=$O$2,$D207,$D207-($D207-$I$184)*MIN(M$3-$O$2,$Q$2)/$Q$2))</f>
        <v>8103.5710221313</v>
      </c>
      <c r="N207" s="15" t="n">
        <f aca="false">M207*(1+IF(N$3&lt;=$O$2,$D207,$D207-($D207-$I$184)*MIN(N$3-$O$2,$Q$2)/$Q$2))</f>
        <v>8251.86637183631</v>
      </c>
      <c r="O207" s="15" t="n">
        <f aca="false">SUMPRODUCT(E207:N207,1/(1+$F$184)^$E$3:$N$3)*$E$2</f>
        <v>20364.7364527747</v>
      </c>
      <c r="P207" s="15" t="n">
        <f aca="false">N207*$E$2*(1+$I$184)/($F$184-$I$184)/(1+$F$184)^$N$3</f>
        <v>26592.5327003571</v>
      </c>
      <c r="Q207" s="15" t="n">
        <f aca="false">O207+P207</f>
        <v>46957.2691531317</v>
      </c>
      <c r="R207" s="15" t="n">
        <f aca="false">Q207-$G$2+$I$2</f>
        <v>40769.9691531317</v>
      </c>
      <c r="S207" s="42" t="n">
        <f aca="false">R207/$K$2</f>
        <v>560.797374871138</v>
      </c>
      <c r="T207" s="43" t="n">
        <f aca="false">S207-$M$2</f>
        <v>-0.000424303552563288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0.12891685962677</v>
      </c>
      <c r="C208" s="25" t="n">
        <f aca="false">IF(T207&gt;0,D207,C207)</f>
        <v>0.128917217254639</v>
      </c>
      <c r="D208" s="41" t="n">
        <f aca="false">(B208+C208)/2</f>
        <v>0.128917038440704</v>
      </c>
      <c r="E208" s="15" t="n">
        <f aca="false">$C$2*(1+IF(E$3&lt;=$O$2,$D208,$D208-($D208-$I$184)*MIN(E$3-$O$2,$Q$2)/$Q$2))</f>
        <v>3759.29373800755</v>
      </c>
      <c r="F208" s="15" t="n">
        <f aca="false">E208*(1+IF(F$3&lt;=$O$2,$D208,$D208-($D208-$I$184)*MIN(F$3-$O$2,$Q$2)/$Q$2))</f>
        <v>4243.93075334016</v>
      </c>
      <c r="G208" s="15" t="n">
        <f aca="false">F208*(1+IF(G$3&lt;=$O$2,$D208,$D208-($D208-$I$184)*MIN(G$3-$O$2,$Q$2)/$Q$2))</f>
        <v>4791.0457374082</v>
      </c>
      <c r="H208" s="15" t="n">
        <f aca="false">G208*(1+IF(H$3&lt;=$O$2,$D208,$D208-($D208-$I$184)*MIN(H$3-$O$2,$Q$2)/$Q$2))</f>
        <v>5408.69316490883</v>
      </c>
      <c r="I208" s="15" t="n">
        <f aca="false">H208*(1+IF(I$3&lt;=$O$2,$D208,$D208-($D208-$I$184)*MIN(I$3-$O$2,$Q$2)/$Q$2))</f>
        <v>6105.96586956336</v>
      </c>
      <c r="J208" s="15" t="n">
        <f aca="false">I208*(1+IF(J$3&lt;=$O$2,$D208,$D208-($D208-$I$184)*MIN(J$3-$O$2,$Q$2)/$Q$2))</f>
        <v>6758.04413402526</v>
      </c>
      <c r="K208" s="15" t="n">
        <f aca="false">J208*(1+IF(K$3&lt;=$O$2,$D208,$D208-($D208-$I$184)*MIN(K$3-$O$2,$Q$2)/$Q$2))</f>
        <v>7330.24923833239</v>
      </c>
      <c r="L208" s="15" t="n">
        <f aca="false">K208*(1+IF(L$3&lt;=$O$2,$D208,$D208-($D208-$I$184)*MIN(L$3-$O$2,$Q$2)/$Q$2))</f>
        <v>7788.7329841045</v>
      </c>
      <c r="M208" s="15" t="n">
        <f aca="false">L208*(1+IF(M$3&lt;=$O$2,$D208,$D208-($D208-$I$184)*MIN(M$3-$O$2,$Q$2)/$Q$2))</f>
        <v>8103.58011289503</v>
      </c>
      <c r="N208" s="15" t="n">
        <f aca="false">M208*(1+IF(N$3&lt;=$O$2,$D208,$D208-($D208-$I$184)*MIN(N$3-$O$2,$Q$2)/$Q$2))</f>
        <v>8251.87562896101</v>
      </c>
      <c r="O208" s="15" t="n">
        <f aca="false">SUMPRODUCT(E208:N208,1/(1+$F$184)^$E$3:$N$3)*$E$2</f>
        <v>20364.7522025644</v>
      </c>
      <c r="P208" s="15" t="n">
        <f aca="false">N208*$E$2*(1+$I$184)/($F$184-$I$184)/(1+$F$184)^$N$3</f>
        <v>26592.5625324436</v>
      </c>
      <c r="Q208" s="15" t="n">
        <f aca="false">O208+P208</f>
        <v>46957.3147350079</v>
      </c>
      <c r="R208" s="15" t="n">
        <f aca="false">Q208-$G$2+$I$2</f>
        <v>40770.0147350079</v>
      </c>
      <c r="S208" s="42" t="n">
        <f aca="false">R208/$K$2</f>
        <v>560.798001857056</v>
      </c>
      <c r="T208" s="43" t="n">
        <f aca="false">S208-$M$2</f>
        <v>0.000202682365056717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0.12891685962677</v>
      </c>
      <c r="C209" s="25" t="n">
        <f aca="false">IF(T208&gt;0,D208,C208)</f>
        <v>0.128917038440704</v>
      </c>
      <c r="D209" s="41" t="n">
        <f aca="false">(B209+C209)/2</f>
        <v>0.128916949033737</v>
      </c>
      <c r="E209" s="15" t="n">
        <f aca="false">$C$2*(1+IF(E$3&lt;=$O$2,$D209,$D209-($D209-$I$184)*MIN(E$3-$O$2,$Q$2)/$Q$2))</f>
        <v>3759.29344028235</v>
      </c>
      <c r="F209" s="15" t="n">
        <f aca="false">E209*(1+IF(F$3&lt;=$O$2,$D209,$D209-($D209-$I$184)*MIN(F$3-$O$2,$Q$2)/$Q$2))</f>
        <v>4243.93008112609</v>
      </c>
      <c r="G209" s="15" t="n">
        <f aca="false">F209*(1+IF(G$3&lt;=$O$2,$D209,$D209-($D209-$I$184)*MIN(G$3-$O$2,$Q$2)/$Q$2))</f>
        <v>4791.04459909736</v>
      </c>
      <c r="H209" s="15" t="n">
        <f aca="false">G209*(1+IF(H$3&lt;=$O$2,$D209,$D209-($D209-$I$184)*MIN(H$3-$O$2,$Q$2)/$Q$2))</f>
        <v>5408.69145149756</v>
      </c>
      <c r="I209" s="15" t="n">
        <f aca="false">H209*(1+IF(I$3&lt;=$O$2,$D209,$D209-($D209-$I$184)*MIN(I$3-$O$2,$Q$2)/$Q$2))</f>
        <v>6105.96345168948</v>
      </c>
      <c r="J209" s="15" t="n">
        <f aca="false">I209*(1+IF(J$3&lt;=$O$2,$D209,$D209-($D209-$I$184)*MIN(J$3-$O$2,$Q$2)/$Q$2))</f>
        <v>6758.04102120532</v>
      </c>
      <c r="K209" s="15" t="n">
        <f aca="false">J209*(1+IF(K$3&lt;=$O$2,$D209,$D209-($D209-$I$184)*MIN(K$3-$O$2,$Q$2)/$Q$2))</f>
        <v>7330.24549941972</v>
      </c>
      <c r="L209" s="15" t="n">
        <f aca="false">K209*(1+IF(L$3&lt;=$O$2,$D209,$D209-($D209-$I$184)*MIN(L$3-$O$2,$Q$2)/$Q$2))</f>
        <v>7788.72874918473</v>
      </c>
      <c r="M209" s="15" t="n">
        <f aca="false">L209*(1+IF(M$3&lt;=$O$2,$D209,$D209-($D209-$I$184)*MIN(M$3-$O$2,$Q$2)/$Q$2))</f>
        <v>8103.57556751205</v>
      </c>
      <c r="N209" s="15" t="n">
        <f aca="false">M209*(1+IF(N$3&lt;=$O$2,$D209,$D209-($D209-$I$184)*MIN(N$3-$O$2,$Q$2)/$Q$2))</f>
        <v>8251.87100039752</v>
      </c>
      <c r="O209" s="15" t="n">
        <f aca="false">SUMPRODUCT(E209:N209,1/(1+$F$184)^$E$3:$N$3)*$E$2</f>
        <v>20364.744327668</v>
      </c>
      <c r="P209" s="15" t="n">
        <f aca="false">N209*$E$2*(1+$I$184)/($F$184-$I$184)/(1+$F$184)^$N$3</f>
        <v>26592.5476163967</v>
      </c>
      <c r="Q209" s="15" t="n">
        <f aca="false">O209+P209</f>
        <v>46957.2919440647</v>
      </c>
      <c r="R209" s="15" t="n">
        <f aca="false">Q209-$G$2+$I$2</f>
        <v>40769.9919440647</v>
      </c>
      <c r="S209" s="42" t="n">
        <f aca="false">R209/$K$2</f>
        <v>560.797688364026</v>
      </c>
      <c r="T209" s="43" t="n">
        <f aca="false">S209-$M$2</f>
        <v>-0.000110810664864403</v>
      </c>
    </row>
    <row r="211" customFormat="false" ht="15" hidden="false" customHeight="false" outlineLevel="0" collapsed="false">
      <c r="A211" s="38" t="s">
        <v>188</v>
      </c>
      <c r="E211" s="5" t="s">
        <v>11</v>
      </c>
      <c r="F211" s="12" t="n">
        <f aca="false">Sensitivity!$B$11</f>
        <v>0.0903306228759286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162</v>
      </c>
      <c r="B212" s="28" t="s">
        <v>163</v>
      </c>
      <c r="C212" s="28" t="s">
        <v>164</v>
      </c>
      <c r="D212" s="28" t="s">
        <v>165</v>
      </c>
      <c r="E212" s="28" t="s">
        <v>166</v>
      </c>
      <c r="F212" s="28" t="s">
        <v>167</v>
      </c>
      <c r="G212" s="28" t="s">
        <v>168</v>
      </c>
      <c r="H212" s="28" t="s">
        <v>169</v>
      </c>
      <c r="I212" s="28" t="s">
        <v>170</v>
      </c>
      <c r="J212" s="28" t="s">
        <v>171</v>
      </c>
      <c r="K212" s="28" t="s">
        <v>172</v>
      </c>
      <c r="L212" s="28" t="s">
        <v>173</v>
      </c>
      <c r="M212" s="28" t="s">
        <v>174</v>
      </c>
      <c r="N212" s="28" t="s">
        <v>175</v>
      </c>
      <c r="O212" s="28" t="s">
        <v>176</v>
      </c>
      <c r="P212" s="28" t="s">
        <v>177</v>
      </c>
      <c r="Q212" s="28" t="s">
        <v>178</v>
      </c>
      <c r="R212" s="28" t="s">
        <v>179</v>
      </c>
      <c r="S212" s="28" t="s">
        <v>180</v>
      </c>
      <c r="T212" s="28" t="s">
        <v>181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4162.5</v>
      </c>
      <c r="F213" s="15" t="n">
        <f aca="false">E213*(1+IF(F$3&lt;=$O$2,$D213,$D213-($D213-$I$211)*MIN(F$3-$O$2,$Q$2)/$Q$2))</f>
        <v>5203.125</v>
      </c>
      <c r="G213" s="15" t="n">
        <f aca="false">F213*(1+IF(G$3&lt;=$O$2,$D213,$D213-($D213-$I$211)*MIN(G$3-$O$2,$Q$2)/$Q$2))</f>
        <v>6503.90625</v>
      </c>
      <c r="H213" s="15" t="n">
        <f aca="false">G213*(1+IF(H$3&lt;=$O$2,$D213,$D213-($D213-$I$211)*MIN(H$3-$O$2,$Q$2)/$Q$2))</f>
        <v>8129.8828125</v>
      </c>
      <c r="I213" s="15" t="n">
        <f aca="false">H213*(1+IF(I$3&lt;=$O$2,$D213,$D213-($D213-$I$211)*MIN(I$3-$O$2,$Q$2)/$Q$2))</f>
        <v>10162.353515625</v>
      </c>
      <c r="J213" s="15" t="n">
        <f aca="false">I213*(1+IF(J$3&lt;=$O$2,$D213,$D213-($D213-$I$211)*MIN(J$3-$O$2,$Q$2)/$Q$2))</f>
        <v>12242.1807861328</v>
      </c>
      <c r="K213" s="15" t="n">
        <f aca="false">J213*(1+IF(K$3&lt;=$O$2,$D213,$D213-($D213-$I$211)*MIN(K$3-$O$2,$Q$2)/$Q$2))</f>
        <v>14192.6050289795</v>
      </c>
      <c r="L213" s="15" t="n">
        <f aca="false">K213*(1+IF(L$3&lt;=$O$2,$D213,$D213-($D213-$I$211)*MIN(L$3-$O$2,$Q$2)/$Q$2))</f>
        <v>15810.2781501826</v>
      </c>
      <c r="M213" s="15" t="n">
        <f aca="false">L213*(1+IF(M$3&lt;=$O$2,$D213,$D213-($D213-$I$211)*MIN(M$3-$O$2,$Q$2)/$Q$2))</f>
        <v>16895.4956424111</v>
      </c>
      <c r="N213" s="15" t="n">
        <f aca="false">M213*(1+IF(N$3&lt;=$O$2,$D213,$D213-($D213-$I$211)*MIN(N$3-$O$2,$Q$2)/$Q$2))</f>
        <v>17289.1606908793</v>
      </c>
      <c r="O213" s="15" t="n">
        <f aca="false">SUMPRODUCT(E213:N213,1/(1+$F$211)^$E$3:$N$3)*$E$2</f>
        <v>34397.6312424504</v>
      </c>
      <c r="P213" s="15" t="n">
        <f aca="false">N213*$E$2*(1+$I$211)/($F$211-$I$211)/(1+$F$211)^$N$3</f>
        <v>60166.1984490442</v>
      </c>
      <c r="Q213" s="15" t="n">
        <f aca="false">O213+P213</f>
        <v>94563.8296914946</v>
      </c>
      <c r="R213" s="15" t="n">
        <f aca="false">Q213-$G$2+$I$2</f>
        <v>88376.5296914946</v>
      </c>
      <c r="S213" s="42" t="n">
        <f aca="false">R213/$K$2</f>
        <v>1215.63314568768</v>
      </c>
      <c r="T213" s="43" t="n">
        <f aca="false">S213-$M$2</f>
        <v>654.835346512993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2913.75</v>
      </c>
      <c r="F214" s="15" t="n">
        <f aca="false">E214*(1+IF(F$3&lt;=$O$2,$D214,$D214-($D214-$I$211)*MIN(F$3-$O$2,$Q$2)/$Q$2))</f>
        <v>2549.53125</v>
      </c>
      <c r="G214" s="15" t="n">
        <f aca="false">F214*(1+IF(G$3&lt;=$O$2,$D214,$D214-($D214-$I$211)*MIN(G$3-$O$2,$Q$2)/$Q$2))</f>
        <v>2230.83984375</v>
      </c>
      <c r="H214" s="15" t="n">
        <f aca="false">G214*(1+IF(H$3&lt;=$O$2,$D214,$D214-($D214-$I$211)*MIN(H$3-$O$2,$Q$2)/$Q$2))</f>
        <v>1951.98486328125</v>
      </c>
      <c r="I214" s="15" t="n">
        <f aca="false">H214*(1+IF(I$3&lt;=$O$2,$D214,$D214-($D214-$I$211)*MIN(I$3-$O$2,$Q$2)/$Q$2))</f>
        <v>1707.98675537109</v>
      </c>
      <c r="J214" s="15" t="n">
        <f aca="false">I214*(1+IF(J$3&lt;=$O$2,$D214,$D214-($D214-$I$211)*MIN(J$3-$O$2,$Q$2)/$Q$2))</f>
        <v>1545.14729811401</v>
      </c>
      <c r="K214" s="15" t="n">
        <f aca="false">J214*(1+IF(K$3&lt;=$O$2,$D214,$D214-($D214-$I$211)*MIN(K$3-$O$2,$Q$2)/$Q$2))</f>
        <v>1443.66202357389</v>
      </c>
      <c r="L214" s="15" t="n">
        <f aca="false">K214*(1+IF(L$3&lt;=$O$2,$D214,$D214-($D214-$I$211)*MIN(L$3-$O$2,$Q$2)/$Q$2))</f>
        <v>1391.66131748475</v>
      </c>
      <c r="M214" s="15" t="n">
        <f aca="false">L214*(1+IF(M$3&lt;=$O$2,$D214,$D214-($D214-$I$211)*MIN(M$3-$O$2,$Q$2)/$Q$2))</f>
        <v>1382.81035150555</v>
      </c>
      <c r="N214" s="15" t="n">
        <f aca="false">M214*(1+IF(N$3&lt;=$O$2,$D214,$D214-($D214-$I$211)*MIN(N$3-$O$2,$Q$2)/$Q$2))</f>
        <v>1415.02983269563</v>
      </c>
      <c r="O214" s="15" t="n">
        <f aca="false">SUMPRODUCT(E214:N214,1/(1+$F$211)^$E$3:$N$3)*$E$2</f>
        <v>6854.28858902889</v>
      </c>
      <c r="P214" s="15" t="n">
        <f aca="false">N214*$E$2*(1+$I$211)/($F$211-$I$211)/(1+$F$211)^$N$3</f>
        <v>4924.29720837728</v>
      </c>
      <c r="Q214" s="15" t="n">
        <f aca="false">O214+P214</f>
        <v>11778.5857974062</v>
      </c>
      <c r="R214" s="15" t="n">
        <f aca="false">Q214-$G$2+$I$2</f>
        <v>5591.28579740617</v>
      </c>
      <c r="S214" s="42" t="n">
        <f aca="false">R214/$K$2</f>
        <v>76.9090205970588</v>
      </c>
      <c r="T214" s="43" t="n">
        <f aca="false">S214-$M$2</f>
        <v>-483.888778577632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3538.125</v>
      </c>
      <c r="F215" s="15" t="n">
        <f aca="false">E215*(1+IF(F$3&lt;=$O$2,$D215,$D215-($D215-$I$211)*MIN(F$3-$O$2,$Q$2)/$Q$2))</f>
        <v>3759.2578125</v>
      </c>
      <c r="G215" s="15" t="n">
        <f aca="false">F215*(1+IF(G$3&lt;=$O$2,$D215,$D215-($D215-$I$211)*MIN(G$3-$O$2,$Q$2)/$Q$2))</f>
        <v>3994.21142578125</v>
      </c>
      <c r="H215" s="15" t="n">
        <f aca="false">G215*(1+IF(H$3&lt;=$O$2,$D215,$D215-($D215-$I$211)*MIN(H$3-$O$2,$Q$2)/$Q$2))</f>
        <v>4243.84963989258</v>
      </c>
      <c r="I215" s="15" t="n">
        <f aca="false">H215*(1+IF(I$3&lt;=$O$2,$D215,$D215-($D215-$I$211)*MIN(I$3-$O$2,$Q$2)/$Q$2))</f>
        <v>4509.09024238586</v>
      </c>
      <c r="J215" s="15" t="n">
        <f aca="false">I215*(1+IF(J$3&lt;=$O$2,$D215,$D215-($D215-$I$211)*MIN(J$3-$O$2,$Q$2)/$Q$2))</f>
        <v>4755.55711503468</v>
      </c>
      <c r="K215" s="15" t="n">
        <f aca="false">J215*(1+IF(K$3&lt;=$O$2,$D215,$D215-($D215-$I$211)*MIN(K$3-$O$2,$Q$2)/$Q$2))</f>
        <v>4978.2122991606</v>
      </c>
      <c r="L215" s="15" t="n">
        <f aca="false">K215*(1+IF(L$3&lt;=$O$2,$D215,$D215-($D215-$I$211)*MIN(L$3-$O$2,$Q$2)/$Q$2))</f>
        <v>5172.26301458188</v>
      </c>
      <c r="M215" s="15" t="n">
        <f aca="false">L215*(1+IF(M$3&lt;=$O$2,$D215,$D215-($D215-$I$211)*MIN(M$3-$O$2,$Q$2)/$Q$2))</f>
        <v>5333.32728485596</v>
      </c>
      <c r="N215" s="15" t="n">
        <f aca="false">M215*(1+IF(N$3&lt;=$O$2,$D215,$D215-($D215-$I$211)*MIN(N$3-$O$2,$Q$2)/$Q$2))</f>
        <v>5457.5938105931</v>
      </c>
      <c r="O215" s="15" t="n">
        <f aca="false">SUMPRODUCT(E215:N215,1/(1+$F$211)^$E$3:$N$3)*$E$2</f>
        <v>15319.7789591332</v>
      </c>
      <c r="P215" s="15" t="n">
        <f aca="false">N215*$E$2*(1+$I$211)/($F$211-$I$211)/(1+$F$211)^$N$3</f>
        <v>18992.4009692179</v>
      </c>
      <c r="Q215" s="15" t="n">
        <f aca="false">O215+P215</f>
        <v>34312.1799283512</v>
      </c>
      <c r="R215" s="15" t="n">
        <f aca="false">Q215-$G$2+$I$2</f>
        <v>28124.8799283512</v>
      </c>
      <c r="S215" s="42" t="n">
        <f aca="false">R215/$K$2</f>
        <v>386.862172329452</v>
      </c>
      <c r="T215" s="43" t="n">
        <f aca="false">S215-$M$2</f>
        <v>-173.935626845239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0.0625</v>
      </c>
      <c r="C216" s="25" t="n">
        <f aca="false">IF(T215&gt;0,D215,C215)</f>
        <v>0.25</v>
      </c>
      <c r="D216" s="41" t="n">
        <f aca="false">(B216+C216)/2</f>
        <v>0.15625</v>
      </c>
      <c r="E216" s="15" t="n">
        <f aca="false">$C$2*(1+IF(E$3&lt;=$O$2,$D216,$D216-($D216-$I$211)*MIN(E$3-$O$2,$Q$2)/$Q$2))</f>
        <v>3850.3125</v>
      </c>
      <c r="F216" s="15" t="n">
        <f aca="false">E216*(1+IF(F$3&lt;=$O$2,$D216,$D216-($D216-$I$211)*MIN(F$3-$O$2,$Q$2)/$Q$2))</f>
        <v>4451.923828125</v>
      </c>
      <c r="G216" s="15" t="n">
        <f aca="false">F216*(1+IF(G$3&lt;=$O$2,$D216,$D216-($D216-$I$211)*MIN(G$3-$O$2,$Q$2)/$Q$2))</f>
        <v>5147.53692626953</v>
      </c>
      <c r="H216" s="15" t="n">
        <f aca="false">G216*(1+IF(H$3&lt;=$O$2,$D216,$D216-($D216-$I$211)*MIN(H$3-$O$2,$Q$2)/$Q$2))</f>
        <v>5951.83957099915</v>
      </c>
      <c r="I216" s="15" t="n">
        <f aca="false">H216*(1+IF(I$3&lt;=$O$2,$D216,$D216-($D216-$I$211)*MIN(I$3-$O$2,$Q$2)/$Q$2))</f>
        <v>6881.81450396776</v>
      </c>
      <c r="J216" s="15" t="n">
        <f aca="false">I216*(1+IF(J$3&lt;=$O$2,$D216,$D216-($D216-$I$211)*MIN(J$3-$O$2,$Q$2)/$Q$2))</f>
        <v>7774.11057255222</v>
      </c>
      <c r="K216" s="15" t="n">
        <f aca="false">J216*(1+IF(K$3&lt;=$O$2,$D216,$D216-($D216-$I$211)*MIN(K$3-$O$2,$Q$2)/$Q$2))</f>
        <v>8575.38814926518</v>
      </c>
      <c r="L216" s="15" t="n">
        <f aca="false">K216*(1+IF(L$3&lt;=$O$2,$D216,$D216-($D216-$I$211)*MIN(L$3-$O$2,$Q$2)/$Q$2))</f>
        <v>9231.23383492098</v>
      </c>
      <c r="M216" s="15" t="n">
        <f aca="false">L216*(1+IF(M$3&lt;=$O$2,$D216,$D216-($D216-$I$211)*MIN(M$3-$O$2,$Q$2)/$Q$2))</f>
        <v>9691.78009094519</v>
      </c>
      <c r="N216" s="15" t="n">
        <f aca="false">M216*(1+IF(N$3&lt;=$O$2,$D216,$D216-($D216-$I$211)*MIN(N$3-$O$2,$Q$2)/$Q$2))</f>
        <v>9917.59856706421</v>
      </c>
      <c r="O216" s="15" t="n">
        <f aca="false">SUMPRODUCT(E216:N216,1/(1+$F$211)^$E$3:$N$3)*$E$2</f>
        <v>22994.6853762562</v>
      </c>
      <c r="P216" s="15" t="n">
        <f aca="false">N216*$E$2*(1+$I$211)/($F$211-$I$211)/(1+$F$211)^$N$3</f>
        <v>34513.1966896882</v>
      </c>
      <c r="Q216" s="15" t="n">
        <f aca="false">O216+P216</f>
        <v>57507.8820659444</v>
      </c>
      <c r="R216" s="15" t="n">
        <f aca="false">Q216-$G$2+$I$2</f>
        <v>51320.5820659444</v>
      </c>
      <c r="S216" s="42" t="n">
        <f aca="false">R216/$K$2</f>
        <v>705.922724428396</v>
      </c>
      <c r="T216" s="43" t="n">
        <f aca="false">S216-$M$2</f>
        <v>145.124925253705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0.0625</v>
      </c>
      <c r="C217" s="25" t="n">
        <f aca="false">IF(T216&gt;0,D216,C216)</f>
        <v>0.15625</v>
      </c>
      <c r="D217" s="41" t="n">
        <f aca="false">(B217+C217)/2</f>
        <v>0.109375</v>
      </c>
      <c r="E217" s="15" t="n">
        <f aca="false">$C$2*(1+IF(E$3&lt;=$O$2,$D217,$D217-($D217-$I$211)*MIN(E$3-$O$2,$Q$2)/$Q$2))</f>
        <v>3694.21875</v>
      </c>
      <c r="F217" s="15" t="n">
        <f aca="false">E217*(1+IF(F$3&lt;=$O$2,$D217,$D217-($D217-$I$211)*MIN(F$3-$O$2,$Q$2)/$Q$2))</f>
        <v>4098.27392578125</v>
      </c>
      <c r="G217" s="15" t="n">
        <f aca="false">F217*(1+IF(G$3&lt;=$O$2,$D217,$D217-($D217-$I$211)*MIN(G$3-$O$2,$Q$2)/$Q$2))</f>
        <v>4546.52263641357</v>
      </c>
      <c r="H217" s="15" t="n">
        <f aca="false">G217*(1+IF(H$3&lt;=$O$2,$D217,$D217-($D217-$I$211)*MIN(H$3-$O$2,$Q$2)/$Q$2))</f>
        <v>5043.79854977131</v>
      </c>
      <c r="I217" s="15" t="n">
        <f aca="false">H217*(1+IF(I$3&lt;=$O$2,$D217,$D217-($D217-$I$211)*MIN(I$3-$O$2,$Q$2)/$Q$2))</f>
        <v>5595.46401615255</v>
      </c>
      <c r="J217" s="15" t="n">
        <f aca="false">I217*(1+IF(J$3&lt;=$O$2,$D217,$D217-($D217-$I$211)*MIN(J$3-$O$2,$Q$2)/$Q$2))</f>
        <v>6111.14197988117</v>
      </c>
      <c r="K217" s="15" t="n">
        <f aca="false">J217*(1+IF(K$3&lt;=$O$2,$D217,$D217-($D217-$I$211)*MIN(K$3-$O$2,$Q$2)/$Q$2))</f>
        <v>6569.14151556336</v>
      </c>
      <c r="L217" s="15" t="n">
        <f aca="false">K217*(1+IF(L$3&lt;=$O$2,$D217,$D217-($D217-$I$211)*MIN(L$3-$O$2,$Q$2)/$Q$2))</f>
        <v>6948.37805525683</v>
      </c>
      <c r="M217" s="15" t="n">
        <f aca="false">L217*(1+IF(M$3&lt;=$O$2,$D217,$D217-($D217-$I$211)*MIN(M$3-$O$2,$Q$2)/$Q$2))</f>
        <v>7229.89159216556</v>
      </c>
      <c r="N217" s="15" t="n">
        <f aca="false">M217*(1+IF(N$3&lt;=$O$2,$D217,$D217-($D217-$I$211)*MIN(N$3-$O$2,$Q$2)/$Q$2))</f>
        <v>7398.34806626302</v>
      </c>
      <c r="O217" s="15" t="n">
        <f aca="false">SUMPRODUCT(E217:N217,1/(1+$F$211)^$E$3:$N$3)*$E$2</f>
        <v>18772.1833549147</v>
      </c>
      <c r="P217" s="15" t="n">
        <f aca="false">N217*$E$2*(1+$I$211)/($F$211-$I$211)/(1+$F$211)^$N$3</f>
        <v>25746.2167139616</v>
      </c>
      <c r="Q217" s="15" t="n">
        <f aca="false">O217+P217</f>
        <v>44518.4000688763</v>
      </c>
      <c r="R217" s="15" t="n">
        <f aca="false">Q217-$G$2+$I$2</f>
        <v>38331.1000688763</v>
      </c>
      <c r="S217" s="42" t="n">
        <f aca="false">R217/$K$2</f>
        <v>527.250344826358</v>
      </c>
      <c r="T217" s="43" t="n">
        <f aca="false">S217-$M$2</f>
        <v>-33.5474543483321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0.109375</v>
      </c>
      <c r="C218" s="25" t="n">
        <f aca="false">IF(T217&gt;0,D217,C217)</f>
        <v>0.15625</v>
      </c>
      <c r="D218" s="41" t="n">
        <f aca="false">(B218+C218)/2</f>
        <v>0.1328125</v>
      </c>
      <c r="E218" s="15" t="n">
        <f aca="false">$C$2*(1+IF(E$3&lt;=$O$2,$D218,$D218-($D218-$I$211)*MIN(E$3-$O$2,$Q$2)/$Q$2))</f>
        <v>3772.265625</v>
      </c>
      <c r="F218" s="15" t="n">
        <f aca="false">E218*(1+IF(F$3&lt;=$O$2,$D218,$D218-($D218-$I$211)*MIN(F$3-$O$2,$Q$2)/$Q$2))</f>
        <v>4273.26965332031</v>
      </c>
      <c r="G218" s="15" t="n">
        <f aca="false">F218*(1+IF(G$3&lt;=$O$2,$D218,$D218-($D218-$I$211)*MIN(G$3-$O$2,$Q$2)/$Q$2))</f>
        <v>4840.81327915192</v>
      </c>
      <c r="H218" s="15" t="n">
        <f aca="false">G218*(1+IF(H$3&lt;=$O$2,$D218,$D218-($D218-$I$211)*MIN(H$3-$O$2,$Q$2)/$Q$2))</f>
        <v>5483.73379278928</v>
      </c>
      <c r="I218" s="15" t="n">
        <f aca="false">H218*(1+IF(I$3&lt;=$O$2,$D218,$D218-($D218-$I$211)*MIN(I$3-$O$2,$Q$2)/$Q$2))</f>
        <v>6212.04218714411</v>
      </c>
      <c r="J218" s="15" t="n">
        <f aca="false">I218*(1+IF(J$3&lt;=$O$2,$D218,$D218-($D218-$I$211)*MIN(J$3-$O$2,$Q$2)/$Q$2))</f>
        <v>6901.01978612026</v>
      </c>
      <c r="K218" s="15" t="n">
        <f aca="false">J218*(1+IF(K$3&lt;=$O$2,$D218,$D218-($D218-$I$211)*MIN(K$3-$O$2,$Q$2)/$Q$2))</f>
        <v>7515.26230473336</v>
      </c>
      <c r="L218" s="15" t="n">
        <f aca="false">K218*(1+IF(L$3&lt;=$O$2,$D218,$D218-($D218-$I$211)*MIN(L$3-$O$2,$Q$2)/$Q$2))</f>
        <v>8019.57398169249</v>
      </c>
      <c r="M218" s="15" t="n">
        <f aca="false">L218*(1+IF(M$3&lt;=$O$2,$D218,$D218-($D218-$I$211)*MIN(M$3-$O$2,$Q$2)/$Q$2))</f>
        <v>8382.07877459994</v>
      </c>
      <c r="N218" s="15" t="n">
        <f aca="false">M218*(1+IF(N$3&lt;=$O$2,$D218,$D218-($D218-$I$211)*MIN(N$3-$O$2,$Q$2)/$Q$2))</f>
        <v>8577.38121004813</v>
      </c>
      <c r="O218" s="15" t="n">
        <f aca="false">SUMPRODUCT(E218:N218,1/(1+$F$211)^$E$3:$N$3)*$E$2</f>
        <v>20778.0421005385</v>
      </c>
      <c r="P218" s="15" t="n">
        <f aca="false">N218*$E$2*(1+$I$211)/($F$211-$I$211)/(1+$F$211)^$N$3</f>
        <v>29849.2465472372</v>
      </c>
      <c r="Q218" s="15" t="n">
        <f aca="false">O218+P218</f>
        <v>50627.2886477757</v>
      </c>
      <c r="R218" s="15" t="n">
        <f aca="false">Q218-$G$2+$I$2</f>
        <v>44439.9886477757</v>
      </c>
      <c r="S218" s="42" t="n">
        <f aca="false">R218/$K$2</f>
        <v>611.279073559501</v>
      </c>
      <c r="T218" s="43" t="n">
        <f aca="false">S218-$M$2</f>
        <v>50.4812743848104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0.109375</v>
      </c>
      <c r="C219" s="25" t="n">
        <f aca="false">IF(T218&gt;0,D218,C218)</f>
        <v>0.1328125</v>
      </c>
      <c r="D219" s="41" t="n">
        <f aca="false">(B219+C219)/2</f>
        <v>0.12109375</v>
      </c>
      <c r="E219" s="15" t="n">
        <f aca="false">$C$2*(1+IF(E$3&lt;=$O$2,$D219,$D219-($D219-$I$211)*MIN(E$3-$O$2,$Q$2)/$Q$2))</f>
        <v>3733.2421875</v>
      </c>
      <c r="F219" s="15" t="n">
        <f aca="false">E219*(1+IF(F$3&lt;=$O$2,$D219,$D219-($D219-$I$211)*MIN(F$3-$O$2,$Q$2)/$Q$2))</f>
        <v>4185.31448364258</v>
      </c>
      <c r="G219" s="15" t="n">
        <f aca="false">F219*(1+IF(G$3&lt;=$O$2,$D219,$D219-($D219-$I$211)*MIN(G$3-$O$2,$Q$2)/$Q$2))</f>
        <v>4692.12990939617</v>
      </c>
      <c r="H219" s="15" t="n">
        <f aca="false">G219*(1+IF(H$3&lt;=$O$2,$D219,$D219-($D219-$I$211)*MIN(H$3-$O$2,$Q$2)/$Q$2))</f>
        <v>5260.31751561211</v>
      </c>
      <c r="I219" s="15" t="n">
        <f aca="false">H219*(1+IF(I$3&lt;=$O$2,$D219,$D219-($D219-$I$211)*MIN(I$3-$O$2,$Q$2)/$Q$2))</f>
        <v>5897.30908976827</v>
      </c>
      <c r="J219" s="15" t="n">
        <f aca="false">I219*(1+IF(J$3&lt;=$O$2,$D219,$D219-($D219-$I$211)*MIN(J$3-$O$2,$Q$2)/$Q$2))</f>
        <v>6496.09236819789</v>
      </c>
      <c r="K219" s="15" t="n">
        <f aca="false">J219*(1+IF(K$3&lt;=$O$2,$D219,$D219-($D219-$I$211)*MIN(K$3-$O$2,$Q$2)/$Q$2))</f>
        <v>7028.61766019637</v>
      </c>
      <c r="L219" s="15" t="n">
        <f aca="false">K219*(1+IF(L$3&lt;=$O$2,$D219,$D219-($D219-$I$211)*MIN(L$3-$O$2,$Q$2)/$Q$2))</f>
        <v>7467.32640300168</v>
      </c>
      <c r="M219" s="15" t="n">
        <f aca="false">L219*(1+IF(M$3&lt;=$O$2,$D219,$D219-($D219-$I$211)*MIN(M$3-$O$2,$Q$2)/$Q$2))</f>
        <v>7787.36667847633</v>
      </c>
      <c r="N219" s="15" t="n">
        <f aca="false">M219*(1+IF(N$3&lt;=$O$2,$D219,$D219-($D219-$I$211)*MIN(N$3-$O$2,$Q$2)/$Q$2))</f>
        <v>7968.81232208483</v>
      </c>
      <c r="O219" s="15" t="n">
        <f aca="false">SUMPRODUCT(E219:N219,1/(1+$F$211)^$E$3:$N$3)*$E$2</f>
        <v>19749.9633689536</v>
      </c>
      <c r="P219" s="15" t="n">
        <f aca="false">N219*$E$2*(1+$I$211)/($F$211-$I$211)/(1+$F$211)^$N$3</f>
        <v>27731.4296596639</v>
      </c>
      <c r="Q219" s="15" t="n">
        <f aca="false">O219+P219</f>
        <v>47481.3930286174</v>
      </c>
      <c r="R219" s="15" t="n">
        <f aca="false">Q219-$G$2+$I$2</f>
        <v>41294.0930286174</v>
      </c>
      <c r="S219" s="42" t="n">
        <f aca="false">R219/$K$2</f>
        <v>568.006781686622</v>
      </c>
      <c r="T219" s="43" t="n">
        <f aca="false">S219-$M$2</f>
        <v>7.2089825119316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0.109375</v>
      </c>
      <c r="C220" s="25" t="n">
        <f aca="false">IF(T219&gt;0,D219,C219)</f>
        <v>0.12109375</v>
      </c>
      <c r="D220" s="41" t="n">
        <f aca="false">(B220+C220)/2</f>
        <v>0.115234375</v>
      </c>
      <c r="E220" s="15" t="n">
        <f aca="false">$C$2*(1+IF(E$3&lt;=$O$2,$D220,$D220-($D220-$I$211)*MIN(E$3-$O$2,$Q$2)/$Q$2))</f>
        <v>3713.73046875</v>
      </c>
      <c r="F220" s="15" t="n">
        <f aca="false">E220*(1+IF(F$3&lt;=$O$2,$D220,$D220-($D220-$I$211)*MIN(F$3-$O$2,$Q$2)/$Q$2))</f>
        <v>4141.67987823486</v>
      </c>
      <c r="G220" s="15" t="n">
        <f aca="false">F220*(1+IF(G$3&lt;=$O$2,$D220,$D220-($D220-$I$211)*MIN(G$3-$O$2,$Q$2)/$Q$2))</f>
        <v>4618.94377045333</v>
      </c>
      <c r="H220" s="15" t="n">
        <f aca="false">G220*(1+IF(H$3&lt;=$O$2,$D220,$D220-($D220-$I$211)*MIN(H$3-$O$2,$Q$2)/$Q$2))</f>
        <v>5151.20486900167</v>
      </c>
      <c r="I220" s="15" t="n">
        <f aca="false">H220*(1+IF(I$3&lt;=$O$2,$D220,$D220-($D220-$I$211)*MIN(I$3-$O$2,$Q$2)/$Q$2))</f>
        <v>5744.80074257803</v>
      </c>
      <c r="J220" s="15" t="n">
        <f aca="false">I220*(1+IF(J$3&lt;=$O$2,$D220,$D220-($D220-$I$211)*MIN(J$3-$O$2,$Q$2)/$Q$2))</f>
        <v>6301.17033249486</v>
      </c>
      <c r="K220" s="15" t="n">
        <f aca="false">J220*(1+IF(K$3&lt;=$O$2,$D220,$D220-($D220-$I$211)*MIN(K$3-$O$2,$Q$2)/$Q$2))</f>
        <v>6795.56409501386</v>
      </c>
      <c r="L220" s="15" t="n">
        <f aca="false">K220*(1+IF(L$3&lt;=$O$2,$D220,$D220-($D220-$I$211)*MIN(L$3-$O$2,$Q$2)/$Q$2))</f>
        <v>7203.7991135667</v>
      </c>
      <c r="M220" s="15" t="n">
        <f aca="false">L220*(1+IF(M$3&lt;=$O$2,$D220,$D220-($D220-$I$211)*MIN(M$3-$O$2,$Q$2)/$Q$2))</f>
        <v>7504.10298673907</v>
      </c>
      <c r="N220" s="15" t="n">
        <f aca="false">M220*(1+IF(N$3&lt;=$O$2,$D220,$D220-($D220-$I$211)*MIN(N$3-$O$2,$Q$2)/$Q$2))</f>
        <v>7678.94858633009</v>
      </c>
      <c r="O220" s="15" t="n">
        <f aca="false">SUMPRODUCT(E220:N220,1/(1+$F$211)^$E$3:$N$3)*$E$2</f>
        <v>19254.9306842692</v>
      </c>
      <c r="P220" s="15" t="n">
        <f aca="false">N220*$E$2*(1+$I$211)/($F$211-$I$211)/(1+$F$211)^$N$3</f>
        <v>26722.7052131497</v>
      </c>
      <c r="Q220" s="15" t="n">
        <f aca="false">O220+P220</f>
        <v>45977.6358974189</v>
      </c>
      <c r="R220" s="15" t="n">
        <f aca="false">Q220-$G$2+$I$2</f>
        <v>39790.3358974189</v>
      </c>
      <c r="S220" s="42" t="n">
        <f aca="false">R220/$K$2</f>
        <v>547.322364476189</v>
      </c>
      <c r="T220" s="43" t="n">
        <f aca="false">S220-$M$2</f>
        <v>-13.4754346985014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0.115234375</v>
      </c>
      <c r="C221" s="25" t="n">
        <f aca="false">IF(T220&gt;0,D220,C220)</f>
        <v>0.12109375</v>
      </c>
      <c r="D221" s="41" t="n">
        <f aca="false">(B221+C221)/2</f>
        <v>0.1181640625</v>
      </c>
      <c r="E221" s="15" t="n">
        <f aca="false">$C$2*(1+IF(E$3&lt;=$O$2,$D221,$D221-($D221-$I$211)*MIN(E$3-$O$2,$Q$2)/$Q$2))</f>
        <v>3723.486328125</v>
      </c>
      <c r="F221" s="15" t="n">
        <f aca="false">E221*(1+IF(F$3&lt;=$O$2,$D221,$D221-($D221-$I$211)*MIN(F$3-$O$2,$Q$2)/$Q$2))</f>
        <v>4163.46859931946</v>
      </c>
      <c r="G221" s="15" t="n">
        <f aca="false">F221*(1+IF(G$3&lt;=$O$2,$D221,$D221-($D221-$I$211)*MIN(G$3-$O$2,$Q$2)/$Q$2))</f>
        <v>4655.44096310623</v>
      </c>
      <c r="H221" s="15" t="n">
        <f aca="false">G221*(1+IF(H$3&lt;=$O$2,$D221,$D221-($D221-$I$211)*MIN(H$3-$O$2,$Q$2)/$Q$2))</f>
        <v>5205.54678003578</v>
      </c>
      <c r="I221" s="15" t="n">
        <f aca="false">H221*(1+IF(I$3&lt;=$O$2,$D221,$D221-($D221-$I$211)*MIN(I$3-$O$2,$Q$2)/$Q$2))</f>
        <v>5820.6553350986</v>
      </c>
      <c r="J221" s="15" t="n">
        <f aca="false">I221*(1+IF(J$3&lt;=$O$2,$D221,$D221-($D221-$I$211)*MIN(J$3-$O$2,$Q$2)/$Q$2))</f>
        <v>6398.0134136062</v>
      </c>
      <c r="K221" s="15" t="n">
        <f aca="false">J221*(1+IF(K$3&lt;=$O$2,$D221,$D221-($D221-$I$211)*MIN(K$3-$O$2,$Q$2)/$Q$2))</f>
        <v>6911.25205274972</v>
      </c>
      <c r="L221" s="15" t="n">
        <f aca="false">K221*(1+IF(L$3&lt;=$O$2,$D221,$D221-($D221-$I$211)*MIN(L$3-$O$2,$Q$2)/$Q$2))</f>
        <v>7334.53600425291</v>
      </c>
      <c r="M221" s="15" t="n">
        <f aca="false">L221*(1+IF(M$3&lt;=$O$2,$D221,$D221-($D221-$I$211)*MIN(M$3-$O$2,$Q$2)/$Q$2))</f>
        <v>7644.5874695352</v>
      </c>
      <c r="N221" s="15" t="n">
        <f aca="false">M221*(1+IF(N$3&lt;=$O$2,$D221,$D221-($D221-$I$211)*MIN(N$3-$O$2,$Q$2)/$Q$2))</f>
        <v>7822.70635757537</v>
      </c>
      <c r="O221" s="15" t="n">
        <f aca="false">SUMPRODUCT(E221:N221,1/(1+$F$211)^$E$3:$N$3)*$E$2</f>
        <v>19500.8935006108</v>
      </c>
      <c r="P221" s="15" t="n">
        <f aca="false">N221*$E$2*(1+$I$211)/($F$211-$I$211)/(1+$F$211)^$N$3</f>
        <v>27222.9815856112</v>
      </c>
      <c r="Q221" s="15" t="n">
        <f aca="false">O221+P221</f>
        <v>46723.8750862219</v>
      </c>
      <c r="R221" s="15" t="n">
        <f aca="false">Q221-$G$2+$I$2</f>
        <v>40536.5750862219</v>
      </c>
      <c r="S221" s="42" t="n">
        <f aca="false">R221/$K$2</f>
        <v>557.587002561512</v>
      </c>
      <c r="T221" s="43" t="n">
        <f aca="false">S221-$M$2</f>
        <v>-3.21079661317845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0.1181640625</v>
      </c>
      <c r="C222" s="25" t="n">
        <f aca="false">IF(T221&gt;0,D221,C221)</f>
        <v>0.12109375</v>
      </c>
      <c r="D222" s="41" t="n">
        <f aca="false">(B222+C222)/2</f>
        <v>0.11962890625</v>
      </c>
      <c r="E222" s="15" t="n">
        <f aca="false">$C$2*(1+IF(E$3&lt;=$O$2,$D222,$D222-($D222-$I$211)*MIN(E$3-$O$2,$Q$2)/$Q$2))</f>
        <v>3728.3642578125</v>
      </c>
      <c r="F222" s="15" t="n">
        <f aca="false">E222*(1+IF(F$3&lt;=$O$2,$D222,$D222-($D222-$I$211)*MIN(F$3-$O$2,$Q$2)/$Q$2))</f>
        <v>4174.3843960762</v>
      </c>
      <c r="G222" s="15" t="n">
        <f aca="false">F222*(1+IF(G$3&lt;=$O$2,$D222,$D222-($D222-$I$211)*MIN(G$3-$O$2,$Q$2)/$Q$2))</f>
        <v>4673.76143564587</v>
      </c>
      <c r="H222" s="15" t="n">
        <f aca="false">G222*(1+IF(H$3&lt;=$O$2,$D222,$D222-($D222-$I$211)*MIN(H$3-$O$2,$Q$2)/$Q$2))</f>
        <v>5232.87840426561</v>
      </c>
      <c r="I222" s="15" t="n">
        <f aca="false">H222*(1+IF(I$3&lt;=$O$2,$D222,$D222-($D222-$I$211)*MIN(I$3-$O$2,$Q$2)/$Q$2))</f>
        <v>5858.88192430715</v>
      </c>
      <c r="J222" s="15" t="n">
        <f aca="false">I222*(1+IF(J$3&lt;=$O$2,$D222,$D222-($D222-$I$211)*MIN(J$3-$O$2,$Q$2)/$Q$2))</f>
        <v>6446.89762323663</v>
      </c>
      <c r="K222" s="15" t="n">
        <f aca="false">J222*(1+IF(K$3&lt;=$O$2,$D222,$D222-($D222-$I$211)*MIN(K$3-$O$2,$Q$2)/$Q$2))</f>
        <v>6969.72389590931</v>
      </c>
      <c r="L222" s="15" t="n">
        <f aca="false">K222*(1+IF(L$3&lt;=$O$2,$D222,$D222-($D222-$I$211)*MIN(L$3-$O$2,$Q$2)/$Q$2))</f>
        <v>7400.67281458697</v>
      </c>
      <c r="M222" s="15" t="n">
        <f aca="false">L222*(1+IF(M$3&lt;=$O$2,$D222,$D222-($D222-$I$211)*MIN(M$3-$O$2,$Q$2)/$Q$2))</f>
        <v>7715.6882347155</v>
      </c>
      <c r="N222" s="15" t="n">
        <f aca="false">M222*(1+IF(N$3&lt;=$O$2,$D222,$D222-($D222-$I$211)*MIN(N$3-$O$2,$Q$2)/$Q$2))</f>
        <v>7895.46377058437</v>
      </c>
      <c r="O222" s="15" t="n">
        <f aca="false">SUMPRODUCT(E222:N222,1/(1+$F$211)^$E$3:$N$3)*$E$2</f>
        <v>19625.0378015662</v>
      </c>
      <c r="P222" s="15" t="n">
        <f aca="false">N222*$E$2*(1+$I$211)/($F$211-$I$211)/(1+$F$211)^$N$3</f>
        <v>27476.1770430429</v>
      </c>
      <c r="Q222" s="15" t="n">
        <f aca="false">O222+P222</f>
        <v>47101.2148446092</v>
      </c>
      <c r="R222" s="15" t="n">
        <f aca="false">Q222-$G$2+$I$2</f>
        <v>40913.9148446092</v>
      </c>
      <c r="S222" s="42" t="n">
        <f aca="false">R222/$K$2</f>
        <v>562.777370627361</v>
      </c>
      <c r="T222" s="43" t="n">
        <f aca="false">S222-$M$2</f>
        <v>1.97957145267071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0.1181640625</v>
      </c>
      <c r="C223" s="25" t="n">
        <f aca="false">IF(T222&gt;0,D222,C222)</f>
        <v>0.11962890625</v>
      </c>
      <c r="D223" s="41" t="n">
        <f aca="false">(B223+C223)/2</f>
        <v>0.118896484375</v>
      </c>
      <c r="E223" s="15" t="n">
        <f aca="false">$C$2*(1+IF(E$3&lt;=$O$2,$D223,$D223-($D223-$I$211)*MIN(E$3-$O$2,$Q$2)/$Q$2))</f>
        <v>3725.92529296875</v>
      </c>
      <c r="F223" s="15" t="n">
        <f aca="false">E223*(1+IF(F$3&lt;=$O$2,$D223,$D223-($D223-$I$211)*MIN(F$3-$O$2,$Q$2)/$Q$2))</f>
        <v>4168.92471134663</v>
      </c>
      <c r="G223" s="15" t="n">
        <f aca="false">F223*(1+IF(G$3&lt;=$O$2,$D223,$D223-($D223-$I$211)*MIN(G$3-$O$2,$Q$2)/$Q$2))</f>
        <v>4664.5952031498</v>
      </c>
      <c r="H223" s="15" t="n">
        <f aca="false">G223*(1+IF(H$3&lt;=$O$2,$D223,$D223-($D223-$I$211)*MIN(H$3-$O$2,$Q$2)/$Q$2))</f>
        <v>5219.1991738368</v>
      </c>
      <c r="I223" s="15" t="n">
        <f aca="false">H223*(1+IF(I$3&lt;=$O$2,$D223,$D223-($D223-$I$211)*MIN(I$3-$O$2,$Q$2)/$Q$2))</f>
        <v>5839.7436068589</v>
      </c>
      <c r="J223" s="15" t="n">
        <f aca="false">I223*(1+IF(J$3&lt;=$O$2,$D223,$D223-($D223-$I$211)*MIN(J$3-$O$2,$Q$2)/$Q$2))</f>
        <v>6422.41679967239</v>
      </c>
      <c r="K223" s="15" t="n">
        <f aca="false">J223*(1+IF(K$3&lt;=$O$2,$D223,$D223-($D223-$I$211)*MIN(K$3-$O$2,$Q$2)/$Q$2))</f>
        <v>6940.43539144853</v>
      </c>
      <c r="L223" s="15" t="n">
        <f aca="false">K223*(1+IF(L$3&lt;=$O$2,$D223,$D223-($D223-$I$211)*MIN(L$3-$O$2,$Q$2)/$Q$2))</f>
        <v>7367.540025451</v>
      </c>
      <c r="M223" s="15" t="n">
        <f aca="false">L223*(1+IF(M$3&lt;=$O$2,$D223,$D223-($D223-$I$211)*MIN(M$3-$O$2,$Q$2)/$Q$2))</f>
        <v>7680.06589302905</v>
      </c>
      <c r="N223" s="15" t="n">
        <f aca="false">M223*(1+IF(N$3&lt;=$O$2,$D223,$D223-($D223-$I$211)*MIN(N$3-$O$2,$Q$2)/$Q$2))</f>
        <v>7859.01142833663</v>
      </c>
      <c r="O223" s="15" t="n">
        <f aca="false">SUMPRODUCT(E223:N223,1/(1+$F$211)^$E$3:$N$3)*$E$2</f>
        <v>19562.8682751306</v>
      </c>
      <c r="P223" s="15" t="n">
        <f aca="false">N223*$E$2*(1+$I$211)/($F$211-$I$211)/(1+$F$211)^$N$3</f>
        <v>27349.3230622845</v>
      </c>
      <c r="Q223" s="15" t="n">
        <f aca="false">O223+P223</f>
        <v>46912.1913374151</v>
      </c>
      <c r="R223" s="15" t="n">
        <f aca="false">Q223-$G$2+$I$2</f>
        <v>40724.8913374151</v>
      </c>
      <c r="S223" s="42" t="n">
        <f aca="false">R223/$K$2</f>
        <v>560.177322385352</v>
      </c>
      <c r="T223" s="43" t="n">
        <f aca="false">S223-$M$2</f>
        <v>-0.620476789338341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0.118896484375</v>
      </c>
      <c r="C224" s="25" t="n">
        <f aca="false">IF(T223&gt;0,D223,C223)</f>
        <v>0.11962890625</v>
      </c>
      <c r="D224" s="41" t="n">
        <f aca="false">(B224+C224)/2</f>
        <v>0.1192626953125</v>
      </c>
      <c r="E224" s="15" t="n">
        <f aca="false">$C$2*(1+IF(E$3&lt;=$O$2,$D224,$D224-($D224-$I$211)*MIN(E$3-$O$2,$Q$2)/$Q$2))</f>
        <v>3727.14477539063</v>
      </c>
      <c r="F224" s="15" t="n">
        <f aca="false">E224*(1+IF(F$3&lt;=$O$2,$D224,$D224-($D224-$I$211)*MIN(F$3-$O$2,$Q$2)/$Q$2))</f>
        <v>4171.65410712361</v>
      </c>
      <c r="G224" s="15" t="n">
        <f aca="false">F224*(1+IF(G$3&lt;=$O$2,$D224,$D224-($D224-$I$211)*MIN(G$3-$O$2,$Q$2)/$Q$2))</f>
        <v>4669.17681985064</v>
      </c>
      <c r="H224" s="15" t="n">
        <f aca="false">G224*(1+IF(H$3&lt;=$O$2,$D224,$D224-($D224-$I$211)*MIN(H$3-$O$2,$Q$2)/$Q$2))</f>
        <v>5226.03543227667</v>
      </c>
      <c r="I224" s="15" t="n">
        <f aca="false">H224*(1+IF(I$3&lt;=$O$2,$D224,$D224-($D224-$I$211)*MIN(I$3-$O$2,$Q$2)/$Q$2))</f>
        <v>5849.30650372861</v>
      </c>
      <c r="J224" s="15" t="n">
        <f aca="false">I224*(1+IF(J$3&lt;=$O$2,$D224,$D224-($D224-$I$211)*MIN(J$3-$O$2,$Q$2)/$Q$2))</f>
        <v>6434.64751951087</v>
      </c>
      <c r="K224" s="15" t="n">
        <f aca="false">J224*(1+IF(K$3&lt;=$O$2,$D224,$D224-($D224-$I$211)*MIN(K$3-$O$2,$Q$2)/$Q$2))</f>
        <v>6955.06647833037</v>
      </c>
      <c r="L224" s="15" t="n">
        <f aca="false">K224*(1+IF(L$3&lt;=$O$2,$D224,$D224-($D224-$I$211)*MIN(L$3-$O$2,$Q$2)/$Q$2))</f>
        <v>7384.09029741075</v>
      </c>
      <c r="M224" s="15" t="n">
        <f aca="false">L224*(1+IF(M$3&lt;=$O$2,$D224,$D224-($D224-$I$211)*MIN(M$3-$O$2,$Q$2)/$Q$2))</f>
        <v>7697.8590428145</v>
      </c>
      <c r="N224" s="15" t="n">
        <f aca="false">M224*(1+IF(N$3&lt;=$O$2,$D224,$D224-($D224-$I$211)*MIN(N$3-$O$2,$Q$2)/$Q$2))</f>
        <v>7877.21915851208</v>
      </c>
      <c r="O224" s="15" t="n">
        <f aca="false">SUMPRODUCT(E224:N224,1/(1+$F$211)^$E$3:$N$3)*$E$2</f>
        <v>19593.9286591209</v>
      </c>
      <c r="P224" s="15" t="n">
        <f aca="false">N224*$E$2*(1+$I$211)/($F$211-$I$211)/(1+$F$211)^$N$3</f>
        <v>27412.6858782494</v>
      </c>
      <c r="Q224" s="15" t="n">
        <f aca="false">O224+P224</f>
        <v>47006.6145373703</v>
      </c>
      <c r="R224" s="15" t="n">
        <f aca="false">Q224-$G$2+$I$2</f>
        <v>40819.3145373703</v>
      </c>
      <c r="S224" s="42" t="n">
        <f aca="false">R224/$K$2</f>
        <v>561.476128437005</v>
      </c>
      <c r="T224" s="43" t="n">
        <f aca="false">S224-$M$2</f>
        <v>0.678329262314492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0.118896484375</v>
      </c>
      <c r="C225" s="25" t="n">
        <f aca="false">IF(T224&gt;0,D224,C224)</f>
        <v>0.1192626953125</v>
      </c>
      <c r="D225" s="41" t="n">
        <f aca="false">(B225+C225)/2</f>
        <v>0.11907958984375</v>
      </c>
      <c r="E225" s="15" t="n">
        <f aca="false">$C$2*(1+IF(E$3&lt;=$O$2,$D225,$D225-($D225-$I$211)*MIN(E$3-$O$2,$Q$2)/$Q$2))</f>
        <v>3726.53503417969</v>
      </c>
      <c r="F225" s="15" t="n">
        <f aca="false">E225*(1+IF(F$3&lt;=$O$2,$D225,$D225-($D225-$I$211)*MIN(F$3-$O$2,$Q$2)/$Q$2))</f>
        <v>4170.28929758817</v>
      </c>
      <c r="G225" s="15" t="n">
        <f aca="false">F225*(1+IF(G$3&lt;=$O$2,$D225,$D225-($D225-$I$211)*MIN(G$3-$O$2,$Q$2)/$Q$2))</f>
        <v>4666.88563667475</v>
      </c>
      <c r="H225" s="15" t="n">
        <f aca="false">G225*(1+IF(H$3&lt;=$O$2,$D225,$D225-($D225-$I$211)*MIN(H$3-$O$2,$Q$2)/$Q$2))</f>
        <v>5222.61646413767</v>
      </c>
      <c r="I225" s="15" t="n">
        <f aca="false">H225*(1+IF(I$3&lt;=$O$2,$D225,$D225-($D225-$I$211)*MIN(I$3-$O$2,$Q$2)/$Q$2))</f>
        <v>5844.5234905984</v>
      </c>
      <c r="J225" s="15" t="n">
        <f aca="false">I225*(1+IF(J$3&lt;=$O$2,$D225,$D225-($D225-$I$211)*MIN(J$3-$O$2,$Q$2)/$Q$2))</f>
        <v>6428.52973813868</v>
      </c>
      <c r="K225" s="15" t="n">
        <f aca="false">J225*(1+IF(K$3&lt;=$O$2,$D225,$D225-($D225-$I$211)*MIN(K$3-$O$2,$Q$2)/$Q$2))</f>
        <v>6947.74764600767</v>
      </c>
      <c r="L225" s="15" t="n">
        <f aca="false">K225*(1+IF(L$3&lt;=$O$2,$D225,$D225-($D225-$I$211)*MIN(L$3-$O$2,$Q$2)/$Q$2))</f>
        <v>7375.81113410865</v>
      </c>
      <c r="M225" s="15" t="n">
        <f aca="false">L225*(1+IF(M$3&lt;=$O$2,$D225,$D225-($D225-$I$211)*MIN(M$3-$O$2,$Q$2)/$Q$2))</f>
        <v>7688.95796657136</v>
      </c>
      <c r="N225" s="15" t="n">
        <f aca="false">M225*(1+IF(N$3&lt;=$O$2,$D225,$D225-($D225-$I$211)*MIN(N$3-$O$2,$Q$2)/$Q$2))</f>
        <v>7868.11068719247</v>
      </c>
      <c r="O225" s="15" t="n">
        <f aca="false">SUMPRODUCT(E225:N225,1/(1+$F$211)^$E$3:$N$3)*$E$2</f>
        <v>19578.3923767271</v>
      </c>
      <c r="P225" s="15" t="n">
        <f aca="false">N225*$E$2*(1+$I$211)/($F$211-$I$211)/(1+$F$211)^$N$3</f>
        <v>27380.9884406015</v>
      </c>
      <c r="Q225" s="15" t="n">
        <f aca="false">O225+P225</f>
        <v>46959.3808173286</v>
      </c>
      <c r="R225" s="15" t="n">
        <f aca="false">Q225-$G$2+$I$2</f>
        <v>40772.0808173286</v>
      </c>
      <c r="S225" s="42" t="n">
        <f aca="false">R225/$K$2</f>
        <v>560.826421146198</v>
      </c>
      <c r="T225" s="43" t="n">
        <f aca="false">S225-$M$2</f>
        <v>0.0286219715075049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0.118896484375</v>
      </c>
      <c r="C226" s="25" t="n">
        <f aca="false">IF(T225&gt;0,D225,C225)</f>
        <v>0.11907958984375</v>
      </c>
      <c r="D226" s="41" t="n">
        <f aca="false">(B226+C226)/2</f>
        <v>0.118988037109375</v>
      </c>
      <c r="E226" s="15" t="n">
        <f aca="false">$C$2*(1+IF(E$3&lt;=$O$2,$D226,$D226-($D226-$I$211)*MIN(E$3-$O$2,$Q$2)/$Q$2))</f>
        <v>3726.23016357422</v>
      </c>
      <c r="F226" s="15" t="n">
        <f aca="false">E226*(1+IF(F$3&lt;=$O$2,$D226,$D226-($D226-$I$211)*MIN(F$3-$O$2,$Q$2)/$Q$2))</f>
        <v>4169.60697655566</v>
      </c>
      <c r="G226" s="15" t="n">
        <f aca="false">F226*(1+IF(G$3&lt;=$O$2,$D226,$D226-($D226-$I$211)*MIN(G$3-$O$2,$Q$2)/$Q$2))</f>
        <v>4665.74032621357</v>
      </c>
      <c r="H226" s="15" t="n">
        <f aca="false">G226*(1+IF(H$3&lt;=$O$2,$D226,$D226-($D226-$I$211)*MIN(H$3-$O$2,$Q$2)/$Q$2))</f>
        <v>5220.90760929178</v>
      </c>
      <c r="I226" s="15" t="n">
        <f aca="false">H226*(1+IF(I$3&lt;=$O$2,$D226,$D226-($D226-$I$211)*MIN(I$3-$O$2,$Q$2)/$Q$2))</f>
        <v>5842.13315765081</v>
      </c>
      <c r="J226" s="15" t="n">
        <f aca="false">I226*(1+IF(J$3&lt;=$O$2,$D226,$D226-($D226-$I$211)*MIN(J$3-$O$2,$Q$2)/$Q$2))</f>
        <v>6425.47266373384</v>
      </c>
      <c r="K226" s="15" t="n">
        <f aca="false">J226*(1+IF(K$3&lt;=$O$2,$D226,$D226-($D226-$I$211)*MIN(K$3-$O$2,$Q$2)/$Q$2))</f>
        <v>6944.09069681442</v>
      </c>
      <c r="L226" s="15" t="n">
        <f aca="false">K226*(1+IF(L$3&lt;=$O$2,$D226,$D226-($D226-$I$211)*MIN(L$3-$O$2,$Q$2)/$Q$2))</f>
        <v>7371.67457336525</v>
      </c>
      <c r="M226" s="15" t="n">
        <f aca="false">L226*(1+IF(M$3&lt;=$O$2,$D226,$D226-($D226-$I$211)*MIN(M$3-$O$2,$Q$2)/$Q$2))</f>
        <v>7684.51080495154</v>
      </c>
      <c r="N226" s="15" t="n">
        <f aca="false">M226*(1+IF(N$3&lt;=$O$2,$D226,$D226-($D226-$I$211)*MIN(N$3-$O$2,$Q$2)/$Q$2))</f>
        <v>7863.55990670691</v>
      </c>
      <c r="O226" s="15" t="n">
        <f aca="false">SUMPRODUCT(E226:N226,1/(1+$F$211)^$E$3:$N$3)*$E$2</f>
        <v>19570.6288038799</v>
      </c>
      <c r="P226" s="15" t="n">
        <f aca="false">N226*$E$2*(1+$I$211)/($F$211-$I$211)/(1+$F$211)^$N$3</f>
        <v>27365.1517457678</v>
      </c>
      <c r="Q226" s="15" t="n">
        <f aca="false">O226+P226</f>
        <v>46935.7805496477</v>
      </c>
      <c r="R226" s="15" t="n">
        <f aca="false">Q226-$G$2+$I$2</f>
        <v>40748.4805496477</v>
      </c>
      <c r="S226" s="42" t="n">
        <f aca="false">R226/$K$2</f>
        <v>560.501795731055</v>
      </c>
      <c r="T226" s="43" t="n">
        <f aca="false">S226-$M$2</f>
        <v>-0.296003443635414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0.118988037109375</v>
      </c>
      <c r="C227" s="25" t="n">
        <f aca="false">IF(T226&gt;0,D226,C226)</f>
        <v>0.11907958984375</v>
      </c>
      <c r="D227" s="41" t="n">
        <f aca="false">(B227+C227)/2</f>
        <v>0.119033813476563</v>
      </c>
      <c r="E227" s="15" t="n">
        <f aca="false">$C$2*(1+IF(E$3&lt;=$O$2,$D227,$D227-($D227-$I$211)*MIN(E$3-$O$2,$Q$2)/$Q$2))</f>
        <v>3726.38259887695</v>
      </c>
      <c r="F227" s="15" t="n">
        <f aca="false">E227*(1+IF(F$3&lt;=$O$2,$D227,$D227-($D227-$I$211)*MIN(F$3-$O$2,$Q$2)/$Q$2))</f>
        <v>4169.94813009398</v>
      </c>
      <c r="G227" s="15" t="n">
        <f aca="false">F227*(1+IF(G$3&lt;=$O$2,$D227,$D227-($D227-$I$211)*MIN(G$3-$O$2,$Q$2)/$Q$2))</f>
        <v>4666.31295801853</v>
      </c>
      <c r="H227" s="15" t="n">
        <f aca="false">G227*(1+IF(H$3&lt;=$O$2,$D227,$D227-($D227-$I$211)*MIN(H$3-$O$2,$Q$2)/$Q$2))</f>
        <v>5221.76198428657</v>
      </c>
      <c r="I227" s="15" t="n">
        <f aca="false">H227*(1+IF(I$3&lt;=$O$2,$D227,$D227-($D227-$I$211)*MIN(I$3-$O$2,$Q$2)/$Q$2))</f>
        <v>5843.32822634314</v>
      </c>
      <c r="J227" s="15" t="n">
        <f aca="false">I227*(1+IF(J$3&lt;=$O$2,$D227,$D227-($D227-$I$211)*MIN(J$3-$O$2,$Q$2)/$Q$2))</f>
        <v>6427.00104961939</v>
      </c>
      <c r="K227" s="15" t="n">
        <f aca="false">J227*(1+IF(K$3&lt;=$O$2,$D227,$D227-($D227-$I$211)*MIN(K$3-$O$2,$Q$2)/$Q$2))</f>
        <v>6945.91896589429</v>
      </c>
      <c r="L227" s="15" t="n">
        <f aca="false">K227*(1+IF(L$3&lt;=$O$2,$D227,$D227-($D227-$I$211)*MIN(L$3-$O$2,$Q$2)/$Q$2))</f>
        <v>7373.74260208132</v>
      </c>
      <c r="M227" s="15" t="n">
        <f aca="false">L227*(1+IF(M$3&lt;=$O$2,$D227,$D227-($D227-$I$211)*MIN(M$3-$O$2,$Q$2)/$Q$2))</f>
        <v>7686.73410448818</v>
      </c>
      <c r="N227" s="15" t="n">
        <f aca="false">M227*(1+IF(N$3&lt;=$O$2,$D227,$D227-($D227-$I$211)*MIN(N$3-$O$2,$Q$2)/$Q$2))</f>
        <v>7865.83500912276</v>
      </c>
      <c r="O227" s="15" t="n">
        <f aca="false">SUMPRODUCT(E227:N227,1/(1+$F$211)^$E$3:$N$3)*$E$2</f>
        <v>19574.5102097224</v>
      </c>
      <c r="P227" s="15" t="n">
        <f aca="false">N227*$E$2*(1+$I$211)/($F$211-$I$211)/(1+$F$211)^$N$3</f>
        <v>27373.0690915483</v>
      </c>
      <c r="Q227" s="15" t="n">
        <f aca="false">O227+P227</f>
        <v>46947.5793012707</v>
      </c>
      <c r="R227" s="15" t="n">
        <f aca="false">Q227-$G$2+$I$2</f>
        <v>40760.2793012707</v>
      </c>
      <c r="S227" s="42" t="n">
        <f aca="false">R227/$K$2</f>
        <v>560.664089426007</v>
      </c>
      <c r="T227" s="43" t="n">
        <f aca="false">S227-$M$2</f>
        <v>-0.133709748683827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0.119033813476563</v>
      </c>
      <c r="C228" s="25" t="n">
        <f aca="false">IF(T227&gt;0,D227,C227)</f>
        <v>0.11907958984375</v>
      </c>
      <c r="D228" s="41" t="n">
        <f aca="false">(B228+C228)/2</f>
        <v>0.119056701660156</v>
      </c>
      <c r="E228" s="15" t="n">
        <f aca="false">$C$2*(1+IF(E$3&lt;=$O$2,$D228,$D228-($D228-$I$211)*MIN(E$3-$O$2,$Q$2)/$Q$2))</f>
        <v>3726.45881652832</v>
      </c>
      <c r="F228" s="15" t="n">
        <f aca="false">E228*(1+IF(F$3&lt;=$O$2,$D228,$D228-($D228-$I$211)*MIN(F$3-$O$2,$Q$2)/$Q$2))</f>
        <v>4170.11871209659</v>
      </c>
      <c r="G228" s="15" t="n">
        <f aca="false">F228*(1+IF(G$3&lt;=$O$2,$D228,$D228-($D228-$I$211)*MIN(G$3-$O$2,$Q$2)/$Q$2))</f>
        <v>4666.59929149011</v>
      </c>
      <c r="H228" s="15" t="n">
        <f aca="false">G228*(1+IF(H$3&lt;=$O$2,$D228,$D228-($D228-$I$211)*MIN(H$3-$O$2,$Q$2)/$Q$2))</f>
        <v>5222.18921110455</v>
      </c>
      <c r="I228" s="15" t="n">
        <f aca="false">H228*(1+IF(I$3&lt;=$O$2,$D228,$D228-($D228-$I$211)*MIN(I$3-$O$2,$Q$2)/$Q$2))</f>
        <v>5843.92583402391</v>
      </c>
      <c r="J228" s="15" t="n">
        <f aca="false">I228*(1+IF(J$3&lt;=$O$2,$D228,$D228-($D228-$I$211)*MIN(J$3-$O$2,$Q$2)/$Q$2))</f>
        <v>6427.76535604683</v>
      </c>
      <c r="K228" s="15" t="n">
        <f aca="false">J228*(1+IF(K$3&lt;=$O$2,$D228,$D228-($D228-$I$211)*MIN(K$3-$O$2,$Q$2)/$Q$2))</f>
        <v>6946.833254567</v>
      </c>
      <c r="L228" s="15" t="n">
        <f aca="false">K228*(1+IF(L$3&lt;=$O$2,$D228,$D228-($D228-$I$211)*MIN(L$3-$O$2,$Q$2)/$Q$2))</f>
        <v>7374.77680517458</v>
      </c>
      <c r="M228" s="15" t="n">
        <f aca="false">L228*(1+IF(M$3&lt;=$O$2,$D228,$D228-($D228-$I$211)*MIN(M$3-$O$2,$Q$2)/$Q$2))</f>
        <v>7687.84596520382</v>
      </c>
      <c r="N228" s="15" t="n">
        <f aca="false">M228*(1+IF(N$3&lt;=$O$2,$D228,$D228-($D228-$I$211)*MIN(N$3-$O$2,$Q$2)/$Q$2))</f>
        <v>7866.97277619306</v>
      </c>
      <c r="O228" s="15" t="n">
        <f aca="false">SUMPRODUCT(E228:N228,1/(1+$F$211)^$E$3:$N$3)*$E$2</f>
        <v>19576.4511980709</v>
      </c>
      <c r="P228" s="15" t="n">
        <f aca="false">N228*$E$2*(1+$I$211)/($F$211-$I$211)/(1+$F$211)^$N$3</f>
        <v>27377.0285156386</v>
      </c>
      <c r="Q228" s="15" t="n">
        <f aca="false">O228+P228</f>
        <v>46953.4797137095</v>
      </c>
      <c r="R228" s="15" t="n">
        <f aca="false">Q228-$G$2+$I$2</f>
        <v>40766.1797137095</v>
      </c>
      <c r="S228" s="42" t="n">
        <f aca="false">R228/$K$2</f>
        <v>560.745250532455</v>
      </c>
      <c r="T228" s="43" t="n">
        <f aca="false">S228-$M$2</f>
        <v>-0.0525486422355925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0.119056701660156</v>
      </c>
      <c r="C229" s="25" t="n">
        <f aca="false">IF(T228&gt;0,D228,C228)</f>
        <v>0.11907958984375</v>
      </c>
      <c r="D229" s="41" t="n">
        <f aca="false">(B229+C229)/2</f>
        <v>0.119068145751953</v>
      </c>
      <c r="E229" s="15" t="n">
        <f aca="false">$C$2*(1+IF(E$3&lt;=$O$2,$D229,$D229-($D229-$I$211)*MIN(E$3-$O$2,$Q$2)/$Q$2))</f>
        <v>3726.496925354</v>
      </c>
      <c r="F229" s="15" t="n">
        <f aca="false">E229*(1+IF(F$3&lt;=$O$2,$D229,$D229-($D229-$I$211)*MIN(F$3-$O$2,$Q$2)/$Q$2))</f>
        <v>4170.20400440626</v>
      </c>
      <c r="G229" s="15" t="n">
        <f aca="false">F229*(1+IF(G$3&lt;=$O$2,$D229,$D229-($D229-$I$211)*MIN(G$3-$O$2,$Q$2)/$Q$2))</f>
        <v>4666.74246261828</v>
      </c>
      <c r="H229" s="15" t="n">
        <f aca="false">G229*(1+IF(H$3&lt;=$O$2,$D229,$D229-($D229-$I$211)*MIN(H$3-$O$2,$Q$2)/$Q$2))</f>
        <v>5222.40283434415</v>
      </c>
      <c r="I229" s="15" t="n">
        <f aca="false">H229*(1+IF(I$3&lt;=$O$2,$D229,$D229-($D229-$I$211)*MIN(I$3-$O$2,$Q$2)/$Q$2))</f>
        <v>5844.22465619925</v>
      </c>
      <c r="J229" s="15" t="n">
        <f aca="false">I229*(1+IF(J$3&lt;=$O$2,$D229,$D229-($D229-$I$211)*MIN(J$3-$O$2,$Q$2)/$Q$2))</f>
        <v>6428.14753763433</v>
      </c>
      <c r="K229" s="15" t="n">
        <f aca="false">J229*(1+IF(K$3&lt;=$O$2,$D229,$D229-($D229-$I$211)*MIN(K$3-$O$2,$Q$2)/$Q$2))</f>
        <v>6947.29043744074</v>
      </c>
      <c r="L229" s="15" t="n">
        <f aca="false">K229*(1+IF(L$3&lt;=$O$2,$D229,$D229-($D229-$I$211)*MIN(L$3-$O$2,$Q$2)/$Q$2))</f>
        <v>7375.2939539107</v>
      </c>
      <c r="M229" s="15" t="n">
        <f aca="false">L229*(1+IF(M$3&lt;=$O$2,$D229,$D229-($D229-$I$211)*MIN(M$3-$O$2,$Q$2)/$Q$2))</f>
        <v>7688.40194830514</v>
      </c>
      <c r="N229" s="15" t="n">
        <f aca="false">M229*(1+IF(N$3&lt;=$O$2,$D229,$D229-($D229-$I$211)*MIN(N$3-$O$2,$Q$2)/$Q$2))</f>
        <v>7867.54171370065</v>
      </c>
      <c r="O229" s="15" t="n">
        <f aca="false">SUMPRODUCT(E229:N229,1/(1+$F$211)^$E$3:$N$3)*$E$2</f>
        <v>19577.4217636094</v>
      </c>
      <c r="P229" s="15" t="n">
        <f aca="false">N229*$E$2*(1+$I$211)/($F$211-$I$211)/(1+$F$211)^$N$3</f>
        <v>27379.0084155076</v>
      </c>
      <c r="Q229" s="15" t="n">
        <f aca="false">O229+P229</f>
        <v>46956.430179117</v>
      </c>
      <c r="R229" s="15" t="n">
        <f aca="false">Q229-$G$2+$I$2</f>
        <v>40769.130179117</v>
      </c>
      <c r="S229" s="42" t="n">
        <f aca="false">R229/$K$2</f>
        <v>560.785834650853</v>
      </c>
      <c r="T229" s="43" t="n">
        <f aca="false">S229-$M$2</f>
        <v>-0.0119645238376052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0.119068145751953</v>
      </c>
      <c r="C230" s="25" t="n">
        <f aca="false">IF(T229&gt;0,D229,C229)</f>
        <v>0.11907958984375</v>
      </c>
      <c r="D230" s="41" t="n">
        <f aca="false">(B230+C230)/2</f>
        <v>0.119073867797852</v>
      </c>
      <c r="E230" s="15" t="n">
        <f aca="false">$C$2*(1+IF(E$3&lt;=$O$2,$D230,$D230-($D230-$I$211)*MIN(E$3-$O$2,$Q$2)/$Q$2))</f>
        <v>3726.51597976685</v>
      </c>
      <c r="F230" s="15" t="n">
        <f aca="false">E230*(1+IF(F$3&lt;=$O$2,$D230,$D230-($D230-$I$211)*MIN(F$3-$O$2,$Q$2)/$Q$2))</f>
        <v>4170.24665088818</v>
      </c>
      <c r="G230" s="15" t="n">
        <f aca="false">F230*(1+IF(G$3&lt;=$O$2,$D230,$D230-($D230-$I$211)*MIN(G$3-$O$2,$Q$2)/$Q$2))</f>
        <v>4666.81404928048</v>
      </c>
      <c r="H230" s="15" t="n">
        <f aca="false">G230*(1+IF(H$3&lt;=$O$2,$D230,$D230-($D230-$I$211)*MIN(H$3-$O$2,$Q$2)/$Q$2))</f>
        <v>5222.50964842166</v>
      </c>
      <c r="I230" s="15" t="n">
        <f aca="false">H230*(1+IF(I$3&lt;=$O$2,$D230,$D230-($D230-$I$211)*MIN(I$3-$O$2,$Q$2)/$Q$2))</f>
        <v>5844.37407187082</v>
      </c>
      <c r="J230" s="15" t="n">
        <f aca="false">I230*(1+IF(J$3&lt;=$O$2,$D230,$D230-($D230-$I$211)*MIN(J$3-$O$2,$Q$2)/$Q$2))</f>
        <v>6428.33863552185</v>
      </c>
      <c r="K230" s="15" t="n">
        <f aca="false">J230*(1+IF(K$3&lt;=$O$2,$D230,$D230-($D230-$I$211)*MIN(K$3-$O$2,$Q$2)/$Q$2))</f>
        <v>6947.51903851248</v>
      </c>
      <c r="L230" s="15" t="n">
        <f aca="false">K230*(1+IF(L$3&lt;=$O$2,$D230,$D230-($D230-$I$211)*MIN(L$3-$O$2,$Q$2)/$Q$2))</f>
        <v>7375.55254007685</v>
      </c>
      <c r="M230" s="15" t="n">
        <f aca="false">L230*(1+IF(M$3&lt;=$O$2,$D230,$D230-($D230-$I$211)*MIN(M$3-$O$2,$Q$2)/$Q$2))</f>
        <v>7688.67995304252</v>
      </c>
      <c r="N230" s="15" t="n">
        <f aca="false">M230*(1+IF(N$3&lt;=$O$2,$D230,$D230-($D230-$I$211)*MIN(N$3-$O$2,$Q$2)/$Q$2))</f>
        <v>7867.82619594842</v>
      </c>
      <c r="O230" s="15" t="n">
        <f aca="false">SUMPRODUCT(E230:N230,1/(1+$F$211)^$E$3:$N$3)*$E$2</f>
        <v>19577.9070642207</v>
      </c>
      <c r="P230" s="15" t="n">
        <f aca="false">N230*$E$2*(1+$I$211)/($F$211-$I$211)/(1+$F$211)^$N$3</f>
        <v>27379.998412401</v>
      </c>
      <c r="Q230" s="15" t="n">
        <f aca="false">O230+P230</f>
        <v>46957.9054766217</v>
      </c>
      <c r="R230" s="15" t="n">
        <f aca="false">Q230-$G$2+$I$2</f>
        <v>40770.6054766217</v>
      </c>
      <c r="S230" s="42" t="n">
        <f aca="false">R230/$K$2</f>
        <v>560.8061276014</v>
      </c>
      <c r="T230" s="43" t="n">
        <f aca="false">S230-$M$2</f>
        <v>0.00832842670899936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0.119068145751953</v>
      </c>
      <c r="C231" s="25" t="n">
        <f aca="false">IF(T230&gt;0,D230,C230)</f>
        <v>0.119073867797852</v>
      </c>
      <c r="D231" s="41" t="n">
        <f aca="false">(B231+C231)/2</f>
        <v>0.119071006774902</v>
      </c>
      <c r="E231" s="15" t="n">
        <f aca="false">$C$2*(1+IF(E$3&lt;=$O$2,$D231,$D231-($D231-$I$211)*MIN(E$3-$O$2,$Q$2)/$Q$2))</f>
        <v>3726.50645256043</v>
      </c>
      <c r="F231" s="15" t="n">
        <f aca="false">E231*(1+IF(F$3&lt;=$O$2,$D231,$D231-($D231-$I$211)*MIN(F$3-$O$2,$Q$2)/$Q$2))</f>
        <v>4170.22532761996</v>
      </c>
      <c r="G231" s="15" t="n">
        <f aca="false">F231*(1+IF(G$3&lt;=$O$2,$D231,$D231-($D231-$I$211)*MIN(G$3-$O$2,$Q$2)/$Q$2))</f>
        <v>4666.77825585787</v>
      </c>
      <c r="H231" s="15" t="n">
        <f aca="false">G231*(1+IF(H$3&lt;=$O$2,$D231,$D231-($D231-$I$211)*MIN(H$3-$O$2,$Q$2)/$Q$2))</f>
        <v>5222.45624117809</v>
      </c>
      <c r="I231" s="15" t="n">
        <f aca="false">H231*(1+IF(I$3&lt;=$O$2,$D231,$D231-($D231-$I$211)*MIN(I$3-$O$2,$Q$2)/$Q$2))</f>
        <v>5844.29936365304</v>
      </c>
      <c r="J231" s="15" t="n">
        <f aca="false">I231*(1+IF(J$3&lt;=$O$2,$D231,$D231-($D231-$I$211)*MIN(J$3-$O$2,$Q$2)/$Q$2))</f>
        <v>6428.24308598693</v>
      </c>
      <c r="K231" s="15" t="n">
        <f aca="false">J231*(1+IF(K$3&lt;=$O$2,$D231,$D231-($D231-$I$211)*MIN(K$3-$O$2,$Q$2)/$Q$2))</f>
        <v>6947.40473717369</v>
      </c>
      <c r="L231" s="15" t="n">
        <f aca="false">K231*(1+IF(L$3&lt;=$O$2,$D231,$D231-($D231-$I$211)*MIN(L$3-$O$2,$Q$2)/$Q$2))</f>
        <v>7375.42324601058</v>
      </c>
      <c r="M231" s="15" t="n">
        <f aca="false">L231*(1+IF(M$3&lt;=$O$2,$D231,$D231-($D231-$I$211)*MIN(M$3-$O$2,$Q$2)/$Q$2))</f>
        <v>7688.54094957491</v>
      </c>
      <c r="N231" s="15" t="n">
        <f aca="false">M231*(1+IF(N$3&lt;=$O$2,$D231,$D231-($D231-$I$211)*MIN(N$3-$O$2,$Q$2)/$Q$2))</f>
        <v>7867.68395370001</v>
      </c>
      <c r="O231" s="15" t="n">
        <f aca="false">SUMPRODUCT(E231:N231,1/(1+$F$211)^$E$3:$N$3)*$E$2</f>
        <v>19577.6644124282</v>
      </c>
      <c r="P231" s="15" t="n">
        <f aca="false">N231*$E$2*(1+$I$211)/($F$211-$I$211)/(1+$F$211)^$N$3</f>
        <v>27379.503410041</v>
      </c>
      <c r="Q231" s="15" t="n">
        <f aca="false">O231+P231</f>
        <v>46957.1678224692</v>
      </c>
      <c r="R231" s="15" t="n">
        <f aca="false">Q231-$G$2+$I$2</f>
        <v>40769.8678224692</v>
      </c>
      <c r="S231" s="42" t="n">
        <f aca="false">R231/$K$2</f>
        <v>560.795981051846</v>
      </c>
      <c r="T231" s="43" t="n">
        <f aca="false">S231-$M$2</f>
        <v>-0.00181812284495209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0.119071006774902</v>
      </c>
      <c r="C232" s="25" t="n">
        <f aca="false">IF(T231&gt;0,D231,C231)</f>
        <v>0.119073867797852</v>
      </c>
      <c r="D232" s="41" t="n">
        <f aca="false">(B232+C232)/2</f>
        <v>0.119072437286377</v>
      </c>
      <c r="E232" s="15" t="n">
        <f aca="false">$C$2*(1+IF(E$3&lt;=$O$2,$D232,$D232-($D232-$I$211)*MIN(E$3-$O$2,$Q$2)/$Q$2))</f>
        <v>3726.51121616364</v>
      </c>
      <c r="F232" s="15" t="n">
        <f aca="false">E232*(1+IF(F$3&lt;=$O$2,$D232,$D232-($D232-$I$211)*MIN(F$3-$O$2,$Q$2)/$Q$2))</f>
        <v>4170.23598924726</v>
      </c>
      <c r="G232" s="15" t="n">
        <f aca="false">F232*(1+IF(G$3&lt;=$O$2,$D232,$D232-($D232-$I$211)*MIN(G$3-$O$2,$Q$2)/$Q$2))</f>
        <v>4666.7961525463</v>
      </c>
      <c r="H232" s="15" t="n">
        <f aca="false">G232*(1+IF(H$3&lt;=$O$2,$D232,$D232-($D232-$I$211)*MIN(H$3-$O$2,$Q$2)/$Q$2))</f>
        <v>5222.48294474867</v>
      </c>
      <c r="I232" s="15" t="n">
        <f aca="false">H232*(1+IF(I$3&lt;=$O$2,$D232,$D232-($D232-$I$211)*MIN(I$3-$O$2,$Q$2)/$Q$2))</f>
        <v>5844.33671766643</v>
      </c>
      <c r="J232" s="15" t="n">
        <f aca="false">I232*(1+IF(J$3&lt;=$O$2,$D232,$D232-($D232-$I$211)*MIN(J$3-$O$2,$Q$2)/$Q$2))</f>
        <v>6428.2908606066</v>
      </c>
      <c r="K232" s="15" t="n">
        <f aca="false">J232*(1+IF(K$3&lt;=$O$2,$D232,$D232-($D232-$I$211)*MIN(K$3-$O$2,$Q$2)/$Q$2))</f>
        <v>6947.46188764236</v>
      </c>
      <c r="L232" s="15" t="n">
        <f aca="false">K232*(1+IF(L$3&lt;=$O$2,$D232,$D232-($D232-$I$211)*MIN(L$3-$O$2,$Q$2)/$Q$2))</f>
        <v>7375.48789279791</v>
      </c>
      <c r="M232" s="15" t="n">
        <f aca="false">L232*(1+IF(M$3&lt;=$O$2,$D232,$D232-($D232-$I$211)*MIN(M$3-$O$2,$Q$2)/$Q$2))</f>
        <v>7688.61045103399</v>
      </c>
      <c r="N232" s="15" t="n">
        <f aca="false">M232*(1+IF(N$3&lt;=$O$2,$D232,$D232-($D232-$I$211)*MIN(N$3-$O$2,$Q$2)/$Q$2))</f>
        <v>7867.75507454308</v>
      </c>
      <c r="O232" s="15" t="n">
        <f aca="false">SUMPRODUCT(E232:N232,1/(1+$F$211)^$E$3:$N$3)*$E$2</f>
        <v>19577.7857379528</v>
      </c>
      <c r="P232" s="15" t="n">
        <f aca="false">N232*$E$2*(1+$I$211)/($F$211-$I$211)/(1+$F$211)^$N$3</f>
        <v>27379.7509102426</v>
      </c>
      <c r="Q232" s="15" t="n">
        <f aca="false">O232+P232</f>
        <v>46957.5366481954</v>
      </c>
      <c r="R232" s="15" t="n">
        <f aca="false">Q232-$G$2+$I$2</f>
        <v>40770.2366481954</v>
      </c>
      <c r="S232" s="42" t="n">
        <f aca="false">R232/$K$2</f>
        <v>560.801054308052</v>
      </c>
      <c r="T232" s="43" t="n">
        <f aca="false">S232-$M$2</f>
        <v>0.0032551333616766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0.119071006774902</v>
      </c>
      <c r="C233" s="25" t="n">
        <f aca="false">IF(T232&gt;0,D232,C232)</f>
        <v>0.119072437286377</v>
      </c>
      <c r="D233" s="41" t="n">
        <f aca="false">(B233+C233)/2</f>
        <v>0.11907172203064</v>
      </c>
      <c r="E233" s="15" t="n">
        <f aca="false">$C$2*(1+IF(E$3&lt;=$O$2,$D233,$D233-($D233-$I$211)*MIN(E$3-$O$2,$Q$2)/$Q$2))</f>
        <v>3726.50883436203</v>
      </c>
      <c r="F233" s="15" t="n">
        <f aca="false">E233*(1+IF(F$3&lt;=$O$2,$D233,$D233-($D233-$I$211)*MIN(F$3-$O$2,$Q$2)/$Q$2))</f>
        <v>4170.23065843191</v>
      </c>
      <c r="G233" s="15" t="n">
        <f aca="false">F233*(1+IF(G$3&lt;=$O$2,$D233,$D233-($D233-$I$211)*MIN(G$3-$O$2,$Q$2)/$Q$2))</f>
        <v>4666.78720419636</v>
      </c>
      <c r="H233" s="15" t="n">
        <f aca="false">G233*(1+IF(H$3&lt;=$O$2,$D233,$D233-($D233-$I$211)*MIN(H$3-$O$2,$Q$2)/$Q$2))</f>
        <v>5222.46959295058</v>
      </c>
      <c r="I233" s="15" t="n">
        <f aca="false">H233*(1+IF(I$3&lt;=$O$2,$D233,$D233-($D233-$I$211)*MIN(I$3-$O$2,$Q$2)/$Q$2))</f>
        <v>5844.31804063586</v>
      </c>
      <c r="J233" s="15" t="n">
        <f aca="false">I233*(1+IF(J$3&lt;=$O$2,$D233,$D233-($D233-$I$211)*MIN(J$3-$O$2,$Q$2)/$Q$2))</f>
        <v>6428.26697325982</v>
      </c>
      <c r="K233" s="15" t="n">
        <f aca="false">J233*(1+IF(K$3&lt;=$O$2,$D233,$D233-($D233-$I$211)*MIN(K$3-$O$2,$Q$2)/$Q$2))</f>
        <v>6947.43331235784</v>
      </c>
      <c r="L233" s="15" t="n">
        <f aca="false">K233*(1+IF(L$3&lt;=$O$2,$D233,$D233-($D233-$I$211)*MIN(L$3-$O$2,$Q$2)/$Q$2))</f>
        <v>7375.45556934279</v>
      </c>
      <c r="M233" s="15" t="n">
        <f aca="false">L233*(1+IF(M$3&lt;=$O$2,$D233,$D233-($D233-$I$211)*MIN(M$3-$O$2,$Q$2)/$Q$2))</f>
        <v>7688.57570023577</v>
      </c>
      <c r="N233" s="15" t="n">
        <f aca="false">M233*(1+IF(N$3&lt;=$O$2,$D233,$D233-($D233-$I$211)*MIN(N$3-$O$2,$Q$2)/$Q$2))</f>
        <v>7867.71951405126</v>
      </c>
      <c r="O233" s="15" t="n">
        <f aca="false">SUMPRODUCT(E233:N233,1/(1+$F$211)^$E$3:$N$3)*$E$2</f>
        <v>19577.7250750976</v>
      </c>
      <c r="P233" s="15" t="n">
        <f aca="false">N233*$E$2*(1+$I$211)/($F$211-$I$211)/(1+$F$211)^$N$3</f>
        <v>27379.6271598972</v>
      </c>
      <c r="Q233" s="15" t="n">
        <f aca="false">O233+P233</f>
        <v>46957.3522349948</v>
      </c>
      <c r="R233" s="15" t="n">
        <f aca="false">Q233-$G$2+$I$2</f>
        <v>40770.0522349948</v>
      </c>
      <c r="S233" s="42" t="n">
        <f aca="false">R233/$K$2</f>
        <v>560.798517675306</v>
      </c>
      <c r="T233" s="43" t="n">
        <f aca="false">S233-$M$2</f>
        <v>0.000718500615676021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0.119071006774902</v>
      </c>
      <c r="C234" s="25" t="n">
        <f aca="false">IF(T233&gt;0,D233,C233)</f>
        <v>0.11907172203064</v>
      </c>
      <c r="D234" s="41" t="n">
        <f aca="false">(B234+C234)/2</f>
        <v>0.119071364402771</v>
      </c>
      <c r="E234" s="15" t="n">
        <f aca="false">$C$2*(1+IF(E$3&lt;=$O$2,$D234,$D234-($D234-$I$211)*MIN(E$3-$O$2,$Q$2)/$Q$2))</f>
        <v>3726.50764346123</v>
      </c>
      <c r="F234" s="15" t="n">
        <f aca="false">E234*(1+IF(F$3&lt;=$O$2,$D234,$D234-($D234-$I$211)*MIN(F$3-$O$2,$Q$2)/$Q$2))</f>
        <v>4170.22799302551</v>
      </c>
      <c r="G234" s="15" t="n">
        <f aca="false">F234*(1+IF(G$3&lt;=$O$2,$D234,$D234-($D234-$I$211)*MIN(G$3-$O$2,$Q$2)/$Q$2))</f>
        <v>4666.78273002569</v>
      </c>
      <c r="H234" s="15" t="n">
        <f aca="false">G234*(1+IF(H$3&lt;=$O$2,$D234,$D234-($D234-$I$211)*MIN(H$3-$O$2,$Q$2)/$Q$2))</f>
        <v>5222.46291706114</v>
      </c>
      <c r="I234" s="15" t="n">
        <f aca="false">H234*(1+IF(I$3&lt;=$O$2,$D234,$D234-($D234-$I$211)*MIN(I$3-$O$2,$Q$2)/$Q$2))</f>
        <v>5844.30870213848</v>
      </c>
      <c r="J234" s="15" t="n">
        <f aca="false">I234*(1+IF(J$3&lt;=$O$2,$D234,$D234-($D234-$I$211)*MIN(J$3-$O$2,$Q$2)/$Q$2))</f>
        <v>6428.25502961414</v>
      </c>
      <c r="K234" s="15" t="n">
        <f aca="false">J234*(1+IF(K$3&lt;=$O$2,$D234,$D234-($D234-$I$211)*MIN(K$3-$O$2,$Q$2)/$Q$2))</f>
        <v>6947.41902475322</v>
      </c>
      <c r="L234" s="15" t="n">
        <f aca="false">K234*(1+IF(L$3&lt;=$O$2,$D234,$D234-($D234-$I$211)*MIN(L$3-$O$2,$Q$2)/$Q$2))</f>
        <v>7375.43940766132</v>
      </c>
      <c r="M234" s="15" t="n">
        <f aca="false">L234*(1+IF(M$3&lt;=$O$2,$D234,$D234-($D234-$I$211)*MIN(M$3-$O$2,$Q$2)/$Q$2))</f>
        <v>7688.55832488817</v>
      </c>
      <c r="N234" s="15" t="n">
        <f aca="false">M234*(1+IF(N$3&lt;=$O$2,$D234,$D234-($D234-$I$211)*MIN(N$3-$O$2,$Q$2)/$Q$2))</f>
        <v>7867.70173385807</v>
      </c>
      <c r="O234" s="15" t="n">
        <f aca="false">SUMPRODUCT(E234:N234,1/(1+$F$211)^$E$3:$N$3)*$E$2</f>
        <v>19577.6947437397</v>
      </c>
      <c r="P234" s="15" t="n">
        <f aca="false">N234*$E$2*(1+$I$211)/($F$211-$I$211)/(1+$F$211)^$N$3</f>
        <v>27379.5652849079</v>
      </c>
      <c r="Q234" s="15" t="n">
        <f aca="false">O234+P234</f>
        <v>46957.2600286476</v>
      </c>
      <c r="R234" s="15" t="n">
        <f aca="false">Q234-$G$2+$I$2</f>
        <v>40769.9600286476</v>
      </c>
      <c r="S234" s="42" t="n">
        <f aca="false">R234/$K$2</f>
        <v>560.797249362415</v>
      </c>
      <c r="T234" s="43" t="n">
        <f aca="false">S234-$M$2</f>
        <v>-0.000549812275153272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0.119071364402771</v>
      </c>
      <c r="C235" s="25" t="n">
        <f aca="false">IF(T234&gt;0,D234,C234)</f>
        <v>0.11907172203064</v>
      </c>
      <c r="D235" s="41" t="n">
        <f aca="false">(B235+C235)/2</f>
        <v>0.119071543216705</v>
      </c>
      <c r="E235" s="15" t="n">
        <f aca="false">$C$2*(1+IF(E$3&lt;=$O$2,$D235,$D235-($D235-$I$211)*MIN(E$3-$O$2,$Q$2)/$Q$2))</f>
        <v>3726.50823891163</v>
      </c>
      <c r="F235" s="15" t="n">
        <f aca="false">E235*(1+IF(F$3&lt;=$O$2,$D235,$D235-($D235-$I$211)*MIN(F$3-$O$2,$Q$2)/$Q$2))</f>
        <v>4170.2293257286</v>
      </c>
      <c r="G235" s="15" t="n">
        <f aca="false">F235*(1+IF(G$3&lt;=$O$2,$D235,$D235-($D235-$I$211)*MIN(G$3-$O$2,$Q$2)/$Q$2))</f>
        <v>4666.78496711067</v>
      </c>
      <c r="H235" s="15" t="n">
        <f aca="false">G235*(1+IF(H$3&lt;=$O$2,$D235,$D235-($D235-$I$211)*MIN(H$3-$O$2,$Q$2)/$Q$2))</f>
        <v>5222.46625500506</v>
      </c>
      <c r="I235" s="15" t="n">
        <f aca="false">H235*(1+IF(I$3&lt;=$O$2,$D235,$D235-($D235-$I$211)*MIN(I$3-$O$2,$Q$2)/$Q$2))</f>
        <v>5844.31337138568</v>
      </c>
      <c r="J235" s="15" t="n">
        <f aca="false">I235*(1+IF(J$3&lt;=$O$2,$D235,$D235-($D235-$I$211)*MIN(J$3-$O$2,$Q$2)/$Q$2))</f>
        <v>6428.26100143467</v>
      </c>
      <c r="K235" s="15" t="n">
        <f aca="false">J235*(1+IF(K$3&lt;=$O$2,$D235,$D235-($D235-$I$211)*MIN(K$3-$O$2,$Q$2)/$Q$2))</f>
        <v>6947.42616855239</v>
      </c>
      <c r="L235" s="15" t="n">
        <f aca="false">K235*(1+IF(L$3&lt;=$O$2,$D235,$D235-($D235-$I$211)*MIN(L$3-$O$2,$Q$2)/$Q$2))</f>
        <v>7375.44748849822</v>
      </c>
      <c r="M235" s="15" t="n">
        <f aca="false">L235*(1+IF(M$3&lt;=$O$2,$D235,$D235-($D235-$I$211)*MIN(M$3-$O$2,$Q$2)/$Q$2))</f>
        <v>7688.56701255768</v>
      </c>
      <c r="N235" s="15" t="n">
        <f aca="false">M235*(1+IF(N$3&lt;=$O$2,$D235,$D235-($D235-$I$211)*MIN(N$3-$O$2,$Q$2)/$Q$2))</f>
        <v>7867.71062395027</v>
      </c>
      <c r="O235" s="15" t="n">
        <f aca="false">SUMPRODUCT(E235:N235,1/(1+$F$211)^$E$3:$N$3)*$E$2</f>
        <v>19577.7099094128</v>
      </c>
      <c r="P235" s="15" t="n">
        <f aca="false">N235*$E$2*(1+$I$211)/($F$211-$I$211)/(1+$F$211)^$N$3</f>
        <v>27379.5962223873</v>
      </c>
      <c r="Q235" s="15" t="n">
        <f aca="false">O235+P235</f>
        <v>46957.3061318001</v>
      </c>
      <c r="R235" s="15" t="n">
        <f aca="false">Q235-$G$2+$I$2</f>
        <v>40770.0061318001</v>
      </c>
      <c r="S235" s="42" t="n">
        <f aca="false">R235/$K$2</f>
        <v>560.797883518571</v>
      </c>
      <c r="T235" s="43" t="n">
        <f aca="false">S235-$M$2</f>
        <v>8.43438800757212E-005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0.119071364402771</v>
      </c>
      <c r="C236" s="25" t="n">
        <f aca="false">IF(T235&gt;0,D235,C235)</f>
        <v>0.119071543216705</v>
      </c>
      <c r="D236" s="41" t="n">
        <f aca="false">(B236+C236)/2</f>
        <v>0.119071453809738</v>
      </c>
      <c r="E236" s="15" t="n">
        <f aca="false">$C$2*(1+IF(E$3&lt;=$O$2,$D236,$D236-($D236-$I$211)*MIN(E$3-$O$2,$Q$2)/$Q$2))</f>
        <v>3726.50794118643</v>
      </c>
      <c r="F236" s="15" t="n">
        <f aca="false">E236*(1+IF(F$3&lt;=$O$2,$D236,$D236-($D236-$I$211)*MIN(F$3-$O$2,$Q$2)/$Q$2))</f>
        <v>4170.22865937703</v>
      </c>
      <c r="G236" s="15" t="n">
        <f aca="false">F236*(1+IF(G$3&lt;=$O$2,$D236,$D236-($D236-$I$211)*MIN(G$3-$O$2,$Q$2)/$Q$2))</f>
        <v>4666.78384856809</v>
      </c>
      <c r="H236" s="15" t="n">
        <f aca="false">G236*(1+IF(H$3&lt;=$O$2,$D236,$D236-($D236-$I$211)*MIN(H$3-$O$2,$Q$2)/$Q$2))</f>
        <v>5222.4645860329</v>
      </c>
      <c r="I236" s="15" t="n">
        <f aca="false">H236*(1+IF(I$3&lt;=$O$2,$D236,$D236-($D236-$I$211)*MIN(I$3-$O$2,$Q$2)/$Q$2))</f>
        <v>5844.31103676171</v>
      </c>
      <c r="J236" s="15" t="n">
        <f aca="false">I236*(1+IF(J$3&lt;=$O$2,$D236,$D236-($D236-$I$211)*MIN(J$3-$O$2,$Q$2)/$Q$2))</f>
        <v>6428.25801552383</v>
      </c>
      <c r="K236" s="15" t="n">
        <f aca="false">J236*(1+IF(K$3&lt;=$O$2,$D236,$D236-($D236-$I$211)*MIN(K$3-$O$2,$Q$2)/$Q$2))</f>
        <v>6947.42259665202</v>
      </c>
      <c r="L236" s="15" t="n">
        <f aca="false">K236*(1+IF(L$3&lt;=$O$2,$D236,$D236-($D236-$I$211)*MIN(L$3-$O$2,$Q$2)/$Q$2))</f>
        <v>7375.44344807881</v>
      </c>
      <c r="M236" s="15" t="n">
        <f aca="false">L236*(1+IF(M$3&lt;=$O$2,$D236,$D236-($D236-$I$211)*MIN(M$3-$O$2,$Q$2)/$Q$2))</f>
        <v>7688.56266872185</v>
      </c>
      <c r="N236" s="15" t="n">
        <f aca="false">M236*(1+IF(N$3&lt;=$O$2,$D236,$D236-($D236-$I$211)*MIN(N$3-$O$2,$Q$2)/$Q$2))</f>
        <v>7867.70617890307</v>
      </c>
      <c r="O236" s="15" t="n">
        <f aca="false">SUMPRODUCT(E236:N236,1/(1+$F$211)^$E$3:$N$3)*$E$2</f>
        <v>19577.7023265748</v>
      </c>
      <c r="P236" s="15" t="n">
        <f aca="false">N236*$E$2*(1+$I$211)/($F$211-$I$211)/(1+$F$211)^$N$3</f>
        <v>27379.5807536438</v>
      </c>
      <c r="Q236" s="15" t="n">
        <f aca="false">O236+P236</f>
        <v>46957.2830802186</v>
      </c>
      <c r="R236" s="15" t="n">
        <f aca="false">Q236-$G$2+$I$2</f>
        <v>40769.9830802186</v>
      </c>
      <c r="S236" s="42" t="n">
        <f aca="false">R236/$K$2</f>
        <v>560.79756644042</v>
      </c>
      <c r="T236" s="43" t="n">
        <f aca="false">S236-$M$2</f>
        <v>-0.000232734270070978</v>
      </c>
    </row>
    <row r="238" customFormat="false" ht="15" hidden="false" customHeight="false" outlineLevel="0" collapsed="false">
      <c r="A238" s="38" t="s">
        <v>189</v>
      </c>
      <c r="E238" s="5" t="s">
        <v>11</v>
      </c>
      <c r="F238" s="12" t="n">
        <f aca="false">Sensitivity!$B$11</f>
        <v>0.0903306228759286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162</v>
      </c>
      <c r="B239" s="28" t="s">
        <v>163</v>
      </c>
      <c r="C239" s="28" t="s">
        <v>164</v>
      </c>
      <c r="D239" s="28" t="s">
        <v>165</v>
      </c>
      <c r="E239" s="28" t="s">
        <v>166</v>
      </c>
      <c r="F239" s="28" t="s">
        <v>167</v>
      </c>
      <c r="G239" s="28" t="s">
        <v>168</v>
      </c>
      <c r="H239" s="28" t="s">
        <v>169</v>
      </c>
      <c r="I239" s="28" t="s">
        <v>170</v>
      </c>
      <c r="J239" s="28" t="s">
        <v>171</v>
      </c>
      <c r="K239" s="28" t="s">
        <v>172</v>
      </c>
      <c r="L239" s="28" t="s">
        <v>173</v>
      </c>
      <c r="M239" s="28" t="s">
        <v>174</v>
      </c>
      <c r="N239" s="28" t="s">
        <v>175</v>
      </c>
      <c r="O239" s="28" t="s">
        <v>176</v>
      </c>
      <c r="P239" s="28" t="s">
        <v>177</v>
      </c>
      <c r="Q239" s="28" t="s">
        <v>178</v>
      </c>
      <c r="R239" s="28" t="s">
        <v>179</v>
      </c>
      <c r="S239" s="28" t="s">
        <v>180</v>
      </c>
      <c r="T239" s="28" t="s">
        <v>181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4162.5</v>
      </c>
      <c r="F240" s="15" t="n">
        <f aca="false">E240*(1+IF(F$3&lt;=$O$2,$D240,$D240-($D240-$I$238)*MIN(F$3-$O$2,$Q$2)/$Q$2))</f>
        <v>5203.125</v>
      </c>
      <c r="G240" s="15" t="n">
        <f aca="false">F240*(1+IF(G$3&lt;=$O$2,$D240,$D240-($D240-$I$238)*MIN(G$3-$O$2,$Q$2)/$Q$2))</f>
        <v>6503.90625</v>
      </c>
      <c r="H240" s="15" t="n">
        <f aca="false">G240*(1+IF(H$3&lt;=$O$2,$D240,$D240-($D240-$I$238)*MIN(H$3-$O$2,$Q$2)/$Q$2))</f>
        <v>8129.8828125</v>
      </c>
      <c r="I240" s="15" t="n">
        <f aca="false">H240*(1+IF(I$3&lt;=$O$2,$D240,$D240-($D240-$I$238)*MIN(I$3-$O$2,$Q$2)/$Q$2))</f>
        <v>10162.353515625</v>
      </c>
      <c r="J240" s="15" t="n">
        <f aca="false">I240*(1+IF(J$3&lt;=$O$2,$D240,$D240-($D240-$I$238)*MIN(J$3-$O$2,$Q$2)/$Q$2))</f>
        <v>12252.3431396484</v>
      </c>
      <c r="K240" s="15" t="n">
        <f aca="false">J240*(1+IF(K$3&lt;=$O$2,$D240,$D240-($D240-$I$238)*MIN(K$3-$O$2,$Q$2)/$Q$2))</f>
        <v>14228.8911349365</v>
      </c>
      <c r="L240" s="15" t="n">
        <f aca="false">K240*(1+IF(L$3&lt;=$O$2,$D240,$D240-($D240-$I$238)*MIN(L$3-$O$2,$Q$2)/$Q$2))</f>
        <v>15893.3868199014</v>
      </c>
      <c r="M240" s="15" t="n">
        <f aca="false">L240*(1+IF(M$3&lt;=$O$2,$D240,$D240-($D240-$I$238)*MIN(M$3-$O$2,$Q$2)/$Q$2))</f>
        <v>17047.882438499</v>
      </c>
      <c r="N240" s="15" t="n">
        <f aca="false">M240*(1+IF(N$3&lt;=$O$2,$D240,$D240-($D240-$I$238)*MIN(N$3-$O$2,$Q$2)/$Q$2))</f>
        <v>17530.3375115086</v>
      </c>
      <c r="O240" s="15" t="n">
        <f aca="false">SUMPRODUCT(E240:N240,1/(1+$F$238)^$E$3:$N$3)*$E$2</f>
        <v>34527.0017761193</v>
      </c>
      <c r="P240" s="15" t="n">
        <f aca="false">N240*$E$2*(1+$I$238)/($F$238-$I$238)/(1+$F$238)^$N$3</f>
        <v>66244.9708443202</v>
      </c>
      <c r="Q240" s="15" t="n">
        <f aca="false">O240+P240</f>
        <v>100771.97262044</v>
      </c>
      <c r="R240" s="15" t="n">
        <f aca="false">Q240-$G$2+$I$2</f>
        <v>94584.6726204396</v>
      </c>
      <c r="S240" s="42" t="n">
        <f aca="false">R240/$K$2</f>
        <v>1301.02713370618</v>
      </c>
      <c r="T240" s="43" t="n">
        <f aca="false">S240-$M$2</f>
        <v>740.229334531493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2913.75</v>
      </c>
      <c r="F241" s="15" t="n">
        <f aca="false">E241*(1+IF(F$3&lt;=$O$2,$D241,$D241-($D241-$I$238)*MIN(F$3-$O$2,$Q$2)/$Q$2))</f>
        <v>2549.53125</v>
      </c>
      <c r="G241" s="15" t="n">
        <f aca="false">F241*(1+IF(G$3&lt;=$O$2,$D241,$D241-($D241-$I$238)*MIN(G$3-$O$2,$Q$2)/$Q$2))</f>
        <v>2230.83984375</v>
      </c>
      <c r="H241" s="15" t="n">
        <f aca="false">G241*(1+IF(H$3&lt;=$O$2,$D241,$D241-($D241-$I$238)*MIN(H$3-$O$2,$Q$2)/$Q$2))</f>
        <v>1951.98486328125</v>
      </c>
      <c r="I241" s="15" t="n">
        <f aca="false">H241*(1+IF(I$3&lt;=$O$2,$D241,$D241-($D241-$I$238)*MIN(I$3-$O$2,$Q$2)/$Q$2))</f>
        <v>1707.98675537109</v>
      </c>
      <c r="J241" s="15" t="n">
        <f aca="false">I241*(1+IF(J$3&lt;=$O$2,$D241,$D241-($D241-$I$238)*MIN(J$3-$O$2,$Q$2)/$Q$2))</f>
        <v>1546.85528486938</v>
      </c>
      <c r="K241" s="15" t="n">
        <f aca="false">J241*(1+IF(K$3&lt;=$O$2,$D241,$D241-($D241-$I$238)*MIN(K$3-$O$2,$Q$2)/$Q$2))</f>
        <v>1448.3515403289</v>
      </c>
      <c r="L241" s="15" t="n">
        <f aca="false">K241*(1+IF(L$3&lt;=$O$2,$D241,$D241-($D241-$I$238)*MIN(L$3-$O$2,$Q$2)/$Q$2))</f>
        <v>1400.52697246724</v>
      </c>
      <c r="M241" s="15" t="n">
        <f aca="false">L241*(1+IF(M$3&lt;=$O$2,$D241,$D241-($D241-$I$238)*MIN(M$3-$O$2,$Q$2)/$Q$2))</f>
        <v>1397.22172881222</v>
      </c>
      <c r="N241" s="15" t="n">
        <f aca="false">M241*(1+IF(N$3&lt;=$O$2,$D241,$D241-($D241-$I$238)*MIN(N$3-$O$2,$Q$2)/$Q$2))</f>
        <v>1436.76310373761</v>
      </c>
      <c r="O241" s="15" t="n">
        <f aca="false">SUMPRODUCT(E241:N241,1/(1+$F$238)^$E$3:$N$3)*$E$2</f>
        <v>6867.1631606815</v>
      </c>
      <c r="P241" s="15" t="n">
        <f aca="false">N241*$E$2*(1+$I$238)/($F$238-$I$238)/(1+$F$238)^$N$3</f>
        <v>5429.3495407495</v>
      </c>
      <c r="Q241" s="15" t="n">
        <f aca="false">O241+P241</f>
        <v>12296.512701431</v>
      </c>
      <c r="R241" s="15" t="n">
        <f aca="false">Q241-$G$2+$I$2</f>
        <v>6109.21270143099</v>
      </c>
      <c r="S241" s="42" t="n">
        <f aca="false">R241/$K$2</f>
        <v>84.0331870898349</v>
      </c>
      <c r="T241" s="43" t="n">
        <f aca="false">S241-$M$2</f>
        <v>-476.764612084856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3538.125</v>
      </c>
      <c r="F242" s="15" t="n">
        <f aca="false">E242*(1+IF(F$3&lt;=$O$2,$D242,$D242-($D242-$I$238)*MIN(F$3-$O$2,$Q$2)/$Q$2))</f>
        <v>3759.2578125</v>
      </c>
      <c r="G242" s="15" t="n">
        <f aca="false">F242*(1+IF(G$3&lt;=$O$2,$D242,$D242-($D242-$I$238)*MIN(G$3-$O$2,$Q$2)/$Q$2))</f>
        <v>3994.21142578125</v>
      </c>
      <c r="H242" s="15" t="n">
        <f aca="false">G242*(1+IF(H$3&lt;=$O$2,$D242,$D242-($D242-$I$238)*MIN(H$3-$O$2,$Q$2)/$Q$2))</f>
        <v>4243.84963989258</v>
      </c>
      <c r="I242" s="15" t="n">
        <f aca="false">H242*(1+IF(I$3&lt;=$O$2,$D242,$D242-($D242-$I$238)*MIN(I$3-$O$2,$Q$2)/$Q$2))</f>
        <v>4509.09024238586</v>
      </c>
      <c r="J242" s="15" t="n">
        <f aca="false">I242*(1+IF(J$3&lt;=$O$2,$D242,$D242-($D242-$I$238)*MIN(J$3-$O$2,$Q$2)/$Q$2))</f>
        <v>4760.06620527706</v>
      </c>
      <c r="K242" s="15" t="n">
        <f aca="false">J242*(1+IF(K$3&lt;=$O$2,$D242,$D242-($D242-$I$238)*MIN(K$3-$O$2,$Q$2)/$Q$2))</f>
        <v>4992.45263741869</v>
      </c>
      <c r="L242" s="15" t="n">
        <f aca="false">K242*(1+IF(L$3&lt;=$O$2,$D242,$D242-($D242-$I$238)*MIN(L$3-$O$2,$Q$2)/$Q$2))</f>
        <v>5202.03579913752</v>
      </c>
      <c r="M242" s="15" t="n">
        <f aca="false">L242*(1+IF(M$3&lt;=$O$2,$D242,$D242-($D242-$I$238)*MIN(M$3-$O$2,$Q$2)/$Q$2))</f>
        <v>5384.83533711922</v>
      </c>
      <c r="N242" s="15" t="n">
        <f aca="false">M242*(1+IF(N$3&lt;=$O$2,$D242,$D242-($D242-$I$238)*MIN(N$3-$O$2,$Q$2)/$Q$2))</f>
        <v>5537.22617715969</v>
      </c>
      <c r="O242" s="15" t="n">
        <f aca="false">SUMPRODUCT(E242:N242,1/(1+$F$238)^$E$3:$N$3)*$E$2</f>
        <v>15364.4624045694</v>
      </c>
      <c r="P242" s="15" t="n">
        <f aca="false">N242*$E$2*(1+$I$238)/($F$238-$I$238)/(1+$F$238)^$N$3</f>
        <v>20924.4908390121</v>
      </c>
      <c r="Q242" s="15" t="n">
        <f aca="false">O242+P242</f>
        <v>36288.9532435815</v>
      </c>
      <c r="R242" s="15" t="n">
        <f aca="false">Q242-$G$2+$I$2</f>
        <v>30101.6532435815</v>
      </c>
      <c r="S242" s="42" t="n">
        <f aca="false">R242/$K$2</f>
        <v>414.053001974986</v>
      </c>
      <c r="T242" s="43" t="n">
        <f aca="false">S242-$M$2</f>
        <v>-146.744797199705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0.0625</v>
      </c>
      <c r="C243" s="25" t="n">
        <f aca="false">IF(T242&gt;0,D242,C242)</f>
        <v>0.25</v>
      </c>
      <c r="D243" s="41" t="n">
        <f aca="false">(B243+C243)/2</f>
        <v>0.15625</v>
      </c>
      <c r="E243" s="15" t="n">
        <f aca="false">$C$2*(1+IF(E$3&lt;=$O$2,$D243,$D243-($D243-$I$238)*MIN(E$3-$O$2,$Q$2)/$Q$2))</f>
        <v>3850.3125</v>
      </c>
      <c r="F243" s="15" t="n">
        <f aca="false">E243*(1+IF(F$3&lt;=$O$2,$D243,$D243-($D243-$I$238)*MIN(F$3-$O$2,$Q$2)/$Q$2))</f>
        <v>4451.923828125</v>
      </c>
      <c r="G243" s="15" t="n">
        <f aca="false">F243*(1+IF(G$3&lt;=$O$2,$D243,$D243-($D243-$I$238)*MIN(G$3-$O$2,$Q$2)/$Q$2))</f>
        <v>5147.53692626953</v>
      </c>
      <c r="H243" s="15" t="n">
        <f aca="false">G243*(1+IF(H$3&lt;=$O$2,$D243,$D243-($D243-$I$238)*MIN(H$3-$O$2,$Q$2)/$Q$2))</f>
        <v>5951.83957099915</v>
      </c>
      <c r="I243" s="15" t="n">
        <f aca="false">H243*(1+IF(I$3&lt;=$O$2,$D243,$D243-($D243-$I$238)*MIN(I$3-$O$2,$Q$2)/$Q$2))</f>
        <v>6881.81450396776</v>
      </c>
      <c r="J243" s="15" t="n">
        <f aca="false">I243*(1+IF(J$3&lt;=$O$2,$D243,$D243-($D243-$I$238)*MIN(J$3-$O$2,$Q$2)/$Q$2))</f>
        <v>7780.99238705619</v>
      </c>
      <c r="K243" s="15" t="n">
        <f aca="false">J243*(1+IF(K$3&lt;=$O$2,$D243,$D243-($D243-$I$238)*MIN(K$3-$O$2,$Q$2)/$Q$2))</f>
        <v>8598.54125716418</v>
      </c>
      <c r="L243" s="15" t="n">
        <f aca="false">K243*(1+IF(L$3&lt;=$O$2,$D243,$D243-($D243-$I$238)*MIN(L$3-$O$2,$Q$2)/$Q$2))</f>
        <v>9281.95331628359</v>
      </c>
      <c r="M243" s="15" t="n">
        <f aca="false">L243*(1+IF(M$3&lt;=$O$2,$D243,$D243-($D243-$I$238)*MIN(M$3-$O$2,$Q$2)/$Q$2))</f>
        <v>9782.15778049812</v>
      </c>
      <c r="N243" s="15" t="n">
        <f aca="false">M243*(1+IF(N$3&lt;=$O$2,$D243,$D243-($D243-$I$238)*MIN(N$3-$O$2,$Q$2)/$Q$2))</f>
        <v>10058.9928456862</v>
      </c>
      <c r="O243" s="15" t="n">
        <f aca="false">SUMPRODUCT(E243:N243,1/(1+$F$238)^$E$3:$N$3)*$E$2</f>
        <v>23072.1830896668</v>
      </c>
      <c r="P243" s="15" t="n">
        <f aca="false">N243*$E$2*(1+$I$238)/($F$238-$I$238)/(1+$F$238)^$N$3</f>
        <v>38011.686161105</v>
      </c>
      <c r="Q243" s="15" t="n">
        <f aca="false">O243+P243</f>
        <v>61083.8692507717</v>
      </c>
      <c r="R243" s="15" t="n">
        <f aca="false">Q243-$G$2+$I$2</f>
        <v>54896.5692507717</v>
      </c>
      <c r="S243" s="42" t="n">
        <f aca="false">R243/$K$2</f>
        <v>755.110993820794</v>
      </c>
      <c r="T243" s="43" t="n">
        <f aca="false">S243-$M$2</f>
        <v>194.313194646104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0.0625</v>
      </c>
      <c r="C244" s="25" t="n">
        <f aca="false">IF(T243&gt;0,D243,C243)</f>
        <v>0.15625</v>
      </c>
      <c r="D244" s="41" t="n">
        <f aca="false">(B244+C244)/2</f>
        <v>0.109375</v>
      </c>
      <c r="E244" s="15" t="n">
        <f aca="false">$C$2*(1+IF(E$3&lt;=$O$2,$D244,$D244-($D244-$I$238)*MIN(E$3-$O$2,$Q$2)/$Q$2))</f>
        <v>3694.21875</v>
      </c>
      <c r="F244" s="15" t="n">
        <f aca="false">E244*(1+IF(F$3&lt;=$O$2,$D244,$D244-($D244-$I$238)*MIN(F$3-$O$2,$Q$2)/$Q$2))</f>
        <v>4098.27392578125</v>
      </c>
      <c r="G244" s="15" t="n">
        <f aca="false">F244*(1+IF(G$3&lt;=$O$2,$D244,$D244-($D244-$I$238)*MIN(G$3-$O$2,$Q$2)/$Q$2))</f>
        <v>4546.52263641357</v>
      </c>
      <c r="H244" s="15" t="n">
        <f aca="false">G244*(1+IF(H$3&lt;=$O$2,$D244,$D244-($D244-$I$238)*MIN(H$3-$O$2,$Q$2)/$Q$2))</f>
        <v>5043.79854977131</v>
      </c>
      <c r="I244" s="15" t="n">
        <f aca="false">H244*(1+IF(I$3&lt;=$O$2,$D244,$D244-($D244-$I$238)*MIN(I$3-$O$2,$Q$2)/$Q$2))</f>
        <v>5595.46401615255</v>
      </c>
      <c r="J244" s="15" t="n">
        <f aca="false">I244*(1+IF(J$3&lt;=$O$2,$D244,$D244-($D244-$I$238)*MIN(J$3-$O$2,$Q$2)/$Q$2))</f>
        <v>6116.73744389732</v>
      </c>
      <c r="K244" s="15" t="n">
        <f aca="false">J244*(1+IF(K$3&lt;=$O$2,$D244,$D244-($D244-$I$238)*MIN(K$3-$O$2,$Q$2)/$Q$2))</f>
        <v>6587.389806518</v>
      </c>
      <c r="L244" s="15" t="n">
        <f aca="false">K244*(1+IF(L$3&lt;=$O$2,$D244,$D244-($D244-$I$238)*MIN(L$3-$O$2,$Q$2)/$Q$2))</f>
        <v>6987.44198946783</v>
      </c>
      <c r="M244" s="15" t="n">
        <f aca="false">L244*(1+IF(M$3&lt;=$O$2,$D244,$D244-($D244-$I$238)*MIN(M$3-$O$2,$Q$2)/$Q$2))</f>
        <v>7298.48796962899</v>
      </c>
      <c r="N244" s="15" t="n">
        <f aca="false">M244*(1+IF(N$3&lt;=$O$2,$D244,$D244-($D244-$I$238)*MIN(N$3-$O$2,$Q$2)/$Q$2))</f>
        <v>7505.0351791695</v>
      </c>
      <c r="O244" s="15" t="n">
        <f aca="false">SUMPRODUCT(E244:N244,1/(1+$F$238)^$E$3:$N$3)*$E$2</f>
        <v>18831.3334316996</v>
      </c>
      <c r="P244" s="15" t="n">
        <f aca="false">N244*$E$2*(1+$I$238)/($F$238-$I$238)/(1+$F$238)^$N$3</f>
        <v>28360.5969538973</v>
      </c>
      <c r="Q244" s="15" t="n">
        <f aca="false">O244+P244</f>
        <v>47191.9303855968</v>
      </c>
      <c r="R244" s="15" t="n">
        <f aca="false">Q244-$G$2+$I$2</f>
        <v>41004.6303855968</v>
      </c>
      <c r="S244" s="42" t="n">
        <f aca="false">R244/$K$2</f>
        <v>564.025177243423</v>
      </c>
      <c r="T244" s="43" t="n">
        <f aca="false">S244-$M$2</f>
        <v>3.22737806873226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0.0625</v>
      </c>
      <c r="C245" s="25" t="n">
        <f aca="false">IF(T244&gt;0,D244,C244)</f>
        <v>0.109375</v>
      </c>
      <c r="D245" s="41" t="n">
        <f aca="false">(B245+C245)/2</f>
        <v>0.0859375</v>
      </c>
      <c r="E245" s="15" t="n">
        <f aca="false">$C$2*(1+IF(E$3&lt;=$O$2,$D245,$D245-($D245-$I$238)*MIN(E$3-$O$2,$Q$2)/$Q$2))</f>
        <v>3616.171875</v>
      </c>
      <c r="F245" s="15" t="n">
        <f aca="false">E245*(1+IF(F$3&lt;=$O$2,$D245,$D245-($D245-$I$238)*MIN(F$3-$O$2,$Q$2)/$Q$2))</f>
        <v>3926.93664550781</v>
      </c>
      <c r="G245" s="15" t="n">
        <f aca="false">F245*(1+IF(G$3&lt;=$O$2,$D245,$D245-($D245-$I$238)*MIN(G$3-$O$2,$Q$2)/$Q$2))</f>
        <v>4264.40776348114</v>
      </c>
      <c r="H245" s="15" t="n">
        <f aca="false">G245*(1+IF(H$3&lt;=$O$2,$D245,$D245-($D245-$I$238)*MIN(H$3-$O$2,$Q$2)/$Q$2))</f>
        <v>4630.8803056553</v>
      </c>
      <c r="I245" s="15" t="n">
        <f aca="false">H245*(1+IF(I$3&lt;=$O$2,$D245,$D245-($D245-$I$238)*MIN(I$3-$O$2,$Q$2)/$Q$2))</f>
        <v>5028.84658192255</v>
      </c>
      <c r="J245" s="15" t="n">
        <f aca="false">I245*(1+IF(J$3&lt;=$O$2,$D245,$D245-($D245-$I$238)*MIN(J$3-$O$2,$Q$2)/$Q$2))</f>
        <v>5403.04305608341</v>
      </c>
      <c r="K245" s="15" t="n">
        <f aca="false">J245*(1+IF(K$3&lt;=$O$2,$D245,$D245-($D245-$I$238)*MIN(K$3-$O$2,$Q$2)/$Q$2))</f>
        <v>5742.79991105758</v>
      </c>
      <c r="L245" s="15" t="n">
        <f aca="false">K245*(1+IF(L$3&lt;=$O$2,$D245,$D245-($D245-$I$238)*MIN(L$3-$O$2,$Q$2)/$Q$2))</f>
        <v>6037.72140048994</v>
      </c>
      <c r="M245" s="15" t="n">
        <f aca="false">L245*(1+IF(M$3&lt;=$O$2,$D245,$D245-($D245-$I$238)*MIN(M$3-$O$2,$Q$2)/$Q$2))</f>
        <v>6278.18874956795</v>
      </c>
      <c r="N245" s="15" t="n">
        <f aca="false">M245*(1+IF(N$3&lt;=$O$2,$D245,$D245-($D245-$I$238)*MIN(N$3-$O$2,$Q$2)/$Q$2))</f>
        <v>6455.86149118072</v>
      </c>
      <c r="O245" s="15" t="n">
        <f aca="false">SUMPRODUCT(E245:N245,1/(1+$F$238)^$E$3:$N$3)*$E$2</f>
        <v>17009.9678906694</v>
      </c>
      <c r="P245" s="15" t="n">
        <f aca="false">N245*$E$2*(1+$I$238)/($F$238-$I$238)/(1+$F$238)^$N$3</f>
        <v>24395.8997353859</v>
      </c>
      <c r="Q245" s="15" t="n">
        <f aca="false">O245+P245</f>
        <v>41405.8676260553</v>
      </c>
      <c r="R245" s="15" t="n">
        <f aca="false">Q245-$G$2+$I$2</f>
        <v>35218.5676260553</v>
      </c>
      <c r="S245" s="42" t="n">
        <f aca="false">R245/$K$2</f>
        <v>484.436968721531</v>
      </c>
      <c r="T245" s="43" t="n">
        <f aca="false">S245-$M$2</f>
        <v>-76.3608304531596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0.0859375</v>
      </c>
      <c r="C246" s="25" t="n">
        <f aca="false">IF(T245&gt;0,D245,C245)</f>
        <v>0.109375</v>
      </c>
      <c r="D246" s="41" t="n">
        <f aca="false">(B246+C246)/2</f>
        <v>0.09765625</v>
      </c>
      <c r="E246" s="15" t="n">
        <f aca="false">$C$2*(1+IF(E$3&lt;=$O$2,$D246,$D246-($D246-$I$238)*MIN(E$3-$O$2,$Q$2)/$Q$2))</f>
        <v>3655.1953125</v>
      </c>
      <c r="F246" s="15" t="n">
        <f aca="false">E246*(1+IF(F$3&lt;=$O$2,$D246,$D246-($D246-$I$238)*MIN(F$3-$O$2,$Q$2)/$Q$2))</f>
        <v>4012.14797973633</v>
      </c>
      <c r="G246" s="15" t="n">
        <f aca="false">F246*(1+IF(G$3&lt;=$O$2,$D246,$D246-($D246-$I$238)*MIN(G$3-$O$2,$Q$2)/$Q$2))</f>
        <v>4403.95930588245</v>
      </c>
      <c r="H246" s="15" t="n">
        <f aca="false">G246*(1+IF(H$3&lt;=$O$2,$D246,$D246-($D246-$I$238)*MIN(H$3-$O$2,$Q$2)/$Q$2))</f>
        <v>4834.03345684754</v>
      </c>
      <c r="I246" s="15" t="n">
        <f aca="false">H246*(1+IF(I$3&lt;=$O$2,$D246,$D246-($D246-$I$238)*MIN(I$3-$O$2,$Q$2)/$Q$2))</f>
        <v>5306.10703661781</v>
      </c>
      <c r="J246" s="15" t="n">
        <f aca="false">I246*(1+IF(J$3&lt;=$O$2,$D246,$D246-($D246-$I$238)*MIN(J$3-$O$2,$Q$2)/$Q$2))</f>
        <v>5750.67921468083</v>
      </c>
      <c r="K246" s="15" t="n">
        <f aca="false">J246*(1+IF(K$3&lt;=$O$2,$D246,$D246-($D246-$I$238)*MIN(K$3-$O$2,$Q$2)/$Q$2))</f>
        <v>6152.73076362622</v>
      </c>
      <c r="L246" s="15" t="n">
        <f aca="false">K246*(1+IF(L$3&lt;=$O$2,$D246,$D246-($D246-$I$238)*MIN(L$3-$O$2,$Q$2)/$Q$2))</f>
        <v>6497.54517744674</v>
      </c>
      <c r="M246" s="15" t="n">
        <f aca="false">L246*(1+IF(M$3&lt;=$O$2,$D246,$D246-($D246-$I$238)*MIN(M$3-$O$2,$Q$2)/$Q$2))</f>
        <v>6771.55477951114</v>
      </c>
      <c r="N246" s="15" t="n">
        <f aca="false">M246*(1+IF(N$3&lt;=$O$2,$D246,$D246-($D246-$I$238)*MIN(N$3-$O$2,$Q$2)/$Q$2))</f>
        <v>6963.18977977131</v>
      </c>
      <c r="O246" s="15" t="n">
        <f aca="false">SUMPRODUCT(E246:N246,1/(1+$F$238)^$E$3:$N$3)*$E$2</f>
        <v>17897.6215046957</v>
      </c>
      <c r="P246" s="15" t="n">
        <f aca="false">N246*$E$2*(1+$I$238)/($F$238-$I$238)/(1+$F$238)^$N$3</f>
        <v>26313.0304046681</v>
      </c>
      <c r="Q246" s="15" t="n">
        <f aca="false">O246+P246</f>
        <v>44210.6519093638</v>
      </c>
      <c r="R246" s="15" t="n">
        <f aca="false">Q246-$G$2+$I$2</f>
        <v>38023.3519093638</v>
      </c>
      <c r="S246" s="42" t="n">
        <f aca="false">R246/$K$2</f>
        <v>523.017220211332</v>
      </c>
      <c r="T246" s="43" t="n">
        <f aca="false">S246-$M$2</f>
        <v>-37.7805789633586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0.09765625</v>
      </c>
      <c r="C247" s="25" t="n">
        <f aca="false">IF(T246&gt;0,D246,C246)</f>
        <v>0.109375</v>
      </c>
      <c r="D247" s="41" t="n">
        <f aca="false">(B247+C247)/2</f>
        <v>0.103515625</v>
      </c>
      <c r="E247" s="15" t="n">
        <f aca="false">$C$2*(1+IF(E$3&lt;=$O$2,$D247,$D247-($D247-$I$238)*MIN(E$3-$O$2,$Q$2)/$Q$2))</f>
        <v>3674.70703125</v>
      </c>
      <c r="F247" s="15" t="n">
        <f aca="false">E247*(1+IF(F$3&lt;=$O$2,$D247,$D247-($D247-$I$238)*MIN(F$3-$O$2,$Q$2)/$Q$2))</f>
        <v>4055.09662628174</v>
      </c>
      <c r="G247" s="15" t="n">
        <f aca="false">F247*(1+IF(G$3&lt;=$O$2,$D247,$D247-($D247-$I$238)*MIN(G$3-$O$2,$Q$2)/$Q$2))</f>
        <v>4474.86248798668</v>
      </c>
      <c r="H247" s="15" t="n">
        <f aca="false">G247*(1+IF(H$3&lt;=$O$2,$D247,$D247-($D247-$I$238)*MIN(H$3-$O$2,$Q$2)/$Q$2))</f>
        <v>4938.08067521968</v>
      </c>
      <c r="I247" s="15" t="n">
        <f aca="false">H247*(1+IF(I$3&lt;=$O$2,$D247,$D247-($D247-$I$238)*MIN(I$3-$O$2,$Q$2)/$Q$2))</f>
        <v>5449.24918261547</v>
      </c>
      <c r="J247" s="15" t="n">
        <f aca="false">I247*(1+IF(J$3&lt;=$O$2,$D247,$D247-($D247-$I$238)*MIN(J$3-$O$2,$Q$2)/$Q$2))</f>
        <v>5931.35788092441</v>
      </c>
      <c r="K247" s="15" t="n">
        <f aca="false">J247*(1+IF(K$3&lt;=$O$2,$D247,$D247-($D247-$I$238)*MIN(K$3-$O$2,$Q$2)/$Q$2))</f>
        <v>6366.89378302202</v>
      </c>
      <c r="L247" s="15" t="n">
        <f aca="false">K247*(1+IF(L$3&lt;=$O$2,$D247,$D247-($D247-$I$238)*MIN(L$3-$O$2,$Q$2)/$Q$2))</f>
        <v>6738.63283516099</v>
      </c>
      <c r="M247" s="15" t="n">
        <f aca="false">L247*(1+IF(M$3&lt;=$O$2,$D247,$D247-($D247-$I$238)*MIN(M$3-$O$2,$Q$2)/$Q$2))</f>
        <v>7030.70624046448</v>
      </c>
      <c r="N247" s="15" t="n">
        <f aca="false">M247*(1+IF(N$3&lt;=$O$2,$D247,$D247-($D247-$I$238)*MIN(N$3-$O$2,$Q$2)/$Q$2))</f>
        <v>7229.67522706962</v>
      </c>
      <c r="O247" s="15" t="n">
        <f aca="false">SUMPRODUCT(E247:N247,1/(1+$F$238)^$E$3:$N$3)*$E$2</f>
        <v>18358.5846363778</v>
      </c>
      <c r="P247" s="15" t="n">
        <f aca="false">N247*$E$2*(1+$I$238)/($F$238-$I$238)/(1+$F$238)^$N$3</f>
        <v>27320.0458528946</v>
      </c>
      <c r="Q247" s="15" t="n">
        <f aca="false">O247+P247</f>
        <v>45678.6304892723</v>
      </c>
      <c r="R247" s="15" t="n">
        <f aca="false">Q247-$G$2+$I$2</f>
        <v>39491.3304892723</v>
      </c>
      <c r="S247" s="42" t="n">
        <f aca="false">R247/$K$2</f>
        <v>543.209497789165</v>
      </c>
      <c r="T247" s="43" t="n">
        <f aca="false">S247-$M$2</f>
        <v>-17.588301385525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0.103515625</v>
      </c>
      <c r="C248" s="25" t="n">
        <f aca="false">IF(T247&gt;0,D247,C247)</f>
        <v>0.109375</v>
      </c>
      <c r="D248" s="41" t="n">
        <f aca="false">(B248+C248)/2</f>
        <v>0.1064453125</v>
      </c>
      <c r="E248" s="15" t="n">
        <f aca="false">$C$2*(1+IF(E$3&lt;=$O$2,$D248,$D248-($D248-$I$238)*MIN(E$3-$O$2,$Q$2)/$Q$2))</f>
        <v>3684.462890625</v>
      </c>
      <c r="F248" s="15" t="n">
        <f aca="false">E248*(1+IF(F$3&lt;=$O$2,$D248,$D248-($D248-$I$238)*MIN(F$3-$O$2,$Q$2)/$Q$2))</f>
        <v>4076.65669441223</v>
      </c>
      <c r="G248" s="15" t="n">
        <f aca="false">F248*(1+IF(G$3&lt;=$O$2,$D248,$D248-($D248-$I$238)*MIN(G$3-$O$2,$Q$2)/$Q$2))</f>
        <v>4510.59769020416</v>
      </c>
      <c r="H248" s="15" t="n">
        <f aca="false">G248*(1+IF(H$3&lt;=$O$2,$D248,$D248-($D248-$I$238)*MIN(H$3-$O$2,$Q$2)/$Q$2))</f>
        <v>4990.72967089972</v>
      </c>
      <c r="I248" s="15" t="n">
        <f aca="false">H248*(1+IF(I$3&lt;=$O$2,$D248,$D248-($D248-$I$238)*MIN(I$3-$O$2,$Q$2)/$Q$2))</f>
        <v>5521.96945032166</v>
      </c>
      <c r="J248" s="15" t="n">
        <f aca="false">I248*(1+IF(J$3&lt;=$O$2,$D248,$D248-($D248-$I$238)*MIN(J$3-$O$2,$Q$2)/$Q$2))</f>
        <v>6023.45400841444</v>
      </c>
      <c r="K248" s="15" t="n">
        <f aca="false">J248*(1+IF(K$3&lt;=$O$2,$D248,$D248-($D248-$I$238)*MIN(K$3-$O$2,$Q$2)/$Q$2))</f>
        <v>6476.34057434272</v>
      </c>
      <c r="L248" s="15" t="n">
        <f aca="false">K248*(1+IF(L$3&lt;=$O$2,$D248,$D248-($D248-$I$238)*MIN(L$3-$O$2,$Q$2)/$Q$2))</f>
        <v>6862.05927581199</v>
      </c>
      <c r="M248" s="15" t="n">
        <f aca="false">L248*(1+IF(M$3&lt;=$O$2,$D248,$D248-($D248-$I$238)*MIN(M$3-$O$2,$Q$2)/$Q$2))</f>
        <v>7163.50310661784</v>
      </c>
      <c r="N248" s="15" t="n">
        <f aca="false">M248*(1+IF(N$3&lt;=$O$2,$D248,$D248-($D248-$I$238)*MIN(N$3-$O$2,$Q$2)/$Q$2))</f>
        <v>7366.23024453513</v>
      </c>
      <c r="O248" s="15" t="n">
        <f aca="false">SUMPRODUCT(E248:N248,1/(1+$F$238)^$E$3:$N$3)*$E$2</f>
        <v>18593.4685813194</v>
      </c>
      <c r="P248" s="15" t="n">
        <f aca="false">N248*$E$2*(1+$I$238)/($F$238-$I$238)/(1+$F$238)^$N$3</f>
        <v>27836.0703244548</v>
      </c>
      <c r="Q248" s="15" t="n">
        <f aca="false">O248+P248</f>
        <v>46429.5389057742</v>
      </c>
      <c r="R248" s="15" t="n">
        <f aca="false">Q248-$G$2+$I$2</f>
        <v>40242.2389057742</v>
      </c>
      <c r="S248" s="42" t="n">
        <f aca="false">R248/$K$2</f>
        <v>553.538361840085</v>
      </c>
      <c r="T248" s="43" t="n">
        <f aca="false">S248-$M$2</f>
        <v>-7.25943733460565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0.1064453125</v>
      </c>
      <c r="C249" s="25" t="n">
        <f aca="false">IF(T248&gt;0,D248,C248)</f>
        <v>0.109375</v>
      </c>
      <c r="D249" s="41" t="n">
        <f aca="false">(B249+C249)/2</f>
        <v>0.10791015625</v>
      </c>
      <c r="E249" s="15" t="n">
        <f aca="false">$C$2*(1+IF(E$3&lt;=$O$2,$D249,$D249-($D249-$I$238)*MIN(E$3-$O$2,$Q$2)/$Q$2))</f>
        <v>3689.3408203125</v>
      </c>
      <c r="F249" s="15" t="n">
        <f aca="false">E249*(1+IF(F$3&lt;=$O$2,$D249,$D249-($D249-$I$238)*MIN(F$3-$O$2,$Q$2)/$Q$2))</f>
        <v>4087.45816469193</v>
      </c>
      <c r="G249" s="15" t="n">
        <f aca="false">F249*(1+IF(G$3&lt;=$O$2,$D249,$D249-($D249-$I$238)*MIN(G$3-$O$2,$Q$2)/$Q$2))</f>
        <v>4528.53641390917</v>
      </c>
      <c r="H249" s="15" t="n">
        <f aca="false">G249*(1+IF(H$3&lt;=$O$2,$D249,$D249-($D249-$I$238)*MIN(H$3-$O$2,$Q$2)/$Q$2))</f>
        <v>5017.21148591792</v>
      </c>
      <c r="I249" s="15" t="n">
        <f aca="false">H249*(1+IF(I$3&lt;=$O$2,$D249,$D249-($D249-$I$238)*MIN(I$3-$O$2,$Q$2)/$Q$2))</f>
        <v>5558.61956130262</v>
      </c>
      <c r="J249" s="15" t="n">
        <f aca="false">I249*(1+IF(J$3&lt;=$O$2,$D249,$D249-($D249-$I$238)*MIN(J$3-$O$2,$Q$2)/$Q$2))</f>
        <v>6069.94655233517</v>
      </c>
      <c r="K249" s="15" t="n">
        <f aca="false">J249*(1+IF(K$3&lt;=$O$2,$D249,$D249-($D249-$I$238)*MIN(K$3-$O$2,$Q$2)/$Q$2))</f>
        <v>6531.66367584259</v>
      </c>
      <c r="L249" s="15" t="n">
        <f aca="false">K249*(1+IF(L$3&lt;=$O$2,$D249,$D249-($D249-$I$238)*MIN(L$3-$O$2,$Q$2)/$Q$2))</f>
        <v>6924.50446419144</v>
      </c>
      <c r="M249" s="15" t="n">
        <f aca="false">L249*(1+IF(M$3&lt;=$O$2,$D249,$D249-($D249-$I$238)*MIN(M$3-$O$2,$Q$2)/$Q$2))</f>
        <v>7230.72011699768</v>
      </c>
      <c r="N249" s="15" t="n">
        <f aca="false">M249*(1+IF(N$3&lt;=$O$2,$D249,$D249-($D249-$I$238)*MIN(N$3-$O$2,$Q$2)/$Q$2))</f>
        <v>7435.34949630871</v>
      </c>
      <c r="O249" s="15" t="n">
        <f aca="false">SUMPRODUCT(E249:N249,1/(1+$F$238)^$E$3:$N$3)*$E$2</f>
        <v>18712.0262186267</v>
      </c>
      <c r="P249" s="15" t="n">
        <f aca="false">N249*$E$2*(1+$I$238)/($F$238-$I$238)/(1+$F$238)^$N$3</f>
        <v>28097.2634027692</v>
      </c>
      <c r="Q249" s="15" t="n">
        <f aca="false">O249+P249</f>
        <v>46809.2896213959</v>
      </c>
      <c r="R249" s="15" t="n">
        <f aca="false">Q249-$G$2+$I$2</f>
        <v>40621.9896213959</v>
      </c>
      <c r="S249" s="42" t="n">
        <f aca="false">R249/$K$2</f>
        <v>558.76189300407</v>
      </c>
      <c r="T249" s="43" t="n">
        <f aca="false">S249-$M$2</f>
        <v>-2.03590617062048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0.10791015625</v>
      </c>
      <c r="C250" s="25" t="n">
        <f aca="false">IF(T249&gt;0,D249,C249)</f>
        <v>0.109375</v>
      </c>
      <c r="D250" s="41" t="n">
        <f aca="false">(B250+C250)/2</f>
        <v>0.108642578125</v>
      </c>
      <c r="E250" s="15" t="n">
        <f aca="false">$C$2*(1+IF(E$3&lt;=$O$2,$D250,$D250-($D250-$I$238)*MIN(E$3-$O$2,$Q$2)/$Q$2))</f>
        <v>3691.77978515625</v>
      </c>
      <c r="F250" s="15" t="n">
        <f aca="false">E250*(1+IF(F$3&lt;=$O$2,$D250,$D250-($D250-$I$238)*MIN(F$3-$O$2,$Q$2)/$Q$2))</f>
        <v>4092.86425888538</v>
      </c>
      <c r="G250" s="15" t="n">
        <f aca="false">F250*(1+IF(G$3&lt;=$O$2,$D250,$D250-($D250-$I$238)*MIN(G$3-$O$2,$Q$2)/$Q$2))</f>
        <v>4537.52358388636</v>
      </c>
      <c r="H250" s="15" t="n">
        <f aca="false">G250*(1+IF(H$3&lt;=$O$2,$D250,$D250-($D250-$I$238)*MIN(H$3-$O$2,$Q$2)/$Q$2))</f>
        <v>5030.49184434276</v>
      </c>
      <c r="I250" s="15" t="n">
        <f aca="false">H250*(1+IF(I$3&lt;=$O$2,$D250,$D250-($D250-$I$238)*MIN(I$3-$O$2,$Q$2)/$Q$2))</f>
        <v>5577.01744754895</v>
      </c>
      <c r="J250" s="15" t="n">
        <f aca="false">I250*(1+IF(J$3&lt;=$O$2,$D250,$D250-($D250-$I$238)*MIN(J$3-$O$2,$Q$2)/$Q$2))</f>
        <v>6093.30460930193</v>
      </c>
      <c r="K250" s="15" t="n">
        <f aca="false">J250*(1+IF(K$3&lt;=$O$2,$D250,$D250-($D250-$I$238)*MIN(K$3-$O$2,$Q$2)/$Q$2))</f>
        <v>6559.47621071254</v>
      </c>
      <c r="L250" s="15" t="n">
        <f aca="false">K250*(1+IF(L$3&lt;=$O$2,$D250,$D250-($D250-$I$238)*MIN(L$3-$O$2,$Q$2)/$Q$2))</f>
        <v>6955.911479443</v>
      </c>
      <c r="M250" s="15" t="n">
        <f aca="false">L250*(1+IF(M$3&lt;=$O$2,$D250,$D250-($D250-$I$238)*MIN(M$3-$O$2,$Q$2)/$Q$2))</f>
        <v>7264.53494660479</v>
      </c>
      <c r="N250" s="15" t="n">
        <f aca="false">M250*(1+IF(N$3&lt;=$O$2,$D250,$D250-($D250-$I$238)*MIN(N$3-$O$2,$Q$2)/$Q$2))</f>
        <v>7470.1212855937</v>
      </c>
      <c r="O250" s="15" t="n">
        <f aca="false">SUMPRODUCT(E250:N250,1/(1+$F$238)^$E$3:$N$3)*$E$2</f>
        <v>18771.5858551528</v>
      </c>
      <c r="P250" s="15" t="n">
        <f aca="false">N250*$E$2*(1+$I$238)/($F$238-$I$238)/(1+$F$238)^$N$3</f>
        <v>28228.6616810897</v>
      </c>
      <c r="Q250" s="15" t="n">
        <f aca="false">O250+P250</f>
        <v>47000.2475362425</v>
      </c>
      <c r="R250" s="15" t="n">
        <f aca="false">Q250-$G$2+$I$2</f>
        <v>40812.9475362425</v>
      </c>
      <c r="S250" s="42" t="n">
        <f aca="false">R250/$K$2</f>
        <v>561.388549329333</v>
      </c>
      <c r="T250" s="43" t="n">
        <f aca="false">S250-$M$2</f>
        <v>0.590750154642819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0.10791015625</v>
      </c>
      <c r="C251" s="25" t="n">
        <f aca="false">IF(T250&gt;0,D250,C250)</f>
        <v>0.108642578125</v>
      </c>
      <c r="D251" s="41" t="n">
        <f aca="false">(B251+C251)/2</f>
        <v>0.1082763671875</v>
      </c>
      <c r="E251" s="15" t="n">
        <f aca="false">$C$2*(1+IF(E$3&lt;=$O$2,$D251,$D251-($D251-$I$238)*MIN(E$3-$O$2,$Q$2)/$Q$2))</f>
        <v>3690.56030273438</v>
      </c>
      <c r="F251" s="15" t="n">
        <f aca="false">E251*(1+IF(F$3&lt;=$O$2,$D251,$D251-($D251-$I$238)*MIN(F$3-$O$2,$Q$2)/$Q$2))</f>
        <v>4090.16076520085</v>
      </c>
      <c r="G251" s="15" t="n">
        <f aca="false">F251*(1+IF(G$3&lt;=$O$2,$D251,$D251-($D251-$I$238)*MIN(G$3-$O$2,$Q$2)/$Q$2))</f>
        <v>4533.02851406965</v>
      </c>
      <c r="H251" s="15" t="n">
        <f aca="false">G251*(1+IF(H$3&lt;=$O$2,$D251,$D251-($D251-$I$238)*MIN(H$3-$O$2,$Q$2)/$Q$2))</f>
        <v>5023.84837393046</v>
      </c>
      <c r="I251" s="15" t="n">
        <f aca="false">H251*(1+IF(I$3&lt;=$O$2,$D251,$D251-($D251-$I$238)*MIN(I$3-$O$2,$Q$2)/$Q$2))</f>
        <v>5567.81242516048</v>
      </c>
      <c r="J251" s="15" t="n">
        <f aca="false">I251*(1+IF(J$3&lt;=$O$2,$D251,$D251-($D251-$I$238)*MIN(J$3-$O$2,$Q$2)/$Q$2))</f>
        <v>6081.61624554913</v>
      </c>
      <c r="K251" s="15" t="n">
        <f aca="false">J251*(1+IF(K$3&lt;=$O$2,$D251,$D251-($D251-$I$238)*MIN(K$3-$O$2,$Q$2)/$Q$2))</f>
        <v>6545.55732966667</v>
      </c>
      <c r="L251" s="15" t="n">
        <f aca="false">K251*(1+IF(L$3&lt;=$O$2,$D251,$D251-($D251-$I$238)*MIN(L$3-$O$2,$Q$2)/$Q$2))</f>
        <v>6940.19256067394</v>
      </c>
      <c r="M251" s="15" t="n">
        <f aca="false">L251*(1+IF(M$3&lt;=$O$2,$D251,$D251-($D251-$I$238)*MIN(M$3-$O$2,$Q$2)/$Q$2))</f>
        <v>7247.61028785789</v>
      </c>
      <c r="N251" s="15" t="n">
        <f aca="false">M251*(1+IF(N$3&lt;=$O$2,$D251,$D251-($D251-$I$238)*MIN(N$3-$O$2,$Q$2)/$Q$2))</f>
        <v>7452.71765900427</v>
      </c>
      <c r="O251" s="15" t="n">
        <f aca="false">SUMPRODUCT(E251:N251,1/(1+$F$238)^$E$3:$N$3)*$E$2</f>
        <v>18741.7825785709</v>
      </c>
      <c r="P251" s="15" t="n">
        <f aca="false">N251*$E$2*(1+$I$238)/($F$238-$I$238)/(1+$F$238)^$N$3</f>
        <v>28162.8955351016</v>
      </c>
      <c r="Q251" s="15" t="n">
        <f aca="false">O251+P251</f>
        <v>46904.6781136725</v>
      </c>
      <c r="R251" s="15" t="n">
        <f aca="false">Q251-$G$2+$I$2</f>
        <v>40717.3781136725</v>
      </c>
      <c r="S251" s="42" t="n">
        <f aca="false">R251/$K$2</f>
        <v>560.073976804299</v>
      </c>
      <c r="T251" s="43" t="n">
        <f aca="false">S251-$M$2</f>
        <v>-0.723822370391531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0.1082763671875</v>
      </c>
      <c r="C252" s="25" t="n">
        <f aca="false">IF(T251&gt;0,D251,C251)</f>
        <v>0.108642578125</v>
      </c>
      <c r="D252" s="41" t="n">
        <f aca="false">(B252+C252)/2</f>
        <v>0.10845947265625</v>
      </c>
      <c r="E252" s="15" t="n">
        <f aca="false">$C$2*(1+IF(E$3&lt;=$O$2,$D252,$D252-($D252-$I$238)*MIN(E$3-$O$2,$Q$2)/$Q$2))</f>
        <v>3691.17004394531</v>
      </c>
      <c r="F252" s="15" t="n">
        <f aca="false">E252*(1+IF(F$3&lt;=$O$2,$D252,$D252-($D252-$I$238)*MIN(F$3-$O$2,$Q$2)/$Q$2))</f>
        <v>4091.51240039617</v>
      </c>
      <c r="G252" s="15" t="n">
        <f aca="false">F252*(1+IF(G$3&lt;=$O$2,$D252,$D252-($D252-$I$238)*MIN(G$3-$O$2,$Q$2)/$Q$2))</f>
        <v>4535.27567770964</v>
      </c>
      <c r="H252" s="15" t="n">
        <f aca="false">G252*(1+IF(H$3&lt;=$O$2,$D252,$D252-($D252-$I$238)*MIN(H$3-$O$2,$Q$2)/$Q$2))</f>
        <v>5027.16928606475</v>
      </c>
      <c r="I252" s="15" t="n">
        <f aca="false">H252*(1+IF(I$3&lt;=$O$2,$D252,$D252-($D252-$I$238)*MIN(I$3-$O$2,$Q$2)/$Q$2))</f>
        <v>5572.41341578503</v>
      </c>
      <c r="J252" s="15" t="n">
        <f aca="false">I252*(1+IF(J$3&lt;=$O$2,$D252,$D252-($D252-$I$238)*MIN(J$3-$O$2,$Q$2)/$Q$2))</f>
        <v>6087.4580921173</v>
      </c>
      <c r="K252" s="15" t="n">
        <f aca="false">J252*(1+IF(K$3&lt;=$O$2,$D252,$D252-($D252-$I$238)*MIN(K$3-$O$2,$Q$2)/$Q$2))</f>
        <v>6552.5136144129</v>
      </c>
      <c r="L252" s="15" t="n">
        <f aca="false">K252*(1+IF(L$3&lt;=$O$2,$D252,$D252-($D252-$I$238)*MIN(L$3-$O$2,$Q$2)/$Q$2))</f>
        <v>6948.04816406248</v>
      </c>
      <c r="M252" s="15" t="n">
        <f aca="false">L252*(1+IF(M$3&lt;=$O$2,$D252,$D252-($D252-$I$238)*MIN(M$3-$O$2,$Q$2)/$Q$2))</f>
        <v>7256.06830246975</v>
      </c>
      <c r="N252" s="15" t="n">
        <f aca="false">M252*(1+IF(N$3&lt;=$O$2,$D252,$D252-($D252-$I$238)*MIN(N$3-$O$2,$Q$2)/$Q$2))</f>
        <v>7461.41503542964</v>
      </c>
      <c r="O252" s="15" t="n">
        <f aca="false">SUMPRODUCT(E252:N252,1/(1+$F$238)^$E$3:$N$3)*$E$2</f>
        <v>18756.6783480126</v>
      </c>
      <c r="P252" s="15" t="n">
        <f aca="false">N252*$E$2*(1+$I$238)/($F$238-$I$238)/(1+$F$238)^$N$3</f>
        <v>28195.7618417168</v>
      </c>
      <c r="Q252" s="15" t="n">
        <f aca="false">O252+P252</f>
        <v>46952.4401897293</v>
      </c>
      <c r="R252" s="15" t="n">
        <f aca="false">Q252-$G$2+$I$2</f>
        <v>40765.1401897293</v>
      </c>
      <c r="S252" s="42" t="n">
        <f aca="false">R252/$K$2</f>
        <v>560.730951715672</v>
      </c>
      <c r="T252" s="43" t="n">
        <f aca="false">S252-$M$2</f>
        <v>-0.0668474590187316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0.10845947265625</v>
      </c>
      <c r="C253" s="25" t="n">
        <f aca="false">IF(T252&gt;0,D252,C252)</f>
        <v>0.108642578125</v>
      </c>
      <c r="D253" s="41" t="n">
        <f aca="false">(B253+C253)/2</f>
        <v>0.108551025390625</v>
      </c>
      <c r="E253" s="15" t="n">
        <f aca="false">$C$2*(1+IF(E$3&lt;=$O$2,$D253,$D253-($D253-$I$238)*MIN(E$3-$O$2,$Q$2)/$Q$2))</f>
        <v>3691.47491455078</v>
      </c>
      <c r="F253" s="15" t="n">
        <f aca="false">E253*(1+IF(F$3&lt;=$O$2,$D253,$D253-($D253-$I$238)*MIN(F$3-$O$2,$Q$2)/$Q$2))</f>
        <v>4092.18830172904</v>
      </c>
      <c r="G253" s="15" t="n">
        <f aca="false">F253*(1+IF(G$3&lt;=$O$2,$D253,$D253-($D253-$I$238)*MIN(G$3-$O$2,$Q$2)/$Q$2))</f>
        <v>4536.39953797325</v>
      </c>
      <c r="H253" s="15" t="n">
        <f aca="false">G253*(1+IF(H$3&lt;=$O$2,$D253,$D253-($D253-$I$238)*MIN(H$3-$O$2,$Q$2)/$Q$2))</f>
        <v>5028.8303594018</v>
      </c>
      <c r="I253" s="15" t="n">
        <f aca="false">H253*(1+IF(I$3&lt;=$O$2,$D253,$D253-($D253-$I$238)*MIN(I$3-$O$2,$Q$2)/$Q$2))</f>
        <v>5574.71505143037</v>
      </c>
      <c r="J253" s="15" t="n">
        <f aca="false">I253*(1+IF(J$3&lt;=$O$2,$D253,$D253-($D253-$I$238)*MIN(J$3-$O$2,$Q$2)/$Q$2))</f>
        <v>6090.38076669612</v>
      </c>
      <c r="K253" s="15" t="n">
        <f aca="false">J253*(1+IF(K$3&lt;=$O$2,$D253,$D253-($D253-$I$238)*MIN(K$3-$O$2,$Q$2)/$Q$2))</f>
        <v>6555.99412332164</v>
      </c>
      <c r="L253" s="15" t="n">
        <f aca="false">K253*(1+IF(L$3&lt;=$O$2,$D253,$D253-($D253-$I$238)*MIN(L$3-$O$2,$Q$2)/$Q$2))</f>
        <v>6951.97885735223</v>
      </c>
      <c r="M253" s="15" t="n">
        <f aca="false">L253*(1+IF(M$3&lt;=$O$2,$D253,$D253-($D253-$I$238)*MIN(M$3-$O$2,$Q$2)/$Q$2))</f>
        <v>7260.3005453746</v>
      </c>
      <c r="N253" s="15" t="n">
        <f aca="false">M253*(1+IF(N$3&lt;=$O$2,$D253,$D253-($D253-$I$238)*MIN(N$3-$O$2,$Q$2)/$Q$2))</f>
        <v>7465.7670508087</v>
      </c>
      <c r="O253" s="15" t="n">
        <f aca="false">SUMPRODUCT(E253:N253,1/(1+$F$238)^$E$3:$N$3)*$E$2</f>
        <v>18764.1306338364</v>
      </c>
      <c r="P253" s="15" t="n">
        <f aca="false">N253*$E$2*(1+$I$238)/($F$238-$I$238)/(1+$F$238)^$N$3</f>
        <v>28212.2075679733</v>
      </c>
      <c r="Q253" s="15" t="n">
        <f aca="false">O253+P253</f>
        <v>46976.3382018097</v>
      </c>
      <c r="R253" s="15" t="n">
        <f aca="false">Q253-$G$2+$I$2</f>
        <v>40789.0382018097</v>
      </c>
      <c r="S253" s="42" t="n">
        <f aca="false">R253/$K$2</f>
        <v>561.059672652128</v>
      </c>
      <c r="T253" s="43" t="n">
        <f aca="false">S253-$M$2</f>
        <v>0.261873477437803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0.10845947265625</v>
      </c>
      <c r="C254" s="25" t="n">
        <f aca="false">IF(T253&gt;0,D253,C253)</f>
        <v>0.108551025390625</v>
      </c>
      <c r="D254" s="41" t="n">
        <f aca="false">(B254+C254)/2</f>
        <v>0.108505249023438</v>
      </c>
      <c r="E254" s="15" t="n">
        <f aca="false">$C$2*(1+IF(E$3&lt;=$O$2,$D254,$D254-($D254-$I$238)*MIN(E$3-$O$2,$Q$2)/$Q$2))</f>
        <v>3691.32247924805</v>
      </c>
      <c r="F254" s="15" t="n">
        <f aca="false">E254*(1+IF(F$3&lt;=$O$2,$D254,$D254-($D254-$I$238)*MIN(F$3-$O$2,$Q$2)/$Q$2))</f>
        <v>4091.85034408467</v>
      </c>
      <c r="G254" s="15" t="n">
        <f aca="false">F254*(1+IF(G$3&lt;=$O$2,$D254,$D254-($D254-$I$238)*MIN(G$3-$O$2,$Q$2)/$Q$2))</f>
        <v>4535.83758463621</v>
      </c>
      <c r="H254" s="15" t="n">
        <f aca="false">G254*(1+IF(H$3&lt;=$O$2,$D254,$D254-($D254-$I$238)*MIN(H$3-$O$2,$Q$2)/$Q$2))</f>
        <v>5027.99977128703</v>
      </c>
      <c r="I254" s="15" t="n">
        <f aca="false">H254*(1+IF(I$3&lt;=$O$2,$D254,$D254-($D254-$I$238)*MIN(I$3-$O$2,$Q$2)/$Q$2))</f>
        <v>5573.56413856032</v>
      </c>
      <c r="J254" s="15" t="n">
        <f aca="false">I254*(1+IF(J$3&lt;=$O$2,$D254,$D254-($D254-$I$238)*MIN(J$3-$O$2,$Q$2)/$Q$2))</f>
        <v>6088.91928342664</v>
      </c>
      <c r="K254" s="15" t="n">
        <f aca="false">J254*(1+IF(K$3&lt;=$O$2,$D254,$D254-($D254-$I$238)*MIN(K$3-$O$2,$Q$2)/$Q$2))</f>
        <v>6554.25367159412</v>
      </c>
      <c r="L254" s="15" t="n">
        <f aca="false">K254*(1+IF(L$3&lt;=$O$2,$D254,$D254-($D254-$I$238)*MIN(L$3-$O$2,$Q$2)/$Q$2))</f>
        <v>6950.01326965743</v>
      </c>
      <c r="M254" s="15" t="n">
        <f aca="false">L254*(1+IF(M$3&lt;=$O$2,$D254,$D254-($D254-$I$238)*MIN(M$3-$O$2,$Q$2)/$Q$2))</f>
        <v>7258.18415419055</v>
      </c>
      <c r="N254" s="15" t="n">
        <f aca="false">M254*(1+IF(N$3&lt;=$O$2,$D254,$D254-($D254-$I$238)*MIN(N$3-$O$2,$Q$2)/$Q$2))</f>
        <v>7463.59076575414</v>
      </c>
      <c r="O254" s="15" t="n">
        <f aca="false">SUMPRODUCT(E254:N254,1/(1+$F$238)^$E$3:$N$3)*$E$2</f>
        <v>18760.4041240547</v>
      </c>
      <c r="P254" s="15" t="n">
        <f aca="false">N254*$E$2*(1+$I$238)/($F$238-$I$238)/(1+$F$238)^$N$3</f>
        <v>28203.983656717</v>
      </c>
      <c r="Q254" s="15" t="n">
        <f aca="false">O254+P254</f>
        <v>46964.3877807717</v>
      </c>
      <c r="R254" s="15" t="n">
        <f aca="false">Q254-$G$2+$I$2</f>
        <v>40777.0877807717</v>
      </c>
      <c r="S254" s="42" t="n">
        <f aca="false">R254/$K$2</f>
        <v>560.895292720381</v>
      </c>
      <c r="T254" s="43" t="n">
        <f aca="false">S254-$M$2</f>
        <v>0.0974935456903268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0.10845947265625</v>
      </c>
      <c r="C255" s="25" t="n">
        <f aca="false">IF(T254&gt;0,D254,C254)</f>
        <v>0.108505249023438</v>
      </c>
      <c r="D255" s="41" t="n">
        <f aca="false">(B255+C255)/2</f>
        <v>0.108482360839844</v>
      </c>
      <c r="E255" s="15" t="n">
        <f aca="false">$C$2*(1+IF(E$3&lt;=$O$2,$D255,$D255-($D255-$I$238)*MIN(E$3-$O$2,$Q$2)/$Q$2))</f>
        <v>3691.24626159668</v>
      </c>
      <c r="F255" s="15" t="n">
        <f aca="false">E255*(1+IF(F$3&lt;=$O$2,$D255,$D255-($D255-$I$238)*MIN(F$3-$O$2,$Q$2)/$Q$2))</f>
        <v>4091.68137049594</v>
      </c>
      <c r="G255" s="15" t="n">
        <f aca="false">F255*(1+IF(G$3&lt;=$O$2,$D255,$D255-($D255-$I$238)*MIN(G$3-$O$2,$Q$2)/$Q$2))</f>
        <v>4535.55662537174</v>
      </c>
      <c r="H255" s="15" t="n">
        <f aca="false">G255*(1+IF(H$3&lt;=$O$2,$D255,$D255-($D255-$I$238)*MIN(H$3-$O$2,$Q$2)/$Q$2))</f>
        <v>5027.58451581486</v>
      </c>
      <c r="I255" s="15" t="n">
        <f aca="false">H255*(1+IF(I$3&lt;=$O$2,$D255,$D255-($D255-$I$238)*MIN(I$3-$O$2,$Q$2)/$Q$2))</f>
        <v>5572.9887534123</v>
      </c>
      <c r="J255" s="15" t="n">
        <f aca="false">I255*(1+IF(J$3&lt;=$O$2,$D255,$D255-($D255-$I$238)*MIN(J$3-$O$2,$Q$2)/$Q$2))</f>
        <v>6088.18865127987</v>
      </c>
      <c r="K255" s="15" t="n">
        <f aca="false">J255*(1+IF(K$3&lt;=$O$2,$D255,$D255-($D255-$I$238)*MIN(K$3-$O$2,$Q$2)/$Q$2))</f>
        <v>6553.38359368987</v>
      </c>
      <c r="L255" s="15" t="n">
        <f aca="false">K255*(1+IF(L$3&lt;=$O$2,$D255,$D255-($D255-$I$238)*MIN(L$3-$O$2,$Q$2)/$Q$2))</f>
        <v>6949.03065660375</v>
      </c>
      <c r="M255" s="15" t="n">
        <f aca="false">L255*(1+IF(M$3&lt;=$O$2,$D255,$D255-($D255-$I$238)*MIN(M$3-$O$2,$Q$2)/$Q$2))</f>
        <v>7257.12616090463</v>
      </c>
      <c r="N255" s="15" t="n">
        <f aca="false">M255*(1+IF(N$3&lt;=$O$2,$D255,$D255-($D255-$I$238)*MIN(N$3-$O$2,$Q$2)/$Q$2))</f>
        <v>7462.50283125823</v>
      </c>
      <c r="O255" s="15" t="n">
        <f aca="false">SUMPRODUCT(E255:N255,1/(1+$F$238)^$E$3:$N$3)*$E$2</f>
        <v>18758.5411443245</v>
      </c>
      <c r="P255" s="15" t="n">
        <f aca="false">N255*$E$2*(1+$I$238)/($F$238-$I$238)/(1+$F$238)^$N$3</f>
        <v>28199.8724872136</v>
      </c>
      <c r="Q255" s="15" t="n">
        <f aca="false">O255+P255</f>
        <v>46958.4136315381</v>
      </c>
      <c r="R255" s="15" t="n">
        <f aca="false">Q255-$G$2+$I$2</f>
        <v>40771.1136315381</v>
      </c>
      <c r="S255" s="42" t="n">
        <f aca="false">R255/$K$2</f>
        <v>560.813117352656</v>
      </c>
      <c r="T255" s="43" t="n">
        <f aca="false">S255-$M$2</f>
        <v>0.0153181779654687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0.10845947265625</v>
      </c>
      <c r="C256" s="25" t="n">
        <f aca="false">IF(T255&gt;0,D255,C255)</f>
        <v>0.108482360839844</v>
      </c>
      <c r="D256" s="41" t="n">
        <f aca="false">(B256+C256)/2</f>
        <v>0.108470916748047</v>
      </c>
      <c r="E256" s="15" t="n">
        <f aca="false">$C$2*(1+IF(E$3&lt;=$O$2,$D256,$D256-($D256-$I$238)*MIN(E$3-$O$2,$Q$2)/$Q$2))</f>
        <v>3691.208152771</v>
      </c>
      <c r="F256" s="15" t="n">
        <f aca="false">E256*(1+IF(F$3&lt;=$O$2,$D256,$D256-($D256-$I$238)*MIN(F$3-$O$2,$Q$2)/$Q$2))</f>
        <v>4091.59688500993</v>
      </c>
      <c r="G256" s="15" t="n">
        <f aca="false">F256*(1+IF(G$3&lt;=$O$2,$D256,$D256-($D256-$I$238)*MIN(G$3-$O$2,$Q$2)/$Q$2))</f>
        <v>4535.41615009041</v>
      </c>
      <c r="H256" s="15" t="n">
        <f aca="false">G256*(1+IF(H$3&lt;=$O$2,$D256,$D256-($D256-$I$238)*MIN(H$3-$O$2,$Q$2)/$Q$2))</f>
        <v>5027.37689772462</v>
      </c>
      <c r="I256" s="15" t="n">
        <f aca="false">H256*(1+IF(I$3&lt;=$O$2,$D256,$D256-($D256-$I$238)*MIN(I$3-$O$2,$Q$2)/$Q$2))</f>
        <v>5572.70107865876</v>
      </c>
      <c r="J256" s="15" t="n">
        <f aca="false">I256*(1+IF(J$3&lt;=$O$2,$D256,$D256-($D256-$I$238)*MIN(J$3-$O$2,$Q$2)/$Q$2))</f>
        <v>6087.82336257592</v>
      </c>
      <c r="K256" s="15" t="n">
        <f aca="false">J256*(1+IF(K$3&lt;=$O$2,$D256,$D256-($D256-$I$238)*MIN(K$3-$O$2,$Q$2)/$Q$2))</f>
        <v>6552.94859172355</v>
      </c>
      <c r="L256" s="15" t="n">
        <f aca="false">K256*(1+IF(L$3&lt;=$O$2,$D256,$D256-($D256-$I$238)*MIN(L$3-$O$2,$Q$2)/$Q$2))</f>
        <v>6948.53939526985</v>
      </c>
      <c r="M256" s="15" t="n">
        <f aca="false">L256*(1+IF(M$3&lt;=$O$2,$D256,$D256-($D256-$I$238)*MIN(M$3-$O$2,$Q$2)/$Q$2))</f>
        <v>7256.59721483173</v>
      </c>
      <c r="N256" s="15" t="n">
        <f aca="false">M256*(1+IF(N$3&lt;=$O$2,$D256,$D256-($D256-$I$238)*MIN(N$3-$O$2,$Q$2)/$Q$2))</f>
        <v>7461.95891601146</v>
      </c>
      <c r="O256" s="15" t="n">
        <f aca="false">SUMPRODUCT(E256:N256,1/(1+$F$238)^$E$3:$N$3)*$E$2</f>
        <v>18757.6097232423</v>
      </c>
      <c r="P256" s="15" t="n">
        <f aca="false">N256*$E$2*(1+$I$238)/($F$238-$I$238)/(1+$F$238)^$N$3</f>
        <v>28197.8170989679</v>
      </c>
      <c r="Q256" s="15" t="n">
        <f aca="false">O256+P256</f>
        <v>46955.4268222102</v>
      </c>
      <c r="R256" s="15" t="n">
        <f aca="false">Q256-$G$2+$I$2</f>
        <v>40768.1268222102</v>
      </c>
      <c r="S256" s="42" t="n">
        <f aca="false">R256/$K$2</f>
        <v>560.772033317885</v>
      </c>
      <c r="T256" s="43" t="n">
        <f aca="false">S256-$M$2</f>
        <v>-0.0257658568054922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0.108470916748047</v>
      </c>
      <c r="C257" s="25" t="n">
        <f aca="false">IF(T256&gt;0,D256,C256)</f>
        <v>0.108482360839844</v>
      </c>
      <c r="D257" s="41" t="n">
        <f aca="false">(B257+C257)/2</f>
        <v>0.108476638793945</v>
      </c>
      <c r="E257" s="15" t="n">
        <f aca="false">$C$2*(1+IF(E$3&lt;=$O$2,$D257,$D257-($D257-$I$238)*MIN(E$3-$O$2,$Q$2)/$Q$2))</f>
        <v>3691.22720718384</v>
      </c>
      <c r="F257" s="15" t="n">
        <f aca="false">E257*(1+IF(F$3&lt;=$O$2,$D257,$D257-($D257-$I$238)*MIN(F$3-$O$2,$Q$2)/$Q$2))</f>
        <v>4091.6391276439</v>
      </c>
      <c r="G257" s="15" t="n">
        <f aca="false">F257*(1+IF(G$3&lt;=$O$2,$D257,$D257-($D257-$I$238)*MIN(G$3-$O$2,$Q$2)/$Q$2))</f>
        <v>4535.4863873685</v>
      </c>
      <c r="H257" s="15" t="n">
        <f aca="false">G257*(1+IF(H$3&lt;=$O$2,$D257,$D257-($D257-$I$238)*MIN(H$3-$O$2,$Q$2)/$Q$2))</f>
        <v>5027.48070596593</v>
      </c>
      <c r="I257" s="15" t="n">
        <f aca="false">H257*(1+IF(I$3&lt;=$O$2,$D257,$D257-($D257-$I$238)*MIN(I$3-$O$2,$Q$2)/$Q$2))</f>
        <v>5572.84491455053</v>
      </c>
      <c r="J257" s="15" t="n">
        <f aca="false">I257*(1+IF(J$3&lt;=$O$2,$D257,$D257-($D257-$I$238)*MIN(J$3-$O$2,$Q$2)/$Q$2))</f>
        <v>6088.00600464718</v>
      </c>
      <c r="K257" s="15" t="n">
        <f aca="false">J257*(1+IF(K$3&lt;=$O$2,$D257,$D257-($D257-$I$238)*MIN(K$3-$O$2,$Q$2)/$Q$2))</f>
        <v>6553.16608962468</v>
      </c>
      <c r="L257" s="15" t="n">
        <f aca="false">K257*(1+IF(L$3&lt;=$O$2,$D257,$D257-($D257-$I$238)*MIN(L$3-$O$2,$Q$2)/$Q$2))</f>
        <v>6948.78502217088</v>
      </c>
      <c r="M257" s="15" t="n">
        <f aca="false">L257*(1+IF(M$3&lt;=$O$2,$D257,$D257-($D257-$I$238)*MIN(M$3-$O$2,$Q$2)/$Q$2))</f>
        <v>7256.86168365419</v>
      </c>
      <c r="N257" s="15" t="n">
        <f aca="false">M257*(1+IF(N$3&lt;=$O$2,$D257,$D257-($D257-$I$238)*MIN(N$3-$O$2,$Q$2)/$Q$2))</f>
        <v>7462.23086930161</v>
      </c>
      <c r="O257" s="15" t="n">
        <f aca="false">SUMPRODUCT(E257:N257,1/(1+$F$238)^$E$3:$N$3)*$E$2</f>
        <v>18758.0754280517</v>
      </c>
      <c r="P257" s="15" t="n">
        <f aca="false">N257*$E$2*(1+$I$238)/($F$238-$I$238)/(1+$F$238)^$N$3</f>
        <v>28198.844776716</v>
      </c>
      <c r="Q257" s="15" t="n">
        <f aca="false">O257+P257</f>
        <v>46956.9202047677</v>
      </c>
      <c r="R257" s="15" t="n">
        <f aca="false">Q257-$G$2+$I$2</f>
        <v>40769.6202047677</v>
      </c>
      <c r="S257" s="42" t="n">
        <f aca="false">R257/$K$2</f>
        <v>560.792575031193</v>
      </c>
      <c r="T257" s="43" t="n">
        <f aca="false">S257-$M$2</f>
        <v>-0.00522414349779865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0.108476638793945</v>
      </c>
      <c r="C258" s="25" t="n">
        <f aca="false">IF(T257&gt;0,D257,C257)</f>
        <v>0.108482360839844</v>
      </c>
      <c r="D258" s="41" t="n">
        <f aca="false">(B258+C258)/2</f>
        <v>0.108479499816895</v>
      </c>
      <c r="E258" s="15" t="n">
        <f aca="false">$C$2*(1+IF(E$3&lt;=$O$2,$D258,$D258-($D258-$I$238)*MIN(E$3-$O$2,$Q$2)/$Q$2))</f>
        <v>3691.23673439026</v>
      </c>
      <c r="F258" s="15" t="n">
        <f aca="false">E258*(1+IF(F$3&lt;=$O$2,$D258,$D258-($D258-$I$238)*MIN(F$3-$O$2,$Q$2)/$Q$2))</f>
        <v>4091.66024904266</v>
      </c>
      <c r="G258" s="15" t="n">
        <f aca="false">F258*(1+IF(G$3&lt;=$O$2,$D258,$D258-($D258-$I$238)*MIN(G$3-$O$2,$Q$2)/$Q$2))</f>
        <v>4535.52150627948</v>
      </c>
      <c r="H258" s="15" t="n">
        <f aca="false">G258*(1+IF(H$3&lt;=$O$2,$D258,$D258-($D258-$I$238)*MIN(H$3-$O$2,$Q$2)/$Q$2))</f>
        <v>5027.53261068945</v>
      </c>
      <c r="I258" s="15" t="n">
        <f aca="false">H258*(1+IF(I$3&lt;=$O$2,$D258,$D258-($D258-$I$238)*MIN(I$3-$O$2,$Q$2)/$Q$2))</f>
        <v>5572.91683361016</v>
      </c>
      <c r="J258" s="15" t="n">
        <f aca="false">I258*(1+IF(J$3&lt;=$O$2,$D258,$D258-($D258-$I$238)*MIN(J$3-$O$2,$Q$2)/$Q$2))</f>
        <v>6088.09732739334</v>
      </c>
      <c r="K258" s="15" t="n">
        <f aca="false">J258*(1+IF(K$3&lt;=$O$2,$D258,$D258-($D258-$I$238)*MIN(K$3-$O$2,$Q$2)/$Q$2))</f>
        <v>6553.27484088675</v>
      </c>
      <c r="L258" s="15" t="n">
        <f aca="false">K258*(1+IF(L$3&lt;=$O$2,$D258,$D258-($D258-$I$238)*MIN(L$3-$O$2,$Q$2)/$Q$2))</f>
        <v>6948.90783844583</v>
      </c>
      <c r="M258" s="15" t="n">
        <f aca="false">L258*(1+IF(M$3&lt;=$O$2,$D258,$D258-($D258-$I$238)*MIN(M$3-$O$2,$Q$2)/$Q$2))</f>
        <v>7256.9939212259</v>
      </c>
      <c r="N258" s="15" t="n">
        <f aca="false">M258*(1+IF(N$3&lt;=$O$2,$D258,$D258-($D258-$I$238)*MIN(N$3-$O$2,$Q$2)/$Q$2))</f>
        <v>7462.36684919659</v>
      </c>
      <c r="O258" s="15" t="n">
        <f aca="false">SUMPRODUCT(E258:N258,1/(1+$F$238)^$E$3:$N$3)*$E$2</f>
        <v>18758.3082847552</v>
      </c>
      <c r="P258" s="15" t="n">
        <f aca="false">N258*$E$2*(1+$I$238)/($F$238-$I$238)/(1+$F$238)^$N$3</f>
        <v>28199.358627871</v>
      </c>
      <c r="Q258" s="15" t="n">
        <f aca="false">O258+P258</f>
        <v>46957.6669126262</v>
      </c>
      <c r="R258" s="15" t="n">
        <f aca="false">Q258-$G$2+$I$2</f>
        <v>40770.3669126262</v>
      </c>
      <c r="S258" s="42" t="n">
        <f aca="false">R258/$K$2</f>
        <v>560.802846115904</v>
      </c>
      <c r="T258" s="43" t="n">
        <f aca="false">S258-$M$2</f>
        <v>0.00504694121343619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0.108476638793945</v>
      </c>
      <c r="C259" s="25" t="n">
        <f aca="false">IF(T258&gt;0,D258,C258)</f>
        <v>0.108479499816895</v>
      </c>
      <c r="D259" s="41" t="n">
        <f aca="false">(B259+C259)/2</f>
        <v>0.10847806930542</v>
      </c>
      <c r="E259" s="15" t="n">
        <f aca="false">$C$2*(1+IF(E$3&lt;=$O$2,$D259,$D259-($D259-$I$238)*MIN(E$3-$O$2,$Q$2)/$Q$2))</f>
        <v>3691.23197078705</v>
      </c>
      <c r="F259" s="15" t="n">
        <f aca="false">E259*(1+IF(F$3&lt;=$O$2,$D259,$D259-($D259-$I$238)*MIN(F$3-$O$2,$Q$2)/$Q$2))</f>
        <v>4091.64968833647</v>
      </c>
      <c r="G259" s="15" t="n">
        <f aca="false">F259*(1+IF(G$3&lt;=$O$2,$D259,$D259-($D259-$I$238)*MIN(G$3-$O$2,$Q$2)/$Q$2))</f>
        <v>4535.50394680133</v>
      </c>
      <c r="H259" s="15" t="n">
        <f aca="false">G259*(1+IF(H$3&lt;=$O$2,$D259,$D259-($D259-$I$238)*MIN(H$3-$O$2,$Q$2)/$Q$2))</f>
        <v>5027.50665827745</v>
      </c>
      <c r="I259" s="15" t="n">
        <f aca="false">H259*(1+IF(I$3&lt;=$O$2,$D259,$D259-($D259-$I$238)*MIN(I$3-$O$2,$Q$2)/$Q$2))</f>
        <v>5572.88087398753</v>
      </c>
      <c r="J259" s="15" t="n">
        <f aca="false">I259*(1+IF(J$3&lt;=$O$2,$D259,$D259-($D259-$I$238)*MIN(J$3-$O$2,$Q$2)/$Q$2))</f>
        <v>6088.05166587772</v>
      </c>
      <c r="K259" s="15" t="n">
        <f aca="false">J259*(1+IF(K$3&lt;=$O$2,$D259,$D259-($D259-$I$238)*MIN(K$3-$O$2,$Q$2)/$Q$2))</f>
        <v>6553.22046506309</v>
      </c>
      <c r="L259" s="15" t="n">
        <f aca="false">K259*(1+IF(L$3&lt;=$O$2,$D259,$D259-($D259-$I$238)*MIN(L$3-$O$2,$Q$2)/$Q$2))</f>
        <v>6948.84643007299</v>
      </c>
      <c r="M259" s="15" t="n">
        <f aca="false">L259*(1+IF(M$3&lt;=$O$2,$D259,$D259-($D259-$I$238)*MIN(M$3-$O$2,$Q$2)/$Q$2))</f>
        <v>7256.92780217667</v>
      </c>
      <c r="N259" s="15" t="n">
        <f aca="false">M259*(1+IF(N$3&lt;=$O$2,$D259,$D259-($D259-$I$238)*MIN(N$3-$O$2,$Q$2)/$Q$2))</f>
        <v>7462.29885897827</v>
      </c>
      <c r="O259" s="15" t="n">
        <f aca="false">SUMPRODUCT(E259:N259,1/(1+$F$238)^$E$3:$N$3)*$E$2</f>
        <v>18758.1918560452</v>
      </c>
      <c r="P259" s="15" t="n">
        <f aca="false">N259*$E$2*(1+$I$238)/($F$238-$I$238)/(1+$F$238)^$N$3</f>
        <v>28199.1017012701</v>
      </c>
      <c r="Q259" s="15" t="n">
        <f aca="false">O259+P259</f>
        <v>46957.2935573153</v>
      </c>
      <c r="R259" s="15" t="n">
        <f aca="false">Q259-$G$2+$I$2</f>
        <v>40769.9935573153</v>
      </c>
      <c r="S259" s="42" t="n">
        <f aca="false">R259/$K$2</f>
        <v>560.797710554543</v>
      </c>
      <c r="T259" s="43" t="n">
        <f aca="false">S259-$M$2</f>
        <v>-8.86201472667381E-005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0.10847806930542</v>
      </c>
      <c r="C260" s="25" t="n">
        <f aca="false">IF(T259&gt;0,D259,C259)</f>
        <v>0.108479499816895</v>
      </c>
      <c r="D260" s="41" t="n">
        <f aca="false">(B260+C260)/2</f>
        <v>0.108478784561157</v>
      </c>
      <c r="E260" s="15" t="n">
        <f aca="false">$C$2*(1+IF(E$3&lt;=$O$2,$D260,$D260-($D260-$I$238)*MIN(E$3-$O$2,$Q$2)/$Q$2))</f>
        <v>3691.23435258865</v>
      </c>
      <c r="F260" s="15" t="n">
        <f aca="false">E260*(1+IF(F$3&lt;=$O$2,$D260,$D260-($D260-$I$238)*MIN(F$3-$O$2,$Q$2)/$Q$2))</f>
        <v>4091.65496868786</v>
      </c>
      <c r="G260" s="15" t="n">
        <f aca="false">F260*(1+IF(G$3&lt;=$O$2,$D260,$D260-($D260-$I$238)*MIN(G$3-$O$2,$Q$2)/$Q$2))</f>
        <v>4535.51272653474</v>
      </c>
      <c r="H260" s="15" t="n">
        <f aca="false">G260*(1+IF(H$3&lt;=$O$2,$D260,$D260-($D260-$I$238)*MIN(H$3-$O$2,$Q$2)/$Q$2))</f>
        <v>5027.51963447089</v>
      </c>
      <c r="I260" s="15" t="n">
        <f aca="false">H260*(1+IF(I$3&lt;=$O$2,$D260,$D260-($D260-$I$238)*MIN(I$3-$O$2,$Q$2)/$Q$2))</f>
        <v>5572.89885377565</v>
      </c>
      <c r="J260" s="15" t="n">
        <f aca="false">I260*(1+IF(J$3&lt;=$O$2,$D260,$D260-($D260-$I$238)*MIN(J$3-$O$2,$Q$2)/$Q$2))</f>
        <v>6088.07449659989</v>
      </c>
      <c r="K260" s="15" t="n">
        <f aca="false">J260*(1+IF(K$3&lt;=$O$2,$D260,$D260-($D260-$I$238)*MIN(K$3-$O$2,$Q$2)/$Q$2))</f>
        <v>6553.24765292677</v>
      </c>
      <c r="L260" s="15" t="n">
        <f aca="false">K260*(1+IF(L$3&lt;=$O$2,$D260,$D260-($D260-$I$238)*MIN(L$3-$O$2,$Q$2)/$Q$2))</f>
        <v>6948.87713420056</v>
      </c>
      <c r="M260" s="15" t="n">
        <f aca="false">L260*(1+IF(M$3&lt;=$O$2,$D260,$D260-($D260-$I$238)*MIN(M$3-$O$2,$Q$2)/$Q$2))</f>
        <v>7256.96086163544</v>
      </c>
      <c r="N260" s="15" t="n">
        <f aca="false">M260*(1+IF(N$3&lt;=$O$2,$D260,$D260-($D260-$I$238)*MIN(N$3-$O$2,$Q$2)/$Q$2))</f>
        <v>7462.33285401973</v>
      </c>
      <c r="O260" s="15" t="n">
        <f aca="false">SUMPRODUCT(E260:N260,1/(1+$F$238)^$E$3:$N$3)*$E$2</f>
        <v>18758.2500703106</v>
      </c>
      <c r="P260" s="15" t="n">
        <f aca="false">N260*$E$2*(1+$I$238)/($F$238-$I$238)/(1+$F$238)^$N$3</f>
        <v>28199.2301643147</v>
      </c>
      <c r="Q260" s="15" t="n">
        <f aca="false">O260+P260</f>
        <v>46957.4802346253</v>
      </c>
      <c r="R260" s="15" t="n">
        <f aca="false">Q260-$G$2+$I$2</f>
        <v>40770.1802346253</v>
      </c>
      <c r="S260" s="42" t="n">
        <f aca="false">R260/$K$2</f>
        <v>560.800278330472</v>
      </c>
      <c r="T260" s="43" t="n">
        <f aca="false">S260-$M$2</f>
        <v>0.0024791557818844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0.10847806930542</v>
      </c>
      <c r="C261" s="25" t="n">
        <f aca="false">IF(T260&gt;0,D260,C260)</f>
        <v>0.108478784561157</v>
      </c>
      <c r="D261" s="41" t="n">
        <f aca="false">(B261+C261)/2</f>
        <v>0.108478426933289</v>
      </c>
      <c r="E261" s="15" t="n">
        <f aca="false">$C$2*(1+IF(E$3&lt;=$O$2,$D261,$D261-($D261-$I$238)*MIN(E$3-$O$2,$Q$2)/$Q$2))</f>
        <v>3691.23316168785</v>
      </c>
      <c r="F261" s="15" t="n">
        <f aca="false">E261*(1+IF(F$3&lt;=$O$2,$D261,$D261-($D261-$I$238)*MIN(F$3-$O$2,$Q$2)/$Q$2))</f>
        <v>4091.65232851174</v>
      </c>
      <c r="G261" s="15" t="n">
        <f aca="false">F261*(1+IF(G$3&lt;=$O$2,$D261,$D261-($D261-$I$238)*MIN(G$3-$O$2,$Q$2)/$Q$2))</f>
        <v>4535.50833666662</v>
      </c>
      <c r="H261" s="15" t="n">
        <f aca="false">G261*(1+IF(H$3&lt;=$O$2,$D261,$D261-($D261-$I$238)*MIN(H$3-$O$2,$Q$2)/$Q$2))</f>
        <v>5027.51314637103</v>
      </c>
      <c r="I261" s="15" t="n">
        <f aca="false">H261*(1+IF(I$3&lt;=$O$2,$D261,$D261-($D261-$I$238)*MIN(I$3-$O$2,$Q$2)/$Q$2))</f>
        <v>5572.88986387579</v>
      </c>
      <c r="J261" s="15" t="n">
        <f aca="false">I261*(1+IF(J$3&lt;=$O$2,$D261,$D261-($D261-$I$238)*MIN(J$3-$O$2,$Q$2)/$Q$2))</f>
        <v>6088.0630812299</v>
      </c>
      <c r="K261" s="15" t="n">
        <f aca="false">J261*(1+IF(K$3&lt;=$O$2,$D261,$D261-($D261-$I$238)*MIN(K$3-$O$2,$Q$2)/$Q$2))</f>
        <v>6553.23405898289</v>
      </c>
      <c r="L261" s="15" t="n">
        <f aca="false">K261*(1+IF(L$3&lt;=$O$2,$D261,$D261-($D261-$I$238)*MIN(L$3-$O$2,$Q$2)/$Q$2))</f>
        <v>6948.86178212206</v>
      </c>
      <c r="M261" s="15" t="n">
        <f aca="false">L261*(1+IF(M$3&lt;=$O$2,$D261,$D261-($D261-$I$238)*MIN(M$3-$O$2,$Q$2)/$Q$2))</f>
        <v>7256.9443318896</v>
      </c>
      <c r="N261" s="15" t="n">
        <f aca="false">M261*(1+IF(N$3&lt;=$O$2,$D261,$D261-($D261-$I$238)*MIN(N$3-$O$2,$Q$2)/$Q$2))</f>
        <v>7462.31585648207</v>
      </c>
      <c r="O261" s="15" t="n">
        <f aca="false">SUMPRODUCT(E261:N261,1/(1+$F$238)^$E$3:$N$3)*$E$2</f>
        <v>18758.2209631555</v>
      </c>
      <c r="P261" s="15" t="n">
        <f aca="false">N261*$E$2*(1+$I$238)/($F$238-$I$238)/(1+$F$238)^$N$3</f>
        <v>28199.1659327284</v>
      </c>
      <c r="Q261" s="15" t="n">
        <f aca="false">O261+P261</f>
        <v>46957.386895884</v>
      </c>
      <c r="R261" s="15" t="n">
        <f aca="false">Q261-$G$2+$I$2</f>
        <v>40770.086895884</v>
      </c>
      <c r="S261" s="42" t="n">
        <f aca="false">R261/$K$2</f>
        <v>560.79899444132</v>
      </c>
      <c r="T261" s="43" t="n">
        <f aca="false">S261-$M$2</f>
        <v>0.00119526662945191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0.10847806930542</v>
      </c>
      <c r="C262" s="25" t="n">
        <f aca="false">IF(T261&gt;0,D261,C261)</f>
        <v>0.108478426933289</v>
      </c>
      <c r="D262" s="41" t="n">
        <f aca="false">(B262+C262)/2</f>
        <v>0.108478248119354</v>
      </c>
      <c r="E262" s="15" t="n">
        <f aca="false">$C$2*(1+IF(E$3&lt;=$O$2,$D262,$D262-($D262-$I$238)*MIN(E$3-$O$2,$Q$2)/$Q$2))</f>
        <v>3691.23256623745</v>
      </c>
      <c r="F262" s="15" t="n">
        <f aca="false">E262*(1+IF(F$3&lt;=$O$2,$D262,$D262-($D262-$I$238)*MIN(F$3-$O$2,$Q$2)/$Q$2))</f>
        <v>4091.651008424</v>
      </c>
      <c r="G262" s="15" t="n">
        <f aca="false">F262*(1+IF(G$3&lt;=$O$2,$D262,$D262-($D262-$I$238)*MIN(G$3-$O$2,$Q$2)/$Q$2))</f>
        <v>4535.50614173362</v>
      </c>
      <c r="H262" s="15" t="n">
        <f aca="false">G262*(1+IF(H$3&lt;=$O$2,$D262,$D262-($D262-$I$238)*MIN(H$3-$O$2,$Q$2)/$Q$2))</f>
        <v>5027.50990232346</v>
      </c>
      <c r="I262" s="15" t="n">
        <f aca="false">H262*(1+IF(I$3&lt;=$O$2,$D262,$D262-($D262-$I$238)*MIN(I$3-$O$2,$Q$2)/$Q$2))</f>
        <v>5572.88536893021</v>
      </c>
      <c r="J262" s="15" t="n">
        <f aca="false">I262*(1+IF(J$3&lt;=$O$2,$D262,$D262-($D262-$I$238)*MIN(J$3-$O$2,$Q$2)/$Q$2))</f>
        <v>6088.05737355158</v>
      </c>
      <c r="K262" s="15" t="n">
        <f aca="false">J262*(1+IF(K$3&lt;=$O$2,$D262,$D262-($D262-$I$238)*MIN(K$3-$O$2,$Q$2)/$Q$2))</f>
        <v>6553.22726201998</v>
      </c>
      <c r="L262" s="15" t="n">
        <f aca="false">K262*(1+IF(L$3&lt;=$O$2,$D262,$D262-($D262-$I$238)*MIN(L$3-$O$2,$Q$2)/$Q$2))</f>
        <v>6948.85410609384</v>
      </c>
      <c r="M262" s="15" t="n">
        <f aca="false">L262*(1+IF(M$3&lt;=$O$2,$D262,$D262-($D262-$I$238)*MIN(M$3-$O$2,$Q$2)/$Q$2))</f>
        <v>7256.93606702902</v>
      </c>
      <c r="N262" s="15" t="n">
        <f aca="false">M262*(1+IF(N$3&lt;=$O$2,$D262,$D262-($D262-$I$238)*MIN(N$3-$O$2,$Q$2)/$Q$2))</f>
        <v>7462.30735772594</v>
      </c>
      <c r="O262" s="15" t="n">
        <f aca="false">SUMPRODUCT(E262:N262,1/(1+$F$238)^$E$3:$N$3)*$E$2</f>
        <v>18758.2064095948</v>
      </c>
      <c r="P262" s="15" t="n">
        <f aca="false">N262*$E$2*(1+$I$238)/($F$238-$I$238)/(1+$F$238)^$N$3</f>
        <v>28199.1338169833</v>
      </c>
      <c r="Q262" s="15" t="n">
        <f aca="false">O262+P262</f>
        <v>46957.340226578</v>
      </c>
      <c r="R262" s="15" t="n">
        <f aca="false">Q262-$G$2+$I$2</f>
        <v>40770.040226578</v>
      </c>
      <c r="S262" s="42" t="n">
        <f aca="false">R262/$K$2</f>
        <v>560.798352497635</v>
      </c>
      <c r="T262" s="43" t="n">
        <f aca="false">S262-$M$2</f>
        <v>0.000553322944028878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0.10847806930542</v>
      </c>
      <c r="C263" s="25" t="n">
        <f aca="false">IF(T262&gt;0,D262,C262)</f>
        <v>0.108478248119354</v>
      </c>
      <c r="D263" s="41" t="n">
        <f aca="false">(B263+C263)/2</f>
        <v>0.108478158712387</v>
      </c>
      <c r="E263" s="15" t="n">
        <f aca="false">$C$2*(1+IF(E$3&lt;=$O$2,$D263,$D263-($D263-$I$238)*MIN(E$3-$O$2,$Q$2)/$Q$2))</f>
        <v>3691.23226851225</v>
      </c>
      <c r="F263" s="15" t="n">
        <f aca="false">E263*(1+IF(F$3&lt;=$O$2,$D263,$D263-($D263-$I$238)*MIN(F$3-$O$2,$Q$2)/$Q$2))</f>
        <v>4091.65034838021</v>
      </c>
      <c r="G263" s="15" t="n">
        <f aca="false">F263*(1+IF(G$3&lt;=$O$2,$D263,$D263-($D263-$I$238)*MIN(G$3-$O$2,$Q$2)/$Q$2))</f>
        <v>4535.50504426739</v>
      </c>
      <c r="H263" s="15" t="n">
        <f aca="false">G263*(1+IF(H$3&lt;=$O$2,$D263,$D263-($D263-$I$238)*MIN(H$3-$O$2,$Q$2)/$Q$2))</f>
        <v>5027.50828030026</v>
      </c>
      <c r="I263" s="15" t="n">
        <f aca="false">H263*(1+IF(I$3&lt;=$O$2,$D263,$D263-($D263-$I$238)*MIN(I$3-$O$2,$Q$2)/$Q$2))</f>
        <v>5572.88312145851</v>
      </c>
      <c r="J263" s="15" t="n">
        <f aca="false">I263*(1+IF(J$3&lt;=$O$2,$D263,$D263-($D263-$I$238)*MIN(J$3-$O$2,$Q$2)/$Q$2))</f>
        <v>6088.05451971409</v>
      </c>
      <c r="K263" s="15" t="n">
        <f aca="false">J263*(1+IF(K$3&lt;=$O$2,$D263,$D263-($D263-$I$238)*MIN(K$3-$O$2,$Q$2)/$Q$2))</f>
        <v>6553.22386354078</v>
      </c>
      <c r="L263" s="15" t="n">
        <f aca="false">K263*(1+IF(L$3&lt;=$O$2,$D263,$D263-($D263-$I$238)*MIN(L$3-$O$2,$Q$2)/$Q$2))</f>
        <v>6948.8502680825</v>
      </c>
      <c r="M263" s="15" t="n">
        <f aca="false">L263*(1+IF(M$3&lt;=$O$2,$D263,$D263-($D263-$I$238)*MIN(M$3-$O$2,$Q$2)/$Q$2))</f>
        <v>7256.93193460182</v>
      </c>
      <c r="N263" s="15" t="n">
        <f aca="false">M263*(1+IF(N$3&lt;=$O$2,$D263,$D263-($D263-$I$238)*MIN(N$3-$O$2,$Q$2)/$Q$2))</f>
        <v>7462.30310835105</v>
      </c>
      <c r="O263" s="15" t="n">
        <f aca="false">SUMPRODUCT(E263:N263,1/(1+$F$238)^$E$3:$N$3)*$E$2</f>
        <v>18758.1991328186</v>
      </c>
      <c r="P263" s="15" t="n">
        <f aca="false">N263*$E$2*(1+$I$238)/($F$238-$I$238)/(1+$F$238)^$N$3</f>
        <v>28199.1177591227</v>
      </c>
      <c r="Q263" s="15" t="n">
        <f aca="false">O263+P263</f>
        <v>46957.3168919413</v>
      </c>
      <c r="R263" s="15" t="n">
        <f aca="false">Q263-$G$2+$I$2</f>
        <v>40770.0168919413</v>
      </c>
      <c r="S263" s="42" t="n">
        <f aca="false">R263/$K$2</f>
        <v>560.798031526015</v>
      </c>
      <c r="T263" s="43" t="n">
        <f aca="false">S263-$M$2</f>
        <v>0.000232351324257252</v>
      </c>
    </row>
    <row r="265" customFormat="false" ht="15" hidden="false" customHeight="false" outlineLevel="0" collapsed="false">
      <c r="A265" s="38" t="s">
        <v>190</v>
      </c>
      <c r="E265" s="5" t="s">
        <v>11</v>
      </c>
      <c r="F265" s="12" t="n">
        <f aca="false">Sensitivity!$B$11</f>
        <v>0.0903306228759286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162</v>
      </c>
      <c r="B266" s="28" t="s">
        <v>163</v>
      </c>
      <c r="C266" s="28" t="s">
        <v>164</v>
      </c>
      <c r="D266" s="28" t="s">
        <v>165</v>
      </c>
      <c r="E266" s="28" t="s">
        <v>166</v>
      </c>
      <c r="F266" s="28" t="s">
        <v>167</v>
      </c>
      <c r="G266" s="28" t="s">
        <v>168</v>
      </c>
      <c r="H266" s="28" t="s">
        <v>169</v>
      </c>
      <c r="I266" s="28" t="s">
        <v>170</v>
      </c>
      <c r="J266" s="28" t="s">
        <v>171</v>
      </c>
      <c r="K266" s="28" t="s">
        <v>172</v>
      </c>
      <c r="L266" s="28" t="s">
        <v>173</v>
      </c>
      <c r="M266" s="28" t="s">
        <v>174</v>
      </c>
      <c r="N266" s="28" t="s">
        <v>175</v>
      </c>
      <c r="O266" s="28" t="s">
        <v>176</v>
      </c>
      <c r="P266" s="28" t="s">
        <v>177</v>
      </c>
      <c r="Q266" s="28" t="s">
        <v>178</v>
      </c>
      <c r="R266" s="28" t="s">
        <v>179</v>
      </c>
      <c r="S266" s="28" t="s">
        <v>180</v>
      </c>
      <c r="T266" s="28" t="s">
        <v>181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4162.5</v>
      </c>
      <c r="F267" s="15" t="n">
        <f aca="false">E267*(1+IF(F$3&lt;=$O$2,$D267,$D267-($D267-$I$265)*MIN(F$3-$O$2,$Q$2)/$Q$2))</f>
        <v>5203.125</v>
      </c>
      <c r="G267" s="15" t="n">
        <f aca="false">F267*(1+IF(G$3&lt;=$O$2,$D267,$D267-($D267-$I$265)*MIN(G$3-$O$2,$Q$2)/$Q$2))</f>
        <v>6503.90625</v>
      </c>
      <c r="H267" s="15" t="n">
        <f aca="false">G267*(1+IF(H$3&lt;=$O$2,$D267,$D267-($D267-$I$265)*MIN(H$3-$O$2,$Q$2)/$Q$2))</f>
        <v>8129.8828125</v>
      </c>
      <c r="I267" s="15" t="n">
        <f aca="false">H267*(1+IF(I$3&lt;=$O$2,$D267,$D267-($D267-$I$265)*MIN(I$3-$O$2,$Q$2)/$Q$2))</f>
        <v>10162.353515625</v>
      </c>
      <c r="J267" s="15" t="n">
        <f aca="false">I267*(1+IF(J$3&lt;=$O$2,$D267,$D267-($D267-$I$265)*MIN(J$3-$O$2,$Q$2)/$Q$2))</f>
        <v>12262.5054931641</v>
      </c>
      <c r="K267" s="15" t="n">
        <f aca="false">J267*(1+IF(K$3&lt;=$O$2,$D267,$D267-($D267-$I$265)*MIN(K$3-$O$2,$Q$2)/$Q$2))</f>
        <v>14265.2178903076</v>
      </c>
      <c r="L267" s="15" t="n">
        <f aca="false">K267*(1+IF(L$3&lt;=$O$2,$D267,$D267-($D267-$I$265)*MIN(L$3-$O$2,$Q$2)/$Q$2))</f>
        <v>15976.7587327867</v>
      </c>
      <c r="M267" s="15" t="n">
        <f aca="false">L267*(1+IF(M$3&lt;=$O$2,$D267,$D267-($D267-$I$265)*MIN(M$3-$O$2,$Q$2)/$Q$2))</f>
        <v>17201.2175220675</v>
      </c>
      <c r="N267" s="15" t="n">
        <f aca="false">M267*(1+IF(N$3&lt;=$O$2,$D267,$D267-($D267-$I$265)*MIN(N$3-$O$2,$Q$2)/$Q$2))</f>
        <v>17774.0180655523</v>
      </c>
      <c r="O267" s="15" t="n">
        <f aca="false">SUMPRODUCT(E267:N267,1/(1+$F$265)^$E$3:$N$3)*$E$2</f>
        <v>34657.2620905809</v>
      </c>
      <c r="P267" s="15" t="n">
        <f aca="false">N267*$E$2*(1+$I$265)/($F$265-$I$265)/(1+$F$265)^$N$3</f>
        <v>73409.6027151174</v>
      </c>
      <c r="Q267" s="15" t="n">
        <f aca="false">O267+P267</f>
        <v>108066.864805698</v>
      </c>
      <c r="R267" s="15" t="n">
        <f aca="false">Q267-$G$2+$I$2</f>
        <v>101879.564805698</v>
      </c>
      <c r="S267" s="42" t="n">
        <f aca="false">R267/$K$2</f>
        <v>1401.36952965197</v>
      </c>
      <c r="T267" s="43" t="n">
        <f aca="false">S267-$M$2</f>
        <v>840.571730477282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2913.75</v>
      </c>
      <c r="F268" s="15" t="n">
        <f aca="false">E268*(1+IF(F$3&lt;=$O$2,$D268,$D268-($D268-$I$265)*MIN(F$3-$O$2,$Q$2)/$Q$2))</f>
        <v>2549.53125</v>
      </c>
      <c r="G268" s="15" t="n">
        <f aca="false">F268*(1+IF(G$3&lt;=$O$2,$D268,$D268-($D268-$I$265)*MIN(G$3-$O$2,$Q$2)/$Q$2))</f>
        <v>2230.83984375</v>
      </c>
      <c r="H268" s="15" t="n">
        <f aca="false">G268*(1+IF(H$3&lt;=$O$2,$D268,$D268-($D268-$I$265)*MIN(H$3-$O$2,$Q$2)/$Q$2))</f>
        <v>1951.98486328125</v>
      </c>
      <c r="I268" s="15" t="n">
        <f aca="false">H268*(1+IF(I$3&lt;=$O$2,$D268,$D268-($D268-$I$265)*MIN(I$3-$O$2,$Q$2)/$Q$2))</f>
        <v>1707.98675537109</v>
      </c>
      <c r="J268" s="15" t="n">
        <f aca="false">I268*(1+IF(J$3&lt;=$O$2,$D268,$D268-($D268-$I$265)*MIN(J$3-$O$2,$Q$2)/$Q$2))</f>
        <v>1548.56327162476</v>
      </c>
      <c r="K268" s="15" t="n">
        <f aca="false">J268*(1+IF(K$3&lt;=$O$2,$D268,$D268-($D268-$I$265)*MIN(K$3-$O$2,$Q$2)/$Q$2))</f>
        <v>1453.04788903094</v>
      </c>
      <c r="L268" s="15" t="n">
        <f aca="false">K268*(1+IF(L$3&lt;=$O$2,$D268,$D268-($D268-$I$265)*MIN(L$3-$O$2,$Q$2)/$Q$2))</f>
        <v>1409.42739140223</v>
      </c>
      <c r="M268" s="15" t="n">
        <f aca="false">L268*(1+IF(M$3&lt;=$O$2,$D268,$D268-($D268-$I$265)*MIN(M$3-$O$2,$Q$2)/$Q$2))</f>
        <v>1411.73885232413</v>
      </c>
      <c r="N268" s="15" t="n">
        <f aca="false">M268*(1+IF(N$3&lt;=$O$2,$D268,$D268-($D268-$I$265)*MIN(N$3-$O$2,$Q$2)/$Q$2))</f>
        <v>1458.74975610653</v>
      </c>
      <c r="O268" s="15" t="n">
        <f aca="false">SUMPRODUCT(E268:N268,1/(1+$F$265)^$E$3:$N$3)*$E$2</f>
        <v>6880.133214298</v>
      </c>
      <c r="P268" s="15" t="n">
        <f aca="false">N268*$E$2*(1+$I$265)/($F$265-$I$265)/(1+$F$265)^$N$3</f>
        <v>6024.87516675238</v>
      </c>
      <c r="Q268" s="15" t="n">
        <f aca="false">O268+P268</f>
        <v>12905.0083810504</v>
      </c>
      <c r="R268" s="15" t="n">
        <f aca="false">Q268-$G$2+$I$2</f>
        <v>6717.70838105038</v>
      </c>
      <c r="S268" s="42" t="n">
        <f aca="false">R268/$K$2</f>
        <v>92.4031414174743</v>
      </c>
      <c r="T268" s="43" t="n">
        <f aca="false">S268-$M$2</f>
        <v>-468.394657757216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3538.125</v>
      </c>
      <c r="F269" s="15" t="n">
        <f aca="false">E269*(1+IF(F$3&lt;=$O$2,$D269,$D269-($D269-$I$265)*MIN(F$3-$O$2,$Q$2)/$Q$2))</f>
        <v>3759.2578125</v>
      </c>
      <c r="G269" s="15" t="n">
        <f aca="false">F269*(1+IF(G$3&lt;=$O$2,$D269,$D269-($D269-$I$265)*MIN(G$3-$O$2,$Q$2)/$Q$2))</f>
        <v>3994.21142578125</v>
      </c>
      <c r="H269" s="15" t="n">
        <f aca="false">G269*(1+IF(H$3&lt;=$O$2,$D269,$D269-($D269-$I$265)*MIN(H$3-$O$2,$Q$2)/$Q$2))</f>
        <v>4243.84963989258</v>
      </c>
      <c r="I269" s="15" t="n">
        <f aca="false">H269*(1+IF(I$3&lt;=$O$2,$D269,$D269-($D269-$I$265)*MIN(I$3-$O$2,$Q$2)/$Q$2))</f>
        <v>4509.09024238586</v>
      </c>
      <c r="J269" s="15" t="n">
        <f aca="false">I269*(1+IF(J$3&lt;=$O$2,$D269,$D269-($D269-$I$265)*MIN(J$3-$O$2,$Q$2)/$Q$2))</f>
        <v>4764.57529551945</v>
      </c>
      <c r="K269" s="15" t="n">
        <f aca="false">J269*(1+IF(K$3&lt;=$O$2,$D269,$D269-($D269-$I$265)*MIN(K$3-$O$2,$Q$2)/$Q$2))</f>
        <v>5006.71101203775</v>
      </c>
      <c r="L269" s="15" t="n">
        <f aca="false">K269*(1+IF(L$3&lt;=$O$2,$D269,$D269-($D269-$I$265)*MIN(L$3-$O$2,$Q$2)/$Q$2))</f>
        <v>5231.9128733592</v>
      </c>
      <c r="M269" s="15" t="n">
        <f aca="false">L269*(1+IF(M$3&lt;=$O$2,$D269,$D269-($D269-$I$265)*MIN(M$3-$O$2,$Q$2)/$Q$2))</f>
        <v>5436.68994322248</v>
      </c>
      <c r="N269" s="15" t="n">
        <f aca="false">M269*(1+IF(N$3&lt;=$O$2,$D269,$D269-($D269-$I$265)*MIN(N$3-$O$2,$Q$2)/$Q$2))</f>
        <v>5617.73171833179</v>
      </c>
      <c r="O269" s="15" t="n">
        <f aca="false">SUMPRODUCT(E269:N269,1/(1+$F$265)^$E$3:$N$3)*$E$2</f>
        <v>15409.4646206571</v>
      </c>
      <c r="P269" s="15" t="n">
        <f aca="false">N269*$E$2*(1+$I$265)/($F$265-$I$265)/(1+$F$265)^$N$3</f>
        <v>23202.1511445468</v>
      </c>
      <c r="Q269" s="15" t="n">
        <f aca="false">O269+P269</f>
        <v>38611.6157652039</v>
      </c>
      <c r="R269" s="15" t="n">
        <f aca="false">Q269-$G$2+$I$2</f>
        <v>32424.3157652039</v>
      </c>
      <c r="S269" s="42" t="n">
        <f aca="false">R269/$K$2</f>
        <v>446.001592368692</v>
      </c>
      <c r="T269" s="43" t="n">
        <f aca="false">S269-$M$2</f>
        <v>-114.796206805999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0.0625</v>
      </c>
      <c r="C270" s="25" t="n">
        <f aca="false">IF(T269&gt;0,D269,C269)</f>
        <v>0.25</v>
      </c>
      <c r="D270" s="41" t="n">
        <f aca="false">(B270+C270)/2</f>
        <v>0.15625</v>
      </c>
      <c r="E270" s="15" t="n">
        <f aca="false">$C$2*(1+IF(E$3&lt;=$O$2,$D270,$D270-($D270-$I$265)*MIN(E$3-$O$2,$Q$2)/$Q$2))</f>
        <v>3850.3125</v>
      </c>
      <c r="F270" s="15" t="n">
        <f aca="false">E270*(1+IF(F$3&lt;=$O$2,$D270,$D270-($D270-$I$265)*MIN(F$3-$O$2,$Q$2)/$Q$2))</f>
        <v>4451.923828125</v>
      </c>
      <c r="G270" s="15" t="n">
        <f aca="false">F270*(1+IF(G$3&lt;=$O$2,$D270,$D270-($D270-$I$265)*MIN(G$3-$O$2,$Q$2)/$Q$2))</f>
        <v>5147.53692626953</v>
      </c>
      <c r="H270" s="15" t="n">
        <f aca="false">G270*(1+IF(H$3&lt;=$O$2,$D270,$D270-($D270-$I$265)*MIN(H$3-$O$2,$Q$2)/$Q$2))</f>
        <v>5951.83957099915</v>
      </c>
      <c r="I270" s="15" t="n">
        <f aca="false">H270*(1+IF(I$3&lt;=$O$2,$D270,$D270-($D270-$I$265)*MIN(I$3-$O$2,$Q$2)/$Q$2))</f>
        <v>6881.81450396776</v>
      </c>
      <c r="J270" s="15" t="n">
        <f aca="false">I270*(1+IF(J$3&lt;=$O$2,$D270,$D270-($D270-$I$265)*MIN(J$3-$O$2,$Q$2)/$Q$2))</f>
        <v>7787.87420156016</v>
      </c>
      <c r="K270" s="15" t="n">
        <f aca="false">J270*(1+IF(K$3&lt;=$O$2,$D270,$D270-($D270-$I$265)*MIN(K$3-$O$2,$Q$2)/$Q$2))</f>
        <v>8621.7218923212</v>
      </c>
      <c r="L270" s="15" t="n">
        <f aca="false">K270*(1+IF(L$3&lt;=$O$2,$D270,$D270-($D270-$I$265)*MIN(L$3-$O$2,$Q$2)/$Q$2))</f>
        <v>9332.84151399986</v>
      </c>
      <c r="M270" s="15" t="n">
        <f aca="false">L270*(1+IF(M$3&lt;=$O$2,$D270,$D270-($D270-$I$265)*MIN(M$3-$O$2,$Q$2)/$Q$2))</f>
        <v>9873.11970924531</v>
      </c>
      <c r="N270" s="15" t="n">
        <f aca="false">M270*(1+IF(N$3&lt;=$O$2,$D270,$D270-($D270-$I$265)*MIN(N$3-$O$2,$Q$2)/$Q$2))</f>
        <v>10201.8945955632</v>
      </c>
      <c r="O270" s="15" t="n">
        <f aca="false">SUMPRODUCT(E270:N270,1/(1+$F$265)^$E$3:$N$3)*$E$2</f>
        <v>23150.2235043718</v>
      </c>
      <c r="P270" s="15" t="n">
        <f aca="false">N270*$E$2*(1+$I$265)/($F$265-$I$265)/(1+$F$265)^$N$3</f>
        <v>42135.4938674933</v>
      </c>
      <c r="Q270" s="15" t="n">
        <f aca="false">O270+P270</f>
        <v>65285.7173718652</v>
      </c>
      <c r="R270" s="15" t="n">
        <f aca="false">Q270-$G$2+$I$2</f>
        <v>59098.4173718651</v>
      </c>
      <c r="S270" s="42" t="n">
        <f aca="false">R270/$K$2</f>
        <v>812.908079392918</v>
      </c>
      <c r="T270" s="43" t="n">
        <f aca="false">S270-$M$2</f>
        <v>252.110280218228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0.0625</v>
      </c>
      <c r="C271" s="25" t="n">
        <f aca="false">IF(T270&gt;0,D270,C270)</f>
        <v>0.15625</v>
      </c>
      <c r="D271" s="41" t="n">
        <f aca="false">(B271+C271)/2</f>
        <v>0.109375</v>
      </c>
      <c r="E271" s="15" t="n">
        <f aca="false">$C$2*(1+IF(E$3&lt;=$O$2,$D271,$D271-($D271-$I$265)*MIN(E$3-$O$2,$Q$2)/$Q$2))</f>
        <v>3694.21875</v>
      </c>
      <c r="F271" s="15" t="n">
        <f aca="false">E271*(1+IF(F$3&lt;=$O$2,$D271,$D271-($D271-$I$265)*MIN(F$3-$O$2,$Q$2)/$Q$2))</f>
        <v>4098.27392578125</v>
      </c>
      <c r="G271" s="15" t="n">
        <f aca="false">F271*(1+IF(G$3&lt;=$O$2,$D271,$D271-($D271-$I$265)*MIN(G$3-$O$2,$Q$2)/$Q$2))</f>
        <v>4546.52263641357</v>
      </c>
      <c r="H271" s="15" t="n">
        <f aca="false">G271*(1+IF(H$3&lt;=$O$2,$D271,$D271-($D271-$I$265)*MIN(H$3-$O$2,$Q$2)/$Q$2))</f>
        <v>5043.79854977131</v>
      </c>
      <c r="I271" s="15" t="n">
        <f aca="false">H271*(1+IF(I$3&lt;=$O$2,$D271,$D271-($D271-$I$265)*MIN(I$3-$O$2,$Q$2)/$Q$2))</f>
        <v>5595.46401615255</v>
      </c>
      <c r="J271" s="15" t="n">
        <f aca="false">I271*(1+IF(J$3&lt;=$O$2,$D271,$D271-($D271-$I$265)*MIN(J$3-$O$2,$Q$2)/$Q$2))</f>
        <v>6122.33290791347</v>
      </c>
      <c r="K271" s="15" t="n">
        <f aca="false">J271*(1+IF(K$3&lt;=$O$2,$D271,$D271-($D271-$I$265)*MIN(K$3-$O$2,$Q$2)/$Q$2))</f>
        <v>6605.6604793287</v>
      </c>
      <c r="L271" s="15" t="n">
        <f aca="false">K271*(1+IF(L$3&lt;=$O$2,$D271,$D271-($D271-$I$265)*MIN(L$3-$O$2,$Q$2)/$Q$2))</f>
        <v>7026.63922167632</v>
      </c>
      <c r="M271" s="15" t="n">
        <f aca="false">L271*(1+IF(M$3&lt;=$O$2,$D271,$D271-($D271-$I$265)*MIN(M$3-$O$2,$Q$2)/$Q$2))</f>
        <v>7367.53662351594</v>
      </c>
      <c r="N271" s="15" t="n">
        <f aca="false">M271*(1+IF(N$3&lt;=$O$2,$D271,$D271-($D271-$I$265)*MIN(N$3-$O$2,$Q$2)/$Q$2))</f>
        <v>7612.87559307903</v>
      </c>
      <c r="O271" s="15" t="n">
        <f aca="false">SUMPRODUCT(E271:N271,1/(1+$F$265)^$E$3:$N$3)*$E$2</f>
        <v>18890.9015574504</v>
      </c>
      <c r="P271" s="15" t="n">
        <f aca="false">N271*$E$2*(1+$I$265)/($F$265-$I$265)/(1+$F$265)^$N$3</f>
        <v>31442.4217836631</v>
      </c>
      <c r="Q271" s="15" t="n">
        <f aca="false">O271+P271</f>
        <v>50333.3233411136</v>
      </c>
      <c r="R271" s="15" t="n">
        <f aca="false">Q271-$G$2+$I$2</f>
        <v>44146.0233411136</v>
      </c>
      <c r="S271" s="42" t="n">
        <f aca="false">R271/$K$2</f>
        <v>607.235534265661</v>
      </c>
      <c r="T271" s="43" t="n">
        <f aca="false">S271-$M$2</f>
        <v>46.4377350909705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0.0625</v>
      </c>
      <c r="C272" s="25" t="n">
        <f aca="false">IF(T271&gt;0,D271,C271)</f>
        <v>0.109375</v>
      </c>
      <c r="D272" s="41" t="n">
        <f aca="false">(B272+C272)/2</f>
        <v>0.0859375</v>
      </c>
      <c r="E272" s="15" t="n">
        <f aca="false">$C$2*(1+IF(E$3&lt;=$O$2,$D272,$D272-($D272-$I$265)*MIN(E$3-$O$2,$Q$2)/$Q$2))</f>
        <v>3616.171875</v>
      </c>
      <c r="F272" s="15" t="n">
        <f aca="false">E272*(1+IF(F$3&lt;=$O$2,$D272,$D272-($D272-$I$265)*MIN(F$3-$O$2,$Q$2)/$Q$2))</f>
        <v>3926.93664550781</v>
      </c>
      <c r="G272" s="15" t="n">
        <f aca="false">F272*(1+IF(G$3&lt;=$O$2,$D272,$D272-($D272-$I$265)*MIN(G$3-$O$2,$Q$2)/$Q$2))</f>
        <v>4264.40776348114</v>
      </c>
      <c r="H272" s="15" t="n">
        <f aca="false">G272*(1+IF(H$3&lt;=$O$2,$D272,$D272-($D272-$I$265)*MIN(H$3-$O$2,$Q$2)/$Q$2))</f>
        <v>4630.8803056553</v>
      </c>
      <c r="I272" s="15" t="n">
        <f aca="false">H272*(1+IF(I$3&lt;=$O$2,$D272,$D272-($D272-$I$265)*MIN(I$3-$O$2,$Q$2)/$Q$2))</f>
        <v>5028.84658192255</v>
      </c>
      <c r="J272" s="15" t="n">
        <f aca="false">I272*(1+IF(J$3&lt;=$O$2,$D272,$D272-($D272-$I$265)*MIN(J$3-$O$2,$Q$2)/$Q$2))</f>
        <v>5408.07190266533</v>
      </c>
      <c r="K272" s="15" t="n">
        <f aca="false">J272*(1+IF(K$3&lt;=$O$2,$D272,$D272-($D272-$I$265)*MIN(K$3-$O$2,$Q$2)/$Q$2))</f>
        <v>5758.96112789002</v>
      </c>
      <c r="L272" s="15" t="n">
        <f aca="false">K272*(1+IF(L$3&lt;=$O$2,$D272,$D272-($D272-$I$265)*MIN(L$3-$O$2,$Q$2)/$Q$2))</f>
        <v>6071.98945999648</v>
      </c>
      <c r="M272" s="15" t="n">
        <f aca="false">L272*(1+IF(M$3&lt;=$O$2,$D272,$D272-($D272-$I$265)*MIN(M$3-$O$2,$Q$2)/$Q$2))</f>
        <v>6338.10957805447</v>
      </c>
      <c r="N272" s="15" t="n">
        <f aca="false">M272*(1+IF(N$3&lt;=$O$2,$D272,$D272-($D272-$I$265)*MIN(N$3-$O$2,$Q$2)/$Q$2))</f>
        <v>6549.16862700369</v>
      </c>
      <c r="O272" s="15" t="n">
        <f aca="false">SUMPRODUCT(E272:N272,1/(1+$F$265)^$E$3:$N$3)*$E$2</f>
        <v>17061.8127629197</v>
      </c>
      <c r="P272" s="15" t="n">
        <f aca="false">N272*$E$2*(1+$I$265)/($F$265-$I$265)/(1+$F$265)^$N$3</f>
        <v>27049.1379748528</v>
      </c>
      <c r="Q272" s="15" t="n">
        <f aca="false">O272+P272</f>
        <v>44110.9507377725</v>
      </c>
      <c r="R272" s="15" t="n">
        <f aca="false">Q272-$G$2+$I$2</f>
        <v>37923.6507377725</v>
      </c>
      <c r="S272" s="42" t="n">
        <f aca="false">R272/$K$2</f>
        <v>521.645814824931</v>
      </c>
      <c r="T272" s="43" t="n">
        <f aca="false">S272-$M$2</f>
        <v>-39.1519843497593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0.0859375</v>
      </c>
      <c r="C273" s="25" t="n">
        <f aca="false">IF(T272&gt;0,D272,C272)</f>
        <v>0.109375</v>
      </c>
      <c r="D273" s="41" t="n">
        <f aca="false">(B273+C273)/2</f>
        <v>0.09765625</v>
      </c>
      <c r="E273" s="15" t="n">
        <f aca="false">$C$2*(1+IF(E$3&lt;=$O$2,$D273,$D273-($D273-$I$265)*MIN(E$3-$O$2,$Q$2)/$Q$2))</f>
        <v>3655.1953125</v>
      </c>
      <c r="F273" s="15" t="n">
        <f aca="false">E273*(1+IF(F$3&lt;=$O$2,$D273,$D273-($D273-$I$265)*MIN(F$3-$O$2,$Q$2)/$Q$2))</f>
        <v>4012.14797973633</v>
      </c>
      <c r="G273" s="15" t="n">
        <f aca="false">F273*(1+IF(G$3&lt;=$O$2,$D273,$D273-($D273-$I$265)*MIN(G$3-$O$2,$Q$2)/$Q$2))</f>
        <v>4403.95930588245</v>
      </c>
      <c r="H273" s="15" t="n">
        <f aca="false">G273*(1+IF(H$3&lt;=$O$2,$D273,$D273-($D273-$I$265)*MIN(H$3-$O$2,$Q$2)/$Q$2))</f>
        <v>4834.03345684754</v>
      </c>
      <c r="I273" s="15" t="n">
        <f aca="false">H273*(1+IF(I$3&lt;=$O$2,$D273,$D273-($D273-$I$265)*MIN(I$3-$O$2,$Q$2)/$Q$2))</f>
        <v>5306.10703661781</v>
      </c>
      <c r="J273" s="15" t="n">
        <f aca="false">I273*(1+IF(J$3&lt;=$O$2,$D273,$D273-($D273-$I$265)*MIN(J$3-$O$2,$Q$2)/$Q$2))</f>
        <v>5755.98532171745</v>
      </c>
      <c r="K273" s="15" t="n">
        <f aca="false">J273*(1+IF(K$3&lt;=$O$2,$D273,$D273-($D273-$I$265)*MIN(K$3-$O$2,$Q$2)/$Q$2))</f>
        <v>6169.9198111471</v>
      </c>
      <c r="L273" s="15" t="n">
        <f aca="false">K273*(1+IF(L$3&lt;=$O$2,$D273,$D273-($D273-$I$265)*MIN(L$3-$O$2,$Q$2)/$Q$2))</f>
        <v>6534.20730159676</v>
      </c>
      <c r="M273" s="15" t="n">
        <f aca="false">L273*(1+IF(M$3&lt;=$O$2,$D273,$D273-($D273-$I$265)*MIN(M$3-$O$2,$Q$2)/$Q$2))</f>
        <v>6835.89982047061</v>
      </c>
      <c r="N273" s="15" t="n">
        <f aca="false">M273*(1+IF(N$3&lt;=$O$2,$D273,$D273-($D273-$I$265)*MIN(N$3-$O$2,$Q$2)/$Q$2))</f>
        <v>7063.53528449228</v>
      </c>
      <c r="O273" s="15" t="n">
        <f aca="false">SUMPRODUCT(E273:N273,1/(1+$F$265)^$E$3:$N$3)*$E$2</f>
        <v>17953.212239139</v>
      </c>
      <c r="P273" s="15" t="n">
        <f aca="false">N273*$E$2*(1+$I$265)/($F$265-$I$265)/(1+$F$265)^$N$3</f>
        <v>29173.556428625</v>
      </c>
      <c r="Q273" s="15" t="n">
        <f aca="false">O273+P273</f>
        <v>47126.7686677641</v>
      </c>
      <c r="R273" s="15" t="n">
        <f aca="false">Q273-$G$2+$I$2</f>
        <v>40939.4686677641</v>
      </c>
      <c r="S273" s="42" t="n">
        <f aca="false">R273/$K$2</f>
        <v>563.128867507071</v>
      </c>
      <c r="T273" s="43" t="n">
        <f aca="false">S273-$M$2</f>
        <v>2.33106833238048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0.0859375</v>
      </c>
      <c r="C274" s="25" t="n">
        <f aca="false">IF(T273&gt;0,D273,C273)</f>
        <v>0.09765625</v>
      </c>
      <c r="D274" s="41" t="n">
        <f aca="false">(B274+C274)/2</f>
        <v>0.091796875</v>
      </c>
      <c r="E274" s="15" t="n">
        <f aca="false">$C$2*(1+IF(E$3&lt;=$O$2,$D274,$D274-($D274-$I$265)*MIN(E$3-$O$2,$Q$2)/$Q$2))</f>
        <v>3635.68359375</v>
      </c>
      <c r="F274" s="15" t="n">
        <f aca="false">E274*(1+IF(F$3&lt;=$O$2,$D274,$D274-($D274-$I$265)*MIN(F$3-$O$2,$Q$2)/$Q$2))</f>
        <v>3969.42798614502</v>
      </c>
      <c r="G274" s="15" t="n">
        <f aca="false">F274*(1+IF(G$3&lt;=$O$2,$D274,$D274-($D274-$I$265)*MIN(G$3-$O$2,$Q$2)/$Q$2))</f>
        <v>4333.80907081068</v>
      </c>
      <c r="H274" s="15" t="n">
        <f aca="false">G274*(1+IF(H$3&lt;=$O$2,$D274,$D274-($D274-$I$265)*MIN(H$3-$O$2,$Q$2)/$Q$2))</f>
        <v>4731.63920035775</v>
      </c>
      <c r="I274" s="15" t="n">
        <f aca="false">H274*(1+IF(I$3&lt;=$O$2,$D274,$D274-($D274-$I$265)*MIN(I$3-$O$2,$Q$2)/$Q$2))</f>
        <v>5165.98889257809</v>
      </c>
      <c r="J274" s="15" t="n">
        <f aca="false">I274*(1+IF(J$3&lt;=$O$2,$D274,$D274-($D274-$I$265)*MIN(J$3-$O$2,$Q$2)/$Q$2))</f>
        <v>5579.77168790136</v>
      </c>
      <c r="K274" s="15" t="n">
        <f aca="false">J274*(1+IF(K$3&lt;=$O$2,$D274,$D274-($D274-$I$265)*MIN(K$3-$O$2,$Q$2)/$Q$2))</f>
        <v>5961.4176092819</v>
      </c>
      <c r="L274" s="15" t="n">
        <f aca="false">K274*(1+IF(L$3&lt;=$O$2,$D274,$D274-($D274-$I$265)*MIN(L$3-$O$2,$Q$2)/$Q$2))</f>
        <v>6299.42253595618</v>
      </c>
      <c r="M274" s="15" t="n">
        <f aca="false">L274*(1+IF(M$3&lt;=$O$2,$D274,$D274-($D274-$I$265)*MIN(M$3-$O$2,$Q$2)/$Q$2))</f>
        <v>6582.89261293512</v>
      </c>
      <c r="N274" s="15" t="n">
        <f aca="false">M274*(1+IF(N$3&lt;=$O$2,$D274,$D274-($D274-$I$265)*MIN(N$3-$O$2,$Q$2)/$Q$2))</f>
        <v>6802.10293694586</v>
      </c>
      <c r="O274" s="15" t="n">
        <f aca="false">SUMPRODUCT(E274:N274,1/(1+$F$265)^$E$3:$N$3)*$E$2</f>
        <v>17501.8611746284</v>
      </c>
      <c r="P274" s="15" t="n">
        <f aca="false">N274*$E$2*(1+$I$265)/($F$265-$I$265)/(1+$F$265)^$N$3</f>
        <v>28093.7980588809</v>
      </c>
      <c r="Q274" s="15" t="n">
        <f aca="false">O274+P274</f>
        <v>45595.6592335093</v>
      </c>
      <c r="R274" s="15" t="n">
        <f aca="false">Q274-$G$2+$I$2</f>
        <v>39408.3592335093</v>
      </c>
      <c r="S274" s="42" t="n">
        <f aca="false">R274/$K$2</f>
        <v>542.068215041394</v>
      </c>
      <c r="T274" s="43" t="n">
        <f aca="false">S274-$M$2</f>
        <v>-18.7295841332965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0.091796875</v>
      </c>
      <c r="C275" s="25" t="n">
        <f aca="false">IF(T274&gt;0,D274,C274)</f>
        <v>0.09765625</v>
      </c>
      <c r="D275" s="41" t="n">
        <f aca="false">(B275+C275)/2</f>
        <v>0.0947265625</v>
      </c>
      <c r="E275" s="15" t="n">
        <f aca="false">$C$2*(1+IF(E$3&lt;=$O$2,$D275,$D275-($D275-$I$265)*MIN(E$3-$O$2,$Q$2)/$Q$2))</f>
        <v>3645.439453125</v>
      </c>
      <c r="F275" s="15" t="n">
        <f aca="false">E275*(1+IF(F$3&lt;=$O$2,$D275,$D275-($D275-$I$265)*MIN(F$3-$O$2,$Q$2)/$Q$2))</f>
        <v>3990.75940132141</v>
      </c>
      <c r="G275" s="15" t="n">
        <f aca="false">F275*(1+IF(G$3&lt;=$O$2,$D275,$D275-($D275-$I$265)*MIN(G$3-$O$2,$Q$2)/$Q$2))</f>
        <v>4368.79032117315</v>
      </c>
      <c r="H275" s="15" t="n">
        <f aca="false">G275*(1+IF(H$3&lt;=$O$2,$D275,$D275-($D275-$I$265)*MIN(H$3-$O$2,$Q$2)/$Q$2))</f>
        <v>4782.63081058115</v>
      </c>
      <c r="I275" s="15" t="n">
        <f aca="false">H275*(1+IF(I$3&lt;=$O$2,$D275,$D275-($D275-$I$265)*MIN(I$3-$O$2,$Q$2)/$Q$2))</f>
        <v>5235.67298697409</v>
      </c>
      <c r="J275" s="15" t="n">
        <f aca="false">I275*(1+IF(J$3&lt;=$O$2,$D275,$D275-($D275-$I$265)*MIN(J$3-$O$2,$Q$2)/$Q$2))</f>
        <v>5667.30841261147</v>
      </c>
      <c r="K275" s="15" t="n">
        <f aca="false">J275*(1+IF(K$3&lt;=$O$2,$D275,$D275-($D275-$I$265)*MIN(K$3-$O$2,$Q$2)/$Q$2))</f>
        <v>6064.90374739986</v>
      </c>
      <c r="L275" s="15" t="n">
        <f aca="false">K275*(1+IF(L$3&lt;=$O$2,$D275,$D275-($D275-$I$265)*MIN(L$3-$O$2,$Q$2)/$Q$2))</f>
        <v>6415.88351782673</v>
      </c>
      <c r="M275" s="15" t="n">
        <f aca="false">L275*(1+IF(M$3&lt;=$O$2,$D275,$D275-($D275-$I$265)*MIN(M$3-$O$2,$Q$2)/$Q$2))</f>
        <v>6708.35357295047</v>
      </c>
      <c r="N275" s="15" t="n">
        <f aca="false">M275*(1+IF(N$3&lt;=$O$2,$D275,$D275-($D275-$I$265)*MIN(N$3-$O$2,$Q$2)/$Q$2))</f>
        <v>6931.74174692972</v>
      </c>
      <c r="O275" s="15" t="n">
        <f aca="false">SUMPRODUCT(E275:N275,1/(1+$F$265)^$E$3:$N$3)*$E$2</f>
        <v>17726.107226284</v>
      </c>
      <c r="P275" s="15" t="n">
        <f aca="false">N275*$E$2*(1+$I$265)/($F$265-$I$265)/(1+$F$265)^$N$3</f>
        <v>28629.2275550296</v>
      </c>
      <c r="Q275" s="15" t="n">
        <f aca="false">O275+P275</f>
        <v>46355.3347813136</v>
      </c>
      <c r="R275" s="15" t="n">
        <f aca="false">Q275-$G$2+$I$2</f>
        <v>40168.0347813135</v>
      </c>
      <c r="S275" s="42" t="n">
        <f aca="false">R275/$K$2</f>
        <v>552.5176723702</v>
      </c>
      <c r="T275" s="43" t="n">
        <f aca="false">S275-$M$2</f>
        <v>-8.28012680449035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0.0947265625</v>
      </c>
      <c r="C276" s="25" t="n">
        <f aca="false">IF(T275&gt;0,D275,C275)</f>
        <v>0.09765625</v>
      </c>
      <c r="D276" s="41" t="n">
        <f aca="false">(B276+C276)/2</f>
        <v>0.09619140625</v>
      </c>
      <c r="E276" s="15" t="n">
        <f aca="false">$C$2*(1+IF(E$3&lt;=$O$2,$D276,$D276-($D276-$I$265)*MIN(E$3-$O$2,$Q$2)/$Q$2))</f>
        <v>3650.3173828125</v>
      </c>
      <c r="F276" s="15" t="n">
        <f aca="false">E276*(1+IF(F$3&lt;=$O$2,$D276,$D276-($D276-$I$265)*MIN(F$3-$O$2,$Q$2)/$Q$2))</f>
        <v>4001.44654512405</v>
      </c>
      <c r="G276" s="15" t="n">
        <f aca="false">F276*(1+IF(G$3&lt;=$O$2,$D276,$D276-($D276-$I$265)*MIN(G$3-$O$2,$Q$2)/$Q$2))</f>
        <v>4386.35131533374</v>
      </c>
      <c r="H276" s="15" t="n">
        <f aca="false">G276*(1+IF(H$3&lt;=$O$2,$D276,$D276-($D276-$I$265)*MIN(H$3-$O$2,$Q$2)/$Q$2))</f>
        <v>4808.28061666223</v>
      </c>
      <c r="I276" s="15" t="n">
        <f aca="false">H276*(1+IF(I$3&lt;=$O$2,$D276,$D276-($D276-$I$265)*MIN(I$3-$O$2,$Q$2)/$Q$2))</f>
        <v>5270.79589082359</v>
      </c>
      <c r="J276" s="15" t="n">
        <f aca="false">I276*(1+IF(J$3&lt;=$O$2,$D276,$D276-($D276-$I$265)*MIN(J$3-$O$2,$Q$2)/$Q$2))</f>
        <v>5711.50360649251</v>
      </c>
      <c r="K276" s="15" t="n">
        <f aca="false">J276*(1+IF(K$3&lt;=$O$2,$D276,$D276-($D276-$I$265)*MIN(K$3-$O$2,$Q$2)/$Q$2))</f>
        <v>6117.21937275726</v>
      </c>
      <c r="L276" s="15" t="n">
        <f aca="false">K276*(1+IF(L$3&lt;=$O$2,$D276,$D276-($D276-$I$265)*MIN(L$3-$O$2,$Q$2)/$Q$2))</f>
        <v>6474.81098934706</v>
      </c>
      <c r="M276" s="15" t="n">
        <f aca="false">L276*(1+IF(M$3&lt;=$O$2,$D276,$D276-($D276-$I$265)*MIN(M$3-$O$2,$Q$2)/$Q$2))</f>
        <v>6771.86418895691</v>
      </c>
      <c r="N276" s="15" t="n">
        <f aca="false">M276*(1+IF(N$3&lt;=$O$2,$D276,$D276-($D276-$I$265)*MIN(N$3-$O$2,$Q$2)/$Q$2))</f>
        <v>6997.36726644918</v>
      </c>
      <c r="O276" s="15" t="n">
        <f aca="false">SUMPRODUCT(E276:N276,1/(1+$F$265)^$E$3:$N$3)*$E$2</f>
        <v>17839.3002628543</v>
      </c>
      <c r="P276" s="15" t="n">
        <f aca="false">N276*$E$2*(1+$I$265)/($F$265-$I$265)/(1+$F$265)^$N$3</f>
        <v>28900.2716879954</v>
      </c>
      <c r="Q276" s="15" t="n">
        <f aca="false">O276+P276</f>
        <v>46739.5719508497</v>
      </c>
      <c r="R276" s="15" t="n">
        <f aca="false">Q276-$G$2+$I$2</f>
        <v>40552.2719508497</v>
      </c>
      <c r="S276" s="42" t="n">
        <f aca="false">R276/$K$2</f>
        <v>557.802915417464</v>
      </c>
      <c r="T276" s="43" t="n">
        <f aca="false">S276-$M$2</f>
        <v>-2.99488375722626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0.09619140625</v>
      </c>
      <c r="C277" s="25" t="n">
        <f aca="false">IF(T276&gt;0,D276,C276)</f>
        <v>0.09765625</v>
      </c>
      <c r="D277" s="41" t="n">
        <f aca="false">(B277+C277)/2</f>
        <v>0.096923828125</v>
      </c>
      <c r="E277" s="15" t="n">
        <f aca="false">$C$2*(1+IF(E$3&lt;=$O$2,$D277,$D277-($D277-$I$265)*MIN(E$3-$O$2,$Q$2)/$Q$2))</f>
        <v>3652.75634765625</v>
      </c>
      <c r="F277" s="15" t="n">
        <f aca="false">E277*(1+IF(F$3&lt;=$O$2,$D277,$D277-($D277-$I$265)*MIN(F$3-$O$2,$Q$2)/$Q$2))</f>
        <v>4006.79547607899</v>
      </c>
      <c r="G277" s="15" t="n">
        <f aca="false">F277*(1+IF(G$3&lt;=$O$2,$D277,$D277-($D277-$I$265)*MIN(G$3-$O$2,$Q$2)/$Q$2))</f>
        <v>4395.14943213449</v>
      </c>
      <c r="H277" s="15" t="n">
        <f aca="false">G277*(1+IF(H$3&lt;=$O$2,$D277,$D277-($D277-$I$265)*MIN(H$3-$O$2,$Q$2)/$Q$2))</f>
        <v>4821.14414027839</v>
      </c>
      <c r="I277" s="15" t="n">
        <f aca="false">H277*(1+IF(I$3&lt;=$O$2,$D277,$D277-($D277-$I$265)*MIN(I$3-$O$2,$Q$2)/$Q$2))</f>
        <v>5288.42788629658</v>
      </c>
      <c r="J277" s="15" t="n">
        <f aca="false">I277*(1+IF(J$3&lt;=$O$2,$D277,$D277-($D277-$I$265)*MIN(J$3-$O$2,$Q$2)/$Q$2))</f>
        <v>5733.70855642161</v>
      </c>
      <c r="K277" s="15" t="n">
        <f aca="false">J277*(1+IF(K$3&lt;=$O$2,$D277,$D277-($D277-$I$265)*MIN(K$3-$O$2,$Q$2)/$Q$2))</f>
        <v>6143.52134397802</v>
      </c>
      <c r="L277" s="15" t="n">
        <f aca="false">K277*(1+IF(L$3&lt;=$O$2,$D277,$D277-($D277-$I$265)*MIN(L$3-$O$2,$Q$2)/$Q$2))</f>
        <v>6504.4503431611</v>
      </c>
      <c r="M277" s="15" t="n">
        <f aca="false">L277*(1+IF(M$3&lt;=$O$2,$D277,$D277-($D277-$I$265)*MIN(M$3-$O$2,$Q$2)/$Q$2))</f>
        <v>6803.81614572454</v>
      </c>
      <c r="N277" s="15" t="n">
        <f aca="false">M277*(1+IF(N$3&lt;=$O$2,$D277,$D277-($D277-$I$265)*MIN(N$3-$O$2,$Q$2)/$Q$2))</f>
        <v>7030.38322337716</v>
      </c>
      <c r="O277" s="15" t="n">
        <f aca="false">SUMPRODUCT(E277:N277,1/(1+$F$265)^$E$3:$N$3)*$E$2</f>
        <v>17896.1661199002</v>
      </c>
      <c r="P277" s="15" t="n">
        <f aca="false">N277*$E$2*(1+$I$265)/($F$265-$I$265)/(1+$F$265)^$N$3</f>
        <v>29036.6329920294</v>
      </c>
      <c r="Q277" s="15" t="n">
        <f aca="false">O277+P277</f>
        <v>46932.7991119296</v>
      </c>
      <c r="R277" s="15" t="n">
        <f aca="false">Q277-$G$2+$I$2</f>
        <v>40745.4991119296</v>
      </c>
      <c r="S277" s="42" t="n">
        <f aca="false">R277/$K$2</f>
        <v>560.460785583626</v>
      </c>
      <c r="T277" s="43" t="n">
        <f aca="false">S277-$M$2</f>
        <v>-0.337013591064533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0.096923828125</v>
      </c>
      <c r="C278" s="25" t="n">
        <f aca="false">IF(T277&gt;0,D277,C277)</f>
        <v>0.09765625</v>
      </c>
      <c r="D278" s="41" t="n">
        <f aca="false">(B278+C278)/2</f>
        <v>0.0972900390625</v>
      </c>
      <c r="E278" s="15" t="n">
        <f aca="false">$C$2*(1+IF(E$3&lt;=$O$2,$D278,$D278-($D278-$I$265)*MIN(E$3-$O$2,$Q$2)/$Q$2))</f>
        <v>3653.97583007813</v>
      </c>
      <c r="F278" s="15" t="n">
        <f aca="false">E278*(1+IF(F$3&lt;=$O$2,$D278,$D278-($D278-$I$265)*MIN(F$3-$O$2,$Q$2)/$Q$2))</f>
        <v>4009.47128131986</v>
      </c>
      <c r="G278" s="15" t="n">
        <f aca="false">F278*(1+IF(G$3&lt;=$O$2,$D278,$D278-($D278-$I$265)*MIN(G$3-$O$2,$Q$2)/$Q$2))</f>
        <v>4399.55289889944</v>
      </c>
      <c r="H278" s="15" t="n">
        <f aca="false">G278*(1+IF(H$3&lt;=$O$2,$D278,$D278-($D278-$I$265)*MIN(H$3-$O$2,$Q$2)/$Q$2))</f>
        <v>4827.5855722909</v>
      </c>
      <c r="I278" s="15" t="n">
        <f aca="false">H278*(1+IF(I$3&lt;=$O$2,$D278,$D278-($D278-$I$265)*MIN(I$3-$O$2,$Q$2)/$Q$2))</f>
        <v>5297.26156119664</v>
      </c>
      <c r="J278" s="15" t="n">
        <f aca="false">I278*(1+IF(J$3&lt;=$O$2,$D278,$D278-($D278-$I$265)*MIN(J$3-$O$2,$Q$2)/$Q$2))</f>
        <v>5744.83795056469</v>
      </c>
      <c r="K278" s="15" t="n">
        <f aca="false">J278*(1+IF(K$3&lt;=$O$2,$D278,$D278-($D278-$I$265)*MIN(K$3-$O$2,$Q$2)/$Q$2))</f>
        <v>6156.70849723712</v>
      </c>
      <c r="L278" s="15" t="n">
        <f aca="false">K278*(1+IF(L$3&lt;=$O$2,$D278,$D278-($D278-$I$265)*MIN(L$3-$O$2,$Q$2)/$Q$2))</f>
        <v>6519.31409708897</v>
      </c>
      <c r="M278" s="15" t="n">
        <f aca="false">L278*(1+IF(M$3&lt;=$O$2,$D278,$D278-($D278-$I$265)*MIN(M$3-$O$2,$Q$2)/$Q$2))</f>
        <v>6819.84148926871</v>
      </c>
      <c r="N278" s="15" t="n">
        <f aca="false">M278*(1+IF(N$3&lt;=$O$2,$D278,$D278-($D278-$I$265)*MIN(N$3-$O$2,$Q$2)/$Q$2))</f>
        <v>7046.94221086136</v>
      </c>
      <c r="O278" s="15" t="n">
        <f aca="false">SUMPRODUCT(E278:N278,1/(1+$F$265)^$E$3:$N$3)*$E$2</f>
        <v>17924.6666137182</v>
      </c>
      <c r="P278" s="15" t="n">
        <f aca="false">N278*$E$2*(1+$I$265)/($F$265-$I$265)/(1+$F$265)^$N$3</f>
        <v>29105.0243196457</v>
      </c>
      <c r="Q278" s="15" t="n">
        <f aca="false">O278+P278</f>
        <v>47029.690933364</v>
      </c>
      <c r="R278" s="15" t="n">
        <f aca="false">Q278-$G$2+$I$2</f>
        <v>40842.3909333639</v>
      </c>
      <c r="S278" s="42" t="n">
        <f aca="false">R278/$K$2</f>
        <v>561.793547914222</v>
      </c>
      <c r="T278" s="43" t="n">
        <f aca="false">S278-$M$2</f>
        <v>0.995748739531564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0.096923828125</v>
      </c>
      <c r="C279" s="25" t="n">
        <f aca="false">IF(T278&gt;0,D278,C278)</f>
        <v>0.0972900390625</v>
      </c>
      <c r="D279" s="41" t="n">
        <f aca="false">(B279+C279)/2</f>
        <v>0.09710693359375</v>
      </c>
      <c r="E279" s="15" t="n">
        <f aca="false">$C$2*(1+IF(E$3&lt;=$O$2,$D279,$D279-($D279-$I$265)*MIN(E$3-$O$2,$Q$2)/$Q$2))</f>
        <v>3653.36608886719</v>
      </c>
      <c r="F279" s="15" t="n">
        <f aca="false">E279*(1+IF(F$3&lt;=$O$2,$D279,$D279-($D279-$I$265)*MIN(F$3-$O$2,$Q$2)/$Q$2))</f>
        <v>4008.13326705247</v>
      </c>
      <c r="G279" s="15" t="n">
        <f aca="false">F279*(1+IF(G$3&lt;=$O$2,$D279,$D279-($D279-$I$265)*MIN(G$3-$O$2,$Q$2)/$Q$2))</f>
        <v>4397.35079805104</v>
      </c>
      <c r="H279" s="15" t="n">
        <f aca="false">G279*(1+IF(H$3&lt;=$O$2,$D279,$D279-($D279-$I$265)*MIN(H$3-$O$2,$Q$2)/$Q$2))</f>
        <v>4824.3640499858</v>
      </c>
      <c r="I279" s="15" t="n">
        <f aca="false">H279*(1+IF(I$3&lt;=$O$2,$D279,$D279-($D279-$I$265)*MIN(I$3-$O$2,$Q$2)/$Q$2))</f>
        <v>5292.84324941985</v>
      </c>
      <c r="J279" s="15" t="n">
        <f aca="false">I279*(1+IF(J$3&lt;=$O$2,$D279,$D279-($D279-$I$265)*MIN(J$3-$O$2,$Q$2)/$Q$2))</f>
        <v>5739.27100781582</v>
      </c>
      <c r="K279" s="15" t="n">
        <f aca="false">J279*(1+IF(K$3&lt;=$O$2,$D279,$D279-($D279-$I$265)*MIN(K$3-$O$2,$Q$2)/$Q$2))</f>
        <v>6150.11190281943</v>
      </c>
      <c r="L279" s="15" t="n">
        <f aca="false">K279*(1+IF(L$3&lt;=$O$2,$D279,$D279-($D279-$I$265)*MIN(L$3-$O$2,$Q$2)/$Q$2))</f>
        <v>6511.87854189425</v>
      </c>
      <c r="M279" s="15" t="n">
        <f aca="false">L279*(1+IF(M$3&lt;=$O$2,$D279,$D279-($D279-$I$265)*MIN(M$3-$O$2,$Q$2)/$Q$2))</f>
        <v>6811.82469767797</v>
      </c>
      <c r="N279" s="15" t="n">
        <f aca="false">M279*(1+IF(N$3&lt;=$O$2,$D279,$D279-($D279-$I$265)*MIN(N$3-$O$2,$Q$2)/$Q$2))</f>
        <v>7038.65846011064</v>
      </c>
      <c r="O279" s="15" t="n">
        <f aca="false">SUMPRODUCT(E279:N279,1/(1+$F$265)^$E$3:$N$3)*$E$2</f>
        <v>17910.4107294905</v>
      </c>
      <c r="P279" s="15" t="n">
        <f aca="false">N279*$E$2*(1+$I$265)/($F$265-$I$265)/(1+$F$265)^$N$3</f>
        <v>29070.8110736955</v>
      </c>
      <c r="Q279" s="15" t="n">
        <f aca="false">O279+P279</f>
        <v>46981.221803186</v>
      </c>
      <c r="R279" s="15" t="n">
        <f aca="false">Q279-$G$2+$I$2</f>
        <v>40793.921803186</v>
      </c>
      <c r="S279" s="42" t="n">
        <f aca="false">R279/$K$2</f>
        <v>561.126847361568</v>
      </c>
      <c r="T279" s="43" t="n">
        <f aca="false">S279-$M$2</f>
        <v>0.329048186877685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0.096923828125</v>
      </c>
      <c r="C280" s="25" t="n">
        <f aca="false">IF(T279&gt;0,D279,C279)</f>
        <v>0.09710693359375</v>
      </c>
      <c r="D280" s="41" t="n">
        <f aca="false">(B280+C280)/2</f>
        <v>0.097015380859375</v>
      </c>
      <c r="E280" s="15" t="n">
        <f aca="false">$C$2*(1+IF(E$3&lt;=$O$2,$D280,$D280-($D280-$I$265)*MIN(E$3-$O$2,$Q$2)/$Q$2))</f>
        <v>3653.06121826172</v>
      </c>
      <c r="F280" s="15" t="n">
        <f aca="false">E280*(1+IF(F$3&lt;=$O$2,$D280,$D280-($D280-$I$265)*MIN(F$3-$O$2,$Q$2)/$Q$2))</f>
        <v>4007.46434365399</v>
      </c>
      <c r="G280" s="15" t="n">
        <f aca="false">F280*(1+IF(G$3&lt;=$O$2,$D280,$D280-($D280-$I$265)*MIN(G$3-$O$2,$Q$2)/$Q$2))</f>
        <v>4396.25002323395</v>
      </c>
      <c r="H280" s="15" t="n">
        <f aca="false">G280*(1+IF(H$3&lt;=$O$2,$D280,$D280-($D280-$I$265)*MIN(H$3-$O$2,$Q$2)/$Q$2))</f>
        <v>4822.75389359103</v>
      </c>
      <c r="I280" s="15" t="n">
        <f aca="false">H280*(1+IF(I$3&lt;=$O$2,$D280,$D280-($D280-$I$265)*MIN(I$3-$O$2,$Q$2)/$Q$2))</f>
        <v>5290.63519936879</v>
      </c>
      <c r="J280" s="15" t="n">
        <f aca="false">I280*(1+IF(J$3&lt;=$O$2,$D280,$D280-($D280-$I$265)*MIN(J$3-$O$2,$Q$2)/$Q$2))</f>
        <v>5736.48922088041</v>
      </c>
      <c r="K280" s="15" t="n">
        <f aca="false">J280*(1+IF(K$3&lt;=$O$2,$D280,$D280-($D280-$I$265)*MIN(K$3-$O$2,$Q$2)/$Q$2))</f>
        <v>6146.81586923819</v>
      </c>
      <c r="L280" s="15" t="n">
        <f aca="false">K280*(1+IF(L$3&lt;=$O$2,$D280,$D280-($D280-$I$265)*MIN(L$3-$O$2,$Q$2)/$Q$2))</f>
        <v>6508.1635233562</v>
      </c>
      <c r="M280" s="15" t="n">
        <f aca="false">L280*(1+IF(M$3&lt;=$O$2,$D280,$D280-($D280-$I$265)*MIN(M$3-$O$2,$Q$2)/$Q$2))</f>
        <v>6807.81939220111</v>
      </c>
      <c r="N280" s="15" t="n">
        <f aca="false">M280*(1+IF(N$3&lt;=$O$2,$D280,$D280-($D280-$I$265)*MIN(N$3-$O$2,$Q$2)/$Q$2))</f>
        <v>7034.51977796141</v>
      </c>
      <c r="O280" s="15" t="n">
        <f aca="false">SUMPRODUCT(E280:N280,1/(1+$F$265)^$E$3:$N$3)*$E$2</f>
        <v>17903.2870158819</v>
      </c>
      <c r="P280" s="15" t="n">
        <f aca="false">N280*$E$2*(1+$I$265)/($F$265-$I$265)/(1+$F$265)^$N$3</f>
        <v>29053.7176392667</v>
      </c>
      <c r="Q280" s="15" t="n">
        <f aca="false">O280+P280</f>
        <v>46957.0046551486</v>
      </c>
      <c r="R280" s="15" t="n">
        <f aca="false">Q280-$G$2+$I$2</f>
        <v>40769.7046551486</v>
      </c>
      <c r="S280" s="42" t="n">
        <f aca="false">R280/$K$2</f>
        <v>560.79373665954</v>
      </c>
      <c r="T280" s="43" t="n">
        <f aca="false">S280-$M$2</f>
        <v>-0.00406251515028089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0.097015380859375</v>
      </c>
      <c r="C281" s="25" t="n">
        <f aca="false">IF(T280&gt;0,D280,C280)</f>
        <v>0.09710693359375</v>
      </c>
      <c r="D281" s="41" t="n">
        <f aca="false">(B281+C281)/2</f>
        <v>0.0970611572265625</v>
      </c>
      <c r="E281" s="15" t="n">
        <f aca="false">$C$2*(1+IF(E$3&lt;=$O$2,$D281,$D281-($D281-$I$265)*MIN(E$3-$O$2,$Q$2)/$Q$2))</f>
        <v>3653.21365356445</v>
      </c>
      <c r="F281" s="15" t="n">
        <f aca="false">E281*(1+IF(F$3&lt;=$O$2,$D281,$D281-($D281-$I$265)*MIN(F$3-$O$2,$Q$2)/$Q$2))</f>
        <v>4007.7987983753</v>
      </c>
      <c r="G281" s="15" t="n">
        <f aca="false">F281*(1+IF(G$3&lt;=$O$2,$D281,$D281-($D281-$I$265)*MIN(G$3-$O$2,$Q$2)/$Q$2))</f>
        <v>4396.80038767683</v>
      </c>
      <c r="H281" s="15" t="n">
        <f aca="false">G281*(1+IF(H$3&lt;=$O$2,$D281,$D281-($D281-$I$265)*MIN(H$3-$O$2,$Q$2)/$Q$2))</f>
        <v>4823.55892139894</v>
      </c>
      <c r="I281" s="15" t="n">
        <f aca="false">H281*(1+IF(I$3&lt;=$O$2,$D281,$D281-($D281-$I$265)*MIN(I$3-$O$2,$Q$2)/$Q$2))</f>
        <v>5291.73913226043</v>
      </c>
      <c r="J281" s="15" t="n">
        <f aca="false">I281*(1+IF(J$3&lt;=$O$2,$D281,$D281-($D281-$I$265)*MIN(J$3-$O$2,$Q$2)/$Q$2))</f>
        <v>5737.87997401592</v>
      </c>
      <c r="K281" s="15" t="n">
        <f aca="false">J281*(1+IF(K$3&lt;=$O$2,$D281,$D281-($D281-$I$265)*MIN(K$3-$O$2,$Q$2)/$Q$2))</f>
        <v>6148.46369745287</v>
      </c>
      <c r="L281" s="15" t="n">
        <f aca="false">K281*(1+IF(L$3&lt;=$O$2,$D281,$D281-($D281-$I$265)*MIN(L$3-$O$2,$Q$2)/$Q$2))</f>
        <v>6510.02080278409</v>
      </c>
      <c r="M281" s="15" t="n">
        <f aca="false">L281*(1+IF(M$3&lt;=$O$2,$D281,$D281-($D281-$I$265)*MIN(M$3-$O$2,$Q$2)/$Q$2))</f>
        <v>6809.8217875077</v>
      </c>
      <c r="N281" s="15" t="n">
        <f aca="false">M281*(1+IF(N$3&lt;=$O$2,$D281,$D281-($D281-$I$265)*MIN(N$3-$O$2,$Q$2)/$Q$2))</f>
        <v>7036.58885303171</v>
      </c>
      <c r="O281" s="15" t="n">
        <f aca="false">SUMPRODUCT(E281:N281,1/(1+$F$265)^$E$3:$N$3)*$E$2</f>
        <v>17906.8485204183</v>
      </c>
      <c r="P281" s="15" t="n">
        <f aca="false">N281*$E$2*(1+$I$265)/($F$265-$I$265)/(1+$F$265)^$N$3</f>
        <v>29062.2632578397</v>
      </c>
      <c r="Q281" s="15" t="n">
        <f aca="false">O281+P281</f>
        <v>46969.1117782581</v>
      </c>
      <c r="R281" s="15" t="n">
        <f aca="false">Q281-$G$2+$I$2</f>
        <v>40781.8117782581</v>
      </c>
      <c r="S281" s="42" t="n">
        <f aca="false">R281/$K$2</f>
        <v>560.960272053068</v>
      </c>
      <c r="T281" s="43" t="n">
        <f aca="false">S281-$M$2</f>
        <v>0.162472878377685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0.097015380859375</v>
      </c>
      <c r="C282" s="25" t="n">
        <f aca="false">IF(T281&gt;0,D281,C281)</f>
        <v>0.0970611572265625</v>
      </c>
      <c r="D282" s="41" t="n">
        <f aca="false">(B282+C282)/2</f>
        <v>0.0970382690429688</v>
      </c>
      <c r="E282" s="15" t="n">
        <f aca="false">$C$2*(1+IF(E$3&lt;=$O$2,$D282,$D282-($D282-$I$265)*MIN(E$3-$O$2,$Q$2)/$Q$2))</f>
        <v>3653.13743591309</v>
      </c>
      <c r="F282" s="15" t="n">
        <f aca="false">E282*(1+IF(F$3&lt;=$O$2,$D282,$D282-($D282-$I$265)*MIN(F$3-$O$2,$Q$2)/$Q$2))</f>
        <v>4007.63156927016</v>
      </c>
      <c r="G282" s="15" t="n">
        <f aca="false">F282*(1+IF(G$3&lt;=$O$2,$D282,$D282-($D282-$I$265)*MIN(G$3-$O$2,$Q$2)/$Q$2))</f>
        <v>4396.52519971409</v>
      </c>
      <c r="H282" s="15" t="n">
        <f aca="false">G282*(1+IF(H$3&lt;=$O$2,$D282,$D282-($D282-$I$265)*MIN(H$3-$O$2,$Q$2)/$Q$2))</f>
        <v>4823.15639489814</v>
      </c>
      <c r="I282" s="15" t="n">
        <f aca="false">H282*(1+IF(I$3&lt;=$O$2,$D282,$D282-($D282-$I$265)*MIN(I$3-$O$2,$Q$2)/$Q$2))</f>
        <v>5291.18714278258</v>
      </c>
      <c r="J282" s="15" t="n">
        <f aca="false">I282*(1+IF(J$3&lt;=$O$2,$D282,$D282-($D282-$I$265)*MIN(J$3-$O$2,$Q$2)/$Q$2))</f>
        <v>5737.18456236794</v>
      </c>
      <c r="K282" s="15" t="n">
        <f aca="false">J282*(1+IF(K$3&lt;=$O$2,$D282,$D282-($D282-$I$265)*MIN(K$3-$O$2,$Q$2)/$Q$2))</f>
        <v>6147.63973620602</v>
      </c>
      <c r="L282" s="15" t="n">
        <f aca="false">K282*(1+IF(L$3&lt;=$O$2,$D282,$D282-($D282-$I$265)*MIN(L$3-$O$2,$Q$2)/$Q$2))</f>
        <v>6509.0921056159</v>
      </c>
      <c r="M282" s="15" t="n">
        <f aca="false">L282*(1+IF(M$3&lt;=$O$2,$D282,$D282-($D282-$I$265)*MIN(M$3-$O$2,$Q$2)/$Q$2))</f>
        <v>6808.82052550355</v>
      </c>
      <c r="N282" s="15" t="n">
        <f aca="false">M282*(1+IF(N$3&lt;=$O$2,$D282,$D282-($D282-$I$265)*MIN(N$3-$O$2,$Q$2)/$Q$2))</f>
        <v>7035.55424900282</v>
      </c>
      <c r="O282" s="15" t="n">
        <f aca="false">SUMPRODUCT(E282:N282,1/(1+$F$265)^$E$3:$N$3)*$E$2</f>
        <v>17905.0676800912</v>
      </c>
      <c r="P282" s="15" t="n">
        <f aca="false">N282*$E$2*(1+$I$265)/($F$265-$I$265)/(1+$F$265)^$N$3</f>
        <v>29057.9901739232</v>
      </c>
      <c r="Q282" s="15" t="n">
        <f aca="false">O282+P282</f>
        <v>46963.0578540144</v>
      </c>
      <c r="R282" s="15" t="n">
        <f aca="false">Q282-$G$2+$I$2</f>
        <v>40775.7578540144</v>
      </c>
      <c r="S282" s="42" t="n">
        <f aca="false">R282/$K$2</f>
        <v>560.87699936746</v>
      </c>
      <c r="T282" s="43" t="n">
        <f aca="false">S282-$M$2</f>
        <v>0.0792001927698038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0.097015380859375</v>
      </c>
      <c r="C283" s="25" t="n">
        <f aca="false">IF(T282&gt;0,D282,C282)</f>
        <v>0.0970382690429688</v>
      </c>
      <c r="D283" s="41" t="n">
        <f aca="false">(B283+C283)/2</f>
        <v>0.0970268249511719</v>
      </c>
      <c r="E283" s="15" t="n">
        <f aca="false">$C$2*(1+IF(E$3&lt;=$O$2,$D283,$D283-($D283-$I$265)*MIN(E$3-$O$2,$Q$2)/$Q$2))</f>
        <v>3653.0993270874</v>
      </c>
      <c r="F283" s="15" t="n">
        <f aca="false">E283*(1+IF(F$3&lt;=$O$2,$D283,$D283-($D283-$I$265)*MIN(F$3-$O$2,$Q$2)/$Q$2))</f>
        <v>4007.54795602596</v>
      </c>
      <c r="G283" s="15" t="n">
        <f aca="false">F283*(1+IF(G$3&lt;=$O$2,$D283,$D283-($D283-$I$265)*MIN(G$3-$O$2,$Q$2)/$Q$2))</f>
        <v>4396.38761003871</v>
      </c>
      <c r="H283" s="15" t="n">
        <f aca="false">G283*(1+IF(H$3&lt;=$O$2,$D283,$D283-($D283-$I$265)*MIN(H$3-$O$2,$Q$2)/$Q$2))</f>
        <v>4822.95514109544</v>
      </c>
      <c r="I283" s="15" t="n">
        <f aca="false">H283*(1+IF(I$3&lt;=$O$2,$D283,$D283-($D283-$I$265)*MIN(I$3-$O$2,$Q$2)/$Q$2))</f>
        <v>5290.91116531786</v>
      </c>
      <c r="J283" s="15" t="n">
        <f aca="false">I283*(1+IF(J$3&lt;=$O$2,$D283,$D283-($D283-$I$265)*MIN(J$3-$O$2,$Q$2)/$Q$2))</f>
        <v>5736.83688285448</v>
      </c>
      <c r="K283" s="15" t="n">
        <f aca="false">J283*(1+IF(K$3&lt;=$O$2,$D283,$D283-($D283-$I$265)*MIN(K$3-$O$2,$Q$2)/$Q$2))</f>
        <v>6147.22779093779</v>
      </c>
      <c r="L283" s="15" t="n">
        <f aca="false">K283*(1+IF(L$3&lt;=$O$2,$D283,$D283-($D283-$I$265)*MIN(L$3-$O$2,$Q$2)/$Q$2))</f>
        <v>6508.62780012324</v>
      </c>
      <c r="M283" s="15" t="n">
        <f aca="false">L283*(1+IF(M$3&lt;=$O$2,$D283,$D283-($D283-$I$265)*MIN(M$3-$O$2,$Q$2)/$Q$2))</f>
        <v>6808.3199427655</v>
      </c>
      <c r="N283" s="15" t="n">
        <f aca="false">M283*(1+IF(N$3&lt;=$O$2,$D283,$D283-($D283-$I$265)*MIN(N$3-$O$2,$Q$2)/$Q$2))</f>
        <v>7035.03699685959</v>
      </c>
      <c r="O283" s="15" t="n">
        <f aca="false">SUMPRODUCT(E283:N283,1/(1+$F$265)^$E$3:$N$3)*$E$2</f>
        <v>17904.1773259728</v>
      </c>
      <c r="P283" s="15" t="n">
        <f aca="false">N283*$E$2*(1+$I$265)/($F$265-$I$265)/(1+$F$265)^$N$3</f>
        <v>29055.8538379412</v>
      </c>
      <c r="Q283" s="15" t="n">
        <f aca="false">O283+P283</f>
        <v>46960.031163914</v>
      </c>
      <c r="R283" s="15" t="n">
        <f aca="false">Q283-$G$2+$I$2</f>
        <v>40772.731163914</v>
      </c>
      <c r="S283" s="42" t="n">
        <f aca="false">R283/$K$2</f>
        <v>560.835366766355</v>
      </c>
      <c r="T283" s="43" t="n">
        <f aca="false">S283-$M$2</f>
        <v>0.0375675916646969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0.097015380859375</v>
      </c>
      <c r="C284" s="25" t="n">
        <f aca="false">IF(T283&gt;0,D283,C283)</f>
        <v>0.0970268249511719</v>
      </c>
      <c r="D284" s="41" t="n">
        <f aca="false">(B284+C284)/2</f>
        <v>0.0970211029052734</v>
      </c>
      <c r="E284" s="15" t="n">
        <f aca="false">$C$2*(1+IF(E$3&lt;=$O$2,$D284,$D284-($D284-$I$265)*MIN(E$3-$O$2,$Q$2)/$Q$2))</f>
        <v>3653.08027267456</v>
      </c>
      <c r="F284" s="15" t="n">
        <f aca="false">E284*(1+IF(F$3&lt;=$O$2,$D284,$D284-($D284-$I$265)*MIN(F$3-$O$2,$Q$2)/$Q$2))</f>
        <v>4007.50614973094</v>
      </c>
      <c r="G284" s="15" t="n">
        <f aca="false">F284*(1+IF(G$3&lt;=$O$2,$D284,$D284-($D284-$I$265)*MIN(G$3-$O$2,$Q$2)/$Q$2))</f>
        <v>4396.31881627751</v>
      </c>
      <c r="H284" s="15" t="n">
        <f aca="false">G284*(1+IF(H$3&lt;=$O$2,$D284,$D284-($D284-$I$265)*MIN(H$3-$O$2,$Q$2)/$Q$2))</f>
        <v>4822.85451655595</v>
      </c>
      <c r="I284" s="15" t="n">
        <f aca="false">H284*(1+IF(I$3&lt;=$O$2,$D284,$D284-($D284-$I$265)*MIN(I$3-$O$2,$Q$2)/$Q$2))</f>
        <v>5290.77318090389</v>
      </c>
      <c r="J284" s="15" t="n">
        <f aca="false">I284*(1+IF(J$3&lt;=$O$2,$D284,$D284-($D284-$I$265)*MIN(J$3-$O$2,$Q$2)/$Q$2))</f>
        <v>5736.66304967506</v>
      </c>
      <c r="K284" s="15" t="n">
        <f aca="false">J284*(1+IF(K$3&lt;=$O$2,$D284,$D284-($D284-$I$265)*MIN(K$3-$O$2,$Q$2)/$Q$2))</f>
        <v>6147.02182714198</v>
      </c>
      <c r="L284" s="15" t="n">
        <f aca="false">K284*(1+IF(L$3&lt;=$O$2,$D284,$D284-($D284-$I$265)*MIN(L$3-$O$2,$Q$2)/$Q$2))</f>
        <v>6508.39565814911</v>
      </c>
      <c r="M284" s="15" t="n">
        <f aca="false">L284*(1+IF(M$3&lt;=$O$2,$D284,$D284-($D284-$I$265)*MIN(M$3-$O$2,$Q$2)/$Q$2))</f>
        <v>6808.06966346171</v>
      </c>
      <c r="N284" s="15" t="n">
        <f aca="false">M284*(1+IF(N$3&lt;=$O$2,$D284,$D284-($D284-$I$265)*MIN(N$3-$O$2,$Q$2)/$Q$2))</f>
        <v>7034.77838325499</v>
      </c>
      <c r="O284" s="15" t="n">
        <f aca="false">SUMPRODUCT(E284:N284,1/(1+$F$265)^$E$3:$N$3)*$E$2</f>
        <v>17903.732165424</v>
      </c>
      <c r="P284" s="15" t="n">
        <f aca="false">N284*$E$2*(1+$I$265)/($F$265-$I$265)/(1+$F$265)^$N$3</f>
        <v>29054.785721441</v>
      </c>
      <c r="Q284" s="15" t="n">
        <f aca="false">O284+P284</f>
        <v>46958.517886865</v>
      </c>
      <c r="R284" s="15" t="n">
        <f aca="false">Q284-$G$2+$I$2</f>
        <v>40771.217886865</v>
      </c>
      <c r="S284" s="42" t="n">
        <f aca="false">R284/$K$2</f>
        <v>560.81455140117</v>
      </c>
      <c r="T284" s="43" t="n">
        <f aca="false">S284-$M$2</f>
        <v>0.0167522264791842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0.097015380859375</v>
      </c>
      <c r="C285" s="25" t="n">
        <f aca="false">IF(T284&gt;0,D284,C284)</f>
        <v>0.0970211029052734</v>
      </c>
      <c r="D285" s="41" t="n">
        <f aca="false">(B285+C285)/2</f>
        <v>0.0970182418823242</v>
      </c>
      <c r="E285" s="15" t="n">
        <f aca="false">$C$2*(1+IF(E$3&lt;=$O$2,$D285,$D285-($D285-$I$265)*MIN(E$3-$O$2,$Q$2)/$Q$2))</f>
        <v>3653.07074546814</v>
      </c>
      <c r="F285" s="15" t="n">
        <f aca="false">E285*(1+IF(F$3&lt;=$O$2,$D285,$D285-($D285-$I$265)*MIN(F$3-$O$2,$Q$2)/$Q$2))</f>
        <v>4007.48524666521</v>
      </c>
      <c r="G285" s="15" t="n">
        <f aca="false">F285*(1+IF(G$3&lt;=$O$2,$D285,$D285-($D285-$I$265)*MIN(G$3-$O$2,$Q$2)/$Q$2))</f>
        <v>4396.28441966602</v>
      </c>
      <c r="H285" s="15" t="n">
        <f aca="false">G285*(1+IF(H$3&lt;=$O$2,$D285,$D285-($D285-$I$265)*MIN(H$3-$O$2,$Q$2)/$Q$2))</f>
        <v>4822.80420487667</v>
      </c>
      <c r="I285" s="15" t="n">
        <f aca="false">H285*(1+IF(I$3&lt;=$O$2,$D285,$D285-($D285-$I$265)*MIN(I$3-$O$2,$Q$2)/$Q$2))</f>
        <v>5290.70418977649</v>
      </c>
      <c r="J285" s="15" t="n">
        <f aca="false">I285*(1+IF(J$3&lt;=$O$2,$D285,$D285-($D285-$I$265)*MIN(J$3-$O$2,$Q$2)/$Q$2))</f>
        <v>5736.57613472965</v>
      </c>
      <c r="K285" s="15" t="n">
        <f aca="false">J285*(1+IF(K$3&lt;=$O$2,$D285,$D285-($D285-$I$265)*MIN(K$3-$O$2,$Q$2)/$Q$2))</f>
        <v>6146.91884745359</v>
      </c>
      <c r="L285" s="15" t="n">
        <f aca="false">K285*(1+IF(L$3&lt;=$O$2,$D285,$D285-($D285-$I$265)*MIN(L$3-$O$2,$Q$2)/$Q$2))</f>
        <v>6508.27958985502</v>
      </c>
      <c r="M285" s="15" t="n">
        <f aca="false">L285*(1+IF(M$3&lt;=$O$2,$D285,$D285-($D285-$I$265)*MIN(M$3-$O$2,$Q$2)/$Q$2))</f>
        <v>6807.94452682603</v>
      </c>
      <c r="N285" s="15" t="n">
        <f aca="false">M285*(1+IF(N$3&lt;=$O$2,$D285,$D285-($D285-$I$265)*MIN(N$3-$O$2,$Q$2)/$Q$2))</f>
        <v>7034.64907956933</v>
      </c>
      <c r="O285" s="15" t="n">
        <f aca="false">SUMPRODUCT(E285:N285,1/(1+$F$265)^$E$3:$N$3)*$E$2</f>
        <v>17903.5095892772</v>
      </c>
      <c r="P285" s="15" t="n">
        <f aca="false">N285*$E$2*(1+$I$265)/($F$265-$I$265)/(1+$F$265)^$N$3</f>
        <v>29054.2516760632</v>
      </c>
      <c r="Q285" s="15" t="n">
        <f aca="false">O285+P285</f>
        <v>46957.7612653403</v>
      </c>
      <c r="R285" s="15" t="n">
        <f aca="false">Q285-$G$2+$I$2</f>
        <v>40770.4612653403</v>
      </c>
      <c r="S285" s="42" t="n">
        <f aca="false">R285/$K$2</f>
        <v>560.804143952411</v>
      </c>
      <c r="T285" s="43" t="n">
        <f aca="false">S285-$M$2</f>
        <v>0.00634477772098308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0.097015380859375</v>
      </c>
      <c r="C286" s="25" t="n">
        <f aca="false">IF(T285&gt;0,D285,C285)</f>
        <v>0.0970182418823242</v>
      </c>
      <c r="D286" s="41" t="n">
        <f aca="false">(B286+C286)/2</f>
        <v>0.0970168113708496</v>
      </c>
      <c r="E286" s="15" t="n">
        <f aca="false">$C$2*(1+IF(E$3&lt;=$O$2,$D286,$D286-($D286-$I$265)*MIN(E$3-$O$2,$Q$2)/$Q$2))</f>
        <v>3653.06598186493</v>
      </c>
      <c r="F286" s="15" t="n">
        <f aca="false">E286*(1+IF(F$3&lt;=$O$2,$D286,$D286-($D286-$I$265)*MIN(F$3-$O$2,$Q$2)/$Q$2))</f>
        <v>4007.47479515279</v>
      </c>
      <c r="G286" s="15" t="n">
        <f aca="false">F286*(1+IF(G$3&lt;=$O$2,$D286,$D286-($D286-$I$265)*MIN(G$3-$O$2,$Q$2)/$Q$2))</f>
        <v>4396.26722142756</v>
      </c>
      <c r="H286" s="15" t="n">
        <f aca="false">G286*(1+IF(H$3&lt;=$O$2,$D286,$D286-($D286-$I$265)*MIN(H$3-$O$2,$Q$2)/$Q$2))</f>
        <v>4822.77904918465</v>
      </c>
      <c r="I286" s="15" t="n">
        <f aca="false">H286*(1+IF(I$3&lt;=$O$2,$D286,$D286-($D286-$I$265)*MIN(I$3-$O$2,$Q$2)/$Q$2))</f>
        <v>5290.66969448268</v>
      </c>
      <c r="J286" s="15" t="n">
        <f aca="false">I286*(1+IF(J$3&lt;=$O$2,$D286,$D286-($D286-$I$265)*MIN(J$3-$O$2,$Q$2)/$Q$2))</f>
        <v>5736.53267766801</v>
      </c>
      <c r="K286" s="15" t="n">
        <f aca="false">J286*(1+IF(K$3&lt;=$O$2,$D286,$D286-($D286-$I$265)*MIN(K$3-$O$2,$Q$2)/$Q$2))</f>
        <v>6146.86735816177</v>
      </c>
      <c r="L286" s="15" t="n">
        <f aca="false">K286*(1+IF(L$3&lt;=$O$2,$D286,$D286-($D286-$I$265)*MIN(L$3-$O$2,$Q$2)/$Q$2))</f>
        <v>6508.2215563812</v>
      </c>
      <c r="M286" s="15" t="n">
        <f aca="false">L286*(1+IF(M$3&lt;=$O$2,$D286,$D286-($D286-$I$265)*MIN(M$3-$O$2,$Q$2)/$Q$2))</f>
        <v>6807.88195926222</v>
      </c>
      <c r="N286" s="15" t="n">
        <f aca="false">M286*(1+IF(N$3&lt;=$O$2,$D286,$D286-($D286-$I$265)*MIN(N$3-$O$2,$Q$2)/$Q$2))</f>
        <v>7034.58442850566</v>
      </c>
      <c r="O286" s="15" t="n">
        <f aca="false">SUMPRODUCT(E286:N286,1/(1+$F$265)^$E$3:$N$3)*$E$2</f>
        <v>17903.3983022356</v>
      </c>
      <c r="P286" s="15" t="n">
        <f aca="false">N286*$E$2*(1+$I$265)/($F$265-$I$265)/(1+$F$265)^$N$3</f>
        <v>29053.9846565923</v>
      </c>
      <c r="Q286" s="15" t="n">
        <f aca="false">O286+P286</f>
        <v>46957.3829588278</v>
      </c>
      <c r="R286" s="15" t="n">
        <f aca="false">Q286-$G$2+$I$2</f>
        <v>40770.0829588278</v>
      </c>
      <c r="S286" s="42" t="n">
        <f aca="false">R286/$K$2</f>
        <v>560.79894028649</v>
      </c>
      <c r="T286" s="43" t="n">
        <f aca="false">S286-$M$2</f>
        <v>0.00114111179937026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0.097015380859375</v>
      </c>
      <c r="C287" s="25" t="n">
        <f aca="false">IF(T286&gt;0,D286,C286)</f>
        <v>0.0970168113708496</v>
      </c>
      <c r="D287" s="41" t="n">
        <f aca="false">(B287+C287)/2</f>
        <v>0.0970160961151123</v>
      </c>
      <c r="E287" s="15" t="n">
        <f aca="false">$C$2*(1+IF(E$3&lt;=$O$2,$D287,$D287-($D287-$I$265)*MIN(E$3-$O$2,$Q$2)/$Q$2))</f>
        <v>3653.06360006332</v>
      </c>
      <c r="F287" s="15" t="n">
        <f aca="false">E287*(1+IF(F$3&lt;=$O$2,$D287,$D287-($D287-$I$265)*MIN(F$3-$O$2,$Q$2)/$Q$2))</f>
        <v>4007.46956940169</v>
      </c>
      <c r="G287" s="15" t="n">
        <f aca="false">F287*(1+IF(G$3&lt;=$O$2,$D287,$D287-($D287-$I$265)*MIN(G$3-$O$2,$Q$2)/$Q$2))</f>
        <v>4396.25862232515</v>
      </c>
      <c r="H287" s="15" t="n">
        <f aca="false">G287*(1+IF(H$3&lt;=$O$2,$D287,$D287-($D287-$I$265)*MIN(H$3-$O$2,$Q$2)/$Q$2))</f>
        <v>4822.76647137554</v>
      </c>
      <c r="I287" s="15" t="n">
        <f aca="false">H287*(1+IF(I$3&lt;=$O$2,$D287,$D287-($D287-$I$265)*MIN(I$3-$O$2,$Q$2)/$Q$2))</f>
        <v>5290.65244690325</v>
      </c>
      <c r="J287" s="15" t="n">
        <f aca="false">I287*(1+IF(J$3&lt;=$O$2,$D287,$D287-($D287-$I$265)*MIN(J$3-$O$2,$Q$2)/$Q$2))</f>
        <v>5736.51094923996</v>
      </c>
      <c r="K287" s="15" t="n">
        <f aca="false">J287*(1+IF(K$3&lt;=$O$2,$D287,$D287-($D287-$I$265)*MIN(K$3-$O$2,$Q$2)/$Q$2))</f>
        <v>6146.84161365395</v>
      </c>
      <c r="L287" s="15" t="n">
        <f aca="false">K287*(1+IF(L$3&lt;=$O$2,$D287,$D287-($D287-$I$265)*MIN(L$3-$O$2,$Q$2)/$Q$2))</f>
        <v>6508.1925398126</v>
      </c>
      <c r="M287" s="15" t="n">
        <f aca="false">L287*(1+IF(M$3&lt;=$O$2,$D287,$D287-($D287-$I$265)*MIN(M$3-$O$2,$Q$2)/$Q$2))</f>
        <v>6807.85067566883</v>
      </c>
      <c r="N287" s="15" t="n">
        <f aca="false">M287*(1+IF(N$3&lt;=$O$2,$D287,$D287-($D287-$I$265)*MIN(N$3-$O$2,$Q$2)/$Q$2))</f>
        <v>7034.55210316861</v>
      </c>
      <c r="O287" s="15" t="n">
        <f aca="false">SUMPRODUCT(E287:N287,1/(1+$F$265)^$E$3:$N$3)*$E$2</f>
        <v>17903.3426589727</v>
      </c>
      <c r="P287" s="15" t="n">
        <f aca="false">N287*$E$2*(1+$I$265)/($F$265-$I$265)/(1+$F$265)^$N$3</f>
        <v>29053.8511476613</v>
      </c>
      <c r="Q287" s="15" t="n">
        <f aca="false">O287+P287</f>
        <v>46957.193806634</v>
      </c>
      <c r="R287" s="15" t="n">
        <f aca="false">Q287-$G$2+$I$2</f>
        <v>40769.893806634</v>
      </c>
      <c r="S287" s="42" t="n">
        <f aca="false">R287/$K$2</f>
        <v>560.796338468144</v>
      </c>
      <c r="T287" s="43" t="n">
        <f aca="false">S287-$M$2</f>
        <v>-0.00146070654682262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0.0970160961151123</v>
      </c>
      <c r="C288" s="25" t="n">
        <f aca="false">IF(T287&gt;0,D287,C287)</f>
        <v>0.0970168113708496</v>
      </c>
      <c r="D288" s="41" t="n">
        <f aca="false">(B288+C288)/2</f>
        <v>0.097016453742981</v>
      </c>
      <c r="E288" s="15" t="n">
        <f aca="false">$C$2*(1+IF(E$3&lt;=$O$2,$D288,$D288-($D288-$I$265)*MIN(E$3-$O$2,$Q$2)/$Q$2))</f>
        <v>3653.06479096413</v>
      </c>
      <c r="F288" s="15" t="n">
        <f aca="false">E288*(1+IF(F$3&lt;=$O$2,$D288,$D288-($D288-$I$265)*MIN(F$3-$O$2,$Q$2)/$Q$2))</f>
        <v>4007.47218227681</v>
      </c>
      <c r="G288" s="15" t="n">
        <f aca="false">F288*(1+IF(G$3&lt;=$O$2,$D288,$D288-($D288-$I$265)*MIN(G$3-$O$2,$Q$2)/$Q$2))</f>
        <v>4396.26292187495</v>
      </c>
      <c r="H288" s="15" t="n">
        <f aca="false">G288*(1+IF(H$3&lt;=$O$2,$D288,$D288-($D288-$I$265)*MIN(H$3-$O$2,$Q$2)/$Q$2))</f>
        <v>4822.77276027702</v>
      </c>
      <c r="I288" s="15" t="n">
        <f aca="false">H288*(1+IF(I$3&lt;=$O$2,$D288,$D288-($D288-$I$265)*MIN(I$3-$O$2,$Q$2)/$Q$2))</f>
        <v>5290.66107068734</v>
      </c>
      <c r="J288" s="15" t="n">
        <f aca="false">I288*(1+IF(J$3&lt;=$O$2,$D288,$D288-($D288-$I$265)*MIN(J$3-$O$2,$Q$2)/$Q$2))</f>
        <v>5736.52181344542</v>
      </c>
      <c r="K288" s="15" t="n">
        <f aca="false">J288*(1+IF(K$3&lt;=$O$2,$D288,$D288-($D288-$I$265)*MIN(K$3-$O$2,$Q$2)/$Q$2))</f>
        <v>6146.85448589635</v>
      </c>
      <c r="L288" s="15" t="n">
        <f aca="false">K288*(1+IF(L$3&lt;=$O$2,$D288,$D288-($D288-$I$265)*MIN(L$3-$O$2,$Q$2)/$Q$2))</f>
        <v>6508.20704808288</v>
      </c>
      <c r="M288" s="15" t="n">
        <f aca="false">L288*(1+IF(M$3&lt;=$O$2,$D288,$D288-($D288-$I$265)*MIN(M$3-$O$2,$Q$2)/$Q$2))</f>
        <v>6807.86631744982</v>
      </c>
      <c r="N288" s="15" t="n">
        <f aca="false">M288*(1+IF(N$3&lt;=$O$2,$D288,$D288-($D288-$I$265)*MIN(N$3-$O$2,$Q$2)/$Q$2))</f>
        <v>7034.5682658209</v>
      </c>
      <c r="O288" s="15" t="n">
        <f aca="false">SUMPRODUCT(E288:N288,1/(1+$F$265)^$E$3:$N$3)*$E$2</f>
        <v>17903.3704805827</v>
      </c>
      <c r="P288" s="15" t="n">
        <f aca="false">N288*$E$2*(1+$I$265)/($F$265-$I$265)/(1+$F$265)^$N$3</f>
        <v>29053.9179020598</v>
      </c>
      <c r="Q288" s="15" t="n">
        <f aca="false">O288+P288</f>
        <v>46957.2883826424</v>
      </c>
      <c r="R288" s="15" t="n">
        <f aca="false">Q288-$G$2+$I$2</f>
        <v>40769.9883826424</v>
      </c>
      <c r="S288" s="42" t="n">
        <f aca="false">R288/$K$2</f>
        <v>560.797639376099</v>
      </c>
      <c r="T288" s="43" t="n">
        <f aca="false">S288-$M$2</f>
        <v>-0.000159798591425897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0.097016453742981</v>
      </c>
      <c r="C289" s="25" t="n">
        <f aca="false">IF(T288&gt;0,D288,C288)</f>
        <v>0.0970168113708496</v>
      </c>
      <c r="D289" s="41" t="n">
        <f aca="false">(B289+C289)/2</f>
        <v>0.0970166325569153</v>
      </c>
      <c r="E289" s="15" t="n">
        <f aca="false">$C$2*(1+IF(E$3&lt;=$O$2,$D289,$D289-($D289-$I$265)*MIN(E$3-$O$2,$Q$2)/$Q$2))</f>
        <v>3653.06538641453</v>
      </c>
      <c r="F289" s="15" t="n">
        <f aca="false">E289*(1+IF(F$3&lt;=$O$2,$D289,$D289-($D289-$I$265)*MIN(F$3-$O$2,$Q$2)/$Q$2))</f>
        <v>4007.47348871469</v>
      </c>
      <c r="G289" s="15" t="n">
        <f aca="false">F289*(1+IF(G$3&lt;=$O$2,$D289,$D289-($D289-$I$265)*MIN(G$3-$O$2,$Q$2)/$Q$2))</f>
        <v>4396.2650716509</v>
      </c>
      <c r="H289" s="15" t="n">
        <f aca="false">G289*(1+IF(H$3&lt;=$O$2,$D289,$D289-($D289-$I$265)*MIN(H$3-$O$2,$Q$2)/$Q$2))</f>
        <v>4822.77590473006</v>
      </c>
      <c r="I289" s="15" t="n">
        <f aca="false">H289*(1+IF(I$3&lt;=$O$2,$D289,$D289-($D289-$I$265)*MIN(I$3-$O$2,$Q$2)/$Q$2))</f>
        <v>5290.6653825836</v>
      </c>
      <c r="J289" s="15" t="n">
        <f aca="false">I289*(1+IF(J$3&lt;=$O$2,$D289,$D289-($D289-$I$265)*MIN(J$3-$O$2,$Q$2)/$Q$2))</f>
        <v>5736.52724555457</v>
      </c>
      <c r="K289" s="15" t="n">
        <f aca="false">J289*(1+IF(K$3&lt;=$O$2,$D289,$D289-($D289-$I$265)*MIN(K$3-$O$2,$Q$2)/$Q$2))</f>
        <v>6146.86092202618</v>
      </c>
      <c r="L289" s="15" t="n">
        <f aca="false">K289*(1+IF(L$3&lt;=$O$2,$D289,$D289-($D289-$I$265)*MIN(L$3-$O$2,$Q$2)/$Q$2))</f>
        <v>6508.21430222853</v>
      </c>
      <c r="M289" s="15" t="n">
        <f aca="false">L289*(1+IF(M$3&lt;=$O$2,$D289,$D289-($D289-$I$265)*MIN(M$3-$O$2,$Q$2)/$Q$2))</f>
        <v>6807.8741383521</v>
      </c>
      <c r="N289" s="15" t="n">
        <f aca="false">M289*(1+IF(N$3&lt;=$O$2,$D289,$D289-($D289-$I$265)*MIN(N$3-$O$2,$Q$2)/$Q$2))</f>
        <v>7034.57634715922</v>
      </c>
      <c r="O289" s="15" t="n">
        <f aca="false">SUMPRODUCT(E289:N289,1/(1+$F$265)^$E$3:$N$3)*$E$2</f>
        <v>17903.3843914037</v>
      </c>
      <c r="P289" s="15" t="n">
        <f aca="false">N289*$E$2*(1+$I$265)/($F$265-$I$265)/(1+$F$265)^$N$3</f>
        <v>29053.9512793092</v>
      </c>
      <c r="Q289" s="15" t="n">
        <f aca="false">O289+P289</f>
        <v>46957.335670713</v>
      </c>
      <c r="R289" s="15" t="n">
        <f aca="false">Q289-$G$2+$I$2</f>
        <v>40770.035670713</v>
      </c>
      <c r="S289" s="42" t="n">
        <f aca="false">R289/$K$2</f>
        <v>560.79828983099</v>
      </c>
      <c r="T289" s="43" t="n">
        <f aca="false">S289-$M$2</f>
        <v>0.000490656299461989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0.097016453742981</v>
      </c>
      <c r="C290" s="25" t="n">
        <f aca="false">IF(T289&gt;0,D289,C289)</f>
        <v>0.0970166325569153</v>
      </c>
      <c r="D290" s="41" t="n">
        <f aca="false">(B290+C290)/2</f>
        <v>0.0970165431499481</v>
      </c>
      <c r="E290" s="15" t="n">
        <f aca="false">$C$2*(1+IF(E$3&lt;=$O$2,$D290,$D290-($D290-$I$265)*MIN(E$3-$O$2,$Q$2)/$Q$2))</f>
        <v>3653.06508868933</v>
      </c>
      <c r="F290" s="15" t="n">
        <f aca="false">E290*(1+IF(F$3&lt;=$O$2,$D290,$D290-($D290-$I$265)*MIN(F$3-$O$2,$Q$2)/$Q$2))</f>
        <v>4007.47283549572</v>
      </c>
      <c r="G290" s="15" t="n">
        <f aca="false">F290*(1+IF(G$3&lt;=$O$2,$D290,$D290-($D290-$I$265)*MIN(G$3-$O$2,$Q$2)/$Q$2))</f>
        <v>4396.26399676284</v>
      </c>
      <c r="H290" s="15" t="n">
        <f aca="false">G290*(1+IF(H$3&lt;=$O$2,$D290,$D290-($D290-$I$265)*MIN(H$3-$O$2,$Q$2)/$Q$2))</f>
        <v>4822.77433250335</v>
      </c>
      <c r="I290" s="15" t="n">
        <f aca="false">H290*(1+IF(I$3&lt;=$O$2,$D290,$D290-($D290-$I$265)*MIN(I$3-$O$2,$Q$2)/$Q$2))</f>
        <v>5290.66322663512</v>
      </c>
      <c r="J290" s="15" t="n">
        <f aca="false">I290*(1+IF(J$3&lt;=$O$2,$D290,$D290-($D290-$I$265)*MIN(J$3-$O$2,$Q$2)/$Q$2))</f>
        <v>5736.52452949946</v>
      </c>
      <c r="K290" s="15" t="n">
        <f aca="false">J290*(1+IF(K$3&lt;=$O$2,$D290,$D290-($D290-$I$265)*MIN(K$3-$O$2,$Q$2)/$Q$2))</f>
        <v>6146.85770396055</v>
      </c>
      <c r="L290" s="15" t="n">
        <f aca="false">K290*(1+IF(L$3&lt;=$O$2,$D290,$D290-($D290-$I$265)*MIN(L$3-$O$2,$Q$2)/$Q$2))</f>
        <v>6508.21067515483</v>
      </c>
      <c r="M290" s="15" t="n">
        <f aca="false">L290*(1+IF(M$3&lt;=$O$2,$D290,$D290-($D290-$I$265)*MIN(M$3-$O$2,$Q$2)/$Q$2))</f>
        <v>6807.87022789998</v>
      </c>
      <c r="N290" s="15" t="n">
        <f aca="false">M290*(1+IF(N$3&lt;=$O$2,$D290,$D290-($D290-$I$265)*MIN(N$3-$O$2,$Q$2)/$Q$2))</f>
        <v>7034.57230648905</v>
      </c>
      <c r="O290" s="15" t="n">
        <f aca="false">SUMPRODUCT(E290:N290,1/(1+$F$265)^$E$3:$N$3)*$E$2</f>
        <v>17903.3774359918</v>
      </c>
      <c r="P290" s="15" t="n">
        <f aca="false">N290*$E$2*(1+$I$265)/($F$265-$I$265)/(1+$F$265)^$N$3</f>
        <v>29053.9345906803</v>
      </c>
      <c r="Q290" s="15" t="n">
        <f aca="false">O290+P290</f>
        <v>46957.3120266722</v>
      </c>
      <c r="R290" s="15" t="n">
        <f aca="false">Q290-$G$2+$I$2</f>
        <v>40770.0120266722</v>
      </c>
      <c r="S290" s="42" t="n">
        <f aca="false">R290/$K$2</f>
        <v>560.797964603468</v>
      </c>
      <c r="T290" s="43" t="n">
        <f aca="false">S290-$M$2</f>
        <v>0.000165428777904708</v>
      </c>
    </row>
    <row r="292" customFormat="false" ht="15" hidden="false" customHeight="false" outlineLevel="0" collapsed="false">
      <c r="A292" s="38" t="s">
        <v>191</v>
      </c>
      <c r="E292" s="5" t="s">
        <v>11</v>
      </c>
      <c r="F292" s="12" t="n">
        <f aca="false">Sensitivity!$B$11</f>
        <v>0.0903306228759286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162</v>
      </c>
      <c r="B293" s="28" t="s">
        <v>163</v>
      </c>
      <c r="C293" s="28" t="s">
        <v>164</v>
      </c>
      <c r="D293" s="28" t="s">
        <v>165</v>
      </c>
      <c r="E293" s="28" t="s">
        <v>166</v>
      </c>
      <c r="F293" s="28" t="s">
        <v>167</v>
      </c>
      <c r="G293" s="28" t="s">
        <v>168</v>
      </c>
      <c r="H293" s="28" t="s">
        <v>169</v>
      </c>
      <c r="I293" s="28" t="s">
        <v>170</v>
      </c>
      <c r="J293" s="28" t="s">
        <v>171</v>
      </c>
      <c r="K293" s="28" t="s">
        <v>172</v>
      </c>
      <c r="L293" s="28" t="s">
        <v>173</v>
      </c>
      <c r="M293" s="28" t="s">
        <v>174</v>
      </c>
      <c r="N293" s="28" t="s">
        <v>175</v>
      </c>
      <c r="O293" s="28" t="s">
        <v>176</v>
      </c>
      <c r="P293" s="28" t="s">
        <v>177</v>
      </c>
      <c r="Q293" s="28" t="s">
        <v>178</v>
      </c>
      <c r="R293" s="28" t="s">
        <v>179</v>
      </c>
      <c r="S293" s="28" t="s">
        <v>180</v>
      </c>
      <c r="T293" s="28" t="s">
        <v>181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4162.5</v>
      </c>
      <c r="F294" s="15" t="n">
        <f aca="false">E294*(1+IF(F$3&lt;=$O$2,$D294,$D294-($D294-$I$292)*MIN(F$3-$O$2,$Q$2)/$Q$2))</f>
        <v>5203.125</v>
      </c>
      <c r="G294" s="15" t="n">
        <f aca="false">F294*(1+IF(G$3&lt;=$O$2,$D294,$D294-($D294-$I$292)*MIN(G$3-$O$2,$Q$2)/$Q$2))</f>
        <v>6503.90625</v>
      </c>
      <c r="H294" s="15" t="n">
        <f aca="false">G294*(1+IF(H$3&lt;=$O$2,$D294,$D294-($D294-$I$292)*MIN(H$3-$O$2,$Q$2)/$Q$2))</f>
        <v>8129.8828125</v>
      </c>
      <c r="I294" s="15" t="n">
        <f aca="false">H294*(1+IF(I$3&lt;=$O$2,$D294,$D294-($D294-$I$292)*MIN(I$3-$O$2,$Q$2)/$Q$2))</f>
        <v>10162.353515625</v>
      </c>
      <c r="J294" s="15" t="n">
        <f aca="false">I294*(1+IF(J$3&lt;=$O$2,$D294,$D294-($D294-$I$292)*MIN(J$3-$O$2,$Q$2)/$Q$2))</f>
        <v>12272.6678466797</v>
      </c>
      <c r="K294" s="15" t="n">
        <f aca="false">J294*(1+IF(K$3&lt;=$O$2,$D294,$D294-($D294-$I$292)*MIN(K$3-$O$2,$Q$2)/$Q$2))</f>
        <v>14301.5852950928</v>
      </c>
      <c r="L294" s="15" t="n">
        <f aca="false">K294*(1+IF(L$3&lt;=$O$2,$D294,$D294-($D294-$I$292)*MIN(L$3-$O$2,$Q$2)/$Q$2))</f>
        <v>16060.3942546833</v>
      </c>
      <c r="M294" s="15" t="n">
        <f aca="false">L294*(1+IF(M$3&lt;=$O$2,$D294,$D294-($D294-$I$292)*MIN(M$3-$O$2,$Q$2)/$Q$2))</f>
        <v>17355.5044473809</v>
      </c>
      <c r="N294" s="15" t="n">
        <f aca="false">M294*(1+IF(N$3&lt;=$O$2,$D294,$D294-($D294-$I$292)*MIN(N$3-$O$2,$Q$2)/$Q$2))</f>
        <v>18020.2202677156</v>
      </c>
      <c r="O294" s="15" t="n">
        <f aca="false">SUMPRODUCT(E294:N294,1/(1+$F$292)^$E$3:$N$3)*$E$2</f>
        <v>34788.4172521221</v>
      </c>
      <c r="P294" s="15" t="n">
        <f aca="false">N294*$E$2*(1+$I$292)/($F$292-$I$292)/(1+$F$292)^$N$3</f>
        <v>81973.3844365806</v>
      </c>
      <c r="Q294" s="15" t="n">
        <f aca="false">O294+P294</f>
        <v>116761.801688703</v>
      </c>
      <c r="R294" s="15" t="n">
        <f aca="false">Q294-$G$2+$I$2</f>
        <v>110574.501688703</v>
      </c>
      <c r="S294" s="42" t="n">
        <f aca="false">R294/$K$2</f>
        <v>1520.96976188037</v>
      </c>
      <c r="T294" s="43" t="n">
        <f aca="false">S294-$M$2</f>
        <v>960.171962705677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2913.75</v>
      </c>
      <c r="F295" s="15" t="n">
        <f aca="false">E295*(1+IF(F$3&lt;=$O$2,$D295,$D295-($D295-$I$292)*MIN(F$3-$O$2,$Q$2)/$Q$2))</f>
        <v>2549.53125</v>
      </c>
      <c r="G295" s="15" t="n">
        <f aca="false">F295*(1+IF(G$3&lt;=$O$2,$D295,$D295-($D295-$I$292)*MIN(G$3-$O$2,$Q$2)/$Q$2))</f>
        <v>2230.83984375</v>
      </c>
      <c r="H295" s="15" t="n">
        <f aca="false">G295*(1+IF(H$3&lt;=$O$2,$D295,$D295-($D295-$I$292)*MIN(H$3-$O$2,$Q$2)/$Q$2))</f>
        <v>1951.98486328125</v>
      </c>
      <c r="I295" s="15" t="n">
        <f aca="false">H295*(1+IF(I$3&lt;=$O$2,$D295,$D295-($D295-$I$292)*MIN(I$3-$O$2,$Q$2)/$Q$2))</f>
        <v>1707.98675537109</v>
      </c>
      <c r="J295" s="15" t="n">
        <f aca="false">I295*(1+IF(J$3&lt;=$O$2,$D295,$D295-($D295-$I$292)*MIN(J$3-$O$2,$Q$2)/$Q$2))</f>
        <v>1550.27125838013</v>
      </c>
      <c r="K295" s="15" t="n">
        <f aca="false">J295*(1+IF(K$3&lt;=$O$2,$D295,$D295-($D295-$I$292)*MIN(K$3-$O$2,$Q$2)/$Q$2))</f>
        <v>1457.75106968</v>
      </c>
      <c r="L295" s="15" t="n">
        <f aca="false">K295*(1+IF(L$3&lt;=$O$2,$D295,$D295-($D295-$I$292)*MIN(L$3-$O$2,$Q$2)/$Q$2))</f>
        <v>1418.36263577725</v>
      </c>
      <c r="M295" s="15" t="n">
        <f aca="false">L295*(1+IF(M$3&lt;=$O$2,$D295,$D295-($D295-$I$292)*MIN(M$3-$O$2,$Q$2)/$Q$2))</f>
        <v>1426.36220104303</v>
      </c>
      <c r="N295" s="15" t="n">
        <f aca="false">M295*(1+IF(N$3&lt;=$O$2,$D295,$D295-($D295-$I$292)*MIN(N$3-$O$2,$Q$2)/$Q$2))</f>
        <v>1480.99187334298</v>
      </c>
      <c r="O295" s="15" t="n">
        <f aca="false">SUMPRODUCT(E295:N295,1/(1+$F$292)^$E$3:$N$3)*$E$2</f>
        <v>6893.19936054873</v>
      </c>
      <c r="P295" s="15" t="n">
        <f aca="false">N295*$E$2*(1+$I$292)/($F$292-$I$292)/(1+$F$292)^$N$3</f>
        <v>6736.9829212629</v>
      </c>
      <c r="Q295" s="15" t="n">
        <f aca="false">O295+P295</f>
        <v>13630.1822818116</v>
      </c>
      <c r="R295" s="15" t="n">
        <f aca="false">Q295-$G$2+$I$2</f>
        <v>7442.88228181163</v>
      </c>
      <c r="S295" s="42" t="n">
        <f aca="false">R295/$K$2</f>
        <v>102.378023133585</v>
      </c>
      <c r="T295" s="43" t="n">
        <f aca="false">S295-$M$2</f>
        <v>-458.419776041106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3538.125</v>
      </c>
      <c r="F296" s="15" t="n">
        <f aca="false">E296*(1+IF(F$3&lt;=$O$2,$D296,$D296-($D296-$I$292)*MIN(F$3-$O$2,$Q$2)/$Q$2))</f>
        <v>3759.2578125</v>
      </c>
      <c r="G296" s="15" t="n">
        <f aca="false">F296*(1+IF(G$3&lt;=$O$2,$D296,$D296-($D296-$I$292)*MIN(G$3-$O$2,$Q$2)/$Q$2))</f>
        <v>3994.21142578125</v>
      </c>
      <c r="H296" s="15" t="n">
        <f aca="false">G296*(1+IF(H$3&lt;=$O$2,$D296,$D296-($D296-$I$292)*MIN(H$3-$O$2,$Q$2)/$Q$2))</f>
        <v>4243.84963989258</v>
      </c>
      <c r="I296" s="15" t="n">
        <f aca="false">H296*(1+IF(I$3&lt;=$O$2,$D296,$D296-($D296-$I$292)*MIN(I$3-$O$2,$Q$2)/$Q$2))</f>
        <v>4509.09024238586</v>
      </c>
      <c r="J296" s="15" t="n">
        <f aca="false">I296*(1+IF(J$3&lt;=$O$2,$D296,$D296-($D296-$I$292)*MIN(J$3-$O$2,$Q$2)/$Q$2))</f>
        <v>4769.08438576183</v>
      </c>
      <c r="K296" s="15" t="n">
        <f aca="false">J296*(1+IF(K$3&lt;=$O$2,$D296,$D296-($D296-$I$292)*MIN(K$3-$O$2,$Q$2)/$Q$2))</f>
        <v>5020.98742301777</v>
      </c>
      <c r="L296" s="15" t="n">
        <f aca="false">K296*(1+IF(L$3&lt;=$O$2,$D296,$D296-($D296-$I$292)*MIN(L$3-$O$2,$Q$2)/$Q$2))</f>
        <v>5261.89439957417</v>
      </c>
      <c r="M296" s="15" t="n">
        <f aca="false">L296*(1+IF(M$3&lt;=$O$2,$D296,$D296-($D296-$I$292)*MIN(M$3-$O$2,$Q$2)/$Q$2))</f>
        <v>5488.8925239718</v>
      </c>
      <c r="N296" s="15" t="n">
        <f aca="false">M296*(1+IF(N$3&lt;=$O$2,$D296,$D296-($D296-$I$292)*MIN(N$3-$O$2,$Q$2)/$Q$2))</f>
        <v>5699.11710763992</v>
      </c>
      <c r="O296" s="15" t="n">
        <f aca="false">SUMPRODUCT(E296:N296,1/(1+$F$292)^$E$3:$N$3)*$E$2</f>
        <v>15454.7875257866</v>
      </c>
      <c r="P296" s="15" t="n">
        <f aca="false">N296*$E$2*(1+$I$292)/($F$292-$I$292)/(1+$F$292)^$N$3</f>
        <v>25925.0947365297</v>
      </c>
      <c r="Q296" s="15" t="n">
        <f aca="false">O296+P296</f>
        <v>41379.8822623163</v>
      </c>
      <c r="R296" s="15" t="n">
        <f aca="false">Q296-$G$2+$I$2</f>
        <v>35192.5822623163</v>
      </c>
      <c r="S296" s="42" t="n">
        <f aca="false">R296/$K$2</f>
        <v>484.079535932824</v>
      </c>
      <c r="T296" s="43" t="n">
        <f aca="false">S296-$M$2</f>
        <v>-76.7182632418668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0.0625</v>
      </c>
      <c r="C297" s="25" t="n">
        <f aca="false">IF(T296&gt;0,D296,C296)</f>
        <v>0.25</v>
      </c>
      <c r="D297" s="41" t="n">
        <f aca="false">(B297+C297)/2</f>
        <v>0.15625</v>
      </c>
      <c r="E297" s="15" t="n">
        <f aca="false">$C$2*(1+IF(E$3&lt;=$O$2,$D297,$D297-($D297-$I$292)*MIN(E$3-$O$2,$Q$2)/$Q$2))</f>
        <v>3850.3125</v>
      </c>
      <c r="F297" s="15" t="n">
        <f aca="false">E297*(1+IF(F$3&lt;=$O$2,$D297,$D297-($D297-$I$292)*MIN(F$3-$O$2,$Q$2)/$Q$2))</f>
        <v>4451.923828125</v>
      </c>
      <c r="G297" s="15" t="n">
        <f aca="false">F297*(1+IF(G$3&lt;=$O$2,$D297,$D297-($D297-$I$292)*MIN(G$3-$O$2,$Q$2)/$Q$2))</f>
        <v>5147.53692626953</v>
      </c>
      <c r="H297" s="15" t="n">
        <f aca="false">G297*(1+IF(H$3&lt;=$O$2,$D297,$D297-($D297-$I$292)*MIN(H$3-$O$2,$Q$2)/$Q$2))</f>
        <v>5951.83957099915</v>
      </c>
      <c r="I297" s="15" t="n">
        <f aca="false">H297*(1+IF(I$3&lt;=$O$2,$D297,$D297-($D297-$I$292)*MIN(I$3-$O$2,$Q$2)/$Q$2))</f>
        <v>6881.81450396776</v>
      </c>
      <c r="J297" s="15" t="n">
        <f aca="false">I297*(1+IF(J$3&lt;=$O$2,$D297,$D297-($D297-$I$292)*MIN(J$3-$O$2,$Q$2)/$Q$2))</f>
        <v>7794.75601606413</v>
      </c>
      <c r="K297" s="15" t="n">
        <f aca="false">J297*(1+IF(K$3&lt;=$O$2,$D297,$D297-($D297-$I$292)*MIN(K$3-$O$2,$Q$2)/$Q$2))</f>
        <v>8644.93005473624</v>
      </c>
      <c r="L297" s="15" t="n">
        <f aca="false">K297*(1+IF(L$3&lt;=$O$2,$D297,$D297-($D297-$I$292)*MIN(L$3-$O$2,$Q$2)/$Q$2))</f>
        <v>9383.89867581509</v>
      </c>
      <c r="M297" s="15" t="n">
        <f aca="false">L297*(1+IF(M$3&lt;=$O$2,$D297,$D297-($D297-$I$292)*MIN(M$3-$O$2,$Q$2)/$Q$2))</f>
        <v>9964.66816486129</v>
      </c>
      <c r="N297" s="15" t="n">
        <f aca="false">M297*(1+IF(N$3&lt;=$O$2,$D297,$D297-($D297-$I$292)*MIN(N$3-$O$2,$Q$2)/$Q$2))</f>
        <v>10346.3149555755</v>
      </c>
      <c r="O297" s="15" t="n">
        <f aca="false">SUMPRODUCT(E297:N297,1/(1+$F$292)^$E$3:$N$3)*$E$2</f>
        <v>23228.809795265</v>
      </c>
      <c r="P297" s="15" t="n">
        <f aca="false">N297*$E$2*(1+$I$292)/($F$292-$I$292)/(1+$F$292)^$N$3</f>
        <v>47065.0436429346</v>
      </c>
      <c r="Q297" s="15" t="n">
        <f aca="false">O297+P297</f>
        <v>70293.8534381996</v>
      </c>
      <c r="R297" s="15" t="n">
        <f aca="false">Q297-$G$2+$I$2</f>
        <v>64106.5534381996</v>
      </c>
      <c r="S297" s="42" t="n">
        <f aca="false">R297/$K$2</f>
        <v>881.795783193943</v>
      </c>
      <c r="T297" s="43" t="n">
        <f aca="false">S297-$M$2</f>
        <v>320.997984019252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0.0625</v>
      </c>
      <c r="C298" s="25" t="n">
        <f aca="false">IF(T297&gt;0,D297,C297)</f>
        <v>0.15625</v>
      </c>
      <c r="D298" s="41" t="n">
        <f aca="false">(B298+C298)/2</f>
        <v>0.109375</v>
      </c>
      <c r="E298" s="15" t="n">
        <f aca="false">$C$2*(1+IF(E$3&lt;=$O$2,$D298,$D298-($D298-$I$292)*MIN(E$3-$O$2,$Q$2)/$Q$2))</f>
        <v>3694.21875</v>
      </c>
      <c r="F298" s="15" t="n">
        <f aca="false">E298*(1+IF(F$3&lt;=$O$2,$D298,$D298-($D298-$I$292)*MIN(F$3-$O$2,$Q$2)/$Q$2))</f>
        <v>4098.27392578125</v>
      </c>
      <c r="G298" s="15" t="n">
        <f aca="false">F298*(1+IF(G$3&lt;=$O$2,$D298,$D298-($D298-$I$292)*MIN(G$3-$O$2,$Q$2)/$Q$2))</f>
        <v>4546.52263641357</v>
      </c>
      <c r="H298" s="15" t="n">
        <f aca="false">G298*(1+IF(H$3&lt;=$O$2,$D298,$D298-($D298-$I$292)*MIN(H$3-$O$2,$Q$2)/$Q$2))</f>
        <v>5043.79854977131</v>
      </c>
      <c r="I298" s="15" t="n">
        <f aca="false">H298*(1+IF(I$3&lt;=$O$2,$D298,$D298-($D298-$I$292)*MIN(I$3-$O$2,$Q$2)/$Q$2))</f>
        <v>5595.46401615255</v>
      </c>
      <c r="J298" s="15" t="n">
        <f aca="false">I298*(1+IF(J$3&lt;=$O$2,$D298,$D298-($D298-$I$292)*MIN(J$3-$O$2,$Q$2)/$Q$2))</f>
        <v>6127.92837192962</v>
      </c>
      <c r="K298" s="15" t="n">
        <f aca="false">J298*(1+IF(K$3&lt;=$O$2,$D298,$D298-($D298-$I$292)*MIN(K$3-$O$2,$Q$2)/$Q$2))</f>
        <v>6623.95353399547</v>
      </c>
      <c r="L298" s="15" t="n">
        <f aca="false">K298*(1+IF(L$3&lt;=$O$2,$D298,$D298-($D298-$I$292)*MIN(L$3-$O$2,$Q$2)/$Q$2))</f>
        <v>7065.96995331898</v>
      </c>
      <c r="M298" s="15" t="n">
        <f aca="false">L298*(1+IF(M$3&lt;=$O$2,$D298,$D298-($D298-$I$292)*MIN(M$3-$O$2,$Q$2)/$Q$2))</f>
        <v>7437.03936541753</v>
      </c>
      <c r="N298" s="15" t="n">
        <f aca="false">M298*(1+IF(N$3&lt;=$O$2,$D298,$D298-($D298-$I$292)*MIN(N$3-$O$2,$Q$2)/$Q$2))</f>
        <v>7721.87797311302</v>
      </c>
      <c r="O298" s="15" t="n">
        <f aca="false">SUMPRODUCT(E298:N298,1/(1+$F$292)^$E$3:$N$3)*$E$2</f>
        <v>18950.8902122772</v>
      </c>
      <c r="P298" s="15" t="n">
        <f aca="false">N298*$E$2*(1+$I$292)/($F$292-$I$292)/(1+$F$292)^$N$3</f>
        <v>35126.5668376094</v>
      </c>
      <c r="Q298" s="15" t="n">
        <f aca="false">O298+P298</f>
        <v>54077.4570498866</v>
      </c>
      <c r="R298" s="15" t="n">
        <f aca="false">Q298-$G$2+$I$2</f>
        <v>47890.1570498866</v>
      </c>
      <c r="S298" s="42" t="n">
        <f aca="false">R298/$K$2</f>
        <v>658.736685693076</v>
      </c>
      <c r="T298" s="43" t="n">
        <f aca="false">S298-$M$2</f>
        <v>97.9388865183853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0.0625</v>
      </c>
      <c r="C299" s="25" t="n">
        <f aca="false">IF(T298&gt;0,D298,C298)</f>
        <v>0.109375</v>
      </c>
      <c r="D299" s="41" t="n">
        <f aca="false">(B299+C299)/2</f>
        <v>0.0859375</v>
      </c>
      <c r="E299" s="15" t="n">
        <f aca="false">$C$2*(1+IF(E$3&lt;=$O$2,$D299,$D299-($D299-$I$292)*MIN(E$3-$O$2,$Q$2)/$Q$2))</f>
        <v>3616.171875</v>
      </c>
      <c r="F299" s="15" t="n">
        <f aca="false">E299*(1+IF(F$3&lt;=$O$2,$D299,$D299-($D299-$I$292)*MIN(F$3-$O$2,$Q$2)/$Q$2))</f>
        <v>3926.93664550781</v>
      </c>
      <c r="G299" s="15" t="n">
        <f aca="false">F299*(1+IF(G$3&lt;=$O$2,$D299,$D299-($D299-$I$292)*MIN(G$3-$O$2,$Q$2)/$Q$2))</f>
        <v>4264.40776348114</v>
      </c>
      <c r="H299" s="15" t="n">
        <f aca="false">G299*(1+IF(H$3&lt;=$O$2,$D299,$D299-($D299-$I$292)*MIN(H$3-$O$2,$Q$2)/$Q$2))</f>
        <v>4630.8803056553</v>
      </c>
      <c r="I299" s="15" t="n">
        <f aca="false">H299*(1+IF(I$3&lt;=$O$2,$D299,$D299-($D299-$I$292)*MIN(I$3-$O$2,$Q$2)/$Q$2))</f>
        <v>5028.84658192255</v>
      </c>
      <c r="J299" s="15" t="n">
        <f aca="false">I299*(1+IF(J$3&lt;=$O$2,$D299,$D299-($D299-$I$292)*MIN(J$3-$O$2,$Q$2)/$Q$2))</f>
        <v>5413.10074924726</v>
      </c>
      <c r="K299" s="15" t="n">
        <f aca="false">J299*(1+IF(K$3&lt;=$O$2,$D299,$D299-($D299-$I$292)*MIN(K$3-$O$2,$Q$2)/$Q$2))</f>
        <v>5775.14246010879</v>
      </c>
      <c r="L299" s="15" t="n">
        <f aca="false">K299*(1+IF(L$3&lt;=$O$2,$D299,$D299-($D299-$I$292)*MIN(L$3-$O$2,$Q$2)/$Q$2))</f>
        <v>6106.37575590832</v>
      </c>
      <c r="M299" s="15" t="n">
        <f aca="false">L299*(1+IF(M$3&lt;=$O$2,$D299,$D299-($D299-$I$292)*MIN(M$3-$O$2,$Q$2)/$Q$2))</f>
        <v>6398.42844237403</v>
      </c>
      <c r="N299" s="15" t="n">
        <f aca="false">M299*(1+IF(N$3&lt;=$O$2,$D299,$D299-($D299-$I$292)*MIN(N$3-$O$2,$Q$2)/$Q$2))</f>
        <v>6643.48825171695</v>
      </c>
      <c r="O299" s="15" t="n">
        <f aca="false">SUMPRODUCT(E299:N299,1/(1+$F$292)^$E$3:$N$3)*$E$2</f>
        <v>17114.0253526867</v>
      </c>
      <c r="P299" s="15" t="n">
        <f aca="false">N299*$E$2*(1+$I$292)/($F$292-$I$292)/(1+$F$292)^$N$3</f>
        <v>30221.0077550254</v>
      </c>
      <c r="Q299" s="15" t="n">
        <f aca="false">O299+P299</f>
        <v>47335.0331077121</v>
      </c>
      <c r="R299" s="15" t="n">
        <f aca="false">Q299-$G$2+$I$2</f>
        <v>41147.7331077121</v>
      </c>
      <c r="S299" s="42" t="n">
        <f aca="false">R299/$K$2</f>
        <v>565.993577822725</v>
      </c>
      <c r="T299" s="43" t="n">
        <f aca="false">S299-$M$2</f>
        <v>5.19577864803489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0.0625</v>
      </c>
      <c r="C300" s="25" t="n">
        <f aca="false">IF(T299&gt;0,D299,C299)</f>
        <v>0.0859375</v>
      </c>
      <c r="D300" s="41" t="n">
        <f aca="false">(B300+C300)/2</f>
        <v>0.07421875</v>
      </c>
      <c r="E300" s="15" t="n">
        <f aca="false">$C$2*(1+IF(E$3&lt;=$O$2,$D300,$D300-($D300-$I$292)*MIN(E$3-$O$2,$Q$2)/$Q$2))</f>
        <v>3577.1484375</v>
      </c>
      <c r="F300" s="15" t="n">
        <f aca="false">E300*(1+IF(F$3&lt;=$O$2,$D300,$D300-($D300-$I$292)*MIN(F$3-$O$2,$Q$2)/$Q$2))</f>
        <v>3842.6399230957</v>
      </c>
      <c r="G300" s="15" t="n">
        <f aca="false">F300*(1+IF(G$3&lt;=$O$2,$D300,$D300-($D300-$I$292)*MIN(G$3-$O$2,$Q$2)/$Q$2))</f>
        <v>4127.83585488796</v>
      </c>
      <c r="H300" s="15" t="n">
        <f aca="false">G300*(1+IF(H$3&lt;=$O$2,$D300,$D300-($D300-$I$292)*MIN(H$3-$O$2,$Q$2)/$Q$2))</f>
        <v>4434.19867224293</v>
      </c>
      <c r="I300" s="15" t="n">
        <f aca="false">H300*(1+IF(I$3&lt;=$O$2,$D300,$D300-($D300-$I$292)*MIN(I$3-$O$2,$Q$2)/$Q$2))</f>
        <v>4763.29935494846</v>
      </c>
      <c r="J300" s="15" t="n">
        <f aca="false">I300*(1+IF(J$3&lt;=$O$2,$D300,$D300-($D300-$I$292)*MIN(J$3-$O$2,$Q$2)/$Q$2))</f>
        <v>5082.60712720743</v>
      </c>
      <c r="K300" s="15" t="n">
        <f aca="false">J300*(1+IF(K$3&lt;=$O$2,$D300,$D300-($D300-$I$292)*MIN(K$3-$O$2,$Q$2)/$Q$2))</f>
        <v>5386.8075170297</v>
      </c>
      <c r="L300" s="15" t="n">
        <f aca="false">K300*(1+IF(L$3&lt;=$O$2,$D300,$D300-($D300-$I$292)*MIN(L$3-$O$2,$Q$2)/$Q$2))</f>
        <v>5670.51720193286</v>
      </c>
      <c r="M300" s="15" t="n">
        <f aca="false">L300*(1+IF(M$3&lt;=$O$2,$D300,$D300-($D300-$I$292)*MIN(M$3-$O$2,$Q$2)/$Q$2))</f>
        <v>5928.43358871628</v>
      </c>
      <c r="N300" s="15" t="n">
        <f aca="false">M300*(1+IF(N$3&lt;=$O$2,$D300,$D300-($D300-$I$292)*MIN(N$3-$O$2,$Q$2)/$Q$2))</f>
        <v>6155.49259516411</v>
      </c>
      <c r="O300" s="15" t="n">
        <f aca="false">SUMPRODUCT(E300:N300,1/(1+$F$292)^$E$3:$N$3)*$E$2</f>
        <v>16263.2397086091</v>
      </c>
      <c r="P300" s="15" t="n">
        <f aca="false">N300*$E$2*(1+$I$292)/($F$292-$I$292)/(1+$F$292)^$N$3</f>
        <v>28001.1316955937</v>
      </c>
      <c r="Q300" s="15" t="n">
        <f aca="false">O300+P300</f>
        <v>44264.3714042028</v>
      </c>
      <c r="R300" s="15" t="n">
        <f aca="false">Q300-$G$2+$I$2</f>
        <v>38077.0714042028</v>
      </c>
      <c r="S300" s="42" t="n">
        <f aca="false">R300/$K$2</f>
        <v>523.756140360424</v>
      </c>
      <c r="T300" s="43" t="n">
        <f aca="false">S300-$M$2</f>
        <v>-37.0416588142665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0.07421875</v>
      </c>
      <c r="C301" s="25" t="n">
        <f aca="false">IF(T300&gt;0,D300,C300)</f>
        <v>0.0859375</v>
      </c>
      <c r="D301" s="41" t="n">
        <f aca="false">(B301+C301)/2</f>
        <v>0.080078125</v>
      </c>
      <c r="E301" s="15" t="n">
        <f aca="false">$C$2*(1+IF(E$3&lt;=$O$2,$D301,$D301-($D301-$I$292)*MIN(E$3-$O$2,$Q$2)/$Q$2))</f>
        <v>3596.66015625</v>
      </c>
      <c r="F301" s="15" t="n">
        <f aca="false">E301*(1+IF(F$3&lt;=$O$2,$D301,$D301-($D301-$I$292)*MIN(F$3-$O$2,$Q$2)/$Q$2))</f>
        <v>3884.67395782471</v>
      </c>
      <c r="G301" s="15" t="n">
        <f aca="false">F301*(1+IF(G$3&lt;=$O$2,$D301,$D301-($D301-$I$292)*MIN(G$3-$O$2,$Q$2)/$Q$2))</f>
        <v>4195.75136460364</v>
      </c>
      <c r="H301" s="15" t="n">
        <f aca="false">G301*(1+IF(H$3&lt;=$O$2,$D301,$D301-($D301-$I$292)*MIN(H$3-$O$2,$Q$2)/$Q$2))</f>
        <v>4531.73926684729</v>
      </c>
      <c r="I301" s="15" t="n">
        <f aca="false">H301*(1+IF(I$3&lt;=$O$2,$D301,$D301-($D301-$I$292)*MIN(I$3-$O$2,$Q$2)/$Q$2))</f>
        <v>4894.6324503253</v>
      </c>
      <c r="J301" s="15" t="n">
        <f aca="false">I301*(1+IF(J$3&lt;=$O$2,$D301,$D301-($D301-$I$292)*MIN(J$3-$O$2,$Q$2)/$Q$2))</f>
        <v>5245.68772624375</v>
      </c>
      <c r="K301" s="15" t="n">
        <f aca="false">J301*(1+IF(K$3&lt;=$O$2,$D301,$D301-($D301-$I$292)*MIN(K$3-$O$2,$Q$2)/$Q$2))</f>
        <v>5578.09056468167</v>
      </c>
      <c r="L301" s="15" t="n">
        <f aca="false">K301*(1+IF(L$3&lt;=$O$2,$D301,$D301-($D301-$I$292)*MIN(L$3-$O$2,$Q$2)/$Q$2))</f>
        <v>5884.94829925802</v>
      </c>
      <c r="M301" s="15" t="n">
        <f aca="false">L301*(1+IF(M$3&lt;=$O$2,$D301,$D301-($D301-$I$292)*MIN(M$3-$O$2,$Q$2)/$Q$2))</f>
        <v>6159.51424025259</v>
      </c>
      <c r="N301" s="15" t="n">
        <f aca="false">M301*(1+IF(N$3&lt;=$O$2,$D301,$D301-($D301-$I$292)*MIN(N$3-$O$2,$Q$2)/$Q$2))</f>
        <v>6395.42363565426</v>
      </c>
      <c r="O301" s="15" t="n">
        <f aca="false">SUMPRODUCT(E301:N301,1/(1+$F$292)^$E$3:$N$3)*$E$2</f>
        <v>16683.2145794613</v>
      </c>
      <c r="P301" s="15" t="n">
        <f aca="false">N301*$E$2*(1+$I$292)/($F$292-$I$292)/(1+$F$292)^$N$3</f>
        <v>29092.570042527</v>
      </c>
      <c r="Q301" s="15" t="n">
        <f aca="false">O301+P301</f>
        <v>45775.7846219882</v>
      </c>
      <c r="R301" s="15" t="n">
        <f aca="false">Q301-$G$2+$I$2</f>
        <v>39588.4846219882</v>
      </c>
      <c r="S301" s="42" t="n">
        <f aca="false">R301/$K$2</f>
        <v>544.545868252933</v>
      </c>
      <c r="T301" s="43" t="n">
        <f aca="false">S301-$M$2</f>
        <v>-16.2519309217577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0.080078125</v>
      </c>
      <c r="C302" s="25" t="n">
        <f aca="false">IF(T301&gt;0,D301,C301)</f>
        <v>0.0859375</v>
      </c>
      <c r="D302" s="41" t="n">
        <f aca="false">(B302+C302)/2</f>
        <v>0.0830078125</v>
      </c>
      <c r="E302" s="15" t="n">
        <f aca="false">$C$2*(1+IF(E$3&lt;=$O$2,$D302,$D302-($D302-$I$292)*MIN(E$3-$O$2,$Q$2)/$Q$2))</f>
        <v>3606.416015625</v>
      </c>
      <c r="F302" s="15" t="n">
        <f aca="false">E302*(1+IF(F$3&lt;=$O$2,$D302,$D302-($D302-$I$292)*MIN(F$3-$O$2,$Q$2)/$Q$2))</f>
        <v>3905.776720047</v>
      </c>
      <c r="G302" s="15" t="n">
        <f aca="false">F302*(1+IF(G$3&lt;=$O$2,$D302,$D302-($D302-$I$292)*MIN(G$3-$O$2,$Q$2)/$Q$2))</f>
        <v>4229.98670169152</v>
      </c>
      <c r="H302" s="15" t="n">
        <f aca="false">G302*(1+IF(H$3&lt;=$O$2,$D302,$D302-($D302-$I$292)*MIN(H$3-$O$2,$Q$2)/$Q$2))</f>
        <v>4581.10864470303</v>
      </c>
      <c r="I302" s="15" t="n">
        <f aca="false">H302*(1+IF(I$3&lt;=$O$2,$D302,$D302-($D302-$I$292)*MIN(I$3-$O$2,$Q$2)/$Q$2))</f>
        <v>4961.37645212467</v>
      </c>
      <c r="J302" s="15" t="n">
        <f aca="false">I302*(1+IF(J$3&lt;=$O$2,$D302,$D302-($D302-$I$292)*MIN(J$3-$O$2,$Q$2)/$Q$2))</f>
        <v>5328.84700077184</v>
      </c>
      <c r="K302" s="15" t="n">
        <f aca="false">J302*(1+IF(K$3&lt;=$O$2,$D302,$D302-($D302-$I$292)*MIN(K$3-$O$2,$Q$2)/$Q$2))</f>
        <v>5675.88649643242</v>
      </c>
      <c r="L302" s="15" t="n">
        <f aca="false">K302*(1+IF(L$3&lt;=$O$2,$D302,$D302-($D302-$I$292)*MIN(L$3-$O$2,$Q$2)/$Q$2))</f>
        <v>5994.7755369473</v>
      </c>
      <c r="M302" s="15" t="n">
        <f aca="false">L302*(1+IF(M$3&lt;=$O$2,$D302,$D302-($D302-$I$292)*MIN(M$3-$O$2,$Q$2)/$Q$2))</f>
        <v>6277.97810014946</v>
      </c>
      <c r="N302" s="15" t="n">
        <f aca="false">M302*(1+IF(N$3&lt;=$O$2,$D302,$D302-($D302-$I$292)*MIN(N$3-$O$2,$Q$2)/$Q$2))</f>
        <v>6518.42466138519</v>
      </c>
      <c r="O302" s="15" t="n">
        <f aca="false">SUMPRODUCT(E302:N302,1/(1+$F$292)^$E$3:$N$3)*$E$2</f>
        <v>16897.2494092723</v>
      </c>
      <c r="P302" s="15" t="n">
        <f aca="false">N302*$E$2*(1+$I$292)/($F$292-$I$292)/(1+$F$292)^$N$3</f>
        <v>29652.0976297895</v>
      </c>
      <c r="Q302" s="15" t="n">
        <f aca="false">O302+P302</f>
        <v>46549.3470390618</v>
      </c>
      <c r="R302" s="15" t="n">
        <f aca="false">Q302-$G$2+$I$2</f>
        <v>40362.0470390618</v>
      </c>
      <c r="S302" s="42" t="n">
        <f aca="false">R302/$K$2</f>
        <v>555.186341665224</v>
      </c>
      <c r="T302" s="43" t="n">
        <f aca="false">S302-$M$2</f>
        <v>-5.6114575094665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0.0830078125</v>
      </c>
      <c r="C303" s="25" t="n">
        <f aca="false">IF(T302&gt;0,D302,C302)</f>
        <v>0.0859375</v>
      </c>
      <c r="D303" s="41" t="n">
        <f aca="false">(B303+C303)/2</f>
        <v>0.08447265625</v>
      </c>
      <c r="E303" s="15" t="n">
        <f aca="false">$C$2*(1+IF(E$3&lt;=$O$2,$D303,$D303-($D303-$I$292)*MIN(E$3-$O$2,$Q$2)/$Q$2))</f>
        <v>3611.2939453125</v>
      </c>
      <c r="F303" s="15" t="n">
        <f aca="false">E303*(1+IF(F$3&lt;=$O$2,$D303,$D303-($D303-$I$292)*MIN(F$3-$O$2,$Q$2)/$Q$2))</f>
        <v>3916.34953737259</v>
      </c>
      <c r="G303" s="15" t="n">
        <f aca="false">F303*(1+IF(G$3&lt;=$O$2,$D303,$D303-($D303-$I$292)*MIN(G$3-$O$2,$Q$2)/$Q$2))</f>
        <v>4247.17398559791</v>
      </c>
      <c r="H303" s="15" t="n">
        <f aca="false">G303*(1+IF(H$3&lt;=$O$2,$D303,$D303-($D303-$I$292)*MIN(H$3-$O$2,$Q$2)/$Q$2))</f>
        <v>4605.94405371727</v>
      </c>
      <c r="I303" s="15" t="n">
        <f aca="false">H303*(1+IF(I$3&lt;=$O$2,$D303,$D303-($D303-$I$292)*MIN(I$3-$O$2,$Q$2)/$Q$2))</f>
        <v>4995.02038247366</v>
      </c>
      <c r="J303" s="15" t="n">
        <f aca="false">I303*(1+IF(J$3&lt;=$O$2,$D303,$D303-($D303-$I$292)*MIN(J$3-$O$2,$Q$2)/$Q$2))</f>
        <v>5370.83635038776</v>
      </c>
      <c r="K303" s="15" t="n">
        <f aca="false">J303*(1+IF(K$3&lt;=$O$2,$D303,$D303-($D303-$I$292)*MIN(K$3-$O$2,$Q$2)/$Q$2))</f>
        <v>5725.33085095648</v>
      </c>
      <c r="L303" s="15" t="n">
        <f aca="false">K303*(1+IF(L$3&lt;=$O$2,$D303,$D303-($D303-$I$292)*MIN(L$3-$O$2,$Q$2)/$Q$2))</f>
        <v>6050.35251586761</v>
      </c>
      <c r="M303" s="15" t="n">
        <f aca="false">L303*(1+IF(M$3&lt;=$O$2,$D303,$D303-($D303-$I$292)*MIN(M$3-$O$2,$Q$2)/$Q$2))</f>
        <v>6337.95318660663</v>
      </c>
      <c r="N303" s="15" t="n">
        <f aca="false">M303*(1+IF(N$3&lt;=$O$2,$D303,$D303-($D303-$I$292)*MIN(N$3-$O$2,$Q$2)/$Q$2))</f>
        <v>6580.69679365367</v>
      </c>
      <c r="O303" s="15" t="n">
        <f aca="false">SUMPRODUCT(E303:N303,1/(1+$F$292)^$E$3:$N$3)*$E$2</f>
        <v>17005.2927150861</v>
      </c>
      <c r="P303" s="15" t="n">
        <f aca="false">N303*$E$2*(1+$I$292)/($F$292-$I$292)/(1+$F$292)^$N$3</f>
        <v>29935.3714944978</v>
      </c>
      <c r="Q303" s="15" t="n">
        <f aca="false">O303+P303</f>
        <v>46940.6642095839</v>
      </c>
      <c r="R303" s="15" t="n">
        <f aca="false">Q303-$G$2+$I$2</f>
        <v>40753.3642095839</v>
      </c>
      <c r="S303" s="42" t="n">
        <f aca="false">R303/$K$2</f>
        <v>560.568971245995</v>
      </c>
      <c r="T303" s="43" t="n">
        <f aca="false">S303-$M$2</f>
        <v>-0.228827928695182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0.08447265625</v>
      </c>
      <c r="C304" s="25" t="n">
        <f aca="false">IF(T303&gt;0,D303,C303)</f>
        <v>0.0859375</v>
      </c>
      <c r="D304" s="41" t="n">
        <f aca="false">(B304+C304)/2</f>
        <v>0.085205078125</v>
      </c>
      <c r="E304" s="15" t="n">
        <f aca="false">$C$2*(1+IF(E$3&lt;=$O$2,$D304,$D304-($D304-$I$292)*MIN(E$3-$O$2,$Q$2)/$Q$2))</f>
        <v>3613.73291015625</v>
      </c>
      <c r="F304" s="15" t="n">
        <f aca="false">E304*(1+IF(F$3&lt;=$O$2,$D304,$D304-($D304-$I$292)*MIN(F$3-$O$2,$Q$2)/$Q$2))</f>
        <v>3921.641305089</v>
      </c>
      <c r="G304" s="15" t="n">
        <f aca="false">F304*(1+IF(G$3&lt;=$O$2,$D304,$D304-($D304-$I$292)*MIN(G$3-$O$2,$Q$2)/$Q$2))</f>
        <v>4255.78505886733</v>
      </c>
      <c r="H304" s="15" t="n">
        <f aca="false">G304*(1+IF(H$3&lt;=$O$2,$D304,$D304-($D304-$I$292)*MIN(H$3-$O$2,$Q$2)/$Q$2))</f>
        <v>4618.39955729133</v>
      </c>
      <c r="I304" s="15" t="n">
        <f aca="false">H304*(1+IF(I$3&lt;=$O$2,$D304,$D304-($D304-$I$292)*MIN(I$3-$O$2,$Q$2)/$Q$2))</f>
        <v>5011.9106523828</v>
      </c>
      <c r="J304" s="15" t="n">
        <f aca="false">I304*(1+IF(J$3&lt;=$O$2,$D304,$D304-($D304-$I$292)*MIN(J$3-$O$2,$Q$2)/$Q$2))</f>
        <v>5391.93407893349</v>
      </c>
      <c r="K304" s="15" t="n">
        <f aca="false">J304*(1+IF(K$3&lt;=$O$2,$D304,$D304-($D304-$I$292)*MIN(K$3-$O$2,$Q$2)/$Q$2))</f>
        <v>5750.19060768698</v>
      </c>
      <c r="L304" s="15" t="n">
        <f aca="false">K304*(1+IF(L$3&lt;=$O$2,$D304,$D304-($D304-$I$292)*MIN(L$3-$O$2,$Q$2)/$Q$2))</f>
        <v>6078.30816383627</v>
      </c>
      <c r="M304" s="15" t="n">
        <f aca="false">L304*(1+IF(M$3&lt;=$O$2,$D304,$D304-($D304-$I$292)*MIN(M$3-$O$2,$Q$2)/$Q$2))</f>
        <v>6368.12807036972</v>
      </c>
      <c r="N304" s="15" t="n">
        <f aca="false">M304*(1+IF(N$3&lt;=$O$2,$D304,$D304-($D304-$I$292)*MIN(N$3-$O$2,$Q$2)/$Q$2))</f>
        <v>6612.02737546488</v>
      </c>
      <c r="O304" s="15" t="n">
        <f aca="false">SUMPRODUCT(E304:N304,1/(1+$F$292)^$E$3:$N$3)*$E$2</f>
        <v>17059.5726129401</v>
      </c>
      <c r="P304" s="15" t="n">
        <f aca="false">N304*$E$2*(1+$I$292)/($F$292-$I$292)/(1+$F$292)^$N$3</f>
        <v>30077.8932722162</v>
      </c>
      <c r="Q304" s="15" t="n">
        <f aca="false">O304+P304</f>
        <v>47137.4658851562</v>
      </c>
      <c r="R304" s="15" t="n">
        <f aca="false">Q304-$G$2+$I$2</f>
        <v>40950.1658851562</v>
      </c>
      <c r="S304" s="42" t="n">
        <f aca="false">R304/$K$2</f>
        <v>563.276009424432</v>
      </c>
      <c r="T304" s="43" t="n">
        <f aca="false">S304-$M$2</f>
        <v>2.47821024974166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0.08447265625</v>
      </c>
      <c r="C305" s="25" t="n">
        <f aca="false">IF(T304&gt;0,D304,C304)</f>
        <v>0.085205078125</v>
      </c>
      <c r="D305" s="41" t="n">
        <f aca="false">(B305+C305)/2</f>
        <v>0.0848388671875</v>
      </c>
      <c r="E305" s="15" t="n">
        <f aca="false">$C$2*(1+IF(E$3&lt;=$O$2,$D305,$D305-($D305-$I$292)*MIN(E$3-$O$2,$Q$2)/$Q$2))</f>
        <v>3612.51342773438</v>
      </c>
      <c r="F305" s="15" t="n">
        <f aca="false">E305*(1+IF(F$3&lt;=$O$2,$D305,$D305-($D305-$I$292)*MIN(F$3-$O$2,$Q$2)/$Q$2))</f>
        <v>3918.99497464299</v>
      </c>
      <c r="G305" s="15" t="n">
        <f aca="false">F305*(1+IF(G$3&lt;=$O$2,$D305,$D305-($D305-$I$292)*MIN(G$3-$O$2,$Q$2)/$Q$2))</f>
        <v>4251.47806880521</v>
      </c>
      <c r="H305" s="15" t="n">
        <f aca="false">G305*(1+IF(H$3&lt;=$O$2,$D305,$D305-($D305-$I$292)*MIN(H$3-$O$2,$Q$2)/$Q$2))</f>
        <v>4612.16865203514</v>
      </c>
      <c r="I305" s="15" t="n">
        <f aca="false">H305*(1+IF(I$3&lt;=$O$2,$D305,$D305-($D305-$I$292)*MIN(I$3-$O$2,$Q$2)/$Q$2))</f>
        <v>5003.4598157515</v>
      </c>
      <c r="J305" s="15" t="n">
        <f aca="false">I305*(1+IF(J$3&lt;=$O$2,$D305,$D305-($D305-$I$292)*MIN(J$3-$O$2,$Q$2)/$Q$2))</f>
        <v>5381.37660816939</v>
      </c>
      <c r="K305" s="15" t="n">
        <f aca="false">J305*(1+IF(K$3&lt;=$O$2,$D305,$D305-($D305-$I$292)*MIN(K$3-$O$2,$Q$2)/$Q$2))</f>
        <v>5737.74923501439</v>
      </c>
      <c r="L305" s="15" t="n">
        <f aca="false">K305*(1+IF(L$3&lt;=$O$2,$D305,$D305-($D305-$I$292)*MIN(L$3-$O$2,$Q$2)/$Q$2))</f>
        <v>6064.31637055684</v>
      </c>
      <c r="M305" s="15" t="n">
        <f aca="false">L305*(1+IF(M$3&lt;=$O$2,$D305,$D305-($D305-$I$292)*MIN(M$3-$O$2,$Q$2)/$Q$2))</f>
        <v>6353.02497037963</v>
      </c>
      <c r="N305" s="15" t="n">
        <f aca="false">M305*(1+IF(N$3&lt;=$O$2,$D305,$D305-($D305-$I$292)*MIN(N$3-$O$2,$Q$2)/$Q$2))</f>
        <v>6596.34582674517</v>
      </c>
      <c r="O305" s="15" t="n">
        <f aca="false">SUMPRODUCT(E305:N305,1/(1+$F$292)^$E$3:$N$3)*$E$2</f>
        <v>17032.4110906365</v>
      </c>
      <c r="P305" s="15" t="n">
        <f aca="false">N305*$E$2*(1+$I$292)/($F$292-$I$292)/(1+$F$292)^$N$3</f>
        <v>30006.5584270998</v>
      </c>
      <c r="Q305" s="15" t="n">
        <f aca="false">O305+P305</f>
        <v>47038.9695177362</v>
      </c>
      <c r="R305" s="15" t="n">
        <f aca="false">Q305-$G$2+$I$2</f>
        <v>40851.6695177362</v>
      </c>
      <c r="S305" s="42" t="n">
        <f aca="false">R305/$K$2</f>
        <v>561.921176309989</v>
      </c>
      <c r="T305" s="43" t="n">
        <f aca="false">S305-$M$2</f>
        <v>1.12337713529894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0.08447265625</v>
      </c>
      <c r="C306" s="25" t="n">
        <f aca="false">IF(T305&gt;0,D305,C305)</f>
        <v>0.0848388671875</v>
      </c>
      <c r="D306" s="41" t="n">
        <f aca="false">(B306+C306)/2</f>
        <v>0.08465576171875</v>
      </c>
      <c r="E306" s="15" t="n">
        <f aca="false">$C$2*(1+IF(E$3&lt;=$O$2,$D306,$D306-($D306-$I$292)*MIN(E$3-$O$2,$Q$2)/$Q$2))</f>
        <v>3611.90368652344</v>
      </c>
      <c r="F306" s="15" t="n">
        <f aca="false">E306*(1+IF(F$3&lt;=$O$2,$D306,$D306-($D306-$I$292)*MIN(F$3-$O$2,$Q$2)/$Q$2))</f>
        <v>3917.67214436084</v>
      </c>
      <c r="G306" s="15" t="n">
        <f aca="false">F306*(1+IF(G$3&lt;=$O$2,$D306,$D306-($D306-$I$292)*MIN(G$3-$O$2,$Q$2)/$Q$2))</f>
        <v>4249.32566390604</v>
      </c>
      <c r="H306" s="15" t="n">
        <f aca="false">G306*(1+IF(H$3&lt;=$O$2,$D306,$D306-($D306-$I$292)*MIN(H$3-$O$2,$Q$2)/$Q$2))</f>
        <v>4609.05556477504</v>
      </c>
      <c r="I306" s="15" t="n">
        <f aca="false">H306*(1+IF(I$3&lt;=$O$2,$D306,$D306-($D306-$I$292)*MIN(I$3-$O$2,$Q$2)/$Q$2))</f>
        <v>4999.23867441511</v>
      </c>
      <c r="J306" s="15" t="n">
        <f aca="false">I306*(1+IF(J$3&lt;=$O$2,$D306,$D306-($D306-$I$292)*MIN(J$3-$O$2,$Q$2)/$Q$2))</f>
        <v>5376.10432905829</v>
      </c>
      <c r="K306" s="15" t="n">
        <f aca="false">J306*(1+IF(K$3&lt;=$O$2,$D306,$D306-($D306-$I$292)*MIN(K$3-$O$2,$Q$2)/$Q$2))</f>
        <v>5731.537171613</v>
      </c>
      <c r="L306" s="15" t="n">
        <f aca="false">K306*(1+IF(L$3&lt;=$O$2,$D306,$D306-($D306-$I$292)*MIN(L$3-$O$2,$Q$2)/$Q$2))</f>
        <v>6057.33095384955</v>
      </c>
      <c r="M306" s="15" t="n">
        <f aca="false">L306*(1+IF(M$3&lt;=$O$2,$D306,$D306-($D306-$I$292)*MIN(M$3-$O$2,$Q$2)/$Q$2))</f>
        <v>6345.48516745164</v>
      </c>
      <c r="N306" s="15" t="n">
        <f aca="false">M306*(1+IF(N$3&lt;=$O$2,$D306,$D306-($D306-$I$292)*MIN(N$3-$O$2,$Q$2)/$Q$2))</f>
        <v>6588.51724936504</v>
      </c>
      <c r="O306" s="15" t="n">
        <f aca="false">SUMPRODUCT(E306:N306,1/(1+$F$292)^$E$3:$N$3)*$E$2</f>
        <v>17018.8465134952</v>
      </c>
      <c r="P306" s="15" t="n">
        <f aca="false">N306*$E$2*(1+$I$292)/($F$292-$I$292)/(1+$F$292)^$N$3</f>
        <v>29970.9464881978</v>
      </c>
      <c r="Q306" s="15" t="n">
        <f aca="false">O306+P306</f>
        <v>46989.793001693</v>
      </c>
      <c r="R306" s="15" t="n">
        <f aca="false">Q306-$G$2+$I$2</f>
        <v>40802.493001693</v>
      </c>
      <c r="S306" s="42" t="n">
        <f aca="false">R306/$K$2</f>
        <v>561.244745552861</v>
      </c>
      <c r="T306" s="43" t="n">
        <f aca="false">S306-$M$2</f>
        <v>0.446946378170765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0.08447265625</v>
      </c>
      <c r="C307" s="25" t="n">
        <f aca="false">IF(T306&gt;0,D306,C306)</f>
        <v>0.08465576171875</v>
      </c>
      <c r="D307" s="41" t="n">
        <f aca="false">(B307+C307)/2</f>
        <v>0.084564208984375</v>
      </c>
      <c r="E307" s="15" t="n">
        <f aca="false">$C$2*(1+IF(E$3&lt;=$O$2,$D307,$D307-($D307-$I$292)*MIN(E$3-$O$2,$Q$2)/$Q$2))</f>
        <v>3611.59881591797</v>
      </c>
      <c r="F307" s="15" t="n">
        <f aca="false">E307*(1+IF(F$3&lt;=$O$2,$D307,$D307-($D307-$I$292)*MIN(F$3-$O$2,$Q$2)/$Q$2))</f>
        <v>3917.01081295498</v>
      </c>
      <c r="G307" s="15" t="n">
        <f aca="false">F307*(1+IF(G$3&lt;=$O$2,$D307,$D307-($D307-$I$292)*MIN(G$3-$O$2,$Q$2)/$Q$2))</f>
        <v>4248.24973393576</v>
      </c>
      <c r="H307" s="15" t="n">
        <f aca="false">G307*(1+IF(H$3&lt;=$O$2,$D307,$D307-($D307-$I$292)*MIN(H$3-$O$2,$Q$2)/$Q$2))</f>
        <v>4607.49961225412</v>
      </c>
      <c r="I307" s="15" t="n">
        <f aca="false">H307*(1+IF(I$3&lt;=$O$2,$D307,$D307-($D307-$I$292)*MIN(I$3-$O$2,$Q$2)/$Q$2))</f>
        <v>4997.1291723602</v>
      </c>
      <c r="J307" s="15" t="n">
        <f aca="false">I307*(1+IF(J$3&lt;=$O$2,$D307,$D307-($D307-$I$292)*MIN(J$3-$O$2,$Q$2)/$Q$2))</f>
        <v>5373.46980234319</v>
      </c>
      <c r="K307" s="15" t="n">
        <f aca="false">J307*(1+IF(K$3&lt;=$O$2,$D307,$D307-($D307-$I$292)*MIN(K$3-$O$2,$Q$2)/$Q$2))</f>
        <v>5728.43329371703</v>
      </c>
      <c r="L307" s="15" t="n">
        <f aca="false">K307*(1+IF(L$3&lt;=$O$2,$D307,$D307-($D307-$I$292)*MIN(L$3-$O$2,$Q$2)/$Q$2))</f>
        <v>6053.84086288783</v>
      </c>
      <c r="M307" s="15" t="n">
        <f aca="false">L307*(1+IF(M$3&lt;=$O$2,$D307,$D307-($D307-$I$292)*MIN(M$3-$O$2,$Q$2)/$Q$2))</f>
        <v>6341.71819970419</v>
      </c>
      <c r="N307" s="15" t="n">
        <f aca="false">M307*(1+IF(N$3&lt;=$O$2,$D307,$D307-($D307-$I$292)*MIN(N$3-$O$2,$Q$2)/$Q$2))</f>
        <v>6584.60600675286</v>
      </c>
      <c r="O307" s="15" t="n">
        <f aca="false">SUMPRODUCT(E307:N307,1/(1+$F$292)^$E$3:$N$3)*$E$2</f>
        <v>17012.0682674461</v>
      </c>
      <c r="P307" s="15" t="n">
        <f aca="false">N307*$E$2*(1+$I$292)/($F$292-$I$292)/(1+$F$292)^$N$3</f>
        <v>29953.1543752541</v>
      </c>
      <c r="Q307" s="15" t="n">
        <f aca="false">O307+P307</f>
        <v>46965.2226427002</v>
      </c>
      <c r="R307" s="15" t="n">
        <f aca="false">Q307-$G$2+$I$2</f>
        <v>40777.9226427002</v>
      </c>
      <c r="S307" s="42" t="n">
        <f aca="false">R307/$K$2</f>
        <v>560.90677637827</v>
      </c>
      <c r="T307" s="43" t="n">
        <f aca="false">S307-$M$2</f>
        <v>0.10897720357957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0.08447265625</v>
      </c>
      <c r="C308" s="25" t="n">
        <f aca="false">IF(T307&gt;0,D307,C307)</f>
        <v>0.084564208984375</v>
      </c>
      <c r="D308" s="41" t="n">
        <f aca="false">(B308+C308)/2</f>
        <v>0.0845184326171875</v>
      </c>
      <c r="E308" s="15" t="n">
        <f aca="false">$C$2*(1+IF(E$3&lt;=$O$2,$D308,$D308-($D308-$I$292)*MIN(E$3-$O$2,$Q$2)/$Q$2))</f>
        <v>3611.44638061523</v>
      </c>
      <c r="F308" s="15" t="n">
        <f aca="false">E308*(1+IF(F$3&lt;=$O$2,$D308,$D308-($D308-$I$292)*MIN(F$3-$O$2,$Q$2)/$Q$2))</f>
        <v>3916.68016818585</v>
      </c>
      <c r="G308" s="15" t="n">
        <f aca="false">F308*(1+IF(G$3&lt;=$O$2,$D308,$D308-($D308-$I$292)*MIN(G$3-$O$2,$Q$2)/$Q$2))</f>
        <v>4247.71183706374</v>
      </c>
      <c r="H308" s="15" t="n">
        <f aca="false">G308*(1+IF(H$3&lt;=$O$2,$D308,$D308-($D308-$I$292)*MIN(H$3-$O$2,$Q$2)/$Q$2))</f>
        <v>4606.72178374184</v>
      </c>
      <c r="I308" s="15" t="n">
        <f aca="false">H308*(1+IF(I$3&lt;=$O$2,$D308,$D308-($D308-$I$292)*MIN(I$3-$O$2,$Q$2)/$Q$2))</f>
        <v>4996.07468840716</v>
      </c>
      <c r="J308" s="15" t="n">
        <f aca="false">I308*(1+IF(J$3&lt;=$O$2,$D308,$D308-($D308-$I$292)*MIN(J$3-$O$2,$Q$2)/$Q$2))</f>
        <v>5372.15294204242</v>
      </c>
      <c r="K308" s="15" t="n">
        <f aca="false">J308*(1+IF(K$3&lt;=$O$2,$D308,$D308-($D308-$I$292)*MIN(K$3-$O$2,$Q$2)/$Q$2))</f>
        <v>5726.88189297925</v>
      </c>
      <c r="L308" s="15" t="n">
        <f aca="false">K308*(1+IF(L$3&lt;=$O$2,$D308,$D308-($D308-$I$292)*MIN(L$3-$O$2,$Q$2)/$Q$2))</f>
        <v>6052.09647143125</v>
      </c>
      <c r="M308" s="15" t="n">
        <f aca="false">L308*(1+IF(M$3&lt;=$O$2,$D308,$D308-($D308-$I$292)*MIN(M$3-$O$2,$Q$2)/$Q$2))</f>
        <v>6339.83544887858</v>
      </c>
      <c r="N308" s="15" t="n">
        <f aca="false">M308*(1+IF(N$3&lt;=$O$2,$D308,$D308-($D308-$I$292)*MIN(N$3-$O$2,$Q$2)/$Q$2))</f>
        <v>6582.65114657063</v>
      </c>
      <c r="O308" s="15" t="n">
        <f aca="false">SUMPRODUCT(E308:N308,1/(1+$F$292)^$E$3:$N$3)*$E$2</f>
        <v>17008.6801546171</v>
      </c>
      <c r="P308" s="15" t="n">
        <f aca="false">N308*$E$2*(1+$I$292)/($F$292-$I$292)/(1+$F$292)^$N$3</f>
        <v>29944.2617811095</v>
      </c>
      <c r="Q308" s="15" t="n">
        <f aca="false">O308+P308</f>
        <v>46952.9419357266</v>
      </c>
      <c r="R308" s="15" t="n">
        <f aca="false">Q308-$G$2+$I$2</f>
        <v>40765.6419357266</v>
      </c>
      <c r="S308" s="42" t="n">
        <f aca="false">R308/$K$2</f>
        <v>560.737853311233</v>
      </c>
      <c r="T308" s="43" t="n">
        <f aca="false">S308-$M$2</f>
        <v>-0.0599458634579833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0.0845184326171875</v>
      </c>
      <c r="C309" s="25" t="n">
        <f aca="false">IF(T308&gt;0,D308,C308)</f>
        <v>0.084564208984375</v>
      </c>
      <c r="D309" s="41" t="n">
        <f aca="false">(B309+C309)/2</f>
        <v>0.0845413208007813</v>
      </c>
      <c r="E309" s="15" t="n">
        <f aca="false">$C$2*(1+IF(E$3&lt;=$O$2,$D309,$D309-($D309-$I$292)*MIN(E$3-$O$2,$Q$2)/$Q$2))</f>
        <v>3611.5225982666</v>
      </c>
      <c r="F309" s="15" t="n">
        <f aca="false">E309*(1+IF(F$3&lt;=$O$2,$D309,$D309-($D309-$I$292)*MIN(F$3-$O$2,$Q$2)/$Q$2))</f>
        <v>3916.84548882593</v>
      </c>
      <c r="G309" s="15" t="n">
        <f aca="false">F309*(1+IF(G$3&lt;=$O$2,$D309,$D309-($D309-$I$292)*MIN(G$3-$O$2,$Q$2)/$Q$2))</f>
        <v>4247.98077982386</v>
      </c>
      <c r="H309" s="15" t="n">
        <f aca="false">G309*(1+IF(H$3&lt;=$O$2,$D309,$D309-($D309-$I$292)*MIN(H$3-$O$2,$Q$2)/$Q$2))</f>
        <v>4607.1106856865</v>
      </c>
      <c r="I309" s="15" t="n">
        <f aca="false">H309*(1+IF(I$3&lt;=$O$2,$D309,$D309-($D309-$I$292)*MIN(I$3-$O$2,$Q$2)/$Q$2))</f>
        <v>4996.60190812983</v>
      </c>
      <c r="J309" s="15" t="n">
        <f aca="false">I309*(1+IF(J$3&lt;=$O$2,$D309,$D309-($D309-$I$292)*MIN(J$3-$O$2,$Q$2)/$Q$2))</f>
        <v>5372.8113386093</v>
      </c>
      <c r="K309" s="15" t="n">
        <f aca="false">J309*(1+IF(K$3&lt;=$O$2,$D309,$D309-($D309-$I$292)*MIN(K$3-$O$2,$Q$2)/$Q$2))</f>
        <v>5727.65754850446</v>
      </c>
      <c r="L309" s="15" t="n">
        <f aca="false">K309*(1+IF(L$3&lt;=$O$2,$D309,$D309-($D309-$I$292)*MIN(L$3-$O$2,$Q$2)/$Q$2))</f>
        <v>6052.96861266715</v>
      </c>
      <c r="M309" s="15" t="n">
        <f aca="false">L309*(1+IF(M$3&lt;=$O$2,$D309,$D309-($D309-$I$292)*MIN(M$3-$O$2,$Q$2)/$Q$2))</f>
        <v>6340.77676321538</v>
      </c>
      <c r="N309" s="15" t="n">
        <f aca="false">M309*(1+IF(N$3&lt;=$O$2,$D309,$D309-($D309-$I$292)*MIN(N$3-$O$2,$Q$2)/$Q$2))</f>
        <v>6583.62851324653</v>
      </c>
      <c r="O309" s="15" t="n">
        <f aca="false">SUMPRODUCT(E309:N309,1/(1+$F$292)^$E$3:$N$3)*$E$2</f>
        <v>17010.3741268616</v>
      </c>
      <c r="P309" s="15" t="n">
        <f aca="false">N309*$E$2*(1+$I$292)/($F$292-$I$292)/(1+$F$292)^$N$3</f>
        <v>29948.7077897081</v>
      </c>
      <c r="Q309" s="15" t="n">
        <f aca="false">O309+P309</f>
        <v>46959.0819165697</v>
      </c>
      <c r="R309" s="15" t="n">
        <f aca="false">Q309-$G$2+$I$2</f>
        <v>40771.7819165697</v>
      </c>
      <c r="S309" s="42" t="n">
        <f aca="false">R309/$K$2</f>
        <v>560.822309718978</v>
      </c>
      <c r="T309" s="43" t="n">
        <f aca="false">S309-$M$2</f>
        <v>0.0245105442870681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0.0845184326171875</v>
      </c>
      <c r="C310" s="25" t="n">
        <f aca="false">IF(T309&gt;0,D309,C309)</f>
        <v>0.0845413208007813</v>
      </c>
      <c r="D310" s="41" t="n">
        <f aca="false">(B310+C310)/2</f>
        <v>0.0845298767089844</v>
      </c>
      <c r="E310" s="15" t="n">
        <f aca="false">$C$2*(1+IF(E$3&lt;=$O$2,$D310,$D310-($D310-$I$292)*MIN(E$3-$O$2,$Q$2)/$Q$2))</f>
        <v>3611.48448944092</v>
      </c>
      <c r="F310" s="15" t="n">
        <f aca="false">E310*(1+IF(F$3&lt;=$O$2,$D310,$D310-($D310-$I$292)*MIN(F$3-$O$2,$Q$2)/$Q$2))</f>
        <v>3916.76282806977</v>
      </c>
      <c r="G310" s="15" t="n">
        <f aca="false">F310*(1+IF(G$3&lt;=$O$2,$D310,$D310-($D310-$I$292)*MIN(G$3-$O$2,$Q$2)/$Q$2))</f>
        <v>4247.84630702484</v>
      </c>
      <c r="H310" s="15" t="n">
        <f aca="false">G310*(1+IF(H$3&lt;=$O$2,$D310,$D310-($D310-$I$292)*MIN(H$3-$O$2,$Q$2)/$Q$2))</f>
        <v>4606.91623163636</v>
      </c>
      <c r="I310" s="15" t="n">
        <f aca="false">H310*(1+IF(I$3&lt;=$O$2,$D310,$D310-($D310-$I$292)*MIN(I$3-$O$2,$Q$2)/$Q$2))</f>
        <v>4996.3382927052</v>
      </c>
      <c r="J310" s="15" t="n">
        <f aca="false">I310*(1+IF(J$3&lt;=$O$2,$D310,$D310-($D310-$I$292)*MIN(J$3-$O$2,$Q$2)/$Q$2))</f>
        <v>5372.48213193033</v>
      </c>
      <c r="K310" s="15" t="n">
        <f aca="false">J310*(1+IF(K$3&lt;=$O$2,$D310,$D310-($D310-$I$292)*MIN(K$3-$O$2,$Q$2)/$Q$2))</f>
        <v>5727.26970953147</v>
      </c>
      <c r="L310" s="15" t="n">
        <f aca="false">K310*(1+IF(L$3&lt;=$O$2,$D310,$D310-($D310-$I$292)*MIN(L$3-$O$2,$Q$2)/$Q$2))</f>
        <v>6052.53252842683</v>
      </c>
      <c r="M310" s="15" t="n">
        <f aca="false">L310*(1+IF(M$3&lt;=$O$2,$D310,$D310-($D310-$I$292)*MIN(M$3-$O$2,$Q$2)/$Q$2))</f>
        <v>6340.30609077883</v>
      </c>
      <c r="N310" s="15" t="n">
        <f aca="false">M310*(1+IF(N$3&lt;=$O$2,$D310,$D310-($D310-$I$292)*MIN(N$3-$O$2,$Q$2)/$Q$2))</f>
        <v>6583.13981405566</v>
      </c>
      <c r="O310" s="15" t="n">
        <f aca="false">SUMPRODUCT(E310:N310,1/(1+$F$292)^$E$3:$N$3)*$E$2</f>
        <v>17009.5271196978</v>
      </c>
      <c r="P310" s="15" t="n">
        <f aca="false">N310*$E$2*(1+$I$292)/($F$292-$I$292)/(1+$F$292)^$N$3</f>
        <v>29946.4847132944</v>
      </c>
      <c r="Q310" s="15" t="n">
        <f aca="false">O310+P310</f>
        <v>46956.0118329922</v>
      </c>
      <c r="R310" s="15" t="n">
        <f aca="false">Q310-$G$2+$I$2</f>
        <v>40768.7118329922</v>
      </c>
      <c r="S310" s="42" t="n">
        <f aca="false">R310/$K$2</f>
        <v>560.78008023373</v>
      </c>
      <c r="T310" s="43" t="n">
        <f aca="false">S310-$M$2</f>
        <v>-0.0177189409603216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0.0845298767089844</v>
      </c>
      <c r="C311" s="25" t="n">
        <f aca="false">IF(T310&gt;0,D310,C310)</f>
        <v>0.0845413208007813</v>
      </c>
      <c r="D311" s="41" t="n">
        <f aca="false">(B311+C311)/2</f>
        <v>0.0845355987548828</v>
      </c>
      <c r="E311" s="15" t="n">
        <f aca="false">$C$2*(1+IF(E$3&lt;=$O$2,$D311,$D311-($D311-$I$292)*MIN(E$3-$O$2,$Q$2)/$Q$2))</f>
        <v>3611.50354385376</v>
      </c>
      <c r="F311" s="15" t="n">
        <f aca="false">E311*(1+IF(F$3&lt;=$O$2,$D311,$D311-($D311-$I$292)*MIN(F$3-$O$2,$Q$2)/$Q$2))</f>
        <v>3916.80415833882</v>
      </c>
      <c r="G311" s="15" t="n">
        <f aca="false">F311*(1+IF(G$3&lt;=$O$2,$D311,$D311-($D311-$I$292)*MIN(G$3-$O$2,$Q$2)/$Q$2))</f>
        <v>4247.91354306961</v>
      </c>
      <c r="H311" s="15" t="n">
        <f aca="false">G311*(1+IF(H$3&lt;=$O$2,$D311,$D311-($D311-$I$292)*MIN(H$3-$O$2,$Q$2)/$Q$2))</f>
        <v>4607.01345789197</v>
      </c>
      <c r="I311" s="15" t="n">
        <f aca="false">H311*(1+IF(I$3&lt;=$O$2,$D311,$D311-($D311-$I$292)*MIN(I$3-$O$2,$Q$2)/$Q$2))</f>
        <v>4996.47009902667</v>
      </c>
      <c r="J311" s="15" t="n">
        <f aca="false">I311*(1+IF(J$3&lt;=$O$2,$D311,$D311-($D311-$I$292)*MIN(J$3-$O$2,$Q$2)/$Q$2))</f>
        <v>5372.64673317089</v>
      </c>
      <c r="K311" s="15" t="n">
        <f aca="false">J311*(1+IF(K$3&lt;=$O$2,$D311,$D311-($D311-$I$292)*MIN(K$3-$O$2,$Q$2)/$Q$2))</f>
        <v>5727.4636262153</v>
      </c>
      <c r="L311" s="15" t="n">
        <f aca="false">K311*(1+IF(L$3&lt;=$O$2,$D311,$D311-($D311-$I$292)*MIN(L$3-$O$2,$Q$2)/$Q$2))</f>
        <v>6052.7505671413</v>
      </c>
      <c r="M311" s="15" t="n">
        <f aca="false">L311*(1+IF(M$3&lt;=$O$2,$D311,$D311-($D311-$I$292)*MIN(M$3-$O$2,$Q$2)/$Q$2))</f>
        <v>6340.54142317996</v>
      </c>
      <c r="N311" s="15" t="n">
        <f aca="false">M311*(1+IF(N$3&lt;=$O$2,$D311,$D311-($D311-$I$292)*MIN(N$3-$O$2,$Q$2)/$Q$2))</f>
        <v>6583.38415968775</v>
      </c>
      <c r="O311" s="15" t="n">
        <f aca="false">SUMPRODUCT(E311:N311,1/(1+$F$292)^$E$3:$N$3)*$E$2</f>
        <v>17009.9506180192</v>
      </c>
      <c r="P311" s="15" t="n">
        <f aca="false">N311*$E$2*(1+$I$292)/($F$292-$I$292)/(1+$F$292)^$N$3</f>
        <v>29947.5962334721</v>
      </c>
      <c r="Q311" s="15" t="n">
        <f aca="false">O311+P311</f>
        <v>46957.5468514913</v>
      </c>
      <c r="R311" s="15" t="n">
        <f aca="false">Q311-$G$2+$I$2</f>
        <v>40770.2468514913</v>
      </c>
      <c r="S311" s="42" t="n">
        <f aca="false">R311/$K$2</f>
        <v>560.801194656001</v>
      </c>
      <c r="T311" s="43" t="n">
        <f aca="false">S311-$M$2</f>
        <v>0.0033954813109176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0.0845298767089844</v>
      </c>
      <c r="C312" s="25" t="n">
        <f aca="false">IF(T311&gt;0,D311,C311)</f>
        <v>0.0845355987548828</v>
      </c>
      <c r="D312" s="41" t="n">
        <f aca="false">(B312+C312)/2</f>
        <v>0.0845327377319336</v>
      </c>
      <c r="E312" s="15" t="n">
        <f aca="false">$C$2*(1+IF(E$3&lt;=$O$2,$D312,$D312-($D312-$I$292)*MIN(E$3-$O$2,$Q$2)/$Q$2))</f>
        <v>3611.49401664734</v>
      </c>
      <c r="F312" s="15" t="n">
        <f aca="false">E312*(1+IF(F$3&lt;=$O$2,$D312,$D312-($D312-$I$292)*MIN(F$3-$O$2,$Q$2)/$Q$2))</f>
        <v>3916.78349317704</v>
      </c>
      <c r="G312" s="15" t="n">
        <f aca="false">F312*(1+IF(G$3&lt;=$O$2,$D312,$D312-($D312-$I$292)*MIN(G$3-$O$2,$Q$2)/$Q$2))</f>
        <v>4247.87992495854</v>
      </c>
      <c r="H312" s="15" t="n">
        <f aca="false">G312*(1+IF(H$3&lt;=$O$2,$D312,$D312-($D312-$I$292)*MIN(H$3-$O$2,$Q$2)/$Q$2))</f>
        <v>4606.9648445718</v>
      </c>
      <c r="I312" s="15" t="n">
        <f aca="false">H312*(1+IF(I$3&lt;=$O$2,$D312,$D312-($D312-$I$292)*MIN(I$3-$O$2,$Q$2)/$Q$2))</f>
        <v>4996.40419551823</v>
      </c>
      <c r="J312" s="15" t="n">
        <f aca="false">I312*(1+IF(J$3&lt;=$O$2,$D312,$D312-($D312-$I$292)*MIN(J$3-$O$2,$Q$2)/$Q$2))</f>
        <v>5372.56443202588</v>
      </c>
      <c r="K312" s="15" t="n">
        <f aca="false">J312*(1+IF(K$3&lt;=$O$2,$D312,$D312-($D312-$I$292)*MIN(K$3-$O$2,$Q$2)/$Q$2))</f>
        <v>5727.36666717273</v>
      </c>
      <c r="L312" s="15" t="n">
        <f aca="false">K312*(1+IF(L$3&lt;=$O$2,$D312,$D312-($D312-$I$292)*MIN(L$3-$O$2,$Q$2)/$Q$2))</f>
        <v>6052.64154693265</v>
      </c>
      <c r="M312" s="15" t="n">
        <f aca="false">L312*(1+IF(M$3&lt;=$O$2,$D312,$D312-($D312-$I$292)*MIN(M$3-$O$2,$Q$2)/$Q$2))</f>
        <v>6340.42375602512</v>
      </c>
      <c r="N312" s="15" t="n">
        <f aca="false">M312*(1+IF(N$3&lt;=$O$2,$D312,$D312-($D312-$I$292)*MIN(N$3-$O$2,$Q$2)/$Q$2))</f>
        <v>6583.26198588088</v>
      </c>
      <c r="O312" s="15" t="n">
        <f aca="false">SUMPRODUCT(E312:N312,1/(1+$F$292)^$E$3:$N$3)*$E$2</f>
        <v>17009.7388675434</v>
      </c>
      <c r="P312" s="15" t="n">
        <f aca="false">N312*$E$2*(1+$I$292)/($F$292-$I$292)/(1+$F$292)^$N$3</f>
        <v>29947.0404688761</v>
      </c>
      <c r="Q312" s="15" t="n">
        <f aca="false">O312+P312</f>
        <v>46956.7793364194</v>
      </c>
      <c r="R312" s="15" t="n">
        <f aca="false">Q312-$G$2+$I$2</f>
        <v>40769.4793364194</v>
      </c>
      <c r="S312" s="42" t="n">
        <f aca="false">R312/$K$2</f>
        <v>560.790637364779</v>
      </c>
      <c r="T312" s="43" t="n">
        <f aca="false">S312-$M$2</f>
        <v>-0.00716180991162219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0.0845327377319336</v>
      </c>
      <c r="C313" s="25" t="n">
        <f aca="false">IF(T312&gt;0,D312,C312)</f>
        <v>0.0845355987548828</v>
      </c>
      <c r="D313" s="41" t="n">
        <f aca="false">(B313+C313)/2</f>
        <v>0.0845341682434082</v>
      </c>
      <c r="E313" s="15" t="n">
        <f aca="false">$C$2*(1+IF(E$3&lt;=$O$2,$D313,$D313-($D313-$I$292)*MIN(E$3-$O$2,$Q$2)/$Q$2))</f>
        <v>3611.49878025055</v>
      </c>
      <c r="F313" s="15" t="n">
        <f aca="false">E313*(1+IF(F$3&lt;=$O$2,$D313,$D313-($D313-$I$292)*MIN(F$3-$O$2,$Q$2)/$Q$2))</f>
        <v>3916.79382575111</v>
      </c>
      <c r="G313" s="15" t="n">
        <f aca="false">F313*(1+IF(G$3&lt;=$O$2,$D313,$D313-($D313-$I$292)*MIN(G$3-$O$2,$Q$2)/$Q$2))</f>
        <v>4247.8967339919</v>
      </c>
      <c r="H313" s="15" t="n">
        <f aca="false">G313*(1+IF(H$3&lt;=$O$2,$D313,$D313-($D313-$I$292)*MIN(H$3-$O$2,$Q$2)/$Q$2))</f>
        <v>4606.9891511838</v>
      </c>
      <c r="I313" s="15" t="n">
        <f aca="false">H313*(1+IF(I$3&lt;=$O$2,$D313,$D313-($D313-$I$292)*MIN(I$3-$O$2,$Q$2)/$Q$2))</f>
        <v>4996.43714718552</v>
      </c>
      <c r="J313" s="15" t="n">
        <f aca="false">I313*(1+IF(J$3&lt;=$O$2,$D313,$D313-($D313-$I$292)*MIN(J$3-$O$2,$Q$2)/$Q$2))</f>
        <v>5372.6055824672</v>
      </c>
      <c r="K313" s="15" t="n">
        <f aca="false">J313*(1+IF(K$3&lt;=$O$2,$D313,$D313-($D313-$I$292)*MIN(K$3-$O$2,$Q$2)/$Q$2))</f>
        <v>5727.41514651885</v>
      </c>
      <c r="L313" s="15" t="n">
        <f aca="false">K313*(1+IF(L$3&lt;=$O$2,$D313,$D313-($D313-$I$292)*MIN(L$3-$O$2,$Q$2)/$Q$2))</f>
        <v>6052.69605682412</v>
      </c>
      <c r="M313" s="15" t="n">
        <f aca="false">L313*(1+IF(M$3&lt;=$O$2,$D313,$D313-($D313-$I$292)*MIN(M$3-$O$2,$Q$2)/$Q$2))</f>
        <v>6340.48258936397</v>
      </c>
      <c r="N313" s="15" t="n">
        <f aca="false">M313*(1+IF(N$3&lt;=$O$2,$D313,$D313-($D313-$I$292)*MIN(N$3-$O$2,$Q$2)/$Q$2))</f>
        <v>6583.32307253661</v>
      </c>
      <c r="O313" s="15" t="n">
        <f aca="false">SUMPRODUCT(E313:N313,1/(1+$F$292)^$E$3:$N$3)*$E$2</f>
        <v>17009.8447424525</v>
      </c>
      <c r="P313" s="15" t="n">
        <f aca="false">N313*$E$2*(1+$I$292)/($F$292-$I$292)/(1+$F$292)^$N$3</f>
        <v>29947.3183500473</v>
      </c>
      <c r="Q313" s="15" t="n">
        <f aca="false">O313+P313</f>
        <v>46957.1630924998</v>
      </c>
      <c r="R313" s="15" t="n">
        <f aca="false">Q313-$G$2+$I$2</f>
        <v>40769.8630924998</v>
      </c>
      <c r="S313" s="42" t="n">
        <f aca="false">R313/$K$2</f>
        <v>560.795915990368</v>
      </c>
      <c r="T313" s="43" t="n">
        <f aca="false">S313-$M$2</f>
        <v>-0.00188318432219603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0.0845341682434082</v>
      </c>
      <c r="C314" s="25" t="n">
        <f aca="false">IF(T313&gt;0,D313,C313)</f>
        <v>0.0845355987548828</v>
      </c>
      <c r="D314" s="41" t="n">
        <f aca="false">(B314+C314)/2</f>
        <v>0.0845348834991455</v>
      </c>
      <c r="E314" s="15" t="n">
        <f aca="false">$C$2*(1+IF(E$3&lt;=$O$2,$D314,$D314-($D314-$I$292)*MIN(E$3-$O$2,$Q$2)/$Q$2))</f>
        <v>3611.50116205215</v>
      </c>
      <c r="F314" s="15" t="n">
        <f aca="false">E314*(1+IF(F$3&lt;=$O$2,$D314,$D314-($D314-$I$292)*MIN(F$3-$O$2,$Q$2)/$Q$2))</f>
        <v>3916.79899204326</v>
      </c>
      <c r="G314" s="15" t="n">
        <f aca="false">F314*(1+IF(G$3&lt;=$O$2,$D314,$D314-($D314-$I$292)*MIN(G$3-$O$2,$Q$2)/$Q$2))</f>
        <v>4247.90513852521</v>
      </c>
      <c r="H314" s="15" t="n">
        <f aca="false">G314*(1+IF(H$3&lt;=$O$2,$D314,$D314-($D314-$I$292)*MIN(H$3-$O$2,$Q$2)/$Q$2))</f>
        <v>4607.00130452586</v>
      </c>
      <c r="I314" s="15" t="n">
        <f aca="false">H314*(1+IF(I$3&lt;=$O$2,$D314,$D314-($D314-$I$292)*MIN(I$3-$O$2,$Q$2)/$Q$2))</f>
        <v>4996.45362308437</v>
      </c>
      <c r="J314" s="15" t="n">
        <f aca="false">I314*(1+IF(J$3&lt;=$O$2,$D314,$D314-($D314-$I$292)*MIN(J$3-$O$2,$Q$2)/$Q$2))</f>
        <v>5372.62615778625</v>
      </c>
      <c r="K314" s="15" t="n">
        <f aca="false">J314*(1+IF(K$3&lt;=$O$2,$D314,$D314-($D314-$I$292)*MIN(K$3-$O$2,$Q$2)/$Q$2))</f>
        <v>5727.43938632329</v>
      </c>
      <c r="L314" s="15" t="n">
        <f aca="false">K314*(1+IF(L$3&lt;=$O$2,$D314,$D314-($D314-$I$292)*MIN(L$3-$O$2,$Q$2)/$Q$2))</f>
        <v>6052.7233119295</v>
      </c>
      <c r="M314" s="15" t="n">
        <f aca="false">L314*(1+IF(M$3&lt;=$O$2,$D314,$D314-($D314-$I$292)*MIN(M$3-$O$2,$Q$2)/$Q$2))</f>
        <v>6340.51200621232</v>
      </c>
      <c r="N314" s="15" t="n">
        <f aca="false">M314*(1+IF(N$3&lt;=$O$2,$D314,$D314-($D314-$I$292)*MIN(N$3-$O$2,$Q$2)/$Q$2))</f>
        <v>6583.35361605025</v>
      </c>
      <c r="O314" s="15" t="n">
        <f aca="false">SUMPRODUCT(E314:N314,1/(1+$F$292)^$E$3:$N$3)*$E$2</f>
        <v>17009.8976801536</v>
      </c>
      <c r="P314" s="15" t="n">
        <f aca="false">N314*$E$2*(1+$I$292)/($F$292-$I$292)/(1+$F$292)^$N$3</f>
        <v>29947.457291478</v>
      </c>
      <c r="Q314" s="15" t="n">
        <f aca="false">O314+P314</f>
        <v>46957.3549716317</v>
      </c>
      <c r="R314" s="15" t="n">
        <f aca="false">Q314-$G$2+$I$2</f>
        <v>40770.0549716316</v>
      </c>
      <c r="S314" s="42" t="n">
        <f aca="false">R314/$K$2</f>
        <v>560.798555318179</v>
      </c>
      <c r="T314" s="43" t="n">
        <f aca="false">S314-$M$2</f>
        <v>0.000756143488956695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0.0845341682434082</v>
      </c>
      <c r="C315" s="25" t="n">
        <f aca="false">IF(T314&gt;0,D314,C314)</f>
        <v>0.0845348834991455</v>
      </c>
      <c r="D315" s="41" t="n">
        <f aca="false">(B315+C315)/2</f>
        <v>0.0845345258712769</v>
      </c>
      <c r="E315" s="15" t="n">
        <f aca="false">$C$2*(1+IF(E$3&lt;=$O$2,$D315,$D315-($D315-$I$292)*MIN(E$3-$O$2,$Q$2)/$Q$2))</f>
        <v>3611.49997115135</v>
      </c>
      <c r="F315" s="15" t="n">
        <f aca="false">E315*(1+IF(F$3&lt;=$O$2,$D315,$D315-($D315-$I$292)*MIN(F$3-$O$2,$Q$2)/$Q$2))</f>
        <v>3916.79640889676</v>
      </c>
      <c r="G315" s="15" t="n">
        <f aca="false">F315*(1+IF(G$3&lt;=$O$2,$D315,$D315-($D315-$I$292)*MIN(G$3-$O$2,$Q$2)/$Q$2))</f>
        <v>4247.90093625717</v>
      </c>
      <c r="H315" s="15" t="n">
        <f aca="false">G315*(1+IF(H$3&lt;=$O$2,$D315,$D315-($D315-$I$292)*MIN(H$3-$O$2,$Q$2)/$Q$2))</f>
        <v>4606.99522785182</v>
      </c>
      <c r="I315" s="15" t="n">
        <f aca="false">H315*(1+IF(I$3&lt;=$O$2,$D315,$D315-($D315-$I$292)*MIN(I$3-$O$2,$Q$2)/$Q$2))</f>
        <v>4996.44538512951</v>
      </c>
      <c r="J315" s="15" t="n">
        <f aca="false">I315*(1+IF(J$3&lt;=$O$2,$D315,$D315-($D315-$I$292)*MIN(J$3-$O$2,$Q$2)/$Q$2))</f>
        <v>5372.61587011852</v>
      </c>
      <c r="K315" s="15" t="n">
        <f aca="false">J315*(1+IF(K$3&lt;=$O$2,$D315,$D315-($D315-$I$292)*MIN(K$3-$O$2,$Q$2)/$Q$2))</f>
        <v>5727.42726641012</v>
      </c>
      <c r="L315" s="15" t="n">
        <f aca="false">K315*(1+IF(L$3&lt;=$O$2,$D315,$D315-($D315-$I$292)*MIN(L$3-$O$2,$Q$2)/$Q$2))</f>
        <v>6052.70968436351</v>
      </c>
      <c r="M315" s="15" t="n">
        <f aca="false">L315*(1+IF(M$3&lt;=$O$2,$D315,$D315-($D315-$I$292)*MIN(M$3-$O$2,$Q$2)/$Q$2))</f>
        <v>6340.49729777324</v>
      </c>
      <c r="N315" s="15" t="n">
        <f aca="false">M315*(1+IF(N$3&lt;=$O$2,$D315,$D315-($D315-$I$292)*MIN(N$3-$O$2,$Q$2)/$Q$2))</f>
        <v>6583.33834427795</v>
      </c>
      <c r="O315" s="15" t="n">
        <f aca="false">SUMPRODUCT(E315:N315,1/(1+$F$292)^$E$3:$N$3)*$E$2</f>
        <v>17009.8712112825</v>
      </c>
      <c r="P315" s="15" t="n">
        <f aca="false">N315*$E$2*(1+$I$292)/($F$292-$I$292)/(1+$F$292)^$N$3</f>
        <v>29947.3878206922</v>
      </c>
      <c r="Q315" s="15" t="n">
        <f aca="false">O315+P315</f>
        <v>46957.2590319747</v>
      </c>
      <c r="R315" s="15" t="n">
        <f aca="false">Q315-$G$2+$I$2</f>
        <v>40769.9590319747</v>
      </c>
      <c r="S315" s="42" t="n">
        <f aca="false">R315/$K$2</f>
        <v>560.797235653022</v>
      </c>
      <c r="T315" s="43" t="n">
        <f aca="false">S315-$M$2</f>
        <v>-0.00056352166814122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0.0845345258712769</v>
      </c>
      <c r="C316" s="25" t="n">
        <f aca="false">IF(T315&gt;0,D315,C315)</f>
        <v>0.0845348834991455</v>
      </c>
      <c r="D316" s="41" t="n">
        <f aca="false">(B316+C316)/2</f>
        <v>0.0845347046852112</v>
      </c>
      <c r="E316" s="15" t="n">
        <f aca="false">$C$2*(1+IF(E$3&lt;=$O$2,$D316,$D316-($D316-$I$292)*MIN(E$3-$O$2,$Q$2)/$Q$2))</f>
        <v>3611.50056660175</v>
      </c>
      <c r="F316" s="15" t="n">
        <f aca="false">E316*(1+IF(F$3&lt;=$O$2,$D316,$D316-($D316-$I$292)*MIN(F$3-$O$2,$Q$2)/$Q$2))</f>
        <v>3916.79770046991</v>
      </c>
      <c r="G316" s="15" t="n">
        <f aca="false">F316*(1+IF(G$3&lt;=$O$2,$D316,$D316-($D316-$I$292)*MIN(G$3-$O$2,$Q$2)/$Q$2))</f>
        <v>4247.90303739084</v>
      </c>
      <c r="H316" s="15" t="n">
        <f aca="false">G316*(1+IF(H$3&lt;=$O$2,$D316,$D316-($D316-$I$292)*MIN(H$3-$O$2,$Q$2)/$Q$2))</f>
        <v>4606.99826618809</v>
      </c>
      <c r="I316" s="15" t="n">
        <f aca="false">H316*(1+IF(I$3&lt;=$O$2,$D316,$D316-($D316-$I$292)*MIN(I$3-$O$2,$Q$2)/$Q$2))</f>
        <v>4996.44950410558</v>
      </c>
      <c r="J316" s="15" t="n">
        <f aca="false">I316*(1+IF(J$3&lt;=$O$2,$D316,$D316-($D316-$I$292)*MIN(J$3-$O$2,$Q$2)/$Q$2))</f>
        <v>5372.62101395034</v>
      </c>
      <c r="K316" s="15" t="n">
        <f aca="false">J316*(1+IF(K$3&lt;=$O$2,$D316,$D316-($D316-$I$292)*MIN(K$3-$O$2,$Q$2)/$Q$2))</f>
        <v>5727.43332636397</v>
      </c>
      <c r="L316" s="15" t="n">
        <f aca="false">K316*(1+IF(L$3&lt;=$O$2,$D316,$D316-($D316-$I$292)*MIN(L$3-$O$2,$Q$2)/$Q$2))</f>
        <v>6052.71649814318</v>
      </c>
      <c r="M316" s="15" t="n">
        <f aca="false">L316*(1+IF(M$3&lt;=$O$2,$D316,$D316-($D316-$I$292)*MIN(M$3-$O$2,$Q$2)/$Q$2))</f>
        <v>6340.50465198905</v>
      </c>
      <c r="N316" s="15" t="n">
        <f aca="false">M316*(1+IF(N$3&lt;=$O$2,$D316,$D316-($D316-$I$292)*MIN(N$3-$O$2,$Q$2)/$Q$2))</f>
        <v>6583.34598016023</v>
      </c>
      <c r="O316" s="15" t="n">
        <f aca="false">SUMPRODUCT(E316:N316,1/(1+$F$292)^$E$3:$N$3)*$E$2</f>
        <v>17009.8844457129</v>
      </c>
      <c r="P316" s="15" t="n">
        <f aca="false">N316*$E$2*(1+$I$292)/($F$292-$I$292)/(1+$F$292)^$N$3</f>
        <v>29947.4225560675</v>
      </c>
      <c r="Q316" s="15" t="n">
        <f aca="false">O316+P316</f>
        <v>46957.3070017805</v>
      </c>
      <c r="R316" s="15" t="n">
        <f aca="false">Q316-$G$2+$I$2</f>
        <v>40770.0070017805</v>
      </c>
      <c r="S316" s="42" t="n">
        <f aca="false">R316/$K$2</f>
        <v>560.797895485288</v>
      </c>
      <c r="T316" s="43" t="n">
        <f aca="false">S316-$M$2</f>
        <v>9.63105977689338E-005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0.0845345258712769</v>
      </c>
      <c r="C317" s="25" t="n">
        <f aca="false">IF(T316&gt;0,D316,C316)</f>
        <v>0.0845347046852112</v>
      </c>
      <c r="D317" s="41" t="n">
        <f aca="false">(B317+C317)/2</f>
        <v>0.084534615278244</v>
      </c>
      <c r="E317" s="15" t="n">
        <f aca="false">$C$2*(1+IF(E$3&lt;=$O$2,$D317,$D317-($D317-$I$292)*MIN(E$3-$O$2,$Q$2)/$Q$2))</f>
        <v>3611.50026887655</v>
      </c>
      <c r="F317" s="15" t="n">
        <f aca="false">E317*(1+IF(F$3&lt;=$O$2,$D317,$D317-($D317-$I$292)*MIN(F$3-$O$2,$Q$2)/$Q$2))</f>
        <v>3916.79705468331</v>
      </c>
      <c r="G317" s="15" t="n">
        <f aca="false">F317*(1+IF(G$3&lt;=$O$2,$D317,$D317-($D317-$I$292)*MIN(G$3-$O$2,$Q$2)/$Q$2))</f>
        <v>4247.90198682392</v>
      </c>
      <c r="H317" s="15" t="n">
        <f aca="false">G317*(1+IF(H$3&lt;=$O$2,$D317,$D317-($D317-$I$292)*MIN(H$3-$O$2,$Q$2)/$Q$2))</f>
        <v>4606.99674701977</v>
      </c>
      <c r="I317" s="15" t="n">
        <f aca="false">H317*(1+IF(I$3&lt;=$O$2,$D317,$D317-($D317-$I$292)*MIN(I$3-$O$2,$Q$2)/$Q$2))</f>
        <v>4996.44744461721</v>
      </c>
      <c r="J317" s="15" t="n">
        <f aca="false">I317*(1+IF(J$3&lt;=$O$2,$D317,$D317-($D317-$I$292)*MIN(J$3-$O$2,$Q$2)/$Q$2))</f>
        <v>5372.61844203392</v>
      </c>
      <c r="K317" s="15" t="n">
        <f aca="false">J317*(1+IF(K$3&lt;=$O$2,$D317,$D317-($D317-$I$292)*MIN(K$3-$O$2,$Q$2)/$Q$2))</f>
        <v>5727.43029638636</v>
      </c>
      <c r="L317" s="15" t="n">
        <f aca="false">K317*(1+IF(L$3&lt;=$O$2,$D317,$D317-($D317-$I$292)*MIN(L$3-$O$2,$Q$2)/$Q$2))</f>
        <v>6052.71309125251</v>
      </c>
      <c r="M317" s="15" t="n">
        <f aca="false">L317*(1+IF(M$3&lt;=$O$2,$D317,$D317-($D317-$I$292)*MIN(M$3-$O$2,$Q$2)/$Q$2))</f>
        <v>6340.50097488021</v>
      </c>
      <c r="N317" s="15" t="n">
        <f aca="false">M317*(1+IF(N$3&lt;=$O$2,$D317,$D317-($D317-$I$292)*MIN(N$3-$O$2,$Q$2)/$Q$2))</f>
        <v>6583.34216221813</v>
      </c>
      <c r="O317" s="15" t="n">
        <f aca="false">SUMPRODUCT(E317:N317,1/(1+$F$292)^$E$3:$N$3)*$E$2</f>
        <v>17009.8778284964</v>
      </c>
      <c r="P317" s="15" t="n">
        <f aca="false">N317*$E$2*(1+$I$292)/($F$292-$I$292)/(1+$F$292)^$N$3</f>
        <v>29947.4051883755</v>
      </c>
      <c r="Q317" s="15" t="n">
        <f aca="false">O317+P317</f>
        <v>46957.2830168719</v>
      </c>
      <c r="R317" s="15" t="n">
        <f aca="false">Q317-$G$2+$I$2</f>
        <v>40769.9830168719</v>
      </c>
      <c r="S317" s="42" t="n">
        <f aca="false">R317/$K$2</f>
        <v>560.797565569077</v>
      </c>
      <c r="T317" s="43" t="n">
        <f aca="false">S317-$M$2</f>
        <v>-0.000233605613402688</v>
      </c>
    </row>
    <row r="319" customFormat="false" ht="15" hidden="false" customHeight="false" outlineLevel="0" collapsed="false">
      <c r="A319" s="38" t="s">
        <v>192</v>
      </c>
      <c r="E319" s="5" t="s">
        <v>11</v>
      </c>
      <c r="F319" s="12" t="n">
        <f aca="false">Sensitivity!$B$12</f>
        <v>0.0953306228759286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162</v>
      </c>
      <c r="B320" s="28" t="s">
        <v>163</v>
      </c>
      <c r="C320" s="28" t="s">
        <v>164</v>
      </c>
      <c r="D320" s="28" t="s">
        <v>165</v>
      </c>
      <c r="E320" s="28" t="s">
        <v>166</v>
      </c>
      <c r="F320" s="28" t="s">
        <v>167</v>
      </c>
      <c r="G320" s="28" t="s">
        <v>168</v>
      </c>
      <c r="H320" s="28" t="s">
        <v>169</v>
      </c>
      <c r="I320" s="28" t="s">
        <v>170</v>
      </c>
      <c r="J320" s="28" t="s">
        <v>171</v>
      </c>
      <c r="K320" s="28" t="s">
        <v>172</v>
      </c>
      <c r="L320" s="28" t="s">
        <v>173</v>
      </c>
      <c r="M320" s="28" t="s">
        <v>174</v>
      </c>
      <c r="N320" s="28" t="s">
        <v>175</v>
      </c>
      <c r="O320" s="28" t="s">
        <v>176</v>
      </c>
      <c r="P320" s="28" t="s">
        <v>177</v>
      </c>
      <c r="Q320" s="28" t="s">
        <v>178</v>
      </c>
      <c r="R320" s="28" t="s">
        <v>179</v>
      </c>
      <c r="S320" s="28" t="s">
        <v>180</v>
      </c>
      <c r="T320" s="28" t="s">
        <v>181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4162.5</v>
      </c>
      <c r="F321" s="15" t="n">
        <f aca="false">E321*(1+IF(F$3&lt;=$O$2,$D321,$D321-($D321-$I$319)*MIN(F$3-$O$2,$Q$2)/$Q$2))</f>
        <v>5203.125</v>
      </c>
      <c r="G321" s="15" t="n">
        <f aca="false">F321*(1+IF(G$3&lt;=$O$2,$D321,$D321-($D321-$I$319)*MIN(G$3-$O$2,$Q$2)/$Q$2))</f>
        <v>6503.90625</v>
      </c>
      <c r="H321" s="15" t="n">
        <f aca="false">G321*(1+IF(H$3&lt;=$O$2,$D321,$D321-($D321-$I$319)*MIN(H$3-$O$2,$Q$2)/$Q$2))</f>
        <v>8129.8828125</v>
      </c>
      <c r="I321" s="15" t="n">
        <f aca="false">H321*(1+IF(I$3&lt;=$O$2,$D321,$D321-($D321-$I$319)*MIN(I$3-$O$2,$Q$2)/$Q$2))</f>
        <v>10162.353515625</v>
      </c>
      <c r="J321" s="15" t="n">
        <f aca="false">I321*(1+IF(J$3&lt;=$O$2,$D321,$D321-($D321-$I$319)*MIN(J$3-$O$2,$Q$2)/$Q$2))</f>
        <v>12232.0184326172</v>
      </c>
      <c r="K321" s="15" t="n">
        <f aca="false">J321*(1+IF(K$3&lt;=$O$2,$D321,$D321-($D321-$I$319)*MIN(K$3-$O$2,$Q$2)/$Q$2))</f>
        <v>14156.3595724365</v>
      </c>
      <c r="L321" s="15" t="n">
        <f aca="false">K321*(1+IF(L$3&lt;=$O$2,$D321,$D321-($D321-$I$319)*MIN(L$3-$O$2,$Q$2)/$Q$2))</f>
        <v>15727.4323577855</v>
      </c>
      <c r="M321" s="15" t="n">
        <f aca="false">L321*(1+IF(M$3&lt;=$O$2,$D321,$D321-($D321-$I$319)*MIN(M$3-$O$2,$Q$2)/$Q$2))</f>
        <v>16744.0535853928</v>
      </c>
      <c r="N321" s="15" t="n">
        <f aca="false">M321*(1+IF(N$3&lt;=$O$2,$D321,$D321-($D321-$I$319)*MIN(N$3-$O$2,$Q$2)/$Q$2))</f>
        <v>17050.4697660055</v>
      </c>
      <c r="O321" s="15" t="n">
        <f aca="false">SUMPRODUCT(E321:N321,1/(1+$F$319)^$E$3:$N$3)*$E$2</f>
        <v>33330.4630423459</v>
      </c>
      <c r="P321" s="15" t="n">
        <f aca="false">N321*$E$2*(1+$I$319)/($F$319-$I$319)/(1+$F$319)^$N$3</f>
        <v>49082.5848521347</v>
      </c>
      <c r="Q321" s="15" t="n">
        <f aca="false">O321+P321</f>
        <v>82413.0478944806</v>
      </c>
      <c r="R321" s="15" t="n">
        <f aca="false">Q321-$G$2+$I$2</f>
        <v>76225.7478944806</v>
      </c>
      <c r="S321" s="42" t="n">
        <f aca="false">R321/$K$2</f>
        <v>1048.49722000661</v>
      </c>
      <c r="T321" s="43" t="n">
        <f aca="false">S321-$M$2</f>
        <v>487.69942083192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2913.75</v>
      </c>
      <c r="F322" s="15" t="n">
        <f aca="false">E322*(1+IF(F$3&lt;=$O$2,$D322,$D322-($D322-$I$319)*MIN(F$3-$O$2,$Q$2)/$Q$2))</f>
        <v>2549.53125</v>
      </c>
      <c r="G322" s="15" t="n">
        <f aca="false">F322*(1+IF(G$3&lt;=$O$2,$D322,$D322-($D322-$I$319)*MIN(G$3-$O$2,$Q$2)/$Q$2))</f>
        <v>2230.83984375</v>
      </c>
      <c r="H322" s="15" t="n">
        <f aca="false">G322*(1+IF(H$3&lt;=$O$2,$D322,$D322-($D322-$I$319)*MIN(H$3-$O$2,$Q$2)/$Q$2))</f>
        <v>1951.98486328125</v>
      </c>
      <c r="I322" s="15" t="n">
        <f aca="false">H322*(1+IF(I$3&lt;=$O$2,$D322,$D322-($D322-$I$319)*MIN(I$3-$O$2,$Q$2)/$Q$2))</f>
        <v>1707.98675537109</v>
      </c>
      <c r="J322" s="15" t="n">
        <f aca="false">I322*(1+IF(J$3&lt;=$O$2,$D322,$D322-($D322-$I$319)*MIN(J$3-$O$2,$Q$2)/$Q$2))</f>
        <v>1543.43931135864</v>
      </c>
      <c r="K322" s="15" t="n">
        <f aca="false">J322*(1+IF(K$3&lt;=$O$2,$D322,$D322-($D322-$I$319)*MIN(K$3-$O$2,$Q$2)/$Q$2))</f>
        <v>1438.97933876589</v>
      </c>
      <c r="L322" s="15" t="n">
        <f aca="false">K322*(1+IF(L$3&lt;=$O$2,$D322,$D322-($D322-$I$319)*MIN(L$3-$O$2,$Q$2)/$Q$2))</f>
        <v>1382.83036496724</v>
      </c>
      <c r="M322" s="15" t="n">
        <f aca="false">L322*(1+IF(M$3&lt;=$O$2,$D322,$D322-($D322-$I$319)*MIN(M$3-$O$2,$Q$2)/$Q$2))</f>
        <v>1368.50424238618</v>
      </c>
      <c r="N322" s="15" t="n">
        <f aca="false">M322*(1+IF(N$3&lt;=$O$2,$D322,$D322-($D322-$I$319)*MIN(N$3-$O$2,$Q$2)/$Q$2))</f>
        <v>1393.54787002185</v>
      </c>
      <c r="O322" s="15" t="n">
        <f aca="false">SUMPRODUCT(E322:N322,1/(1+$F$319)^$E$3:$N$3)*$E$2</f>
        <v>6716.24255787017</v>
      </c>
      <c r="P322" s="15" t="n">
        <f aca="false">N322*$E$2*(1+$I$319)/($F$319-$I$319)/(1+$F$319)^$N$3</f>
        <v>4011.55701365073</v>
      </c>
      <c r="Q322" s="15" t="n">
        <f aca="false">O322+P322</f>
        <v>10727.7995715209</v>
      </c>
      <c r="R322" s="15" t="n">
        <f aca="false">Q322-$G$2+$I$2</f>
        <v>4540.4995715209</v>
      </c>
      <c r="S322" s="42" t="n">
        <f aca="false">R322/$K$2</f>
        <v>62.4552898421032</v>
      </c>
      <c r="T322" s="43" t="n">
        <f aca="false">S322-$M$2</f>
        <v>-498.342509332587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3538.125</v>
      </c>
      <c r="F323" s="15" t="n">
        <f aca="false">E323*(1+IF(F$3&lt;=$O$2,$D323,$D323-($D323-$I$319)*MIN(F$3-$O$2,$Q$2)/$Q$2))</f>
        <v>3759.2578125</v>
      </c>
      <c r="G323" s="15" t="n">
        <f aca="false">F323*(1+IF(G$3&lt;=$O$2,$D323,$D323-($D323-$I$319)*MIN(G$3-$O$2,$Q$2)/$Q$2))</f>
        <v>3994.21142578125</v>
      </c>
      <c r="H323" s="15" t="n">
        <f aca="false">G323*(1+IF(H$3&lt;=$O$2,$D323,$D323-($D323-$I$319)*MIN(H$3-$O$2,$Q$2)/$Q$2))</f>
        <v>4243.84963989258</v>
      </c>
      <c r="I323" s="15" t="n">
        <f aca="false">H323*(1+IF(I$3&lt;=$O$2,$D323,$D323-($D323-$I$319)*MIN(I$3-$O$2,$Q$2)/$Q$2))</f>
        <v>4509.09024238586</v>
      </c>
      <c r="J323" s="15" t="n">
        <f aca="false">I323*(1+IF(J$3&lt;=$O$2,$D323,$D323-($D323-$I$319)*MIN(J$3-$O$2,$Q$2)/$Q$2))</f>
        <v>4751.04802479229</v>
      </c>
      <c r="K323" s="15" t="n">
        <f aca="false">J323*(1+IF(K$3&lt;=$O$2,$D323,$D323-($D323-$I$319)*MIN(K$3-$O$2,$Q$2)/$Q$2))</f>
        <v>4963.98999726348</v>
      </c>
      <c r="L323" s="15" t="n">
        <f aca="false">K323*(1+IF(L$3&lt;=$O$2,$D323,$D323-($D323-$I$319)*MIN(L$3-$O$2,$Q$2)/$Q$2))</f>
        <v>5142.59435736502</v>
      </c>
      <c r="M323" s="15" t="n">
        <f aca="false">L323*(1+IF(M$3&lt;=$O$2,$D323,$D323-($D323-$I$319)*MIN(M$3-$O$2,$Q$2)/$Q$2))</f>
        <v>5282.16436822391</v>
      </c>
      <c r="N323" s="15" t="n">
        <f aca="false">M323*(1+IF(N$3&lt;=$O$2,$D323,$D323-($D323-$I$319)*MIN(N$3-$O$2,$Q$2)/$Q$2))</f>
        <v>5378.8279761624</v>
      </c>
      <c r="O323" s="15" t="n">
        <f aca="false">SUMPRODUCT(E323:N323,1/(1+$F$319)^$E$3:$N$3)*$E$2</f>
        <v>14918.2032280587</v>
      </c>
      <c r="P323" s="15" t="n">
        <f aca="false">N323*$E$2*(1+$I$319)/($F$319-$I$319)/(1+$F$319)^$N$3</f>
        <v>15483.8420388506</v>
      </c>
      <c r="Q323" s="15" t="n">
        <f aca="false">O323+P323</f>
        <v>30402.0452669093</v>
      </c>
      <c r="R323" s="15" t="n">
        <f aca="false">Q323-$G$2+$I$2</f>
        <v>24214.7452669093</v>
      </c>
      <c r="S323" s="42" t="n">
        <f aca="false">R323/$K$2</f>
        <v>333.077651539331</v>
      </c>
      <c r="T323" s="43" t="n">
        <f aca="false">S323-$M$2</f>
        <v>-227.72014763536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3850.3125</v>
      </c>
      <c r="F324" s="15" t="n">
        <f aca="false">E324*(1+IF(F$3&lt;=$O$2,$D324,$D324-($D324-$I$319)*MIN(F$3-$O$2,$Q$2)/$Q$2))</f>
        <v>4451.923828125</v>
      </c>
      <c r="G324" s="15" t="n">
        <f aca="false">F324*(1+IF(G$3&lt;=$O$2,$D324,$D324-($D324-$I$319)*MIN(G$3-$O$2,$Q$2)/$Q$2))</f>
        <v>5147.53692626953</v>
      </c>
      <c r="H324" s="15" t="n">
        <f aca="false">G324*(1+IF(H$3&lt;=$O$2,$D324,$D324-($D324-$I$319)*MIN(H$3-$O$2,$Q$2)/$Q$2))</f>
        <v>5951.83957099915</v>
      </c>
      <c r="I324" s="15" t="n">
        <f aca="false">H324*(1+IF(I$3&lt;=$O$2,$D324,$D324-($D324-$I$319)*MIN(I$3-$O$2,$Q$2)/$Q$2))</f>
        <v>6881.81450396776</v>
      </c>
      <c r="J324" s="15" t="n">
        <f aca="false">I324*(1+IF(J$3&lt;=$O$2,$D324,$D324-($D324-$I$319)*MIN(J$3-$O$2,$Q$2)/$Q$2))</f>
        <v>7767.22875804825</v>
      </c>
      <c r="K324" s="15" t="n">
        <f aca="false">J324*(1+IF(K$3&lt;=$O$2,$D324,$D324-($D324-$I$319)*MIN(K$3-$O$2,$Q$2)/$Q$2))</f>
        <v>8552.26256862419</v>
      </c>
      <c r="L324" s="15" t="n">
        <f aca="false">K324*(1+IF(L$3&lt;=$O$2,$D324,$D324-($D324-$I$319)*MIN(L$3-$O$2,$Q$2)/$Q$2))</f>
        <v>9180.6828221667</v>
      </c>
      <c r="M324" s="15" t="n">
        <f aca="false">L324*(1+IF(M$3&lt;=$O$2,$D324,$D324-($D324-$I$319)*MIN(M$3-$O$2,$Q$2)/$Q$2))</f>
        <v>9601.98435687593</v>
      </c>
      <c r="N324" s="15" t="n">
        <f aca="false">M324*(1+IF(N$3&lt;=$O$2,$D324,$D324-($D324-$I$319)*MIN(N$3-$O$2,$Q$2)/$Q$2))</f>
        <v>9777.70067060676</v>
      </c>
      <c r="O324" s="15" t="n">
        <f aca="false">SUMPRODUCT(E324:N324,1/(1+$F$319)^$E$3:$N$3)*$E$2</f>
        <v>22332.4397621593</v>
      </c>
      <c r="P324" s="15" t="n">
        <f aca="false">N324*$E$2*(1+$I$319)/($F$319-$I$319)/(1+$F$319)^$N$3</f>
        <v>28146.7214340724</v>
      </c>
      <c r="Q324" s="15" t="n">
        <f aca="false">O324+P324</f>
        <v>50479.1611962317</v>
      </c>
      <c r="R324" s="15" t="n">
        <f aca="false">Q324-$G$2+$I$2</f>
        <v>44291.8611962317</v>
      </c>
      <c r="S324" s="42" t="n">
        <f aca="false">R324/$K$2</f>
        <v>609.241557032073</v>
      </c>
      <c r="T324" s="43" t="n">
        <f aca="false">S324-$M$2</f>
        <v>48.4437578573827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3694.21875</v>
      </c>
      <c r="F325" s="15" t="n">
        <f aca="false">E325*(1+IF(F$3&lt;=$O$2,$D325,$D325-($D325-$I$319)*MIN(F$3-$O$2,$Q$2)/$Q$2))</f>
        <v>4098.27392578125</v>
      </c>
      <c r="G325" s="15" t="n">
        <f aca="false">F325*(1+IF(G$3&lt;=$O$2,$D325,$D325-($D325-$I$319)*MIN(G$3-$O$2,$Q$2)/$Q$2))</f>
        <v>4546.52263641357</v>
      </c>
      <c r="H325" s="15" t="n">
        <f aca="false">G325*(1+IF(H$3&lt;=$O$2,$D325,$D325-($D325-$I$319)*MIN(H$3-$O$2,$Q$2)/$Q$2))</f>
        <v>5043.79854977131</v>
      </c>
      <c r="I325" s="15" t="n">
        <f aca="false">H325*(1+IF(I$3&lt;=$O$2,$D325,$D325-($D325-$I$319)*MIN(I$3-$O$2,$Q$2)/$Q$2))</f>
        <v>5595.46401615255</v>
      </c>
      <c r="J325" s="15" t="n">
        <f aca="false">I325*(1+IF(J$3&lt;=$O$2,$D325,$D325-($D325-$I$319)*MIN(J$3-$O$2,$Q$2)/$Q$2))</f>
        <v>6105.54651586501</v>
      </c>
      <c r="K325" s="15" t="n">
        <f aca="false">J325*(1+IF(K$3&lt;=$O$2,$D325,$D325-($D325-$I$319)*MIN(K$3-$O$2,$Q$2)/$Q$2))</f>
        <v>6550.91560646479</v>
      </c>
      <c r="L325" s="15" t="n">
        <f aca="false">K325*(1+IF(L$3&lt;=$O$2,$D325,$D325-($D325-$I$319)*MIN(L$3-$O$2,$Q$2)/$Q$2))</f>
        <v>6909.4472176066</v>
      </c>
      <c r="M325" s="15" t="n">
        <f aca="false">L325*(1+IF(M$3&lt;=$O$2,$D325,$D325-($D325-$I$319)*MIN(M$3-$O$2,$Q$2)/$Q$2))</f>
        <v>7161.74568275751</v>
      </c>
      <c r="N325" s="15" t="n">
        <f aca="false">M325*(1+IF(N$3&lt;=$O$2,$D325,$D325-($D325-$I$319)*MIN(N$3-$O$2,$Q$2)/$Q$2))</f>
        <v>7292.80562875197</v>
      </c>
      <c r="O325" s="15" t="n">
        <f aca="false">SUMPRODUCT(E325:N325,1/(1+$F$319)^$E$3:$N$3)*$E$2</f>
        <v>18254.9861798929</v>
      </c>
      <c r="P325" s="15" t="n">
        <f aca="false">N325*$E$2*(1+$I$319)/($F$319-$I$319)/(1+$F$319)^$N$3</f>
        <v>20993.5418786531</v>
      </c>
      <c r="Q325" s="15" t="n">
        <f aca="false">O325+P325</f>
        <v>39248.528058546</v>
      </c>
      <c r="R325" s="15" t="n">
        <f aca="false">Q325-$G$2+$I$2</f>
        <v>33061.228058546</v>
      </c>
      <c r="S325" s="42" t="n">
        <f aca="false">R325/$K$2</f>
        <v>454.762421713149</v>
      </c>
      <c r="T325" s="43" t="n">
        <f aca="false">S325-$M$2</f>
        <v>-106.035377461541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0.109375</v>
      </c>
      <c r="C326" s="25" t="n">
        <f aca="false">IF(T325&gt;0,D325,C325)</f>
        <v>0.15625</v>
      </c>
      <c r="D326" s="41" t="n">
        <f aca="false">(B326+C326)/2</f>
        <v>0.1328125</v>
      </c>
      <c r="E326" s="15" t="n">
        <f aca="false">$C$2*(1+IF(E$3&lt;=$O$2,$D326,$D326-($D326-$I$319)*MIN(E$3-$O$2,$Q$2)/$Q$2))</f>
        <v>3772.265625</v>
      </c>
      <c r="F326" s="15" t="n">
        <f aca="false">E326*(1+IF(F$3&lt;=$O$2,$D326,$D326-($D326-$I$319)*MIN(F$3-$O$2,$Q$2)/$Q$2))</f>
        <v>4273.26965332031</v>
      </c>
      <c r="G326" s="15" t="n">
        <f aca="false">F326*(1+IF(G$3&lt;=$O$2,$D326,$D326-($D326-$I$319)*MIN(G$3-$O$2,$Q$2)/$Q$2))</f>
        <v>4840.81327915192</v>
      </c>
      <c r="H326" s="15" t="n">
        <f aca="false">G326*(1+IF(H$3&lt;=$O$2,$D326,$D326-($D326-$I$319)*MIN(H$3-$O$2,$Q$2)/$Q$2))</f>
        <v>5483.73379278928</v>
      </c>
      <c r="I326" s="15" t="n">
        <f aca="false">H326*(1+IF(I$3&lt;=$O$2,$D326,$D326-($D326-$I$319)*MIN(I$3-$O$2,$Q$2)/$Q$2))</f>
        <v>6212.04218714411</v>
      </c>
      <c r="J326" s="15" t="n">
        <f aca="false">I326*(1+IF(J$3&lt;=$O$2,$D326,$D326-($D326-$I$319)*MIN(J$3-$O$2,$Q$2)/$Q$2))</f>
        <v>6894.80774393312</v>
      </c>
      <c r="K326" s="15" t="n">
        <f aca="false">J326*(1+IF(K$3&lt;=$O$2,$D326,$D326-($D326-$I$319)*MIN(K$3-$O$2,$Q$2)/$Q$2))</f>
        <v>7494.70772871338</v>
      </c>
      <c r="L326" s="15" t="n">
        <f aca="false">K326*(1+IF(L$3&lt;=$O$2,$D326,$D326-($D326-$I$319)*MIN(L$3-$O$2,$Q$2)/$Q$2))</f>
        <v>7975.15596766255</v>
      </c>
      <c r="M326" s="15" t="n">
        <f aca="false">L326*(1+IF(M$3&lt;=$O$2,$D326,$D326-($D326-$I$319)*MIN(M$3-$O$2,$Q$2)/$Q$2))</f>
        <v>8303.75233142016</v>
      </c>
      <c r="N326" s="15" t="n">
        <f aca="false">M326*(1+IF(N$3&lt;=$O$2,$D326,$D326-($D326-$I$319)*MIN(N$3-$O$2,$Q$2)/$Q$2))</f>
        <v>8455.71099908515</v>
      </c>
      <c r="O326" s="15" t="n">
        <f aca="false">SUMPRODUCT(E326:N326,1/(1+$F$319)^$E$3:$N$3)*$E$2</f>
        <v>20192.3716879401</v>
      </c>
      <c r="P326" s="15" t="n">
        <f aca="false">N326*$E$2*(1+$I$319)/($F$319-$I$319)/(1+$F$319)^$N$3</f>
        <v>24341.1564779987</v>
      </c>
      <c r="Q326" s="15" t="n">
        <f aca="false">O326+P326</f>
        <v>44533.5281659388</v>
      </c>
      <c r="R326" s="15" t="n">
        <f aca="false">Q326-$G$2+$I$2</f>
        <v>38346.2281659388</v>
      </c>
      <c r="S326" s="42" t="n">
        <f aca="false">R326/$K$2</f>
        <v>527.458434194481</v>
      </c>
      <c r="T326" s="43" t="n">
        <f aca="false">S326-$M$2</f>
        <v>-33.3393649802091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0.1328125</v>
      </c>
      <c r="C327" s="25" t="n">
        <f aca="false">IF(T326&gt;0,D326,C326)</f>
        <v>0.15625</v>
      </c>
      <c r="D327" s="41" t="n">
        <f aca="false">(B327+C327)/2</f>
        <v>0.14453125</v>
      </c>
      <c r="E327" s="15" t="n">
        <f aca="false">$C$2*(1+IF(E$3&lt;=$O$2,$D327,$D327-($D327-$I$319)*MIN(E$3-$O$2,$Q$2)/$Q$2))</f>
        <v>3811.2890625</v>
      </c>
      <c r="F327" s="15" t="n">
        <f aca="false">E327*(1+IF(F$3&lt;=$O$2,$D327,$D327-($D327-$I$319)*MIN(F$3-$O$2,$Q$2)/$Q$2))</f>
        <v>4362.13943481445</v>
      </c>
      <c r="G327" s="15" t="n">
        <f aca="false">F327*(1+IF(G$3&lt;=$O$2,$D327,$D327-($D327-$I$319)*MIN(G$3-$O$2,$Q$2)/$Q$2))</f>
        <v>4992.60490000248</v>
      </c>
      <c r="H327" s="15" t="n">
        <f aca="false">G327*(1+IF(H$3&lt;=$O$2,$D327,$D327-($D327-$I$319)*MIN(H$3-$O$2,$Q$2)/$Q$2))</f>
        <v>5714.19232695596</v>
      </c>
      <c r="I327" s="15" t="n">
        <f aca="false">H327*(1+IF(I$3&lt;=$O$2,$D327,$D327-($D327-$I$319)*MIN(I$3-$O$2,$Q$2)/$Q$2))</f>
        <v>6540.07168671132</v>
      </c>
      <c r="J327" s="15" t="n">
        <f aca="false">I327*(1+IF(J$3&lt;=$O$2,$D327,$D327-($D327-$I$319)*MIN(J$3-$O$2,$Q$2)/$Q$2))</f>
        <v>7320.20413786068</v>
      </c>
      <c r="K327" s="15" t="n">
        <f aca="false">J327*(1+IF(K$3&lt;=$O$2,$D327,$D327-($D327-$I$319)*MIN(K$3-$O$2,$Q$2)/$Q$2))</f>
        <v>8008.58698472992</v>
      </c>
      <c r="L327" s="15" t="n">
        <f aca="false">K327*(1+IF(L$3&lt;=$O$2,$D327,$D327-($D327-$I$319)*MIN(L$3-$O$2,$Q$2)/$Q$2))</f>
        <v>8559.51770487696</v>
      </c>
      <c r="M327" s="15" t="n">
        <f aca="false">L327*(1+IF(M$3&lt;=$O$2,$D327,$D327-($D327-$I$319)*MIN(M$3-$O$2,$Q$2)/$Q$2))</f>
        <v>8932.25260273295</v>
      </c>
      <c r="N327" s="15" t="n">
        <f aca="false">M327*(1+IF(N$3&lt;=$O$2,$D327,$D327-($D327-$I$319)*MIN(N$3-$O$2,$Q$2)/$Q$2))</f>
        <v>9095.71282536297</v>
      </c>
      <c r="O327" s="15" t="n">
        <f aca="false">SUMPRODUCT(E327:N327,1/(1+$F$319)^$E$3:$N$3)*$E$2</f>
        <v>21235.8976843942</v>
      </c>
      <c r="P327" s="15" t="n">
        <f aca="false">N327*$E$2*(1+$I$319)/($F$319-$I$319)/(1+$F$319)^$N$3</f>
        <v>26183.5071214063</v>
      </c>
      <c r="Q327" s="15" t="n">
        <f aca="false">O327+P327</f>
        <v>47419.4048058005</v>
      </c>
      <c r="R327" s="15" t="n">
        <f aca="false">Q327-$G$2+$I$2</f>
        <v>41232.1048058005</v>
      </c>
      <c r="S327" s="42" t="n">
        <f aca="false">R327/$K$2</f>
        <v>567.15412387621</v>
      </c>
      <c r="T327" s="43" t="n">
        <f aca="false">S327-$M$2</f>
        <v>6.35632470151961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0.1328125</v>
      </c>
      <c r="C328" s="25" t="n">
        <f aca="false">IF(T327&gt;0,D327,C327)</f>
        <v>0.14453125</v>
      </c>
      <c r="D328" s="41" t="n">
        <f aca="false">(B328+C328)/2</f>
        <v>0.138671875</v>
      </c>
      <c r="E328" s="15" t="n">
        <f aca="false">$C$2*(1+IF(E$3&lt;=$O$2,$D328,$D328-($D328-$I$319)*MIN(E$3-$O$2,$Q$2)/$Q$2))</f>
        <v>3791.77734375</v>
      </c>
      <c r="F328" s="15" t="n">
        <f aca="false">E328*(1+IF(F$3&lt;=$O$2,$D328,$D328-($D328-$I$319)*MIN(F$3-$O$2,$Q$2)/$Q$2))</f>
        <v>4317.59021759033</v>
      </c>
      <c r="G328" s="15" t="n">
        <f aca="false">F328*(1+IF(G$3&lt;=$O$2,$D328,$D328-($D328-$I$319)*MIN(G$3-$O$2,$Q$2)/$Q$2))</f>
        <v>4916.31854854524</v>
      </c>
      <c r="H328" s="15" t="n">
        <f aca="false">G328*(1+IF(H$3&lt;=$O$2,$D328,$D328-($D328-$I$319)*MIN(H$3-$O$2,$Q$2)/$Q$2))</f>
        <v>5598.07365976929</v>
      </c>
      <c r="I328" s="15" t="n">
        <f aca="false">H328*(1+IF(I$3&lt;=$O$2,$D328,$D328-($D328-$I$319)*MIN(I$3-$O$2,$Q$2)/$Q$2))</f>
        <v>6374.36903055761</v>
      </c>
      <c r="J328" s="15" t="n">
        <f aca="false">I328*(1+IF(J$3&lt;=$O$2,$D328,$D328-($D328-$I$319)*MIN(J$3-$O$2,$Q$2)/$Q$2))</f>
        <v>7104.85578553693</v>
      </c>
      <c r="K328" s="15" t="n">
        <f aca="false">J328*(1+IF(K$3&lt;=$O$2,$D328,$D328-($D328-$I$319)*MIN(K$3-$O$2,$Q$2)/$Q$2))</f>
        <v>7748.00953391807</v>
      </c>
      <c r="L328" s="15" t="n">
        <f aca="false">K328*(1+IF(L$3&lt;=$O$2,$D328,$D328-($D328-$I$319)*MIN(L$3-$O$2,$Q$2)/$Q$2))</f>
        <v>8262.855082435</v>
      </c>
      <c r="M328" s="15" t="n">
        <f aca="false">L328*(1+IF(M$3&lt;=$O$2,$D328,$D328-($D328-$I$319)*MIN(M$3-$O$2,$Q$2)/$Q$2))</f>
        <v>8612.98840226876</v>
      </c>
      <c r="N328" s="15" t="n">
        <f aca="false">M328*(1+IF(N$3&lt;=$O$2,$D328,$D328-($D328-$I$319)*MIN(N$3-$O$2,$Q$2)/$Q$2))</f>
        <v>8770.60609003028</v>
      </c>
      <c r="O328" s="15" t="n">
        <f aca="false">SUMPRODUCT(E328:N328,1/(1+$F$319)^$E$3:$N$3)*$E$2</f>
        <v>20707.6578999496</v>
      </c>
      <c r="P328" s="15" t="n">
        <f aca="false">N328*$E$2*(1+$I$319)/($F$319-$I$319)/(1+$F$319)^$N$3</f>
        <v>25247.633849763</v>
      </c>
      <c r="Q328" s="15" t="n">
        <f aca="false">O328+P328</f>
        <v>45955.2917497126</v>
      </c>
      <c r="R328" s="15" t="n">
        <f aca="false">Q328-$G$2+$I$2</f>
        <v>39767.9917497126</v>
      </c>
      <c r="S328" s="42" t="n">
        <f aca="false">R328/$K$2</f>
        <v>547.015017189994</v>
      </c>
      <c r="T328" s="43" t="n">
        <f aca="false">S328-$M$2</f>
        <v>-13.7827819846964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0.138671875</v>
      </c>
      <c r="C329" s="25" t="n">
        <f aca="false">IF(T328&gt;0,D328,C328)</f>
        <v>0.14453125</v>
      </c>
      <c r="D329" s="41" t="n">
        <f aca="false">(B329+C329)/2</f>
        <v>0.1416015625</v>
      </c>
      <c r="E329" s="15" t="n">
        <f aca="false">$C$2*(1+IF(E$3&lt;=$O$2,$D329,$D329-($D329-$I$319)*MIN(E$3-$O$2,$Q$2)/$Q$2))</f>
        <v>3801.533203125</v>
      </c>
      <c r="F329" s="15" t="n">
        <f aca="false">E329*(1+IF(F$3&lt;=$O$2,$D329,$D329-($D329-$I$319)*MIN(F$3-$O$2,$Q$2)/$Q$2))</f>
        <v>4339.83624458313</v>
      </c>
      <c r="G329" s="15" t="n">
        <f aca="false">F329*(1+IF(G$3&lt;=$O$2,$D329,$D329-($D329-$I$319)*MIN(G$3-$O$2,$Q$2)/$Q$2))</f>
        <v>4954.36383781023</v>
      </c>
      <c r="H329" s="15" t="n">
        <f aca="false">G329*(1+IF(H$3&lt;=$O$2,$D329,$D329-($D329-$I$319)*MIN(H$3-$O$2,$Q$2)/$Q$2))</f>
        <v>5655.90949843766</v>
      </c>
      <c r="I329" s="15" t="n">
        <f aca="false">H329*(1+IF(I$3&lt;=$O$2,$D329,$D329-($D329-$I$319)*MIN(I$3-$O$2,$Q$2)/$Q$2))</f>
        <v>6456.79512077502</v>
      </c>
      <c r="J329" s="15" t="n">
        <f aca="false">I329*(1+IF(J$3&lt;=$O$2,$D329,$D329-($D329-$I$319)*MIN(J$3-$O$2,$Q$2)/$Q$2))</f>
        <v>7211.86081319236</v>
      </c>
      <c r="K329" s="15" t="n">
        <f aca="false">J329*(1+IF(K$3&lt;=$O$2,$D329,$D329-($D329-$I$319)*MIN(K$3-$O$2,$Q$2)/$Q$2))</f>
        <v>7877.37809015326</v>
      </c>
      <c r="L329" s="15" t="n">
        <f aca="false">K329*(1+IF(L$3&lt;=$O$2,$D329,$D329-($D329-$I$319)*MIN(L$3-$O$2,$Q$2)/$Q$2))</f>
        <v>8410.05131997073</v>
      </c>
      <c r="M329" s="15" t="n">
        <f aca="false">L329*(1+IF(M$3&lt;=$O$2,$D329,$D329-($D329-$I$319)*MIN(M$3-$O$2,$Q$2)/$Q$2))</f>
        <v>8771.34975281771</v>
      </c>
      <c r="N329" s="15" t="n">
        <f aca="false">M329*(1+IF(N$3&lt;=$O$2,$D329,$D329-($D329-$I$319)*MIN(N$3-$O$2,$Q$2)/$Q$2))</f>
        <v>8931.86545329427</v>
      </c>
      <c r="O329" s="15" t="n">
        <f aca="false">SUMPRODUCT(E329:N329,1/(1+$F$319)^$E$3:$N$3)*$E$2</f>
        <v>20970.1400488313</v>
      </c>
      <c r="P329" s="15" t="n">
        <f aca="false">N329*$E$2*(1+$I$319)/($F$319-$I$319)/(1+$F$319)^$N$3</f>
        <v>25711.8454808341</v>
      </c>
      <c r="Q329" s="15" t="n">
        <f aca="false">O329+P329</f>
        <v>46681.9855296654</v>
      </c>
      <c r="R329" s="15" t="n">
        <f aca="false">Q329-$G$2+$I$2</f>
        <v>40494.6855296653</v>
      </c>
      <c r="S329" s="42" t="n">
        <f aca="false">R329/$K$2</f>
        <v>557.010805084805</v>
      </c>
      <c r="T329" s="43" t="n">
        <f aca="false">S329-$M$2</f>
        <v>-3.78699408988518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0.1416015625</v>
      </c>
      <c r="C330" s="25" t="n">
        <f aca="false">IF(T329&gt;0,D329,C329)</f>
        <v>0.14453125</v>
      </c>
      <c r="D330" s="41" t="n">
        <f aca="false">(B330+C330)/2</f>
        <v>0.14306640625</v>
      </c>
      <c r="E330" s="15" t="n">
        <f aca="false">$C$2*(1+IF(E$3&lt;=$O$2,$D330,$D330-($D330-$I$319)*MIN(E$3-$O$2,$Q$2)/$Q$2))</f>
        <v>3806.4111328125</v>
      </c>
      <c r="F330" s="15" t="n">
        <f aca="false">E330*(1+IF(F$3&lt;=$O$2,$D330,$D330-($D330-$I$319)*MIN(F$3-$O$2,$Q$2)/$Q$2))</f>
        <v>4350.98069429398</v>
      </c>
      <c r="G330" s="15" t="n">
        <f aca="false">F330*(1+IF(G$3&lt;=$O$2,$D330,$D330-($D330-$I$319)*MIN(G$3-$O$2,$Q$2)/$Q$2))</f>
        <v>4973.45986588975</v>
      </c>
      <c r="H330" s="15" t="n">
        <f aca="false">G330*(1+IF(H$3&lt;=$O$2,$D330,$D330-($D330-$I$319)*MIN(H$3-$O$2,$Q$2)/$Q$2))</f>
        <v>5684.9948955312</v>
      </c>
      <c r="I330" s="15" t="n">
        <f aca="false">H330*(1+IF(I$3&lt;=$O$2,$D330,$D330-($D330-$I$319)*MIN(I$3-$O$2,$Q$2)/$Q$2))</f>
        <v>6498.32668478444</v>
      </c>
      <c r="J330" s="15" t="n">
        <f aca="false">I330*(1+IF(J$3&lt;=$O$2,$D330,$D330-($D330-$I$319)*MIN(J$3-$O$2,$Q$2)/$Q$2))</f>
        <v>7265.86435679522</v>
      </c>
      <c r="K330" s="15" t="n">
        <f aca="false">J330*(1+IF(K$3&lt;=$O$2,$D330,$D330-($D330-$I$319)*MIN(K$3-$O$2,$Q$2)/$Q$2))</f>
        <v>7942.75114498296</v>
      </c>
      <c r="L330" s="15" t="n">
        <f aca="false">K330*(1+IF(L$3&lt;=$O$2,$D330,$D330-($D330-$I$319)*MIN(L$3-$O$2,$Q$2)/$Q$2))</f>
        <v>8484.49889737518</v>
      </c>
      <c r="M330" s="15" t="n">
        <f aca="false">L330*(1+IF(M$3&lt;=$O$2,$D330,$D330-($D330-$I$319)*MIN(M$3-$O$2,$Q$2)/$Q$2))</f>
        <v>8851.48131444867</v>
      </c>
      <c r="N330" s="15" t="n">
        <f aca="false">M330*(1+IF(N$3&lt;=$O$2,$D330,$D330-($D330-$I$319)*MIN(N$3-$O$2,$Q$2)/$Q$2))</f>
        <v>9013.46342250308</v>
      </c>
      <c r="O330" s="15" t="n">
        <f aca="false">SUMPRODUCT(E330:N330,1/(1+$F$319)^$E$3:$N$3)*$E$2</f>
        <v>21102.6070923467</v>
      </c>
      <c r="P330" s="15" t="n">
        <f aca="false">N330*$E$2*(1+$I$319)/($F$319-$I$319)/(1+$F$319)^$N$3</f>
        <v>25946.7386716034</v>
      </c>
      <c r="Q330" s="15" t="n">
        <f aca="false">O330+P330</f>
        <v>47049.3457639501</v>
      </c>
      <c r="R330" s="15" t="n">
        <f aca="false">Q330-$G$2+$I$2</f>
        <v>40862.0457639501</v>
      </c>
      <c r="S330" s="42" t="n">
        <f aca="false">R330/$K$2</f>
        <v>562.06390321802</v>
      </c>
      <c r="T330" s="43" t="n">
        <f aca="false">S330-$M$2</f>
        <v>1.26610404332996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0.1416015625</v>
      </c>
      <c r="C331" s="25" t="n">
        <f aca="false">IF(T330&gt;0,D330,C330)</f>
        <v>0.14306640625</v>
      </c>
      <c r="D331" s="41" t="n">
        <f aca="false">(B331+C331)/2</f>
        <v>0.142333984375</v>
      </c>
      <c r="E331" s="15" t="n">
        <f aca="false">$C$2*(1+IF(E$3&lt;=$O$2,$D331,$D331-($D331-$I$319)*MIN(E$3-$O$2,$Q$2)/$Q$2))</f>
        <v>3803.97216796875</v>
      </c>
      <c r="F331" s="15" t="n">
        <f aca="false">E331*(1+IF(F$3&lt;=$O$2,$D331,$D331-($D331-$I$319)*MIN(F$3-$O$2,$Q$2)/$Q$2))</f>
        <v>4345.40668308735</v>
      </c>
      <c r="G331" s="15" t="n">
        <f aca="false">F331*(1+IF(G$3&lt;=$O$2,$D331,$D331-($D331-$I$319)*MIN(G$3-$O$2,$Q$2)/$Q$2))</f>
        <v>4963.90573002092</v>
      </c>
      <c r="H331" s="15" t="n">
        <f aca="false">G331*(1+IF(H$3&lt;=$O$2,$D331,$D331-($D331-$I$319)*MIN(H$3-$O$2,$Q$2)/$Q$2))</f>
        <v>5670.4382106367</v>
      </c>
      <c r="I331" s="15" t="n">
        <f aca="false">H331*(1+IF(I$3&lt;=$O$2,$D331,$D331-($D331-$I$319)*MIN(I$3-$O$2,$Q$2)/$Q$2))</f>
        <v>6477.53427430886</v>
      </c>
      <c r="J331" s="15" t="n">
        <f aca="false">I331*(1+IF(J$3&lt;=$O$2,$D331,$D331-($D331-$I$319)*MIN(J$3-$O$2,$Q$2)/$Q$2))</f>
        <v>7238.82065950324</v>
      </c>
      <c r="K331" s="15" t="n">
        <f aca="false">J331*(1+IF(K$3&lt;=$O$2,$D331,$D331-($D331-$I$319)*MIN(K$3-$O$2,$Q$2)/$Q$2))</f>
        <v>7910.0069387167</v>
      </c>
      <c r="L331" s="15" t="n">
        <f aca="false">K331*(1+IF(L$3&lt;=$O$2,$D331,$D331-($D331-$I$319)*MIN(L$3-$O$2,$Q$2)/$Q$2))</f>
        <v>8447.20393651238</v>
      </c>
      <c r="M331" s="15" t="n">
        <f aca="false">L331*(1+IF(M$3&lt;=$O$2,$D331,$D331-($D331-$I$319)*MIN(M$3-$O$2,$Q$2)/$Q$2))</f>
        <v>8811.33584076533</v>
      </c>
      <c r="N331" s="15" t="n">
        <f aca="false">M331*(1+IF(N$3&lt;=$O$2,$D331,$D331-($D331-$I$319)*MIN(N$3-$O$2,$Q$2)/$Q$2))</f>
        <v>8972.58328665133</v>
      </c>
      <c r="O331" s="15" t="n">
        <f aca="false">SUMPRODUCT(E331:N331,1/(1+$F$319)^$E$3:$N$3)*$E$2</f>
        <v>21036.2709202276</v>
      </c>
      <c r="P331" s="15" t="n">
        <f aca="false">N331*$E$2*(1+$I$319)/($F$319-$I$319)/(1+$F$319)^$N$3</f>
        <v>25829.0584689904</v>
      </c>
      <c r="Q331" s="15" t="n">
        <f aca="false">O331+P331</f>
        <v>46865.329389218</v>
      </c>
      <c r="R331" s="15" t="n">
        <f aca="false">Q331-$G$2+$I$2</f>
        <v>40678.029389218</v>
      </c>
      <c r="S331" s="42" t="n">
        <f aca="false">R331/$K$2</f>
        <v>559.532728875076</v>
      </c>
      <c r="T331" s="43" t="n">
        <f aca="false">S331-$M$2</f>
        <v>-1.26507029961431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0.142333984375</v>
      </c>
      <c r="C332" s="25" t="n">
        <f aca="false">IF(T331&gt;0,D331,C331)</f>
        <v>0.14306640625</v>
      </c>
      <c r="D332" s="41" t="n">
        <f aca="false">(B332+C332)/2</f>
        <v>0.1427001953125</v>
      </c>
      <c r="E332" s="15" t="n">
        <f aca="false">$C$2*(1+IF(E$3&lt;=$O$2,$D332,$D332-($D332-$I$319)*MIN(E$3-$O$2,$Q$2)/$Q$2))</f>
        <v>3805.19165039063</v>
      </c>
      <c r="F332" s="15" t="n">
        <f aca="false">E332*(1+IF(F$3&lt;=$O$2,$D332,$D332-($D332-$I$319)*MIN(F$3-$O$2,$Q$2)/$Q$2))</f>
        <v>4348.19324210286</v>
      </c>
      <c r="G332" s="15" t="n">
        <f aca="false">F332*(1+IF(G$3&lt;=$O$2,$D332,$D332-($D332-$I$319)*MIN(G$3-$O$2,$Q$2)/$Q$2))</f>
        <v>4968.68126700743</v>
      </c>
      <c r="H332" s="15" t="n">
        <f aca="false">G332*(1+IF(H$3&lt;=$O$2,$D332,$D332-($D332-$I$319)*MIN(H$3-$O$2,$Q$2)/$Q$2))</f>
        <v>5677.71305425495</v>
      </c>
      <c r="I332" s="15" t="n">
        <f aca="false">H332*(1+IF(I$3&lt;=$O$2,$D332,$D332-($D332-$I$319)*MIN(I$3-$O$2,$Q$2)/$Q$2))</f>
        <v>6487.92381602547</v>
      </c>
      <c r="J332" s="15" t="n">
        <f aca="false">I332*(1+IF(J$3&lt;=$O$2,$D332,$D332-($D332-$I$319)*MIN(J$3-$O$2,$Q$2)/$Q$2))</f>
        <v>7252.33201376768</v>
      </c>
      <c r="K332" s="15" t="n">
        <f aca="false">J332*(1+IF(K$3&lt;=$O$2,$D332,$D332-($D332-$I$319)*MIN(K$3-$O$2,$Q$2)/$Q$2))</f>
        <v>7926.36460100991</v>
      </c>
      <c r="L332" s="15" t="n">
        <f aca="false">K332*(1+IF(L$3&lt;=$O$2,$D332,$D332-($D332-$I$319)*MIN(L$3-$O$2,$Q$2)/$Q$2))</f>
        <v>8465.83359500188</v>
      </c>
      <c r="M332" s="15" t="n">
        <f aca="false">L332*(1+IF(M$3&lt;=$O$2,$D332,$D332-($D332-$I$319)*MIN(M$3-$O$2,$Q$2)/$Q$2))</f>
        <v>8831.38862033069</v>
      </c>
      <c r="N332" s="15" t="n">
        <f aca="false">M332*(1+IF(N$3&lt;=$O$2,$D332,$D332-($D332-$I$319)*MIN(N$3-$O$2,$Q$2)/$Q$2))</f>
        <v>8993.00303208274</v>
      </c>
      <c r="O332" s="15" t="n">
        <f aca="false">SUMPRODUCT(E332:N332,1/(1+$F$319)^$E$3:$N$3)*$E$2</f>
        <v>21069.4133071026</v>
      </c>
      <c r="P332" s="15" t="n">
        <f aca="false">N332*$E$2*(1+$I$319)/($F$319-$I$319)/(1+$F$319)^$N$3</f>
        <v>25887.8400686502</v>
      </c>
      <c r="Q332" s="15" t="n">
        <f aca="false">O332+P332</f>
        <v>46957.2533757528</v>
      </c>
      <c r="R332" s="15" t="n">
        <f aca="false">Q332-$G$2+$I$2</f>
        <v>40769.9533757528</v>
      </c>
      <c r="S332" s="42" t="n">
        <f aca="false">R332/$K$2</f>
        <v>560.797157850795</v>
      </c>
      <c r="T332" s="43" t="n">
        <f aca="false">S332-$M$2</f>
        <v>-0.000641323895706591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0.1427001953125</v>
      </c>
      <c r="C333" s="25" t="n">
        <f aca="false">IF(T332&gt;0,D332,C332)</f>
        <v>0.14306640625</v>
      </c>
      <c r="D333" s="41" t="n">
        <f aca="false">(B333+C333)/2</f>
        <v>0.14288330078125</v>
      </c>
      <c r="E333" s="15" t="n">
        <f aca="false">$C$2*(1+IF(E$3&lt;=$O$2,$D333,$D333-($D333-$I$319)*MIN(E$3-$O$2,$Q$2)/$Q$2))</f>
        <v>3805.80139160156</v>
      </c>
      <c r="F333" s="15" t="n">
        <f aca="false">E333*(1+IF(F$3&lt;=$O$2,$D333,$D333-($D333-$I$319)*MIN(F$3-$O$2,$Q$2)/$Q$2))</f>
        <v>4349.58685655147</v>
      </c>
      <c r="G333" s="15" t="n">
        <f aca="false">F333*(1+IF(G$3&lt;=$O$2,$D333,$D333-($D333-$I$319)*MIN(G$3-$O$2,$Q$2)/$Q$2))</f>
        <v>4971.07018365028</v>
      </c>
      <c r="H333" s="15" t="n">
        <f aca="false">G333*(1+IF(H$3&lt;=$O$2,$D333,$D333-($D333-$I$319)*MIN(H$3-$O$2,$Q$2)/$Q$2))</f>
        <v>5681.35309990549</v>
      </c>
      <c r="I333" s="15" t="n">
        <f aca="false">H333*(1+IF(I$3&lt;=$O$2,$D333,$D333-($D333-$I$319)*MIN(I$3-$O$2,$Q$2)/$Q$2))</f>
        <v>6493.12358372377</v>
      </c>
      <c r="J333" s="15" t="n">
        <f aca="false">I333*(1+IF(J$3&lt;=$O$2,$D333,$D333-($D333-$I$319)*MIN(J$3-$O$2,$Q$2)/$Q$2))</f>
        <v>7259.09556005863</v>
      </c>
      <c r="K333" s="15" t="n">
        <f aca="false">J333*(1+IF(K$3&lt;=$O$2,$D333,$D333-($D333-$I$319)*MIN(K$3-$O$2,$Q$2)/$Q$2))</f>
        <v>7934.55426014287</v>
      </c>
      <c r="L333" s="15" t="n">
        <f aca="false">K333*(1+IF(L$3&lt;=$O$2,$D333,$D333-($D333-$I$319)*MIN(L$3-$O$2,$Q$2)/$Q$2))</f>
        <v>8475.1617870861</v>
      </c>
      <c r="M333" s="15" t="n">
        <f aca="false">L333*(1+IF(M$3&lt;=$O$2,$D333,$D333-($D333-$I$319)*MIN(M$3-$O$2,$Q$2)/$Q$2))</f>
        <v>8841.42997380784</v>
      </c>
      <c r="N333" s="15" t="n">
        <f aca="false">M333*(1+IF(N$3&lt;=$O$2,$D333,$D333-($D333-$I$319)*MIN(N$3-$O$2,$Q$2)/$Q$2))</f>
        <v>9003.22814232852</v>
      </c>
      <c r="O333" s="15" t="n">
        <f aca="false">SUMPRODUCT(E333:N333,1/(1+$F$319)^$E$3:$N$3)*$E$2</f>
        <v>21086.0037703493</v>
      </c>
      <c r="P333" s="15" t="n">
        <f aca="false">N333*$E$2*(1+$I$319)/($F$319-$I$319)/(1+$F$319)^$N$3</f>
        <v>25917.2747322195</v>
      </c>
      <c r="Q333" s="15" t="n">
        <f aca="false">O333+P333</f>
        <v>47003.2785025688</v>
      </c>
      <c r="R333" s="15" t="n">
        <f aca="false">Q333-$G$2+$I$2</f>
        <v>40815.9785025688</v>
      </c>
      <c r="S333" s="42" t="n">
        <f aca="false">R333/$K$2</f>
        <v>561.430240750602</v>
      </c>
      <c r="T333" s="43" t="n">
        <f aca="false">S333-$M$2</f>
        <v>0.632441575911685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0.1427001953125</v>
      </c>
      <c r="C334" s="25" t="n">
        <f aca="false">IF(T333&gt;0,D333,C333)</f>
        <v>0.14288330078125</v>
      </c>
      <c r="D334" s="41" t="n">
        <f aca="false">(B334+C334)/2</f>
        <v>0.142791748046875</v>
      </c>
      <c r="E334" s="15" t="n">
        <f aca="false">$C$2*(1+IF(E$3&lt;=$O$2,$D334,$D334-($D334-$I$319)*MIN(E$3-$O$2,$Q$2)/$Q$2))</f>
        <v>3805.49652099609</v>
      </c>
      <c r="F334" s="15" t="n">
        <f aca="false">E334*(1+IF(F$3&lt;=$O$2,$D334,$D334-($D334-$I$319)*MIN(F$3-$O$2,$Q$2)/$Q$2))</f>
        <v>4348.89002141543</v>
      </c>
      <c r="G334" s="15" t="n">
        <f aca="false">F334*(1+IF(G$3&lt;=$O$2,$D334,$D334-($D334-$I$319)*MIN(G$3-$O$2,$Q$2)/$Q$2))</f>
        <v>4969.87562963695</v>
      </c>
      <c r="H334" s="15" t="n">
        <f aca="false">G334*(1+IF(H$3&lt;=$O$2,$D334,$D334-($D334-$I$319)*MIN(H$3-$O$2,$Q$2)/$Q$2))</f>
        <v>5679.53285836837</v>
      </c>
      <c r="I334" s="15" t="n">
        <f aca="false">H334*(1+IF(I$3&lt;=$O$2,$D334,$D334-($D334-$I$319)*MIN(I$3-$O$2,$Q$2)/$Q$2))</f>
        <v>6490.52328330446</v>
      </c>
      <c r="J334" s="15" t="n">
        <f aca="false">I334*(1+IF(J$3&lt;=$O$2,$D334,$D334-($D334-$I$319)*MIN(J$3-$O$2,$Q$2)/$Q$2))</f>
        <v>7255.71313081094</v>
      </c>
      <c r="K334" s="15" t="n">
        <f aca="false">J334*(1+IF(K$3&lt;=$O$2,$D334,$D334-($D334-$I$319)*MIN(K$3-$O$2,$Q$2)/$Q$2))</f>
        <v>7930.45852769357</v>
      </c>
      <c r="L334" s="15" t="n">
        <f aca="false">K334*(1+IF(L$3&lt;=$O$2,$D334,$D334-($D334-$I$319)*MIN(L$3-$O$2,$Q$2)/$Q$2))</f>
        <v>8470.49657672069</v>
      </c>
      <c r="M334" s="15" t="n">
        <f aca="false">L334*(1+IF(M$3&lt;=$O$2,$D334,$D334-($D334-$I$319)*MIN(M$3-$O$2,$Q$2)/$Q$2))</f>
        <v>8836.40804920688</v>
      </c>
      <c r="N334" s="15" t="n">
        <f aca="false">M334*(1+IF(N$3&lt;=$O$2,$D334,$D334-($D334-$I$319)*MIN(N$3-$O$2,$Q$2)/$Q$2))</f>
        <v>8998.11431650737</v>
      </c>
      <c r="O334" s="15" t="n">
        <f aca="false">SUMPRODUCT(E334:N334,1/(1+$F$319)^$E$3:$N$3)*$E$2</f>
        <v>21077.7069319547</v>
      </c>
      <c r="P334" s="15" t="n">
        <f aca="false">N334*$E$2*(1+$I$319)/($F$319-$I$319)/(1+$F$319)^$N$3</f>
        <v>25902.5537425207</v>
      </c>
      <c r="Q334" s="15" t="n">
        <f aca="false">O334+P334</f>
        <v>46980.2606744754</v>
      </c>
      <c r="R334" s="15" t="n">
        <f aca="false">Q334-$G$2+$I$2</f>
        <v>40792.9606744754</v>
      </c>
      <c r="S334" s="42" t="n">
        <f aca="false">R334/$K$2</f>
        <v>561.113626884118</v>
      </c>
      <c r="T334" s="43" t="n">
        <f aca="false">S334-$M$2</f>
        <v>0.315827709427595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0.1427001953125</v>
      </c>
      <c r="C335" s="25" t="n">
        <f aca="false">IF(T334&gt;0,D334,C334)</f>
        <v>0.142791748046875</v>
      </c>
      <c r="D335" s="41" t="n">
        <f aca="false">(B335+C335)/2</f>
        <v>0.142745971679688</v>
      </c>
      <c r="E335" s="15" t="n">
        <f aca="false">$C$2*(1+IF(E$3&lt;=$O$2,$D335,$D335-($D335-$I$319)*MIN(E$3-$O$2,$Q$2)/$Q$2))</f>
        <v>3805.34408569336</v>
      </c>
      <c r="F335" s="15" t="n">
        <f aca="false">E335*(1+IF(F$3&lt;=$O$2,$D335,$D335-($D335-$I$319)*MIN(F$3-$O$2,$Q$2)/$Q$2))</f>
        <v>4348.54162478121</v>
      </c>
      <c r="G335" s="15" t="n">
        <f aca="false">F335*(1+IF(G$3&lt;=$O$2,$D335,$D335-($D335-$I$319)*MIN(G$3-$O$2,$Q$2)/$Q$2))</f>
        <v>4969.27842440017</v>
      </c>
      <c r="H335" s="15" t="n">
        <f aca="false">G335*(1+IF(H$3&lt;=$O$2,$D335,$D335-($D335-$I$319)*MIN(H$3-$O$2,$Q$2)/$Q$2))</f>
        <v>5678.62290163808</v>
      </c>
      <c r="I335" s="15" t="n">
        <f aca="false">H335*(1+IF(I$3&lt;=$O$2,$D335,$D335-($D335-$I$319)*MIN(I$3-$O$2,$Q$2)/$Q$2))</f>
        <v>6489.22344553493</v>
      </c>
      <c r="J335" s="15" t="n">
        <f aca="false">I335*(1+IF(J$3&lt;=$O$2,$D335,$D335-($D335-$I$319)*MIN(J$3-$O$2,$Q$2)/$Q$2))</f>
        <v>7254.02240828919</v>
      </c>
      <c r="K335" s="15" t="n">
        <f aca="false">J335*(1+IF(K$3&lt;=$O$2,$D335,$D335-($D335-$I$319)*MIN(K$3-$O$2,$Q$2)/$Q$2))</f>
        <v>7928.41133867234</v>
      </c>
      <c r="L335" s="15" t="n">
        <f aca="false">K335*(1+IF(L$3&lt;=$O$2,$D335,$D335-($D335-$I$319)*MIN(L$3-$O$2,$Q$2)/$Q$2))</f>
        <v>8468.16480733698</v>
      </c>
      <c r="M335" s="15" t="n">
        <f aca="false">L335*(1+IF(M$3&lt;=$O$2,$D335,$D335-($D335-$I$319)*MIN(M$3-$O$2,$Q$2)/$Q$2))</f>
        <v>8833.8980228698</v>
      </c>
      <c r="N335" s="15" t="n">
        <f aca="false">M335*(1+IF(N$3&lt;=$O$2,$D335,$D335-($D335-$I$319)*MIN(N$3-$O$2,$Q$2)/$Q$2))</f>
        <v>8995.55835668832</v>
      </c>
      <c r="O335" s="15" t="n">
        <f aca="false">SUMPRODUCT(E335:N335,1/(1+$F$319)^$E$3:$N$3)*$E$2</f>
        <v>21073.5597179074</v>
      </c>
      <c r="P335" s="15" t="n">
        <f aca="false">N335*$E$2*(1+$I$319)/($F$319-$I$319)/(1+$F$319)^$N$3</f>
        <v>25895.1959913022</v>
      </c>
      <c r="Q335" s="15" t="n">
        <f aca="false">O335+P335</f>
        <v>46968.7557092096</v>
      </c>
      <c r="R335" s="15" t="n">
        <f aca="false">Q335-$G$2+$I$2</f>
        <v>40781.4557092096</v>
      </c>
      <c r="S335" s="42" t="n">
        <f aca="false">R335/$K$2</f>
        <v>560.955374266982</v>
      </c>
      <c r="T335" s="43" t="n">
        <f aca="false">S335-$M$2</f>
        <v>0.157575092291154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0.1427001953125</v>
      </c>
      <c r="C336" s="25" t="n">
        <f aca="false">IF(T335&gt;0,D335,C335)</f>
        <v>0.142745971679688</v>
      </c>
      <c r="D336" s="41" t="n">
        <f aca="false">(B336+C336)/2</f>
        <v>0.142723083496094</v>
      </c>
      <c r="E336" s="15" t="n">
        <f aca="false">$C$2*(1+IF(E$3&lt;=$O$2,$D336,$D336-($D336-$I$319)*MIN(E$3-$O$2,$Q$2)/$Q$2))</f>
        <v>3805.26786804199</v>
      </c>
      <c r="F336" s="15" t="n">
        <f aca="false">E336*(1+IF(F$3&lt;=$O$2,$D336,$D336-($D336-$I$319)*MIN(F$3-$O$2,$Q$2)/$Q$2))</f>
        <v>4348.36743169755</v>
      </c>
      <c r="G336" s="15" t="n">
        <f aca="false">F336*(1+IF(G$3&lt;=$O$2,$D336,$D336-($D336-$I$319)*MIN(G$3-$O$2,$Q$2)/$Q$2))</f>
        <v>4968.97983972342</v>
      </c>
      <c r="H336" s="15" t="n">
        <f aca="false">G336*(1+IF(H$3&lt;=$O$2,$D336,$D336-($D336-$I$319)*MIN(H$3-$O$2,$Q$2)/$Q$2))</f>
        <v>5678.16796427867</v>
      </c>
      <c r="I336" s="15" t="n">
        <f aca="false">H336*(1+IF(I$3&lt;=$O$2,$D336,$D336-($D336-$I$319)*MIN(I$3-$O$2,$Q$2)/$Q$2))</f>
        <v>6488.57360474926</v>
      </c>
      <c r="J336" s="15" t="n">
        <f aca="false">I336*(1+IF(J$3&lt;=$O$2,$D336,$D336-($D336-$I$319)*MIN(J$3-$O$2,$Q$2)/$Q$2))</f>
        <v>7253.17717003158</v>
      </c>
      <c r="K336" s="15" t="n">
        <f aca="false">J336*(1+IF(K$3&lt;=$O$2,$D336,$D336-($D336-$I$319)*MIN(K$3-$O$2,$Q$2)/$Q$2))</f>
        <v>7927.38791342644</v>
      </c>
      <c r="L336" s="15" t="n">
        <f aca="false">K336*(1+IF(L$3&lt;=$O$2,$D336,$D336-($D336-$I$319)*MIN(L$3-$O$2,$Q$2)/$Q$2))</f>
        <v>8466.99913154542</v>
      </c>
      <c r="M336" s="15" t="n">
        <f aca="false">L336*(1+IF(M$3&lt;=$O$2,$D336,$D336-($D336-$I$319)*MIN(M$3-$O$2,$Q$2)/$Q$2))</f>
        <v>8832.64324363382</v>
      </c>
      <c r="N336" s="15" t="n">
        <f aca="false">M336*(1+IF(N$3&lt;=$O$2,$D336,$D336-($D336-$I$319)*MIN(N$3-$O$2,$Q$2)/$Q$2))</f>
        <v>8994.28061499232</v>
      </c>
      <c r="O336" s="15" t="n">
        <f aca="false">SUMPRODUCT(E336:N336,1/(1+$F$319)^$E$3:$N$3)*$E$2</f>
        <v>21071.4864121086</v>
      </c>
      <c r="P336" s="15" t="n">
        <f aca="false">N336*$E$2*(1+$I$319)/($F$319-$I$319)/(1+$F$319)^$N$3</f>
        <v>25891.5178014297</v>
      </c>
      <c r="Q336" s="15" t="n">
        <f aca="false">O336+P336</f>
        <v>46963.0042135384</v>
      </c>
      <c r="R336" s="15" t="n">
        <f aca="false">Q336-$G$2+$I$2</f>
        <v>40775.7042135384</v>
      </c>
      <c r="S336" s="42" t="n">
        <f aca="false">R336/$K$2</f>
        <v>560.876261534228</v>
      </c>
      <c r="T336" s="43" t="n">
        <f aca="false">S336-$M$2</f>
        <v>0.0784623595375251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0.1427001953125</v>
      </c>
      <c r="C337" s="25" t="n">
        <f aca="false">IF(T336&gt;0,D336,C336)</f>
        <v>0.142723083496094</v>
      </c>
      <c r="D337" s="41" t="n">
        <f aca="false">(B337+C337)/2</f>
        <v>0.142711639404297</v>
      </c>
      <c r="E337" s="15" t="n">
        <f aca="false">$C$2*(1+IF(E$3&lt;=$O$2,$D337,$D337-($D337-$I$319)*MIN(E$3-$O$2,$Q$2)/$Q$2))</f>
        <v>3805.22975921631</v>
      </c>
      <c r="F337" s="15" t="n">
        <f aca="false">E337*(1+IF(F$3&lt;=$O$2,$D337,$D337-($D337-$I$319)*MIN(F$3-$O$2,$Q$2)/$Q$2))</f>
        <v>4348.28033646409</v>
      </c>
      <c r="G337" s="15" t="n">
        <f aca="false">F337*(1+IF(G$3&lt;=$O$2,$D337,$D337-($D337-$I$319)*MIN(G$3-$O$2,$Q$2)/$Q$2))</f>
        <v>4968.83055187034</v>
      </c>
      <c r="H337" s="15" t="n">
        <f aca="false">G337*(1+IF(H$3&lt;=$O$2,$D337,$D337-($D337-$I$319)*MIN(H$3-$O$2,$Q$2)/$Q$2))</f>
        <v>5677.94050584992</v>
      </c>
      <c r="I337" s="15" t="n">
        <f aca="false">H337*(1+IF(I$3&lt;=$O$2,$D337,$D337-($D337-$I$319)*MIN(I$3-$O$2,$Q$2)/$Q$2))</f>
        <v>6488.24870387982</v>
      </c>
      <c r="J337" s="15" t="n">
        <f aca="false">I337*(1+IF(J$3&lt;=$O$2,$D337,$D337-($D337-$I$319)*MIN(J$3-$O$2,$Q$2)/$Q$2))</f>
        <v>7252.75458165082</v>
      </c>
      <c r="K337" s="15" t="n">
        <f aca="false">J337*(1+IF(K$3&lt;=$O$2,$D337,$D337-($D337-$I$319)*MIN(K$3-$O$2,$Q$2)/$Q$2))</f>
        <v>7926.87624311515</v>
      </c>
      <c r="L337" s="15" t="n">
        <f aca="false">K337*(1+IF(L$3&lt;=$O$2,$D337,$D337-($D337-$I$319)*MIN(L$3-$O$2,$Q$2)/$Q$2))</f>
        <v>8466.41634586853</v>
      </c>
      <c r="M337" s="15" t="n">
        <f aca="false">L337*(1+IF(M$3&lt;=$O$2,$D337,$D337-($D337-$I$319)*MIN(M$3-$O$2,$Q$2)/$Q$2))</f>
        <v>8832.01591249169</v>
      </c>
      <c r="N337" s="15" t="n">
        <f aca="false">M337*(1+IF(N$3&lt;=$O$2,$D337,$D337-($D337-$I$319)*MIN(N$3-$O$2,$Q$2)/$Q$2))</f>
        <v>8993.64180369029</v>
      </c>
      <c r="O337" s="15" t="n">
        <f aca="false">SUMPRODUCT(E337:N337,1/(1+$F$319)^$E$3:$N$3)*$E$2</f>
        <v>21070.4498345076</v>
      </c>
      <c r="P337" s="15" t="n">
        <f aca="false">N337*$E$2*(1+$I$319)/($F$319-$I$319)/(1+$F$319)^$N$3</f>
        <v>25889.6788779064</v>
      </c>
      <c r="Q337" s="15" t="n">
        <f aca="false">O337+P337</f>
        <v>46960.128712414</v>
      </c>
      <c r="R337" s="15" t="n">
        <f aca="false">Q337-$G$2+$I$2</f>
        <v>40772.828712414</v>
      </c>
      <c r="S337" s="42" t="n">
        <f aca="false">R337/$K$2</f>
        <v>560.836708561404</v>
      </c>
      <c r="T337" s="43" t="n">
        <f aca="false">S337-$M$2</f>
        <v>0.0389093867131578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0.1427001953125</v>
      </c>
      <c r="C338" s="25" t="n">
        <f aca="false">IF(T337&gt;0,D337,C337)</f>
        <v>0.142711639404297</v>
      </c>
      <c r="D338" s="41" t="n">
        <f aca="false">(B338+C338)/2</f>
        <v>0.142705917358398</v>
      </c>
      <c r="E338" s="15" t="n">
        <f aca="false">$C$2*(1+IF(E$3&lt;=$O$2,$D338,$D338-($D338-$I$319)*MIN(E$3-$O$2,$Q$2)/$Q$2))</f>
        <v>3805.21070480347</v>
      </c>
      <c r="F338" s="15" t="n">
        <f aca="false">E338*(1+IF(F$3&lt;=$O$2,$D338,$D338-($D338-$I$319)*MIN(F$3-$O$2,$Q$2)/$Q$2))</f>
        <v>4348.23678917444</v>
      </c>
      <c r="G338" s="15" t="n">
        <f aca="false">F338*(1+IF(G$3&lt;=$O$2,$D338,$D338-($D338-$I$319)*MIN(G$3-$O$2,$Q$2)/$Q$2))</f>
        <v>4968.75590906512</v>
      </c>
      <c r="H338" s="15" t="n">
        <f aca="false">G338*(1+IF(H$3&lt;=$O$2,$D338,$D338-($D338-$I$319)*MIN(H$3-$O$2,$Q$2)/$Q$2))</f>
        <v>5677.82677919822</v>
      </c>
      <c r="I338" s="15" t="n">
        <f aca="false">H338*(1+IF(I$3&lt;=$O$2,$D338,$D338-($D338-$I$319)*MIN(I$3-$O$2,$Q$2)/$Q$2))</f>
        <v>6488.08625832578</v>
      </c>
      <c r="J338" s="15" t="n">
        <f aca="false">I338*(1+IF(J$3&lt;=$O$2,$D338,$D338-($D338-$I$319)*MIN(J$3-$O$2,$Q$2)/$Q$2))</f>
        <v>7252.54329514709</v>
      </c>
      <c r="K338" s="15" t="n">
        <f aca="false">J338*(1+IF(K$3&lt;=$O$2,$D338,$D338-($D338-$I$319)*MIN(K$3-$O$2,$Q$2)/$Q$2))</f>
        <v>7926.62041853685</v>
      </c>
      <c r="L338" s="15" t="n">
        <f aca="false">K338*(1+IF(L$3&lt;=$O$2,$D338,$D338-($D338-$I$319)*MIN(L$3-$O$2,$Q$2)/$Q$2))</f>
        <v>8466.12496608403</v>
      </c>
      <c r="M338" s="15" t="n">
        <f aca="false">L338*(1+IF(M$3&lt;=$O$2,$D338,$D338-($D338-$I$319)*MIN(M$3-$O$2,$Q$2)/$Q$2))</f>
        <v>8831.70226153867</v>
      </c>
      <c r="N338" s="15" t="n">
        <f aca="false">M338*(1+IF(N$3&lt;=$O$2,$D338,$D338-($D338-$I$319)*MIN(N$3-$O$2,$Q$2)/$Q$2))</f>
        <v>8993.32241292483</v>
      </c>
      <c r="O338" s="15" t="n">
        <f aca="false">SUMPRODUCT(E338:N338,1/(1+$F$319)^$E$3:$N$3)*$E$2</f>
        <v>21069.9315645308</v>
      </c>
      <c r="P338" s="15" t="n">
        <f aca="false">N338*$E$2*(1+$I$319)/($F$319-$I$319)/(1+$F$319)^$N$3</f>
        <v>25888.7594589953</v>
      </c>
      <c r="Q338" s="15" t="n">
        <f aca="false">O338+P338</f>
        <v>46958.6910235261</v>
      </c>
      <c r="R338" s="15" t="n">
        <f aca="false">Q338-$G$2+$I$2</f>
        <v>40771.3910235261</v>
      </c>
      <c r="S338" s="42" t="n">
        <f aca="false">R338/$K$2</f>
        <v>560.81693292333</v>
      </c>
      <c r="T338" s="43" t="n">
        <f aca="false">S338-$M$2</f>
        <v>0.0191337486390921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0.1427001953125</v>
      </c>
      <c r="C339" s="25" t="n">
        <f aca="false">IF(T338&gt;0,D338,C338)</f>
        <v>0.142705917358398</v>
      </c>
      <c r="D339" s="41" t="n">
        <f aca="false">(B339+C339)/2</f>
        <v>0.142703056335449</v>
      </c>
      <c r="E339" s="15" t="n">
        <f aca="false">$C$2*(1+IF(E$3&lt;=$O$2,$D339,$D339-($D339-$I$319)*MIN(E$3-$O$2,$Q$2)/$Q$2))</f>
        <v>3805.20117759705</v>
      </c>
      <c r="F339" s="15" t="n">
        <f aca="false">E339*(1+IF(F$3&lt;=$O$2,$D339,$D339-($D339-$I$319)*MIN(F$3-$O$2,$Q$2)/$Q$2))</f>
        <v>4348.2150156114</v>
      </c>
      <c r="G339" s="15" t="n">
        <f aca="false">F339*(1+IF(G$3&lt;=$O$2,$D339,$D339-($D339-$I$319)*MIN(G$3-$O$2,$Q$2)/$Q$2))</f>
        <v>4968.71858794283</v>
      </c>
      <c r="H339" s="15" t="n">
        <f aca="false">G339*(1+IF(H$3&lt;=$O$2,$D339,$D339-($D339-$I$319)*MIN(H$3-$O$2,$Q$2)/$Q$2))</f>
        <v>5677.76991651303</v>
      </c>
      <c r="I339" s="15" t="n">
        <f aca="false">H339*(1+IF(I$3&lt;=$O$2,$D339,$D339-($D339-$I$319)*MIN(I$3-$O$2,$Q$2)/$Q$2))</f>
        <v>6488.00503676891</v>
      </c>
      <c r="J339" s="15" t="n">
        <f aca="false">I339*(1+IF(J$3&lt;=$O$2,$D339,$D339-($D339-$I$319)*MIN(J$3-$O$2,$Q$2)/$Q$2))</f>
        <v>7252.43765381686</v>
      </c>
      <c r="K339" s="15" t="n">
        <f aca="false">J339*(1+IF(K$3&lt;=$O$2,$D339,$D339-($D339-$I$319)*MIN(K$3-$O$2,$Q$2)/$Q$2))</f>
        <v>7926.49250889197</v>
      </c>
      <c r="L339" s="15" t="n">
        <f aca="false">K339*(1+IF(L$3&lt;=$O$2,$D339,$D339-($D339-$I$319)*MIN(L$3-$O$2,$Q$2)/$Q$2))</f>
        <v>8465.97927945518</v>
      </c>
      <c r="M339" s="15" t="n">
        <f aca="false">L339*(1+IF(M$3&lt;=$O$2,$D339,$D339-($D339-$I$319)*MIN(M$3-$O$2,$Q$2)/$Q$2))</f>
        <v>8831.54543971657</v>
      </c>
      <c r="N339" s="15" t="n">
        <f aca="false">M339*(1+IF(N$3&lt;=$O$2,$D339,$D339-($D339-$I$319)*MIN(N$3-$O$2,$Q$2)/$Q$2))</f>
        <v>8993.16272126338</v>
      </c>
      <c r="O339" s="15" t="n">
        <f aca="false">SUMPRODUCT(E339:N339,1/(1+$F$319)^$E$3:$N$3)*$E$2</f>
        <v>21069.6724342481</v>
      </c>
      <c r="P339" s="15" t="n">
        <f aca="false">N339*$E$2*(1+$I$319)/($F$319-$I$319)/(1+$F$319)^$N$3</f>
        <v>25888.299760252</v>
      </c>
      <c r="Q339" s="15" t="n">
        <f aca="false">O339+P339</f>
        <v>46957.9721945001</v>
      </c>
      <c r="R339" s="15" t="n">
        <f aca="false">Q339-$G$2+$I$2</f>
        <v>40770.6721945001</v>
      </c>
      <c r="S339" s="42" t="n">
        <f aca="false">R339/$K$2</f>
        <v>560.807045316371</v>
      </c>
      <c r="T339" s="43" t="n">
        <f aca="false">S339-$M$2</f>
        <v>0.00924614168002336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0.1427001953125</v>
      </c>
      <c r="C340" s="25" t="n">
        <f aca="false">IF(T339&gt;0,D339,C339)</f>
        <v>0.142703056335449</v>
      </c>
      <c r="D340" s="41" t="n">
        <f aca="false">(B340+C340)/2</f>
        <v>0.142701625823975</v>
      </c>
      <c r="E340" s="15" t="n">
        <f aca="false">$C$2*(1+IF(E$3&lt;=$O$2,$D340,$D340-($D340-$I$319)*MIN(E$3-$O$2,$Q$2)/$Q$2))</f>
        <v>3805.19641399384</v>
      </c>
      <c r="F340" s="15" t="n">
        <f aca="false">E340*(1+IF(F$3&lt;=$O$2,$D340,$D340-($D340-$I$319)*MIN(F$3-$O$2,$Q$2)/$Q$2))</f>
        <v>4348.20412885031</v>
      </c>
      <c r="G340" s="15" t="n">
        <f aca="false">F340*(1+IF(G$3&lt;=$O$2,$D340,$D340-($D340-$I$319)*MIN(G$3-$O$2,$Q$2)/$Q$2))</f>
        <v>4968.69992745177</v>
      </c>
      <c r="H340" s="15" t="n">
        <f aca="false">G340*(1+IF(H$3&lt;=$O$2,$D340,$D340-($D340-$I$319)*MIN(H$3-$O$2,$Q$2)/$Q$2))</f>
        <v>5677.7414853306</v>
      </c>
      <c r="I340" s="15" t="n">
        <f aca="false">H340*(1+IF(I$3&lt;=$O$2,$D340,$D340-($D340-$I$319)*MIN(I$3-$O$2,$Q$2)/$Q$2))</f>
        <v>6487.96442629551</v>
      </c>
      <c r="J340" s="15" t="n">
        <f aca="false">I340*(1+IF(J$3&lt;=$O$2,$D340,$D340-($D340-$I$319)*MIN(J$3-$O$2,$Q$2)/$Q$2))</f>
        <v>7252.38483363214</v>
      </c>
      <c r="K340" s="15" t="n">
        <f aca="false">J340*(1+IF(K$3&lt;=$O$2,$D340,$D340-($D340-$I$319)*MIN(K$3-$O$2,$Q$2)/$Q$2))</f>
        <v>7926.42855473059</v>
      </c>
      <c r="L340" s="15" t="n">
        <f aca="false">K340*(1+IF(L$3&lt;=$O$2,$D340,$D340-($D340-$I$319)*MIN(L$3-$O$2,$Q$2)/$Q$2))</f>
        <v>8465.90643695658</v>
      </c>
      <c r="M340" s="15" t="n">
        <f aca="false">L340*(1+IF(M$3&lt;=$O$2,$D340,$D340-($D340-$I$319)*MIN(M$3-$O$2,$Q$2)/$Q$2))</f>
        <v>8831.4670297191</v>
      </c>
      <c r="N340" s="15" t="n">
        <f aca="false">M340*(1+IF(N$3&lt;=$O$2,$D340,$D340-($D340-$I$319)*MIN(N$3-$O$2,$Q$2)/$Q$2))</f>
        <v>8993.08287636296</v>
      </c>
      <c r="O340" s="15" t="n">
        <f aca="false">SUMPRODUCT(E340:N340,1/(1+$F$319)^$E$3:$N$3)*$E$2</f>
        <v>21069.5428702832</v>
      </c>
      <c r="P340" s="15" t="n">
        <f aca="false">N340*$E$2*(1+$I$319)/($F$319-$I$319)/(1+$F$319)^$N$3</f>
        <v>25888.0699135584</v>
      </c>
      <c r="Q340" s="15" t="n">
        <f aca="false">O340+P340</f>
        <v>46957.6127838416</v>
      </c>
      <c r="R340" s="15" t="n">
        <f aca="false">Q340-$G$2+$I$2</f>
        <v>40770.3127838416</v>
      </c>
      <c r="S340" s="42" t="n">
        <f aca="false">R340/$K$2</f>
        <v>560.80210156591</v>
      </c>
      <c r="T340" s="43" t="n">
        <f aca="false">S340-$M$2</f>
        <v>0.0043023912191984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0.1427001953125</v>
      </c>
      <c r="C341" s="25" t="n">
        <f aca="false">IF(T340&gt;0,D340,C340)</f>
        <v>0.142701625823975</v>
      </c>
      <c r="D341" s="41" t="n">
        <f aca="false">(B341+C341)/2</f>
        <v>0.142700910568237</v>
      </c>
      <c r="E341" s="15" t="n">
        <f aca="false">$C$2*(1+IF(E$3&lt;=$O$2,$D341,$D341-($D341-$I$319)*MIN(E$3-$O$2,$Q$2)/$Q$2))</f>
        <v>3805.19403219223</v>
      </c>
      <c r="F341" s="15" t="n">
        <f aca="false">E341*(1+IF(F$3&lt;=$O$2,$D341,$D341-($D341-$I$319)*MIN(F$3-$O$2,$Q$2)/$Q$2))</f>
        <v>4348.19868547488</v>
      </c>
      <c r="G341" s="15" t="n">
        <f aca="false">F341*(1+IF(G$3&lt;=$O$2,$D341,$D341-($D341-$I$319)*MIN(G$3-$O$2,$Q$2)/$Q$2))</f>
        <v>4968.69059722376</v>
      </c>
      <c r="H341" s="15" t="n">
        <f aca="false">G341*(1+IF(H$3&lt;=$O$2,$D341,$D341-($D341-$I$319)*MIN(H$3-$O$2,$Q$2)/$Q$2))</f>
        <v>5677.72726977943</v>
      </c>
      <c r="I341" s="15" t="n">
        <f aca="false">H341*(1+IF(I$3&lt;=$O$2,$D341,$D341-($D341-$I$319)*MIN(I$3-$O$2,$Q$2)/$Q$2))</f>
        <v>6487.94412113507</v>
      </c>
      <c r="J341" s="15" t="n">
        <f aca="false">I341*(1+IF(J$3&lt;=$O$2,$D341,$D341-($D341-$I$319)*MIN(J$3-$O$2,$Q$2)/$Q$2))</f>
        <v>7252.35842365988</v>
      </c>
      <c r="K341" s="15" t="n">
        <f aca="false">J341*(1+IF(K$3&lt;=$O$2,$D341,$D341-($D341-$I$319)*MIN(K$3-$O$2,$Q$2)/$Q$2))</f>
        <v>7926.39657781516</v>
      </c>
      <c r="L341" s="15" t="n">
        <f aca="false">K341*(1+IF(L$3&lt;=$O$2,$D341,$D341-($D341-$I$319)*MIN(L$3-$O$2,$Q$2)/$Q$2))</f>
        <v>8465.87001591124</v>
      </c>
      <c r="M341" s="15" t="n">
        <f aca="false">L341*(1+IF(M$3&lt;=$O$2,$D341,$D341-($D341-$I$319)*MIN(M$3-$O$2,$Q$2)/$Q$2))</f>
        <v>8831.42782494876</v>
      </c>
      <c r="N341" s="15" t="n">
        <f aca="false">M341*(1+IF(N$3&lt;=$O$2,$D341,$D341-($D341-$I$319)*MIN(N$3-$O$2,$Q$2)/$Q$2))</f>
        <v>8993.04295414532</v>
      </c>
      <c r="O341" s="15" t="n">
        <f aca="false">SUMPRODUCT(E341:N341,1/(1+$F$319)^$E$3:$N$3)*$E$2</f>
        <v>21069.4780885949</v>
      </c>
      <c r="P341" s="15" t="n">
        <f aca="false">N341*$E$2*(1+$I$319)/($F$319-$I$319)/(1+$F$319)^$N$3</f>
        <v>25887.9549908811</v>
      </c>
      <c r="Q341" s="15" t="n">
        <f aca="false">O341+P341</f>
        <v>46957.433079476</v>
      </c>
      <c r="R341" s="15" t="n">
        <f aca="false">Q341-$G$2+$I$2</f>
        <v>40770.133079476</v>
      </c>
      <c r="S341" s="42" t="n">
        <f aca="false">R341/$K$2</f>
        <v>560.799629703934</v>
      </c>
      <c r="T341" s="43" t="n">
        <f aca="false">S341-$M$2</f>
        <v>0.00183052924353433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0.1427001953125</v>
      </c>
      <c r="C342" s="25" t="n">
        <f aca="false">IF(T341&gt;0,D341,C341)</f>
        <v>0.142700910568237</v>
      </c>
      <c r="D342" s="41" t="n">
        <f aca="false">(B342+C342)/2</f>
        <v>0.142700552940369</v>
      </c>
      <c r="E342" s="15" t="n">
        <f aca="false">$C$2*(1+IF(E$3&lt;=$O$2,$D342,$D342-($D342-$I$319)*MIN(E$3-$O$2,$Q$2)/$Q$2))</f>
        <v>3805.19284129143</v>
      </c>
      <c r="F342" s="15" t="n">
        <f aca="false">E342*(1+IF(F$3&lt;=$O$2,$D342,$D342-($D342-$I$319)*MIN(F$3-$O$2,$Q$2)/$Q$2))</f>
        <v>4348.19596378845</v>
      </c>
      <c r="G342" s="15" t="n">
        <f aca="false">F342*(1+IF(G$3&lt;=$O$2,$D342,$D342-($D342-$I$319)*MIN(G$3-$O$2,$Q$2)/$Q$2))</f>
        <v>4968.68593211414</v>
      </c>
      <c r="H342" s="15" t="n">
        <f aca="false">G342*(1+IF(H$3&lt;=$O$2,$D342,$D342-($D342-$I$319)*MIN(H$3-$O$2,$Q$2)/$Q$2))</f>
        <v>5677.72016201386</v>
      </c>
      <c r="I342" s="15" t="n">
        <f aca="false">H342*(1+IF(I$3&lt;=$O$2,$D342,$D342-($D342-$I$319)*MIN(I$3-$O$2,$Q$2)/$Q$2))</f>
        <v>6487.93396857391</v>
      </c>
      <c r="J342" s="15" t="n">
        <f aca="false">I342*(1+IF(J$3&lt;=$O$2,$D342,$D342-($D342-$I$319)*MIN(J$3-$O$2,$Q$2)/$Q$2))</f>
        <v>7252.34521870377</v>
      </c>
      <c r="K342" s="15" t="n">
        <f aca="false">J342*(1+IF(K$3&lt;=$O$2,$D342,$D342-($D342-$I$319)*MIN(K$3-$O$2,$Q$2)/$Q$2))</f>
        <v>7926.38058939876</v>
      </c>
      <c r="L342" s="15" t="n">
        <f aca="false">K342*(1+IF(L$3&lt;=$O$2,$D342,$D342-($D342-$I$319)*MIN(L$3-$O$2,$Q$2)/$Q$2))</f>
        <v>8465.85180543956</v>
      </c>
      <c r="M342" s="15" t="n">
        <f aca="false">L342*(1+IF(M$3&lt;=$O$2,$D342,$D342-($D342-$I$319)*MIN(M$3-$O$2,$Q$2)/$Q$2))</f>
        <v>8831.40822262069</v>
      </c>
      <c r="N342" s="15" t="n">
        <f aca="false">M342*(1+IF(N$3&lt;=$O$2,$D342,$D342-($D342-$I$319)*MIN(N$3-$O$2,$Q$2)/$Q$2))</f>
        <v>8993.02299309464</v>
      </c>
      <c r="O342" s="15" t="n">
        <f aca="false">SUMPRODUCT(E342:N342,1/(1+$F$319)^$E$3:$N$3)*$E$2</f>
        <v>21069.4456978242</v>
      </c>
      <c r="P342" s="15" t="n">
        <f aca="false">N342*$E$2*(1+$I$319)/($F$319-$I$319)/(1+$F$319)^$N$3</f>
        <v>25887.8975297099</v>
      </c>
      <c r="Q342" s="15" t="n">
        <f aca="false">O342+P342</f>
        <v>46957.3432275341</v>
      </c>
      <c r="R342" s="15" t="n">
        <f aca="false">Q342-$G$2+$I$2</f>
        <v>40770.0432275341</v>
      </c>
      <c r="S342" s="42" t="n">
        <f aca="false">R342/$K$2</f>
        <v>560.79839377626</v>
      </c>
      <c r="T342" s="43" t="n">
        <f aca="false">S342-$M$2</f>
        <v>0.000594601569332554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0.1427001953125</v>
      </c>
      <c r="C343" s="25" t="n">
        <f aca="false">IF(T342&gt;0,D342,C342)</f>
        <v>0.142700552940369</v>
      </c>
      <c r="D343" s="41" t="n">
        <f aca="false">(B343+C343)/2</f>
        <v>0.142700374126434</v>
      </c>
      <c r="E343" s="15" t="n">
        <f aca="false">$C$2*(1+IF(E$3&lt;=$O$2,$D343,$D343-($D343-$I$319)*MIN(E$3-$O$2,$Q$2)/$Q$2))</f>
        <v>3805.19224584103</v>
      </c>
      <c r="F343" s="15" t="n">
        <f aca="false">E343*(1+IF(F$3&lt;=$O$2,$D343,$D343-($D343-$I$319)*MIN(F$3-$O$2,$Q$2)/$Q$2))</f>
        <v>4348.19460294555</v>
      </c>
      <c r="G343" s="15" t="n">
        <f aca="false">F343*(1+IF(G$3&lt;=$O$2,$D343,$D343-($D343-$I$319)*MIN(G$3-$O$2,$Q$2)/$Q$2))</f>
        <v>4968.68359956042</v>
      </c>
      <c r="H343" s="15" t="n">
        <f aca="false">G343*(1+IF(H$3&lt;=$O$2,$D343,$D343-($D343-$I$319)*MIN(H$3-$O$2,$Q$2)/$Q$2))</f>
        <v>5677.71660813357</v>
      </c>
      <c r="I343" s="15" t="n">
        <f aca="false">H343*(1+IF(I$3&lt;=$O$2,$D343,$D343-($D343-$I$319)*MIN(I$3-$O$2,$Q$2)/$Q$2))</f>
        <v>6487.9288922981</v>
      </c>
      <c r="J343" s="15" t="n">
        <f aca="false">I343*(1+IF(J$3&lt;=$O$2,$D343,$D343-($D343-$I$319)*MIN(J$3-$O$2,$Q$2)/$Q$2))</f>
        <v>7252.33861623322</v>
      </c>
      <c r="K343" s="15" t="n">
        <f aca="false">J343*(1+IF(K$3&lt;=$O$2,$D343,$D343-($D343-$I$319)*MIN(K$3-$O$2,$Q$2)/$Q$2))</f>
        <v>7926.37259520089</v>
      </c>
      <c r="L343" s="15" t="n">
        <f aca="false">K343*(1+IF(L$3&lt;=$O$2,$D343,$D343-($D343-$I$319)*MIN(L$3-$O$2,$Q$2)/$Q$2))</f>
        <v>8465.84270021647</v>
      </c>
      <c r="M343" s="15" t="n">
        <f aca="false">L343*(1+IF(M$3&lt;=$O$2,$D343,$D343-($D343-$I$319)*MIN(M$3-$O$2,$Q$2)/$Q$2))</f>
        <v>8831.39842147093</v>
      </c>
      <c r="N343" s="15" t="n">
        <f aca="false">M343*(1+IF(N$3&lt;=$O$2,$D343,$D343-($D343-$I$319)*MIN(N$3-$O$2,$Q$2)/$Q$2))</f>
        <v>8993.01301258384</v>
      </c>
      <c r="O343" s="15" t="n">
        <f aca="false">SUMPRODUCT(E343:N343,1/(1+$F$319)^$E$3:$N$3)*$E$2</f>
        <v>21069.4295024573</v>
      </c>
      <c r="P343" s="15" t="n">
        <f aca="false">N343*$E$2*(1+$I$319)/($F$319-$I$319)/(1+$F$319)^$N$3</f>
        <v>25887.8687991661</v>
      </c>
      <c r="Q343" s="15" t="n">
        <f aca="false">O343+P343</f>
        <v>46957.2983016234</v>
      </c>
      <c r="R343" s="15" t="n">
        <f aca="false">Q343-$G$2+$I$2</f>
        <v>40769.9983016234</v>
      </c>
      <c r="S343" s="42" t="n">
        <f aca="false">R343/$K$2</f>
        <v>560.797775813251</v>
      </c>
      <c r="T343" s="43" t="n">
        <f aca="false">S343-$M$2</f>
        <v>-2.33614393891912E-005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0.142700374126434</v>
      </c>
      <c r="C344" s="25" t="n">
        <f aca="false">IF(T343&gt;0,D343,C343)</f>
        <v>0.142700552940369</v>
      </c>
      <c r="D344" s="41" t="n">
        <f aca="false">(B344+C344)/2</f>
        <v>0.142700463533402</v>
      </c>
      <c r="E344" s="15" t="n">
        <f aca="false">$C$2*(1+IF(E$3&lt;=$O$2,$D344,$D344-($D344-$I$319)*MIN(E$3-$O$2,$Q$2)/$Q$2))</f>
        <v>3805.19254356623</v>
      </c>
      <c r="F344" s="15" t="n">
        <f aca="false">E344*(1+IF(F$3&lt;=$O$2,$D344,$D344-($D344-$I$319)*MIN(F$3-$O$2,$Q$2)/$Q$2))</f>
        <v>4348.19528336697</v>
      </c>
      <c r="G344" s="15" t="n">
        <f aca="false">F344*(1+IF(G$3&lt;=$O$2,$D344,$D344-($D344-$I$319)*MIN(G$3-$O$2,$Q$2)/$Q$2))</f>
        <v>4968.68476583719</v>
      </c>
      <c r="H344" s="15" t="n">
        <f aca="false">G344*(1+IF(H$3&lt;=$O$2,$D344,$D344-($D344-$I$319)*MIN(H$3-$O$2,$Q$2)/$Q$2))</f>
        <v>5677.71838507351</v>
      </c>
      <c r="I344" s="15" t="n">
        <f aca="false">H344*(1+IF(I$3&lt;=$O$2,$D344,$D344-($D344-$I$319)*MIN(I$3-$O$2,$Q$2)/$Q$2))</f>
        <v>6487.93143043561</v>
      </c>
      <c r="J344" s="15" t="n">
        <f aca="false">I344*(1+IF(J$3&lt;=$O$2,$D344,$D344-($D344-$I$319)*MIN(J$3-$O$2,$Q$2)/$Q$2))</f>
        <v>7252.34191746787</v>
      </c>
      <c r="K344" s="15" t="n">
        <f aca="false">J344*(1+IF(K$3&lt;=$O$2,$D344,$D344-($D344-$I$319)*MIN(K$3-$O$2,$Q$2)/$Q$2))</f>
        <v>7926.37659229897</v>
      </c>
      <c r="L344" s="15" t="n">
        <f aca="false">K344*(1+IF(L$3&lt;=$O$2,$D344,$D344-($D344-$I$319)*MIN(L$3-$O$2,$Q$2)/$Q$2))</f>
        <v>8465.84725282696</v>
      </c>
      <c r="M344" s="15" t="n">
        <f aca="false">L344*(1+IF(M$3&lt;=$O$2,$D344,$D344-($D344-$I$319)*MIN(M$3-$O$2,$Q$2)/$Q$2))</f>
        <v>8831.40332204462</v>
      </c>
      <c r="N344" s="15" t="n">
        <f aca="false">M344*(1+IF(N$3&lt;=$O$2,$D344,$D344-($D344-$I$319)*MIN(N$3-$O$2,$Q$2)/$Q$2))</f>
        <v>8993.01800283804</v>
      </c>
      <c r="O344" s="15" t="n">
        <f aca="false">SUMPRODUCT(E344:N344,1/(1+$F$319)^$E$3:$N$3)*$E$2</f>
        <v>21069.4376001392</v>
      </c>
      <c r="P344" s="15" t="n">
        <f aca="false">N344*$E$2*(1+$I$319)/($F$319-$I$319)/(1+$F$319)^$N$3</f>
        <v>25887.8831644345</v>
      </c>
      <c r="Q344" s="15" t="n">
        <f aca="false">O344+P344</f>
        <v>46957.3207645737</v>
      </c>
      <c r="R344" s="15" t="n">
        <f aca="false">Q344-$G$2+$I$2</f>
        <v>40770.0207645737</v>
      </c>
      <c r="S344" s="42" t="n">
        <f aca="false">R344/$K$2</f>
        <v>560.798084794687</v>
      </c>
      <c r="T344" s="43" t="n">
        <f aca="false">S344-$M$2</f>
        <v>0.000285619996020614</v>
      </c>
    </row>
    <row r="346" customFormat="false" ht="15" hidden="false" customHeight="false" outlineLevel="0" collapsed="false">
      <c r="A346" s="38" t="s">
        <v>193</v>
      </c>
      <c r="E346" s="5" t="s">
        <v>11</v>
      </c>
      <c r="F346" s="12" t="n">
        <f aca="false">Sensitivity!$B$12</f>
        <v>0.0953306228759286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162</v>
      </c>
      <c r="B347" s="28" t="s">
        <v>163</v>
      </c>
      <c r="C347" s="28" t="s">
        <v>164</v>
      </c>
      <c r="D347" s="28" t="s">
        <v>165</v>
      </c>
      <c r="E347" s="28" t="s">
        <v>166</v>
      </c>
      <c r="F347" s="28" t="s">
        <v>167</v>
      </c>
      <c r="G347" s="28" t="s">
        <v>168</v>
      </c>
      <c r="H347" s="28" t="s">
        <v>169</v>
      </c>
      <c r="I347" s="28" t="s">
        <v>170</v>
      </c>
      <c r="J347" s="28" t="s">
        <v>171</v>
      </c>
      <c r="K347" s="28" t="s">
        <v>172</v>
      </c>
      <c r="L347" s="28" t="s">
        <v>173</v>
      </c>
      <c r="M347" s="28" t="s">
        <v>174</v>
      </c>
      <c r="N347" s="28" t="s">
        <v>175</v>
      </c>
      <c r="O347" s="28" t="s">
        <v>176</v>
      </c>
      <c r="P347" s="28" t="s">
        <v>177</v>
      </c>
      <c r="Q347" s="28" t="s">
        <v>178</v>
      </c>
      <c r="R347" s="28" t="s">
        <v>179</v>
      </c>
      <c r="S347" s="28" t="s">
        <v>180</v>
      </c>
      <c r="T347" s="28" t="s">
        <v>181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4162.5</v>
      </c>
      <c r="F348" s="15" t="n">
        <f aca="false">E348*(1+IF(F$3&lt;=$O$2,$D348,$D348-($D348-$I$346)*MIN(F$3-$O$2,$Q$2)/$Q$2))</f>
        <v>5203.125</v>
      </c>
      <c r="G348" s="15" t="n">
        <f aca="false">F348*(1+IF(G$3&lt;=$O$2,$D348,$D348-($D348-$I$346)*MIN(G$3-$O$2,$Q$2)/$Q$2))</f>
        <v>6503.90625</v>
      </c>
      <c r="H348" s="15" t="n">
        <f aca="false">G348*(1+IF(H$3&lt;=$O$2,$D348,$D348-($D348-$I$346)*MIN(H$3-$O$2,$Q$2)/$Q$2))</f>
        <v>8129.8828125</v>
      </c>
      <c r="I348" s="15" t="n">
        <f aca="false">H348*(1+IF(I$3&lt;=$O$2,$D348,$D348-($D348-$I$346)*MIN(I$3-$O$2,$Q$2)/$Q$2))</f>
        <v>10162.353515625</v>
      </c>
      <c r="J348" s="15" t="n">
        <f aca="false">I348*(1+IF(J$3&lt;=$O$2,$D348,$D348-($D348-$I$346)*MIN(J$3-$O$2,$Q$2)/$Q$2))</f>
        <v>12242.1807861328</v>
      </c>
      <c r="K348" s="15" t="n">
        <f aca="false">J348*(1+IF(K$3&lt;=$O$2,$D348,$D348-($D348-$I$346)*MIN(K$3-$O$2,$Q$2)/$Q$2))</f>
        <v>14192.6050289795</v>
      </c>
      <c r="L348" s="15" t="n">
        <f aca="false">K348*(1+IF(L$3&lt;=$O$2,$D348,$D348-($D348-$I$346)*MIN(L$3-$O$2,$Q$2)/$Q$2))</f>
        <v>15810.2781501826</v>
      </c>
      <c r="M348" s="15" t="n">
        <f aca="false">L348*(1+IF(M$3&lt;=$O$2,$D348,$D348-($D348-$I$346)*MIN(M$3-$O$2,$Q$2)/$Q$2))</f>
        <v>16895.4956424111</v>
      </c>
      <c r="N348" s="15" t="n">
        <f aca="false">M348*(1+IF(N$3&lt;=$O$2,$D348,$D348-($D348-$I$346)*MIN(N$3-$O$2,$Q$2)/$Q$2))</f>
        <v>17289.1606908793</v>
      </c>
      <c r="O348" s="15" t="n">
        <f aca="false">SUMPRODUCT(E348:N348,1/(1+$F$346)^$E$3:$N$3)*$E$2</f>
        <v>33453.7639088957</v>
      </c>
      <c r="P348" s="15" t="n">
        <f aca="false">N348*$E$2*(1+$I$346)/($F$346-$I$346)/(1+$F$346)^$N$3</f>
        <v>53485.795260842</v>
      </c>
      <c r="Q348" s="15" t="n">
        <f aca="false">O348+P348</f>
        <v>86939.5591697377</v>
      </c>
      <c r="R348" s="15" t="n">
        <f aca="false">Q348-$G$2+$I$2</f>
        <v>80752.2591697377</v>
      </c>
      <c r="S348" s="42" t="n">
        <f aca="false">R348/$K$2</f>
        <v>1110.76009862088</v>
      </c>
      <c r="T348" s="43" t="n">
        <f aca="false">S348-$M$2</f>
        <v>549.962299446186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2913.75</v>
      </c>
      <c r="F349" s="15" t="n">
        <f aca="false">E349*(1+IF(F$3&lt;=$O$2,$D349,$D349-($D349-$I$346)*MIN(F$3-$O$2,$Q$2)/$Q$2))</f>
        <v>2549.53125</v>
      </c>
      <c r="G349" s="15" t="n">
        <f aca="false">F349*(1+IF(G$3&lt;=$O$2,$D349,$D349-($D349-$I$346)*MIN(G$3-$O$2,$Q$2)/$Q$2))</f>
        <v>2230.83984375</v>
      </c>
      <c r="H349" s="15" t="n">
        <f aca="false">G349*(1+IF(H$3&lt;=$O$2,$D349,$D349-($D349-$I$346)*MIN(H$3-$O$2,$Q$2)/$Q$2))</f>
        <v>1951.98486328125</v>
      </c>
      <c r="I349" s="15" t="n">
        <f aca="false">H349*(1+IF(I$3&lt;=$O$2,$D349,$D349-($D349-$I$346)*MIN(I$3-$O$2,$Q$2)/$Q$2))</f>
        <v>1707.98675537109</v>
      </c>
      <c r="J349" s="15" t="n">
        <f aca="false">I349*(1+IF(J$3&lt;=$O$2,$D349,$D349-($D349-$I$346)*MIN(J$3-$O$2,$Q$2)/$Q$2))</f>
        <v>1545.14729811401</v>
      </c>
      <c r="K349" s="15" t="n">
        <f aca="false">J349*(1+IF(K$3&lt;=$O$2,$D349,$D349-($D349-$I$346)*MIN(K$3-$O$2,$Q$2)/$Q$2))</f>
        <v>1443.66202357389</v>
      </c>
      <c r="L349" s="15" t="n">
        <f aca="false">K349*(1+IF(L$3&lt;=$O$2,$D349,$D349-($D349-$I$346)*MIN(L$3-$O$2,$Q$2)/$Q$2))</f>
        <v>1391.66131748475</v>
      </c>
      <c r="M349" s="15" t="n">
        <f aca="false">L349*(1+IF(M$3&lt;=$O$2,$D349,$D349-($D349-$I$346)*MIN(M$3-$O$2,$Q$2)/$Q$2))</f>
        <v>1382.81035150555</v>
      </c>
      <c r="N349" s="15" t="n">
        <f aca="false">M349*(1+IF(N$3&lt;=$O$2,$D349,$D349-($D349-$I$346)*MIN(N$3-$O$2,$Q$2)/$Q$2))</f>
        <v>1415.02983269563</v>
      </c>
      <c r="O349" s="15" t="n">
        <f aca="false">SUMPRODUCT(E349:N349,1/(1+$F$346)^$E$3:$N$3)*$E$2</f>
        <v>6728.51529033686</v>
      </c>
      <c r="P349" s="15" t="n">
        <f aca="false">N349*$E$2*(1+$I$346)/($F$346-$I$346)/(1+$F$346)^$N$3</f>
        <v>4377.54019832023</v>
      </c>
      <c r="Q349" s="15" t="n">
        <f aca="false">O349+P349</f>
        <v>11106.0554886571</v>
      </c>
      <c r="R349" s="15" t="n">
        <f aca="false">Q349-$G$2+$I$2</f>
        <v>4918.75548865709</v>
      </c>
      <c r="S349" s="42" t="n">
        <f aca="false">R349/$K$2</f>
        <v>67.6582598164661</v>
      </c>
      <c r="T349" s="43" t="n">
        <f aca="false">S349-$M$2</f>
        <v>-493.139539358224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3538.125</v>
      </c>
      <c r="F350" s="15" t="n">
        <f aca="false">E350*(1+IF(F$3&lt;=$O$2,$D350,$D350-($D350-$I$346)*MIN(F$3-$O$2,$Q$2)/$Q$2))</f>
        <v>3759.2578125</v>
      </c>
      <c r="G350" s="15" t="n">
        <f aca="false">F350*(1+IF(G$3&lt;=$O$2,$D350,$D350-($D350-$I$346)*MIN(G$3-$O$2,$Q$2)/$Q$2))</f>
        <v>3994.21142578125</v>
      </c>
      <c r="H350" s="15" t="n">
        <f aca="false">G350*(1+IF(H$3&lt;=$O$2,$D350,$D350-($D350-$I$346)*MIN(H$3-$O$2,$Q$2)/$Q$2))</f>
        <v>4243.84963989258</v>
      </c>
      <c r="I350" s="15" t="n">
        <f aca="false">H350*(1+IF(I$3&lt;=$O$2,$D350,$D350-($D350-$I$346)*MIN(I$3-$O$2,$Q$2)/$Q$2))</f>
        <v>4509.09024238586</v>
      </c>
      <c r="J350" s="15" t="n">
        <f aca="false">I350*(1+IF(J$3&lt;=$O$2,$D350,$D350-($D350-$I$346)*MIN(J$3-$O$2,$Q$2)/$Q$2))</f>
        <v>4755.55711503468</v>
      </c>
      <c r="K350" s="15" t="n">
        <f aca="false">J350*(1+IF(K$3&lt;=$O$2,$D350,$D350-($D350-$I$346)*MIN(K$3-$O$2,$Q$2)/$Q$2))</f>
        <v>4978.2122991606</v>
      </c>
      <c r="L350" s="15" t="n">
        <f aca="false">K350*(1+IF(L$3&lt;=$O$2,$D350,$D350-($D350-$I$346)*MIN(L$3-$O$2,$Q$2)/$Q$2))</f>
        <v>5172.26301458188</v>
      </c>
      <c r="M350" s="15" t="n">
        <f aca="false">L350*(1+IF(M$3&lt;=$O$2,$D350,$D350-($D350-$I$346)*MIN(M$3-$O$2,$Q$2)/$Q$2))</f>
        <v>5333.32728485596</v>
      </c>
      <c r="N350" s="15" t="n">
        <f aca="false">M350*(1+IF(N$3&lt;=$O$2,$D350,$D350-($D350-$I$346)*MIN(N$3-$O$2,$Q$2)/$Q$2))</f>
        <v>5457.5938105931</v>
      </c>
      <c r="O350" s="15" t="n">
        <f aca="false">SUMPRODUCT(E350:N350,1/(1+$F$346)^$E$3:$N$3)*$E$2</f>
        <v>14960.7930756481</v>
      </c>
      <c r="P350" s="15" t="n">
        <f aca="false">N350*$E$2*(1+$I$346)/($F$346-$I$346)/(1+$F$346)^$N$3</f>
        <v>16883.6272847075</v>
      </c>
      <c r="Q350" s="15" t="n">
        <f aca="false">O350+P350</f>
        <v>31844.4203603556</v>
      </c>
      <c r="R350" s="15" t="n">
        <f aca="false">Q350-$G$2+$I$2</f>
        <v>25657.1203603556</v>
      </c>
      <c r="S350" s="42" t="n">
        <f aca="false">R350/$K$2</f>
        <v>352.917749110806</v>
      </c>
      <c r="T350" s="43" t="n">
        <f aca="false">S350-$M$2</f>
        <v>-207.880050063884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41" t="n">
        <f aca="false">(B351+C351)/2</f>
        <v>0.15625</v>
      </c>
      <c r="E351" s="15" t="n">
        <f aca="false">$C$2*(1+IF(E$3&lt;=$O$2,$D351,$D351-($D351-$I$346)*MIN(E$3-$O$2,$Q$2)/$Q$2))</f>
        <v>3850.3125</v>
      </c>
      <c r="F351" s="15" t="n">
        <f aca="false">E351*(1+IF(F$3&lt;=$O$2,$D351,$D351-($D351-$I$346)*MIN(F$3-$O$2,$Q$2)/$Q$2))</f>
        <v>4451.923828125</v>
      </c>
      <c r="G351" s="15" t="n">
        <f aca="false">F351*(1+IF(G$3&lt;=$O$2,$D351,$D351-($D351-$I$346)*MIN(G$3-$O$2,$Q$2)/$Q$2))</f>
        <v>5147.53692626953</v>
      </c>
      <c r="H351" s="15" t="n">
        <f aca="false">G351*(1+IF(H$3&lt;=$O$2,$D351,$D351-($D351-$I$346)*MIN(H$3-$O$2,$Q$2)/$Q$2))</f>
        <v>5951.83957099915</v>
      </c>
      <c r="I351" s="15" t="n">
        <f aca="false">H351*(1+IF(I$3&lt;=$O$2,$D351,$D351-($D351-$I$346)*MIN(I$3-$O$2,$Q$2)/$Q$2))</f>
        <v>6881.81450396776</v>
      </c>
      <c r="J351" s="15" t="n">
        <f aca="false">I351*(1+IF(J$3&lt;=$O$2,$D351,$D351-($D351-$I$346)*MIN(J$3-$O$2,$Q$2)/$Q$2))</f>
        <v>7774.11057255222</v>
      </c>
      <c r="K351" s="15" t="n">
        <f aca="false">J351*(1+IF(K$3&lt;=$O$2,$D351,$D351-($D351-$I$346)*MIN(K$3-$O$2,$Q$2)/$Q$2))</f>
        <v>8575.38814926518</v>
      </c>
      <c r="L351" s="15" t="n">
        <f aca="false">K351*(1+IF(L$3&lt;=$O$2,$D351,$D351-($D351-$I$346)*MIN(L$3-$O$2,$Q$2)/$Q$2))</f>
        <v>9231.23383492098</v>
      </c>
      <c r="M351" s="15" t="n">
        <f aca="false">L351*(1+IF(M$3&lt;=$O$2,$D351,$D351-($D351-$I$346)*MIN(M$3-$O$2,$Q$2)/$Q$2))</f>
        <v>9691.78009094519</v>
      </c>
      <c r="N351" s="15" t="n">
        <f aca="false">M351*(1+IF(N$3&lt;=$O$2,$D351,$D351-($D351-$I$346)*MIN(N$3-$O$2,$Q$2)/$Q$2))</f>
        <v>9917.59856706421</v>
      </c>
      <c r="O351" s="15" t="n">
        <f aca="false">SUMPRODUCT(E351:N351,1/(1+$F$346)^$E$3:$N$3)*$E$2</f>
        <v>22406.3036167731</v>
      </c>
      <c r="P351" s="15" t="n">
        <f aca="false">N351*$E$2*(1+$I$346)/($F$346-$I$346)/(1+$F$346)^$N$3</f>
        <v>30681.1103165378</v>
      </c>
      <c r="Q351" s="15" t="n">
        <f aca="false">O351+P351</f>
        <v>53087.413933311</v>
      </c>
      <c r="R351" s="15" t="n">
        <f aca="false">Q351-$G$2+$I$2</f>
        <v>46900.113933311</v>
      </c>
      <c r="S351" s="42" t="n">
        <f aca="false">R351/$K$2</f>
        <v>645.118486015281</v>
      </c>
      <c r="T351" s="43" t="n">
        <f aca="false">S351-$M$2</f>
        <v>84.3206868405908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41" t="n">
        <f aca="false">(B352+C352)/2</f>
        <v>0.109375</v>
      </c>
      <c r="E352" s="15" t="n">
        <f aca="false">$C$2*(1+IF(E$3&lt;=$O$2,$D352,$D352-($D352-$I$346)*MIN(E$3-$O$2,$Q$2)/$Q$2))</f>
        <v>3694.21875</v>
      </c>
      <c r="F352" s="15" t="n">
        <f aca="false">E352*(1+IF(F$3&lt;=$O$2,$D352,$D352-($D352-$I$346)*MIN(F$3-$O$2,$Q$2)/$Q$2))</f>
        <v>4098.27392578125</v>
      </c>
      <c r="G352" s="15" t="n">
        <f aca="false">F352*(1+IF(G$3&lt;=$O$2,$D352,$D352-($D352-$I$346)*MIN(G$3-$O$2,$Q$2)/$Q$2))</f>
        <v>4546.52263641357</v>
      </c>
      <c r="H352" s="15" t="n">
        <f aca="false">G352*(1+IF(H$3&lt;=$O$2,$D352,$D352-($D352-$I$346)*MIN(H$3-$O$2,$Q$2)/$Q$2))</f>
        <v>5043.79854977131</v>
      </c>
      <c r="I352" s="15" t="n">
        <f aca="false">H352*(1+IF(I$3&lt;=$O$2,$D352,$D352-($D352-$I$346)*MIN(I$3-$O$2,$Q$2)/$Q$2))</f>
        <v>5595.46401615255</v>
      </c>
      <c r="J352" s="15" t="n">
        <f aca="false">I352*(1+IF(J$3&lt;=$O$2,$D352,$D352-($D352-$I$346)*MIN(J$3-$O$2,$Q$2)/$Q$2))</f>
        <v>6111.14197988117</v>
      </c>
      <c r="K352" s="15" t="n">
        <f aca="false">J352*(1+IF(K$3&lt;=$O$2,$D352,$D352-($D352-$I$346)*MIN(K$3-$O$2,$Q$2)/$Q$2))</f>
        <v>6569.14151556336</v>
      </c>
      <c r="L352" s="15" t="n">
        <f aca="false">K352*(1+IF(L$3&lt;=$O$2,$D352,$D352-($D352-$I$346)*MIN(L$3-$O$2,$Q$2)/$Q$2))</f>
        <v>6948.37805525683</v>
      </c>
      <c r="M352" s="15" t="n">
        <f aca="false">L352*(1+IF(M$3&lt;=$O$2,$D352,$D352-($D352-$I$346)*MIN(M$3-$O$2,$Q$2)/$Q$2))</f>
        <v>7229.89159216556</v>
      </c>
      <c r="N352" s="15" t="n">
        <f aca="false">M352*(1+IF(N$3&lt;=$O$2,$D352,$D352-($D352-$I$346)*MIN(N$3-$O$2,$Q$2)/$Q$2))</f>
        <v>7398.34806626302</v>
      </c>
      <c r="O352" s="15" t="n">
        <f aca="false">SUMPRODUCT(E352:N352,1/(1+$F$346)^$E$3:$N$3)*$E$2</f>
        <v>18311.3637052064</v>
      </c>
      <c r="P352" s="15" t="n">
        <f aca="false">N352*$E$2*(1+$I$346)/($F$346-$I$346)/(1+$F$346)^$N$3</f>
        <v>22887.550009836</v>
      </c>
      <c r="Q352" s="15" t="n">
        <f aca="false">O352+P352</f>
        <v>41198.9137150424</v>
      </c>
      <c r="R352" s="15" t="n">
        <f aca="false">Q352-$G$2+$I$2</f>
        <v>35011.6137150424</v>
      </c>
      <c r="S352" s="42" t="n">
        <f aca="false">R352/$K$2</f>
        <v>481.590284938684</v>
      </c>
      <c r="T352" s="43" t="n">
        <f aca="false">S352-$M$2</f>
        <v>-79.207514236006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0.109375</v>
      </c>
      <c r="C353" s="25" t="n">
        <f aca="false">IF(T352&gt;0,D352,C352)</f>
        <v>0.15625</v>
      </c>
      <c r="D353" s="41" t="n">
        <f aca="false">(B353+C353)/2</f>
        <v>0.1328125</v>
      </c>
      <c r="E353" s="15" t="n">
        <f aca="false">$C$2*(1+IF(E$3&lt;=$O$2,$D353,$D353-($D353-$I$346)*MIN(E$3-$O$2,$Q$2)/$Q$2))</f>
        <v>3772.265625</v>
      </c>
      <c r="F353" s="15" t="n">
        <f aca="false">E353*(1+IF(F$3&lt;=$O$2,$D353,$D353-($D353-$I$346)*MIN(F$3-$O$2,$Q$2)/$Q$2))</f>
        <v>4273.26965332031</v>
      </c>
      <c r="G353" s="15" t="n">
        <f aca="false">F353*(1+IF(G$3&lt;=$O$2,$D353,$D353-($D353-$I$346)*MIN(G$3-$O$2,$Q$2)/$Q$2))</f>
        <v>4840.81327915192</v>
      </c>
      <c r="H353" s="15" t="n">
        <f aca="false">G353*(1+IF(H$3&lt;=$O$2,$D353,$D353-($D353-$I$346)*MIN(H$3-$O$2,$Q$2)/$Q$2))</f>
        <v>5483.73379278928</v>
      </c>
      <c r="I353" s="15" t="n">
        <f aca="false">H353*(1+IF(I$3&lt;=$O$2,$D353,$D353-($D353-$I$346)*MIN(I$3-$O$2,$Q$2)/$Q$2))</f>
        <v>6212.04218714411</v>
      </c>
      <c r="J353" s="15" t="n">
        <f aca="false">I353*(1+IF(J$3&lt;=$O$2,$D353,$D353-($D353-$I$346)*MIN(J$3-$O$2,$Q$2)/$Q$2))</f>
        <v>6901.01978612026</v>
      </c>
      <c r="K353" s="15" t="n">
        <f aca="false">J353*(1+IF(K$3&lt;=$O$2,$D353,$D353-($D353-$I$346)*MIN(K$3-$O$2,$Q$2)/$Q$2))</f>
        <v>7515.26230473336</v>
      </c>
      <c r="L353" s="15" t="n">
        <f aca="false">K353*(1+IF(L$3&lt;=$O$2,$D353,$D353-($D353-$I$346)*MIN(L$3-$O$2,$Q$2)/$Q$2))</f>
        <v>8019.57398169249</v>
      </c>
      <c r="M353" s="15" t="n">
        <f aca="false">L353*(1+IF(M$3&lt;=$O$2,$D353,$D353-($D353-$I$346)*MIN(M$3-$O$2,$Q$2)/$Q$2))</f>
        <v>8382.07877459994</v>
      </c>
      <c r="N353" s="15" t="n">
        <f aca="false">M353*(1+IF(N$3&lt;=$O$2,$D353,$D353-($D353-$I$346)*MIN(N$3-$O$2,$Q$2)/$Q$2))</f>
        <v>8577.38121004813</v>
      </c>
      <c r="O353" s="15" t="n">
        <f aca="false">SUMPRODUCT(E353:N353,1/(1+$F$346)^$E$3:$N$3)*$E$2</f>
        <v>20256.9826684104</v>
      </c>
      <c r="P353" s="15" t="n">
        <f aca="false">N353*$E$2*(1+$I$346)/($F$346-$I$346)/(1+$F$346)^$N$3</f>
        <v>26535.0101995897</v>
      </c>
      <c r="Q353" s="15" t="n">
        <f aca="false">O353+P353</f>
        <v>46791.9928680001</v>
      </c>
      <c r="R353" s="15" t="n">
        <f aca="false">Q353-$G$2+$I$2</f>
        <v>40604.6928680001</v>
      </c>
      <c r="S353" s="42" t="n">
        <f aca="false">R353/$K$2</f>
        <v>558.523973425036</v>
      </c>
      <c r="T353" s="43" t="n">
        <f aca="false">S353-$M$2</f>
        <v>-2.27382574965441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0.1328125</v>
      </c>
      <c r="C354" s="25" t="n">
        <f aca="false">IF(T353&gt;0,D353,C353)</f>
        <v>0.15625</v>
      </c>
      <c r="D354" s="41" t="n">
        <f aca="false">(B354+C354)/2</f>
        <v>0.14453125</v>
      </c>
      <c r="E354" s="15" t="n">
        <f aca="false">$C$2*(1+IF(E$3&lt;=$O$2,$D354,$D354-($D354-$I$346)*MIN(E$3-$O$2,$Q$2)/$Q$2))</f>
        <v>3811.2890625</v>
      </c>
      <c r="F354" s="15" t="n">
        <f aca="false">E354*(1+IF(F$3&lt;=$O$2,$D354,$D354-($D354-$I$346)*MIN(F$3-$O$2,$Q$2)/$Q$2))</f>
        <v>4362.13943481445</v>
      </c>
      <c r="G354" s="15" t="n">
        <f aca="false">F354*(1+IF(G$3&lt;=$O$2,$D354,$D354-($D354-$I$346)*MIN(G$3-$O$2,$Q$2)/$Q$2))</f>
        <v>4992.60490000248</v>
      </c>
      <c r="H354" s="15" t="n">
        <f aca="false">G354*(1+IF(H$3&lt;=$O$2,$D354,$D354-($D354-$I$346)*MIN(H$3-$O$2,$Q$2)/$Q$2))</f>
        <v>5714.19232695596</v>
      </c>
      <c r="I354" s="15" t="n">
        <f aca="false">H354*(1+IF(I$3&lt;=$O$2,$D354,$D354-($D354-$I$346)*MIN(I$3-$O$2,$Q$2)/$Q$2))</f>
        <v>6540.07168671132</v>
      </c>
      <c r="J354" s="15" t="n">
        <f aca="false">I354*(1+IF(J$3&lt;=$O$2,$D354,$D354-($D354-$I$346)*MIN(J$3-$O$2,$Q$2)/$Q$2))</f>
        <v>7326.74420954739</v>
      </c>
      <c r="K354" s="15" t="n">
        <f aca="false">J354*(1+IF(K$3&lt;=$O$2,$D354,$D354-($D354-$I$346)*MIN(K$3-$O$2,$Q$2)/$Q$2))</f>
        <v>8030.39556500206</v>
      </c>
      <c r="L354" s="15" t="n">
        <f aca="false">K354*(1+IF(L$3&lt;=$O$2,$D354,$D354-($D354-$I$346)*MIN(L$3-$O$2,$Q$2)/$Q$2))</f>
        <v>8606.91773860247</v>
      </c>
      <c r="M354" s="15" t="n">
        <f aca="false">L354*(1+IF(M$3&lt;=$O$2,$D354,$D354-($D354-$I$346)*MIN(M$3-$O$2,$Q$2)/$Q$2))</f>
        <v>9016.14440113149</v>
      </c>
      <c r="N354" s="15" t="n">
        <f aca="false">M354*(1+IF(N$3&lt;=$O$2,$D354,$D354-($D354-$I$346)*MIN(N$3-$O$2,$Q$2)/$Q$2))</f>
        <v>9226.22056567786</v>
      </c>
      <c r="O354" s="15" t="n">
        <f aca="false">SUMPRODUCT(E354:N354,1/(1+$F$346)^$E$3:$N$3)*$E$2</f>
        <v>21305.0013190712</v>
      </c>
      <c r="P354" s="15" t="n">
        <f aca="false">N354*$E$2*(1+$I$346)/($F$346-$I$346)/(1+$F$346)^$N$3</f>
        <v>28542.2614220679</v>
      </c>
      <c r="Q354" s="15" t="n">
        <f aca="false">O354+P354</f>
        <v>49847.2627411391</v>
      </c>
      <c r="R354" s="15" t="n">
        <f aca="false">Q354-$G$2+$I$2</f>
        <v>43659.9627411391</v>
      </c>
      <c r="S354" s="42" t="n">
        <f aca="false">R354/$K$2</f>
        <v>600.549693825847</v>
      </c>
      <c r="T354" s="43" t="n">
        <f aca="false">S354-$M$2</f>
        <v>39.7518946511566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0.1328125</v>
      </c>
      <c r="C355" s="25" t="n">
        <f aca="false">IF(T354&gt;0,D354,C354)</f>
        <v>0.14453125</v>
      </c>
      <c r="D355" s="41" t="n">
        <f aca="false">(B355+C355)/2</f>
        <v>0.138671875</v>
      </c>
      <c r="E355" s="15" t="n">
        <f aca="false">$C$2*(1+IF(E$3&lt;=$O$2,$D355,$D355-($D355-$I$346)*MIN(E$3-$O$2,$Q$2)/$Q$2))</f>
        <v>3791.77734375</v>
      </c>
      <c r="F355" s="15" t="n">
        <f aca="false">E355*(1+IF(F$3&lt;=$O$2,$D355,$D355-($D355-$I$346)*MIN(F$3-$O$2,$Q$2)/$Q$2))</f>
        <v>4317.59021759033</v>
      </c>
      <c r="G355" s="15" t="n">
        <f aca="false">F355*(1+IF(G$3&lt;=$O$2,$D355,$D355-($D355-$I$346)*MIN(G$3-$O$2,$Q$2)/$Q$2))</f>
        <v>4916.31854854524</v>
      </c>
      <c r="H355" s="15" t="n">
        <f aca="false">G355*(1+IF(H$3&lt;=$O$2,$D355,$D355-($D355-$I$346)*MIN(H$3-$O$2,$Q$2)/$Q$2))</f>
        <v>5598.07365976929</v>
      </c>
      <c r="I355" s="15" t="n">
        <f aca="false">H355*(1+IF(I$3&lt;=$O$2,$D355,$D355-($D355-$I$346)*MIN(I$3-$O$2,$Q$2)/$Q$2))</f>
        <v>6374.36903055761</v>
      </c>
      <c r="J355" s="15" t="n">
        <f aca="false">I355*(1+IF(J$3&lt;=$O$2,$D355,$D355-($D355-$I$346)*MIN(J$3-$O$2,$Q$2)/$Q$2))</f>
        <v>7111.23015456749</v>
      </c>
      <c r="K355" s="15" t="n">
        <f aca="false">J355*(1+IF(K$3&lt;=$O$2,$D355,$D355-($D355-$I$346)*MIN(K$3-$O$2,$Q$2)/$Q$2))</f>
        <v>7769.18339106231</v>
      </c>
      <c r="L355" s="15" t="n">
        <f aca="false">K355*(1+IF(L$3&lt;=$O$2,$D355,$D355-($D355-$I$346)*MIN(L$3-$O$2,$Q$2)/$Q$2))</f>
        <v>8308.74346609235</v>
      </c>
      <c r="M355" s="15" t="n">
        <f aca="false">L355*(1+IF(M$3&lt;=$O$2,$D355,$D355-($D355-$I$346)*MIN(M$3-$O$2,$Q$2)/$Q$2))</f>
        <v>8694.05625136771</v>
      </c>
      <c r="N355" s="15" t="n">
        <f aca="false">M355*(1+IF(N$3&lt;=$O$2,$D355,$D355-($D355-$I$346)*MIN(N$3-$O$2,$Q$2)/$Q$2))</f>
        <v>8896.62776202458</v>
      </c>
      <c r="O355" s="15" t="n">
        <f aca="false">SUMPRODUCT(E355:N355,1/(1+$F$346)^$E$3:$N$3)*$E$2</f>
        <v>20774.482576404</v>
      </c>
      <c r="P355" s="15" t="n">
        <f aca="false">N355*$E$2*(1+$I$346)/($F$346-$I$346)/(1+$F$346)^$N$3</f>
        <v>27522.6322144484</v>
      </c>
      <c r="Q355" s="15" t="n">
        <f aca="false">O355+P355</f>
        <v>48297.1147908524</v>
      </c>
      <c r="R355" s="15" t="n">
        <f aca="false">Q355-$G$2+$I$2</f>
        <v>42109.8147908524</v>
      </c>
      <c r="S355" s="42" t="n">
        <f aca="false">R355/$K$2</f>
        <v>579.227163560556</v>
      </c>
      <c r="T355" s="43" t="n">
        <f aca="false">S355-$M$2</f>
        <v>18.4293643858654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0.1328125</v>
      </c>
      <c r="C356" s="25" t="n">
        <f aca="false">IF(T355&gt;0,D355,C355)</f>
        <v>0.138671875</v>
      </c>
      <c r="D356" s="41" t="n">
        <f aca="false">(B356+C356)/2</f>
        <v>0.1357421875</v>
      </c>
      <c r="E356" s="15" t="n">
        <f aca="false">$C$2*(1+IF(E$3&lt;=$O$2,$D356,$D356-($D356-$I$346)*MIN(E$3-$O$2,$Q$2)/$Q$2))</f>
        <v>3782.021484375</v>
      </c>
      <c r="F356" s="15" t="n">
        <f aca="false">E356*(1+IF(F$3&lt;=$O$2,$D356,$D356-($D356-$I$346)*MIN(F$3-$O$2,$Q$2)/$Q$2))</f>
        <v>4295.40135383606</v>
      </c>
      <c r="G356" s="15" t="n">
        <f aca="false">F356*(1+IF(G$3&lt;=$O$2,$D356,$D356-($D356-$I$346)*MIN(G$3-$O$2,$Q$2)/$Q$2))</f>
        <v>4878.46852979623</v>
      </c>
      <c r="H356" s="15" t="n">
        <f aca="false">G356*(1+IF(H$3&lt;=$O$2,$D356,$D356-($D356-$I$346)*MIN(H$3-$O$2,$Q$2)/$Q$2))</f>
        <v>5540.68251968068</v>
      </c>
      <c r="I356" s="15" t="n">
        <f aca="false">H356*(1+IF(I$3&lt;=$O$2,$D356,$D356-($D356-$I$346)*MIN(I$3-$O$2,$Q$2)/$Q$2))</f>
        <v>6292.78688514514</v>
      </c>
      <c r="J356" s="15" t="n">
        <f aca="false">I356*(1+IF(J$3&lt;=$O$2,$D356,$D356-($D356-$I$346)*MIN(J$3-$O$2,$Q$2)/$Q$2))</f>
        <v>7005.46859783865</v>
      </c>
      <c r="K356" s="15" t="n">
        <f aca="false">J356*(1+IF(K$3&lt;=$O$2,$D356,$D356-($D356-$I$346)*MIN(K$3-$O$2,$Q$2)/$Q$2))</f>
        <v>7641.32214433041</v>
      </c>
      <c r="L356" s="15" t="n">
        <f aca="false">K356*(1+IF(L$3&lt;=$O$2,$D356,$D356-($D356-$I$346)*MIN(L$3-$O$2,$Q$2)/$Q$2))</f>
        <v>8163.04774121359</v>
      </c>
      <c r="M356" s="15" t="n">
        <f aca="false">L356*(1+IF(M$3&lt;=$O$2,$D356,$D356-($D356-$I$346)*MIN(M$3-$O$2,$Q$2)/$Q$2))</f>
        <v>8536.82094252167</v>
      </c>
      <c r="N356" s="15" t="n">
        <f aca="false">M356*(1+IF(N$3&lt;=$O$2,$D356,$D356-($D356-$I$346)*MIN(N$3-$O$2,$Q$2)/$Q$2))</f>
        <v>8735.72887048242</v>
      </c>
      <c r="O356" s="15" t="n">
        <f aca="false">SUMPRODUCT(E356:N356,1/(1+$F$346)^$E$3:$N$3)*$E$2</f>
        <v>20514.1238234612</v>
      </c>
      <c r="P356" s="15" t="n">
        <f aca="false">N356*$E$2*(1+$I$346)/($F$346-$I$346)/(1+$F$346)^$N$3</f>
        <v>27024.8749592186</v>
      </c>
      <c r="Q356" s="15" t="n">
        <f aca="false">O356+P356</f>
        <v>47538.9987826797</v>
      </c>
      <c r="R356" s="15" t="n">
        <f aca="false">Q356-$G$2+$I$2</f>
        <v>41351.6987826797</v>
      </c>
      <c r="S356" s="42" t="n">
        <f aca="false">R356/$K$2</f>
        <v>568.799157946076</v>
      </c>
      <c r="T356" s="43" t="n">
        <f aca="false">S356-$M$2</f>
        <v>8.0013587713853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0.1328125</v>
      </c>
      <c r="C357" s="25" t="n">
        <f aca="false">IF(T356&gt;0,D356,C356)</f>
        <v>0.1357421875</v>
      </c>
      <c r="D357" s="41" t="n">
        <f aca="false">(B357+C357)/2</f>
        <v>0.13427734375</v>
      </c>
      <c r="E357" s="15" t="n">
        <f aca="false">$C$2*(1+IF(E$3&lt;=$O$2,$D357,$D357-($D357-$I$346)*MIN(E$3-$O$2,$Q$2)/$Q$2))</f>
        <v>3777.1435546875</v>
      </c>
      <c r="F357" s="15" t="n">
        <f aca="false">E357*(1+IF(F$3&lt;=$O$2,$D357,$D357-($D357-$I$346)*MIN(F$3-$O$2,$Q$2)/$Q$2))</f>
        <v>4284.32835817337</v>
      </c>
      <c r="G357" s="15" t="n">
        <f aca="false">F357*(1+IF(G$3&lt;=$O$2,$D357,$D357-($D357-$I$346)*MIN(G$3-$O$2,$Q$2)/$Q$2))</f>
        <v>4859.61658986169</v>
      </c>
      <c r="H357" s="15" t="n">
        <f aca="false">G357*(1+IF(H$3&lt;=$O$2,$D357,$D357-($D357-$I$346)*MIN(H$3-$O$2,$Q$2)/$Q$2))</f>
        <v>5512.15299719175</v>
      </c>
      <c r="I357" s="15" t="n">
        <f aca="false">H357*(1+IF(I$3&lt;=$O$2,$D357,$D357-($D357-$I$346)*MIN(I$3-$O$2,$Q$2)/$Q$2))</f>
        <v>6252.31025999826</v>
      </c>
      <c r="J357" s="15" t="n">
        <f aca="false">I357*(1+IF(J$3&lt;=$O$2,$D357,$D357-($D357-$I$346)*MIN(J$3-$O$2,$Q$2)/$Q$2))</f>
        <v>6953.0809170206</v>
      </c>
      <c r="K357" s="15" t="n">
        <f aca="false">J357*(1+IF(K$3&lt;=$O$2,$D357,$D357-($D357-$I$346)*MIN(K$3-$O$2,$Q$2)/$Q$2))</f>
        <v>7578.06837301704</v>
      </c>
      <c r="L357" s="15" t="n">
        <f aca="false">K357*(1+IF(L$3&lt;=$O$2,$D357,$D357-($D357-$I$346)*MIN(L$3-$O$2,$Q$2)/$Q$2))</f>
        <v>8091.03492562566</v>
      </c>
      <c r="M357" s="15" t="n">
        <f aca="false">L357*(1+IF(M$3&lt;=$O$2,$D357,$D357-($D357-$I$346)*MIN(M$3-$O$2,$Q$2)/$Q$2))</f>
        <v>8459.14035223962</v>
      </c>
      <c r="N357" s="15" t="n">
        <f aca="false">M357*(1+IF(N$3&lt;=$O$2,$D357,$D357-($D357-$I$346)*MIN(N$3-$O$2,$Q$2)/$Q$2))</f>
        <v>8656.23832244681</v>
      </c>
      <c r="O357" s="15" t="n">
        <f aca="false">SUMPRODUCT(E357:N357,1/(1+$F$346)^$E$3:$N$3)*$E$2</f>
        <v>20385.1533455926</v>
      </c>
      <c r="P357" s="15" t="n">
        <f aca="false">N357*$E$2*(1+$I$346)/($F$346-$I$346)/(1+$F$346)^$N$3</f>
        <v>26778.9627802862</v>
      </c>
      <c r="Q357" s="15" t="n">
        <f aca="false">O357+P357</f>
        <v>47164.1161258789</v>
      </c>
      <c r="R357" s="15" t="n">
        <f aca="false">Q357-$G$2+$I$2</f>
        <v>40976.8161258789</v>
      </c>
      <c r="S357" s="42" t="n">
        <f aca="false">R357/$K$2</f>
        <v>563.642587701222</v>
      </c>
      <c r="T357" s="43" t="n">
        <f aca="false">S357-$M$2</f>
        <v>2.84478852653183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0.1328125</v>
      </c>
      <c r="C358" s="25" t="n">
        <f aca="false">IF(T357&gt;0,D357,C357)</f>
        <v>0.13427734375</v>
      </c>
      <c r="D358" s="41" t="n">
        <f aca="false">(B358+C358)/2</f>
        <v>0.133544921875</v>
      </c>
      <c r="E358" s="15" t="n">
        <f aca="false">$C$2*(1+IF(E$3&lt;=$O$2,$D358,$D358-($D358-$I$346)*MIN(E$3-$O$2,$Q$2)/$Q$2))</f>
        <v>3774.70458984375</v>
      </c>
      <c r="F358" s="15" t="n">
        <f aca="false">E358*(1+IF(F$3&lt;=$O$2,$D358,$D358-($D358-$I$346)*MIN(F$3-$O$2,$Q$2)/$Q$2))</f>
        <v>4278.79721939564</v>
      </c>
      <c r="G358" s="15" t="n">
        <f aca="false">F358*(1+IF(G$3&lt;=$O$2,$D358,$D358-($D358-$I$346)*MIN(G$3-$O$2,$Q$2)/$Q$2))</f>
        <v>4850.2088597788</v>
      </c>
      <c r="H358" s="15" t="n">
        <f aca="false">G358*(1+IF(H$3&lt;=$O$2,$D358,$D358-($D358-$I$346)*MIN(H$3-$O$2,$Q$2)/$Q$2))</f>
        <v>5497.92962303539</v>
      </c>
      <c r="I358" s="15" t="n">
        <f aca="false">H358*(1+IF(I$3&lt;=$O$2,$D358,$D358-($D358-$I$346)*MIN(I$3-$O$2,$Q$2)/$Q$2))</f>
        <v>6232.1502050179</v>
      </c>
      <c r="J358" s="15" t="n">
        <f aca="false">I358*(1+IF(J$3&lt;=$O$2,$D358,$D358-($D358-$I$346)*MIN(J$3-$O$2,$Q$2)/$Q$2))</f>
        <v>6927.00963476718</v>
      </c>
      <c r="K358" s="15" t="n">
        <f aca="false">J358*(1+IF(K$3&lt;=$O$2,$D358,$D358-($D358-$I$346)*MIN(K$3-$O$2,$Q$2)/$Q$2))</f>
        <v>7546.60954086463</v>
      </c>
      <c r="L358" s="15" t="n">
        <f aca="false">K358*(1+IF(L$3&lt;=$O$2,$D358,$D358-($D358-$I$346)*MIN(L$3-$O$2,$Q$2)/$Q$2))</f>
        <v>8055.23569486827</v>
      </c>
      <c r="M358" s="15" t="n">
        <f aca="false">L358*(1+IF(M$3&lt;=$O$2,$D358,$D358-($D358-$I$346)*MIN(M$3-$O$2,$Q$2)/$Q$2))</f>
        <v>8420.5324525318</v>
      </c>
      <c r="N358" s="15" t="n">
        <f aca="false">M358*(1+IF(N$3&lt;=$O$2,$D358,$D358-($D358-$I$346)*MIN(N$3-$O$2,$Q$2)/$Q$2))</f>
        <v>8616.73085867579</v>
      </c>
      <c r="O358" s="15" t="n">
        <f aca="false">SUMPRODUCT(E358:N358,1/(1+$F$346)^$E$3:$N$3)*$E$2</f>
        <v>20320.9683180957</v>
      </c>
      <c r="P358" s="15" t="n">
        <f aca="false">N358*$E$2*(1+$I$346)/($F$346-$I$346)/(1+$F$346)^$N$3</f>
        <v>26656.7423812563</v>
      </c>
      <c r="Q358" s="15" t="n">
        <f aca="false">O358+P358</f>
        <v>46977.710699352</v>
      </c>
      <c r="R358" s="15" t="n">
        <f aca="false">Q358-$G$2+$I$2</f>
        <v>40790.410699352</v>
      </c>
      <c r="S358" s="42" t="n">
        <f aca="false">R358/$K$2</f>
        <v>561.078551572929</v>
      </c>
      <c r="T358" s="43" t="n">
        <f aca="false">S358-$M$2</f>
        <v>0.280752398238974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0.1328125</v>
      </c>
      <c r="C359" s="25" t="n">
        <f aca="false">IF(T358&gt;0,D358,C358)</f>
        <v>0.133544921875</v>
      </c>
      <c r="D359" s="41" t="n">
        <f aca="false">(B359+C359)/2</f>
        <v>0.1331787109375</v>
      </c>
      <c r="E359" s="15" t="n">
        <f aca="false">$C$2*(1+IF(E$3&lt;=$O$2,$D359,$D359-($D359-$I$346)*MIN(E$3-$O$2,$Q$2)/$Q$2))</f>
        <v>3773.48510742188</v>
      </c>
      <c r="F359" s="15" t="n">
        <f aca="false">E359*(1+IF(F$3&lt;=$O$2,$D359,$D359-($D359-$I$346)*MIN(F$3-$O$2,$Q$2)/$Q$2))</f>
        <v>4276.03298977017</v>
      </c>
      <c r="G359" s="15" t="n">
        <f aca="false">F359*(1+IF(G$3&lt;=$O$2,$D359,$D359-($D359-$I$346)*MIN(G$3-$O$2,$Q$2)/$Q$2))</f>
        <v>4845.50955127399</v>
      </c>
      <c r="H359" s="15" t="n">
        <f aca="false">G359*(1+IF(H$3&lt;=$O$2,$D359,$D359-($D359-$I$346)*MIN(H$3-$O$2,$Q$2)/$Q$2))</f>
        <v>5490.828267148</v>
      </c>
      <c r="I359" s="15" t="n">
        <f aca="false">H359*(1+IF(I$3&lt;=$O$2,$D359,$D359-($D359-$I$346)*MIN(I$3-$O$2,$Q$2)/$Q$2))</f>
        <v>6222.08969774596</v>
      </c>
      <c r="J359" s="15" t="n">
        <f aca="false">I359*(1+IF(J$3&lt;=$O$2,$D359,$D359-($D359-$I$346)*MIN(J$3-$O$2,$Q$2)/$Q$2))</f>
        <v>6914.0045439641</v>
      </c>
      <c r="K359" s="15" t="n">
        <f aca="false">J359*(1+IF(K$3&lt;=$O$2,$D359,$D359-($D359-$I$346)*MIN(K$3-$O$2,$Q$2)/$Q$2))</f>
        <v>7530.92199386254</v>
      </c>
      <c r="L359" s="15" t="n">
        <f aca="false">K359*(1+IF(L$3&lt;=$O$2,$D359,$D359-($D359-$I$346)*MIN(L$3-$O$2,$Q$2)/$Q$2))</f>
        <v>8037.38767666213</v>
      </c>
      <c r="M359" s="15" t="n">
        <f aca="false">L359*(1+IF(M$3&lt;=$O$2,$D359,$D359-($D359-$I$346)*MIN(M$3-$O$2,$Q$2)/$Q$2))</f>
        <v>8401.28636897168</v>
      </c>
      <c r="N359" s="15" t="n">
        <f aca="false">M359*(1+IF(N$3&lt;=$O$2,$D359,$D359-($D359-$I$346)*MIN(N$3-$O$2,$Q$2)/$Q$2))</f>
        <v>8597.03634136872</v>
      </c>
      <c r="O359" s="15" t="n">
        <f aca="false">SUMPRODUCT(E359:N359,1/(1+$F$346)^$E$3:$N$3)*$E$2</f>
        <v>20288.9506067215</v>
      </c>
      <c r="P359" s="15" t="n">
        <f aca="false">N359*$E$2*(1+$I$346)/($F$346-$I$346)/(1+$F$346)^$N$3</f>
        <v>26595.8153681248</v>
      </c>
      <c r="Q359" s="15" t="n">
        <f aca="false">O359+P359</f>
        <v>46884.7659748463</v>
      </c>
      <c r="R359" s="15" t="n">
        <f aca="false">Q359-$G$2+$I$2</f>
        <v>40697.4659748463</v>
      </c>
      <c r="S359" s="42" t="n">
        <f aca="false">R359/$K$2</f>
        <v>559.800082184956</v>
      </c>
      <c r="T359" s="43" t="n">
        <f aca="false">S359-$M$2</f>
        <v>-0.997716989734613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0.1331787109375</v>
      </c>
      <c r="C360" s="25" t="n">
        <f aca="false">IF(T359&gt;0,D359,C359)</f>
        <v>0.133544921875</v>
      </c>
      <c r="D360" s="41" t="n">
        <f aca="false">(B360+C360)/2</f>
        <v>0.13336181640625</v>
      </c>
      <c r="E360" s="15" t="n">
        <f aca="false">$C$2*(1+IF(E$3&lt;=$O$2,$D360,$D360-($D360-$I$346)*MIN(E$3-$O$2,$Q$2)/$Q$2))</f>
        <v>3774.09484863281</v>
      </c>
      <c r="F360" s="15" t="n">
        <f aca="false">E360*(1+IF(F$3&lt;=$O$2,$D360,$D360-($D360-$I$346)*MIN(F$3-$O$2,$Q$2)/$Q$2))</f>
        <v>4277.41499293596</v>
      </c>
      <c r="G360" s="15" t="n">
        <f aca="false">F360*(1+IF(G$3&lt;=$O$2,$D360,$D360-($D360-$I$346)*MIN(G$3-$O$2,$Q$2)/$Q$2))</f>
        <v>4847.85882591722</v>
      </c>
      <c r="H360" s="15" t="n">
        <f aca="false">G360*(1+IF(H$3&lt;=$O$2,$D360,$D360-($D360-$I$346)*MIN(H$3-$O$2,$Q$2)/$Q$2))</f>
        <v>5494.37808462261</v>
      </c>
      <c r="I360" s="15" t="n">
        <f aca="false">H360*(1+IF(I$3&lt;=$O$2,$D360,$D360-($D360-$I$346)*MIN(I$3-$O$2,$Q$2)/$Q$2))</f>
        <v>6227.11832601058</v>
      </c>
      <c r="J360" s="15" t="n">
        <f aca="false">I360*(1+IF(J$3&lt;=$O$2,$D360,$D360-($D360-$I$346)*MIN(J$3-$O$2,$Q$2)/$Q$2))</f>
        <v>6920.50454615652</v>
      </c>
      <c r="K360" s="15" t="n">
        <f aca="false">J360*(1+IF(K$3&lt;=$O$2,$D360,$D360-($D360-$I$346)*MIN(K$3-$O$2,$Q$2)/$Q$2))</f>
        <v>7538.76228256058</v>
      </c>
      <c r="L360" s="15" t="n">
        <f aca="false">K360*(1+IF(L$3&lt;=$O$2,$D360,$D360-($D360-$I$346)*MIN(L$3-$O$2,$Q$2)/$Q$2))</f>
        <v>8046.30739185367</v>
      </c>
      <c r="M360" s="15" t="n">
        <f aca="false">L360*(1+IF(M$3&lt;=$O$2,$D360,$D360-($D360-$I$346)*MIN(M$3-$O$2,$Q$2)/$Q$2))</f>
        <v>8410.90459546595</v>
      </c>
      <c r="N360" s="15" t="n">
        <f aca="false">M360*(1+IF(N$3&lt;=$O$2,$D360,$D360-($D360-$I$346)*MIN(N$3-$O$2,$Q$2)/$Q$2))</f>
        <v>8606.8786725403</v>
      </c>
      <c r="O360" s="15" t="n">
        <f aca="false">SUMPRODUCT(E360:N360,1/(1+$F$346)^$E$3:$N$3)*$E$2</f>
        <v>20304.9532363173</v>
      </c>
      <c r="P360" s="15" t="n">
        <f aca="false">N360*$E$2*(1+$I$346)/($F$346-$I$346)/(1+$F$346)^$N$3</f>
        <v>26626.2636310188</v>
      </c>
      <c r="Q360" s="15" t="n">
        <f aca="false">O360+P360</f>
        <v>46931.2168673361</v>
      </c>
      <c r="R360" s="15" t="n">
        <f aca="false">Q360-$G$2+$I$2</f>
        <v>40743.9168673361</v>
      </c>
      <c r="S360" s="42" t="n">
        <f aca="false">R360/$K$2</f>
        <v>560.439021558955</v>
      </c>
      <c r="T360" s="43" t="n">
        <f aca="false">S360-$M$2</f>
        <v>-0.358777615735107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0.13336181640625</v>
      </c>
      <c r="C361" s="25" t="n">
        <f aca="false">IF(T360&gt;0,D360,C360)</f>
        <v>0.133544921875</v>
      </c>
      <c r="D361" s="41" t="n">
        <f aca="false">(B361+C361)/2</f>
        <v>0.133453369140625</v>
      </c>
      <c r="E361" s="15" t="n">
        <f aca="false">$C$2*(1+IF(E$3&lt;=$O$2,$D361,$D361-($D361-$I$346)*MIN(E$3-$O$2,$Q$2)/$Q$2))</f>
        <v>3774.39971923828</v>
      </c>
      <c r="F361" s="15" t="n">
        <f aca="false">E361*(1+IF(F$3&lt;=$O$2,$D361,$D361-($D361-$I$346)*MIN(F$3-$O$2,$Q$2)/$Q$2))</f>
        <v>4278.10607825406</v>
      </c>
      <c r="G361" s="15" t="n">
        <f aca="false">F361*(1+IF(G$3&lt;=$O$2,$D361,$D361-($D361-$I$346)*MIN(G$3-$O$2,$Q$2)/$Q$2))</f>
        <v>4849.03374793805</v>
      </c>
      <c r="H361" s="15" t="n">
        <f aca="false">G361*(1+IF(H$3&lt;=$O$2,$D361,$D361-($D361-$I$346)*MIN(H$3-$O$2,$Q$2)/$Q$2))</f>
        <v>5496.15363867698</v>
      </c>
      <c r="I361" s="15" t="n">
        <f aca="false">H361*(1+IF(I$3&lt;=$O$2,$D361,$D361-($D361-$I$346)*MIN(I$3-$O$2,$Q$2)/$Q$2))</f>
        <v>6229.63385907292</v>
      </c>
      <c r="J361" s="15" t="n">
        <f aca="false">I361*(1+IF(J$3&lt;=$O$2,$D361,$D361-($D361-$I$346)*MIN(J$3-$O$2,$Q$2)/$Q$2))</f>
        <v>6923.75645446084</v>
      </c>
      <c r="K361" s="15" t="n">
        <f aca="false">J361*(1+IF(K$3&lt;=$O$2,$D361,$D361-($D361-$I$346)*MIN(K$3-$O$2,$Q$2)/$Q$2))</f>
        <v>7542.68504019058</v>
      </c>
      <c r="L361" s="15" t="n">
        <f aca="false">K361*(1+IF(L$3&lt;=$O$2,$D361,$D361-($D361-$I$346)*MIN(L$3-$O$2,$Q$2)/$Q$2))</f>
        <v>8050.77046944446</v>
      </c>
      <c r="M361" s="15" t="n">
        <f aca="false">L361*(1+IF(M$3&lt;=$O$2,$D361,$D361-($D361-$I$346)*MIN(M$3-$O$2,$Q$2)/$Q$2))</f>
        <v>8415.71731965994</v>
      </c>
      <c r="N361" s="15" t="n">
        <f aca="false">M361*(1+IF(N$3&lt;=$O$2,$D361,$D361-($D361-$I$346)*MIN(N$3-$O$2,$Q$2)/$Q$2))</f>
        <v>8611.80353320802</v>
      </c>
      <c r="O361" s="15" t="n">
        <f aca="false">SUMPRODUCT(E361:N361,1/(1+$F$346)^$E$3:$N$3)*$E$2</f>
        <v>20312.9592201261</v>
      </c>
      <c r="P361" s="15" t="n">
        <f aca="false">N361*$E$2*(1+$I$346)/($F$346-$I$346)/(1+$F$346)^$N$3</f>
        <v>26641.4991935814</v>
      </c>
      <c r="Q361" s="15" t="n">
        <f aca="false">O361+P361</f>
        <v>46954.4584137075</v>
      </c>
      <c r="R361" s="15" t="n">
        <f aca="false">Q361-$G$2+$I$2</f>
        <v>40767.1584137075</v>
      </c>
      <c r="S361" s="42" t="n">
        <f aca="false">R361/$K$2</f>
        <v>560.758712705743</v>
      </c>
      <c r="T361" s="43" t="n">
        <f aca="false">S361-$M$2</f>
        <v>-0.0390864689479713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0.133453369140625</v>
      </c>
      <c r="C362" s="25" t="n">
        <f aca="false">IF(T361&gt;0,D361,C361)</f>
        <v>0.133544921875</v>
      </c>
      <c r="D362" s="41" t="n">
        <f aca="false">(B362+C362)/2</f>
        <v>0.133499145507813</v>
      </c>
      <c r="E362" s="15" t="n">
        <f aca="false">$C$2*(1+IF(E$3&lt;=$O$2,$D362,$D362-($D362-$I$346)*MIN(E$3-$O$2,$Q$2)/$Q$2))</f>
        <v>3774.55215454102</v>
      </c>
      <c r="F362" s="15" t="n">
        <f aca="false">E362*(1+IF(F$3&lt;=$O$2,$D362,$D362-($D362-$I$346)*MIN(F$3-$O$2,$Q$2)/$Q$2))</f>
        <v>4278.45164184691</v>
      </c>
      <c r="G362" s="15" t="n">
        <f aca="false">F362*(1+IF(G$3&lt;=$O$2,$D362,$D362-($D362-$I$346)*MIN(G$3-$O$2,$Q$2)/$Q$2))</f>
        <v>4849.62128012997</v>
      </c>
      <c r="H362" s="15" t="n">
        <f aca="false">G362*(1+IF(H$3&lt;=$O$2,$D362,$D362-($D362-$I$346)*MIN(H$3-$O$2,$Q$2)/$Q$2))</f>
        <v>5497.04157706383</v>
      </c>
      <c r="I362" s="15" t="n">
        <f aca="false">H362*(1+IF(I$3&lt;=$O$2,$D362,$D362-($D362-$I$346)*MIN(I$3-$O$2,$Q$2)/$Q$2))</f>
        <v>6230.89193042277</v>
      </c>
      <c r="J362" s="15" t="n">
        <f aca="false">I362*(1+IF(J$3&lt;=$O$2,$D362,$D362-($D362-$I$346)*MIN(J$3-$O$2,$Q$2)/$Q$2))</f>
        <v>6925.38288558891</v>
      </c>
      <c r="K362" s="15" t="n">
        <f aca="false">J362*(1+IF(K$3&lt;=$O$2,$D362,$D362-($D362-$I$346)*MIN(K$3-$O$2,$Q$2)/$Q$2))</f>
        <v>7544.64707260693</v>
      </c>
      <c r="L362" s="15" t="n">
        <f aca="false">K362*(1+IF(L$3&lt;=$O$2,$D362,$D362-($D362-$I$346)*MIN(L$3-$O$2,$Q$2)/$Q$2))</f>
        <v>8053.00281362239</v>
      </c>
      <c r="M362" s="15" t="n">
        <f aca="false">L362*(1+IF(M$3&lt;=$O$2,$D362,$D362-($D362-$I$346)*MIN(M$3-$O$2,$Q$2)/$Q$2))</f>
        <v>8418.12458494643</v>
      </c>
      <c r="N362" s="15" t="n">
        <f aca="false">M362*(1+IF(N$3&lt;=$O$2,$D362,$D362-($D362-$I$346)*MIN(N$3-$O$2,$Q$2)/$Q$2))</f>
        <v>8614.26688777568</v>
      </c>
      <c r="O362" s="15" t="n">
        <f aca="false">SUMPRODUCT(E362:N362,1/(1+$F$346)^$E$3:$N$3)*$E$2</f>
        <v>20316.963379771</v>
      </c>
      <c r="P362" s="15" t="n">
        <f aca="false">N362*$E$2*(1+$I$346)/($F$346-$I$346)/(1+$F$346)^$N$3</f>
        <v>26649.119834075</v>
      </c>
      <c r="Q362" s="15" t="n">
        <f aca="false">O362+P362</f>
        <v>46966.083213846</v>
      </c>
      <c r="R362" s="15" t="n">
        <f aca="false">Q362-$G$2+$I$2</f>
        <v>40778.783213846</v>
      </c>
      <c r="S362" s="42" t="n">
        <f aca="false">R362/$K$2</f>
        <v>560.918613670509</v>
      </c>
      <c r="T362" s="43" t="n">
        <f aca="false">S362-$M$2</f>
        <v>0.120814495818763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0.133453369140625</v>
      </c>
      <c r="C363" s="25" t="n">
        <f aca="false">IF(T362&gt;0,D362,C362)</f>
        <v>0.133499145507813</v>
      </c>
      <c r="D363" s="41" t="n">
        <f aca="false">(B363+C363)/2</f>
        <v>0.133476257324219</v>
      </c>
      <c r="E363" s="15" t="n">
        <f aca="false">$C$2*(1+IF(E$3&lt;=$O$2,$D363,$D363-($D363-$I$346)*MIN(E$3-$O$2,$Q$2)/$Q$2))</f>
        <v>3774.47593688965</v>
      </c>
      <c r="F363" s="15" t="n">
        <f aca="false">E363*(1+IF(F$3&lt;=$O$2,$D363,$D363-($D363-$I$346)*MIN(F$3-$O$2,$Q$2)/$Q$2))</f>
        <v>4278.278858306</v>
      </c>
      <c r="G363" s="15" t="n">
        <f aca="false">F363*(1+IF(G$3&lt;=$O$2,$D363,$D363-($D363-$I$346)*MIN(G$3-$O$2,$Q$2)/$Q$2))</f>
        <v>4849.32750810202</v>
      </c>
      <c r="H363" s="15" t="n">
        <f aca="false">G363*(1+IF(H$3&lt;=$O$2,$D363,$D363-($D363-$I$346)*MIN(H$3-$O$2,$Q$2)/$Q$2))</f>
        <v>5496.59759442286</v>
      </c>
      <c r="I363" s="15" t="n">
        <f aca="false">H363*(1+IF(I$3&lt;=$O$2,$D363,$D363-($D363-$I$346)*MIN(I$3-$O$2,$Q$2)/$Q$2))</f>
        <v>6230.26286934372</v>
      </c>
      <c r="J363" s="15" t="n">
        <f aca="false">I363*(1+IF(J$3&lt;=$O$2,$D363,$D363-($D363-$I$346)*MIN(J$3-$O$2,$Q$2)/$Q$2))</f>
        <v>6924.5696302717</v>
      </c>
      <c r="K363" s="15" t="n">
        <f aca="false">J363*(1+IF(K$3&lt;=$O$2,$D363,$D363-($D363-$I$346)*MIN(K$3-$O$2,$Q$2)/$Q$2))</f>
        <v>7543.66600192361</v>
      </c>
      <c r="L363" s="15" t="n">
        <f aca="false">K363*(1+IF(L$3&lt;=$O$2,$D363,$D363-($D363-$I$346)*MIN(L$3-$O$2,$Q$2)/$Q$2))</f>
        <v>8051.88657440678</v>
      </c>
      <c r="M363" s="15" t="n">
        <f aca="false">L363*(1+IF(M$3&lt;=$O$2,$D363,$D363-($D363-$I$346)*MIN(M$3-$O$2,$Q$2)/$Q$2))</f>
        <v>8416.92087702392</v>
      </c>
      <c r="N363" s="15" t="n">
        <f aca="false">M363*(1+IF(N$3&lt;=$O$2,$D363,$D363-($D363-$I$346)*MIN(N$3-$O$2,$Q$2)/$Q$2))</f>
        <v>8613.03513345857</v>
      </c>
      <c r="O363" s="15" t="n">
        <f aca="false">SUMPRODUCT(E363:N363,1/(1+$F$346)^$E$3:$N$3)*$E$2</f>
        <v>20314.9612026223</v>
      </c>
      <c r="P363" s="15" t="n">
        <f aca="false">N363*$E$2*(1+$I$346)/($F$346-$I$346)/(1+$F$346)^$N$3</f>
        <v>26645.3092755178</v>
      </c>
      <c r="Q363" s="15" t="n">
        <f aca="false">O363+P363</f>
        <v>46960.2704781401</v>
      </c>
      <c r="R363" s="15" t="n">
        <f aca="false">Q363-$G$2+$I$2</f>
        <v>40772.9704781401</v>
      </c>
      <c r="S363" s="42" t="n">
        <f aca="false">R363/$K$2</f>
        <v>560.838658571391</v>
      </c>
      <c r="T363" s="43" t="n">
        <f aca="false">S363-$M$2</f>
        <v>0.0408593967007391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0.133453369140625</v>
      </c>
      <c r="C364" s="25" t="n">
        <f aca="false">IF(T363&gt;0,D363,C363)</f>
        <v>0.133476257324219</v>
      </c>
      <c r="D364" s="41" t="n">
        <f aca="false">(B364+C364)/2</f>
        <v>0.133464813232422</v>
      </c>
      <c r="E364" s="15" t="n">
        <f aca="false">$C$2*(1+IF(E$3&lt;=$O$2,$D364,$D364-($D364-$I$346)*MIN(E$3-$O$2,$Q$2)/$Q$2))</f>
        <v>3774.43782806397</v>
      </c>
      <c r="F364" s="15" t="n">
        <f aca="false">E364*(1+IF(F$3&lt;=$O$2,$D364,$D364-($D364-$I$346)*MIN(F$3-$O$2,$Q$2)/$Q$2))</f>
        <v>4278.19246784391</v>
      </c>
      <c r="G364" s="15" t="n">
        <f aca="false">F364*(1+IF(G$3&lt;=$O$2,$D364,$D364-($D364-$I$346)*MIN(G$3-$O$2,$Q$2)/$Q$2))</f>
        <v>4849.18062653705</v>
      </c>
      <c r="H364" s="15" t="n">
        <f aca="false">G364*(1+IF(H$3&lt;=$O$2,$D364,$D364-($D364-$I$346)*MIN(H$3-$O$2,$Q$2)/$Q$2))</f>
        <v>5496.3756131881</v>
      </c>
      <c r="I364" s="15" t="n">
        <f aca="false">H364*(1+IF(I$3&lt;=$O$2,$D364,$D364-($D364-$I$346)*MIN(I$3-$O$2,$Q$2)/$Q$2))</f>
        <v>6229.94835785749</v>
      </c>
      <c r="J364" s="15" t="n">
        <f aca="false">I364*(1+IF(J$3&lt;=$O$2,$D364,$D364-($D364-$I$346)*MIN(J$3-$O$2,$Q$2)/$Q$2))</f>
        <v>6924.16303242837</v>
      </c>
      <c r="K364" s="15" t="n">
        <f aca="false">J364*(1+IF(K$3&lt;=$O$2,$D364,$D364-($D364-$I$346)*MIN(K$3-$O$2,$Q$2)/$Q$2))</f>
        <v>7543.17550743894</v>
      </c>
      <c r="L364" s="15" t="n">
        <f aca="false">K364*(1+IF(L$3&lt;=$O$2,$D364,$D364-($D364-$I$346)*MIN(L$3-$O$2,$Q$2)/$Q$2))</f>
        <v>8051.32850514482</v>
      </c>
      <c r="M364" s="15" t="n">
        <f aca="false">L364*(1+IF(M$3&lt;=$O$2,$D364,$D364-($D364-$I$346)*MIN(M$3-$O$2,$Q$2)/$Q$2))</f>
        <v>8416.31907952312</v>
      </c>
      <c r="N364" s="15" t="n">
        <f aca="false">M364*(1+IF(N$3&lt;=$O$2,$D364,$D364-($D364-$I$346)*MIN(N$3-$O$2,$Q$2)/$Q$2))</f>
        <v>8612.41931407601</v>
      </c>
      <c r="O364" s="15" t="n">
        <f aca="false">SUMPRODUCT(E364:N364,1/(1+$F$346)^$E$3:$N$3)*$E$2</f>
        <v>20313.9601870437</v>
      </c>
      <c r="P364" s="15" t="n">
        <f aca="false">N364*$E$2*(1+$I$346)/($F$346-$I$346)/(1+$F$346)^$N$3</f>
        <v>26643.4041749752</v>
      </c>
      <c r="Q364" s="15" t="n">
        <f aca="false">O364+P364</f>
        <v>46957.364362019</v>
      </c>
      <c r="R364" s="15" t="n">
        <f aca="false">Q364-$G$2+$I$2</f>
        <v>40770.064362019</v>
      </c>
      <c r="S364" s="42" t="n">
        <f aca="false">R364/$K$2</f>
        <v>560.798684484442</v>
      </c>
      <c r="T364" s="43" t="n">
        <f aca="false">S364-$M$2</f>
        <v>0.000885309751765817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0.133453369140625</v>
      </c>
      <c r="C365" s="25" t="n">
        <f aca="false">IF(T364&gt;0,D364,C364)</f>
        <v>0.133464813232422</v>
      </c>
      <c r="D365" s="41" t="n">
        <f aca="false">(B365+C365)/2</f>
        <v>0.133459091186523</v>
      </c>
      <c r="E365" s="15" t="n">
        <f aca="false">$C$2*(1+IF(E$3&lt;=$O$2,$D365,$D365-($D365-$I$346)*MIN(E$3-$O$2,$Q$2)/$Q$2))</f>
        <v>3774.41877365112</v>
      </c>
      <c r="F365" s="15" t="n">
        <f aca="false">E365*(1+IF(F$3&lt;=$O$2,$D365,$D365-($D365-$I$346)*MIN(F$3-$O$2,$Q$2)/$Q$2))</f>
        <v>4278.14927293995</v>
      </c>
      <c r="G365" s="15" t="n">
        <f aca="false">F365*(1+IF(G$3&lt;=$O$2,$D365,$D365-($D365-$I$346)*MIN(G$3-$O$2,$Q$2)/$Q$2))</f>
        <v>4849.10718686681</v>
      </c>
      <c r="H365" s="15" t="n">
        <f aca="false">G365*(1+IF(H$3&lt;=$O$2,$D365,$D365-($D365-$I$346)*MIN(H$3-$O$2,$Q$2)/$Q$2))</f>
        <v>5496.26462509209</v>
      </c>
      <c r="I365" s="15" t="n">
        <f aca="false">H365*(1+IF(I$3&lt;=$O$2,$D365,$D365-($D365-$I$346)*MIN(I$3-$O$2,$Q$2)/$Q$2))</f>
        <v>6229.79110687752</v>
      </c>
      <c r="J365" s="15" t="n">
        <f aca="false">I365*(1+IF(J$3&lt;=$O$2,$D365,$D365-($D365-$I$346)*MIN(J$3-$O$2,$Q$2)/$Q$2))</f>
        <v>6923.95974096018</v>
      </c>
      <c r="K365" s="15" t="n">
        <f aca="false">J365*(1+IF(K$3&lt;=$O$2,$D365,$D365-($D365-$I$346)*MIN(K$3-$O$2,$Q$2)/$Q$2))</f>
        <v>7542.9302704103</v>
      </c>
      <c r="L365" s="15" t="n">
        <f aca="false">K365*(1+IF(L$3&lt;=$O$2,$D365,$D365-($D365-$I$346)*MIN(L$3-$O$2,$Q$2)/$Q$2))</f>
        <v>8051.04948309954</v>
      </c>
      <c r="M365" s="15" t="n">
        <f aca="false">L365*(1+IF(M$3&lt;=$O$2,$D365,$D365-($D365-$I$346)*MIN(M$3-$O$2,$Q$2)/$Q$2))</f>
        <v>8416.01819488695</v>
      </c>
      <c r="N365" s="15" t="n">
        <f aca="false">M365*(1+IF(N$3&lt;=$O$2,$D365,$D365-($D365-$I$346)*MIN(N$3-$O$2,$Q$2)/$Q$2))</f>
        <v>8612.11141882782</v>
      </c>
      <c r="O365" s="15" t="n">
        <f aca="false">SUMPRODUCT(E365:N365,1/(1+$F$346)^$E$3:$N$3)*$E$2</f>
        <v>20313.4596975024</v>
      </c>
      <c r="P365" s="15" t="n">
        <f aca="false">N365*$E$2*(1+$I$346)/($F$346-$I$346)/(1+$F$346)^$N$3</f>
        <v>26642.4516693851</v>
      </c>
      <c r="Q365" s="15" t="n">
        <f aca="false">O365+P365</f>
        <v>46955.9113668875</v>
      </c>
      <c r="R365" s="15" t="n">
        <f aca="false">Q365-$G$2+$I$2</f>
        <v>40768.6113668875</v>
      </c>
      <c r="S365" s="42" t="n">
        <f aca="false">R365/$K$2</f>
        <v>560.778698306568</v>
      </c>
      <c r="T365" s="43" t="n">
        <f aca="false">S365-$M$2</f>
        <v>-0.0191008681221092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0.133459091186523</v>
      </c>
      <c r="C366" s="25" t="n">
        <f aca="false">IF(T365&gt;0,D365,C365)</f>
        <v>0.133464813232422</v>
      </c>
      <c r="D366" s="41" t="n">
        <f aca="false">(B366+C366)/2</f>
        <v>0.133461952209473</v>
      </c>
      <c r="E366" s="15" t="n">
        <f aca="false">$C$2*(1+IF(E$3&lt;=$O$2,$D366,$D366-($D366-$I$346)*MIN(E$3-$O$2,$Q$2)/$Q$2))</f>
        <v>3774.42830085754</v>
      </c>
      <c r="F366" s="15" t="n">
        <f aca="false">E366*(1+IF(F$3&lt;=$O$2,$D366,$D366-($D366-$I$346)*MIN(F$3-$O$2,$Q$2)/$Q$2))</f>
        <v>4278.17087036468</v>
      </c>
      <c r="G366" s="15" t="n">
        <f aca="false">F366*(1+IF(G$3&lt;=$O$2,$D366,$D366-($D366-$I$346)*MIN(G$3-$O$2,$Q$2)/$Q$2))</f>
        <v>4849.14390660924</v>
      </c>
      <c r="H366" s="15" t="n">
        <f aca="false">G366*(1+IF(H$3&lt;=$O$2,$D366,$D366-($D366-$I$346)*MIN(H$3-$O$2,$Q$2)/$Q$2))</f>
        <v>5496.32011892998</v>
      </c>
      <c r="I366" s="15" t="n">
        <f aca="false">H366*(1+IF(I$3&lt;=$O$2,$D366,$D366-($D366-$I$346)*MIN(I$3-$O$2,$Q$2)/$Q$2))</f>
        <v>6229.86973197058</v>
      </c>
      <c r="J366" s="15" t="n">
        <f aca="false">I366*(1+IF(J$3&lt;=$O$2,$D366,$D366-($D366-$I$346)*MIN(J$3-$O$2,$Q$2)/$Q$2))</f>
        <v>6924.06138607316</v>
      </c>
      <c r="K366" s="15" t="n">
        <f aca="false">J366*(1+IF(K$3&lt;=$O$2,$D366,$D366-($D366-$I$346)*MIN(K$3-$O$2,$Q$2)/$Q$2))</f>
        <v>7543.05288807349</v>
      </c>
      <c r="L366" s="15" t="n">
        <f aca="false">K366*(1+IF(L$3&lt;=$O$2,$D366,$D366-($D366-$I$346)*MIN(L$3-$O$2,$Q$2)/$Q$2))</f>
        <v>8051.18899307339</v>
      </c>
      <c r="M366" s="15" t="n">
        <f aca="false">L366*(1+IF(M$3&lt;=$O$2,$D366,$D366-($D366-$I$346)*MIN(M$3-$O$2,$Q$2)/$Q$2))</f>
        <v>8416.16863602888</v>
      </c>
      <c r="N366" s="15" t="n">
        <f aca="false">M366*(1+IF(N$3&lt;=$O$2,$D366,$D366-($D366-$I$346)*MIN(N$3-$O$2,$Q$2)/$Q$2))</f>
        <v>8612.26536524836</v>
      </c>
      <c r="O366" s="15" t="n">
        <f aca="false">SUMPRODUCT(E366:N366,1/(1+$F$346)^$E$3:$N$3)*$E$2</f>
        <v>20313.7099407524</v>
      </c>
      <c r="P366" s="15" t="n">
        <f aca="false">N366*$E$2*(1+$I$346)/($F$346-$I$346)/(1+$F$346)^$N$3</f>
        <v>26642.9279184568</v>
      </c>
      <c r="Q366" s="15" t="n">
        <f aca="false">O366+P366</f>
        <v>46956.6378592093</v>
      </c>
      <c r="R366" s="15" t="n">
        <f aca="false">Q366-$G$2+$I$2</f>
        <v>40769.3378592093</v>
      </c>
      <c r="S366" s="42" t="n">
        <f aca="false">R366/$K$2</f>
        <v>560.788691323374</v>
      </c>
      <c r="T366" s="43" t="n">
        <f aca="false">S366-$M$2</f>
        <v>-0.00910785131679859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0.133461952209473</v>
      </c>
      <c r="C367" s="25" t="n">
        <f aca="false">IF(T366&gt;0,D366,C366)</f>
        <v>0.133464813232422</v>
      </c>
      <c r="D367" s="41" t="n">
        <f aca="false">(B367+C367)/2</f>
        <v>0.133463382720947</v>
      </c>
      <c r="E367" s="15" t="n">
        <f aca="false">$C$2*(1+IF(E$3&lt;=$O$2,$D367,$D367-($D367-$I$346)*MIN(E$3-$O$2,$Q$2)/$Q$2))</f>
        <v>3774.43306446075</v>
      </c>
      <c r="F367" s="15" t="n">
        <f aca="false">E367*(1+IF(F$3&lt;=$O$2,$D367,$D367-($D367-$I$346)*MIN(F$3-$O$2,$Q$2)/$Q$2))</f>
        <v>4278.18166909748</v>
      </c>
      <c r="G367" s="15" t="n">
        <f aca="false">F367*(1+IF(G$3&lt;=$O$2,$D367,$D367-($D367-$I$346)*MIN(G$3-$O$2,$Q$2)/$Q$2))</f>
        <v>4849.16226654998</v>
      </c>
      <c r="H367" s="15" t="n">
        <f aca="false">G367*(1+IF(H$3&lt;=$O$2,$D367,$D367-($D367-$I$346)*MIN(H$3-$O$2,$Q$2)/$Q$2))</f>
        <v>5496.34786600651</v>
      </c>
      <c r="I367" s="15" t="n">
        <f aca="false">H367*(1+IF(I$3&lt;=$O$2,$D367,$D367-($D367-$I$346)*MIN(I$3-$O$2,$Q$2)/$Q$2))</f>
        <v>6229.9090448148</v>
      </c>
      <c r="J367" s="15" t="n">
        <f aca="false">I367*(1+IF(J$3&lt;=$O$2,$D367,$D367-($D367-$I$346)*MIN(J$3-$O$2,$Q$2)/$Q$2))</f>
        <v>6924.11220909548</v>
      </c>
      <c r="K367" s="15" t="n">
        <f aca="false">J367*(1+IF(K$3&lt;=$O$2,$D367,$D367-($D367-$I$346)*MIN(K$3-$O$2,$Q$2)/$Q$2))</f>
        <v>7543.11419754343</v>
      </c>
      <c r="L367" s="15" t="n">
        <f aca="false">K367*(1+IF(L$3&lt;=$O$2,$D367,$D367-($D367-$I$346)*MIN(L$3-$O$2,$Q$2)/$Q$2))</f>
        <v>8051.25874884691</v>
      </c>
      <c r="M367" s="15" t="n">
        <f aca="false">L367*(1+IF(M$3&lt;=$O$2,$D367,$D367-($D367-$I$346)*MIN(M$3-$O$2,$Q$2)/$Q$2))</f>
        <v>8416.24385748196</v>
      </c>
      <c r="N367" s="15" t="n">
        <f aca="false">M367*(1+IF(N$3&lt;=$O$2,$D367,$D367-($D367-$I$346)*MIN(N$3-$O$2,$Q$2)/$Q$2))</f>
        <v>8612.34233936129</v>
      </c>
      <c r="O367" s="15" t="n">
        <f aca="false">SUMPRODUCT(E367:N367,1/(1+$F$346)^$E$3:$N$3)*$E$2</f>
        <v>20313.8350635179</v>
      </c>
      <c r="P367" s="15" t="n">
        <f aca="false">N367*$E$2*(1+$I$346)/($F$346-$I$346)/(1+$F$346)^$N$3</f>
        <v>26643.1660457852</v>
      </c>
      <c r="Q367" s="15" t="n">
        <f aca="false">O367+P367</f>
        <v>46957.0011093031</v>
      </c>
      <c r="R367" s="15" t="n">
        <f aca="false">Q367-$G$2+$I$2</f>
        <v>40769.7011093031</v>
      </c>
      <c r="S367" s="42" t="n">
        <f aca="false">R367/$K$2</f>
        <v>560.793687885875</v>
      </c>
      <c r="T367" s="43" t="n">
        <f aca="false">S367-$M$2</f>
        <v>-0.00411128881557943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0.133463382720947</v>
      </c>
      <c r="C368" s="25" t="n">
        <f aca="false">IF(T367&gt;0,D367,C367)</f>
        <v>0.133464813232422</v>
      </c>
      <c r="D368" s="41" t="n">
        <f aca="false">(B368+C368)/2</f>
        <v>0.133464097976685</v>
      </c>
      <c r="E368" s="15" t="n">
        <f aca="false">$C$2*(1+IF(E$3&lt;=$O$2,$D368,$D368-($D368-$I$346)*MIN(E$3-$O$2,$Q$2)/$Q$2))</f>
        <v>3774.43544626236</v>
      </c>
      <c r="F368" s="15" t="n">
        <f aca="false">E368*(1+IF(F$3&lt;=$O$2,$D368,$D368-($D368-$I$346)*MIN(F$3-$O$2,$Q$2)/$Q$2))</f>
        <v>4278.18706846899</v>
      </c>
      <c r="G368" s="15" t="n">
        <f aca="false">F368*(1+IF(G$3&lt;=$O$2,$D368,$D368-($D368-$I$346)*MIN(G$3-$O$2,$Q$2)/$Q$2))</f>
        <v>4849.17144653772</v>
      </c>
      <c r="H368" s="15" t="n">
        <f aca="false">G368*(1+IF(H$3&lt;=$O$2,$D368,$D368-($D368-$I$346)*MIN(H$3-$O$2,$Q$2)/$Q$2))</f>
        <v>5496.36173958417</v>
      </c>
      <c r="I368" s="15" t="n">
        <f aca="false">H368*(1+IF(I$3&lt;=$O$2,$D368,$D368-($D368-$I$346)*MIN(I$3-$O$2,$Q$2)/$Q$2))</f>
        <v>6229.92870131133</v>
      </c>
      <c r="J368" s="15" t="n">
        <f aca="false">I368*(1+IF(J$3&lt;=$O$2,$D368,$D368-($D368-$I$346)*MIN(J$3-$O$2,$Q$2)/$Q$2))</f>
        <v>6924.13762072311</v>
      </c>
      <c r="K368" s="15" t="n">
        <f aca="false">J368*(1+IF(K$3&lt;=$O$2,$D368,$D368-($D368-$I$346)*MIN(K$3-$O$2,$Q$2)/$Q$2))</f>
        <v>7543.14485243799</v>
      </c>
      <c r="L368" s="15" t="n">
        <f aca="false">K368*(1+IF(L$3&lt;=$O$2,$D368,$D368-($D368-$I$346)*MIN(L$3-$O$2,$Q$2)/$Q$2))</f>
        <v>8051.29362693031</v>
      </c>
      <c r="M368" s="15" t="n">
        <f aca="false">L368*(1+IF(M$3&lt;=$O$2,$D368,$D368-($D368-$I$346)*MIN(M$3-$O$2,$Q$2)/$Q$2))</f>
        <v>8416.28146842903</v>
      </c>
      <c r="N368" s="15" t="n">
        <f aca="false">M368*(1+IF(N$3&lt;=$O$2,$D368,$D368-($D368-$I$346)*MIN(N$3-$O$2,$Q$2)/$Q$2))</f>
        <v>8612.38082664343</v>
      </c>
      <c r="O368" s="15" t="n">
        <f aca="false">SUMPRODUCT(E368:N368,1/(1+$F$346)^$E$3:$N$3)*$E$2</f>
        <v>20313.8976251858</v>
      </c>
      <c r="P368" s="15" t="n">
        <f aca="false">N368*$E$2*(1+$I$346)/($F$346-$I$346)/(1+$F$346)^$N$3</f>
        <v>26643.2851101475</v>
      </c>
      <c r="Q368" s="15" t="n">
        <f aca="false">O368+P368</f>
        <v>46957.1827353333</v>
      </c>
      <c r="R368" s="15" t="n">
        <f aca="false">Q368-$G$2+$I$2</f>
        <v>40769.8827353333</v>
      </c>
      <c r="S368" s="42" t="n">
        <f aca="false">R368/$K$2</f>
        <v>560.79618618065</v>
      </c>
      <c r="T368" s="43" t="n">
        <f aca="false">S368-$M$2</f>
        <v>-0.00161299404032889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0.133464097976685</v>
      </c>
      <c r="C369" s="25" t="n">
        <f aca="false">IF(T368&gt;0,D368,C368)</f>
        <v>0.133464813232422</v>
      </c>
      <c r="D369" s="41" t="n">
        <f aca="false">(B369+C369)/2</f>
        <v>0.133464455604553</v>
      </c>
      <c r="E369" s="15" t="n">
        <f aca="false">$C$2*(1+IF(E$3&lt;=$O$2,$D369,$D369-($D369-$I$346)*MIN(E$3-$O$2,$Q$2)/$Q$2))</f>
        <v>3774.43663716316</v>
      </c>
      <c r="F369" s="15" t="n">
        <f aca="false">E369*(1+IF(F$3&lt;=$O$2,$D369,$D369-($D369-$I$346)*MIN(F$3-$O$2,$Q$2)/$Q$2))</f>
        <v>4278.18976815602</v>
      </c>
      <c r="G369" s="15" t="n">
        <f aca="false">F369*(1+IF(G$3&lt;=$O$2,$D369,$D369-($D369-$I$346)*MIN(G$3-$O$2,$Q$2)/$Q$2))</f>
        <v>4849.17603653594</v>
      </c>
      <c r="H369" s="15" t="n">
        <f aca="false">G369*(1+IF(H$3&lt;=$O$2,$D369,$D369-($D369-$I$346)*MIN(H$3-$O$2,$Q$2)/$Q$2))</f>
        <v>5496.36867638285</v>
      </c>
      <c r="I369" s="15" t="n">
        <f aca="false">H369*(1+IF(I$3&lt;=$O$2,$D369,$D369-($D369-$I$346)*MIN(I$3-$O$2,$Q$2)/$Q$2))</f>
        <v>6229.93852957821</v>
      </c>
      <c r="J369" s="15" t="n">
        <f aca="false">I369*(1+IF(J$3&lt;=$O$2,$D369,$D369-($D369-$I$346)*MIN(J$3-$O$2,$Q$2)/$Q$2))</f>
        <v>6924.15032656603</v>
      </c>
      <c r="K369" s="15" t="n">
        <f aca="false">J369*(1+IF(K$3&lt;=$O$2,$D369,$D369-($D369-$I$346)*MIN(K$3-$O$2,$Q$2)/$Q$2))</f>
        <v>7543.16017992516</v>
      </c>
      <c r="L369" s="15" t="n">
        <f aca="false">K369*(1+IF(L$3&lt;=$O$2,$D369,$D369-($D369-$I$346)*MIN(L$3-$O$2,$Q$2)/$Q$2))</f>
        <v>8051.31106602118</v>
      </c>
      <c r="M369" s="15" t="n">
        <f aca="false">L369*(1+IF(M$3&lt;=$O$2,$D369,$D369-($D369-$I$346)*MIN(M$3-$O$2,$Q$2)/$Q$2))</f>
        <v>8416.3002739577</v>
      </c>
      <c r="N369" s="15" t="n">
        <f aca="false">M369*(1+IF(N$3&lt;=$O$2,$D369,$D369-($D369-$I$346)*MIN(N$3-$O$2,$Q$2)/$Q$2))</f>
        <v>8612.40007034091</v>
      </c>
      <c r="O369" s="15" t="n">
        <f aca="false">SUMPRODUCT(E369:N369,1/(1+$F$346)^$E$3:$N$3)*$E$2</f>
        <v>20313.928906091</v>
      </c>
      <c r="P369" s="15" t="n">
        <f aca="false">N369*$E$2*(1+$I$346)/($F$346-$I$346)/(1+$F$346)^$N$3</f>
        <v>26643.3446425032</v>
      </c>
      <c r="Q369" s="15" t="n">
        <f aca="false">O369+P369</f>
        <v>46957.2735485942</v>
      </c>
      <c r="R369" s="15" t="n">
        <f aca="false">Q369-$G$2+$I$2</f>
        <v>40769.9735485942</v>
      </c>
      <c r="S369" s="42" t="n">
        <f aca="false">R369/$K$2</f>
        <v>560.797435331419</v>
      </c>
      <c r="T369" s="43" t="n">
        <f aca="false">S369-$M$2</f>
        <v>-0.000363843271429687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0.133464455604553</v>
      </c>
      <c r="C370" s="25" t="n">
        <f aca="false">IF(T369&gt;0,D369,C369)</f>
        <v>0.133464813232422</v>
      </c>
      <c r="D370" s="41" t="n">
        <f aca="false">(B370+C370)/2</f>
        <v>0.133464634418488</v>
      </c>
      <c r="E370" s="15" t="n">
        <f aca="false">$C$2*(1+IF(E$3&lt;=$O$2,$D370,$D370-($D370-$I$346)*MIN(E$3-$O$2,$Q$2)/$Q$2))</f>
        <v>3774.43723261356</v>
      </c>
      <c r="F370" s="15" t="n">
        <f aca="false">E370*(1+IF(F$3&lt;=$O$2,$D370,$D370-($D370-$I$346)*MIN(F$3-$O$2,$Q$2)/$Q$2))</f>
        <v>4278.19111799986</v>
      </c>
      <c r="G370" s="15" t="n">
        <f aca="false">F370*(1+IF(G$3&lt;=$O$2,$D370,$D370-($D370-$I$346)*MIN(G$3-$O$2,$Q$2)/$Q$2))</f>
        <v>4849.17833153613</v>
      </c>
      <c r="H370" s="15" t="n">
        <f aca="false">G370*(1+IF(H$3&lt;=$O$2,$D370,$D370-($D370-$I$346)*MIN(H$3-$O$2,$Q$2)/$Q$2))</f>
        <v>5496.37214478465</v>
      </c>
      <c r="I370" s="15" t="n">
        <f aca="false">H370*(1+IF(I$3&lt;=$O$2,$D370,$D370-($D370-$I$346)*MIN(I$3-$O$2,$Q$2)/$Q$2))</f>
        <v>6229.9434437163</v>
      </c>
      <c r="J370" s="15" t="n">
        <f aca="false">I370*(1+IF(J$3&lt;=$O$2,$D370,$D370-($D370-$I$346)*MIN(J$3-$O$2,$Q$2)/$Q$2))</f>
        <v>6924.15667949477</v>
      </c>
      <c r="K370" s="15" t="n">
        <f aca="false">J370*(1+IF(K$3&lt;=$O$2,$D370,$D370-($D370-$I$346)*MIN(K$3-$O$2,$Q$2)/$Q$2))</f>
        <v>7543.16784367872</v>
      </c>
      <c r="L370" s="15" t="n">
        <f aca="false">K370*(1+IF(L$3&lt;=$O$2,$D370,$D370-($D370-$I$346)*MIN(L$3-$O$2,$Q$2)/$Q$2))</f>
        <v>8051.3197855789</v>
      </c>
      <c r="M370" s="15" t="n">
        <f aca="false">L370*(1+IF(M$3&lt;=$O$2,$D370,$D370-($D370-$I$346)*MIN(M$3-$O$2,$Q$2)/$Q$2))</f>
        <v>8416.30967673582</v>
      </c>
      <c r="N370" s="15" t="n">
        <f aca="false">M370*(1+IF(N$3&lt;=$O$2,$D370,$D370-($D370-$I$346)*MIN(N$3-$O$2,$Q$2)/$Q$2))</f>
        <v>8612.40969220376</v>
      </c>
      <c r="O370" s="15" t="n">
        <f aca="false">SUMPRODUCT(E370:N370,1/(1+$F$346)^$E$3:$N$3)*$E$2</f>
        <v>20313.9445465614</v>
      </c>
      <c r="P370" s="15" t="n">
        <f aca="false">N370*$E$2*(1+$I$346)/($F$346-$I$346)/(1+$F$346)^$N$3</f>
        <v>26643.3744087247</v>
      </c>
      <c r="Q370" s="15" t="n">
        <f aca="false">O370+P370</f>
        <v>46957.3189552861</v>
      </c>
      <c r="R370" s="15" t="n">
        <f aca="false">Q370-$G$2+$I$2</f>
        <v>40770.0189552861</v>
      </c>
      <c r="S370" s="42" t="n">
        <f aca="false">R370/$K$2</f>
        <v>560.798059907649</v>
      </c>
      <c r="T370" s="43" t="n">
        <f aca="false">S370-$M$2</f>
        <v>0.000260732958395238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0.133464455604553</v>
      </c>
      <c r="C371" s="25" t="n">
        <f aca="false">IF(T370&gt;0,D370,C370)</f>
        <v>0.133464634418488</v>
      </c>
      <c r="D371" s="41" t="n">
        <f aca="false">(B371+C371)/2</f>
        <v>0.13346454501152</v>
      </c>
      <c r="E371" s="15" t="n">
        <f aca="false">$C$2*(1+IF(E$3&lt;=$O$2,$D371,$D371-($D371-$I$346)*MIN(E$3-$O$2,$Q$2)/$Q$2))</f>
        <v>3774.43693488836</v>
      </c>
      <c r="F371" s="15" t="n">
        <f aca="false">E371*(1+IF(F$3&lt;=$O$2,$D371,$D371-($D371-$I$346)*MIN(F$3-$O$2,$Q$2)/$Q$2))</f>
        <v>4278.19044307792</v>
      </c>
      <c r="G371" s="15" t="n">
        <f aca="false">F371*(1+IF(G$3&lt;=$O$2,$D371,$D371-($D371-$I$346)*MIN(G$3-$O$2,$Q$2)/$Q$2))</f>
        <v>4849.17718403595</v>
      </c>
      <c r="H371" s="15" t="n">
        <f aca="false">G371*(1+IF(H$3&lt;=$O$2,$D371,$D371-($D371-$I$346)*MIN(H$3-$O$2,$Q$2)/$Q$2))</f>
        <v>5496.37041058355</v>
      </c>
      <c r="I371" s="15" t="n">
        <f aca="false">H371*(1+IF(I$3&lt;=$O$2,$D371,$D371-($D371-$I$346)*MIN(I$3-$O$2,$Q$2)/$Q$2))</f>
        <v>6229.94098664687</v>
      </c>
      <c r="J371" s="15" t="n">
        <f aca="false">I371*(1+IF(J$3&lt;=$O$2,$D371,$D371-($D371-$I$346)*MIN(J$3-$O$2,$Q$2)/$Q$2))</f>
        <v>6924.1535030298</v>
      </c>
      <c r="K371" s="15" t="n">
        <f aca="false">J371*(1+IF(K$3&lt;=$O$2,$D371,$D371-($D371-$I$346)*MIN(K$3-$O$2,$Q$2)/$Q$2))</f>
        <v>7543.16401180111</v>
      </c>
      <c r="L371" s="15" t="n">
        <f aca="false">K371*(1+IF(L$3&lt;=$O$2,$D371,$D371-($D371-$I$346)*MIN(L$3-$O$2,$Q$2)/$Q$2))</f>
        <v>8051.31542579902</v>
      </c>
      <c r="M371" s="15" t="n">
        <f aca="false">L371*(1+IF(M$3&lt;=$O$2,$D371,$D371-($D371-$I$346)*MIN(M$3-$O$2,$Q$2)/$Q$2))</f>
        <v>8416.30497534561</v>
      </c>
      <c r="N371" s="15" t="n">
        <f aca="false">M371*(1+IF(N$3&lt;=$O$2,$D371,$D371-($D371-$I$346)*MIN(N$3-$O$2,$Q$2)/$Q$2))</f>
        <v>8612.40488127116</v>
      </c>
      <c r="O371" s="15" t="n">
        <f aca="false">SUMPRODUCT(E371:N371,1/(1+$F$346)^$E$3:$N$3)*$E$2</f>
        <v>20313.9367263247</v>
      </c>
      <c r="P371" s="15" t="n">
        <f aca="false">N371*$E$2*(1+$I$346)/($F$346-$I$346)/(1+$F$346)^$N$3</f>
        <v>26643.3595256103</v>
      </c>
      <c r="Q371" s="15" t="n">
        <f aca="false">O371+P371</f>
        <v>46957.296251935</v>
      </c>
      <c r="R371" s="15" t="n">
        <f aca="false">Q371-$G$2+$I$2</f>
        <v>40769.996251935</v>
      </c>
      <c r="S371" s="42" t="n">
        <f aca="false">R371/$K$2</f>
        <v>560.797747619464</v>
      </c>
      <c r="T371" s="43" t="n">
        <f aca="false">S371-$M$2</f>
        <v>-5.15552268325337E-005</v>
      </c>
    </row>
    <row r="373" customFormat="false" ht="15" hidden="false" customHeight="false" outlineLevel="0" collapsed="false">
      <c r="A373" s="38" t="s">
        <v>194</v>
      </c>
      <c r="E373" s="5" t="s">
        <v>11</v>
      </c>
      <c r="F373" s="12" t="n">
        <f aca="false">Sensitivity!$B$12</f>
        <v>0.0953306228759286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162</v>
      </c>
      <c r="B374" s="28" t="s">
        <v>163</v>
      </c>
      <c r="C374" s="28" t="s">
        <v>164</v>
      </c>
      <c r="D374" s="28" t="s">
        <v>165</v>
      </c>
      <c r="E374" s="28" t="s">
        <v>166</v>
      </c>
      <c r="F374" s="28" t="s">
        <v>167</v>
      </c>
      <c r="G374" s="28" t="s">
        <v>168</v>
      </c>
      <c r="H374" s="28" t="s">
        <v>169</v>
      </c>
      <c r="I374" s="28" t="s">
        <v>170</v>
      </c>
      <c r="J374" s="28" t="s">
        <v>171</v>
      </c>
      <c r="K374" s="28" t="s">
        <v>172</v>
      </c>
      <c r="L374" s="28" t="s">
        <v>173</v>
      </c>
      <c r="M374" s="28" t="s">
        <v>174</v>
      </c>
      <c r="N374" s="28" t="s">
        <v>175</v>
      </c>
      <c r="O374" s="28" t="s">
        <v>176</v>
      </c>
      <c r="P374" s="28" t="s">
        <v>177</v>
      </c>
      <c r="Q374" s="28" t="s">
        <v>178</v>
      </c>
      <c r="R374" s="28" t="s">
        <v>179</v>
      </c>
      <c r="S374" s="28" t="s">
        <v>180</v>
      </c>
      <c r="T374" s="28" t="s">
        <v>181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4162.5</v>
      </c>
      <c r="F375" s="15" t="n">
        <f aca="false">E375*(1+IF(F$3&lt;=$O$2,$D375,$D375-($D375-$I$373)*MIN(F$3-$O$2,$Q$2)/$Q$2))</f>
        <v>5203.125</v>
      </c>
      <c r="G375" s="15" t="n">
        <f aca="false">F375*(1+IF(G$3&lt;=$O$2,$D375,$D375-($D375-$I$373)*MIN(G$3-$O$2,$Q$2)/$Q$2))</f>
        <v>6503.90625</v>
      </c>
      <c r="H375" s="15" t="n">
        <f aca="false">G375*(1+IF(H$3&lt;=$O$2,$D375,$D375-($D375-$I$373)*MIN(H$3-$O$2,$Q$2)/$Q$2))</f>
        <v>8129.8828125</v>
      </c>
      <c r="I375" s="15" t="n">
        <f aca="false">H375*(1+IF(I$3&lt;=$O$2,$D375,$D375-($D375-$I$373)*MIN(I$3-$O$2,$Q$2)/$Q$2))</f>
        <v>10162.353515625</v>
      </c>
      <c r="J375" s="15" t="n">
        <f aca="false">I375*(1+IF(J$3&lt;=$O$2,$D375,$D375-($D375-$I$373)*MIN(J$3-$O$2,$Q$2)/$Q$2))</f>
        <v>12252.3431396484</v>
      </c>
      <c r="K375" s="15" t="n">
        <f aca="false">J375*(1+IF(K$3&lt;=$O$2,$D375,$D375-($D375-$I$373)*MIN(K$3-$O$2,$Q$2)/$Q$2))</f>
        <v>14228.8911349365</v>
      </c>
      <c r="L375" s="15" t="n">
        <f aca="false">K375*(1+IF(L$3&lt;=$O$2,$D375,$D375-($D375-$I$373)*MIN(L$3-$O$2,$Q$2)/$Q$2))</f>
        <v>15893.3868199014</v>
      </c>
      <c r="M375" s="15" t="n">
        <f aca="false">L375*(1+IF(M$3&lt;=$O$2,$D375,$D375-($D375-$I$373)*MIN(M$3-$O$2,$Q$2)/$Q$2))</f>
        <v>17047.882438499</v>
      </c>
      <c r="N375" s="15" t="n">
        <f aca="false">M375*(1+IF(N$3&lt;=$O$2,$D375,$D375-($D375-$I$373)*MIN(N$3-$O$2,$Q$2)/$Q$2))</f>
        <v>17530.3375115086</v>
      </c>
      <c r="O375" s="15" t="n">
        <f aca="false">SUMPRODUCT(E375:N375,1/(1+$F$373)^$E$3:$N$3)*$E$2</f>
        <v>33577.9117547546</v>
      </c>
      <c r="P375" s="15" t="n">
        <f aca="false">N375*$E$2*(1+$I$373)/($F$373-$I$373)/(1+$F$373)^$N$3</f>
        <v>58561.9596918242</v>
      </c>
      <c r="Q375" s="15" t="n">
        <f aca="false">O375+P375</f>
        <v>92139.8714465788</v>
      </c>
      <c r="R375" s="15" t="n">
        <f aca="false">Q375-$G$2+$I$2</f>
        <v>85952.5714465788</v>
      </c>
      <c r="S375" s="42" t="n">
        <f aca="false">R375/$K$2</f>
        <v>1182.29121659668</v>
      </c>
      <c r="T375" s="43" t="n">
        <f aca="false">S375-$M$2</f>
        <v>621.493417421991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2913.75</v>
      </c>
      <c r="F376" s="15" t="n">
        <f aca="false">E376*(1+IF(F$3&lt;=$O$2,$D376,$D376-($D376-$I$373)*MIN(F$3-$O$2,$Q$2)/$Q$2))</f>
        <v>2549.53125</v>
      </c>
      <c r="G376" s="15" t="n">
        <f aca="false">F376*(1+IF(G$3&lt;=$O$2,$D376,$D376-($D376-$I$373)*MIN(G$3-$O$2,$Q$2)/$Q$2))</f>
        <v>2230.83984375</v>
      </c>
      <c r="H376" s="15" t="n">
        <f aca="false">G376*(1+IF(H$3&lt;=$O$2,$D376,$D376-($D376-$I$373)*MIN(H$3-$O$2,$Q$2)/$Q$2))</f>
        <v>1951.98486328125</v>
      </c>
      <c r="I376" s="15" t="n">
        <f aca="false">H376*(1+IF(I$3&lt;=$O$2,$D376,$D376-($D376-$I$373)*MIN(I$3-$O$2,$Q$2)/$Q$2))</f>
        <v>1707.98675537109</v>
      </c>
      <c r="J376" s="15" t="n">
        <f aca="false">I376*(1+IF(J$3&lt;=$O$2,$D376,$D376-($D376-$I$373)*MIN(J$3-$O$2,$Q$2)/$Q$2))</f>
        <v>1546.85528486938</v>
      </c>
      <c r="K376" s="15" t="n">
        <f aca="false">J376*(1+IF(K$3&lt;=$O$2,$D376,$D376-($D376-$I$373)*MIN(K$3-$O$2,$Q$2)/$Q$2))</f>
        <v>1448.3515403289</v>
      </c>
      <c r="L376" s="15" t="n">
        <f aca="false">K376*(1+IF(L$3&lt;=$O$2,$D376,$D376-($D376-$I$373)*MIN(L$3-$O$2,$Q$2)/$Q$2))</f>
        <v>1400.52697246724</v>
      </c>
      <c r="M376" s="15" t="n">
        <f aca="false">L376*(1+IF(M$3&lt;=$O$2,$D376,$D376-($D376-$I$373)*MIN(M$3-$O$2,$Q$2)/$Q$2))</f>
        <v>1397.22172881222</v>
      </c>
      <c r="N376" s="15" t="n">
        <f aca="false">M376*(1+IF(N$3&lt;=$O$2,$D376,$D376-($D376-$I$373)*MIN(N$3-$O$2,$Q$2)/$Q$2))</f>
        <v>1436.76310373761</v>
      </c>
      <c r="O376" s="15" t="n">
        <f aca="false">SUMPRODUCT(E376:N376,1/(1+$F$373)^$E$3:$N$3)*$E$2</f>
        <v>6740.87887765708</v>
      </c>
      <c r="P376" s="15" t="n">
        <f aca="false">N376*$E$2*(1+$I$373)/($F$373-$I$373)/(1+$F$373)^$N$3</f>
        <v>4799.66018409769</v>
      </c>
      <c r="Q376" s="15" t="n">
        <f aca="false">O376+P376</f>
        <v>11540.5390617548</v>
      </c>
      <c r="R376" s="15" t="n">
        <f aca="false">Q376-$G$2+$I$2</f>
        <v>5353.23906175476</v>
      </c>
      <c r="S376" s="42" t="n">
        <f aca="false">R376/$K$2</f>
        <v>73.6346500929128</v>
      </c>
      <c r="T376" s="43" t="n">
        <f aca="false">S376-$M$2</f>
        <v>-487.163149081778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3538.125</v>
      </c>
      <c r="F377" s="15" t="n">
        <f aca="false">E377*(1+IF(F$3&lt;=$O$2,$D377,$D377-($D377-$I$373)*MIN(F$3-$O$2,$Q$2)/$Q$2))</f>
        <v>3759.2578125</v>
      </c>
      <c r="G377" s="15" t="n">
        <f aca="false">F377*(1+IF(G$3&lt;=$O$2,$D377,$D377-($D377-$I$373)*MIN(G$3-$O$2,$Q$2)/$Q$2))</f>
        <v>3994.21142578125</v>
      </c>
      <c r="H377" s="15" t="n">
        <f aca="false">G377*(1+IF(H$3&lt;=$O$2,$D377,$D377-($D377-$I$373)*MIN(H$3-$O$2,$Q$2)/$Q$2))</f>
        <v>4243.84963989258</v>
      </c>
      <c r="I377" s="15" t="n">
        <f aca="false">H377*(1+IF(I$3&lt;=$O$2,$D377,$D377-($D377-$I$373)*MIN(I$3-$O$2,$Q$2)/$Q$2))</f>
        <v>4509.09024238586</v>
      </c>
      <c r="J377" s="15" t="n">
        <f aca="false">I377*(1+IF(J$3&lt;=$O$2,$D377,$D377-($D377-$I$373)*MIN(J$3-$O$2,$Q$2)/$Q$2))</f>
        <v>4760.06620527706</v>
      </c>
      <c r="K377" s="15" t="n">
        <f aca="false">J377*(1+IF(K$3&lt;=$O$2,$D377,$D377-($D377-$I$373)*MIN(K$3-$O$2,$Q$2)/$Q$2))</f>
        <v>4992.45263741869</v>
      </c>
      <c r="L377" s="15" t="n">
        <f aca="false">K377*(1+IF(L$3&lt;=$O$2,$D377,$D377-($D377-$I$373)*MIN(L$3-$O$2,$Q$2)/$Q$2))</f>
        <v>5202.03579913752</v>
      </c>
      <c r="M377" s="15" t="n">
        <f aca="false">L377*(1+IF(M$3&lt;=$O$2,$D377,$D377-($D377-$I$373)*MIN(M$3-$O$2,$Q$2)/$Q$2))</f>
        <v>5384.83533711922</v>
      </c>
      <c r="N377" s="15" t="n">
        <f aca="false">M377*(1+IF(N$3&lt;=$O$2,$D377,$D377-($D377-$I$373)*MIN(N$3-$O$2,$Q$2)/$Q$2))</f>
        <v>5537.22617715969</v>
      </c>
      <c r="O377" s="15" t="n">
        <f aca="false">SUMPRODUCT(E377:N377,1/(1+$F$373)^$E$3:$N$3)*$E$2</f>
        <v>15003.6863065712</v>
      </c>
      <c r="P377" s="15" t="n">
        <f aca="false">N377*$E$2*(1+$I$373)/($F$373-$I$373)/(1+$F$373)^$N$3</f>
        <v>18497.6938395201</v>
      </c>
      <c r="Q377" s="15" t="n">
        <f aca="false">O377+P377</f>
        <v>33501.3801460913</v>
      </c>
      <c r="R377" s="15" t="n">
        <f aca="false">Q377-$G$2+$I$2</f>
        <v>27314.0801460913</v>
      </c>
      <c r="S377" s="42" t="n">
        <f aca="false">R377/$K$2</f>
        <v>375.709493068655</v>
      </c>
      <c r="T377" s="43" t="n">
        <f aca="false">S377-$M$2</f>
        <v>-185.088306106035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0.0625</v>
      </c>
      <c r="C378" s="25" t="n">
        <f aca="false">IF(T377&gt;0,D377,C377)</f>
        <v>0.25</v>
      </c>
      <c r="D378" s="41" t="n">
        <f aca="false">(B378+C378)/2</f>
        <v>0.15625</v>
      </c>
      <c r="E378" s="15" t="n">
        <f aca="false">$C$2*(1+IF(E$3&lt;=$O$2,$D378,$D378-($D378-$I$373)*MIN(E$3-$O$2,$Q$2)/$Q$2))</f>
        <v>3850.3125</v>
      </c>
      <c r="F378" s="15" t="n">
        <f aca="false">E378*(1+IF(F$3&lt;=$O$2,$D378,$D378-($D378-$I$373)*MIN(F$3-$O$2,$Q$2)/$Q$2))</f>
        <v>4451.923828125</v>
      </c>
      <c r="G378" s="15" t="n">
        <f aca="false">F378*(1+IF(G$3&lt;=$O$2,$D378,$D378-($D378-$I$373)*MIN(G$3-$O$2,$Q$2)/$Q$2))</f>
        <v>5147.53692626953</v>
      </c>
      <c r="H378" s="15" t="n">
        <f aca="false">G378*(1+IF(H$3&lt;=$O$2,$D378,$D378-($D378-$I$373)*MIN(H$3-$O$2,$Q$2)/$Q$2))</f>
        <v>5951.83957099915</v>
      </c>
      <c r="I378" s="15" t="n">
        <f aca="false">H378*(1+IF(I$3&lt;=$O$2,$D378,$D378-($D378-$I$373)*MIN(I$3-$O$2,$Q$2)/$Q$2))</f>
        <v>6881.81450396776</v>
      </c>
      <c r="J378" s="15" t="n">
        <f aca="false">I378*(1+IF(J$3&lt;=$O$2,$D378,$D378-($D378-$I$373)*MIN(J$3-$O$2,$Q$2)/$Q$2))</f>
        <v>7780.99238705619</v>
      </c>
      <c r="K378" s="15" t="n">
        <f aca="false">J378*(1+IF(K$3&lt;=$O$2,$D378,$D378-($D378-$I$373)*MIN(K$3-$O$2,$Q$2)/$Q$2))</f>
        <v>8598.54125716418</v>
      </c>
      <c r="L378" s="15" t="n">
        <f aca="false">K378*(1+IF(L$3&lt;=$O$2,$D378,$D378-($D378-$I$373)*MIN(L$3-$O$2,$Q$2)/$Q$2))</f>
        <v>9281.95331628359</v>
      </c>
      <c r="M378" s="15" t="n">
        <f aca="false">L378*(1+IF(M$3&lt;=$O$2,$D378,$D378-($D378-$I$373)*MIN(M$3-$O$2,$Q$2)/$Q$2))</f>
        <v>9782.15778049812</v>
      </c>
      <c r="N378" s="15" t="n">
        <f aca="false">M378*(1+IF(N$3&lt;=$O$2,$D378,$D378-($D378-$I$373)*MIN(N$3-$O$2,$Q$2)/$Q$2))</f>
        <v>10058.9928456862</v>
      </c>
      <c r="O378" s="15" t="n">
        <f aca="false">SUMPRODUCT(E378:N378,1/(1+$F$373)^$E$3:$N$3)*$E$2</f>
        <v>22480.6840228325</v>
      </c>
      <c r="P378" s="15" t="n">
        <f aca="false">N378*$E$2*(1+$I$373)/($F$373-$I$373)/(1+$F$373)^$N$3</f>
        <v>33603.1370293185</v>
      </c>
      <c r="Q378" s="15" t="n">
        <f aca="false">O378+P378</f>
        <v>56083.821052151</v>
      </c>
      <c r="R378" s="15" t="n">
        <f aca="false">Q378-$G$2+$I$2</f>
        <v>49896.521052151</v>
      </c>
      <c r="S378" s="42" t="n">
        <f aca="false">R378/$K$2</f>
        <v>686.334539919545</v>
      </c>
      <c r="T378" s="43" t="n">
        <f aca="false">S378-$M$2</f>
        <v>125.536740744855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0.0625</v>
      </c>
      <c r="C379" s="25" t="n">
        <f aca="false">IF(T378&gt;0,D378,C378)</f>
        <v>0.15625</v>
      </c>
      <c r="D379" s="41" t="n">
        <f aca="false">(B379+C379)/2</f>
        <v>0.109375</v>
      </c>
      <c r="E379" s="15" t="n">
        <f aca="false">$C$2*(1+IF(E$3&lt;=$O$2,$D379,$D379-($D379-$I$373)*MIN(E$3-$O$2,$Q$2)/$Q$2))</f>
        <v>3694.21875</v>
      </c>
      <c r="F379" s="15" t="n">
        <f aca="false">E379*(1+IF(F$3&lt;=$O$2,$D379,$D379-($D379-$I$373)*MIN(F$3-$O$2,$Q$2)/$Q$2))</f>
        <v>4098.27392578125</v>
      </c>
      <c r="G379" s="15" t="n">
        <f aca="false">F379*(1+IF(G$3&lt;=$O$2,$D379,$D379-($D379-$I$373)*MIN(G$3-$O$2,$Q$2)/$Q$2))</f>
        <v>4546.52263641357</v>
      </c>
      <c r="H379" s="15" t="n">
        <f aca="false">G379*(1+IF(H$3&lt;=$O$2,$D379,$D379-($D379-$I$373)*MIN(H$3-$O$2,$Q$2)/$Q$2))</f>
        <v>5043.79854977131</v>
      </c>
      <c r="I379" s="15" t="n">
        <f aca="false">H379*(1+IF(I$3&lt;=$O$2,$D379,$D379-($D379-$I$373)*MIN(I$3-$O$2,$Q$2)/$Q$2))</f>
        <v>5595.46401615255</v>
      </c>
      <c r="J379" s="15" t="n">
        <f aca="false">I379*(1+IF(J$3&lt;=$O$2,$D379,$D379-($D379-$I$373)*MIN(J$3-$O$2,$Q$2)/$Q$2))</f>
        <v>6116.73744389732</v>
      </c>
      <c r="K379" s="15" t="n">
        <f aca="false">J379*(1+IF(K$3&lt;=$O$2,$D379,$D379-($D379-$I$373)*MIN(K$3-$O$2,$Q$2)/$Q$2))</f>
        <v>6587.389806518</v>
      </c>
      <c r="L379" s="15" t="n">
        <f aca="false">K379*(1+IF(L$3&lt;=$O$2,$D379,$D379-($D379-$I$373)*MIN(L$3-$O$2,$Q$2)/$Q$2))</f>
        <v>6987.44198946783</v>
      </c>
      <c r="M379" s="15" t="n">
        <f aca="false">L379*(1+IF(M$3&lt;=$O$2,$D379,$D379-($D379-$I$373)*MIN(M$3-$O$2,$Q$2)/$Q$2))</f>
        <v>7298.48796962899</v>
      </c>
      <c r="N379" s="15" t="n">
        <f aca="false">M379*(1+IF(N$3&lt;=$O$2,$D379,$D379-($D379-$I$373)*MIN(N$3-$O$2,$Q$2)/$Q$2))</f>
        <v>7505.0351791695</v>
      </c>
      <c r="O379" s="15" t="n">
        <f aca="false">SUMPRODUCT(E379:N379,1/(1+$F$373)^$E$3:$N$3)*$E$2</f>
        <v>18368.1391182169</v>
      </c>
      <c r="P379" s="15" t="n">
        <f aca="false">N379*$E$2*(1+$I$373)/($F$373-$I$373)/(1+$F$373)^$N$3</f>
        <v>25071.3694108691</v>
      </c>
      <c r="Q379" s="15" t="n">
        <f aca="false">O379+P379</f>
        <v>43439.5085290859</v>
      </c>
      <c r="R379" s="15" t="n">
        <f aca="false">Q379-$G$2+$I$2</f>
        <v>37252.2085290859</v>
      </c>
      <c r="S379" s="42" t="n">
        <f aca="false">R379/$K$2</f>
        <v>512.410021032819</v>
      </c>
      <c r="T379" s="43" t="n">
        <f aca="false">S379-$M$2</f>
        <v>-48.3877781418717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0.109375</v>
      </c>
      <c r="C380" s="25" t="n">
        <f aca="false">IF(T379&gt;0,D379,C379)</f>
        <v>0.15625</v>
      </c>
      <c r="D380" s="41" t="n">
        <f aca="false">(B380+C380)/2</f>
        <v>0.1328125</v>
      </c>
      <c r="E380" s="15" t="n">
        <f aca="false">$C$2*(1+IF(E$3&lt;=$O$2,$D380,$D380-($D380-$I$373)*MIN(E$3-$O$2,$Q$2)/$Q$2))</f>
        <v>3772.265625</v>
      </c>
      <c r="F380" s="15" t="n">
        <f aca="false">E380*(1+IF(F$3&lt;=$O$2,$D380,$D380-($D380-$I$373)*MIN(F$3-$O$2,$Q$2)/$Q$2))</f>
        <v>4273.26965332031</v>
      </c>
      <c r="G380" s="15" t="n">
        <f aca="false">F380*(1+IF(G$3&lt;=$O$2,$D380,$D380-($D380-$I$373)*MIN(G$3-$O$2,$Q$2)/$Q$2))</f>
        <v>4840.81327915192</v>
      </c>
      <c r="H380" s="15" t="n">
        <f aca="false">G380*(1+IF(H$3&lt;=$O$2,$D380,$D380-($D380-$I$373)*MIN(H$3-$O$2,$Q$2)/$Q$2))</f>
        <v>5483.73379278928</v>
      </c>
      <c r="I380" s="15" t="n">
        <f aca="false">H380*(1+IF(I$3&lt;=$O$2,$D380,$D380-($D380-$I$373)*MIN(I$3-$O$2,$Q$2)/$Q$2))</f>
        <v>6212.04218714411</v>
      </c>
      <c r="J380" s="15" t="n">
        <f aca="false">I380*(1+IF(J$3&lt;=$O$2,$D380,$D380-($D380-$I$373)*MIN(J$3-$O$2,$Q$2)/$Q$2))</f>
        <v>6907.2318283074</v>
      </c>
      <c r="K380" s="15" t="n">
        <f aca="false">J380*(1+IF(K$3&lt;=$O$2,$D380,$D380-($D380-$I$373)*MIN(K$3-$O$2,$Q$2)/$Q$2))</f>
        <v>7535.84172892209</v>
      </c>
      <c r="L380" s="15" t="n">
        <f aca="false">K380*(1+IF(L$3&lt;=$O$2,$D380,$D380-($D380-$I$373)*MIN(L$3-$O$2,$Q$2)/$Q$2))</f>
        <v>8064.14191332817</v>
      </c>
      <c r="M380" s="15" t="n">
        <f aca="false">L380*(1+IF(M$3&lt;=$O$2,$D380,$D380-($D380-$I$373)*MIN(M$3-$O$2,$Q$2)/$Q$2))</f>
        <v>8460.9178558187</v>
      </c>
      <c r="N380" s="15" t="n">
        <f aca="false">M380*(1+IF(N$3&lt;=$O$2,$D380,$D380-($D380-$I$373)*MIN(N$3-$O$2,$Q$2)/$Q$2))</f>
        <v>8700.36183113837</v>
      </c>
      <c r="O380" s="15" t="n">
        <f aca="false">SUMPRODUCT(E380:N380,1/(1+$F$373)^$E$3:$N$3)*$E$2</f>
        <v>20322.0475561795</v>
      </c>
      <c r="P380" s="15" t="n">
        <f aca="false">N380*$E$2*(1+$I$373)/($F$373-$I$373)/(1+$F$373)^$N$3</f>
        <v>29064.4854113573</v>
      </c>
      <c r="Q380" s="15" t="n">
        <f aca="false">O380+P380</f>
        <v>49386.5329675369</v>
      </c>
      <c r="R380" s="15" t="n">
        <f aca="false">Q380-$G$2+$I$2</f>
        <v>43199.2329675368</v>
      </c>
      <c r="S380" s="42" t="n">
        <f aca="false">R380/$K$2</f>
        <v>594.212282909723</v>
      </c>
      <c r="T380" s="43" t="n">
        <f aca="false">S380-$M$2</f>
        <v>33.4144837350323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0.109375</v>
      </c>
      <c r="C381" s="25" t="n">
        <f aca="false">IF(T380&gt;0,D380,C380)</f>
        <v>0.1328125</v>
      </c>
      <c r="D381" s="41" t="n">
        <f aca="false">(B381+C381)/2</f>
        <v>0.12109375</v>
      </c>
      <c r="E381" s="15" t="n">
        <f aca="false">$C$2*(1+IF(E$3&lt;=$O$2,$D381,$D381-($D381-$I$373)*MIN(E$3-$O$2,$Q$2)/$Q$2))</f>
        <v>3733.2421875</v>
      </c>
      <c r="F381" s="15" t="n">
        <f aca="false">E381*(1+IF(F$3&lt;=$O$2,$D381,$D381-($D381-$I$373)*MIN(F$3-$O$2,$Q$2)/$Q$2))</f>
        <v>4185.31448364258</v>
      </c>
      <c r="G381" s="15" t="n">
        <f aca="false">F381*(1+IF(G$3&lt;=$O$2,$D381,$D381-($D381-$I$373)*MIN(G$3-$O$2,$Q$2)/$Q$2))</f>
        <v>4692.12990939617</v>
      </c>
      <c r="H381" s="15" t="n">
        <f aca="false">G381*(1+IF(H$3&lt;=$O$2,$D381,$D381-($D381-$I$373)*MIN(H$3-$O$2,$Q$2)/$Q$2))</f>
        <v>5260.31751561211</v>
      </c>
      <c r="I381" s="15" t="n">
        <f aca="false">H381*(1+IF(I$3&lt;=$O$2,$D381,$D381-($D381-$I$373)*MIN(I$3-$O$2,$Q$2)/$Q$2))</f>
        <v>5897.30908976827</v>
      </c>
      <c r="J381" s="15" t="n">
        <f aca="false">I381*(1+IF(J$3&lt;=$O$2,$D381,$D381-($D381-$I$373)*MIN(J$3-$O$2,$Q$2)/$Q$2))</f>
        <v>6501.98967728766</v>
      </c>
      <c r="K381" s="15" t="n">
        <f aca="false">J381*(1+IF(K$3&lt;=$O$2,$D381,$D381-($D381-$I$373)*MIN(K$3-$O$2,$Q$2)/$Q$2))</f>
        <v>7048.00238792499</v>
      </c>
      <c r="L381" s="15" t="n">
        <f aca="false">K381*(1+IF(L$3&lt;=$O$2,$D381,$D381-($D381-$I$373)*MIN(L$3-$O$2,$Q$2)/$Q$2))</f>
        <v>7509.06508413707</v>
      </c>
      <c r="M381" s="15" t="n">
        <f aca="false">L381*(1+IF(M$3&lt;=$O$2,$D381,$D381-($D381-$I$373)*MIN(M$3-$O$2,$Q$2)/$Q$2))</f>
        <v>7860.93048764838</v>
      </c>
      <c r="N381" s="15" t="n">
        <f aca="false">M381*(1+IF(N$3&lt;=$O$2,$D381,$D381-($D381-$I$373)*MIN(N$3-$O$2,$Q$2)/$Q$2))</f>
        <v>8083.39482044883</v>
      </c>
      <c r="O381" s="15" t="n">
        <f aca="false">SUMPRODUCT(E381:N381,1/(1+$F$373)^$E$3:$N$3)*$E$2</f>
        <v>19320.6645162881</v>
      </c>
      <c r="P381" s="15" t="n">
        <f aca="false">N381*$E$2*(1+$I$373)/($F$373-$I$373)/(1+$F$373)^$N$3</f>
        <v>27003.441396234</v>
      </c>
      <c r="Q381" s="15" t="n">
        <f aca="false">O381+P381</f>
        <v>46324.1059125221</v>
      </c>
      <c r="R381" s="15" t="n">
        <f aca="false">Q381-$G$2+$I$2</f>
        <v>40136.8059125221</v>
      </c>
      <c r="S381" s="42" t="n">
        <f aca="false">R381/$K$2</f>
        <v>552.088114340057</v>
      </c>
      <c r="T381" s="43" t="n">
        <f aca="false">S381-$M$2</f>
        <v>-8.70968483463378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0.12109375</v>
      </c>
      <c r="C382" s="25" t="n">
        <f aca="false">IF(T381&gt;0,D381,C381)</f>
        <v>0.1328125</v>
      </c>
      <c r="D382" s="41" t="n">
        <f aca="false">(B382+C382)/2</f>
        <v>0.126953125</v>
      </c>
      <c r="E382" s="15" t="n">
        <f aca="false">$C$2*(1+IF(E$3&lt;=$O$2,$D382,$D382-($D382-$I$373)*MIN(E$3-$O$2,$Q$2)/$Q$2))</f>
        <v>3752.75390625</v>
      </c>
      <c r="F382" s="15" t="n">
        <f aca="false">E382*(1+IF(F$3&lt;=$O$2,$D382,$D382-($D382-$I$373)*MIN(F$3-$O$2,$Q$2)/$Q$2))</f>
        <v>4229.17774200439</v>
      </c>
      <c r="G382" s="15" t="n">
        <f aca="false">F382*(1+IF(G$3&lt;=$O$2,$D382,$D382-($D382-$I$373)*MIN(G$3-$O$2,$Q$2)/$Q$2))</f>
        <v>4766.0850725323</v>
      </c>
      <c r="H382" s="15" t="n">
        <f aca="false">G382*(1+IF(H$3&lt;=$O$2,$D382,$D382-($D382-$I$373)*MIN(H$3-$O$2,$Q$2)/$Q$2))</f>
        <v>5371.15446650612</v>
      </c>
      <c r="I382" s="15" t="n">
        <f aca="false">H382*(1+IF(I$3&lt;=$O$2,$D382,$D382-($D382-$I$373)*MIN(I$3-$O$2,$Q$2)/$Q$2))</f>
        <v>6053.03931088678</v>
      </c>
      <c r="J382" s="15" t="n">
        <f aca="false">I382*(1+IF(J$3&lt;=$O$2,$D382,$D382-($D382-$I$373)*MIN(J$3-$O$2,$Q$2)/$Q$2))</f>
        <v>6702.06131839834</v>
      </c>
      <c r="K382" s="15" t="n">
        <f aca="false">J382*(1+IF(K$3&lt;=$O$2,$D382,$D382-($D382-$I$373)*MIN(K$3-$O$2,$Q$2)/$Q$2))</f>
        <v>7288.43722950999</v>
      </c>
      <c r="L382" s="15" t="n">
        <f aca="false">K382*(1+IF(L$3&lt;=$O$2,$D382,$D382-($D382-$I$373)*MIN(L$3-$O$2,$Q$2)/$Q$2))</f>
        <v>7782.31084672812</v>
      </c>
      <c r="M382" s="15" t="n">
        <f aca="false">L382*(1+IF(M$3&lt;=$O$2,$D382,$D382-($D382-$I$373)*MIN(M$3-$O$2,$Q$2)/$Q$2))</f>
        <v>8156.10010064075</v>
      </c>
      <c r="N382" s="15" t="n">
        <f aca="false">M382*(1+IF(N$3&lt;=$O$2,$D382,$D382-($D382-$I$373)*MIN(N$3-$O$2,$Q$2)/$Q$2))</f>
        <v>8386.91773348888</v>
      </c>
      <c r="O382" s="15" t="n">
        <f aca="false">SUMPRODUCT(E382:N382,1/(1+$F$373)^$E$3:$N$3)*$E$2</f>
        <v>19815.107161181</v>
      </c>
      <c r="P382" s="15" t="n">
        <f aca="false">N382*$E$2*(1+$I$373)/($F$373-$I$373)/(1+$F$373)^$N$3</f>
        <v>28017.3920168269</v>
      </c>
      <c r="Q382" s="15" t="n">
        <f aca="false">O382+P382</f>
        <v>47832.4991780079</v>
      </c>
      <c r="R382" s="15" t="n">
        <f aca="false">Q382-$G$2+$I$2</f>
        <v>41645.1991780079</v>
      </c>
      <c r="S382" s="42" t="n">
        <f aca="false">R382/$K$2</f>
        <v>572.836302310975</v>
      </c>
      <c r="T382" s="43" t="n">
        <f aca="false">S382-$M$2</f>
        <v>12.0385031362845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0.12109375</v>
      </c>
      <c r="C383" s="25" t="n">
        <f aca="false">IF(T382&gt;0,D382,C382)</f>
        <v>0.126953125</v>
      </c>
      <c r="D383" s="41" t="n">
        <f aca="false">(B383+C383)/2</f>
        <v>0.1240234375</v>
      </c>
      <c r="E383" s="15" t="n">
        <f aca="false">$C$2*(1+IF(E$3&lt;=$O$2,$D383,$D383-($D383-$I$373)*MIN(E$3-$O$2,$Q$2)/$Q$2))</f>
        <v>3742.998046875</v>
      </c>
      <c r="F383" s="15" t="n">
        <f aca="false">E383*(1+IF(F$3&lt;=$O$2,$D383,$D383-($D383-$I$373)*MIN(F$3-$O$2,$Q$2)/$Q$2))</f>
        <v>4207.21753120422</v>
      </c>
      <c r="G383" s="15" t="n">
        <f aca="false">F383*(1+IF(G$3&lt;=$O$2,$D383,$D383-($D383-$I$373)*MIN(G$3-$O$2,$Q$2)/$Q$2))</f>
        <v>4729.01111173444</v>
      </c>
      <c r="H383" s="15" t="n">
        <f aca="false">G383*(1+IF(H$3&lt;=$O$2,$D383,$D383-($D383-$I$373)*MIN(H$3-$O$2,$Q$2)/$Q$2))</f>
        <v>5315.51932578744</v>
      </c>
      <c r="I383" s="15" t="n">
        <f aca="false">H383*(1+IF(I$3&lt;=$O$2,$D383,$D383-($D383-$I$373)*MIN(I$3-$O$2,$Q$2)/$Q$2))</f>
        <v>5974.76830466928</v>
      </c>
      <c r="J383" s="15" t="n">
        <f aca="false">I383*(1+IF(J$3&lt;=$O$2,$D383,$D383-($D383-$I$373)*MIN(J$3-$O$2,$Q$2)/$Q$2))</f>
        <v>6601.39453600261</v>
      </c>
      <c r="K383" s="15" t="n">
        <f aca="false">J383*(1+IF(K$3&lt;=$O$2,$D383,$D383-($D383-$I$373)*MIN(K$3-$O$2,$Q$2)/$Q$2))</f>
        <v>7167.35890773942</v>
      </c>
      <c r="L383" s="15" t="n">
        <f aca="false">K383*(1+IF(L$3&lt;=$O$2,$D383,$D383-($D383-$I$373)*MIN(L$3-$O$2,$Q$2)/$Q$2))</f>
        <v>7644.62885780647</v>
      </c>
      <c r="M383" s="15" t="n">
        <f aca="false">L383*(1+IF(M$3&lt;=$O$2,$D383,$D383-($D383-$I$373)*MIN(M$3-$O$2,$Q$2)/$Q$2))</f>
        <v>8007.32588501858</v>
      </c>
      <c r="N383" s="15" t="n">
        <f aca="false">M383*(1+IF(N$3&lt;=$O$2,$D383,$D383-($D383-$I$373)*MIN(N$3-$O$2,$Q$2)/$Q$2))</f>
        <v>8233.9332075646</v>
      </c>
      <c r="O383" s="15" t="n">
        <f aca="false">SUMPRODUCT(E383:N383,1/(1+$F$373)^$E$3:$N$3)*$E$2</f>
        <v>19566.3415498367</v>
      </c>
      <c r="P383" s="15" t="n">
        <f aca="false">N383*$E$2*(1+$I$373)/($F$373-$I$373)/(1+$F$373)^$N$3</f>
        <v>27506.330912911</v>
      </c>
      <c r="Q383" s="15" t="n">
        <f aca="false">O383+P383</f>
        <v>47072.6724627477</v>
      </c>
      <c r="R383" s="15" t="n">
        <f aca="false">Q383-$G$2+$I$2</f>
        <v>40885.3724627477</v>
      </c>
      <c r="S383" s="42" t="n">
        <f aca="false">R383/$K$2</f>
        <v>562.384765649899</v>
      </c>
      <c r="T383" s="43" t="n">
        <f aca="false">S383-$M$2</f>
        <v>1.58696647520856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0.12109375</v>
      </c>
      <c r="C384" s="25" t="n">
        <f aca="false">IF(T383&gt;0,D383,C383)</f>
        <v>0.1240234375</v>
      </c>
      <c r="D384" s="41" t="n">
        <f aca="false">(B384+C384)/2</f>
        <v>0.12255859375</v>
      </c>
      <c r="E384" s="15" t="n">
        <f aca="false">$C$2*(1+IF(E$3&lt;=$O$2,$D384,$D384-($D384-$I$373)*MIN(E$3-$O$2,$Q$2)/$Q$2))</f>
        <v>3738.1201171875</v>
      </c>
      <c r="F384" s="15" t="n">
        <f aca="false">E384*(1+IF(F$3&lt;=$O$2,$D384,$D384-($D384-$I$373)*MIN(F$3-$O$2,$Q$2)/$Q$2))</f>
        <v>4196.25886201859</v>
      </c>
      <c r="G384" s="15" t="n">
        <f aca="false">F384*(1+IF(G$3&lt;=$O$2,$D384,$D384-($D384-$I$373)*MIN(G$3-$O$2,$Q$2)/$Q$2))</f>
        <v>4710.54644715856</v>
      </c>
      <c r="H384" s="15" t="n">
        <f aca="false">G384*(1+IF(H$3&lt;=$O$2,$D384,$D384-($D384-$I$373)*MIN(H$3-$O$2,$Q$2)/$Q$2))</f>
        <v>5287.86439551637</v>
      </c>
      <c r="I384" s="15" t="n">
        <f aca="false">H384*(1+IF(I$3&lt;=$O$2,$D384,$D384-($D384-$I$373)*MIN(I$3-$O$2,$Q$2)/$Q$2))</f>
        <v>5935.93761977155</v>
      </c>
      <c r="J384" s="15" t="n">
        <f aca="false">I384*(1+IF(J$3&lt;=$O$2,$D384,$D384-($D384-$I$373)*MIN(J$3-$O$2,$Q$2)/$Q$2))</f>
        <v>6551.535160513</v>
      </c>
      <c r="K384" s="15" t="n">
        <f aca="false">J384*(1+IF(K$3&lt;=$O$2,$D384,$D384-($D384-$I$373)*MIN(K$3-$O$2,$Q$2)/$Q$2))</f>
        <v>7107.4667002357</v>
      </c>
      <c r="L384" s="15" t="n">
        <f aca="false">K384*(1+IF(L$3&lt;=$O$2,$D384,$D384-($D384-$I$373)*MIN(L$3-$O$2,$Q$2)/$Q$2))</f>
        <v>7576.58393436803</v>
      </c>
      <c r="M384" s="15" t="n">
        <f aca="false">L384*(1+IF(M$3&lt;=$O$2,$D384,$D384-($D384-$I$373)*MIN(M$3-$O$2,$Q$2)/$Q$2))</f>
        <v>7933.83288912712</v>
      </c>
      <c r="N384" s="15" t="n">
        <f aca="false">M384*(1+IF(N$3&lt;=$O$2,$D384,$D384-($D384-$I$373)*MIN(N$3-$O$2,$Q$2)/$Q$2))</f>
        <v>8158.36035988942</v>
      </c>
      <c r="O384" s="15" t="n">
        <f aca="false">SUMPRODUCT(E384:N384,1/(1+$F$373)^$E$3:$N$3)*$E$2</f>
        <v>19443.1191825784</v>
      </c>
      <c r="P384" s="15" t="n">
        <f aca="false">N384*$E$2*(1+$I$373)/($F$373-$I$373)/(1+$F$373)^$N$3</f>
        <v>27253.8717656501</v>
      </c>
      <c r="Q384" s="15" t="n">
        <f aca="false">O384+P384</f>
        <v>46696.9909482285</v>
      </c>
      <c r="R384" s="15" t="n">
        <f aca="false">Q384-$G$2+$I$2</f>
        <v>40509.6909482285</v>
      </c>
      <c r="S384" s="42" t="n">
        <f aca="false">R384/$K$2</f>
        <v>557.217206990763</v>
      </c>
      <c r="T384" s="43" t="n">
        <f aca="false">S384-$M$2</f>
        <v>-3.58059218392714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0.12255859375</v>
      </c>
      <c r="C385" s="25" t="n">
        <f aca="false">IF(T384&gt;0,D384,C384)</f>
        <v>0.1240234375</v>
      </c>
      <c r="D385" s="41" t="n">
        <f aca="false">(B385+C385)/2</f>
        <v>0.123291015625</v>
      </c>
      <c r="E385" s="15" t="n">
        <f aca="false">$C$2*(1+IF(E$3&lt;=$O$2,$D385,$D385-($D385-$I$373)*MIN(E$3-$O$2,$Q$2)/$Q$2))</f>
        <v>3740.55908203125</v>
      </c>
      <c r="F385" s="15" t="n">
        <f aca="false">E385*(1+IF(F$3&lt;=$O$2,$D385,$D385-($D385-$I$373)*MIN(F$3-$O$2,$Q$2)/$Q$2))</f>
        <v>4201.7364102602</v>
      </c>
      <c r="G385" s="15" t="n">
        <f aca="false">F385*(1+IF(G$3&lt;=$O$2,$D385,$D385-($D385-$I$373)*MIN(G$3-$O$2,$Q$2)/$Q$2))</f>
        <v>4719.77275966972</v>
      </c>
      <c r="H385" s="15" t="n">
        <f aca="false">G385*(1+IF(H$3&lt;=$O$2,$D385,$D385-($D385-$I$373)*MIN(H$3-$O$2,$Q$2)/$Q$2))</f>
        <v>5301.67833672861</v>
      </c>
      <c r="I385" s="15" t="n">
        <f aca="false">H385*(1+IF(I$3&lt;=$O$2,$D385,$D385-($D385-$I$373)*MIN(I$3-$O$2,$Q$2)/$Q$2))</f>
        <v>5955.32764338094</v>
      </c>
      <c r="J385" s="15" t="n">
        <f aca="false">I385*(1+IF(J$3&lt;=$O$2,$D385,$D385-($D385-$I$373)*MIN(J$3-$O$2,$Q$2)/$Q$2))</f>
        <v>6576.42551266814</v>
      </c>
      <c r="K385" s="15" t="n">
        <f aca="false">J385*(1+IF(K$3&lt;=$O$2,$D385,$D385-($D385-$I$373)*MIN(K$3-$O$2,$Q$2)/$Q$2))</f>
        <v>7137.35915785495</v>
      </c>
      <c r="L385" s="15" t="n">
        <f aca="false">K385*(1+IF(L$3&lt;=$O$2,$D385,$D385-($D385-$I$373)*MIN(L$3-$O$2,$Q$2)/$Q$2))</f>
        <v>7610.54042013626</v>
      </c>
      <c r="M385" s="15" t="n">
        <f aca="false">L385*(1+IF(M$3&lt;=$O$2,$D385,$D385-($D385-$I$373)*MIN(M$3-$O$2,$Q$2)/$Q$2))</f>
        <v>7970.50530681889</v>
      </c>
      <c r="N385" s="15" t="n">
        <f aca="false">M385*(1+IF(N$3&lt;=$O$2,$D385,$D385-($D385-$I$373)*MIN(N$3-$O$2,$Q$2)/$Q$2))</f>
        <v>8196.07060700186</v>
      </c>
      <c r="O385" s="15" t="n">
        <f aca="false">SUMPRODUCT(E385:N385,1/(1+$F$373)^$E$3:$N$3)*$E$2</f>
        <v>19504.6341267346</v>
      </c>
      <c r="P385" s="15" t="n">
        <f aca="false">N385*$E$2*(1+$I$373)/($F$373-$I$373)/(1+$F$373)^$N$3</f>
        <v>27379.8468628163</v>
      </c>
      <c r="Q385" s="15" t="n">
        <f aca="false">O385+P385</f>
        <v>46884.4809895508</v>
      </c>
      <c r="R385" s="15" t="n">
        <f aca="false">Q385-$G$2+$I$2</f>
        <v>40697.1809895508</v>
      </c>
      <c r="S385" s="42" t="n">
        <f aca="false">R385/$K$2</f>
        <v>559.796162167136</v>
      </c>
      <c r="T385" s="43" t="n">
        <f aca="false">S385-$M$2</f>
        <v>-1.00163700755411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0.123291015625</v>
      </c>
      <c r="C386" s="25" t="n">
        <f aca="false">IF(T385&gt;0,D385,C385)</f>
        <v>0.1240234375</v>
      </c>
      <c r="D386" s="41" t="n">
        <f aca="false">(B386+C386)/2</f>
        <v>0.1236572265625</v>
      </c>
      <c r="E386" s="15" t="n">
        <f aca="false">$C$2*(1+IF(E$3&lt;=$O$2,$D386,$D386-($D386-$I$373)*MIN(E$3-$O$2,$Q$2)/$Q$2))</f>
        <v>3741.77856445313</v>
      </c>
      <c r="F386" s="15" t="n">
        <f aca="false">E386*(1+IF(F$3&lt;=$O$2,$D386,$D386-($D386-$I$373)*MIN(F$3-$O$2,$Q$2)/$Q$2))</f>
        <v>4204.47652414441</v>
      </c>
      <c r="G386" s="15" t="n">
        <f aca="false">F386*(1+IF(G$3&lt;=$O$2,$D386,$D386-($D386-$I$373)*MIN(G$3-$O$2,$Q$2)/$Q$2))</f>
        <v>4724.39043026725</v>
      </c>
      <c r="H386" s="15" t="n">
        <f aca="false">G386*(1+IF(H$3&lt;=$O$2,$D386,$D386-($D386-$I$373)*MIN(H$3-$O$2,$Q$2)/$Q$2))</f>
        <v>5308.59544807251</v>
      </c>
      <c r="I386" s="15" t="n">
        <f aca="false">H386*(1+IF(I$3&lt;=$O$2,$D386,$D386-($D386-$I$373)*MIN(I$3-$O$2,$Q$2)/$Q$2))</f>
        <v>5965.04163812347</v>
      </c>
      <c r="J386" s="15" t="n">
        <f aca="false">I386*(1+IF(J$3&lt;=$O$2,$D386,$D386-($D386-$I$373)*MIN(J$3-$O$2,$Q$2)/$Q$2))</f>
        <v>6588.9001780354</v>
      </c>
      <c r="K386" s="15" t="n">
        <f aca="false">J386*(1+IF(K$3&lt;=$O$2,$D386,$D386-($D386-$I$373)*MIN(K$3-$O$2,$Q$2)/$Q$2))</f>
        <v>7152.34560131857</v>
      </c>
      <c r="L386" s="15" t="n">
        <f aca="false">K386*(1+IF(L$3&lt;=$O$2,$D386,$D386-($D386-$I$373)*MIN(L$3-$O$2,$Q$2)/$Q$2))</f>
        <v>7627.56811781918</v>
      </c>
      <c r="M386" s="15" t="n">
        <f aca="false">L386*(1+IF(M$3&lt;=$O$2,$D386,$D386-($D386-$I$373)*MIN(M$3-$O$2,$Q$2)/$Q$2))</f>
        <v>7988.89704377982</v>
      </c>
      <c r="N386" s="15" t="n">
        <f aca="false">M386*(1+IF(N$3&lt;=$O$2,$D386,$D386-($D386-$I$373)*MIN(N$3-$O$2,$Q$2)/$Q$2))</f>
        <v>8214.98283011878</v>
      </c>
      <c r="O386" s="15" t="n">
        <f aca="false">SUMPRODUCT(E386:N386,1/(1+$F$373)^$E$3:$N$3)*$E$2</f>
        <v>19535.4637437353</v>
      </c>
      <c r="P386" s="15" t="n">
        <f aca="false">N386*$E$2*(1+$I$373)/($F$373-$I$373)/(1+$F$373)^$N$3</f>
        <v>27443.0251585638</v>
      </c>
      <c r="Q386" s="15" t="n">
        <f aca="false">O386+P386</f>
        <v>46978.4889022991</v>
      </c>
      <c r="R386" s="15" t="n">
        <f aca="false">Q386-$G$2+$I$2</f>
        <v>40791.1889022991</v>
      </c>
      <c r="S386" s="42" t="n">
        <f aca="false">R386/$K$2</f>
        <v>561.089255877566</v>
      </c>
      <c r="T386" s="43" t="n">
        <f aca="false">S386-$M$2</f>
        <v>0.291456702875507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0.123291015625</v>
      </c>
      <c r="C387" s="25" t="n">
        <f aca="false">IF(T386&gt;0,D386,C386)</f>
        <v>0.1236572265625</v>
      </c>
      <c r="D387" s="41" t="n">
        <f aca="false">(B387+C387)/2</f>
        <v>0.12347412109375</v>
      </c>
      <c r="E387" s="15" t="n">
        <f aca="false">$C$2*(1+IF(E$3&lt;=$O$2,$D387,$D387-($D387-$I$373)*MIN(E$3-$O$2,$Q$2)/$Q$2))</f>
        <v>3741.16882324219</v>
      </c>
      <c r="F387" s="15" t="n">
        <f aca="false">E387*(1+IF(F$3&lt;=$O$2,$D387,$D387-($D387-$I$373)*MIN(F$3-$O$2,$Q$2)/$Q$2))</f>
        <v>4203.10635555536</v>
      </c>
      <c r="G387" s="15" t="n">
        <f aca="false">F387*(1+IF(G$3&lt;=$O$2,$D387,$D387-($D387-$I$373)*MIN(G$3-$O$2,$Q$2)/$Q$2))</f>
        <v>4722.08121867111</v>
      </c>
      <c r="H387" s="15" t="n">
        <f aca="false">G387*(1+IF(H$3&lt;=$O$2,$D387,$D387-($D387-$I$373)*MIN(H$3-$O$2,$Q$2)/$Q$2))</f>
        <v>5305.13604687983</v>
      </c>
      <c r="I387" s="15" t="n">
        <f aca="false">H387*(1+IF(I$3&lt;=$O$2,$D387,$D387-($D387-$I$373)*MIN(I$3-$O$2,$Q$2)/$Q$2))</f>
        <v>5960.18305755109</v>
      </c>
      <c r="J387" s="15" t="n">
        <f aca="false">I387*(1+IF(J$3&lt;=$O$2,$D387,$D387-($D387-$I$373)*MIN(J$3-$O$2,$Q$2)/$Q$2))</f>
        <v>6582.66038532801</v>
      </c>
      <c r="K387" s="15" t="n">
        <f aca="false">J387*(1+IF(K$3&lt;=$O$2,$D387,$D387-($D387-$I$373)*MIN(K$3-$O$2,$Q$2)/$Q$2))</f>
        <v>7144.84902421214</v>
      </c>
      <c r="L387" s="15" t="n">
        <f aca="false">K387*(1+IF(L$3&lt;=$O$2,$D387,$D387-($D387-$I$373)*MIN(L$3-$O$2,$Q$2)/$Q$2))</f>
        <v>7619.05014208811</v>
      </c>
      <c r="M387" s="15" t="n">
        <f aca="false">L387*(1+IF(M$3&lt;=$O$2,$D387,$D387-($D387-$I$373)*MIN(M$3-$O$2,$Q$2)/$Q$2))</f>
        <v>7979.69654127769</v>
      </c>
      <c r="N387" s="15" t="n">
        <f aca="false">M387*(1+IF(N$3&lt;=$O$2,$D387,$D387-($D387-$I$373)*MIN(N$3-$O$2,$Q$2)/$Q$2))</f>
        <v>8205.52195339585</v>
      </c>
      <c r="O387" s="15" t="n">
        <f aca="false">SUMPRODUCT(E387:N387,1/(1+$F$373)^$E$3:$N$3)*$E$2</f>
        <v>19520.042915936</v>
      </c>
      <c r="P387" s="15" t="n">
        <f aca="false">N387*$E$2*(1+$I$373)/($F$373-$I$373)/(1+$F$373)^$N$3</f>
        <v>27411.4200921505</v>
      </c>
      <c r="Q387" s="15" t="n">
        <f aca="false">O387+P387</f>
        <v>46931.4630080865</v>
      </c>
      <c r="R387" s="15" t="n">
        <f aca="false">Q387-$G$2+$I$2</f>
        <v>40744.1630080865</v>
      </c>
      <c r="S387" s="42" t="n">
        <f aca="false">R387/$K$2</f>
        <v>560.442407263914</v>
      </c>
      <c r="T387" s="43" t="n">
        <f aca="false">S387-$M$2</f>
        <v>-0.355391910776916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0.12347412109375</v>
      </c>
      <c r="C388" s="25" t="n">
        <f aca="false">IF(T387&gt;0,D387,C387)</f>
        <v>0.1236572265625</v>
      </c>
      <c r="D388" s="41" t="n">
        <f aca="false">(B388+C388)/2</f>
        <v>0.123565673828125</v>
      </c>
      <c r="E388" s="15" t="n">
        <f aca="false">$C$2*(1+IF(E$3&lt;=$O$2,$D388,$D388-($D388-$I$373)*MIN(E$3-$O$2,$Q$2)/$Q$2))</f>
        <v>3741.47369384766</v>
      </c>
      <c r="F388" s="15" t="n">
        <f aca="false">E388*(1+IF(F$3&lt;=$O$2,$D388,$D388-($D388-$I$373)*MIN(F$3-$O$2,$Q$2)/$Q$2))</f>
        <v>4203.79141193815</v>
      </c>
      <c r="G388" s="15" t="n">
        <f aca="false">F388*(1+IF(G$3&lt;=$O$2,$D388,$D388-($D388-$I$373)*MIN(G$3-$O$2,$Q$2)/$Q$2))</f>
        <v>4723.23573038717</v>
      </c>
      <c r="H388" s="15" t="n">
        <f aca="false">G388*(1+IF(H$3&lt;=$O$2,$D388,$D388-($D388-$I$373)*MIN(H$3-$O$2,$Q$2)/$Q$2))</f>
        <v>5306.86553606153</v>
      </c>
      <c r="I388" s="15" t="n">
        <f aca="false">H388*(1+IF(I$3&lt;=$O$2,$D388,$D388-($D388-$I$373)*MIN(I$3-$O$2,$Q$2)/$Q$2))</f>
        <v>5962.61195194023</v>
      </c>
      <c r="J388" s="15" t="n">
        <f aca="false">I388*(1+IF(J$3&lt;=$O$2,$D388,$D388-($D388-$I$373)*MIN(J$3-$O$2,$Q$2)/$Q$2))</f>
        <v>6585.77966648191</v>
      </c>
      <c r="K388" s="15" t="n">
        <f aca="false">J388*(1+IF(K$3&lt;=$O$2,$D388,$D388-($D388-$I$373)*MIN(K$3-$O$2,$Q$2)/$Q$2))</f>
        <v>7148.59647360993</v>
      </c>
      <c r="L388" s="15" t="n">
        <f aca="false">K388*(1+IF(L$3&lt;=$O$2,$D388,$D388-($D388-$I$373)*MIN(L$3-$O$2,$Q$2)/$Q$2))</f>
        <v>7623.30809780662</v>
      </c>
      <c r="M388" s="15" t="n">
        <f aca="false">L388*(1+IF(M$3&lt;=$O$2,$D388,$D388-($D388-$I$373)*MIN(M$3-$O$2,$Q$2)/$Q$2))</f>
        <v>7984.29563352193</v>
      </c>
      <c r="N388" s="15" t="n">
        <f aca="false">M388*(1+IF(N$3&lt;=$O$2,$D388,$D388-($D388-$I$373)*MIN(N$3-$O$2,$Q$2)/$Q$2))</f>
        <v>8210.2511999506</v>
      </c>
      <c r="O388" s="15" t="n">
        <f aca="false">SUMPRODUCT(E388:N388,1/(1+$F$373)^$E$3:$N$3)*$E$2</f>
        <v>19527.7518244688</v>
      </c>
      <c r="P388" s="15" t="n">
        <f aca="false">N388*$E$2*(1+$I$373)/($F$373-$I$373)/(1+$F$373)^$N$3</f>
        <v>27427.2186439999</v>
      </c>
      <c r="Q388" s="15" t="n">
        <f aca="false">O388+P388</f>
        <v>46954.9704684687</v>
      </c>
      <c r="R388" s="15" t="n">
        <f aca="false">Q388-$G$2+$I$2</f>
        <v>40767.6704684687</v>
      </c>
      <c r="S388" s="42" t="n">
        <f aca="false">R388/$K$2</f>
        <v>560.765756099981</v>
      </c>
      <c r="T388" s="43" t="n">
        <f aca="false">S388-$M$2</f>
        <v>-0.0320430747091223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0.123565673828125</v>
      </c>
      <c r="C389" s="25" t="n">
        <f aca="false">IF(T388&gt;0,D388,C388)</f>
        <v>0.1236572265625</v>
      </c>
      <c r="D389" s="41" t="n">
        <f aca="false">(B389+C389)/2</f>
        <v>0.123611450195313</v>
      </c>
      <c r="E389" s="15" t="n">
        <f aca="false">$C$2*(1+IF(E$3&lt;=$O$2,$D389,$D389-($D389-$I$373)*MIN(E$3-$O$2,$Q$2)/$Q$2))</f>
        <v>3741.62612915039</v>
      </c>
      <c r="F389" s="15" t="n">
        <f aca="false">E389*(1+IF(F$3&lt;=$O$2,$D389,$D389-($D389-$I$373)*MIN(F$3-$O$2,$Q$2)/$Q$2))</f>
        <v>4204.13396106334</v>
      </c>
      <c r="G389" s="15" t="n">
        <f aca="false">F389*(1+IF(G$3&lt;=$O$2,$D389,$D389-($D389-$I$373)*MIN(G$3-$O$2,$Q$2)/$Q$2))</f>
        <v>4723.81305680575</v>
      </c>
      <c r="H389" s="15" t="n">
        <f aca="false">G389*(1+IF(H$3&lt;=$O$2,$D389,$D389-($D389-$I$373)*MIN(H$3-$O$2,$Q$2)/$Q$2))</f>
        <v>5307.73043920906</v>
      </c>
      <c r="I389" s="15" t="n">
        <f aca="false">H389*(1+IF(I$3&lt;=$O$2,$D389,$D389-($D389-$I$373)*MIN(I$3-$O$2,$Q$2)/$Q$2))</f>
        <v>5963.82669604549</v>
      </c>
      <c r="J389" s="15" t="n">
        <f aca="false">I389*(1+IF(J$3&lt;=$O$2,$D389,$D389-($D389-$I$373)*MIN(J$3-$O$2,$Q$2)/$Q$2))</f>
        <v>6587.33976843447</v>
      </c>
      <c r="K389" s="15" t="n">
        <f aca="false">J389*(1+IF(K$3&lt;=$O$2,$D389,$D389-($D389-$I$373)*MIN(K$3-$O$2,$Q$2)/$Q$2))</f>
        <v>7150.47082763642</v>
      </c>
      <c r="L389" s="15" t="n">
        <f aca="false">K389*(1+IF(L$3&lt;=$O$2,$D389,$D389-($D389-$I$373)*MIN(L$3-$O$2,$Q$2)/$Q$2))</f>
        <v>7625.43784972305</v>
      </c>
      <c r="M389" s="15" t="n">
        <f aca="false">L389*(1+IF(M$3&lt;=$O$2,$D389,$D389-($D389-$I$373)*MIN(M$3-$O$2,$Q$2)/$Q$2))</f>
        <v>7986.59604883647</v>
      </c>
      <c r="N389" s="15" t="n">
        <f aca="false">M389*(1+IF(N$3&lt;=$O$2,$D389,$D389-($D389-$I$373)*MIN(N$3-$O$2,$Q$2)/$Q$2))</f>
        <v>8212.61671701855</v>
      </c>
      <c r="O389" s="15" t="n">
        <f aca="false">SUMPRODUCT(E389:N389,1/(1+$F$373)^$E$3:$N$3)*$E$2</f>
        <v>19531.6074076925</v>
      </c>
      <c r="P389" s="15" t="n">
        <f aca="false">N389*$E$2*(1+$I$373)/($F$373-$I$373)/(1+$F$373)^$N$3</f>
        <v>27435.1209057272</v>
      </c>
      <c r="Q389" s="15" t="n">
        <f aca="false">O389+P389</f>
        <v>46966.7283134197</v>
      </c>
      <c r="R389" s="15" t="n">
        <f aca="false">Q389-$G$2+$I$2</f>
        <v>40779.4283134197</v>
      </c>
      <c r="S389" s="42" t="n">
        <f aca="false">R389/$K$2</f>
        <v>560.92748711719</v>
      </c>
      <c r="T389" s="43" t="n">
        <f aca="false">S389-$M$2</f>
        <v>0.129687942499118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0.123565673828125</v>
      </c>
      <c r="C390" s="25" t="n">
        <f aca="false">IF(T389&gt;0,D389,C389)</f>
        <v>0.123611450195313</v>
      </c>
      <c r="D390" s="41" t="n">
        <f aca="false">(B390+C390)/2</f>
        <v>0.123588562011719</v>
      </c>
      <c r="E390" s="15" t="n">
        <f aca="false">$C$2*(1+IF(E$3&lt;=$O$2,$D390,$D390-($D390-$I$373)*MIN(E$3-$O$2,$Q$2)/$Q$2))</f>
        <v>3741.54991149902</v>
      </c>
      <c r="F390" s="15" t="n">
        <f aca="false">E390*(1+IF(F$3&lt;=$O$2,$D390,$D390-($D390-$I$373)*MIN(F$3-$O$2,$Q$2)/$Q$2))</f>
        <v>4203.96268475626</v>
      </c>
      <c r="G390" s="15" t="n">
        <f aca="false">F390*(1+IF(G$3&lt;=$O$2,$D390,$D390-($D390-$I$373)*MIN(G$3-$O$2,$Q$2)/$Q$2))</f>
        <v>4723.52438771621</v>
      </c>
      <c r="H390" s="15" t="n">
        <f aca="false">G390*(1+IF(H$3&lt;=$O$2,$D390,$D390-($D390-$I$373)*MIN(H$3-$O$2,$Q$2)/$Q$2))</f>
        <v>5307.29797442134</v>
      </c>
      <c r="I390" s="15" t="n">
        <f aca="false">H390*(1+IF(I$3&lt;=$O$2,$D390,$D390-($D390-$I$373)*MIN(I$3-$O$2,$Q$2)/$Q$2))</f>
        <v>5963.21929924778</v>
      </c>
      <c r="J390" s="15" t="n">
        <f aca="false">I390*(1+IF(J$3&lt;=$O$2,$D390,$D390-($D390-$I$373)*MIN(J$3-$O$2,$Q$2)/$Q$2))</f>
        <v>6586.55967900518</v>
      </c>
      <c r="K390" s="15" t="n">
        <f aca="false">J390*(1+IF(K$3&lt;=$O$2,$D390,$D390-($D390-$I$373)*MIN(K$3-$O$2,$Q$2)/$Q$2))</f>
        <v>7149.53359817109</v>
      </c>
      <c r="L390" s="15" t="n">
        <f aca="false">K390*(1+IF(L$3&lt;=$O$2,$D390,$D390-($D390-$I$373)*MIN(L$3-$O$2,$Q$2)/$Q$2))</f>
        <v>7624.37290924901</v>
      </c>
      <c r="M390" s="15" t="n">
        <f aca="false">L390*(1+IF(M$3&lt;=$O$2,$D390,$D390-($D390-$I$373)*MIN(M$3-$O$2,$Q$2)/$Q$2))</f>
        <v>7985.44576873344</v>
      </c>
      <c r="N390" s="15" t="n">
        <f aca="false">M390*(1+IF(N$3&lt;=$O$2,$D390,$D390-($D390-$I$373)*MIN(N$3-$O$2,$Q$2)/$Q$2))</f>
        <v>8211.4338839886</v>
      </c>
      <c r="O390" s="15" t="n">
        <f aca="false">SUMPRODUCT(E390:N390,1/(1+$F$373)^$E$3:$N$3)*$E$2</f>
        <v>19529.6795219868</v>
      </c>
      <c r="P390" s="15" t="n">
        <f aca="false">N390*$E$2*(1+$I$373)/($F$373-$I$373)/(1+$F$373)^$N$3</f>
        <v>27431.1695260018</v>
      </c>
      <c r="Q390" s="15" t="n">
        <f aca="false">O390+P390</f>
        <v>46960.8490479885</v>
      </c>
      <c r="R390" s="15" t="n">
        <f aca="false">Q390-$G$2+$I$2</f>
        <v>40773.5490479885</v>
      </c>
      <c r="S390" s="42" t="n">
        <f aca="false">R390/$K$2</f>
        <v>560.846616891176</v>
      </c>
      <c r="T390" s="43" t="n">
        <f aca="false">S390-$M$2</f>
        <v>0.0488177164857007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0.123565673828125</v>
      </c>
      <c r="C391" s="25" t="n">
        <f aca="false">IF(T390&gt;0,D390,C390)</f>
        <v>0.123588562011719</v>
      </c>
      <c r="D391" s="41" t="n">
        <f aca="false">(B391+C391)/2</f>
        <v>0.123577117919922</v>
      </c>
      <c r="E391" s="15" t="n">
        <f aca="false">$C$2*(1+IF(E$3&lt;=$O$2,$D391,$D391-($D391-$I$373)*MIN(E$3-$O$2,$Q$2)/$Q$2))</f>
        <v>3741.51180267334</v>
      </c>
      <c r="F391" s="15" t="n">
        <f aca="false">E391*(1+IF(F$3&lt;=$O$2,$D391,$D391-($D391-$I$373)*MIN(F$3-$O$2,$Q$2)/$Q$2))</f>
        <v>4203.87704791108</v>
      </c>
      <c r="G391" s="15" t="n">
        <f aca="false">F391*(1+IF(G$3&lt;=$O$2,$D391,$D391-($D391-$I$373)*MIN(G$3-$O$2,$Q$2)/$Q$2))</f>
        <v>4723.38005758164</v>
      </c>
      <c r="H391" s="15" t="n">
        <f aca="false">G391*(1+IF(H$3&lt;=$O$2,$D391,$D391-($D391-$I$373)*MIN(H$3-$O$2,$Q$2)/$Q$2))</f>
        <v>5307.08175193802</v>
      </c>
      <c r="I391" s="15" t="n">
        <f aca="false">H391*(1+IF(I$3&lt;=$O$2,$D391,$D391-($D391-$I$373)*MIN(I$3-$O$2,$Q$2)/$Q$2))</f>
        <v>5962.91561940793</v>
      </c>
      <c r="J391" s="15" t="n">
        <f aca="false">I391*(1+IF(J$3&lt;=$O$2,$D391,$D391-($D391-$I$373)*MIN(J$3-$O$2,$Q$2)/$Q$2))</f>
        <v>6586.16966313067</v>
      </c>
      <c r="K391" s="15" t="n">
        <f aca="false">J391*(1+IF(K$3&lt;=$O$2,$D391,$D391-($D391-$I$373)*MIN(K$3-$O$2,$Q$2)/$Q$2))</f>
        <v>7149.0650227781</v>
      </c>
      <c r="L391" s="15" t="n">
        <f aca="false">K391*(1+IF(L$3&lt;=$O$2,$D391,$D391-($D391-$I$373)*MIN(L$3-$O$2,$Q$2)/$Q$2))</f>
        <v>7623.84048739968</v>
      </c>
      <c r="M391" s="15" t="n">
        <f aca="false">L391*(1+IF(M$3&lt;=$O$2,$D391,$D391-($D391-$I$373)*MIN(M$3-$O$2,$Q$2)/$Q$2))</f>
        <v>7984.87068301723</v>
      </c>
      <c r="N391" s="15" t="n">
        <f aca="false">M391*(1+IF(N$3&lt;=$O$2,$D391,$D391-($D391-$I$373)*MIN(N$3-$O$2,$Q$2)/$Q$2))</f>
        <v>8210.84252334661</v>
      </c>
      <c r="O391" s="15" t="n">
        <f aca="false">SUMPRODUCT(E391:N391,1/(1+$F$373)^$E$3:$N$3)*$E$2</f>
        <v>19528.7156497053</v>
      </c>
      <c r="P391" s="15" t="n">
        <f aca="false">N391*$E$2*(1+$I$373)/($F$373-$I$373)/(1+$F$373)^$N$3</f>
        <v>27429.1940227888</v>
      </c>
      <c r="Q391" s="15" t="n">
        <f aca="false">O391+P391</f>
        <v>46957.9096724941</v>
      </c>
      <c r="R391" s="15" t="n">
        <f aca="false">Q391-$G$2+$I$2</f>
        <v>40770.6096724941</v>
      </c>
      <c r="S391" s="42" t="n">
        <f aca="false">R391/$K$2</f>
        <v>560.806185316288</v>
      </c>
      <c r="T391" s="43" t="n">
        <f aca="false">S391-$M$2</f>
        <v>0.00838614159704321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0.123565673828125</v>
      </c>
      <c r="C392" s="25" t="n">
        <f aca="false">IF(T391&gt;0,D391,C391)</f>
        <v>0.123577117919922</v>
      </c>
      <c r="D392" s="41" t="n">
        <f aca="false">(B392+C392)/2</f>
        <v>0.123571395874023</v>
      </c>
      <c r="E392" s="15" t="n">
        <f aca="false">$C$2*(1+IF(E$3&lt;=$O$2,$D392,$D392-($D392-$I$373)*MIN(E$3-$O$2,$Q$2)/$Q$2))</f>
        <v>3741.4927482605</v>
      </c>
      <c r="F392" s="15" t="n">
        <f aca="false">E392*(1+IF(F$3&lt;=$O$2,$D392,$D392-($D392-$I$373)*MIN(F$3-$O$2,$Q$2)/$Q$2))</f>
        <v>4203.83422981558</v>
      </c>
      <c r="G392" s="15" t="n">
        <f aca="false">F392*(1+IF(G$3&lt;=$O$2,$D392,$D392-($D392-$I$373)*MIN(G$3-$O$2,$Q$2)/$Q$2))</f>
        <v>4723.3078936169</v>
      </c>
      <c r="H392" s="15" t="n">
        <f aca="false">G392*(1+IF(H$3&lt;=$O$2,$D392,$D392-($D392-$I$373)*MIN(H$3-$O$2,$Q$2)/$Q$2))</f>
        <v>5306.97364317393</v>
      </c>
      <c r="I392" s="15" t="n">
        <f aca="false">H392*(1+IF(I$3&lt;=$O$2,$D392,$D392-($D392-$I$373)*MIN(I$3-$O$2,$Q$2)/$Q$2))</f>
        <v>5962.76378412758</v>
      </c>
      <c r="J392" s="15" t="n">
        <f aca="false">I392*(1+IF(J$3&lt;=$O$2,$D392,$D392-($D392-$I$373)*MIN(J$3-$O$2,$Q$2)/$Q$2))</f>
        <v>6585.97466240312</v>
      </c>
      <c r="K392" s="15" t="n">
        <f aca="false">J392*(1+IF(K$3&lt;=$O$2,$D392,$D392-($D392-$I$373)*MIN(K$3-$O$2,$Q$2)/$Q$2))</f>
        <v>7148.83074491599</v>
      </c>
      <c r="L392" s="15" t="n">
        <f aca="false">K392*(1+IF(L$3&lt;=$O$2,$D392,$D392-($D392-$I$373)*MIN(L$3-$O$2,$Q$2)/$Q$2))</f>
        <v>7623.57428857122</v>
      </c>
      <c r="M392" s="15" t="n">
        <f aca="false">L392*(1+IF(M$3&lt;=$O$2,$D392,$D392-($D392-$I$373)*MIN(M$3-$O$2,$Q$2)/$Q$2))</f>
        <v>7984.58315374209</v>
      </c>
      <c r="N392" s="15" t="n">
        <f aca="false">M392*(1+IF(N$3&lt;=$O$2,$D392,$D392-($D392-$I$373)*MIN(N$3-$O$2,$Q$2)/$Q$2))</f>
        <v>8210.54685699299</v>
      </c>
      <c r="O392" s="15" t="n">
        <f aca="false">SUMPRODUCT(E392:N392,1/(1+$F$373)^$E$3:$N$3)*$E$2</f>
        <v>19528.2337312066</v>
      </c>
      <c r="P392" s="15" t="n">
        <f aca="false">N392*$E$2*(1+$I$373)/($F$373-$I$373)/(1+$F$373)^$N$3</f>
        <v>27428.2063178417</v>
      </c>
      <c r="Q392" s="15" t="n">
        <f aca="false">O392+P392</f>
        <v>46956.4400490483</v>
      </c>
      <c r="R392" s="15" t="n">
        <f aca="false">Q392-$G$2+$I$2</f>
        <v>40769.1400490483</v>
      </c>
      <c r="S392" s="42" t="n">
        <f aca="false">R392/$K$2</f>
        <v>560.785970413319</v>
      </c>
      <c r="T392" s="43" t="n">
        <f aca="false">S392-$M$2</f>
        <v>-0.0118287613712482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0.123571395874023</v>
      </c>
      <c r="C393" s="25" t="n">
        <f aca="false">IF(T392&gt;0,D392,C392)</f>
        <v>0.123577117919922</v>
      </c>
      <c r="D393" s="41" t="n">
        <f aca="false">(B393+C393)/2</f>
        <v>0.123574256896973</v>
      </c>
      <c r="E393" s="15" t="n">
        <f aca="false">$C$2*(1+IF(E$3&lt;=$O$2,$D393,$D393-($D393-$I$373)*MIN(E$3-$O$2,$Q$2)/$Q$2))</f>
        <v>3741.50227546692</v>
      </c>
      <c r="F393" s="15" t="n">
        <f aca="false">E393*(1+IF(F$3&lt;=$O$2,$D393,$D393-($D393-$I$373)*MIN(F$3-$O$2,$Q$2)/$Q$2))</f>
        <v>4203.85563883608</v>
      </c>
      <c r="G393" s="15" t="n">
        <f aca="false">F393*(1+IF(G$3&lt;=$O$2,$D393,$D393-($D393-$I$373)*MIN(G$3-$O$2,$Q$2)/$Q$2))</f>
        <v>4723.34397550739</v>
      </c>
      <c r="H393" s="15" t="n">
        <f aca="false">G393*(1+IF(H$3&lt;=$O$2,$D393,$D393-($D393-$I$373)*MIN(H$3-$O$2,$Q$2)/$Q$2))</f>
        <v>5307.02769734951</v>
      </c>
      <c r="I393" s="15" t="n">
        <f aca="false">H393*(1+IF(I$3&lt;=$O$2,$D393,$D393-($D393-$I$373)*MIN(I$3-$O$2,$Q$2)/$Q$2))</f>
        <v>5962.83970138113</v>
      </c>
      <c r="J393" s="15" t="n">
        <f aca="false">I393*(1+IF(J$3&lt;=$O$2,$D393,$D393-($D393-$I$373)*MIN(J$3-$O$2,$Q$2)/$Q$2))</f>
        <v>6586.0721621661</v>
      </c>
      <c r="K393" s="15" t="n">
        <f aca="false">J393*(1+IF(K$3&lt;=$O$2,$D393,$D393-($D393-$I$373)*MIN(K$3-$O$2,$Q$2)/$Q$2))</f>
        <v>7148.94788302753</v>
      </c>
      <c r="L393" s="15" t="n">
        <f aca="false">K393*(1+IF(L$3&lt;=$O$2,$D393,$D393-($D393-$I$373)*MIN(L$3-$O$2,$Q$2)/$Q$2))</f>
        <v>7623.70738697746</v>
      </c>
      <c r="M393" s="15" t="n">
        <f aca="false">L393*(1+IF(M$3&lt;=$O$2,$D393,$D393-($D393-$I$373)*MIN(M$3-$O$2,$Q$2)/$Q$2))</f>
        <v>7984.72691724777</v>
      </c>
      <c r="N393" s="15" t="n">
        <f aca="false">M393*(1+IF(N$3&lt;=$O$2,$D393,$D393-($D393-$I$373)*MIN(N$3-$O$2,$Q$2)/$Q$2))</f>
        <v>8210.69468900588</v>
      </c>
      <c r="O393" s="15" t="n">
        <f aca="false">SUMPRODUCT(E393:N393,1/(1+$F$373)^$E$3:$N$3)*$E$2</f>
        <v>19528.4746889858</v>
      </c>
      <c r="P393" s="15" t="n">
        <f aca="false">N393*$E$2*(1+$I$373)/($F$373-$I$373)/(1+$F$373)^$N$3</f>
        <v>27428.700166427</v>
      </c>
      <c r="Q393" s="15" t="n">
        <f aca="false">O393+P393</f>
        <v>46957.1748554129</v>
      </c>
      <c r="R393" s="15" t="n">
        <f aca="false">Q393-$G$2+$I$2</f>
        <v>40769.8748554129</v>
      </c>
      <c r="S393" s="42" t="n">
        <f aca="false">R393/$K$2</f>
        <v>560.796077791099</v>
      </c>
      <c r="T393" s="43" t="n">
        <f aca="false">S393-$M$2</f>
        <v>-0.00172138359175733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0.123574256896973</v>
      </c>
      <c r="C394" s="25" t="n">
        <f aca="false">IF(T393&gt;0,D393,C393)</f>
        <v>0.123577117919922</v>
      </c>
      <c r="D394" s="41" t="n">
        <f aca="false">(B394+C394)/2</f>
        <v>0.123575687408447</v>
      </c>
      <c r="E394" s="15" t="n">
        <f aca="false">$C$2*(1+IF(E$3&lt;=$O$2,$D394,$D394-($D394-$I$373)*MIN(E$3-$O$2,$Q$2)/$Q$2))</f>
        <v>3741.50703907013</v>
      </c>
      <c r="F394" s="15" t="n">
        <f aca="false">E394*(1+IF(F$3&lt;=$O$2,$D394,$D394-($D394-$I$373)*MIN(F$3-$O$2,$Q$2)/$Q$2))</f>
        <v>4203.86634336676</v>
      </c>
      <c r="G394" s="15" t="n">
        <f aca="false">F394*(1+IF(G$3&lt;=$O$2,$D394,$D394-($D394-$I$373)*MIN(G$3-$O$2,$Q$2)/$Q$2))</f>
        <v>4723.36201652155</v>
      </c>
      <c r="H394" s="15" t="n">
        <f aca="false">G394*(1+IF(H$3&lt;=$O$2,$D394,$D394-($D394-$I$373)*MIN(H$3-$O$2,$Q$2)/$Q$2))</f>
        <v>5307.05472459215</v>
      </c>
      <c r="I394" s="15" t="n">
        <f aca="false">H394*(1+IF(I$3&lt;=$O$2,$D394,$D394-($D394-$I$373)*MIN(I$3-$O$2,$Q$2)/$Q$2))</f>
        <v>5962.87766029787</v>
      </c>
      <c r="J394" s="15" t="n">
        <f aca="false">I394*(1+IF(J$3&lt;=$O$2,$D394,$D394-($D394-$I$373)*MIN(J$3-$O$2,$Q$2)/$Q$2))</f>
        <v>6586.12091249818</v>
      </c>
      <c r="K394" s="15" t="n">
        <f aca="false">J394*(1+IF(K$3&lt;=$O$2,$D394,$D394-($D394-$I$373)*MIN(K$3-$O$2,$Q$2)/$Q$2))</f>
        <v>7149.00645269793</v>
      </c>
      <c r="L394" s="15" t="n">
        <f aca="false">K394*(1+IF(L$3&lt;=$O$2,$D394,$D394-($D394-$I$373)*MIN(L$3-$O$2,$Q$2)/$Q$2))</f>
        <v>7623.77393693657</v>
      </c>
      <c r="M394" s="15" t="n">
        <f aca="false">L394*(1+IF(M$3&lt;=$O$2,$D394,$D394-($D394-$I$373)*MIN(M$3-$O$2,$Q$2)/$Q$2))</f>
        <v>7984.79879984952</v>
      </c>
      <c r="N394" s="15" t="n">
        <f aca="false">M394*(1+IF(N$3&lt;=$O$2,$D394,$D394-($D394-$I$373)*MIN(N$3-$O$2,$Q$2)/$Q$2))</f>
        <v>8210.76860588526</v>
      </c>
      <c r="O394" s="15" t="n">
        <f aca="false">SUMPRODUCT(E394:N394,1/(1+$F$373)^$E$3:$N$3)*$E$2</f>
        <v>19528.5951689781</v>
      </c>
      <c r="P394" s="15" t="n">
        <f aca="false">N394*$E$2*(1+$I$373)/($F$373-$I$373)/(1+$F$373)^$N$3</f>
        <v>27428.9470936358</v>
      </c>
      <c r="Q394" s="15" t="n">
        <f aca="false">O394+P394</f>
        <v>46957.5422626139</v>
      </c>
      <c r="R394" s="15" t="n">
        <f aca="false">Q394-$G$2+$I$2</f>
        <v>40770.2422626139</v>
      </c>
      <c r="S394" s="42" t="n">
        <f aca="false">R394/$K$2</f>
        <v>560.801131535267</v>
      </c>
      <c r="T394" s="43" t="n">
        <f aca="false">S394-$M$2</f>
        <v>0.00333236057622344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0.123574256896973</v>
      </c>
      <c r="C395" s="25" t="n">
        <f aca="false">IF(T394&gt;0,D394,C394)</f>
        <v>0.123575687408447</v>
      </c>
      <c r="D395" s="41" t="n">
        <f aca="false">(B395+C395)/2</f>
        <v>0.12357497215271</v>
      </c>
      <c r="E395" s="15" t="n">
        <f aca="false">$C$2*(1+IF(E$3&lt;=$O$2,$D395,$D395-($D395-$I$373)*MIN(E$3-$O$2,$Q$2)/$Q$2))</f>
        <v>3741.50465726852</v>
      </c>
      <c r="F395" s="15" t="n">
        <f aca="false">E395*(1+IF(F$3&lt;=$O$2,$D395,$D395-($D395-$I$373)*MIN(F$3-$O$2,$Q$2)/$Q$2))</f>
        <v>4203.86099109972</v>
      </c>
      <c r="G395" s="15" t="n">
        <f aca="false">F395*(1+IF(G$3&lt;=$O$2,$D395,$D395-($D395-$I$373)*MIN(G$3-$O$2,$Q$2)/$Q$2))</f>
        <v>4723.35299600873</v>
      </c>
      <c r="H395" s="15" t="n">
        <f aca="false">G395*(1+IF(H$3&lt;=$O$2,$D395,$D395-($D395-$I$373)*MIN(H$3-$O$2,$Q$2)/$Q$2))</f>
        <v>5307.04121095793</v>
      </c>
      <c r="I395" s="15" t="n">
        <f aca="false">H395*(1+IF(I$3&lt;=$O$2,$D395,$D395-($D395-$I$373)*MIN(I$3-$O$2,$Q$2)/$Q$2))</f>
        <v>5962.85868081534</v>
      </c>
      <c r="J395" s="15" t="n">
        <f aca="false">I395*(1+IF(J$3&lt;=$O$2,$D395,$D395-($D395-$I$373)*MIN(J$3-$O$2,$Q$2)/$Q$2))</f>
        <v>6586.09653729459</v>
      </c>
      <c r="K395" s="15" t="n">
        <f aca="false">J395*(1+IF(K$3&lt;=$O$2,$D395,$D395-($D395-$I$373)*MIN(K$3-$O$2,$Q$2)/$Q$2))</f>
        <v>7148.97716781151</v>
      </c>
      <c r="L395" s="15" t="n">
        <f aca="false">K395*(1+IF(L$3&lt;=$O$2,$D395,$D395-($D395-$I$373)*MIN(L$3-$O$2,$Q$2)/$Q$2))</f>
        <v>7623.74066189401</v>
      </c>
      <c r="M395" s="15" t="n">
        <f aca="false">L395*(1+IF(M$3&lt;=$O$2,$D395,$D395-($D395-$I$373)*MIN(M$3-$O$2,$Q$2)/$Q$2))</f>
        <v>7984.7628584779</v>
      </c>
      <c r="N395" s="15" t="n">
        <f aca="false">M395*(1+IF(N$3&lt;=$O$2,$D395,$D395-($D395-$I$373)*MIN(N$3-$O$2,$Q$2)/$Q$2))</f>
        <v>8210.73164737283</v>
      </c>
      <c r="O395" s="15" t="n">
        <f aca="false">SUMPRODUCT(E395:N395,1/(1+$F$373)^$E$3:$N$3)*$E$2</f>
        <v>19528.5349288901</v>
      </c>
      <c r="P395" s="15" t="n">
        <f aca="false">N395*$E$2*(1+$I$373)/($F$373-$I$373)/(1+$F$373)^$N$3</f>
        <v>27428.8236297884</v>
      </c>
      <c r="Q395" s="15" t="n">
        <f aca="false">O395+P395</f>
        <v>46957.3585586785</v>
      </c>
      <c r="R395" s="15" t="n">
        <f aca="false">Q395-$G$2+$I$2</f>
        <v>40770.0585586785</v>
      </c>
      <c r="S395" s="42" t="n">
        <f aca="false">R395/$K$2</f>
        <v>560.798604658576</v>
      </c>
      <c r="T395" s="43" t="n">
        <f aca="false">S395-$M$2</f>
        <v>0.000805483885642389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0.123574256896973</v>
      </c>
      <c r="C396" s="25" t="n">
        <f aca="false">IF(T395&gt;0,D395,C395)</f>
        <v>0.12357497215271</v>
      </c>
      <c r="D396" s="41" t="n">
        <f aca="false">(B396+C396)/2</f>
        <v>0.123574614524841</v>
      </c>
      <c r="E396" s="15" t="n">
        <f aca="false">$C$2*(1+IF(E$3&lt;=$O$2,$D396,$D396-($D396-$I$373)*MIN(E$3-$O$2,$Q$2)/$Q$2))</f>
        <v>3741.50346636772</v>
      </c>
      <c r="F396" s="15" t="n">
        <f aca="false">E396*(1+IF(F$3&lt;=$O$2,$D396,$D396-($D396-$I$373)*MIN(F$3-$O$2,$Q$2)/$Q$2))</f>
        <v>4203.85831496747</v>
      </c>
      <c r="G396" s="15" t="n">
        <f aca="false">F396*(1+IF(G$3&lt;=$O$2,$D396,$D396-($D396-$I$373)*MIN(G$3-$O$2,$Q$2)/$Q$2))</f>
        <v>4723.34848575662</v>
      </c>
      <c r="H396" s="15" t="n">
        <f aca="false">G396*(1+IF(H$3&lt;=$O$2,$D396,$D396-($D396-$I$373)*MIN(H$3-$O$2,$Q$2)/$Q$2))</f>
        <v>5307.03445415049</v>
      </c>
      <c r="I396" s="15" t="n">
        <f aca="false">H396*(1+IF(I$3&lt;=$O$2,$D396,$D396-($D396-$I$373)*MIN(I$3-$O$2,$Q$2)/$Q$2))</f>
        <v>5962.84919109219</v>
      </c>
      <c r="J396" s="15" t="n">
        <f aca="false">I396*(1+IF(J$3&lt;=$O$2,$D396,$D396-($D396-$I$373)*MIN(J$3-$O$2,$Q$2)/$Q$2))</f>
        <v>6586.08434972096</v>
      </c>
      <c r="K396" s="15" t="n">
        <f aca="false">J396*(1+IF(K$3&lt;=$O$2,$D396,$D396-($D396-$I$373)*MIN(K$3-$O$2,$Q$2)/$Q$2))</f>
        <v>7148.96252540671</v>
      </c>
      <c r="L396" s="15" t="n">
        <f aca="false">K396*(1+IF(L$3&lt;=$O$2,$D396,$D396-($D396-$I$373)*MIN(L$3-$O$2,$Q$2)/$Q$2))</f>
        <v>7623.72402441999</v>
      </c>
      <c r="M396" s="15" t="n">
        <f aca="false">L396*(1+IF(M$3&lt;=$O$2,$D396,$D396-($D396-$I$373)*MIN(M$3-$O$2,$Q$2)/$Q$2))</f>
        <v>7984.74488784515</v>
      </c>
      <c r="N396" s="15" t="n">
        <f aca="false">M396*(1+IF(N$3&lt;=$O$2,$D396,$D396-($D396-$I$373)*MIN(N$3-$O$2,$Q$2)/$Q$2))</f>
        <v>8210.71316817117</v>
      </c>
      <c r="O396" s="15" t="n">
        <f aca="false">SUMPRODUCT(E396:N396,1/(1+$F$373)^$E$3:$N$3)*$E$2</f>
        <v>19528.504808915</v>
      </c>
      <c r="P396" s="15" t="n">
        <f aca="false">N396*$E$2*(1+$I$373)/($F$373-$I$373)/(1+$F$373)^$N$3</f>
        <v>27428.761898047</v>
      </c>
      <c r="Q396" s="15" t="n">
        <f aca="false">O396+P396</f>
        <v>46957.266706962</v>
      </c>
      <c r="R396" s="15" t="n">
        <f aca="false">Q396-$G$2+$I$2</f>
        <v>40769.9667069619</v>
      </c>
      <c r="S396" s="42" t="n">
        <f aca="false">R396/$K$2</f>
        <v>560.797341223686</v>
      </c>
      <c r="T396" s="43" t="n">
        <f aca="false">S396-$M$2</f>
        <v>-0.000457951004818824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0.123574614524841</v>
      </c>
      <c r="C397" s="25" t="n">
        <f aca="false">IF(T396&gt;0,D396,C396)</f>
        <v>0.12357497215271</v>
      </c>
      <c r="D397" s="41" t="n">
        <f aca="false">(B397+C397)/2</f>
        <v>0.123574793338776</v>
      </c>
      <c r="E397" s="15" t="n">
        <f aca="false">$C$2*(1+IF(E$3&lt;=$O$2,$D397,$D397-($D397-$I$373)*MIN(E$3-$O$2,$Q$2)/$Q$2))</f>
        <v>3741.50406181812</v>
      </c>
      <c r="F397" s="15" t="n">
        <f aca="false">E397*(1+IF(F$3&lt;=$O$2,$D397,$D397-($D397-$I$373)*MIN(F$3-$O$2,$Q$2)/$Q$2))</f>
        <v>4203.85965303349</v>
      </c>
      <c r="G397" s="15" t="n">
        <f aca="false">F397*(1+IF(G$3&lt;=$O$2,$D397,$D397-($D397-$I$373)*MIN(G$3-$O$2,$Q$2)/$Q$2))</f>
        <v>4723.35074088232</v>
      </c>
      <c r="H397" s="15" t="n">
        <f aca="false">G397*(1+IF(H$3&lt;=$O$2,$D397,$D397-($D397-$I$373)*MIN(H$3-$O$2,$Q$2)/$Q$2))</f>
        <v>5307.0378325534</v>
      </c>
      <c r="I397" s="15" t="n">
        <f aca="false">H397*(1+IF(I$3&lt;=$O$2,$D397,$D397-($D397-$I$373)*MIN(I$3-$O$2,$Q$2)/$Q$2))</f>
        <v>5962.85393595225</v>
      </c>
      <c r="J397" s="15" t="n">
        <f aca="false">I397*(1+IF(J$3&lt;=$O$2,$D397,$D397-($D397-$I$373)*MIN(J$3-$O$2,$Q$2)/$Q$2))</f>
        <v>6586.09044350543</v>
      </c>
      <c r="K397" s="15" t="n">
        <f aca="false">J397*(1+IF(K$3&lt;=$O$2,$D397,$D397-($D397-$I$373)*MIN(K$3-$O$2,$Q$2)/$Q$2))</f>
        <v>7148.96984660591</v>
      </c>
      <c r="L397" s="15" t="n">
        <f aca="false">K397*(1+IF(L$3&lt;=$O$2,$D397,$D397-($D397-$I$373)*MIN(L$3-$O$2,$Q$2)/$Q$2))</f>
        <v>7623.73234315306</v>
      </c>
      <c r="M397" s="15" t="n">
        <f aca="false">L397*(1+IF(M$3&lt;=$O$2,$D397,$D397-($D397-$I$373)*MIN(M$3-$O$2,$Q$2)/$Q$2))</f>
        <v>7984.7538731571</v>
      </c>
      <c r="N397" s="15" t="n">
        <f aca="false">M397*(1+IF(N$3&lt;=$O$2,$D397,$D397-($D397-$I$373)*MIN(N$3-$O$2,$Q$2)/$Q$2))</f>
        <v>8210.72240776745</v>
      </c>
      <c r="O397" s="15" t="n">
        <f aca="false">SUMPRODUCT(E397:N397,1/(1+$F$373)^$E$3:$N$3)*$E$2</f>
        <v>19528.5198688968</v>
      </c>
      <c r="P397" s="15" t="n">
        <f aca="false">N397*$E$2*(1+$I$373)/($F$373-$I$373)/(1+$F$373)^$N$3</f>
        <v>27428.7927639025</v>
      </c>
      <c r="Q397" s="15" t="n">
        <f aca="false">O397+P397</f>
        <v>46957.3126327993</v>
      </c>
      <c r="R397" s="15" t="n">
        <f aca="false">Q397-$G$2+$I$2</f>
        <v>40770.0126327993</v>
      </c>
      <c r="S397" s="42" t="n">
        <f aca="false">R397/$K$2</f>
        <v>560.797972940843</v>
      </c>
      <c r="T397" s="43" t="n">
        <f aca="false">S397-$M$2</f>
        <v>0.000173766152443022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0.123574614524841</v>
      </c>
      <c r="C398" s="25" t="n">
        <f aca="false">IF(T397&gt;0,D397,C397)</f>
        <v>0.123574793338776</v>
      </c>
      <c r="D398" s="41" t="n">
        <f aca="false">(B398+C398)/2</f>
        <v>0.123574703931808</v>
      </c>
      <c r="E398" s="15" t="n">
        <f aca="false">$C$2*(1+IF(E$3&lt;=$O$2,$D398,$D398-($D398-$I$373)*MIN(E$3-$O$2,$Q$2)/$Q$2))</f>
        <v>3741.50376409292</v>
      </c>
      <c r="F398" s="15" t="n">
        <f aca="false">E398*(1+IF(F$3&lt;=$O$2,$D398,$D398-($D398-$I$373)*MIN(F$3-$O$2,$Q$2)/$Q$2))</f>
        <v>4203.85898400045</v>
      </c>
      <c r="G398" s="15" t="n">
        <f aca="false">F398*(1+IF(G$3&lt;=$O$2,$D398,$D398-($D398-$I$373)*MIN(G$3-$O$2,$Q$2)/$Q$2))</f>
        <v>4723.34961331938</v>
      </c>
      <c r="H398" s="15" t="n">
        <f aca="false">G398*(1+IF(H$3&lt;=$O$2,$D398,$D398-($D398-$I$373)*MIN(H$3-$O$2,$Q$2)/$Q$2))</f>
        <v>5307.03614335175</v>
      </c>
      <c r="I398" s="15" t="n">
        <f aca="false">H398*(1+IF(I$3&lt;=$O$2,$D398,$D398-($D398-$I$373)*MIN(I$3-$O$2,$Q$2)/$Q$2))</f>
        <v>5962.85156352185</v>
      </c>
      <c r="J398" s="15" t="n">
        <f aca="false">I398*(1+IF(J$3&lt;=$O$2,$D398,$D398-($D398-$I$373)*MIN(J$3-$O$2,$Q$2)/$Q$2))</f>
        <v>6586.08739661261</v>
      </c>
      <c r="K398" s="15" t="n">
        <f aca="false">J398*(1+IF(K$3&lt;=$O$2,$D398,$D398-($D398-$I$373)*MIN(K$3-$O$2,$Q$2)/$Q$2))</f>
        <v>7148.96618600551</v>
      </c>
      <c r="L398" s="15" t="n">
        <f aca="false">K398*(1+IF(L$3&lt;=$O$2,$D398,$D398-($D398-$I$373)*MIN(L$3-$O$2,$Q$2)/$Q$2))</f>
        <v>7623.72818378554</v>
      </c>
      <c r="M398" s="15" t="n">
        <f aca="false">L398*(1+IF(M$3&lt;=$O$2,$D398,$D398-($D398-$I$373)*MIN(M$3-$O$2,$Q$2)/$Q$2))</f>
        <v>7984.74938050002</v>
      </c>
      <c r="N398" s="15" t="n">
        <f aca="false">M398*(1+IF(N$3&lt;=$O$2,$D398,$D398-($D398-$I$373)*MIN(N$3-$O$2,$Q$2)/$Q$2))</f>
        <v>8210.71778796817</v>
      </c>
      <c r="O398" s="15" t="n">
        <f aca="false">SUMPRODUCT(E398:N398,1/(1+$F$373)^$E$3:$N$3)*$E$2</f>
        <v>19528.5123389044</v>
      </c>
      <c r="P398" s="15" t="n">
        <f aca="false">N398*$E$2*(1+$I$373)/($F$373-$I$373)/(1+$F$373)^$N$3</f>
        <v>27428.7773309709</v>
      </c>
      <c r="Q398" s="15" t="n">
        <f aca="false">O398+P398</f>
        <v>46957.2896698754</v>
      </c>
      <c r="R398" s="15" t="n">
        <f aca="false">Q398-$G$2+$I$2</f>
        <v>40769.9896698754</v>
      </c>
      <c r="S398" s="42" t="n">
        <f aca="false">R398/$K$2</f>
        <v>560.797657082192</v>
      </c>
      <c r="T398" s="43" t="n">
        <f aca="false">S398-$M$2</f>
        <v>-0.000142092498208513</v>
      </c>
    </row>
    <row r="400" customFormat="false" ht="15" hidden="false" customHeight="false" outlineLevel="0" collapsed="false">
      <c r="A400" s="38" t="s">
        <v>195</v>
      </c>
      <c r="E400" s="5" t="s">
        <v>11</v>
      </c>
      <c r="F400" s="12" t="n">
        <f aca="false">Sensitivity!$B$12</f>
        <v>0.0953306228759286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162</v>
      </c>
      <c r="B401" s="28" t="s">
        <v>163</v>
      </c>
      <c r="C401" s="28" t="s">
        <v>164</v>
      </c>
      <c r="D401" s="28" t="s">
        <v>165</v>
      </c>
      <c r="E401" s="28" t="s">
        <v>166</v>
      </c>
      <c r="F401" s="28" t="s">
        <v>167</v>
      </c>
      <c r="G401" s="28" t="s">
        <v>168</v>
      </c>
      <c r="H401" s="28" t="s">
        <v>169</v>
      </c>
      <c r="I401" s="28" t="s">
        <v>170</v>
      </c>
      <c r="J401" s="28" t="s">
        <v>171</v>
      </c>
      <c r="K401" s="28" t="s">
        <v>172</v>
      </c>
      <c r="L401" s="28" t="s">
        <v>173</v>
      </c>
      <c r="M401" s="28" t="s">
        <v>174</v>
      </c>
      <c r="N401" s="28" t="s">
        <v>175</v>
      </c>
      <c r="O401" s="28" t="s">
        <v>176</v>
      </c>
      <c r="P401" s="28" t="s">
        <v>177</v>
      </c>
      <c r="Q401" s="28" t="s">
        <v>178</v>
      </c>
      <c r="R401" s="28" t="s">
        <v>179</v>
      </c>
      <c r="S401" s="28" t="s">
        <v>180</v>
      </c>
      <c r="T401" s="28" t="s">
        <v>181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4162.5</v>
      </c>
      <c r="F402" s="15" t="n">
        <f aca="false">E402*(1+IF(F$3&lt;=$O$2,$D402,$D402-($D402-$I$400)*MIN(F$3-$O$2,$Q$2)/$Q$2))</f>
        <v>5203.125</v>
      </c>
      <c r="G402" s="15" t="n">
        <f aca="false">F402*(1+IF(G$3&lt;=$O$2,$D402,$D402-($D402-$I$400)*MIN(G$3-$O$2,$Q$2)/$Q$2))</f>
        <v>6503.90625</v>
      </c>
      <c r="H402" s="15" t="n">
        <f aca="false">G402*(1+IF(H$3&lt;=$O$2,$D402,$D402-($D402-$I$400)*MIN(H$3-$O$2,$Q$2)/$Q$2))</f>
        <v>8129.8828125</v>
      </c>
      <c r="I402" s="15" t="n">
        <f aca="false">H402*(1+IF(I$3&lt;=$O$2,$D402,$D402-($D402-$I$400)*MIN(I$3-$O$2,$Q$2)/$Q$2))</f>
        <v>10162.353515625</v>
      </c>
      <c r="J402" s="15" t="n">
        <f aca="false">I402*(1+IF(J$3&lt;=$O$2,$D402,$D402-($D402-$I$400)*MIN(J$3-$O$2,$Q$2)/$Q$2))</f>
        <v>12262.5054931641</v>
      </c>
      <c r="K402" s="15" t="n">
        <f aca="false">J402*(1+IF(K$3&lt;=$O$2,$D402,$D402-($D402-$I$400)*MIN(K$3-$O$2,$Q$2)/$Q$2))</f>
        <v>14265.2178903076</v>
      </c>
      <c r="L402" s="15" t="n">
        <f aca="false">K402*(1+IF(L$3&lt;=$O$2,$D402,$D402-($D402-$I$400)*MIN(L$3-$O$2,$Q$2)/$Q$2))</f>
        <v>15976.7587327867</v>
      </c>
      <c r="M402" s="15" t="n">
        <f aca="false">L402*(1+IF(M$3&lt;=$O$2,$D402,$D402-($D402-$I$400)*MIN(M$3-$O$2,$Q$2)/$Q$2))</f>
        <v>17201.2175220675</v>
      </c>
      <c r="N402" s="15" t="n">
        <f aca="false">M402*(1+IF(N$3&lt;=$O$2,$D402,$D402-($D402-$I$400)*MIN(N$3-$O$2,$Q$2)/$Q$2))</f>
        <v>17774.0180655523</v>
      </c>
      <c r="O402" s="15" t="n">
        <f aca="false">SUMPRODUCT(E402:N402,1/(1+$F$400)^$E$3:$N$3)*$E$2</f>
        <v>33702.9114062021</v>
      </c>
      <c r="P402" s="15" t="n">
        <f aca="false">N402*$E$2*(1+$I$400)/($F$400-$I$400)/(1+$F$400)^$N$3</f>
        <v>64474.0048333839</v>
      </c>
      <c r="Q402" s="15" t="n">
        <f aca="false">O402+P402</f>
        <v>98176.916239586</v>
      </c>
      <c r="R402" s="15" t="n">
        <f aca="false">Q402-$G$2+$I$2</f>
        <v>91989.616239586</v>
      </c>
      <c r="S402" s="42" t="n">
        <f aca="false">R402/$K$2</f>
        <v>1265.33172269032</v>
      </c>
      <c r="T402" s="43" t="n">
        <f aca="false">S402-$M$2</f>
        <v>704.533923515626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2913.75</v>
      </c>
      <c r="F403" s="15" t="n">
        <f aca="false">E403*(1+IF(F$3&lt;=$O$2,$D403,$D403-($D403-$I$400)*MIN(F$3-$O$2,$Q$2)/$Q$2))</f>
        <v>2549.53125</v>
      </c>
      <c r="G403" s="15" t="n">
        <f aca="false">F403*(1+IF(G$3&lt;=$O$2,$D403,$D403-($D403-$I$400)*MIN(G$3-$O$2,$Q$2)/$Q$2))</f>
        <v>2230.83984375</v>
      </c>
      <c r="H403" s="15" t="n">
        <f aca="false">G403*(1+IF(H$3&lt;=$O$2,$D403,$D403-($D403-$I$400)*MIN(H$3-$O$2,$Q$2)/$Q$2))</f>
        <v>1951.98486328125</v>
      </c>
      <c r="I403" s="15" t="n">
        <f aca="false">H403*(1+IF(I$3&lt;=$O$2,$D403,$D403-($D403-$I$400)*MIN(I$3-$O$2,$Q$2)/$Q$2))</f>
        <v>1707.98675537109</v>
      </c>
      <c r="J403" s="15" t="n">
        <f aca="false">I403*(1+IF(J$3&lt;=$O$2,$D403,$D403-($D403-$I$400)*MIN(J$3-$O$2,$Q$2)/$Q$2))</f>
        <v>1548.56327162476</v>
      </c>
      <c r="K403" s="15" t="n">
        <f aca="false">J403*(1+IF(K$3&lt;=$O$2,$D403,$D403-($D403-$I$400)*MIN(K$3-$O$2,$Q$2)/$Q$2))</f>
        <v>1453.04788903094</v>
      </c>
      <c r="L403" s="15" t="n">
        <f aca="false">K403*(1+IF(L$3&lt;=$O$2,$D403,$D403-($D403-$I$400)*MIN(L$3-$O$2,$Q$2)/$Q$2))</f>
        <v>1409.42739140223</v>
      </c>
      <c r="M403" s="15" t="n">
        <f aca="false">L403*(1+IF(M$3&lt;=$O$2,$D403,$D403-($D403-$I$400)*MIN(M$3-$O$2,$Q$2)/$Q$2))</f>
        <v>1411.73885232413</v>
      </c>
      <c r="N403" s="15" t="n">
        <f aca="false">M403*(1+IF(N$3&lt;=$O$2,$D403,$D403-($D403-$I$400)*MIN(N$3-$O$2,$Q$2)/$Q$2))</f>
        <v>1458.74975610653</v>
      </c>
      <c r="O403" s="15" t="n">
        <f aca="false">SUMPRODUCT(E403:N403,1/(1+$F$400)^$E$3:$N$3)*$E$2</f>
        <v>6753.33390131969</v>
      </c>
      <c r="P403" s="15" t="n">
        <f aca="false">N403*$E$2*(1+$I$400)/($F$400-$I$400)/(1+$F$400)^$N$3</f>
        <v>5291.51250319645</v>
      </c>
      <c r="Q403" s="15" t="n">
        <f aca="false">O403+P403</f>
        <v>12044.8464045161</v>
      </c>
      <c r="R403" s="15" t="n">
        <f aca="false">Q403-$G$2+$I$2</f>
        <v>5857.54640451614</v>
      </c>
      <c r="S403" s="42" t="n">
        <f aca="false">R403/$K$2</f>
        <v>80.5714773661092</v>
      </c>
      <c r="T403" s="43" t="n">
        <f aca="false">S403-$M$2</f>
        <v>-480.226321808581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3538.125</v>
      </c>
      <c r="F404" s="15" t="n">
        <f aca="false">E404*(1+IF(F$3&lt;=$O$2,$D404,$D404-($D404-$I$400)*MIN(F$3-$O$2,$Q$2)/$Q$2))</f>
        <v>3759.2578125</v>
      </c>
      <c r="G404" s="15" t="n">
        <f aca="false">F404*(1+IF(G$3&lt;=$O$2,$D404,$D404-($D404-$I$400)*MIN(G$3-$O$2,$Q$2)/$Q$2))</f>
        <v>3994.21142578125</v>
      </c>
      <c r="H404" s="15" t="n">
        <f aca="false">G404*(1+IF(H$3&lt;=$O$2,$D404,$D404-($D404-$I$400)*MIN(H$3-$O$2,$Q$2)/$Q$2))</f>
        <v>4243.84963989258</v>
      </c>
      <c r="I404" s="15" t="n">
        <f aca="false">H404*(1+IF(I$3&lt;=$O$2,$D404,$D404-($D404-$I$400)*MIN(I$3-$O$2,$Q$2)/$Q$2))</f>
        <v>4509.09024238586</v>
      </c>
      <c r="J404" s="15" t="n">
        <f aca="false">I404*(1+IF(J$3&lt;=$O$2,$D404,$D404-($D404-$I$400)*MIN(J$3-$O$2,$Q$2)/$Q$2))</f>
        <v>4764.57529551945</v>
      </c>
      <c r="K404" s="15" t="n">
        <f aca="false">J404*(1+IF(K$3&lt;=$O$2,$D404,$D404-($D404-$I$400)*MIN(K$3-$O$2,$Q$2)/$Q$2))</f>
        <v>5006.71101203775</v>
      </c>
      <c r="L404" s="15" t="n">
        <f aca="false">K404*(1+IF(L$3&lt;=$O$2,$D404,$D404-($D404-$I$400)*MIN(L$3-$O$2,$Q$2)/$Q$2))</f>
        <v>5231.9128733592</v>
      </c>
      <c r="M404" s="15" t="n">
        <f aca="false">L404*(1+IF(M$3&lt;=$O$2,$D404,$D404-($D404-$I$400)*MIN(M$3-$O$2,$Q$2)/$Q$2))</f>
        <v>5436.68994322248</v>
      </c>
      <c r="N404" s="15" t="n">
        <f aca="false">M404*(1+IF(N$3&lt;=$O$2,$D404,$D404-($D404-$I$400)*MIN(N$3-$O$2,$Q$2)/$Q$2))</f>
        <v>5617.73171833179</v>
      </c>
      <c r="O404" s="15" t="n">
        <f aca="false">SUMPRODUCT(E404:N404,1/(1+$F$400)^$E$3:$N$3)*$E$2</f>
        <v>15046.8847479739</v>
      </c>
      <c r="P404" s="15" t="n">
        <f aca="false">N404*$E$2*(1+$I$400)/($F$400-$I$400)/(1+$F$400)^$N$3</f>
        <v>20377.9280871977</v>
      </c>
      <c r="Q404" s="15" t="n">
        <f aca="false">O404+P404</f>
        <v>35424.8128351716</v>
      </c>
      <c r="R404" s="15" t="n">
        <f aca="false">Q404-$G$2+$I$2</f>
        <v>29237.5128351716</v>
      </c>
      <c r="S404" s="42" t="n">
        <f aca="false">R404/$K$2</f>
        <v>402.166613963846</v>
      </c>
      <c r="T404" s="43" t="n">
        <f aca="false">S404-$M$2</f>
        <v>-158.631185210844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0.0625</v>
      </c>
      <c r="C405" s="25" t="n">
        <f aca="false">IF(T404&gt;0,D404,C404)</f>
        <v>0.25</v>
      </c>
      <c r="D405" s="41" t="n">
        <f aca="false">(B405+C405)/2</f>
        <v>0.15625</v>
      </c>
      <c r="E405" s="15" t="n">
        <f aca="false">$C$2*(1+IF(E$3&lt;=$O$2,$D405,$D405-($D405-$I$400)*MIN(E$3-$O$2,$Q$2)/$Q$2))</f>
        <v>3850.3125</v>
      </c>
      <c r="F405" s="15" t="n">
        <f aca="false">E405*(1+IF(F$3&lt;=$O$2,$D405,$D405-($D405-$I$400)*MIN(F$3-$O$2,$Q$2)/$Q$2))</f>
        <v>4451.923828125</v>
      </c>
      <c r="G405" s="15" t="n">
        <f aca="false">F405*(1+IF(G$3&lt;=$O$2,$D405,$D405-($D405-$I$400)*MIN(G$3-$O$2,$Q$2)/$Q$2))</f>
        <v>5147.53692626953</v>
      </c>
      <c r="H405" s="15" t="n">
        <f aca="false">G405*(1+IF(H$3&lt;=$O$2,$D405,$D405-($D405-$I$400)*MIN(H$3-$O$2,$Q$2)/$Q$2))</f>
        <v>5951.83957099915</v>
      </c>
      <c r="I405" s="15" t="n">
        <f aca="false">H405*(1+IF(I$3&lt;=$O$2,$D405,$D405-($D405-$I$400)*MIN(I$3-$O$2,$Q$2)/$Q$2))</f>
        <v>6881.81450396776</v>
      </c>
      <c r="J405" s="15" t="n">
        <f aca="false">I405*(1+IF(J$3&lt;=$O$2,$D405,$D405-($D405-$I$400)*MIN(J$3-$O$2,$Q$2)/$Q$2))</f>
        <v>7787.87420156016</v>
      </c>
      <c r="K405" s="15" t="n">
        <f aca="false">J405*(1+IF(K$3&lt;=$O$2,$D405,$D405-($D405-$I$400)*MIN(K$3-$O$2,$Q$2)/$Q$2))</f>
        <v>8621.7218923212</v>
      </c>
      <c r="L405" s="15" t="n">
        <f aca="false">K405*(1+IF(L$3&lt;=$O$2,$D405,$D405-($D405-$I$400)*MIN(L$3-$O$2,$Q$2)/$Q$2))</f>
        <v>9332.84151399986</v>
      </c>
      <c r="M405" s="15" t="n">
        <f aca="false">L405*(1+IF(M$3&lt;=$O$2,$D405,$D405-($D405-$I$400)*MIN(M$3-$O$2,$Q$2)/$Q$2))</f>
        <v>9873.11970924531</v>
      </c>
      <c r="N405" s="15" t="n">
        <f aca="false">M405*(1+IF(N$3&lt;=$O$2,$D405,$D405-($D405-$I$400)*MIN(N$3-$O$2,$Q$2)/$Q$2))</f>
        <v>10201.8945955632</v>
      </c>
      <c r="O405" s="15" t="n">
        <f aca="false">SUMPRODUCT(E405:N405,1/(1+$F$400)^$E$3:$N$3)*$E$2</f>
        <v>22555.5840045363</v>
      </c>
      <c r="P405" s="15" t="n">
        <f aca="false">N405*$E$2*(1+$I$400)/($F$400-$I$400)/(1+$F$400)^$N$3</f>
        <v>37006.6576414033</v>
      </c>
      <c r="Q405" s="15" t="n">
        <f aca="false">O405+P405</f>
        <v>59562.2416459396</v>
      </c>
      <c r="R405" s="15" t="n">
        <f aca="false">Q405-$G$2+$I$2</f>
        <v>53374.9416459396</v>
      </c>
      <c r="S405" s="42" t="n">
        <f aca="false">R405/$K$2</f>
        <v>734.180765418702</v>
      </c>
      <c r="T405" s="43" t="n">
        <f aca="false">S405-$M$2</f>
        <v>173.382966244011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0.0625</v>
      </c>
      <c r="C406" s="25" t="n">
        <f aca="false">IF(T405&gt;0,D405,C405)</f>
        <v>0.15625</v>
      </c>
      <c r="D406" s="41" t="n">
        <f aca="false">(B406+C406)/2</f>
        <v>0.109375</v>
      </c>
      <c r="E406" s="15" t="n">
        <f aca="false">$C$2*(1+IF(E$3&lt;=$O$2,$D406,$D406-($D406-$I$400)*MIN(E$3-$O$2,$Q$2)/$Q$2))</f>
        <v>3694.21875</v>
      </c>
      <c r="F406" s="15" t="n">
        <f aca="false">E406*(1+IF(F$3&lt;=$O$2,$D406,$D406-($D406-$I$400)*MIN(F$3-$O$2,$Q$2)/$Q$2))</f>
        <v>4098.27392578125</v>
      </c>
      <c r="G406" s="15" t="n">
        <f aca="false">F406*(1+IF(G$3&lt;=$O$2,$D406,$D406-($D406-$I$400)*MIN(G$3-$O$2,$Q$2)/$Q$2))</f>
        <v>4546.52263641357</v>
      </c>
      <c r="H406" s="15" t="n">
        <f aca="false">G406*(1+IF(H$3&lt;=$O$2,$D406,$D406-($D406-$I$400)*MIN(H$3-$O$2,$Q$2)/$Q$2))</f>
        <v>5043.79854977131</v>
      </c>
      <c r="I406" s="15" t="n">
        <f aca="false">H406*(1+IF(I$3&lt;=$O$2,$D406,$D406-($D406-$I$400)*MIN(I$3-$O$2,$Q$2)/$Q$2))</f>
        <v>5595.46401615255</v>
      </c>
      <c r="J406" s="15" t="n">
        <f aca="false">I406*(1+IF(J$3&lt;=$O$2,$D406,$D406-($D406-$I$400)*MIN(J$3-$O$2,$Q$2)/$Q$2))</f>
        <v>6122.33290791347</v>
      </c>
      <c r="K406" s="15" t="n">
        <f aca="false">J406*(1+IF(K$3&lt;=$O$2,$D406,$D406-($D406-$I$400)*MIN(K$3-$O$2,$Q$2)/$Q$2))</f>
        <v>6605.6604793287</v>
      </c>
      <c r="L406" s="15" t="n">
        <f aca="false">K406*(1+IF(L$3&lt;=$O$2,$D406,$D406-($D406-$I$400)*MIN(L$3-$O$2,$Q$2)/$Q$2))</f>
        <v>7026.63922167632</v>
      </c>
      <c r="M406" s="15" t="n">
        <f aca="false">L406*(1+IF(M$3&lt;=$O$2,$D406,$D406-($D406-$I$400)*MIN(M$3-$O$2,$Q$2)/$Q$2))</f>
        <v>7367.53662351594</v>
      </c>
      <c r="N406" s="15" t="n">
        <f aca="false">M406*(1+IF(N$3&lt;=$O$2,$D406,$D406-($D406-$I$400)*MIN(N$3-$O$2,$Q$2)/$Q$2))</f>
        <v>7612.87559307903</v>
      </c>
      <c r="O406" s="15" t="n">
        <f aca="false">SUMPRODUCT(E406:N406,1/(1+$F$400)^$E$3:$N$3)*$E$2</f>
        <v>18425.3147811975</v>
      </c>
      <c r="P406" s="15" t="n">
        <f aca="false">N406*$E$2*(1+$I$400)/($F$400-$I$400)/(1+$F$400)^$N$3</f>
        <v>27615.1726623597</v>
      </c>
      <c r="Q406" s="15" t="n">
        <f aca="false">O406+P406</f>
        <v>46040.4874435572</v>
      </c>
      <c r="R406" s="15" t="n">
        <f aca="false">Q406-$G$2+$I$2</f>
        <v>39853.1874435572</v>
      </c>
      <c r="S406" s="42" t="n">
        <f aca="false">R406/$K$2</f>
        <v>548.18689743545</v>
      </c>
      <c r="T406" s="43" t="n">
        <f aca="false">S406-$M$2</f>
        <v>-12.6109017392407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0.109375</v>
      </c>
      <c r="C407" s="25" t="n">
        <f aca="false">IF(T406&gt;0,D406,C406)</f>
        <v>0.15625</v>
      </c>
      <c r="D407" s="41" t="n">
        <f aca="false">(B407+C407)/2</f>
        <v>0.1328125</v>
      </c>
      <c r="E407" s="15" t="n">
        <f aca="false">$C$2*(1+IF(E$3&lt;=$O$2,$D407,$D407-($D407-$I$400)*MIN(E$3-$O$2,$Q$2)/$Q$2))</f>
        <v>3772.265625</v>
      </c>
      <c r="F407" s="15" t="n">
        <f aca="false">E407*(1+IF(F$3&lt;=$O$2,$D407,$D407-($D407-$I$400)*MIN(F$3-$O$2,$Q$2)/$Q$2))</f>
        <v>4273.26965332031</v>
      </c>
      <c r="G407" s="15" t="n">
        <f aca="false">F407*(1+IF(G$3&lt;=$O$2,$D407,$D407-($D407-$I$400)*MIN(G$3-$O$2,$Q$2)/$Q$2))</f>
        <v>4840.81327915192</v>
      </c>
      <c r="H407" s="15" t="n">
        <f aca="false">G407*(1+IF(H$3&lt;=$O$2,$D407,$D407-($D407-$I$400)*MIN(H$3-$O$2,$Q$2)/$Q$2))</f>
        <v>5483.73379278928</v>
      </c>
      <c r="I407" s="15" t="n">
        <f aca="false">H407*(1+IF(I$3&lt;=$O$2,$D407,$D407-($D407-$I$400)*MIN(I$3-$O$2,$Q$2)/$Q$2))</f>
        <v>6212.04218714411</v>
      </c>
      <c r="J407" s="15" t="n">
        <f aca="false">I407*(1+IF(J$3&lt;=$O$2,$D407,$D407-($D407-$I$400)*MIN(J$3-$O$2,$Q$2)/$Q$2))</f>
        <v>6913.44387049455</v>
      </c>
      <c r="K407" s="15" t="n">
        <f aca="false">J407*(1+IF(K$3&lt;=$O$2,$D407,$D407-($D407-$I$400)*MIN(K$3-$O$2,$Q$2)/$Q$2))</f>
        <v>7556.44600127957</v>
      </c>
      <c r="L407" s="15" t="n">
        <f aca="false">K407*(1+IF(L$3&lt;=$O$2,$D407,$D407-($D407-$I$400)*MIN(L$3-$O$2,$Q$2)/$Q$2))</f>
        <v>8108.85998620311</v>
      </c>
      <c r="M407" s="15" t="n">
        <f aca="false">L407*(1+IF(M$3&lt;=$O$2,$D407,$D407-($D407-$I$400)*MIN(M$3-$O$2,$Q$2)/$Q$2))</f>
        <v>8540.27160961908</v>
      </c>
      <c r="N407" s="15" t="n">
        <f aca="false">M407*(1+IF(N$3&lt;=$O$2,$D407,$D407-($D407-$I$400)*MIN(N$3-$O$2,$Q$2)/$Q$2))</f>
        <v>8824.6626542194</v>
      </c>
      <c r="O407" s="15" t="n">
        <f aca="false">SUMPRODUCT(E407:N407,1/(1+$F$400)^$E$3:$N$3)*$E$2</f>
        <v>20387.5690272309</v>
      </c>
      <c r="P407" s="15" t="n">
        <f aca="false">N407*$E$2*(1+$I$400)/($F$400-$I$400)/(1+$F$400)^$N$3</f>
        <v>32010.845298049</v>
      </c>
      <c r="Q407" s="15" t="n">
        <f aca="false">O407+P407</f>
        <v>52398.4143252799</v>
      </c>
      <c r="R407" s="15" t="n">
        <f aca="false">Q407-$G$2+$I$2</f>
        <v>46211.1143252799</v>
      </c>
      <c r="S407" s="42" t="n">
        <f aca="false">R407/$K$2</f>
        <v>635.641187417881</v>
      </c>
      <c r="T407" s="43" t="n">
        <f aca="false">S407-$M$2</f>
        <v>74.84338824319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0.109375</v>
      </c>
      <c r="C408" s="25" t="n">
        <f aca="false">IF(T407&gt;0,D407,C407)</f>
        <v>0.1328125</v>
      </c>
      <c r="D408" s="41" t="n">
        <f aca="false">(B408+C408)/2</f>
        <v>0.12109375</v>
      </c>
      <c r="E408" s="15" t="n">
        <f aca="false">$C$2*(1+IF(E$3&lt;=$O$2,$D408,$D408-($D408-$I$400)*MIN(E$3-$O$2,$Q$2)/$Q$2))</f>
        <v>3733.2421875</v>
      </c>
      <c r="F408" s="15" t="n">
        <f aca="false">E408*(1+IF(F$3&lt;=$O$2,$D408,$D408-($D408-$I$400)*MIN(F$3-$O$2,$Q$2)/$Q$2))</f>
        <v>4185.31448364258</v>
      </c>
      <c r="G408" s="15" t="n">
        <f aca="false">F408*(1+IF(G$3&lt;=$O$2,$D408,$D408-($D408-$I$400)*MIN(G$3-$O$2,$Q$2)/$Q$2))</f>
        <v>4692.12990939617</v>
      </c>
      <c r="H408" s="15" t="n">
        <f aca="false">G408*(1+IF(H$3&lt;=$O$2,$D408,$D408-($D408-$I$400)*MIN(H$3-$O$2,$Q$2)/$Q$2))</f>
        <v>5260.31751561211</v>
      </c>
      <c r="I408" s="15" t="n">
        <f aca="false">H408*(1+IF(I$3&lt;=$O$2,$D408,$D408-($D408-$I$400)*MIN(I$3-$O$2,$Q$2)/$Q$2))</f>
        <v>5897.30908976827</v>
      </c>
      <c r="J408" s="15" t="n">
        <f aca="false">I408*(1+IF(J$3&lt;=$O$2,$D408,$D408-($D408-$I$400)*MIN(J$3-$O$2,$Q$2)/$Q$2))</f>
        <v>6507.88698637743</v>
      </c>
      <c r="K408" s="15" t="n">
        <f aca="false">J408*(1+IF(K$3&lt;=$O$2,$D408,$D408-($D408-$I$400)*MIN(K$3-$O$2,$Q$2)/$Q$2))</f>
        <v>7067.41070488996</v>
      </c>
      <c r="L408" s="15" t="n">
        <f aca="false">K408*(1+IF(L$3&lt;=$O$2,$D408,$D408-($D408-$I$400)*MIN(L$3-$O$2,$Q$2)/$Q$2))</f>
        <v>7550.94527679177</v>
      </c>
      <c r="M408" s="15" t="n">
        <f aca="false">L408*(1+IF(M$3&lt;=$O$2,$D408,$D408-($D408-$I$400)*MIN(M$3-$O$2,$Q$2)/$Q$2))</f>
        <v>7934.9769148878</v>
      </c>
      <c r="N408" s="15" t="n">
        <f aca="false">M408*(1+IF(N$3&lt;=$O$2,$D408,$D408-($D408-$I$400)*MIN(N$3-$O$2,$Q$2)/$Q$2))</f>
        <v>8199.21164615356</v>
      </c>
      <c r="O408" s="15" t="n">
        <f aca="false">SUMPRODUCT(E408:N408,1/(1+$F$400)^$E$3:$N$3)*$E$2</f>
        <v>19381.8902999501</v>
      </c>
      <c r="P408" s="15" t="n">
        <f aca="false">N408*$E$2*(1+$I$400)/($F$400-$I$400)/(1+$F$400)^$N$3</f>
        <v>29742.0656012828</v>
      </c>
      <c r="Q408" s="15" t="n">
        <f aca="false">O408+P408</f>
        <v>49123.9559012328</v>
      </c>
      <c r="R408" s="15" t="n">
        <f aca="false">Q408-$G$2+$I$2</f>
        <v>42936.6559012328</v>
      </c>
      <c r="S408" s="42" t="n">
        <f aca="false">R408/$K$2</f>
        <v>590.600493827137</v>
      </c>
      <c r="T408" s="43" t="n">
        <f aca="false">S408-$M$2</f>
        <v>29.8026946524462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0.109375</v>
      </c>
      <c r="C409" s="25" t="n">
        <f aca="false">IF(T408&gt;0,D408,C408)</f>
        <v>0.12109375</v>
      </c>
      <c r="D409" s="41" t="n">
        <f aca="false">(B409+C409)/2</f>
        <v>0.115234375</v>
      </c>
      <c r="E409" s="15" t="n">
        <f aca="false">$C$2*(1+IF(E$3&lt;=$O$2,$D409,$D409-($D409-$I$400)*MIN(E$3-$O$2,$Q$2)/$Q$2))</f>
        <v>3713.73046875</v>
      </c>
      <c r="F409" s="15" t="n">
        <f aca="false">E409*(1+IF(F$3&lt;=$O$2,$D409,$D409-($D409-$I$400)*MIN(F$3-$O$2,$Q$2)/$Q$2))</f>
        <v>4141.67987823486</v>
      </c>
      <c r="G409" s="15" t="n">
        <f aca="false">F409*(1+IF(G$3&lt;=$O$2,$D409,$D409-($D409-$I$400)*MIN(G$3-$O$2,$Q$2)/$Q$2))</f>
        <v>4618.94377045333</v>
      </c>
      <c r="H409" s="15" t="n">
        <f aca="false">G409*(1+IF(H$3&lt;=$O$2,$D409,$D409-($D409-$I$400)*MIN(H$3-$O$2,$Q$2)/$Q$2))</f>
        <v>5151.20486900167</v>
      </c>
      <c r="I409" s="15" t="n">
        <f aca="false">H409*(1+IF(I$3&lt;=$O$2,$D409,$D409-($D409-$I$400)*MIN(I$3-$O$2,$Q$2)/$Q$2))</f>
        <v>5744.80074257803</v>
      </c>
      <c r="J409" s="15" t="n">
        <f aca="false">I409*(1+IF(J$3&lt;=$O$2,$D409,$D409-($D409-$I$400)*MIN(J$3-$O$2,$Q$2)/$Q$2))</f>
        <v>6312.65993398001</v>
      </c>
      <c r="K409" s="15" t="n">
        <f aca="false">J409*(1+IF(K$3&lt;=$O$2,$D409,$D409-($D409-$I$400)*MIN(K$3-$O$2,$Q$2)/$Q$2))</f>
        <v>6833.20581754846</v>
      </c>
      <c r="L409" s="15" t="n">
        <f aca="false">K409*(1+IF(L$3&lt;=$O$2,$D409,$D409-($D409-$I$400)*MIN(L$3-$O$2,$Q$2)/$Q$2))</f>
        <v>7284.70135043571</v>
      </c>
      <c r="M409" s="15" t="n">
        <f aca="false">L409*(1+IF(M$3&lt;=$O$2,$D409,$D409-($D409-$I$400)*MIN(M$3-$O$2,$Q$2)/$Q$2))</f>
        <v>7646.65539584714</v>
      </c>
      <c r="N409" s="15" t="n">
        <f aca="false">M409*(1+IF(N$3&lt;=$O$2,$D409,$D409-($D409-$I$400)*MIN(N$3-$O$2,$Q$2)/$Q$2))</f>
        <v>7901.28902052885</v>
      </c>
      <c r="O409" s="15" t="n">
        <f aca="false">SUMPRODUCT(E409:N409,1/(1+$F$400)^$E$3:$N$3)*$E$2</f>
        <v>18897.6056612562</v>
      </c>
      <c r="P409" s="15" t="n">
        <f aca="false">N409*$E$2*(1+$I$400)/($F$400-$I$400)/(1+$F$400)^$N$3</f>
        <v>28661.3721568595</v>
      </c>
      <c r="Q409" s="15" t="n">
        <f aca="false">O409+P409</f>
        <v>47558.9778181157</v>
      </c>
      <c r="R409" s="15" t="n">
        <f aca="false">Q409-$G$2+$I$2</f>
        <v>41371.6778181157</v>
      </c>
      <c r="S409" s="42" t="n">
        <f aca="false">R409/$K$2</f>
        <v>569.073972738868</v>
      </c>
      <c r="T409" s="43" t="n">
        <f aca="false">S409-$M$2</f>
        <v>8.27617356417727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0.109375</v>
      </c>
      <c r="C410" s="25" t="n">
        <f aca="false">IF(T409&gt;0,D409,C409)</f>
        <v>0.115234375</v>
      </c>
      <c r="D410" s="41" t="n">
        <f aca="false">(B410+C410)/2</f>
        <v>0.1123046875</v>
      </c>
      <c r="E410" s="15" t="n">
        <f aca="false">$C$2*(1+IF(E$3&lt;=$O$2,$D410,$D410-($D410-$I$400)*MIN(E$3-$O$2,$Q$2)/$Q$2))</f>
        <v>3703.974609375</v>
      </c>
      <c r="F410" s="15" t="n">
        <f aca="false">E410*(1+IF(F$3&lt;=$O$2,$D410,$D410-($D410-$I$400)*MIN(F$3-$O$2,$Q$2)/$Q$2))</f>
        <v>4119.94832038879</v>
      </c>
      <c r="G410" s="15" t="n">
        <f aca="false">F410*(1+IF(G$3&lt;=$O$2,$D410,$D410-($D410-$I$400)*MIN(G$3-$O$2,$Q$2)/$Q$2))</f>
        <v>4582.63782902621</v>
      </c>
      <c r="H410" s="15" t="n">
        <f aca="false">G410*(1+IF(H$3&lt;=$O$2,$D410,$D410-($D410-$I$400)*MIN(H$3-$O$2,$Q$2)/$Q$2))</f>
        <v>5097.28953834067</v>
      </c>
      <c r="I410" s="15" t="n">
        <f aca="false">H410*(1+IF(I$3&lt;=$O$2,$D410,$D410-($D410-$I$400)*MIN(I$3-$O$2,$Q$2)/$Q$2))</f>
        <v>5669.73904704104</v>
      </c>
      <c r="J410" s="15" t="n">
        <f aca="false">I410*(1+IF(J$3&lt;=$O$2,$D410,$D410-($D410-$I$400)*MIN(J$3-$O$2,$Q$2)/$Q$2))</f>
        <v>6216.89012660193</v>
      </c>
      <c r="K410" s="15" t="n">
        <f aca="false">J410*(1+IF(K$3&lt;=$O$2,$D410,$D410-($D410-$I$400)*MIN(K$3-$O$2,$Q$2)/$Q$2))</f>
        <v>6718.61064482219</v>
      </c>
      <c r="L410" s="15" t="n">
        <f aca="false">K410*(1+IF(L$3&lt;=$O$2,$D410,$D410-($D410-$I$400)*MIN(L$3-$O$2,$Q$2)/$Q$2))</f>
        <v>7154.66107306611</v>
      </c>
      <c r="M410" s="15" t="n">
        <f aca="false">L410*(1+IF(M$3&lt;=$O$2,$D410,$D410-($D410-$I$400)*MIN(M$3-$O$2,$Q$2)/$Q$2))</f>
        <v>7505.96163924841</v>
      </c>
      <c r="N410" s="15" t="n">
        <f aca="false">M410*(1+IF(N$3&lt;=$O$2,$D410,$D410-($D410-$I$400)*MIN(N$3-$O$2,$Q$2)/$Q$2))</f>
        <v>7755.91016183538</v>
      </c>
      <c r="O410" s="15" t="n">
        <f aca="false">SUMPRODUCT(E410:N410,1/(1+$F$400)^$E$3:$N$3)*$E$2</f>
        <v>18659.9783218791</v>
      </c>
      <c r="P410" s="15" t="n">
        <f aca="false">N410*$E$2*(1+$I$400)/($F$400-$I$400)/(1+$F$400)^$N$3</f>
        <v>28134.0205358864</v>
      </c>
      <c r="Q410" s="15" t="n">
        <f aca="false">O410+P410</f>
        <v>46793.9988577656</v>
      </c>
      <c r="R410" s="15" t="n">
        <f aca="false">Q410-$G$2+$I$2</f>
        <v>40606.6988577656</v>
      </c>
      <c r="S410" s="42" t="n">
        <f aca="false">R410/$K$2</f>
        <v>558.551566131576</v>
      </c>
      <c r="T410" s="43" t="n">
        <f aca="false">S410-$M$2</f>
        <v>-2.24623304311467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0.1123046875</v>
      </c>
      <c r="C411" s="25" t="n">
        <f aca="false">IF(T410&gt;0,D410,C410)</f>
        <v>0.115234375</v>
      </c>
      <c r="D411" s="41" t="n">
        <f aca="false">(B411+C411)/2</f>
        <v>0.11376953125</v>
      </c>
      <c r="E411" s="15" t="n">
        <f aca="false">$C$2*(1+IF(E$3&lt;=$O$2,$D411,$D411-($D411-$I$400)*MIN(E$3-$O$2,$Q$2)/$Q$2))</f>
        <v>3708.8525390625</v>
      </c>
      <c r="F411" s="15" t="n">
        <f aca="false">E411*(1+IF(F$3&lt;=$O$2,$D411,$D411-($D411-$I$400)*MIN(F$3-$O$2,$Q$2)/$Q$2))</f>
        <v>4130.80695390701</v>
      </c>
      <c r="G411" s="15" t="n">
        <f aca="false">F411*(1+IF(G$3&lt;=$O$2,$D411,$D411-($D411-$I$400)*MIN(G$3-$O$2,$Q$2)/$Q$2))</f>
        <v>4600.76692473725</v>
      </c>
      <c r="H411" s="15" t="n">
        <f aca="false">G411*(1+IF(H$3&lt;=$O$2,$D411,$D411-($D411-$I$400)*MIN(H$3-$O$2,$Q$2)/$Q$2))</f>
        <v>5124.19402115512</v>
      </c>
      <c r="I411" s="15" t="n">
        <f aca="false">H411*(1+IF(I$3&lt;=$O$2,$D411,$D411-($D411-$I$400)*MIN(I$3-$O$2,$Q$2)/$Q$2))</f>
        <v>5707.17117297599</v>
      </c>
      <c r="J411" s="15" t="n">
        <f aca="false">I411*(1+IF(J$3&lt;=$O$2,$D411,$D411-($D411-$I$400)*MIN(J$3-$O$2,$Q$2)/$Q$2))</f>
        <v>6264.6226842784</v>
      </c>
      <c r="K411" s="15" t="n">
        <f aca="false">J411*(1+IF(K$3&lt;=$O$2,$D411,$D411-($D411-$I$400)*MIN(K$3-$O$2,$Q$2)/$Q$2))</f>
        <v>6775.70137018207</v>
      </c>
      <c r="L411" s="15" t="n">
        <f aca="false">K411*(1+IF(L$3&lt;=$O$2,$D411,$D411-($D411-$I$400)*MIN(L$3-$O$2,$Q$2)/$Q$2))</f>
        <v>7219.42723106855</v>
      </c>
      <c r="M411" s="15" t="n">
        <f aca="false">L411*(1+IF(M$3&lt;=$O$2,$D411,$D411-($D411-$I$400)*MIN(M$3-$O$2,$Q$2)/$Q$2))</f>
        <v>7576.02294289864</v>
      </c>
      <c r="N411" s="15" t="n">
        <f aca="false">M411*(1+IF(N$3&lt;=$O$2,$D411,$D411-($D411-$I$400)*MIN(N$3-$O$2,$Q$2)/$Q$2))</f>
        <v>7828.30450689717</v>
      </c>
      <c r="O411" s="15" t="n">
        <f aca="false">SUMPRODUCT(E411:N411,1/(1+$F$400)^$E$3:$N$3)*$E$2</f>
        <v>18778.4193652396</v>
      </c>
      <c r="P411" s="15" t="n">
        <f aca="false">N411*$E$2*(1+$I$400)/($F$400-$I$400)/(1+$F$400)^$N$3</f>
        <v>28396.6259488104</v>
      </c>
      <c r="Q411" s="15" t="n">
        <f aca="false">O411+P411</f>
        <v>47175.0453140501</v>
      </c>
      <c r="R411" s="15" t="n">
        <f aca="false">Q411-$G$2+$I$2</f>
        <v>40987.74531405</v>
      </c>
      <c r="S411" s="42" t="n">
        <f aca="false">R411/$K$2</f>
        <v>563.792920413343</v>
      </c>
      <c r="T411" s="43" t="n">
        <f aca="false">S411-$M$2</f>
        <v>2.99512123865259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0.1123046875</v>
      </c>
      <c r="C412" s="25" t="n">
        <f aca="false">IF(T411&gt;0,D411,C411)</f>
        <v>0.11376953125</v>
      </c>
      <c r="D412" s="41" t="n">
        <f aca="false">(B412+C412)/2</f>
        <v>0.113037109375</v>
      </c>
      <c r="E412" s="15" t="n">
        <f aca="false">$C$2*(1+IF(E$3&lt;=$O$2,$D412,$D412-($D412-$I$400)*MIN(E$3-$O$2,$Q$2)/$Q$2))</f>
        <v>3706.41357421875</v>
      </c>
      <c r="F412" s="15" t="n">
        <f aca="false">E412*(1+IF(F$3&lt;=$O$2,$D412,$D412-($D412-$I$400)*MIN(F$3-$O$2,$Q$2)/$Q$2))</f>
        <v>4125.3758507967</v>
      </c>
      <c r="G412" s="15" t="n">
        <f aca="false">F412*(1+IF(G$3&lt;=$O$2,$D412,$D412-($D412-$I$400)*MIN(G$3-$O$2,$Q$2)/$Q$2))</f>
        <v>4591.69641205619</v>
      </c>
      <c r="H412" s="15" t="n">
        <f aca="false">G412*(1+IF(H$3&lt;=$O$2,$D412,$D412-($D412-$I$400)*MIN(H$3-$O$2,$Q$2)/$Q$2))</f>
        <v>5110.72850160258</v>
      </c>
      <c r="I412" s="15" t="n">
        <f aca="false">H412*(1+IF(I$3&lt;=$O$2,$D412,$D412-($D412-$I$400)*MIN(I$3-$O$2,$Q$2)/$Q$2))</f>
        <v>5688.43047822416</v>
      </c>
      <c r="J412" s="15" t="n">
        <f aca="false">I412*(1+IF(J$3&lt;=$O$2,$D412,$D412-($D412-$I$400)*MIN(J$3-$O$2,$Q$2)/$Q$2))</f>
        <v>6240.71841572042</v>
      </c>
      <c r="K412" s="15" t="n">
        <f aca="false">J412*(1+IF(K$3&lt;=$O$2,$D412,$D412-($D412-$I$400)*MIN(K$3-$O$2,$Q$2)/$Q$2))</f>
        <v>6747.10444709964</v>
      </c>
      <c r="L412" s="15" t="n">
        <f aca="false">K412*(1+IF(L$3&lt;=$O$2,$D412,$D412-($D412-$I$400)*MIN(L$3-$O$2,$Q$2)/$Q$2))</f>
        <v>7186.98086729323</v>
      </c>
      <c r="M412" s="15" t="n">
        <f aca="false">L412*(1+IF(M$3&lt;=$O$2,$D412,$D412-($D412-$I$400)*MIN(M$3-$O$2,$Q$2)/$Q$2))</f>
        <v>7540.92114607237</v>
      </c>
      <c r="N412" s="15" t="n">
        <f aca="false">M412*(1+IF(N$3&lt;=$O$2,$D412,$D412-($D412-$I$400)*MIN(N$3-$O$2,$Q$2)/$Q$2))</f>
        <v>7792.03382023658</v>
      </c>
      <c r="O412" s="15" t="n">
        <f aca="false">SUMPRODUCT(E412:N412,1/(1+$F$400)^$E$3:$N$3)*$E$2</f>
        <v>18719.105956758</v>
      </c>
      <c r="P412" s="15" t="n">
        <f aca="false">N412*$E$2*(1+$I$400)/($F$400-$I$400)/(1+$F$400)^$N$3</f>
        <v>28265.0565749952</v>
      </c>
      <c r="Q412" s="15" t="n">
        <f aca="false">O412+P412</f>
        <v>46984.1625317532</v>
      </c>
      <c r="R412" s="15" t="n">
        <f aca="false">Q412-$G$2+$I$2</f>
        <v>40796.8625317532</v>
      </c>
      <c r="S412" s="42" t="n">
        <f aca="false">R412/$K$2</f>
        <v>561.167297548187</v>
      </c>
      <c r="T412" s="43" t="n">
        <f aca="false">S412-$M$2</f>
        <v>0.369498373496526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0.1123046875</v>
      </c>
      <c r="C413" s="25" t="n">
        <f aca="false">IF(T412&gt;0,D412,C412)</f>
        <v>0.113037109375</v>
      </c>
      <c r="D413" s="41" t="n">
        <f aca="false">(B413+C413)/2</f>
        <v>0.1126708984375</v>
      </c>
      <c r="E413" s="15" t="n">
        <f aca="false">$C$2*(1+IF(E$3&lt;=$O$2,$D413,$D413-($D413-$I$400)*MIN(E$3-$O$2,$Q$2)/$Q$2))</f>
        <v>3705.19409179688</v>
      </c>
      <c r="F413" s="15" t="n">
        <f aca="false">E413*(1+IF(F$3&lt;=$O$2,$D413,$D413-($D413-$I$400)*MIN(F$3-$O$2,$Q$2)/$Q$2))</f>
        <v>4122.66163900495</v>
      </c>
      <c r="G413" s="15" t="n">
        <f aca="false">F413*(1+IF(G$3&lt;=$O$2,$D413,$D413-($D413-$I$400)*MIN(G$3-$O$2,$Q$2)/$Q$2))</f>
        <v>4587.16562982545</v>
      </c>
      <c r="H413" s="15" t="n">
        <f aca="false">G413*(1+IF(H$3&lt;=$O$2,$D413,$D413-($D413-$I$400)*MIN(H$3-$O$2,$Q$2)/$Q$2))</f>
        <v>5104.0057026195</v>
      </c>
      <c r="I413" s="15" t="n">
        <f aca="false">H413*(1+IF(I$3&lt;=$O$2,$D413,$D413-($D413-$I$400)*MIN(I$3-$O$2,$Q$2)/$Q$2))</f>
        <v>5679.07861076377</v>
      </c>
      <c r="J413" s="15" t="n">
        <f aca="false">I413*(1+IF(J$3&lt;=$O$2,$D413,$D413-($D413-$I$400)*MIN(J$3-$O$2,$Q$2)/$Q$2))</f>
        <v>6228.79478580901</v>
      </c>
      <c r="K413" s="15" t="n">
        <f aca="false">J413*(1+IF(K$3&lt;=$O$2,$D413,$D413-($D413-$I$400)*MIN(K$3-$O$2,$Q$2)/$Q$2))</f>
        <v>6732.84467517593</v>
      </c>
      <c r="L413" s="15" t="n">
        <f aca="false">K413*(1+IF(L$3&lt;=$O$2,$D413,$D413-($D413-$I$400)*MIN(L$3-$O$2,$Q$2)/$Q$2))</f>
        <v>7170.80517522283</v>
      </c>
      <c r="M413" s="15" t="n">
        <f aca="false">L413*(1+IF(M$3&lt;=$O$2,$D413,$D413-($D413-$I$400)*MIN(M$3-$O$2,$Q$2)/$Q$2))</f>
        <v>7523.4236374133</v>
      </c>
      <c r="N413" s="15" t="n">
        <f aca="false">M413*(1+IF(N$3&lt;=$O$2,$D413,$D413-($D413-$I$400)*MIN(N$3-$O$2,$Q$2)/$Q$2))</f>
        <v>7773.95364453916</v>
      </c>
      <c r="O413" s="15" t="n">
        <f aca="false">SUMPRODUCT(E413:N413,1/(1+$F$400)^$E$3:$N$3)*$E$2</f>
        <v>18689.5189512668</v>
      </c>
      <c r="P413" s="15" t="n">
        <f aca="false">N413*$E$2*(1+$I$400)/($F$400-$I$400)/(1+$F$400)^$N$3</f>
        <v>28199.4720048094</v>
      </c>
      <c r="Q413" s="15" t="n">
        <f aca="false">O413+P413</f>
        <v>46888.9909560762</v>
      </c>
      <c r="R413" s="15" t="n">
        <f aca="false">Q413-$G$2+$I$2</f>
        <v>40701.6909560762</v>
      </c>
      <c r="S413" s="42" t="n">
        <f aca="false">R413/$K$2</f>
        <v>559.858197470099</v>
      </c>
      <c r="T413" s="43" t="n">
        <f aca="false">S413-$M$2</f>
        <v>-0.939601704591496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0.1126708984375</v>
      </c>
      <c r="C414" s="25" t="n">
        <f aca="false">IF(T413&gt;0,D413,C413)</f>
        <v>0.113037109375</v>
      </c>
      <c r="D414" s="41" t="n">
        <f aca="false">(B414+C414)/2</f>
        <v>0.11285400390625</v>
      </c>
      <c r="E414" s="15" t="n">
        <f aca="false">$C$2*(1+IF(E$3&lt;=$O$2,$D414,$D414-($D414-$I$400)*MIN(E$3-$O$2,$Q$2)/$Q$2))</f>
        <v>3705.80383300781</v>
      </c>
      <c r="F414" s="15" t="n">
        <f aca="false">E414*(1+IF(F$3&lt;=$O$2,$D414,$D414-($D414-$I$400)*MIN(F$3-$O$2,$Q$2)/$Q$2))</f>
        <v>4124.01863325387</v>
      </c>
      <c r="G414" s="15" t="n">
        <f aca="false">F414*(1+IF(G$3&lt;=$O$2,$D414,$D414-($D414-$I$400)*MIN(G$3-$O$2,$Q$2)/$Q$2))</f>
        <v>4589.43064820055</v>
      </c>
      <c r="H414" s="15" t="n">
        <f aca="false">G414*(1+IF(H$3&lt;=$O$2,$D414,$D414-($D414-$I$400)*MIN(H$3-$O$2,$Q$2)/$Q$2))</f>
        <v>5107.36627250004</v>
      </c>
      <c r="I414" s="15" t="n">
        <f aca="false">H414*(1+IF(I$3&lt;=$O$2,$D414,$D414-($D414-$I$400)*MIN(I$3-$O$2,$Q$2)/$Q$2))</f>
        <v>5683.75300576741</v>
      </c>
      <c r="J414" s="15" t="n">
        <f aca="false">I414*(1+IF(J$3&lt;=$O$2,$D414,$D414-($D414-$I$400)*MIN(J$3-$O$2,$Q$2)/$Q$2))</f>
        <v>6234.75422791785</v>
      </c>
      <c r="K414" s="15" t="n">
        <f aca="false">J414*(1+IF(K$3&lt;=$O$2,$D414,$D414-($D414-$I$400)*MIN(K$3-$O$2,$Q$2)/$Q$2))</f>
        <v>6739.97134102888</v>
      </c>
      <c r="L414" s="15" t="n">
        <f aca="false">K414*(1+IF(L$3&lt;=$O$2,$D414,$D414-($D414-$I$400)*MIN(L$3-$O$2,$Q$2)/$Q$2))</f>
        <v>7178.88906924204</v>
      </c>
      <c r="M414" s="15" t="n">
        <f aca="false">L414*(1+IF(M$3&lt;=$O$2,$D414,$D414-($D414-$I$400)*MIN(M$3-$O$2,$Q$2)/$Q$2))</f>
        <v>7532.1679490592</v>
      </c>
      <c r="N414" s="15" t="n">
        <f aca="false">M414*(1+IF(N$3&lt;=$O$2,$D414,$D414-($D414-$I$400)*MIN(N$3-$O$2,$Q$2)/$Q$2))</f>
        <v>7782.98914176287</v>
      </c>
      <c r="O414" s="15" t="n">
        <f aca="false">SUMPRODUCT(E414:N414,1/(1+$F$400)^$E$3:$N$3)*$E$2</f>
        <v>18704.3066527967</v>
      </c>
      <c r="P414" s="15" t="n">
        <f aca="false">N414*$E$2*(1+$I$400)/($F$400-$I$400)/(1+$F$400)^$N$3</f>
        <v>28232.2476377319</v>
      </c>
      <c r="Q414" s="15" t="n">
        <f aca="false">O414+P414</f>
        <v>46936.5542905285</v>
      </c>
      <c r="R414" s="15" t="n">
        <f aca="false">Q414-$G$2+$I$2</f>
        <v>40749.2542905285</v>
      </c>
      <c r="S414" s="42" t="n">
        <f aca="false">R414/$K$2</f>
        <v>560.512438659264</v>
      </c>
      <c r="T414" s="43" t="n">
        <f aca="false">S414-$M$2</f>
        <v>-0.285360515426078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0.11285400390625</v>
      </c>
      <c r="C415" s="25" t="n">
        <f aca="false">IF(T414&gt;0,D414,C414)</f>
        <v>0.113037109375</v>
      </c>
      <c r="D415" s="41" t="n">
        <f aca="false">(B415+C415)/2</f>
        <v>0.112945556640625</v>
      </c>
      <c r="E415" s="15" t="n">
        <f aca="false">$C$2*(1+IF(E$3&lt;=$O$2,$D415,$D415-($D415-$I$400)*MIN(E$3-$O$2,$Q$2)/$Q$2))</f>
        <v>3706.10870361328</v>
      </c>
      <c r="F415" s="15" t="n">
        <f aca="false">E415*(1+IF(F$3&lt;=$O$2,$D415,$D415-($D415-$I$400)*MIN(F$3-$O$2,$Q$2)/$Q$2))</f>
        <v>4124.69721411355</v>
      </c>
      <c r="G415" s="15" t="n">
        <f aca="false">F415*(1+IF(G$3&lt;=$O$2,$D415,$D415-($D415-$I$400)*MIN(G$3-$O$2,$Q$2)/$Q$2))</f>
        <v>4590.56343693564</v>
      </c>
      <c r="H415" s="15" t="n">
        <f aca="false">G415*(1+IF(H$3&lt;=$O$2,$D415,$D415-($D415-$I$400)*MIN(H$3-$O$2,$Q$2)/$Q$2))</f>
        <v>5109.04717961444</v>
      </c>
      <c r="I415" s="15" t="n">
        <f aca="false">H415*(1+IF(I$3&lt;=$O$2,$D415,$D415-($D415-$I$400)*MIN(I$3-$O$2,$Q$2)/$Q$2))</f>
        <v>5686.0913572192</v>
      </c>
      <c r="J415" s="15" t="n">
        <f aca="false">I415*(1+IF(J$3&lt;=$O$2,$D415,$D415-($D415-$I$400)*MIN(J$3-$O$2,$Q$2)/$Q$2))</f>
        <v>6237.73572841874</v>
      </c>
      <c r="K415" s="15" t="n">
        <f aca="false">J415*(1+IF(K$3&lt;=$O$2,$D415,$D415-($D415-$I$400)*MIN(K$3-$O$2,$Q$2)/$Q$2))</f>
        <v>6743.5370887353</v>
      </c>
      <c r="L415" s="15" t="n">
        <f aca="false">K415*(1+IF(L$3&lt;=$O$2,$D415,$D415-($D415-$I$400)*MIN(L$3-$O$2,$Q$2)/$Q$2))</f>
        <v>7182.93397985379</v>
      </c>
      <c r="M415" s="15" t="n">
        <f aca="false">L415*(1+IF(M$3&lt;=$O$2,$D415,$D415-($D415-$I$400)*MIN(M$3-$O$2,$Q$2)/$Q$2))</f>
        <v>7536.54343641058</v>
      </c>
      <c r="N415" s="15" t="n">
        <f aca="false">M415*(1+IF(N$3&lt;=$O$2,$D415,$D415-($D415-$I$400)*MIN(N$3-$O$2,$Q$2)/$Q$2))</f>
        <v>7787.51033284306</v>
      </c>
      <c r="O415" s="15" t="n">
        <f aca="false">SUMPRODUCT(E415:N415,1/(1+$F$400)^$E$3:$N$3)*$E$2</f>
        <v>18711.7048539477</v>
      </c>
      <c r="P415" s="15" t="n">
        <f aca="false">N415*$E$2*(1+$I$400)/($F$400-$I$400)/(1+$F$400)^$N$3</f>
        <v>28248.6479415057</v>
      </c>
      <c r="Q415" s="15" t="n">
        <f aca="false">O415+P415</f>
        <v>46960.3527954535</v>
      </c>
      <c r="R415" s="15" t="n">
        <f aca="false">Q415-$G$2+$I$2</f>
        <v>40773.0527954535</v>
      </c>
      <c r="S415" s="42" t="n">
        <f aca="false">R415/$K$2</f>
        <v>560.839790859057</v>
      </c>
      <c r="T415" s="43" t="n">
        <f aca="false">S415-$M$2</f>
        <v>0.0419916843666215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0.11285400390625</v>
      </c>
      <c r="C416" s="25" t="n">
        <f aca="false">IF(T415&gt;0,D415,C415)</f>
        <v>0.112945556640625</v>
      </c>
      <c r="D416" s="41" t="n">
        <f aca="false">(B416+C416)/2</f>
        <v>0.112899780273438</v>
      </c>
      <c r="E416" s="15" t="n">
        <f aca="false">$C$2*(1+IF(E$3&lt;=$O$2,$D416,$D416-($D416-$I$400)*MIN(E$3-$O$2,$Q$2)/$Q$2))</f>
        <v>3705.95626831055</v>
      </c>
      <c r="F416" s="15" t="n">
        <f aca="false">E416*(1+IF(F$3&lt;=$O$2,$D416,$D416-($D416-$I$400)*MIN(F$3-$O$2,$Q$2)/$Q$2))</f>
        <v>4124.35791670578</v>
      </c>
      <c r="G416" s="15" t="n">
        <f aca="false">F416*(1+IF(G$3&lt;=$O$2,$D416,$D416-($D416-$I$400)*MIN(G$3-$O$2,$Q$2)/$Q$2))</f>
        <v>4589.99701927087</v>
      </c>
      <c r="H416" s="15" t="n">
        <f aca="false">G416*(1+IF(H$3&lt;=$O$2,$D416,$D416-($D416-$I$400)*MIN(H$3-$O$2,$Q$2)/$Q$2))</f>
        <v>5108.20667420229</v>
      </c>
      <c r="I416" s="15" t="n">
        <f aca="false">H416*(1+IF(I$3&lt;=$O$2,$D416,$D416-($D416-$I$400)*MIN(I$3-$O$2,$Q$2)/$Q$2))</f>
        <v>5684.92208531103</v>
      </c>
      <c r="J416" s="15" t="n">
        <f aca="false">I416*(1+IF(J$3&lt;=$O$2,$D416,$D416-($D416-$I$400)*MIN(J$3-$O$2,$Q$2)/$Q$2))</f>
        <v>6236.24482984178</v>
      </c>
      <c r="K416" s="15" t="n">
        <f aca="false">J416*(1+IF(K$3&lt;=$O$2,$D416,$D416-($D416-$I$400)*MIN(K$3-$O$2,$Q$2)/$Q$2))</f>
        <v>6741.75401358758</v>
      </c>
      <c r="L416" s="15" t="n">
        <f aca="false">K416*(1+IF(L$3&lt;=$O$2,$D416,$D416-($D416-$I$400)*MIN(L$3-$O$2,$Q$2)/$Q$2))</f>
        <v>7180.9112774957</v>
      </c>
      <c r="M416" s="15" t="n">
        <f aca="false">L416*(1+IF(M$3&lt;=$O$2,$D416,$D416-($D416-$I$400)*MIN(M$3-$O$2,$Q$2)/$Q$2))</f>
        <v>7534.35541500664</v>
      </c>
      <c r="N416" s="15" t="n">
        <f aca="false">M416*(1+IF(N$3&lt;=$O$2,$D416,$D416-($D416-$I$400)*MIN(N$3-$O$2,$Q$2)/$Q$2))</f>
        <v>7785.24945032637</v>
      </c>
      <c r="O416" s="15" t="n">
        <f aca="false">SUMPRODUCT(E416:N416,1/(1+$F$400)^$E$3:$N$3)*$E$2</f>
        <v>18708.0053907305</v>
      </c>
      <c r="P416" s="15" t="n">
        <f aca="false">N416*$E$2*(1+$I$400)/($F$400-$I$400)/(1+$F$400)^$N$3</f>
        <v>28240.4467486313</v>
      </c>
      <c r="Q416" s="15" t="n">
        <f aca="false">O416+P416</f>
        <v>46948.4521393618</v>
      </c>
      <c r="R416" s="15" t="n">
        <f aca="false">Q416-$G$2+$I$2</f>
        <v>40761.1521393618</v>
      </c>
      <c r="S416" s="42" t="n">
        <f aca="false">R416/$K$2</f>
        <v>560.67609545202</v>
      </c>
      <c r="T416" s="43" t="n">
        <f aca="false">S416-$M$2</f>
        <v>-0.121703722670873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0.112899780273438</v>
      </c>
      <c r="C417" s="25" t="n">
        <f aca="false">IF(T416&gt;0,D416,C416)</f>
        <v>0.112945556640625</v>
      </c>
      <c r="D417" s="41" t="n">
        <f aca="false">(B417+C417)/2</f>
        <v>0.112922668457031</v>
      </c>
      <c r="E417" s="15" t="n">
        <f aca="false">$C$2*(1+IF(E$3&lt;=$O$2,$D417,$D417-($D417-$I$400)*MIN(E$3-$O$2,$Q$2)/$Q$2))</f>
        <v>3706.03248596191</v>
      </c>
      <c r="F417" s="15" t="n">
        <f aca="false">E417*(1+IF(F$3&lt;=$O$2,$D417,$D417-($D417-$I$400)*MIN(F$3-$O$2,$Q$2)/$Q$2))</f>
        <v>4124.52756366518</v>
      </c>
      <c r="G417" s="15" t="n">
        <f aca="false">F417*(1+IF(G$3&lt;=$O$2,$D417,$D417-($D417-$I$400)*MIN(G$3-$O$2,$Q$2)/$Q$2))</f>
        <v>4590.28022227883</v>
      </c>
      <c r="H417" s="15" t="n">
        <f aca="false">G417*(1+IF(H$3&lt;=$O$2,$D417,$D417-($D417-$I$400)*MIN(H$3-$O$2,$Q$2)/$Q$2))</f>
        <v>5108.62691394409</v>
      </c>
      <c r="I417" s="15" t="n">
        <f aca="false">H417*(1+IF(I$3&lt;=$O$2,$D417,$D417-($D417-$I$400)*MIN(I$3-$O$2,$Q$2)/$Q$2))</f>
        <v>5685.50669721806</v>
      </c>
      <c r="J417" s="15" t="n">
        <f aca="false">I417*(1+IF(J$3&lt;=$O$2,$D417,$D417-($D417-$I$400)*MIN(J$3-$O$2,$Q$2)/$Q$2))</f>
        <v>6236.99024204569</v>
      </c>
      <c r="K417" s="15" t="n">
        <f aca="false">J417*(1+IF(K$3&lt;=$O$2,$D417,$D417-($D417-$I$400)*MIN(K$3-$O$2,$Q$2)/$Q$2))</f>
        <v>6742.64550083309</v>
      </c>
      <c r="L417" s="15" t="n">
        <f aca="false">K417*(1+IF(L$3&lt;=$O$2,$D417,$D417-($D417-$I$400)*MIN(L$3-$O$2,$Q$2)/$Q$2))</f>
        <v>7181.92256690529</v>
      </c>
      <c r="M417" s="15" t="n">
        <f aca="false">L417*(1+IF(M$3&lt;=$O$2,$D417,$D417-($D417-$I$400)*MIN(M$3-$O$2,$Q$2)/$Q$2))</f>
        <v>7535.44935626899</v>
      </c>
      <c r="N417" s="15" t="n">
        <f aca="false">M417*(1+IF(N$3&lt;=$O$2,$D417,$D417-($D417-$I$400)*MIN(N$3-$O$2,$Q$2)/$Q$2))</f>
        <v>7786.37981983275</v>
      </c>
      <c r="O417" s="15" t="n">
        <f aca="false">SUMPRODUCT(E417:N417,1/(1+$F$400)^$E$3:$N$3)*$E$2</f>
        <v>18709.8550316705</v>
      </c>
      <c r="P417" s="15" t="n">
        <f aca="false">N417*$E$2*(1+$I$400)/($F$400-$I$400)/(1+$F$400)^$N$3</f>
        <v>28244.5470847933</v>
      </c>
      <c r="Q417" s="15" t="n">
        <f aca="false">O417+P417</f>
        <v>46954.4021164638</v>
      </c>
      <c r="R417" s="15" t="n">
        <f aca="false">Q417-$G$2+$I$2</f>
        <v>40767.1021164638</v>
      </c>
      <c r="S417" s="42" t="n">
        <f aca="false">R417/$K$2</f>
        <v>560.75793832825</v>
      </c>
      <c r="T417" s="43" t="n">
        <f aca="false">S417-$M$2</f>
        <v>-0.0398608464404333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0.112922668457031</v>
      </c>
      <c r="C418" s="25" t="n">
        <f aca="false">IF(T417&gt;0,D417,C417)</f>
        <v>0.112945556640625</v>
      </c>
      <c r="D418" s="41" t="n">
        <f aca="false">(B418+C418)/2</f>
        <v>0.112934112548828</v>
      </c>
      <c r="E418" s="15" t="n">
        <f aca="false">$C$2*(1+IF(E$3&lt;=$O$2,$D418,$D418-($D418-$I$400)*MIN(E$3-$O$2,$Q$2)/$Q$2))</f>
        <v>3706.0705947876</v>
      </c>
      <c r="F418" s="15" t="n">
        <f aca="false">E418*(1+IF(F$3&lt;=$O$2,$D418,$D418-($D418-$I$400)*MIN(F$3-$O$2,$Q$2)/$Q$2))</f>
        <v>4124.61238845324</v>
      </c>
      <c r="G418" s="15" t="n">
        <f aca="false">F418*(1+IF(G$3&lt;=$O$2,$D418,$D418-($D418-$I$400)*MIN(G$3-$O$2,$Q$2)/$Q$2))</f>
        <v>4590.42182815111</v>
      </c>
      <c r="H418" s="15" t="n">
        <f aca="false">G418*(1+IF(H$3&lt;=$O$2,$D418,$D418-($D418-$I$400)*MIN(H$3-$O$2,$Q$2)/$Q$2))</f>
        <v>5108.83704353813</v>
      </c>
      <c r="I418" s="15" t="n">
        <f aca="false">H418*(1+IF(I$3&lt;=$O$2,$D418,$D418-($D418-$I$400)*MIN(I$3-$O$2,$Q$2)/$Q$2))</f>
        <v>5685.79902120669</v>
      </c>
      <c r="J418" s="15" t="n">
        <f aca="false">I418*(1+IF(J$3&lt;=$O$2,$D418,$D418-($D418-$I$400)*MIN(J$3-$O$2,$Q$2)/$Q$2))</f>
        <v>6237.3629759607</v>
      </c>
      <c r="K418" s="15" t="n">
        <f aca="false">J418*(1+IF(K$3&lt;=$O$2,$D418,$D418-($D418-$I$400)*MIN(K$3-$O$2,$Q$2)/$Q$2))</f>
        <v>6743.09128220152</v>
      </c>
      <c r="L418" s="15" t="n">
        <f aca="false">K418*(1+IF(L$3&lt;=$O$2,$D418,$D418-($D418-$I$400)*MIN(L$3-$O$2,$Q$2)/$Q$2))</f>
        <v>7182.42825793637</v>
      </c>
      <c r="M418" s="15" t="n">
        <f aca="false">L418*(1+IF(M$3&lt;=$O$2,$D418,$D418-($D418-$I$400)*MIN(M$3-$O$2,$Q$2)/$Q$2))</f>
        <v>7535.99637897893</v>
      </c>
      <c r="N418" s="15" t="n">
        <f aca="false">M418*(1+IF(N$3&lt;=$O$2,$D418,$D418-($D418-$I$400)*MIN(N$3-$O$2,$Q$2)/$Q$2))</f>
        <v>7786.94505839893</v>
      </c>
      <c r="O418" s="15" t="n">
        <f aca="false">SUMPRODUCT(E418:N418,1/(1+$F$400)^$E$3:$N$3)*$E$2</f>
        <v>18710.7799201409</v>
      </c>
      <c r="P418" s="15" t="n">
        <f aca="false">N418*$E$2*(1+$I$400)/($F$400-$I$400)/(1+$F$400)^$N$3</f>
        <v>28246.5974480771</v>
      </c>
      <c r="Q418" s="15" t="n">
        <f aca="false">O418+P418</f>
        <v>46957.3773682181</v>
      </c>
      <c r="R418" s="15" t="n">
        <f aca="false">Q418-$G$2+$I$2</f>
        <v>40770.0773682181</v>
      </c>
      <c r="S418" s="42" t="n">
        <f aca="false">R418/$K$2</f>
        <v>560.798863386769</v>
      </c>
      <c r="T418" s="43" t="n">
        <f aca="false">S418-$M$2</f>
        <v>0.00106421207806306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0.112922668457031</v>
      </c>
      <c r="C419" s="25" t="n">
        <f aca="false">IF(T418&gt;0,D418,C418)</f>
        <v>0.112934112548828</v>
      </c>
      <c r="D419" s="41" t="n">
        <f aca="false">(B419+C419)/2</f>
        <v>0.11292839050293</v>
      </c>
      <c r="E419" s="15" t="n">
        <f aca="false">$C$2*(1+IF(E$3&lt;=$O$2,$D419,$D419-($D419-$I$400)*MIN(E$3-$O$2,$Q$2)/$Q$2))</f>
        <v>3706.05154037476</v>
      </c>
      <c r="F419" s="15" t="n">
        <f aca="false">E419*(1+IF(F$3&lt;=$O$2,$D419,$D419-($D419-$I$400)*MIN(F$3-$O$2,$Q$2)/$Q$2))</f>
        <v>4124.56997595018</v>
      </c>
      <c r="G419" s="15" t="n">
        <f aca="false">F419*(1+IF(G$3&lt;=$O$2,$D419,$D419-($D419-$I$400)*MIN(G$3-$O$2,$Q$2)/$Q$2))</f>
        <v>4590.35102485094</v>
      </c>
      <c r="H419" s="15" t="n">
        <f aca="false">G419*(1+IF(H$3&lt;=$O$2,$D419,$D419-($D419-$I$400)*MIN(H$3-$O$2,$Q$2)/$Q$2))</f>
        <v>5108.73197793083</v>
      </c>
      <c r="I419" s="15" t="n">
        <f aca="false">H419*(1+IF(I$3&lt;=$O$2,$D419,$D419-($D419-$I$400)*MIN(I$3-$O$2,$Q$2)/$Q$2))</f>
        <v>5685.65285770941</v>
      </c>
      <c r="J419" s="15" t="n">
        <f aca="false">I419*(1+IF(J$3&lt;=$O$2,$D419,$D419-($D419-$I$400)*MIN(J$3-$O$2,$Q$2)/$Q$2))</f>
        <v>6237.17660668536</v>
      </c>
      <c r="K419" s="15" t="n">
        <f aca="false">J419*(1+IF(K$3&lt;=$O$2,$D419,$D419-($D419-$I$400)*MIN(K$3-$O$2,$Q$2)/$Q$2))</f>
        <v>6742.86838837171</v>
      </c>
      <c r="L419" s="15" t="n">
        <f aca="false">K419*(1+IF(L$3&lt;=$O$2,$D419,$D419-($D419-$I$400)*MIN(L$3-$O$2,$Q$2)/$Q$2))</f>
        <v>7182.17540856014</v>
      </c>
      <c r="M419" s="15" t="n">
        <f aca="false">L419*(1+IF(M$3&lt;=$O$2,$D419,$D419-($D419-$I$400)*MIN(M$3-$O$2,$Q$2)/$Q$2))</f>
        <v>7535.72286328386</v>
      </c>
      <c r="N419" s="15" t="n">
        <f aca="false">M419*(1+IF(N$3&lt;=$O$2,$D419,$D419-($D419-$I$400)*MIN(N$3-$O$2,$Q$2)/$Q$2))</f>
        <v>7786.66243463122</v>
      </c>
      <c r="O419" s="15" t="n">
        <f aca="false">SUMPRODUCT(E419:N419,1/(1+$F$400)^$E$3:$N$3)*$E$2</f>
        <v>18710.3174702388</v>
      </c>
      <c r="P419" s="15" t="n">
        <f aca="false">N419*$E$2*(1+$I$400)/($F$400-$I$400)/(1+$F$400)^$N$3</f>
        <v>28245.5722501676</v>
      </c>
      <c r="Q419" s="15" t="n">
        <f aca="false">O419+P419</f>
        <v>46955.8897204064</v>
      </c>
      <c r="R419" s="15" t="n">
        <f aca="false">Q419-$G$2+$I$2</f>
        <v>40768.5897204064</v>
      </c>
      <c r="S419" s="42" t="n">
        <f aca="false">R419/$K$2</f>
        <v>560.778400555796</v>
      </c>
      <c r="T419" s="43" t="n">
        <f aca="false">S419-$M$2</f>
        <v>-0.0193986188945701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0.11292839050293</v>
      </c>
      <c r="C420" s="25" t="n">
        <f aca="false">IF(T419&gt;0,D419,C419)</f>
        <v>0.112934112548828</v>
      </c>
      <c r="D420" s="41" t="n">
        <f aca="false">(B420+C420)/2</f>
        <v>0.112931251525879</v>
      </c>
      <c r="E420" s="15" t="n">
        <f aca="false">$C$2*(1+IF(E$3&lt;=$O$2,$D420,$D420-($D420-$I$400)*MIN(E$3-$O$2,$Q$2)/$Q$2))</f>
        <v>3706.06106758118</v>
      </c>
      <c r="F420" s="15" t="n">
        <f aca="false">E420*(1+IF(F$3&lt;=$O$2,$D420,$D420-($D420-$I$400)*MIN(F$3-$O$2,$Q$2)/$Q$2))</f>
        <v>4124.59118217445</v>
      </c>
      <c r="G420" s="15" t="n">
        <f aca="false">F420*(1+IF(G$3&lt;=$O$2,$D420,$D420-($D420-$I$400)*MIN(G$3-$O$2,$Q$2)/$Q$2))</f>
        <v>4590.38642641002</v>
      </c>
      <c r="H420" s="15" t="n">
        <f aca="false">G420*(1+IF(H$3&lt;=$O$2,$D420,$D420-($D420-$I$400)*MIN(H$3-$O$2,$Q$2)/$Q$2))</f>
        <v>5108.78451053191</v>
      </c>
      <c r="I420" s="15" t="n">
        <f aca="false">H420*(1+IF(I$3&lt;=$O$2,$D420,$D420-($D420-$I$400)*MIN(I$3-$O$2,$Q$2)/$Q$2))</f>
        <v>5685.7259390823</v>
      </c>
      <c r="J420" s="15" t="n">
        <f aca="false">I420*(1+IF(J$3&lt;=$O$2,$D420,$D420-($D420-$I$400)*MIN(J$3-$O$2,$Q$2)/$Q$2))</f>
        <v>6237.26979074357</v>
      </c>
      <c r="K420" s="15" t="n">
        <f aca="false">J420*(1+IF(K$3&lt;=$O$2,$D420,$D420-($D420-$I$400)*MIN(K$3-$O$2,$Q$2)/$Q$2))</f>
        <v>6742.97983450021</v>
      </c>
      <c r="L420" s="15" t="n">
        <f aca="false">K420*(1+IF(L$3&lt;=$O$2,$D420,$D420-($D420-$I$400)*MIN(L$3-$O$2,$Q$2)/$Q$2))</f>
        <v>7182.30183228307</v>
      </c>
      <c r="M420" s="15" t="n">
        <f aca="false">L420*(1+IF(M$3&lt;=$O$2,$D420,$D420-($D420-$I$400)*MIN(M$3-$O$2,$Q$2)/$Q$2))</f>
        <v>7535.85962004636</v>
      </c>
      <c r="N420" s="15" t="n">
        <f aca="false">M420*(1+IF(N$3&lt;=$O$2,$D420,$D420-($D420-$I$400)*MIN(N$3-$O$2,$Q$2)/$Q$2))</f>
        <v>7786.8037453939</v>
      </c>
      <c r="O420" s="15" t="n">
        <f aca="false">SUMPRODUCT(E420:N420,1/(1+$F$400)^$E$3:$N$3)*$E$2</f>
        <v>18710.5486937731</v>
      </c>
      <c r="P420" s="15" t="n">
        <f aca="false">N420*$E$2*(1+$I$400)/($F$400-$I$400)/(1+$F$400)^$N$3</f>
        <v>28246.0848450554</v>
      </c>
      <c r="Q420" s="15" t="n">
        <f aca="false">O420+P420</f>
        <v>46956.6335388285</v>
      </c>
      <c r="R420" s="15" t="n">
        <f aca="false">Q420-$G$2+$I$2</f>
        <v>40769.3335388285</v>
      </c>
      <c r="S420" s="42" t="n">
        <f aca="false">R420/$K$2</f>
        <v>560.788631895853</v>
      </c>
      <c r="T420" s="43" t="n">
        <f aca="false">S420-$M$2</f>
        <v>-0.00916727883782187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0.112931251525879</v>
      </c>
      <c r="C421" s="25" t="n">
        <f aca="false">IF(T420&gt;0,D420,C420)</f>
        <v>0.112934112548828</v>
      </c>
      <c r="D421" s="41" t="n">
        <f aca="false">(B421+C421)/2</f>
        <v>0.112932682037354</v>
      </c>
      <c r="E421" s="15" t="n">
        <f aca="false">$C$2*(1+IF(E$3&lt;=$O$2,$D421,$D421-($D421-$I$400)*MIN(E$3-$O$2,$Q$2)/$Q$2))</f>
        <v>3706.06583118439</v>
      </c>
      <c r="F421" s="15" t="n">
        <f aca="false">E421*(1+IF(F$3&lt;=$O$2,$D421,$D421-($D421-$I$400)*MIN(F$3-$O$2,$Q$2)/$Q$2))</f>
        <v>4124.60178530703</v>
      </c>
      <c r="G421" s="15" t="n">
        <f aca="false">F421*(1+IF(G$3&lt;=$O$2,$D421,$D421-($D421-$I$400)*MIN(G$3-$O$2,$Q$2)/$Q$2))</f>
        <v>4590.40412725781</v>
      </c>
      <c r="H421" s="15" t="n">
        <f aca="false">G421*(1+IF(H$3&lt;=$O$2,$D421,$D421-($D421-$I$400)*MIN(H$3-$O$2,$Q$2)/$Q$2))</f>
        <v>5108.81077698438</v>
      </c>
      <c r="I421" s="15" t="n">
        <f aca="false">H421*(1+IF(I$3&lt;=$O$2,$D421,$D421-($D421-$I$400)*MIN(I$3-$O$2,$Q$2)/$Q$2))</f>
        <v>5685.76248005056</v>
      </c>
      <c r="J421" s="15" t="n">
        <f aca="false">I421*(1+IF(J$3&lt;=$O$2,$D421,$D421-($D421-$I$400)*MIN(J$3-$O$2,$Q$2)/$Q$2))</f>
        <v>6237.31638320727</v>
      </c>
      <c r="K421" s="15" t="n">
        <f aca="false">J421*(1+IF(K$3&lt;=$O$2,$D421,$D421-($D421-$I$400)*MIN(K$3-$O$2,$Q$2)/$Q$2))</f>
        <v>6743.03555815426</v>
      </c>
      <c r="L421" s="15" t="n">
        <f aca="false">K421*(1+IF(L$3&lt;=$O$2,$D421,$D421-($D421-$I$400)*MIN(L$3-$O$2,$Q$2)/$Q$2))</f>
        <v>7182.36504486842</v>
      </c>
      <c r="M421" s="15" t="n">
        <f aca="false">L421*(1+IF(M$3&lt;=$O$2,$D421,$D421-($D421-$I$400)*MIN(M$3-$O$2,$Q$2)/$Q$2))</f>
        <v>7535.92799924138</v>
      </c>
      <c r="N421" s="15" t="n">
        <f aca="false">M421*(1+IF(N$3&lt;=$O$2,$D421,$D421-($D421-$I$400)*MIN(N$3-$O$2,$Q$2)/$Q$2))</f>
        <v>7786.87440161612</v>
      </c>
      <c r="O421" s="15" t="n">
        <f aca="false">SUMPRODUCT(E421:N421,1/(1+$F$400)^$E$3:$N$3)*$E$2</f>
        <v>18710.6643066028</v>
      </c>
      <c r="P421" s="15" t="n">
        <f aca="false">N421*$E$2*(1+$I$400)/($F$400-$I$400)/(1+$F$400)^$N$3</f>
        <v>28246.3411455495</v>
      </c>
      <c r="Q421" s="15" t="n">
        <f aca="false">O421+P421</f>
        <v>46957.0054521524</v>
      </c>
      <c r="R421" s="15" t="n">
        <f aca="false">Q421-$G$2+$I$2</f>
        <v>40769.7054521524</v>
      </c>
      <c r="S421" s="42" t="n">
        <f aca="false">R421/$K$2</f>
        <v>560.793747622453</v>
      </c>
      <c r="T421" s="43" t="n">
        <f aca="false">S421-$M$2</f>
        <v>-0.00405155223722886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0.112932682037354</v>
      </c>
      <c r="C422" s="25" t="n">
        <f aca="false">IF(T421&gt;0,D421,C421)</f>
        <v>0.112934112548828</v>
      </c>
      <c r="D422" s="41" t="n">
        <f aca="false">(B422+C422)/2</f>
        <v>0.112933397293091</v>
      </c>
      <c r="E422" s="15" t="n">
        <f aca="false">$C$2*(1+IF(E$3&lt;=$O$2,$D422,$D422-($D422-$I$400)*MIN(E$3-$O$2,$Q$2)/$Q$2))</f>
        <v>3706.06821298599</v>
      </c>
      <c r="F422" s="15" t="n">
        <f aca="false">E422*(1+IF(F$3&lt;=$O$2,$D422,$D422-($D422-$I$400)*MIN(F$3-$O$2,$Q$2)/$Q$2))</f>
        <v>4124.60708687843</v>
      </c>
      <c r="G422" s="15" t="n">
        <f aca="false">F422*(1+IF(G$3&lt;=$O$2,$D422,$D422-($D422-$I$400)*MIN(G$3-$O$2,$Q$2)/$Q$2))</f>
        <v>4590.41297769878</v>
      </c>
      <c r="H422" s="15" t="n">
        <f aca="false">G422*(1+IF(H$3&lt;=$O$2,$D422,$D422-($D422-$I$400)*MIN(H$3-$O$2,$Q$2)/$Q$2))</f>
        <v>5108.82391024859</v>
      </c>
      <c r="I422" s="15" t="n">
        <f aca="false">H422*(1+IF(I$3&lt;=$O$2,$D422,$D422-($D422-$I$400)*MIN(I$3-$O$2,$Q$2)/$Q$2))</f>
        <v>5685.78075060514</v>
      </c>
      <c r="J422" s="15" t="n">
        <f aca="false">I422*(1+IF(J$3&lt;=$O$2,$D422,$D422-($D422-$I$400)*MIN(J$3-$O$2,$Q$2)/$Q$2))</f>
        <v>6237.33967954777</v>
      </c>
      <c r="K422" s="15" t="n">
        <f aca="false">J422*(1+IF(K$3&lt;=$O$2,$D422,$D422-($D422-$I$400)*MIN(K$3-$O$2,$Q$2)/$Q$2))</f>
        <v>6743.06342012874</v>
      </c>
      <c r="L422" s="15" t="n">
        <f aca="false">K422*(1+IF(L$3&lt;=$O$2,$D422,$D422-($D422-$I$400)*MIN(L$3-$O$2,$Q$2)/$Q$2))</f>
        <v>7182.39665134207</v>
      </c>
      <c r="M422" s="15" t="n">
        <f aca="false">L422*(1+IF(M$3&lt;=$O$2,$D422,$D422-($D422-$I$400)*MIN(M$3-$O$2,$Q$2)/$Q$2))</f>
        <v>7535.96218904234</v>
      </c>
      <c r="N422" s="15" t="n">
        <f aca="false">M422*(1+IF(N$3&lt;=$O$2,$D422,$D422-($D422-$I$400)*MIN(N$3-$O$2,$Q$2)/$Q$2))</f>
        <v>7786.90972993745</v>
      </c>
      <c r="O422" s="15" t="n">
        <f aca="false">SUMPRODUCT(E422:N422,1/(1+$F$400)^$E$3:$N$3)*$E$2</f>
        <v>18710.7221132833</v>
      </c>
      <c r="P422" s="15" t="n">
        <f aca="false">N422*$E$2*(1+$I$400)/($F$400-$I$400)/(1+$F$400)^$N$3</f>
        <v>28246.4692965591</v>
      </c>
      <c r="Q422" s="15" t="n">
        <f aca="false">O422+P422</f>
        <v>46957.1914098425</v>
      </c>
      <c r="R422" s="15" t="n">
        <f aca="false">Q422-$G$2+$I$2</f>
        <v>40769.8914098425</v>
      </c>
      <c r="S422" s="42" t="n">
        <f aca="false">R422/$K$2</f>
        <v>560.796305499897</v>
      </c>
      <c r="T422" s="43" t="n">
        <f aca="false">S422-$M$2</f>
        <v>-0.00149367479377815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0.112933397293091</v>
      </c>
      <c r="C423" s="25" t="n">
        <f aca="false">IF(T422&gt;0,D422,C422)</f>
        <v>0.112934112548828</v>
      </c>
      <c r="D423" s="41" t="n">
        <f aca="false">(B423+C423)/2</f>
        <v>0.112933754920959</v>
      </c>
      <c r="E423" s="15" t="n">
        <f aca="false">$C$2*(1+IF(E$3&lt;=$O$2,$D423,$D423-($D423-$I$400)*MIN(E$3-$O$2,$Q$2)/$Q$2))</f>
        <v>3706.0694038868</v>
      </c>
      <c r="F423" s="15" t="n">
        <f aca="false">E423*(1+IF(F$3&lt;=$O$2,$D423,$D423-($D423-$I$400)*MIN(F$3-$O$2,$Q$2)/$Q$2))</f>
        <v>4124.60973766541</v>
      </c>
      <c r="G423" s="15" t="n">
        <f aca="false">F423*(1+IF(G$3&lt;=$O$2,$D423,$D423-($D423-$I$400)*MIN(G$3-$O$2,$Q$2)/$Q$2))</f>
        <v>4590.41740292352</v>
      </c>
      <c r="H423" s="15" t="n">
        <f aca="false">G423*(1+IF(H$3&lt;=$O$2,$D423,$D423-($D423-$I$400)*MIN(H$3-$O$2,$Q$2)/$Q$2))</f>
        <v>5108.83047689019</v>
      </c>
      <c r="I423" s="15" t="n">
        <f aca="false">H423*(1+IF(I$3&lt;=$O$2,$D423,$D423-($D423-$I$400)*MIN(I$3-$O$2,$Q$2)/$Q$2))</f>
        <v>5685.78988590004</v>
      </c>
      <c r="J423" s="15" t="n">
        <f aca="false">I423*(1+IF(J$3&lt;=$O$2,$D423,$D423-($D423-$I$400)*MIN(J$3-$O$2,$Q$2)/$Q$2))</f>
        <v>6237.35132774518</v>
      </c>
      <c r="K423" s="15" t="n">
        <f aca="false">J423*(1+IF(K$3&lt;=$O$2,$D423,$D423-($D423-$I$400)*MIN(K$3-$O$2,$Q$2)/$Q$2))</f>
        <v>6743.07735115284</v>
      </c>
      <c r="L423" s="15" t="n">
        <f aca="false">K423*(1+IF(L$3&lt;=$O$2,$D423,$D423-($D423-$I$400)*MIN(L$3-$O$2,$Q$2)/$Q$2))</f>
        <v>7182.41245462414</v>
      </c>
      <c r="M423" s="15" t="n">
        <f aca="false">L423*(1+IF(M$3&lt;=$O$2,$D423,$D423-($D423-$I$400)*MIN(M$3-$O$2,$Q$2)/$Q$2))</f>
        <v>7535.97928399368</v>
      </c>
      <c r="N423" s="15" t="n">
        <f aca="false">M423*(1+IF(N$3&lt;=$O$2,$D423,$D423-($D423-$I$400)*MIN(N$3-$O$2,$Q$2)/$Q$2))</f>
        <v>7786.92739415067</v>
      </c>
      <c r="O423" s="15" t="n">
        <f aca="false">SUMPRODUCT(E423:N423,1/(1+$F$400)^$E$3:$N$3)*$E$2</f>
        <v>18710.75101669</v>
      </c>
      <c r="P423" s="15" t="n">
        <f aca="false">N423*$E$2*(1+$I$400)/($F$400-$I$400)/(1+$F$400)^$N$3</f>
        <v>28246.5333722546</v>
      </c>
      <c r="Q423" s="15" t="n">
        <f aca="false">O423+P423</f>
        <v>46957.2843889446</v>
      </c>
      <c r="R423" s="15" t="n">
        <f aca="false">Q423-$G$2+$I$2</f>
        <v>40769.9843889446</v>
      </c>
      <c r="S423" s="42" t="n">
        <f aca="false">R423/$K$2</f>
        <v>560.797584442154</v>
      </c>
      <c r="T423" s="43" t="n">
        <f aca="false">S423-$M$2</f>
        <v>-0.000214732536619522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0.112933754920959</v>
      </c>
      <c r="C424" s="25" t="n">
        <f aca="false">IF(T423&gt;0,D423,C423)</f>
        <v>0.112934112548828</v>
      </c>
      <c r="D424" s="41" t="n">
        <f aca="false">(B424+C424)/2</f>
        <v>0.112933933734894</v>
      </c>
      <c r="E424" s="15" t="n">
        <f aca="false">$C$2*(1+IF(E$3&lt;=$O$2,$D424,$D424-($D424-$I$400)*MIN(E$3-$O$2,$Q$2)/$Q$2))</f>
        <v>3706.0699993372</v>
      </c>
      <c r="F424" s="15" t="n">
        <f aca="false">E424*(1+IF(F$3&lt;=$O$2,$D424,$D424-($D424-$I$400)*MIN(F$3-$O$2,$Q$2)/$Q$2))</f>
        <v>4124.61106305922</v>
      </c>
      <c r="G424" s="15" t="n">
        <f aca="false">F424*(1+IF(G$3&lt;=$O$2,$D424,$D424-($D424-$I$400)*MIN(G$3-$O$2,$Q$2)/$Q$2))</f>
        <v>4590.41961553696</v>
      </c>
      <c r="H424" s="15" t="n">
        <f aca="false">G424*(1+IF(H$3&lt;=$O$2,$D424,$D424-($D424-$I$400)*MIN(H$3-$O$2,$Q$2)/$Q$2))</f>
        <v>5108.83376021337</v>
      </c>
      <c r="I424" s="15" t="n">
        <f aca="false">H424*(1+IF(I$3&lt;=$O$2,$D424,$D424-($D424-$I$400)*MIN(I$3-$O$2,$Q$2)/$Q$2))</f>
        <v>5685.79445355189</v>
      </c>
      <c r="J424" s="15" t="n">
        <f aca="false">I424*(1+IF(J$3&lt;=$O$2,$D424,$D424-($D424-$I$400)*MIN(J$3-$O$2,$Q$2)/$Q$2))</f>
        <v>6237.35715185067</v>
      </c>
      <c r="K424" s="15" t="n">
        <f aca="false">J424*(1+IF(K$3&lt;=$O$2,$D424,$D424-($D424-$I$400)*MIN(K$3-$O$2,$Q$2)/$Q$2))</f>
        <v>6743.08431667411</v>
      </c>
      <c r="L424" s="15" t="n">
        <f aca="false">K424*(1+IF(L$3&lt;=$O$2,$D424,$D424-($D424-$I$400)*MIN(L$3-$O$2,$Q$2)/$Q$2))</f>
        <v>7182.42035627649</v>
      </c>
      <c r="M424" s="15" t="n">
        <f aca="false">L424*(1+IF(M$3&lt;=$O$2,$D424,$D424-($D424-$I$400)*MIN(M$3-$O$2,$Q$2)/$Q$2))</f>
        <v>7535.98783148207</v>
      </c>
      <c r="N424" s="15" t="n">
        <f aca="false">M424*(1+IF(N$3&lt;=$O$2,$D424,$D424-($D424-$I$400)*MIN(N$3-$O$2,$Q$2)/$Q$2))</f>
        <v>7786.93622627042</v>
      </c>
      <c r="O424" s="15" t="n">
        <f aca="false">SUMPRODUCT(E424:N424,1/(1+$F$400)^$E$3:$N$3)*$E$2</f>
        <v>18710.7654684099</v>
      </c>
      <c r="P424" s="15" t="n">
        <f aca="false">N424*$E$2*(1+$I$400)/($F$400-$I$400)/(1+$F$400)^$N$3</f>
        <v>28246.56541015</v>
      </c>
      <c r="Q424" s="15" t="n">
        <f aca="false">O424+P424</f>
        <v>46957.3308785599</v>
      </c>
      <c r="R424" s="15" t="n">
        <f aca="false">Q424-$G$2+$I$2</f>
        <v>40770.0308785599</v>
      </c>
      <c r="S424" s="42" t="n">
        <f aca="false">R424/$K$2</f>
        <v>560.798223914166</v>
      </c>
      <c r="T424" s="43" t="n">
        <f aca="false">S424-$M$2</f>
        <v>0.000424739475988645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0.112933754920959</v>
      </c>
      <c r="C425" s="25" t="n">
        <f aca="false">IF(T424&gt;0,D424,C424)</f>
        <v>0.112933933734894</v>
      </c>
      <c r="D425" s="41" t="n">
        <f aca="false">(B425+C425)/2</f>
        <v>0.112933844327927</v>
      </c>
      <c r="E425" s="15" t="n">
        <f aca="false">$C$2*(1+IF(E$3&lt;=$O$2,$D425,$D425-($D425-$I$400)*MIN(E$3-$O$2,$Q$2)/$Q$2))</f>
        <v>3706.069701612</v>
      </c>
      <c r="F425" s="15" t="n">
        <f aca="false">E425*(1+IF(F$3&lt;=$O$2,$D425,$D425-($D425-$I$400)*MIN(F$3-$O$2,$Q$2)/$Q$2))</f>
        <v>4124.61040036229</v>
      </c>
      <c r="G425" s="15" t="n">
        <f aca="false">F425*(1+IF(G$3&lt;=$O$2,$D425,$D425-($D425-$I$400)*MIN(G$3-$O$2,$Q$2)/$Q$2))</f>
        <v>4590.41850923015</v>
      </c>
      <c r="H425" s="15" t="n">
        <f aca="false">G425*(1+IF(H$3&lt;=$O$2,$D425,$D425-($D425-$I$400)*MIN(H$3-$O$2,$Q$2)/$Q$2))</f>
        <v>5108.83211855158</v>
      </c>
      <c r="I425" s="15" t="n">
        <f aca="false">H425*(1+IF(I$3&lt;=$O$2,$D425,$D425-($D425-$I$400)*MIN(I$3-$O$2,$Q$2)/$Q$2))</f>
        <v>5685.7921697256</v>
      </c>
      <c r="J425" s="15" t="n">
        <f aca="false">I425*(1+IF(J$3&lt;=$O$2,$D425,$D425-($D425-$I$400)*MIN(J$3-$O$2,$Q$2)/$Q$2))</f>
        <v>6237.35423979736</v>
      </c>
      <c r="K425" s="15" t="n">
        <f aca="false">J425*(1+IF(K$3&lt;=$O$2,$D425,$D425-($D425-$I$400)*MIN(K$3-$O$2,$Q$2)/$Q$2))</f>
        <v>6743.08083391271</v>
      </c>
      <c r="L425" s="15" t="n">
        <f aca="false">K425*(1+IF(L$3&lt;=$O$2,$D425,$D425-($D425-$I$400)*MIN(L$3-$O$2,$Q$2)/$Q$2))</f>
        <v>7182.41640544937</v>
      </c>
      <c r="M425" s="15" t="n">
        <f aca="false">L425*(1+IF(M$3&lt;=$O$2,$D425,$D425-($D425-$I$400)*MIN(M$3-$O$2,$Q$2)/$Q$2))</f>
        <v>7535.98355773682</v>
      </c>
      <c r="N425" s="15" t="n">
        <f aca="false">M425*(1+IF(N$3&lt;=$O$2,$D425,$D425-($D425-$I$400)*MIN(N$3-$O$2,$Q$2)/$Q$2))</f>
        <v>7786.93181020946</v>
      </c>
      <c r="O425" s="15" t="n">
        <f aca="false">SUMPRODUCT(E425:N425,1/(1+$F$400)^$E$3:$N$3)*$E$2</f>
        <v>18710.7582425486</v>
      </c>
      <c r="P425" s="15" t="n">
        <f aca="false">N425*$E$2*(1+$I$400)/($F$400-$I$400)/(1+$F$400)^$N$3</f>
        <v>28246.5493911983</v>
      </c>
      <c r="Q425" s="15" t="n">
        <f aca="false">O425+P425</f>
        <v>46957.3076337469</v>
      </c>
      <c r="R425" s="15" t="n">
        <f aca="false">Q425-$G$2+$I$2</f>
        <v>40770.0076337469</v>
      </c>
      <c r="S425" s="42" t="n">
        <f aca="false">R425/$K$2</f>
        <v>560.797904178087</v>
      </c>
      <c r="T425" s="43" t="n">
        <f aca="false">S425-$M$2</f>
        <v>0.000105003396242864</v>
      </c>
    </row>
    <row r="427" customFormat="false" ht="15" hidden="false" customHeight="false" outlineLevel="0" collapsed="false">
      <c r="A427" s="38" t="s">
        <v>196</v>
      </c>
      <c r="E427" s="5" t="s">
        <v>11</v>
      </c>
      <c r="F427" s="12" t="n">
        <f aca="false">Sensitivity!$B$12</f>
        <v>0.0953306228759286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162</v>
      </c>
      <c r="B428" s="28" t="s">
        <v>163</v>
      </c>
      <c r="C428" s="28" t="s">
        <v>164</v>
      </c>
      <c r="D428" s="28" t="s">
        <v>165</v>
      </c>
      <c r="E428" s="28" t="s">
        <v>166</v>
      </c>
      <c r="F428" s="28" t="s">
        <v>167</v>
      </c>
      <c r="G428" s="28" t="s">
        <v>168</v>
      </c>
      <c r="H428" s="28" t="s">
        <v>169</v>
      </c>
      <c r="I428" s="28" t="s">
        <v>170</v>
      </c>
      <c r="J428" s="28" t="s">
        <v>171</v>
      </c>
      <c r="K428" s="28" t="s">
        <v>172</v>
      </c>
      <c r="L428" s="28" t="s">
        <v>173</v>
      </c>
      <c r="M428" s="28" t="s">
        <v>174</v>
      </c>
      <c r="N428" s="28" t="s">
        <v>175</v>
      </c>
      <c r="O428" s="28" t="s">
        <v>176</v>
      </c>
      <c r="P428" s="28" t="s">
        <v>177</v>
      </c>
      <c r="Q428" s="28" t="s">
        <v>178</v>
      </c>
      <c r="R428" s="28" t="s">
        <v>179</v>
      </c>
      <c r="S428" s="28" t="s">
        <v>180</v>
      </c>
      <c r="T428" s="28" t="s">
        <v>181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4162.5</v>
      </c>
      <c r="F429" s="15" t="n">
        <f aca="false">E429*(1+IF(F$3&lt;=$O$2,$D429,$D429-($D429-$I$427)*MIN(F$3-$O$2,$Q$2)/$Q$2))</f>
        <v>5203.125</v>
      </c>
      <c r="G429" s="15" t="n">
        <f aca="false">F429*(1+IF(G$3&lt;=$O$2,$D429,$D429-($D429-$I$427)*MIN(G$3-$O$2,$Q$2)/$Q$2))</f>
        <v>6503.90625</v>
      </c>
      <c r="H429" s="15" t="n">
        <f aca="false">G429*(1+IF(H$3&lt;=$O$2,$D429,$D429-($D429-$I$427)*MIN(H$3-$O$2,$Q$2)/$Q$2))</f>
        <v>8129.8828125</v>
      </c>
      <c r="I429" s="15" t="n">
        <f aca="false">H429*(1+IF(I$3&lt;=$O$2,$D429,$D429-($D429-$I$427)*MIN(I$3-$O$2,$Q$2)/$Q$2))</f>
        <v>10162.353515625</v>
      </c>
      <c r="J429" s="15" t="n">
        <f aca="false">I429*(1+IF(J$3&lt;=$O$2,$D429,$D429-($D429-$I$427)*MIN(J$3-$O$2,$Q$2)/$Q$2))</f>
        <v>12272.6678466797</v>
      </c>
      <c r="K429" s="15" t="n">
        <f aca="false">J429*(1+IF(K$3&lt;=$O$2,$D429,$D429-($D429-$I$427)*MIN(K$3-$O$2,$Q$2)/$Q$2))</f>
        <v>14301.5852950928</v>
      </c>
      <c r="L429" s="15" t="n">
        <f aca="false">K429*(1+IF(L$3&lt;=$O$2,$D429,$D429-($D429-$I$427)*MIN(L$3-$O$2,$Q$2)/$Q$2))</f>
        <v>16060.3942546833</v>
      </c>
      <c r="M429" s="15" t="n">
        <f aca="false">L429*(1+IF(M$3&lt;=$O$2,$D429,$D429-($D429-$I$427)*MIN(M$3-$O$2,$Q$2)/$Q$2))</f>
        <v>17355.5044473809</v>
      </c>
      <c r="N429" s="15" t="n">
        <f aca="false">M429*(1+IF(N$3&lt;=$O$2,$D429,$D429-($D429-$I$427)*MIN(N$3-$O$2,$Q$2)/$Q$2))</f>
        <v>18020.2202677156</v>
      </c>
      <c r="O429" s="15" t="n">
        <f aca="false">SUMPRODUCT(E429:N429,1/(1+$F$427)^$E$3:$N$3)*$E$2</f>
        <v>33828.7677076913</v>
      </c>
      <c r="P429" s="15" t="n">
        <f aca="false">N429*$E$2*(1+$I$427)/($F$427-$I$427)/(1+$F$427)^$N$3</f>
        <v>71441.9956042792</v>
      </c>
      <c r="Q429" s="15" t="n">
        <f aca="false">O429+P429</f>
        <v>105270.76331197</v>
      </c>
      <c r="R429" s="15" t="n">
        <f aca="false">Q429-$G$2+$I$2</f>
        <v>99083.4633119704</v>
      </c>
      <c r="S429" s="42" t="n">
        <f aca="false">R429/$K$2</f>
        <v>1362.90871130633</v>
      </c>
      <c r="T429" s="43" t="n">
        <f aca="false">S429-$M$2</f>
        <v>802.110912131643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2913.75</v>
      </c>
      <c r="F430" s="15" t="n">
        <f aca="false">E430*(1+IF(F$3&lt;=$O$2,$D430,$D430-($D430-$I$427)*MIN(F$3-$O$2,$Q$2)/$Q$2))</f>
        <v>2549.53125</v>
      </c>
      <c r="G430" s="15" t="n">
        <f aca="false">F430*(1+IF(G$3&lt;=$O$2,$D430,$D430-($D430-$I$427)*MIN(G$3-$O$2,$Q$2)/$Q$2))</f>
        <v>2230.83984375</v>
      </c>
      <c r="H430" s="15" t="n">
        <f aca="false">G430*(1+IF(H$3&lt;=$O$2,$D430,$D430-($D430-$I$427)*MIN(H$3-$O$2,$Q$2)/$Q$2))</f>
        <v>1951.98486328125</v>
      </c>
      <c r="I430" s="15" t="n">
        <f aca="false">H430*(1+IF(I$3&lt;=$O$2,$D430,$D430-($D430-$I$427)*MIN(I$3-$O$2,$Q$2)/$Q$2))</f>
        <v>1707.98675537109</v>
      </c>
      <c r="J430" s="15" t="n">
        <f aca="false">I430*(1+IF(J$3&lt;=$O$2,$D430,$D430-($D430-$I$427)*MIN(J$3-$O$2,$Q$2)/$Q$2))</f>
        <v>1550.27125838013</v>
      </c>
      <c r="K430" s="15" t="n">
        <f aca="false">J430*(1+IF(K$3&lt;=$O$2,$D430,$D430-($D430-$I$427)*MIN(K$3-$O$2,$Q$2)/$Q$2))</f>
        <v>1457.75106968</v>
      </c>
      <c r="L430" s="15" t="n">
        <f aca="false">K430*(1+IF(L$3&lt;=$O$2,$D430,$D430-($D430-$I$427)*MIN(L$3-$O$2,$Q$2)/$Q$2))</f>
        <v>1418.36263577725</v>
      </c>
      <c r="M430" s="15" t="n">
        <f aca="false">L430*(1+IF(M$3&lt;=$O$2,$D430,$D430-($D430-$I$427)*MIN(M$3-$O$2,$Q$2)/$Q$2))</f>
        <v>1426.36220104303</v>
      </c>
      <c r="N430" s="15" t="n">
        <f aca="false">M430*(1+IF(N$3&lt;=$O$2,$D430,$D430-($D430-$I$427)*MIN(N$3-$O$2,$Q$2)/$Q$2))</f>
        <v>1480.99187334298</v>
      </c>
      <c r="O430" s="15" t="n">
        <f aca="false">SUMPRODUCT(E430:N430,1/(1+$F$427)^$E$3:$N$3)*$E$2</f>
        <v>6765.88094535253</v>
      </c>
      <c r="P430" s="15" t="n">
        <f aca="false">N430*$E$2*(1+$I$427)/($F$427-$I$427)/(1+$F$427)^$N$3</f>
        <v>5871.46068879628</v>
      </c>
      <c r="Q430" s="15" t="n">
        <f aca="false">O430+P430</f>
        <v>12637.3416341488</v>
      </c>
      <c r="R430" s="15" t="n">
        <f aca="false">Q430-$G$2+$I$2</f>
        <v>6450.04163414881</v>
      </c>
      <c r="S430" s="42" t="n">
        <f aca="false">R430/$K$2</f>
        <v>88.7213429731611</v>
      </c>
      <c r="T430" s="43" t="n">
        <f aca="false">S430-$M$2</f>
        <v>-472.076456201529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3538.125</v>
      </c>
      <c r="F431" s="15" t="n">
        <f aca="false">E431*(1+IF(F$3&lt;=$O$2,$D431,$D431-($D431-$I$427)*MIN(F$3-$O$2,$Q$2)/$Q$2))</f>
        <v>3759.2578125</v>
      </c>
      <c r="G431" s="15" t="n">
        <f aca="false">F431*(1+IF(G$3&lt;=$O$2,$D431,$D431-($D431-$I$427)*MIN(G$3-$O$2,$Q$2)/$Q$2))</f>
        <v>3994.21142578125</v>
      </c>
      <c r="H431" s="15" t="n">
        <f aca="false">G431*(1+IF(H$3&lt;=$O$2,$D431,$D431-($D431-$I$427)*MIN(H$3-$O$2,$Q$2)/$Q$2))</f>
        <v>4243.84963989258</v>
      </c>
      <c r="I431" s="15" t="n">
        <f aca="false">H431*(1+IF(I$3&lt;=$O$2,$D431,$D431-($D431-$I$427)*MIN(I$3-$O$2,$Q$2)/$Q$2))</f>
        <v>4509.09024238586</v>
      </c>
      <c r="J431" s="15" t="n">
        <f aca="false">I431*(1+IF(J$3&lt;=$O$2,$D431,$D431-($D431-$I$427)*MIN(J$3-$O$2,$Q$2)/$Q$2))</f>
        <v>4769.08438576183</v>
      </c>
      <c r="K431" s="15" t="n">
        <f aca="false">J431*(1+IF(K$3&lt;=$O$2,$D431,$D431-($D431-$I$427)*MIN(K$3-$O$2,$Q$2)/$Q$2))</f>
        <v>5020.98742301777</v>
      </c>
      <c r="L431" s="15" t="n">
        <f aca="false">K431*(1+IF(L$3&lt;=$O$2,$D431,$D431-($D431-$I$427)*MIN(L$3-$O$2,$Q$2)/$Q$2))</f>
        <v>5261.89439957417</v>
      </c>
      <c r="M431" s="15" t="n">
        <f aca="false">L431*(1+IF(M$3&lt;=$O$2,$D431,$D431-($D431-$I$427)*MIN(M$3-$O$2,$Q$2)/$Q$2))</f>
        <v>5488.8925239718</v>
      </c>
      <c r="N431" s="15" t="n">
        <f aca="false">M431*(1+IF(N$3&lt;=$O$2,$D431,$D431-($D431-$I$427)*MIN(N$3-$O$2,$Q$2)/$Q$2))</f>
        <v>5699.11710763992</v>
      </c>
      <c r="O431" s="15" t="n">
        <f aca="false">SUMPRODUCT(E431:N431,1/(1+$F$427)^$E$3:$N$3)*$E$2</f>
        <v>15090.3902343858</v>
      </c>
      <c r="P431" s="15" t="n">
        <f aca="false">N431*$E$2*(1+$I$427)/($F$427-$I$427)/(1+$F$427)^$N$3</f>
        <v>22594.4130151244</v>
      </c>
      <c r="Q431" s="15" t="n">
        <f aca="false">O431+P431</f>
        <v>37684.8032495102</v>
      </c>
      <c r="R431" s="15" t="n">
        <f aca="false">Q431-$G$2+$I$2</f>
        <v>31497.5032495102</v>
      </c>
      <c r="S431" s="42" t="n">
        <f aca="false">R431/$K$2</f>
        <v>433.253139608118</v>
      </c>
      <c r="T431" s="43" t="n">
        <f aca="false">S431-$M$2</f>
        <v>-127.544659566573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0.0625</v>
      </c>
      <c r="C432" s="25" t="n">
        <f aca="false">IF(T431&gt;0,D431,C431)</f>
        <v>0.25</v>
      </c>
      <c r="D432" s="41" t="n">
        <f aca="false">(B432+C432)/2</f>
        <v>0.15625</v>
      </c>
      <c r="E432" s="15" t="n">
        <f aca="false">$C$2*(1+IF(E$3&lt;=$O$2,$D432,$D432-($D432-$I$427)*MIN(E$3-$O$2,$Q$2)/$Q$2))</f>
        <v>3850.3125</v>
      </c>
      <c r="F432" s="15" t="n">
        <f aca="false">E432*(1+IF(F$3&lt;=$O$2,$D432,$D432-($D432-$I$427)*MIN(F$3-$O$2,$Q$2)/$Q$2))</f>
        <v>4451.923828125</v>
      </c>
      <c r="G432" s="15" t="n">
        <f aca="false">F432*(1+IF(G$3&lt;=$O$2,$D432,$D432-($D432-$I$427)*MIN(G$3-$O$2,$Q$2)/$Q$2))</f>
        <v>5147.53692626953</v>
      </c>
      <c r="H432" s="15" t="n">
        <f aca="false">G432*(1+IF(H$3&lt;=$O$2,$D432,$D432-($D432-$I$427)*MIN(H$3-$O$2,$Q$2)/$Q$2))</f>
        <v>5951.83957099915</v>
      </c>
      <c r="I432" s="15" t="n">
        <f aca="false">H432*(1+IF(I$3&lt;=$O$2,$D432,$D432-($D432-$I$427)*MIN(I$3-$O$2,$Q$2)/$Q$2))</f>
        <v>6881.81450396776</v>
      </c>
      <c r="J432" s="15" t="n">
        <f aca="false">I432*(1+IF(J$3&lt;=$O$2,$D432,$D432-($D432-$I$427)*MIN(J$3-$O$2,$Q$2)/$Q$2))</f>
        <v>7794.75601606413</v>
      </c>
      <c r="K432" s="15" t="n">
        <f aca="false">J432*(1+IF(K$3&lt;=$O$2,$D432,$D432-($D432-$I$427)*MIN(K$3-$O$2,$Q$2)/$Q$2))</f>
        <v>8644.93005473624</v>
      </c>
      <c r="L432" s="15" t="n">
        <f aca="false">K432*(1+IF(L$3&lt;=$O$2,$D432,$D432-($D432-$I$427)*MIN(L$3-$O$2,$Q$2)/$Q$2))</f>
        <v>9383.89867581509</v>
      </c>
      <c r="M432" s="15" t="n">
        <f aca="false">L432*(1+IF(M$3&lt;=$O$2,$D432,$D432-($D432-$I$427)*MIN(M$3-$O$2,$Q$2)/$Q$2))</f>
        <v>9964.66816486129</v>
      </c>
      <c r="N432" s="15" t="n">
        <f aca="false">M432*(1+IF(N$3&lt;=$O$2,$D432,$D432-($D432-$I$427)*MIN(N$3-$O$2,$Q$2)/$Q$2))</f>
        <v>10346.3149555755</v>
      </c>
      <c r="O432" s="15" t="n">
        <f aca="false">SUMPRODUCT(E432:N432,1/(1+$F$427)^$E$3:$N$3)*$E$2</f>
        <v>22631.0065978711</v>
      </c>
      <c r="P432" s="15" t="n">
        <f aca="false">N432*$E$2*(1+$I$427)/($F$427-$I$427)/(1+$F$427)^$N$3</f>
        <v>41018.4435370618</v>
      </c>
      <c r="Q432" s="15" t="n">
        <f aca="false">O432+P432</f>
        <v>63649.4501349329</v>
      </c>
      <c r="R432" s="15" t="n">
        <f aca="false">Q432-$G$2+$I$2</f>
        <v>57462.1501349329</v>
      </c>
      <c r="S432" s="42" t="n">
        <f aca="false">R432/$K$2</f>
        <v>790.400964717096</v>
      </c>
      <c r="T432" s="43" t="n">
        <f aca="false">S432-$M$2</f>
        <v>229.603165542406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0.0625</v>
      </c>
      <c r="C433" s="25" t="n">
        <f aca="false">IF(T432&gt;0,D432,C432)</f>
        <v>0.15625</v>
      </c>
      <c r="D433" s="41" t="n">
        <f aca="false">(B433+C433)/2</f>
        <v>0.109375</v>
      </c>
      <c r="E433" s="15" t="n">
        <f aca="false">$C$2*(1+IF(E$3&lt;=$O$2,$D433,$D433-($D433-$I$427)*MIN(E$3-$O$2,$Q$2)/$Q$2))</f>
        <v>3694.21875</v>
      </c>
      <c r="F433" s="15" t="n">
        <f aca="false">E433*(1+IF(F$3&lt;=$O$2,$D433,$D433-($D433-$I$427)*MIN(F$3-$O$2,$Q$2)/$Q$2))</f>
        <v>4098.27392578125</v>
      </c>
      <c r="G433" s="15" t="n">
        <f aca="false">F433*(1+IF(G$3&lt;=$O$2,$D433,$D433-($D433-$I$427)*MIN(G$3-$O$2,$Q$2)/$Q$2))</f>
        <v>4546.52263641357</v>
      </c>
      <c r="H433" s="15" t="n">
        <f aca="false">G433*(1+IF(H$3&lt;=$O$2,$D433,$D433-($D433-$I$427)*MIN(H$3-$O$2,$Q$2)/$Q$2))</f>
        <v>5043.79854977131</v>
      </c>
      <c r="I433" s="15" t="n">
        <f aca="false">H433*(1+IF(I$3&lt;=$O$2,$D433,$D433-($D433-$I$427)*MIN(I$3-$O$2,$Q$2)/$Q$2))</f>
        <v>5595.46401615255</v>
      </c>
      <c r="J433" s="15" t="n">
        <f aca="false">I433*(1+IF(J$3&lt;=$O$2,$D433,$D433-($D433-$I$427)*MIN(J$3-$O$2,$Q$2)/$Q$2))</f>
        <v>6127.92837192962</v>
      </c>
      <c r="K433" s="15" t="n">
        <f aca="false">J433*(1+IF(K$3&lt;=$O$2,$D433,$D433-($D433-$I$427)*MIN(K$3-$O$2,$Q$2)/$Q$2))</f>
        <v>6623.95353399547</v>
      </c>
      <c r="L433" s="15" t="n">
        <f aca="false">K433*(1+IF(L$3&lt;=$O$2,$D433,$D433-($D433-$I$427)*MIN(L$3-$O$2,$Q$2)/$Q$2))</f>
        <v>7065.96995331898</v>
      </c>
      <c r="M433" s="15" t="n">
        <f aca="false">L433*(1+IF(M$3&lt;=$O$2,$D433,$D433-($D433-$I$427)*MIN(M$3-$O$2,$Q$2)/$Q$2))</f>
        <v>7437.03936541753</v>
      </c>
      <c r="N433" s="15" t="n">
        <f aca="false">M433*(1+IF(N$3&lt;=$O$2,$D433,$D433-($D433-$I$427)*MIN(N$3-$O$2,$Q$2)/$Q$2))</f>
        <v>7721.87797311302</v>
      </c>
      <c r="O433" s="15" t="n">
        <f aca="false">SUMPRODUCT(E433:N433,1/(1+$F$427)^$E$3:$N$3)*$E$2</f>
        <v>18482.8930657948</v>
      </c>
      <c r="P433" s="15" t="n">
        <f aca="false">N433*$E$2*(1+$I$427)/($F$427-$I$427)/(1+$F$427)^$N$3</f>
        <v>30613.7418974986</v>
      </c>
      <c r="Q433" s="15" t="n">
        <f aca="false">O433+P433</f>
        <v>49096.6349632934</v>
      </c>
      <c r="R433" s="15" t="n">
        <f aca="false">Q433-$G$2+$I$2</f>
        <v>42909.3349632934</v>
      </c>
      <c r="S433" s="42" t="n">
        <f aca="false">R433/$K$2</f>
        <v>590.224690004036</v>
      </c>
      <c r="T433" s="43" t="n">
        <f aca="false">S433-$M$2</f>
        <v>29.4268908293451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0.0625</v>
      </c>
      <c r="C434" s="25" t="n">
        <f aca="false">IF(T433&gt;0,D433,C433)</f>
        <v>0.109375</v>
      </c>
      <c r="D434" s="41" t="n">
        <f aca="false">(B434+C434)/2</f>
        <v>0.0859375</v>
      </c>
      <c r="E434" s="15" t="n">
        <f aca="false">$C$2*(1+IF(E$3&lt;=$O$2,$D434,$D434-($D434-$I$427)*MIN(E$3-$O$2,$Q$2)/$Q$2))</f>
        <v>3616.171875</v>
      </c>
      <c r="F434" s="15" t="n">
        <f aca="false">E434*(1+IF(F$3&lt;=$O$2,$D434,$D434-($D434-$I$427)*MIN(F$3-$O$2,$Q$2)/$Q$2))</f>
        <v>3926.93664550781</v>
      </c>
      <c r="G434" s="15" t="n">
        <f aca="false">F434*(1+IF(G$3&lt;=$O$2,$D434,$D434-($D434-$I$427)*MIN(G$3-$O$2,$Q$2)/$Q$2))</f>
        <v>4264.40776348114</v>
      </c>
      <c r="H434" s="15" t="n">
        <f aca="false">G434*(1+IF(H$3&lt;=$O$2,$D434,$D434-($D434-$I$427)*MIN(H$3-$O$2,$Q$2)/$Q$2))</f>
        <v>4630.8803056553</v>
      </c>
      <c r="I434" s="15" t="n">
        <f aca="false">H434*(1+IF(I$3&lt;=$O$2,$D434,$D434-($D434-$I$427)*MIN(I$3-$O$2,$Q$2)/$Q$2))</f>
        <v>5028.84658192255</v>
      </c>
      <c r="J434" s="15" t="n">
        <f aca="false">I434*(1+IF(J$3&lt;=$O$2,$D434,$D434-($D434-$I$427)*MIN(J$3-$O$2,$Q$2)/$Q$2))</f>
        <v>5413.10074924726</v>
      </c>
      <c r="K434" s="15" t="n">
        <f aca="false">J434*(1+IF(K$3&lt;=$O$2,$D434,$D434-($D434-$I$427)*MIN(K$3-$O$2,$Q$2)/$Q$2))</f>
        <v>5775.14246010879</v>
      </c>
      <c r="L434" s="15" t="n">
        <f aca="false">K434*(1+IF(L$3&lt;=$O$2,$D434,$D434-($D434-$I$427)*MIN(L$3-$O$2,$Q$2)/$Q$2))</f>
        <v>6106.37575590832</v>
      </c>
      <c r="M434" s="15" t="n">
        <f aca="false">L434*(1+IF(M$3&lt;=$O$2,$D434,$D434-($D434-$I$427)*MIN(M$3-$O$2,$Q$2)/$Q$2))</f>
        <v>6398.42844237403</v>
      </c>
      <c r="N434" s="15" t="n">
        <f aca="false">M434*(1+IF(N$3&lt;=$O$2,$D434,$D434-($D434-$I$427)*MIN(N$3-$O$2,$Q$2)/$Q$2))</f>
        <v>6643.48825171695</v>
      </c>
      <c r="O434" s="15" t="n">
        <f aca="false">SUMPRODUCT(E434:N434,1/(1+$F$427)^$E$3:$N$3)*$E$2</f>
        <v>16700.7861574415</v>
      </c>
      <c r="P434" s="15" t="n">
        <f aca="false">N434*$E$2*(1+$I$427)/($F$427-$I$427)/(1+$F$427)^$N$3</f>
        <v>26338.4160362658</v>
      </c>
      <c r="Q434" s="15" t="n">
        <f aca="false">O434+P434</f>
        <v>43039.2021937072</v>
      </c>
      <c r="R434" s="15" t="n">
        <f aca="false">Q434-$G$2+$I$2</f>
        <v>36851.9021937072</v>
      </c>
      <c r="S434" s="42" t="n">
        <f aca="false">R434/$K$2</f>
        <v>506.9037440675</v>
      </c>
      <c r="T434" s="43" t="n">
        <f aca="false">S434-$M$2</f>
        <v>-53.8940551071906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0.0859375</v>
      </c>
      <c r="C435" s="25" t="n">
        <f aca="false">IF(T434&gt;0,D434,C434)</f>
        <v>0.109375</v>
      </c>
      <c r="D435" s="41" t="n">
        <f aca="false">(B435+C435)/2</f>
        <v>0.09765625</v>
      </c>
      <c r="E435" s="15" t="n">
        <f aca="false">$C$2*(1+IF(E$3&lt;=$O$2,$D435,$D435-($D435-$I$427)*MIN(E$3-$O$2,$Q$2)/$Q$2))</f>
        <v>3655.1953125</v>
      </c>
      <c r="F435" s="15" t="n">
        <f aca="false">E435*(1+IF(F$3&lt;=$O$2,$D435,$D435-($D435-$I$427)*MIN(F$3-$O$2,$Q$2)/$Q$2))</f>
        <v>4012.14797973633</v>
      </c>
      <c r="G435" s="15" t="n">
        <f aca="false">F435*(1+IF(G$3&lt;=$O$2,$D435,$D435-($D435-$I$427)*MIN(G$3-$O$2,$Q$2)/$Q$2))</f>
        <v>4403.95930588245</v>
      </c>
      <c r="H435" s="15" t="n">
        <f aca="false">G435*(1+IF(H$3&lt;=$O$2,$D435,$D435-($D435-$I$427)*MIN(H$3-$O$2,$Q$2)/$Q$2))</f>
        <v>4834.03345684754</v>
      </c>
      <c r="I435" s="15" t="n">
        <f aca="false">H435*(1+IF(I$3&lt;=$O$2,$D435,$D435-($D435-$I$427)*MIN(I$3-$O$2,$Q$2)/$Q$2))</f>
        <v>5306.10703661781</v>
      </c>
      <c r="J435" s="15" t="n">
        <f aca="false">I435*(1+IF(J$3&lt;=$O$2,$D435,$D435-($D435-$I$427)*MIN(J$3-$O$2,$Q$2)/$Q$2))</f>
        <v>5761.29142875406</v>
      </c>
      <c r="K435" s="15" t="n">
        <f aca="false">J435*(1+IF(K$3&lt;=$O$2,$D435,$D435-($D435-$I$427)*MIN(K$3-$O$2,$Q$2)/$Q$2))</f>
        <v>6187.13008309613</v>
      </c>
      <c r="L435" s="15" t="n">
        <f aca="false">K435*(1+IF(L$3&lt;=$O$2,$D435,$D435-($D435-$I$427)*MIN(L$3-$O$2,$Q$2)/$Q$2))</f>
        <v>6570.99510127663</v>
      </c>
      <c r="M435" s="15" t="n">
        <f aca="false">L435*(1+IF(M$3&lt;=$O$2,$D435,$D435-($D435-$I$427)*MIN(M$3-$O$2,$Q$2)/$Q$2))</f>
        <v>6900.67013925155</v>
      </c>
      <c r="N435" s="15" t="n">
        <f aca="false">M435*(1+IF(N$3&lt;=$O$2,$D435,$D435-($D435-$I$427)*MIN(N$3-$O$2,$Q$2)/$Q$2))</f>
        <v>7164.96580558489</v>
      </c>
      <c r="O435" s="15" t="n">
        <f aca="false">SUMPRODUCT(E435:N435,1/(1+$F$427)^$E$3:$N$3)*$E$2</f>
        <v>17569.3553031837</v>
      </c>
      <c r="P435" s="15" t="n">
        <f aca="false">N435*$E$2*(1+$I$427)/($F$427-$I$427)/(1+$F$427)^$N$3</f>
        <v>28405.8378855929</v>
      </c>
      <c r="Q435" s="15" t="n">
        <f aca="false">O435+P435</f>
        <v>45975.1931887766</v>
      </c>
      <c r="R435" s="15" t="n">
        <f aca="false">Q435-$G$2+$I$2</f>
        <v>39787.8931887766</v>
      </c>
      <c r="S435" s="42" t="n">
        <f aca="false">R435/$K$2</f>
        <v>547.288764632415</v>
      </c>
      <c r="T435" s="43" t="n">
        <f aca="false">S435-$M$2</f>
        <v>-13.5090345422758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0.09765625</v>
      </c>
      <c r="C436" s="25" t="n">
        <f aca="false">IF(T435&gt;0,D435,C435)</f>
        <v>0.109375</v>
      </c>
      <c r="D436" s="41" t="n">
        <f aca="false">(B436+C436)/2</f>
        <v>0.103515625</v>
      </c>
      <c r="E436" s="15" t="n">
        <f aca="false">$C$2*(1+IF(E$3&lt;=$O$2,$D436,$D436-($D436-$I$427)*MIN(E$3-$O$2,$Q$2)/$Q$2))</f>
        <v>3674.70703125</v>
      </c>
      <c r="F436" s="15" t="n">
        <f aca="false">E436*(1+IF(F$3&lt;=$O$2,$D436,$D436-($D436-$I$427)*MIN(F$3-$O$2,$Q$2)/$Q$2))</f>
        <v>4055.09662628174</v>
      </c>
      <c r="G436" s="15" t="n">
        <f aca="false">F436*(1+IF(G$3&lt;=$O$2,$D436,$D436-($D436-$I$427)*MIN(G$3-$O$2,$Q$2)/$Q$2))</f>
        <v>4474.86248798668</v>
      </c>
      <c r="H436" s="15" t="n">
        <f aca="false">G436*(1+IF(H$3&lt;=$O$2,$D436,$D436-($D436-$I$427)*MIN(H$3-$O$2,$Q$2)/$Q$2))</f>
        <v>4938.08067521968</v>
      </c>
      <c r="I436" s="15" t="n">
        <f aca="false">H436*(1+IF(I$3&lt;=$O$2,$D436,$D436-($D436-$I$427)*MIN(I$3-$O$2,$Q$2)/$Q$2))</f>
        <v>5449.24918261547</v>
      </c>
      <c r="J436" s="15" t="n">
        <f aca="false">I436*(1+IF(J$3&lt;=$O$2,$D436,$D436-($D436-$I$427)*MIN(J$3-$O$2,$Q$2)/$Q$2))</f>
        <v>5942.25637928965</v>
      </c>
      <c r="K436" s="15" t="n">
        <f aca="false">J436*(1+IF(K$3&lt;=$O$2,$D436,$D436-($D436-$I$427)*MIN(K$3-$O$2,$Q$2)/$Q$2))</f>
        <v>6402.36157682781</v>
      </c>
      <c r="L436" s="15" t="n">
        <f aca="false">K436*(1+IF(L$3&lt;=$O$2,$D436,$D436-($D436-$I$427)*MIN(L$3-$O$2,$Q$2)/$Q$2))</f>
        <v>6814.58562990384</v>
      </c>
      <c r="M436" s="15" t="n">
        <f aca="false">L436*(1+IF(M$3&lt;=$O$2,$D436,$D436-($D436-$I$427)*MIN(M$3-$O$2,$Q$2)/$Q$2))</f>
        <v>7164.46775172319</v>
      </c>
      <c r="N436" s="15" t="n">
        <f aca="false">M436*(1+IF(N$3&lt;=$O$2,$D436,$D436-($D436-$I$427)*MIN(N$3-$O$2,$Q$2)/$Q$2))</f>
        <v>7438.86686661419</v>
      </c>
      <c r="O436" s="15" t="n">
        <f aca="false">SUMPRODUCT(E436:N436,1/(1+$F$427)^$E$3:$N$3)*$E$2</f>
        <v>18020.3709658295</v>
      </c>
      <c r="P436" s="15" t="n">
        <f aca="false">N436*$E$2*(1+$I$427)/($F$427-$I$427)/(1+$F$427)^$N$3</f>
        <v>29491.7312935176</v>
      </c>
      <c r="Q436" s="15" t="n">
        <f aca="false">O436+P436</f>
        <v>47512.1022593471</v>
      </c>
      <c r="R436" s="15" t="n">
        <f aca="false">Q436-$G$2+$I$2</f>
        <v>41324.8022593471</v>
      </c>
      <c r="S436" s="42" t="n">
        <f aca="false">R436/$K$2</f>
        <v>568.429192013027</v>
      </c>
      <c r="T436" s="43" t="n">
        <f aca="false">S436-$M$2</f>
        <v>7.63139283833698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0.09765625</v>
      </c>
      <c r="C437" s="25" t="n">
        <f aca="false">IF(T436&gt;0,D436,C436)</f>
        <v>0.103515625</v>
      </c>
      <c r="D437" s="41" t="n">
        <f aca="false">(B437+C437)/2</f>
        <v>0.1005859375</v>
      </c>
      <c r="E437" s="15" t="n">
        <f aca="false">$C$2*(1+IF(E$3&lt;=$O$2,$D437,$D437-($D437-$I$427)*MIN(E$3-$O$2,$Q$2)/$Q$2))</f>
        <v>3664.951171875</v>
      </c>
      <c r="F437" s="15" t="n">
        <f aca="false">E437*(1+IF(F$3&lt;=$O$2,$D437,$D437-($D437-$I$427)*MIN(F$3-$O$2,$Q$2)/$Q$2))</f>
        <v>4033.59372138977</v>
      </c>
      <c r="G437" s="15" t="n">
        <f aca="false">F437*(1+IF(G$3&lt;=$O$2,$D437,$D437-($D437-$I$427)*MIN(G$3-$O$2,$Q$2)/$Q$2))</f>
        <v>4439.31652734987</v>
      </c>
      <c r="H437" s="15" t="n">
        <f aca="false">G437*(1+IF(H$3&lt;=$O$2,$D437,$D437-($D437-$I$427)*MIN(H$3-$O$2,$Q$2)/$Q$2))</f>
        <v>4885.84934211261</v>
      </c>
      <c r="I437" s="15" t="n">
        <f aca="false">H437*(1+IF(I$3&lt;=$O$2,$D437,$D437-($D437-$I$427)*MIN(I$3-$O$2,$Q$2)/$Q$2))</f>
        <v>5377.29707867276</v>
      </c>
      <c r="J437" s="15" t="n">
        <f aca="false">I437*(1+IF(J$3&lt;=$O$2,$D437,$D437-($D437-$I$427)*MIN(J$3-$O$2,$Q$2)/$Q$2))</f>
        <v>5851.19154859484</v>
      </c>
      <c r="K437" s="15" t="n">
        <f aca="false">J437*(1+IF(K$3&lt;=$O$2,$D437,$D437-($D437-$I$427)*MIN(K$3-$O$2,$Q$2)/$Q$2))</f>
        <v>6293.96035556381</v>
      </c>
      <c r="L437" s="15" t="n">
        <f aca="false">K437*(1+IF(L$3&lt;=$O$2,$D437,$D437-($D437-$I$427)*MIN(L$3-$O$2,$Q$2)/$Q$2))</f>
        <v>6691.82912571556</v>
      </c>
      <c r="M437" s="15" t="n">
        <f aca="false">L437*(1+IF(M$3&lt;=$O$2,$D437,$D437-($D437-$I$427)*MIN(M$3-$O$2,$Q$2)/$Q$2))</f>
        <v>7031.48755136746</v>
      </c>
      <c r="N437" s="15" t="n">
        <f aca="false">M437*(1+IF(N$3&lt;=$O$2,$D437,$D437-($D437-$I$427)*MIN(N$3-$O$2,$Q$2)/$Q$2))</f>
        <v>7300.79352458483</v>
      </c>
      <c r="O437" s="15" t="n">
        <f aca="false">SUMPRODUCT(E437:N437,1/(1+$F$427)^$E$3:$N$3)*$E$2</f>
        <v>17793.4415567975</v>
      </c>
      <c r="P437" s="15" t="n">
        <f aca="false">N437*$E$2*(1+$I$427)/($F$427-$I$427)/(1+$F$427)^$N$3</f>
        <v>28944.3331514426</v>
      </c>
      <c r="Q437" s="15" t="n">
        <f aca="false">O437+P437</f>
        <v>46737.7747082401</v>
      </c>
      <c r="R437" s="15" t="n">
        <f aca="false">Q437-$G$2+$I$2</f>
        <v>40550.4747082401</v>
      </c>
      <c r="S437" s="42" t="n">
        <f aca="false">R437/$K$2</f>
        <v>557.778194061074</v>
      </c>
      <c r="T437" s="43" t="n">
        <f aca="false">S437-$M$2</f>
        <v>-3.01960511361688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0.1005859375</v>
      </c>
      <c r="C438" s="25" t="n">
        <f aca="false">IF(T437&gt;0,D437,C437)</f>
        <v>0.103515625</v>
      </c>
      <c r="D438" s="41" t="n">
        <f aca="false">(B438+C438)/2</f>
        <v>0.10205078125</v>
      </c>
      <c r="E438" s="15" t="n">
        <f aca="false">$C$2*(1+IF(E$3&lt;=$O$2,$D438,$D438-($D438-$I$427)*MIN(E$3-$O$2,$Q$2)/$Q$2))</f>
        <v>3669.8291015625</v>
      </c>
      <c r="F438" s="15" t="n">
        <f aca="false">E438*(1+IF(F$3&lt;=$O$2,$D438,$D438-($D438-$I$427)*MIN(F$3-$O$2,$Q$2)/$Q$2))</f>
        <v>4044.33802843094</v>
      </c>
      <c r="G438" s="15" t="n">
        <f aca="false">F438*(1+IF(G$3&lt;=$O$2,$D438,$D438-($D438-$I$427)*MIN(G$3-$O$2,$Q$2)/$Q$2))</f>
        <v>4457.0658838714</v>
      </c>
      <c r="H438" s="15" t="n">
        <f aca="false">G438*(1+IF(H$3&lt;=$O$2,$D438,$D438-($D438-$I$427)*MIN(H$3-$O$2,$Q$2)/$Q$2))</f>
        <v>4911.9129394032</v>
      </c>
      <c r="I438" s="15" t="n">
        <f aca="false">H438*(1+IF(I$3&lt;=$O$2,$D438,$D438-($D438-$I$427)*MIN(I$3-$O$2,$Q$2)/$Q$2))</f>
        <v>5413.17749230128</v>
      </c>
      <c r="J438" s="15" t="n">
        <f aca="false">I438*(1+IF(J$3&lt;=$O$2,$D438,$D438-($D438-$I$427)*MIN(J$3-$O$2,$Q$2)/$Q$2))</f>
        <v>5896.57762559972</v>
      </c>
      <c r="K438" s="15" t="n">
        <f aca="false">J438*(1+IF(K$3&lt;=$O$2,$D438,$D438-($D438-$I$427)*MIN(K$3-$O$2,$Q$2)/$Q$2))</f>
        <v>6347.96340686014</v>
      </c>
      <c r="L438" s="15" t="n">
        <f aca="false">K438*(1+IF(L$3&lt;=$O$2,$D438,$D438-($D438-$I$427)*MIN(L$3-$O$2,$Q$2)/$Q$2))</f>
        <v>6752.96545595638</v>
      </c>
      <c r="M438" s="15" t="n">
        <f aca="false">L438*(1+IF(M$3&lt;=$O$2,$D438,$D438-($D438-$I$427)*MIN(M$3-$O$2,$Q$2)/$Q$2))</f>
        <v>7097.7053976338</v>
      </c>
      <c r="N438" s="15" t="n">
        <f aca="false">M438*(1+IF(N$3&lt;=$O$2,$D438,$D438-($D438-$I$427)*MIN(N$3-$O$2,$Q$2)/$Q$2))</f>
        <v>7369.54751436318</v>
      </c>
      <c r="O438" s="15" t="n">
        <f aca="false">SUMPRODUCT(E438:N438,1/(1+$F$427)^$E$3:$N$3)*$E$2</f>
        <v>17906.5487892158</v>
      </c>
      <c r="P438" s="15" t="n">
        <f aca="false">N438*$E$2*(1+$I$427)/($F$427-$I$427)/(1+$F$427)^$N$3</f>
        <v>29216.9115196616</v>
      </c>
      <c r="Q438" s="15" t="n">
        <f aca="false">O438+P438</f>
        <v>47123.4603088774</v>
      </c>
      <c r="R438" s="15" t="n">
        <f aca="false">Q438-$G$2+$I$2</f>
        <v>40936.1603088774</v>
      </c>
      <c r="S438" s="42" t="n">
        <f aca="false">R438/$K$2</f>
        <v>563.083360507254</v>
      </c>
      <c r="T438" s="43" t="n">
        <f aca="false">S438-$M$2</f>
        <v>2.28556133256359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0.1005859375</v>
      </c>
      <c r="C439" s="25" t="n">
        <f aca="false">IF(T438&gt;0,D438,C438)</f>
        <v>0.10205078125</v>
      </c>
      <c r="D439" s="41" t="n">
        <f aca="false">(B439+C439)/2</f>
        <v>0.101318359375</v>
      </c>
      <c r="E439" s="15" t="n">
        <f aca="false">$C$2*(1+IF(E$3&lt;=$O$2,$D439,$D439-($D439-$I$427)*MIN(E$3-$O$2,$Q$2)/$Q$2))</f>
        <v>3667.39013671875</v>
      </c>
      <c r="F439" s="15" t="n">
        <f aca="false">E439*(1+IF(F$3&lt;=$O$2,$D439,$D439-($D439-$I$427)*MIN(F$3-$O$2,$Q$2)/$Q$2))</f>
        <v>4038.96408855915</v>
      </c>
      <c r="G439" s="15" t="n">
        <f aca="false">F439*(1+IF(G$3&lt;=$O$2,$D439,$D439-($D439-$I$427)*MIN(G$3-$O$2,$Q$2)/$Q$2))</f>
        <v>4448.18530358651</v>
      </c>
      <c r="H439" s="15" t="n">
        <f aca="false">G439*(1+IF(H$3&lt;=$O$2,$D439,$D439-($D439-$I$427)*MIN(H$3-$O$2,$Q$2)/$Q$2))</f>
        <v>4898.86814074188</v>
      </c>
      <c r="I439" s="15" t="n">
        <f aca="false">H439*(1+IF(I$3&lt;=$O$2,$D439,$D439-($D439-$I$427)*MIN(I$3-$O$2,$Q$2)/$Q$2))</f>
        <v>5395.2134235563</v>
      </c>
      <c r="J439" s="15" t="n">
        <f aca="false">I439*(1+IF(J$3&lt;=$O$2,$D439,$D439-($D439-$I$427)*MIN(J$3-$O$2,$Q$2)/$Q$2))</f>
        <v>5873.8480964229</v>
      </c>
      <c r="K439" s="15" t="n">
        <f aca="false">J439*(1+IF(K$3&lt;=$O$2,$D439,$D439-($D439-$I$427)*MIN(K$3-$O$2,$Q$2)/$Q$2))</f>
        <v>6320.91264066862</v>
      </c>
      <c r="L439" s="15" t="n">
        <f aca="false">K439*(1+IF(L$3&lt;=$O$2,$D439,$D439-($D439-$I$427)*MIN(L$3-$O$2,$Q$2)/$Q$2))</f>
        <v>6722.33701255329</v>
      </c>
      <c r="M439" s="15" t="n">
        <f aca="false">L439*(1+IF(M$3&lt;=$O$2,$D439,$D439-($D439-$I$427)*MIN(M$3-$O$2,$Q$2)/$Q$2))</f>
        <v>7064.52865007347</v>
      </c>
      <c r="N439" s="15" t="n">
        <f aca="false">M439*(1+IF(N$3&lt;=$O$2,$D439,$D439-($D439-$I$427)*MIN(N$3-$O$2,$Q$2)/$Q$2))</f>
        <v>7335.10009737128</v>
      </c>
      <c r="O439" s="15" t="n">
        <f aca="false">SUMPRODUCT(E439:N439,1/(1+$F$427)^$E$3:$N$3)*$E$2</f>
        <v>17849.9060655122</v>
      </c>
      <c r="P439" s="15" t="n">
        <f aca="false">N439*$E$2*(1+$I$427)/($F$427-$I$427)/(1+$F$427)^$N$3</f>
        <v>29080.343143873</v>
      </c>
      <c r="Q439" s="15" t="n">
        <f aca="false">O439+P439</f>
        <v>46930.2492093852</v>
      </c>
      <c r="R439" s="15" t="n">
        <f aca="false">Q439-$G$2+$I$2</f>
        <v>40742.9492093852</v>
      </c>
      <c r="S439" s="42" t="n">
        <f aca="false">R439/$K$2</f>
        <v>560.425711270773</v>
      </c>
      <c r="T439" s="43" t="n">
        <f aca="false">S439-$M$2</f>
        <v>-0.372087903917418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0.101318359375</v>
      </c>
      <c r="C440" s="25" t="n">
        <f aca="false">IF(T439&gt;0,D439,C439)</f>
        <v>0.10205078125</v>
      </c>
      <c r="D440" s="41" t="n">
        <f aca="false">(B440+C440)/2</f>
        <v>0.1016845703125</v>
      </c>
      <c r="E440" s="15" t="n">
        <f aca="false">$C$2*(1+IF(E$3&lt;=$O$2,$D440,$D440-($D440-$I$427)*MIN(E$3-$O$2,$Q$2)/$Q$2))</f>
        <v>3668.60961914063</v>
      </c>
      <c r="F440" s="15" t="n">
        <f aca="false">E440*(1+IF(F$3&lt;=$O$2,$D440,$D440-($D440-$I$427)*MIN(F$3-$O$2,$Q$2)/$Q$2))</f>
        <v>4041.65061190724</v>
      </c>
      <c r="G440" s="15" t="n">
        <f aca="false">F440*(1+IF(G$3&lt;=$O$2,$D440,$D440-($D440-$I$427)*MIN(G$3-$O$2,$Q$2)/$Q$2))</f>
        <v>4452.62411773228</v>
      </c>
      <c r="H440" s="15" t="n">
        <f aca="false">G440*(1+IF(H$3&lt;=$O$2,$D440,$D440-($D440-$I$427)*MIN(H$3-$O$2,$Q$2)/$Q$2))</f>
        <v>4905.38728790697</v>
      </c>
      <c r="I440" s="15" t="n">
        <f aca="false">H440*(1+IF(I$3&lt;=$O$2,$D440,$D440-($D440-$I$427)*MIN(I$3-$O$2,$Q$2)/$Q$2))</f>
        <v>5404.18948649419</v>
      </c>
      <c r="J440" s="15" t="n">
        <f aca="false">I440*(1+IF(J$3&lt;=$O$2,$D440,$D440-($D440-$I$427)*MIN(J$3-$O$2,$Q$2)/$Q$2))</f>
        <v>5885.20372661792</v>
      </c>
      <c r="K440" s="15" t="n">
        <f aca="false">J440*(1+IF(K$3&lt;=$O$2,$D440,$D440-($D440-$I$427)*MIN(K$3-$O$2,$Q$2)/$Q$2))</f>
        <v>6334.42569499531</v>
      </c>
      <c r="L440" s="15" t="n">
        <f aca="false">K440*(1+IF(L$3&lt;=$O$2,$D440,$D440-($D440-$I$427)*MIN(L$3-$O$2,$Q$2)/$Q$2))</f>
        <v>6737.63613945513</v>
      </c>
      <c r="M440" s="15" t="n">
        <f aca="false">L440*(1+IF(M$3&lt;=$O$2,$D440,$D440-($D440-$I$427)*MIN(M$3-$O$2,$Q$2)/$Q$2))</f>
        <v>7081.10003792052</v>
      </c>
      <c r="N440" s="15" t="n">
        <f aca="false">M440*(1+IF(N$3&lt;=$O$2,$D440,$D440-($D440-$I$427)*MIN(N$3-$O$2,$Q$2)/$Q$2))</f>
        <v>7352.30616937288</v>
      </c>
      <c r="O440" s="15" t="n">
        <f aca="false">SUMPRODUCT(E440:N440,1/(1+$F$427)^$E$3:$N$3)*$E$2</f>
        <v>17878.2051179756</v>
      </c>
      <c r="P440" s="15" t="n">
        <f aca="false">N440*$E$2*(1+$I$427)/($F$427-$I$427)/(1+$F$427)^$N$3</f>
        <v>29148.5574110708</v>
      </c>
      <c r="Q440" s="15" t="n">
        <f aca="false">O440+P440</f>
        <v>47026.7625290464</v>
      </c>
      <c r="R440" s="15" t="n">
        <f aca="false">Q440-$G$2+$I$2</f>
        <v>40839.4625290464</v>
      </c>
      <c r="S440" s="42" t="n">
        <f aca="false">R440/$K$2</f>
        <v>561.753267249607</v>
      </c>
      <c r="T440" s="43" t="n">
        <f aca="false">S440-$M$2</f>
        <v>0.955468074916098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0.101318359375</v>
      </c>
      <c r="C441" s="25" t="n">
        <f aca="false">IF(T440&gt;0,D440,C440)</f>
        <v>0.1016845703125</v>
      </c>
      <c r="D441" s="41" t="n">
        <f aca="false">(B441+C441)/2</f>
        <v>0.10150146484375</v>
      </c>
      <c r="E441" s="15" t="n">
        <f aca="false">$C$2*(1+IF(E$3&lt;=$O$2,$D441,$D441-($D441-$I$427)*MIN(E$3-$O$2,$Q$2)/$Q$2))</f>
        <v>3667.99987792969</v>
      </c>
      <c r="F441" s="15" t="n">
        <f aca="false">E441*(1+IF(F$3&lt;=$O$2,$D441,$D441-($D441-$I$427)*MIN(F$3-$O$2,$Q$2)/$Q$2))</f>
        <v>4040.30723858625</v>
      </c>
      <c r="G441" s="15" t="n">
        <f aca="false">F441*(1+IF(G$3&lt;=$O$2,$D441,$D441-($D441-$I$427)*MIN(G$3-$O$2,$Q$2)/$Q$2))</f>
        <v>4450.40434172156</v>
      </c>
      <c r="H441" s="15" t="n">
        <f aca="false">G441*(1+IF(H$3&lt;=$O$2,$D441,$D441-($D441-$I$427)*MIN(H$3-$O$2,$Q$2)/$Q$2))</f>
        <v>4902.12690155328</v>
      </c>
      <c r="I441" s="15" t="n">
        <f aca="false">H441*(1+IF(I$3&lt;=$O$2,$D441,$D441-($D441-$I$427)*MIN(I$3-$O$2,$Q$2)/$Q$2))</f>
        <v>5399.69996291089</v>
      </c>
      <c r="J441" s="15" t="n">
        <f aca="false">I441*(1+IF(J$3&lt;=$O$2,$D441,$D441-($D441-$I$427)*MIN(J$3-$O$2,$Q$2)/$Q$2))</f>
        <v>5879.52362938855</v>
      </c>
      <c r="K441" s="15" t="n">
        <f aca="false">J441*(1+IF(K$3&lt;=$O$2,$D441,$D441-($D441-$I$427)*MIN(K$3-$O$2,$Q$2)/$Q$2))</f>
        <v>6327.66608797061</v>
      </c>
      <c r="L441" s="15" t="n">
        <f aca="false">K441*(1+IF(L$3&lt;=$O$2,$D441,$D441-($D441-$I$427)*MIN(L$3-$O$2,$Q$2)/$Q$2))</f>
        <v>6729.98280546063</v>
      </c>
      <c r="M441" s="15" t="n">
        <f aca="false">L441*(1+IF(M$3&lt;=$O$2,$D441,$D441-($D441-$I$427)*MIN(M$3-$O$2,$Q$2)/$Q$2))</f>
        <v>7072.81010124544</v>
      </c>
      <c r="N441" s="15" t="n">
        <f aca="false">M441*(1+IF(N$3&lt;=$O$2,$D441,$D441-($D441-$I$427)*MIN(N$3-$O$2,$Q$2)/$Q$2))</f>
        <v>7343.69872812314</v>
      </c>
      <c r="O441" s="15" t="n">
        <f aca="false">SUMPRODUCT(E441:N441,1/(1+$F$427)^$E$3:$N$3)*$E$2</f>
        <v>17864.0500184643</v>
      </c>
      <c r="P441" s="15" t="n">
        <f aca="false">N441*$E$2*(1+$I$427)/($F$427-$I$427)/(1+$F$427)^$N$3</f>
        <v>29114.4328126591</v>
      </c>
      <c r="Q441" s="15" t="n">
        <f aca="false">O441+P441</f>
        <v>46978.4828311234</v>
      </c>
      <c r="R441" s="15" t="n">
        <f aca="false">Q441-$G$2+$I$2</f>
        <v>40791.1828311234</v>
      </c>
      <c r="S441" s="42" t="n">
        <f aca="false">R441/$K$2</f>
        <v>561.089172367584</v>
      </c>
      <c r="T441" s="43" t="n">
        <f aca="false">S441-$M$2</f>
        <v>0.291373192893843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0.101318359375</v>
      </c>
      <c r="C442" s="25" t="n">
        <f aca="false">IF(T441&gt;0,D441,C441)</f>
        <v>0.10150146484375</v>
      </c>
      <c r="D442" s="41" t="n">
        <f aca="false">(B442+C442)/2</f>
        <v>0.101409912109375</v>
      </c>
      <c r="E442" s="15" t="n">
        <f aca="false">$C$2*(1+IF(E$3&lt;=$O$2,$D442,$D442-($D442-$I$427)*MIN(E$3-$O$2,$Q$2)/$Q$2))</f>
        <v>3667.69500732422</v>
      </c>
      <c r="F442" s="15" t="n">
        <f aca="false">E442*(1+IF(F$3&lt;=$O$2,$D442,$D442-($D442-$I$427)*MIN(F$3-$O$2,$Q$2)/$Q$2))</f>
        <v>4039.63563566096</v>
      </c>
      <c r="G442" s="15" t="n">
        <f aca="false">F442*(1+IF(G$3&lt;=$O$2,$D442,$D442-($D442-$I$427)*MIN(G$3-$O$2,$Q$2)/$Q$2))</f>
        <v>4449.29473042724</v>
      </c>
      <c r="H442" s="15" t="n">
        <f aca="false">G442*(1+IF(H$3&lt;=$O$2,$D442,$D442-($D442-$I$427)*MIN(H$3-$O$2,$Q$2)/$Q$2))</f>
        <v>4900.49731798857</v>
      </c>
      <c r="I442" s="15" t="n">
        <f aca="false">H442*(1+IF(I$3&lt;=$O$2,$D442,$D442-($D442-$I$427)*MIN(I$3-$O$2,$Q$2)/$Q$2))</f>
        <v>5397.45632029802</v>
      </c>
      <c r="J442" s="15" t="n">
        <f aca="false">I442*(1+IF(J$3&lt;=$O$2,$D442,$D442-($D442-$I$427)*MIN(J$3-$O$2,$Q$2)/$Q$2))</f>
        <v>5876.68529255599</v>
      </c>
      <c r="K442" s="15" t="n">
        <f aca="false">J442*(1+IF(K$3&lt;=$O$2,$D442,$D442-($D442-$I$427)*MIN(K$3-$O$2,$Q$2)/$Q$2))</f>
        <v>6324.28859464549</v>
      </c>
      <c r="L442" s="15" t="n">
        <f aca="false">K442*(1+IF(L$3&lt;=$O$2,$D442,$D442-($D442-$I$427)*MIN(L$3-$O$2,$Q$2)/$Q$2))</f>
        <v>6726.15896676537</v>
      </c>
      <c r="M442" s="15" t="n">
        <f aca="false">L442*(1+IF(M$3&lt;=$O$2,$D442,$D442-($D442-$I$427)*MIN(M$3-$O$2,$Q$2)/$Q$2))</f>
        <v>7068.66831543773</v>
      </c>
      <c r="N442" s="15" t="n">
        <f aca="false">M442*(1+IF(N$3&lt;=$O$2,$D442,$D442-($D442-$I$427)*MIN(N$3-$O$2,$Q$2)/$Q$2))</f>
        <v>7339.398311919</v>
      </c>
      <c r="O442" s="15" t="n">
        <f aca="false">SUMPRODUCT(E442:N442,1/(1+$F$427)^$E$3:$N$3)*$E$2</f>
        <v>17856.9766491765</v>
      </c>
      <c r="P442" s="15" t="n">
        <f aca="false">N442*$E$2*(1+$I$427)/($F$427-$I$427)/(1+$F$427)^$N$3</f>
        <v>29097.3836139817</v>
      </c>
      <c r="Q442" s="15" t="n">
        <f aca="false">O442+P442</f>
        <v>46954.3602631583</v>
      </c>
      <c r="R442" s="15" t="n">
        <f aca="false">Q442-$G$2+$I$2</f>
        <v>40767.0602631583</v>
      </c>
      <c r="S442" s="42" t="n">
        <f aca="false">R442/$K$2</f>
        <v>560.757362629412</v>
      </c>
      <c r="T442" s="43" t="n">
        <f aca="false">S442-$M$2</f>
        <v>-0.0404365452783395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0.101409912109375</v>
      </c>
      <c r="C443" s="25" t="n">
        <f aca="false">IF(T442&gt;0,D442,C442)</f>
        <v>0.10150146484375</v>
      </c>
      <c r="D443" s="41" t="n">
        <f aca="false">(B443+C443)/2</f>
        <v>0.101455688476563</v>
      </c>
      <c r="E443" s="15" t="n">
        <f aca="false">$C$2*(1+IF(E$3&lt;=$O$2,$D443,$D443-($D443-$I$427)*MIN(E$3-$O$2,$Q$2)/$Q$2))</f>
        <v>3667.84744262695</v>
      </c>
      <c r="F443" s="15" t="n">
        <f aca="false">E443*(1+IF(F$3&lt;=$O$2,$D443,$D443-($D443-$I$427)*MIN(F$3-$O$2,$Q$2)/$Q$2))</f>
        <v>4039.97143014567</v>
      </c>
      <c r="G443" s="15" t="n">
        <f aca="false">F443*(1+IF(G$3&lt;=$O$2,$D443,$D443-($D443-$I$427)*MIN(G$3-$O$2,$Q$2)/$Q$2))</f>
        <v>4449.84951301674</v>
      </c>
      <c r="H443" s="15" t="n">
        <f aca="false">G443*(1+IF(H$3&lt;=$O$2,$D443,$D443-($D443-$I$427)*MIN(H$3-$O$2,$Q$2)/$Q$2))</f>
        <v>4901.31205897695</v>
      </c>
      <c r="I443" s="15" t="n">
        <f aca="false">H443*(1+IF(I$3&lt;=$O$2,$D443,$D443-($D443-$I$427)*MIN(I$3-$O$2,$Q$2)/$Q$2))</f>
        <v>5398.57804835894</v>
      </c>
      <c r="J443" s="15" t="n">
        <f aca="false">I443*(1+IF(J$3&lt;=$O$2,$D443,$D443-($D443-$I$427)*MIN(J$3-$O$2,$Q$2)/$Q$2))</f>
        <v>5878.10431836194</v>
      </c>
      <c r="K443" s="15" t="n">
        <f aca="false">J443*(1+IF(K$3&lt;=$O$2,$D443,$D443-($D443-$I$427)*MIN(K$3-$O$2,$Q$2)/$Q$2))</f>
        <v>6325.97714885312</v>
      </c>
      <c r="L443" s="15" t="n">
        <f aca="false">K443*(1+IF(L$3&lt;=$O$2,$D443,$D443-($D443-$I$427)*MIN(L$3-$O$2,$Q$2)/$Q$2))</f>
        <v>6728.07065050332</v>
      </c>
      <c r="M443" s="15" t="n">
        <f aca="false">L443*(1+IF(M$3&lt;=$O$2,$D443,$D443-($D443-$I$427)*MIN(M$3-$O$2,$Q$2)/$Q$2))</f>
        <v>7070.7389432279</v>
      </c>
      <c r="N443" s="15" t="n">
        <f aca="false">M443*(1+IF(N$3&lt;=$O$2,$D443,$D443-($D443-$I$427)*MIN(N$3-$O$2,$Q$2)/$Q$2))</f>
        <v>7341.54824475353</v>
      </c>
      <c r="O443" s="15" t="n">
        <f aca="false">SUMPRODUCT(E443:N443,1/(1+$F$427)^$E$3:$N$3)*$E$2</f>
        <v>17860.512985554</v>
      </c>
      <c r="P443" s="15" t="n">
        <f aca="false">N443*$E$2*(1+$I$427)/($F$427-$I$427)/(1+$F$427)^$N$3</f>
        <v>29105.9071220095</v>
      </c>
      <c r="Q443" s="15" t="n">
        <f aca="false">O443+P443</f>
        <v>46966.4201075635</v>
      </c>
      <c r="R443" s="15" t="n">
        <f aca="false">Q443-$G$2+$I$2</f>
        <v>40779.1201075635</v>
      </c>
      <c r="S443" s="42" t="n">
        <f aca="false">R443/$K$2</f>
        <v>560.923247696884</v>
      </c>
      <c r="T443" s="43" t="n">
        <f aca="false">S443-$M$2</f>
        <v>0.125448522193778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0.101409912109375</v>
      </c>
      <c r="C444" s="25" t="n">
        <f aca="false">IF(T443&gt;0,D443,C443)</f>
        <v>0.101455688476563</v>
      </c>
      <c r="D444" s="41" t="n">
        <f aca="false">(B444+C444)/2</f>
        <v>0.101432800292969</v>
      </c>
      <c r="E444" s="15" t="n">
        <f aca="false">$C$2*(1+IF(E$3&lt;=$O$2,$D444,$D444-($D444-$I$427)*MIN(E$3-$O$2,$Q$2)/$Q$2))</f>
        <v>3667.77122497559</v>
      </c>
      <c r="F444" s="15" t="n">
        <f aca="false">E444*(1+IF(F$3&lt;=$O$2,$D444,$D444-($D444-$I$427)*MIN(F$3-$O$2,$Q$2)/$Q$2))</f>
        <v>4039.80353115883</v>
      </c>
      <c r="G444" s="15" t="n">
        <f aca="false">F444*(1+IF(G$3&lt;=$O$2,$D444,$D444-($D444-$I$427)*MIN(G$3-$O$2,$Q$2)/$Q$2))</f>
        <v>4449.5721159577</v>
      </c>
      <c r="H444" s="15" t="n">
        <f aca="false">G444*(1+IF(H$3&lt;=$O$2,$D444,$D444-($D444-$I$427)*MIN(H$3-$O$2,$Q$2)/$Q$2))</f>
        <v>4900.9046757848</v>
      </c>
      <c r="I444" s="15" t="n">
        <f aca="false">H444*(1+IF(I$3&lt;=$O$2,$D444,$D444-($D444-$I$427)*MIN(I$3-$O$2,$Q$2)/$Q$2))</f>
        <v>5398.01716101855</v>
      </c>
      <c r="J444" s="15" t="n">
        <f aca="false">I444*(1+IF(J$3&lt;=$O$2,$D444,$D444-($D444-$I$427)*MIN(J$3-$O$2,$Q$2)/$Q$2))</f>
        <v>5877.39476980924</v>
      </c>
      <c r="K444" s="15" t="n">
        <f aca="false">J444*(1+IF(K$3&lt;=$O$2,$D444,$D444-($D444-$I$427)*MIN(K$3-$O$2,$Q$2)/$Q$2))</f>
        <v>6325.13282364012</v>
      </c>
      <c r="L444" s="15" t="n">
        <f aca="false">K444*(1+IF(L$3&lt;=$O$2,$D444,$D444-($D444-$I$427)*MIN(L$3-$O$2,$Q$2)/$Q$2))</f>
        <v>6727.11474973809</v>
      </c>
      <c r="M444" s="15" t="n">
        <f aca="false">L444*(1+IF(M$3&lt;=$O$2,$D444,$D444-($D444-$I$427)*MIN(M$3-$O$2,$Q$2)/$Q$2))</f>
        <v>7069.70356306168</v>
      </c>
      <c r="N444" s="15" t="n">
        <f aca="false">M444*(1+IF(N$3&lt;=$O$2,$D444,$D444-($D444-$I$427)*MIN(N$3-$O$2,$Q$2)/$Q$2))</f>
        <v>7340.47320952694</v>
      </c>
      <c r="O444" s="15" t="n">
        <f aca="false">SUMPRODUCT(E444:N444,1/(1+$F$427)^$E$3:$N$3)*$E$2</f>
        <v>17858.7447303066</v>
      </c>
      <c r="P444" s="15" t="n">
        <f aca="false">N444*$E$2*(1+$I$427)/($F$427-$I$427)/(1+$F$427)^$N$3</f>
        <v>29101.6450951979</v>
      </c>
      <c r="Q444" s="15" t="n">
        <f aca="false">O444+P444</f>
        <v>46960.3898255045</v>
      </c>
      <c r="R444" s="15" t="n">
        <f aca="false">Q444-$G$2+$I$2</f>
        <v>40773.0898255045</v>
      </c>
      <c r="S444" s="42" t="n">
        <f aca="false">R444/$K$2</f>
        <v>560.840300213266</v>
      </c>
      <c r="T444" s="43" t="n">
        <f aca="false">S444-$M$2</f>
        <v>0.0425010385758924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0.101409912109375</v>
      </c>
      <c r="C445" s="25" t="n">
        <f aca="false">IF(T444&gt;0,D444,C444)</f>
        <v>0.101432800292969</v>
      </c>
      <c r="D445" s="41" t="n">
        <f aca="false">(B445+C445)/2</f>
        <v>0.101421356201172</v>
      </c>
      <c r="E445" s="15" t="n">
        <f aca="false">$C$2*(1+IF(E$3&lt;=$O$2,$D445,$D445-($D445-$I$427)*MIN(E$3-$O$2,$Q$2)/$Q$2))</f>
        <v>3667.7331161499</v>
      </c>
      <c r="F445" s="15" t="n">
        <f aca="false">E445*(1+IF(F$3&lt;=$O$2,$D445,$D445-($D445-$I$427)*MIN(F$3-$O$2,$Q$2)/$Q$2))</f>
        <v>4039.71958297378</v>
      </c>
      <c r="G445" s="15" t="n">
        <f aca="false">F445*(1+IF(G$3&lt;=$O$2,$D445,$D445-($D445-$I$427)*MIN(G$3-$O$2,$Q$2)/$Q$2))</f>
        <v>4449.43342175141</v>
      </c>
      <c r="H445" s="15" t="n">
        <f aca="false">G445*(1+IF(H$3&lt;=$O$2,$D445,$D445-($D445-$I$427)*MIN(H$3-$O$2,$Q$2)/$Q$2))</f>
        <v>4900.70099371226</v>
      </c>
      <c r="I445" s="15" t="n">
        <f aca="false">H445*(1+IF(I$3&lt;=$O$2,$D445,$D445-($D445-$I$427)*MIN(I$3-$O$2,$Q$2)/$Q$2))</f>
        <v>5397.73673483099</v>
      </c>
      <c r="J445" s="15" t="n">
        <f aca="false">I445*(1+IF(J$3&lt;=$O$2,$D445,$D445-($D445-$I$427)*MIN(J$3-$O$2,$Q$2)/$Q$2))</f>
        <v>5877.04002227055</v>
      </c>
      <c r="K445" s="15" t="n">
        <f aca="false">J445*(1+IF(K$3&lt;=$O$2,$D445,$D445-($D445-$I$427)*MIN(K$3-$O$2,$Q$2)/$Q$2))</f>
        <v>6324.71069711608</v>
      </c>
      <c r="L445" s="15" t="n">
        <f aca="false">K445*(1+IF(L$3&lt;=$O$2,$D445,$D445-($D445-$I$427)*MIN(L$3-$O$2,$Q$2)/$Q$2))</f>
        <v>6726.63684352843</v>
      </c>
      <c r="M445" s="15" t="n">
        <f aca="false">L445*(1+IF(M$3&lt;=$O$2,$D445,$D445-($D445-$I$427)*MIN(M$3-$O$2,$Q$2)/$Q$2))</f>
        <v>7069.18592268283</v>
      </c>
      <c r="N445" s="15" t="n">
        <f aca="false">M445*(1+IF(N$3&lt;=$O$2,$D445,$D445-($D445-$I$427)*MIN(N$3-$O$2,$Q$2)/$Q$2))</f>
        <v>7339.93574352158</v>
      </c>
      <c r="O445" s="15" t="n">
        <f aca="false">SUMPRODUCT(E445:N445,1/(1+$F$427)^$E$3:$N$3)*$E$2</f>
        <v>17857.8606679779</v>
      </c>
      <c r="P445" s="15" t="n">
        <f aca="false">N445*$E$2*(1+$I$427)/($F$427-$I$427)/(1+$F$427)^$N$3</f>
        <v>29099.5142863941</v>
      </c>
      <c r="Q445" s="15" t="n">
        <f aca="false">O445+P445</f>
        <v>46957.374954372</v>
      </c>
      <c r="R445" s="15" t="n">
        <f aca="false">Q445-$G$2+$I$2</f>
        <v>40770.074954372</v>
      </c>
      <c r="S445" s="42" t="n">
        <f aca="false">R445/$K$2</f>
        <v>560.798830183934</v>
      </c>
      <c r="T445" s="43" t="n">
        <f aca="false">S445-$M$2</f>
        <v>0.00103100924354749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0.101409912109375</v>
      </c>
      <c r="C446" s="25" t="n">
        <f aca="false">IF(T445&gt;0,D445,C445)</f>
        <v>0.101421356201172</v>
      </c>
      <c r="D446" s="41" t="n">
        <f aca="false">(B446+C446)/2</f>
        <v>0.101415634155273</v>
      </c>
      <c r="E446" s="15" t="n">
        <f aca="false">$C$2*(1+IF(E$3&lt;=$O$2,$D446,$D446-($D446-$I$427)*MIN(E$3-$O$2,$Q$2)/$Q$2))</f>
        <v>3667.71406173706</v>
      </c>
      <c r="F446" s="15" t="n">
        <f aca="false">E446*(1+IF(F$3&lt;=$O$2,$D446,$D446-($D446-$I$427)*MIN(F$3-$O$2,$Q$2)/$Q$2))</f>
        <v>4039.67760920834</v>
      </c>
      <c r="G446" s="15" t="n">
        <f aca="false">F446*(1+IF(G$3&lt;=$O$2,$D446,$D446-($D446-$I$427)*MIN(G$3-$O$2,$Q$2)/$Q$2))</f>
        <v>4449.36407572906</v>
      </c>
      <c r="H446" s="15" t="n">
        <f aca="false">G446*(1+IF(H$3&lt;=$O$2,$D446,$D446-($D446-$I$427)*MIN(H$3-$O$2,$Q$2)/$Q$2))</f>
        <v>4900.59915505682</v>
      </c>
      <c r="I446" s="15" t="n">
        <f aca="false">H446*(1+IF(I$3&lt;=$O$2,$D446,$D446-($D446-$I$427)*MIN(I$3-$O$2,$Q$2)/$Q$2))</f>
        <v>5397.5965261077</v>
      </c>
      <c r="J446" s="15" t="n">
        <f aca="false">I446*(1+IF(J$3&lt;=$O$2,$D446,$D446-($D446-$I$427)*MIN(J$3-$O$2,$Q$2)/$Q$2))</f>
        <v>5876.8626551853</v>
      </c>
      <c r="K446" s="15" t="n">
        <f aca="false">J446*(1+IF(K$3&lt;=$O$2,$D446,$D446-($D446-$I$427)*MIN(K$3-$O$2,$Q$2)/$Q$2))</f>
        <v>6324.49964287417</v>
      </c>
      <c r="L446" s="15" t="n">
        <f aca="false">K446*(1+IF(L$3&lt;=$O$2,$D446,$D446-($D446-$I$427)*MIN(L$3-$O$2,$Q$2)/$Q$2))</f>
        <v>6726.39790146617</v>
      </c>
      <c r="M446" s="15" t="n">
        <f aca="false">L446*(1+IF(M$3&lt;=$O$2,$D446,$D446-($D446-$I$427)*MIN(M$3-$O$2,$Q$2)/$Q$2))</f>
        <v>7068.92711491867</v>
      </c>
      <c r="N446" s="15" t="n">
        <f aca="false">M446*(1+IF(N$3&lt;=$O$2,$D446,$D446-($D446-$I$427)*MIN(N$3-$O$2,$Q$2)/$Q$2))</f>
        <v>7339.66702342006</v>
      </c>
      <c r="O446" s="15" t="n">
        <f aca="false">SUMPRODUCT(E446:N446,1/(1+$F$427)^$E$3:$N$3)*$E$2</f>
        <v>17857.4186531364</v>
      </c>
      <c r="P446" s="15" t="n">
        <f aca="false">N446*$E$2*(1+$I$427)/($F$427-$I$427)/(1+$F$427)^$N$3</f>
        <v>29098.4489331395</v>
      </c>
      <c r="Q446" s="15" t="n">
        <f aca="false">O446+P446</f>
        <v>46955.8675862759</v>
      </c>
      <c r="R446" s="15" t="n">
        <f aca="false">Q446-$G$2+$I$2</f>
        <v>40768.5675862759</v>
      </c>
      <c r="S446" s="42" t="n">
        <f aca="false">R446/$K$2</f>
        <v>560.77809609733</v>
      </c>
      <c r="T446" s="43" t="n">
        <f aca="false">S446-$M$2</f>
        <v>-0.0197030773607594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0.101415634155273</v>
      </c>
      <c r="C447" s="25" t="n">
        <f aca="false">IF(T446&gt;0,D446,C446)</f>
        <v>0.101421356201172</v>
      </c>
      <c r="D447" s="41" t="n">
        <f aca="false">(B447+C447)/2</f>
        <v>0.101418495178223</v>
      </c>
      <c r="E447" s="15" t="n">
        <f aca="false">$C$2*(1+IF(E$3&lt;=$O$2,$D447,$D447-($D447-$I$427)*MIN(E$3-$O$2,$Q$2)/$Q$2))</f>
        <v>3667.72358894348</v>
      </c>
      <c r="F447" s="15" t="n">
        <f aca="false">E447*(1+IF(F$3&lt;=$O$2,$D447,$D447-($D447-$I$427)*MIN(F$3-$O$2,$Q$2)/$Q$2))</f>
        <v>4039.6985960638</v>
      </c>
      <c r="G447" s="15" t="n">
        <f aca="false">F447*(1+IF(G$3&lt;=$O$2,$D447,$D447-($D447-$I$427)*MIN(G$3-$O$2,$Q$2)/$Q$2))</f>
        <v>4449.39874865017</v>
      </c>
      <c r="H447" s="15" t="n">
        <f aca="false">G447*(1+IF(H$3&lt;=$O$2,$D447,$D447-($D447-$I$427)*MIN(H$3-$O$2,$Q$2)/$Q$2))</f>
        <v>4900.65007418614</v>
      </c>
      <c r="I447" s="15" t="n">
        <f aca="false">H447*(1+IF(I$3&lt;=$O$2,$D447,$D447-($D447-$I$427)*MIN(I$3-$O$2,$Q$2)/$Q$2))</f>
        <v>5397.66663010514</v>
      </c>
      <c r="J447" s="15" t="n">
        <f aca="false">I447*(1+IF(J$3&lt;=$O$2,$D447,$D447-($D447-$I$427)*MIN(J$3-$O$2,$Q$2)/$Q$2))</f>
        <v>5876.95133817092</v>
      </c>
      <c r="K447" s="15" t="n">
        <f aca="false">J447*(1+IF(K$3&lt;=$O$2,$D447,$D447-($D447-$I$427)*MIN(K$3-$O$2,$Q$2)/$Q$2))</f>
        <v>6324.60516924346</v>
      </c>
      <c r="L447" s="15" t="n">
        <f aca="false">K447*(1+IF(L$3&lt;=$O$2,$D447,$D447-($D447-$I$427)*MIN(L$3-$O$2,$Q$2)/$Q$2))</f>
        <v>6726.51737157711</v>
      </c>
      <c r="M447" s="15" t="n">
        <f aca="false">L447*(1+IF(M$3&lt;=$O$2,$D447,$D447-($D447-$I$427)*MIN(M$3-$O$2,$Q$2)/$Q$2))</f>
        <v>7069.05651776534</v>
      </c>
      <c r="N447" s="15" t="n">
        <f aca="false">M447*(1+IF(N$3&lt;=$O$2,$D447,$D447-($D447-$I$427)*MIN(N$3-$O$2,$Q$2)/$Q$2))</f>
        <v>7339.80138239575</v>
      </c>
      <c r="O447" s="15" t="n">
        <f aca="false">SUMPRODUCT(E447:N447,1/(1+$F$427)^$E$3:$N$3)*$E$2</f>
        <v>17857.6396591969</v>
      </c>
      <c r="P447" s="15" t="n">
        <f aca="false">N447*$E$2*(1+$I$427)/($F$427-$I$427)/(1+$F$427)^$N$3</f>
        <v>29098.9816055046</v>
      </c>
      <c r="Q447" s="15" t="n">
        <f aca="false">O447+P447</f>
        <v>46956.6212647016</v>
      </c>
      <c r="R447" s="15" t="n">
        <f aca="false">Q447-$G$2+$I$2</f>
        <v>40769.3212647015</v>
      </c>
      <c r="S447" s="42" t="n">
        <f aca="false">R447/$K$2</f>
        <v>560.788463063295</v>
      </c>
      <c r="T447" s="43" t="n">
        <f aca="false">S447-$M$2</f>
        <v>-0.00933611139544155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0.101418495178223</v>
      </c>
      <c r="C448" s="25" t="n">
        <f aca="false">IF(T447&gt;0,D447,C447)</f>
        <v>0.101421356201172</v>
      </c>
      <c r="D448" s="41" t="n">
        <f aca="false">(B448+C448)/2</f>
        <v>0.101419925689697</v>
      </c>
      <c r="E448" s="15" t="n">
        <f aca="false">$C$2*(1+IF(E$3&lt;=$O$2,$D448,$D448-($D448-$I$427)*MIN(E$3-$O$2,$Q$2)/$Q$2))</f>
        <v>3667.72835254669</v>
      </c>
      <c r="F448" s="15" t="n">
        <f aca="false">E448*(1+IF(F$3&lt;=$O$2,$D448,$D448-($D448-$I$427)*MIN(F$3-$O$2,$Q$2)/$Q$2))</f>
        <v>4039.70908951197</v>
      </c>
      <c r="G448" s="15" t="n">
        <f aca="false">F448*(1+IF(G$3&lt;=$O$2,$D448,$D448-($D448-$I$427)*MIN(G$3-$O$2,$Q$2)/$Q$2))</f>
        <v>4449.41608517827</v>
      </c>
      <c r="H448" s="15" t="n">
        <f aca="false">G448*(1+IF(H$3&lt;=$O$2,$D448,$D448-($D448-$I$427)*MIN(H$3-$O$2,$Q$2)/$Q$2))</f>
        <v>4900.6755338996</v>
      </c>
      <c r="I448" s="15" t="n">
        <f aca="false">H448*(1+IF(I$3&lt;=$O$2,$D448,$D448-($D448-$I$427)*MIN(I$3-$O$2,$Q$2)/$Q$2))</f>
        <v>5397.70168237701</v>
      </c>
      <c r="J448" s="15" t="n">
        <f aca="false">I448*(1+IF(J$3&lt;=$O$2,$D448,$D448-($D448-$I$427)*MIN(J$3-$O$2,$Q$2)/$Q$2))</f>
        <v>5876.99568008148</v>
      </c>
      <c r="K448" s="15" t="n">
        <f aca="false">J448*(1+IF(K$3&lt;=$O$2,$D448,$D448-($D448-$I$427)*MIN(K$3-$O$2,$Q$2)/$Q$2))</f>
        <v>6324.65793299185</v>
      </c>
      <c r="L448" s="15" t="n">
        <f aca="false">K448*(1+IF(L$3&lt;=$O$2,$D448,$D448-($D448-$I$427)*MIN(L$3-$O$2,$Q$2)/$Q$2))</f>
        <v>6726.57710732272</v>
      </c>
      <c r="M448" s="15" t="n">
        <f aca="false">L448*(1+IF(M$3&lt;=$O$2,$D448,$D448-($D448-$I$427)*MIN(M$3-$O$2,$Q$2)/$Q$2))</f>
        <v>7069.12121996523</v>
      </c>
      <c r="N448" s="15" t="n">
        <f aca="false">M448*(1+IF(N$3&lt;=$O$2,$D448,$D448-($D448-$I$427)*MIN(N$3-$O$2,$Q$2)/$Q$2))</f>
        <v>7339.86856268989</v>
      </c>
      <c r="O448" s="15" t="n">
        <f aca="false">SUMPRODUCT(E448:N448,1/(1+$F$427)^$E$3:$N$3)*$E$2</f>
        <v>17857.7501632473</v>
      </c>
      <c r="P448" s="15" t="n">
        <f aca="false">N448*$E$2*(1+$I$427)/($F$427-$I$427)/(1+$F$427)^$N$3</f>
        <v>29099.2479448838</v>
      </c>
      <c r="Q448" s="15" t="n">
        <f aca="false">O448+P448</f>
        <v>46956.9981081312</v>
      </c>
      <c r="R448" s="15" t="n">
        <f aca="false">Q448-$G$2+$I$2</f>
        <v>40769.6981081312</v>
      </c>
      <c r="S448" s="42" t="n">
        <f aca="false">R448/$K$2</f>
        <v>560.79364660428</v>
      </c>
      <c r="T448" s="43" t="n">
        <f aca="false">S448-$M$2</f>
        <v>-0.00415257041049699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0.101419925689697</v>
      </c>
      <c r="C449" s="25" t="n">
        <f aca="false">IF(T448&gt;0,D448,C448)</f>
        <v>0.101421356201172</v>
      </c>
      <c r="D449" s="41" t="n">
        <f aca="false">(B449+C449)/2</f>
        <v>0.101420640945435</v>
      </c>
      <c r="E449" s="15" t="n">
        <f aca="false">$C$2*(1+IF(E$3&lt;=$O$2,$D449,$D449-($D449-$I$427)*MIN(E$3-$O$2,$Q$2)/$Q$2))</f>
        <v>3667.7307343483</v>
      </c>
      <c r="F449" s="15" t="n">
        <f aca="false">E449*(1+IF(F$3&lt;=$O$2,$D449,$D449-($D449-$I$427)*MIN(F$3-$O$2,$Q$2)/$Q$2))</f>
        <v>4039.71433624117</v>
      </c>
      <c r="G449" s="15" t="n">
        <f aca="false">F449*(1+IF(G$3&lt;=$O$2,$D449,$D449-($D449-$I$427)*MIN(G$3-$O$2,$Q$2)/$Q$2))</f>
        <v>4449.42475345921</v>
      </c>
      <c r="H449" s="15" t="n">
        <f aca="false">G449*(1+IF(H$3&lt;=$O$2,$D449,$D449-($D449-$I$427)*MIN(H$3-$O$2,$Q$2)/$Q$2))</f>
        <v>4900.68826379353</v>
      </c>
      <c r="I449" s="15" t="n">
        <f aca="false">H449*(1+IF(I$3&lt;=$O$2,$D449,$D449-($D449-$I$427)*MIN(I$3-$O$2,$Q$2)/$Q$2))</f>
        <v>5397.71920858124</v>
      </c>
      <c r="J449" s="15" t="n">
        <f aca="false">I449*(1+IF(J$3&lt;=$O$2,$D449,$D449-($D449-$I$427)*MIN(J$3-$O$2,$Q$2)/$Q$2))</f>
        <v>5877.0178511412</v>
      </c>
      <c r="K449" s="15" t="n">
        <f aca="false">J449*(1+IF(K$3&lt;=$O$2,$D449,$D449-($D449-$I$427)*MIN(K$3-$O$2,$Q$2)/$Q$2))</f>
        <v>6324.68431500699</v>
      </c>
      <c r="L449" s="15" t="n">
        <f aca="false">K449*(1+IF(L$3&lt;=$O$2,$D449,$D449-($D449-$I$427)*MIN(L$3-$O$2,$Q$2)/$Q$2))</f>
        <v>6726.60697536806</v>
      </c>
      <c r="M449" s="15" t="n">
        <f aca="false">L449*(1+IF(M$3&lt;=$O$2,$D449,$D449-($D449-$I$427)*MIN(M$3-$O$2,$Q$2)/$Q$2))</f>
        <v>7069.15357125931</v>
      </c>
      <c r="N449" s="15" t="n">
        <f aca="false">M449*(1+IF(N$3&lt;=$O$2,$D449,$D449-($D449-$I$427)*MIN(N$3-$O$2,$Q$2)/$Q$2))</f>
        <v>7339.90215303854</v>
      </c>
      <c r="O449" s="15" t="n">
        <f aca="false">SUMPRODUCT(E449:N449,1/(1+$F$427)^$E$3:$N$3)*$E$2</f>
        <v>17857.8054155276</v>
      </c>
      <c r="P449" s="15" t="n">
        <f aca="false">N449*$E$2*(1+$I$427)/($F$427-$I$427)/(1+$F$427)^$N$3</f>
        <v>29099.3811153726</v>
      </c>
      <c r="Q449" s="15" t="n">
        <f aca="false">O449+P449</f>
        <v>46957.1865309002</v>
      </c>
      <c r="R449" s="15" t="n">
        <f aca="false">Q449-$G$2+$I$2</f>
        <v>40769.8865309002</v>
      </c>
      <c r="S449" s="42" t="n">
        <f aca="false">R449/$K$2</f>
        <v>560.796238389273</v>
      </c>
      <c r="T449" s="43" t="n">
        <f aca="false">S449-$M$2</f>
        <v>-0.00156078541715488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0.101420640945435</v>
      </c>
      <c r="C450" s="25" t="n">
        <f aca="false">IF(T449&gt;0,D449,C449)</f>
        <v>0.101421356201172</v>
      </c>
      <c r="D450" s="41" t="n">
        <f aca="false">(B450+C450)/2</f>
        <v>0.101420998573303</v>
      </c>
      <c r="E450" s="15" t="n">
        <f aca="false">$C$2*(1+IF(E$3&lt;=$O$2,$D450,$D450-($D450-$I$427)*MIN(E$3-$O$2,$Q$2)/$Q$2))</f>
        <v>3667.7319252491</v>
      </c>
      <c r="F450" s="15" t="n">
        <f aca="false">E450*(1+IF(F$3&lt;=$O$2,$D450,$D450-($D450-$I$427)*MIN(F$3-$O$2,$Q$2)/$Q$2))</f>
        <v>4039.71695960705</v>
      </c>
      <c r="G450" s="15" t="n">
        <f aca="false">F450*(1+IF(G$3&lt;=$O$2,$D450,$D450-($D450-$I$427)*MIN(G$3-$O$2,$Q$2)/$Q$2))</f>
        <v>4449.4290876039</v>
      </c>
      <c r="H450" s="15" t="n">
        <f aca="false">G450*(1+IF(H$3&lt;=$O$2,$D450,$D450-($D450-$I$427)*MIN(H$3-$O$2,$Q$2)/$Q$2))</f>
        <v>4900.69462874979</v>
      </c>
      <c r="I450" s="15" t="n">
        <f aca="false">H450*(1+IF(I$3&lt;=$O$2,$D450,$D450-($D450-$I$427)*MIN(I$3-$O$2,$Q$2)/$Q$2))</f>
        <v>5397.72797170042</v>
      </c>
      <c r="J450" s="15" t="n">
        <f aca="false">I450*(1+IF(J$3&lt;=$O$2,$D450,$D450-($D450-$I$427)*MIN(J$3-$O$2,$Q$2)/$Q$2))</f>
        <v>5877.02893669717</v>
      </c>
      <c r="K450" s="15" t="n">
        <f aca="false">J450*(1+IF(K$3&lt;=$O$2,$D450,$D450-($D450-$I$427)*MIN(K$3-$O$2,$Q$2)/$Q$2))</f>
        <v>6324.69750604979</v>
      </c>
      <c r="L450" s="15" t="n">
        <f aca="false">K450*(1+IF(L$3&lt;=$O$2,$D450,$D450-($D450-$I$427)*MIN(L$3-$O$2,$Q$2)/$Q$2))</f>
        <v>6726.62190943387</v>
      </c>
      <c r="M450" s="15" t="n">
        <f aca="false">L450*(1+IF(M$3&lt;=$O$2,$D450,$D450-($D450-$I$427)*MIN(M$3-$O$2,$Q$2)/$Q$2))</f>
        <v>7069.16974695489</v>
      </c>
      <c r="N450" s="15" t="n">
        <f aca="false">M450*(1+IF(N$3&lt;=$O$2,$D450,$D450-($D450-$I$427)*MIN(N$3-$O$2,$Q$2)/$Q$2))</f>
        <v>7339.91894826327</v>
      </c>
      <c r="O450" s="15" t="n">
        <f aca="false">SUMPRODUCT(E450:N450,1/(1+$F$427)^$E$3:$N$3)*$E$2</f>
        <v>17857.8330417315</v>
      </c>
      <c r="P450" s="15" t="n">
        <f aca="false">N450*$E$2*(1+$I$427)/($F$427-$I$427)/(1+$F$427)^$N$3</f>
        <v>29099.4477008168</v>
      </c>
      <c r="Q450" s="15" t="n">
        <f aca="false">O450+P450</f>
        <v>46957.2807425482</v>
      </c>
      <c r="R450" s="15" t="n">
        <f aca="false">Q450-$G$2+$I$2</f>
        <v>40769.9807425482</v>
      </c>
      <c r="S450" s="42" t="n">
        <f aca="false">R450/$K$2</f>
        <v>560.797534285395</v>
      </c>
      <c r="T450" s="43" t="n">
        <f aca="false">S450-$M$2</f>
        <v>-0.000264889295181092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0.101420998573303</v>
      </c>
      <c r="C451" s="25" t="n">
        <f aca="false">IF(T450&gt;0,D450,C450)</f>
        <v>0.101421356201172</v>
      </c>
      <c r="D451" s="41" t="n">
        <f aca="false">(B451+C451)/2</f>
        <v>0.101421177387238</v>
      </c>
      <c r="E451" s="15" t="n">
        <f aca="false">$C$2*(1+IF(E$3&lt;=$O$2,$D451,$D451-($D451-$I$427)*MIN(E$3-$O$2,$Q$2)/$Q$2))</f>
        <v>3667.7325206995</v>
      </c>
      <c r="F451" s="15" t="n">
        <f aca="false">E451*(1+IF(F$3&lt;=$O$2,$D451,$D451-($D451-$I$427)*MIN(F$3-$O$2,$Q$2)/$Q$2))</f>
        <v>4039.71827129031</v>
      </c>
      <c r="G451" s="15" t="n">
        <f aca="false">F451*(1+IF(G$3&lt;=$O$2,$D451,$D451-($D451-$I$427)*MIN(G$3-$O$2,$Q$2)/$Q$2))</f>
        <v>4449.4312546773</v>
      </c>
      <c r="H451" s="15" t="n">
        <f aca="false">G451*(1+IF(H$3&lt;=$O$2,$D451,$D451-($D451-$I$427)*MIN(H$3-$O$2,$Q$2)/$Q$2))</f>
        <v>4900.69781123025</v>
      </c>
      <c r="I451" s="15" t="n">
        <f aca="false">H451*(1+IF(I$3&lt;=$O$2,$D451,$D451-($D451-$I$427)*MIN(I$3-$O$2,$Q$2)/$Q$2))</f>
        <v>5397.73235326428</v>
      </c>
      <c r="J451" s="15" t="n">
        <f aca="false">I451*(1+IF(J$3&lt;=$O$2,$D451,$D451-($D451-$I$427)*MIN(J$3-$O$2,$Q$2)/$Q$2))</f>
        <v>5877.03447948168</v>
      </c>
      <c r="K451" s="15" t="n">
        <f aca="false">J451*(1+IF(K$3&lt;=$O$2,$D451,$D451-($D451-$I$427)*MIN(K$3-$O$2,$Q$2)/$Q$2))</f>
        <v>6324.70410158</v>
      </c>
      <c r="L451" s="15" t="n">
        <f aca="false">K451*(1+IF(L$3&lt;=$O$2,$D451,$D451-($D451-$I$427)*MIN(L$3-$O$2,$Q$2)/$Q$2))</f>
        <v>6726.62937647756</v>
      </c>
      <c r="M451" s="15" t="n">
        <f aca="false">L451*(1+IF(M$3&lt;=$O$2,$D451,$D451-($D451-$I$427)*MIN(M$3-$O$2,$Q$2)/$Q$2))</f>
        <v>7069.17783481482</v>
      </c>
      <c r="N451" s="15" t="n">
        <f aca="false">M451*(1+IF(N$3&lt;=$O$2,$D451,$D451-($D451-$I$427)*MIN(N$3-$O$2,$Q$2)/$Q$2))</f>
        <v>7339.92734588822</v>
      </c>
      <c r="O451" s="15" t="n">
        <f aca="false">SUMPRODUCT(E451:N451,1/(1+$F$427)^$E$3:$N$3)*$E$2</f>
        <v>17857.8468548494</v>
      </c>
      <c r="P451" s="15" t="n">
        <f aca="false">N451*$E$2*(1+$I$427)/($F$427-$I$427)/(1+$F$427)^$N$3</f>
        <v>29099.4809935888</v>
      </c>
      <c r="Q451" s="15" t="n">
        <f aca="false">O451+P451</f>
        <v>46957.3278484382</v>
      </c>
      <c r="R451" s="15" t="n">
        <f aca="false">Q451-$G$2+$I$2</f>
        <v>40770.0278484382</v>
      </c>
      <c r="S451" s="42" t="n">
        <f aca="false">R451/$K$2</f>
        <v>560.798182234363</v>
      </c>
      <c r="T451" s="43" t="n">
        <f aca="false">S451-$M$2</f>
        <v>0.000383059672003583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0.101420998573303</v>
      </c>
      <c r="C452" s="25" t="n">
        <f aca="false">IF(T451&gt;0,D451,C451)</f>
        <v>0.101421177387238</v>
      </c>
      <c r="D452" s="41" t="n">
        <f aca="false">(B452+C452)/2</f>
        <v>0.10142108798027</v>
      </c>
      <c r="E452" s="15" t="n">
        <f aca="false">$C$2*(1+IF(E$3&lt;=$O$2,$D452,$D452-($D452-$I$427)*MIN(E$3-$O$2,$Q$2)/$Q$2))</f>
        <v>3667.7322229743</v>
      </c>
      <c r="F452" s="15" t="n">
        <f aca="false">E452*(1+IF(F$3&lt;=$O$2,$D452,$D452-($D452-$I$427)*MIN(F$3-$O$2,$Q$2)/$Q$2))</f>
        <v>4039.71761544865</v>
      </c>
      <c r="G452" s="15" t="n">
        <f aca="false">F452*(1+IF(G$3&lt;=$O$2,$D452,$D452-($D452-$I$427)*MIN(G$3-$O$2,$Q$2)/$Q$2))</f>
        <v>4449.43017114052</v>
      </c>
      <c r="H452" s="15" t="n">
        <f aca="false">G452*(1+IF(H$3&lt;=$O$2,$D452,$D452-($D452-$I$427)*MIN(H$3-$O$2,$Q$2)/$Q$2))</f>
        <v>4900.69621998983</v>
      </c>
      <c r="I452" s="15" t="n">
        <f aca="false">H452*(1+IF(I$3&lt;=$O$2,$D452,$D452-($D452-$I$427)*MIN(I$3-$O$2,$Q$2)/$Q$2))</f>
        <v>5397.73016248199</v>
      </c>
      <c r="J452" s="15" t="n">
        <f aca="false">I452*(1+IF(J$3&lt;=$O$2,$D452,$D452-($D452-$I$427)*MIN(J$3-$O$2,$Q$2)/$Q$2))</f>
        <v>5877.03170808888</v>
      </c>
      <c r="K452" s="15" t="n">
        <f aca="false">J452*(1+IF(K$3&lt;=$O$2,$D452,$D452-($D452-$I$427)*MIN(K$3-$O$2,$Q$2)/$Q$2))</f>
        <v>6324.70080381416</v>
      </c>
      <c r="L452" s="15" t="n">
        <f aca="false">K452*(1+IF(L$3&lt;=$O$2,$D452,$D452-($D452-$I$427)*MIN(L$3-$O$2,$Q$2)/$Q$2))</f>
        <v>6726.62564295482</v>
      </c>
      <c r="M452" s="15" t="n">
        <f aca="false">L452*(1+IF(M$3&lt;=$O$2,$D452,$D452-($D452-$I$427)*MIN(M$3-$O$2,$Q$2)/$Q$2))</f>
        <v>7069.17379088384</v>
      </c>
      <c r="N452" s="15" t="n">
        <f aca="false">M452*(1+IF(N$3&lt;=$O$2,$D452,$D452-($D452-$I$427)*MIN(N$3-$O$2,$Q$2)/$Q$2))</f>
        <v>7339.9231470747</v>
      </c>
      <c r="O452" s="15" t="n">
        <f aca="false">SUMPRODUCT(E452:N452,1/(1+$F$427)^$E$3:$N$3)*$E$2</f>
        <v>17857.8399482891</v>
      </c>
      <c r="P452" s="15" t="n">
        <f aca="false">N452*$E$2*(1+$I$427)/($F$427-$I$427)/(1+$F$427)^$N$3</f>
        <v>29099.4643471986</v>
      </c>
      <c r="Q452" s="15" t="n">
        <f aca="false">O452+P452</f>
        <v>46957.3042954877</v>
      </c>
      <c r="R452" s="15" t="n">
        <f aca="false">Q452-$G$2+$I$2</f>
        <v>40770.0042954877</v>
      </c>
      <c r="S452" s="42" t="n">
        <f aca="false">R452/$K$2</f>
        <v>560.797858259803</v>
      </c>
      <c r="T452" s="43" t="n">
        <f aca="false">S452-$M$2</f>
        <v>5.90851129800285E-005</v>
      </c>
    </row>
    <row r="454" customFormat="false" ht="15" hidden="false" customHeight="false" outlineLevel="0" collapsed="false">
      <c r="A454" s="38" t="s">
        <v>197</v>
      </c>
      <c r="E454" s="5" t="s">
        <v>11</v>
      </c>
      <c r="F454" s="12" t="n">
        <f aca="false">Sensitivity!$B$13</f>
        <v>0.100330622875929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162</v>
      </c>
      <c r="B455" s="28" t="s">
        <v>163</v>
      </c>
      <c r="C455" s="28" t="s">
        <v>164</v>
      </c>
      <c r="D455" s="28" t="s">
        <v>165</v>
      </c>
      <c r="E455" s="28" t="s">
        <v>166</v>
      </c>
      <c r="F455" s="28" t="s">
        <v>167</v>
      </c>
      <c r="G455" s="28" t="s">
        <v>168</v>
      </c>
      <c r="H455" s="28" t="s">
        <v>169</v>
      </c>
      <c r="I455" s="28" t="s">
        <v>170</v>
      </c>
      <c r="J455" s="28" t="s">
        <v>171</v>
      </c>
      <c r="K455" s="28" t="s">
        <v>172</v>
      </c>
      <c r="L455" s="28" t="s">
        <v>173</v>
      </c>
      <c r="M455" s="28" t="s">
        <v>174</v>
      </c>
      <c r="N455" s="28" t="s">
        <v>175</v>
      </c>
      <c r="O455" s="28" t="s">
        <v>176</v>
      </c>
      <c r="P455" s="28" t="s">
        <v>177</v>
      </c>
      <c r="Q455" s="28" t="s">
        <v>178</v>
      </c>
      <c r="R455" s="28" t="s">
        <v>179</v>
      </c>
      <c r="S455" s="28" t="s">
        <v>180</v>
      </c>
      <c r="T455" s="28" t="s">
        <v>181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4162.5</v>
      </c>
      <c r="F456" s="15" t="n">
        <f aca="false">E456*(1+IF(F$3&lt;=$O$2,$D456,$D456-($D456-$I$454)*MIN(F$3-$O$2,$Q$2)/$Q$2))</f>
        <v>5203.125</v>
      </c>
      <c r="G456" s="15" t="n">
        <f aca="false">F456*(1+IF(G$3&lt;=$O$2,$D456,$D456-($D456-$I$454)*MIN(G$3-$O$2,$Q$2)/$Q$2))</f>
        <v>6503.90625</v>
      </c>
      <c r="H456" s="15" t="n">
        <f aca="false">G456*(1+IF(H$3&lt;=$O$2,$D456,$D456-($D456-$I$454)*MIN(H$3-$O$2,$Q$2)/$Q$2))</f>
        <v>8129.8828125</v>
      </c>
      <c r="I456" s="15" t="n">
        <f aca="false">H456*(1+IF(I$3&lt;=$O$2,$D456,$D456-($D456-$I$454)*MIN(I$3-$O$2,$Q$2)/$Q$2))</f>
        <v>10162.353515625</v>
      </c>
      <c r="J456" s="15" t="n">
        <f aca="false">I456*(1+IF(J$3&lt;=$O$2,$D456,$D456-($D456-$I$454)*MIN(J$3-$O$2,$Q$2)/$Q$2))</f>
        <v>12232.0184326172</v>
      </c>
      <c r="K456" s="15" t="n">
        <f aca="false">J456*(1+IF(K$3&lt;=$O$2,$D456,$D456-($D456-$I$454)*MIN(K$3-$O$2,$Q$2)/$Q$2))</f>
        <v>14156.3595724365</v>
      </c>
      <c r="L456" s="15" t="n">
        <f aca="false">K456*(1+IF(L$3&lt;=$O$2,$D456,$D456-($D456-$I$454)*MIN(L$3-$O$2,$Q$2)/$Q$2))</f>
        <v>15727.4323577855</v>
      </c>
      <c r="M456" s="15" t="n">
        <f aca="false">L456*(1+IF(M$3&lt;=$O$2,$D456,$D456-($D456-$I$454)*MIN(M$3-$O$2,$Q$2)/$Q$2))</f>
        <v>16744.0535853928</v>
      </c>
      <c r="N456" s="15" t="n">
        <f aca="false">M456*(1+IF(N$3&lt;=$O$2,$D456,$D456-($D456-$I$454)*MIN(N$3-$O$2,$Q$2)/$Q$2))</f>
        <v>17050.4697660055</v>
      </c>
      <c r="O456" s="15" t="n">
        <f aca="false">SUMPRODUCT(E456:N456,1/(1+$F$454)^$E$3:$N$3)*$E$2</f>
        <v>32426.5394717177</v>
      </c>
      <c r="P456" s="15" t="n">
        <f aca="false">N456*$E$2*(1+$I$454)/($F$454-$I$454)/(1+$F$454)^$N$3</f>
        <v>44038.7643834678</v>
      </c>
      <c r="Q456" s="15" t="n">
        <f aca="false">O456+P456</f>
        <v>76465.3038551856</v>
      </c>
      <c r="R456" s="15" t="n">
        <f aca="false">Q456-$G$2+$I$2</f>
        <v>70278.0038551856</v>
      </c>
      <c r="S456" s="42" t="n">
        <f aca="false">R456/$K$2</f>
        <v>966.685059906266</v>
      </c>
      <c r="T456" s="43" t="n">
        <f aca="false">S456-$M$2</f>
        <v>405.887260731576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2913.75</v>
      </c>
      <c r="F457" s="15" t="n">
        <f aca="false">E457*(1+IF(F$3&lt;=$O$2,$D457,$D457-($D457-$I$454)*MIN(F$3-$O$2,$Q$2)/$Q$2))</f>
        <v>2549.53125</v>
      </c>
      <c r="G457" s="15" t="n">
        <f aca="false">F457*(1+IF(G$3&lt;=$O$2,$D457,$D457-($D457-$I$454)*MIN(G$3-$O$2,$Q$2)/$Q$2))</f>
        <v>2230.83984375</v>
      </c>
      <c r="H457" s="15" t="n">
        <f aca="false">G457*(1+IF(H$3&lt;=$O$2,$D457,$D457-($D457-$I$454)*MIN(H$3-$O$2,$Q$2)/$Q$2))</f>
        <v>1951.98486328125</v>
      </c>
      <c r="I457" s="15" t="n">
        <f aca="false">H457*(1+IF(I$3&lt;=$O$2,$D457,$D457-($D457-$I$454)*MIN(I$3-$O$2,$Q$2)/$Q$2))</f>
        <v>1707.98675537109</v>
      </c>
      <c r="J457" s="15" t="n">
        <f aca="false">I457*(1+IF(J$3&lt;=$O$2,$D457,$D457-($D457-$I$454)*MIN(J$3-$O$2,$Q$2)/$Q$2))</f>
        <v>1543.43931135864</v>
      </c>
      <c r="K457" s="15" t="n">
        <f aca="false">J457*(1+IF(K$3&lt;=$O$2,$D457,$D457-($D457-$I$454)*MIN(K$3-$O$2,$Q$2)/$Q$2))</f>
        <v>1438.97933876589</v>
      </c>
      <c r="L457" s="15" t="n">
        <f aca="false">K457*(1+IF(L$3&lt;=$O$2,$D457,$D457-($D457-$I$454)*MIN(L$3-$O$2,$Q$2)/$Q$2))</f>
        <v>1382.83036496724</v>
      </c>
      <c r="M457" s="15" t="n">
        <f aca="false">L457*(1+IF(M$3&lt;=$O$2,$D457,$D457-($D457-$I$454)*MIN(M$3-$O$2,$Q$2)/$Q$2))</f>
        <v>1368.50424238618</v>
      </c>
      <c r="N457" s="15" t="n">
        <f aca="false">M457*(1+IF(N$3&lt;=$O$2,$D457,$D457-($D457-$I$454)*MIN(N$3-$O$2,$Q$2)/$Q$2))</f>
        <v>1393.54787002185</v>
      </c>
      <c r="O457" s="15" t="n">
        <f aca="false">SUMPRODUCT(E457:N457,1/(1+$F$454)^$E$3:$N$3)*$E$2</f>
        <v>6594.83661372565</v>
      </c>
      <c r="P457" s="15" t="n">
        <f aca="false">N457*$E$2*(1+$I$454)/($F$454-$I$454)/(1+$F$454)^$N$3</f>
        <v>3599.32172821027</v>
      </c>
      <c r="Q457" s="15" t="n">
        <f aca="false">O457+P457</f>
        <v>10194.1583419359</v>
      </c>
      <c r="R457" s="15" t="n">
        <f aca="false">Q457-$G$2+$I$2</f>
        <v>4006.85834193591</v>
      </c>
      <c r="S457" s="42" t="n">
        <f aca="false">R457/$K$2</f>
        <v>55.1149703154871</v>
      </c>
      <c r="T457" s="43" t="n">
        <f aca="false">S457-$M$2</f>
        <v>-505.682828859203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3538.125</v>
      </c>
      <c r="F458" s="15" t="n">
        <f aca="false">E458*(1+IF(F$3&lt;=$O$2,$D458,$D458-($D458-$I$454)*MIN(F$3-$O$2,$Q$2)/$Q$2))</f>
        <v>3759.2578125</v>
      </c>
      <c r="G458" s="15" t="n">
        <f aca="false">F458*(1+IF(G$3&lt;=$O$2,$D458,$D458-($D458-$I$454)*MIN(G$3-$O$2,$Q$2)/$Q$2))</f>
        <v>3994.21142578125</v>
      </c>
      <c r="H458" s="15" t="n">
        <f aca="false">G458*(1+IF(H$3&lt;=$O$2,$D458,$D458-($D458-$I$454)*MIN(H$3-$O$2,$Q$2)/$Q$2))</f>
        <v>4243.84963989258</v>
      </c>
      <c r="I458" s="15" t="n">
        <f aca="false">H458*(1+IF(I$3&lt;=$O$2,$D458,$D458-($D458-$I$454)*MIN(I$3-$O$2,$Q$2)/$Q$2))</f>
        <v>4509.09024238586</v>
      </c>
      <c r="J458" s="15" t="n">
        <f aca="false">I458*(1+IF(J$3&lt;=$O$2,$D458,$D458-($D458-$I$454)*MIN(J$3-$O$2,$Q$2)/$Q$2))</f>
        <v>4751.04802479229</v>
      </c>
      <c r="K458" s="15" t="n">
        <f aca="false">J458*(1+IF(K$3&lt;=$O$2,$D458,$D458-($D458-$I$454)*MIN(K$3-$O$2,$Q$2)/$Q$2))</f>
        <v>4963.98999726348</v>
      </c>
      <c r="L458" s="15" t="n">
        <f aca="false">K458*(1+IF(L$3&lt;=$O$2,$D458,$D458-($D458-$I$454)*MIN(L$3-$O$2,$Q$2)/$Q$2))</f>
        <v>5142.59435736502</v>
      </c>
      <c r="M458" s="15" t="n">
        <f aca="false">L458*(1+IF(M$3&lt;=$O$2,$D458,$D458-($D458-$I$454)*MIN(M$3-$O$2,$Q$2)/$Q$2))</f>
        <v>5282.16436822391</v>
      </c>
      <c r="N458" s="15" t="n">
        <f aca="false">M458*(1+IF(N$3&lt;=$O$2,$D458,$D458-($D458-$I$454)*MIN(N$3-$O$2,$Q$2)/$Q$2))</f>
        <v>5378.8279761624</v>
      </c>
      <c r="O458" s="15" t="n">
        <f aca="false">SUMPRODUCT(E458:N458,1/(1+$F$454)^$E$3:$N$3)*$E$2</f>
        <v>14573.3497459349</v>
      </c>
      <c r="P458" s="15" t="n">
        <f aca="false">N458*$E$2*(1+$I$454)/($F$454-$I$454)/(1+$F$454)^$N$3</f>
        <v>13892.6927616796</v>
      </c>
      <c r="Q458" s="15" t="n">
        <f aca="false">O458+P458</f>
        <v>28466.0425076145</v>
      </c>
      <c r="R458" s="15" t="n">
        <f aca="false">Q458-$G$2+$I$2</f>
        <v>22278.7425076145</v>
      </c>
      <c r="S458" s="42" t="n">
        <f aca="false">R458/$K$2</f>
        <v>306.447627339952</v>
      </c>
      <c r="T458" s="43" t="n">
        <f aca="false">S458-$M$2</f>
        <v>-254.350171834739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3850.3125</v>
      </c>
      <c r="F459" s="15" t="n">
        <f aca="false">E459*(1+IF(F$3&lt;=$O$2,$D459,$D459-($D459-$I$454)*MIN(F$3-$O$2,$Q$2)/$Q$2))</f>
        <v>4451.923828125</v>
      </c>
      <c r="G459" s="15" t="n">
        <f aca="false">F459*(1+IF(G$3&lt;=$O$2,$D459,$D459-($D459-$I$454)*MIN(G$3-$O$2,$Q$2)/$Q$2))</f>
        <v>5147.53692626953</v>
      </c>
      <c r="H459" s="15" t="n">
        <f aca="false">G459*(1+IF(H$3&lt;=$O$2,$D459,$D459-($D459-$I$454)*MIN(H$3-$O$2,$Q$2)/$Q$2))</f>
        <v>5951.83957099915</v>
      </c>
      <c r="I459" s="15" t="n">
        <f aca="false">H459*(1+IF(I$3&lt;=$O$2,$D459,$D459-($D459-$I$454)*MIN(I$3-$O$2,$Q$2)/$Q$2))</f>
        <v>6881.81450396776</v>
      </c>
      <c r="J459" s="15" t="n">
        <f aca="false">I459*(1+IF(J$3&lt;=$O$2,$D459,$D459-($D459-$I$454)*MIN(J$3-$O$2,$Q$2)/$Q$2))</f>
        <v>7767.22875804825</v>
      </c>
      <c r="K459" s="15" t="n">
        <f aca="false">J459*(1+IF(K$3&lt;=$O$2,$D459,$D459-($D459-$I$454)*MIN(K$3-$O$2,$Q$2)/$Q$2))</f>
        <v>8552.26256862419</v>
      </c>
      <c r="L459" s="15" t="n">
        <f aca="false">K459*(1+IF(L$3&lt;=$O$2,$D459,$D459-($D459-$I$454)*MIN(L$3-$O$2,$Q$2)/$Q$2))</f>
        <v>9180.6828221667</v>
      </c>
      <c r="M459" s="15" t="n">
        <f aca="false">L459*(1+IF(M$3&lt;=$O$2,$D459,$D459-($D459-$I$454)*MIN(M$3-$O$2,$Q$2)/$Q$2))</f>
        <v>9601.98435687593</v>
      </c>
      <c r="N459" s="15" t="n">
        <f aca="false">M459*(1+IF(N$3&lt;=$O$2,$D459,$D459-($D459-$I$454)*MIN(N$3-$O$2,$Q$2)/$Q$2))</f>
        <v>9777.70067060676</v>
      </c>
      <c r="O459" s="15" t="n">
        <f aca="false">SUMPRODUCT(E459:N459,1/(1+$F$454)^$E$3:$N$3)*$E$2</f>
        <v>21768.1873096666</v>
      </c>
      <c r="P459" s="15" t="n">
        <f aca="false">N459*$E$2*(1+$I$454)/($F$454-$I$454)/(1+$F$454)^$N$3</f>
        <v>25254.3104063581</v>
      </c>
      <c r="Q459" s="15" t="n">
        <f aca="false">O459+P459</f>
        <v>47022.4977160247</v>
      </c>
      <c r="R459" s="15" t="n">
        <f aca="false">Q459-$G$2+$I$2</f>
        <v>40835.1977160247</v>
      </c>
      <c r="S459" s="42" t="n">
        <f aca="false">R459/$K$2</f>
        <v>561.694604071866</v>
      </c>
      <c r="T459" s="43" t="n">
        <f aca="false">S459-$M$2</f>
        <v>0.896804897175571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3694.21875</v>
      </c>
      <c r="F460" s="15" t="n">
        <f aca="false">E460*(1+IF(F$3&lt;=$O$2,$D460,$D460-($D460-$I$454)*MIN(F$3-$O$2,$Q$2)/$Q$2))</f>
        <v>4098.27392578125</v>
      </c>
      <c r="G460" s="15" t="n">
        <f aca="false">F460*(1+IF(G$3&lt;=$O$2,$D460,$D460-($D460-$I$454)*MIN(G$3-$O$2,$Q$2)/$Q$2))</f>
        <v>4546.52263641357</v>
      </c>
      <c r="H460" s="15" t="n">
        <f aca="false">G460*(1+IF(H$3&lt;=$O$2,$D460,$D460-($D460-$I$454)*MIN(H$3-$O$2,$Q$2)/$Q$2))</f>
        <v>5043.79854977131</v>
      </c>
      <c r="I460" s="15" t="n">
        <f aca="false">H460*(1+IF(I$3&lt;=$O$2,$D460,$D460-($D460-$I$454)*MIN(I$3-$O$2,$Q$2)/$Q$2))</f>
        <v>5595.46401615255</v>
      </c>
      <c r="J460" s="15" t="n">
        <f aca="false">I460*(1+IF(J$3&lt;=$O$2,$D460,$D460-($D460-$I$454)*MIN(J$3-$O$2,$Q$2)/$Q$2))</f>
        <v>6105.54651586501</v>
      </c>
      <c r="K460" s="15" t="n">
        <f aca="false">J460*(1+IF(K$3&lt;=$O$2,$D460,$D460-($D460-$I$454)*MIN(K$3-$O$2,$Q$2)/$Q$2))</f>
        <v>6550.91560646479</v>
      </c>
      <c r="L460" s="15" t="n">
        <f aca="false">K460*(1+IF(L$3&lt;=$O$2,$D460,$D460-($D460-$I$454)*MIN(L$3-$O$2,$Q$2)/$Q$2))</f>
        <v>6909.4472176066</v>
      </c>
      <c r="M460" s="15" t="n">
        <f aca="false">L460*(1+IF(M$3&lt;=$O$2,$D460,$D460-($D460-$I$454)*MIN(M$3-$O$2,$Q$2)/$Q$2))</f>
        <v>7161.74568275751</v>
      </c>
      <c r="N460" s="15" t="n">
        <f aca="false">M460*(1+IF(N$3&lt;=$O$2,$D460,$D460-($D460-$I$454)*MIN(N$3-$O$2,$Q$2)/$Q$2))</f>
        <v>7292.80562875197</v>
      </c>
      <c r="O460" s="15" t="n">
        <f aca="false">SUMPRODUCT(E460:N460,1/(1+$F$454)^$E$3:$N$3)*$E$2</f>
        <v>17812.7078150015</v>
      </c>
      <c r="P460" s="15" t="n">
        <f aca="false">N460*$E$2*(1+$I$454)/($F$454-$I$454)/(1+$F$454)^$N$3</f>
        <v>18836.20528857</v>
      </c>
      <c r="Q460" s="15" t="n">
        <f aca="false">O460+P460</f>
        <v>36648.9131035715</v>
      </c>
      <c r="R460" s="15" t="n">
        <f aca="false">Q460-$G$2+$I$2</f>
        <v>30461.6131035715</v>
      </c>
      <c r="S460" s="42" t="n">
        <f aca="false">R460/$K$2</f>
        <v>419.004306789154</v>
      </c>
      <c r="T460" s="43" t="n">
        <f aca="false">S460-$M$2</f>
        <v>-141.793492385536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0.109375</v>
      </c>
      <c r="C461" s="25" t="n">
        <f aca="false">IF(T460&gt;0,D460,C460)</f>
        <v>0.15625</v>
      </c>
      <c r="D461" s="41" t="n">
        <f aca="false">(B461+C461)/2</f>
        <v>0.1328125</v>
      </c>
      <c r="E461" s="15" t="n">
        <f aca="false">$C$2*(1+IF(E$3&lt;=$O$2,$D461,$D461-($D461-$I$454)*MIN(E$3-$O$2,$Q$2)/$Q$2))</f>
        <v>3772.265625</v>
      </c>
      <c r="F461" s="15" t="n">
        <f aca="false">E461*(1+IF(F$3&lt;=$O$2,$D461,$D461-($D461-$I$454)*MIN(F$3-$O$2,$Q$2)/$Q$2))</f>
        <v>4273.26965332031</v>
      </c>
      <c r="G461" s="15" t="n">
        <f aca="false">F461*(1+IF(G$3&lt;=$O$2,$D461,$D461-($D461-$I$454)*MIN(G$3-$O$2,$Q$2)/$Q$2))</f>
        <v>4840.81327915192</v>
      </c>
      <c r="H461" s="15" t="n">
        <f aca="false">G461*(1+IF(H$3&lt;=$O$2,$D461,$D461-($D461-$I$454)*MIN(H$3-$O$2,$Q$2)/$Q$2))</f>
        <v>5483.73379278928</v>
      </c>
      <c r="I461" s="15" t="n">
        <f aca="false">H461*(1+IF(I$3&lt;=$O$2,$D461,$D461-($D461-$I$454)*MIN(I$3-$O$2,$Q$2)/$Q$2))</f>
        <v>6212.04218714411</v>
      </c>
      <c r="J461" s="15" t="n">
        <f aca="false">I461*(1+IF(J$3&lt;=$O$2,$D461,$D461-($D461-$I$454)*MIN(J$3-$O$2,$Q$2)/$Q$2))</f>
        <v>6894.80774393312</v>
      </c>
      <c r="K461" s="15" t="n">
        <f aca="false">J461*(1+IF(K$3&lt;=$O$2,$D461,$D461-($D461-$I$454)*MIN(K$3-$O$2,$Q$2)/$Q$2))</f>
        <v>7494.70772871338</v>
      </c>
      <c r="L461" s="15" t="n">
        <f aca="false">K461*(1+IF(L$3&lt;=$O$2,$D461,$D461-($D461-$I$454)*MIN(L$3-$O$2,$Q$2)/$Q$2))</f>
        <v>7975.15596766255</v>
      </c>
      <c r="M461" s="15" t="n">
        <f aca="false">L461*(1+IF(M$3&lt;=$O$2,$D461,$D461-($D461-$I$454)*MIN(M$3-$O$2,$Q$2)/$Q$2))</f>
        <v>8303.75233142016</v>
      </c>
      <c r="N461" s="15" t="n">
        <f aca="false">M461*(1+IF(N$3&lt;=$O$2,$D461,$D461-($D461-$I$454)*MIN(N$3-$O$2,$Q$2)/$Q$2))</f>
        <v>8455.71099908515</v>
      </c>
      <c r="O461" s="15" t="n">
        <f aca="false">SUMPRODUCT(E461:N461,1/(1+$F$454)^$E$3:$N$3)*$E$2</f>
        <v>19692.4847465201</v>
      </c>
      <c r="P461" s="15" t="n">
        <f aca="false">N461*$E$2*(1+$I$454)/($F$454-$I$454)/(1+$F$454)^$N$3</f>
        <v>21839.812597178</v>
      </c>
      <c r="Q461" s="15" t="n">
        <f aca="false">O461+P461</f>
        <v>41532.297343698</v>
      </c>
      <c r="R461" s="15" t="n">
        <f aca="false">Q461-$G$2+$I$2</f>
        <v>35344.997343698</v>
      </c>
      <c r="S461" s="42" t="n">
        <f aca="false">R461/$K$2</f>
        <v>486.176029486905</v>
      </c>
      <c r="T461" s="43" t="n">
        <f aca="false">S461-$M$2</f>
        <v>-74.6217696877853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0.1328125</v>
      </c>
      <c r="C462" s="25" t="n">
        <f aca="false">IF(T461&gt;0,D461,C461)</f>
        <v>0.15625</v>
      </c>
      <c r="D462" s="41" t="n">
        <f aca="false">(B462+C462)/2</f>
        <v>0.14453125</v>
      </c>
      <c r="E462" s="15" t="n">
        <f aca="false">$C$2*(1+IF(E$3&lt;=$O$2,$D462,$D462-($D462-$I$454)*MIN(E$3-$O$2,$Q$2)/$Q$2))</f>
        <v>3811.2890625</v>
      </c>
      <c r="F462" s="15" t="n">
        <f aca="false">E462*(1+IF(F$3&lt;=$O$2,$D462,$D462-($D462-$I$454)*MIN(F$3-$O$2,$Q$2)/$Q$2))</f>
        <v>4362.13943481445</v>
      </c>
      <c r="G462" s="15" t="n">
        <f aca="false">F462*(1+IF(G$3&lt;=$O$2,$D462,$D462-($D462-$I$454)*MIN(G$3-$O$2,$Q$2)/$Q$2))</f>
        <v>4992.60490000248</v>
      </c>
      <c r="H462" s="15" t="n">
        <f aca="false">G462*(1+IF(H$3&lt;=$O$2,$D462,$D462-($D462-$I$454)*MIN(H$3-$O$2,$Q$2)/$Q$2))</f>
        <v>5714.19232695596</v>
      </c>
      <c r="I462" s="15" t="n">
        <f aca="false">H462*(1+IF(I$3&lt;=$O$2,$D462,$D462-($D462-$I$454)*MIN(I$3-$O$2,$Q$2)/$Q$2))</f>
        <v>6540.07168671132</v>
      </c>
      <c r="J462" s="15" t="n">
        <f aca="false">I462*(1+IF(J$3&lt;=$O$2,$D462,$D462-($D462-$I$454)*MIN(J$3-$O$2,$Q$2)/$Q$2))</f>
        <v>7320.20413786068</v>
      </c>
      <c r="K462" s="15" t="n">
        <f aca="false">J462*(1+IF(K$3&lt;=$O$2,$D462,$D462-($D462-$I$454)*MIN(K$3-$O$2,$Q$2)/$Q$2))</f>
        <v>8008.58698472992</v>
      </c>
      <c r="L462" s="15" t="n">
        <f aca="false">K462*(1+IF(L$3&lt;=$O$2,$D462,$D462-($D462-$I$454)*MIN(L$3-$O$2,$Q$2)/$Q$2))</f>
        <v>8559.51770487696</v>
      </c>
      <c r="M462" s="15" t="n">
        <f aca="false">L462*(1+IF(M$3&lt;=$O$2,$D462,$D462-($D462-$I$454)*MIN(M$3-$O$2,$Q$2)/$Q$2))</f>
        <v>8932.25260273295</v>
      </c>
      <c r="N462" s="15" t="n">
        <f aca="false">M462*(1+IF(N$3&lt;=$O$2,$D462,$D462-($D462-$I$454)*MIN(N$3-$O$2,$Q$2)/$Q$2))</f>
        <v>9095.71282536297</v>
      </c>
      <c r="O462" s="15" t="n">
        <f aca="false">SUMPRODUCT(E462:N462,1/(1+$F$454)^$E$3:$N$3)*$E$2</f>
        <v>20704.7142176469</v>
      </c>
      <c r="P462" s="15" t="n">
        <f aca="false">N462*$E$2*(1+$I$454)/($F$454-$I$454)/(1+$F$454)^$N$3</f>
        <v>23492.8397582613</v>
      </c>
      <c r="Q462" s="15" t="n">
        <f aca="false">O462+P462</f>
        <v>44197.5539759082</v>
      </c>
      <c r="R462" s="15" t="n">
        <f aca="false">Q462-$G$2+$I$2</f>
        <v>38010.2539759082</v>
      </c>
      <c r="S462" s="42" t="n">
        <f aca="false">R462/$K$2</f>
        <v>522.837056064763</v>
      </c>
      <c r="T462" s="43" t="n">
        <f aca="false">S462-$M$2</f>
        <v>-37.960743109928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0.14453125</v>
      </c>
      <c r="C463" s="25" t="n">
        <f aca="false">IF(T462&gt;0,D462,C462)</f>
        <v>0.15625</v>
      </c>
      <c r="D463" s="41" t="n">
        <f aca="false">(B463+C463)/2</f>
        <v>0.150390625</v>
      </c>
      <c r="E463" s="15" t="n">
        <f aca="false">$C$2*(1+IF(E$3&lt;=$O$2,$D463,$D463-($D463-$I$454)*MIN(E$3-$O$2,$Q$2)/$Q$2))</f>
        <v>3830.80078125</v>
      </c>
      <c r="F463" s="15" t="n">
        <f aca="false">E463*(1+IF(F$3&lt;=$O$2,$D463,$D463-($D463-$I$454)*MIN(F$3-$O$2,$Q$2)/$Q$2))</f>
        <v>4406.91730499268</v>
      </c>
      <c r="G463" s="15" t="n">
        <f aca="false">F463*(1+IF(G$3&lt;=$O$2,$D463,$D463-($D463-$I$454)*MIN(G$3-$O$2,$Q$2)/$Q$2))</f>
        <v>5069.67635281384</v>
      </c>
      <c r="H463" s="15" t="n">
        <f aca="false">G463*(1+IF(H$3&lt;=$O$2,$D463,$D463-($D463-$I$454)*MIN(H$3-$O$2,$Q$2)/$Q$2))</f>
        <v>5832.10814806123</v>
      </c>
      <c r="I463" s="15" t="n">
        <f aca="false">H463*(1+IF(I$3&lt;=$O$2,$D463,$D463-($D463-$I$454)*MIN(I$3-$O$2,$Q$2)/$Q$2))</f>
        <v>6709.20253751576</v>
      </c>
      <c r="J463" s="15" t="n">
        <f aca="false">I463*(1+IF(J$3&lt;=$O$2,$D463,$D463-($D463-$I$454)*MIN(J$3-$O$2,$Q$2)/$Q$2))</f>
        <v>7540.95914909793</v>
      </c>
      <c r="K463" s="15" t="n">
        <f aca="false">J463*(1+IF(K$3&lt;=$O$2,$D463,$D463-($D463-$I$454)*MIN(K$3-$O$2,$Q$2)/$Q$2))</f>
        <v>8276.61270578871</v>
      </c>
      <c r="L463" s="15" t="n">
        <f aca="false">K463*(1+IF(L$3&lt;=$O$2,$D463,$D463-($D463-$I$454)*MIN(L$3-$O$2,$Q$2)/$Q$2))</f>
        <v>8865.37989638087</v>
      </c>
      <c r="M463" s="15" t="n">
        <f aca="false">L463*(1+IF(M$3&lt;=$O$2,$D463,$D463-($D463-$I$454)*MIN(M$3-$O$2,$Q$2)/$Q$2))</f>
        <v>9261.82306275972</v>
      </c>
      <c r="N463" s="15" t="n">
        <f aca="false">M463*(1+IF(N$3&lt;=$O$2,$D463,$D463-($D463-$I$454)*MIN(N$3-$O$2,$Q$2)/$Q$2))</f>
        <v>9431.31442480822</v>
      </c>
      <c r="O463" s="15" t="n">
        <f aca="false">SUMPRODUCT(E463:N463,1/(1+$F$454)^$E$3:$N$3)*$E$2</f>
        <v>21229.8989915275</v>
      </c>
      <c r="P463" s="15" t="n">
        <f aca="false">N463*$E$2*(1+$I$454)/($F$454-$I$454)/(1+$F$454)^$N$3</f>
        <v>24359.6475335023</v>
      </c>
      <c r="Q463" s="15" t="n">
        <f aca="false">O463+P463</f>
        <v>45589.5465250298</v>
      </c>
      <c r="R463" s="15" t="n">
        <f aca="false">Q463-$G$2+$I$2</f>
        <v>39402.2465250298</v>
      </c>
      <c r="S463" s="42" t="n">
        <f aca="false">R463/$K$2</f>
        <v>541.984133769323</v>
      </c>
      <c r="T463" s="43" t="n">
        <f aca="false">S463-$M$2</f>
        <v>-18.8136654053671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0.150390625</v>
      </c>
      <c r="C464" s="25" t="n">
        <f aca="false">IF(T463&gt;0,D463,C463)</f>
        <v>0.15625</v>
      </c>
      <c r="D464" s="41" t="n">
        <f aca="false">(B464+C464)/2</f>
        <v>0.1533203125</v>
      </c>
      <c r="E464" s="15" t="n">
        <f aca="false">$C$2*(1+IF(E$3&lt;=$O$2,$D464,$D464-($D464-$I$454)*MIN(E$3-$O$2,$Q$2)/$Q$2))</f>
        <v>3840.556640625</v>
      </c>
      <c r="F464" s="15" t="n">
        <f aca="false">E464*(1+IF(F$3&lt;=$O$2,$D464,$D464-($D464-$I$454)*MIN(F$3-$O$2,$Q$2)/$Q$2))</f>
        <v>4429.39198493958</v>
      </c>
      <c r="G464" s="15" t="n">
        <f aca="false">F464*(1+IF(G$3&lt;=$O$2,$D464,$D464-($D464-$I$454)*MIN(G$3-$O$2,$Q$2)/$Q$2))</f>
        <v>5108.50774825551</v>
      </c>
      <c r="H464" s="15" t="n">
        <f aca="false">G464*(1+IF(H$3&lt;=$O$2,$D464,$D464-($D464-$I$454)*MIN(H$3-$O$2,$Q$2)/$Q$2))</f>
        <v>5891.74575262671</v>
      </c>
      <c r="I464" s="15" t="n">
        <f aca="false">H464*(1+IF(I$3&lt;=$O$2,$D464,$D464-($D464-$I$454)*MIN(I$3-$O$2,$Q$2)/$Q$2))</f>
        <v>6795.07005258999</v>
      </c>
      <c r="J464" s="15" t="n">
        <f aca="false">I464*(1+IF(J$3&lt;=$O$2,$D464,$D464-($D464-$I$454)*MIN(J$3-$O$2,$Q$2)/$Q$2))</f>
        <v>7653.39782012046</v>
      </c>
      <c r="K464" s="15" t="n">
        <f aca="false">J464*(1+IF(K$3&lt;=$O$2,$D464,$D464-($D464-$I$454)*MIN(K$3-$O$2,$Q$2)/$Q$2))</f>
        <v>8413.47349944435</v>
      </c>
      <c r="L464" s="15" t="n">
        <f aca="false">K464*(1+IF(L$3&lt;=$O$2,$D464,$D464-($D464-$I$454)*MIN(L$3-$O$2,$Q$2)/$Q$2))</f>
        <v>9021.83599292636</v>
      </c>
      <c r="M464" s="15" t="n">
        <f aca="false">L464*(1+IF(M$3&lt;=$O$2,$D464,$D464-($D464-$I$454)*MIN(M$3-$O$2,$Q$2)/$Q$2))</f>
        <v>9430.56181461464</v>
      </c>
      <c r="N464" s="15" t="n">
        <f aca="false">M464*(1+IF(N$3&lt;=$O$2,$D464,$D464-($D464-$I$454)*MIN(N$3-$O$2,$Q$2)/$Q$2))</f>
        <v>9603.14109582209</v>
      </c>
      <c r="O464" s="15" t="n">
        <f aca="false">SUMPRODUCT(E464:N464,1/(1+$F$454)^$E$3:$N$3)*$E$2</f>
        <v>21497.3866018618</v>
      </c>
      <c r="P464" s="15" t="n">
        <f aca="false">N464*$E$2*(1+$I$454)/($F$454-$I$454)/(1+$F$454)^$N$3</f>
        <v>24803.449633</v>
      </c>
      <c r="Q464" s="15" t="n">
        <f aca="false">O464+P464</f>
        <v>46300.8362348618</v>
      </c>
      <c r="R464" s="15" t="n">
        <f aca="false">Q464-$G$2+$I$2</f>
        <v>40113.5362348618</v>
      </c>
      <c r="S464" s="42" t="n">
        <f aca="false">R464/$K$2</f>
        <v>551.768036242941</v>
      </c>
      <c r="T464" s="43" t="n">
        <f aca="false">S464-$M$2</f>
        <v>-9.02976293174982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0.1533203125</v>
      </c>
      <c r="C465" s="25" t="n">
        <f aca="false">IF(T464&gt;0,D464,C464)</f>
        <v>0.15625</v>
      </c>
      <c r="D465" s="41" t="n">
        <f aca="false">(B465+C465)/2</f>
        <v>0.15478515625</v>
      </c>
      <c r="E465" s="15" t="n">
        <f aca="false">$C$2*(1+IF(E$3&lt;=$O$2,$D465,$D465-($D465-$I$454)*MIN(E$3-$O$2,$Q$2)/$Q$2))</f>
        <v>3845.4345703125</v>
      </c>
      <c r="F465" s="15" t="n">
        <f aca="false">E465*(1+IF(F$3&lt;=$O$2,$D465,$D465-($D465-$I$454)*MIN(F$3-$O$2,$Q$2)/$Q$2))</f>
        <v>4440.65076112747</v>
      </c>
      <c r="G465" s="15" t="n">
        <f aca="false">F465*(1+IF(G$3&lt;=$O$2,$D465,$D465-($D465-$I$454)*MIN(G$3-$O$2,$Q$2)/$Q$2))</f>
        <v>5127.99758304027</v>
      </c>
      <c r="H465" s="15" t="n">
        <f aca="false">G465*(1+IF(H$3&lt;=$O$2,$D465,$D465-($D465-$I$454)*MIN(H$3-$O$2,$Q$2)/$Q$2))</f>
        <v>5921.73549018078</v>
      </c>
      <c r="I465" s="15" t="n">
        <f aca="false">H465*(1+IF(I$3&lt;=$O$2,$D465,$D465-($D465-$I$454)*MIN(I$3-$O$2,$Q$2)/$Q$2))</f>
        <v>6838.33224329958</v>
      </c>
      <c r="J465" s="15" t="n">
        <f aca="false">I465*(1+IF(J$3&lt;=$O$2,$D465,$D465-($D465-$I$454)*MIN(J$3-$O$2,$Q$2)/$Q$2))</f>
        <v>7710.13839912489</v>
      </c>
      <c r="K465" s="15" t="n">
        <f aca="false">J465*(1+IF(K$3&lt;=$O$2,$D465,$D465-($D465-$I$454)*MIN(K$3-$O$2,$Q$2)/$Q$2))</f>
        <v>8482.62559829709</v>
      </c>
      <c r="L465" s="15" t="n">
        <f aca="false">K465*(1+IF(L$3&lt;=$O$2,$D465,$D465-($D465-$I$454)*MIN(L$3-$O$2,$Q$2)/$Q$2))</f>
        <v>9100.95863882345</v>
      </c>
      <c r="M465" s="15" t="n">
        <f aca="false">L465*(1+IF(M$3&lt;=$O$2,$D465,$D465-($D465-$I$454)*MIN(M$3-$O$2,$Q$2)/$Q$2))</f>
        <v>9515.93533428284</v>
      </c>
      <c r="N465" s="15" t="n">
        <f aca="false">M465*(1+IF(N$3&lt;=$O$2,$D465,$D465-($D465-$I$454)*MIN(N$3-$O$2,$Q$2)/$Q$2))</f>
        <v>9690.07695090022</v>
      </c>
      <c r="O465" s="15" t="n">
        <f aca="false">SUMPRODUCT(E465:N465,1/(1+$F$454)^$E$3:$N$3)*$E$2</f>
        <v>21632.3704728921</v>
      </c>
      <c r="P465" s="15" t="n">
        <f aca="false">N465*$E$2*(1+$I$454)/($F$454-$I$454)/(1+$F$454)^$N$3</f>
        <v>25027.9916949374</v>
      </c>
      <c r="Q465" s="15" t="n">
        <f aca="false">O465+P465</f>
        <v>46660.3621678295</v>
      </c>
      <c r="R465" s="15" t="n">
        <f aca="false">Q465-$G$2+$I$2</f>
        <v>40473.0621678295</v>
      </c>
      <c r="S465" s="42" t="n">
        <f aca="false">R465/$K$2</f>
        <v>556.713372322276</v>
      </c>
      <c r="T465" s="43" t="n">
        <f aca="false">S465-$M$2</f>
        <v>-4.08442685241403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0.15478515625</v>
      </c>
      <c r="C466" s="25" t="n">
        <f aca="false">IF(T465&gt;0,D465,C465)</f>
        <v>0.15625</v>
      </c>
      <c r="D466" s="41" t="n">
        <f aca="false">(B466+C466)/2</f>
        <v>0.155517578125</v>
      </c>
      <c r="E466" s="15" t="n">
        <f aca="false">$C$2*(1+IF(E$3&lt;=$O$2,$D466,$D466-($D466-$I$454)*MIN(E$3-$O$2,$Q$2)/$Q$2))</f>
        <v>3847.87353515625</v>
      </c>
      <c r="F466" s="15" t="n">
        <f aca="false">E466*(1+IF(F$3&lt;=$O$2,$D466,$D466-($D466-$I$454)*MIN(F$3-$O$2,$Q$2)/$Q$2))</f>
        <v>4446.28550827503</v>
      </c>
      <c r="G466" s="15" t="n">
        <f aca="false">F466*(1+IF(G$3&lt;=$O$2,$D466,$D466-($D466-$I$454)*MIN(G$3-$O$2,$Q$2)/$Q$2))</f>
        <v>5137.76106217425</v>
      </c>
      <c r="H466" s="15" t="n">
        <f aca="false">G466*(1+IF(H$3&lt;=$O$2,$D466,$D466-($D466-$I$454)*MIN(H$3-$O$2,$Q$2)/$Q$2))</f>
        <v>5936.77321954852</v>
      </c>
      <c r="I466" s="15" t="n">
        <f aca="false">H466*(1+IF(I$3&lt;=$O$2,$D466,$D466-($D466-$I$454)*MIN(I$3-$O$2,$Q$2)/$Q$2))</f>
        <v>6860.04581253006</v>
      </c>
      <c r="J466" s="15" t="n">
        <f aca="false">I466*(1+IF(J$3&lt;=$O$2,$D466,$D466-($D466-$I$454)*MIN(J$3-$O$2,$Q$2)/$Q$2))</f>
        <v>7738.6397486769</v>
      </c>
      <c r="K466" s="15" t="n">
        <f aca="false">J466*(1+IF(K$3&lt;=$O$2,$D466,$D466-($D466-$I$454)*MIN(K$3-$O$2,$Q$2)/$Q$2))</f>
        <v>8517.38329865487</v>
      </c>
      <c r="L466" s="15" t="n">
        <f aca="false">K466*(1+IF(L$3&lt;=$O$2,$D466,$D466-($D466-$I$454)*MIN(L$3-$O$2,$Q$2)/$Q$2))</f>
        <v>9140.74529630175</v>
      </c>
      <c r="M466" s="15" t="n">
        <f aca="false">L466*(1+IF(M$3&lt;=$O$2,$D466,$D466-($D466-$I$454)*MIN(M$3-$O$2,$Q$2)/$Q$2))</f>
        <v>9558.87512158727</v>
      </c>
      <c r="N466" s="15" t="n">
        <f aca="false">M466*(1+IF(N$3&lt;=$O$2,$D466,$D466-($D466-$I$454)*MIN(N$3-$O$2,$Q$2)/$Q$2))</f>
        <v>9733.80253631232</v>
      </c>
      <c r="O466" s="15" t="n">
        <f aca="false">SUMPRODUCT(E466:N466,1/(1+$F$454)^$E$3:$N$3)*$E$2</f>
        <v>21700.1744760942</v>
      </c>
      <c r="P466" s="15" t="n">
        <f aca="false">N466*$E$2*(1+$I$454)/($F$454-$I$454)/(1+$F$454)^$N$3</f>
        <v>25140.9282169171</v>
      </c>
      <c r="Q466" s="15" t="n">
        <f aca="false">O466+P466</f>
        <v>46841.1026930114</v>
      </c>
      <c r="R466" s="15" t="n">
        <f aca="false">Q466-$G$2+$I$2</f>
        <v>40653.8026930114</v>
      </c>
      <c r="S466" s="42" t="n">
        <f aca="false">R466/$K$2</f>
        <v>559.19948683647</v>
      </c>
      <c r="T466" s="43" t="n">
        <f aca="false">S466-$M$2</f>
        <v>-1.59831233822069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0.155517578125</v>
      </c>
      <c r="C467" s="25" t="n">
        <f aca="false">IF(T466&gt;0,D466,C466)</f>
        <v>0.15625</v>
      </c>
      <c r="D467" s="41" t="n">
        <f aca="false">(B467+C467)/2</f>
        <v>0.1558837890625</v>
      </c>
      <c r="E467" s="15" t="n">
        <f aca="false">$C$2*(1+IF(E$3&lt;=$O$2,$D467,$D467-($D467-$I$454)*MIN(E$3-$O$2,$Q$2)/$Q$2))</f>
        <v>3849.09301757813</v>
      </c>
      <c r="F467" s="15" t="n">
        <f aca="false">E467*(1+IF(F$3&lt;=$O$2,$D467,$D467-($D467-$I$454)*MIN(F$3-$O$2,$Q$2)/$Q$2))</f>
        <v>4449.10422161222</v>
      </c>
      <c r="G467" s="15" t="n">
        <f aca="false">F467*(1+IF(G$3&lt;=$O$2,$D467,$D467-($D467-$I$454)*MIN(G$3-$O$2,$Q$2)/$Q$2))</f>
        <v>5142.64744561109</v>
      </c>
      <c r="H467" s="15" t="n">
        <f aca="false">G467*(1+IF(H$3&lt;=$O$2,$D467,$D467-($D467-$I$454)*MIN(H$3-$O$2,$Q$2)/$Q$2))</f>
        <v>5944.30281524554</v>
      </c>
      <c r="I467" s="15" t="n">
        <f aca="false">H467*(1+IF(I$3&lt;=$O$2,$D467,$D467-($D467-$I$454)*MIN(I$3-$O$2,$Q$2)/$Q$2))</f>
        <v>6870.9232614209</v>
      </c>
      <c r="J467" s="15" t="n">
        <f aca="false">I467*(1+IF(J$3&lt;=$O$2,$D467,$D467-($D467-$I$454)*MIN(J$3-$O$2,$Q$2)/$Q$2))</f>
        <v>7752.92328243606</v>
      </c>
      <c r="K467" s="15" t="n">
        <f aca="false">J467*(1+IF(K$3&lt;=$O$2,$D467,$D467-($D467-$I$454)*MIN(K$3-$O$2,$Q$2)/$Q$2))</f>
        <v>8534.8077154097</v>
      </c>
      <c r="L467" s="15" t="n">
        <f aca="false">K467*(1+IF(L$3&lt;=$O$2,$D467,$D467-($D467-$I$454)*MIN(L$3-$O$2,$Q$2)/$Q$2))</f>
        <v>9160.69517036407</v>
      </c>
      <c r="M467" s="15" t="n">
        <f aca="false">L467*(1+IF(M$3&lt;=$O$2,$D467,$D467-($D467-$I$454)*MIN(M$3-$O$2,$Q$2)/$Q$2))</f>
        <v>9580.40852237878</v>
      </c>
      <c r="N467" s="15" t="n">
        <f aca="false">M467*(1+IF(N$3&lt;=$O$2,$D467,$D467-($D467-$I$454)*MIN(N$3-$O$2,$Q$2)/$Q$2))</f>
        <v>9755.72999833831</v>
      </c>
      <c r="O467" s="15" t="n">
        <f aca="false">SUMPRODUCT(E467:N467,1/(1+$F$454)^$E$3:$N$3)*$E$2</f>
        <v>21734.154752197</v>
      </c>
      <c r="P467" s="15" t="n">
        <f aca="false">N467*$E$2*(1+$I$454)/($F$454-$I$454)/(1+$F$454)^$N$3</f>
        <v>25197.5635089028</v>
      </c>
      <c r="Q467" s="15" t="n">
        <f aca="false">O467+P467</f>
        <v>46931.7182610998</v>
      </c>
      <c r="R467" s="15" t="n">
        <f aca="false">Q467-$G$2+$I$2</f>
        <v>40744.4182610998</v>
      </c>
      <c r="S467" s="42" t="n">
        <f aca="false">R467/$K$2</f>
        <v>560.445918309488</v>
      </c>
      <c r="T467" s="43" t="n">
        <f aca="false">S467-$M$2</f>
        <v>-0.351880865202588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0.1558837890625</v>
      </c>
      <c r="C468" s="25" t="n">
        <f aca="false">IF(T467&gt;0,D467,C467)</f>
        <v>0.15625</v>
      </c>
      <c r="D468" s="41" t="n">
        <f aca="false">(B468+C468)/2</f>
        <v>0.15606689453125</v>
      </c>
      <c r="E468" s="15" t="n">
        <f aca="false">$C$2*(1+IF(E$3&lt;=$O$2,$D468,$D468-($D468-$I$454)*MIN(E$3-$O$2,$Q$2)/$Q$2))</f>
        <v>3849.70275878906</v>
      </c>
      <c r="F468" s="15" t="n">
        <f aca="false">E468*(1+IF(F$3&lt;=$O$2,$D468,$D468-($D468-$I$454)*MIN(F$3-$O$2,$Q$2)/$Q$2))</f>
        <v>4450.51391322166</v>
      </c>
      <c r="G468" s="15" t="n">
        <f aca="false">F468*(1+IF(G$3&lt;=$O$2,$D468,$D468-($D468-$I$454)*MIN(G$3-$O$2,$Q$2)/$Q$2))</f>
        <v>5145.09179872628</v>
      </c>
      <c r="H468" s="15" t="n">
        <f aca="false">G468*(1+IF(H$3&lt;=$O$2,$D468,$D468-($D468-$I$454)*MIN(H$3-$O$2,$Q$2)/$Q$2))</f>
        <v>5948.0702978317</v>
      </c>
      <c r="I468" s="15" t="n">
        <f aca="false">H468*(1+IF(I$3&lt;=$O$2,$D468,$D468-($D468-$I$454)*MIN(I$3-$O$2,$Q$2)/$Q$2))</f>
        <v>6876.36715766786</v>
      </c>
      <c r="J468" s="15" t="n">
        <f aca="false">I468*(1+IF(J$3&lt;=$O$2,$D468,$D468-($D468-$I$454)*MIN(J$3-$O$2,$Q$2)/$Q$2))</f>
        <v>7760.07327582804</v>
      </c>
      <c r="K468" s="15" t="n">
        <f aca="false">J468*(1+IF(K$3&lt;=$O$2,$D468,$D468-($D468-$I$454)*MIN(K$3-$O$2,$Q$2)/$Q$2))</f>
        <v>8543.53133470316</v>
      </c>
      <c r="L468" s="15" t="n">
        <f aca="false">K468*(1+IF(L$3&lt;=$O$2,$D468,$D468-($D468-$I$454)*MIN(L$3-$O$2,$Q$2)/$Q$2))</f>
        <v>9170.68427025322</v>
      </c>
      <c r="M468" s="15" t="n">
        <f aca="false">L468*(1+IF(M$3&lt;=$O$2,$D468,$D468-($D468-$I$454)*MIN(M$3-$O$2,$Q$2)/$Q$2))</f>
        <v>9591.19113092672</v>
      </c>
      <c r="N468" s="15" t="n">
        <f aca="false">M468*(1+IF(N$3&lt;=$O$2,$D468,$D468-($D468-$I$454)*MIN(N$3-$O$2,$Q$2)/$Q$2))</f>
        <v>9766.70992862268</v>
      </c>
      <c r="O468" s="15" t="n">
        <f aca="false">SUMPRODUCT(E468:N468,1/(1+$F$454)^$E$3:$N$3)*$E$2</f>
        <v>21751.1644911451</v>
      </c>
      <c r="P468" s="15" t="n">
        <f aca="false">N468*$E$2*(1+$I$454)/($F$454-$I$454)/(1+$F$454)^$N$3</f>
        <v>25225.9229951443</v>
      </c>
      <c r="Q468" s="15" t="n">
        <f aca="false">O468+P468</f>
        <v>46977.0874862894</v>
      </c>
      <c r="R468" s="15" t="n">
        <f aca="false">Q468-$G$2+$I$2</f>
        <v>40789.7874862894</v>
      </c>
      <c r="S468" s="42" t="n">
        <f aca="false">R468/$K$2</f>
        <v>561.069979178671</v>
      </c>
      <c r="T468" s="43" t="n">
        <f aca="false">S468-$M$2</f>
        <v>0.272180003980793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0.1558837890625</v>
      </c>
      <c r="C469" s="25" t="n">
        <f aca="false">IF(T468&gt;0,D468,C468)</f>
        <v>0.15606689453125</v>
      </c>
      <c r="D469" s="41" t="n">
        <f aca="false">(B469+C469)/2</f>
        <v>0.155975341796875</v>
      </c>
      <c r="E469" s="15" t="n">
        <f aca="false">$C$2*(1+IF(E$3&lt;=$O$2,$D469,$D469-($D469-$I$454)*MIN(E$3-$O$2,$Q$2)/$Q$2))</f>
        <v>3849.39788818359</v>
      </c>
      <c r="F469" s="15" t="n">
        <f aca="false">E469*(1+IF(F$3&lt;=$O$2,$D469,$D469-($D469-$I$454)*MIN(F$3-$O$2,$Q$2)/$Q$2))</f>
        <v>4449.8090395052</v>
      </c>
      <c r="G469" s="15" t="n">
        <f aca="false">F469*(1+IF(G$3&lt;=$O$2,$D469,$D469-($D469-$I$454)*MIN(G$3-$O$2,$Q$2)/$Q$2))</f>
        <v>5143.86952537285</v>
      </c>
      <c r="H469" s="15" t="n">
        <f aca="false">G469*(1+IF(H$3&lt;=$O$2,$D469,$D469-($D469-$I$454)*MIN(H$3-$O$2,$Q$2)/$Q$2))</f>
        <v>5946.18633275141</v>
      </c>
      <c r="I469" s="15" t="n">
        <f aca="false">H469*(1+IF(I$3&lt;=$O$2,$D469,$D469-($D469-$I$454)*MIN(I$3-$O$2,$Q$2)/$Q$2))</f>
        <v>6873.64477839021</v>
      </c>
      <c r="J469" s="15" t="n">
        <f aca="false">I469*(1+IF(J$3&lt;=$O$2,$D469,$D469-($D469-$I$454)*MIN(J$3-$O$2,$Q$2)/$Q$2))</f>
        <v>7756.4975932389</v>
      </c>
      <c r="K469" s="15" t="n">
        <f aca="false">J469*(1+IF(K$3&lt;=$O$2,$D469,$D469-($D469-$I$454)*MIN(K$3-$O$2,$Q$2)/$Q$2))</f>
        <v>8539.16857357265</v>
      </c>
      <c r="L469" s="15" t="n">
        <f aca="false">K469*(1+IF(L$3&lt;=$O$2,$D469,$D469-($D469-$I$454)*MIN(L$3-$O$2,$Q$2)/$Q$2))</f>
        <v>9165.68853928013</v>
      </c>
      <c r="M469" s="15" t="n">
        <f aca="false">L469*(1+IF(M$3&lt;=$O$2,$D469,$D469-($D469-$I$454)*MIN(M$3-$O$2,$Q$2)/$Q$2))</f>
        <v>9585.79850003877</v>
      </c>
      <c r="N469" s="15" t="n">
        <f aca="false">M469*(1+IF(N$3&lt;=$O$2,$D469,$D469-($D469-$I$454)*MIN(N$3-$O$2,$Q$2)/$Q$2))</f>
        <v>9761.21861258948</v>
      </c>
      <c r="O469" s="15" t="n">
        <f aca="false">SUMPRODUCT(E469:N469,1/(1+$F$454)^$E$3:$N$3)*$E$2</f>
        <v>21742.6579873016</v>
      </c>
      <c r="P469" s="15" t="n">
        <f aca="false">N469*$E$2*(1+$I$454)/($F$454-$I$454)/(1+$F$454)^$N$3</f>
        <v>25211.739762878</v>
      </c>
      <c r="Q469" s="15" t="n">
        <f aca="false">O469+P469</f>
        <v>46954.3977501796</v>
      </c>
      <c r="R469" s="15" t="n">
        <f aca="false">Q469-$G$2+$I$2</f>
        <v>40767.0977501796</v>
      </c>
      <c r="S469" s="42" t="n">
        <f aca="false">R469/$K$2</f>
        <v>560.75787826932</v>
      </c>
      <c r="T469" s="43" t="n">
        <f aca="false">S469-$M$2</f>
        <v>-0.03992090537065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0.155975341796875</v>
      </c>
      <c r="C470" s="25" t="n">
        <f aca="false">IF(T469&gt;0,D469,C469)</f>
        <v>0.15606689453125</v>
      </c>
      <c r="D470" s="41" t="n">
        <f aca="false">(B470+C470)/2</f>
        <v>0.156021118164063</v>
      </c>
      <c r="E470" s="15" t="n">
        <f aca="false">$C$2*(1+IF(E$3&lt;=$O$2,$D470,$D470-($D470-$I$454)*MIN(E$3-$O$2,$Q$2)/$Q$2))</f>
        <v>3849.55032348633</v>
      </c>
      <c r="F470" s="15" t="n">
        <f aca="false">E470*(1+IF(F$3&lt;=$O$2,$D470,$D470-($D470-$I$454)*MIN(F$3-$O$2,$Q$2)/$Q$2))</f>
        <v>4450.16146938549</v>
      </c>
      <c r="G470" s="15" t="n">
        <f aca="false">F470*(1+IF(G$3&lt;=$O$2,$D470,$D470-($D470-$I$454)*MIN(G$3-$O$2,$Q$2)/$Q$2))</f>
        <v>5144.48063784965</v>
      </c>
      <c r="H470" s="15" t="n">
        <f aca="false">G470*(1+IF(H$3&lt;=$O$2,$D470,$D470-($D470-$I$454)*MIN(H$3-$O$2,$Q$2)/$Q$2))</f>
        <v>5947.12825934032</v>
      </c>
      <c r="I470" s="15" t="n">
        <f aca="false">H470*(1+IF(I$3&lt;=$O$2,$D470,$D470-($D470-$I$454)*MIN(I$3-$O$2,$Q$2)/$Q$2))</f>
        <v>6875.00586022769</v>
      </c>
      <c r="J470" s="15" t="n">
        <f aca="false">I470*(1+IF(J$3&lt;=$O$2,$D470,$D470-($D470-$I$454)*MIN(J$3-$O$2,$Q$2)/$Q$2))</f>
        <v>7758.28526303389</v>
      </c>
      <c r="K470" s="15" t="n">
        <f aca="false">J470*(1+IF(K$3&lt;=$O$2,$D470,$D470-($D470-$I$454)*MIN(K$3-$O$2,$Q$2)/$Q$2))</f>
        <v>8541.34971622388</v>
      </c>
      <c r="L470" s="15" t="n">
        <f aca="false">K470*(1+IF(L$3&lt;=$O$2,$D470,$D470-($D470-$I$454)*MIN(L$3-$O$2,$Q$2)/$Q$2))</f>
        <v>9168.18610945024</v>
      </c>
      <c r="M470" s="15" t="n">
        <f aca="false">L470*(1+IF(M$3&lt;=$O$2,$D470,$D470-($D470-$I$454)*MIN(M$3-$O$2,$Q$2)/$Q$2))</f>
        <v>9588.49448375913</v>
      </c>
      <c r="N470" s="15" t="n">
        <f aca="false">M470*(1+IF(N$3&lt;=$O$2,$D470,$D470-($D470-$I$454)*MIN(N$3-$O$2,$Q$2)/$Q$2))</f>
        <v>9763.96393281192</v>
      </c>
      <c r="O470" s="15" t="n">
        <f aca="false">SUMPRODUCT(E470:N470,1/(1+$F$454)^$E$3:$N$3)*$E$2</f>
        <v>21746.9108305589</v>
      </c>
      <c r="P470" s="15" t="n">
        <f aca="false">N470*$E$2*(1+$I$454)/($F$454-$I$454)/(1+$F$454)^$N$3</f>
        <v>25218.8305065403</v>
      </c>
      <c r="Q470" s="15" t="n">
        <f aca="false">O470+P470</f>
        <v>46965.7413370991</v>
      </c>
      <c r="R470" s="15" t="n">
        <f aca="false">Q470-$G$2+$I$2</f>
        <v>40778.4413370991</v>
      </c>
      <c r="S470" s="42" t="n">
        <f aca="false">R470/$K$2</f>
        <v>560.913911101776</v>
      </c>
      <c r="T470" s="43" t="n">
        <f aca="false">S470-$M$2</f>
        <v>0.116111927085854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0.155975341796875</v>
      </c>
      <c r="C471" s="25" t="n">
        <f aca="false">IF(T470&gt;0,D470,C470)</f>
        <v>0.156021118164063</v>
      </c>
      <c r="D471" s="41" t="n">
        <f aca="false">(B471+C471)/2</f>
        <v>0.155998229980469</v>
      </c>
      <c r="E471" s="15" t="n">
        <f aca="false">$C$2*(1+IF(E$3&lt;=$O$2,$D471,$D471-($D471-$I$454)*MIN(E$3-$O$2,$Q$2)/$Q$2))</f>
        <v>3849.47410583496</v>
      </c>
      <c r="F471" s="15" t="n">
        <f aca="false">E471*(1+IF(F$3&lt;=$O$2,$D471,$D471-($D471-$I$454)*MIN(F$3-$O$2,$Q$2)/$Q$2))</f>
        <v>4449.98525270086</v>
      </c>
      <c r="G471" s="15" t="n">
        <f aca="false">F471*(1+IF(G$3&lt;=$O$2,$D471,$D471-($D471-$I$454)*MIN(G$3-$O$2,$Q$2)/$Q$2))</f>
        <v>5144.17507556139</v>
      </c>
      <c r="H471" s="15" t="n">
        <f aca="false">G471*(1+IF(H$3&lt;=$O$2,$D471,$D471-($D471-$I$454)*MIN(H$3-$O$2,$Q$2)/$Q$2))</f>
        <v>5946.65728205861</v>
      </c>
      <c r="I471" s="15" t="n">
        <f aca="false">H471*(1+IF(I$3&lt;=$O$2,$D471,$D471-($D471-$I$454)*MIN(I$3-$O$2,$Q$2)/$Q$2))</f>
        <v>6874.32529236021</v>
      </c>
      <c r="J471" s="15" t="n">
        <f aca="false">I471*(1+IF(J$3&lt;=$O$2,$D471,$D471-($D471-$I$454)*MIN(J$3-$O$2,$Q$2)/$Q$2))</f>
        <v>7757.39138526478</v>
      </c>
      <c r="K471" s="15" t="n">
        <f aca="false">J471*(1+IF(K$3&lt;=$O$2,$D471,$D471-($D471-$I$454)*MIN(K$3-$O$2,$Q$2)/$Q$2))</f>
        <v>8540.25908542515</v>
      </c>
      <c r="L471" s="15" t="n">
        <f aca="false">K471*(1+IF(L$3&lt;=$O$2,$D471,$D471-($D471-$I$454)*MIN(L$3-$O$2,$Q$2)/$Q$2))</f>
        <v>9166.93725054349</v>
      </c>
      <c r="M471" s="15" t="n">
        <f aca="false">L471*(1+IF(M$3&lt;=$O$2,$D471,$D471-($D471-$I$454)*MIN(M$3-$O$2,$Q$2)/$Q$2))</f>
        <v>9587.14640897681</v>
      </c>
      <c r="N471" s="15" t="n">
        <f aca="false">M471*(1+IF(N$3&lt;=$O$2,$D471,$D471-($D471-$I$454)*MIN(N$3-$O$2,$Q$2)/$Q$2))</f>
        <v>9762.59118826108</v>
      </c>
      <c r="O471" s="15" t="n">
        <f aca="false">SUMPRODUCT(E471:N471,1/(1+$F$454)^$E$3:$N$3)*$E$2</f>
        <v>21744.7843067731</v>
      </c>
      <c r="P471" s="15" t="n">
        <f aca="false">N471*$E$2*(1+$I$454)/($F$454-$I$454)/(1+$F$454)^$N$3</f>
        <v>25215.2849166145</v>
      </c>
      <c r="Q471" s="15" t="n">
        <f aca="false">O471+P471</f>
        <v>46960.0692233876</v>
      </c>
      <c r="R471" s="15" t="n">
        <f aca="false">Q471-$G$2+$I$2</f>
        <v>40772.7692233876</v>
      </c>
      <c r="S471" s="42" t="n">
        <f aca="false">R471/$K$2</f>
        <v>560.835890280434</v>
      </c>
      <c r="T471" s="43" t="n">
        <f aca="false">S471-$M$2</f>
        <v>0.0380911057437743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0.155975341796875</v>
      </c>
      <c r="C472" s="25" t="n">
        <f aca="false">IF(T471&gt;0,D471,C471)</f>
        <v>0.155998229980469</v>
      </c>
      <c r="D472" s="41" t="n">
        <f aca="false">(B472+C472)/2</f>
        <v>0.155986785888672</v>
      </c>
      <c r="E472" s="15" t="n">
        <f aca="false">$C$2*(1+IF(E$3&lt;=$O$2,$D472,$D472-($D472-$I$454)*MIN(E$3-$O$2,$Q$2)/$Q$2))</f>
        <v>3849.43599700928</v>
      </c>
      <c r="F472" s="15" t="n">
        <f aca="false">E472*(1+IF(F$3&lt;=$O$2,$D472,$D472-($D472-$I$454)*MIN(F$3-$O$2,$Q$2)/$Q$2))</f>
        <v>4449.89714566691</v>
      </c>
      <c r="G472" s="15" t="n">
        <f aca="false">F472*(1+IF(G$3&lt;=$O$2,$D472,$D472-($D472-$I$454)*MIN(G$3-$O$2,$Q$2)/$Q$2))</f>
        <v>5144.02229895467</v>
      </c>
      <c r="H472" s="15" t="n">
        <f aca="false">G472*(1+IF(H$3&lt;=$O$2,$D472,$D472-($D472-$I$454)*MIN(H$3-$O$2,$Q$2)/$Q$2))</f>
        <v>5946.42180390826</v>
      </c>
      <c r="I472" s="15" t="n">
        <f aca="false">H472*(1+IF(I$3&lt;=$O$2,$D472,$D472-($D472-$I$454)*MIN(I$3-$O$2,$Q$2)/$Q$2))</f>
        <v>6873.98502863823</v>
      </c>
      <c r="J472" s="15" t="n">
        <f aca="false">I472*(1+IF(J$3&lt;=$O$2,$D472,$D472-($D472-$I$454)*MIN(J$3-$O$2,$Q$2)/$Q$2))</f>
        <v>7756.94447853435</v>
      </c>
      <c r="K472" s="15" t="n">
        <f aca="false">J472*(1+IF(K$3&lt;=$O$2,$D472,$D472-($D472-$I$454)*MIN(K$3-$O$2,$Q$2)/$Q$2))</f>
        <v>8539.71381463129</v>
      </c>
      <c r="L472" s="15" t="n">
        <f aca="false">K472*(1+IF(L$3&lt;=$O$2,$D472,$D472-($D472-$I$454)*MIN(L$3-$O$2,$Q$2)/$Q$2))</f>
        <v>9166.31287645731</v>
      </c>
      <c r="M472" s="15" t="n">
        <f aca="false">L472*(1+IF(M$3&lt;=$O$2,$D472,$D472-($D472-$I$454)*MIN(M$3-$O$2,$Q$2)/$Q$2))</f>
        <v>9586.47243377835</v>
      </c>
      <c r="N472" s="15" t="n">
        <f aca="false">M472*(1+IF(N$3&lt;=$O$2,$D472,$D472-($D472-$I$454)*MIN(N$3-$O$2,$Q$2)/$Q$2))</f>
        <v>9761.9048793165</v>
      </c>
      <c r="O472" s="15" t="n">
        <f aca="false">SUMPRODUCT(E472:N472,1/(1+$F$454)^$E$3:$N$3)*$E$2</f>
        <v>21743.7211214992</v>
      </c>
      <c r="P472" s="15" t="n">
        <f aca="false">N472*$E$2*(1+$I$454)/($F$454-$I$454)/(1+$F$454)^$N$3</f>
        <v>25213.5122852254</v>
      </c>
      <c r="Q472" s="15" t="n">
        <f aca="false">O472+P472</f>
        <v>46957.2334067246</v>
      </c>
      <c r="R472" s="15" t="n">
        <f aca="false">Q472-$G$2+$I$2</f>
        <v>40769.9334067246</v>
      </c>
      <c r="S472" s="42" t="n">
        <f aca="false">R472/$K$2</f>
        <v>560.796883173654</v>
      </c>
      <c r="T472" s="43" t="n">
        <f aca="false">S472-$M$2</f>
        <v>-0.000916001036671332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0.155986785888672</v>
      </c>
      <c r="C473" s="25" t="n">
        <f aca="false">IF(T472&gt;0,D472,C472)</f>
        <v>0.155998229980469</v>
      </c>
      <c r="D473" s="41" t="n">
        <f aca="false">(B473+C473)/2</f>
        <v>0.15599250793457</v>
      </c>
      <c r="E473" s="15" t="n">
        <f aca="false">$C$2*(1+IF(E$3&lt;=$O$2,$D473,$D473-($D473-$I$454)*MIN(E$3-$O$2,$Q$2)/$Q$2))</f>
        <v>3849.45505142212</v>
      </c>
      <c r="F473" s="15" t="n">
        <f aca="false">E473*(1+IF(F$3&lt;=$O$2,$D473,$D473-($D473-$I$454)*MIN(F$3-$O$2,$Q$2)/$Q$2))</f>
        <v>4449.94119907486</v>
      </c>
      <c r="G473" s="15" t="n">
        <f aca="false">F473*(1+IF(G$3&lt;=$O$2,$D473,$D473-($D473-$I$454)*MIN(G$3-$O$2,$Q$2)/$Q$2))</f>
        <v>5144.09868687991</v>
      </c>
      <c r="H473" s="15" t="n">
        <f aca="false">G473*(1+IF(H$3&lt;=$O$2,$D473,$D473-($D473-$I$454)*MIN(H$3-$O$2,$Q$2)/$Q$2))</f>
        <v>5946.53954210924</v>
      </c>
      <c r="I473" s="15" t="n">
        <f aca="false">H473*(1+IF(I$3&lt;=$O$2,$D473,$D473-($D473-$I$454)*MIN(I$3-$O$2,$Q$2)/$Q$2))</f>
        <v>6874.15515881495</v>
      </c>
      <c r="J473" s="15" t="n">
        <f aca="false">I473*(1+IF(J$3&lt;=$O$2,$D473,$D473-($D473-$I$454)*MIN(J$3-$O$2,$Q$2)/$Q$2))</f>
        <v>7757.16792922014</v>
      </c>
      <c r="K473" s="15" t="n">
        <f aca="false">J473*(1+IF(K$3&lt;=$O$2,$D473,$D473-($D473-$I$454)*MIN(K$3-$O$2,$Q$2)/$Q$2))</f>
        <v>8539.98644631123</v>
      </c>
      <c r="L473" s="15" t="n">
        <f aca="false">K473*(1+IF(L$3&lt;=$O$2,$D473,$D473-($D473-$I$454)*MIN(L$3-$O$2,$Q$2)/$Q$2))</f>
        <v>9166.62505888666</v>
      </c>
      <c r="M473" s="15" t="n">
        <f aca="false">L473*(1+IF(M$3&lt;=$O$2,$D473,$D473-($D473-$I$454)*MIN(M$3-$O$2,$Q$2)/$Q$2))</f>
        <v>9586.80941619508</v>
      </c>
      <c r="N473" s="15" t="n">
        <f aca="false">M473*(1+IF(N$3&lt;=$O$2,$D473,$D473-($D473-$I$454)*MIN(N$3-$O$2,$Q$2)/$Q$2))</f>
        <v>9762.24802851145</v>
      </c>
      <c r="O473" s="15" t="n">
        <f aca="false">SUMPRODUCT(E473:N473,1/(1+$F$454)^$E$3:$N$3)*$E$2</f>
        <v>21744.2527077515</v>
      </c>
      <c r="P473" s="15" t="n">
        <f aca="false">N473*$E$2*(1+$I$454)/($F$454-$I$454)/(1+$F$454)^$N$3</f>
        <v>25214.3985872894</v>
      </c>
      <c r="Q473" s="15" t="n">
        <f aca="false">O473+P473</f>
        <v>46958.6512950409</v>
      </c>
      <c r="R473" s="15" t="n">
        <f aca="false">Q473-$G$2+$I$2</f>
        <v>40771.3512950409</v>
      </c>
      <c r="S473" s="42" t="n">
        <f aca="false">R473/$K$2</f>
        <v>560.816386451731</v>
      </c>
      <c r="T473" s="43" t="n">
        <f aca="false">S473-$M$2</f>
        <v>0.018587277040865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0.155986785888672</v>
      </c>
      <c r="C474" s="25" t="n">
        <f aca="false">IF(T473&gt;0,D473,C473)</f>
        <v>0.15599250793457</v>
      </c>
      <c r="D474" s="41" t="n">
        <f aca="false">(B474+C474)/2</f>
        <v>0.155989646911621</v>
      </c>
      <c r="E474" s="15" t="n">
        <f aca="false">$C$2*(1+IF(E$3&lt;=$O$2,$D474,$D474-($D474-$I$454)*MIN(E$3-$O$2,$Q$2)/$Q$2))</f>
        <v>3849.4455242157</v>
      </c>
      <c r="F474" s="15" t="n">
        <f aca="false">E474*(1+IF(F$3&lt;=$O$2,$D474,$D474-($D474-$I$454)*MIN(F$3-$O$2,$Q$2)/$Q$2))</f>
        <v>4449.91917234363</v>
      </c>
      <c r="G474" s="15" t="n">
        <f aca="false">F474*(1+IF(G$3&lt;=$O$2,$D474,$D474-($D474-$I$454)*MIN(G$3-$O$2,$Q$2)/$Q$2))</f>
        <v>5144.06049282276</v>
      </c>
      <c r="H474" s="15" t="n">
        <f aca="false">G474*(1+IF(H$3&lt;=$O$2,$D474,$D474-($D474-$I$454)*MIN(H$3-$O$2,$Q$2)/$Q$2))</f>
        <v>5946.4806727902</v>
      </c>
      <c r="I474" s="15" t="n">
        <f aca="false">H474*(1+IF(I$3&lt;=$O$2,$D474,$D474-($D474-$I$454)*MIN(I$3-$O$2,$Q$2)/$Q$2))</f>
        <v>6874.07009330553</v>
      </c>
      <c r="J474" s="15" t="n">
        <f aca="false">I474*(1+IF(J$3&lt;=$O$2,$D474,$D474-($D474-$I$454)*MIN(J$3-$O$2,$Q$2)/$Q$2))</f>
        <v>7757.05620320739</v>
      </c>
      <c r="K474" s="15" t="n">
        <f aca="false">J474*(1+IF(K$3&lt;=$O$2,$D474,$D474-($D474-$I$454)*MIN(K$3-$O$2,$Q$2)/$Q$2))</f>
        <v>8539.85012954203</v>
      </c>
      <c r="L474" s="15" t="n">
        <f aca="false">K474*(1+IF(L$3&lt;=$O$2,$D474,$D474-($D474-$I$454)*MIN(L$3-$O$2,$Q$2)/$Q$2))</f>
        <v>9166.46896651857</v>
      </c>
      <c r="M474" s="15" t="n">
        <f aca="false">L474*(1+IF(M$3&lt;=$O$2,$D474,$D474-($D474-$I$454)*MIN(M$3-$O$2,$Q$2)/$Q$2))</f>
        <v>9586.64092369111</v>
      </c>
      <c r="N474" s="15" t="n">
        <f aca="false">M474*(1+IF(N$3&lt;=$O$2,$D474,$D474-($D474-$I$454)*MIN(N$3-$O$2,$Q$2)/$Q$2))</f>
        <v>9762.07645259466</v>
      </c>
      <c r="O474" s="15" t="n">
        <f aca="false">SUMPRODUCT(E474:N474,1/(1+$F$454)^$E$3:$N$3)*$E$2</f>
        <v>21743.9869130292</v>
      </c>
      <c r="P474" s="15" t="n">
        <f aca="false">N474*$E$2*(1+$I$454)/($F$454-$I$454)/(1+$F$454)^$N$3</f>
        <v>25213.9554328498</v>
      </c>
      <c r="Q474" s="15" t="n">
        <f aca="false">O474+P474</f>
        <v>46957.942345879</v>
      </c>
      <c r="R474" s="15" t="n">
        <f aca="false">Q474-$G$2+$I$2</f>
        <v>40770.642345879</v>
      </c>
      <c r="S474" s="42" t="n">
        <f aca="false">R474/$K$2</f>
        <v>560.806634743865</v>
      </c>
      <c r="T474" s="43" t="n">
        <f aca="false">S474-$M$2</f>
        <v>0.00883556917472106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0.155986785888672</v>
      </c>
      <c r="C475" s="25" t="n">
        <f aca="false">IF(T474&gt;0,D474,C474)</f>
        <v>0.155989646911621</v>
      </c>
      <c r="D475" s="41" t="n">
        <f aca="false">(B475+C475)/2</f>
        <v>0.155988216400146</v>
      </c>
      <c r="E475" s="15" t="n">
        <f aca="false">$C$2*(1+IF(E$3&lt;=$O$2,$D475,$D475-($D475-$I$454)*MIN(E$3-$O$2,$Q$2)/$Q$2))</f>
        <v>3849.44076061249</v>
      </c>
      <c r="F475" s="15" t="n">
        <f aca="false">E475*(1+IF(F$3&lt;=$O$2,$D475,$D475-($D475-$I$454)*MIN(F$3-$O$2,$Q$2)/$Q$2))</f>
        <v>4449.90815899845</v>
      </c>
      <c r="G475" s="15" t="n">
        <f aca="false">F475*(1+IF(G$3&lt;=$O$2,$D475,$D475-($D475-$I$454)*MIN(G$3-$O$2,$Q$2)/$Q$2))</f>
        <v>5144.04139586508</v>
      </c>
      <c r="H475" s="15" t="n">
        <f aca="false">G475*(1+IF(H$3&lt;=$O$2,$D475,$D475-($D475-$I$454)*MIN(H$3-$O$2,$Q$2)/$Q$2))</f>
        <v>5946.45123829459</v>
      </c>
      <c r="I475" s="15" t="n">
        <f aca="false">H475*(1+IF(I$3&lt;=$O$2,$D475,$D475-($D475-$I$454)*MIN(I$3-$O$2,$Q$2)/$Q$2))</f>
        <v>6874.02756086661</v>
      </c>
      <c r="J475" s="15" t="n">
        <f aca="false">I475*(1+IF(J$3&lt;=$O$2,$D475,$D475-($D475-$I$454)*MIN(J$3-$O$2,$Q$2)/$Q$2))</f>
        <v>7757.00034070341</v>
      </c>
      <c r="K475" s="15" t="n">
        <f aca="false">J475*(1+IF(K$3&lt;=$O$2,$D475,$D475-($D475-$I$454)*MIN(K$3-$O$2,$Q$2)/$Q$2))</f>
        <v>8539.78197185435</v>
      </c>
      <c r="L475" s="15" t="n">
        <f aca="false">K475*(1+IF(L$3&lt;=$O$2,$D475,$D475-($D475-$I$454)*MIN(L$3-$O$2,$Q$2)/$Q$2))</f>
        <v>9166.39092119958</v>
      </c>
      <c r="M475" s="15" t="n">
        <f aca="false">L475*(1+IF(M$3&lt;=$O$2,$D475,$D475-($D475-$I$454)*MIN(M$3-$O$2,$Q$2)/$Q$2))</f>
        <v>9586.55667841083</v>
      </c>
      <c r="N475" s="15" t="n">
        <f aca="false">M475*(1+IF(N$3&lt;=$O$2,$D475,$D475-($D475-$I$454)*MIN(N$3-$O$2,$Q$2)/$Q$2))</f>
        <v>9761.99066562575</v>
      </c>
      <c r="O475" s="15" t="n">
        <f aca="false">SUMPRODUCT(E475:N475,1/(1+$F$454)^$E$3:$N$3)*$E$2</f>
        <v>21743.8540168652</v>
      </c>
      <c r="P475" s="15" t="n">
        <f aca="false">N475*$E$2*(1+$I$454)/($F$454-$I$454)/(1+$F$454)^$N$3</f>
        <v>25213.7338581857</v>
      </c>
      <c r="Q475" s="15" t="n">
        <f aca="false">O475+P475</f>
        <v>46957.5878750509</v>
      </c>
      <c r="R475" s="15" t="n">
        <f aca="false">Q475-$G$2+$I$2</f>
        <v>40770.2878750509</v>
      </c>
      <c r="S475" s="42" t="n">
        <f aca="false">R475/$K$2</f>
        <v>560.801758941553</v>
      </c>
      <c r="T475" s="43" t="n">
        <f aca="false">S475-$M$2</f>
        <v>0.0039597668622946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0.155986785888672</v>
      </c>
      <c r="C476" s="25" t="n">
        <f aca="false">IF(T475&gt;0,D475,C475)</f>
        <v>0.155988216400146</v>
      </c>
      <c r="D476" s="41" t="n">
        <f aca="false">(B476+C476)/2</f>
        <v>0.155987501144409</v>
      </c>
      <c r="E476" s="15" t="n">
        <f aca="false">$C$2*(1+IF(E$3&lt;=$O$2,$D476,$D476-($D476-$I$454)*MIN(E$3-$O$2,$Q$2)/$Q$2))</f>
        <v>3849.43837881088</v>
      </c>
      <c r="F476" s="15" t="n">
        <f aca="false">E476*(1+IF(F$3&lt;=$O$2,$D476,$D476-($D476-$I$454)*MIN(F$3-$O$2,$Q$2)/$Q$2))</f>
        <v>4449.90265233098</v>
      </c>
      <c r="G476" s="15" t="n">
        <f aca="false">F476*(1+IF(G$3&lt;=$O$2,$D476,$D476-($D476-$I$454)*MIN(G$3-$O$2,$Q$2)/$Q$2))</f>
        <v>5144.03184740397</v>
      </c>
      <c r="H476" s="15" t="n">
        <f aca="false">G476*(1+IF(H$3&lt;=$O$2,$D476,$D476-($D476-$I$454)*MIN(H$3-$O$2,$Q$2)/$Q$2))</f>
        <v>5946.43652108777</v>
      </c>
      <c r="I476" s="15" t="n">
        <f aca="false">H476*(1+IF(I$3&lt;=$O$2,$D476,$D476-($D476-$I$454)*MIN(I$3-$O$2,$Q$2)/$Q$2))</f>
        <v>6874.0062947261</v>
      </c>
      <c r="J476" s="15" t="n">
        <f aca="false">I476*(1+IF(J$3&lt;=$O$2,$D476,$D476-($D476-$I$454)*MIN(J$3-$O$2,$Q$2)/$Q$2))</f>
        <v>7756.97240957701</v>
      </c>
      <c r="K476" s="15" t="n">
        <f aca="false">J476*(1+IF(K$3&lt;=$O$2,$D476,$D476-($D476-$I$454)*MIN(K$3-$O$2,$Q$2)/$Q$2))</f>
        <v>8539.74789318474</v>
      </c>
      <c r="L476" s="15" t="n">
        <f aca="false">K476*(1+IF(L$3&lt;=$O$2,$D476,$D476-($D476-$I$454)*MIN(L$3-$O$2,$Q$2)/$Q$2))</f>
        <v>9166.35189875636</v>
      </c>
      <c r="M476" s="15" t="n">
        <f aca="false">L476*(1+IF(M$3&lt;=$O$2,$D476,$D476-($D476-$I$454)*MIN(M$3-$O$2,$Q$2)/$Q$2))</f>
        <v>9586.51455601362</v>
      </c>
      <c r="N476" s="15" t="n">
        <f aca="false">M476*(1+IF(N$3&lt;=$O$2,$D476,$D476-($D476-$I$454)*MIN(N$3-$O$2,$Q$2)/$Q$2))</f>
        <v>9761.94777238867</v>
      </c>
      <c r="O476" s="15" t="n">
        <f aca="false">SUMPRODUCT(E476:N476,1/(1+$F$454)^$E$3:$N$3)*$E$2</f>
        <v>21743.7875690824</v>
      </c>
      <c r="P476" s="15" t="n">
        <f aca="false">N476*$E$2*(1+$I$454)/($F$454-$I$454)/(1+$F$454)^$N$3</f>
        <v>25213.6230714926</v>
      </c>
      <c r="Q476" s="15" t="n">
        <f aca="false">O476+P476</f>
        <v>46957.410640575</v>
      </c>
      <c r="R476" s="15" t="n">
        <f aca="false">Q476-$G$2+$I$2</f>
        <v>40770.110640575</v>
      </c>
      <c r="S476" s="42" t="n">
        <f aca="false">R476/$K$2</f>
        <v>560.799321053302</v>
      </c>
      <c r="T476" s="43" t="n">
        <f aca="false">S476-$M$2</f>
        <v>0.00152187861124276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0.155986785888672</v>
      </c>
      <c r="C477" s="25" t="n">
        <f aca="false">IF(T476&gt;0,D476,C476)</f>
        <v>0.155987501144409</v>
      </c>
      <c r="D477" s="41" t="n">
        <f aca="false">(B477+C477)/2</f>
        <v>0.155987143516541</v>
      </c>
      <c r="E477" s="15" t="n">
        <f aca="false">$C$2*(1+IF(E$3&lt;=$O$2,$D477,$D477-($D477-$I$454)*MIN(E$3-$O$2,$Q$2)/$Q$2))</f>
        <v>3849.43718791008</v>
      </c>
      <c r="F477" s="15" t="n">
        <f aca="false">E477*(1+IF(F$3&lt;=$O$2,$D477,$D477-($D477-$I$454)*MIN(F$3-$O$2,$Q$2)/$Q$2))</f>
        <v>4449.89989899852</v>
      </c>
      <c r="G477" s="15" t="n">
        <f aca="false">F477*(1+IF(G$3&lt;=$O$2,$D477,$D477-($D477-$I$454)*MIN(G$3-$O$2,$Q$2)/$Q$2))</f>
        <v>5144.02707317784</v>
      </c>
      <c r="H477" s="15" t="n">
        <f aca="false">G477*(1+IF(H$3&lt;=$O$2,$D477,$D477-($D477-$I$454)*MIN(H$3-$O$2,$Q$2)/$Q$2))</f>
        <v>5946.4291624946</v>
      </c>
      <c r="I477" s="15" t="n">
        <f aca="false">H477*(1+IF(I$3&lt;=$O$2,$D477,$D477-($D477-$I$454)*MIN(I$3-$O$2,$Q$2)/$Q$2))</f>
        <v>6873.99566167559</v>
      </c>
      <c r="J477" s="15" t="n">
        <f aca="false">I477*(1+IF(J$3&lt;=$O$2,$D477,$D477-($D477-$I$454)*MIN(J$3-$O$2,$Q$2)/$Q$2))</f>
        <v>7756.95844404521</v>
      </c>
      <c r="K477" s="15" t="n">
        <f aca="false">J477*(1+IF(K$3&lt;=$O$2,$D477,$D477-($D477-$I$454)*MIN(K$3-$O$2,$Q$2)/$Q$2))</f>
        <v>8539.7308538935</v>
      </c>
      <c r="L477" s="15" t="n">
        <f aca="false">K477*(1+IF(L$3&lt;=$O$2,$D477,$D477-($D477-$I$454)*MIN(L$3-$O$2,$Q$2)/$Q$2))</f>
        <v>9166.33238758882</v>
      </c>
      <c r="M477" s="15" t="n">
        <f aca="false">L477*(1+IF(M$3&lt;=$O$2,$D477,$D477-($D477-$I$454)*MIN(M$3-$O$2,$Q$2)/$Q$2))</f>
        <v>9586.49349487574</v>
      </c>
      <c r="N477" s="15" t="n">
        <f aca="false">M477*(1+IF(N$3&lt;=$O$2,$D477,$D477-($D477-$I$454)*MIN(N$3-$O$2,$Q$2)/$Q$2))</f>
        <v>9761.92632583197</v>
      </c>
      <c r="O477" s="15" t="n">
        <f aca="false">SUMPRODUCT(E477:N477,1/(1+$F$454)^$E$3:$N$3)*$E$2</f>
        <v>21743.7543452659</v>
      </c>
      <c r="P477" s="15" t="n">
        <f aca="false">N477*$E$2*(1+$I$454)/($F$454-$I$454)/(1+$F$454)^$N$3</f>
        <v>25213.5676783058</v>
      </c>
      <c r="Q477" s="15" t="n">
        <f aca="false">O477+P477</f>
        <v>46957.3220235717</v>
      </c>
      <c r="R477" s="15" t="n">
        <f aca="false">Q477-$G$2+$I$2</f>
        <v>40770.0220235717</v>
      </c>
      <c r="S477" s="42" t="n">
        <f aca="false">R477/$K$2</f>
        <v>560.798102112402</v>
      </c>
      <c r="T477" s="43" t="n">
        <f aca="false">S477-$M$2</f>
        <v>0.000302937711921913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0.155986785888672</v>
      </c>
      <c r="C478" s="25" t="n">
        <f aca="false">IF(T477&gt;0,D477,C477)</f>
        <v>0.155987143516541</v>
      </c>
      <c r="D478" s="41" t="n">
        <f aca="false">(B478+C478)/2</f>
        <v>0.155986964702606</v>
      </c>
      <c r="E478" s="15" t="n">
        <f aca="false">$C$2*(1+IF(E$3&lt;=$O$2,$D478,$D478-($D478-$I$454)*MIN(E$3-$O$2,$Q$2)/$Q$2))</f>
        <v>3849.43659245968</v>
      </c>
      <c r="F478" s="15" t="n">
        <f aca="false">E478*(1+IF(F$3&lt;=$O$2,$D478,$D478-($D478-$I$454)*MIN(F$3-$O$2,$Q$2)/$Q$2))</f>
        <v>4449.89852233261</v>
      </c>
      <c r="G478" s="15" t="n">
        <f aca="false">F478*(1+IF(G$3&lt;=$O$2,$D478,$D478-($D478-$I$454)*MIN(G$3-$O$2,$Q$2)/$Q$2))</f>
        <v>5144.02468606588</v>
      </c>
      <c r="H478" s="15" t="n">
        <f aca="false">G478*(1+IF(H$3&lt;=$O$2,$D478,$D478-($D478-$I$454)*MIN(H$3-$O$2,$Q$2)/$Q$2))</f>
        <v>5946.42548320058</v>
      </c>
      <c r="I478" s="15" t="n">
        <f aca="false">H478*(1+IF(I$3&lt;=$O$2,$D478,$D478-($D478-$I$454)*MIN(I$3-$O$2,$Q$2)/$Q$2))</f>
        <v>6873.99034515526</v>
      </c>
      <c r="J478" s="15" t="n">
        <f aca="false">I478*(1+IF(J$3&lt;=$O$2,$D478,$D478-($D478-$I$454)*MIN(J$3-$O$2,$Q$2)/$Q$2))</f>
        <v>7756.95146128716</v>
      </c>
      <c r="K478" s="15" t="n">
        <f aca="false">J478*(1+IF(K$3&lt;=$O$2,$D478,$D478-($D478-$I$454)*MIN(K$3-$O$2,$Q$2)/$Q$2))</f>
        <v>8539.72233425876</v>
      </c>
      <c r="L478" s="15" t="n">
        <f aca="false">K478*(1+IF(L$3&lt;=$O$2,$D478,$D478-($D478-$I$454)*MIN(L$3-$O$2,$Q$2)/$Q$2))</f>
        <v>9166.32263201856</v>
      </c>
      <c r="M478" s="15" t="n">
        <f aca="false">L478*(1+IF(M$3&lt;=$O$2,$D478,$D478-($D478-$I$454)*MIN(M$3-$O$2,$Q$2)/$Q$2))</f>
        <v>9586.48296432198</v>
      </c>
      <c r="N478" s="15" t="n">
        <f aca="false">M478*(1+IF(N$3&lt;=$O$2,$D478,$D478-($D478-$I$454)*MIN(N$3-$O$2,$Q$2)/$Q$2))</f>
        <v>9761.91560256908</v>
      </c>
      <c r="O478" s="15" t="n">
        <f aca="false">SUMPRODUCT(E478:N478,1/(1+$F$454)^$E$3:$N$3)*$E$2</f>
        <v>21743.7377333763</v>
      </c>
      <c r="P478" s="15" t="n">
        <f aca="false">N478*$E$2*(1+$I$454)/($F$454-$I$454)/(1+$F$454)^$N$3</f>
        <v>25213.5399817523</v>
      </c>
      <c r="Q478" s="15" t="n">
        <f aca="false">O478+P478</f>
        <v>46957.2777151286</v>
      </c>
      <c r="R478" s="15" t="n">
        <f aca="false">Q478-$G$2+$I$2</f>
        <v>40769.9777151286</v>
      </c>
      <c r="S478" s="42" t="n">
        <f aca="false">R478/$K$2</f>
        <v>560.797492642759</v>
      </c>
      <c r="T478" s="43" t="n">
        <f aca="false">S478-$M$2</f>
        <v>-0.000306531931414611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0.155986964702606</v>
      </c>
      <c r="C479" s="25" t="n">
        <f aca="false">IF(T478&gt;0,D478,C478)</f>
        <v>0.155987143516541</v>
      </c>
      <c r="D479" s="41" t="n">
        <f aca="false">(B479+C479)/2</f>
        <v>0.155987054109573</v>
      </c>
      <c r="E479" s="15" t="n">
        <f aca="false">$C$2*(1+IF(E$3&lt;=$O$2,$D479,$D479-($D479-$I$454)*MIN(E$3-$O$2,$Q$2)/$Q$2))</f>
        <v>3849.43689018488</v>
      </c>
      <c r="F479" s="15" t="n">
        <f aca="false">E479*(1+IF(F$3&lt;=$O$2,$D479,$D479-($D479-$I$454)*MIN(F$3-$O$2,$Q$2)/$Q$2))</f>
        <v>4449.89921066554</v>
      </c>
      <c r="G479" s="15" t="n">
        <f aca="false">F479*(1+IF(G$3&lt;=$O$2,$D479,$D479-($D479-$I$454)*MIN(G$3-$O$2,$Q$2)/$Q$2))</f>
        <v>5144.02587962177</v>
      </c>
      <c r="H479" s="15" t="n">
        <f aca="false">G479*(1+IF(H$3&lt;=$O$2,$D479,$D479-($D479-$I$454)*MIN(H$3-$O$2,$Q$2)/$Q$2))</f>
        <v>5946.42732284738</v>
      </c>
      <c r="I479" s="15" t="n">
        <f aca="false">H479*(1+IF(I$3&lt;=$O$2,$D479,$D479-($D479-$I$454)*MIN(I$3-$O$2,$Q$2)/$Q$2))</f>
        <v>6873.99300341501</v>
      </c>
      <c r="J479" s="15" t="n">
        <f aca="false">I479*(1+IF(J$3&lt;=$O$2,$D479,$D479-($D479-$I$454)*MIN(J$3-$O$2,$Q$2)/$Q$2))</f>
        <v>7756.95495266554</v>
      </c>
      <c r="K479" s="15" t="n">
        <f aca="false">J479*(1+IF(K$3&lt;=$O$2,$D479,$D479-($D479-$I$454)*MIN(K$3-$O$2,$Q$2)/$Q$2))</f>
        <v>8539.72659407522</v>
      </c>
      <c r="L479" s="15" t="n">
        <f aca="false">K479*(1+IF(L$3&lt;=$O$2,$D479,$D479-($D479-$I$454)*MIN(L$3-$O$2,$Q$2)/$Q$2))</f>
        <v>9166.32750980256</v>
      </c>
      <c r="M479" s="15" t="n">
        <f aca="false">L479*(1+IF(M$3&lt;=$O$2,$D479,$D479-($D479-$I$454)*MIN(M$3-$O$2,$Q$2)/$Q$2))</f>
        <v>9586.4882295976</v>
      </c>
      <c r="N479" s="15" t="n">
        <f aca="false">M479*(1+IF(N$3&lt;=$O$2,$D479,$D479-($D479-$I$454)*MIN(N$3-$O$2,$Q$2)/$Q$2))</f>
        <v>9761.92096419923</v>
      </c>
      <c r="O479" s="15" t="n">
        <f aca="false">SUMPRODUCT(E479:N479,1/(1+$F$454)^$E$3:$N$3)*$E$2</f>
        <v>21743.7460393195</v>
      </c>
      <c r="P479" s="15" t="n">
        <f aca="false">N479*$E$2*(1+$I$454)/($F$454-$I$454)/(1+$F$454)^$N$3</f>
        <v>25213.5538300257</v>
      </c>
      <c r="Q479" s="15" t="n">
        <f aca="false">O479+P479</f>
        <v>46957.2998693452</v>
      </c>
      <c r="R479" s="15" t="n">
        <f aca="false">Q479-$G$2+$I$2</f>
        <v>40769.9998693452</v>
      </c>
      <c r="S479" s="42" t="n">
        <f aca="false">R479/$K$2</f>
        <v>560.797797377514</v>
      </c>
      <c r="T479" s="43" t="n">
        <f aca="false">S479-$M$2</f>
        <v>-1.7971768784264E-006</v>
      </c>
    </row>
    <row r="481" customFormat="false" ht="15" hidden="false" customHeight="false" outlineLevel="0" collapsed="false">
      <c r="A481" s="38" t="s">
        <v>198</v>
      </c>
      <c r="E481" s="5" t="s">
        <v>11</v>
      </c>
      <c r="F481" s="12" t="n">
        <f aca="false">Sensitivity!$B$13</f>
        <v>0.100330622875929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162</v>
      </c>
      <c r="B482" s="28" t="s">
        <v>163</v>
      </c>
      <c r="C482" s="28" t="s">
        <v>164</v>
      </c>
      <c r="D482" s="28" t="s">
        <v>165</v>
      </c>
      <c r="E482" s="28" t="s">
        <v>166</v>
      </c>
      <c r="F482" s="28" t="s">
        <v>167</v>
      </c>
      <c r="G482" s="28" t="s">
        <v>168</v>
      </c>
      <c r="H482" s="28" t="s">
        <v>169</v>
      </c>
      <c r="I482" s="28" t="s">
        <v>170</v>
      </c>
      <c r="J482" s="28" t="s">
        <v>171</v>
      </c>
      <c r="K482" s="28" t="s">
        <v>172</v>
      </c>
      <c r="L482" s="28" t="s">
        <v>173</v>
      </c>
      <c r="M482" s="28" t="s">
        <v>174</v>
      </c>
      <c r="N482" s="28" t="s">
        <v>175</v>
      </c>
      <c r="O482" s="28" t="s">
        <v>176</v>
      </c>
      <c r="P482" s="28" t="s">
        <v>177</v>
      </c>
      <c r="Q482" s="28" t="s">
        <v>178</v>
      </c>
      <c r="R482" s="28" t="s">
        <v>179</v>
      </c>
      <c r="S482" s="28" t="s">
        <v>180</v>
      </c>
      <c r="T482" s="28" t="s">
        <v>181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4162.5</v>
      </c>
      <c r="F483" s="15" t="n">
        <f aca="false">E483*(1+IF(F$3&lt;=$O$2,$D483,$D483-($D483-$I$481)*MIN(F$3-$O$2,$Q$2)/$Q$2))</f>
        <v>5203.125</v>
      </c>
      <c r="G483" s="15" t="n">
        <f aca="false">F483*(1+IF(G$3&lt;=$O$2,$D483,$D483-($D483-$I$481)*MIN(G$3-$O$2,$Q$2)/$Q$2))</f>
        <v>6503.90625</v>
      </c>
      <c r="H483" s="15" t="n">
        <f aca="false">G483*(1+IF(H$3&lt;=$O$2,$D483,$D483-($D483-$I$481)*MIN(H$3-$O$2,$Q$2)/$Q$2))</f>
        <v>8129.8828125</v>
      </c>
      <c r="I483" s="15" t="n">
        <f aca="false">H483*(1+IF(I$3&lt;=$O$2,$D483,$D483-($D483-$I$481)*MIN(I$3-$O$2,$Q$2)/$Q$2))</f>
        <v>10162.353515625</v>
      </c>
      <c r="J483" s="15" t="n">
        <f aca="false">I483*(1+IF(J$3&lt;=$O$2,$D483,$D483-($D483-$I$481)*MIN(J$3-$O$2,$Q$2)/$Q$2))</f>
        <v>12242.1807861328</v>
      </c>
      <c r="K483" s="15" t="n">
        <f aca="false">J483*(1+IF(K$3&lt;=$O$2,$D483,$D483-($D483-$I$481)*MIN(K$3-$O$2,$Q$2)/$Q$2))</f>
        <v>14192.6050289795</v>
      </c>
      <c r="L483" s="15" t="n">
        <f aca="false">K483*(1+IF(L$3&lt;=$O$2,$D483,$D483-($D483-$I$481)*MIN(L$3-$O$2,$Q$2)/$Q$2))</f>
        <v>15810.2781501826</v>
      </c>
      <c r="M483" s="15" t="n">
        <f aca="false">L483*(1+IF(M$3&lt;=$O$2,$D483,$D483-($D483-$I$481)*MIN(M$3-$O$2,$Q$2)/$Q$2))</f>
        <v>16895.4956424111</v>
      </c>
      <c r="N483" s="15" t="n">
        <f aca="false">M483*(1+IF(N$3&lt;=$O$2,$D483,$D483-($D483-$I$481)*MIN(N$3-$O$2,$Q$2)/$Q$2))</f>
        <v>17289.1606908793</v>
      </c>
      <c r="O483" s="15" t="n">
        <f aca="false">SUMPRODUCT(E483:N483,1/(1+$F$481)^$E$3:$N$3)*$E$2</f>
        <v>32544.8897074735</v>
      </c>
      <c r="P483" s="15" t="n">
        <f aca="false">N483*$E$2*(1+$I$481)/($F$481-$I$481)/(1+$F$481)^$N$3</f>
        <v>47787.3026051918</v>
      </c>
      <c r="Q483" s="15" t="n">
        <f aca="false">O483+P483</f>
        <v>80332.1923126652</v>
      </c>
      <c r="R483" s="15" t="n">
        <f aca="false">Q483-$G$2+$I$2</f>
        <v>74144.8923126652</v>
      </c>
      <c r="S483" s="42" t="n">
        <f aca="false">R483/$K$2</f>
        <v>1019.87472232002</v>
      </c>
      <c r="T483" s="43" t="n">
        <f aca="false">S483-$M$2</f>
        <v>459.076923145326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2913.75</v>
      </c>
      <c r="F484" s="15" t="n">
        <f aca="false">E484*(1+IF(F$3&lt;=$O$2,$D484,$D484-($D484-$I$481)*MIN(F$3-$O$2,$Q$2)/$Q$2))</f>
        <v>2549.53125</v>
      </c>
      <c r="G484" s="15" t="n">
        <f aca="false">F484*(1+IF(G$3&lt;=$O$2,$D484,$D484-($D484-$I$481)*MIN(G$3-$O$2,$Q$2)/$Q$2))</f>
        <v>2230.83984375</v>
      </c>
      <c r="H484" s="15" t="n">
        <f aca="false">G484*(1+IF(H$3&lt;=$O$2,$D484,$D484-($D484-$I$481)*MIN(H$3-$O$2,$Q$2)/$Q$2))</f>
        <v>1951.98486328125</v>
      </c>
      <c r="I484" s="15" t="n">
        <f aca="false">H484*(1+IF(I$3&lt;=$O$2,$D484,$D484-($D484-$I$481)*MIN(I$3-$O$2,$Q$2)/$Q$2))</f>
        <v>1707.98675537109</v>
      </c>
      <c r="J484" s="15" t="n">
        <f aca="false">I484*(1+IF(J$3&lt;=$O$2,$D484,$D484-($D484-$I$481)*MIN(J$3-$O$2,$Q$2)/$Q$2))</f>
        <v>1545.14729811401</v>
      </c>
      <c r="K484" s="15" t="n">
        <f aca="false">J484*(1+IF(K$3&lt;=$O$2,$D484,$D484-($D484-$I$481)*MIN(K$3-$O$2,$Q$2)/$Q$2))</f>
        <v>1443.66202357389</v>
      </c>
      <c r="L484" s="15" t="n">
        <f aca="false">K484*(1+IF(L$3&lt;=$O$2,$D484,$D484-($D484-$I$481)*MIN(L$3-$O$2,$Q$2)/$Q$2))</f>
        <v>1391.66131748475</v>
      </c>
      <c r="M484" s="15" t="n">
        <f aca="false">L484*(1+IF(M$3&lt;=$O$2,$D484,$D484-($D484-$I$481)*MIN(M$3-$O$2,$Q$2)/$Q$2))</f>
        <v>1382.81035150555</v>
      </c>
      <c r="N484" s="15" t="n">
        <f aca="false">M484*(1+IF(N$3&lt;=$O$2,$D484,$D484-($D484-$I$481)*MIN(N$3-$O$2,$Q$2)/$Q$2))</f>
        <v>1415.02983269563</v>
      </c>
      <c r="O484" s="15" t="n">
        <f aca="false">SUMPRODUCT(E484:N484,1/(1+$F$481)^$E$3:$N$3)*$E$2</f>
        <v>6606.62500180887</v>
      </c>
      <c r="P484" s="15" t="n">
        <f aca="false">N484*$E$2*(1+$I$481)/($F$481-$I$481)/(1+$F$481)^$N$3</f>
        <v>3911.14756924391</v>
      </c>
      <c r="Q484" s="15" t="n">
        <f aca="false">O484+P484</f>
        <v>10517.7725710528</v>
      </c>
      <c r="R484" s="15" t="n">
        <f aca="false">Q484-$G$2+$I$2</f>
        <v>4330.47257105279</v>
      </c>
      <c r="S484" s="42" t="n">
        <f aca="false">R484/$K$2</f>
        <v>59.5663352276862</v>
      </c>
      <c r="T484" s="43" t="n">
        <f aca="false">S484-$M$2</f>
        <v>-501.231463947004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3538.125</v>
      </c>
      <c r="F485" s="15" t="n">
        <f aca="false">E485*(1+IF(F$3&lt;=$O$2,$D485,$D485-($D485-$I$481)*MIN(F$3-$O$2,$Q$2)/$Q$2))</f>
        <v>3759.2578125</v>
      </c>
      <c r="G485" s="15" t="n">
        <f aca="false">F485*(1+IF(G$3&lt;=$O$2,$D485,$D485-($D485-$I$481)*MIN(G$3-$O$2,$Q$2)/$Q$2))</f>
        <v>3994.21142578125</v>
      </c>
      <c r="H485" s="15" t="n">
        <f aca="false">G485*(1+IF(H$3&lt;=$O$2,$D485,$D485-($D485-$I$481)*MIN(H$3-$O$2,$Q$2)/$Q$2))</f>
        <v>4243.84963989258</v>
      </c>
      <c r="I485" s="15" t="n">
        <f aca="false">H485*(1+IF(I$3&lt;=$O$2,$D485,$D485-($D485-$I$481)*MIN(I$3-$O$2,$Q$2)/$Q$2))</f>
        <v>4509.09024238586</v>
      </c>
      <c r="J485" s="15" t="n">
        <f aca="false">I485*(1+IF(J$3&lt;=$O$2,$D485,$D485-($D485-$I$481)*MIN(J$3-$O$2,$Q$2)/$Q$2))</f>
        <v>4755.55711503468</v>
      </c>
      <c r="K485" s="15" t="n">
        <f aca="false">J485*(1+IF(K$3&lt;=$O$2,$D485,$D485-($D485-$I$481)*MIN(K$3-$O$2,$Q$2)/$Q$2))</f>
        <v>4978.2122991606</v>
      </c>
      <c r="L485" s="15" t="n">
        <f aca="false">K485*(1+IF(L$3&lt;=$O$2,$D485,$D485-($D485-$I$481)*MIN(L$3-$O$2,$Q$2)/$Q$2))</f>
        <v>5172.26301458188</v>
      </c>
      <c r="M485" s="15" t="n">
        <f aca="false">L485*(1+IF(M$3&lt;=$O$2,$D485,$D485-($D485-$I$481)*MIN(M$3-$O$2,$Q$2)/$Q$2))</f>
        <v>5333.32728485596</v>
      </c>
      <c r="N485" s="15" t="n">
        <f aca="false">M485*(1+IF(N$3&lt;=$O$2,$D485,$D485-($D485-$I$481)*MIN(N$3-$O$2,$Q$2)/$Q$2))</f>
        <v>5457.5938105931</v>
      </c>
      <c r="O485" s="15" t="n">
        <f aca="false">SUMPRODUCT(E485:N485,1/(1+$F$481)^$E$3:$N$3)*$E$2</f>
        <v>14614.2426911426</v>
      </c>
      <c r="P485" s="15" t="n">
        <f aca="false">N485*$E$2*(1+$I$481)/($F$481-$I$481)/(1+$F$481)^$N$3</f>
        <v>15084.8090075661</v>
      </c>
      <c r="Q485" s="15" t="n">
        <f aca="false">O485+P485</f>
        <v>29699.0516987087</v>
      </c>
      <c r="R485" s="15" t="n">
        <f aca="false">Q485-$G$2+$I$2</f>
        <v>23511.7516987087</v>
      </c>
      <c r="S485" s="42" t="n">
        <f aca="false">R485/$K$2</f>
        <v>323.407863806173</v>
      </c>
      <c r="T485" s="43" t="n">
        <f aca="false">S485-$M$2</f>
        <v>-237.389935368518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3850.3125</v>
      </c>
      <c r="F486" s="15" t="n">
        <f aca="false">E486*(1+IF(F$3&lt;=$O$2,$D486,$D486-($D486-$I$481)*MIN(F$3-$O$2,$Q$2)/$Q$2))</f>
        <v>4451.923828125</v>
      </c>
      <c r="G486" s="15" t="n">
        <f aca="false">F486*(1+IF(G$3&lt;=$O$2,$D486,$D486-($D486-$I$481)*MIN(G$3-$O$2,$Q$2)/$Q$2))</f>
        <v>5147.53692626953</v>
      </c>
      <c r="H486" s="15" t="n">
        <f aca="false">G486*(1+IF(H$3&lt;=$O$2,$D486,$D486-($D486-$I$481)*MIN(H$3-$O$2,$Q$2)/$Q$2))</f>
        <v>5951.83957099915</v>
      </c>
      <c r="I486" s="15" t="n">
        <f aca="false">H486*(1+IF(I$3&lt;=$O$2,$D486,$D486-($D486-$I$481)*MIN(I$3-$O$2,$Q$2)/$Q$2))</f>
        <v>6881.81450396776</v>
      </c>
      <c r="J486" s="15" t="n">
        <f aca="false">I486*(1+IF(J$3&lt;=$O$2,$D486,$D486-($D486-$I$481)*MIN(J$3-$O$2,$Q$2)/$Q$2))</f>
        <v>7774.11057255222</v>
      </c>
      <c r="K486" s="15" t="n">
        <f aca="false">J486*(1+IF(K$3&lt;=$O$2,$D486,$D486-($D486-$I$481)*MIN(K$3-$O$2,$Q$2)/$Q$2))</f>
        <v>8575.38814926518</v>
      </c>
      <c r="L486" s="15" t="n">
        <f aca="false">K486*(1+IF(L$3&lt;=$O$2,$D486,$D486-($D486-$I$481)*MIN(L$3-$O$2,$Q$2)/$Q$2))</f>
        <v>9231.23383492098</v>
      </c>
      <c r="M486" s="15" t="n">
        <f aca="false">L486*(1+IF(M$3&lt;=$O$2,$D486,$D486-($D486-$I$481)*MIN(M$3-$O$2,$Q$2)/$Q$2))</f>
        <v>9691.78009094519</v>
      </c>
      <c r="N486" s="15" t="n">
        <f aca="false">M486*(1+IF(N$3&lt;=$O$2,$D486,$D486-($D486-$I$481)*MIN(N$3-$O$2,$Q$2)/$Q$2))</f>
        <v>9917.59856706421</v>
      </c>
      <c r="O486" s="15" t="n">
        <f aca="false">SUMPRODUCT(E486:N486,1/(1+$F$481)^$E$3:$N$3)*$E$2</f>
        <v>21839.0962976986</v>
      </c>
      <c r="P486" s="15" t="n">
        <f aca="false">N486*$E$2*(1+$I$481)/($F$481-$I$481)/(1+$F$481)^$N$3</f>
        <v>27412.2782658347</v>
      </c>
      <c r="Q486" s="15" t="n">
        <f aca="false">O486+P486</f>
        <v>49251.3745635332</v>
      </c>
      <c r="R486" s="15" t="n">
        <f aca="false">Q486-$G$2+$I$2</f>
        <v>43064.0745635332</v>
      </c>
      <c r="S486" s="42" t="n">
        <f aca="false">R486/$K$2</f>
        <v>592.353157682713</v>
      </c>
      <c r="T486" s="43" t="n">
        <f aca="false">S486-$M$2</f>
        <v>31.5553585080224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3694.21875</v>
      </c>
      <c r="F487" s="15" t="n">
        <f aca="false">E487*(1+IF(F$3&lt;=$O$2,$D487,$D487-($D487-$I$481)*MIN(F$3-$O$2,$Q$2)/$Q$2))</f>
        <v>4098.27392578125</v>
      </c>
      <c r="G487" s="15" t="n">
        <f aca="false">F487*(1+IF(G$3&lt;=$O$2,$D487,$D487-($D487-$I$481)*MIN(G$3-$O$2,$Q$2)/$Q$2))</f>
        <v>4546.52263641357</v>
      </c>
      <c r="H487" s="15" t="n">
        <f aca="false">G487*(1+IF(H$3&lt;=$O$2,$D487,$D487-($D487-$I$481)*MIN(H$3-$O$2,$Q$2)/$Q$2))</f>
        <v>5043.79854977131</v>
      </c>
      <c r="I487" s="15" t="n">
        <f aca="false">H487*(1+IF(I$3&lt;=$O$2,$D487,$D487-($D487-$I$481)*MIN(I$3-$O$2,$Q$2)/$Q$2))</f>
        <v>5595.46401615255</v>
      </c>
      <c r="J487" s="15" t="n">
        <f aca="false">I487*(1+IF(J$3&lt;=$O$2,$D487,$D487-($D487-$I$481)*MIN(J$3-$O$2,$Q$2)/$Q$2))</f>
        <v>6111.14197988117</v>
      </c>
      <c r="K487" s="15" t="n">
        <f aca="false">J487*(1+IF(K$3&lt;=$O$2,$D487,$D487-($D487-$I$481)*MIN(K$3-$O$2,$Q$2)/$Q$2))</f>
        <v>6569.14151556336</v>
      </c>
      <c r="L487" s="15" t="n">
        <f aca="false">K487*(1+IF(L$3&lt;=$O$2,$D487,$D487-($D487-$I$481)*MIN(L$3-$O$2,$Q$2)/$Q$2))</f>
        <v>6948.37805525683</v>
      </c>
      <c r="M487" s="15" t="n">
        <f aca="false">L487*(1+IF(M$3&lt;=$O$2,$D487,$D487-($D487-$I$481)*MIN(M$3-$O$2,$Q$2)/$Q$2))</f>
        <v>7229.89159216556</v>
      </c>
      <c r="N487" s="15" t="n">
        <f aca="false">M487*(1+IF(N$3&lt;=$O$2,$D487,$D487-($D487-$I$481)*MIN(N$3-$O$2,$Q$2)/$Q$2))</f>
        <v>7398.34806626302</v>
      </c>
      <c r="O487" s="15" t="n">
        <f aca="false">SUMPRODUCT(E487:N487,1/(1+$F$481)^$E$3:$N$3)*$E$2</f>
        <v>17866.8344367236</v>
      </c>
      <c r="P487" s="15" t="n">
        <f aca="false">N487*$E$2*(1+$I$481)/($F$481-$I$481)/(1+$F$481)^$N$3</f>
        <v>20449.0607810451</v>
      </c>
      <c r="Q487" s="15" t="n">
        <f aca="false">O487+P487</f>
        <v>38315.8952177687</v>
      </c>
      <c r="R487" s="15" t="n">
        <f aca="false">Q487-$G$2+$I$2</f>
        <v>32128.5952177687</v>
      </c>
      <c r="S487" s="42" t="n">
        <f aca="false">R487/$K$2</f>
        <v>441.933909460367</v>
      </c>
      <c r="T487" s="43" t="n">
        <f aca="false">S487-$M$2</f>
        <v>-118.863889714324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0.109375</v>
      </c>
      <c r="C488" s="25" t="n">
        <f aca="false">IF(T487&gt;0,D487,C487)</f>
        <v>0.15625</v>
      </c>
      <c r="D488" s="41" t="n">
        <f aca="false">(B488+C488)/2</f>
        <v>0.1328125</v>
      </c>
      <c r="E488" s="15" t="n">
        <f aca="false">$C$2*(1+IF(E$3&lt;=$O$2,$D488,$D488-($D488-$I$481)*MIN(E$3-$O$2,$Q$2)/$Q$2))</f>
        <v>3772.265625</v>
      </c>
      <c r="F488" s="15" t="n">
        <f aca="false">E488*(1+IF(F$3&lt;=$O$2,$D488,$D488-($D488-$I$481)*MIN(F$3-$O$2,$Q$2)/$Q$2))</f>
        <v>4273.26965332031</v>
      </c>
      <c r="G488" s="15" t="n">
        <f aca="false">F488*(1+IF(G$3&lt;=$O$2,$D488,$D488-($D488-$I$481)*MIN(G$3-$O$2,$Q$2)/$Q$2))</f>
        <v>4840.81327915192</v>
      </c>
      <c r="H488" s="15" t="n">
        <f aca="false">G488*(1+IF(H$3&lt;=$O$2,$D488,$D488-($D488-$I$481)*MIN(H$3-$O$2,$Q$2)/$Q$2))</f>
        <v>5483.73379278928</v>
      </c>
      <c r="I488" s="15" t="n">
        <f aca="false">H488*(1+IF(I$3&lt;=$O$2,$D488,$D488-($D488-$I$481)*MIN(I$3-$O$2,$Q$2)/$Q$2))</f>
        <v>6212.04218714411</v>
      </c>
      <c r="J488" s="15" t="n">
        <f aca="false">I488*(1+IF(J$3&lt;=$O$2,$D488,$D488-($D488-$I$481)*MIN(J$3-$O$2,$Q$2)/$Q$2))</f>
        <v>6901.01978612026</v>
      </c>
      <c r="K488" s="15" t="n">
        <f aca="false">J488*(1+IF(K$3&lt;=$O$2,$D488,$D488-($D488-$I$481)*MIN(K$3-$O$2,$Q$2)/$Q$2))</f>
        <v>7515.26230473336</v>
      </c>
      <c r="L488" s="15" t="n">
        <f aca="false">K488*(1+IF(L$3&lt;=$O$2,$D488,$D488-($D488-$I$481)*MIN(L$3-$O$2,$Q$2)/$Q$2))</f>
        <v>8019.57398169249</v>
      </c>
      <c r="M488" s="15" t="n">
        <f aca="false">L488*(1+IF(M$3&lt;=$O$2,$D488,$D488-($D488-$I$481)*MIN(M$3-$O$2,$Q$2)/$Q$2))</f>
        <v>8382.07877459994</v>
      </c>
      <c r="N488" s="15" t="n">
        <f aca="false">M488*(1+IF(N$3&lt;=$O$2,$D488,$D488-($D488-$I$481)*MIN(N$3-$O$2,$Q$2)/$Q$2))</f>
        <v>8577.38121004813</v>
      </c>
      <c r="O488" s="15" t="n">
        <f aca="false">SUMPRODUCT(E488:N488,1/(1+$F$481)^$E$3:$N$3)*$E$2</f>
        <v>19754.5135254521</v>
      </c>
      <c r="P488" s="15" t="n">
        <f aca="false">N488*$E$2*(1+$I$481)/($F$481-$I$481)/(1+$F$481)^$N$3</f>
        <v>23707.9126496226</v>
      </c>
      <c r="Q488" s="15" t="n">
        <f aca="false">O488+P488</f>
        <v>43462.4261750747</v>
      </c>
      <c r="R488" s="15" t="n">
        <f aca="false">Q488-$G$2+$I$2</f>
        <v>37275.1261750747</v>
      </c>
      <c r="S488" s="42" t="n">
        <f aca="false">R488/$K$2</f>
        <v>512.725256878607</v>
      </c>
      <c r="T488" s="43" t="n">
        <f aca="false">S488-$M$2</f>
        <v>-48.072542296084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0.1328125</v>
      </c>
      <c r="C489" s="25" t="n">
        <f aca="false">IF(T488&gt;0,D488,C488)</f>
        <v>0.15625</v>
      </c>
      <c r="D489" s="41" t="n">
        <f aca="false">(B489+C489)/2</f>
        <v>0.14453125</v>
      </c>
      <c r="E489" s="15" t="n">
        <f aca="false">$C$2*(1+IF(E$3&lt;=$O$2,$D489,$D489-($D489-$I$481)*MIN(E$3-$O$2,$Q$2)/$Q$2))</f>
        <v>3811.2890625</v>
      </c>
      <c r="F489" s="15" t="n">
        <f aca="false">E489*(1+IF(F$3&lt;=$O$2,$D489,$D489-($D489-$I$481)*MIN(F$3-$O$2,$Q$2)/$Q$2))</f>
        <v>4362.13943481445</v>
      </c>
      <c r="G489" s="15" t="n">
        <f aca="false">F489*(1+IF(G$3&lt;=$O$2,$D489,$D489-($D489-$I$481)*MIN(G$3-$O$2,$Q$2)/$Q$2))</f>
        <v>4992.60490000248</v>
      </c>
      <c r="H489" s="15" t="n">
        <f aca="false">G489*(1+IF(H$3&lt;=$O$2,$D489,$D489-($D489-$I$481)*MIN(H$3-$O$2,$Q$2)/$Q$2))</f>
        <v>5714.19232695596</v>
      </c>
      <c r="I489" s="15" t="n">
        <f aca="false">H489*(1+IF(I$3&lt;=$O$2,$D489,$D489-($D489-$I$481)*MIN(I$3-$O$2,$Q$2)/$Q$2))</f>
        <v>6540.07168671132</v>
      </c>
      <c r="J489" s="15" t="n">
        <f aca="false">I489*(1+IF(J$3&lt;=$O$2,$D489,$D489-($D489-$I$481)*MIN(J$3-$O$2,$Q$2)/$Q$2))</f>
        <v>7326.74420954739</v>
      </c>
      <c r="K489" s="15" t="n">
        <f aca="false">J489*(1+IF(K$3&lt;=$O$2,$D489,$D489-($D489-$I$481)*MIN(K$3-$O$2,$Q$2)/$Q$2))</f>
        <v>8030.39556500206</v>
      </c>
      <c r="L489" s="15" t="n">
        <f aca="false">K489*(1+IF(L$3&lt;=$O$2,$D489,$D489-($D489-$I$481)*MIN(L$3-$O$2,$Q$2)/$Q$2))</f>
        <v>8606.91773860247</v>
      </c>
      <c r="M489" s="15" t="n">
        <f aca="false">L489*(1+IF(M$3&lt;=$O$2,$D489,$D489-($D489-$I$481)*MIN(M$3-$O$2,$Q$2)/$Q$2))</f>
        <v>9016.14440113149</v>
      </c>
      <c r="N489" s="15" t="n">
        <f aca="false">M489*(1+IF(N$3&lt;=$O$2,$D489,$D489-($D489-$I$481)*MIN(N$3-$O$2,$Q$2)/$Q$2))</f>
        <v>9226.22056567786</v>
      </c>
      <c r="O489" s="15" t="n">
        <f aca="false">SUMPRODUCT(E489:N489,1/(1+$F$481)^$E$3:$N$3)*$E$2</f>
        <v>20771.0547493419</v>
      </c>
      <c r="P489" s="15" t="n">
        <f aca="false">N489*$E$2*(1+$I$481)/($F$481-$I$481)/(1+$F$481)^$N$3</f>
        <v>25501.3069724594</v>
      </c>
      <c r="Q489" s="15" t="n">
        <f aca="false">O489+P489</f>
        <v>46272.3617218013</v>
      </c>
      <c r="R489" s="15" t="n">
        <f aca="false">Q489-$G$2+$I$2</f>
        <v>40085.0617218013</v>
      </c>
      <c r="S489" s="42" t="n">
        <f aca="false">R489/$K$2</f>
        <v>551.376364811572</v>
      </c>
      <c r="T489" s="43" t="n">
        <f aca="false">S489-$M$2</f>
        <v>-9.42143436311858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0.14453125</v>
      </c>
      <c r="C490" s="25" t="n">
        <f aca="false">IF(T489&gt;0,D489,C489)</f>
        <v>0.15625</v>
      </c>
      <c r="D490" s="41" t="n">
        <f aca="false">(B490+C490)/2</f>
        <v>0.150390625</v>
      </c>
      <c r="E490" s="15" t="n">
        <f aca="false">$C$2*(1+IF(E$3&lt;=$O$2,$D490,$D490-($D490-$I$481)*MIN(E$3-$O$2,$Q$2)/$Q$2))</f>
        <v>3830.80078125</v>
      </c>
      <c r="F490" s="15" t="n">
        <f aca="false">E490*(1+IF(F$3&lt;=$O$2,$D490,$D490-($D490-$I$481)*MIN(F$3-$O$2,$Q$2)/$Q$2))</f>
        <v>4406.91730499268</v>
      </c>
      <c r="G490" s="15" t="n">
        <f aca="false">F490*(1+IF(G$3&lt;=$O$2,$D490,$D490-($D490-$I$481)*MIN(G$3-$O$2,$Q$2)/$Q$2))</f>
        <v>5069.67635281384</v>
      </c>
      <c r="H490" s="15" t="n">
        <f aca="false">G490*(1+IF(H$3&lt;=$O$2,$D490,$D490-($D490-$I$481)*MIN(H$3-$O$2,$Q$2)/$Q$2))</f>
        <v>5832.10814806123</v>
      </c>
      <c r="I490" s="15" t="n">
        <f aca="false">H490*(1+IF(I$3&lt;=$O$2,$D490,$D490-($D490-$I$481)*MIN(I$3-$O$2,$Q$2)/$Q$2))</f>
        <v>6709.20253751576</v>
      </c>
      <c r="J490" s="15" t="n">
        <f aca="false">I490*(1+IF(J$3&lt;=$O$2,$D490,$D490-($D490-$I$481)*MIN(J$3-$O$2,$Q$2)/$Q$2))</f>
        <v>7547.66835163544</v>
      </c>
      <c r="K490" s="15" t="n">
        <f aca="false">J490*(1+IF(K$3&lt;=$O$2,$D490,$D490-($D490-$I$481)*MIN(K$3-$O$2,$Q$2)/$Q$2))</f>
        <v>8299.07175708979</v>
      </c>
      <c r="L490" s="15" t="n">
        <f aca="false">K490*(1+IF(L$3&lt;=$O$2,$D490,$D490-($D490-$I$481)*MIN(L$3-$O$2,$Q$2)/$Q$2))</f>
        <v>8914.33381564134</v>
      </c>
      <c r="M490" s="15" t="n">
        <f aca="false">L490*(1+IF(M$3&lt;=$O$2,$D490,$D490-($D490-$I$481)*MIN(M$3-$O$2,$Q$2)/$Q$2))</f>
        <v>9348.62344476348</v>
      </c>
      <c r="N490" s="15" t="n">
        <f aca="false">M490*(1+IF(N$3&lt;=$O$2,$D490,$D490-($D490-$I$481)*MIN(N$3-$O$2,$Q$2)/$Q$2))</f>
        <v>9566.44637102647</v>
      </c>
      <c r="O490" s="15" t="n">
        <f aca="false">SUMPRODUCT(E490:N490,1/(1+$F$481)^$E$3:$N$3)*$E$2</f>
        <v>21298.4908742993</v>
      </c>
      <c r="P490" s="15" t="n">
        <f aca="false">N490*$E$2*(1+$I$481)/($F$481-$I$481)/(1+$F$481)^$N$3</f>
        <v>26441.6923274793</v>
      </c>
      <c r="Q490" s="15" t="n">
        <f aca="false">O490+P490</f>
        <v>47740.1832017787</v>
      </c>
      <c r="R490" s="15" t="n">
        <f aca="false">Q490-$G$2+$I$2</f>
        <v>41552.8832017787</v>
      </c>
      <c r="S490" s="42" t="n">
        <f aca="false">R490/$K$2</f>
        <v>571.566481455002</v>
      </c>
      <c r="T490" s="43" t="n">
        <f aca="false">S490-$M$2</f>
        <v>10.768682280312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0.14453125</v>
      </c>
      <c r="C491" s="25" t="n">
        <f aca="false">IF(T490&gt;0,D490,C490)</f>
        <v>0.150390625</v>
      </c>
      <c r="D491" s="41" t="n">
        <f aca="false">(B491+C491)/2</f>
        <v>0.1474609375</v>
      </c>
      <c r="E491" s="15" t="n">
        <f aca="false">$C$2*(1+IF(E$3&lt;=$O$2,$D491,$D491-($D491-$I$481)*MIN(E$3-$O$2,$Q$2)/$Q$2))</f>
        <v>3821.044921875</v>
      </c>
      <c r="F491" s="15" t="n">
        <f aca="false">E491*(1+IF(F$3&lt;=$O$2,$D491,$D491-($D491-$I$481)*MIN(F$3-$O$2,$Q$2)/$Q$2))</f>
        <v>4384.4997882843</v>
      </c>
      <c r="G491" s="15" t="n">
        <f aca="false">F491*(1+IF(G$3&lt;=$O$2,$D491,$D491-($D491-$I$481)*MIN(G$3-$O$2,$Q$2)/$Q$2))</f>
        <v>5031.04223753326</v>
      </c>
      <c r="H491" s="15" t="n">
        <f aca="false">G491*(1+IF(H$3&lt;=$O$2,$D491,$D491-($D491-$I$481)*MIN(H$3-$O$2,$Q$2)/$Q$2))</f>
        <v>5772.92444248201</v>
      </c>
      <c r="I491" s="15" t="n">
        <f aca="false">H491*(1+IF(I$3&lt;=$O$2,$D491,$D491-($D491-$I$481)*MIN(I$3-$O$2,$Q$2)/$Q$2))</f>
        <v>6624.20529288707</v>
      </c>
      <c r="J491" s="15" t="n">
        <f aca="false">I491*(1+IF(J$3&lt;=$O$2,$D491,$D491-($D491-$I$481)*MIN(J$3-$O$2,$Q$2)/$Q$2))</f>
        <v>7436.5233076972</v>
      </c>
      <c r="K491" s="15" t="n">
        <f aca="false">J491*(1+IF(K$3&lt;=$O$2,$D491,$D491-($D491-$I$481)*MIN(K$3-$O$2,$Q$2)/$Q$2))</f>
        <v>8163.78972414111</v>
      </c>
      <c r="L491" s="15" t="n">
        <f aca="false">K491*(1+IF(L$3&lt;=$O$2,$D491,$D491-($D491-$I$481)*MIN(L$3-$O$2,$Q$2)/$Q$2))</f>
        <v>8759.45553899449</v>
      </c>
      <c r="M491" s="15" t="n">
        <f aca="false">L491*(1+IF(M$3&lt;=$O$2,$D491,$D491-($D491-$I$481)*MIN(M$3-$O$2,$Q$2)/$Q$2))</f>
        <v>9181.06729539529</v>
      </c>
      <c r="N491" s="15" t="n">
        <f aca="false">M491*(1+IF(N$3&lt;=$O$2,$D491,$D491-($D491-$I$481)*MIN(N$3-$O$2,$Q$2)/$Q$2))</f>
        <v>9394.986163378</v>
      </c>
      <c r="O491" s="15" t="n">
        <f aca="false">SUMPRODUCT(E491:N491,1/(1+$F$481)^$E$3:$N$3)*$E$2</f>
        <v>21033.1452641543</v>
      </c>
      <c r="P491" s="15" t="n">
        <f aca="false">N491*$E$2*(1+$I$481)/($F$481-$I$481)/(1+$F$481)^$N$3</f>
        <v>25967.7756941538</v>
      </c>
      <c r="Q491" s="15" t="n">
        <f aca="false">O491+P491</f>
        <v>47000.920958308</v>
      </c>
      <c r="R491" s="15" t="n">
        <f aca="false">Q491-$G$2+$I$2</f>
        <v>40813.620958308</v>
      </c>
      <c r="S491" s="42" t="n">
        <f aca="false">R491/$K$2</f>
        <v>561.397812356369</v>
      </c>
      <c r="T491" s="43" t="n">
        <f aca="false">S491-$M$2</f>
        <v>0.600013181678605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0.14453125</v>
      </c>
      <c r="C492" s="25" t="n">
        <f aca="false">IF(T491&gt;0,D491,C491)</f>
        <v>0.1474609375</v>
      </c>
      <c r="D492" s="41" t="n">
        <f aca="false">(B492+C492)/2</f>
        <v>0.14599609375</v>
      </c>
      <c r="E492" s="15" t="n">
        <f aca="false">$C$2*(1+IF(E$3&lt;=$O$2,$D492,$D492-($D492-$I$481)*MIN(E$3-$O$2,$Q$2)/$Q$2))</f>
        <v>3816.1669921875</v>
      </c>
      <c r="F492" s="15" t="n">
        <f aca="false">E492*(1+IF(F$3&lt;=$O$2,$D492,$D492-($D492-$I$481)*MIN(F$3-$O$2,$Q$2)/$Q$2))</f>
        <v>4373.31246614456</v>
      </c>
      <c r="G492" s="15" t="n">
        <f aca="false">F492*(1+IF(G$3&lt;=$O$2,$D492,$D492-($D492-$I$481)*MIN(G$3-$O$2,$Q$2)/$Q$2))</f>
        <v>5011.79900294985</v>
      </c>
      <c r="H492" s="15" t="n">
        <f aca="false">G492*(1+IF(H$3&lt;=$O$2,$D492,$D492-($D492-$I$481)*MIN(H$3-$O$2,$Q$2)/$Q$2))</f>
        <v>5743.50208004067</v>
      </c>
      <c r="I492" s="15" t="n">
        <f aca="false">H492*(1+IF(I$3&lt;=$O$2,$D492,$D492-($D492-$I$481)*MIN(I$3-$O$2,$Q$2)/$Q$2))</f>
        <v>6582.03094817161</v>
      </c>
      <c r="J492" s="15" t="n">
        <f aca="false">I492*(1+IF(J$3&lt;=$O$2,$D492,$D492-($D492-$I$481)*MIN(J$3-$O$2,$Q$2)/$Q$2))</f>
        <v>7381.46385828982</v>
      </c>
      <c r="K492" s="15" t="n">
        <f aca="false">J492*(1+IF(K$3&lt;=$O$2,$D492,$D492-($D492-$I$481)*MIN(K$3-$O$2,$Q$2)/$Q$2))</f>
        <v>8096.85803512935</v>
      </c>
      <c r="L492" s="15" t="n">
        <f aca="false">K492*(1+IF(L$3&lt;=$O$2,$D492,$D492-($D492-$I$481)*MIN(L$3-$O$2,$Q$2)/$Q$2))</f>
        <v>8682.89596837133</v>
      </c>
      <c r="M492" s="15" t="n">
        <f aca="false">L492*(1+IF(M$3&lt;=$O$2,$D492,$D492-($D492-$I$481)*MIN(M$3-$O$2,$Q$2)/$Q$2))</f>
        <v>9098.27892798574</v>
      </c>
      <c r="N492" s="15" t="n">
        <f aca="false">M492*(1+IF(N$3&lt;=$O$2,$D492,$D492-($D492-$I$481)*MIN(N$3-$O$2,$Q$2)/$Q$2))</f>
        <v>9310.26882700781</v>
      </c>
      <c r="O492" s="15" t="n">
        <f aca="false">SUMPRODUCT(E492:N492,1/(1+$F$481)^$E$3:$N$3)*$E$2</f>
        <v>20901.6954267373</v>
      </c>
      <c r="P492" s="15" t="n">
        <f aca="false">N492*$E$2*(1+$I$481)/($F$481-$I$481)/(1+$F$481)^$N$3</f>
        <v>25733.6166703925</v>
      </c>
      <c r="Q492" s="15" t="n">
        <f aca="false">O492+P492</f>
        <v>46635.3120971298</v>
      </c>
      <c r="R492" s="15" t="n">
        <f aca="false">Q492-$G$2+$I$2</f>
        <v>40448.0120971298</v>
      </c>
      <c r="S492" s="42" t="n">
        <f aca="false">R492/$K$2</f>
        <v>556.368804637273</v>
      </c>
      <c r="T492" s="43" t="n">
        <f aca="false">S492-$M$2</f>
        <v>-4.42899453741711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0.14599609375</v>
      </c>
      <c r="C493" s="25" t="n">
        <f aca="false">IF(T492&gt;0,D492,C492)</f>
        <v>0.1474609375</v>
      </c>
      <c r="D493" s="41" t="n">
        <f aca="false">(B493+C493)/2</f>
        <v>0.146728515625</v>
      </c>
      <c r="E493" s="15" t="n">
        <f aca="false">$C$2*(1+IF(E$3&lt;=$O$2,$D493,$D493-($D493-$I$481)*MIN(E$3-$O$2,$Q$2)/$Q$2))</f>
        <v>3818.60595703125</v>
      </c>
      <c r="F493" s="15" t="n">
        <f aca="false">E493*(1+IF(F$3&lt;=$O$2,$D493,$D493-($D493-$I$481)*MIN(F$3-$O$2,$Q$2)/$Q$2))</f>
        <v>4378.90434086323</v>
      </c>
      <c r="G493" s="15" t="n">
        <f aca="false">F493*(1+IF(G$3&lt;=$O$2,$D493,$D493-($D493-$I$481)*MIN(G$3-$O$2,$Q$2)/$Q$2))</f>
        <v>5021.41447486196</v>
      </c>
      <c r="H493" s="15" t="n">
        <f aca="false">G493*(1+IF(H$3&lt;=$O$2,$D493,$D493-($D493-$I$481)*MIN(H$3-$O$2,$Q$2)/$Q$2))</f>
        <v>5758.19916709634</v>
      </c>
      <c r="I493" s="15" t="n">
        <f aca="false">H493*(1+IF(I$3&lt;=$O$2,$D493,$D493-($D493-$I$481)*MIN(I$3-$O$2,$Q$2)/$Q$2))</f>
        <v>6603.0911835575</v>
      </c>
      <c r="J493" s="15" t="n">
        <f aca="false">I493*(1+IF(J$3&lt;=$O$2,$D493,$D493-($D493-$I$481)*MIN(J$3-$O$2,$Q$2)/$Q$2))</f>
        <v>7408.95100279281</v>
      </c>
      <c r="K493" s="15" t="n">
        <f aca="false">J493*(1+IF(K$3&lt;=$O$2,$D493,$D493-($D493-$I$481)*MIN(K$3-$O$2,$Q$2)/$Q$2))</f>
        <v>8130.26505592573</v>
      </c>
      <c r="L493" s="15" t="n">
        <f aca="false">K493*(1+IF(L$3&lt;=$O$2,$D493,$D493-($D493-$I$481)*MIN(L$3-$O$2,$Q$2)/$Q$2))</f>
        <v>8721.10285072508</v>
      </c>
      <c r="M493" s="15" t="n">
        <f aca="false">L493*(1+IF(M$3&lt;=$O$2,$D493,$D493-($D493-$I$481)*MIN(M$3-$O$2,$Q$2)/$Q$2))</f>
        <v>9139.59110304257</v>
      </c>
      <c r="N493" s="15" t="n">
        <f aca="false">M493*(1+IF(N$3&lt;=$O$2,$D493,$D493-($D493-$I$481)*MIN(N$3-$O$2,$Q$2)/$Q$2))</f>
        <v>9352.54357574346</v>
      </c>
      <c r="O493" s="15" t="n">
        <f aca="false">SUMPRODUCT(E493:N493,1/(1+$F$481)^$E$3:$N$3)*$E$2</f>
        <v>20967.3189129647</v>
      </c>
      <c r="P493" s="15" t="n">
        <f aca="false">N493*$E$2*(1+$I$481)/($F$481-$I$481)/(1+$F$481)^$N$3</f>
        <v>25850.4642286117</v>
      </c>
      <c r="Q493" s="15" t="n">
        <f aca="false">O493+P493</f>
        <v>46817.7831415764</v>
      </c>
      <c r="R493" s="15" t="n">
        <f aca="false">Q493-$G$2+$I$2</f>
        <v>40630.4831415764</v>
      </c>
      <c r="S493" s="42" t="n">
        <f aca="false">R493/$K$2</f>
        <v>558.878722717694</v>
      </c>
      <c r="T493" s="43" t="n">
        <f aca="false">S493-$M$2</f>
        <v>-1.91907645699621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0.146728515625</v>
      </c>
      <c r="C494" s="25" t="n">
        <f aca="false">IF(T493&gt;0,D493,C493)</f>
        <v>0.1474609375</v>
      </c>
      <c r="D494" s="41" t="n">
        <f aca="false">(B494+C494)/2</f>
        <v>0.1470947265625</v>
      </c>
      <c r="E494" s="15" t="n">
        <f aca="false">$C$2*(1+IF(E$3&lt;=$O$2,$D494,$D494-($D494-$I$481)*MIN(E$3-$O$2,$Q$2)/$Q$2))</f>
        <v>3819.82543945313</v>
      </c>
      <c r="F494" s="15" t="n">
        <f aca="false">E494*(1+IF(F$3&lt;=$O$2,$D494,$D494-($D494-$I$481)*MIN(F$3-$O$2,$Q$2)/$Q$2))</f>
        <v>4381.70161798596</v>
      </c>
      <c r="G494" s="15" t="n">
        <f aca="false">F494*(1+IF(G$3&lt;=$O$2,$D494,$D494-($D494-$I$481)*MIN(G$3-$O$2,$Q$2)/$Q$2))</f>
        <v>5026.22681936207</v>
      </c>
      <c r="H494" s="15" t="n">
        <f aca="false">G494*(1+IF(H$3&lt;=$O$2,$D494,$D494-($D494-$I$481)*MIN(H$3-$O$2,$Q$2)/$Q$2))</f>
        <v>5765.55827899724</v>
      </c>
      <c r="I494" s="15" t="n">
        <f aca="false">H494*(1+IF(I$3&lt;=$O$2,$D494,$D494-($D494-$I$481)*MIN(I$3-$O$2,$Q$2)/$Q$2))</f>
        <v>6613.6414975265</v>
      </c>
      <c r="J494" s="15" t="n">
        <f aca="false">I494*(1+IF(J$3&lt;=$O$2,$D494,$D494-($D494-$I$481)*MIN(J$3-$O$2,$Q$2)/$Q$2))</f>
        <v>7422.72649703382</v>
      </c>
      <c r="K494" s="15" t="n">
        <f aca="false">J494*(1+IF(K$3&lt;=$O$2,$D494,$D494-($D494-$I$481)*MIN(K$3-$O$2,$Q$2)/$Q$2))</f>
        <v>8147.01266264383</v>
      </c>
      <c r="L494" s="15" t="n">
        <f aca="false">K494*(1+IF(L$3&lt;=$O$2,$D494,$D494-($D494-$I$481)*MIN(L$3-$O$2,$Q$2)/$Q$2))</f>
        <v>8740.26093963271</v>
      </c>
      <c r="M494" s="15" t="n">
        <f aca="false">L494*(1+IF(M$3&lt;=$O$2,$D494,$D494-($D494-$I$481)*MIN(M$3-$O$2,$Q$2)/$Q$2))</f>
        <v>9160.3086621475</v>
      </c>
      <c r="N494" s="15" t="n">
        <f aca="false">M494*(1+IF(N$3&lt;=$O$2,$D494,$D494-($D494-$I$481)*MIN(N$3-$O$2,$Q$2)/$Q$2))</f>
        <v>9373.74385397554</v>
      </c>
      <c r="O494" s="15" t="n">
        <f aca="false">SUMPRODUCT(E494:N494,1/(1+$F$481)^$E$3:$N$3)*$E$2</f>
        <v>21000.2066944271</v>
      </c>
      <c r="P494" s="15" t="n">
        <f aca="false">N494*$E$2*(1+$I$481)/($F$481-$I$481)/(1+$F$481)^$N$3</f>
        <v>25909.0618742294</v>
      </c>
      <c r="Q494" s="15" t="n">
        <f aca="false">O494+P494</f>
        <v>46909.2685686565</v>
      </c>
      <c r="R494" s="15" t="n">
        <f aca="false">Q494-$G$2+$I$2</f>
        <v>40721.9685686565</v>
      </c>
      <c r="S494" s="42" t="n">
        <f aca="false">R494/$K$2</f>
        <v>560.137119238741</v>
      </c>
      <c r="T494" s="43" t="n">
        <f aca="false">S494-$M$2</f>
        <v>-0.660679935949588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0.1470947265625</v>
      </c>
      <c r="C495" s="25" t="n">
        <f aca="false">IF(T494&gt;0,D494,C494)</f>
        <v>0.1474609375</v>
      </c>
      <c r="D495" s="41" t="n">
        <f aca="false">(B495+C495)/2</f>
        <v>0.14727783203125</v>
      </c>
      <c r="E495" s="15" t="n">
        <f aca="false">$C$2*(1+IF(E$3&lt;=$O$2,$D495,$D495-($D495-$I$481)*MIN(E$3-$O$2,$Q$2)/$Q$2))</f>
        <v>3820.43518066406</v>
      </c>
      <c r="F495" s="15" t="n">
        <f aca="false">E495*(1+IF(F$3&lt;=$O$2,$D495,$D495-($D495-$I$481)*MIN(F$3-$O$2,$Q$2)/$Q$2))</f>
        <v>4383.10059148818</v>
      </c>
      <c r="G495" s="15" t="n">
        <f aca="false">F495*(1+IF(G$3&lt;=$O$2,$D495,$D495-($D495-$I$481)*MIN(G$3-$O$2,$Q$2)/$Q$2))</f>
        <v>5028.63414417745</v>
      </c>
      <c r="H495" s="15" t="n">
        <f aca="false">G495*(1+IF(H$3&lt;=$O$2,$D495,$D495-($D495-$I$481)*MIN(H$3-$O$2,$Q$2)/$Q$2))</f>
        <v>5769.24047901023</v>
      </c>
      <c r="I495" s="15" t="n">
        <f aca="false">H495*(1+IF(I$3&lt;=$O$2,$D495,$D495-($D495-$I$481)*MIN(I$3-$O$2,$Q$2)/$Q$2))</f>
        <v>6618.92170922578</v>
      </c>
      <c r="J495" s="15" t="n">
        <f aca="false">I495*(1+IF(J$3&lt;=$O$2,$D495,$D495-($D495-$I$481)*MIN(J$3-$O$2,$Q$2)/$Q$2))</f>
        <v>7429.62223616625</v>
      </c>
      <c r="K495" s="15" t="n">
        <f aca="false">J495*(1+IF(K$3&lt;=$O$2,$D495,$D495-($D495-$I$481)*MIN(K$3-$O$2,$Q$2)/$Q$2))</f>
        <v>8155.39750885956</v>
      </c>
      <c r="L495" s="15" t="n">
        <f aca="false">K495*(1+IF(L$3&lt;=$O$2,$D495,$D495-($D495-$I$481)*MIN(L$3-$O$2,$Q$2)/$Q$2))</f>
        <v>8749.85367181658</v>
      </c>
      <c r="M495" s="15" t="n">
        <f aca="false">L495*(1+IF(M$3&lt;=$O$2,$D495,$D495-($D495-$I$481)*MIN(M$3-$O$2,$Q$2)/$Q$2))</f>
        <v>9170.6828401344</v>
      </c>
      <c r="N495" s="15" t="n">
        <f aca="false">M495*(1+IF(N$3&lt;=$O$2,$D495,$D495-($D495-$I$481)*MIN(N$3-$O$2,$Q$2)/$Q$2))</f>
        <v>9384.35975030953</v>
      </c>
      <c r="O495" s="15" t="n">
        <f aca="false">SUMPRODUCT(E495:N495,1/(1+$F$481)^$E$3:$N$3)*$E$2</f>
        <v>21016.6696262513</v>
      </c>
      <c r="P495" s="15" t="n">
        <f aca="false">N495*$E$2*(1+$I$481)/($F$481-$I$481)/(1+$F$481)^$N$3</f>
        <v>25938.4042500455</v>
      </c>
      <c r="Q495" s="15" t="n">
        <f aca="false">O495+P495</f>
        <v>46955.0738762968</v>
      </c>
      <c r="R495" s="15" t="n">
        <f aca="false">Q495-$G$2+$I$2</f>
        <v>40767.7738762968</v>
      </c>
      <c r="S495" s="42" t="n">
        <f aca="false">R495/$K$2</f>
        <v>560.767178491015</v>
      </c>
      <c r="T495" s="43" t="n">
        <f aca="false">S495-$M$2</f>
        <v>-0.0306206836756928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0.14727783203125</v>
      </c>
      <c r="C496" s="25" t="n">
        <f aca="false">IF(T495&gt;0,D495,C495)</f>
        <v>0.1474609375</v>
      </c>
      <c r="D496" s="41" t="n">
        <f aca="false">(B496+C496)/2</f>
        <v>0.147369384765625</v>
      </c>
      <c r="E496" s="15" t="n">
        <f aca="false">$C$2*(1+IF(E$3&lt;=$O$2,$D496,$D496-($D496-$I$481)*MIN(E$3-$O$2,$Q$2)/$Q$2))</f>
        <v>3820.74005126953</v>
      </c>
      <c r="F496" s="15" t="n">
        <f aca="false">E496*(1+IF(F$3&lt;=$O$2,$D496,$D496-($D496-$I$481)*MIN(F$3-$O$2,$Q$2)/$Q$2))</f>
        <v>4383.80016197451</v>
      </c>
      <c r="G496" s="15" t="n">
        <f aca="false">F496*(1+IF(G$3&lt;=$O$2,$D496,$D496-($D496-$I$481)*MIN(G$3-$O$2,$Q$2)/$Q$2))</f>
        <v>5029.83809478013</v>
      </c>
      <c r="H496" s="15" t="n">
        <f aca="false">G496*(1+IF(H$3&lt;=$O$2,$D496,$D496-($D496-$I$481)*MIN(H$3-$O$2,$Q$2)/$Q$2))</f>
        <v>5771.08224027859</v>
      </c>
      <c r="I496" s="15" t="n">
        <f aca="false">H496*(1+IF(I$3&lt;=$O$2,$D496,$D496-($D496-$I$481)*MIN(I$3-$O$2,$Q$2)/$Q$2))</f>
        <v>6621.56307946027</v>
      </c>
      <c r="J496" s="15" t="n">
        <f aca="false">I496*(1+IF(J$3&lt;=$O$2,$D496,$D496-($D496-$I$481)*MIN(J$3-$O$2,$Q$2)/$Q$2))</f>
        <v>7433.07210517602</v>
      </c>
      <c r="K496" s="15" t="n">
        <f aca="false">J496*(1+IF(K$3&lt;=$O$2,$D496,$D496-($D496-$I$481)*MIN(K$3-$O$2,$Q$2)/$Q$2))</f>
        <v>8159.59269503125</v>
      </c>
      <c r="L496" s="15" t="n">
        <f aca="false">K496*(1+IF(L$3&lt;=$O$2,$D496,$D496-($D496-$I$481)*MIN(L$3-$O$2,$Q$2)/$Q$2))</f>
        <v>8754.65346306973</v>
      </c>
      <c r="M496" s="15" t="n">
        <f aca="false">L496*(1+IF(M$3&lt;=$O$2,$D496,$D496-($D496-$I$481)*MIN(M$3-$O$2,$Q$2)/$Q$2))</f>
        <v>9175.87378255911</v>
      </c>
      <c r="N496" s="15" t="n">
        <f aca="false">M496*(1+IF(N$3&lt;=$O$2,$D496,$D496-($D496-$I$481)*MIN(N$3-$O$2,$Q$2)/$Q$2))</f>
        <v>9389.67164169274</v>
      </c>
      <c r="O496" s="15" t="n">
        <f aca="false">SUMPRODUCT(E496:N496,1/(1+$F$481)^$E$3:$N$3)*$E$2</f>
        <v>21024.9058563793</v>
      </c>
      <c r="P496" s="15" t="n">
        <f aca="false">N496*$E$2*(1+$I$481)/($F$481-$I$481)/(1+$F$481)^$N$3</f>
        <v>25953.0863370175</v>
      </c>
      <c r="Q496" s="15" t="n">
        <f aca="false">O496+P496</f>
        <v>46977.9921933968</v>
      </c>
      <c r="R496" s="15" t="n">
        <f aca="false">Q496-$G$2+$I$2</f>
        <v>40790.6921933968</v>
      </c>
      <c r="S496" s="42" t="n">
        <f aca="false">R496/$K$2</f>
        <v>561.082423568044</v>
      </c>
      <c r="T496" s="43" t="n">
        <f aca="false">S496-$M$2</f>
        <v>0.284624393353283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0.14727783203125</v>
      </c>
      <c r="C497" s="25" t="n">
        <f aca="false">IF(T496&gt;0,D496,C496)</f>
        <v>0.147369384765625</v>
      </c>
      <c r="D497" s="41" t="n">
        <f aca="false">(B497+C497)/2</f>
        <v>0.147323608398438</v>
      </c>
      <c r="E497" s="15" t="n">
        <f aca="false">$C$2*(1+IF(E$3&lt;=$O$2,$D497,$D497-($D497-$I$481)*MIN(E$3-$O$2,$Q$2)/$Q$2))</f>
        <v>3820.5876159668</v>
      </c>
      <c r="F497" s="15" t="n">
        <f aca="false">E497*(1+IF(F$3&lt;=$O$2,$D497,$D497-($D497-$I$481)*MIN(F$3-$O$2,$Q$2)/$Q$2))</f>
        <v>4383.45036975341</v>
      </c>
      <c r="G497" s="15" t="n">
        <f aca="false">F497*(1+IF(G$3&lt;=$O$2,$D497,$D497-($D497-$I$481)*MIN(G$3-$O$2,$Q$2)/$Q$2))</f>
        <v>5029.23609546095</v>
      </c>
      <c r="H497" s="15" t="n">
        <f aca="false">G497*(1+IF(H$3&lt;=$O$2,$D497,$D497-($D497-$I$481)*MIN(H$3-$O$2,$Q$2)/$Q$2))</f>
        <v>5770.16130453192</v>
      </c>
      <c r="I497" s="15" t="n">
        <f aca="false">H497*(1+IF(I$3&lt;=$O$2,$D497,$D497-($D497-$I$481)*MIN(I$3-$O$2,$Q$2)/$Q$2))</f>
        <v>6620.2422889566</v>
      </c>
      <c r="J497" s="15" t="n">
        <f aca="false">I497*(1+IF(J$3&lt;=$O$2,$D497,$D497-($D497-$I$481)*MIN(J$3-$O$2,$Q$2)/$Q$2))</f>
        <v>7431.34700400795</v>
      </c>
      <c r="K497" s="15" t="n">
        <f aca="false">J497*(1+IF(K$3&lt;=$O$2,$D497,$D497-($D497-$I$481)*MIN(K$3-$O$2,$Q$2)/$Q$2))</f>
        <v>8157.49487162013</v>
      </c>
      <c r="L497" s="15" t="n">
        <f aca="false">K497*(1+IF(L$3&lt;=$O$2,$D497,$D497-($D497-$I$481)*MIN(L$3-$O$2,$Q$2)/$Q$2))</f>
        <v>8752.25328191691</v>
      </c>
      <c r="M497" s="15" t="n">
        <f aca="false">L497*(1+IF(M$3&lt;=$O$2,$D497,$D497-($D497-$I$481)*MIN(M$3-$O$2,$Q$2)/$Q$2))</f>
        <v>9173.27799011365</v>
      </c>
      <c r="N497" s="15" t="n">
        <f aca="false">M497*(1+IF(N$3&lt;=$O$2,$D497,$D497-($D497-$I$481)*MIN(N$3-$O$2,$Q$2)/$Q$2))</f>
        <v>9387.0153672833</v>
      </c>
      <c r="O497" s="15" t="n">
        <f aca="false">SUMPRODUCT(E497:N497,1/(1+$F$481)^$E$3:$N$3)*$E$2</f>
        <v>21020.7873441799</v>
      </c>
      <c r="P497" s="15" t="n">
        <f aca="false">N497*$E$2*(1+$I$481)/($F$481-$I$481)/(1+$F$481)^$N$3</f>
        <v>25945.7443849542</v>
      </c>
      <c r="Q497" s="15" t="n">
        <f aca="false">O497+P497</f>
        <v>46966.5317291341</v>
      </c>
      <c r="R497" s="15" t="n">
        <f aca="false">Q497-$G$2+$I$2</f>
        <v>40779.2317291341</v>
      </c>
      <c r="S497" s="42" t="n">
        <f aca="false">R497/$K$2</f>
        <v>560.924783069245</v>
      </c>
      <c r="T497" s="43" t="n">
        <f aca="false">S497-$M$2</f>
        <v>0.126983894554201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0.14727783203125</v>
      </c>
      <c r="C498" s="25" t="n">
        <f aca="false">IF(T497&gt;0,D497,C497)</f>
        <v>0.147323608398438</v>
      </c>
      <c r="D498" s="41" t="n">
        <f aca="false">(B498+C498)/2</f>
        <v>0.147300720214844</v>
      </c>
      <c r="E498" s="15" t="n">
        <f aca="false">$C$2*(1+IF(E$3&lt;=$O$2,$D498,$D498-($D498-$I$481)*MIN(E$3-$O$2,$Q$2)/$Q$2))</f>
        <v>3820.51139831543</v>
      </c>
      <c r="F498" s="15" t="n">
        <f aca="false">E498*(1+IF(F$3&lt;=$O$2,$D498,$D498-($D498-$I$481)*MIN(F$3-$O$2,$Q$2)/$Q$2))</f>
        <v>4383.27547887631</v>
      </c>
      <c r="G498" s="15" t="n">
        <f aca="false">F498*(1+IF(G$3&lt;=$O$2,$D498,$D498-($D498-$I$481)*MIN(G$3-$O$2,$Q$2)/$Q$2))</f>
        <v>5028.93511381486</v>
      </c>
      <c r="H498" s="15" t="n">
        <f aca="false">G498*(1+IF(H$3&lt;=$O$2,$D498,$D498-($D498-$I$481)*MIN(H$3-$O$2,$Q$2)/$Q$2))</f>
        <v>5769.7008779935</v>
      </c>
      <c r="I498" s="15" t="n">
        <f aca="false">H498*(1+IF(I$3&lt;=$O$2,$D498,$D498-($D498-$I$481)*MIN(I$3-$O$2,$Q$2)/$Q$2))</f>
        <v>6619.58197274616</v>
      </c>
      <c r="J498" s="15" t="n">
        <f aca="false">I498*(1+IF(J$3&lt;=$O$2,$D498,$D498-($D498-$I$481)*MIN(J$3-$O$2,$Q$2)/$Q$2))</f>
        <v>7430.48457842452</v>
      </c>
      <c r="K498" s="15" t="n">
        <f aca="false">J498*(1+IF(K$3&lt;=$O$2,$D498,$D498-($D498-$I$481)*MIN(K$3-$O$2,$Q$2)/$Q$2))</f>
        <v>8156.44613266377</v>
      </c>
      <c r="L498" s="15" t="n">
        <f aca="false">K498*(1+IF(L$3&lt;=$O$2,$D498,$D498-($D498-$I$481)*MIN(L$3-$O$2,$Q$2)/$Q$2))</f>
        <v>8751.05340549239</v>
      </c>
      <c r="M498" s="15" t="n">
        <f aca="false">L498*(1+IF(M$3&lt;=$O$2,$D498,$D498-($D498-$I$481)*MIN(M$3-$O$2,$Q$2)/$Q$2))</f>
        <v>9171.98033482429</v>
      </c>
      <c r="N498" s="15" t="n">
        <f aca="false">M498*(1+IF(N$3&lt;=$O$2,$D498,$D498-($D498-$I$481)*MIN(N$3-$O$2,$Q$2)/$Q$2))</f>
        <v>9385.6874766257</v>
      </c>
      <c r="O498" s="15" t="n">
        <f aca="false">SUMPRODUCT(E498:N498,1/(1+$F$481)^$E$3:$N$3)*$E$2</f>
        <v>21018.7283859405</v>
      </c>
      <c r="P498" s="15" t="n">
        <f aca="false">N498*$E$2*(1+$I$481)/($F$481-$I$481)/(1+$F$481)^$N$3</f>
        <v>25942.0740903797</v>
      </c>
      <c r="Q498" s="15" t="n">
        <f aca="false">O498+P498</f>
        <v>46960.8024763202</v>
      </c>
      <c r="R498" s="15" t="n">
        <f aca="false">Q498-$G$2+$I$2</f>
        <v>40773.5024763202</v>
      </c>
      <c r="S498" s="42" t="n">
        <f aca="false">R498/$K$2</f>
        <v>560.845976290512</v>
      </c>
      <c r="T498" s="43" t="n">
        <f aca="false">S498-$M$2</f>
        <v>0.0481771158215452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0.14727783203125</v>
      </c>
      <c r="C499" s="25" t="n">
        <f aca="false">IF(T498&gt;0,D498,C498)</f>
        <v>0.147300720214844</v>
      </c>
      <c r="D499" s="41" t="n">
        <f aca="false">(B499+C499)/2</f>
        <v>0.147289276123047</v>
      </c>
      <c r="E499" s="15" t="n">
        <f aca="false">$C$2*(1+IF(E$3&lt;=$O$2,$D499,$D499-($D499-$I$481)*MIN(E$3-$O$2,$Q$2)/$Q$2))</f>
        <v>3820.47328948975</v>
      </c>
      <c r="F499" s="15" t="n">
        <f aca="false">E499*(1+IF(F$3&lt;=$O$2,$D499,$D499-($D499-$I$481)*MIN(F$3-$O$2,$Q$2)/$Q$2))</f>
        <v>4383.18803474613</v>
      </c>
      <c r="G499" s="15" t="n">
        <f aca="false">F499*(1+IF(G$3&lt;=$O$2,$D499,$D499-($D499-$I$481)*MIN(G$3-$O$2,$Q$2)/$Q$2))</f>
        <v>5028.78462749508</v>
      </c>
      <c r="H499" s="15" t="n">
        <f aca="false">G499*(1+IF(H$3&lt;=$O$2,$D499,$D499-($D499-$I$481)*MIN(H$3-$O$2,$Q$2)/$Q$2))</f>
        <v>5769.47067505754</v>
      </c>
      <c r="I499" s="15" t="n">
        <f aca="false">H499*(1+IF(I$3&lt;=$O$2,$D499,$D499-($D499-$I$481)*MIN(I$3-$O$2,$Q$2)/$Q$2))</f>
        <v>6619.25183439991</v>
      </c>
      <c r="J499" s="15" t="n">
        <f aca="false">I499*(1+IF(J$3&lt;=$O$2,$D499,$D499-($D499-$I$481)*MIN(J$3-$O$2,$Q$2)/$Q$2))</f>
        <v>7430.05339688015</v>
      </c>
      <c r="K499" s="15" t="n">
        <f aca="false">J499*(1+IF(K$3&lt;=$O$2,$D499,$D499-($D499-$I$481)*MIN(K$3-$O$2,$Q$2)/$Q$2))</f>
        <v>8155.92180636831</v>
      </c>
      <c r="L499" s="15" t="n">
        <f aca="false">K499*(1+IF(L$3&lt;=$O$2,$D499,$D499-($D499-$I$481)*MIN(L$3-$O$2,$Q$2)/$Q$2))</f>
        <v>8750.4535208118</v>
      </c>
      <c r="M499" s="15" t="n">
        <f aca="false">L499*(1+IF(M$3&lt;=$O$2,$D499,$D499-($D499-$I$481)*MIN(M$3-$O$2,$Q$2)/$Q$2))</f>
        <v>9171.33156740548</v>
      </c>
      <c r="N499" s="15" t="n">
        <f aca="false">M499*(1+IF(N$3&lt;=$O$2,$D499,$D499-($D499-$I$481)*MIN(N$3-$O$2,$Q$2)/$Q$2))</f>
        <v>9385.02359292603</v>
      </c>
      <c r="O499" s="15" t="n">
        <f aca="false">SUMPRODUCT(E499:N499,1/(1+$F$481)^$E$3:$N$3)*$E$2</f>
        <v>21017.6989812782</v>
      </c>
      <c r="P499" s="15" t="n">
        <f aca="false">N499*$E$2*(1+$I$481)/($F$481-$I$481)/(1+$F$481)^$N$3</f>
        <v>25940.2391134356</v>
      </c>
      <c r="Q499" s="15" t="n">
        <f aca="false">O499+P499</f>
        <v>46957.9380947138</v>
      </c>
      <c r="R499" s="15" t="n">
        <f aca="false">Q499-$G$2+$I$2</f>
        <v>40770.6380947138</v>
      </c>
      <c r="S499" s="42" t="n">
        <f aca="false">R499/$K$2</f>
        <v>560.806576268416</v>
      </c>
      <c r="T499" s="43" t="n">
        <f aca="false">S499-$M$2</f>
        <v>0.00877709372537083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0.14727783203125</v>
      </c>
      <c r="C500" s="25" t="n">
        <f aca="false">IF(T499&gt;0,D499,C499)</f>
        <v>0.147289276123047</v>
      </c>
      <c r="D500" s="41" t="n">
        <f aca="false">(B500+C500)/2</f>
        <v>0.147283554077148</v>
      </c>
      <c r="E500" s="15" t="n">
        <f aca="false">$C$2*(1+IF(E$3&lt;=$O$2,$D500,$D500-($D500-$I$481)*MIN(E$3-$O$2,$Q$2)/$Q$2))</f>
        <v>3820.4542350769</v>
      </c>
      <c r="F500" s="15" t="n">
        <f aca="false">E500*(1+IF(F$3&lt;=$O$2,$D500,$D500-($D500-$I$481)*MIN(F$3-$O$2,$Q$2)/$Q$2))</f>
        <v>4383.14431300812</v>
      </c>
      <c r="G500" s="15" t="n">
        <f aca="false">F500*(1+IF(G$3&lt;=$O$2,$D500,$D500-($D500-$I$481)*MIN(G$3-$O$2,$Q$2)/$Q$2))</f>
        <v>5028.709385461</v>
      </c>
      <c r="H500" s="15" t="n">
        <f aca="false">G500*(1+IF(H$3&lt;=$O$2,$D500,$D500-($D500-$I$481)*MIN(H$3-$O$2,$Q$2)/$Q$2))</f>
        <v>5769.35557617281</v>
      </c>
      <c r="I500" s="15" t="n">
        <f aca="false">H500*(1+IF(I$3&lt;=$O$2,$D500,$D500-($D500-$I$481)*MIN(I$3-$O$2,$Q$2)/$Q$2))</f>
        <v>6619.08677016636</v>
      </c>
      <c r="J500" s="15" t="n">
        <f aca="false">I500*(1+IF(J$3&lt;=$O$2,$D500,$D500-($D500-$I$481)*MIN(J$3-$O$2,$Q$2)/$Q$2))</f>
        <v>7429.83781391944</v>
      </c>
      <c r="K500" s="15" t="n">
        <f aca="false">J500*(1+IF(K$3&lt;=$O$2,$D500,$D500-($D500-$I$481)*MIN(K$3-$O$2,$Q$2)/$Q$2))</f>
        <v>8155.65965401568</v>
      </c>
      <c r="L500" s="15" t="n">
        <f aca="false">K500*(1+IF(L$3&lt;=$O$2,$D500,$D500-($D500-$I$481)*MIN(L$3-$O$2,$Q$2)/$Q$2))</f>
        <v>8750.15359185363</v>
      </c>
      <c r="M500" s="15" t="n">
        <f aca="false">L500*(1+IF(M$3&lt;=$O$2,$D500,$D500-($D500-$I$481)*MIN(M$3-$O$2,$Q$2)/$Q$2))</f>
        <v>9171.00719875161</v>
      </c>
      <c r="N500" s="15" t="n">
        <f aca="false">M500*(1+IF(N$3&lt;=$O$2,$D500,$D500-($D500-$I$481)*MIN(N$3-$O$2,$Q$2)/$Q$2))</f>
        <v>9384.69166648252</v>
      </c>
      <c r="O500" s="15" t="n">
        <f aca="false">SUMPRODUCT(E500:N500,1/(1+$F$481)^$E$3:$N$3)*$E$2</f>
        <v>21017.1842975605</v>
      </c>
      <c r="P500" s="15" t="n">
        <f aca="false">N500*$E$2*(1+$I$481)/($F$481-$I$481)/(1+$F$481)^$N$3</f>
        <v>25939.3216675467</v>
      </c>
      <c r="Q500" s="15" t="n">
        <f aca="false">O500+P500</f>
        <v>46956.5059651072</v>
      </c>
      <c r="R500" s="15" t="n">
        <f aca="false">Q500-$G$2+$I$2</f>
        <v>40769.2059651072</v>
      </c>
      <c r="S500" s="42" t="n">
        <f aca="false">R500/$K$2</f>
        <v>560.786877099135</v>
      </c>
      <c r="T500" s="43" t="n">
        <f aca="false">S500-$M$2</f>
        <v>-0.0109220755550723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0.147283554077148</v>
      </c>
      <c r="C501" s="25" t="n">
        <f aca="false">IF(T500&gt;0,D500,C500)</f>
        <v>0.147289276123047</v>
      </c>
      <c r="D501" s="41" t="n">
        <f aca="false">(B501+C501)/2</f>
        <v>0.147286415100098</v>
      </c>
      <c r="E501" s="15" t="n">
        <f aca="false">$C$2*(1+IF(E$3&lt;=$O$2,$D501,$D501-($D501-$I$481)*MIN(E$3-$O$2,$Q$2)/$Q$2))</f>
        <v>3820.46376228333</v>
      </c>
      <c r="F501" s="15" t="n">
        <f aca="false">E501*(1+IF(F$3&lt;=$O$2,$D501,$D501-($D501-$I$481)*MIN(F$3-$O$2,$Q$2)/$Q$2))</f>
        <v>4383.16617384987</v>
      </c>
      <c r="G501" s="15" t="n">
        <f aca="false">F501*(1+IF(G$3&lt;=$O$2,$D501,$D501-($D501-$I$481)*MIN(G$3-$O$2,$Q$2)/$Q$2))</f>
        <v>5028.74700638423</v>
      </c>
      <c r="H501" s="15" t="n">
        <f aca="false">G501*(1+IF(H$3&lt;=$O$2,$D501,$D501-($D501-$I$481)*MIN(H$3-$O$2,$Q$2)/$Q$2))</f>
        <v>5769.41312539991</v>
      </c>
      <c r="I501" s="15" t="n">
        <f aca="false">H501*(1+IF(I$3&lt;=$O$2,$D501,$D501-($D501-$I$481)*MIN(I$3-$O$2,$Q$2)/$Q$2))</f>
        <v>6619.16930187151</v>
      </c>
      <c r="J501" s="15" t="n">
        <f aca="false">I501*(1+IF(J$3&lt;=$O$2,$D501,$D501-($D501-$I$481)*MIN(J$3-$O$2,$Q$2)/$Q$2))</f>
        <v>7429.94560474885</v>
      </c>
      <c r="K501" s="15" t="n">
        <f aca="false">J501*(1+IF(K$3&lt;=$O$2,$D501,$D501-($D501-$I$481)*MIN(K$3-$O$2,$Q$2)/$Q$2))</f>
        <v>8155.79072929242</v>
      </c>
      <c r="L501" s="15" t="n">
        <f aca="false">K501*(1+IF(L$3&lt;=$O$2,$D501,$D501-($D501-$I$481)*MIN(L$3-$O$2,$Q$2)/$Q$2))</f>
        <v>8750.30355521756</v>
      </c>
      <c r="M501" s="15" t="n">
        <f aca="false">L501*(1+IF(M$3&lt;=$O$2,$D501,$D501-($D501-$I$481)*MIN(M$3-$O$2,$Q$2)/$Q$2))</f>
        <v>9171.16938182395</v>
      </c>
      <c r="N501" s="15" t="n">
        <f aca="false">M501*(1+IF(N$3&lt;=$O$2,$D501,$D501-($D501-$I$481)*MIN(N$3-$O$2,$Q$2)/$Q$2))</f>
        <v>9384.85762842045</v>
      </c>
      <c r="O501" s="15" t="n">
        <f aca="false">SUMPRODUCT(E501:N501,1/(1+$F$481)^$E$3:$N$3)*$E$2</f>
        <v>21017.4416378683</v>
      </c>
      <c r="P501" s="15" t="n">
        <f aca="false">N501*$E$2*(1+$I$481)/($F$481-$I$481)/(1+$F$481)^$N$3</f>
        <v>25939.7803869426</v>
      </c>
      <c r="Q501" s="15" t="n">
        <f aca="false">O501+P501</f>
        <v>46957.2220248109</v>
      </c>
      <c r="R501" s="15" t="n">
        <f aca="false">Q501-$G$2+$I$2</f>
        <v>40769.9220248109</v>
      </c>
      <c r="S501" s="42" t="n">
        <f aca="false">R501/$K$2</f>
        <v>560.79672661363</v>
      </c>
      <c r="T501" s="43" t="n">
        <f aca="false">S501-$M$2</f>
        <v>-0.00107256106059594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0.147286415100098</v>
      </c>
      <c r="C502" s="25" t="n">
        <f aca="false">IF(T501&gt;0,D501,C501)</f>
        <v>0.147289276123047</v>
      </c>
      <c r="D502" s="41" t="n">
        <f aca="false">(B502+C502)/2</f>
        <v>0.147287845611572</v>
      </c>
      <c r="E502" s="15" t="n">
        <f aca="false">$C$2*(1+IF(E$3&lt;=$O$2,$D502,$D502-($D502-$I$481)*MIN(E$3-$O$2,$Q$2)/$Q$2))</f>
        <v>3820.46852588654</v>
      </c>
      <c r="F502" s="15" t="n">
        <f aca="false">E502*(1+IF(F$3&lt;=$O$2,$D502,$D502-($D502-$I$481)*MIN(F$3-$O$2,$Q$2)/$Q$2))</f>
        <v>4383.17710429118</v>
      </c>
      <c r="G502" s="15" t="n">
        <f aca="false">F502*(1+IF(G$3&lt;=$O$2,$D502,$D502-($D502-$I$481)*MIN(G$3-$O$2,$Q$2)/$Q$2))</f>
        <v>5028.7658169162</v>
      </c>
      <c r="H502" s="15" t="n">
        <f aca="false">G502*(1+IF(H$3&lt;=$O$2,$D502,$D502-($D502-$I$481)*MIN(H$3-$O$2,$Q$2)/$Q$2))</f>
        <v>5769.44190017491</v>
      </c>
      <c r="I502" s="15" t="n">
        <f aca="false">H502*(1+IF(I$3&lt;=$O$2,$D502,$D502-($D502-$I$481)*MIN(I$3-$O$2,$Q$2)/$Q$2))</f>
        <v>6619.2105680328</v>
      </c>
      <c r="J502" s="15" t="n">
        <f aca="false">I502*(1+IF(J$3&lt;=$O$2,$D502,$D502-($D502-$I$481)*MIN(J$3-$O$2,$Q$2)/$Q$2))</f>
        <v>7429.99950065176</v>
      </c>
      <c r="K502" s="15" t="n">
        <f aca="false">J502*(1+IF(K$3&lt;=$O$2,$D502,$D502-($D502-$I$481)*MIN(K$3-$O$2,$Q$2)/$Q$2))</f>
        <v>8155.85626760546</v>
      </c>
      <c r="L502" s="15" t="n">
        <f aca="false">K502*(1+IF(L$3&lt;=$O$2,$D502,$D502-($D502-$I$481)*MIN(L$3-$O$2,$Q$2)/$Q$2))</f>
        <v>8750.37853773589</v>
      </c>
      <c r="M502" s="15" t="n">
        <f aca="false">L502*(1+IF(M$3&lt;=$O$2,$D502,$D502-($D502-$I$481)*MIN(M$3-$O$2,$Q$2)/$Q$2))</f>
        <v>9171.25047430106</v>
      </c>
      <c r="N502" s="15" t="n">
        <f aca="false">M502*(1+IF(N$3&lt;=$O$2,$D502,$D502-($D502-$I$481)*MIN(N$3-$O$2,$Q$2)/$Q$2))</f>
        <v>9384.94061035227</v>
      </c>
      <c r="O502" s="15" t="n">
        <f aca="false">SUMPRODUCT(E502:N502,1/(1+$F$481)^$E$3:$N$3)*$E$2</f>
        <v>21017.5703091855</v>
      </c>
      <c r="P502" s="15" t="n">
        <f aca="false">N502*$E$2*(1+$I$481)/($F$481-$I$481)/(1+$F$481)^$N$3</f>
        <v>25940.009749302</v>
      </c>
      <c r="Q502" s="15" t="n">
        <f aca="false">O502+P502</f>
        <v>46957.5800584874</v>
      </c>
      <c r="R502" s="15" t="n">
        <f aca="false">Q502-$G$2+$I$2</f>
        <v>40770.2800584874</v>
      </c>
      <c r="S502" s="42" t="n">
        <f aca="false">R502/$K$2</f>
        <v>560.801651423486</v>
      </c>
      <c r="T502" s="43" t="n">
        <f aca="false">S502-$M$2</f>
        <v>0.00385224879539692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0.147286415100098</v>
      </c>
      <c r="C503" s="25" t="n">
        <f aca="false">IF(T502&gt;0,D502,C502)</f>
        <v>0.147287845611572</v>
      </c>
      <c r="D503" s="41" t="n">
        <f aca="false">(B503+C503)/2</f>
        <v>0.147287130355835</v>
      </c>
      <c r="E503" s="15" t="n">
        <f aca="false">$C$2*(1+IF(E$3&lt;=$O$2,$D503,$D503-($D503-$I$481)*MIN(E$3-$O$2,$Q$2)/$Q$2))</f>
        <v>3820.46614408493</v>
      </c>
      <c r="F503" s="15" t="n">
        <f aca="false">E503*(1+IF(F$3&lt;=$O$2,$D503,$D503-($D503-$I$481)*MIN(F$3-$O$2,$Q$2)/$Q$2))</f>
        <v>4383.17163906882</v>
      </c>
      <c r="G503" s="15" t="n">
        <f aca="false">F503*(1+IF(G$3&lt;=$O$2,$D503,$D503-($D503-$I$481)*MIN(G$3-$O$2,$Q$2)/$Q$2))</f>
        <v>5028.75641164435</v>
      </c>
      <c r="H503" s="15" t="n">
        <f aca="false">G503*(1+IF(H$3&lt;=$O$2,$D503,$D503-($D503-$I$481)*MIN(H$3-$O$2,$Q$2)/$Q$2))</f>
        <v>5769.42751277395</v>
      </c>
      <c r="I503" s="15" t="n">
        <f aca="false">H503*(1+IF(I$3&lt;=$O$2,$D503,$D503-($D503-$I$481)*MIN(I$3-$O$2,$Q$2)/$Q$2))</f>
        <v>6619.18993492643</v>
      </c>
      <c r="J503" s="15" t="n">
        <f aca="false">I503*(1+IF(J$3&lt;=$O$2,$D503,$D503-($D503-$I$481)*MIN(J$3-$O$2,$Q$2)/$Q$2))</f>
        <v>7429.97255265962</v>
      </c>
      <c r="K503" s="15" t="n">
        <f aca="false">J503*(1+IF(K$3&lt;=$O$2,$D503,$D503-($D503-$I$481)*MIN(K$3-$O$2,$Q$2)/$Q$2))</f>
        <v>8155.82349839272</v>
      </c>
      <c r="L503" s="15" t="n">
        <f aca="false">K503*(1+IF(L$3&lt;=$O$2,$D503,$D503-($D503-$I$481)*MIN(L$3-$O$2,$Q$2)/$Q$2))</f>
        <v>8750.34104640703</v>
      </c>
      <c r="M503" s="15" t="n">
        <f aca="false">L503*(1+IF(M$3&lt;=$O$2,$D503,$D503-($D503-$I$481)*MIN(M$3-$O$2,$Q$2)/$Q$2))</f>
        <v>9171.20992798409</v>
      </c>
      <c r="N503" s="15" t="n">
        <f aca="false">M503*(1+IF(N$3&lt;=$O$2,$D503,$D503-($D503-$I$481)*MIN(N$3-$O$2,$Q$2)/$Q$2))</f>
        <v>9384.89911930612</v>
      </c>
      <c r="O503" s="15" t="n">
        <f aca="false">SUMPRODUCT(E503:N503,1/(1+$F$481)^$E$3:$N$3)*$E$2</f>
        <v>21017.5059734299</v>
      </c>
      <c r="P503" s="15" t="n">
        <f aca="false">N503*$E$2*(1+$I$481)/($F$481-$I$481)/(1+$F$481)^$N$3</f>
        <v>25939.8950679005</v>
      </c>
      <c r="Q503" s="15" t="n">
        <f aca="false">O503+P503</f>
        <v>46957.4010413304</v>
      </c>
      <c r="R503" s="15" t="n">
        <f aca="false">Q503-$G$2+$I$2</f>
        <v>40770.1010413304</v>
      </c>
      <c r="S503" s="42" t="n">
        <f aca="false">R503/$K$2</f>
        <v>560.799189014174</v>
      </c>
      <c r="T503" s="43" t="n">
        <f aca="false">S503-$M$2</f>
        <v>0.00138983948329496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0.147286415100098</v>
      </c>
      <c r="C504" s="25" t="n">
        <f aca="false">IF(T503&gt;0,D503,C503)</f>
        <v>0.147287130355835</v>
      </c>
      <c r="D504" s="41" t="n">
        <f aca="false">(B504+C504)/2</f>
        <v>0.147286772727966</v>
      </c>
      <c r="E504" s="15" t="n">
        <f aca="false">$C$2*(1+IF(E$3&lt;=$O$2,$D504,$D504-($D504-$I$481)*MIN(E$3-$O$2,$Q$2)/$Q$2))</f>
        <v>3820.46495318413</v>
      </c>
      <c r="F504" s="15" t="n">
        <f aca="false">E504*(1+IF(F$3&lt;=$O$2,$D504,$D504-($D504-$I$481)*MIN(F$3-$O$2,$Q$2)/$Q$2))</f>
        <v>4383.16890645892</v>
      </c>
      <c r="G504" s="15" t="n">
        <f aca="false">F504*(1+IF(G$3&lt;=$O$2,$D504,$D504-($D504-$I$481)*MIN(G$3-$O$2,$Q$2)/$Q$2))</f>
        <v>5028.75170901282</v>
      </c>
      <c r="H504" s="15" t="n">
        <f aca="false">G504*(1+IF(H$3&lt;=$O$2,$D504,$D504-($D504-$I$481)*MIN(H$3-$O$2,$Q$2)/$Q$2))</f>
        <v>5769.42031908357</v>
      </c>
      <c r="I504" s="15" t="n">
        <f aca="false">H504*(1+IF(I$3&lt;=$O$2,$D504,$D504-($D504-$I$481)*MIN(I$3-$O$2,$Q$2)/$Q$2))</f>
        <v>6619.17961839254</v>
      </c>
      <c r="J504" s="15" t="n">
        <f aca="false">I504*(1+IF(J$3&lt;=$O$2,$D504,$D504-($D504-$I$481)*MIN(J$3-$O$2,$Q$2)/$Q$2))</f>
        <v>7429.95907869406</v>
      </c>
      <c r="K504" s="15" t="n">
        <f aca="false">J504*(1+IF(K$3&lt;=$O$2,$D504,$D504-($D504-$I$481)*MIN(K$3-$O$2,$Q$2)/$Q$2))</f>
        <v>8155.80711382851</v>
      </c>
      <c r="L504" s="15" t="n">
        <f aca="false">K504*(1+IF(L$3&lt;=$O$2,$D504,$D504-($D504-$I$481)*MIN(L$3-$O$2,$Q$2)/$Q$2))</f>
        <v>8750.32230079487</v>
      </c>
      <c r="M504" s="15" t="n">
        <f aca="false">L504*(1+IF(M$3&lt;=$O$2,$D504,$D504-($D504-$I$481)*MIN(M$3-$O$2,$Q$2)/$Q$2))</f>
        <v>9171.18965488441</v>
      </c>
      <c r="N504" s="15" t="n">
        <f aca="false">M504*(1+IF(N$3&lt;=$O$2,$D504,$D504-($D504-$I$481)*MIN(N$3-$O$2,$Q$2)/$Q$2))</f>
        <v>9384.87837384322</v>
      </c>
      <c r="O504" s="15" t="n">
        <f aca="false">SUMPRODUCT(E504:N504,1/(1+$F$481)^$E$3:$N$3)*$E$2</f>
        <v>21017.4738056249</v>
      </c>
      <c r="P504" s="15" t="n">
        <f aca="false">N504*$E$2*(1+$I$481)/($F$481-$I$481)/(1+$F$481)^$N$3</f>
        <v>25939.8377273661</v>
      </c>
      <c r="Q504" s="15" t="n">
        <f aca="false">O504+P504</f>
        <v>46957.311532991</v>
      </c>
      <c r="R504" s="15" t="n">
        <f aca="false">Q504-$G$2+$I$2</f>
        <v>40770.011532991</v>
      </c>
      <c r="S504" s="42" t="n">
        <f aca="false">R504/$K$2</f>
        <v>560.797957812806</v>
      </c>
      <c r="T504" s="43" t="n">
        <f aca="false">S504-$M$2</f>
        <v>0.00015863811518102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0.147286415100098</v>
      </c>
      <c r="C505" s="25" t="n">
        <f aca="false">IF(T504&gt;0,D504,C504)</f>
        <v>0.147286772727966</v>
      </c>
      <c r="D505" s="41" t="n">
        <f aca="false">(B505+C505)/2</f>
        <v>0.147286593914032</v>
      </c>
      <c r="E505" s="15" t="n">
        <f aca="false">$C$2*(1+IF(E$3&lt;=$O$2,$D505,$D505-($D505-$I$481)*MIN(E$3-$O$2,$Q$2)/$Q$2))</f>
        <v>3820.46435773373</v>
      </c>
      <c r="F505" s="15" t="n">
        <f aca="false">E505*(1+IF(F$3&lt;=$O$2,$D505,$D505-($D505-$I$481)*MIN(F$3-$O$2,$Q$2)/$Q$2))</f>
        <v>4383.16754015429</v>
      </c>
      <c r="G505" s="15" t="n">
        <f aca="false">F505*(1+IF(G$3&lt;=$O$2,$D505,$D505-($D505-$I$481)*MIN(G$3-$O$2,$Q$2)/$Q$2))</f>
        <v>5028.74935769816</v>
      </c>
      <c r="H505" s="15" t="n">
        <f aca="false">G505*(1+IF(H$3&lt;=$O$2,$D505,$D505-($D505-$I$481)*MIN(H$3-$O$2,$Q$2)/$Q$2))</f>
        <v>5769.4167222409</v>
      </c>
      <c r="I505" s="15" t="n">
        <f aca="false">H505*(1+IF(I$3&lt;=$O$2,$D505,$D505-($D505-$I$481)*MIN(I$3-$O$2,$Q$2)/$Q$2))</f>
        <v>6619.17446013042</v>
      </c>
      <c r="J505" s="15" t="n">
        <f aca="false">I505*(1+IF(J$3&lt;=$O$2,$D505,$D505-($D505-$I$481)*MIN(J$3-$O$2,$Q$2)/$Q$2))</f>
        <v>7429.95234171891</v>
      </c>
      <c r="K505" s="15" t="n">
        <f aca="false">J505*(1+IF(K$3&lt;=$O$2,$D505,$D505-($D505-$I$481)*MIN(K$3-$O$2,$Q$2)/$Q$2))</f>
        <v>8155.79892155695</v>
      </c>
      <c r="L505" s="15" t="n">
        <f aca="false">K505*(1+IF(L$3&lt;=$O$2,$D505,$D505-($D505-$I$481)*MIN(L$3-$O$2,$Q$2)/$Q$2))</f>
        <v>8750.31292800186</v>
      </c>
      <c r="M505" s="15" t="n">
        <f aca="false">L505*(1+IF(M$3&lt;=$O$2,$D505,$D505-($D505-$I$481)*MIN(M$3-$O$2,$Q$2)/$Q$2))</f>
        <v>9171.17951834928</v>
      </c>
      <c r="N505" s="15" t="n">
        <f aca="false">M505*(1+IF(N$3&lt;=$O$2,$D505,$D505-($D505-$I$481)*MIN(N$3-$O$2,$Q$2)/$Q$2))</f>
        <v>9384.86800112682</v>
      </c>
      <c r="O505" s="15" t="n">
        <f aca="false">SUMPRODUCT(E505:N505,1/(1+$F$481)^$E$3:$N$3)*$E$2</f>
        <v>21017.4577217405</v>
      </c>
      <c r="P505" s="15" t="n">
        <f aca="false">N505*$E$2*(1+$I$481)/($F$481-$I$481)/(1+$F$481)^$N$3</f>
        <v>25939.8090571405</v>
      </c>
      <c r="Q505" s="15" t="n">
        <f aca="false">O505+P505</f>
        <v>46957.266778881</v>
      </c>
      <c r="R505" s="15" t="n">
        <f aca="false">Q505-$G$2+$I$2</f>
        <v>40769.966778881</v>
      </c>
      <c r="S505" s="42" t="n">
        <f aca="false">R505/$K$2</f>
        <v>560.797342212944</v>
      </c>
      <c r="T505" s="43" t="n">
        <f aca="false">S505-$M$2</f>
        <v>-0.000456961746863271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0.147286593914032</v>
      </c>
      <c r="C506" s="25" t="n">
        <f aca="false">IF(T505&gt;0,D505,C505)</f>
        <v>0.147286772727966</v>
      </c>
      <c r="D506" s="41" t="n">
        <f aca="false">(B506+C506)/2</f>
        <v>0.147286683320999</v>
      </c>
      <c r="E506" s="15" t="n">
        <f aca="false">$C$2*(1+IF(E$3&lt;=$O$2,$D506,$D506-($D506-$I$481)*MIN(E$3-$O$2,$Q$2)/$Q$2))</f>
        <v>3820.46465545893</v>
      </c>
      <c r="F506" s="15" t="n">
        <f aca="false">E506*(1+IF(F$3&lt;=$O$2,$D506,$D506-($D506-$I$481)*MIN(F$3-$O$2,$Q$2)/$Q$2))</f>
        <v>4383.16822330658</v>
      </c>
      <c r="G506" s="15" t="n">
        <f aca="false">F506*(1+IF(G$3&lt;=$O$2,$D506,$D506-($D506-$I$481)*MIN(G$3-$O$2,$Q$2)/$Q$2))</f>
        <v>5028.7505333554</v>
      </c>
      <c r="H506" s="15" t="n">
        <f aca="false">G506*(1+IF(H$3&lt;=$O$2,$D506,$D506-($D506-$I$481)*MIN(H$3-$O$2,$Q$2)/$Q$2))</f>
        <v>5769.41852066202</v>
      </c>
      <c r="I506" s="15" t="n">
        <f aca="false">H506*(1+IF(I$3&lt;=$O$2,$D506,$D506-($D506-$I$481)*MIN(I$3-$O$2,$Q$2)/$Q$2))</f>
        <v>6619.17703926108</v>
      </c>
      <c r="J506" s="15" t="n">
        <f aca="false">I506*(1+IF(J$3&lt;=$O$2,$D506,$D506-($D506-$I$481)*MIN(J$3-$O$2,$Q$2)/$Q$2))</f>
        <v>7429.95571020585</v>
      </c>
      <c r="K506" s="15" t="n">
        <f aca="false">J506*(1+IF(K$3&lt;=$O$2,$D506,$D506-($D506-$I$481)*MIN(K$3-$O$2,$Q$2)/$Q$2))</f>
        <v>8155.80301769186</v>
      </c>
      <c r="L506" s="15" t="n">
        <f aca="false">K506*(1+IF(L$3&lt;=$O$2,$D506,$D506-($D506-$I$481)*MIN(L$3-$O$2,$Q$2)/$Q$2))</f>
        <v>8750.31761439728</v>
      </c>
      <c r="M506" s="15" t="n">
        <f aca="false">L506*(1+IF(M$3&lt;=$O$2,$D506,$D506-($D506-$I$481)*MIN(M$3-$O$2,$Q$2)/$Q$2))</f>
        <v>9171.18458661562</v>
      </c>
      <c r="N506" s="15" t="n">
        <f aca="false">M506*(1+IF(N$3&lt;=$O$2,$D506,$D506-($D506-$I$481)*MIN(N$3-$O$2,$Q$2)/$Q$2))</f>
        <v>9384.87318748377</v>
      </c>
      <c r="O506" s="15" t="n">
        <f aca="false">SUMPRODUCT(E506:N506,1/(1+$F$481)^$E$3:$N$3)*$E$2</f>
        <v>21017.4657636812</v>
      </c>
      <c r="P506" s="15" t="n">
        <f aca="false">N506*$E$2*(1+$I$481)/($F$481-$I$481)/(1+$F$481)^$N$3</f>
        <v>25939.8233922499</v>
      </c>
      <c r="Q506" s="15" t="n">
        <f aca="false">O506+P506</f>
        <v>46957.289155931</v>
      </c>
      <c r="R506" s="15" t="n">
        <f aca="false">Q506-$G$2+$I$2</f>
        <v>40769.989155931</v>
      </c>
      <c r="S506" s="42" t="n">
        <f aca="false">R506/$K$2</f>
        <v>560.797650012806</v>
      </c>
      <c r="T506" s="43" t="n">
        <f aca="false">S506-$M$2</f>
        <v>-0.000149161884110072</v>
      </c>
    </row>
    <row r="508" customFormat="false" ht="15" hidden="false" customHeight="false" outlineLevel="0" collapsed="false">
      <c r="A508" s="38" t="s">
        <v>199</v>
      </c>
      <c r="E508" s="5" t="s">
        <v>11</v>
      </c>
      <c r="F508" s="12" t="n">
        <f aca="false">Sensitivity!$B$13</f>
        <v>0.100330622875929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162</v>
      </c>
      <c r="B509" s="28" t="s">
        <v>163</v>
      </c>
      <c r="C509" s="28" t="s">
        <v>164</v>
      </c>
      <c r="D509" s="28" t="s">
        <v>165</v>
      </c>
      <c r="E509" s="28" t="s">
        <v>166</v>
      </c>
      <c r="F509" s="28" t="s">
        <v>167</v>
      </c>
      <c r="G509" s="28" t="s">
        <v>168</v>
      </c>
      <c r="H509" s="28" t="s">
        <v>169</v>
      </c>
      <c r="I509" s="28" t="s">
        <v>170</v>
      </c>
      <c r="J509" s="28" t="s">
        <v>171</v>
      </c>
      <c r="K509" s="28" t="s">
        <v>172</v>
      </c>
      <c r="L509" s="28" t="s">
        <v>173</v>
      </c>
      <c r="M509" s="28" t="s">
        <v>174</v>
      </c>
      <c r="N509" s="28" t="s">
        <v>175</v>
      </c>
      <c r="O509" s="28" t="s">
        <v>176</v>
      </c>
      <c r="P509" s="28" t="s">
        <v>177</v>
      </c>
      <c r="Q509" s="28" t="s">
        <v>178</v>
      </c>
      <c r="R509" s="28" t="s">
        <v>179</v>
      </c>
      <c r="S509" s="28" t="s">
        <v>180</v>
      </c>
      <c r="T509" s="28" t="s">
        <v>181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4162.5</v>
      </c>
      <c r="F510" s="15" t="n">
        <f aca="false">E510*(1+IF(F$3&lt;=$O$2,$D510,$D510-($D510-$I$508)*MIN(F$3-$O$2,$Q$2)/$Q$2))</f>
        <v>5203.125</v>
      </c>
      <c r="G510" s="15" t="n">
        <f aca="false">F510*(1+IF(G$3&lt;=$O$2,$D510,$D510-($D510-$I$508)*MIN(G$3-$O$2,$Q$2)/$Q$2))</f>
        <v>6503.90625</v>
      </c>
      <c r="H510" s="15" t="n">
        <f aca="false">G510*(1+IF(H$3&lt;=$O$2,$D510,$D510-($D510-$I$508)*MIN(H$3-$O$2,$Q$2)/$Q$2))</f>
        <v>8129.8828125</v>
      </c>
      <c r="I510" s="15" t="n">
        <f aca="false">H510*(1+IF(I$3&lt;=$O$2,$D510,$D510-($D510-$I$508)*MIN(I$3-$O$2,$Q$2)/$Q$2))</f>
        <v>10162.353515625</v>
      </c>
      <c r="J510" s="15" t="n">
        <f aca="false">I510*(1+IF(J$3&lt;=$O$2,$D510,$D510-($D510-$I$508)*MIN(J$3-$O$2,$Q$2)/$Q$2))</f>
        <v>12252.3431396484</v>
      </c>
      <c r="K510" s="15" t="n">
        <f aca="false">J510*(1+IF(K$3&lt;=$O$2,$D510,$D510-($D510-$I$508)*MIN(K$3-$O$2,$Q$2)/$Q$2))</f>
        <v>14228.8911349365</v>
      </c>
      <c r="L510" s="15" t="n">
        <f aca="false">K510*(1+IF(L$3&lt;=$O$2,$D510,$D510-($D510-$I$508)*MIN(L$3-$O$2,$Q$2)/$Q$2))</f>
        <v>15893.3868199014</v>
      </c>
      <c r="M510" s="15" t="n">
        <f aca="false">L510*(1+IF(M$3&lt;=$O$2,$D510,$D510-($D510-$I$508)*MIN(M$3-$O$2,$Q$2)/$Q$2))</f>
        <v>17047.882438499</v>
      </c>
      <c r="N510" s="15" t="n">
        <f aca="false">M510*(1+IF(N$3&lt;=$O$2,$D510,$D510-($D510-$I$508)*MIN(N$3-$O$2,$Q$2)/$Q$2))</f>
        <v>17530.3375115086</v>
      </c>
      <c r="O510" s="15" t="n">
        <f aca="false">SUMPRODUCT(E510:N510,1/(1+$F$508)^$E$3:$N$3)*$E$2</f>
        <v>32664.0509487967</v>
      </c>
      <c r="P510" s="15" t="n">
        <f aca="false">N510*$E$2*(1+$I$508)/($F$508-$I$508)/(1+$F$508)^$N$3</f>
        <v>52070.5284143383</v>
      </c>
      <c r="Q510" s="15" t="n">
        <f aca="false">O510+P510</f>
        <v>84734.579363135</v>
      </c>
      <c r="R510" s="15" t="n">
        <f aca="false">Q510-$G$2+$I$2</f>
        <v>78547.279363135</v>
      </c>
      <c r="S510" s="42" t="n">
        <f aca="false">R510/$K$2</f>
        <v>1080.43025258783</v>
      </c>
      <c r="T510" s="43" t="n">
        <f aca="false">S510-$M$2</f>
        <v>519.632453413137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2913.75</v>
      </c>
      <c r="F511" s="15" t="n">
        <f aca="false">E511*(1+IF(F$3&lt;=$O$2,$D511,$D511-($D511-$I$508)*MIN(F$3-$O$2,$Q$2)/$Q$2))</f>
        <v>2549.53125</v>
      </c>
      <c r="G511" s="15" t="n">
        <f aca="false">F511*(1+IF(G$3&lt;=$O$2,$D511,$D511-($D511-$I$508)*MIN(G$3-$O$2,$Q$2)/$Q$2))</f>
        <v>2230.83984375</v>
      </c>
      <c r="H511" s="15" t="n">
        <f aca="false">G511*(1+IF(H$3&lt;=$O$2,$D511,$D511-($D511-$I$508)*MIN(H$3-$O$2,$Q$2)/$Q$2))</f>
        <v>1951.98486328125</v>
      </c>
      <c r="I511" s="15" t="n">
        <f aca="false">H511*(1+IF(I$3&lt;=$O$2,$D511,$D511-($D511-$I$508)*MIN(I$3-$O$2,$Q$2)/$Q$2))</f>
        <v>1707.98675537109</v>
      </c>
      <c r="J511" s="15" t="n">
        <f aca="false">I511*(1+IF(J$3&lt;=$O$2,$D511,$D511-($D511-$I$508)*MIN(J$3-$O$2,$Q$2)/$Q$2))</f>
        <v>1546.85528486938</v>
      </c>
      <c r="K511" s="15" t="n">
        <f aca="false">J511*(1+IF(K$3&lt;=$O$2,$D511,$D511-($D511-$I$508)*MIN(K$3-$O$2,$Q$2)/$Q$2))</f>
        <v>1448.3515403289</v>
      </c>
      <c r="L511" s="15" t="n">
        <f aca="false">K511*(1+IF(L$3&lt;=$O$2,$D511,$D511-($D511-$I$508)*MIN(L$3-$O$2,$Q$2)/$Q$2))</f>
        <v>1400.52697246724</v>
      </c>
      <c r="M511" s="15" t="n">
        <f aca="false">L511*(1+IF(M$3&lt;=$O$2,$D511,$D511-($D511-$I$508)*MIN(M$3-$O$2,$Q$2)/$Q$2))</f>
        <v>1397.22172881222</v>
      </c>
      <c r="N511" s="15" t="n">
        <f aca="false">M511*(1+IF(N$3&lt;=$O$2,$D511,$D511-($D511-$I$508)*MIN(N$3-$O$2,$Q$2)/$Q$2))</f>
        <v>1436.76310373761</v>
      </c>
      <c r="O511" s="15" t="n">
        <f aca="false">SUMPRODUCT(E511:N511,1/(1+$F$508)^$E$3:$N$3)*$E$2</f>
        <v>6618.50041410624</v>
      </c>
      <c r="P511" s="15" t="n">
        <f aca="false">N511*$E$2*(1+$I$508)/($F$508-$I$508)/(1+$F$508)^$N$3</f>
        <v>4267.63112625342</v>
      </c>
      <c r="Q511" s="15" t="n">
        <f aca="false">O511+P511</f>
        <v>10886.1315403597</v>
      </c>
      <c r="R511" s="15" t="n">
        <f aca="false">Q511-$G$2+$I$2</f>
        <v>4698.83154035967</v>
      </c>
      <c r="S511" s="42" t="n">
        <f aca="false">R511/$K$2</f>
        <v>64.6331711191151</v>
      </c>
      <c r="T511" s="43" t="n">
        <f aca="false">S511-$M$2</f>
        <v>-496.164628055575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3538.125</v>
      </c>
      <c r="F512" s="15" t="n">
        <f aca="false">E512*(1+IF(F$3&lt;=$O$2,$D512,$D512-($D512-$I$508)*MIN(F$3-$O$2,$Q$2)/$Q$2))</f>
        <v>3759.2578125</v>
      </c>
      <c r="G512" s="15" t="n">
        <f aca="false">F512*(1+IF(G$3&lt;=$O$2,$D512,$D512-($D512-$I$508)*MIN(G$3-$O$2,$Q$2)/$Q$2))</f>
        <v>3994.21142578125</v>
      </c>
      <c r="H512" s="15" t="n">
        <f aca="false">G512*(1+IF(H$3&lt;=$O$2,$D512,$D512-($D512-$I$508)*MIN(H$3-$O$2,$Q$2)/$Q$2))</f>
        <v>4243.84963989258</v>
      </c>
      <c r="I512" s="15" t="n">
        <f aca="false">H512*(1+IF(I$3&lt;=$O$2,$D512,$D512-($D512-$I$508)*MIN(I$3-$O$2,$Q$2)/$Q$2))</f>
        <v>4509.09024238586</v>
      </c>
      <c r="J512" s="15" t="n">
        <f aca="false">I512*(1+IF(J$3&lt;=$O$2,$D512,$D512-($D512-$I$508)*MIN(J$3-$O$2,$Q$2)/$Q$2))</f>
        <v>4760.06620527706</v>
      </c>
      <c r="K512" s="15" t="n">
        <f aca="false">J512*(1+IF(K$3&lt;=$O$2,$D512,$D512-($D512-$I$508)*MIN(K$3-$O$2,$Q$2)/$Q$2))</f>
        <v>4992.45263741869</v>
      </c>
      <c r="L512" s="15" t="n">
        <f aca="false">K512*(1+IF(L$3&lt;=$O$2,$D512,$D512-($D512-$I$508)*MIN(L$3-$O$2,$Q$2)/$Q$2))</f>
        <v>5202.03579913752</v>
      </c>
      <c r="M512" s="15" t="n">
        <f aca="false">L512*(1+IF(M$3&lt;=$O$2,$D512,$D512-($D512-$I$508)*MIN(M$3-$O$2,$Q$2)/$Q$2))</f>
        <v>5384.83533711922</v>
      </c>
      <c r="N512" s="15" t="n">
        <f aca="false">M512*(1+IF(N$3&lt;=$O$2,$D512,$D512-($D512-$I$508)*MIN(N$3-$O$2,$Q$2)/$Q$2))</f>
        <v>5537.22617715969</v>
      </c>
      <c r="O512" s="15" t="n">
        <f aca="false">SUMPRODUCT(E512:N512,1/(1+$F$508)^$E$3:$N$3)*$E$2</f>
        <v>14655.4261769338</v>
      </c>
      <c r="P512" s="15" t="n">
        <f aca="false">N512*$E$2*(1+$I$508)/($F$508-$I$508)/(1+$F$508)^$N$3</f>
        <v>16447.2756331775</v>
      </c>
      <c r="Q512" s="15" t="n">
        <f aca="false">O512+P512</f>
        <v>31102.7018101112</v>
      </c>
      <c r="R512" s="15" t="n">
        <f aca="false">Q512-$G$2+$I$2</f>
        <v>24915.4018101112</v>
      </c>
      <c r="S512" s="42" t="n">
        <f aca="false">R512/$K$2</f>
        <v>342.715293123951</v>
      </c>
      <c r="T512" s="43" t="n">
        <f aca="false">S512-$M$2</f>
        <v>-218.082506050739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3850.3125</v>
      </c>
      <c r="F513" s="15" t="n">
        <f aca="false">E513*(1+IF(F$3&lt;=$O$2,$D513,$D513-($D513-$I$508)*MIN(F$3-$O$2,$Q$2)/$Q$2))</f>
        <v>4451.923828125</v>
      </c>
      <c r="G513" s="15" t="n">
        <f aca="false">F513*(1+IF(G$3&lt;=$O$2,$D513,$D513-($D513-$I$508)*MIN(G$3-$O$2,$Q$2)/$Q$2))</f>
        <v>5147.53692626953</v>
      </c>
      <c r="H513" s="15" t="n">
        <f aca="false">G513*(1+IF(H$3&lt;=$O$2,$D513,$D513-($D513-$I$508)*MIN(H$3-$O$2,$Q$2)/$Q$2))</f>
        <v>5951.83957099915</v>
      </c>
      <c r="I513" s="15" t="n">
        <f aca="false">H513*(1+IF(I$3&lt;=$O$2,$D513,$D513-($D513-$I$508)*MIN(I$3-$O$2,$Q$2)/$Q$2))</f>
        <v>6881.81450396776</v>
      </c>
      <c r="J513" s="15" t="n">
        <f aca="false">I513*(1+IF(J$3&lt;=$O$2,$D513,$D513-($D513-$I$508)*MIN(J$3-$O$2,$Q$2)/$Q$2))</f>
        <v>7780.99238705619</v>
      </c>
      <c r="K513" s="15" t="n">
        <f aca="false">J513*(1+IF(K$3&lt;=$O$2,$D513,$D513-($D513-$I$508)*MIN(K$3-$O$2,$Q$2)/$Q$2))</f>
        <v>8598.54125716418</v>
      </c>
      <c r="L513" s="15" t="n">
        <f aca="false">K513*(1+IF(L$3&lt;=$O$2,$D513,$D513-($D513-$I$508)*MIN(L$3-$O$2,$Q$2)/$Q$2))</f>
        <v>9281.95331628359</v>
      </c>
      <c r="M513" s="15" t="n">
        <f aca="false">L513*(1+IF(M$3&lt;=$O$2,$D513,$D513-($D513-$I$508)*MIN(M$3-$O$2,$Q$2)/$Q$2))</f>
        <v>9782.15778049812</v>
      </c>
      <c r="N513" s="15" t="n">
        <f aca="false">M513*(1+IF(N$3&lt;=$O$2,$D513,$D513-($D513-$I$508)*MIN(N$3-$O$2,$Q$2)/$Q$2))</f>
        <v>10058.9928456862</v>
      </c>
      <c r="O513" s="15" t="n">
        <f aca="false">SUMPRODUCT(E513:N513,1/(1+$F$508)^$E$3:$N$3)*$E$2</f>
        <v>21910.4999326091</v>
      </c>
      <c r="P513" s="15" t="n">
        <f aca="false">N513*$E$2*(1+$I$508)/($F$508-$I$508)/(1+$F$508)^$N$3</f>
        <v>29878.3222198131</v>
      </c>
      <c r="Q513" s="15" t="n">
        <f aca="false">O513+P513</f>
        <v>51788.8221524222</v>
      </c>
      <c r="R513" s="15" t="n">
        <f aca="false">Q513-$G$2+$I$2</f>
        <v>45601.5221524222</v>
      </c>
      <c r="S513" s="42" t="n">
        <f aca="false">R513/$K$2</f>
        <v>627.2561506523</v>
      </c>
      <c r="T513" s="43" t="n">
        <f aca="false">S513-$M$2</f>
        <v>66.4583514776095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3694.21875</v>
      </c>
      <c r="F514" s="15" t="n">
        <f aca="false">E514*(1+IF(F$3&lt;=$O$2,$D514,$D514-($D514-$I$508)*MIN(F$3-$O$2,$Q$2)/$Q$2))</f>
        <v>4098.27392578125</v>
      </c>
      <c r="G514" s="15" t="n">
        <f aca="false">F514*(1+IF(G$3&lt;=$O$2,$D514,$D514-($D514-$I$508)*MIN(G$3-$O$2,$Q$2)/$Q$2))</f>
        <v>4546.52263641357</v>
      </c>
      <c r="H514" s="15" t="n">
        <f aca="false">G514*(1+IF(H$3&lt;=$O$2,$D514,$D514-($D514-$I$508)*MIN(H$3-$O$2,$Q$2)/$Q$2))</f>
        <v>5043.79854977131</v>
      </c>
      <c r="I514" s="15" t="n">
        <f aca="false">H514*(1+IF(I$3&lt;=$O$2,$D514,$D514-($D514-$I$508)*MIN(I$3-$O$2,$Q$2)/$Q$2))</f>
        <v>5595.46401615255</v>
      </c>
      <c r="J514" s="15" t="n">
        <f aca="false">I514*(1+IF(J$3&lt;=$O$2,$D514,$D514-($D514-$I$508)*MIN(J$3-$O$2,$Q$2)/$Q$2))</f>
        <v>6116.73744389732</v>
      </c>
      <c r="K514" s="15" t="n">
        <f aca="false">J514*(1+IF(K$3&lt;=$O$2,$D514,$D514-($D514-$I$508)*MIN(K$3-$O$2,$Q$2)/$Q$2))</f>
        <v>6587.389806518</v>
      </c>
      <c r="L514" s="15" t="n">
        <f aca="false">K514*(1+IF(L$3&lt;=$O$2,$D514,$D514-($D514-$I$508)*MIN(L$3-$O$2,$Q$2)/$Q$2))</f>
        <v>6987.44198946783</v>
      </c>
      <c r="M514" s="15" t="n">
        <f aca="false">L514*(1+IF(M$3&lt;=$O$2,$D514,$D514-($D514-$I$508)*MIN(M$3-$O$2,$Q$2)/$Q$2))</f>
        <v>7298.48796962899</v>
      </c>
      <c r="N514" s="15" t="n">
        <f aca="false">M514*(1+IF(N$3&lt;=$O$2,$D514,$D514-($D514-$I$508)*MIN(N$3-$O$2,$Q$2)/$Q$2))</f>
        <v>7505.0351791695</v>
      </c>
      <c r="O514" s="15" t="n">
        <f aca="false">SUMPRODUCT(E514:N514,1/(1+$F$508)^$E$3:$N$3)*$E$2</f>
        <v>17921.3420878847</v>
      </c>
      <c r="P514" s="15" t="n">
        <f aca="false">N514*$E$2*(1+$I$508)/($F$508-$I$508)/(1+$F$508)^$N$3</f>
        <v>22292.2774470829</v>
      </c>
      <c r="Q514" s="15" t="n">
        <f aca="false">O514+P514</f>
        <v>40213.6195349676</v>
      </c>
      <c r="R514" s="15" t="n">
        <f aca="false">Q514-$G$2+$I$2</f>
        <v>34026.3195349676</v>
      </c>
      <c r="S514" s="42" t="n">
        <f aca="false">R514/$K$2</f>
        <v>468.037407633667</v>
      </c>
      <c r="T514" s="43" t="n">
        <f aca="false">S514-$M$2</f>
        <v>-92.7603915410233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0.109375</v>
      </c>
      <c r="C515" s="25" t="n">
        <f aca="false">IF(T514&gt;0,D514,C514)</f>
        <v>0.15625</v>
      </c>
      <c r="D515" s="41" t="n">
        <f aca="false">(B515+C515)/2</f>
        <v>0.1328125</v>
      </c>
      <c r="E515" s="15" t="n">
        <f aca="false">$C$2*(1+IF(E$3&lt;=$O$2,$D515,$D515-($D515-$I$508)*MIN(E$3-$O$2,$Q$2)/$Q$2))</f>
        <v>3772.265625</v>
      </c>
      <c r="F515" s="15" t="n">
        <f aca="false">E515*(1+IF(F$3&lt;=$O$2,$D515,$D515-($D515-$I$508)*MIN(F$3-$O$2,$Q$2)/$Q$2))</f>
        <v>4273.26965332031</v>
      </c>
      <c r="G515" s="15" t="n">
        <f aca="false">F515*(1+IF(G$3&lt;=$O$2,$D515,$D515-($D515-$I$508)*MIN(G$3-$O$2,$Q$2)/$Q$2))</f>
        <v>4840.81327915192</v>
      </c>
      <c r="H515" s="15" t="n">
        <f aca="false">G515*(1+IF(H$3&lt;=$O$2,$D515,$D515-($D515-$I$508)*MIN(H$3-$O$2,$Q$2)/$Q$2))</f>
        <v>5483.73379278928</v>
      </c>
      <c r="I515" s="15" t="n">
        <f aca="false">H515*(1+IF(I$3&lt;=$O$2,$D515,$D515-($D515-$I$508)*MIN(I$3-$O$2,$Q$2)/$Q$2))</f>
        <v>6212.04218714411</v>
      </c>
      <c r="J515" s="15" t="n">
        <f aca="false">I515*(1+IF(J$3&lt;=$O$2,$D515,$D515-($D515-$I$508)*MIN(J$3-$O$2,$Q$2)/$Q$2))</f>
        <v>6907.2318283074</v>
      </c>
      <c r="K515" s="15" t="n">
        <f aca="false">J515*(1+IF(K$3&lt;=$O$2,$D515,$D515-($D515-$I$508)*MIN(K$3-$O$2,$Q$2)/$Q$2))</f>
        <v>7535.84172892209</v>
      </c>
      <c r="L515" s="15" t="n">
        <f aca="false">K515*(1+IF(L$3&lt;=$O$2,$D515,$D515-($D515-$I$508)*MIN(L$3-$O$2,$Q$2)/$Q$2))</f>
        <v>8064.14191332817</v>
      </c>
      <c r="M515" s="15" t="n">
        <f aca="false">L515*(1+IF(M$3&lt;=$O$2,$D515,$D515-($D515-$I$508)*MIN(M$3-$O$2,$Q$2)/$Q$2))</f>
        <v>8460.9178558187</v>
      </c>
      <c r="N515" s="15" t="n">
        <f aca="false">M515*(1+IF(N$3&lt;=$O$2,$D515,$D515-($D515-$I$508)*MIN(N$3-$O$2,$Q$2)/$Q$2))</f>
        <v>8700.36183113837</v>
      </c>
      <c r="O515" s="15" t="n">
        <f aca="false">SUMPRODUCT(E515:N515,1/(1+$F$508)^$E$3:$N$3)*$E$2</f>
        <v>19816.9769716484</v>
      </c>
      <c r="P515" s="15" t="n">
        <f aca="false">N515*$E$2*(1+$I$508)/($F$508-$I$508)/(1+$F$508)^$N$3</f>
        <v>25842.7675819648</v>
      </c>
      <c r="Q515" s="15" t="n">
        <f aca="false">O515+P515</f>
        <v>45659.7445536132</v>
      </c>
      <c r="R515" s="15" t="n">
        <f aca="false">Q515-$G$2+$I$2</f>
        <v>39472.4445536132</v>
      </c>
      <c r="S515" s="42" t="n">
        <f aca="false">R515/$K$2</f>
        <v>542.949718756715</v>
      </c>
      <c r="T515" s="43" t="n">
        <f aca="false">S515-$M$2</f>
        <v>-17.8480804179754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0.1328125</v>
      </c>
      <c r="C516" s="25" t="n">
        <f aca="false">IF(T515&gt;0,D515,C515)</f>
        <v>0.15625</v>
      </c>
      <c r="D516" s="41" t="n">
        <f aca="false">(B516+C516)/2</f>
        <v>0.14453125</v>
      </c>
      <c r="E516" s="15" t="n">
        <f aca="false">$C$2*(1+IF(E$3&lt;=$O$2,$D516,$D516-($D516-$I$508)*MIN(E$3-$O$2,$Q$2)/$Q$2))</f>
        <v>3811.2890625</v>
      </c>
      <c r="F516" s="15" t="n">
        <f aca="false">E516*(1+IF(F$3&lt;=$O$2,$D516,$D516-($D516-$I$508)*MIN(F$3-$O$2,$Q$2)/$Q$2))</f>
        <v>4362.13943481445</v>
      </c>
      <c r="G516" s="15" t="n">
        <f aca="false">F516*(1+IF(G$3&lt;=$O$2,$D516,$D516-($D516-$I$508)*MIN(G$3-$O$2,$Q$2)/$Q$2))</f>
        <v>4992.60490000248</v>
      </c>
      <c r="H516" s="15" t="n">
        <f aca="false">G516*(1+IF(H$3&lt;=$O$2,$D516,$D516-($D516-$I$508)*MIN(H$3-$O$2,$Q$2)/$Q$2))</f>
        <v>5714.19232695596</v>
      </c>
      <c r="I516" s="15" t="n">
        <f aca="false">H516*(1+IF(I$3&lt;=$O$2,$D516,$D516-($D516-$I$508)*MIN(I$3-$O$2,$Q$2)/$Q$2))</f>
        <v>6540.07168671132</v>
      </c>
      <c r="J516" s="15" t="n">
        <f aca="false">I516*(1+IF(J$3&lt;=$O$2,$D516,$D516-($D516-$I$508)*MIN(J$3-$O$2,$Q$2)/$Q$2))</f>
        <v>7333.2842812341</v>
      </c>
      <c r="K516" s="15" t="n">
        <f aca="false">J516*(1+IF(K$3&lt;=$O$2,$D516,$D516-($D516-$I$508)*MIN(K$3-$O$2,$Q$2)/$Q$2))</f>
        <v>8052.23030556094</v>
      </c>
      <c r="L516" s="15" t="n">
        <f aca="false">K516*(1+IF(L$3&lt;=$O$2,$D516,$D516-($D516-$I$508)*MIN(L$3-$O$2,$Q$2)/$Q$2))</f>
        <v>8654.47674068961</v>
      </c>
      <c r="M516" s="15" t="n">
        <f aca="false">L516*(1+IF(M$3&lt;=$O$2,$D516,$D516-($D516-$I$508)*MIN(M$3-$O$2,$Q$2)/$Q$2))</f>
        <v>9100.58256238438</v>
      </c>
      <c r="N516" s="15" t="n">
        <f aca="false">M516*(1+IF(N$3&lt;=$O$2,$D516,$D516-($D516-$I$508)*MIN(N$3-$O$2,$Q$2)/$Q$2))</f>
        <v>9358.12904889986</v>
      </c>
      <c r="O516" s="15" t="n">
        <f aca="false">SUMPRODUCT(E516:N516,1/(1+$F$508)^$E$3:$N$3)*$E$2</f>
        <v>20837.8591080353</v>
      </c>
      <c r="P516" s="15" t="n">
        <f aca="false">N516*$E$2*(1+$I$508)/($F$508-$I$508)/(1+$F$508)^$N$3</f>
        <v>27796.5398113919</v>
      </c>
      <c r="Q516" s="15" t="n">
        <f aca="false">O516+P516</f>
        <v>48634.3989194272</v>
      </c>
      <c r="R516" s="15" t="n">
        <f aca="false">Q516-$G$2+$I$2</f>
        <v>42447.0989194272</v>
      </c>
      <c r="S516" s="42" t="n">
        <f aca="false">R516/$K$2</f>
        <v>583.866560102162</v>
      </c>
      <c r="T516" s="43" t="n">
        <f aca="false">S516-$M$2</f>
        <v>23.0687609274718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0.1328125</v>
      </c>
      <c r="C517" s="25" t="n">
        <f aca="false">IF(T516&gt;0,D516,C516)</f>
        <v>0.14453125</v>
      </c>
      <c r="D517" s="41" t="n">
        <f aca="false">(B517+C517)/2</f>
        <v>0.138671875</v>
      </c>
      <c r="E517" s="15" t="n">
        <f aca="false">$C$2*(1+IF(E$3&lt;=$O$2,$D517,$D517-($D517-$I$508)*MIN(E$3-$O$2,$Q$2)/$Q$2))</f>
        <v>3791.77734375</v>
      </c>
      <c r="F517" s="15" t="n">
        <f aca="false">E517*(1+IF(F$3&lt;=$O$2,$D517,$D517-($D517-$I$508)*MIN(F$3-$O$2,$Q$2)/$Q$2))</f>
        <v>4317.59021759033</v>
      </c>
      <c r="G517" s="15" t="n">
        <f aca="false">F517*(1+IF(G$3&lt;=$O$2,$D517,$D517-($D517-$I$508)*MIN(G$3-$O$2,$Q$2)/$Q$2))</f>
        <v>4916.31854854524</v>
      </c>
      <c r="H517" s="15" t="n">
        <f aca="false">G517*(1+IF(H$3&lt;=$O$2,$D517,$D517-($D517-$I$508)*MIN(H$3-$O$2,$Q$2)/$Q$2))</f>
        <v>5598.07365976929</v>
      </c>
      <c r="I517" s="15" t="n">
        <f aca="false">H517*(1+IF(I$3&lt;=$O$2,$D517,$D517-($D517-$I$508)*MIN(I$3-$O$2,$Q$2)/$Q$2))</f>
        <v>6374.36903055761</v>
      </c>
      <c r="J517" s="15" t="n">
        <f aca="false">I517*(1+IF(J$3&lt;=$O$2,$D517,$D517-($D517-$I$508)*MIN(J$3-$O$2,$Q$2)/$Q$2))</f>
        <v>7117.60452359805</v>
      </c>
      <c r="K517" s="15" t="n">
        <f aca="false">J517*(1+IF(K$3&lt;=$O$2,$D517,$D517-($D517-$I$508)*MIN(K$3-$O$2,$Q$2)/$Q$2))</f>
        <v>7790.38274568267</v>
      </c>
      <c r="L517" s="15" t="n">
        <f aca="false">K517*(1+IF(L$3&lt;=$O$2,$D517,$D517-($D517-$I$508)*MIN(L$3-$O$2,$Q$2)/$Q$2))</f>
        <v>8354.78623762895</v>
      </c>
      <c r="M517" s="15" t="n">
        <f aca="false">L517*(1+IF(M$3&lt;=$O$2,$D517,$D517-($D517-$I$508)*MIN(M$3-$O$2,$Q$2)/$Q$2))</f>
        <v>8775.65337260811</v>
      </c>
      <c r="N517" s="15" t="n">
        <f aca="false">M517*(1+IF(N$3&lt;=$O$2,$D517,$D517-($D517-$I$508)*MIN(N$3-$O$2,$Q$2)/$Q$2))</f>
        <v>9024.00436305292</v>
      </c>
      <c r="O517" s="15" t="n">
        <f aca="false">SUMPRODUCT(E517:N517,1/(1+$F$508)^$E$3:$N$3)*$E$2</f>
        <v>20321.0946587511</v>
      </c>
      <c r="P517" s="15" t="n">
        <f aca="false">N517*$E$2*(1+$I$508)/($F$508-$I$508)/(1+$F$508)^$N$3</f>
        <v>26804.0860758661</v>
      </c>
      <c r="Q517" s="15" t="n">
        <f aca="false">O517+P517</f>
        <v>47125.1807346173</v>
      </c>
      <c r="R517" s="15" t="n">
        <f aca="false">Q517-$G$2+$I$2</f>
        <v>40937.8807346173</v>
      </c>
      <c r="S517" s="42" t="n">
        <f aca="false">R517/$K$2</f>
        <v>563.107025235451</v>
      </c>
      <c r="T517" s="43" t="n">
        <f aca="false">S517-$M$2</f>
        <v>2.30922606076001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0.1328125</v>
      </c>
      <c r="C518" s="25" t="n">
        <f aca="false">IF(T517&gt;0,D517,C517)</f>
        <v>0.138671875</v>
      </c>
      <c r="D518" s="41" t="n">
        <f aca="false">(B518+C518)/2</f>
        <v>0.1357421875</v>
      </c>
      <c r="E518" s="15" t="n">
        <f aca="false">$C$2*(1+IF(E$3&lt;=$O$2,$D518,$D518-($D518-$I$508)*MIN(E$3-$O$2,$Q$2)/$Q$2))</f>
        <v>3782.021484375</v>
      </c>
      <c r="F518" s="15" t="n">
        <f aca="false">E518*(1+IF(F$3&lt;=$O$2,$D518,$D518-($D518-$I$508)*MIN(F$3-$O$2,$Q$2)/$Q$2))</f>
        <v>4295.40135383606</v>
      </c>
      <c r="G518" s="15" t="n">
        <f aca="false">F518*(1+IF(G$3&lt;=$O$2,$D518,$D518-($D518-$I$508)*MIN(G$3-$O$2,$Q$2)/$Q$2))</f>
        <v>4878.46852979623</v>
      </c>
      <c r="H518" s="15" t="n">
        <f aca="false">G518*(1+IF(H$3&lt;=$O$2,$D518,$D518-($D518-$I$508)*MIN(H$3-$O$2,$Q$2)/$Q$2))</f>
        <v>5540.68251968068</v>
      </c>
      <c r="I518" s="15" t="n">
        <f aca="false">H518*(1+IF(I$3&lt;=$O$2,$D518,$D518-($D518-$I$508)*MIN(I$3-$O$2,$Q$2)/$Q$2))</f>
        <v>6292.78688514514</v>
      </c>
      <c r="J518" s="15" t="n">
        <f aca="false">I518*(1+IF(J$3&lt;=$O$2,$D518,$D518-($D518-$I$508)*MIN(J$3-$O$2,$Q$2)/$Q$2))</f>
        <v>7011.7613847238</v>
      </c>
      <c r="K518" s="15" t="n">
        <f aca="false">J518*(1+IF(K$3&lt;=$O$2,$D518,$D518-($D518-$I$508)*MIN(K$3-$O$2,$Q$2)/$Q$2))</f>
        <v>7662.20962075313</v>
      </c>
      <c r="L518" s="15" t="n">
        <f aca="false">K518*(1+IF(L$3&lt;=$O$2,$D518,$D518-($D518-$I$508)*MIN(L$3-$O$2,$Q$2)/$Q$2))</f>
        <v>8208.34797811535</v>
      </c>
      <c r="M518" s="15" t="n">
        <f aca="false">L518*(1+IF(M$3&lt;=$O$2,$D518,$D518-($D518-$I$508)*MIN(M$3-$O$2,$Q$2)/$Q$2))</f>
        <v>8617.028798402</v>
      </c>
      <c r="N518" s="15" t="n">
        <f aca="false">M518*(1+IF(N$3&lt;=$O$2,$D518,$D518-($D518-$I$508)*MIN(N$3-$O$2,$Q$2)/$Q$2))</f>
        <v>8860.89071339677</v>
      </c>
      <c r="O518" s="15" t="n">
        <f aca="false">SUMPRODUCT(E518:N518,1/(1+$F$508)^$E$3:$N$3)*$E$2</f>
        <v>20067.4729626688</v>
      </c>
      <c r="P518" s="15" t="n">
        <f aca="false">N518*$E$2*(1+$I$508)/($F$508-$I$508)/(1+$F$508)^$N$3</f>
        <v>26319.5880493101</v>
      </c>
      <c r="Q518" s="15" t="n">
        <f aca="false">O518+P518</f>
        <v>46387.0610119789</v>
      </c>
      <c r="R518" s="15" t="n">
        <f aca="false">Q518-$G$2+$I$2</f>
        <v>40199.7610119789</v>
      </c>
      <c r="S518" s="42" t="n">
        <f aca="false">R518/$K$2</f>
        <v>552.954071691594</v>
      </c>
      <c r="T518" s="43" t="n">
        <f aca="false">S518-$M$2</f>
        <v>-7.84372748309681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0.1357421875</v>
      </c>
      <c r="C519" s="25" t="n">
        <f aca="false">IF(T518&gt;0,D518,C518)</f>
        <v>0.138671875</v>
      </c>
      <c r="D519" s="41" t="n">
        <f aca="false">(B519+C519)/2</f>
        <v>0.13720703125</v>
      </c>
      <c r="E519" s="15" t="n">
        <f aca="false">$C$2*(1+IF(E$3&lt;=$O$2,$D519,$D519-($D519-$I$508)*MIN(E$3-$O$2,$Q$2)/$Q$2))</f>
        <v>3786.8994140625</v>
      </c>
      <c r="F519" s="15" t="n">
        <f aca="false">E519*(1+IF(F$3&lt;=$O$2,$D519,$D519-($D519-$I$508)*MIN(F$3-$O$2,$Q$2)/$Q$2))</f>
        <v>4306.48864030838</v>
      </c>
      <c r="G519" s="15" t="n">
        <f aca="false">F519*(1+IF(G$3&lt;=$O$2,$D519,$D519-($D519-$I$508)*MIN(G$3-$O$2,$Q$2)/$Q$2))</f>
        <v>4897.36916175694</v>
      </c>
      <c r="H519" s="15" t="n">
        <f aca="false">G519*(1+IF(H$3&lt;=$O$2,$D519,$D519-($D519-$I$508)*MIN(H$3-$O$2,$Q$2)/$Q$2))</f>
        <v>5569.32264537691</v>
      </c>
      <c r="I519" s="15" t="n">
        <f aca="false">H519*(1+IF(I$3&lt;=$O$2,$D519,$D519-($D519-$I$508)*MIN(I$3-$O$2,$Q$2)/$Q$2))</f>
        <v>6333.47287162248</v>
      </c>
      <c r="J519" s="15" t="n">
        <f aca="false">I519*(1+IF(J$3&lt;=$O$2,$D519,$D519-($D519-$I$508)*MIN(J$3-$O$2,$Q$2)/$Q$2))</f>
        <v>7064.51793625005</v>
      </c>
      <c r="K519" s="15" t="n">
        <f aca="false">J519*(1+IF(K$3&lt;=$O$2,$D519,$D519-($D519-$I$508)*MIN(K$3-$O$2,$Q$2)/$Q$2))</f>
        <v>7726.06919923554</v>
      </c>
      <c r="L519" s="15" t="n">
        <f aca="false">K519*(1+IF(L$3&lt;=$O$2,$D519,$D519-($D519-$I$508)*MIN(L$3-$O$2,$Q$2)/$Q$2))</f>
        <v>8281.28626146223</v>
      </c>
      <c r="M519" s="15" t="n">
        <f aca="false">L519*(1+IF(M$3&lt;=$O$2,$D519,$D519-($D519-$I$508)*MIN(M$3-$O$2,$Q$2)/$Q$2))</f>
        <v>8696.02472299507</v>
      </c>
      <c r="N519" s="15" t="n">
        <f aca="false">M519*(1+IF(N$3&lt;=$O$2,$D519,$D519-($D519-$I$508)*MIN(N$3-$O$2,$Q$2)/$Q$2))</f>
        <v>8942.12222265583</v>
      </c>
      <c r="O519" s="15" t="n">
        <f aca="false">SUMPRODUCT(E519:N519,1/(1+$F$508)^$E$3:$N$3)*$E$2</f>
        <v>20193.8908623601</v>
      </c>
      <c r="P519" s="15" t="n">
        <f aca="false">N519*$E$2*(1+$I$508)/($F$508-$I$508)/(1+$F$508)^$N$3</f>
        <v>26560.8707746562</v>
      </c>
      <c r="Q519" s="15" t="n">
        <f aca="false">O519+P519</f>
        <v>46754.7616370163</v>
      </c>
      <c r="R519" s="15" t="n">
        <f aca="false">Q519-$G$2+$I$2</f>
        <v>40567.4616370163</v>
      </c>
      <c r="S519" s="42" t="n">
        <f aca="false">R519/$K$2</f>
        <v>558.011851953457</v>
      </c>
      <c r="T519" s="43" t="n">
        <f aca="false">S519-$M$2</f>
        <v>-2.78594722123398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0.13720703125</v>
      </c>
      <c r="C520" s="25" t="n">
        <f aca="false">IF(T519&gt;0,D519,C519)</f>
        <v>0.138671875</v>
      </c>
      <c r="D520" s="41" t="n">
        <f aca="false">(B520+C520)/2</f>
        <v>0.137939453125</v>
      </c>
      <c r="E520" s="15" t="n">
        <f aca="false">$C$2*(1+IF(E$3&lt;=$O$2,$D520,$D520-($D520-$I$508)*MIN(E$3-$O$2,$Q$2)/$Q$2))</f>
        <v>3789.33837890625</v>
      </c>
      <c r="F520" s="15" t="n">
        <f aca="false">E520*(1+IF(F$3&lt;=$O$2,$D520,$D520-($D520-$I$508)*MIN(F$3-$O$2,$Q$2)/$Q$2))</f>
        <v>4312.03764259815</v>
      </c>
      <c r="G520" s="15" t="n">
        <f aca="false">F520*(1+IF(G$3&lt;=$O$2,$D520,$D520-($D520-$I$508)*MIN(G$3-$O$2,$Q$2)/$Q$2))</f>
        <v>4906.83775687256</v>
      </c>
      <c r="H520" s="15" t="n">
        <f aca="false">G520*(1+IF(H$3&lt;=$O$2,$D520,$D520-($D520-$I$508)*MIN(H$3-$O$2,$Q$2)/$Q$2))</f>
        <v>5583.68427362866</v>
      </c>
      <c r="I520" s="15" t="n">
        <f aca="false">H520*(1+IF(I$3&lt;=$O$2,$D520,$D520-($D520-$I$508)*MIN(I$3-$O$2,$Q$2)/$Q$2))</f>
        <v>6353.89462875566</v>
      </c>
      <c r="J520" s="15" t="n">
        <f aca="false">I520*(1+IF(J$3&lt;=$O$2,$D520,$D520-($D520-$I$508)*MIN(J$3-$O$2,$Q$2)/$Q$2))</f>
        <v>7091.01987259796</v>
      </c>
      <c r="K520" s="15" t="n">
        <f aca="false">J520*(1+IF(K$3&lt;=$O$2,$D520,$D520-($D520-$I$508)*MIN(K$3-$O$2,$Q$2)/$Q$2))</f>
        <v>7758.16905955057</v>
      </c>
      <c r="L520" s="15" t="n">
        <f aca="false">K520*(1+IF(L$3&lt;=$O$2,$D520,$D520-($D520-$I$508)*MIN(L$3-$O$2,$Q$2)/$Q$2))</f>
        <v>8317.96580911202</v>
      </c>
      <c r="M520" s="15" t="n">
        <f aca="false">L520*(1+IF(M$3&lt;=$O$2,$D520,$D520-($D520-$I$508)*MIN(M$3-$O$2,$Q$2)/$Q$2))</f>
        <v>8735.75968599459</v>
      </c>
      <c r="N520" s="15" t="n">
        <f aca="false">M520*(1+IF(N$3&lt;=$O$2,$D520,$D520-($D520-$I$508)*MIN(N$3-$O$2,$Q$2)/$Q$2))</f>
        <v>8982.98168510823</v>
      </c>
      <c r="O520" s="15" t="n">
        <f aca="false">SUMPRODUCT(E520:N520,1/(1+$F$508)^$E$3:$N$3)*$E$2</f>
        <v>20257.3942428564</v>
      </c>
      <c r="P520" s="15" t="n">
        <f aca="false">N520*$E$2*(1+$I$508)/($F$508-$I$508)/(1+$F$508)^$N$3</f>
        <v>26682.2360249958</v>
      </c>
      <c r="Q520" s="15" t="n">
        <f aca="false">O520+P520</f>
        <v>46939.6302678522</v>
      </c>
      <c r="R520" s="15" t="n">
        <f aca="false">Q520-$G$2+$I$2</f>
        <v>40752.3302678522</v>
      </c>
      <c r="S520" s="42" t="n">
        <f aca="false">R520/$K$2</f>
        <v>560.554749213923</v>
      </c>
      <c r="T520" s="43" t="n">
        <f aca="false">S520-$M$2</f>
        <v>-0.243049960767962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0.137939453125</v>
      </c>
      <c r="C521" s="25" t="n">
        <f aca="false">IF(T520&gt;0,D520,C520)</f>
        <v>0.138671875</v>
      </c>
      <c r="D521" s="41" t="n">
        <f aca="false">(B521+C521)/2</f>
        <v>0.1383056640625</v>
      </c>
      <c r="E521" s="15" t="n">
        <f aca="false">$C$2*(1+IF(E$3&lt;=$O$2,$D521,$D521-($D521-$I$508)*MIN(E$3-$O$2,$Q$2)/$Q$2))</f>
        <v>3790.55786132813</v>
      </c>
      <c r="F521" s="15" t="n">
        <f aca="false">E521*(1+IF(F$3&lt;=$O$2,$D521,$D521-($D521-$I$508)*MIN(F$3-$O$2,$Q$2)/$Q$2))</f>
        <v>4314.81348350644</v>
      </c>
      <c r="G521" s="15" t="n">
        <f aca="false">F521*(1+IF(G$3&lt;=$O$2,$D521,$D521-($D521-$I$508)*MIN(G$3-$O$2,$Q$2)/$Q$2))</f>
        <v>4911.57662764863</v>
      </c>
      <c r="H521" s="15" t="n">
        <f aca="false">G521*(1+IF(H$3&lt;=$O$2,$D521,$D521-($D521-$I$508)*MIN(H$3-$O$2,$Q$2)/$Q$2))</f>
        <v>5590.87549472943</v>
      </c>
      <c r="I521" s="15" t="n">
        <f aca="false">H521*(1+IF(I$3&lt;=$O$2,$D521,$D521-($D521-$I$508)*MIN(I$3-$O$2,$Q$2)/$Q$2))</f>
        <v>6364.12524271874</v>
      </c>
      <c r="J521" s="15" t="n">
        <f aca="false">I521*(1+IF(J$3&lt;=$O$2,$D521,$D521-($D521-$I$508)*MIN(J$3-$O$2,$Q$2)/$Q$2))</f>
        <v>7104.30184588943</v>
      </c>
      <c r="K521" s="15" t="n">
        <f aca="false">J521*(1+IF(K$3&lt;=$O$2,$D521,$D521-($D521-$I$508)*MIN(K$3-$O$2,$Q$2)/$Q$2))</f>
        <v>7774.26165348261</v>
      </c>
      <c r="L521" s="15" t="n">
        <f aca="false">K521*(1+IF(L$3&lt;=$O$2,$D521,$D521-($D521-$I$508)*MIN(L$3-$O$2,$Q$2)/$Q$2))</f>
        <v>8336.35838459096</v>
      </c>
      <c r="M521" s="15" t="n">
        <f aca="false">L521*(1+IF(M$3&lt;=$O$2,$D521,$D521-($D521-$I$508)*MIN(M$3-$O$2,$Q$2)/$Q$2))</f>
        <v>8755.68665486687</v>
      </c>
      <c r="N521" s="15" t="n">
        <f aca="false">M521*(1+IF(N$3&lt;=$O$2,$D521,$D521-($D521-$I$508)*MIN(N$3-$O$2,$Q$2)/$Q$2))</f>
        <v>9003.4725871996</v>
      </c>
      <c r="O521" s="15" t="n">
        <f aca="false">SUMPRODUCT(E521:N521,1/(1+$F$508)^$E$3:$N$3)*$E$2</f>
        <v>20289.2197862266</v>
      </c>
      <c r="P521" s="15" t="n">
        <f aca="false">N521*$E$2*(1+$I$508)/($F$508-$I$508)/(1+$F$508)^$N$3</f>
        <v>26743.1003465688</v>
      </c>
      <c r="Q521" s="15" t="n">
        <f aca="false">O521+P521</f>
        <v>47032.3201327954</v>
      </c>
      <c r="R521" s="15" t="n">
        <f aca="false">Q521-$G$2+$I$2</f>
        <v>40845.0201327954</v>
      </c>
      <c r="S521" s="42" t="n">
        <f aca="false">R521/$K$2</f>
        <v>561.8297129683</v>
      </c>
      <c r="T521" s="43" t="n">
        <f aca="false">S521-$M$2</f>
        <v>1.03191379360999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0.137939453125</v>
      </c>
      <c r="C522" s="25" t="n">
        <f aca="false">IF(T521&gt;0,D521,C521)</f>
        <v>0.1383056640625</v>
      </c>
      <c r="D522" s="41" t="n">
        <f aca="false">(B522+C522)/2</f>
        <v>0.13812255859375</v>
      </c>
      <c r="E522" s="15" t="n">
        <f aca="false">$C$2*(1+IF(E$3&lt;=$O$2,$D522,$D522-($D522-$I$508)*MIN(E$3-$O$2,$Q$2)/$Q$2))</f>
        <v>3789.94812011719</v>
      </c>
      <c r="F522" s="15" t="n">
        <f aca="false">E522*(1+IF(F$3&lt;=$O$2,$D522,$D522-($D522-$I$508)*MIN(F$3-$O$2,$Q$2)/$Q$2))</f>
        <v>4313.42545140535</v>
      </c>
      <c r="G522" s="15" t="n">
        <f aca="false">F522*(1+IF(G$3&lt;=$O$2,$D522,$D522-($D522-$I$508)*MIN(G$3-$O$2,$Q$2)/$Q$2))</f>
        <v>4909.20681105685</v>
      </c>
      <c r="H522" s="15" t="n">
        <f aca="false">G522*(1+IF(H$3&lt;=$O$2,$D522,$D522-($D522-$I$508)*MIN(H$3-$O$2,$Q$2)/$Q$2))</f>
        <v>5587.27901646589</v>
      </c>
      <c r="I522" s="15" t="n">
        <f aca="false">H522*(1+IF(I$3&lt;=$O$2,$D522,$D522-($D522-$I$508)*MIN(I$3-$O$2,$Q$2)/$Q$2))</f>
        <v>6359.00828979733</v>
      </c>
      <c r="J522" s="15" t="n">
        <f aca="false">I522*(1+IF(J$3&lt;=$O$2,$D522,$D522-($D522-$I$508)*MIN(J$3-$O$2,$Q$2)/$Q$2))</f>
        <v>7097.65827280212</v>
      </c>
      <c r="K522" s="15" t="n">
        <f aca="false">J522*(1+IF(K$3&lt;=$O$2,$D522,$D522-($D522-$I$508)*MIN(K$3-$O$2,$Q$2)/$Q$2))</f>
        <v>7766.21179684836</v>
      </c>
      <c r="L522" s="15" t="n">
        <f aca="false">K522*(1+IF(L$3&lt;=$O$2,$D522,$D522-($D522-$I$508)*MIN(L$3-$O$2,$Q$2)/$Q$2))</f>
        <v>8327.15769074351</v>
      </c>
      <c r="M522" s="15" t="n">
        <f aca="false">L522*(1+IF(M$3&lt;=$O$2,$D522,$D522-($D522-$I$508)*MIN(M$3-$O$2,$Q$2)/$Q$2))</f>
        <v>8745.71820607376</v>
      </c>
      <c r="N522" s="15" t="n">
        <f aca="false">M522*(1+IF(N$3&lt;=$O$2,$D522,$D522-($D522-$I$508)*MIN(N$3-$O$2,$Q$2)/$Q$2))</f>
        <v>8993.22203130565</v>
      </c>
      <c r="O522" s="15" t="n">
        <f aca="false">SUMPRODUCT(E522:N522,1/(1+$F$508)^$E$3:$N$3)*$E$2</f>
        <v>20273.3008527946</v>
      </c>
      <c r="P522" s="15" t="n">
        <f aca="false">N522*$E$2*(1+$I$508)/($F$508-$I$508)/(1+$F$508)^$N$3</f>
        <v>26712.6530228029</v>
      </c>
      <c r="Q522" s="15" t="n">
        <f aca="false">O522+P522</f>
        <v>46985.9538755976</v>
      </c>
      <c r="R522" s="15" t="n">
        <f aca="false">Q522-$G$2+$I$2</f>
        <v>40798.6538755976</v>
      </c>
      <c r="S522" s="42" t="n">
        <f aca="false">R522/$K$2</f>
        <v>561.191937766129</v>
      </c>
      <c r="T522" s="43" t="n">
        <f aca="false">S522-$M$2</f>
        <v>0.394138591438264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0.137939453125</v>
      </c>
      <c r="C523" s="25" t="n">
        <f aca="false">IF(T522&gt;0,D522,C522)</f>
        <v>0.13812255859375</v>
      </c>
      <c r="D523" s="41" t="n">
        <f aca="false">(B523+C523)/2</f>
        <v>0.138031005859375</v>
      </c>
      <c r="E523" s="15" t="n">
        <f aca="false">$C$2*(1+IF(E$3&lt;=$O$2,$D523,$D523-($D523-$I$508)*MIN(E$3-$O$2,$Q$2)/$Q$2))</f>
        <v>3789.64324951172</v>
      </c>
      <c r="F523" s="15" t="n">
        <f aca="false">E523*(1+IF(F$3&lt;=$O$2,$D523,$D523-($D523-$I$508)*MIN(F$3-$O$2,$Q$2)/$Q$2))</f>
        <v>4312.73151909001</v>
      </c>
      <c r="G523" s="15" t="n">
        <f aca="false">F523*(1+IF(G$3&lt;=$O$2,$D523,$D523-($D523-$I$508)*MIN(G$3-$O$2,$Q$2)/$Q$2))</f>
        <v>4908.02218867144</v>
      </c>
      <c r="H523" s="15" t="n">
        <f aca="false">G523*(1+IF(H$3&lt;=$O$2,$D523,$D523-($D523-$I$508)*MIN(H$3-$O$2,$Q$2)/$Q$2))</f>
        <v>5585.48142815389</v>
      </c>
      <c r="I523" s="15" t="n">
        <f aca="false">H523*(1+IF(I$3&lt;=$O$2,$D523,$D523-($D523-$I$508)*MIN(I$3-$O$2,$Q$2)/$Q$2))</f>
        <v>6356.45104789083</v>
      </c>
      <c r="J523" s="15" t="n">
        <f aca="false">I523*(1+IF(J$3&lt;=$O$2,$D523,$D523-($D523-$I$508)*MIN(J$3-$O$2,$Q$2)/$Q$2))</f>
        <v>7094.33842629089</v>
      </c>
      <c r="K523" s="15" t="n">
        <f aca="false">J523*(1+IF(K$3&lt;=$O$2,$D523,$D523-($D523-$I$508)*MIN(K$3-$O$2,$Q$2)/$Q$2))</f>
        <v>7762.18953860915</v>
      </c>
      <c r="L523" s="15" t="n">
        <f aca="false">K523*(1+IF(L$3&lt;=$O$2,$D523,$D523-($D523-$I$508)*MIN(L$3-$O$2,$Q$2)/$Q$2))</f>
        <v>8322.56064884887</v>
      </c>
      <c r="M523" s="15" t="n">
        <f aca="false">L523*(1+IF(M$3&lt;=$O$2,$D523,$D523-($D523-$I$508)*MIN(M$3-$O$2,$Q$2)/$Q$2))</f>
        <v>8740.73770547606</v>
      </c>
      <c r="N523" s="15" t="n">
        <f aca="false">M523*(1+IF(N$3&lt;=$O$2,$D523,$D523-($D523-$I$508)*MIN(N$3-$O$2,$Q$2)/$Q$2))</f>
        <v>8988.10058254103</v>
      </c>
      <c r="O523" s="15" t="n">
        <f aca="false">SUMPRODUCT(E523:N523,1/(1+$F$508)^$E$3:$N$3)*$E$2</f>
        <v>20265.3460079382</v>
      </c>
      <c r="P523" s="15" t="n">
        <f aca="false">N523*$E$2*(1+$I$508)/($F$508-$I$508)/(1+$F$508)^$N$3</f>
        <v>26697.4407347768</v>
      </c>
      <c r="Q523" s="15" t="n">
        <f aca="false">O523+P523</f>
        <v>46962.7867427149</v>
      </c>
      <c r="R523" s="15" t="n">
        <f aca="false">Q523-$G$2+$I$2</f>
        <v>40775.4867427149</v>
      </c>
      <c r="S523" s="42" t="n">
        <f aca="false">R523/$K$2</f>
        <v>560.873270188651</v>
      </c>
      <c r="T523" s="43" t="n">
        <f aca="false">S523-$M$2</f>
        <v>0.0754710139603958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0.137939453125</v>
      </c>
      <c r="C524" s="25" t="n">
        <f aca="false">IF(T523&gt;0,D523,C523)</f>
        <v>0.138031005859375</v>
      </c>
      <c r="D524" s="41" t="n">
        <f aca="false">(B524+C524)/2</f>
        <v>0.137985229492188</v>
      </c>
      <c r="E524" s="15" t="n">
        <f aca="false">$C$2*(1+IF(E$3&lt;=$O$2,$D524,$D524-($D524-$I$508)*MIN(E$3-$O$2,$Q$2)/$Q$2))</f>
        <v>3789.49081420898</v>
      </c>
      <c r="F524" s="15" t="n">
        <f aca="false">E524*(1+IF(F$3&lt;=$O$2,$D524,$D524-($D524-$I$508)*MIN(F$3-$O$2,$Q$2)/$Q$2))</f>
        <v>4312.38457386615</v>
      </c>
      <c r="G524" s="15" t="n">
        <f aca="false">F524*(1+IF(G$3&lt;=$O$2,$D524,$D524-($D524-$I$508)*MIN(G$3-$O$2,$Q$2)/$Q$2))</f>
        <v>4907.42994894964</v>
      </c>
      <c r="H524" s="15" t="n">
        <f aca="false">G524*(1+IF(H$3&lt;=$O$2,$D524,$D524-($D524-$I$508)*MIN(H$3-$O$2,$Q$2)/$Q$2))</f>
        <v>5584.58279667229</v>
      </c>
      <c r="I524" s="15" t="n">
        <f aca="false">H524*(1+IF(I$3&lt;=$O$2,$D524,$D524-($D524-$I$508)*MIN(I$3-$O$2,$Q$2)/$Q$2))</f>
        <v>6355.17273548923</v>
      </c>
      <c r="J524" s="15" t="n">
        <f aca="false">I524*(1+IF(J$3&lt;=$O$2,$D524,$D524-($D524-$I$508)*MIN(J$3-$O$2,$Q$2)/$Q$2))</f>
        <v>7092.67898786728</v>
      </c>
      <c r="K524" s="15" t="n">
        <f aca="false">J524*(1+IF(K$3&lt;=$O$2,$D524,$D524-($D524-$I$508)*MIN(K$3-$O$2,$Q$2)/$Q$2))</f>
        <v>7760.17907672311</v>
      </c>
      <c r="L524" s="15" t="n">
        <f aca="false">K524*(1+IF(L$3&lt;=$O$2,$D524,$D524-($D524-$I$508)*MIN(L$3-$O$2,$Q$2)/$Q$2))</f>
        <v>8320.26295376671</v>
      </c>
      <c r="M524" s="15" t="n">
        <f aca="false">L524*(1+IF(M$3&lt;=$O$2,$D524,$D524-($D524-$I$508)*MIN(M$3-$O$2,$Q$2)/$Q$2))</f>
        <v>8738.24838566216</v>
      </c>
      <c r="N524" s="15" t="n">
        <f aca="false">M524*(1+IF(N$3&lt;=$O$2,$D524,$D524-($D524-$I$508)*MIN(N$3-$O$2,$Q$2)/$Q$2))</f>
        <v>8985.5408149764</v>
      </c>
      <c r="O524" s="15" t="n">
        <f aca="false">SUMPRODUCT(E524:N524,1/(1+$F$508)^$E$3:$N$3)*$E$2</f>
        <v>20261.3697404941</v>
      </c>
      <c r="P524" s="15" t="n">
        <f aca="false">N524*$E$2*(1+$I$508)/($F$508-$I$508)/(1+$F$508)^$N$3</f>
        <v>26689.8374328083</v>
      </c>
      <c r="Q524" s="15" t="n">
        <f aca="false">O524+P524</f>
        <v>46951.2071733024</v>
      </c>
      <c r="R524" s="15" t="n">
        <f aca="false">Q524-$G$2+$I$2</f>
        <v>40763.9071733024</v>
      </c>
      <c r="S524" s="42" t="n">
        <f aca="false">R524/$K$2</f>
        <v>560.713991379676</v>
      </c>
      <c r="T524" s="43" t="n">
        <f aca="false">S524-$M$2</f>
        <v>-0.0838077950148772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0.137985229492188</v>
      </c>
      <c r="C525" s="25" t="n">
        <f aca="false">IF(T524&gt;0,D524,C524)</f>
        <v>0.138031005859375</v>
      </c>
      <c r="D525" s="41" t="n">
        <f aca="false">(B525+C525)/2</f>
        <v>0.138008117675781</v>
      </c>
      <c r="E525" s="15" t="n">
        <f aca="false">$C$2*(1+IF(E$3&lt;=$O$2,$D525,$D525-($D525-$I$508)*MIN(E$3-$O$2,$Q$2)/$Q$2))</f>
        <v>3789.56703186035</v>
      </c>
      <c r="F525" s="15" t="n">
        <f aca="false">E525*(1+IF(F$3&lt;=$O$2,$D525,$D525-($D525-$I$508)*MIN(F$3-$O$2,$Q$2)/$Q$2))</f>
        <v>4312.5580447336</v>
      </c>
      <c r="G525" s="15" t="n">
        <f aca="false">F525*(1+IF(G$3&lt;=$O$2,$D525,$D525-($D525-$I$508)*MIN(G$3-$O$2,$Q$2)/$Q$2))</f>
        <v>4907.72606285483</v>
      </c>
      <c r="H525" s="15" t="n">
        <f aca="false">G525*(1+IF(H$3&lt;=$O$2,$D525,$D525-($D525-$I$508)*MIN(H$3-$O$2,$Q$2)/$Q$2))</f>
        <v>5585.0320988578</v>
      </c>
      <c r="I525" s="15" t="n">
        <f aca="false">H525*(1+IF(I$3&lt;=$O$2,$D525,$D525-($D525-$I$508)*MIN(I$3-$O$2,$Q$2)/$Q$2))</f>
        <v>6355.81186597998</v>
      </c>
      <c r="J525" s="15" t="n">
        <f aca="false">I525*(1+IF(J$3&lt;=$O$2,$D525,$D525-($D525-$I$508)*MIN(J$3-$O$2,$Q$2)/$Q$2))</f>
        <v>7093.50866668166</v>
      </c>
      <c r="K525" s="15" t="n">
        <f aca="false">J525*(1+IF(K$3&lt;=$O$2,$D525,$D525-($D525-$I$508)*MIN(K$3-$O$2,$Q$2)/$Q$2))</f>
        <v>7761.18425207184</v>
      </c>
      <c r="L525" s="15" t="n">
        <f aca="false">K525*(1+IF(L$3&lt;=$O$2,$D525,$D525-($D525-$I$508)*MIN(L$3-$O$2,$Q$2)/$Q$2))</f>
        <v>8321.41173249736</v>
      </c>
      <c r="M525" s="15" t="n">
        <f aca="false">L525*(1+IF(M$3&lt;=$O$2,$D525,$D525-($D525-$I$508)*MIN(M$3-$O$2,$Q$2)/$Q$2))</f>
        <v>8739.49296804253</v>
      </c>
      <c r="N525" s="15" t="n">
        <f aca="false">M525*(1+IF(N$3&lt;=$O$2,$D525,$D525-($D525-$I$508)*MIN(N$3-$O$2,$Q$2)/$Q$2))</f>
        <v>8986.82061903813</v>
      </c>
      <c r="O525" s="15" t="n">
        <f aca="false">SUMPRODUCT(E525:N525,1/(1+$F$508)^$E$3:$N$3)*$E$2</f>
        <v>20263.3577779818</v>
      </c>
      <c r="P525" s="15" t="n">
        <f aca="false">N525*$E$2*(1+$I$508)/($F$508-$I$508)/(1+$F$508)^$N$3</f>
        <v>26693.6388469977</v>
      </c>
      <c r="Q525" s="15" t="n">
        <f aca="false">O525+P525</f>
        <v>46956.9966249795</v>
      </c>
      <c r="R525" s="15" t="n">
        <f aca="false">Q525-$G$2+$I$2</f>
        <v>40769.6966249795</v>
      </c>
      <c r="S525" s="42" t="n">
        <f aca="false">R525/$K$2</f>
        <v>560.793626203294</v>
      </c>
      <c r="T525" s="43" t="n">
        <f aca="false">S525-$M$2</f>
        <v>-0.00417297139631501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0.138008117675781</v>
      </c>
      <c r="C526" s="25" t="n">
        <f aca="false">IF(T525&gt;0,D525,C525)</f>
        <v>0.138031005859375</v>
      </c>
      <c r="D526" s="41" t="n">
        <f aca="false">(B526+C526)/2</f>
        <v>0.138019561767578</v>
      </c>
      <c r="E526" s="15" t="n">
        <f aca="false">$C$2*(1+IF(E$3&lt;=$O$2,$D526,$D526-($D526-$I$508)*MIN(E$3-$O$2,$Q$2)/$Q$2))</f>
        <v>3789.60514068604</v>
      </c>
      <c r="F526" s="15" t="n">
        <f aca="false">E526*(1+IF(F$3&lt;=$O$2,$D526,$D526-($D526-$I$508)*MIN(F$3-$O$2,$Q$2)/$Q$2))</f>
        <v>4312.64478147568</v>
      </c>
      <c r="G526" s="15" t="n">
        <f aca="false">F526*(1+IF(G$3&lt;=$O$2,$D526,$D526-($D526-$I$508)*MIN(G$3-$O$2,$Q$2)/$Q$2))</f>
        <v>4907.87412427419</v>
      </c>
      <c r="H526" s="15" t="n">
        <f aca="false">G526*(1+IF(H$3&lt;=$O$2,$D526,$D526-($D526-$I$508)*MIN(H$3-$O$2,$Q$2)/$Q$2))</f>
        <v>5585.25676011695</v>
      </c>
      <c r="I526" s="15" t="n">
        <f aca="false">H526*(1+IF(I$3&lt;=$O$2,$D526,$D526-($D526-$I$508)*MIN(I$3-$O$2,$Q$2)/$Q$2))</f>
        <v>6356.13145050769</v>
      </c>
      <c r="J526" s="15" t="n">
        <f aca="false">I526*(1+IF(J$3&lt;=$O$2,$D526,$D526-($D526-$I$508)*MIN(J$3-$O$2,$Q$2)/$Q$2))</f>
        <v>7093.92353638652</v>
      </c>
      <c r="K526" s="15" t="n">
        <f aca="false">J526*(1+IF(K$3&lt;=$O$2,$D526,$D526-($D526-$I$508)*MIN(K$3-$O$2,$Q$2)/$Q$2))</f>
        <v>7761.68688144128</v>
      </c>
      <c r="L526" s="15" t="n">
        <f aca="false">K526*(1+IF(L$3&lt;=$O$2,$D526,$D526-($D526-$I$508)*MIN(L$3-$O$2,$Q$2)/$Q$2))</f>
        <v>8321.98617346963</v>
      </c>
      <c r="M526" s="15" t="n">
        <f aca="false">L526*(1+IF(M$3&lt;=$O$2,$D526,$D526-($D526-$I$508)*MIN(M$3-$O$2,$Q$2)/$Q$2))</f>
        <v>8740.11531737661</v>
      </c>
      <c r="N526" s="15" t="n">
        <f aca="false">M526*(1+IF(N$3&lt;=$O$2,$D526,$D526-($D526-$I$508)*MIN(N$3-$O$2,$Q$2)/$Q$2))</f>
        <v>8987.46058085837</v>
      </c>
      <c r="O526" s="15" t="n">
        <f aca="false">SUMPRODUCT(E526:N526,1/(1+$F$508)^$E$3:$N$3)*$E$2</f>
        <v>20264.3518689003</v>
      </c>
      <c r="P526" s="15" t="n">
        <f aca="false">N526*$E$2*(1+$I$508)/($F$508-$I$508)/(1+$F$508)^$N$3</f>
        <v>26695.5397316854</v>
      </c>
      <c r="Q526" s="15" t="n">
        <f aca="false">O526+P526</f>
        <v>46959.8916005857</v>
      </c>
      <c r="R526" s="15" t="n">
        <f aca="false">Q526-$G$2+$I$2</f>
        <v>40772.5916005857</v>
      </c>
      <c r="S526" s="42" t="n">
        <f aca="false">R526/$K$2</f>
        <v>560.833447050697</v>
      </c>
      <c r="T526" s="43" t="n">
        <f aca="false">S526-$M$2</f>
        <v>0.035647876006351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0.138008117675781</v>
      </c>
      <c r="C527" s="25" t="n">
        <f aca="false">IF(T526&gt;0,D526,C526)</f>
        <v>0.138019561767578</v>
      </c>
      <c r="D527" s="41" t="n">
        <f aca="false">(B527+C527)/2</f>
        <v>0.13801383972168</v>
      </c>
      <c r="E527" s="15" t="n">
        <f aca="false">$C$2*(1+IF(E$3&lt;=$O$2,$D527,$D527-($D527-$I$508)*MIN(E$3-$O$2,$Q$2)/$Q$2))</f>
        <v>3789.58608627319</v>
      </c>
      <c r="F527" s="15" t="n">
        <f aca="false">E527*(1+IF(F$3&lt;=$O$2,$D527,$D527-($D527-$I$508)*MIN(F$3-$O$2,$Q$2)/$Q$2))</f>
        <v>4312.60141299561</v>
      </c>
      <c r="G527" s="15" t="n">
        <f aca="false">F527*(1+IF(G$3&lt;=$O$2,$D527,$D527-($D527-$I$508)*MIN(G$3-$O$2,$Q$2)/$Q$2))</f>
        <v>4907.80009319227</v>
      </c>
      <c r="H527" s="15" t="n">
        <f aca="false">G527*(1+IF(H$3&lt;=$O$2,$D527,$D527-($D527-$I$508)*MIN(H$3-$O$2,$Q$2)/$Q$2))</f>
        <v>5585.14442864016</v>
      </c>
      <c r="I527" s="15" t="n">
        <f aca="false">H527*(1+IF(I$3&lt;=$O$2,$D527,$D527-($D527-$I$508)*MIN(I$3-$O$2,$Q$2)/$Q$2))</f>
        <v>6355.97165663693</v>
      </c>
      <c r="J527" s="15" t="n">
        <f aca="false">I527*(1+IF(J$3&lt;=$O$2,$D527,$D527-($D527-$I$508)*MIN(J$3-$O$2,$Q$2)/$Q$2))</f>
        <v>7093.7160990092</v>
      </c>
      <c r="K527" s="15" t="n">
        <f aca="false">J527*(1+IF(K$3&lt;=$O$2,$D527,$D527-($D527-$I$508)*MIN(K$3-$O$2,$Q$2)/$Q$2))</f>
        <v>7761.43556328184</v>
      </c>
      <c r="L527" s="15" t="n">
        <f aca="false">K527*(1+IF(L$3&lt;=$O$2,$D527,$D527-($D527-$I$508)*MIN(L$3-$O$2,$Q$2)/$Q$2))</f>
        <v>8321.69894868273</v>
      </c>
      <c r="M527" s="15" t="n">
        <f aca="false">L527*(1+IF(M$3&lt;=$O$2,$D527,$D527-($D527-$I$508)*MIN(M$3-$O$2,$Q$2)/$Q$2))</f>
        <v>8739.80413786402</v>
      </c>
      <c r="N527" s="15" t="n">
        <f aca="false">M527*(1+IF(N$3&lt;=$O$2,$D527,$D527-($D527-$I$508)*MIN(N$3-$O$2,$Q$2)/$Q$2))</f>
        <v>8987.14059496558</v>
      </c>
      <c r="O527" s="15" t="n">
        <f aca="false">SUMPRODUCT(E527:N527,1/(1+$F$508)^$E$3:$N$3)*$E$2</f>
        <v>20263.8548174262</v>
      </c>
      <c r="P527" s="15" t="n">
        <f aca="false">N527*$E$2*(1+$I$508)/($F$508-$I$508)/(1+$F$508)^$N$3</f>
        <v>26694.5892745415</v>
      </c>
      <c r="Q527" s="15" t="n">
        <f aca="false">O527+P527</f>
        <v>46958.4440919677</v>
      </c>
      <c r="R527" s="15" t="n">
        <f aca="false">Q527-$G$2+$I$2</f>
        <v>40771.1440919677</v>
      </c>
      <c r="S527" s="42" t="n">
        <f aca="false">R527/$K$2</f>
        <v>560.813536340684</v>
      </c>
      <c r="T527" s="43" t="n">
        <f aca="false">S527-$M$2</f>
        <v>0.0157371659933006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0.138008117675781</v>
      </c>
      <c r="C528" s="25" t="n">
        <f aca="false">IF(T527&gt;0,D527,C527)</f>
        <v>0.13801383972168</v>
      </c>
      <c r="D528" s="41" t="n">
        <f aca="false">(B528+C528)/2</f>
        <v>0.13801097869873</v>
      </c>
      <c r="E528" s="15" t="n">
        <f aca="false">$C$2*(1+IF(E$3&lt;=$O$2,$D528,$D528-($D528-$I$508)*MIN(E$3-$O$2,$Q$2)/$Q$2))</f>
        <v>3789.57655906677</v>
      </c>
      <c r="F528" s="15" t="n">
        <f aca="false">E528*(1+IF(F$3&lt;=$O$2,$D528,$D528-($D528-$I$508)*MIN(F$3-$O$2,$Q$2)/$Q$2))</f>
        <v>4312.57972883735</v>
      </c>
      <c r="G528" s="15" t="n">
        <f aca="false">F528*(1+IF(G$3&lt;=$O$2,$D528,$D528-($D528-$I$508)*MIN(G$3-$O$2,$Q$2)/$Q$2))</f>
        <v>4907.76307793049</v>
      </c>
      <c r="H528" s="15" t="n">
        <f aca="false">G528*(1+IF(H$3&lt;=$O$2,$D528,$D528-($D528-$I$508)*MIN(H$3-$O$2,$Q$2)/$Q$2))</f>
        <v>5585.08826353717</v>
      </c>
      <c r="I528" s="15" t="n">
        <f aca="false">H528*(1+IF(I$3&lt;=$O$2,$D528,$D528-($D528-$I$508)*MIN(I$3-$O$2,$Q$2)/$Q$2))</f>
        <v>6355.89176090673</v>
      </c>
      <c r="J528" s="15" t="n">
        <f aca="false">I528*(1+IF(J$3&lt;=$O$2,$D528,$D528-($D528-$I$508)*MIN(J$3-$O$2,$Q$2)/$Q$2))</f>
        <v>7093.61238221421</v>
      </c>
      <c r="K528" s="15" t="n">
        <f aca="false">J528*(1+IF(K$3&lt;=$O$2,$D528,$D528-($D528-$I$508)*MIN(K$3-$O$2,$Q$2)/$Q$2))</f>
        <v>7761.30990680817</v>
      </c>
      <c r="L528" s="15" t="n">
        <f aca="false">K528*(1+IF(L$3&lt;=$O$2,$D528,$D528-($D528-$I$508)*MIN(L$3-$O$2,$Q$2)/$Q$2))</f>
        <v>8321.55533951487</v>
      </c>
      <c r="M528" s="15" t="n">
        <f aca="false">L528*(1+IF(M$3&lt;=$O$2,$D528,$D528-($D528-$I$508)*MIN(M$3-$O$2,$Q$2)/$Q$2))</f>
        <v>8739.6485517419</v>
      </c>
      <c r="N528" s="15" t="n">
        <f aca="false">M528*(1+IF(N$3&lt;=$O$2,$D528,$D528-($D528-$I$508)*MIN(N$3-$O$2,$Q$2)/$Q$2))</f>
        <v>8986.9806057562</v>
      </c>
      <c r="O528" s="15" t="n">
        <f aca="false">SUMPRODUCT(E528:N528,1/(1+$F$508)^$E$3:$N$3)*$E$2</f>
        <v>20263.6062962003</v>
      </c>
      <c r="P528" s="15" t="n">
        <f aca="false">N528*$E$2*(1+$I$508)/($F$508-$I$508)/(1+$F$508)^$N$3</f>
        <v>26694.1140570696</v>
      </c>
      <c r="Q528" s="15" t="n">
        <f aca="false">O528+P528</f>
        <v>46957.72035327</v>
      </c>
      <c r="R528" s="15" t="n">
        <f aca="false">Q528-$G$2+$I$2</f>
        <v>40770.42035327</v>
      </c>
      <c r="S528" s="42" t="n">
        <f aca="false">R528/$K$2</f>
        <v>560.803581200412</v>
      </c>
      <c r="T528" s="43" t="n">
        <f aca="false">S528-$M$2</f>
        <v>0.00578202572148712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0.138008117675781</v>
      </c>
      <c r="C529" s="25" t="n">
        <f aca="false">IF(T528&gt;0,D528,C528)</f>
        <v>0.13801097869873</v>
      </c>
      <c r="D529" s="41" t="n">
        <f aca="false">(B529+C529)/2</f>
        <v>0.138009548187256</v>
      </c>
      <c r="E529" s="15" t="n">
        <f aca="false">$C$2*(1+IF(E$3&lt;=$O$2,$D529,$D529-($D529-$I$508)*MIN(E$3-$O$2,$Q$2)/$Q$2))</f>
        <v>3789.57179546356</v>
      </c>
      <c r="F529" s="15" t="n">
        <f aca="false">E529*(1+IF(F$3&lt;=$O$2,$D529,$D529-($D529-$I$508)*MIN(F$3-$O$2,$Q$2)/$Q$2))</f>
        <v>4312.56888677866</v>
      </c>
      <c r="G529" s="15" t="n">
        <f aca="false">F529*(1+IF(G$3&lt;=$O$2,$D529,$D529-($D529-$I$508)*MIN(G$3-$O$2,$Q$2)/$Q$2))</f>
        <v>4907.7445703694</v>
      </c>
      <c r="H529" s="15" t="n">
        <f aca="false">G529*(1+IF(H$3&lt;=$O$2,$D529,$D529-($D529-$I$508)*MIN(H$3-$O$2,$Q$2)/$Q$2))</f>
        <v>5585.06018114453</v>
      </c>
      <c r="I529" s="15" t="n">
        <f aca="false">H529*(1+IF(I$3&lt;=$O$2,$D529,$D529-($D529-$I$508)*MIN(I$3-$O$2,$Q$2)/$Q$2))</f>
        <v>6355.85181334292</v>
      </c>
      <c r="J529" s="15" t="n">
        <f aca="false">I529*(1+IF(J$3&lt;=$O$2,$D529,$D529-($D529-$I$508)*MIN(J$3-$O$2,$Q$2)/$Q$2))</f>
        <v>7093.56052429013</v>
      </c>
      <c r="K529" s="15" t="n">
        <f aca="false">J529*(1+IF(K$3&lt;=$O$2,$D529,$D529-($D529-$I$508)*MIN(K$3-$O$2,$Q$2)/$Q$2))</f>
        <v>7761.24707922284</v>
      </c>
      <c r="L529" s="15" t="n">
        <f aca="false">K529*(1+IF(L$3&lt;=$O$2,$D529,$D529-($D529-$I$508)*MIN(L$3-$O$2,$Q$2)/$Q$2))</f>
        <v>8321.48353573732</v>
      </c>
      <c r="M529" s="15" t="n">
        <f aca="false">L529*(1+IF(M$3&lt;=$O$2,$D529,$D529-($D529-$I$508)*MIN(M$3-$O$2,$Q$2)/$Q$2))</f>
        <v>8739.57075958937</v>
      </c>
      <c r="N529" s="15" t="n">
        <f aca="false">M529*(1+IF(N$3&lt;=$O$2,$D529,$D529-($D529-$I$508)*MIN(N$3-$O$2,$Q$2)/$Q$2))</f>
        <v>8986.90061208575</v>
      </c>
      <c r="O529" s="15" t="n">
        <f aca="false">SUMPRODUCT(E529:N529,1/(1+$F$508)^$E$3:$N$3)*$E$2</f>
        <v>20263.4820367151</v>
      </c>
      <c r="P529" s="15" t="n">
        <f aca="false">N529*$E$2*(1+$I$508)/($F$508-$I$508)/(1+$F$508)^$N$3</f>
        <v>26693.8764511087</v>
      </c>
      <c r="Q529" s="15" t="n">
        <f aca="false">O529+P529</f>
        <v>46957.3584878238</v>
      </c>
      <c r="R529" s="15" t="n">
        <f aca="false">Q529-$G$2+$I$2</f>
        <v>40770.0584878238</v>
      </c>
      <c r="S529" s="42" t="n">
        <f aca="false">R529/$K$2</f>
        <v>560.798603683959</v>
      </c>
      <c r="T529" s="43" t="n">
        <f aca="false">S529-$M$2</f>
        <v>0.000804509268277798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0.138008117675781</v>
      </c>
      <c r="C530" s="25" t="n">
        <f aca="false">IF(T529&gt;0,D529,C529)</f>
        <v>0.138009548187256</v>
      </c>
      <c r="D530" s="41" t="n">
        <f aca="false">(B530+C530)/2</f>
        <v>0.138008832931519</v>
      </c>
      <c r="E530" s="15" t="n">
        <f aca="false">$C$2*(1+IF(E$3&lt;=$O$2,$D530,$D530-($D530-$I$508)*MIN(E$3-$O$2,$Q$2)/$Q$2))</f>
        <v>3789.56941366196</v>
      </c>
      <c r="F530" s="15" t="n">
        <f aca="false">E530*(1+IF(F$3&lt;=$O$2,$D530,$D530-($D530-$I$508)*MIN(F$3-$O$2,$Q$2)/$Q$2))</f>
        <v>4312.56346575442</v>
      </c>
      <c r="G530" s="15" t="n">
        <f aca="false">F530*(1+IF(G$3&lt;=$O$2,$D530,$D530-($D530-$I$508)*MIN(G$3-$O$2,$Q$2)/$Q$2))</f>
        <v>4907.7353166063</v>
      </c>
      <c r="H530" s="15" t="n">
        <f aca="false">G530*(1+IF(H$3&lt;=$O$2,$D530,$D530-($D530-$I$508)*MIN(H$3-$O$2,$Q$2)/$Q$2))</f>
        <v>5585.04613998793</v>
      </c>
      <c r="I530" s="15" t="n">
        <f aca="false">H530*(1+IF(I$3&lt;=$O$2,$D530,$D530-($D530-$I$508)*MIN(I$3-$O$2,$Q$2)/$Q$2))</f>
        <v>6355.83183963634</v>
      </c>
      <c r="J530" s="15" t="n">
        <f aca="false">I530*(1+IF(J$3&lt;=$O$2,$D530,$D530-($D530-$I$508)*MIN(J$3-$O$2,$Q$2)/$Q$2))</f>
        <v>7093.53459544644</v>
      </c>
      <c r="K530" s="15" t="n">
        <f aca="false">J530*(1+IF(K$3&lt;=$O$2,$D530,$D530-($D530-$I$508)*MIN(K$3-$O$2,$Q$2)/$Q$2))</f>
        <v>7761.21566559304</v>
      </c>
      <c r="L530" s="15" t="n">
        <f aca="false">K530*(1+IF(L$3&lt;=$O$2,$D530,$D530-($D530-$I$508)*MIN(L$3-$O$2,$Q$2)/$Q$2))</f>
        <v>8321.44763405014</v>
      </c>
      <c r="M530" s="15" t="n">
        <f aca="false">L530*(1+IF(M$3&lt;=$O$2,$D530,$D530-($D530-$I$508)*MIN(M$3-$O$2,$Q$2)/$Q$2))</f>
        <v>8739.53186374024</v>
      </c>
      <c r="N530" s="15" t="n">
        <f aca="false">M530*(1+IF(N$3&lt;=$O$2,$D530,$D530-($D530-$I$508)*MIN(N$3-$O$2,$Q$2)/$Q$2))</f>
        <v>8986.86061548409</v>
      </c>
      <c r="O530" s="15" t="n">
        <f aca="false">SUMPRODUCT(E530:N530,1/(1+$F$508)^$E$3:$N$3)*$E$2</f>
        <v>20263.4199072545</v>
      </c>
      <c r="P530" s="15" t="n">
        <f aca="false">N530*$E$2*(1+$I$508)/($F$508-$I$508)/(1+$F$508)^$N$3</f>
        <v>26693.757648822</v>
      </c>
      <c r="Q530" s="15" t="n">
        <f aca="false">O530+P530</f>
        <v>46957.1775560764</v>
      </c>
      <c r="R530" s="15" t="n">
        <f aca="false">Q530-$G$2+$I$2</f>
        <v>40769.8775560764</v>
      </c>
      <c r="S530" s="42" t="n">
        <f aca="false">R530/$K$2</f>
        <v>560.796114939153</v>
      </c>
      <c r="T530" s="43" t="n">
        <f aca="false">S530-$M$2</f>
        <v>-0.00168423553748198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0.138008832931519</v>
      </c>
      <c r="C531" s="25" t="n">
        <f aca="false">IF(T530&gt;0,D530,C530)</f>
        <v>0.138009548187256</v>
      </c>
      <c r="D531" s="41" t="n">
        <f aca="false">(B531+C531)/2</f>
        <v>0.138009190559387</v>
      </c>
      <c r="E531" s="15" t="n">
        <f aca="false">$C$2*(1+IF(E$3&lt;=$O$2,$D531,$D531-($D531-$I$508)*MIN(E$3-$O$2,$Q$2)/$Q$2))</f>
        <v>3789.57060456276</v>
      </c>
      <c r="F531" s="15" t="n">
        <f aca="false">E531*(1+IF(F$3&lt;=$O$2,$D531,$D531-($D531-$I$508)*MIN(F$3-$O$2,$Q$2)/$Q$2))</f>
        <v>4312.56617626611</v>
      </c>
      <c r="G531" s="15" t="n">
        <f aca="false">F531*(1+IF(G$3&lt;=$O$2,$D531,$D531-($D531-$I$508)*MIN(G$3-$O$2,$Q$2)/$Q$2))</f>
        <v>4907.73994348639</v>
      </c>
      <c r="H531" s="15" t="n">
        <f aca="false">G531*(1+IF(H$3&lt;=$O$2,$D531,$D531-($D531-$I$508)*MIN(H$3-$O$2,$Q$2)/$Q$2))</f>
        <v>5585.05316056292</v>
      </c>
      <c r="I531" s="15" t="n">
        <f aca="false">H531*(1+IF(I$3&lt;=$O$2,$D531,$D531-($D531-$I$508)*MIN(I$3-$O$2,$Q$2)/$Q$2))</f>
        <v>6355.84182648336</v>
      </c>
      <c r="J531" s="15" t="n">
        <f aca="false">I531*(1+IF(J$3&lt;=$O$2,$D531,$D531-($D531-$I$508)*MIN(J$3-$O$2,$Q$2)/$Q$2))</f>
        <v>7093.54755985843</v>
      </c>
      <c r="K531" s="15" t="n">
        <f aca="false">J531*(1+IF(K$3&lt;=$O$2,$D531,$D531-($D531-$I$508)*MIN(K$3-$O$2,$Q$2)/$Q$2))</f>
        <v>7761.23137239437</v>
      </c>
      <c r="L531" s="15" t="n">
        <f aca="false">K531*(1+IF(L$3&lt;=$O$2,$D531,$D531-($D531-$I$508)*MIN(L$3-$O$2,$Q$2)/$Q$2))</f>
        <v>8321.46558487693</v>
      </c>
      <c r="M531" s="15" t="n">
        <f aca="false">L531*(1+IF(M$3&lt;=$O$2,$D531,$D531-($D531-$I$508)*MIN(M$3-$O$2,$Q$2)/$Q$2))</f>
        <v>8739.55131164588</v>
      </c>
      <c r="N531" s="15" t="n">
        <f aca="false">M531*(1+IF(N$3&lt;=$O$2,$D531,$D531-($D531-$I$508)*MIN(N$3-$O$2,$Q$2)/$Q$2))</f>
        <v>8986.88061376546</v>
      </c>
      <c r="O531" s="15" t="n">
        <f aca="false">SUMPRODUCT(E531:N531,1/(1+$F$508)^$E$3:$N$3)*$E$2</f>
        <v>20263.4509719613</v>
      </c>
      <c r="P531" s="15" t="n">
        <f aca="false">N531*$E$2*(1+$I$508)/($F$508-$I$508)/(1+$F$508)^$N$3</f>
        <v>26693.8170499075</v>
      </c>
      <c r="Q531" s="15" t="n">
        <f aca="false">O531+P531</f>
        <v>46957.2680218688</v>
      </c>
      <c r="R531" s="15" t="n">
        <f aca="false">Q531-$G$2+$I$2</f>
        <v>40769.9680218688</v>
      </c>
      <c r="S531" s="42" t="n">
        <f aca="false">R531/$K$2</f>
        <v>560.797359310438</v>
      </c>
      <c r="T531" s="43" t="n">
        <f aca="false">S531-$M$2</f>
        <v>-0.000439864252939515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0.138009190559387</v>
      </c>
      <c r="C532" s="25" t="n">
        <f aca="false">IF(T531&gt;0,D531,C531)</f>
        <v>0.138009548187256</v>
      </c>
      <c r="D532" s="41" t="n">
        <f aca="false">(B532+C532)/2</f>
        <v>0.138009369373322</v>
      </c>
      <c r="E532" s="15" t="n">
        <f aca="false">$C$2*(1+IF(E$3&lt;=$O$2,$D532,$D532-($D532-$I$508)*MIN(E$3-$O$2,$Q$2)/$Q$2))</f>
        <v>3789.57120001316</v>
      </c>
      <c r="F532" s="15" t="n">
        <f aca="false">E532*(1+IF(F$3&lt;=$O$2,$D532,$D532-($D532-$I$508)*MIN(F$3-$O$2,$Q$2)/$Q$2))</f>
        <v>4312.56753152228</v>
      </c>
      <c r="G532" s="15" t="n">
        <f aca="false">F532*(1+IF(G$3&lt;=$O$2,$D532,$D532-($D532-$I$508)*MIN(G$3-$O$2,$Q$2)/$Q$2))</f>
        <v>4907.74225692753</v>
      </c>
      <c r="H532" s="15" t="n">
        <f aca="false">G532*(1+IF(H$3&lt;=$O$2,$D532,$D532-($D532-$I$508)*MIN(H$3-$O$2,$Q$2)/$Q$2))</f>
        <v>5585.0566708529</v>
      </c>
      <c r="I532" s="15" t="n">
        <f aca="false">H532*(1+IF(I$3&lt;=$O$2,$D532,$D532-($D532-$I$508)*MIN(I$3-$O$2,$Q$2)/$Q$2))</f>
        <v>6355.84681991157</v>
      </c>
      <c r="J532" s="15" t="n">
        <f aca="false">I532*(1+IF(J$3&lt;=$O$2,$D532,$D532-($D532-$I$508)*MIN(J$3-$O$2,$Q$2)/$Q$2))</f>
        <v>7093.55404207181</v>
      </c>
      <c r="K532" s="15" t="n">
        <f aca="false">J532*(1+IF(K$3&lt;=$O$2,$D532,$D532-($D532-$I$508)*MIN(K$3-$O$2,$Q$2)/$Q$2))</f>
        <v>7761.23922580521</v>
      </c>
      <c r="L532" s="15" t="n">
        <f aca="false">K532*(1+IF(L$3&lt;=$O$2,$D532,$D532-($D532-$I$508)*MIN(L$3-$O$2,$Q$2)/$Q$2))</f>
        <v>8321.47456030292</v>
      </c>
      <c r="M532" s="15" t="n">
        <f aca="false">L532*(1+IF(M$3&lt;=$O$2,$D532,$D532-($D532-$I$508)*MIN(M$3-$O$2,$Q$2)/$Q$2))</f>
        <v>8739.56103561289</v>
      </c>
      <c r="N532" s="15" t="n">
        <f aca="false">M532*(1+IF(N$3&lt;=$O$2,$D532,$D532-($D532-$I$508)*MIN(N$3-$O$2,$Q$2)/$Q$2))</f>
        <v>8986.89061292074</v>
      </c>
      <c r="O532" s="15" t="n">
        <f aca="false">SUMPRODUCT(E532:N532,1/(1+$F$508)^$E$3:$N$3)*$E$2</f>
        <v>20263.4665043323</v>
      </c>
      <c r="P532" s="15" t="n">
        <f aca="false">N532*$E$2*(1+$I$508)/($F$508-$I$508)/(1+$F$508)^$N$3</f>
        <v>26693.8467504937</v>
      </c>
      <c r="Q532" s="15" t="n">
        <f aca="false">O532+P532</f>
        <v>46957.313254826</v>
      </c>
      <c r="R532" s="15" t="n">
        <f aca="false">Q532-$G$2+$I$2</f>
        <v>40770.013254826</v>
      </c>
      <c r="S532" s="42" t="n">
        <f aca="false">R532/$K$2</f>
        <v>560.797981496918</v>
      </c>
      <c r="T532" s="43" t="n">
        <f aca="false">S532-$M$2</f>
        <v>0.000182322227942677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0.138009190559387</v>
      </c>
      <c r="C533" s="25" t="n">
        <f aca="false">IF(T532&gt;0,D532,C532)</f>
        <v>0.138009369373322</v>
      </c>
      <c r="D533" s="41" t="n">
        <f aca="false">(B533+C533)/2</f>
        <v>0.138009279966354</v>
      </c>
      <c r="E533" s="15" t="n">
        <f aca="false">$C$2*(1+IF(E$3&lt;=$O$2,$D533,$D533-($D533-$I$508)*MIN(E$3-$O$2,$Q$2)/$Q$2))</f>
        <v>3789.57090228796</v>
      </c>
      <c r="F533" s="15" t="n">
        <f aca="false">E533*(1+IF(F$3&lt;=$O$2,$D533,$D533-($D533-$I$508)*MIN(F$3-$O$2,$Q$2)/$Q$2))</f>
        <v>4312.56685389417</v>
      </c>
      <c r="G533" s="15" t="n">
        <f aca="false">F533*(1+IF(G$3&lt;=$O$2,$D533,$D533-($D533-$I$508)*MIN(G$3-$O$2,$Q$2)/$Q$2))</f>
        <v>4907.74110020687</v>
      </c>
      <c r="H533" s="15" t="n">
        <f aca="false">G533*(1+IF(H$3&lt;=$O$2,$D533,$D533-($D533-$I$508)*MIN(H$3-$O$2,$Q$2)/$Q$2))</f>
        <v>5585.0549157077</v>
      </c>
      <c r="I533" s="15" t="n">
        <f aca="false">H533*(1+IF(I$3&lt;=$O$2,$D533,$D533-($D533-$I$508)*MIN(I$3-$O$2,$Q$2)/$Q$2))</f>
        <v>6355.84432319707</v>
      </c>
      <c r="J533" s="15" t="n">
        <f aca="false">I533*(1+IF(J$3&lt;=$O$2,$D533,$D533-($D533-$I$508)*MIN(J$3-$O$2,$Q$2)/$Q$2))</f>
        <v>7093.5508009645</v>
      </c>
      <c r="K533" s="15" t="n">
        <f aca="false">J533*(1+IF(K$3&lt;=$O$2,$D533,$D533-($D533-$I$508)*MIN(K$3-$O$2,$Q$2)/$Q$2))</f>
        <v>7761.23529909894</v>
      </c>
      <c r="L533" s="15" t="n">
        <f aca="false">K533*(1+IF(L$3&lt;=$O$2,$D533,$D533-($D533-$I$508)*MIN(L$3-$O$2,$Q$2)/$Q$2))</f>
        <v>8321.47007258888</v>
      </c>
      <c r="M533" s="15" t="n">
        <f aca="false">L533*(1+IF(M$3&lt;=$O$2,$D533,$D533-($D533-$I$508)*MIN(M$3-$O$2,$Q$2)/$Q$2))</f>
        <v>8739.5561736282</v>
      </c>
      <c r="N533" s="15" t="n">
        <f aca="false">M533*(1+IF(N$3&lt;=$O$2,$D533,$D533-($D533-$I$508)*MIN(N$3-$O$2,$Q$2)/$Q$2))</f>
        <v>8986.88561334188</v>
      </c>
      <c r="O533" s="15" t="n">
        <f aca="false">SUMPRODUCT(E533:N533,1/(1+$F$508)^$E$3:$N$3)*$E$2</f>
        <v>20263.4587381453</v>
      </c>
      <c r="P533" s="15" t="n">
        <f aca="false">N533*$E$2*(1+$I$508)/($F$508-$I$508)/(1+$F$508)^$N$3</f>
        <v>26693.831900197</v>
      </c>
      <c r="Q533" s="15" t="n">
        <f aca="false">O533+P533</f>
        <v>46957.2906383423</v>
      </c>
      <c r="R533" s="15" t="n">
        <f aca="false">Q533-$G$2+$I$2</f>
        <v>40769.9906383423</v>
      </c>
      <c r="S533" s="42" t="n">
        <f aca="false">R533/$K$2</f>
        <v>560.797670403608</v>
      </c>
      <c r="T533" s="43" t="n">
        <f aca="false">S533-$M$2</f>
        <v>-0.000128771082245294</v>
      </c>
    </row>
    <row r="535" customFormat="false" ht="15" hidden="false" customHeight="false" outlineLevel="0" collapsed="false">
      <c r="A535" s="38" t="s">
        <v>200</v>
      </c>
      <c r="E535" s="5" t="s">
        <v>11</v>
      </c>
      <c r="F535" s="12" t="n">
        <f aca="false">Sensitivity!$B$13</f>
        <v>0.100330622875929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162</v>
      </c>
      <c r="B536" s="28" t="s">
        <v>163</v>
      </c>
      <c r="C536" s="28" t="s">
        <v>164</v>
      </c>
      <c r="D536" s="28" t="s">
        <v>165</v>
      </c>
      <c r="E536" s="28" t="s">
        <v>166</v>
      </c>
      <c r="F536" s="28" t="s">
        <v>167</v>
      </c>
      <c r="G536" s="28" t="s">
        <v>168</v>
      </c>
      <c r="H536" s="28" t="s">
        <v>169</v>
      </c>
      <c r="I536" s="28" t="s">
        <v>170</v>
      </c>
      <c r="J536" s="28" t="s">
        <v>171</v>
      </c>
      <c r="K536" s="28" t="s">
        <v>172</v>
      </c>
      <c r="L536" s="28" t="s">
        <v>173</v>
      </c>
      <c r="M536" s="28" t="s">
        <v>174</v>
      </c>
      <c r="N536" s="28" t="s">
        <v>175</v>
      </c>
      <c r="O536" s="28" t="s">
        <v>176</v>
      </c>
      <c r="P536" s="28" t="s">
        <v>177</v>
      </c>
      <c r="Q536" s="28" t="s">
        <v>178</v>
      </c>
      <c r="R536" s="28" t="s">
        <v>179</v>
      </c>
      <c r="S536" s="28" t="s">
        <v>180</v>
      </c>
      <c r="T536" s="28" t="s">
        <v>181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4162.5</v>
      </c>
      <c r="F537" s="15" t="n">
        <f aca="false">E537*(1+IF(F$3&lt;=$O$2,$D537,$D537-($D537-$I$535)*MIN(F$3-$O$2,$Q$2)/$Q$2))</f>
        <v>5203.125</v>
      </c>
      <c r="G537" s="15" t="n">
        <f aca="false">F537*(1+IF(G$3&lt;=$O$2,$D537,$D537-($D537-$I$535)*MIN(G$3-$O$2,$Q$2)/$Q$2))</f>
        <v>6503.90625</v>
      </c>
      <c r="H537" s="15" t="n">
        <f aca="false">G537*(1+IF(H$3&lt;=$O$2,$D537,$D537-($D537-$I$535)*MIN(H$3-$O$2,$Q$2)/$Q$2))</f>
        <v>8129.8828125</v>
      </c>
      <c r="I537" s="15" t="n">
        <f aca="false">H537*(1+IF(I$3&lt;=$O$2,$D537,$D537-($D537-$I$535)*MIN(I$3-$O$2,$Q$2)/$Q$2))</f>
        <v>10162.353515625</v>
      </c>
      <c r="J537" s="15" t="n">
        <f aca="false">I537*(1+IF(J$3&lt;=$O$2,$D537,$D537-($D537-$I$535)*MIN(J$3-$O$2,$Q$2)/$Q$2))</f>
        <v>12262.5054931641</v>
      </c>
      <c r="K537" s="15" t="n">
        <f aca="false">J537*(1+IF(K$3&lt;=$O$2,$D537,$D537-($D537-$I$535)*MIN(K$3-$O$2,$Q$2)/$Q$2))</f>
        <v>14265.2178903076</v>
      </c>
      <c r="L537" s="15" t="n">
        <f aca="false">K537*(1+IF(L$3&lt;=$O$2,$D537,$D537-($D537-$I$535)*MIN(L$3-$O$2,$Q$2)/$Q$2))</f>
        <v>15976.7587327867</v>
      </c>
      <c r="M537" s="15" t="n">
        <f aca="false">L537*(1+IF(M$3&lt;=$O$2,$D537,$D537-($D537-$I$535)*MIN(M$3-$O$2,$Q$2)/$Q$2))</f>
        <v>17201.2175220675</v>
      </c>
      <c r="N537" s="15" t="n">
        <f aca="false">M537*(1+IF(N$3&lt;=$O$2,$D537,$D537-($D537-$I$535)*MIN(N$3-$O$2,$Q$2)/$Q$2))</f>
        <v>17774.0180655523</v>
      </c>
      <c r="O537" s="15" t="n">
        <f aca="false">SUMPRODUCT(E537:N537,1/(1+$F$535)^$E$3:$N$3)*$E$2</f>
        <v>32784.0278116142</v>
      </c>
      <c r="P537" s="15" t="n">
        <f aca="false">N537*$E$2*(1+$I$535)/($F$535-$I$535)/(1+$F$535)^$N$3</f>
        <v>57008.2662563243</v>
      </c>
      <c r="Q537" s="15" t="n">
        <f aca="false">O537+P537</f>
        <v>89792.2940679385</v>
      </c>
      <c r="R537" s="15" t="n">
        <f aca="false">Q537-$G$2+$I$2</f>
        <v>83604.9940679385</v>
      </c>
      <c r="S537" s="42" t="n">
        <f aca="false">R537/$K$2</f>
        <v>1149.99991840356</v>
      </c>
      <c r="T537" s="43" t="n">
        <f aca="false">S537-$M$2</f>
        <v>589.202119228865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2913.75</v>
      </c>
      <c r="F538" s="15" t="n">
        <f aca="false">E538*(1+IF(F$3&lt;=$O$2,$D538,$D538-($D538-$I$535)*MIN(F$3-$O$2,$Q$2)/$Q$2))</f>
        <v>2549.53125</v>
      </c>
      <c r="G538" s="15" t="n">
        <f aca="false">F538*(1+IF(G$3&lt;=$O$2,$D538,$D538-($D538-$I$535)*MIN(G$3-$O$2,$Q$2)/$Q$2))</f>
        <v>2230.83984375</v>
      </c>
      <c r="H538" s="15" t="n">
        <f aca="false">G538*(1+IF(H$3&lt;=$O$2,$D538,$D538-($D538-$I$535)*MIN(H$3-$O$2,$Q$2)/$Q$2))</f>
        <v>1951.98486328125</v>
      </c>
      <c r="I538" s="15" t="n">
        <f aca="false">H538*(1+IF(I$3&lt;=$O$2,$D538,$D538-($D538-$I$535)*MIN(I$3-$O$2,$Q$2)/$Q$2))</f>
        <v>1707.98675537109</v>
      </c>
      <c r="J538" s="15" t="n">
        <f aca="false">I538*(1+IF(J$3&lt;=$O$2,$D538,$D538-($D538-$I$535)*MIN(J$3-$O$2,$Q$2)/$Q$2))</f>
        <v>1548.56327162476</v>
      </c>
      <c r="K538" s="15" t="n">
        <f aca="false">J538*(1+IF(K$3&lt;=$O$2,$D538,$D538-($D538-$I$535)*MIN(K$3-$O$2,$Q$2)/$Q$2))</f>
        <v>1453.04788903094</v>
      </c>
      <c r="L538" s="15" t="n">
        <f aca="false">K538*(1+IF(L$3&lt;=$O$2,$D538,$D538-($D538-$I$535)*MIN(L$3-$O$2,$Q$2)/$Q$2))</f>
        <v>1409.42739140223</v>
      </c>
      <c r="M538" s="15" t="n">
        <f aca="false">L538*(1+IF(M$3&lt;=$O$2,$D538,$D538-($D538-$I$535)*MIN(M$3-$O$2,$Q$2)/$Q$2))</f>
        <v>1411.73885232413</v>
      </c>
      <c r="N538" s="15" t="n">
        <f aca="false">M538*(1+IF(N$3&lt;=$O$2,$D538,$D538-($D538-$I$535)*MIN(N$3-$O$2,$Q$2)/$Q$2))</f>
        <v>1458.74975610653</v>
      </c>
      <c r="O538" s="15" t="n">
        <f aca="false">SUMPRODUCT(E538:N538,1/(1+$F$535)^$E$3:$N$3)*$E$2</f>
        <v>6630.46340685482</v>
      </c>
      <c r="P538" s="15" t="n">
        <f aca="false">N538*$E$2*(1+$I$535)/($F$535-$I$535)/(1+$F$535)^$N$3</f>
        <v>4678.78417759921</v>
      </c>
      <c r="Q538" s="15" t="n">
        <f aca="false">O538+P538</f>
        <v>11309.247584454</v>
      </c>
      <c r="R538" s="15" t="n">
        <f aca="false">Q538-$G$2+$I$2</f>
        <v>5121.94758445404</v>
      </c>
      <c r="S538" s="42" t="n">
        <f aca="false">R538/$K$2</f>
        <v>70.4531992359565</v>
      </c>
      <c r="T538" s="43" t="n">
        <f aca="false">S538-$M$2</f>
        <v>-490.344599938734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3538.125</v>
      </c>
      <c r="F539" s="15" t="n">
        <f aca="false">E539*(1+IF(F$3&lt;=$O$2,$D539,$D539-($D539-$I$535)*MIN(F$3-$O$2,$Q$2)/$Q$2))</f>
        <v>3759.2578125</v>
      </c>
      <c r="G539" s="15" t="n">
        <f aca="false">F539*(1+IF(G$3&lt;=$O$2,$D539,$D539-($D539-$I$535)*MIN(G$3-$O$2,$Q$2)/$Q$2))</f>
        <v>3994.21142578125</v>
      </c>
      <c r="H539" s="15" t="n">
        <f aca="false">G539*(1+IF(H$3&lt;=$O$2,$D539,$D539-($D539-$I$535)*MIN(H$3-$O$2,$Q$2)/$Q$2))</f>
        <v>4243.84963989258</v>
      </c>
      <c r="I539" s="15" t="n">
        <f aca="false">H539*(1+IF(I$3&lt;=$O$2,$D539,$D539-($D539-$I$535)*MIN(I$3-$O$2,$Q$2)/$Q$2))</f>
        <v>4509.09024238586</v>
      </c>
      <c r="J539" s="15" t="n">
        <f aca="false">I539*(1+IF(J$3&lt;=$O$2,$D539,$D539-($D539-$I$535)*MIN(J$3-$O$2,$Q$2)/$Q$2))</f>
        <v>4764.57529551945</v>
      </c>
      <c r="K539" s="15" t="n">
        <f aca="false">J539*(1+IF(K$3&lt;=$O$2,$D539,$D539-($D539-$I$535)*MIN(K$3-$O$2,$Q$2)/$Q$2))</f>
        <v>5006.71101203775</v>
      </c>
      <c r="L539" s="15" t="n">
        <f aca="false">K539*(1+IF(L$3&lt;=$O$2,$D539,$D539-($D539-$I$535)*MIN(L$3-$O$2,$Q$2)/$Q$2))</f>
        <v>5231.9128733592</v>
      </c>
      <c r="M539" s="15" t="n">
        <f aca="false">L539*(1+IF(M$3&lt;=$O$2,$D539,$D539-($D539-$I$535)*MIN(M$3-$O$2,$Q$2)/$Q$2))</f>
        <v>5436.68994322248</v>
      </c>
      <c r="N539" s="15" t="n">
        <f aca="false">M539*(1+IF(N$3&lt;=$O$2,$D539,$D539-($D539-$I$535)*MIN(N$3-$O$2,$Q$2)/$Q$2))</f>
        <v>5617.73171833179</v>
      </c>
      <c r="O539" s="15" t="n">
        <f aca="false">SUMPRODUCT(E539:N539,1/(1+$F$535)^$E$3:$N$3)*$E$2</f>
        <v>14696.9019509509</v>
      </c>
      <c r="P539" s="15" t="n">
        <f aca="false">N539*$E$2*(1+$I$535)/($F$535-$I$535)/(1+$F$535)^$N$3</f>
        <v>18018.2750109804</v>
      </c>
      <c r="Q539" s="15" t="n">
        <f aca="false">O539+P539</f>
        <v>32715.1769619313</v>
      </c>
      <c r="R539" s="15" t="n">
        <f aca="false">Q539-$G$2+$I$2</f>
        <v>26527.8769619313</v>
      </c>
      <c r="S539" s="42" t="n">
        <f aca="false">R539/$K$2</f>
        <v>364.89514390552</v>
      </c>
      <c r="T539" s="43" t="n">
        <f aca="false">S539-$M$2</f>
        <v>-195.90265526917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0.0625</v>
      </c>
      <c r="C540" s="25" t="n">
        <f aca="false">IF(T539&gt;0,D539,C539)</f>
        <v>0.25</v>
      </c>
      <c r="D540" s="41" t="n">
        <f aca="false">(B540+C540)/2</f>
        <v>0.15625</v>
      </c>
      <c r="E540" s="15" t="n">
        <f aca="false">$C$2*(1+IF(E$3&lt;=$O$2,$D540,$D540-($D540-$I$535)*MIN(E$3-$O$2,$Q$2)/$Q$2))</f>
        <v>3850.3125</v>
      </c>
      <c r="F540" s="15" t="n">
        <f aca="false">E540*(1+IF(F$3&lt;=$O$2,$D540,$D540-($D540-$I$535)*MIN(F$3-$O$2,$Q$2)/$Q$2))</f>
        <v>4451.923828125</v>
      </c>
      <c r="G540" s="15" t="n">
        <f aca="false">F540*(1+IF(G$3&lt;=$O$2,$D540,$D540-($D540-$I$535)*MIN(G$3-$O$2,$Q$2)/$Q$2))</f>
        <v>5147.53692626953</v>
      </c>
      <c r="H540" s="15" t="n">
        <f aca="false">G540*(1+IF(H$3&lt;=$O$2,$D540,$D540-($D540-$I$535)*MIN(H$3-$O$2,$Q$2)/$Q$2))</f>
        <v>5951.83957099915</v>
      </c>
      <c r="I540" s="15" t="n">
        <f aca="false">H540*(1+IF(I$3&lt;=$O$2,$D540,$D540-($D540-$I$535)*MIN(I$3-$O$2,$Q$2)/$Q$2))</f>
        <v>6881.81450396776</v>
      </c>
      <c r="J540" s="15" t="n">
        <f aca="false">I540*(1+IF(J$3&lt;=$O$2,$D540,$D540-($D540-$I$535)*MIN(J$3-$O$2,$Q$2)/$Q$2))</f>
        <v>7787.87420156016</v>
      </c>
      <c r="K540" s="15" t="n">
        <f aca="false">J540*(1+IF(K$3&lt;=$O$2,$D540,$D540-($D540-$I$535)*MIN(K$3-$O$2,$Q$2)/$Q$2))</f>
        <v>8621.7218923212</v>
      </c>
      <c r="L540" s="15" t="n">
        <f aca="false">K540*(1+IF(L$3&lt;=$O$2,$D540,$D540-($D540-$I$535)*MIN(L$3-$O$2,$Q$2)/$Q$2))</f>
        <v>9332.84151399986</v>
      </c>
      <c r="M540" s="15" t="n">
        <f aca="false">L540*(1+IF(M$3&lt;=$O$2,$D540,$D540-($D540-$I$535)*MIN(M$3-$O$2,$Q$2)/$Q$2))</f>
        <v>9873.11970924531</v>
      </c>
      <c r="N540" s="15" t="n">
        <f aca="false">M540*(1+IF(N$3&lt;=$O$2,$D540,$D540-($D540-$I$535)*MIN(N$3-$O$2,$Q$2)/$Q$2))</f>
        <v>10201.8945955632</v>
      </c>
      <c r="O540" s="15" t="n">
        <f aca="false">SUMPRODUCT(E540:N540,1/(1+$F$535)^$E$3:$N$3)*$E$2</f>
        <v>21982.4011068927</v>
      </c>
      <c r="P540" s="15" t="n">
        <f aca="false">N540*$E$2*(1+$I$535)/($F$535-$I$535)/(1+$F$535)^$N$3</f>
        <v>32721.488257627</v>
      </c>
      <c r="Q540" s="15" t="n">
        <f aca="false">O540+P540</f>
        <v>54703.8893645197</v>
      </c>
      <c r="R540" s="15" t="n">
        <f aca="false">Q540-$G$2+$I$2</f>
        <v>48516.5893645197</v>
      </c>
      <c r="S540" s="42" t="n">
        <f aca="false">R540/$K$2</f>
        <v>667.353361272623</v>
      </c>
      <c r="T540" s="43" t="n">
        <f aca="false">S540-$M$2</f>
        <v>106.555562097932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0.0625</v>
      </c>
      <c r="C541" s="25" t="n">
        <f aca="false">IF(T540&gt;0,D540,C540)</f>
        <v>0.15625</v>
      </c>
      <c r="D541" s="41" t="n">
        <f aca="false">(B541+C541)/2</f>
        <v>0.109375</v>
      </c>
      <c r="E541" s="15" t="n">
        <f aca="false">$C$2*(1+IF(E$3&lt;=$O$2,$D541,$D541-($D541-$I$535)*MIN(E$3-$O$2,$Q$2)/$Q$2))</f>
        <v>3694.21875</v>
      </c>
      <c r="F541" s="15" t="n">
        <f aca="false">E541*(1+IF(F$3&lt;=$O$2,$D541,$D541-($D541-$I$535)*MIN(F$3-$O$2,$Q$2)/$Q$2))</f>
        <v>4098.27392578125</v>
      </c>
      <c r="G541" s="15" t="n">
        <f aca="false">F541*(1+IF(G$3&lt;=$O$2,$D541,$D541-($D541-$I$535)*MIN(G$3-$O$2,$Q$2)/$Q$2))</f>
        <v>4546.52263641357</v>
      </c>
      <c r="H541" s="15" t="n">
        <f aca="false">G541*(1+IF(H$3&lt;=$O$2,$D541,$D541-($D541-$I$535)*MIN(H$3-$O$2,$Q$2)/$Q$2))</f>
        <v>5043.79854977131</v>
      </c>
      <c r="I541" s="15" t="n">
        <f aca="false">H541*(1+IF(I$3&lt;=$O$2,$D541,$D541-($D541-$I$535)*MIN(I$3-$O$2,$Q$2)/$Q$2))</f>
        <v>5595.46401615255</v>
      </c>
      <c r="J541" s="15" t="n">
        <f aca="false">I541*(1+IF(J$3&lt;=$O$2,$D541,$D541-($D541-$I$535)*MIN(J$3-$O$2,$Q$2)/$Q$2))</f>
        <v>6122.33290791347</v>
      </c>
      <c r="K541" s="15" t="n">
        <f aca="false">J541*(1+IF(K$3&lt;=$O$2,$D541,$D541-($D541-$I$535)*MIN(K$3-$O$2,$Q$2)/$Q$2))</f>
        <v>6605.6604793287</v>
      </c>
      <c r="L541" s="15" t="n">
        <f aca="false">K541*(1+IF(L$3&lt;=$O$2,$D541,$D541-($D541-$I$535)*MIN(L$3-$O$2,$Q$2)/$Q$2))</f>
        <v>7026.63922167632</v>
      </c>
      <c r="M541" s="15" t="n">
        <f aca="false">L541*(1+IF(M$3&lt;=$O$2,$D541,$D541-($D541-$I$535)*MIN(M$3-$O$2,$Q$2)/$Q$2))</f>
        <v>7367.53662351594</v>
      </c>
      <c r="N541" s="15" t="n">
        <f aca="false">M541*(1+IF(N$3&lt;=$O$2,$D541,$D541-($D541-$I$535)*MIN(N$3-$O$2,$Q$2)/$Q$2))</f>
        <v>7612.87559307903</v>
      </c>
      <c r="O541" s="15" t="n">
        <f aca="false">SUMPRODUCT(E541:N541,1/(1+$F$535)^$E$3:$N$3)*$E$2</f>
        <v>17976.2330279242</v>
      </c>
      <c r="P541" s="15" t="n">
        <f aca="false">N541*$E$2*(1+$I$535)/($F$535-$I$535)/(1+$F$535)^$N$3</f>
        <v>24417.4860847951</v>
      </c>
      <c r="Q541" s="15" t="n">
        <f aca="false">O541+P541</f>
        <v>42393.7191127193</v>
      </c>
      <c r="R541" s="15" t="n">
        <f aca="false">Q541-$G$2+$I$2</f>
        <v>36206.4191127193</v>
      </c>
      <c r="S541" s="42" t="n">
        <f aca="false">R541/$K$2</f>
        <v>498.025022183209</v>
      </c>
      <c r="T541" s="43" t="n">
        <f aca="false">S541-$M$2</f>
        <v>-62.7727769914815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0.109375</v>
      </c>
      <c r="C542" s="25" t="n">
        <f aca="false">IF(T541&gt;0,D541,C541)</f>
        <v>0.15625</v>
      </c>
      <c r="D542" s="41" t="n">
        <f aca="false">(B542+C542)/2</f>
        <v>0.1328125</v>
      </c>
      <c r="E542" s="15" t="n">
        <f aca="false">$C$2*(1+IF(E$3&lt;=$O$2,$D542,$D542-($D542-$I$535)*MIN(E$3-$O$2,$Q$2)/$Q$2))</f>
        <v>3772.265625</v>
      </c>
      <c r="F542" s="15" t="n">
        <f aca="false">E542*(1+IF(F$3&lt;=$O$2,$D542,$D542-($D542-$I$535)*MIN(F$3-$O$2,$Q$2)/$Q$2))</f>
        <v>4273.26965332031</v>
      </c>
      <c r="G542" s="15" t="n">
        <f aca="false">F542*(1+IF(G$3&lt;=$O$2,$D542,$D542-($D542-$I$535)*MIN(G$3-$O$2,$Q$2)/$Q$2))</f>
        <v>4840.81327915192</v>
      </c>
      <c r="H542" s="15" t="n">
        <f aca="false">G542*(1+IF(H$3&lt;=$O$2,$D542,$D542-($D542-$I$535)*MIN(H$3-$O$2,$Q$2)/$Q$2))</f>
        <v>5483.73379278928</v>
      </c>
      <c r="I542" s="15" t="n">
        <f aca="false">H542*(1+IF(I$3&lt;=$O$2,$D542,$D542-($D542-$I$535)*MIN(I$3-$O$2,$Q$2)/$Q$2))</f>
        <v>6212.04218714411</v>
      </c>
      <c r="J542" s="15" t="n">
        <f aca="false">I542*(1+IF(J$3&lt;=$O$2,$D542,$D542-($D542-$I$535)*MIN(J$3-$O$2,$Q$2)/$Q$2))</f>
        <v>6913.44387049455</v>
      </c>
      <c r="K542" s="15" t="n">
        <f aca="false">J542*(1+IF(K$3&lt;=$O$2,$D542,$D542-($D542-$I$535)*MIN(K$3-$O$2,$Q$2)/$Q$2))</f>
        <v>7556.44600127957</v>
      </c>
      <c r="L542" s="15" t="n">
        <f aca="false">K542*(1+IF(L$3&lt;=$O$2,$D542,$D542-($D542-$I$535)*MIN(L$3-$O$2,$Q$2)/$Q$2))</f>
        <v>8108.85998620311</v>
      </c>
      <c r="M542" s="15" t="n">
        <f aca="false">L542*(1+IF(M$3&lt;=$O$2,$D542,$D542-($D542-$I$535)*MIN(M$3-$O$2,$Q$2)/$Q$2))</f>
        <v>8540.27160961908</v>
      </c>
      <c r="N542" s="15" t="n">
        <f aca="false">M542*(1+IF(N$3&lt;=$O$2,$D542,$D542-($D542-$I$535)*MIN(N$3-$O$2,$Q$2)/$Q$2))</f>
        <v>8824.6626542194</v>
      </c>
      <c r="O542" s="15" t="n">
        <f aca="false">SUMPRODUCT(E542:N542,1/(1+$F$535)^$E$3:$N$3)*$E$2</f>
        <v>19879.8776445774</v>
      </c>
      <c r="P542" s="15" t="n">
        <f aca="false">N542*$E$2*(1+$I$535)/($F$535-$I$535)/(1+$F$535)^$N$3</f>
        <v>28304.1637720056</v>
      </c>
      <c r="Q542" s="15" t="n">
        <f aca="false">O542+P542</f>
        <v>48184.0414165831</v>
      </c>
      <c r="R542" s="15" t="n">
        <f aca="false">Q542-$G$2+$I$2</f>
        <v>41996.7414165831</v>
      </c>
      <c r="S542" s="42" t="n">
        <f aca="false">R542/$K$2</f>
        <v>577.671821411047</v>
      </c>
      <c r="T542" s="43" t="n">
        <f aca="false">S542-$M$2</f>
        <v>16.874022236356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0.109375</v>
      </c>
      <c r="C543" s="25" t="n">
        <f aca="false">IF(T542&gt;0,D542,C542)</f>
        <v>0.1328125</v>
      </c>
      <c r="D543" s="41" t="n">
        <f aca="false">(B543+C543)/2</f>
        <v>0.12109375</v>
      </c>
      <c r="E543" s="15" t="n">
        <f aca="false">$C$2*(1+IF(E$3&lt;=$O$2,$D543,$D543-($D543-$I$535)*MIN(E$3-$O$2,$Q$2)/$Q$2))</f>
        <v>3733.2421875</v>
      </c>
      <c r="F543" s="15" t="n">
        <f aca="false">E543*(1+IF(F$3&lt;=$O$2,$D543,$D543-($D543-$I$535)*MIN(F$3-$O$2,$Q$2)/$Q$2))</f>
        <v>4185.31448364258</v>
      </c>
      <c r="G543" s="15" t="n">
        <f aca="false">F543*(1+IF(G$3&lt;=$O$2,$D543,$D543-($D543-$I$535)*MIN(G$3-$O$2,$Q$2)/$Q$2))</f>
        <v>4692.12990939617</v>
      </c>
      <c r="H543" s="15" t="n">
        <f aca="false">G543*(1+IF(H$3&lt;=$O$2,$D543,$D543-($D543-$I$535)*MIN(H$3-$O$2,$Q$2)/$Q$2))</f>
        <v>5260.31751561211</v>
      </c>
      <c r="I543" s="15" t="n">
        <f aca="false">H543*(1+IF(I$3&lt;=$O$2,$D543,$D543-($D543-$I$535)*MIN(I$3-$O$2,$Q$2)/$Q$2))</f>
        <v>5897.30908976827</v>
      </c>
      <c r="J543" s="15" t="n">
        <f aca="false">I543*(1+IF(J$3&lt;=$O$2,$D543,$D543-($D543-$I$535)*MIN(J$3-$O$2,$Q$2)/$Q$2))</f>
        <v>6507.88698637743</v>
      </c>
      <c r="K543" s="15" t="n">
        <f aca="false">J543*(1+IF(K$3&lt;=$O$2,$D543,$D543-($D543-$I$535)*MIN(K$3-$O$2,$Q$2)/$Q$2))</f>
        <v>7067.41070488996</v>
      </c>
      <c r="L543" s="15" t="n">
        <f aca="false">K543*(1+IF(L$3&lt;=$O$2,$D543,$D543-($D543-$I$535)*MIN(L$3-$O$2,$Q$2)/$Q$2))</f>
        <v>7550.94527679177</v>
      </c>
      <c r="M543" s="15" t="n">
        <f aca="false">L543*(1+IF(M$3&lt;=$O$2,$D543,$D543-($D543-$I$535)*MIN(M$3-$O$2,$Q$2)/$Q$2))</f>
        <v>7934.9769148878</v>
      </c>
      <c r="N543" s="15" t="n">
        <f aca="false">M543*(1+IF(N$3&lt;=$O$2,$D543,$D543-($D543-$I$535)*MIN(N$3-$O$2,$Q$2)/$Q$2))</f>
        <v>8199.21164615356</v>
      </c>
      <c r="O543" s="15" t="n">
        <f aca="false">SUMPRODUCT(E543:N543,1/(1+$F$535)^$E$3:$N$3)*$E$2</f>
        <v>18904.3224373926</v>
      </c>
      <c r="P543" s="15" t="n">
        <f aca="false">N543*$E$2*(1+$I$535)/($F$535-$I$535)/(1+$F$535)^$N$3</f>
        <v>26298.0964063373</v>
      </c>
      <c r="Q543" s="15" t="n">
        <f aca="false">O543+P543</f>
        <v>45202.4188437299</v>
      </c>
      <c r="R543" s="15" t="n">
        <f aca="false">Q543-$G$2+$I$2</f>
        <v>39015.1188437299</v>
      </c>
      <c r="S543" s="42" t="n">
        <f aca="false">R543/$K$2</f>
        <v>536.659131275515</v>
      </c>
      <c r="T543" s="43" t="n">
        <f aca="false">S543-$M$2</f>
        <v>-24.1386678991759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0.12109375</v>
      </c>
      <c r="C544" s="25" t="n">
        <f aca="false">IF(T543&gt;0,D543,C543)</f>
        <v>0.1328125</v>
      </c>
      <c r="D544" s="41" t="n">
        <f aca="false">(B544+C544)/2</f>
        <v>0.126953125</v>
      </c>
      <c r="E544" s="15" t="n">
        <f aca="false">$C$2*(1+IF(E$3&lt;=$O$2,$D544,$D544-($D544-$I$535)*MIN(E$3-$O$2,$Q$2)/$Q$2))</f>
        <v>3752.75390625</v>
      </c>
      <c r="F544" s="15" t="n">
        <f aca="false">E544*(1+IF(F$3&lt;=$O$2,$D544,$D544-($D544-$I$535)*MIN(F$3-$O$2,$Q$2)/$Q$2))</f>
        <v>4229.17774200439</v>
      </c>
      <c r="G544" s="15" t="n">
        <f aca="false">F544*(1+IF(G$3&lt;=$O$2,$D544,$D544-($D544-$I$535)*MIN(G$3-$O$2,$Q$2)/$Q$2))</f>
        <v>4766.0850725323</v>
      </c>
      <c r="H544" s="15" t="n">
        <f aca="false">G544*(1+IF(H$3&lt;=$O$2,$D544,$D544-($D544-$I$535)*MIN(H$3-$O$2,$Q$2)/$Q$2))</f>
        <v>5371.15446650612</v>
      </c>
      <c r="I544" s="15" t="n">
        <f aca="false">H544*(1+IF(I$3&lt;=$O$2,$D544,$D544-($D544-$I$535)*MIN(I$3-$O$2,$Q$2)/$Q$2))</f>
        <v>6053.03931088678</v>
      </c>
      <c r="J544" s="15" t="n">
        <f aca="false">I544*(1+IF(J$3&lt;=$O$2,$D544,$D544-($D544-$I$535)*MIN(J$3-$O$2,$Q$2)/$Q$2))</f>
        <v>6708.11435770923</v>
      </c>
      <c r="K544" s="15" t="n">
        <f aca="false">J544*(1+IF(K$3&lt;=$O$2,$D544,$D544-($D544-$I$535)*MIN(K$3-$O$2,$Q$2)/$Q$2))</f>
        <v>7308.43608929505</v>
      </c>
      <c r="L544" s="15" t="n">
        <f aca="false">K544*(1+IF(L$3&lt;=$O$2,$D544,$D544-($D544-$I$535)*MIN(L$3-$O$2,$Q$2)/$Q$2))</f>
        <v>7825.59016251868</v>
      </c>
      <c r="M544" s="15" t="n">
        <f aca="false">L544*(1+IF(M$3&lt;=$O$2,$D544,$D544-($D544-$I$535)*MIN(M$3-$O$2,$Q$2)/$Q$2))</f>
        <v>8232.76050966838</v>
      </c>
      <c r="N544" s="15" t="n">
        <f aca="false">M544*(1+IF(N$3&lt;=$O$2,$D544,$D544-($D544-$I$535)*MIN(N$3-$O$2,$Q$2)/$Q$2))</f>
        <v>8506.91143464033</v>
      </c>
      <c r="O544" s="15" t="n">
        <f aca="false">SUMPRODUCT(E544:N544,1/(1+$F$535)^$E$3:$N$3)*$E$2</f>
        <v>19386.0294353147</v>
      </c>
      <c r="P544" s="15" t="n">
        <f aca="false">N544*$E$2*(1+$I$535)/($F$535-$I$535)/(1+$F$535)^$N$3</f>
        <v>27285.010642858</v>
      </c>
      <c r="Q544" s="15" t="n">
        <f aca="false">O544+P544</f>
        <v>46671.0400781727</v>
      </c>
      <c r="R544" s="15" t="n">
        <f aca="false">Q544-$G$2+$I$2</f>
        <v>40483.7400781727</v>
      </c>
      <c r="S544" s="42" t="n">
        <f aca="false">R544/$K$2</f>
        <v>556.860248668125</v>
      </c>
      <c r="T544" s="43" t="n">
        <f aca="false">S544-$M$2</f>
        <v>-3.93755050656569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0.126953125</v>
      </c>
      <c r="C545" s="25" t="n">
        <f aca="false">IF(T544&gt;0,D544,C544)</f>
        <v>0.1328125</v>
      </c>
      <c r="D545" s="41" t="n">
        <f aca="false">(B545+C545)/2</f>
        <v>0.1298828125</v>
      </c>
      <c r="E545" s="15" t="n">
        <f aca="false">$C$2*(1+IF(E$3&lt;=$O$2,$D545,$D545-($D545-$I$535)*MIN(E$3-$O$2,$Q$2)/$Q$2))</f>
        <v>3762.509765625</v>
      </c>
      <c r="F545" s="15" t="n">
        <f aca="false">E545*(1+IF(F$3&lt;=$O$2,$D545,$D545-($D545-$I$535)*MIN(F$3-$O$2,$Q$2)/$Q$2))</f>
        <v>4251.19511604309</v>
      </c>
      <c r="G545" s="15" t="n">
        <f aca="false">F545*(1+IF(G$3&lt;=$O$2,$D545,$D545-($D545-$I$535)*MIN(G$3-$O$2,$Q$2)/$Q$2))</f>
        <v>4803.35229420103</v>
      </c>
      <c r="H545" s="15" t="n">
        <f aca="false">G545*(1+IF(H$3&lt;=$O$2,$D545,$D545-($D545-$I$535)*MIN(H$3-$O$2,$Q$2)/$Q$2))</f>
        <v>5427.22519960019</v>
      </c>
      <c r="I545" s="15" t="n">
        <f aca="false">H545*(1+IF(I$3&lt;=$O$2,$D545,$D545-($D545-$I$535)*MIN(I$3-$O$2,$Q$2)/$Q$2))</f>
        <v>6132.12847259514</v>
      </c>
      <c r="J545" s="15" t="n">
        <f aca="false">I545*(1+IF(J$3&lt;=$O$2,$D545,$D545-($D545-$I$535)*MIN(J$3-$O$2,$Q$2)/$Q$2))</f>
        <v>6810.13492232821</v>
      </c>
      <c r="K545" s="15" t="n">
        <f aca="false">J545*(1+IF(K$3&lt;=$O$2,$D545,$D545-($D545-$I$535)*MIN(K$3-$O$2,$Q$2)/$Q$2))</f>
        <v>7431.55760582349</v>
      </c>
      <c r="L545" s="15" t="n">
        <f aca="false">K545*(1+IF(L$3&lt;=$O$2,$D545,$D545-($D545-$I$535)*MIN(L$3-$O$2,$Q$2)/$Q$2))</f>
        <v>7966.13276802789</v>
      </c>
      <c r="M545" s="15" t="n">
        <f aca="false">L545*(1+IF(M$3&lt;=$O$2,$D545,$D545-($D545-$I$535)*MIN(M$3-$O$2,$Q$2)/$Q$2))</f>
        <v>8385.28329070013</v>
      </c>
      <c r="N545" s="15" t="n">
        <f aca="false">M545*(1+IF(N$3&lt;=$O$2,$D545,$D545-($D545-$I$535)*MIN(N$3-$O$2,$Q$2)/$Q$2))</f>
        <v>8664.51322428045</v>
      </c>
      <c r="O545" s="15" t="n">
        <f aca="false">SUMPRODUCT(E545:N545,1/(1+$F$535)^$E$3:$N$3)*$E$2</f>
        <v>19631.4184151482</v>
      </c>
      <c r="P545" s="15" t="n">
        <f aca="false">N545*$E$2*(1+$I$535)/($F$535-$I$535)/(1+$F$535)^$N$3</f>
        <v>27790.5015652336</v>
      </c>
      <c r="Q545" s="15" t="n">
        <f aca="false">O545+P545</f>
        <v>47421.9199803818</v>
      </c>
      <c r="R545" s="15" t="n">
        <f aca="false">Q545-$G$2+$I$2</f>
        <v>41234.6199803818</v>
      </c>
      <c r="S545" s="42" t="n">
        <f aca="false">R545/$K$2</f>
        <v>567.188720500437</v>
      </c>
      <c r="T545" s="43" t="n">
        <f aca="false">S545-$M$2</f>
        <v>6.39092132574672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0.126953125</v>
      </c>
      <c r="C546" s="25" t="n">
        <f aca="false">IF(T545&gt;0,D545,C545)</f>
        <v>0.1298828125</v>
      </c>
      <c r="D546" s="41" t="n">
        <f aca="false">(B546+C546)/2</f>
        <v>0.12841796875</v>
      </c>
      <c r="E546" s="15" t="n">
        <f aca="false">$C$2*(1+IF(E$3&lt;=$O$2,$D546,$D546-($D546-$I$535)*MIN(E$3-$O$2,$Q$2)/$Q$2))</f>
        <v>3757.6318359375</v>
      </c>
      <c r="F546" s="15" t="n">
        <f aca="false">E546*(1+IF(F$3&lt;=$O$2,$D546,$D546-($D546-$I$535)*MIN(F$3-$O$2,$Q$2)/$Q$2))</f>
        <v>4240.17928361893</v>
      </c>
      <c r="G546" s="15" t="n">
        <f aca="false">F546*(1+IF(G$3&lt;=$O$2,$D546,$D546-($D546-$I$535)*MIN(G$3-$O$2,$Q$2)/$Q$2))</f>
        <v>4784.6944943571</v>
      </c>
      <c r="H546" s="15" t="n">
        <f aca="false">G546*(1+IF(H$3&lt;=$O$2,$D546,$D546-($D546-$I$535)*MIN(H$3-$O$2,$Q$2)/$Q$2))</f>
        <v>5399.13524241175</v>
      </c>
      <c r="I546" s="15" t="n">
        <f aca="false">H546*(1+IF(I$3&lt;=$O$2,$D546,$D546-($D546-$I$535)*MIN(I$3-$O$2,$Q$2)/$Q$2))</f>
        <v>6092.4812232488</v>
      </c>
      <c r="J546" s="15" t="n">
        <f aca="false">I546*(1+IF(J$3&lt;=$O$2,$D546,$D546-($D546-$I$535)*MIN(J$3-$O$2,$Q$2)/$Q$2))</f>
        <v>6758.96439886534</v>
      </c>
      <c r="K546" s="15" t="n">
        <f aca="false">J546*(1+IF(K$3&lt;=$O$2,$D546,$D546-($D546-$I$535)*MIN(K$3-$O$2,$Q$2)/$Q$2))</f>
        <v>7369.77729203174</v>
      </c>
      <c r="L546" s="15" t="n">
        <f aca="false">K546*(1+IF(L$3&lt;=$O$2,$D546,$D546-($D546-$I$535)*MIN(L$3-$O$2,$Q$2)/$Q$2))</f>
        <v>7895.59017431957</v>
      </c>
      <c r="M546" s="15" t="n">
        <f aca="false">L546*(1+IF(M$3&lt;=$O$2,$D546,$D546-($D546-$I$535)*MIN(M$3-$O$2,$Q$2)/$Q$2))</f>
        <v>8308.71582701716</v>
      </c>
      <c r="N546" s="15" t="n">
        <f aca="false">M546*(1+IF(N$3&lt;=$O$2,$D546,$D546-($D546-$I$535)*MIN(N$3-$O$2,$Q$2)/$Q$2))</f>
        <v>8585.39606405683</v>
      </c>
      <c r="O546" s="15" t="n">
        <f aca="false">SUMPRODUCT(E546:N546,1/(1+$F$535)^$E$3:$N$3)*$E$2</f>
        <v>19508.3423417749</v>
      </c>
      <c r="P546" s="15" t="n">
        <f aca="false">N546*$E$2*(1+$I$535)/($F$535-$I$535)/(1+$F$535)^$N$3</f>
        <v>27536.7417165129</v>
      </c>
      <c r="Q546" s="15" t="n">
        <f aca="false">O546+P546</f>
        <v>47045.0840582878</v>
      </c>
      <c r="R546" s="15" t="n">
        <f aca="false">Q546-$G$2+$I$2</f>
        <v>40857.7840582878</v>
      </c>
      <c r="S546" s="42" t="n">
        <f aca="false">R546/$K$2</f>
        <v>562.005282782501</v>
      </c>
      <c r="T546" s="43" t="n">
        <f aca="false">S546-$M$2</f>
        <v>1.20748360781033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0.126953125</v>
      </c>
      <c r="C547" s="25" t="n">
        <f aca="false">IF(T546&gt;0,D546,C546)</f>
        <v>0.12841796875</v>
      </c>
      <c r="D547" s="41" t="n">
        <f aca="false">(B547+C547)/2</f>
        <v>0.127685546875</v>
      </c>
      <c r="E547" s="15" t="n">
        <f aca="false">$C$2*(1+IF(E$3&lt;=$O$2,$D547,$D547-($D547-$I$535)*MIN(E$3-$O$2,$Q$2)/$Q$2))</f>
        <v>3755.19287109375</v>
      </c>
      <c r="F547" s="15" t="n">
        <f aca="false">E547*(1+IF(F$3&lt;=$O$2,$D547,$D547-($D547-$I$535)*MIN(F$3-$O$2,$Q$2)/$Q$2))</f>
        <v>4234.67672646046</v>
      </c>
      <c r="G547" s="15" t="n">
        <f aca="false">F547*(1+IF(G$3&lt;=$O$2,$D547,$D547-($D547-$I$535)*MIN(G$3-$O$2,$Q$2)/$Q$2))</f>
        <v>4775.3837401174</v>
      </c>
      <c r="H547" s="15" t="n">
        <f aca="false">G547*(1+IF(H$3&lt;=$O$2,$D547,$D547-($D547-$I$535)*MIN(H$3-$O$2,$Q$2)/$Q$2))</f>
        <v>5385.13122451227</v>
      </c>
      <c r="I547" s="15" t="n">
        <f aca="false">H547*(1+IF(I$3&lt;=$O$2,$D547,$D547-($D547-$I$535)*MIN(I$3-$O$2,$Q$2)/$Q$2))</f>
        <v>6072.73464990776</v>
      </c>
      <c r="J547" s="15" t="n">
        <f aca="false">I547*(1+IF(J$3&lt;=$O$2,$D547,$D547-($D547-$I$535)*MIN(J$3-$O$2,$Q$2)/$Q$2))</f>
        <v>6733.49941851633</v>
      </c>
      <c r="K547" s="15" t="n">
        <f aca="false">J547*(1+IF(K$3&lt;=$O$2,$D547,$D547-($D547-$I$535)*MIN(K$3-$O$2,$Q$2)/$Q$2))</f>
        <v>7339.05196415242</v>
      </c>
      <c r="L547" s="15" t="n">
        <f aca="false">K547*(1+IF(L$3&lt;=$O$2,$D547,$D547-($D547-$I$535)*MIN(L$3-$O$2,$Q$2)/$Q$2))</f>
        <v>7860.52256783092</v>
      </c>
      <c r="M547" s="15" t="n">
        <f aca="false">L547*(1+IF(M$3&lt;=$O$2,$D547,$D547-($D547-$I$535)*MIN(M$3-$O$2,$Q$2)/$Q$2))</f>
        <v>8270.66191359729</v>
      </c>
      <c r="N547" s="15" t="n">
        <f aca="false">M547*(1+IF(N$3&lt;=$O$2,$D547,$D547-($D547-$I$535)*MIN(N$3-$O$2,$Q$2)/$Q$2))</f>
        <v>8546.07495532008</v>
      </c>
      <c r="O547" s="15" t="n">
        <f aca="false">SUMPRODUCT(E547:N547,1/(1+$F$535)^$E$3:$N$3)*$E$2</f>
        <v>19447.0907662067</v>
      </c>
      <c r="P547" s="15" t="n">
        <f aca="false">N547*$E$2*(1+$I$535)/($F$535-$I$535)/(1+$F$535)^$N$3</f>
        <v>27410.6234562472</v>
      </c>
      <c r="Q547" s="15" t="n">
        <f aca="false">O547+P547</f>
        <v>46857.714222454</v>
      </c>
      <c r="R547" s="15" t="n">
        <f aca="false">Q547-$G$2+$I$2</f>
        <v>40670.414222454</v>
      </c>
      <c r="S547" s="42" t="n">
        <f aca="false">R547/$K$2</f>
        <v>559.427981051636</v>
      </c>
      <c r="T547" s="43" t="n">
        <f aca="false">S547-$M$2</f>
        <v>-1.36981812305419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0.127685546875</v>
      </c>
      <c r="C548" s="25" t="n">
        <f aca="false">IF(T547&gt;0,D547,C547)</f>
        <v>0.12841796875</v>
      </c>
      <c r="D548" s="41" t="n">
        <f aca="false">(B548+C548)/2</f>
        <v>0.1280517578125</v>
      </c>
      <c r="E548" s="15" t="n">
        <f aca="false">$C$2*(1+IF(E$3&lt;=$O$2,$D548,$D548-($D548-$I$535)*MIN(E$3-$O$2,$Q$2)/$Q$2))</f>
        <v>3756.41235351563</v>
      </c>
      <c r="F548" s="15" t="n">
        <f aca="false">E548*(1+IF(F$3&lt;=$O$2,$D548,$D548-($D548-$I$535)*MIN(F$3-$O$2,$Q$2)/$Q$2))</f>
        <v>4237.42755845189</v>
      </c>
      <c r="G548" s="15" t="n">
        <f aca="false">F548*(1+IF(G$3&lt;=$O$2,$D548,$D548-($D548-$I$535)*MIN(G$3-$O$2,$Q$2)/$Q$2))</f>
        <v>4780.03760591479</v>
      </c>
      <c r="H548" s="15" t="n">
        <f aca="false">G548*(1+IF(H$3&lt;=$O$2,$D548,$D548-($D548-$I$535)*MIN(H$3-$O$2,$Q$2)/$Q$2))</f>
        <v>5392.12982376203</v>
      </c>
      <c r="I548" s="15" t="n">
        <f aca="false">H548*(1+IF(I$3&lt;=$O$2,$D548,$D548-($D548-$I$535)*MIN(I$3-$O$2,$Q$2)/$Q$2))</f>
        <v>6082.60152604796</v>
      </c>
      <c r="J548" s="15" t="n">
        <f aca="false">I548*(1+IF(J$3&lt;=$O$2,$D548,$D548-($D548-$I$535)*MIN(J$3-$O$2,$Q$2)/$Q$2))</f>
        <v>6746.22190619819</v>
      </c>
      <c r="K548" s="15" t="n">
        <f aca="false">J548*(1+IF(K$3&lt;=$O$2,$D548,$D548-($D548-$I$535)*MIN(K$3-$O$2,$Q$2)/$Q$2))</f>
        <v>7354.40092619787</v>
      </c>
      <c r="L548" s="15" t="n">
        <f aca="false">K548*(1+IF(L$3&lt;=$O$2,$D548,$D548-($D548-$I$535)*MIN(L$3-$O$2,$Q$2)/$Q$2))</f>
        <v>7878.03944320631</v>
      </c>
      <c r="M548" s="15" t="n">
        <f aca="false">L548*(1+IF(M$3&lt;=$O$2,$D548,$D548-($D548-$I$535)*MIN(M$3-$O$2,$Q$2)/$Q$2))</f>
        <v>8289.66977373708</v>
      </c>
      <c r="N548" s="15" t="n">
        <f aca="false">M548*(1+IF(N$3&lt;=$O$2,$D548,$D548-($D548-$I$535)*MIN(N$3-$O$2,$Q$2)/$Q$2))</f>
        <v>8565.71577720253</v>
      </c>
      <c r="O548" s="15" t="n">
        <f aca="false">SUMPRODUCT(E548:N548,1/(1+$F$535)^$E$3:$N$3)*$E$2</f>
        <v>19477.6927392686</v>
      </c>
      <c r="P548" s="15" t="n">
        <f aca="false">N548*$E$2*(1+$I$535)/($F$535-$I$535)/(1+$F$535)^$N$3</f>
        <v>27473.6192965372</v>
      </c>
      <c r="Q548" s="15" t="n">
        <f aca="false">O548+P548</f>
        <v>46951.3120358058</v>
      </c>
      <c r="R548" s="15" t="n">
        <f aca="false">Q548-$G$2+$I$2</f>
        <v>40764.0120358058</v>
      </c>
      <c r="S548" s="42" t="n">
        <f aca="false">R548/$K$2</f>
        <v>560.715433779997</v>
      </c>
      <c r="T548" s="43" t="n">
        <f aca="false">S548-$M$2</f>
        <v>-0.0823653946939658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0.1280517578125</v>
      </c>
      <c r="C549" s="25" t="n">
        <f aca="false">IF(T548&gt;0,D548,C548)</f>
        <v>0.12841796875</v>
      </c>
      <c r="D549" s="41" t="n">
        <f aca="false">(B549+C549)/2</f>
        <v>0.12823486328125</v>
      </c>
      <c r="E549" s="15" t="n">
        <f aca="false">$C$2*(1+IF(E$3&lt;=$O$2,$D549,$D549-($D549-$I$535)*MIN(E$3-$O$2,$Q$2)/$Q$2))</f>
        <v>3757.02209472656</v>
      </c>
      <c r="F549" s="15" t="n">
        <f aca="false">E549*(1+IF(F$3&lt;=$O$2,$D549,$D549-($D549-$I$535)*MIN(F$3-$O$2,$Q$2)/$Q$2))</f>
        <v>4238.80330938846</v>
      </c>
      <c r="G549" s="15" t="n">
        <f aca="false">F549*(1+IF(G$3&lt;=$O$2,$D549,$D549-($D549-$I$535)*MIN(G$3-$O$2,$Q$2)/$Q$2))</f>
        <v>4782.365672244</v>
      </c>
      <c r="H549" s="15" t="n">
        <f aca="false">G549*(1+IF(H$3&lt;=$O$2,$D549,$D549-($D549-$I$535)*MIN(H$3-$O$2,$Q$2)/$Q$2))</f>
        <v>5395.63168038515</v>
      </c>
      <c r="I549" s="15" t="n">
        <f aca="false">H549*(1+IF(I$3&lt;=$O$2,$D549,$D549-($D549-$I$535)*MIN(I$3-$O$2,$Q$2)/$Q$2))</f>
        <v>6087.53977123532</v>
      </c>
      <c r="J549" s="15" t="n">
        <f aca="false">I549*(1+IF(J$3&lt;=$O$2,$D549,$D549-($D549-$I$535)*MIN(J$3-$O$2,$Q$2)/$Q$2))</f>
        <v>6752.59065033858</v>
      </c>
      <c r="K549" s="15" t="n">
        <f aca="false">J549*(1+IF(K$3&lt;=$O$2,$D549,$D549-($D549-$I$535)*MIN(K$3-$O$2,$Q$2)/$Q$2))</f>
        <v>7362.08568110533</v>
      </c>
      <c r="L549" s="15" t="n">
        <f aca="false">K549*(1+IF(L$3&lt;=$O$2,$D549,$D549-($D549-$I$535)*MIN(L$3-$O$2,$Q$2)/$Q$2))</f>
        <v>7886.81057332637</v>
      </c>
      <c r="M549" s="15" t="n">
        <f aca="false">L549*(1+IF(M$3&lt;=$O$2,$D549,$D549-($D549-$I$535)*MIN(M$3-$O$2,$Q$2)/$Q$2))</f>
        <v>8299.18802211891</v>
      </c>
      <c r="N549" s="15" t="n">
        <f aca="false">M549*(1+IF(N$3&lt;=$O$2,$D549,$D549-($D549-$I$535)*MIN(N$3-$O$2,$Q$2)/$Q$2))</f>
        <v>8575.55098325547</v>
      </c>
      <c r="O549" s="15" t="n">
        <f aca="false">SUMPRODUCT(E549:N549,1/(1+$F$535)^$E$3:$N$3)*$E$2</f>
        <v>19493.0115825693</v>
      </c>
      <c r="P549" s="15" t="n">
        <f aca="false">N549*$E$2*(1+$I$535)/($F$535-$I$535)/(1+$F$535)^$N$3</f>
        <v>27505.1646704242</v>
      </c>
      <c r="Q549" s="15" t="n">
        <f aca="false">O549+P549</f>
        <v>46998.1762529935</v>
      </c>
      <c r="R549" s="15" t="n">
        <f aca="false">Q549-$G$2+$I$2</f>
        <v>40810.8762529935</v>
      </c>
      <c r="S549" s="42" t="n">
        <f aca="false">R549/$K$2</f>
        <v>561.360058500598</v>
      </c>
      <c r="T549" s="43" t="n">
        <f aca="false">S549-$M$2</f>
        <v>0.562259325907689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0.1280517578125</v>
      </c>
      <c r="C550" s="25" t="n">
        <f aca="false">IF(T549&gt;0,D549,C549)</f>
        <v>0.12823486328125</v>
      </c>
      <c r="D550" s="41" t="n">
        <f aca="false">(B550+C550)/2</f>
        <v>0.128143310546875</v>
      </c>
      <c r="E550" s="15" t="n">
        <f aca="false">$C$2*(1+IF(E$3&lt;=$O$2,$D550,$D550-($D550-$I$535)*MIN(E$3-$O$2,$Q$2)/$Q$2))</f>
        <v>3756.71722412109</v>
      </c>
      <c r="F550" s="15" t="n">
        <f aca="false">E550*(1+IF(F$3&lt;=$O$2,$D550,$D550-($D550-$I$535)*MIN(F$3-$O$2,$Q$2)/$Q$2))</f>
        <v>4238.11540600844</v>
      </c>
      <c r="G550" s="15" t="n">
        <f aca="false">F550*(1+IF(G$3&lt;=$O$2,$D550,$D550-($D550-$I$535)*MIN(G$3-$O$2,$Q$2)/$Q$2))</f>
        <v>4781.20154461407</v>
      </c>
      <c r="H550" s="15" t="n">
        <f aca="false">G550*(1+IF(H$3&lt;=$O$2,$D550,$D550-($D550-$I$535)*MIN(H$3-$O$2,$Q$2)/$Q$2))</f>
        <v>5393.88053893275</v>
      </c>
      <c r="I550" s="15" t="n">
        <f aca="false">H550*(1+IF(I$3&lt;=$O$2,$D550,$D550-($D550-$I$535)*MIN(I$3-$O$2,$Q$2)/$Q$2))</f>
        <v>6085.07024788596</v>
      </c>
      <c r="J550" s="15" t="n">
        <f aca="false">I550*(1+IF(J$3&lt;=$O$2,$D550,$D550-($D550-$I$535)*MIN(J$3-$O$2,$Q$2)/$Q$2))</f>
        <v>6749.4056529164</v>
      </c>
      <c r="K550" s="15" t="n">
        <f aca="false">J550*(1+IF(K$3&lt;=$O$2,$D550,$D550-($D550-$I$535)*MIN(K$3-$O$2,$Q$2)/$Q$2))</f>
        <v>7358.24244696634</v>
      </c>
      <c r="L550" s="15" t="n">
        <f aca="false">K550*(1+IF(L$3&lt;=$O$2,$D550,$D550-($D550-$I$535)*MIN(L$3-$O$2,$Q$2)/$Q$2))</f>
        <v>7882.42394984105</v>
      </c>
      <c r="M550" s="15" t="n">
        <f aca="false">L550*(1+IF(M$3&lt;=$O$2,$D550,$D550-($D550-$I$535)*MIN(M$3-$O$2,$Q$2)/$Q$2))</f>
        <v>8294.42770387814</v>
      </c>
      <c r="N550" s="15" t="n">
        <f aca="false">M550*(1+IF(N$3&lt;=$O$2,$D550,$D550-($D550-$I$535)*MIN(N$3-$O$2,$Q$2)/$Q$2))</f>
        <v>8570.63214641729</v>
      </c>
      <c r="O550" s="15" t="n">
        <f aca="false">SUMPRODUCT(E550:N550,1/(1+$F$535)^$E$3:$N$3)*$E$2</f>
        <v>19485.350671965</v>
      </c>
      <c r="P550" s="15" t="n">
        <f aca="false">N550*$E$2*(1+$I$535)/($F$535-$I$535)/(1+$F$535)^$N$3</f>
        <v>27489.3880261612</v>
      </c>
      <c r="Q550" s="15" t="n">
        <f aca="false">O550+P550</f>
        <v>46974.7386981263</v>
      </c>
      <c r="R550" s="15" t="n">
        <f aca="false">Q550-$G$2+$I$2</f>
        <v>40787.4386981263</v>
      </c>
      <c r="S550" s="42" t="n">
        <f aca="false">R550/$K$2</f>
        <v>561.037671225946</v>
      </c>
      <c r="T550" s="43" t="n">
        <f aca="false">S550-$M$2</f>
        <v>0.239872051255588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0.1280517578125</v>
      </c>
      <c r="C551" s="25" t="n">
        <f aca="false">IF(T550&gt;0,D550,C550)</f>
        <v>0.128143310546875</v>
      </c>
      <c r="D551" s="41" t="n">
        <f aca="false">(B551+C551)/2</f>
        <v>0.128097534179688</v>
      </c>
      <c r="E551" s="15" t="n">
        <f aca="false">$C$2*(1+IF(E$3&lt;=$O$2,$D551,$D551-($D551-$I$535)*MIN(E$3-$O$2,$Q$2)/$Q$2))</f>
        <v>3756.56478881836</v>
      </c>
      <c r="F551" s="15" t="n">
        <f aca="false">E551*(1+IF(F$3&lt;=$O$2,$D551,$D551-($D551-$I$535)*MIN(F$3-$O$2,$Q$2)/$Q$2))</f>
        <v>4237.77147525223</v>
      </c>
      <c r="G551" s="15" t="n">
        <f aca="false">F551*(1+IF(G$3&lt;=$O$2,$D551,$D551-($D551-$I$535)*MIN(G$3-$O$2,$Q$2)/$Q$2))</f>
        <v>4780.61955164906</v>
      </c>
      <c r="H551" s="15" t="n">
        <f aca="false">G551*(1+IF(H$3&lt;=$O$2,$D551,$D551-($D551-$I$535)*MIN(H$3-$O$2,$Q$2)/$Q$2))</f>
        <v>5393.00512806651</v>
      </c>
      <c r="I551" s="15" t="n">
        <f aca="false">H551*(1+IF(I$3&lt;=$O$2,$D551,$D551-($D551-$I$535)*MIN(I$3-$O$2,$Q$2)/$Q$2))</f>
        <v>6083.83578679023</v>
      </c>
      <c r="J551" s="15" t="n">
        <f aca="false">I551*(1+IF(J$3&lt;=$O$2,$D551,$D551-($D551-$I$535)*MIN(J$3-$O$2,$Q$2)/$Q$2))</f>
        <v>6747.81362324383</v>
      </c>
      <c r="K551" s="15" t="n">
        <f aca="false">J551*(1+IF(K$3&lt;=$O$2,$D551,$D551-($D551-$I$535)*MIN(K$3-$O$2,$Q$2)/$Q$2))</f>
        <v>7356.32147245042</v>
      </c>
      <c r="L551" s="15" t="n">
        <f aca="false">K551*(1+IF(L$3&lt;=$O$2,$D551,$D551-($D551-$I$535)*MIN(L$3-$O$2,$Q$2)/$Q$2))</f>
        <v>7880.23143197158</v>
      </c>
      <c r="M551" s="15" t="n">
        <f aca="false">L551*(1+IF(M$3&lt;=$O$2,$D551,$D551-($D551-$I$535)*MIN(M$3-$O$2,$Q$2)/$Q$2))</f>
        <v>8292.04844035946</v>
      </c>
      <c r="N551" s="15" t="n">
        <f aca="false">M551*(1+IF(N$3&lt;=$O$2,$D551,$D551-($D551-$I$535)*MIN(N$3-$O$2,$Q$2)/$Q$2))</f>
        <v>8568.17365342344</v>
      </c>
      <c r="O551" s="15" t="n">
        <f aca="false">SUMPRODUCT(E551:N551,1/(1+$F$535)^$E$3:$N$3)*$E$2</f>
        <v>19481.5213334451</v>
      </c>
      <c r="P551" s="15" t="n">
        <f aca="false">N551*$E$2*(1+$I$535)/($F$535-$I$535)/(1+$F$535)^$N$3</f>
        <v>27481.5026722325</v>
      </c>
      <c r="Q551" s="15" t="n">
        <f aca="false">O551+P551</f>
        <v>46963.0240056776</v>
      </c>
      <c r="R551" s="15" t="n">
        <f aca="false">Q551-$G$2+$I$2</f>
        <v>40775.7240056776</v>
      </c>
      <c r="S551" s="42" t="n">
        <f aca="false">R551/$K$2</f>
        <v>560.876533778234</v>
      </c>
      <c r="T551" s="43" t="n">
        <f aca="false">S551-$M$2</f>
        <v>0.0787346035432393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0.1280517578125</v>
      </c>
      <c r="C552" s="25" t="n">
        <f aca="false">IF(T551&gt;0,D551,C551)</f>
        <v>0.128097534179688</v>
      </c>
      <c r="D552" s="41" t="n">
        <f aca="false">(B552+C552)/2</f>
        <v>0.128074645996094</v>
      </c>
      <c r="E552" s="15" t="n">
        <f aca="false">$C$2*(1+IF(E$3&lt;=$O$2,$D552,$D552-($D552-$I$535)*MIN(E$3-$O$2,$Q$2)/$Q$2))</f>
        <v>3756.48857116699</v>
      </c>
      <c r="F552" s="15" t="n">
        <f aca="false">E552*(1+IF(F$3&lt;=$O$2,$D552,$D552-($D552-$I$535)*MIN(F$3-$O$2,$Q$2)/$Q$2))</f>
        <v>4237.59951510758</v>
      </c>
      <c r="G552" s="15" t="n">
        <f aca="false">F552*(1+IF(G$3&lt;=$O$2,$D552,$D552-($D552-$I$535)*MIN(G$3-$O$2,$Q$2)/$Q$2))</f>
        <v>4780.3285728782</v>
      </c>
      <c r="H552" s="15" t="n">
        <f aca="false">G552*(1+IF(H$3&lt;=$O$2,$D552,$D552-($D552-$I$535)*MIN(H$3-$O$2,$Q$2)/$Q$2))</f>
        <v>5392.56746259459</v>
      </c>
      <c r="I552" s="15" t="n">
        <f aca="false">H552*(1+IF(I$3&lt;=$O$2,$D552,$D552-($D552-$I$535)*MIN(I$3-$O$2,$Q$2)/$Q$2))</f>
        <v>6083.21863137644</v>
      </c>
      <c r="J552" s="15" t="n">
        <f aca="false">I552*(1+IF(J$3&lt;=$O$2,$D552,$D552-($D552-$I$535)*MIN(J$3-$O$2,$Q$2)/$Q$2))</f>
        <v>6747.01772564571</v>
      </c>
      <c r="K552" s="15" t="n">
        <f aca="false">J552*(1+IF(K$3&lt;=$O$2,$D552,$D552-($D552-$I$535)*MIN(K$3-$O$2,$Q$2)/$Q$2))</f>
        <v>7355.36114579618</v>
      </c>
      <c r="L552" s="15" t="n">
        <f aca="false">K552*(1+IF(L$3&lt;=$O$2,$D552,$D552-($D552-$I$535)*MIN(L$3-$O$2,$Q$2)/$Q$2))</f>
        <v>7879.13537145769</v>
      </c>
      <c r="M552" s="15" t="n">
        <f aca="false">L552*(1+IF(M$3&lt;=$O$2,$D552,$D552-($D552-$I$535)*MIN(M$3-$O$2,$Q$2)/$Q$2))</f>
        <v>8290.85903244428</v>
      </c>
      <c r="N552" s="15" t="n">
        <f aca="false">M552*(1+IF(N$3&lt;=$O$2,$D552,$D552-($D552-$I$535)*MIN(N$3-$O$2,$Q$2)/$Q$2))</f>
        <v>8566.94463822467</v>
      </c>
      <c r="O552" s="15" t="n">
        <f aca="false">SUMPRODUCT(E552:N552,1/(1+$F$535)^$E$3:$N$3)*$E$2</f>
        <v>19479.6069433222</v>
      </c>
      <c r="P552" s="15" t="n">
        <f aca="false">N552*$E$2*(1+$I$535)/($F$535-$I$535)/(1+$F$535)^$N$3</f>
        <v>27477.5607371323</v>
      </c>
      <c r="Q552" s="15" t="n">
        <f aca="false">O552+P552</f>
        <v>46957.1676804546</v>
      </c>
      <c r="R552" s="15" t="n">
        <f aca="false">Q552-$G$2+$I$2</f>
        <v>40769.8676804546</v>
      </c>
      <c r="S552" s="42" t="n">
        <f aca="false">R552/$K$2</f>
        <v>560.795979098412</v>
      </c>
      <c r="T552" s="43" t="n">
        <f aca="false">S552-$M$2</f>
        <v>-0.00182007627847725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0.128074645996094</v>
      </c>
      <c r="C553" s="25" t="n">
        <f aca="false">IF(T552&gt;0,D552,C552)</f>
        <v>0.128097534179688</v>
      </c>
      <c r="D553" s="41" t="n">
        <f aca="false">(B553+C553)/2</f>
        <v>0.128086090087891</v>
      </c>
      <c r="E553" s="15" t="n">
        <f aca="false">$C$2*(1+IF(E$3&lt;=$O$2,$D553,$D553-($D553-$I$535)*MIN(E$3-$O$2,$Q$2)/$Q$2))</f>
        <v>3756.52667999268</v>
      </c>
      <c r="F553" s="15" t="n">
        <f aca="false">E553*(1+IF(F$3&lt;=$O$2,$D553,$D553-($D553-$I$535)*MIN(F$3-$O$2,$Q$2)/$Q$2))</f>
        <v>4237.68549474378</v>
      </c>
      <c r="G553" s="15" t="n">
        <f aca="false">F553*(1+IF(G$3&lt;=$O$2,$D553,$D553-($D553-$I$535)*MIN(G$3-$O$2,$Q$2)/$Q$2))</f>
        <v>4780.47406078768</v>
      </c>
      <c r="H553" s="15" t="n">
        <f aca="false">G553*(1+IF(H$3&lt;=$O$2,$D553,$D553-($D553-$I$535)*MIN(H$3-$O$2,$Q$2)/$Q$2))</f>
        <v>5392.78629200056</v>
      </c>
      <c r="I553" s="15" t="n">
        <f aca="false">H553*(1+IF(I$3&lt;=$O$2,$D553,$D553-($D553-$I$535)*MIN(I$3-$O$2,$Q$2)/$Q$2))</f>
        <v>6083.52720282248</v>
      </c>
      <c r="J553" s="15" t="n">
        <f aca="false">I553*(1+IF(J$3&lt;=$O$2,$D553,$D553-($D553-$I$535)*MIN(J$3-$O$2,$Q$2)/$Q$2))</f>
        <v>6747.41566467556</v>
      </c>
      <c r="K553" s="15" t="n">
        <f aca="false">J553*(1+IF(K$3&lt;=$O$2,$D553,$D553-($D553-$I$535)*MIN(K$3-$O$2,$Q$2)/$Q$2))</f>
        <v>7355.84129574069</v>
      </c>
      <c r="L553" s="15" t="n">
        <f aca="false">K553*(1+IF(L$3&lt;=$O$2,$D553,$D553-($D553-$I$535)*MIN(L$3-$O$2,$Q$2)/$Q$2))</f>
        <v>7879.68338518098</v>
      </c>
      <c r="M553" s="15" t="n">
        <f aca="false">L553*(1+IF(M$3&lt;=$O$2,$D553,$D553-($D553-$I$535)*MIN(M$3-$O$2,$Q$2)/$Q$2))</f>
        <v>8291.45371774987</v>
      </c>
      <c r="N553" s="15" t="n">
        <f aca="false">M553*(1+IF(N$3&lt;=$O$2,$D553,$D553-($D553-$I$535)*MIN(N$3-$O$2,$Q$2)/$Q$2))</f>
        <v>8567.55912655094</v>
      </c>
      <c r="O553" s="15" t="n">
        <f aca="false">SUMPRODUCT(E553:N553,1/(1+$F$535)^$E$3:$N$3)*$E$2</f>
        <v>19480.564115124</v>
      </c>
      <c r="P553" s="15" t="n">
        <f aca="false">N553*$E$2*(1+$I$535)/($F$535-$I$535)/(1+$F$535)^$N$3</f>
        <v>27479.531642866</v>
      </c>
      <c r="Q553" s="15" t="n">
        <f aca="false">O553+P553</f>
        <v>46960.0957579899</v>
      </c>
      <c r="R553" s="15" t="n">
        <f aca="false">Q553-$G$2+$I$2</f>
        <v>40772.7957579899</v>
      </c>
      <c r="S553" s="42" t="n">
        <f aca="false">R553/$K$2</f>
        <v>560.836255268087</v>
      </c>
      <c r="T553" s="43" t="n">
        <f aca="false">S553-$M$2</f>
        <v>0.0384560933965759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0.128074645996094</v>
      </c>
      <c r="C554" s="25" t="n">
        <f aca="false">IF(T553&gt;0,D553,C553)</f>
        <v>0.128086090087891</v>
      </c>
      <c r="D554" s="41" t="n">
        <f aca="false">(B554+C554)/2</f>
        <v>0.128080368041992</v>
      </c>
      <c r="E554" s="15" t="n">
        <f aca="false">$C$2*(1+IF(E$3&lt;=$O$2,$D554,$D554-($D554-$I$535)*MIN(E$3-$O$2,$Q$2)/$Q$2))</f>
        <v>3756.50762557983</v>
      </c>
      <c r="F554" s="15" t="n">
        <f aca="false">E554*(1+IF(F$3&lt;=$O$2,$D554,$D554-($D554-$I$535)*MIN(F$3-$O$2,$Q$2)/$Q$2))</f>
        <v>4237.64250481665</v>
      </c>
      <c r="G554" s="15" t="n">
        <f aca="false">F554*(1+IF(G$3&lt;=$O$2,$D554,$D554-($D554-$I$535)*MIN(G$3-$O$2,$Q$2)/$Q$2))</f>
        <v>4780.40131646396</v>
      </c>
      <c r="H554" s="15" t="n">
        <f aca="false">G554*(1+IF(H$3&lt;=$O$2,$D554,$D554-($D554-$I$535)*MIN(H$3-$O$2,$Q$2)/$Q$2))</f>
        <v>5392.67687646508</v>
      </c>
      <c r="I554" s="15" t="n">
        <f aca="false">H554*(1+IF(I$3&lt;=$O$2,$D554,$D554-($D554-$I$535)*MIN(I$3-$O$2,$Q$2)/$Q$2))</f>
        <v>6083.37291553427</v>
      </c>
      <c r="J554" s="15" t="n">
        <f aca="false">I554*(1+IF(J$3&lt;=$O$2,$D554,$D554-($D554-$I$535)*MIN(J$3-$O$2,$Q$2)/$Q$2))</f>
        <v>6747.21669271838</v>
      </c>
      <c r="K554" s="15" t="n">
        <f aca="false">J554*(1+IF(K$3&lt;=$O$2,$D554,$D554-($D554-$I$535)*MIN(K$3-$O$2,$Q$2)/$Q$2))</f>
        <v>7355.60121742286</v>
      </c>
      <c r="L554" s="15" t="n">
        <f aca="false">K554*(1+IF(L$3&lt;=$O$2,$D554,$D554-($D554-$I$535)*MIN(L$3-$O$2,$Q$2)/$Q$2))</f>
        <v>7879.40937418602</v>
      </c>
      <c r="M554" s="15" t="n">
        <f aca="false">L554*(1+IF(M$3&lt;=$O$2,$D554,$D554-($D554-$I$535)*MIN(M$3-$O$2,$Q$2)/$Q$2))</f>
        <v>8291.15637043419</v>
      </c>
      <c r="N554" s="15" t="n">
        <f aca="false">M554*(1+IF(N$3&lt;=$O$2,$D554,$D554-($D554-$I$535)*MIN(N$3-$O$2,$Q$2)/$Q$2))</f>
        <v>8567.25187756965</v>
      </c>
      <c r="O554" s="15" t="n">
        <f aca="false">SUMPRODUCT(E554:N554,1/(1+$F$535)^$E$3:$N$3)*$E$2</f>
        <v>19480.0855234083</v>
      </c>
      <c r="P554" s="15" t="n">
        <f aca="false">N554*$E$2*(1+$I$535)/($F$535-$I$535)/(1+$F$535)^$N$3</f>
        <v>27478.5461745454</v>
      </c>
      <c r="Q554" s="15" t="n">
        <f aca="false">O554+P554</f>
        <v>46958.6316979537</v>
      </c>
      <c r="R554" s="15" t="n">
        <f aca="false">Q554-$G$2+$I$2</f>
        <v>40771.3316979537</v>
      </c>
      <c r="S554" s="42" t="n">
        <f aca="false">R554/$K$2</f>
        <v>560.816116890698</v>
      </c>
      <c r="T554" s="43" t="n">
        <f aca="false">S554-$M$2</f>
        <v>0.0183177160073456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0.128074645996094</v>
      </c>
      <c r="C555" s="25" t="n">
        <f aca="false">IF(T554&gt;0,D554,C554)</f>
        <v>0.128080368041992</v>
      </c>
      <c r="D555" s="41" t="n">
        <f aca="false">(B555+C555)/2</f>
        <v>0.128077507019043</v>
      </c>
      <c r="E555" s="15" t="n">
        <f aca="false">$C$2*(1+IF(E$3&lt;=$O$2,$D555,$D555-($D555-$I$535)*MIN(E$3-$O$2,$Q$2)/$Q$2))</f>
        <v>3756.49809837341</v>
      </c>
      <c r="F555" s="15" t="n">
        <f aca="false">E555*(1+IF(F$3&lt;=$O$2,$D555,$D555-($D555-$I$535)*MIN(F$3-$O$2,$Q$2)/$Q$2))</f>
        <v>4237.62100993486</v>
      </c>
      <c r="G555" s="15" t="n">
        <f aca="false">F555*(1+IF(G$3&lt;=$O$2,$D555,$D555-($D555-$I$535)*MIN(G$3-$O$2,$Q$2)/$Q$2))</f>
        <v>4780.36494457883</v>
      </c>
      <c r="H555" s="15" t="n">
        <f aca="false">G555*(1+IF(H$3&lt;=$O$2,$D555,$D555-($D555-$I$535)*MIN(H$3-$O$2,$Q$2)/$Q$2))</f>
        <v>5392.62216932171</v>
      </c>
      <c r="I555" s="15" t="n">
        <f aca="false">H555*(1+IF(I$3&lt;=$O$2,$D555,$D555-($D555-$I$535)*MIN(I$3-$O$2,$Q$2)/$Q$2))</f>
        <v>6083.29577306406</v>
      </c>
      <c r="J555" s="15" t="n">
        <f aca="false">I555*(1+IF(J$3&lt;=$O$2,$D555,$D555-($D555-$I$535)*MIN(J$3-$O$2,$Q$2)/$Q$2))</f>
        <v>6747.11720857149</v>
      </c>
      <c r="K555" s="15" t="n">
        <f aca="false">J555*(1+IF(K$3&lt;=$O$2,$D555,$D555-($D555-$I$535)*MIN(K$3-$O$2,$Q$2)/$Q$2))</f>
        <v>7355.48118077314</v>
      </c>
      <c r="L555" s="15" t="n">
        <f aca="false">K555*(1+IF(L$3&lt;=$O$2,$D555,$D555-($D555-$I$535)*MIN(L$3-$O$2,$Q$2)/$Q$2))</f>
        <v>7879.27237178855</v>
      </c>
      <c r="M555" s="15" t="n">
        <f aca="false">L555*(1+IF(M$3&lt;=$O$2,$D555,$D555-($D555-$I$535)*MIN(M$3-$O$2,$Q$2)/$Q$2))</f>
        <v>8291.00770027353</v>
      </c>
      <c r="N555" s="15" t="n">
        <f aca="false">M555*(1+IF(N$3&lt;=$O$2,$D555,$D555-($D555-$I$535)*MIN(N$3-$O$2,$Q$2)/$Q$2))</f>
        <v>8567.09825669264</v>
      </c>
      <c r="O555" s="15" t="n">
        <f aca="false">SUMPRODUCT(E555:N555,1/(1+$F$535)^$E$3:$N$3)*$E$2</f>
        <v>19479.8462319116</v>
      </c>
      <c r="P555" s="15" t="n">
        <f aca="false">N555*$E$2*(1+$I$535)/($F$535-$I$535)/(1+$F$535)^$N$3</f>
        <v>27478.0534519755</v>
      </c>
      <c r="Q555" s="15" t="n">
        <f aca="false">O555+P555</f>
        <v>46957.8996838871</v>
      </c>
      <c r="R555" s="15" t="n">
        <f aca="false">Q555-$G$2+$I$2</f>
        <v>40770.5996838871</v>
      </c>
      <c r="S555" s="42" t="n">
        <f aca="false">R555/$K$2</f>
        <v>560.806047921418</v>
      </c>
      <c r="T555" s="43" t="n">
        <f aca="false">S555-$M$2</f>
        <v>0.0082487467275314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0.128074645996094</v>
      </c>
      <c r="C556" s="25" t="n">
        <f aca="false">IF(T555&gt;0,D555,C555)</f>
        <v>0.128077507019043</v>
      </c>
      <c r="D556" s="41" t="n">
        <f aca="false">(B556+C556)/2</f>
        <v>0.128076076507568</v>
      </c>
      <c r="E556" s="15" t="n">
        <f aca="false">$C$2*(1+IF(E$3&lt;=$O$2,$D556,$D556-($D556-$I$535)*MIN(E$3-$O$2,$Q$2)/$Q$2))</f>
        <v>3756.4933347702</v>
      </c>
      <c r="F556" s="15" t="n">
        <f aca="false">E556*(1+IF(F$3&lt;=$O$2,$D556,$D556-($D556-$I$535)*MIN(F$3-$O$2,$Q$2)/$Q$2))</f>
        <v>4237.6102625144</v>
      </c>
      <c r="G556" s="15" t="n">
        <f aca="false">F556*(1+IF(G$3&lt;=$O$2,$D556,$D556-($D556-$I$535)*MIN(G$3-$O$2,$Q$2)/$Q$2))</f>
        <v>4780.34675870545</v>
      </c>
      <c r="H556" s="15" t="n">
        <f aca="false">G556*(1+IF(H$3&lt;=$O$2,$D556,$D556-($D556-$I$535)*MIN(H$3-$O$2,$Q$2)/$Q$2))</f>
        <v>5392.59481590612</v>
      </c>
      <c r="I556" s="15" t="n">
        <f aca="false">H556*(1+IF(I$3&lt;=$O$2,$D556,$D556-($D556-$I$535)*MIN(I$3-$O$2,$Q$2)/$Q$2))</f>
        <v>6083.25720212243</v>
      </c>
      <c r="J556" s="15" t="n">
        <f aca="false">I556*(1+IF(J$3&lt;=$O$2,$D556,$D556-($D556-$I$535)*MIN(J$3-$O$2,$Q$2)/$Q$2))</f>
        <v>6747.06746695596</v>
      </c>
      <c r="K556" s="15" t="n">
        <f aca="false">J556*(1+IF(K$3&lt;=$O$2,$D556,$D556-($D556-$I$535)*MIN(K$3-$O$2,$Q$2)/$Q$2))</f>
        <v>7355.42116307556</v>
      </c>
      <c r="L556" s="15" t="n">
        <f aca="false">K556*(1+IF(L$3&lt;=$O$2,$D556,$D556-($D556-$I$535)*MIN(L$3-$O$2,$Q$2)/$Q$2))</f>
        <v>7879.20387136479</v>
      </c>
      <c r="M556" s="15" t="n">
        <f aca="false">L556*(1+IF(M$3&lt;=$O$2,$D556,$D556-($D556-$I$535)*MIN(M$3-$O$2,$Q$2)/$Q$2))</f>
        <v>8290.93336606748</v>
      </c>
      <c r="N556" s="15" t="n">
        <f aca="false">M556*(1+IF(N$3&lt;=$O$2,$D556,$D556-($D556-$I$535)*MIN(N$3-$O$2,$Q$2)/$Q$2))</f>
        <v>8567.02144715753</v>
      </c>
      <c r="O556" s="15" t="n">
        <f aca="false">SUMPRODUCT(E556:N556,1/(1+$F$535)^$E$3:$N$3)*$E$2</f>
        <v>19479.7265872535</v>
      </c>
      <c r="P556" s="15" t="n">
        <f aca="false">N556*$E$2*(1+$I$535)/($F$535-$I$535)/(1+$F$535)^$N$3</f>
        <v>27477.8070935881</v>
      </c>
      <c r="Q556" s="15" t="n">
        <f aca="false">O556+P556</f>
        <v>46957.5336808416</v>
      </c>
      <c r="R556" s="15" t="n">
        <f aca="false">Q556-$G$2+$I$2</f>
        <v>40770.2336808416</v>
      </c>
      <c r="S556" s="42" t="n">
        <f aca="false">R556/$K$2</f>
        <v>560.801013491631</v>
      </c>
      <c r="T556" s="43" t="n">
        <f aca="false">S556-$M$2</f>
        <v>0.00321431694032981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0.128074645996094</v>
      </c>
      <c r="C557" s="25" t="n">
        <f aca="false">IF(T556&gt;0,D556,C556)</f>
        <v>0.128076076507568</v>
      </c>
      <c r="D557" s="41" t="n">
        <f aca="false">(B557+C557)/2</f>
        <v>0.128075361251831</v>
      </c>
      <c r="E557" s="15" t="n">
        <f aca="false">$C$2*(1+IF(E$3&lt;=$O$2,$D557,$D557-($D557-$I$535)*MIN(E$3-$O$2,$Q$2)/$Q$2))</f>
        <v>3756.4909529686</v>
      </c>
      <c r="F557" s="15" t="n">
        <f aca="false">E557*(1+IF(F$3&lt;=$O$2,$D557,$D557-($D557-$I$535)*MIN(F$3-$O$2,$Q$2)/$Q$2))</f>
        <v>4237.60488880929</v>
      </c>
      <c r="G557" s="15" t="n">
        <f aca="false">F557*(1+IF(G$3&lt;=$O$2,$D557,$D557-($D557-$I$535)*MIN(G$3-$O$2,$Q$2)/$Q$2))</f>
        <v>4780.33766578606</v>
      </c>
      <c r="H557" s="15" t="n">
        <f aca="false">G557*(1+IF(H$3&lt;=$O$2,$D557,$D557-($D557-$I$535)*MIN(H$3-$O$2,$Q$2)/$Q$2))</f>
        <v>5392.58113923734</v>
      </c>
      <c r="I557" s="15" t="n">
        <f aca="false">H557*(1+IF(I$3&lt;=$O$2,$D557,$D557-($D557-$I$535)*MIN(I$3-$O$2,$Q$2)/$Q$2))</f>
        <v>6083.23791672498</v>
      </c>
      <c r="J557" s="15" t="n">
        <f aca="false">I557*(1+IF(J$3&lt;=$O$2,$D557,$D557-($D557-$I$535)*MIN(J$3-$O$2,$Q$2)/$Q$2))</f>
        <v>6747.04259626268</v>
      </c>
      <c r="K557" s="15" t="n">
        <f aca="false">J557*(1+IF(K$3&lt;=$O$2,$D557,$D557-($D557-$I$535)*MIN(K$3-$O$2,$Q$2)/$Q$2))</f>
        <v>7355.3911543836</v>
      </c>
      <c r="L557" s="15" t="n">
        <f aca="false">K557*(1+IF(L$3&lt;=$O$2,$D557,$D557-($D557-$I$535)*MIN(L$3-$O$2,$Q$2)/$Q$2))</f>
        <v>7879.16962134666</v>
      </c>
      <c r="M557" s="15" t="n">
        <f aca="false">L557*(1+IF(M$3&lt;=$O$2,$D557,$D557-($D557-$I$535)*MIN(M$3-$O$2,$Q$2)/$Q$2))</f>
        <v>8290.89619918302</v>
      </c>
      <c r="N557" s="15" t="n">
        <f aca="false">M557*(1+IF(N$3&lt;=$O$2,$D557,$D557-($D557-$I$535)*MIN(N$3-$O$2,$Q$2)/$Q$2))</f>
        <v>8566.98304261582</v>
      </c>
      <c r="O557" s="15" t="n">
        <f aca="false">SUMPRODUCT(E557:N557,1/(1+$F$535)^$E$3:$N$3)*$E$2</f>
        <v>19479.666765197</v>
      </c>
      <c r="P557" s="15" t="n">
        <f aca="false">N557*$E$2*(1+$I$535)/($F$535-$I$535)/(1+$F$535)^$N$3</f>
        <v>27477.6839151187</v>
      </c>
      <c r="Q557" s="15" t="n">
        <f aca="false">O557+P557</f>
        <v>46957.3506803157</v>
      </c>
      <c r="R557" s="15" t="n">
        <f aca="false">Q557-$G$2+$I$2</f>
        <v>40770.0506803157</v>
      </c>
      <c r="S557" s="42" t="n">
        <f aca="false">R557/$K$2</f>
        <v>560.79849629045</v>
      </c>
      <c r="T557" s="43" t="n">
        <f aca="false">S557-$M$2</f>
        <v>0.000697115759862754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0.128074645996094</v>
      </c>
      <c r="C558" s="25" t="n">
        <f aca="false">IF(T557&gt;0,D557,C557)</f>
        <v>0.128075361251831</v>
      </c>
      <c r="D558" s="41" t="n">
        <f aca="false">(B558+C558)/2</f>
        <v>0.128075003623962</v>
      </c>
      <c r="E558" s="15" t="n">
        <f aca="false">$C$2*(1+IF(E$3&lt;=$O$2,$D558,$D558-($D558-$I$535)*MIN(E$3-$O$2,$Q$2)/$Q$2))</f>
        <v>3756.4897620678</v>
      </c>
      <c r="F558" s="15" t="n">
        <f aca="false">E558*(1+IF(F$3&lt;=$O$2,$D558,$D558-($D558-$I$535)*MIN(F$3-$O$2,$Q$2)/$Q$2))</f>
        <v>4237.60220195801</v>
      </c>
      <c r="G558" s="15" t="n">
        <f aca="false">F558*(1+IF(G$3&lt;=$O$2,$D558,$D558-($D558-$I$535)*MIN(G$3-$O$2,$Q$2)/$Q$2))</f>
        <v>4780.33311933069</v>
      </c>
      <c r="H558" s="15" t="n">
        <f aca="false">G558*(1+IF(H$3&lt;=$O$2,$D558,$D558-($D558-$I$535)*MIN(H$3-$O$2,$Q$2)/$Q$2))</f>
        <v>5392.57430091271</v>
      </c>
      <c r="I558" s="15" t="n">
        <f aca="false">H558*(1+IF(I$3&lt;=$O$2,$D558,$D558-($D558-$I$535)*MIN(I$3-$O$2,$Q$2)/$Q$2))</f>
        <v>6083.2282740446</v>
      </c>
      <c r="J558" s="15" t="n">
        <f aca="false">I558*(1+IF(J$3&lt;=$O$2,$D558,$D558-($D558-$I$535)*MIN(J$3-$O$2,$Q$2)/$Q$2))</f>
        <v>6747.03016094465</v>
      </c>
      <c r="K558" s="15" t="n">
        <f aca="false">J558*(1+IF(K$3&lt;=$O$2,$D558,$D558-($D558-$I$535)*MIN(K$3-$O$2,$Q$2)/$Q$2))</f>
        <v>7355.37615007682</v>
      </c>
      <c r="L558" s="15" t="n">
        <f aca="false">K558*(1+IF(L$3&lt;=$O$2,$D558,$D558-($D558-$I$535)*MIN(L$3-$O$2,$Q$2)/$Q$2))</f>
        <v>7879.15249638603</v>
      </c>
      <c r="M558" s="15" t="n">
        <f aca="false">L558*(1+IF(M$3&lt;=$O$2,$D558,$D558-($D558-$I$535)*MIN(M$3-$O$2,$Q$2)/$Q$2))</f>
        <v>8290.87761579543</v>
      </c>
      <c r="N558" s="15" t="n">
        <f aca="false">M558*(1+IF(N$3&lt;=$O$2,$D558,$D558-($D558-$I$535)*MIN(N$3-$O$2,$Q$2)/$Q$2))</f>
        <v>8566.96384040142</v>
      </c>
      <c r="O558" s="15" t="n">
        <f aca="false">SUMPRODUCT(E558:N558,1/(1+$F$535)^$E$3:$N$3)*$E$2</f>
        <v>19479.6368542369</v>
      </c>
      <c r="P558" s="15" t="n">
        <f aca="false">N558*$E$2*(1+$I$535)/($F$535-$I$535)/(1+$F$535)^$N$3</f>
        <v>27477.6223260652</v>
      </c>
      <c r="Q558" s="15" t="n">
        <f aca="false">O558+P558</f>
        <v>46957.2591803021</v>
      </c>
      <c r="R558" s="15" t="n">
        <f aca="false">Q558-$G$2+$I$2</f>
        <v>40769.9591803021</v>
      </c>
      <c r="S558" s="42" t="n">
        <f aca="false">R558/$K$2</f>
        <v>560.797237693288</v>
      </c>
      <c r="T558" s="43" t="n">
        <f aca="false">S558-$M$2</f>
        <v>-0.000561481402201025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0.128075003623962</v>
      </c>
      <c r="C559" s="25" t="n">
        <f aca="false">IF(T558&gt;0,D558,C558)</f>
        <v>0.128075361251831</v>
      </c>
      <c r="D559" s="41" t="n">
        <f aca="false">(B559+C559)/2</f>
        <v>0.128075182437897</v>
      </c>
      <c r="E559" s="15" t="n">
        <f aca="false">$C$2*(1+IF(E$3&lt;=$O$2,$D559,$D559-($D559-$I$535)*MIN(E$3-$O$2,$Q$2)/$Q$2))</f>
        <v>3756.4903575182</v>
      </c>
      <c r="F559" s="15" t="n">
        <f aca="false">E559*(1+IF(F$3&lt;=$O$2,$D559,$D559-($D559-$I$535)*MIN(F$3-$O$2,$Q$2)/$Q$2))</f>
        <v>4237.60354538354</v>
      </c>
      <c r="G559" s="15" t="n">
        <f aca="false">F559*(1+IF(G$3&lt;=$O$2,$D559,$D559-($D559-$I$535)*MIN(G$3-$O$2,$Q$2)/$Q$2))</f>
        <v>4780.33539255801</v>
      </c>
      <c r="H559" s="15" t="n">
        <f aca="false">G559*(1+IF(H$3&lt;=$O$2,$D559,$D559-($D559-$I$535)*MIN(H$3-$O$2,$Q$2)/$Q$2))</f>
        <v>5392.57772007422</v>
      </c>
      <c r="I559" s="15" t="n">
        <f aca="false">H559*(1+IF(I$3&lt;=$O$2,$D559,$D559-($D559-$I$535)*MIN(I$3-$O$2,$Q$2)/$Q$2))</f>
        <v>6083.23309538326</v>
      </c>
      <c r="J559" s="15" t="n">
        <f aca="false">I559*(1+IF(J$3&lt;=$O$2,$D559,$D559-($D559-$I$535)*MIN(J$3-$O$2,$Q$2)/$Q$2))</f>
        <v>6747.03637860128</v>
      </c>
      <c r="K559" s="15" t="n">
        <f aca="false">J559*(1+IF(K$3&lt;=$O$2,$D559,$D559-($D559-$I$535)*MIN(K$3-$O$2,$Q$2)/$Q$2))</f>
        <v>7355.38365222694</v>
      </c>
      <c r="L559" s="15" t="n">
        <f aca="false">K559*(1+IF(L$3&lt;=$O$2,$D559,$D559-($D559-$I$535)*MIN(L$3-$O$2,$Q$2)/$Q$2))</f>
        <v>7879.16105886231</v>
      </c>
      <c r="M559" s="15" t="n">
        <f aca="false">L559*(1+IF(M$3&lt;=$O$2,$D559,$D559-($D559-$I$535)*MIN(M$3-$O$2,$Q$2)/$Q$2))</f>
        <v>8290.88690748468</v>
      </c>
      <c r="N559" s="15" t="n">
        <f aca="false">M559*(1+IF(N$3&lt;=$O$2,$D559,$D559-($D559-$I$535)*MIN(N$3-$O$2,$Q$2)/$Q$2))</f>
        <v>8566.97344150392</v>
      </c>
      <c r="O559" s="15" t="n">
        <f aca="false">SUMPRODUCT(E559:N559,1/(1+$F$535)^$E$3:$N$3)*$E$2</f>
        <v>19479.6518097113</v>
      </c>
      <c r="P559" s="15" t="n">
        <f aca="false">N559*$E$2*(1+$I$535)/($F$535-$I$535)/(1+$F$535)^$N$3</f>
        <v>27477.6531205769</v>
      </c>
      <c r="Q559" s="15" t="n">
        <f aca="false">O559+P559</f>
        <v>46957.3049302881</v>
      </c>
      <c r="R559" s="15" t="n">
        <f aca="false">Q559-$G$2+$I$2</f>
        <v>40770.0049302881</v>
      </c>
      <c r="S559" s="42" t="n">
        <f aca="false">R559/$K$2</f>
        <v>560.797866991584</v>
      </c>
      <c r="T559" s="43" t="n">
        <f aca="false">S559-$M$2</f>
        <v>6.78168933063716E-005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0.128075003623962</v>
      </c>
      <c r="C560" s="25" t="n">
        <f aca="false">IF(T559&gt;0,D559,C559)</f>
        <v>0.128075182437897</v>
      </c>
      <c r="D560" s="41" t="n">
        <f aca="false">(B560+C560)/2</f>
        <v>0.12807509303093</v>
      </c>
      <c r="E560" s="15" t="n">
        <f aca="false">$C$2*(1+IF(E$3&lt;=$O$2,$D560,$D560-($D560-$I$535)*MIN(E$3-$O$2,$Q$2)/$Q$2))</f>
        <v>3756.490059793</v>
      </c>
      <c r="F560" s="15" t="n">
        <f aca="false">E560*(1+IF(F$3&lt;=$O$2,$D560,$D560-($D560-$I$535)*MIN(F$3-$O$2,$Q$2)/$Q$2))</f>
        <v>4237.60287367075</v>
      </c>
      <c r="G560" s="15" t="n">
        <f aca="false">F560*(1+IF(G$3&lt;=$O$2,$D560,$D560-($D560-$I$535)*MIN(G$3-$O$2,$Q$2)/$Q$2))</f>
        <v>4780.33425594426</v>
      </c>
      <c r="H560" s="15" t="n">
        <f aca="false">G560*(1+IF(H$3&lt;=$O$2,$D560,$D560-($D560-$I$535)*MIN(H$3-$O$2,$Q$2)/$Q$2))</f>
        <v>5392.57601049326</v>
      </c>
      <c r="I560" s="15" t="n">
        <f aca="false">H560*(1+IF(I$3&lt;=$O$2,$D560,$D560-($D560-$I$535)*MIN(I$3-$O$2,$Q$2)/$Q$2))</f>
        <v>6083.23068471355</v>
      </c>
      <c r="J560" s="15" t="n">
        <f aca="false">I560*(1+IF(J$3&lt;=$O$2,$D560,$D560-($D560-$I$535)*MIN(J$3-$O$2,$Q$2)/$Q$2))</f>
        <v>6747.03326977237</v>
      </c>
      <c r="K560" s="15" t="n">
        <f aca="false">J560*(1+IF(K$3&lt;=$O$2,$D560,$D560-($D560-$I$535)*MIN(K$3-$O$2,$Q$2)/$Q$2))</f>
        <v>7355.37990115106</v>
      </c>
      <c r="L560" s="15" t="n">
        <f aca="false">K560*(1+IF(L$3&lt;=$O$2,$D560,$D560-($D560-$I$535)*MIN(L$3-$O$2,$Q$2)/$Q$2))</f>
        <v>7879.15677762316</v>
      </c>
      <c r="M560" s="15" t="n">
        <f aca="false">L560*(1+IF(M$3&lt;=$O$2,$D560,$D560-($D560-$I$535)*MIN(M$3-$O$2,$Q$2)/$Q$2))</f>
        <v>8290.88226163892</v>
      </c>
      <c r="N560" s="15" t="n">
        <f aca="false">M560*(1+IF(N$3&lt;=$O$2,$D560,$D560-($D560-$I$535)*MIN(N$3-$O$2,$Q$2)/$Q$2))</f>
        <v>8566.96864095149</v>
      </c>
      <c r="O560" s="15" t="n">
        <f aca="false">SUMPRODUCT(E560:N560,1/(1+$F$535)^$E$3:$N$3)*$E$2</f>
        <v>19479.6443319727</v>
      </c>
      <c r="P560" s="15" t="n">
        <f aca="false">N560*$E$2*(1+$I$535)/($F$535-$I$535)/(1+$F$535)^$N$3</f>
        <v>27477.6377233172</v>
      </c>
      <c r="Q560" s="15" t="n">
        <f aca="false">O560+P560</f>
        <v>46957.2820552899</v>
      </c>
      <c r="R560" s="15" t="n">
        <f aca="false">Q560-$G$2+$I$2</f>
        <v>40769.9820552899</v>
      </c>
      <c r="S560" s="42" t="n">
        <f aca="false">R560/$K$2</f>
        <v>560.797552342365</v>
      </c>
      <c r="T560" s="43" t="n">
        <f aca="false">S560-$M$2</f>
        <v>-0.000246832325956348</v>
      </c>
    </row>
    <row r="562" customFormat="false" ht="15" hidden="false" customHeight="false" outlineLevel="0" collapsed="false">
      <c r="A562" s="38" t="s">
        <v>201</v>
      </c>
      <c r="E562" s="5" t="s">
        <v>11</v>
      </c>
      <c r="F562" s="12" t="n">
        <f aca="false">Sensitivity!$B$13</f>
        <v>0.100330622875929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162</v>
      </c>
      <c r="B563" s="28" t="s">
        <v>163</v>
      </c>
      <c r="C563" s="28" t="s">
        <v>164</v>
      </c>
      <c r="D563" s="28" t="s">
        <v>165</v>
      </c>
      <c r="E563" s="28" t="s">
        <v>166</v>
      </c>
      <c r="F563" s="28" t="s">
        <v>167</v>
      </c>
      <c r="G563" s="28" t="s">
        <v>168</v>
      </c>
      <c r="H563" s="28" t="s">
        <v>169</v>
      </c>
      <c r="I563" s="28" t="s">
        <v>170</v>
      </c>
      <c r="J563" s="28" t="s">
        <v>171</v>
      </c>
      <c r="K563" s="28" t="s">
        <v>172</v>
      </c>
      <c r="L563" s="28" t="s">
        <v>173</v>
      </c>
      <c r="M563" s="28" t="s">
        <v>174</v>
      </c>
      <c r="N563" s="28" t="s">
        <v>175</v>
      </c>
      <c r="O563" s="28" t="s">
        <v>176</v>
      </c>
      <c r="P563" s="28" t="s">
        <v>177</v>
      </c>
      <c r="Q563" s="28" t="s">
        <v>178</v>
      </c>
      <c r="R563" s="28" t="s">
        <v>179</v>
      </c>
      <c r="S563" s="28" t="s">
        <v>180</v>
      </c>
      <c r="T563" s="28" t="s">
        <v>181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4162.5</v>
      </c>
      <c r="F564" s="15" t="n">
        <f aca="false">E564*(1+IF(F$3&lt;=$O$2,$D564,$D564-($D564-$I$562)*MIN(F$3-$O$2,$Q$2)/$Q$2))</f>
        <v>5203.125</v>
      </c>
      <c r="G564" s="15" t="n">
        <f aca="false">F564*(1+IF(G$3&lt;=$O$2,$D564,$D564-($D564-$I$562)*MIN(G$3-$O$2,$Q$2)/$Q$2))</f>
        <v>6503.90625</v>
      </c>
      <c r="H564" s="15" t="n">
        <f aca="false">G564*(1+IF(H$3&lt;=$O$2,$D564,$D564-($D564-$I$562)*MIN(H$3-$O$2,$Q$2)/$Q$2))</f>
        <v>8129.8828125</v>
      </c>
      <c r="I564" s="15" t="n">
        <f aca="false">H564*(1+IF(I$3&lt;=$O$2,$D564,$D564-($D564-$I$562)*MIN(I$3-$O$2,$Q$2)/$Q$2))</f>
        <v>10162.353515625</v>
      </c>
      <c r="J564" s="15" t="n">
        <f aca="false">I564*(1+IF(J$3&lt;=$O$2,$D564,$D564-($D564-$I$562)*MIN(J$3-$O$2,$Q$2)/$Q$2))</f>
        <v>12272.6678466797</v>
      </c>
      <c r="K564" s="15" t="n">
        <f aca="false">J564*(1+IF(K$3&lt;=$O$2,$D564,$D564-($D564-$I$562)*MIN(K$3-$O$2,$Q$2)/$Q$2))</f>
        <v>14301.5852950928</v>
      </c>
      <c r="L564" s="15" t="n">
        <f aca="false">K564*(1+IF(L$3&lt;=$O$2,$D564,$D564-($D564-$I$562)*MIN(L$3-$O$2,$Q$2)/$Q$2))</f>
        <v>16060.3942546833</v>
      </c>
      <c r="M564" s="15" t="n">
        <f aca="false">L564*(1+IF(M$3&lt;=$O$2,$D564,$D564-($D564-$I$562)*MIN(M$3-$O$2,$Q$2)/$Q$2))</f>
        <v>17355.5044473809</v>
      </c>
      <c r="N564" s="15" t="n">
        <f aca="false">M564*(1+IF(N$3&lt;=$O$2,$D564,$D564-($D564-$I$562)*MIN(N$3-$O$2,$Q$2)/$Q$2))</f>
        <v>18020.2202677156</v>
      </c>
      <c r="O564" s="15" t="n">
        <f aca="false">SUMPRODUCT(E564:N564,1/(1+$F$562)^$E$3:$N$3)*$E$2</f>
        <v>32904.8249292236</v>
      </c>
      <c r="P564" s="15" t="n">
        <f aca="false">N564*$E$2*(1+$I$562)/($F$562-$I$562)/(1+$F$562)^$N$3</f>
        <v>62758.9760064491</v>
      </c>
      <c r="Q564" s="15" t="n">
        <f aca="false">O564+P564</f>
        <v>95663.8009356727</v>
      </c>
      <c r="R564" s="15" t="n">
        <f aca="false">Q564-$G$2+$I$2</f>
        <v>89476.5009356727</v>
      </c>
      <c r="S564" s="42" t="n">
        <f aca="false">R564/$K$2</f>
        <v>1230.76342414956</v>
      </c>
      <c r="T564" s="43" t="n">
        <f aca="false">S564-$M$2</f>
        <v>669.965624974865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2913.75</v>
      </c>
      <c r="F565" s="15" t="n">
        <f aca="false">E565*(1+IF(F$3&lt;=$O$2,$D565,$D565-($D565-$I$562)*MIN(F$3-$O$2,$Q$2)/$Q$2))</f>
        <v>2549.53125</v>
      </c>
      <c r="G565" s="15" t="n">
        <f aca="false">F565*(1+IF(G$3&lt;=$O$2,$D565,$D565-($D565-$I$562)*MIN(G$3-$O$2,$Q$2)/$Q$2))</f>
        <v>2230.83984375</v>
      </c>
      <c r="H565" s="15" t="n">
        <f aca="false">G565*(1+IF(H$3&lt;=$O$2,$D565,$D565-($D565-$I$562)*MIN(H$3-$O$2,$Q$2)/$Q$2))</f>
        <v>1951.98486328125</v>
      </c>
      <c r="I565" s="15" t="n">
        <f aca="false">H565*(1+IF(I$3&lt;=$O$2,$D565,$D565-($D565-$I$562)*MIN(I$3-$O$2,$Q$2)/$Q$2))</f>
        <v>1707.98675537109</v>
      </c>
      <c r="J565" s="15" t="n">
        <f aca="false">I565*(1+IF(J$3&lt;=$O$2,$D565,$D565-($D565-$I$562)*MIN(J$3-$O$2,$Q$2)/$Q$2))</f>
        <v>1550.27125838013</v>
      </c>
      <c r="K565" s="15" t="n">
        <f aca="false">J565*(1+IF(K$3&lt;=$O$2,$D565,$D565-($D565-$I$562)*MIN(K$3-$O$2,$Q$2)/$Q$2))</f>
        <v>1457.75106968</v>
      </c>
      <c r="L565" s="15" t="n">
        <f aca="false">K565*(1+IF(L$3&lt;=$O$2,$D565,$D565-($D565-$I$562)*MIN(L$3-$O$2,$Q$2)/$Q$2))</f>
        <v>1418.36263577725</v>
      </c>
      <c r="M565" s="15" t="n">
        <f aca="false">L565*(1+IF(M$3&lt;=$O$2,$D565,$D565-($D565-$I$562)*MIN(M$3-$O$2,$Q$2)/$Q$2))</f>
        <v>1426.36220104303</v>
      </c>
      <c r="N565" s="15" t="n">
        <f aca="false">M565*(1+IF(N$3&lt;=$O$2,$D565,$D565-($D565-$I$562)*MIN(N$3-$O$2,$Q$2)/$Q$2))</f>
        <v>1480.99187334298</v>
      </c>
      <c r="O565" s="15" t="n">
        <f aca="false">SUMPRODUCT(E565:N565,1/(1+$F$562)^$E$3:$N$3)*$E$2</f>
        <v>6642.51453871862</v>
      </c>
      <c r="P565" s="15" t="n">
        <f aca="false">N565*$E$2*(1+$I$562)/($F$562-$I$562)/(1+$F$562)^$N$3</f>
        <v>5157.84668911045</v>
      </c>
      <c r="Q565" s="15" t="n">
        <f aca="false">O565+P565</f>
        <v>11800.3612278291</v>
      </c>
      <c r="R565" s="15" t="n">
        <f aca="false">Q565-$G$2+$I$2</f>
        <v>5613.06122782907</v>
      </c>
      <c r="S565" s="42" t="n">
        <f aca="false">R565/$K$2</f>
        <v>77.2085450870573</v>
      </c>
      <c r="T565" s="43" t="n">
        <f aca="false">S565-$M$2</f>
        <v>-483.589254087633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3538.125</v>
      </c>
      <c r="F566" s="15" t="n">
        <f aca="false">E566*(1+IF(F$3&lt;=$O$2,$D566,$D566-($D566-$I$562)*MIN(F$3-$O$2,$Q$2)/$Q$2))</f>
        <v>3759.2578125</v>
      </c>
      <c r="G566" s="15" t="n">
        <f aca="false">F566*(1+IF(G$3&lt;=$O$2,$D566,$D566-($D566-$I$562)*MIN(G$3-$O$2,$Q$2)/$Q$2))</f>
        <v>3994.21142578125</v>
      </c>
      <c r="H566" s="15" t="n">
        <f aca="false">G566*(1+IF(H$3&lt;=$O$2,$D566,$D566-($D566-$I$562)*MIN(H$3-$O$2,$Q$2)/$Q$2))</f>
        <v>4243.84963989258</v>
      </c>
      <c r="I566" s="15" t="n">
        <f aca="false">H566*(1+IF(I$3&lt;=$O$2,$D566,$D566-($D566-$I$562)*MIN(I$3-$O$2,$Q$2)/$Q$2))</f>
        <v>4509.09024238586</v>
      </c>
      <c r="J566" s="15" t="n">
        <f aca="false">I566*(1+IF(J$3&lt;=$O$2,$D566,$D566-($D566-$I$562)*MIN(J$3-$O$2,$Q$2)/$Q$2))</f>
        <v>4769.08438576183</v>
      </c>
      <c r="K566" s="15" t="n">
        <f aca="false">J566*(1+IF(K$3&lt;=$O$2,$D566,$D566-($D566-$I$562)*MIN(K$3-$O$2,$Q$2)/$Q$2))</f>
        <v>5020.98742301777</v>
      </c>
      <c r="L566" s="15" t="n">
        <f aca="false">K566*(1+IF(L$3&lt;=$O$2,$D566,$D566-($D566-$I$562)*MIN(L$3-$O$2,$Q$2)/$Q$2))</f>
        <v>5261.89439957417</v>
      </c>
      <c r="M566" s="15" t="n">
        <f aca="false">L566*(1+IF(M$3&lt;=$O$2,$D566,$D566-($D566-$I$562)*MIN(M$3-$O$2,$Q$2)/$Q$2))</f>
        <v>5488.8925239718</v>
      </c>
      <c r="N566" s="15" t="n">
        <f aca="false">M566*(1+IF(N$3&lt;=$O$2,$D566,$D566-($D566-$I$562)*MIN(N$3-$O$2,$Q$2)/$Q$2))</f>
        <v>5699.11710763992</v>
      </c>
      <c r="O566" s="15" t="n">
        <f aca="false">SUMPRODUCT(E566:N566,1/(1+$F$562)^$E$3:$N$3)*$E$2</f>
        <v>14738.6717678937</v>
      </c>
      <c r="P566" s="15" t="n">
        <f aca="false">N566*$E$2*(1+$I$562)/($F$562-$I$562)/(1+$F$562)^$N$3</f>
        <v>19848.3008810445</v>
      </c>
      <c r="Q566" s="15" t="n">
        <f aca="false">O566+P566</f>
        <v>34586.9726489383</v>
      </c>
      <c r="R566" s="15" t="n">
        <f aca="false">Q566-$G$2+$I$2</f>
        <v>28399.6726489383</v>
      </c>
      <c r="S566" s="42" t="n">
        <f aca="false">R566/$K$2</f>
        <v>390.641989669027</v>
      </c>
      <c r="T566" s="43" t="n">
        <f aca="false">S566-$M$2</f>
        <v>-170.155809505663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0.0625</v>
      </c>
      <c r="C567" s="25" t="n">
        <f aca="false">IF(T566&gt;0,D566,C566)</f>
        <v>0.25</v>
      </c>
      <c r="D567" s="41" t="n">
        <f aca="false">(B567+C567)/2</f>
        <v>0.15625</v>
      </c>
      <c r="E567" s="15" t="n">
        <f aca="false">$C$2*(1+IF(E$3&lt;=$O$2,$D567,$D567-($D567-$I$562)*MIN(E$3-$O$2,$Q$2)/$Q$2))</f>
        <v>3850.3125</v>
      </c>
      <c r="F567" s="15" t="n">
        <f aca="false">E567*(1+IF(F$3&lt;=$O$2,$D567,$D567-($D567-$I$562)*MIN(F$3-$O$2,$Q$2)/$Q$2))</f>
        <v>4451.923828125</v>
      </c>
      <c r="G567" s="15" t="n">
        <f aca="false">F567*(1+IF(G$3&lt;=$O$2,$D567,$D567-($D567-$I$562)*MIN(G$3-$O$2,$Q$2)/$Q$2))</f>
        <v>5147.53692626953</v>
      </c>
      <c r="H567" s="15" t="n">
        <f aca="false">G567*(1+IF(H$3&lt;=$O$2,$D567,$D567-($D567-$I$562)*MIN(H$3-$O$2,$Q$2)/$Q$2))</f>
        <v>5951.83957099915</v>
      </c>
      <c r="I567" s="15" t="n">
        <f aca="false">H567*(1+IF(I$3&lt;=$O$2,$D567,$D567-($D567-$I$562)*MIN(I$3-$O$2,$Q$2)/$Q$2))</f>
        <v>6881.81450396776</v>
      </c>
      <c r="J567" s="15" t="n">
        <f aca="false">I567*(1+IF(J$3&lt;=$O$2,$D567,$D567-($D567-$I$562)*MIN(J$3-$O$2,$Q$2)/$Q$2))</f>
        <v>7794.75601606413</v>
      </c>
      <c r="K567" s="15" t="n">
        <f aca="false">J567*(1+IF(K$3&lt;=$O$2,$D567,$D567-($D567-$I$562)*MIN(K$3-$O$2,$Q$2)/$Q$2))</f>
        <v>8644.93005473624</v>
      </c>
      <c r="L567" s="15" t="n">
        <f aca="false">K567*(1+IF(L$3&lt;=$O$2,$D567,$D567-($D567-$I$562)*MIN(L$3-$O$2,$Q$2)/$Q$2))</f>
        <v>9383.89867581509</v>
      </c>
      <c r="M567" s="15" t="n">
        <f aca="false">L567*(1+IF(M$3&lt;=$O$2,$D567,$D567-($D567-$I$562)*MIN(M$3-$O$2,$Q$2)/$Q$2))</f>
        <v>9964.66816486129</v>
      </c>
      <c r="N567" s="15" t="n">
        <f aca="false">M567*(1+IF(N$3&lt;=$O$2,$D567,$D567-($D567-$I$562)*MIN(N$3-$O$2,$Q$2)/$Q$2))</f>
        <v>10346.3149555755</v>
      </c>
      <c r="O567" s="15" t="n">
        <f aca="false">SUMPRODUCT(E567:N567,1/(1+$F$562)^$E$3:$N$3)*$E$2</f>
        <v>22054.802724311</v>
      </c>
      <c r="P567" s="15" t="n">
        <f aca="false">N567*$E$2*(1+$I$562)/($F$562-$I$562)/(1+$F$562)^$N$3</f>
        <v>36033.0851901645</v>
      </c>
      <c r="Q567" s="15" t="n">
        <f aca="false">O567+P567</f>
        <v>58087.8879144755</v>
      </c>
      <c r="R567" s="15" t="n">
        <f aca="false">Q567-$G$2+$I$2</f>
        <v>51900.5879144755</v>
      </c>
      <c r="S567" s="42" t="n">
        <f aca="false">R567/$K$2</f>
        <v>713.900796622772</v>
      </c>
      <c r="T567" s="43" t="n">
        <f aca="false">S567-$M$2</f>
        <v>153.102997448081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0.0625</v>
      </c>
      <c r="C568" s="25" t="n">
        <f aca="false">IF(T567&gt;0,D567,C567)</f>
        <v>0.15625</v>
      </c>
      <c r="D568" s="41" t="n">
        <f aca="false">(B568+C568)/2</f>
        <v>0.109375</v>
      </c>
      <c r="E568" s="15" t="n">
        <f aca="false">$C$2*(1+IF(E$3&lt;=$O$2,$D568,$D568-($D568-$I$562)*MIN(E$3-$O$2,$Q$2)/$Q$2))</f>
        <v>3694.21875</v>
      </c>
      <c r="F568" s="15" t="n">
        <f aca="false">E568*(1+IF(F$3&lt;=$O$2,$D568,$D568-($D568-$I$562)*MIN(F$3-$O$2,$Q$2)/$Q$2))</f>
        <v>4098.27392578125</v>
      </c>
      <c r="G568" s="15" t="n">
        <f aca="false">F568*(1+IF(G$3&lt;=$O$2,$D568,$D568-($D568-$I$562)*MIN(G$3-$O$2,$Q$2)/$Q$2))</f>
        <v>4546.52263641357</v>
      </c>
      <c r="H568" s="15" t="n">
        <f aca="false">G568*(1+IF(H$3&lt;=$O$2,$D568,$D568-($D568-$I$562)*MIN(H$3-$O$2,$Q$2)/$Q$2))</f>
        <v>5043.79854977131</v>
      </c>
      <c r="I568" s="15" t="n">
        <f aca="false">H568*(1+IF(I$3&lt;=$O$2,$D568,$D568-($D568-$I$562)*MIN(I$3-$O$2,$Q$2)/$Q$2))</f>
        <v>5595.46401615255</v>
      </c>
      <c r="J568" s="15" t="n">
        <f aca="false">I568*(1+IF(J$3&lt;=$O$2,$D568,$D568-($D568-$I$562)*MIN(J$3-$O$2,$Q$2)/$Q$2))</f>
        <v>6127.92837192962</v>
      </c>
      <c r="K568" s="15" t="n">
        <f aca="false">J568*(1+IF(K$3&lt;=$O$2,$D568,$D568-($D568-$I$562)*MIN(K$3-$O$2,$Q$2)/$Q$2))</f>
        <v>6623.95353399547</v>
      </c>
      <c r="L568" s="15" t="n">
        <f aca="false">K568*(1+IF(L$3&lt;=$O$2,$D568,$D568-($D568-$I$562)*MIN(L$3-$O$2,$Q$2)/$Q$2))</f>
        <v>7065.96995331898</v>
      </c>
      <c r="M568" s="15" t="n">
        <f aca="false">L568*(1+IF(M$3&lt;=$O$2,$D568,$D568-($D568-$I$562)*MIN(M$3-$O$2,$Q$2)/$Q$2))</f>
        <v>7437.03936541753</v>
      </c>
      <c r="N568" s="15" t="n">
        <f aca="false">M568*(1+IF(N$3&lt;=$O$2,$D568,$D568-($D568-$I$562)*MIN(N$3-$O$2,$Q$2)/$Q$2))</f>
        <v>7721.87797311302</v>
      </c>
      <c r="O568" s="15" t="n">
        <f aca="false">SUMPRODUCT(E568:N568,1/(1+$F$562)^$E$3:$N$3)*$E$2</f>
        <v>18031.5095252407</v>
      </c>
      <c r="P568" s="15" t="n">
        <f aca="false">N568*$E$2*(1+$I$562)/($F$562-$I$562)/(1+$F$562)^$N$3</f>
        <v>26892.9650825384</v>
      </c>
      <c r="Q568" s="15" t="n">
        <f aca="false">O568+P568</f>
        <v>44924.4746077791</v>
      </c>
      <c r="R568" s="15" t="n">
        <f aca="false">Q568-$G$2+$I$2</f>
        <v>38737.1746077791</v>
      </c>
      <c r="S568" s="42" t="n">
        <f aca="false">R568/$K$2</f>
        <v>532.835964343592</v>
      </c>
      <c r="T568" s="43" t="n">
        <f aca="false">S568-$M$2</f>
        <v>-27.9618348310989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0.109375</v>
      </c>
      <c r="C569" s="25" t="n">
        <f aca="false">IF(T568&gt;0,D568,C568)</f>
        <v>0.15625</v>
      </c>
      <c r="D569" s="41" t="n">
        <f aca="false">(B569+C569)/2</f>
        <v>0.1328125</v>
      </c>
      <c r="E569" s="15" t="n">
        <f aca="false">$C$2*(1+IF(E$3&lt;=$O$2,$D569,$D569-($D569-$I$562)*MIN(E$3-$O$2,$Q$2)/$Q$2))</f>
        <v>3772.265625</v>
      </c>
      <c r="F569" s="15" t="n">
        <f aca="false">E569*(1+IF(F$3&lt;=$O$2,$D569,$D569-($D569-$I$562)*MIN(F$3-$O$2,$Q$2)/$Q$2))</f>
        <v>4273.26965332031</v>
      </c>
      <c r="G569" s="15" t="n">
        <f aca="false">F569*(1+IF(G$3&lt;=$O$2,$D569,$D569-($D569-$I$562)*MIN(G$3-$O$2,$Q$2)/$Q$2))</f>
        <v>4840.81327915192</v>
      </c>
      <c r="H569" s="15" t="n">
        <f aca="false">G569*(1+IF(H$3&lt;=$O$2,$D569,$D569-($D569-$I$562)*MIN(H$3-$O$2,$Q$2)/$Q$2))</f>
        <v>5483.73379278928</v>
      </c>
      <c r="I569" s="15" t="n">
        <f aca="false">H569*(1+IF(I$3&lt;=$O$2,$D569,$D569-($D569-$I$562)*MIN(I$3-$O$2,$Q$2)/$Q$2))</f>
        <v>6212.04218714411</v>
      </c>
      <c r="J569" s="15" t="n">
        <f aca="false">I569*(1+IF(J$3&lt;=$O$2,$D569,$D569-($D569-$I$562)*MIN(J$3-$O$2,$Q$2)/$Q$2))</f>
        <v>6919.65591268169</v>
      </c>
      <c r="K569" s="15" t="n">
        <f aca="false">J569*(1+IF(K$3&lt;=$O$2,$D569,$D569-($D569-$I$562)*MIN(K$3-$O$2,$Q$2)/$Q$2))</f>
        <v>7577.0751218058</v>
      </c>
      <c r="L569" s="15" t="n">
        <f aca="false">K569*(1+IF(L$3&lt;=$O$2,$D569,$D569-($D569-$I$562)*MIN(L$3-$O$2,$Q$2)/$Q$2))</f>
        <v>8153.72842395083</v>
      </c>
      <c r="M569" s="15" t="n">
        <f aca="false">L569*(1+IF(M$3&lt;=$O$2,$D569,$D569-($D569-$I$562)*MIN(M$3-$O$2,$Q$2)/$Q$2))</f>
        <v>8620.14207412188</v>
      </c>
      <c r="N569" s="15" t="n">
        <f aca="false">M569*(1+IF(N$3&lt;=$O$2,$D569,$D569-($D569-$I$562)*MIN(N$3-$O$2,$Q$2)/$Q$2))</f>
        <v>8950.29351556074</v>
      </c>
      <c r="O569" s="15" t="n">
        <f aca="false">SUMPRODUCT(E569:N569,1/(1+$F$562)^$E$3:$N$3)*$E$2</f>
        <v>19943.2181137663</v>
      </c>
      <c r="P569" s="15" t="n">
        <f aca="false">N569*$E$2*(1+$I$562)/($F$562-$I$562)/(1+$F$562)^$N$3</f>
        <v>31171.1648164531</v>
      </c>
      <c r="Q569" s="15" t="n">
        <f aca="false">O569+P569</f>
        <v>51114.3829302194</v>
      </c>
      <c r="R569" s="15" t="n">
        <f aca="false">Q569-$G$2+$I$2</f>
        <v>44927.0829302194</v>
      </c>
      <c r="S569" s="42" t="n">
        <f aca="false">R569/$K$2</f>
        <v>617.979132465191</v>
      </c>
      <c r="T569" s="43" t="n">
        <f aca="false">S569-$M$2</f>
        <v>57.1813332905006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0.109375</v>
      </c>
      <c r="C570" s="25" t="n">
        <f aca="false">IF(T569&gt;0,D569,C569)</f>
        <v>0.1328125</v>
      </c>
      <c r="D570" s="41" t="n">
        <f aca="false">(B570+C570)/2</f>
        <v>0.12109375</v>
      </c>
      <c r="E570" s="15" t="n">
        <f aca="false">$C$2*(1+IF(E$3&lt;=$O$2,$D570,$D570-($D570-$I$562)*MIN(E$3-$O$2,$Q$2)/$Q$2))</f>
        <v>3733.2421875</v>
      </c>
      <c r="F570" s="15" t="n">
        <f aca="false">E570*(1+IF(F$3&lt;=$O$2,$D570,$D570-($D570-$I$562)*MIN(F$3-$O$2,$Q$2)/$Q$2))</f>
        <v>4185.31448364258</v>
      </c>
      <c r="G570" s="15" t="n">
        <f aca="false">F570*(1+IF(G$3&lt;=$O$2,$D570,$D570-($D570-$I$562)*MIN(G$3-$O$2,$Q$2)/$Q$2))</f>
        <v>4692.12990939617</v>
      </c>
      <c r="H570" s="15" t="n">
        <f aca="false">G570*(1+IF(H$3&lt;=$O$2,$D570,$D570-($D570-$I$562)*MIN(H$3-$O$2,$Q$2)/$Q$2))</f>
        <v>5260.31751561211</v>
      </c>
      <c r="I570" s="15" t="n">
        <f aca="false">H570*(1+IF(I$3&lt;=$O$2,$D570,$D570-($D570-$I$562)*MIN(I$3-$O$2,$Q$2)/$Q$2))</f>
        <v>5897.30908976827</v>
      </c>
      <c r="J570" s="15" t="n">
        <f aca="false">I570*(1+IF(J$3&lt;=$O$2,$D570,$D570-($D570-$I$562)*MIN(J$3-$O$2,$Q$2)/$Q$2))</f>
        <v>6513.7842954672</v>
      </c>
      <c r="K570" s="15" t="n">
        <f aca="false">J570*(1+IF(K$3&lt;=$O$2,$D570,$D570-($D570-$I$562)*MIN(K$3-$O$2,$Q$2)/$Q$2))</f>
        <v>7086.84261109129</v>
      </c>
      <c r="L570" s="15" t="n">
        <f aca="false">K570*(1+IF(L$3&lt;=$O$2,$D570,$D570-($D570-$I$562)*MIN(L$3-$O$2,$Q$2)/$Q$2))</f>
        <v>7592.9671932689</v>
      </c>
      <c r="M570" s="15" t="n">
        <f aca="false">L570*(1+IF(M$3&lt;=$O$2,$D570,$D570-($D570-$I$562)*MIN(M$3-$O$2,$Q$2)/$Q$2))</f>
        <v>8009.50788228264</v>
      </c>
      <c r="N570" s="15" t="n">
        <f aca="false">M570*(1+IF(N$3&lt;=$O$2,$D570,$D570-($D570-$I$562)*MIN(N$3-$O$2,$Q$2)/$Q$2))</f>
        <v>8316.27203417407</v>
      </c>
      <c r="O570" s="15" t="n">
        <f aca="false">SUMPRODUCT(E570:N570,1/(1+$F$562)^$E$3:$N$3)*$E$2</f>
        <v>18963.5123568715</v>
      </c>
      <c r="P570" s="15" t="n">
        <f aca="false">N570*$E$2*(1+$I$562)/($F$562-$I$562)/(1+$F$562)^$N$3</f>
        <v>28963.0597907223</v>
      </c>
      <c r="Q570" s="15" t="n">
        <f aca="false">O570+P570</f>
        <v>47926.5721475938</v>
      </c>
      <c r="R570" s="15" t="n">
        <f aca="false">Q570-$G$2+$I$2</f>
        <v>41739.2721475938</v>
      </c>
      <c r="S570" s="42" t="n">
        <f aca="false">R570/$K$2</f>
        <v>574.130290888498</v>
      </c>
      <c r="T570" s="43" t="n">
        <f aca="false">S570-$M$2</f>
        <v>13.3324917138071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0.109375</v>
      </c>
      <c r="C571" s="25" t="n">
        <f aca="false">IF(T570&gt;0,D570,C570)</f>
        <v>0.12109375</v>
      </c>
      <c r="D571" s="41" t="n">
        <f aca="false">(B571+C571)/2</f>
        <v>0.115234375</v>
      </c>
      <c r="E571" s="15" t="n">
        <f aca="false">$C$2*(1+IF(E$3&lt;=$O$2,$D571,$D571-($D571-$I$562)*MIN(E$3-$O$2,$Q$2)/$Q$2))</f>
        <v>3713.73046875</v>
      </c>
      <c r="F571" s="15" t="n">
        <f aca="false">E571*(1+IF(F$3&lt;=$O$2,$D571,$D571-($D571-$I$562)*MIN(F$3-$O$2,$Q$2)/$Q$2))</f>
        <v>4141.67987823486</v>
      </c>
      <c r="G571" s="15" t="n">
        <f aca="false">F571*(1+IF(G$3&lt;=$O$2,$D571,$D571-($D571-$I$562)*MIN(G$3-$O$2,$Q$2)/$Q$2))</f>
        <v>4618.94377045333</v>
      </c>
      <c r="H571" s="15" t="n">
        <f aca="false">G571*(1+IF(H$3&lt;=$O$2,$D571,$D571-($D571-$I$562)*MIN(H$3-$O$2,$Q$2)/$Q$2))</f>
        <v>5151.20486900167</v>
      </c>
      <c r="I571" s="15" t="n">
        <f aca="false">H571*(1+IF(I$3&lt;=$O$2,$D571,$D571-($D571-$I$562)*MIN(I$3-$O$2,$Q$2)/$Q$2))</f>
        <v>5744.80074257803</v>
      </c>
      <c r="J571" s="15" t="n">
        <f aca="false">I571*(1+IF(J$3&lt;=$O$2,$D571,$D571-($D571-$I$562)*MIN(J$3-$O$2,$Q$2)/$Q$2))</f>
        <v>6318.40473472259</v>
      </c>
      <c r="K571" s="15" t="n">
        <f aca="false">J571*(1+IF(K$3&lt;=$O$2,$D571,$D571-($D571-$I$562)*MIN(K$3-$O$2,$Q$2)/$Q$2))</f>
        <v>6852.06114762022</v>
      </c>
      <c r="L571" s="15" t="n">
        <f aca="false">K571*(1+IF(L$3&lt;=$O$2,$D571,$D571-($D571-$I$562)*MIN(L$3-$O$2,$Q$2)/$Q$2))</f>
        <v>7325.35870631565</v>
      </c>
      <c r="M571" s="15" t="n">
        <f aca="false">L571*(1+IF(M$3&lt;=$O$2,$D571,$D571-($D571-$I$562)*MIN(M$3-$O$2,$Q$2)/$Q$2))</f>
        <v>7718.63432351178</v>
      </c>
      <c r="N571" s="15" t="n">
        <f aca="false">M571*(1+IF(N$3&lt;=$O$2,$D571,$D571-($D571-$I$562)*MIN(N$3-$O$2,$Q$2)/$Q$2))</f>
        <v>8014.25801810228</v>
      </c>
      <c r="O571" s="15" t="n">
        <f aca="false">SUMPRODUCT(E571:N571,1/(1+$F$562)^$E$3:$N$3)*$E$2</f>
        <v>18491.6848262811</v>
      </c>
      <c r="P571" s="15" t="n">
        <f aca="false">N571*$E$2*(1+$I$562)/($F$562-$I$562)/(1+$F$562)^$N$3</f>
        <v>27911.2363331468</v>
      </c>
      <c r="Q571" s="15" t="n">
        <f aca="false">O571+P571</f>
        <v>46402.9211594279</v>
      </c>
      <c r="R571" s="15" t="n">
        <f aca="false">Q571-$G$2+$I$2</f>
        <v>40215.6211594279</v>
      </c>
      <c r="S571" s="42" t="n">
        <f aca="false">R571/$K$2</f>
        <v>553.172230528582</v>
      </c>
      <c r="T571" s="43" t="n">
        <f aca="false">S571-$M$2</f>
        <v>-7.62556864610838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0.115234375</v>
      </c>
      <c r="C572" s="25" t="n">
        <f aca="false">IF(T571&gt;0,D571,C571)</f>
        <v>0.12109375</v>
      </c>
      <c r="D572" s="41" t="n">
        <f aca="false">(B572+C572)/2</f>
        <v>0.1181640625</v>
      </c>
      <c r="E572" s="15" t="n">
        <f aca="false">$C$2*(1+IF(E$3&lt;=$O$2,$D572,$D572-($D572-$I$562)*MIN(E$3-$O$2,$Q$2)/$Q$2))</f>
        <v>3723.486328125</v>
      </c>
      <c r="F572" s="15" t="n">
        <f aca="false">E572*(1+IF(F$3&lt;=$O$2,$D572,$D572-($D572-$I$562)*MIN(F$3-$O$2,$Q$2)/$Q$2))</f>
        <v>4163.46859931946</v>
      </c>
      <c r="G572" s="15" t="n">
        <f aca="false">F572*(1+IF(G$3&lt;=$O$2,$D572,$D572-($D572-$I$562)*MIN(G$3-$O$2,$Q$2)/$Q$2))</f>
        <v>4655.44096310623</v>
      </c>
      <c r="H572" s="15" t="n">
        <f aca="false">G572*(1+IF(H$3&lt;=$O$2,$D572,$D572-($D572-$I$562)*MIN(H$3-$O$2,$Q$2)/$Q$2))</f>
        <v>5205.54678003578</v>
      </c>
      <c r="I572" s="15" t="n">
        <f aca="false">H572*(1+IF(I$3&lt;=$O$2,$D572,$D572-($D572-$I$562)*MIN(I$3-$O$2,$Q$2)/$Q$2))</f>
        <v>5820.6553350986</v>
      </c>
      <c r="J572" s="15" t="n">
        <f aca="false">I572*(1+IF(J$3&lt;=$O$2,$D572,$D572-($D572-$I$562)*MIN(J$3-$O$2,$Q$2)/$Q$2))</f>
        <v>6415.47537961149</v>
      </c>
      <c r="K572" s="15" t="n">
        <f aca="false">J572*(1+IF(K$3&lt;=$O$2,$D572,$D572-($D572-$I$562)*MIN(K$3-$O$2,$Q$2)/$Q$2))</f>
        <v>6968.60764266131</v>
      </c>
      <c r="L572" s="15" t="n">
        <f aca="false">K572*(1+IF(L$3&lt;=$O$2,$D572,$D572-($D572-$I$562)*MIN(L$3-$O$2,$Q$2)/$Q$2))</f>
        <v>7458.12184189983</v>
      </c>
      <c r="M572" s="15" t="n">
        <f aca="false">L572*(1+IF(M$3&lt;=$O$2,$D572,$D572-($D572-$I$562)*MIN(M$3-$O$2,$Q$2)/$Q$2))</f>
        <v>7862.89509022742</v>
      </c>
      <c r="N572" s="15" t="n">
        <f aca="false">M572*(1+IF(N$3&lt;=$O$2,$D572,$D572-($D572-$I$562)*MIN(N$3-$O$2,$Q$2)/$Q$2))</f>
        <v>8164.04397218313</v>
      </c>
      <c r="O572" s="15" t="n">
        <f aca="false">SUMPRODUCT(E572:N572,1/(1+$F$562)^$E$3:$N$3)*$E$2</f>
        <v>18726.125182216</v>
      </c>
      <c r="P572" s="15" t="n">
        <f aca="false">N572*$E$2*(1+$I$562)/($F$562-$I$562)/(1+$F$562)^$N$3</f>
        <v>28432.8955003827</v>
      </c>
      <c r="Q572" s="15" t="n">
        <f aca="false">O572+P572</f>
        <v>47159.0206825987</v>
      </c>
      <c r="R572" s="15" t="n">
        <f aca="false">Q572-$G$2+$I$2</f>
        <v>40971.7206825987</v>
      </c>
      <c r="S572" s="42" t="n">
        <f aca="false">R572/$K$2</f>
        <v>563.572499072884</v>
      </c>
      <c r="T572" s="43" t="n">
        <f aca="false">S572-$M$2</f>
        <v>2.77469989819372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0.115234375</v>
      </c>
      <c r="C573" s="25" t="n">
        <f aca="false">IF(T572&gt;0,D572,C572)</f>
        <v>0.1181640625</v>
      </c>
      <c r="D573" s="41" t="n">
        <f aca="false">(B573+C573)/2</f>
        <v>0.11669921875</v>
      </c>
      <c r="E573" s="15" t="n">
        <f aca="false">$C$2*(1+IF(E$3&lt;=$O$2,$D573,$D573-($D573-$I$562)*MIN(E$3-$O$2,$Q$2)/$Q$2))</f>
        <v>3718.6083984375</v>
      </c>
      <c r="F573" s="15" t="n">
        <f aca="false">E573*(1+IF(F$3&lt;=$O$2,$D573,$D573-($D573-$I$562)*MIN(F$3-$O$2,$Q$2)/$Q$2))</f>
        <v>4152.56709337235</v>
      </c>
      <c r="G573" s="15" t="n">
        <f aca="false">F573*(1+IF(G$3&lt;=$O$2,$D573,$D573-($D573-$I$562)*MIN(G$3-$O$2,$Q$2)/$Q$2))</f>
        <v>4637.16842897586</v>
      </c>
      <c r="H573" s="15" t="n">
        <f aca="false">G573*(1+IF(H$3&lt;=$O$2,$D573,$D573-($D573-$I$562)*MIN(H$3-$O$2,$Q$2)/$Q$2))</f>
        <v>5178.3223618495</v>
      </c>
      <c r="I573" s="15" t="n">
        <f aca="false">H573*(1+IF(I$3&lt;=$O$2,$D573,$D573-($D573-$I$562)*MIN(I$3-$O$2,$Q$2)/$Q$2))</f>
        <v>5782.628535913</v>
      </c>
      <c r="J573" s="15" t="n">
        <f aca="false">I573*(1+IF(J$3&lt;=$O$2,$D573,$D573-($D573-$I$562)*MIN(J$3-$O$2,$Q$2)/$Q$2))</f>
        <v>6366.78605646809</v>
      </c>
      <c r="K573" s="15" t="n">
        <f aca="false">J573*(1+IF(K$3&lt;=$O$2,$D573,$D573-($D573-$I$562)*MIN(K$3-$O$2,$Q$2)/$Q$2))</f>
        <v>6910.12459409611</v>
      </c>
      <c r="L573" s="15" t="n">
        <f aca="false">K573*(1+IF(L$3&lt;=$O$2,$D573,$D573-($D573-$I$562)*MIN(L$3-$O$2,$Q$2)/$Q$2))</f>
        <v>7391.48171390691</v>
      </c>
      <c r="M573" s="15" t="n">
        <f aca="false">L573*(1+IF(M$3&lt;=$O$2,$D573,$D573-($D573-$I$562)*MIN(M$3-$O$2,$Q$2)/$Q$2))</f>
        <v>7790.47274190459</v>
      </c>
      <c r="N573" s="15" t="n">
        <f aca="false">M573*(1+IF(N$3&lt;=$O$2,$D573,$D573-($D573-$I$562)*MIN(N$3-$O$2,$Q$2)/$Q$2))</f>
        <v>8088.84784791954</v>
      </c>
      <c r="O573" s="15" t="n">
        <f aca="false">SUMPRODUCT(E573:N573,1/(1+$F$562)^$E$3:$N$3)*$E$2</f>
        <v>18608.5387751959</v>
      </c>
      <c r="P573" s="15" t="n">
        <f aca="false">N573*$E$2*(1+$I$562)/($F$562-$I$562)/(1+$F$562)^$N$3</f>
        <v>28171.0101466896</v>
      </c>
      <c r="Q573" s="15" t="n">
        <f aca="false">O573+P573</f>
        <v>46779.5489218856</v>
      </c>
      <c r="R573" s="15" t="n">
        <f aca="false">Q573-$G$2+$I$2</f>
        <v>40592.2489218856</v>
      </c>
      <c r="S573" s="42" t="n">
        <f aca="false">R573/$K$2</f>
        <v>558.352804977793</v>
      </c>
      <c r="T573" s="43" t="n">
        <f aca="false">S573-$M$2</f>
        <v>-2.44499419689748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0.11669921875</v>
      </c>
      <c r="C574" s="25" t="n">
        <f aca="false">IF(T573&gt;0,D573,C573)</f>
        <v>0.1181640625</v>
      </c>
      <c r="D574" s="41" t="n">
        <f aca="false">(B574+C574)/2</f>
        <v>0.117431640625</v>
      </c>
      <c r="E574" s="15" t="n">
        <f aca="false">$C$2*(1+IF(E$3&lt;=$O$2,$D574,$D574-($D574-$I$562)*MIN(E$3-$O$2,$Q$2)/$Q$2))</f>
        <v>3721.04736328125</v>
      </c>
      <c r="F574" s="15" t="n">
        <f aca="false">E574*(1+IF(F$3&lt;=$O$2,$D574,$D574-($D574-$I$562)*MIN(F$3-$O$2,$Q$2)/$Q$2))</f>
        <v>4158.0160599947</v>
      </c>
      <c r="G574" s="15" t="n">
        <f aca="false">F574*(1+IF(G$3&lt;=$O$2,$D574,$D574-($D574-$I$562)*MIN(G$3-$O$2,$Q$2)/$Q$2))</f>
        <v>4646.29870766497</v>
      </c>
      <c r="H574" s="15" t="n">
        <f aca="false">G574*(1+IF(H$3&lt;=$O$2,$D574,$D574-($D574-$I$562)*MIN(H$3-$O$2,$Q$2)/$Q$2))</f>
        <v>5191.92118773989</v>
      </c>
      <c r="I574" s="15" t="n">
        <f aca="false">H574*(1+IF(I$3&lt;=$O$2,$D574,$D574-($D574-$I$562)*MIN(I$3-$O$2,$Q$2)/$Q$2))</f>
        <v>5801.61701081188</v>
      </c>
      <c r="J574" s="15" t="n">
        <f aca="false">I574*(1+IF(J$3&lt;=$O$2,$D574,$D574-($D574-$I$562)*MIN(J$3-$O$2,$Q$2)/$Q$2))</f>
        <v>6391.09212020074</v>
      </c>
      <c r="K574" s="15" t="n">
        <f aca="false">J574*(1+IF(K$3&lt;=$O$2,$D574,$D574-($D574-$I$562)*MIN(K$3-$O$2,$Q$2)/$Q$2))</f>
        <v>6939.31351131862</v>
      </c>
      <c r="L574" s="15" t="n">
        <f aca="false">K574*(1+IF(L$3&lt;=$O$2,$D574,$D574-($D574-$I$562)*MIN(L$3-$O$2,$Q$2)/$Q$2))</f>
        <v>7424.73692398688</v>
      </c>
      <c r="M574" s="15" t="n">
        <f aca="false">L574*(1+IF(M$3&lt;=$O$2,$D574,$D574-($D574-$I$562)*MIN(M$3-$O$2,$Q$2)/$Q$2))</f>
        <v>7826.61067097639</v>
      </c>
      <c r="N574" s="15" t="n">
        <f aca="false">M574*(1+IF(N$3&lt;=$O$2,$D574,$D574-($D574-$I$562)*MIN(N$3-$O$2,$Q$2)/$Q$2))</f>
        <v>8126.36985967479</v>
      </c>
      <c r="O574" s="15" t="n">
        <f aca="false">SUMPRODUCT(E574:N574,1/(1+$F$562)^$E$3:$N$3)*$E$2</f>
        <v>18667.2401568609</v>
      </c>
      <c r="P574" s="15" t="n">
        <f aca="false">N574*$E$2*(1+$I$562)/($F$562-$I$562)/(1+$F$562)^$N$3</f>
        <v>28301.6879630802</v>
      </c>
      <c r="Q574" s="15" t="n">
        <f aca="false">O574+P574</f>
        <v>46968.9281199411</v>
      </c>
      <c r="R574" s="15" t="n">
        <f aca="false">Q574-$G$2+$I$2</f>
        <v>40781.6281199411</v>
      </c>
      <c r="S574" s="42" t="n">
        <f aca="false">R574/$K$2</f>
        <v>560.957745803866</v>
      </c>
      <c r="T574" s="43" t="n">
        <f aca="false">S574-$M$2</f>
        <v>0.159946629175465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0.11669921875</v>
      </c>
      <c r="C575" s="25" t="n">
        <f aca="false">IF(T574&gt;0,D574,C574)</f>
        <v>0.117431640625</v>
      </c>
      <c r="D575" s="41" t="n">
        <f aca="false">(B575+C575)/2</f>
        <v>0.1170654296875</v>
      </c>
      <c r="E575" s="15" t="n">
        <f aca="false">$C$2*(1+IF(E$3&lt;=$O$2,$D575,$D575-($D575-$I$562)*MIN(E$3-$O$2,$Q$2)/$Q$2))</f>
        <v>3719.82788085938</v>
      </c>
      <c r="F575" s="15" t="n">
        <f aca="false">E575*(1+IF(F$3&lt;=$O$2,$D575,$D575-($D575-$I$562)*MIN(F$3-$O$2,$Q$2)/$Q$2))</f>
        <v>4155.29113009572</v>
      </c>
      <c r="G575" s="15" t="n">
        <f aca="false">F575*(1+IF(G$3&lt;=$O$2,$D575,$D575-($D575-$I$562)*MIN(G$3-$O$2,$Q$2)/$Q$2))</f>
        <v>4641.73207171703</v>
      </c>
      <c r="H575" s="15" t="n">
        <f aca="false">G575*(1+IF(H$3&lt;=$O$2,$D575,$D575-($D575-$I$562)*MIN(H$3-$O$2,$Q$2)/$Q$2))</f>
        <v>5185.11843118684</v>
      </c>
      <c r="I575" s="15" t="n">
        <f aca="false">H575*(1+IF(I$3&lt;=$O$2,$D575,$D575-($D575-$I$562)*MIN(I$3-$O$2,$Q$2)/$Q$2))</f>
        <v>5792.1165483143</v>
      </c>
      <c r="J575" s="15" t="n">
        <f aca="false">I575*(1+IF(J$3&lt;=$O$2,$D575,$D575-($D575-$I$562)*MIN(J$3-$O$2,$Q$2)/$Q$2))</f>
        <v>6378.92945109718</v>
      </c>
      <c r="K575" s="15" t="n">
        <f aca="false">J575*(1+IF(K$3&lt;=$O$2,$D575,$D575-($D575-$I$562)*MIN(K$3-$O$2,$Q$2)/$Q$2))</f>
        <v>6924.70592057136</v>
      </c>
      <c r="L575" s="15" t="n">
        <f aca="false">K575*(1+IF(L$3&lt;=$O$2,$D575,$D575-($D575-$I$562)*MIN(L$3-$O$2,$Q$2)/$Q$2))</f>
        <v>7408.09313224659</v>
      </c>
      <c r="M575" s="15" t="n">
        <f aca="false">L575*(1+IF(M$3&lt;=$O$2,$D575,$D575-($D575-$I$562)*MIN(M$3-$O$2,$Q$2)/$Q$2))</f>
        <v>7808.52342695692</v>
      </c>
      <c r="N575" s="15" t="n">
        <f aca="false">M575*(1+IF(N$3&lt;=$O$2,$D575,$D575-($D575-$I$562)*MIN(N$3-$O$2,$Q$2)/$Q$2))</f>
        <v>8107.58987420937</v>
      </c>
      <c r="O575" s="15" t="n">
        <f aca="false">SUMPRODUCT(E575:N575,1/(1+$F$562)^$E$3:$N$3)*$E$2</f>
        <v>18637.8665436916</v>
      </c>
      <c r="P575" s="15" t="n">
        <f aca="false">N575*$E$2*(1+$I$562)/($F$562-$I$562)/(1+$F$562)^$N$3</f>
        <v>28236.282954722</v>
      </c>
      <c r="Q575" s="15" t="n">
        <f aca="false">O575+P575</f>
        <v>46874.1494984136</v>
      </c>
      <c r="R575" s="15" t="n">
        <f aca="false">Q575-$G$2+$I$2</f>
        <v>40686.8494984136</v>
      </c>
      <c r="S575" s="42" t="n">
        <f aca="false">R575/$K$2</f>
        <v>559.654050872264</v>
      </c>
      <c r="T575" s="43" t="n">
        <f aca="false">S575-$M$2</f>
        <v>-1.14374830242673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0.1170654296875</v>
      </c>
      <c r="C576" s="25" t="n">
        <f aca="false">IF(T575&gt;0,D575,C575)</f>
        <v>0.117431640625</v>
      </c>
      <c r="D576" s="41" t="n">
        <f aca="false">(B576+C576)/2</f>
        <v>0.11724853515625</v>
      </c>
      <c r="E576" s="15" t="n">
        <f aca="false">$C$2*(1+IF(E$3&lt;=$O$2,$D576,$D576-($D576-$I$562)*MIN(E$3-$O$2,$Q$2)/$Q$2))</f>
        <v>3720.43762207031</v>
      </c>
      <c r="F576" s="15" t="n">
        <f aca="false">E576*(1+IF(F$3&lt;=$O$2,$D576,$D576-($D576-$I$562)*MIN(F$3-$O$2,$Q$2)/$Q$2))</f>
        <v>4156.65348339826</v>
      </c>
      <c r="G576" s="15" t="n">
        <f aca="false">F576*(1+IF(G$3&lt;=$O$2,$D576,$D576-($D576-$I$562)*MIN(G$3-$O$2,$Q$2)/$Q$2))</f>
        <v>4644.01501547883</v>
      </c>
      <c r="H576" s="15" t="n">
        <f aca="false">G576*(1+IF(H$3&lt;=$O$2,$D576,$D576-($D576-$I$562)*MIN(H$3-$O$2,$Q$2)/$Q$2))</f>
        <v>5188.51897328735</v>
      </c>
      <c r="I576" s="15" t="n">
        <f aca="false">H576*(1+IF(I$3&lt;=$O$2,$D576,$D576-($D576-$I$562)*MIN(I$3-$O$2,$Q$2)/$Q$2))</f>
        <v>5796.8652225357</v>
      </c>
      <c r="J576" s="15" t="n">
        <f aca="false">I576*(1+IF(J$3&lt;=$O$2,$D576,$D576-($D576-$I$562)*MIN(J$3-$O$2,$Q$2)/$Q$2))</f>
        <v>6385.00837481274</v>
      </c>
      <c r="K576" s="15" t="n">
        <f aca="false">J576*(1+IF(K$3&lt;=$O$2,$D576,$D576-($D576-$I$562)*MIN(K$3-$O$2,$Q$2)/$Q$2))</f>
        <v>6932.00643045918</v>
      </c>
      <c r="L576" s="15" t="n">
        <f aca="false">K576*(1+IF(L$3&lt;=$O$2,$D576,$D576-($D576-$I$562)*MIN(L$3-$O$2,$Q$2)/$Q$2))</f>
        <v>7416.41097809715</v>
      </c>
      <c r="M576" s="15" t="n">
        <f aca="false">L576*(1+IF(M$3&lt;=$O$2,$D576,$D576-($D576-$I$562)*MIN(M$3-$O$2,$Q$2)/$Q$2))</f>
        <v>7817.56247512578</v>
      </c>
      <c r="N576" s="15" t="n">
        <f aca="false">M576*(1+IF(N$3&lt;=$O$2,$D576,$D576-($D576-$I$562)*MIN(N$3-$O$2,$Q$2)/$Q$2))</f>
        <v>8116.97511792309</v>
      </c>
      <c r="O576" s="15" t="n">
        <f aca="false">SUMPRODUCT(E576:N576,1/(1+$F$562)^$E$3:$N$3)*$E$2</f>
        <v>18652.5476155547</v>
      </c>
      <c r="P576" s="15" t="n">
        <f aca="false">N576*$E$2*(1+$I$562)/($F$562-$I$562)/(1+$F$562)^$N$3</f>
        <v>28268.9689195046</v>
      </c>
      <c r="Q576" s="15" t="n">
        <f aca="false">O576+P576</f>
        <v>46921.5165350593</v>
      </c>
      <c r="R576" s="15" t="n">
        <f aca="false">Q576-$G$2+$I$2</f>
        <v>40734.2165350593</v>
      </c>
      <c r="S576" s="42" t="n">
        <f aca="false">R576/$K$2</f>
        <v>560.305591954048</v>
      </c>
      <c r="T576" s="43" t="n">
        <f aca="false">S576-$M$2</f>
        <v>-0.492207220642968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0.11724853515625</v>
      </c>
      <c r="C577" s="25" t="n">
        <f aca="false">IF(T576&gt;0,D576,C576)</f>
        <v>0.117431640625</v>
      </c>
      <c r="D577" s="41" t="n">
        <f aca="false">(B577+C577)/2</f>
        <v>0.117340087890625</v>
      </c>
      <c r="E577" s="15" t="n">
        <f aca="false">$C$2*(1+IF(E$3&lt;=$O$2,$D577,$D577-($D577-$I$562)*MIN(E$3-$O$2,$Q$2)/$Q$2))</f>
        <v>3720.74249267578</v>
      </c>
      <c r="F577" s="15" t="n">
        <f aca="false">E577*(1+IF(F$3&lt;=$O$2,$D577,$D577-($D577-$I$562)*MIN(F$3-$O$2,$Q$2)/$Q$2))</f>
        <v>4157.33474378474</v>
      </c>
      <c r="G577" s="15" t="n">
        <f aca="false">F577*(1+IF(G$3&lt;=$O$2,$D577,$D577-($D577-$I$562)*MIN(G$3-$O$2,$Q$2)/$Q$2))</f>
        <v>4645.15676801119</v>
      </c>
      <c r="H577" s="15" t="n">
        <f aca="false">G577*(1+IF(H$3&lt;=$O$2,$D577,$D577-($D577-$I$562)*MIN(H$3-$O$2,$Q$2)/$Q$2))</f>
        <v>5190.21987143536</v>
      </c>
      <c r="I577" s="15" t="n">
        <f aca="false">H577*(1+IF(I$3&lt;=$O$2,$D577,$D577-($D577-$I$562)*MIN(I$3-$O$2,$Q$2)/$Q$2))</f>
        <v>5799.24072732125</v>
      </c>
      <c r="J577" s="15" t="n">
        <f aca="false">I577*(1+IF(J$3&lt;=$O$2,$D577,$D577-($D577-$I$562)*MIN(J$3-$O$2,$Q$2)/$Q$2))</f>
        <v>6388.04964460674</v>
      </c>
      <c r="K577" s="15" t="n">
        <f aca="false">J577*(1+IF(K$3&lt;=$O$2,$D577,$D577-($D577-$I$562)*MIN(K$3-$O$2,$Q$2)/$Q$2))</f>
        <v>6935.65914921082</v>
      </c>
      <c r="L577" s="15" t="n">
        <f aca="false">K577*(1+IF(L$3&lt;=$O$2,$D577,$D577-($D577-$I$562)*MIN(L$3-$O$2,$Q$2)/$Q$2))</f>
        <v>7420.57293811881</v>
      </c>
      <c r="M577" s="15" t="n">
        <f aca="false">L577*(1+IF(M$3&lt;=$O$2,$D577,$D577-($D577-$I$562)*MIN(M$3-$O$2,$Q$2)/$Q$2))</f>
        <v>7822.0854290943</v>
      </c>
      <c r="N577" s="15" t="n">
        <f aca="false">M577*(1+IF(N$3&lt;=$O$2,$D577,$D577-($D577-$I$562)*MIN(N$3-$O$2,$Q$2)/$Q$2))</f>
        <v>8121.67130102861</v>
      </c>
      <c r="O577" s="15" t="n">
        <f aca="false">SUMPRODUCT(E577:N577,1/(1+$F$562)^$E$3:$N$3)*$E$2</f>
        <v>18659.89245201</v>
      </c>
      <c r="P577" s="15" t="n">
        <f aca="false">N577*$E$2*(1+$I$562)/($F$562-$I$562)/(1+$F$562)^$N$3</f>
        <v>28285.3243046476</v>
      </c>
      <c r="Q577" s="15" t="n">
        <f aca="false">O577+P577</f>
        <v>46945.2167566576</v>
      </c>
      <c r="R577" s="15" t="n">
        <f aca="false">Q577-$G$2+$I$2</f>
        <v>40757.9167566576</v>
      </c>
      <c r="S577" s="42" t="n">
        <f aca="false">R577/$K$2</f>
        <v>560.631592251136</v>
      </c>
      <c r="T577" s="43" t="n">
        <f aca="false">S577-$M$2</f>
        <v>-0.166206923554796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0.117340087890625</v>
      </c>
      <c r="C578" s="25" t="n">
        <f aca="false">IF(T577&gt;0,D577,C577)</f>
        <v>0.117431640625</v>
      </c>
      <c r="D578" s="41" t="n">
        <f aca="false">(B578+C578)/2</f>
        <v>0.117385864257813</v>
      </c>
      <c r="E578" s="15" t="n">
        <f aca="false">$C$2*(1+IF(E$3&lt;=$O$2,$D578,$D578-($D578-$I$562)*MIN(E$3-$O$2,$Q$2)/$Q$2))</f>
        <v>3720.89492797852</v>
      </c>
      <c r="F578" s="15" t="n">
        <f aca="false">E578*(1+IF(F$3&lt;=$O$2,$D578,$D578-($D578-$I$562)*MIN(F$3-$O$2,$Q$2)/$Q$2))</f>
        <v>4157.67539491179</v>
      </c>
      <c r="G578" s="15" t="n">
        <f aca="false">F578*(1+IF(G$3&lt;=$O$2,$D578,$D578-($D578-$I$562)*MIN(G$3-$O$2,$Q$2)/$Q$2))</f>
        <v>4645.72771444695</v>
      </c>
      <c r="H578" s="15" t="n">
        <f aca="false">G578*(1+IF(H$3&lt;=$O$2,$D578,$D578-($D578-$I$562)*MIN(H$3-$O$2,$Q$2)/$Q$2))</f>
        <v>5191.07047731377</v>
      </c>
      <c r="I578" s="15" t="n">
        <f aca="false">H578*(1+IF(I$3&lt;=$O$2,$D578,$D578-($D578-$I$562)*MIN(I$3-$O$2,$Q$2)/$Q$2))</f>
        <v>5800.42877171647</v>
      </c>
      <c r="J578" s="15" t="n">
        <f aca="false">I578*(1+IF(J$3&lt;=$O$2,$D578,$D578-($D578-$I$562)*MIN(J$3-$O$2,$Q$2)/$Q$2))</f>
        <v>6389.57073165487</v>
      </c>
      <c r="K578" s="15" t="n">
        <f aca="false">J578*(1+IF(K$3&lt;=$O$2,$D578,$D578-($D578-$I$562)*MIN(K$3-$O$2,$Q$2)/$Q$2))</f>
        <v>6937.48612480686</v>
      </c>
      <c r="L578" s="15" t="n">
        <f aca="false">K578*(1+IF(L$3&lt;=$O$2,$D578,$D578-($D578-$I$562)*MIN(L$3-$O$2,$Q$2)/$Q$2))</f>
        <v>7422.65467776973</v>
      </c>
      <c r="M578" s="15" t="n">
        <f aca="false">L578*(1+IF(M$3&lt;=$O$2,$D578,$D578-($D578-$I$562)*MIN(M$3-$O$2,$Q$2)/$Q$2))</f>
        <v>7824.34776398406</v>
      </c>
      <c r="N578" s="15" t="n">
        <f aca="false">M578*(1+IF(N$3&lt;=$O$2,$D578,$D578-($D578-$I$562)*MIN(N$3-$O$2,$Q$2)/$Q$2))</f>
        <v>8124.02028334465</v>
      </c>
      <c r="O578" s="15" t="n">
        <f aca="false">SUMPRODUCT(E578:N578,1/(1+$F$562)^$E$3:$N$3)*$E$2</f>
        <v>18663.5659458213</v>
      </c>
      <c r="P578" s="15" t="n">
        <f aca="false">N578*$E$2*(1+$I$562)/($F$562-$I$562)/(1+$F$562)^$N$3</f>
        <v>28293.5050994782</v>
      </c>
      <c r="Q578" s="15" t="n">
        <f aca="false">O578+P578</f>
        <v>46957.0710452994</v>
      </c>
      <c r="R578" s="15" t="n">
        <f aca="false">Q578-$G$2+$I$2</f>
        <v>40769.7710452994</v>
      </c>
      <c r="S578" s="42" t="n">
        <f aca="false">R578/$K$2</f>
        <v>560.794649866567</v>
      </c>
      <c r="T578" s="43" t="n">
        <f aca="false">S578-$M$2</f>
        <v>-0.00314930812328385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0.117385864257813</v>
      </c>
      <c r="C579" s="25" t="n">
        <f aca="false">IF(T578&gt;0,D578,C578)</f>
        <v>0.117431640625</v>
      </c>
      <c r="D579" s="41" t="n">
        <f aca="false">(B579+C579)/2</f>
        <v>0.117408752441406</v>
      </c>
      <c r="E579" s="15" t="n">
        <f aca="false">$C$2*(1+IF(E$3&lt;=$O$2,$D579,$D579-($D579-$I$562)*MIN(E$3-$O$2,$Q$2)/$Q$2))</f>
        <v>3720.97114562988</v>
      </c>
      <c r="F579" s="15" t="n">
        <f aca="false">E579*(1+IF(F$3&lt;=$O$2,$D579,$D579-($D579-$I$562)*MIN(F$3-$O$2,$Q$2)/$Q$2))</f>
        <v>4157.84572570876</v>
      </c>
      <c r="G579" s="15" t="n">
        <f aca="false">F579*(1+IF(G$3&lt;=$O$2,$D579,$D579-($D579-$I$562)*MIN(G$3-$O$2,$Q$2)/$Q$2))</f>
        <v>4646.01320520806</v>
      </c>
      <c r="H579" s="15" t="n">
        <f aca="false">G579*(1+IF(H$3&lt;=$O$2,$D579,$D579-($D579-$I$562)*MIN(H$3-$O$2,$Q$2)/$Q$2))</f>
        <v>5191.49581945783</v>
      </c>
      <c r="I579" s="15" t="n">
        <f aca="false">H579*(1+IF(I$3&lt;=$O$2,$D579,$D579-($D579-$I$562)*MIN(I$3-$O$2,$Q$2)/$Q$2))</f>
        <v>5801.02286692515</v>
      </c>
      <c r="J579" s="15" t="n">
        <f aca="false">I579*(1+IF(J$3&lt;=$O$2,$D579,$D579-($D579-$I$562)*MIN(J$3-$O$2,$Q$2)/$Q$2))</f>
        <v>6390.3313882376</v>
      </c>
      <c r="K579" s="15" t="n">
        <f aca="false">J579*(1+IF(K$3&lt;=$O$2,$D579,$D579-($D579-$I$562)*MIN(K$3-$O$2,$Q$2)/$Q$2))</f>
        <v>6938.39976669348</v>
      </c>
      <c r="L579" s="15" t="n">
        <f aca="false">K579*(1+IF(L$3&lt;=$O$2,$D579,$D579-($D579-$I$562)*MIN(L$3-$O$2,$Q$2)/$Q$2))</f>
        <v>7423.69573755099</v>
      </c>
      <c r="M579" s="15" t="n">
        <f aca="false">L579*(1+IF(M$3&lt;=$O$2,$D579,$D579-($D579-$I$562)*MIN(M$3-$O$2,$Q$2)/$Q$2))</f>
        <v>7825.47914595964</v>
      </c>
      <c r="N579" s="15" t="n">
        <f aca="false">M579*(1+IF(N$3&lt;=$O$2,$D579,$D579-($D579-$I$562)*MIN(N$3-$O$2,$Q$2)/$Q$2))</f>
        <v>8125.1949972499</v>
      </c>
      <c r="O579" s="15" t="n">
        <f aca="false">SUMPRODUCT(E579:N579,1/(1+$F$562)^$E$3:$N$3)*$E$2</f>
        <v>18665.4029616794</v>
      </c>
      <c r="P579" s="15" t="n">
        <f aca="false">N579*$E$2*(1+$I$562)/($F$562-$I$562)/(1+$F$562)^$N$3</f>
        <v>28297.5962726547</v>
      </c>
      <c r="Q579" s="15" t="n">
        <f aca="false">O579+P579</f>
        <v>46962.9992343341</v>
      </c>
      <c r="R579" s="15" t="n">
        <f aca="false">Q579-$G$2+$I$2</f>
        <v>40775.6992343341</v>
      </c>
      <c r="S579" s="42" t="n">
        <f aca="false">R579/$K$2</f>
        <v>560.876193044486</v>
      </c>
      <c r="T579" s="43" t="n">
        <f aca="false">S579-$M$2</f>
        <v>0.0783938697952635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0.117385864257813</v>
      </c>
      <c r="C580" s="25" t="n">
        <f aca="false">IF(T579&gt;0,D579,C579)</f>
        <v>0.117408752441406</v>
      </c>
      <c r="D580" s="41" t="n">
        <f aca="false">(B580+C580)/2</f>
        <v>0.117397308349609</v>
      </c>
      <c r="E580" s="15" t="n">
        <f aca="false">$C$2*(1+IF(E$3&lt;=$O$2,$D580,$D580-($D580-$I$562)*MIN(E$3-$O$2,$Q$2)/$Q$2))</f>
        <v>3720.9330368042</v>
      </c>
      <c r="F580" s="15" t="n">
        <f aca="false">E580*(1+IF(F$3&lt;=$O$2,$D580,$D580-($D580-$I$562)*MIN(F$3-$O$2,$Q$2)/$Q$2))</f>
        <v>4157.76055987415</v>
      </c>
      <c r="G580" s="15" t="n">
        <f aca="false">F580*(1+IF(G$3&lt;=$O$2,$D580,$D580-($D580-$I$562)*MIN(G$3-$O$2,$Q$2)/$Q$2))</f>
        <v>4645.87045836554</v>
      </c>
      <c r="H580" s="15" t="n">
        <f aca="false">G580*(1+IF(H$3&lt;=$O$2,$D580,$D580-($D580-$I$562)*MIN(H$3-$O$2,$Q$2)/$Q$2))</f>
        <v>5191.28314511862</v>
      </c>
      <c r="I580" s="15" t="n">
        <f aca="false">H580*(1+IF(I$3&lt;=$O$2,$D580,$D580-($D580-$I$562)*MIN(I$3-$O$2,$Q$2)/$Q$2))</f>
        <v>5800.72581323624</v>
      </c>
      <c r="J580" s="15" t="n">
        <f aca="false">I580*(1+IF(J$3&lt;=$O$2,$D580,$D580-($D580-$I$562)*MIN(J$3-$O$2,$Q$2)/$Q$2))</f>
        <v>6389.95105052406</v>
      </c>
      <c r="K580" s="15" t="n">
        <f aca="false">J580*(1+IF(K$3&lt;=$O$2,$D580,$D580-($D580-$I$562)*MIN(K$3-$O$2,$Q$2)/$Q$2))</f>
        <v>6937.94293290846</v>
      </c>
      <c r="L580" s="15" t="n">
        <f aca="false">K580*(1+IF(L$3&lt;=$O$2,$D580,$D580-($D580-$I$562)*MIN(L$3-$O$2,$Q$2)/$Q$2))</f>
        <v>7423.17519182935</v>
      </c>
      <c r="M580" s="15" t="n">
        <f aca="false">L580*(1+IF(M$3&lt;=$O$2,$D580,$D580-($D580-$I$562)*MIN(M$3-$O$2,$Q$2)/$Q$2))</f>
        <v>7824.91343709268</v>
      </c>
      <c r="N580" s="15" t="n">
        <f aca="false">M580*(1+IF(N$3&lt;=$O$2,$D580,$D580-($D580-$I$562)*MIN(N$3-$O$2,$Q$2)/$Q$2))</f>
        <v>8124.60762173333</v>
      </c>
      <c r="O580" s="15" t="n">
        <f aca="false">SUMPRODUCT(E580:N580,1/(1+$F$562)^$E$3:$N$3)*$E$2</f>
        <v>18664.484431336</v>
      </c>
      <c r="P580" s="15" t="n">
        <f aca="false">N580*$E$2*(1+$I$562)/($F$562-$I$562)/(1+$F$562)^$N$3</f>
        <v>28295.5506214138</v>
      </c>
      <c r="Q580" s="15" t="n">
        <f aca="false">O580+P580</f>
        <v>46960.0350527498</v>
      </c>
      <c r="R580" s="15" t="n">
        <f aca="false">Q580-$G$2+$I$2</f>
        <v>40772.7350527498</v>
      </c>
      <c r="S580" s="42" t="n">
        <f aca="false">R580/$K$2</f>
        <v>560.835420257906</v>
      </c>
      <c r="T580" s="43" t="n">
        <f aca="false">S580-$M$2</f>
        <v>0.0376210832156403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0.117385864257813</v>
      </c>
      <c r="C581" s="25" t="n">
        <f aca="false">IF(T580&gt;0,D580,C580)</f>
        <v>0.117397308349609</v>
      </c>
      <c r="D581" s="41" t="n">
        <f aca="false">(B581+C581)/2</f>
        <v>0.117391586303711</v>
      </c>
      <c r="E581" s="15" t="n">
        <f aca="false">$C$2*(1+IF(E$3&lt;=$O$2,$D581,$D581-($D581-$I$562)*MIN(E$3-$O$2,$Q$2)/$Q$2))</f>
        <v>3720.91398239136</v>
      </c>
      <c r="F581" s="15" t="n">
        <f aca="false">E581*(1+IF(F$3&lt;=$O$2,$D581,$D581-($D581-$I$562)*MIN(F$3-$O$2,$Q$2)/$Q$2))</f>
        <v>4157.71797728394</v>
      </c>
      <c r="G581" s="15" t="n">
        <f aca="false">F581*(1+IF(G$3&lt;=$O$2,$D581,$D581-($D581-$I$562)*MIN(G$3-$O$2,$Q$2)/$Q$2))</f>
        <v>4645.79908604076</v>
      </c>
      <c r="H581" s="15" t="n">
        <f aca="false">G581*(1+IF(H$3&lt;=$O$2,$D581,$D581-($D581-$I$562)*MIN(H$3-$O$2,$Q$2)/$Q$2))</f>
        <v>5191.17681039941</v>
      </c>
      <c r="I581" s="15" t="n">
        <f aca="false">H581*(1+IF(I$3&lt;=$O$2,$D581,$D581-($D581-$I$562)*MIN(I$3-$O$2,$Q$2)/$Q$2))</f>
        <v>5800.57729095524</v>
      </c>
      <c r="J581" s="15" t="n">
        <f aca="false">I581*(1+IF(J$3&lt;=$O$2,$D581,$D581-($D581-$I$562)*MIN(J$3-$O$2,$Q$2)/$Q$2))</f>
        <v>6389.76088873397</v>
      </c>
      <c r="K581" s="15" t="n">
        <f aca="false">J581*(1+IF(K$3&lt;=$O$2,$D581,$D581-($D581-$I$562)*MIN(K$3-$O$2,$Q$2)/$Q$2))</f>
        <v>6937.7145256473</v>
      </c>
      <c r="L581" s="15" t="n">
        <f aca="false">K581*(1+IF(L$3&lt;=$O$2,$D581,$D581-($D581-$I$562)*MIN(L$3-$O$2,$Q$2)/$Q$2))</f>
        <v>7422.91493084189</v>
      </c>
      <c r="M581" s="15" t="n">
        <f aca="false">L581*(1+IF(M$3&lt;=$O$2,$D581,$D581-($D581-$I$562)*MIN(M$3-$O$2,$Q$2)/$Q$2))</f>
        <v>7824.6305960687</v>
      </c>
      <c r="N581" s="15" t="n">
        <f aca="false">M581*(1+IF(N$3&lt;=$O$2,$D581,$D581-($D581-$I$562)*MIN(N$3-$O$2,$Q$2)/$Q$2))</f>
        <v>8124.31394789813</v>
      </c>
      <c r="O581" s="15" t="n">
        <f aca="false">SUMPRODUCT(E581:N581,1/(1+$F$562)^$E$3:$N$3)*$E$2</f>
        <v>18664.0251829751</v>
      </c>
      <c r="P581" s="15" t="n">
        <f aca="false">N581*$E$2*(1+$I$562)/($F$562-$I$562)/(1+$F$562)^$N$3</f>
        <v>28294.5278442833</v>
      </c>
      <c r="Q581" s="15" t="n">
        <f aca="false">O581+P581</f>
        <v>46958.5530272584</v>
      </c>
      <c r="R581" s="15" t="n">
        <f aca="false">Q581-$G$2+$I$2</f>
        <v>40771.2530272584</v>
      </c>
      <c r="S581" s="42" t="n">
        <f aca="false">R581/$K$2</f>
        <v>560.815034762839</v>
      </c>
      <c r="T581" s="43" t="n">
        <f aca="false">S581-$M$2</f>
        <v>0.0172355881487647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0.117385864257813</v>
      </c>
      <c r="C582" s="25" t="n">
        <f aca="false">IF(T581&gt;0,D581,C581)</f>
        <v>0.117391586303711</v>
      </c>
      <c r="D582" s="41" t="n">
        <f aca="false">(B582+C582)/2</f>
        <v>0.117388725280762</v>
      </c>
      <c r="E582" s="15" t="n">
        <f aca="false">$C$2*(1+IF(E$3&lt;=$O$2,$D582,$D582-($D582-$I$562)*MIN(E$3-$O$2,$Q$2)/$Q$2))</f>
        <v>3720.90445518494</v>
      </c>
      <c r="F582" s="15" t="n">
        <f aca="false">E582*(1+IF(F$3&lt;=$O$2,$D582,$D582-($D582-$I$562)*MIN(F$3-$O$2,$Q$2)/$Q$2))</f>
        <v>4157.6966860706</v>
      </c>
      <c r="G582" s="15" t="n">
        <f aca="false">F582*(1+IF(G$3&lt;=$O$2,$D582,$D582-($D582-$I$562)*MIN(G$3-$O$2,$Q$2)/$Q$2))</f>
        <v>4645.76340015248</v>
      </c>
      <c r="H582" s="15" t="n">
        <f aca="false">G582*(1+IF(H$3&lt;=$O$2,$D582,$D582-($D582-$I$562)*MIN(H$3-$O$2,$Q$2)/$Q$2))</f>
        <v>5191.1236436524</v>
      </c>
      <c r="I582" s="15" t="n">
        <f aca="false">H582*(1+IF(I$3&lt;=$O$2,$D582,$D582-($D582-$I$562)*MIN(I$3-$O$2,$Q$2)/$Q$2))</f>
        <v>5800.50303095557</v>
      </c>
      <c r="J582" s="15" t="n">
        <f aca="false">I582*(1+IF(J$3&lt;=$O$2,$D582,$D582-($D582-$I$562)*MIN(J$3-$O$2,$Q$2)/$Q$2))</f>
        <v>6389.66580960555</v>
      </c>
      <c r="K582" s="15" t="n">
        <f aca="false">J582*(1+IF(K$3&lt;=$O$2,$D582,$D582-($D582-$I$562)*MIN(K$3-$O$2,$Q$2)/$Q$2))</f>
        <v>6937.6003244245</v>
      </c>
      <c r="L582" s="15" t="n">
        <f aca="false">K582*(1+IF(L$3&lt;=$O$2,$D582,$D582-($D582-$I$562)*MIN(L$3-$O$2,$Q$2)/$Q$2))</f>
        <v>7422.78480331642</v>
      </c>
      <c r="M582" s="15" t="n">
        <f aca="false">L582*(1+IF(M$3&lt;=$O$2,$D582,$D582-($D582-$I$562)*MIN(M$3-$O$2,$Q$2)/$Q$2))</f>
        <v>7824.48917890897</v>
      </c>
      <c r="N582" s="15" t="n">
        <f aca="false">M582*(1+IF(N$3&lt;=$O$2,$D582,$D582-($D582-$I$562)*MIN(N$3-$O$2,$Q$2)/$Q$2))</f>
        <v>8124.16711446119</v>
      </c>
      <c r="O582" s="15" t="n">
        <f aca="false">SUMPRODUCT(E582:N582,1/(1+$F$562)^$E$3:$N$3)*$E$2</f>
        <v>18663.7955629973</v>
      </c>
      <c r="P582" s="15" t="n">
        <f aca="false">N582*$E$2*(1+$I$562)/($F$562-$I$562)/(1+$F$562)^$N$3</f>
        <v>28294.0164678401</v>
      </c>
      <c r="Q582" s="15" t="n">
        <f aca="false">O582+P582</f>
        <v>46957.8120308375</v>
      </c>
      <c r="R582" s="15" t="n">
        <f aca="false">Q582-$G$2+$I$2</f>
        <v>40770.5120308375</v>
      </c>
      <c r="S582" s="42" t="n">
        <f aca="false">R582/$K$2</f>
        <v>560.804842239855</v>
      </c>
      <c r="T582" s="43" t="n">
        <f aca="false">S582-$M$2</f>
        <v>0.00704306516445286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0.117385864257813</v>
      </c>
      <c r="C583" s="25" t="n">
        <f aca="false">IF(T582&gt;0,D582,C582)</f>
        <v>0.117388725280762</v>
      </c>
      <c r="D583" s="41" t="n">
        <f aca="false">(B583+C583)/2</f>
        <v>0.117387294769287</v>
      </c>
      <c r="E583" s="15" t="n">
        <f aca="false">$C$2*(1+IF(E$3&lt;=$O$2,$D583,$D583-($D583-$I$562)*MIN(E$3-$O$2,$Q$2)/$Q$2))</f>
        <v>3720.89969158173</v>
      </c>
      <c r="F583" s="15" t="n">
        <f aca="false">E583*(1+IF(F$3&lt;=$O$2,$D583,$D583-($D583-$I$562)*MIN(F$3-$O$2,$Q$2)/$Q$2))</f>
        <v>4157.68604048438</v>
      </c>
      <c r="G583" s="15" t="n">
        <f aca="false">F583*(1+IF(G$3&lt;=$O$2,$D583,$D583-($D583-$I$562)*MIN(G$3-$O$2,$Q$2)/$Q$2))</f>
        <v>4645.74555727687</v>
      </c>
      <c r="H583" s="15" t="n">
        <f aca="false">G583*(1+IF(H$3&lt;=$O$2,$D583,$D583-($D583-$I$562)*MIN(H$3-$O$2,$Q$2)/$Q$2))</f>
        <v>5191.09706043204</v>
      </c>
      <c r="I583" s="15" t="n">
        <f aca="false">H583*(1+IF(I$3&lt;=$O$2,$D583,$D583-($D583-$I$562)*MIN(I$3-$O$2,$Q$2)/$Q$2))</f>
        <v>5800.46590124095</v>
      </c>
      <c r="J583" s="15" t="n">
        <f aca="false">I583*(1+IF(J$3&lt;=$O$2,$D583,$D583-($D583-$I$562)*MIN(J$3-$O$2,$Q$2)/$Q$2))</f>
        <v>6389.61827048299</v>
      </c>
      <c r="K583" s="15" t="n">
        <f aca="false">J583*(1+IF(K$3&lt;=$O$2,$D583,$D583-($D583-$I$562)*MIN(K$3-$O$2,$Q$2)/$Q$2))</f>
        <v>6937.54322441504</v>
      </c>
      <c r="L583" s="15" t="n">
        <f aca="false">K583*(1+IF(L$3&lt;=$O$2,$D583,$D583-($D583-$I$562)*MIN(L$3-$O$2,$Q$2)/$Q$2))</f>
        <v>7422.71974029573</v>
      </c>
      <c r="M583" s="15" t="n">
        <f aca="false">L583*(1+IF(M$3&lt;=$O$2,$D583,$D583-($D583-$I$562)*MIN(M$3-$O$2,$Q$2)/$Q$2))</f>
        <v>7824.41847116717</v>
      </c>
      <c r="N583" s="15" t="n">
        <f aca="false">M583*(1+IF(N$3&lt;=$O$2,$D583,$D583-($D583-$I$562)*MIN(N$3-$O$2,$Q$2)/$Q$2))</f>
        <v>8124.09369861287</v>
      </c>
      <c r="O583" s="15" t="n">
        <f aca="false">SUMPRODUCT(E583:N583,1/(1+$F$562)^$E$3:$N$3)*$E$2</f>
        <v>18663.6807540591</v>
      </c>
      <c r="P583" s="15" t="n">
        <f aca="false">N583*$E$2*(1+$I$562)/($F$562-$I$562)/(1+$F$562)^$N$3</f>
        <v>28293.760782649</v>
      </c>
      <c r="Q583" s="15" t="n">
        <f aca="false">O583+P583</f>
        <v>46957.4415367081</v>
      </c>
      <c r="R583" s="15" t="n">
        <f aca="false">Q583-$G$2+$I$2</f>
        <v>40770.1415367081</v>
      </c>
      <c r="S583" s="42" t="n">
        <f aca="false">R583/$K$2</f>
        <v>560.799746034499</v>
      </c>
      <c r="T583" s="43" t="n">
        <f aca="false">S583-$M$2</f>
        <v>0.00194685980864051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0.117385864257813</v>
      </c>
      <c r="C584" s="25" t="n">
        <f aca="false">IF(T583&gt;0,D583,C583)</f>
        <v>0.117387294769287</v>
      </c>
      <c r="D584" s="41" t="n">
        <f aca="false">(B584+C584)/2</f>
        <v>0.11738657951355</v>
      </c>
      <c r="E584" s="15" t="n">
        <f aca="false">$C$2*(1+IF(E$3&lt;=$O$2,$D584,$D584-($D584-$I$562)*MIN(E$3-$O$2,$Q$2)/$Q$2))</f>
        <v>3720.89730978012</v>
      </c>
      <c r="F584" s="15" t="n">
        <f aca="false">E584*(1+IF(F$3&lt;=$O$2,$D584,$D584-($D584-$I$562)*MIN(F$3-$O$2,$Q$2)/$Q$2))</f>
        <v>4157.68071769638</v>
      </c>
      <c r="G584" s="15" t="n">
        <f aca="false">F584*(1+IF(G$3&lt;=$O$2,$D584,$D584-($D584-$I$562)*MIN(G$3-$O$2,$Q$2)/$Q$2))</f>
        <v>4645.7366358562</v>
      </c>
      <c r="H584" s="15" t="n">
        <f aca="false">G584*(1+IF(H$3&lt;=$O$2,$D584,$D584-($D584-$I$562)*MIN(H$3-$O$2,$Q$2)/$Q$2))</f>
        <v>5191.08376886014</v>
      </c>
      <c r="I584" s="15" t="n">
        <f aca="false">H584*(1+IF(I$3&lt;=$O$2,$D584,$D584-($D584-$I$562)*MIN(I$3-$O$2,$Q$2)/$Q$2))</f>
        <v>5800.44733645494</v>
      </c>
      <c r="J584" s="15" t="n">
        <f aca="false">I584*(1+IF(J$3&lt;=$O$2,$D584,$D584-($D584-$I$562)*MIN(J$3-$O$2,$Q$2)/$Q$2))</f>
        <v>6389.59450103213</v>
      </c>
      <c r="K584" s="15" t="n">
        <f aca="false">J584*(1+IF(K$3&lt;=$O$2,$D584,$D584-($D584-$I$562)*MIN(K$3-$O$2,$Q$2)/$Q$2))</f>
        <v>6937.51467456079</v>
      </c>
      <c r="L584" s="15" t="n">
        <f aca="false">K584*(1+IF(L$3&lt;=$O$2,$D584,$D584-($D584-$I$562)*MIN(L$3-$O$2,$Q$2)/$Q$2))</f>
        <v>7422.68720897089</v>
      </c>
      <c r="M584" s="15" t="n">
        <f aca="false">L584*(1+IF(M$3&lt;=$O$2,$D584,$D584-($D584-$I$562)*MIN(M$3-$O$2,$Q$2)/$Q$2))</f>
        <v>7824.38311750578</v>
      </c>
      <c r="N584" s="15" t="n">
        <f aca="false">M584*(1+IF(N$3&lt;=$O$2,$D584,$D584-($D584-$I$562)*MIN(N$3-$O$2,$Q$2)/$Q$2))</f>
        <v>8124.05699090625</v>
      </c>
      <c r="O584" s="15" t="n">
        <f aca="false">SUMPRODUCT(E584:N584,1/(1+$F$562)^$E$3:$N$3)*$E$2</f>
        <v>18663.6233498526</v>
      </c>
      <c r="P584" s="15" t="n">
        <f aca="false">N584*$E$2*(1+$I$562)/($F$562-$I$562)/(1+$F$562)^$N$3</f>
        <v>28293.6329408111</v>
      </c>
      <c r="Q584" s="15" t="n">
        <f aca="false">O584+P584</f>
        <v>46957.2562906637</v>
      </c>
      <c r="R584" s="15" t="n">
        <f aca="false">Q584-$G$2+$I$2</f>
        <v>40769.9562906637</v>
      </c>
      <c r="S584" s="42" t="n">
        <f aca="false">R584/$K$2</f>
        <v>560.797197945855</v>
      </c>
      <c r="T584" s="43" t="n">
        <f aca="false">S584-$M$2</f>
        <v>-0.000601228835307666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0.11738657951355</v>
      </c>
      <c r="C585" s="25" t="n">
        <f aca="false">IF(T584&gt;0,D584,C584)</f>
        <v>0.117387294769287</v>
      </c>
      <c r="D585" s="41" t="n">
        <f aca="false">(B585+C585)/2</f>
        <v>0.117386937141418</v>
      </c>
      <c r="E585" s="15" t="n">
        <f aca="false">$C$2*(1+IF(E$3&lt;=$O$2,$D585,$D585-($D585-$I$562)*MIN(E$3-$O$2,$Q$2)/$Q$2))</f>
        <v>3720.89850068092</v>
      </c>
      <c r="F585" s="15" t="n">
        <f aca="false">E585*(1+IF(F$3&lt;=$O$2,$D585,$D585-($D585-$I$562)*MIN(F$3-$O$2,$Q$2)/$Q$2))</f>
        <v>4157.68337908995</v>
      </c>
      <c r="G585" s="15" t="n">
        <f aca="false">F585*(1+IF(G$3&lt;=$O$2,$D585,$D585-($D585-$I$562)*MIN(G$3-$O$2,$Q$2)/$Q$2))</f>
        <v>4645.74109656511</v>
      </c>
      <c r="H585" s="15" t="n">
        <f aca="false">G585*(1+IF(H$3&lt;=$O$2,$D585,$D585-($D585-$I$562)*MIN(H$3-$O$2,$Q$2)/$Q$2))</f>
        <v>5191.0904146429</v>
      </c>
      <c r="I585" s="15" t="n">
        <f aca="false">H585*(1+IF(I$3&lt;=$O$2,$D585,$D585-($D585-$I$562)*MIN(I$3-$O$2,$Q$2)/$Q$2))</f>
        <v>5800.456618842</v>
      </c>
      <c r="J585" s="15" t="n">
        <f aca="false">I585*(1+IF(J$3&lt;=$O$2,$D585,$D585-($D585-$I$562)*MIN(J$3-$O$2,$Q$2)/$Q$2))</f>
        <v>6389.60638574836</v>
      </c>
      <c r="K585" s="15" t="n">
        <f aca="false">J585*(1+IF(K$3&lt;=$O$2,$D585,$D585-($D585-$I$562)*MIN(K$3-$O$2,$Q$2)/$Q$2))</f>
        <v>6937.52894947537</v>
      </c>
      <c r="L585" s="15" t="n">
        <f aca="false">K585*(1+IF(L$3&lt;=$O$2,$D585,$D585-($D585-$I$562)*MIN(L$3-$O$2,$Q$2)/$Q$2))</f>
        <v>7422.70347461785</v>
      </c>
      <c r="M585" s="15" t="n">
        <f aca="false">L585*(1+IF(M$3&lt;=$O$2,$D585,$D585-($D585-$I$562)*MIN(M$3-$O$2,$Q$2)/$Q$2))</f>
        <v>7824.40079431901</v>
      </c>
      <c r="N585" s="15" t="n">
        <f aca="false">M585*(1+IF(N$3&lt;=$O$2,$D585,$D585-($D585-$I$562)*MIN(N$3-$O$2,$Q$2)/$Q$2))</f>
        <v>8124.07534474143</v>
      </c>
      <c r="O585" s="15" t="n">
        <f aca="false">SUMPRODUCT(E585:N585,1/(1+$F$562)^$E$3:$N$3)*$E$2</f>
        <v>18663.652051934</v>
      </c>
      <c r="P585" s="15" t="n">
        <f aca="false">N585*$E$2*(1+$I$562)/($F$562-$I$562)/(1+$F$562)^$N$3</f>
        <v>28293.6968616669</v>
      </c>
      <c r="Q585" s="15" t="n">
        <f aca="false">O585+P585</f>
        <v>46957.3489136009</v>
      </c>
      <c r="R585" s="15" t="n">
        <f aca="false">Q585-$G$2+$I$2</f>
        <v>40770.0489136009</v>
      </c>
      <c r="S585" s="42" t="n">
        <f aca="false">R585/$K$2</f>
        <v>560.798471989008</v>
      </c>
      <c r="T585" s="43" t="n">
        <f aca="false">S585-$M$2</f>
        <v>0.000672814317226766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0.11738657951355</v>
      </c>
      <c r="C586" s="25" t="n">
        <f aca="false">IF(T585&gt;0,D585,C585)</f>
        <v>0.117386937141418</v>
      </c>
      <c r="D586" s="41" t="n">
        <f aca="false">(B586+C586)/2</f>
        <v>0.117386758327484</v>
      </c>
      <c r="E586" s="15" t="n">
        <f aca="false">$C$2*(1+IF(E$3&lt;=$O$2,$D586,$D586-($D586-$I$562)*MIN(E$3-$O$2,$Q$2)/$Q$2))</f>
        <v>3720.89790523052</v>
      </c>
      <c r="F586" s="15" t="n">
        <f aca="false">E586*(1+IF(F$3&lt;=$O$2,$D586,$D586-($D586-$I$562)*MIN(F$3-$O$2,$Q$2)/$Q$2))</f>
        <v>4157.68204839306</v>
      </c>
      <c r="G586" s="15" t="n">
        <f aca="false">F586*(1+IF(G$3&lt;=$O$2,$D586,$D586-($D586-$I$562)*MIN(G$3-$O$2,$Q$2)/$Q$2))</f>
        <v>4645.7388662103</v>
      </c>
      <c r="H586" s="15" t="n">
        <f aca="false">G586*(1+IF(H$3&lt;=$O$2,$D586,$D586-($D586-$I$562)*MIN(H$3-$O$2,$Q$2)/$Q$2))</f>
        <v>5191.08709175072</v>
      </c>
      <c r="I586" s="15" t="n">
        <f aca="false">H586*(1+IF(I$3&lt;=$O$2,$D586,$D586-($D586-$I$562)*MIN(I$3-$O$2,$Q$2)/$Q$2))</f>
        <v>5800.45197764699</v>
      </c>
      <c r="J586" s="15" t="n">
        <f aca="false">I586*(1+IF(J$3&lt;=$O$2,$D586,$D586-($D586-$I$562)*MIN(J$3-$O$2,$Q$2)/$Q$2))</f>
        <v>6389.60044338794</v>
      </c>
      <c r="K586" s="15" t="n">
        <f aca="false">J586*(1+IF(K$3&lt;=$O$2,$D586,$D586-($D586-$I$562)*MIN(K$3-$O$2,$Q$2)/$Q$2))</f>
        <v>6937.52181201495</v>
      </c>
      <c r="L586" s="15" t="n">
        <f aca="false">K586*(1+IF(L$3&lt;=$O$2,$D586,$D586-($D586-$I$562)*MIN(L$3-$O$2,$Q$2)/$Q$2))</f>
        <v>7422.69534179051</v>
      </c>
      <c r="M586" s="15" t="n">
        <f aca="false">L586*(1+IF(M$3&lt;=$O$2,$D586,$D586-($D586-$I$562)*MIN(M$3-$O$2,$Q$2)/$Q$2))</f>
        <v>7824.39195590803</v>
      </c>
      <c r="N586" s="15" t="n">
        <f aca="false">M586*(1+IF(N$3&lt;=$O$2,$D586,$D586-($D586-$I$562)*MIN(N$3-$O$2,$Q$2)/$Q$2))</f>
        <v>8124.06616781931</v>
      </c>
      <c r="O586" s="15" t="n">
        <f aca="false">SUMPRODUCT(E586:N586,1/(1+$F$562)^$E$3:$N$3)*$E$2</f>
        <v>18663.6377008878</v>
      </c>
      <c r="P586" s="15" t="n">
        <f aca="false">N586*$E$2*(1+$I$562)/($F$562-$I$562)/(1+$F$562)^$N$3</f>
        <v>28293.6649012232</v>
      </c>
      <c r="Q586" s="15" t="n">
        <f aca="false">O586+P586</f>
        <v>46957.302602111</v>
      </c>
      <c r="R586" s="15" t="n">
        <f aca="false">Q586-$G$2+$I$2</f>
        <v>40770.002602111</v>
      </c>
      <c r="S586" s="42" t="n">
        <f aca="false">R586/$K$2</f>
        <v>560.797834967139</v>
      </c>
      <c r="T586" s="43" t="n">
        <f aca="false">S586-$M$2</f>
        <v>3.57924485570038E-005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0.11738657951355</v>
      </c>
      <c r="C587" s="25" t="n">
        <f aca="false">IF(T586&gt;0,D586,C586)</f>
        <v>0.117386758327484</v>
      </c>
      <c r="D587" s="41" t="n">
        <f aca="false">(B587+C587)/2</f>
        <v>0.117386668920517</v>
      </c>
      <c r="E587" s="15" t="n">
        <f aca="false">$C$2*(1+IF(E$3&lt;=$O$2,$D587,$D587-($D587-$I$562)*MIN(E$3-$O$2,$Q$2)/$Q$2))</f>
        <v>3720.89760750532</v>
      </c>
      <c r="F587" s="15" t="n">
        <f aca="false">E587*(1+IF(F$3&lt;=$O$2,$D587,$D587-($D587-$I$562)*MIN(F$3-$O$2,$Q$2)/$Q$2))</f>
        <v>4157.68138304469</v>
      </c>
      <c r="G587" s="15" t="n">
        <f aca="false">F587*(1+IF(G$3&lt;=$O$2,$D587,$D587-($D587-$I$562)*MIN(G$3-$O$2,$Q$2)/$Q$2))</f>
        <v>4645.73775103316</v>
      </c>
      <c r="H587" s="15" t="n">
        <f aca="false">G587*(1+IF(H$3&lt;=$O$2,$D587,$D587-($D587-$I$562)*MIN(H$3-$O$2,$Q$2)/$Q$2))</f>
        <v>5191.08543030523</v>
      </c>
      <c r="I587" s="15" t="n">
        <f aca="false">H587*(1+IF(I$3&lt;=$O$2,$D587,$D587-($D587-$I$562)*MIN(I$3-$O$2,$Q$2)/$Q$2))</f>
        <v>5800.44965705059</v>
      </c>
      <c r="J587" s="15" t="n">
        <f aca="false">I587*(1+IF(J$3&lt;=$O$2,$D587,$D587-($D587-$I$562)*MIN(J$3-$O$2,$Q$2)/$Q$2))</f>
        <v>6389.59747220946</v>
      </c>
      <c r="K587" s="15" t="n">
        <f aca="false">J587*(1+IF(K$3&lt;=$O$2,$D587,$D587-($D587-$I$562)*MIN(K$3-$O$2,$Q$2)/$Q$2))</f>
        <v>6937.51824328708</v>
      </c>
      <c r="L587" s="15" t="n">
        <f aca="false">K587*(1+IF(L$3&lt;=$O$2,$D587,$D587-($D587-$I$562)*MIN(L$3-$O$2,$Q$2)/$Q$2))</f>
        <v>7422.69127537974</v>
      </c>
      <c r="M587" s="15" t="n">
        <f aca="false">L587*(1+IF(M$3&lt;=$O$2,$D587,$D587-($D587-$I$562)*MIN(M$3-$O$2,$Q$2)/$Q$2))</f>
        <v>7824.38753670581</v>
      </c>
      <c r="N587" s="15" t="n">
        <f aca="false">M587*(1+IF(N$3&lt;=$O$2,$D587,$D587-($D587-$I$562)*MIN(N$3-$O$2,$Q$2)/$Q$2))</f>
        <v>8124.06157936165</v>
      </c>
      <c r="O587" s="15" t="n">
        <f aca="false">SUMPRODUCT(E587:N587,1/(1+$F$562)^$E$3:$N$3)*$E$2</f>
        <v>18663.6305253689</v>
      </c>
      <c r="P587" s="15" t="n">
        <f aca="false">N587*$E$2*(1+$I$562)/($F$562-$I$562)/(1+$F$562)^$N$3</f>
        <v>28293.6489210132</v>
      </c>
      <c r="Q587" s="15" t="n">
        <f aca="false">O587+P587</f>
        <v>46957.279446382</v>
      </c>
      <c r="R587" s="15" t="n">
        <f aca="false">Q587-$G$2+$I$2</f>
        <v>40769.979446382</v>
      </c>
      <c r="S587" s="42" t="n">
        <f aca="false">R587/$K$2</f>
        <v>560.797516456424</v>
      </c>
      <c r="T587" s="43" t="n">
        <f aca="false">S587-$M$2</f>
        <v>-0.000282718266362281</v>
      </c>
    </row>
    <row r="589" customFormat="false" ht="15" hidden="false" customHeight="false" outlineLevel="0" collapsed="false">
      <c r="A589" s="38" t="s">
        <v>202</v>
      </c>
      <c r="E589" s="5" t="s">
        <v>11</v>
      </c>
      <c r="F589" s="12" t="n">
        <f aca="false">Sensitivity!$B$14</f>
        <v>0.105330622875929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162</v>
      </c>
      <c r="B590" s="28" t="s">
        <v>163</v>
      </c>
      <c r="C590" s="28" t="s">
        <v>164</v>
      </c>
      <c r="D590" s="28" t="s">
        <v>165</v>
      </c>
      <c r="E590" s="28" t="s">
        <v>166</v>
      </c>
      <c r="F590" s="28" t="s">
        <v>167</v>
      </c>
      <c r="G590" s="28" t="s">
        <v>168</v>
      </c>
      <c r="H590" s="28" t="s">
        <v>169</v>
      </c>
      <c r="I590" s="28" t="s">
        <v>170</v>
      </c>
      <c r="J590" s="28" t="s">
        <v>171</v>
      </c>
      <c r="K590" s="28" t="s">
        <v>172</v>
      </c>
      <c r="L590" s="28" t="s">
        <v>173</v>
      </c>
      <c r="M590" s="28" t="s">
        <v>174</v>
      </c>
      <c r="N590" s="28" t="s">
        <v>175</v>
      </c>
      <c r="O590" s="28" t="s">
        <v>176</v>
      </c>
      <c r="P590" s="28" t="s">
        <v>177</v>
      </c>
      <c r="Q590" s="28" t="s">
        <v>178</v>
      </c>
      <c r="R590" s="28" t="s">
        <v>179</v>
      </c>
      <c r="S590" s="28" t="s">
        <v>180</v>
      </c>
      <c r="T590" s="28" t="s">
        <v>181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4162.5</v>
      </c>
      <c r="F591" s="15" t="n">
        <f aca="false">E591*(1+IF(F$3&lt;=$O$2,$D591,$D591-($D591-$I$589)*MIN(F$3-$O$2,$Q$2)/$Q$2))</f>
        <v>5203.125</v>
      </c>
      <c r="G591" s="15" t="n">
        <f aca="false">F591*(1+IF(G$3&lt;=$O$2,$D591,$D591-($D591-$I$589)*MIN(G$3-$O$2,$Q$2)/$Q$2))</f>
        <v>6503.90625</v>
      </c>
      <c r="H591" s="15" t="n">
        <f aca="false">G591*(1+IF(H$3&lt;=$O$2,$D591,$D591-($D591-$I$589)*MIN(H$3-$O$2,$Q$2)/$Q$2))</f>
        <v>8129.8828125</v>
      </c>
      <c r="I591" s="15" t="n">
        <f aca="false">H591*(1+IF(I$3&lt;=$O$2,$D591,$D591-($D591-$I$589)*MIN(I$3-$O$2,$Q$2)/$Q$2))</f>
        <v>10162.353515625</v>
      </c>
      <c r="J591" s="15" t="n">
        <f aca="false">I591*(1+IF(J$3&lt;=$O$2,$D591,$D591-($D591-$I$589)*MIN(J$3-$O$2,$Q$2)/$Q$2))</f>
        <v>12232.0184326172</v>
      </c>
      <c r="K591" s="15" t="n">
        <f aca="false">J591*(1+IF(K$3&lt;=$O$2,$D591,$D591-($D591-$I$589)*MIN(K$3-$O$2,$Q$2)/$Q$2))</f>
        <v>14156.3595724365</v>
      </c>
      <c r="L591" s="15" t="n">
        <f aca="false">K591*(1+IF(L$3&lt;=$O$2,$D591,$D591-($D591-$I$589)*MIN(L$3-$O$2,$Q$2)/$Q$2))</f>
        <v>15727.4323577855</v>
      </c>
      <c r="M591" s="15" t="n">
        <f aca="false">L591*(1+IF(M$3&lt;=$O$2,$D591,$D591-($D591-$I$589)*MIN(M$3-$O$2,$Q$2)/$Q$2))</f>
        <v>16744.0535853928</v>
      </c>
      <c r="N591" s="15" t="n">
        <f aca="false">M591*(1+IF(N$3&lt;=$O$2,$D591,$D591-($D591-$I$589)*MIN(N$3-$O$2,$Q$2)/$Q$2))</f>
        <v>17050.4697660055</v>
      </c>
      <c r="O591" s="15" t="n">
        <f aca="false">SUMPRODUCT(E591:N591,1/(1+$F$589)^$E$3:$N$3)*$E$2</f>
        <v>31555.8470130987</v>
      </c>
      <c r="P591" s="15" t="n">
        <f aca="false">N591*$E$2*(1+$I$589)/($F$589-$I$589)/(1+$F$589)^$N$3</f>
        <v>39668.7959644625</v>
      </c>
      <c r="Q591" s="15" t="n">
        <f aca="false">O591+P591</f>
        <v>71224.6429775612</v>
      </c>
      <c r="R591" s="15" t="n">
        <f aca="false">Q591-$G$2+$I$2</f>
        <v>65037.3429775612</v>
      </c>
      <c r="S591" s="42" t="n">
        <f aca="false">R591/$K$2</f>
        <v>894.59894054417</v>
      </c>
      <c r="T591" s="43" t="n">
        <f aca="false">S591-$M$2</f>
        <v>333.80114136948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2913.75</v>
      </c>
      <c r="F592" s="15" t="n">
        <f aca="false">E592*(1+IF(F$3&lt;=$O$2,$D592,$D592-($D592-$I$589)*MIN(F$3-$O$2,$Q$2)/$Q$2))</f>
        <v>2549.53125</v>
      </c>
      <c r="G592" s="15" t="n">
        <f aca="false">F592*(1+IF(G$3&lt;=$O$2,$D592,$D592-($D592-$I$589)*MIN(G$3-$O$2,$Q$2)/$Q$2))</f>
        <v>2230.83984375</v>
      </c>
      <c r="H592" s="15" t="n">
        <f aca="false">G592*(1+IF(H$3&lt;=$O$2,$D592,$D592-($D592-$I$589)*MIN(H$3-$O$2,$Q$2)/$Q$2))</f>
        <v>1951.98486328125</v>
      </c>
      <c r="I592" s="15" t="n">
        <f aca="false">H592*(1+IF(I$3&lt;=$O$2,$D592,$D592-($D592-$I$589)*MIN(I$3-$O$2,$Q$2)/$Q$2))</f>
        <v>1707.98675537109</v>
      </c>
      <c r="J592" s="15" t="n">
        <f aca="false">I592*(1+IF(J$3&lt;=$O$2,$D592,$D592-($D592-$I$589)*MIN(J$3-$O$2,$Q$2)/$Q$2))</f>
        <v>1543.43931135864</v>
      </c>
      <c r="K592" s="15" t="n">
        <f aca="false">J592*(1+IF(K$3&lt;=$O$2,$D592,$D592-($D592-$I$589)*MIN(K$3-$O$2,$Q$2)/$Q$2))</f>
        <v>1438.97933876589</v>
      </c>
      <c r="L592" s="15" t="n">
        <f aca="false">K592*(1+IF(L$3&lt;=$O$2,$D592,$D592-($D592-$I$589)*MIN(L$3-$O$2,$Q$2)/$Q$2))</f>
        <v>1382.83036496724</v>
      </c>
      <c r="M592" s="15" t="n">
        <f aca="false">L592*(1+IF(M$3&lt;=$O$2,$D592,$D592-($D592-$I$589)*MIN(M$3-$O$2,$Q$2)/$Q$2))</f>
        <v>1368.50424238618</v>
      </c>
      <c r="N592" s="15" t="n">
        <f aca="false">M592*(1+IF(N$3&lt;=$O$2,$D592,$D592-($D592-$I$589)*MIN(N$3-$O$2,$Q$2)/$Q$2))</f>
        <v>1393.54787002185</v>
      </c>
      <c r="O592" s="15" t="n">
        <f aca="false">SUMPRODUCT(E592:N592,1/(1+$F$589)^$E$3:$N$3)*$E$2</f>
        <v>6477.13720434297</v>
      </c>
      <c r="P592" s="15" t="n">
        <f aca="false">N592*$E$2*(1+$I$589)/($F$589-$I$589)/(1+$F$589)^$N$3</f>
        <v>3242.16088361529</v>
      </c>
      <c r="Q592" s="15" t="n">
        <f aca="false">O592+P592</f>
        <v>9719.29808795826</v>
      </c>
      <c r="R592" s="15" t="n">
        <f aca="false">Q592-$G$2+$I$2</f>
        <v>3531.99808795826</v>
      </c>
      <c r="S592" s="42" t="n">
        <f aca="false">R592/$K$2</f>
        <v>48.5831924065785</v>
      </c>
      <c r="T592" s="43" t="n">
        <f aca="false">S592-$M$2</f>
        <v>-512.214606768112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3538.125</v>
      </c>
      <c r="F593" s="15" t="n">
        <f aca="false">E593*(1+IF(F$3&lt;=$O$2,$D593,$D593-($D593-$I$589)*MIN(F$3-$O$2,$Q$2)/$Q$2))</f>
        <v>3759.2578125</v>
      </c>
      <c r="G593" s="15" t="n">
        <f aca="false">F593*(1+IF(G$3&lt;=$O$2,$D593,$D593-($D593-$I$589)*MIN(G$3-$O$2,$Q$2)/$Q$2))</f>
        <v>3994.21142578125</v>
      </c>
      <c r="H593" s="15" t="n">
        <f aca="false">G593*(1+IF(H$3&lt;=$O$2,$D593,$D593-($D593-$I$589)*MIN(H$3-$O$2,$Q$2)/$Q$2))</f>
        <v>4243.84963989258</v>
      </c>
      <c r="I593" s="15" t="n">
        <f aca="false">H593*(1+IF(I$3&lt;=$O$2,$D593,$D593-($D593-$I$589)*MIN(I$3-$O$2,$Q$2)/$Q$2))</f>
        <v>4509.09024238586</v>
      </c>
      <c r="J593" s="15" t="n">
        <f aca="false">I593*(1+IF(J$3&lt;=$O$2,$D593,$D593-($D593-$I$589)*MIN(J$3-$O$2,$Q$2)/$Q$2))</f>
        <v>4751.04802479229</v>
      </c>
      <c r="K593" s="15" t="n">
        <f aca="false">J593*(1+IF(K$3&lt;=$O$2,$D593,$D593-($D593-$I$589)*MIN(K$3-$O$2,$Q$2)/$Q$2))</f>
        <v>4963.98999726348</v>
      </c>
      <c r="L593" s="15" t="n">
        <f aca="false">K593*(1+IF(L$3&lt;=$O$2,$D593,$D593-($D593-$I$589)*MIN(L$3-$O$2,$Q$2)/$Q$2))</f>
        <v>5142.59435736502</v>
      </c>
      <c r="M593" s="15" t="n">
        <f aca="false">L593*(1+IF(M$3&lt;=$O$2,$D593,$D593-($D593-$I$589)*MIN(M$3-$O$2,$Q$2)/$Q$2))</f>
        <v>5282.16436822391</v>
      </c>
      <c r="N593" s="15" t="n">
        <f aca="false">M593*(1+IF(N$3&lt;=$O$2,$D593,$D593-($D593-$I$589)*MIN(N$3-$O$2,$Q$2)/$Q$2))</f>
        <v>5378.8279761624</v>
      </c>
      <c r="O593" s="15" t="n">
        <f aca="false">SUMPRODUCT(E593:N593,1/(1+$F$589)^$E$3:$N$3)*$E$2</f>
        <v>14240.3282271158</v>
      </c>
      <c r="P593" s="15" t="n">
        <f aca="false">N593*$E$2*(1+$I$589)/($F$589-$I$589)/(1+$F$589)^$N$3</f>
        <v>12514.1202818787</v>
      </c>
      <c r="Q593" s="15" t="n">
        <f aca="false">O593+P593</f>
        <v>26754.4485089945</v>
      </c>
      <c r="R593" s="15" t="n">
        <f aca="false">Q593-$G$2+$I$2</f>
        <v>20567.1485089945</v>
      </c>
      <c r="S593" s="42" t="n">
        <f aca="false">R593/$K$2</f>
        <v>282.904381141603</v>
      </c>
      <c r="T593" s="43" t="n">
        <f aca="false">S593-$M$2</f>
        <v>-277.893418033088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3850.3125</v>
      </c>
      <c r="F594" s="15" t="n">
        <f aca="false">E594*(1+IF(F$3&lt;=$O$2,$D594,$D594-($D594-$I$589)*MIN(F$3-$O$2,$Q$2)/$Q$2))</f>
        <v>4451.923828125</v>
      </c>
      <c r="G594" s="15" t="n">
        <f aca="false">F594*(1+IF(G$3&lt;=$O$2,$D594,$D594-($D594-$I$589)*MIN(G$3-$O$2,$Q$2)/$Q$2))</f>
        <v>5147.53692626953</v>
      </c>
      <c r="H594" s="15" t="n">
        <f aca="false">G594*(1+IF(H$3&lt;=$O$2,$D594,$D594-($D594-$I$589)*MIN(H$3-$O$2,$Q$2)/$Q$2))</f>
        <v>5951.83957099915</v>
      </c>
      <c r="I594" s="15" t="n">
        <f aca="false">H594*(1+IF(I$3&lt;=$O$2,$D594,$D594-($D594-$I$589)*MIN(I$3-$O$2,$Q$2)/$Q$2))</f>
        <v>6881.81450396776</v>
      </c>
      <c r="J594" s="15" t="n">
        <f aca="false">I594*(1+IF(J$3&lt;=$O$2,$D594,$D594-($D594-$I$589)*MIN(J$3-$O$2,$Q$2)/$Q$2))</f>
        <v>7767.22875804825</v>
      </c>
      <c r="K594" s="15" t="n">
        <f aca="false">J594*(1+IF(K$3&lt;=$O$2,$D594,$D594-($D594-$I$589)*MIN(K$3-$O$2,$Q$2)/$Q$2))</f>
        <v>8552.26256862419</v>
      </c>
      <c r="L594" s="15" t="n">
        <f aca="false">K594*(1+IF(L$3&lt;=$O$2,$D594,$D594-($D594-$I$589)*MIN(L$3-$O$2,$Q$2)/$Q$2))</f>
        <v>9180.6828221667</v>
      </c>
      <c r="M594" s="15" t="n">
        <f aca="false">L594*(1+IF(M$3&lt;=$O$2,$D594,$D594-($D594-$I$589)*MIN(M$3-$O$2,$Q$2)/$Q$2))</f>
        <v>9601.98435687593</v>
      </c>
      <c r="N594" s="15" t="n">
        <f aca="false">M594*(1+IF(N$3&lt;=$O$2,$D594,$D594-($D594-$I$589)*MIN(N$3-$O$2,$Q$2)/$Q$2))</f>
        <v>9777.70067060676</v>
      </c>
      <c r="O594" s="15" t="n">
        <f aca="false">SUMPRODUCT(E594:N594,1/(1+$F$589)^$E$3:$N$3)*$E$2</f>
        <v>21224.0599878316</v>
      </c>
      <c r="P594" s="15" t="n">
        <f aca="false">N594*$E$2*(1+$I$589)/($F$589-$I$589)/(1+$F$589)^$N$3</f>
        <v>22748.3241357494</v>
      </c>
      <c r="Q594" s="15" t="n">
        <f aca="false">O594+P594</f>
        <v>43972.384123581</v>
      </c>
      <c r="R594" s="15" t="n">
        <f aca="false">Q594-$G$2+$I$2</f>
        <v>37785.084123581</v>
      </c>
      <c r="S594" s="42" t="n">
        <f aca="false">R594/$K$2</f>
        <v>519.739809127662</v>
      </c>
      <c r="T594" s="43" t="n">
        <f aca="false">S594-$M$2</f>
        <v>-41.0579900470287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0.15625</v>
      </c>
      <c r="C595" s="25" t="n">
        <f aca="false">IF(T594&gt;0,D594,C594)</f>
        <v>0.25</v>
      </c>
      <c r="D595" s="41" t="n">
        <f aca="false">(B595+C595)/2</f>
        <v>0.203125</v>
      </c>
      <c r="E595" s="15" t="n">
        <f aca="false">$C$2*(1+IF(E$3&lt;=$O$2,$D595,$D595-($D595-$I$589)*MIN(E$3-$O$2,$Q$2)/$Q$2))</f>
        <v>4006.40625</v>
      </c>
      <c r="F595" s="15" t="n">
        <f aca="false">E595*(1+IF(F$3&lt;=$O$2,$D595,$D595-($D595-$I$589)*MIN(F$3-$O$2,$Q$2)/$Q$2))</f>
        <v>4820.20751953125</v>
      </c>
      <c r="G595" s="15" t="n">
        <f aca="false">F595*(1+IF(G$3&lt;=$O$2,$D595,$D595-($D595-$I$589)*MIN(G$3-$O$2,$Q$2)/$Q$2))</f>
        <v>5799.31217193604</v>
      </c>
      <c r="H595" s="15" t="n">
        <f aca="false">G595*(1+IF(H$3&lt;=$O$2,$D595,$D595-($D595-$I$589)*MIN(H$3-$O$2,$Q$2)/$Q$2))</f>
        <v>6977.29745686054</v>
      </c>
      <c r="I595" s="15" t="n">
        <f aca="false">H595*(1+IF(I$3&lt;=$O$2,$D595,$D595-($D595-$I$589)*MIN(I$3-$O$2,$Q$2)/$Q$2))</f>
        <v>8394.56100278534</v>
      </c>
      <c r="J595" s="15" t="n">
        <f aca="false">I595*(1+IF(J$3&lt;=$O$2,$D595,$D595-($D595-$I$589)*MIN(J$3-$O$2,$Q$2)/$Q$2))</f>
        <v>9789.40125900815</v>
      </c>
      <c r="K595" s="15" t="n">
        <f aca="false">J595*(1+IF(K$3&lt;=$O$2,$D595,$D595-($D595-$I$589)*MIN(K$3-$O$2,$Q$2)/$Q$2))</f>
        <v>11054.1429546657</v>
      </c>
      <c r="L595" s="15" t="n">
        <f aca="false">K595*(1+IF(L$3&lt;=$O$2,$D595,$D595-($D595-$I$589)*MIN(L$3-$O$2,$Q$2)/$Q$2))</f>
        <v>12073.6665593745</v>
      </c>
      <c r="M595" s="15" t="n">
        <f aca="false">L595*(1+IF(M$3&lt;=$O$2,$D595,$D595-($D595-$I$589)*MIN(M$3-$O$2,$Q$2)/$Q$2))</f>
        <v>12740.9177417784</v>
      </c>
      <c r="N595" s="15" t="n">
        <f aca="false">M595*(1+IF(N$3&lt;=$O$2,$D595,$D595-($D595-$I$589)*MIN(N$3-$O$2,$Q$2)/$Q$2))</f>
        <v>12974.0765364529</v>
      </c>
      <c r="O595" s="15" t="n">
        <f aca="false">SUMPRODUCT(E595:N595,1/(1+$F$589)^$E$3:$N$3)*$E$2</f>
        <v>25893.367147861</v>
      </c>
      <c r="P595" s="15" t="n">
        <f aca="false">N595*$E$2*(1+$I$589)/($F$589-$I$589)/(1+$F$589)^$N$3</f>
        <v>30184.8571924974</v>
      </c>
      <c r="Q595" s="15" t="n">
        <f aca="false">O595+P595</f>
        <v>56078.2243403585</v>
      </c>
      <c r="R595" s="15" t="n">
        <f aca="false">Q595-$G$2+$I$2</f>
        <v>49890.9243403585</v>
      </c>
      <c r="S595" s="42" t="n">
        <f aca="false">R595/$K$2</f>
        <v>686.257556263528</v>
      </c>
      <c r="T595" s="43" t="n">
        <f aca="false">S595-$M$2</f>
        <v>125.459757088837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0.15625</v>
      </c>
      <c r="C596" s="25" t="n">
        <f aca="false">IF(T595&gt;0,D595,C595)</f>
        <v>0.203125</v>
      </c>
      <c r="D596" s="41" t="n">
        <f aca="false">(B596+C596)/2</f>
        <v>0.1796875</v>
      </c>
      <c r="E596" s="15" t="n">
        <f aca="false">$C$2*(1+IF(E$3&lt;=$O$2,$D596,$D596-($D596-$I$589)*MIN(E$3-$O$2,$Q$2)/$Q$2))</f>
        <v>3928.359375</v>
      </c>
      <c r="F596" s="15" t="n">
        <f aca="false">E596*(1+IF(F$3&lt;=$O$2,$D596,$D596-($D596-$I$589)*MIN(F$3-$O$2,$Q$2)/$Q$2))</f>
        <v>4634.23645019531</v>
      </c>
      <c r="G596" s="15" t="n">
        <f aca="false">F596*(1+IF(G$3&lt;=$O$2,$D596,$D596-($D596-$I$589)*MIN(G$3-$O$2,$Q$2)/$Q$2))</f>
        <v>5466.95081233978</v>
      </c>
      <c r="H596" s="15" t="n">
        <f aca="false">G596*(1+IF(H$3&lt;=$O$2,$D596,$D596-($D596-$I$589)*MIN(H$3-$O$2,$Q$2)/$Q$2))</f>
        <v>6449.29353643209</v>
      </c>
      <c r="I596" s="15" t="n">
        <f aca="false">H596*(1+IF(I$3&lt;=$O$2,$D596,$D596-($D596-$I$589)*MIN(I$3-$O$2,$Q$2)/$Q$2))</f>
        <v>7608.15096875973</v>
      </c>
      <c r="J596" s="15" t="n">
        <f aca="false">I596*(1+IF(J$3&lt;=$O$2,$D596,$D596-($D596-$I$589)*MIN(J$3-$O$2,$Q$2)/$Q$2))</f>
        <v>8729.6685030646</v>
      </c>
      <c r="K596" s="15" t="n">
        <f aca="false">J596*(1+IF(K$3&lt;=$O$2,$D596,$D596-($D596-$I$589)*MIN(K$3-$O$2,$Q$2)/$Q$2))</f>
        <v>9734.73706199369</v>
      </c>
      <c r="L596" s="15" t="n">
        <f aca="false">K596*(1+IF(L$3&lt;=$O$2,$D596,$D596-($D596-$I$589)*MIN(L$3-$O$2,$Q$2)/$Q$2))</f>
        <v>10541.3087012652</v>
      </c>
      <c r="M596" s="15" t="n">
        <f aca="false">L596*(1+IF(M$3&lt;=$O$2,$D596,$D596-($D596-$I$589)*MIN(M$3-$O$2,$Q$2)/$Q$2))</f>
        <v>11074.4617421034</v>
      </c>
      <c r="N596" s="15" t="n">
        <f aca="false">M596*(1+IF(N$3&lt;=$O$2,$D596,$D596-($D596-$I$589)*MIN(N$3-$O$2,$Q$2)/$Q$2))</f>
        <v>11277.1243919839</v>
      </c>
      <c r="O596" s="15" t="n">
        <f aca="false">SUMPRODUCT(E596:N596,1/(1+$F$589)^$E$3:$N$3)*$E$2</f>
        <v>23445.27590017</v>
      </c>
      <c r="P596" s="15" t="n">
        <f aca="false">N596*$E$2*(1+$I$589)/($F$589-$I$589)/(1+$F$589)^$N$3</f>
        <v>26236.8106398676</v>
      </c>
      <c r="Q596" s="15" t="n">
        <f aca="false">O596+P596</f>
        <v>49682.0865400376</v>
      </c>
      <c r="R596" s="15" t="n">
        <f aca="false">Q596-$G$2+$I$2</f>
        <v>43494.7865400376</v>
      </c>
      <c r="S596" s="42" t="n">
        <f aca="false">R596/$K$2</f>
        <v>598.277669051411</v>
      </c>
      <c r="T596" s="43" t="n">
        <f aca="false">S596-$M$2</f>
        <v>37.4798698767208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0.15625</v>
      </c>
      <c r="C597" s="25" t="n">
        <f aca="false">IF(T596&gt;0,D596,C596)</f>
        <v>0.1796875</v>
      </c>
      <c r="D597" s="41" t="n">
        <f aca="false">(B597+C597)/2</f>
        <v>0.16796875</v>
      </c>
      <c r="E597" s="15" t="n">
        <f aca="false">$C$2*(1+IF(E$3&lt;=$O$2,$D597,$D597-($D597-$I$589)*MIN(E$3-$O$2,$Q$2)/$Q$2))</f>
        <v>3889.3359375</v>
      </c>
      <c r="F597" s="15" t="n">
        <f aca="false">E597*(1+IF(F$3&lt;=$O$2,$D597,$D597-($D597-$I$589)*MIN(F$3-$O$2,$Q$2)/$Q$2))</f>
        <v>4542.62283325195</v>
      </c>
      <c r="G597" s="15" t="n">
        <f aca="false">F597*(1+IF(G$3&lt;=$O$2,$D597,$D597-($D597-$I$589)*MIN(G$3-$O$2,$Q$2)/$Q$2))</f>
        <v>5305.64151227474</v>
      </c>
      <c r="H597" s="15" t="n">
        <f aca="false">G597*(1+IF(H$3&lt;=$O$2,$D597,$D597-($D597-$I$589)*MIN(H$3-$O$2,$Q$2)/$Q$2))</f>
        <v>6196.82348503964</v>
      </c>
      <c r="I597" s="15" t="n">
        <f aca="false">H597*(1+IF(I$3&lt;=$O$2,$D597,$D597-($D597-$I$589)*MIN(I$3-$O$2,$Q$2)/$Q$2))</f>
        <v>7237.69617979239</v>
      </c>
      <c r="J597" s="15" t="n">
        <f aca="false">I597*(1+IF(J$3&lt;=$O$2,$D597,$D597-($D597-$I$589)*MIN(J$3-$O$2,$Q$2)/$Q$2))</f>
        <v>8236.75157197004</v>
      </c>
      <c r="K597" s="15" t="n">
        <f aca="false">J597*(1+IF(K$3&lt;=$O$2,$D597,$D597-($D597-$I$589)*MIN(K$3-$O$2,$Q$2)/$Q$2))</f>
        <v>9127.15471283946</v>
      </c>
      <c r="L597" s="15" t="n">
        <f aca="false">K597*(1+IF(L$3&lt;=$O$2,$D597,$D597-($D597-$I$589)*MIN(L$3-$O$2,$Q$2)/$Q$2))</f>
        <v>9840.60157885534</v>
      </c>
      <c r="M597" s="15" t="n">
        <f aca="false">L597*(1+IF(M$3&lt;=$O$2,$D597,$D597-($D597-$I$589)*MIN(M$3-$O$2,$Q$2)/$Q$2))</f>
        <v>10315.2506952595</v>
      </c>
      <c r="N597" s="15" t="n">
        <f aca="false">M597*(1+IF(N$3&lt;=$O$2,$D597,$D597-($D597-$I$589)*MIN(N$3-$O$2,$Q$2)/$Q$2))</f>
        <v>10504.0197829827</v>
      </c>
      <c r="O597" s="15" t="n">
        <f aca="false">SUMPRODUCT(E597:N597,1/(1+$F$589)^$E$3:$N$3)*$E$2</f>
        <v>22307.5593479043</v>
      </c>
      <c r="P597" s="15" t="n">
        <f aca="false">N597*$E$2*(1+$I$589)/($F$589-$I$589)/(1+$F$589)^$N$3</f>
        <v>24438.1429541948</v>
      </c>
      <c r="Q597" s="15" t="n">
        <f aca="false">O597+P597</f>
        <v>46745.7023020991</v>
      </c>
      <c r="R597" s="15" t="n">
        <f aca="false">Q597-$G$2+$I$2</f>
        <v>40558.4023020991</v>
      </c>
      <c r="S597" s="42" t="n">
        <f aca="false">R597/$K$2</f>
        <v>557.887239368626</v>
      </c>
      <c r="T597" s="43" t="n">
        <f aca="false">S597-$M$2</f>
        <v>-2.91055980606416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0.16796875</v>
      </c>
      <c r="C598" s="25" t="n">
        <f aca="false">IF(T597&gt;0,D597,C597)</f>
        <v>0.1796875</v>
      </c>
      <c r="D598" s="41" t="n">
        <f aca="false">(B598+C598)/2</f>
        <v>0.173828125</v>
      </c>
      <c r="E598" s="15" t="n">
        <f aca="false">$C$2*(1+IF(E$3&lt;=$O$2,$D598,$D598-($D598-$I$589)*MIN(E$3-$O$2,$Q$2)/$Q$2))</f>
        <v>3908.84765625</v>
      </c>
      <c r="F598" s="15" t="n">
        <f aca="false">E598*(1+IF(F$3&lt;=$O$2,$D598,$D598-($D598-$I$589)*MIN(F$3-$O$2,$Q$2)/$Q$2))</f>
        <v>4588.31531524658</v>
      </c>
      <c r="G598" s="15" t="n">
        <f aca="false">F598*(1+IF(G$3&lt;=$O$2,$D598,$D598-($D598-$I$589)*MIN(G$3-$O$2,$Q$2)/$Q$2))</f>
        <v>5385.89356340468</v>
      </c>
      <c r="H598" s="15" t="n">
        <f aca="false">G598*(1+IF(H$3&lt;=$O$2,$D598,$D598-($D598-$I$589)*MIN(H$3-$O$2,$Q$2)/$Q$2))</f>
        <v>6322.11334298088</v>
      </c>
      <c r="I598" s="15" t="n">
        <f aca="false">H598*(1+IF(I$3&lt;=$O$2,$D598,$D598-($D598-$I$589)*MIN(I$3-$O$2,$Q$2)/$Q$2))</f>
        <v>7421.07445142873</v>
      </c>
      <c r="J598" s="15" t="n">
        <f aca="false">I598*(1+IF(J$3&lt;=$O$2,$D598,$D598-($D598-$I$589)*MIN(J$3-$O$2,$Q$2)/$Q$2))</f>
        <v>8480.22874982277</v>
      </c>
      <c r="K598" s="15" t="n">
        <f aca="false">J598*(1+IF(K$3&lt;=$O$2,$D598,$D598-($D598-$I$589)*MIN(K$3-$O$2,$Q$2)/$Q$2))</f>
        <v>9426.76538216315</v>
      </c>
      <c r="L598" s="15" t="n">
        <f aca="false">K598*(1+IF(L$3&lt;=$O$2,$D598,$D598-($D598-$I$589)*MIN(L$3-$O$2,$Q$2)/$Q$2))</f>
        <v>10185.7260465378</v>
      </c>
      <c r="M598" s="15" t="n">
        <f aca="false">L598*(1+IF(M$3&lt;=$O$2,$D598,$D598-($D598-$I$589)*MIN(M$3-$O$2,$Q$2)/$Q$2))</f>
        <v>10688.9582079458</v>
      </c>
      <c r="N598" s="15" t="n">
        <f aca="false">M598*(1+IF(N$3&lt;=$O$2,$D598,$D598-($D598-$I$589)*MIN(N$3-$O$2,$Q$2)/$Q$2))</f>
        <v>10884.5661431512</v>
      </c>
      <c r="O598" s="15" t="n">
        <f aca="false">SUMPRODUCT(E598:N598,1/(1+$F$589)^$E$3:$N$3)*$E$2</f>
        <v>22869.4878823472</v>
      </c>
      <c r="P598" s="15" t="n">
        <f aca="false">N598*$E$2*(1+$I$589)/($F$589-$I$589)/(1+$F$589)^$N$3</f>
        <v>25323.5036582524</v>
      </c>
      <c r="Q598" s="15" t="n">
        <f aca="false">O598+P598</f>
        <v>48192.9915405996</v>
      </c>
      <c r="R598" s="15" t="n">
        <f aca="false">Q598-$G$2+$I$2</f>
        <v>42005.6915405996</v>
      </c>
      <c r="S598" s="42" t="n">
        <f aca="false">R598/$K$2</f>
        <v>577.794931782664</v>
      </c>
      <c r="T598" s="43" t="n">
        <f aca="false">S598-$M$2</f>
        <v>16.9971326079731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0.16796875</v>
      </c>
      <c r="C599" s="25" t="n">
        <f aca="false">IF(T598&gt;0,D598,C598)</f>
        <v>0.173828125</v>
      </c>
      <c r="D599" s="41" t="n">
        <f aca="false">(B599+C599)/2</f>
        <v>0.1708984375</v>
      </c>
      <c r="E599" s="15" t="n">
        <f aca="false">$C$2*(1+IF(E$3&lt;=$O$2,$D599,$D599-($D599-$I$589)*MIN(E$3-$O$2,$Q$2)/$Q$2))</f>
        <v>3899.091796875</v>
      </c>
      <c r="F599" s="15" t="n">
        <f aca="false">E599*(1+IF(F$3&lt;=$O$2,$D599,$D599-($D599-$I$589)*MIN(F$3-$O$2,$Q$2)/$Q$2))</f>
        <v>4565.44049263001</v>
      </c>
      <c r="G599" s="15" t="n">
        <f aca="false">F599*(1+IF(G$3&lt;=$O$2,$D599,$D599-($D599-$I$589)*MIN(G$3-$O$2,$Q$2)/$Q$2))</f>
        <v>5345.6671393197</v>
      </c>
      <c r="H599" s="15" t="n">
        <f aca="false">G599*(1+IF(H$3&lt;=$O$2,$D599,$D599-($D599-$I$589)*MIN(H$3-$O$2,$Q$2)/$Q$2))</f>
        <v>6259.23330082454</v>
      </c>
      <c r="I599" s="15" t="n">
        <f aca="false">H599*(1+IF(I$3&lt;=$O$2,$D599,$D599-($D599-$I$589)*MIN(I$3-$O$2,$Q$2)/$Q$2))</f>
        <v>7328.92649188342</v>
      </c>
      <c r="J599" s="15" t="n">
        <f aca="false">I599*(1+IF(J$3&lt;=$O$2,$D599,$D599-($D599-$I$589)*MIN(J$3-$O$2,$Q$2)/$Q$2))</f>
        <v>8357.7520316559</v>
      </c>
      <c r="K599" s="15" t="n">
        <f aca="false">J599*(1+IF(K$3&lt;=$O$2,$D599,$D599-($D599-$I$589)*MIN(K$3-$O$2,$Q$2)/$Q$2))</f>
        <v>9275.92683446108</v>
      </c>
      <c r="L599" s="15" t="n">
        <f aca="false">K599*(1+IF(L$3&lt;=$O$2,$D599,$D599-($D599-$I$589)*MIN(L$3-$O$2,$Q$2)/$Q$2))</f>
        <v>10011.873072053</v>
      </c>
      <c r="M599" s="15" t="n">
        <f aca="false">L599*(1+IF(M$3&lt;=$O$2,$D599,$D599-($D599-$I$589)*MIN(M$3-$O$2,$Q$2)/$Q$2))</f>
        <v>10500.6495867202</v>
      </c>
      <c r="N599" s="15" t="n">
        <f aca="false">M599*(1+IF(N$3&lt;=$O$2,$D599,$D599-($D599-$I$589)*MIN(N$3-$O$2,$Q$2)/$Q$2))</f>
        <v>10692.8114741572</v>
      </c>
      <c r="O599" s="15" t="n">
        <f aca="false">SUMPRODUCT(E599:N599,1/(1+$F$589)^$E$3:$N$3)*$E$2</f>
        <v>22586.8104846828</v>
      </c>
      <c r="P599" s="15" t="n">
        <f aca="false">N599*$E$2*(1+$I$589)/($F$589-$I$589)/(1+$F$589)^$N$3</f>
        <v>24877.3765459824</v>
      </c>
      <c r="Q599" s="15" t="n">
        <f aca="false">O599+P599</f>
        <v>47464.1870306652</v>
      </c>
      <c r="R599" s="15" t="n">
        <f aca="false">Q599-$G$2+$I$2</f>
        <v>41276.8870306652</v>
      </c>
      <c r="S599" s="42" t="n">
        <f aca="false">R599/$K$2</f>
        <v>567.77011046307</v>
      </c>
      <c r="T599" s="43" t="n">
        <f aca="false">S599-$M$2</f>
        <v>6.97231128837962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0.16796875</v>
      </c>
      <c r="C600" s="25" t="n">
        <f aca="false">IF(T599&gt;0,D599,C599)</f>
        <v>0.1708984375</v>
      </c>
      <c r="D600" s="41" t="n">
        <f aca="false">(B600+C600)/2</f>
        <v>0.16943359375</v>
      </c>
      <c r="E600" s="15" t="n">
        <f aca="false">$C$2*(1+IF(E$3&lt;=$O$2,$D600,$D600-($D600-$I$589)*MIN(E$3-$O$2,$Q$2)/$Q$2))</f>
        <v>3894.2138671875</v>
      </c>
      <c r="F600" s="15" t="n">
        <f aca="false">E600*(1+IF(F$3&lt;=$O$2,$D600,$D600-($D600-$I$589)*MIN(F$3-$O$2,$Q$2)/$Q$2))</f>
        <v>4554.02451753616</v>
      </c>
      <c r="G600" s="15" t="n">
        <f aca="false">F600*(1+IF(G$3&lt;=$O$2,$D600,$D600-($D600-$I$589)*MIN(G$3-$O$2,$Q$2)/$Q$2))</f>
        <v>5325.62925756793</v>
      </c>
      <c r="H600" s="15" t="n">
        <f aca="false">G600*(1+IF(H$3&lt;=$O$2,$D600,$D600-($D600-$I$589)*MIN(H$3-$O$2,$Q$2)/$Q$2))</f>
        <v>6227.9697616578</v>
      </c>
      <c r="I600" s="15" t="n">
        <f aca="false">H600*(1+IF(I$3&lt;=$O$2,$D600,$D600-($D600-$I$589)*MIN(I$3-$O$2,$Q$2)/$Q$2))</f>
        <v>7283.19706014182</v>
      </c>
      <c r="J600" s="15" t="n">
        <f aca="false">I600*(1+IF(J$3&lt;=$O$2,$D600,$D600-($D600-$I$589)*MIN(J$3-$O$2,$Q$2)/$Q$2))</f>
        <v>8297.06816289335</v>
      </c>
      <c r="K600" s="15" t="n">
        <f aca="false">J600*(1+IF(K$3&lt;=$O$2,$D600,$D600-($D600-$I$589)*MIN(K$3-$O$2,$Q$2)/$Q$2))</f>
        <v>9201.28394770236</v>
      </c>
      <c r="L600" s="15" t="n">
        <f aca="false">K600*(1+IF(L$3&lt;=$O$2,$D600,$D600-($D600-$I$589)*MIN(L$3-$O$2,$Q$2)/$Q$2))</f>
        <v>9925.91668799749</v>
      </c>
      <c r="M600" s="15" t="n">
        <f aca="false">L600*(1+IF(M$3&lt;=$O$2,$D600,$D600-($D600-$I$589)*MIN(M$3-$O$2,$Q$2)/$Q$2))</f>
        <v>10407.5888554519</v>
      </c>
      <c r="N600" s="15" t="n">
        <f aca="false">M600*(1+IF(N$3&lt;=$O$2,$D600,$D600-($D600-$I$589)*MIN(N$3-$O$2,$Q$2)/$Q$2))</f>
        <v>10598.0477315066</v>
      </c>
      <c r="O600" s="15" t="n">
        <f aca="false">SUMPRODUCT(E600:N600,1/(1+$F$589)^$E$3:$N$3)*$E$2</f>
        <v>22446.7590264568</v>
      </c>
      <c r="P600" s="15" t="n">
        <f aca="false">N600*$E$2*(1+$I$589)/($F$589-$I$589)/(1+$F$589)^$N$3</f>
        <v>24656.9038186251</v>
      </c>
      <c r="Q600" s="15" t="n">
        <f aca="false">O600+P600</f>
        <v>47103.6628450819</v>
      </c>
      <c r="R600" s="15" t="n">
        <f aca="false">Q600-$G$2+$I$2</f>
        <v>40916.3628450819</v>
      </c>
      <c r="S600" s="42" t="n">
        <f aca="false">R600/$K$2</f>
        <v>562.811043261099</v>
      </c>
      <c r="T600" s="43" t="n">
        <f aca="false">S600-$M$2</f>
        <v>2.01324408640869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0.16796875</v>
      </c>
      <c r="C601" s="25" t="n">
        <f aca="false">IF(T600&gt;0,D600,C600)</f>
        <v>0.16943359375</v>
      </c>
      <c r="D601" s="41" t="n">
        <f aca="false">(B601+C601)/2</f>
        <v>0.168701171875</v>
      </c>
      <c r="E601" s="15" t="n">
        <f aca="false">$C$2*(1+IF(E$3&lt;=$O$2,$D601,$D601-($D601-$I$589)*MIN(E$3-$O$2,$Q$2)/$Q$2))</f>
        <v>3891.77490234375</v>
      </c>
      <c r="F601" s="15" t="n">
        <f aca="false">E601*(1+IF(F$3&lt;=$O$2,$D601,$D601-($D601-$I$589)*MIN(F$3-$O$2,$Q$2)/$Q$2))</f>
        <v>4548.32188904285</v>
      </c>
      <c r="G601" s="15" t="n">
        <f aca="false">F601*(1+IF(G$3&lt;=$O$2,$D601,$D601-($D601-$I$589)*MIN(G$3-$O$2,$Q$2)/$Q$2))</f>
        <v>5315.6291217891</v>
      </c>
      <c r="H601" s="15" t="n">
        <f aca="false">G601*(1+IF(H$3&lt;=$O$2,$D601,$D601-($D601-$I$589)*MIN(H$3-$O$2,$Q$2)/$Q$2))</f>
        <v>6212.3819838878</v>
      </c>
      <c r="I601" s="15" t="n">
        <f aca="false">H601*(1+IF(I$3&lt;=$O$2,$D601,$D601-($D601-$I$589)*MIN(I$3-$O$2,$Q$2)/$Q$2))</f>
        <v>7260.4181047048</v>
      </c>
      <c r="J601" s="15" t="n">
        <f aca="false">I601*(1+IF(J$3&lt;=$O$2,$D601,$D601-($D601-$I$589)*MIN(J$3-$O$2,$Q$2)/$Q$2))</f>
        <v>8266.86406902096</v>
      </c>
      <c r="K601" s="15" t="n">
        <f aca="false">J601*(1+IF(K$3&lt;=$O$2,$D601,$D601-($D601-$I$589)*MIN(K$3-$O$2,$Q$2)/$Q$2))</f>
        <v>9164.15530771129</v>
      </c>
      <c r="L601" s="15" t="n">
        <f aca="false">K601*(1+IF(L$3&lt;=$O$2,$D601,$D601-($D601-$I$589)*MIN(L$3-$O$2,$Q$2)/$Q$2))</f>
        <v>9883.17922885212</v>
      </c>
      <c r="M601" s="15" t="n">
        <f aca="false">L601*(1+IF(M$3&lt;=$O$2,$D601,$D601-($D601-$I$589)*MIN(M$3-$O$2,$Q$2)/$Q$2))</f>
        <v>10361.3297563141</v>
      </c>
      <c r="N601" s="15" t="n">
        <f aca="false">M601*(1+IF(N$3&lt;=$O$2,$D601,$D601-($D601-$I$589)*MIN(N$3-$O$2,$Q$2)/$Q$2))</f>
        <v>10550.9420908547</v>
      </c>
      <c r="O601" s="15" t="n">
        <f aca="false">SUMPRODUCT(E601:N601,1/(1+$F$589)^$E$3:$N$3)*$E$2</f>
        <v>22377.053012554</v>
      </c>
      <c r="P601" s="15" t="n">
        <f aca="false">N601*$E$2*(1+$I$589)/($F$589-$I$589)/(1+$F$589)^$N$3</f>
        <v>24547.310119833</v>
      </c>
      <c r="Q601" s="15" t="n">
        <f aca="false">O601+P601</f>
        <v>46924.363132387</v>
      </c>
      <c r="R601" s="15" t="n">
        <f aca="false">Q601-$G$2+$I$2</f>
        <v>40737.063132387</v>
      </c>
      <c r="S601" s="42" t="n">
        <f aca="false">R601/$K$2</f>
        <v>560.344747350577</v>
      </c>
      <c r="T601" s="43" t="n">
        <f aca="false">S601-$M$2</f>
        <v>-0.453051824113345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0.168701171875</v>
      </c>
      <c r="C602" s="25" t="n">
        <f aca="false">IF(T601&gt;0,D601,C601)</f>
        <v>0.16943359375</v>
      </c>
      <c r="D602" s="41" t="n">
        <f aca="false">(B602+C602)/2</f>
        <v>0.1690673828125</v>
      </c>
      <c r="E602" s="15" t="n">
        <f aca="false">$C$2*(1+IF(E$3&lt;=$O$2,$D602,$D602-($D602-$I$589)*MIN(E$3-$O$2,$Q$2)/$Q$2))</f>
        <v>3892.99438476563</v>
      </c>
      <c r="F602" s="15" t="n">
        <f aca="false">E602*(1+IF(F$3&lt;=$O$2,$D602,$D602-($D602-$I$589)*MIN(F$3-$O$2,$Q$2)/$Q$2))</f>
        <v>4551.17275670171</v>
      </c>
      <c r="G602" s="15" t="n">
        <f aca="false">F602*(1+IF(G$3&lt;=$O$2,$D602,$D602-($D602-$I$589)*MIN(G$3-$O$2,$Q$2)/$Q$2))</f>
        <v>5320.62762340482</v>
      </c>
      <c r="H602" s="15" t="n">
        <f aca="false">G602*(1+IF(H$3&lt;=$O$2,$D602,$D602-($D602-$I$589)*MIN(H$3-$O$2,$Q$2)/$Q$2))</f>
        <v>6220.17221061376</v>
      </c>
      <c r="I602" s="15" t="n">
        <f aca="false">H602*(1+IF(I$3&lt;=$O$2,$D602,$D602-($D602-$I$589)*MIN(I$3-$O$2,$Q$2)/$Q$2))</f>
        <v>7271.80044690527</v>
      </c>
      <c r="J602" s="15" t="n">
        <f aca="false">I602*(1+IF(J$3&lt;=$O$2,$D602,$D602-($D602-$I$589)*MIN(J$3-$O$2,$Q$2)/$Q$2))</f>
        <v>8281.95465245538</v>
      </c>
      <c r="K602" s="15" t="n">
        <f aca="false">J602*(1+IF(K$3&lt;=$O$2,$D602,$D602-($D602-$I$589)*MIN(K$3-$O$2,$Q$2)/$Q$2))</f>
        <v>9182.70359910882</v>
      </c>
      <c r="L602" s="15" t="n">
        <f aca="false">K602*(1+IF(L$3&lt;=$O$2,$D602,$D602-($D602-$I$589)*MIN(L$3-$O$2,$Q$2)/$Q$2))</f>
        <v>9904.52795048473</v>
      </c>
      <c r="M602" s="15" t="n">
        <f aca="false">L602*(1+IF(M$3&lt;=$O$2,$D602,$D602-($D602-$I$589)*MIN(M$3-$O$2,$Q$2)/$Q$2))</f>
        <v>10384.4367633962</v>
      </c>
      <c r="N602" s="15" t="n">
        <f aca="false">M602*(1+IF(N$3&lt;=$O$2,$D602,$D602-($D602-$I$589)*MIN(N$3-$O$2,$Q$2)/$Q$2))</f>
        <v>10574.4719561663</v>
      </c>
      <c r="O602" s="15" t="n">
        <f aca="false">SUMPRODUCT(E602:N602,1/(1+$F$589)^$E$3:$N$3)*$E$2</f>
        <v>22411.879438676</v>
      </c>
      <c r="P602" s="15" t="n">
        <f aca="false">N602*$E$2*(1+$I$589)/($F$589-$I$589)/(1+$F$589)^$N$3</f>
        <v>24602.0535632061</v>
      </c>
      <c r="Q602" s="15" t="n">
        <f aca="false">O602+P602</f>
        <v>47013.933001882</v>
      </c>
      <c r="R602" s="15" t="n">
        <f aca="false">Q602-$G$2+$I$2</f>
        <v>40826.633001882</v>
      </c>
      <c r="S602" s="42" t="n">
        <f aca="false">R602/$K$2</f>
        <v>561.57679507403</v>
      </c>
      <c r="T602" s="43" t="n">
        <f aca="false">S602-$M$2</f>
        <v>0.778995899339975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0.168701171875</v>
      </c>
      <c r="C603" s="25" t="n">
        <f aca="false">IF(T602&gt;0,D602,C602)</f>
        <v>0.1690673828125</v>
      </c>
      <c r="D603" s="41" t="n">
        <f aca="false">(B603+C603)/2</f>
        <v>0.16888427734375</v>
      </c>
      <c r="E603" s="15" t="n">
        <f aca="false">$C$2*(1+IF(E$3&lt;=$O$2,$D603,$D603-($D603-$I$589)*MIN(E$3-$O$2,$Q$2)/$Q$2))</f>
        <v>3892.38464355469</v>
      </c>
      <c r="F603" s="15" t="n">
        <f aca="false">E603*(1+IF(F$3&lt;=$O$2,$D603,$D603-($D603-$I$589)*MIN(F$3-$O$2,$Q$2)/$Q$2))</f>
        <v>4549.74721122533</v>
      </c>
      <c r="G603" s="15" t="n">
        <f aca="false">F603*(1+IF(G$3&lt;=$O$2,$D603,$D603-($D603-$I$589)*MIN(G$3-$O$2,$Q$2)/$Q$2))</f>
        <v>5318.12798108986</v>
      </c>
      <c r="H603" s="15" t="n">
        <f aca="false">G603*(1+IF(H$3&lt;=$O$2,$D603,$D603-($D603-$I$589)*MIN(H$3-$O$2,$Q$2)/$Q$2))</f>
        <v>6216.2761819978</v>
      </c>
      <c r="I603" s="15" t="n">
        <f aca="false">H603*(1+IF(I$3&lt;=$O$2,$D603,$D603-($D603-$I$589)*MIN(I$3-$O$2,$Q$2)/$Q$2))</f>
        <v>7266.10749276367</v>
      </c>
      <c r="J603" s="15" t="n">
        <f aca="false">I603*(1+IF(J$3&lt;=$O$2,$D603,$D603-($D603-$I$589)*MIN(J$3-$O$2,$Q$2)/$Q$2))</f>
        <v>8274.4064966011</v>
      </c>
      <c r="K603" s="15" t="n">
        <f aca="false">J603*(1+IF(K$3&lt;=$O$2,$D603,$D603-($D603-$I$589)*MIN(K$3-$O$2,$Q$2)/$Q$2))</f>
        <v>9173.42544913236</v>
      </c>
      <c r="L603" s="15" t="n">
        <f aca="false">K603*(1+IF(L$3&lt;=$O$2,$D603,$D603-($D603-$I$589)*MIN(L$3-$O$2,$Q$2)/$Q$2))</f>
        <v>9893.84859166123</v>
      </c>
      <c r="M603" s="15" t="n">
        <f aca="false">L603*(1+IF(M$3&lt;=$O$2,$D603,$D603-($D603-$I$589)*MIN(M$3-$O$2,$Q$2)/$Q$2))</f>
        <v>10372.8776289534</v>
      </c>
      <c r="N603" s="15" t="n">
        <f aca="false">M603*(1+IF(N$3&lt;=$O$2,$D603,$D603-($D603-$I$589)*MIN(N$3-$O$2,$Q$2)/$Q$2))</f>
        <v>10562.7012895632</v>
      </c>
      <c r="O603" s="15" t="n">
        <f aca="false">SUMPRODUCT(E603:N603,1/(1+$F$589)^$E$3:$N$3)*$E$2</f>
        <v>22394.4595850577</v>
      </c>
      <c r="P603" s="15" t="n">
        <f aca="false">N603*$E$2*(1+$I$589)/($F$589-$I$589)/(1+$F$589)^$N$3</f>
        <v>24574.668501196</v>
      </c>
      <c r="Q603" s="15" t="n">
        <f aca="false">O603+P603</f>
        <v>46969.1280862537</v>
      </c>
      <c r="R603" s="15" t="n">
        <f aca="false">Q603-$G$2+$I$2</f>
        <v>40781.8280862537</v>
      </c>
      <c r="S603" s="42" t="n">
        <f aca="false">R603/$K$2</f>
        <v>560.960496372128</v>
      </c>
      <c r="T603" s="43" t="n">
        <f aca="false">S603-$M$2</f>
        <v>0.162697197437183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0.168701171875</v>
      </c>
      <c r="C604" s="25" t="n">
        <f aca="false">IF(T603&gt;0,D603,C603)</f>
        <v>0.16888427734375</v>
      </c>
      <c r="D604" s="41" t="n">
        <f aca="false">(B604+C604)/2</f>
        <v>0.168792724609375</v>
      </c>
      <c r="E604" s="15" t="n">
        <f aca="false">$C$2*(1+IF(E$3&lt;=$O$2,$D604,$D604-($D604-$I$589)*MIN(E$3-$O$2,$Q$2)/$Q$2))</f>
        <v>3892.07977294922</v>
      </c>
      <c r="F604" s="15" t="n">
        <f aca="false">E604*(1+IF(F$3&lt;=$O$2,$D604,$D604-($D604-$I$589)*MIN(F$3-$O$2,$Q$2)/$Q$2))</f>
        <v>4549.03452222236</v>
      </c>
      <c r="G604" s="15" t="n">
        <f aca="false">F604*(1+IF(G$3&lt;=$O$2,$D604,$D604-($D604-$I$589)*MIN(G$3-$O$2,$Q$2)/$Q$2))</f>
        <v>5316.87845357037</v>
      </c>
      <c r="H604" s="15" t="n">
        <f aca="false">G604*(1+IF(H$3&lt;=$O$2,$D604,$D604-($D604-$I$589)*MIN(H$3-$O$2,$Q$2)/$Q$2))</f>
        <v>6214.3288541654</v>
      </c>
      <c r="I604" s="15" t="n">
        <f aca="false">H604*(1+IF(I$3&lt;=$O$2,$D604,$D604-($D604-$I$589)*MIN(I$3-$O$2,$Q$2)/$Q$2))</f>
        <v>7263.26235307863</v>
      </c>
      <c r="J604" s="15" t="n">
        <f aca="false">I604*(1+IF(J$3&lt;=$O$2,$D604,$D604-($D604-$I$589)*MIN(J$3-$O$2,$Q$2)/$Q$2))</f>
        <v>8270.63456699397</v>
      </c>
      <c r="K604" s="15" t="n">
        <f aca="false">J604*(1+IF(K$3&lt;=$O$2,$D604,$D604-($D604-$I$589)*MIN(K$3-$O$2,$Q$2)/$Q$2))</f>
        <v>9168.7893777112</v>
      </c>
      <c r="L604" s="15" t="n">
        <f aca="false">K604*(1+IF(L$3&lt;=$O$2,$D604,$D604-($D604-$I$589)*MIN(L$3-$O$2,$Q$2)/$Q$2))</f>
        <v>9888.51266125182</v>
      </c>
      <c r="M604" s="15" t="n">
        <f aca="false">L604*(1+IF(M$3&lt;=$O$2,$D604,$D604-($D604-$I$589)*MIN(M$3-$O$2,$Q$2)/$Q$2))</f>
        <v>10367.1022854979</v>
      </c>
      <c r="N604" s="15" t="n">
        <f aca="false">M604*(1+IF(N$3&lt;=$O$2,$D604,$D604-($D604-$I$589)*MIN(N$3-$O$2,$Q$2)/$Q$2))</f>
        <v>10556.8202573226</v>
      </c>
      <c r="O604" s="15" t="n">
        <f aca="false">SUMPRODUCT(E604:N604,1/(1+$F$589)^$E$3:$N$3)*$E$2</f>
        <v>22385.7546392475</v>
      </c>
      <c r="P604" s="15" t="n">
        <f aca="false">N604*$E$2*(1+$I$589)/($F$589-$I$589)/(1+$F$589)^$N$3</f>
        <v>24560.9859768305</v>
      </c>
      <c r="Q604" s="15" t="n">
        <f aca="false">O604+P604</f>
        <v>46946.740616078</v>
      </c>
      <c r="R604" s="15" t="n">
        <f aca="false">Q604-$G$2+$I$2</f>
        <v>40759.440616078</v>
      </c>
      <c r="S604" s="42" t="n">
        <f aca="false">R604/$K$2</f>
        <v>560.652553178514</v>
      </c>
      <c r="T604" s="43" t="n">
        <f aca="false">S604-$M$2</f>
        <v>-0.145245996176413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0.168792724609375</v>
      </c>
      <c r="C605" s="25" t="n">
        <f aca="false">IF(T604&gt;0,D604,C604)</f>
        <v>0.16888427734375</v>
      </c>
      <c r="D605" s="41" t="n">
        <f aca="false">(B605+C605)/2</f>
        <v>0.168838500976563</v>
      </c>
      <c r="E605" s="15" t="n">
        <f aca="false">$C$2*(1+IF(E$3&lt;=$O$2,$D605,$D605-($D605-$I$589)*MIN(E$3-$O$2,$Q$2)/$Q$2))</f>
        <v>3892.23220825195</v>
      </c>
      <c r="F605" s="15" t="n">
        <f aca="false">E605*(1+IF(F$3&lt;=$O$2,$D605,$D605-($D605-$I$589)*MIN(F$3-$O$2,$Q$2)/$Q$2))</f>
        <v>4549.39085974591</v>
      </c>
      <c r="G605" s="15" t="n">
        <f aca="false">F605*(1+IF(G$3&lt;=$O$2,$D605,$D605-($D605-$I$589)*MIN(G$3-$O$2,$Q$2)/$Q$2))</f>
        <v>5317.50319286188</v>
      </c>
      <c r="H605" s="15" t="n">
        <f aca="false">G605*(1+IF(H$3&lt;=$O$2,$D605,$D605-($D605-$I$589)*MIN(H$3-$O$2,$Q$2)/$Q$2))</f>
        <v>6215.30246088277</v>
      </c>
      <c r="I605" s="15" t="n">
        <f aca="false">H605*(1+IF(I$3&lt;=$O$2,$D605,$D605-($D605-$I$589)*MIN(I$3-$O$2,$Q$2)/$Q$2))</f>
        <v>7264.68481149416</v>
      </c>
      <c r="J605" s="15" t="n">
        <f aca="false">I605*(1+IF(J$3&lt;=$O$2,$D605,$D605-($D605-$I$589)*MIN(J$3-$O$2,$Q$2)/$Q$2))</f>
        <v>8272.52035281612</v>
      </c>
      <c r="K605" s="15" t="n">
        <f aca="false">J605*(1+IF(K$3&lt;=$O$2,$D605,$D605-($D605-$I$589)*MIN(K$3-$O$2,$Q$2)/$Q$2))</f>
        <v>9171.10716319929</v>
      </c>
      <c r="L605" s="15" t="n">
        <f aca="false">K605*(1+IF(L$3&lt;=$O$2,$D605,$D605-($D605-$I$589)*MIN(L$3-$O$2,$Q$2)/$Q$2))</f>
        <v>9891.18031414321</v>
      </c>
      <c r="M605" s="15" t="n">
        <f aca="false">L605*(1+IF(M$3&lt;=$O$2,$D605,$D605-($D605-$I$589)*MIN(M$3-$O$2,$Q$2)/$Q$2))</f>
        <v>10369.989605368</v>
      </c>
      <c r="N605" s="15" t="n">
        <f aca="false">M605*(1+IF(N$3&lt;=$O$2,$D605,$D605-($D605-$I$589)*MIN(N$3-$O$2,$Q$2)/$Q$2))</f>
        <v>10559.7604151463</v>
      </c>
      <c r="O605" s="15" t="n">
        <f aca="false">SUMPRODUCT(E605:N605,1/(1+$F$589)^$E$3:$N$3)*$E$2</f>
        <v>22390.1066971904</v>
      </c>
      <c r="P605" s="15" t="n">
        <f aca="false">N605*$E$2*(1+$I$589)/($F$589-$I$589)/(1+$F$589)^$N$3</f>
        <v>24567.8264054177</v>
      </c>
      <c r="Q605" s="15" t="n">
        <f aca="false">O605+P605</f>
        <v>46957.9331026081</v>
      </c>
      <c r="R605" s="15" t="n">
        <f aca="false">Q605-$G$2+$I$2</f>
        <v>40770.6331026081</v>
      </c>
      <c r="S605" s="42" t="n">
        <f aca="false">R605/$K$2</f>
        <v>560.806507601211</v>
      </c>
      <c r="T605" s="43" t="n">
        <f aca="false">S605-$M$2</f>
        <v>0.00870842652079773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0.168792724609375</v>
      </c>
      <c r="C606" s="25" t="n">
        <f aca="false">IF(T605&gt;0,D605,C605)</f>
        <v>0.168838500976563</v>
      </c>
      <c r="D606" s="41" t="n">
        <f aca="false">(B606+C606)/2</f>
        <v>0.168815612792969</v>
      </c>
      <c r="E606" s="15" t="n">
        <f aca="false">$C$2*(1+IF(E$3&lt;=$O$2,$D606,$D606-($D606-$I$589)*MIN(E$3-$O$2,$Q$2)/$Q$2))</f>
        <v>3892.15599060059</v>
      </c>
      <c r="F606" s="15" t="n">
        <f aca="false">E606*(1+IF(F$3&lt;=$O$2,$D606,$D606-($D606-$I$589)*MIN(F$3-$O$2,$Q$2)/$Q$2))</f>
        <v>4549.21268923965</v>
      </c>
      <c r="G606" s="15" t="n">
        <f aca="false">F606*(1+IF(G$3&lt;=$O$2,$D606,$D606-($D606-$I$589)*MIN(G$3-$O$2,$Q$2)/$Q$2))</f>
        <v>5317.19081709919</v>
      </c>
      <c r="H606" s="15" t="n">
        <f aca="false">G606*(1+IF(H$3&lt;=$O$2,$D606,$D606-($D606-$I$589)*MIN(H$3-$O$2,$Q$2)/$Q$2))</f>
        <v>6214.81564322493</v>
      </c>
      <c r="I606" s="15" t="n">
        <f aca="false">H606*(1+IF(I$3&lt;=$O$2,$D606,$D606-($D606-$I$589)*MIN(I$3-$O$2,$Q$2)/$Q$2))</f>
        <v>7263.97355443128</v>
      </c>
      <c r="J606" s="15" t="n">
        <f aca="false">I606*(1+IF(J$3&lt;=$O$2,$D606,$D606-($D606-$I$589)*MIN(J$3-$O$2,$Q$2)/$Q$2))</f>
        <v>8271.57741516309</v>
      </c>
      <c r="K606" s="15" t="n">
        <f aca="false">J606*(1+IF(K$3&lt;=$O$2,$D606,$D606-($D606-$I$589)*MIN(K$3-$O$2,$Q$2)/$Q$2))</f>
        <v>9169.94820790522</v>
      </c>
      <c r="L606" s="15" t="n">
        <f aca="false">K606*(1+IF(L$3&lt;=$O$2,$D606,$D606-($D606-$I$589)*MIN(L$3-$O$2,$Q$2)/$Q$2))</f>
        <v>9889.84640962694</v>
      </c>
      <c r="M606" s="15" t="n">
        <f aca="false">L606*(1+IF(M$3&lt;=$O$2,$D606,$D606-($D606-$I$589)*MIN(M$3-$O$2,$Q$2)/$Q$2))</f>
        <v>10368.5458574778</v>
      </c>
      <c r="N606" s="15" t="n">
        <f aca="false">M606*(1+IF(N$3&lt;=$O$2,$D606,$D606-($D606-$I$589)*MIN(N$3-$O$2,$Q$2)/$Q$2))</f>
        <v>10558.2902466696</v>
      </c>
      <c r="O606" s="15" t="n">
        <f aca="false">SUMPRODUCT(E606:N606,1/(1+$F$589)^$E$3:$N$3)*$E$2</f>
        <v>22387.9305644875</v>
      </c>
      <c r="P606" s="15" t="n">
        <f aca="false">N606*$E$2*(1+$I$589)/($F$589-$I$589)/(1+$F$589)^$N$3</f>
        <v>24564.405982747</v>
      </c>
      <c r="Q606" s="15" t="n">
        <f aca="false">O606+P606</f>
        <v>46952.3365472345</v>
      </c>
      <c r="R606" s="15" t="n">
        <f aca="false">Q606-$G$2+$I$2</f>
        <v>40765.0365472345</v>
      </c>
      <c r="S606" s="42" t="n">
        <f aca="false">R606/$K$2</f>
        <v>560.72952609676</v>
      </c>
      <c r="T606" s="43" t="n">
        <f aca="false">S606-$M$2</f>
        <v>-0.0682730779302574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0.168815612792969</v>
      </c>
      <c r="C607" s="25" t="n">
        <f aca="false">IF(T606&gt;0,D606,C606)</f>
        <v>0.168838500976563</v>
      </c>
      <c r="D607" s="41" t="n">
        <f aca="false">(B607+C607)/2</f>
        <v>0.168827056884766</v>
      </c>
      <c r="E607" s="15" t="n">
        <f aca="false">$C$2*(1+IF(E$3&lt;=$O$2,$D607,$D607-($D607-$I$589)*MIN(E$3-$O$2,$Q$2)/$Q$2))</f>
        <v>3892.19409942627</v>
      </c>
      <c r="F607" s="15" t="n">
        <f aca="false">E607*(1+IF(F$3&lt;=$O$2,$D607,$D607-($D607-$I$589)*MIN(F$3-$O$2,$Q$2)/$Q$2))</f>
        <v>4549.30177405666</v>
      </c>
      <c r="G607" s="15" t="n">
        <f aca="false">F607*(1+IF(G$3&lt;=$O$2,$D607,$D607-($D607-$I$589)*MIN(G$3-$O$2,$Q$2)/$Q$2))</f>
        <v>5317.34700345129</v>
      </c>
      <c r="H607" s="15" t="n">
        <f aca="false">G607*(1+IF(H$3&lt;=$O$2,$D607,$D607-($D607-$I$589)*MIN(H$3-$O$2,$Q$2)/$Q$2))</f>
        <v>6215.05904847899</v>
      </c>
      <c r="I607" s="15" t="n">
        <f aca="false">H607*(1+IF(I$3&lt;=$O$2,$D607,$D607-($D607-$I$589)*MIN(I$3-$O$2,$Q$2)/$Q$2))</f>
        <v>7264.32917599873</v>
      </c>
      <c r="J607" s="15" t="n">
        <f aca="false">I607*(1+IF(J$3&lt;=$O$2,$D607,$D607-($D607-$I$589)*MIN(J$3-$O$2,$Q$2)/$Q$2))</f>
        <v>8272.04887280369</v>
      </c>
      <c r="K607" s="15" t="n">
        <f aca="false">J607*(1+IF(K$3&lt;=$O$2,$D607,$D607-($D607-$I$589)*MIN(K$3-$O$2,$Q$2)/$Q$2))</f>
        <v>9170.52766991405</v>
      </c>
      <c r="L607" s="15" t="n">
        <f aca="false">K607*(1+IF(L$3&lt;=$O$2,$D607,$D607-($D607-$I$589)*MIN(L$3-$O$2,$Q$2)/$Q$2))</f>
        <v>9890.51334236646</v>
      </c>
      <c r="M607" s="15" t="n">
        <f aca="false">L607*(1+IF(M$3&lt;=$O$2,$D607,$D607-($D607-$I$589)*MIN(M$3-$O$2,$Q$2)/$Q$2))</f>
        <v>10369.267709433</v>
      </c>
      <c r="N607" s="15" t="n">
        <f aca="false">M607*(1+IF(N$3&lt;=$O$2,$D607,$D607-($D607-$I$589)*MIN(N$3-$O$2,$Q$2)/$Q$2))</f>
        <v>10559.0253085156</v>
      </c>
      <c r="O607" s="15" t="n">
        <f aca="false">SUMPRODUCT(E607:N607,1/(1+$F$589)^$E$3:$N$3)*$E$2</f>
        <v>22389.0186049049</v>
      </c>
      <c r="P607" s="15" t="n">
        <f aca="false">N607*$E$2*(1+$I$589)/($F$589-$I$589)/(1+$F$589)^$N$3</f>
        <v>24566.1161419853</v>
      </c>
      <c r="Q607" s="15" t="n">
        <f aca="false">O607+P607</f>
        <v>46955.1347468903</v>
      </c>
      <c r="R607" s="15" t="n">
        <f aca="false">Q607-$G$2+$I$2</f>
        <v>40767.8347468903</v>
      </c>
      <c r="S607" s="42" t="n">
        <f aca="false">R607/$K$2</f>
        <v>560.768015775657</v>
      </c>
      <c r="T607" s="43" t="n">
        <f aca="false">S607-$M$2</f>
        <v>-0.0297833990334766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0.168827056884766</v>
      </c>
      <c r="C608" s="25" t="n">
        <f aca="false">IF(T607&gt;0,D607,C607)</f>
        <v>0.168838500976563</v>
      </c>
      <c r="D608" s="41" t="n">
        <f aca="false">(B608+C608)/2</f>
        <v>0.168832778930664</v>
      </c>
      <c r="E608" s="15" t="n">
        <f aca="false">$C$2*(1+IF(E$3&lt;=$O$2,$D608,$D608-($D608-$I$589)*MIN(E$3-$O$2,$Q$2)/$Q$2))</f>
        <v>3892.21315383911</v>
      </c>
      <c r="F608" s="15" t="n">
        <f aca="false">E608*(1+IF(F$3&lt;=$O$2,$D608,$D608-($D608-$I$589)*MIN(F$3-$O$2,$Q$2)/$Q$2))</f>
        <v>4549.34631679225</v>
      </c>
      <c r="G608" s="15" t="n">
        <f aca="false">F608*(1+IF(G$3&lt;=$O$2,$D608,$D608-($D608-$I$589)*MIN(G$3-$O$2,$Q$2)/$Q$2))</f>
        <v>5317.42509777427</v>
      </c>
      <c r="H608" s="15" t="n">
        <f aca="false">G608*(1+IF(H$3&lt;=$O$2,$D608,$D608-($D608-$I$589)*MIN(H$3-$O$2,$Q$2)/$Q$2))</f>
        <v>6215.18075378716</v>
      </c>
      <c r="I608" s="15" t="n">
        <f aca="false">H608*(1+IF(I$3&lt;=$O$2,$D608,$D608-($D608-$I$589)*MIN(I$3-$O$2,$Q$2)/$Q$2))</f>
        <v>7264.50699200542</v>
      </c>
      <c r="J608" s="15" t="n">
        <f aca="false">I608*(1+IF(J$3&lt;=$O$2,$D608,$D608-($D608-$I$589)*MIN(J$3-$O$2,$Q$2)/$Q$2))</f>
        <v>8272.28461001338</v>
      </c>
      <c r="K608" s="15" t="n">
        <f aca="false">J608*(1+IF(K$3&lt;=$O$2,$D608,$D608-($D608-$I$589)*MIN(K$3-$O$2,$Q$2)/$Q$2))</f>
        <v>9170.81741264703</v>
      </c>
      <c r="L608" s="15" t="n">
        <f aca="false">K608*(1+IF(L$3&lt;=$O$2,$D608,$D608-($D608-$I$589)*MIN(L$3-$O$2,$Q$2)/$Q$2))</f>
        <v>9890.84682337506</v>
      </c>
      <c r="M608" s="15" t="n">
        <f aca="false">L608*(1+IF(M$3&lt;=$O$2,$D608,$D608-($D608-$I$589)*MIN(M$3-$O$2,$Q$2)/$Q$2))</f>
        <v>10369.6286519029</v>
      </c>
      <c r="N608" s="15" t="n">
        <f aca="false">M608*(1+IF(N$3&lt;=$O$2,$D608,$D608-($D608-$I$589)*MIN(N$3-$O$2,$Q$2)/$Q$2))</f>
        <v>10559.3928562327</v>
      </c>
      <c r="O608" s="15" t="n">
        <f aca="false">SUMPRODUCT(E608:N608,1/(1+$F$589)^$E$3:$N$3)*$E$2</f>
        <v>22389.562644564</v>
      </c>
      <c r="P608" s="15" t="n">
        <f aca="false">N608*$E$2*(1+$I$589)/($F$589-$I$589)/(1+$F$589)^$N$3</f>
        <v>24566.9712606769</v>
      </c>
      <c r="Q608" s="15" t="n">
        <f aca="false">O608+P608</f>
        <v>46956.5339052409</v>
      </c>
      <c r="R608" s="15" t="n">
        <f aca="false">Q608-$G$2+$I$2</f>
        <v>40769.2339052409</v>
      </c>
      <c r="S608" s="42" t="n">
        <f aca="false">R608/$K$2</f>
        <v>560.787261420095</v>
      </c>
      <c r="T608" s="43" t="n">
        <f aca="false">S608-$M$2</f>
        <v>-0.0105377545951342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0.168832778930664</v>
      </c>
      <c r="C609" s="25" t="n">
        <f aca="false">IF(T608&gt;0,D608,C608)</f>
        <v>0.168838500976563</v>
      </c>
      <c r="D609" s="41" t="n">
        <f aca="false">(B609+C609)/2</f>
        <v>0.168835639953613</v>
      </c>
      <c r="E609" s="15" t="n">
        <f aca="false">$C$2*(1+IF(E$3&lt;=$O$2,$D609,$D609-($D609-$I$589)*MIN(E$3-$O$2,$Q$2)/$Q$2))</f>
        <v>3892.22268104553</v>
      </c>
      <c r="F609" s="15" t="n">
        <f aca="false">E609*(1+IF(F$3&lt;=$O$2,$D609,$D609-($D609-$I$589)*MIN(F$3-$O$2,$Q$2)/$Q$2))</f>
        <v>4549.36858824182</v>
      </c>
      <c r="G609" s="15" t="n">
        <f aca="false">F609*(1+IF(G$3&lt;=$O$2,$D609,$D609-($D609-$I$589)*MIN(G$3-$O$2,$Q$2)/$Q$2))</f>
        <v>5317.4641452225</v>
      </c>
      <c r="H609" s="15" t="n">
        <f aca="false">G609*(1+IF(H$3&lt;=$O$2,$D609,$D609-($D609-$I$589)*MIN(H$3-$O$2,$Q$2)/$Q$2))</f>
        <v>6215.24160711153</v>
      </c>
      <c r="I609" s="15" t="n">
        <f aca="false">H609*(1+IF(I$3&lt;=$O$2,$D609,$D609-($D609-$I$589)*MIN(I$3-$O$2,$Q$2)/$Q$2))</f>
        <v>7264.59590131453</v>
      </c>
      <c r="J609" s="15" t="n">
        <f aca="false">I609*(1+IF(J$3&lt;=$O$2,$D609,$D609-($D609-$I$589)*MIN(J$3-$O$2,$Q$2)/$Q$2))</f>
        <v>8272.40248071561</v>
      </c>
      <c r="K609" s="15" t="n">
        <f aca="false">J609*(1+IF(K$3&lt;=$O$2,$D609,$D609-($D609-$I$589)*MIN(K$3-$O$2,$Q$2)/$Q$2))</f>
        <v>9170.96228694573</v>
      </c>
      <c r="L609" s="15" t="n">
        <f aca="false">K609*(1+IF(L$3&lt;=$O$2,$D609,$D609-($D609-$I$589)*MIN(L$3-$O$2,$Q$2)/$Q$2))</f>
        <v>9891.01356753917</v>
      </c>
      <c r="M609" s="15" t="n">
        <f aca="false">L609*(1+IF(M$3&lt;=$O$2,$D609,$D609-($D609-$I$589)*MIN(M$3-$O$2,$Q$2)/$Q$2))</f>
        <v>10369.809127261</v>
      </c>
      <c r="N609" s="15" t="n">
        <f aca="false">M609*(1+IF(N$3&lt;=$O$2,$D609,$D609-($D609-$I$589)*MIN(N$3-$O$2,$Q$2)/$Q$2))</f>
        <v>10559.5766342899</v>
      </c>
      <c r="O609" s="15" t="n">
        <f aca="false">SUMPRODUCT(E609:N609,1/(1+$F$589)^$E$3:$N$3)*$E$2</f>
        <v>22389.8346692563</v>
      </c>
      <c r="P609" s="15" t="n">
        <f aca="false">N609*$E$2*(1+$I$589)/($F$589-$I$589)/(1+$F$589)^$N$3</f>
        <v>24567.3988297911</v>
      </c>
      <c r="Q609" s="15" t="n">
        <f aca="false">O609+P609</f>
        <v>46957.2334990474</v>
      </c>
      <c r="R609" s="15" t="n">
        <f aca="false">Q609-$G$2+$I$2</f>
        <v>40769.9334990474</v>
      </c>
      <c r="S609" s="42" t="n">
        <f aca="false">R609/$K$2</f>
        <v>560.796884443568</v>
      </c>
      <c r="T609" s="43" t="n">
        <f aca="false">S609-$M$2</f>
        <v>-0.00091473112274798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0.168835639953613</v>
      </c>
      <c r="C610" s="25" t="n">
        <f aca="false">IF(T609&gt;0,D609,C609)</f>
        <v>0.168838500976563</v>
      </c>
      <c r="D610" s="41" t="n">
        <f aca="false">(B610+C610)/2</f>
        <v>0.168837070465088</v>
      </c>
      <c r="E610" s="15" t="n">
        <f aca="false">$C$2*(1+IF(E$3&lt;=$O$2,$D610,$D610-($D610-$I$589)*MIN(E$3-$O$2,$Q$2)/$Q$2))</f>
        <v>3892.22744464874</v>
      </c>
      <c r="F610" s="15" t="n">
        <f aca="false">E610*(1+IF(F$3&lt;=$O$2,$D610,$D610-($D610-$I$589)*MIN(F$3-$O$2,$Q$2)/$Q$2))</f>
        <v>4549.37972398705</v>
      </c>
      <c r="G610" s="15" t="n">
        <f aca="false">F610*(1+IF(G$3&lt;=$O$2,$D610,$D610-($D610-$I$589)*MIN(G$3-$O$2,$Q$2)/$Q$2))</f>
        <v>5317.4836690183</v>
      </c>
      <c r="H610" s="15" t="n">
        <f aca="false">G610*(1+IF(H$3&lt;=$O$2,$D610,$D610-($D610-$I$589)*MIN(H$3-$O$2,$Q$2)/$Q$2))</f>
        <v>6215.27203394129</v>
      </c>
      <c r="I610" s="15" t="n">
        <f aca="false">H610*(1+IF(I$3&lt;=$O$2,$D610,$D610-($D610-$I$589)*MIN(I$3-$O$2,$Q$2)/$Q$2))</f>
        <v>7264.64035629553</v>
      </c>
      <c r="J610" s="15" t="n">
        <f aca="false">I610*(1+IF(J$3&lt;=$O$2,$D610,$D610-($D610-$I$589)*MIN(J$3-$O$2,$Q$2)/$Q$2))</f>
        <v>8272.46141659108</v>
      </c>
      <c r="K610" s="15" t="n">
        <f aca="false">J610*(1+IF(K$3&lt;=$O$2,$D610,$D610-($D610-$I$589)*MIN(K$3-$O$2,$Q$2)/$Q$2))</f>
        <v>9171.03472482815</v>
      </c>
      <c r="L610" s="15" t="n">
        <f aca="false">K610*(1+IF(L$3&lt;=$O$2,$D610,$D610-($D610-$I$589)*MIN(L$3-$O$2,$Q$2)/$Q$2))</f>
        <v>9891.0969405362</v>
      </c>
      <c r="M610" s="15" t="n">
        <f aca="false">L610*(1+IF(M$3&lt;=$O$2,$D610,$D610-($D610-$I$589)*MIN(M$3-$O$2,$Q$2)/$Q$2))</f>
        <v>10369.8993659709</v>
      </c>
      <c r="N610" s="15" t="n">
        <f aca="false">M610*(1+IF(N$3&lt;=$O$2,$D610,$D610-($D610-$I$589)*MIN(N$3-$O$2,$Q$2)/$Q$2))</f>
        <v>10559.6685243682</v>
      </c>
      <c r="O610" s="15" t="n">
        <f aca="false">SUMPRODUCT(E610:N610,1/(1+$F$589)^$E$3:$N$3)*$E$2</f>
        <v>22389.9706828181</v>
      </c>
      <c r="P610" s="15" t="n">
        <f aca="false">N610*$E$2*(1+$I$589)/($F$589-$I$589)/(1+$F$589)^$N$3</f>
        <v>24567.6126167903</v>
      </c>
      <c r="Q610" s="15" t="n">
        <f aca="false">O610+P610</f>
        <v>46957.5832996084</v>
      </c>
      <c r="R610" s="15" t="n">
        <f aca="false">Q610-$G$2+$I$2</f>
        <v>40770.2832996084</v>
      </c>
      <c r="S610" s="42" t="n">
        <f aca="false">R610/$K$2</f>
        <v>560.801696005618</v>
      </c>
      <c r="T610" s="43" t="n">
        <f aca="false">S610-$M$2</f>
        <v>0.00389683092737414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0.168835639953613</v>
      </c>
      <c r="C611" s="25" t="n">
        <f aca="false">IF(T610&gt;0,D610,C610)</f>
        <v>0.168837070465088</v>
      </c>
      <c r="D611" s="41" t="n">
        <f aca="false">(B611+C611)/2</f>
        <v>0.168836355209351</v>
      </c>
      <c r="E611" s="15" t="n">
        <f aca="false">$C$2*(1+IF(E$3&lt;=$O$2,$D611,$D611-($D611-$I$589)*MIN(E$3-$O$2,$Q$2)/$Q$2))</f>
        <v>3892.22506284714</v>
      </c>
      <c r="F611" s="15" t="n">
        <f aca="false">E611*(1+IF(F$3&lt;=$O$2,$D611,$D611-($D611-$I$589)*MIN(F$3-$O$2,$Q$2)/$Q$2))</f>
        <v>4549.37415611273</v>
      </c>
      <c r="G611" s="15" t="n">
        <f aca="false">F611*(1+IF(G$3&lt;=$O$2,$D611,$D611-($D611-$I$589)*MIN(G$3-$O$2,$Q$2)/$Q$2))</f>
        <v>5317.47390711442</v>
      </c>
      <c r="H611" s="15" t="n">
        <f aca="false">G611*(1+IF(H$3&lt;=$O$2,$D611,$D611-($D611-$I$589)*MIN(H$3-$O$2,$Q$2)/$Q$2))</f>
        <v>6215.25682051245</v>
      </c>
      <c r="I611" s="15" t="n">
        <f aca="false">H611*(1+IF(I$3&lt;=$O$2,$D611,$D611-($D611-$I$589)*MIN(I$3-$O$2,$Q$2)/$Q$2))</f>
        <v>7264.61812877782</v>
      </c>
      <c r="J611" s="15" t="n">
        <f aca="false">I611*(1+IF(J$3&lt;=$O$2,$D611,$D611-($D611-$I$589)*MIN(J$3-$O$2,$Q$2)/$Q$2))</f>
        <v>8272.43194860965</v>
      </c>
      <c r="K611" s="15" t="n">
        <f aca="false">J611*(1+IF(K$3&lt;=$O$2,$D611,$D611-($D611-$I$589)*MIN(K$3-$O$2,$Q$2)/$Q$2))</f>
        <v>9170.99850582585</v>
      </c>
      <c r="L611" s="15" t="n">
        <f aca="false">K611*(1+IF(L$3&lt;=$O$2,$D611,$D611-($D611-$I$589)*MIN(L$3-$O$2,$Q$2)/$Q$2))</f>
        <v>9891.05525396144</v>
      </c>
      <c r="M611" s="15" t="n">
        <f aca="false">L611*(1+IF(M$3&lt;=$O$2,$D611,$D611-($D611-$I$589)*MIN(M$3-$O$2,$Q$2)/$Q$2))</f>
        <v>10369.8542465301</v>
      </c>
      <c r="N611" s="15" t="n">
        <f aca="false">M611*(1+IF(N$3&lt;=$O$2,$D611,$D611-($D611-$I$589)*MIN(N$3-$O$2,$Q$2)/$Q$2))</f>
        <v>10559.6225792416</v>
      </c>
      <c r="O611" s="15" t="n">
        <f aca="false">SUMPRODUCT(E611:N611,1/(1+$F$589)^$E$3:$N$3)*$E$2</f>
        <v>22389.9026759359</v>
      </c>
      <c r="P611" s="15" t="n">
        <f aca="false">N611*$E$2*(1+$I$589)/($F$589-$I$589)/(1+$F$589)^$N$3</f>
        <v>24567.5057230872</v>
      </c>
      <c r="Q611" s="15" t="n">
        <f aca="false">O611+P611</f>
        <v>46957.4083990231</v>
      </c>
      <c r="R611" s="15" t="n">
        <f aca="false">Q611-$G$2+$I$2</f>
        <v>40770.1083990231</v>
      </c>
      <c r="S611" s="42" t="n">
        <f aca="false">R611/$K$2</f>
        <v>560.7992902204</v>
      </c>
      <c r="T611" s="43" t="n">
        <f aca="false">S611-$M$2</f>
        <v>0.00149104570937197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0.168835639953613</v>
      </c>
      <c r="C612" s="25" t="n">
        <f aca="false">IF(T611&gt;0,D611,C611)</f>
        <v>0.168836355209351</v>
      </c>
      <c r="D612" s="41" t="n">
        <f aca="false">(B612+C612)/2</f>
        <v>0.168835997581482</v>
      </c>
      <c r="E612" s="15" t="n">
        <f aca="false">$C$2*(1+IF(E$3&lt;=$O$2,$D612,$D612-($D612-$I$589)*MIN(E$3-$O$2,$Q$2)/$Q$2))</f>
        <v>3892.22387194634</v>
      </c>
      <c r="F612" s="15" t="n">
        <f aca="false">E612*(1+IF(F$3&lt;=$O$2,$D612,$D612-($D612-$I$589)*MIN(F$3-$O$2,$Q$2)/$Q$2))</f>
        <v>4549.37137217685</v>
      </c>
      <c r="G612" s="15" t="n">
        <f aca="false">F612*(1+IF(G$3&lt;=$O$2,$D612,$D612-($D612-$I$589)*MIN(G$3-$O$2,$Q$2)/$Q$2))</f>
        <v>5317.46902616697</v>
      </c>
      <c r="H612" s="15" t="n">
        <f aca="false">G612*(1+IF(H$3&lt;=$O$2,$D612,$D612-($D612-$I$589)*MIN(H$3-$O$2,$Q$2)/$Q$2))</f>
        <v>6215.2492138085</v>
      </c>
      <c r="I612" s="15" t="n">
        <f aca="false">H612*(1+IF(I$3&lt;=$O$2,$D612,$D612-($D612-$I$589)*MIN(I$3-$O$2,$Q$2)/$Q$2))</f>
        <v>7264.60701503938</v>
      </c>
      <c r="J612" s="15" t="n">
        <f aca="false">I612*(1+IF(J$3&lt;=$O$2,$D612,$D612-($D612-$I$589)*MIN(J$3-$O$2,$Q$2)/$Q$2))</f>
        <v>8272.41721465171</v>
      </c>
      <c r="K612" s="15" t="n">
        <f aca="false">J612*(1+IF(K$3&lt;=$O$2,$D612,$D612-($D612-$I$589)*MIN(K$3-$O$2,$Q$2)/$Q$2))</f>
        <v>9170.98039637052</v>
      </c>
      <c r="L612" s="15" t="n">
        <f aca="false">K612*(1+IF(L$3&lt;=$O$2,$D612,$D612-($D612-$I$589)*MIN(L$3-$O$2,$Q$2)/$Q$2))</f>
        <v>9891.03441073124</v>
      </c>
      <c r="M612" s="15" t="n">
        <f aca="false">L612*(1+IF(M$3&lt;=$O$2,$D612,$D612-($D612-$I$589)*MIN(M$3-$O$2,$Q$2)/$Q$2))</f>
        <v>10369.8316868741</v>
      </c>
      <c r="N612" s="15" t="n">
        <f aca="false">M612*(1+IF(N$3&lt;=$O$2,$D612,$D612-($D612-$I$589)*MIN(N$3-$O$2,$Q$2)/$Q$2))</f>
        <v>10559.5996067439</v>
      </c>
      <c r="O612" s="15" t="n">
        <f aca="false">SUMPRODUCT(E612:N612,1/(1+$F$589)^$E$3:$N$3)*$E$2</f>
        <v>22389.8686725708</v>
      </c>
      <c r="P612" s="15" t="n">
        <f aca="false">N612*$E$2*(1+$I$589)/($F$589-$I$589)/(1+$F$589)^$N$3</f>
        <v>24567.4522763883</v>
      </c>
      <c r="Q612" s="15" t="n">
        <f aca="false">O612+P612</f>
        <v>46957.320948959</v>
      </c>
      <c r="R612" s="15" t="n">
        <f aca="false">Q612-$G$2+$I$2</f>
        <v>40770.020948959</v>
      </c>
      <c r="S612" s="42" t="n">
        <f aca="false">R612/$K$2</f>
        <v>560.798087330936</v>
      </c>
      <c r="T612" s="43" t="n">
        <f aca="false">S612-$M$2</f>
        <v>0.000288156245119353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0.168835639953613</v>
      </c>
      <c r="C613" s="25" t="n">
        <f aca="false">IF(T612&gt;0,D612,C612)</f>
        <v>0.168835997581482</v>
      </c>
      <c r="D613" s="41" t="n">
        <f aca="false">(B613+C613)/2</f>
        <v>0.168835818767548</v>
      </c>
      <c r="E613" s="15" t="n">
        <f aca="false">$C$2*(1+IF(E$3&lt;=$O$2,$D613,$D613-($D613-$I$589)*MIN(E$3-$O$2,$Q$2)/$Q$2))</f>
        <v>3892.22327649593</v>
      </c>
      <c r="F613" s="15" t="n">
        <f aca="false">E613*(1+IF(F$3&lt;=$O$2,$D613,$D613-($D613-$I$589)*MIN(F$3-$O$2,$Q$2)/$Q$2))</f>
        <v>4549.36998020923</v>
      </c>
      <c r="G613" s="15" t="n">
        <f aca="false">F613*(1+IF(G$3&lt;=$O$2,$D613,$D613-($D613-$I$589)*MIN(G$3-$O$2,$Q$2)/$Q$2))</f>
        <v>5317.46658569436</v>
      </c>
      <c r="H613" s="15" t="n">
        <f aca="false">G613*(1+IF(H$3&lt;=$O$2,$D613,$D613-($D613-$I$589)*MIN(H$3-$O$2,$Q$2)/$Q$2))</f>
        <v>6215.24541045914</v>
      </c>
      <c r="I613" s="15" t="n">
        <f aca="false">H613*(1+IF(I$3&lt;=$O$2,$D613,$D613-($D613-$I$589)*MIN(I$3-$O$2,$Q$2)/$Q$2))</f>
        <v>7264.60145817525</v>
      </c>
      <c r="J613" s="15" t="n">
        <f aca="false">I613*(1+IF(J$3&lt;=$O$2,$D613,$D613-($D613-$I$589)*MIN(J$3-$O$2,$Q$2)/$Q$2))</f>
        <v>8272.40984768093</v>
      </c>
      <c r="K613" s="15" t="n">
        <f aca="false">J613*(1+IF(K$3&lt;=$O$2,$D613,$D613-($D613-$I$589)*MIN(K$3-$O$2,$Q$2)/$Q$2))</f>
        <v>9170.97134165431</v>
      </c>
      <c r="L613" s="15" t="n">
        <f aca="false">K613*(1+IF(L$3&lt;=$O$2,$D613,$D613-($D613-$I$589)*MIN(L$3-$O$2,$Q$2)/$Q$2))</f>
        <v>9891.02398913044</v>
      </c>
      <c r="M613" s="15" t="n">
        <f aca="false">L613*(1+IF(M$3&lt;=$O$2,$D613,$D613-($D613-$I$589)*MIN(M$3-$O$2,$Q$2)/$Q$2))</f>
        <v>10369.8204070622</v>
      </c>
      <c r="N613" s="15" t="n">
        <f aca="false">M613*(1+IF(N$3&lt;=$O$2,$D613,$D613-($D613-$I$589)*MIN(N$3-$O$2,$Q$2)/$Q$2))</f>
        <v>10559.5881205114</v>
      </c>
      <c r="O613" s="15" t="n">
        <f aca="false">SUMPRODUCT(E613:N613,1/(1+$F$589)^$E$3:$N$3)*$E$2</f>
        <v>22389.8516709072</v>
      </c>
      <c r="P613" s="15" t="n">
        <f aca="false">N613*$E$2*(1+$I$589)/($F$589-$I$589)/(1+$F$589)^$N$3</f>
        <v>24567.425553077</v>
      </c>
      <c r="Q613" s="15" t="n">
        <f aca="false">O613+P613</f>
        <v>46957.2772239841</v>
      </c>
      <c r="R613" s="15" t="n">
        <f aca="false">Q613-$G$2+$I$2</f>
        <v>40769.9772239841</v>
      </c>
      <c r="S613" s="42" t="n">
        <f aca="false">R613/$K$2</f>
        <v>560.79748588699</v>
      </c>
      <c r="T613" s="43" t="n">
        <f aca="false">S613-$M$2</f>
        <v>-0.000313287700919318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0.168835818767548</v>
      </c>
      <c r="C614" s="25" t="n">
        <f aca="false">IF(T613&gt;0,D613,C613)</f>
        <v>0.168835997581482</v>
      </c>
      <c r="D614" s="41" t="n">
        <f aca="false">(B614+C614)/2</f>
        <v>0.168835908174515</v>
      </c>
      <c r="E614" s="15" t="n">
        <f aca="false">$C$2*(1+IF(E$3&lt;=$O$2,$D614,$D614-($D614-$I$589)*MIN(E$3-$O$2,$Q$2)/$Q$2))</f>
        <v>3892.22357422113</v>
      </c>
      <c r="F614" s="15" t="n">
        <f aca="false">E614*(1+IF(F$3&lt;=$O$2,$D614,$D614-($D614-$I$589)*MIN(F$3-$O$2,$Q$2)/$Q$2))</f>
        <v>4549.37067619302</v>
      </c>
      <c r="G614" s="15" t="n">
        <f aca="false">F614*(1+IF(G$3&lt;=$O$2,$D614,$D614-($D614-$I$589)*MIN(G$3-$O$2,$Q$2)/$Q$2))</f>
        <v>5317.46780593057</v>
      </c>
      <c r="H614" s="15" t="n">
        <f aca="false">G614*(1+IF(H$3&lt;=$O$2,$D614,$D614-($D614-$I$589)*MIN(H$3-$O$2,$Q$2)/$Q$2))</f>
        <v>6215.2473121336</v>
      </c>
      <c r="I614" s="15" t="n">
        <f aca="false">H614*(1+IF(I$3&lt;=$O$2,$D614,$D614-($D614-$I$589)*MIN(I$3-$O$2,$Q$2)/$Q$2))</f>
        <v>7264.60423660689</v>
      </c>
      <c r="J614" s="15" t="n">
        <f aca="false">I614*(1+IF(J$3&lt;=$O$2,$D614,$D614-($D614-$I$589)*MIN(J$3-$O$2,$Q$2)/$Q$2))</f>
        <v>8272.41353116563</v>
      </c>
      <c r="K614" s="15" t="n">
        <f aca="false">J614*(1+IF(K$3&lt;=$O$2,$D614,$D614-($D614-$I$589)*MIN(K$3-$O$2,$Q$2)/$Q$2))</f>
        <v>9170.97586901146</v>
      </c>
      <c r="L614" s="15" t="n">
        <f aca="false">K614*(1+IF(L$3&lt;=$O$2,$D614,$D614-($D614-$I$589)*MIN(L$3-$O$2,$Q$2)/$Q$2))</f>
        <v>9891.02919992965</v>
      </c>
      <c r="M614" s="15" t="n">
        <f aca="false">L614*(1+IF(M$3&lt;=$O$2,$D614,$D614-($D614-$I$589)*MIN(M$3-$O$2,$Q$2)/$Q$2))</f>
        <v>10369.8260469668</v>
      </c>
      <c r="N614" s="15" t="n">
        <f aca="false">M614*(1+IF(N$3&lt;=$O$2,$D614,$D614-($D614-$I$589)*MIN(N$3-$O$2,$Q$2)/$Q$2))</f>
        <v>10559.5938636263</v>
      </c>
      <c r="O614" s="15" t="n">
        <f aca="false">SUMPRODUCT(E614:N614,1/(1+$F$589)^$E$3:$N$3)*$E$2</f>
        <v>22389.8601717374</v>
      </c>
      <c r="P614" s="15" t="n">
        <f aca="false">N614*$E$2*(1+$I$589)/($F$589-$I$589)/(1+$F$589)^$N$3</f>
        <v>24567.4389147294</v>
      </c>
      <c r="Q614" s="15" t="n">
        <f aca="false">O614+P614</f>
        <v>46957.2990864668</v>
      </c>
      <c r="R614" s="15" t="n">
        <f aca="false">Q614-$G$2+$I$2</f>
        <v>40769.9990864668</v>
      </c>
      <c r="S614" s="42" t="n">
        <f aca="false">R614/$K$2</f>
        <v>560.797786608897</v>
      </c>
      <c r="T614" s="43" t="n">
        <f aca="false">S614-$M$2</f>
        <v>-1.25657933267576E-005</v>
      </c>
    </row>
    <row r="616" customFormat="false" ht="15" hidden="false" customHeight="false" outlineLevel="0" collapsed="false">
      <c r="A616" s="38" t="s">
        <v>203</v>
      </c>
      <c r="E616" s="5" t="s">
        <v>11</v>
      </c>
      <c r="F616" s="12" t="n">
        <f aca="false">Sensitivity!$B$14</f>
        <v>0.105330622875929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162</v>
      </c>
      <c r="B617" s="28" t="s">
        <v>163</v>
      </c>
      <c r="C617" s="28" t="s">
        <v>164</v>
      </c>
      <c r="D617" s="28" t="s">
        <v>165</v>
      </c>
      <c r="E617" s="28" t="s">
        <v>166</v>
      </c>
      <c r="F617" s="28" t="s">
        <v>167</v>
      </c>
      <c r="G617" s="28" t="s">
        <v>168</v>
      </c>
      <c r="H617" s="28" t="s">
        <v>169</v>
      </c>
      <c r="I617" s="28" t="s">
        <v>170</v>
      </c>
      <c r="J617" s="28" t="s">
        <v>171</v>
      </c>
      <c r="K617" s="28" t="s">
        <v>172</v>
      </c>
      <c r="L617" s="28" t="s">
        <v>173</v>
      </c>
      <c r="M617" s="28" t="s">
        <v>174</v>
      </c>
      <c r="N617" s="28" t="s">
        <v>175</v>
      </c>
      <c r="O617" s="28" t="s">
        <v>176</v>
      </c>
      <c r="P617" s="28" t="s">
        <v>177</v>
      </c>
      <c r="Q617" s="28" t="s">
        <v>178</v>
      </c>
      <c r="R617" s="28" t="s">
        <v>179</v>
      </c>
      <c r="S617" s="28" t="s">
        <v>180</v>
      </c>
      <c r="T617" s="28" t="s">
        <v>181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4162.5</v>
      </c>
      <c r="F618" s="15" t="n">
        <f aca="false">E618*(1+IF(F$3&lt;=$O$2,$D618,$D618-($D618-$I$616)*MIN(F$3-$O$2,$Q$2)/$Q$2))</f>
        <v>5203.125</v>
      </c>
      <c r="G618" s="15" t="n">
        <f aca="false">F618*(1+IF(G$3&lt;=$O$2,$D618,$D618-($D618-$I$616)*MIN(G$3-$O$2,$Q$2)/$Q$2))</f>
        <v>6503.90625</v>
      </c>
      <c r="H618" s="15" t="n">
        <f aca="false">G618*(1+IF(H$3&lt;=$O$2,$D618,$D618-($D618-$I$616)*MIN(H$3-$O$2,$Q$2)/$Q$2))</f>
        <v>8129.8828125</v>
      </c>
      <c r="I618" s="15" t="n">
        <f aca="false">H618*(1+IF(I$3&lt;=$O$2,$D618,$D618-($D618-$I$616)*MIN(I$3-$O$2,$Q$2)/$Q$2))</f>
        <v>10162.353515625</v>
      </c>
      <c r="J618" s="15" t="n">
        <f aca="false">I618*(1+IF(J$3&lt;=$O$2,$D618,$D618-($D618-$I$616)*MIN(J$3-$O$2,$Q$2)/$Q$2))</f>
        <v>12242.1807861328</v>
      </c>
      <c r="K618" s="15" t="n">
        <f aca="false">J618*(1+IF(K$3&lt;=$O$2,$D618,$D618-($D618-$I$616)*MIN(K$3-$O$2,$Q$2)/$Q$2))</f>
        <v>14192.6050289795</v>
      </c>
      <c r="L618" s="15" t="n">
        <f aca="false">K618*(1+IF(L$3&lt;=$O$2,$D618,$D618-($D618-$I$616)*MIN(L$3-$O$2,$Q$2)/$Q$2))</f>
        <v>15810.2781501826</v>
      </c>
      <c r="M618" s="15" t="n">
        <f aca="false">L618*(1+IF(M$3&lt;=$O$2,$D618,$D618-($D618-$I$616)*MIN(M$3-$O$2,$Q$2)/$Q$2))</f>
        <v>16895.4956424111</v>
      </c>
      <c r="N618" s="15" t="n">
        <f aca="false">M618*(1+IF(N$3&lt;=$O$2,$D618,$D618-($D618-$I$616)*MIN(N$3-$O$2,$Q$2)/$Q$2))</f>
        <v>17289.1606908793</v>
      </c>
      <c r="O618" s="15" t="n">
        <f aca="false">SUMPRODUCT(E618:N618,1/(1+$F$616)^$E$3:$N$3)*$E$2</f>
        <v>31669.4692390443</v>
      </c>
      <c r="P618" s="15" t="n">
        <f aca="false">N618*$E$2*(1+$I$616)/($F$616-$I$616)/(1+$F$616)^$N$3</f>
        <v>42885.4423039472</v>
      </c>
      <c r="Q618" s="15" t="n">
        <f aca="false">O618+P618</f>
        <v>74554.9115429915</v>
      </c>
      <c r="R618" s="15" t="n">
        <f aca="false">Q618-$G$2+$I$2</f>
        <v>68367.6115429915</v>
      </c>
      <c r="S618" s="42" t="n">
        <f aca="false">R618/$K$2</f>
        <v>940.40731145793</v>
      </c>
      <c r="T618" s="43" t="n">
        <f aca="false">S618-$M$2</f>
        <v>379.609512283239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2913.75</v>
      </c>
      <c r="F619" s="15" t="n">
        <f aca="false">E619*(1+IF(F$3&lt;=$O$2,$D619,$D619-($D619-$I$616)*MIN(F$3-$O$2,$Q$2)/$Q$2))</f>
        <v>2549.53125</v>
      </c>
      <c r="G619" s="15" t="n">
        <f aca="false">F619*(1+IF(G$3&lt;=$O$2,$D619,$D619-($D619-$I$616)*MIN(G$3-$O$2,$Q$2)/$Q$2))</f>
        <v>2230.83984375</v>
      </c>
      <c r="H619" s="15" t="n">
        <f aca="false">G619*(1+IF(H$3&lt;=$O$2,$D619,$D619-($D619-$I$616)*MIN(H$3-$O$2,$Q$2)/$Q$2))</f>
        <v>1951.98486328125</v>
      </c>
      <c r="I619" s="15" t="n">
        <f aca="false">H619*(1+IF(I$3&lt;=$O$2,$D619,$D619-($D619-$I$616)*MIN(I$3-$O$2,$Q$2)/$Q$2))</f>
        <v>1707.98675537109</v>
      </c>
      <c r="J619" s="15" t="n">
        <f aca="false">I619*(1+IF(J$3&lt;=$O$2,$D619,$D619-($D619-$I$616)*MIN(J$3-$O$2,$Q$2)/$Q$2))</f>
        <v>1545.14729811401</v>
      </c>
      <c r="K619" s="15" t="n">
        <f aca="false">J619*(1+IF(K$3&lt;=$O$2,$D619,$D619-($D619-$I$616)*MIN(K$3-$O$2,$Q$2)/$Q$2))</f>
        <v>1443.66202357389</v>
      </c>
      <c r="L619" s="15" t="n">
        <f aca="false">K619*(1+IF(L$3&lt;=$O$2,$D619,$D619-($D619-$I$616)*MIN(L$3-$O$2,$Q$2)/$Q$2))</f>
        <v>1391.66131748475</v>
      </c>
      <c r="M619" s="15" t="n">
        <f aca="false">L619*(1+IF(M$3&lt;=$O$2,$D619,$D619-($D619-$I$616)*MIN(M$3-$O$2,$Q$2)/$Q$2))</f>
        <v>1382.81035150555</v>
      </c>
      <c r="N619" s="15" t="n">
        <f aca="false">M619*(1+IF(N$3&lt;=$O$2,$D619,$D619-($D619-$I$616)*MIN(N$3-$O$2,$Q$2)/$Q$2))</f>
        <v>1415.02983269563</v>
      </c>
      <c r="O619" s="15" t="n">
        <f aca="false">SUMPRODUCT(E619:N619,1/(1+$F$616)^$E$3:$N$3)*$E$2</f>
        <v>6488.46275190826</v>
      </c>
      <c r="P619" s="15" t="n">
        <f aca="false">N619*$E$2*(1+$I$616)/($F$616-$I$616)/(1+$F$616)^$N$3</f>
        <v>3509.95524499034</v>
      </c>
      <c r="Q619" s="15" t="n">
        <f aca="false">O619+P619</f>
        <v>9998.4179968986</v>
      </c>
      <c r="R619" s="15" t="n">
        <f aca="false">Q619-$G$2+$I$2</f>
        <v>3811.1179968986</v>
      </c>
      <c r="S619" s="42" t="n">
        <f aca="false">R619/$K$2</f>
        <v>52.4225309064456</v>
      </c>
      <c r="T619" s="43" t="n">
        <f aca="false">S619-$M$2</f>
        <v>-508.375268268245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3538.125</v>
      </c>
      <c r="F620" s="15" t="n">
        <f aca="false">E620*(1+IF(F$3&lt;=$O$2,$D620,$D620-($D620-$I$616)*MIN(F$3-$O$2,$Q$2)/$Q$2))</f>
        <v>3759.2578125</v>
      </c>
      <c r="G620" s="15" t="n">
        <f aca="false">F620*(1+IF(G$3&lt;=$O$2,$D620,$D620-($D620-$I$616)*MIN(G$3-$O$2,$Q$2)/$Q$2))</f>
        <v>3994.21142578125</v>
      </c>
      <c r="H620" s="15" t="n">
        <f aca="false">G620*(1+IF(H$3&lt;=$O$2,$D620,$D620-($D620-$I$616)*MIN(H$3-$O$2,$Q$2)/$Q$2))</f>
        <v>4243.84963989258</v>
      </c>
      <c r="I620" s="15" t="n">
        <f aca="false">H620*(1+IF(I$3&lt;=$O$2,$D620,$D620-($D620-$I$616)*MIN(I$3-$O$2,$Q$2)/$Q$2))</f>
        <v>4509.09024238586</v>
      </c>
      <c r="J620" s="15" t="n">
        <f aca="false">I620*(1+IF(J$3&lt;=$O$2,$D620,$D620-($D620-$I$616)*MIN(J$3-$O$2,$Q$2)/$Q$2))</f>
        <v>4755.55711503468</v>
      </c>
      <c r="K620" s="15" t="n">
        <f aca="false">J620*(1+IF(K$3&lt;=$O$2,$D620,$D620-($D620-$I$616)*MIN(K$3-$O$2,$Q$2)/$Q$2))</f>
        <v>4978.2122991606</v>
      </c>
      <c r="L620" s="15" t="n">
        <f aca="false">K620*(1+IF(L$3&lt;=$O$2,$D620,$D620-($D620-$I$616)*MIN(L$3-$O$2,$Q$2)/$Q$2))</f>
        <v>5172.26301458188</v>
      </c>
      <c r="M620" s="15" t="n">
        <f aca="false">L620*(1+IF(M$3&lt;=$O$2,$D620,$D620-($D620-$I$616)*MIN(M$3-$O$2,$Q$2)/$Q$2))</f>
        <v>5333.32728485596</v>
      </c>
      <c r="N620" s="15" t="n">
        <f aca="false">M620*(1+IF(N$3&lt;=$O$2,$D620,$D620-($D620-$I$616)*MIN(N$3-$O$2,$Q$2)/$Q$2))</f>
        <v>5457.5938105931</v>
      </c>
      <c r="O620" s="15" t="n">
        <f aca="false">SUMPRODUCT(E620:N620,1/(1+$F$616)^$E$3:$N$3)*$E$2</f>
        <v>14279.6001421854</v>
      </c>
      <c r="P620" s="15" t="n">
        <f aca="false">N620*$E$2*(1+$I$616)/($F$616-$I$616)/(1+$F$616)^$N$3</f>
        <v>13537.4601848684</v>
      </c>
      <c r="Q620" s="15" t="n">
        <f aca="false">O620+P620</f>
        <v>27817.0603270537</v>
      </c>
      <c r="R620" s="15" t="n">
        <f aca="false">Q620-$G$2+$I$2</f>
        <v>21629.7603270537</v>
      </c>
      <c r="S620" s="42" t="n">
        <f aca="false">R620/$K$2</f>
        <v>297.520774787534</v>
      </c>
      <c r="T620" s="43" t="n">
        <f aca="false">S620-$M$2</f>
        <v>-263.277024387156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3850.3125</v>
      </c>
      <c r="F621" s="15" t="n">
        <f aca="false">E621*(1+IF(F$3&lt;=$O$2,$D621,$D621-($D621-$I$616)*MIN(F$3-$O$2,$Q$2)/$Q$2))</f>
        <v>4451.923828125</v>
      </c>
      <c r="G621" s="15" t="n">
        <f aca="false">F621*(1+IF(G$3&lt;=$O$2,$D621,$D621-($D621-$I$616)*MIN(G$3-$O$2,$Q$2)/$Q$2))</f>
        <v>5147.53692626953</v>
      </c>
      <c r="H621" s="15" t="n">
        <f aca="false">G621*(1+IF(H$3&lt;=$O$2,$D621,$D621-($D621-$I$616)*MIN(H$3-$O$2,$Q$2)/$Q$2))</f>
        <v>5951.83957099915</v>
      </c>
      <c r="I621" s="15" t="n">
        <f aca="false">H621*(1+IF(I$3&lt;=$O$2,$D621,$D621-($D621-$I$616)*MIN(I$3-$O$2,$Q$2)/$Q$2))</f>
        <v>6881.81450396776</v>
      </c>
      <c r="J621" s="15" t="n">
        <f aca="false">I621*(1+IF(J$3&lt;=$O$2,$D621,$D621-($D621-$I$616)*MIN(J$3-$O$2,$Q$2)/$Q$2))</f>
        <v>7774.11057255222</v>
      </c>
      <c r="K621" s="15" t="n">
        <f aca="false">J621*(1+IF(K$3&lt;=$O$2,$D621,$D621-($D621-$I$616)*MIN(K$3-$O$2,$Q$2)/$Q$2))</f>
        <v>8575.38814926518</v>
      </c>
      <c r="L621" s="15" t="n">
        <f aca="false">K621*(1+IF(L$3&lt;=$O$2,$D621,$D621-($D621-$I$616)*MIN(L$3-$O$2,$Q$2)/$Q$2))</f>
        <v>9231.23383492098</v>
      </c>
      <c r="M621" s="15" t="n">
        <f aca="false">L621*(1+IF(M$3&lt;=$O$2,$D621,$D621-($D621-$I$616)*MIN(M$3-$O$2,$Q$2)/$Q$2))</f>
        <v>9691.78009094519</v>
      </c>
      <c r="N621" s="15" t="n">
        <f aca="false">M621*(1+IF(N$3&lt;=$O$2,$D621,$D621-($D621-$I$616)*MIN(N$3-$O$2,$Q$2)/$Q$2))</f>
        <v>9917.59856706421</v>
      </c>
      <c r="O621" s="15" t="n">
        <f aca="false">SUMPRODUCT(E621:N621,1/(1+$F$616)^$E$3:$N$3)*$E$2</f>
        <v>21292.146624218</v>
      </c>
      <c r="P621" s="15" t="n">
        <f aca="false">N621*$E$2*(1+$I$616)/($F$616-$I$616)/(1+$F$616)^$N$3</f>
        <v>24600.4192306406</v>
      </c>
      <c r="Q621" s="15" t="n">
        <f aca="false">O621+P621</f>
        <v>45892.5658548585</v>
      </c>
      <c r="R621" s="15" t="n">
        <f aca="false">Q621-$G$2+$I$2</f>
        <v>39705.2658548585</v>
      </c>
      <c r="S621" s="42" t="n">
        <f aca="false">R621/$K$2</f>
        <v>546.152212584024</v>
      </c>
      <c r="T621" s="43" t="n">
        <f aca="false">S621-$M$2</f>
        <v>-14.6455865906665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0.15625</v>
      </c>
      <c r="C622" s="25" t="n">
        <f aca="false">IF(T621&gt;0,D621,C621)</f>
        <v>0.25</v>
      </c>
      <c r="D622" s="41" t="n">
        <f aca="false">(B622+C622)/2</f>
        <v>0.203125</v>
      </c>
      <c r="E622" s="15" t="n">
        <f aca="false">$C$2*(1+IF(E$3&lt;=$O$2,$D622,$D622-($D622-$I$616)*MIN(E$3-$O$2,$Q$2)/$Q$2))</f>
        <v>4006.40625</v>
      </c>
      <c r="F622" s="15" t="n">
        <f aca="false">E622*(1+IF(F$3&lt;=$O$2,$D622,$D622-($D622-$I$616)*MIN(F$3-$O$2,$Q$2)/$Q$2))</f>
        <v>4820.20751953125</v>
      </c>
      <c r="G622" s="15" t="n">
        <f aca="false">F622*(1+IF(G$3&lt;=$O$2,$D622,$D622-($D622-$I$616)*MIN(G$3-$O$2,$Q$2)/$Q$2))</f>
        <v>5799.31217193604</v>
      </c>
      <c r="H622" s="15" t="n">
        <f aca="false">G622*(1+IF(H$3&lt;=$O$2,$D622,$D622-($D622-$I$616)*MIN(H$3-$O$2,$Q$2)/$Q$2))</f>
        <v>6977.29745686054</v>
      </c>
      <c r="I622" s="15" t="n">
        <f aca="false">H622*(1+IF(I$3&lt;=$O$2,$D622,$D622-($D622-$I$616)*MIN(I$3-$O$2,$Q$2)/$Q$2))</f>
        <v>8394.56100278534</v>
      </c>
      <c r="J622" s="15" t="n">
        <f aca="false">I622*(1+IF(J$3&lt;=$O$2,$D622,$D622-($D622-$I$616)*MIN(J$3-$O$2,$Q$2)/$Q$2))</f>
        <v>9797.79582001094</v>
      </c>
      <c r="K622" s="15" t="n">
        <f aca="false">J622*(1+IF(K$3&lt;=$O$2,$D622,$D622-($D622-$I$616)*MIN(K$3-$O$2,$Q$2)/$Q$2))</f>
        <v>11083.2176426173</v>
      </c>
      <c r="L622" s="15" t="n">
        <f aca="false">K622*(1+IF(L$3&lt;=$O$2,$D622,$D622-($D622-$I$616)*MIN(L$3-$O$2,$Q$2)/$Q$2))</f>
        <v>12138.6724587237</v>
      </c>
      <c r="M622" s="15" t="n">
        <f aca="false">L622*(1+IF(M$3&lt;=$O$2,$D622,$D622-($D622-$I$616)*MIN(M$3-$O$2,$Q$2)/$Q$2))</f>
        <v>12858.07088199</v>
      </c>
      <c r="N622" s="15" t="n">
        <f aca="false">M622*(1+IF(N$3&lt;=$O$2,$D622,$D622-($D622-$I$616)*MIN(N$3-$O$2,$Q$2)/$Q$2))</f>
        <v>13157.6639335403</v>
      </c>
      <c r="O622" s="15" t="n">
        <f aca="false">SUMPRODUCT(E622:N622,1/(1+$F$616)^$E$3:$N$3)*$E$2</f>
        <v>25981.7120109894</v>
      </c>
      <c r="P622" s="15" t="n">
        <f aca="false">N622*$E$2*(1+$I$616)/($F$616-$I$616)/(1+$F$616)^$N$3</f>
        <v>32637.3412547578</v>
      </c>
      <c r="Q622" s="15" t="n">
        <f aca="false">O622+P622</f>
        <v>58619.0532657471</v>
      </c>
      <c r="R622" s="15" t="n">
        <f aca="false">Q622-$G$2+$I$2</f>
        <v>52431.7532657471</v>
      </c>
      <c r="S622" s="42" t="n">
        <f aca="false">R622/$K$2</f>
        <v>721.207060051542</v>
      </c>
      <c r="T622" s="43" t="n">
        <f aca="false">S622-$M$2</f>
        <v>160.409260876852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0.15625</v>
      </c>
      <c r="C623" s="25" t="n">
        <f aca="false">IF(T622&gt;0,D622,C622)</f>
        <v>0.203125</v>
      </c>
      <c r="D623" s="41" t="n">
        <f aca="false">(B623+C623)/2</f>
        <v>0.1796875</v>
      </c>
      <c r="E623" s="15" t="n">
        <f aca="false">$C$2*(1+IF(E$3&lt;=$O$2,$D623,$D623-($D623-$I$616)*MIN(E$3-$O$2,$Q$2)/$Q$2))</f>
        <v>3928.359375</v>
      </c>
      <c r="F623" s="15" t="n">
        <f aca="false">E623*(1+IF(F$3&lt;=$O$2,$D623,$D623-($D623-$I$616)*MIN(F$3-$O$2,$Q$2)/$Q$2))</f>
        <v>4634.23645019531</v>
      </c>
      <c r="G623" s="15" t="n">
        <f aca="false">F623*(1+IF(G$3&lt;=$O$2,$D623,$D623-($D623-$I$616)*MIN(G$3-$O$2,$Q$2)/$Q$2))</f>
        <v>5466.95081233978</v>
      </c>
      <c r="H623" s="15" t="n">
        <f aca="false">G623*(1+IF(H$3&lt;=$O$2,$D623,$D623-($D623-$I$616)*MIN(H$3-$O$2,$Q$2)/$Q$2))</f>
        <v>6449.29353643209</v>
      </c>
      <c r="I623" s="15" t="n">
        <f aca="false">H623*(1+IF(I$3&lt;=$O$2,$D623,$D623-($D623-$I$616)*MIN(I$3-$O$2,$Q$2)/$Q$2))</f>
        <v>7608.15096875973</v>
      </c>
      <c r="J623" s="15" t="n">
        <f aca="false">I623*(1+IF(J$3&lt;=$O$2,$D623,$D623-($D623-$I$616)*MIN(J$3-$O$2,$Q$2)/$Q$2))</f>
        <v>8737.27665403336</v>
      </c>
      <c r="K623" s="15" t="n">
        <f aca="false">J623*(1+IF(K$3&lt;=$O$2,$D623,$D623-($D623-$I$616)*MIN(K$3-$O$2,$Q$2)/$Q$2))</f>
        <v>9760.69571171192</v>
      </c>
      <c r="L623" s="15" t="n">
        <f aca="false">K623*(1+IF(L$3&lt;=$O$2,$D623,$D623-($D623-$I$616)*MIN(L$3-$O$2,$Q$2)/$Q$2))</f>
        <v>10598.700242041</v>
      </c>
      <c r="M623" s="15" t="n">
        <f aca="false">L623*(1+IF(M$3&lt;=$O$2,$D623,$D623-($D623-$I$616)*MIN(M$3-$O$2,$Q$2)/$Q$2))</f>
        <v>11177.1508045009</v>
      </c>
      <c r="N623" s="15" t="n">
        <f aca="false">M623*(1+IF(N$3&lt;=$O$2,$D623,$D623-($D623-$I$616)*MIN(N$3-$O$2,$Q$2)/$Q$2))</f>
        <v>11437.5784182458</v>
      </c>
      <c r="O623" s="15" t="n">
        <f aca="false">SUMPRODUCT(E623:N623,1/(1+$F$616)^$E$3:$N$3)*$E$2</f>
        <v>23522.9218992588</v>
      </c>
      <c r="P623" s="15" t="n">
        <f aca="false">N623*$E$2*(1+$I$616)/($F$616-$I$616)/(1+$F$616)^$N$3</f>
        <v>28370.7010492021</v>
      </c>
      <c r="Q623" s="15" t="n">
        <f aca="false">O623+P623</f>
        <v>51893.6229484609</v>
      </c>
      <c r="R623" s="15" t="n">
        <f aca="false">Q623-$G$2+$I$2</f>
        <v>45706.3229484609</v>
      </c>
      <c r="S623" s="42" t="n">
        <f aca="false">R623/$K$2</f>
        <v>628.697702179655</v>
      </c>
      <c r="T623" s="43" t="n">
        <f aca="false">S623-$M$2</f>
        <v>67.8999030049641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0.15625</v>
      </c>
      <c r="C624" s="25" t="n">
        <f aca="false">IF(T623&gt;0,D623,C623)</f>
        <v>0.1796875</v>
      </c>
      <c r="D624" s="41" t="n">
        <f aca="false">(B624+C624)/2</f>
        <v>0.16796875</v>
      </c>
      <c r="E624" s="15" t="n">
        <f aca="false">$C$2*(1+IF(E$3&lt;=$O$2,$D624,$D624-($D624-$I$616)*MIN(E$3-$O$2,$Q$2)/$Q$2))</f>
        <v>3889.3359375</v>
      </c>
      <c r="F624" s="15" t="n">
        <f aca="false">E624*(1+IF(F$3&lt;=$O$2,$D624,$D624-($D624-$I$616)*MIN(F$3-$O$2,$Q$2)/$Q$2))</f>
        <v>4542.62283325195</v>
      </c>
      <c r="G624" s="15" t="n">
        <f aca="false">F624*(1+IF(G$3&lt;=$O$2,$D624,$D624-($D624-$I$616)*MIN(G$3-$O$2,$Q$2)/$Q$2))</f>
        <v>5305.64151227474</v>
      </c>
      <c r="H624" s="15" t="n">
        <f aca="false">G624*(1+IF(H$3&lt;=$O$2,$D624,$D624-($D624-$I$616)*MIN(H$3-$O$2,$Q$2)/$Q$2))</f>
        <v>6196.82348503964</v>
      </c>
      <c r="I624" s="15" t="n">
        <f aca="false">H624*(1+IF(I$3&lt;=$O$2,$D624,$D624-($D624-$I$616)*MIN(I$3-$O$2,$Q$2)/$Q$2))</f>
        <v>7237.69617979239</v>
      </c>
      <c r="J624" s="15" t="n">
        <f aca="false">I624*(1+IF(J$3&lt;=$O$2,$D624,$D624-($D624-$I$616)*MIN(J$3-$O$2,$Q$2)/$Q$2))</f>
        <v>8243.98926814983</v>
      </c>
      <c r="K624" s="15" t="n">
        <f aca="false">J624*(1+IF(K$3&lt;=$O$2,$D624,$D624-($D624-$I$616)*MIN(K$3-$O$2,$Q$2)/$Q$2))</f>
        <v>9151.66279155971</v>
      </c>
      <c r="L624" s="15" t="n">
        <f aca="false">K624*(1+IF(L$3&lt;=$O$2,$D624,$D624-($D624-$I$616)*MIN(L$3-$O$2,$Q$2)/$Q$2))</f>
        <v>9894.48038119363</v>
      </c>
      <c r="M624" s="15" t="n">
        <f aca="false">L624*(1+IF(M$3&lt;=$O$2,$D624,$D624-($D624-$I$616)*MIN(M$3-$O$2,$Q$2)/$Q$2))</f>
        <v>10411.3061958048</v>
      </c>
      <c r="N624" s="15" t="n">
        <f aca="false">M624*(1+IF(N$3&lt;=$O$2,$D624,$D624-($D624-$I$616)*MIN(N$3-$O$2,$Q$2)/$Q$2))</f>
        <v>10653.8896301671</v>
      </c>
      <c r="O624" s="15" t="n">
        <f aca="false">SUMPRODUCT(E624:N624,1/(1+$F$616)^$E$3:$N$3)*$E$2</f>
        <v>22380.2899517275</v>
      </c>
      <c r="P624" s="15" t="n">
        <f aca="false">N624*$E$2*(1+$I$616)/($F$616-$I$616)/(1+$F$616)^$N$3</f>
        <v>26426.7755512378</v>
      </c>
      <c r="Q624" s="15" t="n">
        <f aca="false">O624+P624</f>
        <v>48807.0655029653</v>
      </c>
      <c r="R624" s="15" t="n">
        <f aca="false">Q624-$G$2+$I$2</f>
        <v>42619.7655029653</v>
      </c>
      <c r="S624" s="42" t="n">
        <f aca="false">R624/$K$2</f>
        <v>586.241616271874</v>
      </c>
      <c r="T624" s="43" t="n">
        <f aca="false">S624-$M$2</f>
        <v>25.4438170971837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0.15625</v>
      </c>
      <c r="C625" s="25" t="n">
        <f aca="false">IF(T624&gt;0,D624,C624)</f>
        <v>0.16796875</v>
      </c>
      <c r="D625" s="41" t="n">
        <f aca="false">(B625+C625)/2</f>
        <v>0.162109375</v>
      </c>
      <c r="E625" s="15" t="n">
        <f aca="false">$C$2*(1+IF(E$3&lt;=$O$2,$D625,$D625-($D625-$I$616)*MIN(E$3-$O$2,$Q$2)/$Q$2))</f>
        <v>3869.82421875</v>
      </c>
      <c r="F625" s="15" t="n">
        <f aca="false">E625*(1+IF(F$3&lt;=$O$2,$D625,$D625-($D625-$I$616)*MIN(F$3-$O$2,$Q$2)/$Q$2))</f>
        <v>4497.15900421143</v>
      </c>
      <c r="G625" s="15" t="n">
        <f aca="false">F625*(1+IF(G$3&lt;=$O$2,$D625,$D625-($D625-$I$616)*MIN(G$3-$O$2,$Q$2)/$Q$2))</f>
        <v>5226.19063965976</v>
      </c>
      <c r="H625" s="15" t="n">
        <f aca="false">G625*(1+IF(H$3&lt;=$O$2,$D625,$D625-($D625-$I$616)*MIN(H$3-$O$2,$Q$2)/$Q$2))</f>
        <v>6073.40513788586</v>
      </c>
      <c r="I625" s="15" t="n">
        <f aca="false">H625*(1+IF(I$3&lt;=$O$2,$D625,$D625-($D625-$I$616)*MIN(I$3-$O$2,$Q$2)/$Q$2))</f>
        <v>7057.96104891032</v>
      </c>
      <c r="J625" s="15" t="n">
        <f aca="false">I625*(1+IF(J$3&lt;=$O$2,$D625,$D625-($D625-$I$616)*MIN(J$3-$O$2,$Q$2)/$Q$2))</f>
        <v>8006.1804709288</v>
      </c>
      <c r="K625" s="15" t="n">
        <f aca="false">J625*(1+IF(K$3&lt;=$O$2,$D625,$D625-($D625-$I$616)*MIN(K$3-$O$2,$Q$2)/$Q$2))</f>
        <v>8859.52422028554</v>
      </c>
      <c r="L625" s="15" t="n">
        <f aca="false">K625*(1+IF(L$3&lt;=$O$2,$D625,$D625-($D625-$I$616)*MIN(L$3-$O$2,$Q$2)/$Q$2))</f>
        <v>9557.86514254428</v>
      </c>
      <c r="M625" s="15" t="n">
        <f aca="false">L625*(1+IF(M$3&lt;=$O$2,$D625,$D625-($D625-$I$616)*MIN(M$3-$O$2,$Q$2)/$Q$2))</f>
        <v>10045.9076577197</v>
      </c>
      <c r="N625" s="15" t="n">
        <f aca="false">M625*(1+IF(N$3&lt;=$O$2,$D625,$D625-($D625-$I$616)*MIN(N$3-$O$2,$Q$2)/$Q$2))</f>
        <v>10279.9773061446</v>
      </c>
      <c r="O625" s="15" t="n">
        <f aca="false">SUMPRODUCT(E625:N625,1/(1+$F$616)^$E$3:$N$3)*$E$2</f>
        <v>21829.5591442121</v>
      </c>
      <c r="P625" s="15" t="n">
        <f aca="false">N625*$E$2*(1+$I$616)/($F$616-$I$616)/(1+$F$616)^$N$3</f>
        <v>25499.2929692141</v>
      </c>
      <c r="Q625" s="15" t="n">
        <f aca="false">O625+P625</f>
        <v>47328.8521134262</v>
      </c>
      <c r="R625" s="15" t="n">
        <f aca="false">Q625-$G$2+$I$2</f>
        <v>41141.5521134262</v>
      </c>
      <c r="S625" s="42" t="n">
        <f aca="false">R625/$K$2</f>
        <v>565.908557268586</v>
      </c>
      <c r="T625" s="43" t="n">
        <f aca="false">S625-$M$2</f>
        <v>5.11075809389547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0.15625</v>
      </c>
      <c r="C626" s="25" t="n">
        <f aca="false">IF(T625&gt;0,D625,C625)</f>
        <v>0.162109375</v>
      </c>
      <c r="D626" s="41" t="n">
        <f aca="false">(B626+C626)/2</f>
        <v>0.1591796875</v>
      </c>
      <c r="E626" s="15" t="n">
        <f aca="false">$C$2*(1+IF(E$3&lt;=$O$2,$D626,$D626-($D626-$I$616)*MIN(E$3-$O$2,$Q$2)/$Q$2))</f>
        <v>3860.068359375</v>
      </c>
      <c r="F626" s="15" t="n">
        <f aca="false">E626*(1+IF(F$3&lt;=$O$2,$D626,$D626-($D626-$I$616)*MIN(F$3-$O$2,$Q$2)/$Q$2))</f>
        <v>4474.51283454895</v>
      </c>
      <c r="G626" s="15" t="n">
        <f aca="false">F626*(1+IF(G$3&lt;=$O$2,$D626,$D626-($D626-$I$616)*MIN(G$3-$O$2,$Q$2)/$Q$2))</f>
        <v>5186.76438926719</v>
      </c>
      <c r="H626" s="15" t="n">
        <f aca="false">G626*(1+IF(H$3&lt;=$O$2,$D626,$D626-($D626-$I$616)*MIN(H$3-$O$2,$Q$2)/$Q$2))</f>
        <v>6012.39192388687</v>
      </c>
      <c r="I626" s="15" t="n">
        <f aca="false">H626*(1+IF(I$3&lt;=$O$2,$D626,$D626-($D626-$I$616)*MIN(I$3-$O$2,$Q$2)/$Q$2))</f>
        <v>6969.44259145871</v>
      </c>
      <c r="J626" s="15" t="n">
        <f aca="false">I626*(1+IF(J$3&lt;=$O$2,$D626,$D626-($D626-$I$616)*MIN(J$3-$O$2,$Q$2)/$Q$2))</f>
        <v>7889.43514894098</v>
      </c>
      <c r="K626" s="15" t="n">
        <f aca="false">J626*(1+IF(K$3&lt;=$O$2,$D626,$D626-($D626-$I$616)*MIN(K$3-$O$2,$Q$2)/$Q$2))</f>
        <v>8716.46737746507</v>
      </c>
      <c r="L626" s="15" t="n">
        <f aca="false">K626*(1+IF(L$3&lt;=$O$2,$D626,$D626-($D626-$I$616)*MIN(L$3-$O$2,$Q$2)/$Q$2))</f>
        <v>9393.31741270157</v>
      </c>
      <c r="M626" s="15" t="n">
        <f aca="false">L626*(1+IF(M$3&lt;=$O$2,$D626,$D626-($D626-$I$616)*MIN(M$3-$O$2,$Q$2)/$Q$2))</f>
        <v>9867.45391534275</v>
      </c>
      <c r="N626" s="15" t="n">
        <f aca="false">M626*(1+IF(N$3&lt;=$O$2,$D626,$D626-($D626-$I$616)*MIN(N$3-$O$2,$Q$2)/$Q$2))</f>
        <v>10097.3655915702</v>
      </c>
      <c r="O626" s="15" t="n">
        <f aca="false">SUMPRODUCT(E626:N626,1/(1+$F$616)^$E$3:$N$3)*$E$2</f>
        <v>21559.2067690887</v>
      </c>
      <c r="P626" s="15" t="n">
        <f aca="false">N626*$E$2*(1+$I$616)/($F$616-$I$616)/(1+$F$616)^$N$3</f>
        <v>25046.3279994608</v>
      </c>
      <c r="Q626" s="15" t="n">
        <f aca="false">O626+P626</f>
        <v>46605.5347685495</v>
      </c>
      <c r="R626" s="15" t="n">
        <f aca="false">Q626-$G$2+$I$2</f>
        <v>40418.2347685495</v>
      </c>
      <c r="S626" s="42" t="n">
        <f aca="false">R626/$K$2</f>
        <v>555.959212772345</v>
      </c>
      <c r="T626" s="43" t="n">
        <f aca="false">S626-$M$2</f>
        <v>-4.8385864023453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0.1591796875</v>
      </c>
      <c r="C627" s="25" t="n">
        <f aca="false">IF(T626&gt;0,D626,C626)</f>
        <v>0.162109375</v>
      </c>
      <c r="D627" s="41" t="n">
        <f aca="false">(B627+C627)/2</f>
        <v>0.16064453125</v>
      </c>
      <c r="E627" s="15" t="n">
        <f aca="false">$C$2*(1+IF(E$3&lt;=$O$2,$D627,$D627-($D627-$I$616)*MIN(E$3-$O$2,$Q$2)/$Q$2))</f>
        <v>3864.9462890625</v>
      </c>
      <c r="F627" s="15" t="n">
        <f aca="false">E627*(1+IF(F$3&lt;=$O$2,$D627,$D627-($D627-$I$616)*MIN(F$3-$O$2,$Q$2)/$Q$2))</f>
        <v>4485.82877397537</v>
      </c>
      <c r="G627" s="15" t="n">
        <f aca="false">F627*(1+IF(G$3&lt;=$O$2,$D627,$D627-($D627-$I$616)*MIN(G$3-$O$2,$Q$2)/$Q$2))</f>
        <v>5206.45263463841</v>
      </c>
      <c r="H627" s="15" t="n">
        <f aca="false">G627*(1+IF(H$3&lt;=$O$2,$D627,$D627-($D627-$I$616)*MIN(H$3-$O$2,$Q$2)/$Q$2))</f>
        <v>6042.84077760522</v>
      </c>
      <c r="I627" s="15" t="n">
        <f aca="false">H627*(1+IF(I$3&lt;=$O$2,$D627,$D627-($D627-$I$616)*MIN(I$3-$O$2,$Q$2)/$Q$2))</f>
        <v>7013.590101742</v>
      </c>
      <c r="J627" s="15" t="n">
        <f aca="false">I627*(1+IF(J$3&lt;=$O$2,$D627,$D627-($D627-$I$616)*MIN(J$3-$O$2,$Q$2)/$Q$2))</f>
        <v>7947.6293470353</v>
      </c>
      <c r="K627" s="15" t="n">
        <f aca="false">J627*(1+IF(K$3&lt;=$O$2,$D627,$D627-($D627-$I$616)*MIN(K$3-$O$2,$Q$2)/$Q$2))</f>
        <v>8787.74716715161</v>
      </c>
      <c r="L627" s="15" t="n">
        <f aca="false">K627*(1+IF(L$3&lt;=$O$2,$D627,$D627-($D627-$I$616)*MIN(L$3-$O$2,$Q$2)/$Q$2))</f>
        <v>9475.28128231262</v>
      </c>
      <c r="M627" s="15" t="n">
        <f aca="false">L627*(1+IF(M$3&lt;=$O$2,$D627,$D627-($D627-$I$616)*MIN(M$3-$O$2,$Q$2)/$Q$2))</f>
        <v>9956.33094942673</v>
      </c>
      <c r="N627" s="15" t="n">
        <f aca="false">M627*(1+IF(N$3&lt;=$O$2,$D627,$D627-($D627-$I$616)*MIN(N$3-$O$2,$Q$2)/$Q$2))</f>
        <v>10188.3134605484</v>
      </c>
      <c r="O627" s="15" t="n">
        <f aca="false">SUMPRODUCT(E627:N627,1/(1+$F$616)^$E$3:$N$3)*$E$2</f>
        <v>21693.9691081945</v>
      </c>
      <c r="P627" s="15" t="n">
        <f aca="false">N627*$E$2*(1+$I$616)/($F$616-$I$616)/(1+$F$616)^$N$3</f>
        <v>25271.9225009791</v>
      </c>
      <c r="Q627" s="15" t="n">
        <f aca="false">O627+P627</f>
        <v>46965.8916091736</v>
      </c>
      <c r="R627" s="15" t="n">
        <f aca="false">Q627-$G$2+$I$2</f>
        <v>40778.5916091736</v>
      </c>
      <c r="S627" s="42" t="n">
        <f aca="false">R627/$K$2</f>
        <v>560.915978117931</v>
      </c>
      <c r="T627" s="43" t="n">
        <f aca="false">S627-$M$2</f>
        <v>0.118178943240423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0.1591796875</v>
      </c>
      <c r="C628" s="25" t="n">
        <f aca="false">IF(T627&gt;0,D627,C627)</f>
        <v>0.16064453125</v>
      </c>
      <c r="D628" s="41" t="n">
        <f aca="false">(B628+C628)/2</f>
        <v>0.159912109375</v>
      </c>
      <c r="E628" s="15" t="n">
        <f aca="false">$C$2*(1+IF(E$3&lt;=$O$2,$D628,$D628-($D628-$I$616)*MIN(E$3-$O$2,$Q$2)/$Q$2))</f>
        <v>3862.50732421875</v>
      </c>
      <c r="F628" s="15" t="n">
        <f aca="false">E628*(1+IF(F$3&lt;=$O$2,$D628,$D628-($D628-$I$616)*MIN(F$3-$O$2,$Q$2)/$Q$2))</f>
        <v>4480.16901791096</v>
      </c>
      <c r="G628" s="15" t="n">
        <f aca="false">F628*(1+IF(G$3&lt;=$O$2,$D628,$D628-($D628-$I$616)*MIN(G$3-$O$2,$Q$2)/$Q$2))</f>
        <v>5196.60229592162</v>
      </c>
      <c r="H628" s="15" t="n">
        <f aca="false">G628*(1+IF(H$3&lt;=$O$2,$D628,$D628-($D628-$I$616)*MIN(H$3-$O$2,$Q$2)/$Q$2))</f>
        <v>6027.60193064542</v>
      </c>
      <c r="I628" s="15" t="n">
        <f aca="false">H628*(1+IF(I$3&lt;=$O$2,$D628,$D628-($D628-$I$616)*MIN(I$3-$O$2,$Q$2)/$Q$2))</f>
        <v>6991.48846984775</v>
      </c>
      <c r="J628" s="15" t="n">
        <f aca="false">I628*(1+IF(J$3&lt;=$O$2,$D628,$D628-($D628-$I$616)*MIN(J$3-$O$2,$Q$2)/$Q$2))</f>
        <v>7918.48774122471</v>
      </c>
      <c r="K628" s="15" t="n">
        <f aca="false">J628*(1+IF(K$3&lt;=$O$2,$D628,$D628-($D628-$I$616)*MIN(K$3-$O$2,$Q$2)/$Q$2))</f>
        <v>8752.04529362852</v>
      </c>
      <c r="L628" s="15" t="n">
        <f aca="false">K628*(1+IF(L$3&lt;=$O$2,$D628,$D628-($D628-$I$616)*MIN(L$3-$O$2,$Q$2)/$Q$2))</f>
        <v>9434.22209653332</v>
      </c>
      <c r="M628" s="15" t="n">
        <f aca="false">L628*(1+IF(M$3&lt;=$O$2,$D628,$D628-($D628-$I$616)*MIN(M$3-$O$2,$Q$2)/$Q$2))</f>
        <v>9911.80526756648</v>
      </c>
      <c r="N628" s="15" t="n">
        <f aca="false">M628*(1+IF(N$3&lt;=$O$2,$D628,$D628-($D628-$I$616)*MIN(N$3-$O$2,$Q$2)/$Q$2))</f>
        <v>10142.7503303008</v>
      </c>
      <c r="O628" s="15" t="n">
        <f aca="false">SUMPRODUCT(E628:N628,1/(1+$F$616)^$E$3:$N$3)*$E$2</f>
        <v>21626.4847673691</v>
      </c>
      <c r="P628" s="15" t="n">
        <f aca="false">N628*$E$2*(1+$I$616)/($F$616-$I$616)/(1+$F$616)^$N$3</f>
        <v>25158.9040017959</v>
      </c>
      <c r="Q628" s="15" t="n">
        <f aca="false">O628+P628</f>
        <v>46785.388769165</v>
      </c>
      <c r="R628" s="15" t="n">
        <f aca="false">Q628-$G$2+$I$2</f>
        <v>40598.088769165</v>
      </c>
      <c r="S628" s="42" t="n">
        <f aca="false">R628/$K$2</f>
        <v>558.433133000894</v>
      </c>
      <c r="T628" s="43" t="n">
        <f aca="false">S628-$M$2</f>
        <v>-2.36466617379688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0.159912109375</v>
      </c>
      <c r="C629" s="25" t="n">
        <f aca="false">IF(T628&gt;0,D628,C628)</f>
        <v>0.16064453125</v>
      </c>
      <c r="D629" s="41" t="n">
        <f aca="false">(B629+C629)/2</f>
        <v>0.1602783203125</v>
      </c>
      <c r="E629" s="15" t="n">
        <f aca="false">$C$2*(1+IF(E$3&lt;=$O$2,$D629,$D629-($D629-$I$616)*MIN(E$3-$O$2,$Q$2)/$Q$2))</f>
        <v>3863.72680664063</v>
      </c>
      <c r="F629" s="15" t="n">
        <f aca="false">E629*(1+IF(F$3&lt;=$O$2,$D629,$D629-($D629-$I$616)*MIN(F$3-$O$2,$Q$2)/$Q$2))</f>
        <v>4482.99844935536</v>
      </c>
      <c r="G629" s="15" t="n">
        <f aca="false">F629*(1+IF(G$3&lt;=$O$2,$D629,$D629-($D629-$I$616)*MIN(G$3-$O$2,$Q$2)/$Q$2))</f>
        <v>5201.52591078158</v>
      </c>
      <c r="H629" s="15" t="n">
        <f aca="false">G629*(1+IF(H$3&lt;=$O$2,$D629,$D629-($D629-$I$616)*MIN(H$3-$O$2,$Q$2)/$Q$2))</f>
        <v>6035.2177468236</v>
      </c>
      <c r="I629" s="15" t="n">
        <f aca="false">H629*(1+IF(I$3&lt;=$O$2,$D629,$D629-($D629-$I$616)*MIN(I$3-$O$2,$Q$2)/$Q$2))</f>
        <v>7002.53231000468</v>
      </c>
      <c r="J629" s="15" t="n">
        <f aca="false">I629*(1+IF(J$3&lt;=$O$2,$D629,$D629-($D629-$I$616)*MIN(J$3-$O$2,$Q$2)/$Q$2))</f>
        <v>7933.04740383455</v>
      </c>
      <c r="K629" s="15" t="n">
        <f aca="false">J629*(1+IF(K$3&lt;=$O$2,$D629,$D629-($D629-$I$616)*MIN(K$3-$O$2,$Q$2)/$Q$2))</f>
        <v>8769.88071334591</v>
      </c>
      <c r="L629" s="15" t="n">
        <f aca="false">K629*(1+IF(L$3&lt;=$O$2,$D629,$D629-($D629-$I$616)*MIN(L$3-$O$2,$Q$2)/$Q$2))</f>
        <v>9454.73234574892</v>
      </c>
      <c r="M629" s="15" t="n">
        <f aca="false">L629*(1+IF(M$3&lt;=$O$2,$D629,$D629-($D629-$I$616)*MIN(M$3-$O$2,$Q$2)/$Q$2))</f>
        <v>9934.04628054986</v>
      </c>
      <c r="N629" s="15" t="n">
        <f aca="false">M629*(1+IF(N$3&lt;=$O$2,$D629,$D629-($D629-$I$616)*MIN(N$3-$O$2,$Q$2)/$Q$2))</f>
        <v>10165.5095588867</v>
      </c>
      <c r="O629" s="15" t="n">
        <f aca="false">SUMPRODUCT(E629:N629,1/(1+$F$616)^$E$3:$N$3)*$E$2</f>
        <v>21660.2011086637</v>
      </c>
      <c r="P629" s="15" t="n">
        <f aca="false">N629*$E$2*(1+$I$616)/($F$616-$I$616)/(1+$F$616)^$N$3</f>
        <v>25215.3578460197</v>
      </c>
      <c r="Q629" s="15" t="n">
        <f aca="false">O629+P629</f>
        <v>46875.5589546834</v>
      </c>
      <c r="R629" s="15" t="n">
        <f aca="false">Q629-$G$2+$I$2</f>
        <v>40688.2589546834</v>
      </c>
      <c r="S629" s="42" t="n">
        <f aca="false">R629/$K$2</f>
        <v>559.673438166209</v>
      </c>
      <c r="T629" s="43" t="n">
        <f aca="false">S629-$M$2</f>
        <v>-1.12436100848186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0.1602783203125</v>
      </c>
      <c r="C630" s="25" t="n">
        <f aca="false">IF(T629&gt;0,D629,C629)</f>
        <v>0.16064453125</v>
      </c>
      <c r="D630" s="41" t="n">
        <f aca="false">(B630+C630)/2</f>
        <v>0.16046142578125</v>
      </c>
      <c r="E630" s="15" t="n">
        <f aca="false">$C$2*(1+IF(E$3&lt;=$O$2,$D630,$D630-($D630-$I$616)*MIN(E$3-$O$2,$Q$2)/$Q$2))</f>
        <v>3864.33654785156</v>
      </c>
      <c r="F630" s="15" t="n">
        <f aca="false">E630*(1+IF(F$3&lt;=$O$2,$D630,$D630-($D630-$I$616)*MIN(F$3-$O$2,$Q$2)/$Q$2))</f>
        <v>4484.41350001842</v>
      </c>
      <c r="G630" s="15" t="n">
        <f aca="false">F630*(1+IF(G$3&lt;=$O$2,$D630,$D630-($D630-$I$616)*MIN(G$3-$O$2,$Q$2)/$Q$2))</f>
        <v>5203.98888402406</v>
      </c>
      <c r="H630" s="15" t="n">
        <f aca="false">G630*(1+IF(H$3&lt;=$O$2,$D630,$D630-($D630-$I$616)*MIN(H$3-$O$2,$Q$2)/$Q$2))</f>
        <v>6039.02836010434</v>
      </c>
      <c r="I630" s="15" t="n">
        <f aca="false">H630*(1+IF(I$3&lt;=$O$2,$D630,$D630-($D630-$I$616)*MIN(I$3-$O$2,$Q$2)/$Q$2))</f>
        <v>7008.05946110008</v>
      </c>
      <c r="J630" s="15" t="n">
        <f aca="false">I630*(1+IF(J$3&lt;=$O$2,$D630,$D630-($D630-$I$616)*MIN(J$3-$O$2,$Q$2)/$Q$2))</f>
        <v>7940.33558865912</v>
      </c>
      <c r="K630" s="15" t="n">
        <f aca="false">J630*(1+IF(K$3&lt;=$O$2,$D630,$D630-($D630-$I$616)*MIN(K$3-$O$2,$Q$2)/$Q$2))</f>
        <v>8778.81005818814</v>
      </c>
      <c r="L630" s="15" t="n">
        <f aca="false">K630*(1+IF(L$3&lt;=$O$2,$D630,$D630-($D630-$I$616)*MIN(L$3-$O$2,$Q$2)/$Q$2))</f>
        <v>9465.00197424146</v>
      </c>
      <c r="M630" s="15" t="n">
        <f aca="false">L630*(1+IF(M$3&lt;=$O$2,$D630,$D630-($D630-$I$616)*MIN(M$3-$O$2,$Q$2)/$Q$2))</f>
        <v>9945.18315340315</v>
      </c>
      <c r="N630" s="15" t="n">
        <f aca="false">M630*(1+IF(N$3&lt;=$O$2,$D630,$D630-($D630-$I$616)*MIN(N$3-$O$2,$Q$2)/$Q$2))</f>
        <v>10176.9059208774</v>
      </c>
      <c r="O630" s="15" t="n">
        <f aca="false">SUMPRODUCT(E630:N630,1/(1+$F$616)^$E$3:$N$3)*$E$2</f>
        <v>21677.0786466073</v>
      </c>
      <c r="P630" s="15" t="n">
        <f aca="false">N630*$E$2*(1+$I$616)/($F$616-$I$616)/(1+$F$616)^$N$3</f>
        <v>25243.6263104853</v>
      </c>
      <c r="Q630" s="15" t="n">
        <f aca="false">O630+P630</f>
        <v>46920.7049570925</v>
      </c>
      <c r="R630" s="15" t="n">
        <f aca="false">Q630-$G$2+$I$2</f>
        <v>40733.4049570925</v>
      </c>
      <c r="S630" s="42" t="n">
        <f aca="false">R630/$K$2</f>
        <v>560.294428570736</v>
      </c>
      <c r="T630" s="43" t="n">
        <f aca="false">S630-$M$2</f>
        <v>-0.503370603954181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0.16046142578125</v>
      </c>
      <c r="C631" s="25" t="n">
        <f aca="false">IF(T630&gt;0,D630,C630)</f>
        <v>0.16064453125</v>
      </c>
      <c r="D631" s="41" t="n">
        <f aca="false">(B631+C631)/2</f>
        <v>0.160552978515625</v>
      </c>
      <c r="E631" s="15" t="n">
        <f aca="false">$C$2*(1+IF(E$3&lt;=$O$2,$D631,$D631-($D631-$I$616)*MIN(E$3-$O$2,$Q$2)/$Q$2))</f>
        <v>3864.64141845703</v>
      </c>
      <c r="F631" s="15" t="n">
        <f aca="false">E631*(1+IF(F$3&lt;=$O$2,$D631,$D631-($D631-$I$616)*MIN(F$3-$O$2,$Q$2)/$Q$2))</f>
        <v>4485.12110908516</v>
      </c>
      <c r="G631" s="15" t="n">
        <f aca="false">F631*(1+IF(G$3&lt;=$O$2,$D631,$D631-($D631-$I$616)*MIN(G$3-$O$2,$Q$2)/$Q$2))</f>
        <v>5205.22066215208</v>
      </c>
      <c r="H631" s="15" t="n">
        <f aca="false">G631*(1+IF(H$3&lt;=$O$2,$D631,$D631-($D631-$I$616)*MIN(H$3-$O$2,$Q$2)/$Q$2))</f>
        <v>6040.93434329167</v>
      </c>
      <c r="I631" s="15" t="n">
        <f aca="false">H631*(1+IF(I$3&lt;=$O$2,$D631,$D631-($D631-$I$616)*MIN(I$3-$O$2,$Q$2)/$Q$2))</f>
        <v>7010.82434512448</v>
      </c>
      <c r="J631" s="15" t="n">
        <f aca="false">I631*(1+IF(J$3&lt;=$O$2,$D631,$D631-($D631-$I$616)*MIN(J$3-$O$2,$Q$2)/$Q$2))</f>
        <v>7943.98177094044</v>
      </c>
      <c r="K631" s="15" t="n">
        <f aca="false">J631*(1+IF(K$3&lt;=$O$2,$D631,$D631-($D631-$I$616)*MIN(K$3-$O$2,$Q$2)/$Q$2))</f>
        <v>8783.27764180459</v>
      </c>
      <c r="L631" s="15" t="n">
        <f aca="false">K631*(1+IF(L$3&lt;=$O$2,$D631,$D631-($D631-$I$616)*MIN(L$3-$O$2,$Q$2)/$Q$2))</f>
        <v>9470.14041784559</v>
      </c>
      <c r="M631" s="15" t="n">
        <f aca="false">L631*(1+IF(M$3&lt;=$O$2,$D631,$D631-($D631-$I$616)*MIN(M$3-$O$2,$Q$2)/$Q$2))</f>
        <v>9950.75568544349</v>
      </c>
      <c r="N631" s="15" t="n">
        <f aca="false">M631*(1+IF(N$3&lt;=$O$2,$D631,$D631-($D631-$I$616)*MIN(N$3-$O$2,$Q$2)/$Q$2))</f>
        <v>10182.6082929143</v>
      </c>
      <c r="O631" s="15" t="n">
        <f aca="false">SUMPRODUCT(E631:N631,1/(1+$F$616)^$E$3:$N$3)*$E$2</f>
        <v>21685.5222613773</v>
      </c>
      <c r="P631" s="15" t="n">
        <f aca="false">N631*$E$2*(1+$I$616)/($F$616-$I$616)/(1+$F$616)^$N$3</f>
        <v>25257.7709385187</v>
      </c>
      <c r="Q631" s="15" t="n">
        <f aca="false">O631+P631</f>
        <v>46943.293199896</v>
      </c>
      <c r="R631" s="15" t="n">
        <f aca="false">Q631-$G$2+$I$2</f>
        <v>40755.993199896</v>
      </c>
      <c r="S631" s="42" t="n">
        <f aca="false">R631/$K$2</f>
        <v>560.605133423604</v>
      </c>
      <c r="T631" s="43" t="n">
        <f aca="false">S631-$M$2</f>
        <v>-0.192665751086338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0.160552978515625</v>
      </c>
      <c r="C632" s="25" t="n">
        <f aca="false">IF(T631&gt;0,D631,C631)</f>
        <v>0.16064453125</v>
      </c>
      <c r="D632" s="41" t="n">
        <f aca="false">(B632+C632)/2</f>
        <v>0.160598754882813</v>
      </c>
      <c r="E632" s="15" t="n">
        <f aca="false">$C$2*(1+IF(E$3&lt;=$O$2,$D632,$D632-($D632-$I$616)*MIN(E$3-$O$2,$Q$2)/$Q$2))</f>
        <v>3864.79385375977</v>
      </c>
      <c r="F632" s="15" t="n">
        <f aca="false">E632*(1+IF(F$3&lt;=$O$2,$D632,$D632-($D632-$I$616)*MIN(F$3-$O$2,$Q$2)/$Q$2))</f>
        <v>4485.47493455233</v>
      </c>
      <c r="G632" s="15" t="n">
        <f aca="false">F632*(1+IF(G$3&lt;=$O$2,$D632,$D632-($D632-$I$616)*MIN(G$3-$O$2,$Q$2)/$Q$2))</f>
        <v>5205.8366240995</v>
      </c>
      <c r="H632" s="15" t="n">
        <f aca="false">G632*(1+IF(H$3&lt;=$O$2,$D632,$D632-($D632-$I$616)*MIN(H$3-$O$2,$Q$2)/$Q$2))</f>
        <v>6041.88750405322</v>
      </c>
      <c r="I632" s="15" t="n">
        <f aca="false">H632*(1+IF(I$3&lt;=$O$2,$D632,$D632-($D632-$I$616)*MIN(I$3-$O$2,$Q$2)/$Q$2))</f>
        <v>7012.2071143462</v>
      </c>
      <c r="J632" s="15" t="n">
        <f aca="false">I632*(1+IF(J$3&lt;=$O$2,$D632,$D632-($D632-$I$616)*MIN(J$3-$O$2,$Q$2)/$Q$2))</f>
        <v>7945.80538473457</v>
      </c>
      <c r="K632" s="15" t="n">
        <f aca="false">J632*(1+IF(K$3&lt;=$O$2,$D632,$D632-($D632-$I$616)*MIN(K$3-$O$2,$Q$2)/$Q$2))</f>
        <v>8785.512161718</v>
      </c>
      <c r="L632" s="15" t="n">
        <f aca="false">K632*(1+IF(L$3&lt;=$O$2,$D632,$D632-($D632-$I$616)*MIN(L$3-$O$2,$Q$2)/$Q$2))</f>
        <v>9472.71054741071</v>
      </c>
      <c r="M632" s="15" t="n">
        <f aca="false">L632*(1+IF(M$3&lt;=$O$2,$D632,$D632-($D632-$I$616)*MIN(M$3-$O$2,$Q$2)/$Q$2))</f>
        <v>9953.54297587033</v>
      </c>
      <c r="N632" s="15" t="n">
        <f aca="false">M632*(1+IF(N$3&lt;=$O$2,$D632,$D632-($D632-$I$616)*MIN(N$3-$O$2,$Q$2)/$Q$2))</f>
        <v>10185.4605272081</v>
      </c>
      <c r="O632" s="15" t="n">
        <f aca="false">SUMPRODUCT(E632:N632,1/(1+$F$616)^$E$3:$N$3)*$E$2</f>
        <v>21689.745280709</v>
      </c>
      <c r="P632" s="15" t="n">
        <f aca="false">N632*$E$2*(1+$I$616)/($F$616-$I$616)/(1+$F$616)^$N$3</f>
        <v>25264.845852763</v>
      </c>
      <c r="Q632" s="15" t="n">
        <f aca="false">O632+P632</f>
        <v>46954.591133472</v>
      </c>
      <c r="R632" s="15" t="n">
        <f aca="false">Q632-$G$2+$I$2</f>
        <v>40767.291133472</v>
      </c>
      <c r="S632" s="42" t="n">
        <f aca="false">R632/$K$2</f>
        <v>560.760538287098</v>
      </c>
      <c r="T632" s="43" t="n">
        <f aca="false">S632-$M$2</f>
        <v>-0.0372608875929927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0.160598754882813</v>
      </c>
      <c r="C633" s="25" t="n">
        <f aca="false">IF(T632&gt;0,D632,C632)</f>
        <v>0.16064453125</v>
      </c>
      <c r="D633" s="41" t="n">
        <f aca="false">(B633+C633)/2</f>
        <v>0.160621643066406</v>
      </c>
      <c r="E633" s="15" t="n">
        <f aca="false">$C$2*(1+IF(E$3&lt;=$O$2,$D633,$D633-($D633-$I$616)*MIN(E$3-$O$2,$Q$2)/$Q$2))</f>
        <v>3864.87007141113</v>
      </c>
      <c r="F633" s="15" t="n">
        <f aca="false">E633*(1+IF(F$3&lt;=$O$2,$D633,$D633-($D633-$I$616)*MIN(F$3-$O$2,$Q$2)/$Q$2))</f>
        <v>4485.65185251937</v>
      </c>
      <c r="G633" s="15" t="n">
        <f aca="false">F633*(1+IF(G$3&lt;=$O$2,$D633,$D633-($D633-$I$616)*MIN(G$3-$O$2,$Q$2)/$Q$2))</f>
        <v>5206.1446232949</v>
      </c>
      <c r="H633" s="15" t="n">
        <f aca="false">G633*(1+IF(H$3&lt;=$O$2,$D633,$D633-($D633-$I$616)*MIN(H$3-$O$2,$Q$2)/$Q$2))</f>
        <v>6042.36412672986</v>
      </c>
      <c r="I633" s="15" t="n">
        <f aca="false">H633*(1+IF(I$3&lt;=$O$2,$D633,$D633-($D633-$I$616)*MIN(I$3-$O$2,$Q$2)/$Q$2))</f>
        <v>7012.89858077072</v>
      </c>
      <c r="J633" s="15" t="n">
        <f aca="false">I633*(1+IF(J$3&lt;=$O$2,$D633,$D633-($D633-$I$616)*MIN(J$3-$O$2,$Q$2)/$Q$2))</f>
        <v>7946.71732231828</v>
      </c>
      <c r="K633" s="15" t="n">
        <f aca="false">J633*(1+IF(K$3&lt;=$O$2,$D633,$D633-($D633-$I$616)*MIN(K$3-$O$2,$Q$2)/$Q$2))</f>
        <v>8786.62960373931</v>
      </c>
      <c r="L633" s="15" t="n">
        <f aca="false">K633*(1+IF(L$3&lt;=$O$2,$D633,$D633-($D633-$I$616)*MIN(L$3-$O$2,$Q$2)/$Q$2))</f>
        <v>9473.995839187</v>
      </c>
      <c r="M633" s="15" t="n">
        <f aca="false">L633*(1+IF(M$3&lt;=$O$2,$D633,$D633-($D633-$I$616)*MIN(M$3-$O$2,$Q$2)/$Q$2))</f>
        <v>9954.93687724835</v>
      </c>
      <c r="N633" s="15" t="n">
        <f aca="false">M633*(1+IF(N$3&lt;=$O$2,$D633,$D633-($D633-$I$616)*MIN(N$3-$O$2,$Q$2)/$Q$2))</f>
        <v>10186.8869064882</v>
      </c>
      <c r="O633" s="15" t="n">
        <f aca="false">SUMPRODUCT(E633:N633,1/(1+$F$616)^$E$3:$N$3)*$E$2</f>
        <v>21691.8570934236</v>
      </c>
      <c r="P633" s="15" t="n">
        <f aca="false">N633*$E$2*(1+$I$616)/($F$616-$I$616)/(1+$F$616)^$N$3</f>
        <v>25268.3839601018</v>
      </c>
      <c r="Q633" s="15" t="n">
        <f aca="false">O633+P633</f>
        <v>46960.2410535254</v>
      </c>
      <c r="R633" s="15" t="n">
        <f aca="false">Q633-$G$2+$I$2</f>
        <v>40772.9410535254</v>
      </c>
      <c r="S633" s="42" t="n">
        <f aca="false">R633/$K$2</f>
        <v>560.838253831161</v>
      </c>
      <c r="T633" s="43" t="n">
        <f aca="false">S633-$M$2</f>
        <v>0.0404546564701604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0.160598754882813</v>
      </c>
      <c r="C634" s="25" t="n">
        <f aca="false">IF(T633&gt;0,D633,C633)</f>
        <v>0.160621643066406</v>
      </c>
      <c r="D634" s="41" t="n">
        <f aca="false">(B634+C634)/2</f>
        <v>0.160610198974609</v>
      </c>
      <c r="E634" s="15" t="n">
        <f aca="false">$C$2*(1+IF(E$3&lt;=$O$2,$D634,$D634-($D634-$I$616)*MIN(E$3-$O$2,$Q$2)/$Q$2))</f>
        <v>3864.83196258545</v>
      </c>
      <c r="F634" s="15" t="n">
        <f aca="false">E634*(1+IF(F$3&lt;=$O$2,$D634,$D634-($D634-$I$616)*MIN(F$3-$O$2,$Q$2)/$Q$2))</f>
        <v>4485.56339309973</v>
      </c>
      <c r="G634" s="15" t="n">
        <f aca="false">F634*(1+IF(G$3&lt;=$O$2,$D634,$D634-($D634-$I$616)*MIN(G$3-$O$2,$Q$2)/$Q$2))</f>
        <v>5205.9906221787</v>
      </c>
      <c r="H634" s="15" t="n">
        <f aca="false">G634*(1+IF(H$3&lt;=$O$2,$D634,$D634-($D634-$I$616)*MIN(H$3-$O$2,$Q$2)/$Q$2))</f>
        <v>6042.12581186677</v>
      </c>
      <c r="I634" s="15" t="n">
        <f aca="false">H634*(1+IF(I$3&lt;=$O$2,$D634,$D634-($D634-$I$616)*MIN(I$3-$O$2,$Q$2)/$Q$2))</f>
        <v>7012.55284074032</v>
      </c>
      <c r="J634" s="15" t="n">
        <f aca="false">I634*(1+IF(J$3&lt;=$O$2,$D634,$D634-($D634-$I$616)*MIN(J$3-$O$2,$Q$2)/$Q$2))</f>
        <v>7946.26134263518</v>
      </c>
      <c r="K634" s="15" t="n">
        <f aca="false">J634*(1+IF(K$3&lt;=$O$2,$D634,$D634-($D634-$I$616)*MIN(K$3-$O$2,$Q$2)/$Q$2))</f>
        <v>8786.07086755547</v>
      </c>
      <c r="L634" s="15" t="n">
        <f aca="false">K634*(1+IF(L$3&lt;=$O$2,$D634,$D634-($D634-$I$616)*MIN(L$3-$O$2,$Q$2)/$Q$2))</f>
        <v>9473.35317438113</v>
      </c>
      <c r="M634" s="15" t="n">
        <f aca="false">L634*(1+IF(M$3&lt;=$O$2,$D634,$D634-($D634-$I$616)*MIN(M$3-$O$2,$Q$2)/$Q$2))</f>
        <v>9954.23990521042</v>
      </c>
      <c r="N634" s="15" t="n">
        <f aca="false">M634*(1+IF(N$3&lt;=$O$2,$D634,$D634-($D634-$I$616)*MIN(N$3-$O$2,$Q$2)/$Q$2))</f>
        <v>10186.1736950018</v>
      </c>
      <c r="O634" s="15" t="n">
        <f aca="false">SUMPRODUCT(E634:N634,1/(1+$F$616)^$E$3:$N$3)*$E$2</f>
        <v>21690.8011618104</v>
      </c>
      <c r="P634" s="15" t="n">
        <f aca="false">N634*$E$2*(1+$I$616)/($F$616-$I$616)/(1+$F$616)^$N$3</f>
        <v>25266.6148522429</v>
      </c>
      <c r="Q634" s="15" t="n">
        <f aca="false">O634+P634</f>
        <v>46957.4160140533</v>
      </c>
      <c r="R634" s="15" t="n">
        <f aca="false">Q634-$G$2+$I$2</f>
        <v>40770.1160140533</v>
      </c>
      <c r="S634" s="42" t="n">
        <f aca="false">R634/$K$2</f>
        <v>560.799394966345</v>
      </c>
      <c r="T634" s="43" t="n">
        <f aca="false">S634-$M$2</f>
        <v>0.00159579165460855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0.160598754882813</v>
      </c>
      <c r="C635" s="25" t="n">
        <f aca="false">IF(T634&gt;0,D634,C634)</f>
        <v>0.160610198974609</v>
      </c>
      <c r="D635" s="41" t="n">
        <f aca="false">(B635+C635)/2</f>
        <v>0.160604476928711</v>
      </c>
      <c r="E635" s="15" t="n">
        <f aca="false">$C$2*(1+IF(E$3&lt;=$O$2,$D635,$D635-($D635-$I$616)*MIN(E$3-$O$2,$Q$2)/$Q$2))</f>
        <v>3864.81290817261</v>
      </c>
      <c r="F635" s="15" t="n">
        <f aca="false">E635*(1+IF(F$3&lt;=$O$2,$D635,$D635-($D635-$I$616)*MIN(F$3-$O$2,$Q$2)/$Q$2))</f>
        <v>4485.519163717</v>
      </c>
      <c r="G635" s="15" t="n">
        <f aca="false">F635*(1+IF(G$3&lt;=$O$2,$D635,$D635-($D635-$I$616)*MIN(G$3-$O$2,$Q$2)/$Q$2))</f>
        <v>5205.91362275948</v>
      </c>
      <c r="H635" s="15" t="n">
        <f aca="false">G635*(1+IF(H$3&lt;=$O$2,$D635,$D635-($D635-$I$616)*MIN(H$3-$O$2,$Q$2)/$Q$2))</f>
        <v>6042.00665707881</v>
      </c>
      <c r="I635" s="15" t="n">
        <f aca="false">H635*(1+IF(I$3&lt;=$O$2,$D635,$D635-($D635-$I$616)*MIN(I$3-$O$2,$Q$2)/$Q$2))</f>
        <v>7012.37997583874</v>
      </c>
      <c r="J635" s="15" t="n">
        <f aca="false">I635*(1+IF(J$3&lt;=$O$2,$D635,$D635-($D635-$I$616)*MIN(J$3-$O$2,$Q$2)/$Q$2))</f>
        <v>7946.03336096211</v>
      </c>
      <c r="K635" s="15" t="n">
        <f aca="false">J635*(1+IF(K$3&lt;=$O$2,$D635,$D635-($D635-$I$616)*MIN(K$3-$O$2,$Q$2)/$Q$2))</f>
        <v>8785.79151084352</v>
      </c>
      <c r="L635" s="15" t="n">
        <f aca="false">K635*(1+IF(L$3&lt;=$O$2,$D635,$D635-($D635-$I$616)*MIN(L$3-$O$2,$Q$2)/$Q$2))</f>
        <v>9473.03185616661</v>
      </c>
      <c r="M635" s="15" t="n">
        <f aca="false">L635*(1+IF(M$3&lt;=$O$2,$D635,$D635-($D635-$I$616)*MIN(M$3-$O$2,$Q$2)/$Q$2))</f>
        <v>9953.89143520328</v>
      </c>
      <c r="N635" s="15" t="n">
        <f aca="false">M635*(1+IF(N$3&lt;=$O$2,$D635,$D635-($D635-$I$616)*MIN(N$3-$O$2,$Q$2)/$Q$2))</f>
        <v>10185.8171056435</v>
      </c>
      <c r="O635" s="15" t="n">
        <f aca="false">SUMPRODUCT(E635:N635,1/(1+$F$616)^$E$3:$N$3)*$E$2</f>
        <v>21690.2732149458</v>
      </c>
      <c r="P635" s="15" t="n">
        <f aca="false">N635*$E$2*(1+$I$616)/($F$616-$I$616)/(1+$F$616)^$N$3</f>
        <v>25265.730338956</v>
      </c>
      <c r="Q635" s="15" t="n">
        <f aca="false">O635+P635</f>
        <v>46956.0035539018</v>
      </c>
      <c r="R635" s="15" t="n">
        <f aca="false">Q635-$G$2+$I$2</f>
        <v>40768.7035539018</v>
      </c>
      <c r="S635" s="42" t="n">
        <f aca="false">R635/$K$2</f>
        <v>560.779966353532</v>
      </c>
      <c r="T635" s="43" t="n">
        <f aca="false">S635-$M$2</f>
        <v>-0.0178328211585495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0.160604476928711</v>
      </c>
      <c r="C636" s="25" t="n">
        <f aca="false">IF(T635&gt;0,D635,C635)</f>
        <v>0.160610198974609</v>
      </c>
      <c r="D636" s="41" t="n">
        <f aca="false">(B636+C636)/2</f>
        <v>0.16060733795166</v>
      </c>
      <c r="E636" s="15" t="n">
        <f aca="false">$C$2*(1+IF(E$3&lt;=$O$2,$D636,$D636-($D636-$I$616)*MIN(E$3-$O$2,$Q$2)/$Q$2))</f>
        <v>3864.82243537903</v>
      </c>
      <c r="F636" s="15" t="n">
        <f aca="false">E636*(1+IF(F$3&lt;=$O$2,$D636,$D636-($D636-$I$616)*MIN(F$3-$O$2,$Q$2)/$Q$2))</f>
        <v>4485.54127838111</v>
      </c>
      <c r="G636" s="15" t="n">
        <f aca="false">F636*(1+IF(G$3&lt;=$O$2,$D636,$D636-($D636-$I$616)*MIN(G$3-$O$2,$Q$2)/$Q$2))</f>
        <v>5205.95212237418</v>
      </c>
      <c r="H636" s="15" t="n">
        <f aca="false">G636*(1+IF(H$3&lt;=$O$2,$D636,$D636-($D636-$I$616)*MIN(H$3-$O$2,$Q$2)/$Q$2))</f>
        <v>6042.0662342525</v>
      </c>
      <c r="I636" s="15" t="n">
        <f aca="false">H636*(1+IF(I$3&lt;=$O$2,$D636,$D636-($D636-$I$616)*MIN(I$3-$O$2,$Q$2)/$Q$2))</f>
        <v>7012.4664078634</v>
      </c>
      <c r="J636" s="15" t="n">
        <f aca="false">I636*(1+IF(J$3&lt;=$O$2,$D636,$D636-($D636-$I$616)*MIN(J$3-$O$2,$Q$2)/$Q$2))</f>
        <v>7946.14735111795</v>
      </c>
      <c r="K636" s="15" t="n">
        <f aca="false">J636*(1+IF(K$3&lt;=$O$2,$D636,$D636-($D636-$I$616)*MIN(K$3-$O$2,$Q$2)/$Q$2))</f>
        <v>8785.93118825118</v>
      </c>
      <c r="L636" s="15" t="n">
        <f aca="false">K636*(1+IF(L$3&lt;=$O$2,$D636,$D636-($D636-$I$616)*MIN(L$3-$O$2,$Q$2)/$Q$2))</f>
        <v>9473.19251409153</v>
      </c>
      <c r="M636" s="15" t="n">
        <f aca="false">L636*(1+IF(M$3&lt;=$O$2,$D636,$D636-($D636-$I$616)*MIN(M$3-$O$2,$Q$2)/$Q$2))</f>
        <v>9954.06566887256</v>
      </c>
      <c r="N636" s="15" t="n">
        <f aca="false">M636*(1+IF(N$3&lt;=$O$2,$D636,$D636-($D636-$I$616)*MIN(N$3-$O$2,$Q$2)/$Q$2))</f>
        <v>10185.9953989573</v>
      </c>
      <c r="O636" s="15" t="n">
        <f aca="false">SUMPRODUCT(E636:N636,1/(1+$F$616)^$E$3:$N$3)*$E$2</f>
        <v>21690.5371867996</v>
      </c>
      <c r="P636" s="15" t="n">
        <f aca="false">N636*$E$2*(1+$I$616)/($F$616-$I$616)/(1+$F$616)^$N$3</f>
        <v>25266.1725922127</v>
      </c>
      <c r="Q636" s="15" t="n">
        <f aca="false">O636+P636</f>
        <v>46956.7097790123</v>
      </c>
      <c r="R636" s="15" t="n">
        <f aca="false">Q636-$G$2+$I$2</f>
        <v>40769.4097790123</v>
      </c>
      <c r="S636" s="42" t="n">
        <f aca="false">R636/$K$2</f>
        <v>560.789680591641</v>
      </c>
      <c r="T636" s="43" t="n">
        <f aca="false">S636-$M$2</f>
        <v>-0.00811858304996349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0.16060733795166</v>
      </c>
      <c r="C637" s="25" t="n">
        <f aca="false">IF(T636&gt;0,D636,C636)</f>
        <v>0.160610198974609</v>
      </c>
      <c r="D637" s="41" t="n">
        <f aca="false">(B637+C637)/2</f>
        <v>0.160608768463135</v>
      </c>
      <c r="E637" s="15" t="n">
        <f aca="false">$C$2*(1+IF(E$3&lt;=$O$2,$D637,$D637-($D637-$I$616)*MIN(E$3-$O$2,$Q$2)/$Q$2))</f>
        <v>3864.82719898224</v>
      </c>
      <c r="F637" s="15" t="n">
        <f aca="false">E637*(1+IF(F$3&lt;=$O$2,$D637,$D637-($D637-$I$616)*MIN(F$3-$O$2,$Q$2)/$Q$2))</f>
        <v>4485.5523357336</v>
      </c>
      <c r="G637" s="15" t="n">
        <f aca="false">F637*(1+IF(G$3&lt;=$O$2,$D637,$D637-($D637-$I$616)*MIN(G$3-$O$2,$Q$2)/$Q$2))</f>
        <v>5205.97137225271</v>
      </c>
      <c r="H637" s="15" t="n">
        <f aca="false">G637*(1+IF(H$3&lt;=$O$2,$D637,$D637-($D637-$I$616)*MIN(H$3-$O$2,$Q$2)/$Q$2))</f>
        <v>6042.09602300456</v>
      </c>
      <c r="I637" s="15" t="n">
        <f aca="false">H637*(1+IF(I$3&lt;=$O$2,$D637,$D637-($D637-$I$616)*MIN(I$3-$O$2,$Q$2)/$Q$2))</f>
        <v>7012.50962419533</v>
      </c>
      <c r="J637" s="15" t="n">
        <f aca="false">I637*(1+IF(J$3&lt;=$O$2,$D637,$D637-($D637-$I$616)*MIN(J$3-$O$2,$Q$2)/$Q$2))</f>
        <v>7946.20434670639</v>
      </c>
      <c r="K637" s="15" t="n">
        <f aca="false">J637*(1+IF(K$3&lt;=$O$2,$D637,$D637-($D637-$I$616)*MIN(K$3-$O$2,$Q$2)/$Q$2))</f>
        <v>8786.00102766625</v>
      </c>
      <c r="L637" s="15" t="n">
        <f aca="false">K637*(1+IF(L$3&lt;=$O$2,$D637,$D637-($D637-$I$616)*MIN(L$3-$O$2,$Q$2)/$Q$2))</f>
        <v>9473.27284394074</v>
      </c>
      <c r="M637" s="15" t="n">
        <f aca="false">L637*(1+IF(M$3&lt;=$O$2,$D637,$D637-($D637-$I$616)*MIN(M$3-$O$2,$Q$2)/$Q$2))</f>
        <v>9954.15278670792</v>
      </c>
      <c r="N637" s="15" t="n">
        <f aca="false">M637*(1+IF(N$3&lt;=$O$2,$D637,$D637-($D637-$I$616)*MIN(N$3-$O$2,$Q$2)/$Q$2))</f>
        <v>10186.0845466382</v>
      </c>
      <c r="O637" s="15" t="n">
        <f aca="false">SUMPRODUCT(E637:N637,1/(1+$F$616)^$E$3:$N$3)*$E$2</f>
        <v>21690.6691739104</v>
      </c>
      <c r="P637" s="15" t="n">
        <f aca="false">N637*$E$2*(1+$I$616)/($F$616-$I$616)/(1+$F$616)^$N$3</f>
        <v>25266.3937213811</v>
      </c>
      <c r="Q637" s="15" t="n">
        <f aca="false">O637+P637</f>
        <v>46957.0628952915</v>
      </c>
      <c r="R637" s="15" t="n">
        <f aca="false">Q637-$G$2+$I$2</f>
        <v>40769.7628952915</v>
      </c>
      <c r="S637" s="42" t="n">
        <f aca="false">R637/$K$2</f>
        <v>560.794537761918</v>
      </c>
      <c r="T637" s="43" t="n">
        <f aca="false">S637-$M$2</f>
        <v>-0.00326141277230363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0.160608768463135</v>
      </c>
      <c r="C638" s="25" t="n">
        <f aca="false">IF(T637&gt;0,D637,C637)</f>
        <v>0.160610198974609</v>
      </c>
      <c r="D638" s="41" t="n">
        <f aca="false">(B638+C638)/2</f>
        <v>0.160609483718872</v>
      </c>
      <c r="E638" s="15" t="n">
        <f aca="false">$C$2*(1+IF(E$3&lt;=$O$2,$D638,$D638-($D638-$I$616)*MIN(E$3-$O$2,$Q$2)/$Q$2))</f>
        <v>3864.82958078384</v>
      </c>
      <c r="F638" s="15" t="n">
        <f aca="false">E638*(1+IF(F$3&lt;=$O$2,$D638,$D638-($D638-$I$616)*MIN(F$3-$O$2,$Q$2)/$Q$2))</f>
        <v>4485.55786441496</v>
      </c>
      <c r="G638" s="15" t="n">
        <f aca="false">F638*(1+IF(G$3&lt;=$O$2,$D638,$D638-($D638-$I$616)*MIN(G$3-$O$2,$Q$2)/$Q$2))</f>
        <v>5205.98099720978</v>
      </c>
      <c r="H638" s="15" t="n">
        <f aca="false">G638*(1+IF(H$3&lt;=$O$2,$D638,$D638-($D638-$I$616)*MIN(H$3-$O$2,$Q$2)/$Q$2))</f>
        <v>6042.1109174219</v>
      </c>
      <c r="I638" s="15" t="n">
        <f aca="false">H638*(1+IF(I$3&lt;=$O$2,$D638,$D638-($D638-$I$616)*MIN(I$3-$O$2,$Q$2)/$Q$2))</f>
        <v>7012.53123244119</v>
      </c>
      <c r="J638" s="15" t="n">
        <f aca="false">I638*(1+IF(J$3&lt;=$O$2,$D638,$D638-($D638-$I$616)*MIN(J$3-$O$2,$Q$2)/$Q$2))</f>
        <v>7946.23284462824</v>
      </c>
      <c r="K638" s="15" t="n">
        <f aca="false">J638*(1+IF(K$3&lt;=$O$2,$D638,$D638-($D638-$I$616)*MIN(K$3-$O$2,$Q$2)/$Q$2))</f>
        <v>8786.03594755159</v>
      </c>
      <c r="L638" s="15" t="n">
        <f aca="false">K638*(1+IF(L$3&lt;=$O$2,$D638,$D638-($D638-$I$616)*MIN(L$3-$O$2,$Q$2)/$Q$2))</f>
        <v>9473.31300908704</v>
      </c>
      <c r="M638" s="15" t="n">
        <f aca="false">L638*(1+IF(M$3&lt;=$O$2,$D638,$D638-($D638-$I$616)*MIN(M$3-$O$2,$Q$2)/$Q$2))</f>
        <v>9954.19634587577</v>
      </c>
      <c r="N638" s="15" t="n">
        <f aca="false">M638*(1+IF(N$3&lt;=$O$2,$D638,$D638-($D638-$I$616)*MIN(N$3-$O$2,$Q$2)/$Q$2))</f>
        <v>10186.1291207347</v>
      </c>
      <c r="O638" s="15" t="n">
        <f aca="false">SUMPRODUCT(E638:N638,1/(1+$F$616)^$E$3:$N$3)*$E$2</f>
        <v>21690.7351677617</v>
      </c>
      <c r="P638" s="15" t="n">
        <f aca="false">N638*$E$2*(1+$I$616)/($F$616-$I$616)/(1+$F$616)^$N$3</f>
        <v>25266.5042866003</v>
      </c>
      <c r="Q638" s="15" t="n">
        <f aca="false">O638+P638</f>
        <v>46957.2394543621</v>
      </c>
      <c r="R638" s="15" t="n">
        <f aca="false">Q638-$G$2+$I$2</f>
        <v>40769.939454362</v>
      </c>
      <c r="S638" s="42" t="n">
        <f aca="false">R638/$K$2</f>
        <v>560.796966359863</v>
      </c>
      <c r="T638" s="43" t="n">
        <f aca="false">S638-$M$2</f>
        <v>-0.000832814827390394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0.160609483718872</v>
      </c>
      <c r="C639" s="25" t="n">
        <f aca="false">IF(T638&gt;0,D638,C638)</f>
        <v>0.160610198974609</v>
      </c>
      <c r="D639" s="41" t="n">
        <f aca="false">(B639+C639)/2</f>
        <v>0.160609841346741</v>
      </c>
      <c r="E639" s="15" t="n">
        <f aca="false">$C$2*(1+IF(E$3&lt;=$O$2,$D639,$D639-($D639-$I$616)*MIN(E$3-$O$2,$Q$2)/$Q$2))</f>
        <v>3864.83077168465</v>
      </c>
      <c r="F639" s="15" t="n">
        <f aca="false">E639*(1+IF(F$3&lt;=$O$2,$D639,$D639-($D639-$I$616)*MIN(F$3-$O$2,$Q$2)/$Q$2))</f>
        <v>4485.56062875692</v>
      </c>
      <c r="G639" s="15" t="n">
        <f aca="false">F639*(1+IF(G$3&lt;=$O$2,$D639,$D639-($D639-$I$616)*MIN(G$3-$O$2,$Q$2)/$Q$2))</f>
        <v>5205.98580969276</v>
      </c>
      <c r="H639" s="15" t="n">
        <f aca="false">G639*(1+IF(H$3&lt;=$O$2,$D639,$D639-($D639-$I$616)*MIN(H$3-$O$2,$Q$2)/$Q$2))</f>
        <v>6042.11836464089</v>
      </c>
      <c r="I639" s="15" t="n">
        <f aca="false">H639*(1+IF(I$3&lt;=$O$2,$D639,$D639-($D639-$I$616)*MIN(I$3-$O$2,$Q$2)/$Q$2))</f>
        <v>7012.54203658409</v>
      </c>
      <c r="J639" s="15" t="n">
        <f aca="false">I639*(1+IF(J$3&lt;=$O$2,$D639,$D639-($D639-$I$616)*MIN(J$3-$O$2,$Q$2)/$Q$2))</f>
        <v>7946.24709362107</v>
      </c>
      <c r="K639" s="15" t="n">
        <f aca="false">J639*(1+IF(K$3&lt;=$O$2,$D639,$D639-($D639-$I$616)*MIN(K$3-$O$2,$Q$2)/$Q$2))</f>
        <v>8786.05340753871</v>
      </c>
      <c r="L639" s="15" t="n">
        <f aca="false">K639*(1+IF(L$3&lt;=$O$2,$D639,$D639-($D639-$I$616)*MIN(L$3-$O$2,$Q$2)/$Q$2))</f>
        <v>9473.33309171562</v>
      </c>
      <c r="M639" s="15" t="n">
        <f aca="false">L639*(1+IF(M$3&lt;=$O$2,$D639,$D639-($D639-$I$616)*MIN(M$3-$O$2,$Q$2)/$Q$2))</f>
        <v>9954.21812552225</v>
      </c>
      <c r="N639" s="15" t="n">
        <f aca="false">M639*(1+IF(N$3&lt;=$O$2,$D639,$D639-($D639-$I$616)*MIN(N$3-$O$2,$Q$2)/$Q$2))</f>
        <v>10186.1514078469</v>
      </c>
      <c r="O639" s="15" t="n">
        <f aca="false">SUMPRODUCT(E639:N639,1/(1+$F$616)^$E$3:$N$3)*$E$2</f>
        <v>21690.7681647614</v>
      </c>
      <c r="P639" s="15" t="n">
        <f aca="false">N639*$E$2*(1+$I$616)/($F$616-$I$616)/(1+$F$616)^$N$3</f>
        <v>25266.5595693687</v>
      </c>
      <c r="Q639" s="15" t="n">
        <f aca="false">O639+P639</f>
        <v>46957.3277341301</v>
      </c>
      <c r="R639" s="15" t="n">
        <f aca="false">Q639-$G$2+$I$2</f>
        <v>40770.0277341301</v>
      </c>
      <c r="S639" s="42" t="n">
        <f aca="false">R639/$K$2</f>
        <v>560.798180662037</v>
      </c>
      <c r="T639" s="43" t="n">
        <f aca="false">S639-$M$2</f>
        <v>0.000381487346430731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0.160609483718872</v>
      </c>
      <c r="C640" s="25" t="n">
        <f aca="false">IF(T639&gt;0,D639,C639)</f>
        <v>0.160609841346741</v>
      </c>
      <c r="D640" s="41" t="n">
        <f aca="false">(B640+C640)/2</f>
        <v>0.160609662532806</v>
      </c>
      <c r="E640" s="15" t="n">
        <f aca="false">$C$2*(1+IF(E$3&lt;=$O$2,$D640,$D640-($D640-$I$616)*MIN(E$3-$O$2,$Q$2)/$Q$2))</f>
        <v>3864.83017623425</v>
      </c>
      <c r="F640" s="15" t="n">
        <f aca="false">E640*(1+IF(F$3&lt;=$O$2,$D640,$D640-($D640-$I$616)*MIN(F$3-$O$2,$Q$2)/$Q$2))</f>
        <v>4485.55924658583</v>
      </c>
      <c r="G640" s="15" t="n">
        <f aca="false">F640*(1+IF(G$3&lt;=$O$2,$D640,$D640-($D640-$I$616)*MIN(G$3-$O$2,$Q$2)/$Q$2))</f>
        <v>5205.9834034509</v>
      </c>
      <c r="H640" s="15" t="n">
        <f aca="false">G640*(1+IF(H$3&lt;=$O$2,$D640,$D640-($D640-$I$616)*MIN(H$3-$O$2,$Q$2)/$Q$2))</f>
        <v>6042.11464103053</v>
      </c>
      <c r="I640" s="15" t="n">
        <f aca="false">H640*(1+IF(I$3&lt;=$O$2,$D640,$D640-($D640-$I$616)*MIN(I$3-$O$2,$Q$2)/$Q$2))</f>
        <v>7012.53663451098</v>
      </c>
      <c r="J640" s="15" t="n">
        <f aca="false">I640*(1+IF(J$3&lt;=$O$2,$D640,$D640-($D640-$I$616)*MIN(J$3-$O$2,$Q$2)/$Q$2))</f>
        <v>7946.239969122</v>
      </c>
      <c r="K640" s="15" t="n">
        <f aca="false">J640*(1+IF(K$3&lt;=$O$2,$D640,$D640-($D640-$I$616)*MIN(K$3-$O$2,$Q$2)/$Q$2))</f>
        <v>8786.04467754144</v>
      </c>
      <c r="L640" s="15" t="n">
        <f aca="false">K640*(1+IF(L$3&lt;=$O$2,$D640,$D640-($D640-$I$616)*MIN(L$3-$O$2,$Q$2)/$Q$2))</f>
        <v>9473.32305039671</v>
      </c>
      <c r="M640" s="15" t="n">
        <f aca="false">L640*(1+IF(M$3&lt;=$O$2,$D640,$D640-($D640-$I$616)*MIN(M$3-$O$2,$Q$2)/$Q$2))</f>
        <v>9954.2072356938</v>
      </c>
      <c r="N640" s="15" t="n">
        <f aca="false">M640*(1+IF(N$3&lt;=$O$2,$D640,$D640-($D640-$I$616)*MIN(N$3-$O$2,$Q$2)/$Q$2))</f>
        <v>10186.1402642855</v>
      </c>
      <c r="O640" s="15" t="n">
        <f aca="false">SUMPRODUCT(E640:N640,1/(1+$F$616)^$E$3:$N$3)*$E$2</f>
        <v>21690.7516662554</v>
      </c>
      <c r="P640" s="15" t="n">
        <f aca="false">N640*$E$2*(1+$I$616)/($F$616-$I$616)/(1+$F$616)^$N$3</f>
        <v>25266.5319279713</v>
      </c>
      <c r="Q640" s="15" t="n">
        <f aca="false">O640+P640</f>
        <v>46957.2835942267</v>
      </c>
      <c r="R640" s="15" t="n">
        <f aca="false">Q640-$G$2+$I$2</f>
        <v>40769.9835942267</v>
      </c>
      <c r="S640" s="42" t="n">
        <f aca="false">R640/$K$2</f>
        <v>560.797573510683</v>
      </c>
      <c r="T640" s="43" t="n">
        <f aca="false">S640-$M$2</f>
        <v>-0.000225664007302839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0.160609662532806</v>
      </c>
      <c r="C641" s="25" t="n">
        <f aca="false">IF(T640&gt;0,D640,C640)</f>
        <v>0.160609841346741</v>
      </c>
      <c r="D641" s="41" t="n">
        <f aca="false">(B641+C641)/2</f>
        <v>0.160609751939774</v>
      </c>
      <c r="E641" s="15" t="n">
        <f aca="false">$C$2*(1+IF(E$3&lt;=$O$2,$D641,$D641-($D641-$I$616)*MIN(E$3-$O$2,$Q$2)/$Q$2))</f>
        <v>3864.83047395945</v>
      </c>
      <c r="F641" s="15" t="n">
        <f aca="false">E641*(1+IF(F$3&lt;=$O$2,$D641,$D641-($D641-$I$616)*MIN(F$3-$O$2,$Q$2)/$Q$2))</f>
        <v>4485.55993767135</v>
      </c>
      <c r="G641" s="15" t="n">
        <f aca="false">F641*(1+IF(G$3&lt;=$O$2,$D641,$D641-($D641-$I$616)*MIN(G$3-$O$2,$Q$2)/$Q$2))</f>
        <v>5205.98460657173</v>
      </c>
      <c r="H641" s="15" t="n">
        <f aca="false">G641*(1+IF(H$3&lt;=$O$2,$D641,$D641-($D641-$I$616)*MIN(H$3-$O$2,$Q$2)/$Q$2))</f>
        <v>6042.1165028355</v>
      </c>
      <c r="I641" s="15" t="n">
        <f aca="false">H641*(1+IF(I$3&lt;=$O$2,$D641,$D641-($D641-$I$616)*MIN(I$3-$O$2,$Q$2)/$Q$2))</f>
        <v>7012.53933554712</v>
      </c>
      <c r="J641" s="15" t="n">
        <f aca="false">I641*(1+IF(J$3&lt;=$O$2,$D641,$D641-($D641-$I$616)*MIN(J$3-$O$2,$Q$2)/$Q$2))</f>
        <v>7946.24353137087</v>
      </c>
      <c r="K641" s="15" t="n">
        <f aca="false">J641*(1+IF(K$3&lt;=$O$2,$D641,$D641-($D641-$I$616)*MIN(K$3-$O$2,$Q$2)/$Q$2))</f>
        <v>8786.04904253915</v>
      </c>
      <c r="L641" s="15" t="n">
        <f aca="false">K641*(1+IF(L$3&lt;=$O$2,$D641,$D641-($D641-$I$616)*MIN(L$3-$O$2,$Q$2)/$Q$2))</f>
        <v>9473.328071055</v>
      </c>
      <c r="M641" s="15" t="n">
        <f aca="false">L641*(1+IF(M$3&lt;=$O$2,$D641,$D641-($D641-$I$616)*MIN(M$3-$O$2,$Q$2)/$Q$2))</f>
        <v>9954.21268060672</v>
      </c>
      <c r="N641" s="15" t="n">
        <f aca="false">M641*(1+IF(N$3&lt;=$O$2,$D641,$D641-($D641-$I$616)*MIN(N$3-$O$2,$Q$2)/$Q$2))</f>
        <v>10186.1458360649</v>
      </c>
      <c r="O641" s="15" t="n">
        <f aca="false">SUMPRODUCT(E641:N641,1/(1+$F$616)^$E$3:$N$3)*$E$2</f>
        <v>21690.7599155068</v>
      </c>
      <c r="P641" s="15" t="n">
        <f aca="false">N641*$E$2*(1+$I$616)/($F$616-$I$616)/(1+$F$616)^$N$3</f>
        <v>25266.5457486667</v>
      </c>
      <c r="Q641" s="15" t="n">
        <f aca="false">O641+P641</f>
        <v>46957.3056641735</v>
      </c>
      <c r="R641" s="15" t="n">
        <f aca="false">Q641-$G$2+$I$2</f>
        <v>40770.0056641735</v>
      </c>
      <c r="S641" s="42" t="n">
        <f aca="false">R641/$K$2</f>
        <v>560.797877086293</v>
      </c>
      <c r="T641" s="43" t="n">
        <f aca="false">S641-$M$2</f>
        <v>7.79116027160853E-005</v>
      </c>
    </row>
    <row r="643" customFormat="false" ht="15" hidden="false" customHeight="false" outlineLevel="0" collapsed="false">
      <c r="A643" s="38" t="s">
        <v>204</v>
      </c>
      <c r="E643" s="5" t="s">
        <v>11</v>
      </c>
      <c r="F643" s="12" t="n">
        <f aca="false">Sensitivity!$B$14</f>
        <v>0.105330622875929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162</v>
      </c>
      <c r="B644" s="28" t="s">
        <v>163</v>
      </c>
      <c r="C644" s="28" t="s">
        <v>164</v>
      </c>
      <c r="D644" s="28" t="s">
        <v>165</v>
      </c>
      <c r="E644" s="28" t="s">
        <v>166</v>
      </c>
      <c r="F644" s="28" t="s">
        <v>167</v>
      </c>
      <c r="G644" s="28" t="s">
        <v>168</v>
      </c>
      <c r="H644" s="28" t="s">
        <v>169</v>
      </c>
      <c r="I644" s="28" t="s">
        <v>170</v>
      </c>
      <c r="J644" s="28" t="s">
        <v>171</v>
      </c>
      <c r="K644" s="28" t="s">
        <v>172</v>
      </c>
      <c r="L644" s="28" t="s">
        <v>173</v>
      </c>
      <c r="M644" s="28" t="s">
        <v>174</v>
      </c>
      <c r="N644" s="28" t="s">
        <v>175</v>
      </c>
      <c r="O644" s="28" t="s">
        <v>176</v>
      </c>
      <c r="P644" s="28" t="s">
        <v>177</v>
      </c>
      <c r="Q644" s="28" t="s">
        <v>178</v>
      </c>
      <c r="R644" s="28" t="s">
        <v>179</v>
      </c>
      <c r="S644" s="28" t="s">
        <v>180</v>
      </c>
      <c r="T644" s="28" t="s">
        <v>181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4162.5</v>
      </c>
      <c r="F645" s="15" t="n">
        <f aca="false">E645*(1+IF(F$3&lt;=$O$2,$D645,$D645-($D645-$I$643)*MIN(F$3-$O$2,$Q$2)/$Q$2))</f>
        <v>5203.125</v>
      </c>
      <c r="G645" s="15" t="n">
        <f aca="false">F645*(1+IF(G$3&lt;=$O$2,$D645,$D645-($D645-$I$643)*MIN(G$3-$O$2,$Q$2)/$Q$2))</f>
        <v>6503.90625</v>
      </c>
      <c r="H645" s="15" t="n">
        <f aca="false">G645*(1+IF(H$3&lt;=$O$2,$D645,$D645-($D645-$I$643)*MIN(H$3-$O$2,$Q$2)/$Q$2))</f>
        <v>8129.8828125</v>
      </c>
      <c r="I645" s="15" t="n">
        <f aca="false">H645*(1+IF(I$3&lt;=$O$2,$D645,$D645-($D645-$I$643)*MIN(I$3-$O$2,$Q$2)/$Q$2))</f>
        <v>10162.353515625</v>
      </c>
      <c r="J645" s="15" t="n">
        <f aca="false">I645*(1+IF(J$3&lt;=$O$2,$D645,$D645-($D645-$I$643)*MIN(J$3-$O$2,$Q$2)/$Q$2))</f>
        <v>12252.3431396484</v>
      </c>
      <c r="K645" s="15" t="n">
        <f aca="false">J645*(1+IF(K$3&lt;=$O$2,$D645,$D645-($D645-$I$643)*MIN(K$3-$O$2,$Q$2)/$Q$2))</f>
        <v>14228.8911349365</v>
      </c>
      <c r="L645" s="15" t="n">
        <f aca="false">K645*(1+IF(L$3&lt;=$O$2,$D645,$D645-($D645-$I$643)*MIN(L$3-$O$2,$Q$2)/$Q$2))</f>
        <v>15893.3868199014</v>
      </c>
      <c r="M645" s="15" t="n">
        <f aca="false">L645*(1+IF(M$3&lt;=$O$2,$D645,$D645-($D645-$I$643)*MIN(M$3-$O$2,$Q$2)/$Q$2))</f>
        <v>17047.882438499</v>
      </c>
      <c r="N645" s="15" t="n">
        <f aca="false">M645*(1+IF(N$3&lt;=$O$2,$D645,$D645-($D645-$I$643)*MIN(N$3-$O$2,$Q$2)/$Q$2))</f>
        <v>17530.3375115086</v>
      </c>
      <c r="O645" s="15" t="n">
        <f aca="false">SUMPRODUCT(E645:N645,1/(1+$F$643)^$E$3:$N$3)*$E$2</f>
        <v>31783.8681854839</v>
      </c>
      <c r="P645" s="15" t="n">
        <f aca="false">N645*$E$2*(1+$I$643)/($F$643-$I$643)/(1+$F$643)^$N$3</f>
        <v>46532.428827369</v>
      </c>
      <c r="Q645" s="15" t="n">
        <f aca="false">O645+P645</f>
        <v>78316.2970128529</v>
      </c>
      <c r="R645" s="15" t="n">
        <f aca="false">Q645-$G$2+$I$2</f>
        <v>72128.9970128529</v>
      </c>
      <c r="S645" s="42" t="n">
        <f aca="false">R645/$K$2</f>
        <v>992.145763588073</v>
      </c>
      <c r="T645" s="43" t="n">
        <f aca="false">S645-$M$2</f>
        <v>431.347964413382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2913.75</v>
      </c>
      <c r="F646" s="15" t="n">
        <f aca="false">E646*(1+IF(F$3&lt;=$O$2,$D646,$D646-($D646-$I$643)*MIN(F$3-$O$2,$Q$2)/$Q$2))</f>
        <v>2549.53125</v>
      </c>
      <c r="G646" s="15" t="n">
        <f aca="false">F646*(1+IF(G$3&lt;=$O$2,$D646,$D646-($D646-$I$643)*MIN(G$3-$O$2,$Q$2)/$Q$2))</f>
        <v>2230.83984375</v>
      </c>
      <c r="H646" s="15" t="n">
        <f aca="false">G646*(1+IF(H$3&lt;=$O$2,$D646,$D646-($D646-$I$643)*MIN(H$3-$O$2,$Q$2)/$Q$2))</f>
        <v>1951.98486328125</v>
      </c>
      <c r="I646" s="15" t="n">
        <f aca="false">H646*(1+IF(I$3&lt;=$O$2,$D646,$D646-($D646-$I$643)*MIN(I$3-$O$2,$Q$2)/$Q$2))</f>
        <v>1707.98675537109</v>
      </c>
      <c r="J646" s="15" t="n">
        <f aca="false">I646*(1+IF(J$3&lt;=$O$2,$D646,$D646-($D646-$I$643)*MIN(J$3-$O$2,$Q$2)/$Q$2))</f>
        <v>1546.85528486938</v>
      </c>
      <c r="K646" s="15" t="n">
        <f aca="false">J646*(1+IF(K$3&lt;=$O$2,$D646,$D646-($D646-$I$643)*MIN(K$3-$O$2,$Q$2)/$Q$2))</f>
        <v>1448.3515403289</v>
      </c>
      <c r="L646" s="15" t="n">
        <f aca="false">K646*(1+IF(L$3&lt;=$O$2,$D646,$D646-($D646-$I$643)*MIN(L$3-$O$2,$Q$2)/$Q$2))</f>
        <v>1400.52697246724</v>
      </c>
      <c r="M646" s="15" t="n">
        <f aca="false">L646*(1+IF(M$3&lt;=$O$2,$D646,$D646-($D646-$I$643)*MIN(M$3-$O$2,$Q$2)/$Q$2))</f>
        <v>1397.22172881222</v>
      </c>
      <c r="N646" s="15" t="n">
        <f aca="false">M646*(1+IF(N$3&lt;=$O$2,$D646,$D646-($D646-$I$643)*MIN(N$3-$O$2,$Q$2)/$Q$2))</f>
        <v>1436.76310373761</v>
      </c>
      <c r="O646" s="15" t="n">
        <f aca="false">SUMPRODUCT(E646:N646,1/(1+$F$643)^$E$3:$N$3)*$E$2</f>
        <v>6499.87167183299</v>
      </c>
      <c r="P646" s="15" t="n">
        <f aca="false">N646*$E$2*(1+$I$643)/($F$643-$I$643)/(1+$F$643)^$N$3</f>
        <v>3813.73586347492</v>
      </c>
      <c r="Q646" s="15" t="n">
        <f aca="false">O646+P646</f>
        <v>10313.6075353079</v>
      </c>
      <c r="R646" s="15" t="n">
        <f aca="false">Q646-$G$2+$I$2</f>
        <v>4126.30753530791</v>
      </c>
      <c r="S646" s="42" t="n">
        <f aca="false">R646/$K$2</f>
        <v>56.7580128653083</v>
      </c>
      <c r="T646" s="43" t="n">
        <f aca="false">S646-$M$2</f>
        <v>-504.039786309382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3538.125</v>
      </c>
      <c r="F647" s="15" t="n">
        <f aca="false">E647*(1+IF(F$3&lt;=$O$2,$D647,$D647-($D647-$I$643)*MIN(F$3-$O$2,$Q$2)/$Q$2))</f>
        <v>3759.2578125</v>
      </c>
      <c r="G647" s="15" t="n">
        <f aca="false">F647*(1+IF(G$3&lt;=$O$2,$D647,$D647-($D647-$I$643)*MIN(G$3-$O$2,$Q$2)/$Q$2))</f>
        <v>3994.21142578125</v>
      </c>
      <c r="H647" s="15" t="n">
        <f aca="false">G647*(1+IF(H$3&lt;=$O$2,$D647,$D647-($D647-$I$643)*MIN(H$3-$O$2,$Q$2)/$Q$2))</f>
        <v>4243.84963989258</v>
      </c>
      <c r="I647" s="15" t="n">
        <f aca="false">H647*(1+IF(I$3&lt;=$O$2,$D647,$D647-($D647-$I$643)*MIN(I$3-$O$2,$Q$2)/$Q$2))</f>
        <v>4509.09024238586</v>
      </c>
      <c r="J647" s="15" t="n">
        <f aca="false">I647*(1+IF(J$3&lt;=$O$2,$D647,$D647-($D647-$I$643)*MIN(J$3-$O$2,$Q$2)/$Q$2))</f>
        <v>4760.06620527706</v>
      </c>
      <c r="K647" s="15" t="n">
        <f aca="false">J647*(1+IF(K$3&lt;=$O$2,$D647,$D647-($D647-$I$643)*MIN(K$3-$O$2,$Q$2)/$Q$2))</f>
        <v>4992.45263741869</v>
      </c>
      <c r="L647" s="15" t="n">
        <f aca="false">K647*(1+IF(L$3&lt;=$O$2,$D647,$D647-($D647-$I$643)*MIN(L$3-$O$2,$Q$2)/$Q$2))</f>
        <v>5202.03579913752</v>
      </c>
      <c r="M647" s="15" t="n">
        <f aca="false">L647*(1+IF(M$3&lt;=$O$2,$D647,$D647-($D647-$I$643)*MIN(M$3-$O$2,$Q$2)/$Q$2))</f>
        <v>5384.83533711922</v>
      </c>
      <c r="N647" s="15" t="n">
        <f aca="false">M647*(1+IF(N$3&lt;=$O$2,$D647,$D647-($D647-$I$643)*MIN(N$3-$O$2,$Q$2)/$Q$2))</f>
        <v>5537.22617715969</v>
      </c>
      <c r="O647" s="15" t="n">
        <f aca="false">SUMPRODUCT(E647:N647,1/(1+$F$643)^$E$3:$N$3)*$E$2</f>
        <v>14319.1503563747</v>
      </c>
      <c r="P647" s="15" t="n">
        <f aca="false">N647*$E$2*(1+$I$643)/($F$643-$I$643)/(1+$F$643)^$N$3</f>
        <v>14697.981874027</v>
      </c>
      <c r="Q647" s="15" t="n">
        <f aca="false">O647+P647</f>
        <v>29017.1322304017</v>
      </c>
      <c r="R647" s="15" t="n">
        <f aca="false">Q647-$G$2+$I$2</f>
        <v>22829.8322304017</v>
      </c>
      <c r="S647" s="42" t="n">
        <f aca="false">R647/$K$2</f>
        <v>314.027953650642</v>
      </c>
      <c r="T647" s="43" t="n">
        <f aca="false">S647-$M$2</f>
        <v>-246.769845524049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3850.3125</v>
      </c>
      <c r="F648" s="15" t="n">
        <f aca="false">E648*(1+IF(F$3&lt;=$O$2,$D648,$D648-($D648-$I$643)*MIN(F$3-$O$2,$Q$2)/$Q$2))</f>
        <v>4451.923828125</v>
      </c>
      <c r="G648" s="15" t="n">
        <f aca="false">F648*(1+IF(G$3&lt;=$O$2,$D648,$D648-($D648-$I$643)*MIN(G$3-$O$2,$Q$2)/$Q$2))</f>
        <v>5147.53692626953</v>
      </c>
      <c r="H648" s="15" t="n">
        <f aca="false">G648*(1+IF(H$3&lt;=$O$2,$D648,$D648-($D648-$I$643)*MIN(H$3-$O$2,$Q$2)/$Q$2))</f>
        <v>5951.83957099915</v>
      </c>
      <c r="I648" s="15" t="n">
        <f aca="false">H648*(1+IF(I$3&lt;=$O$2,$D648,$D648-($D648-$I$643)*MIN(I$3-$O$2,$Q$2)/$Q$2))</f>
        <v>6881.81450396776</v>
      </c>
      <c r="J648" s="15" t="n">
        <f aca="false">I648*(1+IF(J$3&lt;=$O$2,$D648,$D648-($D648-$I$643)*MIN(J$3-$O$2,$Q$2)/$Q$2))</f>
        <v>7780.99238705619</v>
      </c>
      <c r="K648" s="15" t="n">
        <f aca="false">J648*(1+IF(K$3&lt;=$O$2,$D648,$D648-($D648-$I$643)*MIN(K$3-$O$2,$Q$2)/$Q$2))</f>
        <v>8598.54125716418</v>
      </c>
      <c r="L648" s="15" t="n">
        <f aca="false">K648*(1+IF(L$3&lt;=$O$2,$D648,$D648-($D648-$I$643)*MIN(L$3-$O$2,$Q$2)/$Q$2))</f>
        <v>9281.95331628359</v>
      </c>
      <c r="M648" s="15" t="n">
        <f aca="false">L648*(1+IF(M$3&lt;=$O$2,$D648,$D648-($D648-$I$643)*MIN(M$3-$O$2,$Q$2)/$Q$2))</f>
        <v>9782.15778049812</v>
      </c>
      <c r="N648" s="15" t="n">
        <f aca="false">M648*(1+IF(N$3&lt;=$O$2,$D648,$D648-($D648-$I$643)*MIN(N$3-$O$2,$Q$2)/$Q$2))</f>
        <v>10058.9928456862</v>
      </c>
      <c r="O648" s="15" t="n">
        <f aca="false">SUMPRODUCT(E648:N648,1/(1+$F$643)^$E$3:$N$3)*$E$2</f>
        <v>21360.7070298677</v>
      </c>
      <c r="P648" s="15" t="n">
        <f aca="false">N648*$E$2*(1+$I$643)/($F$643-$I$643)/(1+$F$643)^$N$3</f>
        <v>26700.5337666558</v>
      </c>
      <c r="Q648" s="15" t="n">
        <f aca="false">O648+P648</f>
        <v>48061.2407965235</v>
      </c>
      <c r="R648" s="15" t="n">
        <f aca="false">Q648-$G$2+$I$2</f>
        <v>41873.9407965235</v>
      </c>
      <c r="S648" s="42" t="n">
        <f aca="false">R648/$K$2</f>
        <v>575.982679456994</v>
      </c>
      <c r="T648" s="43" t="n">
        <f aca="false">S648-$M$2</f>
        <v>15.1848802823039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3694.21875</v>
      </c>
      <c r="F649" s="15" t="n">
        <f aca="false">E649*(1+IF(F$3&lt;=$O$2,$D649,$D649-($D649-$I$643)*MIN(F$3-$O$2,$Q$2)/$Q$2))</f>
        <v>4098.27392578125</v>
      </c>
      <c r="G649" s="15" t="n">
        <f aca="false">F649*(1+IF(G$3&lt;=$O$2,$D649,$D649-($D649-$I$643)*MIN(G$3-$O$2,$Q$2)/$Q$2))</f>
        <v>4546.52263641357</v>
      </c>
      <c r="H649" s="15" t="n">
        <f aca="false">G649*(1+IF(H$3&lt;=$O$2,$D649,$D649-($D649-$I$643)*MIN(H$3-$O$2,$Q$2)/$Q$2))</f>
        <v>5043.79854977131</v>
      </c>
      <c r="I649" s="15" t="n">
        <f aca="false">H649*(1+IF(I$3&lt;=$O$2,$D649,$D649-($D649-$I$643)*MIN(I$3-$O$2,$Q$2)/$Q$2))</f>
        <v>5595.46401615255</v>
      </c>
      <c r="J649" s="15" t="n">
        <f aca="false">I649*(1+IF(J$3&lt;=$O$2,$D649,$D649-($D649-$I$643)*MIN(J$3-$O$2,$Q$2)/$Q$2))</f>
        <v>6116.73744389732</v>
      </c>
      <c r="K649" s="15" t="n">
        <f aca="false">J649*(1+IF(K$3&lt;=$O$2,$D649,$D649-($D649-$I$643)*MIN(K$3-$O$2,$Q$2)/$Q$2))</f>
        <v>6587.389806518</v>
      </c>
      <c r="L649" s="15" t="n">
        <f aca="false">K649*(1+IF(L$3&lt;=$O$2,$D649,$D649-($D649-$I$643)*MIN(L$3-$O$2,$Q$2)/$Q$2))</f>
        <v>6987.44198946783</v>
      </c>
      <c r="M649" s="15" t="n">
        <f aca="false">L649*(1+IF(M$3&lt;=$O$2,$D649,$D649-($D649-$I$643)*MIN(M$3-$O$2,$Q$2)/$Q$2))</f>
        <v>7298.48796962899</v>
      </c>
      <c r="N649" s="15" t="n">
        <f aca="false">M649*(1+IF(N$3&lt;=$O$2,$D649,$D649-($D649-$I$643)*MIN(N$3-$O$2,$Q$2)/$Q$2))</f>
        <v>7505.0351791695</v>
      </c>
      <c r="O649" s="15" t="n">
        <f aca="false">SUMPRODUCT(E649:N649,1/(1+$F$643)^$E$3:$N$3)*$E$2</f>
        <v>17490.2383409944</v>
      </c>
      <c r="P649" s="15" t="n">
        <f aca="false">N649*$E$2*(1+$I$643)/($F$643-$I$643)/(1+$F$643)^$N$3</f>
        <v>19921.3229689582</v>
      </c>
      <c r="Q649" s="15" t="n">
        <f aca="false">O649+P649</f>
        <v>37411.5613099526</v>
      </c>
      <c r="R649" s="15" t="n">
        <f aca="false">Q649-$G$2+$I$2</f>
        <v>31224.2613099526</v>
      </c>
      <c r="S649" s="42" t="n">
        <f aca="false">R649/$K$2</f>
        <v>429.494653506914</v>
      </c>
      <c r="T649" s="43" t="n">
        <f aca="false">S649-$M$2</f>
        <v>-131.303145667777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0.109375</v>
      </c>
      <c r="C650" s="25" t="n">
        <f aca="false">IF(T649&gt;0,D649,C649)</f>
        <v>0.15625</v>
      </c>
      <c r="D650" s="41" t="n">
        <f aca="false">(B650+C650)/2</f>
        <v>0.1328125</v>
      </c>
      <c r="E650" s="15" t="n">
        <f aca="false">$C$2*(1+IF(E$3&lt;=$O$2,$D650,$D650-($D650-$I$643)*MIN(E$3-$O$2,$Q$2)/$Q$2))</f>
        <v>3772.265625</v>
      </c>
      <c r="F650" s="15" t="n">
        <f aca="false">E650*(1+IF(F$3&lt;=$O$2,$D650,$D650-($D650-$I$643)*MIN(F$3-$O$2,$Q$2)/$Q$2))</f>
        <v>4273.26965332031</v>
      </c>
      <c r="G650" s="15" t="n">
        <f aca="false">F650*(1+IF(G$3&lt;=$O$2,$D650,$D650-($D650-$I$643)*MIN(G$3-$O$2,$Q$2)/$Q$2))</f>
        <v>4840.81327915192</v>
      </c>
      <c r="H650" s="15" t="n">
        <f aca="false">G650*(1+IF(H$3&lt;=$O$2,$D650,$D650-($D650-$I$643)*MIN(H$3-$O$2,$Q$2)/$Q$2))</f>
        <v>5483.73379278928</v>
      </c>
      <c r="I650" s="15" t="n">
        <f aca="false">H650*(1+IF(I$3&lt;=$O$2,$D650,$D650-($D650-$I$643)*MIN(I$3-$O$2,$Q$2)/$Q$2))</f>
        <v>6212.04218714411</v>
      </c>
      <c r="J650" s="15" t="n">
        <f aca="false">I650*(1+IF(J$3&lt;=$O$2,$D650,$D650-($D650-$I$643)*MIN(J$3-$O$2,$Q$2)/$Q$2))</f>
        <v>6907.2318283074</v>
      </c>
      <c r="K650" s="15" t="n">
        <f aca="false">J650*(1+IF(K$3&lt;=$O$2,$D650,$D650-($D650-$I$643)*MIN(K$3-$O$2,$Q$2)/$Q$2))</f>
        <v>7535.84172892209</v>
      </c>
      <c r="L650" s="15" t="n">
        <f aca="false">K650*(1+IF(L$3&lt;=$O$2,$D650,$D650-($D650-$I$643)*MIN(L$3-$O$2,$Q$2)/$Q$2))</f>
        <v>8064.14191332817</v>
      </c>
      <c r="M650" s="15" t="n">
        <f aca="false">L650*(1+IF(M$3&lt;=$O$2,$D650,$D650-($D650-$I$643)*MIN(M$3-$O$2,$Q$2)/$Q$2))</f>
        <v>8460.9178558187</v>
      </c>
      <c r="N650" s="15" t="n">
        <f aca="false">M650*(1+IF(N$3&lt;=$O$2,$D650,$D650-($D650-$I$643)*MIN(N$3-$O$2,$Q$2)/$Q$2))</f>
        <v>8700.36183113837</v>
      </c>
      <c r="O650" s="15" t="n">
        <f aca="false">SUMPRODUCT(E650:N650,1/(1+$F$643)^$E$3:$N$3)*$E$2</f>
        <v>19329.8120729199</v>
      </c>
      <c r="P650" s="15" t="n">
        <f aca="false">N650*$E$2*(1+$I$643)/($F$643-$I$643)/(1+$F$643)^$N$3</f>
        <v>23094.1912792051</v>
      </c>
      <c r="Q650" s="15" t="n">
        <f aca="false">O650+P650</f>
        <v>42424.003352125</v>
      </c>
      <c r="R650" s="15" t="n">
        <f aca="false">Q650-$G$2+$I$2</f>
        <v>36236.703352125</v>
      </c>
      <c r="S650" s="42" t="n">
        <f aca="false">R650/$K$2</f>
        <v>498.441586686726</v>
      </c>
      <c r="T650" s="43" t="n">
        <f aca="false">S650-$M$2</f>
        <v>-62.3562124879642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0.1328125</v>
      </c>
      <c r="C651" s="25" t="n">
        <f aca="false">IF(T650&gt;0,D650,C650)</f>
        <v>0.15625</v>
      </c>
      <c r="D651" s="41" t="n">
        <f aca="false">(B651+C651)/2</f>
        <v>0.14453125</v>
      </c>
      <c r="E651" s="15" t="n">
        <f aca="false">$C$2*(1+IF(E$3&lt;=$O$2,$D651,$D651-($D651-$I$643)*MIN(E$3-$O$2,$Q$2)/$Q$2))</f>
        <v>3811.2890625</v>
      </c>
      <c r="F651" s="15" t="n">
        <f aca="false">E651*(1+IF(F$3&lt;=$O$2,$D651,$D651-($D651-$I$643)*MIN(F$3-$O$2,$Q$2)/$Q$2))</f>
        <v>4362.13943481445</v>
      </c>
      <c r="G651" s="15" t="n">
        <f aca="false">F651*(1+IF(G$3&lt;=$O$2,$D651,$D651-($D651-$I$643)*MIN(G$3-$O$2,$Q$2)/$Q$2))</f>
        <v>4992.60490000248</v>
      </c>
      <c r="H651" s="15" t="n">
        <f aca="false">G651*(1+IF(H$3&lt;=$O$2,$D651,$D651-($D651-$I$643)*MIN(H$3-$O$2,$Q$2)/$Q$2))</f>
        <v>5714.19232695596</v>
      </c>
      <c r="I651" s="15" t="n">
        <f aca="false">H651*(1+IF(I$3&lt;=$O$2,$D651,$D651-($D651-$I$643)*MIN(I$3-$O$2,$Q$2)/$Q$2))</f>
        <v>6540.07168671132</v>
      </c>
      <c r="J651" s="15" t="n">
        <f aca="false">I651*(1+IF(J$3&lt;=$O$2,$D651,$D651-($D651-$I$643)*MIN(J$3-$O$2,$Q$2)/$Q$2))</f>
        <v>7333.2842812341</v>
      </c>
      <c r="K651" s="15" t="n">
        <f aca="false">J651*(1+IF(K$3&lt;=$O$2,$D651,$D651-($D651-$I$643)*MIN(K$3-$O$2,$Q$2)/$Q$2))</f>
        <v>8052.23030556094</v>
      </c>
      <c r="L651" s="15" t="n">
        <f aca="false">K651*(1+IF(L$3&lt;=$O$2,$D651,$D651-($D651-$I$643)*MIN(L$3-$O$2,$Q$2)/$Q$2))</f>
        <v>8654.47674068961</v>
      </c>
      <c r="M651" s="15" t="n">
        <f aca="false">L651*(1+IF(M$3&lt;=$O$2,$D651,$D651-($D651-$I$643)*MIN(M$3-$O$2,$Q$2)/$Q$2))</f>
        <v>9100.58256238438</v>
      </c>
      <c r="N651" s="15" t="n">
        <f aca="false">M651*(1+IF(N$3&lt;=$O$2,$D651,$D651-($D651-$I$643)*MIN(N$3-$O$2,$Q$2)/$Q$2))</f>
        <v>9358.12904889986</v>
      </c>
      <c r="O651" s="15" t="n">
        <f aca="false">SUMPRODUCT(E651:N651,1/(1+$F$643)^$E$3:$N$3)*$E$2</f>
        <v>20320.2414587851</v>
      </c>
      <c r="P651" s="15" t="n">
        <f aca="false">N651*$E$2*(1+$I$643)/($F$643-$I$643)/(1+$F$643)^$N$3</f>
        <v>24840.1648650171</v>
      </c>
      <c r="Q651" s="15" t="n">
        <f aca="false">O651+P651</f>
        <v>45160.4063238022</v>
      </c>
      <c r="R651" s="15" t="n">
        <f aca="false">Q651-$G$2+$I$2</f>
        <v>38973.1063238022</v>
      </c>
      <c r="S651" s="42" t="n">
        <f aca="false">R651/$K$2</f>
        <v>536.081242418187</v>
      </c>
      <c r="T651" s="43" t="n">
        <f aca="false">S651-$M$2</f>
        <v>-24.7165567565033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0.14453125</v>
      </c>
      <c r="C652" s="25" t="n">
        <f aca="false">IF(T651&gt;0,D651,C651)</f>
        <v>0.15625</v>
      </c>
      <c r="D652" s="41" t="n">
        <f aca="false">(B652+C652)/2</f>
        <v>0.150390625</v>
      </c>
      <c r="E652" s="15" t="n">
        <f aca="false">$C$2*(1+IF(E$3&lt;=$O$2,$D652,$D652-($D652-$I$643)*MIN(E$3-$O$2,$Q$2)/$Q$2))</f>
        <v>3830.80078125</v>
      </c>
      <c r="F652" s="15" t="n">
        <f aca="false">E652*(1+IF(F$3&lt;=$O$2,$D652,$D652-($D652-$I$643)*MIN(F$3-$O$2,$Q$2)/$Q$2))</f>
        <v>4406.91730499268</v>
      </c>
      <c r="G652" s="15" t="n">
        <f aca="false">F652*(1+IF(G$3&lt;=$O$2,$D652,$D652-($D652-$I$643)*MIN(G$3-$O$2,$Q$2)/$Q$2))</f>
        <v>5069.67635281384</v>
      </c>
      <c r="H652" s="15" t="n">
        <f aca="false">G652*(1+IF(H$3&lt;=$O$2,$D652,$D652-($D652-$I$643)*MIN(H$3-$O$2,$Q$2)/$Q$2))</f>
        <v>5832.10814806123</v>
      </c>
      <c r="I652" s="15" t="n">
        <f aca="false">H652*(1+IF(I$3&lt;=$O$2,$D652,$D652-($D652-$I$643)*MIN(I$3-$O$2,$Q$2)/$Q$2))</f>
        <v>6709.20253751576</v>
      </c>
      <c r="J652" s="15" t="n">
        <f aca="false">I652*(1+IF(J$3&lt;=$O$2,$D652,$D652-($D652-$I$643)*MIN(J$3-$O$2,$Q$2)/$Q$2))</f>
        <v>7554.37755417296</v>
      </c>
      <c r="K652" s="15" t="n">
        <f aca="false">J652*(1+IF(K$3&lt;=$O$2,$D652,$D652-($D652-$I$643)*MIN(K$3-$O$2,$Q$2)/$Q$2))</f>
        <v>8321.55764520102</v>
      </c>
      <c r="L652" s="15" t="n">
        <f aca="false">K652*(1+IF(L$3&lt;=$O$2,$D652,$D652-($D652-$I$643)*MIN(L$3-$O$2,$Q$2)/$Q$2))</f>
        <v>8963.45139611066</v>
      </c>
      <c r="M652" s="15" t="n">
        <f aca="false">L652*(1+IF(M$3&lt;=$O$2,$D652,$D652-($D652-$I$643)*MIN(M$3-$O$2,$Q$2)/$Q$2))</f>
        <v>9435.98774724225</v>
      </c>
      <c r="N652" s="15" t="n">
        <f aca="false">M652*(1+IF(N$3&lt;=$O$2,$D652,$D652-($D652-$I$643)*MIN(N$3-$O$2,$Q$2)/$Q$2))</f>
        <v>9703.0262004892</v>
      </c>
      <c r="O652" s="15" t="n">
        <f aca="false">SUMPRODUCT(E652:N652,1/(1+$F$643)^$E$3:$N$3)*$E$2</f>
        <v>20834.0770518383</v>
      </c>
      <c r="P652" s="15" t="n">
        <f aca="false">N652*$E$2*(1+$I$643)/($F$643-$I$643)/(1+$F$643)^$N$3</f>
        <v>25755.657915197</v>
      </c>
      <c r="Q652" s="15" t="n">
        <f aca="false">O652+P652</f>
        <v>46589.7349670353</v>
      </c>
      <c r="R652" s="15" t="n">
        <f aca="false">Q652-$G$2+$I$2</f>
        <v>40402.4349670353</v>
      </c>
      <c r="S652" s="42" t="n">
        <f aca="false">R652/$K$2</f>
        <v>555.741884003237</v>
      </c>
      <c r="T652" s="43" t="n">
        <f aca="false">S652-$M$2</f>
        <v>-5.05591517145388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0.150390625</v>
      </c>
      <c r="C653" s="25" t="n">
        <f aca="false">IF(T652&gt;0,D652,C652)</f>
        <v>0.15625</v>
      </c>
      <c r="D653" s="41" t="n">
        <f aca="false">(B653+C653)/2</f>
        <v>0.1533203125</v>
      </c>
      <c r="E653" s="15" t="n">
        <f aca="false">$C$2*(1+IF(E$3&lt;=$O$2,$D653,$D653-($D653-$I$643)*MIN(E$3-$O$2,$Q$2)/$Q$2))</f>
        <v>3840.556640625</v>
      </c>
      <c r="F653" s="15" t="n">
        <f aca="false">E653*(1+IF(F$3&lt;=$O$2,$D653,$D653-($D653-$I$643)*MIN(F$3-$O$2,$Q$2)/$Q$2))</f>
        <v>4429.39198493958</v>
      </c>
      <c r="G653" s="15" t="n">
        <f aca="false">F653*(1+IF(G$3&lt;=$O$2,$D653,$D653-($D653-$I$643)*MIN(G$3-$O$2,$Q$2)/$Q$2))</f>
        <v>5108.50774825551</v>
      </c>
      <c r="H653" s="15" t="n">
        <f aca="false">G653*(1+IF(H$3&lt;=$O$2,$D653,$D653-($D653-$I$643)*MIN(H$3-$O$2,$Q$2)/$Q$2))</f>
        <v>5891.74575262671</v>
      </c>
      <c r="I653" s="15" t="n">
        <f aca="false">H653*(1+IF(I$3&lt;=$O$2,$D653,$D653-($D653-$I$643)*MIN(I$3-$O$2,$Q$2)/$Q$2))</f>
        <v>6795.07005258999</v>
      </c>
      <c r="J653" s="15" t="n">
        <f aca="false">I653*(1+IF(J$3&lt;=$O$2,$D653,$D653-($D653-$I$643)*MIN(J$3-$O$2,$Q$2)/$Q$2))</f>
        <v>7666.98796022564</v>
      </c>
      <c r="K653" s="15" t="n">
        <f aca="false">J653*(1+IF(K$3&lt;=$O$2,$D653,$D653-($D653-$I$643)*MIN(K$3-$O$2,$Q$2)/$Q$2))</f>
        <v>8459.08125793271</v>
      </c>
      <c r="L653" s="15" t="n">
        <f aca="false">K653*(1+IF(L$3&lt;=$O$2,$D653,$D653-($D653-$I$643)*MIN(L$3-$O$2,$Q$2)/$Q$2))</f>
        <v>9121.49605046406</v>
      </c>
      <c r="M653" s="15" t="n">
        <f aca="false">L653*(1+IF(M$3&lt;=$O$2,$D653,$D653-($D653-$I$643)*MIN(M$3-$O$2,$Q$2)/$Q$2))</f>
        <v>9607.7088460315</v>
      </c>
      <c r="N653" s="15" t="n">
        <f aca="false">M653*(1+IF(N$3&lt;=$O$2,$D653,$D653-($D653-$I$643)*MIN(N$3-$O$2,$Q$2)/$Q$2))</f>
        <v>9879.60700637419</v>
      </c>
      <c r="O653" s="15" t="n">
        <f aca="false">SUMPRODUCT(E653:N653,1/(1+$F$643)^$E$3:$N$3)*$E$2</f>
        <v>21095.7746015916</v>
      </c>
      <c r="P653" s="15" t="n">
        <f aca="false">N653*$E$2*(1+$I$643)/($F$643-$I$643)/(1+$F$643)^$N$3</f>
        <v>26224.3730084876</v>
      </c>
      <c r="Q653" s="15" t="n">
        <f aca="false">O653+P653</f>
        <v>47320.1476100793</v>
      </c>
      <c r="R653" s="15" t="n">
        <f aca="false">Q653-$G$2+$I$2</f>
        <v>41132.8476100793</v>
      </c>
      <c r="S653" s="42" t="n">
        <f aca="false">R653/$K$2</f>
        <v>565.788825448133</v>
      </c>
      <c r="T653" s="43" t="n">
        <f aca="false">S653-$M$2</f>
        <v>4.99102627344223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0.150390625</v>
      </c>
      <c r="C654" s="25" t="n">
        <f aca="false">IF(T653&gt;0,D653,C653)</f>
        <v>0.1533203125</v>
      </c>
      <c r="D654" s="41" t="n">
        <f aca="false">(B654+C654)/2</f>
        <v>0.15185546875</v>
      </c>
      <c r="E654" s="15" t="n">
        <f aca="false">$C$2*(1+IF(E$3&lt;=$O$2,$D654,$D654-($D654-$I$643)*MIN(E$3-$O$2,$Q$2)/$Q$2))</f>
        <v>3835.6787109375</v>
      </c>
      <c r="F654" s="15" t="n">
        <f aca="false">E654*(1+IF(F$3&lt;=$O$2,$D654,$D654-($D654-$I$643)*MIN(F$3-$O$2,$Q$2)/$Q$2))</f>
        <v>4418.14749956131</v>
      </c>
      <c r="G654" s="15" t="n">
        <f aca="false">F654*(1+IF(G$3&lt;=$O$2,$D654,$D654-($D654-$I$643)*MIN(G$3-$O$2,$Q$2)/$Q$2))</f>
        <v>5089.06735911383</v>
      </c>
      <c r="H654" s="15" t="n">
        <f aca="false">G654*(1+IF(H$3&lt;=$O$2,$D654,$D654-($D654-$I$643)*MIN(H$3-$O$2,$Q$2)/$Q$2))</f>
        <v>5861.87006843239</v>
      </c>
      <c r="I654" s="15" t="n">
        <f aca="false">H654*(1+IF(I$3&lt;=$O$2,$D654,$D654-($D654-$I$643)*MIN(I$3-$O$2,$Q$2)/$Q$2))</f>
        <v>6752.02709542578</v>
      </c>
      <c r="J654" s="15" t="n">
        <f aca="false">I654*(1+IF(J$3&lt;=$O$2,$D654,$D654-($D654-$I$643)*MIN(J$3-$O$2,$Q$2)/$Q$2))</f>
        <v>7610.50936045676</v>
      </c>
      <c r="K654" s="15" t="n">
        <f aca="false">J654*(1+IF(K$3&lt;=$O$2,$D654,$D654-($D654-$I$643)*MIN(K$3-$O$2,$Q$2)/$Q$2))</f>
        <v>8390.07880623218</v>
      </c>
      <c r="L654" s="15" t="n">
        <f aca="false">K654*(1+IF(L$3&lt;=$O$2,$D654,$D654-($D654-$I$643)*MIN(L$3-$O$2,$Q$2)/$Q$2))</f>
        <v>9042.17408434994</v>
      </c>
      <c r="M654" s="15" t="n">
        <f aca="false">L654*(1+IF(M$3&lt;=$O$2,$D654,$D654-($D654-$I$643)*MIN(M$3-$O$2,$Q$2)/$Q$2))</f>
        <v>9521.50962243923</v>
      </c>
      <c r="N654" s="15" t="n">
        <f aca="false">M654*(1+IF(N$3&lt;=$O$2,$D654,$D654-($D654-$I$643)*MIN(N$3-$O$2,$Q$2)/$Q$2))</f>
        <v>9790.96834475426</v>
      </c>
      <c r="O654" s="15" t="n">
        <f aca="false">SUMPRODUCT(E654:N654,1/(1+$F$643)^$E$3:$N$3)*$E$2</f>
        <v>20964.5237484129</v>
      </c>
      <c r="P654" s="15" t="n">
        <f aca="false">N654*$E$2*(1+$I$643)/($F$643-$I$643)/(1+$F$643)^$N$3</f>
        <v>25989.0910459769</v>
      </c>
      <c r="Q654" s="15" t="n">
        <f aca="false">O654+P654</f>
        <v>46953.6147943898</v>
      </c>
      <c r="R654" s="15" t="n">
        <f aca="false">Q654-$G$2+$I$2</f>
        <v>40766.3147943898</v>
      </c>
      <c r="S654" s="42" t="n">
        <f aca="false">R654/$K$2</f>
        <v>560.747108588581</v>
      </c>
      <c r="T654" s="43" t="n">
        <f aca="false">S654-$M$2</f>
        <v>-0.0506905861094538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0.15185546875</v>
      </c>
      <c r="C655" s="25" t="n">
        <f aca="false">IF(T654&gt;0,D654,C654)</f>
        <v>0.1533203125</v>
      </c>
      <c r="D655" s="41" t="n">
        <f aca="false">(B655+C655)/2</f>
        <v>0.152587890625</v>
      </c>
      <c r="E655" s="15" t="n">
        <f aca="false">$C$2*(1+IF(E$3&lt;=$O$2,$D655,$D655-($D655-$I$643)*MIN(E$3-$O$2,$Q$2)/$Q$2))</f>
        <v>3838.11767578125</v>
      </c>
      <c r="F655" s="15" t="n">
        <f aca="false">E655*(1+IF(F$3&lt;=$O$2,$D655,$D655-($D655-$I$643)*MIN(F$3-$O$2,$Q$2)/$Q$2))</f>
        <v>4423.76795589924</v>
      </c>
      <c r="G655" s="15" t="n">
        <f aca="false">F655*(1+IF(G$3&lt;=$O$2,$D655,$D655-($D655-$I$643)*MIN(G$3-$O$2,$Q$2)/$Q$2))</f>
        <v>5098.78137690437</v>
      </c>
      <c r="H655" s="15" t="n">
        <f aca="false">G655*(1+IF(H$3&lt;=$O$2,$D655,$D655-($D655-$I$643)*MIN(H$3-$O$2,$Q$2)/$Q$2))</f>
        <v>5876.79367196424</v>
      </c>
      <c r="I655" s="15" t="n">
        <f aca="false">H655*(1+IF(I$3&lt;=$O$2,$D655,$D655-($D655-$I$643)*MIN(I$3-$O$2,$Q$2)/$Q$2))</f>
        <v>6773.52122200762</v>
      </c>
      <c r="J655" s="15" t="n">
        <f aca="false">I655*(1+IF(J$3&lt;=$O$2,$D655,$D655-($D655-$I$643)*MIN(J$3-$O$2,$Q$2)/$Q$2))</f>
        <v>7638.70520442003</v>
      </c>
      <c r="K655" s="15" t="n">
        <f aca="false">J655*(1+IF(K$3&lt;=$O$2,$D655,$D655-($D655-$I$643)*MIN(K$3-$O$2,$Q$2)/$Q$2))</f>
        <v>8424.51969588326</v>
      </c>
      <c r="L655" s="15" t="n">
        <f aca="false">K655*(1+IF(L$3&lt;=$O$2,$D655,$D655-($D655-$I$643)*MIN(L$3-$O$2,$Q$2)/$Q$2))</f>
        <v>9081.7599162888</v>
      </c>
      <c r="M655" s="15" t="n">
        <f aca="false">L655*(1+IF(M$3&lt;=$O$2,$D655,$D655-($D655-$I$643)*MIN(M$3-$O$2,$Q$2)/$Q$2))</f>
        <v>9564.52427855141</v>
      </c>
      <c r="N655" s="15" t="n">
        <f aca="false">M655*(1+IF(N$3&lt;=$O$2,$D655,$D655-($D655-$I$643)*MIN(N$3-$O$2,$Q$2)/$Q$2))</f>
        <v>9835.20031563441</v>
      </c>
      <c r="O655" s="15" t="n">
        <f aca="false">SUMPRODUCT(E655:N655,1/(1+$F$643)^$E$3:$N$3)*$E$2</f>
        <v>21030.0483711084</v>
      </c>
      <c r="P655" s="15" t="n">
        <f aca="false">N655*$E$2*(1+$I$643)/($F$643-$I$643)/(1+$F$643)^$N$3</f>
        <v>26106.5001395282</v>
      </c>
      <c r="Q655" s="15" t="n">
        <f aca="false">O655+P655</f>
        <v>47136.5485106366</v>
      </c>
      <c r="R655" s="15" t="n">
        <f aca="false">Q655-$G$2+$I$2</f>
        <v>40949.2485106366</v>
      </c>
      <c r="S655" s="42" t="n">
        <f aca="false">R655/$K$2</f>
        <v>563.263390792801</v>
      </c>
      <c r="T655" s="43" t="n">
        <f aca="false">S655-$M$2</f>
        <v>2.46559161811035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0.15185546875</v>
      </c>
      <c r="C656" s="25" t="n">
        <f aca="false">IF(T655&gt;0,D655,C655)</f>
        <v>0.152587890625</v>
      </c>
      <c r="D656" s="41" t="n">
        <f aca="false">(B656+C656)/2</f>
        <v>0.1522216796875</v>
      </c>
      <c r="E656" s="15" t="n">
        <f aca="false">$C$2*(1+IF(E$3&lt;=$O$2,$D656,$D656-($D656-$I$643)*MIN(E$3-$O$2,$Q$2)/$Q$2))</f>
        <v>3836.89819335938</v>
      </c>
      <c r="F656" s="15" t="n">
        <f aca="false">E656*(1+IF(F$3&lt;=$O$2,$D656,$D656-($D656-$I$643)*MIN(F$3-$O$2,$Q$2)/$Q$2))</f>
        <v>4420.95728114247</v>
      </c>
      <c r="G656" s="15" t="n">
        <f aca="false">F656*(1+IF(G$3&lt;=$O$2,$D656,$D656-($D656-$I$643)*MIN(G$3-$O$2,$Q$2)/$Q$2))</f>
        <v>5093.92282430466</v>
      </c>
      <c r="H656" s="15" t="n">
        <f aca="false">G656*(1+IF(H$3&lt;=$O$2,$D656,$D656-($D656-$I$643)*MIN(H$3-$O$2,$Q$2)/$Q$2))</f>
        <v>5869.32831281881</v>
      </c>
      <c r="I656" s="15" t="n">
        <f aca="false">H656*(1+IF(I$3&lt;=$O$2,$D656,$D656-($D656-$I$643)*MIN(I$3-$O$2,$Q$2)/$Q$2))</f>
        <v>6762.76732723349</v>
      </c>
      <c r="J656" s="15" t="n">
        <f aca="false">I656*(1+IF(J$3&lt;=$O$2,$D656,$D656-($D656-$I$643)*MIN(J$3-$O$2,$Q$2)/$Q$2))</f>
        <v>7624.59643181542</v>
      </c>
      <c r="K656" s="15" t="n">
        <f aca="false">J656*(1+IF(K$3&lt;=$O$2,$D656,$D656-($D656-$I$643)*MIN(K$3-$O$2,$Q$2)/$Q$2))</f>
        <v>8407.28418889773</v>
      </c>
      <c r="L656" s="15" t="n">
        <f aca="false">K656*(1+IF(L$3&lt;=$O$2,$D656,$D656-($D656-$I$643)*MIN(L$3-$O$2,$Q$2)/$Q$2))</f>
        <v>9061.94824276288</v>
      </c>
      <c r="M656" s="15" t="n">
        <f aca="false">L656*(1+IF(M$3&lt;=$O$2,$D656,$D656-($D656-$I$643)*MIN(M$3-$O$2,$Q$2)/$Q$2))</f>
        <v>9542.99574752994</v>
      </c>
      <c r="N656" s="15" t="n">
        <f aca="false">M656*(1+IF(N$3&lt;=$O$2,$D656,$D656-($D656-$I$643)*MIN(N$3-$O$2,$Q$2)/$Q$2))</f>
        <v>9813.06252718504</v>
      </c>
      <c r="O656" s="15" t="n">
        <f aca="false">SUMPRODUCT(E656:N656,1/(1+$F$643)^$E$3:$N$3)*$E$2</f>
        <v>20997.2608943813</v>
      </c>
      <c r="P656" s="15" t="n">
        <f aca="false">N656*$E$2*(1+$I$643)/($F$643-$I$643)/(1+$F$643)^$N$3</f>
        <v>26047.7377189679</v>
      </c>
      <c r="Q656" s="15" t="n">
        <f aca="false">O656+P656</f>
        <v>47044.9986133492</v>
      </c>
      <c r="R656" s="15" t="n">
        <f aca="false">Q656-$G$2+$I$2</f>
        <v>40857.6986133492</v>
      </c>
      <c r="S656" s="42" t="n">
        <f aca="false">R656/$K$2</f>
        <v>562.004107473854</v>
      </c>
      <c r="T656" s="43" t="n">
        <f aca="false">S656-$M$2</f>
        <v>1.20630829916331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0.15185546875</v>
      </c>
      <c r="C657" s="25" t="n">
        <f aca="false">IF(T656&gt;0,D656,C656)</f>
        <v>0.1522216796875</v>
      </c>
      <c r="D657" s="41" t="n">
        <f aca="false">(B657+C657)/2</f>
        <v>0.15203857421875</v>
      </c>
      <c r="E657" s="15" t="n">
        <f aca="false">$C$2*(1+IF(E$3&lt;=$O$2,$D657,$D657-($D657-$I$643)*MIN(E$3-$O$2,$Q$2)/$Q$2))</f>
        <v>3836.28845214844</v>
      </c>
      <c r="F657" s="15" t="n">
        <f aca="false">E657*(1+IF(F$3&lt;=$O$2,$D657,$D657-($D657-$I$643)*MIN(F$3-$O$2,$Q$2)/$Q$2))</f>
        <v>4419.55227870494</v>
      </c>
      <c r="G657" s="15" t="n">
        <f aca="false">F657*(1+IF(G$3&lt;=$O$2,$D657,$D657-($D657-$I$643)*MIN(G$3-$O$2,$Q$2)/$Q$2))</f>
        <v>5091.49470584447</v>
      </c>
      <c r="H657" s="15" t="n">
        <f aca="false">G657*(1+IF(H$3&lt;=$O$2,$D657,$D657-($D657-$I$643)*MIN(H$3-$O$2,$Q$2)/$Q$2))</f>
        <v>5865.59830156338</v>
      </c>
      <c r="I657" s="15" t="n">
        <f aca="false">H657*(1+IF(I$3&lt;=$O$2,$D657,$D657-($D657-$I$643)*MIN(I$3-$O$2,$Q$2)/$Q$2))</f>
        <v>6757.39550427299</v>
      </c>
      <c r="J657" s="15" t="n">
        <f aca="false">I657*(1+IF(J$3&lt;=$O$2,$D657,$D657-($D657-$I$643)*MIN(J$3-$O$2,$Q$2)/$Q$2))</f>
        <v>7617.55018514866</v>
      </c>
      <c r="K657" s="15" t="n">
        <f aca="false">J657*(1+IF(K$3&lt;=$O$2,$D657,$D657-($D657-$I$643)*MIN(K$3-$O$2,$Q$2)/$Q$2))</f>
        <v>8398.67773475841</v>
      </c>
      <c r="L657" s="15" t="n">
        <f aca="false">K657*(1+IF(L$3&lt;=$O$2,$D657,$D657-($D657-$I$643)*MIN(L$3-$O$2,$Q$2)/$Q$2))</f>
        <v>9052.05647794078</v>
      </c>
      <c r="M657" s="15" t="n">
        <f aca="false">L657*(1+IF(M$3&lt;=$O$2,$D657,$D657-($D657-$I$643)*MIN(M$3-$O$2,$Q$2)/$Q$2))</f>
        <v>9532.24738873211</v>
      </c>
      <c r="N657" s="15" t="n">
        <f aca="false">M657*(1+IF(N$3&lt;=$O$2,$D657,$D657-($D657-$I$643)*MIN(N$3-$O$2,$Q$2)/$Q$2))</f>
        <v>9802.00998983323</v>
      </c>
      <c r="O657" s="15" t="n">
        <f aca="false">SUMPRODUCT(E657:N657,1/(1+$F$643)^$E$3:$N$3)*$E$2</f>
        <v>20980.8860344968</v>
      </c>
      <c r="P657" s="15" t="n">
        <f aca="false">N657*$E$2*(1+$I$643)/($F$643-$I$643)/(1+$F$643)^$N$3</f>
        <v>26018.3999262787</v>
      </c>
      <c r="Q657" s="15" t="n">
        <f aca="false">O657+P657</f>
        <v>46999.2859607754</v>
      </c>
      <c r="R657" s="15" t="n">
        <f aca="false">Q657-$G$2+$I$2</f>
        <v>40811.9859607754</v>
      </c>
      <c r="S657" s="42" t="n">
        <f aca="false">R657/$K$2</f>
        <v>561.375322706677</v>
      </c>
      <c r="T657" s="43" t="n">
        <f aca="false">S657-$M$2</f>
        <v>0.577523531986572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0.15185546875</v>
      </c>
      <c r="C658" s="25" t="n">
        <f aca="false">IF(T657&gt;0,D657,C657)</f>
        <v>0.15203857421875</v>
      </c>
      <c r="D658" s="41" t="n">
        <f aca="false">(B658+C658)/2</f>
        <v>0.151947021484375</v>
      </c>
      <c r="E658" s="15" t="n">
        <f aca="false">$C$2*(1+IF(E$3&lt;=$O$2,$D658,$D658-($D658-$I$643)*MIN(E$3-$O$2,$Q$2)/$Q$2))</f>
        <v>3835.98358154297</v>
      </c>
      <c r="F658" s="15" t="n">
        <f aca="false">E658*(1+IF(F$3&lt;=$O$2,$D658,$D658-($D658-$I$643)*MIN(F$3-$O$2,$Q$2)/$Q$2))</f>
        <v>4418.84986122139</v>
      </c>
      <c r="G658" s="15" t="n">
        <f aca="false">F658*(1+IF(G$3&lt;=$O$2,$D658,$D658-($D658-$I$643)*MIN(G$3-$O$2,$Q$2)/$Q$2))</f>
        <v>5090.28093602062</v>
      </c>
      <c r="H658" s="15" t="n">
        <f aca="false">G658*(1+IF(H$3&lt;=$O$2,$D658,$D658-($D658-$I$643)*MIN(H$3-$O$2,$Q$2)/$Q$2))</f>
        <v>5863.73396276765</v>
      </c>
      <c r="I658" s="15" t="n">
        <f aca="false">H658*(1+IF(I$3&lt;=$O$2,$D658,$D658-($D658-$I$643)*MIN(I$3-$O$2,$Q$2)/$Q$2))</f>
        <v>6754.71087318697</v>
      </c>
      <c r="J658" s="15" t="n">
        <f aca="false">I658*(1+IF(J$3&lt;=$O$2,$D658,$D658-($D658-$I$643)*MIN(J$3-$O$2,$Q$2)/$Q$2))</f>
        <v>7614.02909526431</v>
      </c>
      <c r="K658" s="15" t="n">
        <f aca="false">J658*(1+IF(K$3&lt;=$O$2,$D658,$D658-($D658-$I$643)*MIN(K$3-$O$2,$Q$2)/$Q$2))</f>
        <v>8394.37733013517</v>
      </c>
      <c r="L658" s="15" t="n">
        <f aca="false">K658*(1+IF(L$3&lt;=$O$2,$D658,$D658-($D658-$I$643)*MIN(L$3-$O$2,$Q$2)/$Q$2))</f>
        <v>9047.11411021287</v>
      </c>
      <c r="M658" s="15" t="n">
        <f aca="false">L658*(1+IF(M$3&lt;=$O$2,$D658,$D658-($D658-$I$643)*MIN(M$3-$O$2,$Q$2)/$Q$2))</f>
        <v>9526.87718208331</v>
      </c>
      <c r="N658" s="15" t="n">
        <f aca="false">M658*(1+IF(N$3&lt;=$O$2,$D658,$D658-($D658-$I$643)*MIN(N$3-$O$2,$Q$2)/$Q$2))</f>
        <v>9796.48780633627</v>
      </c>
      <c r="O658" s="15" t="n">
        <f aca="false">SUMPRODUCT(E658:N658,1/(1+$F$643)^$E$3:$N$3)*$E$2</f>
        <v>20972.703320285</v>
      </c>
      <c r="P658" s="15" t="n">
        <f aca="false">N658*$E$2*(1+$I$643)/($F$643-$I$643)/(1+$F$643)^$N$3</f>
        <v>26003.7418736099</v>
      </c>
      <c r="Q658" s="15" t="n">
        <f aca="false">O658+P658</f>
        <v>46976.445193895</v>
      </c>
      <c r="R658" s="15" t="n">
        <f aca="false">Q658-$G$2+$I$2</f>
        <v>40789.145193895</v>
      </c>
      <c r="S658" s="42" t="n">
        <f aca="false">R658/$K$2</f>
        <v>561.061144345185</v>
      </c>
      <c r="T658" s="43" t="n">
        <f aca="false">S658-$M$2</f>
        <v>0.263345170494858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0.15185546875</v>
      </c>
      <c r="C659" s="25" t="n">
        <f aca="false">IF(T658&gt;0,D658,C658)</f>
        <v>0.151947021484375</v>
      </c>
      <c r="D659" s="41" t="n">
        <f aca="false">(B659+C659)/2</f>
        <v>0.151901245117188</v>
      </c>
      <c r="E659" s="15" t="n">
        <f aca="false">$C$2*(1+IF(E$3&lt;=$O$2,$D659,$D659-($D659-$I$643)*MIN(E$3-$O$2,$Q$2)/$Q$2))</f>
        <v>3835.83114624023</v>
      </c>
      <c r="F659" s="15" t="n">
        <f aca="false">E659*(1+IF(F$3&lt;=$O$2,$D659,$D659-($D659-$I$643)*MIN(F$3-$O$2,$Q$2)/$Q$2))</f>
        <v>4418.49867341341</v>
      </c>
      <c r="G659" s="15" t="n">
        <f aca="false">F659*(1+IF(G$3&lt;=$O$2,$D659,$D659-($D659-$I$643)*MIN(G$3-$O$2,$Q$2)/$Q$2))</f>
        <v>5089.67412345355</v>
      </c>
      <c r="H659" s="15" t="n">
        <f aca="false">G659*(1+IF(H$3&lt;=$O$2,$D659,$D659-($D659-$I$643)*MIN(H$3-$O$2,$Q$2)/$Q$2))</f>
        <v>5862.80196004688</v>
      </c>
      <c r="I659" s="15" t="n">
        <f aca="false">H659*(1+IF(I$3&lt;=$O$2,$D659,$D659-($D659-$I$643)*MIN(I$3-$O$2,$Q$2)/$Q$2))</f>
        <v>6753.36887765349</v>
      </c>
      <c r="J659" s="15" t="n">
        <f aca="false">I659*(1+IF(J$3&lt;=$O$2,$D659,$D659-($D659-$I$643)*MIN(J$3-$O$2,$Q$2)/$Q$2))</f>
        <v>7612.26905850199</v>
      </c>
      <c r="K659" s="15" t="n">
        <f aca="false">J659*(1+IF(K$3&lt;=$O$2,$D659,$D659-($D659-$I$643)*MIN(K$3-$O$2,$Q$2)/$Q$2))</f>
        <v>8392.22783313633</v>
      </c>
      <c r="L659" s="15" t="n">
        <f aca="false">K659*(1+IF(L$3&lt;=$O$2,$D659,$D659-($D659-$I$643)*MIN(L$3-$O$2,$Q$2)/$Q$2))</f>
        <v>9044.64380460719</v>
      </c>
      <c r="M659" s="15" t="n">
        <f aca="false">L659*(1+IF(M$3&lt;=$O$2,$D659,$D659-($D659-$I$643)*MIN(M$3-$O$2,$Q$2)/$Q$2))</f>
        <v>9524.19307145575</v>
      </c>
      <c r="N659" s="15" t="n">
        <f aca="false">M659*(1+IF(N$3&lt;=$O$2,$D659,$D659-($D659-$I$643)*MIN(N$3-$O$2,$Q$2)/$Q$2))</f>
        <v>9793.72773537795</v>
      </c>
      <c r="O659" s="15" t="n">
        <f aca="false">SUMPRODUCT(E659:N659,1/(1+$F$643)^$E$3:$N$3)*$E$2</f>
        <v>20968.6131416259</v>
      </c>
      <c r="P659" s="15" t="n">
        <f aca="false">N659*$E$2*(1+$I$643)/($F$643-$I$643)/(1+$F$643)^$N$3</f>
        <v>25996.4155568552</v>
      </c>
      <c r="Q659" s="15" t="n">
        <f aca="false">O659+P659</f>
        <v>46965.0286984812</v>
      </c>
      <c r="R659" s="15" t="n">
        <f aca="false">Q659-$G$2+$I$2</f>
        <v>40777.7286984812</v>
      </c>
      <c r="S659" s="42" t="n">
        <f aca="false">R659/$K$2</f>
        <v>560.904108644858</v>
      </c>
      <c r="T659" s="43" t="n">
        <f aca="false">S659-$M$2</f>
        <v>0.106309470167162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0.15185546875</v>
      </c>
      <c r="C660" s="25" t="n">
        <f aca="false">IF(T659&gt;0,D659,C659)</f>
        <v>0.151901245117188</v>
      </c>
      <c r="D660" s="41" t="n">
        <f aca="false">(B660+C660)/2</f>
        <v>0.151878356933594</v>
      </c>
      <c r="E660" s="15" t="n">
        <f aca="false">$C$2*(1+IF(E$3&lt;=$O$2,$D660,$D660-($D660-$I$643)*MIN(E$3-$O$2,$Q$2)/$Q$2))</f>
        <v>3835.75492858887</v>
      </c>
      <c r="F660" s="15" t="n">
        <f aca="false">E660*(1+IF(F$3&lt;=$O$2,$D660,$D660-($D660-$I$643)*MIN(F$3-$O$2,$Q$2)/$Q$2))</f>
        <v>4418.32308474288</v>
      </c>
      <c r="G660" s="15" t="n">
        <f aca="false">F660*(1+IF(G$3&lt;=$O$2,$D660,$D660-($D660-$I$643)*MIN(G$3-$O$2,$Q$2)/$Q$2))</f>
        <v>5089.3707352554</v>
      </c>
      <c r="H660" s="15" t="n">
        <f aca="false">G660*(1+IF(H$3&lt;=$O$2,$D660,$D660-($D660-$I$643)*MIN(H$3-$O$2,$Q$2)/$Q$2))</f>
        <v>5862.3360003519</v>
      </c>
      <c r="I660" s="15" t="n">
        <f aca="false">H660*(1+IF(I$3&lt;=$O$2,$D660,$D660-($D660-$I$643)*MIN(I$3-$O$2,$Q$2)/$Q$2))</f>
        <v>6752.697959878</v>
      </c>
      <c r="J660" s="15" t="n">
        <f aca="false">I660*(1+IF(J$3&lt;=$O$2,$D660,$D660-($D660-$I$643)*MIN(J$3-$O$2,$Q$2)/$Q$2))</f>
        <v>7611.38916714299</v>
      </c>
      <c r="K660" s="15" t="n">
        <f aca="false">J660*(1+IF(K$3&lt;=$O$2,$D660,$D660-($D660-$I$643)*MIN(K$3-$O$2,$Q$2)/$Q$2))</f>
        <v>8391.15326092775</v>
      </c>
      <c r="L660" s="15" t="n">
        <f aca="false">K660*(1+IF(L$3&lt;=$O$2,$D660,$D660-($D660-$I$643)*MIN(L$3-$O$2,$Q$2)/$Q$2))</f>
        <v>9043.40887131738</v>
      </c>
      <c r="M660" s="15" t="n">
        <f aca="false">L660*(1+IF(M$3&lt;=$O$2,$D660,$D660-($D660-$I$643)*MIN(M$3-$O$2,$Q$2)/$Q$2))</f>
        <v>9522.85126425487</v>
      </c>
      <c r="N660" s="15" t="n">
        <f aca="false">M660*(1+IF(N$3&lt;=$O$2,$D660,$D660-($D660-$I$643)*MIN(N$3-$O$2,$Q$2)/$Q$2))</f>
        <v>9792.34795503329</v>
      </c>
      <c r="O660" s="15" t="n">
        <f aca="false">SUMPRODUCT(E660:N660,1/(1+$F$643)^$E$3:$N$3)*$E$2</f>
        <v>20966.5683468473</v>
      </c>
      <c r="P660" s="15" t="n">
        <f aca="false">N660*$E$2*(1+$I$643)/($F$643-$I$643)/(1+$F$643)^$N$3</f>
        <v>25992.7530757054</v>
      </c>
      <c r="Q660" s="15" t="n">
        <f aca="false">O660+P660</f>
        <v>46959.3214225528</v>
      </c>
      <c r="R660" s="15" t="n">
        <f aca="false">Q660-$G$2+$I$2</f>
        <v>40772.0214225528</v>
      </c>
      <c r="S660" s="42" t="n">
        <f aca="false">R660/$K$2</f>
        <v>560.825604161661</v>
      </c>
      <c r="T660" s="43" t="n">
        <f aca="false">S660-$M$2</f>
        <v>0.0278049869707502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0.15185546875</v>
      </c>
      <c r="C661" s="25" t="n">
        <f aca="false">IF(T660&gt;0,D660,C660)</f>
        <v>0.151878356933594</v>
      </c>
      <c r="D661" s="41" t="n">
        <f aca="false">(B661+C661)/2</f>
        <v>0.151866912841797</v>
      </c>
      <c r="E661" s="15" t="n">
        <f aca="false">$C$2*(1+IF(E$3&lt;=$O$2,$D661,$D661-($D661-$I$643)*MIN(E$3-$O$2,$Q$2)/$Q$2))</f>
        <v>3835.71681976318</v>
      </c>
      <c r="F661" s="15" t="n">
        <f aca="false">E661*(1+IF(F$3&lt;=$O$2,$D661,$D661-($D661-$I$643)*MIN(F$3-$O$2,$Q$2)/$Q$2))</f>
        <v>4418.23529171597</v>
      </c>
      <c r="G661" s="15" t="n">
        <f aca="false">F661*(1+IF(G$3&lt;=$O$2,$D661,$D661-($D661-$I$643)*MIN(G$3-$O$2,$Q$2)/$Q$2))</f>
        <v>5089.21904567755</v>
      </c>
      <c r="H661" s="15" t="n">
        <f aca="false">G661*(1+IF(H$3&lt;=$O$2,$D661,$D661-($D661-$I$643)*MIN(H$3-$O$2,$Q$2)/$Q$2))</f>
        <v>5862.10303092028</v>
      </c>
      <c r="I661" s="15" t="n">
        <f aca="false">H661*(1+IF(I$3&lt;=$O$2,$D661,$D661-($D661-$I$643)*MIN(I$3-$O$2,$Q$2)/$Q$2))</f>
        <v>6752.36252098668</v>
      </c>
      <c r="J661" s="15" t="n">
        <f aca="false">I661*(1+IF(J$3&lt;=$O$2,$D661,$D661-($D661-$I$643)*MIN(J$3-$O$2,$Q$2)/$Q$2))</f>
        <v>7610.94925321619</v>
      </c>
      <c r="K661" s="15" t="n">
        <f aca="false">J661*(1+IF(K$3&lt;=$O$2,$D661,$D661-($D661-$I$643)*MIN(K$3-$O$2,$Q$2)/$Q$2))</f>
        <v>8390.61601889151</v>
      </c>
      <c r="L661" s="15" t="n">
        <f aca="false">K661*(1+IF(L$3&lt;=$O$2,$D661,$D661-($D661-$I$643)*MIN(L$3-$O$2,$Q$2)/$Q$2))</f>
        <v>9042.79145954428</v>
      </c>
      <c r="M661" s="15" t="n">
        <f aca="false">L661*(1+IF(M$3&lt;=$O$2,$D661,$D661-($D661-$I$643)*MIN(M$3-$O$2,$Q$2)/$Q$2))</f>
        <v>9522.18042267499</v>
      </c>
      <c r="N661" s="15" t="n">
        <f aca="false">M661*(1+IF(N$3&lt;=$O$2,$D661,$D661-($D661-$I$643)*MIN(N$3-$O$2,$Q$2)/$Q$2))</f>
        <v>9791.6581286367</v>
      </c>
      <c r="O661" s="15" t="n">
        <f aca="false">SUMPRODUCT(E661:N661,1/(1+$F$643)^$E$3:$N$3)*$E$2</f>
        <v>20965.5460230882</v>
      </c>
      <c r="P661" s="15" t="n">
        <f aca="false">N661*$E$2*(1+$I$643)/($F$643-$I$643)/(1+$F$643)^$N$3</f>
        <v>25990.9220044165</v>
      </c>
      <c r="Q661" s="15" t="n">
        <f aca="false">O661+P661</f>
        <v>46956.4680275047</v>
      </c>
      <c r="R661" s="15" t="n">
        <f aca="false">Q661-$G$2+$I$2</f>
        <v>40769.1680275047</v>
      </c>
      <c r="S661" s="42" t="n">
        <f aca="false">R661/$K$2</f>
        <v>560.786355261413</v>
      </c>
      <c r="T661" s="43" t="n">
        <f aca="false">S661-$M$2</f>
        <v>-0.0114439132778443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0.151866912841797</v>
      </c>
      <c r="C662" s="25" t="n">
        <f aca="false">IF(T661&gt;0,D661,C661)</f>
        <v>0.151878356933594</v>
      </c>
      <c r="D662" s="41" t="n">
        <f aca="false">(B662+C662)/2</f>
        <v>0.151872634887695</v>
      </c>
      <c r="E662" s="15" t="n">
        <f aca="false">$C$2*(1+IF(E$3&lt;=$O$2,$D662,$D662-($D662-$I$643)*MIN(E$3-$O$2,$Q$2)/$Q$2))</f>
        <v>3835.73587417603</v>
      </c>
      <c r="F662" s="15" t="n">
        <f aca="false">E662*(1+IF(F$3&lt;=$O$2,$D662,$D662-($D662-$I$643)*MIN(F$3-$O$2,$Q$2)/$Q$2))</f>
        <v>4418.2791881204</v>
      </c>
      <c r="G662" s="15" t="n">
        <f aca="false">F662*(1+IF(G$3&lt;=$O$2,$D662,$D662-($D662-$I$643)*MIN(G$3-$O$2,$Q$2)/$Q$2))</f>
        <v>5089.29489008971</v>
      </c>
      <c r="H662" s="15" t="n">
        <f aca="false">G662*(1+IF(H$3&lt;=$O$2,$D662,$D662-($D662-$I$643)*MIN(H$3-$O$2,$Q$2)/$Q$2))</f>
        <v>5862.21951476812</v>
      </c>
      <c r="I662" s="15" t="n">
        <f aca="false">H662*(1+IF(I$3&lt;=$O$2,$D662,$D662-($D662-$I$643)*MIN(I$3-$O$2,$Q$2)/$Q$2))</f>
        <v>6752.53023876602</v>
      </c>
      <c r="J662" s="15" t="n">
        <f aca="false">I662*(1+IF(J$3&lt;=$O$2,$D662,$D662-($D662-$I$643)*MIN(J$3-$O$2,$Q$2)/$Q$2))</f>
        <v>7611.16920753362</v>
      </c>
      <c r="K662" s="15" t="n">
        <f aca="false">J662*(1+IF(K$3&lt;=$O$2,$D662,$D662-($D662-$I$643)*MIN(K$3-$O$2,$Q$2)/$Q$2))</f>
        <v>8390.88463623743</v>
      </c>
      <c r="L662" s="15" t="n">
        <f aca="false">K662*(1+IF(L$3&lt;=$O$2,$D662,$D662-($D662-$I$643)*MIN(L$3-$O$2,$Q$2)/$Q$2))</f>
        <v>9043.10016085837</v>
      </c>
      <c r="M662" s="15" t="n">
        <f aca="false">L662*(1+IF(M$3&lt;=$O$2,$D662,$D662-($D662-$I$643)*MIN(M$3-$O$2,$Q$2)/$Q$2))</f>
        <v>9522.51583829678</v>
      </c>
      <c r="N662" s="15" t="n">
        <f aca="false">M662*(1+IF(N$3&lt;=$O$2,$D662,$D662-($D662-$I$643)*MIN(N$3-$O$2,$Q$2)/$Q$2))</f>
        <v>9792.00303652058</v>
      </c>
      <c r="O662" s="15" t="n">
        <f aca="false">SUMPRODUCT(E662:N662,1/(1+$F$643)^$E$3:$N$3)*$E$2</f>
        <v>20966.0571788321</v>
      </c>
      <c r="P662" s="15" t="n">
        <f aca="false">N662*$E$2*(1+$I$643)/($F$643-$I$643)/(1+$F$643)^$N$3</f>
        <v>25991.8375259544</v>
      </c>
      <c r="Q662" s="15" t="n">
        <f aca="false">O662+P662</f>
        <v>46957.8947047866</v>
      </c>
      <c r="R662" s="15" t="n">
        <f aca="false">Q662-$G$2+$I$2</f>
        <v>40770.5947047866</v>
      </c>
      <c r="S662" s="42" t="n">
        <f aca="false">R662/$K$2</f>
        <v>560.805979433103</v>
      </c>
      <c r="T662" s="43" t="n">
        <f aca="false">S662-$M$2</f>
        <v>0.00818025841215331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0.151866912841797</v>
      </c>
      <c r="C663" s="25" t="n">
        <f aca="false">IF(T662&gt;0,D662,C662)</f>
        <v>0.151872634887695</v>
      </c>
      <c r="D663" s="41" t="n">
        <f aca="false">(B663+C663)/2</f>
        <v>0.151869773864746</v>
      </c>
      <c r="E663" s="15" t="n">
        <f aca="false">$C$2*(1+IF(E$3&lt;=$O$2,$D663,$D663-($D663-$I$643)*MIN(E$3-$O$2,$Q$2)/$Q$2))</f>
        <v>3835.7263469696</v>
      </c>
      <c r="F663" s="15" t="n">
        <f aca="false">E663*(1+IF(F$3&lt;=$O$2,$D663,$D663-($D663-$I$643)*MIN(F$3-$O$2,$Q$2)/$Q$2))</f>
        <v>4418.25723989093</v>
      </c>
      <c r="G663" s="15" t="n">
        <f aca="false">F663*(1+IF(G$3&lt;=$O$2,$D663,$D663-($D663-$I$643)*MIN(G$3-$O$2,$Q$2)/$Q$2))</f>
        <v>5089.25696778944</v>
      </c>
      <c r="H663" s="15" t="n">
        <f aca="false">G663*(1+IF(H$3&lt;=$O$2,$D663,$D663-($D663-$I$643)*MIN(H$3-$O$2,$Q$2)/$Q$2))</f>
        <v>5862.1612726272</v>
      </c>
      <c r="I663" s="15" t="n">
        <f aca="false">H663*(1+IF(I$3&lt;=$O$2,$D663,$D663-($D663-$I$643)*MIN(I$3-$O$2,$Q$2)/$Q$2))</f>
        <v>6752.44637945977</v>
      </c>
      <c r="J663" s="15" t="n">
        <f aca="false">I663*(1+IF(J$3&lt;=$O$2,$D663,$D663-($D663-$I$643)*MIN(J$3-$O$2,$Q$2)/$Q$2))</f>
        <v>7611.05922971342</v>
      </c>
      <c r="K663" s="15" t="n">
        <f aca="false">J663*(1+IF(K$3&lt;=$O$2,$D663,$D663-($D663-$I$643)*MIN(K$3-$O$2,$Q$2)/$Q$2))</f>
        <v>8390.75032664643</v>
      </c>
      <c r="L663" s="15" t="n">
        <f aca="false">K663*(1+IF(L$3&lt;=$O$2,$D663,$D663-($D663-$I$643)*MIN(L$3-$O$2,$Q$2)/$Q$2))</f>
        <v>9042.94580905822</v>
      </c>
      <c r="M663" s="15" t="n">
        <f aca="false">L663*(1+IF(M$3&lt;=$O$2,$D663,$D663-($D663-$I$643)*MIN(M$3-$O$2,$Q$2)/$Q$2))</f>
        <v>9522.34812919386</v>
      </c>
      <c r="N663" s="15" t="n">
        <f aca="false">M663*(1+IF(N$3&lt;=$O$2,$D663,$D663-($D663-$I$643)*MIN(N$3-$O$2,$Q$2)/$Q$2))</f>
        <v>9791.83058125005</v>
      </c>
      <c r="O663" s="15" t="n">
        <f aca="false">SUMPRODUCT(E663:N663,1/(1+$F$643)^$E$3:$N$3)*$E$2</f>
        <v>20965.8015994263</v>
      </c>
      <c r="P663" s="15" t="n">
        <f aca="false">N663*$E$2*(1+$I$643)/($F$643-$I$643)/(1+$F$643)^$N$3</f>
        <v>25991.3797616589</v>
      </c>
      <c r="Q663" s="15" t="n">
        <f aca="false">O663+P663</f>
        <v>46957.1813610852</v>
      </c>
      <c r="R663" s="15" t="n">
        <f aca="false">Q663-$G$2+$I$2</f>
        <v>40769.8813610852</v>
      </c>
      <c r="S663" s="42" t="n">
        <f aca="false">R663/$K$2</f>
        <v>560.79616727765</v>
      </c>
      <c r="T663" s="43" t="n">
        <f aca="false">S663-$M$2</f>
        <v>-0.00163189704051092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0.151869773864746</v>
      </c>
      <c r="C664" s="25" t="n">
        <f aca="false">IF(T663&gt;0,D663,C663)</f>
        <v>0.151872634887695</v>
      </c>
      <c r="D664" s="41" t="n">
        <f aca="false">(B664+C664)/2</f>
        <v>0.151871204376221</v>
      </c>
      <c r="E664" s="15" t="n">
        <f aca="false">$C$2*(1+IF(E$3&lt;=$O$2,$D664,$D664-($D664-$I$643)*MIN(E$3-$O$2,$Q$2)/$Q$2))</f>
        <v>3835.73111057282</v>
      </c>
      <c r="F664" s="15" t="n">
        <f aca="false">E664*(1+IF(F$3&lt;=$O$2,$D664,$D664-($D664-$I$643)*MIN(F$3-$O$2,$Q$2)/$Q$2))</f>
        <v>4418.26821399885</v>
      </c>
      <c r="G664" s="15" t="n">
        <f aca="false">F664*(1+IF(G$3&lt;=$O$2,$D664,$D664-($D664-$I$643)*MIN(G$3-$O$2,$Q$2)/$Q$2))</f>
        <v>5089.27592891603</v>
      </c>
      <c r="H664" s="15" t="n">
        <f aca="false">G664*(1+IF(H$3&lt;=$O$2,$D664,$D664-($D664-$I$643)*MIN(H$3-$O$2,$Q$2)/$Q$2))</f>
        <v>5862.19039364341</v>
      </c>
      <c r="I664" s="15" t="n">
        <f aca="false">H664*(1+IF(I$3&lt;=$O$2,$D664,$D664-($D664-$I$643)*MIN(I$3-$O$2,$Q$2)/$Q$2))</f>
        <v>6752.48830900875</v>
      </c>
      <c r="J664" s="15" t="n">
        <f aca="false">I664*(1+IF(J$3&lt;=$O$2,$D664,$D664-($D664-$I$643)*MIN(J$3-$O$2,$Q$2)/$Q$2))</f>
        <v>7611.11421845814</v>
      </c>
      <c r="K664" s="15" t="n">
        <f aca="false">J664*(1+IF(K$3&lt;=$O$2,$D664,$D664-($D664-$I$643)*MIN(K$3-$O$2,$Q$2)/$Q$2))</f>
        <v>8390.81748121242</v>
      </c>
      <c r="L664" s="15" t="n">
        <f aca="false">K664*(1+IF(L$3&lt;=$O$2,$D664,$D664-($D664-$I$643)*MIN(L$3-$O$2,$Q$2)/$Q$2))</f>
        <v>9043.02298467252</v>
      </c>
      <c r="M664" s="15" t="n">
        <f aca="false">L664*(1+IF(M$3&lt;=$O$2,$D664,$D664-($D664-$I$643)*MIN(M$3-$O$2,$Q$2)/$Q$2))</f>
        <v>9522.43198342231</v>
      </c>
      <c r="N664" s="15" t="n">
        <f aca="false">M664*(1+IF(N$3&lt;=$O$2,$D664,$D664-($D664-$I$643)*MIN(N$3-$O$2,$Q$2)/$Q$2))</f>
        <v>9791.91680855317</v>
      </c>
      <c r="O664" s="15" t="n">
        <f aca="false">SUMPRODUCT(E664:N664,1/(1+$F$643)^$E$3:$N$3)*$E$2</f>
        <v>20965.9293887457</v>
      </c>
      <c r="P664" s="15" t="n">
        <f aca="false">N664*$E$2*(1+$I$643)/($F$643-$I$643)/(1+$F$643)^$N$3</f>
        <v>25991.608642925</v>
      </c>
      <c r="Q664" s="15" t="n">
        <f aca="false">O664+P664</f>
        <v>46957.5380316707</v>
      </c>
      <c r="R664" s="15" t="n">
        <f aca="false">Q664-$G$2+$I$2</f>
        <v>40770.2380316707</v>
      </c>
      <c r="S664" s="42" t="n">
        <f aca="false">R664/$K$2</f>
        <v>560.801073337974</v>
      </c>
      <c r="T664" s="43" t="n">
        <f aca="false">S664-$M$2</f>
        <v>0.00327416328377694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0.151869773864746</v>
      </c>
      <c r="C665" s="25" t="n">
        <f aca="false">IF(T664&gt;0,D664,C664)</f>
        <v>0.151871204376221</v>
      </c>
      <c r="D665" s="41" t="n">
        <f aca="false">(B665+C665)/2</f>
        <v>0.151870489120483</v>
      </c>
      <c r="E665" s="15" t="n">
        <f aca="false">$C$2*(1+IF(E$3&lt;=$O$2,$D665,$D665-($D665-$I$643)*MIN(E$3-$O$2,$Q$2)/$Q$2))</f>
        <v>3835.72872877121</v>
      </c>
      <c r="F665" s="15" t="n">
        <f aca="false">E665*(1+IF(F$3&lt;=$O$2,$D665,$D665-($D665-$I$643)*MIN(F$3-$O$2,$Q$2)/$Q$2))</f>
        <v>4418.26272694318</v>
      </c>
      <c r="G665" s="15" t="n">
        <f aca="false">F665*(1+IF(G$3&lt;=$O$2,$D665,$D665-($D665-$I$643)*MIN(G$3-$O$2,$Q$2)/$Q$2))</f>
        <v>5089.26644834685</v>
      </c>
      <c r="H665" s="15" t="n">
        <f aca="false">G665*(1+IF(H$3&lt;=$O$2,$D665,$D665-($D665-$I$643)*MIN(H$3-$O$2,$Q$2)/$Q$2))</f>
        <v>5862.17583312175</v>
      </c>
      <c r="I665" s="15" t="n">
        <f aca="false">H665*(1+IF(I$3&lt;=$O$2,$D665,$D665-($D665-$I$643)*MIN(I$3-$O$2,$Q$2)/$Q$2))</f>
        <v>6752.46734420822</v>
      </c>
      <c r="J665" s="15" t="n">
        <f aca="false">I665*(1+IF(J$3&lt;=$O$2,$D665,$D665-($D665-$I$643)*MIN(J$3-$O$2,$Q$2)/$Q$2))</f>
        <v>7611.08672404444</v>
      </c>
      <c r="K665" s="15" t="n">
        <f aca="false">J665*(1+IF(K$3&lt;=$O$2,$D665,$D665-($D665-$I$643)*MIN(K$3-$O$2,$Q$2)/$Q$2))</f>
        <v>8390.78390387205</v>
      </c>
      <c r="L665" s="15" t="n">
        <f aca="false">K665*(1+IF(L$3&lt;=$O$2,$D665,$D665-($D665-$I$643)*MIN(L$3-$O$2,$Q$2)/$Q$2))</f>
        <v>9042.98439679393</v>
      </c>
      <c r="M665" s="15" t="n">
        <f aca="false">L665*(1+IF(M$3&lt;=$O$2,$D665,$D665-($D665-$I$643)*MIN(M$3-$O$2,$Q$2)/$Q$2))</f>
        <v>9522.39005622734</v>
      </c>
      <c r="N665" s="15" t="n">
        <f aca="false">M665*(1+IF(N$3&lt;=$O$2,$D665,$D665-($D665-$I$643)*MIN(N$3-$O$2,$Q$2)/$Q$2))</f>
        <v>9791.87369481857</v>
      </c>
      <c r="O665" s="15" t="n">
        <f aca="false">SUMPRODUCT(E665:N665,1/(1+$F$643)^$E$3:$N$3)*$E$2</f>
        <v>20965.8654939901</v>
      </c>
      <c r="P665" s="15" t="n">
        <f aca="false">N665*$E$2*(1+$I$643)/($F$643-$I$643)/(1+$F$643)^$N$3</f>
        <v>25991.4942020715</v>
      </c>
      <c r="Q665" s="15" t="n">
        <f aca="false">O665+P665</f>
        <v>46957.3596960617</v>
      </c>
      <c r="R665" s="15" t="n">
        <f aca="false">Q665-$G$2+$I$2</f>
        <v>40770.0596960617</v>
      </c>
      <c r="S665" s="42" t="n">
        <f aca="false">R665/$K$2</f>
        <v>560.798620303462</v>
      </c>
      <c r="T665" s="43" t="n">
        <f aca="false">S665-$M$2</f>
        <v>0.000821128771235635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0.151869773864746</v>
      </c>
      <c r="C666" s="25" t="n">
        <f aca="false">IF(T665&gt;0,D665,C665)</f>
        <v>0.151870489120483</v>
      </c>
      <c r="D666" s="41" t="n">
        <f aca="false">(B666+C666)/2</f>
        <v>0.151870131492615</v>
      </c>
      <c r="E666" s="15" t="n">
        <f aca="false">$C$2*(1+IF(E$3&lt;=$O$2,$D666,$D666-($D666-$I$643)*MIN(E$3-$O$2,$Q$2)/$Q$2))</f>
        <v>3835.72753787041</v>
      </c>
      <c r="F666" s="15" t="n">
        <f aca="false">E666*(1+IF(F$3&lt;=$O$2,$D666,$D666-($D666-$I$643)*MIN(F$3-$O$2,$Q$2)/$Q$2))</f>
        <v>4418.25998341663</v>
      </c>
      <c r="G666" s="15" t="n">
        <f aca="false">F666*(1+IF(G$3&lt;=$O$2,$D666,$D666-($D666-$I$643)*MIN(G$3-$O$2,$Q$2)/$Q$2))</f>
        <v>5089.26170806667</v>
      </c>
      <c r="H666" s="15" t="n">
        <f aca="false">G666*(1+IF(H$3&lt;=$O$2,$D666,$D666-($D666-$I$643)*MIN(H$3-$O$2,$Q$2)/$Q$2))</f>
        <v>5862.16855287109</v>
      </c>
      <c r="I666" s="15" t="n">
        <f aca="false">H666*(1+IF(I$3&lt;=$O$2,$D666,$D666-($D666-$I$643)*MIN(I$3-$O$2,$Q$2)/$Q$2))</f>
        <v>6752.45686182749</v>
      </c>
      <c r="J666" s="15" t="n">
        <f aca="false">I666*(1+IF(J$3&lt;=$O$2,$D666,$D666-($D666-$I$643)*MIN(J$3-$O$2,$Q$2)/$Q$2))</f>
        <v>7611.07297686859</v>
      </c>
      <c r="K666" s="15" t="n">
        <f aca="false">J666*(1+IF(K$3&lt;=$O$2,$D666,$D666-($D666-$I$643)*MIN(K$3-$O$2,$Q$2)/$Q$2))</f>
        <v>8390.7671152449</v>
      </c>
      <c r="L666" s="15" t="n">
        <f aca="false">K666*(1+IF(L$3&lt;=$O$2,$D666,$D666-($D666-$I$643)*MIN(L$3-$O$2,$Q$2)/$Q$2))</f>
        <v>9042.96510290821</v>
      </c>
      <c r="M666" s="15" t="n">
        <f aca="false">L666*(1+IF(M$3&lt;=$O$2,$D666,$D666-($D666-$I$643)*MIN(M$3-$O$2,$Q$2)/$Q$2))</f>
        <v>9522.36909269042</v>
      </c>
      <c r="N666" s="15" t="n">
        <f aca="false">M666*(1+IF(N$3&lt;=$O$2,$D666,$D666-($D666-$I$643)*MIN(N$3-$O$2,$Q$2)/$Q$2))</f>
        <v>9791.85213801355</v>
      </c>
      <c r="O666" s="15" t="n">
        <f aca="false">SUMPRODUCT(E666:N666,1/(1+$F$643)^$E$3:$N$3)*$E$2</f>
        <v>20965.8335466842</v>
      </c>
      <c r="P666" s="15" t="n">
        <f aca="false">N666*$E$2*(1+$I$643)/($F$643-$I$643)/(1+$F$643)^$N$3</f>
        <v>25991.4369818101</v>
      </c>
      <c r="Q666" s="15" t="n">
        <f aca="false">O666+P666</f>
        <v>46957.2705284944</v>
      </c>
      <c r="R666" s="15" t="n">
        <f aca="false">Q666-$G$2+$I$2</f>
        <v>40769.9705284944</v>
      </c>
      <c r="S666" s="42" t="n">
        <f aca="false">R666/$K$2</f>
        <v>560.797393789468</v>
      </c>
      <c r="T666" s="43" t="n">
        <f aca="false">S666-$M$2</f>
        <v>-0.000405385222165933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0.151870131492615</v>
      </c>
      <c r="C667" s="25" t="n">
        <f aca="false">IF(T666&gt;0,D666,C666)</f>
        <v>0.151870489120483</v>
      </c>
      <c r="D667" s="41" t="n">
        <f aca="false">(B667+C667)/2</f>
        <v>0.151870310306549</v>
      </c>
      <c r="E667" s="15" t="n">
        <f aca="false">$C$2*(1+IF(E$3&lt;=$O$2,$D667,$D667-($D667-$I$643)*MIN(E$3-$O$2,$Q$2)/$Q$2))</f>
        <v>3835.72813332081</v>
      </c>
      <c r="F667" s="15" t="n">
        <f aca="false">E667*(1+IF(F$3&lt;=$O$2,$D667,$D667-($D667-$I$643)*MIN(F$3-$O$2,$Q$2)/$Q$2))</f>
        <v>4418.2613551798</v>
      </c>
      <c r="G667" s="15" t="n">
        <f aca="false">F667*(1+IF(G$3&lt;=$O$2,$D667,$D667-($D667-$I$643)*MIN(G$3-$O$2,$Q$2)/$Q$2))</f>
        <v>5089.26407820639</v>
      </c>
      <c r="H667" s="15" t="n">
        <f aca="false">G667*(1+IF(H$3&lt;=$O$2,$D667,$D667-($D667-$I$643)*MIN(H$3-$O$2,$Q$2)/$Q$2))</f>
        <v>5862.17219299557</v>
      </c>
      <c r="I667" s="15" t="n">
        <f aca="false">H667*(1+IF(I$3&lt;=$O$2,$D667,$D667-($D667-$I$643)*MIN(I$3-$O$2,$Q$2)/$Q$2))</f>
        <v>6752.46210301623</v>
      </c>
      <c r="J667" s="15" t="n">
        <f aca="false">I667*(1+IF(J$3&lt;=$O$2,$D667,$D667-($D667-$I$643)*MIN(J$3-$O$2,$Q$2)/$Q$2))</f>
        <v>7611.07985045393</v>
      </c>
      <c r="K667" s="15" t="n">
        <f aca="false">J667*(1+IF(K$3&lt;=$O$2,$D667,$D667-($D667-$I$643)*MIN(K$3-$O$2,$Q$2)/$Q$2))</f>
        <v>8390.77550955489</v>
      </c>
      <c r="L667" s="15" t="n">
        <f aca="false">K667*(1+IF(L$3&lt;=$O$2,$D667,$D667-($D667-$I$643)*MIN(L$3-$O$2,$Q$2)/$Q$2))</f>
        <v>9042.9747498466</v>
      </c>
      <c r="M667" s="15" t="n">
        <f aca="false">L667*(1+IF(M$3&lt;=$O$2,$D667,$D667-($D667-$I$643)*MIN(M$3-$O$2,$Q$2)/$Q$2))</f>
        <v>9522.37957445383</v>
      </c>
      <c r="N667" s="15" t="n">
        <f aca="false">M667*(1+IF(N$3&lt;=$O$2,$D667,$D667-($D667-$I$643)*MIN(N$3-$O$2,$Q$2)/$Q$2))</f>
        <v>9791.86291641087</v>
      </c>
      <c r="O667" s="15" t="n">
        <f aca="false">SUMPRODUCT(E667:N667,1/(1+$F$643)^$E$3:$N$3)*$E$2</f>
        <v>20965.8495203312</v>
      </c>
      <c r="P667" s="15" t="n">
        <f aca="false">N667*$E$2*(1+$I$643)/($F$643-$I$643)/(1+$F$643)^$N$3</f>
        <v>25991.465591927</v>
      </c>
      <c r="Q667" s="15" t="n">
        <f aca="false">O667+P667</f>
        <v>46957.3151122582</v>
      </c>
      <c r="R667" s="15" t="n">
        <f aca="false">Q667-$G$2+$I$2</f>
        <v>40770.0151122582</v>
      </c>
      <c r="S667" s="42" t="n">
        <f aca="false">R667/$K$2</f>
        <v>560.798007046193</v>
      </c>
      <c r="T667" s="43" t="n">
        <f aca="false">S667-$M$2</f>
        <v>0.000207871502539092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0.151870131492615</v>
      </c>
      <c r="C668" s="25" t="n">
        <f aca="false">IF(T667&gt;0,D667,C667)</f>
        <v>0.151870310306549</v>
      </c>
      <c r="D668" s="41" t="n">
        <f aca="false">(B668+C668)/2</f>
        <v>0.151870220899582</v>
      </c>
      <c r="E668" s="15" t="n">
        <f aca="false">$C$2*(1+IF(E$3&lt;=$O$2,$D668,$D668-($D668-$I$643)*MIN(E$3-$O$2,$Q$2)/$Q$2))</f>
        <v>3835.72783559561</v>
      </c>
      <c r="F668" s="15" t="n">
        <f aca="false">E668*(1+IF(F$3&lt;=$O$2,$D668,$D668-($D668-$I$643)*MIN(F$3-$O$2,$Q$2)/$Q$2))</f>
        <v>4418.26066929819</v>
      </c>
      <c r="G668" s="15" t="n">
        <f aca="false">F668*(1+IF(G$3&lt;=$O$2,$D668,$D668-($D668-$I$643)*MIN(G$3-$O$2,$Q$2)/$Q$2))</f>
        <v>5089.26289313644</v>
      </c>
      <c r="H668" s="15" t="n">
        <f aca="false">G668*(1+IF(H$3&lt;=$O$2,$D668,$D668-($D668-$I$643)*MIN(H$3-$O$2,$Q$2)/$Q$2))</f>
        <v>5862.17037293312</v>
      </c>
      <c r="I668" s="15" t="n">
        <f aca="false">H668*(1+IF(I$3&lt;=$O$2,$D668,$D668-($D668-$I$643)*MIN(I$3-$O$2,$Q$2)/$Q$2))</f>
        <v>6752.45948242145</v>
      </c>
      <c r="J668" s="15" t="n">
        <f aca="false">I668*(1+IF(J$3&lt;=$O$2,$D668,$D668-($D668-$I$643)*MIN(J$3-$O$2,$Q$2)/$Q$2))</f>
        <v>7611.07641366062</v>
      </c>
      <c r="K668" s="15" t="n">
        <f aca="false">J668*(1+IF(K$3&lt;=$O$2,$D668,$D668-($D668-$I$643)*MIN(K$3-$O$2,$Q$2)/$Q$2))</f>
        <v>8390.77131239899</v>
      </c>
      <c r="L668" s="15" t="n">
        <f aca="false">K668*(1+IF(L$3&lt;=$O$2,$D668,$D668-($D668-$I$643)*MIN(L$3-$O$2,$Q$2)/$Q$2))</f>
        <v>9042.96992637629</v>
      </c>
      <c r="M668" s="15" t="n">
        <f aca="false">L668*(1+IF(M$3&lt;=$O$2,$D668,$D668-($D668-$I$643)*MIN(M$3-$O$2,$Q$2)/$Q$2))</f>
        <v>9522.37433357086</v>
      </c>
      <c r="N668" s="15" t="n">
        <f aca="false">M668*(1+IF(N$3&lt;=$O$2,$D668,$D668-($D668-$I$643)*MIN(N$3-$O$2,$Q$2)/$Q$2))</f>
        <v>9791.85752721092</v>
      </c>
      <c r="O668" s="15" t="n">
        <f aca="false">SUMPRODUCT(E668:N668,1/(1+$F$643)^$E$3:$N$3)*$E$2</f>
        <v>20965.8415335062</v>
      </c>
      <c r="P668" s="15" t="n">
        <f aca="false">N668*$E$2*(1+$I$643)/($F$643-$I$643)/(1+$F$643)^$N$3</f>
        <v>25991.4512868651</v>
      </c>
      <c r="Q668" s="15" t="n">
        <f aca="false">O668+P668</f>
        <v>46957.2928203713</v>
      </c>
      <c r="R668" s="15" t="n">
        <f aca="false">Q668-$G$2+$I$2</f>
        <v>40769.9928203713</v>
      </c>
      <c r="S668" s="42" t="n">
        <f aca="false">R668/$K$2</f>
        <v>560.797700417763</v>
      </c>
      <c r="T668" s="43" t="n">
        <f aca="false">S668-$M$2</f>
        <v>-9.87569279686795E-005</v>
      </c>
    </row>
    <row r="670" customFormat="false" ht="15" hidden="false" customHeight="false" outlineLevel="0" collapsed="false">
      <c r="A670" s="38" t="s">
        <v>205</v>
      </c>
      <c r="E670" s="5" t="s">
        <v>11</v>
      </c>
      <c r="F670" s="12" t="n">
        <f aca="false">Sensitivity!$B$14</f>
        <v>0.105330622875929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162</v>
      </c>
      <c r="B671" s="28" t="s">
        <v>163</v>
      </c>
      <c r="C671" s="28" t="s">
        <v>164</v>
      </c>
      <c r="D671" s="28" t="s">
        <v>165</v>
      </c>
      <c r="E671" s="28" t="s">
        <v>166</v>
      </c>
      <c r="F671" s="28" t="s">
        <v>167</v>
      </c>
      <c r="G671" s="28" t="s">
        <v>168</v>
      </c>
      <c r="H671" s="28" t="s">
        <v>169</v>
      </c>
      <c r="I671" s="28" t="s">
        <v>170</v>
      </c>
      <c r="J671" s="28" t="s">
        <v>171</v>
      </c>
      <c r="K671" s="28" t="s">
        <v>172</v>
      </c>
      <c r="L671" s="28" t="s">
        <v>173</v>
      </c>
      <c r="M671" s="28" t="s">
        <v>174</v>
      </c>
      <c r="N671" s="28" t="s">
        <v>175</v>
      </c>
      <c r="O671" s="28" t="s">
        <v>176</v>
      </c>
      <c r="P671" s="28" t="s">
        <v>177</v>
      </c>
      <c r="Q671" s="28" t="s">
        <v>178</v>
      </c>
      <c r="R671" s="28" t="s">
        <v>179</v>
      </c>
      <c r="S671" s="28" t="s">
        <v>180</v>
      </c>
      <c r="T671" s="28" t="s">
        <v>181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4162.5</v>
      </c>
      <c r="F672" s="15" t="n">
        <f aca="false">E672*(1+IF(F$3&lt;=$O$2,$D672,$D672-($D672-$I$670)*MIN(F$3-$O$2,$Q$2)/$Q$2))</f>
        <v>5203.125</v>
      </c>
      <c r="G672" s="15" t="n">
        <f aca="false">F672*(1+IF(G$3&lt;=$O$2,$D672,$D672-($D672-$I$670)*MIN(G$3-$O$2,$Q$2)/$Q$2))</f>
        <v>6503.90625</v>
      </c>
      <c r="H672" s="15" t="n">
        <f aca="false">G672*(1+IF(H$3&lt;=$O$2,$D672,$D672-($D672-$I$670)*MIN(H$3-$O$2,$Q$2)/$Q$2))</f>
        <v>8129.8828125</v>
      </c>
      <c r="I672" s="15" t="n">
        <f aca="false">H672*(1+IF(I$3&lt;=$O$2,$D672,$D672-($D672-$I$670)*MIN(I$3-$O$2,$Q$2)/$Q$2))</f>
        <v>10162.353515625</v>
      </c>
      <c r="J672" s="15" t="n">
        <f aca="false">I672*(1+IF(J$3&lt;=$O$2,$D672,$D672-($D672-$I$670)*MIN(J$3-$O$2,$Q$2)/$Q$2))</f>
        <v>12262.5054931641</v>
      </c>
      <c r="K672" s="15" t="n">
        <f aca="false">J672*(1+IF(K$3&lt;=$O$2,$D672,$D672-($D672-$I$670)*MIN(K$3-$O$2,$Q$2)/$Q$2))</f>
        <v>14265.2178903076</v>
      </c>
      <c r="L672" s="15" t="n">
        <f aca="false">K672*(1+IF(L$3&lt;=$O$2,$D672,$D672-($D672-$I$670)*MIN(L$3-$O$2,$Q$2)/$Q$2))</f>
        <v>15976.7587327867</v>
      </c>
      <c r="M672" s="15" t="n">
        <f aca="false">L672*(1+IF(M$3&lt;=$O$2,$D672,$D672-($D672-$I$670)*MIN(M$3-$O$2,$Q$2)/$Q$2))</f>
        <v>17201.2175220675</v>
      </c>
      <c r="N672" s="15" t="n">
        <f aca="false">M672*(1+IF(N$3&lt;=$O$2,$D672,$D672-($D672-$I$670)*MIN(N$3-$O$2,$Q$2)/$Q$2))</f>
        <v>17774.0180655523</v>
      </c>
      <c r="O672" s="15" t="n">
        <f aca="false">SUMPRODUCT(E672:N672,1/(1+$F$670)^$E$3:$N$3)*$E$2</f>
        <v>31899.0482680711</v>
      </c>
      <c r="P672" s="15" t="n">
        <f aca="false">N672*$E$2*(1+$I$670)/($F$670-$I$670)/(1+$F$670)^$N$3</f>
        <v>50699.5254411613</v>
      </c>
      <c r="Q672" s="15" t="n">
        <f aca="false">O672+P672</f>
        <v>82598.5737092324</v>
      </c>
      <c r="R672" s="15" t="n">
        <f aca="false">Q672-$G$2+$I$2</f>
        <v>76411.2737092324</v>
      </c>
      <c r="S672" s="42" t="n">
        <f aca="false">R672/$K$2</f>
        <v>1051.0491569358</v>
      </c>
      <c r="T672" s="43" t="n">
        <f aca="false">S672-$M$2</f>
        <v>490.251357761106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2913.75</v>
      </c>
      <c r="F673" s="15" t="n">
        <f aca="false">E673*(1+IF(F$3&lt;=$O$2,$D673,$D673-($D673-$I$670)*MIN(F$3-$O$2,$Q$2)/$Q$2))</f>
        <v>2549.53125</v>
      </c>
      <c r="G673" s="15" t="n">
        <f aca="false">F673*(1+IF(G$3&lt;=$O$2,$D673,$D673-($D673-$I$670)*MIN(G$3-$O$2,$Q$2)/$Q$2))</f>
        <v>2230.83984375</v>
      </c>
      <c r="H673" s="15" t="n">
        <f aca="false">G673*(1+IF(H$3&lt;=$O$2,$D673,$D673-($D673-$I$670)*MIN(H$3-$O$2,$Q$2)/$Q$2))</f>
        <v>1951.98486328125</v>
      </c>
      <c r="I673" s="15" t="n">
        <f aca="false">H673*(1+IF(I$3&lt;=$O$2,$D673,$D673-($D673-$I$670)*MIN(I$3-$O$2,$Q$2)/$Q$2))</f>
        <v>1707.98675537109</v>
      </c>
      <c r="J673" s="15" t="n">
        <f aca="false">I673*(1+IF(J$3&lt;=$O$2,$D673,$D673-($D673-$I$670)*MIN(J$3-$O$2,$Q$2)/$Q$2))</f>
        <v>1548.56327162476</v>
      </c>
      <c r="K673" s="15" t="n">
        <f aca="false">J673*(1+IF(K$3&lt;=$O$2,$D673,$D673-($D673-$I$670)*MIN(K$3-$O$2,$Q$2)/$Q$2))</f>
        <v>1453.04788903094</v>
      </c>
      <c r="L673" s="15" t="n">
        <f aca="false">K673*(1+IF(L$3&lt;=$O$2,$D673,$D673-($D673-$I$670)*MIN(L$3-$O$2,$Q$2)/$Q$2))</f>
        <v>1409.42739140223</v>
      </c>
      <c r="M673" s="15" t="n">
        <f aca="false">L673*(1+IF(M$3&lt;=$O$2,$D673,$D673-($D673-$I$670)*MIN(M$3-$O$2,$Q$2)/$Q$2))</f>
        <v>1411.73885232413</v>
      </c>
      <c r="N673" s="15" t="n">
        <f aca="false">M673*(1+IF(N$3&lt;=$O$2,$D673,$D673-($D673-$I$670)*MIN(N$3-$O$2,$Q$2)/$Q$2))</f>
        <v>1458.74975610653</v>
      </c>
      <c r="O673" s="15" t="n">
        <f aca="false">SUMPRODUCT(E673:N673,1/(1+$F$670)^$E$3:$N$3)*$E$2</f>
        <v>6511.3644963088</v>
      </c>
      <c r="P673" s="15" t="n">
        <f aca="false">N673*$E$2*(1+$I$670)/($F$670-$I$670)/(1+$F$670)^$N$3</f>
        <v>4161.01300782111</v>
      </c>
      <c r="Q673" s="15" t="n">
        <f aca="false">O673+P673</f>
        <v>10672.3775041299</v>
      </c>
      <c r="R673" s="15" t="n">
        <f aca="false">Q673-$G$2+$I$2</f>
        <v>4485.07750412991</v>
      </c>
      <c r="S673" s="42" t="n">
        <f aca="false">R673/$K$2</f>
        <v>61.6929505382381</v>
      </c>
      <c r="T673" s="43" t="n">
        <f aca="false">S673-$M$2</f>
        <v>-499.104848636452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3538.125</v>
      </c>
      <c r="F674" s="15" t="n">
        <f aca="false">E674*(1+IF(F$3&lt;=$O$2,$D674,$D674-($D674-$I$670)*MIN(F$3-$O$2,$Q$2)/$Q$2))</f>
        <v>3759.2578125</v>
      </c>
      <c r="G674" s="15" t="n">
        <f aca="false">F674*(1+IF(G$3&lt;=$O$2,$D674,$D674-($D674-$I$670)*MIN(G$3-$O$2,$Q$2)/$Q$2))</f>
        <v>3994.21142578125</v>
      </c>
      <c r="H674" s="15" t="n">
        <f aca="false">G674*(1+IF(H$3&lt;=$O$2,$D674,$D674-($D674-$I$670)*MIN(H$3-$O$2,$Q$2)/$Q$2))</f>
        <v>4243.84963989258</v>
      </c>
      <c r="I674" s="15" t="n">
        <f aca="false">H674*(1+IF(I$3&lt;=$O$2,$D674,$D674-($D674-$I$670)*MIN(I$3-$O$2,$Q$2)/$Q$2))</f>
        <v>4509.09024238586</v>
      </c>
      <c r="J674" s="15" t="n">
        <f aca="false">I674*(1+IF(J$3&lt;=$O$2,$D674,$D674-($D674-$I$670)*MIN(J$3-$O$2,$Q$2)/$Q$2))</f>
        <v>4764.57529551945</v>
      </c>
      <c r="K674" s="15" t="n">
        <f aca="false">J674*(1+IF(K$3&lt;=$O$2,$D674,$D674-($D674-$I$670)*MIN(K$3-$O$2,$Q$2)/$Q$2))</f>
        <v>5006.71101203775</v>
      </c>
      <c r="L674" s="15" t="n">
        <f aca="false">K674*(1+IF(L$3&lt;=$O$2,$D674,$D674-($D674-$I$670)*MIN(L$3-$O$2,$Q$2)/$Q$2))</f>
        <v>5231.9128733592</v>
      </c>
      <c r="M674" s="15" t="n">
        <f aca="false">L674*(1+IF(M$3&lt;=$O$2,$D674,$D674-($D674-$I$670)*MIN(M$3-$O$2,$Q$2)/$Q$2))</f>
        <v>5436.68994322248</v>
      </c>
      <c r="N674" s="15" t="n">
        <f aca="false">M674*(1+IF(N$3&lt;=$O$2,$D674,$D674-($D674-$I$670)*MIN(N$3-$O$2,$Q$2)/$Q$2))</f>
        <v>5617.73171833179</v>
      </c>
      <c r="O674" s="15" t="n">
        <f aca="false">SUMPRODUCT(E674:N674,1/(1+$F$670)^$E$3:$N$3)*$E$2</f>
        <v>14358.980541627</v>
      </c>
      <c r="P674" s="15" t="n">
        <f aca="false">N674*$E$2*(1+$I$670)/($F$670-$I$670)/(1+$F$670)^$N$3</f>
        <v>16024.3075665137</v>
      </c>
      <c r="Q674" s="15" t="n">
        <f aca="false">O674+P674</f>
        <v>30383.2881081407</v>
      </c>
      <c r="R674" s="15" t="n">
        <f aca="false">Q674-$G$2+$I$2</f>
        <v>24195.9881081407</v>
      </c>
      <c r="S674" s="42" t="n">
        <f aca="false">R674/$K$2</f>
        <v>332.81964385338</v>
      </c>
      <c r="T674" s="43" t="n">
        <f aca="false">S674-$M$2</f>
        <v>-227.978155321311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3850.3125</v>
      </c>
      <c r="F675" s="15" t="n">
        <f aca="false">E675*(1+IF(F$3&lt;=$O$2,$D675,$D675-($D675-$I$670)*MIN(F$3-$O$2,$Q$2)/$Q$2))</f>
        <v>4451.923828125</v>
      </c>
      <c r="G675" s="15" t="n">
        <f aca="false">F675*(1+IF(G$3&lt;=$O$2,$D675,$D675-($D675-$I$670)*MIN(G$3-$O$2,$Q$2)/$Q$2))</f>
        <v>5147.53692626953</v>
      </c>
      <c r="H675" s="15" t="n">
        <f aca="false">G675*(1+IF(H$3&lt;=$O$2,$D675,$D675-($D675-$I$670)*MIN(H$3-$O$2,$Q$2)/$Q$2))</f>
        <v>5951.83957099915</v>
      </c>
      <c r="I675" s="15" t="n">
        <f aca="false">H675*(1+IF(I$3&lt;=$O$2,$D675,$D675-($D675-$I$670)*MIN(I$3-$O$2,$Q$2)/$Q$2))</f>
        <v>6881.81450396776</v>
      </c>
      <c r="J675" s="15" t="n">
        <f aca="false">I675*(1+IF(J$3&lt;=$O$2,$D675,$D675-($D675-$I$670)*MIN(J$3-$O$2,$Q$2)/$Q$2))</f>
        <v>7787.87420156016</v>
      </c>
      <c r="K675" s="15" t="n">
        <f aca="false">J675*(1+IF(K$3&lt;=$O$2,$D675,$D675-($D675-$I$670)*MIN(K$3-$O$2,$Q$2)/$Q$2))</f>
        <v>8621.7218923212</v>
      </c>
      <c r="L675" s="15" t="n">
        <f aca="false">K675*(1+IF(L$3&lt;=$O$2,$D675,$D675-($D675-$I$670)*MIN(L$3-$O$2,$Q$2)/$Q$2))</f>
        <v>9332.84151399986</v>
      </c>
      <c r="M675" s="15" t="n">
        <f aca="false">L675*(1+IF(M$3&lt;=$O$2,$D675,$D675-($D675-$I$670)*MIN(M$3-$O$2,$Q$2)/$Q$2))</f>
        <v>9873.11970924531</v>
      </c>
      <c r="N675" s="15" t="n">
        <f aca="false">M675*(1+IF(N$3&lt;=$O$2,$D675,$D675-($D675-$I$670)*MIN(N$3-$O$2,$Q$2)/$Q$2))</f>
        <v>10201.8945955632</v>
      </c>
      <c r="O675" s="15" t="n">
        <f aca="false">SUMPRODUCT(E675:N675,1/(1+$F$670)^$E$3:$N$3)*$E$2</f>
        <v>21429.7439718776</v>
      </c>
      <c r="P675" s="15" t="n">
        <f aca="false">N675*$E$2*(1+$I$670)/($F$670-$I$670)/(1+$F$670)^$N$3</f>
        <v>29100.4100866895</v>
      </c>
      <c r="Q675" s="15" t="n">
        <f aca="false">O675+P675</f>
        <v>50530.1540585672</v>
      </c>
      <c r="R675" s="15" t="n">
        <f aca="false">Q675-$G$2+$I$2</f>
        <v>44342.8540585671</v>
      </c>
      <c r="S675" s="42" t="n">
        <f aca="false">R675/$K$2</f>
        <v>609.942971919768</v>
      </c>
      <c r="T675" s="43" t="n">
        <f aca="false">S675-$M$2</f>
        <v>49.1451727450776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3694.21875</v>
      </c>
      <c r="F676" s="15" t="n">
        <f aca="false">E676*(1+IF(F$3&lt;=$O$2,$D676,$D676-($D676-$I$670)*MIN(F$3-$O$2,$Q$2)/$Q$2))</f>
        <v>4098.27392578125</v>
      </c>
      <c r="G676" s="15" t="n">
        <f aca="false">F676*(1+IF(G$3&lt;=$O$2,$D676,$D676-($D676-$I$670)*MIN(G$3-$O$2,$Q$2)/$Q$2))</f>
        <v>4546.52263641357</v>
      </c>
      <c r="H676" s="15" t="n">
        <f aca="false">G676*(1+IF(H$3&lt;=$O$2,$D676,$D676-($D676-$I$670)*MIN(H$3-$O$2,$Q$2)/$Q$2))</f>
        <v>5043.79854977131</v>
      </c>
      <c r="I676" s="15" t="n">
        <f aca="false">H676*(1+IF(I$3&lt;=$O$2,$D676,$D676-($D676-$I$670)*MIN(I$3-$O$2,$Q$2)/$Q$2))</f>
        <v>5595.46401615255</v>
      </c>
      <c r="J676" s="15" t="n">
        <f aca="false">I676*(1+IF(J$3&lt;=$O$2,$D676,$D676-($D676-$I$670)*MIN(J$3-$O$2,$Q$2)/$Q$2))</f>
        <v>6122.33290791347</v>
      </c>
      <c r="K676" s="15" t="n">
        <f aca="false">J676*(1+IF(K$3&lt;=$O$2,$D676,$D676-($D676-$I$670)*MIN(K$3-$O$2,$Q$2)/$Q$2))</f>
        <v>6605.6604793287</v>
      </c>
      <c r="L676" s="15" t="n">
        <f aca="false">K676*(1+IF(L$3&lt;=$O$2,$D676,$D676-($D676-$I$670)*MIN(L$3-$O$2,$Q$2)/$Q$2))</f>
        <v>7026.63922167632</v>
      </c>
      <c r="M676" s="15" t="n">
        <f aca="false">L676*(1+IF(M$3&lt;=$O$2,$D676,$D676-($D676-$I$670)*MIN(M$3-$O$2,$Q$2)/$Q$2))</f>
        <v>7367.53662351594</v>
      </c>
      <c r="N676" s="15" t="n">
        <f aca="false">M676*(1+IF(N$3&lt;=$O$2,$D676,$D676-($D676-$I$670)*MIN(N$3-$O$2,$Q$2)/$Q$2))</f>
        <v>7612.87559307903</v>
      </c>
      <c r="O676" s="15" t="n">
        <f aca="false">SUMPRODUCT(E676:N676,1/(1+$F$670)^$E$3:$N$3)*$E$2</f>
        <v>17542.9469402409</v>
      </c>
      <c r="P676" s="15" t="n">
        <f aca="false">N676*$E$2*(1+$I$670)/($F$670-$I$670)/(1+$F$670)^$N$3</f>
        <v>21715.3588112836</v>
      </c>
      <c r="Q676" s="15" t="n">
        <f aca="false">O676+P676</f>
        <v>39258.3057515245</v>
      </c>
      <c r="R676" s="15" t="n">
        <f aca="false">Q676-$G$2+$I$2</f>
        <v>33071.0057515245</v>
      </c>
      <c r="S676" s="42" t="n">
        <f aca="false">R676/$K$2</f>
        <v>454.896915426747</v>
      </c>
      <c r="T676" s="43" t="n">
        <f aca="false">S676-$M$2</f>
        <v>-105.900883747944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0.109375</v>
      </c>
      <c r="C677" s="25" t="n">
        <f aca="false">IF(T676&gt;0,D676,C676)</f>
        <v>0.15625</v>
      </c>
      <c r="D677" s="41" t="n">
        <f aca="false">(B677+C677)/2</f>
        <v>0.1328125</v>
      </c>
      <c r="E677" s="15" t="n">
        <f aca="false">$C$2*(1+IF(E$3&lt;=$O$2,$D677,$D677-($D677-$I$670)*MIN(E$3-$O$2,$Q$2)/$Q$2))</f>
        <v>3772.265625</v>
      </c>
      <c r="F677" s="15" t="n">
        <f aca="false">E677*(1+IF(F$3&lt;=$O$2,$D677,$D677-($D677-$I$670)*MIN(F$3-$O$2,$Q$2)/$Q$2))</f>
        <v>4273.26965332031</v>
      </c>
      <c r="G677" s="15" t="n">
        <f aca="false">F677*(1+IF(G$3&lt;=$O$2,$D677,$D677-($D677-$I$670)*MIN(G$3-$O$2,$Q$2)/$Q$2))</f>
        <v>4840.81327915192</v>
      </c>
      <c r="H677" s="15" t="n">
        <f aca="false">G677*(1+IF(H$3&lt;=$O$2,$D677,$D677-($D677-$I$670)*MIN(H$3-$O$2,$Q$2)/$Q$2))</f>
        <v>5483.73379278928</v>
      </c>
      <c r="I677" s="15" t="n">
        <f aca="false">H677*(1+IF(I$3&lt;=$O$2,$D677,$D677-($D677-$I$670)*MIN(I$3-$O$2,$Q$2)/$Q$2))</f>
        <v>6212.04218714411</v>
      </c>
      <c r="J677" s="15" t="n">
        <f aca="false">I677*(1+IF(J$3&lt;=$O$2,$D677,$D677-($D677-$I$670)*MIN(J$3-$O$2,$Q$2)/$Q$2))</f>
        <v>6913.44387049455</v>
      </c>
      <c r="K677" s="15" t="n">
        <f aca="false">J677*(1+IF(K$3&lt;=$O$2,$D677,$D677-($D677-$I$670)*MIN(K$3-$O$2,$Q$2)/$Q$2))</f>
        <v>7556.44600127957</v>
      </c>
      <c r="L677" s="15" t="n">
        <f aca="false">K677*(1+IF(L$3&lt;=$O$2,$D677,$D677-($D677-$I$670)*MIN(L$3-$O$2,$Q$2)/$Q$2))</f>
        <v>8108.85998620311</v>
      </c>
      <c r="M677" s="15" t="n">
        <f aca="false">L677*(1+IF(M$3&lt;=$O$2,$D677,$D677-($D677-$I$670)*MIN(M$3-$O$2,$Q$2)/$Q$2))</f>
        <v>8540.27160961908</v>
      </c>
      <c r="N677" s="15" t="n">
        <f aca="false">M677*(1+IF(N$3&lt;=$O$2,$D677,$D677-($D677-$I$670)*MIN(N$3-$O$2,$Q$2)/$Q$2))</f>
        <v>8824.6626542194</v>
      </c>
      <c r="O677" s="15" t="n">
        <f aca="false">SUMPRODUCT(E677:N677,1/(1+$F$670)^$E$3:$N$3)*$E$2</f>
        <v>19390.2094756239</v>
      </c>
      <c r="P677" s="15" t="n">
        <f aca="false">N677*$E$2*(1+$I$670)/($F$670-$I$670)/(1+$F$670)^$N$3</f>
        <v>25171.9226962178</v>
      </c>
      <c r="Q677" s="15" t="n">
        <f aca="false">O677+P677</f>
        <v>44562.1321718418</v>
      </c>
      <c r="R677" s="15" t="n">
        <f aca="false">Q677-$G$2+$I$2</f>
        <v>38374.8321718418</v>
      </c>
      <c r="S677" s="42" t="n">
        <f aca="false">R677/$K$2</f>
        <v>527.851886820382</v>
      </c>
      <c r="T677" s="43" t="n">
        <f aca="false">S677-$M$2</f>
        <v>-32.9459123543088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0.1328125</v>
      </c>
      <c r="C678" s="25" t="n">
        <f aca="false">IF(T677&gt;0,D677,C677)</f>
        <v>0.15625</v>
      </c>
      <c r="D678" s="41" t="n">
        <f aca="false">(B678+C678)/2</f>
        <v>0.14453125</v>
      </c>
      <c r="E678" s="15" t="n">
        <f aca="false">$C$2*(1+IF(E$3&lt;=$O$2,$D678,$D678-($D678-$I$670)*MIN(E$3-$O$2,$Q$2)/$Q$2))</f>
        <v>3811.2890625</v>
      </c>
      <c r="F678" s="15" t="n">
        <f aca="false">E678*(1+IF(F$3&lt;=$O$2,$D678,$D678-($D678-$I$670)*MIN(F$3-$O$2,$Q$2)/$Q$2))</f>
        <v>4362.13943481445</v>
      </c>
      <c r="G678" s="15" t="n">
        <f aca="false">F678*(1+IF(G$3&lt;=$O$2,$D678,$D678-($D678-$I$670)*MIN(G$3-$O$2,$Q$2)/$Q$2))</f>
        <v>4992.60490000248</v>
      </c>
      <c r="H678" s="15" t="n">
        <f aca="false">G678*(1+IF(H$3&lt;=$O$2,$D678,$D678-($D678-$I$670)*MIN(H$3-$O$2,$Q$2)/$Q$2))</f>
        <v>5714.19232695596</v>
      </c>
      <c r="I678" s="15" t="n">
        <f aca="false">H678*(1+IF(I$3&lt;=$O$2,$D678,$D678-($D678-$I$670)*MIN(I$3-$O$2,$Q$2)/$Q$2))</f>
        <v>6540.07168671132</v>
      </c>
      <c r="J678" s="15" t="n">
        <f aca="false">I678*(1+IF(J$3&lt;=$O$2,$D678,$D678-($D678-$I$670)*MIN(J$3-$O$2,$Q$2)/$Q$2))</f>
        <v>7339.82435292081</v>
      </c>
      <c r="K678" s="15" t="n">
        <f aca="false">J678*(1+IF(K$3&lt;=$O$2,$D678,$D678-($D678-$I$670)*MIN(K$3-$O$2,$Q$2)/$Q$2))</f>
        <v>8074.09120640657</v>
      </c>
      <c r="L678" s="15" t="n">
        <f aca="false">K678*(1+IF(L$3&lt;=$O$2,$D678,$D678-($D678-$I$670)*MIN(L$3-$O$2,$Q$2)/$Q$2))</f>
        <v>8702.19494658095</v>
      </c>
      <c r="M678" s="15" t="n">
        <f aca="false">L678*(1+IF(M$3&lt;=$O$2,$D678,$D678-($D678-$I$670)*MIN(M$3-$O$2,$Q$2)/$Q$2))</f>
        <v>9185.56924263247</v>
      </c>
      <c r="N678" s="15" t="n">
        <f aca="false">M678*(1+IF(N$3&lt;=$O$2,$D678,$D678-($D678-$I$670)*MIN(N$3-$O$2,$Q$2)/$Q$2))</f>
        <v>9491.44869841213</v>
      </c>
      <c r="O678" s="15" t="n">
        <f aca="false">SUMPRODUCT(E678:N678,1/(1+$F$670)^$E$3:$N$3)*$E$2</f>
        <v>20384.8338705003</v>
      </c>
      <c r="P678" s="15" t="n">
        <f aca="false">N678*$E$2*(1+$I$670)/($F$670-$I$670)/(1+$F$670)^$N$3</f>
        <v>27073.8975837577</v>
      </c>
      <c r="Q678" s="15" t="n">
        <f aca="false">O678+P678</f>
        <v>47458.731454258</v>
      </c>
      <c r="R678" s="15" t="n">
        <f aca="false">Q678-$G$2+$I$2</f>
        <v>41271.431454258</v>
      </c>
      <c r="S678" s="42" t="n">
        <f aca="false">R678/$K$2</f>
        <v>567.695068146602</v>
      </c>
      <c r="T678" s="43" t="n">
        <f aca="false">S678-$M$2</f>
        <v>6.89726897191156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0.1328125</v>
      </c>
      <c r="C679" s="25" t="n">
        <f aca="false">IF(T678&gt;0,D678,C678)</f>
        <v>0.14453125</v>
      </c>
      <c r="D679" s="41" t="n">
        <f aca="false">(B679+C679)/2</f>
        <v>0.138671875</v>
      </c>
      <c r="E679" s="15" t="n">
        <f aca="false">$C$2*(1+IF(E$3&lt;=$O$2,$D679,$D679-($D679-$I$670)*MIN(E$3-$O$2,$Q$2)/$Q$2))</f>
        <v>3791.77734375</v>
      </c>
      <c r="F679" s="15" t="n">
        <f aca="false">E679*(1+IF(F$3&lt;=$O$2,$D679,$D679-($D679-$I$670)*MIN(F$3-$O$2,$Q$2)/$Q$2))</f>
        <v>4317.59021759033</v>
      </c>
      <c r="G679" s="15" t="n">
        <f aca="false">F679*(1+IF(G$3&lt;=$O$2,$D679,$D679-($D679-$I$670)*MIN(G$3-$O$2,$Q$2)/$Q$2))</f>
        <v>4916.31854854524</v>
      </c>
      <c r="H679" s="15" t="n">
        <f aca="false">G679*(1+IF(H$3&lt;=$O$2,$D679,$D679-($D679-$I$670)*MIN(H$3-$O$2,$Q$2)/$Q$2))</f>
        <v>5598.07365976929</v>
      </c>
      <c r="I679" s="15" t="n">
        <f aca="false">H679*(1+IF(I$3&lt;=$O$2,$D679,$D679-($D679-$I$670)*MIN(I$3-$O$2,$Q$2)/$Q$2))</f>
        <v>6374.36903055761</v>
      </c>
      <c r="J679" s="15" t="n">
        <f aca="false">I679*(1+IF(J$3&lt;=$O$2,$D679,$D679-($D679-$I$670)*MIN(J$3-$O$2,$Q$2)/$Q$2))</f>
        <v>7123.97889262861</v>
      </c>
      <c r="K679" s="15" t="n">
        <f aca="false">J679*(1+IF(K$3&lt;=$O$2,$D679,$D679-($D679-$I$670)*MIN(K$3-$O$2,$Q$2)/$Q$2))</f>
        <v>7811.60759777916</v>
      </c>
      <c r="L679" s="15" t="n">
        <f aca="false">K679*(1+IF(L$3&lt;=$O$2,$D679,$D679-($D679-$I$670)*MIN(L$3-$O$2,$Q$2)/$Q$2))</f>
        <v>8400.9836265221</v>
      </c>
      <c r="M679" s="15" t="n">
        <f aca="false">L679*(1+IF(M$3&lt;=$O$2,$D679,$D679-($D679-$I$670)*MIN(M$3-$O$2,$Q$2)/$Q$2))</f>
        <v>8857.78186059947</v>
      </c>
      <c r="N679" s="15" t="n">
        <f aca="false">M679*(1+IF(N$3&lt;=$O$2,$D679,$D679-($D679-$I$670)*MIN(N$3-$O$2,$Q$2)/$Q$2))</f>
        <v>9152.74599655743</v>
      </c>
      <c r="O679" s="15" t="n">
        <f aca="false">SUMPRODUCT(E679:N679,1/(1+$F$670)^$E$3:$N$3)*$E$2</f>
        <v>19881.3779933966</v>
      </c>
      <c r="P679" s="15" t="n">
        <f aca="false">N679*$E$2*(1+$I$670)/($F$670-$I$670)/(1+$F$670)^$N$3</f>
        <v>26107.7645357131</v>
      </c>
      <c r="Q679" s="15" t="n">
        <f aca="false">O679+P679</f>
        <v>45989.1425291097</v>
      </c>
      <c r="R679" s="15" t="n">
        <f aca="false">Q679-$G$2+$I$2</f>
        <v>39801.8425291097</v>
      </c>
      <c r="S679" s="42" t="n">
        <f aca="false">R679/$K$2</f>
        <v>547.480640015264</v>
      </c>
      <c r="T679" s="43" t="n">
        <f aca="false">S679-$M$2</f>
        <v>-13.3171591594264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0.138671875</v>
      </c>
      <c r="C680" s="25" t="n">
        <f aca="false">IF(T679&gt;0,D679,C679)</f>
        <v>0.14453125</v>
      </c>
      <c r="D680" s="41" t="n">
        <f aca="false">(B680+C680)/2</f>
        <v>0.1416015625</v>
      </c>
      <c r="E680" s="15" t="n">
        <f aca="false">$C$2*(1+IF(E$3&lt;=$O$2,$D680,$D680-($D680-$I$670)*MIN(E$3-$O$2,$Q$2)/$Q$2))</f>
        <v>3801.533203125</v>
      </c>
      <c r="F680" s="15" t="n">
        <f aca="false">E680*(1+IF(F$3&lt;=$O$2,$D680,$D680-($D680-$I$670)*MIN(F$3-$O$2,$Q$2)/$Q$2))</f>
        <v>4339.83624458313</v>
      </c>
      <c r="G680" s="15" t="n">
        <f aca="false">F680*(1+IF(G$3&lt;=$O$2,$D680,$D680-($D680-$I$670)*MIN(G$3-$O$2,$Q$2)/$Q$2))</f>
        <v>4954.36383781023</v>
      </c>
      <c r="H680" s="15" t="n">
        <f aca="false">G680*(1+IF(H$3&lt;=$O$2,$D680,$D680-($D680-$I$670)*MIN(H$3-$O$2,$Q$2)/$Q$2))</f>
        <v>5655.90949843766</v>
      </c>
      <c r="I680" s="15" t="n">
        <f aca="false">H680*(1+IF(I$3&lt;=$O$2,$D680,$D680-($D680-$I$670)*MIN(I$3-$O$2,$Q$2)/$Q$2))</f>
        <v>6456.79512077502</v>
      </c>
      <c r="J680" s="15" t="n">
        <f aca="false">I680*(1+IF(J$3&lt;=$O$2,$D680,$D680-($D680-$I$670)*MIN(J$3-$O$2,$Q$2)/$Q$2))</f>
        <v>7231.23119855468</v>
      </c>
      <c r="K680" s="15" t="n">
        <f aca="false">J680*(1+IF(K$3&lt;=$O$2,$D680,$D680-($D680-$I$670)*MIN(K$3-$O$2,$Q$2)/$Q$2))</f>
        <v>7941.92338002788</v>
      </c>
      <c r="L680" s="15" t="n">
        <f aca="false">K680*(1+IF(L$3&lt;=$O$2,$D680,$D680-($D680-$I$670)*MIN(L$3-$O$2,$Q$2)/$Q$2))</f>
        <v>8550.43851310773</v>
      </c>
      <c r="M680" s="15" t="n">
        <f aca="false">L680*(1+IF(M$3&lt;=$O$2,$D680,$D680-($D680-$I$670)*MIN(M$3-$O$2,$Q$2)/$Q$2))</f>
        <v>9020.37328580017</v>
      </c>
      <c r="N680" s="15" t="n">
        <f aca="false">M680*(1+IF(N$3&lt;=$O$2,$D680,$D680-($D680-$I$670)*MIN(N$3-$O$2,$Q$2)/$Q$2))</f>
        <v>9320.75171621731</v>
      </c>
      <c r="O680" s="15" t="n">
        <f aca="false">SUMPRODUCT(E680:N680,1/(1+$F$670)^$E$3:$N$3)*$E$2</f>
        <v>20131.552475815</v>
      </c>
      <c r="P680" s="15" t="n">
        <f aca="false">N680*$E$2*(1+$I$670)/($F$670-$I$670)/(1+$F$670)^$N$3</f>
        <v>26586.9927117362</v>
      </c>
      <c r="Q680" s="15" t="n">
        <f aca="false">O680+P680</f>
        <v>46718.5451875511</v>
      </c>
      <c r="R680" s="15" t="n">
        <f aca="false">Q680-$G$2+$I$2</f>
        <v>40531.2451875511</v>
      </c>
      <c r="S680" s="42" t="n">
        <f aca="false">R680/$K$2</f>
        <v>557.513688962189</v>
      </c>
      <c r="T680" s="43" t="n">
        <f aca="false">S680-$M$2</f>
        <v>-3.28411021250156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0.1416015625</v>
      </c>
      <c r="C681" s="25" t="n">
        <f aca="false">IF(T680&gt;0,D680,C680)</f>
        <v>0.14453125</v>
      </c>
      <c r="D681" s="41" t="n">
        <f aca="false">(B681+C681)/2</f>
        <v>0.14306640625</v>
      </c>
      <c r="E681" s="15" t="n">
        <f aca="false">$C$2*(1+IF(E$3&lt;=$O$2,$D681,$D681-($D681-$I$670)*MIN(E$3-$O$2,$Q$2)/$Q$2))</f>
        <v>3806.4111328125</v>
      </c>
      <c r="F681" s="15" t="n">
        <f aca="false">E681*(1+IF(F$3&lt;=$O$2,$D681,$D681-($D681-$I$670)*MIN(F$3-$O$2,$Q$2)/$Q$2))</f>
        <v>4350.98069429398</v>
      </c>
      <c r="G681" s="15" t="n">
        <f aca="false">F681*(1+IF(G$3&lt;=$O$2,$D681,$D681-($D681-$I$670)*MIN(G$3-$O$2,$Q$2)/$Q$2))</f>
        <v>4973.45986588975</v>
      </c>
      <c r="H681" s="15" t="n">
        <f aca="false">G681*(1+IF(H$3&lt;=$O$2,$D681,$D681-($D681-$I$670)*MIN(H$3-$O$2,$Q$2)/$Q$2))</f>
        <v>5684.9948955312</v>
      </c>
      <c r="I681" s="15" t="n">
        <f aca="false">H681*(1+IF(I$3&lt;=$O$2,$D681,$D681-($D681-$I$670)*MIN(I$3-$O$2,$Q$2)/$Q$2))</f>
        <v>6498.32668478444</v>
      </c>
      <c r="J681" s="15" t="n">
        <f aca="false">I681*(1+IF(J$3&lt;=$O$2,$D681,$D681-($D681-$I$670)*MIN(J$3-$O$2,$Q$2)/$Q$2))</f>
        <v>7285.35933684957</v>
      </c>
      <c r="K681" s="15" t="n">
        <f aca="false">J681*(1+IF(K$3&lt;=$O$2,$D681,$D681-($D681-$I$670)*MIN(K$3-$O$2,$Q$2)/$Q$2))</f>
        <v>8007.77443035418</v>
      </c>
      <c r="L681" s="15" t="n">
        <f aca="false">K681*(1+IF(L$3&lt;=$O$2,$D681,$D681-($D681-$I$670)*MIN(L$3-$O$2,$Q$2)/$Q$2))</f>
        <v>8626.02716739722</v>
      </c>
      <c r="M681" s="15" t="n">
        <f aca="false">L681*(1+IF(M$3&lt;=$O$2,$D681,$D681-($D681-$I$670)*MIN(M$3-$O$2,$Q$2)/$Q$2))</f>
        <v>9102.64347254756</v>
      </c>
      <c r="N681" s="15" t="n">
        <f aca="false">M681*(1+IF(N$3&lt;=$O$2,$D681,$D681-($D681-$I$670)*MIN(N$3-$O$2,$Q$2)/$Q$2))</f>
        <v>9405.7615001834</v>
      </c>
      <c r="O681" s="15" t="n">
        <f aca="false">SUMPRODUCT(E681:N681,1/(1+$F$670)^$E$3:$N$3)*$E$2</f>
        <v>20257.8025981622</v>
      </c>
      <c r="P681" s="15" t="n">
        <f aca="false">N681*$E$2*(1+$I$670)/($F$670-$I$670)/(1+$F$670)^$N$3</f>
        <v>26829.4790020641</v>
      </c>
      <c r="Q681" s="15" t="n">
        <f aca="false">O681+P681</f>
        <v>47087.2816002263</v>
      </c>
      <c r="R681" s="15" t="n">
        <f aca="false">Q681-$G$2+$I$2</f>
        <v>40899.9816002263</v>
      </c>
      <c r="S681" s="42" t="n">
        <f aca="false">R681/$K$2</f>
        <v>562.585716646854</v>
      </c>
      <c r="T681" s="43" t="n">
        <f aca="false">S681-$M$2</f>
        <v>1.78791747216326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0.1416015625</v>
      </c>
      <c r="C682" s="25" t="n">
        <f aca="false">IF(T681&gt;0,D681,C681)</f>
        <v>0.14306640625</v>
      </c>
      <c r="D682" s="41" t="n">
        <f aca="false">(B682+C682)/2</f>
        <v>0.142333984375</v>
      </c>
      <c r="E682" s="15" t="n">
        <f aca="false">$C$2*(1+IF(E$3&lt;=$O$2,$D682,$D682-($D682-$I$670)*MIN(E$3-$O$2,$Q$2)/$Q$2))</f>
        <v>3803.97216796875</v>
      </c>
      <c r="F682" s="15" t="n">
        <f aca="false">E682*(1+IF(F$3&lt;=$O$2,$D682,$D682-($D682-$I$670)*MIN(F$3-$O$2,$Q$2)/$Q$2))</f>
        <v>4345.40668308735</v>
      </c>
      <c r="G682" s="15" t="n">
        <f aca="false">F682*(1+IF(G$3&lt;=$O$2,$D682,$D682-($D682-$I$670)*MIN(G$3-$O$2,$Q$2)/$Q$2))</f>
        <v>4963.90573002092</v>
      </c>
      <c r="H682" s="15" t="n">
        <f aca="false">G682*(1+IF(H$3&lt;=$O$2,$D682,$D682-($D682-$I$670)*MIN(H$3-$O$2,$Q$2)/$Q$2))</f>
        <v>5670.4382106367</v>
      </c>
      <c r="I682" s="15" t="n">
        <f aca="false">H682*(1+IF(I$3&lt;=$O$2,$D682,$D682-($D682-$I$670)*MIN(I$3-$O$2,$Q$2)/$Q$2))</f>
        <v>6477.53427430886</v>
      </c>
      <c r="J682" s="15" t="n">
        <f aca="false">I682*(1+IF(J$3&lt;=$O$2,$D682,$D682-($D682-$I$670)*MIN(J$3-$O$2,$Q$2)/$Q$2))</f>
        <v>7258.25326232616</v>
      </c>
      <c r="K682" s="15" t="n">
        <f aca="false">J682*(1+IF(K$3&lt;=$O$2,$D682,$D682-($D682-$I$670)*MIN(K$3-$O$2,$Q$2)/$Q$2))</f>
        <v>7974.79085963818</v>
      </c>
      <c r="L682" s="15" t="n">
        <f aca="false">K682*(1+IF(L$3&lt;=$O$2,$D682,$D682-($D682-$I$670)*MIN(L$3-$O$2,$Q$2)/$Q$2))</f>
        <v>8588.16068405761</v>
      </c>
      <c r="M682" s="15" t="n">
        <f aca="false">L682*(1+IF(M$3&lt;=$O$2,$D682,$D682-($D682-$I$670)*MIN(M$3-$O$2,$Q$2)/$Q$2))</f>
        <v>9061.42671040383</v>
      </c>
      <c r="N682" s="15" t="n">
        <f aca="false">M682*(1+IF(N$3&lt;=$O$2,$D682,$D682-($D682-$I$670)*MIN(N$3-$O$2,$Q$2)/$Q$2))</f>
        <v>9363.17221986028</v>
      </c>
      <c r="O682" s="15" t="n">
        <f aca="false">SUMPRODUCT(E682:N682,1/(1+$F$670)^$E$3:$N$3)*$E$2</f>
        <v>20194.5801704598</v>
      </c>
      <c r="P682" s="15" t="n">
        <f aca="false">N682*$E$2*(1+$I$670)/($F$670-$I$670)/(1+$F$670)^$N$3</f>
        <v>26707.9951432484</v>
      </c>
      <c r="Q682" s="15" t="n">
        <f aca="false">O682+P682</f>
        <v>46902.5753137081</v>
      </c>
      <c r="R682" s="15" t="n">
        <f aca="false">Q682-$G$2+$I$2</f>
        <v>40715.2753137081</v>
      </c>
      <c r="S682" s="42" t="n">
        <f aca="false">R682/$K$2</f>
        <v>560.045052458159</v>
      </c>
      <c r="T682" s="43" t="n">
        <f aca="false">S682-$M$2</f>
        <v>-0.752746716531874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0.142333984375</v>
      </c>
      <c r="C683" s="25" t="n">
        <f aca="false">IF(T682&gt;0,D682,C682)</f>
        <v>0.14306640625</v>
      </c>
      <c r="D683" s="41" t="n">
        <f aca="false">(B683+C683)/2</f>
        <v>0.1427001953125</v>
      </c>
      <c r="E683" s="15" t="n">
        <f aca="false">$C$2*(1+IF(E$3&lt;=$O$2,$D683,$D683-($D683-$I$670)*MIN(E$3-$O$2,$Q$2)/$Q$2))</f>
        <v>3805.19165039063</v>
      </c>
      <c r="F683" s="15" t="n">
        <f aca="false">E683*(1+IF(F$3&lt;=$O$2,$D683,$D683-($D683-$I$670)*MIN(F$3-$O$2,$Q$2)/$Q$2))</f>
        <v>4348.19324210286</v>
      </c>
      <c r="G683" s="15" t="n">
        <f aca="false">F683*(1+IF(G$3&lt;=$O$2,$D683,$D683-($D683-$I$670)*MIN(G$3-$O$2,$Q$2)/$Q$2))</f>
        <v>4968.68126700743</v>
      </c>
      <c r="H683" s="15" t="n">
        <f aca="false">G683*(1+IF(H$3&lt;=$O$2,$D683,$D683-($D683-$I$670)*MIN(H$3-$O$2,$Q$2)/$Q$2))</f>
        <v>5677.71305425495</v>
      </c>
      <c r="I683" s="15" t="n">
        <f aca="false">H683*(1+IF(I$3&lt;=$O$2,$D683,$D683-($D683-$I$670)*MIN(I$3-$O$2,$Q$2)/$Q$2))</f>
        <v>6487.92381602547</v>
      </c>
      <c r="J683" s="15" t="n">
        <f aca="false">I683*(1+IF(J$3&lt;=$O$2,$D683,$D683-($D683-$I$670)*MIN(J$3-$O$2,$Q$2)/$Q$2))</f>
        <v>7271.79578521576</v>
      </c>
      <c r="K683" s="15" t="n">
        <f aca="false">J683*(1+IF(K$3&lt;=$O$2,$D683,$D683-($D683-$I$670)*MIN(K$3-$O$2,$Q$2)/$Q$2))</f>
        <v>7991.26811236857</v>
      </c>
      <c r="L683" s="15" t="n">
        <f aca="false">K683*(1+IF(L$3&lt;=$O$2,$D683,$D683-($D683-$I$670)*MIN(L$3-$O$2,$Q$2)/$Q$2))</f>
        <v>8607.07585742552</v>
      </c>
      <c r="M683" s="15" t="n">
        <f aca="false">L683*(1+IF(M$3&lt;=$O$2,$D683,$D683-($D683-$I$670)*MIN(M$3-$O$2,$Q$2)/$Q$2))</f>
        <v>9082.01463945216</v>
      </c>
      <c r="N683" s="15" t="n">
        <f aca="false">M683*(1+IF(N$3&lt;=$O$2,$D683,$D683-($D683-$I$670)*MIN(N$3-$O$2,$Q$2)/$Q$2))</f>
        <v>9384.44572694591</v>
      </c>
      <c r="O683" s="15" t="n">
        <f aca="false">SUMPRODUCT(E683:N683,1/(1+$F$670)^$E$3:$N$3)*$E$2</f>
        <v>20226.1670080795</v>
      </c>
      <c r="P683" s="15" t="n">
        <f aca="false">N683*$E$2*(1+$I$670)/($F$670-$I$670)/(1+$F$670)^$N$3</f>
        <v>26768.676791581</v>
      </c>
      <c r="Q683" s="15" t="n">
        <f aca="false">O683+P683</f>
        <v>46994.8437996605</v>
      </c>
      <c r="R683" s="15" t="n">
        <f aca="false">Q683-$G$2+$I$2</f>
        <v>40807.5437996605</v>
      </c>
      <c r="S683" s="42" t="n">
        <f aca="false">R683/$K$2</f>
        <v>561.314220077861</v>
      </c>
      <c r="T683" s="43" t="n">
        <f aca="false">S683-$M$2</f>
        <v>0.516420903170001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0.142333984375</v>
      </c>
      <c r="C684" s="25" t="n">
        <f aca="false">IF(T683&gt;0,D683,C683)</f>
        <v>0.1427001953125</v>
      </c>
      <c r="D684" s="41" t="n">
        <f aca="false">(B684+C684)/2</f>
        <v>0.14251708984375</v>
      </c>
      <c r="E684" s="15" t="n">
        <f aca="false">$C$2*(1+IF(E$3&lt;=$O$2,$D684,$D684-($D684-$I$670)*MIN(E$3-$O$2,$Q$2)/$Q$2))</f>
        <v>3804.58190917969</v>
      </c>
      <c r="F684" s="15" t="n">
        <f aca="false">E684*(1+IF(F$3&lt;=$O$2,$D684,$D684-($D684-$I$670)*MIN(F$3-$O$2,$Q$2)/$Q$2))</f>
        <v>4346.79985094816</v>
      </c>
      <c r="G684" s="15" t="n">
        <f aca="false">F684*(1+IF(G$3&lt;=$O$2,$D684,$D684-($D684-$I$670)*MIN(G$3-$O$2,$Q$2)/$Q$2))</f>
        <v>4966.29311583853</v>
      </c>
      <c r="H684" s="15" t="n">
        <f aca="false">G684*(1+IF(H$3&lt;=$O$2,$D684,$D684-($D684-$I$670)*MIN(H$3-$O$2,$Q$2)/$Q$2))</f>
        <v>5674.07475801889</v>
      </c>
      <c r="I684" s="15" t="n">
        <f aca="false">H684*(1+IF(I$3&lt;=$O$2,$D684,$D684-($D684-$I$670)*MIN(I$3-$O$2,$Q$2)/$Q$2))</f>
        <v>6482.72738008762</v>
      </c>
      <c r="J684" s="15" t="n">
        <f aca="false">I684*(1+IF(J$3&lt;=$O$2,$D684,$D684-($D684-$I$670)*MIN(J$3-$O$2,$Q$2)/$Q$2))</f>
        <v>7265.0218968074</v>
      </c>
      <c r="K684" s="15" t="n">
        <f aca="false">J684*(1+IF(K$3&lt;=$O$2,$D684,$D684-($D684-$I$670)*MIN(K$3-$O$2,$Q$2)/$Q$2))</f>
        <v>7983.02585550334</v>
      </c>
      <c r="L684" s="15" t="n">
        <f aca="false">K684*(1+IF(L$3&lt;=$O$2,$D684,$D684-($D684-$I$670)*MIN(L$3-$O$2,$Q$2)/$Q$2))</f>
        <v>8597.61375732579</v>
      </c>
      <c r="M684" s="15" t="n">
        <f aca="false">L684*(1+IF(M$3&lt;=$O$2,$D684,$D684-($D684-$I$670)*MIN(M$3-$O$2,$Q$2)/$Q$2))</f>
        <v>9071.71556627988</v>
      </c>
      <c r="N684" s="15" t="n">
        <f aca="false">M684*(1+IF(N$3&lt;=$O$2,$D684,$D684-($D684-$I$670)*MIN(N$3-$O$2,$Q$2)/$Q$2))</f>
        <v>9373.803694637</v>
      </c>
      <c r="O684" s="15" t="n">
        <f aca="false">SUMPRODUCT(E684:N684,1/(1+$F$670)^$E$3:$N$3)*$E$2</f>
        <v>20210.36749954</v>
      </c>
      <c r="P684" s="15" t="n">
        <f aca="false">N684*$E$2*(1+$I$670)/($F$670-$I$670)/(1+$F$670)^$N$3</f>
        <v>26738.3209099901</v>
      </c>
      <c r="Q684" s="15" t="n">
        <f aca="false">O684+P684</f>
        <v>46948.6884095301</v>
      </c>
      <c r="R684" s="15" t="n">
        <f aca="false">Q684-$G$2+$I$2</f>
        <v>40761.3884095301</v>
      </c>
      <c r="S684" s="42" t="n">
        <f aca="false">R684/$K$2</f>
        <v>560.679345385559</v>
      </c>
      <c r="T684" s="43" t="n">
        <f aca="false">S684-$M$2</f>
        <v>-0.118453789131763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0.14251708984375</v>
      </c>
      <c r="C685" s="25" t="n">
        <f aca="false">IF(T684&gt;0,D684,C684)</f>
        <v>0.1427001953125</v>
      </c>
      <c r="D685" s="41" t="n">
        <f aca="false">(B685+C685)/2</f>
        <v>0.142608642578125</v>
      </c>
      <c r="E685" s="15" t="n">
        <f aca="false">$C$2*(1+IF(E$3&lt;=$O$2,$D685,$D685-($D685-$I$670)*MIN(E$3-$O$2,$Q$2)/$Q$2))</f>
        <v>3804.88677978516</v>
      </c>
      <c r="F685" s="15" t="n">
        <f aca="false">E685*(1+IF(F$3&lt;=$O$2,$D685,$D685-($D685-$I$670)*MIN(F$3-$O$2,$Q$2)/$Q$2))</f>
        <v>4347.49651861377</v>
      </c>
      <c r="G685" s="15" t="n">
        <f aca="false">F685*(1+IF(G$3&lt;=$O$2,$D685,$D685-($D685-$I$670)*MIN(G$3-$O$2,$Q$2)/$Q$2))</f>
        <v>4967.4870957464</v>
      </c>
      <c r="H685" s="15" t="n">
        <f aca="false">G685*(1+IF(H$3&lt;=$O$2,$D685,$D685-($D685-$I$670)*MIN(H$3-$O$2,$Q$2)/$Q$2))</f>
        <v>5675.89368749515</v>
      </c>
      <c r="I685" s="15" t="n">
        <f aca="false">H685*(1+IF(I$3&lt;=$O$2,$D685,$D685-($D685-$I$670)*MIN(I$3-$O$2,$Q$2)/$Q$2))</f>
        <v>6485.32518168658</v>
      </c>
      <c r="J685" s="15" t="n">
        <f aca="false">I685*(1+IF(J$3&lt;=$O$2,$D685,$D685-($D685-$I$670)*MIN(J$3-$O$2,$Q$2)/$Q$2))</f>
        <v>7268.40818406706</v>
      </c>
      <c r="K685" s="15" t="n">
        <f aca="false">J685*(1+IF(K$3&lt;=$O$2,$D685,$D685-($D685-$I$670)*MIN(K$3-$O$2,$Q$2)/$Q$2))</f>
        <v>7987.14607597896</v>
      </c>
      <c r="L685" s="15" t="n">
        <f aca="false">K685*(1+IF(L$3&lt;=$O$2,$D685,$D685-($D685-$I$670)*MIN(L$3-$O$2,$Q$2)/$Q$2))</f>
        <v>8602.34367856444</v>
      </c>
      <c r="M685" s="15" t="n">
        <f aca="false">L685*(1+IF(M$3&lt;=$O$2,$D685,$D685-($D685-$I$670)*MIN(M$3-$O$2,$Q$2)/$Q$2))</f>
        <v>9076.86382515951</v>
      </c>
      <c r="N685" s="15" t="n">
        <f aca="false">M685*(1+IF(N$3&lt;=$O$2,$D685,$D685-($D685-$I$670)*MIN(N$3-$O$2,$Q$2)/$Q$2))</f>
        <v>9379.12339053733</v>
      </c>
      <c r="O685" s="15" t="n">
        <f aca="false">SUMPRODUCT(E685:N685,1/(1+$F$670)^$E$3:$N$3)*$E$2</f>
        <v>20218.2657308365</v>
      </c>
      <c r="P685" s="15" t="n">
        <f aca="false">N685*$E$2*(1+$I$670)/($F$670-$I$670)/(1+$F$670)^$N$3</f>
        <v>26753.4950848246</v>
      </c>
      <c r="Q685" s="15" t="n">
        <f aca="false">O685+P685</f>
        <v>46971.7608156611</v>
      </c>
      <c r="R685" s="15" t="n">
        <f aca="false">Q685-$G$2+$I$2</f>
        <v>40784.4608156611</v>
      </c>
      <c r="S685" s="42" t="n">
        <f aca="false">R685/$K$2</f>
        <v>560.996709981583</v>
      </c>
      <c r="T685" s="43" t="n">
        <f aca="false">S685-$M$2</f>
        <v>0.198910806892854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0.14251708984375</v>
      </c>
      <c r="C686" s="25" t="n">
        <f aca="false">IF(T685&gt;0,D685,C685)</f>
        <v>0.142608642578125</v>
      </c>
      <c r="D686" s="41" t="n">
        <f aca="false">(B686+C686)/2</f>
        <v>0.142562866210938</v>
      </c>
      <c r="E686" s="15" t="n">
        <f aca="false">$C$2*(1+IF(E$3&lt;=$O$2,$D686,$D686-($D686-$I$670)*MIN(E$3-$O$2,$Q$2)/$Q$2))</f>
        <v>3804.73434448242</v>
      </c>
      <c r="F686" s="15" t="n">
        <f aca="false">E686*(1+IF(F$3&lt;=$O$2,$D686,$D686-($D686-$I$670)*MIN(F$3-$O$2,$Q$2)/$Q$2))</f>
        <v>4347.14817780303</v>
      </c>
      <c r="G686" s="15" t="n">
        <f aca="false">F686*(1+IF(G$3&lt;=$O$2,$D686,$D686-($D686-$I$670)*MIN(G$3-$O$2,$Q$2)/$Q$2))</f>
        <v>4966.89008187428</v>
      </c>
      <c r="H686" s="15" t="n">
        <f aca="false">G686*(1+IF(H$3&lt;=$O$2,$D686,$D686-($D686-$I$670)*MIN(H$3-$O$2,$Q$2)/$Q$2))</f>
        <v>5674.98416810096</v>
      </c>
      <c r="I686" s="15" t="n">
        <f aca="false">H686*(1+IF(I$3&lt;=$O$2,$D686,$D686-($D686-$I$670)*MIN(I$3-$O$2,$Q$2)/$Q$2))</f>
        <v>6484.02617680712</v>
      </c>
      <c r="J686" s="15" t="n">
        <f aca="false">I686*(1+IF(J$3&lt;=$O$2,$D686,$D686-($D686-$I$670)*MIN(J$3-$O$2,$Q$2)/$Q$2))</f>
        <v>7266.71487622656</v>
      </c>
      <c r="K686" s="15" t="n">
        <f aca="false">J686*(1+IF(K$3&lt;=$O$2,$D686,$D686-($D686-$I$670)*MIN(K$3-$O$2,$Q$2)/$Q$2))</f>
        <v>7985.0857387934</v>
      </c>
      <c r="L686" s="15" t="n">
        <f aca="false">K686*(1+IF(L$3&lt;=$O$2,$D686,$D686-($D686-$I$670)*MIN(L$3-$O$2,$Q$2)/$Q$2))</f>
        <v>8599.97843579949</v>
      </c>
      <c r="M686" s="15" t="n">
        <f aca="false">L686*(1+IF(M$3&lt;=$O$2,$D686,$D686-($D686-$I$670)*MIN(M$3-$O$2,$Q$2)/$Q$2))</f>
        <v>9074.28937636115</v>
      </c>
      <c r="N686" s="15" t="n">
        <f aca="false">M686*(1+IF(N$3&lt;=$O$2,$D686,$D686-($D686-$I$670)*MIN(N$3-$O$2,$Q$2)/$Q$2))</f>
        <v>9376.46321259398</v>
      </c>
      <c r="O686" s="15" t="n">
        <f aca="false">SUMPRODUCT(E686:N686,1/(1+$F$670)^$E$3:$N$3)*$E$2</f>
        <v>20214.3162345126</v>
      </c>
      <c r="P686" s="15" t="n">
        <f aca="false">N686*$E$2*(1+$I$670)/($F$670-$I$670)/(1+$F$670)^$N$3</f>
        <v>26745.9070561178</v>
      </c>
      <c r="Q686" s="15" t="n">
        <f aca="false">O686+P686</f>
        <v>46960.2232906304</v>
      </c>
      <c r="R686" s="15" t="n">
        <f aca="false">Q686-$G$2+$I$2</f>
        <v>40772.9232906304</v>
      </c>
      <c r="S686" s="42" t="n">
        <f aca="false">R686/$K$2</f>
        <v>560.83800949973</v>
      </c>
      <c r="T686" s="43" t="n">
        <f aca="false">S686-$M$2</f>
        <v>0.0402103250393111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0.14251708984375</v>
      </c>
      <c r="C687" s="25" t="n">
        <f aca="false">IF(T686&gt;0,D686,C686)</f>
        <v>0.142562866210938</v>
      </c>
      <c r="D687" s="41" t="n">
        <f aca="false">(B687+C687)/2</f>
        <v>0.142539978027344</v>
      </c>
      <c r="E687" s="15" t="n">
        <f aca="false">$C$2*(1+IF(E$3&lt;=$O$2,$D687,$D687-($D687-$I$670)*MIN(E$3-$O$2,$Q$2)/$Q$2))</f>
        <v>3804.65812683105</v>
      </c>
      <c r="F687" s="15" t="n">
        <f aca="false">E687*(1+IF(F$3&lt;=$O$2,$D687,$D687-($D687-$I$670)*MIN(F$3-$O$2,$Q$2)/$Q$2))</f>
        <v>4346.97401263111</v>
      </c>
      <c r="G687" s="15" t="n">
        <f aca="false">F687*(1+IF(G$3&lt;=$O$2,$D687,$D687-($D687-$I$670)*MIN(G$3-$O$2,$Q$2)/$Q$2))</f>
        <v>4966.59159287698</v>
      </c>
      <c r="H687" s="15" t="n">
        <f aca="false">G687*(1+IF(H$3&lt;=$O$2,$D687,$D687-($D687-$I$670)*MIN(H$3-$O$2,$Q$2)/$Q$2))</f>
        <v>5674.52944939646</v>
      </c>
      <c r="I687" s="15" t="n">
        <f aca="false">H687*(1+IF(I$3&lt;=$O$2,$D687,$D687-($D687-$I$670)*MIN(I$3-$O$2,$Q$2)/$Q$2))</f>
        <v>6483.37675242894</v>
      </c>
      <c r="J687" s="15" t="n">
        <f aca="false">I687*(1+IF(J$3&lt;=$O$2,$D687,$D687-($D687-$I$670)*MIN(J$3-$O$2,$Q$2)/$Q$2))</f>
        <v>7265.86834546749</v>
      </c>
      <c r="K687" s="15" t="n">
        <f aca="false">J687*(1+IF(K$3&lt;=$O$2,$D687,$D687-($D687-$I$670)*MIN(K$3-$O$2,$Q$2)/$Q$2))</f>
        <v>7984.05574041662</v>
      </c>
      <c r="L687" s="15" t="n">
        <f aca="false">K687*(1+IF(L$3&lt;=$O$2,$D687,$D687-($D687-$I$670)*MIN(L$3-$O$2,$Q$2)/$Q$2))</f>
        <v>8598.79602603337</v>
      </c>
      <c r="M687" s="15" t="n">
        <f aca="false">L687*(1+IF(M$3&lt;=$O$2,$D687,$D687-($D687-$I$670)*MIN(M$3-$O$2,$Q$2)/$Q$2))</f>
        <v>9073.00239148939</v>
      </c>
      <c r="N687" s="15" t="n">
        <f aca="false">M687*(1+IF(N$3&lt;=$O$2,$D687,$D687-($D687-$I$670)*MIN(N$3-$O$2,$Q$2)/$Q$2))</f>
        <v>9375.13337112598</v>
      </c>
      <c r="O687" s="15" t="n">
        <f aca="false">SUMPRODUCT(E687:N687,1/(1+$F$670)^$E$3:$N$3)*$E$2</f>
        <v>20212.3417718658</v>
      </c>
      <c r="P687" s="15" t="n">
        <f aca="false">N687*$E$2*(1+$I$670)/($F$670-$I$670)/(1+$F$670)^$N$3</f>
        <v>26742.1137477566</v>
      </c>
      <c r="Q687" s="15" t="n">
        <f aca="false">O687+P687</f>
        <v>46954.4555196224</v>
      </c>
      <c r="R687" s="15" t="n">
        <f aca="false">Q687-$G$2+$I$2</f>
        <v>40767.1555196224</v>
      </c>
      <c r="S687" s="42" t="n">
        <f aca="false">R687/$K$2</f>
        <v>560.758672897145</v>
      </c>
      <c r="T687" s="43" t="n">
        <f aca="false">S687-$M$2</f>
        <v>-0.0391262775456198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0.142539978027344</v>
      </c>
      <c r="C688" s="25" t="n">
        <f aca="false">IF(T687&gt;0,D687,C687)</f>
        <v>0.142562866210938</v>
      </c>
      <c r="D688" s="41" t="n">
        <f aca="false">(B688+C688)/2</f>
        <v>0.142551422119141</v>
      </c>
      <c r="E688" s="15" t="n">
        <f aca="false">$C$2*(1+IF(E$3&lt;=$O$2,$D688,$D688-($D688-$I$670)*MIN(E$3-$O$2,$Q$2)/$Q$2))</f>
        <v>3804.69623565674</v>
      </c>
      <c r="F688" s="15" t="n">
        <f aca="false">E688*(1+IF(F$3&lt;=$O$2,$D688,$D688-($D688-$I$670)*MIN(F$3-$O$2,$Q$2)/$Q$2))</f>
        <v>4347.06109478095</v>
      </c>
      <c r="G688" s="15" t="n">
        <f aca="false">F688*(1+IF(G$3&lt;=$O$2,$D688,$D688-($D688-$I$670)*MIN(G$3-$O$2,$Q$2)/$Q$2))</f>
        <v>4966.74083588076</v>
      </c>
      <c r="H688" s="15" t="n">
        <f aca="false">G688*(1+IF(H$3&lt;=$O$2,$D688,$D688-($D688-$I$670)*MIN(H$3-$O$2,$Q$2)/$Q$2))</f>
        <v>5674.75680533277</v>
      </c>
      <c r="I688" s="15" t="n">
        <f aca="false">H688*(1+IF(I$3&lt;=$O$2,$D688,$D688-($D688-$I$670)*MIN(I$3-$O$2,$Q$2)/$Q$2))</f>
        <v>6483.70145811323</v>
      </c>
      <c r="J688" s="15" t="n">
        <f aca="false">I688*(1+IF(J$3&lt;=$O$2,$D688,$D688-($D688-$I$670)*MIN(J$3-$O$2,$Q$2)/$Q$2))</f>
        <v>7266.29160058425</v>
      </c>
      <c r="K688" s="15" t="n">
        <f aca="false">J688*(1+IF(K$3&lt;=$O$2,$D688,$D688-($D688-$I$670)*MIN(K$3-$O$2,$Q$2)/$Q$2))</f>
        <v>7984.57072542143</v>
      </c>
      <c r="L688" s="15" t="n">
        <f aca="false">K688*(1+IF(L$3&lt;=$O$2,$D688,$D688-($D688-$I$670)*MIN(L$3-$O$2,$Q$2)/$Q$2))</f>
        <v>8599.38721328322</v>
      </c>
      <c r="M688" s="15" t="n">
        <f aca="false">L688*(1+IF(M$3&lt;=$O$2,$D688,$D688-($D688-$I$670)*MIN(M$3-$O$2,$Q$2)/$Q$2))</f>
        <v>9073.64586396642</v>
      </c>
      <c r="N688" s="15" t="n">
        <f aca="false">M688*(1+IF(N$3&lt;=$O$2,$D688,$D688-($D688-$I$670)*MIN(N$3-$O$2,$Q$2)/$Q$2))</f>
        <v>9375.7982712365</v>
      </c>
      <c r="O688" s="15" t="n">
        <f aca="false">SUMPRODUCT(E688:N688,1/(1+$F$670)^$E$3:$N$3)*$E$2</f>
        <v>20213.328979398</v>
      </c>
      <c r="P688" s="15" t="n">
        <f aca="false">N688*$E$2*(1+$I$670)/($F$670-$I$670)/(1+$F$670)^$N$3</f>
        <v>26744.0103431097</v>
      </c>
      <c r="Q688" s="15" t="n">
        <f aca="false">O688+P688</f>
        <v>46957.3393225077</v>
      </c>
      <c r="R688" s="15" t="n">
        <f aca="false">Q688-$G$2+$I$2</f>
        <v>40770.0393225077</v>
      </c>
      <c r="S688" s="42" t="n">
        <f aca="false">R688/$K$2</f>
        <v>560.798340062005</v>
      </c>
      <c r="T688" s="43" t="n">
        <f aca="false">S688-$M$2</f>
        <v>0.00054088731428692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0.142539978027344</v>
      </c>
      <c r="C689" s="25" t="n">
        <f aca="false">IF(T688&gt;0,D688,C688)</f>
        <v>0.142551422119141</v>
      </c>
      <c r="D689" s="41" t="n">
        <f aca="false">(B689+C689)/2</f>
        <v>0.142545700073242</v>
      </c>
      <c r="E689" s="15" t="n">
        <f aca="false">$C$2*(1+IF(E$3&lt;=$O$2,$D689,$D689-($D689-$I$670)*MIN(E$3-$O$2,$Q$2)/$Q$2))</f>
        <v>3804.6771812439</v>
      </c>
      <c r="F689" s="15" t="n">
        <f aca="false">E689*(1+IF(F$3&lt;=$O$2,$D689,$D689-($D689-$I$670)*MIN(F$3-$O$2,$Q$2)/$Q$2))</f>
        <v>4347.017553597</v>
      </c>
      <c r="G689" s="15" t="n">
        <f aca="false">F689*(1+IF(G$3&lt;=$O$2,$D689,$D689-($D689-$I$670)*MIN(G$3-$O$2,$Q$2)/$Q$2))</f>
        <v>4966.66621400515</v>
      </c>
      <c r="H689" s="15" t="n">
        <f aca="false">G689*(1+IF(H$3&lt;=$O$2,$D689,$D689-($D689-$I$670)*MIN(H$3-$O$2,$Q$2)/$Q$2))</f>
        <v>5674.64312651064</v>
      </c>
      <c r="I689" s="15" t="n">
        <f aca="false">H689*(1+IF(I$3&lt;=$O$2,$D689,$D689-($D689-$I$670)*MIN(I$3-$O$2,$Q$2)/$Q$2))</f>
        <v>6483.53910364491</v>
      </c>
      <c r="J689" s="15" t="n">
        <f aca="false">I689*(1+IF(J$3&lt;=$O$2,$D689,$D689-($D689-$I$670)*MIN(J$3-$O$2,$Q$2)/$Q$2))</f>
        <v>7266.07997046023</v>
      </c>
      <c r="K689" s="15" t="n">
        <f aca="false">J689*(1+IF(K$3&lt;=$O$2,$D689,$D689-($D689-$I$670)*MIN(K$3-$O$2,$Q$2)/$Q$2))</f>
        <v>7984.31322937321</v>
      </c>
      <c r="L689" s="15" t="n">
        <f aca="false">K689*(1+IF(L$3&lt;=$O$2,$D689,$D689-($D689-$I$670)*MIN(L$3-$O$2,$Q$2)/$Q$2))</f>
        <v>8599.09161525011</v>
      </c>
      <c r="M689" s="15" t="n">
        <f aca="false">L689*(1+IF(M$3&lt;=$O$2,$D689,$D689-($D689-$I$670)*MIN(M$3-$O$2,$Q$2)/$Q$2))</f>
        <v>9073.32412273832</v>
      </c>
      <c r="N689" s="15" t="n">
        <f aca="false">M689*(1+IF(N$3&lt;=$O$2,$D689,$D689-($D689-$I$670)*MIN(N$3-$O$2,$Q$2)/$Q$2))</f>
        <v>9375.46581602551</v>
      </c>
      <c r="O689" s="15" t="n">
        <f aca="false">SUMPRODUCT(E689:N689,1/(1+$F$670)^$E$3:$N$3)*$E$2</f>
        <v>20212.8353696842</v>
      </c>
      <c r="P689" s="15" t="n">
        <f aca="false">N689*$E$2*(1+$I$670)/($F$670-$I$670)/(1+$F$670)^$N$3</f>
        <v>26743.0620307267</v>
      </c>
      <c r="Q689" s="15" t="n">
        <f aca="false">O689+P689</f>
        <v>46955.897400411</v>
      </c>
      <c r="R689" s="15" t="n">
        <f aca="false">Q689-$G$2+$I$2</f>
        <v>40768.5974004109</v>
      </c>
      <c r="S689" s="42" t="n">
        <f aca="false">R689/$K$2</f>
        <v>560.778506195474</v>
      </c>
      <c r="T689" s="43" t="n">
        <f aca="false">S689-$M$2</f>
        <v>-0.0192929792166296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0.142545700073242</v>
      </c>
      <c r="C690" s="25" t="n">
        <f aca="false">IF(T689&gt;0,D689,C689)</f>
        <v>0.142551422119141</v>
      </c>
      <c r="D690" s="41" t="n">
        <f aca="false">(B690+C690)/2</f>
        <v>0.142548561096191</v>
      </c>
      <c r="E690" s="15" t="n">
        <f aca="false">$C$2*(1+IF(E$3&lt;=$O$2,$D690,$D690-($D690-$I$670)*MIN(E$3-$O$2,$Q$2)/$Q$2))</f>
        <v>3804.68670845032</v>
      </c>
      <c r="F690" s="15" t="n">
        <f aca="false">E690*(1+IF(F$3&lt;=$O$2,$D690,$D690-($D690-$I$670)*MIN(F$3-$O$2,$Q$2)/$Q$2))</f>
        <v>4347.03932416172</v>
      </c>
      <c r="G690" s="15" t="n">
        <f aca="false">F690*(1+IF(G$3&lt;=$O$2,$D690,$D690-($D690-$I$670)*MIN(G$3-$O$2,$Q$2)/$Q$2))</f>
        <v>4966.70352484953</v>
      </c>
      <c r="H690" s="15" t="n">
        <f aca="false">G690*(1+IF(H$3&lt;=$O$2,$D690,$D690-($D690-$I$670)*MIN(H$3-$O$2,$Q$2)/$Q$2))</f>
        <v>5674.69996570821</v>
      </c>
      <c r="I690" s="15" t="n">
        <f aca="false">H690*(1+IF(I$3&lt;=$O$2,$D690,$D690-($D690-$I$670)*MIN(I$3-$O$2,$Q$2)/$Q$2))</f>
        <v>6483.62028047252</v>
      </c>
      <c r="J690" s="15" t="n">
        <f aca="false">I690*(1+IF(J$3&lt;=$O$2,$D690,$D690-($D690-$I$670)*MIN(J$3-$O$2,$Q$2)/$Q$2))</f>
        <v>7266.18578488082</v>
      </c>
      <c r="K690" s="15" t="n">
        <f aca="false">J690*(1+IF(K$3&lt;=$O$2,$D690,$D690-($D690-$I$670)*MIN(K$3-$O$2,$Q$2)/$Q$2))</f>
        <v>7984.44197651085</v>
      </c>
      <c r="L690" s="15" t="n">
        <f aca="false">K690*(1+IF(L$3&lt;=$O$2,$D690,$D690-($D690-$I$670)*MIN(L$3-$O$2,$Q$2)/$Q$2))</f>
        <v>8599.2394131646</v>
      </c>
      <c r="M690" s="15" t="n">
        <f aca="false">L690*(1+IF(M$3&lt;=$O$2,$D690,$D690-($D690-$I$670)*MIN(M$3-$O$2,$Q$2)/$Q$2))</f>
        <v>9073.48499210496</v>
      </c>
      <c r="N690" s="15" t="n">
        <f aca="false">M690*(1+IF(N$3&lt;=$O$2,$D690,$D690-($D690-$I$670)*MIN(N$3-$O$2,$Q$2)/$Q$2))</f>
        <v>9375.63204234206</v>
      </c>
      <c r="O690" s="15" t="n">
        <f aca="false">SUMPRODUCT(E690:N690,1/(1+$F$670)^$E$3:$N$3)*$E$2</f>
        <v>20213.0821730542</v>
      </c>
      <c r="P690" s="15" t="n">
        <f aca="false">N690*$E$2*(1+$I$670)/($F$670-$I$670)/(1+$F$670)^$N$3</f>
        <v>26743.5361832416</v>
      </c>
      <c r="Q690" s="15" t="n">
        <f aca="false">O690+P690</f>
        <v>46956.6183562957</v>
      </c>
      <c r="R690" s="15" t="n">
        <f aca="false">Q690-$G$2+$I$2</f>
        <v>40769.3183562957</v>
      </c>
      <c r="S690" s="42" t="n">
        <f aca="false">R690/$K$2</f>
        <v>560.788423057713</v>
      </c>
      <c r="T690" s="43" t="n">
        <f aca="false">S690-$M$2</f>
        <v>-0.00937611697736429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0.142548561096191</v>
      </c>
      <c r="C691" s="25" t="n">
        <f aca="false">IF(T690&gt;0,D690,C690)</f>
        <v>0.142551422119141</v>
      </c>
      <c r="D691" s="41" t="n">
        <f aca="false">(B691+C691)/2</f>
        <v>0.142549991607666</v>
      </c>
      <c r="E691" s="15" t="n">
        <f aca="false">$C$2*(1+IF(E$3&lt;=$O$2,$D691,$D691-($D691-$I$670)*MIN(E$3-$O$2,$Q$2)/$Q$2))</f>
        <v>3804.69147205353</v>
      </c>
      <c r="F691" s="15" t="n">
        <f aca="false">E691*(1+IF(F$3&lt;=$O$2,$D691,$D691-($D691-$I$670)*MIN(F$3-$O$2,$Q$2)/$Q$2))</f>
        <v>4347.05020946452</v>
      </c>
      <c r="G691" s="15" t="n">
        <f aca="false">F691*(1+IF(G$3&lt;=$O$2,$D691,$D691-($D691-$I$670)*MIN(G$3-$O$2,$Q$2)/$Q$2))</f>
        <v>4966.72218034179</v>
      </c>
      <c r="H691" s="15" t="n">
        <f aca="false">G691*(1+IF(H$3&lt;=$O$2,$D691,$D691-($D691-$I$670)*MIN(H$3-$O$2,$Q$2)/$Q$2))</f>
        <v>5674.72838546712</v>
      </c>
      <c r="I691" s="15" t="n">
        <f aca="false">H691*(1+IF(I$3&lt;=$O$2,$D691,$D691-($D691-$I$670)*MIN(I$3-$O$2,$Q$2)/$Q$2))</f>
        <v>6483.66086919124</v>
      </c>
      <c r="J691" s="15" t="n">
        <f aca="false">I691*(1+IF(J$3&lt;=$O$2,$D691,$D691-($D691-$I$670)*MIN(J$3-$O$2,$Q$2)/$Q$2))</f>
        <v>7266.23869257218</v>
      </c>
      <c r="K691" s="15" t="n">
        <f aca="false">J691*(1+IF(K$3&lt;=$O$2,$D691,$D691-($D691-$I$670)*MIN(K$3-$O$2,$Q$2)/$Q$2))</f>
        <v>7984.50635074452</v>
      </c>
      <c r="L691" s="15" t="n">
        <f aca="false">K691*(1+IF(L$3&lt;=$O$2,$D691,$D691-($D691-$I$670)*MIN(L$3-$O$2,$Q$2)/$Q$2))</f>
        <v>8599.31331294839</v>
      </c>
      <c r="M691" s="15" t="n">
        <f aca="false">L691*(1+IF(M$3&lt;=$O$2,$D691,$D691-($D691-$I$670)*MIN(M$3-$O$2,$Q$2)/$Q$2))</f>
        <v>9073.56542772383</v>
      </c>
      <c r="N691" s="15" t="n">
        <f aca="false">M691*(1+IF(N$3&lt;=$O$2,$D691,$D691-($D691-$I$670)*MIN(N$3-$O$2,$Q$2)/$Q$2))</f>
        <v>9375.71515646704</v>
      </c>
      <c r="O691" s="15" t="n">
        <f aca="false">SUMPRODUCT(E691:N691,1/(1+$F$670)^$E$3:$N$3)*$E$2</f>
        <v>20213.2055758544</v>
      </c>
      <c r="P691" s="15" t="n">
        <f aca="false">N691*$E$2*(1+$I$670)/($F$670-$I$670)/(1+$F$670)^$N$3</f>
        <v>26743.7732622565</v>
      </c>
      <c r="Q691" s="15" t="n">
        <f aca="false">O691+P691</f>
        <v>46956.9788381108</v>
      </c>
      <c r="R691" s="15" t="n">
        <f aca="false">Q691-$G$2+$I$2</f>
        <v>40769.6788381108</v>
      </c>
      <c r="S691" s="42" t="n">
        <f aca="false">R691/$K$2</f>
        <v>560.793381542102</v>
      </c>
      <c r="T691" s="43" t="n">
        <f aca="false">S691-$M$2</f>
        <v>-0.00441763258834271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0.142549991607666</v>
      </c>
      <c r="C692" s="25" t="n">
        <f aca="false">IF(T691&gt;0,D691,C691)</f>
        <v>0.142551422119141</v>
      </c>
      <c r="D692" s="41" t="n">
        <f aca="false">(B692+C692)/2</f>
        <v>0.142550706863403</v>
      </c>
      <c r="E692" s="15" t="n">
        <f aca="false">$C$2*(1+IF(E$3&lt;=$O$2,$D692,$D692-($D692-$I$670)*MIN(E$3-$O$2,$Q$2)/$Q$2))</f>
        <v>3804.69385385513</v>
      </c>
      <c r="F692" s="15" t="n">
        <f aca="false">E692*(1+IF(F$3&lt;=$O$2,$D692,$D692-($D692-$I$670)*MIN(F$3-$O$2,$Q$2)/$Q$2))</f>
        <v>4347.05565212103</v>
      </c>
      <c r="G692" s="15" t="n">
        <f aca="false">F692*(1+IF(G$3&lt;=$O$2,$D692,$D692-($D692-$I$670)*MIN(G$3-$O$2,$Q$2)/$Q$2))</f>
        <v>4966.73150810543</v>
      </c>
      <c r="H692" s="15" t="n">
        <f aca="false">G692*(1+IF(H$3&lt;=$O$2,$D692,$D692-($D692-$I$670)*MIN(H$3-$O$2,$Q$2)/$Q$2))</f>
        <v>5674.7425953866</v>
      </c>
      <c r="I692" s="15" t="n">
        <f aca="false">H692*(1+IF(I$3&lt;=$O$2,$D692,$D692-($D692-$I$670)*MIN(I$3-$O$2,$Q$2)/$Q$2))</f>
        <v>6483.68116362682</v>
      </c>
      <c r="J692" s="15" t="n">
        <f aca="false">I692*(1+IF(J$3&lt;=$O$2,$D692,$D692-($D692-$I$670)*MIN(J$3-$O$2,$Q$2)/$Q$2))</f>
        <v>7266.26514653813</v>
      </c>
      <c r="K692" s="15" t="n">
        <f aca="false">J692*(1+IF(K$3&lt;=$O$2,$D692,$D692-($D692-$I$670)*MIN(K$3-$O$2,$Q$2)/$Q$2))</f>
        <v>7984.53853802757</v>
      </c>
      <c r="L692" s="15" t="n">
        <f aca="false">K692*(1+IF(L$3&lt;=$O$2,$D692,$D692-($D692-$I$670)*MIN(L$3-$O$2,$Q$2)/$Q$2))</f>
        <v>8599.35026304693</v>
      </c>
      <c r="M692" s="15" t="n">
        <f aca="false">L692*(1+IF(M$3&lt;=$O$2,$D692,$D692-($D692-$I$670)*MIN(M$3-$O$2,$Q$2)/$Q$2))</f>
        <v>9073.60564576716</v>
      </c>
      <c r="N692" s="15" t="n">
        <f aca="false">M692*(1+IF(N$3&lt;=$O$2,$D692,$D692-($D692-$I$670)*MIN(N$3-$O$2,$Q$2)/$Q$2))</f>
        <v>9375.75671377121</v>
      </c>
      <c r="O692" s="15" t="n">
        <f aca="false">SUMPRODUCT(E692:N692,1/(1+$F$670)^$E$3:$N$3)*$E$2</f>
        <v>20213.2672775333</v>
      </c>
      <c r="P692" s="15" t="n">
        <f aca="false">N692*$E$2*(1+$I$670)/($F$670-$I$670)/(1+$F$670)^$N$3</f>
        <v>26743.8918024533</v>
      </c>
      <c r="Q692" s="15" t="n">
        <f aca="false">O692+P692</f>
        <v>46957.1590799866</v>
      </c>
      <c r="R692" s="15" t="n">
        <f aca="false">Q692-$G$2+$I$2</f>
        <v>40769.8590799866</v>
      </c>
      <c r="S692" s="42" t="n">
        <f aca="false">R692/$K$2</f>
        <v>560.795860797614</v>
      </c>
      <c r="T692" s="43" t="n">
        <f aca="false">S692-$M$2</f>
        <v>-0.00193837707615785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0.142550706863403</v>
      </c>
      <c r="C693" s="25" t="n">
        <f aca="false">IF(T692&gt;0,D692,C692)</f>
        <v>0.142551422119141</v>
      </c>
      <c r="D693" s="41" t="n">
        <f aca="false">(B693+C693)/2</f>
        <v>0.142551064491272</v>
      </c>
      <c r="E693" s="15" t="n">
        <f aca="false">$C$2*(1+IF(E$3&lt;=$O$2,$D693,$D693-($D693-$I$670)*MIN(E$3-$O$2,$Q$2)/$Q$2))</f>
        <v>3804.69504475594</v>
      </c>
      <c r="F693" s="15" t="n">
        <f aca="false">E693*(1+IF(F$3&lt;=$O$2,$D693,$D693-($D693-$I$670)*MIN(F$3-$O$2,$Q$2)/$Q$2))</f>
        <v>4347.05837345056</v>
      </c>
      <c r="G693" s="15" t="n">
        <f aca="false">F693*(1+IF(G$3&lt;=$O$2,$D693,$D693-($D693-$I$670)*MIN(G$3-$O$2,$Q$2)/$Q$2))</f>
        <v>4966.73617199164</v>
      </c>
      <c r="H693" s="15" t="n">
        <f aca="false">G693*(1+IF(H$3&lt;=$O$2,$D693,$D693-($D693-$I$670)*MIN(H$3-$O$2,$Q$2)/$Q$2))</f>
        <v>5674.74970035635</v>
      </c>
      <c r="I693" s="15" t="n">
        <f aca="false">H693*(1+IF(I$3&lt;=$O$2,$D693,$D693-($D693-$I$670)*MIN(I$3-$O$2,$Q$2)/$Q$2))</f>
        <v>6483.69131086367</v>
      </c>
      <c r="J693" s="15" t="n">
        <f aca="false">I693*(1+IF(J$3&lt;=$O$2,$D693,$D693-($D693-$I$670)*MIN(J$3-$O$2,$Q$2)/$Q$2))</f>
        <v>7266.27837355117</v>
      </c>
      <c r="K693" s="15" t="n">
        <f aca="false">J693*(1+IF(K$3&lt;=$O$2,$D693,$D693-($D693-$I$670)*MIN(K$3-$O$2,$Q$2)/$Q$2))</f>
        <v>7984.55463171065</v>
      </c>
      <c r="L693" s="15" t="n">
        <f aca="false">K693*(1+IF(L$3&lt;=$O$2,$D693,$D693-($D693-$I$670)*MIN(L$3-$O$2,$Q$2)/$Q$2))</f>
        <v>8599.36873814785</v>
      </c>
      <c r="M693" s="15" t="n">
        <f aca="false">L693*(1+IF(M$3&lt;=$O$2,$D693,$D693-($D693-$I$670)*MIN(M$3-$O$2,$Q$2)/$Q$2))</f>
        <v>9073.6257548473</v>
      </c>
      <c r="N693" s="15" t="n">
        <f aca="false">M693*(1+IF(N$3&lt;=$O$2,$D693,$D693-($D693-$I$670)*MIN(N$3-$O$2,$Q$2)/$Q$2))</f>
        <v>9375.77749248371</v>
      </c>
      <c r="O693" s="15" t="n">
        <f aca="false">SUMPRODUCT(E693:N693,1/(1+$F$670)^$E$3:$N$3)*$E$2</f>
        <v>20213.2981284424</v>
      </c>
      <c r="P693" s="15" t="n">
        <f aca="false">N693*$E$2*(1+$I$670)/($F$670-$I$670)/(1+$F$670)^$N$3</f>
        <v>26743.9510727241</v>
      </c>
      <c r="Q693" s="15" t="n">
        <f aca="false">O693+P693</f>
        <v>46957.2492011665</v>
      </c>
      <c r="R693" s="15" t="n">
        <f aca="false">Q693-$G$2+$I$2</f>
        <v>40769.9492011665</v>
      </c>
      <c r="S693" s="42" t="n">
        <f aca="false">R693/$K$2</f>
        <v>560.7971004287</v>
      </c>
      <c r="T693" s="43" t="n">
        <f aca="false">S693-$M$2</f>
        <v>-0.000698745990803218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0.142551064491272</v>
      </c>
      <c r="C694" s="25" t="n">
        <f aca="false">IF(T693&gt;0,D693,C693)</f>
        <v>0.142551422119141</v>
      </c>
      <c r="D694" s="41" t="n">
        <f aca="false">(B694+C694)/2</f>
        <v>0.142551243305206</v>
      </c>
      <c r="E694" s="15" t="n">
        <f aca="false">$C$2*(1+IF(E$3&lt;=$O$2,$D694,$D694-($D694-$I$670)*MIN(E$3-$O$2,$Q$2)/$Q$2))</f>
        <v>3804.69564020634</v>
      </c>
      <c r="F694" s="15" t="n">
        <f aca="false">E694*(1+IF(F$3&lt;=$O$2,$D694,$D694-($D694-$I$670)*MIN(F$3-$O$2,$Q$2)/$Q$2))</f>
        <v>4347.05973411565</v>
      </c>
      <c r="G694" s="15" t="n">
        <f aca="false">F694*(1+IF(G$3&lt;=$O$2,$D694,$D694-($D694-$I$670)*MIN(G$3-$O$2,$Q$2)/$Q$2))</f>
        <v>4966.73850393583</v>
      </c>
      <c r="H694" s="15" t="n">
        <f aca="false">G694*(1+IF(H$3&lt;=$O$2,$D694,$D694-($D694-$I$670)*MIN(H$3-$O$2,$Q$2)/$Q$2))</f>
        <v>5674.75325284373</v>
      </c>
      <c r="I694" s="15" t="n">
        <f aca="false">H694*(1+IF(I$3&lt;=$O$2,$D694,$D694-($D694-$I$670)*MIN(I$3-$O$2,$Q$2)/$Q$2))</f>
        <v>6483.69638448686</v>
      </c>
      <c r="J694" s="15" t="n">
        <f aca="false">I694*(1+IF(J$3&lt;=$O$2,$D694,$D694-($D694-$I$670)*MIN(J$3-$O$2,$Q$2)/$Q$2))</f>
        <v>7266.28498706521</v>
      </c>
      <c r="K694" s="15" t="n">
        <f aca="false">J694*(1+IF(K$3&lt;=$O$2,$D694,$D694-($D694-$I$670)*MIN(K$3-$O$2,$Q$2)/$Q$2))</f>
        <v>7984.56267856258</v>
      </c>
      <c r="L694" s="15" t="n">
        <f aca="false">K694*(1+IF(L$3&lt;=$O$2,$D694,$D694-($D694-$I$670)*MIN(L$3-$O$2,$Q$2)/$Q$2))</f>
        <v>8599.37797571123</v>
      </c>
      <c r="M694" s="15" t="n">
        <f aca="false">L694*(1+IF(M$3&lt;=$O$2,$D694,$D694-($D694-$I$670)*MIN(M$3-$O$2,$Q$2)/$Q$2))</f>
        <v>9073.63580940199</v>
      </c>
      <c r="N694" s="15" t="n">
        <f aca="false">M694*(1+IF(N$3&lt;=$O$2,$D694,$D694-($D694-$I$670)*MIN(N$3-$O$2,$Q$2)/$Q$2))</f>
        <v>9375.78788185508</v>
      </c>
      <c r="O694" s="15" t="n">
        <f aca="false">SUMPRODUCT(E694:N694,1/(1+$F$670)^$E$3:$N$3)*$E$2</f>
        <v>20213.3135539144</v>
      </c>
      <c r="P694" s="15" t="n">
        <f aca="false">N694*$E$2*(1+$I$670)/($F$670-$I$670)/(1+$F$670)^$N$3</f>
        <v>26743.9807079026</v>
      </c>
      <c r="Q694" s="15" t="n">
        <f aca="false">O694+P694</f>
        <v>46957.294261817</v>
      </c>
      <c r="R694" s="15" t="n">
        <f aca="false">Q694-$G$2+$I$2</f>
        <v>40769.9942618169</v>
      </c>
      <c r="S694" s="42" t="n">
        <f aca="false">R694/$K$2</f>
        <v>560.797720245075</v>
      </c>
      <c r="T694" s="43" t="n">
        <f aca="false">S694-$M$2</f>
        <v>-7.89296155971897E-005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0.142551243305206</v>
      </c>
      <c r="C695" s="25" t="n">
        <f aca="false">IF(T694&gt;0,D694,C694)</f>
        <v>0.142551422119141</v>
      </c>
      <c r="D695" s="41" t="n">
        <f aca="false">(B695+C695)/2</f>
        <v>0.142551332712173</v>
      </c>
      <c r="E695" s="15" t="n">
        <f aca="false">$C$2*(1+IF(E$3&lt;=$O$2,$D695,$D695-($D695-$I$670)*MIN(E$3-$O$2,$Q$2)/$Q$2))</f>
        <v>3804.69593793154</v>
      </c>
      <c r="F695" s="15" t="n">
        <f aca="false">E695*(1+IF(F$3&lt;=$O$2,$D695,$D695-($D695-$I$670)*MIN(F$3-$O$2,$Q$2)/$Q$2))</f>
        <v>4347.06041444827</v>
      </c>
      <c r="G695" s="15" t="n">
        <f aca="false">F695*(1+IF(G$3&lt;=$O$2,$D695,$D695-($D695-$I$670)*MIN(G$3-$O$2,$Q$2)/$Q$2))</f>
        <v>4966.73966990821</v>
      </c>
      <c r="H695" s="15" t="n">
        <f aca="false">G695*(1+IF(H$3&lt;=$O$2,$D695,$D695-($D695-$I$670)*MIN(H$3-$O$2,$Q$2)/$Q$2))</f>
        <v>5674.75502908804</v>
      </c>
      <c r="I695" s="15" t="n">
        <f aca="false">H695*(1+IF(I$3&lt;=$O$2,$D695,$D695-($D695-$I$670)*MIN(I$3-$O$2,$Q$2)/$Q$2))</f>
        <v>6483.69892129965</v>
      </c>
      <c r="J695" s="15" t="n">
        <f aca="false">I695*(1+IF(J$3&lt;=$O$2,$D695,$D695-($D695-$I$670)*MIN(J$3-$O$2,$Q$2)/$Q$2))</f>
        <v>7266.2882938241</v>
      </c>
      <c r="K695" s="15" t="n">
        <f aca="false">J695*(1+IF(K$3&lt;=$O$2,$D695,$D695-($D695-$I$670)*MIN(K$3-$O$2,$Q$2)/$Q$2))</f>
        <v>7984.56670199113</v>
      </c>
      <c r="L695" s="15" t="n">
        <f aca="false">K695*(1+IF(L$3&lt;=$O$2,$D695,$D695-($D695-$I$670)*MIN(L$3-$O$2,$Q$2)/$Q$2))</f>
        <v>8599.38259449615</v>
      </c>
      <c r="M695" s="15" t="n">
        <f aca="false">L695*(1+IF(M$3&lt;=$O$2,$D695,$D695-($D695-$I$670)*MIN(M$3-$O$2,$Q$2)/$Q$2))</f>
        <v>9073.64083668298</v>
      </c>
      <c r="N695" s="15" t="n">
        <f aca="false">M695*(1+IF(N$3&lt;=$O$2,$D695,$D695-($D695-$I$670)*MIN(N$3-$O$2,$Q$2)/$Q$2))</f>
        <v>9375.79307654453</v>
      </c>
      <c r="O695" s="15" t="n">
        <f aca="false">SUMPRODUCT(E695:N695,1/(1+$F$670)^$E$3:$N$3)*$E$2</f>
        <v>20213.3212666548</v>
      </c>
      <c r="P695" s="15" t="n">
        <f aca="false">N695*$E$2*(1+$I$670)/($F$670-$I$670)/(1+$F$670)^$N$3</f>
        <v>26743.9955255025</v>
      </c>
      <c r="Q695" s="15" t="n">
        <f aca="false">O695+P695</f>
        <v>46957.3167921573</v>
      </c>
      <c r="R695" s="15" t="n">
        <f aca="false">Q695-$G$2+$I$2</f>
        <v>40770.0167921573</v>
      </c>
      <c r="S695" s="42" t="n">
        <f aca="false">R695/$K$2</f>
        <v>560.79803015347</v>
      </c>
      <c r="T695" s="43" t="n">
        <f aca="false">S695-$M$2</f>
        <v>0.000230978779882207</v>
      </c>
    </row>
    <row r="697" customFormat="false" ht="15" hidden="false" customHeight="false" outlineLevel="0" collapsed="false">
      <c r="A697" s="38" t="s">
        <v>206</v>
      </c>
      <c r="E697" s="5" t="s">
        <v>11</v>
      </c>
      <c r="F697" s="12" t="n">
        <f aca="false">Sensitivity!$B$14</f>
        <v>0.105330622875929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162</v>
      </c>
      <c r="B698" s="28" t="s">
        <v>163</v>
      </c>
      <c r="C698" s="28" t="s">
        <v>164</v>
      </c>
      <c r="D698" s="28" t="s">
        <v>165</v>
      </c>
      <c r="E698" s="28" t="s">
        <v>166</v>
      </c>
      <c r="F698" s="28" t="s">
        <v>167</v>
      </c>
      <c r="G698" s="28" t="s">
        <v>168</v>
      </c>
      <c r="H698" s="28" t="s">
        <v>169</v>
      </c>
      <c r="I698" s="28" t="s">
        <v>170</v>
      </c>
      <c r="J698" s="28" t="s">
        <v>171</v>
      </c>
      <c r="K698" s="28" t="s">
        <v>172</v>
      </c>
      <c r="L698" s="28" t="s">
        <v>173</v>
      </c>
      <c r="M698" s="28" t="s">
        <v>174</v>
      </c>
      <c r="N698" s="28" t="s">
        <v>175</v>
      </c>
      <c r="O698" s="28" t="s">
        <v>176</v>
      </c>
      <c r="P698" s="28" t="s">
        <v>177</v>
      </c>
      <c r="Q698" s="28" t="s">
        <v>178</v>
      </c>
      <c r="R698" s="28" t="s">
        <v>179</v>
      </c>
      <c r="S698" s="28" t="s">
        <v>180</v>
      </c>
      <c r="T698" s="28" t="s">
        <v>181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4162.5</v>
      </c>
      <c r="F699" s="15" t="n">
        <f aca="false">E699*(1+IF(F$3&lt;=$O$2,$D699,$D699-($D699-$I$697)*MIN(F$3-$O$2,$Q$2)/$Q$2))</f>
        <v>5203.125</v>
      </c>
      <c r="G699" s="15" t="n">
        <f aca="false">F699*(1+IF(G$3&lt;=$O$2,$D699,$D699-($D699-$I$697)*MIN(G$3-$O$2,$Q$2)/$Q$2))</f>
        <v>6503.90625</v>
      </c>
      <c r="H699" s="15" t="n">
        <f aca="false">G699*(1+IF(H$3&lt;=$O$2,$D699,$D699-($D699-$I$697)*MIN(H$3-$O$2,$Q$2)/$Q$2))</f>
        <v>8129.8828125</v>
      </c>
      <c r="I699" s="15" t="n">
        <f aca="false">H699*(1+IF(I$3&lt;=$O$2,$D699,$D699-($D699-$I$697)*MIN(I$3-$O$2,$Q$2)/$Q$2))</f>
        <v>10162.353515625</v>
      </c>
      <c r="J699" s="15" t="n">
        <f aca="false">I699*(1+IF(J$3&lt;=$O$2,$D699,$D699-($D699-$I$697)*MIN(J$3-$O$2,$Q$2)/$Q$2))</f>
        <v>12272.6678466797</v>
      </c>
      <c r="K699" s="15" t="n">
        <f aca="false">J699*(1+IF(K$3&lt;=$O$2,$D699,$D699-($D699-$I$697)*MIN(K$3-$O$2,$Q$2)/$Q$2))</f>
        <v>14301.5852950928</v>
      </c>
      <c r="L699" s="15" t="n">
        <f aca="false">K699*(1+IF(L$3&lt;=$O$2,$D699,$D699-($D699-$I$697)*MIN(L$3-$O$2,$Q$2)/$Q$2))</f>
        <v>16060.3942546833</v>
      </c>
      <c r="M699" s="15" t="n">
        <f aca="false">L699*(1+IF(M$3&lt;=$O$2,$D699,$D699-($D699-$I$697)*MIN(M$3-$O$2,$Q$2)/$Q$2))</f>
        <v>17355.5044473809</v>
      </c>
      <c r="N699" s="15" t="n">
        <f aca="false">M699*(1+IF(N$3&lt;=$O$2,$D699,$D699-($D699-$I$697)*MIN(N$3-$O$2,$Q$2)/$Q$2))</f>
        <v>18020.2202677156</v>
      </c>
      <c r="O699" s="15" t="n">
        <f aca="false">SUMPRODUCT(E699:N699,1/(1+$F$697)^$E$3:$N$3)*$E$2</f>
        <v>32015.0139190657</v>
      </c>
      <c r="P699" s="15" t="n">
        <f aca="false">N699*$E$2*(1+$I$697)/($F$697-$I$697)/(1+$F$697)^$N$3</f>
        <v>55503.288092168</v>
      </c>
      <c r="Q699" s="15" t="n">
        <f aca="false">O699+P699</f>
        <v>87518.3020112338</v>
      </c>
      <c r="R699" s="15" t="n">
        <f aca="false">Q699-$G$2+$I$2</f>
        <v>81331.0020112338</v>
      </c>
      <c r="S699" s="42" t="n">
        <f aca="false">R699/$K$2</f>
        <v>1118.7207979537</v>
      </c>
      <c r="T699" s="43" t="n">
        <f aca="false">S699-$M$2</f>
        <v>557.922998779007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2913.75</v>
      </c>
      <c r="F700" s="15" t="n">
        <f aca="false">E700*(1+IF(F$3&lt;=$O$2,$D700,$D700-($D700-$I$697)*MIN(F$3-$O$2,$Q$2)/$Q$2))</f>
        <v>2549.53125</v>
      </c>
      <c r="G700" s="15" t="n">
        <f aca="false">F700*(1+IF(G$3&lt;=$O$2,$D700,$D700-($D700-$I$697)*MIN(G$3-$O$2,$Q$2)/$Q$2))</f>
        <v>2230.83984375</v>
      </c>
      <c r="H700" s="15" t="n">
        <f aca="false">G700*(1+IF(H$3&lt;=$O$2,$D700,$D700-($D700-$I$697)*MIN(H$3-$O$2,$Q$2)/$Q$2))</f>
        <v>1951.98486328125</v>
      </c>
      <c r="I700" s="15" t="n">
        <f aca="false">H700*(1+IF(I$3&lt;=$O$2,$D700,$D700-($D700-$I$697)*MIN(I$3-$O$2,$Q$2)/$Q$2))</f>
        <v>1707.98675537109</v>
      </c>
      <c r="J700" s="15" t="n">
        <f aca="false">I700*(1+IF(J$3&lt;=$O$2,$D700,$D700-($D700-$I$697)*MIN(J$3-$O$2,$Q$2)/$Q$2))</f>
        <v>1550.27125838013</v>
      </c>
      <c r="K700" s="15" t="n">
        <f aca="false">J700*(1+IF(K$3&lt;=$O$2,$D700,$D700-($D700-$I$697)*MIN(K$3-$O$2,$Q$2)/$Q$2))</f>
        <v>1457.75106968</v>
      </c>
      <c r="L700" s="15" t="n">
        <f aca="false">K700*(1+IF(L$3&lt;=$O$2,$D700,$D700-($D700-$I$697)*MIN(L$3-$O$2,$Q$2)/$Q$2))</f>
        <v>1418.36263577725</v>
      </c>
      <c r="M700" s="15" t="n">
        <f aca="false">L700*(1+IF(M$3&lt;=$O$2,$D700,$D700-($D700-$I$697)*MIN(M$3-$O$2,$Q$2)/$Q$2))</f>
        <v>1426.36220104303</v>
      </c>
      <c r="N700" s="15" t="n">
        <f aca="false">M700*(1+IF(N$3&lt;=$O$2,$D700,$D700-($D700-$I$697)*MIN(N$3-$O$2,$Q$2)/$Q$2))</f>
        <v>1480.99187334298</v>
      </c>
      <c r="O700" s="15" t="n">
        <f aca="false">SUMPRODUCT(E700:N700,1/(1+$F$697)^$E$3:$N$3)*$E$2</f>
        <v>6522.94175984768</v>
      </c>
      <c r="P700" s="15" t="n">
        <f aca="false">N700*$E$2*(1+$I$697)/($F$697-$I$697)/(1+$F$697)^$N$3</f>
        <v>4561.53794943236</v>
      </c>
      <c r="Q700" s="15" t="n">
        <f aca="false">O700+P700</f>
        <v>11084.47970928</v>
      </c>
      <c r="R700" s="15" t="n">
        <f aca="false">Q700-$G$2+$I$2</f>
        <v>4897.17970928004</v>
      </c>
      <c r="S700" s="42" t="n">
        <f aca="false">R700/$K$2</f>
        <v>67.3614815581848</v>
      </c>
      <c r="T700" s="43" t="n">
        <f aca="false">S700-$M$2</f>
        <v>-493.436317616506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3538.125</v>
      </c>
      <c r="F701" s="15" t="n">
        <f aca="false">E701*(1+IF(F$3&lt;=$O$2,$D701,$D701-($D701-$I$697)*MIN(F$3-$O$2,$Q$2)/$Q$2))</f>
        <v>3759.2578125</v>
      </c>
      <c r="G701" s="15" t="n">
        <f aca="false">F701*(1+IF(G$3&lt;=$O$2,$D701,$D701-($D701-$I$697)*MIN(G$3-$O$2,$Q$2)/$Q$2))</f>
        <v>3994.21142578125</v>
      </c>
      <c r="H701" s="15" t="n">
        <f aca="false">G701*(1+IF(H$3&lt;=$O$2,$D701,$D701-($D701-$I$697)*MIN(H$3-$O$2,$Q$2)/$Q$2))</f>
        <v>4243.84963989258</v>
      </c>
      <c r="I701" s="15" t="n">
        <f aca="false">H701*(1+IF(I$3&lt;=$O$2,$D701,$D701-($D701-$I$697)*MIN(I$3-$O$2,$Q$2)/$Q$2))</f>
        <v>4509.09024238586</v>
      </c>
      <c r="J701" s="15" t="n">
        <f aca="false">I701*(1+IF(J$3&lt;=$O$2,$D701,$D701-($D701-$I$697)*MIN(J$3-$O$2,$Q$2)/$Q$2))</f>
        <v>4769.08438576183</v>
      </c>
      <c r="K701" s="15" t="n">
        <f aca="false">J701*(1+IF(K$3&lt;=$O$2,$D701,$D701-($D701-$I$697)*MIN(K$3-$O$2,$Q$2)/$Q$2))</f>
        <v>5020.98742301777</v>
      </c>
      <c r="L701" s="15" t="n">
        <f aca="false">K701*(1+IF(L$3&lt;=$O$2,$D701,$D701-($D701-$I$697)*MIN(L$3-$O$2,$Q$2)/$Q$2))</f>
        <v>5261.89439957417</v>
      </c>
      <c r="M701" s="15" t="n">
        <f aca="false">L701*(1+IF(M$3&lt;=$O$2,$D701,$D701-($D701-$I$697)*MIN(M$3-$O$2,$Q$2)/$Q$2))</f>
        <v>5488.8925239718</v>
      </c>
      <c r="N701" s="15" t="n">
        <f aca="false">M701*(1+IF(N$3&lt;=$O$2,$D701,$D701-($D701-$I$697)*MIN(N$3-$O$2,$Q$2)/$Q$2))</f>
        <v>5699.11710763992</v>
      </c>
      <c r="O701" s="15" t="n">
        <f aca="false">SUMPRODUCT(E701:N701,1/(1+$F$697)^$E$3:$N$3)*$E$2</f>
        <v>14399.0923766327</v>
      </c>
      <c r="P701" s="15" t="n">
        <f aca="false">N701*$E$2*(1+$I$697)/($F$697-$I$697)/(1+$F$697)^$N$3</f>
        <v>17553.6000113744</v>
      </c>
      <c r="Q701" s="15" t="n">
        <f aca="false">O701+P701</f>
        <v>31952.692388007</v>
      </c>
      <c r="R701" s="15" t="n">
        <f aca="false">Q701-$G$2+$I$2</f>
        <v>25765.392388007</v>
      </c>
      <c r="S701" s="42" t="n">
        <f aca="false">R701/$K$2</f>
        <v>354.407047978088</v>
      </c>
      <c r="T701" s="43" t="n">
        <f aca="false">S701-$M$2</f>
        <v>-206.390751196602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0.0625</v>
      </c>
      <c r="C702" s="25" t="n">
        <f aca="false">IF(T701&gt;0,D701,C701)</f>
        <v>0.25</v>
      </c>
      <c r="D702" s="41" t="n">
        <f aca="false">(B702+C702)/2</f>
        <v>0.15625</v>
      </c>
      <c r="E702" s="15" t="n">
        <f aca="false">$C$2*(1+IF(E$3&lt;=$O$2,$D702,$D702-($D702-$I$697)*MIN(E$3-$O$2,$Q$2)/$Q$2))</f>
        <v>3850.3125</v>
      </c>
      <c r="F702" s="15" t="n">
        <f aca="false">E702*(1+IF(F$3&lt;=$O$2,$D702,$D702-($D702-$I$697)*MIN(F$3-$O$2,$Q$2)/$Q$2))</f>
        <v>4451.923828125</v>
      </c>
      <c r="G702" s="15" t="n">
        <f aca="false">F702*(1+IF(G$3&lt;=$O$2,$D702,$D702-($D702-$I$697)*MIN(G$3-$O$2,$Q$2)/$Q$2))</f>
        <v>5147.53692626953</v>
      </c>
      <c r="H702" s="15" t="n">
        <f aca="false">G702*(1+IF(H$3&lt;=$O$2,$D702,$D702-($D702-$I$697)*MIN(H$3-$O$2,$Q$2)/$Q$2))</f>
        <v>5951.83957099915</v>
      </c>
      <c r="I702" s="15" t="n">
        <f aca="false">H702*(1+IF(I$3&lt;=$O$2,$D702,$D702-($D702-$I$697)*MIN(I$3-$O$2,$Q$2)/$Q$2))</f>
        <v>6881.81450396776</v>
      </c>
      <c r="J702" s="15" t="n">
        <f aca="false">I702*(1+IF(J$3&lt;=$O$2,$D702,$D702-($D702-$I$697)*MIN(J$3-$O$2,$Q$2)/$Q$2))</f>
        <v>7794.75601606413</v>
      </c>
      <c r="K702" s="15" t="n">
        <f aca="false">J702*(1+IF(K$3&lt;=$O$2,$D702,$D702-($D702-$I$697)*MIN(K$3-$O$2,$Q$2)/$Q$2))</f>
        <v>8644.93005473624</v>
      </c>
      <c r="L702" s="15" t="n">
        <f aca="false">K702*(1+IF(L$3&lt;=$O$2,$D702,$D702-($D702-$I$697)*MIN(L$3-$O$2,$Q$2)/$Q$2))</f>
        <v>9383.89867581509</v>
      </c>
      <c r="M702" s="15" t="n">
        <f aca="false">L702*(1+IF(M$3&lt;=$O$2,$D702,$D702-($D702-$I$697)*MIN(M$3-$O$2,$Q$2)/$Q$2))</f>
        <v>9964.66816486129</v>
      </c>
      <c r="N702" s="15" t="n">
        <f aca="false">M702*(1+IF(N$3&lt;=$O$2,$D702,$D702-($D702-$I$697)*MIN(N$3-$O$2,$Q$2)/$Q$2))</f>
        <v>10346.3149555755</v>
      </c>
      <c r="O702" s="15" t="n">
        <f aca="false">SUMPRODUCT(E702:N702,1/(1+$F$697)^$E$3:$N$3)*$E$2</f>
        <v>21499.2602281163</v>
      </c>
      <c r="P702" s="15" t="n">
        <f aca="false">N702*$E$2*(1+$I$697)/($F$697-$I$697)/(1+$F$697)^$N$3</f>
        <v>31867.2297641348</v>
      </c>
      <c r="Q702" s="15" t="n">
        <f aca="false">O702+P702</f>
        <v>53366.4899922511</v>
      </c>
      <c r="R702" s="15" t="n">
        <f aca="false">Q702-$G$2+$I$2</f>
        <v>47179.1899922511</v>
      </c>
      <c r="S702" s="42" t="n">
        <f aca="false">R702/$K$2</f>
        <v>648.957221351459</v>
      </c>
      <c r="T702" s="43" t="n">
        <f aca="false">S702-$M$2</f>
        <v>88.1594221767689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0.0625</v>
      </c>
      <c r="C703" s="25" t="n">
        <f aca="false">IF(T702&gt;0,D702,C702)</f>
        <v>0.15625</v>
      </c>
      <c r="D703" s="41" t="n">
        <f aca="false">(B703+C703)/2</f>
        <v>0.109375</v>
      </c>
      <c r="E703" s="15" t="n">
        <f aca="false">$C$2*(1+IF(E$3&lt;=$O$2,$D703,$D703-($D703-$I$697)*MIN(E$3-$O$2,$Q$2)/$Q$2))</f>
        <v>3694.21875</v>
      </c>
      <c r="F703" s="15" t="n">
        <f aca="false">E703*(1+IF(F$3&lt;=$O$2,$D703,$D703-($D703-$I$697)*MIN(F$3-$O$2,$Q$2)/$Q$2))</f>
        <v>4098.27392578125</v>
      </c>
      <c r="G703" s="15" t="n">
        <f aca="false">F703*(1+IF(G$3&lt;=$O$2,$D703,$D703-($D703-$I$697)*MIN(G$3-$O$2,$Q$2)/$Q$2))</f>
        <v>4546.52263641357</v>
      </c>
      <c r="H703" s="15" t="n">
        <f aca="false">G703*(1+IF(H$3&lt;=$O$2,$D703,$D703-($D703-$I$697)*MIN(H$3-$O$2,$Q$2)/$Q$2))</f>
        <v>5043.79854977131</v>
      </c>
      <c r="I703" s="15" t="n">
        <f aca="false">H703*(1+IF(I$3&lt;=$O$2,$D703,$D703-($D703-$I$697)*MIN(I$3-$O$2,$Q$2)/$Q$2))</f>
        <v>5595.46401615255</v>
      </c>
      <c r="J703" s="15" t="n">
        <f aca="false">I703*(1+IF(J$3&lt;=$O$2,$D703,$D703-($D703-$I$697)*MIN(J$3-$O$2,$Q$2)/$Q$2))</f>
        <v>6127.92837192962</v>
      </c>
      <c r="K703" s="15" t="n">
        <f aca="false">J703*(1+IF(K$3&lt;=$O$2,$D703,$D703-($D703-$I$697)*MIN(K$3-$O$2,$Q$2)/$Q$2))</f>
        <v>6623.95353399547</v>
      </c>
      <c r="L703" s="15" t="n">
        <f aca="false">K703*(1+IF(L$3&lt;=$O$2,$D703,$D703-($D703-$I$697)*MIN(L$3-$O$2,$Q$2)/$Q$2))</f>
        <v>7065.96995331898</v>
      </c>
      <c r="M703" s="15" t="n">
        <f aca="false">L703*(1+IF(M$3&lt;=$O$2,$D703,$D703-($D703-$I$697)*MIN(M$3-$O$2,$Q$2)/$Q$2))</f>
        <v>7437.03936541753</v>
      </c>
      <c r="N703" s="15" t="n">
        <f aca="false">M703*(1+IF(N$3&lt;=$O$2,$D703,$D703-($D703-$I$697)*MIN(N$3-$O$2,$Q$2)/$Q$2))</f>
        <v>7721.87797311302</v>
      </c>
      <c r="O703" s="15" t="n">
        <f aca="false">SUMPRODUCT(E703:N703,1/(1+$F$697)^$E$3:$N$3)*$E$2</f>
        <v>17596.024832129</v>
      </c>
      <c r="P703" s="15" t="n">
        <f aca="false">N703*$E$2*(1+$I$697)/($F$697-$I$697)/(1+$F$697)^$N$3</f>
        <v>23783.8168117237</v>
      </c>
      <c r="Q703" s="15" t="n">
        <f aca="false">O703+P703</f>
        <v>41379.8416438527</v>
      </c>
      <c r="R703" s="15" t="n">
        <f aca="false">Q703-$G$2+$I$2</f>
        <v>35192.5416438527</v>
      </c>
      <c r="S703" s="42" t="n">
        <f aca="false">R703/$K$2</f>
        <v>484.078977219431</v>
      </c>
      <c r="T703" s="43" t="n">
        <f aca="false">S703-$M$2</f>
        <v>-76.7188219552591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0.109375</v>
      </c>
      <c r="C704" s="25" t="n">
        <f aca="false">IF(T703&gt;0,D703,C703)</f>
        <v>0.15625</v>
      </c>
      <c r="D704" s="41" t="n">
        <f aca="false">(B704+C704)/2</f>
        <v>0.1328125</v>
      </c>
      <c r="E704" s="15" t="n">
        <f aca="false">$C$2*(1+IF(E$3&lt;=$O$2,$D704,$D704-($D704-$I$697)*MIN(E$3-$O$2,$Q$2)/$Q$2))</f>
        <v>3772.265625</v>
      </c>
      <c r="F704" s="15" t="n">
        <f aca="false">E704*(1+IF(F$3&lt;=$O$2,$D704,$D704-($D704-$I$697)*MIN(F$3-$O$2,$Q$2)/$Q$2))</f>
        <v>4273.26965332031</v>
      </c>
      <c r="G704" s="15" t="n">
        <f aca="false">F704*(1+IF(G$3&lt;=$O$2,$D704,$D704-($D704-$I$697)*MIN(G$3-$O$2,$Q$2)/$Q$2))</f>
        <v>4840.81327915192</v>
      </c>
      <c r="H704" s="15" t="n">
        <f aca="false">G704*(1+IF(H$3&lt;=$O$2,$D704,$D704-($D704-$I$697)*MIN(H$3-$O$2,$Q$2)/$Q$2))</f>
        <v>5483.73379278928</v>
      </c>
      <c r="I704" s="15" t="n">
        <f aca="false">H704*(1+IF(I$3&lt;=$O$2,$D704,$D704-($D704-$I$697)*MIN(I$3-$O$2,$Q$2)/$Q$2))</f>
        <v>6212.04218714411</v>
      </c>
      <c r="J704" s="15" t="n">
        <f aca="false">I704*(1+IF(J$3&lt;=$O$2,$D704,$D704-($D704-$I$697)*MIN(J$3-$O$2,$Q$2)/$Q$2))</f>
        <v>6919.65591268169</v>
      </c>
      <c r="K704" s="15" t="n">
        <f aca="false">J704*(1+IF(K$3&lt;=$O$2,$D704,$D704-($D704-$I$697)*MIN(K$3-$O$2,$Q$2)/$Q$2))</f>
        <v>7577.0751218058</v>
      </c>
      <c r="L704" s="15" t="n">
        <f aca="false">K704*(1+IF(L$3&lt;=$O$2,$D704,$D704-($D704-$I$697)*MIN(L$3-$O$2,$Q$2)/$Q$2))</f>
        <v>8153.72842395083</v>
      </c>
      <c r="M704" s="15" t="n">
        <f aca="false">L704*(1+IF(M$3&lt;=$O$2,$D704,$D704-($D704-$I$697)*MIN(M$3-$O$2,$Q$2)/$Q$2))</f>
        <v>8620.14207412188</v>
      </c>
      <c r="N704" s="15" t="n">
        <f aca="false">M704*(1+IF(N$3&lt;=$O$2,$D704,$D704-($D704-$I$697)*MIN(N$3-$O$2,$Q$2)/$Q$2))</f>
        <v>8950.29351556074</v>
      </c>
      <c r="O704" s="15" t="n">
        <f aca="false">SUMPRODUCT(E704:N704,1/(1+$F$697)^$E$3:$N$3)*$E$2</f>
        <v>19451.0281139709</v>
      </c>
      <c r="P704" s="15" t="n">
        <f aca="false">N704*$E$2*(1+$I$697)/($F$697-$I$697)/(1+$F$697)^$N$3</f>
        <v>27567.4055102216</v>
      </c>
      <c r="Q704" s="15" t="n">
        <f aca="false">O704+P704</f>
        <v>47018.4336241926</v>
      </c>
      <c r="R704" s="15" t="n">
        <f aca="false">Q704-$G$2+$I$2</f>
        <v>40831.1336241926</v>
      </c>
      <c r="S704" s="42" t="n">
        <f aca="false">R704/$K$2</f>
        <v>561.63870184584</v>
      </c>
      <c r="T704" s="43" t="n">
        <f aca="false">S704-$M$2</f>
        <v>0.840902671149365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0.109375</v>
      </c>
      <c r="C705" s="25" t="n">
        <f aca="false">IF(T704&gt;0,D704,C704)</f>
        <v>0.1328125</v>
      </c>
      <c r="D705" s="41" t="n">
        <f aca="false">(B705+C705)/2</f>
        <v>0.12109375</v>
      </c>
      <c r="E705" s="15" t="n">
        <f aca="false">$C$2*(1+IF(E$3&lt;=$O$2,$D705,$D705-($D705-$I$697)*MIN(E$3-$O$2,$Q$2)/$Q$2))</f>
        <v>3733.2421875</v>
      </c>
      <c r="F705" s="15" t="n">
        <f aca="false">E705*(1+IF(F$3&lt;=$O$2,$D705,$D705-($D705-$I$697)*MIN(F$3-$O$2,$Q$2)/$Q$2))</f>
        <v>4185.31448364258</v>
      </c>
      <c r="G705" s="15" t="n">
        <f aca="false">F705*(1+IF(G$3&lt;=$O$2,$D705,$D705-($D705-$I$697)*MIN(G$3-$O$2,$Q$2)/$Q$2))</f>
        <v>4692.12990939617</v>
      </c>
      <c r="H705" s="15" t="n">
        <f aca="false">G705*(1+IF(H$3&lt;=$O$2,$D705,$D705-($D705-$I$697)*MIN(H$3-$O$2,$Q$2)/$Q$2))</f>
        <v>5260.31751561211</v>
      </c>
      <c r="I705" s="15" t="n">
        <f aca="false">H705*(1+IF(I$3&lt;=$O$2,$D705,$D705-($D705-$I$697)*MIN(I$3-$O$2,$Q$2)/$Q$2))</f>
        <v>5897.30908976827</v>
      </c>
      <c r="J705" s="15" t="n">
        <f aca="false">I705*(1+IF(J$3&lt;=$O$2,$D705,$D705-($D705-$I$697)*MIN(J$3-$O$2,$Q$2)/$Q$2))</f>
        <v>6513.7842954672</v>
      </c>
      <c r="K705" s="15" t="n">
        <f aca="false">J705*(1+IF(K$3&lt;=$O$2,$D705,$D705-($D705-$I$697)*MIN(K$3-$O$2,$Q$2)/$Q$2))</f>
        <v>7086.84261109129</v>
      </c>
      <c r="L705" s="15" t="n">
        <f aca="false">K705*(1+IF(L$3&lt;=$O$2,$D705,$D705-($D705-$I$697)*MIN(L$3-$O$2,$Q$2)/$Q$2))</f>
        <v>7592.9671932689</v>
      </c>
      <c r="M705" s="15" t="n">
        <f aca="false">L705*(1+IF(M$3&lt;=$O$2,$D705,$D705-($D705-$I$697)*MIN(M$3-$O$2,$Q$2)/$Q$2))</f>
        <v>8009.50788228264</v>
      </c>
      <c r="N705" s="15" t="n">
        <f aca="false">M705*(1+IF(N$3&lt;=$O$2,$D705,$D705-($D705-$I$697)*MIN(N$3-$O$2,$Q$2)/$Q$2))</f>
        <v>8316.27203417407</v>
      </c>
      <c r="O705" s="15" t="n">
        <f aca="false">SUMPRODUCT(E705:N705,1/(1+$F$697)^$E$3:$N$3)*$E$2</f>
        <v>18500.4658465023</v>
      </c>
      <c r="P705" s="15" t="n">
        <f aca="false">N705*$E$2*(1+$I$697)/($F$697-$I$697)/(1+$F$697)^$N$3</f>
        <v>25614.5838235149</v>
      </c>
      <c r="Q705" s="15" t="n">
        <f aca="false">O705+P705</f>
        <v>44115.0496700172</v>
      </c>
      <c r="R705" s="15" t="n">
        <f aca="false">Q705-$G$2+$I$2</f>
        <v>37927.7496700172</v>
      </c>
      <c r="S705" s="42" t="n">
        <f aca="false">R705/$K$2</f>
        <v>521.702196286344</v>
      </c>
      <c r="T705" s="43" t="n">
        <f aca="false">S705-$M$2</f>
        <v>-39.0956028883468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0.12109375</v>
      </c>
      <c r="C706" s="25" t="n">
        <f aca="false">IF(T705&gt;0,D705,C705)</f>
        <v>0.1328125</v>
      </c>
      <c r="D706" s="41" t="n">
        <f aca="false">(B706+C706)/2</f>
        <v>0.126953125</v>
      </c>
      <c r="E706" s="15" t="n">
        <f aca="false">$C$2*(1+IF(E$3&lt;=$O$2,$D706,$D706-($D706-$I$697)*MIN(E$3-$O$2,$Q$2)/$Q$2))</f>
        <v>3752.75390625</v>
      </c>
      <c r="F706" s="15" t="n">
        <f aca="false">E706*(1+IF(F$3&lt;=$O$2,$D706,$D706-($D706-$I$697)*MIN(F$3-$O$2,$Q$2)/$Q$2))</f>
        <v>4229.17774200439</v>
      </c>
      <c r="G706" s="15" t="n">
        <f aca="false">F706*(1+IF(G$3&lt;=$O$2,$D706,$D706-($D706-$I$697)*MIN(G$3-$O$2,$Q$2)/$Q$2))</f>
        <v>4766.0850725323</v>
      </c>
      <c r="H706" s="15" t="n">
        <f aca="false">G706*(1+IF(H$3&lt;=$O$2,$D706,$D706-($D706-$I$697)*MIN(H$3-$O$2,$Q$2)/$Q$2))</f>
        <v>5371.15446650612</v>
      </c>
      <c r="I706" s="15" t="n">
        <f aca="false">H706*(1+IF(I$3&lt;=$O$2,$D706,$D706-($D706-$I$697)*MIN(I$3-$O$2,$Q$2)/$Q$2))</f>
        <v>6053.03931088678</v>
      </c>
      <c r="J706" s="15" t="n">
        <f aca="false">I706*(1+IF(J$3&lt;=$O$2,$D706,$D706-($D706-$I$697)*MIN(J$3-$O$2,$Q$2)/$Q$2))</f>
        <v>6714.16739702012</v>
      </c>
      <c r="K706" s="15" t="n">
        <f aca="false">J706*(1+IF(K$3&lt;=$O$2,$D706,$D706-($D706-$I$697)*MIN(K$3-$O$2,$Q$2)/$Q$2))</f>
        <v>7328.45916123735</v>
      </c>
      <c r="L706" s="15" t="n">
        <f aca="false">K706*(1+IF(L$3&lt;=$O$2,$D706,$D706-($D706-$I$697)*MIN(L$3-$O$2,$Q$2)/$Q$2))</f>
        <v>7869.01546954417</v>
      </c>
      <c r="M706" s="15" t="n">
        <f aca="false">L706*(1+IF(M$3&lt;=$O$2,$D706,$D706-($D706-$I$697)*MIN(M$3-$O$2,$Q$2)/$Q$2))</f>
        <v>8309.9213244374</v>
      </c>
      <c r="N706" s="15" t="n">
        <f aca="false">M706*(1+IF(N$3&lt;=$O$2,$D706,$D706-($D706-$I$697)*MIN(N$3-$O$2,$Q$2)/$Q$2))</f>
        <v>8628.19131116336</v>
      </c>
      <c r="O706" s="15" t="n">
        <f aca="false">SUMPRODUCT(E706:N706,1/(1+$F$697)^$E$3:$N$3)*$E$2</f>
        <v>18969.8485798916</v>
      </c>
      <c r="P706" s="15" t="n">
        <f aca="false">N706*$E$2*(1+$I$697)/($F$697-$I$697)/(1+$F$697)^$N$3</f>
        <v>26575.3126733866</v>
      </c>
      <c r="Q706" s="15" t="n">
        <f aca="false">O706+P706</f>
        <v>45545.1612532781</v>
      </c>
      <c r="R706" s="15" t="n">
        <f aca="false">Q706-$G$2+$I$2</f>
        <v>39357.8612532781</v>
      </c>
      <c r="S706" s="42" t="n">
        <f aca="false">R706/$K$2</f>
        <v>541.373607335325</v>
      </c>
      <c r="T706" s="43" t="n">
        <f aca="false">S706-$M$2</f>
        <v>-19.4241918393656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0.126953125</v>
      </c>
      <c r="C707" s="25" t="n">
        <f aca="false">IF(T706&gt;0,D706,C706)</f>
        <v>0.1328125</v>
      </c>
      <c r="D707" s="41" t="n">
        <f aca="false">(B707+C707)/2</f>
        <v>0.1298828125</v>
      </c>
      <c r="E707" s="15" t="n">
        <f aca="false">$C$2*(1+IF(E$3&lt;=$O$2,$D707,$D707-($D707-$I$697)*MIN(E$3-$O$2,$Q$2)/$Q$2))</f>
        <v>3762.509765625</v>
      </c>
      <c r="F707" s="15" t="n">
        <f aca="false">E707*(1+IF(F$3&lt;=$O$2,$D707,$D707-($D707-$I$697)*MIN(F$3-$O$2,$Q$2)/$Q$2))</f>
        <v>4251.19511604309</v>
      </c>
      <c r="G707" s="15" t="n">
        <f aca="false">F707*(1+IF(G$3&lt;=$O$2,$D707,$D707-($D707-$I$697)*MIN(G$3-$O$2,$Q$2)/$Q$2))</f>
        <v>4803.35229420103</v>
      </c>
      <c r="H707" s="15" t="n">
        <f aca="false">G707*(1+IF(H$3&lt;=$O$2,$D707,$D707-($D707-$I$697)*MIN(H$3-$O$2,$Q$2)/$Q$2))</f>
        <v>5427.22519960019</v>
      </c>
      <c r="I707" s="15" t="n">
        <f aca="false">H707*(1+IF(I$3&lt;=$O$2,$D707,$D707-($D707-$I$697)*MIN(I$3-$O$2,$Q$2)/$Q$2))</f>
        <v>6132.12847259514</v>
      </c>
      <c r="J707" s="15" t="n">
        <f aca="false">I707*(1+IF(J$3&lt;=$O$2,$D707,$D707-($D707-$I$697)*MIN(J$3-$O$2,$Q$2)/$Q$2))</f>
        <v>6816.2670508008</v>
      </c>
      <c r="K707" s="15" t="n">
        <f aca="false">J707*(1+IF(K$3&lt;=$O$2,$D707,$D707-($D707-$I$697)*MIN(K$3-$O$2,$Q$2)/$Q$2))</f>
        <v>7451.88182320452</v>
      </c>
      <c r="L707" s="15" t="n">
        <f aca="false">K707*(1+IF(L$3&lt;=$O$2,$D707,$D707-($D707-$I$697)*MIN(L$3-$O$2,$Q$2)/$Q$2))</f>
        <v>8010.27461534794</v>
      </c>
      <c r="M707" s="15" t="n">
        <f aca="false">L707*(1+IF(M$3&lt;=$O$2,$D707,$D707-($D707-$I$697)*MIN(M$3-$O$2,$Q$2)/$Q$2))</f>
        <v>8463.78882874995</v>
      </c>
      <c r="N707" s="15" t="n">
        <f aca="false">M707*(1+IF(N$3&lt;=$O$2,$D707,$D707-($D707-$I$697)*MIN(N$3-$O$2,$Q$2)/$Q$2))</f>
        <v>8787.95194089107</v>
      </c>
      <c r="O707" s="15" t="n">
        <f aca="false">SUMPRODUCT(E707:N707,1/(1+$F$697)^$E$3:$N$3)*$E$2</f>
        <v>19208.9468001127</v>
      </c>
      <c r="P707" s="15" t="n">
        <f aca="false">N707*$E$2*(1+$I$697)/($F$697-$I$697)/(1+$F$697)^$N$3</f>
        <v>27067.3843642887</v>
      </c>
      <c r="Q707" s="15" t="n">
        <f aca="false">O707+P707</f>
        <v>46276.3311644013</v>
      </c>
      <c r="R707" s="15" t="n">
        <f aca="false">Q707-$G$2+$I$2</f>
        <v>40089.0311644013</v>
      </c>
      <c r="S707" s="42" t="n">
        <f aca="false">R707/$K$2</f>
        <v>551.430965122439</v>
      </c>
      <c r="T707" s="43" t="n">
        <f aca="false">S707-$M$2</f>
        <v>-9.36683405225108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0.1298828125</v>
      </c>
      <c r="C708" s="25" t="n">
        <f aca="false">IF(T707&gt;0,D707,C707)</f>
        <v>0.1328125</v>
      </c>
      <c r="D708" s="41" t="n">
        <f aca="false">(B708+C708)/2</f>
        <v>0.13134765625</v>
      </c>
      <c r="E708" s="15" t="n">
        <f aca="false">$C$2*(1+IF(E$3&lt;=$O$2,$D708,$D708-($D708-$I$697)*MIN(E$3-$O$2,$Q$2)/$Q$2))</f>
        <v>3767.3876953125</v>
      </c>
      <c r="F708" s="15" t="n">
        <f aca="false">E708*(1+IF(F$3&lt;=$O$2,$D708,$D708-($D708-$I$697)*MIN(F$3-$O$2,$Q$2)/$Q$2))</f>
        <v>4262.22523927689</v>
      </c>
      <c r="G708" s="15" t="n">
        <f aca="false">F708*(1+IF(G$3&lt;=$O$2,$D708,$D708-($D708-$I$697)*MIN(G$3-$O$2,$Q$2)/$Q$2))</f>
        <v>4822.0585348655</v>
      </c>
      <c r="H708" s="15" t="n">
        <f aca="false">G708*(1+IF(H$3&lt;=$O$2,$D708,$D708-($D708-$I$697)*MIN(H$3-$O$2,$Q$2)/$Q$2))</f>
        <v>5455.42462172039</v>
      </c>
      <c r="I708" s="15" t="n">
        <f aca="false">H708*(1+IF(I$3&lt;=$O$2,$D708,$D708-($D708-$I$697)*MIN(I$3-$O$2,$Q$2)/$Q$2))</f>
        <v>6171.98185963191</v>
      </c>
      <c r="J708" s="15" t="n">
        <f aca="false">I708*(1+IF(J$3&lt;=$O$2,$D708,$D708-($D708-$I$697)*MIN(J$3-$O$2,$Q$2)/$Q$2))</f>
        <v>6867.79952202082</v>
      </c>
      <c r="K708" s="15" t="n">
        <f aca="false">J708*(1+IF(K$3&lt;=$O$2,$D708,$D708-($D708-$I$697)*MIN(K$3-$O$2,$Q$2)/$Q$2))</f>
        <v>7514.25583318557</v>
      </c>
      <c r="L708" s="15" t="n">
        <f aca="false">K708*(1+IF(L$3&lt;=$O$2,$D708,$D708-($D708-$I$697)*MIN(L$3-$O$2,$Q$2)/$Q$2))</f>
        <v>8081.7253890929</v>
      </c>
      <c r="M708" s="15" t="n">
        <f aca="false">L708*(1+IF(M$3&lt;=$O$2,$D708,$D708-($D708-$I$697)*MIN(M$3-$O$2,$Q$2)/$Q$2))</f>
        <v>8541.6525926774</v>
      </c>
      <c r="N708" s="15" t="n">
        <f aca="false">M708*(1+IF(N$3&lt;=$O$2,$D708,$D708-($D708-$I$697)*MIN(N$3-$O$2,$Q$2)/$Q$2))</f>
        <v>8868.79788697694</v>
      </c>
      <c r="O708" s="15" t="n">
        <f aca="false">SUMPRODUCT(E708:N708,1/(1+$F$697)^$E$3:$N$3)*$E$2</f>
        <v>19329.6124335669</v>
      </c>
      <c r="P708" s="15" t="n">
        <f aca="false">N708*$E$2*(1+$I$697)/($F$697-$I$697)/(1+$F$697)^$N$3</f>
        <v>27316.3944080076</v>
      </c>
      <c r="Q708" s="15" t="n">
        <f aca="false">O708+P708</f>
        <v>46646.0068415745</v>
      </c>
      <c r="R708" s="15" t="n">
        <f aca="false">Q708-$G$2+$I$2</f>
        <v>40458.7068415745</v>
      </c>
      <c r="S708" s="42" t="n">
        <f aca="false">R708/$K$2</f>
        <v>556.515912538851</v>
      </c>
      <c r="T708" s="43" t="n">
        <f aca="false">S708-$M$2</f>
        <v>-4.28188663583944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0.13134765625</v>
      </c>
      <c r="C709" s="25" t="n">
        <f aca="false">IF(T708&gt;0,D708,C708)</f>
        <v>0.1328125</v>
      </c>
      <c r="D709" s="41" t="n">
        <f aca="false">(B709+C709)/2</f>
        <v>0.132080078125</v>
      </c>
      <c r="E709" s="15" t="n">
        <f aca="false">$C$2*(1+IF(E$3&lt;=$O$2,$D709,$D709-($D709-$I$697)*MIN(E$3-$O$2,$Q$2)/$Q$2))</f>
        <v>3769.82666015625</v>
      </c>
      <c r="F709" s="15" t="n">
        <f aca="false">E709*(1+IF(F$3&lt;=$O$2,$D709,$D709-($D709-$I$697)*MIN(F$3-$O$2,$Q$2)/$Q$2))</f>
        <v>4267.7456599474</v>
      </c>
      <c r="G709" s="15" t="n">
        <f aca="false">F709*(1+IF(G$3&lt;=$O$2,$D709,$D709-($D709-$I$697)*MIN(G$3-$O$2,$Q$2)/$Q$2))</f>
        <v>4831.42984013088</v>
      </c>
      <c r="H709" s="15" t="n">
        <f aca="false">G709*(1+IF(H$3&lt;=$O$2,$D709,$D709-($D709-$I$697)*MIN(H$3-$O$2,$Q$2)/$Q$2))</f>
        <v>5469.56547087082</v>
      </c>
      <c r="I709" s="15" t="n">
        <f aca="false">H709*(1+IF(I$3&lt;=$O$2,$D709,$D709-($D709-$I$697)*MIN(I$3-$O$2,$Q$2)/$Q$2))</f>
        <v>6191.98610557324</v>
      </c>
      <c r="J709" s="15" t="n">
        <f aca="false">I709*(1+IF(J$3&lt;=$O$2,$D709,$D709-($D709-$I$697)*MIN(J$3-$O$2,$Q$2)/$Q$2))</f>
        <v>6893.68712600035</v>
      </c>
      <c r="K709" s="15" t="n">
        <f aca="false">J709*(1+IF(K$3&lt;=$O$2,$D709,$D709-($D709-$I$697)*MIN(K$3-$O$2,$Q$2)/$Q$2))</f>
        <v>7545.60965327354</v>
      </c>
      <c r="L709" s="15" t="n">
        <f aca="false">K709*(1+IF(L$3&lt;=$O$2,$D709,$D709-($D709-$I$697)*MIN(L$3-$O$2,$Q$2)/$Q$2))</f>
        <v>8117.65764810782</v>
      </c>
      <c r="M709" s="15" t="n">
        <f aca="false">L709*(1+IF(M$3&lt;=$O$2,$D709,$D709-($D709-$I$697)*MIN(M$3-$O$2,$Q$2)/$Q$2))</f>
        <v>8580.81884971665</v>
      </c>
      <c r="N709" s="15" t="n">
        <f aca="false">M709*(1+IF(N$3&lt;=$O$2,$D709,$D709-($D709-$I$697)*MIN(N$3-$O$2,$Q$2)/$Q$2))</f>
        <v>8909.4642116608</v>
      </c>
      <c r="O709" s="15" t="n">
        <f aca="false">SUMPRODUCT(E709:N709,1/(1+$F$697)^$E$3:$N$3)*$E$2</f>
        <v>19390.2262496451</v>
      </c>
      <c r="P709" s="15" t="n">
        <f aca="false">N709*$E$2*(1+$I$697)/($F$697-$I$697)/(1+$F$697)^$N$3</f>
        <v>27441.648966556</v>
      </c>
      <c r="Q709" s="15" t="n">
        <f aca="false">O709+P709</f>
        <v>46831.875216201</v>
      </c>
      <c r="R709" s="15" t="n">
        <f aca="false">Q709-$G$2+$I$2</f>
        <v>40644.575216201</v>
      </c>
      <c r="S709" s="42" t="n">
        <f aca="false">R709/$K$2</f>
        <v>559.072561433302</v>
      </c>
      <c r="T709" s="43" t="n">
        <f aca="false">S709-$M$2</f>
        <v>-1.7252377413887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0.132080078125</v>
      </c>
      <c r="C710" s="25" t="n">
        <f aca="false">IF(T709&gt;0,D709,C709)</f>
        <v>0.1328125</v>
      </c>
      <c r="D710" s="41" t="n">
        <f aca="false">(B710+C710)/2</f>
        <v>0.1324462890625</v>
      </c>
      <c r="E710" s="15" t="n">
        <f aca="false">$C$2*(1+IF(E$3&lt;=$O$2,$D710,$D710-($D710-$I$697)*MIN(E$3-$O$2,$Q$2)/$Q$2))</f>
        <v>3771.04614257813</v>
      </c>
      <c r="F710" s="15" t="n">
        <f aca="false">E710*(1+IF(F$3&lt;=$O$2,$D710,$D710-($D710-$I$697)*MIN(F$3-$O$2,$Q$2)/$Q$2))</f>
        <v>4270.50721004605</v>
      </c>
      <c r="G710" s="15" t="n">
        <f aca="false">F710*(1+IF(G$3&lt;=$O$2,$D710,$D710-($D710-$I$697)*MIN(G$3-$O$2,$Q$2)/$Q$2))</f>
        <v>4836.1200424313</v>
      </c>
      <c r="H710" s="15" t="n">
        <f aca="false">G710*(1+IF(H$3&lt;=$O$2,$D710,$D710-($D710-$I$697)*MIN(H$3-$O$2,$Q$2)/$Q$2))</f>
        <v>5476.64619551211</v>
      </c>
      <c r="I710" s="15" t="n">
        <f aca="false">H710*(1+IF(I$3&lt;=$O$2,$D710,$D710-($D710-$I$697)*MIN(I$3-$O$2,$Q$2)/$Q$2))</f>
        <v>6202.00766061595</v>
      </c>
      <c r="J710" s="15" t="n">
        <f aca="false">I710*(1+IF(J$3&lt;=$O$2,$D710,$D710-($D710-$I$697)*MIN(J$3-$O$2,$Q$2)/$Q$2))</f>
        <v>6906.66135880489</v>
      </c>
      <c r="K710" s="15" t="n">
        <f aca="false">J710*(1+IF(K$3&lt;=$O$2,$D710,$D710-($D710-$I$697)*MIN(K$3-$O$2,$Q$2)/$Q$2))</f>
        <v>7561.32841089282</v>
      </c>
      <c r="L710" s="15" t="n">
        <f aca="false">K710*(1+IF(L$3&lt;=$O$2,$D710,$D710-($D710-$I$697)*MIN(L$3-$O$2,$Q$2)/$Q$2))</f>
        <v>8135.67569313738</v>
      </c>
      <c r="M710" s="15" t="n">
        <f aca="false">L710*(1+IF(M$3&lt;=$O$2,$D710,$D710-($D710-$I$697)*MIN(M$3-$O$2,$Q$2)/$Q$2))</f>
        <v>8600.46080728952</v>
      </c>
      <c r="N710" s="15" t="n">
        <f aca="false">M710*(1+IF(N$3&lt;=$O$2,$D710,$D710-($D710-$I$697)*MIN(N$3-$O$2,$Q$2)/$Q$2))</f>
        <v>8929.8584562087</v>
      </c>
      <c r="O710" s="15" t="n">
        <f aca="false">SUMPRODUCT(E710:N710,1/(1+$F$697)^$E$3:$N$3)*$E$2</f>
        <v>19420.6036421725</v>
      </c>
      <c r="P710" s="15" t="n">
        <f aca="false">N710*$E$2*(1+$I$697)/($F$697-$I$697)/(1+$F$697)^$N$3</f>
        <v>27504.464382447</v>
      </c>
      <c r="Q710" s="15" t="n">
        <f aca="false">O710+P710</f>
        <v>46925.0680246195</v>
      </c>
      <c r="R710" s="15" t="n">
        <f aca="false">Q710-$G$2+$I$2</f>
        <v>40737.7680246195</v>
      </c>
      <c r="S710" s="42" t="n">
        <f aca="false">R710/$K$2</f>
        <v>560.354443254739</v>
      </c>
      <c r="T710" s="43" t="n">
        <f aca="false">S710-$M$2</f>
        <v>-0.443355919951955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0.1324462890625</v>
      </c>
      <c r="C711" s="25" t="n">
        <f aca="false">IF(T710&gt;0,D710,C710)</f>
        <v>0.1328125</v>
      </c>
      <c r="D711" s="41" t="n">
        <f aca="false">(B711+C711)/2</f>
        <v>0.13262939453125</v>
      </c>
      <c r="E711" s="15" t="n">
        <f aca="false">$C$2*(1+IF(E$3&lt;=$O$2,$D711,$D711-($D711-$I$697)*MIN(E$3-$O$2,$Q$2)/$Q$2))</f>
        <v>3771.65588378906</v>
      </c>
      <c r="F711" s="15" t="n">
        <f aca="false">E711*(1+IF(F$3&lt;=$O$2,$D711,$D711-($D711-$I$697)*MIN(F$3-$O$2,$Q$2)/$Q$2))</f>
        <v>4271.88832003623</v>
      </c>
      <c r="G711" s="15" t="n">
        <f aca="false">F711*(1+IF(G$3&lt;=$O$2,$D711,$D711-($D711-$I$697)*MIN(G$3-$O$2,$Q$2)/$Q$2))</f>
        <v>4838.46628142776</v>
      </c>
      <c r="H711" s="15" t="n">
        <f aca="false">G711*(1+IF(H$3&lt;=$O$2,$D711,$D711-($D711-$I$697)*MIN(H$3-$O$2,$Q$2)/$Q$2))</f>
        <v>5480.18913479339</v>
      </c>
      <c r="I711" s="15" t="n">
        <f aca="false">H711*(1+IF(I$3&lt;=$O$2,$D711,$D711-($D711-$I$697)*MIN(I$3-$O$2,$Q$2)/$Q$2))</f>
        <v>6207.02330165777</v>
      </c>
      <c r="J711" s="15" t="n">
        <f aca="false">I711*(1+IF(J$3&lt;=$O$2,$D711,$D711-($D711-$I$697)*MIN(J$3-$O$2,$Q$2)/$Q$2))</f>
        <v>6913.15609402065</v>
      </c>
      <c r="K711" s="15" t="n">
        <f aca="false">J711*(1+IF(K$3&lt;=$O$2,$D711,$D711-($D711-$I$697)*MIN(K$3-$O$2,$Q$2)/$Q$2))</f>
        <v>7569.19826961104</v>
      </c>
      <c r="L711" s="15" t="n">
        <f aca="false">K711*(1+IF(L$3&lt;=$O$2,$D711,$D711-($D711-$I$697)*MIN(L$3-$O$2,$Q$2)/$Q$2))</f>
        <v>8144.6977192809</v>
      </c>
      <c r="M711" s="15" t="n">
        <f aca="false">L711*(1+IF(M$3&lt;=$O$2,$D711,$D711-($D711-$I$697)*MIN(M$3-$O$2,$Q$2)/$Q$2))</f>
        <v>8610.29652282932</v>
      </c>
      <c r="N711" s="15" t="n">
        <f aca="false">M711*(1+IF(N$3&lt;=$O$2,$D711,$D711-($D711-$I$697)*MIN(N$3-$O$2,$Q$2)/$Q$2))</f>
        <v>8940.07087965368</v>
      </c>
      <c r="O711" s="15" t="n">
        <f aca="false">SUMPRODUCT(E711:N711,1/(1+$F$697)^$E$3:$N$3)*$E$2</f>
        <v>19435.8099889577</v>
      </c>
      <c r="P711" s="15" t="n">
        <f aca="false">N711*$E$2*(1+$I$697)/($F$697-$I$697)/(1+$F$697)^$N$3</f>
        <v>27535.9192188566</v>
      </c>
      <c r="Q711" s="15" t="n">
        <f aca="false">O711+P711</f>
        <v>46971.7292078143</v>
      </c>
      <c r="R711" s="15" t="n">
        <f aca="false">Q711-$G$2+$I$2</f>
        <v>40784.4292078143</v>
      </c>
      <c r="S711" s="42" t="n">
        <f aca="false">R711/$K$2</f>
        <v>560.996275210651</v>
      </c>
      <c r="T711" s="43" t="n">
        <f aca="false">S711-$M$2</f>
        <v>0.198476035960425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0.1324462890625</v>
      </c>
      <c r="C712" s="25" t="n">
        <f aca="false">IF(T711&gt;0,D711,C711)</f>
        <v>0.13262939453125</v>
      </c>
      <c r="D712" s="41" t="n">
        <f aca="false">(B712+C712)/2</f>
        <v>0.132537841796875</v>
      </c>
      <c r="E712" s="15" t="n">
        <f aca="false">$C$2*(1+IF(E$3&lt;=$O$2,$D712,$D712-($D712-$I$697)*MIN(E$3-$O$2,$Q$2)/$Q$2))</f>
        <v>3771.35101318359</v>
      </c>
      <c r="F712" s="15" t="n">
        <f aca="false">E712*(1+IF(F$3&lt;=$O$2,$D712,$D712-($D712-$I$697)*MIN(F$3-$O$2,$Q$2)/$Q$2))</f>
        <v>4271.19773712941</v>
      </c>
      <c r="G712" s="15" t="n">
        <f aca="false">F712*(1+IF(G$3&lt;=$O$2,$D712,$D712-($D712-$I$697)*MIN(G$3-$O$2,$Q$2)/$Q$2))</f>
        <v>4837.29306709623</v>
      </c>
      <c r="H712" s="15" t="n">
        <f aca="false">G712*(1+IF(H$3&lt;=$O$2,$D712,$D712-($D712-$I$697)*MIN(H$3-$O$2,$Q$2)/$Q$2))</f>
        <v>5478.41745034815</v>
      </c>
      <c r="I712" s="15" t="n">
        <f aca="false">H712*(1+IF(I$3&lt;=$O$2,$D712,$D712-($D712-$I$697)*MIN(I$3-$O$2,$Q$2)/$Q$2))</f>
        <v>6204.51507567964</v>
      </c>
      <c r="J712" s="15" t="n">
        <f aca="false">I712*(1+IF(J$3&lt;=$O$2,$D712,$D712-($D712-$I$697)*MIN(J$3-$O$2,$Q$2)/$Q$2))</f>
        <v>6909.90809118075</v>
      </c>
      <c r="K712" s="15" t="n">
        <f aca="false">J712*(1+IF(K$3&lt;=$O$2,$D712,$D712-($D712-$I$697)*MIN(K$3-$O$2,$Q$2)/$Q$2))</f>
        <v>7565.26246638955</v>
      </c>
      <c r="L712" s="15" t="n">
        <f aca="false">K712*(1+IF(L$3&lt;=$O$2,$D712,$D712-($D712-$I$697)*MIN(L$3-$O$2,$Q$2)/$Q$2))</f>
        <v>8140.18562183605</v>
      </c>
      <c r="M712" s="15" t="n">
        <f aca="false">L712*(1+IF(M$3&lt;=$O$2,$D712,$D712-($D712-$I$697)*MIN(M$3-$O$2,$Q$2)/$Q$2))</f>
        <v>8605.37743611793</v>
      </c>
      <c r="N712" s="15" t="n">
        <f aca="false">M712*(1+IF(N$3&lt;=$O$2,$D712,$D712-($D712-$I$697)*MIN(N$3-$O$2,$Q$2)/$Q$2))</f>
        <v>8934.96339192125</v>
      </c>
      <c r="O712" s="15" t="n">
        <f aca="false">SUMPRODUCT(E712:N712,1/(1+$F$697)^$E$3:$N$3)*$E$2</f>
        <v>19428.2053438124</v>
      </c>
      <c r="P712" s="15" t="n">
        <f aca="false">N712*$E$2*(1+$I$697)/($F$697-$I$697)/(1+$F$697)^$N$3</f>
        <v>27520.1878704697</v>
      </c>
      <c r="Q712" s="15" t="n">
        <f aca="false">O712+P712</f>
        <v>46948.3932142821</v>
      </c>
      <c r="R712" s="15" t="n">
        <f aca="false">Q712-$G$2+$I$2</f>
        <v>40761.0932142821</v>
      </c>
      <c r="S712" s="42" t="n">
        <f aca="false">R712/$K$2</f>
        <v>560.675284928227</v>
      </c>
      <c r="T712" s="43" t="n">
        <f aca="false">S712-$M$2</f>
        <v>-0.122514246463197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0.132537841796875</v>
      </c>
      <c r="C713" s="25" t="n">
        <f aca="false">IF(T712&gt;0,D712,C712)</f>
        <v>0.13262939453125</v>
      </c>
      <c r="D713" s="41" t="n">
        <f aca="false">(B713+C713)/2</f>
        <v>0.132583618164063</v>
      </c>
      <c r="E713" s="15" t="n">
        <f aca="false">$C$2*(1+IF(E$3&lt;=$O$2,$D713,$D713-($D713-$I$697)*MIN(E$3-$O$2,$Q$2)/$Q$2))</f>
        <v>3771.50344848633</v>
      </c>
      <c r="F713" s="15" t="n">
        <f aca="false">E713*(1+IF(F$3&lt;=$O$2,$D713,$D713-($D713-$I$697)*MIN(F$3-$O$2,$Q$2)/$Q$2))</f>
        <v>4271.54302160488</v>
      </c>
      <c r="G713" s="15" t="n">
        <f aca="false">F713*(1+IF(G$3&lt;=$O$2,$D713,$D713-($D713-$I$697)*MIN(G$3-$O$2,$Q$2)/$Q$2))</f>
        <v>4837.87965055271</v>
      </c>
      <c r="H713" s="15" t="n">
        <f aca="false">G713*(1+IF(H$3&lt;=$O$2,$D713,$D713-($D713-$I$697)*MIN(H$3-$O$2,$Q$2)/$Q$2))</f>
        <v>5479.30323886528</v>
      </c>
      <c r="I713" s="15" t="n">
        <f aca="false">H713*(1+IF(I$3&lt;=$O$2,$D713,$D713-($D713-$I$697)*MIN(I$3-$O$2,$Q$2)/$Q$2))</f>
        <v>6205.76908729211</v>
      </c>
      <c r="J713" s="15" t="n">
        <f aca="false">I713*(1+IF(J$3&lt;=$O$2,$D713,$D713-($D713-$I$697)*MIN(J$3-$O$2,$Q$2)/$Q$2))</f>
        <v>6911.53193376787</v>
      </c>
      <c r="K713" s="15" t="n">
        <f aca="false">J713*(1+IF(K$3&lt;=$O$2,$D713,$D713-($D713-$I$697)*MIN(K$3-$O$2,$Q$2)/$Q$2))</f>
        <v>7567.23014949443</v>
      </c>
      <c r="L713" s="15" t="n">
        <f aca="false">K713*(1+IF(L$3&lt;=$O$2,$D713,$D713-($D713-$I$697)*MIN(L$3-$O$2,$Q$2)/$Q$2))</f>
        <v>8142.44139940988</v>
      </c>
      <c r="M713" s="15" t="n">
        <f aca="false">L713*(1+IF(M$3&lt;=$O$2,$D713,$D713-($D713-$I$697)*MIN(M$3-$O$2,$Q$2)/$Q$2))</f>
        <v>8607.83667217232</v>
      </c>
      <c r="N713" s="15" t="n">
        <f aca="false">M713*(1+IF(N$3&lt;=$O$2,$D713,$D713-($D713-$I$697)*MIN(N$3-$O$2,$Q$2)/$Q$2))</f>
        <v>8937.51681671652</v>
      </c>
      <c r="O713" s="15" t="n">
        <f aca="false">SUMPRODUCT(E713:N713,1/(1+$F$697)^$E$3:$N$3)*$E$2</f>
        <v>19432.0072983812</v>
      </c>
      <c r="P713" s="15" t="n">
        <f aca="false">N713*$E$2*(1+$I$697)/($F$697-$I$697)/(1+$F$697)^$N$3</f>
        <v>27528.0525619068</v>
      </c>
      <c r="Q713" s="15" t="n">
        <f aca="false">O713+P713</f>
        <v>46960.059860288</v>
      </c>
      <c r="R713" s="15" t="n">
        <f aca="false">Q713-$G$2+$I$2</f>
        <v>40772.759860288</v>
      </c>
      <c r="S713" s="42" t="n">
        <f aca="false">R713/$K$2</f>
        <v>560.835761489518</v>
      </c>
      <c r="T713" s="43" t="n">
        <f aca="false">S713-$M$2</f>
        <v>0.0379623148274959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0.132537841796875</v>
      </c>
      <c r="C714" s="25" t="n">
        <f aca="false">IF(T713&gt;0,D713,C713)</f>
        <v>0.132583618164063</v>
      </c>
      <c r="D714" s="41" t="n">
        <f aca="false">(B714+C714)/2</f>
        <v>0.132560729980469</v>
      </c>
      <c r="E714" s="15" t="n">
        <f aca="false">$C$2*(1+IF(E$3&lt;=$O$2,$D714,$D714-($D714-$I$697)*MIN(E$3-$O$2,$Q$2)/$Q$2))</f>
        <v>3771.42723083496</v>
      </c>
      <c r="F714" s="15" t="n">
        <f aca="false">E714*(1+IF(F$3&lt;=$O$2,$D714,$D714-($D714-$I$697)*MIN(F$3-$O$2,$Q$2)/$Q$2))</f>
        <v>4271.37037762266</v>
      </c>
      <c r="G714" s="15" t="n">
        <f aca="false">F714*(1+IF(G$3&lt;=$O$2,$D714,$D714-($D714-$I$697)*MIN(G$3-$O$2,$Q$2)/$Q$2))</f>
        <v>4837.58635289727</v>
      </c>
      <c r="H714" s="15" t="n">
        <f aca="false">G714*(1+IF(H$3&lt;=$O$2,$D714,$D714-($D714-$I$697)*MIN(H$3-$O$2,$Q$2)/$Q$2))</f>
        <v>5478.86033118089</v>
      </c>
      <c r="I714" s="15" t="n">
        <f aca="false">H714*(1+IF(I$3&lt;=$O$2,$D714,$D714-($D714-$I$697)*MIN(I$3-$O$2,$Q$2)/$Q$2))</f>
        <v>6205.14205614326</v>
      </c>
      <c r="J714" s="15" t="n">
        <f aca="false">I714*(1+IF(J$3&lt;=$O$2,$D714,$D714-($D714-$I$697)*MIN(J$3-$O$2,$Q$2)/$Q$2))</f>
        <v>6910.7199727692</v>
      </c>
      <c r="K714" s="15" t="n">
        <f aca="false">J714*(1+IF(K$3&lt;=$O$2,$D714,$D714-($D714-$I$697)*MIN(K$3-$O$2,$Q$2)/$Q$2))</f>
        <v>7566.24625332056</v>
      </c>
      <c r="L714" s="15" t="n">
        <f aca="false">K714*(1+IF(L$3&lt;=$O$2,$D714,$D714-($D714-$I$697)*MIN(L$3-$O$2,$Q$2)/$Q$2))</f>
        <v>8141.31344284273</v>
      </c>
      <c r="M714" s="15" t="n">
        <f aca="false">L714*(1+IF(M$3&lt;=$O$2,$D714,$D714-($D714-$I$697)*MIN(M$3-$O$2,$Q$2)/$Q$2))</f>
        <v>8606.60697732804</v>
      </c>
      <c r="N714" s="15" t="n">
        <f aca="false">M714*(1+IF(N$3&lt;=$O$2,$D714,$D714-($D714-$I$697)*MIN(N$3-$O$2,$Q$2)/$Q$2))</f>
        <v>8936.2400245597</v>
      </c>
      <c r="O714" s="15" t="n">
        <f aca="false">SUMPRODUCT(E714:N714,1/(1+$F$697)^$E$3:$N$3)*$E$2</f>
        <v>19430.1062291041</v>
      </c>
      <c r="P714" s="15" t="n">
        <f aca="false">N714*$E$2*(1+$I$697)/($F$697-$I$697)/(1+$F$697)^$N$3</f>
        <v>27524.1199705255</v>
      </c>
      <c r="Q714" s="15" t="n">
        <f aca="false">O714+P714</f>
        <v>46954.2261996295</v>
      </c>
      <c r="R714" s="15" t="n">
        <f aca="false">Q714-$G$2+$I$2</f>
        <v>40766.9261996295</v>
      </c>
      <c r="S714" s="42" t="n">
        <f aca="false">R714/$K$2</f>
        <v>560.755518564368</v>
      </c>
      <c r="T714" s="43" t="n">
        <f aca="false">S714-$M$2</f>
        <v>-0.0422806103226776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0.132560729980469</v>
      </c>
      <c r="C715" s="25" t="n">
        <f aca="false">IF(T714&gt;0,D714,C714)</f>
        <v>0.132583618164063</v>
      </c>
      <c r="D715" s="41" t="n">
        <f aca="false">(B715+C715)/2</f>
        <v>0.132572174072266</v>
      </c>
      <c r="E715" s="15" t="n">
        <f aca="false">$C$2*(1+IF(E$3&lt;=$O$2,$D715,$D715-($D715-$I$697)*MIN(E$3-$O$2,$Q$2)/$Q$2))</f>
        <v>3771.46533966064</v>
      </c>
      <c r="F715" s="15" t="n">
        <f aca="false">E715*(1+IF(F$3&lt;=$O$2,$D715,$D715-($D715-$I$697)*MIN(F$3-$O$2,$Q$2)/$Q$2))</f>
        <v>4271.45669917765</v>
      </c>
      <c r="G715" s="15" t="n">
        <f aca="false">F715*(1+IF(G$3&lt;=$O$2,$D715,$D715-($D715-$I$697)*MIN(G$3-$O$2,$Q$2)/$Q$2))</f>
        <v>4837.73300024318</v>
      </c>
      <c r="H715" s="15" t="n">
        <f aca="false">G715*(1+IF(H$3&lt;=$O$2,$D715,$D715-($D715-$I$697)*MIN(H$3-$O$2,$Q$2)/$Q$2))</f>
        <v>5479.08178166656</v>
      </c>
      <c r="I715" s="15" t="n">
        <f aca="false">H715*(1+IF(I$3&lt;=$O$2,$D715,$D715-($D715-$I$697)*MIN(I$3-$O$2,$Q$2)/$Q$2))</f>
        <v>6205.45556538184</v>
      </c>
      <c r="J715" s="15" t="n">
        <f aca="false">I715*(1+IF(J$3&lt;=$O$2,$D715,$D715-($D715-$I$697)*MIN(J$3-$O$2,$Q$2)/$Q$2))</f>
        <v>6911.12594334187</v>
      </c>
      <c r="K715" s="15" t="n">
        <f aca="false">J715*(1+IF(K$3&lt;=$O$2,$D715,$D715-($D715-$I$697)*MIN(K$3-$O$2,$Q$2)/$Q$2))</f>
        <v>7566.73818775151</v>
      </c>
      <c r="L715" s="15" t="n">
        <f aca="false">K715*(1+IF(L$3&lt;=$O$2,$D715,$D715-($D715-$I$697)*MIN(L$3-$O$2,$Q$2)/$Q$2))</f>
        <v>8141.87740418038</v>
      </c>
      <c r="M715" s="15" t="n">
        <f aca="false">L715*(1+IF(M$3&lt;=$O$2,$D715,$D715-($D715-$I$697)*MIN(M$3-$O$2,$Q$2)/$Q$2))</f>
        <v>8607.22180554488</v>
      </c>
      <c r="N715" s="15" t="n">
        <f aca="false">M715*(1+IF(N$3&lt;=$O$2,$D715,$D715-($D715-$I$697)*MIN(N$3-$O$2,$Q$2)/$Q$2))</f>
        <v>8936.87840069724</v>
      </c>
      <c r="O715" s="15" t="n">
        <f aca="false">SUMPRODUCT(E715:N715,1/(1+$F$697)^$E$3:$N$3)*$E$2</f>
        <v>19431.0567407434</v>
      </c>
      <c r="P715" s="15" t="n">
        <f aca="false">N715*$E$2*(1+$I$697)/($F$697-$I$697)/(1+$F$697)^$N$3</f>
        <v>27526.0862047971</v>
      </c>
      <c r="Q715" s="15" t="n">
        <f aca="false">O715+P715</f>
        <v>46957.1429455405</v>
      </c>
      <c r="R715" s="15" t="n">
        <f aca="false">Q715-$G$2+$I$2</f>
        <v>40769.8429455405</v>
      </c>
      <c r="S715" s="42" t="n">
        <f aca="false">R715/$K$2</f>
        <v>560.795638865757</v>
      </c>
      <c r="T715" s="43" t="n">
        <f aca="false">S715-$M$2</f>
        <v>-0.00216030893341213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0.132572174072266</v>
      </c>
      <c r="C716" s="25" t="n">
        <f aca="false">IF(T715&gt;0,D715,C715)</f>
        <v>0.132583618164063</v>
      </c>
      <c r="D716" s="41" t="n">
        <f aca="false">(B716+C716)/2</f>
        <v>0.132577896118164</v>
      </c>
      <c r="E716" s="15" t="n">
        <f aca="false">$C$2*(1+IF(E$3&lt;=$O$2,$D716,$D716-($D716-$I$697)*MIN(E$3-$O$2,$Q$2)/$Q$2))</f>
        <v>3771.48439407349</v>
      </c>
      <c r="F716" s="15" t="n">
        <f aca="false">E716*(1+IF(F$3&lt;=$O$2,$D716,$D716-($D716-$I$697)*MIN(F$3-$O$2,$Q$2)/$Q$2))</f>
        <v>4271.49986028224</v>
      </c>
      <c r="G716" s="15" t="n">
        <f aca="false">F716*(1+IF(G$3&lt;=$O$2,$D716,$D716-($D716-$I$697)*MIN(G$3-$O$2,$Q$2)/$Q$2))</f>
        <v>4837.80632502749</v>
      </c>
      <c r="H716" s="15" t="n">
        <f aca="false">G716*(1+IF(H$3&lt;=$O$2,$D716,$D716-($D716-$I$697)*MIN(H$3-$O$2,$Q$2)/$Q$2))</f>
        <v>5479.19250942678</v>
      </c>
      <c r="I716" s="15" t="n">
        <f aca="false">H716*(1+IF(I$3&lt;=$O$2,$D716,$D716-($D716-$I$697)*MIN(I$3-$O$2,$Q$2)/$Q$2))</f>
        <v>6205.61232475299</v>
      </c>
      <c r="J716" s="15" t="n">
        <f aca="false">I716*(1+IF(J$3&lt;=$O$2,$D716,$D716-($D716-$I$697)*MIN(J$3-$O$2,$Q$2)/$Q$2))</f>
        <v>6911.32893607316</v>
      </c>
      <c r="K716" s="15" t="n">
        <f aca="false">J716*(1+IF(K$3&lt;=$O$2,$D716,$D716-($D716-$I$697)*MIN(K$3-$O$2,$Q$2)/$Q$2))</f>
        <v>7566.9841652089</v>
      </c>
      <c r="L716" s="15" t="n">
        <f aca="false">K716*(1+IF(L$3&lt;=$O$2,$D716,$D716-($D716-$I$697)*MIN(L$3-$O$2,$Q$2)/$Q$2))</f>
        <v>8142.15939755854</v>
      </c>
      <c r="M716" s="15" t="n">
        <f aca="false">L716*(1+IF(M$3&lt;=$O$2,$D716,$D716-($D716-$I$697)*MIN(M$3-$O$2,$Q$2)/$Q$2))</f>
        <v>8607.52923405715</v>
      </c>
      <c r="N716" s="15" t="n">
        <f aca="false">M716*(1+IF(N$3&lt;=$O$2,$D716,$D716-($D716-$I$697)*MIN(N$3-$O$2,$Q$2)/$Q$2))</f>
        <v>8937.19760372153</v>
      </c>
      <c r="O716" s="15" t="n">
        <f aca="false">SUMPRODUCT(E716:N716,1/(1+$F$697)^$E$3:$N$3)*$E$2</f>
        <v>19431.5320138124</v>
      </c>
      <c r="P716" s="15" t="n">
        <f aca="false">N716*$E$2*(1+$I$697)/($F$697-$I$697)/(1+$F$697)^$N$3</f>
        <v>27527.0693679968</v>
      </c>
      <c r="Q716" s="15" t="n">
        <f aca="false">O716+P716</f>
        <v>46958.6013818092</v>
      </c>
      <c r="R716" s="15" t="n">
        <f aca="false">Q716-$G$2+$I$2</f>
        <v>40771.3013818092</v>
      </c>
      <c r="S716" s="42" t="n">
        <f aca="false">R716/$K$2</f>
        <v>560.815699887334</v>
      </c>
      <c r="T716" s="43" t="n">
        <f aca="false">S716-$M$2</f>
        <v>0.0179007126433817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0.132572174072266</v>
      </c>
      <c r="C717" s="25" t="n">
        <f aca="false">IF(T716&gt;0,D716,C716)</f>
        <v>0.132577896118164</v>
      </c>
      <c r="D717" s="41" t="n">
        <f aca="false">(B717+C717)/2</f>
        <v>0.132575035095215</v>
      </c>
      <c r="E717" s="15" t="n">
        <f aca="false">$C$2*(1+IF(E$3&lt;=$O$2,$D717,$D717-($D717-$I$697)*MIN(E$3-$O$2,$Q$2)/$Q$2))</f>
        <v>3771.47486686707</v>
      </c>
      <c r="F717" s="15" t="n">
        <f aca="false">E717*(1+IF(F$3&lt;=$O$2,$D717,$D717-($D717-$I$697)*MIN(F$3-$O$2,$Q$2)/$Q$2))</f>
        <v>4271.47827970269</v>
      </c>
      <c r="G717" s="15" t="n">
        <f aca="false">F717*(1+IF(G$3&lt;=$O$2,$D717,$D717-($D717-$I$697)*MIN(G$3-$O$2,$Q$2)/$Q$2))</f>
        <v>4837.76966254272</v>
      </c>
      <c r="H717" s="15" t="n">
        <f aca="false">G717*(1+IF(H$3&lt;=$O$2,$D717,$D717-($D717-$I$697)*MIN(H$3-$O$2,$Q$2)/$Q$2))</f>
        <v>5479.13714533689</v>
      </c>
      <c r="I717" s="15" t="n">
        <f aca="false">H717*(1+IF(I$3&lt;=$O$2,$D717,$D717-($D717-$I$697)*MIN(I$3-$O$2,$Q$2)/$Q$2))</f>
        <v>6205.53394467142</v>
      </c>
      <c r="J717" s="15" t="n">
        <f aca="false">I717*(1+IF(J$3&lt;=$O$2,$D717,$D717-($D717-$I$697)*MIN(J$3-$O$2,$Q$2)/$Q$2))</f>
        <v>6911.22743908709</v>
      </c>
      <c r="K717" s="15" t="n">
        <f aca="false">J717*(1+IF(K$3&lt;=$O$2,$D717,$D717-($D717-$I$697)*MIN(K$3-$O$2,$Q$2)/$Q$2))</f>
        <v>7566.86117562669</v>
      </c>
      <c r="L717" s="15" t="n">
        <f aca="false">K717*(1+IF(L$3&lt;=$O$2,$D717,$D717-($D717-$I$697)*MIN(L$3-$O$2,$Q$2)/$Q$2))</f>
        <v>8142.01839981033</v>
      </c>
      <c r="M717" s="15" t="n">
        <f aca="false">L717*(1+IF(M$3&lt;=$O$2,$D717,$D717-($D717-$I$697)*MIN(M$3-$O$2,$Q$2)/$Q$2))</f>
        <v>8607.37551860066</v>
      </c>
      <c r="N717" s="15" t="n">
        <f aca="false">M717*(1+IF(N$3&lt;=$O$2,$D717,$D717-($D717-$I$697)*MIN(N$3-$O$2,$Q$2)/$Q$2))</f>
        <v>8937.03800096307</v>
      </c>
      <c r="O717" s="15" t="n">
        <f aca="false">SUMPRODUCT(E717:N717,1/(1+$F$697)^$E$3:$N$3)*$E$2</f>
        <v>19431.2943758404</v>
      </c>
      <c r="P717" s="15" t="n">
        <f aca="false">N717*$E$2*(1+$I$697)/($F$697-$I$697)/(1+$F$697)^$N$3</f>
        <v>27526.5777825582</v>
      </c>
      <c r="Q717" s="15" t="n">
        <f aca="false">O717+P717</f>
        <v>46957.8721583987</v>
      </c>
      <c r="R717" s="15" t="n">
        <f aca="false">Q717-$G$2+$I$2</f>
        <v>40770.5721583986</v>
      </c>
      <c r="S717" s="42" t="n">
        <f aca="false">R717/$K$2</f>
        <v>560.80566930397</v>
      </c>
      <c r="T717" s="43" t="n">
        <f aca="false">S717-$M$2</f>
        <v>0.00787012927992237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0.132572174072266</v>
      </c>
      <c r="C718" s="25" t="n">
        <f aca="false">IF(T717&gt;0,D717,C717)</f>
        <v>0.132575035095215</v>
      </c>
      <c r="D718" s="41" t="n">
        <f aca="false">(B718+C718)/2</f>
        <v>0.13257360458374</v>
      </c>
      <c r="E718" s="15" t="n">
        <f aca="false">$C$2*(1+IF(E$3&lt;=$O$2,$D718,$D718-($D718-$I$697)*MIN(E$3-$O$2,$Q$2)/$Q$2))</f>
        <v>3771.47010326386</v>
      </c>
      <c r="F718" s="15" t="n">
        <f aca="false">E718*(1+IF(F$3&lt;=$O$2,$D718,$D718-($D718-$I$697)*MIN(F$3-$O$2,$Q$2)/$Q$2))</f>
        <v>4271.46748943336</v>
      </c>
      <c r="G718" s="15" t="n">
        <f aca="false">F718*(1+IF(G$3&lt;=$O$2,$D718,$D718-($D718-$I$697)*MIN(G$3-$O$2,$Q$2)/$Q$2))</f>
        <v>4837.75133136979</v>
      </c>
      <c r="H718" s="15" t="n">
        <f aca="false">G718*(1+IF(H$3&lt;=$O$2,$D718,$D718-($D718-$I$697)*MIN(H$3-$O$2,$Q$2)/$Q$2))</f>
        <v>5479.10946344928</v>
      </c>
      <c r="I718" s="15" t="n">
        <f aca="false">H718*(1+IF(I$3&lt;=$O$2,$D718,$D718-($D718-$I$697)*MIN(I$3-$O$2,$Q$2)/$Q$2))</f>
        <v>6205.49475492763</v>
      </c>
      <c r="J718" s="15" t="n">
        <f aca="false">I718*(1+IF(J$3&lt;=$O$2,$D718,$D718-($D718-$I$697)*MIN(J$3-$O$2,$Q$2)/$Q$2))</f>
        <v>6911.17669105938</v>
      </c>
      <c r="K718" s="15" t="n">
        <f aca="false">J718*(1+IF(K$3&lt;=$O$2,$D718,$D718-($D718-$I$697)*MIN(K$3-$O$2,$Q$2)/$Q$2))</f>
        <v>7566.79968147573</v>
      </c>
      <c r="L718" s="15" t="n">
        <f aca="false">K718*(1+IF(L$3&lt;=$O$2,$D718,$D718-($D718-$I$697)*MIN(L$3-$O$2,$Q$2)/$Q$2))</f>
        <v>8141.94790173057</v>
      </c>
      <c r="M718" s="15" t="n">
        <f aca="false">L718*(1+IF(M$3&lt;=$O$2,$D718,$D718-($D718-$I$697)*MIN(M$3-$O$2,$Q$2)/$Q$2))</f>
        <v>8607.29866177268</v>
      </c>
      <c r="N718" s="15" t="n">
        <f aca="false">M718*(1+IF(N$3&lt;=$O$2,$D718,$D718-($D718-$I$697)*MIN(N$3-$O$2,$Q$2)/$Q$2))</f>
        <v>8936.95820051858</v>
      </c>
      <c r="O718" s="15" t="n">
        <f aca="false">SUMPRODUCT(E718:N718,1/(1+$F$697)^$E$3:$N$3)*$E$2</f>
        <v>19431.1755579326</v>
      </c>
      <c r="P718" s="15" t="n">
        <f aca="false">N718*$E$2*(1+$I$697)/($F$697-$I$697)/(1+$F$697)^$N$3</f>
        <v>27526.331992718</v>
      </c>
      <c r="Q718" s="15" t="n">
        <f aca="false">O718+P718</f>
        <v>46957.5075506506</v>
      </c>
      <c r="R718" s="15" t="n">
        <f aca="false">Q718-$G$2+$I$2</f>
        <v>40770.2075506506</v>
      </c>
      <c r="S718" s="42" t="n">
        <f aca="false">R718/$K$2</f>
        <v>560.80065406672</v>
      </c>
      <c r="T718" s="43" t="n">
        <f aca="false">S718-$M$2</f>
        <v>0.00285489202963163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0.132572174072266</v>
      </c>
      <c r="C719" s="25" t="n">
        <f aca="false">IF(T718&gt;0,D718,C718)</f>
        <v>0.13257360458374</v>
      </c>
      <c r="D719" s="41" t="n">
        <f aca="false">(B719+C719)/2</f>
        <v>0.132572889328003</v>
      </c>
      <c r="E719" s="15" t="n">
        <f aca="false">$C$2*(1+IF(E$3&lt;=$O$2,$D719,$D719-($D719-$I$697)*MIN(E$3-$O$2,$Q$2)/$Q$2))</f>
        <v>3771.46772146225</v>
      </c>
      <c r="F719" s="15" t="n">
        <f aca="false">E719*(1+IF(F$3&lt;=$O$2,$D719,$D719-($D719-$I$697)*MIN(F$3-$O$2,$Q$2)/$Q$2))</f>
        <v>4271.4620943038</v>
      </c>
      <c r="G719" s="15" t="n">
        <f aca="false">F719*(1+IF(G$3&lt;=$O$2,$D719,$D719-($D719-$I$697)*MIN(G$3-$O$2,$Q$2)/$Q$2))</f>
        <v>4837.7421658007</v>
      </c>
      <c r="H719" s="15" t="n">
        <f aca="false">G719*(1+IF(H$3&lt;=$O$2,$D719,$D719-($D719-$I$697)*MIN(H$3-$O$2,$Q$2)/$Q$2))</f>
        <v>5479.09562254481</v>
      </c>
      <c r="I719" s="15" t="n">
        <f aca="false">H719*(1+IF(I$3&lt;=$O$2,$D719,$D719-($D719-$I$697)*MIN(I$3-$O$2,$Q$2)/$Q$2))</f>
        <v>6205.47516012998</v>
      </c>
      <c r="J719" s="15" t="n">
        <f aca="false">I719*(1+IF(J$3&lt;=$O$2,$D719,$D719-($D719-$I$697)*MIN(J$3-$O$2,$Q$2)/$Q$2))</f>
        <v>6911.15131716185</v>
      </c>
      <c r="K719" s="15" t="n">
        <f aca="false">J719*(1+IF(K$3&lt;=$O$2,$D719,$D719-($D719-$I$697)*MIN(K$3-$O$2,$Q$2)/$Q$2))</f>
        <v>7566.76893456027</v>
      </c>
      <c r="L719" s="15" t="n">
        <f aca="false">K719*(1+IF(L$3&lt;=$O$2,$D719,$D719-($D719-$I$697)*MIN(L$3-$O$2,$Q$2)/$Q$2))</f>
        <v>8141.91265288928</v>
      </c>
      <c r="M719" s="15" t="n">
        <f aca="false">L719*(1+IF(M$3&lt;=$O$2,$D719,$D719-($D719-$I$697)*MIN(M$3-$O$2,$Q$2)/$Q$2))</f>
        <v>8607.26023358376</v>
      </c>
      <c r="N719" s="15" t="n">
        <f aca="false">M719*(1+IF(N$3&lt;=$O$2,$D719,$D719-($D719-$I$697)*MIN(N$3-$O$2,$Q$2)/$Q$2))</f>
        <v>8936.91830053002</v>
      </c>
      <c r="O719" s="15" t="n">
        <f aca="false">SUMPRODUCT(E719:N719,1/(1+$F$697)^$E$3:$N$3)*$E$2</f>
        <v>19431.1161492481</v>
      </c>
      <c r="P719" s="15" t="n">
        <f aca="false">N719*$E$2*(1+$I$697)/($F$697-$I$697)/(1+$F$697)^$N$3</f>
        <v>27526.2090985176</v>
      </c>
      <c r="Q719" s="15" t="n">
        <f aca="false">O719+P719</f>
        <v>46957.3252477658</v>
      </c>
      <c r="R719" s="15" t="n">
        <f aca="false">Q719-$G$2+$I$2</f>
        <v>40770.0252477658</v>
      </c>
      <c r="S719" s="42" t="n">
        <f aca="false">R719/$K$2</f>
        <v>560.798146461703</v>
      </c>
      <c r="T719" s="43" t="n">
        <f aca="false">S719-$M$2</f>
        <v>0.000347287012345987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0.132572174072266</v>
      </c>
      <c r="C720" s="25" t="n">
        <f aca="false">IF(T719&gt;0,D719,C719)</f>
        <v>0.132572889328003</v>
      </c>
      <c r="D720" s="41" t="n">
        <f aca="false">(B720+C720)/2</f>
        <v>0.132572531700134</v>
      </c>
      <c r="E720" s="15" t="n">
        <f aca="false">$C$2*(1+IF(E$3&lt;=$O$2,$D720,$D720-($D720-$I$697)*MIN(E$3-$O$2,$Q$2)/$Q$2))</f>
        <v>3771.46653056145</v>
      </c>
      <c r="F720" s="15" t="n">
        <f aca="false">E720*(1+IF(F$3&lt;=$O$2,$D720,$D720-($D720-$I$697)*MIN(F$3-$O$2,$Q$2)/$Q$2))</f>
        <v>4271.4593967403</v>
      </c>
      <c r="G720" s="15" t="n">
        <f aca="false">F720*(1+IF(G$3&lt;=$O$2,$D720,$D720-($D720-$I$697)*MIN(G$3-$O$2,$Q$2)/$Q$2))</f>
        <v>4837.73758302049</v>
      </c>
      <c r="H720" s="15" t="n">
        <f aca="false">G720*(1+IF(H$3&lt;=$O$2,$D720,$D720-($D720-$I$697)*MIN(H$3-$O$2,$Q$2)/$Q$2))</f>
        <v>5479.0887021024</v>
      </c>
      <c r="I720" s="15" t="n">
        <f aca="false">H720*(1+IF(I$3&lt;=$O$2,$D720,$D720-($D720-$I$697)*MIN(I$3-$O$2,$Q$2)/$Q$2))</f>
        <v>6205.46536274972</v>
      </c>
      <c r="J720" s="15" t="n">
        <f aca="false">I720*(1+IF(J$3&lt;=$O$2,$D720,$D720-($D720-$I$697)*MIN(J$3-$O$2,$Q$2)/$Q$2))</f>
        <v>6911.13863024216</v>
      </c>
      <c r="K720" s="15" t="n">
        <f aca="false">J720*(1+IF(K$3&lt;=$O$2,$D720,$D720-($D720-$I$697)*MIN(K$3-$O$2,$Q$2)/$Q$2))</f>
        <v>7566.75356114255</v>
      </c>
      <c r="L720" s="15" t="n">
        <f aca="false">K720*(1+IF(L$3&lt;=$O$2,$D720,$D720-($D720-$I$697)*MIN(L$3-$O$2,$Q$2)/$Q$2))</f>
        <v>8141.89502851828</v>
      </c>
      <c r="M720" s="15" t="n">
        <f aca="false">L720*(1+IF(M$3&lt;=$O$2,$D720,$D720-($D720-$I$697)*MIN(M$3-$O$2,$Q$2)/$Q$2))</f>
        <v>8607.24101954556</v>
      </c>
      <c r="N720" s="15" t="n">
        <f aca="false">M720*(1+IF(N$3&lt;=$O$2,$D720,$D720-($D720-$I$697)*MIN(N$3-$O$2,$Q$2)/$Q$2))</f>
        <v>8936.89835059416</v>
      </c>
      <c r="O720" s="15" t="n">
        <f aca="false">SUMPRODUCT(E720:N720,1/(1+$F$697)^$E$3:$N$3)*$E$2</f>
        <v>19431.0864449733</v>
      </c>
      <c r="P720" s="15" t="n">
        <f aca="false">N720*$E$2*(1+$I$697)/($F$697-$I$697)/(1+$F$697)^$N$3</f>
        <v>27526.1476515974</v>
      </c>
      <c r="Q720" s="15" t="n">
        <f aca="false">O720+P720</f>
        <v>46957.2340965707</v>
      </c>
      <c r="R720" s="15" t="n">
        <f aca="false">Q720-$G$2+$I$2</f>
        <v>40769.9340965707</v>
      </c>
      <c r="S720" s="42" t="n">
        <f aca="false">R720/$K$2</f>
        <v>560.796892662596</v>
      </c>
      <c r="T720" s="43" t="n">
        <f aca="false">S720-$M$2</f>
        <v>-0.000906512094616119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0.132572531700134</v>
      </c>
      <c r="C721" s="25" t="n">
        <f aca="false">IF(T720&gt;0,D720,C720)</f>
        <v>0.132572889328003</v>
      </c>
      <c r="D721" s="41" t="n">
        <f aca="false">(B721+C721)/2</f>
        <v>0.132572710514069</v>
      </c>
      <c r="E721" s="15" t="n">
        <f aca="false">$C$2*(1+IF(E$3&lt;=$O$2,$D721,$D721-($D721-$I$697)*MIN(E$3-$O$2,$Q$2)/$Q$2))</f>
        <v>3771.46712601185</v>
      </c>
      <c r="F721" s="15" t="n">
        <f aca="false">E721*(1+IF(F$3&lt;=$O$2,$D721,$D721-($D721-$I$697)*MIN(F$3-$O$2,$Q$2)/$Q$2))</f>
        <v>4271.46074552194</v>
      </c>
      <c r="G721" s="15" t="n">
        <f aca="false">F721*(1+IF(G$3&lt;=$O$2,$D721,$D721-($D721-$I$697)*MIN(G$3-$O$2,$Q$2)/$Q$2))</f>
        <v>4837.73987441023</v>
      </c>
      <c r="H721" s="15" t="n">
        <f aca="false">G721*(1+IF(H$3&lt;=$O$2,$D721,$D721-($D721-$I$697)*MIN(H$3-$O$2,$Q$2)/$Q$2))</f>
        <v>5479.09216232279</v>
      </c>
      <c r="I721" s="15" t="n">
        <f aca="false">H721*(1+IF(I$3&lt;=$O$2,$D721,$D721-($D721-$I$697)*MIN(I$3-$O$2,$Q$2)/$Q$2))</f>
        <v>6205.47026143831</v>
      </c>
      <c r="J721" s="15" t="n">
        <f aca="false">I721*(1+IF(J$3&lt;=$O$2,$D721,$D721-($D721-$I$697)*MIN(J$3-$O$2,$Q$2)/$Q$2))</f>
        <v>6911.14497369958</v>
      </c>
      <c r="K721" s="15" t="n">
        <f aca="false">J721*(1+IF(K$3&lt;=$O$2,$D721,$D721-($D721-$I$697)*MIN(K$3-$O$2,$Q$2)/$Q$2))</f>
        <v>7566.76124784808</v>
      </c>
      <c r="L721" s="15" t="n">
        <f aca="false">K721*(1+IF(L$3&lt;=$O$2,$D721,$D721-($D721-$I$697)*MIN(L$3-$O$2,$Q$2)/$Q$2))</f>
        <v>8141.90384069964</v>
      </c>
      <c r="M721" s="15" t="n">
        <f aca="false">L721*(1+IF(M$3&lt;=$O$2,$D721,$D721-($D721-$I$697)*MIN(M$3-$O$2,$Q$2)/$Q$2))</f>
        <v>8607.25062655997</v>
      </c>
      <c r="N721" s="15" t="n">
        <f aca="false">M721*(1+IF(N$3&lt;=$O$2,$D721,$D721-($D721-$I$697)*MIN(N$3-$O$2,$Q$2)/$Q$2))</f>
        <v>8936.90832555722</v>
      </c>
      <c r="O721" s="15" t="n">
        <f aca="false">SUMPRODUCT(E721:N721,1/(1+$F$697)^$E$3:$N$3)*$E$2</f>
        <v>19431.1012971051</v>
      </c>
      <c r="P721" s="15" t="n">
        <f aca="false">N721*$E$2*(1+$I$697)/($F$697-$I$697)/(1+$F$697)^$N$3</f>
        <v>27526.1783750425</v>
      </c>
      <c r="Q721" s="15" t="n">
        <f aca="false">O721+P721</f>
        <v>46957.2796721477</v>
      </c>
      <c r="R721" s="15" t="n">
        <f aca="false">Q721-$G$2+$I$2</f>
        <v>40769.9796721477</v>
      </c>
      <c r="S721" s="42" t="n">
        <f aca="false">R721/$K$2</f>
        <v>560.797519561866</v>
      </c>
      <c r="T721" s="43" t="n">
        <f aca="false">S721-$M$2</f>
        <v>-0.000279612824442665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0.132572710514069</v>
      </c>
      <c r="C722" s="25" t="n">
        <f aca="false">IF(T721&gt;0,D721,C721)</f>
        <v>0.132572889328003</v>
      </c>
      <c r="D722" s="41" t="n">
        <f aca="false">(B722+C722)/2</f>
        <v>0.132572799921036</v>
      </c>
      <c r="E722" s="15" t="n">
        <f aca="false">$C$2*(1+IF(E$3&lt;=$O$2,$D722,$D722-($D722-$I$697)*MIN(E$3-$O$2,$Q$2)/$Q$2))</f>
        <v>3771.46742373705</v>
      </c>
      <c r="F722" s="15" t="n">
        <f aca="false">E722*(1+IF(F$3&lt;=$O$2,$D722,$D722-($D722-$I$697)*MIN(F$3-$O$2,$Q$2)/$Q$2))</f>
        <v>4271.46141991285</v>
      </c>
      <c r="G722" s="15" t="n">
        <f aca="false">F722*(1+IF(G$3&lt;=$O$2,$D722,$D722-($D722-$I$697)*MIN(G$3-$O$2,$Q$2)/$Q$2))</f>
        <v>4837.74102010537</v>
      </c>
      <c r="H722" s="15" t="n">
        <f aca="false">G722*(1+IF(H$3&lt;=$O$2,$D722,$D722-($D722-$I$697)*MIN(H$3-$O$2,$Q$2)/$Q$2))</f>
        <v>5479.09389243359</v>
      </c>
      <c r="I722" s="15" t="n">
        <f aca="false">H722*(1+IF(I$3&lt;=$O$2,$D722,$D722-($D722-$I$697)*MIN(I$3-$O$2,$Q$2)/$Q$2))</f>
        <v>6205.47271078376</v>
      </c>
      <c r="J722" s="15" t="n">
        <f aca="false">I722*(1+IF(J$3&lt;=$O$2,$D722,$D722-($D722-$I$697)*MIN(J$3-$O$2,$Q$2)/$Q$2))</f>
        <v>6911.14814543011</v>
      </c>
      <c r="K722" s="15" t="n">
        <f aca="false">J722*(1+IF(K$3&lt;=$O$2,$D722,$D722-($D722-$I$697)*MIN(K$3-$O$2,$Q$2)/$Q$2))</f>
        <v>7566.76509120334</v>
      </c>
      <c r="L722" s="15" t="n">
        <f aca="false">K722*(1+IF(L$3&lt;=$O$2,$D722,$D722-($D722-$I$697)*MIN(L$3-$O$2,$Q$2)/$Q$2))</f>
        <v>8141.90824679343</v>
      </c>
      <c r="M722" s="15" t="n">
        <f aca="false">L722*(1+IF(M$3&lt;=$O$2,$D722,$D722-($D722-$I$697)*MIN(M$3-$O$2,$Q$2)/$Q$2))</f>
        <v>8607.25543007069</v>
      </c>
      <c r="N722" s="15" t="n">
        <f aca="false">M722*(1+IF(N$3&lt;=$O$2,$D722,$D722-($D722-$I$697)*MIN(N$3-$O$2,$Q$2)/$Q$2))</f>
        <v>8936.9133130424</v>
      </c>
      <c r="O722" s="15" t="n">
        <f aca="false">SUMPRODUCT(E722:N722,1/(1+$F$697)^$E$3:$N$3)*$E$2</f>
        <v>19431.1087231752</v>
      </c>
      <c r="P722" s="15" t="n">
        <f aca="false">N722*$E$2*(1+$I$697)/($F$697-$I$697)/(1+$F$697)^$N$3</f>
        <v>27526.1937367763</v>
      </c>
      <c r="Q722" s="15" t="n">
        <f aca="false">O722+P722</f>
        <v>46957.3024599516</v>
      </c>
      <c r="R722" s="15" t="n">
        <f aca="false">Q722-$G$2+$I$2</f>
        <v>40770.0024599516</v>
      </c>
      <c r="S722" s="42" t="n">
        <f aca="false">R722/$K$2</f>
        <v>560.797833011714</v>
      </c>
      <c r="T722" s="43" t="n">
        <f aca="false">S722-$M$2</f>
        <v>3.38370230110741E-005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207</v>
      </c>
    </row>
    <row r="3" customFormat="false" ht="15" hidden="false" customHeight="false" outlineLevel="0" collapsed="false">
      <c r="B3" s="2" t="s">
        <v>208</v>
      </c>
    </row>
    <row r="5" customFormat="false" ht="15" hidden="false" customHeight="false" outlineLevel="0" collapsed="false">
      <c r="B5" s="3" t="s">
        <v>209</v>
      </c>
    </row>
    <row r="6" customFormat="false" ht="15" hidden="false" customHeight="false" outlineLevel="0" collapsed="false">
      <c r="B6" s="28" t="s">
        <v>158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210</v>
      </c>
      <c r="C7" s="23" t="n">
        <f aca="false">IF(C$6&lt;=Inputs!$C$46,Solver!$W$7,Solver!$W$7-(Solver!$W$7-Inputs!$C$37)*MIN(C$6-Inputs!$C$46,Inputs!$C$47)/Inputs!$C$47)</f>
        <v>0.123574744153757</v>
      </c>
      <c r="D7" s="23" t="n">
        <f aca="false">IF(D$6&lt;=Inputs!$C$46,Solver!$W$7,Solver!$W$7-(Solver!$W$7-Inputs!$C$37)*MIN(D$6-Inputs!$C$46,Inputs!$C$47)/Inputs!$C$47)</f>
        <v>0.123574744153757</v>
      </c>
      <c r="E7" s="23" t="n">
        <f aca="false">IF(E$6&lt;=Inputs!$C$46,Solver!$W$7,Solver!$W$7-(Solver!$W$7-Inputs!$C$37)*MIN(E$6-Inputs!$C$46,Inputs!$C$47)/Inputs!$C$47)</f>
        <v>0.123574744153757</v>
      </c>
      <c r="F7" s="23" t="n">
        <f aca="false">IF(F$6&lt;=Inputs!$C$46,Solver!$W$7,Solver!$W$7-(Solver!$W$7-Inputs!$C$37)*MIN(F$6-Inputs!$C$46,Inputs!$C$47)/Inputs!$C$47)</f>
        <v>0.123574744153757</v>
      </c>
      <c r="G7" s="23" t="n">
        <f aca="false">IF(G$6&lt;=Inputs!$C$46,Solver!$W$7,Solver!$W$7-(Solver!$W$7-Inputs!$C$37)*MIN(G$6-Inputs!$C$46,Inputs!$C$47)/Inputs!$C$47)</f>
        <v>0.123574744153757</v>
      </c>
      <c r="H7" s="23" t="n">
        <f aca="false">IF(H$6&lt;=Inputs!$C$46,Solver!$W$7,Solver!$W$7-(Solver!$W$7-Inputs!$C$37)*MIN(H$6-Inputs!$C$46,Inputs!$C$47)/Inputs!$C$47)</f>
        <v>0.104519795323006</v>
      </c>
      <c r="I7" s="23" t="n">
        <f aca="false">IF(I$6&lt;=Inputs!$C$46,Solver!$W$7,Solver!$W$7-(Solver!$W$7-Inputs!$C$37)*MIN(I$6-Inputs!$C$46,Inputs!$C$47)/Inputs!$C$47)</f>
        <v>0.0854648464922542</v>
      </c>
      <c r="J7" s="23" t="n">
        <f aca="false">IF(J$6&lt;=Inputs!$C$46,Solver!$W$7,Solver!$W$7-(Solver!$W$7-Inputs!$C$37)*MIN(J$6-Inputs!$C$46,Inputs!$C$47)/Inputs!$C$47)</f>
        <v>0.0664098976615028</v>
      </c>
      <c r="K7" s="23" t="n">
        <f aca="false">IF(K$6&lt;=Inputs!$C$46,Solver!$W$7,Solver!$W$7-(Solver!$W$7-Inputs!$C$37)*MIN(K$6-Inputs!$C$46,Inputs!$C$47)/Inputs!$C$47)</f>
        <v>0.0473549488307514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103</v>
      </c>
      <c r="C8" s="15" t="n">
        <f aca="false">Inputs!$C$12*(1+C7)</f>
        <v>3741.50389803201</v>
      </c>
      <c r="D8" s="15" t="n">
        <f aca="false">C8*(1+D7)</f>
        <v>4203.8592849816</v>
      </c>
      <c r="E8" s="15" t="n">
        <f aca="false">D8*(1+E7)</f>
        <v>4723.3501205816</v>
      </c>
      <c r="F8" s="15" t="n">
        <f aca="false">E8*(1+F7)</f>
        <v>5307.03690328109</v>
      </c>
      <c r="G8" s="15" t="n">
        <f aca="false">F8*(1+G7)</f>
        <v>5962.85263081859</v>
      </c>
      <c r="H8" s="15" t="n">
        <f aca="false">G8*(1+H7)</f>
        <v>6586.088767333</v>
      </c>
      <c r="I8" s="15" t="n">
        <f aca="false">H8*(1+I7)</f>
        <v>7148.96783281747</v>
      </c>
      <c r="J8" s="15" t="n">
        <f aca="false">I8*(1+J7)</f>
        <v>7623.73005498025</v>
      </c>
      <c r="K8" s="15" t="n">
        <f aca="false">J8*(1+K7)</f>
        <v>7984.7514016333</v>
      </c>
      <c r="L8" s="15" t="n">
        <f aca="false">K8*(1+L7)</f>
        <v>8210.71986629953</v>
      </c>
    </row>
    <row r="9" customFormat="false" ht="15" hidden="false" customHeight="false" outlineLevel="0" collapsed="false">
      <c r="B9" s="5" t="s">
        <v>58</v>
      </c>
      <c r="C9" s="15" t="n">
        <f aca="false">C8*Inputs!$C$23</f>
        <v>2025.24347633715</v>
      </c>
      <c r="D9" s="15" t="n">
        <f aca="false">D8*Inputs!$C$23</f>
        <v>2275.51242077458</v>
      </c>
      <c r="E9" s="15" t="n">
        <f aca="false">E8*Inputs!$C$23</f>
        <v>2556.70828599049</v>
      </c>
      <c r="F9" s="15" t="n">
        <f aca="false">F8*Inputs!$C$23</f>
        <v>2872.65285830755</v>
      </c>
      <c r="G9" s="15" t="n">
        <f aca="false">G8*Inputs!$C$23</f>
        <v>3227.64020031547</v>
      </c>
      <c r="H9" s="15" t="n">
        <f aca="false">H8*Inputs!$C$23</f>
        <v>3564.99249342875</v>
      </c>
      <c r="I9" s="15" t="n">
        <f aca="false">I8*Inputs!$C$23</f>
        <v>3869.67402962567</v>
      </c>
      <c r="J9" s="15" t="n">
        <f aca="false">J8*Inputs!$C$23</f>
        <v>4126.65868591649</v>
      </c>
      <c r="K9" s="15" t="n">
        <f aca="false">K8*Inputs!$C$23</f>
        <v>4322.07639683004</v>
      </c>
      <c r="L9" s="15" t="n">
        <f aca="false">L8*Inputs!$C$23</f>
        <v>4444.39115886033</v>
      </c>
    </row>
    <row r="10" customFormat="false" ht="15" hidden="false" customHeight="false" outlineLevel="0" collapsed="false">
      <c r="B10" s="5" t="s">
        <v>211</v>
      </c>
      <c r="C10" s="45" t="n">
        <f aca="false">1/(1+WACC!$C$34)^C$6</f>
        <v>0.912966349260257</v>
      </c>
      <c r="D10" s="45" t="n">
        <f aca="false">1/(1+WACC!$C$34)^D$6</f>
        <v>0.833507554881602</v>
      </c>
      <c r="E10" s="45" t="n">
        <f aca="false">1/(1+WACC!$C$34)^E$6</f>
        <v>0.7609643494611</v>
      </c>
      <c r="F10" s="45" t="n">
        <f aca="false">1/(1+WACC!$C$34)^F$6</f>
        <v>0.694734844044707</v>
      </c>
      <c r="G10" s="45" t="n">
        <f aca="false">1/(1+WACC!$C$34)^G$6</f>
        <v>0.63426953427139</v>
      </c>
      <c r="H10" s="45" t="n">
        <f aca="false">1/(1+WACC!$C$34)^H$6</f>
        <v>0.579066741150754</v>
      </c>
      <c r="I10" s="45" t="n">
        <f aca="false">1/(1+WACC!$C$34)^I$6</f>
        <v>0.528668448646439</v>
      </c>
      <c r="J10" s="45" t="n">
        <f aca="false">1/(1+WACC!$C$34)^J$6</f>
        <v>0.482656503529823</v>
      </c>
      <c r="K10" s="45" t="n">
        <f aca="false">1/(1+WACC!$C$34)^K$6</f>
        <v>0.440649145974343</v>
      </c>
      <c r="L10" s="45" t="n">
        <f aca="false">1/(1+WACC!$C$34)^L$6</f>
        <v>0.402297842104846</v>
      </c>
    </row>
    <row r="11" customFormat="false" ht="15" hidden="false" customHeight="false" outlineLevel="0" collapsed="false">
      <c r="B11" s="5" t="s">
        <v>212</v>
      </c>
      <c r="C11" s="15" t="n">
        <f aca="false">C9*C10</f>
        <v>1848.97914295468</v>
      </c>
      <c r="D11" s="15" t="n">
        <f aca="false">D9*D10</f>
        <v>1896.65679394253</v>
      </c>
      <c r="E11" s="15" t="n">
        <f aca="false">E9*E10</f>
        <v>1945.56385761056</v>
      </c>
      <c r="F11" s="15" t="n">
        <f aca="false">F9*F10</f>
        <v>1995.73203551088</v>
      </c>
      <c r="G11" s="15" t="n">
        <f aca="false">G9*G10</f>
        <v>2047.19384664971</v>
      </c>
      <c r="H11" s="15" t="n">
        <f aca="false">H9*H10</f>
        <v>2064.36858539669</v>
      </c>
      <c r="I11" s="15" t="n">
        <f aca="false">I9*I10</f>
        <v>2045.77456600962</v>
      </c>
      <c r="J11" s="15" t="n">
        <f aca="false">J9*J10</f>
        <v>1991.75865260543</v>
      </c>
      <c r="K11" s="15" t="n">
        <f aca="false">K9*K10</f>
        <v>1904.51927309902</v>
      </c>
      <c r="L11" s="15" t="n">
        <f aca="false">L9*L10</f>
        <v>1787.96897267937</v>
      </c>
    </row>
    <row r="13" customFormat="false" ht="15" hidden="false" customHeight="false" outlineLevel="0" collapsed="false">
      <c r="B13" s="5" t="s">
        <v>213</v>
      </c>
      <c r="C13" s="15" t="n">
        <f aca="false">SUM(C11:L11)</f>
        <v>19528.5157264585</v>
      </c>
    </row>
    <row r="14" customFormat="false" ht="15" hidden="false" customHeight="false" outlineLevel="0" collapsed="false">
      <c r="B14" s="5" t="s">
        <v>214</v>
      </c>
      <c r="C14" s="15" t="n">
        <f aca="false">L9*(1+Inputs!$C$37)/(WACC!$C$34-Inputs!$C$37)</f>
        <v>68180.2918214754</v>
      </c>
    </row>
    <row r="15" customFormat="false" ht="15" hidden="false" customHeight="false" outlineLevel="0" collapsed="false">
      <c r="B15" s="5" t="s">
        <v>215</v>
      </c>
      <c r="C15" s="15" t="n">
        <f aca="false">C14*L10</f>
        <v>27428.7842738582</v>
      </c>
    </row>
    <row r="16" customFormat="false" ht="15" hidden="false" customHeight="false" outlineLevel="0" collapsed="false">
      <c r="B16" s="7" t="s">
        <v>216</v>
      </c>
      <c r="C16" s="15" t="n">
        <f aca="false">C13+C15</f>
        <v>46957.3000003167</v>
      </c>
    </row>
    <row r="17" customFormat="false" ht="15" hidden="false" customHeight="false" outlineLevel="0" collapsed="false">
      <c r="B17" s="5" t="s">
        <v>217</v>
      </c>
      <c r="C17" s="16" t="n">
        <f aca="false">-Inputs!$C$27</f>
        <v>-6540</v>
      </c>
    </row>
    <row r="18" customFormat="false" ht="15" hidden="false" customHeight="false" outlineLevel="0" collapsed="false">
      <c r="B18" s="5" t="s">
        <v>218</v>
      </c>
      <c r="C18" s="16" t="n">
        <f aca="false">Inputs!$C$28</f>
        <v>352.7</v>
      </c>
    </row>
    <row r="19" customFormat="false" ht="15" hidden="false" customHeight="false" outlineLevel="0" collapsed="false">
      <c r="B19" s="5" t="s">
        <v>219</v>
      </c>
      <c r="C19" s="15" t="n">
        <f aca="false">SUM(C16:C18)</f>
        <v>40770.0000003167</v>
      </c>
    </row>
    <row r="20" customFormat="false" ht="15" hidden="false" customHeight="false" outlineLevel="0" collapsed="false">
      <c r="B20" s="5" t="s">
        <v>220</v>
      </c>
      <c r="C20" s="36" t="n">
        <f aca="false">Inputs!$C$7</f>
        <v>72.7</v>
      </c>
    </row>
    <row r="21" customFormat="false" ht="15" hidden="false" customHeight="false" outlineLevel="0" collapsed="false">
      <c r="B21" s="7" t="s">
        <v>221</v>
      </c>
      <c r="C21" s="46" t="n">
        <f aca="false">C19/C20</f>
        <v>560.797799179046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560.797799174691</v>
      </c>
    </row>
    <row r="23" customFormat="false" ht="15" hidden="false" customHeight="false" outlineLevel="0" collapsed="false">
      <c r="B23" s="5" t="s">
        <v>222</v>
      </c>
      <c r="C23" s="23" t="n">
        <f aca="false">C21/C22-1</f>
        <v>7.7671202802776E-012</v>
      </c>
    </row>
    <row r="24" customFormat="false" ht="15" hidden="false" customHeight="false" outlineLevel="0" collapsed="false">
      <c r="B24" s="5" t="s">
        <v>223</v>
      </c>
      <c r="C24" s="23" t="n">
        <f aca="false">C15/C16</f>
        <v>0.584121835660765</v>
      </c>
    </row>
    <row r="25" customFormat="false" ht="15" hidden="false" customHeight="false" outlineLevel="0" collapsed="false">
      <c r="B25" s="3" t="s">
        <v>224</v>
      </c>
    </row>
    <row r="26" customFormat="false" ht="15" hidden="false" customHeight="false" outlineLevel="0" collapsed="false">
      <c r="B26" s="28" t="s">
        <v>158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210</v>
      </c>
      <c r="C27" s="23" t="n">
        <f aca="false">IF(C$26&lt;=Inputs!$C$46,Inputs!$C$45,Inputs!$C$45-(Inputs!$C$45-Inputs!$C$37)*MIN(C$26-Inputs!$C$46,Inputs!$C$47)/Inputs!$C$47)</f>
        <v>0.106128061110648</v>
      </c>
      <c r="D27" s="23" t="n">
        <f aca="false">IF(D$26&lt;=Inputs!$C$46,Inputs!$C$45,Inputs!$C$45-(Inputs!$C$45-Inputs!$C$37)*MIN(D$26-Inputs!$C$46,Inputs!$C$47)/Inputs!$C$47)</f>
        <v>0.106128061110648</v>
      </c>
      <c r="E27" s="23" t="n">
        <f aca="false">IF(E$26&lt;=Inputs!$C$46,Inputs!$C$45,Inputs!$C$45-(Inputs!$C$45-Inputs!$C$37)*MIN(E$26-Inputs!$C$46,Inputs!$C$47)/Inputs!$C$47)</f>
        <v>0.106128061110648</v>
      </c>
      <c r="F27" s="23" t="n">
        <f aca="false">IF(F$26&lt;=Inputs!$C$46,Inputs!$C$45,Inputs!$C$45-(Inputs!$C$45-Inputs!$C$37)*MIN(F$26-Inputs!$C$46,Inputs!$C$47)/Inputs!$C$47)</f>
        <v>0.106128061110648</v>
      </c>
      <c r="G27" s="23" t="n">
        <f aca="false">IF(G$26&lt;=Inputs!$C$46,Inputs!$C$45,Inputs!$C$45-(Inputs!$C$45-Inputs!$C$37)*MIN(G$26-Inputs!$C$46,Inputs!$C$47)/Inputs!$C$47)</f>
        <v>0.106128061110648</v>
      </c>
      <c r="H27" s="23" t="n">
        <f aca="false">IF(H$26&lt;=Inputs!$C$46,Inputs!$C$45,Inputs!$C$45-(Inputs!$C$45-Inputs!$C$37)*MIN(H$26-Inputs!$C$46,Inputs!$C$47)/Inputs!$C$47)</f>
        <v>0.0905624488885185</v>
      </c>
      <c r="I27" s="23" t="n">
        <f aca="false">IF(I$26&lt;=Inputs!$C$46,Inputs!$C$45,Inputs!$C$45-(Inputs!$C$45-Inputs!$C$37)*MIN(I$26-Inputs!$C$46,Inputs!$C$47)/Inputs!$C$47)</f>
        <v>0.0749968366663889</v>
      </c>
      <c r="J27" s="23" t="n">
        <f aca="false">IF(J$26&lt;=Inputs!$C$46,Inputs!$C$45,Inputs!$C$45-(Inputs!$C$45-Inputs!$C$37)*MIN(J$26-Inputs!$C$46,Inputs!$C$47)/Inputs!$C$47)</f>
        <v>0.0594312244442592</v>
      </c>
      <c r="K27" s="23" t="n">
        <f aca="false">IF(K$26&lt;=Inputs!$C$46,Inputs!$C$45,Inputs!$C$45-(Inputs!$C$45-Inputs!$C$37)*MIN(K$26-Inputs!$C$46,Inputs!$C$47)/Inputs!$C$47)</f>
        <v>0.0438656122221296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103</v>
      </c>
      <c r="C28" s="15" t="n">
        <f aca="false">Inputs!$C$12*(1+C27)</f>
        <v>3683.40644349846</v>
      </c>
      <c r="D28" s="15" t="n">
        <f aca="false">C28*(1+D27)</f>
        <v>4074.31922762942</v>
      </c>
      <c r="E28" s="15" t="n">
        <f aca="false">D28*(1+E27)</f>
        <v>4506.71882760356</v>
      </c>
      <c r="F28" s="15" t="n">
        <f aca="false">E28*(1+F27)</f>
        <v>4985.00815874798</v>
      </c>
      <c r="G28" s="15" t="n">
        <f aca="false">F28*(1+G27)</f>
        <v>5514.05740925666</v>
      </c>
      <c r="H28" s="15" t="n">
        <f aca="false">G28*(1+H27)</f>
        <v>6013.42395155083</v>
      </c>
      <c r="I28" s="15" t="n">
        <f aca="false">H28*(1+I27)</f>
        <v>6464.41172545104</v>
      </c>
      <c r="J28" s="15" t="n">
        <f aca="false">I28*(1+J27)</f>
        <v>6848.59962960642</v>
      </c>
      <c r="K28" s="15" t="n">
        <f aca="false">J28*(1+K27)</f>
        <v>7149.01764522335</v>
      </c>
      <c r="L28" s="15" t="n">
        <f aca="false">K28*(1+L27)</f>
        <v>7351.33484458317</v>
      </c>
    </row>
    <row r="29" customFormat="false" ht="15" hidden="false" customHeight="false" outlineLevel="0" collapsed="false">
      <c r="B29" s="5" t="s">
        <v>58</v>
      </c>
      <c r="C29" s="15" t="n">
        <f aca="false">C28*Inputs!$C$23</f>
        <v>1993.79583015194</v>
      </c>
      <c r="D29" s="15" t="n">
        <f aca="false">D28*Inputs!$C$23</f>
        <v>2205.39351585646</v>
      </c>
      <c r="E29" s="15" t="n">
        <f aca="false">E28*Inputs!$C$23</f>
        <v>2439.44765368031</v>
      </c>
      <c r="F29" s="15" t="n">
        <f aca="false">F28*Inputs!$C$23</f>
        <v>2698.34150334632</v>
      </c>
      <c r="G29" s="15" t="n">
        <f aca="false">G28*Inputs!$C$23</f>
        <v>2984.71125531085</v>
      </c>
      <c r="H29" s="15" t="n">
        <f aca="false">H28*Inputs!$C$23</f>
        <v>3255.01401581693</v>
      </c>
      <c r="I29" s="15" t="n">
        <f aca="false">I28*Inputs!$C$23</f>
        <v>3499.12977030796</v>
      </c>
      <c r="J29" s="15" t="n">
        <f aca="false">J28*Inputs!$C$23</f>
        <v>3707.08733704672</v>
      </c>
      <c r="K29" s="15" t="n">
        <f aca="false">K28*Inputs!$C$23</f>
        <v>3869.70099264718</v>
      </c>
      <c r="L29" s="15" t="n">
        <f aca="false">L28*Inputs!$C$23</f>
        <v>3979.21353073909</v>
      </c>
    </row>
    <row r="30" customFormat="false" ht="15" hidden="false" customHeight="false" outlineLevel="0" collapsed="false">
      <c r="B30" s="5" t="s">
        <v>211</v>
      </c>
      <c r="C30" s="45" t="n">
        <f aca="false">1/(1+WACC!$C$34)^C$26</f>
        <v>0.912966349260257</v>
      </c>
      <c r="D30" s="45" t="n">
        <f aca="false">1/(1+WACC!$C$34)^D$26</f>
        <v>0.833507554881602</v>
      </c>
      <c r="E30" s="45" t="n">
        <f aca="false">1/(1+WACC!$C$34)^E$26</f>
        <v>0.7609643494611</v>
      </c>
      <c r="F30" s="45" t="n">
        <f aca="false">1/(1+WACC!$C$34)^F$26</f>
        <v>0.694734844044707</v>
      </c>
      <c r="G30" s="45" t="n">
        <f aca="false">1/(1+WACC!$C$34)^G$26</f>
        <v>0.63426953427139</v>
      </c>
      <c r="H30" s="45" t="n">
        <f aca="false">1/(1+WACC!$C$34)^H$26</f>
        <v>0.579066741150754</v>
      </c>
      <c r="I30" s="45" t="n">
        <f aca="false">1/(1+WACC!$C$34)^I$26</f>
        <v>0.528668448646439</v>
      </c>
      <c r="J30" s="45" t="n">
        <f aca="false">1/(1+WACC!$C$34)^J$26</f>
        <v>0.482656503529823</v>
      </c>
      <c r="K30" s="45" t="n">
        <f aca="false">1/(1+WACC!$C$34)^K$26</f>
        <v>0.440649145974343</v>
      </c>
      <c r="L30" s="45" t="n">
        <f aca="false">1/(1+WACC!$C$34)^L$26</f>
        <v>0.402297842104846</v>
      </c>
    </row>
    <row r="31" customFormat="false" ht="15" hidden="false" customHeight="false" outlineLevel="0" collapsed="false">
      <c r="B31" s="5" t="s">
        <v>212</v>
      </c>
      <c r="C31" s="15" t="n">
        <f aca="false">C29*C30</f>
        <v>1820.26850022414</v>
      </c>
      <c r="D31" s="15" t="n">
        <f aca="false">D29*D30</f>
        <v>1838.21215695326</v>
      </c>
      <c r="E31" s="15" t="n">
        <f aca="false">E29*E30</f>
        <v>1856.33269682724</v>
      </c>
      <c r="F31" s="15" t="n">
        <f aca="false">F29*F30</f>
        <v>1874.63186350666</v>
      </c>
      <c r="G31" s="15" t="n">
        <f aca="false">G29*G30</f>
        <v>1893.11141784059</v>
      </c>
      <c r="H31" s="15" t="n">
        <f aca="false">H29*H30</f>
        <v>1884.87035853914</v>
      </c>
      <c r="I31" s="15" t="n">
        <f aca="false">I29*I30</f>
        <v>1849.87950728128</v>
      </c>
      <c r="J31" s="15" t="n">
        <f aca="false">J29*J30</f>
        <v>1789.24981237865</v>
      </c>
      <c r="K31" s="15" t="n">
        <f aca="false">K29*K30</f>
        <v>1705.18043758604</v>
      </c>
      <c r="L31" s="15" t="n">
        <f aca="false">L29*L30</f>
        <v>1600.82901669074</v>
      </c>
    </row>
    <row r="33" customFormat="false" ht="15" hidden="false" customHeight="false" outlineLevel="0" collapsed="false">
      <c r="B33" s="5" t="s">
        <v>213</v>
      </c>
      <c r="C33" s="15" t="n">
        <f aca="false">SUM(C31:L31)</f>
        <v>18112.5657678277</v>
      </c>
    </row>
    <row r="34" customFormat="false" ht="15" hidden="false" customHeight="false" outlineLevel="0" collapsed="false">
      <c r="B34" s="5" t="s">
        <v>214</v>
      </c>
      <c r="C34" s="15" t="n">
        <f aca="false">L29*(1+Inputs!$C$37)/(WACC!$C$34-Inputs!$C$37)</f>
        <v>61044.1183163826</v>
      </c>
    </row>
    <row r="35" customFormat="false" ht="15" hidden="false" customHeight="false" outlineLevel="0" collapsed="false">
      <c r="B35" s="5" t="s">
        <v>215</v>
      </c>
      <c r="C35" s="15" t="n">
        <f aca="false">C34*L30</f>
        <v>24557.9170718736</v>
      </c>
    </row>
    <row r="36" customFormat="false" ht="15" hidden="false" customHeight="false" outlineLevel="0" collapsed="false">
      <c r="B36" s="7" t="s">
        <v>216</v>
      </c>
      <c r="C36" s="15" t="n">
        <f aca="false">C33+C35</f>
        <v>42670.4828397013</v>
      </c>
    </row>
    <row r="37" customFormat="false" ht="15" hidden="false" customHeight="false" outlineLevel="0" collapsed="false">
      <c r="B37" s="5" t="s">
        <v>217</v>
      </c>
      <c r="C37" s="16" t="n">
        <f aca="false">-Inputs!$C$27</f>
        <v>-6540</v>
      </c>
    </row>
    <row r="38" customFormat="false" ht="15" hidden="false" customHeight="false" outlineLevel="0" collapsed="false">
      <c r="B38" s="5" t="s">
        <v>218</v>
      </c>
      <c r="C38" s="16" t="n">
        <f aca="false">Inputs!$C$28</f>
        <v>352.7</v>
      </c>
    </row>
    <row r="39" customFormat="false" ht="15" hidden="false" customHeight="false" outlineLevel="0" collapsed="false">
      <c r="B39" s="5" t="s">
        <v>219</v>
      </c>
      <c r="C39" s="15" t="n">
        <f aca="false">SUM(C36:C38)</f>
        <v>36483.1828397013</v>
      </c>
    </row>
    <row r="40" customFormat="false" ht="15" hidden="false" customHeight="false" outlineLevel="0" collapsed="false">
      <c r="B40" s="5" t="s">
        <v>220</v>
      </c>
      <c r="C40" s="36" t="n">
        <f aca="false">Inputs!$C$7</f>
        <v>72.7</v>
      </c>
    </row>
    <row r="41" customFormat="false" ht="15" hidden="false" customHeight="false" outlineLevel="0" collapsed="false">
      <c r="B41" s="7" t="s">
        <v>221</v>
      </c>
      <c r="C41" s="46" t="n">
        <f aca="false">C39/C40</f>
        <v>501.831951027529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560.797799174691</v>
      </c>
    </row>
    <row r="43" customFormat="false" ht="15" hidden="false" customHeight="false" outlineLevel="0" collapsed="false">
      <c r="B43" s="5" t="s">
        <v>222</v>
      </c>
      <c r="C43" s="23" t="n">
        <f aca="false">C41/C42-1</f>
        <v>-0.105146361547674</v>
      </c>
    </row>
    <row r="44" customFormat="false" ht="15" hidden="false" customHeight="false" outlineLevel="0" collapsed="false">
      <c r="B44" s="5" t="s">
        <v>223</v>
      </c>
      <c r="C44" s="23" t="n">
        <f aca="false">C35/C36</f>
        <v>0.575524705547145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225</v>
      </c>
    </row>
    <row r="3" customFormat="false" ht="15" hidden="false" customHeight="false" outlineLevel="0" collapsed="false">
      <c r="B3" s="2" t="s">
        <v>226</v>
      </c>
    </row>
    <row r="5" customFormat="false" ht="15" hidden="false" customHeight="false" outlineLevel="0" collapsed="false">
      <c r="B5" s="5" t="s">
        <v>227</v>
      </c>
      <c r="C5" s="24" t="n">
        <v>0.005</v>
      </c>
      <c r="D5" s="5" t="s">
        <v>228</v>
      </c>
      <c r="F5" s="24" t="n">
        <v>0.005</v>
      </c>
    </row>
    <row r="6" customFormat="false" ht="15" hidden="false" customHeight="false" outlineLevel="0" collapsed="false">
      <c r="B6" s="5" t="s">
        <v>229</v>
      </c>
      <c r="C6" s="24" t="n">
        <v>0.02</v>
      </c>
    </row>
    <row r="8" customFormat="false" ht="15" hidden="false" customHeight="false" outlineLevel="0" collapsed="false">
      <c r="B8" s="3" t="s">
        <v>230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WACC!$C$34+(0-2)*$C$5</f>
        <v>0.0853306228759286</v>
      </c>
      <c r="C10" s="9" t="n">
        <f aca="false">Solver!$D$74</f>
        <v>0.114565521478653</v>
      </c>
      <c r="D10" s="9" t="n">
        <f aca="false">Solver!$D$101</f>
        <v>0.104019612073898</v>
      </c>
      <c r="E10" s="9" t="n">
        <f aca="false">Solver!$D$128</f>
        <v>0.0926091372966766</v>
      </c>
      <c r="F10" s="9" t="n">
        <f aca="false">Solver!$D$155</f>
        <v>0.080182820558548</v>
      </c>
      <c r="G10" s="9" t="n">
        <f aca="false">Solver!$D$182</f>
        <v>0.0665448606014252</v>
      </c>
      <c r="I10" s="19" t="s">
        <v>231</v>
      </c>
    </row>
    <row r="11" customFormat="false" ht="15" hidden="false" customHeight="false" outlineLevel="0" collapsed="false">
      <c r="B11" s="47" t="n">
        <f aca="false">WACC!$C$34+(1-2)*$C$5</f>
        <v>0.0903306228759286</v>
      </c>
      <c r="C11" s="9" t="n">
        <f aca="false">Solver!$D$209</f>
        <v>0.128916949033737</v>
      </c>
      <c r="D11" s="9" t="n">
        <f aca="false">Solver!$D$236</f>
        <v>0.119071453809738</v>
      </c>
      <c r="E11" s="9" t="n">
        <f aca="false">Solver!$D$263</f>
        <v>0.108478158712387</v>
      </c>
      <c r="F11" s="9" t="n">
        <f aca="false">Solver!$D$290</f>
        <v>0.0970165431499481</v>
      </c>
      <c r="G11" s="9" t="n">
        <f aca="false">Solver!$D$317</f>
        <v>0.084534615278244</v>
      </c>
    </row>
    <row r="12" customFormat="false" ht="15" hidden="false" customHeight="false" outlineLevel="0" collapsed="false">
      <c r="B12" s="47" t="n">
        <f aca="false">WACC!$C$34+(2-2)*$C$5</f>
        <v>0.0953306228759286</v>
      </c>
      <c r="C12" s="9" t="n">
        <f aca="false">Solver!$D$344</f>
        <v>0.142700463533402</v>
      </c>
      <c r="D12" s="9" t="n">
        <f aca="false">Solver!$D$371</f>
        <v>0.13346454501152</v>
      </c>
      <c r="E12" s="8" t="n">
        <f aca="false">Solver!$D$398</f>
        <v>0.123574703931808</v>
      </c>
      <c r="F12" s="9" t="n">
        <f aca="false">Solver!$D$425</f>
        <v>0.112933844327927</v>
      </c>
      <c r="G12" s="9" t="n">
        <f aca="false">Solver!$D$452</f>
        <v>0.10142108798027</v>
      </c>
    </row>
    <row r="13" customFormat="false" ht="15" hidden="false" customHeight="false" outlineLevel="0" collapsed="false">
      <c r="B13" s="47" t="n">
        <f aca="false">WACC!$C$34+(3-2)*$C$5</f>
        <v>0.100330622875929</v>
      </c>
      <c r="C13" s="9" t="n">
        <f aca="false">Solver!$D$479</f>
        <v>0.155987054109573</v>
      </c>
      <c r="D13" s="9" t="n">
        <f aca="false">Solver!$D$506</f>
        <v>0.147286683320999</v>
      </c>
      <c r="E13" s="9" t="n">
        <f aca="false">Solver!$D$533</f>
        <v>0.138009279966354</v>
      </c>
      <c r="F13" s="9" t="n">
        <f aca="false">Solver!$D$560</f>
        <v>0.12807509303093</v>
      </c>
      <c r="G13" s="9" t="n">
        <f aca="false">Solver!$D$587</f>
        <v>0.117386668920517</v>
      </c>
    </row>
    <row r="14" customFormat="false" ht="15" hidden="false" customHeight="false" outlineLevel="0" collapsed="false">
      <c r="B14" s="47" t="n">
        <f aca="false">WACC!$C$34+(4-2)*$C$5</f>
        <v>0.105330622875929</v>
      </c>
      <c r="C14" s="9" t="n">
        <f aca="false">Solver!$D$614</f>
        <v>0.168835908174515</v>
      </c>
      <c r="D14" s="9" t="n">
        <f aca="false">Solver!$D$641</f>
        <v>0.160609751939774</v>
      </c>
      <c r="E14" s="9" t="n">
        <f aca="false">Solver!$D$668</f>
        <v>0.151870220899582</v>
      </c>
      <c r="F14" s="9" t="n">
        <f aca="false">Solver!$D$695</f>
        <v>0.142551332712173</v>
      </c>
      <c r="G14" s="9" t="n">
        <f aca="false">Solver!$D$722</f>
        <v>0.132572799921036</v>
      </c>
    </row>
    <row r="17" customFormat="false" ht="15" hidden="false" customHeight="false" outlineLevel="0" collapsed="false">
      <c r="B17" s="3" t="s">
        <v>232</v>
      </c>
    </row>
    <row r="18" customFormat="false" ht="15" hidden="false" customHeight="false" outlineLevel="0" collapsed="false">
      <c r="C18" s="48" t="n">
        <f aca="false">Inputs!$C$45+(0-2)*$C$6</f>
        <v>0.0661280611106481</v>
      </c>
      <c r="D18" s="48" t="n">
        <f aca="false">Inputs!$C$45+(1-2)*$C$6</f>
        <v>0.0861280611106481</v>
      </c>
      <c r="E18" s="48" t="n">
        <f aca="false">Inputs!$C$45+(2-2)*$C$6</f>
        <v>0.106128061110648</v>
      </c>
      <c r="F18" s="48" t="n">
        <f aca="false">Inputs!$C$45+(3-2)*$C$6</f>
        <v>0.126128061110648</v>
      </c>
      <c r="G18" s="48" t="n">
        <f aca="false">Inputs!$C$45+(4-2)*$C$6</f>
        <v>0.146128061110648</v>
      </c>
    </row>
    <row r="19" customFormat="false" ht="15" hidden="false" customHeight="false" outlineLevel="0" collapsed="false">
      <c r="B19" s="47" t="n">
        <f aca="false">WACC!$C$34+(0-2)*$C$5</f>
        <v>0.0853306228759286</v>
      </c>
      <c r="C19" s="42" t="n">
        <f aca="false">(SUMPRODUCT($C28:$L28,1/(1+$B19)^$C$27:$L$27)*Inputs!$C$23+$L28*Inputs!$C$23*(1+Inputs!$C$37)/($B19-Inputs!$C$37)/(1+$B19)^$L$27-Inputs!$C$27+Inputs!$C$28)/Inputs!$C$7</f>
        <v>470.557059798023</v>
      </c>
      <c r="D19" s="42" t="n">
        <f aca="false">(SUMPRODUCT($C29:$L29,1/(1+$B19)^$C$27:$L$27)*Inputs!$C$23+$L29*Inputs!$C$23*(1+Inputs!$C$37)/($B19-Inputs!$C$37)/(1+$B19)^$L$27-Inputs!$C$27+Inputs!$C$28)/Inputs!$C$7</f>
        <v>537.529684755857</v>
      </c>
      <c r="E19" s="42" t="n">
        <f aca="false">(SUMPRODUCT($C30:$L30,1/(1+$B19)^$C$27:$L$27)*Inputs!$C$23+$L30*Inputs!$C$23*(1+Inputs!$C$37)/($B19-Inputs!$C$37)/(1+$B19)^$L$27-Inputs!$C$27+Inputs!$C$28)/Inputs!$C$7</f>
        <v>611.9564765394</v>
      </c>
      <c r="F19" s="42" t="n">
        <f aca="false">(SUMPRODUCT($C31:$L31,1/(1+$B19)^$C$27:$L$27)*Inputs!$C$23+$L31*Inputs!$C$23*(1+Inputs!$C$37)/($B19-Inputs!$C$37)/(1+$B19)^$L$27-Inputs!$C$27+Inputs!$C$28)/Inputs!$C$7</f>
        <v>694.560369067764</v>
      </c>
      <c r="G19" s="42" t="n">
        <f aca="false">(SUMPRODUCT($C32:$L32,1/(1+$B19)^$C$27:$L$27)*Inputs!$C$23+$L32*Inputs!$C$23*(1+Inputs!$C$37)/($B19-Inputs!$C$37)/(1+$B19)^$L$27-Inputs!$C$27+Inputs!$C$28)/Inputs!$C$7</f>
        <v>786.122899800639</v>
      </c>
      <c r="I19" s="19" t="s">
        <v>233</v>
      </c>
    </row>
    <row r="20" customFormat="false" ht="15" hidden="false" customHeight="false" outlineLevel="0" collapsed="false">
      <c r="B20" s="47" t="n">
        <f aca="false">WACC!$C$34+(1-2)*$C$5</f>
        <v>0.0903306228759286</v>
      </c>
      <c r="C20" s="42" t="n">
        <f aca="false">(SUMPRODUCT($C28:$L28,1/(1+$B20)^$C$27:$L$27)*Inputs!$C$23+$L28*Inputs!$C$23*(1+Inputs!$C$37)/($B20-Inputs!$C$37)/(1+$B20)^$L$27-Inputs!$C$27+Inputs!$C$28)/Inputs!$C$7</f>
        <v>424.385648907182</v>
      </c>
      <c r="D20" s="42" t="n">
        <f aca="false">(SUMPRODUCT($C29:$L29,1/(1+$B20)^$C$27:$L$27)*Inputs!$C$23+$L29*Inputs!$C$23*(1+Inputs!$C$37)/($B20-Inputs!$C$37)/(1+$B20)^$L$27-Inputs!$C$27+Inputs!$C$28)/Inputs!$C$7</f>
        <v>485.045598089296</v>
      </c>
      <c r="E20" s="42" t="n">
        <f aca="false">(SUMPRODUCT($C30:$L30,1/(1+$B20)^$C$27:$L$27)*Inputs!$C$23+$L30*Inputs!$C$23*(1+Inputs!$C$37)/($B20-Inputs!$C$37)/(1+$B20)^$L$27-Inputs!$C$27+Inputs!$C$28)/Inputs!$C$7</f>
        <v>552.412276637463</v>
      </c>
      <c r="F20" s="42" t="n">
        <f aca="false">(SUMPRODUCT($C31:$L31,1/(1+$B20)^$C$27:$L$27)*Inputs!$C$23+$L31*Inputs!$C$23*(1+Inputs!$C$37)/($B20-Inputs!$C$37)/(1+$B20)^$L$27-Inputs!$C$27+Inputs!$C$28)/Inputs!$C$7</f>
        <v>627.133604618733</v>
      </c>
      <c r="G20" s="42" t="n">
        <f aca="false">(SUMPRODUCT($C32:$L32,1/(1+$B20)^$C$27:$L$27)*Inputs!$C$23+$L32*Inputs!$C$23*(1+Inputs!$C$37)/($B20-Inputs!$C$37)/(1+$B20)^$L$27-Inputs!$C$27+Inputs!$C$28)/Inputs!$C$7</f>
        <v>709.909881220654</v>
      </c>
    </row>
    <row r="21" customFormat="false" ht="15" hidden="false" customHeight="false" outlineLevel="0" collapsed="false">
      <c r="B21" s="47" t="n">
        <f aca="false">WACC!$C$34+(2-2)*$C$5</f>
        <v>0.0953306228759286</v>
      </c>
      <c r="C21" s="42" t="n">
        <f aca="false">(SUMPRODUCT($C28:$L28,1/(1+$B21)^$C$27:$L$27)*Inputs!$C$23+$L28*Inputs!$C$23*(1+Inputs!$C$37)/($B21-Inputs!$C$37)/(1+$B21)^$L$27-Inputs!$C$27+Inputs!$C$28)/Inputs!$C$7</f>
        <v>385.134944252256</v>
      </c>
      <c r="D21" s="42" t="n">
        <f aca="false">(SUMPRODUCT($C29:$L29,1/(1+$B21)^$C$27:$L$27)*Inputs!$C$23+$L29*Inputs!$C$23*(1+Inputs!$C$37)/($B21-Inputs!$C$37)/(1+$B21)^$L$27-Inputs!$C$27+Inputs!$C$28)/Inputs!$C$7</f>
        <v>440.446082109984</v>
      </c>
      <c r="E21" s="46" t="n">
        <f aca="false">(SUMPRODUCT($C30:$L30,1/(1+$B21)^$C$27:$L$27)*Inputs!$C$23+$L30*Inputs!$C$23*(1+Inputs!$C$37)/($B21-Inputs!$C$37)/(1+$B21)^$L$27-Inputs!$C$27+Inputs!$C$28)/Inputs!$C$7</f>
        <v>501.831951027529</v>
      </c>
      <c r="F21" s="42" t="n">
        <f aca="false">(SUMPRODUCT($C31:$L31,1/(1+$B21)^$C$27:$L$27)*Inputs!$C$23+$L31*Inputs!$C$23*(1+Inputs!$C$37)/($B21-Inputs!$C$37)/(1+$B21)^$L$27-Inputs!$C$27+Inputs!$C$28)/Inputs!$C$7</f>
        <v>569.877135404496</v>
      </c>
      <c r="G21" s="42" t="n">
        <f aca="false">(SUMPRODUCT($C32:$L32,1/(1+$B21)^$C$27:$L$27)*Inputs!$C$23+$L32*Inputs!$C$23*(1+Inputs!$C$37)/($B21-Inputs!$C$37)/(1+$B21)^$L$27-Inputs!$C$27+Inputs!$C$28)/Inputs!$C$7</f>
        <v>645.213349350694</v>
      </c>
    </row>
    <row r="22" customFormat="false" ht="15" hidden="false" customHeight="false" outlineLevel="0" collapsed="false">
      <c r="B22" s="47" t="n">
        <f aca="false">WACC!$C$34+(3-2)*$C$5</f>
        <v>0.100330622875929</v>
      </c>
      <c r="C22" s="42" t="n">
        <f aca="false">(SUMPRODUCT($C28:$L28,1/(1+$B22)^$C$27:$L$27)*Inputs!$C$23+$L28*Inputs!$C$23*(1+Inputs!$C$37)/($B22-Inputs!$C$37)/(1+$B22)^$L$27-Inputs!$C$27+Inputs!$C$28)/Inputs!$C$7</f>
        <v>351.362755552365</v>
      </c>
      <c r="D22" s="42" t="n">
        <f aca="false">(SUMPRODUCT($C29:$L29,1/(1+$B22)^$C$27:$L$27)*Inputs!$C$23+$L29*Inputs!$C$23*(1+Inputs!$C$37)/($B22-Inputs!$C$37)/(1+$B22)^$L$27-Inputs!$C$27+Inputs!$C$28)/Inputs!$C$7</f>
        <v>402.087545370796</v>
      </c>
      <c r="E22" s="42" t="n">
        <f aca="false">(SUMPRODUCT($C30:$L30,1/(1+$B22)^$C$27:$L$27)*Inputs!$C$23+$L30*Inputs!$C$23*(1+Inputs!$C$37)/($B22-Inputs!$C$37)/(1+$B22)^$L$27-Inputs!$C$27+Inputs!$C$28)/Inputs!$C$7</f>
        <v>458.346338620688</v>
      </c>
      <c r="F22" s="42" t="n">
        <f aca="false">(SUMPRODUCT($C31:$L31,1/(1+$B22)^$C$27:$L$27)*Inputs!$C$23+$L31*Inputs!$C$23*(1+Inputs!$C$37)/($B22-Inputs!$C$37)/(1+$B22)^$L$27-Inputs!$C$27+Inputs!$C$28)/Inputs!$C$7</f>
        <v>520.669613495689</v>
      </c>
      <c r="G22" s="42" t="n">
        <f aca="false">(SUMPRODUCT($C32:$L32,1/(1+$B22)^$C$27:$L$27)*Inputs!$C$23+$L32*Inputs!$C$23*(1+Inputs!$C$37)/($B22-Inputs!$C$37)/(1+$B22)^$L$27-Inputs!$C$27+Inputs!$C$28)/Inputs!$C$7</f>
        <v>589.630498789985</v>
      </c>
    </row>
    <row r="23" customFormat="false" ht="15" hidden="false" customHeight="false" outlineLevel="0" collapsed="false">
      <c r="B23" s="47" t="n">
        <f aca="false">WACC!$C$34+(4-2)*$C$5</f>
        <v>0.105330622875929</v>
      </c>
      <c r="C23" s="42" t="n">
        <f aca="false">(SUMPRODUCT($C28:$L28,1/(1+$B23)^$C$27:$L$27)*Inputs!$C$23+$L28*Inputs!$C$23*(1+Inputs!$C$37)/($B23-Inputs!$C$37)/(1+$B23)^$L$27-Inputs!$C$27+Inputs!$C$28)/Inputs!$C$7</f>
        <v>322.001374370288</v>
      </c>
      <c r="D23" s="42" t="n">
        <f aca="false">(SUMPRODUCT($C29:$L29,1/(1+$B23)^$C$27:$L$27)*Inputs!$C$23+$L29*Inputs!$C$23*(1+Inputs!$C$37)/($B23-Inputs!$C$37)/(1+$B23)^$L$27-Inputs!$C$27+Inputs!$C$28)/Inputs!$C$7</f>
        <v>368.75319444391</v>
      </c>
      <c r="E23" s="42" t="n">
        <f aca="false">(SUMPRODUCT($C30:$L30,1/(1+$B23)^$C$27:$L$27)*Inputs!$C$23+$L30*Inputs!$C$23*(1+Inputs!$C$37)/($B23-Inputs!$C$37)/(1+$B23)^$L$27-Inputs!$C$27+Inputs!$C$28)/Inputs!$C$7</f>
        <v>420.571672473465</v>
      </c>
      <c r="F23" s="42" t="n">
        <f aca="false">(SUMPRODUCT($C31:$L31,1/(1+$B23)^$C$27:$L$27)*Inputs!$C$23+$L31*Inputs!$C$23*(1+Inputs!$C$37)/($B23-Inputs!$C$37)/(1+$B23)^$L$27-Inputs!$C$27+Inputs!$C$28)/Inputs!$C$7</f>
        <v>477.940597628597</v>
      </c>
      <c r="G23" s="42" t="n">
        <f aca="false">(SUMPRODUCT($C32:$L32,1/(1+$B23)^$C$27:$L$27)*Inputs!$C$23+$L32*Inputs!$C$23*(1+Inputs!$C$37)/($B23-Inputs!$C$37)/(1+$B23)^$L$27-Inputs!$C$27+Inputs!$C$28)/Inputs!$C$7</f>
        <v>541.382549379369</v>
      </c>
    </row>
    <row r="26" customFormat="false" ht="15" hidden="false" customHeight="false" outlineLevel="0" collapsed="false">
      <c r="B26" s="19" t="s">
        <v>234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0.0661280611106481</v>
      </c>
      <c r="C28" s="15" t="n">
        <f aca="false">Inputs!$C$12*(1+IF(C$27&lt;=Inputs!$C$46,$B28,$B28-($B28-Inputs!$C$37)*MIN(C$27-Inputs!$C$46,Inputs!$C$47)/Inputs!$C$47))</f>
        <v>3550.20644349846</v>
      </c>
      <c r="D28" s="15" t="n">
        <f aca="false">C28*(1+IF(D$27&lt;=Inputs!$C$46,$B28,$B28-($B28-Inputs!$C$37)*MIN(D$27-Inputs!$C$46,Inputs!$C$47)/Inputs!$C$47))</f>
        <v>3784.97471214954</v>
      </c>
      <c r="E28" s="15" t="n">
        <f aca="false">D28*(1+IF(E$27&lt;=Inputs!$C$46,$B28,$B28-($B28-Inputs!$C$37)*MIN(E$27-Inputs!$C$46,Inputs!$C$47)/Inputs!$C$47))</f>
        <v>4035.26775121682</v>
      </c>
      <c r="F28" s="15" t="n">
        <f aca="false">E28*(1+IF(F$27&lt;=Inputs!$C$46,$B28,$B28-($B28-Inputs!$C$37)*MIN(F$27-Inputs!$C$46,Inputs!$C$47)/Inputs!$C$47))</f>
        <v>4302.11218366712</v>
      </c>
      <c r="G28" s="15" t="n">
        <f aca="false">F28*(1+IF(G$27&lt;=Inputs!$C$46,$B28,$B28-($B28-Inputs!$C$37)*MIN(G$27-Inputs!$C$46,Inputs!$C$47)/Inputs!$C$47))</f>
        <v>4586.60252105352</v>
      </c>
      <c r="H28" s="15" t="n">
        <f aca="false">G28*(1+IF(H$27&lt;=Inputs!$C$46,$B28,$B28-($B28-Inputs!$C$37)*MIN(H$27-Inputs!$C$46,Inputs!$C$47)/Inputs!$C$47))</f>
        <v>4855.20519676467</v>
      </c>
      <c r="I28" s="15" t="n">
        <f aca="false">H28*(1+IF(I$27&lt;=Inputs!$C$46,$B28,$B28-($B28-Inputs!$C$37)*MIN(I$27-Inputs!$C$46,Inputs!$C$47)/Inputs!$C$47))</f>
        <v>5102.80530316588</v>
      </c>
      <c r="J28" s="15" t="n">
        <f aca="false">I28*(1+IF(J$27&lt;=Inputs!$C$46,$B28,$B28-($B28-Inputs!$C$37)*MIN(J$27-Inputs!$C$46,Inputs!$C$47)/Inputs!$C$47))</f>
        <v>5324.42638558303</v>
      </c>
      <c r="K28" s="15" t="n">
        <f aca="false">J28*(1+IF(K$27&lt;=Inputs!$C$46,$B28,$B28-($B28-Inputs!$C$37)*MIN(K$27-Inputs!$C$46,Inputs!$C$47)/Inputs!$C$47))</f>
        <v>5515.39019763363</v>
      </c>
      <c r="L28" s="15" t="n">
        <f aca="false">K28*(1+IF(L$27&lt;=Inputs!$C$46,$B28,$B28-($B28-Inputs!$C$37)*MIN(L$27-Inputs!$C$46,Inputs!$C$47)/Inputs!$C$47))</f>
        <v>5671.47574022666</v>
      </c>
    </row>
    <row r="29" customFormat="false" ht="15" hidden="false" customHeight="false" outlineLevel="0" collapsed="false">
      <c r="B29" s="23" t="n">
        <f aca="false">D$18</f>
        <v>0.0861280611106481</v>
      </c>
      <c r="C29" s="15" t="n">
        <f aca="false">Inputs!$C$12*(1+IF(C$27&lt;=Inputs!$C$46,$B29,$B29-($B29-Inputs!$C$37)*MIN(C$27-Inputs!$C$46,Inputs!$C$47)/Inputs!$C$47))</f>
        <v>3616.80644349846</v>
      </c>
      <c r="D29" s="15" t="n">
        <f aca="false">C29*(1+IF(D$27&lt;=Inputs!$C$46,$B29,$B29-($B29-Inputs!$C$37)*MIN(D$27-Inputs!$C$46,Inputs!$C$47)/Inputs!$C$47))</f>
        <v>3928.31496988948</v>
      </c>
      <c r="E29" s="15" t="n">
        <f aca="false">D29*(1+IF(E$27&lt;=Inputs!$C$46,$B29,$B29-($B29-Inputs!$C$37)*MIN(E$27-Inputs!$C$46,Inputs!$C$47)/Inputs!$C$47))</f>
        <v>4266.65312167799</v>
      </c>
      <c r="F29" s="15" t="n">
        <f aca="false">E29*(1+IF(F$27&lt;=Inputs!$C$46,$B29,$B29-($B29-Inputs!$C$37)*MIN(F$27-Inputs!$C$46,Inputs!$C$47)/Inputs!$C$47))</f>
        <v>4634.13168247981</v>
      </c>
      <c r="G29" s="15" t="n">
        <f aca="false">F29*(1+IF(G$27&lt;=Inputs!$C$46,$B29,$B29-($B29-Inputs!$C$37)*MIN(G$27-Inputs!$C$46,Inputs!$C$47)/Inputs!$C$47))</f>
        <v>5033.26045922323</v>
      </c>
      <c r="H29" s="15" t="n">
        <f aca="false">G29*(1+IF(H$27&lt;=Inputs!$C$46,$B29,$B29-($B29-Inputs!$C$37)*MIN(H$27-Inputs!$C$46,Inputs!$C$47)/Inputs!$C$47))</f>
        <v>5408.55268495666</v>
      </c>
      <c r="I29" s="15" t="n">
        <f aca="false">H29*(1+IF(I$27&lt;=Inputs!$C$46,$B29,$B29-($B29-Inputs!$C$37)*MIN(I$27-Inputs!$C$46,Inputs!$C$47)/Inputs!$C$47))</f>
        <v>5749.27439505243</v>
      </c>
      <c r="J29" s="15" t="n">
        <f aca="false">I29*(1+IF(J$27&lt;=Inputs!$C$46,$B29,$B29-($B29-Inputs!$C$37)*MIN(J$27-Inputs!$C$46,Inputs!$C$47)/Inputs!$C$47))</f>
        <v>6044.96661685601</v>
      </c>
      <c r="K29" s="15" t="n">
        <f aca="false">J29*(1+IF(K$27&lt;=Inputs!$C$46,$B29,$B29-($B29-Inputs!$C$37)*MIN(K$27-Inputs!$C$46,Inputs!$C$47)/Inputs!$C$47))</f>
        <v>6285.95291189931</v>
      </c>
      <c r="L29" s="15" t="n">
        <f aca="false">K29*(1+IF(L$27&lt;=Inputs!$C$46,$B29,$B29-($B29-Inputs!$C$37)*MIN(L$27-Inputs!$C$46,Inputs!$C$47)/Inputs!$C$47))</f>
        <v>6463.84537930606</v>
      </c>
    </row>
    <row r="30" customFormat="false" ht="15" hidden="false" customHeight="false" outlineLevel="0" collapsed="false">
      <c r="B30" s="23" t="n">
        <f aca="false">E$18</f>
        <v>0.106128061110648</v>
      </c>
      <c r="C30" s="15" t="n">
        <f aca="false">Inputs!$C$12*(1+IF(C$27&lt;=Inputs!$C$46,$B30,$B30-($B30-Inputs!$C$37)*MIN(C$27-Inputs!$C$46,Inputs!$C$47)/Inputs!$C$47))</f>
        <v>3683.40644349846</v>
      </c>
      <c r="D30" s="15" t="n">
        <f aca="false">C30*(1+IF(D$27&lt;=Inputs!$C$46,$B30,$B30-($B30-Inputs!$C$37)*MIN(D$27-Inputs!$C$46,Inputs!$C$47)/Inputs!$C$47))</f>
        <v>4074.31922762942</v>
      </c>
      <c r="E30" s="15" t="n">
        <f aca="false">D30*(1+IF(E$27&lt;=Inputs!$C$46,$B30,$B30-($B30-Inputs!$C$37)*MIN(E$27-Inputs!$C$46,Inputs!$C$47)/Inputs!$C$47))</f>
        <v>4506.71882760356</v>
      </c>
      <c r="F30" s="15" t="n">
        <f aca="false">E30*(1+IF(F$27&lt;=Inputs!$C$46,$B30,$B30-($B30-Inputs!$C$37)*MIN(F$27-Inputs!$C$46,Inputs!$C$47)/Inputs!$C$47))</f>
        <v>4985.00815874798</v>
      </c>
      <c r="G30" s="15" t="n">
        <f aca="false">F30*(1+IF(G$27&lt;=Inputs!$C$46,$B30,$B30-($B30-Inputs!$C$37)*MIN(G$27-Inputs!$C$46,Inputs!$C$47)/Inputs!$C$47))</f>
        <v>5514.05740925666</v>
      </c>
      <c r="H30" s="15" t="n">
        <f aca="false">G30*(1+IF(H$27&lt;=Inputs!$C$46,$B30,$B30-($B30-Inputs!$C$37)*MIN(H$27-Inputs!$C$46,Inputs!$C$47)/Inputs!$C$47))</f>
        <v>6013.42395155083</v>
      </c>
      <c r="I30" s="15" t="n">
        <f aca="false">H30*(1+IF(I$27&lt;=Inputs!$C$46,$B30,$B30-($B30-Inputs!$C$37)*MIN(I$27-Inputs!$C$46,Inputs!$C$47)/Inputs!$C$47))</f>
        <v>6464.41172545104</v>
      </c>
      <c r="J30" s="15" t="n">
        <f aca="false">I30*(1+IF(J$27&lt;=Inputs!$C$46,$B30,$B30-($B30-Inputs!$C$37)*MIN(J$27-Inputs!$C$46,Inputs!$C$47)/Inputs!$C$47))</f>
        <v>6848.59962960642</v>
      </c>
      <c r="K30" s="15" t="n">
        <f aca="false">J30*(1+IF(K$27&lt;=Inputs!$C$46,$B30,$B30-($B30-Inputs!$C$37)*MIN(K$27-Inputs!$C$46,Inputs!$C$47)/Inputs!$C$47))</f>
        <v>7149.01764522335</v>
      </c>
      <c r="L30" s="15" t="n">
        <f aca="false">K30*(1+IF(L$27&lt;=Inputs!$C$46,$B30,$B30-($B30-Inputs!$C$37)*MIN(L$27-Inputs!$C$46,Inputs!$C$47)/Inputs!$C$47))</f>
        <v>7351.33484458317</v>
      </c>
    </row>
    <row r="31" customFormat="false" ht="15" hidden="false" customHeight="false" outlineLevel="0" collapsed="false">
      <c r="B31" s="23" t="n">
        <f aca="false">F$18</f>
        <v>0.126128061110648</v>
      </c>
      <c r="C31" s="15" t="n">
        <f aca="false">Inputs!$C$12*(1+IF(C$27&lt;=Inputs!$C$46,$B31,$B31-($B31-Inputs!$C$37)*MIN(C$27-Inputs!$C$46,Inputs!$C$47)/Inputs!$C$47))</f>
        <v>3750.00644349846</v>
      </c>
      <c r="D31" s="15" t="n">
        <f aca="false">C31*(1+IF(D$27&lt;=Inputs!$C$46,$B31,$B31-($B31-Inputs!$C$37)*MIN(D$27-Inputs!$C$46,Inputs!$C$47)/Inputs!$C$47))</f>
        <v>4222.98748536936</v>
      </c>
      <c r="E31" s="15" t="n">
        <f aca="false">D31*(1+IF(E$27&lt;=Inputs!$C$46,$B31,$B31-($B31-Inputs!$C$37)*MIN(E$27-Inputs!$C$46,Inputs!$C$47)/Inputs!$C$47))</f>
        <v>4755.62470899353</v>
      </c>
      <c r="F31" s="15" t="n">
        <f aca="false">E31*(1+IF(F$27&lt;=Inputs!$C$46,$B31,$B31-($B31-Inputs!$C$37)*MIN(F$27-Inputs!$C$46,Inputs!$C$47)/Inputs!$C$47))</f>
        <v>5355.44243290877</v>
      </c>
      <c r="G31" s="15" t="n">
        <f aca="false">F31*(1+IF(G$27&lt;=Inputs!$C$46,$B31,$B31-($B31-Inputs!$C$37)*MIN(G$27-Inputs!$C$46,Inputs!$C$47)/Inputs!$C$47))</f>
        <v>6030.91400336124</v>
      </c>
      <c r="H31" s="15" t="n">
        <f aca="false">G31*(1+IF(H$27&lt;=Inputs!$C$46,$B31,$B31-($B31-Inputs!$C$37)*MIN(H$27-Inputs!$C$46,Inputs!$C$47)/Inputs!$C$47))</f>
        <v>6673.58296859548</v>
      </c>
      <c r="I31" s="15" t="n">
        <f aca="false">H31*(1+IF(I$27&lt;=Inputs!$C$46,$B31,$B31-($B31-Inputs!$C$37)*MIN(I$27-Inputs!$C$46,Inputs!$C$47)/Inputs!$C$47))</f>
        <v>7254.16357609397</v>
      </c>
      <c r="J31" s="15" t="n">
        <f aca="false">I31*(1+IF(J$27&lt;=Inputs!$C$46,$B31,$B31-($B31-Inputs!$C$37)*MIN(J$27-Inputs!$C$46,Inputs!$C$47)/Inputs!$C$47))</f>
        <v>7743.32070834893</v>
      </c>
      <c r="K31" s="15" t="n">
        <f aca="false">J31*(1+IF(K$27&lt;=Inputs!$C$46,$B31,$B31-($B31-Inputs!$C$37)*MIN(K$27-Inputs!$C$46,Inputs!$C$47)/Inputs!$C$47))</f>
        <v>8113.95949468635</v>
      </c>
      <c r="L31" s="15" t="n">
        <f aca="false">K31*(1+IF(L$27&lt;=Inputs!$C$46,$B31,$B31-($B31-Inputs!$C$37)*MIN(L$27-Inputs!$C$46,Inputs!$C$47)/Inputs!$C$47))</f>
        <v>8343.58454838597</v>
      </c>
    </row>
    <row r="32" customFormat="false" ht="15" hidden="false" customHeight="false" outlineLevel="0" collapsed="false">
      <c r="B32" s="23" t="n">
        <f aca="false">G$18</f>
        <v>0.146128061110648</v>
      </c>
      <c r="C32" s="15" t="n">
        <f aca="false">Inputs!$C$12*(1+IF(C$27&lt;=Inputs!$C$46,$B32,$B32-($B32-Inputs!$C$37)*MIN(C$27-Inputs!$C$46,Inputs!$C$47)/Inputs!$C$47))</f>
        <v>3816.60644349846</v>
      </c>
      <c r="D32" s="15" t="n">
        <f aca="false">C32*(1+IF(D$27&lt;=Inputs!$C$46,$B32,$B32-($B32-Inputs!$C$37)*MIN(D$27-Inputs!$C$46,Inputs!$C$47)/Inputs!$C$47))</f>
        <v>4374.31974310929</v>
      </c>
      <c r="E32" s="15" t="n">
        <f aca="false">D32*(1+IF(E$27&lt;=Inputs!$C$46,$B32,$B32-($B32-Inputs!$C$37)*MIN(E$27-Inputs!$C$46,Inputs!$C$47)/Inputs!$C$47))</f>
        <v>5013.53060584788</v>
      </c>
      <c r="F32" s="15" t="n">
        <f aca="false">E32*(1+IF(F$27&lt;=Inputs!$C$46,$B32,$B32-($B32-Inputs!$C$37)*MIN(F$27-Inputs!$C$46,Inputs!$C$47)/Inputs!$C$47))</f>
        <v>5746.14811259933</v>
      </c>
      <c r="G32" s="15" t="n">
        <f aca="false">F32*(1+IF(G$27&lt;=Inputs!$C$46,$B32,$B32-($B32-Inputs!$C$37)*MIN(G$27-Inputs!$C$46,Inputs!$C$47)/Inputs!$C$47))</f>
        <v>6585.82159514808</v>
      </c>
      <c r="H32" s="15" t="n">
        <f aca="false">G32*(1+IF(H$27&lt;=Inputs!$C$46,$B32,$B32-($B32-Inputs!$C$37)*MIN(H$27-Inputs!$C$46,Inputs!$C$47)/Inputs!$C$47))</f>
        <v>7392.99601779232</v>
      </c>
      <c r="I32" s="15" t="n">
        <f aca="false">H32*(1+IF(I$27&lt;=Inputs!$C$46,$B32,$B32-($B32-Inputs!$C$37)*MIN(I$27-Inputs!$C$46,Inputs!$C$47)/Inputs!$C$47))</f>
        <v>8124.87923704097</v>
      </c>
      <c r="J32" s="15" t="n">
        <f aca="false">I32*(1+IF(J$27&lt;=Inputs!$C$46,$B32,$B32-($B32-Inputs!$C$37)*MIN(J$27-Inputs!$C$46,Inputs!$C$47)/Inputs!$C$47))</f>
        <v>8737.7488263527</v>
      </c>
      <c r="K32" s="15" t="n">
        <f aca="false">J32*(1+IF(K$27&lt;=Inputs!$C$46,$B32,$B32-($B32-Inputs!$C$37)*MIN(K$27-Inputs!$C$46,Inputs!$C$47)/Inputs!$C$47))</f>
        <v>9190.93751867468</v>
      </c>
      <c r="L32" s="15" t="n">
        <f aca="false">K32*(1+IF(L$27&lt;=Inputs!$C$46,$B32,$B32-($B32-Inputs!$C$37)*MIN(L$27-Inputs!$C$46,Inputs!$C$47)/Inputs!$C$47))</f>
        <v>9451.04105045318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235</v>
      </c>
    </row>
    <row r="3" customFormat="false" ht="15" hidden="false" customHeight="false" outlineLevel="0" collapsed="false">
      <c r="B3" s="2" t="s">
        <v>236</v>
      </c>
    </row>
    <row r="5" customFormat="false" ht="15" hidden="false" customHeight="false" outlineLevel="0" collapsed="false">
      <c r="B5" s="28" t="s">
        <v>237</v>
      </c>
      <c r="C5" s="28" t="s">
        <v>238</v>
      </c>
      <c r="D5" s="28" t="s">
        <v>239</v>
      </c>
      <c r="E5" s="28" t="s">
        <v>240</v>
      </c>
      <c r="F5" s="28" t="s">
        <v>241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0.541291291291291</v>
      </c>
      <c r="D6" s="24" t="n">
        <v>0.54129129</v>
      </c>
      <c r="E6" s="49" t="n">
        <f aca="false">C6-D6</f>
        <v>1.29129129611272E-009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131</v>
      </c>
      <c r="C7" s="50" t="n">
        <f aca="false">WACC!$C$11</f>
        <v>1.05189909086848</v>
      </c>
      <c r="D7" s="51" t="n">
        <v>1.05189909</v>
      </c>
      <c r="E7" s="49" t="n">
        <f aca="false">C7-D7</f>
        <v>8.68484839600114E-010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WACC!$C$34</f>
        <v>0.0953306228759286</v>
      </c>
      <c r="D8" s="24" t="n">
        <v>0.09533062</v>
      </c>
      <c r="E8" s="49" t="n">
        <f aca="false">C8-D8</f>
        <v>2.87592862024955E-009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242</v>
      </c>
      <c r="C10" s="12" t="n">
        <f aca="false">Inputs!$C$43</f>
        <v>0.106128061110648</v>
      </c>
      <c r="D10" s="24" t="n">
        <v>0.10612806</v>
      </c>
      <c r="E10" s="49" t="n">
        <f aca="false">C10-D10</f>
        <v>1.11064812902129E-009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243</v>
      </c>
      <c r="C11" s="12" t="n">
        <f aca="false">Solver!$W$7</f>
        <v>0.123574744153757</v>
      </c>
      <c r="D11" s="24" t="n">
        <v>0.12357475</v>
      </c>
      <c r="E11" s="49" t="n">
        <f aca="false">C11-D11</f>
        <v>-5.84624308685999E-009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244</v>
      </c>
      <c r="C12" s="12" t="n">
        <f aca="false">Sensitivity!$E$14</f>
        <v>0.151870220899582</v>
      </c>
      <c r="D12" s="24" t="n">
        <v>0.15187027</v>
      </c>
      <c r="E12" s="49" t="n">
        <f aca="false">C12-D12</f>
        <v>-4.91004180924737E-008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245</v>
      </c>
      <c r="C13" s="6" t="n">
        <f aca="false">DCF!$C$41</f>
        <v>501.831951027529</v>
      </c>
      <c r="D13" s="20" t="n">
        <v>501.83195103</v>
      </c>
      <c r="E13" s="49" t="n">
        <f aca="false">C13-D13</f>
        <v>-2.47132447839249E-009</v>
      </c>
      <c r="F13" s="5" t="str">
        <f aca="false">IF(ABS(E13)&lt;=0.0501831951027529,"Pass","Check")</f>
        <v>Pass</v>
      </c>
    </row>
    <row r="14" customFormat="false" ht="15" hidden="false" customHeight="false" outlineLevel="0" collapsed="false">
      <c r="B14" s="5" t="s">
        <v>246</v>
      </c>
      <c r="C14" s="6" t="n">
        <f aca="false">DCF!$C$21-DCF!$C$22</f>
        <v>4.355797500466E-009</v>
      </c>
      <c r="D14" s="20" t="n">
        <v>0</v>
      </c>
      <c r="E14" s="49" t="n">
        <f aca="false">C14-D14</f>
        <v>4.355797500466E-009</v>
      </c>
      <c r="F14" s="5" t="str">
        <f aca="false">IF(ABS(E14)&lt;=0.01,"Pass","Check")</f>
        <v>Pass</v>
      </c>
      <c r="G14" s="19" t="s">
        <v>247</v>
      </c>
    </row>
    <row r="16" customFormat="false" ht="15" hidden="false" customHeight="false" outlineLevel="0" collapsed="false">
      <c r="B16" s="38" t="s">
        <v>248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2026-10-14T16:48:48Z</dcterms:created>
  <dc:creator>openpyxl</dc:creator>
  <dc:description/>
  <dc:language>en-US</dc:language>
  <cp:lastModifiedBy/>
  <dcterms:modified xsi:type="dcterms:W3CDTF">2026-10-14T16:48:48Z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