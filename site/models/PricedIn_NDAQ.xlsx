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<sst xmlns="http://schemas.openxmlformats.org/spreadsheetml/2006/main" count="845" uniqueCount="254">
  <si>
    <t xml:space="preserve">Priced In: Nasdaq (NDAQ)</t>
  </si>
  <si>
    <t xml:space="preserve">Reverse DCF, model v1.0. Inputs as of the Oct 13, 2026 close; model locked Oct 14, 2026 (commit 0735af0).</t>
  </si>
  <si>
    <t xml:space="preserve">Exchanges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</si>
  <si>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</si>
  <si>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</si>
  <si>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</si>
  <si>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</si>
  <si>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</si>
  <si>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</si>
  <si>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</si>
  <si>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</si>
  <si>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</si>
  <si>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</si>
  <si>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</si>
  <si>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</si>
  <si>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</si>
  <si>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</si>
  <si>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Fit flag: History not comparable</t>
  </si>
  <si>
    <t xml:space="preserve">Adenza joined in November 2023, so past growth includes an acquisition.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</si>
  <si>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</si>
  <si>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</si>
  <si>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</si>
  <si>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</si>
  <si>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</si>
  <si>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</si>
  <si>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</si>
  <si>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</si>
  <si>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</si>
  <si>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</si>
  <si>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</si>
  <si>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</si>
  <si>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</si>
  <si>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Nasdaq (NDAQ):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</si>
  <si>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</si>
  <si>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</si>
  <si>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</si>
  <si>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</si>
  <si>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</si>
  <si>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</si>
  <si>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</si>
  <si>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</si>
  <si>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</si>
  <si>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</si>
  <si>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</si>
  <si>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</si>
  <si>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</si>
  <si>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</si>
  <si>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</si>
  <si>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</si>
  <si>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</si>
  <si>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</si>
  <si>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</si>
  <si>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</si>
  <si>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</si>
  <si>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</si>
  <si>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</si>
  <si>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</si>
  <si>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</si>
  <si>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</si>
  <si>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</si>
  <si>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</si>
  <si>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</si>
  <si>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</si>
  <si>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</si>
  <si>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</si>
  <si>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</si>
  <si>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</si>
  <si>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</si>
  <si>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</si>
  <si>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</si>
  <si>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</si>
  <si>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</si>
  <si>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</si>
  <si>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</si>
  <si>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</si>
  <si>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</si>
  <si>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</si>
  <si>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</si>
  <si>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</si>
  <si>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</si>
  <si>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</si>
  <si>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</si>
  <si>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</si>
  <si>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n/a</t>
  </si>
  <si>
    <t xml:space="preserve">Not used: past growth isn't comparable (see Cover).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</si>
  <si>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</si>
  <si>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</si>
  <si>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</si>
  <si>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</si>
  <si>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</si>
  <si>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</si>
  <si>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</si>
  <si>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</si>
  <si>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</si>
  <si>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</si>
  <si>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</si>
  <si>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</si>
  <si>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Nasdaq (NDAQ):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</si>
  <si>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</si>
  <si>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</si>
  <si>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</si>
  <si>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</si>
  <si>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</si>
  <si>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</si>
  <si>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</si>
  <si>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</si>
  <si>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</si>
  <si>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</si>
  <si>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Source note: net revenue</t>
  </si>
  <si>
    <t xml:space="preserve">History window</t>
  </si>
  <si>
    <t xml:space="preserve">Not used for this company: Adenza joined in November 2023, so past growth includes an acquisition.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</si>
  <si>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</si>
  <si>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</si>
  <si>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</si>
  <si>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</si>
  <si>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</si>
  <si>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</si>
  <si>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</si>
  <si>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</si>
  <si>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</si>
  <si>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</si>
  <si>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Nasdaq (NDAQ):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</si>
  <si>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</si>
  <si>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</si>
  <si>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</si>
  <si>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</si>
  <si>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</si>
  <si>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</si>
  <si>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Intercontinental Exchange (ICE)</t>
  </si>
  <si>
    <t xml:space="preserve">Raw betas: 60 monthly returns to Sep 2026 against the S&amp;P 500 (S&amp;P/TSX for TMX); Cboe uses Stock Analysis's 5-year beta. Debt and equity from Stock Analysis, Oct 13, 2026.</t>
  </si>
  <si>
    <t xml:space="preserve">CME Group (CME)</t>
  </si>
  <si>
    <t xml:space="preserve">Nasdaq (NDAQ)</t>
  </si>
  <si>
    <t xml:space="preserve">Cboe Global Markets (CBOE)</t>
  </si>
  <si>
    <t xml:space="preserve">TMX Group (X)</t>
  </si>
  <si>
    <t xml:space="preserve">Tradeweb (TW)</t>
  </si>
  <si>
    <t xml:space="preserve">MarketAxess (MKTX)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</si>
  <si>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</si>
  <si>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</si>
  <si>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</si>
  <si>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</si>
  <si>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</si>
  <si>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</si>
  <si>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</si>
  <si>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</si>
  <si>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</si>
  <si>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</si>
  <si>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</si>
  <si>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</si>
  <si>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</si>
  <si>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</si>
  <si>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</si>
  <si>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</si>
  <si>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</si>
  <si>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</si>
  <si>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</si>
  <si>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</si>
  <si>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</si>
  <si>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</si>
  <si>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</si>
  <si>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</si>
  <si>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</si>
  <si>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</si>
  <si>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</si>
  <si>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</si>
  <si>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</si>
  <si>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</si>
  <si>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</si>
  <si>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</si>
  <si>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</si>
  <si>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</si>
  <si>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</si>
  <si>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</si>
  <si>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</si>
  <si>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</si>
  <si>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</si>
  <si>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</si>
  <si>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</si>
  <si>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</si>
  <si>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</si>
  <si>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</si>
  <si>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</si>
  <si>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</si>
  <si>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</si>
  <si>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</si>
  <si>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</si>
  <si>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</si>
  <si>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</si>
  <si>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</si>
  <si>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</si>
  <si>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</si>
  <si>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</si>
  <si>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</si>
  <si>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</si>
  <si>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</si>
  <si>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</si>
  <si>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</si>
  <si>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</si>
  <si>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</si>
  <si>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</si>
  <si>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</si>
  <si>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</si>
  <si>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</si>
  <si>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</si>
  <si>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</si>
  <si>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</si>
  <si>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</si>
  <si>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</si>
  <si>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</si>
  <si>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</si>
  <si>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</si>
  <si>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</si>
  <si>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</si>
  <si>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Nasdaq (NDAQ):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</si>
  <si>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</si>
  <si>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</si>
  <si>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</si>
  <si>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</si>
  <si>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</si>
  <si>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</si>
  <si>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</si>
  <si>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</si>
  <si>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</si>
  <si>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</si>
  <si>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</si>
  <si>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</si>
  <si>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</si>
  <si>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</si>
  <si>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</si>
  <si>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</si>
  <si>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</si>
  <si>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Nasdaq (NDAQ):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</si>
  <si>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</si>
  <si>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</si>
  <si>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</si>
  <si>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</si>
  <si>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</si>
  <si>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</si>
  <si>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</si>
  <si>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$93.47.</t>
  </si>
  <si>
    <t xml:space="preserve">Helper: revenue paths for each growth view (years 1 to 10)</t>
  </si>
  <si>
    <t xml:space="preserve">Nasdaq (NDAQ):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</si>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</sst>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;\(0.00\);\-"/>
    <numFmt numFmtId="172" formatCode="0.0\x"/>
    <numFmt numFmtId="173" formatCode="0.0000%"/>
    <numFmt numFmtId="174" formatCode="#,##0.0000;\(#,##0.0000\);\-"/>
    <numFmt numFmtId="175" formatCode="0.0000"/>
    <numFmt numFmtId="176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93.4738273283481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0.0782079589675959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0.0979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-0.0196920410324041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About right</v>
      </c>
    </row>
    <row r="15" customFormat="false" ht="15" hidden="false" customHeight="false" outlineLevel="0" collapsed="false">
      <c r="B15" s="5" t="s">
        <v>11</v>
      </c>
      <c r="C15" s="12" t="n">
        <f aca="false">WACC!$C$37</f>
        <v>0.0767360315529091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0.382352941176471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0.0979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106.620863878333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0.14064938738202</v>
      </c>
    </row>
    <row r="22" customFormat="false" ht="15" hidden="false" customHeight="false" outlineLevel="0" collapsed="false">
      <c r="B22" s="3" t="s">
        <v>17</v>
      </c>
    </row>
    <row r="23" customFormat="false" ht="30" hidden="false" customHeight="true" outlineLevel="0" collapsed="false">
      <c r="B23" s="13" t="s">
        <v>18</v>
      </c>
      <c r="C23" s="13"/>
      <c r="D23" s="13"/>
      <c r="E23" s="13"/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5" t="s">
        <v>20</v>
      </c>
    </row>
    <row r="27" customFormat="false" ht="1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5" t="s">
        <v>23</v>
      </c>
    </row>
    <row r="31" customFormat="false" ht="15" hidden="false" customHeight="false" outlineLevel="0" collapsed="false">
      <c r="B31" s="3" t="s">
        <v>24</v>
      </c>
    </row>
    <row r="32" customFormat="false" ht="15" hidden="false" customHeight="false" outlineLevel="0" collapsed="false">
      <c r="B32" s="5" t="s">
        <v>25</v>
      </c>
      <c r="C32" s="14" t="n">
        <v>1234</v>
      </c>
    </row>
    <row r="33" customFormat="false" ht="15" hidden="false" customHeight="false" outlineLevel="0" collapsed="false">
      <c r="B33" s="5" t="s">
        <v>26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27</v>
      </c>
      <c r="C34" s="16" t="n">
        <f aca="false">Inputs!$C$12</f>
        <v>5610</v>
      </c>
    </row>
    <row r="35" customFormat="false" ht="15" hidden="false" customHeight="false" outlineLevel="0" collapsed="false">
      <c r="B35" s="5" t="s">
        <v>28</v>
      </c>
      <c r="C35" s="17" t="n">
        <f aca="false">Inputs!$C$45</f>
        <v>0.0979</v>
      </c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18" t="s">
        <v>30</v>
      </c>
    </row>
    <row r="40" customFormat="false" ht="15" hidden="false" customHeight="false" outlineLevel="0" collapsed="false">
      <c r="B40" s="19" t="s">
        <v>31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32</v>
      </c>
    </row>
    <row r="3" customFormat="false" ht="15" hidden="false" customHeight="false" outlineLevel="0" collapsed="false">
      <c r="B3" s="2" t="s">
        <v>33</v>
      </c>
    </row>
    <row r="5" customFormat="false" ht="15" hidden="false" customHeight="false" outlineLevel="0" collapsed="false">
      <c r="B5" s="3" t="s">
        <v>34</v>
      </c>
    </row>
    <row r="6" customFormat="false" ht="15" hidden="false" customHeight="false" outlineLevel="0" collapsed="false">
      <c r="B6" s="5" t="s">
        <v>35</v>
      </c>
      <c r="C6" s="20" t="n">
        <v>93.4738273283481</v>
      </c>
      <c r="E6" s="19" t="s">
        <v>36</v>
      </c>
    </row>
    <row r="7" customFormat="false" ht="15" hidden="false" customHeight="false" outlineLevel="0" collapsed="false">
      <c r="B7" s="5" t="s">
        <v>37</v>
      </c>
      <c r="C7" s="21" t="n">
        <v>558.98</v>
      </c>
      <c r="E7" s="19" t="s">
        <v>38</v>
      </c>
    </row>
    <row r="8" customFormat="false" ht="15" hidden="false" customHeight="false" outlineLevel="0" collapsed="false">
      <c r="B8" s="5" t="s">
        <v>39</v>
      </c>
      <c r="C8" s="15" t="n">
        <f aca="false">C6*C7</f>
        <v>52250</v>
      </c>
      <c r="E8" s="19" t="s">
        <v>40</v>
      </c>
    </row>
    <row r="10" customFormat="false" ht="15" hidden="false" customHeight="false" outlineLevel="0" collapsed="false">
      <c r="B10" s="3" t="s">
        <v>41</v>
      </c>
    </row>
    <row r="11" customFormat="false" ht="15" hidden="false" customHeight="false" outlineLevel="0" collapsed="false">
      <c r="B11" s="5" t="s">
        <v>42</v>
      </c>
      <c r="C11" s="14" t="n">
        <v>5610</v>
      </c>
      <c r="E11" s="19" t="s">
        <v>43</v>
      </c>
    </row>
    <row r="12" customFormat="false" ht="15" hidden="false" customHeight="false" outlineLevel="0" collapsed="false">
      <c r="B12" s="5" t="s">
        <v>44</v>
      </c>
      <c r="C12" s="15" t="n">
        <f aca="false">C11</f>
        <v>5610</v>
      </c>
      <c r="E12" s="19" t="s">
        <v>45</v>
      </c>
    </row>
    <row r="13" customFormat="false" ht="15" hidden="false" customHeight="false" outlineLevel="0" collapsed="false">
      <c r="B13" s="5" t="s">
        <v>46</v>
      </c>
      <c r="C13" s="14" t="n">
        <v>1950</v>
      </c>
      <c r="E13" s="19" t="s">
        <v>47</v>
      </c>
    </row>
    <row r="14" customFormat="false" ht="15" hidden="false" customHeight="false" outlineLevel="0" collapsed="false">
      <c r="B14" s="5" t="s">
        <v>48</v>
      </c>
      <c r="C14" s="15" t="n">
        <f aca="false">C13</f>
        <v>1950</v>
      </c>
      <c r="E14" s="19" t="s">
        <v>45</v>
      </c>
    </row>
    <row r="15" customFormat="false" ht="15" hidden="false" customHeight="false" outlineLevel="0" collapsed="false">
      <c r="B15" s="5" t="s">
        <v>49</v>
      </c>
      <c r="C15" s="14" t="n">
        <v>0</v>
      </c>
      <c r="E15" s="19" t="s">
        <v>50</v>
      </c>
    </row>
    <row r="16" customFormat="false" ht="15" hidden="false" customHeight="false" outlineLevel="0" collapsed="false">
      <c r="B16" s="5" t="s">
        <v>51</v>
      </c>
      <c r="C16" s="15" t="n">
        <f aca="false">C14-C15</f>
        <v>1950</v>
      </c>
    </row>
    <row r="17" customFormat="false" ht="15" hidden="false" customHeight="false" outlineLevel="0" collapsed="false">
      <c r="B17" s="5" t="s">
        <v>52</v>
      </c>
      <c r="C17" s="14" t="n">
        <v>2700</v>
      </c>
      <c r="E17" s="19" t="s">
        <v>53</v>
      </c>
    </row>
    <row r="18" customFormat="false" ht="15" hidden="false" customHeight="false" outlineLevel="0" collapsed="false">
      <c r="B18" s="5" t="s">
        <v>54</v>
      </c>
      <c r="C18" s="14" t="n">
        <v>2440</v>
      </c>
      <c r="E18" s="19" t="s">
        <v>53</v>
      </c>
    </row>
    <row r="19" customFormat="false" ht="15" hidden="false" customHeight="false" outlineLevel="0" collapsed="false">
      <c r="B19" s="5" t="s">
        <v>55</v>
      </c>
      <c r="C19" s="15" t="n">
        <f aca="false">MAX(0,C17-C18)</f>
        <v>260</v>
      </c>
      <c r="E19" s="19" t="s">
        <v>56</v>
      </c>
    </row>
    <row r="20" customFormat="false" ht="15" hidden="false" customHeight="false" outlineLevel="0" collapsed="false">
      <c r="B20" s="5" t="s">
        <v>57</v>
      </c>
      <c r="C20" s="22" t="n">
        <v>0.25</v>
      </c>
      <c r="E20" s="19" t="s">
        <v>58</v>
      </c>
    </row>
    <row r="21" customFormat="false" ht="15" hidden="false" customHeight="false" outlineLevel="0" collapsed="false">
      <c r="B21" s="5" t="s">
        <v>59</v>
      </c>
      <c r="C21" s="15" t="n">
        <f aca="false">C19*(1-C20)</f>
        <v>195</v>
      </c>
    </row>
    <row r="22" customFormat="false" ht="15" hidden="false" customHeight="false" outlineLevel="0" collapsed="false">
      <c r="B22" s="5" t="s">
        <v>60</v>
      </c>
      <c r="C22" s="15" t="n">
        <f aca="false">C16+C21</f>
        <v>2145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0.382352941176471</v>
      </c>
      <c r="E23" s="19" t="s">
        <v>61</v>
      </c>
    </row>
    <row r="24" customFormat="false" ht="15" hidden="false" customHeight="false" outlineLevel="0" collapsed="false">
      <c r="B24" s="5" t="s">
        <v>62</v>
      </c>
      <c r="C24" s="14" t="n">
        <v>3350</v>
      </c>
      <c r="E24" s="19" t="s">
        <v>53</v>
      </c>
    </row>
    <row r="26" customFormat="false" ht="15" hidden="false" customHeight="false" outlineLevel="0" collapsed="false">
      <c r="B26" s="3" t="s">
        <v>63</v>
      </c>
    </row>
    <row r="27" customFormat="false" ht="15" hidden="false" customHeight="false" outlineLevel="0" collapsed="false">
      <c r="B27" s="5" t="s">
        <v>64</v>
      </c>
      <c r="C27" s="14" t="n">
        <v>9320</v>
      </c>
      <c r="E27" s="19" t="s">
        <v>65</v>
      </c>
    </row>
    <row r="28" customFormat="false" ht="15" hidden="false" customHeight="false" outlineLevel="0" collapsed="false">
      <c r="B28" s="5" t="s">
        <v>66</v>
      </c>
      <c r="C28" s="14" t="n">
        <v>555</v>
      </c>
      <c r="E28" s="19" t="s">
        <v>65</v>
      </c>
    </row>
    <row r="29" customFormat="false" ht="15" hidden="false" customHeight="false" outlineLevel="0" collapsed="false">
      <c r="B29" s="5" t="s">
        <v>67</v>
      </c>
      <c r="C29" s="15" t="n">
        <f aca="false">C27-C28</f>
        <v>8765</v>
      </c>
    </row>
    <row r="31" customFormat="false" ht="15" hidden="false" customHeight="false" outlineLevel="0" collapsed="false">
      <c r="B31" s="3" t="s">
        <v>68</v>
      </c>
    </row>
    <row r="32" customFormat="false" ht="15" hidden="false" customHeight="false" outlineLevel="0" collapsed="false">
      <c r="B32" s="5" t="s">
        <v>69</v>
      </c>
      <c r="C32" s="24" t="n">
        <v>0.0521</v>
      </c>
      <c r="E32" s="19" t="s">
        <v>70</v>
      </c>
    </row>
    <row r="33" customFormat="false" ht="15" hidden="false" customHeight="false" outlineLevel="0" collapsed="false">
      <c r="B33" s="5" t="s">
        <v>71</v>
      </c>
      <c r="C33" s="24" t="n">
        <v>0.0288</v>
      </c>
      <c r="E33" s="19" t="s">
        <v>72</v>
      </c>
    </row>
    <row r="34" customFormat="false" ht="15" hidden="false" customHeight="false" outlineLevel="0" collapsed="false">
      <c r="B34" s="5" t="s">
        <v>73</v>
      </c>
      <c r="C34" s="25" t="n">
        <f aca="false">C32-C33</f>
        <v>0.0233</v>
      </c>
      <c r="E34" s="19" t="s">
        <v>74</v>
      </c>
    </row>
    <row r="35" customFormat="false" ht="15" hidden="false" customHeight="false" outlineLevel="0" collapsed="false">
      <c r="B35" s="5" t="s">
        <v>75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76</v>
      </c>
      <c r="C36" s="24" t="n">
        <v>0.005</v>
      </c>
      <c r="E36" s="19" t="s">
        <v>77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78</v>
      </c>
    </row>
    <row r="38" customFormat="false" ht="15" hidden="false" customHeight="false" outlineLevel="0" collapsed="false">
      <c r="B38" s="5" t="s">
        <v>79</v>
      </c>
      <c r="C38" s="24" t="n">
        <v>0.0423</v>
      </c>
      <c r="E38" s="19" t="s">
        <v>80</v>
      </c>
    </row>
    <row r="40" customFormat="false" ht="15" hidden="false" customHeight="false" outlineLevel="0" collapsed="false">
      <c r="B40" s="3" t="s">
        <v>81</v>
      </c>
    </row>
    <row r="41" customFormat="false" ht="15" hidden="false" customHeight="false" outlineLevel="0" collapsed="false">
      <c r="B41" s="5" t="s">
        <v>82</v>
      </c>
      <c r="C41" s="5" t="s">
        <v>83</v>
      </c>
      <c r="E41" s="19" t="s">
        <v>84</v>
      </c>
    </row>
    <row r="42" customFormat="false" ht="15" hidden="false" customHeight="false" outlineLevel="0" collapsed="false">
      <c r="B42" s="5" t="s">
        <v>85</v>
      </c>
      <c r="C42" s="22" t="n">
        <v>0.0979</v>
      </c>
      <c r="E42" s="19" t="s">
        <v>86</v>
      </c>
    </row>
    <row r="43" customFormat="false" ht="15" hidden="false" customHeight="false" outlineLevel="0" collapsed="false">
      <c r="B43" s="5" t="s">
        <v>87</v>
      </c>
      <c r="C43" s="23" t="n">
        <f aca="false">AVERAGE(C41:C42)</f>
        <v>0.0979</v>
      </c>
      <c r="E43" s="19" t="s">
        <v>88</v>
      </c>
    </row>
    <row r="44" customFormat="false" ht="15" hidden="false" customHeight="false" outlineLevel="0" collapsed="false">
      <c r="B44" s="5" t="s">
        <v>89</v>
      </c>
      <c r="C44" s="22" t="n">
        <v>0.03</v>
      </c>
      <c r="E44" s="19" t="s">
        <v>90</v>
      </c>
    </row>
    <row r="45" customFormat="false" ht="15" hidden="false" customHeight="false" outlineLevel="0" collapsed="false">
      <c r="B45" s="5" t="s">
        <v>91</v>
      </c>
      <c r="C45" s="26" t="n">
        <v>0.0979</v>
      </c>
      <c r="E45" s="19" t="s">
        <v>92</v>
      </c>
    </row>
    <row r="46" customFormat="false" ht="15" hidden="false" customHeight="false" outlineLevel="0" collapsed="false">
      <c r="B46" s="5" t="s">
        <v>93</v>
      </c>
      <c r="C46" s="27" t="n">
        <v>5</v>
      </c>
      <c r="E46" s="19" t="s">
        <v>94</v>
      </c>
    </row>
    <row r="47" customFormat="false" ht="15" hidden="false" customHeight="false" outlineLevel="0" collapsed="false">
      <c r="B47" s="5" t="s">
        <v>95</v>
      </c>
      <c r="C47" s="27" t="n">
        <v>5</v>
      </c>
      <c r="E47" s="1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97</v>
      </c>
    </row>
    <row r="3" customFormat="false" ht="15" hidden="false" customHeight="false" outlineLevel="0" collapsed="false">
      <c r="B3" s="2" t="s">
        <v>98</v>
      </c>
    </row>
    <row r="5" customFormat="false" ht="15" hidden="false" customHeight="false" outlineLevel="0" collapsed="false">
      <c r="B5" s="28" t="s">
        <v>99</v>
      </c>
      <c r="C5" s="28" t="s">
        <v>100</v>
      </c>
      <c r="D5" s="28" t="s">
        <v>101</v>
      </c>
      <c r="E5" s="28" t="s">
        <v>102</v>
      </c>
      <c r="F5" s="28" t="s">
        <v>103</v>
      </c>
      <c r="G5" s="28" t="s">
        <v>104</v>
      </c>
      <c r="H5" s="28" t="s">
        <v>105</v>
      </c>
    </row>
    <row r="6" customFormat="false" ht="15" hidden="false" customHeight="false" outlineLevel="0" collapsed="false">
      <c r="B6" s="5" t="s">
        <v>106</v>
      </c>
      <c r="C6" s="14" t="n">
        <v>3420</v>
      </c>
      <c r="D6" s="14" t="n">
        <v>3582</v>
      </c>
      <c r="E6" s="14" t="n">
        <v>3895</v>
      </c>
      <c r="F6" s="14" t="n">
        <v>4649</v>
      </c>
      <c r="G6" s="14" t="n">
        <v>5249</v>
      </c>
      <c r="H6" s="14" t="n">
        <v>5614</v>
      </c>
    </row>
    <row r="7" customFormat="false" ht="15" hidden="false" customHeight="false" outlineLevel="0" collapsed="false">
      <c r="B7" s="5" t="s">
        <v>107</v>
      </c>
      <c r="D7" s="23" t="n">
        <f aca="false">D6/C6-1</f>
        <v>0.0473684210526315</v>
      </c>
      <c r="E7" s="23" t="n">
        <f aca="false">E6/D6-1</f>
        <v>0.0873813512004467</v>
      </c>
      <c r="F7" s="23" t="n">
        <f aca="false">F6/E6-1</f>
        <v>0.193581514762516</v>
      </c>
      <c r="G7" s="23" t="n">
        <f aca="false">G6/F6-1</f>
        <v>0.129060012906001</v>
      </c>
    </row>
    <row r="8" customFormat="false" ht="15" hidden="false" customHeight="false" outlineLevel="0" collapsed="false">
      <c r="B8" s="19" t="s">
        <v>108</v>
      </c>
    </row>
    <row r="10" customFormat="false" ht="15" hidden="false" customHeight="false" outlineLevel="0" collapsed="false">
      <c r="B10" s="3" t="s">
        <v>109</v>
      </c>
    </row>
    <row r="11" customFormat="false" ht="15" hidden="false" customHeight="false" outlineLevel="0" collapsed="false">
      <c r="B11" s="19" t="s">
        <v>110</v>
      </c>
    </row>
    <row r="15" customFormat="false" ht="15" hidden="false" customHeight="false" outlineLevel="0" collapsed="false">
      <c r="B15" s="3" t="s">
        <v>111</v>
      </c>
    </row>
    <row r="16" customFormat="false" ht="15" hidden="false" customHeight="false" outlineLevel="0" collapsed="false">
      <c r="B16" s="28" t="s">
        <v>99</v>
      </c>
      <c r="C16" s="28" t="s">
        <v>112</v>
      </c>
      <c r="D16" s="28" t="s">
        <v>113</v>
      </c>
      <c r="E16" s="28" t="s">
        <v>114</v>
      </c>
      <c r="F16" s="28" t="s">
        <v>115</v>
      </c>
      <c r="G16" s="28" t="s">
        <v>116</v>
      </c>
    </row>
    <row r="17" customFormat="false" ht="15" hidden="false" customHeight="false" outlineLevel="0" collapsed="false">
      <c r="B17" s="5" t="s">
        <v>117</v>
      </c>
      <c r="C17" s="22" t="n">
        <v>0.1563</v>
      </c>
      <c r="D17" s="22" t="n">
        <v>0.2496</v>
      </c>
      <c r="E17" s="22" t="n">
        <v>0.2536</v>
      </c>
      <c r="F17" s="22" t="n">
        <v>0.234</v>
      </c>
      <c r="G17" s="22" t="n">
        <v>0.2407</v>
      </c>
      <c r="I17" s="19" t="s">
        <v>118</v>
      </c>
    </row>
    <row r="18" customFormat="false" ht="15" hidden="false" customHeight="false" outlineLevel="0" collapsed="false">
      <c r="B18" s="5" t="s">
        <v>119</v>
      </c>
      <c r="C18" s="23" t="n">
        <f aca="false">C17+(Inputs!$C$23-Inputs!$C$16/Inputs!$C$12)</f>
        <v>0.19105935828877</v>
      </c>
      <c r="D18" s="23" t="n">
        <f aca="false">D17+(Inputs!$C$23-Inputs!$C$16/Inputs!$C$12)</f>
        <v>0.28435935828877</v>
      </c>
      <c r="E18" s="23" t="n">
        <f aca="false">E17+(Inputs!$C$23-Inputs!$C$16/Inputs!$C$12)</f>
        <v>0.28835935828877</v>
      </c>
      <c r="F18" s="23" t="n">
        <f aca="false">F17+(Inputs!$C$23-Inputs!$C$16/Inputs!$C$12)</f>
        <v>0.26875935828877</v>
      </c>
      <c r="G18" s="23" t="n">
        <f aca="false">G17+(Inputs!$C$23-Inputs!$C$16/Inputs!$C$12)</f>
        <v>0.27545935828877</v>
      </c>
    </row>
    <row r="19" customFormat="false" ht="15" hidden="false" customHeight="false" outlineLevel="0" collapsed="false">
      <c r="B19" s="5" t="s">
        <v>120</v>
      </c>
      <c r="C19" s="23" t="n">
        <f aca="false">MIN(C18:G18)</f>
        <v>0.19105935828877</v>
      </c>
      <c r="D19" s="23" t="n">
        <f aca="false">MAX(C18:G18)</f>
        <v>0.28835935828877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121</v>
      </c>
    </row>
    <row r="3" customFormat="false" ht="15" hidden="false" customHeight="false" outlineLevel="0" collapsed="false">
      <c r="B3" s="2" t="s">
        <v>122</v>
      </c>
    </row>
    <row r="5" customFormat="false" ht="15" hidden="false" customHeight="false" outlineLevel="0" collapsed="false">
      <c r="B5" s="28" t="s">
        <v>123</v>
      </c>
      <c r="C5" s="28" t="s">
        <v>124</v>
      </c>
      <c r="D5" s="28" t="s">
        <v>125</v>
      </c>
      <c r="E5" s="28" t="s">
        <v>126</v>
      </c>
      <c r="F5" s="28" t="s">
        <v>57</v>
      </c>
      <c r="G5" s="28" t="s">
        <v>127</v>
      </c>
    </row>
    <row r="6" customFormat="false" ht="15" hidden="false" customHeight="false" outlineLevel="0" collapsed="false">
      <c r="B6" s="5" t="s">
        <v>128</v>
      </c>
      <c r="C6" s="29" t="n">
        <v>0.937184629651022</v>
      </c>
      <c r="D6" s="14" t="n">
        <v>20530</v>
      </c>
      <c r="E6" s="14" t="n">
        <v>87470</v>
      </c>
      <c r="F6" s="22" t="n">
        <v>0.25</v>
      </c>
      <c r="G6" s="30" t="n">
        <f aca="false">C6/(1+(1-F6)*D6/E6)</f>
        <v>0.796904168523342</v>
      </c>
      <c r="H6" s="19" t="s">
        <v>129</v>
      </c>
    </row>
    <row r="7" customFormat="false" ht="15" hidden="false" customHeight="false" outlineLevel="0" collapsed="false">
      <c r="B7" s="5" t="s">
        <v>130</v>
      </c>
      <c r="C7" s="29" t="n">
        <v>0.239866317804515</v>
      </c>
      <c r="D7" s="14" t="n">
        <v>3870</v>
      </c>
      <c r="E7" s="14" t="n">
        <v>99970</v>
      </c>
      <c r="F7" s="22" t="n">
        <v>0.25</v>
      </c>
      <c r="G7" s="30" t="n">
        <f aca="false">C7/(1+(1-F7)*D7/E7)</f>
        <v>0.233098600606745</v>
      </c>
    </row>
    <row r="8" customFormat="false" ht="15" hidden="false" customHeight="false" outlineLevel="0" collapsed="false">
      <c r="B8" s="7" t="s">
        <v>131</v>
      </c>
      <c r="C8" s="29" t="n">
        <v>0.991894933766176</v>
      </c>
      <c r="D8" s="14" t="n">
        <v>9320</v>
      </c>
      <c r="E8" s="14" t="n">
        <v>52250</v>
      </c>
      <c r="F8" s="22" t="n">
        <v>0.25</v>
      </c>
      <c r="G8" s="30" t="n">
        <f aca="false">C8/(1+(1-F8)*D8/E8)</f>
        <v>0.874856689555751</v>
      </c>
    </row>
    <row r="9" customFormat="false" ht="15" hidden="false" customHeight="false" outlineLevel="0" collapsed="false">
      <c r="B9" s="5" t="s">
        <v>132</v>
      </c>
      <c r="C9" s="29" t="n">
        <v>0.41</v>
      </c>
      <c r="D9" s="14" t="n">
        <v>1580</v>
      </c>
      <c r="E9" s="14" t="n">
        <v>30520</v>
      </c>
      <c r="F9" s="22" t="n">
        <v>0.25</v>
      </c>
      <c r="G9" s="30" t="n">
        <f aca="false">C9/(1+(1-F9)*D9/E9)</f>
        <v>0.394675918624823</v>
      </c>
    </row>
    <row r="10" customFormat="false" ht="15" hidden="false" customHeight="false" outlineLevel="0" collapsed="false">
      <c r="B10" s="5" t="s">
        <v>133</v>
      </c>
      <c r="C10" s="29" t="n">
        <v>0.0712282477450855</v>
      </c>
      <c r="D10" s="14" t="n">
        <v>2070</v>
      </c>
      <c r="E10" s="14" t="n">
        <v>15010</v>
      </c>
      <c r="F10" s="22" t="n">
        <v>0.265</v>
      </c>
      <c r="G10" s="30" t="n">
        <f aca="false">C10/(1+(1-F10)*D10/E10)</f>
        <v>0.0646728507574189</v>
      </c>
    </row>
    <row r="11" customFormat="false" ht="15" hidden="false" customHeight="false" outlineLevel="0" collapsed="false">
      <c r="B11" s="5" t="s">
        <v>134</v>
      </c>
      <c r="C11" s="29" t="n">
        <v>0.611799852675033</v>
      </c>
      <c r="D11" s="14" t="n">
        <v>150.34</v>
      </c>
      <c r="E11" s="14" t="n">
        <v>25740</v>
      </c>
      <c r="F11" s="22" t="n">
        <v>0.25</v>
      </c>
      <c r="G11" s="30" t="n">
        <f aca="false">C11/(1+(1-F11)*D11/E11)</f>
        <v>0.609131529999621</v>
      </c>
    </row>
    <row r="12" customFormat="false" ht="15" hidden="false" customHeight="false" outlineLevel="0" collapsed="false">
      <c r="B12" s="5" t="s">
        <v>135</v>
      </c>
      <c r="C12" s="29" t="n">
        <v>0.798396426820285</v>
      </c>
      <c r="D12" s="14" t="n">
        <v>178.91</v>
      </c>
      <c r="E12" s="14" t="n">
        <v>5790</v>
      </c>
      <c r="F12" s="22" t="n">
        <v>0.25</v>
      </c>
      <c r="G12" s="30" t="n">
        <f aca="false">C12/(1+(1-F12)*D12/E12)</f>
        <v>0.780312779238224</v>
      </c>
    </row>
    <row r="14" customFormat="false" ht="15" hidden="false" customHeight="false" outlineLevel="0" collapsed="false">
      <c r="B14" s="5" t="s">
        <v>136</v>
      </c>
      <c r="C14" s="30" t="n">
        <f aca="false">MEDIAN(G6:G12)</f>
        <v>0.609131529999621</v>
      </c>
    </row>
    <row r="15" customFormat="false" ht="15" hidden="false" customHeight="false" outlineLevel="0" collapsed="false">
      <c r="B15" s="5" t="s">
        <v>125</v>
      </c>
      <c r="C15" s="16" t="n">
        <f aca="false">Inputs!$C$27</f>
        <v>9320</v>
      </c>
    </row>
    <row r="16" customFormat="false" ht="15" hidden="false" customHeight="false" outlineLevel="0" collapsed="false">
      <c r="B16" s="5" t="s">
        <v>39</v>
      </c>
      <c r="C16" s="16" t="n">
        <f aca="false">Inputs!$C$8</f>
        <v>52250</v>
      </c>
    </row>
    <row r="17" customFormat="false" ht="15" hidden="false" customHeight="false" outlineLevel="0" collapsed="false">
      <c r="B17" s="5" t="s">
        <v>57</v>
      </c>
      <c r="C17" s="9" t="n">
        <f aca="false">Inputs!$C$20</f>
        <v>0.25</v>
      </c>
    </row>
    <row r="18" customFormat="false" ht="15" hidden="false" customHeight="false" outlineLevel="0" collapsed="false">
      <c r="B18" s="5" t="s">
        <v>137</v>
      </c>
      <c r="C18" s="30" t="n">
        <f aca="false">WACC!$C$14*(1+(1-WACC!$C$17)*WACC!$C$15/WACC!$C$16)</f>
        <v>0.690621087792872</v>
      </c>
      <c r="H18" s="19" t="s">
        <v>138</v>
      </c>
    </row>
    <row r="19" customFormat="false" ht="15" hidden="false" customHeight="false" outlineLevel="0" collapsed="false">
      <c r="B19" s="5" t="s">
        <v>139</v>
      </c>
      <c r="C19" s="12" t="n">
        <f aca="false">Inputs!$C$35</f>
        <v>0.0521</v>
      </c>
    </row>
    <row r="20" customFormat="false" ht="15" hidden="false" customHeight="false" outlineLevel="0" collapsed="false">
      <c r="B20" s="5" t="s">
        <v>79</v>
      </c>
      <c r="C20" s="12" t="n">
        <f aca="false">Inputs!$C$38</f>
        <v>0.0423</v>
      </c>
    </row>
    <row r="21" customFormat="false" ht="15" hidden="false" customHeight="false" outlineLevel="0" collapsed="false">
      <c r="B21" s="5" t="s">
        <v>140</v>
      </c>
      <c r="C21" s="25" t="n">
        <f aca="false">WACC!$C$19+WACC!$C$18*WACC!$C$20</f>
        <v>0.0813132720136385</v>
      </c>
      <c r="H21" s="19" t="s">
        <v>141</v>
      </c>
    </row>
    <row r="23" customFormat="false" ht="15" hidden="false" customHeight="false" outlineLevel="0" collapsed="false">
      <c r="B23" s="3" t="s">
        <v>142</v>
      </c>
    </row>
    <row r="24" customFormat="false" ht="15" hidden="false" customHeight="false" outlineLevel="0" collapsed="false">
      <c r="B24" s="28" t="s">
        <v>143</v>
      </c>
      <c r="C24" s="28" t="s">
        <v>144</v>
      </c>
    </row>
    <row r="25" customFormat="false" ht="15" hidden="false" customHeight="false" outlineLevel="0" collapsed="false">
      <c r="B25" s="31" t="n">
        <v>1</v>
      </c>
      <c r="C25" s="24" t="n">
        <v>0.01</v>
      </c>
      <c r="H25" s="19" t="s">
        <v>145</v>
      </c>
    </row>
    <row r="26" customFormat="false" ht="15" hidden="false" customHeight="false" outlineLevel="0" collapsed="false">
      <c r="B26" s="31" t="n">
        <v>2</v>
      </c>
      <c r="C26" s="24" t="n">
        <v>0.0125</v>
      </c>
    </row>
    <row r="27" customFormat="false" ht="15" hidden="false" customHeight="false" outlineLevel="0" collapsed="false">
      <c r="B27" s="31" t="n">
        <v>3</v>
      </c>
      <c r="C27" s="24" t="n">
        <v>0.016</v>
      </c>
    </row>
    <row r="28" customFormat="false" ht="15" hidden="false" customHeight="false" outlineLevel="0" collapsed="false">
      <c r="B28" s="31" t="n">
        <v>4</v>
      </c>
      <c r="C28" s="24" t="n">
        <v>0.02</v>
      </c>
    </row>
    <row r="29" customFormat="false" ht="15" hidden="false" customHeight="false" outlineLevel="0" collapsed="false">
      <c r="B29" s="31" t="n">
        <v>99</v>
      </c>
      <c r="C29" s="24" t="n">
        <v>0.0275</v>
      </c>
    </row>
    <row r="31" customFormat="false" ht="15" hidden="false" customHeight="false" outlineLevel="0" collapsed="false">
      <c r="B31" s="5" t="s">
        <v>146</v>
      </c>
      <c r="C31" s="32" t="n">
        <f aca="false">Inputs!$C$27/Inputs!$C$24</f>
        <v>2.78208955223881</v>
      </c>
    </row>
    <row r="32" customFormat="false" ht="15" hidden="false" customHeight="false" outlineLevel="0" collapsed="false">
      <c r="B32" s="5" t="s">
        <v>147</v>
      </c>
      <c r="C32" s="25" t="n">
        <f aca="false">INDEX(C25:C29,COUNTIF(B25:B29,"&lt;="&amp;WACC!$C$31)+1)</f>
        <v>0.016</v>
      </c>
      <c r="H32" s="19" t="s">
        <v>148</v>
      </c>
    </row>
    <row r="33" customFormat="false" ht="15" hidden="false" customHeight="false" outlineLevel="0" collapsed="false">
      <c r="B33" s="5" t="s">
        <v>149</v>
      </c>
      <c r="C33" s="25" t="n">
        <f aca="false">WACC!$C$19+WACC!$C$32</f>
        <v>0.0681</v>
      </c>
    </row>
    <row r="34" customFormat="false" ht="15" hidden="false" customHeight="false" outlineLevel="0" collapsed="false">
      <c r="B34" s="5" t="s">
        <v>150</v>
      </c>
      <c r="C34" s="25" t="n">
        <f aca="false">WACC!$C$33*(1-WACC!$C$17)</f>
        <v>0.051075</v>
      </c>
    </row>
    <row r="35" customFormat="false" ht="15" hidden="false" customHeight="false" outlineLevel="0" collapsed="false">
      <c r="B35" s="5" t="s">
        <v>151</v>
      </c>
      <c r="C35" s="23" t="n">
        <f aca="false">WACC!$C$15/(WACC!$C$15+WACC!$C$16)</f>
        <v>0.151372421633913</v>
      </c>
      <c r="H35" s="19" t="s">
        <v>152</v>
      </c>
    </row>
    <row r="36" customFormat="false" ht="15" hidden="false" customHeight="false" outlineLevel="0" collapsed="false">
      <c r="B36" s="5" t="s">
        <v>153</v>
      </c>
      <c r="C36" s="23" t="n">
        <f aca="false">1-WACC!$C$35</f>
        <v>0.848627578366087</v>
      </c>
    </row>
    <row r="37" customFormat="false" ht="15" hidden="false" customHeight="false" outlineLevel="0" collapsed="false">
      <c r="B37" s="5" t="s">
        <v>11</v>
      </c>
      <c r="C37" s="33" t="n">
        <f aca="false">WACC!$C$36*WACC!$C$21+WACC!$C$35*WACC!$C$34</f>
        <v>0.0767360315529091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154</v>
      </c>
    </row>
    <row r="2" customFormat="false" ht="15" hidden="false" customHeight="false" outlineLevel="0" collapsed="false">
      <c r="B2" s="5" t="s">
        <v>155</v>
      </c>
      <c r="C2" s="16" t="n">
        <f aca="false">Inputs!$C$12</f>
        <v>5610</v>
      </c>
      <c r="D2" s="5" t="s">
        <v>156</v>
      </c>
      <c r="E2" s="9" t="n">
        <f aca="false">Inputs!$C$23</f>
        <v>0.382352941176471</v>
      </c>
      <c r="F2" s="5" t="s">
        <v>157</v>
      </c>
      <c r="G2" s="16" t="n">
        <f aca="false">Inputs!$C$27</f>
        <v>9320</v>
      </c>
      <c r="H2" s="5" t="s">
        <v>158</v>
      </c>
      <c r="I2" s="16" t="n">
        <f aca="false">Inputs!$C$28</f>
        <v>555</v>
      </c>
      <c r="J2" s="5" t="s">
        <v>159</v>
      </c>
      <c r="K2" s="34" t="n">
        <f aca="false">Inputs!$C$7</f>
        <v>558.98</v>
      </c>
      <c r="L2" s="5" t="s">
        <v>160</v>
      </c>
      <c r="M2" s="6" t="n">
        <f aca="false">Inputs!$C$6</f>
        <v>93.4738273283481</v>
      </c>
      <c r="N2" s="5" t="s">
        <v>161</v>
      </c>
      <c r="O2" s="35" t="n">
        <f aca="false">Inputs!$C$46</f>
        <v>5</v>
      </c>
      <c r="P2" s="5" t="s">
        <v>162</v>
      </c>
      <c r="Q2" s="35" t="n">
        <f aca="false">Inputs!$C$47</f>
        <v>5</v>
      </c>
    </row>
    <row r="3" customFormat="false" ht="15" hidden="false" customHeight="false" outlineLevel="0" collapsed="false">
      <c r="D3" s="36" t="s">
        <v>163</v>
      </c>
      <c r="E3" s="37" t="n">
        <v>1</v>
      </c>
      <c r="F3" s="37" t="n">
        <v>2</v>
      </c>
      <c r="G3" s="37" t="n">
        <v>3</v>
      </c>
      <c r="H3" s="37" t="n">
        <v>4</v>
      </c>
      <c r="I3" s="37" t="n">
        <v>5</v>
      </c>
      <c r="J3" s="37" t="n">
        <v>6</v>
      </c>
      <c r="K3" s="37" t="n">
        <v>7</v>
      </c>
      <c r="L3" s="37" t="n">
        <v>8</v>
      </c>
      <c r="M3" s="37" t="n">
        <v>9</v>
      </c>
      <c r="N3" s="37" t="n">
        <v>10</v>
      </c>
    </row>
    <row r="4" customFormat="false" ht="15" hidden="false" customHeight="false" outlineLevel="0" collapsed="false">
      <c r="A4" s="19" t="s">
        <v>164</v>
      </c>
    </row>
    <row r="6" customFormat="false" ht="15" hidden="false" customHeight="false" outlineLevel="0" collapsed="false">
      <c r="A6" s="36" t="s">
        <v>165</v>
      </c>
      <c r="E6" s="5" t="s">
        <v>11</v>
      </c>
      <c r="F6" s="12" t="n">
        <f aca="false">WACC!$C$37</f>
        <v>0.0767360315529091</v>
      </c>
      <c r="G6" s="5" t="s">
        <v>12</v>
      </c>
      <c r="I6" s="12" t="n">
        <f aca="false">Inputs!$C$37</f>
        <v>0.0283</v>
      </c>
      <c r="W6" s="36" t="s">
        <v>166</v>
      </c>
    </row>
    <row r="7" customFormat="false" ht="23.85" hidden="false" customHeight="false" outlineLevel="0" collapsed="false">
      <c r="A7" s="36" t="s">
        <v>167</v>
      </c>
      <c r="B7" s="28" t="s">
        <v>168</v>
      </c>
      <c r="C7" s="28" t="s">
        <v>169</v>
      </c>
      <c r="D7" s="28" t="s">
        <v>170</v>
      </c>
      <c r="E7" s="28" t="s">
        <v>171</v>
      </c>
      <c r="F7" s="28" t="s">
        <v>172</v>
      </c>
      <c r="G7" s="28" t="s">
        <v>173</v>
      </c>
      <c r="H7" s="28" t="s">
        <v>174</v>
      </c>
      <c r="I7" s="28" t="s">
        <v>175</v>
      </c>
      <c r="J7" s="28" t="s">
        <v>176</v>
      </c>
      <c r="K7" s="28" t="s">
        <v>177</v>
      </c>
      <c r="L7" s="28" t="s">
        <v>178</v>
      </c>
      <c r="M7" s="28" t="s">
        <v>179</v>
      </c>
      <c r="N7" s="28" t="s">
        <v>180</v>
      </c>
      <c r="O7" s="28" t="s">
        <v>181</v>
      </c>
      <c r="P7" s="28" t="s">
        <v>182</v>
      </c>
      <c r="Q7" s="28" t="s">
        <v>183</v>
      </c>
      <c r="R7" s="28" t="s">
        <v>184</v>
      </c>
      <c r="S7" s="28" t="s">
        <v>185</v>
      </c>
      <c r="T7" s="28" t="s">
        <v>186</v>
      </c>
      <c r="W7" s="38" t="n">
        <f aca="false">$D$47</f>
        <v>0.0782079589675959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39" t="n">
        <f aca="false">(B8+C8)/2</f>
        <v>0.25</v>
      </c>
      <c r="E8" s="15" t="n">
        <f aca="false">$C$2*(1+IF(E$3&lt;=$O$2,$D8,$D8-($D8-$I$6)*MIN(E$3-$O$2,$Q$2)/$Q$2))</f>
        <v>7012.5</v>
      </c>
      <c r="F8" s="15" t="n">
        <f aca="false">E8*(1+IF(F$3&lt;=$O$2,$D8,$D8-($D8-$I$6)*MIN(F$3-$O$2,$Q$2)/$Q$2))</f>
        <v>8765.625</v>
      </c>
      <c r="G8" s="15" t="n">
        <f aca="false">F8*(1+IF(G$3&lt;=$O$2,$D8,$D8-($D8-$I$6)*MIN(G$3-$O$2,$Q$2)/$Q$2))</f>
        <v>10957.03125</v>
      </c>
      <c r="H8" s="15" t="n">
        <f aca="false">G8*(1+IF(H$3&lt;=$O$2,$D8,$D8-($D8-$I$6)*MIN(H$3-$O$2,$Q$2)/$Q$2))</f>
        <v>13696.2890625</v>
      </c>
      <c r="I8" s="15" t="n">
        <f aca="false">H8*(1+IF(I$3&lt;=$O$2,$D8,$D8-($D8-$I$6)*MIN(I$3-$O$2,$Q$2)/$Q$2))</f>
        <v>17120.361328125</v>
      </c>
      <c r="J8" s="15" t="n">
        <f aca="false">I8*(1+IF(J$3&lt;=$O$2,$D8,$D8-($D8-$I$6)*MIN(J$3-$O$2,$Q$2)/$Q$2))</f>
        <v>20641.3348388672</v>
      </c>
      <c r="K8" s="15" t="n">
        <f aca="false">J8*(1+IF(K$3&lt;=$O$2,$D8,$D8-($D8-$I$6)*MIN(K$3-$O$2,$Q$2)/$Q$2))</f>
        <v>23971.1949750732</v>
      </c>
      <c r="L8" s="15" t="n">
        <f aca="false">K8*(1+IF(L$3&lt;=$O$2,$D8,$D8-($D8-$I$6)*MIN(L$3-$O$2,$Q$2)/$Q$2))</f>
        <v>26775.3453632573</v>
      </c>
      <c r="M8" s="15" t="n">
        <f aca="false">L8*(1+IF(M$3&lt;=$O$2,$D8,$D8-($D8-$I$6)*MIN(M$3-$O$2,$Q$2)/$Q$2))</f>
        <v>28720.3064504443</v>
      </c>
      <c r="N8" s="15" t="n">
        <f aca="false">M8*(1+IF(N$3&lt;=$O$2,$D8,$D8-($D8-$I$6)*MIN(N$3-$O$2,$Q$2)/$Q$2))</f>
        <v>29533.0911229919</v>
      </c>
      <c r="O8" s="15" t="n">
        <f aca="false">SUMPRODUCT(E8:N8,1/(1+$F$6)^$E$3:$N$3)*$E$2</f>
        <v>44386.2025645452</v>
      </c>
      <c r="P8" s="15" t="n">
        <f aca="false">N8*$E$2*(1+$I$6)/($F$6-$I$6)/(1+$F$6)^$N$3</f>
        <v>114454.312006681</v>
      </c>
      <c r="Q8" s="15" t="n">
        <f aca="false">O8+P8</f>
        <v>158840.514571226</v>
      </c>
      <c r="R8" s="15" t="n">
        <f aca="false">Q8-$G$2+$I$2</f>
        <v>150075.514571226</v>
      </c>
      <c r="S8" s="40" t="n">
        <f aca="false">R8/$K$2</f>
        <v>268.481009286962</v>
      </c>
      <c r="T8" s="41" t="n">
        <f aca="false">S8-$M$2</f>
        <v>175.007181958614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39" t="n">
        <f aca="false">(B9+C9)/2</f>
        <v>-0.125</v>
      </c>
      <c r="E9" s="15" t="n">
        <f aca="false">$C$2*(1+IF(E$3&lt;=$O$2,$D9,$D9-($D9-$I$6)*MIN(E$3-$O$2,$Q$2)/$Q$2))</f>
        <v>4908.75</v>
      </c>
      <c r="F9" s="15" t="n">
        <f aca="false">E9*(1+IF(F$3&lt;=$O$2,$D9,$D9-($D9-$I$6)*MIN(F$3-$O$2,$Q$2)/$Q$2))</f>
        <v>4295.15625</v>
      </c>
      <c r="G9" s="15" t="n">
        <f aca="false">F9*(1+IF(G$3&lt;=$O$2,$D9,$D9-($D9-$I$6)*MIN(G$3-$O$2,$Q$2)/$Q$2))</f>
        <v>3758.26171875</v>
      </c>
      <c r="H9" s="15" t="n">
        <f aca="false">G9*(1+IF(H$3&lt;=$O$2,$D9,$D9-($D9-$I$6)*MIN(H$3-$O$2,$Q$2)/$Q$2))</f>
        <v>3288.47900390625</v>
      </c>
      <c r="I9" s="15" t="n">
        <f aca="false">H9*(1+IF(I$3&lt;=$O$2,$D9,$D9-($D9-$I$6)*MIN(I$3-$O$2,$Q$2)/$Q$2))</f>
        <v>2877.41912841797</v>
      </c>
      <c r="J9" s="15" t="n">
        <f aca="false">I9*(1+IF(J$3&lt;=$O$2,$D9,$D9-($D9-$I$6)*MIN(J$3-$O$2,$Q$2)/$Q$2))</f>
        <v>2605.96340784302</v>
      </c>
      <c r="K9" s="15" t="n">
        <f aca="false">J9*(1+IF(K$3&lt;=$O$2,$D9,$D9-($D9-$I$6)*MIN(K$3-$O$2,$Q$2)/$Q$2))</f>
        <v>2440.01565803157</v>
      </c>
      <c r="L9" s="15" t="n">
        <f aca="false">K9*(1+IF(L$3&lt;=$O$2,$D9,$D9-($D9-$I$6)*MIN(L$3-$O$2,$Q$2)/$Q$2))</f>
        <v>2359.44634100337</v>
      </c>
      <c r="M9" s="15" t="n">
        <f aca="false">L9*(1+IF(M$3&lt;=$O$2,$D9,$D9-($D9-$I$6)*MIN(M$3-$O$2,$Q$2)/$Q$2))</f>
        <v>2353.8780476386</v>
      </c>
      <c r="N9" s="15" t="n">
        <f aca="false">M9*(1+IF(N$3&lt;=$O$2,$D9,$D9-($D9-$I$6)*MIN(N$3-$O$2,$Q$2)/$Q$2))</f>
        <v>2420.49279638678</v>
      </c>
      <c r="O9" s="15" t="n">
        <f aca="false">SUMPRODUCT(E9:N9,1/(1+$F$6)^$E$3:$N$3)*$E$2</f>
        <v>8605.70190705666</v>
      </c>
      <c r="P9" s="15" t="n">
        <f aca="false">N9*$E$2*(1+$I$6)/($F$6-$I$6)/(1+$F$6)^$N$3</f>
        <v>9380.5229047595</v>
      </c>
      <c r="Q9" s="15" t="n">
        <f aca="false">O9+P9</f>
        <v>17986.2248118162</v>
      </c>
      <c r="R9" s="15" t="n">
        <f aca="false">Q9-$G$2+$I$2</f>
        <v>9221.22481181616</v>
      </c>
      <c r="S9" s="40" t="n">
        <f aca="false">R9/$K$2</f>
        <v>16.496520111303</v>
      </c>
      <c r="T9" s="41" t="n">
        <f aca="false">S9-$M$2</f>
        <v>-76.9773072170451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39" t="n">
        <f aca="false">(B10+C10)/2</f>
        <v>0.0625</v>
      </c>
      <c r="E10" s="15" t="n">
        <f aca="false">$C$2*(1+IF(E$3&lt;=$O$2,$D10,$D10-($D10-$I$6)*MIN(E$3-$O$2,$Q$2)/$Q$2))</f>
        <v>5960.625</v>
      </c>
      <c r="F10" s="15" t="n">
        <f aca="false">E10*(1+IF(F$3&lt;=$O$2,$D10,$D10-($D10-$I$6)*MIN(F$3-$O$2,$Q$2)/$Q$2))</f>
        <v>6333.1640625</v>
      </c>
      <c r="G10" s="15" t="n">
        <f aca="false">F10*(1+IF(G$3&lt;=$O$2,$D10,$D10-($D10-$I$6)*MIN(G$3-$O$2,$Q$2)/$Q$2))</f>
        <v>6728.98681640625</v>
      </c>
      <c r="H10" s="15" t="n">
        <f aca="false">G10*(1+IF(H$3&lt;=$O$2,$D10,$D10-($D10-$I$6)*MIN(H$3-$O$2,$Q$2)/$Q$2))</f>
        <v>7149.54849243164</v>
      </c>
      <c r="I10" s="15" t="n">
        <f aca="false">H10*(1+IF(I$3&lt;=$O$2,$D10,$D10-($D10-$I$6)*MIN(I$3-$O$2,$Q$2)/$Q$2))</f>
        <v>7596.39527320862</v>
      </c>
      <c r="J10" s="15" t="n">
        <f aca="false">I10*(1+IF(J$3&lt;=$O$2,$D10,$D10-($D10-$I$6)*MIN(J$3-$O$2,$Q$2)/$Q$2))</f>
        <v>8019.21063411541</v>
      </c>
      <c r="K10" s="15" t="n">
        <f aca="false">J10*(1+IF(K$3&lt;=$O$2,$D10,$D10-($D10-$I$6)*MIN(K$3-$O$2,$Q$2)/$Q$2))</f>
        <v>8410.70849727293</v>
      </c>
      <c r="L10" s="15" t="n">
        <f aca="false">K10*(1+IF(L$3&lt;=$O$2,$D10,$D10-($D10-$I$6)*MIN(L$3-$O$2,$Q$2)/$Q$2))</f>
        <v>8763.79003998844</v>
      </c>
      <c r="M10" s="15" t="n">
        <f aca="false">L10*(1+IF(M$3&lt;=$O$2,$D10,$D10-($D10-$I$6)*MIN(M$3-$O$2,$Q$2)/$Q$2))</f>
        <v>9071.74962199364</v>
      </c>
      <c r="N10" s="15" t="n">
        <f aca="false">M10*(1+IF(N$3&lt;=$O$2,$D10,$D10-($D10-$I$6)*MIN(N$3-$O$2,$Q$2)/$Q$2))</f>
        <v>9328.48013629606</v>
      </c>
      <c r="O10" s="15" t="n">
        <f aca="false">SUMPRODUCT(E10:N10,1/(1+$F$6)^$E$3:$N$3)*$E$2</f>
        <v>19531.9438180271</v>
      </c>
      <c r="P10" s="15" t="n">
        <f aca="false">N10*$E$2*(1+$I$6)/($F$6-$I$6)/(1+$F$6)^$N$3</f>
        <v>36152.1512130691</v>
      </c>
      <c r="Q10" s="15" t="n">
        <f aca="false">O10+P10</f>
        <v>55684.0950310962</v>
      </c>
      <c r="R10" s="15" t="n">
        <f aca="false">Q10-$G$2+$I$2</f>
        <v>46919.0950310962</v>
      </c>
      <c r="S10" s="40" t="n">
        <f aca="false">R10/$K$2</f>
        <v>83.9369834897424</v>
      </c>
      <c r="T10" s="41" t="n">
        <f aca="false">S10-$M$2</f>
        <v>-9.53684383860566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0.0625</v>
      </c>
      <c r="C11" s="25" t="n">
        <f aca="false">IF(T10&gt;0,D10,C10)</f>
        <v>0.25</v>
      </c>
      <c r="D11" s="39" t="n">
        <f aca="false">(B11+C11)/2</f>
        <v>0.15625</v>
      </c>
      <c r="E11" s="15" t="n">
        <f aca="false">$C$2*(1+IF(E$3&lt;=$O$2,$D11,$D11-($D11-$I$6)*MIN(E$3-$O$2,$Q$2)/$Q$2))</f>
        <v>6486.5625</v>
      </c>
      <c r="F11" s="15" t="n">
        <f aca="false">E11*(1+IF(F$3&lt;=$O$2,$D11,$D11-($D11-$I$6)*MIN(F$3-$O$2,$Q$2)/$Q$2))</f>
        <v>7500.087890625</v>
      </c>
      <c r="G11" s="15" t="n">
        <f aca="false">F11*(1+IF(G$3&lt;=$O$2,$D11,$D11-($D11-$I$6)*MIN(G$3-$O$2,$Q$2)/$Q$2))</f>
        <v>8671.97662353516</v>
      </c>
      <c r="H11" s="15" t="n">
        <f aca="false">G11*(1+IF(H$3&lt;=$O$2,$D11,$D11-($D11-$I$6)*MIN(H$3-$O$2,$Q$2)/$Q$2))</f>
        <v>10026.9729709625</v>
      </c>
      <c r="I11" s="15" t="n">
        <f aca="false">H11*(1+IF(I$3&lt;=$O$2,$D11,$D11-($D11-$I$6)*MIN(I$3-$O$2,$Q$2)/$Q$2))</f>
        <v>11593.6874976754</v>
      </c>
      <c r="J11" s="15" t="n">
        <f aca="false">I11*(1+IF(J$3&lt;=$O$2,$D11,$D11-($D11-$I$6)*MIN(J$3-$O$2,$Q$2)/$Q$2))</f>
        <v>13108.5187061217</v>
      </c>
      <c r="K11" s="15" t="n">
        <f aca="false">J11*(1+IF(K$3&lt;=$O$2,$D11,$D11-($D11-$I$6)*MIN(K$3-$O$2,$Q$2)/$Q$2))</f>
        <v>14485.8307665739</v>
      </c>
      <c r="L11" s="15" t="n">
        <f aca="false">K11*(1+IF(L$3&lt;=$O$2,$D11,$D11-($D11-$I$6)*MIN(L$3-$O$2,$Q$2)/$Q$2))</f>
        <v>15637.1645959012</v>
      </c>
      <c r="M11" s="15" t="n">
        <f aca="false">L11*(1+IF(M$3&lt;=$O$2,$D11,$D11-($D11-$I$6)*MIN(M$3-$O$2,$Q$2)/$Q$2))</f>
        <v>16479.8513959743</v>
      </c>
      <c r="N11" s="15" t="n">
        <f aca="false">M11*(1+IF(N$3&lt;=$O$2,$D11,$D11-($D11-$I$6)*MIN(N$3-$O$2,$Q$2)/$Q$2))</f>
        <v>16946.2311904804</v>
      </c>
      <c r="O11" s="15" t="n">
        <f aca="false">SUMPRODUCT(E11:N11,1/(1+$F$6)^$E$3:$N$3)*$E$2</f>
        <v>29507.6910899409</v>
      </c>
      <c r="P11" s="15" t="n">
        <f aca="false">N11*$E$2*(1+$I$6)/($F$6-$I$6)/(1+$F$6)^$N$3</f>
        <v>65674.4403738559</v>
      </c>
      <c r="Q11" s="15" t="n">
        <f aca="false">O11+P11</f>
        <v>95182.1314637968</v>
      </c>
      <c r="R11" s="15" t="n">
        <f aca="false">Q11-$G$2+$I$2</f>
        <v>86417.1314637968</v>
      </c>
      <c r="S11" s="40" t="n">
        <f aca="false">R11/$K$2</f>
        <v>154.597895208767</v>
      </c>
      <c r="T11" s="41" t="n">
        <f aca="false">S11-$M$2</f>
        <v>61.1240678804193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0.0625</v>
      </c>
      <c r="C12" s="25" t="n">
        <f aca="false">IF(T11&gt;0,D11,C11)</f>
        <v>0.15625</v>
      </c>
      <c r="D12" s="39" t="n">
        <f aca="false">(B12+C12)/2</f>
        <v>0.109375</v>
      </c>
      <c r="E12" s="15" t="n">
        <f aca="false">$C$2*(1+IF(E$3&lt;=$O$2,$D12,$D12-($D12-$I$6)*MIN(E$3-$O$2,$Q$2)/$Q$2))</f>
        <v>6223.59375</v>
      </c>
      <c r="F12" s="15" t="n">
        <f aca="false">E12*(1+IF(F$3&lt;=$O$2,$D12,$D12-($D12-$I$6)*MIN(F$3-$O$2,$Q$2)/$Q$2))</f>
        <v>6904.29931640625</v>
      </c>
      <c r="G12" s="15" t="n">
        <f aca="false">F12*(1+IF(G$3&lt;=$O$2,$D12,$D12-($D12-$I$6)*MIN(G$3-$O$2,$Q$2)/$Q$2))</f>
        <v>7659.45705413818</v>
      </c>
      <c r="H12" s="15" t="n">
        <f aca="false">G12*(1+IF(H$3&lt;=$O$2,$D12,$D12-($D12-$I$6)*MIN(H$3-$O$2,$Q$2)/$Q$2))</f>
        <v>8497.21016943455</v>
      </c>
      <c r="I12" s="15" t="n">
        <f aca="false">H12*(1+IF(I$3&lt;=$O$2,$D12,$D12-($D12-$I$6)*MIN(I$3-$O$2,$Q$2)/$Q$2))</f>
        <v>9426.59253171645</v>
      </c>
      <c r="J12" s="15" t="n">
        <f aca="false">I12*(1+IF(J$3&lt;=$O$2,$D12,$D12-($D12-$I$6)*MIN(J$3-$O$2,$Q$2)/$Q$2))</f>
        <v>10304.7738919712</v>
      </c>
      <c r="K12" s="15" t="n">
        <f aca="false">J12*(1+IF(K$3&lt;=$O$2,$D12,$D12-($D12-$I$6)*MIN(K$3-$O$2,$Q$2)/$Q$2))</f>
        <v>11097.6747190889</v>
      </c>
      <c r="L12" s="15" t="n">
        <f aca="false">K12*(1+IF(L$3&lt;=$O$2,$D12,$D12-($D12-$I$6)*MIN(L$3-$O$2,$Q$2)/$Q$2))</f>
        <v>11771.6365047791</v>
      </c>
      <c r="M12" s="15" t="n">
        <f aca="false">L12*(1+IF(M$3&lt;=$O$2,$D12,$D12-($D12-$I$6)*MIN(M$3-$O$2,$Q$2)/$Q$2))</f>
        <v>12295.6509037894</v>
      </c>
      <c r="N12" s="15" t="n">
        <f aca="false">M12*(1+IF(N$3&lt;=$O$2,$D12,$D12-($D12-$I$6)*MIN(N$3-$O$2,$Q$2)/$Q$2))</f>
        <v>12643.6178243666</v>
      </c>
      <c r="O12" s="15" t="n">
        <f aca="false">SUMPRODUCT(E12:N12,1/(1+$F$6)^$E$3:$N$3)*$E$2</f>
        <v>24014.0563348309</v>
      </c>
      <c r="P12" s="15" t="n">
        <f aca="false">N12*$E$2*(1+$I$6)/($F$6-$I$6)/(1+$F$6)^$N$3</f>
        <v>48999.8345698628</v>
      </c>
      <c r="Q12" s="15" t="n">
        <f aca="false">O12+P12</f>
        <v>73013.8909046937</v>
      </c>
      <c r="R12" s="15" t="n">
        <f aca="false">Q12-$G$2+$I$2</f>
        <v>64248.8909046937</v>
      </c>
      <c r="S12" s="40" t="n">
        <f aca="false">R12/$K$2</f>
        <v>114.939516449057</v>
      </c>
      <c r="T12" s="41" t="n">
        <f aca="false">S12-$M$2</f>
        <v>21.4656891207086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0.0625</v>
      </c>
      <c r="C13" s="25" t="n">
        <f aca="false">IF(T12&gt;0,D12,C12)</f>
        <v>0.109375</v>
      </c>
      <c r="D13" s="39" t="n">
        <f aca="false">(B13+C13)/2</f>
        <v>0.0859375</v>
      </c>
      <c r="E13" s="15" t="n">
        <f aca="false">$C$2*(1+IF(E$3&lt;=$O$2,$D13,$D13-($D13-$I$6)*MIN(E$3-$O$2,$Q$2)/$Q$2))</f>
        <v>6092.109375</v>
      </c>
      <c r="F13" s="15" t="n">
        <f aca="false">E13*(1+IF(F$3&lt;=$O$2,$D13,$D13-($D13-$I$6)*MIN(F$3-$O$2,$Q$2)/$Q$2))</f>
        <v>6615.65002441406</v>
      </c>
      <c r="G13" s="15" t="n">
        <f aca="false">F13*(1+IF(G$3&lt;=$O$2,$D13,$D13-($D13-$I$6)*MIN(G$3-$O$2,$Q$2)/$Q$2))</f>
        <v>7184.18244838715</v>
      </c>
      <c r="H13" s="15" t="n">
        <f aca="false">G13*(1+IF(H$3&lt;=$O$2,$D13,$D13-($D13-$I$6)*MIN(H$3-$O$2,$Q$2)/$Q$2))</f>
        <v>7801.57312754542</v>
      </c>
      <c r="I13" s="15" t="n">
        <f aca="false">H13*(1+IF(I$3&lt;=$O$2,$D13,$D13-($D13-$I$6)*MIN(I$3-$O$2,$Q$2)/$Q$2))</f>
        <v>8472.02081819385</v>
      </c>
      <c r="J13" s="15" t="n">
        <f aca="false">I13*(1+IF(J$3&lt;=$O$2,$D13,$D13-($D13-$I$6)*MIN(J$3-$O$2,$Q$2)/$Q$2))</f>
        <v>9102.42388727566</v>
      </c>
      <c r="K13" s="15" t="n">
        <f aca="false">J13*(1+IF(K$3&lt;=$O$2,$D13,$D13-($D13-$I$6)*MIN(K$3-$O$2,$Q$2)/$Q$2))</f>
        <v>9674.80705736727</v>
      </c>
      <c r="L13" s="15" t="n">
        <f aca="false">K13*(1+IF(L$3&lt;=$O$2,$D13,$D13-($D13-$I$6)*MIN(L$3-$O$2,$Q$2)/$Q$2))</f>
        <v>10171.6567737984</v>
      </c>
      <c r="M13" s="15" t="n">
        <f aca="false">L13*(1+IF(M$3&lt;=$O$2,$D13,$D13-($D13-$I$6)*MIN(M$3-$O$2,$Q$2)/$Q$2))</f>
        <v>10576.7684339568</v>
      </c>
      <c r="N13" s="15" t="n">
        <f aca="false">M13*(1+IF(N$3&lt;=$O$2,$D13,$D13-($D13-$I$6)*MIN(N$3-$O$2,$Q$2)/$Q$2))</f>
        <v>10876.0909806378</v>
      </c>
      <c r="O13" s="15" t="n">
        <f aca="false">SUMPRODUCT(E13:N13,1/(1+$F$6)^$E$3:$N$3)*$E$2</f>
        <v>21658.1521810523</v>
      </c>
      <c r="P13" s="15" t="n">
        <f aca="false">N13*$E$2*(1+$I$6)/($F$6-$I$6)/(1+$F$6)^$N$3</f>
        <v>42149.8550668764</v>
      </c>
      <c r="Q13" s="15" t="n">
        <f aca="false">O13+P13</f>
        <v>63808.0072479287</v>
      </c>
      <c r="R13" s="15" t="n">
        <f aca="false">Q13-$G$2+$I$2</f>
        <v>55043.0072479287</v>
      </c>
      <c r="S13" s="40" t="n">
        <f aca="false">R13/$K$2</f>
        <v>98.4704412464287</v>
      </c>
      <c r="T13" s="41" t="n">
        <f aca="false">S13-$M$2</f>
        <v>4.99661391808057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0.0625</v>
      </c>
      <c r="C14" s="25" t="n">
        <f aca="false">IF(T13&gt;0,D13,C13)</f>
        <v>0.0859375</v>
      </c>
      <c r="D14" s="39" t="n">
        <f aca="false">(B14+C14)/2</f>
        <v>0.07421875</v>
      </c>
      <c r="E14" s="15" t="n">
        <f aca="false">$C$2*(1+IF(E$3&lt;=$O$2,$D14,$D14-($D14-$I$6)*MIN(E$3-$O$2,$Q$2)/$Q$2))</f>
        <v>6026.3671875</v>
      </c>
      <c r="F14" s="15" t="n">
        <f aca="false">E14*(1+IF(F$3&lt;=$O$2,$D14,$D14-($D14-$I$6)*MIN(F$3-$O$2,$Q$2)/$Q$2))</f>
        <v>6473.63662719727</v>
      </c>
      <c r="G14" s="15" t="n">
        <f aca="false">F14*(1+IF(G$3&lt;=$O$2,$D14,$D14-($D14-$I$6)*MIN(G$3-$O$2,$Q$2)/$Q$2))</f>
        <v>6954.10184562206</v>
      </c>
      <c r="H14" s="15" t="n">
        <f aca="false">G14*(1+IF(H$3&lt;=$O$2,$D14,$D14-($D14-$I$6)*MIN(H$3-$O$2,$Q$2)/$Q$2))</f>
        <v>7470.22659197683</v>
      </c>
      <c r="I14" s="15" t="n">
        <f aca="false">H14*(1+IF(I$3&lt;=$O$2,$D14,$D14-($D14-$I$6)*MIN(I$3-$O$2,$Q$2)/$Q$2))</f>
        <v>8024.65747185011</v>
      </c>
      <c r="J14" s="15" t="n">
        <f aca="false">I14*(1+IF(J$3&lt;=$O$2,$D14,$D14-($D14-$I$6)*MIN(J$3-$O$2,$Q$2)/$Q$2))</f>
        <v>8546.54107053188</v>
      </c>
      <c r="K14" s="15" t="n">
        <f aca="false">J14*(1+IF(K$3&lt;=$O$2,$D14,$D14-($D14-$I$6)*MIN(K$3-$O$2,$Q$2)/$Q$2))</f>
        <v>9023.87607249742</v>
      </c>
      <c r="L14" s="15" t="n">
        <f aca="false">K14*(1+IF(L$3&lt;=$O$2,$D14,$D14-($D14-$I$6)*MIN(L$3-$O$2,$Q$2)/$Q$2))</f>
        <v>9444.99780911069</v>
      </c>
      <c r="M14" s="15" t="n">
        <f aca="false">L14*(1+IF(M$3&lt;=$O$2,$D14,$D14-($D14-$I$6)*MIN(M$3-$O$2,$Q$2)/$Q$2))</f>
        <v>9799.03174573795</v>
      </c>
      <c r="N14" s="15" t="n">
        <f aca="false">M14*(1+IF(N$3&lt;=$O$2,$D14,$D14-($D14-$I$6)*MIN(N$3-$O$2,$Q$2)/$Q$2))</f>
        <v>10076.3443441423</v>
      </c>
      <c r="O14" s="15" t="n">
        <f aca="false">SUMPRODUCT(E14:N14,1/(1+$F$6)^$E$3:$N$3)*$E$2</f>
        <v>20567.6838013624</v>
      </c>
      <c r="P14" s="15" t="n">
        <f aca="false">N14*$E$2*(1+$I$6)/($F$6-$I$6)/(1+$F$6)^$N$3</f>
        <v>39050.469002663</v>
      </c>
      <c r="Q14" s="15" t="n">
        <f aca="false">O14+P14</f>
        <v>59618.1528040255</v>
      </c>
      <c r="R14" s="15" t="n">
        <f aca="false">Q14-$G$2+$I$2</f>
        <v>50853.1528040255</v>
      </c>
      <c r="S14" s="40" t="n">
        <f aca="false">R14/$K$2</f>
        <v>90.9749057283364</v>
      </c>
      <c r="T14" s="41" t="n">
        <f aca="false">S14-$M$2</f>
        <v>-2.49892160001171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0.07421875</v>
      </c>
      <c r="C15" s="25" t="n">
        <f aca="false">IF(T14&gt;0,D14,C14)</f>
        <v>0.0859375</v>
      </c>
      <c r="D15" s="39" t="n">
        <f aca="false">(B15+C15)/2</f>
        <v>0.080078125</v>
      </c>
      <c r="E15" s="15" t="n">
        <f aca="false">$C$2*(1+IF(E$3&lt;=$O$2,$D15,$D15-($D15-$I$6)*MIN(E$3-$O$2,$Q$2)/$Q$2))</f>
        <v>6059.23828125</v>
      </c>
      <c r="F15" s="15" t="n">
        <f aca="false">E15*(1+IF(F$3&lt;=$O$2,$D15,$D15-($D15-$I$6)*MIN(F$3-$O$2,$Q$2)/$Q$2))</f>
        <v>6544.45072174072</v>
      </c>
      <c r="G15" s="15" t="n">
        <f aca="false">F15*(1+IF(G$3&lt;=$O$2,$D15,$D15-($D15-$I$6)*MIN(G$3-$O$2,$Q$2)/$Q$2))</f>
        <v>7068.51806469262</v>
      </c>
      <c r="H15" s="15" t="n">
        <f aca="false">G15*(1+IF(H$3&lt;=$O$2,$D15,$D15-($D15-$I$6)*MIN(H$3-$O$2,$Q$2)/$Q$2))</f>
        <v>7634.55173784183</v>
      </c>
      <c r="I15" s="15" t="n">
        <f aca="false">H15*(1+IF(I$3&lt;=$O$2,$D15,$D15-($D15-$I$6)*MIN(I$3-$O$2,$Q$2)/$Q$2))</f>
        <v>8245.9123262237</v>
      </c>
      <c r="J15" s="15" t="n">
        <f aca="false">I15*(1+IF(J$3&lt;=$O$2,$D15,$D15-($D15-$I$6)*MIN(J$3-$O$2,$Q$2)/$Q$2))</f>
        <v>8820.83794838883</v>
      </c>
      <c r="K15" s="15" t="n">
        <f aca="false">J15*(1+IF(K$3&lt;=$O$2,$D15,$D15-($D15-$I$6)*MIN(K$3-$O$2,$Q$2)/$Q$2))</f>
        <v>9344.50353226608</v>
      </c>
      <c r="L15" s="15" t="n">
        <f aca="false">K15*(1+IF(L$3&lt;=$O$2,$D15,$D15-($D15-$I$6)*MIN(L$3-$O$2,$Q$2)/$Q$2))</f>
        <v>9802.48933101186</v>
      </c>
      <c r="M15" s="15" t="n">
        <f aca="false">L15*(1+IF(M$3&lt;=$O$2,$D15,$D15-($D15-$I$6)*MIN(M$3-$O$2,$Q$2)/$Q$2))</f>
        <v>10181.410682658</v>
      </c>
      <c r="N15" s="15" t="n">
        <f aca="false">M15*(1+IF(N$3&lt;=$O$2,$D15,$D15-($D15-$I$6)*MIN(N$3-$O$2,$Q$2)/$Q$2))</f>
        <v>10469.5446049772</v>
      </c>
      <c r="O15" s="15" t="n">
        <f aca="false">SUMPRODUCT(E15:N15,1/(1+$F$6)^$E$3:$N$3)*$E$2</f>
        <v>21105.9127947334</v>
      </c>
      <c r="P15" s="15" t="n">
        <f aca="false">N15*$E$2*(1+$I$6)/($F$6-$I$6)/(1+$F$6)^$N$3</f>
        <v>40574.3008679859</v>
      </c>
      <c r="Q15" s="15" t="n">
        <f aca="false">O15+P15</f>
        <v>61680.2136627193</v>
      </c>
      <c r="R15" s="15" t="n">
        <f aca="false">Q15-$G$2+$I$2</f>
        <v>52915.2136627193</v>
      </c>
      <c r="S15" s="40" t="n">
        <f aca="false">R15/$K$2</f>
        <v>94.6638764584051</v>
      </c>
      <c r="T15" s="41" t="n">
        <f aca="false">S15-$M$2</f>
        <v>1.19004913005706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0.07421875</v>
      </c>
      <c r="C16" s="25" t="n">
        <f aca="false">IF(T15&gt;0,D15,C15)</f>
        <v>0.080078125</v>
      </c>
      <c r="D16" s="39" t="n">
        <f aca="false">(B16+C16)/2</f>
        <v>0.0771484375</v>
      </c>
      <c r="E16" s="15" t="n">
        <f aca="false">$C$2*(1+IF(E$3&lt;=$O$2,$D16,$D16-($D16-$I$6)*MIN(E$3-$O$2,$Q$2)/$Q$2))</f>
        <v>6042.802734375</v>
      </c>
      <c r="F16" s="15" t="n">
        <f aca="false">E16*(1+IF(F$3&lt;=$O$2,$D16,$D16-($D16-$I$6)*MIN(F$3-$O$2,$Q$2)/$Q$2))</f>
        <v>6508.99552345276</v>
      </c>
      <c r="G16" s="15" t="n">
        <f aca="false">F16*(1+IF(G$3&lt;=$O$2,$D16,$D16-($D16-$I$6)*MIN(G$3-$O$2,$Q$2)/$Q$2))</f>
        <v>7011.15435778163</v>
      </c>
      <c r="H16" s="15" t="n">
        <f aca="false">G16*(1+IF(H$3&lt;=$O$2,$D16,$D16-($D16-$I$6)*MIN(H$3-$O$2,$Q$2)/$Q$2))</f>
        <v>7552.0539615558</v>
      </c>
      <c r="I16" s="15" t="n">
        <f aca="false">H16*(1+IF(I$3&lt;=$O$2,$D16,$D16-($D16-$I$6)*MIN(I$3-$O$2,$Q$2)/$Q$2))</f>
        <v>8134.68312460552</v>
      </c>
      <c r="J16" s="15" t="n">
        <f aca="false">I16*(1+IF(J$3&lt;=$O$2,$D16,$D16-($D16-$I$6)*MIN(J$3-$O$2,$Q$2)/$Q$2))</f>
        <v>8682.78790518753</v>
      </c>
      <c r="K16" s="15" t="n">
        <f aca="false">J16*(1+IF(K$3&lt;=$O$2,$D16,$D16-($D16-$I$6)*MIN(K$3-$O$2,$Q$2)/$Q$2))</f>
        <v>9182.99517629172</v>
      </c>
      <c r="L16" s="15" t="n">
        <f aca="false">K16*(1+IF(L$3&lt;=$O$2,$D16,$D16-($D16-$I$6)*MIN(L$3-$O$2,$Q$2)/$Q$2))</f>
        <v>9622.30392615353</v>
      </c>
      <c r="M16" s="15" t="n">
        <f aca="false">L16*(1+IF(M$3&lt;=$O$2,$D16,$D16-($D16-$I$6)*MIN(M$3-$O$2,$Q$2)/$Q$2))</f>
        <v>9988.62202965222</v>
      </c>
      <c r="N16" s="15" t="n">
        <f aca="false">M16*(1+IF(N$3&lt;=$O$2,$D16,$D16-($D16-$I$6)*MIN(N$3-$O$2,$Q$2)/$Q$2))</f>
        <v>10271.3000330914</v>
      </c>
      <c r="O16" s="15" t="n">
        <f aca="false">SUMPRODUCT(E16:N16,1/(1+$F$6)^$E$3:$N$3)*$E$2</f>
        <v>20835.067782578</v>
      </c>
      <c r="P16" s="15" t="n">
        <f aca="false">N16*$E$2*(1+$I$6)/($F$6-$I$6)/(1+$F$6)^$N$3</f>
        <v>39806.0119682648</v>
      </c>
      <c r="Q16" s="15" t="n">
        <f aca="false">O16+P16</f>
        <v>60641.0797508428</v>
      </c>
      <c r="R16" s="15" t="n">
        <f aca="false">Q16-$G$2+$I$2</f>
        <v>51876.0797508428</v>
      </c>
      <c r="S16" s="40" t="n">
        <f aca="false">R16/$K$2</f>
        <v>92.8048941837682</v>
      </c>
      <c r="T16" s="41" t="n">
        <f aca="false">S16-$M$2</f>
        <v>-0.668933144579881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0.0771484375</v>
      </c>
      <c r="C17" s="25" t="n">
        <f aca="false">IF(T16&gt;0,D16,C16)</f>
        <v>0.080078125</v>
      </c>
      <c r="D17" s="39" t="n">
        <f aca="false">(B17+C17)/2</f>
        <v>0.07861328125</v>
      </c>
      <c r="E17" s="15" t="n">
        <f aca="false">$C$2*(1+IF(E$3&lt;=$O$2,$D17,$D17-($D17-$I$6)*MIN(E$3-$O$2,$Q$2)/$Q$2))</f>
        <v>6051.0205078125</v>
      </c>
      <c r="F17" s="15" t="n">
        <f aca="false">E17*(1+IF(F$3&lt;=$O$2,$D17,$D17-($D17-$I$6)*MIN(F$3-$O$2,$Q$2)/$Q$2))</f>
        <v>6526.71108484268</v>
      </c>
      <c r="G17" s="15" t="n">
        <f aca="false">F17*(1+IF(G$3&lt;=$O$2,$D17,$D17-($D17-$I$6)*MIN(G$3-$O$2,$Q$2)/$Q$2))</f>
        <v>7039.79725899291</v>
      </c>
      <c r="H17" s="15" t="n">
        <f aca="false">G17*(1+IF(H$3&lt;=$O$2,$D17,$D17-($D17-$I$6)*MIN(H$3-$O$2,$Q$2)/$Q$2))</f>
        <v>7593.2188208571</v>
      </c>
      <c r="I17" s="15" t="n">
        <f aca="false">H17*(1+IF(I$3&lt;=$O$2,$D17,$D17-($D17-$I$6)*MIN(I$3-$O$2,$Q$2)/$Q$2))</f>
        <v>8190.14666761393</v>
      </c>
      <c r="J17" s="15" t="n">
        <f aca="false">I17*(1+IF(J$3&lt;=$O$2,$D17,$D17-($D17-$I$6)*MIN(J$3-$O$2,$Q$2)/$Q$2))</f>
        <v>8751.58634052054</v>
      </c>
      <c r="K17" s="15" t="n">
        <f aca="false">J17*(1+IF(K$3&lt;=$O$2,$D17,$D17-($D17-$I$6)*MIN(K$3-$O$2,$Q$2)/$Q$2))</f>
        <v>9263.44884891783</v>
      </c>
      <c r="L17" s="15" t="n">
        <f aca="false">K17*(1+IF(L$3&lt;=$O$2,$D17,$D17-($D17-$I$6)*MIN(L$3-$O$2,$Q$2)/$Q$2))</f>
        <v>9712.03425425444</v>
      </c>
      <c r="M17" s="15" t="n">
        <f aca="false">L17*(1+IF(M$3&lt;=$O$2,$D17,$D17-($D17-$I$6)*MIN(M$3-$O$2,$Q$2)/$Q$2))</f>
        <v>10084.6136858386</v>
      </c>
      <c r="N17" s="15" t="n">
        <f aca="false">M17*(1+IF(N$3&lt;=$O$2,$D17,$D17-($D17-$I$6)*MIN(N$3-$O$2,$Q$2)/$Q$2))</f>
        <v>10370.0082531479</v>
      </c>
      <c r="O17" s="15" t="n">
        <f aca="false">SUMPRODUCT(E17:N17,1/(1+$F$6)^$E$3:$N$3)*$E$2</f>
        <v>20970.0550785677</v>
      </c>
      <c r="P17" s="15" t="n">
        <f aca="false">N17*$E$2*(1+$I$6)/($F$6-$I$6)/(1+$F$6)^$N$3</f>
        <v>40188.5517223636</v>
      </c>
      <c r="Q17" s="15" t="n">
        <f aca="false">O17+P17</f>
        <v>61158.6068009313</v>
      </c>
      <c r="R17" s="15" t="n">
        <f aca="false">Q17-$G$2+$I$2</f>
        <v>52393.6068009313</v>
      </c>
      <c r="S17" s="40" t="n">
        <f aca="false">R17/$K$2</f>
        <v>93.7307359850645</v>
      </c>
      <c r="T17" s="41" t="n">
        <f aca="false">S17-$M$2</f>
        <v>0.256908656716377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0.0771484375</v>
      </c>
      <c r="C18" s="25" t="n">
        <f aca="false">IF(T17&gt;0,D17,C17)</f>
        <v>0.07861328125</v>
      </c>
      <c r="D18" s="39" t="n">
        <f aca="false">(B18+C18)/2</f>
        <v>0.077880859375</v>
      </c>
      <c r="E18" s="15" t="n">
        <f aca="false">$C$2*(1+IF(E$3&lt;=$O$2,$D18,$D18-($D18-$I$6)*MIN(E$3-$O$2,$Q$2)/$Q$2))</f>
        <v>6046.91162109375</v>
      </c>
      <c r="F18" s="15" t="n">
        <f aca="false">E18*(1+IF(F$3&lt;=$O$2,$D18,$D18-($D18-$I$6)*MIN(F$3-$O$2,$Q$2)/$Q$2))</f>
        <v>6517.85029470921</v>
      </c>
      <c r="G18" s="15" t="n">
        <f aca="false">F18*(1+IF(G$3&lt;=$O$2,$D18,$D18-($D18-$I$6)*MIN(G$3-$O$2,$Q$2)/$Q$2))</f>
        <v>7025.46607693876</v>
      </c>
      <c r="H18" s="15" t="n">
        <f aca="false">G18*(1+IF(H$3&lt;=$O$2,$D18,$D18-($D18-$I$6)*MIN(H$3-$O$2,$Q$2)/$Q$2))</f>
        <v>7572.61541252066</v>
      </c>
      <c r="I18" s="15" t="n">
        <f aca="false">H18*(1+IF(I$3&lt;=$O$2,$D18,$D18-($D18-$I$6)*MIN(I$3-$O$2,$Q$2)/$Q$2))</f>
        <v>8162.37720856414</v>
      </c>
      <c r="J18" s="15" t="n">
        <f aca="false">I18*(1+IF(J$3&lt;=$O$2,$D18,$D18-($D18-$I$6)*MIN(J$3-$O$2,$Q$2)/$Q$2))</f>
        <v>8717.13062480132</v>
      </c>
      <c r="K18" s="15" t="n">
        <f aca="false">J18*(1+IF(K$3&lt;=$O$2,$D18,$D18-($D18-$I$6)*MIN(K$3-$O$2,$Q$2)/$Q$2))</f>
        <v>9223.14711808026</v>
      </c>
      <c r="L18" s="15" t="n">
        <f aca="false">K18*(1+IF(L$3&lt;=$O$2,$D18,$D18-($D18-$I$6)*MIN(L$3-$O$2,$Q$2)/$Q$2))</f>
        <v>9667.07880562453</v>
      </c>
      <c r="M18" s="15" t="n">
        <f aca="false">L18*(1+IF(M$3&lt;=$O$2,$D18,$D18-($D18-$I$6)*MIN(M$3-$O$2,$Q$2)/$Q$2))</f>
        <v>10036.5175507894</v>
      </c>
      <c r="N18" s="15" t="n">
        <f aca="false">M18*(1+IF(N$3&lt;=$O$2,$D18,$D18-($D18-$I$6)*MIN(N$3-$O$2,$Q$2)/$Q$2))</f>
        <v>10320.5509974768</v>
      </c>
      <c r="O18" s="15" t="n">
        <f aca="false">SUMPRODUCT(E18:N18,1/(1+$F$6)^$E$3:$N$3)*$E$2</f>
        <v>20902.4529517445</v>
      </c>
      <c r="P18" s="15" t="n">
        <f aca="false">N18*$E$2*(1+$I$6)/($F$6-$I$6)/(1+$F$6)^$N$3</f>
        <v>39996.8821085058</v>
      </c>
      <c r="Q18" s="15" t="n">
        <f aca="false">O18+P18</f>
        <v>60899.3350602503</v>
      </c>
      <c r="R18" s="15" t="n">
        <f aca="false">Q18-$G$2+$I$2</f>
        <v>52134.3350602503</v>
      </c>
      <c r="S18" s="40" t="n">
        <f aca="false">R18/$K$2</f>
        <v>93.26690590048</v>
      </c>
      <c r="T18" s="41" t="n">
        <f aca="false">S18-$M$2</f>
        <v>-0.206921427868096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0.077880859375</v>
      </c>
      <c r="C19" s="25" t="n">
        <f aca="false">IF(T18&gt;0,D18,C18)</f>
        <v>0.07861328125</v>
      </c>
      <c r="D19" s="39" t="n">
        <f aca="false">(B19+C19)/2</f>
        <v>0.0782470703125</v>
      </c>
      <c r="E19" s="15" t="n">
        <f aca="false">$C$2*(1+IF(E$3&lt;=$O$2,$D19,$D19-($D19-$I$6)*MIN(E$3-$O$2,$Q$2)/$Q$2))</f>
        <v>6048.96606445313</v>
      </c>
      <c r="F19" s="15" t="n">
        <f aca="false">E19*(1+IF(F$3&lt;=$O$2,$D19,$D19-($D19-$I$6)*MIN(F$3-$O$2,$Q$2)/$Q$2))</f>
        <v>6522.27993741632</v>
      </c>
      <c r="G19" s="15" t="n">
        <f aca="false">F19*(1+IF(G$3&lt;=$O$2,$D19,$D19-($D19-$I$6)*MIN(G$3-$O$2,$Q$2)/$Q$2))</f>
        <v>7032.62923427714</v>
      </c>
      <c r="H19" s="15" t="n">
        <f aca="false">G19*(1+IF(H$3&lt;=$O$2,$D19,$D19-($D19-$I$6)*MIN(H$3-$O$2,$Q$2)/$Q$2))</f>
        <v>7582.91186845336</v>
      </c>
      <c r="I19" s="15" t="n">
        <f aca="false">H19*(1+IF(I$3&lt;=$O$2,$D19,$D19-($D19-$I$6)*MIN(I$3-$O$2,$Q$2)/$Q$2))</f>
        <v>8176.25250659773</v>
      </c>
      <c r="J19" s="15" t="n">
        <f aca="false">I19*(1+IF(J$3&lt;=$O$2,$D19,$D19-($D19-$I$6)*MIN(J$3-$O$2,$Q$2)/$Q$2))</f>
        <v>8734.34433960627</v>
      </c>
      <c r="K19" s="15" t="n">
        <f aca="false">J19*(1+IF(K$3&lt;=$O$2,$D19,$D19-($D19-$I$6)*MIN(K$3-$O$2,$Q$2)/$Q$2))</f>
        <v>9243.27923093547</v>
      </c>
      <c r="L19" s="15" t="n">
        <f aca="false">K19*(1+IF(L$3&lt;=$O$2,$D19,$D19-($D19-$I$6)*MIN(L$3-$O$2,$Q$2)/$Q$2))</f>
        <v>9689.53392023719</v>
      </c>
      <c r="M19" s="15" t="n">
        <f aca="false">L19*(1+IF(M$3&lt;=$O$2,$D19,$D19-($D19-$I$6)*MIN(M$3-$O$2,$Q$2)/$Q$2))</f>
        <v>10060.5404965818</v>
      </c>
      <c r="N19" s="15" t="n">
        <f aca="false">M19*(1+IF(N$3&lt;=$O$2,$D19,$D19-($D19-$I$6)*MIN(N$3-$O$2,$Q$2)/$Q$2))</f>
        <v>10345.2537926351</v>
      </c>
      <c r="O19" s="15" t="n">
        <f aca="false">SUMPRODUCT(E19:N19,1/(1+$F$6)^$E$3:$N$3)*$E$2</f>
        <v>20936.2268550525</v>
      </c>
      <c r="P19" s="15" t="n">
        <f aca="false">N19*$E$2*(1+$I$6)/($F$6-$I$6)/(1+$F$6)^$N$3</f>
        <v>40092.6168019284</v>
      </c>
      <c r="Q19" s="15" t="n">
        <f aca="false">O19+P19</f>
        <v>61028.843656981</v>
      </c>
      <c r="R19" s="15" t="n">
        <f aca="false">Q19-$G$2+$I$2</f>
        <v>52263.843656981</v>
      </c>
      <c r="S19" s="40" t="n">
        <f aca="false">R19/$K$2</f>
        <v>93.4985932537496</v>
      </c>
      <c r="T19" s="41" t="n">
        <f aca="false">S19-$M$2</f>
        <v>0.0247659254015247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0.077880859375</v>
      </c>
      <c r="C20" s="25" t="n">
        <f aca="false">IF(T19&gt;0,D19,C19)</f>
        <v>0.0782470703125</v>
      </c>
      <c r="D20" s="39" t="n">
        <f aca="false">(B20+C20)/2</f>
        <v>0.07806396484375</v>
      </c>
      <c r="E20" s="15" t="n">
        <f aca="false">$C$2*(1+IF(E$3&lt;=$O$2,$D20,$D20-($D20-$I$6)*MIN(E$3-$O$2,$Q$2)/$Q$2))</f>
        <v>6047.93884277344</v>
      </c>
      <c r="F20" s="15" t="n">
        <f aca="false">E20*(1+IF(F$3&lt;=$O$2,$D20,$D20-($D20-$I$6)*MIN(F$3-$O$2,$Q$2)/$Q$2))</f>
        <v>6520.06492797285</v>
      </c>
      <c r="G20" s="15" t="n">
        <f aca="false">F20*(1+IF(G$3&lt;=$O$2,$D20,$D20-($D20-$I$6)*MIN(G$3-$O$2,$Q$2)/$Q$2))</f>
        <v>7029.04704728909</v>
      </c>
      <c r="H20" s="15" t="n">
        <f aca="false">G20*(1+IF(H$3&lt;=$O$2,$D20,$D20-($D20-$I$6)*MIN(H$3-$O$2,$Q$2)/$Q$2))</f>
        <v>7577.76232887373</v>
      </c>
      <c r="I20" s="15" t="n">
        <f aca="false">H20*(1+IF(I$3&lt;=$O$2,$D20,$D20-($D20-$I$6)*MIN(I$3-$O$2,$Q$2)/$Q$2))</f>
        <v>8169.31250090923</v>
      </c>
      <c r="J20" s="15" t="n">
        <f aca="false">I20*(1+IF(J$3&lt;=$O$2,$D20,$D20-($D20-$I$6)*MIN(J$3-$O$2,$Q$2)/$Q$2))</f>
        <v>8725.73394875924</v>
      </c>
      <c r="K20" s="15" t="n">
        <f aca="false">J20*(1+IF(K$3&lt;=$O$2,$D20,$D20-($D20-$I$6)*MIN(K$3-$O$2,$Q$2)/$Q$2))</f>
        <v>9233.20848998631</v>
      </c>
      <c r="L20" s="15" t="n">
        <f aca="false">K20*(1+IF(L$3&lt;=$O$2,$D20,$D20-($D20-$I$6)*MIN(L$3-$O$2,$Q$2)/$Q$2))</f>
        <v>9678.3007153292</v>
      </c>
      <c r="M20" s="15" t="n">
        <f aca="false">L20*(1+IF(M$3&lt;=$O$2,$D20,$D20-($D20-$I$6)*MIN(M$3-$O$2,$Q$2)/$Q$2))</f>
        <v>10048.522748882</v>
      </c>
      <c r="N20" s="15" t="n">
        <f aca="false">M20*(1+IF(N$3&lt;=$O$2,$D20,$D20-($D20-$I$6)*MIN(N$3-$O$2,$Q$2)/$Q$2))</f>
        <v>10332.8959426754</v>
      </c>
      <c r="O20" s="15" t="n">
        <f aca="false">SUMPRODUCT(E20:N20,1/(1+$F$6)^$E$3:$N$3)*$E$2</f>
        <v>20919.3331184262</v>
      </c>
      <c r="P20" s="15" t="n">
        <f aca="false">N20*$E$2*(1+$I$6)/($F$6-$I$6)/(1+$F$6)^$N$3</f>
        <v>40044.7244492746</v>
      </c>
      <c r="Q20" s="15" t="n">
        <f aca="false">O20+P20</f>
        <v>60964.0575677009</v>
      </c>
      <c r="R20" s="15" t="n">
        <f aca="false">Q20-$G$2+$I$2</f>
        <v>52199.0575677009</v>
      </c>
      <c r="S20" s="40" t="n">
        <f aca="false">R20/$K$2</f>
        <v>93.3826927040339</v>
      </c>
      <c r="T20" s="41" t="n">
        <f aca="false">S20-$M$2</f>
        <v>-0.0911346243141793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0.07806396484375</v>
      </c>
      <c r="C21" s="25" t="n">
        <f aca="false">IF(T20&gt;0,D20,C20)</f>
        <v>0.0782470703125</v>
      </c>
      <c r="D21" s="39" t="n">
        <f aca="false">(B21+C21)/2</f>
        <v>0.078155517578125</v>
      </c>
      <c r="E21" s="15" t="n">
        <f aca="false">$C$2*(1+IF(E$3&lt;=$O$2,$D21,$D21-($D21-$I$6)*MIN(E$3-$O$2,$Q$2)/$Q$2))</f>
        <v>6048.45245361328</v>
      </c>
      <c r="F21" s="15" t="n">
        <f aca="false">E21*(1+IF(F$3&lt;=$O$2,$D21,$D21-($D21-$I$6)*MIN(F$3-$O$2,$Q$2)/$Q$2))</f>
        <v>6521.17238567211</v>
      </c>
      <c r="G21" s="15" t="n">
        <f aca="false">F21*(1+IF(G$3&lt;=$O$2,$D21,$D21-($D21-$I$6)*MIN(G$3-$O$2,$Q$2)/$Q$2))</f>
        <v>7030.83798869049</v>
      </c>
      <c r="H21" s="15" t="n">
        <f aca="false">G21*(1+IF(H$3&lt;=$O$2,$D21,$D21-($D21-$I$6)*MIN(H$3-$O$2,$Q$2)/$Q$2))</f>
        <v>7580.33677070454</v>
      </c>
      <c r="I21" s="15" t="n">
        <f aca="false">H21*(1+IF(I$3&lt;=$O$2,$D21,$D21-($D21-$I$6)*MIN(I$3-$O$2,$Q$2)/$Q$2))</f>
        <v>8172.78191443544</v>
      </c>
      <c r="J21" s="15" t="n">
        <f aca="false">I21*(1+IF(J$3&lt;=$O$2,$D21,$D21-($D21-$I$6)*MIN(J$3-$O$2,$Q$2)/$Q$2))</f>
        <v>8730.03826053182</v>
      </c>
      <c r="K21" s="15" t="n">
        <f aca="false">J21*(1+IF(K$3&lt;=$O$2,$D21,$D21-($D21-$I$6)*MIN(K$3-$O$2,$Q$2)/$Q$2))</f>
        <v>9238.24268887826</v>
      </c>
      <c r="L21" s="15" t="n">
        <f aca="false">K21*(1+IF(L$3&lt;=$O$2,$D21,$D21-($D21-$I$6)*MIN(L$3-$O$2,$Q$2)/$Q$2))</f>
        <v>9683.91590528006</v>
      </c>
      <c r="M21" s="15" t="n">
        <f aca="false">L21*(1+IF(M$3&lt;=$O$2,$D21,$D21-($D21-$I$6)*MIN(M$3-$O$2,$Q$2)/$Q$2))</f>
        <v>10054.5300533276</v>
      </c>
      <c r="N21" s="15" t="n">
        <f aca="false">M21*(1+IF(N$3&lt;=$O$2,$D21,$D21-($D21-$I$6)*MIN(N$3-$O$2,$Q$2)/$Q$2))</f>
        <v>10339.0732538368</v>
      </c>
      <c r="O21" s="15" t="n">
        <f aca="false">SUMPRODUCT(E21:N21,1/(1+$F$6)^$E$3:$N$3)*$E$2</f>
        <v>20927.7782898649</v>
      </c>
      <c r="P21" s="15" t="n">
        <f aca="false">N21*$E$2*(1+$I$6)/($F$6-$I$6)/(1+$F$6)^$N$3</f>
        <v>40068.664371313</v>
      </c>
      <c r="Q21" s="15" t="n">
        <f aca="false">O21+P21</f>
        <v>60996.4426611778</v>
      </c>
      <c r="R21" s="15" t="n">
        <f aca="false">Q21-$G$2+$I$2</f>
        <v>52231.4426611778</v>
      </c>
      <c r="S21" s="40" t="n">
        <f aca="false">R21/$K$2</f>
        <v>93.4406287544775</v>
      </c>
      <c r="T21" s="41" t="n">
        <f aca="false">S21-$M$2</f>
        <v>-0.0331985738705782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0.078155517578125</v>
      </c>
      <c r="C22" s="25" t="n">
        <f aca="false">IF(T21&gt;0,D21,C21)</f>
        <v>0.0782470703125</v>
      </c>
      <c r="D22" s="39" t="n">
        <f aca="false">(B22+C22)/2</f>
        <v>0.0782012939453125</v>
      </c>
      <c r="E22" s="15" t="n">
        <f aca="false">$C$2*(1+IF(E$3&lt;=$O$2,$D22,$D22-($D22-$I$6)*MIN(E$3-$O$2,$Q$2)/$Q$2))</f>
        <v>6048.7092590332</v>
      </c>
      <c r="F22" s="15" t="n">
        <f aca="false">E22*(1+IF(F$3&lt;=$O$2,$D22,$D22-($D22-$I$6)*MIN(F$3-$O$2,$Q$2)/$Q$2))</f>
        <v>6521.72614978859</v>
      </c>
      <c r="G22" s="15" t="n">
        <f aca="false">F22*(1+IF(G$3&lt;=$O$2,$D22,$D22-($D22-$I$6)*MIN(G$3-$O$2,$Q$2)/$Q$2))</f>
        <v>7031.73357345904</v>
      </c>
      <c r="H22" s="15" t="n">
        <f aca="false">G22*(1+IF(H$3&lt;=$O$2,$D22,$D22-($D22-$I$6)*MIN(H$3-$O$2,$Q$2)/$Q$2))</f>
        <v>7581.62423758223</v>
      </c>
      <c r="I22" s="15" t="n">
        <f aca="false">H22*(1+IF(I$3&lt;=$O$2,$D22,$D22-($D22-$I$6)*MIN(I$3-$O$2,$Q$2)/$Q$2))</f>
        <v>8174.51706316831</v>
      </c>
      <c r="J22" s="15" t="n">
        <f aca="false">I22*(1+IF(J$3&lt;=$O$2,$D22,$D22-($D22-$I$6)*MIN(J$3-$O$2,$Q$2)/$Q$2))</f>
        <v>8732.19107912008</v>
      </c>
      <c r="K22" s="15" t="n">
        <f aca="false">J22*(1+IF(K$3&lt;=$O$2,$D22,$D22-($D22-$I$6)*MIN(K$3-$O$2,$Q$2)/$Q$2))</f>
        <v>9240.76066695466</v>
      </c>
      <c r="L22" s="15" t="n">
        <f aca="false">K22*(1+IF(L$3&lt;=$O$2,$D22,$D22-($D22-$I$6)*MIN(L$3-$O$2,$Q$2)/$Q$2))</f>
        <v>9686.72455955747</v>
      </c>
      <c r="M22" s="15" t="n">
        <f aca="false">L22*(1+IF(M$3&lt;=$O$2,$D22,$D22-($D22-$I$6)*MIN(M$3-$O$2,$Q$2)/$Q$2))</f>
        <v>10057.5348825157</v>
      </c>
      <c r="N22" s="15" t="n">
        <f aca="false">M22*(1+IF(N$3&lt;=$O$2,$D22,$D22-($D22-$I$6)*MIN(N$3-$O$2,$Q$2)/$Q$2))</f>
        <v>10342.1631196909</v>
      </c>
      <c r="O22" s="15" t="n">
        <f aca="false">SUMPRODUCT(E22:N22,1/(1+$F$6)^$E$3:$N$3)*$E$2</f>
        <v>20932.0021481611</v>
      </c>
      <c r="P22" s="15" t="n">
        <f aca="false">N22*$E$2*(1+$I$6)/($F$6-$I$6)/(1+$F$6)^$N$3</f>
        <v>40080.6390226981</v>
      </c>
      <c r="Q22" s="15" t="n">
        <f aca="false">O22+P22</f>
        <v>61012.6411708592</v>
      </c>
      <c r="R22" s="15" t="n">
        <f aca="false">Q22-$G$2+$I$2</f>
        <v>52247.6411708592</v>
      </c>
      <c r="S22" s="40" t="n">
        <f aca="false">R22/$K$2</f>
        <v>93.4696074472417</v>
      </c>
      <c r="T22" s="41" t="n">
        <f aca="false">S22-$M$2</f>
        <v>-0.0042198811063372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0.0782012939453125</v>
      </c>
      <c r="C23" s="25" t="n">
        <f aca="false">IF(T22&gt;0,D22,C22)</f>
        <v>0.0782470703125</v>
      </c>
      <c r="D23" s="39" t="n">
        <f aca="false">(B23+C23)/2</f>
        <v>0.0782241821289063</v>
      </c>
      <c r="E23" s="15" t="n">
        <f aca="false">$C$2*(1+IF(E$3&lt;=$O$2,$D23,$D23-($D23-$I$6)*MIN(E$3-$O$2,$Q$2)/$Q$2))</f>
        <v>6048.83766174316</v>
      </c>
      <c r="F23" s="15" t="n">
        <f aca="false">E23*(1+IF(F$3&lt;=$O$2,$D23,$D23-($D23-$I$6)*MIN(F$3-$O$2,$Q$2)/$Q$2))</f>
        <v>6522.00304066355</v>
      </c>
      <c r="G23" s="15" t="n">
        <f aca="false">F23*(1+IF(G$3&lt;=$O$2,$D23,$D23-($D23-$I$6)*MIN(G$3-$O$2,$Q$2)/$Q$2))</f>
        <v>7032.18139436169</v>
      </c>
      <c r="H23" s="15" t="n">
        <f aca="false">G23*(1+IF(H$3&lt;=$O$2,$D23,$D23-($D23-$I$6)*MIN(H$3-$O$2,$Q$2)/$Q$2))</f>
        <v>7582.26803251775</v>
      </c>
      <c r="I23" s="15" t="n">
        <f aca="false">H23*(1+IF(I$3&lt;=$O$2,$D23,$D23-($D23-$I$6)*MIN(I$3-$O$2,$Q$2)/$Q$2))</f>
        <v>8175.3847480436</v>
      </c>
      <c r="J23" s="15" t="n">
        <f aca="false">I23*(1+IF(J$3&lt;=$O$2,$D23,$D23-($D23-$I$6)*MIN(J$3-$O$2,$Q$2)/$Q$2))</f>
        <v>8733.2676541214</v>
      </c>
      <c r="K23" s="15" t="n">
        <f aca="false">J23*(1+IF(K$3&lt;=$O$2,$D23,$D23-($D23-$I$6)*MIN(K$3-$O$2,$Q$2)/$Q$2))</f>
        <v>9242.01987569995</v>
      </c>
      <c r="L23" s="15" t="n">
        <f aca="false">K23*(1+IF(L$3&lt;=$O$2,$D23,$D23-($D23-$I$6)*MIN(L$3-$O$2,$Q$2)/$Q$2))</f>
        <v>9688.12915158762</v>
      </c>
      <c r="M23" s="15" t="n">
        <f aca="false">L23*(1+IF(M$3&lt;=$O$2,$D23,$D23-($D23-$I$6)*MIN(M$3-$O$2,$Q$2)/$Q$2))</f>
        <v>10059.037591428</v>
      </c>
      <c r="N23" s="15" t="n">
        <f aca="false">M23*(1+IF(N$3&lt;=$O$2,$D23,$D23-($D23-$I$6)*MIN(N$3-$O$2,$Q$2)/$Q$2))</f>
        <v>10343.7083552654</v>
      </c>
      <c r="O23" s="15" t="n">
        <f aca="false">SUMPRODUCT(E23:N23,1/(1+$F$6)^$E$3:$N$3)*$E$2</f>
        <v>20934.1143955225</v>
      </c>
      <c r="P23" s="15" t="n">
        <f aca="false">N23*$E$2*(1+$I$6)/($F$6-$I$6)/(1+$F$6)^$N$3</f>
        <v>40086.6275212888</v>
      </c>
      <c r="Q23" s="15" t="n">
        <f aca="false">O23+P23</f>
        <v>61020.7419168113</v>
      </c>
      <c r="R23" s="15" t="n">
        <f aca="false">Q23-$G$2+$I$2</f>
        <v>52255.7419168113</v>
      </c>
      <c r="S23" s="40" t="n">
        <f aca="false">R23/$K$2</f>
        <v>93.4840994611817</v>
      </c>
      <c r="T23" s="41" t="n">
        <f aca="false">S23-$M$2</f>
        <v>0.0102721328335775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0.0782012939453125</v>
      </c>
      <c r="C24" s="25" t="n">
        <f aca="false">IF(T23&gt;0,D23,C23)</f>
        <v>0.0782241821289063</v>
      </c>
      <c r="D24" s="39" t="n">
        <f aca="false">(B24+C24)/2</f>
        <v>0.0782127380371094</v>
      </c>
      <c r="E24" s="15" t="n">
        <f aca="false">$C$2*(1+IF(E$3&lt;=$O$2,$D24,$D24-($D24-$I$6)*MIN(E$3-$O$2,$Q$2)/$Q$2))</f>
        <v>6048.77346038818</v>
      </c>
      <c r="F24" s="15" t="n">
        <f aca="false">E24*(1+IF(F$3&lt;=$O$2,$D24,$D24-($D24-$I$6)*MIN(F$3-$O$2,$Q$2)/$Q$2))</f>
        <v>6521.86459449134</v>
      </c>
      <c r="G24" s="15" t="n">
        <f aca="false">F24*(1+IF(G$3&lt;=$O$2,$D24,$D24-($D24-$I$6)*MIN(G$3-$O$2,$Q$2)/$Q$2))</f>
        <v>7031.9574815338</v>
      </c>
      <c r="H24" s="15" t="n">
        <f aca="false">G24*(1+IF(H$3&lt;=$O$2,$D24,$D24-($D24-$I$6)*MIN(H$3-$O$2,$Q$2)/$Q$2))</f>
        <v>7581.94612992509</v>
      </c>
      <c r="I24" s="15" t="n">
        <f aca="false">H24*(1+IF(I$3&lt;=$O$2,$D24,$D24-($D24-$I$6)*MIN(I$3-$O$2,$Q$2)/$Q$2))</f>
        <v>8174.9508963964</v>
      </c>
      <c r="J24" s="15" t="n">
        <f aca="false">I24*(1+IF(J$3&lt;=$O$2,$D24,$D24-($D24-$I$6)*MIN(J$3-$O$2,$Q$2)/$Q$2))</f>
        <v>8732.72935281087</v>
      </c>
      <c r="K24" s="15" t="n">
        <f aca="false">J24*(1+IF(K$3&lt;=$O$2,$D24,$D24-($D24-$I$6)*MIN(K$3-$O$2,$Q$2)/$Q$2))</f>
        <v>9241.39025301691</v>
      </c>
      <c r="L24" s="15" t="n">
        <f aca="false">K24*(1+IF(L$3&lt;=$O$2,$D24,$D24-($D24-$I$6)*MIN(L$3-$O$2,$Q$2)/$Q$2))</f>
        <v>9687.4268334963</v>
      </c>
      <c r="M24" s="15" t="n">
        <f aca="false">L24*(1+IF(M$3&lt;=$O$2,$D24,$D24-($D24-$I$6)*MIN(M$3-$O$2,$Q$2)/$Q$2))</f>
        <v>10058.286212443</v>
      </c>
      <c r="N24" s="15" t="n">
        <f aca="false">M24*(1+IF(N$3&lt;=$O$2,$D24,$D24-($D24-$I$6)*MIN(N$3-$O$2,$Q$2)/$Q$2))</f>
        <v>10342.9357122552</v>
      </c>
      <c r="O24" s="15" t="n">
        <f aca="false">SUMPRODUCT(E24:N24,1/(1+$F$6)^$E$3:$N$3)*$E$2</f>
        <v>20933.058245322</v>
      </c>
      <c r="P24" s="15" t="n">
        <f aca="false">N24*$E$2*(1+$I$6)/($F$6-$I$6)/(1+$F$6)^$N$3</f>
        <v>40083.6331742428</v>
      </c>
      <c r="Q24" s="15" t="n">
        <f aca="false">O24+P24</f>
        <v>61016.6914195648</v>
      </c>
      <c r="R24" s="15" t="n">
        <f aca="false">Q24-$G$2+$I$2</f>
        <v>52251.6914195648</v>
      </c>
      <c r="S24" s="40" t="n">
        <f aca="false">R24/$K$2</f>
        <v>93.4768532318952</v>
      </c>
      <c r="T24" s="41" t="n">
        <f aca="false">S24-$M$2</f>
        <v>0.00302590354715449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0.0782012939453125</v>
      </c>
      <c r="C25" s="25" t="n">
        <f aca="false">IF(T24&gt;0,D24,C24)</f>
        <v>0.0782127380371094</v>
      </c>
      <c r="D25" s="39" t="n">
        <f aca="false">(B25+C25)/2</f>
        <v>0.0782070159912109</v>
      </c>
      <c r="E25" s="15" t="n">
        <f aca="false">$C$2*(1+IF(E$3&lt;=$O$2,$D25,$D25-($D25-$I$6)*MIN(E$3-$O$2,$Q$2)/$Q$2))</f>
        <v>6048.74135971069</v>
      </c>
      <c r="F25" s="15" t="n">
        <f aca="false">E25*(1+IF(F$3&lt;=$O$2,$D25,$D25-($D25-$I$6)*MIN(F$3-$O$2,$Q$2)/$Q$2))</f>
        <v>6521.79537195629</v>
      </c>
      <c r="G25" s="15" t="n">
        <f aca="false">F25*(1+IF(G$3&lt;=$O$2,$D25,$D25-($D25-$I$6)*MIN(G$3-$O$2,$Q$2)/$Q$2))</f>
        <v>7031.84552690228</v>
      </c>
      <c r="H25" s="15" t="n">
        <f aca="false">G25*(1+IF(H$3&lt;=$O$2,$D25,$D25-($D25-$I$6)*MIN(H$3-$O$2,$Q$2)/$Q$2))</f>
        <v>7581.78518247245</v>
      </c>
      <c r="I25" s="15" t="n">
        <f aca="false">H25*(1+IF(I$3&lt;=$O$2,$D25,$D25-($D25-$I$6)*MIN(I$3-$O$2,$Q$2)/$Q$2))</f>
        <v>8174.73397748</v>
      </c>
      <c r="J25" s="15" t="n">
        <f aca="false">I25*(1+IF(J$3&lt;=$O$2,$D25,$D25-($D25-$I$6)*MIN(J$3-$O$2,$Q$2)/$Q$2))</f>
        <v>8732.46021251307</v>
      </c>
      <c r="K25" s="15" t="n">
        <f aca="false">J25*(1+IF(K$3&lt;=$O$2,$D25,$D25-($D25-$I$6)*MIN(K$3-$O$2,$Q$2)/$Q$2))</f>
        <v>9241.0754554083</v>
      </c>
      <c r="L25" s="15" t="n">
        <f aca="false">K25*(1+IF(L$3&lt;=$O$2,$D25,$D25-($D25-$I$6)*MIN(L$3-$O$2,$Q$2)/$Q$2))</f>
        <v>9687.07569100797</v>
      </c>
      <c r="M25" s="15" t="n">
        <f aca="false">L25*(1+IF(M$3&lt;=$O$2,$D25,$D25-($D25-$I$6)*MIN(M$3-$O$2,$Q$2)/$Q$2))</f>
        <v>10057.9105413473</v>
      </c>
      <c r="N25" s="15" t="n">
        <f aca="false">M25*(1+IF(N$3&lt;=$O$2,$D25,$D25-($D25-$I$6)*MIN(N$3-$O$2,$Q$2)/$Q$2))</f>
        <v>10342.5494096675</v>
      </c>
      <c r="O25" s="15" t="n">
        <f aca="false">SUMPRODUCT(E25:N25,1/(1+$F$6)^$E$3:$N$3)*$E$2</f>
        <v>20932.5301901117</v>
      </c>
      <c r="P25" s="15" t="n">
        <f aca="false">N25*$E$2*(1+$I$6)/($F$6-$I$6)/(1+$F$6)^$N$3</f>
        <v>40082.1360740335</v>
      </c>
      <c r="Q25" s="15" t="n">
        <f aca="false">O25+P25</f>
        <v>61014.6662641452</v>
      </c>
      <c r="R25" s="15" t="n">
        <f aca="false">Q25-$G$2+$I$2</f>
        <v>52249.6662641452</v>
      </c>
      <c r="S25" s="40" t="n">
        <f aca="false">R25/$K$2</f>
        <v>93.4732302839908</v>
      </c>
      <c r="T25" s="41" t="n">
        <f aca="false">S25-$M$2</f>
        <v>-0.000597044357249388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0.0782070159912109</v>
      </c>
      <c r="C26" s="25" t="n">
        <f aca="false">IF(T25&gt;0,D25,C25)</f>
        <v>0.0782127380371094</v>
      </c>
      <c r="D26" s="39" t="n">
        <f aca="false">(B26+C26)/2</f>
        <v>0.0782098770141602</v>
      </c>
      <c r="E26" s="15" t="n">
        <f aca="false">$C$2*(1+IF(E$3&lt;=$O$2,$D26,$D26-($D26-$I$6)*MIN(E$3-$O$2,$Q$2)/$Q$2))</f>
        <v>6048.75741004944</v>
      </c>
      <c r="F26" s="15" t="n">
        <f aca="false">E26*(1+IF(F$3&lt;=$O$2,$D26,$D26-($D26-$I$6)*MIN(F$3-$O$2,$Q$2)/$Q$2))</f>
        <v>6521.8299831779</v>
      </c>
      <c r="G26" s="15" t="n">
        <f aca="false">F26*(1+IF(G$3&lt;=$O$2,$D26,$D26-($D26-$I$6)*MIN(G$3-$O$2,$Q$2)/$Q$2))</f>
        <v>7031.9015040695</v>
      </c>
      <c r="H26" s="15" t="n">
        <f aca="false">G26*(1+IF(H$3&lt;=$O$2,$D26,$D26-($D26-$I$6)*MIN(H$3-$O$2,$Q$2)/$Q$2))</f>
        <v>7581.86565587846</v>
      </c>
      <c r="I26" s="15" t="n">
        <f aca="false">H26*(1+IF(I$3&lt;=$O$2,$D26,$D26-($D26-$I$6)*MIN(I$3-$O$2,$Q$2)/$Q$2))</f>
        <v>8174.8424363626</v>
      </c>
      <c r="J26" s="15" t="n">
        <f aca="false">I26*(1+IF(J$3&lt;=$O$2,$D26,$D26-($D26-$I$6)*MIN(J$3-$O$2,$Q$2)/$Q$2))</f>
        <v>8732.59478179886</v>
      </c>
      <c r="K26" s="15" t="n">
        <f aca="false">J26*(1+IF(K$3&lt;=$O$2,$D26,$D26-($D26-$I$6)*MIN(K$3-$O$2,$Q$2)/$Q$2))</f>
        <v>9241.23285306822</v>
      </c>
      <c r="L26" s="15" t="n">
        <f aca="false">K26*(1+IF(L$3&lt;=$O$2,$D26,$D26-($D26-$I$6)*MIN(L$3-$O$2,$Q$2)/$Q$2))</f>
        <v>9687.25126087239</v>
      </c>
      <c r="M26" s="15" t="n">
        <f aca="false">L26*(1+IF(M$3&lt;=$O$2,$D26,$D26-($D26-$I$6)*MIN(M$3-$O$2,$Q$2)/$Q$2))</f>
        <v>10058.0983753622</v>
      </c>
      <c r="N26" s="15" t="n">
        <f aca="false">M26*(1+IF(N$3&lt;=$O$2,$D26,$D26-($D26-$I$6)*MIN(N$3-$O$2,$Q$2)/$Q$2))</f>
        <v>10342.7425593849</v>
      </c>
      <c r="O26" s="15" t="n">
        <f aca="false">SUMPRODUCT(E26:N26,1/(1+$F$6)^$E$3:$N$3)*$E$2</f>
        <v>20932.7942160594</v>
      </c>
      <c r="P26" s="15" t="n">
        <f aca="false">N26*$E$2*(1+$I$6)/($F$6-$I$6)/(1+$F$6)^$N$3</f>
        <v>40082.8846180288</v>
      </c>
      <c r="Q26" s="15" t="n">
        <f aca="false">O26+P26</f>
        <v>61015.6788340882</v>
      </c>
      <c r="R26" s="15" t="n">
        <f aca="false">Q26-$G$2+$I$2</f>
        <v>52250.6788340882</v>
      </c>
      <c r="S26" s="40" t="n">
        <f aca="false">R26/$K$2</f>
        <v>93.4750417440484</v>
      </c>
      <c r="T26" s="41" t="n">
        <f aca="false">S26-$M$2</f>
        <v>0.00121441570036041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0.0782070159912109</v>
      </c>
      <c r="C27" s="25" t="n">
        <f aca="false">IF(T26&gt;0,D26,C26)</f>
        <v>0.0782098770141602</v>
      </c>
      <c r="D27" s="39" t="n">
        <f aca="false">(B27+C27)/2</f>
        <v>0.0782084465026856</v>
      </c>
      <c r="E27" s="15" t="n">
        <f aca="false">$C$2*(1+IF(E$3&lt;=$O$2,$D27,$D27-($D27-$I$6)*MIN(E$3-$O$2,$Q$2)/$Q$2))</f>
        <v>6048.74938488007</v>
      </c>
      <c r="F27" s="15" t="n">
        <f aca="false">E27*(1+IF(F$3&lt;=$O$2,$D27,$D27-($D27-$I$6)*MIN(F$3-$O$2,$Q$2)/$Q$2))</f>
        <v>6521.81267755561</v>
      </c>
      <c r="G27" s="15" t="n">
        <f aca="false">F27*(1+IF(G$3&lt;=$O$2,$D27,$D27-($D27-$I$6)*MIN(G$3-$O$2,$Q$2)/$Q$2))</f>
        <v>7031.87351544876</v>
      </c>
      <c r="H27" s="15" t="n">
        <f aca="false">G27*(1+IF(H$3&lt;=$O$2,$D27,$D27-($D27-$I$6)*MIN(H$3-$O$2,$Q$2)/$Q$2))</f>
        <v>7581.82541909538</v>
      </c>
      <c r="I27" s="15" t="n">
        <f aca="false">H27*(1+IF(I$3&lt;=$O$2,$D27,$D27-($D27-$I$6)*MIN(I$3-$O$2,$Q$2)/$Q$2))</f>
        <v>8174.7882067774</v>
      </c>
      <c r="J27" s="15" t="n">
        <f aca="false">I27*(1+IF(J$3&lt;=$O$2,$D27,$D27-($D27-$I$6)*MIN(J$3-$O$2,$Q$2)/$Q$2))</f>
        <v>8732.52749694019</v>
      </c>
      <c r="K27" s="15" t="n">
        <f aca="false">J27*(1+IF(K$3&lt;=$O$2,$D27,$D27-($D27-$I$6)*MIN(K$3-$O$2,$Q$2)/$Q$2))</f>
        <v>9241.15415395216</v>
      </c>
      <c r="L27" s="15" t="n">
        <f aca="false">K27*(1+IF(L$3&lt;=$O$2,$D27,$D27-($D27-$I$6)*MIN(L$3-$O$2,$Q$2)/$Q$2))</f>
        <v>9687.16347559524</v>
      </c>
      <c r="M27" s="15" t="n">
        <f aca="false">L27*(1+IF(M$3&lt;=$O$2,$D27,$D27-($D27-$I$6)*MIN(M$3-$O$2,$Q$2)/$Q$2))</f>
        <v>10058.0044579715</v>
      </c>
      <c r="N27" s="15" t="n">
        <f aca="false">M27*(1+IF(N$3&lt;=$O$2,$D27,$D27-($D27-$I$6)*MIN(N$3-$O$2,$Q$2)/$Q$2))</f>
        <v>10342.6459841321</v>
      </c>
      <c r="O27" s="15" t="n">
        <f aca="false">SUMPRODUCT(E27:N27,1/(1+$F$6)^$E$3:$N$3)*$E$2</f>
        <v>20932.6622026712</v>
      </c>
      <c r="P27" s="15" t="n">
        <f aca="false">N27*$E$2*(1+$I$6)/($F$6-$I$6)/(1+$F$6)^$N$3</f>
        <v>40082.5103445038</v>
      </c>
      <c r="Q27" s="15" t="n">
        <f aca="false">O27+P27</f>
        <v>61015.172547175</v>
      </c>
      <c r="R27" s="15" t="n">
        <f aca="false">Q27-$G$2+$I$2</f>
        <v>52250.172547175</v>
      </c>
      <c r="S27" s="40" t="n">
        <f aca="false">R27/$K$2</f>
        <v>93.474136010546</v>
      </c>
      <c r="T27" s="41" t="n">
        <f aca="false">S27-$M$2</f>
        <v>0.000308682197911025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0.0782070159912109</v>
      </c>
      <c r="C28" s="25" t="n">
        <f aca="false">IF(T27&gt;0,D27,C27)</f>
        <v>0.0782084465026856</v>
      </c>
      <c r="D28" s="39" t="n">
        <f aca="false">(B28+C28)/2</f>
        <v>0.0782077312469482</v>
      </c>
      <c r="E28" s="15" t="n">
        <f aca="false">$C$2*(1+IF(E$3&lt;=$O$2,$D28,$D28-($D28-$I$6)*MIN(E$3-$O$2,$Q$2)/$Q$2))</f>
        <v>6048.74537229538</v>
      </c>
      <c r="F28" s="15" t="n">
        <f aca="false">E28*(1+IF(F$3&lt;=$O$2,$D28,$D28-($D28-$I$6)*MIN(F$3-$O$2,$Q$2)/$Q$2))</f>
        <v>6521.80402475308</v>
      </c>
      <c r="G28" s="15" t="n">
        <f aca="false">F28*(1+IF(G$3&lt;=$O$2,$D28,$D28-($D28-$I$6)*MIN(G$3-$O$2,$Q$2)/$Q$2))</f>
        <v>7031.85952116623</v>
      </c>
      <c r="H28" s="15" t="n">
        <f aca="false">G28*(1+IF(H$3&lt;=$O$2,$D28,$D28-($D28-$I$6)*MIN(H$3-$O$2,$Q$2)/$Q$2))</f>
        <v>7581.8053007639</v>
      </c>
      <c r="I28" s="15" t="n">
        <f aca="false">H28*(1+IF(I$3&lt;=$O$2,$D28,$D28-($D28-$I$6)*MIN(I$3-$O$2,$Q$2)/$Q$2))</f>
        <v>8174.76109209273</v>
      </c>
      <c r="J28" s="15" t="n">
        <f aca="false">I28*(1+IF(J$3&lt;=$O$2,$D28,$D28-($D28-$I$6)*MIN(J$3-$O$2,$Q$2)/$Q$2))</f>
        <v>8732.49385467269</v>
      </c>
      <c r="K28" s="15" t="n">
        <f aca="false">J28*(1+IF(K$3&lt;=$O$2,$D28,$D28-($D28-$I$6)*MIN(K$3-$O$2,$Q$2)/$Q$2))</f>
        <v>9241.1148046087</v>
      </c>
      <c r="L28" s="15" t="n">
        <f aca="false">K28*(1+IF(L$3&lt;=$O$2,$D28,$D28-($D28-$I$6)*MIN(L$3-$O$2,$Q$2)/$Q$2))</f>
        <v>9687.11958321537</v>
      </c>
      <c r="M28" s="15" t="n">
        <f aca="false">L28*(1+IF(M$3&lt;=$O$2,$D28,$D28-($D28-$I$6)*MIN(M$3-$O$2,$Q$2)/$Q$2))</f>
        <v>10057.9574995636</v>
      </c>
      <c r="N28" s="15" t="n">
        <f aca="false">M28*(1+IF(N$3&lt;=$O$2,$D28,$D28-($D28-$I$6)*MIN(N$3-$O$2,$Q$2)/$Q$2))</f>
        <v>10342.5976968013</v>
      </c>
      <c r="O28" s="15" t="n">
        <f aca="false">SUMPRODUCT(E28:N28,1/(1+$F$6)^$E$3:$N$3)*$E$2</f>
        <v>20932.5961962879</v>
      </c>
      <c r="P28" s="15" t="n">
        <f aca="false">N28*$E$2*(1+$I$6)/($F$6-$I$6)/(1+$F$6)^$N$3</f>
        <v>40082.3232088868</v>
      </c>
      <c r="Q28" s="15" t="n">
        <f aca="false">O28+P28</f>
        <v>61014.9194051747</v>
      </c>
      <c r="R28" s="15" t="n">
        <f aca="false">Q28-$G$2+$I$2</f>
        <v>52249.9194051747</v>
      </c>
      <c r="S28" s="40" t="n">
        <f aca="false">R28/$K$2</f>
        <v>93.4736831464</v>
      </c>
      <c r="T28" s="41" t="n">
        <f aca="false">S28-$M$2</f>
        <v>-0.000144181948058986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0.0782077312469482</v>
      </c>
      <c r="C29" s="25" t="n">
        <f aca="false">IF(T28&gt;0,D28,C28)</f>
        <v>0.0782084465026856</v>
      </c>
      <c r="D29" s="39" t="n">
        <f aca="false">(B29+C29)/2</f>
        <v>0.0782080888748169</v>
      </c>
      <c r="E29" s="15" t="n">
        <f aca="false">$C$2*(1+IF(E$3&lt;=$O$2,$D29,$D29-($D29-$I$6)*MIN(E$3-$O$2,$Q$2)/$Q$2))</f>
        <v>6048.74737858772</v>
      </c>
      <c r="F29" s="15" t="n">
        <f aca="false">E29*(1+IF(F$3&lt;=$O$2,$D29,$D29-($D29-$I$6)*MIN(F$3-$O$2,$Q$2)/$Q$2))</f>
        <v>6521.80835115363</v>
      </c>
      <c r="G29" s="15" t="n">
        <f aca="false">F29*(1+IF(G$3&lt;=$O$2,$D29,$D29-($D29-$I$6)*MIN(G$3-$O$2,$Q$2)/$Q$2))</f>
        <v>7031.86651830517</v>
      </c>
      <c r="H29" s="15" t="n">
        <f aca="false">G29*(1+IF(H$3&lt;=$O$2,$D29,$D29-($D29-$I$6)*MIN(H$3-$O$2,$Q$2)/$Q$2))</f>
        <v>7581.81535992463</v>
      </c>
      <c r="I29" s="15" t="n">
        <f aca="false">H29*(1+IF(I$3&lt;=$O$2,$D29,$D29-($D29-$I$6)*MIN(I$3-$O$2,$Q$2)/$Q$2))</f>
        <v>8174.77464942607</v>
      </c>
      <c r="J29" s="15" t="n">
        <f aca="false">I29*(1+IF(J$3&lt;=$O$2,$D29,$D29-($D29-$I$6)*MIN(J$3-$O$2,$Q$2)/$Q$2))</f>
        <v>8732.51067579295</v>
      </c>
      <c r="K29" s="15" t="n">
        <f aca="false">J29*(1+IF(K$3&lt;=$O$2,$D29,$D29-($D29-$I$6)*MIN(K$3-$O$2,$Q$2)/$Q$2))</f>
        <v>9241.13447926255</v>
      </c>
      <c r="L29" s="15" t="n">
        <f aca="false">K29*(1+IF(L$3&lt;=$O$2,$D29,$D29-($D29-$I$6)*MIN(L$3-$O$2,$Q$2)/$Q$2))</f>
        <v>9687.14152938375</v>
      </c>
      <c r="M29" s="15" t="n">
        <f aca="false">L29*(1+IF(M$3&lt;=$O$2,$D29,$D29-($D29-$I$6)*MIN(M$3-$O$2,$Q$2)/$Q$2))</f>
        <v>10057.9809787436</v>
      </c>
      <c r="N29" s="15" t="n">
        <f aca="false">M29*(1+IF(N$3&lt;=$O$2,$D29,$D29-($D29-$I$6)*MIN(N$3-$O$2,$Q$2)/$Q$2))</f>
        <v>10342.621840442</v>
      </c>
      <c r="O29" s="15" t="n">
        <f aca="false">SUMPRODUCT(E29:N29,1/(1+$F$6)^$E$3:$N$3)*$E$2</f>
        <v>20932.6291994536</v>
      </c>
      <c r="P29" s="15" t="n">
        <f aca="false">N29*$E$2*(1+$I$6)/($F$6-$I$6)/(1+$F$6)^$N$3</f>
        <v>40082.4167765998</v>
      </c>
      <c r="Q29" s="15" t="n">
        <f aca="false">O29+P29</f>
        <v>61015.0459760535</v>
      </c>
      <c r="R29" s="15" t="n">
        <f aca="false">Q29-$G$2+$I$2</f>
        <v>52250.0459760535</v>
      </c>
      <c r="S29" s="40" t="n">
        <f aca="false">R29/$K$2</f>
        <v>93.4739095782559</v>
      </c>
      <c r="T29" s="41" t="n">
        <f aca="false">S29-$M$2</f>
        <v>8.2249907819687E-005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0.0782077312469482</v>
      </c>
      <c r="C30" s="25" t="n">
        <f aca="false">IF(T29&gt;0,D29,C29)</f>
        <v>0.0782080888748169</v>
      </c>
      <c r="D30" s="39" t="n">
        <f aca="false">(B30+C30)/2</f>
        <v>0.0782079100608826</v>
      </c>
      <c r="E30" s="15" t="n">
        <f aca="false">$C$2*(1+IF(E$3&lt;=$O$2,$D30,$D30-($D30-$I$6)*MIN(E$3-$O$2,$Q$2)/$Q$2))</f>
        <v>6048.74637544155</v>
      </c>
      <c r="F30" s="15" t="n">
        <f aca="false">E30*(1+IF(F$3&lt;=$O$2,$D30,$D30-($D30-$I$6)*MIN(F$3-$O$2,$Q$2)/$Q$2))</f>
        <v>6521.80618795317</v>
      </c>
      <c r="G30" s="15" t="n">
        <f aca="false">F30*(1+IF(G$3&lt;=$O$2,$D30,$D30-($D30-$I$6)*MIN(G$3-$O$2,$Q$2)/$Q$2))</f>
        <v>7031.86301973512</v>
      </c>
      <c r="H30" s="15" t="n">
        <f aca="false">G30*(1+IF(H$3&lt;=$O$2,$D30,$D30-($D30-$I$6)*MIN(H$3-$O$2,$Q$2)/$Q$2))</f>
        <v>7581.81033034301</v>
      </c>
      <c r="I30" s="15" t="n">
        <f aca="false">H30*(1+IF(I$3&lt;=$O$2,$D30,$D30-($D30-$I$6)*MIN(I$3-$O$2,$Q$2)/$Q$2))</f>
        <v>8174.76787075715</v>
      </c>
      <c r="J30" s="15" t="n">
        <f aca="false">I30*(1+IF(J$3&lt;=$O$2,$D30,$D30-($D30-$I$6)*MIN(J$3-$O$2,$Q$2)/$Q$2))</f>
        <v>8732.50226522945</v>
      </c>
      <c r="K30" s="15" t="n">
        <f aca="false">J30*(1+IF(K$3&lt;=$O$2,$D30,$D30-($D30-$I$6)*MIN(K$3-$O$2,$Q$2)/$Q$2))</f>
        <v>9241.12464193116</v>
      </c>
      <c r="L30" s="15" t="n">
        <f aca="false">K30*(1+IF(L$3&lt;=$O$2,$D30,$D30-($D30-$I$6)*MIN(L$3-$O$2,$Q$2)/$Q$2))</f>
        <v>9687.13055629417</v>
      </c>
      <c r="M30" s="15" t="n">
        <f aca="false">L30*(1+IF(M$3&lt;=$O$2,$D30,$D30-($D30-$I$6)*MIN(M$3-$O$2,$Q$2)/$Q$2))</f>
        <v>10057.9692391476</v>
      </c>
      <c r="N30" s="15" t="n">
        <f aca="false">M30*(1+IF(N$3&lt;=$O$2,$D30,$D30-($D30-$I$6)*MIN(N$3-$O$2,$Q$2)/$Q$2))</f>
        <v>10342.6097686155</v>
      </c>
      <c r="O30" s="15" t="n">
        <f aca="false">SUMPRODUCT(E30:N30,1/(1+$F$6)^$E$3:$N$3)*$E$2</f>
        <v>20932.6126978643</v>
      </c>
      <c r="P30" s="15" t="n">
        <f aca="false">N30*$E$2*(1+$I$6)/($F$6-$I$6)/(1+$F$6)^$N$3</f>
        <v>40082.3699927195</v>
      </c>
      <c r="Q30" s="15" t="n">
        <f aca="false">O30+P30</f>
        <v>61014.9826905838</v>
      </c>
      <c r="R30" s="15" t="n">
        <f aca="false">Q30-$G$2+$I$2</f>
        <v>52249.9826905838</v>
      </c>
      <c r="S30" s="40" t="n">
        <f aca="false">R30/$K$2</f>
        <v>93.4737963622737</v>
      </c>
      <c r="T30" s="41" t="n">
        <f aca="false">S30-$M$2</f>
        <v>-3.09660743766926E-005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0.0782079100608826</v>
      </c>
      <c r="C31" s="25" t="n">
        <f aca="false">IF(T30&gt;0,D30,C30)</f>
        <v>0.0782080888748169</v>
      </c>
      <c r="D31" s="39" t="n">
        <f aca="false">(B31+C31)/2</f>
        <v>0.0782079994678497</v>
      </c>
      <c r="E31" s="15" t="n">
        <f aca="false">$C$2*(1+IF(E$3&lt;=$O$2,$D31,$D31-($D31-$I$6)*MIN(E$3-$O$2,$Q$2)/$Q$2))</f>
        <v>6048.74687701464</v>
      </c>
      <c r="F31" s="15" t="n">
        <f aca="false">E31*(1+IF(F$3&lt;=$O$2,$D31,$D31-($D31-$I$6)*MIN(F$3-$O$2,$Q$2)/$Q$2))</f>
        <v>6521.80726955336</v>
      </c>
      <c r="G31" s="15" t="n">
        <f aca="false">F31*(1+IF(G$3&lt;=$O$2,$D31,$D31-($D31-$I$6)*MIN(G$3-$O$2,$Q$2)/$Q$2))</f>
        <v>7031.86476902</v>
      </c>
      <c r="H31" s="15" t="n">
        <f aca="false">G31*(1+IF(H$3&lt;=$O$2,$D31,$D31-($D31-$I$6)*MIN(H$3-$O$2,$Q$2)/$Q$2))</f>
        <v>7581.81284513351</v>
      </c>
      <c r="I31" s="15" t="n">
        <f aca="false">H31*(1+IF(I$3&lt;=$O$2,$D31,$D31-($D31-$I$6)*MIN(I$3-$O$2,$Q$2)/$Q$2))</f>
        <v>8174.77126009105</v>
      </c>
      <c r="J31" s="15" t="n">
        <f aca="false">I31*(1+IF(J$3&lt;=$O$2,$D31,$D31-($D31-$I$6)*MIN(J$3-$O$2,$Q$2)/$Q$2))</f>
        <v>8732.50647051036</v>
      </c>
      <c r="K31" s="15" t="n">
        <f aca="false">J31*(1+IF(K$3&lt;=$O$2,$D31,$D31-($D31-$I$6)*MIN(K$3-$O$2,$Q$2)/$Q$2))</f>
        <v>9241.12956059574</v>
      </c>
      <c r="L31" s="15" t="n">
        <f aca="false">K31*(1+IF(L$3&lt;=$O$2,$D31,$D31-($D31-$I$6)*MIN(L$3-$O$2,$Q$2)/$Q$2))</f>
        <v>9687.13604283761</v>
      </c>
      <c r="M31" s="15" t="n">
        <f aca="false">L31*(1+IF(M$3&lt;=$O$2,$D31,$D31-($D31-$I$6)*MIN(M$3-$O$2,$Q$2)/$Q$2))</f>
        <v>10057.9751089441</v>
      </c>
      <c r="N31" s="15" t="n">
        <f aca="false">M31*(1+IF(N$3&lt;=$O$2,$D31,$D31-($D31-$I$6)*MIN(N$3-$O$2,$Q$2)/$Q$2))</f>
        <v>10342.6158045272</v>
      </c>
      <c r="O31" s="15" t="n">
        <f aca="false">SUMPRODUCT(E31:N31,1/(1+$F$6)^$E$3:$N$3)*$E$2</f>
        <v>20932.6209486574</v>
      </c>
      <c r="P31" s="15" t="n">
        <f aca="false">N31*$E$2*(1+$I$6)/($F$6-$I$6)/(1+$F$6)^$N$3</f>
        <v>40082.3933846537</v>
      </c>
      <c r="Q31" s="15" t="n">
        <f aca="false">O31+P31</f>
        <v>61015.014333311</v>
      </c>
      <c r="R31" s="15" t="n">
        <f aca="false">Q31-$G$2+$I$2</f>
        <v>52250.014333311</v>
      </c>
      <c r="S31" s="40" t="n">
        <f aca="false">R31/$K$2</f>
        <v>93.4738529702513</v>
      </c>
      <c r="T31" s="41" t="n">
        <f aca="false">S31-$M$2</f>
        <v>2.56419031785526E-005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0.0782079100608826</v>
      </c>
      <c r="C32" s="25" t="n">
        <f aca="false">IF(T31&gt;0,D31,C31)</f>
        <v>0.0782079994678497</v>
      </c>
      <c r="D32" s="39" t="n">
        <f aca="false">(B32+C32)/2</f>
        <v>0.0782079547643662</v>
      </c>
      <c r="E32" s="15" t="n">
        <f aca="false">$C$2*(1+IF(E$3&lt;=$O$2,$D32,$D32-($D32-$I$6)*MIN(E$3-$O$2,$Q$2)/$Q$2))</f>
        <v>6048.74662622809</v>
      </c>
      <c r="F32" s="15" t="n">
        <f aca="false">E32*(1+IF(F$3&lt;=$O$2,$D32,$D32-($D32-$I$6)*MIN(F$3-$O$2,$Q$2)/$Q$2))</f>
        <v>6521.80672875325</v>
      </c>
      <c r="G32" s="15" t="n">
        <f aca="false">F32*(1+IF(G$3&lt;=$O$2,$D32,$D32-($D32-$I$6)*MIN(G$3-$O$2,$Q$2)/$Q$2))</f>
        <v>7031.86389437753</v>
      </c>
      <c r="H32" s="15" t="n">
        <f aca="false">G32*(1+IF(H$3&lt;=$O$2,$D32,$D32-($D32-$I$6)*MIN(H$3-$O$2,$Q$2)/$Q$2))</f>
        <v>7581.81158773818</v>
      </c>
      <c r="I32" s="15" t="n">
        <f aca="false">H32*(1+IF(I$3&lt;=$O$2,$D32,$D32-($D32-$I$6)*MIN(I$3-$O$2,$Q$2)/$Q$2))</f>
        <v>8174.76956542396</v>
      </c>
      <c r="J32" s="15" t="n">
        <f aca="false">I32*(1+IF(J$3&lt;=$O$2,$D32,$D32-($D32-$I$6)*MIN(J$3-$O$2,$Q$2)/$Q$2))</f>
        <v>8732.50436786969</v>
      </c>
      <c r="K32" s="15" t="n">
        <f aca="false">J32*(1+IF(K$3&lt;=$O$2,$D32,$D32-($D32-$I$6)*MIN(K$3-$O$2,$Q$2)/$Q$2))</f>
        <v>9241.12710126317</v>
      </c>
      <c r="L32" s="15" t="n">
        <f aca="false">K32*(1+IF(L$3&lt;=$O$2,$D32,$D32-($D32-$I$6)*MIN(L$3-$O$2,$Q$2)/$Q$2))</f>
        <v>9687.13329956555</v>
      </c>
      <c r="M32" s="15" t="n">
        <f aca="false">L32*(1+IF(M$3&lt;=$O$2,$D32,$D32-($D32-$I$6)*MIN(M$3-$O$2,$Q$2)/$Q$2))</f>
        <v>10057.9721740455</v>
      </c>
      <c r="N32" s="15" t="n">
        <f aca="false">M32*(1+IF(N$3&lt;=$O$2,$D32,$D32-($D32-$I$6)*MIN(N$3-$O$2,$Q$2)/$Q$2))</f>
        <v>10342.612786571</v>
      </c>
      <c r="O32" s="15" t="n">
        <f aca="false">SUMPRODUCT(E32:N32,1/(1+$F$6)^$E$3:$N$3)*$E$2</f>
        <v>20932.6168232604</v>
      </c>
      <c r="P32" s="15" t="n">
        <f aca="false">N32*$E$2*(1+$I$6)/($F$6-$I$6)/(1+$F$6)^$N$3</f>
        <v>40082.3816886851</v>
      </c>
      <c r="Q32" s="15" t="n">
        <f aca="false">O32+P32</f>
        <v>61014.9985119455</v>
      </c>
      <c r="R32" s="15" t="n">
        <f aca="false">Q32-$G$2+$I$2</f>
        <v>52249.9985119455</v>
      </c>
      <c r="S32" s="40" t="n">
        <f aca="false">R32/$K$2</f>
        <v>93.4738246662591</v>
      </c>
      <c r="T32" s="41" t="n">
        <f aca="false">S32-$M$2</f>
        <v>-2.66208901678056E-006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0.0782079547643662</v>
      </c>
      <c r="C33" s="25" t="n">
        <f aca="false">IF(T32&gt;0,D32,C32)</f>
        <v>0.0782079994678497</v>
      </c>
      <c r="D33" s="39" t="n">
        <f aca="false">(B33+C33)/2</f>
        <v>0.0782079771161079</v>
      </c>
      <c r="E33" s="15" t="n">
        <f aca="false">$C$2*(1+IF(E$3&lt;=$O$2,$D33,$D33-($D33-$I$6)*MIN(E$3-$O$2,$Q$2)/$Q$2))</f>
        <v>6048.74675162137</v>
      </c>
      <c r="F33" s="15" t="n">
        <f aca="false">E33*(1+IF(F$3&lt;=$O$2,$D33,$D33-($D33-$I$6)*MIN(F$3-$O$2,$Q$2)/$Q$2))</f>
        <v>6521.8069991533</v>
      </c>
      <c r="G33" s="15" t="n">
        <f aca="false">F33*(1+IF(G$3&lt;=$O$2,$D33,$D33-($D33-$I$6)*MIN(G$3-$O$2,$Q$2)/$Q$2))</f>
        <v>7031.86433169876</v>
      </c>
      <c r="H33" s="15" t="n">
        <f aca="false">G33*(1+IF(H$3&lt;=$O$2,$D33,$D33-($D33-$I$6)*MIN(H$3-$O$2,$Q$2)/$Q$2))</f>
        <v>7581.81221643583</v>
      </c>
      <c r="I33" s="15" t="n">
        <f aca="false">H33*(1+IF(I$3&lt;=$O$2,$D33,$D33-($D33-$I$6)*MIN(I$3-$O$2,$Q$2)/$Q$2))</f>
        <v>8174.77041275747</v>
      </c>
      <c r="J33" s="15" t="n">
        <f aca="false">I33*(1+IF(J$3&lt;=$O$2,$D33,$D33-($D33-$I$6)*MIN(J$3-$O$2,$Q$2)/$Q$2))</f>
        <v>8732.50541918997</v>
      </c>
      <c r="K33" s="15" t="n">
        <f aca="false">J33*(1+IF(K$3&lt;=$O$2,$D33,$D33-($D33-$I$6)*MIN(K$3-$O$2,$Q$2)/$Q$2))</f>
        <v>9241.12833092938</v>
      </c>
      <c r="L33" s="15" t="n">
        <f aca="false">K33*(1+IF(L$3&lt;=$O$2,$D33,$D33-($D33-$I$6)*MIN(L$3-$O$2,$Q$2)/$Q$2))</f>
        <v>9687.1346712015</v>
      </c>
      <c r="M33" s="15" t="n">
        <f aca="false">L33*(1+IF(M$3&lt;=$O$2,$D33,$D33-($D33-$I$6)*MIN(M$3-$O$2,$Q$2)/$Q$2))</f>
        <v>10057.9736414947</v>
      </c>
      <c r="N33" s="15" t="n">
        <f aca="false">M33*(1+IF(N$3&lt;=$O$2,$D33,$D33-($D33-$I$6)*MIN(N$3-$O$2,$Q$2)/$Q$2))</f>
        <v>10342.614295549</v>
      </c>
      <c r="O33" s="15" t="n">
        <f aca="false">SUMPRODUCT(E33:N33,1/(1+$F$6)^$E$3:$N$3)*$E$2</f>
        <v>20932.6188859588</v>
      </c>
      <c r="P33" s="15" t="n">
        <f aca="false">N33*$E$2*(1+$I$6)/($F$6-$I$6)/(1+$F$6)^$N$3</f>
        <v>40082.387536669</v>
      </c>
      <c r="Q33" s="15" t="n">
        <f aca="false">O33+P33</f>
        <v>61015.0064226278</v>
      </c>
      <c r="R33" s="15" t="n">
        <f aca="false">Q33-$G$2+$I$2</f>
        <v>52250.0064226278</v>
      </c>
      <c r="S33" s="40" t="n">
        <f aca="false">R33/$K$2</f>
        <v>93.4738388182543</v>
      </c>
      <c r="T33" s="41" t="n">
        <f aca="false">S33-$M$2</f>
        <v>1.14899062282348E-005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0.0782079547643662</v>
      </c>
      <c r="C34" s="25" t="n">
        <f aca="false">IF(T33&gt;0,D33,C33)</f>
        <v>0.0782079771161079</v>
      </c>
      <c r="D34" s="39" t="n">
        <f aca="false">(B34+C34)/2</f>
        <v>0.0782079659402371</v>
      </c>
      <c r="E34" s="15" t="n">
        <f aca="false">$C$2*(1+IF(E$3&lt;=$O$2,$D34,$D34-($D34-$I$6)*MIN(E$3-$O$2,$Q$2)/$Q$2))</f>
        <v>6048.74668892473</v>
      </c>
      <c r="F34" s="15" t="n">
        <f aca="false">E34*(1+IF(F$3&lt;=$O$2,$D34,$D34-($D34-$I$6)*MIN(F$3-$O$2,$Q$2)/$Q$2))</f>
        <v>6521.80686395328</v>
      </c>
      <c r="G34" s="15" t="n">
        <f aca="false">F34*(1+IF(G$3&lt;=$O$2,$D34,$D34-($D34-$I$6)*MIN(G$3-$O$2,$Q$2)/$Q$2))</f>
        <v>7031.86411303814</v>
      </c>
      <c r="H34" s="15" t="n">
        <f aca="false">G34*(1+IF(H$3&lt;=$O$2,$D34,$D34-($D34-$I$6)*MIN(H$3-$O$2,$Q$2)/$Q$2))</f>
        <v>7581.811902087</v>
      </c>
      <c r="I34" s="15" t="n">
        <f aca="false">H34*(1+IF(I$3&lt;=$O$2,$D34,$D34-($D34-$I$6)*MIN(I$3-$O$2,$Q$2)/$Q$2))</f>
        <v>8174.7699890907</v>
      </c>
      <c r="J34" s="15" t="n">
        <f aca="false">I34*(1+IF(J$3&lt;=$O$2,$D34,$D34-($D34-$I$6)*MIN(J$3-$O$2,$Q$2)/$Q$2))</f>
        <v>8732.50489352982</v>
      </c>
      <c r="K34" s="15" t="n">
        <f aca="false">J34*(1+IF(K$3&lt;=$O$2,$D34,$D34-($D34-$I$6)*MIN(K$3-$O$2,$Q$2)/$Q$2))</f>
        <v>9241.12771609626</v>
      </c>
      <c r="L34" s="15" t="n">
        <f aca="false">K34*(1+IF(L$3&lt;=$O$2,$D34,$D34-($D34-$I$6)*MIN(L$3-$O$2,$Q$2)/$Q$2))</f>
        <v>9687.13398538351</v>
      </c>
      <c r="M34" s="15" t="n">
        <f aca="false">L34*(1+IF(M$3&lt;=$O$2,$D34,$D34-($D34-$I$6)*MIN(M$3-$O$2,$Q$2)/$Q$2))</f>
        <v>10057.9729077701</v>
      </c>
      <c r="N34" s="15" t="n">
        <f aca="false">M34*(1+IF(N$3&lt;=$O$2,$D34,$D34-($D34-$I$6)*MIN(N$3-$O$2,$Q$2)/$Q$2))</f>
        <v>10342.61354106</v>
      </c>
      <c r="O34" s="15" t="n">
        <f aca="false">SUMPRODUCT(E34:N34,1/(1+$F$6)^$E$3:$N$3)*$E$2</f>
        <v>20932.6178546096</v>
      </c>
      <c r="P34" s="15" t="n">
        <f aca="false">N34*$E$2*(1+$I$6)/($F$6-$I$6)/(1+$F$6)^$N$3</f>
        <v>40082.384612677</v>
      </c>
      <c r="Q34" s="15" t="n">
        <f aca="false">O34+P34</f>
        <v>61015.0024672865</v>
      </c>
      <c r="R34" s="15" t="n">
        <f aca="false">Q34-$G$2+$I$2</f>
        <v>52250.0024672865</v>
      </c>
      <c r="S34" s="40" t="n">
        <f aca="false">R34/$K$2</f>
        <v>93.4738317422565</v>
      </c>
      <c r="T34" s="41" t="n">
        <f aca="false">S34-$M$2</f>
        <v>4.41390839966971E-006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0.0782079547643662</v>
      </c>
      <c r="C35" s="25" t="n">
        <f aca="false">IF(T34&gt;0,D34,C34)</f>
        <v>0.0782079659402371</v>
      </c>
      <c r="D35" s="39" t="n">
        <f aca="false">(B35+C35)/2</f>
        <v>0.0782079603523016</v>
      </c>
      <c r="E35" s="15" t="n">
        <f aca="false">$C$2*(1+IF(E$3&lt;=$O$2,$D35,$D35-($D35-$I$6)*MIN(E$3-$O$2,$Q$2)/$Q$2))</f>
        <v>6048.74665757641</v>
      </c>
      <c r="F35" s="15" t="n">
        <f aca="false">E35*(1+IF(F$3&lt;=$O$2,$D35,$D35-($D35-$I$6)*MIN(F$3-$O$2,$Q$2)/$Q$2))</f>
        <v>6521.80679635327</v>
      </c>
      <c r="G35" s="15" t="n">
        <f aca="false">F35*(1+IF(G$3&lt;=$O$2,$D35,$D35-($D35-$I$6)*MIN(G$3-$O$2,$Q$2)/$Q$2))</f>
        <v>7031.86400370783</v>
      </c>
      <c r="H35" s="15" t="n">
        <f aca="false">G35*(1+IF(H$3&lt;=$O$2,$D35,$D35-($D35-$I$6)*MIN(H$3-$O$2,$Q$2)/$Q$2))</f>
        <v>7581.81174491259</v>
      </c>
      <c r="I35" s="15" t="n">
        <f aca="false">H35*(1+IF(I$3&lt;=$O$2,$D35,$D35-($D35-$I$6)*MIN(I$3-$O$2,$Q$2)/$Q$2))</f>
        <v>8174.76977725733</v>
      </c>
      <c r="J35" s="15" t="n">
        <f aca="false">I35*(1+IF(J$3&lt;=$O$2,$D35,$D35-($D35-$I$6)*MIN(J$3-$O$2,$Q$2)/$Q$2))</f>
        <v>8732.50463069976</v>
      </c>
      <c r="K35" s="15" t="n">
        <f aca="false">J35*(1+IF(K$3&lt;=$O$2,$D35,$D35-($D35-$I$6)*MIN(K$3-$O$2,$Q$2)/$Q$2))</f>
        <v>9241.12740867971</v>
      </c>
      <c r="L35" s="15" t="n">
        <f aca="false">K35*(1+IF(L$3&lt;=$O$2,$D35,$D35-($D35-$I$6)*MIN(L$3-$O$2,$Q$2)/$Q$2))</f>
        <v>9687.13364247453</v>
      </c>
      <c r="M35" s="15" t="n">
        <f aca="false">L35*(1+IF(M$3&lt;=$O$2,$D35,$D35-($D35-$I$6)*MIN(M$3-$O$2,$Q$2)/$Q$2))</f>
        <v>10057.9725409078</v>
      </c>
      <c r="N35" s="15" t="n">
        <f aca="false">M35*(1+IF(N$3&lt;=$O$2,$D35,$D35-($D35-$I$6)*MIN(N$3-$O$2,$Q$2)/$Q$2))</f>
        <v>10342.6131638155</v>
      </c>
      <c r="O35" s="15" t="n">
        <f aca="false">SUMPRODUCT(E35:N35,1/(1+$F$6)^$E$3:$N$3)*$E$2</f>
        <v>20932.617338935</v>
      </c>
      <c r="P35" s="15" t="n">
        <f aca="false">N35*$E$2*(1+$I$6)/($F$6-$I$6)/(1+$F$6)^$N$3</f>
        <v>40082.383150681</v>
      </c>
      <c r="Q35" s="15" t="n">
        <f aca="false">O35+P35</f>
        <v>61015.000489616</v>
      </c>
      <c r="R35" s="15" t="n">
        <f aca="false">Q35-$G$2+$I$2</f>
        <v>52250.000489616</v>
      </c>
      <c r="S35" s="40" t="n">
        <f aca="false">R35/$K$2</f>
        <v>93.4738282042577</v>
      </c>
      <c r="T35" s="41" t="n">
        <f aca="false">S35-$M$2</f>
        <v>8.75909663022867E-007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0.0782079547643662</v>
      </c>
      <c r="C36" s="25" t="n">
        <f aca="false">IF(T35&gt;0,D35,C35)</f>
        <v>0.0782079603523016</v>
      </c>
      <c r="D36" s="39" t="n">
        <f aca="false">(B36+C36)/2</f>
        <v>0.0782079575583339</v>
      </c>
      <c r="E36" s="15" t="n">
        <f aca="false">$C$2*(1+IF(E$3&lt;=$O$2,$D36,$D36-($D36-$I$6)*MIN(E$3-$O$2,$Q$2)/$Q$2))</f>
        <v>6048.74664190225</v>
      </c>
      <c r="F36" s="15" t="n">
        <f aca="false">E36*(1+IF(F$3&lt;=$O$2,$D36,$D36-($D36-$I$6)*MIN(F$3-$O$2,$Q$2)/$Q$2))</f>
        <v>6521.80676255326</v>
      </c>
      <c r="G36" s="15" t="n">
        <f aca="false">F36*(1+IF(G$3&lt;=$O$2,$D36,$D36-($D36-$I$6)*MIN(G$3-$O$2,$Q$2)/$Q$2))</f>
        <v>7031.86394904268</v>
      </c>
      <c r="H36" s="15" t="n">
        <f aca="false">G36*(1+IF(H$3&lt;=$O$2,$D36,$D36-($D36-$I$6)*MIN(H$3-$O$2,$Q$2)/$Q$2))</f>
        <v>7581.81166632539</v>
      </c>
      <c r="I36" s="15" t="n">
        <f aca="false">H36*(1+IF(I$3&lt;=$O$2,$D36,$D36-($D36-$I$6)*MIN(I$3-$O$2,$Q$2)/$Q$2))</f>
        <v>8174.76967134064</v>
      </c>
      <c r="J36" s="15" t="n">
        <f aca="false">I36*(1+IF(J$3&lt;=$O$2,$D36,$D36-($D36-$I$6)*MIN(J$3-$O$2,$Q$2)/$Q$2))</f>
        <v>8732.50449928472</v>
      </c>
      <c r="K36" s="15" t="n">
        <f aca="false">J36*(1+IF(K$3&lt;=$O$2,$D36,$D36-($D36-$I$6)*MIN(K$3-$O$2,$Q$2)/$Q$2))</f>
        <v>9241.12725497144</v>
      </c>
      <c r="L36" s="15" t="n">
        <f aca="false">K36*(1+IF(L$3&lt;=$O$2,$D36,$D36-($D36-$I$6)*MIN(L$3-$O$2,$Q$2)/$Q$2))</f>
        <v>9687.13347102004</v>
      </c>
      <c r="M36" s="15" t="n">
        <f aca="false">L36*(1+IF(M$3&lt;=$O$2,$D36,$D36-($D36-$I$6)*MIN(M$3-$O$2,$Q$2)/$Q$2))</f>
        <v>10057.9723574766</v>
      </c>
      <c r="N36" s="15" t="n">
        <f aca="false">M36*(1+IF(N$3&lt;=$O$2,$D36,$D36-($D36-$I$6)*MIN(N$3-$O$2,$Q$2)/$Q$2))</f>
        <v>10342.6129751932</v>
      </c>
      <c r="O36" s="15" t="n">
        <f aca="false">SUMPRODUCT(E36:N36,1/(1+$F$6)^$E$3:$N$3)*$E$2</f>
        <v>20932.6170810977</v>
      </c>
      <c r="P36" s="15" t="n">
        <f aca="false">N36*$E$2*(1+$I$6)/($F$6-$I$6)/(1+$F$6)^$N$3</f>
        <v>40082.382419683</v>
      </c>
      <c r="Q36" s="15" t="n">
        <f aca="false">O36+P36</f>
        <v>61014.9995007807</v>
      </c>
      <c r="R36" s="15" t="n">
        <f aca="false">Q36-$G$2+$I$2</f>
        <v>52249.9995007807</v>
      </c>
      <c r="S36" s="40" t="n">
        <f aca="false">R36/$K$2</f>
        <v>93.4738264352584</v>
      </c>
      <c r="T36" s="41" t="n">
        <f aca="false">S36-$M$2</f>
        <v>-8.93089676878844E-007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0.0782079575583339</v>
      </c>
      <c r="C37" s="25" t="n">
        <f aca="false">IF(T36&gt;0,D36,C36)</f>
        <v>0.0782079603523016</v>
      </c>
      <c r="D37" s="39" t="n">
        <f aca="false">(B37+C37)/2</f>
        <v>0.0782079589553177</v>
      </c>
      <c r="E37" s="15" t="n">
        <f aca="false">$C$2*(1+IF(E$3&lt;=$O$2,$D37,$D37-($D37-$I$6)*MIN(E$3-$O$2,$Q$2)/$Q$2))</f>
        <v>6048.74664973933</v>
      </c>
      <c r="F37" s="15" t="n">
        <f aca="false">E37*(1+IF(F$3&lt;=$O$2,$D37,$D37-($D37-$I$6)*MIN(F$3-$O$2,$Q$2)/$Q$2))</f>
        <v>6521.80677945326</v>
      </c>
      <c r="G37" s="15" t="n">
        <f aca="false">F37*(1+IF(G$3&lt;=$O$2,$D37,$D37-($D37-$I$6)*MIN(G$3-$O$2,$Q$2)/$Q$2))</f>
        <v>7031.86397637526</v>
      </c>
      <c r="H37" s="15" t="n">
        <f aca="false">G37*(1+IF(H$3&lt;=$O$2,$D37,$D37-($D37-$I$6)*MIN(H$3-$O$2,$Q$2)/$Q$2))</f>
        <v>7581.81170561899</v>
      </c>
      <c r="I37" s="15" t="n">
        <f aca="false">H37*(1+IF(I$3&lt;=$O$2,$D37,$D37-($D37-$I$6)*MIN(I$3-$O$2,$Q$2)/$Q$2))</f>
        <v>8174.76972429899</v>
      </c>
      <c r="J37" s="15" t="n">
        <f aca="false">I37*(1+IF(J$3&lt;=$O$2,$D37,$D37-($D37-$I$6)*MIN(J$3-$O$2,$Q$2)/$Q$2))</f>
        <v>8732.50456499224</v>
      </c>
      <c r="K37" s="15" t="n">
        <f aca="false">J37*(1+IF(K$3&lt;=$O$2,$D37,$D37-($D37-$I$6)*MIN(K$3-$O$2,$Q$2)/$Q$2))</f>
        <v>9241.12733182557</v>
      </c>
      <c r="L37" s="15" t="n">
        <f aca="false">K37*(1+IF(L$3&lt;=$O$2,$D37,$D37-($D37-$I$6)*MIN(L$3-$O$2,$Q$2)/$Q$2))</f>
        <v>9687.13355674728</v>
      </c>
      <c r="M37" s="15" t="n">
        <f aca="false">L37*(1+IF(M$3&lt;=$O$2,$D37,$D37-($D37-$I$6)*MIN(M$3-$O$2,$Q$2)/$Q$2))</f>
        <v>10057.9724491922</v>
      </c>
      <c r="N37" s="15" t="n">
        <f aca="false">M37*(1+IF(N$3&lt;=$O$2,$D37,$D37-($D37-$I$6)*MIN(N$3-$O$2,$Q$2)/$Q$2))</f>
        <v>10342.6130695043</v>
      </c>
      <c r="O37" s="15" t="n">
        <f aca="false">SUMPRODUCT(E37:N37,1/(1+$F$6)^$E$3:$N$3)*$E$2</f>
        <v>20932.6172100163</v>
      </c>
      <c r="P37" s="15" t="n">
        <f aca="false">N37*$E$2*(1+$I$6)/($F$6-$I$6)/(1+$F$6)^$N$3</f>
        <v>40082.382785182</v>
      </c>
      <c r="Q37" s="15" t="n">
        <f aca="false">O37+P37</f>
        <v>61014.9999951984</v>
      </c>
      <c r="R37" s="15" t="n">
        <f aca="false">Q37-$G$2+$I$2</f>
        <v>52249.9999951984</v>
      </c>
      <c r="S37" s="40" t="n">
        <f aca="false">R37/$K$2</f>
        <v>93.473827319758</v>
      </c>
      <c r="T37" s="41" t="n">
        <f aca="false">S37-$M$2</f>
        <v>-8.59003534969816E-009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0.0782079589553177</v>
      </c>
      <c r="C38" s="25" t="n">
        <f aca="false">IF(T37&gt;0,D37,C37)</f>
        <v>0.0782079603523016</v>
      </c>
      <c r="D38" s="39" t="n">
        <f aca="false">(B38+C38)/2</f>
        <v>0.0782079596538097</v>
      </c>
      <c r="E38" s="15" t="n">
        <f aca="false">$C$2*(1+IF(E$3&lt;=$O$2,$D38,$D38-($D38-$I$6)*MIN(E$3-$O$2,$Q$2)/$Q$2))</f>
        <v>6048.74665365787</v>
      </c>
      <c r="F38" s="15" t="n">
        <f aca="false">E38*(1+IF(F$3&lt;=$O$2,$D38,$D38-($D38-$I$6)*MIN(F$3-$O$2,$Q$2)/$Q$2))</f>
        <v>6521.80678790326</v>
      </c>
      <c r="G38" s="15" t="n">
        <f aca="false">F38*(1+IF(G$3&lt;=$O$2,$D38,$D38-($D38-$I$6)*MIN(G$3-$O$2,$Q$2)/$Q$2))</f>
        <v>7031.86399004154</v>
      </c>
      <c r="H38" s="15" t="n">
        <f aca="false">G38*(1+IF(H$3&lt;=$O$2,$D38,$D38-($D38-$I$6)*MIN(H$3-$O$2,$Q$2)/$Q$2))</f>
        <v>7581.81172526579</v>
      </c>
      <c r="I38" s="15" t="n">
        <f aca="false">H38*(1+IF(I$3&lt;=$O$2,$D38,$D38-($D38-$I$6)*MIN(I$3-$O$2,$Q$2)/$Q$2))</f>
        <v>8174.76975077816</v>
      </c>
      <c r="J38" s="15" t="n">
        <f aca="false">I38*(1+IF(J$3&lt;=$O$2,$D38,$D38-($D38-$I$6)*MIN(J$3-$O$2,$Q$2)/$Q$2))</f>
        <v>8732.504597846</v>
      </c>
      <c r="K38" s="15" t="n">
        <f aca="false">J38*(1+IF(K$3&lt;=$O$2,$D38,$D38-($D38-$I$6)*MIN(K$3-$O$2,$Q$2)/$Q$2))</f>
        <v>9241.12737025264</v>
      </c>
      <c r="L38" s="15" t="n">
        <f aca="false">K38*(1+IF(L$3&lt;=$O$2,$D38,$D38-($D38-$I$6)*MIN(L$3-$O$2,$Q$2)/$Q$2))</f>
        <v>9687.13359961091</v>
      </c>
      <c r="M38" s="15" t="n">
        <f aca="false">L38*(1+IF(M$3&lt;=$O$2,$D38,$D38-($D38-$I$6)*MIN(M$3-$O$2,$Q$2)/$Q$2))</f>
        <v>10057.97249505</v>
      </c>
      <c r="N38" s="15" t="n">
        <f aca="false">M38*(1+IF(N$3&lt;=$O$2,$D38,$D38-($D38-$I$6)*MIN(N$3-$O$2,$Q$2)/$Q$2))</f>
        <v>10342.6131166599</v>
      </c>
      <c r="O38" s="15" t="n">
        <f aca="false">SUMPRODUCT(E38:N38,1/(1+$F$6)^$E$3:$N$3)*$E$2</f>
        <v>20932.6172744757</v>
      </c>
      <c r="P38" s="15" t="n">
        <f aca="false">N38*$E$2*(1+$I$6)/($F$6-$I$6)/(1+$F$6)^$N$3</f>
        <v>40082.3829679315</v>
      </c>
      <c r="Q38" s="15" t="n">
        <f aca="false">O38+P38</f>
        <v>61015.0002424072</v>
      </c>
      <c r="R38" s="15" t="n">
        <f aca="false">Q38-$G$2+$I$2</f>
        <v>52250.0002424072</v>
      </c>
      <c r="S38" s="40" t="n">
        <f aca="false">R38/$K$2</f>
        <v>93.4738277620079</v>
      </c>
      <c r="T38" s="41" t="n">
        <f aca="false">S38-$M$2</f>
        <v>4.33659806731157E-007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0.0782079589553177</v>
      </c>
      <c r="C39" s="25" t="n">
        <f aca="false">IF(T38&gt;0,D38,C38)</f>
        <v>0.0782079596538097</v>
      </c>
      <c r="D39" s="39" t="n">
        <f aca="false">(B39+C39)/2</f>
        <v>0.0782079593045637</v>
      </c>
      <c r="E39" s="15" t="n">
        <f aca="false">$C$2*(1+IF(E$3&lt;=$O$2,$D39,$D39-($D39-$I$6)*MIN(E$3-$O$2,$Q$2)/$Q$2))</f>
        <v>6048.7466516986</v>
      </c>
      <c r="F39" s="15" t="n">
        <f aca="false">E39*(1+IF(F$3&lt;=$O$2,$D39,$D39-($D39-$I$6)*MIN(F$3-$O$2,$Q$2)/$Q$2))</f>
        <v>6521.80678367826</v>
      </c>
      <c r="G39" s="15" t="n">
        <f aca="false">F39*(1+IF(G$3&lt;=$O$2,$D39,$D39-($D39-$I$6)*MIN(G$3-$O$2,$Q$2)/$Q$2))</f>
        <v>7031.8639832084</v>
      </c>
      <c r="H39" s="15" t="n">
        <f aca="false">G39*(1+IF(H$3&lt;=$O$2,$D39,$D39-($D39-$I$6)*MIN(H$3-$O$2,$Q$2)/$Q$2))</f>
        <v>7581.81171544239</v>
      </c>
      <c r="I39" s="15" t="n">
        <f aca="false">H39*(1+IF(I$3&lt;=$O$2,$D39,$D39-($D39-$I$6)*MIN(I$3-$O$2,$Q$2)/$Q$2))</f>
        <v>8174.76973753857</v>
      </c>
      <c r="J39" s="15" t="n">
        <f aca="false">I39*(1+IF(J$3&lt;=$O$2,$D39,$D39-($D39-$I$6)*MIN(J$3-$O$2,$Q$2)/$Q$2))</f>
        <v>8732.50458141912</v>
      </c>
      <c r="K39" s="15" t="n">
        <f aca="false">J39*(1+IF(K$3&lt;=$O$2,$D39,$D39-($D39-$I$6)*MIN(K$3-$O$2,$Q$2)/$Q$2))</f>
        <v>9241.12735103911</v>
      </c>
      <c r="L39" s="15" t="n">
        <f aca="false">K39*(1+IF(L$3&lt;=$O$2,$D39,$D39-($D39-$I$6)*MIN(L$3-$O$2,$Q$2)/$Q$2))</f>
        <v>9687.13357817909</v>
      </c>
      <c r="M39" s="15" t="n">
        <f aca="false">L39*(1+IF(M$3&lt;=$O$2,$D39,$D39-($D39-$I$6)*MIN(M$3-$O$2,$Q$2)/$Q$2))</f>
        <v>10057.9724721211</v>
      </c>
      <c r="N39" s="15" t="n">
        <f aca="false">M39*(1+IF(N$3&lt;=$O$2,$D39,$D39-($D39-$I$6)*MIN(N$3-$O$2,$Q$2)/$Q$2))</f>
        <v>10342.6130930821</v>
      </c>
      <c r="O39" s="15" t="n">
        <f aca="false">SUMPRODUCT(E39:N39,1/(1+$F$6)^$E$3:$N$3)*$E$2</f>
        <v>20932.617242246</v>
      </c>
      <c r="P39" s="15" t="n">
        <f aca="false">N39*$E$2*(1+$I$6)/($F$6-$I$6)/(1+$F$6)^$N$3</f>
        <v>40082.3828765568</v>
      </c>
      <c r="Q39" s="15" t="n">
        <f aca="false">O39+P39</f>
        <v>61015.0001188028</v>
      </c>
      <c r="R39" s="15" t="n">
        <f aca="false">Q39-$G$2+$I$2</f>
        <v>52250.0001188028</v>
      </c>
      <c r="S39" s="40" t="n">
        <f aca="false">R39/$K$2</f>
        <v>93.473827540883</v>
      </c>
      <c r="T39" s="41" t="n">
        <f aca="false">S39-$M$2</f>
        <v>2.12534885690729E-007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0.0782079589553177</v>
      </c>
      <c r="C40" s="25" t="n">
        <f aca="false">IF(T39&gt;0,D39,C39)</f>
        <v>0.0782079593045637</v>
      </c>
      <c r="D40" s="39" t="n">
        <f aca="false">(B40+C40)/2</f>
        <v>0.0782079591299407</v>
      </c>
      <c r="E40" s="15" t="n">
        <f aca="false">$C$2*(1+IF(E$3&lt;=$O$2,$D40,$D40-($D40-$I$6)*MIN(E$3-$O$2,$Q$2)/$Q$2))</f>
        <v>6048.74665071897</v>
      </c>
      <c r="F40" s="15" t="n">
        <f aca="false">E40*(1+IF(F$3&lt;=$O$2,$D40,$D40-($D40-$I$6)*MIN(F$3-$O$2,$Q$2)/$Q$2))</f>
        <v>6521.80678156576</v>
      </c>
      <c r="G40" s="15" t="n">
        <f aca="false">F40*(1+IF(G$3&lt;=$O$2,$D40,$D40-($D40-$I$6)*MIN(G$3-$O$2,$Q$2)/$Q$2))</f>
        <v>7031.86397979183</v>
      </c>
      <c r="H40" s="15" t="n">
        <f aca="false">G40*(1+IF(H$3&lt;=$O$2,$D40,$D40-($D40-$I$6)*MIN(H$3-$O$2,$Q$2)/$Q$2))</f>
        <v>7581.81171053069</v>
      </c>
      <c r="I40" s="15" t="n">
        <f aca="false">H40*(1+IF(I$3&lt;=$O$2,$D40,$D40-($D40-$I$6)*MIN(I$3-$O$2,$Q$2)/$Q$2))</f>
        <v>8174.76973091878</v>
      </c>
      <c r="J40" s="15" t="n">
        <f aca="false">I40*(1+IF(J$3&lt;=$O$2,$D40,$D40-($D40-$I$6)*MIN(J$3-$O$2,$Q$2)/$Q$2))</f>
        <v>8732.50457320568</v>
      </c>
      <c r="K40" s="15" t="n">
        <f aca="false">J40*(1+IF(K$3&lt;=$O$2,$D40,$D40-($D40-$I$6)*MIN(K$3-$O$2,$Q$2)/$Q$2))</f>
        <v>9241.12734143234</v>
      </c>
      <c r="L40" s="15" t="n">
        <f aca="false">K40*(1+IF(L$3&lt;=$O$2,$D40,$D40-($D40-$I$6)*MIN(L$3-$O$2,$Q$2)/$Q$2))</f>
        <v>9687.13356746319</v>
      </c>
      <c r="M40" s="15" t="n">
        <f aca="false">L40*(1+IF(M$3&lt;=$O$2,$D40,$D40-($D40-$I$6)*MIN(M$3-$O$2,$Q$2)/$Q$2))</f>
        <v>10057.9724606566</v>
      </c>
      <c r="N40" s="15" t="n">
        <f aca="false">M40*(1+IF(N$3&lt;=$O$2,$D40,$D40-($D40-$I$6)*MIN(N$3-$O$2,$Q$2)/$Q$2))</f>
        <v>10342.6130812932</v>
      </c>
      <c r="O40" s="15" t="n">
        <f aca="false">SUMPRODUCT(E40:N40,1/(1+$F$6)^$E$3:$N$3)*$E$2</f>
        <v>20932.6172261312</v>
      </c>
      <c r="P40" s="15" t="n">
        <f aca="false">N40*$E$2*(1+$I$6)/($F$6-$I$6)/(1+$F$6)^$N$3</f>
        <v>40082.3828308694</v>
      </c>
      <c r="Q40" s="15" t="n">
        <f aca="false">O40+P40</f>
        <v>61015.0000570006</v>
      </c>
      <c r="R40" s="15" t="n">
        <f aca="false">Q40-$G$2+$I$2</f>
        <v>52250.0000570006</v>
      </c>
      <c r="S40" s="40" t="n">
        <f aca="false">R40/$K$2</f>
        <v>93.4738274303205</v>
      </c>
      <c r="T40" s="41" t="n">
        <f aca="false">S40-$M$2</f>
        <v>1.01972418065088E-007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0.0782079589553177</v>
      </c>
      <c r="C41" s="25" t="n">
        <f aca="false">IF(T40&gt;0,D40,C40)</f>
        <v>0.0782079591299407</v>
      </c>
      <c r="D41" s="39" t="n">
        <f aca="false">(B41+C41)/2</f>
        <v>0.0782079590426292</v>
      </c>
      <c r="E41" s="15" t="n">
        <f aca="false">$C$2*(1+IF(E$3&lt;=$O$2,$D41,$D41-($D41-$I$6)*MIN(E$3-$O$2,$Q$2)/$Q$2))</f>
        <v>6048.74665022915</v>
      </c>
      <c r="F41" s="15" t="n">
        <f aca="false">E41*(1+IF(F$3&lt;=$O$2,$D41,$D41-($D41-$I$6)*MIN(F$3-$O$2,$Q$2)/$Q$2))</f>
        <v>6521.80678050951</v>
      </c>
      <c r="G41" s="15" t="n">
        <f aca="false">F41*(1+IF(G$3&lt;=$O$2,$D41,$D41-($D41-$I$6)*MIN(G$3-$O$2,$Q$2)/$Q$2))</f>
        <v>7031.86397808354</v>
      </c>
      <c r="H41" s="15" t="n">
        <f aca="false">G41*(1+IF(H$3&lt;=$O$2,$D41,$D41-($D41-$I$6)*MIN(H$3-$O$2,$Q$2)/$Q$2))</f>
        <v>7581.81170807484</v>
      </c>
      <c r="I41" s="15" t="n">
        <f aca="false">H41*(1+IF(I$3&lt;=$O$2,$D41,$D41-($D41-$I$6)*MIN(I$3-$O$2,$Q$2)/$Q$2))</f>
        <v>8174.76972760888</v>
      </c>
      <c r="J41" s="15" t="n">
        <f aca="false">I41*(1+IF(J$3&lt;=$O$2,$D41,$D41-($D41-$I$6)*MIN(J$3-$O$2,$Q$2)/$Q$2))</f>
        <v>8732.50456909896</v>
      </c>
      <c r="K41" s="15" t="n">
        <f aca="false">J41*(1+IF(K$3&lt;=$O$2,$D41,$D41-($D41-$I$6)*MIN(K$3-$O$2,$Q$2)/$Q$2))</f>
        <v>9241.12733662896</v>
      </c>
      <c r="L41" s="15" t="n">
        <f aca="false">K41*(1+IF(L$3&lt;=$O$2,$D41,$D41-($D41-$I$6)*MIN(L$3-$O$2,$Q$2)/$Q$2))</f>
        <v>9687.13356210524</v>
      </c>
      <c r="M41" s="15" t="n">
        <f aca="false">L41*(1+IF(M$3&lt;=$O$2,$D41,$D41-($D41-$I$6)*MIN(M$3-$O$2,$Q$2)/$Q$2))</f>
        <v>10057.9724549244</v>
      </c>
      <c r="N41" s="15" t="n">
        <f aca="false">M41*(1+IF(N$3&lt;=$O$2,$D41,$D41-($D41-$I$6)*MIN(N$3-$O$2,$Q$2)/$Q$2))</f>
        <v>10342.6130753988</v>
      </c>
      <c r="O41" s="15" t="n">
        <f aca="false">SUMPRODUCT(E41:N41,1/(1+$F$6)^$E$3:$N$3)*$E$2</f>
        <v>20932.6172180738</v>
      </c>
      <c r="P41" s="15" t="n">
        <f aca="false">N41*$E$2*(1+$I$6)/($F$6-$I$6)/(1+$F$6)^$N$3</f>
        <v>40082.3828080257</v>
      </c>
      <c r="Q41" s="15" t="n">
        <f aca="false">O41+P41</f>
        <v>61015.0000260995</v>
      </c>
      <c r="R41" s="15" t="n">
        <f aca="false">Q41-$G$2+$I$2</f>
        <v>52250.0000260995</v>
      </c>
      <c r="S41" s="40" t="n">
        <f aca="false">R41/$K$2</f>
        <v>93.4738273750393</v>
      </c>
      <c r="T41" s="41" t="n">
        <f aca="false">S41-$M$2</f>
        <v>4.66912126739771E-008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0.0782079589553177</v>
      </c>
      <c r="C42" s="25" t="n">
        <f aca="false">IF(T41&gt;0,D41,C41)</f>
        <v>0.0782079590426292</v>
      </c>
      <c r="D42" s="39" t="n">
        <f aca="false">(B42+C42)/2</f>
        <v>0.0782079589989735</v>
      </c>
      <c r="E42" s="15" t="n">
        <f aca="false">$C$2*(1+IF(E$3&lt;=$O$2,$D42,$D42-($D42-$I$6)*MIN(E$3-$O$2,$Q$2)/$Q$2))</f>
        <v>6048.74664998424</v>
      </c>
      <c r="F42" s="15" t="n">
        <f aca="false">E42*(1+IF(F$3&lt;=$O$2,$D42,$D42-($D42-$I$6)*MIN(F$3-$O$2,$Q$2)/$Q$2))</f>
        <v>6521.80677998139</v>
      </c>
      <c r="G42" s="15" t="n">
        <f aca="false">F42*(1+IF(G$3&lt;=$O$2,$D42,$D42-($D42-$I$6)*MIN(G$3-$O$2,$Q$2)/$Q$2))</f>
        <v>7031.8639772294</v>
      </c>
      <c r="H42" s="15" t="n">
        <f aca="false">G42*(1+IF(H$3&lt;=$O$2,$D42,$D42-($D42-$I$6)*MIN(H$3-$O$2,$Q$2)/$Q$2))</f>
        <v>7581.81170684692</v>
      </c>
      <c r="I42" s="15" t="n">
        <f aca="false">H42*(1+IF(I$3&lt;=$O$2,$D42,$D42-($D42-$I$6)*MIN(I$3-$O$2,$Q$2)/$Q$2))</f>
        <v>8174.76972595394</v>
      </c>
      <c r="J42" s="15" t="n">
        <f aca="false">I42*(1+IF(J$3&lt;=$O$2,$D42,$D42-($D42-$I$6)*MIN(J$3-$O$2,$Q$2)/$Q$2))</f>
        <v>8732.5045670456</v>
      </c>
      <c r="K42" s="15" t="n">
        <f aca="false">J42*(1+IF(K$3&lt;=$O$2,$D42,$D42-($D42-$I$6)*MIN(K$3-$O$2,$Q$2)/$Q$2))</f>
        <v>9241.12733422726</v>
      </c>
      <c r="L42" s="15" t="n">
        <f aca="false">K42*(1+IF(L$3&lt;=$O$2,$D42,$D42-($D42-$I$6)*MIN(L$3-$O$2,$Q$2)/$Q$2))</f>
        <v>9687.13355942626</v>
      </c>
      <c r="M42" s="15" t="n">
        <f aca="false">L42*(1+IF(M$3&lt;=$O$2,$D42,$D42-($D42-$I$6)*MIN(M$3-$O$2,$Q$2)/$Q$2))</f>
        <v>10057.9724520583</v>
      </c>
      <c r="N42" s="15" t="n">
        <f aca="false">M42*(1+IF(N$3&lt;=$O$2,$D42,$D42-($D42-$I$6)*MIN(N$3-$O$2,$Q$2)/$Q$2))</f>
        <v>10342.6130724516</v>
      </c>
      <c r="O42" s="15" t="n">
        <f aca="false">SUMPRODUCT(E42:N42,1/(1+$F$6)^$E$3:$N$3)*$E$2</f>
        <v>20932.6172140451</v>
      </c>
      <c r="P42" s="15" t="n">
        <f aca="false">N42*$E$2*(1+$I$6)/($F$6-$I$6)/(1+$F$6)^$N$3</f>
        <v>40082.3827966039</v>
      </c>
      <c r="Q42" s="15" t="n">
        <f aca="false">O42+P42</f>
        <v>61015.0000106489</v>
      </c>
      <c r="R42" s="15" t="n">
        <f aca="false">Q42-$G$2+$I$2</f>
        <v>52250.0000106489</v>
      </c>
      <c r="S42" s="40" t="n">
        <f aca="false">R42/$K$2</f>
        <v>93.4738273473987</v>
      </c>
      <c r="T42" s="41" t="n">
        <f aca="false">S42-$M$2</f>
        <v>1.90505886621395E-008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0.0782079589553177</v>
      </c>
      <c r="C43" s="25" t="n">
        <f aca="false">IF(T42&gt;0,D42,C42)</f>
        <v>0.0782079589989735</v>
      </c>
      <c r="D43" s="39" t="n">
        <f aca="false">(B43+C43)/2</f>
        <v>0.0782079589771456</v>
      </c>
      <c r="E43" s="15" t="n">
        <f aca="false">$C$2*(1+IF(E$3&lt;=$O$2,$D43,$D43-($D43-$I$6)*MIN(E$3-$O$2,$Q$2)/$Q$2))</f>
        <v>6048.74664986179</v>
      </c>
      <c r="F43" s="15" t="n">
        <f aca="false">E43*(1+IF(F$3&lt;=$O$2,$D43,$D43-($D43-$I$6)*MIN(F$3-$O$2,$Q$2)/$Q$2))</f>
        <v>6521.80677971732</v>
      </c>
      <c r="G43" s="15" t="n">
        <f aca="false">F43*(1+IF(G$3&lt;=$O$2,$D43,$D43-($D43-$I$6)*MIN(G$3-$O$2,$Q$2)/$Q$2))</f>
        <v>7031.86397680233</v>
      </c>
      <c r="H43" s="15" t="n">
        <f aca="false">G43*(1+IF(H$3&lt;=$O$2,$D43,$D43-($D43-$I$6)*MIN(H$3-$O$2,$Q$2)/$Q$2))</f>
        <v>7581.81170623295</v>
      </c>
      <c r="I43" s="15" t="n">
        <f aca="false">H43*(1+IF(I$3&lt;=$O$2,$D43,$D43-($D43-$I$6)*MIN(I$3-$O$2,$Q$2)/$Q$2))</f>
        <v>8174.76972512646</v>
      </c>
      <c r="J43" s="15" t="n">
        <f aca="false">I43*(1+IF(J$3&lt;=$O$2,$D43,$D43-($D43-$I$6)*MIN(J$3-$O$2,$Q$2)/$Q$2))</f>
        <v>8732.50456601892</v>
      </c>
      <c r="K43" s="15" t="n">
        <f aca="false">J43*(1+IF(K$3&lt;=$O$2,$D43,$D43-($D43-$I$6)*MIN(K$3-$O$2,$Q$2)/$Q$2))</f>
        <v>9241.12733302642</v>
      </c>
      <c r="L43" s="15" t="n">
        <f aca="false">K43*(1+IF(L$3&lt;=$O$2,$D43,$D43-($D43-$I$6)*MIN(L$3-$O$2,$Q$2)/$Q$2))</f>
        <v>9687.13355808677</v>
      </c>
      <c r="M43" s="15" t="n">
        <f aca="false">L43*(1+IF(M$3&lt;=$O$2,$D43,$D43-($D43-$I$6)*MIN(M$3-$O$2,$Q$2)/$Q$2))</f>
        <v>10057.9724506253</v>
      </c>
      <c r="N43" s="15" t="n">
        <f aca="false">M43*(1+IF(N$3&lt;=$O$2,$D43,$D43-($D43-$I$6)*MIN(N$3-$O$2,$Q$2)/$Q$2))</f>
        <v>10342.6130709779</v>
      </c>
      <c r="O43" s="15" t="n">
        <f aca="false">SUMPRODUCT(E43:N43,1/(1+$F$6)^$E$3:$N$3)*$E$2</f>
        <v>20932.6172120307</v>
      </c>
      <c r="P43" s="15" t="n">
        <f aca="false">N43*$E$2*(1+$I$6)/($F$6-$I$6)/(1+$F$6)^$N$3</f>
        <v>40082.3827908929</v>
      </c>
      <c r="Q43" s="15" t="n">
        <f aca="false">O43+P43</f>
        <v>61015.0000029236</v>
      </c>
      <c r="R43" s="15" t="n">
        <f aca="false">Q43-$G$2+$I$2</f>
        <v>52250.0000029236</v>
      </c>
      <c r="S43" s="40" t="n">
        <f aca="false">R43/$K$2</f>
        <v>93.4738273335784</v>
      </c>
      <c r="T43" s="41" t="n">
        <f aca="false">S43-$M$2</f>
        <v>5.23027665622067E-009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0.0782079589553177</v>
      </c>
      <c r="C44" s="25" t="n">
        <f aca="false">IF(T43&gt;0,D43,C43)</f>
        <v>0.0782079589771456</v>
      </c>
      <c r="D44" s="39" t="n">
        <f aca="false">(B44+C44)/2</f>
        <v>0.0782079589662317</v>
      </c>
      <c r="E44" s="15" t="n">
        <f aca="false">$C$2*(1+IF(E$3&lt;=$O$2,$D44,$D44-($D44-$I$6)*MIN(E$3-$O$2,$Q$2)/$Q$2))</f>
        <v>6048.74664980056</v>
      </c>
      <c r="F44" s="15" t="n">
        <f aca="false">E44*(1+IF(F$3&lt;=$O$2,$D44,$D44-($D44-$I$6)*MIN(F$3-$O$2,$Q$2)/$Q$2))</f>
        <v>6521.80677958529</v>
      </c>
      <c r="G44" s="15" t="n">
        <f aca="false">F44*(1+IF(G$3&lt;=$O$2,$D44,$D44-($D44-$I$6)*MIN(G$3-$O$2,$Q$2)/$Q$2))</f>
        <v>7031.86397658879</v>
      </c>
      <c r="H44" s="15" t="n">
        <f aca="false">G44*(1+IF(H$3&lt;=$O$2,$D44,$D44-($D44-$I$6)*MIN(H$3-$O$2,$Q$2)/$Q$2))</f>
        <v>7581.81170592597</v>
      </c>
      <c r="I44" s="15" t="n">
        <f aca="false">H44*(1+IF(I$3&lt;=$O$2,$D44,$D44-($D44-$I$6)*MIN(I$3-$O$2,$Q$2)/$Q$2))</f>
        <v>8174.76972471272</v>
      </c>
      <c r="J44" s="15" t="n">
        <f aca="false">I44*(1+IF(J$3&lt;=$O$2,$D44,$D44-($D44-$I$6)*MIN(J$3-$O$2,$Q$2)/$Q$2))</f>
        <v>8732.50456550558</v>
      </c>
      <c r="K44" s="15" t="n">
        <f aca="false">J44*(1+IF(K$3&lt;=$O$2,$D44,$D44-($D44-$I$6)*MIN(K$3-$O$2,$Q$2)/$Q$2))</f>
        <v>9241.127332426</v>
      </c>
      <c r="L44" s="15" t="n">
        <f aca="false">K44*(1+IF(L$3&lt;=$O$2,$D44,$D44-($D44-$I$6)*MIN(L$3-$O$2,$Q$2)/$Q$2))</f>
        <v>9687.13355741702</v>
      </c>
      <c r="M44" s="15" t="n">
        <f aca="false">L44*(1+IF(M$3&lt;=$O$2,$D44,$D44-($D44-$I$6)*MIN(M$3-$O$2,$Q$2)/$Q$2))</f>
        <v>10057.9724499087</v>
      </c>
      <c r="N44" s="15" t="n">
        <f aca="false">M44*(1+IF(N$3&lt;=$O$2,$D44,$D44-($D44-$I$6)*MIN(N$3-$O$2,$Q$2)/$Q$2))</f>
        <v>10342.6130702411</v>
      </c>
      <c r="O44" s="15" t="n">
        <f aca="false">SUMPRODUCT(E44:N44,1/(1+$F$6)^$E$3:$N$3)*$E$2</f>
        <v>20932.6172110235</v>
      </c>
      <c r="P44" s="15" t="n">
        <f aca="false">N44*$E$2*(1+$I$6)/($F$6-$I$6)/(1+$F$6)^$N$3</f>
        <v>40082.3827880375</v>
      </c>
      <c r="Q44" s="15" t="n">
        <f aca="false">O44+P44</f>
        <v>61014.999999061</v>
      </c>
      <c r="R44" s="15" t="n">
        <f aca="false">Q44-$G$2+$I$2</f>
        <v>52249.999999061</v>
      </c>
      <c r="S44" s="40" t="n">
        <f aca="false">R44/$K$2</f>
        <v>93.4738273266682</v>
      </c>
      <c r="T44" s="41" t="n">
        <f aca="false">S44-$M$2</f>
        <v>-1.67987934673874E-009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0.0782079589662317</v>
      </c>
      <c r="C45" s="25" t="n">
        <f aca="false">IF(T44&gt;0,D44,C44)</f>
        <v>0.0782079589771456</v>
      </c>
      <c r="D45" s="39" t="n">
        <f aca="false">(B45+C45)/2</f>
        <v>0.0782079589716886</v>
      </c>
      <c r="E45" s="15" t="n">
        <f aca="false">$C$2*(1+IF(E$3&lt;=$O$2,$D45,$D45-($D45-$I$6)*MIN(E$3-$O$2,$Q$2)/$Q$2))</f>
        <v>6048.74664983117</v>
      </c>
      <c r="F45" s="15" t="n">
        <f aca="false">E45*(1+IF(F$3&lt;=$O$2,$D45,$D45-($D45-$I$6)*MIN(F$3-$O$2,$Q$2)/$Q$2))</f>
        <v>6521.80677965131</v>
      </c>
      <c r="G45" s="15" t="n">
        <f aca="false">F45*(1+IF(G$3&lt;=$O$2,$D45,$D45-($D45-$I$6)*MIN(G$3-$O$2,$Q$2)/$Q$2))</f>
        <v>7031.86397669556</v>
      </c>
      <c r="H45" s="15" t="n">
        <f aca="false">G45*(1+IF(H$3&lt;=$O$2,$D45,$D45-($D45-$I$6)*MIN(H$3-$O$2,$Q$2)/$Q$2))</f>
        <v>7581.81170607946</v>
      </c>
      <c r="I45" s="15" t="n">
        <f aca="false">H45*(1+IF(I$3&lt;=$O$2,$D45,$D45-($D45-$I$6)*MIN(I$3-$O$2,$Q$2)/$Q$2))</f>
        <v>8174.76972491959</v>
      </c>
      <c r="J45" s="15" t="n">
        <f aca="false">I45*(1+IF(J$3&lt;=$O$2,$D45,$D45-($D45-$I$6)*MIN(J$3-$O$2,$Q$2)/$Q$2))</f>
        <v>8732.50456576225</v>
      </c>
      <c r="K45" s="15" t="n">
        <f aca="false">J45*(1+IF(K$3&lt;=$O$2,$D45,$D45-($D45-$I$6)*MIN(K$3-$O$2,$Q$2)/$Q$2))</f>
        <v>9241.12733272621</v>
      </c>
      <c r="L45" s="15" t="n">
        <f aca="false">K45*(1+IF(L$3&lt;=$O$2,$D45,$D45-($D45-$I$6)*MIN(L$3-$O$2,$Q$2)/$Q$2))</f>
        <v>9687.1335577519</v>
      </c>
      <c r="M45" s="15" t="n">
        <f aca="false">L45*(1+IF(M$3&lt;=$O$2,$D45,$D45-($D45-$I$6)*MIN(M$3-$O$2,$Q$2)/$Q$2))</f>
        <v>10057.972450267</v>
      </c>
      <c r="N45" s="15" t="n">
        <f aca="false">M45*(1+IF(N$3&lt;=$O$2,$D45,$D45-($D45-$I$6)*MIN(N$3-$O$2,$Q$2)/$Q$2))</f>
        <v>10342.6130706095</v>
      </c>
      <c r="O45" s="15" t="n">
        <f aca="false">SUMPRODUCT(E45:N45,1/(1+$F$6)^$E$3:$N$3)*$E$2</f>
        <v>20932.6172115271</v>
      </c>
      <c r="P45" s="15" t="n">
        <f aca="false">N45*$E$2*(1+$I$6)/($F$6-$I$6)/(1+$F$6)^$N$3</f>
        <v>40082.3827894652</v>
      </c>
      <c r="Q45" s="15" t="n">
        <f aca="false">O45+P45</f>
        <v>61015.0000009923</v>
      </c>
      <c r="R45" s="15" t="n">
        <f aca="false">Q45-$G$2+$I$2</f>
        <v>52250.0000009923</v>
      </c>
      <c r="S45" s="40" t="n">
        <f aca="false">R45/$K$2</f>
        <v>93.4738273301233</v>
      </c>
      <c r="T45" s="41" t="n">
        <f aca="false">S45-$M$2</f>
        <v>1.77521997102303E-009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0.0782079589662317</v>
      </c>
      <c r="C46" s="25" t="n">
        <f aca="false">IF(T45&gt;0,D45,C45)</f>
        <v>0.0782079589716886</v>
      </c>
      <c r="D46" s="39" t="n">
        <f aca="false">(B46+C46)/2</f>
        <v>0.0782079589689602</v>
      </c>
      <c r="E46" s="15" t="n">
        <f aca="false">$C$2*(1+IF(E$3&lt;=$O$2,$D46,$D46-($D46-$I$6)*MIN(E$3-$O$2,$Q$2)/$Q$2))</f>
        <v>6048.74664981587</v>
      </c>
      <c r="F46" s="15" t="n">
        <f aca="false">E46*(1+IF(F$3&lt;=$O$2,$D46,$D46-($D46-$I$6)*MIN(F$3-$O$2,$Q$2)/$Q$2))</f>
        <v>6521.8067796183</v>
      </c>
      <c r="G46" s="15" t="n">
        <f aca="false">F46*(1+IF(G$3&lt;=$O$2,$D46,$D46-($D46-$I$6)*MIN(G$3-$O$2,$Q$2)/$Q$2))</f>
        <v>7031.86397664218</v>
      </c>
      <c r="H46" s="15" t="n">
        <f aca="false">G46*(1+IF(H$3&lt;=$O$2,$D46,$D46-($D46-$I$6)*MIN(H$3-$O$2,$Q$2)/$Q$2))</f>
        <v>7581.81170600272</v>
      </c>
      <c r="I46" s="15" t="n">
        <f aca="false">H46*(1+IF(I$3&lt;=$O$2,$D46,$D46-($D46-$I$6)*MIN(I$3-$O$2,$Q$2)/$Q$2))</f>
        <v>8174.76972481616</v>
      </c>
      <c r="J46" s="15" t="n">
        <f aca="false">I46*(1+IF(J$3&lt;=$O$2,$D46,$D46-($D46-$I$6)*MIN(J$3-$O$2,$Q$2)/$Q$2))</f>
        <v>8732.50456563391</v>
      </c>
      <c r="K46" s="15" t="n">
        <f aca="false">J46*(1+IF(K$3&lt;=$O$2,$D46,$D46-($D46-$I$6)*MIN(K$3-$O$2,$Q$2)/$Q$2))</f>
        <v>9241.1273325761</v>
      </c>
      <c r="L46" s="15" t="n">
        <f aca="false">K46*(1+IF(L$3&lt;=$O$2,$D46,$D46-($D46-$I$6)*MIN(L$3-$O$2,$Q$2)/$Q$2))</f>
        <v>9687.13355758446</v>
      </c>
      <c r="M46" s="15" t="n">
        <f aca="false">L46*(1+IF(M$3&lt;=$O$2,$D46,$D46-($D46-$I$6)*MIN(M$3-$O$2,$Q$2)/$Q$2))</f>
        <v>10057.9724500879</v>
      </c>
      <c r="N46" s="15" t="n">
        <f aca="false">M46*(1+IF(N$3&lt;=$O$2,$D46,$D46-($D46-$I$6)*MIN(N$3-$O$2,$Q$2)/$Q$2))</f>
        <v>10342.6130704253</v>
      </c>
      <c r="O46" s="15" t="n">
        <f aca="false">SUMPRODUCT(E46:N46,1/(1+$F$6)^$E$3:$N$3)*$E$2</f>
        <v>20932.6172112753</v>
      </c>
      <c r="P46" s="15" t="n">
        <f aca="false">N46*$E$2*(1+$I$6)/($F$6-$I$6)/(1+$F$6)^$N$3</f>
        <v>40082.3827887513</v>
      </c>
      <c r="Q46" s="15" t="n">
        <f aca="false">O46+P46</f>
        <v>61015.0000000267</v>
      </c>
      <c r="R46" s="15" t="n">
        <f aca="false">Q46-$G$2+$I$2</f>
        <v>52250.0000000267</v>
      </c>
      <c r="S46" s="40" t="n">
        <f aca="false">R46/$K$2</f>
        <v>93.4738273283958</v>
      </c>
      <c r="T46" s="41" t="n">
        <f aca="false">S46-$M$2</f>
        <v>4.76774175695027E-011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0.0782079589662317</v>
      </c>
      <c r="C47" s="25" t="n">
        <f aca="false">IF(T46&gt;0,D46,C46)</f>
        <v>0.0782079589689602</v>
      </c>
      <c r="D47" s="39" t="n">
        <f aca="false">(B47+C47)/2</f>
        <v>0.0782079589675959</v>
      </c>
      <c r="E47" s="15" t="n">
        <f aca="false">$C$2*(1+IF(E$3&lt;=$O$2,$D47,$D47-($D47-$I$6)*MIN(E$3-$O$2,$Q$2)/$Q$2))</f>
        <v>6048.74664980821</v>
      </c>
      <c r="F47" s="15" t="n">
        <f aca="false">E47*(1+IF(F$3&lt;=$O$2,$D47,$D47-($D47-$I$6)*MIN(F$3-$O$2,$Q$2)/$Q$2))</f>
        <v>6521.8067796018</v>
      </c>
      <c r="G47" s="15" t="n">
        <f aca="false">F47*(1+IF(G$3&lt;=$O$2,$D47,$D47-($D47-$I$6)*MIN(G$3-$O$2,$Q$2)/$Q$2))</f>
        <v>7031.86397661548</v>
      </c>
      <c r="H47" s="15" t="n">
        <f aca="false">G47*(1+IF(H$3&lt;=$O$2,$D47,$D47-($D47-$I$6)*MIN(H$3-$O$2,$Q$2)/$Q$2))</f>
        <v>7581.81170596434</v>
      </c>
      <c r="I47" s="15" t="n">
        <f aca="false">H47*(1+IF(I$3&lt;=$O$2,$D47,$D47-($D47-$I$6)*MIN(I$3-$O$2,$Q$2)/$Q$2))</f>
        <v>8174.76972476444</v>
      </c>
      <c r="J47" s="15" t="n">
        <f aca="false">I47*(1+IF(J$3&lt;=$O$2,$D47,$D47-($D47-$I$6)*MIN(J$3-$O$2,$Q$2)/$Q$2))</f>
        <v>8732.50456556975</v>
      </c>
      <c r="K47" s="15" t="n">
        <f aca="false">J47*(1+IF(K$3&lt;=$O$2,$D47,$D47-($D47-$I$6)*MIN(K$3-$O$2,$Q$2)/$Q$2))</f>
        <v>9241.12733250105</v>
      </c>
      <c r="L47" s="15" t="n">
        <f aca="false">K47*(1+IF(L$3&lt;=$O$2,$D47,$D47-($D47-$I$6)*MIN(L$3-$O$2,$Q$2)/$Q$2))</f>
        <v>9687.13355750075</v>
      </c>
      <c r="M47" s="15" t="n">
        <f aca="false">L47*(1+IF(M$3&lt;=$O$2,$D47,$D47-($D47-$I$6)*MIN(M$3-$O$2,$Q$2)/$Q$2))</f>
        <v>10057.9724499983</v>
      </c>
      <c r="N47" s="15" t="n">
        <f aca="false">M47*(1+IF(N$3&lt;=$O$2,$D47,$D47-($D47-$I$6)*MIN(N$3-$O$2,$Q$2)/$Q$2))</f>
        <v>10342.6130703332</v>
      </c>
      <c r="O47" s="15" t="n">
        <f aca="false">SUMPRODUCT(E47:N47,1/(1+$F$6)^$E$3:$N$3)*$E$2</f>
        <v>20932.6172111494</v>
      </c>
      <c r="P47" s="15" t="n">
        <f aca="false">N47*$E$2*(1+$I$6)/($F$6-$I$6)/(1+$F$6)^$N$3</f>
        <v>40082.3827883944</v>
      </c>
      <c r="Q47" s="15" t="n">
        <f aca="false">O47+P47</f>
        <v>61014.9999995438</v>
      </c>
      <c r="R47" s="15" t="n">
        <f aca="false">Q47-$G$2+$I$2</f>
        <v>52249.9999995438</v>
      </c>
      <c r="S47" s="40" t="n">
        <f aca="false">R47/$K$2</f>
        <v>93.473827327532</v>
      </c>
      <c r="T47" s="41" t="n">
        <f aca="false">S47-$M$2</f>
        <v>-8.16100964584621E-010</v>
      </c>
    </row>
    <row r="49" customFormat="false" ht="15" hidden="false" customHeight="false" outlineLevel="0" collapsed="false">
      <c r="A49" s="36" t="s">
        <v>187</v>
      </c>
      <c r="E49" s="5" t="s">
        <v>11</v>
      </c>
      <c r="F49" s="12" t="n">
        <f aca="false">Sensitivity!$B$10</f>
        <v>0.0667360315529091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6" t="s">
        <v>167</v>
      </c>
      <c r="B50" s="28" t="s">
        <v>168</v>
      </c>
      <c r="C50" s="28" t="s">
        <v>169</v>
      </c>
      <c r="D50" s="28" t="s">
        <v>170</v>
      </c>
      <c r="E50" s="28" t="s">
        <v>171</v>
      </c>
      <c r="F50" s="28" t="s">
        <v>172</v>
      </c>
      <c r="G50" s="28" t="s">
        <v>173</v>
      </c>
      <c r="H50" s="28" t="s">
        <v>174</v>
      </c>
      <c r="I50" s="28" t="s">
        <v>175</v>
      </c>
      <c r="J50" s="28" t="s">
        <v>176</v>
      </c>
      <c r="K50" s="28" t="s">
        <v>177</v>
      </c>
      <c r="L50" s="28" t="s">
        <v>178</v>
      </c>
      <c r="M50" s="28" t="s">
        <v>179</v>
      </c>
      <c r="N50" s="28" t="s">
        <v>180</v>
      </c>
      <c r="O50" s="28" t="s">
        <v>181</v>
      </c>
      <c r="P50" s="28" t="s">
        <v>182</v>
      </c>
      <c r="Q50" s="28" t="s">
        <v>183</v>
      </c>
      <c r="R50" s="28" t="s">
        <v>184</v>
      </c>
      <c r="S50" s="28" t="s">
        <v>185</v>
      </c>
      <c r="T50" s="28" t="s">
        <v>186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39" t="n">
        <f aca="false">(B51+C51)/2</f>
        <v>0.25</v>
      </c>
      <c r="E51" s="15" t="n">
        <f aca="false">$C$2*(1+IF(E$3&lt;=$O$2,$D51,$D51-($D51-$I$49)*MIN(E$3-$O$2,$Q$2)/$Q$2))</f>
        <v>7012.5</v>
      </c>
      <c r="F51" s="15" t="n">
        <f aca="false">E51*(1+IF(F$3&lt;=$O$2,$D51,$D51-($D51-$I$49)*MIN(F$3-$O$2,$Q$2)/$Q$2))</f>
        <v>8765.625</v>
      </c>
      <c r="G51" s="15" t="n">
        <f aca="false">F51*(1+IF(G$3&lt;=$O$2,$D51,$D51-($D51-$I$49)*MIN(G$3-$O$2,$Q$2)/$Q$2))</f>
        <v>10957.03125</v>
      </c>
      <c r="H51" s="15" t="n">
        <f aca="false">G51*(1+IF(H$3&lt;=$O$2,$D51,$D51-($D51-$I$49)*MIN(H$3-$O$2,$Q$2)/$Q$2))</f>
        <v>13696.2890625</v>
      </c>
      <c r="I51" s="15" t="n">
        <f aca="false">H51*(1+IF(I$3&lt;=$O$2,$D51,$D51-($D51-$I$49)*MIN(I$3-$O$2,$Q$2)/$Q$2))</f>
        <v>17120.361328125</v>
      </c>
      <c r="J51" s="15" t="n">
        <f aca="false">I51*(1+IF(J$3&lt;=$O$2,$D51,$D51-($D51-$I$49)*MIN(J$3-$O$2,$Q$2)/$Q$2))</f>
        <v>20607.0941162109</v>
      </c>
      <c r="K51" s="15" t="n">
        <f aca="false">J51*(1+IF(K$3&lt;=$O$2,$D51,$D51-($D51-$I$49)*MIN(K$3-$O$2,$Q$2)/$Q$2))</f>
        <v>23849.0021625732</v>
      </c>
      <c r="L51" s="15" t="n">
        <f aca="false">K51*(1+IF(L$3&lt;=$O$2,$D51,$D51-($D51-$I$49)*MIN(L$3-$O$2,$Q$2)/$Q$2))</f>
        <v>26495.7644225756</v>
      </c>
      <c r="M51" s="15" t="n">
        <f aca="false">L51*(1+IF(M$3&lt;=$O$2,$D51,$D51-($D51-$I$49)*MIN(M$3-$O$2,$Q$2)/$Q$2))</f>
        <v>28208.4506348509</v>
      </c>
      <c r="N51" s="15" t="n">
        <f aca="false">M51*(1+IF(N$3&lt;=$O$2,$D51,$D51-($D51-$I$49)*MIN(N$3-$O$2,$Q$2)/$Q$2))</f>
        <v>28724.6652814687</v>
      </c>
      <c r="O51" s="15" t="n">
        <f aca="false">SUMPRODUCT(E51:N51,1/(1+$F$49)^$E$3:$N$3)*$E$2</f>
        <v>46670.928588381</v>
      </c>
      <c r="P51" s="15" t="n">
        <f aca="false">N51*$E$2*(1+$I$49)/($F$49-$I$49)/(1+$F$49)^$N$3</f>
        <v>121019.946220119</v>
      </c>
      <c r="Q51" s="15" t="n">
        <f aca="false">O51+P51</f>
        <v>167690.8748085</v>
      </c>
      <c r="R51" s="15" t="n">
        <f aca="false">Q51-$G$2+$I$2</f>
        <v>158925.8748085</v>
      </c>
      <c r="S51" s="40" t="n">
        <f aca="false">R51/$K$2</f>
        <v>284.314062772372</v>
      </c>
      <c r="T51" s="41" t="n">
        <f aca="false">S51-$M$2</f>
        <v>190.840235444024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39" t="n">
        <f aca="false">(B52+C52)/2</f>
        <v>-0.125</v>
      </c>
      <c r="E52" s="15" t="n">
        <f aca="false">$C$2*(1+IF(E$3&lt;=$O$2,$D52,$D52-($D52-$I$49)*MIN(E$3-$O$2,$Q$2)/$Q$2))</f>
        <v>4908.75</v>
      </c>
      <c r="F52" s="15" t="n">
        <f aca="false">E52*(1+IF(F$3&lt;=$O$2,$D52,$D52-($D52-$I$49)*MIN(F$3-$O$2,$Q$2)/$Q$2))</f>
        <v>4295.15625</v>
      </c>
      <c r="G52" s="15" t="n">
        <f aca="false">F52*(1+IF(G$3&lt;=$O$2,$D52,$D52-($D52-$I$49)*MIN(G$3-$O$2,$Q$2)/$Q$2))</f>
        <v>3758.26171875</v>
      </c>
      <c r="H52" s="15" t="n">
        <f aca="false">G52*(1+IF(H$3&lt;=$O$2,$D52,$D52-($D52-$I$49)*MIN(H$3-$O$2,$Q$2)/$Q$2))</f>
        <v>3288.47900390625</v>
      </c>
      <c r="I52" s="15" t="n">
        <f aca="false">H52*(1+IF(I$3&lt;=$O$2,$D52,$D52-($D52-$I$49)*MIN(I$3-$O$2,$Q$2)/$Q$2))</f>
        <v>2877.41912841797</v>
      </c>
      <c r="J52" s="15" t="n">
        <f aca="false">I52*(1+IF(J$3&lt;=$O$2,$D52,$D52-($D52-$I$49)*MIN(J$3-$O$2,$Q$2)/$Q$2))</f>
        <v>2600.20856958618</v>
      </c>
      <c r="K52" s="15" t="n">
        <f aca="false">J52*(1+IF(K$3&lt;=$O$2,$D52,$D52-($D52-$I$49)*MIN(K$3-$O$2,$Q$2)/$Q$2))</f>
        <v>2424.22645359659</v>
      </c>
      <c r="L52" s="15" t="n">
        <f aca="false">K52*(1+IF(L$3&lt;=$O$2,$D52,$D52-($D52-$I$49)*MIN(L$3-$O$2,$Q$2)/$Q$2))</f>
        <v>2329.63313737725</v>
      </c>
      <c r="M52" s="15" t="n">
        <f aca="false">L52*(1+IF(M$3&lt;=$O$2,$D52,$D52-($D52-$I$49)*MIN(M$3-$O$2,$Q$2)/$Q$2))</f>
        <v>2305.49813807402</v>
      </c>
      <c r="N52" s="15" t="n">
        <f aca="false">M52*(1+IF(N$3&lt;=$O$2,$D52,$D52-($D52-$I$49)*MIN(N$3-$O$2,$Q$2)/$Q$2))</f>
        <v>2347.68875400078</v>
      </c>
      <c r="O52" s="15" t="n">
        <f aca="false">SUMPRODUCT(E52:N52,1/(1+$F$49)^$E$3:$N$3)*$E$2</f>
        <v>8913.00810948765</v>
      </c>
      <c r="P52" s="15" t="n">
        <f aca="false">N52*$E$2*(1+$I$49)/($F$49-$I$49)/(1+$F$49)^$N$3</f>
        <v>9891.05230528298</v>
      </c>
      <c r="Q52" s="15" t="n">
        <f aca="false">O52+P52</f>
        <v>18804.0604147706</v>
      </c>
      <c r="R52" s="15" t="n">
        <f aca="false">Q52-$G$2+$I$2</f>
        <v>10039.0604147706</v>
      </c>
      <c r="S52" s="40" t="n">
        <f aca="false">R52/$K$2</f>
        <v>17.9596057368253</v>
      </c>
      <c r="T52" s="41" t="n">
        <f aca="false">S52-$M$2</f>
        <v>-75.5142215915227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39" t="n">
        <f aca="false">(B53+C53)/2</f>
        <v>0.0625</v>
      </c>
      <c r="E53" s="15" t="n">
        <f aca="false">$C$2*(1+IF(E$3&lt;=$O$2,$D53,$D53-($D53-$I$49)*MIN(E$3-$O$2,$Q$2)/$Q$2))</f>
        <v>5960.625</v>
      </c>
      <c r="F53" s="15" t="n">
        <f aca="false">E53*(1+IF(F$3&lt;=$O$2,$D53,$D53-($D53-$I$49)*MIN(F$3-$O$2,$Q$2)/$Q$2))</f>
        <v>6333.1640625</v>
      </c>
      <c r="G53" s="15" t="n">
        <f aca="false">F53*(1+IF(G$3&lt;=$O$2,$D53,$D53-($D53-$I$49)*MIN(G$3-$O$2,$Q$2)/$Q$2))</f>
        <v>6728.98681640625</v>
      </c>
      <c r="H53" s="15" t="n">
        <f aca="false">G53*(1+IF(H$3&lt;=$O$2,$D53,$D53-($D53-$I$49)*MIN(H$3-$O$2,$Q$2)/$Q$2))</f>
        <v>7149.54849243164</v>
      </c>
      <c r="I53" s="15" t="n">
        <f aca="false">H53*(1+IF(I$3&lt;=$O$2,$D53,$D53-($D53-$I$49)*MIN(I$3-$O$2,$Q$2)/$Q$2))</f>
        <v>7596.39527320862</v>
      </c>
      <c r="J53" s="15" t="n">
        <f aca="false">I53*(1+IF(J$3&lt;=$O$2,$D53,$D53-($D53-$I$49)*MIN(J$3-$O$2,$Q$2)/$Q$2))</f>
        <v>8004.01784356899</v>
      </c>
      <c r="K53" s="15" t="n">
        <f aca="false">J53*(1+IF(K$3&lt;=$O$2,$D53,$D53-($D53-$I$49)*MIN(K$3-$O$2,$Q$2)/$Q$2))</f>
        <v>8362.75792331776</v>
      </c>
      <c r="L53" s="15" t="n">
        <f aca="false">K53*(1+IF(L$3&lt;=$O$2,$D53,$D53-($D53-$I$49)*MIN(L$3-$O$2,$Q$2)/$Q$2))</f>
        <v>8663.64995339873</v>
      </c>
      <c r="M53" s="15" t="n">
        <f aca="false">L53*(1+IF(M$3&lt;=$O$2,$D53,$D53-($D53-$I$49)*MIN(M$3-$O$2,$Q$2)/$Q$2))</f>
        <v>8898.78141313397</v>
      </c>
      <c r="N53" s="15" t="n">
        <f aca="false">M53*(1+IF(N$3&lt;=$O$2,$D53,$D53-($D53-$I$49)*MIN(N$3-$O$2,$Q$2)/$Q$2))</f>
        <v>9061.62911299432</v>
      </c>
      <c r="O53" s="15" t="n">
        <f aca="false">SUMPRODUCT(E53:N53,1/(1+$F$49)^$E$3:$N$3)*$E$2</f>
        <v>20403.0809237378</v>
      </c>
      <c r="P53" s="15" t="n">
        <f aca="false">N53*$E$2*(1+$I$49)/($F$49-$I$49)/(1+$F$49)^$N$3</f>
        <v>38177.5682040313</v>
      </c>
      <c r="Q53" s="15" t="n">
        <f aca="false">O53+P53</f>
        <v>58580.6491277691</v>
      </c>
      <c r="R53" s="15" t="n">
        <f aca="false">Q53-$G$2+$I$2</f>
        <v>49815.6491277691</v>
      </c>
      <c r="S53" s="40" t="n">
        <f aca="false">R53/$K$2</f>
        <v>89.1188399008356</v>
      </c>
      <c r="T53" s="41" t="n">
        <f aca="false">S53-$M$2</f>
        <v>-4.35498742751246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0.0625</v>
      </c>
      <c r="C54" s="25" t="n">
        <f aca="false">IF(T53&gt;0,D53,C53)</f>
        <v>0.25</v>
      </c>
      <c r="D54" s="39" t="n">
        <f aca="false">(B54+C54)/2</f>
        <v>0.15625</v>
      </c>
      <c r="E54" s="15" t="n">
        <f aca="false">$C$2*(1+IF(E$3&lt;=$O$2,$D54,$D54-($D54-$I$49)*MIN(E$3-$O$2,$Q$2)/$Q$2))</f>
        <v>6486.5625</v>
      </c>
      <c r="F54" s="15" t="n">
        <f aca="false">E54*(1+IF(F$3&lt;=$O$2,$D54,$D54-($D54-$I$49)*MIN(F$3-$O$2,$Q$2)/$Q$2))</f>
        <v>7500.087890625</v>
      </c>
      <c r="G54" s="15" t="n">
        <f aca="false">F54*(1+IF(G$3&lt;=$O$2,$D54,$D54-($D54-$I$49)*MIN(G$3-$O$2,$Q$2)/$Q$2))</f>
        <v>8671.97662353516</v>
      </c>
      <c r="H54" s="15" t="n">
        <f aca="false">G54*(1+IF(H$3&lt;=$O$2,$D54,$D54-($D54-$I$49)*MIN(H$3-$O$2,$Q$2)/$Q$2))</f>
        <v>10026.9729709625</v>
      </c>
      <c r="I54" s="15" t="n">
        <f aca="false">H54*(1+IF(I$3&lt;=$O$2,$D54,$D54-($D54-$I$49)*MIN(I$3-$O$2,$Q$2)/$Q$2))</f>
        <v>11593.6874976754</v>
      </c>
      <c r="J54" s="15" t="n">
        <f aca="false">I54*(1+IF(J$3&lt;=$O$2,$D54,$D54-($D54-$I$49)*MIN(J$3-$O$2,$Q$2)/$Q$2))</f>
        <v>13085.3313311263</v>
      </c>
      <c r="K54" s="15" t="n">
        <f aca="false">J54*(1+IF(K$3&lt;=$O$2,$D54,$D54-($D54-$I$49)*MIN(K$3-$O$2,$Q$2)/$Q$2))</f>
        <v>14407.8657687633</v>
      </c>
      <c r="L54" s="15" t="n">
        <f aca="false">K54*(1+IF(L$3&lt;=$O$2,$D54,$D54-($D54-$I$49)*MIN(L$3-$O$2,$Q$2)/$Q$2))</f>
        <v>15466.555745452</v>
      </c>
      <c r="M54" s="15" t="n">
        <f aca="false">L54*(1+IF(M$3&lt;=$O$2,$D54,$D54-($D54-$I$49)*MIN(M$3-$O$2,$Q$2)/$Q$2))</f>
        <v>16176.3159886108</v>
      </c>
      <c r="N54" s="15" t="n">
        <f aca="false">M54*(1+IF(N$3&lt;=$O$2,$D54,$D54-($D54-$I$49)*MIN(N$3-$O$2,$Q$2)/$Q$2))</f>
        <v>16472.3425712024</v>
      </c>
      <c r="O54" s="15" t="n">
        <f aca="false">SUMPRODUCT(E54:N54,1/(1+$F$49)^$E$3:$N$3)*$E$2</f>
        <v>30933.0761453743</v>
      </c>
      <c r="P54" s="15" t="n">
        <f aca="false">N54*$E$2*(1+$I$49)/($F$49-$I$49)/(1+$F$49)^$N$3</f>
        <v>69399.6602763675</v>
      </c>
      <c r="Q54" s="15" t="n">
        <f aca="false">O54+P54</f>
        <v>100332.736421742</v>
      </c>
      <c r="R54" s="15" t="n">
        <f aca="false">Q54-$G$2+$I$2</f>
        <v>91567.7364217418</v>
      </c>
      <c r="S54" s="40" t="n">
        <f aca="false">R54/$K$2</f>
        <v>163.812187237006</v>
      </c>
      <c r="T54" s="41" t="n">
        <f aca="false">S54-$M$2</f>
        <v>70.3383599086582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0.0625</v>
      </c>
      <c r="C55" s="25" t="n">
        <f aca="false">IF(T54&gt;0,D54,C54)</f>
        <v>0.15625</v>
      </c>
      <c r="D55" s="39" t="n">
        <f aca="false">(B55+C55)/2</f>
        <v>0.109375</v>
      </c>
      <c r="E55" s="15" t="n">
        <f aca="false">$C$2*(1+IF(E$3&lt;=$O$2,$D55,$D55-($D55-$I$49)*MIN(E$3-$O$2,$Q$2)/$Q$2))</f>
        <v>6223.59375</v>
      </c>
      <c r="F55" s="15" t="n">
        <f aca="false">E55*(1+IF(F$3&lt;=$O$2,$D55,$D55-($D55-$I$49)*MIN(F$3-$O$2,$Q$2)/$Q$2))</f>
        <v>6904.29931640625</v>
      </c>
      <c r="G55" s="15" t="n">
        <f aca="false">F55*(1+IF(G$3&lt;=$O$2,$D55,$D55-($D55-$I$49)*MIN(G$3-$O$2,$Q$2)/$Q$2))</f>
        <v>7659.45705413818</v>
      </c>
      <c r="H55" s="15" t="n">
        <f aca="false">G55*(1+IF(H$3&lt;=$O$2,$D55,$D55-($D55-$I$49)*MIN(H$3-$O$2,$Q$2)/$Q$2))</f>
        <v>8497.21016943455</v>
      </c>
      <c r="I55" s="15" t="n">
        <f aca="false">H55*(1+IF(I$3&lt;=$O$2,$D55,$D55-($D55-$I$49)*MIN(I$3-$O$2,$Q$2)/$Q$2))</f>
        <v>9426.59253171645</v>
      </c>
      <c r="J55" s="15" t="n">
        <f aca="false">I55*(1+IF(J$3&lt;=$O$2,$D55,$D55-($D55-$I$49)*MIN(J$3-$O$2,$Q$2)/$Q$2))</f>
        <v>10285.9207069077</v>
      </c>
      <c r="K55" s="15" t="n">
        <f aca="false">J55*(1+IF(K$3&lt;=$O$2,$D55,$D55-($D55-$I$49)*MIN(K$3-$O$2,$Q$2)/$Q$2))</f>
        <v>11036.2271928731</v>
      </c>
      <c r="L55" s="15" t="n">
        <f aca="false">K55*(1+IF(L$3&lt;=$O$2,$D55,$D55-($D55-$I$49)*MIN(L$3-$O$2,$Q$2)/$Q$2))</f>
        <v>11640.2399071391</v>
      </c>
      <c r="M55" s="15" t="n">
        <f aca="false">L55*(1+IF(M$3&lt;=$O$2,$D55,$D55-($D55-$I$49)*MIN(M$3-$O$2,$Q$2)/$Q$2))</f>
        <v>12065.2832673482</v>
      </c>
      <c r="N55" s="15" t="n">
        <f aca="false">M55*(1+IF(N$3&lt;=$O$2,$D55,$D55-($D55-$I$49)*MIN(N$3-$O$2,$Q$2)/$Q$2))</f>
        <v>12286.0779511407</v>
      </c>
      <c r="O55" s="15" t="n">
        <f aca="false">SUMPRODUCT(E55:N55,1/(1+$F$49)^$E$3:$N$3)*$E$2</f>
        <v>25131.2231719476</v>
      </c>
      <c r="P55" s="15" t="n">
        <f aca="false">N55*$E$2*(1+$I$49)/($F$49-$I$49)/(1+$F$49)^$N$3</f>
        <v>51762.5002183218</v>
      </c>
      <c r="Q55" s="15" t="n">
        <f aca="false">O55+P55</f>
        <v>76893.7233902694</v>
      </c>
      <c r="R55" s="15" t="n">
        <f aca="false">Q55-$G$2+$I$2</f>
        <v>68128.7233902694</v>
      </c>
      <c r="S55" s="40" t="n">
        <f aca="false">R55/$K$2</f>
        <v>121.88043112503</v>
      </c>
      <c r="T55" s="41" t="n">
        <f aca="false">S55-$M$2</f>
        <v>28.4066037966822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0.0625</v>
      </c>
      <c r="C56" s="25" t="n">
        <f aca="false">IF(T55&gt;0,D55,C55)</f>
        <v>0.109375</v>
      </c>
      <c r="D56" s="39" t="n">
        <f aca="false">(B56+C56)/2</f>
        <v>0.0859375</v>
      </c>
      <c r="E56" s="15" t="n">
        <f aca="false">$C$2*(1+IF(E$3&lt;=$O$2,$D56,$D56-($D56-$I$49)*MIN(E$3-$O$2,$Q$2)/$Q$2))</f>
        <v>6092.109375</v>
      </c>
      <c r="F56" s="15" t="n">
        <f aca="false">E56*(1+IF(F$3&lt;=$O$2,$D56,$D56-($D56-$I$49)*MIN(F$3-$O$2,$Q$2)/$Q$2))</f>
        <v>6615.65002441406</v>
      </c>
      <c r="G56" s="15" t="n">
        <f aca="false">F56*(1+IF(G$3&lt;=$O$2,$D56,$D56-($D56-$I$49)*MIN(G$3-$O$2,$Q$2)/$Q$2))</f>
        <v>7184.18244838715</v>
      </c>
      <c r="H56" s="15" t="n">
        <f aca="false">G56*(1+IF(H$3&lt;=$O$2,$D56,$D56-($D56-$I$49)*MIN(H$3-$O$2,$Q$2)/$Q$2))</f>
        <v>7801.57312754542</v>
      </c>
      <c r="I56" s="15" t="n">
        <f aca="false">H56*(1+IF(I$3&lt;=$O$2,$D56,$D56-($D56-$I$49)*MIN(I$3-$O$2,$Q$2)/$Q$2))</f>
        <v>8472.02081819385</v>
      </c>
      <c r="J56" s="15" t="n">
        <f aca="false">I56*(1+IF(J$3&lt;=$O$2,$D56,$D56-($D56-$I$49)*MIN(J$3-$O$2,$Q$2)/$Q$2))</f>
        <v>9085.47984563927</v>
      </c>
      <c r="K56" s="15" t="n">
        <f aca="false">J56*(1+IF(K$3&lt;=$O$2,$D56,$D56-($D56-$I$49)*MIN(K$3-$O$2,$Q$2)/$Q$2))</f>
        <v>9620.45561265012</v>
      </c>
      <c r="L56" s="15" t="n">
        <f aca="false">K56*(1+IF(L$3&lt;=$O$2,$D56,$D56-($D56-$I$49)*MIN(L$3-$O$2,$Q$2)/$Q$2))</f>
        <v>10056.7913769619</v>
      </c>
      <c r="M56" s="15" t="n">
        <f aca="false">L56*(1+IF(M$3&lt;=$O$2,$D56,$D56-($D56-$I$49)*MIN(M$3-$O$2,$Q$2)/$Q$2))</f>
        <v>10376.8739045121</v>
      </c>
      <c r="N56" s="15" t="n">
        <f aca="false">M56*(1+IF(N$3&lt;=$O$2,$D56,$D56-($D56-$I$49)*MIN(N$3-$O$2,$Q$2)/$Q$2))</f>
        <v>10566.7706969647</v>
      </c>
      <c r="O56" s="15" t="n">
        <f aca="false">SUMPRODUCT(E56:N56,1/(1+$F$49)^$E$3:$N$3)*$E$2</f>
        <v>22645.2875810811</v>
      </c>
      <c r="P56" s="15" t="n">
        <f aca="false">N56*$E$2*(1+$I$49)/($F$49-$I$49)/(1+$F$49)^$N$3</f>
        <v>44518.8832989463</v>
      </c>
      <c r="Q56" s="15" t="n">
        <f aca="false">O56+P56</f>
        <v>67164.1708800274</v>
      </c>
      <c r="R56" s="15" t="n">
        <f aca="false">Q56-$G$2+$I$2</f>
        <v>58399.1708800274</v>
      </c>
      <c r="S56" s="40" t="n">
        <f aca="false">R56/$K$2</f>
        <v>104.474526602074</v>
      </c>
      <c r="T56" s="41" t="n">
        <f aca="false">S56-$M$2</f>
        <v>11.0006992737261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0.0625</v>
      </c>
      <c r="C57" s="25" t="n">
        <f aca="false">IF(T56&gt;0,D56,C56)</f>
        <v>0.0859375</v>
      </c>
      <c r="D57" s="39" t="n">
        <f aca="false">(B57+C57)/2</f>
        <v>0.07421875</v>
      </c>
      <c r="E57" s="15" t="n">
        <f aca="false">$C$2*(1+IF(E$3&lt;=$O$2,$D57,$D57-($D57-$I$49)*MIN(E$3-$O$2,$Q$2)/$Q$2))</f>
        <v>6026.3671875</v>
      </c>
      <c r="F57" s="15" t="n">
        <f aca="false">E57*(1+IF(F$3&lt;=$O$2,$D57,$D57-($D57-$I$49)*MIN(F$3-$O$2,$Q$2)/$Q$2))</f>
        <v>6473.63662719727</v>
      </c>
      <c r="G57" s="15" t="n">
        <f aca="false">F57*(1+IF(G$3&lt;=$O$2,$D57,$D57-($D57-$I$49)*MIN(G$3-$O$2,$Q$2)/$Q$2))</f>
        <v>6954.10184562206</v>
      </c>
      <c r="H57" s="15" t="n">
        <f aca="false">G57*(1+IF(H$3&lt;=$O$2,$D57,$D57-($D57-$I$49)*MIN(H$3-$O$2,$Q$2)/$Q$2))</f>
        <v>7470.22659197683</v>
      </c>
      <c r="I57" s="15" t="n">
        <f aca="false">H57*(1+IF(I$3&lt;=$O$2,$D57,$D57-($D57-$I$49)*MIN(I$3-$O$2,$Q$2)/$Q$2))</f>
        <v>8024.65747185011</v>
      </c>
      <c r="J57" s="15" t="n">
        <f aca="false">I57*(1+IF(J$3&lt;=$O$2,$D57,$D57-($D57-$I$49)*MIN(J$3-$O$2,$Q$2)/$Q$2))</f>
        <v>8530.49175558818</v>
      </c>
      <c r="K57" s="15" t="n">
        <f aca="false">J57*(1+IF(K$3&lt;=$O$2,$D57,$D57-($D57-$I$49)*MIN(K$3-$O$2,$Q$2)/$Q$2))</f>
        <v>8972.80841623012</v>
      </c>
      <c r="L57" s="15" t="n">
        <f aca="false">K57*(1+IF(L$3&lt;=$O$2,$D57,$D57-($D57-$I$49)*MIN(L$3-$O$2,$Q$2)/$Q$2))</f>
        <v>9337.71010249716</v>
      </c>
      <c r="M57" s="15" t="n">
        <f aca="false">L57*(1+IF(M$3&lt;=$O$2,$D57,$D57-($D57-$I$49)*MIN(M$3-$O$2,$Q$2)/$Q$2))</f>
        <v>9613.02081273166</v>
      </c>
      <c r="N57" s="15" t="n">
        <f aca="false">M57*(1+IF(N$3&lt;=$O$2,$D57,$D57-($D57-$I$49)*MIN(N$3-$O$2,$Q$2)/$Q$2))</f>
        <v>9788.93909360465</v>
      </c>
      <c r="O57" s="15" t="n">
        <f aca="false">SUMPRODUCT(E57:N57,1/(1+$F$49)^$E$3:$N$3)*$E$2</f>
        <v>21495.1536026021</v>
      </c>
      <c r="P57" s="15" t="n">
        <f aca="false">N57*$E$2*(1+$I$49)/($F$49-$I$49)/(1+$F$49)^$N$3</f>
        <v>41241.799375268</v>
      </c>
      <c r="Q57" s="15" t="n">
        <f aca="false">O57+P57</f>
        <v>62736.9529778701</v>
      </c>
      <c r="R57" s="15" t="n">
        <f aca="false">Q57-$G$2+$I$2</f>
        <v>53971.9529778701</v>
      </c>
      <c r="S57" s="40" t="n">
        <f aca="false">R57/$K$2</f>
        <v>96.5543543201369</v>
      </c>
      <c r="T57" s="41" t="n">
        <f aca="false">S57-$M$2</f>
        <v>3.08052699178883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0.0625</v>
      </c>
      <c r="C58" s="25" t="n">
        <f aca="false">IF(T57&gt;0,D57,C57)</f>
        <v>0.07421875</v>
      </c>
      <c r="D58" s="39" t="n">
        <f aca="false">(B58+C58)/2</f>
        <v>0.068359375</v>
      </c>
      <c r="E58" s="15" t="n">
        <f aca="false">$C$2*(1+IF(E$3&lt;=$O$2,$D58,$D58-($D58-$I$49)*MIN(E$3-$O$2,$Q$2)/$Q$2))</f>
        <v>5993.49609375</v>
      </c>
      <c r="F58" s="15" t="n">
        <f aca="false">E58*(1+IF(F$3&lt;=$O$2,$D58,$D58-($D58-$I$49)*MIN(F$3-$O$2,$Q$2)/$Q$2))</f>
        <v>6403.20774078369</v>
      </c>
      <c r="G58" s="15" t="n">
        <f aca="false">F58*(1+IF(G$3&lt;=$O$2,$D58,$D58-($D58-$I$49)*MIN(G$3-$O$2,$Q$2)/$Q$2))</f>
        <v>6840.92701993883</v>
      </c>
      <c r="H58" s="15" t="n">
        <f aca="false">G58*(1+IF(H$3&lt;=$O$2,$D58,$D58-($D58-$I$49)*MIN(H$3-$O$2,$Q$2)/$Q$2))</f>
        <v>7308.56851544246</v>
      </c>
      <c r="I58" s="15" t="n">
        <f aca="false">H58*(1+IF(I$3&lt;=$O$2,$D58,$D58-($D58-$I$49)*MIN(I$3-$O$2,$Q$2)/$Q$2))</f>
        <v>7808.17769130278</v>
      </c>
      <c r="J58" s="15" t="n">
        <f aca="false">I58*(1+IF(J$3&lt;=$O$2,$D58,$D58-($D58-$I$49)*MIN(J$3-$O$2,$Q$2)/$Q$2))</f>
        <v>8263.76533914607</v>
      </c>
      <c r="K58" s="15" t="n">
        <f aca="false">J58*(1+IF(K$3&lt;=$O$2,$D58,$D58-($D58-$I$49)*MIN(K$3-$O$2,$Q$2)/$Q$2))</f>
        <v>8663.19960166703</v>
      </c>
      <c r="L58" s="15" t="n">
        <f aca="false">K58*(1+IF(L$3&lt;=$O$2,$D58,$D58-($D58-$I$49)*MIN(L$3-$O$2,$Q$2)/$Q$2))</f>
        <v>8995.20589740142</v>
      </c>
      <c r="M58" s="15" t="n">
        <f aca="false">L58*(1+IF(M$3&lt;=$O$2,$D58,$D58-($D58-$I$49)*MIN(M$3-$O$2,$Q$2)/$Q$2))</f>
        <v>9249.87704236791</v>
      </c>
      <c r="N58" s="15" t="n">
        <f aca="false">M58*(1+IF(N$3&lt;=$O$2,$D58,$D58-($D58-$I$49)*MIN(N$3-$O$2,$Q$2)/$Q$2))</f>
        <v>9419.14979224324</v>
      </c>
      <c r="O58" s="15" t="n">
        <f aca="false">SUMPRODUCT(E58:N58,1/(1+$F$49)^$E$3:$N$3)*$E$2</f>
        <v>20942.0326091498</v>
      </c>
      <c r="P58" s="15" t="n">
        <f aca="false">N58*$E$2*(1+$I$49)/($F$49-$I$49)/(1+$F$49)^$N$3</f>
        <v>39683.8393111553</v>
      </c>
      <c r="Q58" s="15" t="n">
        <f aca="false">O58+P58</f>
        <v>60625.8719203052</v>
      </c>
      <c r="R58" s="15" t="n">
        <f aca="false">Q58-$G$2+$I$2</f>
        <v>51860.8719203052</v>
      </c>
      <c r="S58" s="40" t="n">
        <f aca="false">R58/$K$2</f>
        <v>92.7776877890178</v>
      </c>
      <c r="T58" s="41" t="n">
        <f aca="false">S58-$M$2</f>
        <v>-0.696139539330318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0.068359375</v>
      </c>
      <c r="C59" s="25" t="n">
        <f aca="false">IF(T58&gt;0,D58,C58)</f>
        <v>0.07421875</v>
      </c>
      <c r="D59" s="39" t="n">
        <f aca="false">(B59+C59)/2</f>
        <v>0.0712890625</v>
      </c>
      <c r="E59" s="15" t="n">
        <f aca="false">$C$2*(1+IF(E$3&lt;=$O$2,$D59,$D59-($D59-$I$49)*MIN(E$3-$O$2,$Q$2)/$Q$2))</f>
        <v>6009.931640625</v>
      </c>
      <c r="F59" s="15" t="n">
        <f aca="false">E59*(1+IF(F$3&lt;=$O$2,$D59,$D59-($D59-$I$49)*MIN(F$3-$O$2,$Q$2)/$Q$2))</f>
        <v>6438.37403297424</v>
      </c>
      <c r="G59" s="15" t="n">
        <f aca="false">F59*(1+IF(G$3&lt;=$O$2,$D59,$D59-($D59-$I$49)*MIN(G$3-$O$2,$Q$2)/$Q$2))</f>
        <v>6897.35968180932</v>
      </c>
      <c r="H59" s="15" t="n">
        <f aca="false">G59*(1+IF(H$3&lt;=$O$2,$D59,$D59-($D59-$I$49)*MIN(H$3-$O$2,$Q$2)/$Q$2))</f>
        <v>7389.06598725081</v>
      </c>
      <c r="I59" s="15" t="n">
        <f aca="false">H59*(1+IF(I$3&lt;=$O$2,$D59,$D59-($D59-$I$49)*MIN(I$3-$O$2,$Q$2)/$Q$2))</f>
        <v>7915.82557423255</v>
      </c>
      <c r="J59" s="15" t="n">
        <f aca="false">I59*(1+IF(J$3&lt;=$O$2,$D59,$D59-($D59-$I$49)*MIN(J$3-$O$2,$Q$2)/$Q$2))</f>
        <v>8396.2469231147</v>
      </c>
      <c r="K59" s="15" t="n">
        <f aca="false">J59*(1+IF(K$3&lt;=$O$2,$D59,$D59-($D59-$I$49)*MIN(K$3-$O$2,$Q$2)/$Q$2))</f>
        <v>8816.84379359231</v>
      </c>
      <c r="L59" s="15" t="n">
        <f aca="false">K59*(1+IF(L$3&lt;=$O$2,$D59,$D59-($D59-$I$49)*MIN(L$3-$O$2,$Q$2)/$Q$2))</f>
        <v>9165.07054974761</v>
      </c>
      <c r="M59" s="15" t="n">
        <f aca="false">L59*(1+IF(M$3&lt;=$O$2,$D59,$D59-($D59-$I$49)*MIN(M$3-$O$2,$Q$2)/$Q$2))</f>
        <v>9429.92104004349</v>
      </c>
      <c r="N59" s="15" t="n">
        <f aca="false">M59*(1+IF(N$3&lt;=$O$2,$D59,$D59-($D59-$I$49)*MIN(N$3-$O$2,$Q$2)/$Q$2))</f>
        <v>9602.48859507628</v>
      </c>
      <c r="O59" s="15" t="n">
        <f aca="false">SUMPRODUCT(E59:N59,1/(1+$F$49)^$E$3:$N$3)*$E$2</f>
        <v>21216.8005968148</v>
      </c>
      <c r="P59" s="15" t="n">
        <f aca="false">N59*$E$2*(1+$I$49)/($F$49-$I$49)/(1+$F$49)^$N$3</f>
        <v>40456.2643974532</v>
      </c>
      <c r="Q59" s="15" t="n">
        <f aca="false">O59+P59</f>
        <v>61673.064994268</v>
      </c>
      <c r="R59" s="15" t="n">
        <f aca="false">Q59-$G$2+$I$2</f>
        <v>52908.064994268</v>
      </c>
      <c r="S59" s="40" t="n">
        <f aca="false">R59/$K$2</f>
        <v>94.6510876851909</v>
      </c>
      <c r="T59" s="41" t="n">
        <f aca="false">S59-$M$2</f>
        <v>1.17726035684284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0.068359375</v>
      </c>
      <c r="C60" s="25" t="n">
        <f aca="false">IF(T59&gt;0,D59,C59)</f>
        <v>0.0712890625</v>
      </c>
      <c r="D60" s="39" t="n">
        <f aca="false">(B60+C60)/2</f>
        <v>0.06982421875</v>
      </c>
      <c r="E60" s="15" t="n">
        <f aca="false">$C$2*(1+IF(E$3&lt;=$O$2,$D60,$D60-($D60-$I$49)*MIN(E$3-$O$2,$Q$2)/$Q$2))</f>
        <v>6001.7138671875</v>
      </c>
      <c r="F60" s="15" t="n">
        <f aca="false">E60*(1+IF(F$3&lt;=$O$2,$D60,$D60-($D60-$I$49)*MIN(F$3-$O$2,$Q$2)/$Q$2))</f>
        <v>6420.77884912491</v>
      </c>
      <c r="G60" s="15" t="n">
        <f aca="false">F60*(1+IF(G$3&lt;=$O$2,$D60,$D60-($D60-$I$49)*MIN(G$3-$O$2,$Q$2)/$Q$2))</f>
        <v>6869.10471603158</v>
      </c>
      <c r="H60" s="15" t="n">
        <f aca="false">G60*(1+IF(H$3&lt;=$O$2,$D60,$D60-($D60-$I$49)*MIN(H$3-$O$2,$Q$2)/$Q$2))</f>
        <v>7348.73458634043</v>
      </c>
      <c r="I60" s="15" t="n">
        <f aca="false">H60*(1+IF(I$3&lt;=$O$2,$D60,$D60-($D60-$I$49)*MIN(I$3-$O$2,$Q$2)/$Q$2))</f>
        <v>7861.85423763275</v>
      </c>
      <c r="J60" s="15" t="n">
        <f aca="false">I60*(1+IF(J$3&lt;=$O$2,$D60,$D60-($D60-$I$49)*MIN(J$3-$O$2,$Q$2)/$Q$2))</f>
        <v>8329.78688819775</v>
      </c>
      <c r="K60" s="15" t="n">
        <f aca="false">J60*(1+IF(K$3&lt;=$O$2,$D60,$D60-($D60-$I$49)*MIN(K$3-$O$2,$Q$2)/$Q$2))</f>
        <v>8739.7334453128</v>
      </c>
      <c r="L60" s="15" t="n">
        <f aca="false">K60*(1+IF(L$3&lt;=$O$2,$D60,$D60-($D60-$I$49)*MIN(L$3-$O$2,$Q$2)/$Q$2))</f>
        <v>9079.79374250322</v>
      </c>
      <c r="M60" s="15" t="n">
        <f aca="false">L60*(1+IF(M$3&lt;=$O$2,$D60,$D60-($D60-$I$49)*MIN(M$3-$O$2,$Q$2)/$Q$2))</f>
        <v>9339.51982378975</v>
      </c>
      <c r="N60" s="15" t="n">
        <f aca="false">M60*(1+IF(N$3&lt;=$O$2,$D60,$D60-($D60-$I$49)*MIN(N$3-$O$2,$Q$2)/$Q$2))</f>
        <v>9510.4330365651</v>
      </c>
      <c r="O60" s="15" t="n">
        <f aca="false">SUMPRODUCT(E60:N60,1/(1+$F$49)^$E$3:$N$3)*$E$2</f>
        <v>21078.9711612778</v>
      </c>
      <c r="P60" s="15" t="n">
        <f aca="false">N60*$E$2*(1+$I$49)/($F$49-$I$49)/(1+$F$49)^$N$3</f>
        <v>40068.4249350566</v>
      </c>
      <c r="Q60" s="15" t="n">
        <f aca="false">O60+P60</f>
        <v>61147.3960963344</v>
      </c>
      <c r="R60" s="15" t="n">
        <f aca="false">Q60-$G$2+$I$2</f>
        <v>52382.3960963344</v>
      </c>
      <c r="S60" s="40" t="n">
        <f aca="false">R60/$K$2</f>
        <v>93.7106803397875</v>
      </c>
      <c r="T60" s="41" t="n">
        <f aca="false">S60-$M$2</f>
        <v>0.236853011439436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0.068359375</v>
      </c>
      <c r="C61" s="25" t="n">
        <f aca="false">IF(T60&gt;0,D60,C60)</f>
        <v>0.06982421875</v>
      </c>
      <c r="D61" s="39" t="n">
        <f aca="false">(B61+C61)/2</f>
        <v>0.069091796875</v>
      </c>
      <c r="E61" s="15" t="n">
        <f aca="false">$C$2*(1+IF(E$3&lt;=$O$2,$D61,$D61-($D61-$I$49)*MIN(E$3-$O$2,$Q$2)/$Q$2))</f>
        <v>5997.60498046875</v>
      </c>
      <c r="F61" s="15" t="n">
        <f aca="false">E61*(1+IF(F$3&lt;=$O$2,$D61,$D61-($D61-$I$49)*MIN(F$3-$O$2,$Q$2)/$Q$2))</f>
        <v>6411.99028551579</v>
      </c>
      <c r="G61" s="15" t="n">
        <f aca="false">F61*(1+IF(G$3&lt;=$O$2,$D61,$D61-($D61-$I$49)*MIN(G$3-$O$2,$Q$2)/$Q$2))</f>
        <v>6855.00621588712</v>
      </c>
      <c r="H61" s="15" t="n">
        <f aca="false">G61*(1+IF(H$3&lt;=$O$2,$D61,$D61-($D61-$I$49)*MIN(H$3-$O$2,$Q$2)/$Q$2))</f>
        <v>7328.63091293205</v>
      </c>
      <c r="I61" s="15" t="n">
        <f aca="false">H61*(1+IF(I$3&lt;=$O$2,$D61,$D61-($D61-$I$49)*MIN(I$3-$O$2,$Q$2)/$Q$2))</f>
        <v>7834.9791913402</v>
      </c>
      <c r="J61" s="15" t="n">
        <f aca="false">I61*(1+IF(J$3&lt;=$O$2,$D61,$D61-($D61-$I$49)*MIN(J$3-$O$2,$Q$2)/$Q$2))</f>
        <v>8296.72144782684</v>
      </c>
      <c r="K61" s="15" t="n">
        <f aca="false">J61*(1+IF(K$3&lt;=$O$2,$D61,$D61-($D61-$I$49)*MIN(K$3-$O$2,$Q$2)/$Q$2))</f>
        <v>8701.39468462596</v>
      </c>
      <c r="L61" s="15" t="n">
        <f aca="false">K61*(1+IF(L$3&lt;=$O$2,$D61,$D61-($D61-$I$49)*MIN(L$3-$O$2,$Q$2)/$Q$2))</f>
        <v>9037.41399589491</v>
      </c>
      <c r="M61" s="15" t="n">
        <f aca="false">L61*(1+IF(M$3&lt;=$O$2,$D61,$D61-($D61-$I$49)*MIN(M$3-$O$2,$Q$2)/$Q$2))</f>
        <v>9294.60397121074</v>
      </c>
      <c r="N61" s="15" t="n">
        <f aca="false">M61*(1+IF(N$3&lt;=$O$2,$D61,$D61-($D61-$I$49)*MIN(N$3-$O$2,$Q$2)/$Q$2))</f>
        <v>9464.6952238839</v>
      </c>
      <c r="O61" s="15" t="n">
        <f aca="false">SUMPRODUCT(E61:N61,1/(1+$F$49)^$E$3:$N$3)*$E$2</f>
        <v>21010.3908589574</v>
      </c>
      <c r="P61" s="15" t="n">
        <f aca="false">N61*$E$2*(1+$I$49)/($F$49-$I$49)/(1+$F$49)^$N$3</f>
        <v>39875.7268626277</v>
      </c>
      <c r="Q61" s="15" t="n">
        <f aca="false">O61+P61</f>
        <v>60886.117721585</v>
      </c>
      <c r="R61" s="15" t="n">
        <f aca="false">Q61-$G$2+$I$2</f>
        <v>52121.117721585</v>
      </c>
      <c r="S61" s="40" t="n">
        <f aca="false">R61/$K$2</f>
        <v>93.2432604414917</v>
      </c>
      <c r="T61" s="41" t="n">
        <f aca="false">S61-$M$2</f>
        <v>-0.23056688685638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0.069091796875</v>
      </c>
      <c r="C62" s="25" t="n">
        <f aca="false">IF(T61&gt;0,D61,C61)</f>
        <v>0.06982421875</v>
      </c>
      <c r="D62" s="39" t="n">
        <f aca="false">(B62+C62)/2</f>
        <v>0.0694580078125</v>
      </c>
      <c r="E62" s="15" t="n">
        <f aca="false">$C$2*(1+IF(E$3&lt;=$O$2,$D62,$D62-($D62-$I$49)*MIN(E$3-$O$2,$Q$2)/$Q$2))</f>
        <v>5999.65942382813</v>
      </c>
      <c r="F62" s="15" t="n">
        <f aca="false">E62*(1+IF(F$3&lt;=$O$2,$D62,$D62-($D62-$I$49)*MIN(F$3-$O$2,$Q$2)/$Q$2))</f>
        <v>6416.38381496072</v>
      </c>
      <c r="G62" s="15" t="n">
        <f aca="false">F62*(1+IF(G$3&lt;=$O$2,$D62,$D62-($D62-$I$49)*MIN(G$3-$O$2,$Q$2)/$Q$2))</f>
        <v>6862.05305210826</v>
      </c>
      <c r="H62" s="15" t="n">
        <f aca="false">G62*(1+IF(H$3&lt;=$O$2,$D62,$D62-($D62-$I$49)*MIN(H$3-$O$2,$Q$2)/$Q$2))</f>
        <v>7338.67758661138</v>
      </c>
      <c r="I62" s="15" t="n">
        <f aca="false">H62*(1+IF(I$3&lt;=$O$2,$D62,$D62-($D62-$I$49)*MIN(I$3-$O$2,$Q$2)/$Q$2))</f>
        <v>7848.40751175566</v>
      </c>
      <c r="J62" s="15" t="n">
        <f aca="false">I62*(1+IF(J$3&lt;=$O$2,$D62,$D62-($D62-$I$49)*MIN(J$3-$O$2,$Q$2)/$Q$2))</f>
        <v>8313.24048346245</v>
      </c>
      <c r="K62" s="15" t="n">
        <f aca="false">J62*(1+IF(K$3&lt;=$O$2,$D62,$D62-($D62-$I$49)*MIN(K$3-$O$2,$Q$2)/$Q$2))</f>
        <v>8720.54607726991</v>
      </c>
      <c r="L62" s="15" t="n">
        <f aca="false">K62*(1+IF(L$3&lt;=$O$2,$D62,$D62-($D62-$I$49)*MIN(L$3-$O$2,$Q$2)/$Q$2))</f>
        <v>9058.58237622404</v>
      </c>
      <c r="M62" s="15" t="n">
        <f aca="false">L62*(1+IF(M$3&lt;=$O$2,$D62,$D62-($D62-$I$49)*MIN(M$3-$O$2,$Q$2)/$Q$2))</f>
        <v>9317.03823930355</v>
      </c>
      <c r="N62" s="15" t="n">
        <f aca="false">M62*(1+IF(N$3&lt;=$O$2,$D62,$D62-($D62-$I$49)*MIN(N$3-$O$2,$Q$2)/$Q$2))</f>
        <v>9487.54003908281</v>
      </c>
      <c r="O62" s="15" t="n">
        <f aca="false">SUMPRODUCT(E62:N62,1/(1+$F$49)^$E$3:$N$3)*$E$2</f>
        <v>21044.6532118502</v>
      </c>
      <c r="P62" s="15" t="n">
        <f aca="false">N62*$E$2*(1+$I$49)/($F$49-$I$49)/(1+$F$49)^$N$3</f>
        <v>39971.9744004037</v>
      </c>
      <c r="Q62" s="15" t="n">
        <f aca="false">O62+P62</f>
        <v>61016.6276122538</v>
      </c>
      <c r="R62" s="15" t="n">
        <f aca="false">Q62-$G$2+$I$2</f>
        <v>52251.6276122538</v>
      </c>
      <c r="S62" s="40" t="n">
        <f aca="false">R62/$K$2</f>
        <v>93.4767390823533</v>
      </c>
      <c r="T62" s="41" t="n">
        <f aca="false">S62-$M$2</f>
        <v>0.00291175400521126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0.069091796875</v>
      </c>
      <c r="C63" s="25" t="n">
        <f aca="false">IF(T62&gt;0,D62,C62)</f>
        <v>0.0694580078125</v>
      </c>
      <c r="D63" s="39" t="n">
        <f aca="false">(B63+C63)/2</f>
        <v>0.06927490234375</v>
      </c>
      <c r="E63" s="15" t="n">
        <f aca="false">$C$2*(1+IF(E$3&lt;=$O$2,$D63,$D63-($D63-$I$49)*MIN(E$3-$O$2,$Q$2)/$Q$2))</f>
        <v>5998.63220214844</v>
      </c>
      <c r="F63" s="15" t="n">
        <f aca="false">E63*(1+IF(F$3&lt;=$O$2,$D63,$D63-($D63-$I$49)*MIN(F$3-$O$2,$Q$2)/$Q$2))</f>
        <v>6414.18686214834</v>
      </c>
      <c r="G63" s="15" t="n">
        <f aca="false">F63*(1+IF(G$3&lt;=$O$2,$D63,$D63-($D63-$I$49)*MIN(G$3-$O$2,$Q$2)/$Q$2))</f>
        <v>6858.52903063824</v>
      </c>
      <c r="H63" s="15" t="n">
        <f aca="false">G63*(1+IF(H$3&lt;=$O$2,$D63,$D63-($D63-$I$49)*MIN(H$3-$O$2,$Q$2)/$Q$2))</f>
        <v>7333.65295945747</v>
      </c>
      <c r="I63" s="15" t="n">
        <f aca="false">H63*(1+IF(I$3&lt;=$O$2,$D63,$D63-($D63-$I$49)*MIN(I$3-$O$2,$Q$2)/$Q$2))</f>
        <v>7841.69105204684</v>
      </c>
      <c r="J63" s="15" t="n">
        <f aca="false">I63*(1+IF(J$3&lt;=$O$2,$D63,$D63-($D63-$I$49)*MIN(J$3-$O$2,$Q$2)/$Q$2))</f>
        <v>8304.97754676966</v>
      </c>
      <c r="K63" s="15" t="n">
        <f aca="false">J63*(1+IF(K$3&lt;=$O$2,$D63,$D63-($D63-$I$49)*MIN(K$3-$O$2,$Q$2)/$Q$2))</f>
        <v>8710.96588752372</v>
      </c>
      <c r="L63" s="15" t="n">
        <f aca="false">K63*(1+IF(L$3&lt;=$O$2,$D63,$D63-($D63-$I$49)*MIN(L$3-$O$2,$Q$2)/$Q$2))</f>
        <v>9047.9928174399</v>
      </c>
      <c r="M63" s="15" t="n">
        <f aca="false">L63*(1+IF(M$3&lt;=$O$2,$D63,$D63-($D63-$I$49)*MIN(M$3-$O$2,$Q$2)/$Q$2))</f>
        <v>9305.81519605424</v>
      </c>
      <c r="N63" s="15" t="n">
        <f aca="false">M63*(1+IF(N$3&lt;=$O$2,$D63,$D63-($D63-$I$49)*MIN(N$3-$O$2,$Q$2)/$Q$2))</f>
        <v>9476.11161414204</v>
      </c>
      <c r="O63" s="15" t="n">
        <f aca="false">SUMPRODUCT(E63:N63,1/(1+$F$49)^$E$3:$N$3)*$E$2</f>
        <v>21027.5150910541</v>
      </c>
      <c r="P63" s="15" t="n">
        <f aca="false">N63*$E$2*(1+$I$49)/($F$49-$I$49)/(1+$F$49)^$N$3</f>
        <v>39923.8252798426</v>
      </c>
      <c r="Q63" s="15" t="n">
        <f aca="false">O63+P63</f>
        <v>60951.3403708967</v>
      </c>
      <c r="R63" s="15" t="n">
        <f aca="false">Q63-$G$2+$I$2</f>
        <v>52186.3403708967</v>
      </c>
      <c r="S63" s="40" t="n">
        <f aca="false">R63/$K$2</f>
        <v>93.3599419852172</v>
      </c>
      <c r="T63" s="41" t="n">
        <f aca="false">S63-$M$2</f>
        <v>-0.113885343130889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0.06927490234375</v>
      </c>
      <c r="C64" s="25" t="n">
        <f aca="false">IF(T63&gt;0,D63,C63)</f>
        <v>0.0694580078125</v>
      </c>
      <c r="D64" s="39" t="n">
        <f aca="false">(B64+C64)/2</f>
        <v>0.069366455078125</v>
      </c>
      <c r="E64" s="15" t="n">
        <f aca="false">$C$2*(1+IF(E$3&lt;=$O$2,$D64,$D64-($D64-$I$49)*MIN(E$3-$O$2,$Q$2)/$Q$2))</f>
        <v>5999.14581298828</v>
      </c>
      <c r="F64" s="15" t="n">
        <f aca="false">E64*(1+IF(F$3&lt;=$O$2,$D64,$D64-($D64-$I$49)*MIN(F$3-$O$2,$Q$2)/$Q$2))</f>
        <v>6415.28529153205</v>
      </c>
      <c r="G64" s="15" t="n">
        <f aca="false">F64*(1+IF(G$3&lt;=$O$2,$D64,$D64-($D64-$I$49)*MIN(G$3-$O$2,$Q$2)/$Q$2))</f>
        <v>6860.29089052047</v>
      </c>
      <c r="H64" s="15" t="n">
        <f aca="false">G64*(1+IF(H$3&lt;=$O$2,$D64,$D64-($D64-$I$49)*MIN(H$3-$O$2,$Q$2)/$Q$2))</f>
        <v>7336.16495040063</v>
      </c>
      <c r="I64" s="15" t="n">
        <f aca="false">H64*(1+IF(I$3&lt;=$O$2,$D64,$D64-($D64-$I$49)*MIN(I$3-$O$2,$Q$2)/$Q$2))</f>
        <v>7845.04870687831</v>
      </c>
      <c r="J64" s="15" t="n">
        <f aca="false">I64*(1+IF(J$3&lt;=$O$2,$D64,$D64-($D64-$I$49)*MIN(J$3-$O$2,$Q$2)/$Q$2))</f>
        <v>8309.10816011458</v>
      </c>
      <c r="K64" s="15" t="n">
        <f aca="false">J64*(1+IF(K$3&lt;=$O$2,$D64,$D64-($D64-$I$49)*MIN(K$3-$O$2,$Q$2)/$Q$2))</f>
        <v>8715.75485860334</v>
      </c>
      <c r="L64" s="15" t="n">
        <f aca="false">K64*(1+IF(L$3&lt;=$O$2,$D64,$D64-($D64-$I$49)*MIN(L$3-$O$2,$Q$2)/$Q$2))</f>
        <v>9053.28625409931</v>
      </c>
      <c r="M64" s="15" t="n">
        <f aca="false">L64*(1+IF(M$3&lt;=$O$2,$D64,$D64-($D64-$I$49)*MIN(M$3-$O$2,$Q$2)/$Q$2))</f>
        <v>9311.4252397102</v>
      </c>
      <c r="N64" s="15" t="n">
        <f aca="false">M64*(1+IF(N$3&lt;=$O$2,$D64,$D64-($D64-$I$49)*MIN(N$3-$O$2,$Q$2)/$Q$2))</f>
        <v>9481.8243215969</v>
      </c>
      <c r="O64" s="15" t="n">
        <f aca="false">SUMPRODUCT(E64:N64,1/(1+$F$49)^$E$3:$N$3)*$E$2</f>
        <v>21036.0824147128</v>
      </c>
      <c r="P64" s="15" t="n">
        <f aca="false">N64*$E$2*(1+$I$49)/($F$49-$I$49)/(1+$F$49)^$N$3</f>
        <v>39947.8934993392</v>
      </c>
      <c r="Q64" s="15" t="n">
        <f aca="false">O64+P64</f>
        <v>60983.975914052</v>
      </c>
      <c r="R64" s="15" t="n">
        <f aca="false">Q64-$G$2+$I$2</f>
        <v>52218.975914052</v>
      </c>
      <c r="S64" s="40" t="n">
        <f aca="false">R64/$K$2</f>
        <v>93.418326083316</v>
      </c>
      <c r="T64" s="41" t="n">
        <f aca="false">S64-$M$2</f>
        <v>-0.0555012450320618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0.069366455078125</v>
      </c>
      <c r="C65" s="25" t="n">
        <f aca="false">IF(T64&gt;0,D64,C64)</f>
        <v>0.0694580078125</v>
      </c>
      <c r="D65" s="39" t="n">
        <f aca="false">(B65+C65)/2</f>
        <v>0.0694122314453125</v>
      </c>
      <c r="E65" s="15" t="n">
        <f aca="false">$C$2*(1+IF(E$3&lt;=$O$2,$D65,$D65-($D65-$I$49)*MIN(E$3-$O$2,$Q$2)/$Q$2))</f>
        <v>5999.4026184082</v>
      </c>
      <c r="F65" s="15" t="n">
        <f aca="false">E65*(1+IF(F$3&lt;=$O$2,$D65,$D65-($D65-$I$49)*MIN(F$3-$O$2,$Q$2)/$Q$2))</f>
        <v>6415.83454149077</v>
      </c>
      <c r="G65" s="15" t="n">
        <f aca="false">F65*(1+IF(G$3&lt;=$O$2,$D65,$D65-($D65-$I$49)*MIN(G$3-$O$2,$Q$2)/$Q$2))</f>
        <v>6861.17193359956</v>
      </c>
      <c r="H65" s="15" t="n">
        <f aca="false">G65*(1+IF(H$3&lt;=$O$2,$D65,$D65-($D65-$I$49)*MIN(H$3-$O$2,$Q$2)/$Q$2))</f>
        <v>7337.42118784065</v>
      </c>
      <c r="I65" s="15" t="n">
        <f aca="false">H65*(1+IF(I$3&lt;=$O$2,$D65,$D65-($D65-$I$49)*MIN(I$3-$O$2,$Q$2)/$Q$2))</f>
        <v>7846.72796554279</v>
      </c>
      <c r="J65" s="15" t="n">
        <f aca="false">I65*(1+IF(J$3&lt;=$O$2,$D65,$D65-($D65-$I$49)*MIN(J$3-$O$2,$Q$2)/$Q$2))</f>
        <v>8311.1741080028</v>
      </c>
      <c r="K65" s="15" t="n">
        <f aca="false">J65*(1+IF(K$3&lt;=$O$2,$D65,$D65-($D65-$I$49)*MIN(K$3-$O$2,$Q$2)/$Q$2))</f>
        <v>8718.15018693357</v>
      </c>
      <c r="L65" s="15" t="n">
        <f aca="false">K65*(1+IF(L$3&lt;=$O$2,$D65,$D65-($D65-$I$49)*MIN(L$3-$O$2,$Q$2)/$Q$2))</f>
        <v>9055.93397940627</v>
      </c>
      <c r="M65" s="15" t="n">
        <f aca="false">L65*(1+IF(M$3&lt;=$O$2,$D65,$D65-($D65-$I$49)*MIN(M$3-$O$2,$Q$2)/$Q$2))</f>
        <v>9314.23136993118</v>
      </c>
      <c r="N65" s="15" t="n">
        <f aca="false">M65*(1+IF(N$3&lt;=$O$2,$D65,$D65-($D65-$I$49)*MIN(N$3-$O$2,$Q$2)/$Q$2))</f>
        <v>9484.68180400092</v>
      </c>
      <c r="O65" s="15" t="n">
        <f aca="false">SUMPRODUCT(E65:N65,1/(1+$F$49)^$E$3:$N$3)*$E$2</f>
        <v>21040.3673790152</v>
      </c>
      <c r="P65" s="15" t="n">
        <f aca="false">N65*$E$2*(1+$I$49)/($F$49-$I$49)/(1+$F$49)^$N$3</f>
        <v>39959.9323643171</v>
      </c>
      <c r="Q65" s="15" t="n">
        <f aca="false">O65+P65</f>
        <v>61000.2997433323</v>
      </c>
      <c r="R65" s="15" t="n">
        <f aca="false">Q65-$G$2+$I$2</f>
        <v>52235.2997433323</v>
      </c>
      <c r="S65" s="40" t="n">
        <f aca="false">R65/$K$2</f>
        <v>93.4475289694305</v>
      </c>
      <c r="T65" s="41" t="n">
        <f aca="false">S65-$M$2</f>
        <v>-0.026298358917586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0.0694122314453125</v>
      </c>
      <c r="C66" s="25" t="n">
        <f aca="false">IF(T65&gt;0,D65,C65)</f>
        <v>0.0694580078125</v>
      </c>
      <c r="D66" s="39" t="n">
        <f aca="false">(B66+C66)/2</f>
        <v>0.0694351196289063</v>
      </c>
      <c r="E66" s="15" t="n">
        <f aca="false">$C$2*(1+IF(E$3&lt;=$O$2,$D66,$D66-($D66-$I$49)*MIN(E$3-$O$2,$Q$2)/$Q$2))</f>
        <v>5999.53102111816</v>
      </c>
      <c r="F66" s="15" t="n">
        <f aca="false">E66*(1+IF(F$3&lt;=$O$2,$D66,$D66-($D66-$I$49)*MIN(F$3-$O$2,$Q$2)/$Q$2))</f>
        <v>6416.10917528684</v>
      </c>
      <c r="G66" s="15" t="n">
        <f aca="false">F66*(1+IF(G$3&lt;=$O$2,$D66,$D66-($D66-$I$49)*MIN(G$3-$O$2,$Q$2)/$Q$2))</f>
        <v>6861.612483425</v>
      </c>
      <c r="H66" s="15" t="n">
        <f aca="false">G66*(1+IF(H$3&lt;=$O$2,$D66,$D66-($D66-$I$49)*MIN(H$3-$O$2,$Q$2)/$Q$2))</f>
        <v>7338.04936705881</v>
      </c>
      <c r="I66" s="15" t="n">
        <f aca="false">H66*(1+IF(I$3&lt;=$O$2,$D66,$D66-($D66-$I$49)*MIN(I$3-$O$2,$Q$2)/$Q$2))</f>
        <v>7847.56770270336</v>
      </c>
      <c r="J66" s="15" t="n">
        <f aca="false">I66*(1+IF(J$3&lt;=$O$2,$D66,$D66-($D66-$I$49)*MIN(J$3-$O$2,$Q$2)/$Q$2))</f>
        <v>8312.20724228178</v>
      </c>
      <c r="K66" s="15" t="n">
        <f aca="false">J66*(1+IF(K$3&lt;=$O$2,$D66,$D66-($D66-$I$49)*MIN(K$3-$O$2,$Q$2)/$Q$2))</f>
        <v>8719.34806184414</v>
      </c>
      <c r="L66" s="15" t="n">
        <f aca="false">K66*(1+IF(L$3&lt;=$O$2,$D66,$D66-($D66-$I$49)*MIN(L$3-$O$2,$Q$2)/$Q$2))</f>
        <v>9057.25809386727</v>
      </c>
      <c r="M66" s="15" t="n">
        <f aca="false">L66*(1+IF(M$3&lt;=$O$2,$D66,$D66-($D66-$I$49)*MIN(M$3-$O$2,$Q$2)/$Q$2))</f>
        <v>9315.634712213</v>
      </c>
      <c r="N66" s="15" t="n">
        <f aca="false">M66*(1+IF(N$3&lt;=$O$2,$D66,$D66-($D66-$I$49)*MIN(N$3-$O$2,$Q$2)/$Q$2))</f>
        <v>9486.1108274465</v>
      </c>
      <c r="O66" s="15" t="n">
        <f aca="false">SUMPRODUCT(E66:N66,1/(1+$F$49)^$E$3:$N$3)*$E$2</f>
        <v>21042.5101868559</v>
      </c>
      <c r="P66" s="15" t="n">
        <f aca="false">N66*$E$2*(1+$I$49)/($F$49-$I$49)/(1+$F$49)^$N$3</f>
        <v>39965.952985927</v>
      </c>
      <c r="Q66" s="15" t="n">
        <f aca="false">O66+P66</f>
        <v>61008.4631727829</v>
      </c>
      <c r="R66" s="15" t="n">
        <f aca="false">Q66-$G$2+$I$2</f>
        <v>52243.4631727829</v>
      </c>
      <c r="S66" s="40" t="n">
        <f aca="false">R66/$K$2</f>
        <v>93.4621331224425</v>
      </c>
      <c r="T66" s="41" t="n">
        <f aca="false">S66-$M$2</f>
        <v>-0.0116942059056129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0.0694351196289063</v>
      </c>
      <c r="C67" s="25" t="n">
        <f aca="false">IF(T66&gt;0,D66,C66)</f>
        <v>0.0694580078125</v>
      </c>
      <c r="D67" s="39" t="n">
        <f aca="false">(B67+C67)/2</f>
        <v>0.0694465637207031</v>
      </c>
      <c r="E67" s="15" t="n">
        <f aca="false">$C$2*(1+IF(E$3&lt;=$O$2,$D67,$D67-($D67-$I$49)*MIN(E$3-$O$2,$Q$2)/$Q$2))</f>
        <v>5999.59522247314</v>
      </c>
      <c r="F67" s="15" t="n">
        <f aca="false">E67*(1+IF(F$3&lt;=$O$2,$D67,$D67-($D67-$I$49)*MIN(F$3-$O$2,$Q$2)/$Q$2))</f>
        <v>6416.24649438905</v>
      </c>
      <c r="G67" s="15" t="n">
        <f aca="false">F67*(1+IF(G$3&lt;=$O$2,$D67,$D67-($D67-$I$49)*MIN(G$3-$O$2,$Q$2)/$Q$2))</f>
        <v>6861.83276540938</v>
      </c>
      <c r="H67" s="15" t="n">
        <f aca="false">G67*(1+IF(H$3&lt;=$O$2,$D67,$D67-($D67-$I$49)*MIN(H$3-$O$2,$Q$2)/$Q$2))</f>
        <v>7338.36347179319</v>
      </c>
      <c r="I67" s="15" t="n">
        <f aca="false">H67*(1+IF(I$3&lt;=$O$2,$D67,$D67-($D67-$I$49)*MIN(I$3-$O$2,$Q$2)/$Q$2))</f>
        <v>7847.98759824276</v>
      </c>
      <c r="J67" s="15" t="n">
        <f aca="false">I67*(1+IF(J$3&lt;=$O$2,$D67,$D67-($D67-$I$49)*MIN(J$3-$O$2,$Q$2)/$Q$2))</f>
        <v>8312.72384950885</v>
      </c>
      <c r="K67" s="15" t="n">
        <f aca="false">J67*(1+IF(K$3&lt;=$O$2,$D67,$D67-($D67-$I$49)*MIN(K$3-$O$2,$Q$2)/$Q$2))</f>
        <v>8719.94705199177</v>
      </c>
      <c r="L67" s="15" t="n">
        <f aca="false">K67*(1+IF(L$3&lt;=$O$2,$D67,$D67-($D67-$I$49)*MIN(L$3-$O$2,$Q$2)/$Q$2))</f>
        <v>9057.92021405756</v>
      </c>
      <c r="M67" s="15" t="n">
        <f aca="false">L67*(1+IF(M$3&lt;=$O$2,$D67,$D67-($D67-$I$49)*MIN(M$3-$O$2,$Q$2)/$Q$2))</f>
        <v>9316.33645265588</v>
      </c>
      <c r="N67" s="15" t="n">
        <f aca="false">M67*(1+IF(N$3&lt;=$O$2,$D67,$D67-($D67-$I$49)*MIN(N$3-$O$2,$Q$2)/$Q$2))</f>
        <v>9486.82540973948</v>
      </c>
      <c r="O67" s="15" t="n">
        <f aca="false">SUMPRODUCT(E67:N67,1/(1+$F$49)^$E$3:$N$3)*$E$2</f>
        <v>21043.5816722076</v>
      </c>
      <c r="P67" s="15" t="n">
        <f aca="false">N67*$E$2*(1+$I$49)/($F$49-$I$49)/(1+$F$49)^$N$3</f>
        <v>39968.9635940514</v>
      </c>
      <c r="Q67" s="15" t="n">
        <f aca="false">O67+P67</f>
        <v>61012.545266259</v>
      </c>
      <c r="R67" s="15" t="n">
        <f aca="false">Q67-$G$2+$I$2</f>
        <v>52247.545266259</v>
      </c>
      <c r="S67" s="40" t="n">
        <f aca="false">R67/$K$2</f>
        <v>93.4694358765233</v>
      </c>
      <c r="T67" s="41" t="n">
        <f aca="false">S67-$M$2</f>
        <v>-0.00439145182483003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0.0694465637207031</v>
      </c>
      <c r="C68" s="25" t="n">
        <f aca="false">IF(T67&gt;0,D67,C67)</f>
        <v>0.0694580078125</v>
      </c>
      <c r="D68" s="39" t="n">
        <f aca="false">(B68+C68)/2</f>
        <v>0.0694522857666016</v>
      </c>
      <c r="E68" s="15" t="n">
        <f aca="false">$C$2*(1+IF(E$3&lt;=$O$2,$D68,$D68-($D68-$I$49)*MIN(E$3-$O$2,$Q$2)/$Q$2))</f>
        <v>5999.62732315064</v>
      </c>
      <c r="F68" s="15" t="n">
        <f aca="false">E68*(1+IF(F$3&lt;=$O$2,$D68,$D68-($D68-$I$49)*MIN(F$3-$O$2,$Q$2)/$Q$2))</f>
        <v>6416.3151544912</v>
      </c>
      <c r="G68" s="15" t="n">
        <f aca="false">F68*(1+IF(G$3&lt;=$O$2,$D68,$D68-($D68-$I$49)*MIN(G$3-$O$2,$Q$2)/$Q$2))</f>
        <v>6861.9429081695</v>
      </c>
      <c r="H68" s="15" t="n">
        <f aca="false">G68*(1+IF(H$3&lt;=$O$2,$D68,$D68-($D68-$I$49)*MIN(H$3-$O$2,$Q$2)/$Q$2))</f>
        <v>7338.5205279418</v>
      </c>
      <c r="I68" s="15" t="n">
        <f aca="false">H68*(1+IF(I$3&lt;=$O$2,$D68,$D68-($D68-$I$49)*MIN(I$3-$O$2,$Q$2)/$Q$2))</f>
        <v>7848.19755275248</v>
      </c>
      <c r="J68" s="15" t="n">
        <f aca="false">I68*(1+IF(J$3&lt;=$O$2,$D68,$D68-($D68-$I$49)*MIN(J$3-$O$2,$Q$2)/$Q$2))</f>
        <v>8312.98216314476</v>
      </c>
      <c r="K68" s="15" t="n">
        <f aca="false">J68*(1+IF(K$3&lt;=$O$2,$D68,$D68-($D68-$I$49)*MIN(K$3-$O$2,$Q$2)/$Q$2))</f>
        <v>8720.24656023942</v>
      </c>
      <c r="L68" s="15" t="n">
        <f aca="false">K68*(1+IF(L$3&lt;=$O$2,$D68,$D68-($D68-$I$49)*MIN(L$3-$O$2,$Q$2)/$Q$2))</f>
        <v>9058.25128989363</v>
      </c>
      <c r="M68" s="15" t="n">
        <f aca="false">L68*(1+IF(M$3&lt;=$O$2,$D68,$D68-($D68-$I$49)*MIN(M$3-$O$2,$Q$2)/$Q$2))</f>
        <v>9316.68734020395</v>
      </c>
      <c r="N68" s="15" t="n">
        <f aca="false">M68*(1+IF(N$3&lt;=$O$2,$D68,$D68-($D68-$I$49)*MIN(N$3-$O$2,$Q$2)/$Q$2))</f>
        <v>9487.18271852968</v>
      </c>
      <c r="O68" s="15" t="n">
        <f aca="false">SUMPRODUCT(E68:N68,1/(1+$F$49)^$E$3:$N$3)*$E$2</f>
        <v>21044.1174352423</v>
      </c>
      <c r="P68" s="15" t="n">
        <f aca="false">N68*$E$2*(1+$I$49)/($F$49-$I$49)/(1+$F$49)^$N$3</f>
        <v>39970.4689724483</v>
      </c>
      <c r="Q68" s="15" t="n">
        <f aca="false">O68+P68</f>
        <v>61014.5864076907</v>
      </c>
      <c r="R68" s="15" t="n">
        <f aca="false">Q68-$G$2+$I$2</f>
        <v>52249.5864076907</v>
      </c>
      <c r="S68" s="40" t="n">
        <f aca="false">R68/$K$2</f>
        <v>93.473087422968</v>
      </c>
      <c r="T68" s="41" t="n">
        <f aca="false">S68-$M$2</f>
        <v>-0.000739905380044093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0.0694522857666016</v>
      </c>
      <c r="C69" s="25" t="n">
        <f aca="false">IF(T68&gt;0,D68,C68)</f>
        <v>0.0694580078125</v>
      </c>
      <c r="D69" s="39" t="n">
        <f aca="false">(B69+C69)/2</f>
        <v>0.0694551467895508</v>
      </c>
      <c r="E69" s="15" t="n">
        <f aca="false">$C$2*(1+IF(E$3&lt;=$O$2,$D69,$D69-($D69-$I$49)*MIN(E$3-$O$2,$Q$2)/$Q$2))</f>
        <v>5999.64337348938</v>
      </c>
      <c r="F69" s="15" t="n">
        <f aca="false">E69*(1+IF(F$3&lt;=$O$2,$D69,$D69-($D69-$I$49)*MIN(F$3-$O$2,$Q$2)/$Q$2))</f>
        <v>6416.34948468004</v>
      </c>
      <c r="G69" s="15" t="n">
        <f aca="false">F69*(1+IF(G$3&lt;=$O$2,$D69,$D69-($D69-$I$49)*MIN(G$3-$O$2,$Q$2)/$Q$2))</f>
        <v>6861.99797999155</v>
      </c>
      <c r="H69" s="15" t="n">
        <f aca="false">G69*(1+IF(H$3&lt;=$O$2,$D69,$D69-($D69-$I$49)*MIN(H$3-$O$2,$Q$2)/$Q$2))</f>
        <v>7338.59905696147</v>
      </c>
      <c r="I69" s="15" t="n">
        <f aca="false">H69*(1+IF(I$3&lt;=$O$2,$D69,$D69-($D69-$I$49)*MIN(I$3-$O$2,$Q$2)/$Q$2))</f>
        <v>7848.30253169238</v>
      </c>
      <c r="J69" s="15" t="n">
        <f aca="false">I69*(1+IF(J$3&lt;=$O$2,$D69,$D69-($D69-$I$49)*MIN(J$3-$O$2,$Q$2)/$Q$2))</f>
        <v>8313.11132246837</v>
      </c>
      <c r="K69" s="15" t="n">
        <f aca="false">J69*(1+IF(K$3&lt;=$O$2,$D69,$D69-($D69-$I$49)*MIN(K$3-$O$2,$Q$2)/$Q$2))</f>
        <v>8720.39631765679</v>
      </c>
      <c r="L69" s="15" t="n">
        <f aca="false">K69*(1+IF(L$3&lt;=$O$2,$D69,$D69-($D69-$I$49)*MIN(L$3-$O$2,$Q$2)/$Q$2))</f>
        <v>9058.41683174703</v>
      </c>
      <c r="M69" s="15" t="n">
        <f aca="false">L69*(1+IF(M$3&lt;=$O$2,$D69,$D69-($D69-$I$49)*MIN(M$3-$O$2,$Q$2)/$Q$2))</f>
        <v>9316.86278830979</v>
      </c>
      <c r="N69" s="15" t="n">
        <f aca="false">M69*(1+IF(N$3&lt;=$O$2,$D69,$D69-($D69-$I$49)*MIN(N$3-$O$2,$Q$2)/$Q$2))</f>
        <v>9487.36137733586</v>
      </c>
      <c r="O69" s="15" t="n">
        <f aca="false">SUMPRODUCT(E69:N69,1/(1+$F$49)^$E$3:$N$3)*$E$2</f>
        <v>21044.3853218496</v>
      </c>
      <c r="P69" s="15" t="n">
        <f aca="false">N69*$E$2*(1+$I$49)/($F$49-$I$49)/(1+$F$49)^$N$3</f>
        <v>39971.2216802311</v>
      </c>
      <c r="Q69" s="15" t="n">
        <f aca="false">O69+P69</f>
        <v>61015.6070020807</v>
      </c>
      <c r="R69" s="15" t="n">
        <f aca="false">Q69-$G$2+$I$2</f>
        <v>52250.6070020807</v>
      </c>
      <c r="S69" s="40" t="n">
        <f aca="false">R69/$K$2</f>
        <v>93.4749132385429</v>
      </c>
      <c r="T69" s="41" t="n">
        <f aca="false">S69-$M$2</f>
        <v>0.0010859101948455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0.0694522857666016</v>
      </c>
      <c r="C70" s="25" t="n">
        <f aca="false">IF(T69&gt;0,D69,C69)</f>
        <v>0.0694551467895508</v>
      </c>
      <c r="D70" s="39" t="n">
        <f aca="false">(B70+C70)/2</f>
        <v>0.0694537162780762</v>
      </c>
      <c r="E70" s="15" t="n">
        <f aca="false">$C$2*(1+IF(E$3&lt;=$O$2,$D70,$D70-($D70-$I$49)*MIN(E$3-$O$2,$Q$2)/$Q$2))</f>
        <v>5999.63534832001</v>
      </c>
      <c r="F70" s="15" t="n">
        <f aca="false">E70*(1+IF(F$3&lt;=$O$2,$D70,$D70-($D70-$I$49)*MIN(F$3-$O$2,$Q$2)/$Q$2))</f>
        <v>6416.33231957414</v>
      </c>
      <c r="G70" s="15" t="n">
        <f aca="false">F70*(1+IF(G$3&lt;=$O$2,$D70,$D70-($D70-$I$49)*MIN(G$3-$O$2,$Q$2)/$Q$2))</f>
        <v>6861.97044404369</v>
      </c>
      <c r="H70" s="15" t="n">
        <f aca="false">G70*(1+IF(H$3&lt;=$O$2,$D70,$D70-($D70-$I$49)*MIN(H$3-$O$2,$Q$2)/$Q$2))</f>
        <v>7338.55979237285</v>
      </c>
      <c r="I70" s="15" t="n">
        <f aca="false">H70*(1+IF(I$3&lt;=$O$2,$D70,$D70-($D70-$I$49)*MIN(I$3-$O$2,$Q$2)/$Q$2))</f>
        <v>7848.25004208201</v>
      </c>
      <c r="J70" s="15" t="n">
        <f aca="false">I70*(1+IF(J$3&lt;=$O$2,$D70,$D70-($D70-$I$49)*MIN(J$3-$O$2,$Q$2)/$Q$2))</f>
        <v>8313.04674259776</v>
      </c>
      <c r="K70" s="15" t="n">
        <f aca="false">J70*(1+IF(K$3&lt;=$O$2,$D70,$D70-($D70-$I$49)*MIN(K$3-$O$2,$Q$2)/$Q$2))</f>
        <v>8720.32143867364</v>
      </c>
      <c r="L70" s="15" t="n">
        <f aca="false">K70*(1+IF(L$3&lt;=$O$2,$D70,$D70-($D70-$I$49)*MIN(L$3-$O$2,$Q$2)/$Q$2))</f>
        <v>9058.33406049238</v>
      </c>
      <c r="M70" s="15" t="n">
        <f aca="false">L70*(1+IF(M$3&lt;=$O$2,$D70,$D70-($D70-$I$49)*MIN(M$3-$O$2,$Q$2)/$Q$2))</f>
        <v>9316.77506389588</v>
      </c>
      <c r="N70" s="15" t="n">
        <f aca="false">M70*(1+IF(N$3&lt;=$O$2,$D70,$D70-($D70-$I$49)*MIN(N$3-$O$2,$Q$2)/$Q$2))</f>
        <v>9487.27204756518</v>
      </c>
      <c r="O70" s="15" t="n">
        <f aca="false">SUMPRODUCT(E70:N70,1/(1+$F$49)^$E$3:$N$3)*$E$2</f>
        <v>21044.2513781218</v>
      </c>
      <c r="P70" s="15" t="n">
        <f aca="false">N70*$E$2*(1+$I$49)/($F$49-$I$49)/(1+$F$49)^$N$3</f>
        <v>39970.845324791</v>
      </c>
      <c r="Q70" s="15" t="n">
        <f aca="false">O70+P70</f>
        <v>61015.0967029128</v>
      </c>
      <c r="R70" s="15" t="n">
        <f aca="false">Q70-$G$2+$I$2</f>
        <v>52250.0967029128</v>
      </c>
      <c r="S70" s="40" t="n">
        <f aca="false">R70/$K$2</f>
        <v>93.4740003272261</v>
      </c>
      <c r="T70" s="41" t="n">
        <f aca="false">S70-$M$2</f>
        <v>0.00017299887799993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0.0694522857666016</v>
      </c>
      <c r="C71" s="25" t="n">
        <f aca="false">IF(T70&gt;0,D70,C70)</f>
        <v>0.0694537162780762</v>
      </c>
      <c r="D71" s="39" t="n">
        <f aca="false">(B71+C71)/2</f>
        <v>0.0694530010223389</v>
      </c>
      <c r="E71" s="15" t="n">
        <f aca="false">$C$2*(1+IF(E$3&lt;=$O$2,$D71,$D71-($D71-$I$49)*MIN(E$3-$O$2,$Q$2)/$Q$2))</f>
        <v>5999.63133573532</v>
      </c>
      <c r="F71" s="15" t="n">
        <f aca="false">E71*(1+IF(F$3&lt;=$O$2,$D71,$D71-($D71-$I$49)*MIN(F$3-$O$2,$Q$2)/$Q$2))</f>
        <v>6416.3237370298</v>
      </c>
      <c r="G71" s="15" t="n">
        <f aca="false">F71*(1+IF(G$3&lt;=$O$2,$D71,$D71-($D71-$I$49)*MIN(G$3-$O$2,$Q$2)/$Q$2))</f>
        <v>6861.95667609739</v>
      </c>
      <c r="H71" s="15" t="n">
        <f aca="false">G71*(1+IF(H$3&lt;=$O$2,$D71,$D71-($D71-$I$49)*MIN(H$3-$O$2,$Q$2)/$Q$2))</f>
        <v>7338.54016013763</v>
      </c>
      <c r="I71" s="15" t="n">
        <f aca="false">H71*(1+IF(I$3&lt;=$O$2,$D71,$D71-($D71-$I$49)*MIN(I$3-$O$2,$Q$2)/$Q$2))</f>
        <v>7848.22379738214</v>
      </c>
      <c r="J71" s="15" t="n">
        <f aca="false">I71*(1+IF(J$3&lt;=$O$2,$D71,$D71-($D71-$I$49)*MIN(J$3-$O$2,$Q$2)/$Q$2))</f>
        <v>8313.01445281906</v>
      </c>
      <c r="K71" s="15" t="n">
        <f aca="false">J71*(1+IF(K$3&lt;=$O$2,$D71,$D71-($D71-$I$49)*MIN(K$3-$O$2,$Q$2)/$Q$2))</f>
        <v>8720.28399938791</v>
      </c>
      <c r="L71" s="15" t="n">
        <f aca="false">K71*(1+IF(L$3&lt;=$O$2,$D71,$D71-($D71-$I$49)*MIN(L$3-$O$2,$Q$2)/$Q$2))</f>
        <v>9058.29267511102</v>
      </c>
      <c r="M71" s="15" t="n">
        <f aca="false">L71*(1+IF(M$3&lt;=$O$2,$D71,$D71-($D71-$I$49)*MIN(M$3-$O$2,$Q$2)/$Q$2))</f>
        <v>9316.73120195967</v>
      </c>
      <c r="N71" s="15" t="n">
        <f aca="false">M71*(1+IF(N$3&lt;=$O$2,$D71,$D71-($D71-$I$49)*MIN(N$3-$O$2,$Q$2)/$Q$2))</f>
        <v>9487.22738295553</v>
      </c>
      <c r="O71" s="15" t="n">
        <f aca="false">SUMPRODUCT(E71:N71,1/(1+$F$49)^$E$3:$N$3)*$E$2</f>
        <v>21044.184406576</v>
      </c>
      <c r="P71" s="15" t="n">
        <f aca="false">N71*$E$2*(1+$I$49)/($F$49-$I$49)/(1+$F$49)^$N$3</f>
        <v>39970.6571482325</v>
      </c>
      <c r="Q71" s="15" t="n">
        <f aca="false">O71+P71</f>
        <v>61014.8415548085</v>
      </c>
      <c r="R71" s="15" t="n">
        <f aca="false">Q71-$G$2+$I$2</f>
        <v>52249.8415548085</v>
      </c>
      <c r="S71" s="40" t="n">
        <f aca="false">R71/$K$2</f>
        <v>93.4735438742147</v>
      </c>
      <c r="T71" s="41" t="n">
        <f aca="false">S71-$M$2</f>
        <v>-0.000283454133381156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0.0694530010223389</v>
      </c>
      <c r="C72" s="25" t="n">
        <f aca="false">IF(T71&gt;0,D71,C71)</f>
        <v>0.0694537162780762</v>
      </c>
      <c r="D72" s="39" t="n">
        <f aca="false">(B72+C72)/2</f>
        <v>0.0694533586502075</v>
      </c>
      <c r="E72" s="15" t="n">
        <f aca="false">$C$2*(1+IF(E$3&lt;=$O$2,$D72,$D72-($D72-$I$49)*MIN(E$3-$O$2,$Q$2)/$Q$2))</f>
        <v>5999.63334202766</v>
      </c>
      <c r="F72" s="15" t="n">
        <f aca="false">E72*(1+IF(F$3&lt;=$O$2,$D72,$D72-($D72-$I$49)*MIN(F$3-$O$2,$Q$2)/$Q$2))</f>
        <v>6416.32802830126</v>
      </c>
      <c r="G72" s="15" t="n">
        <f aca="false">F72*(1+IF(G$3&lt;=$O$2,$D72,$D72-($D72-$I$49)*MIN(G$3-$O$2,$Q$2)/$Q$2))</f>
        <v>6861.96356006824</v>
      </c>
      <c r="H72" s="15" t="n">
        <f aca="false">G72*(1+IF(H$3&lt;=$O$2,$D72,$D72-($D72-$I$49)*MIN(H$3-$O$2,$Q$2)/$Q$2))</f>
        <v>7338.54997625032</v>
      </c>
      <c r="I72" s="15" t="n">
        <f aca="false">H72*(1+IF(I$3&lt;=$O$2,$D72,$D72-($D72-$I$49)*MIN(I$3-$O$2,$Q$2)/$Q$2))</f>
        <v>7848.2369197233</v>
      </c>
      <c r="J72" s="15" t="n">
        <f aca="false">I72*(1+IF(J$3&lt;=$O$2,$D72,$D72-($D72-$I$49)*MIN(J$3-$O$2,$Q$2)/$Q$2))</f>
        <v>8313.03059769536</v>
      </c>
      <c r="K72" s="15" t="n">
        <f aca="false">J72*(1+IF(K$3&lt;=$O$2,$D72,$D72-($D72-$I$49)*MIN(K$3-$O$2,$Q$2)/$Q$2))</f>
        <v>8720.30271901362</v>
      </c>
      <c r="L72" s="15" t="n">
        <f aca="false">K72*(1+IF(L$3&lt;=$O$2,$D72,$D72-($D72-$I$49)*MIN(L$3-$O$2,$Q$2)/$Q$2))</f>
        <v>9058.3133677812</v>
      </c>
      <c r="M72" s="15" t="n">
        <f aca="false">L72*(1+IF(M$3&lt;=$O$2,$D72,$D72-($D72-$I$49)*MIN(M$3-$O$2,$Q$2)/$Q$2))</f>
        <v>9316.75313290522</v>
      </c>
      <c r="N72" s="15" t="n">
        <f aca="false">M72*(1+IF(N$3&lt;=$O$2,$D72,$D72-($D72-$I$49)*MIN(N$3-$O$2,$Q$2)/$Q$2))</f>
        <v>9487.24971523738</v>
      </c>
      <c r="O72" s="15" t="n">
        <f aca="false">SUMPRODUCT(E72:N72,1/(1+$F$49)^$E$3:$N$3)*$E$2</f>
        <v>21044.2178923224</v>
      </c>
      <c r="P72" s="15" t="n">
        <f aca="false">N72*$E$2*(1+$I$49)/($F$49-$I$49)/(1+$F$49)^$N$3</f>
        <v>39970.751236415</v>
      </c>
      <c r="Q72" s="15" t="n">
        <f aca="false">O72+P72</f>
        <v>61014.9691287374</v>
      </c>
      <c r="R72" s="15" t="n">
        <f aca="false">Q72-$G$2+$I$2</f>
        <v>52249.9691287374</v>
      </c>
      <c r="S72" s="40" t="n">
        <f aca="false">R72/$K$2</f>
        <v>93.4737721004998</v>
      </c>
      <c r="T72" s="41" t="n">
        <f aca="false">S72-$M$2</f>
        <v>-5.52278482643942E-005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0.0694533586502075</v>
      </c>
      <c r="C73" s="25" t="n">
        <f aca="false">IF(T72&gt;0,D72,C72)</f>
        <v>0.0694537162780762</v>
      </c>
      <c r="D73" s="39" t="n">
        <f aca="false">(B73+C73)/2</f>
        <v>0.0694535374641419</v>
      </c>
      <c r="E73" s="15" t="n">
        <f aca="false">$C$2*(1+IF(E$3&lt;=$O$2,$D73,$D73-($D73-$I$49)*MIN(E$3-$O$2,$Q$2)/$Q$2))</f>
        <v>5999.63434517384</v>
      </c>
      <c r="F73" s="15" t="n">
        <f aca="false">E73*(1+IF(F$3&lt;=$O$2,$D73,$D73-($D73-$I$49)*MIN(F$3-$O$2,$Q$2)/$Q$2))</f>
        <v>6416.33017393752</v>
      </c>
      <c r="G73" s="15" t="n">
        <f aca="false">F73*(1+IF(G$3&lt;=$O$2,$D73,$D73-($D73-$I$49)*MIN(G$3-$O$2,$Q$2)/$Q$2))</f>
        <v>6861.96700205539</v>
      </c>
      <c r="H73" s="15" t="n">
        <f aca="false">G73*(1+IF(H$3&lt;=$O$2,$D73,$D73-($D73-$I$49)*MIN(H$3-$O$2,$Q$2)/$Q$2))</f>
        <v>7338.55488431035</v>
      </c>
      <c r="I73" s="15" t="n">
        <f aca="false">H73*(1+IF(I$3&lt;=$O$2,$D73,$D73-($D73-$I$49)*MIN(I$3-$O$2,$Q$2)/$Q$2))</f>
        <v>7848.24348090046</v>
      </c>
      <c r="J73" s="15" t="n">
        <f aca="false">I73*(1+IF(J$3&lt;=$O$2,$D73,$D73-($D73-$I$49)*MIN(J$3-$O$2,$Q$2)/$Q$2))</f>
        <v>8313.0386701433</v>
      </c>
      <c r="K73" s="15" t="n">
        <f aca="false">J73*(1+IF(K$3&lt;=$O$2,$D73,$D73-($D73-$I$49)*MIN(K$3-$O$2,$Q$2)/$Q$2))</f>
        <v>8720.31207883934</v>
      </c>
      <c r="L73" s="15" t="n">
        <f aca="false">K73*(1+IF(L$3&lt;=$O$2,$D73,$D73-($D73-$I$49)*MIN(L$3-$O$2,$Q$2)/$Q$2))</f>
        <v>9058.32371413167</v>
      </c>
      <c r="M73" s="15" t="n">
        <f aca="false">L73*(1+IF(M$3&lt;=$O$2,$D73,$D73-($D73-$I$49)*MIN(M$3-$O$2,$Q$2)/$Q$2))</f>
        <v>9316.76409839491</v>
      </c>
      <c r="N73" s="15" t="n">
        <f aca="false">M73*(1+IF(N$3&lt;=$O$2,$D73,$D73-($D73-$I$49)*MIN(N$3-$O$2,$Q$2)/$Q$2))</f>
        <v>9487.26088139554</v>
      </c>
      <c r="O73" s="15" t="n">
        <f aca="false">SUMPRODUCT(E73:N73,1/(1+$F$49)^$E$3:$N$3)*$E$2</f>
        <v>21044.2346352155</v>
      </c>
      <c r="P73" s="15" t="n">
        <f aca="false">N73*$E$2*(1+$I$49)/($F$49-$I$49)/(1+$F$49)^$N$3</f>
        <v>39970.7982805788</v>
      </c>
      <c r="Q73" s="15" t="n">
        <f aca="false">O73+P73</f>
        <v>61015.0329157943</v>
      </c>
      <c r="R73" s="15" t="n">
        <f aca="false">Q73-$G$2+$I$2</f>
        <v>52250.0329157943</v>
      </c>
      <c r="S73" s="40" t="n">
        <f aca="false">R73/$K$2</f>
        <v>93.4738862138078</v>
      </c>
      <c r="T73" s="41" t="n">
        <f aca="false">S73-$M$2</f>
        <v>5.88854597083355E-005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0.0694533586502075</v>
      </c>
      <c r="C74" s="25" t="n">
        <f aca="false">IF(T73&gt;0,D73,C73)</f>
        <v>0.0694535374641419</v>
      </c>
      <c r="D74" s="39" t="n">
        <f aca="false">(B74+C74)/2</f>
        <v>0.0694534480571747</v>
      </c>
      <c r="E74" s="15" t="n">
        <f aca="false">$C$2*(1+IF(E$3&lt;=$O$2,$D74,$D74-($D74-$I$49)*MIN(E$3-$O$2,$Q$2)/$Q$2))</f>
        <v>5999.63384360075</v>
      </c>
      <c r="F74" s="15" t="n">
        <f aca="false">E74*(1+IF(F$3&lt;=$O$2,$D74,$D74-($D74-$I$49)*MIN(F$3-$O$2,$Q$2)/$Q$2))</f>
        <v>6416.32910111934</v>
      </c>
      <c r="G74" s="15" t="n">
        <f aca="false">F74*(1+IF(G$3&lt;=$O$2,$D74,$D74-($D74-$I$49)*MIN(G$3-$O$2,$Q$2)/$Q$2))</f>
        <v>6861.96528106167</v>
      </c>
      <c r="H74" s="15" t="n">
        <f aca="false">G74*(1+IF(H$3&lt;=$O$2,$D74,$D74-($D74-$I$49)*MIN(H$3-$O$2,$Q$2)/$Q$2))</f>
        <v>7338.55243028003</v>
      </c>
      <c r="I74" s="15" t="n">
        <f aca="false">H74*(1+IF(I$3&lt;=$O$2,$D74,$D74-($D74-$I$49)*MIN(I$3-$O$2,$Q$2)/$Q$2))</f>
        <v>7848.24020031133</v>
      </c>
      <c r="J74" s="15" t="n">
        <f aca="false">I74*(1+IF(J$3&lt;=$O$2,$D74,$D74-($D74-$I$49)*MIN(J$3-$O$2,$Q$2)/$Q$2))</f>
        <v>8313.03463391851</v>
      </c>
      <c r="K74" s="15" t="n">
        <f aca="false">J74*(1+IF(K$3&lt;=$O$2,$D74,$D74-($D74-$I$49)*MIN(K$3-$O$2,$Q$2)/$Q$2))</f>
        <v>8720.30739892541</v>
      </c>
      <c r="L74" s="15" t="n">
        <f aca="false">K74*(1+IF(L$3&lt;=$O$2,$D74,$D74-($D74-$I$49)*MIN(L$3-$O$2,$Q$2)/$Q$2))</f>
        <v>9058.31854095516</v>
      </c>
      <c r="M74" s="15" t="n">
        <f aca="false">L74*(1+IF(M$3&lt;=$O$2,$D74,$D74-($D74-$I$49)*MIN(M$3-$O$2,$Q$2)/$Q$2))</f>
        <v>9316.75861564865</v>
      </c>
      <c r="N74" s="15" t="n">
        <f aca="false">M74*(1+IF(N$3&lt;=$O$2,$D74,$D74-($D74-$I$49)*MIN(N$3-$O$2,$Q$2)/$Q$2))</f>
        <v>9487.25529831502</v>
      </c>
      <c r="O74" s="15" t="n">
        <f aca="false">SUMPRODUCT(E74:N74,1/(1+$F$49)^$E$3:$N$3)*$E$2</f>
        <v>21044.2262637673</v>
      </c>
      <c r="P74" s="15" t="n">
        <f aca="false">N74*$E$2*(1+$I$49)/($F$49-$I$49)/(1+$F$49)^$N$3</f>
        <v>39970.7747584908</v>
      </c>
      <c r="Q74" s="15" t="n">
        <f aca="false">O74+P74</f>
        <v>61015.0010222581</v>
      </c>
      <c r="R74" s="15" t="n">
        <f aca="false">Q74-$G$2+$I$2</f>
        <v>52250.0010222581</v>
      </c>
      <c r="S74" s="40" t="n">
        <f aca="false">R74/$K$2</f>
        <v>93.47382915714</v>
      </c>
      <c r="T74" s="41" t="n">
        <f aca="false">S74-$M$2</f>
        <v>1.82879195165242E-006</v>
      </c>
    </row>
    <row r="76" customFormat="false" ht="15" hidden="false" customHeight="false" outlineLevel="0" collapsed="false">
      <c r="A76" s="36" t="s">
        <v>188</v>
      </c>
      <c r="E76" s="5" t="s">
        <v>11</v>
      </c>
      <c r="F76" s="12" t="n">
        <f aca="false">Sensitivity!$B$10</f>
        <v>0.0667360315529091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6" t="s">
        <v>167</v>
      </c>
      <c r="B77" s="28" t="s">
        <v>168</v>
      </c>
      <c r="C77" s="28" t="s">
        <v>169</v>
      </c>
      <c r="D77" s="28" t="s">
        <v>170</v>
      </c>
      <c r="E77" s="28" t="s">
        <v>171</v>
      </c>
      <c r="F77" s="28" t="s">
        <v>172</v>
      </c>
      <c r="G77" s="28" t="s">
        <v>173</v>
      </c>
      <c r="H77" s="28" t="s">
        <v>174</v>
      </c>
      <c r="I77" s="28" t="s">
        <v>175</v>
      </c>
      <c r="J77" s="28" t="s">
        <v>176</v>
      </c>
      <c r="K77" s="28" t="s">
        <v>177</v>
      </c>
      <c r="L77" s="28" t="s">
        <v>178</v>
      </c>
      <c r="M77" s="28" t="s">
        <v>179</v>
      </c>
      <c r="N77" s="28" t="s">
        <v>180</v>
      </c>
      <c r="O77" s="28" t="s">
        <v>181</v>
      </c>
      <c r="P77" s="28" t="s">
        <v>182</v>
      </c>
      <c r="Q77" s="28" t="s">
        <v>183</v>
      </c>
      <c r="R77" s="28" t="s">
        <v>184</v>
      </c>
      <c r="S77" s="28" t="s">
        <v>185</v>
      </c>
      <c r="T77" s="28" t="s">
        <v>186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39" t="n">
        <f aca="false">(B78+C78)/2</f>
        <v>0.25</v>
      </c>
      <c r="E78" s="15" t="n">
        <f aca="false">$C$2*(1+IF(E$3&lt;=$O$2,$D78,$D78-($D78-$I$76)*MIN(E$3-$O$2,$Q$2)/$Q$2))</f>
        <v>7012.5</v>
      </c>
      <c r="F78" s="15" t="n">
        <f aca="false">E78*(1+IF(F$3&lt;=$O$2,$D78,$D78-($D78-$I$76)*MIN(F$3-$O$2,$Q$2)/$Q$2))</f>
        <v>8765.625</v>
      </c>
      <c r="G78" s="15" t="n">
        <f aca="false">F78*(1+IF(G$3&lt;=$O$2,$D78,$D78-($D78-$I$76)*MIN(G$3-$O$2,$Q$2)/$Q$2))</f>
        <v>10957.03125</v>
      </c>
      <c r="H78" s="15" t="n">
        <f aca="false">G78*(1+IF(H$3&lt;=$O$2,$D78,$D78-($D78-$I$76)*MIN(H$3-$O$2,$Q$2)/$Q$2))</f>
        <v>13696.2890625</v>
      </c>
      <c r="I78" s="15" t="n">
        <f aca="false">H78*(1+IF(I$3&lt;=$O$2,$D78,$D78-($D78-$I$76)*MIN(I$3-$O$2,$Q$2)/$Q$2))</f>
        <v>17120.361328125</v>
      </c>
      <c r="J78" s="15" t="n">
        <f aca="false">I78*(1+IF(J$3&lt;=$O$2,$D78,$D78-($D78-$I$76)*MIN(J$3-$O$2,$Q$2)/$Q$2))</f>
        <v>20624.2144775391</v>
      </c>
      <c r="K78" s="15" t="n">
        <f aca="false">J78*(1+IF(K$3&lt;=$O$2,$D78,$D78-($D78-$I$76)*MIN(K$3-$O$2,$Q$2)/$Q$2))</f>
        <v>23910.0643281006</v>
      </c>
      <c r="L78" s="15" t="n">
        <f aca="false">K78*(1+IF(L$3&lt;=$O$2,$D78,$D78-($D78-$I$76)*MIN(L$3-$O$2,$Q$2)/$Q$2))</f>
        <v>26635.3334602175</v>
      </c>
      <c r="M78" s="15" t="n">
        <f aca="false">L78*(1+IF(M$3&lt;=$O$2,$D78,$D78-($D78-$I$76)*MIN(M$3-$O$2,$Q$2)/$Q$2))</f>
        <v>28463.5827489268</v>
      </c>
      <c r="N78" s="15" t="n">
        <f aca="false">M78*(1+IF(N$3&lt;=$O$2,$D78,$D78-($D78-$I$76)*MIN(N$3-$O$2,$Q$2)/$Q$2))</f>
        <v>29126.7842269768</v>
      </c>
      <c r="O78" s="15" t="n">
        <f aca="false">SUMPRODUCT(E78:N78,1/(1+$F$76)^$E$3:$N$3)*$E$2</f>
        <v>46857.1764487469</v>
      </c>
      <c r="P78" s="15" t="n">
        <f aca="false">N78*$E$2*(1+$I$76)/($F$76-$I$76)/(1+$F$76)^$N$3</f>
        <v>137511.861541367</v>
      </c>
      <c r="Q78" s="15" t="n">
        <f aca="false">O78+P78</f>
        <v>184369.037990114</v>
      </c>
      <c r="R78" s="15" t="n">
        <f aca="false">Q78-$G$2+$I$2</f>
        <v>175604.037990114</v>
      </c>
      <c r="S78" s="40" t="n">
        <f aca="false">R78/$K$2</f>
        <v>314.15084258849</v>
      </c>
      <c r="T78" s="41" t="n">
        <f aca="false">S78-$M$2</f>
        <v>220.677015260142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39" t="n">
        <f aca="false">(B79+C79)/2</f>
        <v>-0.125</v>
      </c>
      <c r="E79" s="15" t="n">
        <f aca="false">$C$2*(1+IF(E$3&lt;=$O$2,$D79,$D79-($D79-$I$76)*MIN(E$3-$O$2,$Q$2)/$Q$2))</f>
        <v>4908.75</v>
      </c>
      <c r="F79" s="15" t="n">
        <f aca="false">E79*(1+IF(F$3&lt;=$O$2,$D79,$D79-($D79-$I$76)*MIN(F$3-$O$2,$Q$2)/$Q$2))</f>
        <v>4295.15625</v>
      </c>
      <c r="G79" s="15" t="n">
        <f aca="false">F79*(1+IF(G$3&lt;=$O$2,$D79,$D79-($D79-$I$76)*MIN(G$3-$O$2,$Q$2)/$Q$2))</f>
        <v>3758.26171875</v>
      </c>
      <c r="H79" s="15" t="n">
        <f aca="false">G79*(1+IF(H$3&lt;=$O$2,$D79,$D79-($D79-$I$76)*MIN(H$3-$O$2,$Q$2)/$Q$2))</f>
        <v>3288.47900390625</v>
      </c>
      <c r="I79" s="15" t="n">
        <f aca="false">H79*(1+IF(I$3&lt;=$O$2,$D79,$D79-($D79-$I$76)*MIN(I$3-$O$2,$Q$2)/$Q$2))</f>
        <v>2877.41912841797</v>
      </c>
      <c r="J79" s="15" t="n">
        <f aca="false">I79*(1+IF(J$3&lt;=$O$2,$D79,$D79-($D79-$I$76)*MIN(J$3-$O$2,$Q$2)/$Q$2))</f>
        <v>2603.0859887146</v>
      </c>
      <c r="K79" s="15" t="n">
        <f aca="false">J79*(1+IF(K$3&lt;=$O$2,$D79,$D79-($D79-$I$76)*MIN(K$3-$O$2,$Q$2)/$Q$2))</f>
        <v>2432.11530097583</v>
      </c>
      <c r="L79" s="15" t="n">
        <f aca="false">K79*(1+IF(L$3&lt;=$O$2,$D79,$D79-($D79-$I$76)*MIN(L$3-$O$2,$Q$2)/$Q$2))</f>
        <v>2344.51050783468</v>
      </c>
      <c r="M79" s="15" t="n">
        <f aca="false">L79*(1+IF(M$3&lt;=$O$2,$D79,$D79-($D79-$I$76)*MIN(M$3-$O$2,$Q$2)/$Q$2))</f>
        <v>2329.59942100485</v>
      </c>
      <c r="N79" s="15" t="n">
        <f aca="false">M79*(1+IF(N$3&lt;=$O$2,$D79,$D79-($D79-$I$76)*MIN(N$3-$O$2,$Q$2)/$Q$2))</f>
        <v>2383.87908751426</v>
      </c>
      <c r="O79" s="15" t="n">
        <f aca="false">SUMPRODUCT(E79:N79,1/(1+$F$76)^$E$3:$N$3)*$E$2</f>
        <v>8931.47109521399</v>
      </c>
      <c r="P79" s="15" t="n">
        <f aca="false">N79*$E$2*(1+$I$76)/($F$76-$I$76)/(1+$F$76)^$N$3</f>
        <v>11254.6461861041</v>
      </c>
      <c r="Q79" s="15" t="n">
        <f aca="false">O79+P79</f>
        <v>20186.1172813181</v>
      </c>
      <c r="R79" s="15" t="n">
        <f aca="false">Q79-$G$2+$I$2</f>
        <v>11421.1172813181</v>
      </c>
      <c r="S79" s="40" t="n">
        <f aca="false">R79/$K$2</f>
        <v>20.4320678402056</v>
      </c>
      <c r="T79" s="41" t="n">
        <f aca="false">S79-$M$2</f>
        <v>-73.0417594881425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39" t="n">
        <f aca="false">(B80+C80)/2</f>
        <v>0.0625</v>
      </c>
      <c r="E80" s="15" t="n">
        <f aca="false">$C$2*(1+IF(E$3&lt;=$O$2,$D80,$D80-($D80-$I$76)*MIN(E$3-$O$2,$Q$2)/$Q$2))</f>
        <v>5960.625</v>
      </c>
      <c r="F80" s="15" t="n">
        <f aca="false">E80*(1+IF(F$3&lt;=$O$2,$D80,$D80-($D80-$I$76)*MIN(F$3-$O$2,$Q$2)/$Q$2))</f>
        <v>6333.1640625</v>
      </c>
      <c r="G80" s="15" t="n">
        <f aca="false">F80*(1+IF(G$3&lt;=$O$2,$D80,$D80-($D80-$I$76)*MIN(G$3-$O$2,$Q$2)/$Q$2))</f>
        <v>6728.98681640625</v>
      </c>
      <c r="H80" s="15" t="n">
        <f aca="false">G80*(1+IF(H$3&lt;=$O$2,$D80,$D80-($D80-$I$76)*MIN(H$3-$O$2,$Q$2)/$Q$2))</f>
        <v>7149.54849243164</v>
      </c>
      <c r="I80" s="15" t="n">
        <f aca="false">H80*(1+IF(I$3&lt;=$O$2,$D80,$D80-($D80-$I$76)*MIN(I$3-$O$2,$Q$2)/$Q$2))</f>
        <v>7596.39527320862</v>
      </c>
      <c r="J80" s="15" t="n">
        <f aca="false">I80*(1+IF(J$3&lt;=$O$2,$D80,$D80-($D80-$I$76)*MIN(J$3-$O$2,$Q$2)/$Q$2))</f>
        <v>8011.6142388422</v>
      </c>
      <c r="K80" s="15" t="n">
        <f aca="false">J80*(1+IF(K$3&lt;=$O$2,$D80,$D80-($D80-$I$76)*MIN(K$3-$O$2,$Q$2)/$Q$2))</f>
        <v>8386.71801750479</v>
      </c>
      <c r="L80" s="15" t="n">
        <f aca="false">K80*(1+IF(L$3&lt;=$O$2,$D80,$D80-($D80-$I$76)*MIN(L$3-$O$2,$Q$2)/$Q$2))</f>
        <v>8713.63228582713</v>
      </c>
      <c r="M80" s="15" t="n">
        <f aca="false">L80*(1+IF(M$3&lt;=$O$2,$D80,$D80-($D80-$I$76)*MIN(M$3-$O$2,$Q$2)/$Q$2))</f>
        <v>8984.97479520779</v>
      </c>
      <c r="N80" s="15" t="n">
        <f aca="false">M80*(1+IF(N$3&lt;=$O$2,$D80,$D80-($D80-$I$76)*MIN(N$3-$O$2,$Q$2)/$Q$2))</f>
        <v>9194.32470793613</v>
      </c>
      <c r="O80" s="15" t="n">
        <f aca="false">SUMPRODUCT(E80:N80,1/(1+$F$76)^$E$3:$N$3)*$E$2</f>
        <v>20467.296286163</v>
      </c>
      <c r="P80" s="15" t="n">
        <f aca="false">N80*$E$2*(1+$I$76)/($F$76-$I$76)/(1+$F$76)^$N$3</f>
        <v>43407.768476998</v>
      </c>
      <c r="Q80" s="15" t="n">
        <f aca="false">O80+P80</f>
        <v>63875.064763161</v>
      </c>
      <c r="R80" s="15" t="n">
        <f aca="false">Q80-$G$2+$I$2</f>
        <v>55110.064763161</v>
      </c>
      <c r="S80" s="40" t="n">
        <f aca="false">R80/$K$2</f>
        <v>98.5904053153261</v>
      </c>
      <c r="T80" s="41" t="n">
        <f aca="false">S80-$M$2</f>
        <v>5.11657798697806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39" t="n">
        <f aca="false">(B81+C81)/2</f>
        <v>-0.03125</v>
      </c>
      <c r="E81" s="15" t="n">
        <f aca="false">$C$2*(1+IF(E$3&lt;=$O$2,$D81,$D81-($D81-$I$76)*MIN(E$3-$O$2,$Q$2)/$Q$2))</f>
        <v>5434.6875</v>
      </c>
      <c r="F81" s="15" t="n">
        <f aca="false">E81*(1+IF(F$3&lt;=$O$2,$D81,$D81-($D81-$I$76)*MIN(F$3-$O$2,$Q$2)/$Q$2))</f>
        <v>5264.853515625</v>
      </c>
      <c r="G81" s="15" t="n">
        <f aca="false">F81*(1+IF(G$3&lt;=$O$2,$D81,$D81-($D81-$I$76)*MIN(G$3-$O$2,$Q$2)/$Q$2))</f>
        <v>5100.32684326172</v>
      </c>
      <c r="H81" s="15" t="n">
        <f aca="false">G81*(1+IF(H$3&lt;=$O$2,$D81,$D81-($D81-$I$76)*MIN(H$3-$O$2,$Q$2)/$Q$2))</f>
        <v>4940.94162940979</v>
      </c>
      <c r="I81" s="15" t="n">
        <f aca="false">H81*(1+IF(I$3&lt;=$O$2,$D81,$D81-($D81-$I$76)*MIN(I$3-$O$2,$Q$2)/$Q$2))</f>
        <v>4786.53720349073</v>
      </c>
      <c r="J81" s="15" t="n">
        <f aca="false">I81*(1+IF(J$3&lt;=$O$2,$D81,$D81-($D81-$I$76)*MIN(J$3-$O$2,$Q$2)/$Q$2))</f>
        <v>4689.17903677173</v>
      </c>
      <c r="K81" s="15" t="n">
        <f aca="false">J81*(1+IF(K$3&lt;=$O$2,$D81,$D81-($D81-$I$76)*MIN(K$3-$O$2,$Q$2)/$Q$2))</f>
        <v>4644.96007845498</v>
      </c>
      <c r="L81" s="15" t="n">
        <f aca="false">K81*(1+IF(L$3&lt;=$O$2,$D81,$D81-($D81-$I$76)*MIN(L$3-$O$2,$Q$2)/$Q$2))</f>
        <v>4651.83461937109</v>
      </c>
      <c r="M81" s="15" t="n">
        <f aca="false">L81*(1+IF(M$3&lt;=$O$2,$D81,$D81-($D81-$I$76)*MIN(M$3-$O$2,$Q$2)/$Q$2))</f>
        <v>4709.4708503051</v>
      </c>
      <c r="N81" s="15" t="n">
        <f aca="false">M81*(1+IF(N$3&lt;=$O$2,$D81,$D81-($D81-$I$76)*MIN(N$3-$O$2,$Q$2)/$Q$2))</f>
        <v>4819.20152111721</v>
      </c>
      <c r="O81" s="15" t="n">
        <f aca="false">SUMPRODUCT(E81:N81,1/(1+$F$76)^$E$3:$N$3)*$E$2</f>
        <v>13487.5061329858</v>
      </c>
      <c r="P81" s="15" t="n">
        <f aca="false">N81*$E$2*(1+$I$76)/($F$76-$I$76)/(1+$F$76)^$N$3</f>
        <v>22752.1640270207</v>
      </c>
      <c r="Q81" s="15" t="n">
        <f aca="false">O81+P81</f>
        <v>36239.6701600065</v>
      </c>
      <c r="R81" s="15" t="n">
        <f aca="false">Q81-$G$2+$I$2</f>
        <v>27474.6701600065</v>
      </c>
      <c r="S81" s="40" t="n">
        <f aca="false">R81/$K$2</f>
        <v>49.1514368313831</v>
      </c>
      <c r="T81" s="41" t="n">
        <f aca="false">S81-$M$2</f>
        <v>-44.322390496965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39" t="n">
        <f aca="false">(B82+C82)/2</f>
        <v>0.015625</v>
      </c>
      <c r="E82" s="15" t="n">
        <f aca="false">$C$2*(1+IF(E$3&lt;=$O$2,$D82,$D82-($D82-$I$76)*MIN(E$3-$O$2,$Q$2)/$Q$2))</f>
        <v>5697.65625</v>
      </c>
      <c r="F82" s="15" t="n">
        <f aca="false">E82*(1+IF(F$3&lt;=$O$2,$D82,$D82-($D82-$I$76)*MIN(F$3-$O$2,$Q$2)/$Q$2))</f>
        <v>5786.68212890625</v>
      </c>
      <c r="G82" s="15" t="n">
        <f aca="false">F82*(1+IF(G$3&lt;=$O$2,$D82,$D82-($D82-$I$76)*MIN(G$3-$O$2,$Q$2)/$Q$2))</f>
        <v>5877.09903717041</v>
      </c>
      <c r="H82" s="15" t="n">
        <f aca="false">G82*(1+IF(H$3&lt;=$O$2,$D82,$D82-($D82-$I$76)*MIN(H$3-$O$2,$Q$2)/$Q$2))</f>
        <v>5968.9287096262</v>
      </c>
      <c r="I82" s="15" t="n">
        <f aca="false">H82*(1+IF(I$3&lt;=$O$2,$D82,$D82-($D82-$I$76)*MIN(I$3-$O$2,$Q$2)/$Q$2))</f>
        <v>6062.19322071411</v>
      </c>
      <c r="J82" s="15" t="n">
        <f aca="false">I82*(1+IF(J$3&lt;=$O$2,$D82,$D82-($D82-$I$76)*MIN(J$3-$O$2,$Q$2)/$Q$2))</f>
        <v>6166.22045638156</v>
      </c>
      <c r="K82" s="15" t="n">
        <f aca="false">J82*(1+IF(K$3&lt;=$O$2,$D82,$D82-($D82-$I$76)*MIN(K$3-$O$2,$Q$2)/$Q$2))</f>
        <v>6281.49794781361</v>
      </c>
      <c r="L82" s="15" t="n">
        <f aca="false">K82*(1+IF(L$3&lt;=$O$2,$D82,$D82-($D82-$I$76)*MIN(L$3-$O$2,$Q$2)/$Q$2))</f>
        <v>6408.57265129788</v>
      </c>
      <c r="M82" s="15" t="n">
        <f aca="false">L82*(1+IF(M$3&lt;=$O$2,$D82,$D82-($D82-$I$76)*MIN(M$3-$O$2,$Q$2)/$Q$2))</f>
        <v>6548.05523505338</v>
      </c>
      <c r="N82" s="15" t="n">
        <f aca="false">M82*(1+IF(N$3&lt;=$O$2,$D82,$D82-($D82-$I$76)*MIN(N$3-$O$2,$Q$2)/$Q$2))</f>
        <v>6700.62492203013</v>
      </c>
      <c r="O82" s="15" t="n">
        <f aca="false">SUMPRODUCT(E82:N82,1/(1+$F$76)^$E$3:$N$3)*$E$2</f>
        <v>16610.4903696219</v>
      </c>
      <c r="P82" s="15" t="n">
        <f aca="false">N82*$E$2*(1+$I$76)/($F$76-$I$76)/(1+$F$76)^$N$3</f>
        <v>31634.6425111167</v>
      </c>
      <c r="Q82" s="15" t="n">
        <f aca="false">O82+P82</f>
        <v>48245.1328807385</v>
      </c>
      <c r="R82" s="15" t="n">
        <f aca="false">Q82-$G$2+$I$2</f>
        <v>39480.1328807385</v>
      </c>
      <c r="S82" s="40" t="n">
        <f aca="false">R82/$K$2</f>
        <v>70.6288827520457</v>
      </c>
      <c r="T82" s="41" t="n">
        <f aca="false">S82-$M$2</f>
        <v>-22.8449445763023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0.015625</v>
      </c>
      <c r="C83" s="25" t="n">
        <f aca="false">IF(T82&gt;0,D82,C82)</f>
        <v>0.0625</v>
      </c>
      <c r="D83" s="39" t="n">
        <f aca="false">(B83+C83)/2</f>
        <v>0.0390625</v>
      </c>
      <c r="E83" s="15" t="n">
        <f aca="false">$C$2*(1+IF(E$3&lt;=$O$2,$D83,$D83-($D83-$I$76)*MIN(E$3-$O$2,$Q$2)/$Q$2))</f>
        <v>5829.140625</v>
      </c>
      <c r="F83" s="15" t="n">
        <f aca="false">E83*(1+IF(F$3&lt;=$O$2,$D83,$D83-($D83-$I$76)*MIN(F$3-$O$2,$Q$2)/$Q$2))</f>
        <v>6056.84143066406</v>
      </c>
      <c r="G83" s="15" t="n">
        <f aca="false">F83*(1+IF(G$3&lt;=$O$2,$D83,$D83-($D83-$I$76)*MIN(G$3-$O$2,$Q$2)/$Q$2))</f>
        <v>6293.43679904938</v>
      </c>
      <c r="H83" s="15" t="n">
        <f aca="false">G83*(1+IF(H$3&lt;=$O$2,$D83,$D83-($D83-$I$76)*MIN(H$3-$O$2,$Q$2)/$Q$2))</f>
        <v>6539.27417401224</v>
      </c>
      <c r="I83" s="15" t="n">
        <f aca="false">H83*(1+IF(I$3&lt;=$O$2,$D83,$D83-($D83-$I$76)*MIN(I$3-$O$2,$Q$2)/$Q$2))</f>
        <v>6794.7145714346</v>
      </c>
      <c r="J83" s="15" t="n">
        <f aca="false">I83*(1+IF(J$3&lt;=$O$2,$D83,$D83-($D83-$I$76)*MIN(J$3-$O$2,$Q$2)/$Q$2))</f>
        <v>7038.71277169481</v>
      </c>
      <c r="K83" s="15" t="n">
        <f aca="false">J83*(1+IF(K$3&lt;=$O$2,$D83,$D83-($D83-$I$76)*MIN(K$3-$O$2,$Q$2)/$Q$2))</f>
        <v>7269.28340531361</v>
      </c>
      <c r="L83" s="15" t="n">
        <f aca="false">K83*(1+IF(L$3&lt;=$O$2,$D83,$D83-($D83-$I$76)*MIN(L$3-$O$2,$Q$2)/$Q$2))</f>
        <v>7484.49054052792</v>
      </c>
      <c r="M83" s="15" t="n">
        <f aca="false">L83*(1+IF(M$3&lt;=$O$2,$D83,$D83-($D83-$I$76)*MIN(M$3-$O$2,$Q$2)/$Q$2))</f>
        <v>7682.47402655123</v>
      </c>
      <c r="N83" s="15" t="n">
        <f aca="false">M83*(1+IF(N$3&lt;=$O$2,$D83,$D83-($D83-$I$76)*MIN(N$3-$O$2,$Q$2)/$Q$2))</f>
        <v>7861.47567136988</v>
      </c>
      <c r="O83" s="15" t="n">
        <f aca="false">SUMPRODUCT(E83:N83,1/(1+$F$76)^$E$3:$N$3)*$E$2</f>
        <v>18437.8980247365</v>
      </c>
      <c r="P83" s="15" t="n">
        <f aca="false">N83*$E$2*(1+$I$76)/($F$76-$I$76)/(1+$F$76)^$N$3</f>
        <v>37115.1908019765</v>
      </c>
      <c r="Q83" s="15" t="n">
        <f aca="false">O83+P83</f>
        <v>55553.0888267129</v>
      </c>
      <c r="R83" s="15" t="n">
        <f aca="false">Q83-$G$2+$I$2</f>
        <v>46788.0888267129</v>
      </c>
      <c r="S83" s="40" t="n">
        <f aca="false">R83/$K$2</f>
        <v>83.7026169571593</v>
      </c>
      <c r="T83" s="41" t="n">
        <f aca="false">S83-$M$2</f>
        <v>-9.77121037118876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0.0390625</v>
      </c>
      <c r="C84" s="25" t="n">
        <f aca="false">IF(T83&gt;0,D83,C83)</f>
        <v>0.0625</v>
      </c>
      <c r="D84" s="39" t="n">
        <f aca="false">(B84+C84)/2</f>
        <v>0.05078125</v>
      </c>
      <c r="E84" s="15" t="n">
        <f aca="false">$C$2*(1+IF(E$3&lt;=$O$2,$D84,$D84-($D84-$I$76)*MIN(E$3-$O$2,$Q$2)/$Q$2))</f>
        <v>5894.8828125</v>
      </c>
      <c r="F84" s="15" t="n">
        <f aca="false">E84*(1+IF(F$3&lt;=$O$2,$D84,$D84-($D84-$I$76)*MIN(F$3-$O$2,$Q$2)/$Q$2))</f>
        <v>6194.23233032227</v>
      </c>
      <c r="G84" s="15" t="n">
        <f aca="false">F84*(1+IF(G$3&lt;=$O$2,$D84,$D84-($D84-$I$76)*MIN(G$3-$O$2,$Q$2)/$Q$2))</f>
        <v>6508.78319084644</v>
      </c>
      <c r="H84" s="15" t="n">
        <f aca="false">G84*(1+IF(H$3&lt;=$O$2,$D84,$D84-($D84-$I$76)*MIN(H$3-$O$2,$Q$2)/$Q$2))</f>
        <v>6839.30733725661</v>
      </c>
      <c r="I84" s="15" t="n">
        <f aca="false">H84*(1+IF(I$3&lt;=$O$2,$D84,$D84-($D84-$I$76)*MIN(I$3-$O$2,$Q$2)/$Q$2))</f>
        <v>7186.61591297668</v>
      </c>
      <c r="J84" s="15" t="n">
        <f aca="false">I84*(1+IF(J$3&lt;=$O$2,$D84,$D84-($D84-$I$76)*MIN(J$3-$O$2,$Q$2)/$Q$2))</f>
        <v>7512.06181459583</v>
      </c>
      <c r="K84" s="15" t="n">
        <f aca="false">J84*(1+IF(K$3&lt;=$O$2,$D84,$D84-($D84-$I$76)*MIN(K$3-$O$2,$Q$2)/$Q$2))</f>
        <v>7810.95736412133</v>
      </c>
      <c r="L84" s="15" t="n">
        <f aca="false">K84*(1+IF(L$3&lt;=$O$2,$D84,$D84-($D84-$I$76)*MIN(L$3-$O$2,$Q$2)/$Q$2))</f>
        <v>8078.81461953046</v>
      </c>
      <c r="M84" s="15" t="n">
        <f aca="false">L84*(1+IF(M$3&lt;=$O$2,$D84,$D84-($D84-$I$76)*MIN(M$3-$O$2,$Q$2)/$Q$2))</f>
        <v>8311.45418501811</v>
      </c>
      <c r="N84" s="15" t="n">
        <f aca="false">M84*(1+IF(N$3&lt;=$O$2,$D84,$D84-($D84-$I$76)*MIN(N$3-$O$2,$Q$2)/$Q$2))</f>
        <v>8505.11106752903</v>
      </c>
      <c r="O84" s="15" t="n">
        <f aca="false">SUMPRODUCT(E84:N84,1/(1+$F$76)^$E$3:$N$3)*$E$2</f>
        <v>19426.1013782155</v>
      </c>
      <c r="P84" s="15" t="n">
        <f aca="false">N84*$E$2*(1+$I$76)/($F$76-$I$76)/(1+$F$76)^$N$3</f>
        <v>40153.8888192395</v>
      </c>
      <c r="Q84" s="15" t="n">
        <f aca="false">O84+P84</f>
        <v>59579.990197455</v>
      </c>
      <c r="R84" s="15" t="n">
        <f aca="false">Q84-$G$2+$I$2</f>
        <v>50814.990197455</v>
      </c>
      <c r="S84" s="40" t="n">
        <f aca="false">R84/$K$2</f>
        <v>90.9066338642795</v>
      </c>
      <c r="T84" s="41" t="n">
        <f aca="false">S84-$M$2</f>
        <v>-2.56719346406857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0.05078125</v>
      </c>
      <c r="C85" s="25" t="n">
        <f aca="false">IF(T84&gt;0,D84,C84)</f>
        <v>0.0625</v>
      </c>
      <c r="D85" s="39" t="n">
        <f aca="false">(B85+C85)/2</f>
        <v>0.056640625</v>
      </c>
      <c r="E85" s="15" t="n">
        <f aca="false">$C$2*(1+IF(E$3&lt;=$O$2,$D85,$D85-($D85-$I$76)*MIN(E$3-$O$2,$Q$2)/$Q$2))</f>
        <v>5927.75390625</v>
      </c>
      <c r="F85" s="15" t="n">
        <f aca="false">E85*(1+IF(F$3&lt;=$O$2,$D85,$D85-($D85-$I$76)*MIN(F$3-$O$2,$Q$2)/$Q$2))</f>
        <v>6263.50559234619</v>
      </c>
      <c r="G85" s="15" t="n">
        <f aca="false">F85*(1+IF(G$3&lt;=$O$2,$D85,$D85-($D85-$I$76)*MIN(G$3-$O$2,$Q$2)/$Q$2))</f>
        <v>6618.27446378768</v>
      </c>
      <c r="H85" s="15" t="n">
        <f aca="false">G85*(1+IF(H$3&lt;=$O$2,$D85,$D85-($D85-$I$76)*MIN(H$3-$O$2,$Q$2)/$Q$2))</f>
        <v>6993.13766583815</v>
      </c>
      <c r="I85" s="15" t="n">
        <f aca="false">H85*(1+IF(I$3&lt;=$O$2,$D85,$D85-($D85-$I$76)*MIN(I$3-$O$2,$Q$2)/$Q$2))</f>
        <v>7389.23335394226</v>
      </c>
      <c r="J85" s="15" t="n">
        <f aca="false">I85*(1+IF(J$3&lt;=$O$2,$D85,$D85-($D85-$I$76)*MIN(J$3-$O$2,$Q$2)/$Q$2))</f>
        <v>7758.49181772214</v>
      </c>
      <c r="K85" s="15" t="n">
        <f aca="false">J85*(1+IF(K$3&lt;=$O$2,$D85,$D85-($D85-$I$76)*MIN(K$3-$O$2,$Q$2)/$Q$2))</f>
        <v>8094.46845683121</v>
      </c>
      <c r="L85" s="15" t="n">
        <f aca="false">K85*(1+IF(L$3&lt;=$O$2,$D85,$D85-($D85-$I$76)*MIN(L$3-$O$2,$Q$2)/$Q$2))</f>
        <v>8391.01942683279</v>
      </c>
      <c r="M85" s="15" t="n">
        <f aca="false">L85*(1+IF(M$3&lt;=$O$2,$D85,$D85-($D85-$I$76)*MIN(M$3-$O$2,$Q$2)/$Q$2))</f>
        <v>8642.48254589355</v>
      </c>
      <c r="N85" s="15" t="n">
        <f aca="false">M85*(1+IF(N$3&lt;=$O$2,$D85,$D85-($D85-$I$76)*MIN(N$3-$O$2,$Q$2)/$Q$2))</f>
        <v>8843.85238921287</v>
      </c>
      <c r="O85" s="15" t="n">
        <f aca="false">SUMPRODUCT(E85:N85,1/(1+$F$76)^$E$3:$N$3)*$E$2</f>
        <v>19939.913191785</v>
      </c>
      <c r="P85" s="15" t="n">
        <f aca="false">N85*$E$2*(1+$I$76)/($F$76-$I$76)/(1+$F$76)^$N$3</f>
        <v>41753.1367610217</v>
      </c>
      <c r="Q85" s="15" t="n">
        <f aca="false">O85+P85</f>
        <v>61693.0499528066</v>
      </c>
      <c r="R85" s="15" t="n">
        <f aca="false">Q85-$G$2+$I$2</f>
        <v>52928.0499528066</v>
      </c>
      <c r="S85" s="40" t="n">
        <f aca="false">R85/$K$2</f>
        <v>94.6868402318627</v>
      </c>
      <c r="T85" s="41" t="n">
        <f aca="false">S85-$M$2</f>
        <v>1.21301290351462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0.05078125</v>
      </c>
      <c r="C86" s="25" t="n">
        <f aca="false">IF(T85&gt;0,D85,C85)</f>
        <v>0.056640625</v>
      </c>
      <c r="D86" s="39" t="n">
        <f aca="false">(B86+C86)/2</f>
        <v>0.0537109375</v>
      </c>
      <c r="E86" s="15" t="n">
        <f aca="false">$C$2*(1+IF(E$3&lt;=$O$2,$D86,$D86-($D86-$I$76)*MIN(E$3-$O$2,$Q$2)/$Q$2))</f>
        <v>5911.318359375</v>
      </c>
      <c r="F86" s="15" t="n">
        <f aca="false">E86*(1+IF(F$3&lt;=$O$2,$D86,$D86-($D86-$I$76)*MIN(F$3-$O$2,$Q$2)/$Q$2))</f>
        <v>6228.82081031799</v>
      </c>
      <c r="G86" s="15" t="n">
        <f aca="false">F86*(1+IF(G$3&lt;=$O$2,$D86,$D86-($D86-$I$76)*MIN(G$3-$O$2,$Q$2)/$Q$2))</f>
        <v>6563.37661555968</v>
      </c>
      <c r="H86" s="15" t="n">
        <f aca="false">G86*(1+IF(H$3&lt;=$O$2,$D86,$D86-($D86-$I$76)*MIN(H$3-$O$2,$Q$2)/$Q$2))</f>
        <v>6915.90172674697</v>
      </c>
      <c r="I86" s="15" t="n">
        <f aca="false">H86*(1+IF(I$3&lt;=$O$2,$D86,$D86-($D86-$I$76)*MIN(I$3-$O$2,$Q$2)/$Q$2))</f>
        <v>7287.36129214842</v>
      </c>
      <c r="J86" s="15" t="n">
        <f aca="false">I86*(1+IF(J$3&lt;=$O$2,$D86,$D86-($D86-$I$76)*MIN(J$3-$O$2,$Q$2)/$Q$2))</f>
        <v>7634.44920129183</v>
      </c>
      <c r="K86" s="15" t="n">
        <f aca="false">J86*(1+IF(K$3&lt;=$O$2,$D86,$D86-($D86-$I$76)*MIN(K$3-$O$2,$Q$2)/$Q$2))</f>
        <v>7951.63432218638</v>
      </c>
      <c r="L86" s="15" t="n">
        <f aca="false">K86*(1+IF(L$3&lt;=$O$2,$D86,$D86-($D86-$I$76)*MIN(L$3-$O$2,$Q$2)/$Q$2))</f>
        <v>8233.63406365127</v>
      </c>
      <c r="M86" s="15" t="n">
        <f aca="false">L86*(1+IF(M$3&lt;=$O$2,$D86,$D86-($D86-$I$76)*MIN(M$3-$O$2,$Q$2)/$Q$2))</f>
        <v>8475.55624351586</v>
      </c>
      <c r="N86" s="15" t="n">
        <f aca="false">M86*(1+IF(N$3&lt;=$O$2,$D86,$D86-($D86-$I$76)*MIN(N$3-$O$2,$Q$2)/$Q$2))</f>
        <v>8673.03670398978</v>
      </c>
      <c r="O86" s="15" t="n">
        <f aca="false">SUMPRODUCT(E86:N86,1/(1+$F$76)^$E$3:$N$3)*$E$2</f>
        <v>19681.3313529644</v>
      </c>
      <c r="P86" s="15" t="n">
        <f aca="false">N86*$E$2*(1+$I$76)/($F$76-$I$76)/(1+$F$76)^$N$3</f>
        <v>40946.6906160423</v>
      </c>
      <c r="Q86" s="15" t="n">
        <f aca="false">O86+P86</f>
        <v>60628.0219690067</v>
      </c>
      <c r="R86" s="15" t="n">
        <f aca="false">Q86-$G$2+$I$2</f>
        <v>51863.0219690067</v>
      </c>
      <c r="S86" s="40" t="n">
        <f aca="false">R86/$K$2</f>
        <v>92.7815341676029</v>
      </c>
      <c r="T86" s="41" t="n">
        <f aca="false">S86-$M$2</f>
        <v>-0.692293160745194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0.0537109375</v>
      </c>
      <c r="C87" s="25" t="n">
        <f aca="false">IF(T86&gt;0,D86,C86)</f>
        <v>0.056640625</v>
      </c>
      <c r="D87" s="39" t="n">
        <f aca="false">(B87+C87)/2</f>
        <v>0.05517578125</v>
      </c>
      <c r="E87" s="15" t="n">
        <f aca="false">$C$2*(1+IF(E$3&lt;=$O$2,$D87,$D87-($D87-$I$76)*MIN(E$3-$O$2,$Q$2)/$Q$2))</f>
        <v>5919.5361328125</v>
      </c>
      <c r="F87" s="15" t="n">
        <f aca="false">E87*(1+IF(F$3&lt;=$O$2,$D87,$D87-($D87-$I$76)*MIN(F$3-$O$2,$Q$2)/$Q$2))</f>
        <v>6246.15116357803</v>
      </c>
      <c r="G87" s="15" t="n">
        <f aca="false">F87*(1+IF(G$3&lt;=$O$2,$D87,$D87-($D87-$I$76)*MIN(G$3-$O$2,$Q$2)/$Q$2))</f>
        <v>6590.78743383405</v>
      </c>
      <c r="H87" s="15" t="n">
        <f aca="false">G87*(1+IF(H$3&lt;=$O$2,$D87,$D87-($D87-$I$76)*MIN(H$3-$O$2,$Q$2)/$Q$2))</f>
        <v>6954.43927954853</v>
      </c>
      <c r="I87" s="15" t="n">
        <f aca="false">H87*(1+IF(I$3&lt;=$O$2,$D87,$D87-($D87-$I$76)*MIN(I$3-$O$2,$Q$2)/$Q$2))</f>
        <v>7338.1558999533</v>
      </c>
      <c r="J87" s="15" t="n">
        <f aca="false">I87*(1+IF(J$3&lt;=$O$2,$D87,$D87-($D87-$I$76)*MIN(J$3-$O$2,$Q$2)/$Q$2))</f>
        <v>7696.26249421846</v>
      </c>
      <c r="K87" s="15" t="n">
        <f aca="false">J87*(1+IF(K$3&lt;=$O$2,$D87,$D87-($D87-$I$76)*MIN(K$3-$O$2,$Q$2)/$Q$2))</f>
        <v>8022.78003815872</v>
      </c>
      <c r="L87" s="15" t="n">
        <f aca="false">K87*(1+IF(L$3&lt;=$O$2,$D87,$D87-($D87-$I$76)*MIN(L$3-$O$2,$Q$2)/$Q$2))</f>
        <v>8312.00376565311</v>
      </c>
      <c r="M87" s="15" t="n">
        <f aca="false">L87*(1+IF(M$3&lt;=$O$2,$D87,$D87-($D87-$I$76)*MIN(M$3-$O$2,$Q$2)/$Q$2))</f>
        <v>8558.66377614945</v>
      </c>
      <c r="N87" s="15" t="n">
        <f aca="false">M87*(1+IF(N$3&lt;=$O$2,$D87,$D87-($D87-$I$76)*MIN(N$3-$O$2,$Q$2)/$Q$2))</f>
        <v>8758.08064213374</v>
      </c>
      <c r="O87" s="15" t="n">
        <f aca="false">SUMPRODUCT(E87:N87,1/(1+$F$76)^$E$3:$N$3)*$E$2</f>
        <v>19810.2007463946</v>
      </c>
      <c r="P87" s="15" t="n">
        <f aca="false">N87*$E$2*(1+$I$76)/($F$76-$I$76)/(1+$F$76)^$N$3</f>
        <v>41348.1956416521</v>
      </c>
      <c r="Q87" s="15" t="n">
        <f aca="false">O87+P87</f>
        <v>61158.3963880467</v>
      </c>
      <c r="R87" s="15" t="n">
        <f aca="false">Q87-$G$2+$I$2</f>
        <v>52393.3963880467</v>
      </c>
      <c r="S87" s="40" t="n">
        <f aca="false">R87/$K$2</f>
        <v>93.730359562143</v>
      </c>
      <c r="T87" s="41" t="n">
        <f aca="false">S87-$M$2</f>
        <v>0.256532233794957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0.0537109375</v>
      </c>
      <c r="C88" s="25" t="n">
        <f aca="false">IF(T87&gt;0,D87,C87)</f>
        <v>0.05517578125</v>
      </c>
      <c r="D88" s="39" t="n">
        <f aca="false">(B88+C88)/2</f>
        <v>0.054443359375</v>
      </c>
      <c r="E88" s="15" t="n">
        <f aca="false">$C$2*(1+IF(E$3&lt;=$O$2,$D88,$D88-($D88-$I$76)*MIN(E$3-$O$2,$Q$2)/$Q$2))</f>
        <v>5915.42724609375</v>
      </c>
      <c r="F88" s="15" t="n">
        <f aca="false">E88*(1+IF(F$3&lt;=$O$2,$D88,$D88-($D88-$I$76)*MIN(F$3-$O$2,$Q$2)/$Q$2))</f>
        <v>6237.4829775095</v>
      </c>
      <c r="G88" s="15" t="n">
        <f aca="false">F88*(1+IF(G$3&lt;=$O$2,$D88,$D88-($D88-$I$76)*MIN(G$3-$O$2,$Q$2)/$Q$2))</f>
        <v>6577.07250484949</v>
      </c>
      <c r="H88" s="15" t="n">
        <f aca="false">G88*(1+IF(H$3&lt;=$O$2,$D88,$D88-($D88-$I$76)*MIN(H$3-$O$2,$Q$2)/$Q$2))</f>
        <v>6935.15042686645</v>
      </c>
      <c r="I88" s="15" t="n">
        <f aca="false">H88*(1+IF(I$3&lt;=$O$2,$D88,$D88-($D88-$I$76)*MIN(I$3-$O$2,$Q$2)/$Q$2))</f>
        <v>7312.72331387602</v>
      </c>
      <c r="J88" s="15" t="n">
        <f aca="false">I88*(1+IF(J$3&lt;=$O$2,$D88,$D88-($D88-$I$76)*MIN(J$3-$O$2,$Q$2)/$Q$2))</f>
        <v>7665.30398322852</v>
      </c>
      <c r="K88" s="15" t="n">
        <f aca="false">J88*(1+IF(K$3&lt;=$O$2,$D88,$D88-($D88-$I$76)*MIN(K$3-$O$2,$Q$2)/$Q$2))</f>
        <v>7987.13955603873</v>
      </c>
      <c r="L88" s="15" t="n">
        <f aca="false">K88*(1+IF(L$3&lt;=$O$2,$D88,$D88-($D88-$I$76)*MIN(L$3-$O$2,$Q$2)/$Q$2))</f>
        <v>8272.73845072322</v>
      </c>
      <c r="M88" s="15" t="n">
        <f aca="false">L88*(1+IF(M$3&lt;=$O$2,$D88,$D88-($D88-$I$76)*MIN(M$3-$O$2,$Q$2)/$Q$2))</f>
        <v>8517.02142994233</v>
      </c>
      <c r="N88" s="15" t="n">
        <f aca="false">M88*(1+IF(N$3&lt;=$O$2,$D88,$D88-($D88-$I$76)*MIN(N$3-$O$2,$Q$2)/$Q$2))</f>
        <v>8715.46802925998</v>
      </c>
      <c r="O88" s="15" t="n">
        <f aca="false">SUMPRODUCT(E88:N88,1/(1+$F$76)^$E$3:$N$3)*$E$2</f>
        <v>19745.6609871001</v>
      </c>
      <c r="P88" s="15" t="n">
        <f aca="false">N88*$E$2*(1+$I$76)/($F$76-$I$76)/(1+$F$76)^$N$3</f>
        <v>41147.0151860362</v>
      </c>
      <c r="Q88" s="15" t="n">
        <f aca="false">O88+P88</f>
        <v>60892.6761731362</v>
      </c>
      <c r="R88" s="15" t="n">
        <f aca="false">Q88-$G$2+$I$2</f>
        <v>52127.6761731362</v>
      </c>
      <c r="S88" s="40" t="n">
        <f aca="false">R88/$K$2</f>
        <v>93.2549933327422</v>
      </c>
      <c r="T88" s="41" t="n">
        <f aca="false">S88-$M$2</f>
        <v>-0.218833995605905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0.054443359375</v>
      </c>
      <c r="C89" s="25" t="n">
        <f aca="false">IF(T88&gt;0,D88,C88)</f>
        <v>0.05517578125</v>
      </c>
      <c r="D89" s="39" t="n">
        <f aca="false">(B89+C89)/2</f>
        <v>0.0548095703125</v>
      </c>
      <c r="E89" s="15" t="n">
        <f aca="false">$C$2*(1+IF(E$3&lt;=$O$2,$D89,$D89-($D89-$I$76)*MIN(E$3-$O$2,$Q$2)/$Q$2))</f>
        <v>5917.48168945313</v>
      </c>
      <c r="F89" s="15" t="n">
        <f aca="false">E89*(1+IF(F$3&lt;=$O$2,$D89,$D89-($D89-$I$76)*MIN(F$3-$O$2,$Q$2)/$Q$2))</f>
        <v>6241.81631818414</v>
      </c>
      <c r="G89" s="15" t="n">
        <f aca="false">F89*(1+IF(G$3&lt;=$O$2,$D89,$D89-($D89-$I$76)*MIN(G$3-$O$2,$Q$2)/$Q$2))</f>
        <v>6583.92758855336</v>
      </c>
      <c r="H89" s="15" t="n">
        <f aca="false">G89*(1+IF(H$3&lt;=$O$2,$D89,$D89-($D89-$I$76)*MIN(H$3-$O$2,$Q$2)/$Q$2))</f>
        <v>6944.78983065059</v>
      </c>
      <c r="I89" s="15" t="n">
        <f aca="false">H89*(1+IF(I$3&lt;=$O$2,$D89,$D89-($D89-$I$76)*MIN(I$3-$O$2,$Q$2)/$Q$2))</f>
        <v>7325.43077717916</v>
      </c>
      <c r="J89" s="15" t="n">
        <f aca="false">I89*(1+IF(J$3&lt;=$O$2,$D89,$D89-($D89-$I$76)*MIN(J$3-$O$2,$Q$2)/$Q$2))</f>
        <v>7680.77025520174</v>
      </c>
      <c r="K89" s="15" t="n">
        <f aca="false">J89*(1+IF(K$3&lt;=$O$2,$D89,$D89-($D89-$I$76)*MIN(K$3-$O$2,$Q$2)/$Q$2))</f>
        <v>8004.9428643942</v>
      </c>
      <c r="L89" s="15" t="n">
        <f aca="false">K89*(1+IF(L$3&lt;=$O$2,$D89,$D89-($D89-$I$76)*MIN(L$3-$O$2,$Q$2)/$Q$2))</f>
        <v>8292.35095714786</v>
      </c>
      <c r="M89" s="15" t="n">
        <f aca="false">L89*(1+IF(M$3&lt;=$O$2,$D89,$D89-($D89-$I$76)*MIN(M$3-$O$2,$Q$2)/$Q$2))</f>
        <v>8537.82041755744</v>
      </c>
      <c r="N89" s="15" t="n">
        <f aca="false">M89*(1+IF(N$3&lt;=$O$2,$D89,$D89-($D89-$I$76)*MIN(N$3-$O$2,$Q$2)/$Q$2))</f>
        <v>8736.75163328653</v>
      </c>
      <c r="O89" s="15" t="n">
        <f aca="false">SUMPRODUCT(E89:N89,1/(1+$F$76)^$E$3:$N$3)*$E$2</f>
        <v>19777.9045613034</v>
      </c>
      <c r="P89" s="15" t="n">
        <f aca="false">N89*$E$2*(1+$I$76)/($F$76-$I$76)/(1+$F$76)^$N$3</f>
        <v>41247.4982324031</v>
      </c>
      <c r="Q89" s="15" t="n">
        <f aca="false">O89+P89</f>
        <v>61025.4027937066</v>
      </c>
      <c r="R89" s="15" t="n">
        <f aca="false">Q89-$G$2+$I$2</f>
        <v>52260.4027937066</v>
      </c>
      <c r="S89" s="40" t="n">
        <f aca="false">R89/$K$2</f>
        <v>93.4924376430401</v>
      </c>
      <c r="T89" s="41" t="n">
        <f aca="false">S89-$M$2</f>
        <v>0.0186103146920118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0.054443359375</v>
      </c>
      <c r="C90" s="25" t="n">
        <f aca="false">IF(T89&gt;0,D89,C89)</f>
        <v>0.0548095703125</v>
      </c>
      <c r="D90" s="39" t="n">
        <f aca="false">(B90+C90)/2</f>
        <v>0.05462646484375</v>
      </c>
      <c r="E90" s="15" t="n">
        <f aca="false">$C$2*(1+IF(E$3&lt;=$O$2,$D90,$D90-($D90-$I$76)*MIN(E$3-$O$2,$Q$2)/$Q$2))</f>
        <v>5916.45446777344</v>
      </c>
      <c r="F90" s="15" t="n">
        <f aca="false">E90*(1+IF(F$3&lt;=$O$2,$D90,$D90-($D90-$I$76)*MIN(F$3-$O$2,$Q$2)/$Q$2))</f>
        <v>6239.64945975691</v>
      </c>
      <c r="G90" s="15" t="n">
        <f aca="false">F90*(1+IF(G$3&lt;=$O$2,$D90,$D90-($D90-$I$76)*MIN(G$3-$O$2,$Q$2)/$Q$2))</f>
        <v>6580.49945160765</v>
      </c>
      <c r="H90" s="15" t="n">
        <f aca="false">G90*(1+IF(H$3&lt;=$O$2,$D90,$D90-($D90-$I$76)*MIN(H$3-$O$2,$Q$2)/$Q$2))</f>
        <v>6939.96887355521</v>
      </c>
      <c r="I90" s="15" t="n">
        <f aca="false">H90*(1+IF(I$3&lt;=$O$2,$D90,$D90-($D90-$I$76)*MIN(I$3-$O$2,$Q$2)/$Q$2))</f>
        <v>7319.07483924319</v>
      </c>
      <c r="J90" s="15" t="n">
        <f aca="false">I90*(1+IF(J$3&lt;=$O$2,$D90,$D90-($D90-$I$76)*MIN(J$3-$O$2,$Q$2)/$Q$2))</f>
        <v>7673.03387550982</v>
      </c>
      <c r="K90" s="15" t="n">
        <f aca="false">J90*(1+IF(K$3&lt;=$O$2,$D90,$D90-($D90-$I$76)*MIN(K$3-$O$2,$Q$2)/$Q$2))</f>
        <v>7996.03698037683</v>
      </c>
      <c r="L90" s="15" t="n">
        <f aca="false">K90*(1+IF(L$3&lt;=$O$2,$D90,$D90-($D90-$I$76)*MIN(L$3-$O$2,$Q$2)/$Q$2))</f>
        <v>8282.53967056165</v>
      </c>
      <c r="M90" s="15" t="n">
        <f aca="false">L90*(1+IF(M$3&lt;=$O$2,$D90,$D90-($D90-$I$76)*MIN(M$3-$O$2,$Q$2)/$Q$2))</f>
        <v>8527.4153824471</v>
      </c>
      <c r="N90" s="15" t="n">
        <f aca="false">M90*(1+IF(N$3&lt;=$O$2,$D90,$D90-($D90-$I$76)*MIN(N$3-$O$2,$Q$2)/$Q$2))</f>
        <v>8726.10416085812</v>
      </c>
      <c r="O90" s="15" t="n">
        <f aca="false">SUMPRODUCT(E90:N90,1/(1+$F$76)^$E$3:$N$3)*$E$2</f>
        <v>19761.7762028197</v>
      </c>
      <c r="P90" s="15" t="n">
        <f aca="false">N90*$E$2*(1+$I$76)/($F$76-$I$76)/(1+$F$76)^$N$3</f>
        <v>41197.2299383501</v>
      </c>
      <c r="Q90" s="15" t="n">
        <f aca="false">O90+P90</f>
        <v>60959.0061411698</v>
      </c>
      <c r="R90" s="15" t="n">
        <f aca="false">Q90-$G$2+$I$2</f>
        <v>52194.0061411698</v>
      </c>
      <c r="S90" s="40" t="n">
        <f aca="false">R90/$K$2</f>
        <v>93.373655839511</v>
      </c>
      <c r="T90" s="41" t="n">
        <f aca="false">S90-$M$2</f>
        <v>-0.10017148883712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0.05462646484375</v>
      </c>
      <c r="C91" s="25" t="n">
        <f aca="false">IF(T90&gt;0,D90,C90)</f>
        <v>0.0548095703125</v>
      </c>
      <c r="D91" s="39" t="n">
        <f aca="false">(B91+C91)/2</f>
        <v>0.054718017578125</v>
      </c>
      <c r="E91" s="15" t="n">
        <f aca="false">$C$2*(1+IF(E$3&lt;=$O$2,$D91,$D91-($D91-$I$76)*MIN(E$3-$O$2,$Q$2)/$Q$2))</f>
        <v>5916.96807861328</v>
      </c>
      <c r="F91" s="15" t="n">
        <f aca="false">E91*(1+IF(F$3&lt;=$O$2,$D91,$D91-($D91-$I$76)*MIN(F$3-$O$2,$Q$2)/$Q$2))</f>
        <v>6240.73284194805</v>
      </c>
      <c r="G91" s="15" t="n">
        <f aca="false">F91*(1+IF(G$3&lt;=$O$2,$D91,$D91-($D91-$I$76)*MIN(G$3-$O$2,$Q$2)/$Q$2))</f>
        <v>6582.21337129414</v>
      </c>
      <c r="H91" s="15" t="n">
        <f aca="false">G91*(1+IF(H$3&lt;=$O$2,$D91,$D91-($D91-$I$76)*MIN(H$3-$O$2,$Q$2)/$Q$2))</f>
        <v>6942.37903824758</v>
      </c>
      <c r="I91" s="15" t="n">
        <f aca="false">H91*(1+IF(I$3&lt;=$O$2,$D91,$D91-($D91-$I$76)*MIN(I$3-$O$2,$Q$2)/$Q$2))</f>
        <v>7322.25225649642</v>
      </c>
      <c r="J91" s="15" t="n">
        <f aca="false">I91*(1+IF(J$3&lt;=$O$2,$D91,$D91-($D91-$I$76)*MIN(J$3-$O$2,$Q$2)/$Q$2))</f>
        <v>7676.90125415764</v>
      </c>
      <c r="K91" s="15" t="n">
        <f aca="false">J91*(1+IF(K$3&lt;=$O$2,$D91,$D91-($D91-$I$76)*MIN(K$3-$O$2,$Q$2)/$Q$2))</f>
        <v>8000.48886450871</v>
      </c>
      <c r="L91" s="15" t="n">
        <f aca="false">K91*(1+IF(L$3&lt;=$O$2,$D91,$D91-($D91-$I$76)*MIN(L$3-$O$2,$Q$2)/$Q$2))</f>
        <v>8287.44405496326</v>
      </c>
      <c r="M91" s="15" t="n">
        <f aca="false">L91*(1+IF(M$3&lt;=$O$2,$D91,$D91-($D91-$I$76)*MIN(M$3-$O$2,$Q$2)/$Q$2))</f>
        <v>8532.61651404321</v>
      </c>
      <c r="N91" s="15" t="n">
        <f aca="false">M91*(1+IF(N$3&lt;=$O$2,$D91,$D91-($D91-$I$76)*MIN(N$3-$O$2,$Q$2)/$Q$2))</f>
        <v>8731.42647882042</v>
      </c>
      <c r="O91" s="15" t="n">
        <f aca="false">SUMPRODUCT(E91:N91,1/(1+$F$76)^$E$3:$N$3)*$E$2</f>
        <v>19769.838738594</v>
      </c>
      <c r="P91" s="15" t="n">
        <f aca="false">N91*$E$2*(1+$I$76)/($F$76-$I$76)/(1+$F$76)^$N$3</f>
        <v>41222.3573895993</v>
      </c>
      <c r="Q91" s="15" t="n">
        <f aca="false">O91+P91</f>
        <v>60992.1961281933</v>
      </c>
      <c r="R91" s="15" t="n">
        <f aca="false">Q91-$G$2+$I$2</f>
        <v>52227.1961281933</v>
      </c>
      <c r="S91" s="40" t="n">
        <f aca="false">R91/$K$2</f>
        <v>93.4330318225935</v>
      </c>
      <c r="T91" s="41" t="n">
        <f aca="false">S91-$M$2</f>
        <v>-0.0407955057546019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0.054718017578125</v>
      </c>
      <c r="C92" s="25" t="n">
        <f aca="false">IF(T91&gt;0,D91,C91)</f>
        <v>0.0548095703125</v>
      </c>
      <c r="D92" s="39" t="n">
        <f aca="false">(B92+C92)/2</f>
        <v>0.0547637939453125</v>
      </c>
      <c r="E92" s="15" t="n">
        <f aca="false">$C$2*(1+IF(E$3&lt;=$O$2,$D92,$D92-($D92-$I$76)*MIN(E$3-$O$2,$Q$2)/$Q$2))</f>
        <v>5917.2248840332</v>
      </c>
      <c r="F92" s="15" t="n">
        <f aca="false">E92*(1+IF(F$3&lt;=$O$2,$D92,$D92-($D92-$I$76)*MIN(F$3-$O$2,$Q$2)/$Q$2))</f>
        <v>6241.27456831047</v>
      </c>
      <c r="G92" s="15" t="n">
        <f aca="false">F92*(1+IF(G$3&lt;=$O$2,$D92,$D92-($D92-$I$76)*MIN(G$3-$O$2,$Q$2)/$Q$2))</f>
        <v>6583.07044272555</v>
      </c>
      <c r="H92" s="15" t="n">
        <f aca="false">G92*(1+IF(H$3&lt;=$O$2,$D92,$D92-($D92-$I$76)*MIN(H$3-$O$2,$Q$2)/$Q$2))</f>
        <v>6943.58435597845</v>
      </c>
      <c r="I92" s="15" t="n">
        <f aca="false">H92*(1+IF(I$3&lt;=$O$2,$D92,$D92-($D92-$I$76)*MIN(I$3-$O$2,$Q$2)/$Q$2))</f>
        <v>7323.84137889115</v>
      </c>
      <c r="J92" s="15" t="n">
        <f aca="false">I92*(1+IF(J$3&lt;=$O$2,$D92,$D92-($D92-$I$76)*MIN(J$3-$O$2,$Q$2)/$Q$2))</f>
        <v>7678.83555184618</v>
      </c>
      <c r="K92" s="15" t="n">
        <f aca="false">J92*(1+IF(K$3&lt;=$O$2,$D92,$D92-($D92-$I$76)*MIN(K$3-$O$2,$Q$2)/$Q$2))</f>
        <v>8002.71559993013</v>
      </c>
      <c r="L92" s="15" t="n">
        <f aca="false">K92*(1+IF(L$3&lt;=$O$2,$D92,$D92-($D92-$I$76)*MIN(L$3-$O$2,$Q$2)/$Q$2))</f>
        <v>8289.89719126416</v>
      </c>
      <c r="M92" s="15" t="n">
        <f aca="false">L92*(1+IF(M$3&lt;=$O$2,$D92,$D92-($D92-$I$76)*MIN(M$3-$O$2,$Q$2)/$Q$2))</f>
        <v>8535.21811923136</v>
      </c>
      <c r="N92" s="15" t="n">
        <f aca="false">M92*(1+IF(N$3&lt;=$O$2,$D92,$D92-($D92-$I$76)*MIN(N$3-$O$2,$Q$2)/$Q$2))</f>
        <v>8734.08870140945</v>
      </c>
      <c r="O92" s="15" t="n">
        <f aca="false">SUMPRODUCT(E92:N92,1/(1+$F$76)^$E$3:$N$3)*$E$2</f>
        <v>19773.871239004</v>
      </c>
      <c r="P92" s="15" t="n">
        <f aca="false">N92*$E$2*(1+$I$76)/($F$76-$I$76)/(1+$F$76)^$N$3</f>
        <v>41234.9261366743</v>
      </c>
      <c r="Q92" s="15" t="n">
        <f aca="false">O92+P92</f>
        <v>61008.7973756783</v>
      </c>
      <c r="R92" s="15" t="n">
        <f aca="false">Q92-$G$2+$I$2</f>
        <v>52243.7973756783</v>
      </c>
      <c r="S92" s="40" t="n">
        <f aca="false">R92/$K$2</f>
        <v>93.4627310023226</v>
      </c>
      <c r="T92" s="41" t="n">
        <f aca="false">S92-$M$2</f>
        <v>-0.0110963260254522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0.0547637939453125</v>
      </c>
      <c r="C93" s="25" t="n">
        <f aca="false">IF(T92&gt;0,D92,C92)</f>
        <v>0.0548095703125</v>
      </c>
      <c r="D93" s="39" t="n">
        <f aca="false">(B93+C93)/2</f>
        <v>0.0547866821289063</v>
      </c>
      <c r="E93" s="15" t="n">
        <f aca="false">$C$2*(1+IF(E$3&lt;=$O$2,$D93,$D93-($D93-$I$76)*MIN(E$3-$O$2,$Q$2)/$Q$2))</f>
        <v>5917.35328674316</v>
      </c>
      <c r="F93" s="15" t="n">
        <f aca="false">E93*(1+IF(F$3&lt;=$O$2,$D93,$D93-($D93-$I$76)*MIN(F$3-$O$2,$Q$2)/$Q$2))</f>
        <v>6241.5454403084</v>
      </c>
      <c r="G93" s="15" t="n">
        <f aca="false">F93*(1+IF(G$3&lt;=$O$2,$D93,$D93-($D93-$I$76)*MIN(G$3-$O$2,$Q$2)/$Q$2))</f>
        <v>6583.4990063397</v>
      </c>
      <c r="H93" s="15" t="n">
        <f aca="false">G93*(1+IF(H$3&lt;=$O$2,$D93,$D93-($D93-$I$76)*MIN(H$3-$O$2,$Q$2)/$Q$2))</f>
        <v>6944.187073696</v>
      </c>
      <c r="I93" s="15" t="n">
        <f aca="false">H93*(1+IF(I$3&lt;=$O$2,$D93,$D93-($D93-$I$76)*MIN(I$3-$O$2,$Q$2)/$Q$2))</f>
        <v>7324.63604354625</v>
      </c>
      <c r="J93" s="15" t="n">
        <f aca="false">I93*(1+IF(J$3&lt;=$O$2,$D93,$D93-($D93-$I$76)*MIN(J$3-$O$2,$Q$2)/$Q$2))</f>
        <v>7679.80285281133</v>
      </c>
      <c r="K93" s="15" t="n">
        <f aca="false">J93*(1+IF(K$3&lt;=$O$2,$D93,$D93-($D93-$I$76)*MIN(K$3-$O$2,$Q$2)/$Q$2))</f>
        <v>8003.82916602532</v>
      </c>
      <c r="L93" s="15" t="n">
        <f aca="false">K93*(1+IF(L$3&lt;=$O$2,$D93,$D93-($D93-$I$76)*MIN(L$3-$O$2,$Q$2)/$Q$2))</f>
        <v>8291.12399549959</v>
      </c>
      <c r="M93" s="15" t="n">
        <f aca="false">L93*(1+IF(M$3&lt;=$O$2,$D93,$D93-($D93-$I$76)*MIN(M$3-$O$2,$Q$2)/$Q$2))</f>
        <v>8536.51918174226</v>
      </c>
      <c r="N93" s="15" t="n">
        <f aca="false">M93*(1+IF(N$3&lt;=$O$2,$D93,$D93-($D93-$I$76)*MIN(N$3-$O$2,$Q$2)/$Q$2))</f>
        <v>8735.42007867686</v>
      </c>
      <c r="O93" s="15" t="n">
        <f aca="false">SUMPRODUCT(E93:N93,1/(1+$F$76)^$E$3:$N$3)*$E$2</f>
        <v>19775.8877974078</v>
      </c>
      <c r="P93" s="15" t="n">
        <f aca="false">N93*$E$2*(1+$I$76)/($F$76-$I$76)/(1+$F$76)^$N$3</f>
        <v>41241.2117659091</v>
      </c>
      <c r="Q93" s="15" t="n">
        <f aca="false">O93+P93</f>
        <v>61017.099563317</v>
      </c>
      <c r="R93" s="15" t="n">
        <f aca="false">Q93-$G$2+$I$2</f>
        <v>52252.099563317</v>
      </c>
      <c r="S93" s="40" t="n">
        <f aca="false">R93/$K$2</f>
        <v>93.4775833899549</v>
      </c>
      <c r="T93" s="41" t="n">
        <f aca="false">S93-$M$2</f>
        <v>0.00375606160679354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0.0547637939453125</v>
      </c>
      <c r="C94" s="25" t="n">
        <f aca="false">IF(T93&gt;0,D93,C93)</f>
        <v>0.0547866821289063</v>
      </c>
      <c r="D94" s="39" t="n">
        <f aca="false">(B94+C94)/2</f>
        <v>0.0547752380371094</v>
      </c>
      <c r="E94" s="15" t="n">
        <f aca="false">$C$2*(1+IF(E$3&lt;=$O$2,$D94,$D94-($D94-$I$76)*MIN(E$3-$O$2,$Q$2)/$Q$2))</f>
        <v>5917.28908538818</v>
      </c>
      <c r="F94" s="15" t="n">
        <f aca="false">E94*(1+IF(F$3&lt;=$O$2,$D94,$D94-($D94-$I$76)*MIN(F$3-$O$2,$Q$2)/$Q$2))</f>
        <v>6241.41000357471</v>
      </c>
      <c r="G94" s="15" t="n">
        <f aca="false">F94*(1+IF(G$3&lt;=$O$2,$D94,$D94-($D94-$I$76)*MIN(G$3-$O$2,$Q$2)/$Q$2))</f>
        <v>6583.28472220771</v>
      </c>
      <c r="H94" s="15" t="n">
        <f aca="false">G94*(1+IF(H$3&lt;=$O$2,$D94,$D94-($D94-$I$76)*MIN(H$3-$O$2,$Q$2)/$Q$2))</f>
        <v>6943.8857099327</v>
      </c>
      <c r="I94" s="15" t="n">
        <f aca="false">H94*(1+IF(I$3&lt;=$O$2,$D94,$D94-($D94-$I$76)*MIN(I$3-$O$2,$Q$2)/$Q$2))</f>
        <v>7324.23870259675</v>
      </c>
      <c r="J94" s="15" t="n">
        <f aca="false">I94*(1+IF(J$3&lt;=$O$2,$D94,$D94-($D94-$I$76)*MIN(J$3-$O$2,$Q$2)/$Q$2))</f>
        <v>7679.31918965113</v>
      </c>
      <c r="K94" s="15" t="n">
        <f aca="false">J94*(1+IF(K$3&lt;=$O$2,$D94,$D94-($D94-$I$76)*MIN(K$3-$O$2,$Q$2)/$Q$2))</f>
        <v>8003.27236644433</v>
      </c>
      <c r="L94" s="15" t="n">
        <f aca="false">K94*(1+IF(L$3&lt;=$O$2,$D94,$D94-($D94-$I$76)*MIN(L$3-$O$2,$Q$2)/$Q$2))</f>
        <v>8290.51057370634</v>
      </c>
      <c r="M94" s="15" t="n">
        <f aca="false">L94*(1+IF(M$3&lt;=$O$2,$D94,$D94-($D94-$I$76)*MIN(M$3-$O$2,$Q$2)/$Q$2))</f>
        <v>8535.86862882501</v>
      </c>
      <c r="N94" s="15" t="n">
        <f aca="false">M94*(1+IF(N$3&lt;=$O$2,$D94,$D94-($D94-$I$76)*MIN(N$3-$O$2,$Q$2)/$Q$2))</f>
        <v>8734.75436787664</v>
      </c>
      <c r="O94" s="15" t="n">
        <f aca="false">SUMPRODUCT(E94:N94,1/(1+$F$76)^$E$3:$N$3)*$E$2</f>
        <v>19774.8794925207</v>
      </c>
      <c r="P94" s="15" t="n">
        <f aca="false">N94*$E$2*(1+$I$76)/($F$76-$I$76)/(1+$F$76)^$N$3</f>
        <v>41238.0688466403</v>
      </c>
      <c r="Q94" s="15" t="n">
        <f aca="false">O94+P94</f>
        <v>61012.948339161</v>
      </c>
      <c r="R94" s="15" t="n">
        <f aca="false">Q94-$G$2+$I$2</f>
        <v>52247.948339161</v>
      </c>
      <c r="S94" s="40" t="n">
        <f aca="false">R94/$K$2</f>
        <v>93.47015696297</v>
      </c>
      <c r="T94" s="41" t="n">
        <f aca="false">S94-$M$2</f>
        <v>-0.00367036537809895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0.0547752380371094</v>
      </c>
      <c r="C95" s="25" t="n">
        <f aca="false">IF(T94&gt;0,D94,C94)</f>
        <v>0.0547866821289063</v>
      </c>
      <c r="D95" s="39" t="n">
        <f aca="false">(B95+C95)/2</f>
        <v>0.0547809600830078</v>
      </c>
      <c r="E95" s="15" t="n">
        <f aca="false">$C$2*(1+IF(E$3&lt;=$O$2,$D95,$D95-($D95-$I$76)*MIN(E$3-$O$2,$Q$2)/$Q$2))</f>
        <v>5917.32118606567</v>
      </c>
      <c r="F95" s="15" t="n">
        <f aca="false">E95*(1+IF(F$3&lt;=$O$2,$D95,$D95-($D95-$I$76)*MIN(F$3-$O$2,$Q$2)/$Q$2))</f>
        <v>6241.47772175787</v>
      </c>
      <c r="G95" s="15" t="n">
        <f aca="false">F95*(1+IF(G$3&lt;=$O$2,$D95,$D95-($D95-$I$76)*MIN(G$3-$O$2,$Q$2)/$Q$2))</f>
        <v>6583.39186369247</v>
      </c>
      <c r="H95" s="15" t="n">
        <f aca="false">G95*(1+IF(H$3&lt;=$O$2,$D95,$D95-($D95-$I$76)*MIN(H$3-$O$2,$Q$2)/$Q$2))</f>
        <v>6944.03639058821</v>
      </c>
      <c r="I95" s="15" t="n">
        <f aca="false">H95*(1+IF(I$3&lt;=$O$2,$D95,$D95-($D95-$I$76)*MIN(I$3-$O$2,$Q$2)/$Q$2))</f>
        <v>7324.43737091598</v>
      </c>
      <c r="J95" s="15" t="n">
        <f aca="false">I95*(1+IF(J$3&lt;=$O$2,$D95,$D95-($D95-$I$76)*MIN(J$3-$O$2,$Q$2)/$Q$2))</f>
        <v>7679.56101806176</v>
      </c>
      <c r="K95" s="15" t="n">
        <f aca="false">J95*(1+IF(K$3&lt;=$O$2,$D95,$D95-($D95-$I$76)*MIN(K$3-$O$2,$Q$2)/$Q$2))</f>
        <v>8003.55076210137</v>
      </c>
      <c r="L95" s="15" t="n">
        <f aca="false">K95*(1+IF(L$3&lt;=$O$2,$D95,$D95-($D95-$I$76)*MIN(L$3-$O$2,$Q$2)/$Q$2))</f>
        <v>8290.81727968395</v>
      </c>
      <c r="M95" s="15" t="n">
        <f aca="false">L95*(1+IF(M$3&lt;=$O$2,$D95,$D95-($D95-$I$76)*MIN(M$3-$O$2,$Q$2)/$Q$2))</f>
        <v>8536.19389986803</v>
      </c>
      <c r="N95" s="15" t="n">
        <f aca="false">M95*(1+IF(N$3&lt;=$O$2,$D95,$D95-($D95-$I$76)*MIN(N$3-$O$2,$Q$2)/$Q$2))</f>
        <v>8735.08721773496</v>
      </c>
      <c r="O95" s="15" t="n">
        <f aca="false">SUMPRODUCT(E95:N95,1/(1+$F$76)^$E$3:$N$3)*$E$2</f>
        <v>19775.3836385428</v>
      </c>
      <c r="P95" s="15" t="n">
        <f aca="false">N95*$E$2*(1+$I$76)/($F$76-$I$76)/(1+$F$76)^$N$3</f>
        <v>41239.6402801111</v>
      </c>
      <c r="Q95" s="15" t="n">
        <f aca="false">O95+P95</f>
        <v>61015.0239186539</v>
      </c>
      <c r="R95" s="15" t="n">
        <f aca="false">Q95-$G$2+$I$2</f>
        <v>52250.0239186539</v>
      </c>
      <c r="S95" s="40" t="n">
        <f aca="false">R95/$K$2</f>
        <v>93.4738701181686</v>
      </c>
      <c r="T95" s="41" t="n">
        <f aca="false">S95-$M$2</f>
        <v>4.27898205401789E-005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0.0547752380371094</v>
      </c>
      <c r="C96" s="25" t="n">
        <f aca="false">IF(T95&gt;0,D95,C95)</f>
        <v>0.0547809600830078</v>
      </c>
      <c r="D96" s="39" t="n">
        <f aca="false">(B96+C96)/2</f>
        <v>0.0547780990600586</v>
      </c>
      <c r="E96" s="15" t="n">
        <f aca="false">$C$2*(1+IF(E$3&lt;=$O$2,$D96,$D96-($D96-$I$76)*MIN(E$3-$O$2,$Q$2)/$Q$2))</f>
        <v>5917.30513572693</v>
      </c>
      <c r="F96" s="15" t="n">
        <f aca="false">E96*(1+IF(F$3&lt;=$O$2,$D96,$D96-($D96-$I$76)*MIN(F$3-$O$2,$Q$2)/$Q$2))</f>
        <v>6241.44386262037</v>
      </c>
      <c r="G96" s="15" t="n">
        <f aca="false">F96*(1+IF(G$3&lt;=$O$2,$D96,$D96-($D96-$I$76)*MIN(G$3-$O$2,$Q$2)/$Q$2))</f>
        <v>6583.33829280479</v>
      </c>
      <c r="H96" s="15" t="n">
        <f aca="false">G96*(1+IF(H$3&lt;=$O$2,$D96,$D96-($D96-$I$76)*MIN(H$3-$O$2,$Q$2)/$Q$2))</f>
        <v>6943.96104995392</v>
      </c>
      <c r="I96" s="15" t="n">
        <f aca="false">H96*(1+IF(I$3&lt;=$O$2,$D96,$D96-($D96-$I$76)*MIN(I$3-$O$2,$Q$2)/$Q$2))</f>
        <v>7324.33803621749</v>
      </c>
      <c r="J96" s="15" t="n">
        <f aca="false">I96*(1+IF(J$3&lt;=$O$2,$D96,$D96-($D96-$I$76)*MIN(J$3-$O$2,$Q$2)/$Q$2))</f>
        <v>7679.44010306408</v>
      </c>
      <c r="K96" s="15" t="n">
        <f aca="false">J96*(1+IF(K$3&lt;=$O$2,$D96,$D96-($D96-$I$76)*MIN(K$3-$O$2,$Q$2)/$Q$2))</f>
        <v>8003.4115632395</v>
      </c>
      <c r="L96" s="15" t="n">
        <f aca="false">K96*(1+IF(L$3&lt;=$O$2,$D96,$D96-($D96-$I$76)*MIN(L$3-$O$2,$Q$2)/$Q$2))</f>
        <v>8290.66392546541</v>
      </c>
      <c r="M96" s="15" t="n">
        <f aca="false">L96*(1+IF(M$3&lt;=$O$2,$D96,$D96-($D96-$I$76)*MIN(M$3-$O$2,$Q$2)/$Q$2))</f>
        <v>8536.03126299264</v>
      </c>
      <c r="N96" s="15" t="n">
        <f aca="false">M96*(1+IF(N$3&lt;=$O$2,$D96,$D96-($D96-$I$76)*MIN(N$3-$O$2,$Q$2)/$Q$2))</f>
        <v>8734.92079142037</v>
      </c>
      <c r="O96" s="15" t="n">
        <f aca="false">SUMPRODUCT(E96:N96,1/(1+$F$76)^$E$3:$N$3)*$E$2</f>
        <v>19775.1315639264</v>
      </c>
      <c r="P96" s="15" t="n">
        <f aca="false">N96*$E$2*(1+$I$76)/($F$76-$I$76)/(1+$F$76)^$N$3</f>
        <v>41238.8545568349</v>
      </c>
      <c r="Q96" s="15" t="n">
        <f aca="false">O96+P96</f>
        <v>61013.9861207613</v>
      </c>
      <c r="R96" s="15" t="n">
        <f aca="false">Q96-$G$2+$I$2</f>
        <v>52248.9861207613</v>
      </c>
      <c r="S96" s="40" t="n">
        <f aca="false">R96/$K$2</f>
        <v>93.4720135259961</v>
      </c>
      <c r="T96" s="41" t="n">
        <f aca="false">S96-$M$2</f>
        <v>-0.00181380235200379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0.0547780990600586</v>
      </c>
      <c r="C97" s="25" t="n">
        <f aca="false">IF(T96&gt;0,D96,C96)</f>
        <v>0.0547809600830078</v>
      </c>
      <c r="D97" s="39" t="n">
        <f aca="false">(B97+C97)/2</f>
        <v>0.0547795295715332</v>
      </c>
      <c r="E97" s="15" t="n">
        <f aca="false">$C$2*(1+IF(E$3&lt;=$O$2,$D97,$D97-($D97-$I$76)*MIN(E$3-$O$2,$Q$2)/$Q$2))</f>
        <v>5917.3131608963</v>
      </c>
      <c r="F97" s="15" t="n">
        <f aca="false">E97*(1+IF(F$3&lt;=$O$2,$D97,$D97-($D97-$I$76)*MIN(F$3-$O$2,$Q$2)/$Q$2))</f>
        <v>6241.46079217764</v>
      </c>
      <c r="G97" s="15" t="n">
        <f aca="false">F97*(1+IF(G$3&lt;=$O$2,$D97,$D97-($D97-$I$76)*MIN(G$3-$O$2,$Q$2)/$Q$2))</f>
        <v>6583.3650782123</v>
      </c>
      <c r="H97" s="15" t="n">
        <f aca="false">G97*(1+IF(H$3&lt;=$O$2,$D97,$D97-($D97-$I$76)*MIN(H$3-$O$2,$Q$2)/$Q$2))</f>
        <v>6943.99872019443</v>
      </c>
      <c r="I97" s="15" t="n">
        <f aca="false">H97*(1+IF(I$3&lt;=$O$2,$D97,$D97-($D97-$I$76)*MIN(I$3-$O$2,$Q$2)/$Q$2))</f>
        <v>7324.38770343201</v>
      </c>
      <c r="J97" s="15" t="n">
        <f aca="false">I97*(1+IF(J$3&lt;=$O$2,$D97,$D97-($D97-$I$76)*MIN(J$3-$O$2,$Q$2)/$Q$2))</f>
        <v>7679.50056036483</v>
      </c>
      <c r="K97" s="15" t="n">
        <f aca="false">J97*(1+IF(K$3&lt;=$O$2,$D97,$D97-($D97-$I$76)*MIN(K$3-$O$2,$Q$2)/$Q$2))</f>
        <v>8003.4811624121</v>
      </c>
      <c r="L97" s="15" t="n">
        <f aca="false">K97*(1+IF(L$3&lt;=$O$2,$D97,$D97-($D97-$I$76)*MIN(L$3-$O$2,$Q$2)/$Q$2))</f>
        <v>8290.74060226724</v>
      </c>
      <c r="M97" s="15" t="n">
        <f aca="false">L97*(1+IF(M$3&lt;=$O$2,$D97,$D97-($D97-$I$76)*MIN(M$3-$O$2,$Q$2)/$Q$2))</f>
        <v>8536.11258109187</v>
      </c>
      <c r="N97" s="15" t="n">
        <f aca="false">M97*(1+IF(N$3&lt;=$O$2,$D97,$D97-($D97-$I$76)*MIN(N$3-$O$2,$Q$2)/$Q$2))</f>
        <v>8735.00400423131</v>
      </c>
      <c r="O97" s="15" t="n">
        <f aca="false">SUMPRODUCT(E97:N97,1/(1+$F$76)^$E$3:$N$3)*$E$2</f>
        <v>19775.2576008332</v>
      </c>
      <c r="P97" s="15" t="n">
        <f aca="false">N97*$E$2*(1+$I$76)/($F$76-$I$76)/(1+$F$76)^$N$3</f>
        <v>41239.2474168378</v>
      </c>
      <c r="Q97" s="15" t="n">
        <f aca="false">O97+P97</f>
        <v>61014.5050176711</v>
      </c>
      <c r="R97" s="15" t="n">
        <f aca="false">Q97-$G$2+$I$2</f>
        <v>52249.5050176711</v>
      </c>
      <c r="S97" s="40" t="n">
        <f aca="false">R97/$K$2</f>
        <v>93.472941818439</v>
      </c>
      <c r="T97" s="41" t="n">
        <f aca="false">S97-$M$2</f>
        <v>-0.000885509909053894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0.0547795295715332</v>
      </c>
      <c r="C98" s="25" t="n">
        <f aca="false">IF(T97&gt;0,D97,C97)</f>
        <v>0.0547809600830078</v>
      </c>
      <c r="D98" s="39" t="n">
        <f aca="false">(B98+C98)/2</f>
        <v>0.0547802448272705</v>
      </c>
      <c r="E98" s="15" t="n">
        <f aca="false">$C$2*(1+IF(E$3&lt;=$O$2,$D98,$D98-($D98-$I$76)*MIN(E$3-$O$2,$Q$2)/$Q$2))</f>
        <v>5917.31717348099</v>
      </c>
      <c r="F98" s="15" t="n">
        <f aca="false">E98*(1+IF(F$3&lt;=$O$2,$D98,$D98-($D98-$I$76)*MIN(F$3-$O$2,$Q$2)/$Q$2))</f>
        <v>6241.46925696489</v>
      </c>
      <c r="G98" s="15" t="n">
        <f aca="false">F98*(1+IF(G$3&lt;=$O$2,$D98,$D98-($D98-$I$76)*MIN(G$3-$O$2,$Q$2)/$Q$2))</f>
        <v>6583.37847094331</v>
      </c>
      <c r="H98" s="15" t="n">
        <f aca="false">G98*(1+IF(H$3&lt;=$O$2,$D98,$D98-($D98-$I$76)*MIN(H$3-$O$2,$Q$2)/$Q$2))</f>
        <v>6944.01755537216</v>
      </c>
      <c r="I98" s="15" t="n">
        <f aca="false">H98*(1+IF(I$3&lt;=$O$2,$D98,$D98-($D98-$I$76)*MIN(I$3-$O$2,$Q$2)/$Q$2))</f>
        <v>7324.41253714032</v>
      </c>
      <c r="J98" s="15" t="n">
        <f aca="false">I98*(1+IF(J$3&lt;=$O$2,$D98,$D98-($D98-$I$76)*MIN(J$3-$O$2,$Q$2)/$Q$2))</f>
        <v>7679.53078916377</v>
      </c>
      <c r="K98" s="15" t="n">
        <f aca="false">J98*(1+IF(K$3&lt;=$O$2,$D98,$D98-($D98-$I$76)*MIN(K$3-$O$2,$Q$2)/$Q$2))</f>
        <v>8003.51596219215</v>
      </c>
      <c r="L98" s="15" t="n">
        <f aca="false">K98*(1+IF(L$3&lt;=$O$2,$D98,$D98-($D98-$I$76)*MIN(L$3-$O$2,$Q$2)/$Q$2))</f>
        <v>8290.77894089874</v>
      </c>
      <c r="M98" s="15" t="n">
        <f aca="false">L98*(1+IF(M$3&lt;=$O$2,$D98,$D98-($D98-$I$76)*MIN(M$3-$O$2,$Q$2)/$Q$2))</f>
        <v>8536.15324039533</v>
      </c>
      <c r="N98" s="15" t="n">
        <f aca="false">M98*(1+IF(N$3&lt;=$O$2,$D98,$D98-($D98-$I$76)*MIN(N$3-$O$2,$Q$2)/$Q$2))</f>
        <v>8735.04561089654</v>
      </c>
      <c r="O98" s="15" t="n">
        <f aca="false">SUMPRODUCT(E98:N98,1/(1+$F$76)^$E$3:$N$3)*$E$2</f>
        <v>19775.3206195877</v>
      </c>
      <c r="P98" s="15" t="n">
        <f aca="false">N98*$E$2*(1+$I$76)/($F$76-$I$76)/(1+$F$76)^$N$3</f>
        <v>41239.4438480657</v>
      </c>
      <c r="Q98" s="15" t="n">
        <f aca="false">O98+P98</f>
        <v>61014.7644676533</v>
      </c>
      <c r="R98" s="15" t="n">
        <f aca="false">Q98-$G$2+$I$2</f>
        <v>52249.7644676533</v>
      </c>
      <c r="S98" s="40" t="n">
        <f aca="false">R98/$K$2</f>
        <v>93.473405967393</v>
      </c>
      <c r="T98" s="41" t="n">
        <f aca="false">S98-$M$2</f>
        <v>-0.000421360955115802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0.0547802448272705</v>
      </c>
      <c r="C99" s="25" t="n">
        <f aca="false">IF(T98&gt;0,D98,C98)</f>
        <v>0.0547809600830078</v>
      </c>
      <c r="D99" s="39" t="n">
        <f aca="false">(B99+C99)/2</f>
        <v>0.0547806024551392</v>
      </c>
      <c r="E99" s="15" t="n">
        <f aca="false">$C$2*(1+IF(E$3&lt;=$O$2,$D99,$D99-($D99-$I$76)*MIN(E$3-$O$2,$Q$2)/$Q$2))</f>
        <v>5917.31917977333</v>
      </c>
      <c r="F99" s="15" t="n">
        <f aca="false">E99*(1+IF(F$3&lt;=$O$2,$D99,$D99-($D99-$I$76)*MIN(F$3-$O$2,$Q$2)/$Q$2))</f>
        <v>6241.47348936066</v>
      </c>
      <c r="G99" s="15" t="n">
        <f aca="false">F99*(1+IF(G$3&lt;=$O$2,$D99,$D99-($D99-$I$76)*MIN(G$3-$O$2,$Q$2)/$Q$2))</f>
        <v>6583.38516731562</v>
      </c>
      <c r="H99" s="15" t="n">
        <f aca="false">G99*(1+IF(H$3&lt;=$O$2,$D99,$D99-($D99-$I$76)*MIN(H$3-$O$2,$Q$2)/$Q$2))</f>
        <v>6944.0269729754</v>
      </c>
      <c r="I99" s="15" t="n">
        <f aca="false">H99*(1+IF(I$3&lt;=$O$2,$D99,$D99-($D99-$I$76)*MIN(I$3-$O$2,$Q$2)/$Q$2))</f>
        <v>7324.42495401973</v>
      </c>
      <c r="J99" s="15" t="n">
        <f aca="false">I99*(1+IF(J$3&lt;=$O$2,$D99,$D99-($D99-$I$76)*MIN(J$3-$O$2,$Q$2)/$Q$2))</f>
        <v>7679.54590360038</v>
      </c>
      <c r="K99" s="15" t="n">
        <f aca="false">J99*(1+IF(K$3&lt;=$O$2,$D99,$D99-($D99-$I$76)*MIN(K$3-$O$2,$Q$2)/$Q$2))</f>
        <v>8003.53336213061</v>
      </c>
      <c r="L99" s="15" t="n">
        <f aca="false">K99*(1+IF(L$3&lt;=$O$2,$D99,$D99-($D99-$I$76)*MIN(L$3-$O$2,$Q$2)/$Q$2))</f>
        <v>8290.79811027213</v>
      </c>
      <c r="M99" s="15" t="n">
        <f aca="false">L99*(1+IF(M$3&lt;=$O$2,$D99,$D99-($D99-$I$76)*MIN(M$3-$O$2,$Q$2)/$Q$2))</f>
        <v>8536.17357011053</v>
      </c>
      <c r="N99" s="15" t="n">
        <f aca="false">M99*(1+IF(N$3&lt;=$O$2,$D99,$D99-($D99-$I$76)*MIN(N$3-$O$2,$Q$2)/$Q$2))</f>
        <v>8735.0664142941</v>
      </c>
      <c r="O99" s="15" t="n">
        <f aca="false">SUMPRODUCT(E99:N99,1/(1+$F$76)^$E$3:$N$3)*$E$2</f>
        <v>19775.3521290401</v>
      </c>
      <c r="P99" s="15" t="n">
        <f aca="false">N99*$E$2*(1+$I$76)/($F$76-$I$76)/(1+$F$76)^$N$3</f>
        <v>41239.5420639862</v>
      </c>
      <c r="Q99" s="15" t="n">
        <f aca="false">O99+P99</f>
        <v>61014.8941930263</v>
      </c>
      <c r="R99" s="15" t="n">
        <f aca="false">Q99-$G$2+$I$2</f>
        <v>52249.8941930263</v>
      </c>
      <c r="S99" s="40" t="n">
        <f aca="false">R99/$K$2</f>
        <v>93.4736380425531</v>
      </c>
      <c r="T99" s="41" t="n">
        <f aca="false">S99-$M$2</f>
        <v>-0.000189285794988336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0.0547806024551392</v>
      </c>
      <c r="C100" s="25" t="n">
        <f aca="false">IF(T99&gt;0,D99,C99)</f>
        <v>0.0547809600830078</v>
      </c>
      <c r="D100" s="39" t="n">
        <f aca="false">(B100+C100)/2</f>
        <v>0.0547807812690735</v>
      </c>
      <c r="E100" s="15" t="n">
        <f aca="false">$C$2*(1+IF(E$3&lt;=$O$2,$D100,$D100-($D100-$I$76)*MIN(E$3-$O$2,$Q$2)/$Q$2))</f>
        <v>5917.3201829195</v>
      </c>
      <c r="F100" s="15" t="n">
        <f aca="false">E100*(1+IF(F$3&lt;=$O$2,$D100,$D100-($D100-$I$76)*MIN(F$3-$O$2,$Q$2)/$Q$2))</f>
        <v>6241.47560555909</v>
      </c>
      <c r="G100" s="15" t="n">
        <f aca="false">F100*(1+IF(G$3&lt;=$O$2,$D100,$D100-($D100-$I$76)*MIN(G$3-$O$2,$Q$2)/$Q$2))</f>
        <v>6583.38851550348</v>
      </c>
      <c r="H100" s="15" t="n">
        <f aca="false">G100*(1+IF(H$3&lt;=$O$2,$D100,$D100-($D100-$I$76)*MIN(H$3-$O$2,$Q$2)/$Q$2))</f>
        <v>6944.03168178061</v>
      </c>
      <c r="I100" s="15" t="n">
        <f aca="false">H100*(1+IF(I$3&lt;=$O$2,$D100,$D100-($D100-$I$76)*MIN(I$3-$O$2,$Q$2)/$Q$2))</f>
        <v>7324.43116246575</v>
      </c>
      <c r="J100" s="15" t="n">
        <f aca="false">I100*(1+IF(J$3&lt;=$O$2,$D100,$D100-($D100-$I$76)*MIN(J$3-$O$2,$Q$2)/$Q$2))</f>
        <v>7679.55346082798</v>
      </c>
      <c r="K100" s="15" t="n">
        <f aca="false">J100*(1+IF(K$3&lt;=$O$2,$D100,$D100-($D100-$I$76)*MIN(K$3-$O$2,$Q$2)/$Q$2))</f>
        <v>8003.54206211196</v>
      </c>
      <c r="L100" s="15" t="n">
        <f aca="false">K100*(1+IF(L$3&lt;=$O$2,$D100,$D100-($D100-$I$76)*MIN(L$3-$O$2,$Q$2)/$Q$2))</f>
        <v>8290.80769497323</v>
      </c>
      <c r="M100" s="15" t="n">
        <f aca="false">L100*(1+IF(M$3&lt;=$O$2,$D100,$D100-($D100-$I$76)*MIN(M$3-$O$2,$Q$2)/$Q$2))</f>
        <v>8536.18373498399</v>
      </c>
      <c r="N100" s="15" t="n">
        <f aca="false">M100*(1+IF(N$3&lt;=$O$2,$D100,$D100-($D100-$I$76)*MIN(N$3-$O$2,$Q$2)/$Q$2))</f>
        <v>8735.07681600912</v>
      </c>
      <c r="O100" s="15" t="n">
        <f aca="false">SUMPRODUCT(E100:N100,1/(1+$F$76)^$E$3:$N$3)*$E$2</f>
        <v>19775.3678837852</v>
      </c>
      <c r="P100" s="15" t="n">
        <f aca="false">N100*$E$2*(1+$I$76)/($F$76-$I$76)/(1+$F$76)^$N$3</f>
        <v>41239.5911720231</v>
      </c>
      <c r="Q100" s="15" t="n">
        <f aca="false">O100+P100</f>
        <v>61014.9590558083</v>
      </c>
      <c r="R100" s="15" t="n">
        <f aca="false">Q100-$G$2+$I$2</f>
        <v>52249.9590558083</v>
      </c>
      <c r="S100" s="40" t="n">
        <f aca="false">R100/$K$2</f>
        <v>93.4737540803039</v>
      </c>
      <c r="T100" s="41" t="n">
        <f aca="false">S100-$M$2</f>
        <v>-7.32480441598682E-005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0.0547807812690735</v>
      </c>
      <c r="C101" s="25" t="n">
        <f aca="false">IF(T100&gt;0,D100,C100)</f>
        <v>0.0547809600830078</v>
      </c>
      <c r="D101" s="39" t="n">
        <f aca="false">(B101+C101)/2</f>
        <v>0.0547808706760407</v>
      </c>
      <c r="E101" s="15" t="n">
        <f aca="false">$C$2*(1+IF(E$3&lt;=$O$2,$D101,$D101-($D101-$I$76)*MIN(E$3-$O$2,$Q$2)/$Q$2))</f>
        <v>5917.32068449259</v>
      </c>
      <c r="F101" s="15" t="n">
        <f aca="false">E101*(1+IF(F$3&lt;=$O$2,$D101,$D101-($D101-$I$76)*MIN(F$3-$O$2,$Q$2)/$Q$2))</f>
        <v>6241.47666365844</v>
      </c>
      <c r="G101" s="15" t="n">
        <f aca="false">F101*(1+IF(G$3&lt;=$O$2,$D101,$D101-($D101-$I$76)*MIN(G$3-$O$2,$Q$2)/$Q$2))</f>
        <v>6583.39018959784</v>
      </c>
      <c r="H101" s="15" t="n">
        <f aca="false">G101*(1+IF(H$3&lt;=$O$2,$D101,$D101-($D101-$I$76)*MIN(H$3-$O$2,$Q$2)/$Q$2))</f>
        <v>6944.03403618411</v>
      </c>
      <c r="I101" s="15" t="n">
        <f aca="false">H101*(1+IF(I$3&lt;=$O$2,$D101,$D101-($D101-$I$76)*MIN(I$3-$O$2,$Q$2)/$Q$2))</f>
        <v>7324.43426669034</v>
      </c>
      <c r="J101" s="15" t="n">
        <f aca="false">I101*(1+IF(J$3&lt;=$O$2,$D101,$D101-($D101-$I$76)*MIN(J$3-$O$2,$Q$2)/$Q$2))</f>
        <v>7679.55723944409</v>
      </c>
      <c r="K101" s="15" t="n">
        <f aca="false">J101*(1+IF(K$3&lt;=$O$2,$D101,$D101-($D101-$I$76)*MIN(K$3-$O$2,$Q$2)/$Q$2))</f>
        <v>8003.54641210566</v>
      </c>
      <c r="L101" s="15" t="n">
        <f aca="false">K101*(1+IF(L$3&lt;=$O$2,$D101,$D101-($D101-$I$76)*MIN(L$3-$O$2,$Q$2)/$Q$2))</f>
        <v>8290.81248732739</v>
      </c>
      <c r="M101" s="15" t="n">
        <f aca="false">L101*(1+IF(M$3&lt;=$O$2,$D101,$D101-($D101-$I$76)*MIN(M$3-$O$2,$Q$2)/$Q$2))</f>
        <v>8536.18881742469</v>
      </c>
      <c r="N101" s="15" t="n">
        <f aca="false">M101*(1+IF(N$3&lt;=$O$2,$D101,$D101-($D101-$I$76)*MIN(N$3-$O$2,$Q$2)/$Q$2))</f>
        <v>8735.08201687069</v>
      </c>
      <c r="O101" s="15" t="n">
        <f aca="false">SUMPRODUCT(E101:N101,1/(1+$F$76)^$E$3:$N$3)*$E$2</f>
        <v>19775.3757611624</v>
      </c>
      <c r="P101" s="15" t="n">
        <f aca="false">N101*$E$2*(1+$I$76)/($F$76-$I$76)/(1+$F$76)^$N$3</f>
        <v>41239.6157260607</v>
      </c>
      <c r="Q101" s="15" t="n">
        <f aca="false">O101+P101</f>
        <v>61014.9914872232</v>
      </c>
      <c r="R101" s="15" t="n">
        <f aca="false">Q101-$G$2+$I$2</f>
        <v>52249.9914872232</v>
      </c>
      <c r="S101" s="40" t="n">
        <f aca="false">R101/$K$2</f>
        <v>93.4738120992221</v>
      </c>
      <c r="T101" s="41" t="n">
        <f aca="false">S101-$M$2</f>
        <v>-1.52291259922777E-005</v>
      </c>
    </row>
    <row r="103" customFormat="false" ht="15" hidden="false" customHeight="false" outlineLevel="0" collapsed="false">
      <c r="A103" s="36" t="s">
        <v>189</v>
      </c>
      <c r="E103" s="5" t="s">
        <v>11</v>
      </c>
      <c r="F103" s="12" t="n">
        <f aca="false">Sensitivity!$B$10</f>
        <v>0.0667360315529091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6" t="s">
        <v>167</v>
      </c>
      <c r="B104" s="28" t="s">
        <v>168</v>
      </c>
      <c r="C104" s="28" t="s">
        <v>169</v>
      </c>
      <c r="D104" s="28" t="s">
        <v>170</v>
      </c>
      <c r="E104" s="28" t="s">
        <v>171</v>
      </c>
      <c r="F104" s="28" t="s">
        <v>172</v>
      </c>
      <c r="G104" s="28" t="s">
        <v>173</v>
      </c>
      <c r="H104" s="28" t="s">
        <v>174</v>
      </c>
      <c r="I104" s="28" t="s">
        <v>175</v>
      </c>
      <c r="J104" s="28" t="s">
        <v>176</v>
      </c>
      <c r="K104" s="28" t="s">
        <v>177</v>
      </c>
      <c r="L104" s="28" t="s">
        <v>178</v>
      </c>
      <c r="M104" s="28" t="s">
        <v>179</v>
      </c>
      <c r="N104" s="28" t="s">
        <v>180</v>
      </c>
      <c r="O104" s="28" t="s">
        <v>181</v>
      </c>
      <c r="P104" s="28" t="s">
        <v>182</v>
      </c>
      <c r="Q104" s="28" t="s">
        <v>183</v>
      </c>
      <c r="R104" s="28" t="s">
        <v>184</v>
      </c>
      <c r="S104" s="28" t="s">
        <v>185</v>
      </c>
      <c r="T104" s="28" t="s">
        <v>186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39" t="n">
        <f aca="false">(B105+C105)/2</f>
        <v>0.25</v>
      </c>
      <c r="E105" s="15" t="n">
        <f aca="false">$C$2*(1+IF(E$3&lt;=$O$2,$D105,$D105-($D105-$I$103)*MIN(E$3-$O$2,$Q$2)/$Q$2))</f>
        <v>7012.5</v>
      </c>
      <c r="F105" s="15" t="n">
        <f aca="false">E105*(1+IF(F$3&lt;=$O$2,$D105,$D105-($D105-$I$103)*MIN(F$3-$O$2,$Q$2)/$Q$2))</f>
        <v>8765.625</v>
      </c>
      <c r="G105" s="15" t="n">
        <f aca="false">F105*(1+IF(G$3&lt;=$O$2,$D105,$D105-($D105-$I$103)*MIN(G$3-$O$2,$Q$2)/$Q$2))</f>
        <v>10957.03125</v>
      </c>
      <c r="H105" s="15" t="n">
        <f aca="false">G105*(1+IF(H$3&lt;=$O$2,$D105,$D105-($D105-$I$103)*MIN(H$3-$O$2,$Q$2)/$Q$2))</f>
        <v>13696.2890625</v>
      </c>
      <c r="I105" s="15" t="n">
        <f aca="false">H105*(1+IF(I$3&lt;=$O$2,$D105,$D105-($D105-$I$103)*MIN(I$3-$O$2,$Q$2)/$Q$2))</f>
        <v>17120.361328125</v>
      </c>
      <c r="J105" s="15" t="n">
        <f aca="false">I105*(1+IF(J$3&lt;=$O$2,$D105,$D105-($D105-$I$103)*MIN(J$3-$O$2,$Q$2)/$Q$2))</f>
        <v>20641.3348388672</v>
      </c>
      <c r="K105" s="15" t="n">
        <f aca="false">J105*(1+IF(K$3&lt;=$O$2,$D105,$D105-($D105-$I$103)*MIN(K$3-$O$2,$Q$2)/$Q$2))</f>
        <v>23971.1949750732</v>
      </c>
      <c r="L105" s="15" t="n">
        <f aca="false">K105*(1+IF(L$3&lt;=$O$2,$D105,$D105-($D105-$I$103)*MIN(L$3-$O$2,$Q$2)/$Q$2))</f>
        <v>26775.3453632573</v>
      </c>
      <c r="M105" s="15" t="n">
        <f aca="false">L105*(1+IF(M$3&lt;=$O$2,$D105,$D105-($D105-$I$103)*MIN(M$3-$O$2,$Q$2)/$Q$2))</f>
        <v>28720.3064504443</v>
      </c>
      <c r="N105" s="15" t="n">
        <f aca="false">M105*(1+IF(N$3&lt;=$O$2,$D105,$D105-($D105-$I$103)*MIN(N$3-$O$2,$Q$2)/$Q$2))</f>
        <v>29533.0911229919</v>
      </c>
      <c r="O105" s="15" t="n">
        <f aca="false">SUMPRODUCT(E105:N105,1/(1+$F$103)^$E$3:$N$3)*$E$2</f>
        <v>47044.7214553872</v>
      </c>
      <c r="P105" s="15" t="n">
        <f aca="false">N105*$E$2*(1+$I$103)/($F$103-$I$103)/(1+$F$103)^$N$3</f>
        <v>158337.939316021</v>
      </c>
      <c r="Q105" s="15" t="n">
        <f aca="false">O105+P105</f>
        <v>205382.660771408</v>
      </c>
      <c r="R105" s="15" t="n">
        <f aca="false">Q105-$G$2+$I$2</f>
        <v>196617.660771408</v>
      </c>
      <c r="S105" s="40" t="n">
        <f aca="false">R105/$K$2</f>
        <v>351.743641581825</v>
      </c>
      <c r="T105" s="41" t="n">
        <f aca="false">S105-$M$2</f>
        <v>258.269814253477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39" t="n">
        <f aca="false">(B106+C106)/2</f>
        <v>-0.125</v>
      </c>
      <c r="E106" s="15" t="n">
        <f aca="false">$C$2*(1+IF(E$3&lt;=$O$2,$D106,$D106-($D106-$I$103)*MIN(E$3-$O$2,$Q$2)/$Q$2))</f>
        <v>4908.75</v>
      </c>
      <c r="F106" s="15" t="n">
        <f aca="false">E106*(1+IF(F$3&lt;=$O$2,$D106,$D106-($D106-$I$103)*MIN(F$3-$O$2,$Q$2)/$Q$2))</f>
        <v>4295.15625</v>
      </c>
      <c r="G106" s="15" t="n">
        <f aca="false">F106*(1+IF(G$3&lt;=$O$2,$D106,$D106-($D106-$I$103)*MIN(G$3-$O$2,$Q$2)/$Q$2))</f>
        <v>3758.26171875</v>
      </c>
      <c r="H106" s="15" t="n">
        <f aca="false">G106*(1+IF(H$3&lt;=$O$2,$D106,$D106-($D106-$I$103)*MIN(H$3-$O$2,$Q$2)/$Q$2))</f>
        <v>3288.47900390625</v>
      </c>
      <c r="I106" s="15" t="n">
        <f aca="false">H106*(1+IF(I$3&lt;=$O$2,$D106,$D106-($D106-$I$103)*MIN(I$3-$O$2,$Q$2)/$Q$2))</f>
        <v>2877.41912841797</v>
      </c>
      <c r="J106" s="15" t="n">
        <f aca="false">I106*(1+IF(J$3&lt;=$O$2,$D106,$D106-($D106-$I$103)*MIN(J$3-$O$2,$Q$2)/$Q$2))</f>
        <v>2605.96340784302</v>
      </c>
      <c r="K106" s="15" t="n">
        <f aca="false">J106*(1+IF(K$3&lt;=$O$2,$D106,$D106-($D106-$I$103)*MIN(K$3-$O$2,$Q$2)/$Q$2))</f>
        <v>2440.01565803157</v>
      </c>
      <c r="L106" s="15" t="n">
        <f aca="false">K106*(1+IF(L$3&lt;=$O$2,$D106,$D106-($D106-$I$103)*MIN(L$3-$O$2,$Q$2)/$Q$2))</f>
        <v>2359.44634100337</v>
      </c>
      <c r="M106" s="15" t="n">
        <f aca="false">L106*(1+IF(M$3&lt;=$O$2,$D106,$D106-($D106-$I$103)*MIN(M$3-$O$2,$Q$2)/$Q$2))</f>
        <v>2353.8780476386</v>
      </c>
      <c r="N106" s="15" t="n">
        <f aca="false">M106*(1+IF(N$3&lt;=$O$2,$D106,$D106-($D106-$I$103)*MIN(N$3-$O$2,$Q$2)/$Q$2))</f>
        <v>2420.49279638678</v>
      </c>
      <c r="O106" s="15" t="n">
        <f aca="false">SUMPRODUCT(E106:N106,1/(1+$F$103)^$E$3:$N$3)*$E$2</f>
        <v>8950.07296756682</v>
      </c>
      <c r="P106" s="15" t="n">
        <f aca="false">N106*$E$2*(1+$I$103)/($F$103-$I$103)/(1+$F$103)^$N$3</f>
        <v>12977.166525274</v>
      </c>
      <c r="Q106" s="15" t="n">
        <f aca="false">O106+P106</f>
        <v>21927.2394928408</v>
      </c>
      <c r="R106" s="15" t="n">
        <f aca="false">Q106-$G$2+$I$2</f>
        <v>13162.2394928408</v>
      </c>
      <c r="S106" s="40" t="n">
        <f aca="false">R106/$K$2</f>
        <v>23.5468880690557</v>
      </c>
      <c r="T106" s="41" t="n">
        <f aca="false">S106-$M$2</f>
        <v>-69.9269392592924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39" t="n">
        <f aca="false">(B107+C107)/2</f>
        <v>0.0625</v>
      </c>
      <c r="E107" s="15" t="n">
        <f aca="false">$C$2*(1+IF(E$3&lt;=$O$2,$D107,$D107-($D107-$I$103)*MIN(E$3-$O$2,$Q$2)/$Q$2))</f>
        <v>5960.625</v>
      </c>
      <c r="F107" s="15" t="n">
        <f aca="false">E107*(1+IF(F$3&lt;=$O$2,$D107,$D107-($D107-$I$103)*MIN(F$3-$O$2,$Q$2)/$Q$2))</f>
        <v>6333.1640625</v>
      </c>
      <c r="G107" s="15" t="n">
        <f aca="false">F107*(1+IF(G$3&lt;=$O$2,$D107,$D107-($D107-$I$103)*MIN(G$3-$O$2,$Q$2)/$Q$2))</f>
        <v>6728.98681640625</v>
      </c>
      <c r="H107" s="15" t="n">
        <f aca="false">G107*(1+IF(H$3&lt;=$O$2,$D107,$D107-($D107-$I$103)*MIN(H$3-$O$2,$Q$2)/$Q$2))</f>
        <v>7149.54849243164</v>
      </c>
      <c r="I107" s="15" t="n">
        <f aca="false">H107*(1+IF(I$3&lt;=$O$2,$D107,$D107-($D107-$I$103)*MIN(I$3-$O$2,$Q$2)/$Q$2))</f>
        <v>7596.39527320862</v>
      </c>
      <c r="J107" s="15" t="n">
        <f aca="false">I107*(1+IF(J$3&lt;=$O$2,$D107,$D107-($D107-$I$103)*MIN(J$3-$O$2,$Q$2)/$Q$2))</f>
        <v>8019.21063411541</v>
      </c>
      <c r="K107" s="15" t="n">
        <f aca="false">J107*(1+IF(K$3&lt;=$O$2,$D107,$D107-($D107-$I$103)*MIN(K$3-$O$2,$Q$2)/$Q$2))</f>
        <v>8410.70849727293</v>
      </c>
      <c r="L107" s="15" t="n">
        <f aca="false">K107*(1+IF(L$3&lt;=$O$2,$D107,$D107-($D107-$I$103)*MIN(L$3-$O$2,$Q$2)/$Q$2))</f>
        <v>8763.79003998844</v>
      </c>
      <c r="M107" s="15" t="n">
        <f aca="false">L107*(1+IF(M$3&lt;=$O$2,$D107,$D107-($D107-$I$103)*MIN(M$3-$O$2,$Q$2)/$Q$2))</f>
        <v>9071.74962199364</v>
      </c>
      <c r="N107" s="15" t="n">
        <f aca="false">M107*(1+IF(N$3&lt;=$O$2,$D107,$D107-($D107-$I$103)*MIN(N$3-$O$2,$Q$2)/$Q$2))</f>
        <v>9328.48013629606</v>
      </c>
      <c r="O107" s="15" t="n">
        <f aca="false">SUMPRODUCT(E107:N107,1/(1+$F$103)^$E$3:$N$3)*$E$2</f>
        <v>20531.9758885682</v>
      </c>
      <c r="P107" s="15" t="n">
        <f aca="false">N107*$E$2*(1+$I$103)/($F$103-$I$103)/(1+$F$103)^$N$3</f>
        <v>50013.4684710213</v>
      </c>
      <c r="Q107" s="15" t="n">
        <f aca="false">O107+P107</f>
        <v>70545.4443595894</v>
      </c>
      <c r="R107" s="15" t="n">
        <f aca="false">Q107-$G$2+$I$2</f>
        <v>61780.4443595894</v>
      </c>
      <c r="S107" s="40" t="n">
        <f aca="false">R107/$K$2</f>
        <v>110.523532791136</v>
      </c>
      <c r="T107" s="41" t="n">
        <f aca="false">S107-$M$2</f>
        <v>17.0497054627883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39" t="n">
        <f aca="false">(B108+C108)/2</f>
        <v>-0.03125</v>
      </c>
      <c r="E108" s="15" t="n">
        <f aca="false">$C$2*(1+IF(E$3&lt;=$O$2,$D108,$D108-($D108-$I$103)*MIN(E$3-$O$2,$Q$2)/$Q$2))</f>
        <v>5434.6875</v>
      </c>
      <c r="F108" s="15" t="n">
        <f aca="false">E108*(1+IF(F$3&lt;=$O$2,$D108,$D108-($D108-$I$103)*MIN(F$3-$O$2,$Q$2)/$Q$2))</f>
        <v>5264.853515625</v>
      </c>
      <c r="G108" s="15" t="n">
        <f aca="false">F108*(1+IF(G$3&lt;=$O$2,$D108,$D108-($D108-$I$103)*MIN(G$3-$O$2,$Q$2)/$Q$2))</f>
        <v>5100.32684326172</v>
      </c>
      <c r="H108" s="15" t="n">
        <f aca="false">G108*(1+IF(H$3&lt;=$O$2,$D108,$D108-($D108-$I$103)*MIN(H$3-$O$2,$Q$2)/$Q$2))</f>
        <v>4940.94162940979</v>
      </c>
      <c r="I108" s="15" t="n">
        <f aca="false">H108*(1+IF(I$3&lt;=$O$2,$D108,$D108-($D108-$I$103)*MIN(I$3-$O$2,$Q$2)/$Q$2))</f>
        <v>4786.53720349073</v>
      </c>
      <c r="J108" s="15" t="n">
        <f aca="false">I108*(1+IF(J$3&lt;=$O$2,$D108,$D108-($D108-$I$103)*MIN(J$3-$O$2,$Q$2)/$Q$2))</f>
        <v>4693.96557397522</v>
      </c>
      <c r="K108" s="15" t="n">
        <f aca="false">J108*(1+IF(K$3&lt;=$O$2,$D108,$D108-($D108-$I$103)*MIN(K$3-$O$2,$Q$2)/$Q$2))</f>
        <v>4659.08940976059</v>
      </c>
      <c r="L108" s="15" t="n">
        <f aca="false">K108*(1+IF(L$3&lt;=$O$2,$D108,$D108-($D108-$I$103)*MIN(L$3-$O$2,$Q$2)/$Q$2))</f>
        <v>4679.96213031632</v>
      </c>
      <c r="M108" s="15" t="n">
        <f aca="false">L108*(1+IF(M$3&lt;=$O$2,$D108,$D108-($D108-$I$103)*MIN(M$3-$O$2,$Q$2)/$Q$2))</f>
        <v>4756.6667096322</v>
      </c>
      <c r="N108" s="15" t="n">
        <f aca="false">M108*(1+IF(N$3&lt;=$O$2,$D108,$D108-($D108-$I$103)*MIN(N$3-$O$2,$Q$2)/$Q$2))</f>
        <v>4891.28037751479</v>
      </c>
      <c r="O108" s="15" t="n">
        <f aca="false">SUMPRODUCT(E108:N108,1/(1+$F$103)^$E$3:$N$3)*$E$2</f>
        <v>13523.1331024514</v>
      </c>
      <c r="P108" s="15" t="n">
        <f aca="false">N108*$E$2*(1+$I$103)/($F$103-$I$103)/(1+$F$103)^$N$3</f>
        <v>26223.9821889028</v>
      </c>
      <c r="Q108" s="15" t="n">
        <f aca="false">O108+P108</f>
        <v>39747.1152913542</v>
      </c>
      <c r="R108" s="15" t="n">
        <f aca="false">Q108-$G$2+$I$2</f>
        <v>30982.1152913542</v>
      </c>
      <c r="S108" s="40" t="n">
        <f aca="false">R108/$K$2</f>
        <v>55.4261606700672</v>
      </c>
      <c r="T108" s="41" t="n">
        <f aca="false">S108-$M$2</f>
        <v>-38.0476666582809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-0.03125</v>
      </c>
      <c r="C109" s="25" t="n">
        <f aca="false">IF(T108&gt;0,D108,C108)</f>
        <v>0.0625</v>
      </c>
      <c r="D109" s="39" t="n">
        <f aca="false">(B109+C109)/2</f>
        <v>0.015625</v>
      </c>
      <c r="E109" s="15" t="n">
        <f aca="false">$C$2*(1+IF(E$3&lt;=$O$2,$D109,$D109-($D109-$I$103)*MIN(E$3-$O$2,$Q$2)/$Q$2))</f>
        <v>5697.65625</v>
      </c>
      <c r="F109" s="15" t="n">
        <f aca="false">E109*(1+IF(F$3&lt;=$O$2,$D109,$D109-($D109-$I$103)*MIN(F$3-$O$2,$Q$2)/$Q$2))</f>
        <v>5786.68212890625</v>
      </c>
      <c r="G109" s="15" t="n">
        <f aca="false">F109*(1+IF(G$3&lt;=$O$2,$D109,$D109-($D109-$I$103)*MIN(G$3-$O$2,$Q$2)/$Q$2))</f>
        <v>5877.09903717041</v>
      </c>
      <c r="H109" s="15" t="n">
        <f aca="false">G109*(1+IF(H$3&lt;=$O$2,$D109,$D109-($D109-$I$103)*MIN(H$3-$O$2,$Q$2)/$Q$2))</f>
        <v>5968.9287096262</v>
      </c>
      <c r="I109" s="15" t="n">
        <f aca="false">H109*(1+IF(I$3&lt;=$O$2,$D109,$D109-($D109-$I$103)*MIN(I$3-$O$2,$Q$2)/$Q$2))</f>
        <v>6062.19322071411</v>
      </c>
      <c r="J109" s="15" t="n">
        <f aca="false">I109*(1+IF(J$3&lt;=$O$2,$D109,$D109-($D109-$I$103)*MIN(J$3-$O$2,$Q$2)/$Q$2))</f>
        <v>6172.28264960228</v>
      </c>
      <c r="K109" s="15" t="n">
        <f aca="false">J109*(1+IF(K$3&lt;=$O$2,$D109,$D109-($D109-$I$103)*MIN(K$3-$O$2,$Q$2)/$Q$2))</f>
        <v>6300.01803903579</v>
      </c>
      <c r="L109" s="15" t="n">
        <f aca="false">K109*(1+IF(L$3&lt;=$O$2,$D109,$D109-($D109-$I$103)*MIN(L$3-$O$2,$Q$2)/$Q$2))</f>
        <v>6446.3674580826</v>
      </c>
      <c r="M109" s="15" t="n">
        <f aca="false">L109*(1+IF(M$3&lt;=$O$2,$D109,$D109-($D109-$I$103)*MIN(M$3-$O$2,$Q$2)/$Q$2))</f>
        <v>6612.45811564009</v>
      </c>
      <c r="N109" s="15" t="n">
        <f aca="false">M109*(1+IF(N$3&lt;=$O$2,$D109,$D109-($D109-$I$103)*MIN(N$3-$O$2,$Q$2)/$Q$2))</f>
        <v>6799.59068031271</v>
      </c>
      <c r="O109" s="15" t="n">
        <f aca="false">SUMPRODUCT(E109:N109,1/(1+$F$103)^$E$3:$N$3)*$E$2</f>
        <v>16658.7874489675</v>
      </c>
      <c r="P109" s="15" t="n">
        <f aca="false">N109*$E$2*(1+$I$103)/($F$103-$I$103)/(1+$F$103)^$N$3</f>
        <v>36455.1469410855</v>
      </c>
      <c r="Q109" s="15" t="n">
        <f aca="false">O109+P109</f>
        <v>53113.9343900529</v>
      </c>
      <c r="R109" s="15" t="n">
        <f aca="false">Q109-$G$2+$I$2</f>
        <v>44348.9343900529</v>
      </c>
      <c r="S109" s="40" t="n">
        <f aca="false">R109/$K$2</f>
        <v>79.3390360836755</v>
      </c>
      <c r="T109" s="41" t="n">
        <f aca="false">S109-$M$2</f>
        <v>-14.1347912446726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0.015625</v>
      </c>
      <c r="C110" s="25" t="n">
        <f aca="false">IF(T109&gt;0,D109,C109)</f>
        <v>0.0625</v>
      </c>
      <c r="D110" s="39" t="n">
        <f aca="false">(B110+C110)/2</f>
        <v>0.0390625</v>
      </c>
      <c r="E110" s="15" t="n">
        <f aca="false">$C$2*(1+IF(E$3&lt;=$O$2,$D110,$D110-($D110-$I$103)*MIN(E$3-$O$2,$Q$2)/$Q$2))</f>
        <v>5829.140625</v>
      </c>
      <c r="F110" s="15" t="n">
        <f aca="false">E110*(1+IF(F$3&lt;=$O$2,$D110,$D110-($D110-$I$103)*MIN(F$3-$O$2,$Q$2)/$Q$2))</f>
        <v>6056.84143066406</v>
      </c>
      <c r="G110" s="15" t="n">
        <f aca="false">F110*(1+IF(G$3&lt;=$O$2,$D110,$D110-($D110-$I$103)*MIN(G$3-$O$2,$Q$2)/$Q$2))</f>
        <v>6293.43679904938</v>
      </c>
      <c r="H110" s="15" t="n">
        <f aca="false">G110*(1+IF(H$3&lt;=$O$2,$D110,$D110-($D110-$I$103)*MIN(H$3-$O$2,$Q$2)/$Q$2))</f>
        <v>6539.27417401224</v>
      </c>
      <c r="I110" s="15" t="n">
        <f aca="false">H110*(1+IF(I$3&lt;=$O$2,$D110,$D110-($D110-$I$103)*MIN(I$3-$O$2,$Q$2)/$Q$2))</f>
        <v>6794.7145714346</v>
      </c>
      <c r="J110" s="15" t="n">
        <f aca="false">I110*(1+IF(J$3&lt;=$O$2,$D110,$D110-($D110-$I$103)*MIN(J$3-$O$2,$Q$2)/$Q$2))</f>
        <v>7045.50748626625</v>
      </c>
      <c r="K110" s="15" t="n">
        <f aca="false">J110*(1+IF(K$3&lt;=$O$2,$D110,$D110-($D110-$I$103)*MIN(K$3-$O$2,$Q$2)/$Q$2))</f>
        <v>7290.39171272015</v>
      </c>
      <c r="L110" s="15" t="n">
        <f aca="false">K110*(1+IF(L$3&lt;=$O$2,$D110,$D110-($D110-$I$103)*MIN(L$3-$O$2,$Q$2)/$Q$2))</f>
        <v>7528.09493451339</v>
      </c>
      <c r="M110" s="15" t="n">
        <f aca="false">L110*(1+IF(M$3&lt;=$O$2,$D110,$D110-($D110-$I$103)*MIN(M$3-$O$2,$Q$2)/$Q$2))</f>
        <v>7757.34424550666</v>
      </c>
      <c r="N110" s="15" t="n">
        <f aca="false">M110*(1+IF(N$3&lt;=$O$2,$D110,$D110-($D110-$I$103)*MIN(N$3-$O$2,$Q$2)/$Q$2))</f>
        <v>7976.87708765449</v>
      </c>
      <c r="O110" s="15" t="n">
        <f aca="false">SUMPRODUCT(E110:N110,1/(1+$F$103)^$E$3:$N$3)*$E$2</f>
        <v>18493.8709126455</v>
      </c>
      <c r="P110" s="15" t="n">
        <f aca="false">N110*$E$2*(1+$I$103)/($F$103-$I$103)/(1+$F$103)^$N$3</f>
        <v>42767.0193741793</v>
      </c>
      <c r="Q110" s="15" t="n">
        <f aca="false">O110+P110</f>
        <v>61260.8902868248</v>
      </c>
      <c r="R110" s="15" t="n">
        <f aca="false">Q110-$G$2+$I$2</f>
        <v>52495.8902868248</v>
      </c>
      <c r="S110" s="40" t="n">
        <f aca="false">R110/$K$2</f>
        <v>93.9137183563362</v>
      </c>
      <c r="T110" s="41" t="n">
        <f aca="false">S110-$M$2</f>
        <v>0.439891027988082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0.015625</v>
      </c>
      <c r="C111" s="25" t="n">
        <f aca="false">IF(T110&gt;0,D110,C110)</f>
        <v>0.0390625</v>
      </c>
      <c r="D111" s="39" t="n">
        <f aca="false">(B111+C111)/2</f>
        <v>0.02734375</v>
      </c>
      <c r="E111" s="15" t="n">
        <f aca="false">$C$2*(1+IF(E$3&lt;=$O$2,$D111,$D111-($D111-$I$103)*MIN(E$3-$O$2,$Q$2)/$Q$2))</f>
        <v>5763.3984375</v>
      </c>
      <c r="F111" s="15" t="n">
        <f aca="false">E111*(1+IF(F$3&lt;=$O$2,$D111,$D111-($D111-$I$103)*MIN(F$3-$O$2,$Q$2)/$Q$2))</f>
        <v>5920.99136352539</v>
      </c>
      <c r="G111" s="15" t="n">
        <f aca="false">F111*(1+IF(G$3&lt;=$O$2,$D111,$D111-($D111-$I$103)*MIN(G$3-$O$2,$Q$2)/$Q$2))</f>
        <v>6082.89347112179</v>
      </c>
      <c r="H111" s="15" t="n">
        <f aca="false">G111*(1+IF(H$3&lt;=$O$2,$D111,$D111-($D111-$I$103)*MIN(H$3-$O$2,$Q$2)/$Q$2))</f>
        <v>6249.22258947277</v>
      </c>
      <c r="I111" s="15" t="n">
        <f aca="false">H111*(1+IF(I$3&lt;=$O$2,$D111,$D111-($D111-$I$103)*MIN(I$3-$O$2,$Q$2)/$Q$2))</f>
        <v>6420.09976965367</v>
      </c>
      <c r="J111" s="15" t="n">
        <f aca="false">I111*(1+IF(J$3&lt;=$O$2,$D111,$D111-($D111-$I$103)*MIN(J$3-$O$2,$Q$2)/$Q$2))</f>
        <v>6596.87721681109</v>
      </c>
      <c r="K111" s="15" t="n">
        <f aca="false">J111*(1+IF(K$3&lt;=$O$2,$D111,$D111-($D111-$I$103)*MIN(K$3-$O$2,$Q$2)/$Q$2))</f>
        <v>6779.78388374369</v>
      </c>
      <c r="L111" s="15" t="n">
        <f aca="false">K111*(1+IF(L$3&lt;=$O$2,$D111,$D111-($D111-$I$103)*MIN(L$3-$O$2,$Q$2)/$Q$2))</f>
        <v>6969.05850031811</v>
      </c>
      <c r="M111" s="15" t="n">
        <f aca="false">L111*(1+IF(M$3&lt;=$O$2,$D111,$D111-($D111-$I$103)*MIN(M$3-$O$2,$Q$2)/$Q$2))</f>
        <v>7164.95002343892</v>
      </c>
      <c r="N111" s="15" t="n">
        <f aca="false">M111*(1+IF(N$3&lt;=$O$2,$D111,$D111-($D111-$I$103)*MIN(N$3-$O$2,$Q$2)/$Q$2))</f>
        <v>7367.71810910225</v>
      </c>
      <c r="O111" s="15" t="n">
        <f aca="false">SUMPRODUCT(E111:N111,1/(1+$F$103)^$E$3:$N$3)*$E$2</f>
        <v>17552.1790476914</v>
      </c>
      <c r="P111" s="15" t="n">
        <f aca="false">N111*$E$2*(1+$I$103)/($F$103-$I$103)/(1+$F$103)^$N$3</f>
        <v>39501.0904208526</v>
      </c>
      <c r="Q111" s="15" t="n">
        <f aca="false">O111+P111</f>
        <v>57053.269468544</v>
      </c>
      <c r="R111" s="15" t="n">
        <f aca="false">Q111-$G$2+$I$2</f>
        <v>48288.269468544</v>
      </c>
      <c r="S111" s="40" t="n">
        <f aca="false">R111/$K$2</f>
        <v>86.3863992782281</v>
      </c>
      <c r="T111" s="41" t="n">
        <f aca="false">S111-$M$2</f>
        <v>-7.08742805011997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0.02734375</v>
      </c>
      <c r="C112" s="25" t="n">
        <f aca="false">IF(T111&gt;0,D111,C111)</f>
        <v>0.0390625</v>
      </c>
      <c r="D112" s="39" t="n">
        <f aca="false">(B112+C112)/2</f>
        <v>0.033203125</v>
      </c>
      <c r="E112" s="15" t="n">
        <f aca="false">$C$2*(1+IF(E$3&lt;=$O$2,$D112,$D112-($D112-$I$103)*MIN(E$3-$O$2,$Q$2)/$Q$2))</f>
        <v>5796.26953125</v>
      </c>
      <c r="F112" s="15" t="n">
        <f aca="false">E112*(1+IF(F$3&lt;=$O$2,$D112,$D112-($D112-$I$103)*MIN(F$3-$O$2,$Q$2)/$Q$2))</f>
        <v>5988.72379302979</v>
      </c>
      <c r="G112" s="15" t="n">
        <f aca="false">F112*(1+IF(G$3&lt;=$O$2,$D112,$D112-($D112-$I$103)*MIN(G$3-$O$2,$Q$2)/$Q$2))</f>
        <v>6187.56813772023</v>
      </c>
      <c r="H112" s="15" t="n">
        <f aca="false">G112*(1+IF(H$3&lt;=$O$2,$D112,$D112-($D112-$I$103)*MIN(H$3-$O$2,$Q$2)/$Q$2))</f>
        <v>6393.01473604297</v>
      </c>
      <c r="I112" s="15" t="n">
        <f aca="false">H112*(1+IF(I$3&lt;=$O$2,$D112,$D112-($D112-$I$103)*MIN(I$3-$O$2,$Q$2)/$Q$2))</f>
        <v>6605.28280345065</v>
      </c>
      <c r="J112" s="15" t="n">
        <f aca="false">I112*(1+IF(J$3&lt;=$O$2,$D112,$D112-($D112-$I$103)*MIN(J$3-$O$2,$Q$2)/$Q$2))</f>
        <v>6818.12152858483</v>
      </c>
      <c r="K112" s="15" t="n">
        <f aca="false">J112*(1+IF(K$3&lt;=$O$2,$D112,$D112-($D112-$I$103)*MIN(K$3-$O$2,$Q$2)/$Q$2))</f>
        <v>7031.13242911569</v>
      </c>
      <c r="L112" s="15" t="n">
        <f aca="false">K112*(1+IF(L$3&lt;=$O$2,$D112,$D112-($D112-$I$103)*MIN(L$3-$O$2,$Q$2)/$Q$2))</f>
        <v>7243.90328533627</v>
      </c>
      <c r="M112" s="15" t="n">
        <f aca="false">L112*(1+IF(M$3&lt;=$O$2,$D112,$D112-($D112-$I$103)*MIN(M$3-$O$2,$Q$2)/$Q$2))</f>
        <v>7456.00930097047</v>
      </c>
      <c r="N112" s="15" t="n">
        <f aca="false">M112*(1+IF(N$3&lt;=$O$2,$D112,$D112-($D112-$I$103)*MIN(N$3-$O$2,$Q$2)/$Q$2))</f>
        <v>7667.01436418793</v>
      </c>
      <c r="O112" s="15" t="n">
        <f aca="false">SUMPRODUCT(E112:N112,1/(1+$F$103)^$E$3:$N$3)*$E$2</f>
        <v>18016.8380729704</v>
      </c>
      <c r="P112" s="15" t="n">
        <f aca="false">N112*$E$2*(1+$I$103)/($F$103-$I$103)/(1+$F$103)^$N$3</f>
        <v>41105.7295044457</v>
      </c>
      <c r="Q112" s="15" t="n">
        <f aca="false">O112+P112</f>
        <v>59122.5675774161</v>
      </c>
      <c r="R112" s="15" t="n">
        <f aca="false">Q112-$G$2+$I$2</f>
        <v>50357.5675774161</v>
      </c>
      <c r="S112" s="40" t="n">
        <f aca="false">R112/$K$2</f>
        <v>90.0883172518088</v>
      </c>
      <c r="T112" s="41" t="n">
        <f aca="false">S112-$M$2</f>
        <v>-3.38551007653929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0.033203125</v>
      </c>
      <c r="C113" s="25" t="n">
        <f aca="false">IF(T112&gt;0,D112,C112)</f>
        <v>0.0390625</v>
      </c>
      <c r="D113" s="39" t="n">
        <f aca="false">(B113+C113)/2</f>
        <v>0.0361328125</v>
      </c>
      <c r="E113" s="15" t="n">
        <f aca="false">$C$2*(1+IF(E$3&lt;=$O$2,$D113,$D113-($D113-$I$103)*MIN(E$3-$O$2,$Q$2)/$Q$2))</f>
        <v>5812.705078125</v>
      </c>
      <c r="F113" s="15" t="n">
        <f aca="false">E113*(1+IF(F$3&lt;=$O$2,$D113,$D113-($D113-$I$103)*MIN(F$3-$O$2,$Q$2)/$Q$2))</f>
        <v>6022.73446083069</v>
      </c>
      <c r="G113" s="15" t="n">
        <f aca="false">F113*(1+IF(G$3&lt;=$O$2,$D113,$D113-($D113-$I$103)*MIN(G$3-$O$2,$Q$2)/$Q$2))</f>
        <v>6240.35279584117</v>
      </c>
      <c r="H113" s="15" t="n">
        <f aca="false">G113*(1+IF(H$3&lt;=$O$2,$D113,$D113-($D113-$I$103)*MIN(H$3-$O$2,$Q$2)/$Q$2))</f>
        <v>6465.83429334715</v>
      </c>
      <c r="I113" s="15" t="n">
        <f aca="false">H113*(1+IF(I$3&lt;=$O$2,$D113,$D113-($D113-$I$103)*MIN(I$3-$O$2,$Q$2)/$Q$2))</f>
        <v>6699.46307152474</v>
      </c>
      <c r="J113" s="15" t="n">
        <f aca="false">I113*(1+IF(J$3&lt;=$O$2,$D113,$D113-($D113-$I$103)*MIN(J$3-$O$2,$Q$2)/$Q$2))</f>
        <v>6931.03838692083</v>
      </c>
      <c r="K113" s="15" t="n">
        <f aca="false">J113*(1+IF(K$3&lt;=$O$2,$D113,$D113-($D113-$I$103)*MIN(K$3-$O$2,$Q$2)/$Q$2))</f>
        <v>7159.76048773972</v>
      </c>
      <c r="L113" s="15" t="n">
        <f aca="false">K113*(1+IF(L$3&lt;=$O$2,$D113,$D113-($D113-$I$103)*MIN(L$3-$O$2,$Q$2)/$Q$2))</f>
        <v>7384.8141341209</v>
      </c>
      <c r="M113" s="15" t="n">
        <f aca="false">L113*(1+IF(M$3&lt;=$O$2,$D113,$D113-($D113-$I$103)*MIN(M$3-$O$2,$Q$2)/$Q$2))</f>
        <v>7605.37314700851</v>
      </c>
      <c r="N113" s="15" t="n">
        <f aca="false">M113*(1+IF(N$3&lt;=$O$2,$D113,$D113-($D113-$I$103)*MIN(N$3-$O$2,$Q$2)/$Q$2))</f>
        <v>7820.60520706885</v>
      </c>
      <c r="O113" s="15" t="n">
        <f aca="false">SUMPRODUCT(E113:N113,1/(1+$F$103)^$E$3:$N$3)*$E$2</f>
        <v>18253.788743714</v>
      </c>
      <c r="P113" s="15" t="n">
        <f aca="false">N113*$E$2*(1+$I$103)/($F$103-$I$103)/(1+$F$103)^$N$3</f>
        <v>41929.1874167345</v>
      </c>
      <c r="Q113" s="15" t="n">
        <f aca="false">O113+P113</f>
        <v>60182.9761604485</v>
      </c>
      <c r="R113" s="15" t="n">
        <f aca="false">Q113-$G$2+$I$2</f>
        <v>51417.9761604485</v>
      </c>
      <c r="S113" s="40" t="n">
        <f aca="false">R113/$K$2</f>
        <v>91.9853593338733</v>
      </c>
      <c r="T113" s="41" t="n">
        <f aca="false">S113-$M$2</f>
        <v>-1.48846799447476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0.0361328125</v>
      </c>
      <c r="C114" s="25" t="n">
        <f aca="false">IF(T113&gt;0,D113,C113)</f>
        <v>0.0390625</v>
      </c>
      <c r="D114" s="39" t="n">
        <f aca="false">(B114+C114)/2</f>
        <v>0.03759765625</v>
      </c>
      <c r="E114" s="15" t="n">
        <f aca="false">$C$2*(1+IF(E$3&lt;=$O$2,$D114,$D114-($D114-$I$103)*MIN(E$3-$O$2,$Q$2)/$Q$2))</f>
        <v>5820.9228515625</v>
      </c>
      <c r="F114" s="15" t="n">
        <f aca="false">E114*(1+IF(F$3&lt;=$O$2,$D114,$D114-($D114-$I$103)*MIN(F$3-$O$2,$Q$2)/$Q$2))</f>
        <v>6039.77590799332</v>
      </c>
      <c r="G114" s="15" t="n">
        <f aca="false">F114*(1+IF(G$3&lt;=$O$2,$D114,$D114-($D114-$I$103)*MIN(G$3-$O$2,$Q$2)/$Q$2))</f>
        <v>6266.85732640908</v>
      </c>
      <c r="H114" s="15" t="n">
        <f aca="false">G114*(1+IF(H$3&lt;=$O$2,$D114,$D114-($D114-$I$103)*MIN(H$3-$O$2,$Q$2)/$Q$2))</f>
        <v>6502.4764739352</v>
      </c>
      <c r="I114" s="15" t="n">
        <f aca="false">H114*(1+IF(I$3&lt;=$O$2,$D114,$D114-($D114-$I$103)*MIN(I$3-$O$2,$Q$2)/$Q$2))</f>
        <v>6746.95434917593</v>
      </c>
      <c r="J114" s="15" t="n">
        <f aca="false">I114*(1+IF(J$3&lt;=$O$2,$D114,$D114-($D114-$I$103)*MIN(J$3-$O$2,$Q$2)/$Q$2))</f>
        <v>6988.07784707608</v>
      </c>
      <c r="K114" s="15" t="n">
        <f aca="false">J114*(1+IF(K$3&lt;=$O$2,$D114,$D114-($D114-$I$103)*MIN(K$3-$O$2,$Q$2)/$Q$2))</f>
        <v>7224.82409755054</v>
      </c>
      <c r="L114" s="15" t="n">
        <f aca="false">K114*(1+IF(L$3&lt;=$O$2,$D114,$D114-($D114-$I$103)*MIN(L$3-$O$2,$Q$2)/$Q$2))</f>
        <v>7456.15619188152</v>
      </c>
      <c r="M114" s="15" t="n">
        <f aca="false">L114*(1+IF(M$3&lt;=$O$2,$D114,$D114-($D114-$I$103)*MIN(M$3-$O$2,$Q$2)/$Q$2))</f>
        <v>7681.03036755545</v>
      </c>
      <c r="N114" s="15" t="n">
        <f aca="false">M114*(1+IF(N$3&lt;=$O$2,$D114,$D114-($D114-$I$103)*MIN(N$3-$O$2,$Q$2)/$Q$2))</f>
        <v>7898.40352695727</v>
      </c>
      <c r="O114" s="15" t="n">
        <f aca="false">SUMPRODUCT(E114:N114,1/(1+$F$103)^$E$3:$N$3)*$E$2</f>
        <v>18373.4359909199</v>
      </c>
      <c r="P114" s="15" t="n">
        <f aca="false">N114*$E$2*(1+$I$103)/($F$103-$I$103)/(1+$F$103)^$N$3</f>
        <v>42346.2932862854</v>
      </c>
      <c r="Q114" s="15" t="n">
        <f aca="false">O114+P114</f>
        <v>60719.7292772053</v>
      </c>
      <c r="R114" s="15" t="n">
        <f aca="false">Q114-$G$2+$I$2</f>
        <v>51954.7292772053</v>
      </c>
      <c r="S114" s="40" t="n">
        <f aca="false">R114/$K$2</f>
        <v>92.9455960449485</v>
      </c>
      <c r="T114" s="41" t="n">
        <f aca="false">S114-$M$2</f>
        <v>-0.528231283399578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0.03759765625</v>
      </c>
      <c r="C115" s="25" t="n">
        <f aca="false">IF(T114&gt;0,D114,C114)</f>
        <v>0.0390625</v>
      </c>
      <c r="D115" s="39" t="n">
        <f aca="false">(B115+C115)/2</f>
        <v>0.038330078125</v>
      </c>
      <c r="E115" s="15" t="n">
        <f aca="false">$C$2*(1+IF(E$3&lt;=$O$2,$D115,$D115-($D115-$I$103)*MIN(E$3-$O$2,$Q$2)/$Q$2))</f>
        <v>5825.03173828125</v>
      </c>
      <c r="F115" s="15" t="n">
        <f aca="false">E115*(1+IF(F$3&lt;=$O$2,$D115,$D115-($D115-$I$103)*MIN(F$3-$O$2,$Q$2)/$Q$2))</f>
        <v>6048.30565989018</v>
      </c>
      <c r="G115" s="15" t="n">
        <f aca="false">F115*(1+IF(G$3&lt;=$O$2,$D115,$D115-($D115-$I$103)*MIN(G$3-$O$2,$Q$2)/$Q$2))</f>
        <v>6280.13768835765</v>
      </c>
      <c r="H115" s="15" t="n">
        <f aca="false">G115*(1+IF(H$3&lt;=$O$2,$D115,$D115-($D115-$I$103)*MIN(H$3-$O$2,$Q$2)/$Q$2))</f>
        <v>6520.85585658815</v>
      </c>
      <c r="I115" s="15" t="n">
        <f aca="false">H115*(1+IF(I$3&lt;=$O$2,$D115,$D115-($D115-$I$103)*MIN(I$3-$O$2,$Q$2)/$Q$2))</f>
        <v>6770.80077101304</v>
      </c>
      <c r="J115" s="15" t="n">
        <f aca="false">I115*(1+IF(J$3&lt;=$O$2,$D115,$D115-($D115-$I$103)*MIN(J$3-$O$2,$Q$2)/$Q$2))</f>
        <v>7016.74376139436</v>
      </c>
      <c r="K115" s="15" t="n">
        <f aca="false">J115*(1+IF(K$3&lt;=$O$2,$D115,$D115-($D115-$I$103)*MIN(K$3-$O$2,$Q$2)/$Q$2))</f>
        <v>7257.54470270776</v>
      </c>
      <c r="L115" s="15" t="n">
        <f aca="false">K115*(1+IF(L$3&lt;=$O$2,$D115,$D115-($D115-$I$103)*MIN(L$3-$O$2,$Q$2)/$Q$2))</f>
        <v>7492.05071393992</v>
      </c>
      <c r="M115" s="15" t="n">
        <f aca="false">L115*(1+IF(M$3&lt;=$O$2,$D115,$D115-($D115-$I$103)*MIN(M$3-$O$2,$Q$2)/$Q$2))</f>
        <v>7719.10491993988</v>
      </c>
      <c r="N115" s="15" t="n">
        <f aca="false">M115*(1+IF(N$3&lt;=$O$2,$D115,$D115-($D115-$I$103)*MIN(N$3-$O$2,$Q$2)/$Q$2))</f>
        <v>7937.55558917418</v>
      </c>
      <c r="O115" s="15" t="n">
        <f aca="false">SUMPRODUCT(E115:N115,1/(1+$F$103)^$E$3:$N$3)*$E$2</f>
        <v>18433.5546910728</v>
      </c>
      <c r="P115" s="15" t="n">
        <f aca="false">N115*$E$2*(1+$I$103)/($F$103-$I$103)/(1+$F$103)^$N$3</f>
        <v>42556.2021246654</v>
      </c>
      <c r="Q115" s="15" t="n">
        <f aca="false">O115+P115</f>
        <v>60989.7568157383</v>
      </c>
      <c r="R115" s="15" t="n">
        <f aca="false">Q115-$G$2+$I$2</f>
        <v>52224.7568157383</v>
      </c>
      <c r="S115" s="40" t="n">
        <f aca="false">R115/$K$2</f>
        <v>93.4286679590294</v>
      </c>
      <c r="T115" s="41" t="n">
        <f aca="false">S115-$M$2</f>
        <v>-0.0451593693186965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0.038330078125</v>
      </c>
      <c r="C116" s="25" t="n">
        <f aca="false">IF(T115&gt;0,D115,C115)</f>
        <v>0.0390625</v>
      </c>
      <c r="D116" s="39" t="n">
        <f aca="false">(B116+C116)/2</f>
        <v>0.0386962890625</v>
      </c>
      <c r="E116" s="15" t="n">
        <f aca="false">$C$2*(1+IF(E$3&lt;=$O$2,$D116,$D116-($D116-$I$103)*MIN(E$3-$O$2,$Q$2)/$Q$2))</f>
        <v>5827.08618164063</v>
      </c>
      <c r="F116" s="15" t="n">
        <f aca="false">E116*(1+IF(F$3&lt;=$O$2,$D116,$D116-($D116-$I$103)*MIN(F$3-$O$2,$Q$2)/$Q$2))</f>
        <v>6052.57279291749</v>
      </c>
      <c r="G116" s="15" t="n">
        <f aca="false">F116*(1+IF(G$3&lt;=$O$2,$D116,$D116-($D116-$I$103)*MIN(G$3-$O$2,$Q$2)/$Q$2))</f>
        <v>6286.78489928405</v>
      </c>
      <c r="H116" s="15" t="n">
        <f aca="false">G116*(1+IF(H$3&lt;=$O$2,$D116,$D116-($D116-$I$103)*MIN(H$3-$O$2,$Q$2)/$Q$2))</f>
        <v>6530.0601450205</v>
      </c>
      <c r="I116" s="15" t="n">
        <f aca="false">H116*(1+IF(I$3&lt;=$O$2,$D116,$D116-($D116-$I$103)*MIN(I$3-$O$2,$Q$2)/$Q$2))</f>
        <v>6782.74923998773</v>
      </c>
      <c r="J116" s="15" t="n">
        <f aca="false">I116*(1+IF(J$3&lt;=$O$2,$D116,$D116-($D116-$I$103)*MIN(J$3-$O$2,$Q$2)/$Q$2))</f>
        <v>7031.11338086927</v>
      </c>
      <c r="K116" s="15" t="n">
        <f aca="false">J116*(1+IF(K$3&lt;=$O$2,$D116,$D116-($D116-$I$103)*MIN(K$3-$O$2,$Q$2)/$Q$2))</f>
        <v>7273.95238183111</v>
      </c>
      <c r="L116" s="15" t="n">
        <f aca="false">K116*(1+IF(L$3&lt;=$O$2,$D116,$D116-($D116-$I$103)*MIN(L$3-$O$2,$Q$2)/$Q$2))</f>
        <v>7510.05407887228</v>
      </c>
      <c r="M116" s="15" t="n">
        <f aca="false">L116*(1+IF(M$3&lt;=$O$2,$D116,$D116-($D116-$I$103)*MIN(M$3-$O$2,$Q$2)/$Q$2))</f>
        <v>7738.20394792016</v>
      </c>
      <c r="N116" s="15" t="n">
        <f aca="false">M116*(1+IF(N$3&lt;=$O$2,$D116,$D116-($D116-$I$103)*MIN(N$3-$O$2,$Q$2)/$Q$2))</f>
        <v>7957.1951196463</v>
      </c>
      <c r="O116" s="15" t="n">
        <f aca="false">SUMPRODUCT(E116:N116,1/(1+$F$103)^$E$3:$N$3)*$E$2</f>
        <v>18463.6880739198</v>
      </c>
      <c r="P116" s="15" t="n">
        <f aca="false">N116*$E$2*(1+$I$103)/($F$103-$I$103)/(1+$F$103)^$N$3</f>
        <v>42661.4969876765</v>
      </c>
      <c r="Q116" s="15" t="n">
        <f aca="false">O116+P116</f>
        <v>61125.1850615963</v>
      </c>
      <c r="R116" s="15" t="n">
        <f aca="false">Q116-$G$2+$I$2</f>
        <v>52360.1850615963</v>
      </c>
      <c r="S116" s="40" t="n">
        <f aca="false">R116/$K$2</f>
        <v>93.6709454034067</v>
      </c>
      <c r="T116" s="41" t="n">
        <f aca="false">S116-$M$2</f>
        <v>0.19711807505864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0.038330078125</v>
      </c>
      <c r="C117" s="25" t="n">
        <f aca="false">IF(T116&gt;0,D116,C116)</f>
        <v>0.0386962890625</v>
      </c>
      <c r="D117" s="39" t="n">
        <f aca="false">(B117+C117)/2</f>
        <v>0.03851318359375</v>
      </c>
      <c r="E117" s="15" t="n">
        <f aca="false">$C$2*(1+IF(E$3&lt;=$O$2,$D117,$D117-($D117-$I$103)*MIN(E$3-$O$2,$Q$2)/$Q$2))</f>
        <v>5826.05895996094</v>
      </c>
      <c r="F117" s="15" t="n">
        <f aca="false">E117*(1+IF(F$3&lt;=$O$2,$D117,$D117-($D117-$I$103)*MIN(F$3-$O$2,$Q$2)/$Q$2))</f>
        <v>6050.43903831393</v>
      </c>
      <c r="G117" s="15" t="n">
        <f aca="false">F117*(1+IF(G$3&lt;=$O$2,$D117,$D117-($D117-$I$103)*MIN(G$3-$O$2,$Q$2)/$Q$2))</f>
        <v>6283.4607078193</v>
      </c>
      <c r="H117" s="15" t="n">
        <f aca="false">G117*(1+IF(H$3&lt;=$O$2,$D117,$D117-($D117-$I$103)*MIN(H$3-$O$2,$Q$2)/$Q$2))</f>
        <v>6525.45678366366</v>
      </c>
      <c r="I117" s="15" t="n">
        <f aca="false">H117*(1+IF(I$3&lt;=$O$2,$D117,$D117-($D117-$I$103)*MIN(I$3-$O$2,$Q$2)/$Q$2))</f>
        <v>6776.77289880598</v>
      </c>
      <c r="J117" s="15" t="n">
        <f aca="false">I117*(1+IF(J$3&lt;=$O$2,$D117,$D117-($D117-$I$103)*MIN(J$3-$O$2,$Q$2)/$Q$2))</f>
        <v>7023.92551247311</v>
      </c>
      <c r="K117" s="15" t="n">
        <f aca="false">J117*(1+IF(K$3&lt;=$O$2,$D117,$D117-($D117-$I$103)*MIN(K$3-$O$2,$Q$2)/$Q$2))</f>
        <v>7265.74458896073</v>
      </c>
      <c r="L117" s="15" t="n">
        <f aca="false">K117*(1+IF(L$3&lt;=$O$2,$D117,$D117-($D117-$I$103)*MIN(L$3-$O$2,$Q$2)/$Q$2))</f>
        <v>7501.04771420126</v>
      </c>
      <c r="M117" s="15" t="n">
        <f aca="false">L117*(1+IF(M$3&lt;=$O$2,$D117,$D117-($D117-$I$103)*MIN(M$3-$O$2,$Q$2)/$Q$2))</f>
        <v>7728.64928000328</v>
      </c>
      <c r="N117" s="15" t="n">
        <f aca="false">M117*(1+IF(N$3&lt;=$O$2,$D117,$D117-($D117-$I$103)*MIN(N$3-$O$2,$Q$2)/$Q$2))</f>
        <v>7947.37005462737</v>
      </c>
      <c r="O117" s="15" t="n">
        <f aca="false">SUMPRODUCT(E117:N117,1/(1+$F$103)^$E$3:$N$3)*$E$2</f>
        <v>18448.6152052356</v>
      </c>
      <c r="P117" s="15" t="n">
        <f aca="false">N117*$E$2*(1+$I$103)/($F$103-$I$103)/(1+$F$103)^$N$3</f>
        <v>42608.8211420543</v>
      </c>
      <c r="Q117" s="15" t="n">
        <f aca="false">O117+P117</f>
        <v>61057.4363472899</v>
      </c>
      <c r="R117" s="15" t="n">
        <f aca="false">Q117-$G$2+$I$2</f>
        <v>52292.4363472899</v>
      </c>
      <c r="S117" s="40" t="n">
        <f aca="false">R117/$K$2</f>
        <v>93.5497447981857</v>
      </c>
      <c r="T117" s="41" t="n">
        <f aca="false">S117-$M$2</f>
        <v>0.0759174698376626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0.038330078125</v>
      </c>
      <c r="C118" s="25" t="n">
        <f aca="false">IF(T117&gt;0,D117,C117)</f>
        <v>0.03851318359375</v>
      </c>
      <c r="D118" s="39" t="n">
        <f aca="false">(B118+C118)/2</f>
        <v>0.038421630859375</v>
      </c>
      <c r="E118" s="15" t="n">
        <f aca="false">$C$2*(1+IF(E$3&lt;=$O$2,$D118,$D118-($D118-$I$103)*MIN(E$3-$O$2,$Q$2)/$Q$2))</f>
        <v>5825.54534912109</v>
      </c>
      <c r="F118" s="15" t="n">
        <f aca="false">E118*(1+IF(F$3&lt;=$O$2,$D118,$D118-($D118-$I$103)*MIN(F$3-$O$2,$Q$2)/$Q$2))</f>
        <v>6049.37230207957</v>
      </c>
      <c r="G118" s="15" t="n">
        <f aca="false">F118*(1+IF(G$3&lt;=$O$2,$D118,$D118-($D118-$I$103)*MIN(G$3-$O$2,$Q$2)/$Q$2))</f>
        <v>6281.799051601</v>
      </c>
      <c r="H118" s="15" t="n">
        <f aca="false">G118*(1+IF(H$3&lt;=$O$2,$D118,$D118-($D118-$I$103)*MIN(H$3-$O$2,$Q$2)/$Q$2))</f>
        <v>6523.15601589439</v>
      </c>
      <c r="I118" s="15" t="n">
        <f aca="false">H118*(1+IF(I$3&lt;=$O$2,$D118,$D118-($D118-$I$103)*MIN(I$3-$O$2,$Q$2)/$Q$2))</f>
        <v>6773.78630837519</v>
      </c>
      <c r="J118" s="15" t="n">
        <f aca="false">I118*(1+IF(J$3&lt;=$O$2,$D118,$D118-($D118-$I$103)*MIN(J$3-$O$2,$Q$2)/$Q$2))</f>
        <v>7020.33387252914</v>
      </c>
      <c r="K118" s="15" t="n">
        <f aca="false">J118*(1+IF(K$3&lt;=$O$2,$D118,$D118-($D118-$I$103)*MIN(K$3-$O$2,$Q$2)/$Q$2))</f>
        <v>7261.6436579021</v>
      </c>
      <c r="L118" s="15" t="n">
        <f aca="false">K118*(1+IF(L$3&lt;=$O$2,$D118,$D118-($D118-$I$103)*MIN(L$3-$O$2,$Q$2)/$Q$2))</f>
        <v>7496.54804403577</v>
      </c>
      <c r="M118" s="15" t="n">
        <f aca="false">L118*(1+IF(M$3&lt;=$O$2,$D118,$D118-($D118-$I$103)*MIN(M$3-$O$2,$Q$2)/$Q$2))</f>
        <v>7723.87581208624</v>
      </c>
      <c r="N118" s="15" t="n">
        <f aca="false">M118*(1+IF(N$3&lt;=$O$2,$D118,$D118-($D118-$I$103)*MIN(N$3-$O$2,$Q$2)/$Q$2))</f>
        <v>7942.46149756828</v>
      </c>
      <c r="O118" s="15" t="n">
        <f aca="false">SUMPRODUCT(E118:N118,1/(1+$F$103)^$E$3:$N$3)*$E$2</f>
        <v>18441.0834044292</v>
      </c>
      <c r="P118" s="15" t="n">
        <f aca="false">N118*$E$2*(1+$I$103)/($F$103-$I$103)/(1+$F$103)^$N$3</f>
        <v>42582.5045331184</v>
      </c>
      <c r="Q118" s="15" t="n">
        <f aca="false">O118+P118</f>
        <v>61023.5879375476</v>
      </c>
      <c r="R118" s="15" t="n">
        <f aca="false">Q118-$G$2+$I$2</f>
        <v>52258.5879375476</v>
      </c>
      <c r="S118" s="40" t="n">
        <f aca="false">R118/$K$2</f>
        <v>93.489190914787</v>
      </c>
      <c r="T118" s="41" t="n">
        <f aca="false">S118-$M$2</f>
        <v>0.0153635864388946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0.038330078125</v>
      </c>
      <c r="C119" s="25" t="n">
        <f aca="false">IF(T118&gt;0,D118,C118)</f>
        <v>0.038421630859375</v>
      </c>
      <c r="D119" s="39" t="n">
        <f aca="false">(B119+C119)/2</f>
        <v>0.0383758544921875</v>
      </c>
      <c r="E119" s="15" t="n">
        <f aca="false">$C$2*(1+IF(E$3&lt;=$O$2,$D119,$D119-($D119-$I$103)*MIN(E$3-$O$2,$Q$2)/$Q$2))</f>
        <v>5825.28854370117</v>
      </c>
      <c r="F119" s="15" t="n">
        <f aca="false">E119*(1+IF(F$3&lt;=$O$2,$D119,$D119-($D119-$I$103)*MIN(F$3-$O$2,$Q$2)/$Q$2))</f>
        <v>6048.83896922926</v>
      </c>
      <c r="G119" s="15" t="n">
        <f aca="false">F119*(1+IF(G$3&lt;=$O$2,$D119,$D119-($D119-$I$103)*MIN(G$3-$O$2,$Q$2)/$Q$2))</f>
        <v>6280.96833335907</v>
      </c>
      <c r="H119" s="15" t="n">
        <f aca="false">G119*(1+IF(H$3&lt;=$O$2,$D119,$D119-($D119-$I$103)*MIN(H$3-$O$2,$Q$2)/$Q$2))</f>
        <v>6522.0058601901</v>
      </c>
      <c r="I119" s="15" t="n">
        <f aca="false">H119*(1+IF(I$3&lt;=$O$2,$D119,$D119-($D119-$I$103)*MIN(I$3-$O$2,$Q$2)/$Q$2))</f>
        <v>6772.29340807795</v>
      </c>
      <c r="J119" s="15" t="n">
        <f aca="false">I119*(1+IF(J$3&lt;=$O$2,$D119,$D119-($D119-$I$103)*MIN(J$3-$O$2,$Q$2)/$Q$2))</f>
        <v>7018.53862589311</v>
      </c>
      <c r="K119" s="15" t="n">
        <f aca="false">J119*(1+IF(K$3&lt;=$O$2,$D119,$D119-($D119-$I$103)*MIN(K$3-$O$2,$Q$2)/$Q$2))</f>
        <v>7259.59393337126</v>
      </c>
      <c r="L119" s="15" t="n">
        <f aca="false">K119*(1+IF(L$3&lt;=$O$2,$D119,$D119-($D119-$I$103)*MIN(L$3-$O$2,$Q$2)/$Q$2))</f>
        <v>7494.29908654367</v>
      </c>
      <c r="M119" s="15" t="n">
        <f aca="false">L119*(1+IF(M$3&lt;=$O$2,$D119,$D119-($D119-$I$103)*MIN(M$3-$O$2,$Q$2)/$Q$2))</f>
        <v>7721.49004411625</v>
      </c>
      <c r="N119" s="15" t="n">
        <f aca="false">M119*(1+IF(N$3&lt;=$O$2,$D119,$D119-($D119-$I$103)*MIN(N$3-$O$2,$Q$2)/$Q$2))</f>
        <v>7940.00821236474</v>
      </c>
      <c r="O119" s="15" t="n">
        <f aca="false">SUMPRODUCT(E119:N119,1/(1+$F$103)^$E$3:$N$3)*$E$2</f>
        <v>18437.3186618935</v>
      </c>
      <c r="P119" s="15" t="n">
        <f aca="false">N119*$E$2*(1+$I$103)/($F$103-$I$103)/(1+$F$103)^$N$3</f>
        <v>42569.3515542424</v>
      </c>
      <c r="Q119" s="15" t="n">
        <f aca="false">O119+P119</f>
        <v>61006.6702161359</v>
      </c>
      <c r="R119" s="15" t="n">
        <f aca="false">Q119-$G$2+$I$2</f>
        <v>52241.6702161359</v>
      </c>
      <c r="S119" s="40" t="n">
        <f aca="false">R119/$K$2</f>
        <v>93.45892557182</v>
      </c>
      <c r="T119" s="41" t="n">
        <f aca="false">S119-$M$2</f>
        <v>-0.0149017565281326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0.0383758544921875</v>
      </c>
      <c r="C120" s="25" t="n">
        <f aca="false">IF(T119&gt;0,D119,C119)</f>
        <v>0.038421630859375</v>
      </c>
      <c r="D120" s="39" t="n">
        <f aca="false">(B120+C120)/2</f>
        <v>0.0383987426757813</v>
      </c>
      <c r="E120" s="15" t="n">
        <f aca="false">$C$2*(1+IF(E$3&lt;=$O$2,$D120,$D120-($D120-$I$103)*MIN(E$3-$O$2,$Q$2)/$Q$2))</f>
        <v>5825.41694641113</v>
      </c>
      <c r="F120" s="15" t="n">
        <f aca="false">E120*(1+IF(F$3&lt;=$O$2,$D120,$D120-($D120-$I$103)*MIN(F$3-$O$2,$Q$2)/$Q$2))</f>
        <v>6049.10563271551</v>
      </c>
      <c r="G120" s="15" t="n">
        <f aca="false">F120*(1+IF(G$3&lt;=$O$2,$D120,$D120-($D120-$I$103)*MIN(G$3-$O$2,$Q$2)/$Q$2))</f>
        <v>6281.38368332477</v>
      </c>
      <c r="H120" s="15" t="n">
        <f aca="false">G120*(1+IF(H$3&lt;=$O$2,$D120,$D120-($D120-$I$103)*MIN(H$3-$O$2,$Q$2)/$Q$2))</f>
        <v>6522.58091902861</v>
      </c>
      <c r="I120" s="15" t="n">
        <f aca="false">H120*(1+IF(I$3&lt;=$O$2,$D120,$D120-($D120-$I$103)*MIN(I$3-$O$2,$Q$2)/$Q$2))</f>
        <v>6773.03982532035</v>
      </c>
      <c r="J120" s="15" t="n">
        <f aca="false">I120*(1+IF(J$3&lt;=$O$2,$D120,$D120-($D120-$I$103)*MIN(J$3-$O$2,$Q$2)/$Q$2))</f>
        <v>7019.4362014399</v>
      </c>
      <c r="K120" s="15" t="n">
        <f aca="false">J120*(1+IF(K$3&lt;=$O$2,$D120,$D120-($D120-$I$103)*MIN(K$3-$O$2,$Q$2)/$Q$2))</f>
        <v>7260.61873389709</v>
      </c>
      <c r="L120" s="15" t="n">
        <f aca="false">K120*(1+IF(L$3&lt;=$O$2,$D120,$D120-($D120-$I$103)*MIN(L$3-$O$2,$Q$2)/$Q$2))</f>
        <v>7495.42349217061</v>
      </c>
      <c r="M120" s="15" t="n">
        <f aca="false">L120*(1+IF(M$3&lt;=$O$2,$D120,$D120-($D120-$I$103)*MIN(M$3-$O$2,$Q$2)/$Q$2))</f>
        <v>7722.68284761773</v>
      </c>
      <c r="N120" s="15" t="n">
        <f aca="false">M120*(1+IF(N$3&lt;=$O$2,$D120,$D120-($D120-$I$103)*MIN(N$3-$O$2,$Q$2)/$Q$2))</f>
        <v>7941.23477220531</v>
      </c>
      <c r="O120" s="15" t="n">
        <f aca="false">SUMPRODUCT(E120:N120,1/(1+$F$103)^$E$3:$N$3)*$E$2</f>
        <v>18439.2009366878</v>
      </c>
      <c r="P120" s="15" t="n">
        <f aca="false">N120*$E$2*(1+$I$103)/($F$103-$I$103)/(1+$F$103)^$N$3</f>
        <v>42575.9275999667</v>
      </c>
      <c r="Q120" s="15" t="n">
        <f aca="false">O120+P120</f>
        <v>61015.1285366545</v>
      </c>
      <c r="R120" s="15" t="n">
        <f aca="false">Q120-$G$2+$I$2</f>
        <v>52250.1285366545</v>
      </c>
      <c r="S120" s="40" t="n">
        <f aca="false">R120/$K$2</f>
        <v>93.4740572769231</v>
      </c>
      <c r="T120" s="41" t="n">
        <f aca="false">S120-$M$2</f>
        <v>0.00022994857496883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0.0383758544921875</v>
      </c>
      <c r="C121" s="25" t="n">
        <f aca="false">IF(T120&gt;0,D120,C120)</f>
        <v>0.0383987426757813</v>
      </c>
      <c r="D121" s="39" t="n">
        <f aca="false">(B121+C121)/2</f>
        <v>0.0383872985839844</v>
      </c>
      <c r="E121" s="15" t="n">
        <f aca="false">$C$2*(1+IF(E$3&lt;=$O$2,$D121,$D121-($D121-$I$103)*MIN(E$3-$O$2,$Q$2)/$Q$2))</f>
        <v>5825.35274505615</v>
      </c>
      <c r="F121" s="15" t="n">
        <f aca="false">E121*(1+IF(F$3&lt;=$O$2,$D121,$D121-($D121-$I$103)*MIN(F$3-$O$2,$Q$2)/$Q$2))</f>
        <v>6048.97230023766</v>
      </c>
      <c r="G121" s="15" t="n">
        <f aca="false">F121*(1+IF(G$3&lt;=$O$2,$D121,$D121-($D121-$I$103)*MIN(G$3-$O$2,$Q$2)/$Q$2))</f>
        <v>6281.17600605313</v>
      </c>
      <c r="H121" s="15" t="n">
        <f aca="false">G121*(1+IF(H$3&lt;=$O$2,$D121,$D121-($D121-$I$103)*MIN(H$3-$O$2,$Q$2)/$Q$2))</f>
        <v>6522.29338485605</v>
      </c>
      <c r="I121" s="15" t="n">
        <f aca="false">H121*(1+IF(I$3&lt;=$O$2,$D121,$D121-($D121-$I$103)*MIN(I$3-$O$2,$Q$2)/$Q$2))</f>
        <v>6772.66660847287</v>
      </c>
      <c r="J121" s="15" t="n">
        <f aca="false">I121*(1+IF(J$3&lt;=$O$2,$D121,$D121-($D121-$I$103)*MIN(J$3-$O$2,$Q$2)/$Q$2))</f>
        <v>7018.98740172421</v>
      </c>
      <c r="K121" s="15" t="n">
        <f aca="false">J121*(1+IF(K$3&lt;=$O$2,$D121,$D121-($D121-$I$103)*MIN(K$3-$O$2,$Q$2)/$Q$2))</f>
        <v>7260.10631820005</v>
      </c>
      <c r="L121" s="15" t="n">
        <f aca="false">K121*(1+IF(L$3&lt;=$O$2,$D121,$D121-($D121-$I$103)*MIN(L$3-$O$2,$Q$2)/$Q$2))</f>
        <v>7494.86127107837</v>
      </c>
      <c r="M121" s="15" t="n">
        <f aca="false">L121*(1+IF(M$3&lt;=$O$2,$D121,$D121-($D121-$I$103)*MIN(M$3-$O$2,$Q$2)/$Q$2))</f>
        <v>7722.08642574727</v>
      </c>
      <c r="N121" s="15" t="n">
        <f aca="false">M121*(1+IF(N$3&lt;=$O$2,$D121,$D121-($D121-$I$103)*MIN(N$3-$O$2,$Q$2)/$Q$2))</f>
        <v>7940.62147159592</v>
      </c>
      <c r="O121" s="15" t="n">
        <f aca="false">SUMPRODUCT(E121:N121,1/(1+$F$103)^$E$3:$N$3)*$E$2</f>
        <v>18438.2597751734</v>
      </c>
      <c r="P121" s="15" t="n">
        <f aca="false">N121*$E$2*(1+$I$103)/($F$103-$I$103)/(1+$F$103)^$N$3</f>
        <v>42572.6394661825</v>
      </c>
      <c r="Q121" s="15" t="n">
        <f aca="false">O121+P121</f>
        <v>61010.8992413559</v>
      </c>
      <c r="R121" s="15" t="n">
        <f aca="false">Q121-$G$2+$I$2</f>
        <v>52245.8992413559</v>
      </c>
      <c r="S121" s="40" t="n">
        <f aca="false">R121/$K$2</f>
        <v>93.4664911827899</v>
      </c>
      <c r="T121" s="41" t="n">
        <f aca="false">S121-$M$2</f>
        <v>-0.0073361455581562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0.0383872985839844</v>
      </c>
      <c r="C122" s="25" t="n">
        <f aca="false">IF(T121&gt;0,D121,C121)</f>
        <v>0.0383987426757813</v>
      </c>
      <c r="D122" s="39" t="n">
        <f aca="false">(B122+C122)/2</f>
        <v>0.0383930206298828</v>
      </c>
      <c r="E122" s="15" t="n">
        <f aca="false">$C$2*(1+IF(E$3&lt;=$O$2,$D122,$D122-($D122-$I$103)*MIN(E$3-$O$2,$Q$2)/$Q$2))</f>
        <v>5825.38484573364</v>
      </c>
      <c r="F122" s="15" t="n">
        <f aca="false">E122*(1+IF(F$3&lt;=$O$2,$D122,$D122-($D122-$I$103)*MIN(F$3-$O$2,$Q$2)/$Q$2))</f>
        <v>6049.0389662929</v>
      </c>
      <c r="G122" s="15" t="n">
        <f aca="false">F122*(1+IF(G$3&lt;=$O$2,$D122,$D122-($D122-$I$103)*MIN(G$3-$O$2,$Q$2)/$Q$2))</f>
        <v>6281.27984411675</v>
      </c>
      <c r="H122" s="15" t="n">
        <f aca="false">G122*(1+IF(H$3&lt;=$O$2,$D122,$D122-($D122-$I$103)*MIN(H$3-$O$2,$Q$2)/$Q$2))</f>
        <v>6522.43715075399</v>
      </c>
      <c r="I122" s="15" t="n">
        <f aca="false">H122*(1+IF(I$3&lt;=$O$2,$D122,$D122-($D122-$I$103)*MIN(I$3-$O$2,$Q$2)/$Q$2))</f>
        <v>6772.85321484</v>
      </c>
      <c r="J122" s="15" t="n">
        <f aca="false">I122*(1+IF(J$3&lt;=$O$2,$D122,$D122-($D122-$I$103)*MIN(J$3-$O$2,$Q$2)/$Q$2))</f>
        <v>7019.21179859641</v>
      </c>
      <c r="K122" s="15" t="n">
        <f aca="false">J122*(1+IF(K$3&lt;=$O$2,$D122,$D122-($D122-$I$103)*MIN(K$3-$O$2,$Q$2)/$Q$2))</f>
        <v>7260.36252218994</v>
      </c>
      <c r="L122" s="15" t="n">
        <f aca="false">K122*(1+IF(L$3&lt;=$O$2,$D122,$D122-($D122-$I$103)*MIN(L$3-$O$2,$Q$2)/$Q$2))</f>
        <v>7495.14237705467</v>
      </c>
      <c r="M122" s="15" t="n">
        <f aca="false">L122*(1+IF(M$3&lt;=$O$2,$D122,$D122-($D122-$I$103)*MIN(M$3-$O$2,$Q$2)/$Q$2))</f>
        <v>7722.38463165243</v>
      </c>
      <c r="N122" s="15" t="n">
        <f aca="false">M122*(1+IF(N$3&lt;=$O$2,$D122,$D122-($D122-$I$103)*MIN(N$3-$O$2,$Q$2)/$Q$2))</f>
        <v>7940.92811672819</v>
      </c>
      <c r="O122" s="15" t="n">
        <f aca="false">SUMPRODUCT(E122:N122,1/(1+$F$103)^$E$3:$N$3)*$E$2</f>
        <v>18438.7303499011</v>
      </c>
      <c r="P122" s="15" t="n">
        <f aca="false">N122*$E$2*(1+$I$103)/($F$103-$I$103)/(1+$F$103)^$N$3</f>
        <v>42574.2835053433</v>
      </c>
      <c r="Q122" s="15" t="n">
        <f aca="false">O122+P122</f>
        <v>61013.0138552444</v>
      </c>
      <c r="R122" s="15" t="n">
        <f aca="false">Q122-$G$2+$I$2</f>
        <v>52248.0138552444</v>
      </c>
      <c r="S122" s="40" t="n">
        <f aca="false">R122/$K$2</f>
        <v>93.4702741694594</v>
      </c>
      <c r="T122" s="41" t="n">
        <f aca="false">S122-$M$2</f>
        <v>-0.00355315888867835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0.0383930206298828</v>
      </c>
      <c r="C123" s="25" t="n">
        <f aca="false">IF(T122&gt;0,D122,C122)</f>
        <v>0.0383987426757813</v>
      </c>
      <c r="D123" s="39" t="n">
        <f aca="false">(B123+C123)/2</f>
        <v>0.038395881652832</v>
      </c>
      <c r="E123" s="15" t="n">
        <f aca="false">$C$2*(1+IF(E$3&lt;=$O$2,$D123,$D123-($D123-$I$103)*MIN(E$3-$O$2,$Q$2)/$Q$2))</f>
        <v>5825.40089607239</v>
      </c>
      <c r="F123" s="15" t="n">
        <f aca="false">E123*(1+IF(F$3&lt;=$O$2,$D123,$D123-($D123-$I$103)*MIN(F$3-$O$2,$Q$2)/$Q$2))</f>
        <v>6049.07229945829</v>
      </c>
      <c r="G123" s="15" t="n">
        <f aca="false">F123*(1+IF(G$3&lt;=$O$2,$D123,$D123-($D123-$I$103)*MIN(G$3-$O$2,$Q$2)/$Q$2))</f>
        <v>6281.33176357771</v>
      </c>
      <c r="H123" s="15" t="n">
        <f aca="false">G123*(1+IF(H$3&lt;=$O$2,$D123,$D123-($D123-$I$103)*MIN(H$3-$O$2,$Q$2)/$Q$2))</f>
        <v>6522.50903459421</v>
      </c>
      <c r="I123" s="15" t="n">
        <f aca="false">H123*(1+IF(I$3&lt;=$O$2,$D123,$D123-($D123-$I$103)*MIN(I$3-$O$2,$Q$2)/$Q$2))</f>
        <v>6772.94651956602</v>
      </c>
      <c r="J123" s="15" t="n">
        <f aca="false">I123*(1+IF(J$3&lt;=$O$2,$D123,$D123-($D123-$I$103)*MIN(J$3-$O$2,$Q$2)/$Q$2))</f>
        <v>7019.32399927174</v>
      </c>
      <c r="K123" s="15" t="n">
        <f aca="false">J123*(1+IF(K$3&lt;=$O$2,$D123,$D123-($D123-$I$103)*MIN(K$3-$O$2,$Q$2)/$Q$2))</f>
        <v>7260.49062707885</v>
      </c>
      <c r="L123" s="15" t="n">
        <f aca="false">K123*(1+IF(L$3&lt;=$O$2,$D123,$D123-($D123-$I$103)*MIN(L$3-$O$2,$Q$2)/$Q$2))</f>
        <v>7495.28293347017</v>
      </c>
      <c r="M123" s="15" t="n">
        <f aca="false">L123*(1+IF(M$3&lt;=$O$2,$D123,$D123-($D123-$I$103)*MIN(M$3-$O$2,$Q$2)/$Q$2))</f>
        <v>7722.53373837754</v>
      </c>
      <c r="N123" s="15" t="n">
        <f aca="false">M123*(1+IF(N$3&lt;=$O$2,$D123,$D123-($D123-$I$103)*MIN(N$3-$O$2,$Q$2)/$Q$2))</f>
        <v>7941.08144317362</v>
      </c>
      <c r="O123" s="15" t="n">
        <f aca="false">SUMPRODUCT(E123:N123,1/(1+$F$103)^$E$3:$N$3)*$E$2</f>
        <v>18438.9656417871</v>
      </c>
      <c r="P123" s="15" t="n">
        <f aca="false">N123*$E$2*(1+$I$103)/($F$103-$I$103)/(1+$F$103)^$N$3</f>
        <v>42575.105545722</v>
      </c>
      <c r="Q123" s="15" t="n">
        <f aca="false">O123+P123</f>
        <v>61014.0711875091</v>
      </c>
      <c r="R123" s="15" t="n">
        <f aca="false">Q123-$G$2+$I$2</f>
        <v>52249.0711875091</v>
      </c>
      <c r="S123" s="40" t="n">
        <f aca="false">R123/$K$2</f>
        <v>93.4721657080917</v>
      </c>
      <c r="T123" s="41" t="n">
        <f aca="false">S123-$M$2</f>
        <v>-0.00166162025637107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0.038395881652832</v>
      </c>
      <c r="C124" s="25" t="n">
        <f aca="false">IF(T123&gt;0,D123,C123)</f>
        <v>0.0383987426757813</v>
      </c>
      <c r="D124" s="39" t="n">
        <f aca="false">(B124+C124)/2</f>
        <v>0.0383973121643066</v>
      </c>
      <c r="E124" s="15" t="n">
        <f aca="false">$C$2*(1+IF(E$3&lt;=$O$2,$D124,$D124-($D124-$I$103)*MIN(E$3-$O$2,$Q$2)/$Q$2))</f>
        <v>5825.40892124176</v>
      </c>
      <c r="F124" s="15" t="n">
        <f aca="false">E124*(1+IF(F$3&lt;=$O$2,$D124,$D124-($D124-$I$103)*MIN(F$3-$O$2,$Q$2)/$Q$2))</f>
        <v>6049.08896607542</v>
      </c>
      <c r="G124" s="15" t="n">
        <f aca="false">F124*(1+IF(G$3&lt;=$O$2,$D124,$D124-($D124-$I$103)*MIN(G$3-$O$2,$Q$2)/$Q$2))</f>
        <v>6281.35772341548</v>
      </c>
      <c r="H124" s="15" t="n">
        <f aca="false">G124*(1+IF(H$3&lt;=$O$2,$D124,$D124-($D124-$I$103)*MIN(H$3-$O$2,$Q$2)/$Q$2))</f>
        <v>6522.54497673714</v>
      </c>
      <c r="I124" s="15" t="n">
        <f aca="false">H124*(1+IF(I$3&lt;=$O$2,$D124,$D124-($D124-$I$103)*MIN(I$3-$O$2,$Q$2)/$Q$2))</f>
        <v>6772.99317231465</v>
      </c>
      <c r="J124" s="15" t="n">
        <f aca="false">I124*(1+IF(J$3&lt;=$O$2,$D124,$D124-($D124-$I$103)*MIN(J$3-$O$2,$Q$2)/$Q$2))</f>
        <v>7019.38010016921</v>
      </c>
      <c r="K124" s="15" t="n">
        <f aca="false">J124*(1+IF(K$3&lt;=$O$2,$D124,$D124-($D124-$I$103)*MIN(K$3-$O$2,$Q$2)/$Q$2))</f>
        <v>7260.5546802468</v>
      </c>
      <c r="L124" s="15" t="n">
        <f aca="false">K124*(1+IF(L$3&lt;=$O$2,$D124,$D124-($D124-$I$103)*MIN(L$3-$O$2,$Q$2)/$Q$2))</f>
        <v>7495.35321253477</v>
      </c>
      <c r="M124" s="15" t="n">
        <f aca="false">L124*(1+IF(M$3&lt;=$O$2,$D124,$D124-($D124-$I$103)*MIN(M$3-$O$2,$Q$2)/$Q$2))</f>
        <v>7722.60829268325</v>
      </c>
      <c r="N124" s="15" t="n">
        <f aca="false">M124*(1+IF(N$3&lt;=$O$2,$D124,$D124-($D124-$I$103)*MIN(N$3-$O$2,$Q$2)/$Q$2))</f>
        <v>7941.15810736618</v>
      </c>
      <c r="O124" s="15" t="n">
        <f aca="false">SUMPRODUCT(E124:N124,1/(1+$F$103)^$E$3:$N$3)*$E$2</f>
        <v>18439.0832888606</v>
      </c>
      <c r="P124" s="15" t="n">
        <f aca="false">N124*$E$2*(1+$I$103)/($F$103-$I$103)/(1+$F$103)^$N$3</f>
        <v>42575.5165711111</v>
      </c>
      <c r="Q124" s="15" t="n">
        <f aca="false">O124+P124</f>
        <v>61014.5998599717</v>
      </c>
      <c r="R124" s="15" t="n">
        <f aca="false">Q124-$G$2+$I$2</f>
        <v>52249.5998599717</v>
      </c>
      <c r="S124" s="40" t="n">
        <f aca="false">R124/$K$2</f>
        <v>93.4731114887325</v>
      </c>
      <c r="T124" s="41" t="n">
        <f aca="false">S124-$M$2</f>
        <v>-0.000715839615580194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0.0383973121643066</v>
      </c>
      <c r="C125" s="25" t="n">
        <f aca="false">IF(T124&gt;0,D124,C124)</f>
        <v>0.0383987426757813</v>
      </c>
      <c r="D125" s="39" t="n">
        <f aca="false">(B125+C125)/2</f>
        <v>0.0383980274200439</v>
      </c>
      <c r="E125" s="15" t="n">
        <f aca="false">$C$2*(1+IF(E$3&lt;=$O$2,$D125,$D125-($D125-$I$103)*MIN(E$3-$O$2,$Q$2)/$Q$2))</f>
        <v>5825.41293382645</v>
      </c>
      <c r="F125" s="15" t="n">
        <f aca="false">E125*(1+IF(F$3&lt;=$O$2,$D125,$D125-($D125-$I$103)*MIN(F$3-$O$2,$Q$2)/$Q$2))</f>
        <v>6049.09729939259</v>
      </c>
      <c r="G125" s="15" t="n">
        <f aca="false">F125*(1+IF(G$3&lt;=$O$2,$D125,$D125-($D125-$I$103)*MIN(G$3-$O$2,$Q$2)/$Q$2))</f>
        <v>6281.37070336118</v>
      </c>
      <c r="H125" s="15" t="n">
        <f aca="false">G125*(1+IF(H$3&lt;=$O$2,$D125,$D125-($D125-$I$103)*MIN(H$3-$O$2,$Q$2)/$Q$2))</f>
        <v>6522.56294786431</v>
      </c>
      <c r="I125" s="15" t="n">
        <f aca="false">H125*(1+IF(I$3&lt;=$O$2,$D125,$D125-($D125-$I$103)*MIN(I$3-$O$2,$Q$2)/$Q$2))</f>
        <v>6773.01649878536</v>
      </c>
      <c r="J125" s="15" t="n">
        <f aca="false">I125*(1+IF(J$3&lt;=$O$2,$D125,$D125-($D125-$I$103)*MIN(J$3-$O$2,$Q$2)/$Q$2))</f>
        <v>7019.40815075791</v>
      </c>
      <c r="K125" s="15" t="n">
        <f aca="false">J125*(1+IF(K$3&lt;=$O$2,$D125,$D125-($D125-$I$103)*MIN(K$3-$O$2,$Q$2)/$Q$2))</f>
        <v>7260.58670701165</v>
      </c>
      <c r="L125" s="15" t="n">
        <f aca="false">K125*(1+IF(L$3&lt;=$O$2,$D125,$D125-($D125-$I$103)*MIN(L$3-$O$2,$Q$2)/$Q$2))</f>
        <v>7495.38835228129</v>
      </c>
      <c r="M125" s="15" t="n">
        <f aca="false">L125*(1+IF(M$3&lt;=$O$2,$D125,$D125-($D125-$I$103)*MIN(M$3-$O$2,$Q$2)/$Q$2))</f>
        <v>7722.64557007189</v>
      </c>
      <c r="N125" s="15" t="n">
        <f aca="false">M125*(1+IF(N$3&lt;=$O$2,$D125,$D125-($D125-$I$103)*MIN(N$3-$O$2,$Q$2)/$Q$2))</f>
        <v>7941.19643970492</v>
      </c>
      <c r="O125" s="15" t="n">
        <f aca="false">SUMPRODUCT(E125:N125,1/(1+$F$103)^$E$3:$N$3)*$E$2</f>
        <v>18439.14211268</v>
      </c>
      <c r="P125" s="15" t="n">
        <f aca="false">N125*$E$2*(1+$I$103)/($F$103-$I$103)/(1+$F$103)^$N$3</f>
        <v>42575.7220851056</v>
      </c>
      <c r="Q125" s="15" t="n">
        <f aca="false">O125+P125</f>
        <v>61014.8641977855</v>
      </c>
      <c r="R125" s="15" t="n">
        <f aca="false">Q125-$G$2+$I$2</f>
        <v>52249.8641977855</v>
      </c>
      <c r="S125" s="40" t="n">
        <f aca="false">R125/$K$2</f>
        <v>93.473584381884</v>
      </c>
      <c r="T125" s="41" t="n">
        <f aca="false">S125-$M$2</f>
        <v>-0.000242946464055649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0.0383980274200439</v>
      </c>
      <c r="C126" s="25" t="n">
        <f aca="false">IF(T125&gt;0,D125,C125)</f>
        <v>0.0383987426757813</v>
      </c>
      <c r="D126" s="39" t="n">
        <f aca="false">(B126+C126)/2</f>
        <v>0.0383983850479126</v>
      </c>
      <c r="E126" s="15" t="n">
        <f aca="false">$C$2*(1+IF(E$3&lt;=$O$2,$D126,$D126-($D126-$I$103)*MIN(E$3-$O$2,$Q$2)/$Q$2))</f>
        <v>5825.41494011879</v>
      </c>
      <c r="F126" s="15" t="n">
        <f aca="false">E126*(1+IF(F$3&lt;=$O$2,$D126,$D126-($D126-$I$103)*MIN(F$3-$O$2,$Q$2)/$Q$2))</f>
        <v>6049.10146605333</v>
      </c>
      <c r="G126" s="15" t="n">
        <f aca="false">F126*(1+IF(G$3&lt;=$O$2,$D126,$D126-($D126-$I$103)*MIN(G$3-$O$2,$Q$2)/$Q$2))</f>
        <v>6281.37719334074</v>
      </c>
      <c r="H126" s="15" t="n">
        <f aca="false">G126*(1+IF(H$3&lt;=$O$2,$D126,$D126-($D126-$I$103)*MIN(H$3-$O$2,$Q$2)/$Q$2))</f>
        <v>6522.57193344182</v>
      </c>
      <c r="I126" s="15" t="n">
        <f aca="false">H126*(1+IF(I$3&lt;=$O$2,$D126,$D126-($D126-$I$103)*MIN(I$3-$O$2,$Q$2)/$Q$2))</f>
        <v>6773.02816204482</v>
      </c>
      <c r="J126" s="15" t="n">
        <f aca="false">I126*(1+IF(J$3&lt;=$O$2,$D126,$D126-($D126-$I$103)*MIN(J$3-$O$2,$Q$2)/$Q$2))</f>
        <v>7019.42217608724</v>
      </c>
      <c r="K126" s="15" t="n">
        <f aca="false">J126*(1+IF(K$3&lt;=$O$2,$D126,$D126-($D126-$I$103)*MIN(K$3-$O$2,$Q$2)/$Q$2))</f>
        <v>7260.6027204393</v>
      </c>
      <c r="L126" s="15" t="n">
        <f aca="false">K126*(1+IF(L$3&lt;=$O$2,$D126,$D126-($D126-$I$103)*MIN(L$3-$O$2,$Q$2)/$Q$2))</f>
        <v>7495.4059222081</v>
      </c>
      <c r="M126" s="15" t="n">
        <f aca="false">L126*(1+IF(M$3&lt;=$O$2,$D126,$D126-($D126-$I$103)*MIN(M$3-$O$2,$Q$2)/$Q$2))</f>
        <v>7722.66420882516</v>
      </c>
      <c r="N126" s="15" t="n">
        <f aca="false">M126*(1+IF(N$3&lt;=$O$2,$D126,$D126-($D126-$I$103)*MIN(N$3-$O$2,$Q$2)/$Q$2))</f>
        <v>7941.21560593491</v>
      </c>
      <c r="O126" s="15" t="n">
        <f aca="false">SUMPRODUCT(E126:N126,1/(1+$F$103)^$E$3:$N$3)*$E$2</f>
        <v>18439.1715246603</v>
      </c>
      <c r="P126" s="15" t="n">
        <f aca="false">N126*$E$2*(1+$I$103)/($F$103-$I$103)/(1+$F$103)^$N$3</f>
        <v>42575.8248424278</v>
      </c>
      <c r="Q126" s="15" t="n">
        <f aca="false">O126+P126</f>
        <v>61014.9963670881</v>
      </c>
      <c r="R126" s="15" t="n">
        <f aca="false">Q126-$G$2+$I$2</f>
        <v>52249.9963670881</v>
      </c>
      <c r="S126" s="40" t="n">
        <f aca="false">R126/$K$2</f>
        <v>93.4738208291676</v>
      </c>
      <c r="T126" s="41" t="n">
        <f aca="false">S126-$M$2</f>
        <v>-6.49918044359765E-006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0.0383983850479126</v>
      </c>
      <c r="C127" s="25" t="n">
        <f aca="false">IF(T126&gt;0,D126,C126)</f>
        <v>0.0383987426757813</v>
      </c>
      <c r="D127" s="39" t="n">
        <f aca="false">(B127+C127)/2</f>
        <v>0.0383985638618469</v>
      </c>
      <c r="E127" s="15" t="n">
        <f aca="false">$C$2*(1+IF(E$3&lt;=$O$2,$D127,$D127-($D127-$I$103)*MIN(E$3-$O$2,$Q$2)/$Q$2))</f>
        <v>5825.41594326496</v>
      </c>
      <c r="F127" s="15" t="n">
        <f aca="false">E127*(1+IF(F$3&lt;=$O$2,$D127,$D127-($D127-$I$103)*MIN(F$3-$O$2,$Q$2)/$Q$2))</f>
        <v>6049.10354938424</v>
      </c>
      <c r="G127" s="15" t="n">
        <f aca="false">F127*(1+IF(G$3&lt;=$O$2,$D127,$D127-($D127-$I$103)*MIN(G$3-$O$2,$Q$2)/$Q$2))</f>
        <v>6281.3804383322</v>
      </c>
      <c r="H127" s="15" t="n">
        <f aca="false">G127*(1+IF(H$3&lt;=$O$2,$D127,$D127-($D127-$I$103)*MIN(H$3-$O$2,$Q$2)/$Q$2))</f>
        <v>6522.57642623405</v>
      </c>
      <c r="I127" s="15" t="n">
        <f aca="false">H127*(1+IF(I$3&lt;=$O$2,$D127,$D127-($D127-$I$103)*MIN(I$3-$O$2,$Q$2)/$Q$2))</f>
        <v>6773.03399368058</v>
      </c>
      <c r="J127" s="15" t="n">
        <f aca="false">I127*(1+IF(J$3&lt;=$O$2,$D127,$D127-($D127-$I$103)*MIN(J$3-$O$2,$Q$2)/$Q$2))</f>
        <v>7019.42918876065</v>
      </c>
      <c r="K127" s="15" t="n">
        <f aca="false">J127*(1+IF(K$3&lt;=$O$2,$D127,$D127-($D127-$I$103)*MIN(K$3-$O$2,$Q$2)/$Q$2))</f>
        <v>7260.61072716443</v>
      </c>
      <c r="L127" s="15" t="n">
        <f aca="false">K127*(1+IF(L$3&lt;=$O$2,$D127,$D127-($D127-$I$103)*MIN(L$3-$O$2,$Q$2)/$Q$2))</f>
        <v>7495.41470718489</v>
      </c>
      <c r="M127" s="15" t="n">
        <f aca="false">L127*(1+IF(M$3&lt;=$O$2,$D127,$D127-($D127-$I$103)*MIN(M$3-$O$2,$Q$2)/$Q$2))</f>
        <v>7722.67352821653</v>
      </c>
      <c r="N127" s="15" t="n">
        <f aca="false">M127*(1+IF(N$3&lt;=$O$2,$D127,$D127-($D127-$I$103)*MIN(N$3-$O$2,$Q$2)/$Q$2))</f>
        <v>7941.22518906506</v>
      </c>
      <c r="O127" s="15" t="n">
        <f aca="false">SUMPRODUCT(E127:N127,1/(1+$F$103)^$E$3:$N$3)*$E$2</f>
        <v>18439.1862306682</v>
      </c>
      <c r="P127" s="15" t="n">
        <f aca="false">N127*$E$2*(1+$I$103)/($F$103-$I$103)/(1+$F$103)^$N$3</f>
        <v>42575.8762211702</v>
      </c>
      <c r="Q127" s="15" t="n">
        <f aca="false">O127+P127</f>
        <v>61015.0624518383</v>
      </c>
      <c r="R127" s="15" t="n">
        <f aca="false">Q127-$G$2+$I$2</f>
        <v>52250.0624518383</v>
      </c>
      <c r="S127" s="40" t="n">
        <f aca="false">R127/$K$2</f>
        <v>93.4739390529864</v>
      </c>
      <c r="T127" s="41" t="n">
        <f aca="false">S127-$M$2</f>
        <v>0.000111724638273358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0.0383983850479126</v>
      </c>
      <c r="C128" s="25" t="n">
        <f aca="false">IF(T127&gt;0,D127,C127)</f>
        <v>0.0383985638618469</v>
      </c>
      <c r="D128" s="39" t="n">
        <f aca="false">(B128+C128)/2</f>
        <v>0.0383984744548798</v>
      </c>
      <c r="E128" s="15" t="n">
        <f aca="false">$C$2*(1+IF(E$3&lt;=$O$2,$D128,$D128-($D128-$I$103)*MIN(E$3-$O$2,$Q$2)/$Q$2))</f>
        <v>5825.41544169188</v>
      </c>
      <c r="F128" s="15" t="n">
        <f aca="false">E128*(1+IF(F$3&lt;=$O$2,$D128,$D128-($D128-$I$103)*MIN(F$3-$O$2,$Q$2)/$Q$2))</f>
        <v>6049.10250771874</v>
      </c>
      <c r="G128" s="15" t="n">
        <f aca="false">F128*(1+IF(G$3&lt;=$O$2,$D128,$D128-($D128-$I$103)*MIN(G$3-$O$2,$Q$2)/$Q$2))</f>
        <v>6281.37881583633</v>
      </c>
      <c r="H128" s="15" t="n">
        <f aca="false">G128*(1+IF(H$3&lt;=$O$2,$D128,$D128-($D128-$I$103)*MIN(H$3-$O$2,$Q$2)/$Q$2))</f>
        <v>6522.57417983765</v>
      </c>
      <c r="I128" s="15" t="n">
        <f aca="false">H128*(1+IF(I$3&lt;=$O$2,$D128,$D128-($D128-$I$103)*MIN(I$3-$O$2,$Q$2)/$Q$2))</f>
        <v>6773.0310778622</v>
      </c>
      <c r="J128" s="15" t="n">
        <f aca="false">I128*(1+IF(J$3&lt;=$O$2,$D128,$D128-($D128-$I$103)*MIN(J$3-$O$2,$Q$2)/$Q$2))</f>
        <v>7019.42568242322</v>
      </c>
      <c r="K128" s="15" t="n">
        <f aca="false">J128*(1+IF(K$3&lt;=$O$2,$D128,$D128-($D128-$I$103)*MIN(K$3-$O$2,$Q$2)/$Q$2))</f>
        <v>7260.60672380092</v>
      </c>
      <c r="L128" s="15" t="n">
        <f aca="false">K128*(1+IF(L$3&lt;=$O$2,$D128,$D128-($D128-$I$103)*MIN(L$3-$O$2,$Q$2)/$Q$2))</f>
        <v>7495.41031469538</v>
      </c>
      <c r="M128" s="15" t="n">
        <f aca="false">L128*(1+IF(M$3&lt;=$O$2,$D128,$D128-($D128-$I$103)*MIN(M$3-$O$2,$Q$2)/$Q$2))</f>
        <v>7722.66886851962</v>
      </c>
      <c r="N128" s="15" t="n">
        <f aca="false">M128*(1+IF(N$3&lt;=$O$2,$D128,$D128-($D128-$I$103)*MIN(N$3-$O$2,$Q$2)/$Q$2))</f>
        <v>7941.22039749872</v>
      </c>
      <c r="O128" s="15" t="n">
        <f aca="false">SUMPRODUCT(E128:N128,1/(1+$F$103)^$E$3:$N$3)*$E$2</f>
        <v>18439.1788776628</v>
      </c>
      <c r="P128" s="15" t="n">
        <f aca="false">N128*$E$2*(1+$I$103)/($F$103-$I$103)/(1+$F$103)^$N$3</f>
        <v>42575.8505317922</v>
      </c>
      <c r="Q128" s="15" t="n">
        <f aca="false">O128+P128</f>
        <v>61015.029409455</v>
      </c>
      <c r="R128" s="15" t="n">
        <f aca="false">Q128-$G$2+$I$2</f>
        <v>52250.029409455</v>
      </c>
      <c r="S128" s="40" t="n">
        <f aca="false">R128/$K$2</f>
        <v>93.4738799410623</v>
      </c>
      <c r="T128" s="41" t="n">
        <f aca="false">S128-$M$2</f>
        <v>5.26127141711186E-005</v>
      </c>
    </row>
    <row r="130" customFormat="false" ht="15" hidden="false" customHeight="false" outlineLevel="0" collapsed="false">
      <c r="A130" s="36" t="s">
        <v>190</v>
      </c>
      <c r="E130" s="5" t="s">
        <v>11</v>
      </c>
      <c r="F130" s="12" t="n">
        <f aca="false">Sensitivity!$B$10</f>
        <v>0.0667360315529091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6" t="s">
        <v>167</v>
      </c>
      <c r="B131" s="28" t="s">
        <v>168</v>
      </c>
      <c r="C131" s="28" t="s">
        <v>169</v>
      </c>
      <c r="D131" s="28" t="s">
        <v>170</v>
      </c>
      <c r="E131" s="28" t="s">
        <v>171</v>
      </c>
      <c r="F131" s="28" t="s">
        <v>172</v>
      </c>
      <c r="G131" s="28" t="s">
        <v>173</v>
      </c>
      <c r="H131" s="28" t="s">
        <v>174</v>
      </c>
      <c r="I131" s="28" t="s">
        <v>175</v>
      </c>
      <c r="J131" s="28" t="s">
        <v>176</v>
      </c>
      <c r="K131" s="28" t="s">
        <v>177</v>
      </c>
      <c r="L131" s="28" t="s">
        <v>178</v>
      </c>
      <c r="M131" s="28" t="s">
        <v>179</v>
      </c>
      <c r="N131" s="28" t="s">
        <v>180</v>
      </c>
      <c r="O131" s="28" t="s">
        <v>181</v>
      </c>
      <c r="P131" s="28" t="s">
        <v>182</v>
      </c>
      <c r="Q131" s="28" t="s">
        <v>183</v>
      </c>
      <c r="R131" s="28" t="s">
        <v>184</v>
      </c>
      <c r="S131" s="28" t="s">
        <v>185</v>
      </c>
      <c r="T131" s="28" t="s">
        <v>186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39" t="n">
        <f aca="false">(B132+C132)/2</f>
        <v>0.25</v>
      </c>
      <c r="E132" s="15" t="n">
        <f aca="false">$C$2*(1+IF(E$3&lt;=$O$2,$D132,$D132-($D132-$I$130)*MIN(E$3-$O$2,$Q$2)/$Q$2))</f>
        <v>7012.5</v>
      </c>
      <c r="F132" s="15" t="n">
        <f aca="false">E132*(1+IF(F$3&lt;=$O$2,$D132,$D132-($D132-$I$130)*MIN(F$3-$O$2,$Q$2)/$Q$2))</f>
        <v>8765.625</v>
      </c>
      <c r="G132" s="15" t="n">
        <f aca="false">F132*(1+IF(G$3&lt;=$O$2,$D132,$D132-($D132-$I$130)*MIN(G$3-$O$2,$Q$2)/$Q$2))</f>
        <v>10957.03125</v>
      </c>
      <c r="H132" s="15" t="n">
        <f aca="false">G132*(1+IF(H$3&lt;=$O$2,$D132,$D132-($D132-$I$130)*MIN(H$3-$O$2,$Q$2)/$Q$2))</f>
        <v>13696.2890625</v>
      </c>
      <c r="I132" s="15" t="n">
        <f aca="false">H132*(1+IF(I$3&lt;=$O$2,$D132,$D132-($D132-$I$130)*MIN(I$3-$O$2,$Q$2)/$Q$2))</f>
        <v>17120.361328125</v>
      </c>
      <c r="J132" s="15" t="n">
        <f aca="false">I132*(1+IF(J$3&lt;=$O$2,$D132,$D132-($D132-$I$130)*MIN(J$3-$O$2,$Q$2)/$Q$2))</f>
        <v>20658.4552001953</v>
      </c>
      <c r="K132" s="15" t="n">
        <f aca="false">J132*(1+IF(K$3&lt;=$O$2,$D132,$D132-($D132-$I$130)*MIN(K$3-$O$2,$Q$2)/$Q$2))</f>
        <v>24032.3941034912</v>
      </c>
      <c r="L132" s="15" t="n">
        <f aca="false">K132*(1+IF(L$3&lt;=$O$2,$D132,$D132-($D132-$I$130)*MIN(L$3-$O$2,$Q$2)/$Q$2))</f>
        <v>26915.8007480281</v>
      </c>
      <c r="M132" s="15" t="n">
        <f aca="false">L132*(1+IF(M$3&lt;=$O$2,$D132,$D132-($D132-$I$130)*MIN(M$3-$O$2,$Q$2)/$Q$2))</f>
        <v>28978.627717357</v>
      </c>
      <c r="N132" s="15" t="n">
        <f aca="false">M132*(1+IF(N$3&lt;=$O$2,$D132,$D132-($D132-$I$130)*MIN(N$3-$O$2,$Q$2)/$Q$2))</f>
        <v>29943.6160203449</v>
      </c>
      <c r="O132" s="15" t="n">
        <f aca="false">SUMPRODUCT(E132:N132,1/(1+$F$130)^$E$3:$N$3)*$E$2</f>
        <v>47233.5710489175</v>
      </c>
      <c r="P132" s="15" t="n">
        <f aca="false">N132*$E$2*(1+$I$130)/($F$130-$I$130)/(1+$F$130)^$N$3</f>
        <v>185443.124723232</v>
      </c>
      <c r="Q132" s="15" t="n">
        <f aca="false">O132+P132</f>
        <v>232676.69577215</v>
      </c>
      <c r="R132" s="15" t="n">
        <f aca="false">Q132-$G$2+$I$2</f>
        <v>223911.69577215</v>
      </c>
      <c r="S132" s="40" t="n">
        <f aca="false">R132/$K$2</f>
        <v>400.571927031646</v>
      </c>
      <c r="T132" s="41" t="n">
        <f aca="false">S132-$M$2</f>
        <v>307.098099703298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39" t="n">
        <f aca="false">(B133+C133)/2</f>
        <v>-0.125</v>
      </c>
      <c r="E133" s="15" t="n">
        <f aca="false">$C$2*(1+IF(E$3&lt;=$O$2,$D133,$D133-($D133-$I$130)*MIN(E$3-$O$2,$Q$2)/$Q$2))</f>
        <v>4908.75</v>
      </c>
      <c r="F133" s="15" t="n">
        <f aca="false">E133*(1+IF(F$3&lt;=$O$2,$D133,$D133-($D133-$I$130)*MIN(F$3-$O$2,$Q$2)/$Q$2))</f>
        <v>4295.15625</v>
      </c>
      <c r="G133" s="15" t="n">
        <f aca="false">F133*(1+IF(G$3&lt;=$O$2,$D133,$D133-($D133-$I$130)*MIN(G$3-$O$2,$Q$2)/$Q$2))</f>
        <v>3758.26171875</v>
      </c>
      <c r="H133" s="15" t="n">
        <f aca="false">G133*(1+IF(H$3&lt;=$O$2,$D133,$D133-($D133-$I$130)*MIN(H$3-$O$2,$Q$2)/$Q$2))</f>
        <v>3288.47900390625</v>
      </c>
      <c r="I133" s="15" t="n">
        <f aca="false">H133*(1+IF(I$3&lt;=$O$2,$D133,$D133-($D133-$I$130)*MIN(I$3-$O$2,$Q$2)/$Q$2))</f>
        <v>2877.41912841797</v>
      </c>
      <c r="J133" s="15" t="n">
        <f aca="false">I133*(1+IF(J$3&lt;=$O$2,$D133,$D133-($D133-$I$130)*MIN(J$3-$O$2,$Q$2)/$Q$2))</f>
        <v>2608.84082697144</v>
      </c>
      <c r="K133" s="15" t="n">
        <f aca="false">J133*(1+IF(K$3&lt;=$O$2,$D133,$D133-($D133-$I$130)*MIN(K$3-$O$2,$Q$2)/$Q$2))</f>
        <v>2447.92752476384</v>
      </c>
      <c r="L133" s="15" t="n">
        <f aca="false">K133*(1+IF(L$3&lt;=$O$2,$D133,$D133-($D133-$I$130)*MIN(L$3-$O$2,$Q$2)/$Q$2))</f>
        <v>2374.44074047043</v>
      </c>
      <c r="M133" s="15" t="n">
        <f aca="false">L133*(1+IF(M$3&lt;=$O$2,$D133,$D133-($D133-$I$130)*MIN(M$3-$O$2,$Q$2)/$Q$2))</f>
        <v>2378.3348232848</v>
      </c>
      <c r="N133" s="15" t="n">
        <f aca="false">M133*(1+IF(N$3&lt;=$O$2,$D133,$D133-($D133-$I$130)*MIN(N$3-$O$2,$Q$2)/$Q$2))</f>
        <v>2457.53337290018</v>
      </c>
      <c r="O133" s="15" t="n">
        <f aca="false">SUMPRODUCT(E133:N133,1/(1+$F$130)^$E$3:$N$3)*$E$2</f>
        <v>8968.81462216955</v>
      </c>
      <c r="P133" s="15" t="n">
        <f aca="false">N133*$E$2*(1+$I$130)/($F$130-$I$130)/(1+$F$130)^$N$3</f>
        <v>15219.6938229702</v>
      </c>
      <c r="Q133" s="15" t="n">
        <f aca="false">O133+P133</f>
        <v>24188.5084451397</v>
      </c>
      <c r="R133" s="15" t="n">
        <f aca="false">Q133-$G$2+$I$2</f>
        <v>15423.5084451397</v>
      </c>
      <c r="S133" s="40" t="n">
        <f aca="false">R133/$K$2</f>
        <v>27.5922366545131</v>
      </c>
      <c r="T133" s="41" t="n">
        <f aca="false">S133-$M$2</f>
        <v>-65.881590673835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39" t="n">
        <f aca="false">(B134+C134)/2</f>
        <v>0.0625</v>
      </c>
      <c r="E134" s="15" t="n">
        <f aca="false">$C$2*(1+IF(E$3&lt;=$O$2,$D134,$D134-($D134-$I$130)*MIN(E$3-$O$2,$Q$2)/$Q$2))</f>
        <v>5960.625</v>
      </c>
      <c r="F134" s="15" t="n">
        <f aca="false">E134*(1+IF(F$3&lt;=$O$2,$D134,$D134-($D134-$I$130)*MIN(F$3-$O$2,$Q$2)/$Q$2))</f>
        <v>6333.1640625</v>
      </c>
      <c r="G134" s="15" t="n">
        <f aca="false">F134*(1+IF(G$3&lt;=$O$2,$D134,$D134-($D134-$I$130)*MIN(G$3-$O$2,$Q$2)/$Q$2))</f>
        <v>6728.98681640625</v>
      </c>
      <c r="H134" s="15" t="n">
        <f aca="false">G134*(1+IF(H$3&lt;=$O$2,$D134,$D134-($D134-$I$130)*MIN(H$3-$O$2,$Q$2)/$Q$2))</f>
        <v>7149.54849243164</v>
      </c>
      <c r="I134" s="15" t="n">
        <f aca="false">H134*(1+IF(I$3&lt;=$O$2,$D134,$D134-($D134-$I$130)*MIN(I$3-$O$2,$Q$2)/$Q$2))</f>
        <v>7596.39527320862</v>
      </c>
      <c r="J134" s="15" t="n">
        <f aca="false">I134*(1+IF(J$3&lt;=$O$2,$D134,$D134-($D134-$I$130)*MIN(J$3-$O$2,$Q$2)/$Q$2))</f>
        <v>8026.80702938862</v>
      </c>
      <c r="K134" s="15" t="n">
        <f aca="false">J134*(1+IF(K$3&lt;=$O$2,$D134,$D134-($D134-$I$130)*MIN(K$3-$O$2,$Q$2)/$Q$2))</f>
        <v>8434.72936262215</v>
      </c>
      <c r="L134" s="15" t="n">
        <f aca="false">K134*(1+IF(L$3&lt;=$O$2,$D134,$D134-($D134-$I$130)*MIN(L$3-$O$2,$Q$2)/$Q$2))</f>
        <v>8814.12348935289</v>
      </c>
      <c r="M134" s="15" t="n">
        <f aca="false">L134*(1+IF(M$3&lt;=$O$2,$D134,$D134-($D134-$I$130)*MIN(M$3-$O$2,$Q$2)/$Q$2))</f>
        <v>9159.10828272616</v>
      </c>
      <c r="N134" s="15" t="n">
        <f aca="false">M134*(1+IF(N$3&lt;=$O$2,$D134,$D134-($D134-$I$130)*MIN(N$3-$O$2,$Q$2)/$Q$2))</f>
        <v>9464.10658854095</v>
      </c>
      <c r="O134" s="15" t="n">
        <f aca="false">SUMPRODUCT(E134:N134,1/(1+$F$130)^$E$3:$N$3)*$E$2</f>
        <v>20597.1225466221</v>
      </c>
      <c r="P134" s="15" t="n">
        <f aca="false">N134*$E$2*(1+$I$130)/($F$130-$I$130)/(1+$F$130)^$N$3</f>
        <v>58611.9424354195</v>
      </c>
      <c r="Q134" s="15" t="n">
        <f aca="false">O134+P134</f>
        <v>79209.0649820416</v>
      </c>
      <c r="R134" s="15" t="n">
        <f aca="false">Q134-$G$2+$I$2</f>
        <v>70444.0649820416</v>
      </c>
      <c r="S134" s="40" t="n">
        <f aca="false">R134/$K$2</f>
        <v>126.022514190206</v>
      </c>
      <c r="T134" s="41" t="n">
        <f aca="false">S134-$M$2</f>
        <v>32.5486868618584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39" t="n">
        <f aca="false">(B135+C135)/2</f>
        <v>-0.03125</v>
      </c>
      <c r="E135" s="15" t="n">
        <f aca="false">$C$2*(1+IF(E$3&lt;=$O$2,$D135,$D135-($D135-$I$130)*MIN(E$3-$O$2,$Q$2)/$Q$2))</f>
        <v>5434.6875</v>
      </c>
      <c r="F135" s="15" t="n">
        <f aca="false">E135*(1+IF(F$3&lt;=$O$2,$D135,$D135-($D135-$I$130)*MIN(F$3-$O$2,$Q$2)/$Q$2))</f>
        <v>5264.853515625</v>
      </c>
      <c r="G135" s="15" t="n">
        <f aca="false">F135*(1+IF(G$3&lt;=$O$2,$D135,$D135-($D135-$I$130)*MIN(G$3-$O$2,$Q$2)/$Q$2))</f>
        <v>5100.32684326172</v>
      </c>
      <c r="H135" s="15" t="n">
        <f aca="false">G135*(1+IF(H$3&lt;=$O$2,$D135,$D135-($D135-$I$130)*MIN(H$3-$O$2,$Q$2)/$Q$2))</f>
        <v>4940.94162940979</v>
      </c>
      <c r="I135" s="15" t="n">
        <f aca="false">H135*(1+IF(I$3&lt;=$O$2,$D135,$D135-($D135-$I$130)*MIN(I$3-$O$2,$Q$2)/$Q$2))</f>
        <v>4786.53720349073</v>
      </c>
      <c r="J135" s="15" t="n">
        <f aca="false">I135*(1+IF(J$3&lt;=$O$2,$D135,$D135-($D135-$I$130)*MIN(J$3-$O$2,$Q$2)/$Q$2))</f>
        <v>4698.75211117871</v>
      </c>
      <c r="K135" s="15" t="n">
        <f aca="false">J135*(1+IF(K$3&lt;=$O$2,$D135,$D135-($D135-$I$130)*MIN(K$3-$O$2,$Q$2)/$Q$2))</f>
        <v>4673.23788721501</v>
      </c>
      <c r="L135" s="15" t="n">
        <f aca="false">K135*(1+IF(L$3&lt;=$O$2,$D135,$D135-($D135-$I$130)*MIN(L$3-$O$2,$Q$2)/$Q$2))</f>
        <v>4708.19370661138</v>
      </c>
      <c r="M135" s="15" t="n">
        <f aca="false">L135*(1+IF(M$3&lt;=$O$2,$D135,$D135-($D135-$I$130)*MIN(M$3-$O$2,$Q$2)/$Q$2))</f>
        <v>4804.19377628919</v>
      </c>
      <c r="N135" s="15" t="n">
        <f aca="false">M135*(1+IF(N$3&lt;=$O$2,$D135,$D135-($D135-$I$130)*MIN(N$3-$O$2,$Q$2)/$Q$2))</f>
        <v>4964.17342903962</v>
      </c>
      <c r="O135" s="15" t="n">
        <f aca="false">SUMPRODUCT(E135:N135,1/(1+$F$130)^$E$3:$N$3)*$E$2</f>
        <v>13559.0224268999</v>
      </c>
      <c r="P135" s="15" t="n">
        <f aca="false">N135*$E$2*(1+$I$130)/($F$130-$I$130)/(1+$F$130)^$N$3</f>
        <v>30743.5091247388</v>
      </c>
      <c r="Q135" s="15" t="n">
        <f aca="false">O135+P135</f>
        <v>44302.5315516386</v>
      </c>
      <c r="R135" s="15" t="n">
        <f aca="false">Q135-$G$2+$I$2</f>
        <v>35537.5315516386</v>
      </c>
      <c r="S135" s="40" t="n">
        <f aca="false">R135/$K$2</f>
        <v>63.5756763240879</v>
      </c>
      <c r="T135" s="41" t="n">
        <f aca="false">S135-$M$2</f>
        <v>-29.8981510042602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-0.03125</v>
      </c>
      <c r="C136" s="25" t="n">
        <f aca="false">IF(T135&gt;0,D135,C135)</f>
        <v>0.0625</v>
      </c>
      <c r="D136" s="39" t="n">
        <f aca="false">(B136+C136)/2</f>
        <v>0.015625</v>
      </c>
      <c r="E136" s="15" t="n">
        <f aca="false">$C$2*(1+IF(E$3&lt;=$O$2,$D136,$D136-($D136-$I$130)*MIN(E$3-$O$2,$Q$2)/$Q$2))</f>
        <v>5697.65625</v>
      </c>
      <c r="F136" s="15" t="n">
        <f aca="false">E136*(1+IF(F$3&lt;=$O$2,$D136,$D136-($D136-$I$130)*MIN(F$3-$O$2,$Q$2)/$Q$2))</f>
        <v>5786.68212890625</v>
      </c>
      <c r="G136" s="15" t="n">
        <f aca="false">F136*(1+IF(G$3&lt;=$O$2,$D136,$D136-($D136-$I$130)*MIN(G$3-$O$2,$Q$2)/$Q$2))</f>
        <v>5877.09903717041</v>
      </c>
      <c r="H136" s="15" t="n">
        <f aca="false">G136*(1+IF(H$3&lt;=$O$2,$D136,$D136-($D136-$I$130)*MIN(H$3-$O$2,$Q$2)/$Q$2))</f>
        <v>5968.9287096262</v>
      </c>
      <c r="I136" s="15" t="n">
        <f aca="false">H136*(1+IF(I$3&lt;=$O$2,$D136,$D136-($D136-$I$130)*MIN(I$3-$O$2,$Q$2)/$Q$2))</f>
        <v>6062.19322071411</v>
      </c>
      <c r="J136" s="15" t="n">
        <f aca="false">I136*(1+IF(J$3&lt;=$O$2,$D136,$D136-($D136-$I$130)*MIN(J$3-$O$2,$Q$2)/$Q$2))</f>
        <v>6178.34484282299</v>
      </c>
      <c r="K136" s="15" t="n">
        <f aca="false">J136*(1+IF(K$3&lt;=$O$2,$D136,$D136-($D136-$I$130)*MIN(K$3-$O$2,$Q$2)/$Q$2))</f>
        <v>6318.56237903086</v>
      </c>
      <c r="L136" s="15" t="n">
        <f aca="false">K136*(1+IF(L$3&lt;=$O$2,$D136,$D136-($D136-$I$130)*MIN(L$3-$O$2,$Q$2)/$Q$2))</f>
        <v>6484.29827023284</v>
      </c>
      <c r="M136" s="15" t="n">
        <f aca="false">L136*(1+IF(M$3&lt;=$O$2,$D136,$D136-($D136-$I$130)*MIN(M$3-$O$2,$Q$2)/$Q$2))</f>
        <v>6677.30340824632</v>
      </c>
      <c r="N136" s="15" t="n">
        <f aca="false">M136*(1+IF(N$3&lt;=$O$2,$D136,$D136-($D136-$I$130)*MIN(N$3-$O$2,$Q$2)/$Q$2))</f>
        <v>6899.65761174092</v>
      </c>
      <c r="O136" s="15" t="n">
        <f aca="false">SUMPRODUCT(E136:N136,1/(1+$F$130)^$E$3:$N$3)*$E$2</f>
        <v>16707.4366906153</v>
      </c>
      <c r="P136" s="15" t="n">
        <f aca="false">N136*$E$2*(1+$I$130)/($F$130-$I$130)/(1+$F$130)^$N$3</f>
        <v>42730.1120269619</v>
      </c>
      <c r="Q136" s="15" t="n">
        <f aca="false">O136+P136</f>
        <v>59437.5487175772</v>
      </c>
      <c r="R136" s="15" t="n">
        <f aca="false">Q136-$G$2+$I$2</f>
        <v>50672.5487175772</v>
      </c>
      <c r="S136" s="40" t="n">
        <f aca="false">R136/$K$2</f>
        <v>90.6518099351984</v>
      </c>
      <c r="T136" s="41" t="n">
        <f aca="false">S136-$M$2</f>
        <v>-2.82201739314972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0.015625</v>
      </c>
      <c r="C137" s="25" t="n">
        <f aca="false">IF(T136&gt;0,D136,C136)</f>
        <v>0.0625</v>
      </c>
      <c r="D137" s="39" t="n">
        <f aca="false">(B137+C137)/2</f>
        <v>0.0390625</v>
      </c>
      <c r="E137" s="15" t="n">
        <f aca="false">$C$2*(1+IF(E$3&lt;=$O$2,$D137,$D137-($D137-$I$130)*MIN(E$3-$O$2,$Q$2)/$Q$2))</f>
        <v>5829.140625</v>
      </c>
      <c r="F137" s="15" t="n">
        <f aca="false">E137*(1+IF(F$3&lt;=$O$2,$D137,$D137-($D137-$I$130)*MIN(F$3-$O$2,$Q$2)/$Q$2))</f>
        <v>6056.84143066406</v>
      </c>
      <c r="G137" s="15" t="n">
        <f aca="false">F137*(1+IF(G$3&lt;=$O$2,$D137,$D137-($D137-$I$130)*MIN(G$3-$O$2,$Q$2)/$Q$2))</f>
        <v>6293.43679904938</v>
      </c>
      <c r="H137" s="15" t="n">
        <f aca="false">G137*(1+IF(H$3&lt;=$O$2,$D137,$D137-($D137-$I$130)*MIN(H$3-$O$2,$Q$2)/$Q$2))</f>
        <v>6539.27417401224</v>
      </c>
      <c r="I137" s="15" t="n">
        <f aca="false">H137*(1+IF(I$3&lt;=$O$2,$D137,$D137-($D137-$I$130)*MIN(I$3-$O$2,$Q$2)/$Q$2))</f>
        <v>6794.7145714346</v>
      </c>
      <c r="J137" s="15" t="n">
        <f aca="false">I137*(1+IF(J$3&lt;=$O$2,$D137,$D137-($D137-$I$130)*MIN(J$3-$O$2,$Q$2)/$Q$2))</f>
        <v>7052.30220083768</v>
      </c>
      <c r="K137" s="15" t="n">
        <f aca="false">J137*(1+IF(K$3&lt;=$O$2,$D137,$D137-($D137-$I$130)*MIN(K$3-$O$2,$Q$2)/$Q$2))</f>
        <v>7311.52719898497</v>
      </c>
      <c r="L137" s="15" t="n">
        <f aca="false">K137*(1+IF(L$3&lt;=$O$2,$D137,$D137-($D137-$I$130)*MIN(L$3-$O$2,$Q$2)/$Q$2))</f>
        <v>7571.85412490484</v>
      </c>
      <c r="M137" s="15" t="n">
        <f aca="false">L137*(1+IF(M$3&lt;=$O$2,$D137,$D137-($D137-$I$130)*MIN(M$3-$O$2,$Q$2)/$Q$2))</f>
        <v>7832.72342914312</v>
      </c>
      <c r="N137" s="15" t="n">
        <f aca="false">M137*(1+IF(N$3&lt;=$O$2,$D137,$D137-($D137-$I$130)*MIN(N$3-$O$2,$Q$2)/$Q$2))</f>
        <v>8093.55311933359</v>
      </c>
      <c r="O137" s="15" t="n">
        <f aca="false">SUMPRODUCT(E137:N137,1/(1+$F$130)^$E$3:$N$3)*$E$2</f>
        <v>18550.2499454256</v>
      </c>
      <c r="P137" s="15" t="n">
        <f aca="false">N137*$E$2*(1+$I$130)/($F$130-$I$130)/(1+$F$130)^$N$3</f>
        <v>50123.9990368202</v>
      </c>
      <c r="Q137" s="15" t="n">
        <f aca="false">O137+P137</f>
        <v>68674.2489822457</v>
      </c>
      <c r="R137" s="15" t="n">
        <f aca="false">Q137-$G$2+$I$2</f>
        <v>59909.2489822457</v>
      </c>
      <c r="S137" s="40" t="n">
        <f aca="false">R137/$K$2</f>
        <v>107.176015210286</v>
      </c>
      <c r="T137" s="41" t="n">
        <f aca="false">S137-$M$2</f>
        <v>13.702187881938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0.015625</v>
      </c>
      <c r="C138" s="25" t="n">
        <f aca="false">IF(T137&gt;0,D137,C137)</f>
        <v>0.0390625</v>
      </c>
      <c r="D138" s="39" t="n">
        <f aca="false">(B138+C138)/2</f>
        <v>0.02734375</v>
      </c>
      <c r="E138" s="15" t="n">
        <f aca="false">$C$2*(1+IF(E$3&lt;=$O$2,$D138,$D138-($D138-$I$130)*MIN(E$3-$O$2,$Q$2)/$Q$2))</f>
        <v>5763.3984375</v>
      </c>
      <c r="F138" s="15" t="n">
        <f aca="false">E138*(1+IF(F$3&lt;=$O$2,$D138,$D138-($D138-$I$130)*MIN(F$3-$O$2,$Q$2)/$Q$2))</f>
        <v>5920.99136352539</v>
      </c>
      <c r="G138" s="15" t="n">
        <f aca="false">F138*(1+IF(G$3&lt;=$O$2,$D138,$D138-($D138-$I$130)*MIN(G$3-$O$2,$Q$2)/$Q$2))</f>
        <v>6082.89347112179</v>
      </c>
      <c r="H138" s="15" t="n">
        <f aca="false">G138*(1+IF(H$3&lt;=$O$2,$D138,$D138-($D138-$I$130)*MIN(H$3-$O$2,$Q$2)/$Q$2))</f>
        <v>6249.22258947277</v>
      </c>
      <c r="I138" s="15" t="n">
        <f aca="false">H138*(1+IF(I$3&lt;=$O$2,$D138,$D138-($D138-$I$130)*MIN(I$3-$O$2,$Q$2)/$Q$2))</f>
        <v>6420.09976965367</v>
      </c>
      <c r="J138" s="15" t="n">
        <f aca="false">I138*(1+IF(J$3&lt;=$O$2,$D138,$D138-($D138-$I$130)*MIN(J$3-$O$2,$Q$2)/$Q$2))</f>
        <v>6603.29731658074</v>
      </c>
      <c r="K138" s="15" t="n">
        <f aca="false">J138*(1+IF(K$3&lt;=$O$2,$D138,$D138-($D138-$I$130)*MIN(K$3-$O$2,$Q$2)/$Q$2))</f>
        <v>6799.58858343775</v>
      </c>
      <c r="L138" s="15" t="n">
        <f aca="false">K138*(1+IF(L$3&lt;=$O$2,$D138,$D138-($D138-$I$130)*MIN(L$3-$O$2,$Q$2)/$Q$2))</f>
        <v>7009.81486346618</v>
      </c>
      <c r="M138" s="15" t="n">
        <f aca="false">L138*(1+IF(M$3&lt;=$O$2,$D138,$D138-($D138-$I$130)*MIN(M$3-$O$2,$Q$2)/$Q$2))</f>
        <v>7234.8912564635</v>
      </c>
      <c r="N138" s="15" t="n">
        <f aca="false">M138*(1+IF(N$3&lt;=$O$2,$D138,$D138-($D138-$I$130)*MIN(N$3-$O$2,$Q$2)/$Q$2))</f>
        <v>7475.81313530374</v>
      </c>
      <c r="O138" s="15" t="n">
        <f aca="false">SUMPRODUCT(E138:N138,1/(1+$F$130)^$E$3:$N$3)*$E$2</f>
        <v>17604.5702807727</v>
      </c>
      <c r="P138" s="15" t="n">
        <f aca="false">N138*$E$2*(1+$I$130)/($F$130-$I$130)/(1+$F$130)^$N$3</f>
        <v>46298.287645546</v>
      </c>
      <c r="Q138" s="15" t="n">
        <f aca="false">O138+P138</f>
        <v>63902.8579263187</v>
      </c>
      <c r="R138" s="15" t="n">
        <f aca="false">Q138-$G$2+$I$2</f>
        <v>55137.8579263187</v>
      </c>
      <c r="S138" s="40" t="n">
        <f aca="false">R138/$K$2</f>
        <v>98.6401265274584</v>
      </c>
      <c r="T138" s="41" t="n">
        <f aca="false">S138-$M$2</f>
        <v>5.16629919911031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0.015625</v>
      </c>
      <c r="C139" s="25" t="n">
        <f aca="false">IF(T138&gt;0,D138,C138)</f>
        <v>0.02734375</v>
      </c>
      <c r="D139" s="39" t="n">
        <f aca="false">(B139+C139)/2</f>
        <v>0.021484375</v>
      </c>
      <c r="E139" s="15" t="n">
        <f aca="false">$C$2*(1+IF(E$3&lt;=$O$2,$D139,$D139-($D139-$I$130)*MIN(E$3-$O$2,$Q$2)/$Q$2))</f>
        <v>5730.52734375</v>
      </c>
      <c r="F139" s="15" t="n">
        <f aca="false">E139*(1+IF(F$3&lt;=$O$2,$D139,$D139-($D139-$I$130)*MIN(F$3-$O$2,$Q$2)/$Q$2))</f>
        <v>5853.64414215088</v>
      </c>
      <c r="G139" s="15" t="n">
        <f aca="false">F139*(1+IF(G$3&lt;=$O$2,$D139,$D139-($D139-$I$130)*MIN(G$3-$O$2,$Q$2)/$Q$2))</f>
        <v>5979.4060280174</v>
      </c>
      <c r="H139" s="15" t="n">
        <f aca="false">G139*(1+IF(H$3&lt;=$O$2,$D139,$D139-($D139-$I$130)*MIN(H$3-$O$2,$Q$2)/$Q$2))</f>
        <v>6107.86982940059</v>
      </c>
      <c r="I139" s="15" t="n">
        <f aca="false">H139*(1+IF(I$3&lt;=$O$2,$D139,$D139-($D139-$I$130)*MIN(I$3-$O$2,$Q$2)/$Q$2))</f>
        <v>6239.09359526662</v>
      </c>
      <c r="J139" s="15" t="n">
        <f aca="false">I139*(1+IF(J$3&lt;=$O$2,$D139,$D139-($D139-$I$130)*MIN(J$3-$O$2,$Q$2)/$Q$2))</f>
        <v>6387.88037977974</v>
      </c>
      <c r="K139" s="15" t="n">
        <f aca="false">J139*(1+IF(K$3&lt;=$O$2,$D139,$D139-($D139-$I$130)*MIN(K$3-$O$2,$Q$2)/$Q$2))</f>
        <v>6555.310716959</v>
      </c>
      <c r="L139" s="15" t="n">
        <f aca="false">K139*(1+IF(L$3&lt;=$O$2,$D139,$D139-($D139-$I$130)*MIN(L$3-$O$2,$Q$2)/$Q$2))</f>
        <v>6742.62052655771</v>
      </c>
      <c r="M139" s="15" t="n">
        <f aca="false">L139*(1+IF(M$3&lt;=$O$2,$D139,$D139-($D139-$I$130)*MIN(M$3-$O$2,$Q$2)/$Q$2))</f>
        <v>6951.21613496026</v>
      </c>
      <c r="N139" s="15" t="n">
        <f aca="false">M139*(1+IF(N$3&lt;=$O$2,$D139,$D139-($D139-$I$130)*MIN(N$3-$O$2,$Q$2)/$Q$2))</f>
        <v>7182.69163225444</v>
      </c>
      <c r="O139" s="15" t="n">
        <f aca="false">SUMPRODUCT(E139:N139,1/(1+$F$130)^$E$3:$N$3)*$E$2</f>
        <v>17150.0838325642</v>
      </c>
      <c r="P139" s="15" t="n">
        <f aca="false">N139*$E$2*(1+$I$130)/($F$130-$I$130)/(1+$F$130)^$N$3</f>
        <v>44482.963557363</v>
      </c>
      <c r="Q139" s="15" t="n">
        <f aca="false">O139+P139</f>
        <v>61633.0473899272</v>
      </c>
      <c r="R139" s="15" t="n">
        <f aca="false">Q139-$G$2+$I$2</f>
        <v>52868.0473899272</v>
      </c>
      <c r="S139" s="40" t="n">
        <f aca="false">R139/$K$2</f>
        <v>94.5794972806312</v>
      </c>
      <c r="T139" s="41" t="n">
        <f aca="false">S139-$M$2</f>
        <v>1.10566995228308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0.015625</v>
      </c>
      <c r="C140" s="25" t="n">
        <f aca="false">IF(T139&gt;0,D139,C139)</f>
        <v>0.021484375</v>
      </c>
      <c r="D140" s="39" t="n">
        <f aca="false">(B140+C140)/2</f>
        <v>0.0185546875</v>
      </c>
      <c r="E140" s="15" t="n">
        <f aca="false">$C$2*(1+IF(E$3&lt;=$O$2,$D140,$D140-($D140-$I$130)*MIN(E$3-$O$2,$Q$2)/$Q$2))</f>
        <v>5714.091796875</v>
      </c>
      <c r="F140" s="15" t="n">
        <f aca="false">E140*(1+IF(F$3&lt;=$O$2,$D140,$D140-($D140-$I$130)*MIN(F$3-$O$2,$Q$2)/$Q$2))</f>
        <v>5820.11498451233</v>
      </c>
      <c r="G140" s="15" t="n">
        <f aca="false">F140*(1+IF(G$3&lt;=$O$2,$D140,$D140-($D140-$I$130)*MIN(G$3-$O$2,$Q$2)/$Q$2))</f>
        <v>5928.10539926402</v>
      </c>
      <c r="H140" s="15" t="n">
        <f aca="false">G140*(1+IF(H$3&lt;=$O$2,$D140,$D140-($D140-$I$130)*MIN(H$3-$O$2,$Q$2)/$Q$2))</f>
        <v>6038.09954241443</v>
      </c>
      <c r="I140" s="15" t="n">
        <f aca="false">H140*(1+IF(I$3&lt;=$O$2,$D140,$D140-($D140-$I$130)*MIN(I$3-$O$2,$Q$2)/$Q$2))</f>
        <v>6150.13459251782</v>
      </c>
      <c r="J140" s="15" t="n">
        <f aca="false">I140*(1+IF(J$3&lt;=$O$2,$D140,$D140-($D140-$I$130)*MIN(J$3-$O$2,$Q$2)/$Q$2))</f>
        <v>6282.38554926168</v>
      </c>
      <c r="K140" s="15" t="n">
        <f aca="false">J140*(1+IF(K$3&lt;=$O$2,$D140,$D140-($D140-$I$130)*MIN(K$3-$O$2,$Q$2)/$Q$2))</f>
        <v>6436.00754515048</v>
      </c>
      <c r="L140" s="15" t="n">
        <f aca="false">K140*(1+IF(L$3&lt;=$O$2,$D140,$D140-($D140-$I$130)*MIN(L$3-$O$2,$Q$2)/$Q$2))</f>
        <v>6612.36621940175</v>
      </c>
      <c r="M140" s="15" t="n">
        <f aca="false">L140*(1+IF(M$3&lt;=$O$2,$D140,$D140-($D140-$I$130)*MIN(M$3-$O$2,$Q$2)/$Q$2))</f>
        <v>6813.05773325393</v>
      </c>
      <c r="N140" s="15" t="n">
        <f aca="false">M140*(1+IF(N$3&lt;=$O$2,$D140,$D140-($D140-$I$130)*MIN(N$3-$O$2,$Q$2)/$Q$2))</f>
        <v>7039.93255577128</v>
      </c>
      <c r="O140" s="15" t="n">
        <f aca="false">SUMPRODUCT(E140:N140,1/(1+$F$130)^$E$3:$N$3)*$E$2</f>
        <v>16927.298577678</v>
      </c>
      <c r="P140" s="15" t="n">
        <f aca="false">N140*$E$2*(1+$I$130)/($F$130-$I$130)/(1+$F$130)^$N$3</f>
        <v>43598.8455801738</v>
      </c>
      <c r="Q140" s="15" t="n">
        <f aca="false">O140+P140</f>
        <v>60526.1441578518</v>
      </c>
      <c r="R140" s="15" t="n">
        <f aca="false">Q140-$G$2+$I$2</f>
        <v>51761.1441578518</v>
      </c>
      <c r="S140" s="40" t="n">
        <f aca="false">R140/$K$2</f>
        <v>92.5992775373927</v>
      </c>
      <c r="T140" s="41" t="n">
        <f aca="false">S140-$M$2</f>
        <v>-0.874549790955413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0.0185546875</v>
      </c>
      <c r="C141" s="25" t="n">
        <f aca="false">IF(T140&gt;0,D140,C140)</f>
        <v>0.021484375</v>
      </c>
      <c r="D141" s="39" t="n">
        <f aca="false">(B141+C141)/2</f>
        <v>0.02001953125</v>
      </c>
      <c r="E141" s="15" t="n">
        <f aca="false">$C$2*(1+IF(E$3&lt;=$O$2,$D141,$D141-($D141-$I$130)*MIN(E$3-$O$2,$Q$2)/$Q$2))</f>
        <v>5722.3095703125</v>
      </c>
      <c r="F141" s="15" t="n">
        <f aca="false">E141*(1+IF(F$3&lt;=$O$2,$D141,$D141-($D141-$I$130)*MIN(F$3-$O$2,$Q$2)/$Q$2))</f>
        <v>5836.86752557755</v>
      </c>
      <c r="G141" s="15" t="n">
        <f aca="false">F141*(1+IF(G$3&lt;=$O$2,$D141,$D141-($D141-$I$130)*MIN(G$3-$O$2,$Q$2)/$Q$2))</f>
        <v>5953.71887740796</v>
      </c>
      <c r="H141" s="15" t="n">
        <f aca="false">G141*(1+IF(H$3&lt;=$O$2,$D141,$D141-($D141-$I$130)*MIN(H$3-$O$2,$Q$2)/$Q$2))</f>
        <v>6072.90953852794</v>
      </c>
      <c r="I141" s="15" t="n">
        <f aca="false">H141*(1+IF(I$3&lt;=$O$2,$D141,$D141-($D141-$I$130)*MIN(I$3-$O$2,$Q$2)/$Q$2))</f>
        <v>6194.48634081292</v>
      </c>
      <c r="J141" s="15" t="n">
        <f aca="false">I141*(1+IF(J$3&lt;=$O$2,$D141,$D141-($D141-$I$130)*MIN(J$3-$O$2,$Q$2)/$Q$2))</f>
        <v>6334.95019014482</v>
      </c>
      <c r="K141" s="15" t="n">
        <f aca="false">J141*(1+IF(K$3&lt;=$O$2,$D141,$D141-($D141-$I$130)*MIN(K$3-$O$2,$Q$2)/$Q$2))</f>
        <v>6495.42536665683</v>
      </c>
      <c r="L141" s="15" t="n">
        <f aca="false">K141*(1+IF(L$3&lt;=$O$2,$D141,$D141-($D141-$I$130)*MIN(L$3-$O$2,$Q$2)/$Q$2))</f>
        <v>6677.21811392656</v>
      </c>
      <c r="M141" s="15" t="n">
        <f aca="false">L141*(1+IF(M$3&lt;=$O$2,$D141,$D141-($D141-$I$130)*MIN(M$3-$O$2,$Q$2)/$Q$2))</f>
        <v>6881.83415982053</v>
      </c>
      <c r="N141" s="15" t="n">
        <f aca="false">M141*(1+IF(N$3&lt;=$O$2,$D141,$D141-($D141-$I$130)*MIN(N$3-$O$2,$Q$2)/$Q$2))</f>
        <v>7110.99923734255</v>
      </c>
      <c r="O141" s="15" t="n">
        <f aca="false">SUMPRODUCT(E141:N141,1/(1+$F$130)^$E$3:$N$3)*$E$2</f>
        <v>17038.323520759</v>
      </c>
      <c r="P141" s="15" t="n">
        <f aca="false">N141*$E$2*(1+$I$130)/($F$130-$I$130)/(1+$F$130)^$N$3</f>
        <v>44038.9670232664</v>
      </c>
      <c r="Q141" s="15" t="n">
        <f aca="false">O141+P141</f>
        <v>61077.2905440254</v>
      </c>
      <c r="R141" s="15" t="n">
        <f aca="false">Q141-$G$2+$I$2</f>
        <v>52312.2905440254</v>
      </c>
      <c r="S141" s="40" t="n">
        <f aca="false">R141/$K$2</f>
        <v>93.5852634155523</v>
      </c>
      <c r="T141" s="41" t="n">
        <f aca="false">S141-$M$2</f>
        <v>0.111436087204197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0.0185546875</v>
      </c>
      <c r="C142" s="25" t="n">
        <f aca="false">IF(T141&gt;0,D141,C141)</f>
        <v>0.02001953125</v>
      </c>
      <c r="D142" s="39" t="n">
        <f aca="false">(B142+C142)/2</f>
        <v>0.019287109375</v>
      </c>
      <c r="E142" s="15" t="n">
        <f aca="false">$C$2*(1+IF(E$3&lt;=$O$2,$D142,$D142-($D142-$I$130)*MIN(E$3-$O$2,$Q$2)/$Q$2))</f>
        <v>5718.20068359375</v>
      </c>
      <c r="F142" s="15" t="n">
        <f aca="false">E142*(1+IF(F$3&lt;=$O$2,$D142,$D142-($D142-$I$130)*MIN(F$3-$O$2,$Q$2)/$Q$2))</f>
        <v>5828.48824560642</v>
      </c>
      <c r="G142" s="15" t="n">
        <f aca="false">F142*(1+IF(G$3&lt;=$O$2,$D142,$D142-($D142-$I$130)*MIN(G$3-$O$2,$Q$2)/$Q$2))</f>
        <v>5940.90293589034</v>
      </c>
      <c r="H142" s="15" t="n">
        <f aca="false">G142*(1+IF(H$3&lt;=$O$2,$D142,$D142-($D142-$I$130)*MIN(H$3-$O$2,$Q$2)/$Q$2))</f>
        <v>6055.48578060111</v>
      </c>
      <c r="I142" s="15" t="n">
        <f aca="false">H142*(1+IF(I$3&lt;=$O$2,$D142,$D142-($D142-$I$130)*MIN(I$3-$O$2,$Q$2)/$Q$2))</f>
        <v>6172.27859717032</v>
      </c>
      <c r="J142" s="15" t="n">
        <f aca="false">I142*(1+IF(J$3&lt;=$O$2,$D142,$D142-($D142-$I$130)*MIN(J$3-$O$2,$Q$2)/$Q$2))</f>
        <v>6308.62230254475</v>
      </c>
      <c r="K142" s="15" t="n">
        <f aca="false">J142*(1+IF(K$3&lt;=$O$2,$D142,$D142-($D142-$I$130)*MIN(K$3-$O$2,$Q$2)/$Q$2))</f>
        <v>6465.6582046275</v>
      </c>
      <c r="L142" s="15" t="n">
        <f aca="false">K142*(1+IF(L$3&lt;=$O$2,$D142,$D142-($D142-$I$130)*MIN(L$3-$O$2,$Q$2)/$Q$2))</f>
        <v>6644.72359834556</v>
      </c>
      <c r="M142" s="15" t="n">
        <f aca="false">L142*(1+IF(M$3&lt;=$O$2,$D142,$D142-($D142-$I$130)*MIN(M$3-$O$2,$Q$2)/$Q$2))</f>
        <v>6847.37053716707</v>
      </c>
      <c r="N142" s="15" t="n">
        <f aca="false">M142*(1+IF(N$3&lt;=$O$2,$D142,$D142-($D142-$I$130)*MIN(N$3-$O$2,$Q$2)/$Q$2))</f>
        <v>7075.38797605474</v>
      </c>
      <c r="O142" s="15" t="n">
        <f aca="false">SUMPRODUCT(E142:N142,1/(1+$F$130)^$E$3:$N$3)*$E$2</f>
        <v>16982.7194120018</v>
      </c>
      <c r="P142" s="15" t="n">
        <f aca="false">N142*$E$2*(1+$I$130)/($F$130-$I$130)/(1+$F$130)^$N$3</f>
        <v>43818.4237340371</v>
      </c>
      <c r="Q142" s="15" t="n">
        <f aca="false">O142+P142</f>
        <v>60801.1431460389</v>
      </c>
      <c r="R142" s="15" t="n">
        <f aca="false">Q142-$G$2+$I$2</f>
        <v>52036.1431460389</v>
      </c>
      <c r="S142" s="40" t="n">
        <f aca="false">R142/$K$2</f>
        <v>93.0912432395414</v>
      </c>
      <c r="T142" s="41" t="n">
        <f aca="false">S142-$M$2</f>
        <v>-0.382584088806695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0.019287109375</v>
      </c>
      <c r="C143" s="25" t="n">
        <f aca="false">IF(T142&gt;0,D142,C142)</f>
        <v>0.02001953125</v>
      </c>
      <c r="D143" s="39" t="n">
        <f aca="false">(B143+C143)/2</f>
        <v>0.0196533203125</v>
      </c>
      <c r="E143" s="15" t="n">
        <f aca="false">$C$2*(1+IF(E$3&lt;=$O$2,$D143,$D143-($D143-$I$130)*MIN(E$3-$O$2,$Q$2)/$Q$2))</f>
        <v>5720.25512695313</v>
      </c>
      <c r="F143" s="15" t="n">
        <f aca="false">E143*(1+IF(F$3&lt;=$O$2,$D143,$D143-($D143-$I$130)*MIN(F$3-$O$2,$Q$2)/$Q$2))</f>
        <v>5832.67713323236</v>
      </c>
      <c r="G143" s="15" t="n">
        <f aca="false">F143*(1+IF(G$3&lt;=$O$2,$D143,$D143-($D143-$I$130)*MIN(G$3-$O$2,$Q$2)/$Q$2))</f>
        <v>5947.30860521117</v>
      </c>
      <c r="H143" s="15" t="n">
        <f aca="false">G143*(1+IF(H$3&lt;=$O$2,$D143,$D143-($D143-$I$130)*MIN(H$3-$O$2,$Q$2)/$Q$2))</f>
        <v>6064.19296622667</v>
      </c>
      <c r="I143" s="15" t="n">
        <f aca="false">H143*(1+IF(I$3&lt;=$O$2,$D143,$D143-($D143-$I$130)*MIN(I$3-$O$2,$Q$2)/$Q$2))</f>
        <v>6183.37449302873</v>
      </c>
      <c r="J143" s="15" t="n">
        <f aca="false">I143*(1+IF(J$3&lt;=$O$2,$D143,$D143-($D143-$I$130)*MIN(J$3-$O$2,$Q$2)/$Q$2))</f>
        <v>6321.77483877121</v>
      </c>
      <c r="K143" s="15" t="n">
        <f aca="false">J143*(1+IF(K$3&lt;=$O$2,$D143,$D143-($D143-$I$130)*MIN(K$3-$O$2,$Q$2)/$Q$2))</f>
        <v>6480.52719913357</v>
      </c>
      <c r="L143" s="15" t="n">
        <f aca="false">K143*(1+IF(L$3&lt;=$O$2,$D143,$D143-($D143-$I$130)*MIN(L$3-$O$2,$Q$2)/$Q$2))</f>
        <v>6660.95368330763</v>
      </c>
      <c r="M143" s="15" t="n">
        <f aca="false">L143*(1+IF(M$3&lt;=$O$2,$D143,$D143-($D143-$I$130)*MIN(M$3-$O$2,$Q$2)/$Q$2))</f>
        <v>6864.5834606959</v>
      </c>
      <c r="N143" s="15" t="n">
        <f aca="false">M143*(1+IF(N$3&lt;=$O$2,$D143,$D143-($D143-$I$130)*MIN(N$3-$O$2,$Q$2)/$Q$2))</f>
        <v>7093.17408993708</v>
      </c>
      <c r="O143" s="15" t="n">
        <f aca="false">SUMPRODUCT(E143:N143,1/(1+$F$130)^$E$3:$N$3)*$E$2</f>
        <v>17010.4985216515</v>
      </c>
      <c r="P143" s="15" t="n">
        <f aca="false">N143*$E$2*(1+$I$130)/($F$130-$I$130)/(1+$F$130)^$N$3</f>
        <v>43928.5745098413</v>
      </c>
      <c r="Q143" s="15" t="n">
        <f aca="false">O143+P143</f>
        <v>60939.0730314928</v>
      </c>
      <c r="R143" s="15" t="n">
        <f aca="false">Q143-$G$2+$I$2</f>
        <v>52174.0730314928</v>
      </c>
      <c r="S143" s="40" t="n">
        <f aca="false">R143/$K$2</f>
        <v>93.3379960490408</v>
      </c>
      <c r="T143" s="41" t="n">
        <f aca="false">S143-$M$2</f>
        <v>-0.135831279307283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0.0196533203125</v>
      </c>
      <c r="C144" s="25" t="n">
        <f aca="false">IF(T143&gt;0,D143,C143)</f>
        <v>0.02001953125</v>
      </c>
      <c r="D144" s="39" t="n">
        <f aca="false">(B144+C144)/2</f>
        <v>0.01983642578125</v>
      </c>
      <c r="E144" s="15" t="n">
        <f aca="false">$C$2*(1+IF(E$3&lt;=$O$2,$D144,$D144-($D144-$I$130)*MIN(E$3-$O$2,$Q$2)/$Q$2))</f>
        <v>5721.28234863281</v>
      </c>
      <c r="F144" s="15" t="n">
        <f aca="false">E144*(1+IF(F$3&lt;=$O$2,$D144,$D144-($D144-$I$130)*MIN(F$3-$O$2,$Q$2)/$Q$2))</f>
        <v>5834.77214131504</v>
      </c>
      <c r="G144" s="15" t="n">
        <f aca="false">F144*(1+IF(G$3&lt;=$O$2,$D144,$D144-($D144-$I$130)*MIN(G$3-$O$2,$Q$2)/$Q$2))</f>
        <v>5950.51316584674</v>
      </c>
      <c r="H144" s="15" t="n">
        <f aca="false">G144*(1+IF(H$3&lt;=$O$2,$D144,$D144-($D144-$I$130)*MIN(H$3-$O$2,$Q$2)/$Q$2))</f>
        <v>6068.55007862141</v>
      </c>
      <c r="I144" s="15" t="n">
        <f aca="false">H144*(1+IF(I$3&lt;=$O$2,$D144,$D144-($D144-$I$130)*MIN(I$3-$O$2,$Q$2)/$Q$2))</f>
        <v>6188.92842185579</v>
      </c>
      <c r="J144" s="15" t="n">
        <f aca="false">I144*(1+IF(J$3&lt;=$O$2,$D144,$D144-($D144-$I$130)*MIN(J$3-$O$2,$Q$2)/$Q$2))</f>
        <v>6328.35966058984</v>
      </c>
      <c r="K144" s="15" t="n">
        <f aca="false">J144*(1+IF(K$3&lt;=$O$2,$D144,$D144-($D144-$I$130)*MIN(K$3-$O$2,$Q$2)/$Q$2))</f>
        <v>6487.9726333035</v>
      </c>
      <c r="L144" s="15" t="n">
        <f aca="false">K144*(1+IF(L$3&lt;=$O$2,$D144,$D144-($D144-$I$130)*MIN(L$3-$O$2,$Q$2)/$Q$2))</f>
        <v>6669.08160156143</v>
      </c>
      <c r="M144" s="15" t="n">
        <f aca="false">L144*(1+IF(M$3&lt;=$O$2,$D144,$D144-($D144-$I$130)*MIN(M$3-$O$2,$Q$2)/$Q$2))</f>
        <v>6873.20408387072</v>
      </c>
      <c r="N144" s="15" t="n">
        <f aca="false">M144*(1+IF(N$3&lt;=$O$2,$D144,$D144-($D144-$I$130)*MIN(N$3-$O$2,$Q$2)/$Q$2))</f>
        <v>7102.08177986361</v>
      </c>
      <c r="O144" s="15" t="n">
        <f aca="false">SUMPRODUCT(E144:N144,1/(1+$F$130)^$E$3:$N$3)*$E$2</f>
        <v>17024.4052805898</v>
      </c>
      <c r="P144" s="15" t="n">
        <f aca="false">N144*$E$2*(1+$I$130)/($F$130-$I$130)/(1+$F$130)^$N$3</f>
        <v>43983.740520951</v>
      </c>
      <c r="Q144" s="15" t="n">
        <f aca="false">O144+P144</f>
        <v>61008.1458015407</v>
      </c>
      <c r="R144" s="15" t="n">
        <f aca="false">Q144-$G$2+$I$2</f>
        <v>52243.1458015407</v>
      </c>
      <c r="S144" s="40" t="n">
        <f aca="false">R144/$K$2</f>
        <v>93.4615653539317</v>
      </c>
      <c r="T144" s="41" t="n">
        <f aca="false">S144-$M$2</f>
        <v>-0.0122619744163899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0.01983642578125</v>
      </c>
      <c r="C145" s="25" t="n">
        <f aca="false">IF(T144&gt;0,D144,C144)</f>
        <v>0.02001953125</v>
      </c>
      <c r="D145" s="39" t="n">
        <f aca="false">(B145+C145)/2</f>
        <v>0.019927978515625</v>
      </c>
      <c r="E145" s="15" t="n">
        <f aca="false">$C$2*(1+IF(E$3&lt;=$O$2,$D145,$D145-($D145-$I$130)*MIN(E$3-$O$2,$Q$2)/$Q$2))</f>
        <v>5721.79595947266</v>
      </c>
      <c r="F145" s="15" t="n">
        <f aca="false">E145*(1+IF(F$3&lt;=$O$2,$D145,$D145-($D145-$I$130)*MIN(F$3-$O$2,$Q$2)/$Q$2))</f>
        <v>5835.81978642382</v>
      </c>
      <c r="G145" s="15" t="n">
        <f aca="false">F145*(1+IF(G$3&lt;=$O$2,$D145,$D145-($D145-$I$130)*MIN(G$3-$O$2,$Q$2)/$Q$2))</f>
        <v>5952.11587774873</v>
      </c>
      <c r="H145" s="15" t="n">
        <f aca="false">G145*(1+IF(H$3&lt;=$O$2,$D145,$D145-($D145-$I$130)*MIN(H$3-$O$2,$Q$2)/$Q$2))</f>
        <v>6070.72951508302</v>
      </c>
      <c r="I145" s="15" t="n">
        <f aca="false">H145*(1+IF(I$3&lt;=$O$2,$D145,$D145-($D145-$I$130)*MIN(I$3-$O$2,$Q$2)/$Q$2))</f>
        <v>6191.70688243376</v>
      </c>
      <c r="J145" s="15" t="n">
        <f aca="false">I145*(1+IF(J$3&lt;=$O$2,$D145,$D145-($D145-$I$130)*MIN(J$3-$O$2,$Q$2)/$Q$2))</f>
        <v>6331.65421165332</v>
      </c>
      <c r="K145" s="15" t="n">
        <f aca="false">J145*(1+IF(K$3&lt;=$O$2,$D145,$D145-($D145-$I$130)*MIN(K$3-$O$2,$Q$2)/$Q$2))</f>
        <v>6491.69808721146</v>
      </c>
      <c r="L145" s="15" t="n">
        <f aca="false">K145*(1+IF(L$3&lt;=$O$2,$D145,$D145-($D145-$I$130)*MIN(L$3-$O$2,$Q$2)/$Q$2))</f>
        <v>6673.14878299869</v>
      </c>
      <c r="M145" s="15" t="n">
        <f aca="false">L145*(1+IF(M$3&lt;=$O$2,$D145,$D145-($D145-$I$130)*MIN(M$3-$O$2,$Q$2)/$Q$2))</f>
        <v>6877.51793969361</v>
      </c>
      <c r="N145" s="15" t="n">
        <f aca="false">M145*(1+IF(N$3&lt;=$O$2,$D145,$D145-($D145-$I$130)*MIN(N$3-$O$2,$Q$2)/$Q$2))</f>
        <v>7106.53928708541</v>
      </c>
      <c r="O145" s="15" t="n">
        <f aca="false">SUMPRODUCT(E145:N145,1/(1+$F$130)^$E$3:$N$3)*$E$2</f>
        <v>17031.362964966</v>
      </c>
      <c r="P145" s="15" t="n">
        <f aca="false">N145*$E$2*(1+$I$130)/($F$130-$I$130)/(1+$F$130)^$N$3</f>
        <v>44011.3462071555</v>
      </c>
      <c r="Q145" s="15" t="n">
        <f aca="false">O145+P145</f>
        <v>61042.7091721215</v>
      </c>
      <c r="R145" s="15" t="n">
        <f aca="false">Q145-$G$2+$I$2</f>
        <v>52277.7091721215</v>
      </c>
      <c r="S145" s="40" t="n">
        <f aca="false">R145/$K$2</f>
        <v>93.5233982828035</v>
      </c>
      <c r="T145" s="41" t="n">
        <f aca="false">S145-$M$2</f>
        <v>0.049570954455433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0.01983642578125</v>
      </c>
      <c r="C146" s="25" t="n">
        <f aca="false">IF(T145&gt;0,D145,C145)</f>
        <v>0.019927978515625</v>
      </c>
      <c r="D146" s="39" t="n">
        <f aca="false">(B146+C146)/2</f>
        <v>0.0198822021484375</v>
      </c>
      <c r="E146" s="15" t="n">
        <f aca="false">$C$2*(1+IF(E$3&lt;=$O$2,$D146,$D146-($D146-$I$130)*MIN(E$3-$O$2,$Q$2)/$Q$2))</f>
        <v>5721.53915405273</v>
      </c>
      <c r="F146" s="15" t="n">
        <f aca="false">E146*(1+IF(F$3&lt;=$O$2,$D146,$D146-($D146-$I$130)*MIN(F$3-$O$2,$Q$2)/$Q$2))</f>
        <v>5835.29595211381</v>
      </c>
      <c r="G146" s="15" t="n">
        <f aca="false">F146*(1+IF(G$3&lt;=$O$2,$D146,$D146-($D146-$I$130)*MIN(G$3-$O$2,$Q$2)/$Q$2))</f>
        <v>5951.3144858297</v>
      </c>
      <c r="H146" s="15" t="n">
        <f aca="false">G146*(1+IF(H$3&lt;=$O$2,$D146,$D146-($D146-$I$130)*MIN(H$3-$O$2,$Q$2)/$Q$2))</f>
        <v>6069.63972348589</v>
      </c>
      <c r="I146" s="15" t="n">
        <f aca="false">H146*(1+IF(I$3&lt;=$O$2,$D146,$D146-($D146-$I$130)*MIN(I$3-$O$2,$Q$2)/$Q$2))</f>
        <v>6190.31752743642</v>
      </c>
      <c r="J146" s="15" t="n">
        <f aca="false">I146*(1+IF(J$3&lt;=$O$2,$D146,$D146-($D146-$I$130)*MIN(J$3-$O$2,$Q$2)/$Q$2))</f>
        <v>6330.00675772395</v>
      </c>
      <c r="K146" s="15" t="n">
        <f aca="false">J146*(1+IF(K$3&lt;=$O$2,$D146,$D146-($D146-$I$130)*MIN(K$3-$O$2,$Q$2)/$Q$2))</f>
        <v>6489.83513211166</v>
      </c>
      <c r="L146" s="15" t="n">
        <f aca="false">K146*(1+IF(L$3&lt;=$O$2,$D146,$D146-($D146-$I$130)*MIN(L$3-$O$2,$Q$2)/$Q$2))</f>
        <v>6671.11492365392</v>
      </c>
      <c r="M146" s="15" t="n">
        <f aca="false">L146*(1+IF(M$3&lt;=$O$2,$D146,$D146-($D146-$I$130)*MIN(M$3-$O$2,$Q$2)/$Q$2))</f>
        <v>6875.36071631357</v>
      </c>
      <c r="N146" s="15" t="n">
        <f aca="false">M146*(1+IF(N$3&lt;=$O$2,$D146,$D146-($D146-$I$130)*MIN(N$3-$O$2,$Q$2)/$Q$2))</f>
        <v>7104.31022816681</v>
      </c>
      <c r="O146" s="15" t="n">
        <f aca="false">SUMPRODUCT(E146:N146,1/(1+$F$130)^$E$3:$N$3)*$E$2</f>
        <v>17027.8837639201</v>
      </c>
      <c r="P146" s="15" t="n">
        <f aca="false">N146*$E$2*(1+$I$130)/($F$130-$I$130)/(1+$F$130)^$N$3</f>
        <v>43997.5414732591</v>
      </c>
      <c r="Q146" s="15" t="n">
        <f aca="false">O146+P146</f>
        <v>61025.4252371792</v>
      </c>
      <c r="R146" s="15" t="n">
        <f aca="false">Q146-$G$2+$I$2</f>
        <v>52260.4252371792</v>
      </c>
      <c r="S146" s="40" t="n">
        <f aca="false">R146/$K$2</f>
        <v>93.4924777938016</v>
      </c>
      <c r="T146" s="41" t="n">
        <f aca="false">S146-$M$2</f>
        <v>0.0186504654535327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0.01983642578125</v>
      </c>
      <c r="C147" s="25" t="n">
        <f aca="false">IF(T146&gt;0,D146,C146)</f>
        <v>0.0198822021484375</v>
      </c>
      <c r="D147" s="39" t="n">
        <f aca="false">(B147+C147)/2</f>
        <v>0.0198593139648438</v>
      </c>
      <c r="E147" s="15" t="n">
        <f aca="false">$C$2*(1+IF(E$3&lt;=$O$2,$D147,$D147-($D147-$I$130)*MIN(E$3-$O$2,$Q$2)/$Q$2))</f>
        <v>5721.41075134277</v>
      </c>
      <c r="F147" s="15" t="n">
        <f aca="false">E147*(1+IF(F$3&lt;=$O$2,$D147,$D147-($D147-$I$130)*MIN(F$3-$O$2,$Q$2)/$Q$2))</f>
        <v>5835.03404377552</v>
      </c>
      <c r="G147" s="15" t="n">
        <f aca="false">F147*(1+IF(G$3&lt;=$O$2,$D147,$D147-($D147-$I$130)*MIN(G$3-$O$2,$Q$2)/$Q$2))</f>
        <v>5950.91381684641</v>
      </c>
      <c r="H147" s="15" t="n">
        <f aca="false">G147*(1+IF(H$3&lt;=$O$2,$D147,$D147-($D147-$I$130)*MIN(H$3-$O$2,$Q$2)/$Q$2))</f>
        <v>6069.09488271289</v>
      </c>
      <c r="I147" s="15" t="n">
        <f aca="false">H147*(1+IF(I$3&lt;=$O$2,$D147,$D147-($D147-$I$130)*MIN(I$3-$O$2,$Q$2)/$Q$2))</f>
        <v>6189.62294347111</v>
      </c>
      <c r="J147" s="15" t="n">
        <f aca="false">I147*(1+IF(J$3&lt;=$O$2,$D147,$D147-($D147-$I$130)*MIN(J$3-$O$2,$Q$2)/$Q$2))</f>
        <v>6329.18316456135</v>
      </c>
      <c r="K147" s="15" t="n">
        <f aca="false">J147*(1+IF(K$3&lt;=$O$2,$D147,$D147-($D147-$I$130)*MIN(K$3-$O$2,$Q$2)/$Q$2))</f>
        <v>6488.90382567692</v>
      </c>
      <c r="L147" s="15" t="n">
        <f aca="false">K147*(1+IF(L$3&lt;=$O$2,$D147,$D147-($D147-$I$130)*MIN(L$3-$O$2,$Q$2)/$Q$2))</f>
        <v>6670.09819545866</v>
      </c>
      <c r="M147" s="15" t="n">
        <f aca="false">L147*(1+IF(M$3&lt;=$O$2,$D147,$D147-($D147-$I$130)*MIN(M$3-$O$2,$Q$2)/$Q$2))</f>
        <v>6874.28232623367</v>
      </c>
      <c r="N147" s="15" t="n">
        <f aca="false">M147*(1+IF(N$3&lt;=$O$2,$D147,$D147-($D147-$I$130)*MIN(N$3-$O$2,$Q$2)/$Q$2))</f>
        <v>7103.19592769725</v>
      </c>
      <c r="O147" s="15" t="n">
        <f aca="false">SUMPRODUCT(E147:N147,1/(1+$F$130)^$E$3:$N$3)*$E$2</f>
        <v>17026.1444325492</v>
      </c>
      <c r="P147" s="15" t="n">
        <f aca="false">N147*$E$2*(1+$I$130)/($F$130-$I$130)/(1+$F$130)^$N$3</f>
        <v>43990.640524462</v>
      </c>
      <c r="Q147" s="15" t="n">
        <f aca="false">O147+P147</f>
        <v>61016.7849570112</v>
      </c>
      <c r="R147" s="15" t="n">
        <f aca="false">Q147-$G$2+$I$2</f>
        <v>52251.7849570112</v>
      </c>
      <c r="S147" s="40" t="n">
        <f aca="false">R147/$K$2</f>
        <v>93.47702056784</v>
      </c>
      <c r="T147" s="41" t="n">
        <f aca="false">S147-$M$2</f>
        <v>0.00319323949189254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0.01983642578125</v>
      </c>
      <c r="C148" s="25" t="n">
        <f aca="false">IF(T147&gt;0,D147,C147)</f>
        <v>0.0198593139648438</v>
      </c>
      <c r="D148" s="39" t="n">
        <f aca="false">(B148+C148)/2</f>
        <v>0.0198478698730469</v>
      </c>
      <c r="E148" s="15" t="n">
        <f aca="false">$C$2*(1+IF(E$3&lt;=$O$2,$D148,$D148-($D148-$I$130)*MIN(E$3-$O$2,$Q$2)/$Q$2))</f>
        <v>5721.34654998779</v>
      </c>
      <c r="F148" s="15" t="n">
        <f aca="false">E148*(1+IF(F$3&lt;=$O$2,$D148,$D148-($D148-$I$130)*MIN(F$3-$O$2,$Q$2)/$Q$2))</f>
        <v>5834.90309181056</v>
      </c>
      <c r="G148" s="15" t="n">
        <f aca="false">F148*(1+IF(G$3&lt;=$O$2,$D148,$D148-($D148-$I$130)*MIN(G$3-$O$2,$Q$2)/$Q$2))</f>
        <v>5950.71348909865</v>
      </c>
      <c r="H148" s="15" t="n">
        <f aca="false">G148*(1+IF(H$3&lt;=$O$2,$D148,$D148-($D148-$I$130)*MIN(H$3-$O$2,$Q$2)/$Q$2))</f>
        <v>6068.82247608207</v>
      </c>
      <c r="I148" s="15" t="n">
        <f aca="false">H148*(1+IF(I$3&lt;=$O$2,$D148,$D148-($D148-$I$130)*MIN(I$3-$O$2,$Q$2)/$Q$2))</f>
        <v>6189.27567486997</v>
      </c>
      <c r="J148" s="15" t="n">
        <f aca="false">I148*(1+IF(J$3&lt;=$O$2,$D148,$D148-($D148-$I$130)*MIN(J$3-$O$2,$Q$2)/$Q$2))</f>
        <v>6328.77140142719</v>
      </c>
      <c r="K148" s="15" t="n">
        <f aca="false">J148*(1+IF(K$3&lt;=$O$2,$D148,$D148-($D148-$I$130)*MIN(K$3-$O$2,$Q$2)/$Q$2))</f>
        <v>6488.43821523327</v>
      </c>
      <c r="L148" s="15" t="n">
        <f aca="false">K148*(1+IF(L$3&lt;=$O$2,$D148,$D148-($D148-$I$130)*MIN(L$3-$O$2,$Q$2)/$Q$2))</f>
        <v>6669.58988172373</v>
      </c>
      <c r="M148" s="15" t="n">
        <f aca="false">L148*(1+IF(M$3&lt;=$O$2,$D148,$D148-($D148-$I$130)*MIN(M$3-$O$2,$Q$2)/$Q$2))</f>
        <v>6873.74318658866</v>
      </c>
      <c r="N148" s="15" t="n">
        <f aca="false">M148*(1+IF(N$3&lt;=$O$2,$D148,$D148-($D148-$I$130)*MIN(N$3-$O$2,$Q$2)/$Q$2))</f>
        <v>7102.63883470206</v>
      </c>
      <c r="O148" s="15" t="n">
        <f aca="false">SUMPRODUCT(E148:N148,1/(1+$F$130)^$E$3:$N$3)*$E$2</f>
        <v>17025.2748341441</v>
      </c>
      <c r="P148" s="15" t="n">
        <f aca="false">N148*$E$2*(1+$I$130)/($F$130-$I$130)/(1+$F$130)^$N$3</f>
        <v>43987.1904045527</v>
      </c>
      <c r="Q148" s="15" t="n">
        <f aca="false">O148+P148</f>
        <v>61012.4652386968</v>
      </c>
      <c r="R148" s="15" t="n">
        <f aca="false">Q148-$G$2+$I$2</f>
        <v>52247.4652386968</v>
      </c>
      <c r="S148" s="40" t="n">
        <f aca="false">R148/$K$2</f>
        <v>93.4692927093935</v>
      </c>
      <c r="T148" s="41" t="n">
        <f aca="false">S148-$M$2</f>
        <v>-0.00453461895460805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0.0198478698730469</v>
      </c>
      <c r="C149" s="25" t="n">
        <f aca="false">IF(T148&gt;0,D148,C148)</f>
        <v>0.0198593139648438</v>
      </c>
      <c r="D149" s="39" t="n">
        <f aca="false">(B149+C149)/2</f>
        <v>0.0198535919189453</v>
      </c>
      <c r="E149" s="15" t="n">
        <f aca="false">$C$2*(1+IF(E$3&lt;=$O$2,$D149,$D149-($D149-$I$130)*MIN(E$3-$O$2,$Q$2)/$Q$2))</f>
        <v>5721.37865066528</v>
      </c>
      <c r="F149" s="15" t="n">
        <f aca="false">E149*(1+IF(F$3&lt;=$O$2,$D149,$D149-($D149-$I$130)*MIN(F$3-$O$2,$Q$2)/$Q$2))</f>
        <v>5834.96856760936</v>
      </c>
      <c r="G149" s="15" t="n">
        <f aca="false">F149*(1+IF(G$3&lt;=$O$2,$D149,$D149-($D149-$I$130)*MIN(G$3-$O$2,$Q$2)/$Q$2))</f>
        <v>5950.81365241055</v>
      </c>
      <c r="H149" s="15" t="n">
        <f aca="false">G149*(1+IF(H$3&lt;=$O$2,$D149,$D149-($D149-$I$130)*MIN(H$3-$O$2,$Q$2)/$Q$2))</f>
        <v>6068.95867825119</v>
      </c>
      <c r="I149" s="15" t="n">
        <f aca="false">H149*(1+IF(I$3&lt;=$O$2,$D149,$D149-($D149-$I$130)*MIN(I$3-$O$2,$Q$2)/$Q$2))</f>
        <v>6189.44930722214</v>
      </c>
      <c r="J149" s="15" t="n">
        <f aca="false">I149*(1+IF(J$3&lt;=$O$2,$D149,$D149-($D149-$I$130)*MIN(J$3-$O$2,$Q$2)/$Q$2))</f>
        <v>6328.9772802071</v>
      </c>
      <c r="K149" s="15" t="n">
        <f aca="false">J149*(1+IF(K$3&lt;=$O$2,$D149,$D149-($D149-$I$130)*MIN(K$3-$O$2,$Q$2)/$Q$2))</f>
        <v>6488.67101689077</v>
      </c>
      <c r="L149" s="15" t="n">
        <f aca="false">K149*(1+IF(L$3&lt;=$O$2,$D149,$D149-($D149-$I$130)*MIN(L$3-$O$2,$Q$2)/$Q$2))</f>
        <v>6669.8440343945</v>
      </c>
      <c r="M149" s="15" t="n">
        <f aca="false">L149*(1+IF(M$3&lt;=$O$2,$D149,$D149-($D149-$I$130)*MIN(M$3-$O$2,$Q$2)/$Q$2))</f>
        <v>6874.01275179515</v>
      </c>
      <c r="N149" s="15" t="n">
        <f aca="false">M149*(1+IF(N$3&lt;=$O$2,$D149,$D149-($D149-$I$130)*MIN(N$3-$O$2,$Q$2)/$Q$2))</f>
        <v>7102.91737642993</v>
      </c>
      <c r="O149" s="15" t="n">
        <f aca="false">SUMPRODUCT(E149:N149,1/(1+$F$130)^$E$3:$N$3)*$E$2</f>
        <v>17025.7096277402</v>
      </c>
      <c r="P149" s="15" t="n">
        <f aca="false">N149*$E$2*(1+$I$130)/($F$130-$I$130)/(1+$F$130)^$N$3</f>
        <v>43988.915434968</v>
      </c>
      <c r="Q149" s="15" t="n">
        <f aca="false">O149+P149</f>
        <v>61014.6250627082</v>
      </c>
      <c r="R149" s="15" t="n">
        <f aca="false">Q149-$G$2+$I$2</f>
        <v>52249.6250627082</v>
      </c>
      <c r="S149" s="40" t="n">
        <f aca="false">R149/$K$2</f>
        <v>93.4731565757419</v>
      </c>
      <c r="T149" s="41" t="n">
        <f aca="false">S149-$M$2</f>
        <v>-0.000670752606225733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0.0198535919189453</v>
      </c>
      <c r="C150" s="25" t="n">
        <f aca="false">IF(T149&gt;0,D149,C149)</f>
        <v>0.0198593139648438</v>
      </c>
      <c r="D150" s="39" t="n">
        <f aca="false">(B150+C150)/2</f>
        <v>0.0198564529418945</v>
      </c>
      <c r="E150" s="15" t="n">
        <f aca="false">$C$2*(1+IF(E$3&lt;=$O$2,$D150,$D150-($D150-$I$130)*MIN(E$3-$O$2,$Q$2)/$Q$2))</f>
        <v>5721.39470100403</v>
      </c>
      <c r="F150" s="15" t="n">
        <f aca="false">E150*(1+IF(F$3&lt;=$O$2,$D150,$D150-($D150-$I$130)*MIN(F$3-$O$2,$Q$2)/$Q$2))</f>
        <v>5835.00130564652</v>
      </c>
      <c r="G150" s="15" t="n">
        <f aca="false">F150*(1+IF(G$3&lt;=$O$2,$D150,$D150-($D150-$I$130)*MIN(G$3-$O$2,$Q$2)/$Q$2))</f>
        <v>5950.86373448798</v>
      </c>
      <c r="H150" s="15" t="n">
        <f aca="false">G150*(1+IF(H$3&lt;=$O$2,$D150,$D150-($D150-$I$130)*MIN(H$3-$O$2,$Q$2)/$Q$2))</f>
        <v>6069.02678019547</v>
      </c>
      <c r="I150" s="15" t="n">
        <f aca="false">H150*(1+IF(I$3&lt;=$O$2,$D150,$D150-($D150-$I$130)*MIN(I$3-$O$2,$Q$2)/$Q$2))</f>
        <v>6189.53612485952</v>
      </c>
      <c r="J150" s="15" t="n">
        <f aca="false">I150*(1+IF(J$3&lt;=$O$2,$D150,$D150-($D150-$I$130)*MIN(J$3-$O$2,$Q$2)/$Q$2))</f>
        <v>6329.08022168743</v>
      </c>
      <c r="K150" s="15" t="n">
        <f aca="false">J150*(1+IF(K$3&lt;=$O$2,$D150,$D150-($D150-$I$130)*MIN(K$3-$O$2,$Q$2)/$Q$2))</f>
        <v>6488.78742039275</v>
      </c>
      <c r="L150" s="15" t="n">
        <f aca="false">K150*(1+IF(L$3&lt;=$O$2,$D150,$D150-($D150-$I$130)*MIN(L$3-$O$2,$Q$2)/$Q$2))</f>
        <v>6669.97111387739</v>
      </c>
      <c r="M150" s="15" t="n">
        <f aca="false">L150*(1+IF(M$3&lt;=$O$2,$D150,$D150-($D150-$I$130)*MIN(M$3-$O$2,$Q$2)/$Q$2))</f>
        <v>6874.14753786039</v>
      </c>
      <c r="N150" s="15" t="n">
        <f aca="false">M150*(1+IF(N$3&lt;=$O$2,$D150,$D150-($D150-$I$130)*MIN(N$3-$O$2,$Q$2)/$Q$2))</f>
        <v>7103.05665087114</v>
      </c>
      <c r="O150" s="15" t="n">
        <f aca="false">SUMPRODUCT(E150:N150,1/(1+$F$130)^$E$3:$N$3)*$E$2</f>
        <v>17025.927028743</v>
      </c>
      <c r="P150" s="15" t="n">
        <f aca="false">N150*$E$2*(1+$I$130)/($F$130-$I$130)/(1+$F$130)^$N$3</f>
        <v>43989.7779723301</v>
      </c>
      <c r="Q150" s="15" t="n">
        <f aca="false">O150+P150</f>
        <v>61015.7050010731</v>
      </c>
      <c r="R150" s="15" t="n">
        <f aca="false">Q150-$G$2+$I$2</f>
        <v>52250.7050010731</v>
      </c>
      <c r="S150" s="40" t="n">
        <f aca="false">R150/$K$2</f>
        <v>93.475088556072</v>
      </c>
      <c r="T150" s="41" t="n">
        <f aca="false">S150-$M$2</f>
        <v>0.00126122772387305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0.0198535919189453</v>
      </c>
      <c r="C151" s="25" t="n">
        <f aca="false">IF(T150&gt;0,D150,C150)</f>
        <v>0.0198564529418945</v>
      </c>
      <c r="D151" s="39" t="n">
        <f aca="false">(B151+C151)/2</f>
        <v>0.0198550224304199</v>
      </c>
      <c r="E151" s="15" t="n">
        <f aca="false">$C$2*(1+IF(E$3&lt;=$O$2,$D151,$D151-($D151-$I$130)*MIN(E$3-$O$2,$Q$2)/$Q$2))</f>
        <v>5721.38667583466</v>
      </c>
      <c r="F151" s="15" t="n">
        <f aca="false">E151*(1+IF(F$3&lt;=$O$2,$D151,$D151-($D151-$I$130)*MIN(F$3-$O$2,$Q$2)/$Q$2))</f>
        <v>5834.98493661646</v>
      </c>
      <c r="G151" s="15" t="n">
        <f aca="false">F151*(1+IF(G$3&lt;=$O$2,$D151,$D151-($D151-$I$130)*MIN(G$3-$O$2,$Q$2)/$Q$2))</f>
        <v>5950.83869341414</v>
      </c>
      <c r="H151" s="15" t="n">
        <f aca="false">G151*(1+IF(H$3&lt;=$O$2,$D151,$D151-($D151-$I$130)*MIN(H$3-$O$2,$Q$2)/$Q$2))</f>
        <v>6068.99272915169</v>
      </c>
      <c r="I151" s="15" t="n">
        <f aca="false">H151*(1+IF(I$3&lt;=$O$2,$D151,$D151-($D151-$I$130)*MIN(I$3-$O$2,$Q$2)/$Q$2))</f>
        <v>6189.49271591905</v>
      </c>
      <c r="J151" s="15" t="n">
        <f aca="false">I151*(1+IF(J$3&lt;=$O$2,$D151,$D151-($D151-$I$130)*MIN(J$3-$O$2,$Q$2)/$Q$2))</f>
        <v>6329.02875077307</v>
      </c>
      <c r="K151" s="15" t="n">
        <f aca="false">J151*(1+IF(K$3&lt;=$O$2,$D151,$D151-($D151-$I$130)*MIN(K$3-$O$2,$Q$2)/$Q$2))</f>
        <v>6488.72921841899</v>
      </c>
      <c r="L151" s="15" t="n">
        <f aca="false">K151*(1+IF(L$3&lt;=$O$2,$D151,$D151-($D151-$I$130)*MIN(L$3-$O$2,$Q$2)/$Q$2))</f>
        <v>6669.90757387365</v>
      </c>
      <c r="M151" s="15" t="n">
        <f aca="false">L151*(1+IF(M$3&lt;=$O$2,$D151,$D151-($D151-$I$130)*MIN(M$3-$O$2,$Q$2)/$Q$2))</f>
        <v>6874.08014453926</v>
      </c>
      <c r="N151" s="15" t="n">
        <f aca="false">M151*(1+IF(N$3&lt;=$O$2,$D151,$D151-($D151-$I$130)*MIN(N$3-$O$2,$Q$2)/$Q$2))</f>
        <v>7102.98701335242</v>
      </c>
      <c r="O151" s="15" t="n">
        <f aca="false">SUMPRODUCT(E151:N151,1/(1+$F$130)^$E$3:$N$3)*$E$2</f>
        <v>17025.8183278912</v>
      </c>
      <c r="P151" s="15" t="n">
        <f aca="false">N151*$E$2*(1+$I$130)/($F$130-$I$130)/(1+$F$130)^$N$3</f>
        <v>43989.3467018028</v>
      </c>
      <c r="Q151" s="15" t="n">
        <f aca="false">O151+P151</f>
        <v>61015.165029694</v>
      </c>
      <c r="R151" s="15" t="n">
        <f aca="false">Q151-$G$2+$I$2</f>
        <v>52250.165029694</v>
      </c>
      <c r="S151" s="40" t="n">
        <f aca="false">R151/$K$2</f>
        <v>93.4741225619772</v>
      </c>
      <c r="T151" s="41" t="n">
        <f aca="false">S151-$M$2</f>
        <v>0.000295233629088898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0.0198535919189453</v>
      </c>
      <c r="C152" s="25" t="n">
        <f aca="false">IF(T151&gt;0,D151,C151)</f>
        <v>0.0198550224304199</v>
      </c>
      <c r="D152" s="39" t="n">
        <f aca="false">(B152+C152)/2</f>
        <v>0.0198543071746826</v>
      </c>
      <c r="E152" s="15" t="n">
        <f aca="false">$C$2*(1+IF(E$3&lt;=$O$2,$D152,$D152-($D152-$I$130)*MIN(E$3-$O$2,$Q$2)/$Q$2))</f>
        <v>5721.38266324997</v>
      </c>
      <c r="F152" s="15" t="n">
        <f aca="false">E152*(1+IF(F$3&lt;=$O$2,$D152,$D152-($D152-$I$130)*MIN(F$3-$O$2,$Q$2)/$Q$2))</f>
        <v>5834.97675211004</v>
      </c>
      <c r="G152" s="15" t="n">
        <f aca="false">F152*(1+IF(G$3&lt;=$O$2,$D152,$D152-($D152-$I$130)*MIN(G$3-$O$2,$Q$2)/$Q$2))</f>
        <v>5950.82617290356</v>
      </c>
      <c r="H152" s="15" t="n">
        <f aca="false">G152*(1+IF(H$3&lt;=$O$2,$D152,$D152-($D152-$I$130)*MIN(H$3-$O$2,$Q$2)/$Q$2))</f>
        <v>6068.97570368353</v>
      </c>
      <c r="I152" s="15" t="n">
        <f aca="false">H152*(1+IF(I$3&lt;=$O$2,$D152,$D152-($D152-$I$130)*MIN(I$3-$O$2,$Q$2)/$Q$2))</f>
        <v>6189.47101154015</v>
      </c>
      <c r="J152" s="15" t="n">
        <f aca="false">I152*(1+IF(J$3&lt;=$O$2,$D152,$D152-($D152-$I$130)*MIN(J$3-$O$2,$Q$2)/$Q$2))</f>
        <v>6329.00301544654</v>
      </c>
      <c r="K152" s="15" t="n">
        <f aca="false">J152*(1+IF(K$3&lt;=$O$2,$D152,$D152-($D152-$I$130)*MIN(K$3-$O$2,$Q$2)/$Q$2))</f>
        <v>6488.70011759919</v>
      </c>
      <c r="L152" s="15" t="n">
        <f aca="false">K152*(1+IF(L$3&lt;=$O$2,$D152,$D152-($D152-$I$130)*MIN(L$3-$O$2,$Q$2)/$Q$2))</f>
        <v>6669.8758040685</v>
      </c>
      <c r="M152" s="15" t="n">
        <f aca="false">L152*(1+IF(M$3&lt;=$O$2,$D152,$D152-($D152-$I$130)*MIN(M$3-$O$2,$Q$2)/$Q$2))</f>
        <v>6874.04644809508</v>
      </c>
      <c r="N152" s="15" t="n">
        <f aca="false">M152*(1+IF(N$3&lt;=$O$2,$D152,$D152-($D152-$I$130)*MIN(N$3-$O$2,$Q$2)/$Q$2))</f>
        <v>7102.95219481665</v>
      </c>
      <c r="O152" s="15" t="n">
        <f aca="false">SUMPRODUCT(E152:N152,1/(1+$F$130)^$E$3:$N$3)*$E$2</f>
        <v>17025.7639777281</v>
      </c>
      <c r="P152" s="15" t="n">
        <f aca="false">N152*$E$2*(1+$I$130)/($F$130-$I$130)/(1+$F$130)^$N$3</f>
        <v>43989.1310679239</v>
      </c>
      <c r="Q152" s="15" t="n">
        <f aca="false">O152+P152</f>
        <v>61014.895045652</v>
      </c>
      <c r="R152" s="15" t="n">
        <f aca="false">Q152-$G$2+$I$2</f>
        <v>52249.895045652</v>
      </c>
      <c r="S152" s="40" t="n">
        <f aca="false">R152/$K$2</f>
        <v>93.4736395678771</v>
      </c>
      <c r="T152" s="41" t="n">
        <f aca="false">S152-$M$2</f>
        <v>-0.000187760470936382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0.0198543071746826</v>
      </c>
      <c r="C153" s="25" t="n">
        <f aca="false">IF(T152&gt;0,D152,C152)</f>
        <v>0.0198550224304199</v>
      </c>
      <c r="D153" s="39" t="n">
        <f aca="false">(B153+C153)/2</f>
        <v>0.0198546648025513</v>
      </c>
      <c r="E153" s="15" t="n">
        <f aca="false">$C$2*(1+IF(E$3&lt;=$O$2,$D153,$D153-($D153-$I$130)*MIN(E$3-$O$2,$Q$2)/$Q$2))</f>
        <v>5721.38466954231</v>
      </c>
      <c r="F153" s="15" t="n">
        <f aca="false">E153*(1+IF(F$3&lt;=$O$2,$D153,$D153-($D153-$I$130)*MIN(F$3-$O$2,$Q$2)/$Q$2))</f>
        <v>5834.98084436253</v>
      </c>
      <c r="G153" s="15" t="n">
        <f aca="false">F153*(1+IF(G$3&lt;=$O$2,$D153,$D153-($D153-$I$130)*MIN(G$3-$O$2,$Q$2)/$Q$2))</f>
        <v>5950.83243315666</v>
      </c>
      <c r="H153" s="15" t="n">
        <f aca="false">G153*(1+IF(H$3&lt;=$O$2,$D153,$D153-($D153-$I$130)*MIN(H$3-$O$2,$Q$2)/$Q$2))</f>
        <v>6068.98421641313</v>
      </c>
      <c r="I153" s="15" t="n">
        <f aca="false">H153*(1+IF(I$3&lt;=$O$2,$D153,$D153-($D153-$I$130)*MIN(I$3-$O$2,$Q$2)/$Q$2))</f>
        <v>6189.48186372199</v>
      </c>
      <c r="J153" s="15" t="n">
        <f aca="false">I153*(1+IF(J$3&lt;=$O$2,$D153,$D153-($D153-$I$130)*MIN(J$3-$O$2,$Q$2)/$Q$2))</f>
        <v>6329.01588309891</v>
      </c>
      <c r="K153" s="15" t="n">
        <f aca="false">J153*(1+IF(K$3&lt;=$O$2,$D153,$D153-($D153-$I$130)*MIN(K$3-$O$2,$Q$2)/$Q$2))</f>
        <v>6488.71466799516</v>
      </c>
      <c r="L153" s="15" t="n">
        <f aca="false">K153*(1+IF(L$3&lt;=$O$2,$D153,$D153-($D153-$I$130)*MIN(L$3-$O$2,$Q$2)/$Q$2))</f>
        <v>6669.89168895468</v>
      </c>
      <c r="M153" s="15" t="n">
        <f aca="false">L153*(1+IF(M$3&lt;=$O$2,$D153,$D153-($D153-$I$130)*MIN(M$3-$O$2,$Q$2)/$Q$2))</f>
        <v>6874.06329629914</v>
      </c>
      <c r="N153" s="15" t="n">
        <f aca="false">M153*(1+IF(N$3&lt;=$O$2,$D153,$D153-($D153-$I$130)*MIN(N$3-$O$2,$Q$2)/$Q$2))</f>
        <v>7102.9696040659</v>
      </c>
      <c r="O153" s="15" t="n">
        <f aca="false">SUMPRODUCT(E153:N153,1/(1+$F$130)^$E$3:$N$3)*$E$2</f>
        <v>17025.7911527877</v>
      </c>
      <c r="P153" s="15" t="n">
        <f aca="false">N153*$E$2*(1+$I$130)/($F$130-$I$130)/(1+$F$130)^$N$3</f>
        <v>43989.238884748</v>
      </c>
      <c r="Q153" s="15" t="n">
        <f aca="false">O153+P153</f>
        <v>61015.0300375357</v>
      </c>
      <c r="R153" s="15" t="n">
        <f aca="false">Q153-$G$2+$I$2</f>
        <v>52250.0300375357</v>
      </c>
      <c r="S153" s="40" t="n">
        <f aca="false">R153/$K$2</f>
        <v>93.4738810646815</v>
      </c>
      <c r="T153" s="41" t="n">
        <f aca="false">S153-$M$2</f>
        <v>5.37363334558449E-005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0.0198543071746826</v>
      </c>
      <c r="C154" s="25" t="n">
        <f aca="false">IF(T153&gt;0,D153,C153)</f>
        <v>0.0198546648025513</v>
      </c>
      <c r="D154" s="39" t="n">
        <f aca="false">(B154+C154)/2</f>
        <v>0.0198544859886169</v>
      </c>
      <c r="E154" s="15" t="n">
        <f aca="false">$C$2*(1+IF(E$3&lt;=$O$2,$D154,$D154-($D154-$I$130)*MIN(E$3-$O$2,$Q$2)/$Q$2))</f>
        <v>5721.38366639614</v>
      </c>
      <c r="F154" s="15" t="n">
        <f aca="false">E154*(1+IF(F$3&lt;=$O$2,$D154,$D154-($D154-$I$130)*MIN(F$3-$O$2,$Q$2)/$Q$2))</f>
        <v>5834.97879823611</v>
      </c>
      <c r="G154" s="15" t="n">
        <f aca="false">F154*(1+IF(G$3&lt;=$O$2,$D154,$D154-($D154-$I$130)*MIN(G$3-$O$2,$Q$2)/$Q$2))</f>
        <v>5950.82930302956</v>
      </c>
      <c r="H154" s="15" t="n">
        <f aca="false">G154*(1+IF(H$3&lt;=$O$2,$D154,$D154-($D154-$I$130)*MIN(H$3-$O$2,$Q$2)/$Q$2))</f>
        <v>6068.97996004721</v>
      </c>
      <c r="I154" s="15" t="n">
        <f aca="false">H154*(1+IF(I$3&lt;=$O$2,$D154,$D154-($D154-$I$130)*MIN(I$3-$O$2,$Q$2)/$Q$2))</f>
        <v>6189.47643762917</v>
      </c>
      <c r="J154" s="15" t="n">
        <f aca="false">I154*(1+IF(J$3&lt;=$O$2,$D154,$D154-($D154-$I$130)*MIN(J$3-$O$2,$Q$2)/$Q$2))</f>
        <v>6329.00944927</v>
      </c>
      <c r="K154" s="15" t="n">
        <f aca="false">J154*(1+IF(K$3&lt;=$O$2,$D154,$D154-($D154-$I$130)*MIN(K$3-$O$2,$Q$2)/$Q$2))</f>
        <v>6488.70739279369</v>
      </c>
      <c r="L154" s="15" t="n">
        <f aca="false">K154*(1+IF(L$3&lt;=$O$2,$D154,$D154-($D154-$I$130)*MIN(L$3-$O$2,$Q$2)/$Q$2))</f>
        <v>6669.8837465075</v>
      </c>
      <c r="M154" s="15" t="n">
        <f aca="false">L154*(1+IF(M$3&lt;=$O$2,$D154,$D154-($D154-$I$130)*MIN(M$3-$O$2,$Q$2)/$Q$2))</f>
        <v>6874.0548721926</v>
      </c>
      <c r="N154" s="15" t="n">
        <f aca="false">M154*(1+IF(N$3&lt;=$O$2,$D154,$D154-($D154-$I$130)*MIN(N$3-$O$2,$Q$2)/$Q$2))</f>
        <v>7102.96089943662</v>
      </c>
      <c r="O154" s="15" t="n">
        <f aca="false">SUMPRODUCT(E154:N154,1/(1+$F$130)^$E$3:$N$3)*$E$2</f>
        <v>17025.7775652524</v>
      </c>
      <c r="P154" s="15" t="n">
        <f aca="false">N154*$E$2*(1+$I$130)/($F$130-$I$130)/(1+$F$130)^$N$3</f>
        <v>43989.1849763071</v>
      </c>
      <c r="Q154" s="15" t="n">
        <f aca="false">O154+P154</f>
        <v>61014.9625415595</v>
      </c>
      <c r="R154" s="15" t="n">
        <f aca="false">Q154-$G$2+$I$2</f>
        <v>52249.9625415595</v>
      </c>
      <c r="S154" s="40" t="n">
        <f aca="false">R154/$K$2</f>
        <v>93.473760316218</v>
      </c>
      <c r="T154" s="41" t="n">
        <f aca="false">S154-$M$2</f>
        <v>-6.7012130131161E-005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0.0198544859886169</v>
      </c>
      <c r="C155" s="25" t="n">
        <f aca="false">IF(T154&gt;0,D154,C154)</f>
        <v>0.0198546648025513</v>
      </c>
      <c r="D155" s="39" t="n">
        <f aca="false">(B155+C155)/2</f>
        <v>0.0198545753955841</v>
      </c>
      <c r="E155" s="15" t="n">
        <f aca="false">$C$2*(1+IF(E$3&lt;=$O$2,$D155,$D155-($D155-$I$130)*MIN(E$3-$O$2,$Q$2)/$Q$2))</f>
        <v>5721.38416796923</v>
      </c>
      <c r="F155" s="15" t="n">
        <f aca="false">E155*(1+IF(F$3&lt;=$O$2,$D155,$D155-($D155-$I$130)*MIN(F$3-$O$2,$Q$2)/$Q$2))</f>
        <v>5834.97982129927</v>
      </c>
      <c r="G155" s="15" t="n">
        <f aca="false">F155*(1+IF(G$3&lt;=$O$2,$D155,$D155-($D155-$I$130)*MIN(G$3-$O$2,$Q$2)/$Q$2))</f>
        <v>5950.83086809297</v>
      </c>
      <c r="H155" s="15" t="n">
        <f aca="false">G155*(1+IF(H$3&lt;=$O$2,$D155,$D155-($D155-$I$130)*MIN(H$3-$O$2,$Q$2)/$Q$2))</f>
        <v>6068.98208822989</v>
      </c>
      <c r="I155" s="15" t="n">
        <f aca="false">H155*(1+IF(I$3&lt;=$O$2,$D155,$D155-($D155-$I$130)*MIN(I$3-$O$2,$Q$2)/$Q$2))</f>
        <v>6189.4791506751</v>
      </c>
      <c r="J155" s="15" t="n">
        <f aca="false">I155*(1+IF(J$3&lt;=$O$2,$D155,$D155-($D155-$I$130)*MIN(J$3-$O$2,$Q$2)/$Q$2))</f>
        <v>6329.01266618378</v>
      </c>
      <c r="K155" s="15" t="n">
        <f aca="false">J155*(1+IF(K$3&lt;=$O$2,$D155,$D155-($D155-$I$130)*MIN(K$3-$O$2,$Q$2)/$Q$2))</f>
        <v>6488.71103039356</v>
      </c>
      <c r="L155" s="15" t="n">
        <f aca="false">K155*(1+IF(L$3&lt;=$O$2,$D155,$D155-($D155-$I$130)*MIN(L$3-$O$2,$Q$2)/$Q$2))</f>
        <v>6669.88771773006</v>
      </c>
      <c r="M155" s="15" t="n">
        <f aca="false">L155*(1+IF(M$3&lt;=$O$2,$D155,$D155-($D155-$I$130)*MIN(M$3-$O$2,$Q$2)/$Q$2))</f>
        <v>6874.05908424474</v>
      </c>
      <c r="N155" s="15" t="n">
        <f aca="false">M155*(1+IF(N$3&lt;=$O$2,$D155,$D155-($D155-$I$130)*MIN(N$3-$O$2,$Q$2)/$Q$2))</f>
        <v>7102.96525175009</v>
      </c>
      <c r="O155" s="15" t="n">
        <f aca="false">SUMPRODUCT(E155:N155,1/(1+$F$130)^$E$3:$N$3)*$E$2</f>
        <v>17025.7843590187</v>
      </c>
      <c r="P155" s="15" t="n">
        <f aca="false">N155*$E$2*(1+$I$130)/($F$130-$I$130)/(1+$F$130)^$N$3</f>
        <v>43989.2119305203</v>
      </c>
      <c r="Q155" s="15" t="n">
        <f aca="false">O155+P155</f>
        <v>61014.996289539</v>
      </c>
      <c r="R155" s="15" t="n">
        <f aca="false">Q155-$G$2+$I$2</f>
        <v>52249.996289539</v>
      </c>
      <c r="S155" s="40" t="n">
        <f aca="false">R155/$K$2</f>
        <v>93.4738206904344</v>
      </c>
      <c r="T155" s="41" t="n">
        <f aca="false">S155-$M$2</f>
        <v>-6.63791369959199E-006</v>
      </c>
    </row>
    <row r="157" customFormat="false" ht="15" hidden="false" customHeight="false" outlineLevel="0" collapsed="false">
      <c r="A157" s="36" t="s">
        <v>191</v>
      </c>
      <c r="E157" s="5" t="s">
        <v>11</v>
      </c>
      <c r="F157" s="12" t="n">
        <f aca="false">Sensitivity!$B$10</f>
        <v>0.0667360315529091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6" t="s">
        <v>167</v>
      </c>
      <c r="B158" s="28" t="s">
        <v>168</v>
      </c>
      <c r="C158" s="28" t="s">
        <v>169</v>
      </c>
      <c r="D158" s="28" t="s">
        <v>170</v>
      </c>
      <c r="E158" s="28" t="s">
        <v>171</v>
      </c>
      <c r="F158" s="28" t="s">
        <v>172</v>
      </c>
      <c r="G158" s="28" t="s">
        <v>173</v>
      </c>
      <c r="H158" s="28" t="s">
        <v>174</v>
      </c>
      <c r="I158" s="28" t="s">
        <v>175</v>
      </c>
      <c r="J158" s="28" t="s">
        <v>176</v>
      </c>
      <c r="K158" s="28" t="s">
        <v>177</v>
      </c>
      <c r="L158" s="28" t="s">
        <v>178</v>
      </c>
      <c r="M158" s="28" t="s">
        <v>179</v>
      </c>
      <c r="N158" s="28" t="s">
        <v>180</v>
      </c>
      <c r="O158" s="28" t="s">
        <v>181</v>
      </c>
      <c r="P158" s="28" t="s">
        <v>182</v>
      </c>
      <c r="Q158" s="28" t="s">
        <v>183</v>
      </c>
      <c r="R158" s="28" t="s">
        <v>184</v>
      </c>
      <c r="S158" s="28" t="s">
        <v>185</v>
      </c>
      <c r="T158" s="28" t="s">
        <v>186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39" t="n">
        <f aca="false">(B159+C159)/2</f>
        <v>0.25</v>
      </c>
      <c r="E159" s="15" t="n">
        <f aca="false">$C$2*(1+IF(E$3&lt;=$O$2,$D159,$D159-($D159-$I$157)*MIN(E$3-$O$2,$Q$2)/$Q$2))</f>
        <v>7012.5</v>
      </c>
      <c r="F159" s="15" t="n">
        <f aca="false">E159*(1+IF(F$3&lt;=$O$2,$D159,$D159-($D159-$I$157)*MIN(F$3-$O$2,$Q$2)/$Q$2))</f>
        <v>8765.625</v>
      </c>
      <c r="G159" s="15" t="n">
        <f aca="false">F159*(1+IF(G$3&lt;=$O$2,$D159,$D159-($D159-$I$157)*MIN(G$3-$O$2,$Q$2)/$Q$2))</f>
        <v>10957.03125</v>
      </c>
      <c r="H159" s="15" t="n">
        <f aca="false">G159*(1+IF(H$3&lt;=$O$2,$D159,$D159-($D159-$I$157)*MIN(H$3-$O$2,$Q$2)/$Q$2))</f>
        <v>13696.2890625</v>
      </c>
      <c r="I159" s="15" t="n">
        <f aca="false">H159*(1+IF(I$3&lt;=$O$2,$D159,$D159-($D159-$I$157)*MIN(I$3-$O$2,$Q$2)/$Q$2))</f>
        <v>17120.361328125</v>
      </c>
      <c r="J159" s="15" t="n">
        <f aca="false">I159*(1+IF(J$3&lt;=$O$2,$D159,$D159-($D159-$I$157)*MIN(J$3-$O$2,$Q$2)/$Q$2))</f>
        <v>20675.5755615234</v>
      </c>
      <c r="K159" s="15" t="n">
        <f aca="false">J159*(1+IF(K$3&lt;=$O$2,$D159,$D159-($D159-$I$157)*MIN(K$3-$O$2,$Q$2)/$Q$2))</f>
        <v>24093.6617133545</v>
      </c>
      <c r="L159" s="15" t="n">
        <f aca="false">K159*(1+IF(L$3&lt;=$O$2,$D159,$D159-($D159-$I$157)*MIN(L$3-$O$2,$Q$2)/$Q$2))</f>
        <v>27056.7002308628</v>
      </c>
      <c r="M159" s="15" t="n">
        <f aca="false">L159*(1+IF(M$3&lt;=$O$2,$D159,$D159-($D159-$I$157)*MIN(M$3-$O$2,$Q$2)/$Q$2))</f>
        <v>29238.5525374796</v>
      </c>
      <c r="N159" s="15" t="n">
        <f aca="false">M159*(1+IF(N$3&lt;=$O$2,$D159,$D159-($D159-$I$157)*MIN(N$3-$O$2,$Q$2)/$Q$2))</f>
        <v>30358.3890996651</v>
      </c>
      <c r="O159" s="15" t="n">
        <f aca="false">SUMPRODUCT(E159:N159,1/(1+$F$157)^$E$3:$N$3)*$E$2</f>
        <v>47423.7326980729</v>
      </c>
      <c r="P159" s="15" t="n">
        <f aca="false">N159*$E$2*(1+$I$157)/($F$157-$I$157)/(1+$F$157)^$N$3</f>
        <v>222140.312297574</v>
      </c>
      <c r="Q159" s="15" t="n">
        <f aca="false">O159+P159</f>
        <v>269564.044995647</v>
      </c>
      <c r="R159" s="15" t="n">
        <f aca="false">Q159-$G$2+$I$2</f>
        <v>260799.044995647</v>
      </c>
      <c r="S159" s="40" t="n">
        <f aca="false">R159/$K$2</f>
        <v>466.56239041763</v>
      </c>
      <c r="T159" s="41" t="n">
        <f aca="false">S159-$M$2</f>
        <v>373.088563089282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39" t="n">
        <f aca="false">(B160+C160)/2</f>
        <v>-0.125</v>
      </c>
      <c r="E160" s="15" t="n">
        <f aca="false">$C$2*(1+IF(E$3&lt;=$O$2,$D160,$D160-($D160-$I$157)*MIN(E$3-$O$2,$Q$2)/$Q$2))</f>
        <v>4908.75</v>
      </c>
      <c r="F160" s="15" t="n">
        <f aca="false">E160*(1+IF(F$3&lt;=$O$2,$D160,$D160-($D160-$I$157)*MIN(F$3-$O$2,$Q$2)/$Q$2))</f>
        <v>4295.15625</v>
      </c>
      <c r="G160" s="15" t="n">
        <f aca="false">F160*(1+IF(G$3&lt;=$O$2,$D160,$D160-($D160-$I$157)*MIN(G$3-$O$2,$Q$2)/$Q$2))</f>
        <v>3758.26171875</v>
      </c>
      <c r="H160" s="15" t="n">
        <f aca="false">G160*(1+IF(H$3&lt;=$O$2,$D160,$D160-($D160-$I$157)*MIN(H$3-$O$2,$Q$2)/$Q$2))</f>
        <v>3288.47900390625</v>
      </c>
      <c r="I160" s="15" t="n">
        <f aca="false">H160*(1+IF(I$3&lt;=$O$2,$D160,$D160-($D160-$I$157)*MIN(I$3-$O$2,$Q$2)/$Q$2))</f>
        <v>2877.41912841797</v>
      </c>
      <c r="J160" s="15" t="n">
        <f aca="false">I160*(1+IF(J$3&lt;=$O$2,$D160,$D160-($D160-$I$157)*MIN(J$3-$O$2,$Q$2)/$Q$2))</f>
        <v>2611.71824609985</v>
      </c>
      <c r="K160" s="15" t="n">
        <f aca="false">J160*(1+IF(K$3&lt;=$O$2,$D160,$D160-($D160-$I$157)*MIN(K$3-$O$2,$Q$2)/$Q$2))</f>
        <v>2455.85090117261</v>
      </c>
      <c r="L160" s="15" t="n">
        <f aca="false">K160*(1+IF(L$3&lt;=$O$2,$D160,$D160-($D160-$I$157)*MIN(L$3-$O$2,$Q$2)/$Q$2))</f>
        <v>2389.49380982293</v>
      </c>
      <c r="M160" s="15" t="n">
        <f aca="false">L160*(1+IF(M$3&lt;=$O$2,$D160,$D160-($D160-$I$157)*MIN(M$3-$O$2,$Q$2)/$Q$2))</f>
        <v>2402.97055491033</v>
      </c>
      <c r="N160" s="15" t="n">
        <f aca="false">M160*(1+IF(N$3&lt;=$O$2,$D160,$D160-($D160-$I$157)*MIN(N$3-$O$2,$Q$2)/$Q$2))</f>
        <v>2495.0043271634</v>
      </c>
      <c r="O160" s="15" t="n">
        <f aca="false">SUMPRODUCT(E160:N160,1/(1+$F$157)^$E$3:$N$3)*$E$2</f>
        <v>8987.69695857245</v>
      </c>
      <c r="P160" s="15" t="n">
        <f aca="false">N160*$E$2*(1+$I$157)/($F$157-$I$157)/(1+$F$157)^$N$3</f>
        <v>18256.6024369847</v>
      </c>
      <c r="Q160" s="15" t="n">
        <f aca="false">O160+P160</f>
        <v>27244.2993955572</v>
      </c>
      <c r="R160" s="15" t="n">
        <f aca="false">Q160-$G$2+$I$2</f>
        <v>18479.2993955572</v>
      </c>
      <c r="S160" s="40" t="n">
        <f aca="false">R160/$K$2</f>
        <v>33.0589634612279</v>
      </c>
      <c r="T160" s="41" t="n">
        <f aca="false">S160-$M$2</f>
        <v>-60.4148638671202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39" t="n">
        <f aca="false">(B161+C161)/2</f>
        <v>0.0625</v>
      </c>
      <c r="E161" s="15" t="n">
        <f aca="false">$C$2*(1+IF(E$3&lt;=$O$2,$D161,$D161-($D161-$I$157)*MIN(E$3-$O$2,$Q$2)/$Q$2))</f>
        <v>5960.625</v>
      </c>
      <c r="F161" s="15" t="n">
        <f aca="false">E161*(1+IF(F$3&lt;=$O$2,$D161,$D161-($D161-$I$157)*MIN(F$3-$O$2,$Q$2)/$Q$2))</f>
        <v>6333.1640625</v>
      </c>
      <c r="G161" s="15" t="n">
        <f aca="false">F161*(1+IF(G$3&lt;=$O$2,$D161,$D161-($D161-$I$157)*MIN(G$3-$O$2,$Q$2)/$Q$2))</f>
        <v>6728.98681640625</v>
      </c>
      <c r="H161" s="15" t="n">
        <f aca="false">G161*(1+IF(H$3&lt;=$O$2,$D161,$D161-($D161-$I$157)*MIN(H$3-$O$2,$Q$2)/$Q$2))</f>
        <v>7149.54849243164</v>
      </c>
      <c r="I161" s="15" t="n">
        <f aca="false">H161*(1+IF(I$3&lt;=$O$2,$D161,$D161-($D161-$I$157)*MIN(I$3-$O$2,$Q$2)/$Q$2))</f>
        <v>7596.39527320862</v>
      </c>
      <c r="J161" s="15" t="n">
        <f aca="false">I161*(1+IF(J$3&lt;=$O$2,$D161,$D161-($D161-$I$157)*MIN(J$3-$O$2,$Q$2)/$Q$2))</f>
        <v>8034.40342466183</v>
      </c>
      <c r="K161" s="15" t="n">
        <f aca="false">J161*(1+IF(K$3&lt;=$O$2,$D161,$D161-($D161-$I$157)*MIN(K$3-$O$2,$Q$2)/$Q$2))</f>
        <v>8458.78061355247</v>
      </c>
      <c r="L161" s="15" t="n">
        <f aca="false">K161*(1+IF(L$3&lt;=$O$2,$D161,$D161-($D161-$I$157)*MIN(L$3-$O$2,$Q$2)/$Q$2))</f>
        <v>8864.63290739071</v>
      </c>
      <c r="M161" s="15" t="n">
        <f aca="false">L161*(1+IF(M$3&lt;=$O$2,$D161,$D161-($D161-$I$157)*MIN(M$3-$O$2,$Q$2)/$Q$2))</f>
        <v>9247.05317101555</v>
      </c>
      <c r="N161" s="15" t="n">
        <f aca="false">M161*(1+IF(N$3&lt;=$O$2,$D161,$D161-($D161-$I$157)*MIN(N$3-$O$2,$Q$2)/$Q$2))</f>
        <v>9601.21530746544</v>
      </c>
      <c r="O161" s="15" t="n">
        <f aca="false">SUMPRODUCT(E161:N161,1/(1+$F$157)^$E$3:$N$3)*$E$2</f>
        <v>20662.7390874155</v>
      </c>
      <c r="P161" s="15" t="n">
        <f aca="false">N161*$E$2*(1+$I$157)/($F$157-$I$157)/(1+$F$157)^$N$3</f>
        <v>70254.6159427199</v>
      </c>
      <c r="Q161" s="15" t="n">
        <f aca="false">O161+P161</f>
        <v>90917.3550301354</v>
      </c>
      <c r="R161" s="15" t="n">
        <f aca="false">Q161-$G$2+$I$2</f>
        <v>82152.3550301354</v>
      </c>
      <c r="S161" s="40" t="n">
        <f aca="false">R161/$K$2</f>
        <v>146.968326290986</v>
      </c>
      <c r="T161" s="41" t="n">
        <f aca="false">S161-$M$2</f>
        <v>53.4944989626379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39" t="n">
        <f aca="false">(B162+C162)/2</f>
        <v>-0.03125</v>
      </c>
      <c r="E162" s="15" t="n">
        <f aca="false">$C$2*(1+IF(E$3&lt;=$O$2,$D162,$D162-($D162-$I$157)*MIN(E$3-$O$2,$Q$2)/$Q$2))</f>
        <v>5434.6875</v>
      </c>
      <c r="F162" s="15" t="n">
        <f aca="false">E162*(1+IF(F$3&lt;=$O$2,$D162,$D162-($D162-$I$157)*MIN(F$3-$O$2,$Q$2)/$Q$2))</f>
        <v>5264.853515625</v>
      </c>
      <c r="G162" s="15" t="n">
        <f aca="false">F162*(1+IF(G$3&lt;=$O$2,$D162,$D162-($D162-$I$157)*MIN(G$3-$O$2,$Q$2)/$Q$2))</f>
        <v>5100.32684326172</v>
      </c>
      <c r="H162" s="15" t="n">
        <f aca="false">G162*(1+IF(H$3&lt;=$O$2,$D162,$D162-($D162-$I$157)*MIN(H$3-$O$2,$Q$2)/$Q$2))</f>
        <v>4940.94162940979</v>
      </c>
      <c r="I162" s="15" t="n">
        <f aca="false">H162*(1+IF(I$3&lt;=$O$2,$D162,$D162-($D162-$I$157)*MIN(I$3-$O$2,$Q$2)/$Q$2))</f>
        <v>4786.53720349073</v>
      </c>
      <c r="J162" s="15" t="n">
        <f aca="false">I162*(1+IF(J$3&lt;=$O$2,$D162,$D162-($D162-$I$157)*MIN(J$3-$O$2,$Q$2)/$Q$2))</f>
        <v>4703.53864838221</v>
      </c>
      <c r="K162" s="15" t="n">
        <f aca="false">J162*(1+IF(K$3&lt;=$O$2,$D162,$D162-($D162-$I$157)*MIN(K$3-$O$2,$Q$2)/$Q$2))</f>
        <v>4687.40551081825</v>
      </c>
      <c r="L162" s="15" t="n">
        <f aca="false">K162*(1+IF(L$3&lt;=$O$2,$D162,$D162-($D162-$I$157)*MIN(L$3-$O$2,$Q$2)/$Q$2))</f>
        <v>4736.52952057163</v>
      </c>
      <c r="M162" s="15" t="n">
        <f aca="false">L162*(1+IF(M$3&lt;=$O$2,$D162,$D162-($D162-$I$157)*MIN(M$3-$O$2,$Q$2)/$Q$2))</f>
        <v>4852.05347557837</v>
      </c>
      <c r="N162" s="15" t="n">
        <f aca="false">M162*(1+IF(N$3&lt;=$O$2,$D162,$D162-($D162-$I$157)*MIN(N$3-$O$2,$Q$2)/$Q$2))</f>
        <v>5037.88712369302</v>
      </c>
      <c r="O162" s="15" t="n">
        <f aca="false">SUMPRODUCT(E162:N162,1/(1+$F$157)^$E$3:$N$3)*$E$2</f>
        <v>13595.1757424869</v>
      </c>
      <c r="P162" s="15" t="n">
        <f aca="false">N162*$E$2*(1+$I$157)/($F$157-$I$157)/(1+$F$157)^$N$3</f>
        <v>36863.5442184725</v>
      </c>
      <c r="Q162" s="15" t="n">
        <f aca="false">O162+P162</f>
        <v>50458.7199609593</v>
      </c>
      <c r="R162" s="15" t="n">
        <f aca="false">Q162-$G$2+$I$2</f>
        <v>41693.7199609593</v>
      </c>
      <c r="S162" s="40" t="n">
        <f aca="false">R162/$K$2</f>
        <v>74.5889297666452</v>
      </c>
      <c r="T162" s="41" t="n">
        <f aca="false">S162-$M$2</f>
        <v>-18.8848975617029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-0.03125</v>
      </c>
      <c r="C163" s="25" t="n">
        <f aca="false">IF(T162&gt;0,D162,C162)</f>
        <v>0.0625</v>
      </c>
      <c r="D163" s="39" t="n">
        <f aca="false">(B163+C163)/2</f>
        <v>0.015625</v>
      </c>
      <c r="E163" s="15" t="n">
        <f aca="false">$C$2*(1+IF(E$3&lt;=$O$2,$D163,$D163-($D163-$I$157)*MIN(E$3-$O$2,$Q$2)/$Q$2))</f>
        <v>5697.65625</v>
      </c>
      <c r="F163" s="15" t="n">
        <f aca="false">E163*(1+IF(F$3&lt;=$O$2,$D163,$D163-($D163-$I$157)*MIN(F$3-$O$2,$Q$2)/$Q$2))</f>
        <v>5786.68212890625</v>
      </c>
      <c r="G163" s="15" t="n">
        <f aca="false">F163*(1+IF(G$3&lt;=$O$2,$D163,$D163-($D163-$I$157)*MIN(G$3-$O$2,$Q$2)/$Q$2))</f>
        <v>5877.09903717041</v>
      </c>
      <c r="H163" s="15" t="n">
        <f aca="false">G163*(1+IF(H$3&lt;=$O$2,$D163,$D163-($D163-$I$157)*MIN(H$3-$O$2,$Q$2)/$Q$2))</f>
        <v>5968.9287096262</v>
      </c>
      <c r="I163" s="15" t="n">
        <f aca="false">H163*(1+IF(I$3&lt;=$O$2,$D163,$D163-($D163-$I$157)*MIN(I$3-$O$2,$Q$2)/$Q$2))</f>
        <v>6062.19322071411</v>
      </c>
      <c r="J163" s="15" t="n">
        <f aca="false">I163*(1+IF(J$3&lt;=$O$2,$D163,$D163-($D163-$I$157)*MIN(J$3-$O$2,$Q$2)/$Q$2))</f>
        <v>6184.4070360437</v>
      </c>
      <c r="K163" s="15" t="n">
        <f aca="false">J163*(1+IF(K$3&lt;=$O$2,$D163,$D163-($D163-$I$157)*MIN(K$3-$O$2,$Q$2)/$Q$2))</f>
        <v>6337.1309677988</v>
      </c>
      <c r="L163" s="15" t="n">
        <f aca="false">K163*(1+IF(L$3&lt;=$O$2,$D163,$D163-($D163-$I$157)*MIN(L$3-$O$2,$Q$2)/$Q$2))</f>
        <v>6522.36530598756</v>
      </c>
      <c r="M163" s="15" t="n">
        <f aca="false">L163*(1+IF(M$3&lt;=$O$2,$D163,$D163-($D163-$I$157)*MIN(M$3-$O$2,$Q$2)/$Q$2))</f>
        <v>6742.59297054423</v>
      </c>
      <c r="N163" s="15" t="n">
        <f aca="false">M163*(1+IF(N$3&lt;=$O$2,$D163,$D163-($D163-$I$157)*MIN(N$3-$O$2,$Q$2)/$Q$2))</f>
        <v>7000.83428131608</v>
      </c>
      <c r="O163" s="15" t="n">
        <f aca="false">SUMPRODUCT(E163:N163,1/(1+$F$157)^$E$3:$N$3)*$E$2</f>
        <v>16756.4402578662</v>
      </c>
      <c r="P163" s="15" t="n">
        <f aca="false">N163*$E$2*(1+$I$157)/($F$157-$I$157)/(1+$F$157)^$N$3</f>
        <v>51226.9445025419</v>
      </c>
      <c r="Q163" s="15" t="n">
        <f aca="false">O163+P163</f>
        <v>67983.3847604081</v>
      </c>
      <c r="R163" s="15" t="n">
        <f aca="false">Q163-$G$2+$I$2</f>
        <v>59218.3847604081</v>
      </c>
      <c r="S163" s="40" t="n">
        <f aca="false">R163/$K$2</f>
        <v>105.940077928384</v>
      </c>
      <c r="T163" s="41" t="n">
        <f aca="false">S163-$M$2</f>
        <v>12.4662506000359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-0.03125</v>
      </c>
      <c r="C164" s="25" t="n">
        <f aca="false">IF(T163&gt;0,D163,C163)</f>
        <v>0.015625</v>
      </c>
      <c r="D164" s="39" t="n">
        <f aca="false">(B164+C164)/2</f>
        <v>-0.0078125</v>
      </c>
      <c r="E164" s="15" t="n">
        <f aca="false">$C$2*(1+IF(E$3&lt;=$O$2,$D164,$D164-($D164-$I$157)*MIN(E$3-$O$2,$Q$2)/$Q$2))</f>
        <v>5566.171875</v>
      </c>
      <c r="F164" s="15" t="n">
        <f aca="false">E164*(1+IF(F$3&lt;=$O$2,$D164,$D164-($D164-$I$157)*MIN(F$3-$O$2,$Q$2)/$Q$2))</f>
        <v>5522.68615722656</v>
      </c>
      <c r="G164" s="15" t="n">
        <f aca="false">F164*(1+IF(G$3&lt;=$O$2,$D164,$D164-($D164-$I$157)*MIN(G$3-$O$2,$Q$2)/$Q$2))</f>
        <v>5479.54017162323</v>
      </c>
      <c r="H164" s="15" t="n">
        <f aca="false">G164*(1+IF(H$3&lt;=$O$2,$D164,$D164-($D164-$I$157)*MIN(H$3-$O$2,$Q$2)/$Q$2))</f>
        <v>5436.73126403242</v>
      </c>
      <c r="I164" s="15" t="n">
        <f aca="false">H164*(1+IF(I$3&lt;=$O$2,$D164,$D164-($D164-$I$157)*MIN(I$3-$O$2,$Q$2)/$Q$2))</f>
        <v>5394.25680103217</v>
      </c>
      <c r="J164" s="15" t="n">
        <f aca="false">I164*(1+IF(J$3&lt;=$O$2,$D164,$D164-($D164-$I$157)*MIN(J$3-$O$2,$Q$2)/$Q$2))</f>
        <v>5401.86270312163</v>
      </c>
      <c r="K164" s="15" t="n">
        <f aca="false">J164*(1+IF(K$3&lt;=$O$2,$D164,$D164-($D164-$I$157)*MIN(K$3-$O$2,$Q$2)/$Q$2))</f>
        <v>5459.29800831257</v>
      </c>
      <c r="L164" s="15" t="n">
        <f aca="false">K164*(1+IF(L$3&lt;=$O$2,$D164,$D164-($D164-$I$157)*MIN(L$3-$O$2,$Q$2)/$Q$2))</f>
        <v>5567.69237026761</v>
      </c>
      <c r="M164" s="15" t="n">
        <f aca="false">L164*(1+IF(M$3&lt;=$O$2,$D164,$D164-($D164-$I$157)*MIN(M$3-$O$2,$Q$2)/$Q$2))</f>
        <v>5729.58694516407</v>
      </c>
      <c r="N164" s="15" t="n">
        <f aca="false">M164*(1+IF(N$3&lt;=$O$2,$D164,$D164-($D164-$I$157)*MIN(N$3-$O$2,$Q$2)/$Q$2))</f>
        <v>5949.03012516385</v>
      </c>
      <c r="O164" s="15" t="n">
        <f aca="false">SUMPRODUCT(E164:N164,1/(1+$F$157)^$E$3:$N$3)*$E$2</f>
        <v>15091.7042279563</v>
      </c>
      <c r="P164" s="15" t="n">
        <f aca="false">N164*$E$2*(1+$I$157)/($F$157-$I$157)/(1+$F$157)^$N$3</f>
        <v>43530.6170407492</v>
      </c>
      <c r="Q164" s="15" t="n">
        <f aca="false">O164+P164</f>
        <v>58622.3212687055</v>
      </c>
      <c r="R164" s="15" t="n">
        <f aca="false">Q164-$G$2+$I$2</f>
        <v>49857.3212687055</v>
      </c>
      <c r="S164" s="40" t="n">
        <f aca="false">R164/$K$2</f>
        <v>89.1933902263149</v>
      </c>
      <c r="T164" s="41" t="n">
        <f aca="false">S164-$M$2</f>
        <v>-4.2804371020332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-0.0078125</v>
      </c>
      <c r="C165" s="25" t="n">
        <f aca="false">IF(T164&gt;0,D164,C164)</f>
        <v>0.015625</v>
      </c>
      <c r="D165" s="39" t="n">
        <f aca="false">(B165+C165)/2</f>
        <v>0.00390625</v>
      </c>
      <c r="E165" s="15" t="n">
        <f aca="false">$C$2*(1+IF(E$3&lt;=$O$2,$D165,$D165-($D165-$I$157)*MIN(E$3-$O$2,$Q$2)/$Q$2))</f>
        <v>5631.9140625</v>
      </c>
      <c r="F165" s="15" t="n">
        <f aca="false">E165*(1+IF(F$3&lt;=$O$2,$D165,$D165-($D165-$I$157)*MIN(F$3-$O$2,$Q$2)/$Q$2))</f>
        <v>5653.91372680664</v>
      </c>
      <c r="G165" s="15" t="n">
        <f aca="false">F165*(1+IF(G$3&lt;=$O$2,$D165,$D165-($D165-$I$157)*MIN(G$3-$O$2,$Q$2)/$Q$2))</f>
        <v>5675.99932730198</v>
      </c>
      <c r="H165" s="15" t="n">
        <f aca="false">G165*(1+IF(H$3&lt;=$O$2,$D165,$D165-($D165-$I$157)*MIN(H$3-$O$2,$Q$2)/$Q$2))</f>
        <v>5698.17119967425</v>
      </c>
      <c r="I165" s="15" t="n">
        <f aca="false">H165*(1+IF(I$3&lt;=$O$2,$D165,$D165-($D165-$I$157)*MIN(I$3-$O$2,$Q$2)/$Q$2))</f>
        <v>5720.42968092298</v>
      </c>
      <c r="J165" s="15" t="n">
        <f aca="false">I165*(1+IF(J$3&lt;=$O$2,$D165,$D165-($D165-$I$157)*MIN(J$3-$O$2,$Q$2)/$Q$2))</f>
        <v>5782.12451503173</v>
      </c>
      <c r="K165" s="15" t="n">
        <f aca="false">J165*(1+IF(K$3&lt;=$O$2,$D165,$D165-($D165-$I$157)*MIN(K$3-$O$2,$Q$2)/$Q$2))</f>
        <v>5884.25851693413</v>
      </c>
      <c r="L165" s="15" t="n">
        <f aca="false">K165*(1+IF(L$3&lt;=$O$2,$D165,$D165-($D165-$I$157)*MIN(L$3-$O$2,$Q$2)/$Q$2))</f>
        <v>6028.67293158598</v>
      </c>
      <c r="M165" s="15" t="n">
        <f aca="false">L165*(1+IF(M$3&lt;=$O$2,$D165,$D165-($D165-$I$157)*MIN(M$3-$O$2,$Q$2)/$Q$2))</f>
        <v>6218.10137093758</v>
      </c>
      <c r="N165" s="15" t="n">
        <f aca="false">M165*(1+IF(N$3&lt;=$O$2,$D165,$D165-($D165-$I$157)*MIN(N$3-$O$2,$Q$2)/$Q$2))</f>
        <v>6456.25465344449</v>
      </c>
      <c r="O165" s="15" t="n">
        <f aca="false">SUMPRODUCT(E165:N165,1/(1+$F$157)^$E$3:$N$3)*$E$2</f>
        <v>15901.97886669</v>
      </c>
      <c r="P165" s="15" t="n">
        <f aca="false">N165*$E$2*(1+$I$157)/($F$157-$I$157)/(1+$F$157)^$N$3</f>
        <v>47242.1122306733</v>
      </c>
      <c r="Q165" s="15" t="n">
        <f aca="false">O165+P165</f>
        <v>63144.0910973633</v>
      </c>
      <c r="R165" s="15" t="n">
        <f aca="false">Q165-$G$2+$I$2</f>
        <v>54379.0910973633</v>
      </c>
      <c r="S165" s="40" t="n">
        <f aca="false">R165/$K$2</f>
        <v>97.282713330286</v>
      </c>
      <c r="T165" s="41" t="n">
        <f aca="false">S165-$M$2</f>
        <v>3.80888600193788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-0.0078125</v>
      </c>
      <c r="C166" s="25" t="n">
        <f aca="false">IF(T165&gt;0,D165,C165)</f>
        <v>0.00390625</v>
      </c>
      <c r="D166" s="39" t="n">
        <f aca="false">(B166+C166)/2</f>
        <v>-0.001953125</v>
      </c>
      <c r="E166" s="15" t="n">
        <f aca="false">$C$2*(1+IF(E$3&lt;=$O$2,$D166,$D166-($D166-$I$157)*MIN(E$3-$O$2,$Q$2)/$Q$2))</f>
        <v>5599.04296875</v>
      </c>
      <c r="F166" s="15" t="n">
        <f aca="false">E166*(1+IF(F$3&lt;=$O$2,$D166,$D166-($D166-$I$157)*MIN(F$3-$O$2,$Q$2)/$Q$2))</f>
        <v>5588.10733795166</v>
      </c>
      <c r="G166" s="15" t="n">
        <f aca="false">F166*(1+IF(G$3&lt;=$O$2,$D166,$D166-($D166-$I$157)*MIN(G$3-$O$2,$Q$2)/$Q$2))</f>
        <v>5577.19306580722</v>
      </c>
      <c r="H166" s="15" t="n">
        <f aca="false">G166*(1+IF(H$3&lt;=$O$2,$D166,$D166-($D166-$I$157)*MIN(H$3-$O$2,$Q$2)/$Q$2))</f>
        <v>5566.30011060057</v>
      </c>
      <c r="I166" s="15" t="n">
        <f aca="false">H166*(1+IF(I$3&lt;=$O$2,$D166,$D166-($D166-$I$157)*MIN(I$3-$O$2,$Q$2)/$Q$2))</f>
        <v>5555.42843069705</v>
      </c>
      <c r="J166" s="15" t="n">
        <f aca="false">I166*(1+IF(J$3&lt;=$O$2,$D166,$D166-($D166-$I$157)*MIN(J$3-$O$2,$Q$2)/$Q$2))</f>
        <v>5589.30265555323</v>
      </c>
      <c r="K166" s="15" t="n">
        <f aca="false">J166*(1+IF(K$3&lt;=$O$2,$D166,$D166-($D166-$I$157)*MIN(K$3-$O$2,$Q$2)/$Q$2))</f>
        <v>5668.38080818683</v>
      </c>
      <c r="L166" s="15" t="n">
        <f aca="false">K166*(1+IF(L$3&lt;=$O$2,$D166,$D166-($D166-$I$157)*MIN(L$3-$O$2,$Q$2)/$Q$2))</f>
        <v>5794.21177665256</v>
      </c>
      <c r="M166" s="15" t="n">
        <f aca="false">L166*(1+IF(M$3&lt;=$O$2,$D166,$D166-($D166-$I$157)*MIN(M$3-$O$2,$Q$2)/$Q$2))</f>
        <v>5969.48306151394</v>
      </c>
      <c r="N166" s="15" t="n">
        <f aca="false">M166*(1+IF(N$3&lt;=$O$2,$D166,$D166-($D166-$I$157)*MIN(N$3-$O$2,$Q$2)/$Q$2))</f>
        <v>6198.11426276993</v>
      </c>
      <c r="O166" s="15" t="n">
        <f aca="false">SUMPRODUCT(E166:N166,1/(1+$F$157)^$E$3:$N$3)*$E$2</f>
        <v>15491.4552812737</v>
      </c>
      <c r="P166" s="15" t="n">
        <f aca="false">N166*$E$2*(1+$I$157)/($F$157-$I$157)/(1+$F$157)^$N$3</f>
        <v>45353.2311437088</v>
      </c>
      <c r="Q166" s="15" t="n">
        <f aca="false">O166+P166</f>
        <v>60844.6864249825</v>
      </c>
      <c r="R166" s="15" t="n">
        <f aca="false">Q166-$G$2+$I$2</f>
        <v>52079.6864249825</v>
      </c>
      <c r="S166" s="40" t="n">
        <f aca="false">R166/$K$2</f>
        <v>93.169140979968</v>
      </c>
      <c r="T166" s="41" t="n">
        <f aca="false">S166-$M$2</f>
        <v>-0.30468634838013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-0.001953125</v>
      </c>
      <c r="C167" s="25" t="n">
        <f aca="false">IF(T166&gt;0,D166,C166)</f>
        <v>0.00390625</v>
      </c>
      <c r="D167" s="39" t="n">
        <f aca="false">(B167+C167)/2</f>
        <v>0.0009765625</v>
      </c>
      <c r="E167" s="15" t="n">
        <f aca="false">$C$2*(1+IF(E$3&lt;=$O$2,$D167,$D167-($D167-$I$157)*MIN(E$3-$O$2,$Q$2)/$Q$2))</f>
        <v>5615.478515625</v>
      </c>
      <c r="F167" s="15" t="n">
        <f aca="false">E167*(1+IF(F$3&lt;=$O$2,$D167,$D167-($D167-$I$157)*MIN(F$3-$O$2,$Q$2)/$Q$2))</f>
        <v>5620.96238136292</v>
      </c>
      <c r="G167" s="15" t="n">
        <f aca="false">F167*(1+IF(G$3&lt;=$O$2,$D167,$D167-($D167-$I$157)*MIN(G$3-$O$2,$Q$2)/$Q$2))</f>
        <v>5626.45160243847</v>
      </c>
      <c r="H167" s="15" t="n">
        <f aca="false">G167*(1+IF(H$3&lt;=$O$2,$D167,$D167-($D167-$I$157)*MIN(H$3-$O$2,$Q$2)/$Q$2))</f>
        <v>5631.94618408147</v>
      </c>
      <c r="I167" s="15" t="n">
        <f aca="false">H167*(1+IF(I$3&lt;=$O$2,$D167,$D167-($D167-$I$157)*MIN(I$3-$O$2,$Q$2)/$Q$2))</f>
        <v>5637.44613152686</v>
      </c>
      <c r="J167" s="15" t="n">
        <f aca="false">I167*(1+IF(J$3&lt;=$O$2,$D167,$D167-($D167-$I$157)*MIN(J$3-$O$2,$Q$2)/$Q$2))</f>
        <v>5685.03322368461</v>
      </c>
      <c r="K167" s="15" t="n">
        <f aca="false">J167*(1+IF(K$3&lt;=$O$2,$D167,$D167-($D167-$I$157)*MIN(K$3-$O$2,$Q$2)/$Q$2))</f>
        <v>5775.45900682596</v>
      </c>
      <c r="L167" s="15" t="n">
        <f aca="false">K167*(1+IF(L$3&lt;=$O$2,$D167,$D167-($D167-$I$157)*MIN(L$3-$O$2,$Q$2)/$Q$2))</f>
        <v>5910.43509347737</v>
      </c>
      <c r="M167" s="15" t="n">
        <f aca="false">L167*(1+IF(M$3&lt;=$O$2,$D167,$D167-($D167-$I$157)*MIN(M$3-$O$2,$Q$2)/$Q$2))</f>
        <v>6092.68520659571</v>
      </c>
      <c r="N167" s="15" t="n">
        <f aca="false">M167*(1+IF(N$3&lt;=$O$2,$D167,$D167-($D167-$I$157)*MIN(N$3-$O$2,$Q$2)/$Q$2))</f>
        <v>6326.03505000832</v>
      </c>
      <c r="O167" s="15" t="n">
        <f aca="false">SUMPRODUCT(E167:N167,1/(1+$F$157)^$E$3:$N$3)*$E$2</f>
        <v>15695.3536052979</v>
      </c>
      <c r="P167" s="15" t="n">
        <f aca="false">N167*$E$2*(1+$I$157)/($F$157-$I$157)/(1+$F$157)^$N$3</f>
        <v>46289.2611660265</v>
      </c>
      <c r="Q167" s="15" t="n">
        <f aca="false">O167+P167</f>
        <v>61984.6147713244</v>
      </c>
      <c r="R167" s="15" t="n">
        <f aca="false">Q167-$G$2+$I$2</f>
        <v>53219.6147713244</v>
      </c>
      <c r="S167" s="40" t="n">
        <f aca="false">R167/$K$2</f>
        <v>95.2084417534159</v>
      </c>
      <c r="T167" s="41" t="n">
        <f aca="false">S167-$M$2</f>
        <v>1.73461442506783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-0.001953125</v>
      </c>
      <c r="C168" s="25" t="n">
        <f aca="false">IF(T167&gt;0,D167,C167)</f>
        <v>0.0009765625</v>
      </c>
      <c r="D168" s="39" t="n">
        <f aca="false">(B168+C168)/2</f>
        <v>-0.00048828125</v>
      </c>
      <c r="E168" s="15" t="n">
        <f aca="false">$C$2*(1+IF(E$3&lt;=$O$2,$D168,$D168-($D168-$I$157)*MIN(E$3-$O$2,$Q$2)/$Q$2))</f>
        <v>5607.2607421875</v>
      </c>
      <c r="F168" s="15" t="n">
        <f aca="false">E168*(1+IF(F$3&lt;=$O$2,$D168,$D168-($D168-$I$157)*MIN(F$3-$O$2,$Q$2)/$Q$2))</f>
        <v>5604.52282190323</v>
      </c>
      <c r="G168" s="15" t="n">
        <f aca="false">F168*(1+IF(G$3&lt;=$O$2,$D168,$D168-($D168-$I$157)*MIN(G$3-$O$2,$Q$2)/$Q$2))</f>
        <v>5601.7862384941</v>
      </c>
      <c r="H168" s="15" t="n">
        <f aca="false">G168*(1+IF(H$3&lt;=$O$2,$D168,$D168-($D168-$I$157)*MIN(H$3-$O$2,$Q$2)/$Q$2))</f>
        <v>5599.05099130733</v>
      </c>
      <c r="I168" s="15" t="n">
        <f aca="false">H168*(1+IF(I$3&lt;=$O$2,$D168,$D168-($D168-$I$157)*MIN(I$3-$O$2,$Q$2)/$Q$2))</f>
        <v>5596.31707969048</v>
      </c>
      <c r="J168" s="15" t="n">
        <f aca="false">I168*(1+IF(J$3&lt;=$O$2,$D168,$D168-($D168-$I$157)*MIN(J$3-$O$2,$Q$2)/$Q$2))</f>
        <v>5636.99880716166</v>
      </c>
      <c r="K168" s="15" t="n">
        <f aca="false">J168*(1+IF(K$3&lt;=$O$2,$D168,$D168-($D168-$I$157)*MIN(K$3-$O$2,$Q$2)/$Q$2))</f>
        <v>5721.70616439309</v>
      </c>
      <c r="L168" s="15" t="n">
        <f aca="false">K168*(1+IF(L$3&lt;=$O$2,$D168,$D168-($D168-$I$157)*MIN(L$3-$O$2,$Q$2)/$Q$2))</f>
        <v>5852.07345131561</v>
      </c>
      <c r="M168" s="15" t="n">
        <f aca="false">L168*(1+IF(M$3&lt;=$O$2,$D168,$D168-($D168-$I$157)*MIN(M$3-$O$2,$Q$2)/$Q$2))</f>
        <v>6030.80949031594</v>
      </c>
      <c r="N168" s="15" t="n">
        <f aca="false">M168*(1+IF(N$3&lt;=$O$2,$D168,$D168-($D168-$I$157)*MIN(N$3-$O$2,$Q$2)/$Q$2))</f>
        <v>6261.78949379504</v>
      </c>
      <c r="O168" s="15" t="n">
        <f aca="false">SUMPRODUCT(E168:N168,1/(1+$F$157)^$E$3:$N$3)*$E$2</f>
        <v>15593.0657032793</v>
      </c>
      <c r="P168" s="15" t="n">
        <f aca="false">N168*$E$2*(1+$I$157)/($F$157-$I$157)/(1+$F$157)^$N$3</f>
        <v>45819.159545216</v>
      </c>
      <c r="Q168" s="15" t="n">
        <f aca="false">O168+P168</f>
        <v>61412.2252484953</v>
      </c>
      <c r="R168" s="15" t="n">
        <f aca="false">Q168-$G$2+$I$2</f>
        <v>52647.2252484953</v>
      </c>
      <c r="S168" s="40" t="n">
        <f aca="false">R168/$K$2</f>
        <v>94.1844524821912</v>
      </c>
      <c r="T168" s="41" t="n">
        <f aca="false">S168-$M$2</f>
        <v>0.710625153843154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-0.001953125</v>
      </c>
      <c r="C169" s="25" t="n">
        <f aca="false">IF(T168&gt;0,D168,C168)</f>
        <v>-0.00048828125</v>
      </c>
      <c r="D169" s="39" t="n">
        <f aca="false">(B169+C169)/2</f>
        <v>-0.001220703125</v>
      </c>
      <c r="E169" s="15" t="n">
        <f aca="false">$C$2*(1+IF(E$3&lt;=$O$2,$D169,$D169-($D169-$I$157)*MIN(E$3-$O$2,$Q$2)/$Q$2))</f>
        <v>5603.15185546875</v>
      </c>
      <c r="F169" s="15" t="n">
        <f aca="false">E169*(1+IF(F$3&lt;=$O$2,$D169,$D169-($D169-$I$157)*MIN(F$3-$O$2,$Q$2)/$Q$2))</f>
        <v>5596.31207048893</v>
      </c>
      <c r="G169" s="15" t="n">
        <f aca="false">F169*(1+IF(G$3&lt;=$O$2,$D169,$D169-($D169-$I$157)*MIN(G$3-$O$2,$Q$2)/$Q$2))</f>
        <v>5589.48063485601</v>
      </c>
      <c r="H169" s="15" t="n">
        <f aca="false">G169*(1+IF(H$3&lt;=$O$2,$D169,$D169-($D169-$I$157)*MIN(H$3-$O$2,$Q$2)/$Q$2))</f>
        <v>5582.65753837791</v>
      </c>
      <c r="I169" s="15" t="n">
        <f aca="false">H169*(1+IF(I$3&lt;=$O$2,$D169,$D169-($D169-$I$157)*MIN(I$3-$O$2,$Q$2)/$Q$2))</f>
        <v>5575.84277087501</v>
      </c>
      <c r="J169" s="15" t="n">
        <f aca="false">I169*(1+IF(J$3&lt;=$O$2,$D169,$D169-($D169-$I$157)*MIN(J$3-$O$2,$Q$2)/$Q$2))</f>
        <v>5613.10856754398</v>
      </c>
      <c r="K169" s="15" t="n">
        <f aca="false">J169*(1+IF(K$3&lt;=$O$2,$D169,$D169-($D169-$I$157)*MIN(K$3-$O$2,$Q$2)/$Q$2))</f>
        <v>5694.99022729714</v>
      </c>
      <c r="L169" s="15" t="n">
        <f aca="false">K169*(1+IF(L$3&lt;=$O$2,$D169,$D169-($D169-$I$157)*MIN(L$3-$O$2,$Q$2)/$Q$2))</f>
        <v>5823.0803457735</v>
      </c>
      <c r="M169" s="15" t="n">
        <f aca="false">L169*(1+IF(M$3&lt;=$O$2,$D169,$D169-($D169-$I$157)*MIN(M$3-$O$2,$Q$2)/$Q$2))</f>
        <v>6000.07787709296</v>
      </c>
      <c r="N169" s="15" t="n">
        <f aca="false">M169*(1+IF(N$3&lt;=$O$2,$D169,$D169-($D169-$I$157)*MIN(N$3-$O$2,$Q$2)/$Q$2))</f>
        <v>6229.88085978562</v>
      </c>
      <c r="O169" s="15" t="n">
        <f aca="false">SUMPRODUCT(E169:N169,1/(1+$F$157)^$E$3:$N$3)*$E$2</f>
        <v>15542.1760719059</v>
      </c>
      <c r="P169" s="15" t="n">
        <f aca="false">N169*$E$2*(1+$I$157)/($F$157-$I$157)/(1+$F$157)^$N$3</f>
        <v>45585.6756834547</v>
      </c>
      <c r="Q169" s="15" t="n">
        <f aca="false">O169+P169</f>
        <v>61127.8517553606</v>
      </c>
      <c r="R169" s="15" t="n">
        <f aca="false">Q169-$G$2+$I$2</f>
        <v>52362.8517553606</v>
      </c>
      <c r="S169" s="40" t="n">
        <f aca="false">R169/$K$2</f>
        <v>93.6757160459419</v>
      </c>
      <c r="T169" s="41" t="n">
        <f aca="false">S169-$M$2</f>
        <v>0.201888717593818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-0.001953125</v>
      </c>
      <c r="C170" s="25" t="n">
        <f aca="false">IF(T169&gt;0,D169,C169)</f>
        <v>-0.001220703125</v>
      </c>
      <c r="D170" s="39" t="n">
        <f aca="false">(B170+C170)/2</f>
        <v>-0.0015869140625</v>
      </c>
      <c r="E170" s="15" t="n">
        <f aca="false">$C$2*(1+IF(E$3&lt;=$O$2,$D170,$D170-($D170-$I$157)*MIN(E$3-$O$2,$Q$2)/$Q$2))</f>
        <v>5601.09741210938</v>
      </c>
      <c r="F170" s="15" t="n">
        <f aca="false">E170*(1+IF(F$3&lt;=$O$2,$D170,$D170-($D170-$I$157)*MIN(F$3-$O$2,$Q$2)/$Q$2))</f>
        <v>5592.20895186067</v>
      </c>
      <c r="G170" s="15" t="n">
        <f aca="false">F170*(1+IF(G$3&lt;=$O$2,$D170,$D170-($D170-$I$157)*MIN(G$3-$O$2,$Q$2)/$Q$2))</f>
        <v>5583.33459683452</v>
      </c>
      <c r="H170" s="15" t="n">
        <f aca="false">G170*(1+IF(H$3&lt;=$O$2,$D170,$D170-($D170-$I$157)*MIN(H$3-$O$2,$Q$2)/$Q$2))</f>
        <v>5574.47432464716</v>
      </c>
      <c r="I170" s="15" t="n">
        <f aca="false">H170*(1+IF(I$3&lt;=$O$2,$D170,$D170-($D170-$I$157)*MIN(I$3-$O$2,$Q$2)/$Q$2))</f>
        <v>5565.62811295033</v>
      </c>
      <c r="J170" s="15" t="n">
        <f aca="false">I170*(1+IF(J$3&lt;=$O$2,$D170,$D170-($D170-$I$157)*MIN(J$3-$O$2,$Q$2)/$Q$2))</f>
        <v>5601.19508548026</v>
      </c>
      <c r="K170" s="15" t="n">
        <f aca="false">J170*(1+IF(K$3&lt;=$O$2,$D170,$D170-($D170-$I$157)*MIN(K$3-$O$2,$Q$2)/$Q$2))</f>
        <v>5681.67222504105</v>
      </c>
      <c r="L170" s="15" t="n">
        <f aca="false">K170*(1+IF(L$3&lt;=$O$2,$D170,$D170-($D170-$I$157)*MIN(L$3-$O$2,$Q$2)/$Q$2))</f>
        <v>5808.63052255152</v>
      </c>
      <c r="M170" s="15" t="n">
        <f aca="false">L170*(1+IF(M$3&lt;=$O$2,$D170,$D170-($D170-$I$157)*MIN(M$3-$O$2,$Q$2)/$Q$2))</f>
        <v>5984.76340227048</v>
      </c>
      <c r="N170" s="15" t="n">
        <f aca="false">M170*(1+IF(N$3&lt;=$O$2,$D170,$D170-($D170-$I$157)*MIN(N$3-$O$2,$Q$2)/$Q$2))</f>
        <v>6213.97984057744</v>
      </c>
      <c r="O170" s="15" t="n">
        <f aca="false">SUMPRODUCT(E170:N170,1/(1+$F$157)^$E$3:$N$3)*$E$2</f>
        <v>15516.7946044973</v>
      </c>
      <c r="P170" s="15" t="n">
        <f aca="false">N170*$E$2*(1+$I$157)/($F$157-$I$157)/(1+$F$157)^$N$3</f>
        <v>45469.3237465598</v>
      </c>
      <c r="Q170" s="15" t="n">
        <f aca="false">O170+P170</f>
        <v>60986.1183510571</v>
      </c>
      <c r="R170" s="15" t="n">
        <f aca="false">Q170-$G$2+$I$2</f>
        <v>52221.1183510571</v>
      </c>
      <c r="S170" s="40" t="n">
        <f aca="false">R170/$K$2</f>
        <v>93.4221588447835</v>
      </c>
      <c r="T170" s="41" t="n">
        <f aca="false">S170-$M$2</f>
        <v>-0.0516684835646259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-0.0015869140625</v>
      </c>
      <c r="C171" s="25" t="n">
        <f aca="false">IF(T170&gt;0,D170,C170)</f>
        <v>-0.001220703125</v>
      </c>
      <c r="D171" s="39" t="n">
        <f aca="false">(B171+C171)/2</f>
        <v>-0.00140380859375</v>
      </c>
      <c r="E171" s="15" t="n">
        <f aca="false">$C$2*(1+IF(E$3&lt;=$O$2,$D171,$D171-($D171-$I$157)*MIN(E$3-$O$2,$Q$2)/$Q$2))</f>
        <v>5602.12463378906</v>
      </c>
      <c r="F171" s="15" t="n">
        <f aca="false">E171*(1+IF(F$3&lt;=$O$2,$D171,$D171-($D171-$I$157)*MIN(F$3-$O$2,$Q$2)/$Q$2))</f>
        <v>5594.26032308489</v>
      </c>
      <c r="G171" s="15" t="n">
        <f aca="false">F171*(1+IF(G$3&lt;=$O$2,$D171,$D171-($D171-$I$157)*MIN(G$3-$O$2,$Q$2)/$Q$2))</f>
        <v>5586.40705236767</v>
      </c>
      <c r="H171" s="15" t="n">
        <f aca="false">G171*(1+IF(H$3&lt;=$O$2,$D171,$D171-($D171-$I$157)*MIN(H$3-$O$2,$Q$2)/$Q$2))</f>
        <v>5578.56480613937</v>
      </c>
      <c r="I171" s="15" t="n">
        <f aca="false">H171*(1+IF(I$3&lt;=$O$2,$D171,$D171-($D171-$I$157)*MIN(I$3-$O$2,$Q$2)/$Q$2))</f>
        <v>5570.73356892372</v>
      </c>
      <c r="J171" s="15" t="n">
        <f aca="false">I171*(1+IF(J$3&lt;=$O$2,$D171,$D171-($D171-$I$157)*MIN(J$3-$O$2,$Q$2)/$Q$2))</f>
        <v>5607.14919313564</v>
      </c>
      <c r="K171" s="15" t="n">
        <f aca="false">J171*(1+IF(K$3&lt;=$O$2,$D171,$D171-($D171-$I$157)*MIN(K$3-$O$2,$Q$2)/$Q$2))</f>
        <v>5688.32790024022</v>
      </c>
      <c r="L171" s="15" t="n">
        <f aca="false">K171*(1+IF(L$3&lt;=$O$2,$D171,$D171-($D171-$I$157)*MIN(L$3-$O$2,$Q$2)/$Q$2))</f>
        <v>5815.85154595157</v>
      </c>
      <c r="M171" s="15" t="n">
        <f aca="false">L171*(1+IF(M$3&lt;=$O$2,$D171,$D171-($D171-$I$157)*MIN(M$3-$O$2,$Q$2)/$Q$2))</f>
        <v>5992.41636884349</v>
      </c>
      <c r="N171" s="15" t="n">
        <f aca="false">M171*(1+IF(N$3&lt;=$O$2,$D171,$D171-($D171-$I$157)*MIN(N$3-$O$2,$Q$2)/$Q$2))</f>
        <v>6221.92591577019</v>
      </c>
      <c r="O171" s="15" t="n">
        <f aca="false">SUMPRODUCT(E171:N171,1/(1+$F$157)^$E$3:$N$3)*$E$2</f>
        <v>15529.480066057</v>
      </c>
      <c r="P171" s="15" t="n">
        <f aca="false">N171*$E$2*(1+$I$157)/($F$157-$I$157)/(1+$F$157)^$N$3</f>
        <v>45527.467267254</v>
      </c>
      <c r="Q171" s="15" t="n">
        <f aca="false">O171+P171</f>
        <v>61056.947333311</v>
      </c>
      <c r="R171" s="15" t="n">
        <f aca="false">Q171-$G$2+$I$2</f>
        <v>52291.947333311</v>
      </c>
      <c r="S171" s="40" t="n">
        <f aca="false">R171/$K$2</f>
        <v>93.5488699654924</v>
      </c>
      <c r="T171" s="41" t="n">
        <f aca="false">S171-$M$2</f>
        <v>0.0750426371443353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-0.0015869140625</v>
      </c>
      <c r="C172" s="25" t="n">
        <f aca="false">IF(T171&gt;0,D171,C171)</f>
        <v>-0.00140380859375</v>
      </c>
      <c r="D172" s="39" t="n">
        <f aca="false">(B172+C172)/2</f>
        <v>-0.001495361328125</v>
      </c>
      <c r="E172" s="15" t="n">
        <f aca="false">$C$2*(1+IF(E$3&lt;=$O$2,$D172,$D172-($D172-$I$157)*MIN(E$3-$O$2,$Q$2)/$Q$2))</f>
        <v>5601.61102294922</v>
      </c>
      <c r="F172" s="15" t="n">
        <f aca="false">E172*(1+IF(F$3&lt;=$O$2,$D172,$D172-($D172-$I$157)*MIN(F$3-$O$2,$Q$2)/$Q$2))</f>
        <v>5593.2345904503</v>
      </c>
      <c r="G172" s="15" t="n">
        <f aca="false">F172*(1+IF(G$3&lt;=$O$2,$D172,$D172-($D172-$I$157)*MIN(G$3-$O$2,$Q$2)/$Q$2))</f>
        <v>5584.87068374461</v>
      </c>
      <c r="H172" s="15" t="n">
        <f aca="false">G172*(1+IF(H$3&lt;=$O$2,$D172,$D172-($D172-$I$157)*MIN(H$3-$O$2,$Q$2)/$Q$2))</f>
        <v>5576.51928410156</v>
      </c>
      <c r="I172" s="15" t="n">
        <f aca="false">H172*(1+IF(I$3&lt;=$O$2,$D172,$D172-($D172-$I$157)*MIN(I$3-$O$2,$Q$2)/$Q$2))</f>
        <v>5568.18037281857</v>
      </c>
      <c r="J172" s="15" t="n">
        <f aca="false">I172*(1+IF(J$3&lt;=$O$2,$D172,$D172-($D172-$I$157)*MIN(J$3-$O$2,$Q$2)/$Q$2))</f>
        <v>5604.17148119633</v>
      </c>
      <c r="K172" s="15" t="n">
        <f aca="false">J172*(1+IF(K$3&lt;=$O$2,$D172,$D172-($D172-$I$157)*MIN(K$3-$O$2,$Q$2)/$Q$2))</f>
        <v>5684.99923150276</v>
      </c>
      <c r="L172" s="15" t="n">
        <f aca="false">K172*(1+IF(L$3&lt;=$O$2,$D172,$D172-($D172-$I$157)*MIN(L$3-$O$2,$Q$2)/$Q$2))</f>
        <v>5812.24006264221</v>
      </c>
      <c r="M172" s="15" t="n">
        <f aca="false">L172*(1+IF(M$3&lt;=$O$2,$D172,$D172-($D172-$I$157)*MIN(M$3-$O$2,$Q$2)/$Q$2))</f>
        <v>5988.58881835768</v>
      </c>
      <c r="N172" s="15" t="n">
        <f aca="false">M172*(1+IF(N$3&lt;=$O$2,$D172,$D172-($D172-$I$157)*MIN(N$3-$O$2,$Q$2)/$Q$2))</f>
        <v>6217.95177010078</v>
      </c>
      <c r="O172" s="15" t="n">
        <f aca="false">SUMPRODUCT(E172:N172,1/(1+$F$157)^$E$3:$N$3)*$E$2</f>
        <v>15523.1360177564</v>
      </c>
      <c r="P172" s="15" t="n">
        <f aca="false">N172*$E$2*(1+$I$157)/($F$157-$I$157)/(1+$F$157)^$N$3</f>
        <v>45498.3873988452</v>
      </c>
      <c r="Q172" s="15" t="n">
        <f aca="false">O172+P172</f>
        <v>61021.5234166016</v>
      </c>
      <c r="R172" s="15" t="n">
        <f aca="false">Q172-$G$2+$I$2</f>
        <v>52256.5234166016</v>
      </c>
      <c r="S172" s="40" t="n">
        <f aca="false">R172/$K$2</f>
        <v>93.4854975430276</v>
      </c>
      <c r="T172" s="41" t="n">
        <f aca="false">S172-$M$2</f>
        <v>0.0116702146795546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-0.0015869140625</v>
      </c>
      <c r="C173" s="25" t="n">
        <f aca="false">IF(T172&gt;0,D172,C172)</f>
        <v>-0.001495361328125</v>
      </c>
      <c r="D173" s="39" t="n">
        <f aca="false">(B173+C173)/2</f>
        <v>-0.0015411376953125</v>
      </c>
      <c r="E173" s="15" t="n">
        <f aca="false">$C$2*(1+IF(E$3&lt;=$O$2,$D173,$D173-($D173-$I$157)*MIN(E$3-$O$2,$Q$2)/$Q$2))</f>
        <v>5601.3542175293</v>
      </c>
      <c r="F173" s="15" t="n">
        <f aca="false">E173*(1+IF(F$3&lt;=$O$2,$D173,$D173-($D173-$I$157)*MIN(F$3-$O$2,$Q$2)/$Q$2))</f>
        <v>5592.72175939987</v>
      </c>
      <c r="G173" s="15" t="n">
        <f aca="false">F173*(1+IF(G$3&lt;=$O$2,$D173,$D173-($D173-$I$157)*MIN(G$3-$O$2,$Q$2)/$Q$2))</f>
        <v>5584.10260507706</v>
      </c>
      <c r="H173" s="15" t="n">
        <f aca="false">G173*(1+IF(H$3&lt;=$O$2,$D173,$D173-($D173-$I$157)*MIN(H$3-$O$2,$Q$2)/$Q$2))</f>
        <v>5575.49673405788</v>
      </c>
      <c r="I173" s="15" t="n">
        <f aca="false">H173*(1+IF(I$3&lt;=$O$2,$D173,$D173-($D173-$I$157)*MIN(I$3-$O$2,$Q$2)/$Q$2))</f>
        <v>5566.90412587093</v>
      </c>
      <c r="J173" s="15" t="n">
        <f aca="false">I173*(1+IF(J$3&lt;=$O$2,$D173,$D173-($D173-$I$157)*MIN(J$3-$O$2,$Q$2)/$Q$2))</f>
        <v>5602.68311883945</v>
      </c>
      <c r="K173" s="15" t="n">
        <f aca="false">J173*(1+IF(K$3&lt;=$O$2,$D173,$D173-($D173-$I$157)*MIN(K$3-$O$2,$Q$2)/$Q$2))</f>
        <v>5683.33552053047</v>
      </c>
      <c r="L173" s="15" t="n">
        <f aca="false">K173*(1+IF(L$3&lt;=$O$2,$D173,$D173-($D173-$I$157)*MIN(L$3-$O$2,$Q$2)/$Q$2))</f>
        <v>5810.43504974994</v>
      </c>
      <c r="M173" s="15" t="n">
        <f aca="false">L173*(1+IF(M$3&lt;=$O$2,$D173,$D173-($D173-$I$157)*MIN(M$3-$O$2,$Q$2)/$Q$2))</f>
        <v>5986.67584357801</v>
      </c>
      <c r="N173" s="15" t="n">
        <f aca="false">M173*(1+IF(N$3&lt;=$O$2,$D173,$D173-($D173-$I$157)*MIN(N$3-$O$2,$Q$2)/$Q$2))</f>
        <v>6215.96552838705</v>
      </c>
      <c r="O173" s="15" t="n">
        <f aca="false">SUMPRODUCT(E173:N173,1/(1+$F$157)^$E$3:$N$3)*$E$2</f>
        <v>15519.9649818111</v>
      </c>
      <c r="P173" s="15" t="n">
        <f aca="false">N173*$E$2*(1+$I$157)/($F$157-$I$157)/(1+$F$157)^$N$3</f>
        <v>45483.8535461715</v>
      </c>
      <c r="Q173" s="15" t="n">
        <f aca="false">O173+P173</f>
        <v>61003.8185279825</v>
      </c>
      <c r="R173" s="15" t="n">
        <f aca="false">Q173-$G$2+$I$2</f>
        <v>52238.8185279825</v>
      </c>
      <c r="S173" s="40" t="n">
        <f aca="false">R173/$K$2</f>
        <v>93.4538239793597</v>
      </c>
      <c r="T173" s="41" t="n">
        <f aca="false">S173-$M$2</f>
        <v>-0.0200033489883396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-0.0015411376953125</v>
      </c>
      <c r="C174" s="25" t="n">
        <f aca="false">IF(T173&gt;0,D173,C173)</f>
        <v>-0.001495361328125</v>
      </c>
      <c r="D174" s="39" t="n">
        <f aca="false">(B174+C174)/2</f>
        <v>-0.00151824951171875</v>
      </c>
      <c r="E174" s="15" t="n">
        <f aca="false">$C$2*(1+IF(E$3&lt;=$O$2,$D174,$D174-($D174-$I$157)*MIN(E$3-$O$2,$Q$2)/$Q$2))</f>
        <v>5601.48262023926</v>
      </c>
      <c r="F174" s="15" t="n">
        <f aca="false">E174*(1+IF(F$3&lt;=$O$2,$D174,$D174-($D174-$I$157)*MIN(F$3-$O$2,$Q$2)/$Q$2))</f>
        <v>5592.97817198618</v>
      </c>
      <c r="G174" s="15" t="n">
        <f aca="false">F174*(1+IF(G$3&lt;=$O$2,$D174,$D174-($D174-$I$157)*MIN(G$3-$O$2,$Q$2)/$Q$2))</f>
        <v>5584.48663560751</v>
      </c>
      <c r="H174" s="15" t="n">
        <f aca="false">G174*(1+IF(H$3&lt;=$O$2,$D174,$D174-($D174-$I$157)*MIN(H$3-$O$2,$Q$2)/$Q$2))</f>
        <v>5576.0079914998</v>
      </c>
      <c r="I174" s="15" t="n">
        <f aca="false">H174*(1+IF(I$3&lt;=$O$2,$D174,$D174-($D174-$I$157)*MIN(I$3-$O$2,$Q$2)/$Q$2))</f>
        <v>5567.54222008936</v>
      </c>
      <c r="J174" s="15" t="n">
        <f aca="false">I174*(1+IF(J$3&lt;=$O$2,$D174,$D174-($D174-$I$157)*MIN(J$3-$O$2,$Q$2)/$Q$2))</f>
        <v>5603.42725888955</v>
      </c>
      <c r="K174" s="15" t="n">
        <f aca="false">J174*(1+IF(K$3&lt;=$O$2,$D174,$D174-($D174-$I$157)*MIN(K$3-$O$2,$Q$2)/$Q$2))</f>
        <v>5684.16732407588</v>
      </c>
      <c r="L174" s="15" t="n">
        <f aca="false">K174*(1+IF(L$3&lt;=$O$2,$D174,$D174-($D174-$I$157)*MIN(L$3-$O$2,$Q$2)/$Q$2))</f>
        <v>5811.33749547742</v>
      </c>
      <c r="M174" s="15" t="n">
        <f aca="false">L174*(1+IF(M$3&lt;=$O$2,$D174,$D174-($D174-$I$157)*MIN(M$3-$O$2,$Q$2)/$Q$2))</f>
        <v>5987.63226427586</v>
      </c>
      <c r="N174" s="15" t="n">
        <f aca="false">M174*(1+IF(N$3&lt;=$O$2,$D174,$D174-($D174-$I$157)*MIN(N$3-$O$2,$Q$2)/$Q$2))</f>
        <v>6216.95857999763</v>
      </c>
      <c r="O174" s="15" t="n">
        <f aca="false">SUMPRODUCT(E174:N174,1/(1+$F$157)^$E$3:$N$3)*$E$2</f>
        <v>15521.5504174467</v>
      </c>
      <c r="P174" s="15" t="n">
        <f aca="false">N174*$E$2*(1+$I$157)/($F$157-$I$157)/(1+$F$157)^$N$3</f>
        <v>45491.119965815</v>
      </c>
      <c r="Q174" s="15" t="n">
        <f aca="false">O174+P174</f>
        <v>61012.6703832618</v>
      </c>
      <c r="R174" s="15" t="n">
        <f aca="false">Q174-$G$2+$I$2</f>
        <v>52247.6703832618</v>
      </c>
      <c r="S174" s="40" t="n">
        <f aca="false">R174/$K$2</f>
        <v>93.4696597074345</v>
      </c>
      <c r="T174" s="41" t="n">
        <f aca="false">S174-$M$2</f>
        <v>-0.00416762091353462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-0.00151824951171875</v>
      </c>
      <c r="C175" s="25" t="n">
        <f aca="false">IF(T174&gt;0,D174,C174)</f>
        <v>-0.001495361328125</v>
      </c>
      <c r="D175" s="39" t="n">
        <f aca="false">(B175+C175)/2</f>
        <v>-0.00150680541992188</v>
      </c>
      <c r="E175" s="15" t="n">
        <f aca="false">$C$2*(1+IF(E$3&lt;=$O$2,$D175,$D175-($D175-$I$157)*MIN(E$3-$O$2,$Q$2)/$Q$2))</f>
        <v>5601.54682159424</v>
      </c>
      <c r="F175" s="15" t="n">
        <f aca="false">E175*(1+IF(F$3&lt;=$O$2,$D175,$D175-($D175-$I$157)*MIN(F$3-$O$2,$Q$2)/$Q$2))</f>
        <v>5593.10638048351</v>
      </c>
      <c r="G175" s="15" t="n">
        <f aca="false">F175*(1+IF(G$3&lt;=$O$2,$D175,$D175-($D175-$I$157)*MIN(G$3-$O$2,$Q$2)/$Q$2))</f>
        <v>5584.6786574752</v>
      </c>
      <c r="H175" s="15" t="n">
        <f aca="false">G175*(1+IF(H$3&lt;=$O$2,$D175,$D175-($D175-$I$157)*MIN(H$3-$O$2,$Q$2)/$Q$2))</f>
        <v>5576.2636334056</v>
      </c>
      <c r="I175" s="15" t="n">
        <f aca="false">H175*(1+IF(I$3&lt;=$O$2,$D175,$D175-($D175-$I$157)*MIN(I$3-$O$2,$Q$2)/$Q$2))</f>
        <v>5567.86128913987</v>
      </c>
      <c r="J175" s="15" t="n">
        <f aca="false">I175*(1+IF(J$3&lt;=$O$2,$D175,$D175-($D175-$I$157)*MIN(J$3-$O$2,$Q$2)/$Q$2))</f>
        <v>5603.7993597604</v>
      </c>
      <c r="K175" s="15" t="n">
        <f aca="false">J175*(1+IF(K$3&lt;=$O$2,$D175,$D175-($D175-$I$157)*MIN(K$3-$O$2,$Q$2)/$Q$2))</f>
        <v>5684.58326480346</v>
      </c>
      <c r="L175" s="15" t="n">
        <f aca="false">K175*(1+IF(L$3&lt;=$O$2,$D175,$D175-($D175-$I$157)*MIN(L$3-$O$2,$Q$2)/$Q$2))</f>
        <v>5811.78876387929</v>
      </c>
      <c r="M175" s="15" t="n">
        <f aca="false">L175*(1+IF(M$3&lt;=$O$2,$D175,$D175-($D175-$I$157)*MIN(M$3-$O$2,$Q$2)/$Q$2))</f>
        <v>5988.11052464278</v>
      </c>
      <c r="N175" s="15" t="n">
        <f aca="false">M175*(1+IF(N$3&lt;=$O$2,$D175,$D175-($D175-$I$157)*MIN(N$3-$O$2,$Q$2)/$Q$2))</f>
        <v>6217.4551577366</v>
      </c>
      <c r="O175" s="15" t="n">
        <f aca="false">SUMPRODUCT(E175:N175,1/(1+$F$157)^$E$3:$N$3)*$E$2</f>
        <v>15522.3431970163</v>
      </c>
      <c r="P175" s="15" t="n">
        <f aca="false">N175*$E$2*(1+$I$157)/($F$157-$I$157)/(1+$F$157)^$N$3</f>
        <v>45494.7535556492</v>
      </c>
      <c r="Q175" s="15" t="n">
        <f aca="false">O175+P175</f>
        <v>61017.0967526655</v>
      </c>
      <c r="R175" s="15" t="n">
        <f aca="false">Q175-$G$2+$I$2</f>
        <v>52252.0967526655</v>
      </c>
      <c r="S175" s="40" t="n">
        <f aca="false">R175/$K$2</f>
        <v>93.477578361776</v>
      </c>
      <c r="T175" s="41" t="n">
        <f aca="false">S175-$M$2</f>
        <v>0.00375103342788918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-0.00151824951171875</v>
      </c>
      <c r="C176" s="25" t="n">
        <f aca="false">IF(T175&gt;0,D175,C175)</f>
        <v>-0.00150680541992188</v>
      </c>
      <c r="D176" s="39" t="n">
        <f aca="false">(B176+C176)/2</f>
        <v>-0.00151252746582031</v>
      </c>
      <c r="E176" s="15" t="n">
        <f aca="false">$C$2*(1+IF(E$3&lt;=$O$2,$D176,$D176-($D176-$I$157)*MIN(E$3-$O$2,$Q$2)/$Q$2))</f>
        <v>5601.51472091675</v>
      </c>
      <c r="F176" s="15" t="n">
        <f aca="false">E176*(1+IF(F$3&lt;=$O$2,$D176,$D176-($D176-$I$157)*MIN(F$3-$O$2,$Q$2)/$Q$2))</f>
        <v>5593.04227605117</v>
      </c>
      <c r="G176" s="15" t="n">
        <f aca="false">F176*(1+IF(G$3&lt;=$O$2,$D176,$D176-($D176-$I$157)*MIN(G$3-$O$2,$Q$2)/$Q$2))</f>
        <v>5584.58264599114</v>
      </c>
      <c r="H176" s="15" t="n">
        <f aca="false">G176*(1+IF(H$3&lt;=$O$2,$D176,$D176-($D176-$I$157)*MIN(H$3-$O$2,$Q$2)/$Q$2))</f>
        <v>5576.13581135394</v>
      </c>
      <c r="I176" s="15" t="n">
        <f aca="false">H176*(1+IF(I$3&lt;=$O$2,$D176,$D176-($D176-$I$157)*MIN(I$3-$O$2,$Q$2)/$Q$2))</f>
        <v>5567.70175278612</v>
      </c>
      <c r="J176" s="15" t="n">
        <f aca="false">I176*(1+IF(J$3&lt;=$O$2,$D176,$D176-($D176-$I$157)*MIN(J$3-$O$2,$Q$2)/$Q$2))</f>
        <v>5603.61330675439</v>
      </c>
      <c r="K176" s="15" t="n">
        <f aca="false">J176*(1+IF(K$3&lt;=$O$2,$D176,$D176-($D176-$I$157)*MIN(K$3-$O$2,$Q$2)/$Q$2))</f>
        <v>5684.37529119329</v>
      </c>
      <c r="L176" s="15" t="n">
        <f aca="false">K176*(1+IF(L$3&lt;=$O$2,$D176,$D176-($D176-$I$157)*MIN(L$3-$O$2,$Q$2)/$Q$2))</f>
        <v>5811.56312588333</v>
      </c>
      <c r="M176" s="15" t="n">
        <f aca="false">L176*(1+IF(M$3&lt;=$O$2,$D176,$D176-($D176-$I$157)*MIN(M$3-$O$2,$Q$2)/$Q$2))</f>
        <v>5987.87139029094</v>
      </c>
      <c r="N176" s="15" t="n">
        <f aca="false">M176*(1+IF(N$3&lt;=$O$2,$D176,$D176-($D176-$I$157)*MIN(N$3-$O$2,$Q$2)/$Q$2))</f>
        <v>6217.20686453909</v>
      </c>
      <c r="O176" s="15" t="n">
        <f aca="false">SUMPRODUCT(E176:N176,1/(1+$F$157)^$E$3:$N$3)*$E$2</f>
        <v>15521.9468020853</v>
      </c>
      <c r="P176" s="15" t="n">
        <f aca="false">N176*$E$2*(1+$I$157)/($F$157-$I$157)/(1+$F$157)^$N$3</f>
        <v>45492.9367290629</v>
      </c>
      <c r="Q176" s="15" t="n">
        <f aca="false">O176+P176</f>
        <v>61014.8835311482</v>
      </c>
      <c r="R176" s="15" t="n">
        <f aca="false">Q176-$G$2+$I$2</f>
        <v>52249.8835311482</v>
      </c>
      <c r="S176" s="40" t="n">
        <f aca="false">R176/$K$2</f>
        <v>93.4736189687434</v>
      </c>
      <c r="T176" s="41" t="n">
        <f aca="false">S176-$M$2</f>
        <v>-0.00020835960467025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-0.00151252746582031</v>
      </c>
      <c r="C177" s="25" t="n">
        <f aca="false">IF(T176&gt;0,D176,C176)</f>
        <v>-0.00150680541992188</v>
      </c>
      <c r="D177" s="39" t="n">
        <f aca="false">(B177+C177)/2</f>
        <v>-0.00150966644287109</v>
      </c>
      <c r="E177" s="15" t="n">
        <f aca="false">$C$2*(1+IF(E$3&lt;=$O$2,$D177,$D177-($D177-$I$157)*MIN(E$3-$O$2,$Q$2)/$Q$2))</f>
        <v>5601.53077125549</v>
      </c>
      <c r="F177" s="15" t="n">
        <f aca="false">E177*(1+IF(F$3&lt;=$O$2,$D177,$D177-($D177-$I$157)*MIN(F$3-$O$2,$Q$2)/$Q$2))</f>
        <v>5593.07432822142</v>
      </c>
      <c r="G177" s="15" t="n">
        <f aca="false">F177*(1+IF(G$3&lt;=$O$2,$D177,$D177-($D177-$I$157)*MIN(G$3-$O$2,$Q$2)/$Q$2))</f>
        <v>5584.63065159562</v>
      </c>
      <c r="H177" s="15" t="n">
        <f aca="false">G177*(1+IF(H$3&lt;=$O$2,$D177,$D177-($D177-$I$157)*MIN(H$3-$O$2,$Q$2)/$Q$2))</f>
        <v>5576.19972210508</v>
      </c>
      <c r="I177" s="15" t="n">
        <f aca="false">H177*(1+IF(I$3&lt;=$O$2,$D177,$D177-($D177-$I$157)*MIN(I$3-$O$2,$Q$2)/$Q$2))</f>
        <v>5567.78152050587</v>
      </c>
      <c r="J177" s="15" t="n">
        <f aca="false">I177*(1+IF(J$3&lt;=$O$2,$D177,$D177-($D177-$I$157)*MIN(J$3-$O$2,$Q$2)/$Q$2))</f>
        <v>5603.70633261475</v>
      </c>
      <c r="K177" s="15" t="n">
        <f aca="false">J177*(1+IF(K$3&lt;=$O$2,$D177,$D177-($D177-$I$157)*MIN(K$3-$O$2,$Q$2)/$Q$2))</f>
        <v>5684.47927718677</v>
      </c>
      <c r="L177" s="15" t="n">
        <f aca="false">K177*(1+IF(L$3&lt;=$O$2,$D177,$D177-($D177-$I$157)*MIN(L$3-$O$2,$Q$2)/$Q$2))</f>
        <v>5811.67594393254</v>
      </c>
      <c r="M177" s="15" t="n">
        <f aca="false">L177*(1+IF(M$3&lt;=$O$2,$D177,$D177-($D177-$I$157)*MIN(M$3-$O$2,$Q$2)/$Q$2))</f>
        <v>5987.99095642475</v>
      </c>
      <c r="N177" s="15" t="n">
        <f aca="false">M177*(1+IF(N$3&lt;=$O$2,$D177,$D177-($D177-$I$157)*MIN(N$3-$O$2,$Q$2)/$Q$2))</f>
        <v>6217.33101005582</v>
      </c>
      <c r="O177" s="15" t="n">
        <f aca="false">SUMPRODUCT(E177:N177,1/(1+$F$157)^$E$3:$N$3)*$E$2</f>
        <v>15522.1449982642</v>
      </c>
      <c r="P177" s="15" t="n">
        <f aca="false">N177*$E$2*(1+$I$157)/($F$157-$I$157)/(1+$F$157)^$N$3</f>
        <v>45493.8451344386</v>
      </c>
      <c r="Q177" s="15" t="n">
        <f aca="false">O177+P177</f>
        <v>61015.9901327029</v>
      </c>
      <c r="R177" s="15" t="n">
        <f aca="false">Q177-$G$2+$I$2</f>
        <v>52250.9901327029</v>
      </c>
      <c r="S177" s="40" t="n">
        <f aca="false">R177/$K$2</f>
        <v>93.475598648794</v>
      </c>
      <c r="T177" s="41" t="n">
        <f aca="false">S177-$M$2</f>
        <v>0.00177132044591133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-0.00151252746582031</v>
      </c>
      <c r="C178" s="25" t="n">
        <f aca="false">IF(T177&gt;0,D177,C177)</f>
        <v>-0.00150966644287109</v>
      </c>
      <c r="D178" s="39" t="n">
        <f aca="false">(B178+C178)/2</f>
        <v>-0.0015110969543457</v>
      </c>
      <c r="E178" s="15" t="n">
        <f aca="false">$C$2*(1+IF(E$3&lt;=$O$2,$D178,$D178-($D178-$I$157)*MIN(E$3-$O$2,$Q$2)/$Q$2))</f>
        <v>5601.52274608612</v>
      </c>
      <c r="F178" s="15" t="n">
        <f aca="false">E178*(1+IF(F$3&lt;=$O$2,$D178,$D178-($D178-$I$157)*MIN(F$3-$O$2,$Q$2)/$Q$2))</f>
        <v>5593.05830212481</v>
      </c>
      <c r="G178" s="15" t="n">
        <f aca="false">F178*(1+IF(G$3&lt;=$O$2,$D178,$D178-($D178-$I$157)*MIN(G$3-$O$2,$Q$2)/$Q$2))</f>
        <v>5584.60664875899</v>
      </c>
      <c r="H178" s="15" t="n">
        <f aca="false">G178*(1+IF(H$3&lt;=$O$2,$D178,$D178-($D178-$I$157)*MIN(H$3-$O$2,$Q$2)/$Q$2))</f>
        <v>5576.16776666083</v>
      </c>
      <c r="I178" s="15" t="n">
        <f aca="false">H178*(1+IF(I$3&lt;=$O$2,$D178,$D178-($D178-$I$157)*MIN(I$3-$O$2,$Q$2)/$Q$2))</f>
        <v>5567.74163653171</v>
      </c>
      <c r="J178" s="15" t="n">
        <f aca="false">I178*(1+IF(J$3&lt;=$O$2,$D178,$D178-($D178-$I$157)*MIN(J$3-$O$2,$Q$2)/$Q$2))</f>
        <v>5603.65981952391</v>
      </c>
      <c r="K178" s="15" t="n">
        <f aca="false">J178*(1+IF(K$3&lt;=$O$2,$D178,$D178-($D178-$I$157)*MIN(K$3-$O$2,$Q$2)/$Q$2))</f>
        <v>5684.42728398713</v>
      </c>
      <c r="L178" s="15" t="n">
        <f aca="false">K178*(1+IF(L$3&lt;=$O$2,$D178,$D178-($D178-$I$157)*MIN(L$3-$O$2,$Q$2)/$Q$2))</f>
        <v>5811.61953467074</v>
      </c>
      <c r="M178" s="15" t="n">
        <f aca="false">L178*(1+IF(M$3&lt;=$O$2,$D178,$D178-($D178-$I$157)*MIN(M$3-$O$2,$Q$2)/$Q$2))</f>
        <v>5987.93117309732</v>
      </c>
      <c r="N178" s="15" t="n">
        <f aca="false">M178*(1+IF(N$3&lt;=$O$2,$D178,$D178-($D178-$I$157)*MIN(N$3-$O$2,$Q$2)/$Q$2))</f>
        <v>6217.26893702695</v>
      </c>
      <c r="O178" s="15" t="n">
        <f aca="false">SUMPRODUCT(E178:N178,1/(1+$F$157)^$E$3:$N$3)*$E$2</f>
        <v>15522.0458998531</v>
      </c>
      <c r="P178" s="15" t="n">
        <f aca="false">N178*$E$2*(1+$I$157)/($F$157-$I$157)/(1+$F$157)^$N$3</f>
        <v>45493.3909297714</v>
      </c>
      <c r="Q178" s="15" t="n">
        <f aca="false">O178+P178</f>
        <v>61015.4368296245</v>
      </c>
      <c r="R178" s="15" t="n">
        <f aca="false">Q178-$G$2+$I$2</f>
        <v>52250.4368296245</v>
      </c>
      <c r="S178" s="40" t="n">
        <f aca="false">R178/$K$2</f>
        <v>93.4746088046523</v>
      </c>
      <c r="T178" s="41" t="n">
        <f aca="false">S178-$M$2</f>
        <v>0.000781476304226203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-0.00151252746582031</v>
      </c>
      <c r="C179" s="25" t="n">
        <f aca="false">IF(T178&gt;0,D178,C178)</f>
        <v>-0.0015110969543457</v>
      </c>
      <c r="D179" s="39" t="n">
        <f aca="false">(B179+C179)/2</f>
        <v>-0.00151181221008301</v>
      </c>
      <c r="E179" s="15" t="n">
        <f aca="false">$C$2*(1+IF(E$3&lt;=$O$2,$D179,$D179-($D179-$I$157)*MIN(E$3-$O$2,$Q$2)/$Q$2))</f>
        <v>5601.51873350143</v>
      </c>
      <c r="F179" s="15" t="n">
        <f aca="false">E179*(1+IF(F$3&lt;=$O$2,$D179,$D179-($D179-$I$157)*MIN(F$3-$O$2,$Q$2)/$Q$2))</f>
        <v>5593.05028908512</v>
      </c>
      <c r="G179" s="15" t="n">
        <f aca="false">F179*(1+IF(G$3&lt;=$O$2,$D179,$D179-($D179-$I$157)*MIN(G$3-$O$2,$Q$2)/$Q$2))</f>
        <v>5584.59464736647</v>
      </c>
      <c r="H179" s="15" t="n">
        <f aca="false">G179*(1+IF(H$3&lt;=$O$2,$D179,$D179-($D179-$I$157)*MIN(H$3-$O$2,$Q$2)/$Q$2))</f>
        <v>5576.15178899022</v>
      </c>
      <c r="I179" s="15" t="n">
        <f aca="false">H179*(1+IF(I$3&lt;=$O$2,$D179,$D179-($D179-$I$157)*MIN(I$3-$O$2,$Q$2)/$Q$2))</f>
        <v>5567.72169463035</v>
      </c>
      <c r="J179" s="15" t="n">
        <f aca="false">I179*(1+IF(J$3&lt;=$O$2,$D179,$D179-($D179-$I$157)*MIN(J$3-$O$2,$Q$2)/$Q$2))</f>
        <v>5603.63656309899</v>
      </c>
      <c r="K179" s="15" t="n">
        <f aca="false">J179*(1+IF(K$3&lt;=$O$2,$D179,$D179-($D179-$I$157)*MIN(K$3-$O$2,$Q$2)/$Q$2))</f>
        <v>5684.40128753949</v>
      </c>
      <c r="L179" s="15" t="n">
        <f aca="false">K179*(1+IF(L$3&lt;=$O$2,$D179,$D179-($D179-$I$157)*MIN(L$3-$O$2,$Q$2)/$Q$2))</f>
        <v>5811.59133021774</v>
      </c>
      <c r="M179" s="15" t="n">
        <f aca="false">L179*(1+IF(M$3&lt;=$O$2,$D179,$D179-($D179-$I$157)*MIN(M$3-$O$2,$Q$2)/$Q$2))</f>
        <v>5987.901281629</v>
      </c>
      <c r="N179" s="15" t="n">
        <f aca="false">M179*(1+IF(N$3&lt;=$O$2,$D179,$D179-($D179-$I$157)*MIN(N$3-$O$2,$Q$2)/$Q$2))</f>
        <v>6217.23790071539</v>
      </c>
      <c r="O179" s="15" t="n">
        <f aca="false">SUMPRODUCT(E179:N179,1/(1+$F$157)^$E$3:$N$3)*$E$2</f>
        <v>15521.9963508888</v>
      </c>
      <c r="P179" s="15" t="n">
        <f aca="false">N179*$E$2*(1+$I$157)/($F$157-$I$157)/(1+$F$157)^$N$3</f>
        <v>45493.1638289223</v>
      </c>
      <c r="Q179" s="15" t="n">
        <f aca="false">O179+P179</f>
        <v>61015.1601798111</v>
      </c>
      <c r="R179" s="15" t="n">
        <f aca="false">Q179-$G$2+$I$2</f>
        <v>52250.1601798111</v>
      </c>
      <c r="S179" s="40" t="n">
        <f aca="false">R179/$K$2</f>
        <v>93.4741138856688</v>
      </c>
      <c r="T179" s="41" t="n">
        <f aca="false">S179-$M$2</f>
        <v>0.000286557320677616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-0.00151252746582031</v>
      </c>
      <c r="C180" s="25" t="n">
        <f aca="false">IF(T179&gt;0,D179,C179)</f>
        <v>-0.00151181221008301</v>
      </c>
      <c r="D180" s="39" t="n">
        <f aca="false">(B180+C180)/2</f>
        <v>-0.00151216983795166</v>
      </c>
      <c r="E180" s="15" t="n">
        <f aca="false">$C$2*(1+IF(E$3&lt;=$O$2,$D180,$D180-($D180-$I$157)*MIN(E$3-$O$2,$Q$2)/$Q$2))</f>
        <v>5601.51672720909</v>
      </c>
      <c r="F180" s="15" t="n">
        <f aca="false">E180*(1+IF(F$3&lt;=$O$2,$D180,$D180-($D180-$I$157)*MIN(F$3-$O$2,$Q$2)/$Q$2))</f>
        <v>5593.04628256742</v>
      </c>
      <c r="G180" s="15" t="n">
        <f aca="false">F180*(1+IF(G$3&lt;=$O$2,$D180,$D180-($D180-$I$157)*MIN(G$3-$O$2,$Q$2)/$Q$2))</f>
        <v>5584.58864667666</v>
      </c>
      <c r="H180" s="15" t="n">
        <f aca="false">G180*(1+IF(H$3&lt;=$O$2,$D180,$D180-($D180-$I$157)*MIN(H$3-$O$2,$Q$2)/$Q$2))</f>
        <v>5576.14380016779</v>
      </c>
      <c r="I180" s="15" t="n">
        <f aca="false">H180*(1+IF(I$3&lt;=$O$2,$D180,$D180-($D180-$I$157)*MIN(I$3-$O$2,$Q$2)/$Q$2))</f>
        <v>5567.71172370109</v>
      </c>
      <c r="J180" s="15" t="n">
        <f aca="false">I180*(1+IF(J$3&lt;=$O$2,$D180,$D180-($D180-$I$157)*MIN(J$3-$O$2,$Q$2)/$Q$2))</f>
        <v>5603.62493491665</v>
      </c>
      <c r="K180" s="15" t="n">
        <f aca="false">J180*(1+IF(K$3&lt;=$O$2,$D180,$D180-($D180-$I$157)*MIN(K$3-$O$2,$Q$2)/$Q$2))</f>
        <v>5684.38828935371</v>
      </c>
      <c r="L180" s="15" t="n">
        <f aca="false">K180*(1+IF(L$3&lt;=$O$2,$D180,$D180-($D180-$I$157)*MIN(L$3-$O$2,$Q$2)/$Q$2))</f>
        <v>5811.57722803571</v>
      </c>
      <c r="M180" s="15" t="n">
        <f aca="false">L180*(1+IF(M$3&lt;=$O$2,$D180,$D180-($D180-$I$157)*MIN(M$3-$O$2,$Q$2)/$Q$2))</f>
        <v>5987.88633594369</v>
      </c>
      <c r="N180" s="15" t="n">
        <f aca="false">M180*(1+IF(N$3&lt;=$O$2,$D180,$D180-($D180-$I$157)*MIN(N$3-$O$2,$Q$2)/$Q$2))</f>
        <v>6217.22238261033</v>
      </c>
      <c r="O180" s="15" t="n">
        <f aca="false">SUMPRODUCT(E180:N180,1/(1+$F$157)^$E$3:$N$3)*$E$2</f>
        <v>15521.971576467</v>
      </c>
      <c r="P180" s="15" t="n">
        <f aca="false">N180*$E$2*(1+$I$157)/($F$157-$I$157)/(1+$F$157)^$N$3</f>
        <v>45493.0502788689</v>
      </c>
      <c r="Q180" s="15" t="n">
        <f aca="false">O180+P180</f>
        <v>61015.0218553359</v>
      </c>
      <c r="R180" s="15" t="n">
        <f aca="false">Q180-$G$2+$I$2</f>
        <v>52250.0218553359</v>
      </c>
      <c r="S180" s="40" t="n">
        <f aca="false">R180/$K$2</f>
        <v>93.4738664269488</v>
      </c>
      <c r="T180" s="41" t="n">
        <f aca="false">S180-$M$2</f>
        <v>3.9098600737475E-005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-0.00151252746582031</v>
      </c>
      <c r="C181" s="25" t="n">
        <f aca="false">IF(T180&gt;0,D180,C180)</f>
        <v>-0.00151216983795166</v>
      </c>
      <c r="D181" s="39" t="n">
        <f aca="false">(B181+C181)/2</f>
        <v>-0.00151234865188599</v>
      </c>
      <c r="E181" s="15" t="n">
        <f aca="false">$C$2*(1+IF(E$3&lt;=$O$2,$D181,$D181-($D181-$I$157)*MIN(E$3-$O$2,$Q$2)/$Q$2))</f>
        <v>5601.51572406292</v>
      </c>
      <c r="F181" s="15" t="n">
        <f aca="false">E181*(1+IF(F$3&lt;=$O$2,$D181,$D181-($D181-$I$157)*MIN(F$3-$O$2,$Q$2)/$Q$2))</f>
        <v>5593.04427930912</v>
      </c>
      <c r="G181" s="15" t="n">
        <f aca="false">F181*(1+IF(G$3&lt;=$O$2,$D181,$D181-($D181-$I$157)*MIN(G$3-$O$2,$Q$2)/$Q$2))</f>
        <v>5584.58564633336</v>
      </c>
      <c r="H181" s="15" t="n">
        <f aca="false">G181*(1+IF(H$3&lt;=$O$2,$D181,$D181-($D181-$I$157)*MIN(H$3-$O$2,$Q$2)/$Q$2))</f>
        <v>5576.13980575979</v>
      </c>
      <c r="I181" s="15" t="n">
        <f aca="false">H181*(1+IF(I$3&lt;=$O$2,$D181,$D181-($D181-$I$157)*MIN(I$3-$O$2,$Q$2)/$Q$2))</f>
        <v>5567.70673824182</v>
      </c>
      <c r="J181" s="15" t="n">
        <f aca="false">I181*(1+IF(J$3&lt;=$O$2,$D181,$D181-($D181-$I$157)*MIN(J$3-$O$2,$Q$2)/$Q$2))</f>
        <v>5603.61912083301</v>
      </c>
      <c r="K181" s="15" t="n">
        <f aca="false">J181*(1+IF(K$3&lt;=$O$2,$D181,$D181-($D181-$I$157)*MIN(K$3-$O$2,$Q$2)/$Q$2))</f>
        <v>5684.38179027033</v>
      </c>
      <c r="L181" s="15" t="n">
        <f aca="false">K181*(1+IF(L$3&lt;=$O$2,$D181,$D181-($D181-$I$157)*MIN(L$3-$O$2,$Q$2)/$Q$2))</f>
        <v>5811.57017695581</v>
      </c>
      <c r="M181" s="15" t="n">
        <f aca="false">L181*(1+IF(M$3&lt;=$O$2,$D181,$D181-($D181-$I$157)*MIN(M$3-$O$2,$Q$2)/$Q$2))</f>
        <v>5987.87886311325</v>
      </c>
      <c r="N181" s="15" t="n">
        <f aca="false">M181*(1+IF(N$3&lt;=$O$2,$D181,$D181-($D181-$I$157)*MIN(N$3-$O$2,$Q$2)/$Q$2))</f>
        <v>6217.21462357048</v>
      </c>
      <c r="O181" s="15" t="n">
        <f aca="false">SUMPRODUCT(E181:N181,1/(1+$F$157)^$E$3:$N$3)*$E$2</f>
        <v>15521.9591892711</v>
      </c>
      <c r="P181" s="15" t="n">
        <f aca="false">N181*$E$2*(1+$I$157)/($F$157-$I$157)/(1+$F$157)^$N$3</f>
        <v>45492.9935039349</v>
      </c>
      <c r="Q181" s="15" t="n">
        <f aca="false">O181+P181</f>
        <v>61014.9526932061</v>
      </c>
      <c r="R181" s="15" t="n">
        <f aca="false">Q181-$G$2+$I$2</f>
        <v>52249.9526932061</v>
      </c>
      <c r="S181" s="40" t="n">
        <f aca="false">R181/$K$2</f>
        <v>93.4737426977818</v>
      </c>
      <c r="T181" s="41" t="n">
        <f aca="false">S181-$M$2</f>
        <v>-8.46305662918212E-005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-0.00151234865188599</v>
      </c>
      <c r="C182" s="25" t="n">
        <f aca="false">IF(T181&gt;0,D181,C181)</f>
        <v>-0.00151216983795166</v>
      </c>
      <c r="D182" s="39" t="n">
        <f aca="false">(B182+C182)/2</f>
        <v>-0.00151225924491882</v>
      </c>
      <c r="E182" s="15" t="n">
        <f aca="false">$C$2*(1+IF(E$3&lt;=$O$2,$D182,$D182-($D182-$I$157)*MIN(E$3-$O$2,$Q$2)/$Q$2))</f>
        <v>5601.51622563601</v>
      </c>
      <c r="F182" s="15" t="n">
        <f aca="false">E182*(1+IF(F$3&lt;=$O$2,$D182,$D182-($D182-$I$157)*MIN(F$3-$O$2,$Q$2)/$Q$2))</f>
        <v>5593.04528093823</v>
      </c>
      <c r="G182" s="15" t="n">
        <f aca="false">F182*(1+IF(G$3&lt;=$O$2,$D182,$D182-($D182-$I$157)*MIN(G$3-$O$2,$Q$2)/$Q$2))</f>
        <v>5584.58714650488</v>
      </c>
      <c r="H182" s="15" t="n">
        <f aca="false">G182*(1+IF(H$3&lt;=$O$2,$D182,$D182-($D182-$I$157)*MIN(H$3-$O$2,$Q$2)/$Q$2))</f>
        <v>5576.14180296352</v>
      </c>
      <c r="I182" s="15" t="n">
        <f aca="false">H182*(1+IF(I$3&lt;=$O$2,$D182,$D182-($D182-$I$157)*MIN(I$3-$O$2,$Q$2)/$Q$2))</f>
        <v>5567.70923097101</v>
      </c>
      <c r="J182" s="15" t="n">
        <f aca="false">I182*(1+IF(J$3&lt;=$O$2,$D182,$D182-($D182-$I$157)*MIN(J$3-$O$2,$Q$2)/$Q$2))</f>
        <v>5603.6220278742</v>
      </c>
      <c r="K182" s="15" t="n">
        <f aca="false">J182*(1+IF(K$3&lt;=$O$2,$D182,$D182-($D182-$I$157)*MIN(K$3-$O$2,$Q$2)/$Q$2))</f>
        <v>5684.38503981123</v>
      </c>
      <c r="L182" s="15" t="n">
        <f aca="false">K182*(1+IF(L$3&lt;=$O$2,$D182,$D182-($D182-$I$157)*MIN(L$3-$O$2,$Q$2)/$Q$2))</f>
        <v>5811.57370249484</v>
      </c>
      <c r="M182" s="15" t="n">
        <f aca="false">L182*(1+IF(M$3&lt;=$O$2,$D182,$D182-($D182-$I$157)*MIN(M$3-$O$2,$Q$2)/$Q$2))</f>
        <v>5987.88259952745</v>
      </c>
      <c r="N182" s="15" t="n">
        <f aca="false">M182*(1+IF(N$3&lt;=$O$2,$D182,$D182-($D182-$I$157)*MIN(N$3-$O$2,$Q$2)/$Q$2))</f>
        <v>6217.21850308935</v>
      </c>
      <c r="O182" s="15" t="n">
        <f aca="false">SUMPRODUCT(E182:N182,1/(1+$F$157)^$E$3:$N$3)*$E$2</f>
        <v>15521.9653828678</v>
      </c>
      <c r="P182" s="15" t="n">
        <f aca="false">N182*$E$2*(1+$I$157)/($F$157-$I$157)/(1+$F$157)^$N$3</f>
        <v>45493.0218913942</v>
      </c>
      <c r="Q182" s="15" t="n">
        <f aca="false">O182+P182</f>
        <v>61014.987274262</v>
      </c>
      <c r="R182" s="15" t="n">
        <f aca="false">Q182-$G$2+$I$2</f>
        <v>52249.987274262</v>
      </c>
      <c r="S182" s="40" t="n">
        <f aca="false">R182/$K$2</f>
        <v>93.4738045623492</v>
      </c>
      <c r="T182" s="41" t="n">
        <f aca="false">S182-$M$2</f>
        <v>-2.27659988638607E-005</v>
      </c>
    </row>
    <row r="184" customFormat="false" ht="15" hidden="false" customHeight="false" outlineLevel="0" collapsed="false">
      <c r="A184" s="36" t="s">
        <v>192</v>
      </c>
      <c r="E184" s="5" t="s">
        <v>11</v>
      </c>
      <c r="F184" s="12" t="n">
        <f aca="false">Sensitivity!$B$11</f>
        <v>0.071736031552909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6" t="s">
        <v>167</v>
      </c>
      <c r="B185" s="28" t="s">
        <v>168</v>
      </c>
      <c r="C185" s="28" t="s">
        <v>169</v>
      </c>
      <c r="D185" s="28" t="s">
        <v>170</v>
      </c>
      <c r="E185" s="28" t="s">
        <v>171</v>
      </c>
      <c r="F185" s="28" t="s">
        <v>172</v>
      </c>
      <c r="G185" s="28" t="s">
        <v>173</v>
      </c>
      <c r="H185" s="28" t="s">
        <v>174</v>
      </c>
      <c r="I185" s="28" t="s">
        <v>175</v>
      </c>
      <c r="J185" s="28" t="s">
        <v>176</v>
      </c>
      <c r="K185" s="28" t="s">
        <v>177</v>
      </c>
      <c r="L185" s="28" t="s">
        <v>178</v>
      </c>
      <c r="M185" s="28" t="s">
        <v>179</v>
      </c>
      <c r="N185" s="28" t="s">
        <v>180</v>
      </c>
      <c r="O185" s="28" t="s">
        <v>181</v>
      </c>
      <c r="P185" s="28" t="s">
        <v>182</v>
      </c>
      <c r="Q185" s="28" t="s">
        <v>183</v>
      </c>
      <c r="R185" s="28" t="s">
        <v>184</v>
      </c>
      <c r="S185" s="28" t="s">
        <v>185</v>
      </c>
      <c r="T185" s="28" t="s">
        <v>186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39" t="n">
        <f aca="false">(B186+C186)/2</f>
        <v>0.25</v>
      </c>
      <c r="E186" s="15" t="n">
        <f aca="false">$C$2*(1+IF(E$3&lt;=$O$2,$D186,$D186-($D186-$I$184)*MIN(E$3-$O$2,$Q$2)/$Q$2))</f>
        <v>7012.5</v>
      </c>
      <c r="F186" s="15" t="n">
        <f aca="false">E186*(1+IF(F$3&lt;=$O$2,$D186,$D186-($D186-$I$184)*MIN(F$3-$O$2,$Q$2)/$Q$2))</f>
        <v>8765.625</v>
      </c>
      <c r="G186" s="15" t="n">
        <f aca="false">F186*(1+IF(G$3&lt;=$O$2,$D186,$D186-($D186-$I$184)*MIN(G$3-$O$2,$Q$2)/$Q$2))</f>
        <v>10957.03125</v>
      </c>
      <c r="H186" s="15" t="n">
        <f aca="false">G186*(1+IF(H$3&lt;=$O$2,$D186,$D186-($D186-$I$184)*MIN(H$3-$O$2,$Q$2)/$Q$2))</f>
        <v>13696.2890625</v>
      </c>
      <c r="I186" s="15" t="n">
        <f aca="false">H186*(1+IF(I$3&lt;=$O$2,$D186,$D186-($D186-$I$184)*MIN(I$3-$O$2,$Q$2)/$Q$2))</f>
        <v>17120.361328125</v>
      </c>
      <c r="J186" s="15" t="n">
        <f aca="false">I186*(1+IF(J$3&lt;=$O$2,$D186,$D186-($D186-$I$184)*MIN(J$3-$O$2,$Q$2)/$Q$2))</f>
        <v>20607.0941162109</v>
      </c>
      <c r="K186" s="15" t="n">
        <f aca="false">J186*(1+IF(K$3&lt;=$O$2,$D186,$D186-($D186-$I$184)*MIN(K$3-$O$2,$Q$2)/$Q$2))</f>
        <v>23849.0021625732</v>
      </c>
      <c r="L186" s="15" t="n">
        <f aca="false">K186*(1+IF(L$3&lt;=$O$2,$D186,$D186-($D186-$I$184)*MIN(L$3-$O$2,$Q$2)/$Q$2))</f>
        <v>26495.7644225756</v>
      </c>
      <c r="M186" s="15" t="n">
        <f aca="false">L186*(1+IF(M$3&lt;=$O$2,$D186,$D186-($D186-$I$184)*MIN(M$3-$O$2,$Q$2)/$Q$2))</f>
        <v>28208.4506348509</v>
      </c>
      <c r="N186" s="15" t="n">
        <f aca="false">M186*(1+IF(N$3&lt;=$O$2,$D186,$D186-($D186-$I$184)*MIN(N$3-$O$2,$Q$2)/$Q$2))</f>
        <v>28724.6652814687</v>
      </c>
      <c r="O186" s="15" t="n">
        <f aca="false">SUMPRODUCT(E186:N186,1/(1+$F$184)^$E$3:$N$3)*$E$2</f>
        <v>45331.0991543016</v>
      </c>
      <c r="P186" s="15" t="n">
        <f aca="false">N186*$E$2*(1+$I$184)/($F$184-$I$184)/(1+$F$184)^$N$3</f>
        <v>104684.56183048</v>
      </c>
      <c r="Q186" s="15" t="n">
        <f aca="false">O186+P186</f>
        <v>150015.660984782</v>
      </c>
      <c r="R186" s="15" t="n">
        <f aca="false">Q186-$G$2+$I$2</f>
        <v>141250.660984782</v>
      </c>
      <c r="S186" s="40" t="n">
        <f aca="false">R186/$K$2</f>
        <v>252.693586505388</v>
      </c>
      <c r="T186" s="41" t="n">
        <f aca="false">S186-$M$2</f>
        <v>159.21975917704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39" t="n">
        <f aca="false">(B187+C187)/2</f>
        <v>-0.125</v>
      </c>
      <c r="E187" s="15" t="n">
        <f aca="false">$C$2*(1+IF(E$3&lt;=$O$2,$D187,$D187-($D187-$I$184)*MIN(E$3-$O$2,$Q$2)/$Q$2))</f>
        <v>4908.75</v>
      </c>
      <c r="F187" s="15" t="n">
        <f aca="false">E187*(1+IF(F$3&lt;=$O$2,$D187,$D187-($D187-$I$184)*MIN(F$3-$O$2,$Q$2)/$Q$2))</f>
        <v>4295.15625</v>
      </c>
      <c r="G187" s="15" t="n">
        <f aca="false">F187*(1+IF(G$3&lt;=$O$2,$D187,$D187-($D187-$I$184)*MIN(G$3-$O$2,$Q$2)/$Q$2))</f>
        <v>3758.26171875</v>
      </c>
      <c r="H187" s="15" t="n">
        <f aca="false">G187*(1+IF(H$3&lt;=$O$2,$D187,$D187-($D187-$I$184)*MIN(H$3-$O$2,$Q$2)/$Q$2))</f>
        <v>3288.47900390625</v>
      </c>
      <c r="I187" s="15" t="n">
        <f aca="false">H187*(1+IF(I$3&lt;=$O$2,$D187,$D187-($D187-$I$184)*MIN(I$3-$O$2,$Q$2)/$Q$2))</f>
        <v>2877.41912841797</v>
      </c>
      <c r="J187" s="15" t="n">
        <f aca="false">I187*(1+IF(J$3&lt;=$O$2,$D187,$D187-($D187-$I$184)*MIN(J$3-$O$2,$Q$2)/$Q$2))</f>
        <v>2600.20856958618</v>
      </c>
      <c r="K187" s="15" t="n">
        <f aca="false">J187*(1+IF(K$3&lt;=$O$2,$D187,$D187-($D187-$I$184)*MIN(K$3-$O$2,$Q$2)/$Q$2))</f>
        <v>2424.22645359659</v>
      </c>
      <c r="L187" s="15" t="n">
        <f aca="false">K187*(1+IF(L$3&lt;=$O$2,$D187,$D187-($D187-$I$184)*MIN(L$3-$O$2,$Q$2)/$Q$2))</f>
        <v>2329.63313737725</v>
      </c>
      <c r="M187" s="15" t="n">
        <f aca="false">L187*(1+IF(M$3&lt;=$O$2,$D187,$D187-($D187-$I$184)*MIN(M$3-$O$2,$Q$2)/$Q$2))</f>
        <v>2305.49813807402</v>
      </c>
      <c r="N187" s="15" t="n">
        <f aca="false">M187*(1+IF(N$3&lt;=$O$2,$D187,$D187-($D187-$I$184)*MIN(N$3-$O$2,$Q$2)/$Q$2))</f>
        <v>2347.68875400078</v>
      </c>
      <c r="O187" s="15" t="n">
        <f aca="false">SUMPRODUCT(E187:N187,1/(1+$F$184)^$E$3:$N$3)*$E$2</f>
        <v>8739.50074179095</v>
      </c>
      <c r="P187" s="15" t="n">
        <f aca="false">N187*$E$2*(1+$I$184)/($F$184-$I$184)/(1+$F$184)^$N$3</f>
        <v>8555.94890727829</v>
      </c>
      <c r="Q187" s="15" t="n">
        <f aca="false">O187+P187</f>
        <v>17295.4496490692</v>
      </c>
      <c r="R187" s="15" t="n">
        <f aca="false">Q187-$G$2+$I$2</f>
        <v>8530.44964906924</v>
      </c>
      <c r="S187" s="40" t="n">
        <f aca="false">R187/$K$2</f>
        <v>15.2607421536893</v>
      </c>
      <c r="T187" s="41" t="n">
        <f aca="false">S187-$M$2</f>
        <v>-78.2130851746588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39" t="n">
        <f aca="false">(B188+C188)/2</f>
        <v>0.0625</v>
      </c>
      <c r="E188" s="15" t="n">
        <f aca="false">$C$2*(1+IF(E$3&lt;=$O$2,$D188,$D188-($D188-$I$184)*MIN(E$3-$O$2,$Q$2)/$Q$2))</f>
        <v>5960.625</v>
      </c>
      <c r="F188" s="15" t="n">
        <f aca="false">E188*(1+IF(F$3&lt;=$O$2,$D188,$D188-($D188-$I$184)*MIN(F$3-$O$2,$Q$2)/$Q$2))</f>
        <v>6333.1640625</v>
      </c>
      <c r="G188" s="15" t="n">
        <f aca="false">F188*(1+IF(G$3&lt;=$O$2,$D188,$D188-($D188-$I$184)*MIN(G$3-$O$2,$Q$2)/$Q$2))</f>
        <v>6728.98681640625</v>
      </c>
      <c r="H188" s="15" t="n">
        <f aca="false">G188*(1+IF(H$3&lt;=$O$2,$D188,$D188-($D188-$I$184)*MIN(H$3-$O$2,$Q$2)/$Q$2))</f>
        <v>7149.54849243164</v>
      </c>
      <c r="I188" s="15" t="n">
        <f aca="false">H188*(1+IF(I$3&lt;=$O$2,$D188,$D188-($D188-$I$184)*MIN(I$3-$O$2,$Q$2)/$Q$2))</f>
        <v>7596.39527320862</v>
      </c>
      <c r="J188" s="15" t="n">
        <f aca="false">I188*(1+IF(J$3&lt;=$O$2,$D188,$D188-($D188-$I$184)*MIN(J$3-$O$2,$Q$2)/$Q$2))</f>
        <v>8004.01784356899</v>
      </c>
      <c r="K188" s="15" t="n">
        <f aca="false">J188*(1+IF(K$3&lt;=$O$2,$D188,$D188-($D188-$I$184)*MIN(K$3-$O$2,$Q$2)/$Q$2))</f>
        <v>8362.75792331776</v>
      </c>
      <c r="L188" s="15" t="n">
        <f aca="false">K188*(1+IF(L$3&lt;=$O$2,$D188,$D188-($D188-$I$184)*MIN(L$3-$O$2,$Q$2)/$Q$2))</f>
        <v>8663.64995339873</v>
      </c>
      <c r="M188" s="15" t="n">
        <f aca="false">L188*(1+IF(M$3&lt;=$O$2,$D188,$D188-($D188-$I$184)*MIN(M$3-$O$2,$Q$2)/$Q$2))</f>
        <v>8898.78141313397</v>
      </c>
      <c r="N188" s="15" t="n">
        <f aca="false">M188*(1+IF(N$3&lt;=$O$2,$D188,$D188-($D188-$I$184)*MIN(N$3-$O$2,$Q$2)/$Q$2))</f>
        <v>9061.62911299432</v>
      </c>
      <c r="O188" s="15" t="n">
        <f aca="false">SUMPRODUCT(E188:N188,1/(1+$F$184)^$E$3:$N$3)*$E$2</f>
        <v>19899.1781402224</v>
      </c>
      <c r="P188" s="15" t="n">
        <f aca="false">N188*$E$2*(1+$I$184)/($F$184-$I$184)/(1+$F$184)^$N$3</f>
        <v>33024.3247003514</v>
      </c>
      <c r="Q188" s="15" t="n">
        <f aca="false">O188+P188</f>
        <v>52923.5028405738</v>
      </c>
      <c r="R188" s="15" t="n">
        <f aca="false">Q188-$G$2+$I$2</f>
        <v>44158.5028405738</v>
      </c>
      <c r="S188" s="40" t="n">
        <f aca="false">R188/$K$2</f>
        <v>78.9983592267591</v>
      </c>
      <c r="T188" s="41" t="n">
        <f aca="false">S188-$M$2</f>
        <v>-14.475468101589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0.0625</v>
      </c>
      <c r="C189" s="25" t="n">
        <f aca="false">IF(T188&gt;0,D188,C188)</f>
        <v>0.25</v>
      </c>
      <c r="D189" s="39" t="n">
        <f aca="false">(B189+C189)/2</f>
        <v>0.15625</v>
      </c>
      <c r="E189" s="15" t="n">
        <f aca="false">$C$2*(1+IF(E$3&lt;=$O$2,$D189,$D189-($D189-$I$184)*MIN(E$3-$O$2,$Q$2)/$Q$2))</f>
        <v>6486.5625</v>
      </c>
      <c r="F189" s="15" t="n">
        <f aca="false">E189*(1+IF(F$3&lt;=$O$2,$D189,$D189-($D189-$I$184)*MIN(F$3-$O$2,$Q$2)/$Q$2))</f>
        <v>7500.087890625</v>
      </c>
      <c r="G189" s="15" t="n">
        <f aca="false">F189*(1+IF(G$3&lt;=$O$2,$D189,$D189-($D189-$I$184)*MIN(G$3-$O$2,$Q$2)/$Q$2))</f>
        <v>8671.97662353516</v>
      </c>
      <c r="H189" s="15" t="n">
        <f aca="false">G189*(1+IF(H$3&lt;=$O$2,$D189,$D189-($D189-$I$184)*MIN(H$3-$O$2,$Q$2)/$Q$2))</f>
        <v>10026.9729709625</v>
      </c>
      <c r="I189" s="15" t="n">
        <f aca="false">H189*(1+IF(I$3&lt;=$O$2,$D189,$D189-($D189-$I$184)*MIN(I$3-$O$2,$Q$2)/$Q$2))</f>
        <v>11593.6874976754</v>
      </c>
      <c r="J189" s="15" t="n">
        <f aca="false">I189*(1+IF(J$3&lt;=$O$2,$D189,$D189-($D189-$I$184)*MIN(J$3-$O$2,$Q$2)/$Q$2))</f>
        <v>13085.3313311263</v>
      </c>
      <c r="K189" s="15" t="n">
        <f aca="false">J189*(1+IF(K$3&lt;=$O$2,$D189,$D189-($D189-$I$184)*MIN(K$3-$O$2,$Q$2)/$Q$2))</f>
        <v>14407.8657687633</v>
      </c>
      <c r="L189" s="15" t="n">
        <f aca="false">K189*(1+IF(L$3&lt;=$O$2,$D189,$D189-($D189-$I$184)*MIN(L$3-$O$2,$Q$2)/$Q$2))</f>
        <v>15466.555745452</v>
      </c>
      <c r="M189" s="15" t="n">
        <f aca="false">L189*(1+IF(M$3&lt;=$O$2,$D189,$D189-($D189-$I$184)*MIN(M$3-$O$2,$Q$2)/$Q$2))</f>
        <v>16176.3159886108</v>
      </c>
      <c r="N189" s="15" t="n">
        <f aca="false">M189*(1+IF(N$3&lt;=$O$2,$D189,$D189-($D189-$I$184)*MIN(N$3-$O$2,$Q$2)/$Q$2))</f>
        <v>16472.3425712024</v>
      </c>
      <c r="O189" s="15" t="n">
        <f aca="false">SUMPRODUCT(E189:N189,1/(1+$F$184)^$E$3:$N$3)*$E$2</f>
        <v>30102.0375282508</v>
      </c>
      <c r="P189" s="15" t="n">
        <f aca="false">N189*$E$2*(1+$I$184)/($F$184-$I$184)/(1+$F$184)^$N$3</f>
        <v>60032.0298771368</v>
      </c>
      <c r="Q189" s="15" t="n">
        <f aca="false">O189+P189</f>
        <v>90134.0674053876</v>
      </c>
      <c r="R189" s="15" t="n">
        <f aca="false">Q189-$G$2+$I$2</f>
        <v>81369.0674053876</v>
      </c>
      <c r="S189" s="40" t="n">
        <f aca="false">R189/$K$2</f>
        <v>145.567046057797</v>
      </c>
      <c r="T189" s="41" t="n">
        <f aca="false">S189-$M$2</f>
        <v>52.0932187294494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0.0625</v>
      </c>
      <c r="C190" s="25" t="n">
        <f aca="false">IF(T189&gt;0,D189,C189)</f>
        <v>0.15625</v>
      </c>
      <c r="D190" s="39" t="n">
        <f aca="false">(B190+C190)/2</f>
        <v>0.109375</v>
      </c>
      <c r="E190" s="15" t="n">
        <f aca="false">$C$2*(1+IF(E$3&lt;=$O$2,$D190,$D190-($D190-$I$184)*MIN(E$3-$O$2,$Q$2)/$Q$2))</f>
        <v>6223.59375</v>
      </c>
      <c r="F190" s="15" t="n">
        <f aca="false">E190*(1+IF(F$3&lt;=$O$2,$D190,$D190-($D190-$I$184)*MIN(F$3-$O$2,$Q$2)/$Q$2))</f>
        <v>6904.29931640625</v>
      </c>
      <c r="G190" s="15" t="n">
        <f aca="false">F190*(1+IF(G$3&lt;=$O$2,$D190,$D190-($D190-$I$184)*MIN(G$3-$O$2,$Q$2)/$Q$2))</f>
        <v>7659.45705413818</v>
      </c>
      <c r="H190" s="15" t="n">
        <f aca="false">G190*(1+IF(H$3&lt;=$O$2,$D190,$D190-($D190-$I$184)*MIN(H$3-$O$2,$Q$2)/$Q$2))</f>
        <v>8497.21016943455</v>
      </c>
      <c r="I190" s="15" t="n">
        <f aca="false">H190*(1+IF(I$3&lt;=$O$2,$D190,$D190-($D190-$I$184)*MIN(I$3-$O$2,$Q$2)/$Q$2))</f>
        <v>9426.59253171645</v>
      </c>
      <c r="J190" s="15" t="n">
        <f aca="false">I190*(1+IF(J$3&lt;=$O$2,$D190,$D190-($D190-$I$184)*MIN(J$3-$O$2,$Q$2)/$Q$2))</f>
        <v>10285.9207069077</v>
      </c>
      <c r="K190" s="15" t="n">
        <f aca="false">J190*(1+IF(K$3&lt;=$O$2,$D190,$D190-($D190-$I$184)*MIN(K$3-$O$2,$Q$2)/$Q$2))</f>
        <v>11036.2271928731</v>
      </c>
      <c r="L190" s="15" t="n">
        <f aca="false">K190*(1+IF(L$3&lt;=$O$2,$D190,$D190-($D190-$I$184)*MIN(L$3-$O$2,$Q$2)/$Q$2))</f>
        <v>11640.2399071391</v>
      </c>
      <c r="M190" s="15" t="n">
        <f aca="false">L190*(1+IF(M$3&lt;=$O$2,$D190,$D190-($D190-$I$184)*MIN(M$3-$O$2,$Q$2)/$Q$2))</f>
        <v>12065.2832673482</v>
      </c>
      <c r="N190" s="15" t="n">
        <f aca="false">M190*(1+IF(N$3&lt;=$O$2,$D190,$D190-($D190-$I$184)*MIN(N$3-$O$2,$Q$2)/$Q$2))</f>
        <v>12286.0779511407</v>
      </c>
      <c r="O190" s="15" t="n">
        <f aca="false">SUMPRODUCT(E190:N190,1/(1+$F$184)^$E$3:$N$3)*$E$2</f>
        <v>24482.2603748231</v>
      </c>
      <c r="P190" s="15" t="n">
        <f aca="false">N190*$E$2*(1+$I$184)/($F$184-$I$184)/(1+$F$184)^$N$3</f>
        <v>44775.5500134595</v>
      </c>
      <c r="Q190" s="15" t="n">
        <f aca="false">O190+P190</f>
        <v>69257.8103882827</v>
      </c>
      <c r="R190" s="15" t="n">
        <f aca="false">Q190-$G$2+$I$2</f>
        <v>60492.8103882827</v>
      </c>
      <c r="S190" s="40" t="n">
        <f aca="false">R190/$K$2</f>
        <v>108.21999067638</v>
      </c>
      <c r="T190" s="41" t="n">
        <f aca="false">S190-$M$2</f>
        <v>14.7461633480315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0.0625</v>
      </c>
      <c r="C191" s="25" t="n">
        <f aca="false">IF(T190&gt;0,D190,C190)</f>
        <v>0.109375</v>
      </c>
      <c r="D191" s="39" t="n">
        <f aca="false">(B191+C191)/2</f>
        <v>0.0859375</v>
      </c>
      <c r="E191" s="15" t="n">
        <f aca="false">$C$2*(1+IF(E$3&lt;=$O$2,$D191,$D191-($D191-$I$184)*MIN(E$3-$O$2,$Q$2)/$Q$2))</f>
        <v>6092.109375</v>
      </c>
      <c r="F191" s="15" t="n">
        <f aca="false">E191*(1+IF(F$3&lt;=$O$2,$D191,$D191-($D191-$I$184)*MIN(F$3-$O$2,$Q$2)/$Q$2))</f>
        <v>6615.65002441406</v>
      </c>
      <c r="G191" s="15" t="n">
        <f aca="false">F191*(1+IF(G$3&lt;=$O$2,$D191,$D191-($D191-$I$184)*MIN(G$3-$O$2,$Q$2)/$Q$2))</f>
        <v>7184.18244838715</v>
      </c>
      <c r="H191" s="15" t="n">
        <f aca="false">G191*(1+IF(H$3&lt;=$O$2,$D191,$D191-($D191-$I$184)*MIN(H$3-$O$2,$Q$2)/$Q$2))</f>
        <v>7801.57312754542</v>
      </c>
      <c r="I191" s="15" t="n">
        <f aca="false">H191*(1+IF(I$3&lt;=$O$2,$D191,$D191-($D191-$I$184)*MIN(I$3-$O$2,$Q$2)/$Q$2))</f>
        <v>8472.02081819385</v>
      </c>
      <c r="J191" s="15" t="n">
        <f aca="false">I191*(1+IF(J$3&lt;=$O$2,$D191,$D191-($D191-$I$184)*MIN(J$3-$O$2,$Q$2)/$Q$2))</f>
        <v>9085.47984563927</v>
      </c>
      <c r="K191" s="15" t="n">
        <f aca="false">J191*(1+IF(K$3&lt;=$O$2,$D191,$D191-($D191-$I$184)*MIN(K$3-$O$2,$Q$2)/$Q$2))</f>
        <v>9620.45561265012</v>
      </c>
      <c r="L191" s="15" t="n">
        <f aca="false">K191*(1+IF(L$3&lt;=$O$2,$D191,$D191-($D191-$I$184)*MIN(L$3-$O$2,$Q$2)/$Q$2))</f>
        <v>10056.7913769619</v>
      </c>
      <c r="M191" s="15" t="n">
        <f aca="false">L191*(1+IF(M$3&lt;=$O$2,$D191,$D191-($D191-$I$184)*MIN(M$3-$O$2,$Q$2)/$Q$2))</f>
        <v>10376.8739045121</v>
      </c>
      <c r="N191" s="15" t="n">
        <f aca="false">M191*(1+IF(N$3&lt;=$O$2,$D191,$D191-($D191-$I$184)*MIN(N$3-$O$2,$Q$2)/$Q$2))</f>
        <v>10566.7706969647</v>
      </c>
      <c r="O191" s="15" t="n">
        <f aca="false">SUMPRODUCT(E191:N191,1/(1+$F$184)^$E$3:$N$3)*$E$2</f>
        <v>22073.0301799228</v>
      </c>
      <c r="P191" s="15" t="n">
        <f aca="false">N191*$E$2*(1+$I$184)/($F$184-$I$184)/(1+$F$184)^$N$3</f>
        <v>38509.6832125156</v>
      </c>
      <c r="Q191" s="15" t="n">
        <f aca="false">O191+P191</f>
        <v>60582.7133924384</v>
      </c>
      <c r="R191" s="15" t="n">
        <f aca="false">Q191-$G$2+$I$2</f>
        <v>51817.7133924384</v>
      </c>
      <c r="S191" s="40" t="n">
        <f aca="false">R191/$K$2</f>
        <v>92.7004783577917</v>
      </c>
      <c r="T191" s="41" t="n">
        <f aca="false">S191-$M$2</f>
        <v>-0.77334897055637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0.0859375</v>
      </c>
      <c r="C192" s="25" t="n">
        <f aca="false">IF(T191&gt;0,D191,C191)</f>
        <v>0.109375</v>
      </c>
      <c r="D192" s="39" t="n">
        <f aca="false">(B192+C192)/2</f>
        <v>0.09765625</v>
      </c>
      <c r="E192" s="15" t="n">
        <f aca="false">$C$2*(1+IF(E$3&lt;=$O$2,$D192,$D192-($D192-$I$184)*MIN(E$3-$O$2,$Q$2)/$Q$2))</f>
        <v>6157.8515625</v>
      </c>
      <c r="F192" s="15" t="n">
        <f aca="false">E192*(1+IF(F$3&lt;=$O$2,$D192,$D192-($D192-$I$184)*MIN(F$3-$O$2,$Q$2)/$Q$2))</f>
        <v>6759.20425415039</v>
      </c>
      <c r="G192" s="15" t="n">
        <f aca="false">F192*(1+IF(G$3&lt;=$O$2,$D192,$D192-($D192-$I$184)*MIN(G$3-$O$2,$Q$2)/$Q$2))</f>
        <v>7419.28279459477</v>
      </c>
      <c r="H192" s="15" t="n">
        <f aca="false">G192*(1+IF(H$3&lt;=$O$2,$D192,$D192-($D192-$I$184)*MIN(H$3-$O$2,$Q$2)/$Q$2))</f>
        <v>8143.82213000441</v>
      </c>
      <c r="I192" s="15" t="n">
        <f aca="false">H192*(1+IF(I$3&lt;=$O$2,$D192,$D192-($D192-$I$184)*MIN(I$3-$O$2,$Q$2)/$Q$2))</f>
        <v>8939.11725988765</v>
      </c>
      <c r="J192" s="15" t="n">
        <f aca="false">I192*(1+IF(J$3&lt;=$O$2,$D192,$D192-($D192-$I$184)*MIN(J$3-$O$2,$Q$2)/$Q$2))</f>
        <v>9670.20296498756</v>
      </c>
      <c r="K192" s="15" t="n">
        <f aca="false">J192*(1+IF(K$3&lt;=$O$2,$D192,$D192-($D192-$I$184)*MIN(K$3-$O$2,$Q$2)/$Q$2))</f>
        <v>10307.602305671</v>
      </c>
      <c r="L192" s="15" t="n">
        <f aca="false">K192*(1+IF(L$3&lt;=$O$2,$D192,$D192-($D192-$I$184)*MIN(L$3-$O$2,$Q$2)/$Q$2))</f>
        <v>10823.4204940526</v>
      </c>
      <c r="M192" s="15" t="n">
        <f aca="false">L192*(1+IF(M$3&lt;=$O$2,$D192,$D192-($D192-$I$184)*MIN(M$3-$O$2,$Q$2)/$Q$2))</f>
        <v>11193.2703016099</v>
      </c>
      <c r="N192" s="15" t="n">
        <f aca="false">M192*(1+IF(N$3&lt;=$O$2,$D192,$D192-($D192-$I$184)*MIN(N$3-$O$2,$Q$2)/$Q$2))</f>
        <v>11398.1071481294</v>
      </c>
      <c r="O192" s="15" t="n">
        <f aca="false">SUMPRODUCT(E192:N192,1/(1+$F$184)^$E$3:$N$3)*$E$2</f>
        <v>23246.8111282831</v>
      </c>
      <c r="P192" s="15" t="n">
        <f aca="false">N192*$E$2*(1+$I$184)/($F$184-$I$184)/(1+$F$184)^$N$3</f>
        <v>41539.4171109304</v>
      </c>
      <c r="Q192" s="15" t="n">
        <f aca="false">O192+P192</f>
        <v>64786.2282392135</v>
      </c>
      <c r="R192" s="15" t="n">
        <f aca="false">Q192-$G$2+$I$2</f>
        <v>56021.2282392135</v>
      </c>
      <c r="S192" s="40" t="n">
        <f aca="false">R192/$K$2</f>
        <v>100.220451964674</v>
      </c>
      <c r="T192" s="41" t="n">
        <f aca="false">S192-$M$2</f>
        <v>6.74662463632599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0.0859375</v>
      </c>
      <c r="C193" s="25" t="n">
        <f aca="false">IF(T192&gt;0,D192,C192)</f>
        <v>0.09765625</v>
      </c>
      <c r="D193" s="39" t="n">
        <f aca="false">(B193+C193)/2</f>
        <v>0.091796875</v>
      </c>
      <c r="E193" s="15" t="n">
        <f aca="false">$C$2*(1+IF(E$3&lt;=$O$2,$D193,$D193-($D193-$I$184)*MIN(E$3-$O$2,$Q$2)/$Q$2))</f>
        <v>6124.98046875</v>
      </c>
      <c r="F193" s="15" t="n">
        <f aca="false">E193*(1+IF(F$3&lt;=$O$2,$D193,$D193-($D193-$I$184)*MIN(F$3-$O$2,$Q$2)/$Q$2))</f>
        <v>6687.23453521729</v>
      </c>
      <c r="G193" s="15" t="n">
        <f aca="false">F193*(1+IF(G$3&lt;=$O$2,$D193,$D193-($D193-$I$184)*MIN(G$3-$O$2,$Q$2)/$Q$2))</f>
        <v>7301.10176794231</v>
      </c>
      <c r="H193" s="15" t="n">
        <f aca="false">G193*(1+IF(H$3&lt;=$O$2,$D193,$D193-($D193-$I$184)*MIN(H$3-$O$2,$Q$2)/$Q$2))</f>
        <v>7971.32009429639</v>
      </c>
      <c r="I193" s="15" t="n">
        <f aca="false">H193*(1+IF(I$3&lt;=$O$2,$D193,$D193-($D193-$I$184)*MIN(I$3-$O$2,$Q$2)/$Q$2))</f>
        <v>8703.0623685775</v>
      </c>
      <c r="J193" s="15" t="n">
        <f aca="false">I193*(1+IF(J$3&lt;=$O$2,$D193,$D193-($D193-$I$184)*MIN(J$3-$O$2,$Q$2)/$Q$2))</f>
        <v>9374.04671953891</v>
      </c>
      <c r="K193" s="15" t="n">
        <f aca="false">J193*(1+IF(K$3&lt;=$O$2,$D193,$D193-($D193-$I$184)*MIN(K$3-$O$2,$Q$2)/$Q$2))</f>
        <v>9958.96965850054</v>
      </c>
      <c r="L193" s="15" t="n">
        <f aca="false">K193*(1+IF(L$3&lt;=$O$2,$D193,$D193-($D193-$I$184)*MIN(L$3-$O$2,$Q$2)/$Q$2))</f>
        <v>10434.0000624989</v>
      </c>
      <c r="M193" s="15" t="n">
        <f aca="false">L193*(1+IF(M$3&lt;=$O$2,$D193,$D193-($D193-$I$184)*MIN(M$3-$O$2,$Q$2)/$Q$2))</f>
        <v>10778.3155433114</v>
      </c>
      <c r="N193" s="15" t="n">
        <f aca="false">M193*(1+IF(N$3&lt;=$O$2,$D193,$D193-($D193-$I$184)*MIN(N$3-$O$2,$Q$2)/$Q$2))</f>
        <v>10975.558717754</v>
      </c>
      <c r="O193" s="15" t="n">
        <f aca="false">SUMPRODUCT(E193:N193,1/(1+$F$184)^$E$3:$N$3)*$E$2</f>
        <v>22652.3931377696</v>
      </c>
      <c r="P193" s="15" t="n">
        <f aca="false">N193*$E$2*(1+$I$184)/($F$184-$I$184)/(1+$F$184)^$N$3</f>
        <v>39999.4758495592</v>
      </c>
      <c r="Q193" s="15" t="n">
        <f aca="false">O193+P193</f>
        <v>62651.8689873288</v>
      </c>
      <c r="R193" s="15" t="n">
        <f aca="false">Q193-$G$2+$I$2</f>
        <v>53886.8689873288</v>
      </c>
      <c r="S193" s="40" t="n">
        <f aca="false">R193/$K$2</f>
        <v>96.4021413777394</v>
      </c>
      <c r="T193" s="41" t="n">
        <f aca="false">S193-$M$2</f>
        <v>2.92831404939129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0.0859375</v>
      </c>
      <c r="C194" s="25" t="n">
        <f aca="false">IF(T193&gt;0,D193,C193)</f>
        <v>0.091796875</v>
      </c>
      <c r="D194" s="39" t="n">
        <f aca="false">(B194+C194)/2</f>
        <v>0.0888671875</v>
      </c>
      <c r="E194" s="15" t="n">
        <f aca="false">$C$2*(1+IF(E$3&lt;=$O$2,$D194,$D194-($D194-$I$184)*MIN(E$3-$O$2,$Q$2)/$Q$2))</f>
        <v>6108.544921875</v>
      </c>
      <c r="F194" s="15" t="n">
        <f aca="false">E194*(1+IF(F$3&lt;=$O$2,$D194,$D194-($D194-$I$184)*MIN(F$3-$O$2,$Q$2)/$Q$2))</f>
        <v>6651.39412879944</v>
      </c>
      <c r="G194" s="15" t="n">
        <f aca="false">F194*(1+IF(G$3&lt;=$O$2,$D194,$D194-($D194-$I$184)*MIN(G$3-$O$2,$Q$2)/$Q$2))</f>
        <v>7242.48481797986</v>
      </c>
      <c r="H194" s="15" t="n">
        <f aca="false">G194*(1+IF(H$3&lt;=$O$2,$D194,$D194-($D194-$I$184)*MIN(H$3-$O$2,$Q$2)/$Q$2))</f>
        <v>7886.10407426518</v>
      </c>
      <c r="I194" s="15" t="n">
        <f aca="false">H194*(1+IF(I$3&lt;=$O$2,$D194,$D194-($D194-$I$184)*MIN(I$3-$O$2,$Q$2)/$Q$2))</f>
        <v>8586.91996367741</v>
      </c>
      <c r="J194" s="15" t="n">
        <f aca="false">I194*(1+IF(J$3&lt;=$O$2,$D194,$D194-($D194-$I$184)*MIN(J$3-$O$2,$Q$2)/$Q$2))</f>
        <v>9228.82443191216</v>
      </c>
      <c r="K194" s="15" t="n">
        <f aca="false">J194*(1+IF(K$3&lt;=$O$2,$D194,$D194-($D194-$I$184)*MIN(K$3-$O$2,$Q$2)/$Q$2))</f>
        <v>9788.46322947095</v>
      </c>
      <c r="L194" s="15" t="n">
        <f aca="false">K194*(1+IF(L$3&lt;=$O$2,$D194,$D194-($D194-$I$184)*MIN(L$3-$O$2,$Q$2)/$Q$2))</f>
        <v>10243.8898345906</v>
      </c>
      <c r="M194" s="15" t="n">
        <f aca="false">L194*(1+IF(M$3&lt;=$O$2,$D194,$D194-($D194-$I$184)*MIN(M$3-$O$2,$Q$2)/$Q$2))</f>
        <v>10575.929517501</v>
      </c>
      <c r="N194" s="15" t="n">
        <f aca="false">M194*(1+IF(N$3&lt;=$O$2,$D194,$D194-($D194-$I$184)*MIN(N$3-$O$2,$Q$2)/$Q$2))</f>
        <v>10769.4690276713</v>
      </c>
      <c r="O194" s="15" t="n">
        <f aca="false">SUMPRODUCT(E194:N194,1/(1+$F$184)^$E$3:$N$3)*$E$2</f>
        <v>22360.8520044443</v>
      </c>
      <c r="P194" s="15" t="n">
        <f aca="false">N194*$E$2*(1+$I$184)/($F$184-$I$184)/(1+$F$184)^$N$3</f>
        <v>39248.3997728607</v>
      </c>
      <c r="Q194" s="15" t="n">
        <f aca="false">O194+P194</f>
        <v>61609.251777305</v>
      </c>
      <c r="R194" s="15" t="n">
        <f aca="false">Q194-$G$2+$I$2</f>
        <v>52844.251777305</v>
      </c>
      <c r="S194" s="40" t="n">
        <f aca="false">R194/$K$2</f>
        <v>94.536927577561</v>
      </c>
      <c r="T194" s="41" t="n">
        <f aca="false">S194-$M$2</f>
        <v>1.06310024921287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0.0859375</v>
      </c>
      <c r="C195" s="25" t="n">
        <f aca="false">IF(T194&gt;0,D194,C194)</f>
        <v>0.0888671875</v>
      </c>
      <c r="D195" s="39" t="n">
        <f aca="false">(B195+C195)/2</f>
        <v>0.08740234375</v>
      </c>
      <c r="E195" s="15" t="n">
        <f aca="false">$C$2*(1+IF(E$3&lt;=$O$2,$D195,$D195-($D195-$I$184)*MIN(E$3-$O$2,$Q$2)/$Q$2))</f>
        <v>6100.3271484375</v>
      </c>
      <c r="F195" s="15" t="n">
        <f aca="false">E195*(1+IF(F$3&lt;=$O$2,$D195,$D195-($D195-$I$184)*MIN(F$3-$O$2,$Q$2)/$Q$2))</f>
        <v>6633.51003885269</v>
      </c>
      <c r="G195" s="15" t="n">
        <f aca="false">F195*(1+IF(G$3&lt;=$O$2,$D195,$D195-($D195-$I$184)*MIN(G$3-$O$2,$Q$2)/$Q$2))</f>
        <v>7213.29436353757</v>
      </c>
      <c r="H195" s="15" t="n">
        <f aca="false">G195*(1+IF(H$3&lt;=$O$2,$D195,$D195-($D195-$I$184)*MIN(H$3-$O$2,$Q$2)/$Q$2))</f>
        <v>7843.75319706942</v>
      </c>
      <c r="I195" s="15" t="n">
        <f aca="false">H195*(1+IF(I$3&lt;=$O$2,$D195,$D195-($D195-$I$184)*MIN(I$3-$O$2,$Q$2)/$Q$2))</f>
        <v>8529.31561028984</v>
      </c>
      <c r="J195" s="15" t="n">
        <f aca="false">I195*(1+IF(J$3&lt;=$O$2,$D195,$D195-($D195-$I$184)*MIN(J$3-$O$2,$Q$2)/$Q$2))</f>
        <v>9156.91864536174</v>
      </c>
      <c r="K195" s="15" t="n">
        <f aca="false">J195*(1+IF(K$3&lt;=$O$2,$D195,$D195-($D195-$I$184)*MIN(K$3-$O$2,$Q$2)/$Q$2))</f>
        <v>9704.1489805254</v>
      </c>
      <c r="L195" s="15" t="n">
        <f aca="false">K195*(1+IF(L$3&lt;=$O$2,$D195,$D195-($D195-$I$184)*MIN(L$3-$O$2,$Q$2)/$Q$2))</f>
        <v>10149.9666823304</v>
      </c>
      <c r="M195" s="15" t="n">
        <f aca="false">L195*(1+IF(M$3&lt;=$O$2,$D195,$D195-($D195-$I$184)*MIN(M$3-$O$2,$Q$2)/$Q$2))</f>
        <v>10475.9883699637</v>
      </c>
      <c r="N195" s="15" t="n">
        <f aca="false">M195*(1+IF(N$3&lt;=$O$2,$D195,$D195-($D195-$I$184)*MIN(N$3-$O$2,$Q$2)/$Q$2))</f>
        <v>10667.6989571341</v>
      </c>
      <c r="O195" s="15" t="n">
        <f aca="false">SUMPRODUCT(E195:N195,1/(1+$F$184)^$E$3:$N$3)*$E$2</f>
        <v>22216.4789318022</v>
      </c>
      <c r="P195" s="15" t="n">
        <f aca="false">N195*$E$2*(1+$I$184)/($F$184-$I$184)/(1+$F$184)^$N$3</f>
        <v>38877.5075400966</v>
      </c>
      <c r="Q195" s="15" t="n">
        <f aca="false">O195+P195</f>
        <v>61093.9864718988</v>
      </c>
      <c r="R195" s="15" t="n">
        <f aca="false">Q195-$G$2+$I$2</f>
        <v>52328.9864718988</v>
      </c>
      <c r="S195" s="40" t="n">
        <f aca="false">R195/$K$2</f>
        <v>93.6151319759182</v>
      </c>
      <c r="T195" s="41" t="n">
        <f aca="false">S195-$M$2</f>
        <v>0.141304647570124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0.0859375</v>
      </c>
      <c r="C196" s="25" t="n">
        <f aca="false">IF(T195&gt;0,D195,C195)</f>
        <v>0.08740234375</v>
      </c>
      <c r="D196" s="39" t="n">
        <f aca="false">(B196+C196)/2</f>
        <v>0.086669921875</v>
      </c>
      <c r="E196" s="15" t="n">
        <f aca="false">$C$2*(1+IF(E$3&lt;=$O$2,$D196,$D196-($D196-$I$184)*MIN(E$3-$O$2,$Q$2)/$Q$2))</f>
        <v>6096.21826171875</v>
      </c>
      <c r="F196" s="15" t="n">
        <f aca="false">E196*(1+IF(F$3&lt;=$O$2,$D196,$D196-($D196-$I$184)*MIN(F$3-$O$2,$Q$2)/$Q$2))</f>
        <v>6624.57702219486</v>
      </c>
      <c r="G196" s="15" t="n">
        <f aca="false">F196*(1+IF(G$3&lt;=$O$2,$D196,$D196-($D196-$I$184)*MIN(G$3-$O$2,$Q$2)/$Q$2))</f>
        <v>7198.72859516341</v>
      </c>
      <c r="H196" s="15" t="n">
        <f aca="false">G196*(1+IF(H$3&lt;=$O$2,$D196,$D196-($D196-$I$184)*MIN(H$3-$O$2,$Q$2)/$Q$2))</f>
        <v>7822.64184010555</v>
      </c>
      <c r="I196" s="15" t="n">
        <f aca="false">H196*(1+IF(I$3&lt;=$O$2,$D196,$D196-($D196-$I$184)*MIN(I$3-$O$2,$Q$2)/$Q$2))</f>
        <v>8500.62959724361</v>
      </c>
      <c r="J196" s="15" t="n">
        <f aca="false">I196*(1+IF(J$3&lt;=$O$2,$D196,$D196-($D196-$I$184)*MIN(J$3-$O$2,$Q$2)/$Q$2))</f>
        <v>9121.14102403465</v>
      </c>
      <c r="K196" s="15" t="n">
        <f aca="false">J196*(1+IF(K$3&lt;=$O$2,$D196,$D196-($D196-$I$184)*MIN(K$3-$O$2,$Q$2)/$Q$2))</f>
        <v>9662.22492430895</v>
      </c>
      <c r="L196" s="15" t="n">
        <f aca="false">K196*(1+IF(L$3&lt;=$O$2,$D196,$D196-($D196-$I$184)*MIN(L$3-$O$2,$Q$2)/$Q$2))</f>
        <v>10103.2858657093</v>
      </c>
      <c r="M196" s="15" t="n">
        <f aca="false">L196*(1+IF(M$3&lt;=$O$2,$D196,$D196-($D196-$I$184)*MIN(M$3-$O$2,$Q$2)/$Q$2))</f>
        <v>10426.3281701156</v>
      </c>
      <c r="N196" s="15" t="n">
        <f aca="false">M196*(1+IF(N$3&lt;=$O$2,$D196,$D196-($D196-$I$184)*MIN(N$3-$O$2,$Q$2)/$Q$2))</f>
        <v>10617.1299756287</v>
      </c>
      <c r="O196" s="15" t="n">
        <f aca="false">SUMPRODUCT(E196:N196,1/(1+$F$184)^$E$3:$N$3)*$E$2</f>
        <v>22144.6393583752</v>
      </c>
      <c r="P196" s="15" t="n">
        <f aca="false">N196*$E$2*(1+$I$184)/($F$184-$I$184)/(1+$F$184)^$N$3</f>
        <v>38693.213254359</v>
      </c>
      <c r="Q196" s="15" t="n">
        <f aca="false">O196+P196</f>
        <v>60837.8526127342</v>
      </c>
      <c r="R196" s="15" t="n">
        <f aca="false">Q196-$G$2+$I$2</f>
        <v>52072.8526127342</v>
      </c>
      <c r="S196" s="40" t="n">
        <f aca="false">R196/$K$2</f>
        <v>93.156915475928</v>
      </c>
      <c r="T196" s="41" t="n">
        <f aca="false">S196-$M$2</f>
        <v>-0.316911852420105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0.086669921875</v>
      </c>
      <c r="C197" s="25" t="n">
        <f aca="false">IF(T196&gt;0,D196,C196)</f>
        <v>0.08740234375</v>
      </c>
      <c r="D197" s="39" t="n">
        <f aca="false">(B197+C197)/2</f>
        <v>0.0870361328125</v>
      </c>
      <c r="E197" s="15" t="n">
        <f aca="false">$C$2*(1+IF(E$3&lt;=$O$2,$D197,$D197-($D197-$I$184)*MIN(E$3-$O$2,$Q$2)/$Q$2))</f>
        <v>6098.27270507813</v>
      </c>
      <c r="F197" s="15" t="n">
        <f aca="false">E197*(1+IF(F$3&lt;=$O$2,$D197,$D197-($D197-$I$184)*MIN(F$3-$O$2,$Q$2)/$Q$2))</f>
        <v>6629.04277816415</v>
      </c>
      <c r="G197" s="15" t="n">
        <f aca="false">F197*(1+IF(G$3&lt;=$O$2,$D197,$D197-($D197-$I$184)*MIN(G$3-$O$2,$Q$2)/$Q$2))</f>
        <v>7206.00902582419</v>
      </c>
      <c r="H197" s="15" t="n">
        <f aca="false">G197*(1+IF(H$3&lt;=$O$2,$D197,$D197-($D197-$I$184)*MIN(H$3-$O$2,$Q$2)/$Q$2))</f>
        <v>7833.1921844439</v>
      </c>
      <c r="I197" s="15" t="n">
        <f aca="false">H197*(1+IF(I$3&lt;=$O$2,$D197,$D197-($D197-$I$184)*MIN(I$3-$O$2,$Q$2)/$Q$2))</f>
        <v>8514.96293975499</v>
      </c>
      <c r="J197" s="15" t="n">
        <f aca="false">I197*(1+IF(J$3&lt;=$O$2,$D197,$D197-($D197-$I$184)*MIN(J$3-$O$2,$Q$2)/$Q$2))</f>
        <v>9139.01526036892</v>
      </c>
      <c r="K197" s="15" t="n">
        <f aca="false">J197*(1+IF(K$3&lt;=$O$2,$D197,$D197-($D197-$I$184)*MIN(K$3-$O$2,$Q$2)/$Q$2))</f>
        <v>9683.16757966098</v>
      </c>
      <c r="L197" s="15" t="n">
        <f aca="false">K197*(1+IF(L$3&lt;=$O$2,$D197,$D197-($D197-$I$184)*MIN(L$3-$O$2,$Q$2)/$Q$2))</f>
        <v>10126.6029434893</v>
      </c>
      <c r="M197" s="15" t="n">
        <f aca="false">L197*(1+IF(M$3&lt;=$O$2,$D197,$D197-($D197-$I$184)*MIN(M$3-$O$2,$Q$2)/$Q$2))</f>
        <v>10451.1324823278</v>
      </c>
      <c r="N197" s="15" t="n">
        <f aca="false">M197*(1+IF(N$3&lt;=$O$2,$D197,$D197-($D197-$I$184)*MIN(N$3-$O$2,$Q$2)/$Q$2))</f>
        <v>10642.3882067544</v>
      </c>
      <c r="O197" s="15" t="n">
        <f aca="false">SUMPRODUCT(E197:N197,1/(1+$F$184)^$E$3:$N$3)*$E$2</f>
        <v>22180.5303029596</v>
      </c>
      <c r="P197" s="15" t="n">
        <f aca="false">N197*$E$2*(1+$I$184)/($F$184-$I$184)/(1+$F$184)^$N$3</f>
        <v>38785.2646962849</v>
      </c>
      <c r="Q197" s="15" t="n">
        <f aca="false">O197+P197</f>
        <v>60965.7949992445</v>
      </c>
      <c r="R197" s="15" t="n">
        <f aca="false">Q197-$G$2+$I$2</f>
        <v>52200.7949992445</v>
      </c>
      <c r="S197" s="40" t="n">
        <f aca="false">R197/$K$2</f>
        <v>93.3858009217585</v>
      </c>
      <c r="T197" s="41" t="n">
        <f aca="false">S197-$M$2</f>
        <v>-0.0880264065896341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0.0870361328125</v>
      </c>
      <c r="C198" s="25" t="n">
        <f aca="false">IF(T197&gt;0,D197,C197)</f>
        <v>0.08740234375</v>
      </c>
      <c r="D198" s="39" t="n">
        <f aca="false">(B198+C198)/2</f>
        <v>0.08721923828125</v>
      </c>
      <c r="E198" s="15" t="n">
        <f aca="false">$C$2*(1+IF(E$3&lt;=$O$2,$D198,$D198-($D198-$I$184)*MIN(E$3-$O$2,$Q$2)/$Q$2))</f>
        <v>6099.29992675781</v>
      </c>
      <c r="F198" s="15" t="n">
        <f aca="false">E198*(1+IF(F$3&lt;=$O$2,$D198,$D198-($D198-$I$184)*MIN(F$3-$O$2,$Q$2)/$Q$2))</f>
        <v>6631.27622041851</v>
      </c>
      <c r="G198" s="15" t="n">
        <f aca="false">F198*(1+IF(G$3&lt;=$O$2,$D198,$D198-($D198-$I$184)*MIN(G$3-$O$2,$Q$2)/$Q$2))</f>
        <v>7209.65108119598</v>
      </c>
      <c r="H198" s="15" t="n">
        <f aca="false">G198*(1+IF(H$3&lt;=$O$2,$D198,$D198-($D198-$I$184)*MIN(H$3-$O$2,$Q$2)/$Q$2))</f>
        <v>7838.47135677149</v>
      </c>
      <c r="I198" s="15" t="n">
        <f aca="false">H198*(1+IF(I$3&lt;=$O$2,$D198,$D198-($D198-$I$184)*MIN(I$3-$O$2,$Q$2)/$Q$2))</f>
        <v>8522.13685779849</v>
      </c>
      <c r="J198" s="15" t="n">
        <f aca="false">I198*(1+IF(J$3&lt;=$O$2,$D198,$D198-($D198-$I$184)*MIN(J$3-$O$2,$Q$2)/$Q$2))</f>
        <v>9147.96330691063</v>
      </c>
      <c r="K198" s="15" t="n">
        <f aca="false">J198*(1+IF(K$3&lt;=$O$2,$D198,$D198-($D198-$I$184)*MIN(K$3-$O$2,$Q$2)/$Q$2))</f>
        <v>9693.65343318936</v>
      </c>
      <c r="L198" s="15" t="n">
        <f aca="false">K198*(1+IF(L$3&lt;=$O$2,$D198,$D198-($D198-$I$184)*MIN(L$3-$O$2,$Q$2)/$Q$2))</f>
        <v>10138.2789753279</v>
      </c>
      <c r="M198" s="15" t="n">
        <f aca="false">L198*(1+IF(M$3&lt;=$O$2,$D198,$D198-($D198-$I$184)*MIN(M$3-$O$2,$Q$2)/$Q$2))</f>
        <v>10463.5539734688</v>
      </c>
      <c r="N198" s="15" t="n">
        <f aca="false">M198*(1+IF(N$3&lt;=$O$2,$D198,$D198-($D198-$I$184)*MIN(N$3-$O$2,$Q$2)/$Q$2))</f>
        <v>10655.0370111833</v>
      </c>
      <c r="O198" s="15" t="n">
        <f aca="false">SUMPRODUCT(E198:N198,1/(1+$F$184)^$E$3:$N$3)*$E$2</f>
        <v>22198.497401498</v>
      </c>
      <c r="P198" s="15" t="n">
        <f aca="false">N198*$E$2*(1+$I$184)/($F$184-$I$184)/(1+$F$184)^$N$3</f>
        <v>38831.3621716201</v>
      </c>
      <c r="Q198" s="15" t="n">
        <f aca="false">O198+P198</f>
        <v>61029.8595731181</v>
      </c>
      <c r="R198" s="15" t="n">
        <f aca="false">Q198-$G$2+$I$2</f>
        <v>52264.8595731181</v>
      </c>
      <c r="S198" s="40" t="n">
        <f aca="false">R198/$K$2</f>
        <v>93.5004107000574</v>
      </c>
      <c r="T198" s="41" t="n">
        <f aca="false">S198-$M$2</f>
        <v>0.0265833717093358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0.0870361328125</v>
      </c>
      <c r="C199" s="25" t="n">
        <f aca="false">IF(T198&gt;0,D198,C198)</f>
        <v>0.08721923828125</v>
      </c>
      <c r="D199" s="39" t="n">
        <f aca="false">(B199+C199)/2</f>
        <v>0.087127685546875</v>
      </c>
      <c r="E199" s="15" t="n">
        <f aca="false">$C$2*(1+IF(E$3&lt;=$O$2,$D199,$D199-($D199-$I$184)*MIN(E$3-$O$2,$Q$2)/$Q$2))</f>
        <v>6098.78631591797</v>
      </c>
      <c r="F199" s="15" t="n">
        <f aca="false">E199*(1+IF(F$3&lt;=$O$2,$D199,$D199-($D199-$I$184)*MIN(F$3-$O$2,$Q$2)/$Q$2))</f>
        <v>6630.15945226885</v>
      </c>
      <c r="G199" s="15" t="n">
        <f aca="false">F199*(1+IF(G$3&lt;=$O$2,$D199,$D199-($D199-$I$184)*MIN(G$3-$O$2,$Q$2)/$Q$2))</f>
        <v>7207.82990015178</v>
      </c>
      <c r="H199" s="15" t="n">
        <f aca="false">G199*(1+IF(H$3&lt;=$O$2,$D199,$D199-($D199-$I$184)*MIN(H$3-$O$2,$Q$2)/$Q$2))</f>
        <v>7835.83143716756</v>
      </c>
      <c r="I199" s="15" t="n">
        <f aca="false">H199*(1+IF(I$3&lt;=$O$2,$D199,$D199-($D199-$I$184)*MIN(I$3-$O$2,$Q$2)/$Q$2))</f>
        <v>8518.54929462342</v>
      </c>
      <c r="J199" s="15" t="n">
        <f aca="false">I199*(1+IF(J$3&lt;=$O$2,$D199,$D199-($D199-$I$184)*MIN(J$3-$O$2,$Q$2)/$Q$2))</f>
        <v>9143.48837244774</v>
      </c>
      <c r="K199" s="15" t="n">
        <f aca="false">J199*(1+IF(K$3&lt;=$O$2,$D199,$D199-($D199-$I$184)*MIN(K$3-$O$2,$Q$2)/$Q$2))</f>
        <v>9688.40929516374</v>
      </c>
      <c r="L199" s="15" t="n">
        <f aca="false">K199*(1+IF(L$3&lt;=$O$2,$D199,$D199-($D199-$I$184)*MIN(L$3-$O$2,$Q$2)/$Q$2))</f>
        <v>10132.439500632</v>
      </c>
      <c r="M199" s="15" t="n">
        <f aca="false">L199*(1+IF(M$3&lt;=$O$2,$D199,$D199-($D199-$I$184)*MIN(M$3-$O$2,$Q$2)/$Q$2))</f>
        <v>10457.341615448</v>
      </c>
      <c r="N199" s="15" t="n">
        <f aca="false">M199*(1+IF(N$3&lt;=$O$2,$D199,$D199-($D199-$I$184)*MIN(N$3-$O$2,$Q$2)/$Q$2))</f>
        <v>10648.7109670107</v>
      </c>
      <c r="O199" s="15" t="n">
        <f aca="false">SUMPRODUCT(E199:N199,1/(1+$F$184)^$E$3:$N$3)*$E$2</f>
        <v>22189.5120489272</v>
      </c>
      <c r="P199" s="15" t="n">
        <f aca="false">N199*$E$2*(1+$I$184)/($F$184-$I$184)/(1+$F$184)^$N$3</f>
        <v>38808.307449978</v>
      </c>
      <c r="Q199" s="15" t="n">
        <f aca="false">O199+P199</f>
        <v>60997.8194989051</v>
      </c>
      <c r="R199" s="15" t="n">
        <f aca="false">Q199-$G$2+$I$2</f>
        <v>52232.8194989051</v>
      </c>
      <c r="S199" s="40" t="n">
        <f aca="false">R199/$K$2</f>
        <v>93.4430918796829</v>
      </c>
      <c r="T199" s="41" t="n">
        <f aca="false">S199-$M$2</f>
        <v>-0.0307354486651974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0.087127685546875</v>
      </c>
      <c r="C200" s="25" t="n">
        <f aca="false">IF(T199&gt;0,D199,C199)</f>
        <v>0.08721923828125</v>
      </c>
      <c r="D200" s="39" t="n">
        <f aca="false">(B200+C200)/2</f>
        <v>0.0871734619140625</v>
      </c>
      <c r="E200" s="15" t="n">
        <f aca="false">$C$2*(1+IF(E$3&lt;=$O$2,$D200,$D200-($D200-$I$184)*MIN(E$3-$O$2,$Q$2)/$Q$2))</f>
        <v>6099.04312133789</v>
      </c>
      <c r="F200" s="15" t="n">
        <f aca="false">E200*(1+IF(F$3&lt;=$O$2,$D200,$D200-($D200-$I$184)*MIN(F$3-$O$2,$Q$2)/$Q$2))</f>
        <v>6630.71782458806</v>
      </c>
      <c r="G200" s="15" t="n">
        <f aca="false">F200*(1+IF(G$3&lt;=$O$2,$D200,$D200-($D200-$I$184)*MIN(G$3-$O$2,$Q$2)/$Q$2))</f>
        <v>7208.74045233269</v>
      </c>
      <c r="H200" s="15" t="n">
        <f aca="false">G200*(1+IF(H$3&lt;=$O$2,$D200,$D200-($D200-$I$184)*MIN(H$3-$O$2,$Q$2)/$Q$2))</f>
        <v>7837.15131360247</v>
      </c>
      <c r="I200" s="15" t="n">
        <f aca="false">H200*(1+IF(I$3&lt;=$O$2,$D200,$D200-($D200-$I$184)*MIN(I$3-$O$2,$Q$2)/$Q$2))</f>
        <v>8520.34292515354</v>
      </c>
      <c r="J200" s="15" t="n">
        <f aca="false">I200*(1+IF(J$3&lt;=$O$2,$D200,$D200-($D200-$I$184)*MIN(J$3-$O$2,$Q$2)/$Q$2))</f>
        <v>9145.7256118441</v>
      </c>
      <c r="K200" s="15" t="n">
        <f aca="false">J200*(1+IF(K$3&lt;=$O$2,$D200,$D200-($D200-$I$184)*MIN(K$3-$O$2,$Q$2)/$Q$2))</f>
        <v>9691.03106130314</v>
      </c>
      <c r="L200" s="15" t="n">
        <f aca="false">K200*(1+IF(L$3&lt;=$O$2,$D200,$D200-($D200-$I$184)*MIN(L$3-$O$2,$Q$2)/$Q$2))</f>
        <v>10135.3588732084</v>
      </c>
      <c r="M200" s="15" t="n">
        <f aca="false">L200*(1+IF(M$3&lt;=$O$2,$D200,$D200-($D200-$I$184)*MIN(M$3-$O$2,$Q$2)/$Q$2))</f>
        <v>10460.447391256</v>
      </c>
      <c r="N200" s="15" t="n">
        <f aca="false">M200*(1+IF(N$3&lt;=$O$2,$D200,$D200-($D200-$I$184)*MIN(N$3-$O$2,$Q$2)/$Q$2))</f>
        <v>10651.873578516</v>
      </c>
      <c r="O200" s="15" t="n">
        <f aca="false">SUMPRODUCT(E200:N200,1/(1+$F$184)^$E$3:$N$3)*$E$2</f>
        <v>22194.0042743036</v>
      </c>
      <c r="P200" s="15" t="n">
        <f aca="false">N200*$E$2*(1+$I$184)/($F$184-$I$184)/(1+$F$184)^$N$3</f>
        <v>38819.833314472</v>
      </c>
      <c r="Q200" s="15" t="n">
        <f aca="false">O200+P200</f>
        <v>61013.8375887755</v>
      </c>
      <c r="R200" s="15" t="n">
        <f aca="false">Q200-$G$2+$I$2</f>
        <v>52248.8375887755</v>
      </c>
      <c r="S200" s="40" t="n">
        <f aca="false">R200/$K$2</f>
        <v>93.4717478063178</v>
      </c>
      <c r="T200" s="41" t="n">
        <f aca="false">S200-$M$2</f>
        <v>-0.00207952203027162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0.0871734619140625</v>
      </c>
      <c r="C201" s="25" t="n">
        <f aca="false">IF(T200&gt;0,D200,C200)</f>
        <v>0.08721923828125</v>
      </c>
      <c r="D201" s="39" t="n">
        <f aca="false">(B201+C201)/2</f>
        <v>0.0871963500976563</v>
      </c>
      <c r="E201" s="15" t="n">
        <f aca="false">$C$2*(1+IF(E$3&lt;=$O$2,$D201,$D201-($D201-$I$184)*MIN(E$3-$O$2,$Q$2)/$Q$2))</f>
        <v>6099.17152404785</v>
      </c>
      <c r="F201" s="15" t="n">
        <f aca="false">E201*(1+IF(F$3&lt;=$O$2,$D201,$D201-($D201-$I$184)*MIN(F$3-$O$2,$Q$2)/$Q$2))</f>
        <v>6630.99701956438</v>
      </c>
      <c r="G201" s="15" t="n">
        <f aca="false">F201*(1+IF(G$3&lt;=$O$2,$D201,$D201-($D201-$I$184)*MIN(G$3-$O$2,$Q$2)/$Q$2))</f>
        <v>7209.19575717884</v>
      </c>
      <c r="H201" s="15" t="n">
        <f aca="false">G201*(1+IF(H$3&lt;=$O$2,$D201,$D201-($D201-$I$184)*MIN(H$3-$O$2,$Q$2)/$Q$2))</f>
        <v>7837.81131434434</v>
      </c>
      <c r="I201" s="15" t="n">
        <f aca="false">H201*(1+IF(I$3&lt;=$O$2,$D201,$D201-($D201-$I$184)*MIN(I$3-$O$2,$Q$2)/$Q$2))</f>
        <v>8521.23985370928</v>
      </c>
      <c r="J201" s="15" t="n">
        <f aca="false">I201*(1+IF(J$3&lt;=$O$2,$D201,$D201-($D201-$I$184)*MIN(J$3-$O$2,$Q$2)/$Q$2))</f>
        <v>9146.84440241396</v>
      </c>
      <c r="K201" s="15" t="n">
        <f aca="false">J201*(1+IF(K$3&lt;=$O$2,$D201,$D201-($D201-$I$184)*MIN(K$3-$O$2,$Q$2)/$Q$2))</f>
        <v>9692.34217152064</v>
      </c>
      <c r="L201" s="15" t="n">
        <f aca="false">K201*(1+IF(L$3&lt;=$O$2,$D201,$D201-($D201-$I$184)*MIN(L$3-$O$2,$Q$2)/$Q$2))</f>
        <v>10136.8188330656</v>
      </c>
      <c r="M201" s="15" t="n">
        <f aca="false">L201*(1+IF(M$3&lt;=$O$2,$D201,$D201-($D201-$I$184)*MIN(M$3-$O$2,$Q$2)/$Q$2))</f>
        <v>10462.0005815506</v>
      </c>
      <c r="N201" s="15" t="n">
        <f aca="false">M201*(1+IF(N$3&lt;=$O$2,$D201,$D201-($D201-$I$184)*MIN(N$3-$O$2,$Q$2)/$Q$2))</f>
        <v>10653.455192193</v>
      </c>
      <c r="O201" s="15" t="n">
        <f aca="false">SUMPRODUCT(E201:N201,1/(1+$F$184)^$E$3:$N$3)*$E$2</f>
        <v>22196.2507251631</v>
      </c>
      <c r="P201" s="15" t="n">
        <f aca="false">N201*$E$2*(1+$I$184)/($F$184-$I$184)/(1+$F$184)^$N$3</f>
        <v>38825.5973689226</v>
      </c>
      <c r="Q201" s="15" t="n">
        <f aca="false">O201+P201</f>
        <v>61021.8480940857</v>
      </c>
      <c r="R201" s="15" t="n">
        <f aca="false">Q201-$G$2+$I$2</f>
        <v>52256.8480940857</v>
      </c>
      <c r="S201" s="40" t="n">
        <f aca="false">R201/$K$2</f>
        <v>93.4860783822063</v>
      </c>
      <c r="T201" s="41" t="n">
        <f aca="false">S201-$M$2</f>
        <v>0.0122510538581793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0.0871734619140625</v>
      </c>
      <c r="C202" s="25" t="n">
        <f aca="false">IF(T201&gt;0,D201,C201)</f>
        <v>0.0871963500976563</v>
      </c>
      <c r="D202" s="39" t="n">
        <f aca="false">(B202+C202)/2</f>
        <v>0.0871849060058594</v>
      </c>
      <c r="E202" s="15" t="n">
        <f aca="false">$C$2*(1+IF(E$3&lt;=$O$2,$D202,$D202-($D202-$I$184)*MIN(E$3-$O$2,$Q$2)/$Q$2))</f>
        <v>6099.10732269287</v>
      </c>
      <c r="F202" s="15" t="n">
        <f aca="false">E202*(1+IF(F$3&lt;=$O$2,$D202,$D202-($D202-$I$184)*MIN(F$3-$O$2,$Q$2)/$Q$2))</f>
        <v>6630.8574213415</v>
      </c>
      <c r="G202" s="15" t="n">
        <f aca="false">F202*(1+IF(G$3&lt;=$O$2,$D202,$D202-($D202-$I$184)*MIN(G$3-$O$2,$Q$2)/$Q$2))</f>
        <v>7208.96810235941</v>
      </c>
      <c r="H202" s="15" t="n">
        <f aca="false">G202*(1+IF(H$3&lt;=$O$2,$D202,$D202-($D202-$I$184)*MIN(H$3-$O$2,$Q$2)/$Q$2))</f>
        <v>7837.48130876285</v>
      </c>
      <c r="I202" s="15" t="n">
        <f aca="false">H202*(1+IF(I$3&lt;=$O$2,$D202,$D202-($D202-$I$184)*MIN(I$3-$O$2,$Q$2)/$Q$2))</f>
        <v>8520.79137999002</v>
      </c>
      <c r="J202" s="15" t="n">
        <f aca="false">I202*(1+IF(J$3&lt;=$O$2,$D202,$D202-($D202-$I$184)*MIN(J$3-$O$2,$Q$2)/$Q$2))</f>
        <v>9146.28499288876</v>
      </c>
      <c r="K202" s="15" t="n">
        <f aca="false">J202*(1+IF(K$3&lt;=$O$2,$D202,$D202-($D202-$I$184)*MIN(K$3-$O$2,$Q$2)/$Q$2))</f>
        <v>9691.68659748139</v>
      </c>
      <c r="L202" s="15" t="n">
        <f aca="false">K202*(1+IF(L$3&lt;=$O$2,$D202,$D202-($D202-$I$184)*MIN(L$3-$O$2,$Q$2)/$Q$2))</f>
        <v>10136.0888303376</v>
      </c>
      <c r="M202" s="15" t="n">
        <f aca="false">L202*(1+IF(M$3&lt;=$O$2,$D202,$D202-($D202-$I$184)*MIN(M$3-$O$2,$Q$2)/$Q$2))</f>
        <v>10461.2239612018</v>
      </c>
      <c r="N202" s="15" t="n">
        <f aca="false">M202*(1+IF(N$3&lt;=$O$2,$D202,$D202-($D202-$I$184)*MIN(N$3-$O$2,$Q$2)/$Q$2))</f>
        <v>10652.6643596917</v>
      </c>
      <c r="O202" s="15" t="n">
        <f aca="false">SUMPRODUCT(E202:N202,1/(1+$F$184)^$E$3:$N$3)*$E$2</f>
        <v>22195.1274715502</v>
      </c>
      <c r="P202" s="15" t="n">
        <f aca="false">N202*$E$2*(1+$I$184)/($F$184-$I$184)/(1+$F$184)^$N$3</f>
        <v>38822.7152481716</v>
      </c>
      <c r="Q202" s="15" t="n">
        <f aca="false">O202+P202</f>
        <v>61017.8427197218</v>
      </c>
      <c r="R202" s="15" t="n">
        <f aca="false">Q202-$G$2+$I$2</f>
        <v>52252.8427197218</v>
      </c>
      <c r="S202" s="40" t="n">
        <f aca="false">R202/$K$2</f>
        <v>93.4789128765283</v>
      </c>
      <c r="T202" s="41" t="n">
        <f aca="false">S202-$M$2</f>
        <v>0.00508554818026141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0.0871734619140625</v>
      </c>
      <c r="C203" s="25" t="n">
        <f aca="false">IF(T202&gt;0,D202,C202)</f>
        <v>0.0871849060058594</v>
      </c>
      <c r="D203" s="39" t="n">
        <f aca="false">(B203+C203)/2</f>
        <v>0.0871791839599609</v>
      </c>
      <c r="E203" s="15" t="n">
        <f aca="false">$C$2*(1+IF(E$3&lt;=$O$2,$D203,$D203-($D203-$I$184)*MIN(E$3-$O$2,$Q$2)/$Q$2))</f>
        <v>6099.07522201538</v>
      </c>
      <c r="F203" s="15" t="n">
        <f aca="false">E203*(1+IF(F$3&lt;=$O$2,$D203,$D203-($D203-$I$184)*MIN(F$3-$O$2,$Q$2)/$Q$2))</f>
        <v>6630.7876227811</v>
      </c>
      <c r="G203" s="15" t="n">
        <f aca="false">F203*(1+IF(G$3&lt;=$O$2,$D203,$D203-($D203-$I$184)*MIN(G$3-$O$2,$Q$2)/$Q$2))</f>
        <v>7208.85427674697</v>
      </c>
      <c r="H203" s="15" t="n">
        <f aca="false">G203*(1+IF(H$3&lt;=$O$2,$D203,$D203-($D203-$I$184)*MIN(H$3-$O$2,$Q$2)/$Q$2))</f>
        <v>7837.31630988004</v>
      </c>
      <c r="I203" s="15" t="n">
        <f aca="false">H203*(1+IF(I$3&lt;=$O$2,$D203,$D203-($D203-$I$184)*MIN(I$3-$O$2,$Q$2)/$Q$2))</f>
        <v>8520.56715021148</v>
      </c>
      <c r="J203" s="15" t="n">
        <f aca="false">I203*(1+IF(J$3&lt;=$O$2,$D203,$D203-($D203-$I$184)*MIN(J$3-$O$2,$Q$2)/$Q$2))</f>
        <v>9146.00529880644</v>
      </c>
      <c r="K203" s="15" t="n">
        <f aca="false">J203*(1+IF(K$3&lt;=$O$2,$D203,$D203-($D203-$I$184)*MIN(K$3-$O$2,$Q$2)/$Q$2))</f>
        <v>9691.35882465976</v>
      </c>
      <c r="L203" s="15" t="n">
        <f aca="false">K203*(1+IF(L$3&lt;=$O$2,$D203,$D203-($D203-$I$184)*MIN(L$3-$O$2,$Q$2)/$Q$2))</f>
        <v>10135.7238460733</v>
      </c>
      <c r="M203" s="15" t="n">
        <f aca="false">L203*(1+IF(M$3&lt;=$O$2,$D203,$D203-($D203-$I$184)*MIN(M$3-$O$2,$Q$2)/$Q$2))</f>
        <v>10460.8356699287</v>
      </c>
      <c r="N203" s="15" t="n">
        <f aca="false">M203*(1+IF(N$3&lt;=$O$2,$D203,$D203-($D203-$I$184)*MIN(N$3-$O$2,$Q$2)/$Q$2))</f>
        <v>10652.2689626884</v>
      </c>
      <c r="O203" s="15" t="n">
        <f aca="false">SUMPRODUCT(E203:N203,1/(1+$F$184)^$E$3:$N$3)*$E$2</f>
        <v>22194.5658658813</v>
      </c>
      <c r="P203" s="15" t="n">
        <f aca="false">N203*$E$2*(1+$I$184)/($F$184-$I$184)/(1+$F$184)^$N$3</f>
        <v>38821.2742579411</v>
      </c>
      <c r="Q203" s="15" t="n">
        <f aca="false">O203+P203</f>
        <v>61015.8401238223</v>
      </c>
      <c r="R203" s="15" t="n">
        <f aca="false">Q203-$G$2+$I$2</f>
        <v>52250.8401238223</v>
      </c>
      <c r="S203" s="40" t="n">
        <f aca="false">R203/$K$2</f>
        <v>93.4753302869911</v>
      </c>
      <c r="T203" s="41" t="n">
        <f aca="false">S203-$M$2</f>
        <v>0.00150295864305861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0.0871734619140625</v>
      </c>
      <c r="C204" s="25" t="n">
        <f aca="false">IF(T203&gt;0,D203,C203)</f>
        <v>0.0871791839599609</v>
      </c>
      <c r="D204" s="39" t="n">
        <f aca="false">(B204+C204)/2</f>
        <v>0.0871763229370117</v>
      </c>
      <c r="E204" s="15" t="n">
        <f aca="false">$C$2*(1+IF(E$3&lt;=$O$2,$D204,$D204-($D204-$I$184)*MIN(E$3-$O$2,$Q$2)/$Q$2))</f>
        <v>6099.05917167664</v>
      </c>
      <c r="F204" s="15" t="n">
        <f aca="false">E204*(1+IF(F$3&lt;=$O$2,$D204,$D204-($D204-$I$184)*MIN(F$3-$O$2,$Q$2)/$Q$2))</f>
        <v>6630.75272363866</v>
      </c>
      <c r="G204" s="15" t="n">
        <f aca="false">F204*(1+IF(G$3&lt;=$O$2,$D204,$D204-($D204-$I$184)*MIN(G$3-$O$2,$Q$2)/$Q$2))</f>
        <v>7208.79736439006</v>
      </c>
      <c r="H204" s="15" t="n">
        <f aca="false">G204*(1+IF(H$3&lt;=$O$2,$D204,$D204-($D204-$I$184)*MIN(H$3-$O$2,$Q$2)/$Q$2))</f>
        <v>7837.2338114156</v>
      </c>
      <c r="I204" s="15" t="n">
        <f aca="false">H204*(1+IF(I$3&lt;=$O$2,$D204,$D204-($D204-$I$184)*MIN(I$3-$O$2,$Q$2)/$Q$2))</f>
        <v>8520.45503709244</v>
      </c>
      <c r="J204" s="15" t="n">
        <f aca="false">I204*(1+IF(J$3&lt;=$O$2,$D204,$D204-($D204-$I$184)*MIN(J$3-$O$2,$Q$2)/$Q$2))</f>
        <v>9145.86545443528</v>
      </c>
      <c r="K204" s="15" t="n">
        <f aca="false">J204*(1+IF(K$3&lt;=$O$2,$D204,$D204-($D204-$I$184)*MIN(K$3-$O$2,$Q$2)/$Q$2))</f>
        <v>9691.19494179833</v>
      </c>
      <c r="L204" s="15" t="n">
        <f aca="false">K204*(1+IF(L$3&lt;=$O$2,$D204,$D204-($D204-$I$184)*MIN(L$3-$O$2,$Q$2)/$Q$2))</f>
        <v>10135.541358216</v>
      </c>
      <c r="M204" s="15" t="n">
        <f aca="false">L204*(1+IF(M$3&lt;=$O$2,$D204,$D204-($D204-$I$184)*MIN(M$3-$O$2,$Q$2)/$Q$2))</f>
        <v>10460.6415290173</v>
      </c>
      <c r="N204" s="15" t="n">
        <f aca="false">M204*(1+IF(N$3&lt;=$O$2,$D204,$D204-($D204-$I$184)*MIN(N$3-$O$2,$Q$2)/$Q$2))</f>
        <v>10652.0712689983</v>
      </c>
      <c r="O204" s="15" t="n">
        <f aca="false">SUMPRODUCT(E204:N204,1/(1+$F$184)^$E$3:$N$3)*$E$2</f>
        <v>22194.285068331</v>
      </c>
      <c r="P204" s="15" t="n">
        <f aca="false">N204*$E$2*(1+$I$184)/($F$184-$I$184)/(1+$F$184)^$N$3</f>
        <v>38820.5537803614</v>
      </c>
      <c r="Q204" s="15" t="n">
        <f aca="false">O204+P204</f>
        <v>61014.8388486924</v>
      </c>
      <c r="R204" s="15" t="n">
        <f aca="false">Q204-$G$2+$I$2</f>
        <v>52249.8388486924</v>
      </c>
      <c r="S204" s="40" t="n">
        <f aca="false">R204/$K$2</f>
        <v>93.4735390330467</v>
      </c>
      <c r="T204" s="41" t="n">
        <f aca="false">S204-$M$2</f>
        <v>-0.000288295301416497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0.0871763229370117</v>
      </c>
      <c r="C205" s="25" t="n">
        <f aca="false">IF(T204&gt;0,D204,C204)</f>
        <v>0.0871791839599609</v>
      </c>
      <c r="D205" s="39" t="n">
        <f aca="false">(B205+C205)/2</f>
        <v>0.0871777534484863</v>
      </c>
      <c r="E205" s="15" t="n">
        <f aca="false">$C$2*(1+IF(E$3&lt;=$O$2,$D205,$D205-($D205-$I$184)*MIN(E$3-$O$2,$Q$2)/$Q$2))</f>
        <v>6099.06719684601</v>
      </c>
      <c r="F205" s="15" t="n">
        <f aca="false">E205*(1+IF(F$3&lt;=$O$2,$D205,$D205-($D205-$I$184)*MIN(F$3-$O$2,$Q$2)/$Q$2))</f>
        <v>6630.7701731984</v>
      </c>
      <c r="G205" s="15" t="n">
        <f aca="false">F205*(1+IF(G$3&lt;=$O$2,$D205,$D205-($D205-$I$184)*MIN(G$3-$O$2,$Q$2)/$Q$2))</f>
        <v>7208.82582053107</v>
      </c>
      <c r="H205" s="15" t="n">
        <f aca="false">G205*(1+IF(H$3&lt;=$O$2,$D205,$D205-($D205-$I$184)*MIN(H$3-$O$2,$Q$2)/$Q$2))</f>
        <v>7837.27506056641</v>
      </c>
      <c r="I205" s="15" t="n">
        <f aca="false">H205*(1+IF(I$3&lt;=$O$2,$D205,$D205-($D205-$I$184)*MIN(I$3-$O$2,$Q$2)/$Q$2))</f>
        <v>8520.51109350443</v>
      </c>
      <c r="J205" s="15" t="n">
        <f aca="false">I205*(1+IF(J$3&lt;=$O$2,$D205,$D205-($D205-$I$184)*MIN(J$3-$O$2,$Q$2)/$Q$2))</f>
        <v>9145.93537639836</v>
      </c>
      <c r="K205" s="15" t="n">
        <f aca="false">J205*(1+IF(K$3&lt;=$O$2,$D205,$D205-($D205-$I$184)*MIN(K$3-$O$2,$Q$2)/$Q$2))</f>
        <v>9691.27688293326</v>
      </c>
      <c r="L205" s="15" t="n">
        <f aca="false">K205*(1+IF(L$3&lt;=$O$2,$D205,$D205-($D205-$I$184)*MIN(L$3-$O$2,$Q$2)/$Q$2))</f>
        <v>10135.6326017884</v>
      </c>
      <c r="M205" s="15" t="n">
        <f aca="false">L205*(1+IF(M$3&lt;=$O$2,$D205,$D205-($D205-$I$184)*MIN(M$3-$O$2,$Q$2)/$Q$2))</f>
        <v>10460.7385990792</v>
      </c>
      <c r="N205" s="15" t="n">
        <f aca="false">M205*(1+IF(N$3&lt;=$O$2,$D205,$D205-($D205-$I$184)*MIN(N$3-$O$2,$Q$2)/$Q$2))</f>
        <v>10652.1701154424</v>
      </c>
      <c r="O205" s="15" t="n">
        <f aca="false">SUMPRODUCT(E205:N205,1/(1+$F$184)^$E$3:$N$3)*$E$2</f>
        <v>22194.4254666658</v>
      </c>
      <c r="P205" s="15" t="n">
        <f aca="false">N205*$E$2*(1+$I$184)/($F$184-$I$184)/(1+$F$184)^$N$3</f>
        <v>38820.9140176899</v>
      </c>
      <c r="Q205" s="15" t="n">
        <f aca="false">O205+P205</f>
        <v>61015.3394843557</v>
      </c>
      <c r="R205" s="15" t="n">
        <f aca="false">Q205-$G$2+$I$2</f>
        <v>52250.3394843557</v>
      </c>
      <c r="S205" s="40" t="n">
        <f aca="false">R205/$K$2</f>
        <v>93.4744346566169</v>
      </c>
      <c r="T205" s="41" t="n">
        <f aca="false">S205-$M$2</f>
        <v>0.000607328268799279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0.0871763229370117</v>
      </c>
      <c r="C206" s="25" t="n">
        <f aca="false">IF(T205&gt;0,D205,C205)</f>
        <v>0.0871777534484863</v>
      </c>
      <c r="D206" s="39" t="n">
        <f aca="false">(B206+C206)/2</f>
        <v>0.087177038192749</v>
      </c>
      <c r="E206" s="15" t="n">
        <f aca="false">$C$2*(1+IF(E$3&lt;=$O$2,$D206,$D206-($D206-$I$184)*MIN(E$3-$O$2,$Q$2)/$Q$2))</f>
        <v>6099.06318426132</v>
      </c>
      <c r="F206" s="15" t="n">
        <f aca="false">E206*(1+IF(F$3&lt;=$O$2,$D206,$D206-($D206-$I$184)*MIN(F$3-$O$2,$Q$2)/$Q$2))</f>
        <v>6630.76144841566</v>
      </c>
      <c r="G206" s="15" t="n">
        <f aca="false">F206*(1+IF(G$3&lt;=$O$2,$D206,$D206-($D206-$I$184)*MIN(G$3-$O$2,$Q$2)/$Q$2))</f>
        <v>7208.8115924512</v>
      </c>
      <c r="H206" s="15" t="n">
        <f aca="false">G206*(1+IF(H$3&lt;=$O$2,$D206,$D206-($D206-$I$184)*MIN(H$3-$O$2,$Q$2)/$Q$2))</f>
        <v>7837.25443597065</v>
      </c>
      <c r="I206" s="15" t="n">
        <f aca="false">H206*(1+IF(I$3&lt;=$O$2,$D206,$D206-($D206-$I$184)*MIN(I$3-$O$2,$Q$2)/$Q$2))</f>
        <v>8520.48306526156</v>
      </c>
      <c r="J206" s="15" t="n">
        <f aca="false">I206*(1+IF(J$3&lt;=$O$2,$D206,$D206-($D206-$I$184)*MIN(J$3-$O$2,$Q$2)/$Q$2))</f>
        <v>9145.9004153612</v>
      </c>
      <c r="K206" s="15" t="n">
        <f aca="false">J206*(1+IF(K$3&lt;=$O$2,$D206,$D206-($D206-$I$184)*MIN(K$3-$O$2,$Q$2)/$Q$2))</f>
        <v>9691.23591229185</v>
      </c>
      <c r="L206" s="15" t="n">
        <f aca="false">K206*(1+IF(L$3&lt;=$O$2,$D206,$D206-($D206-$I$184)*MIN(L$3-$O$2,$Q$2)/$Q$2))</f>
        <v>10135.5869799131</v>
      </c>
      <c r="M206" s="15" t="n">
        <f aca="false">L206*(1+IF(M$3&lt;=$O$2,$D206,$D206-($D206-$I$184)*MIN(M$3-$O$2,$Q$2)/$Q$2))</f>
        <v>10460.6900639498</v>
      </c>
      <c r="N206" s="15" t="n">
        <f aca="false">M206*(1+IF(N$3&lt;=$O$2,$D206,$D206-($D206-$I$184)*MIN(N$3-$O$2,$Q$2)/$Q$2))</f>
        <v>10652.1206921201</v>
      </c>
      <c r="O206" s="15" t="n">
        <f aca="false">SUMPRODUCT(E206:N206,1/(1+$F$184)^$E$3:$N$3)*$E$2</f>
        <v>22194.3552673883</v>
      </c>
      <c r="P206" s="15" t="n">
        <f aca="false">N206*$E$2*(1+$I$184)/($F$184-$I$184)/(1+$F$184)^$N$3</f>
        <v>38820.7338986603</v>
      </c>
      <c r="Q206" s="15" t="n">
        <f aca="false">O206+P206</f>
        <v>61015.0891660487</v>
      </c>
      <c r="R206" s="15" t="n">
        <f aca="false">Q206-$G$2+$I$2</f>
        <v>52250.0891660487</v>
      </c>
      <c r="S206" s="40" t="n">
        <f aca="false">R206/$K$2</f>
        <v>93.4739868439813</v>
      </c>
      <c r="T206" s="41" t="n">
        <f aca="false">S206-$M$2</f>
        <v>0.000159515633200158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0.0871763229370117</v>
      </c>
      <c r="C207" s="25" t="n">
        <f aca="false">IF(T206&gt;0,D206,C206)</f>
        <v>0.087177038192749</v>
      </c>
      <c r="D207" s="39" t="n">
        <f aca="false">(B207+C207)/2</f>
        <v>0.0871766805648804</v>
      </c>
      <c r="E207" s="15" t="n">
        <f aca="false">$C$2*(1+IF(E$3&lt;=$O$2,$D207,$D207-($D207-$I$184)*MIN(E$3-$O$2,$Q$2)/$Q$2))</f>
        <v>6099.06117796898</v>
      </c>
      <c r="F207" s="15" t="n">
        <f aca="false">E207*(1+IF(F$3&lt;=$O$2,$D207,$D207-($D207-$I$184)*MIN(F$3-$O$2,$Q$2)/$Q$2))</f>
        <v>6630.75708602644</v>
      </c>
      <c r="G207" s="15" t="n">
        <f aca="false">F207*(1+IF(G$3&lt;=$O$2,$D207,$D207-($D207-$I$184)*MIN(G$3-$O$2,$Q$2)/$Q$2))</f>
        <v>7208.80447841829</v>
      </c>
      <c r="H207" s="15" t="n">
        <f aca="false">G207*(1+IF(H$3&lt;=$O$2,$D207,$D207-($D207-$I$184)*MIN(H$3-$O$2,$Q$2)/$Q$2))</f>
        <v>7837.24412368804</v>
      </c>
      <c r="I207" s="15" t="n">
        <f aca="false">H207*(1+IF(I$3&lt;=$O$2,$D207,$D207-($D207-$I$184)*MIN(I$3-$O$2,$Q$2)/$Q$2))</f>
        <v>8520.46905116778</v>
      </c>
      <c r="J207" s="15" t="n">
        <f aca="false">I207*(1+IF(J$3&lt;=$O$2,$D207,$D207-($D207-$I$184)*MIN(J$3-$O$2,$Q$2)/$Q$2))</f>
        <v>9145.88293488433</v>
      </c>
      <c r="K207" s="15" t="n">
        <f aca="false">J207*(1+IF(K$3&lt;=$O$2,$D207,$D207-($D207-$I$184)*MIN(K$3-$O$2,$Q$2)/$Q$2))</f>
        <v>9691.21542702661</v>
      </c>
      <c r="L207" s="15" t="n">
        <f aca="false">K207*(1+IF(L$3&lt;=$O$2,$D207,$D207-($D207-$I$184)*MIN(L$3-$O$2,$Q$2)/$Q$2))</f>
        <v>10135.5641690423</v>
      </c>
      <c r="M207" s="15" t="n">
        <f aca="false">L207*(1+IF(M$3&lt;=$O$2,$D207,$D207-($D207-$I$184)*MIN(M$3-$O$2,$Q$2)/$Q$2))</f>
        <v>10460.665796459</v>
      </c>
      <c r="N207" s="15" t="n">
        <f aca="false">M207*(1+IF(N$3&lt;=$O$2,$D207,$D207-($D207-$I$184)*MIN(N$3-$O$2,$Q$2)/$Q$2))</f>
        <v>10652.0959805342</v>
      </c>
      <c r="O207" s="15" t="n">
        <f aca="false">SUMPRODUCT(E207:N207,1/(1+$F$184)^$E$3:$N$3)*$E$2</f>
        <v>22194.3201678321</v>
      </c>
      <c r="P207" s="15" t="n">
        <f aca="false">N207*$E$2*(1+$I$184)/($F$184-$I$184)/(1+$F$184)^$N$3</f>
        <v>38820.6438394196</v>
      </c>
      <c r="Q207" s="15" t="n">
        <f aca="false">O207+P207</f>
        <v>61014.9640072517</v>
      </c>
      <c r="R207" s="15" t="n">
        <f aca="false">Q207-$G$2+$I$2</f>
        <v>52249.9640072517</v>
      </c>
      <c r="S207" s="40" t="n">
        <f aca="false">R207/$K$2</f>
        <v>93.4737629383014</v>
      </c>
      <c r="T207" s="41" t="n">
        <f aca="false">S207-$M$2</f>
        <v>-6.43900467309777E-005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0.0871766805648804</v>
      </c>
      <c r="C208" s="25" t="n">
        <f aca="false">IF(T207&gt;0,D207,C207)</f>
        <v>0.087177038192749</v>
      </c>
      <c r="D208" s="39" t="n">
        <f aca="false">(B208+C208)/2</f>
        <v>0.0871768593788147</v>
      </c>
      <c r="E208" s="15" t="n">
        <f aca="false">$C$2*(1+IF(E$3&lt;=$O$2,$D208,$D208-($D208-$I$184)*MIN(E$3-$O$2,$Q$2)/$Q$2))</f>
        <v>6099.06218111515</v>
      </c>
      <c r="F208" s="15" t="n">
        <f aca="false">E208*(1+IF(F$3&lt;=$O$2,$D208,$D208-($D208-$I$184)*MIN(F$3-$O$2,$Q$2)/$Q$2))</f>
        <v>6630.75926722087</v>
      </c>
      <c r="G208" s="15" t="n">
        <f aca="false">F208*(1+IF(G$3&lt;=$O$2,$D208,$D208-($D208-$I$184)*MIN(G$3-$O$2,$Q$2)/$Q$2))</f>
        <v>7208.80803543416</v>
      </c>
      <c r="H208" s="15" t="n">
        <f aca="false">G208*(1+IF(H$3&lt;=$O$2,$D208,$D208-($D208-$I$184)*MIN(H$3-$O$2,$Q$2)/$Q$2))</f>
        <v>7837.24927982807</v>
      </c>
      <c r="I208" s="15" t="n">
        <f aca="false">H208*(1+IF(I$3&lt;=$O$2,$D208,$D208-($D208-$I$184)*MIN(I$3-$O$2,$Q$2)/$Q$2))</f>
        <v>8520.47605821236</v>
      </c>
      <c r="J208" s="15" t="n">
        <f aca="false">I208*(1+IF(J$3&lt;=$O$2,$D208,$D208-($D208-$I$184)*MIN(J$3-$O$2,$Q$2)/$Q$2))</f>
        <v>9145.89167511929</v>
      </c>
      <c r="K208" s="15" t="n">
        <f aca="false">J208*(1+IF(K$3&lt;=$O$2,$D208,$D208-($D208-$I$184)*MIN(K$3-$O$2,$Q$2)/$Q$2))</f>
        <v>9691.22566965461</v>
      </c>
      <c r="L208" s="15" t="n">
        <f aca="false">K208*(1+IF(L$3&lt;=$O$2,$D208,$D208-($D208-$I$184)*MIN(L$3-$O$2,$Q$2)/$Q$2))</f>
        <v>10135.5755744722</v>
      </c>
      <c r="M208" s="15" t="n">
        <f aca="false">L208*(1+IF(M$3&lt;=$O$2,$D208,$D208-($D208-$I$184)*MIN(M$3-$O$2,$Q$2)/$Q$2))</f>
        <v>10460.6779301982</v>
      </c>
      <c r="N208" s="15" t="n">
        <f aca="false">M208*(1+IF(N$3&lt;=$O$2,$D208,$D208-($D208-$I$184)*MIN(N$3-$O$2,$Q$2)/$Q$2))</f>
        <v>10652.1083363209</v>
      </c>
      <c r="O208" s="15" t="n">
        <f aca="false">SUMPRODUCT(E208:N208,1/(1+$F$184)^$E$3:$N$3)*$E$2</f>
        <v>22194.3377176033</v>
      </c>
      <c r="P208" s="15" t="n">
        <f aca="false">N208*$E$2*(1+$I$184)/($F$184-$I$184)/(1+$F$184)^$N$3</f>
        <v>38820.6888690171</v>
      </c>
      <c r="Q208" s="15" t="n">
        <f aca="false">O208+P208</f>
        <v>61015.0265866205</v>
      </c>
      <c r="R208" s="15" t="n">
        <f aca="false">Q208-$G$2+$I$2</f>
        <v>52250.0265866205</v>
      </c>
      <c r="S208" s="40" t="n">
        <f aca="false">R208/$K$2</f>
        <v>93.4738748910882</v>
      </c>
      <c r="T208" s="41" t="n">
        <f aca="false">S208-$M$2</f>
        <v>4.75627400788881E-005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0.0871766805648804</v>
      </c>
      <c r="C209" s="25" t="n">
        <f aca="false">IF(T208&gt;0,D208,C208)</f>
        <v>0.0871768593788147</v>
      </c>
      <c r="D209" s="39" t="n">
        <f aca="false">(B209+C209)/2</f>
        <v>0.0871767699718475</v>
      </c>
      <c r="E209" s="15" t="n">
        <f aca="false">$C$2*(1+IF(E$3&lt;=$O$2,$D209,$D209-($D209-$I$184)*MIN(E$3-$O$2,$Q$2)/$Q$2))</f>
        <v>6099.06167954207</v>
      </c>
      <c r="F209" s="15" t="n">
        <f aca="false">E209*(1+IF(F$3&lt;=$O$2,$D209,$D209-($D209-$I$184)*MIN(F$3-$O$2,$Q$2)/$Q$2))</f>
        <v>6630.75817662361</v>
      </c>
      <c r="G209" s="15" t="n">
        <f aca="false">F209*(1+IF(G$3&lt;=$O$2,$D209,$D209-($D209-$I$184)*MIN(G$3-$O$2,$Q$2)/$Q$2))</f>
        <v>7208.80625692608</v>
      </c>
      <c r="H209" s="15" t="n">
        <f aca="false">G209*(1+IF(H$3&lt;=$O$2,$D209,$D209-($D209-$I$184)*MIN(H$3-$O$2,$Q$2)/$Q$2))</f>
        <v>7837.24670175774</v>
      </c>
      <c r="I209" s="15" t="n">
        <f aca="false">H209*(1+IF(I$3&lt;=$O$2,$D209,$D209-($D209-$I$184)*MIN(I$3-$O$2,$Q$2)/$Q$2))</f>
        <v>8520.47255468949</v>
      </c>
      <c r="J209" s="15" t="n">
        <f aca="false">I209*(1+IF(J$3&lt;=$O$2,$D209,$D209-($D209-$I$184)*MIN(J$3-$O$2,$Q$2)/$Q$2))</f>
        <v>9145.88730500094</v>
      </c>
      <c r="K209" s="15" t="n">
        <f aca="false">J209*(1+IF(K$3&lt;=$O$2,$D209,$D209-($D209-$I$184)*MIN(K$3-$O$2,$Q$2)/$Q$2))</f>
        <v>9691.22054833945</v>
      </c>
      <c r="L209" s="15" t="n">
        <f aca="false">K209*(1+IF(L$3&lt;=$O$2,$D209,$D209-($D209-$I$184)*MIN(L$3-$O$2,$Q$2)/$Q$2))</f>
        <v>10135.5698717558</v>
      </c>
      <c r="M209" s="15" t="n">
        <f aca="false">L209*(1+IF(M$3&lt;=$O$2,$D209,$D209-($D209-$I$184)*MIN(M$3-$O$2,$Q$2)/$Q$2))</f>
        <v>10460.6718633271</v>
      </c>
      <c r="N209" s="15" t="n">
        <f aca="false">M209*(1+IF(N$3&lt;=$O$2,$D209,$D209-($D209-$I$184)*MIN(N$3-$O$2,$Q$2)/$Q$2))</f>
        <v>10652.102158426</v>
      </c>
      <c r="O209" s="15" t="n">
        <f aca="false">SUMPRODUCT(E209:N209,1/(1+$F$184)^$E$3:$N$3)*$E$2</f>
        <v>22194.328942716</v>
      </c>
      <c r="P209" s="15" t="n">
        <f aca="false">N209*$E$2*(1+$I$184)/($F$184-$I$184)/(1+$F$184)^$N$3</f>
        <v>38820.6663542126</v>
      </c>
      <c r="Q209" s="15" t="n">
        <f aca="false">O209+P209</f>
        <v>61014.9952969287</v>
      </c>
      <c r="R209" s="15" t="n">
        <f aca="false">Q209-$G$2+$I$2</f>
        <v>52249.9952969287</v>
      </c>
      <c r="S209" s="40" t="n">
        <f aca="false">R209/$K$2</f>
        <v>93.4738189146815</v>
      </c>
      <c r="T209" s="41" t="n">
        <f aca="false">S209-$M$2</f>
        <v>-8.41366660608856E-006</v>
      </c>
    </row>
    <row r="211" customFormat="false" ht="15" hidden="false" customHeight="false" outlineLevel="0" collapsed="false">
      <c r="A211" s="36" t="s">
        <v>193</v>
      </c>
      <c r="E211" s="5" t="s">
        <v>11</v>
      </c>
      <c r="F211" s="12" t="n">
        <f aca="false">Sensitivity!$B$11</f>
        <v>0.071736031552909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6" t="s">
        <v>167</v>
      </c>
      <c r="B212" s="28" t="s">
        <v>168</v>
      </c>
      <c r="C212" s="28" t="s">
        <v>169</v>
      </c>
      <c r="D212" s="28" t="s">
        <v>170</v>
      </c>
      <c r="E212" s="28" t="s">
        <v>171</v>
      </c>
      <c r="F212" s="28" t="s">
        <v>172</v>
      </c>
      <c r="G212" s="28" t="s">
        <v>173</v>
      </c>
      <c r="H212" s="28" t="s">
        <v>174</v>
      </c>
      <c r="I212" s="28" t="s">
        <v>175</v>
      </c>
      <c r="J212" s="28" t="s">
        <v>176</v>
      </c>
      <c r="K212" s="28" t="s">
        <v>177</v>
      </c>
      <c r="L212" s="28" t="s">
        <v>178</v>
      </c>
      <c r="M212" s="28" t="s">
        <v>179</v>
      </c>
      <c r="N212" s="28" t="s">
        <v>180</v>
      </c>
      <c r="O212" s="28" t="s">
        <v>181</v>
      </c>
      <c r="P212" s="28" t="s">
        <v>182</v>
      </c>
      <c r="Q212" s="28" t="s">
        <v>183</v>
      </c>
      <c r="R212" s="28" t="s">
        <v>184</v>
      </c>
      <c r="S212" s="28" t="s">
        <v>185</v>
      </c>
      <c r="T212" s="28" t="s">
        <v>186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39" t="n">
        <f aca="false">(B213+C213)/2</f>
        <v>0.25</v>
      </c>
      <c r="E213" s="15" t="n">
        <f aca="false">$C$2*(1+IF(E$3&lt;=$O$2,$D213,$D213-($D213-$I$211)*MIN(E$3-$O$2,$Q$2)/$Q$2))</f>
        <v>7012.5</v>
      </c>
      <c r="F213" s="15" t="n">
        <f aca="false">E213*(1+IF(F$3&lt;=$O$2,$D213,$D213-($D213-$I$211)*MIN(F$3-$O$2,$Q$2)/$Q$2))</f>
        <v>8765.625</v>
      </c>
      <c r="G213" s="15" t="n">
        <f aca="false">F213*(1+IF(G$3&lt;=$O$2,$D213,$D213-($D213-$I$211)*MIN(G$3-$O$2,$Q$2)/$Q$2))</f>
        <v>10957.03125</v>
      </c>
      <c r="H213" s="15" t="n">
        <f aca="false">G213*(1+IF(H$3&lt;=$O$2,$D213,$D213-($D213-$I$211)*MIN(H$3-$O$2,$Q$2)/$Q$2))</f>
        <v>13696.2890625</v>
      </c>
      <c r="I213" s="15" t="n">
        <f aca="false">H213*(1+IF(I$3&lt;=$O$2,$D213,$D213-($D213-$I$211)*MIN(I$3-$O$2,$Q$2)/$Q$2))</f>
        <v>17120.361328125</v>
      </c>
      <c r="J213" s="15" t="n">
        <f aca="false">I213*(1+IF(J$3&lt;=$O$2,$D213,$D213-($D213-$I$211)*MIN(J$3-$O$2,$Q$2)/$Q$2))</f>
        <v>20624.2144775391</v>
      </c>
      <c r="K213" s="15" t="n">
        <f aca="false">J213*(1+IF(K$3&lt;=$O$2,$D213,$D213-($D213-$I$211)*MIN(K$3-$O$2,$Q$2)/$Q$2))</f>
        <v>23910.0643281006</v>
      </c>
      <c r="L213" s="15" t="n">
        <f aca="false">K213*(1+IF(L$3&lt;=$O$2,$D213,$D213-($D213-$I$211)*MIN(L$3-$O$2,$Q$2)/$Q$2))</f>
        <v>26635.3334602175</v>
      </c>
      <c r="M213" s="15" t="n">
        <f aca="false">L213*(1+IF(M$3&lt;=$O$2,$D213,$D213-($D213-$I$211)*MIN(M$3-$O$2,$Q$2)/$Q$2))</f>
        <v>28463.5827489268</v>
      </c>
      <c r="N213" s="15" t="n">
        <f aca="false">M213*(1+IF(N$3&lt;=$O$2,$D213,$D213-($D213-$I$211)*MIN(N$3-$O$2,$Q$2)/$Q$2))</f>
        <v>29126.7842269768</v>
      </c>
      <c r="O213" s="15" t="n">
        <f aca="false">SUMPRODUCT(E213:N213,1/(1+$F$211)^$E$3:$N$3)*$E$2</f>
        <v>45509.6477763813</v>
      </c>
      <c r="P213" s="15" t="n">
        <f aca="false">N213*$E$2*(1+$I$211)/($F$211-$I$211)/(1+$F$211)^$N$3</f>
        <v>117682.822506539</v>
      </c>
      <c r="Q213" s="15" t="n">
        <f aca="false">O213+P213</f>
        <v>163192.47028292</v>
      </c>
      <c r="R213" s="15" t="n">
        <f aca="false">Q213-$G$2+$I$2</f>
        <v>154427.47028292</v>
      </c>
      <c r="S213" s="40" t="n">
        <f aca="false">R213/$K$2</f>
        <v>276.266539559411</v>
      </c>
      <c r="T213" s="41" t="n">
        <f aca="false">S213-$M$2</f>
        <v>182.792712231063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39" t="n">
        <f aca="false">(B214+C214)/2</f>
        <v>-0.125</v>
      </c>
      <c r="E214" s="15" t="n">
        <f aca="false">$C$2*(1+IF(E$3&lt;=$O$2,$D214,$D214-($D214-$I$211)*MIN(E$3-$O$2,$Q$2)/$Q$2))</f>
        <v>4908.75</v>
      </c>
      <c r="F214" s="15" t="n">
        <f aca="false">E214*(1+IF(F$3&lt;=$O$2,$D214,$D214-($D214-$I$211)*MIN(F$3-$O$2,$Q$2)/$Q$2))</f>
        <v>4295.15625</v>
      </c>
      <c r="G214" s="15" t="n">
        <f aca="false">F214*(1+IF(G$3&lt;=$O$2,$D214,$D214-($D214-$I$211)*MIN(G$3-$O$2,$Q$2)/$Q$2))</f>
        <v>3758.26171875</v>
      </c>
      <c r="H214" s="15" t="n">
        <f aca="false">G214*(1+IF(H$3&lt;=$O$2,$D214,$D214-($D214-$I$211)*MIN(H$3-$O$2,$Q$2)/$Q$2))</f>
        <v>3288.47900390625</v>
      </c>
      <c r="I214" s="15" t="n">
        <f aca="false">H214*(1+IF(I$3&lt;=$O$2,$D214,$D214-($D214-$I$211)*MIN(I$3-$O$2,$Q$2)/$Q$2))</f>
        <v>2877.41912841797</v>
      </c>
      <c r="J214" s="15" t="n">
        <f aca="false">I214*(1+IF(J$3&lt;=$O$2,$D214,$D214-($D214-$I$211)*MIN(J$3-$O$2,$Q$2)/$Q$2))</f>
        <v>2603.0859887146</v>
      </c>
      <c r="K214" s="15" t="n">
        <f aca="false">J214*(1+IF(K$3&lt;=$O$2,$D214,$D214-($D214-$I$211)*MIN(K$3-$O$2,$Q$2)/$Q$2))</f>
        <v>2432.11530097583</v>
      </c>
      <c r="L214" s="15" t="n">
        <f aca="false">K214*(1+IF(L$3&lt;=$O$2,$D214,$D214-($D214-$I$211)*MIN(L$3-$O$2,$Q$2)/$Q$2))</f>
        <v>2344.51050783468</v>
      </c>
      <c r="M214" s="15" t="n">
        <f aca="false">L214*(1+IF(M$3&lt;=$O$2,$D214,$D214-($D214-$I$211)*MIN(M$3-$O$2,$Q$2)/$Q$2))</f>
        <v>2329.59942100485</v>
      </c>
      <c r="N214" s="15" t="n">
        <f aca="false">M214*(1+IF(N$3&lt;=$O$2,$D214,$D214-($D214-$I$211)*MIN(N$3-$O$2,$Q$2)/$Q$2))</f>
        <v>2383.87908751426</v>
      </c>
      <c r="O214" s="15" t="n">
        <f aca="false">SUMPRODUCT(E214:N214,1/(1+$F$211)^$E$3:$N$3)*$E$2</f>
        <v>8757.21302305021</v>
      </c>
      <c r="P214" s="15" t="n">
        <f aca="false">N214*$E$2*(1+$I$211)/($F$211-$I$211)/(1+$F$211)^$N$3</f>
        <v>9631.74023423966</v>
      </c>
      <c r="Q214" s="15" t="n">
        <f aca="false">O214+P214</f>
        <v>18388.9532572899</v>
      </c>
      <c r="R214" s="15" t="n">
        <f aca="false">Q214-$G$2+$I$2</f>
        <v>9623.95325728987</v>
      </c>
      <c r="S214" s="40" t="n">
        <f aca="false">R214/$K$2</f>
        <v>17.2169903346987</v>
      </c>
      <c r="T214" s="41" t="n">
        <f aca="false">S214-$M$2</f>
        <v>-76.2568369936494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39" t="n">
        <f aca="false">(B215+C215)/2</f>
        <v>0.0625</v>
      </c>
      <c r="E215" s="15" t="n">
        <f aca="false">$C$2*(1+IF(E$3&lt;=$O$2,$D215,$D215-($D215-$I$211)*MIN(E$3-$O$2,$Q$2)/$Q$2))</f>
        <v>5960.625</v>
      </c>
      <c r="F215" s="15" t="n">
        <f aca="false">E215*(1+IF(F$3&lt;=$O$2,$D215,$D215-($D215-$I$211)*MIN(F$3-$O$2,$Q$2)/$Q$2))</f>
        <v>6333.1640625</v>
      </c>
      <c r="G215" s="15" t="n">
        <f aca="false">F215*(1+IF(G$3&lt;=$O$2,$D215,$D215-($D215-$I$211)*MIN(G$3-$O$2,$Q$2)/$Q$2))</f>
        <v>6728.98681640625</v>
      </c>
      <c r="H215" s="15" t="n">
        <f aca="false">G215*(1+IF(H$3&lt;=$O$2,$D215,$D215-($D215-$I$211)*MIN(H$3-$O$2,$Q$2)/$Q$2))</f>
        <v>7149.54849243164</v>
      </c>
      <c r="I215" s="15" t="n">
        <f aca="false">H215*(1+IF(I$3&lt;=$O$2,$D215,$D215-($D215-$I$211)*MIN(I$3-$O$2,$Q$2)/$Q$2))</f>
        <v>7596.39527320862</v>
      </c>
      <c r="J215" s="15" t="n">
        <f aca="false">I215*(1+IF(J$3&lt;=$O$2,$D215,$D215-($D215-$I$211)*MIN(J$3-$O$2,$Q$2)/$Q$2))</f>
        <v>8011.6142388422</v>
      </c>
      <c r="K215" s="15" t="n">
        <f aca="false">J215*(1+IF(K$3&lt;=$O$2,$D215,$D215-($D215-$I$211)*MIN(K$3-$O$2,$Q$2)/$Q$2))</f>
        <v>8386.71801750479</v>
      </c>
      <c r="L215" s="15" t="n">
        <f aca="false">K215*(1+IF(L$3&lt;=$O$2,$D215,$D215-($D215-$I$211)*MIN(L$3-$O$2,$Q$2)/$Q$2))</f>
        <v>8713.63228582713</v>
      </c>
      <c r="M215" s="15" t="n">
        <f aca="false">L215*(1+IF(M$3&lt;=$O$2,$D215,$D215-($D215-$I$211)*MIN(M$3-$O$2,$Q$2)/$Q$2))</f>
        <v>8984.97479520779</v>
      </c>
      <c r="N215" s="15" t="n">
        <f aca="false">M215*(1+IF(N$3&lt;=$O$2,$D215,$D215-($D215-$I$211)*MIN(N$3-$O$2,$Q$2)/$Q$2))</f>
        <v>9194.32470793613</v>
      </c>
      <c r="O215" s="15" t="n">
        <f aca="false">SUMPRODUCT(E215:N215,1/(1+$F$211)^$E$3:$N$3)*$E$2</f>
        <v>19960.7584879364</v>
      </c>
      <c r="P215" s="15" t="n">
        <f aca="false">N215*$E$2*(1+$I$211)/($F$211-$I$211)/(1+$F$211)^$N$3</f>
        <v>37148.422367526</v>
      </c>
      <c r="Q215" s="15" t="n">
        <f aca="false">O215+P215</f>
        <v>57109.1808554624</v>
      </c>
      <c r="R215" s="15" t="n">
        <f aca="false">Q215-$G$2+$I$2</f>
        <v>48344.1808554624</v>
      </c>
      <c r="S215" s="40" t="n">
        <f aca="false">R215/$K$2</f>
        <v>86.4864232270608</v>
      </c>
      <c r="T215" s="41" t="n">
        <f aca="false">S215-$M$2</f>
        <v>-6.98740410128728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0.0625</v>
      </c>
      <c r="C216" s="25" t="n">
        <f aca="false">IF(T215&gt;0,D215,C215)</f>
        <v>0.25</v>
      </c>
      <c r="D216" s="39" t="n">
        <f aca="false">(B216+C216)/2</f>
        <v>0.15625</v>
      </c>
      <c r="E216" s="15" t="n">
        <f aca="false">$C$2*(1+IF(E$3&lt;=$O$2,$D216,$D216-($D216-$I$211)*MIN(E$3-$O$2,$Q$2)/$Q$2))</f>
        <v>6486.5625</v>
      </c>
      <c r="F216" s="15" t="n">
        <f aca="false">E216*(1+IF(F$3&lt;=$O$2,$D216,$D216-($D216-$I$211)*MIN(F$3-$O$2,$Q$2)/$Q$2))</f>
        <v>7500.087890625</v>
      </c>
      <c r="G216" s="15" t="n">
        <f aca="false">F216*(1+IF(G$3&lt;=$O$2,$D216,$D216-($D216-$I$211)*MIN(G$3-$O$2,$Q$2)/$Q$2))</f>
        <v>8671.97662353516</v>
      </c>
      <c r="H216" s="15" t="n">
        <f aca="false">G216*(1+IF(H$3&lt;=$O$2,$D216,$D216-($D216-$I$211)*MIN(H$3-$O$2,$Q$2)/$Q$2))</f>
        <v>10026.9729709625</v>
      </c>
      <c r="I216" s="15" t="n">
        <f aca="false">H216*(1+IF(I$3&lt;=$O$2,$D216,$D216-($D216-$I$211)*MIN(I$3-$O$2,$Q$2)/$Q$2))</f>
        <v>11593.6874976754</v>
      </c>
      <c r="J216" s="15" t="n">
        <f aca="false">I216*(1+IF(J$3&lt;=$O$2,$D216,$D216-($D216-$I$211)*MIN(J$3-$O$2,$Q$2)/$Q$2))</f>
        <v>13096.925018624</v>
      </c>
      <c r="K216" s="15" t="n">
        <f aca="false">J216*(1+IF(K$3&lt;=$O$2,$D216,$D216-($D216-$I$211)*MIN(K$3-$O$2,$Q$2)/$Q$2))</f>
        <v>14446.8250802936</v>
      </c>
      <c r="L216" s="15" t="n">
        <f aca="false">K216*(1+IF(L$3&lt;=$O$2,$D216,$D216-($D216-$I$211)*MIN(L$3-$O$2,$Q$2)/$Q$2))</f>
        <v>15551.7182624344</v>
      </c>
      <c r="M216" s="15" t="n">
        <f aca="false">L216*(1+IF(M$3&lt;=$O$2,$D216,$D216-($D216-$I$211)*MIN(M$3-$O$2,$Q$2)/$Q$2))</f>
        <v>16327.5934865473</v>
      </c>
      <c r="N216" s="15" t="n">
        <f aca="false">M216*(1+IF(N$3&lt;=$O$2,$D216,$D216-($D216-$I$211)*MIN(N$3-$O$2,$Q$2)/$Q$2))</f>
        <v>16708.0264147839</v>
      </c>
      <c r="O216" s="15" t="n">
        <f aca="false">SUMPRODUCT(E216:N216,1/(1+$F$211)^$E$3:$N$3)*$E$2</f>
        <v>30208.9210742142</v>
      </c>
      <c r="P216" s="15" t="n">
        <f aca="false">N216*$E$2*(1+$I$211)/($F$211-$I$211)/(1+$F$211)^$N$3</f>
        <v>67506.5153668579</v>
      </c>
      <c r="Q216" s="15" t="n">
        <f aca="false">O216+P216</f>
        <v>97715.4364410722</v>
      </c>
      <c r="R216" s="15" t="n">
        <f aca="false">Q216-$G$2+$I$2</f>
        <v>88950.4364410722</v>
      </c>
      <c r="S216" s="40" t="n">
        <f aca="false">R216/$K$2</f>
        <v>159.129908835866</v>
      </c>
      <c r="T216" s="41" t="n">
        <f aca="false">S216-$M$2</f>
        <v>65.6560815075176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0.0625</v>
      </c>
      <c r="C217" s="25" t="n">
        <f aca="false">IF(T216&gt;0,D216,C216)</f>
        <v>0.15625</v>
      </c>
      <c r="D217" s="39" t="n">
        <f aca="false">(B217+C217)/2</f>
        <v>0.109375</v>
      </c>
      <c r="E217" s="15" t="n">
        <f aca="false">$C$2*(1+IF(E$3&lt;=$O$2,$D217,$D217-($D217-$I$211)*MIN(E$3-$O$2,$Q$2)/$Q$2))</f>
        <v>6223.59375</v>
      </c>
      <c r="F217" s="15" t="n">
        <f aca="false">E217*(1+IF(F$3&lt;=$O$2,$D217,$D217-($D217-$I$211)*MIN(F$3-$O$2,$Q$2)/$Q$2))</f>
        <v>6904.29931640625</v>
      </c>
      <c r="G217" s="15" t="n">
        <f aca="false">F217*(1+IF(G$3&lt;=$O$2,$D217,$D217-($D217-$I$211)*MIN(G$3-$O$2,$Q$2)/$Q$2))</f>
        <v>7659.45705413818</v>
      </c>
      <c r="H217" s="15" t="n">
        <f aca="false">G217*(1+IF(H$3&lt;=$O$2,$D217,$D217-($D217-$I$211)*MIN(H$3-$O$2,$Q$2)/$Q$2))</f>
        <v>8497.21016943455</v>
      </c>
      <c r="I217" s="15" t="n">
        <f aca="false">H217*(1+IF(I$3&lt;=$O$2,$D217,$D217-($D217-$I$211)*MIN(I$3-$O$2,$Q$2)/$Q$2))</f>
        <v>9426.59253171645</v>
      </c>
      <c r="J217" s="15" t="n">
        <f aca="false">I217*(1+IF(J$3&lt;=$O$2,$D217,$D217-($D217-$I$211)*MIN(J$3-$O$2,$Q$2)/$Q$2))</f>
        <v>10295.3472994394</v>
      </c>
      <c r="K217" s="15" t="n">
        <f aca="false">J217*(1+IF(K$3&lt;=$O$2,$D217,$D217-($D217-$I$211)*MIN(K$3-$O$2,$Q$2)/$Q$2))</f>
        <v>11066.9321027959</v>
      </c>
      <c r="L217" s="15" t="n">
        <f aca="false">K217*(1+IF(L$3&lt;=$O$2,$D217,$D217-($D217-$I$211)*MIN(L$3-$O$2,$Q$2)/$Q$2))</f>
        <v>11705.8260930903</v>
      </c>
      <c r="M217" s="15" t="n">
        <f aca="false">L217*(1+IF(M$3&lt;=$O$2,$D217,$D217-($D217-$I$211)*MIN(M$3-$O$2,$Q$2)/$Q$2))</f>
        <v>12180.0876372519</v>
      </c>
      <c r="N217" s="15" t="n">
        <f aca="false">M217*(1+IF(N$3&lt;=$O$2,$D217,$D217-($D217-$I$211)*MIN(N$3-$O$2,$Q$2)/$Q$2))</f>
        <v>12463.8836791999</v>
      </c>
      <c r="O217" s="15" t="n">
        <f aca="false">SUMPRODUCT(E217:N217,1/(1+$F$211)^$E$3:$N$3)*$E$2</f>
        <v>24563.8091997417</v>
      </c>
      <c r="P217" s="15" t="n">
        <f aca="false">N217*$E$2*(1+$I$211)/($F$211-$I$211)/(1+$F$211)^$N$3</f>
        <v>50358.6320869197</v>
      </c>
      <c r="Q217" s="15" t="n">
        <f aca="false">O217+P217</f>
        <v>74922.4412866614</v>
      </c>
      <c r="R217" s="15" t="n">
        <f aca="false">Q217-$G$2+$I$2</f>
        <v>66157.4412866614</v>
      </c>
      <c r="S217" s="40" t="n">
        <f aca="false">R217/$K$2</f>
        <v>118.353861116071</v>
      </c>
      <c r="T217" s="41" t="n">
        <f aca="false">S217-$M$2</f>
        <v>24.880033787723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0.0625</v>
      </c>
      <c r="C218" s="25" t="n">
        <f aca="false">IF(T217&gt;0,D217,C217)</f>
        <v>0.109375</v>
      </c>
      <c r="D218" s="39" t="n">
        <f aca="false">(B218+C218)/2</f>
        <v>0.0859375</v>
      </c>
      <c r="E218" s="15" t="n">
        <f aca="false">$C$2*(1+IF(E$3&lt;=$O$2,$D218,$D218-($D218-$I$211)*MIN(E$3-$O$2,$Q$2)/$Q$2))</f>
        <v>6092.109375</v>
      </c>
      <c r="F218" s="15" t="n">
        <f aca="false">E218*(1+IF(F$3&lt;=$O$2,$D218,$D218-($D218-$I$211)*MIN(F$3-$O$2,$Q$2)/$Q$2))</f>
        <v>6615.65002441406</v>
      </c>
      <c r="G218" s="15" t="n">
        <f aca="false">F218*(1+IF(G$3&lt;=$O$2,$D218,$D218-($D218-$I$211)*MIN(G$3-$O$2,$Q$2)/$Q$2))</f>
        <v>7184.18244838715</v>
      </c>
      <c r="H218" s="15" t="n">
        <f aca="false">G218*(1+IF(H$3&lt;=$O$2,$D218,$D218-($D218-$I$211)*MIN(H$3-$O$2,$Q$2)/$Q$2))</f>
        <v>7801.57312754542</v>
      </c>
      <c r="I218" s="15" t="n">
        <f aca="false">H218*(1+IF(I$3&lt;=$O$2,$D218,$D218-($D218-$I$211)*MIN(I$3-$O$2,$Q$2)/$Q$2))</f>
        <v>8472.02081819385</v>
      </c>
      <c r="J218" s="15" t="n">
        <f aca="false">I218*(1+IF(J$3&lt;=$O$2,$D218,$D218-($D218-$I$211)*MIN(J$3-$O$2,$Q$2)/$Q$2))</f>
        <v>9093.95186645746</v>
      </c>
      <c r="K218" s="15" t="n">
        <f aca="false">J218*(1+IF(K$3&lt;=$O$2,$D218,$D218-($D218-$I$211)*MIN(K$3-$O$2,$Q$2)/$Q$2))</f>
        <v>9647.61439096706</v>
      </c>
      <c r="L218" s="15" t="n">
        <f aca="false">K218*(1+IF(L$3&lt;=$O$2,$D218,$D218-($D218-$I$211)*MIN(L$3-$O$2,$Q$2)/$Q$2))</f>
        <v>10114.1247848423</v>
      </c>
      <c r="M218" s="15" t="n">
        <f aca="false">L218*(1+IF(M$3&lt;=$O$2,$D218,$D218-($D218-$I$211)*MIN(M$3-$O$2,$Q$2)/$Q$2))</f>
        <v>10476.4885905712</v>
      </c>
      <c r="N218" s="15" t="n">
        <f aca="false">M218*(1+IF(N$3&lt;=$O$2,$D218,$D218-($D218-$I$211)*MIN(N$3-$O$2,$Q$2)/$Q$2))</f>
        <v>10720.5907747315</v>
      </c>
      <c r="O218" s="15" t="n">
        <f aca="false">SUMPRODUCT(E218:N218,1/(1+$F$211)^$E$3:$N$3)*$E$2</f>
        <v>22143.9900565541</v>
      </c>
      <c r="P218" s="15" t="n">
        <f aca="false">N218*$E$2*(1+$I$211)/($F$211-$I$211)/(1+$F$211)^$N$3</f>
        <v>43315.093471234</v>
      </c>
      <c r="Q218" s="15" t="n">
        <f aca="false">O218+P218</f>
        <v>65459.0835277881</v>
      </c>
      <c r="R218" s="15" t="n">
        <f aca="false">Q218-$G$2+$I$2</f>
        <v>56694.0835277881</v>
      </c>
      <c r="S218" s="40" t="n">
        <f aca="false">R218/$K$2</f>
        <v>101.424171755319</v>
      </c>
      <c r="T218" s="41" t="n">
        <f aca="false">S218-$M$2</f>
        <v>7.95034442697062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0.0625</v>
      </c>
      <c r="C219" s="25" t="n">
        <f aca="false">IF(T218&gt;0,D218,C218)</f>
        <v>0.0859375</v>
      </c>
      <c r="D219" s="39" t="n">
        <f aca="false">(B219+C219)/2</f>
        <v>0.07421875</v>
      </c>
      <c r="E219" s="15" t="n">
        <f aca="false">$C$2*(1+IF(E$3&lt;=$O$2,$D219,$D219-($D219-$I$211)*MIN(E$3-$O$2,$Q$2)/$Q$2))</f>
        <v>6026.3671875</v>
      </c>
      <c r="F219" s="15" t="n">
        <f aca="false">E219*(1+IF(F$3&lt;=$O$2,$D219,$D219-($D219-$I$211)*MIN(F$3-$O$2,$Q$2)/$Q$2))</f>
        <v>6473.63662719727</v>
      </c>
      <c r="G219" s="15" t="n">
        <f aca="false">F219*(1+IF(G$3&lt;=$O$2,$D219,$D219-($D219-$I$211)*MIN(G$3-$O$2,$Q$2)/$Q$2))</f>
        <v>6954.10184562206</v>
      </c>
      <c r="H219" s="15" t="n">
        <f aca="false">G219*(1+IF(H$3&lt;=$O$2,$D219,$D219-($D219-$I$211)*MIN(H$3-$O$2,$Q$2)/$Q$2))</f>
        <v>7470.22659197683</v>
      </c>
      <c r="I219" s="15" t="n">
        <f aca="false">H219*(1+IF(I$3&lt;=$O$2,$D219,$D219-($D219-$I$211)*MIN(I$3-$O$2,$Q$2)/$Q$2))</f>
        <v>8024.65747185011</v>
      </c>
      <c r="J219" s="15" t="n">
        <f aca="false">I219*(1+IF(J$3&lt;=$O$2,$D219,$D219-($D219-$I$211)*MIN(J$3-$O$2,$Q$2)/$Q$2))</f>
        <v>8538.51641306003</v>
      </c>
      <c r="K219" s="15" t="n">
        <f aca="false">J219*(1+IF(K$3&lt;=$O$2,$D219,$D219-($D219-$I$211)*MIN(K$3-$O$2,$Q$2)/$Q$2))</f>
        <v>8998.32619504883</v>
      </c>
      <c r="L219" s="15" t="n">
        <f aca="false">K219*(1+IF(L$3&lt;=$O$2,$D219,$D219-($D219-$I$211)*MIN(L$3-$O$2,$Q$2)/$Q$2))</f>
        <v>9391.26060417112</v>
      </c>
      <c r="M219" s="15" t="n">
        <f aca="false">L219*(1+IF(M$3&lt;=$O$2,$D219,$D219-($D219-$I$211)*MIN(M$3-$O$2,$Q$2)/$Q$2))</f>
        <v>9705.71522642604</v>
      </c>
      <c r="N219" s="15" t="n">
        <f aca="false">M219*(1+IF(N$3&lt;=$O$2,$D219,$D219-($D219-$I$211)*MIN(N$3-$O$2,$Q$2)/$Q$2))</f>
        <v>9931.85839120176</v>
      </c>
      <c r="O219" s="15" t="n">
        <f aca="false">SUMPRODUCT(E219:N219,1/(1+$F$211)^$E$3:$N$3)*$E$2</f>
        <v>21024.191635557</v>
      </c>
      <c r="P219" s="15" t="n">
        <f aca="false">N219*$E$2*(1+$I$211)/($F$211-$I$211)/(1+$F$211)^$N$3</f>
        <v>40128.3272160659</v>
      </c>
      <c r="Q219" s="15" t="n">
        <f aca="false">O219+P219</f>
        <v>61152.5188516229</v>
      </c>
      <c r="R219" s="15" t="n">
        <f aca="false">Q219-$G$2+$I$2</f>
        <v>52387.5188516229</v>
      </c>
      <c r="S219" s="40" t="n">
        <f aca="false">R219/$K$2</f>
        <v>93.7198448095153</v>
      </c>
      <c r="T219" s="41" t="n">
        <f aca="false">S219-$M$2</f>
        <v>0.246017481167229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0.0625</v>
      </c>
      <c r="C220" s="25" t="n">
        <f aca="false">IF(T219&gt;0,D219,C219)</f>
        <v>0.07421875</v>
      </c>
      <c r="D220" s="39" t="n">
        <f aca="false">(B220+C220)/2</f>
        <v>0.068359375</v>
      </c>
      <c r="E220" s="15" t="n">
        <f aca="false">$C$2*(1+IF(E$3&lt;=$O$2,$D220,$D220-($D220-$I$211)*MIN(E$3-$O$2,$Q$2)/$Q$2))</f>
        <v>5993.49609375</v>
      </c>
      <c r="F220" s="15" t="n">
        <f aca="false">E220*(1+IF(F$3&lt;=$O$2,$D220,$D220-($D220-$I$211)*MIN(F$3-$O$2,$Q$2)/$Q$2))</f>
        <v>6403.20774078369</v>
      </c>
      <c r="G220" s="15" t="n">
        <f aca="false">F220*(1+IF(G$3&lt;=$O$2,$D220,$D220-($D220-$I$211)*MIN(G$3-$O$2,$Q$2)/$Q$2))</f>
        <v>6840.92701993883</v>
      </c>
      <c r="H220" s="15" t="n">
        <f aca="false">G220*(1+IF(H$3&lt;=$O$2,$D220,$D220-($D220-$I$211)*MIN(H$3-$O$2,$Q$2)/$Q$2))</f>
        <v>7308.56851544246</v>
      </c>
      <c r="I220" s="15" t="n">
        <f aca="false">H220*(1+IF(I$3&lt;=$O$2,$D220,$D220-($D220-$I$211)*MIN(I$3-$O$2,$Q$2)/$Q$2))</f>
        <v>7808.17769130278</v>
      </c>
      <c r="J220" s="15" t="n">
        <f aca="false">I220*(1+IF(J$3&lt;=$O$2,$D220,$D220-($D220-$I$211)*MIN(J$3-$O$2,$Q$2)/$Q$2))</f>
        <v>8271.57351683737</v>
      </c>
      <c r="K220" s="15" t="n">
        <f aca="false">J220*(1+IF(K$3&lt;=$O$2,$D220,$D220-($D220-$I$211)*MIN(K$3-$O$2,$Q$2)/$Q$2))</f>
        <v>8687.92833954083</v>
      </c>
      <c r="L220" s="15" t="n">
        <f aca="false">K220*(1+IF(L$3&lt;=$O$2,$D220,$D220-($D220-$I$211)*MIN(L$3-$O$2,$Q$2)/$Q$2))</f>
        <v>9046.94611826193</v>
      </c>
      <c r="M220" s="15" t="n">
        <f aca="false">L220*(1+IF(M$3&lt;=$O$2,$D220,$D220-($D220-$I$211)*MIN(M$3-$O$2,$Q$2)/$Q$2))</f>
        <v>9339.26991036695</v>
      </c>
      <c r="N220" s="15" t="n">
        <f aca="false">M220*(1+IF(N$3&lt;=$O$2,$D220,$D220-($D220-$I$211)*MIN(N$3-$O$2,$Q$2)/$Q$2))</f>
        <v>9556.8748992785</v>
      </c>
      <c r="O220" s="15" t="n">
        <f aca="false">SUMPRODUCT(E220:N220,1/(1+$F$211)^$E$3:$N$3)*$E$2</f>
        <v>20485.5970382156</v>
      </c>
      <c r="P220" s="15" t="n">
        <f aca="false">N220*$E$2*(1+$I$211)/($F$211-$I$211)/(1+$F$211)^$N$3</f>
        <v>38613.2572591835</v>
      </c>
      <c r="Q220" s="15" t="n">
        <f aca="false">O220+P220</f>
        <v>59098.8542973992</v>
      </c>
      <c r="R220" s="15" t="n">
        <f aca="false">Q220-$G$2+$I$2</f>
        <v>50333.8542973992</v>
      </c>
      <c r="S220" s="40" t="n">
        <f aca="false">R220/$K$2</f>
        <v>90.0458948395276</v>
      </c>
      <c r="T220" s="41" t="n">
        <f aca="false">S220-$M$2</f>
        <v>-3.42793248882045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0.068359375</v>
      </c>
      <c r="C221" s="25" t="n">
        <f aca="false">IF(T220&gt;0,D220,C220)</f>
        <v>0.07421875</v>
      </c>
      <c r="D221" s="39" t="n">
        <f aca="false">(B221+C221)/2</f>
        <v>0.0712890625</v>
      </c>
      <c r="E221" s="15" t="n">
        <f aca="false">$C$2*(1+IF(E$3&lt;=$O$2,$D221,$D221-($D221-$I$211)*MIN(E$3-$O$2,$Q$2)/$Q$2))</f>
        <v>6009.931640625</v>
      </c>
      <c r="F221" s="15" t="n">
        <f aca="false">E221*(1+IF(F$3&lt;=$O$2,$D221,$D221-($D221-$I$211)*MIN(F$3-$O$2,$Q$2)/$Q$2))</f>
        <v>6438.37403297424</v>
      </c>
      <c r="G221" s="15" t="n">
        <f aca="false">F221*(1+IF(G$3&lt;=$O$2,$D221,$D221-($D221-$I$211)*MIN(G$3-$O$2,$Q$2)/$Q$2))</f>
        <v>6897.35968180932</v>
      </c>
      <c r="H221" s="15" t="n">
        <f aca="false">G221*(1+IF(H$3&lt;=$O$2,$D221,$D221-($D221-$I$211)*MIN(H$3-$O$2,$Q$2)/$Q$2))</f>
        <v>7389.06598725081</v>
      </c>
      <c r="I221" s="15" t="n">
        <f aca="false">H221*(1+IF(I$3&lt;=$O$2,$D221,$D221-($D221-$I$211)*MIN(I$3-$O$2,$Q$2)/$Q$2))</f>
        <v>7915.82557423255</v>
      </c>
      <c r="J221" s="15" t="n">
        <f aca="false">I221*(1+IF(J$3&lt;=$O$2,$D221,$D221-($D221-$I$211)*MIN(J$3-$O$2,$Q$2)/$Q$2))</f>
        <v>8404.16274868893</v>
      </c>
      <c r="K221" s="15" t="n">
        <f aca="false">J221*(1+IF(K$3&lt;=$O$2,$D221,$D221-($D221-$I$211)*MIN(K$3-$O$2,$Q$2)/$Q$2))</f>
        <v>8841.96447557758</v>
      </c>
      <c r="L221" s="15" t="n">
        <f aca="false">K221*(1+IF(L$3&lt;=$O$2,$D221,$D221-($D221-$I$211)*MIN(L$3-$O$2,$Q$2)/$Q$2))</f>
        <v>9217.70928219505</v>
      </c>
      <c r="M221" s="15" t="n">
        <f aca="false">L221*(1+IF(M$3&lt;=$O$2,$D221,$D221-($D221-$I$211)*MIN(M$3-$O$2,$Q$2)/$Q$2))</f>
        <v>9520.95175384021</v>
      </c>
      <c r="N221" s="15" t="n">
        <f aca="false">M221*(1+IF(N$3&lt;=$O$2,$D221,$D221-($D221-$I$211)*MIN(N$3-$O$2,$Q$2)/$Q$2))</f>
        <v>9742.78992970468</v>
      </c>
      <c r="O221" s="15" t="n">
        <f aca="false">SUMPRODUCT(E221:N221,1/(1+$F$211)^$E$3:$N$3)*$E$2</f>
        <v>20753.1541479174</v>
      </c>
      <c r="P221" s="15" t="n">
        <f aca="false">N221*$E$2*(1+$I$211)/($F$211-$I$211)/(1+$F$211)^$N$3</f>
        <v>39364.4217322831</v>
      </c>
      <c r="Q221" s="15" t="n">
        <f aca="false">O221+P221</f>
        <v>60117.5758802005</v>
      </c>
      <c r="R221" s="15" t="n">
        <f aca="false">Q221-$G$2+$I$2</f>
        <v>51352.5758802005</v>
      </c>
      <c r="S221" s="40" t="n">
        <f aca="false">R221/$K$2</f>
        <v>91.8683600132393</v>
      </c>
      <c r="T221" s="41" t="n">
        <f aca="false">S221-$M$2</f>
        <v>-1.60546731510878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0.0712890625</v>
      </c>
      <c r="C222" s="25" t="n">
        <f aca="false">IF(T221&gt;0,D221,C221)</f>
        <v>0.07421875</v>
      </c>
      <c r="D222" s="39" t="n">
        <f aca="false">(B222+C222)/2</f>
        <v>0.07275390625</v>
      </c>
      <c r="E222" s="15" t="n">
        <f aca="false">$C$2*(1+IF(E$3&lt;=$O$2,$D222,$D222-($D222-$I$211)*MIN(E$3-$O$2,$Q$2)/$Q$2))</f>
        <v>6018.1494140625</v>
      </c>
      <c r="F222" s="15" t="n">
        <f aca="false">E222*(1+IF(F$3&lt;=$O$2,$D222,$D222-($D222-$I$211)*MIN(F$3-$O$2,$Q$2)/$Q$2))</f>
        <v>6455.9932923317</v>
      </c>
      <c r="G222" s="15" t="n">
        <f aca="false">F222*(1+IF(G$3&lt;=$O$2,$D222,$D222-($D222-$I$211)*MIN(G$3-$O$2,$Q$2)/$Q$2))</f>
        <v>6925.69202307263</v>
      </c>
      <c r="H222" s="15" t="n">
        <f aca="false">G222*(1+IF(H$3&lt;=$O$2,$D222,$D222-($D222-$I$211)*MIN(H$3-$O$2,$Q$2)/$Q$2))</f>
        <v>7429.56317123562</v>
      </c>
      <c r="I222" s="15" t="n">
        <f aca="false">H222*(1+IF(I$3&lt;=$O$2,$D222,$D222-($D222-$I$211)*MIN(I$3-$O$2,$Q$2)/$Q$2))</f>
        <v>7970.09291367415</v>
      </c>
      <c r="J222" s="15" t="n">
        <f aca="false">I222*(1+IF(J$3&lt;=$O$2,$D222,$D222-($D222-$I$211)*MIN(J$3-$O$2,$Q$2)/$Q$2))</f>
        <v>8471.11786076807</v>
      </c>
      <c r="K222" s="15" t="n">
        <f aca="false">J222*(1+IF(K$3&lt;=$O$2,$D222,$D222-($D222-$I$211)*MIN(K$3-$O$2,$Q$2)/$Q$2))</f>
        <v>8919.85282803544</v>
      </c>
      <c r="L222" s="15" t="n">
        <f aca="false">K222*(1+IF(L$3&lt;=$O$2,$D222,$D222-($D222-$I$211)*MIN(L$3-$O$2,$Q$2)/$Q$2))</f>
        <v>9304.13402513725</v>
      </c>
      <c r="M222" s="15" t="n">
        <f aca="false">L222*(1+IF(M$3&lt;=$O$2,$D222,$D222-($D222-$I$211)*MIN(M$3-$O$2,$Q$2)/$Q$2))</f>
        <v>9612.94550228626</v>
      </c>
      <c r="N222" s="15" t="n">
        <f aca="false">M222*(1+IF(N$3&lt;=$O$2,$D222,$D222-($D222-$I$211)*MIN(N$3-$O$2,$Q$2)/$Q$2))</f>
        <v>9836.92713248953</v>
      </c>
      <c r="O222" s="15" t="n">
        <f aca="false">SUMPRODUCT(E222:N222,1/(1+$F$211)^$E$3:$N$3)*$E$2</f>
        <v>20888.235235547</v>
      </c>
      <c r="P222" s="15" t="n">
        <f aca="false">N222*$E$2*(1+$I$211)/($F$211-$I$211)/(1+$F$211)^$N$3</f>
        <v>39744.7703365184</v>
      </c>
      <c r="Q222" s="15" t="n">
        <f aca="false">O222+P222</f>
        <v>60633.0055720654</v>
      </c>
      <c r="R222" s="15" t="n">
        <f aca="false">Q222-$G$2+$I$2</f>
        <v>51868.0055720654</v>
      </c>
      <c r="S222" s="40" t="n">
        <f aca="false">R222/$K$2</f>
        <v>92.7904496977806</v>
      </c>
      <c r="T222" s="41" t="n">
        <f aca="false">S222-$M$2</f>
        <v>-0.68337763056752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0.07275390625</v>
      </c>
      <c r="C223" s="25" t="n">
        <f aca="false">IF(T222&gt;0,D222,C222)</f>
        <v>0.07421875</v>
      </c>
      <c r="D223" s="39" t="n">
        <f aca="false">(B223+C223)/2</f>
        <v>0.073486328125</v>
      </c>
      <c r="E223" s="15" t="n">
        <f aca="false">$C$2*(1+IF(E$3&lt;=$O$2,$D223,$D223-($D223-$I$211)*MIN(E$3-$O$2,$Q$2)/$Q$2))</f>
        <v>6022.25830078125</v>
      </c>
      <c r="F223" s="15" t="n">
        <f aca="false">E223*(1+IF(F$3&lt;=$O$2,$D223,$D223-($D223-$I$211)*MIN(F$3-$O$2,$Q$2)/$Q$2))</f>
        <v>6464.81195032597</v>
      </c>
      <c r="G223" s="15" t="n">
        <f aca="false">F223*(1+IF(G$3&lt;=$O$2,$D223,$D223-($D223-$I$211)*MIN(G$3-$O$2,$Q$2)/$Q$2))</f>
        <v>6939.88724257404</v>
      </c>
      <c r="H223" s="15" t="n">
        <f aca="false">G223*(1+IF(H$3&lt;=$O$2,$D223,$D223-($D223-$I$211)*MIN(H$3-$O$2,$Q$2)/$Q$2))</f>
        <v>7449.87407363234</v>
      </c>
      <c r="I223" s="15" t="n">
        <f aca="false">H223*(1+IF(I$3&lt;=$O$2,$D223,$D223-($D223-$I$211)*MIN(I$3-$O$2,$Q$2)/$Q$2))</f>
        <v>7997.33796429722</v>
      </c>
      <c r="J223" s="15" t="n">
        <f aca="false">I223*(1+IF(J$3&lt;=$O$2,$D223,$D223-($D223-$I$211)*MIN(J$3-$O$2,$Q$2)/$Q$2))</f>
        <v>8504.76156062753</v>
      </c>
      <c r="K223" s="15" t="n">
        <f aca="false">J223*(1+IF(K$3&lt;=$O$2,$D223,$D223-($D223-$I$211)*MIN(K$3-$O$2,$Q$2)/$Q$2))</f>
        <v>8959.01615757408</v>
      </c>
      <c r="L223" s="15" t="n">
        <f aca="false">K223*(1+IF(L$3&lt;=$O$2,$D223,$D223-($D223-$I$211)*MIN(L$3-$O$2,$Q$2)/$Q$2))</f>
        <v>9347.60928387003</v>
      </c>
      <c r="M223" s="15" t="n">
        <f aca="false">L223*(1+IF(M$3&lt;=$O$2,$D223,$D223-($D223-$I$211)*MIN(M$3-$O$2,$Q$2)/$Q$2))</f>
        <v>9659.23301752512</v>
      </c>
      <c r="N223" s="15" t="n">
        <f aca="false">M223*(1+IF(N$3&lt;=$O$2,$D223,$D223-($D223-$I$211)*MIN(N$3-$O$2,$Q$2)/$Q$2))</f>
        <v>9884.29314683346</v>
      </c>
      <c r="O223" s="15" t="n">
        <f aca="false">SUMPRODUCT(E223:N223,1/(1+$F$211)^$E$3:$N$3)*$E$2</f>
        <v>20956.1036939039</v>
      </c>
      <c r="P223" s="15" t="n">
        <f aca="false">N223*$E$2*(1+$I$211)/($F$211-$I$211)/(1+$F$211)^$N$3</f>
        <v>39936.1462953417</v>
      </c>
      <c r="Q223" s="15" t="n">
        <f aca="false">O223+P223</f>
        <v>60892.2499892456</v>
      </c>
      <c r="R223" s="15" t="n">
        <f aca="false">Q223-$G$2+$I$2</f>
        <v>52127.2499892456</v>
      </c>
      <c r="S223" s="40" t="n">
        <f aca="false">R223/$K$2</f>
        <v>93.254230901366</v>
      </c>
      <c r="T223" s="41" t="n">
        <f aca="false">S223-$M$2</f>
        <v>-0.219596426982093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0.073486328125</v>
      </c>
      <c r="C224" s="25" t="n">
        <f aca="false">IF(T223&gt;0,D223,C223)</f>
        <v>0.07421875</v>
      </c>
      <c r="D224" s="39" t="n">
        <f aca="false">(B224+C224)/2</f>
        <v>0.0738525390625</v>
      </c>
      <c r="E224" s="15" t="n">
        <f aca="false">$C$2*(1+IF(E$3&lt;=$O$2,$D224,$D224-($D224-$I$211)*MIN(E$3-$O$2,$Q$2)/$Q$2))</f>
        <v>6024.31274414063</v>
      </c>
      <c r="F224" s="15" t="n">
        <f aca="false">E224*(1+IF(F$3&lt;=$O$2,$D224,$D224-($D224-$I$211)*MIN(F$3-$O$2,$Q$2)/$Q$2))</f>
        <v>6469.22353640199</v>
      </c>
      <c r="G224" s="15" t="n">
        <f aca="false">F224*(1+IF(G$3&lt;=$O$2,$D224,$D224-($D224-$I$211)*MIN(G$3-$O$2,$Q$2)/$Q$2))</f>
        <v>6946.99212032816</v>
      </c>
      <c r="H224" s="15" t="n">
        <f aca="false">G224*(1+IF(H$3&lt;=$O$2,$D224,$D224-($D224-$I$211)*MIN(H$3-$O$2,$Q$2)/$Q$2))</f>
        <v>7460.04512726158</v>
      </c>
      <c r="I224" s="15" t="n">
        <f aca="false">H224*(1+IF(I$3&lt;=$O$2,$D224,$D224-($D224-$I$211)*MIN(I$3-$O$2,$Q$2)/$Q$2))</f>
        <v>8010.98840143067</v>
      </c>
      <c r="J224" s="15" t="n">
        <f aca="false">I224*(1+IF(J$3&lt;=$O$2,$D224,$D224-($D224-$I$211)*MIN(J$3-$O$2,$Q$2)/$Q$2))</f>
        <v>8521.62507445805</v>
      </c>
      <c r="K224" s="15" t="n">
        <f aca="false">J224*(1+IF(K$3&lt;=$O$2,$D224,$D224-($D224-$I$211)*MIN(K$3-$O$2,$Q$2)/$Q$2))</f>
        <v>8978.65280936444</v>
      </c>
      <c r="L224" s="15" t="n">
        <f aca="false">K224*(1+IF(L$3&lt;=$O$2,$D224,$D224-($D224-$I$211)*MIN(L$3-$O$2,$Q$2)/$Q$2))</f>
        <v>9369.41289857224</v>
      </c>
      <c r="M224" s="15" t="n">
        <f aca="false">L224*(1+IF(M$3&lt;=$O$2,$D224,$D224-($D224-$I$211)*MIN(M$3-$O$2,$Q$2)/$Q$2))</f>
        <v>9682.44974141853</v>
      </c>
      <c r="N224" s="15" t="n">
        <f aca="false">M224*(1+IF(N$3&lt;=$O$2,$D224,$D224-($D224-$I$211)*MIN(N$3-$O$2,$Q$2)/$Q$2))</f>
        <v>9908.05082039358</v>
      </c>
      <c r="O224" s="15" t="n">
        <f aca="false">SUMPRODUCT(E224:N224,1/(1+$F$211)^$E$3:$N$3)*$E$2</f>
        <v>20990.1201882754</v>
      </c>
      <c r="P224" s="15" t="n">
        <f aca="false">N224*$E$2*(1+$I$211)/($F$211-$I$211)/(1+$F$211)^$N$3</f>
        <v>40032.1359541711</v>
      </c>
      <c r="Q224" s="15" t="n">
        <f aca="false">O224+P224</f>
        <v>61022.2561424465</v>
      </c>
      <c r="R224" s="15" t="n">
        <f aca="false">Q224-$G$2+$I$2</f>
        <v>52257.2561424465</v>
      </c>
      <c r="S224" s="40" t="n">
        <f aca="false">R224/$K$2</f>
        <v>93.4868083696133</v>
      </c>
      <c r="T224" s="41" t="n">
        <f aca="false">S224-$M$2</f>
        <v>0.0129810412652347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0.073486328125</v>
      </c>
      <c r="C225" s="25" t="n">
        <f aca="false">IF(T224&gt;0,D224,C224)</f>
        <v>0.0738525390625</v>
      </c>
      <c r="D225" s="39" t="n">
        <f aca="false">(B225+C225)/2</f>
        <v>0.07366943359375</v>
      </c>
      <c r="E225" s="15" t="n">
        <f aca="false">$C$2*(1+IF(E$3&lt;=$O$2,$D225,$D225-($D225-$I$211)*MIN(E$3-$O$2,$Q$2)/$Q$2))</f>
        <v>6023.28552246094</v>
      </c>
      <c r="F225" s="15" t="n">
        <f aca="false">E225*(1+IF(F$3&lt;=$O$2,$D225,$D225-($D225-$I$211)*MIN(F$3-$O$2,$Q$2)/$Q$2))</f>
        <v>6467.01755527407</v>
      </c>
      <c r="G225" s="15" t="n">
        <f aca="false">F225*(1+IF(G$3&lt;=$O$2,$D225,$D225-($D225-$I$211)*MIN(G$3-$O$2,$Q$2)/$Q$2))</f>
        <v>6943.43907561195</v>
      </c>
      <c r="H225" s="15" t="n">
        <f aca="false">G225*(1+IF(H$3&lt;=$O$2,$D225,$D225-($D225-$I$211)*MIN(H$3-$O$2,$Q$2)/$Q$2))</f>
        <v>7454.95829950499</v>
      </c>
      <c r="I225" s="15" t="n">
        <f aca="false">H225*(1+IF(I$3&lt;=$O$2,$D225,$D225-($D225-$I$211)*MIN(I$3-$O$2,$Q$2)/$Q$2))</f>
        <v>8004.16085489455</v>
      </c>
      <c r="J225" s="15" t="n">
        <f aca="false">I225*(1+IF(J$3&lt;=$O$2,$D225,$D225-($D225-$I$211)*MIN(J$3-$O$2,$Q$2)/$Q$2))</f>
        <v>8513.18984173704</v>
      </c>
      <c r="K225" s="15" t="n">
        <f aca="false">J225*(1+IF(K$3&lt;=$O$2,$D225,$D225-($D225-$I$211)*MIN(K$3-$O$2,$Q$2)/$Q$2))</f>
        <v>8968.82989529213</v>
      </c>
      <c r="L225" s="15" t="n">
        <f aca="false">K225*(1+IF(L$3&lt;=$O$2,$D225,$D225-($D225-$I$211)*MIN(L$3-$O$2,$Q$2)/$Q$2))</f>
        <v>9358.50558458226</v>
      </c>
      <c r="M225" s="15" t="n">
        <f aca="false">L225*(1+IF(M$3&lt;=$O$2,$D225,$D225-($D225-$I$211)*MIN(M$3-$O$2,$Q$2)/$Q$2))</f>
        <v>9670.83528981889</v>
      </c>
      <c r="N225" s="15" t="n">
        <f aca="false">M225*(1+IF(N$3&lt;=$O$2,$D225,$D225-($D225-$I$211)*MIN(N$3-$O$2,$Q$2)/$Q$2))</f>
        <v>9896.16575207167</v>
      </c>
      <c r="O225" s="15" t="n">
        <f aca="false">SUMPRODUCT(E225:N225,1/(1+$F$211)^$E$3:$N$3)*$E$2</f>
        <v>20973.1050771104</v>
      </c>
      <c r="P225" s="15" t="n">
        <f aca="false">N225*$E$2*(1+$I$211)/($F$211-$I$211)/(1+$F$211)^$N$3</f>
        <v>39984.1159470565</v>
      </c>
      <c r="Q225" s="15" t="n">
        <f aca="false">O225+P225</f>
        <v>60957.2210241669</v>
      </c>
      <c r="R225" s="15" t="n">
        <f aca="false">Q225-$G$2+$I$2</f>
        <v>52192.2210241669</v>
      </c>
      <c r="S225" s="40" t="n">
        <f aca="false">R225/$K$2</f>
        <v>93.3704623137981</v>
      </c>
      <c r="T225" s="41" t="n">
        <f aca="false">S225-$M$2</f>
        <v>-0.103365014549979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0.07366943359375</v>
      </c>
      <c r="C226" s="25" t="n">
        <f aca="false">IF(T225&gt;0,D225,C225)</f>
        <v>0.0738525390625</v>
      </c>
      <c r="D226" s="39" t="n">
        <f aca="false">(B226+C226)/2</f>
        <v>0.073760986328125</v>
      </c>
      <c r="E226" s="15" t="n">
        <f aca="false">$C$2*(1+IF(E$3&lt;=$O$2,$D226,$D226-($D226-$I$211)*MIN(E$3-$O$2,$Q$2)/$Q$2))</f>
        <v>6023.79913330078</v>
      </c>
      <c r="F226" s="15" t="n">
        <f aca="false">E226*(1+IF(F$3&lt;=$O$2,$D226,$D226-($D226-$I$211)*MIN(F$3-$O$2,$Q$2)/$Q$2))</f>
        <v>6468.12049881555</v>
      </c>
      <c r="G226" s="15" t="n">
        <f aca="false">F226*(1+IF(G$3&lt;=$O$2,$D226,$D226-($D226-$I$211)*MIN(G$3-$O$2,$Q$2)/$Q$2))</f>
        <v>6945.21544649735</v>
      </c>
      <c r="H226" s="15" t="n">
        <f aca="false">G226*(1+IF(H$3&lt;=$O$2,$D226,$D226-($D226-$I$211)*MIN(H$3-$O$2,$Q$2)/$Q$2))</f>
        <v>7457.50138809232</v>
      </c>
      <c r="I226" s="15" t="n">
        <f aca="false">H226*(1+IF(I$3&lt;=$O$2,$D226,$D226-($D226-$I$211)*MIN(I$3-$O$2,$Q$2)/$Q$2))</f>
        <v>8007.57404602138</v>
      </c>
      <c r="J226" s="15" t="n">
        <f aca="false">I226*(1+IF(J$3&lt;=$O$2,$D226,$D226-($D226-$I$211)*MIN(J$3-$O$2,$Q$2)/$Q$2))</f>
        <v>8517.40658885986</v>
      </c>
      <c r="K226" s="15" t="n">
        <f aca="false">J226*(1+IF(K$3&lt;=$O$2,$D226,$D226-($D226-$I$211)*MIN(K$3-$O$2,$Q$2)/$Q$2))</f>
        <v>8973.74020483922</v>
      </c>
      <c r="L226" s="15" t="n">
        <f aca="false">K226*(1+IF(L$3&lt;=$O$2,$D226,$D226-($D226-$I$211)*MIN(L$3-$O$2,$Q$2)/$Q$2))</f>
        <v>9363.95786432739</v>
      </c>
      <c r="M226" s="15" t="n">
        <f aca="false">L226*(1+IF(M$3&lt;=$O$2,$D226,$D226-($D226-$I$211)*MIN(M$3-$O$2,$Q$2)/$Q$2))</f>
        <v>9676.64099252001</v>
      </c>
      <c r="N226" s="15" t="n">
        <f aca="false">M226*(1+IF(N$3&lt;=$O$2,$D226,$D226-($D226-$I$211)*MIN(N$3-$O$2,$Q$2)/$Q$2))</f>
        <v>9902.10672764573</v>
      </c>
      <c r="O226" s="15" t="n">
        <f aca="false">SUMPRODUCT(E226:N226,1/(1+$F$211)^$E$3:$N$3)*$E$2</f>
        <v>20981.6109160565</v>
      </c>
      <c r="P226" s="15" t="n">
        <f aca="false">N226*$E$2*(1+$I$211)/($F$211-$I$211)/(1+$F$211)^$N$3</f>
        <v>40008.1196533547</v>
      </c>
      <c r="Q226" s="15" t="n">
        <f aca="false">O226+P226</f>
        <v>60989.7305694112</v>
      </c>
      <c r="R226" s="15" t="n">
        <f aca="false">Q226-$G$2+$I$2</f>
        <v>52224.7305694112</v>
      </c>
      <c r="S226" s="40" t="n">
        <f aca="false">R226/$K$2</f>
        <v>93.428621005065</v>
      </c>
      <c r="T226" s="41" t="n">
        <f aca="false">S226-$M$2</f>
        <v>-0.0452063232830682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0.073760986328125</v>
      </c>
      <c r="C227" s="25" t="n">
        <f aca="false">IF(T226&gt;0,D226,C226)</f>
        <v>0.0738525390625</v>
      </c>
      <c r="D227" s="39" t="n">
        <f aca="false">(B227+C227)/2</f>
        <v>0.0738067626953125</v>
      </c>
      <c r="E227" s="15" t="n">
        <f aca="false">$C$2*(1+IF(E$3&lt;=$O$2,$D227,$D227-($D227-$I$211)*MIN(E$3-$O$2,$Q$2)/$Q$2))</f>
        <v>6024.0559387207</v>
      </c>
      <c r="F227" s="15" t="n">
        <f aca="false">E227*(1+IF(F$3&lt;=$O$2,$D227,$D227-($D227-$I$211)*MIN(F$3-$O$2,$Q$2)/$Q$2))</f>
        <v>6468.67200585315</v>
      </c>
      <c r="G227" s="15" t="n">
        <f aca="false">F227*(1+IF(G$3&lt;=$O$2,$D227,$D227-($D227-$I$211)*MIN(G$3-$O$2,$Q$2)/$Q$2))</f>
        <v>6946.10374554297</v>
      </c>
      <c r="H227" s="15" t="n">
        <f aca="false">G227*(1+IF(H$3&lt;=$O$2,$D227,$D227-($D227-$I$211)*MIN(H$3-$O$2,$Q$2)/$Q$2))</f>
        <v>7458.77317634728</v>
      </c>
      <c r="I227" s="15" t="n">
        <f aca="false">H227*(1+IF(I$3&lt;=$O$2,$D227,$D227-($D227-$I$211)*MIN(I$3-$O$2,$Q$2)/$Q$2))</f>
        <v>8009.2810781721</v>
      </c>
      <c r="J227" s="15" t="n">
        <f aca="false">I227*(1+IF(J$3&lt;=$O$2,$D227,$D227-($D227-$I$211)*MIN(J$3-$O$2,$Q$2)/$Q$2))</f>
        <v>8519.51561431375</v>
      </c>
      <c r="K227" s="15" t="n">
        <f aca="false">J227*(1+IF(K$3&lt;=$O$2,$D227,$D227-($D227-$I$211)*MIN(K$3-$O$2,$Q$2)/$Q$2))</f>
        <v>8976.19622017395</v>
      </c>
      <c r="L227" s="15" t="n">
        <f aca="false">K227*(1+IF(L$3&lt;=$O$2,$D227,$D227-($D227-$I$211)*MIN(L$3-$O$2,$Q$2)/$Q$2))</f>
        <v>9366.68503706356</v>
      </c>
      <c r="M227" s="15" t="n">
        <f aca="false">L227*(1+IF(M$3&lt;=$O$2,$D227,$D227-($D227-$I$211)*MIN(M$3-$O$2,$Q$2)/$Q$2))</f>
        <v>9679.54498610888</v>
      </c>
      <c r="N227" s="15" t="n">
        <f aca="false">M227*(1+IF(N$3&lt;=$O$2,$D227,$D227-($D227-$I$211)*MIN(N$3-$O$2,$Q$2)/$Q$2))</f>
        <v>9905.07838428521</v>
      </c>
      <c r="O227" s="15" t="n">
        <f aca="false">SUMPRODUCT(E227:N227,1/(1+$F$211)^$E$3:$N$3)*$E$2</f>
        <v>20985.8651229266</v>
      </c>
      <c r="P227" s="15" t="n">
        <f aca="false">N227*$E$2*(1+$I$211)/($F$211-$I$211)/(1+$F$211)^$N$3</f>
        <v>40020.1262290937</v>
      </c>
      <c r="Q227" s="15" t="n">
        <f aca="false">O227+P227</f>
        <v>61005.9913520204</v>
      </c>
      <c r="R227" s="15" t="n">
        <f aca="false">Q227-$G$2+$I$2</f>
        <v>52240.9913520204</v>
      </c>
      <c r="S227" s="40" t="n">
        <f aca="false">R227/$K$2</f>
        <v>93.4577111024015</v>
      </c>
      <c r="T227" s="41" t="n">
        <f aca="false">S227-$M$2</f>
        <v>-0.0161162259466039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0.0738067626953125</v>
      </c>
      <c r="C228" s="25" t="n">
        <f aca="false">IF(T227&gt;0,D227,C227)</f>
        <v>0.0738525390625</v>
      </c>
      <c r="D228" s="39" t="n">
        <f aca="false">(B228+C228)/2</f>
        <v>0.0738296508789063</v>
      </c>
      <c r="E228" s="15" t="n">
        <f aca="false">$C$2*(1+IF(E$3&lt;=$O$2,$D228,$D228-($D228-$I$211)*MIN(E$3-$O$2,$Q$2)/$Q$2))</f>
        <v>6024.18434143066</v>
      </c>
      <c r="F228" s="15" t="n">
        <f aca="false">E228*(1+IF(F$3&lt;=$O$2,$D228,$D228-($D228-$I$211)*MIN(F$3-$O$2,$Q$2)/$Q$2))</f>
        <v>6468.94776818866</v>
      </c>
      <c r="G228" s="15" t="n">
        <f aca="false">F228*(1+IF(G$3&lt;=$O$2,$D228,$D228-($D228-$I$211)*MIN(G$3-$O$2,$Q$2)/$Q$2))</f>
        <v>6946.54792346791</v>
      </c>
      <c r="H228" s="15" t="n">
        <f aca="false">G228*(1+IF(H$3&lt;=$O$2,$D228,$D228-($D228-$I$211)*MIN(H$3-$O$2,$Q$2)/$Q$2))</f>
        <v>7459.40913147114</v>
      </c>
      <c r="I228" s="15" t="n">
        <f aca="false">H228*(1+IF(I$3&lt;=$O$2,$D228,$D228-($D228-$I$211)*MIN(I$3-$O$2,$Q$2)/$Q$2))</f>
        <v>8010.13470341058</v>
      </c>
      <c r="J228" s="15" t="n">
        <f aca="false">I228*(1+IF(J$3&lt;=$O$2,$D228,$D228-($D228-$I$211)*MIN(J$3-$O$2,$Q$2)/$Q$2))</f>
        <v>8520.57029004512</v>
      </c>
      <c r="K228" s="15" t="n">
        <f aca="false">J228*(1+IF(K$3&lt;=$O$2,$D228,$D228-($D228-$I$211)*MIN(K$3-$O$2,$Q$2)/$Q$2))</f>
        <v>8977.42444303027</v>
      </c>
      <c r="L228" s="15" t="n">
        <f aca="false">K228*(1+IF(L$3&lt;=$O$2,$D228,$D228-($D228-$I$211)*MIN(L$3-$O$2,$Q$2)/$Q$2))</f>
        <v>9368.04888171211</v>
      </c>
      <c r="M228" s="15" t="n">
        <f aca="false">L228*(1+IF(M$3&lt;=$O$2,$D228,$D228-($D228-$I$211)*MIN(M$3-$O$2,$Q$2)/$Q$2))</f>
        <v>9680.99726853789</v>
      </c>
      <c r="N228" s="15" t="n">
        <f aca="false">M228*(1+IF(N$3&lt;=$O$2,$D228,$D228-($D228-$I$211)*MIN(N$3-$O$2,$Q$2)/$Q$2))</f>
        <v>9906.56450489482</v>
      </c>
      <c r="O228" s="15" t="n">
        <f aca="false">SUMPRODUCT(E228:N228,1/(1+$F$211)^$E$3:$N$3)*$E$2</f>
        <v>20987.9925482812</v>
      </c>
      <c r="P228" s="15" t="n">
        <f aca="false">N228*$E$2*(1+$I$211)/($F$211-$I$211)/(1+$F$211)^$N$3</f>
        <v>40026.1306979208</v>
      </c>
      <c r="Q228" s="15" t="n">
        <f aca="false">O228+P228</f>
        <v>61014.123246202</v>
      </c>
      <c r="R228" s="15" t="n">
        <f aca="false">Q228-$G$2+$I$2</f>
        <v>52249.123246202</v>
      </c>
      <c r="S228" s="40" t="n">
        <f aca="false">R228/$K$2</f>
        <v>93.4722588396758</v>
      </c>
      <c r="T228" s="41" t="n">
        <f aca="false">S228-$M$2</f>
        <v>-0.00156848867231929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0.0738296508789063</v>
      </c>
      <c r="C229" s="25" t="n">
        <f aca="false">IF(T228&gt;0,D228,C228)</f>
        <v>0.0738525390625</v>
      </c>
      <c r="D229" s="39" t="n">
        <f aca="false">(B229+C229)/2</f>
        <v>0.0738410949707031</v>
      </c>
      <c r="E229" s="15" t="n">
        <f aca="false">$C$2*(1+IF(E$3&lt;=$O$2,$D229,$D229-($D229-$I$211)*MIN(E$3-$O$2,$Q$2)/$Q$2))</f>
        <v>6024.24854278564</v>
      </c>
      <c r="F229" s="15" t="n">
        <f aca="false">E229*(1+IF(F$3&lt;=$O$2,$D229,$D229-($D229-$I$211)*MIN(F$3-$O$2,$Q$2)/$Q$2))</f>
        <v>6469.0856515606</v>
      </c>
      <c r="G229" s="15" t="n">
        <f aca="false">F229*(1+IF(G$3&lt;=$O$2,$D229,$D229-($D229-$I$211)*MIN(G$3-$O$2,$Q$2)/$Q$2))</f>
        <v>6946.7700195311</v>
      </c>
      <c r="H229" s="15" t="n">
        <f aca="false">G229*(1+IF(H$3&lt;=$O$2,$D229,$D229-($D229-$I$211)*MIN(H$3-$O$2,$Q$2)/$Q$2))</f>
        <v>7459.72712428293</v>
      </c>
      <c r="I229" s="15" t="n">
        <f aca="false">H229*(1+IF(I$3&lt;=$O$2,$D229,$D229-($D229-$I$211)*MIN(I$3-$O$2,$Q$2)/$Q$2))</f>
        <v>8010.56154332263</v>
      </c>
      <c r="J229" s="15" t="n">
        <f aca="false">I229*(1+IF(J$3&lt;=$O$2,$D229,$D229-($D229-$I$211)*MIN(J$3-$O$2,$Q$2)/$Q$2))</f>
        <v>8521.09766866584</v>
      </c>
      <c r="K229" s="15" t="n">
        <f aca="false">J229*(1+IF(K$3&lt;=$O$2,$D229,$D229-($D229-$I$211)*MIN(K$3-$O$2,$Q$2)/$Q$2))</f>
        <v>8978.03860826176</v>
      </c>
      <c r="L229" s="15" t="n">
        <f aca="false">K229*(1+IF(L$3&lt;=$O$2,$D229,$D229-($D229-$I$211)*MIN(L$3-$O$2,$Q$2)/$Q$2))</f>
        <v>9368.73086861458</v>
      </c>
      <c r="M229" s="15" t="n">
        <f aca="false">L229*(1+IF(M$3&lt;=$O$2,$D229,$D229-($D229-$I$211)*MIN(M$3-$O$2,$Q$2)/$Q$2))</f>
        <v>9681.72348117042</v>
      </c>
      <c r="N229" s="15" t="n">
        <f aca="false">M229*(1+IF(N$3&lt;=$O$2,$D229,$D229-($D229-$I$211)*MIN(N$3-$O$2,$Q$2)/$Q$2))</f>
        <v>9907.30763828169</v>
      </c>
      <c r="O229" s="15" t="n">
        <f aca="false">SUMPRODUCT(E229:N229,1/(1+$F$211)^$E$3:$N$3)*$E$2</f>
        <v>20989.0563414471</v>
      </c>
      <c r="P229" s="15" t="n">
        <f aca="false">N229*$E$2*(1+$I$211)/($F$211-$I$211)/(1+$F$211)^$N$3</f>
        <v>40029.1332276125</v>
      </c>
      <c r="Q229" s="15" t="n">
        <f aca="false">O229+P229</f>
        <v>61018.1895690596</v>
      </c>
      <c r="R229" s="15" t="n">
        <f aca="false">Q229-$G$2+$I$2</f>
        <v>52253.1895690596</v>
      </c>
      <c r="S229" s="40" t="n">
        <f aca="false">R229/$K$2</f>
        <v>93.4795333805495</v>
      </c>
      <c r="T229" s="41" t="n">
        <f aca="false">S229-$M$2</f>
        <v>0.0057060522014325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0.0738296508789063</v>
      </c>
      <c r="C230" s="25" t="n">
        <f aca="false">IF(T229&gt;0,D229,C229)</f>
        <v>0.0738410949707031</v>
      </c>
      <c r="D230" s="39" t="n">
        <f aca="false">(B230+C230)/2</f>
        <v>0.0738353729248047</v>
      </c>
      <c r="E230" s="15" t="n">
        <f aca="false">$C$2*(1+IF(E$3&lt;=$O$2,$D230,$D230-($D230-$I$211)*MIN(E$3-$O$2,$Q$2)/$Q$2))</f>
        <v>6024.21644210815</v>
      </c>
      <c r="F230" s="15" t="n">
        <f aca="false">E230*(1+IF(F$3&lt;=$O$2,$D230,$D230-($D230-$I$211)*MIN(F$3-$O$2,$Q$2)/$Q$2))</f>
        <v>6469.01670969095</v>
      </c>
      <c r="G230" s="15" t="n">
        <f aca="false">F230*(1+IF(G$3&lt;=$O$2,$D230,$D230-($D230-$I$211)*MIN(G$3-$O$2,$Q$2)/$Q$2))</f>
        <v>6946.65897090777</v>
      </c>
      <c r="H230" s="15" t="n">
        <f aca="false">G230*(1+IF(H$3&lt;=$O$2,$D230,$D230-($D230-$I$211)*MIN(H$3-$O$2,$Q$2)/$Q$2))</f>
        <v>7459.56812660619</v>
      </c>
      <c r="I230" s="15" t="n">
        <f aca="false">H230*(1+IF(I$3&lt;=$O$2,$D230,$D230-($D230-$I$211)*MIN(I$3-$O$2,$Q$2)/$Q$2))</f>
        <v>8010.34812109214</v>
      </c>
      <c r="J230" s="15" t="n">
        <f aca="false">I230*(1+IF(J$3&lt;=$O$2,$D230,$D230-($D230-$I$211)*MIN(J$3-$O$2,$Q$2)/$Q$2))</f>
        <v>8520.83397595911</v>
      </c>
      <c r="K230" s="15" t="n">
        <f aca="false">J230*(1+IF(K$3&lt;=$O$2,$D230,$D230-($D230-$I$211)*MIN(K$3-$O$2,$Q$2)/$Q$2))</f>
        <v>8977.73152116222</v>
      </c>
      <c r="L230" s="15" t="n">
        <f aca="false">K230*(1+IF(L$3&lt;=$O$2,$D230,$D230-($D230-$I$211)*MIN(L$3-$O$2,$Q$2)/$Q$2))</f>
        <v>9368.38986978158</v>
      </c>
      <c r="M230" s="15" t="n">
        <f aca="false">L230*(1+IF(M$3&lt;=$O$2,$D230,$D230-($D230-$I$211)*MIN(M$3-$O$2,$Q$2)/$Q$2))</f>
        <v>9681.36036890237</v>
      </c>
      <c r="N230" s="15" t="n">
        <f aca="false">M230*(1+IF(N$3&lt;=$O$2,$D230,$D230-($D230-$I$211)*MIN(N$3-$O$2,$Q$2)/$Q$2))</f>
        <v>9906.93606549779</v>
      </c>
      <c r="O230" s="15" t="n">
        <f aca="false">SUMPRODUCT(E230:N230,1/(1+$F$211)^$E$3:$N$3)*$E$2</f>
        <v>20988.5244381565</v>
      </c>
      <c r="P230" s="15" t="n">
        <f aca="false">N230*$E$2*(1+$I$211)/($F$211-$I$211)/(1+$F$211)^$N$3</f>
        <v>40027.631938159</v>
      </c>
      <c r="Q230" s="15" t="n">
        <f aca="false">O230+P230</f>
        <v>61016.1563763154</v>
      </c>
      <c r="R230" s="15" t="n">
        <f aca="false">Q230-$G$2+$I$2</f>
        <v>52251.1563763154</v>
      </c>
      <c r="S230" s="40" t="n">
        <f aca="false">R230/$K$2</f>
        <v>93.4758960540904</v>
      </c>
      <c r="T230" s="41" t="n">
        <f aca="false">S230-$M$2</f>
        <v>0.00206872574229067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0.0738296508789063</v>
      </c>
      <c r="C231" s="25" t="n">
        <f aca="false">IF(T230&gt;0,D230,C230)</f>
        <v>0.0738353729248047</v>
      </c>
      <c r="D231" s="39" t="n">
        <f aca="false">(B231+C231)/2</f>
        <v>0.0738325119018555</v>
      </c>
      <c r="E231" s="15" t="n">
        <f aca="false">$C$2*(1+IF(E$3&lt;=$O$2,$D231,$D231-($D231-$I$211)*MIN(E$3-$O$2,$Q$2)/$Q$2))</f>
        <v>6024.20039176941</v>
      </c>
      <c r="F231" s="15" t="n">
        <f aca="false">E231*(1+IF(F$3&lt;=$O$2,$D231,$D231-($D231-$I$211)*MIN(F$3-$O$2,$Q$2)/$Q$2))</f>
        <v>6468.98223889389</v>
      </c>
      <c r="G231" s="15" t="n">
        <f aca="false">F231*(1+IF(G$3&lt;=$O$2,$D231,$D231-($D231-$I$211)*MIN(G$3-$O$2,$Q$2)/$Q$2))</f>
        <v>6946.60344703991</v>
      </c>
      <c r="H231" s="15" t="n">
        <f aca="false">G231*(1+IF(H$3&lt;=$O$2,$D231,$D231-($D231-$I$211)*MIN(H$3-$O$2,$Q$2)/$Q$2))</f>
        <v>7459.48862872096</v>
      </c>
      <c r="I231" s="15" t="n">
        <f aca="false">H231*(1+IF(I$3&lt;=$O$2,$D231,$D231-($D231-$I$211)*MIN(I$3-$O$2,$Q$2)/$Q$2))</f>
        <v>8010.24141168275</v>
      </c>
      <c r="J231" s="15" t="n">
        <f aca="false">I231*(1+IF(J$3&lt;=$O$2,$D231,$D231-($D231-$I$211)*MIN(J$3-$O$2,$Q$2)/$Q$2))</f>
        <v>8520.70213215304</v>
      </c>
      <c r="K231" s="15" t="n">
        <f aca="false">J231*(1+IF(K$3&lt;=$O$2,$D231,$D231-($D231-$I$211)*MIN(K$3-$O$2,$Q$2)/$Q$2))</f>
        <v>8977.57798097531</v>
      </c>
      <c r="L231" s="15" t="n">
        <f aca="false">K231*(1+IF(L$3&lt;=$O$2,$D231,$D231-($D231-$I$211)*MIN(L$3-$O$2,$Q$2)/$Q$2))</f>
        <v>9368.21937440143</v>
      </c>
      <c r="M231" s="15" t="n">
        <f aca="false">L231*(1+IF(M$3&lt;=$O$2,$D231,$D231-($D231-$I$211)*MIN(M$3-$O$2,$Q$2)/$Q$2))</f>
        <v>9681.17881723221</v>
      </c>
      <c r="N231" s="15" t="n">
        <f aca="false">M231*(1+IF(N$3&lt;=$O$2,$D231,$D231-($D231-$I$211)*MIN(N$3-$O$2,$Q$2)/$Q$2))</f>
        <v>9906.75028367372</v>
      </c>
      <c r="O231" s="15" t="n">
        <f aca="false">SUMPRODUCT(E231:N231,1/(1+$F$211)^$E$3:$N$3)*$E$2</f>
        <v>20988.2584915419</v>
      </c>
      <c r="P231" s="15" t="n">
        <f aca="false">N231*$E$2*(1+$I$211)/($F$211-$I$211)/(1+$F$211)^$N$3</f>
        <v>40026.8813118881</v>
      </c>
      <c r="Q231" s="15" t="n">
        <f aca="false">O231+P231</f>
        <v>61015.13980343</v>
      </c>
      <c r="R231" s="15" t="n">
        <f aca="false">Q231-$G$2+$I$2</f>
        <v>52250.13980343</v>
      </c>
      <c r="S231" s="40" t="n">
        <f aca="false">R231/$K$2</f>
        <v>93.4740774328777</v>
      </c>
      <c r="T231" s="41" t="n">
        <f aca="false">S231-$M$2</f>
        <v>0.000250104529641249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0.0738296508789063</v>
      </c>
      <c r="C232" s="25" t="n">
        <f aca="false">IF(T231&gt;0,D231,C231)</f>
        <v>0.0738325119018555</v>
      </c>
      <c r="D232" s="39" t="n">
        <f aca="false">(B232+C232)/2</f>
        <v>0.0738310813903809</v>
      </c>
      <c r="E232" s="15" t="n">
        <f aca="false">$C$2*(1+IF(E$3&lt;=$O$2,$D232,$D232-($D232-$I$211)*MIN(E$3-$O$2,$Q$2)/$Q$2))</f>
        <v>6024.19236660004</v>
      </c>
      <c r="F232" s="15" t="n">
        <f aca="false">E232*(1+IF(F$3&lt;=$O$2,$D232,$D232-($D232-$I$211)*MIN(F$3-$O$2,$Q$2)/$Q$2))</f>
        <v>6468.9650035298</v>
      </c>
      <c r="G232" s="15" t="n">
        <f aca="false">F232*(1+IF(G$3&lt;=$O$2,$D232,$D232-($D232-$I$211)*MIN(G$3-$O$2,$Q$2)/$Q$2))</f>
        <v>6946.57568521693</v>
      </c>
      <c r="H232" s="15" t="n">
        <f aca="false">G232*(1+IF(H$3&lt;=$O$2,$D232,$D232-($D232-$I$211)*MIN(H$3-$O$2,$Q$2)/$Q$2))</f>
        <v>7459.44888001662</v>
      </c>
      <c r="I232" s="15" t="n">
        <f aca="false">H232*(1+IF(I$3&lt;=$O$2,$D232,$D232-($D232-$I$211)*MIN(I$3-$O$2,$Q$2)/$Q$2))</f>
        <v>8010.18805740451</v>
      </c>
      <c r="J232" s="15" t="n">
        <f aca="false">I232*(1+IF(J$3&lt;=$O$2,$D232,$D232-($D232-$I$211)*MIN(J$3-$O$2,$Q$2)/$Q$2))</f>
        <v>8520.63621088681</v>
      </c>
      <c r="K232" s="15" t="n">
        <f aca="false">J232*(1+IF(K$3&lt;=$O$2,$D232,$D232-($D232-$I$211)*MIN(K$3-$O$2,$Q$2)/$Q$2))</f>
        <v>8977.50121172256</v>
      </c>
      <c r="L232" s="15" t="n">
        <f aca="false">K232*(1+IF(L$3&lt;=$O$2,$D232,$D232-($D232-$I$211)*MIN(L$3-$O$2,$Q$2)/$Q$2))</f>
        <v>9368.13412772041</v>
      </c>
      <c r="M232" s="15" t="n">
        <f aca="false">L232*(1+IF(M$3&lt;=$O$2,$D232,$D232-($D232-$I$211)*MIN(M$3-$O$2,$Q$2)/$Q$2))</f>
        <v>9681.08804251307</v>
      </c>
      <c r="N232" s="15" t="n">
        <f aca="false">M232*(1+IF(N$3&lt;=$O$2,$D232,$D232-($D232-$I$211)*MIN(N$3-$O$2,$Q$2)/$Q$2))</f>
        <v>9906.65739390362</v>
      </c>
      <c r="O232" s="15" t="n">
        <f aca="false">SUMPRODUCT(E232:N232,1/(1+$F$211)^$E$3:$N$3)*$E$2</f>
        <v>20988.1255194923</v>
      </c>
      <c r="P232" s="15" t="n">
        <f aca="false">N232*$E$2*(1+$I$211)/($F$211-$I$211)/(1+$F$211)^$N$3</f>
        <v>40026.5060033665</v>
      </c>
      <c r="Q232" s="15" t="n">
        <f aca="false">O232+P232</f>
        <v>61014.6315228588</v>
      </c>
      <c r="R232" s="15" t="n">
        <f aca="false">Q232-$G$2+$I$2</f>
        <v>52249.6315228588</v>
      </c>
      <c r="S232" s="40" t="n">
        <f aca="false">R232/$K$2</f>
        <v>93.4731681327754</v>
      </c>
      <c r="T232" s="41" t="n">
        <f aca="false">S232-$M$2</f>
        <v>-0.000659195572652038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0.0738310813903809</v>
      </c>
      <c r="C233" s="25" t="n">
        <f aca="false">IF(T232&gt;0,D232,C232)</f>
        <v>0.0738325119018555</v>
      </c>
      <c r="D233" s="39" t="n">
        <f aca="false">(B233+C233)/2</f>
        <v>0.0738317966461182</v>
      </c>
      <c r="E233" s="15" t="n">
        <f aca="false">$C$2*(1+IF(E$3&lt;=$O$2,$D233,$D233-($D233-$I$211)*MIN(E$3-$O$2,$Q$2)/$Q$2))</f>
        <v>6024.19637918472</v>
      </c>
      <c r="F233" s="15" t="n">
        <f aca="false">E233*(1+IF(F$3&lt;=$O$2,$D233,$D233-($D233-$I$211)*MIN(F$3-$O$2,$Q$2)/$Q$2))</f>
        <v>6468.97362120897</v>
      </c>
      <c r="G233" s="15" t="n">
        <f aca="false">F233*(1+IF(G$3&lt;=$O$2,$D233,$D233-($D233-$I$211)*MIN(G$3-$O$2,$Q$2)/$Q$2))</f>
        <v>6946.58956611917</v>
      </c>
      <c r="H233" s="15" t="n">
        <f aca="false">G233*(1+IF(H$3&lt;=$O$2,$D233,$D233-($D233-$I$211)*MIN(H$3-$O$2,$Q$2)/$Q$2))</f>
        <v>7459.46875434893</v>
      </c>
      <c r="I233" s="15" t="n">
        <f aca="false">H233*(1+IF(I$3&lt;=$O$2,$D233,$D233-($D233-$I$211)*MIN(I$3-$O$2,$Q$2)/$Q$2))</f>
        <v>8010.2147345081</v>
      </c>
      <c r="J233" s="15" t="n">
        <f aca="false">I233*(1+IF(J$3&lt;=$O$2,$D233,$D233-($D233-$I$211)*MIN(J$3-$O$2,$Q$2)/$Q$2))</f>
        <v>8520.66917146686</v>
      </c>
      <c r="K233" s="15" t="n">
        <f aca="false">J233*(1+IF(K$3&lt;=$O$2,$D233,$D233-($D233-$I$211)*MIN(K$3-$O$2,$Q$2)/$Q$2))</f>
        <v>8977.53959627888</v>
      </c>
      <c r="L233" s="15" t="n">
        <f aca="false">K233*(1+IF(L$3&lt;=$O$2,$D233,$D233-($D233-$I$211)*MIN(L$3-$O$2,$Q$2)/$Q$2))</f>
        <v>9368.17675097683</v>
      </c>
      <c r="M233" s="15" t="n">
        <f aca="false">L233*(1+IF(M$3&lt;=$O$2,$D233,$D233-($D233-$I$211)*MIN(M$3-$O$2,$Q$2)/$Q$2))</f>
        <v>9681.13342977964</v>
      </c>
      <c r="N233" s="15" t="n">
        <f aca="false">M233*(1+IF(N$3&lt;=$O$2,$D233,$D233-($D233-$I$211)*MIN(N$3-$O$2,$Q$2)/$Q$2))</f>
        <v>9906.70383869351</v>
      </c>
      <c r="O233" s="15" t="n">
        <f aca="false">SUMPRODUCT(E233:N233,1/(1+$F$211)^$E$3:$N$3)*$E$2</f>
        <v>20988.1920054123</v>
      </c>
      <c r="P233" s="15" t="n">
        <f aca="false">N233*$E$2*(1+$I$211)/($F$211-$I$211)/(1+$F$211)^$N$3</f>
        <v>40026.6936572428</v>
      </c>
      <c r="Q233" s="15" t="n">
        <f aca="false">O233+P233</f>
        <v>61014.8856626551</v>
      </c>
      <c r="R233" s="15" t="n">
        <f aca="false">Q233-$G$2+$I$2</f>
        <v>52249.8856626551</v>
      </c>
      <c r="S233" s="40" t="n">
        <f aca="false">R233/$K$2</f>
        <v>93.4736227819513</v>
      </c>
      <c r="T233" s="41" t="n">
        <f aca="false">S233-$M$2</f>
        <v>-0.000204546396830096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0.0738317966461182</v>
      </c>
      <c r="C234" s="25" t="n">
        <f aca="false">IF(T233&gt;0,D233,C233)</f>
        <v>0.0738325119018555</v>
      </c>
      <c r="D234" s="39" t="n">
        <f aca="false">(B234+C234)/2</f>
        <v>0.0738321542739868</v>
      </c>
      <c r="E234" s="15" t="n">
        <f aca="false">$C$2*(1+IF(E$3&lt;=$O$2,$D234,$D234-($D234-$I$211)*MIN(E$3-$O$2,$Q$2)/$Q$2))</f>
        <v>6024.19838547707</v>
      </c>
      <c r="F234" s="15" t="n">
        <f aca="false">E234*(1+IF(F$3&lt;=$O$2,$D234,$D234-($D234-$I$211)*MIN(F$3-$O$2,$Q$2)/$Q$2))</f>
        <v>6468.97793005071</v>
      </c>
      <c r="G234" s="15" t="n">
        <f aca="false">F234*(1+IF(G$3&lt;=$O$2,$D234,$D234-($D234-$I$211)*MIN(G$3-$O$2,$Q$2)/$Q$2))</f>
        <v>6946.59650657723</v>
      </c>
      <c r="H234" s="15" t="n">
        <f aca="false">G234*(1+IF(H$3&lt;=$O$2,$D234,$D234-($D234-$I$211)*MIN(H$3-$O$2,$Q$2)/$Q$2))</f>
        <v>7459.47869152998</v>
      </c>
      <c r="I234" s="15" t="n">
        <f aca="false">H234*(1+IF(I$3&lt;=$O$2,$D234,$D234-($D234-$I$211)*MIN(I$3-$O$2,$Q$2)/$Q$2))</f>
        <v>8010.22807308654</v>
      </c>
      <c r="J234" s="15" t="n">
        <f aca="false">I234*(1+IF(J$3&lt;=$O$2,$D234,$D234-($D234-$I$211)*MIN(J$3-$O$2,$Q$2)/$Q$2))</f>
        <v>8520.68565179668</v>
      </c>
      <c r="K234" s="15" t="n">
        <f aca="false">J234*(1+IF(K$3&lt;=$O$2,$D234,$D234-($D234-$I$211)*MIN(K$3-$O$2,$Q$2)/$Q$2))</f>
        <v>8977.55878860958</v>
      </c>
      <c r="L234" s="15" t="n">
        <f aca="false">K234*(1+IF(L$3&lt;=$O$2,$D234,$D234-($D234-$I$211)*MIN(L$3-$O$2,$Q$2)/$Q$2))</f>
        <v>9368.19806266811</v>
      </c>
      <c r="M234" s="15" t="n">
        <f aca="false">L234*(1+IF(M$3&lt;=$O$2,$D234,$D234-($D234-$I$211)*MIN(M$3-$O$2,$Q$2)/$Q$2))</f>
        <v>9681.15612348268</v>
      </c>
      <c r="N234" s="15" t="n">
        <f aca="false">M234*(1+IF(N$3&lt;=$O$2,$D234,$D234-($D234-$I$211)*MIN(N$3-$O$2,$Q$2)/$Q$2))</f>
        <v>9906.72706115982</v>
      </c>
      <c r="O234" s="15" t="n">
        <f aca="false">SUMPRODUCT(E234:N234,1/(1+$F$211)^$E$3:$N$3)*$E$2</f>
        <v>20988.2252484509</v>
      </c>
      <c r="P234" s="15" t="n">
        <f aca="false">N234*$E$2*(1+$I$211)/($F$211-$I$211)/(1+$F$211)^$N$3</f>
        <v>40026.7874844693</v>
      </c>
      <c r="Q234" s="15" t="n">
        <f aca="false">O234+P234</f>
        <v>61015.0127329202</v>
      </c>
      <c r="R234" s="15" t="n">
        <f aca="false">Q234-$G$2+$I$2</f>
        <v>52250.0127329202</v>
      </c>
      <c r="S234" s="40" t="n">
        <f aca="false">R234/$K$2</f>
        <v>93.4738501071956</v>
      </c>
      <c r="T234" s="41" t="n">
        <f aca="false">S234-$M$2</f>
        <v>2.27788475655188E-005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0.0738317966461182</v>
      </c>
      <c r="C235" s="25" t="n">
        <f aca="false">IF(T234&gt;0,D234,C234)</f>
        <v>0.0738321542739868</v>
      </c>
      <c r="D235" s="39" t="n">
        <f aca="false">(B235+C235)/2</f>
        <v>0.0738319754600525</v>
      </c>
      <c r="E235" s="15" t="n">
        <f aca="false">$C$2*(1+IF(E$3&lt;=$O$2,$D235,$D235-($D235-$I$211)*MIN(E$3-$O$2,$Q$2)/$Q$2))</f>
        <v>6024.19738233089</v>
      </c>
      <c r="F235" s="15" t="n">
        <f aca="false">E235*(1+IF(F$3&lt;=$O$2,$D235,$D235-($D235-$I$211)*MIN(F$3-$O$2,$Q$2)/$Q$2))</f>
        <v>6468.97577562966</v>
      </c>
      <c r="G235" s="15" t="n">
        <f aca="false">F235*(1+IF(G$3&lt;=$O$2,$D235,$D235-($D235-$I$211)*MIN(G$3-$O$2,$Q$2)/$Q$2))</f>
        <v>6946.59303634763</v>
      </c>
      <c r="H235" s="15" t="n">
        <f aca="false">G235*(1+IF(H$3&lt;=$O$2,$D235,$D235-($D235-$I$211)*MIN(H$3-$O$2,$Q$2)/$Q$2))</f>
        <v>7459.47372293821</v>
      </c>
      <c r="I235" s="15" t="n">
        <f aca="false">H235*(1+IF(I$3&lt;=$O$2,$D235,$D235-($D235-$I$211)*MIN(I$3-$O$2,$Q$2)/$Q$2))</f>
        <v>8010.22140379509</v>
      </c>
      <c r="J235" s="15" t="n">
        <f aca="false">I235*(1+IF(J$3&lt;=$O$2,$D235,$D235-($D235-$I$211)*MIN(J$3-$O$2,$Q$2)/$Q$2))</f>
        <v>8520.67741162845</v>
      </c>
      <c r="K235" s="15" t="n">
        <f aca="false">J235*(1+IF(K$3&lt;=$O$2,$D235,$D235-($D235-$I$211)*MIN(K$3-$O$2,$Q$2)/$Q$2))</f>
        <v>8977.54919243985</v>
      </c>
      <c r="L235" s="15" t="n">
        <f aca="false">K235*(1+IF(L$3&lt;=$O$2,$D235,$D235-($D235-$I$211)*MIN(L$3-$O$2,$Q$2)/$Q$2))</f>
        <v>9368.18740681721</v>
      </c>
      <c r="M235" s="15" t="n">
        <f aca="false">L235*(1+IF(M$3&lt;=$O$2,$D235,$D235-($D235-$I$211)*MIN(M$3-$O$2,$Q$2)/$Q$2))</f>
        <v>9681.14477662535</v>
      </c>
      <c r="N235" s="15" t="n">
        <f aca="false">M235*(1+IF(N$3&lt;=$O$2,$D235,$D235-($D235-$I$211)*MIN(N$3-$O$2,$Q$2)/$Q$2))</f>
        <v>9906.71544992072</v>
      </c>
      <c r="O235" s="15" t="n">
        <f aca="false">SUMPRODUCT(E235:N235,1/(1+$F$211)^$E$3:$N$3)*$E$2</f>
        <v>20988.2086269251</v>
      </c>
      <c r="P235" s="15" t="n">
        <f aca="false">N235*$E$2*(1+$I$211)/($F$211-$I$211)/(1+$F$211)^$N$3</f>
        <v>40026.740570832</v>
      </c>
      <c r="Q235" s="15" t="n">
        <f aca="false">O235+P235</f>
        <v>61014.9491977571</v>
      </c>
      <c r="R235" s="15" t="n">
        <f aca="false">Q235-$G$2+$I$2</f>
        <v>52249.9491977571</v>
      </c>
      <c r="S235" s="40" t="n">
        <f aca="false">R235/$K$2</f>
        <v>93.4737364445187</v>
      </c>
      <c r="T235" s="41" t="n">
        <f aca="false">S235-$M$2</f>
        <v>-9.08838293440795E-005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0.0738319754600525</v>
      </c>
      <c r="C236" s="25" t="n">
        <f aca="false">IF(T235&gt;0,D235,C235)</f>
        <v>0.0738321542739868</v>
      </c>
      <c r="D236" s="39" t="n">
        <f aca="false">(B236+C236)/2</f>
        <v>0.0738320648670197</v>
      </c>
      <c r="E236" s="15" t="n">
        <f aca="false">$C$2*(1+IF(E$3&lt;=$O$2,$D236,$D236-($D236-$I$211)*MIN(E$3-$O$2,$Q$2)/$Q$2))</f>
        <v>6024.19788390398</v>
      </c>
      <c r="F236" s="15" t="n">
        <f aca="false">E236*(1+IF(F$3&lt;=$O$2,$D236,$D236-($D236-$I$211)*MIN(F$3-$O$2,$Q$2)/$Q$2))</f>
        <v>6468.97685284014</v>
      </c>
      <c r="G236" s="15" t="n">
        <f aca="false">F236*(1+IF(G$3&lt;=$O$2,$D236,$D236-($D236-$I$211)*MIN(G$3-$O$2,$Q$2)/$Q$2))</f>
        <v>6946.59477146228</v>
      </c>
      <c r="H236" s="15" t="n">
        <f aca="false">G236*(1+IF(H$3&lt;=$O$2,$D236,$D236-($D236-$I$211)*MIN(H$3-$O$2,$Q$2)/$Q$2))</f>
        <v>7459.47620723379</v>
      </c>
      <c r="I236" s="15" t="n">
        <f aca="false">H236*(1+IF(I$3&lt;=$O$2,$D236,$D236-($D236-$I$211)*MIN(I$3-$O$2,$Q$2)/$Q$2))</f>
        <v>8010.22473844026</v>
      </c>
      <c r="J236" s="15" t="n">
        <f aca="false">I236*(1+IF(J$3&lt;=$O$2,$D236,$D236-($D236-$I$211)*MIN(J$3-$O$2,$Q$2)/$Q$2))</f>
        <v>8520.68153171173</v>
      </c>
      <c r="K236" s="15" t="n">
        <f aca="false">J236*(1+IF(K$3&lt;=$O$2,$D236,$D236-($D236-$I$211)*MIN(K$3-$O$2,$Q$2)/$Q$2))</f>
        <v>8977.55399052362</v>
      </c>
      <c r="L236" s="15" t="n">
        <f aca="false">K236*(1+IF(L$3&lt;=$O$2,$D236,$D236-($D236-$I$211)*MIN(L$3-$O$2,$Q$2)/$Q$2))</f>
        <v>9368.19273474135</v>
      </c>
      <c r="M236" s="15" t="n">
        <f aca="false">L236*(1+IF(M$3&lt;=$O$2,$D236,$D236-($D236-$I$211)*MIN(M$3-$O$2,$Q$2)/$Q$2))</f>
        <v>9681.15045005256</v>
      </c>
      <c r="N236" s="15" t="n">
        <f aca="false">M236*(1+IF(N$3&lt;=$O$2,$D236,$D236-($D236-$I$211)*MIN(N$3-$O$2,$Q$2)/$Q$2))</f>
        <v>9906.72125553878</v>
      </c>
      <c r="O236" s="15" t="n">
        <f aca="false">SUMPRODUCT(E236:N236,1/(1+$F$211)^$E$3:$N$3)*$E$2</f>
        <v>20988.2169376864</v>
      </c>
      <c r="P236" s="15" t="n">
        <f aca="false">N236*$E$2*(1+$I$211)/($F$211-$I$211)/(1+$F$211)^$N$3</f>
        <v>40026.7640276447</v>
      </c>
      <c r="Q236" s="15" t="n">
        <f aca="false">O236+P236</f>
        <v>61014.980965331</v>
      </c>
      <c r="R236" s="15" t="n">
        <f aca="false">Q236-$G$2+$I$2</f>
        <v>52249.980965331</v>
      </c>
      <c r="S236" s="40" t="n">
        <f aca="false">R236/$K$2</f>
        <v>93.4737932758435</v>
      </c>
      <c r="T236" s="41" t="n">
        <f aca="false">S236-$M$2</f>
        <v>-3.40525045743334E-005</v>
      </c>
    </row>
    <row r="238" customFormat="false" ht="15" hidden="false" customHeight="false" outlineLevel="0" collapsed="false">
      <c r="A238" s="36" t="s">
        <v>194</v>
      </c>
      <c r="E238" s="5" t="s">
        <v>11</v>
      </c>
      <c r="F238" s="12" t="n">
        <f aca="false">Sensitivity!$B$11</f>
        <v>0.071736031552909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6" t="s">
        <v>167</v>
      </c>
      <c r="B239" s="28" t="s">
        <v>168</v>
      </c>
      <c r="C239" s="28" t="s">
        <v>169</v>
      </c>
      <c r="D239" s="28" t="s">
        <v>170</v>
      </c>
      <c r="E239" s="28" t="s">
        <v>171</v>
      </c>
      <c r="F239" s="28" t="s">
        <v>172</v>
      </c>
      <c r="G239" s="28" t="s">
        <v>173</v>
      </c>
      <c r="H239" s="28" t="s">
        <v>174</v>
      </c>
      <c r="I239" s="28" t="s">
        <v>175</v>
      </c>
      <c r="J239" s="28" t="s">
        <v>176</v>
      </c>
      <c r="K239" s="28" t="s">
        <v>177</v>
      </c>
      <c r="L239" s="28" t="s">
        <v>178</v>
      </c>
      <c r="M239" s="28" t="s">
        <v>179</v>
      </c>
      <c r="N239" s="28" t="s">
        <v>180</v>
      </c>
      <c r="O239" s="28" t="s">
        <v>181</v>
      </c>
      <c r="P239" s="28" t="s">
        <v>182</v>
      </c>
      <c r="Q239" s="28" t="s">
        <v>183</v>
      </c>
      <c r="R239" s="28" t="s">
        <v>184</v>
      </c>
      <c r="S239" s="28" t="s">
        <v>185</v>
      </c>
      <c r="T239" s="28" t="s">
        <v>186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39" t="n">
        <f aca="false">(B240+C240)/2</f>
        <v>0.25</v>
      </c>
      <c r="E240" s="15" t="n">
        <f aca="false">$C$2*(1+IF(E$3&lt;=$O$2,$D240,$D240-($D240-$I$238)*MIN(E$3-$O$2,$Q$2)/$Q$2))</f>
        <v>7012.5</v>
      </c>
      <c r="F240" s="15" t="n">
        <f aca="false">E240*(1+IF(F$3&lt;=$O$2,$D240,$D240-($D240-$I$238)*MIN(F$3-$O$2,$Q$2)/$Q$2))</f>
        <v>8765.625</v>
      </c>
      <c r="G240" s="15" t="n">
        <f aca="false">F240*(1+IF(G$3&lt;=$O$2,$D240,$D240-($D240-$I$238)*MIN(G$3-$O$2,$Q$2)/$Q$2))</f>
        <v>10957.03125</v>
      </c>
      <c r="H240" s="15" t="n">
        <f aca="false">G240*(1+IF(H$3&lt;=$O$2,$D240,$D240-($D240-$I$238)*MIN(H$3-$O$2,$Q$2)/$Q$2))</f>
        <v>13696.2890625</v>
      </c>
      <c r="I240" s="15" t="n">
        <f aca="false">H240*(1+IF(I$3&lt;=$O$2,$D240,$D240-($D240-$I$238)*MIN(I$3-$O$2,$Q$2)/$Q$2))</f>
        <v>17120.361328125</v>
      </c>
      <c r="J240" s="15" t="n">
        <f aca="false">I240*(1+IF(J$3&lt;=$O$2,$D240,$D240-($D240-$I$238)*MIN(J$3-$O$2,$Q$2)/$Q$2))</f>
        <v>20641.3348388672</v>
      </c>
      <c r="K240" s="15" t="n">
        <f aca="false">J240*(1+IF(K$3&lt;=$O$2,$D240,$D240-($D240-$I$238)*MIN(K$3-$O$2,$Q$2)/$Q$2))</f>
        <v>23971.1949750732</v>
      </c>
      <c r="L240" s="15" t="n">
        <f aca="false">K240*(1+IF(L$3&lt;=$O$2,$D240,$D240-($D240-$I$238)*MIN(L$3-$O$2,$Q$2)/$Q$2))</f>
        <v>26775.3453632573</v>
      </c>
      <c r="M240" s="15" t="n">
        <f aca="false">L240*(1+IF(M$3&lt;=$O$2,$D240,$D240-($D240-$I$238)*MIN(M$3-$O$2,$Q$2)/$Q$2))</f>
        <v>28720.3064504443</v>
      </c>
      <c r="N240" s="15" t="n">
        <f aca="false">M240*(1+IF(N$3&lt;=$O$2,$D240,$D240-($D240-$I$238)*MIN(N$3-$O$2,$Q$2)/$Q$2))</f>
        <v>29533.0911229919</v>
      </c>
      <c r="O240" s="15" t="n">
        <f aca="false">SUMPRODUCT(E240:N240,1/(1+$F$238)^$E$3:$N$3)*$E$2</f>
        <v>45689.4369354905</v>
      </c>
      <c r="P240" s="15" t="n">
        <f aca="false">N240*$E$2*(1+$I$238)/($F$238-$I$238)/(1+$F$238)^$N$3</f>
        <v>133710.25529215</v>
      </c>
      <c r="Q240" s="15" t="n">
        <f aca="false">O240+P240</f>
        <v>179399.692227641</v>
      </c>
      <c r="R240" s="15" t="n">
        <f aca="false">Q240-$G$2+$I$2</f>
        <v>170634.692227641</v>
      </c>
      <c r="S240" s="40" t="n">
        <f aca="false">R240/$K$2</f>
        <v>305.260818325595</v>
      </c>
      <c r="T240" s="41" t="n">
        <f aca="false">S240-$M$2</f>
        <v>211.786990997247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39" t="n">
        <f aca="false">(B241+C241)/2</f>
        <v>-0.125</v>
      </c>
      <c r="E241" s="15" t="n">
        <f aca="false">$C$2*(1+IF(E$3&lt;=$O$2,$D241,$D241-($D241-$I$238)*MIN(E$3-$O$2,$Q$2)/$Q$2))</f>
        <v>4908.75</v>
      </c>
      <c r="F241" s="15" t="n">
        <f aca="false">E241*(1+IF(F$3&lt;=$O$2,$D241,$D241-($D241-$I$238)*MIN(F$3-$O$2,$Q$2)/$Q$2))</f>
        <v>4295.15625</v>
      </c>
      <c r="G241" s="15" t="n">
        <f aca="false">F241*(1+IF(G$3&lt;=$O$2,$D241,$D241-($D241-$I$238)*MIN(G$3-$O$2,$Q$2)/$Q$2))</f>
        <v>3758.26171875</v>
      </c>
      <c r="H241" s="15" t="n">
        <f aca="false">G241*(1+IF(H$3&lt;=$O$2,$D241,$D241-($D241-$I$238)*MIN(H$3-$O$2,$Q$2)/$Q$2))</f>
        <v>3288.47900390625</v>
      </c>
      <c r="I241" s="15" t="n">
        <f aca="false">H241*(1+IF(I$3&lt;=$O$2,$D241,$D241-($D241-$I$238)*MIN(I$3-$O$2,$Q$2)/$Q$2))</f>
        <v>2877.41912841797</v>
      </c>
      <c r="J241" s="15" t="n">
        <f aca="false">I241*(1+IF(J$3&lt;=$O$2,$D241,$D241-($D241-$I$238)*MIN(J$3-$O$2,$Q$2)/$Q$2))</f>
        <v>2605.96340784302</v>
      </c>
      <c r="K241" s="15" t="n">
        <f aca="false">J241*(1+IF(K$3&lt;=$O$2,$D241,$D241-($D241-$I$238)*MIN(K$3-$O$2,$Q$2)/$Q$2))</f>
        <v>2440.01565803157</v>
      </c>
      <c r="L241" s="15" t="n">
        <f aca="false">K241*(1+IF(L$3&lt;=$O$2,$D241,$D241-($D241-$I$238)*MIN(L$3-$O$2,$Q$2)/$Q$2))</f>
        <v>2359.44634100337</v>
      </c>
      <c r="M241" s="15" t="n">
        <f aca="false">L241*(1+IF(M$3&lt;=$O$2,$D241,$D241-($D241-$I$238)*MIN(M$3-$O$2,$Q$2)/$Q$2))</f>
        <v>2353.8780476386</v>
      </c>
      <c r="N241" s="15" t="n">
        <f aca="false">M241*(1+IF(N$3&lt;=$O$2,$D241,$D241-($D241-$I$238)*MIN(N$3-$O$2,$Q$2)/$Q$2))</f>
        <v>2420.49279638678</v>
      </c>
      <c r="O241" s="15" t="n">
        <f aca="false">SUMPRODUCT(E241:N241,1/(1+$F$238)^$E$3:$N$3)*$E$2</f>
        <v>8775.0581726451</v>
      </c>
      <c r="P241" s="15" t="n">
        <f aca="false">N241*$E$2*(1+$I$238)/($F$238-$I$238)/(1+$F$238)^$N$3</f>
        <v>10958.7143584075</v>
      </c>
      <c r="Q241" s="15" t="n">
        <f aca="false">O241+P241</f>
        <v>19733.7725310525</v>
      </c>
      <c r="R241" s="15" t="n">
        <f aca="false">Q241-$G$2+$I$2</f>
        <v>10968.7725310525</v>
      </c>
      <c r="S241" s="40" t="n">
        <f aca="false">R241/$K$2</f>
        <v>19.6228353984982</v>
      </c>
      <c r="T241" s="41" t="n">
        <f aca="false">S241-$M$2</f>
        <v>-73.8509919298498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39" t="n">
        <f aca="false">(B242+C242)/2</f>
        <v>0.0625</v>
      </c>
      <c r="E242" s="15" t="n">
        <f aca="false">$C$2*(1+IF(E$3&lt;=$O$2,$D242,$D242-($D242-$I$238)*MIN(E$3-$O$2,$Q$2)/$Q$2))</f>
        <v>5960.625</v>
      </c>
      <c r="F242" s="15" t="n">
        <f aca="false">E242*(1+IF(F$3&lt;=$O$2,$D242,$D242-($D242-$I$238)*MIN(F$3-$O$2,$Q$2)/$Q$2))</f>
        <v>6333.1640625</v>
      </c>
      <c r="G242" s="15" t="n">
        <f aca="false">F242*(1+IF(G$3&lt;=$O$2,$D242,$D242-($D242-$I$238)*MIN(G$3-$O$2,$Q$2)/$Q$2))</f>
        <v>6728.98681640625</v>
      </c>
      <c r="H242" s="15" t="n">
        <f aca="false">G242*(1+IF(H$3&lt;=$O$2,$D242,$D242-($D242-$I$238)*MIN(H$3-$O$2,$Q$2)/$Q$2))</f>
        <v>7149.54849243164</v>
      </c>
      <c r="I242" s="15" t="n">
        <f aca="false">H242*(1+IF(I$3&lt;=$O$2,$D242,$D242-($D242-$I$238)*MIN(I$3-$O$2,$Q$2)/$Q$2))</f>
        <v>7596.39527320862</v>
      </c>
      <c r="J242" s="15" t="n">
        <f aca="false">I242*(1+IF(J$3&lt;=$O$2,$D242,$D242-($D242-$I$238)*MIN(J$3-$O$2,$Q$2)/$Q$2))</f>
        <v>8019.21063411541</v>
      </c>
      <c r="K242" s="15" t="n">
        <f aca="false">J242*(1+IF(K$3&lt;=$O$2,$D242,$D242-($D242-$I$238)*MIN(K$3-$O$2,$Q$2)/$Q$2))</f>
        <v>8410.70849727293</v>
      </c>
      <c r="L242" s="15" t="n">
        <f aca="false">K242*(1+IF(L$3&lt;=$O$2,$D242,$D242-($D242-$I$238)*MIN(L$3-$O$2,$Q$2)/$Q$2))</f>
        <v>8763.79003998844</v>
      </c>
      <c r="M242" s="15" t="n">
        <f aca="false">L242*(1+IF(M$3&lt;=$O$2,$D242,$D242-($D242-$I$238)*MIN(M$3-$O$2,$Q$2)/$Q$2))</f>
        <v>9071.74962199364</v>
      </c>
      <c r="N242" s="15" t="n">
        <f aca="false">M242*(1+IF(N$3&lt;=$O$2,$D242,$D242-($D242-$I$238)*MIN(N$3-$O$2,$Q$2)/$Q$2))</f>
        <v>9328.48013629606</v>
      </c>
      <c r="O242" s="15" t="n">
        <f aca="false">SUMPRODUCT(E242:N242,1/(1+$F$238)^$E$3:$N$3)*$E$2</f>
        <v>20022.7828807466</v>
      </c>
      <c r="P242" s="15" t="n">
        <f aca="false">N242*$E$2*(1+$I$238)/($F$238-$I$238)/(1+$F$238)^$N$3</f>
        <v>42234.4364603558</v>
      </c>
      <c r="Q242" s="15" t="n">
        <f aca="false">O242+P242</f>
        <v>62257.2193411024</v>
      </c>
      <c r="R242" s="15" t="n">
        <f aca="false">Q242-$G$2+$I$2</f>
        <v>53492.2193411024</v>
      </c>
      <c r="S242" s="40" t="n">
        <f aca="false">R242/$K$2</f>
        <v>95.6961239062264</v>
      </c>
      <c r="T242" s="41" t="n">
        <f aca="false">S242-$M$2</f>
        <v>2.22229657787827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39" t="n">
        <f aca="false">(B243+C243)/2</f>
        <v>-0.03125</v>
      </c>
      <c r="E243" s="15" t="n">
        <f aca="false">$C$2*(1+IF(E$3&lt;=$O$2,$D243,$D243-($D243-$I$238)*MIN(E$3-$O$2,$Q$2)/$Q$2))</f>
        <v>5434.6875</v>
      </c>
      <c r="F243" s="15" t="n">
        <f aca="false">E243*(1+IF(F$3&lt;=$O$2,$D243,$D243-($D243-$I$238)*MIN(F$3-$O$2,$Q$2)/$Q$2))</f>
        <v>5264.853515625</v>
      </c>
      <c r="G243" s="15" t="n">
        <f aca="false">F243*(1+IF(G$3&lt;=$O$2,$D243,$D243-($D243-$I$238)*MIN(G$3-$O$2,$Q$2)/$Q$2))</f>
        <v>5100.32684326172</v>
      </c>
      <c r="H243" s="15" t="n">
        <f aca="false">G243*(1+IF(H$3&lt;=$O$2,$D243,$D243-($D243-$I$238)*MIN(H$3-$O$2,$Q$2)/$Q$2))</f>
        <v>4940.94162940979</v>
      </c>
      <c r="I243" s="15" t="n">
        <f aca="false">H243*(1+IF(I$3&lt;=$O$2,$D243,$D243-($D243-$I$238)*MIN(I$3-$O$2,$Q$2)/$Q$2))</f>
        <v>4786.53720349073</v>
      </c>
      <c r="J243" s="15" t="n">
        <f aca="false">I243*(1+IF(J$3&lt;=$O$2,$D243,$D243-($D243-$I$238)*MIN(J$3-$O$2,$Q$2)/$Q$2))</f>
        <v>4693.96557397522</v>
      </c>
      <c r="K243" s="15" t="n">
        <f aca="false">J243*(1+IF(K$3&lt;=$O$2,$D243,$D243-($D243-$I$238)*MIN(K$3-$O$2,$Q$2)/$Q$2))</f>
        <v>4659.08940976059</v>
      </c>
      <c r="L243" s="15" t="n">
        <f aca="false">K243*(1+IF(L$3&lt;=$O$2,$D243,$D243-($D243-$I$238)*MIN(L$3-$O$2,$Q$2)/$Q$2))</f>
        <v>4679.96213031632</v>
      </c>
      <c r="M243" s="15" t="n">
        <f aca="false">L243*(1+IF(M$3&lt;=$O$2,$D243,$D243-($D243-$I$238)*MIN(M$3-$O$2,$Q$2)/$Q$2))</f>
        <v>4756.6667096322</v>
      </c>
      <c r="N243" s="15" t="n">
        <f aca="false">M243*(1+IF(N$3&lt;=$O$2,$D243,$D243-($D243-$I$238)*MIN(N$3-$O$2,$Q$2)/$Q$2))</f>
        <v>4891.28037751479</v>
      </c>
      <c r="O243" s="15" t="n">
        <f aca="false">SUMPRODUCT(E243:N243,1/(1+$F$238)^$E$3:$N$3)*$E$2</f>
        <v>13221.4669004701</v>
      </c>
      <c r="P243" s="15" t="n">
        <f aca="false">N243*$E$2*(1+$I$238)/($F$238-$I$238)/(1+$F$238)^$N$3</f>
        <v>22145.1369671842</v>
      </c>
      <c r="Q243" s="15" t="n">
        <f aca="false">O243+P243</f>
        <v>35366.6038676544</v>
      </c>
      <c r="R243" s="15" t="n">
        <f aca="false">Q243-$G$2+$I$2</f>
        <v>26601.6038676543</v>
      </c>
      <c r="S243" s="40" t="n">
        <f aca="false">R243/$K$2</f>
        <v>47.5895450063586</v>
      </c>
      <c r="T243" s="41" t="n">
        <f aca="false">S243-$M$2</f>
        <v>-45.8842823219895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39" t="n">
        <f aca="false">(B244+C244)/2</f>
        <v>0.015625</v>
      </c>
      <c r="E244" s="15" t="n">
        <f aca="false">$C$2*(1+IF(E$3&lt;=$O$2,$D244,$D244-($D244-$I$238)*MIN(E$3-$O$2,$Q$2)/$Q$2))</f>
        <v>5697.65625</v>
      </c>
      <c r="F244" s="15" t="n">
        <f aca="false">E244*(1+IF(F$3&lt;=$O$2,$D244,$D244-($D244-$I$238)*MIN(F$3-$O$2,$Q$2)/$Q$2))</f>
        <v>5786.68212890625</v>
      </c>
      <c r="G244" s="15" t="n">
        <f aca="false">F244*(1+IF(G$3&lt;=$O$2,$D244,$D244-($D244-$I$238)*MIN(G$3-$O$2,$Q$2)/$Q$2))</f>
        <v>5877.09903717041</v>
      </c>
      <c r="H244" s="15" t="n">
        <f aca="false">G244*(1+IF(H$3&lt;=$O$2,$D244,$D244-($D244-$I$238)*MIN(H$3-$O$2,$Q$2)/$Q$2))</f>
        <v>5968.9287096262</v>
      </c>
      <c r="I244" s="15" t="n">
        <f aca="false">H244*(1+IF(I$3&lt;=$O$2,$D244,$D244-($D244-$I$238)*MIN(I$3-$O$2,$Q$2)/$Q$2))</f>
        <v>6062.19322071411</v>
      </c>
      <c r="J244" s="15" t="n">
        <f aca="false">I244*(1+IF(J$3&lt;=$O$2,$D244,$D244-($D244-$I$238)*MIN(J$3-$O$2,$Q$2)/$Q$2))</f>
        <v>6172.28264960228</v>
      </c>
      <c r="K244" s="15" t="n">
        <f aca="false">J244*(1+IF(K$3&lt;=$O$2,$D244,$D244-($D244-$I$238)*MIN(K$3-$O$2,$Q$2)/$Q$2))</f>
        <v>6300.01803903579</v>
      </c>
      <c r="L244" s="15" t="n">
        <f aca="false">K244*(1+IF(L$3&lt;=$O$2,$D244,$D244-($D244-$I$238)*MIN(L$3-$O$2,$Q$2)/$Q$2))</f>
        <v>6446.3674580826</v>
      </c>
      <c r="M244" s="15" t="n">
        <f aca="false">L244*(1+IF(M$3&lt;=$O$2,$D244,$D244-($D244-$I$238)*MIN(M$3-$O$2,$Q$2)/$Q$2))</f>
        <v>6612.45811564009</v>
      </c>
      <c r="N244" s="15" t="n">
        <f aca="false">M244*(1+IF(N$3&lt;=$O$2,$D244,$D244-($D244-$I$238)*MIN(N$3-$O$2,$Q$2)/$Q$2))</f>
        <v>6799.59068031271</v>
      </c>
      <c r="O244" s="15" t="n">
        <f aca="false">SUMPRODUCT(E244:N244,1/(1+$F$238)^$E$3:$N$3)*$E$2</f>
        <v>16265.7752101763</v>
      </c>
      <c r="P244" s="15" t="n">
        <f aca="false">N244*$E$2*(1+$I$238)/($F$238-$I$238)/(1+$F$238)^$N$3</f>
        <v>30784.9592161023</v>
      </c>
      <c r="Q244" s="15" t="n">
        <f aca="false">O244+P244</f>
        <v>47050.7344262786</v>
      </c>
      <c r="R244" s="15" t="n">
        <f aca="false">Q244-$G$2+$I$2</f>
        <v>38285.7344262786</v>
      </c>
      <c r="S244" s="40" t="n">
        <f aca="false">R244/$K$2</f>
        <v>68.4921364382959</v>
      </c>
      <c r="T244" s="41" t="n">
        <f aca="false">S244-$M$2</f>
        <v>-24.9816908900522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0.015625</v>
      </c>
      <c r="C245" s="25" t="n">
        <f aca="false">IF(T244&gt;0,D244,C244)</f>
        <v>0.0625</v>
      </c>
      <c r="D245" s="39" t="n">
        <f aca="false">(B245+C245)/2</f>
        <v>0.0390625</v>
      </c>
      <c r="E245" s="15" t="n">
        <f aca="false">$C$2*(1+IF(E$3&lt;=$O$2,$D245,$D245-($D245-$I$238)*MIN(E$3-$O$2,$Q$2)/$Q$2))</f>
        <v>5829.140625</v>
      </c>
      <c r="F245" s="15" t="n">
        <f aca="false">E245*(1+IF(F$3&lt;=$O$2,$D245,$D245-($D245-$I$238)*MIN(F$3-$O$2,$Q$2)/$Q$2))</f>
        <v>6056.84143066406</v>
      </c>
      <c r="G245" s="15" t="n">
        <f aca="false">F245*(1+IF(G$3&lt;=$O$2,$D245,$D245-($D245-$I$238)*MIN(G$3-$O$2,$Q$2)/$Q$2))</f>
        <v>6293.43679904938</v>
      </c>
      <c r="H245" s="15" t="n">
        <f aca="false">G245*(1+IF(H$3&lt;=$O$2,$D245,$D245-($D245-$I$238)*MIN(H$3-$O$2,$Q$2)/$Q$2))</f>
        <v>6539.27417401224</v>
      </c>
      <c r="I245" s="15" t="n">
        <f aca="false">H245*(1+IF(I$3&lt;=$O$2,$D245,$D245-($D245-$I$238)*MIN(I$3-$O$2,$Q$2)/$Q$2))</f>
        <v>6794.7145714346</v>
      </c>
      <c r="J245" s="15" t="n">
        <f aca="false">I245*(1+IF(J$3&lt;=$O$2,$D245,$D245-($D245-$I$238)*MIN(J$3-$O$2,$Q$2)/$Q$2))</f>
        <v>7045.50748626625</v>
      </c>
      <c r="K245" s="15" t="n">
        <f aca="false">J245*(1+IF(K$3&lt;=$O$2,$D245,$D245-($D245-$I$238)*MIN(K$3-$O$2,$Q$2)/$Q$2))</f>
        <v>7290.39171272015</v>
      </c>
      <c r="L245" s="15" t="n">
        <f aca="false">K245*(1+IF(L$3&lt;=$O$2,$D245,$D245-($D245-$I$238)*MIN(L$3-$O$2,$Q$2)/$Q$2))</f>
        <v>7528.09493451339</v>
      </c>
      <c r="M245" s="15" t="n">
        <f aca="false">L245*(1+IF(M$3&lt;=$O$2,$D245,$D245-($D245-$I$238)*MIN(M$3-$O$2,$Q$2)/$Q$2))</f>
        <v>7757.34424550666</v>
      </c>
      <c r="N245" s="15" t="n">
        <f aca="false">M245*(1+IF(N$3&lt;=$O$2,$D245,$D245-($D245-$I$238)*MIN(N$3-$O$2,$Q$2)/$Q$2))</f>
        <v>7976.87708765449</v>
      </c>
      <c r="O245" s="15" t="n">
        <f aca="false">SUMPRODUCT(E245:N245,1/(1+$F$238)^$E$3:$N$3)*$E$2</f>
        <v>18046.2095229268</v>
      </c>
      <c r="P245" s="15" t="n">
        <f aca="false">N245*$E$2*(1+$I$238)/($F$238-$I$238)/(1+$F$238)^$N$3</f>
        <v>36115.0909460349</v>
      </c>
      <c r="Q245" s="15" t="n">
        <f aca="false">O245+P245</f>
        <v>54161.3004689617</v>
      </c>
      <c r="R245" s="15" t="n">
        <f aca="false">Q245-$G$2+$I$2</f>
        <v>45396.3004689617</v>
      </c>
      <c r="S245" s="40" t="n">
        <f aca="false">R245/$K$2</f>
        <v>81.2127454809862</v>
      </c>
      <c r="T245" s="41" t="n">
        <f aca="false">S245-$M$2</f>
        <v>-12.2610818473619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0.0390625</v>
      </c>
      <c r="C246" s="25" t="n">
        <f aca="false">IF(T245&gt;0,D245,C245)</f>
        <v>0.0625</v>
      </c>
      <c r="D246" s="39" t="n">
        <f aca="false">(B246+C246)/2</f>
        <v>0.05078125</v>
      </c>
      <c r="E246" s="15" t="n">
        <f aca="false">$C$2*(1+IF(E$3&lt;=$O$2,$D246,$D246-($D246-$I$238)*MIN(E$3-$O$2,$Q$2)/$Q$2))</f>
        <v>5894.8828125</v>
      </c>
      <c r="F246" s="15" t="n">
        <f aca="false">E246*(1+IF(F$3&lt;=$O$2,$D246,$D246-($D246-$I$238)*MIN(F$3-$O$2,$Q$2)/$Q$2))</f>
        <v>6194.23233032227</v>
      </c>
      <c r="G246" s="15" t="n">
        <f aca="false">F246*(1+IF(G$3&lt;=$O$2,$D246,$D246-($D246-$I$238)*MIN(G$3-$O$2,$Q$2)/$Q$2))</f>
        <v>6508.78319084644</v>
      </c>
      <c r="H246" s="15" t="n">
        <f aca="false">G246*(1+IF(H$3&lt;=$O$2,$D246,$D246-($D246-$I$238)*MIN(H$3-$O$2,$Q$2)/$Q$2))</f>
        <v>6839.30733725661</v>
      </c>
      <c r="I246" s="15" t="n">
        <f aca="false">H246*(1+IF(I$3&lt;=$O$2,$D246,$D246-($D246-$I$238)*MIN(I$3-$O$2,$Q$2)/$Q$2))</f>
        <v>7186.61591297668</v>
      </c>
      <c r="J246" s="15" t="n">
        <f aca="false">I246*(1+IF(J$3&lt;=$O$2,$D246,$D246-($D246-$I$238)*MIN(J$3-$O$2,$Q$2)/$Q$2))</f>
        <v>7519.2484305088</v>
      </c>
      <c r="K246" s="15" t="n">
        <f aca="false">J246*(1+IF(K$3&lt;=$O$2,$D246,$D246-($D246-$I$238)*MIN(K$3-$O$2,$Q$2)/$Q$2))</f>
        <v>7833.46842335923</v>
      </c>
      <c r="L246" s="15" t="n">
        <f aca="false">K246*(1+IF(L$3&lt;=$O$2,$D246,$D246-($D246-$I$238)*MIN(L$3-$O$2,$Q$2)/$Q$2))</f>
        <v>8125.59804453735</v>
      </c>
      <c r="M246" s="15" t="n">
        <f aca="false">L246*(1+IF(M$3&lt;=$O$2,$D246,$D246-($D246-$I$238)*MIN(M$3-$O$2,$Q$2)/$Q$2))</f>
        <v>8392.08718940551</v>
      </c>
      <c r="N246" s="15" t="n">
        <f aca="false">M246*(1+IF(N$3&lt;=$O$2,$D246,$D246-($D246-$I$238)*MIN(N$3-$O$2,$Q$2)/$Q$2))</f>
        <v>8629.58325686568</v>
      </c>
      <c r="O246" s="15" t="n">
        <f aca="false">SUMPRODUCT(E246:N246,1/(1+$F$238)^$E$3:$N$3)*$E$2</f>
        <v>19008.7704219685</v>
      </c>
      <c r="P246" s="15" t="n">
        <f aca="false">N246*$E$2*(1+$I$238)/($F$238-$I$238)/(1+$F$238)^$N$3</f>
        <v>39070.2001200978</v>
      </c>
      <c r="Q246" s="15" t="n">
        <f aca="false">O246+P246</f>
        <v>58078.9705420663</v>
      </c>
      <c r="R246" s="15" t="n">
        <f aca="false">Q246-$G$2+$I$2</f>
        <v>49313.9705420663</v>
      </c>
      <c r="S246" s="40" t="n">
        <f aca="false">R246/$K$2</f>
        <v>88.2213505708009</v>
      </c>
      <c r="T246" s="41" t="n">
        <f aca="false">S246-$M$2</f>
        <v>-5.25247675754723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0.05078125</v>
      </c>
      <c r="C247" s="25" t="n">
        <f aca="false">IF(T246&gt;0,D246,C246)</f>
        <v>0.0625</v>
      </c>
      <c r="D247" s="39" t="n">
        <f aca="false">(B247+C247)/2</f>
        <v>0.056640625</v>
      </c>
      <c r="E247" s="15" t="n">
        <f aca="false">$C$2*(1+IF(E$3&lt;=$O$2,$D247,$D247-($D247-$I$238)*MIN(E$3-$O$2,$Q$2)/$Q$2))</f>
        <v>5927.75390625</v>
      </c>
      <c r="F247" s="15" t="n">
        <f aca="false">E247*(1+IF(F$3&lt;=$O$2,$D247,$D247-($D247-$I$238)*MIN(F$3-$O$2,$Q$2)/$Q$2))</f>
        <v>6263.50559234619</v>
      </c>
      <c r="G247" s="15" t="n">
        <f aca="false">F247*(1+IF(G$3&lt;=$O$2,$D247,$D247-($D247-$I$238)*MIN(G$3-$O$2,$Q$2)/$Q$2))</f>
        <v>6618.27446378768</v>
      </c>
      <c r="H247" s="15" t="n">
        <f aca="false">G247*(1+IF(H$3&lt;=$O$2,$D247,$D247-($D247-$I$238)*MIN(H$3-$O$2,$Q$2)/$Q$2))</f>
        <v>6993.13766583815</v>
      </c>
      <c r="I247" s="15" t="n">
        <f aca="false">H247*(1+IF(I$3&lt;=$O$2,$D247,$D247-($D247-$I$238)*MIN(I$3-$O$2,$Q$2)/$Q$2))</f>
        <v>7389.23335394226</v>
      </c>
      <c r="J247" s="15" t="n">
        <f aca="false">I247*(1+IF(J$3&lt;=$O$2,$D247,$D247-($D247-$I$238)*MIN(J$3-$O$2,$Q$2)/$Q$2))</f>
        <v>7765.88105107609</v>
      </c>
      <c r="K247" s="15" t="n">
        <f aca="false">J247*(1+IF(K$3&lt;=$O$2,$D247,$D247-($D247-$I$238)*MIN(K$3-$O$2,$Q$2)/$Q$2))</f>
        <v>8117.70943841943</v>
      </c>
      <c r="L247" s="15" t="n">
        <f aca="false">K247*(1+IF(L$3&lt;=$O$2,$D247,$D247-($D247-$I$238)*MIN(L$3-$O$2,$Q$2)/$Q$2))</f>
        <v>8439.46499914798</v>
      </c>
      <c r="M247" s="15" t="n">
        <f aca="false">L247*(1+IF(M$3&lt;=$O$2,$D247,$D247-($D247-$I$238)*MIN(M$3-$O$2,$Q$2)/$Q$2))</f>
        <v>8726.13780117216</v>
      </c>
      <c r="N247" s="15" t="n">
        <f aca="false">M247*(1+IF(N$3&lt;=$O$2,$D247,$D247-($D247-$I$238)*MIN(N$3-$O$2,$Q$2)/$Q$2))</f>
        <v>8973.08750094534</v>
      </c>
      <c r="O247" s="15" t="n">
        <f aca="false">SUMPRODUCT(E247:N247,1/(1+$F$238)^$E$3:$N$3)*$E$2</f>
        <v>19509.1885184449</v>
      </c>
      <c r="P247" s="15" t="n">
        <f aca="false">N247*$E$2*(1+$I$238)/($F$238-$I$238)/(1+$F$238)^$N$3</f>
        <v>40625.4061084771</v>
      </c>
      <c r="Q247" s="15" t="n">
        <f aca="false">O247+P247</f>
        <v>60134.594626922</v>
      </c>
      <c r="R247" s="15" t="n">
        <f aca="false">Q247-$G$2+$I$2</f>
        <v>51369.594626922</v>
      </c>
      <c r="S247" s="40" t="n">
        <f aca="false">R247/$K$2</f>
        <v>91.8988060877348</v>
      </c>
      <c r="T247" s="41" t="n">
        <f aca="false">S247-$M$2</f>
        <v>-1.57502124061331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0.056640625</v>
      </c>
      <c r="C248" s="25" t="n">
        <f aca="false">IF(T247&gt;0,D247,C247)</f>
        <v>0.0625</v>
      </c>
      <c r="D248" s="39" t="n">
        <f aca="false">(B248+C248)/2</f>
        <v>0.0595703125</v>
      </c>
      <c r="E248" s="15" t="n">
        <f aca="false">$C$2*(1+IF(E$3&lt;=$O$2,$D248,$D248-($D248-$I$238)*MIN(E$3-$O$2,$Q$2)/$Q$2))</f>
        <v>5944.189453125</v>
      </c>
      <c r="F248" s="15" t="n">
        <f aca="false">E248*(1+IF(F$3&lt;=$O$2,$D248,$D248-($D248-$I$238)*MIN(F$3-$O$2,$Q$2)/$Q$2))</f>
        <v>6298.28667640686</v>
      </c>
      <c r="G248" s="15" t="n">
        <f aca="false">F248*(1+IF(G$3&lt;=$O$2,$D248,$D248-($D248-$I$238)*MIN(G$3-$O$2,$Q$2)/$Q$2))</f>
        <v>6673.477581935</v>
      </c>
      <c r="H248" s="15" t="n">
        <f aca="false">G248*(1+IF(H$3&lt;=$O$2,$D248,$D248-($D248-$I$238)*MIN(H$3-$O$2,$Q$2)/$Q$2))</f>
        <v>7071.01872695262</v>
      </c>
      <c r="I248" s="15" t="n">
        <f aca="false">H248*(1+IF(I$3&lt;=$O$2,$D248,$D248-($D248-$I$238)*MIN(I$3-$O$2,$Q$2)/$Q$2))</f>
        <v>7492.24152221054</v>
      </c>
      <c r="J248" s="15" t="n">
        <f aca="false">I248*(1+IF(J$3&lt;=$O$2,$D248,$D248-($D248-$I$238)*MIN(J$3-$O$2,$Q$2)/$Q$2))</f>
        <v>7891.69974426909</v>
      </c>
      <c r="K248" s="15" t="n">
        <f aca="false">J248*(1+IF(K$3&lt;=$O$2,$D248,$D248-($D248-$I$238)*MIN(K$3-$O$2,$Q$2)/$Q$2))</f>
        <v>8263.10039732759</v>
      </c>
      <c r="L248" s="15" t="n">
        <f aca="false">K248*(1+IF(L$3&lt;=$O$2,$D248,$D248-($D248-$I$238)*MIN(L$3-$O$2,$Q$2)/$Q$2))</f>
        <v>8600.30203122928</v>
      </c>
      <c r="M248" s="15" t="n">
        <f aca="false">L248*(1+IF(M$3&lt;=$O$2,$D248,$D248-($D248-$I$238)*MIN(M$3-$O$2,$Q$2)/$Q$2))</f>
        <v>8897.47740513525</v>
      </c>
      <c r="N248" s="15" t="n">
        <f aca="false">M248*(1+IF(N$3&lt;=$O$2,$D248,$D248-($D248-$I$238)*MIN(N$3-$O$2,$Q$2)/$Q$2))</f>
        <v>9149.27601570058</v>
      </c>
      <c r="O248" s="15" t="n">
        <f aca="false">SUMPRODUCT(E248:N248,1/(1+$F$238)^$E$3:$N$3)*$E$2</f>
        <v>19764.3187187494</v>
      </c>
      <c r="P248" s="15" t="n">
        <f aca="false">N248*$E$2*(1+$I$238)/($F$238-$I$238)/(1+$F$238)^$N$3</f>
        <v>41423.0947482933</v>
      </c>
      <c r="Q248" s="15" t="n">
        <f aca="false">O248+P248</f>
        <v>61187.4134670427</v>
      </c>
      <c r="R248" s="15" t="n">
        <f aca="false">Q248-$G$2+$I$2</f>
        <v>52422.4134670427</v>
      </c>
      <c r="S248" s="40" t="n">
        <f aca="false">R248/$K$2</f>
        <v>93.7822703263851</v>
      </c>
      <c r="T248" s="41" t="n">
        <f aca="false">S248-$M$2</f>
        <v>0.308442998037023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0.056640625</v>
      </c>
      <c r="C249" s="25" t="n">
        <f aca="false">IF(T248&gt;0,D248,C248)</f>
        <v>0.0595703125</v>
      </c>
      <c r="D249" s="39" t="n">
        <f aca="false">(B249+C249)/2</f>
        <v>0.05810546875</v>
      </c>
      <c r="E249" s="15" t="n">
        <f aca="false">$C$2*(1+IF(E$3&lt;=$O$2,$D249,$D249-($D249-$I$238)*MIN(E$3-$O$2,$Q$2)/$Q$2))</f>
        <v>5935.9716796875</v>
      </c>
      <c r="F249" s="15" t="n">
        <f aca="false">E249*(1+IF(F$3&lt;=$O$2,$D249,$D249-($D249-$I$238)*MIN(F$3-$O$2,$Q$2)/$Q$2))</f>
        <v>6280.88409662247</v>
      </c>
      <c r="G249" s="15" t="n">
        <f aca="false">F249*(1+IF(G$3&lt;=$O$2,$D249,$D249-($D249-$I$238)*MIN(G$3-$O$2,$Q$2)/$Q$2))</f>
        <v>6645.83781122114</v>
      </c>
      <c r="H249" s="15" t="n">
        <f aca="false">G249*(1+IF(H$3&lt;=$O$2,$D249,$D249-($D249-$I$238)*MIN(H$3-$O$2,$Q$2)/$Q$2))</f>
        <v>7031.99733247861</v>
      </c>
      <c r="I249" s="15" t="n">
        <f aca="false">H249*(1+IF(I$3&lt;=$O$2,$D249,$D249-($D249-$I$238)*MIN(I$3-$O$2,$Q$2)/$Q$2))</f>
        <v>7440.59483373103</v>
      </c>
      <c r="J249" s="15" t="n">
        <f aca="false">I249*(1+IF(J$3&lt;=$O$2,$D249,$D249-($D249-$I$238)*MIN(J$3-$O$2,$Q$2)/$Q$2))</f>
        <v>7828.58000096417</v>
      </c>
      <c r="K249" s="15" t="n">
        <f aca="false">J249*(1+IF(K$3&lt;=$O$2,$D249,$D249-($D249-$I$238)*MIN(K$3-$O$2,$Q$2)/$Q$2))</f>
        <v>8190.12951293682</v>
      </c>
      <c r="L249" s="15" t="n">
        <f aca="false">K249*(1+IF(L$3&lt;=$O$2,$D249,$D249-($D249-$I$238)*MIN(L$3-$O$2,$Q$2)/$Q$2))</f>
        <v>8519.55443785545</v>
      </c>
      <c r="M249" s="15" t="n">
        <f aca="false">L249*(1+IF(M$3&lt;=$O$2,$D249,$D249-($D249-$I$238)*MIN(M$3-$O$2,$Q$2)/$Q$2))</f>
        <v>8811.44369115904</v>
      </c>
      <c r="N249" s="15" t="n">
        <f aca="false">M249*(1+IF(N$3&lt;=$O$2,$D249,$D249-($D249-$I$238)*MIN(N$3-$O$2,$Q$2)/$Q$2))</f>
        <v>9060.80754761884</v>
      </c>
      <c r="O249" s="15" t="n">
        <f aca="false">SUMPRODUCT(E249:N249,1/(1+$F$238)^$E$3:$N$3)*$E$2</f>
        <v>19636.3393831637</v>
      </c>
      <c r="P249" s="15" t="n">
        <f aca="false">N249*$E$2*(1+$I$238)/($F$238-$I$238)/(1+$F$238)^$N$3</f>
        <v>41022.5561997461</v>
      </c>
      <c r="Q249" s="15" t="n">
        <f aca="false">O249+P249</f>
        <v>60658.8955829098</v>
      </c>
      <c r="R249" s="15" t="n">
        <f aca="false">Q249-$G$2+$I$2</f>
        <v>51893.8955829098</v>
      </c>
      <c r="S249" s="40" t="n">
        <f aca="false">R249/$K$2</f>
        <v>92.8367662222438</v>
      </c>
      <c r="T249" s="41" t="n">
        <f aca="false">S249-$M$2</f>
        <v>-0.637061106104326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0.05810546875</v>
      </c>
      <c r="C250" s="25" t="n">
        <f aca="false">IF(T249&gt;0,D249,C249)</f>
        <v>0.0595703125</v>
      </c>
      <c r="D250" s="39" t="n">
        <f aca="false">(B250+C250)/2</f>
        <v>0.058837890625</v>
      </c>
      <c r="E250" s="15" t="n">
        <f aca="false">$C$2*(1+IF(E$3&lt;=$O$2,$D250,$D250-($D250-$I$238)*MIN(E$3-$O$2,$Q$2)/$Q$2))</f>
        <v>5940.08056640625</v>
      </c>
      <c r="F250" s="15" t="n">
        <f aca="false">E250*(1+IF(F$3&lt;=$O$2,$D250,$D250-($D250-$I$238)*MIN(F$3-$O$2,$Q$2)/$Q$2))</f>
        <v>6289.58237707615</v>
      </c>
      <c r="G250" s="15" t="n">
        <f aca="false">F250*(1+IF(G$3&lt;=$O$2,$D250,$D250-($D250-$I$238)*MIN(G$3-$O$2,$Q$2)/$Q$2))</f>
        <v>6659.64813705548</v>
      </c>
      <c r="H250" s="15" t="n">
        <f aca="false">G250*(1+IF(H$3&lt;=$O$2,$D250,$D250-($D250-$I$238)*MIN(H$3-$O$2,$Q$2)/$Q$2))</f>
        <v>7051.48778574454</v>
      </c>
      <c r="I250" s="15" t="n">
        <f aca="false">H250*(1+IF(I$3&lt;=$O$2,$D250,$D250-($D250-$I$238)*MIN(I$3-$O$2,$Q$2)/$Q$2))</f>
        <v>7466.3824528257</v>
      </c>
      <c r="J250" s="15" t="n">
        <f aca="false">I250*(1+IF(J$3&lt;=$O$2,$D250,$D250-($D250-$I$238)*MIN(J$3-$O$2,$Q$2)/$Q$2))</f>
        <v>7860.08713280771</v>
      </c>
      <c r="K250" s="15" t="n">
        <f aca="false">J250*(1+IF(K$3&lt;=$O$2,$D250,$D250-($D250-$I$238)*MIN(K$3-$O$2,$Q$2)/$Q$2))</f>
        <v>8226.54588736496</v>
      </c>
      <c r="L250" s="15" t="n">
        <f aca="false">K250*(1+IF(L$3&lt;=$O$2,$D250,$D250-($D250-$I$238)*MIN(L$3-$O$2,$Q$2)/$Q$2))</f>
        <v>8559.84567938935</v>
      </c>
      <c r="M250" s="15" t="n">
        <f aca="false">L250*(1+IF(M$3&lt;=$O$2,$D250,$D250-($D250-$I$238)*MIN(M$3-$O$2,$Q$2)/$Q$2))</f>
        <v>8854.36923834088</v>
      </c>
      <c r="N250" s="15" t="n">
        <f aca="false">M250*(1+IF(N$3&lt;=$O$2,$D250,$D250-($D250-$I$238)*MIN(N$3-$O$2,$Q$2)/$Q$2))</f>
        <v>9104.94788778593</v>
      </c>
      <c r="O250" s="15" t="n">
        <f aca="false">SUMPRODUCT(E250:N250,1/(1+$F$238)^$E$3:$N$3)*$E$2</f>
        <v>19700.2251794011</v>
      </c>
      <c r="P250" s="15" t="n">
        <f aca="false">N250*$E$2*(1+$I$238)/($F$238-$I$238)/(1+$F$238)^$N$3</f>
        <v>41222.4003720966</v>
      </c>
      <c r="Q250" s="15" t="n">
        <f aca="false">O250+P250</f>
        <v>60922.6255514977</v>
      </c>
      <c r="R250" s="15" t="n">
        <f aca="false">Q250-$G$2+$I$2</f>
        <v>52157.6255514977</v>
      </c>
      <c r="S250" s="40" t="n">
        <f aca="false">R250/$K$2</f>
        <v>93.3085719551642</v>
      </c>
      <c r="T250" s="41" t="n">
        <f aca="false">S250-$M$2</f>
        <v>-0.165255373183896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0.058837890625</v>
      </c>
      <c r="C251" s="25" t="n">
        <f aca="false">IF(T250&gt;0,D250,C250)</f>
        <v>0.0595703125</v>
      </c>
      <c r="D251" s="39" t="n">
        <f aca="false">(B251+C251)/2</f>
        <v>0.0592041015625</v>
      </c>
      <c r="E251" s="15" t="n">
        <f aca="false">$C$2*(1+IF(E$3&lt;=$O$2,$D251,$D251-($D251-$I$238)*MIN(E$3-$O$2,$Q$2)/$Q$2))</f>
        <v>5942.13500976563</v>
      </c>
      <c r="F251" s="15" t="n">
        <f aca="false">E251*(1+IF(F$3&lt;=$O$2,$D251,$D251-($D251-$I$238)*MIN(F$3-$O$2,$Q$2)/$Q$2))</f>
        <v>6293.93377438188</v>
      </c>
      <c r="G251" s="15" t="n">
        <f aca="false">F251*(1+IF(G$3&lt;=$O$2,$D251,$D251-($D251-$I$238)*MIN(G$3-$O$2,$Q$2)/$Q$2))</f>
        <v>6666.56046878803</v>
      </c>
      <c r="H251" s="15" t="n">
        <f aca="false">G251*(1+IF(H$3&lt;=$O$2,$D251,$D251-($D251-$I$238)*MIN(H$3-$O$2,$Q$2)/$Q$2))</f>
        <v>7061.2481918547</v>
      </c>
      <c r="I251" s="15" t="n">
        <f aca="false">H251*(1+IF(I$3&lt;=$O$2,$D251,$D251-($D251-$I$238)*MIN(I$3-$O$2,$Q$2)/$Q$2))</f>
        <v>7479.30304696329</v>
      </c>
      <c r="J251" s="15" t="n">
        <f aca="false">I251*(1+IF(J$3&lt;=$O$2,$D251,$D251-($D251-$I$238)*MIN(J$3-$O$2,$Q$2)/$Q$2))</f>
        <v>7875.88023597641</v>
      </c>
      <c r="K251" s="15" t="n">
        <f aca="false">J251*(1+IF(K$3&lt;=$O$2,$D251,$D251-($D251-$I$238)*MIN(K$3-$O$2,$Q$2)/$Q$2))</f>
        <v>8244.80584827856</v>
      </c>
      <c r="L251" s="15" t="n">
        <f aca="false">K251*(1+IF(L$3&lt;=$O$2,$D251,$D251-($D251-$I$238)*MIN(L$3-$O$2,$Q$2)/$Q$2))</f>
        <v>8580.05318070416</v>
      </c>
      <c r="M251" s="15" t="n">
        <f aca="false">L251*(1+IF(M$3&lt;=$O$2,$D251,$D251-($D251-$I$238)*MIN(M$3-$O$2,$Q$2)/$Q$2))</f>
        <v>8875.90045269971</v>
      </c>
      <c r="N251" s="15" t="n">
        <f aca="false">M251*(1+IF(N$3&lt;=$O$2,$D251,$D251-($D251-$I$238)*MIN(N$3-$O$2,$Q$2)/$Q$2))</f>
        <v>9127.08843551111</v>
      </c>
      <c r="O251" s="15" t="n">
        <f aca="false">SUMPRODUCT(E251:N251,1/(1+$F$238)^$E$3:$N$3)*$E$2</f>
        <v>19732.2459420098</v>
      </c>
      <c r="P251" s="15" t="n">
        <f aca="false">N251*$E$2*(1+$I$238)/($F$238-$I$238)/(1+$F$238)^$N$3</f>
        <v>41322.6410911027</v>
      </c>
      <c r="Q251" s="15" t="n">
        <f aca="false">O251+P251</f>
        <v>61054.8870331125</v>
      </c>
      <c r="R251" s="15" t="n">
        <f aca="false">Q251-$G$2+$I$2</f>
        <v>52289.8870331125</v>
      </c>
      <c r="S251" s="40" t="n">
        <f aca="false">R251/$K$2</f>
        <v>93.5451841445355</v>
      </c>
      <c r="T251" s="41" t="n">
        <f aca="false">S251-$M$2</f>
        <v>0.0713568161874036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0.058837890625</v>
      </c>
      <c r="C252" s="25" t="n">
        <f aca="false">IF(T251&gt;0,D251,C251)</f>
        <v>0.0592041015625</v>
      </c>
      <c r="D252" s="39" t="n">
        <f aca="false">(B252+C252)/2</f>
        <v>0.05902099609375</v>
      </c>
      <c r="E252" s="15" t="n">
        <f aca="false">$C$2*(1+IF(E$3&lt;=$O$2,$D252,$D252-($D252-$I$238)*MIN(E$3-$O$2,$Q$2)/$Q$2))</f>
        <v>5941.10778808594</v>
      </c>
      <c r="F252" s="15" t="n">
        <f aca="false">E252*(1+IF(F$3&lt;=$O$2,$D252,$D252-($D252-$I$238)*MIN(F$3-$O$2,$Q$2)/$Q$2))</f>
        <v>6291.75788763911</v>
      </c>
      <c r="G252" s="15" t="n">
        <f aca="false">F252*(1+IF(G$3&lt;=$O$2,$D252,$D252-($D252-$I$238)*MIN(G$3-$O$2,$Q$2)/$Q$2))</f>
        <v>6663.10370534827</v>
      </c>
      <c r="H252" s="15" t="n">
        <f aca="false">G252*(1+IF(H$3&lt;=$O$2,$D252,$D252-($D252-$I$238)*MIN(H$3-$O$2,$Q$2)/$Q$2))</f>
        <v>7056.36672311389</v>
      </c>
      <c r="I252" s="15" t="n">
        <f aca="false">H252*(1+IF(I$3&lt;=$O$2,$D252,$D252-($D252-$I$238)*MIN(I$3-$O$2,$Q$2)/$Q$2))</f>
        <v>7472.84051591486</v>
      </c>
      <c r="J252" s="15" t="n">
        <f aca="false">I252*(1+IF(J$3&lt;=$O$2,$D252,$D252-($D252-$I$238)*MIN(J$3-$O$2,$Q$2)/$Q$2))</f>
        <v>7867.98038595416</v>
      </c>
      <c r="K252" s="15" t="n">
        <f aca="false">J252*(1+IF(K$3&lt;=$O$2,$D252,$D252-($D252-$I$238)*MIN(K$3-$O$2,$Q$2)/$Q$2))</f>
        <v>8235.67154769822</v>
      </c>
      <c r="L252" s="15" t="n">
        <f aca="false">K252*(1+IF(L$3&lt;=$O$2,$D252,$D252-($D252-$I$238)*MIN(L$3-$O$2,$Q$2)/$Q$2))</f>
        <v>8569.94426587658</v>
      </c>
      <c r="M252" s="15" t="n">
        <f aca="false">L252*(1+IF(M$3&lt;=$O$2,$D252,$D252-($D252-$I$238)*MIN(M$3-$O$2,$Q$2)/$Q$2))</f>
        <v>8865.12913346401</v>
      </c>
      <c r="N252" s="15" t="n">
        <f aca="false">M252*(1+IF(N$3&lt;=$O$2,$D252,$D252-($D252-$I$238)*MIN(N$3-$O$2,$Q$2)/$Q$2))</f>
        <v>9116.01228794105</v>
      </c>
      <c r="O252" s="15" t="n">
        <f aca="false">SUMPRODUCT(E252:N252,1/(1+$F$238)^$E$3:$N$3)*$E$2</f>
        <v>19716.2290638402</v>
      </c>
      <c r="P252" s="15" t="n">
        <f aca="false">N252*$E$2*(1+$I$238)/($F$238-$I$238)/(1+$F$238)^$N$3</f>
        <v>41272.4941385511</v>
      </c>
      <c r="Q252" s="15" t="n">
        <f aca="false">O252+P252</f>
        <v>60988.7232023912</v>
      </c>
      <c r="R252" s="15" t="n">
        <f aca="false">Q252-$G$2+$I$2</f>
        <v>52223.7232023912</v>
      </c>
      <c r="S252" s="40" t="n">
        <f aca="false">R252/$K$2</f>
        <v>93.4268188528949</v>
      </c>
      <c r="T252" s="41" t="n">
        <f aca="false">S252-$M$2</f>
        <v>-0.0470084754531541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0.05902099609375</v>
      </c>
      <c r="C253" s="25" t="n">
        <f aca="false">IF(T252&gt;0,D252,C252)</f>
        <v>0.0592041015625</v>
      </c>
      <c r="D253" s="39" t="n">
        <f aca="false">(B253+C253)/2</f>
        <v>0.059112548828125</v>
      </c>
      <c r="E253" s="15" t="n">
        <f aca="false">$C$2*(1+IF(E$3&lt;=$O$2,$D253,$D253-($D253-$I$238)*MIN(E$3-$O$2,$Q$2)/$Q$2))</f>
        <v>5941.62139892578</v>
      </c>
      <c r="F253" s="15" t="n">
        <f aca="false">E253*(1+IF(F$3&lt;=$O$2,$D253,$D253-($D253-$I$238)*MIN(F$3-$O$2,$Q$2)/$Q$2))</f>
        <v>6292.84578398801</v>
      </c>
      <c r="G253" s="15" t="n">
        <f aca="false">F253*(1+IF(G$3&lt;=$O$2,$D253,$D253-($D253-$I$238)*MIN(G$3-$O$2,$Q$2)/$Q$2))</f>
        <v>6664.83193766187</v>
      </c>
      <c r="H253" s="15" t="n">
        <f aca="false">G253*(1+IF(H$3&lt;=$O$2,$D253,$D253-($D253-$I$238)*MIN(H$3-$O$2,$Q$2)/$Q$2))</f>
        <v>7058.80714100815</v>
      </c>
      <c r="I253" s="15" t="n">
        <f aca="false">H253*(1+IF(I$3&lt;=$O$2,$D253,$D253-($D253-$I$238)*MIN(I$3-$O$2,$Q$2)/$Q$2))</f>
        <v>7476.07122279931</v>
      </c>
      <c r="J253" s="15" t="n">
        <f aca="false">I253*(1+IF(J$3&lt;=$O$2,$D253,$D253-($D253-$I$238)*MIN(J$3-$O$2,$Q$2)/$Q$2))</f>
        <v>7871.92948608057</v>
      </c>
      <c r="K253" s="15" t="n">
        <f aca="false">J253*(1+IF(K$3&lt;=$O$2,$D253,$D253-($D253-$I$238)*MIN(K$3-$O$2,$Q$2)/$Q$2))</f>
        <v>8240.23761753349</v>
      </c>
      <c r="L253" s="15" t="n">
        <f aca="false">K253*(1+IF(L$3&lt;=$O$2,$D253,$D253-($D253-$I$238)*MIN(L$3-$O$2,$Q$2)/$Q$2))</f>
        <v>8574.99743168793</v>
      </c>
      <c r="M253" s="15" t="n">
        <f aca="false">L253*(1+IF(M$3&lt;=$O$2,$D253,$D253-($D253-$I$238)*MIN(M$3-$O$2,$Q$2)/$Q$2))</f>
        <v>8870.51336441769</v>
      </c>
      <c r="N253" s="15" t="n">
        <f aca="false">M253*(1+IF(N$3&lt;=$O$2,$D253,$D253-($D253-$I$238)*MIN(N$3-$O$2,$Q$2)/$Q$2))</f>
        <v>9121.54889263071</v>
      </c>
      <c r="O253" s="15" t="n">
        <f aca="false">SUMPRODUCT(E253:N253,1/(1+$F$238)^$E$3:$N$3)*$E$2</f>
        <v>19724.2358780963</v>
      </c>
      <c r="P253" s="15" t="n">
        <f aca="false">N253*$E$2*(1+$I$238)/($F$238-$I$238)/(1+$F$238)^$N$3</f>
        <v>41297.5609635381</v>
      </c>
      <c r="Q253" s="15" t="n">
        <f aca="false">O253+P253</f>
        <v>61021.7968416344</v>
      </c>
      <c r="R253" s="15" t="n">
        <f aca="false">Q253-$G$2+$I$2</f>
        <v>52256.7968416344</v>
      </c>
      <c r="S253" s="40" t="n">
        <f aca="false">R253/$K$2</f>
        <v>93.4859866929664</v>
      </c>
      <c r="T253" s="41" t="n">
        <f aca="false">S253-$M$2</f>
        <v>0.0121593646183271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0.05902099609375</v>
      </c>
      <c r="C254" s="25" t="n">
        <f aca="false">IF(T253&gt;0,D253,C253)</f>
        <v>0.059112548828125</v>
      </c>
      <c r="D254" s="39" t="n">
        <f aca="false">(B254+C254)/2</f>
        <v>0.0590667724609375</v>
      </c>
      <c r="E254" s="15" t="n">
        <f aca="false">$C$2*(1+IF(E$3&lt;=$O$2,$D254,$D254-($D254-$I$238)*MIN(E$3-$O$2,$Q$2)/$Q$2))</f>
        <v>5941.36459350586</v>
      </c>
      <c r="F254" s="15" t="n">
        <f aca="false">E254*(1+IF(F$3&lt;=$O$2,$D254,$D254-($D254-$I$238)*MIN(F$3-$O$2,$Q$2)/$Q$2))</f>
        <v>6292.30182405794</v>
      </c>
      <c r="G254" s="15" t="n">
        <f aca="false">F254*(1+IF(G$3&lt;=$O$2,$D254,$D254-($D254-$I$238)*MIN(G$3-$O$2,$Q$2)/$Q$2))</f>
        <v>6663.96778415511</v>
      </c>
      <c r="H254" s="15" t="n">
        <f aca="false">G254*(1+IF(H$3&lt;=$O$2,$D254,$D254-($D254-$I$238)*MIN(H$3-$O$2,$Q$2)/$Q$2))</f>
        <v>7057.58685294882</v>
      </c>
      <c r="I254" s="15" t="n">
        <f aca="false">H254*(1+IF(I$3&lt;=$O$2,$D254,$D254-($D254-$I$238)*MIN(I$3-$O$2,$Q$2)/$Q$2))</f>
        <v>7474.45572971525</v>
      </c>
      <c r="J254" s="15" t="n">
        <f aca="false">I254*(1+IF(J$3&lt;=$O$2,$D254,$D254-($D254-$I$238)*MIN(J$3-$O$2,$Q$2)/$Q$2))</f>
        <v>7869.95472983059</v>
      </c>
      <c r="K254" s="15" t="n">
        <f aca="false">J254*(1+IF(K$3&lt;=$O$2,$D254,$D254-($D254-$I$238)*MIN(K$3-$O$2,$Q$2)/$Q$2))</f>
        <v>8237.95431255515</v>
      </c>
      <c r="L254" s="15" t="n">
        <f aca="false">K254*(1+IF(L$3&lt;=$O$2,$D254,$D254-($D254-$I$238)*MIN(L$3-$O$2,$Q$2)/$Q$2))</f>
        <v>8572.47052595165</v>
      </c>
      <c r="M254" s="15" t="n">
        <f aca="false">L254*(1+IF(M$3&lt;=$O$2,$D254,$D254-($D254-$I$238)*MIN(M$3-$O$2,$Q$2)/$Q$2))</f>
        <v>8867.82089185609</v>
      </c>
      <c r="N254" s="15" t="n">
        <f aca="false">M254*(1+IF(N$3&lt;=$O$2,$D254,$D254-($D254-$I$238)*MIN(N$3-$O$2,$Q$2)/$Q$2))</f>
        <v>9118.78022309562</v>
      </c>
      <c r="O254" s="15" t="n">
        <f aca="false">SUMPRODUCT(E254:N254,1/(1+$F$238)^$E$3:$N$3)*$E$2</f>
        <v>19720.2320648376</v>
      </c>
      <c r="P254" s="15" t="n">
        <f aca="false">N254*$E$2*(1+$I$238)/($F$238-$I$238)/(1+$F$238)^$N$3</f>
        <v>41285.0258886008</v>
      </c>
      <c r="Q254" s="15" t="n">
        <f aca="false">O254+P254</f>
        <v>61005.2579534384</v>
      </c>
      <c r="R254" s="15" t="n">
        <f aca="false">Q254-$G$2+$I$2</f>
        <v>52240.2579534384</v>
      </c>
      <c r="S254" s="40" t="n">
        <f aca="false">R254/$K$2</f>
        <v>93.4563990723074</v>
      </c>
      <c r="T254" s="41" t="n">
        <f aca="false">S254-$M$2</f>
        <v>-0.017428256040688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0.0590667724609375</v>
      </c>
      <c r="C255" s="25" t="n">
        <f aca="false">IF(T254&gt;0,D254,C254)</f>
        <v>0.059112548828125</v>
      </c>
      <c r="D255" s="39" t="n">
        <f aca="false">(B255+C255)/2</f>
        <v>0.0590896606445313</v>
      </c>
      <c r="E255" s="15" t="n">
        <f aca="false">$C$2*(1+IF(E$3&lt;=$O$2,$D255,$D255-($D255-$I$238)*MIN(E$3-$O$2,$Q$2)/$Q$2))</f>
        <v>5941.49299621582</v>
      </c>
      <c r="F255" s="15" t="n">
        <f aca="false">E255*(1+IF(F$3&lt;=$O$2,$D255,$D255-($D255-$I$238)*MIN(F$3-$O$2,$Q$2)/$Q$2))</f>
        <v>6292.57380108407</v>
      </c>
      <c r="G255" s="15" t="n">
        <f aca="false">F255*(1+IF(G$3&lt;=$O$2,$D255,$D255-($D255-$I$238)*MIN(G$3-$O$2,$Q$2)/$Q$2))</f>
        <v>6664.3998515708</v>
      </c>
      <c r="H255" s="15" t="n">
        <f aca="false">G255*(1+IF(H$3&lt;=$O$2,$D255,$D255-($D255-$I$238)*MIN(H$3-$O$2,$Q$2)/$Q$2))</f>
        <v>7058.19697719958</v>
      </c>
      <c r="I255" s="15" t="n">
        <f aca="false">H255*(1+IF(I$3&lt;=$O$2,$D255,$D255-($D255-$I$238)*MIN(I$3-$O$2,$Q$2)/$Q$2))</f>
        <v>7475.26344134456</v>
      </c>
      <c r="J255" s="15" t="n">
        <f aca="false">I255*(1+IF(J$3&lt;=$O$2,$D255,$D255-($D255-$I$238)*MIN(J$3-$O$2,$Q$2)/$Q$2))</f>
        <v>7870.94205640459</v>
      </c>
      <c r="K255" s="15" t="n">
        <f aca="false">J255*(1+IF(K$3&lt;=$O$2,$D255,$D255-($D255-$I$238)*MIN(K$3-$O$2,$Q$2)/$Q$2))</f>
        <v>8239.09589752252</v>
      </c>
      <c r="L255" s="15" t="n">
        <f aca="false">K255*(1+IF(L$3&lt;=$O$2,$D255,$D255-($D255-$I$238)*MIN(L$3-$O$2,$Q$2)/$Q$2))</f>
        <v>8573.73389810339</v>
      </c>
      <c r="M255" s="15" t="n">
        <f aca="false">L255*(1+IF(M$3&lt;=$O$2,$D255,$D255-($D255-$I$238)*MIN(M$3-$O$2,$Q$2)/$Q$2))</f>
        <v>8869.16703885554</v>
      </c>
      <c r="N255" s="15" t="n">
        <f aca="false">M255*(1+IF(N$3&lt;=$O$2,$D255,$D255-($D255-$I$238)*MIN(N$3-$O$2,$Q$2)/$Q$2))</f>
        <v>9120.16446605515</v>
      </c>
      <c r="O255" s="15" t="n">
        <f aca="false">SUMPRODUCT(E255:N255,1/(1+$F$238)^$E$3:$N$3)*$E$2</f>
        <v>19722.2338699247</v>
      </c>
      <c r="P255" s="15" t="n">
        <f aca="false">N255*$E$2*(1+$I$238)/($F$238-$I$238)/(1+$F$238)^$N$3</f>
        <v>41291.2930104112</v>
      </c>
      <c r="Q255" s="15" t="n">
        <f aca="false">O255+P255</f>
        <v>61013.5268803359</v>
      </c>
      <c r="R255" s="15" t="n">
        <f aca="false">Q255-$G$2+$I$2</f>
        <v>52248.5268803359</v>
      </c>
      <c r="S255" s="40" t="n">
        <f aca="false">R255/$K$2</f>
        <v>93.4711919573794</v>
      </c>
      <c r="T255" s="41" t="n">
        <f aca="false">S255-$M$2</f>
        <v>-0.00263537096870436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0.0590896606445313</v>
      </c>
      <c r="C256" s="25" t="n">
        <f aca="false">IF(T255&gt;0,D255,C255)</f>
        <v>0.059112548828125</v>
      </c>
      <c r="D256" s="39" t="n">
        <f aca="false">(B256+C256)/2</f>
        <v>0.0591011047363281</v>
      </c>
      <c r="E256" s="15" t="n">
        <f aca="false">$C$2*(1+IF(E$3&lt;=$O$2,$D256,$D256-($D256-$I$238)*MIN(E$3-$O$2,$Q$2)/$Q$2))</f>
        <v>5941.5571975708</v>
      </c>
      <c r="F256" s="15" t="n">
        <f aca="false">E256*(1+IF(F$3&lt;=$O$2,$D256,$D256-($D256-$I$238)*MIN(F$3-$O$2,$Q$2)/$Q$2))</f>
        <v>6292.70979180132</v>
      </c>
      <c r="G256" s="15" t="n">
        <f aca="false">F256*(1+IF(G$3&lt;=$O$2,$D256,$D256-($D256-$I$238)*MIN(G$3-$O$2,$Q$2)/$Q$2))</f>
        <v>6664.61589228188</v>
      </c>
      <c r="H256" s="15" t="n">
        <f aca="false">G256*(1+IF(H$3&lt;=$O$2,$D256,$D256-($D256-$I$238)*MIN(H$3-$O$2,$Q$2)/$Q$2))</f>
        <v>7058.50205415903</v>
      </c>
      <c r="I256" s="15" t="n">
        <f aca="false">H256*(1+IF(I$3&lt;=$O$2,$D256,$D256-($D256-$I$238)*MIN(I$3-$O$2,$Q$2)/$Q$2))</f>
        <v>7475.66732334347</v>
      </c>
      <c r="J256" s="15" t="n">
        <f aca="false">I256*(1+IF(J$3&lt;=$O$2,$D256,$D256-($D256-$I$238)*MIN(J$3-$O$2,$Q$2)/$Q$2))</f>
        <v>7871.43575835429</v>
      </c>
      <c r="K256" s="15" t="n">
        <f aca="false">J256*(1+IF(K$3&lt;=$O$2,$D256,$D256-($D256-$I$238)*MIN(K$3-$O$2,$Q$2)/$Q$2))</f>
        <v>8239.66674064673</v>
      </c>
      <c r="L256" s="15" t="n">
        <f aca="false">K256*(1+IF(L$3&lt;=$O$2,$D256,$D256-($D256-$I$238)*MIN(L$3-$O$2,$Q$2)/$Q$2))</f>
        <v>8574.36564471547</v>
      </c>
      <c r="M256" s="15" t="n">
        <f aca="false">L256*(1+IF(M$3&lt;=$O$2,$D256,$D256-($D256-$I$238)*MIN(M$3-$O$2,$Q$2)/$Q$2))</f>
        <v>8869.84017931501</v>
      </c>
      <c r="N256" s="15" t="n">
        <f aca="false">M256*(1+IF(N$3&lt;=$O$2,$D256,$D256-($D256-$I$238)*MIN(N$3-$O$2,$Q$2)/$Q$2))</f>
        <v>9120.85665638962</v>
      </c>
      <c r="O256" s="15" t="n">
        <f aca="false">SUMPRODUCT(E256:N256,1/(1+$F$238)^$E$3:$N$3)*$E$2</f>
        <v>19723.2348486237</v>
      </c>
      <c r="P256" s="15" t="n">
        <f aca="false">N256*$E$2*(1+$I$238)/($F$238-$I$238)/(1+$F$238)^$N$3</f>
        <v>41294.4268830542</v>
      </c>
      <c r="Q256" s="15" t="n">
        <f aca="false">O256+P256</f>
        <v>61017.6617316779</v>
      </c>
      <c r="R256" s="15" t="n">
        <f aca="false">Q256-$G$2+$I$2</f>
        <v>52252.6617316779</v>
      </c>
      <c r="S256" s="40" t="n">
        <f aca="false">R256/$K$2</f>
        <v>93.4785890938458</v>
      </c>
      <c r="T256" s="41" t="n">
        <f aca="false">S256-$M$2</f>
        <v>0.00476176549769036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0.0590896606445313</v>
      </c>
      <c r="C257" s="25" t="n">
        <f aca="false">IF(T256&gt;0,D256,C256)</f>
        <v>0.0591011047363281</v>
      </c>
      <c r="D257" s="39" t="n">
        <f aca="false">(B257+C257)/2</f>
        <v>0.0590953826904297</v>
      </c>
      <c r="E257" s="15" t="n">
        <f aca="false">$C$2*(1+IF(E$3&lt;=$O$2,$D257,$D257-($D257-$I$238)*MIN(E$3-$O$2,$Q$2)/$Q$2))</f>
        <v>5941.52509689331</v>
      </c>
      <c r="F257" s="15" t="n">
        <f aca="false">E257*(1+IF(F$3&lt;=$O$2,$D257,$D257-($D257-$I$238)*MIN(F$3-$O$2,$Q$2)/$Q$2))</f>
        <v>6292.64179625901</v>
      </c>
      <c r="G257" s="15" t="n">
        <f aca="false">F257*(1+IF(G$3&lt;=$O$2,$D257,$D257-($D257-$I$238)*MIN(G$3-$O$2,$Q$2)/$Q$2))</f>
        <v>6664.50787134273</v>
      </c>
      <c r="H257" s="15" t="n">
        <f aca="false">G257*(1+IF(H$3&lt;=$O$2,$D257,$D257-($D257-$I$238)*MIN(H$3-$O$2,$Q$2)/$Q$2))</f>
        <v>7058.34951444311</v>
      </c>
      <c r="I257" s="15" t="n">
        <f aca="false">H257*(1+IF(I$3&lt;=$O$2,$D257,$D257-($D257-$I$238)*MIN(I$3-$O$2,$Q$2)/$Q$2))</f>
        <v>7475.46538016194</v>
      </c>
      <c r="J257" s="15" t="n">
        <f aca="false">I257*(1+IF(J$3&lt;=$O$2,$D257,$D257-($D257-$I$238)*MIN(J$3-$O$2,$Q$2)/$Q$2))</f>
        <v>7871.18890415744</v>
      </c>
      <c r="K257" s="15" t="n">
        <f aca="false">J257*(1+IF(K$3&lt;=$O$2,$D257,$D257-($D257-$I$238)*MIN(K$3-$O$2,$Q$2)/$Q$2))</f>
        <v>8239.38131486441</v>
      </c>
      <c r="L257" s="15" t="n">
        <f aca="false">K257*(1+IF(L$3&lt;=$O$2,$D257,$D257-($D257-$I$238)*MIN(L$3-$O$2,$Q$2)/$Q$2))</f>
        <v>8574.04976636452</v>
      </c>
      <c r="M257" s="15" t="n">
        <f aca="false">L257*(1+IF(M$3&lt;=$O$2,$D257,$D257-($D257-$I$238)*MIN(M$3-$O$2,$Q$2)/$Q$2))</f>
        <v>8869.50360350503</v>
      </c>
      <c r="N257" s="15" t="n">
        <f aca="false">M257*(1+IF(N$3&lt;=$O$2,$D257,$D257-($D257-$I$238)*MIN(N$3-$O$2,$Q$2)/$Q$2))</f>
        <v>9120.51055548422</v>
      </c>
      <c r="O257" s="15" t="n">
        <f aca="false">SUMPRODUCT(E257:N257,1/(1+$F$238)^$E$3:$N$3)*$E$2</f>
        <v>19722.7343529277</v>
      </c>
      <c r="P257" s="15" t="n">
        <f aca="false">N257*$E$2*(1+$I$238)/($F$238-$I$238)/(1+$F$238)^$N$3</f>
        <v>41292.8599207533</v>
      </c>
      <c r="Q257" s="15" t="n">
        <f aca="false">O257+P257</f>
        <v>61015.594273681</v>
      </c>
      <c r="R257" s="15" t="n">
        <f aca="false">Q257-$G$2+$I$2</f>
        <v>52250.594273681</v>
      </c>
      <c r="S257" s="40" t="n">
        <f aca="false">R257/$K$2</f>
        <v>93.4748904677824</v>
      </c>
      <c r="T257" s="41" t="n">
        <f aca="false">S257-$M$2</f>
        <v>0.00106313943432212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0.0590896606445313</v>
      </c>
      <c r="C258" s="25" t="n">
        <f aca="false">IF(T257&gt;0,D257,C257)</f>
        <v>0.0590953826904297</v>
      </c>
      <c r="D258" s="39" t="n">
        <f aca="false">(B258+C258)/2</f>
        <v>0.0590925216674805</v>
      </c>
      <c r="E258" s="15" t="n">
        <f aca="false">$C$2*(1+IF(E$3&lt;=$O$2,$D258,$D258-($D258-$I$238)*MIN(E$3-$O$2,$Q$2)/$Q$2))</f>
        <v>5941.50904655457</v>
      </c>
      <c r="F258" s="15" t="n">
        <f aca="false">E258*(1+IF(F$3&lt;=$O$2,$D258,$D258-($D258-$I$238)*MIN(F$3-$O$2,$Q$2)/$Q$2))</f>
        <v>6292.60779862562</v>
      </c>
      <c r="G258" s="15" t="n">
        <f aca="false">F258*(1+IF(G$3&lt;=$O$2,$D258,$D258-($D258-$I$238)*MIN(G$3-$O$2,$Q$2)/$Q$2))</f>
        <v>6664.45386131086</v>
      </c>
      <c r="H258" s="15" t="n">
        <f aca="false">G258*(1+IF(H$3&lt;=$O$2,$D258,$D258-($D258-$I$238)*MIN(H$3-$O$2,$Q$2)/$Q$2))</f>
        <v>7058.2732455123</v>
      </c>
      <c r="I258" s="15" t="n">
        <f aca="false">H258*(1+IF(I$3&lt;=$O$2,$D258,$D258-($D258-$I$238)*MIN(I$3-$O$2,$Q$2)/$Q$2))</f>
        <v>7475.36441020773</v>
      </c>
      <c r="J258" s="15" t="n">
        <f aca="false">I258*(1+IF(J$3&lt;=$O$2,$D258,$D258-($D258-$I$238)*MIN(J$3-$O$2,$Q$2)/$Q$2))</f>
        <v>7871.06547947552</v>
      </c>
      <c r="K258" s="15" t="n">
        <f aca="false">J258*(1+IF(K$3&lt;=$O$2,$D258,$D258-($D258-$I$238)*MIN(K$3-$O$2,$Q$2)/$Q$2))</f>
        <v>8239.23860513842</v>
      </c>
      <c r="L258" s="15" t="n">
        <f aca="false">K258*(1+IF(L$3&lt;=$O$2,$D258,$D258-($D258-$I$238)*MIN(L$3-$O$2,$Q$2)/$Q$2))</f>
        <v>8573.89183097274</v>
      </c>
      <c r="M258" s="15" t="n">
        <f aca="false">L258*(1+IF(M$3&lt;=$O$2,$D258,$D258-($D258-$I$238)*MIN(M$3-$O$2,$Q$2)/$Q$2))</f>
        <v>8869.33531978525</v>
      </c>
      <c r="N258" s="15" t="n">
        <f aca="false">M258*(1+IF(N$3&lt;=$O$2,$D258,$D258-($D258-$I$238)*MIN(N$3-$O$2,$Q$2)/$Q$2))</f>
        <v>9120.33750933517</v>
      </c>
      <c r="O258" s="15" t="n">
        <f aca="false">SUMPRODUCT(E258:N258,1/(1+$F$238)^$E$3:$N$3)*$E$2</f>
        <v>19722.4841098396</v>
      </c>
      <c r="P258" s="15" t="n">
        <f aca="false">N258*$E$2*(1+$I$238)/($F$238-$I$238)/(1+$F$238)^$N$3</f>
        <v>41292.0764590875</v>
      </c>
      <c r="Q258" s="15" t="n">
        <f aca="false">O258+P258</f>
        <v>61014.5605689271</v>
      </c>
      <c r="R258" s="15" t="n">
        <f aca="false">Q258-$G$2+$I$2</f>
        <v>52249.5605689271</v>
      </c>
      <c r="S258" s="40" t="n">
        <f aca="false">R258/$K$2</f>
        <v>93.4730411981235</v>
      </c>
      <c r="T258" s="41" t="n">
        <f aca="false">S258-$M$2</f>
        <v>-0.000786130224540216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0.0590925216674805</v>
      </c>
      <c r="C259" s="25" t="n">
        <f aca="false">IF(T258&gt;0,D258,C258)</f>
        <v>0.0590953826904297</v>
      </c>
      <c r="D259" s="39" t="n">
        <f aca="false">(B259+C259)/2</f>
        <v>0.0590939521789551</v>
      </c>
      <c r="E259" s="15" t="n">
        <f aca="false">$C$2*(1+IF(E$3&lt;=$O$2,$D259,$D259-($D259-$I$238)*MIN(E$3-$O$2,$Q$2)/$Q$2))</f>
        <v>5941.51707172394</v>
      </c>
      <c r="F259" s="15" t="n">
        <f aca="false">E259*(1+IF(F$3&lt;=$O$2,$D259,$D259-($D259-$I$238)*MIN(F$3-$O$2,$Q$2)/$Q$2))</f>
        <v>6292.62479743084</v>
      </c>
      <c r="G259" s="15" t="n">
        <f aca="false">F259*(1+IF(G$3&lt;=$O$2,$D259,$D259-($D259-$I$238)*MIN(G$3-$O$2,$Q$2)/$Q$2))</f>
        <v>6664.48086629032</v>
      </c>
      <c r="H259" s="15" t="n">
        <f aca="false">G259*(1+IF(H$3&lt;=$O$2,$D259,$D259-($D259-$I$238)*MIN(H$3-$O$2,$Q$2)/$Q$2))</f>
        <v>7058.31137990044</v>
      </c>
      <c r="I259" s="15" t="n">
        <f aca="false">H259*(1+IF(I$3&lt;=$O$2,$D259,$D259-($D259-$I$238)*MIN(I$3-$O$2,$Q$2)/$Q$2))</f>
        <v>7475.41489504845</v>
      </c>
      <c r="J259" s="15" t="n">
        <f aca="false">I259*(1+IF(J$3&lt;=$O$2,$D259,$D259-($D259-$I$238)*MIN(J$3-$O$2,$Q$2)/$Q$2))</f>
        <v>7871.1271916151</v>
      </c>
      <c r="K259" s="15" t="n">
        <f aca="false">J259*(1+IF(K$3&lt;=$O$2,$D259,$D259-($D259-$I$238)*MIN(K$3-$O$2,$Q$2)/$Q$2))</f>
        <v>8239.30995973765</v>
      </c>
      <c r="L259" s="15" t="n">
        <f aca="false">K259*(1+IF(L$3&lt;=$O$2,$D259,$D259-($D259-$I$238)*MIN(L$3-$O$2,$Q$2)/$Q$2))</f>
        <v>8573.97079835333</v>
      </c>
      <c r="M259" s="15" t="n">
        <f aca="false">L259*(1+IF(M$3&lt;=$O$2,$D259,$D259-($D259-$I$238)*MIN(M$3-$O$2,$Q$2)/$Q$2))</f>
        <v>8869.41946129638</v>
      </c>
      <c r="N259" s="15" t="n">
        <f aca="false">M259*(1+IF(N$3&lt;=$O$2,$D259,$D259-($D259-$I$238)*MIN(N$3-$O$2,$Q$2)/$Q$2))</f>
        <v>9120.42403205106</v>
      </c>
      <c r="O259" s="15" t="n">
        <f aca="false">SUMPRODUCT(E259:N259,1/(1+$F$238)^$E$3:$N$3)*$E$2</f>
        <v>19722.609230987</v>
      </c>
      <c r="P259" s="15" t="n">
        <f aca="false">N259*$E$2*(1+$I$238)/($F$238-$I$238)/(1+$F$238)^$N$3</f>
        <v>41292.4681882967</v>
      </c>
      <c r="Q259" s="15" t="n">
        <f aca="false">O259+P259</f>
        <v>61015.0774192837</v>
      </c>
      <c r="R259" s="15" t="n">
        <f aca="false">Q259-$G$2+$I$2</f>
        <v>52250.0774192837</v>
      </c>
      <c r="S259" s="40" t="n">
        <f aca="false">R259/$K$2</f>
        <v>93.4739658293386</v>
      </c>
      <c r="T259" s="41" t="n">
        <f aca="false">S259-$M$2</f>
        <v>0.000138500990487955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0.0590925216674805</v>
      </c>
      <c r="C260" s="25" t="n">
        <f aca="false">IF(T259&gt;0,D259,C259)</f>
        <v>0.0590939521789551</v>
      </c>
      <c r="D260" s="39" t="n">
        <f aca="false">(B260+C260)/2</f>
        <v>0.0590932369232178</v>
      </c>
      <c r="E260" s="15" t="n">
        <f aca="false">$C$2*(1+IF(E$3&lt;=$O$2,$D260,$D260-($D260-$I$238)*MIN(E$3-$O$2,$Q$2)/$Q$2))</f>
        <v>5941.51305913925</v>
      </c>
      <c r="F260" s="15" t="n">
        <f aca="false">E260*(1+IF(F$3&lt;=$O$2,$D260,$D260-($D260-$I$238)*MIN(F$3-$O$2,$Q$2)/$Q$2))</f>
        <v>6292.61629802536</v>
      </c>
      <c r="G260" s="15" t="n">
        <f aca="false">F260*(1+IF(G$3&lt;=$O$2,$D260,$D260-($D260-$I$238)*MIN(G$3-$O$2,$Q$2)/$Q$2))</f>
        <v>6664.46736379148</v>
      </c>
      <c r="H260" s="15" t="n">
        <f aca="false">G260*(1+IF(H$3&lt;=$O$2,$D260,$D260-($D260-$I$238)*MIN(H$3-$O$2,$Q$2)/$Q$2))</f>
        <v>7058.29231268706</v>
      </c>
      <c r="I260" s="15" t="n">
        <f aca="false">H260*(1+IF(I$3&lt;=$O$2,$D260,$D260-($D260-$I$238)*MIN(I$3-$O$2,$Q$2)/$Q$2))</f>
        <v>7475.389652594</v>
      </c>
      <c r="J260" s="15" t="n">
        <f aca="false">I260*(1+IF(J$3&lt;=$O$2,$D260,$D260-($D260-$I$238)*MIN(J$3-$O$2,$Q$2)/$Q$2))</f>
        <v>7871.09633549497</v>
      </c>
      <c r="K260" s="15" t="n">
        <f aca="false">J260*(1+IF(K$3&lt;=$O$2,$D260,$D260-($D260-$I$238)*MIN(K$3-$O$2,$Q$2)/$Q$2))</f>
        <v>8239.2742823721</v>
      </c>
      <c r="L260" s="15" t="n">
        <f aca="false">K260*(1+IF(L$3&lt;=$O$2,$D260,$D260-($D260-$I$238)*MIN(L$3-$O$2,$Q$2)/$Q$2))</f>
        <v>8573.93131458421</v>
      </c>
      <c r="M260" s="15" t="n">
        <f aca="false">L260*(1+IF(M$3&lt;=$O$2,$D260,$D260-($D260-$I$238)*MIN(M$3-$O$2,$Q$2)/$Q$2))</f>
        <v>8869.37739045362</v>
      </c>
      <c r="N260" s="15" t="n">
        <f aca="false">M260*(1+IF(N$3&lt;=$O$2,$D260,$D260-($D260-$I$238)*MIN(N$3-$O$2,$Q$2)/$Q$2))</f>
        <v>9120.38077060346</v>
      </c>
      <c r="O260" s="15" t="n">
        <f aca="false">SUMPRODUCT(E260:N260,1/(1+$F$238)^$E$3:$N$3)*$E$2</f>
        <v>19722.5466703141</v>
      </c>
      <c r="P260" s="15" t="n">
        <f aca="false">N260*$E$2*(1+$I$238)/($F$238-$I$238)/(1+$F$238)^$N$3</f>
        <v>41292.2723232862</v>
      </c>
      <c r="Q260" s="15" t="n">
        <f aca="false">O260+P260</f>
        <v>61014.8189936003</v>
      </c>
      <c r="R260" s="15" t="n">
        <f aca="false">Q260-$G$2+$I$2</f>
        <v>52249.8189936003</v>
      </c>
      <c r="S260" s="40" t="n">
        <f aca="false">R260/$K$2</f>
        <v>93.4735035128275</v>
      </c>
      <c r="T260" s="41" t="n">
        <f aca="false">S260-$M$2</f>
        <v>-0.0003238155205878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0.0590932369232178</v>
      </c>
      <c r="C261" s="25" t="n">
        <f aca="false">IF(T260&gt;0,D260,C260)</f>
        <v>0.0590939521789551</v>
      </c>
      <c r="D261" s="39" t="n">
        <f aca="false">(B261+C261)/2</f>
        <v>0.0590935945510864</v>
      </c>
      <c r="E261" s="15" t="n">
        <f aca="false">$C$2*(1+IF(E$3&lt;=$O$2,$D261,$D261-($D261-$I$238)*MIN(E$3-$O$2,$Q$2)/$Q$2))</f>
        <v>5941.5150654316</v>
      </c>
      <c r="F261" s="15" t="n">
        <f aca="false">E261*(1+IF(F$3&lt;=$O$2,$D261,$D261-($D261-$I$238)*MIN(F$3-$O$2,$Q$2)/$Q$2))</f>
        <v>6292.62054772738</v>
      </c>
      <c r="G261" s="15" t="n">
        <f aca="false">F261*(1+IF(G$3&lt;=$O$2,$D261,$D261-($D261-$I$238)*MIN(G$3-$O$2,$Q$2)/$Q$2))</f>
        <v>6664.47411503862</v>
      </c>
      <c r="H261" s="15" t="n">
        <f aca="false">G261*(1+IF(H$3&lt;=$O$2,$D261,$D261-($D261-$I$238)*MIN(H$3-$O$2,$Q$2)/$Q$2))</f>
        <v>7058.30184628892</v>
      </c>
      <c r="I261" s="15" t="n">
        <f aca="false">H261*(1+IF(I$3&lt;=$O$2,$D261,$D261-($D261-$I$238)*MIN(I$3-$O$2,$Q$2)/$Q$2))</f>
        <v>7475.4022738127</v>
      </c>
      <c r="J261" s="15" t="n">
        <f aca="false">I261*(1+IF(J$3&lt;=$O$2,$D261,$D261-($D261-$I$238)*MIN(J$3-$O$2,$Q$2)/$Q$2))</f>
        <v>7871.11176354245</v>
      </c>
      <c r="K261" s="15" t="n">
        <f aca="false">J261*(1+IF(K$3&lt;=$O$2,$D261,$D261-($D261-$I$238)*MIN(K$3-$O$2,$Q$2)/$Q$2))</f>
        <v>8239.29212103839</v>
      </c>
      <c r="L261" s="15" t="n">
        <f aca="false">K261*(1+IF(L$3&lt;=$O$2,$D261,$D261-($D261-$I$238)*MIN(L$3-$O$2,$Q$2)/$Q$2))</f>
        <v>8573.95105644906</v>
      </c>
      <c r="M261" s="15" t="n">
        <f aca="false">L261*(1+IF(M$3&lt;=$O$2,$D261,$D261-($D261-$I$238)*MIN(M$3-$O$2,$Q$2)/$Q$2))</f>
        <v>8869.3984258532</v>
      </c>
      <c r="N261" s="15" t="n">
        <f aca="false">M261*(1+IF(N$3&lt;=$O$2,$D261,$D261-($D261-$I$238)*MIN(N$3-$O$2,$Q$2)/$Q$2))</f>
        <v>9120.40240130485</v>
      </c>
      <c r="O261" s="15" t="n">
        <f aca="false">SUMPRODUCT(E261:N261,1/(1+$F$238)^$E$3:$N$3)*$E$2</f>
        <v>19722.5779506257</v>
      </c>
      <c r="P261" s="15" t="n">
        <f aca="false">N261*$E$2*(1+$I$238)/($F$238-$I$238)/(1+$F$238)^$N$3</f>
        <v>41292.37025569</v>
      </c>
      <c r="Q261" s="15" t="n">
        <f aca="false">O261+P261</f>
        <v>61014.9482063157</v>
      </c>
      <c r="R261" s="15" t="n">
        <f aca="false">Q261-$G$2+$I$2</f>
        <v>52249.9482063157</v>
      </c>
      <c r="S261" s="40" t="n">
        <f aca="false">R261/$K$2</f>
        <v>93.4737346708572</v>
      </c>
      <c r="T261" s="41" t="n">
        <f aca="false">S261-$M$2</f>
        <v>-9.26574909243527E-005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0.0590935945510864</v>
      </c>
      <c r="C262" s="25" t="n">
        <f aca="false">IF(T261&gt;0,D261,C261)</f>
        <v>0.0590939521789551</v>
      </c>
      <c r="D262" s="39" t="n">
        <f aca="false">(B262+C262)/2</f>
        <v>0.0590937733650208</v>
      </c>
      <c r="E262" s="15" t="n">
        <f aca="false">$C$2*(1+IF(E$3&lt;=$O$2,$D262,$D262-($D262-$I$238)*MIN(E$3-$O$2,$Q$2)/$Q$2))</f>
        <v>5941.51606857777</v>
      </c>
      <c r="F262" s="15" t="n">
        <f aca="false">E262*(1+IF(F$3&lt;=$O$2,$D262,$D262-($D262-$I$238)*MIN(F$3-$O$2,$Q$2)/$Q$2))</f>
        <v>6292.62267257893</v>
      </c>
      <c r="G262" s="15" t="n">
        <f aca="false">F262*(1+IF(G$3&lt;=$O$2,$D262,$D262-($D262-$I$238)*MIN(G$3-$O$2,$Q$2)/$Q$2))</f>
        <v>6664.4774906639</v>
      </c>
      <c r="H262" s="15" t="n">
        <f aca="false">G262*(1+IF(H$3&lt;=$O$2,$D262,$D262-($D262-$I$238)*MIN(H$3-$O$2,$Q$2)/$Q$2))</f>
        <v>7058.30661309348</v>
      </c>
      <c r="I262" s="15" t="n">
        <f aca="false">H262*(1+IF(I$3&lt;=$O$2,$D262,$D262-($D262-$I$238)*MIN(I$3-$O$2,$Q$2)/$Q$2))</f>
        <v>7475.40858442845</v>
      </c>
      <c r="J262" s="15" t="n">
        <f aca="false">I262*(1+IF(J$3&lt;=$O$2,$D262,$D262-($D262-$I$238)*MIN(J$3-$O$2,$Q$2)/$Q$2))</f>
        <v>7871.11947757563</v>
      </c>
      <c r="K262" s="15" t="n">
        <f aca="false">J262*(1+IF(K$3&lt;=$O$2,$D262,$D262-($D262-$I$238)*MIN(K$3-$O$2,$Q$2)/$Q$2))</f>
        <v>8239.3010403839</v>
      </c>
      <c r="L262" s="15" t="n">
        <f aca="false">K262*(1+IF(L$3&lt;=$O$2,$D262,$D262-($D262-$I$238)*MIN(L$3-$O$2,$Q$2)/$Q$2))</f>
        <v>8573.96092739627</v>
      </c>
      <c r="M262" s="15" t="n">
        <f aca="false">L262*(1+IF(M$3&lt;=$O$2,$D262,$D262-($D262-$I$238)*MIN(M$3-$O$2,$Q$2)/$Q$2))</f>
        <v>8869.40894356934</v>
      </c>
      <c r="N262" s="15" t="n">
        <f aca="false">M262*(1+IF(N$3&lt;=$O$2,$D262,$D262-($D262-$I$238)*MIN(N$3-$O$2,$Q$2)/$Q$2))</f>
        <v>9120.41321667235</v>
      </c>
      <c r="O262" s="15" t="n">
        <f aca="false">SUMPRODUCT(E262:N262,1/(1+$F$238)^$E$3:$N$3)*$E$2</f>
        <v>19722.5935908002</v>
      </c>
      <c r="P262" s="15" t="n">
        <f aca="false">N262*$E$2*(1+$I$238)/($F$238-$I$238)/(1+$F$238)^$N$3</f>
        <v>41292.419221968</v>
      </c>
      <c r="Q262" s="15" t="n">
        <f aca="false">O262+P262</f>
        <v>61015.0128127681</v>
      </c>
      <c r="R262" s="15" t="n">
        <f aca="false">Q262-$G$2+$I$2</f>
        <v>52250.0128127681</v>
      </c>
      <c r="S262" s="40" t="n">
        <f aca="false">R262/$K$2</f>
        <v>93.4738502500414</v>
      </c>
      <c r="T262" s="41" t="n">
        <f aca="false">S262-$M$2</f>
        <v>2.29216933149701E-005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0.0590935945510864</v>
      </c>
      <c r="C263" s="25" t="n">
        <f aca="false">IF(T262&gt;0,D262,C262)</f>
        <v>0.0590937733650208</v>
      </c>
      <c r="D263" s="39" t="n">
        <f aca="false">(B263+C263)/2</f>
        <v>0.0590936839580536</v>
      </c>
      <c r="E263" s="15" t="n">
        <f aca="false">$C$2*(1+IF(E$3&lt;=$O$2,$D263,$D263-($D263-$I$238)*MIN(E$3-$O$2,$Q$2)/$Q$2))</f>
        <v>5941.51556700468</v>
      </c>
      <c r="F263" s="15" t="n">
        <f aca="false">E263*(1+IF(F$3&lt;=$O$2,$D263,$D263-($D263-$I$238)*MIN(F$3-$O$2,$Q$2)/$Q$2))</f>
        <v>6292.62161015311</v>
      </c>
      <c r="G263" s="15" t="n">
        <f aca="false">F263*(1+IF(G$3&lt;=$O$2,$D263,$D263-($D263-$I$238)*MIN(G$3-$O$2,$Q$2)/$Q$2))</f>
        <v>6664.47580285112</v>
      </c>
      <c r="H263" s="15" t="n">
        <f aca="false">G263*(1+IF(H$3&lt;=$O$2,$D263,$D263-($D263-$I$238)*MIN(H$3-$O$2,$Q$2)/$Q$2))</f>
        <v>7058.3042296909</v>
      </c>
      <c r="I263" s="15" t="n">
        <f aca="false">H263*(1+IF(I$3&lt;=$O$2,$D263,$D263-($D263-$I$238)*MIN(I$3-$O$2,$Q$2)/$Q$2))</f>
        <v>7475.40542912004</v>
      </c>
      <c r="J263" s="15" t="n">
        <f aca="false">I263*(1+IF(J$3&lt;=$O$2,$D263,$D263-($D263-$I$238)*MIN(J$3-$O$2,$Q$2)/$Q$2))</f>
        <v>7871.11562055825</v>
      </c>
      <c r="K263" s="15" t="n">
        <f aca="false">J263*(1+IF(K$3&lt;=$O$2,$D263,$D263-($D263-$I$238)*MIN(K$3-$O$2,$Q$2)/$Q$2))</f>
        <v>8239.29658071011</v>
      </c>
      <c r="L263" s="15" t="n">
        <f aca="false">K263*(1+IF(L$3&lt;=$O$2,$D263,$D263-($D263-$I$238)*MIN(L$3-$O$2,$Q$2)/$Q$2))</f>
        <v>8573.95599192143</v>
      </c>
      <c r="M263" s="15" t="n">
        <f aca="false">L263*(1+IF(M$3&lt;=$O$2,$D263,$D263-($D263-$I$238)*MIN(M$3-$O$2,$Q$2)/$Q$2))</f>
        <v>8869.40368470991</v>
      </c>
      <c r="N263" s="15" t="n">
        <f aca="false">M263*(1+IF(N$3&lt;=$O$2,$D263,$D263-($D263-$I$238)*MIN(N$3-$O$2,$Q$2)/$Q$2))</f>
        <v>9120.4078089872</v>
      </c>
      <c r="O263" s="15" t="n">
        <f aca="false">SUMPRODUCT(E263:N263,1/(1+$F$238)^$E$3:$N$3)*$E$2</f>
        <v>19722.5857707114</v>
      </c>
      <c r="P263" s="15" t="n">
        <f aca="false">N263*$E$2*(1+$I$238)/($F$238-$I$238)/(1+$F$238)^$N$3</f>
        <v>41292.3947388226</v>
      </c>
      <c r="Q263" s="15" t="n">
        <f aca="false">O263+P263</f>
        <v>61014.980509534</v>
      </c>
      <c r="R263" s="15" t="n">
        <f aca="false">Q263-$G$2+$I$2</f>
        <v>52249.980509534</v>
      </c>
      <c r="S263" s="40" t="n">
        <f aca="false">R263/$K$2</f>
        <v>93.4737924604351</v>
      </c>
      <c r="T263" s="41" t="n">
        <f aca="false">S263-$M$2</f>
        <v>-3.48679129587026E-005</v>
      </c>
    </row>
    <row r="265" customFormat="false" ht="15" hidden="false" customHeight="false" outlineLevel="0" collapsed="false">
      <c r="A265" s="36" t="s">
        <v>195</v>
      </c>
      <c r="E265" s="5" t="s">
        <v>11</v>
      </c>
      <c r="F265" s="12" t="n">
        <f aca="false">Sensitivity!$B$11</f>
        <v>0.071736031552909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6" t="s">
        <v>167</v>
      </c>
      <c r="B266" s="28" t="s">
        <v>168</v>
      </c>
      <c r="C266" s="28" t="s">
        <v>169</v>
      </c>
      <c r="D266" s="28" t="s">
        <v>170</v>
      </c>
      <c r="E266" s="28" t="s">
        <v>171</v>
      </c>
      <c r="F266" s="28" t="s">
        <v>172</v>
      </c>
      <c r="G266" s="28" t="s">
        <v>173</v>
      </c>
      <c r="H266" s="28" t="s">
        <v>174</v>
      </c>
      <c r="I266" s="28" t="s">
        <v>175</v>
      </c>
      <c r="J266" s="28" t="s">
        <v>176</v>
      </c>
      <c r="K266" s="28" t="s">
        <v>177</v>
      </c>
      <c r="L266" s="28" t="s">
        <v>178</v>
      </c>
      <c r="M266" s="28" t="s">
        <v>179</v>
      </c>
      <c r="N266" s="28" t="s">
        <v>180</v>
      </c>
      <c r="O266" s="28" t="s">
        <v>181</v>
      </c>
      <c r="P266" s="28" t="s">
        <v>182</v>
      </c>
      <c r="Q266" s="28" t="s">
        <v>183</v>
      </c>
      <c r="R266" s="28" t="s">
        <v>184</v>
      </c>
      <c r="S266" s="28" t="s">
        <v>185</v>
      </c>
      <c r="T266" s="28" t="s">
        <v>186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39" t="n">
        <f aca="false">(B267+C267)/2</f>
        <v>0.25</v>
      </c>
      <c r="E267" s="15" t="n">
        <f aca="false">$C$2*(1+IF(E$3&lt;=$O$2,$D267,$D267-($D267-$I$265)*MIN(E$3-$O$2,$Q$2)/$Q$2))</f>
        <v>7012.5</v>
      </c>
      <c r="F267" s="15" t="n">
        <f aca="false">E267*(1+IF(F$3&lt;=$O$2,$D267,$D267-($D267-$I$265)*MIN(F$3-$O$2,$Q$2)/$Q$2))</f>
        <v>8765.625</v>
      </c>
      <c r="G267" s="15" t="n">
        <f aca="false">F267*(1+IF(G$3&lt;=$O$2,$D267,$D267-($D267-$I$265)*MIN(G$3-$O$2,$Q$2)/$Q$2))</f>
        <v>10957.03125</v>
      </c>
      <c r="H267" s="15" t="n">
        <f aca="false">G267*(1+IF(H$3&lt;=$O$2,$D267,$D267-($D267-$I$265)*MIN(H$3-$O$2,$Q$2)/$Q$2))</f>
        <v>13696.2890625</v>
      </c>
      <c r="I267" s="15" t="n">
        <f aca="false">H267*(1+IF(I$3&lt;=$O$2,$D267,$D267-($D267-$I$265)*MIN(I$3-$O$2,$Q$2)/$Q$2))</f>
        <v>17120.361328125</v>
      </c>
      <c r="J267" s="15" t="n">
        <f aca="false">I267*(1+IF(J$3&lt;=$O$2,$D267,$D267-($D267-$I$265)*MIN(J$3-$O$2,$Q$2)/$Q$2))</f>
        <v>20658.4552001953</v>
      </c>
      <c r="K267" s="15" t="n">
        <f aca="false">J267*(1+IF(K$3&lt;=$O$2,$D267,$D267-($D267-$I$265)*MIN(K$3-$O$2,$Q$2)/$Q$2))</f>
        <v>24032.3941034912</v>
      </c>
      <c r="L267" s="15" t="n">
        <f aca="false">K267*(1+IF(L$3&lt;=$O$2,$D267,$D267-($D267-$I$265)*MIN(L$3-$O$2,$Q$2)/$Q$2))</f>
        <v>26915.8007480281</v>
      </c>
      <c r="M267" s="15" t="n">
        <f aca="false">L267*(1+IF(M$3&lt;=$O$2,$D267,$D267-($D267-$I$265)*MIN(M$3-$O$2,$Q$2)/$Q$2))</f>
        <v>28978.627717357</v>
      </c>
      <c r="N267" s="15" t="n">
        <f aca="false">M267*(1+IF(N$3&lt;=$O$2,$D267,$D267-($D267-$I$265)*MIN(N$3-$O$2,$Q$2)/$Q$2))</f>
        <v>29943.6160203449</v>
      </c>
      <c r="O267" s="15" t="n">
        <f aca="false">SUMPRODUCT(E267:N267,1/(1+$F$265)^$E$3:$N$3)*$E$2</f>
        <v>45870.4737392901</v>
      </c>
      <c r="P267" s="15" t="n">
        <f aca="false">N267*$E$2*(1+$I$265)/($F$265-$I$265)/(1+$F$265)^$N$3</f>
        <v>153949.488360936</v>
      </c>
      <c r="Q267" s="15" t="n">
        <f aca="false">O267+P267</f>
        <v>199819.962100226</v>
      </c>
      <c r="R267" s="15" t="n">
        <f aca="false">Q267-$G$2+$I$2</f>
        <v>191054.962100226</v>
      </c>
      <c r="S267" s="40" t="n">
        <f aca="false">R267/$K$2</f>
        <v>341.792125121161</v>
      </c>
      <c r="T267" s="41" t="n">
        <f aca="false">S267-$M$2</f>
        <v>248.318297792813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39" t="n">
        <f aca="false">(B268+C268)/2</f>
        <v>-0.125</v>
      </c>
      <c r="E268" s="15" t="n">
        <f aca="false">$C$2*(1+IF(E$3&lt;=$O$2,$D268,$D268-($D268-$I$265)*MIN(E$3-$O$2,$Q$2)/$Q$2))</f>
        <v>4908.75</v>
      </c>
      <c r="F268" s="15" t="n">
        <f aca="false">E268*(1+IF(F$3&lt;=$O$2,$D268,$D268-($D268-$I$265)*MIN(F$3-$O$2,$Q$2)/$Q$2))</f>
        <v>4295.15625</v>
      </c>
      <c r="G268" s="15" t="n">
        <f aca="false">F268*(1+IF(G$3&lt;=$O$2,$D268,$D268-($D268-$I$265)*MIN(G$3-$O$2,$Q$2)/$Q$2))</f>
        <v>3758.26171875</v>
      </c>
      <c r="H268" s="15" t="n">
        <f aca="false">G268*(1+IF(H$3&lt;=$O$2,$D268,$D268-($D268-$I$265)*MIN(H$3-$O$2,$Q$2)/$Q$2))</f>
        <v>3288.47900390625</v>
      </c>
      <c r="I268" s="15" t="n">
        <f aca="false">H268*(1+IF(I$3&lt;=$O$2,$D268,$D268-($D268-$I$265)*MIN(I$3-$O$2,$Q$2)/$Q$2))</f>
        <v>2877.41912841797</v>
      </c>
      <c r="J268" s="15" t="n">
        <f aca="false">I268*(1+IF(J$3&lt;=$O$2,$D268,$D268-($D268-$I$265)*MIN(J$3-$O$2,$Q$2)/$Q$2))</f>
        <v>2608.84082697144</v>
      </c>
      <c r="K268" s="15" t="n">
        <f aca="false">J268*(1+IF(K$3&lt;=$O$2,$D268,$D268-($D268-$I$265)*MIN(K$3-$O$2,$Q$2)/$Q$2))</f>
        <v>2447.92752476384</v>
      </c>
      <c r="L268" s="15" t="n">
        <f aca="false">K268*(1+IF(L$3&lt;=$O$2,$D268,$D268-($D268-$I$265)*MIN(L$3-$O$2,$Q$2)/$Q$2))</f>
        <v>2374.44074047043</v>
      </c>
      <c r="M268" s="15" t="n">
        <f aca="false">L268*(1+IF(M$3&lt;=$O$2,$D268,$D268-($D268-$I$265)*MIN(M$3-$O$2,$Q$2)/$Q$2))</f>
        <v>2378.3348232848</v>
      </c>
      <c r="N268" s="15" t="n">
        <f aca="false">M268*(1+IF(N$3&lt;=$O$2,$D268,$D268-($D268-$I$265)*MIN(N$3-$O$2,$Q$2)/$Q$2))</f>
        <v>2457.53337290018</v>
      </c>
      <c r="O268" s="15" t="n">
        <f aca="false">SUMPRODUCT(E268:N268,1/(1+$F$265)^$E$3:$N$3)*$E$2</f>
        <v>8793.0370462635</v>
      </c>
      <c r="P268" s="15" t="n">
        <f aca="false">N268*$E$2*(1+$I$265)/($F$265-$I$265)/(1+$F$265)^$N$3</f>
        <v>12634.947133</v>
      </c>
      <c r="Q268" s="15" t="n">
        <f aca="false">O268+P268</f>
        <v>21427.9841792635</v>
      </c>
      <c r="R268" s="15" t="n">
        <f aca="false">Q268-$G$2+$I$2</f>
        <v>12662.9841792635</v>
      </c>
      <c r="S268" s="40" t="n">
        <f aca="false">R268/$K$2</f>
        <v>22.6537339068723</v>
      </c>
      <c r="T268" s="41" t="n">
        <f aca="false">S268-$M$2</f>
        <v>-70.8200934214758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39" t="n">
        <f aca="false">(B269+C269)/2</f>
        <v>0.0625</v>
      </c>
      <c r="E269" s="15" t="n">
        <f aca="false">$C$2*(1+IF(E$3&lt;=$O$2,$D269,$D269-($D269-$I$265)*MIN(E$3-$O$2,$Q$2)/$Q$2))</f>
        <v>5960.625</v>
      </c>
      <c r="F269" s="15" t="n">
        <f aca="false">E269*(1+IF(F$3&lt;=$O$2,$D269,$D269-($D269-$I$265)*MIN(F$3-$O$2,$Q$2)/$Q$2))</f>
        <v>6333.1640625</v>
      </c>
      <c r="G269" s="15" t="n">
        <f aca="false">F269*(1+IF(G$3&lt;=$O$2,$D269,$D269-($D269-$I$265)*MIN(G$3-$O$2,$Q$2)/$Q$2))</f>
        <v>6728.98681640625</v>
      </c>
      <c r="H269" s="15" t="n">
        <f aca="false">G269*(1+IF(H$3&lt;=$O$2,$D269,$D269-($D269-$I$265)*MIN(H$3-$O$2,$Q$2)/$Q$2))</f>
        <v>7149.54849243164</v>
      </c>
      <c r="I269" s="15" t="n">
        <f aca="false">H269*(1+IF(I$3&lt;=$O$2,$D269,$D269-($D269-$I$265)*MIN(I$3-$O$2,$Q$2)/$Q$2))</f>
        <v>7596.39527320862</v>
      </c>
      <c r="J269" s="15" t="n">
        <f aca="false">I269*(1+IF(J$3&lt;=$O$2,$D269,$D269-($D269-$I$265)*MIN(J$3-$O$2,$Q$2)/$Q$2))</f>
        <v>8026.80702938862</v>
      </c>
      <c r="K269" s="15" t="n">
        <f aca="false">J269*(1+IF(K$3&lt;=$O$2,$D269,$D269-($D269-$I$265)*MIN(K$3-$O$2,$Q$2)/$Q$2))</f>
        <v>8434.72936262215</v>
      </c>
      <c r="L269" s="15" t="n">
        <f aca="false">K269*(1+IF(L$3&lt;=$O$2,$D269,$D269-($D269-$I$265)*MIN(L$3-$O$2,$Q$2)/$Q$2))</f>
        <v>8814.12348935289</v>
      </c>
      <c r="M269" s="15" t="n">
        <f aca="false">L269*(1+IF(M$3&lt;=$O$2,$D269,$D269-($D269-$I$265)*MIN(M$3-$O$2,$Q$2)/$Q$2))</f>
        <v>9159.10828272616</v>
      </c>
      <c r="N269" s="15" t="n">
        <f aca="false">M269*(1+IF(N$3&lt;=$O$2,$D269,$D269-($D269-$I$265)*MIN(N$3-$O$2,$Q$2)/$Q$2))</f>
        <v>9464.10658854095</v>
      </c>
      <c r="O269" s="15" t="n">
        <f aca="false">SUMPRODUCT(E269:N269,1/(1+$F$265)^$E$3:$N$3)*$E$2</f>
        <v>20085.2540085291</v>
      </c>
      <c r="P269" s="15" t="n">
        <f aca="false">N269*$E$2*(1+$I$265)/($F$265-$I$265)/(1+$F$265)^$N$3</f>
        <v>48657.9298274898</v>
      </c>
      <c r="Q269" s="15" t="n">
        <f aca="false">O269+P269</f>
        <v>68743.183836019</v>
      </c>
      <c r="R269" s="15" t="n">
        <f aca="false">Q269-$G$2+$I$2</f>
        <v>59978.183836019</v>
      </c>
      <c r="S269" s="40" t="n">
        <f aca="false">R269/$K$2</f>
        <v>107.299337786717</v>
      </c>
      <c r="T269" s="41" t="n">
        <f aca="false">S269-$M$2</f>
        <v>13.8255104583687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39" t="n">
        <f aca="false">(B270+C270)/2</f>
        <v>-0.03125</v>
      </c>
      <c r="E270" s="15" t="n">
        <f aca="false">$C$2*(1+IF(E$3&lt;=$O$2,$D270,$D270-($D270-$I$265)*MIN(E$3-$O$2,$Q$2)/$Q$2))</f>
        <v>5434.6875</v>
      </c>
      <c r="F270" s="15" t="n">
        <f aca="false">E270*(1+IF(F$3&lt;=$O$2,$D270,$D270-($D270-$I$265)*MIN(F$3-$O$2,$Q$2)/$Q$2))</f>
        <v>5264.853515625</v>
      </c>
      <c r="G270" s="15" t="n">
        <f aca="false">F270*(1+IF(G$3&lt;=$O$2,$D270,$D270-($D270-$I$265)*MIN(G$3-$O$2,$Q$2)/$Q$2))</f>
        <v>5100.32684326172</v>
      </c>
      <c r="H270" s="15" t="n">
        <f aca="false">G270*(1+IF(H$3&lt;=$O$2,$D270,$D270-($D270-$I$265)*MIN(H$3-$O$2,$Q$2)/$Q$2))</f>
        <v>4940.94162940979</v>
      </c>
      <c r="I270" s="15" t="n">
        <f aca="false">H270*(1+IF(I$3&lt;=$O$2,$D270,$D270-($D270-$I$265)*MIN(I$3-$O$2,$Q$2)/$Q$2))</f>
        <v>4786.53720349073</v>
      </c>
      <c r="J270" s="15" t="n">
        <f aca="false">I270*(1+IF(J$3&lt;=$O$2,$D270,$D270-($D270-$I$265)*MIN(J$3-$O$2,$Q$2)/$Q$2))</f>
        <v>4698.75211117871</v>
      </c>
      <c r="K270" s="15" t="n">
        <f aca="false">J270*(1+IF(K$3&lt;=$O$2,$D270,$D270-($D270-$I$265)*MIN(K$3-$O$2,$Q$2)/$Q$2))</f>
        <v>4673.23788721501</v>
      </c>
      <c r="L270" s="15" t="n">
        <f aca="false">K270*(1+IF(L$3&lt;=$O$2,$D270,$D270-($D270-$I$265)*MIN(L$3-$O$2,$Q$2)/$Q$2))</f>
        <v>4708.19370661138</v>
      </c>
      <c r="M270" s="15" t="n">
        <f aca="false">L270*(1+IF(M$3&lt;=$O$2,$D270,$D270-($D270-$I$265)*MIN(M$3-$O$2,$Q$2)/$Q$2))</f>
        <v>4804.19377628919</v>
      </c>
      <c r="N270" s="15" t="n">
        <f aca="false">M270*(1+IF(N$3&lt;=$O$2,$D270,$D270-($D270-$I$265)*MIN(N$3-$O$2,$Q$2)/$Q$2))</f>
        <v>4964.17342903962</v>
      </c>
      <c r="O270" s="15" t="n">
        <f aca="false">SUMPRODUCT(E270:N270,1/(1+$F$265)^$E$3:$N$3)*$E$2</f>
        <v>13255.888544966</v>
      </c>
      <c r="P270" s="15" t="n">
        <f aca="false">N270*$E$2*(1+$I$265)/($F$265-$I$265)/(1+$F$265)^$N$3</f>
        <v>25522.3670720448</v>
      </c>
      <c r="Q270" s="15" t="n">
        <f aca="false">O270+P270</f>
        <v>38778.2556170108</v>
      </c>
      <c r="R270" s="15" t="n">
        <f aca="false">Q270-$G$2+$I$2</f>
        <v>30013.2556170108</v>
      </c>
      <c r="S270" s="40" t="n">
        <f aca="false">R270/$K$2</f>
        <v>53.6928970929386</v>
      </c>
      <c r="T270" s="41" t="n">
        <f aca="false">S270-$M$2</f>
        <v>-39.7809302354095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39" t="n">
        <f aca="false">(B271+C271)/2</f>
        <v>0.015625</v>
      </c>
      <c r="E271" s="15" t="n">
        <f aca="false">$C$2*(1+IF(E$3&lt;=$O$2,$D271,$D271-($D271-$I$265)*MIN(E$3-$O$2,$Q$2)/$Q$2))</f>
        <v>5697.65625</v>
      </c>
      <c r="F271" s="15" t="n">
        <f aca="false">E271*(1+IF(F$3&lt;=$O$2,$D271,$D271-($D271-$I$265)*MIN(F$3-$O$2,$Q$2)/$Q$2))</f>
        <v>5786.68212890625</v>
      </c>
      <c r="G271" s="15" t="n">
        <f aca="false">F271*(1+IF(G$3&lt;=$O$2,$D271,$D271-($D271-$I$265)*MIN(G$3-$O$2,$Q$2)/$Q$2))</f>
        <v>5877.09903717041</v>
      </c>
      <c r="H271" s="15" t="n">
        <f aca="false">G271*(1+IF(H$3&lt;=$O$2,$D271,$D271-($D271-$I$265)*MIN(H$3-$O$2,$Q$2)/$Q$2))</f>
        <v>5968.9287096262</v>
      </c>
      <c r="I271" s="15" t="n">
        <f aca="false">H271*(1+IF(I$3&lt;=$O$2,$D271,$D271-($D271-$I$265)*MIN(I$3-$O$2,$Q$2)/$Q$2))</f>
        <v>6062.19322071411</v>
      </c>
      <c r="J271" s="15" t="n">
        <f aca="false">I271*(1+IF(J$3&lt;=$O$2,$D271,$D271-($D271-$I$265)*MIN(J$3-$O$2,$Q$2)/$Q$2))</f>
        <v>6178.34484282299</v>
      </c>
      <c r="K271" s="15" t="n">
        <f aca="false">J271*(1+IF(K$3&lt;=$O$2,$D271,$D271-($D271-$I$265)*MIN(K$3-$O$2,$Q$2)/$Q$2))</f>
        <v>6318.56237903086</v>
      </c>
      <c r="L271" s="15" t="n">
        <f aca="false">K271*(1+IF(L$3&lt;=$O$2,$D271,$D271-($D271-$I$265)*MIN(L$3-$O$2,$Q$2)/$Q$2))</f>
        <v>6484.29827023284</v>
      </c>
      <c r="M271" s="15" t="n">
        <f aca="false">L271*(1+IF(M$3&lt;=$O$2,$D271,$D271-($D271-$I$265)*MIN(M$3-$O$2,$Q$2)/$Q$2))</f>
        <v>6677.30340824632</v>
      </c>
      <c r="N271" s="15" t="n">
        <f aca="false">M271*(1+IF(N$3&lt;=$O$2,$D271,$D271-($D271-$I$265)*MIN(N$3-$O$2,$Q$2)/$Q$2))</f>
        <v>6899.65761174092</v>
      </c>
      <c r="O271" s="15" t="n">
        <f aca="false">SUMPRODUCT(E271:N271,1/(1+$F$265)^$E$3:$N$3)*$E$2</f>
        <v>16312.4305978963</v>
      </c>
      <c r="P271" s="15" t="n">
        <f aca="false">N271*$E$2*(1+$I$265)/($F$265-$I$265)/(1+$F$265)^$N$3</f>
        <v>35473.2961600714</v>
      </c>
      <c r="Q271" s="15" t="n">
        <f aca="false">O271+P271</f>
        <v>51785.7267579677</v>
      </c>
      <c r="R271" s="15" t="n">
        <f aca="false">Q271-$G$2+$I$2</f>
        <v>43020.7267579677</v>
      </c>
      <c r="S271" s="40" t="n">
        <f aca="false">R271/$K$2</f>
        <v>76.9629087945323</v>
      </c>
      <c r="T271" s="41" t="n">
        <f aca="false">S271-$M$2</f>
        <v>-16.5109185338158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0.015625</v>
      </c>
      <c r="C272" s="25" t="n">
        <f aca="false">IF(T271&gt;0,D271,C271)</f>
        <v>0.0625</v>
      </c>
      <c r="D272" s="39" t="n">
        <f aca="false">(B272+C272)/2</f>
        <v>0.0390625</v>
      </c>
      <c r="E272" s="15" t="n">
        <f aca="false">$C$2*(1+IF(E$3&lt;=$O$2,$D272,$D272-($D272-$I$265)*MIN(E$3-$O$2,$Q$2)/$Q$2))</f>
        <v>5829.140625</v>
      </c>
      <c r="F272" s="15" t="n">
        <f aca="false">E272*(1+IF(F$3&lt;=$O$2,$D272,$D272-($D272-$I$265)*MIN(F$3-$O$2,$Q$2)/$Q$2))</f>
        <v>6056.84143066406</v>
      </c>
      <c r="G272" s="15" t="n">
        <f aca="false">F272*(1+IF(G$3&lt;=$O$2,$D272,$D272-($D272-$I$265)*MIN(G$3-$O$2,$Q$2)/$Q$2))</f>
        <v>6293.43679904938</v>
      </c>
      <c r="H272" s="15" t="n">
        <f aca="false">G272*(1+IF(H$3&lt;=$O$2,$D272,$D272-($D272-$I$265)*MIN(H$3-$O$2,$Q$2)/$Q$2))</f>
        <v>6539.27417401224</v>
      </c>
      <c r="I272" s="15" t="n">
        <f aca="false">H272*(1+IF(I$3&lt;=$O$2,$D272,$D272-($D272-$I$265)*MIN(I$3-$O$2,$Q$2)/$Q$2))</f>
        <v>6794.7145714346</v>
      </c>
      <c r="J272" s="15" t="n">
        <f aca="false">I272*(1+IF(J$3&lt;=$O$2,$D272,$D272-($D272-$I$265)*MIN(J$3-$O$2,$Q$2)/$Q$2))</f>
        <v>7052.30220083768</v>
      </c>
      <c r="K272" s="15" t="n">
        <f aca="false">J272*(1+IF(K$3&lt;=$O$2,$D272,$D272-($D272-$I$265)*MIN(K$3-$O$2,$Q$2)/$Q$2))</f>
        <v>7311.52719898497</v>
      </c>
      <c r="L272" s="15" t="n">
        <f aca="false">K272*(1+IF(L$3&lt;=$O$2,$D272,$D272-($D272-$I$265)*MIN(L$3-$O$2,$Q$2)/$Q$2))</f>
        <v>7571.85412490484</v>
      </c>
      <c r="M272" s="15" t="n">
        <f aca="false">L272*(1+IF(M$3&lt;=$O$2,$D272,$D272-($D272-$I$265)*MIN(M$3-$O$2,$Q$2)/$Q$2))</f>
        <v>7832.72342914312</v>
      </c>
      <c r="N272" s="15" t="n">
        <f aca="false">M272*(1+IF(N$3&lt;=$O$2,$D272,$D272-($D272-$I$265)*MIN(N$3-$O$2,$Q$2)/$Q$2))</f>
        <v>8093.55311933359</v>
      </c>
      <c r="O272" s="15" t="n">
        <f aca="false">SUMPRODUCT(E272:N272,1/(1+$F$265)^$E$3:$N$3)*$E$2</f>
        <v>18100.275472895</v>
      </c>
      <c r="P272" s="15" t="n">
        <f aca="false">N272*$E$2*(1+$I$265)/($F$265-$I$265)/(1+$F$265)^$N$3</f>
        <v>41611.4860976337</v>
      </c>
      <c r="Q272" s="15" t="n">
        <f aca="false">O272+P272</f>
        <v>59711.7615705286</v>
      </c>
      <c r="R272" s="15" t="n">
        <f aca="false">Q272-$G$2+$I$2</f>
        <v>50946.7615705286</v>
      </c>
      <c r="S272" s="40" t="n">
        <f aca="false">R272/$K$2</f>
        <v>91.1423692628156</v>
      </c>
      <c r="T272" s="41" t="n">
        <f aca="false">S272-$M$2</f>
        <v>-2.33145806553252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0.0390625</v>
      </c>
      <c r="C273" s="25" t="n">
        <f aca="false">IF(T272&gt;0,D272,C272)</f>
        <v>0.0625</v>
      </c>
      <c r="D273" s="39" t="n">
        <f aca="false">(B273+C273)/2</f>
        <v>0.05078125</v>
      </c>
      <c r="E273" s="15" t="n">
        <f aca="false">$C$2*(1+IF(E$3&lt;=$O$2,$D273,$D273-($D273-$I$265)*MIN(E$3-$O$2,$Q$2)/$Q$2))</f>
        <v>5894.8828125</v>
      </c>
      <c r="F273" s="15" t="n">
        <f aca="false">E273*(1+IF(F$3&lt;=$O$2,$D273,$D273-($D273-$I$265)*MIN(F$3-$O$2,$Q$2)/$Q$2))</f>
        <v>6194.23233032227</v>
      </c>
      <c r="G273" s="15" t="n">
        <f aca="false">F273*(1+IF(G$3&lt;=$O$2,$D273,$D273-($D273-$I$265)*MIN(G$3-$O$2,$Q$2)/$Q$2))</f>
        <v>6508.78319084644</v>
      </c>
      <c r="H273" s="15" t="n">
        <f aca="false">G273*(1+IF(H$3&lt;=$O$2,$D273,$D273-($D273-$I$265)*MIN(H$3-$O$2,$Q$2)/$Q$2))</f>
        <v>6839.30733725661</v>
      </c>
      <c r="I273" s="15" t="n">
        <f aca="false">H273*(1+IF(I$3&lt;=$O$2,$D273,$D273-($D273-$I$265)*MIN(I$3-$O$2,$Q$2)/$Q$2))</f>
        <v>7186.61591297668</v>
      </c>
      <c r="J273" s="15" t="n">
        <f aca="false">I273*(1+IF(J$3&lt;=$O$2,$D273,$D273-($D273-$I$265)*MIN(J$3-$O$2,$Q$2)/$Q$2))</f>
        <v>7526.43504642178</v>
      </c>
      <c r="K273" s="15" t="n">
        <f aca="false">J273*(1+IF(K$3&lt;=$O$2,$D273,$D273-($D273-$I$265)*MIN(K$3-$O$2,$Q$2)/$Q$2))</f>
        <v>7856.00822906078</v>
      </c>
      <c r="L273" s="15" t="n">
        <f aca="false">K273*(1+IF(L$3&lt;=$O$2,$D273,$D273-($D273-$I$265)*MIN(L$3-$O$2,$Q$2)/$Q$2))</f>
        <v>8172.54644063021</v>
      </c>
      <c r="M273" s="15" t="n">
        <f aca="false">L273*(1+IF(M$3&lt;=$O$2,$D273,$D273-($D273-$I$265)*MIN(M$3-$O$2,$Q$2)/$Q$2))</f>
        <v>8473.26550259625</v>
      </c>
      <c r="N273" s="15" t="n">
        <f aca="false">M273*(1+IF(N$3&lt;=$O$2,$D273,$D273-($D273-$I$265)*MIN(N$3-$O$2,$Q$2)/$Q$2))</f>
        <v>8755.42524383271</v>
      </c>
      <c r="O273" s="15" t="n">
        <f aca="false">SUMPRODUCT(E273:N273,1/(1+$F$265)^$E$3:$N$3)*$E$2</f>
        <v>19066.907951148</v>
      </c>
      <c r="P273" s="15" t="n">
        <f aca="false">N273*$E$2*(1+$I$265)/($F$265-$I$265)/(1+$F$265)^$N$3</f>
        <v>45014.3775472761</v>
      </c>
      <c r="Q273" s="15" t="n">
        <f aca="false">O273+P273</f>
        <v>64081.2854984241</v>
      </c>
      <c r="R273" s="15" t="n">
        <f aca="false">Q273-$G$2+$I$2</f>
        <v>55316.2854984241</v>
      </c>
      <c r="S273" s="40" t="n">
        <f aca="false">R273/$K$2</f>
        <v>98.9593285956994</v>
      </c>
      <c r="T273" s="41" t="n">
        <f aca="false">S273-$M$2</f>
        <v>5.48550126735132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0.0390625</v>
      </c>
      <c r="C274" s="25" t="n">
        <f aca="false">IF(T273&gt;0,D273,C273)</f>
        <v>0.05078125</v>
      </c>
      <c r="D274" s="39" t="n">
        <f aca="false">(B274+C274)/2</f>
        <v>0.044921875</v>
      </c>
      <c r="E274" s="15" t="n">
        <f aca="false">$C$2*(1+IF(E$3&lt;=$O$2,$D274,$D274-($D274-$I$265)*MIN(E$3-$O$2,$Q$2)/$Q$2))</f>
        <v>5862.01171875</v>
      </c>
      <c r="F274" s="15" t="n">
        <f aca="false">E274*(1+IF(F$3&lt;=$O$2,$D274,$D274-($D274-$I$265)*MIN(F$3-$O$2,$Q$2)/$Q$2))</f>
        <v>6125.34427642822</v>
      </c>
      <c r="G274" s="15" t="n">
        <f aca="false">F274*(1+IF(G$3&lt;=$O$2,$D274,$D274-($D274-$I$265)*MIN(G$3-$O$2,$Q$2)/$Q$2))</f>
        <v>6400.5062263459</v>
      </c>
      <c r="H274" s="15" t="n">
        <f aca="false">G274*(1+IF(H$3&lt;=$O$2,$D274,$D274-($D274-$I$265)*MIN(H$3-$O$2,$Q$2)/$Q$2))</f>
        <v>6688.02896698253</v>
      </c>
      <c r="I274" s="15" t="n">
        <f aca="false">H274*(1+IF(I$3&lt;=$O$2,$D274,$D274-($D274-$I$265)*MIN(I$3-$O$2,$Q$2)/$Q$2))</f>
        <v>6988.4677682337</v>
      </c>
      <c r="J274" s="15" t="n">
        <f aca="false">I274*(1+IF(J$3&lt;=$O$2,$D274,$D274-($D274-$I$265)*MIN(J$3-$O$2,$Q$2)/$Q$2))</f>
        <v>7286.15902399103</v>
      </c>
      <c r="K274" s="15" t="n">
        <f aca="false">J274*(1+IF(K$3&lt;=$O$2,$D274,$D274-($D274-$I$265)*MIN(K$3-$O$2,$Q$2)/$Q$2))</f>
        <v>7579.5954171341</v>
      </c>
      <c r="L274" s="15" t="n">
        <f aca="false">K274*(1+IF(L$3&lt;=$O$2,$D274,$D274-($D274-$I$265)*MIN(L$3-$O$2,$Q$2)/$Q$2))</f>
        <v>7867.23158872007</v>
      </c>
      <c r="M274" s="15" t="n">
        <f aca="false">L274*(1+IF(M$3&lt;=$O$2,$D274,$D274-($D274-$I$265)*MIN(M$3-$O$2,$Q$2)/$Q$2))</f>
        <v>8147.49679704848</v>
      </c>
      <c r="N274" s="15" t="n">
        <f aca="false">M274*(1+IF(N$3&lt;=$O$2,$D274,$D274-($D274-$I$265)*MIN(N$3-$O$2,$Q$2)/$Q$2))</f>
        <v>8418.80844039019</v>
      </c>
      <c r="O274" s="15" t="n">
        <f aca="false">SUMPRODUCT(E274:N274,1/(1+$F$265)^$E$3:$N$3)*$E$2</f>
        <v>18577.2834218018</v>
      </c>
      <c r="P274" s="15" t="n">
        <f aca="false">N274*$E$2*(1+$I$265)/($F$265-$I$265)/(1+$F$265)^$N$3</f>
        <v>43283.7253565567</v>
      </c>
      <c r="Q274" s="15" t="n">
        <f aca="false">O274+P274</f>
        <v>61861.0087783584</v>
      </c>
      <c r="R274" s="15" t="n">
        <f aca="false">Q274-$G$2+$I$2</f>
        <v>53096.0087783584</v>
      </c>
      <c r="S274" s="40" t="n">
        <f aca="false">R274/$K$2</f>
        <v>94.9873139975642</v>
      </c>
      <c r="T274" s="41" t="n">
        <f aca="false">S274-$M$2</f>
        <v>1.51348666921614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0.0390625</v>
      </c>
      <c r="C275" s="25" t="n">
        <f aca="false">IF(T274&gt;0,D274,C274)</f>
        <v>0.044921875</v>
      </c>
      <c r="D275" s="39" t="n">
        <f aca="false">(B275+C275)/2</f>
        <v>0.0419921875</v>
      </c>
      <c r="E275" s="15" t="n">
        <f aca="false">$C$2*(1+IF(E$3&lt;=$O$2,$D275,$D275-($D275-$I$265)*MIN(E$3-$O$2,$Q$2)/$Q$2))</f>
        <v>5845.576171875</v>
      </c>
      <c r="F275" s="15" t="n">
        <f aca="false">E275*(1+IF(F$3&lt;=$O$2,$D275,$D275-($D275-$I$265)*MIN(F$3-$O$2,$Q$2)/$Q$2))</f>
        <v>6091.04470252991</v>
      </c>
      <c r="G275" s="15" t="n">
        <f aca="false">F275*(1+IF(G$3&lt;=$O$2,$D275,$D275-($D275-$I$265)*MIN(G$3-$O$2,$Q$2)/$Q$2))</f>
        <v>6346.82099374943</v>
      </c>
      <c r="H275" s="15" t="n">
        <f aca="false">G275*(1+IF(H$3&lt;=$O$2,$D275,$D275-($D275-$I$265)*MIN(H$3-$O$2,$Q$2)/$Q$2))</f>
        <v>6613.33789094789</v>
      </c>
      <c r="I275" s="15" t="n">
        <f aca="false">H275*(1+IF(I$3&lt;=$O$2,$D275,$D275-($D275-$I$265)*MIN(I$3-$O$2,$Q$2)/$Q$2))</f>
        <v>6891.04641566543</v>
      </c>
      <c r="J275" s="15" t="n">
        <f aca="false">I275*(1+IF(J$3&lt;=$O$2,$D275,$D275-($D275-$I$265)*MIN(J$3-$O$2,$Q$2)/$Q$2))</f>
        <v>7168.43687532002</v>
      </c>
      <c r="K275" s="15" t="n">
        <f aca="false">J275*(1+IF(K$3&lt;=$O$2,$D275,$D275-($D275-$I$265)*MIN(K$3-$O$2,$Q$2)/$Q$2))</f>
        <v>7444.53146170949</v>
      </c>
      <c r="L275" s="15" t="n">
        <f aca="false">K275*(1+IF(L$3&lt;=$O$2,$D275,$D275-($D275-$I$265)*MIN(L$3-$O$2,$Q$2)/$Q$2))</f>
        <v>7718.31806471035</v>
      </c>
      <c r="M275" s="15" t="n">
        <f aca="false">L275*(1+IF(M$3&lt;=$O$2,$D275,$D275-($D275-$I$265)*MIN(M$3-$O$2,$Q$2)/$Q$2))</f>
        <v>7988.75586982582</v>
      </c>
      <c r="N275" s="15" t="n">
        <f aca="false">M275*(1+IF(N$3&lt;=$O$2,$D275,$D275-($D275-$I$265)*MIN(N$3-$O$2,$Q$2)/$Q$2))</f>
        <v>8254.78144029102</v>
      </c>
      <c r="O275" s="15" t="n">
        <f aca="false">SUMPRODUCT(E275:N275,1/(1+$F$265)^$E$3:$N$3)*$E$2</f>
        <v>18337.2215057547</v>
      </c>
      <c r="P275" s="15" t="n">
        <f aca="false">N275*$E$2*(1+$I$265)/($F$265-$I$265)/(1+$F$265)^$N$3</f>
        <v>42440.4112850201</v>
      </c>
      <c r="Q275" s="15" t="n">
        <f aca="false">O275+P275</f>
        <v>60777.6327907748</v>
      </c>
      <c r="R275" s="15" t="n">
        <f aca="false">Q275-$G$2+$I$2</f>
        <v>52012.6327907748</v>
      </c>
      <c r="S275" s="40" t="n">
        <f aca="false">R275/$K$2</f>
        <v>93.0491838541178</v>
      </c>
      <c r="T275" s="41" t="n">
        <f aca="false">S275-$M$2</f>
        <v>-0.424643474230237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0.0419921875</v>
      </c>
      <c r="C276" s="25" t="n">
        <f aca="false">IF(T275&gt;0,D275,C275)</f>
        <v>0.044921875</v>
      </c>
      <c r="D276" s="39" t="n">
        <f aca="false">(B276+C276)/2</f>
        <v>0.04345703125</v>
      </c>
      <c r="E276" s="15" t="n">
        <f aca="false">$C$2*(1+IF(E$3&lt;=$O$2,$D276,$D276-($D276-$I$265)*MIN(E$3-$O$2,$Q$2)/$Q$2))</f>
        <v>5853.7939453125</v>
      </c>
      <c r="F276" s="15" t="n">
        <f aca="false">E276*(1+IF(F$3&lt;=$O$2,$D276,$D276-($D276-$I$265)*MIN(F$3-$O$2,$Q$2)/$Q$2))</f>
        <v>6108.18245172501</v>
      </c>
      <c r="G276" s="15" t="n">
        <f aca="false">F276*(1+IF(G$3&lt;=$O$2,$D276,$D276-($D276-$I$265)*MIN(G$3-$O$2,$Q$2)/$Q$2))</f>
        <v>6373.62592741032</v>
      </c>
      <c r="H276" s="15" t="n">
        <f aca="false">G276*(1+IF(H$3&lt;=$O$2,$D276,$D276-($D276-$I$265)*MIN(H$3-$O$2,$Q$2)/$Q$2))</f>
        <v>6650.6047885136</v>
      </c>
      <c r="I276" s="15" t="n">
        <f aca="false">H276*(1+IF(I$3&lt;=$O$2,$D276,$D276-($D276-$I$265)*MIN(I$3-$O$2,$Q$2)/$Q$2))</f>
        <v>6939.62032863944</v>
      </c>
      <c r="J276" s="15" t="n">
        <f aca="false">I276*(1+IF(J$3&lt;=$O$2,$D276,$D276-($D276-$I$265)*MIN(J$3-$O$2,$Q$2)/$Q$2))</f>
        <v>7227.09843801603</v>
      </c>
      <c r="K276" s="15" t="n">
        <f aca="false">J276*(1+IF(K$3&lt;=$O$2,$D276,$D276-($D276-$I$265)*MIN(K$3-$O$2,$Q$2)/$Q$2))</f>
        <v>7511.80433481102</v>
      </c>
      <c r="L276" s="15" t="n">
        <f aca="false">K276*(1+IF(L$3&lt;=$O$2,$D276,$D276-($D276-$I$265)*MIN(L$3-$O$2,$Q$2)/$Q$2))</f>
        <v>7792.46647170925</v>
      </c>
      <c r="M276" s="15" t="n">
        <f aca="false">L276*(1+IF(M$3&lt;=$O$2,$D276,$D276-($D276-$I$265)*MIN(M$3-$O$2,$Q$2)/$Q$2))</f>
        <v>8067.78527031072</v>
      </c>
      <c r="N276" s="15" t="n">
        <f aca="false">M276*(1+IF(N$3&lt;=$O$2,$D276,$D276-($D276-$I$265)*MIN(N$3-$O$2,$Q$2)/$Q$2))</f>
        <v>8336.44251981206</v>
      </c>
      <c r="O276" s="15" t="n">
        <f aca="false">SUMPRODUCT(E276:N276,1/(1+$F$265)^$E$3:$N$3)*$E$2</f>
        <v>18456.8606027868</v>
      </c>
      <c r="P276" s="15" t="n">
        <f aca="false">N276*$E$2*(1+$I$265)/($F$265-$I$265)/(1+$F$265)^$N$3</f>
        <v>42860.2564167077</v>
      </c>
      <c r="Q276" s="15" t="n">
        <f aca="false">O276+P276</f>
        <v>61317.1170194945</v>
      </c>
      <c r="R276" s="15" t="n">
        <f aca="false">Q276-$G$2+$I$2</f>
        <v>52552.1170194945</v>
      </c>
      <c r="S276" s="40" t="n">
        <f aca="false">R276/$K$2</f>
        <v>94.0143064501315</v>
      </c>
      <c r="T276" s="41" t="n">
        <f aca="false">S276-$M$2</f>
        <v>0.540479121783463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0.0419921875</v>
      </c>
      <c r="C277" s="25" t="n">
        <f aca="false">IF(T276&gt;0,D276,C276)</f>
        <v>0.04345703125</v>
      </c>
      <c r="D277" s="39" t="n">
        <f aca="false">(B277+C277)/2</f>
        <v>0.042724609375</v>
      </c>
      <c r="E277" s="15" t="n">
        <f aca="false">$C$2*(1+IF(E$3&lt;=$O$2,$D277,$D277-($D277-$I$265)*MIN(E$3-$O$2,$Q$2)/$Q$2))</f>
        <v>5849.68505859375</v>
      </c>
      <c r="F277" s="15" t="n">
        <f aca="false">E277*(1+IF(F$3&lt;=$O$2,$D277,$D277-($D277-$I$265)*MIN(F$3-$O$2,$Q$2)/$Q$2))</f>
        <v>6099.61056768894</v>
      </c>
      <c r="G277" s="15" t="n">
        <f aca="false">F277*(1+IF(G$3&lt;=$O$2,$D277,$D277-($D277-$I$265)*MIN(G$3-$O$2,$Q$2)/$Q$2))</f>
        <v>6360.21404653307</v>
      </c>
      <c r="H277" s="15" t="n">
        <f aca="false">G277*(1+IF(H$3&lt;=$O$2,$D277,$D277-($D277-$I$265)*MIN(H$3-$O$2,$Q$2)/$Q$2))</f>
        <v>6631.95170721259</v>
      </c>
      <c r="I277" s="15" t="n">
        <f aca="false">H277*(1+IF(I$3&lt;=$O$2,$D277,$D277-($D277-$I$265)*MIN(I$3-$O$2,$Q$2)/$Q$2))</f>
        <v>6915.29925329711</v>
      </c>
      <c r="J277" s="15" t="n">
        <f aca="false">I277*(1+IF(J$3&lt;=$O$2,$D277,$D277-($D277-$I$265)*MIN(J$3-$O$2,$Q$2)/$Q$2))</f>
        <v>7197.71791377075</v>
      </c>
      <c r="K277" s="15" t="n">
        <f aca="false">J277*(1+IF(K$3&lt;=$O$2,$D277,$D277-($D277-$I$265)*MIN(K$3-$O$2,$Q$2)/$Q$2))</f>
        <v>7478.10332813655</v>
      </c>
      <c r="L277" s="15" t="n">
        <f aca="false">K277*(1+IF(L$3&lt;=$O$2,$D277,$D277-($D277-$I$265)*MIN(L$3-$O$2,$Q$2)/$Q$2))</f>
        <v>7755.31545005693</v>
      </c>
      <c r="M277" s="15" t="n">
        <f aca="false">L277*(1+IF(M$3&lt;=$O$2,$D277,$D277-($D277-$I$265)*MIN(M$3-$O$2,$Q$2)/$Q$2))</f>
        <v>8028.18561828316</v>
      </c>
      <c r="N277" s="15" t="n">
        <f aca="false">M277*(1+IF(N$3&lt;=$O$2,$D277,$D277-($D277-$I$265)*MIN(N$3-$O$2,$Q$2)/$Q$2))</f>
        <v>8295.52419937199</v>
      </c>
      <c r="O277" s="15" t="n">
        <f aca="false">SUMPRODUCT(E277:N277,1/(1+$F$265)^$E$3:$N$3)*$E$2</f>
        <v>18396.9433869534</v>
      </c>
      <c r="P277" s="15" t="n">
        <f aca="false">N277*$E$2*(1+$I$265)/($F$265-$I$265)/(1+$F$265)^$N$3</f>
        <v>42649.8825429559</v>
      </c>
      <c r="Q277" s="15" t="n">
        <f aca="false">O277+P277</f>
        <v>61046.8259299093</v>
      </c>
      <c r="R277" s="15" t="n">
        <f aca="false">Q277-$G$2+$I$2</f>
        <v>52281.8259299093</v>
      </c>
      <c r="S277" s="40" t="n">
        <f aca="false">R277/$K$2</f>
        <v>93.530763050394</v>
      </c>
      <c r="T277" s="41" t="n">
        <f aca="false">S277-$M$2</f>
        <v>0.0569357220459636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0.0419921875</v>
      </c>
      <c r="C278" s="25" t="n">
        <f aca="false">IF(T277&gt;0,D277,C277)</f>
        <v>0.042724609375</v>
      </c>
      <c r="D278" s="39" t="n">
        <f aca="false">(B278+C278)/2</f>
        <v>0.0423583984375</v>
      </c>
      <c r="E278" s="15" t="n">
        <f aca="false">$C$2*(1+IF(E$3&lt;=$O$2,$D278,$D278-($D278-$I$265)*MIN(E$3-$O$2,$Q$2)/$Q$2))</f>
        <v>5847.63061523438</v>
      </c>
      <c r="F278" s="15" t="n">
        <f aca="false">E278*(1+IF(F$3&lt;=$O$2,$D278,$D278-($D278-$I$265)*MIN(F$3-$O$2,$Q$2)/$Q$2))</f>
        <v>6095.3268827498</v>
      </c>
      <c r="G278" s="15" t="n">
        <f aca="false">F278*(1+IF(G$3&lt;=$O$2,$D278,$D278-($D278-$I$265)*MIN(G$3-$O$2,$Q$2)/$Q$2))</f>
        <v>6353.51516745612</v>
      </c>
      <c r="H278" s="15" t="n">
        <f aca="false">G278*(1+IF(H$3&lt;=$O$2,$D278,$D278-($D278-$I$265)*MIN(H$3-$O$2,$Q$2)/$Q$2))</f>
        <v>6622.63989439792</v>
      </c>
      <c r="I278" s="15" t="n">
        <f aca="false">H278*(1+IF(I$3&lt;=$O$2,$D278,$D278-($D278-$I$265)*MIN(I$3-$O$2,$Q$2)/$Q$2))</f>
        <v>6903.16431375291</v>
      </c>
      <c r="J278" s="15" t="n">
        <f aca="false">I278*(1+IF(J$3&lt;=$O$2,$D278,$D278-($D278-$I$265)*MIN(J$3-$O$2,$Q$2)/$Q$2))</f>
        <v>7183.06497566769</v>
      </c>
      <c r="K278" s="15" t="n">
        <f aca="false">J278*(1+IF(K$3&lt;=$O$2,$D278,$D278-($D278-$I$265)*MIN(K$3-$O$2,$Q$2)/$Q$2))</f>
        <v>7461.30127808865</v>
      </c>
      <c r="L278" s="15" t="n">
        <f aca="false">K278*(1+IF(L$3&lt;=$O$2,$D278,$D278-($D278-$I$265)*MIN(L$3-$O$2,$Q$2)/$Q$2))</f>
        <v>7736.79758658467</v>
      </c>
      <c r="M278" s="15" t="n">
        <f aca="false">L278*(1+IF(M$3&lt;=$O$2,$D278,$D278-($D278-$I$265)*MIN(M$3-$O$2,$Q$2)/$Q$2))</f>
        <v>8008.44954525185</v>
      </c>
      <c r="N278" s="15" t="n">
        <f aca="false">M278*(1+IF(N$3&lt;=$O$2,$D278,$D278-($D278-$I$265)*MIN(N$3-$O$2,$Q$2)/$Q$2))</f>
        <v>8275.13091510874</v>
      </c>
      <c r="O278" s="15" t="n">
        <f aca="false">SUMPRODUCT(E278:N278,1/(1+$F$265)^$E$3:$N$3)*$E$2</f>
        <v>18367.05806668</v>
      </c>
      <c r="P278" s="15" t="n">
        <f aca="false">N278*$E$2*(1+$I$265)/($F$265-$I$265)/(1+$F$265)^$N$3</f>
        <v>42545.0342949622</v>
      </c>
      <c r="Q278" s="15" t="n">
        <f aca="false">O278+P278</f>
        <v>60912.0923616422</v>
      </c>
      <c r="R278" s="15" t="n">
        <f aca="false">Q278-$G$2+$I$2</f>
        <v>52147.0923616422</v>
      </c>
      <c r="S278" s="40" t="n">
        <f aca="false">R278/$K$2</f>
        <v>93.2897283653122</v>
      </c>
      <c r="T278" s="41" t="n">
        <f aca="false">S278-$M$2</f>
        <v>-0.184098963035865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0.0423583984375</v>
      </c>
      <c r="C279" s="25" t="n">
        <f aca="false">IF(T278&gt;0,D278,C278)</f>
        <v>0.042724609375</v>
      </c>
      <c r="D279" s="39" t="n">
        <f aca="false">(B279+C279)/2</f>
        <v>0.04254150390625</v>
      </c>
      <c r="E279" s="15" t="n">
        <f aca="false">$C$2*(1+IF(E$3&lt;=$O$2,$D279,$D279-($D279-$I$265)*MIN(E$3-$O$2,$Q$2)/$Q$2))</f>
        <v>5848.65783691406</v>
      </c>
      <c r="F279" s="15" t="n">
        <f aca="false">E279*(1+IF(F$3&lt;=$O$2,$D279,$D279-($D279-$I$265)*MIN(F$3-$O$2,$Q$2)/$Q$2))</f>
        <v>6097.46853712946</v>
      </c>
      <c r="G279" s="15" t="n">
        <f aca="false">F279*(1+IF(G$3&lt;=$O$2,$D279,$D279-($D279-$I$265)*MIN(G$3-$O$2,$Q$2)/$Q$2))</f>
        <v>6356.86401871999</v>
      </c>
      <c r="H279" s="15" t="n">
        <f aca="false">G279*(1+IF(H$3&lt;=$O$2,$D279,$D279-($D279-$I$265)*MIN(H$3-$O$2,$Q$2)/$Q$2))</f>
        <v>6627.29457420387</v>
      </c>
      <c r="I279" s="15" t="n">
        <f aca="false">H279*(1+IF(I$3&lt;=$O$2,$D279,$D279-($D279-$I$265)*MIN(I$3-$O$2,$Q$2)/$Q$2))</f>
        <v>6909.22965222023</v>
      </c>
      <c r="J279" s="15" t="n">
        <f aca="false">I279*(1+IF(J$3&lt;=$O$2,$D279,$D279-($D279-$I$265)*MIN(J$3-$O$2,$Q$2)/$Q$2))</f>
        <v>7190.3883378953</v>
      </c>
      <c r="K279" s="15" t="n">
        <f aca="false">J279*(1+IF(K$3&lt;=$O$2,$D279,$D279-($D279-$I$265)*MIN(K$3-$O$2,$Q$2)/$Q$2))</f>
        <v>7469.69827069448</v>
      </c>
      <c r="L279" s="15" t="n">
        <f aca="false">K279*(1+IF(L$3&lt;=$O$2,$D279,$D279-($D279-$I$265)*MIN(L$3-$O$2,$Q$2)/$Q$2))</f>
        <v>7746.05172140746</v>
      </c>
      <c r="M279" s="15" t="n">
        <f aca="false">L279*(1+IF(M$3&lt;=$O$2,$D279,$D279-($D279-$I$265)*MIN(M$3-$O$2,$Q$2)/$Q$2))</f>
        <v>8018.31227717861</v>
      </c>
      <c r="N279" s="15" t="n">
        <f aca="false">M279*(1+IF(N$3&lt;=$O$2,$D279,$D279-($D279-$I$265)*MIN(N$3-$O$2,$Q$2)/$Q$2))</f>
        <v>8285.32207600866</v>
      </c>
      <c r="O279" s="15" t="n">
        <f aca="false">SUMPRODUCT(E279:N279,1/(1+$F$265)^$E$3:$N$3)*$E$2</f>
        <v>18381.9946272576</v>
      </c>
      <c r="P279" s="15" t="n">
        <f aca="false">N279*$E$2*(1+$I$265)/($F$265-$I$265)/(1+$F$265)^$N$3</f>
        <v>42597.4302382338</v>
      </c>
      <c r="Q279" s="15" t="n">
        <f aca="false">O279+P279</f>
        <v>60979.4248654914</v>
      </c>
      <c r="R279" s="15" t="n">
        <f aca="false">Q279-$G$2+$I$2</f>
        <v>52214.4248654914</v>
      </c>
      <c r="S279" s="40" t="n">
        <f aca="false">R279/$K$2</f>
        <v>93.4101843813578</v>
      </c>
      <c r="T279" s="41" t="n">
        <f aca="false">S279-$M$2</f>
        <v>-0.0636429469902566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0.04254150390625</v>
      </c>
      <c r="C280" s="25" t="n">
        <f aca="false">IF(T279&gt;0,D279,C279)</f>
        <v>0.042724609375</v>
      </c>
      <c r="D280" s="39" t="n">
        <f aca="false">(B280+C280)/2</f>
        <v>0.042633056640625</v>
      </c>
      <c r="E280" s="15" t="n">
        <f aca="false">$C$2*(1+IF(E$3&lt;=$O$2,$D280,$D280-($D280-$I$265)*MIN(E$3-$O$2,$Q$2)/$Q$2))</f>
        <v>5849.17144775391</v>
      </c>
      <c r="F280" s="15" t="n">
        <f aca="false">E280*(1+IF(F$3&lt;=$O$2,$D280,$D280-($D280-$I$265)*MIN(F$3-$O$2,$Q$2)/$Q$2))</f>
        <v>6098.53950538673</v>
      </c>
      <c r="G280" s="15" t="n">
        <f aca="false">F280*(1+IF(G$3&lt;=$O$2,$D280,$D280-($D280-$I$265)*MIN(G$3-$O$2,$Q$2)/$Q$2))</f>
        <v>6358.53888554497</v>
      </c>
      <c r="H280" s="15" t="n">
        <f aca="false">G280*(1+IF(H$3&lt;=$O$2,$D280,$D280-($D280-$I$265)*MIN(H$3-$O$2,$Q$2)/$Q$2))</f>
        <v>6629.62283400402</v>
      </c>
      <c r="I280" s="15" t="n">
        <f aca="false">H280*(1+IF(I$3&lt;=$O$2,$D280,$D280-($D280-$I$265)*MIN(I$3-$O$2,$Q$2)/$Q$2))</f>
        <v>6912.2639197921</v>
      </c>
      <c r="J280" s="15" t="n">
        <f aca="false">I280*(1+IF(J$3&lt;=$O$2,$D280,$D280-($D280-$I$265)*MIN(J$3-$O$2,$Q$2)/$Q$2))</f>
        <v>7194.05234886387</v>
      </c>
      <c r="K280" s="15" t="n">
        <f aca="false">J280*(1+IF(K$3&lt;=$O$2,$D280,$D280-($D280-$I$265)*MIN(K$3-$O$2,$Q$2)/$Q$2))</f>
        <v>7473.89979090958</v>
      </c>
      <c r="L280" s="15" t="n">
        <f aca="false">K280*(1+IF(L$3&lt;=$O$2,$D280,$D280-($D280-$I$265)*MIN(L$3-$O$2,$Q$2)/$Q$2))</f>
        <v>7750.68238597683</v>
      </c>
      <c r="M280" s="15" t="n">
        <f aca="false">L280*(1+IF(M$3&lt;=$O$2,$D280,$D280-($D280-$I$265)*MIN(M$3-$O$2,$Q$2)/$Q$2))</f>
        <v>8023.24762097222</v>
      </c>
      <c r="N280" s="15" t="n">
        <f aca="false">M280*(1+IF(N$3&lt;=$O$2,$D280,$D280-($D280-$I$265)*MIN(N$3-$O$2,$Q$2)/$Q$2))</f>
        <v>8290.4217667506</v>
      </c>
      <c r="O280" s="15" t="n">
        <f aca="false">SUMPRODUCT(E280:N280,1/(1+$F$265)^$E$3:$N$3)*$E$2</f>
        <v>18389.4674816353</v>
      </c>
      <c r="P280" s="15" t="n">
        <f aca="false">N280*$E$2*(1+$I$265)/($F$265-$I$265)/(1+$F$265)^$N$3</f>
        <v>42623.6493421652</v>
      </c>
      <c r="Q280" s="15" t="n">
        <f aca="false">O280+P280</f>
        <v>61013.1168238005</v>
      </c>
      <c r="R280" s="15" t="n">
        <f aca="false">Q280-$G$2+$I$2</f>
        <v>52248.1168238005</v>
      </c>
      <c r="S280" s="40" t="n">
        <f aca="false">R280/$K$2</f>
        <v>93.4704583774026</v>
      </c>
      <c r="T280" s="41" t="n">
        <f aca="false">S280-$M$2</f>
        <v>-0.00336895094544332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0.042633056640625</v>
      </c>
      <c r="C281" s="25" t="n">
        <f aca="false">IF(T280&gt;0,D280,C280)</f>
        <v>0.042724609375</v>
      </c>
      <c r="D281" s="39" t="n">
        <f aca="false">(B281+C281)/2</f>
        <v>0.0426788330078125</v>
      </c>
      <c r="E281" s="15" t="n">
        <f aca="false">$C$2*(1+IF(E$3&lt;=$O$2,$D281,$D281-($D281-$I$265)*MIN(E$3-$O$2,$Q$2)/$Q$2))</f>
        <v>5849.42825317383</v>
      </c>
      <c r="F281" s="15" t="n">
        <f aca="false">E281*(1+IF(F$3&lt;=$O$2,$D281,$D281-($D281-$I$265)*MIN(F$3-$O$2,$Q$2)/$Q$2))</f>
        <v>6099.07502478221</v>
      </c>
      <c r="G281" s="15" t="n">
        <f aca="false">F281*(1+IF(G$3&lt;=$O$2,$D281,$D281-($D281-$I$265)*MIN(G$3-$O$2,$Q$2)/$Q$2))</f>
        <v>6359.37642926701</v>
      </c>
      <c r="H281" s="15" t="n">
        <f aca="false">G281*(1+IF(H$3&lt;=$O$2,$D281,$D281-($D281-$I$265)*MIN(H$3-$O$2,$Q$2)/$Q$2))</f>
        <v>6630.78719392552</v>
      </c>
      <c r="I281" s="15" t="n">
        <f aca="false">H281*(1+IF(I$3&lt;=$O$2,$D281,$D281-($D281-$I$265)*MIN(I$3-$O$2,$Q$2)/$Q$2))</f>
        <v>6913.78145328541</v>
      </c>
      <c r="J281" s="15" t="n">
        <f aca="false">I281*(1+IF(J$3&lt;=$O$2,$D281,$D281-($D281-$I$265)*MIN(J$3-$O$2,$Q$2)/$Q$2))</f>
        <v>7195.88493704211</v>
      </c>
      <c r="K281" s="15" t="n">
        <f aca="false">J281*(1+IF(K$3&lt;=$O$2,$D281,$D281-($D281-$I$265)*MIN(K$3-$O$2,$Q$2)/$Q$2))</f>
        <v>7476.00130734639</v>
      </c>
      <c r="L281" s="15" t="n">
        <f aca="false">K281*(1+IF(L$3&lt;=$O$2,$D281,$D281-($D281-$I$265)*MIN(L$3-$O$2,$Q$2)/$Q$2))</f>
        <v>7752.99861801214</v>
      </c>
      <c r="M281" s="15" t="n">
        <f aca="false">L281*(1+IF(M$3&lt;=$O$2,$D281,$D281-($D281-$I$265)*MIN(M$3-$O$2,$Q$2)/$Q$2))</f>
        <v>8025.71628786157</v>
      </c>
      <c r="N281" s="15" t="n">
        <f aca="false">M281*(1+IF(N$3&lt;=$O$2,$D281,$D281-($D281-$I$265)*MIN(N$3-$O$2,$Q$2)/$Q$2))</f>
        <v>8292.97264024736</v>
      </c>
      <c r="O281" s="15" t="n">
        <f aca="false">SUMPRODUCT(E281:N281,1/(1+$F$265)^$E$3:$N$3)*$E$2</f>
        <v>18393.2050528542</v>
      </c>
      <c r="P281" s="15" t="n">
        <f aca="false">N281*$E$2*(1+$I$265)/($F$265-$I$265)/(1+$F$265)^$N$3</f>
        <v>42636.764180047</v>
      </c>
      <c r="Q281" s="15" t="n">
        <f aca="false">O281+P281</f>
        <v>61029.9692329012</v>
      </c>
      <c r="R281" s="15" t="n">
        <f aca="false">Q281-$G$2+$I$2</f>
        <v>52264.9692329012</v>
      </c>
      <c r="S281" s="40" t="n">
        <f aca="false">R281/$K$2</f>
        <v>93.5006068784235</v>
      </c>
      <c r="T281" s="41" t="n">
        <f aca="false">S281-$M$2</f>
        <v>0.0267795500754602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0.042633056640625</v>
      </c>
      <c r="C282" s="25" t="n">
        <f aca="false">IF(T281&gt;0,D281,C281)</f>
        <v>0.0426788330078125</v>
      </c>
      <c r="D282" s="39" t="n">
        <f aca="false">(B282+C282)/2</f>
        <v>0.0426559448242188</v>
      </c>
      <c r="E282" s="15" t="n">
        <f aca="false">$C$2*(1+IF(E$3&lt;=$O$2,$D282,$D282-($D282-$I$265)*MIN(E$3-$O$2,$Q$2)/$Q$2))</f>
        <v>5849.29985046387</v>
      </c>
      <c r="F282" s="15" t="n">
        <f aca="false">E282*(1+IF(F$3&lt;=$O$2,$D282,$D282-($D282-$I$265)*MIN(F$3-$O$2,$Q$2)/$Q$2))</f>
        <v>6098.80726214557</v>
      </c>
      <c r="G282" s="15" t="n">
        <f aca="false">F282*(1+IF(G$3&lt;=$O$2,$D282,$D282-($D282-$I$265)*MIN(G$3-$O$2,$Q$2)/$Q$2))</f>
        <v>6358.95764821319</v>
      </c>
      <c r="H282" s="15" t="n">
        <f aca="false">G282*(1+IF(H$3&lt;=$O$2,$D282,$D282-($D282-$I$265)*MIN(H$3-$O$2,$Q$2)/$Q$2))</f>
        <v>6630.20499479492</v>
      </c>
      <c r="I282" s="15" t="n">
        <f aca="false">H282*(1+IF(I$3&lt;=$O$2,$D282,$D282-($D282-$I$265)*MIN(I$3-$O$2,$Q$2)/$Q$2))</f>
        <v>6913.02265322615</v>
      </c>
      <c r="J282" s="15" t="n">
        <f aca="false">I282*(1+IF(J$3&lt;=$O$2,$D282,$D282-($D282-$I$265)*MIN(J$3-$O$2,$Q$2)/$Q$2))</f>
        <v>7194.96859438831</v>
      </c>
      <c r="K282" s="15" t="n">
        <f aca="false">J282*(1+IF(K$3&lt;=$O$2,$D282,$D282-($D282-$I$265)*MIN(K$3-$O$2,$Q$2)/$Q$2))</f>
        <v>7474.95048609009</v>
      </c>
      <c r="L282" s="15" t="n">
        <f aca="false">K282*(1+IF(L$3&lt;=$O$2,$D282,$D282-($D282-$I$265)*MIN(L$3-$O$2,$Q$2)/$Q$2))</f>
        <v>7751.84042700154</v>
      </c>
      <c r="M282" s="15" t="n">
        <f aca="false">L282*(1+IF(M$3&lt;=$O$2,$D282,$D282-($D282-$I$265)*MIN(M$3-$O$2,$Q$2)/$Q$2))</f>
        <v>8024.48187148492</v>
      </c>
      <c r="N282" s="15" t="n">
        <f aca="false">M282*(1+IF(N$3&lt;=$O$2,$D282,$D282-($D282-$I$265)*MIN(N$3-$O$2,$Q$2)/$Q$2))</f>
        <v>8291.69711780537</v>
      </c>
      <c r="O282" s="15" t="n">
        <f aca="false">SUMPRODUCT(E282:N282,1/(1+$F$265)^$E$3:$N$3)*$E$2</f>
        <v>18391.3361718938</v>
      </c>
      <c r="P282" s="15" t="n">
        <f aca="false">N282*$E$2*(1+$I$265)/($F$265-$I$265)/(1+$F$265)^$N$3</f>
        <v>42630.2063205285</v>
      </c>
      <c r="Q282" s="15" t="n">
        <f aca="false">O282+P282</f>
        <v>61021.5424924223</v>
      </c>
      <c r="R282" s="15" t="n">
        <f aca="false">Q282-$G$2+$I$2</f>
        <v>52256.5424924223</v>
      </c>
      <c r="S282" s="40" t="n">
        <f aca="false">R282/$K$2</f>
        <v>93.4855316691515</v>
      </c>
      <c r="T282" s="41" t="n">
        <f aca="false">S282-$M$2</f>
        <v>0.0117043408034334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0.042633056640625</v>
      </c>
      <c r="C283" s="25" t="n">
        <f aca="false">IF(T282&gt;0,D282,C282)</f>
        <v>0.0426559448242188</v>
      </c>
      <c r="D283" s="39" t="n">
        <f aca="false">(B283+C283)/2</f>
        <v>0.0426445007324219</v>
      </c>
      <c r="E283" s="15" t="n">
        <f aca="false">$C$2*(1+IF(E$3&lt;=$O$2,$D283,$D283-($D283-$I$265)*MIN(E$3-$O$2,$Q$2)/$Q$2))</f>
        <v>5849.23564910889</v>
      </c>
      <c r="F283" s="15" t="n">
        <f aca="false">E283*(1+IF(F$3&lt;=$O$2,$D283,$D283-($D283-$I$265)*MIN(F$3-$O$2,$Q$2)/$Q$2))</f>
        <v>6098.67338303142</v>
      </c>
      <c r="G283" s="15" t="n">
        <f aca="false">F283*(1+IF(G$3&lt;=$O$2,$D283,$D283-($D283-$I$265)*MIN(G$3-$O$2,$Q$2)/$Q$2))</f>
        <v>6358.7482645809</v>
      </c>
      <c r="H283" s="15" t="n">
        <f aca="false">G283*(1+IF(H$3&lt;=$O$2,$D283,$D283-($D283-$I$265)*MIN(H$3-$O$2,$Q$2)/$Q$2))</f>
        <v>6629.91390960711</v>
      </c>
      <c r="I283" s="15" t="n">
        <f aca="false">H283*(1+IF(I$3&lt;=$O$2,$D283,$D283-($D283-$I$265)*MIN(I$3-$O$2,$Q$2)/$Q$2))</f>
        <v>6912.64327818125</v>
      </c>
      <c r="J283" s="15" t="n">
        <f aca="false">I283*(1+IF(J$3&lt;=$O$2,$D283,$D283-($D283-$I$265)*MIN(J$3-$O$2,$Q$2)/$Q$2))</f>
        <v>7194.51045948543</v>
      </c>
      <c r="K283" s="15" t="n">
        <f aca="false">J283*(1+IF(K$3&lt;=$O$2,$D283,$D283-($D283-$I$265)*MIN(K$3-$O$2,$Q$2)/$Q$2))</f>
        <v>7474.42512274114</v>
      </c>
      <c r="L283" s="15" t="n">
        <f aca="false">K283*(1+IF(L$3&lt;=$O$2,$D283,$D283-($D283-$I$265)*MIN(L$3-$O$2,$Q$2)/$Q$2))</f>
        <v>7751.26138774198</v>
      </c>
      <c r="M283" s="15" t="n">
        <f aca="false">L283*(1+IF(M$3&lt;=$O$2,$D283,$D283-($D283-$I$265)*MIN(M$3-$O$2,$Q$2)/$Q$2))</f>
        <v>8023.86472549677</v>
      </c>
      <c r="N283" s="15" t="n">
        <f aca="false">M283*(1+IF(N$3&lt;=$O$2,$D283,$D283-($D283-$I$265)*MIN(N$3-$O$2,$Q$2)/$Q$2))</f>
        <v>8291.05942085582</v>
      </c>
      <c r="O283" s="15" t="n">
        <f aca="false">SUMPRODUCT(E283:N283,1/(1+$F$265)^$E$3:$N$3)*$E$2</f>
        <v>18390.401802928</v>
      </c>
      <c r="P283" s="15" t="n">
        <f aca="false">N283*$E$2*(1+$I$265)/($F$265-$I$265)/(1+$F$265)^$N$3</f>
        <v>42626.9277212088</v>
      </c>
      <c r="Q283" s="15" t="n">
        <f aca="false">O283+P283</f>
        <v>61017.3295241368</v>
      </c>
      <c r="R283" s="15" t="n">
        <f aca="false">Q283-$G$2+$I$2</f>
        <v>52252.3295241368</v>
      </c>
      <c r="S283" s="40" t="n">
        <f aca="false">R283/$K$2</f>
        <v>93.4779947836001</v>
      </c>
      <c r="T283" s="41" t="n">
        <f aca="false">S283-$M$2</f>
        <v>0.00416745525197371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0.042633056640625</v>
      </c>
      <c r="C284" s="25" t="n">
        <f aca="false">IF(T283&gt;0,D283,C283)</f>
        <v>0.0426445007324219</v>
      </c>
      <c r="D284" s="39" t="n">
        <f aca="false">(B284+C284)/2</f>
        <v>0.0426387786865234</v>
      </c>
      <c r="E284" s="15" t="n">
        <f aca="false">$C$2*(1+IF(E$3&lt;=$O$2,$D284,$D284-($D284-$I$265)*MIN(E$3-$O$2,$Q$2)/$Q$2))</f>
        <v>5849.2035484314</v>
      </c>
      <c r="F284" s="15" t="n">
        <f aca="false">E284*(1+IF(F$3&lt;=$O$2,$D284,$D284-($D284-$I$265)*MIN(F$3-$O$2,$Q$2)/$Q$2))</f>
        <v>6098.60644402539</v>
      </c>
      <c r="G284" s="15" t="n">
        <f aca="false">F284*(1+IF(G$3&lt;=$O$2,$D284,$D284-($D284-$I$265)*MIN(G$3-$O$2,$Q$2)/$Q$2))</f>
        <v>6358.6435744884</v>
      </c>
      <c r="H284" s="15" t="n">
        <f aca="false">G284*(1+IF(H$3&lt;=$O$2,$D284,$D284-($D284-$I$265)*MIN(H$3-$O$2,$Q$2)/$Q$2))</f>
        <v>6629.76837060749</v>
      </c>
      <c r="I284" s="15" t="n">
        <f aca="false">H284*(1+IF(I$3&lt;=$O$2,$D284,$D284-($D284-$I$265)*MIN(I$3-$O$2,$Q$2)/$Q$2))</f>
        <v>6912.45359690474</v>
      </c>
      <c r="J284" s="15" t="n">
        <f aca="false">I284*(1+IF(J$3&lt;=$O$2,$D284,$D284-($D284-$I$265)*MIN(J$3-$O$2,$Q$2)/$Q$2))</f>
        <v>7194.28140113955</v>
      </c>
      <c r="K284" s="15" t="n">
        <f aca="false">J284*(1+IF(K$3&lt;=$O$2,$D284,$D284-($D284-$I$265)*MIN(K$3-$O$2,$Q$2)/$Q$2))</f>
        <v>7474.16245288579</v>
      </c>
      <c r="L284" s="15" t="n">
        <f aca="false">K284*(1+IF(L$3&lt;=$O$2,$D284,$D284-($D284-$I$265)*MIN(L$3-$O$2,$Q$2)/$Q$2))</f>
        <v>7750.97188217273</v>
      </c>
      <c r="M284" s="15" t="n">
        <f aca="false">L284*(1+IF(M$3&lt;=$O$2,$D284,$D284-($D284-$I$265)*MIN(M$3-$O$2,$Q$2)/$Q$2))</f>
        <v>8023.5561680517</v>
      </c>
      <c r="N284" s="15" t="n">
        <f aca="false">M284*(1+IF(N$3&lt;=$O$2,$D284,$D284-($D284-$I$265)*MIN(N$3-$O$2,$Q$2)/$Q$2))</f>
        <v>8290.74058844782</v>
      </c>
      <c r="O284" s="15" t="n">
        <f aca="false">SUMPRODUCT(E284:N284,1/(1+$F$265)^$E$3:$N$3)*$E$2</f>
        <v>18389.9346363226</v>
      </c>
      <c r="P284" s="15" t="n">
        <f aca="false">N284*$E$2*(1+$I$265)/($F$265-$I$265)/(1+$F$265)^$N$3</f>
        <v>42625.2885041533</v>
      </c>
      <c r="Q284" s="15" t="n">
        <f aca="false">O284+P284</f>
        <v>61015.2231404759</v>
      </c>
      <c r="R284" s="15" t="n">
        <f aca="false">Q284-$G$2+$I$2</f>
        <v>52250.2231404759</v>
      </c>
      <c r="S284" s="40" t="n">
        <f aca="false">R284/$K$2</f>
        <v>93.4742265205838</v>
      </c>
      <c r="T284" s="41" t="n">
        <f aca="false">S284-$M$2</f>
        <v>0.000399192235704504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0.042633056640625</v>
      </c>
      <c r="C285" s="25" t="n">
        <f aca="false">IF(T284&gt;0,D284,C284)</f>
        <v>0.0426387786865234</v>
      </c>
      <c r="D285" s="39" t="n">
        <f aca="false">(B285+C285)/2</f>
        <v>0.0426359176635742</v>
      </c>
      <c r="E285" s="15" t="n">
        <f aca="false">$C$2*(1+IF(E$3&lt;=$O$2,$D285,$D285-($D285-$I$265)*MIN(E$3-$O$2,$Q$2)/$Q$2))</f>
        <v>5849.18749809265</v>
      </c>
      <c r="F285" s="15" t="n">
        <f aca="false">E285*(1+IF(F$3&lt;=$O$2,$D285,$D285-($D285-$I$265)*MIN(F$3-$O$2,$Q$2)/$Q$2))</f>
        <v>6098.57297466014</v>
      </c>
      <c r="G285" s="15" t="n">
        <f aca="false">F285*(1+IF(G$3&lt;=$O$2,$D285,$D285-($D285-$I$265)*MIN(G$3-$O$2,$Q$2)/$Q$2))</f>
        <v>6358.59122987305</v>
      </c>
      <c r="H285" s="15" t="n">
        <f aca="false">G285*(1+IF(H$3&lt;=$O$2,$D285,$D285-($D285-$I$265)*MIN(H$3-$O$2,$Q$2)/$Q$2))</f>
        <v>6629.69560200624</v>
      </c>
      <c r="I285" s="15" t="n">
        <f aca="false">H285*(1+IF(I$3&lt;=$O$2,$D285,$D285-($D285-$I$265)*MIN(I$3-$O$2,$Q$2)/$Q$2))</f>
        <v>6912.35875782794</v>
      </c>
      <c r="J285" s="15" t="n">
        <f aca="false">I285*(1+IF(J$3&lt;=$O$2,$D285,$D285-($D285-$I$265)*MIN(J$3-$O$2,$Q$2)/$Q$2))</f>
        <v>7194.16687424294</v>
      </c>
      <c r="K285" s="15" t="n">
        <f aca="false">J285*(1+IF(K$3&lt;=$O$2,$D285,$D285-($D285-$I$265)*MIN(K$3-$O$2,$Q$2)/$Q$2))</f>
        <v>7474.0311209128</v>
      </c>
      <c r="L285" s="15" t="n">
        <f aca="false">K285*(1+IF(L$3&lt;=$O$2,$D285,$D285-($D285-$I$265)*MIN(L$3-$O$2,$Q$2)/$Q$2))</f>
        <v>7750.82713290313</v>
      </c>
      <c r="M285" s="15" t="n">
        <f aca="false">L285*(1+IF(M$3&lt;=$O$2,$D285,$D285-($D285-$I$265)*MIN(M$3-$O$2,$Q$2)/$Q$2))</f>
        <v>8023.40189321628</v>
      </c>
      <c r="N285" s="15" t="n">
        <f aca="false">M285*(1+IF(N$3&lt;=$O$2,$D285,$D285-($D285-$I$265)*MIN(N$3-$O$2,$Q$2)/$Q$2))</f>
        <v>8290.58117626038</v>
      </c>
      <c r="O285" s="15" t="n">
        <f aca="false">SUMPRODUCT(E285:N285,1/(1+$F$265)^$E$3:$N$3)*$E$2</f>
        <v>18389.7010574892</v>
      </c>
      <c r="P285" s="15" t="n">
        <f aca="false">N285*$E$2*(1+$I$265)/($F$265-$I$265)/(1+$F$265)^$N$3</f>
        <v>42624.4689162759</v>
      </c>
      <c r="Q285" s="15" t="n">
        <f aca="false">O285+P285</f>
        <v>61014.1699737651</v>
      </c>
      <c r="R285" s="15" t="n">
        <f aca="false">Q285-$G$2+$I$2</f>
        <v>52249.1699737651</v>
      </c>
      <c r="S285" s="40" t="n">
        <f aca="false">R285/$K$2</f>
        <v>93.472342434014</v>
      </c>
      <c r="T285" s="41" t="n">
        <f aca="false">S285-$M$2</f>
        <v>-0.00148489433408372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0.0426359176635742</v>
      </c>
      <c r="C286" s="25" t="n">
        <f aca="false">IF(T285&gt;0,D285,C285)</f>
        <v>0.0426387786865234</v>
      </c>
      <c r="D286" s="39" t="n">
        <f aca="false">(B286+C286)/2</f>
        <v>0.0426373481750488</v>
      </c>
      <c r="E286" s="15" t="n">
        <f aca="false">$C$2*(1+IF(E$3&lt;=$O$2,$D286,$D286-($D286-$I$265)*MIN(E$3-$O$2,$Q$2)/$Q$2))</f>
        <v>5849.19552326202</v>
      </c>
      <c r="F286" s="15" t="n">
        <f aca="false">E286*(1+IF(F$3&lt;=$O$2,$D286,$D286-($D286-$I$265)*MIN(F$3-$O$2,$Q$2)/$Q$2))</f>
        <v>6098.58970933128</v>
      </c>
      <c r="G286" s="15" t="n">
        <f aca="false">F286*(1+IF(G$3&lt;=$O$2,$D286,$D286-($D286-$I$265)*MIN(G$3-$O$2,$Q$2)/$Q$2))</f>
        <v>6358.61740214481</v>
      </c>
      <c r="H286" s="15" t="n">
        <f aca="false">G286*(1+IF(H$3&lt;=$O$2,$D286,$D286-($D286-$I$265)*MIN(H$3-$O$2,$Q$2)/$Q$2))</f>
        <v>6629.73198623199</v>
      </c>
      <c r="I286" s="15" t="n">
        <f aca="false">H286*(1+IF(I$3&lt;=$O$2,$D286,$D286-($D286-$I$265)*MIN(I$3-$O$2,$Q$2)/$Q$2))</f>
        <v>6912.40617723622</v>
      </c>
      <c r="J286" s="15" t="n">
        <f aca="false">I286*(1+IF(J$3&lt;=$O$2,$D286,$D286-($D286-$I$265)*MIN(J$3-$O$2,$Q$2)/$Q$2))</f>
        <v>7194.22413750155</v>
      </c>
      <c r="K286" s="15" t="n">
        <f aca="false">J286*(1+IF(K$3&lt;=$O$2,$D286,$D286-($D286-$I$265)*MIN(K$3-$O$2,$Q$2)/$Q$2))</f>
        <v>7474.09678665307</v>
      </c>
      <c r="L286" s="15" t="n">
        <f aca="false">K286*(1+IF(L$3&lt;=$O$2,$D286,$D286-($D286-$I$265)*MIN(L$3-$O$2,$Q$2)/$Q$2))</f>
        <v>7750.89950724501</v>
      </c>
      <c r="M286" s="15" t="n">
        <f aca="false">L286*(1+IF(M$3&lt;=$O$2,$D286,$D286-($D286-$I$265)*MIN(M$3-$O$2,$Q$2)/$Q$2))</f>
        <v>8023.47903031006</v>
      </c>
      <c r="N286" s="15" t="n">
        <f aca="false">M286*(1+IF(N$3&lt;=$O$2,$D286,$D286-($D286-$I$265)*MIN(N$3-$O$2,$Q$2)/$Q$2))</f>
        <v>8290.66088201939</v>
      </c>
      <c r="O286" s="15" t="n">
        <f aca="false">SUMPRODUCT(E286:N286,1/(1+$F$265)^$E$3:$N$3)*$E$2</f>
        <v>18389.8178465335</v>
      </c>
      <c r="P286" s="15" t="n">
        <f aca="false">N286*$E$2*(1+$I$265)/($F$265-$I$265)/(1+$F$265)^$N$3</f>
        <v>42624.8787084938</v>
      </c>
      <c r="Q286" s="15" t="n">
        <f aca="false">O286+P286</f>
        <v>61014.6965550272</v>
      </c>
      <c r="R286" s="15" t="n">
        <f aca="false">Q286-$G$2+$I$2</f>
        <v>52249.6965550272</v>
      </c>
      <c r="S286" s="40" t="n">
        <f aca="false">R286/$K$2</f>
        <v>93.4732844735541</v>
      </c>
      <c r="T286" s="41" t="n">
        <f aca="false">S286-$M$2</f>
        <v>-0.000542854794034042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0.0426373481750488</v>
      </c>
      <c r="C287" s="25" t="n">
        <f aca="false">IF(T286&gt;0,D286,C286)</f>
        <v>0.0426387786865234</v>
      </c>
      <c r="D287" s="39" t="n">
        <f aca="false">(B287+C287)/2</f>
        <v>0.0426380634307861</v>
      </c>
      <c r="E287" s="15" t="n">
        <f aca="false">$C$2*(1+IF(E$3&lt;=$O$2,$D287,$D287-($D287-$I$265)*MIN(E$3-$O$2,$Q$2)/$Q$2))</f>
        <v>5849.19953584671</v>
      </c>
      <c r="F287" s="15" t="n">
        <f aca="false">E287*(1+IF(F$3&lt;=$O$2,$D287,$D287-($D287-$I$265)*MIN(F$3-$O$2,$Q$2)/$Q$2))</f>
        <v>6098.59807667547</v>
      </c>
      <c r="G287" s="15" t="n">
        <f aca="false">F287*(1+IF(G$3&lt;=$O$2,$D287,$D287-($D287-$I$265)*MIN(G$3-$O$2,$Q$2)/$Q$2))</f>
        <v>6358.63048830763</v>
      </c>
      <c r="H287" s="15" t="n">
        <f aca="false">G287*(1+IF(H$3&lt;=$O$2,$D287,$D287-($D287-$I$265)*MIN(H$3-$O$2,$Q$2)/$Q$2))</f>
        <v>6629.75017840102</v>
      </c>
      <c r="I287" s="15" t="n">
        <f aca="false">H287*(1+IF(I$3&lt;=$O$2,$D287,$D287-($D287-$I$265)*MIN(I$3-$O$2,$Q$2)/$Q$2))</f>
        <v>6912.42988703795</v>
      </c>
      <c r="J287" s="15" t="n">
        <f aca="false">I287*(1+IF(J$3&lt;=$O$2,$D287,$D287-($D287-$I$265)*MIN(J$3-$O$2,$Q$2)/$Q$2))</f>
        <v>7194.25276927313</v>
      </c>
      <c r="K287" s="15" t="n">
        <f aca="false">J287*(1+IF(K$3&lt;=$O$2,$D287,$D287-($D287-$I$265)*MIN(K$3-$O$2,$Q$2)/$Q$2))</f>
        <v>7474.12961970787</v>
      </c>
      <c r="L287" s="15" t="n">
        <f aca="false">K287*(1+IF(L$3&lt;=$O$2,$D287,$D287-($D287-$I$265)*MIN(L$3-$O$2,$Q$2)/$Q$2))</f>
        <v>7750.93569463564</v>
      </c>
      <c r="M287" s="15" t="n">
        <f aca="false">L287*(1+IF(M$3&lt;=$O$2,$D287,$D287-($D287-$I$265)*MIN(M$3-$O$2,$Q$2)/$Q$2))</f>
        <v>8023.5175990999</v>
      </c>
      <c r="N287" s="15" t="n">
        <f aca="false">M287*(1+IF(N$3&lt;=$O$2,$D287,$D287-($D287-$I$265)*MIN(N$3-$O$2,$Q$2)/$Q$2))</f>
        <v>8290.70073514993</v>
      </c>
      <c r="O287" s="15" t="n">
        <f aca="false">SUMPRODUCT(E287:N287,1/(1+$F$265)^$E$3:$N$3)*$E$2</f>
        <v>18389.876241335</v>
      </c>
      <c r="P287" s="15" t="n">
        <f aca="false">N287*$E$2*(1+$I$265)/($F$265-$I$265)/(1+$F$265)^$N$3</f>
        <v>42625.0836058933</v>
      </c>
      <c r="Q287" s="15" t="n">
        <f aca="false">O287+P287</f>
        <v>61014.9598472283</v>
      </c>
      <c r="R287" s="15" t="n">
        <f aca="false">Q287-$G$2+$I$2</f>
        <v>52249.9598472283</v>
      </c>
      <c r="S287" s="40" t="n">
        <f aca="false">R287/$K$2</f>
        <v>93.4737554961327</v>
      </c>
      <c r="T287" s="41" t="n">
        <f aca="false">S287-$M$2</f>
        <v>-7.18322153545614E-005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0.0426380634307861</v>
      </c>
      <c r="C288" s="25" t="n">
        <f aca="false">IF(T287&gt;0,D287,C287)</f>
        <v>0.0426387786865234</v>
      </c>
      <c r="D288" s="39" t="n">
        <f aca="false">(B288+C288)/2</f>
        <v>0.0426384210586548</v>
      </c>
      <c r="E288" s="15" t="n">
        <f aca="false">$C$2*(1+IF(E$3&lt;=$O$2,$D288,$D288-($D288-$I$265)*MIN(E$3-$O$2,$Q$2)/$Q$2))</f>
        <v>5849.20154213905</v>
      </c>
      <c r="F288" s="15" t="n">
        <f aca="false">E288*(1+IF(F$3&lt;=$O$2,$D288,$D288-($D288-$I$265)*MIN(F$3-$O$2,$Q$2)/$Q$2))</f>
        <v>6098.60226034971</v>
      </c>
      <c r="G288" s="15" t="n">
        <f aca="false">F288*(1+IF(G$3&lt;=$O$2,$D288,$D288-($D288-$I$265)*MIN(G$3-$O$2,$Q$2)/$Q$2))</f>
        <v>6358.63703139577</v>
      </c>
      <c r="H288" s="15" t="n">
        <f aca="false">G288*(1+IF(H$3&lt;=$O$2,$D288,$D288-($D288-$I$265)*MIN(H$3-$O$2,$Q$2)/$Q$2))</f>
        <v>6629.75927449957</v>
      </c>
      <c r="I288" s="15" t="n">
        <f aca="false">H288*(1+IF(I$3&lt;=$O$2,$D288,$D288-($D288-$I$265)*MIN(I$3-$O$2,$Q$2)/$Q$2))</f>
        <v>6912.44174196321</v>
      </c>
      <c r="J288" s="15" t="n">
        <f aca="false">I288*(1+IF(J$3&lt;=$O$2,$D288,$D288-($D288-$I$265)*MIN(J$3-$O$2,$Q$2)/$Q$2))</f>
        <v>7194.26708519448</v>
      </c>
      <c r="K288" s="15" t="n">
        <f aca="false">J288*(1+IF(K$3&lt;=$O$2,$D288,$D288-($D288-$I$265)*MIN(K$3-$O$2,$Q$2)/$Q$2))</f>
        <v>7474.14603628144</v>
      </c>
      <c r="L288" s="15" t="n">
        <f aca="false">K288*(1+IF(L$3&lt;=$O$2,$D288,$D288-($D288-$I$265)*MIN(L$3-$O$2,$Q$2)/$Q$2))</f>
        <v>7750.95378838588</v>
      </c>
      <c r="M288" s="15" t="n">
        <f aca="false">L288*(1+IF(M$3&lt;=$O$2,$D288,$D288-($D288-$I$265)*MIN(M$3-$O$2,$Q$2)/$Q$2))</f>
        <v>8023.53688355555</v>
      </c>
      <c r="N288" s="15" t="n">
        <f aca="false">M288*(1+IF(N$3&lt;=$O$2,$D288,$D288-($D288-$I$265)*MIN(N$3-$O$2,$Q$2)/$Q$2))</f>
        <v>8290.72066177795</v>
      </c>
      <c r="O288" s="15" t="n">
        <f aca="false">SUMPRODUCT(E288:N288,1/(1+$F$265)^$E$3:$N$3)*$E$2</f>
        <v>18389.9054388055</v>
      </c>
      <c r="P288" s="15" t="n">
        <f aca="false">N288*$E$2*(1+$I$265)/($F$265-$I$265)/(1+$F$265)^$N$3</f>
        <v>42625.1860549157</v>
      </c>
      <c r="Q288" s="15" t="n">
        <f aca="false">O288+P288</f>
        <v>61015.0914937213</v>
      </c>
      <c r="R288" s="15" t="n">
        <f aca="false">Q288-$G$2+$I$2</f>
        <v>52250.0914937213</v>
      </c>
      <c r="S288" s="40" t="n">
        <f aca="false">R288/$K$2</f>
        <v>93.4739910081242</v>
      </c>
      <c r="T288" s="41" t="n">
        <f aca="false">S288-$M$2</f>
        <v>0.000163679776107983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0.0426380634307861</v>
      </c>
      <c r="C289" s="25" t="n">
        <f aca="false">IF(T288&gt;0,D288,C288)</f>
        <v>0.0426384210586548</v>
      </c>
      <c r="D289" s="39" t="n">
        <f aca="false">(B289+C289)/2</f>
        <v>0.0426382422447205</v>
      </c>
      <c r="E289" s="15" t="n">
        <f aca="false">$C$2*(1+IF(E$3&lt;=$O$2,$D289,$D289-($D289-$I$265)*MIN(E$3-$O$2,$Q$2)/$Q$2))</f>
        <v>5849.20053899288</v>
      </c>
      <c r="F289" s="15" t="n">
        <f aca="false">E289*(1+IF(F$3&lt;=$O$2,$D289,$D289-($D289-$I$265)*MIN(F$3-$O$2,$Q$2)/$Q$2))</f>
        <v>6098.60016851241</v>
      </c>
      <c r="G289" s="15" t="n">
        <f aca="false">F289*(1+IF(G$3&lt;=$O$2,$D289,$D289-($D289-$I$265)*MIN(G$3-$O$2,$Q$2)/$Q$2))</f>
        <v>6358.63375985114</v>
      </c>
      <c r="H289" s="15" t="n">
        <f aca="false">G289*(1+IF(H$3&lt;=$O$2,$D289,$D289-($D289-$I$265)*MIN(H$3-$O$2,$Q$2)/$Q$2))</f>
        <v>6629.75472644913</v>
      </c>
      <c r="I289" s="15" t="n">
        <f aca="false">H289*(1+IF(I$3&lt;=$O$2,$D289,$D289-($D289-$I$265)*MIN(I$3-$O$2,$Q$2)/$Q$2))</f>
        <v>6912.43581449854</v>
      </c>
      <c r="J289" s="15" t="n">
        <f aca="false">I289*(1+IF(J$3&lt;=$O$2,$D289,$D289-($D289-$I$265)*MIN(J$3-$O$2,$Q$2)/$Q$2))</f>
        <v>7194.25992723084</v>
      </c>
      <c r="K289" s="15" t="n">
        <f aca="false">J289*(1+IF(K$3&lt;=$O$2,$D289,$D289-($D289-$I$265)*MIN(K$3-$O$2,$Q$2)/$Q$2))</f>
        <v>7474.13782799081</v>
      </c>
      <c r="L289" s="15" t="n">
        <f aca="false">K289*(1+IF(L$3&lt;=$O$2,$D289,$D289-($D289-$I$265)*MIN(L$3-$O$2,$Q$2)/$Q$2))</f>
        <v>7750.94474150619</v>
      </c>
      <c r="M289" s="15" t="n">
        <f aca="false">L289*(1+IF(M$3&lt;=$O$2,$D289,$D289-($D289-$I$265)*MIN(M$3-$O$2,$Q$2)/$Q$2))</f>
        <v>8023.52724132267</v>
      </c>
      <c r="N289" s="15" t="n">
        <f aca="false">M289*(1+IF(N$3&lt;=$O$2,$D289,$D289-($D289-$I$265)*MIN(N$3-$O$2,$Q$2)/$Q$2))</f>
        <v>8290.71069845871</v>
      </c>
      <c r="O289" s="15" t="n">
        <f aca="false">SUMPRODUCT(E289:N289,1/(1+$F$265)^$E$3:$N$3)*$E$2</f>
        <v>18389.8908400644</v>
      </c>
      <c r="P289" s="15" t="n">
        <f aca="false">N289*$E$2*(1+$I$265)/($F$265-$I$265)/(1+$F$265)^$N$3</f>
        <v>42625.1348303777</v>
      </c>
      <c r="Q289" s="15" t="n">
        <f aca="false">O289+P289</f>
        <v>61015.0256704421</v>
      </c>
      <c r="R289" s="15" t="n">
        <f aca="false">Q289-$G$2+$I$2</f>
        <v>52250.0256704421</v>
      </c>
      <c r="S289" s="40" t="n">
        <f aca="false">R289/$K$2</f>
        <v>93.47387325207</v>
      </c>
      <c r="T289" s="41" t="n">
        <f aca="false">S289-$M$2</f>
        <v>4.59237218706221E-005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0.0426380634307861</v>
      </c>
      <c r="C290" s="25" t="n">
        <f aca="false">IF(T289&gt;0,D289,C289)</f>
        <v>0.0426382422447205</v>
      </c>
      <c r="D290" s="39" t="n">
        <f aca="false">(B290+C290)/2</f>
        <v>0.0426381528377533</v>
      </c>
      <c r="E290" s="15" t="n">
        <f aca="false">$C$2*(1+IF(E$3&lt;=$O$2,$D290,$D290-($D290-$I$265)*MIN(E$3-$O$2,$Q$2)/$Q$2))</f>
        <v>5849.2000374198</v>
      </c>
      <c r="F290" s="15" t="n">
        <f aca="false">E290*(1+IF(F$3&lt;=$O$2,$D290,$D290-($D290-$I$265)*MIN(F$3-$O$2,$Q$2)/$Q$2))</f>
        <v>6098.59912259389</v>
      </c>
      <c r="G290" s="15" t="n">
        <f aca="false">F290*(1+IF(G$3&lt;=$O$2,$D290,$D290-($D290-$I$265)*MIN(G$3-$O$2,$Q$2)/$Q$2))</f>
        <v>6358.63212407924</v>
      </c>
      <c r="H290" s="15" t="n">
        <f aca="false">G290*(1+IF(H$3&lt;=$O$2,$D290,$D290-($D290-$I$265)*MIN(H$3-$O$2,$Q$2)/$Q$2))</f>
        <v>6629.75245242478</v>
      </c>
      <c r="I290" s="15" t="n">
        <f aca="false">H290*(1+IF(I$3&lt;=$O$2,$D290,$D290-($D290-$I$265)*MIN(I$3-$O$2,$Q$2)/$Q$2))</f>
        <v>6912.43285076774</v>
      </c>
      <c r="J290" s="15" t="n">
        <f aca="false">I290*(1+IF(J$3&lt;=$O$2,$D290,$D290-($D290-$I$265)*MIN(J$3-$O$2,$Q$2)/$Q$2))</f>
        <v>7194.25634825124</v>
      </c>
      <c r="K290" s="15" t="n">
        <f aca="false">J290*(1+IF(K$3&lt;=$O$2,$D290,$D290-($D290-$I$265)*MIN(K$3-$O$2,$Q$2)/$Q$2))</f>
        <v>7474.13372384838</v>
      </c>
      <c r="L290" s="15" t="n">
        <f aca="false">K290*(1+IF(L$3&lt;=$O$2,$D290,$D290-($D290-$I$265)*MIN(L$3-$O$2,$Q$2)/$Q$2))</f>
        <v>7750.94021806977</v>
      </c>
      <c r="M290" s="15" t="n">
        <f aca="false">L290*(1+IF(M$3&lt;=$O$2,$D290,$D290-($D290-$I$265)*MIN(M$3-$O$2,$Q$2)/$Q$2))</f>
        <v>8023.52242021001</v>
      </c>
      <c r="N290" s="15" t="n">
        <f aca="false">M290*(1+IF(N$3&lt;=$O$2,$D290,$D290-($D290-$I$265)*MIN(N$3-$O$2,$Q$2)/$Q$2))</f>
        <v>8290.70571680301</v>
      </c>
      <c r="O290" s="15" t="n">
        <f aca="false">SUMPRODUCT(E290:N290,1/(1+$F$265)^$E$3:$N$3)*$E$2</f>
        <v>18389.8835406982</v>
      </c>
      <c r="P290" s="15" t="n">
        <f aca="false">N290*$E$2*(1+$I$265)/($F$265-$I$265)/(1+$F$265)^$N$3</f>
        <v>42625.1092181287</v>
      </c>
      <c r="Q290" s="15" t="n">
        <f aca="false">O290+P290</f>
        <v>61014.992758827</v>
      </c>
      <c r="R290" s="15" t="n">
        <f aca="false">Q290-$G$2+$I$2</f>
        <v>52249.992758827</v>
      </c>
      <c r="S290" s="40" t="n">
        <f aca="false">R290/$K$2</f>
        <v>93.4738143740867</v>
      </c>
      <c r="T290" s="41" t="n">
        <f aca="false">S290-$M$2</f>
        <v>-1.29542614217826E-005</v>
      </c>
    </row>
    <row r="292" customFormat="false" ht="15" hidden="false" customHeight="false" outlineLevel="0" collapsed="false">
      <c r="A292" s="36" t="s">
        <v>196</v>
      </c>
      <c r="E292" s="5" t="s">
        <v>11</v>
      </c>
      <c r="F292" s="12" t="n">
        <f aca="false">Sensitivity!$B$11</f>
        <v>0.071736031552909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6" t="s">
        <v>167</v>
      </c>
      <c r="B293" s="28" t="s">
        <v>168</v>
      </c>
      <c r="C293" s="28" t="s">
        <v>169</v>
      </c>
      <c r="D293" s="28" t="s">
        <v>170</v>
      </c>
      <c r="E293" s="28" t="s">
        <v>171</v>
      </c>
      <c r="F293" s="28" t="s">
        <v>172</v>
      </c>
      <c r="G293" s="28" t="s">
        <v>173</v>
      </c>
      <c r="H293" s="28" t="s">
        <v>174</v>
      </c>
      <c r="I293" s="28" t="s">
        <v>175</v>
      </c>
      <c r="J293" s="28" t="s">
        <v>176</v>
      </c>
      <c r="K293" s="28" t="s">
        <v>177</v>
      </c>
      <c r="L293" s="28" t="s">
        <v>178</v>
      </c>
      <c r="M293" s="28" t="s">
        <v>179</v>
      </c>
      <c r="N293" s="28" t="s">
        <v>180</v>
      </c>
      <c r="O293" s="28" t="s">
        <v>181</v>
      </c>
      <c r="P293" s="28" t="s">
        <v>182</v>
      </c>
      <c r="Q293" s="28" t="s">
        <v>183</v>
      </c>
      <c r="R293" s="28" t="s">
        <v>184</v>
      </c>
      <c r="S293" s="28" t="s">
        <v>185</v>
      </c>
      <c r="T293" s="28" t="s">
        <v>186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39" t="n">
        <f aca="false">(B294+C294)/2</f>
        <v>0.25</v>
      </c>
      <c r="E294" s="15" t="n">
        <f aca="false">$C$2*(1+IF(E$3&lt;=$O$2,$D294,$D294-($D294-$I$292)*MIN(E$3-$O$2,$Q$2)/$Q$2))</f>
        <v>7012.5</v>
      </c>
      <c r="F294" s="15" t="n">
        <f aca="false">E294*(1+IF(F$3&lt;=$O$2,$D294,$D294-($D294-$I$292)*MIN(F$3-$O$2,$Q$2)/$Q$2))</f>
        <v>8765.625</v>
      </c>
      <c r="G294" s="15" t="n">
        <f aca="false">F294*(1+IF(G$3&lt;=$O$2,$D294,$D294-($D294-$I$292)*MIN(G$3-$O$2,$Q$2)/$Q$2))</f>
        <v>10957.03125</v>
      </c>
      <c r="H294" s="15" t="n">
        <f aca="false">G294*(1+IF(H$3&lt;=$O$2,$D294,$D294-($D294-$I$292)*MIN(H$3-$O$2,$Q$2)/$Q$2))</f>
        <v>13696.2890625</v>
      </c>
      <c r="I294" s="15" t="n">
        <f aca="false">H294*(1+IF(I$3&lt;=$O$2,$D294,$D294-($D294-$I$292)*MIN(I$3-$O$2,$Q$2)/$Q$2))</f>
        <v>17120.361328125</v>
      </c>
      <c r="J294" s="15" t="n">
        <f aca="false">I294*(1+IF(J$3&lt;=$O$2,$D294,$D294-($D294-$I$292)*MIN(J$3-$O$2,$Q$2)/$Q$2))</f>
        <v>20675.5755615234</v>
      </c>
      <c r="K294" s="15" t="n">
        <f aca="false">J294*(1+IF(K$3&lt;=$O$2,$D294,$D294-($D294-$I$292)*MIN(K$3-$O$2,$Q$2)/$Q$2))</f>
        <v>24093.6617133545</v>
      </c>
      <c r="L294" s="15" t="n">
        <f aca="false">K294*(1+IF(L$3&lt;=$O$2,$D294,$D294-($D294-$I$292)*MIN(L$3-$O$2,$Q$2)/$Q$2))</f>
        <v>27056.7002308628</v>
      </c>
      <c r="M294" s="15" t="n">
        <f aca="false">L294*(1+IF(M$3&lt;=$O$2,$D294,$D294-($D294-$I$292)*MIN(M$3-$O$2,$Q$2)/$Q$2))</f>
        <v>29238.5525374796</v>
      </c>
      <c r="N294" s="15" t="n">
        <f aca="false">M294*(1+IF(N$3&lt;=$O$2,$D294,$D294-($D294-$I$292)*MIN(N$3-$O$2,$Q$2)/$Q$2))</f>
        <v>30358.3890996651</v>
      </c>
      <c r="O294" s="15" t="n">
        <f aca="false">SUMPRODUCT(E294:N294,1/(1+$F$292)^$E$3:$N$3)*$E$2</f>
        <v>46052.7653222848</v>
      </c>
      <c r="P294" s="15" t="n">
        <f aca="false">N294*$E$2*(1+$I$292)/($F$292-$I$292)/(1+$F$292)^$N$3</f>
        <v>180290.551545386</v>
      </c>
      <c r="Q294" s="15" t="n">
        <f aca="false">O294+P294</f>
        <v>226343.31686767</v>
      </c>
      <c r="R294" s="15" t="n">
        <f aca="false">Q294-$G$2+$I$2</f>
        <v>217578.31686767</v>
      </c>
      <c r="S294" s="40" t="n">
        <f aca="false">R294/$K$2</f>
        <v>389.241684617823</v>
      </c>
      <c r="T294" s="41" t="n">
        <f aca="false">S294-$M$2</f>
        <v>295.767857289474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39" t="n">
        <f aca="false">(B295+C295)/2</f>
        <v>-0.125</v>
      </c>
      <c r="E295" s="15" t="n">
        <f aca="false">$C$2*(1+IF(E$3&lt;=$O$2,$D295,$D295-($D295-$I$292)*MIN(E$3-$O$2,$Q$2)/$Q$2))</f>
        <v>4908.75</v>
      </c>
      <c r="F295" s="15" t="n">
        <f aca="false">E295*(1+IF(F$3&lt;=$O$2,$D295,$D295-($D295-$I$292)*MIN(F$3-$O$2,$Q$2)/$Q$2))</f>
        <v>4295.15625</v>
      </c>
      <c r="G295" s="15" t="n">
        <f aca="false">F295*(1+IF(G$3&lt;=$O$2,$D295,$D295-($D295-$I$292)*MIN(G$3-$O$2,$Q$2)/$Q$2))</f>
        <v>3758.26171875</v>
      </c>
      <c r="H295" s="15" t="n">
        <f aca="false">G295*(1+IF(H$3&lt;=$O$2,$D295,$D295-($D295-$I$292)*MIN(H$3-$O$2,$Q$2)/$Q$2))</f>
        <v>3288.47900390625</v>
      </c>
      <c r="I295" s="15" t="n">
        <f aca="false">H295*(1+IF(I$3&lt;=$O$2,$D295,$D295-($D295-$I$292)*MIN(I$3-$O$2,$Q$2)/$Q$2))</f>
        <v>2877.41912841797</v>
      </c>
      <c r="J295" s="15" t="n">
        <f aca="false">I295*(1+IF(J$3&lt;=$O$2,$D295,$D295-($D295-$I$292)*MIN(J$3-$O$2,$Q$2)/$Q$2))</f>
        <v>2611.71824609985</v>
      </c>
      <c r="K295" s="15" t="n">
        <f aca="false">J295*(1+IF(K$3&lt;=$O$2,$D295,$D295-($D295-$I$292)*MIN(K$3-$O$2,$Q$2)/$Q$2))</f>
        <v>2455.85090117261</v>
      </c>
      <c r="L295" s="15" t="n">
        <f aca="false">K295*(1+IF(L$3&lt;=$O$2,$D295,$D295-($D295-$I$292)*MIN(L$3-$O$2,$Q$2)/$Q$2))</f>
        <v>2389.49380982293</v>
      </c>
      <c r="M295" s="15" t="n">
        <f aca="false">L295*(1+IF(M$3&lt;=$O$2,$D295,$D295-($D295-$I$292)*MIN(M$3-$O$2,$Q$2)/$Q$2))</f>
        <v>2402.97055491033</v>
      </c>
      <c r="N295" s="15" t="n">
        <f aca="false">M295*(1+IF(N$3&lt;=$O$2,$D295,$D295-($D295-$I$292)*MIN(N$3-$O$2,$Q$2)/$Q$2))</f>
        <v>2495.0043271634</v>
      </c>
      <c r="O295" s="15" t="n">
        <f aca="false">SUMPRODUCT(E295:N295,1/(1+$F$292)^$E$3:$N$3)*$E$2</f>
        <v>8811.15050334236</v>
      </c>
      <c r="P295" s="15" t="n">
        <f aca="false">N295*$E$2*(1+$I$292)/($F$292-$I$292)/(1+$F$292)^$N$3</f>
        <v>14817.1796855116</v>
      </c>
      <c r="Q295" s="15" t="n">
        <f aca="false">O295+P295</f>
        <v>23628.3301888539</v>
      </c>
      <c r="R295" s="15" t="n">
        <f aca="false">Q295-$G$2+$I$2</f>
        <v>14863.3301888539</v>
      </c>
      <c r="S295" s="40" t="n">
        <f aca="false">R295/$K$2</f>
        <v>26.5900930066441</v>
      </c>
      <c r="T295" s="41" t="n">
        <f aca="false">S295-$M$2</f>
        <v>-66.883734321704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39" t="n">
        <f aca="false">(B296+C296)/2</f>
        <v>0.0625</v>
      </c>
      <c r="E296" s="15" t="n">
        <f aca="false">$C$2*(1+IF(E$3&lt;=$O$2,$D296,$D296-($D296-$I$292)*MIN(E$3-$O$2,$Q$2)/$Q$2))</f>
        <v>5960.625</v>
      </c>
      <c r="F296" s="15" t="n">
        <f aca="false">E296*(1+IF(F$3&lt;=$O$2,$D296,$D296-($D296-$I$292)*MIN(F$3-$O$2,$Q$2)/$Q$2))</f>
        <v>6333.1640625</v>
      </c>
      <c r="G296" s="15" t="n">
        <f aca="false">F296*(1+IF(G$3&lt;=$O$2,$D296,$D296-($D296-$I$292)*MIN(G$3-$O$2,$Q$2)/$Q$2))</f>
        <v>6728.98681640625</v>
      </c>
      <c r="H296" s="15" t="n">
        <f aca="false">G296*(1+IF(H$3&lt;=$O$2,$D296,$D296-($D296-$I$292)*MIN(H$3-$O$2,$Q$2)/$Q$2))</f>
        <v>7149.54849243164</v>
      </c>
      <c r="I296" s="15" t="n">
        <f aca="false">H296*(1+IF(I$3&lt;=$O$2,$D296,$D296-($D296-$I$292)*MIN(I$3-$O$2,$Q$2)/$Q$2))</f>
        <v>7596.39527320862</v>
      </c>
      <c r="J296" s="15" t="n">
        <f aca="false">I296*(1+IF(J$3&lt;=$O$2,$D296,$D296-($D296-$I$292)*MIN(J$3-$O$2,$Q$2)/$Q$2))</f>
        <v>8034.40342466183</v>
      </c>
      <c r="K296" s="15" t="n">
        <f aca="false">J296*(1+IF(K$3&lt;=$O$2,$D296,$D296-($D296-$I$292)*MIN(K$3-$O$2,$Q$2)/$Q$2))</f>
        <v>8458.78061355247</v>
      </c>
      <c r="L296" s="15" t="n">
        <f aca="false">K296*(1+IF(L$3&lt;=$O$2,$D296,$D296-($D296-$I$292)*MIN(L$3-$O$2,$Q$2)/$Q$2))</f>
        <v>8864.63290739071</v>
      </c>
      <c r="M296" s="15" t="n">
        <f aca="false">L296*(1+IF(M$3&lt;=$O$2,$D296,$D296-($D296-$I$292)*MIN(M$3-$O$2,$Q$2)/$Q$2))</f>
        <v>9247.05317101555</v>
      </c>
      <c r="N296" s="15" t="n">
        <f aca="false">M296*(1+IF(N$3&lt;=$O$2,$D296,$D296-($D296-$I$292)*MIN(N$3-$O$2,$Q$2)/$Q$2))</f>
        <v>9601.21530746544</v>
      </c>
      <c r="O296" s="15" t="n">
        <f aca="false">SUMPRODUCT(E296:N296,1/(1+$F$292)^$E$3:$N$3)*$E$2</f>
        <v>20148.1745720644</v>
      </c>
      <c r="P296" s="15" t="n">
        <f aca="false">N296*$E$2*(1+$I$292)/($F$292-$I$292)/(1+$F$292)^$N$3</f>
        <v>57019.1124965864</v>
      </c>
      <c r="Q296" s="15" t="n">
        <f aca="false">O296+P296</f>
        <v>77167.2870686508</v>
      </c>
      <c r="R296" s="15" t="n">
        <f aca="false">Q296-$G$2+$I$2</f>
        <v>68402.2870686508</v>
      </c>
      <c r="S296" s="40" t="n">
        <f aca="false">R296/$K$2</f>
        <v>122.369829097017</v>
      </c>
      <c r="T296" s="41" t="n">
        <f aca="false">S296-$M$2</f>
        <v>28.8960017686693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39" t="n">
        <f aca="false">(B297+C297)/2</f>
        <v>-0.03125</v>
      </c>
      <c r="E297" s="15" t="n">
        <f aca="false">$C$2*(1+IF(E$3&lt;=$O$2,$D297,$D297-($D297-$I$292)*MIN(E$3-$O$2,$Q$2)/$Q$2))</f>
        <v>5434.6875</v>
      </c>
      <c r="F297" s="15" t="n">
        <f aca="false">E297*(1+IF(F$3&lt;=$O$2,$D297,$D297-($D297-$I$292)*MIN(F$3-$O$2,$Q$2)/$Q$2))</f>
        <v>5264.853515625</v>
      </c>
      <c r="G297" s="15" t="n">
        <f aca="false">F297*(1+IF(G$3&lt;=$O$2,$D297,$D297-($D297-$I$292)*MIN(G$3-$O$2,$Q$2)/$Q$2))</f>
        <v>5100.32684326172</v>
      </c>
      <c r="H297" s="15" t="n">
        <f aca="false">G297*(1+IF(H$3&lt;=$O$2,$D297,$D297-($D297-$I$292)*MIN(H$3-$O$2,$Q$2)/$Q$2))</f>
        <v>4940.94162940979</v>
      </c>
      <c r="I297" s="15" t="n">
        <f aca="false">H297*(1+IF(I$3&lt;=$O$2,$D297,$D297-($D297-$I$292)*MIN(I$3-$O$2,$Q$2)/$Q$2))</f>
        <v>4786.53720349073</v>
      </c>
      <c r="J297" s="15" t="n">
        <f aca="false">I297*(1+IF(J$3&lt;=$O$2,$D297,$D297-($D297-$I$292)*MIN(J$3-$O$2,$Q$2)/$Q$2))</f>
        <v>4703.53864838221</v>
      </c>
      <c r="K297" s="15" t="n">
        <f aca="false">J297*(1+IF(K$3&lt;=$O$2,$D297,$D297-($D297-$I$292)*MIN(K$3-$O$2,$Q$2)/$Q$2))</f>
        <v>4687.40551081825</v>
      </c>
      <c r="L297" s="15" t="n">
        <f aca="false">K297*(1+IF(L$3&lt;=$O$2,$D297,$D297-($D297-$I$292)*MIN(L$3-$O$2,$Q$2)/$Q$2))</f>
        <v>4736.52952057163</v>
      </c>
      <c r="M297" s="15" t="n">
        <f aca="false">L297*(1+IF(M$3&lt;=$O$2,$D297,$D297-($D297-$I$292)*MIN(M$3-$O$2,$Q$2)/$Q$2))</f>
        <v>4852.05347557837</v>
      </c>
      <c r="N297" s="15" t="n">
        <f aca="false">M297*(1+IF(N$3&lt;=$O$2,$D297,$D297-($D297-$I$292)*MIN(N$3-$O$2,$Q$2)/$Q$2))</f>
        <v>5037.88712369302</v>
      </c>
      <c r="O297" s="15" t="n">
        <f aca="false">SUMPRODUCT(E297:N297,1/(1+$F$292)^$E$3:$N$3)*$E$2</f>
        <v>13290.5627139312</v>
      </c>
      <c r="P297" s="15" t="n">
        <f aca="false">N297*$E$2*(1+$I$292)/($F$292-$I$292)/(1+$F$292)^$N$3</f>
        <v>29918.697107813</v>
      </c>
      <c r="Q297" s="15" t="n">
        <f aca="false">O297+P297</f>
        <v>43209.2598217442</v>
      </c>
      <c r="R297" s="15" t="n">
        <f aca="false">Q297-$G$2+$I$2</f>
        <v>34444.2598217442</v>
      </c>
      <c r="S297" s="40" t="n">
        <f aca="false">R297/$K$2</f>
        <v>61.6198429670904</v>
      </c>
      <c r="T297" s="41" t="n">
        <f aca="false">S297-$M$2</f>
        <v>-31.8539843612576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-0.03125</v>
      </c>
      <c r="C298" s="25" t="n">
        <f aca="false">IF(T297&gt;0,D297,C297)</f>
        <v>0.0625</v>
      </c>
      <c r="D298" s="39" t="n">
        <f aca="false">(B298+C298)/2</f>
        <v>0.015625</v>
      </c>
      <c r="E298" s="15" t="n">
        <f aca="false">$C$2*(1+IF(E$3&lt;=$O$2,$D298,$D298-($D298-$I$292)*MIN(E$3-$O$2,$Q$2)/$Q$2))</f>
        <v>5697.65625</v>
      </c>
      <c r="F298" s="15" t="n">
        <f aca="false">E298*(1+IF(F$3&lt;=$O$2,$D298,$D298-($D298-$I$292)*MIN(F$3-$O$2,$Q$2)/$Q$2))</f>
        <v>5786.68212890625</v>
      </c>
      <c r="G298" s="15" t="n">
        <f aca="false">F298*(1+IF(G$3&lt;=$O$2,$D298,$D298-($D298-$I$292)*MIN(G$3-$O$2,$Q$2)/$Q$2))</f>
        <v>5877.09903717041</v>
      </c>
      <c r="H298" s="15" t="n">
        <f aca="false">G298*(1+IF(H$3&lt;=$O$2,$D298,$D298-($D298-$I$292)*MIN(H$3-$O$2,$Q$2)/$Q$2))</f>
        <v>5968.9287096262</v>
      </c>
      <c r="I298" s="15" t="n">
        <f aca="false">H298*(1+IF(I$3&lt;=$O$2,$D298,$D298-($D298-$I$292)*MIN(I$3-$O$2,$Q$2)/$Q$2))</f>
        <v>6062.19322071411</v>
      </c>
      <c r="J298" s="15" t="n">
        <f aca="false">I298*(1+IF(J$3&lt;=$O$2,$D298,$D298-($D298-$I$292)*MIN(J$3-$O$2,$Q$2)/$Q$2))</f>
        <v>6184.4070360437</v>
      </c>
      <c r="K298" s="15" t="n">
        <f aca="false">J298*(1+IF(K$3&lt;=$O$2,$D298,$D298-($D298-$I$292)*MIN(K$3-$O$2,$Q$2)/$Q$2))</f>
        <v>6337.1309677988</v>
      </c>
      <c r="L298" s="15" t="n">
        <f aca="false">K298*(1+IF(L$3&lt;=$O$2,$D298,$D298-($D298-$I$292)*MIN(L$3-$O$2,$Q$2)/$Q$2))</f>
        <v>6522.36530598756</v>
      </c>
      <c r="M298" s="15" t="n">
        <f aca="false">L298*(1+IF(M$3&lt;=$O$2,$D298,$D298-($D298-$I$292)*MIN(M$3-$O$2,$Q$2)/$Q$2))</f>
        <v>6742.59297054423</v>
      </c>
      <c r="N298" s="15" t="n">
        <f aca="false">M298*(1+IF(N$3&lt;=$O$2,$D298,$D298-($D298-$I$292)*MIN(N$3-$O$2,$Q$2)/$Q$2))</f>
        <v>7000.83428131608</v>
      </c>
      <c r="O298" s="15" t="n">
        <f aca="false">SUMPRODUCT(E298:N298,1/(1+$F$292)^$E$3:$N$3)*$E$2</f>
        <v>16359.4249064263</v>
      </c>
      <c r="P298" s="15" t="n">
        <f aca="false">N298*$E$2*(1+$I$292)/($F$292-$I$292)/(1+$F$292)^$N$3</f>
        <v>41576.1280914027</v>
      </c>
      <c r="Q298" s="15" t="n">
        <f aca="false">O298+P298</f>
        <v>57935.552997829</v>
      </c>
      <c r="R298" s="15" t="n">
        <f aca="false">Q298-$G$2+$I$2</f>
        <v>49170.552997829</v>
      </c>
      <c r="S298" s="40" t="n">
        <f aca="false">R298/$K$2</f>
        <v>87.9647804891571</v>
      </c>
      <c r="T298" s="41" t="n">
        <f aca="false">S298-$M$2</f>
        <v>-5.50904683919103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0.015625</v>
      </c>
      <c r="C299" s="25" t="n">
        <f aca="false">IF(T298&gt;0,D298,C298)</f>
        <v>0.0625</v>
      </c>
      <c r="D299" s="39" t="n">
        <f aca="false">(B299+C299)/2</f>
        <v>0.0390625</v>
      </c>
      <c r="E299" s="15" t="n">
        <f aca="false">$C$2*(1+IF(E$3&lt;=$O$2,$D299,$D299-($D299-$I$292)*MIN(E$3-$O$2,$Q$2)/$Q$2))</f>
        <v>5829.140625</v>
      </c>
      <c r="F299" s="15" t="n">
        <f aca="false">E299*(1+IF(F$3&lt;=$O$2,$D299,$D299-($D299-$I$292)*MIN(F$3-$O$2,$Q$2)/$Q$2))</f>
        <v>6056.84143066406</v>
      </c>
      <c r="G299" s="15" t="n">
        <f aca="false">F299*(1+IF(G$3&lt;=$O$2,$D299,$D299-($D299-$I$292)*MIN(G$3-$O$2,$Q$2)/$Q$2))</f>
        <v>6293.43679904938</v>
      </c>
      <c r="H299" s="15" t="n">
        <f aca="false">G299*(1+IF(H$3&lt;=$O$2,$D299,$D299-($D299-$I$292)*MIN(H$3-$O$2,$Q$2)/$Q$2))</f>
        <v>6539.27417401224</v>
      </c>
      <c r="I299" s="15" t="n">
        <f aca="false">H299*(1+IF(I$3&lt;=$O$2,$D299,$D299-($D299-$I$292)*MIN(I$3-$O$2,$Q$2)/$Q$2))</f>
        <v>6794.7145714346</v>
      </c>
      <c r="J299" s="15" t="n">
        <f aca="false">I299*(1+IF(J$3&lt;=$O$2,$D299,$D299-($D299-$I$292)*MIN(J$3-$O$2,$Q$2)/$Q$2))</f>
        <v>7059.09691540912</v>
      </c>
      <c r="K299" s="15" t="n">
        <f aca="false">J299*(1+IF(K$3&lt;=$O$2,$D299,$D299-($D299-$I$292)*MIN(K$3-$O$2,$Q$2)/$Q$2))</f>
        <v>7332.68986410809</v>
      </c>
      <c r="L299" s="15" t="n">
        <f aca="false">K299*(1+IF(L$3&lt;=$O$2,$D299,$D299-($D299-$I$292)*MIN(L$3-$O$2,$Q$2)/$Q$2))</f>
        <v>7615.76835631198</v>
      </c>
      <c r="M299" s="15" t="n">
        <f aca="false">L299*(1+IF(M$3&lt;=$O$2,$D299,$D299-($D299-$I$292)*MIN(M$3-$O$2,$Q$2)/$Q$2))</f>
        <v>7908.61368903307</v>
      </c>
      <c r="N299" s="15" t="n">
        <f aca="false">M299*(1+IF(N$3&lt;=$O$2,$D299,$D299-($D299-$I$292)*MIN(N$3-$O$2,$Q$2)/$Q$2))</f>
        <v>8211.51359332303</v>
      </c>
      <c r="O299" s="15" t="n">
        <f aca="false">SUMPRODUCT(E299:N299,1/(1+$F$292)^$E$3:$N$3)*$E$2</f>
        <v>18154.7322708366</v>
      </c>
      <c r="P299" s="15" t="n">
        <f aca="false">N299*$E$2*(1+$I$292)/($F$292-$I$292)/(1+$F$292)^$N$3</f>
        <v>48766.0366267252</v>
      </c>
      <c r="Q299" s="15" t="n">
        <f aca="false">O299+P299</f>
        <v>66920.7688975617</v>
      </c>
      <c r="R299" s="15" t="n">
        <f aca="false">Q299-$G$2+$I$2</f>
        <v>58155.7688975617</v>
      </c>
      <c r="S299" s="40" t="n">
        <f aca="false">R299/$K$2</f>
        <v>104.039087082833</v>
      </c>
      <c r="T299" s="41" t="n">
        <f aca="false">S299-$M$2</f>
        <v>10.5652597544845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0.015625</v>
      </c>
      <c r="C300" s="25" t="n">
        <f aca="false">IF(T299&gt;0,D299,C299)</f>
        <v>0.0390625</v>
      </c>
      <c r="D300" s="39" t="n">
        <f aca="false">(B300+C300)/2</f>
        <v>0.02734375</v>
      </c>
      <c r="E300" s="15" t="n">
        <f aca="false">$C$2*(1+IF(E$3&lt;=$O$2,$D300,$D300-($D300-$I$292)*MIN(E$3-$O$2,$Q$2)/$Q$2))</f>
        <v>5763.3984375</v>
      </c>
      <c r="F300" s="15" t="n">
        <f aca="false">E300*(1+IF(F$3&lt;=$O$2,$D300,$D300-($D300-$I$292)*MIN(F$3-$O$2,$Q$2)/$Q$2))</f>
        <v>5920.99136352539</v>
      </c>
      <c r="G300" s="15" t="n">
        <f aca="false">F300*(1+IF(G$3&lt;=$O$2,$D300,$D300-($D300-$I$292)*MIN(G$3-$O$2,$Q$2)/$Q$2))</f>
        <v>6082.89347112179</v>
      </c>
      <c r="H300" s="15" t="n">
        <f aca="false">G300*(1+IF(H$3&lt;=$O$2,$D300,$D300-($D300-$I$292)*MIN(H$3-$O$2,$Q$2)/$Q$2))</f>
        <v>6249.22258947277</v>
      </c>
      <c r="I300" s="15" t="n">
        <f aca="false">H300*(1+IF(I$3&lt;=$O$2,$D300,$D300-($D300-$I$292)*MIN(I$3-$O$2,$Q$2)/$Q$2))</f>
        <v>6420.09976965367</v>
      </c>
      <c r="J300" s="15" t="n">
        <f aca="false">I300*(1+IF(J$3&lt;=$O$2,$D300,$D300-($D300-$I$292)*MIN(J$3-$O$2,$Q$2)/$Q$2))</f>
        <v>6609.71741635039</v>
      </c>
      <c r="K300" s="15" t="n">
        <f aca="false">J300*(1+IF(K$3&lt;=$O$2,$D300,$D300-($D300-$I$292)*MIN(K$3-$O$2,$Q$2)/$Q$2))</f>
        <v>6819.41896353088</v>
      </c>
      <c r="L300" s="15" t="n">
        <f aca="false">K300*(1+IF(L$3&lt;=$O$2,$D300,$D300-($D300-$I$292)*MIN(L$3-$O$2,$Q$2)/$Q$2))</f>
        <v>7050.71660622644</v>
      </c>
      <c r="M300" s="15" t="n">
        <f aca="false">L300*(1+IF(M$3&lt;=$O$2,$D300,$D300-($D300-$I$292)*MIN(M$3-$O$2,$Q$2)/$Q$2))</f>
        <v>7305.30916948152</v>
      </c>
      <c r="N300" s="15" t="n">
        <f aca="false">M300*(1+IF(N$3&lt;=$O$2,$D300,$D300-($D300-$I$292)*MIN(N$3-$O$2,$Q$2)/$Q$2))</f>
        <v>7585.10251067266</v>
      </c>
      <c r="O300" s="15" t="n">
        <f aca="false">SUMPRODUCT(E300:N300,1/(1+$F$292)^$E$3:$N$3)*$E$2</f>
        <v>17233.5079106549</v>
      </c>
      <c r="P300" s="15" t="n">
        <f aca="false">N300*$E$2*(1+$I$292)/($F$292-$I$292)/(1+$F$292)^$N$3</f>
        <v>45045.9446543081</v>
      </c>
      <c r="Q300" s="15" t="n">
        <f aca="false">O300+P300</f>
        <v>62279.452564963</v>
      </c>
      <c r="R300" s="15" t="n">
        <f aca="false">Q300-$G$2+$I$2</f>
        <v>53514.452564963</v>
      </c>
      <c r="S300" s="40" t="n">
        <f aca="false">R300/$K$2</f>
        <v>95.735898538343</v>
      </c>
      <c r="T300" s="41" t="n">
        <f aca="false">S300-$M$2</f>
        <v>2.26207120999489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0.015625</v>
      </c>
      <c r="C301" s="25" t="n">
        <f aca="false">IF(T300&gt;0,D300,C300)</f>
        <v>0.02734375</v>
      </c>
      <c r="D301" s="39" t="n">
        <f aca="false">(B301+C301)/2</f>
        <v>0.021484375</v>
      </c>
      <c r="E301" s="15" t="n">
        <f aca="false">$C$2*(1+IF(E$3&lt;=$O$2,$D301,$D301-($D301-$I$292)*MIN(E$3-$O$2,$Q$2)/$Q$2))</f>
        <v>5730.52734375</v>
      </c>
      <c r="F301" s="15" t="n">
        <f aca="false">E301*(1+IF(F$3&lt;=$O$2,$D301,$D301-($D301-$I$292)*MIN(F$3-$O$2,$Q$2)/$Q$2))</f>
        <v>5853.64414215088</v>
      </c>
      <c r="G301" s="15" t="n">
        <f aca="false">F301*(1+IF(G$3&lt;=$O$2,$D301,$D301-($D301-$I$292)*MIN(G$3-$O$2,$Q$2)/$Q$2))</f>
        <v>5979.4060280174</v>
      </c>
      <c r="H301" s="15" t="n">
        <f aca="false">G301*(1+IF(H$3&lt;=$O$2,$D301,$D301-($D301-$I$292)*MIN(H$3-$O$2,$Q$2)/$Q$2))</f>
        <v>6107.86982940059</v>
      </c>
      <c r="I301" s="15" t="n">
        <f aca="false">H301*(1+IF(I$3&lt;=$O$2,$D301,$D301-($D301-$I$292)*MIN(I$3-$O$2,$Q$2)/$Q$2))</f>
        <v>6239.09359526662</v>
      </c>
      <c r="J301" s="15" t="n">
        <f aca="false">I301*(1+IF(J$3&lt;=$O$2,$D301,$D301-($D301-$I$292)*MIN(J$3-$O$2,$Q$2)/$Q$2))</f>
        <v>6394.119473375</v>
      </c>
      <c r="K301" s="15" t="n">
        <f aca="false">J301*(1+IF(K$3&lt;=$O$2,$D301,$D301-($D301-$I$292)*MIN(K$3-$O$2,$Q$2)/$Q$2))</f>
        <v>6574.50158004358</v>
      </c>
      <c r="L301" s="15" t="n">
        <f aca="false">K301*(1+IF(L$3&lt;=$O$2,$D301,$D301-($D301-$I$292)*MIN(L$3-$O$2,$Q$2)/$Q$2))</f>
        <v>6782.08324930648</v>
      </c>
      <c r="M301" s="15" t="n">
        <f aca="false">L301*(1+IF(M$3&lt;=$O$2,$D301,$D301-($D301-$I$292)*MIN(M$3-$O$2,$Q$2)/$Q$2))</f>
        <v>7019.0280440271</v>
      </c>
      <c r="N301" s="15" t="n">
        <f aca="false">M301*(1+IF(N$3&lt;=$O$2,$D301,$D301-($D301-$I$292)*MIN(N$3-$O$2,$Q$2)/$Q$2))</f>
        <v>7287.85681811334</v>
      </c>
      <c r="O301" s="15" t="n">
        <f aca="false">SUMPRODUCT(E301:N301,1/(1+$F$292)^$E$3:$N$3)*$E$2</f>
        <v>16790.7177559532</v>
      </c>
      <c r="P301" s="15" t="n">
        <f aca="false">N301*$E$2*(1+$I$292)/($F$292-$I$292)/(1+$F$292)^$N$3</f>
        <v>43280.6800455676</v>
      </c>
      <c r="Q301" s="15" t="n">
        <f aca="false">O301+P301</f>
        <v>60071.3978015209</v>
      </c>
      <c r="R301" s="15" t="n">
        <f aca="false">Q301-$G$2+$I$2</f>
        <v>51306.3978015209</v>
      </c>
      <c r="S301" s="40" t="n">
        <f aca="false">R301/$K$2</f>
        <v>91.7857486878258</v>
      </c>
      <c r="T301" s="41" t="n">
        <f aca="false">S301-$M$2</f>
        <v>-1.68807864052231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0.021484375</v>
      </c>
      <c r="C302" s="25" t="n">
        <f aca="false">IF(T301&gt;0,D301,C301)</f>
        <v>0.02734375</v>
      </c>
      <c r="D302" s="39" t="n">
        <f aca="false">(B302+C302)/2</f>
        <v>0.0244140625</v>
      </c>
      <c r="E302" s="15" t="n">
        <f aca="false">$C$2*(1+IF(E$3&lt;=$O$2,$D302,$D302-($D302-$I$292)*MIN(E$3-$O$2,$Q$2)/$Q$2))</f>
        <v>5746.962890625</v>
      </c>
      <c r="F302" s="15" t="n">
        <f aca="false">E302*(1+IF(F$3&lt;=$O$2,$D302,$D302-($D302-$I$292)*MIN(F$3-$O$2,$Q$2)/$Q$2))</f>
        <v>5887.2696018219</v>
      </c>
      <c r="G302" s="15" t="n">
        <f aca="false">F302*(1+IF(G$3&lt;=$O$2,$D302,$D302-($D302-$I$292)*MIN(G$3-$O$2,$Q$2)/$Q$2))</f>
        <v>6031.00176983513</v>
      </c>
      <c r="H302" s="15" t="n">
        <f aca="false">G302*(1+IF(H$3&lt;=$O$2,$D302,$D302-($D302-$I$292)*MIN(H$3-$O$2,$Q$2)/$Q$2))</f>
        <v>6178.2430239815</v>
      </c>
      <c r="I302" s="15" t="n">
        <f aca="false">H302*(1+IF(I$3&lt;=$O$2,$D302,$D302-($D302-$I$292)*MIN(I$3-$O$2,$Q$2)/$Q$2))</f>
        <v>6329.07903530917</v>
      </c>
      <c r="J302" s="15" t="n">
        <f aca="false">I302*(1+IF(J$3&lt;=$O$2,$D302,$D302-($D302-$I$292)*MIN(J$3-$O$2,$Q$2)/$Q$2))</f>
        <v>6501.17460562802</v>
      </c>
      <c r="K302" s="15" t="n">
        <f aca="false">J302*(1+IF(K$3&lt;=$O$2,$D302,$D302-($D302-$I$292)*MIN(K$3-$O$2,$Q$2)/$Q$2))</f>
        <v>6696.00465047337</v>
      </c>
      <c r="L302" s="15" t="n">
        <f aca="false">K302*(1+IF(L$3&lt;=$O$2,$D302,$D302-($D302-$I$292)*MIN(L$3-$O$2,$Q$2)/$Q$2))</f>
        <v>6915.26950775603</v>
      </c>
      <c r="M302" s="15" t="n">
        <f aca="false">L302*(1+IF(M$3&lt;=$O$2,$D302,$D302-($D302-$I$292)*MIN(M$3-$O$2,$Q$2)/$Q$2))</f>
        <v>7160.91932986701</v>
      </c>
      <c r="N302" s="15" t="n">
        <f aca="false">M302*(1+IF(N$3&lt;=$O$2,$D302,$D302-($D302-$I$292)*MIN(N$3-$O$2,$Q$2)/$Q$2))</f>
        <v>7435.18254020092</v>
      </c>
      <c r="O302" s="15" t="n">
        <f aca="false">SUMPRODUCT(E302:N302,1/(1+$F$292)^$E$3:$N$3)*$E$2</f>
        <v>17010.6579082973</v>
      </c>
      <c r="P302" s="15" t="n">
        <f aca="false">N302*$E$2*(1+$I$292)/($F$292-$I$292)/(1+$F$292)^$N$3</f>
        <v>44155.6090678156</v>
      </c>
      <c r="Q302" s="15" t="n">
        <f aca="false">O302+P302</f>
        <v>61166.2669761129</v>
      </c>
      <c r="R302" s="15" t="n">
        <f aca="false">Q302-$G$2+$I$2</f>
        <v>52401.2669761129</v>
      </c>
      <c r="S302" s="40" t="n">
        <f aca="false">R302/$K$2</f>
        <v>93.7444398298917</v>
      </c>
      <c r="T302" s="41" t="n">
        <f aca="false">S302-$M$2</f>
        <v>0.270612501543624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0.021484375</v>
      </c>
      <c r="C303" s="25" t="n">
        <f aca="false">IF(T302&gt;0,D302,C302)</f>
        <v>0.0244140625</v>
      </c>
      <c r="D303" s="39" t="n">
        <f aca="false">(B303+C303)/2</f>
        <v>0.02294921875</v>
      </c>
      <c r="E303" s="15" t="n">
        <f aca="false">$C$2*(1+IF(E$3&lt;=$O$2,$D303,$D303-($D303-$I$292)*MIN(E$3-$O$2,$Q$2)/$Q$2))</f>
        <v>5738.7451171875</v>
      </c>
      <c r="F303" s="15" t="n">
        <f aca="false">E303*(1+IF(F$3&lt;=$O$2,$D303,$D303-($D303-$I$292)*MIN(F$3-$O$2,$Q$2)/$Q$2))</f>
        <v>5870.44483423233</v>
      </c>
      <c r="G303" s="15" t="n">
        <f aca="false">F303*(1+IF(G$3&lt;=$O$2,$D303,$D303-($D303-$I$292)*MIN(G$3-$O$2,$Q$2)/$Q$2))</f>
        <v>6005.16695689294</v>
      </c>
      <c r="H303" s="15" t="n">
        <f aca="false">G303*(1+IF(H$3&lt;=$O$2,$D303,$D303-($D303-$I$292)*MIN(H$3-$O$2,$Q$2)/$Q$2))</f>
        <v>6142.98084701694</v>
      </c>
      <c r="I303" s="15" t="n">
        <f aca="false">H303*(1+IF(I$3&lt;=$O$2,$D303,$D303-($D303-$I$292)*MIN(I$3-$O$2,$Q$2)/$Q$2))</f>
        <v>6283.9574582522</v>
      </c>
      <c r="J303" s="15" t="n">
        <f aca="false">I303*(1+IF(J$3&lt;=$O$2,$D303,$D303-($D303-$I$292)*MIN(J$3-$O$2,$Q$2)/$Q$2))</f>
        <v>6447.46210384251</v>
      </c>
      <c r="K303" s="15" t="n">
        <f aca="false">J303*(1+IF(K$3&lt;=$O$2,$D303,$D303-($D303-$I$292)*MIN(K$3-$O$2,$Q$2)/$Q$2))</f>
        <v>6635.01575419542</v>
      </c>
      <c r="L303" s="15" t="n">
        <f aca="false">K303*(1+IF(L$3&lt;=$O$2,$D303,$D303-($D303-$I$292)*MIN(L$3-$O$2,$Q$2)/$Q$2))</f>
        <v>6848.39578740792</v>
      </c>
      <c r="M303" s="15" t="n">
        <f aca="false">L303*(1+IF(M$3&lt;=$O$2,$D303,$D303-($D303-$I$292)*MIN(M$3-$O$2,$Q$2)/$Q$2))</f>
        <v>7089.66370093646</v>
      </c>
      <c r="N303" s="15" t="n">
        <f aca="false">M303*(1+IF(N$3&lt;=$O$2,$D303,$D303-($D303-$I$292)*MIN(N$3-$O$2,$Q$2)/$Q$2))</f>
        <v>7361.19782068233</v>
      </c>
      <c r="O303" s="15" t="n">
        <f aca="false">SUMPRODUCT(E303:N303,1/(1+$F$292)^$E$3:$N$3)*$E$2</f>
        <v>16900.3263359765</v>
      </c>
      <c r="P303" s="15" t="n">
        <f aca="false">N303*$E$2*(1+$I$292)/($F$292-$I$292)/(1+$F$292)^$N$3</f>
        <v>43716.2331231913</v>
      </c>
      <c r="Q303" s="15" t="n">
        <f aca="false">O303+P303</f>
        <v>60616.5594591678</v>
      </c>
      <c r="R303" s="15" t="n">
        <f aca="false">Q303-$G$2+$I$2</f>
        <v>51851.5594591678</v>
      </c>
      <c r="S303" s="40" t="n">
        <f aca="false">R303/$K$2</f>
        <v>92.7610280496043</v>
      </c>
      <c r="T303" s="41" t="n">
        <f aca="false">S303-$M$2</f>
        <v>-0.712799278743745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0.02294921875</v>
      </c>
      <c r="C304" s="25" t="n">
        <f aca="false">IF(T303&gt;0,D303,C303)</f>
        <v>0.0244140625</v>
      </c>
      <c r="D304" s="39" t="n">
        <f aca="false">(B304+C304)/2</f>
        <v>0.023681640625</v>
      </c>
      <c r="E304" s="15" t="n">
        <f aca="false">$C$2*(1+IF(E$3&lt;=$O$2,$D304,$D304-($D304-$I$292)*MIN(E$3-$O$2,$Q$2)/$Q$2))</f>
        <v>5742.85400390625</v>
      </c>
      <c r="F304" s="15" t="n">
        <f aca="false">E304*(1+IF(F$3&lt;=$O$2,$D304,$D304-($D304-$I$292)*MIN(F$3-$O$2,$Q$2)/$Q$2))</f>
        <v>5878.8542085886</v>
      </c>
      <c r="G304" s="15" t="n">
        <f aca="false">F304*(1+IF(G$3&lt;=$O$2,$D304,$D304-($D304-$I$292)*MIN(G$3-$O$2,$Q$2)/$Q$2))</f>
        <v>6018.07512124316</v>
      </c>
      <c r="H304" s="15" t="n">
        <f aca="false">G304*(1+IF(H$3&lt;=$O$2,$D304,$D304-($D304-$I$292)*MIN(H$3-$O$2,$Q$2)/$Q$2))</f>
        <v>6160.5930135187</v>
      </c>
      <c r="I304" s="15" t="n">
        <f aca="false">H304*(1+IF(I$3&lt;=$O$2,$D304,$D304-($D304-$I$292)*MIN(I$3-$O$2,$Q$2)/$Q$2))</f>
        <v>6306.48596330173</v>
      </c>
      <c r="J304" s="15" t="n">
        <f aca="false">I304*(1+IF(J$3&lt;=$O$2,$D304,$D304-($D304-$I$292)*MIN(J$3-$O$2,$Q$2)/$Q$2))</f>
        <v>6474.27199313224</v>
      </c>
      <c r="K304" s="15" t="n">
        <f aca="false">J304*(1+IF(K$3&lt;=$O$2,$D304,$D304-($D304-$I$292)*MIN(K$3-$O$2,$Q$2)/$Q$2))</f>
        <v>6665.45066965694</v>
      </c>
      <c r="L304" s="15" t="n">
        <f aca="false">K304*(1+IF(L$3&lt;=$O$2,$D304,$D304-($D304-$I$292)*MIN(L$3-$O$2,$Q$2)/$Q$2))</f>
        <v>6881.76224899065</v>
      </c>
      <c r="M304" s="15" t="n">
        <f aca="false">L304*(1+IF(M$3&lt;=$O$2,$D304,$D304-($D304-$I$292)*MIN(M$3-$O$2,$Q$2)/$Q$2))</f>
        <v>7125.21372838918</v>
      </c>
      <c r="N304" s="15" t="n">
        <f aca="false">M304*(1+IF(N$3&lt;=$O$2,$D304,$D304-($D304-$I$292)*MIN(N$3-$O$2,$Q$2)/$Q$2))</f>
        <v>7398.10941418649</v>
      </c>
      <c r="O304" s="15" t="n">
        <f aca="false">SUMPRODUCT(E304:N304,1/(1+$F$292)^$E$3:$N$3)*$E$2</f>
        <v>16955.4014696458</v>
      </c>
      <c r="P304" s="15" t="n">
        <f aca="false">N304*$E$2*(1+$I$292)/($F$292-$I$292)/(1+$F$292)^$N$3</f>
        <v>43935.4414457883</v>
      </c>
      <c r="Q304" s="15" t="n">
        <f aca="false">O304+P304</f>
        <v>60890.842915434</v>
      </c>
      <c r="R304" s="15" t="n">
        <f aca="false">Q304-$G$2+$I$2</f>
        <v>52125.842915434</v>
      </c>
      <c r="S304" s="40" t="n">
        <f aca="false">R304/$K$2</f>
        <v>93.2517136846292</v>
      </c>
      <c r="T304" s="41" t="n">
        <f aca="false">S304-$M$2</f>
        <v>-0.222113643718856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0.023681640625</v>
      </c>
      <c r="C305" s="25" t="n">
        <f aca="false">IF(T304&gt;0,D304,C304)</f>
        <v>0.0244140625</v>
      </c>
      <c r="D305" s="39" t="n">
        <f aca="false">(B305+C305)/2</f>
        <v>0.0240478515625</v>
      </c>
      <c r="E305" s="15" t="n">
        <f aca="false">$C$2*(1+IF(E$3&lt;=$O$2,$D305,$D305-($D305-$I$292)*MIN(E$3-$O$2,$Q$2)/$Q$2))</f>
        <v>5744.90844726563</v>
      </c>
      <c r="F305" s="15" t="n">
        <f aca="false">E305*(1+IF(F$3&lt;=$O$2,$D305,$D305-($D305-$I$292)*MIN(F$3-$O$2,$Q$2)/$Q$2))</f>
        <v>5883.06115284562</v>
      </c>
      <c r="G305" s="15" t="n">
        <f aca="false">F305*(1+IF(G$3&lt;=$O$2,$D305,$D305-($D305-$I$292)*MIN(G$3-$O$2,$Q$2)/$Q$2))</f>
        <v>6024.53613418236</v>
      </c>
      <c r="H305" s="15" t="n">
        <f aca="false">G305*(1+IF(H$3&lt;=$O$2,$D305,$D305-($D305-$I$292)*MIN(H$3-$O$2,$Q$2)/$Q$2))</f>
        <v>6169.4132848701</v>
      </c>
      <c r="I305" s="15" t="n">
        <f aca="false">H305*(1+IF(I$3&lt;=$O$2,$D305,$D305-($D305-$I$292)*MIN(I$3-$O$2,$Q$2)/$Q$2))</f>
        <v>6317.77441977237</v>
      </c>
      <c r="J305" s="15" t="n">
        <f aca="false">I305*(1+IF(J$3&lt;=$O$2,$D305,$D305-($D305-$I$292)*MIN(J$3-$O$2,$Q$2)/$Q$2))</f>
        <v>6487.71169298946</v>
      </c>
      <c r="K305" s="15" t="n">
        <f aca="false">J305*(1+IF(K$3&lt;=$O$2,$D305,$D305-($D305-$I$292)*MIN(K$3-$O$2,$Q$2)/$Q$2))</f>
        <v>6680.71275279005</v>
      </c>
      <c r="L305" s="15" t="n">
        <f aca="false">K305*(1+IF(L$3&lt;=$O$2,$D305,$D305-($D305-$I$292)*MIN(L$3-$O$2,$Q$2)/$Q$2))</f>
        <v>6898.49824729348</v>
      </c>
      <c r="M305" s="15" t="n">
        <f aca="false">L305*(1+IF(M$3&lt;=$O$2,$D305,$D305-($D305-$I$292)*MIN(M$3-$O$2,$Q$2)/$Q$2))</f>
        <v>7143.04704596157</v>
      </c>
      <c r="N305" s="15" t="n">
        <f aca="false">M305*(1+IF(N$3&lt;=$O$2,$D305,$D305-($D305-$I$292)*MIN(N$3-$O$2,$Q$2)/$Q$2))</f>
        <v>7416.62574782189</v>
      </c>
      <c r="O305" s="15" t="n">
        <f aca="false">SUMPRODUCT(E305:N305,1/(1+$F$292)^$E$3:$N$3)*$E$2</f>
        <v>16983.0069909605</v>
      </c>
      <c r="P305" s="15" t="n">
        <f aca="false">N305*$E$2*(1+$I$292)/($F$292-$I$292)/(1+$F$292)^$N$3</f>
        <v>44045.4051198411</v>
      </c>
      <c r="Q305" s="15" t="n">
        <f aca="false">O305+P305</f>
        <v>61028.4121108016</v>
      </c>
      <c r="R305" s="15" t="n">
        <f aca="false">Q305-$G$2+$I$2</f>
        <v>52263.4121108016</v>
      </c>
      <c r="S305" s="40" t="n">
        <f aca="false">R305/$K$2</f>
        <v>93.4978212293849</v>
      </c>
      <c r="T305" s="41" t="n">
        <f aca="false">S305-$M$2</f>
        <v>0.023993901036846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0.023681640625</v>
      </c>
      <c r="C306" s="25" t="n">
        <f aca="false">IF(T305&gt;0,D305,C305)</f>
        <v>0.0240478515625</v>
      </c>
      <c r="D306" s="39" t="n">
        <f aca="false">(B306+C306)/2</f>
        <v>0.02386474609375</v>
      </c>
      <c r="E306" s="15" t="n">
        <f aca="false">$C$2*(1+IF(E$3&lt;=$O$2,$D306,$D306-($D306-$I$292)*MIN(E$3-$O$2,$Q$2)/$Q$2))</f>
        <v>5743.88122558594</v>
      </c>
      <c r="F306" s="15" t="n">
        <f aca="false">E306*(1+IF(F$3&lt;=$O$2,$D306,$D306-($D306-$I$292)*MIN(F$3-$O$2,$Q$2)/$Q$2))</f>
        <v>5880.9574926272</v>
      </c>
      <c r="G306" s="15" t="n">
        <f aca="false">F306*(1+IF(G$3&lt;=$O$2,$D306,$D306-($D306-$I$292)*MIN(G$3-$O$2,$Q$2)/$Q$2))</f>
        <v>6021.30504997689</v>
      </c>
      <c r="H306" s="15" t="n">
        <f aca="false">G306*(1+IF(H$3&lt;=$O$2,$D306,$D306-($D306-$I$292)*MIN(H$3-$O$2,$Q$2)/$Q$2))</f>
        <v>6165.0019661476</v>
      </c>
      <c r="I306" s="15" t="n">
        <f aca="false">H306*(1+IF(I$3&lt;=$O$2,$D306,$D306-($D306-$I$292)*MIN(I$3-$O$2,$Q$2)/$Q$2))</f>
        <v>6312.12817273718</v>
      </c>
      <c r="J306" s="15" t="n">
        <f aca="false">I306*(1+IF(J$3&lt;=$O$2,$D306,$D306-($D306-$I$292)*MIN(J$3-$O$2,$Q$2)/$Q$2))</f>
        <v>6480.98894346321</v>
      </c>
      <c r="K306" s="15" t="n">
        <f aca="false">J306*(1+IF(K$3&lt;=$O$2,$D306,$D306-($D306-$I$292)*MIN(K$3-$O$2,$Q$2)/$Q$2))</f>
        <v>6673.07798742036</v>
      </c>
      <c r="L306" s="15" t="n">
        <f aca="false">K306*(1+IF(L$3&lt;=$O$2,$D306,$D306-($D306-$I$292)*MIN(L$3-$O$2,$Q$2)/$Q$2))</f>
        <v>6890.12584430471</v>
      </c>
      <c r="M306" s="15" t="n">
        <f aca="false">L306*(1+IF(M$3&lt;=$O$2,$D306,$D306-($D306-$I$292)*MIN(M$3-$O$2,$Q$2)/$Q$2))</f>
        <v>7134.12552093987</v>
      </c>
      <c r="N306" s="15" t="n">
        <f aca="false">M306*(1+IF(N$3&lt;=$O$2,$D306,$D306-($D306-$I$292)*MIN(N$3-$O$2,$Q$2)/$Q$2))</f>
        <v>7407.36252839187</v>
      </c>
      <c r="O306" s="15" t="n">
        <f aca="false">SUMPRODUCT(E306:N306,1/(1+$F$292)^$E$3:$N$3)*$E$2</f>
        <v>16969.198560165</v>
      </c>
      <c r="P306" s="15" t="n">
        <f aca="false">N306*$E$2*(1+$I$292)/($F$292-$I$292)/(1+$F$292)^$N$3</f>
        <v>43990.3932766685</v>
      </c>
      <c r="Q306" s="15" t="n">
        <f aca="false">O306+P306</f>
        <v>60959.5918368335</v>
      </c>
      <c r="R306" s="15" t="n">
        <f aca="false">Q306-$G$2+$I$2</f>
        <v>52194.5918368335</v>
      </c>
      <c r="S306" s="40" t="n">
        <f aca="false">R306/$K$2</f>
        <v>93.3747036331059</v>
      </c>
      <c r="T306" s="41" t="n">
        <f aca="false">S306-$M$2</f>
        <v>-0.099123695242227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0.02386474609375</v>
      </c>
      <c r="C307" s="25" t="n">
        <f aca="false">IF(T306&gt;0,D306,C306)</f>
        <v>0.0240478515625</v>
      </c>
      <c r="D307" s="39" t="n">
        <f aca="false">(B307+C307)/2</f>
        <v>0.023956298828125</v>
      </c>
      <c r="E307" s="15" t="n">
        <f aca="false">$C$2*(1+IF(E$3&lt;=$O$2,$D307,$D307-($D307-$I$292)*MIN(E$3-$O$2,$Q$2)/$Q$2))</f>
        <v>5744.39483642578</v>
      </c>
      <c r="F307" s="15" t="n">
        <f aca="false">E307*(1+IF(F$3&lt;=$O$2,$D307,$D307-($D307-$I$292)*MIN(F$3-$O$2,$Q$2)/$Q$2))</f>
        <v>5882.00927571394</v>
      </c>
      <c r="G307" s="15" t="n">
        <f aca="false">F307*(1+IF(G$3&lt;=$O$2,$D307,$D307-($D307-$I$292)*MIN(G$3-$O$2,$Q$2)/$Q$2))</f>
        <v>6022.92044763274</v>
      </c>
      <c r="H307" s="15" t="n">
        <f aca="false">G307*(1+IF(H$3&lt;=$O$2,$D307,$D307-($D307-$I$292)*MIN(H$3-$O$2,$Q$2)/$Q$2))</f>
        <v>6167.20732969426</v>
      </c>
      <c r="I307" s="15" t="n">
        <f aca="false">H307*(1+IF(I$3&lt;=$O$2,$D307,$D307-($D307-$I$292)*MIN(I$3-$O$2,$Q$2)/$Q$2))</f>
        <v>6314.95079141941</v>
      </c>
      <c r="J307" s="15" t="n">
        <f aca="false">I307*(1+IF(J$3&lt;=$O$2,$D307,$D307-($D307-$I$292)*MIN(J$3-$O$2,$Q$2)/$Q$2))</f>
        <v>6484.34959307701</v>
      </c>
      <c r="K307" s="15" t="n">
        <f aca="false">J307*(1+IF(K$3&lt;=$O$2,$D307,$D307-($D307-$I$292)*MIN(K$3-$O$2,$Q$2)/$Q$2))</f>
        <v>6676.89443877762</v>
      </c>
      <c r="L307" s="15" t="n">
        <f aca="false">K307*(1+IF(L$3&lt;=$O$2,$D307,$D307-($D307-$I$292)*MIN(L$3-$O$2,$Q$2)/$Q$2))</f>
        <v>6894.31094434841</v>
      </c>
      <c r="M307" s="15" t="n">
        <f aca="false">L307*(1+IF(M$3&lt;=$O$2,$D307,$D307-($D307-$I$292)*MIN(M$3-$O$2,$Q$2)/$Q$2))</f>
        <v>7138.58506632261</v>
      </c>
      <c r="N307" s="15" t="n">
        <f aca="false">M307*(1+IF(N$3&lt;=$O$2,$D307,$D307-($D307-$I$292)*MIN(N$3-$O$2,$Q$2)/$Q$2))</f>
        <v>7411.99287436276</v>
      </c>
      <c r="O307" s="15" t="n">
        <f aca="false">SUMPRODUCT(E307:N307,1/(1+$F$292)^$E$3:$N$3)*$E$2</f>
        <v>16976.1013574829</v>
      </c>
      <c r="P307" s="15" t="n">
        <f aca="false">N307*$E$2*(1+$I$292)/($F$292-$I$292)/(1+$F$292)^$N$3</f>
        <v>44017.8916932082</v>
      </c>
      <c r="Q307" s="15" t="n">
        <f aca="false">O307+P307</f>
        <v>60993.9930506911</v>
      </c>
      <c r="R307" s="15" t="n">
        <f aca="false">Q307-$G$2+$I$2</f>
        <v>52228.9930506911</v>
      </c>
      <c r="S307" s="40" t="n">
        <f aca="false">R307/$K$2</f>
        <v>93.4362464680151</v>
      </c>
      <c r="T307" s="41" t="n">
        <f aca="false">S307-$M$2</f>
        <v>-0.0375808603329659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0.023956298828125</v>
      </c>
      <c r="C308" s="25" t="n">
        <f aca="false">IF(T307&gt;0,D307,C307)</f>
        <v>0.0240478515625</v>
      </c>
      <c r="D308" s="39" t="n">
        <f aca="false">(B308+C308)/2</f>
        <v>0.0240020751953125</v>
      </c>
      <c r="E308" s="15" t="n">
        <f aca="false">$C$2*(1+IF(E$3&lt;=$O$2,$D308,$D308-($D308-$I$292)*MIN(E$3-$O$2,$Q$2)/$Q$2))</f>
        <v>5744.6516418457</v>
      </c>
      <c r="F308" s="15" t="n">
        <f aca="false">E308*(1+IF(F$3&lt;=$O$2,$D308,$D308-($D308-$I$292)*MIN(F$3-$O$2,$Q$2)/$Q$2))</f>
        <v>5882.53520252416</v>
      </c>
      <c r="G308" s="15" t="n">
        <f aca="false">F308*(1+IF(G$3&lt;=$O$2,$D308,$D308-($D308-$I$292)*MIN(G$3-$O$2,$Q$2)/$Q$2))</f>
        <v>6023.72825479422</v>
      </c>
      <c r="H308" s="15" t="n">
        <f aca="false">G308*(1+IF(H$3&lt;=$O$2,$D308,$D308-($D308-$I$292)*MIN(H$3-$O$2,$Q$2)/$Q$2))</f>
        <v>6168.31023332192</v>
      </c>
      <c r="I308" s="15" t="n">
        <f aca="false">H308*(1+IF(I$3&lt;=$O$2,$D308,$D308-($D308-$I$292)*MIN(I$3-$O$2,$Q$2)/$Q$2))</f>
        <v>6316.36247937012</v>
      </c>
      <c r="J308" s="15" t="n">
        <f aca="false">I308*(1+IF(J$3&lt;=$O$2,$D308,$D308-($D308-$I$292)*MIN(J$3-$O$2,$Q$2)/$Q$2))</f>
        <v>6486.03046171465</v>
      </c>
      <c r="K308" s="15" t="n">
        <f aca="false">J308*(1+IF(K$3&lt;=$O$2,$D308,$D308-($D308-$I$292)*MIN(K$3-$O$2,$Q$2)/$Q$2))</f>
        <v>6678.80336290482</v>
      </c>
      <c r="L308" s="15" t="n">
        <f aca="false">K308*(1+IF(L$3&lt;=$O$2,$D308,$D308-($D308-$I$292)*MIN(L$3-$O$2,$Q$2)/$Q$2))</f>
        <v>6896.40432039683</v>
      </c>
      <c r="M308" s="15" t="n">
        <f aca="false">L308*(1+IF(M$3&lt;=$O$2,$D308,$D308-($D308-$I$292)*MIN(M$3-$O$2,$Q$2)/$Q$2))</f>
        <v>7140.81575178888</v>
      </c>
      <c r="N308" s="15" t="n">
        <f aca="false">M308*(1+IF(N$3&lt;=$O$2,$D308,$D308-($D308-$I$292)*MIN(N$3-$O$2,$Q$2)/$Q$2))</f>
        <v>7414.30899508239</v>
      </c>
      <c r="O308" s="15" t="n">
        <f aca="false">SUMPRODUCT(E308:N308,1/(1+$F$292)^$E$3:$N$3)*$E$2</f>
        <v>16979.5538196335</v>
      </c>
      <c r="P308" s="15" t="n">
        <f aca="false">N308*$E$2*(1+$I$292)/($F$292-$I$292)/(1+$F$292)^$N$3</f>
        <v>44031.6465298241</v>
      </c>
      <c r="Q308" s="15" t="n">
        <f aca="false">O308+P308</f>
        <v>61011.2003494576</v>
      </c>
      <c r="R308" s="15" t="n">
        <f aca="false">Q308-$G$2+$I$2</f>
        <v>52246.2003494576</v>
      </c>
      <c r="S308" s="40" t="n">
        <f aca="false">R308/$K$2</f>
        <v>93.4670298569853</v>
      </c>
      <c r="T308" s="41" t="n">
        <f aca="false">S308-$M$2</f>
        <v>-0.00679747136280184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0.0240020751953125</v>
      </c>
      <c r="C309" s="25" t="n">
        <f aca="false">IF(T308&gt;0,D308,C308)</f>
        <v>0.0240478515625</v>
      </c>
      <c r="D309" s="39" t="n">
        <f aca="false">(B309+C309)/2</f>
        <v>0.0240249633789063</v>
      </c>
      <c r="E309" s="15" t="n">
        <f aca="false">$C$2*(1+IF(E$3&lt;=$O$2,$D309,$D309-($D309-$I$292)*MIN(E$3-$O$2,$Q$2)/$Q$2))</f>
        <v>5744.78004455566</v>
      </c>
      <c r="F309" s="15" t="n">
        <f aca="false">E309*(1+IF(F$3&lt;=$O$2,$D309,$D309-($D309-$I$292)*MIN(F$3-$O$2,$Q$2)/$Q$2))</f>
        <v>5882.79817474599</v>
      </c>
      <c r="G309" s="15" t="n">
        <f aca="false">F309*(1+IF(G$3&lt;=$O$2,$D309,$D309-($D309-$I$292)*MIN(G$3-$O$2,$Q$2)/$Q$2))</f>
        <v>6024.13218545975</v>
      </c>
      <c r="H309" s="15" t="n">
        <f aca="false">G309*(1+IF(H$3&lt;=$O$2,$D309,$D309-($D309-$I$292)*MIN(H$3-$O$2,$Q$2)/$Q$2))</f>
        <v>6168.86174060512</v>
      </c>
      <c r="I309" s="15" t="n">
        <f aca="false">H309*(1+IF(I$3&lt;=$O$2,$D309,$D309-($D309-$I$292)*MIN(I$3-$O$2,$Q$2)/$Q$2))</f>
        <v>6317.06841801269</v>
      </c>
      <c r="J309" s="15" t="n">
        <f aca="false">I309*(1+IF(J$3&lt;=$O$2,$D309,$D309-($D309-$I$292)*MIN(J$3-$O$2,$Q$2)/$Q$2))</f>
        <v>6486.87103201851</v>
      </c>
      <c r="K309" s="15" t="n">
        <f aca="false">J309*(1+IF(K$3&lt;=$O$2,$D309,$D309-($D309-$I$292)*MIN(K$3-$O$2,$Q$2)/$Q$2))</f>
        <v>6679.75799962179</v>
      </c>
      <c r="L309" s="15" t="n">
        <f aca="false">K309*(1+IF(L$3&lt;=$O$2,$D309,$D309-($D309-$I$292)*MIN(L$3-$O$2,$Q$2)/$Q$2))</f>
        <v>6897.45121498145</v>
      </c>
      <c r="M309" s="15" t="n">
        <f aca="false">L309*(1+IF(M$3&lt;=$O$2,$D309,$D309-($D309-$I$292)*MIN(M$3-$O$2,$Q$2)/$Q$2))</f>
        <v>7141.93132277802</v>
      </c>
      <c r="N309" s="15" t="n">
        <f aca="false">M309*(1+IF(N$3&lt;=$O$2,$D309,$D309-($D309-$I$292)*MIN(N$3-$O$2,$Q$2)/$Q$2))</f>
        <v>7415.46729244042</v>
      </c>
      <c r="O309" s="15" t="n">
        <f aca="false">SUMPRODUCT(E309:N309,1/(1+$F$292)^$E$3:$N$3)*$E$2</f>
        <v>16981.2803166414</v>
      </c>
      <c r="P309" s="15" t="n">
        <f aca="false">N309*$E$2*(1+$I$292)/($F$292-$I$292)/(1+$F$292)^$N$3</f>
        <v>44038.5253556026</v>
      </c>
      <c r="Q309" s="15" t="n">
        <f aca="false">O309+P309</f>
        <v>61019.805672244</v>
      </c>
      <c r="R309" s="15" t="n">
        <f aca="false">Q309-$G$2+$I$2</f>
        <v>52254.805672244</v>
      </c>
      <c r="S309" s="40" t="n">
        <f aca="false">R309/$K$2</f>
        <v>93.482424545143</v>
      </c>
      <c r="T309" s="41" t="n">
        <f aca="false">S309-$M$2</f>
        <v>0.0085972167949393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0.0240020751953125</v>
      </c>
      <c r="C310" s="25" t="n">
        <f aca="false">IF(T309&gt;0,D309,C309)</f>
        <v>0.0240249633789063</v>
      </c>
      <c r="D310" s="39" t="n">
        <f aca="false">(B310+C310)/2</f>
        <v>0.0240135192871094</v>
      </c>
      <c r="E310" s="15" t="n">
        <f aca="false">$C$2*(1+IF(E$3&lt;=$O$2,$D310,$D310-($D310-$I$292)*MIN(E$3-$O$2,$Q$2)/$Q$2))</f>
        <v>5744.71584320068</v>
      </c>
      <c r="F310" s="15" t="n">
        <f aca="false">E310*(1+IF(F$3&lt;=$O$2,$D310,$D310-($D310-$I$292)*MIN(F$3-$O$2,$Q$2)/$Q$2))</f>
        <v>5882.66668790035</v>
      </c>
      <c r="G310" s="15" t="n">
        <f aca="false">F310*(1+IF(G$3&lt;=$O$2,$D310,$D310-($D310-$I$292)*MIN(G$3-$O$2,$Q$2)/$Q$2))</f>
        <v>6023.93021786988</v>
      </c>
      <c r="H310" s="15" t="n">
        <f aca="false">G310*(1+IF(H$3&lt;=$O$2,$D310,$D310-($D310-$I$292)*MIN(H$3-$O$2,$Q$2)/$Q$2))</f>
        <v>6168.5859823409</v>
      </c>
      <c r="I310" s="15" t="n">
        <f aca="false">H310*(1+IF(I$3&lt;=$O$2,$D310,$D310-($D310-$I$292)*MIN(I$3-$O$2,$Q$2)/$Q$2))</f>
        <v>6316.71544080203</v>
      </c>
      <c r="J310" s="15" t="n">
        <f aca="false">I310*(1+IF(J$3&lt;=$O$2,$D310,$D310-($D310-$I$292)*MIN(J$3-$O$2,$Q$2)/$Q$2))</f>
        <v>6486.45073553368</v>
      </c>
      <c r="K310" s="15" t="n">
        <f aca="false">J310*(1+IF(K$3&lt;=$O$2,$D310,$D310-($D310-$I$292)*MIN(K$3-$O$2,$Q$2)/$Q$2))</f>
        <v>6679.28066670763</v>
      </c>
      <c r="L310" s="15" t="n">
        <f aca="false">K310*(1+IF(L$3&lt;=$O$2,$D310,$D310-($D310-$I$292)*MIN(L$3-$O$2,$Q$2)/$Q$2))</f>
        <v>6896.92775047417</v>
      </c>
      <c r="M310" s="15" t="n">
        <f aca="false">L310*(1+IF(M$3&lt;=$O$2,$D310,$D310-($D310-$I$292)*MIN(M$3-$O$2,$Q$2)/$Q$2))</f>
        <v>7141.37351826026</v>
      </c>
      <c r="N310" s="15" t="n">
        <f aca="false">M310*(1+IF(N$3&lt;=$O$2,$D310,$D310-($D310-$I$292)*MIN(N$3-$O$2,$Q$2)/$Q$2))</f>
        <v>7414.88812400963</v>
      </c>
      <c r="O310" s="15" t="n">
        <f aca="false">SUMPRODUCT(E310:N310,1/(1+$F$292)^$E$3:$N$3)*$E$2</f>
        <v>16980.4170459746</v>
      </c>
      <c r="P310" s="15" t="n">
        <f aca="false">N310*$E$2*(1+$I$292)/($F$292-$I$292)/(1+$F$292)^$N$3</f>
        <v>44035.0858254127</v>
      </c>
      <c r="Q310" s="15" t="n">
        <f aca="false">O310+P310</f>
        <v>61015.5028713874</v>
      </c>
      <c r="R310" s="15" t="n">
        <f aca="false">Q310-$G$2+$I$2</f>
        <v>52250.5028713874</v>
      </c>
      <c r="S310" s="40" t="n">
        <f aca="false">R310/$K$2</f>
        <v>93.4747269515678</v>
      </c>
      <c r="T310" s="41" t="n">
        <f aca="false">S310-$M$2</f>
        <v>0.000899623219709156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0.0240020751953125</v>
      </c>
      <c r="C311" s="25" t="n">
        <f aca="false">IF(T310&gt;0,D310,C310)</f>
        <v>0.0240135192871094</v>
      </c>
      <c r="D311" s="39" t="n">
        <f aca="false">(B311+C311)/2</f>
        <v>0.0240077972412109</v>
      </c>
      <c r="E311" s="15" t="n">
        <f aca="false">$C$2*(1+IF(E$3&lt;=$O$2,$D311,$D311-($D311-$I$292)*MIN(E$3-$O$2,$Q$2)/$Q$2))</f>
        <v>5744.68374252319</v>
      </c>
      <c r="F311" s="15" t="n">
        <f aca="false">E311*(1+IF(F$3&lt;=$O$2,$D311,$D311-($D311-$I$292)*MIN(F$3-$O$2,$Q$2)/$Q$2))</f>
        <v>5882.60094502857</v>
      </c>
      <c r="G311" s="15" t="n">
        <f aca="false">F311*(1+IF(G$3&lt;=$O$2,$D311,$D311-($D311-$I$292)*MIN(G$3-$O$2,$Q$2)/$Q$2))</f>
        <v>6023.82923576777</v>
      </c>
      <c r="H311" s="15" t="n">
        <f aca="false">G311*(1+IF(H$3&lt;=$O$2,$D311,$D311-($D311-$I$292)*MIN(H$3-$O$2,$Q$2)/$Q$2))</f>
        <v>6168.44810667576</v>
      </c>
      <c r="I311" s="15" t="n">
        <f aca="false">H311*(1+IF(I$3&lt;=$O$2,$D311,$D311-($D311-$I$292)*MIN(I$3-$O$2,$Q$2)/$Q$2))</f>
        <v>6316.53895811377</v>
      </c>
      <c r="J311" s="15" t="n">
        <f aca="false">I311*(1+IF(J$3&lt;=$O$2,$D311,$D311-($D311-$I$292)*MIN(J$3-$O$2,$Q$2)/$Q$2))</f>
        <v>6486.240595791</v>
      </c>
      <c r="K311" s="15" t="n">
        <f aca="false">J311*(1+IF(K$3&lt;=$O$2,$D311,$D311-($D311-$I$292)*MIN(K$3-$O$2,$Q$2)/$Q$2))</f>
        <v>6679.0420111674</v>
      </c>
      <c r="L311" s="15" t="n">
        <f aca="false">K311*(1+IF(L$3&lt;=$O$2,$D311,$D311-($D311-$I$292)*MIN(L$3-$O$2,$Q$2)/$Q$2))</f>
        <v>6896.66603113188</v>
      </c>
      <c r="M311" s="15" t="n">
        <f aca="false">L311*(1+IF(M$3&lt;=$O$2,$D311,$D311-($D311-$I$292)*MIN(M$3-$O$2,$Q$2)/$Q$2))</f>
        <v>7141.09463026891</v>
      </c>
      <c r="N311" s="15" t="n">
        <f aca="false">M311*(1+IF(N$3&lt;=$O$2,$D311,$D311-($D311-$I$292)*MIN(N$3-$O$2,$Q$2)/$Q$2))</f>
        <v>7414.59855460821</v>
      </c>
      <c r="O311" s="15" t="n">
        <f aca="false">SUMPRODUCT(E311:N311,1/(1+$F$292)^$E$3:$N$3)*$E$2</f>
        <v>16979.9854272635</v>
      </c>
      <c r="P311" s="15" t="n">
        <f aca="false">N311*$E$2*(1+$I$292)/($F$292-$I$292)/(1+$F$292)^$N$3</f>
        <v>44033.3661482941</v>
      </c>
      <c r="Q311" s="15" t="n">
        <f aca="false">O311+P311</f>
        <v>61013.3515755576</v>
      </c>
      <c r="R311" s="15" t="n">
        <f aca="false">Q311-$G$2+$I$2</f>
        <v>52248.3515755576</v>
      </c>
      <c r="S311" s="40" t="n">
        <f aca="false">R311/$K$2</f>
        <v>93.4708783419042</v>
      </c>
      <c r="T311" s="41" t="n">
        <f aca="false">S311-$M$2</f>
        <v>-0.00294898644385455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0.0240077972412109</v>
      </c>
      <c r="C312" s="25" t="n">
        <f aca="false">IF(T311&gt;0,D311,C311)</f>
        <v>0.0240135192871094</v>
      </c>
      <c r="D312" s="39" t="n">
        <f aca="false">(B312+C312)/2</f>
        <v>0.0240106582641602</v>
      </c>
      <c r="E312" s="15" t="n">
        <f aca="false">$C$2*(1+IF(E$3&lt;=$O$2,$D312,$D312-($D312-$I$292)*MIN(E$3-$O$2,$Q$2)/$Q$2))</f>
        <v>5744.69979286194</v>
      </c>
      <c r="F312" s="15" t="n">
        <f aca="false">E312*(1+IF(F$3&lt;=$O$2,$D312,$D312-($D312-$I$292)*MIN(F$3-$O$2,$Q$2)/$Q$2))</f>
        <v>5882.63381641854</v>
      </c>
      <c r="G312" s="15" t="n">
        <f aca="false">F312*(1+IF(G$3&lt;=$O$2,$D312,$D312-($D312-$I$292)*MIN(G$3-$O$2,$Q$2)/$Q$2))</f>
        <v>6023.87972667776</v>
      </c>
      <c r="H312" s="15" t="n">
        <f aca="false">G312*(1+IF(H$3&lt;=$O$2,$D312,$D312-($D312-$I$292)*MIN(H$3-$O$2,$Q$2)/$Q$2))</f>
        <v>6168.51704421942</v>
      </c>
      <c r="I312" s="15" t="n">
        <f aca="false">H312*(1+IF(I$3&lt;=$O$2,$D312,$D312-($D312-$I$292)*MIN(I$3-$O$2,$Q$2)/$Q$2))</f>
        <v>6316.62719896482</v>
      </c>
      <c r="J312" s="15" t="n">
        <f aca="false">I312*(1+IF(J$3&lt;=$O$2,$D312,$D312-($D312-$I$292)*MIN(J$3-$O$2,$Q$2)/$Q$2))</f>
        <v>6486.34566495404</v>
      </c>
      <c r="K312" s="15" t="n">
        <f aca="false">J312*(1+IF(K$3&lt;=$O$2,$D312,$D312-($D312-$I$292)*MIN(K$3-$O$2,$Q$2)/$Q$2))</f>
        <v>6679.1613380278</v>
      </c>
      <c r="L312" s="15" t="n">
        <f aca="false">K312*(1+IF(L$3&lt;=$O$2,$D312,$D312-($D312-$I$292)*MIN(L$3-$O$2,$Q$2)/$Q$2))</f>
        <v>6896.79688972711</v>
      </c>
      <c r="M312" s="15" t="n">
        <f aca="false">L312*(1+IF(M$3&lt;=$O$2,$D312,$D312-($D312-$I$292)*MIN(M$3-$O$2,$Q$2)/$Q$2))</f>
        <v>7141.23407307566</v>
      </c>
      <c r="N312" s="15" t="n">
        <f aca="false">M312*(1+IF(N$3&lt;=$O$2,$D312,$D312-($D312-$I$292)*MIN(N$3-$O$2,$Q$2)/$Q$2))</f>
        <v>7414.74333807445</v>
      </c>
      <c r="O312" s="15" t="n">
        <f aca="false">SUMPRODUCT(E312:N312,1/(1+$F$292)^$E$3:$N$3)*$E$2</f>
        <v>16980.2012352339</v>
      </c>
      <c r="P312" s="15" t="n">
        <f aca="false">N312*$E$2*(1+$I$292)/($F$292-$I$292)/(1+$F$292)^$N$3</f>
        <v>44034.2259795222</v>
      </c>
      <c r="Q312" s="15" t="n">
        <f aca="false">O312+P312</f>
        <v>61014.4272147561</v>
      </c>
      <c r="R312" s="15" t="n">
        <f aca="false">Q312-$G$2+$I$2</f>
        <v>52249.4272147561</v>
      </c>
      <c r="S312" s="40" t="n">
        <f aca="false">R312/$K$2</f>
        <v>93.4728026311427</v>
      </c>
      <c r="T312" s="41" t="n">
        <f aca="false">S312-$M$2</f>
        <v>-0.00102469720539489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0.0240106582641602</v>
      </c>
      <c r="C313" s="25" t="n">
        <f aca="false">IF(T312&gt;0,D312,C312)</f>
        <v>0.0240135192871094</v>
      </c>
      <c r="D313" s="39" t="n">
        <f aca="false">(B313+C313)/2</f>
        <v>0.0240120887756348</v>
      </c>
      <c r="E313" s="15" t="n">
        <f aca="false">$C$2*(1+IF(E$3&lt;=$O$2,$D313,$D313-($D313-$I$292)*MIN(E$3-$O$2,$Q$2)/$Q$2))</f>
        <v>5744.70781803131</v>
      </c>
      <c r="F313" s="15" t="n">
        <f aca="false">E313*(1+IF(F$3&lt;=$O$2,$D313,$D313-($D313-$I$292)*MIN(F$3-$O$2,$Q$2)/$Q$2))</f>
        <v>5882.65025214796</v>
      </c>
      <c r="G313" s="15" t="n">
        <f aca="false">F313*(1+IF(G$3&lt;=$O$2,$D313,$D313-($D313-$I$292)*MIN(G$3-$O$2,$Q$2)/$Q$2))</f>
        <v>6023.90497223855</v>
      </c>
      <c r="H313" s="15" t="n">
        <f aca="false">G313*(1+IF(H$3&lt;=$O$2,$D313,$D313-($D313-$I$292)*MIN(H$3-$O$2,$Q$2)/$Q$2))</f>
        <v>6168.55151320793</v>
      </c>
      <c r="I313" s="15" t="n">
        <f aca="false">H313*(1+IF(I$3&lt;=$O$2,$D313,$D313-($D313-$I$292)*MIN(I$3-$O$2,$Q$2)/$Q$2))</f>
        <v>6316.67131976015</v>
      </c>
      <c r="J313" s="15" t="n">
        <f aca="false">I313*(1+IF(J$3&lt;=$O$2,$D313,$D313-($D313-$I$292)*MIN(J$3-$O$2,$Q$2)/$Q$2))</f>
        <v>6486.39820006679</v>
      </c>
      <c r="K313" s="15" t="n">
        <f aca="false">J313*(1+IF(K$3&lt;=$O$2,$D313,$D313-($D313-$I$292)*MIN(K$3-$O$2,$Q$2)/$Q$2))</f>
        <v>6679.22100214028</v>
      </c>
      <c r="L313" s="15" t="n">
        <f aca="false">K313*(1+IF(L$3&lt;=$O$2,$D313,$D313-($D313-$I$292)*MIN(L$3-$O$2,$Q$2)/$Q$2))</f>
        <v>6896.86231983166</v>
      </c>
      <c r="M313" s="15" t="n">
        <f aca="false">L313*(1+IF(M$3&lt;=$O$2,$D313,$D313-($D313-$I$292)*MIN(M$3-$O$2,$Q$2)/$Q$2))</f>
        <v>7141.30379537072</v>
      </c>
      <c r="N313" s="15" t="n">
        <f aca="false">M313*(1+IF(N$3&lt;=$O$2,$D313,$D313-($D313-$I$292)*MIN(N$3-$O$2,$Q$2)/$Q$2))</f>
        <v>7414.81573073342</v>
      </c>
      <c r="O313" s="15" t="n">
        <f aca="false">SUMPRODUCT(E313:N313,1/(1+$F$292)^$E$3:$N$3)*$E$2</f>
        <v>16980.309140258</v>
      </c>
      <c r="P313" s="15" t="n">
        <f aca="false">N313*$E$2*(1+$I$292)/($F$292-$I$292)/(1+$F$292)^$N$3</f>
        <v>44034.6559006347</v>
      </c>
      <c r="Q313" s="15" t="n">
        <f aca="false">O313+P313</f>
        <v>61014.9650408927</v>
      </c>
      <c r="R313" s="15" t="n">
        <f aca="false">Q313-$G$2+$I$2</f>
        <v>52249.9650408927</v>
      </c>
      <c r="S313" s="40" t="n">
        <f aca="false">R313/$K$2</f>
        <v>93.4737647874569</v>
      </c>
      <c r="T313" s="41" t="n">
        <f aca="false">S313-$M$2</f>
        <v>-6.25408911929526E-005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0.0240120887756348</v>
      </c>
      <c r="C314" s="25" t="n">
        <f aca="false">IF(T313&gt;0,D313,C313)</f>
        <v>0.0240135192871094</v>
      </c>
      <c r="D314" s="39" t="n">
        <f aca="false">(B314+C314)/2</f>
        <v>0.0240128040313721</v>
      </c>
      <c r="E314" s="15" t="n">
        <f aca="false">$C$2*(1+IF(E$3&lt;=$O$2,$D314,$D314-($D314-$I$292)*MIN(E$3-$O$2,$Q$2)/$Q$2))</f>
        <v>5744.711830616</v>
      </c>
      <c r="F314" s="15" t="n">
        <f aca="false">E314*(1+IF(F$3&lt;=$O$2,$D314,$D314-($D314-$I$292)*MIN(F$3-$O$2,$Q$2)/$Q$2))</f>
        <v>5882.65847002128</v>
      </c>
      <c r="G314" s="15" t="n">
        <f aca="false">F314*(1+IF(G$3&lt;=$O$2,$D314,$D314-($D314-$I$292)*MIN(G$3-$O$2,$Q$2)/$Q$2))</f>
        <v>6023.9175950454</v>
      </c>
      <c r="H314" s="15" t="n">
        <f aca="false">G314*(1+IF(H$3&lt;=$O$2,$D314,$D314-($D314-$I$292)*MIN(H$3-$O$2,$Q$2)/$Q$2))</f>
        <v>6168.56874775636</v>
      </c>
      <c r="I314" s="15" t="n">
        <f aca="false">H314*(1+IF(I$3&lt;=$O$2,$D314,$D314-($D314-$I$292)*MIN(I$3-$O$2,$Q$2)/$Q$2))</f>
        <v>6316.69338025028</v>
      </c>
      <c r="J314" s="15" t="n">
        <f aca="false">I314*(1+IF(J$3&lt;=$O$2,$D314,$D314-($D314-$I$292)*MIN(J$3-$O$2,$Q$2)/$Q$2))</f>
        <v>6486.42446775596</v>
      </c>
      <c r="K314" s="15" t="n">
        <f aca="false">J314*(1+IF(K$3&lt;=$O$2,$D314,$D314-($D314-$I$292)*MIN(K$3-$O$2,$Q$2)/$Q$2))</f>
        <v>6679.2508343671</v>
      </c>
      <c r="L314" s="15" t="n">
        <f aca="false">K314*(1+IF(L$3&lt;=$O$2,$D314,$D314-($D314-$I$292)*MIN(L$3-$O$2,$Q$2)/$Q$2))</f>
        <v>6896.89503508567</v>
      </c>
      <c r="M314" s="15" t="n">
        <f aca="false">L314*(1+IF(M$3&lt;=$O$2,$D314,$D314-($D314-$I$292)*MIN(M$3-$O$2,$Q$2)/$Q$2))</f>
        <v>7141.33865674118</v>
      </c>
      <c r="N314" s="15" t="n">
        <f aca="false">M314*(1+IF(N$3&lt;=$O$2,$D314,$D314-($D314-$I$292)*MIN(N$3-$O$2,$Q$2)/$Q$2))</f>
        <v>7414.85192729437</v>
      </c>
      <c r="O314" s="15" t="n">
        <f aca="false">SUMPRODUCT(E314:N314,1/(1+$F$292)^$E$3:$N$3)*$E$2</f>
        <v>16980.3630930297</v>
      </c>
      <c r="P314" s="15" t="n">
        <f aca="false">N314*$E$2*(1+$I$292)/($F$292-$I$292)/(1+$F$292)^$N$3</f>
        <v>44034.8708625655</v>
      </c>
      <c r="Q314" s="15" t="n">
        <f aca="false">O314+P314</f>
        <v>61015.2339555952</v>
      </c>
      <c r="R314" s="15" t="n">
        <f aca="false">Q314-$G$2+$I$2</f>
        <v>52250.2339555952</v>
      </c>
      <c r="S314" s="40" t="n">
        <f aca="false">R314/$K$2</f>
        <v>93.4742458685378</v>
      </c>
      <c r="T314" s="41" t="n">
        <f aca="false">S314-$M$2</f>
        <v>0.000418540189684791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0.0240120887756348</v>
      </c>
      <c r="C315" s="25" t="n">
        <f aca="false">IF(T314&gt;0,D314,C314)</f>
        <v>0.0240128040313721</v>
      </c>
      <c r="D315" s="39" t="n">
        <f aca="false">(B315+C315)/2</f>
        <v>0.0240124464035034</v>
      </c>
      <c r="E315" s="15" t="n">
        <f aca="false">$C$2*(1+IF(E$3&lt;=$O$2,$D315,$D315-($D315-$I$292)*MIN(E$3-$O$2,$Q$2)/$Q$2))</f>
        <v>5744.70982432365</v>
      </c>
      <c r="F315" s="15" t="n">
        <f aca="false">E315*(1+IF(F$3&lt;=$O$2,$D315,$D315-($D315-$I$292)*MIN(F$3-$O$2,$Q$2)/$Q$2))</f>
        <v>5882.65436108391</v>
      </c>
      <c r="G315" s="15" t="n">
        <f aca="false">F315*(1+IF(G$3&lt;=$O$2,$D315,$D315-($D315-$I$292)*MIN(G$3-$O$2,$Q$2)/$Q$2))</f>
        <v>6023.91128363977</v>
      </c>
      <c r="H315" s="15" t="n">
        <f aca="false">G315*(1+IF(H$3&lt;=$O$2,$D315,$D315-($D315-$I$292)*MIN(H$3-$O$2,$Q$2)/$Q$2))</f>
        <v>6168.56013047763</v>
      </c>
      <c r="I315" s="15" t="n">
        <f aca="false">H315*(1+IF(I$3&lt;=$O$2,$D315,$D315-($D315-$I$292)*MIN(I$3-$O$2,$Q$2)/$Q$2))</f>
        <v>6316.68234999751</v>
      </c>
      <c r="J315" s="15" t="n">
        <f aca="false">I315*(1+IF(J$3&lt;=$O$2,$D315,$D315-($D315-$I$292)*MIN(J$3-$O$2,$Q$2)/$Q$2))</f>
        <v>6486.41133390031</v>
      </c>
      <c r="K315" s="15" t="n">
        <f aca="false">J315*(1+IF(K$3&lt;=$O$2,$D315,$D315-($D315-$I$292)*MIN(K$3-$O$2,$Q$2)/$Q$2))</f>
        <v>6679.23591823948</v>
      </c>
      <c r="L315" s="15" t="n">
        <f aca="false">K315*(1+IF(L$3&lt;=$O$2,$D315,$D315-($D315-$I$292)*MIN(L$3-$O$2,$Q$2)/$Q$2))</f>
        <v>6896.87867744185</v>
      </c>
      <c r="M315" s="15" t="n">
        <f aca="false">L315*(1+IF(M$3&lt;=$O$2,$D315,$D315-($D315-$I$292)*MIN(M$3-$O$2,$Q$2)/$Q$2))</f>
        <v>7141.32122603738</v>
      </c>
      <c r="N315" s="15" t="n">
        <f aca="false">M315*(1+IF(N$3&lt;=$O$2,$D315,$D315-($D315-$I$292)*MIN(N$3-$O$2,$Q$2)/$Q$2))</f>
        <v>7414.83382899461</v>
      </c>
      <c r="O315" s="15" t="n">
        <f aca="false">SUMPRODUCT(E315:N315,1/(1+$F$292)^$E$3:$N$3)*$E$2</f>
        <v>16980.3361166222</v>
      </c>
      <c r="P315" s="15" t="n">
        <f aca="false">N315*$E$2*(1+$I$292)/($F$292-$I$292)/(1+$F$292)^$N$3</f>
        <v>44034.7633814855</v>
      </c>
      <c r="Q315" s="15" t="n">
        <f aca="false">O315+P315</f>
        <v>61015.0994981077</v>
      </c>
      <c r="R315" s="15" t="n">
        <f aca="false">Q315-$G$2+$I$2</f>
        <v>52250.0994981077</v>
      </c>
      <c r="S315" s="40" t="n">
        <f aca="false">R315/$K$2</f>
        <v>93.4740053277537</v>
      </c>
      <c r="T315" s="41" t="n">
        <f aca="false">S315-$M$2</f>
        <v>0.000177999405579499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0.0240120887756348</v>
      </c>
      <c r="C316" s="25" t="n">
        <f aca="false">IF(T315&gt;0,D315,C315)</f>
        <v>0.0240124464035034</v>
      </c>
      <c r="D316" s="39" t="n">
        <f aca="false">(B316+C316)/2</f>
        <v>0.0240122675895691</v>
      </c>
      <c r="E316" s="15" t="n">
        <f aca="false">$C$2*(1+IF(E$3&lt;=$O$2,$D316,$D316-($D316-$I$292)*MIN(E$3-$O$2,$Q$2)/$Q$2))</f>
        <v>5744.70882117748</v>
      </c>
      <c r="F316" s="15" t="n">
        <f aca="false">E316*(1+IF(F$3&lt;=$O$2,$D316,$D316-($D316-$I$292)*MIN(F$3-$O$2,$Q$2)/$Q$2))</f>
        <v>5882.65230661575</v>
      </c>
      <c r="G316" s="15" t="n">
        <f aca="false">F316*(1+IF(G$3&lt;=$O$2,$D316,$D316-($D316-$I$292)*MIN(G$3-$O$2,$Q$2)/$Q$2))</f>
        <v>6023.90812793861</v>
      </c>
      <c r="H316" s="15" t="n">
        <f aca="false">G316*(1+IF(H$3&lt;=$O$2,$D316,$D316-($D316-$I$292)*MIN(H$3-$O$2,$Q$2)/$Q$2))</f>
        <v>6168.55582184165</v>
      </c>
      <c r="I316" s="15" t="n">
        <f aca="false">H316*(1+IF(I$3&lt;=$O$2,$D316,$D316-($D316-$I$292)*MIN(I$3-$O$2,$Q$2)/$Q$2))</f>
        <v>6316.67683487691</v>
      </c>
      <c r="J316" s="15" t="n">
        <f aca="false">I316*(1+IF(J$3&lt;=$O$2,$D316,$D316-($D316-$I$292)*MIN(J$3-$O$2,$Q$2)/$Q$2))</f>
        <v>6486.40476698078</v>
      </c>
      <c r="K316" s="15" t="n">
        <f aca="false">J316*(1+IF(K$3&lt;=$O$2,$D316,$D316-($D316-$I$292)*MIN(K$3-$O$2,$Q$2)/$Q$2))</f>
        <v>6679.22846018632</v>
      </c>
      <c r="L316" s="15" t="n">
        <f aca="false">K316*(1+IF(L$3&lt;=$O$2,$D316,$D316-($D316-$I$292)*MIN(L$3-$O$2,$Q$2)/$Q$2))</f>
        <v>6896.87049863255</v>
      </c>
      <c r="M316" s="15" t="n">
        <f aca="false">L316*(1+IF(M$3&lt;=$O$2,$D316,$D316-($D316-$I$292)*MIN(M$3-$O$2,$Q$2)/$Q$2))</f>
        <v>7141.31251069941</v>
      </c>
      <c r="N316" s="15" t="n">
        <f aca="false">M316*(1+IF(N$3&lt;=$O$2,$D316,$D316-($D316-$I$292)*MIN(N$3-$O$2,$Q$2)/$Q$2))</f>
        <v>7414.82477985919</v>
      </c>
      <c r="O316" s="15" t="n">
        <f aca="false">SUMPRODUCT(E316:N316,1/(1+$F$292)^$E$3:$N$3)*$E$2</f>
        <v>16980.3226284347</v>
      </c>
      <c r="P316" s="15" t="n">
        <f aca="false">N316*$E$2*(1+$I$292)/($F$292-$I$292)/(1+$F$292)^$N$3</f>
        <v>44034.7096410315</v>
      </c>
      <c r="Q316" s="15" t="n">
        <f aca="false">O316+P316</f>
        <v>61015.0322694661</v>
      </c>
      <c r="R316" s="15" t="n">
        <f aca="false">Q316-$G$2+$I$2</f>
        <v>52250.0322694661</v>
      </c>
      <c r="S316" s="40" t="n">
        <f aca="false">R316/$K$2</f>
        <v>93.4738850575444</v>
      </c>
      <c r="T316" s="41" t="n">
        <f aca="false">S316-$M$2</f>
        <v>5.77291962713389E-005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0.0240120887756348</v>
      </c>
      <c r="C317" s="25" t="n">
        <f aca="false">IF(T316&gt;0,D316,C316)</f>
        <v>0.0240122675895691</v>
      </c>
      <c r="D317" s="39" t="n">
        <f aca="false">(B317+C317)/2</f>
        <v>0.0240121781826019</v>
      </c>
      <c r="E317" s="15" t="n">
        <f aca="false">$C$2*(1+IF(E$3&lt;=$O$2,$D317,$D317-($D317-$I$292)*MIN(E$3-$O$2,$Q$2)/$Q$2))</f>
        <v>5744.7083196044</v>
      </c>
      <c r="F317" s="15" t="n">
        <f aca="false">E317*(1+IF(F$3&lt;=$O$2,$D317,$D317-($D317-$I$292)*MIN(F$3-$O$2,$Q$2)/$Q$2))</f>
        <v>5882.65127938181</v>
      </c>
      <c r="G317" s="15" t="n">
        <f aca="false">F317*(1+IF(G$3&lt;=$O$2,$D317,$D317-($D317-$I$292)*MIN(G$3-$O$2,$Q$2)/$Q$2))</f>
        <v>6023.90655008844</v>
      </c>
      <c r="H317" s="15" t="n">
        <f aca="false">G317*(1+IF(H$3&lt;=$O$2,$D317,$D317-($D317-$I$292)*MIN(H$3-$O$2,$Q$2)/$Q$2))</f>
        <v>6168.55366752451</v>
      </c>
      <c r="I317" s="15" t="n">
        <f aca="false">H317*(1+IF(I$3&lt;=$O$2,$D317,$D317-($D317-$I$292)*MIN(I$3-$O$2,$Q$2)/$Q$2))</f>
        <v>6316.67407731805</v>
      </c>
      <c r="J317" s="15" t="n">
        <f aca="false">I317*(1+IF(J$3&lt;=$O$2,$D317,$D317-($D317-$I$292)*MIN(J$3-$O$2,$Q$2)/$Q$2))</f>
        <v>6486.40148352309</v>
      </c>
      <c r="K317" s="15" t="n">
        <f aca="false">J317*(1+IF(K$3&lt;=$O$2,$D317,$D317-($D317-$I$292)*MIN(K$3-$O$2,$Q$2)/$Q$2))</f>
        <v>6679.22473116242</v>
      </c>
      <c r="L317" s="15" t="n">
        <f aca="false">K317*(1+IF(L$3&lt;=$O$2,$D317,$D317-($D317-$I$292)*MIN(L$3-$O$2,$Q$2)/$Q$2))</f>
        <v>6896.86640923105</v>
      </c>
      <c r="M317" s="15" t="n">
        <f aca="false">L317*(1+IF(M$3&lt;=$O$2,$D317,$D317-($D317-$I$292)*MIN(M$3-$O$2,$Q$2)/$Q$2))</f>
        <v>7141.3081530339</v>
      </c>
      <c r="N317" s="15" t="n">
        <f aca="false">M317*(1+IF(N$3&lt;=$O$2,$D317,$D317-($D317-$I$292)*MIN(N$3-$O$2,$Q$2)/$Q$2))</f>
        <v>7414.8202552951</v>
      </c>
      <c r="O317" s="15" t="n">
        <f aca="false">SUMPRODUCT(E317:N317,1/(1+$F$292)^$E$3:$N$3)*$E$2</f>
        <v>16980.315884345</v>
      </c>
      <c r="P317" s="15" t="n">
        <f aca="false">N317*$E$2*(1+$I$292)/($F$292-$I$292)/(1+$F$292)^$N$3</f>
        <v>44034.6827708259</v>
      </c>
      <c r="Q317" s="15" t="n">
        <f aca="false">O317+P317</f>
        <v>61014.9986551709</v>
      </c>
      <c r="R317" s="15" t="n">
        <f aca="false">Q317-$G$2+$I$2</f>
        <v>52249.9986551709</v>
      </c>
      <c r="S317" s="40" t="n">
        <f aca="false">R317/$K$2</f>
        <v>93.4738249224854</v>
      </c>
      <c r="T317" s="41" t="n">
        <f aca="false">S317-$M$2</f>
        <v>-2.40586268773768E-006</v>
      </c>
    </row>
    <row r="319" customFormat="false" ht="15" hidden="false" customHeight="false" outlineLevel="0" collapsed="false">
      <c r="A319" s="36" t="s">
        <v>197</v>
      </c>
      <c r="E319" s="5" t="s">
        <v>11</v>
      </c>
      <c r="F319" s="12" t="n">
        <f aca="false">Sensitivity!$B$12</f>
        <v>0.0767360315529091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6" t="s">
        <v>167</v>
      </c>
      <c r="B320" s="28" t="s">
        <v>168</v>
      </c>
      <c r="C320" s="28" t="s">
        <v>169</v>
      </c>
      <c r="D320" s="28" t="s">
        <v>170</v>
      </c>
      <c r="E320" s="28" t="s">
        <v>171</v>
      </c>
      <c r="F320" s="28" t="s">
        <v>172</v>
      </c>
      <c r="G320" s="28" t="s">
        <v>173</v>
      </c>
      <c r="H320" s="28" t="s">
        <v>174</v>
      </c>
      <c r="I320" s="28" t="s">
        <v>175</v>
      </c>
      <c r="J320" s="28" t="s">
        <v>176</v>
      </c>
      <c r="K320" s="28" t="s">
        <v>177</v>
      </c>
      <c r="L320" s="28" t="s">
        <v>178</v>
      </c>
      <c r="M320" s="28" t="s">
        <v>179</v>
      </c>
      <c r="N320" s="28" t="s">
        <v>180</v>
      </c>
      <c r="O320" s="28" t="s">
        <v>181</v>
      </c>
      <c r="P320" s="28" t="s">
        <v>182</v>
      </c>
      <c r="Q320" s="28" t="s">
        <v>183</v>
      </c>
      <c r="R320" s="28" t="s">
        <v>184</v>
      </c>
      <c r="S320" s="28" t="s">
        <v>185</v>
      </c>
      <c r="T320" s="28" t="s">
        <v>186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39" t="n">
        <f aca="false">(B321+C321)/2</f>
        <v>0.25</v>
      </c>
      <c r="E321" s="15" t="n">
        <f aca="false">$C$2*(1+IF(E$3&lt;=$O$2,$D321,$D321-($D321-$I$319)*MIN(E$3-$O$2,$Q$2)/$Q$2))</f>
        <v>7012.5</v>
      </c>
      <c r="F321" s="15" t="n">
        <f aca="false">E321*(1+IF(F$3&lt;=$O$2,$D321,$D321-($D321-$I$319)*MIN(F$3-$O$2,$Q$2)/$Q$2))</f>
        <v>8765.625</v>
      </c>
      <c r="G321" s="15" t="n">
        <f aca="false">F321*(1+IF(G$3&lt;=$O$2,$D321,$D321-($D321-$I$319)*MIN(G$3-$O$2,$Q$2)/$Q$2))</f>
        <v>10957.03125</v>
      </c>
      <c r="H321" s="15" t="n">
        <f aca="false">G321*(1+IF(H$3&lt;=$O$2,$D321,$D321-($D321-$I$319)*MIN(H$3-$O$2,$Q$2)/$Q$2))</f>
        <v>13696.2890625</v>
      </c>
      <c r="I321" s="15" t="n">
        <f aca="false">H321*(1+IF(I$3&lt;=$O$2,$D321,$D321-($D321-$I$319)*MIN(I$3-$O$2,$Q$2)/$Q$2))</f>
        <v>17120.361328125</v>
      </c>
      <c r="J321" s="15" t="n">
        <f aca="false">I321*(1+IF(J$3&lt;=$O$2,$D321,$D321-($D321-$I$319)*MIN(J$3-$O$2,$Q$2)/$Q$2))</f>
        <v>20607.0941162109</v>
      </c>
      <c r="K321" s="15" t="n">
        <f aca="false">J321*(1+IF(K$3&lt;=$O$2,$D321,$D321-($D321-$I$319)*MIN(K$3-$O$2,$Q$2)/$Q$2))</f>
        <v>23849.0021625732</v>
      </c>
      <c r="L321" s="15" t="n">
        <f aca="false">K321*(1+IF(L$3&lt;=$O$2,$D321,$D321-($D321-$I$319)*MIN(L$3-$O$2,$Q$2)/$Q$2))</f>
        <v>26495.7644225756</v>
      </c>
      <c r="M321" s="15" t="n">
        <f aca="false">L321*(1+IF(M$3&lt;=$O$2,$D321,$D321-($D321-$I$319)*MIN(M$3-$O$2,$Q$2)/$Q$2))</f>
        <v>28208.4506348509</v>
      </c>
      <c r="N321" s="15" t="n">
        <f aca="false">M321*(1+IF(N$3&lt;=$O$2,$D321,$D321-($D321-$I$319)*MIN(N$3-$O$2,$Q$2)/$Q$2))</f>
        <v>28724.6652814687</v>
      </c>
      <c r="O321" s="15" t="n">
        <f aca="false">SUMPRODUCT(E321:N321,1/(1+$F$319)^$E$3:$N$3)*$E$2</f>
        <v>44042.6048238277</v>
      </c>
      <c r="P321" s="15" t="n">
        <f aca="false">N321*$E$2*(1+$I$319)/($F$319-$I$319)/(1+$F$319)^$N$3</f>
        <v>91373.8611141519</v>
      </c>
      <c r="Q321" s="15" t="n">
        <f aca="false">O321+P321</f>
        <v>135416.46593798</v>
      </c>
      <c r="R321" s="15" t="n">
        <f aca="false">Q321-$G$2+$I$2</f>
        <v>126651.46593798</v>
      </c>
      <c r="S321" s="40" t="n">
        <f aca="false">R321/$K$2</f>
        <v>226.576024075959</v>
      </c>
      <c r="T321" s="41" t="n">
        <f aca="false">S321-$M$2</f>
        <v>133.102196747611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39" t="n">
        <f aca="false">(B322+C322)/2</f>
        <v>-0.125</v>
      </c>
      <c r="E322" s="15" t="n">
        <f aca="false">$C$2*(1+IF(E$3&lt;=$O$2,$D322,$D322-($D322-$I$319)*MIN(E$3-$O$2,$Q$2)/$Q$2))</f>
        <v>4908.75</v>
      </c>
      <c r="F322" s="15" t="n">
        <f aca="false">E322*(1+IF(F$3&lt;=$O$2,$D322,$D322-($D322-$I$319)*MIN(F$3-$O$2,$Q$2)/$Q$2))</f>
        <v>4295.15625</v>
      </c>
      <c r="G322" s="15" t="n">
        <f aca="false">F322*(1+IF(G$3&lt;=$O$2,$D322,$D322-($D322-$I$319)*MIN(G$3-$O$2,$Q$2)/$Q$2))</f>
        <v>3758.26171875</v>
      </c>
      <c r="H322" s="15" t="n">
        <f aca="false">G322*(1+IF(H$3&lt;=$O$2,$D322,$D322-($D322-$I$319)*MIN(H$3-$O$2,$Q$2)/$Q$2))</f>
        <v>3288.47900390625</v>
      </c>
      <c r="I322" s="15" t="n">
        <f aca="false">H322*(1+IF(I$3&lt;=$O$2,$D322,$D322-($D322-$I$319)*MIN(I$3-$O$2,$Q$2)/$Q$2))</f>
        <v>2877.41912841797</v>
      </c>
      <c r="J322" s="15" t="n">
        <f aca="false">I322*(1+IF(J$3&lt;=$O$2,$D322,$D322-($D322-$I$319)*MIN(J$3-$O$2,$Q$2)/$Q$2))</f>
        <v>2600.20856958618</v>
      </c>
      <c r="K322" s="15" t="n">
        <f aca="false">J322*(1+IF(K$3&lt;=$O$2,$D322,$D322-($D322-$I$319)*MIN(K$3-$O$2,$Q$2)/$Q$2))</f>
        <v>2424.22645359659</v>
      </c>
      <c r="L322" s="15" t="n">
        <f aca="false">K322*(1+IF(L$3&lt;=$O$2,$D322,$D322-($D322-$I$319)*MIN(L$3-$O$2,$Q$2)/$Q$2))</f>
        <v>2329.63313737725</v>
      </c>
      <c r="M322" s="15" t="n">
        <f aca="false">L322*(1+IF(M$3&lt;=$O$2,$D322,$D322-($D322-$I$319)*MIN(M$3-$O$2,$Q$2)/$Q$2))</f>
        <v>2305.49813807402</v>
      </c>
      <c r="N322" s="15" t="n">
        <f aca="false">M322*(1+IF(N$3&lt;=$O$2,$D322,$D322-($D322-$I$319)*MIN(N$3-$O$2,$Q$2)/$Q$2))</f>
        <v>2347.68875400078</v>
      </c>
      <c r="O322" s="15" t="n">
        <f aca="false">SUMPRODUCT(E322:N322,1/(1+$F$319)^$E$3:$N$3)*$E$2</f>
        <v>8571.58300635301</v>
      </c>
      <c r="P322" s="15" t="n">
        <f aca="false">N322*$E$2*(1+$I$319)/($F$319-$I$319)/(1+$F$319)^$N$3</f>
        <v>7468.05520779092</v>
      </c>
      <c r="Q322" s="15" t="n">
        <f aca="false">O322+P322</f>
        <v>16039.6382141439</v>
      </c>
      <c r="R322" s="15" t="n">
        <f aca="false">Q322-$G$2+$I$2</f>
        <v>7274.63821414393</v>
      </c>
      <c r="S322" s="40" t="n">
        <f aca="false">R322/$K$2</f>
        <v>13.0141296900496</v>
      </c>
      <c r="T322" s="41" t="n">
        <f aca="false">S322-$M$2</f>
        <v>-80.4596976382985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39" t="n">
        <f aca="false">(B323+C323)/2</f>
        <v>0.0625</v>
      </c>
      <c r="E323" s="15" t="n">
        <f aca="false">$C$2*(1+IF(E$3&lt;=$O$2,$D323,$D323-($D323-$I$319)*MIN(E$3-$O$2,$Q$2)/$Q$2))</f>
        <v>5960.625</v>
      </c>
      <c r="F323" s="15" t="n">
        <f aca="false">E323*(1+IF(F$3&lt;=$O$2,$D323,$D323-($D323-$I$319)*MIN(F$3-$O$2,$Q$2)/$Q$2))</f>
        <v>6333.1640625</v>
      </c>
      <c r="G323" s="15" t="n">
        <f aca="false">F323*(1+IF(G$3&lt;=$O$2,$D323,$D323-($D323-$I$319)*MIN(G$3-$O$2,$Q$2)/$Q$2))</f>
        <v>6728.98681640625</v>
      </c>
      <c r="H323" s="15" t="n">
        <f aca="false">G323*(1+IF(H$3&lt;=$O$2,$D323,$D323-($D323-$I$319)*MIN(H$3-$O$2,$Q$2)/$Q$2))</f>
        <v>7149.54849243164</v>
      </c>
      <c r="I323" s="15" t="n">
        <f aca="false">H323*(1+IF(I$3&lt;=$O$2,$D323,$D323-($D323-$I$319)*MIN(I$3-$O$2,$Q$2)/$Q$2))</f>
        <v>7596.39527320862</v>
      </c>
      <c r="J323" s="15" t="n">
        <f aca="false">I323*(1+IF(J$3&lt;=$O$2,$D323,$D323-($D323-$I$319)*MIN(J$3-$O$2,$Q$2)/$Q$2))</f>
        <v>8004.01784356899</v>
      </c>
      <c r="K323" s="15" t="n">
        <f aca="false">J323*(1+IF(K$3&lt;=$O$2,$D323,$D323-($D323-$I$319)*MIN(K$3-$O$2,$Q$2)/$Q$2))</f>
        <v>8362.75792331776</v>
      </c>
      <c r="L323" s="15" t="n">
        <f aca="false">K323*(1+IF(L$3&lt;=$O$2,$D323,$D323-($D323-$I$319)*MIN(L$3-$O$2,$Q$2)/$Q$2))</f>
        <v>8663.64995339873</v>
      </c>
      <c r="M323" s="15" t="n">
        <f aca="false">L323*(1+IF(M$3&lt;=$O$2,$D323,$D323-($D323-$I$319)*MIN(M$3-$O$2,$Q$2)/$Q$2))</f>
        <v>8898.78141313397</v>
      </c>
      <c r="N323" s="15" t="n">
        <f aca="false">M323*(1+IF(N$3&lt;=$O$2,$D323,$D323-($D323-$I$319)*MIN(N$3-$O$2,$Q$2)/$Q$2))</f>
        <v>9061.62911299432</v>
      </c>
      <c r="O323" s="15" t="n">
        <f aca="false">SUMPRODUCT(E323:N323,1/(1+$F$319)^$E$3:$N$3)*$E$2</f>
        <v>19413.3858762079</v>
      </c>
      <c r="P323" s="15" t="n">
        <f aca="false">N323*$E$2*(1+$I$319)/($F$319-$I$319)/(1+$F$319)^$N$3</f>
        <v>28825.2633033419</v>
      </c>
      <c r="Q323" s="15" t="n">
        <f aca="false">O323+P323</f>
        <v>48238.6491795498</v>
      </c>
      <c r="R323" s="15" t="n">
        <f aca="false">Q323-$G$2+$I$2</f>
        <v>39473.6491795498</v>
      </c>
      <c r="S323" s="40" t="n">
        <f aca="false">R323/$K$2</f>
        <v>70.6172835871583</v>
      </c>
      <c r="T323" s="41" t="n">
        <f aca="false">S323-$M$2</f>
        <v>-22.8565437411897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0.0625</v>
      </c>
      <c r="C324" s="25" t="n">
        <f aca="false">IF(T323&gt;0,D323,C323)</f>
        <v>0.25</v>
      </c>
      <c r="D324" s="39" t="n">
        <f aca="false">(B324+C324)/2</f>
        <v>0.15625</v>
      </c>
      <c r="E324" s="15" t="n">
        <f aca="false">$C$2*(1+IF(E$3&lt;=$O$2,$D324,$D324-($D324-$I$319)*MIN(E$3-$O$2,$Q$2)/$Q$2))</f>
        <v>6486.5625</v>
      </c>
      <c r="F324" s="15" t="n">
        <f aca="false">E324*(1+IF(F$3&lt;=$O$2,$D324,$D324-($D324-$I$319)*MIN(F$3-$O$2,$Q$2)/$Q$2))</f>
        <v>7500.087890625</v>
      </c>
      <c r="G324" s="15" t="n">
        <f aca="false">F324*(1+IF(G$3&lt;=$O$2,$D324,$D324-($D324-$I$319)*MIN(G$3-$O$2,$Q$2)/$Q$2))</f>
        <v>8671.97662353516</v>
      </c>
      <c r="H324" s="15" t="n">
        <f aca="false">G324*(1+IF(H$3&lt;=$O$2,$D324,$D324-($D324-$I$319)*MIN(H$3-$O$2,$Q$2)/$Q$2))</f>
        <v>10026.9729709625</v>
      </c>
      <c r="I324" s="15" t="n">
        <f aca="false">H324*(1+IF(I$3&lt;=$O$2,$D324,$D324-($D324-$I$319)*MIN(I$3-$O$2,$Q$2)/$Q$2))</f>
        <v>11593.6874976754</v>
      </c>
      <c r="J324" s="15" t="n">
        <f aca="false">I324*(1+IF(J$3&lt;=$O$2,$D324,$D324-($D324-$I$319)*MIN(J$3-$O$2,$Q$2)/$Q$2))</f>
        <v>13085.3313311263</v>
      </c>
      <c r="K324" s="15" t="n">
        <f aca="false">J324*(1+IF(K$3&lt;=$O$2,$D324,$D324-($D324-$I$319)*MIN(K$3-$O$2,$Q$2)/$Q$2))</f>
        <v>14407.8657687633</v>
      </c>
      <c r="L324" s="15" t="n">
        <f aca="false">K324*(1+IF(L$3&lt;=$O$2,$D324,$D324-($D324-$I$319)*MIN(L$3-$O$2,$Q$2)/$Q$2))</f>
        <v>15466.555745452</v>
      </c>
      <c r="M324" s="15" t="n">
        <f aca="false">L324*(1+IF(M$3&lt;=$O$2,$D324,$D324-($D324-$I$319)*MIN(M$3-$O$2,$Q$2)/$Q$2))</f>
        <v>16176.3159886108</v>
      </c>
      <c r="N324" s="15" t="n">
        <f aca="false">M324*(1+IF(N$3&lt;=$O$2,$D324,$D324-($D324-$I$319)*MIN(N$3-$O$2,$Q$2)/$Q$2))</f>
        <v>16472.3425712024</v>
      </c>
      <c r="O324" s="15" t="n">
        <f aca="false">SUMPRODUCT(E324:N324,1/(1+$F$319)^$E$3:$N$3)*$E$2</f>
        <v>29301.9609098079</v>
      </c>
      <c r="P324" s="15" t="n">
        <f aca="false">N324*$E$2*(1+$I$319)/($F$319-$I$319)/(1+$F$319)^$N$3</f>
        <v>52398.9236280779</v>
      </c>
      <c r="Q324" s="15" t="n">
        <f aca="false">O324+P324</f>
        <v>81700.8845378858</v>
      </c>
      <c r="R324" s="15" t="n">
        <f aca="false">Q324-$G$2+$I$2</f>
        <v>72935.8845378858</v>
      </c>
      <c r="S324" s="40" t="n">
        <f aca="false">R324/$K$2</f>
        <v>130.480311527936</v>
      </c>
      <c r="T324" s="41" t="n">
        <f aca="false">S324-$M$2</f>
        <v>37.0064841995881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0.0625</v>
      </c>
      <c r="C325" s="25" t="n">
        <f aca="false">IF(T324&gt;0,D324,C324)</f>
        <v>0.15625</v>
      </c>
      <c r="D325" s="39" t="n">
        <f aca="false">(B325+C325)/2</f>
        <v>0.109375</v>
      </c>
      <c r="E325" s="15" t="n">
        <f aca="false">$C$2*(1+IF(E$3&lt;=$O$2,$D325,$D325-($D325-$I$319)*MIN(E$3-$O$2,$Q$2)/$Q$2))</f>
        <v>6223.59375</v>
      </c>
      <c r="F325" s="15" t="n">
        <f aca="false">E325*(1+IF(F$3&lt;=$O$2,$D325,$D325-($D325-$I$319)*MIN(F$3-$O$2,$Q$2)/$Q$2))</f>
        <v>6904.29931640625</v>
      </c>
      <c r="G325" s="15" t="n">
        <f aca="false">F325*(1+IF(G$3&lt;=$O$2,$D325,$D325-($D325-$I$319)*MIN(G$3-$O$2,$Q$2)/$Q$2))</f>
        <v>7659.45705413818</v>
      </c>
      <c r="H325" s="15" t="n">
        <f aca="false">G325*(1+IF(H$3&lt;=$O$2,$D325,$D325-($D325-$I$319)*MIN(H$3-$O$2,$Q$2)/$Q$2))</f>
        <v>8497.21016943455</v>
      </c>
      <c r="I325" s="15" t="n">
        <f aca="false">H325*(1+IF(I$3&lt;=$O$2,$D325,$D325-($D325-$I$319)*MIN(I$3-$O$2,$Q$2)/$Q$2))</f>
        <v>9426.59253171645</v>
      </c>
      <c r="J325" s="15" t="n">
        <f aca="false">I325*(1+IF(J$3&lt;=$O$2,$D325,$D325-($D325-$I$319)*MIN(J$3-$O$2,$Q$2)/$Q$2))</f>
        <v>10285.9207069077</v>
      </c>
      <c r="K325" s="15" t="n">
        <f aca="false">J325*(1+IF(K$3&lt;=$O$2,$D325,$D325-($D325-$I$319)*MIN(K$3-$O$2,$Q$2)/$Q$2))</f>
        <v>11036.2271928731</v>
      </c>
      <c r="L325" s="15" t="n">
        <f aca="false">K325*(1+IF(L$3&lt;=$O$2,$D325,$D325-($D325-$I$319)*MIN(L$3-$O$2,$Q$2)/$Q$2))</f>
        <v>11640.2399071391</v>
      </c>
      <c r="M325" s="15" t="n">
        <f aca="false">L325*(1+IF(M$3&lt;=$O$2,$D325,$D325-($D325-$I$319)*MIN(M$3-$O$2,$Q$2)/$Q$2))</f>
        <v>12065.2832673482</v>
      </c>
      <c r="N325" s="15" t="n">
        <f aca="false">M325*(1+IF(N$3&lt;=$O$2,$D325,$D325-($D325-$I$319)*MIN(N$3-$O$2,$Q$2)/$Q$2))</f>
        <v>12286.0779511407</v>
      </c>
      <c r="O325" s="15" t="n">
        <f aca="false">SUMPRODUCT(E325:N325,1/(1+$F$319)^$E$3:$N$3)*$E$2</f>
        <v>23857.072668257</v>
      </c>
      <c r="P325" s="15" t="n">
        <f aca="false">N325*$E$2*(1+$I$319)/($F$319-$I$319)/(1+$F$319)^$N$3</f>
        <v>39082.3137308904</v>
      </c>
      <c r="Q325" s="15" t="n">
        <f aca="false">O325+P325</f>
        <v>62939.3863991474</v>
      </c>
      <c r="R325" s="15" t="n">
        <f aca="false">Q325-$G$2+$I$2</f>
        <v>54174.3863991474</v>
      </c>
      <c r="S325" s="40" t="n">
        <f aca="false">R325/$K$2</f>
        <v>96.9165021989113</v>
      </c>
      <c r="T325" s="41" t="n">
        <f aca="false">S325-$M$2</f>
        <v>3.44267487056322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0.0625</v>
      </c>
      <c r="C326" s="25" t="n">
        <f aca="false">IF(T325&gt;0,D325,C325)</f>
        <v>0.109375</v>
      </c>
      <c r="D326" s="39" t="n">
        <f aca="false">(B326+C326)/2</f>
        <v>0.0859375</v>
      </c>
      <c r="E326" s="15" t="n">
        <f aca="false">$C$2*(1+IF(E$3&lt;=$O$2,$D326,$D326-($D326-$I$319)*MIN(E$3-$O$2,$Q$2)/$Q$2))</f>
        <v>6092.109375</v>
      </c>
      <c r="F326" s="15" t="n">
        <f aca="false">E326*(1+IF(F$3&lt;=$O$2,$D326,$D326-($D326-$I$319)*MIN(F$3-$O$2,$Q$2)/$Q$2))</f>
        <v>6615.65002441406</v>
      </c>
      <c r="G326" s="15" t="n">
        <f aca="false">F326*(1+IF(G$3&lt;=$O$2,$D326,$D326-($D326-$I$319)*MIN(G$3-$O$2,$Q$2)/$Q$2))</f>
        <v>7184.18244838715</v>
      </c>
      <c r="H326" s="15" t="n">
        <f aca="false">G326*(1+IF(H$3&lt;=$O$2,$D326,$D326-($D326-$I$319)*MIN(H$3-$O$2,$Q$2)/$Q$2))</f>
        <v>7801.57312754542</v>
      </c>
      <c r="I326" s="15" t="n">
        <f aca="false">H326*(1+IF(I$3&lt;=$O$2,$D326,$D326-($D326-$I$319)*MIN(I$3-$O$2,$Q$2)/$Q$2))</f>
        <v>8472.02081819385</v>
      </c>
      <c r="J326" s="15" t="n">
        <f aca="false">I326*(1+IF(J$3&lt;=$O$2,$D326,$D326-($D326-$I$319)*MIN(J$3-$O$2,$Q$2)/$Q$2))</f>
        <v>9085.47984563927</v>
      </c>
      <c r="K326" s="15" t="n">
        <f aca="false">J326*(1+IF(K$3&lt;=$O$2,$D326,$D326-($D326-$I$319)*MIN(K$3-$O$2,$Q$2)/$Q$2))</f>
        <v>9620.45561265012</v>
      </c>
      <c r="L326" s="15" t="n">
        <f aca="false">K326*(1+IF(L$3&lt;=$O$2,$D326,$D326-($D326-$I$319)*MIN(L$3-$O$2,$Q$2)/$Q$2))</f>
        <v>10056.7913769619</v>
      </c>
      <c r="M326" s="15" t="n">
        <f aca="false">L326*(1+IF(M$3&lt;=$O$2,$D326,$D326-($D326-$I$319)*MIN(M$3-$O$2,$Q$2)/$Q$2))</f>
        <v>10376.8739045121</v>
      </c>
      <c r="N326" s="15" t="n">
        <f aca="false">M326*(1+IF(N$3&lt;=$O$2,$D326,$D326-($D326-$I$319)*MIN(N$3-$O$2,$Q$2)/$Q$2))</f>
        <v>10566.7706969647</v>
      </c>
      <c r="O326" s="15" t="n">
        <f aca="false">SUMPRODUCT(E326:N326,1/(1+$F$319)^$E$3:$N$3)*$E$2</f>
        <v>21521.5444709409</v>
      </c>
      <c r="P326" s="15" t="n">
        <f aca="false">N326*$E$2*(1+$I$319)/($F$319-$I$319)/(1+$F$319)^$N$3</f>
        <v>33613.1554059374</v>
      </c>
      <c r="Q326" s="15" t="n">
        <f aca="false">O326+P326</f>
        <v>55134.6998768783</v>
      </c>
      <c r="R326" s="15" t="n">
        <f aca="false">Q326-$G$2+$I$2</f>
        <v>46369.6998768783</v>
      </c>
      <c r="S326" s="40" t="n">
        <f aca="false">R326/$K$2</f>
        <v>82.9541305178689</v>
      </c>
      <c r="T326" s="41" t="n">
        <f aca="false">S326-$M$2</f>
        <v>-10.5196968104792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0.0859375</v>
      </c>
      <c r="C327" s="25" t="n">
        <f aca="false">IF(T326&gt;0,D326,C326)</f>
        <v>0.109375</v>
      </c>
      <c r="D327" s="39" t="n">
        <f aca="false">(B327+C327)/2</f>
        <v>0.09765625</v>
      </c>
      <c r="E327" s="15" t="n">
        <f aca="false">$C$2*(1+IF(E$3&lt;=$O$2,$D327,$D327-($D327-$I$319)*MIN(E$3-$O$2,$Q$2)/$Q$2))</f>
        <v>6157.8515625</v>
      </c>
      <c r="F327" s="15" t="n">
        <f aca="false">E327*(1+IF(F$3&lt;=$O$2,$D327,$D327-($D327-$I$319)*MIN(F$3-$O$2,$Q$2)/$Q$2))</f>
        <v>6759.20425415039</v>
      </c>
      <c r="G327" s="15" t="n">
        <f aca="false">F327*(1+IF(G$3&lt;=$O$2,$D327,$D327-($D327-$I$319)*MIN(G$3-$O$2,$Q$2)/$Q$2))</f>
        <v>7419.28279459477</v>
      </c>
      <c r="H327" s="15" t="n">
        <f aca="false">G327*(1+IF(H$3&lt;=$O$2,$D327,$D327-($D327-$I$319)*MIN(H$3-$O$2,$Q$2)/$Q$2))</f>
        <v>8143.82213000441</v>
      </c>
      <c r="I327" s="15" t="n">
        <f aca="false">H327*(1+IF(I$3&lt;=$O$2,$D327,$D327-($D327-$I$319)*MIN(I$3-$O$2,$Q$2)/$Q$2))</f>
        <v>8939.11725988765</v>
      </c>
      <c r="J327" s="15" t="n">
        <f aca="false">I327*(1+IF(J$3&lt;=$O$2,$D327,$D327-($D327-$I$319)*MIN(J$3-$O$2,$Q$2)/$Q$2))</f>
        <v>9670.20296498756</v>
      </c>
      <c r="K327" s="15" t="n">
        <f aca="false">J327*(1+IF(K$3&lt;=$O$2,$D327,$D327-($D327-$I$319)*MIN(K$3-$O$2,$Q$2)/$Q$2))</f>
        <v>10307.602305671</v>
      </c>
      <c r="L327" s="15" t="n">
        <f aca="false">K327*(1+IF(L$3&lt;=$O$2,$D327,$D327-($D327-$I$319)*MIN(L$3-$O$2,$Q$2)/$Q$2))</f>
        <v>10823.4204940526</v>
      </c>
      <c r="M327" s="15" t="n">
        <f aca="false">L327*(1+IF(M$3&lt;=$O$2,$D327,$D327-($D327-$I$319)*MIN(M$3-$O$2,$Q$2)/$Q$2))</f>
        <v>11193.2703016099</v>
      </c>
      <c r="N327" s="15" t="n">
        <f aca="false">M327*(1+IF(N$3&lt;=$O$2,$D327,$D327-($D327-$I$319)*MIN(N$3-$O$2,$Q$2)/$Q$2))</f>
        <v>11398.1071481294</v>
      </c>
      <c r="O327" s="15" t="n">
        <f aca="false">SUMPRODUCT(E327:N327,1/(1+$F$319)^$E$3:$N$3)*$E$2</f>
        <v>22659.5266841632</v>
      </c>
      <c r="P327" s="15" t="n">
        <f aca="false">N327*$E$2*(1+$I$319)/($F$319-$I$319)/(1+$F$319)^$N$3</f>
        <v>36257.6569408905</v>
      </c>
      <c r="Q327" s="15" t="n">
        <f aca="false">O327+P327</f>
        <v>58917.1836250537</v>
      </c>
      <c r="R327" s="15" t="n">
        <f aca="false">Q327-$G$2+$I$2</f>
        <v>50152.1836250537</v>
      </c>
      <c r="S327" s="40" t="n">
        <f aca="false">R327/$K$2</f>
        <v>89.7208909532607</v>
      </c>
      <c r="T327" s="41" t="n">
        <f aca="false">S327-$M$2</f>
        <v>-3.75293637508742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0.09765625</v>
      </c>
      <c r="C328" s="25" t="n">
        <f aca="false">IF(T327&gt;0,D327,C327)</f>
        <v>0.109375</v>
      </c>
      <c r="D328" s="39" t="n">
        <f aca="false">(B328+C328)/2</f>
        <v>0.103515625</v>
      </c>
      <c r="E328" s="15" t="n">
        <f aca="false">$C$2*(1+IF(E$3&lt;=$O$2,$D328,$D328-($D328-$I$319)*MIN(E$3-$O$2,$Q$2)/$Q$2))</f>
        <v>6190.72265625</v>
      </c>
      <c r="F328" s="15" t="n">
        <f aca="false">E328*(1+IF(F$3&lt;=$O$2,$D328,$D328-($D328-$I$319)*MIN(F$3-$O$2,$Q$2)/$Q$2))</f>
        <v>6831.55918121338</v>
      </c>
      <c r="G328" s="15" t="n">
        <f aca="false">F328*(1+IF(G$3&lt;=$O$2,$D328,$D328-($D328-$I$319)*MIN(G$3-$O$2,$Q$2)/$Q$2))</f>
        <v>7538.73229958117</v>
      </c>
      <c r="H328" s="15" t="n">
        <f aca="false">G328*(1+IF(H$3&lt;=$O$2,$D328,$D328-($D328-$I$319)*MIN(H$3-$O$2,$Q$2)/$Q$2))</f>
        <v>8319.10888528</v>
      </c>
      <c r="I328" s="15" t="n">
        <f aca="false">H328*(1+IF(I$3&lt;=$O$2,$D328,$D328-($D328-$I$319)*MIN(I$3-$O$2,$Q$2)/$Q$2))</f>
        <v>9180.26664098281</v>
      </c>
      <c r="J328" s="15" t="n">
        <f aca="false">I328*(1+IF(J$3&lt;=$O$2,$D328,$D328-($D328-$I$319)*MIN(J$3-$O$2,$Q$2)/$Q$2))</f>
        <v>9974.1072480952</v>
      </c>
      <c r="K328" s="15" t="n">
        <f aca="false">J328*(1+IF(K$3&lt;=$O$2,$D328,$D328-($D328-$I$319)*MIN(K$3-$O$2,$Q$2)/$Q$2))</f>
        <v>10666.6032805134</v>
      </c>
      <c r="L328" s="15" t="n">
        <f aca="false">K328*(1+IF(L$3&lt;=$O$2,$D328,$D328-($D328-$I$319)*MIN(L$3-$O$2,$Q$2)/$Q$2))</f>
        <v>11225.3866266172</v>
      </c>
      <c r="M328" s="15" t="n">
        <f aca="false">L328*(1+IF(M$3&lt;=$O$2,$D328,$D328-($D328-$I$319)*MIN(M$3-$O$2,$Q$2)/$Q$2))</f>
        <v>11622.1268693351</v>
      </c>
      <c r="N328" s="15" t="n">
        <f aca="false">M328*(1+IF(N$3&lt;=$O$2,$D328,$D328-($D328-$I$319)*MIN(N$3-$O$2,$Q$2)/$Q$2))</f>
        <v>11834.8117910439</v>
      </c>
      <c r="O328" s="15" t="n">
        <f aca="false">SUMPRODUCT(E328:N328,1/(1+$F$319)^$E$3:$N$3)*$E$2</f>
        <v>23250.6779678014</v>
      </c>
      <c r="P328" s="15" t="n">
        <f aca="false">N328*$E$2*(1+$I$319)/($F$319-$I$319)/(1+$F$319)^$N$3</f>
        <v>37646.8250651686</v>
      </c>
      <c r="Q328" s="15" t="n">
        <f aca="false">O328+P328</f>
        <v>60897.50303297</v>
      </c>
      <c r="R328" s="15" t="n">
        <f aca="false">Q328-$G$2+$I$2</f>
        <v>52132.50303297</v>
      </c>
      <c r="S328" s="40" t="n">
        <f aca="false">R328/$K$2</f>
        <v>93.2636284535583</v>
      </c>
      <c r="T328" s="41" t="n">
        <f aca="false">S328-$M$2</f>
        <v>-0.210198874789768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0.103515625</v>
      </c>
      <c r="C329" s="25" t="n">
        <f aca="false">IF(T328&gt;0,D328,C328)</f>
        <v>0.109375</v>
      </c>
      <c r="D329" s="39" t="n">
        <f aca="false">(B329+C329)/2</f>
        <v>0.1064453125</v>
      </c>
      <c r="E329" s="15" t="n">
        <f aca="false">$C$2*(1+IF(E$3&lt;=$O$2,$D329,$D329-($D329-$I$319)*MIN(E$3-$O$2,$Q$2)/$Q$2))</f>
        <v>6207.158203125</v>
      </c>
      <c r="F329" s="15" t="n">
        <f aca="false">E329*(1+IF(F$3&lt;=$O$2,$D329,$D329-($D329-$I$319)*MIN(F$3-$O$2,$Q$2)/$Q$2))</f>
        <v>6867.88109779358</v>
      </c>
      <c r="G329" s="15" t="n">
        <f aca="false">F329*(1+IF(G$3&lt;=$O$2,$D329,$D329-($D329-$I$319)*MIN(G$3-$O$2,$Q$2)/$Q$2))</f>
        <v>7598.93484746106</v>
      </c>
      <c r="H329" s="15" t="n">
        <f aca="false">G329*(1+IF(H$3&lt;=$O$2,$D329,$D329-($D329-$I$319)*MIN(H$3-$O$2,$Q$2)/$Q$2))</f>
        <v>8407.80584196619</v>
      </c>
      <c r="I329" s="15" t="n">
        <f aca="false">H329*(1+IF(I$3&lt;=$O$2,$D329,$D329-($D329-$I$319)*MIN(I$3-$O$2,$Q$2)/$Q$2))</f>
        <v>9302.77736225361</v>
      </c>
      <c r="J329" s="15" t="n">
        <f aca="false">I329*(1+IF(J$3&lt;=$O$2,$D329,$D329-($D329-$I$319)*MIN(J$3-$O$2,$Q$2)/$Q$2))</f>
        <v>10129.0151621539</v>
      </c>
      <c r="K329" s="15" t="n">
        <f aca="false">J329*(1+IF(K$3&lt;=$O$2,$D329,$D329-($D329-$I$319)*MIN(K$3-$O$2,$Q$2)/$Q$2))</f>
        <v>10850.0712636925</v>
      </c>
      <c r="L329" s="15" t="n">
        <f aca="false">K329*(1+IF(L$3&lt;=$O$2,$D329,$D329-($D329-$I$319)*MIN(L$3-$O$2,$Q$2)/$Q$2))</f>
        <v>11431.1807366922</v>
      </c>
      <c r="M329" s="15" t="n">
        <f aca="false">L329*(1+IF(M$3&lt;=$O$2,$D329,$D329-($D329-$I$319)*MIN(M$3-$O$2,$Q$2)/$Q$2))</f>
        <v>11841.8923438296</v>
      </c>
      <c r="N329" s="15" t="n">
        <f aca="false">M329*(1+IF(N$3&lt;=$O$2,$D329,$D329-($D329-$I$319)*MIN(N$3-$O$2,$Q$2)/$Q$2))</f>
        <v>12058.5989737217</v>
      </c>
      <c r="O329" s="15" t="n">
        <f aca="false">SUMPRODUCT(E329:N329,1/(1+$F$319)^$E$3:$N$3)*$E$2</f>
        <v>23551.947467057</v>
      </c>
      <c r="P329" s="15" t="n">
        <f aca="false">N329*$E$2*(1+$I$319)/($F$319-$I$319)/(1+$F$319)^$N$3</f>
        <v>38358.6975534555</v>
      </c>
      <c r="Q329" s="15" t="n">
        <f aca="false">O329+P329</f>
        <v>61910.6450205125</v>
      </c>
      <c r="R329" s="15" t="n">
        <f aca="false">Q329-$G$2+$I$2</f>
        <v>53145.6450205125</v>
      </c>
      <c r="S329" s="40" t="n">
        <f aca="false">R329/$K$2</f>
        <v>95.0761118832739</v>
      </c>
      <c r="T329" s="41" t="n">
        <f aca="false">S329-$M$2</f>
        <v>1.60228455492586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0.103515625</v>
      </c>
      <c r="C330" s="25" t="n">
        <f aca="false">IF(T329&gt;0,D329,C329)</f>
        <v>0.1064453125</v>
      </c>
      <c r="D330" s="39" t="n">
        <f aca="false">(B330+C330)/2</f>
        <v>0.10498046875</v>
      </c>
      <c r="E330" s="15" t="n">
        <f aca="false">$C$2*(1+IF(E$3&lt;=$O$2,$D330,$D330-($D330-$I$319)*MIN(E$3-$O$2,$Q$2)/$Q$2))</f>
        <v>6198.9404296875</v>
      </c>
      <c r="F330" s="15" t="n">
        <f aca="false">E330*(1+IF(F$3&lt;=$O$2,$D330,$D330-($D330-$I$319)*MIN(F$3-$O$2,$Q$2)/$Q$2))</f>
        <v>6849.70810174942</v>
      </c>
      <c r="G330" s="15" t="n">
        <f aca="false">F330*(1+IF(G$3&lt;=$O$2,$D330,$D330-($D330-$I$319)*MIN(G$3-$O$2,$Q$2)/$Q$2))</f>
        <v>7568.79366907175</v>
      </c>
      <c r="H330" s="15" t="n">
        <f aca="false">G330*(1+IF(H$3&lt;=$O$2,$D330,$D330-($D330-$I$319)*MIN(H$3-$O$2,$Q$2)/$Q$2))</f>
        <v>8363.36917632293</v>
      </c>
      <c r="I330" s="15" t="n">
        <f aca="false">H330*(1+IF(I$3&lt;=$O$2,$D330,$D330-($D330-$I$319)*MIN(I$3-$O$2,$Q$2)/$Q$2))</f>
        <v>9241.35959278261</v>
      </c>
      <c r="J330" s="15" t="n">
        <f aca="false">I330*(1+IF(J$3&lt;=$O$2,$D330,$D330-($D330-$I$319)*MIN(J$3-$O$2,$Q$2)/$Q$2))</f>
        <v>10051.3127784423</v>
      </c>
      <c r="K330" s="15" t="n">
        <f aca="false">J330*(1+IF(K$3&lt;=$O$2,$D330,$D330-($D330-$I$319)*MIN(K$3-$O$2,$Q$2)/$Q$2))</f>
        <v>10758.0033042007</v>
      </c>
      <c r="L330" s="15" t="n">
        <f aca="false">K330*(1+IF(L$3&lt;=$O$2,$D330,$D330-($D330-$I$319)*MIN(L$3-$O$2,$Q$2)/$Q$2))</f>
        <v>11327.8782723565</v>
      </c>
      <c r="M330" s="15" t="n">
        <f aca="false">L330*(1+IF(M$3&lt;=$O$2,$D330,$D330-($D330-$I$319)*MIN(M$3-$O$2,$Q$2)/$Q$2))</f>
        <v>11731.5596044588</v>
      </c>
      <c r="N330" s="15" t="n">
        <f aca="false">M330*(1+IF(N$3&lt;=$O$2,$D330,$D330-($D330-$I$319)*MIN(N$3-$O$2,$Q$2)/$Q$2))</f>
        <v>11946.2471452204</v>
      </c>
      <c r="O330" s="15" t="n">
        <f aca="false">SUMPRODUCT(E330:N330,1/(1+$F$319)^$E$3:$N$3)*$E$2</f>
        <v>23400.833575462</v>
      </c>
      <c r="P330" s="15" t="n">
        <f aca="false">N330*$E$2*(1+$I$319)/($F$319-$I$319)/(1+$F$319)^$N$3</f>
        <v>38001.3036457178</v>
      </c>
      <c r="Q330" s="15" t="n">
        <f aca="false">O330+P330</f>
        <v>61402.1372211797</v>
      </c>
      <c r="R330" s="15" t="n">
        <f aca="false">Q330-$G$2+$I$2</f>
        <v>52637.1372211797</v>
      </c>
      <c r="S330" s="40" t="n">
        <f aca="false">R330/$K$2</f>
        <v>94.1664052760023</v>
      </c>
      <c r="T330" s="41" t="n">
        <f aca="false">S330-$M$2</f>
        <v>0.692577947654172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0.103515625</v>
      </c>
      <c r="C331" s="25" t="n">
        <f aca="false">IF(T330&gt;0,D330,C330)</f>
        <v>0.10498046875</v>
      </c>
      <c r="D331" s="39" t="n">
        <f aca="false">(B331+C331)/2</f>
        <v>0.104248046875</v>
      </c>
      <c r="E331" s="15" t="n">
        <f aca="false">$C$2*(1+IF(E$3&lt;=$O$2,$D331,$D331-($D331-$I$319)*MIN(E$3-$O$2,$Q$2)/$Q$2))</f>
        <v>6194.83154296875</v>
      </c>
      <c r="F331" s="15" t="n">
        <f aca="false">E331*(1+IF(F$3&lt;=$O$2,$D331,$D331-($D331-$I$319)*MIN(F$3-$O$2,$Q$2)/$Q$2))</f>
        <v>6840.63063204289</v>
      </c>
      <c r="G331" s="15" t="n">
        <f aca="false">F331*(1+IF(G$3&lt;=$O$2,$D331,$D331-($D331-$I$319)*MIN(G$3-$O$2,$Q$2)/$Q$2))</f>
        <v>7553.75301482665</v>
      </c>
      <c r="H331" s="15" t="n">
        <f aca="false">G331*(1+IF(H$3&lt;=$O$2,$D331,$D331-($D331-$I$319)*MIN(H$3-$O$2,$Q$2)/$Q$2))</f>
        <v>8341.21701319847</v>
      </c>
      <c r="I331" s="15" t="n">
        <f aca="false">H331*(1+IF(I$3&lt;=$O$2,$D331,$D331-($D331-$I$319)*MIN(I$3-$O$2,$Q$2)/$Q$2))</f>
        <v>9210.77259538494</v>
      </c>
      <c r="J331" s="15" t="n">
        <f aca="false">I331*(1+IF(J$3&lt;=$O$2,$D331,$D331-($D331-$I$319)*MIN(J$3-$O$2,$Q$2)/$Q$2))</f>
        <v>10012.648065707</v>
      </c>
      <c r="K331" s="15" t="n">
        <f aca="false">J331*(1+IF(K$3&lt;=$O$2,$D331,$D331-($D331-$I$319)*MIN(K$3-$O$2,$Q$2)/$Q$2))</f>
        <v>10712.220052486</v>
      </c>
      <c r="L331" s="15" t="n">
        <f aca="false">K331*(1+IF(L$3&lt;=$O$2,$D331,$D331-($D331-$I$319)*MIN(L$3-$O$2,$Q$2)/$Q$2))</f>
        <v>11276.531435929</v>
      </c>
      <c r="M331" s="15" t="n">
        <f aca="false">L331*(1+IF(M$3&lt;=$O$2,$D331,$D331-($D331-$I$319)*MIN(M$3-$O$2,$Q$2)/$Q$2))</f>
        <v>11676.731131695</v>
      </c>
      <c r="N331" s="15" t="n">
        <f aca="false">M331*(1+IF(N$3&lt;=$O$2,$D331,$D331-($D331-$I$319)*MIN(N$3-$O$2,$Q$2)/$Q$2))</f>
        <v>11890.4153114051</v>
      </c>
      <c r="O331" s="15" t="n">
        <f aca="false">SUMPRODUCT(E331:N331,1/(1+$F$319)^$E$3:$N$3)*$E$2</f>
        <v>23325.6363371742</v>
      </c>
      <c r="P331" s="15" t="n">
        <f aca="false">N331*$E$2*(1+$I$319)/($F$319-$I$319)/(1+$F$319)^$N$3</f>
        <v>37823.701220109</v>
      </c>
      <c r="Q331" s="15" t="n">
        <f aca="false">O331+P331</f>
        <v>61149.3375572832</v>
      </c>
      <c r="R331" s="15" t="n">
        <f aca="false">Q331-$G$2+$I$2</f>
        <v>52384.3375572832</v>
      </c>
      <c r="S331" s="40" t="n">
        <f aca="false">R331/$K$2</f>
        <v>93.7141535605625</v>
      </c>
      <c r="T331" s="41" t="n">
        <f aca="false">S331-$M$2</f>
        <v>0.240326232214414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0.103515625</v>
      </c>
      <c r="C332" s="25" t="n">
        <f aca="false">IF(T331&gt;0,D331,C331)</f>
        <v>0.104248046875</v>
      </c>
      <c r="D332" s="39" t="n">
        <f aca="false">(B332+C332)/2</f>
        <v>0.1038818359375</v>
      </c>
      <c r="E332" s="15" t="n">
        <f aca="false">$C$2*(1+IF(E$3&lt;=$O$2,$D332,$D332-($D332-$I$319)*MIN(E$3-$O$2,$Q$2)/$Q$2))</f>
        <v>6192.77709960938</v>
      </c>
      <c r="F332" s="15" t="n">
        <f aca="false">E332*(1+IF(F$3&lt;=$O$2,$D332,$D332-($D332-$I$319)*MIN(F$3-$O$2,$Q$2)/$Q$2))</f>
        <v>6836.0941542685</v>
      </c>
      <c r="G332" s="15" t="n">
        <f aca="false">F332*(1+IF(G$3&lt;=$O$2,$D332,$D332-($D332-$I$319)*MIN(G$3-$O$2,$Q$2)/$Q$2))</f>
        <v>7546.24016565553</v>
      </c>
      <c r="H332" s="15" t="n">
        <f aca="false">G332*(1+IF(H$3&lt;=$O$2,$D332,$D332-($D332-$I$319)*MIN(H$3-$O$2,$Q$2)/$Q$2))</f>
        <v>8330.15744848913</v>
      </c>
      <c r="I332" s="15" t="n">
        <f aca="false">H332*(1+IF(I$3&lt;=$O$2,$D332,$D332-($D332-$I$319)*MIN(I$3-$O$2,$Q$2)/$Q$2))</f>
        <v>9195.50949788662</v>
      </c>
      <c r="J332" s="15" t="n">
        <f aca="false">I332*(1+IF(J$3&lt;=$O$2,$D332,$D332-($D332-$I$319)*MIN(J$3-$O$2,$Q$2)/$Q$2))</f>
        <v>9993.36218986583</v>
      </c>
      <c r="K332" s="15" t="n">
        <f aca="false">J332*(1+IF(K$3&lt;=$O$2,$D332,$D332-($D332-$I$319)*MIN(K$3-$O$2,$Q$2)/$Q$2))</f>
        <v>10689.3908879786</v>
      </c>
      <c r="L332" s="15" t="n">
        <f aca="false">K332*(1+IF(L$3&lt;=$O$2,$D332,$D332-($D332-$I$319)*MIN(L$3-$O$2,$Q$2)/$Q$2))</f>
        <v>11250.9338201274</v>
      </c>
      <c r="M332" s="15" t="n">
        <f aca="false">L332*(1+IF(M$3&lt;=$O$2,$D332,$D332-($D332-$I$319)*MIN(M$3-$O$2,$Q$2)/$Q$2))</f>
        <v>11649.4010235033</v>
      </c>
      <c r="N332" s="15" t="n">
        <f aca="false">M332*(1+IF(N$3&lt;=$O$2,$D332,$D332-($D332-$I$319)*MIN(N$3-$O$2,$Q$2)/$Q$2))</f>
        <v>11862.5850622334</v>
      </c>
      <c r="O332" s="15" t="n">
        <f aca="false">SUMPRODUCT(E332:N332,1/(1+$F$319)^$E$3:$N$3)*$E$2</f>
        <v>23288.1273376554</v>
      </c>
      <c r="P332" s="15" t="n">
        <f aca="false">N332*$E$2*(1+$I$319)/($F$319-$I$319)/(1+$F$319)^$N$3</f>
        <v>37735.172518463</v>
      </c>
      <c r="Q332" s="15" t="n">
        <f aca="false">O332+P332</f>
        <v>61023.2998561184</v>
      </c>
      <c r="R332" s="15" t="n">
        <f aca="false">Q332-$G$2+$I$2</f>
        <v>52258.2998561184</v>
      </c>
      <c r="S332" s="40" t="n">
        <f aca="false">R332/$K$2</f>
        <v>93.4886755449539</v>
      </c>
      <c r="T332" s="41" t="n">
        <f aca="false">S332-$M$2</f>
        <v>0.0148482166058557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0.103515625</v>
      </c>
      <c r="C333" s="25" t="n">
        <f aca="false">IF(T332&gt;0,D332,C332)</f>
        <v>0.1038818359375</v>
      </c>
      <c r="D333" s="39" t="n">
        <f aca="false">(B333+C333)/2</f>
        <v>0.10369873046875</v>
      </c>
      <c r="E333" s="15" t="n">
        <f aca="false">$C$2*(1+IF(E$3&lt;=$O$2,$D333,$D333-($D333-$I$319)*MIN(E$3-$O$2,$Q$2)/$Q$2))</f>
        <v>6191.74987792969</v>
      </c>
      <c r="F333" s="15" t="n">
        <f aca="false">E333*(1+IF(F$3&lt;=$O$2,$D333,$D333-($D333-$I$319)*MIN(F$3-$O$2,$Q$2)/$Q$2))</f>
        <v>6833.82647965103</v>
      </c>
      <c r="G333" s="15" t="n">
        <f aca="false">F333*(1+IF(G$3&lt;=$O$2,$D333,$D333-($D333-$I$319)*MIN(G$3-$O$2,$Q$2)/$Q$2))</f>
        <v>7542.48560983457</v>
      </c>
      <c r="H333" s="15" t="n">
        <f aca="false">G333*(1+IF(H$3&lt;=$O$2,$D333,$D333-($D333-$I$319)*MIN(H$3-$O$2,$Q$2)/$Q$2))</f>
        <v>8324.63179215323</v>
      </c>
      <c r="I333" s="15" t="n">
        <f aca="false">H333*(1+IF(I$3&lt;=$O$2,$D333,$D333-($D333-$I$319)*MIN(I$3-$O$2,$Q$2)/$Q$2))</f>
        <v>9187.88554061932</v>
      </c>
      <c r="J333" s="15" t="n">
        <f aca="false">I333*(1+IF(J$3&lt;=$O$2,$D333,$D333-($D333-$I$319)*MIN(J$3-$O$2,$Q$2)/$Q$2))</f>
        <v>9983.73085470151</v>
      </c>
      <c r="K333" s="15" t="n">
        <f aca="false">J333*(1+IF(K$3&lt;=$O$2,$D333,$D333-($D333-$I$319)*MIN(K$3-$O$2,$Q$2)/$Q$2))</f>
        <v>10677.9918935425</v>
      </c>
      <c r="L333" s="15" t="n">
        <f aca="false">K333*(1+IF(L$3&lt;=$O$2,$D333,$D333-($D333-$I$319)*MIN(L$3-$O$2,$Q$2)/$Q$2))</f>
        <v>11238.15392586</v>
      </c>
      <c r="M333" s="15" t="n">
        <f aca="false">L333*(1+IF(M$3&lt;=$O$2,$D333,$D333-($D333-$I$319)*MIN(M$3-$O$2,$Q$2)/$Q$2))</f>
        <v>11635.7569583194</v>
      </c>
      <c r="N333" s="15" t="n">
        <f aca="false">M333*(1+IF(N$3&lt;=$O$2,$D333,$D333-($D333-$I$319)*MIN(N$3-$O$2,$Q$2)/$Q$2))</f>
        <v>11848.6913106566</v>
      </c>
      <c r="O333" s="15" t="n">
        <f aca="false">SUMPRODUCT(E333:N333,1/(1+$F$319)^$E$3:$N$3)*$E$2</f>
        <v>23269.3952044869</v>
      </c>
      <c r="P333" s="15" t="n">
        <f aca="false">N333*$E$2*(1+$I$319)/($F$319-$I$319)/(1+$F$319)^$N$3</f>
        <v>37690.9761557033</v>
      </c>
      <c r="Q333" s="15" t="n">
        <f aca="false">O333+P333</f>
        <v>60960.3713601903</v>
      </c>
      <c r="R333" s="15" t="n">
        <f aca="false">Q333-$G$2+$I$2</f>
        <v>52195.3713601903</v>
      </c>
      <c r="S333" s="40" t="n">
        <f aca="false">R333/$K$2</f>
        <v>93.3760981791661</v>
      </c>
      <c r="T333" s="41" t="n">
        <f aca="false">S333-$M$2</f>
        <v>-0.0977291491820012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0.10369873046875</v>
      </c>
      <c r="C334" s="25" t="n">
        <f aca="false">IF(T333&gt;0,D333,C333)</f>
        <v>0.1038818359375</v>
      </c>
      <c r="D334" s="39" t="n">
        <f aca="false">(B334+C334)/2</f>
        <v>0.103790283203125</v>
      </c>
      <c r="E334" s="15" t="n">
        <f aca="false">$C$2*(1+IF(E$3&lt;=$O$2,$D334,$D334-($D334-$I$319)*MIN(E$3-$O$2,$Q$2)/$Q$2))</f>
        <v>6192.26348876953</v>
      </c>
      <c r="F334" s="15" t="n">
        <f aca="false">E334*(1+IF(F$3&lt;=$O$2,$D334,$D334-($D334-$I$319)*MIN(F$3-$O$2,$Q$2)/$Q$2))</f>
        <v>6834.96026993729</v>
      </c>
      <c r="G334" s="15" t="n">
        <f aca="false">F334*(1+IF(G$3&lt;=$O$2,$D334,$D334-($D334-$I$319)*MIN(G$3-$O$2,$Q$2)/$Q$2))</f>
        <v>7544.36273203619</v>
      </c>
      <c r="H334" s="15" t="n">
        <f aca="false">G334*(1+IF(H$3&lt;=$O$2,$D334,$D334-($D334-$I$319)*MIN(H$3-$O$2,$Q$2)/$Q$2))</f>
        <v>8327.39427658133</v>
      </c>
      <c r="I334" s="15" t="n">
        <f aca="false">H334*(1+IF(I$3&lt;=$O$2,$D334,$D334-($D334-$I$319)*MIN(I$3-$O$2,$Q$2)/$Q$2))</f>
        <v>9191.69688689179</v>
      </c>
      <c r="J334" s="15" t="n">
        <f aca="false">I334*(1+IF(J$3&lt;=$O$2,$D334,$D334-($D334-$I$319)*MIN(J$3-$O$2,$Q$2)/$Q$2))</f>
        <v>9988.54555590404</v>
      </c>
      <c r="K334" s="15" t="n">
        <f aca="false">J334*(1+IF(K$3&lt;=$O$2,$D334,$D334-($D334-$I$319)*MIN(K$3-$O$2,$Q$2)/$Q$2))</f>
        <v>10683.690092594</v>
      </c>
      <c r="L334" s="15" t="n">
        <f aca="false">K334*(1+IF(L$3&lt;=$O$2,$D334,$D334-($D334-$I$319)*MIN(L$3-$O$2,$Q$2)/$Q$2))</f>
        <v>11244.5422979566</v>
      </c>
      <c r="M334" s="15" t="n">
        <f aca="false">L334*(1+IF(M$3&lt;=$O$2,$D334,$D334-($D334-$I$319)*MIN(M$3-$O$2,$Q$2)/$Q$2))</f>
        <v>11642.5772431176</v>
      </c>
      <c r="N334" s="15" t="n">
        <f aca="false">M334*(1+IF(N$3&lt;=$O$2,$D334,$D334-($D334-$I$319)*MIN(N$3-$O$2,$Q$2)/$Q$2))</f>
        <v>11855.6364066666</v>
      </c>
      <c r="O334" s="15" t="n">
        <f aca="false">SUMPRODUCT(E334:N334,1/(1+$F$319)^$E$3:$N$3)*$E$2</f>
        <v>23278.7594083277</v>
      </c>
      <c r="P334" s="15" t="n">
        <f aca="false">N334*$E$2*(1+$I$319)/($F$319-$I$319)/(1+$F$319)^$N$3</f>
        <v>37713.0686755648</v>
      </c>
      <c r="Q334" s="15" t="n">
        <f aca="false">O334+P334</f>
        <v>60991.8280838925</v>
      </c>
      <c r="R334" s="15" t="n">
        <f aca="false">Q334-$G$2+$I$2</f>
        <v>52226.8280838925</v>
      </c>
      <c r="S334" s="40" t="n">
        <f aca="false">R334/$K$2</f>
        <v>93.4323734013605</v>
      </c>
      <c r="T334" s="41" t="n">
        <f aca="false">S334-$M$2</f>
        <v>-0.0414539269876002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0.103790283203125</v>
      </c>
      <c r="C335" s="25" t="n">
        <f aca="false">IF(T334&gt;0,D334,C334)</f>
        <v>0.1038818359375</v>
      </c>
      <c r="D335" s="39" t="n">
        <f aca="false">(B335+C335)/2</f>
        <v>0.103836059570313</v>
      </c>
      <c r="E335" s="15" t="n">
        <f aca="false">$C$2*(1+IF(E$3&lt;=$O$2,$D335,$D335-($D335-$I$319)*MIN(E$3-$O$2,$Q$2)/$Q$2))</f>
        <v>6192.52029418945</v>
      </c>
      <c r="F335" s="15" t="n">
        <f aca="false">E335*(1+IF(F$3&lt;=$O$2,$D335,$D335-($D335-$I$319)*MIN(F$3-$O$2,$Q$2)/$Q$2))</f>
        <v>6835.52720034728</v>
      </c>
      <c r="G335" s="15" t="n">
        <f aca="false">F335*(1+IF(G$3&lt;=$O$2,$D335,$D335-($D335-$I$319)*MIN(G$3-$O$2,$Q$2)/$Q$2))</f>
        <v>7545.30140991703</v>
      </c>
      <c r="H335" s="15" t="n">
        <f aca="false">G335*(1+IF(H$3&lt;=$O$2,$D335,$D335-($D335-$I$319)*MIN(H$3-$O$2,$Q$2)/$Q$2))</f>
        <v>8328.77577659314</v>
      </c>
      <c r="I335" s="15" t="n">
        <f aca="false">H335*(1+IF(I$3&lt;=$O$2,$D335,$D335-($D335-$I$319)*MIN(I$3-$O$2,$Q$2)/$Q$2))</f>
        <v>9193.60303427924</v>
      </c>
      <c r="J335" s="15" t="n">
        <f aca="false">I335*(1+IF(J$3&lt;=$O$2,$D335,$D335-($D335-$I$319)*MIN(J$3-$O$2,$Q$2)/$Q$2))</f>
        <v>9990.95363125128</v>
      </c>
      <c r="K335" s="15" t="n">
        <f aca="false">J335*(1+IF(K$3&lt;=$O$2,$D335,$D335-($D335-$I$319)*MIN(K$3-$O$2,$Q$2)/$Q$2))</f>
        <v>10686.5401656833</v>
      </c>
      <c r="L335" s="15" t="n">
        <f aca="false">K335*(1+IF(L$3&lt;=$O$2,$D335,$D335-($D335-$I$319)*MIN(L$3-$O$2,$Q$2)/$Q$2))</f>
        <v>11247.7376652003</v>
      </c>
      <c r="M335" s="15" t="n">
        <f aca="false">L335*(1+IF(M$3&lt;=$O$2,$D335,$D335-($D335-$I$319)*MIN(M$3-$O$2,$Q$2)/$Q$2))</f>
        <v>11645.9886962658</v>
      </c>
      <c r="N335" s="15" t="n">
        <f aca="false">M335*(1+IF(N$3&lt;=$O$2,$D335,$D335-($D335-$I$319)*MIN(N$3-$O$2,$Q$2)/$Q$2))</f>
        <v>11859.1102894075</v>
      </c>
      <c r="O335" s="15" t="n">
        <f aca="false">SUMPRODUCT(E335:N335,1/(1+$F$319)^$E$3:$N$3)*$E$2</f>
        <v>23283.4429072203</v>
      </c>
      <c r="P335" s="15" t="n">
        <f aca="false">N335*$E$2*(1+$I$319)/($F$319-$I$319)/(1+$F$319)^$N$3</f>
        <v>37724.1191813229</v>
      </c>
      <c r="Q335" s="15" t="n">
        <f aca="false">O335+P335</f>
        <v>61007.5620885432</v>
      </c>
      <c r="R335" s="15" t="n">
        <f aca="false">Q335-$G$2+$I$2</f>
        <v>52242.5620885432</v>
      </c>
      <c r="S335" s="40" t="n">
        <f aca="false">R335/$K$2</f>
        <v>93.4605211072725</v>
      </c>
      <c r="T335" s="41" t="n">
        <f aca="false">S335-$M$2</f>
        <v>-0.0133062210756236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0.103836059570313</v>
      </c>
      <c r="C336" s="25" t="n">
        <f aca="false">IF(T335&gt;0,D335,C335)</f>
        <v>0.1038818359375</v>
      </c>
      <c r="D336" s="39" t="n">
        <f aca="false">(B336+C336)/2</f>
        <v>0.103858947753906</v>
      </c>
      <c r="E336" s="15" t="n">
        <f aca="false">$C$2*(1+IF(E$3&lt;=$O$2,$D336,$D336-($D336-$I$319)*MIN(E$3-$O$2,$Q$2)/$Q$2))</f>
        <v>6192.64869689941</v>
      </c>
      <c r="F336" s="15" t="n">
        <f aca="false">E336*(1+IF(F$3&lt;=$O$2,$D336,$D336-($D336-$I$319)*MIN(F$3-$O$2,$Q$2)/$Q$2))</f>
        <v>6835.81067436899</v>
      </c>
      <c r="G336" s="15" t="n">
        <f aca="false">F336*(1+IF(G$3&lt;=$O$2,$D336,$D336-($D336-$I$319)*MIN(G$3-$O$2,$Q$2)/$Q$2))</f>
        <v>7545.77077805387</v>
      </c>
      <c r="H336" s="15" t="n">
        <f aca="false">G336*(1+IF(H$3&lt;=$O$2,$D336,$D336-($D336-$I$319)*MIN(H$3-$O$2,$Q$2)/$Q$2))</f>
        <v>8329.46659105472</v>
      </c>
      <c r="I336" s="15" t="n">
        <f aca="false">H336*(1+IF(I$3&lt;=$O$2,$D336,$D336-($D336-$I$319)*MIN(I$3-$O$2,$Q$2)/$Q$2))</f>
        <v>9194.55622655298</v>
      </c>
      <c r="J336" s="15" t="n">
        <f aca="false">I336*(1+IF(J$3&lt;=$O$2,$D336,$D336-($D336-$I$319)*MIN(J$3-$O$2,$Q$2)/$Q$2))</f>
        <v>9992.1578501453</v>
      </c>
      <c r="K336" s="15" t="n">
        <f aca="false">J336*(1+IF(K$3&lt;=$O$2,$D336,$D336-($D336-$I$319)*MIN(K$3-$O$2,$Q$2)/$Q$2))</f>
        <v>10687.9654456726</v>
      </c>
      <c r="L336" s="15" t="n">
        <f aca="false">K336*(1+IF(L$3&lt;=$O$2,$D336,$D336-($D336-$I$319)*MIN(L$3-$O$2,$Q$2)/$Q$2))</f>
        <v>11249.3356441931</v>
      </c>
      <c r="M336" s="15" t="n">
        <f aca="false">L336*(1+IF(M$3&lt;=$O$2,$D336,$D336-($D336-$I$319)*MIN(M$3-$O$2,$Q$2)/$Q$2))</f>
        <v>11647.6947506114</v>
      </c>
      <c r="N336" s="15" t="n">
        <f aca="false">M336*(1+IF(N$3&lt;=$O$2,$D336,$D336-($D336-$I$319)*MIN(N$3-$O$2,$Q$2)/$Q$2))</f>
        <v>11860.8475645476</v>
      </c>
      <c r="O336" s="15" t="n">
        <f aca="false">SUMPRODUCT(E336:N336,1/(1+$F$319)^$E$3:$N$3)*$E$2</f>
        <v>23285.7850059843</v>
      </c>
      <c r="P336" s="15" t="n">
        <f aca="false">N336*$E$2*(1+$I$319)/($F$319-$I$319)/(1+$F$319)^$N$3</f>
        <v>37729.6454959313</v>
      </c>
      <c r="Q336" s="15" t="n">
        <f aca="false">O336+P336</f>
        <v>61015.4305019156</v>
      </c>
      <c r="R336" s="15" t="n">
        <f aca="false">Q336-$G$2+$I$2</f>
        <v>52250.4305019156</v>
      </c>
      <c r="S336" s="40" t="n">
        <f aca="false">R336/$K$2</f>
        <v>93.4745974845533</v>
      </c>
      <c r="T336" s="41" t="n">
        <f aca="false">S336-$M$2</f>
        <v>0.000770156205192052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0.103836059570313</v>
      </c>
      <c r="C337" s="25" t="n">
        <f aca="false">IF(T336&gt;0,D336,C336)</f>
        <v>0.103858947753906</v>
      </c>
      <c r="D337" s="39" t="n">
        <f aca="false">(B337+C337)/2</f>
        <v>0.103847503662109</v>
      </c>
      <c r="E337" s="15" t="n">
        <f aca="false">$C$2*(1+IF(E$3&lt;=$O$2,$D337,$D337-($D337-$I$319)*MIN(E$3-$O$2,$Q$2)/$Q$2))</f>
        <v>6192.58449554443</v>
      </c>
      <c r="F337" s="15" t="n">
        <f aca="false">E337*(1+IF(F$3&lt;=$O$2,$D337,$D337-($D337-$I$319)*MIN(F$3-$O$2,$Q$2)/$Q$2))</f>
        <v>6835.66893662341</v>
      </c>
      <c r="G337" s="15" t="n">
        <f aca="false">F337*(1+IF(G$3&lt;=$O$2,$D337,$D337-($D337-$I$319)*MIN(G$3-$O$2,$Q$2)/$Q$2))</f>
        <v>7545.53609155237</v>
      </c>
      <c r="H337" s="15" t="n">
        <f aca="false">G337*(1+IF(H$3&lt;=$O$2,$D337,$D337-($D337-$I$319)*MIN(H$3-$O$2,$Q$2)/$Q$2))</f>
        <v>8329.12117845244</v>
      </c>
      <c r="I337" s="15" t="n">
        <f aca="false">H337*(1+IF(I$3&lt;=$O$2,$D337,$D337-($D337-$I$319)*MIN(I$3-$O$2,$Q$2)/$Q$2))</f>
        <v>9194.07962053393</v>
      </c>
      <c r="J337" s="15" t="n">
        <f aca="false">I337*(1+IF(J$3&lt;=$O$2,$D337,$D337-($D337-$I$319)*MIN(J$3-$O$2,$Q$2)/$Q$2))</f>
        <v>9991.55572559558</v>
      </c>
      <c r="K337" s="15" t="n">
        <f aca="false">J337*(1+IF(K$3&lt;=$O$2,$D337,$D337-($D337-$I$319)*MIN(K$3-$O$2,$Q$2)/$Q$2))</f>
        <v>10687.2527853893</v>
      </c>
      <c r="L337" s="15" t="n">
        <f aca="false">K337*(1+IF(L$3&lt;=$O$2,$D337,$D337-($D337-$I$319)*MIN(L$3-$O$2,$Q$2)/$Q$2))</f>
        <v>11248.5366300803</v>
      </c>
      <c r="M337" s="15" t="n">
        <f aca="false">L337*(1+IF(M$3&lt;=$O$2,$D337,$D337-($D337-$I$319)*MIN(M$3-$O$2,$Q$2)/$Q$2))</f>
        <v>11646.8416961218</v>
      </c>
      <c r="N337" s="15" t="n">
        <f aca="false">M337*(1+IF(N$3&lt;=$O$2,$D337,$D337-($D337-$I$319)*MIN(N$3-$O$2,$Q$2)/$Q$2))</f>
        <v>11859.9788991609</v>
      </c>
      <c r="O337" s="15" t="n">
        <f aca="false">SUMPRODUCT(E337:N337,1/(1+$F$319)^$E$3:$N$3)*$E$2</f>
        <v>23284.6139274903</v>
      </c>
      <c r="P337" s="15" t="n">
        <f aca="false">N337*$E$2*(1+$I$319)/($F$319-$I$319)/(1+$F$319)^$N$3</f>
        <v>37726.8822501415</v>
      </c>
      <c r="Q337" s="15" t="n">
        <f aca="false">O337+P337</f>
        <v>61011.4961776318</v>
      </c>
      <c r="R337" s="15" t="n">
        <f aca="false">Q337-$G$2+$I$2</f>
        <v>52246.4961776318</v>
      </c>
      <c r="S337" s="40" t="n">
        <f aca="false">R337/$K$2</f>
        <v>93.467559085534</v>
      </c>
      <c r="T337" s="41" t="n">
        <f aca="false">S337-$M$2</f>
        <v>-0.00626824281408744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0.103847503662109</v>
      </c>
      <c r="C338" s="25" t="n">
        <f aca="false">IF(T337&gt;0,D337,C337)</f>
        <v>0.103858947753906</v>
      </c>
      <c r="D338" s="39" t="n">
        <f aca="false">(B338+C338)/2</f>
        <v>0.103853225708008</v>
      </c>
      <c r="E338" s="15" t="n">
        <f aca="false">$C$2*(1+IF(E$3&lt;=$O$2,$D338,$D338-($D338-$I$319)*MIN(E$3-$O$2,$Q$2)/$Q$2))</f>
        <v>6192.61659622192</v>
      </c>
      <c r="F338" s="15" t="n">
        <f aca="false">E338*(1+IF(F$3&lt;=$O$2,$D338,$D338-($D338-$I$319)*MIN(F$3-$O$2,$Q$2)/$Q$2))</f>
        <v>6835.73980531251</v>
      </c>
      <c r="G338" s="15" t="n">
        <f aca="false">F338*(1+IF(G$3&lt;=$O$2,$D338,$D338-($D338-$I$319)*MIN(G$3-$O$2,$Q$2)/$Q$2))</f>
        <v>7545.65343419485</v>
      </c>
      <c r="H338" s="15" t="n">
        <f aca="false">G338*(1+IF(H$3&lt;=$O$2,$D338,$D338-($D338-$I$319)*MIN(H$3-$O$2,$Q$2)/$Q$2))</f>
        <v>8329.29388341069</v>
      </c>
      <c r="I338" s="15" t="n">
        <f aca="false">H338*(1+IF(I$3&lt;=$O$2,$D338,$D338-($D338-$I$319)*MIN(I$3-$O$2,$Q$2)/$Q$2))</f>
        <v>9194.31792107287</v>
      </c>
      <c r="J338" s="15" t="n">
        <f aca="false">I338*(1+IF(J$3&lt;=$O$2,$D338,$D338-($D338-$I$319)*MIN(J$3-$O$2,$Q$2)/$Q$2))</f>
        <v>9991.85678409468</v>
      </c>
      <c r="K338" s="15" t="n">
        <f aca="false">J338*(1+IF(K$3&lt;=$O$2,$D338,$D338-($D338-$I$319)*MIN(K$3-$O$2,$Q$2)/$Q$2))</f>
        <v>10687.6091104587</v>
      </c>
      <c r="L338" s="15" t="n">
        <f aca="false">K338*(1+IF(L$3&lt;=$O$2,$D338,$D338-($D338-$I$319)*MIN(L$3-$O$2,$Q$2)/$Q$2))</f>
        <v>11248.9361309825</v>
      </c>
      <c r="M338" s="15" t="n">
        <f aca="false">L338*(1+IF(M$3&lt;=$O$2,$D338,$D338-($D338-$I$319)*MIN(M$3-$O$2,$Q$2)/$Q$2))</f>
        <v>11647.2682165372</v>
      </c>
      <c r="N338" s="15" t="n">
        <f aca="false">M338*(1+IF(N$3&lt;=$O$2,$D338,$D338-($D338-$I$319)*MIN(N$3-$O$2,$Q$2)/$Q$2))</f>
        <v>11860.4132248999</v>
      </c>
      <c r="O338" s="15" t="n">
        <f aca="false">SUMPRODUCT(E338:N338,1/(1+$F$319)^$E$3:$N$3)*$E$2</f>
        <v>23285.1994594591</v>
      </c>
      <c r="P338" s="15" t="n">
        <f aca="false">N338*$E$2*(1+$I$319)/($F$319-$I$319)/(1+$F$319)^$N$3</f>
        <v>37728.2638509144</v>
      </c>
      <c r="Q338" s="15" t="n">
        <f aca="false">O338+P338</f>
        <v>61013.4633103735</v>
      </c>
      <c r="R338" s="15" t="n">
        <f aca="false">Q338-$G$2+$I$2</f>
        <v>52248.4633103735</v>
      </c>
      <c r="S338" s="40" t="n">
        <f aca="false">R338/$K$2</f>
        <v>93.4710782324475</v>
      </c>
      <c r="T338" s="41" t="n">
        <f aca="false">S338-$M$2</f>
        <v>-0.00274909590056893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0.103853225708008</v>
      </c>
      <c r="C339" s="25" t="n">
        <f aca="false">IF(T338&gt;0,D338,C338)</f>
        <v>0.103858947753906</v>
      </c>
      <c r="D339" s="39" t="n">
        <f aca="false">(B339+C339)/2</f>
        <v>0.103856086730957</v>
      </c>
      <c r="E339" s="15" t="n">
        <f aca="false">$C$2*(1+IF(E$3&lt;=$O$2,$D339,$D339-($D339-$I$319)*MIN(E$3-$O$2,$Q$2)/$Q$2))</f>
        <v>6192.63264656067</v>
      </c>
      <c r="F339" s="15" t="n">
        <f aca="false">E339*(1+IF(F$3&lt;=$O$2,$D339,$D339-($D339-$I$319)*MIN(F$3-$O$2,$Q$2)/$Q$2))</f>
        <v>6835.77523979483</v>
      </c>
      <c r="G339" s="15" t="n">
        <f aca="false">F339*(1+IF(G$3&lt;=$O$2,$D339,$D339-($D339-$I$319)*MIN(G$3-$O$2,$Q$2)/$Q$2))</f>
        <v>7545.71210597229</v>
      </c>
      <c r="H339" s="15" t="n">
        <f aca="false">G339*(1+IF(H$3&lt;=$O$2,$D339,$D339-($D339-$I$319)*MIN(H$3-$O$2,$Q$2)/$Q$2))</f>
        <v>8329.38023689698</v>
      </c>
      <c r="I339" s="15" t="n">
        <f aca="false">H339*(1+IF(I$3&lt;=$O$2,$D339,$D339-($D339-$I$319)*MIN(I$3-$O$2,$Q$2)/$Q$2))</f>
        <v>9194.43707319527</v>
      </c>
      <c r="J339" s="15" t="n">
        <f aca="false">I339*(1+IF(J$3&lt;=$O$2,$D339,$D339-($D339-$I$319)*MIN(J$3-$O$2,$Q$2)/$Q$2))</f>
        <v>9992.00731617605</v>
      </c>
      <c r="K339" s="15" t="n">
        <f aca="false">J339*(1+IF(K$3&lt;=$O$2,$D339,$D339-($D339-$I$319)*MIN(K$3-$O$2,$Q$2)/$Q$2))</f>
        <v>10687.7872767975</v>
      </c>
      <c r="L339" s="15" t="n">
        <f aca="false">K339*(1+IF(L$3&lt;=$O$2,$D339,$D339-($D339-$I$319)*MIN(L$3-$O$2,$Q$2)/$Q$2))</f>
        <v>11249.1358860492</v>
      </c>
      <c r="M339" s="15" t="n">
        <f aca="false">L339*(1+IF(M$3&lt;=$O$2,$D339,$D339-($D339-$I$319)*MIN(M$3-$O$2,$Q$2)/$Q$2))</f>
        <v>11647.4814818669</v>
      </c>
      <c r="N339" s="15" t="n">
        <f aca="false">M339*(1+IF(N$3&lt;=$O$2,$D339,$D339-($D339-$I$319)*MIN(N$3-$O$2,$Q$2)/$Q$2))</f>
        <v>11860.6303929851</v>
      </c>
      <c r="O339" s="15" t="n">
        <f aca="false">SUMPRODUCT(E339:N339,1/(1+$F$319)^$E$3:$N$3)*$E$2</f>
        <v>23285.4922309022</v>
      </c>
      <c r="P339" s="15" t="n">
        <f aca="false">N339*$E$2*(1+$I$319)/($F$319-$I$319)/(1+$F$319)^$N$3</f>
        <v>37728.9546678923</v>
      </c>
      <c r="Q339" s="15" t="n">
        <f aca="false">O339+P339</f>
        <v>61014.4468987944</v>
      </c>
      <c r="R339" s="15" t="n">
        <f aca="false">Q339-$G$2+$I$2</f>
        <v>52249.4468987944</v>
      </c>
      <c r="S339" s="40" t="n">
        <f aca="false">R339/$K$2</f>
        <v>93.4728378453512</v>
      </c>
      <c r="T339" s="41" t="n">
        <f aca="false">S339-$M$2</f>
        <v>-0.000989482996871516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0.103856086730957</v>
      </c>
      <c r="C340" s="25" t="n">
        <f aca="false">IF(T339&gt;0,D339,C339)</f>
        <v>0.103858947753906</v>
      </c>
      <c r="D340" s="39" t="n">
        <f aca="false">(B340+C340)/2</f>
        <v>0.103857517242432</v>
      </c>
      <c r="E340" s="15" t="n">
        <f aca="false">$C$2*(1+IF(E$3&lt;=$O$2,$D340,$D340-($D340-$I$319)*MIN(E$3-$O$2,$Q$2)/$Q$2))</f>
        <v>6192.64067173004</v>
      </c>
      <c r="F340" s="15" t="n">
        <f aca="false">E340*(1+IF(F$3&lt;=$O$2,$D340,$D340-($D340-$I$319)*MIN(F$3-$O$2,$Q$2)/$Q$2))</f>
        <v>6835.79295707043</v>
      </c>
      <c r="G340" s="15" t="n">
        <f aca="false">F340*(1+IF(G$3&lt;=$O$2,$D340,$D340-($D340-$I$319)*MIN(G$3-$O$2,$Q$2)/$Q$2))</f>
        <v>7545.74144197506</v>
      </c>
      <c r="H340" s="15" t="n">
        <f aca="false">G340*(1+IF(H$3&lt;=$O$2,$D340,$D340-($D340-$I$319)*MIN(H$3-$O$2,$Q$2)/$Q$2))</f>
        <v>8329.42341389192</v>
      </c>
      <c r="I340" s="15" t="n">
        <f aca="false">H340*(1+IF(I$3&lt;=$O$2,$D340,$D340-($D340-$I$319)*MIN(I$3-$O$2,$Q$2)/$Q$2))</f>
        <v>9194.49664971971</v>
      </c>
      <c r="J340" s="15" t="n">
        <f aca="false">I340*(1+IF(J$3&lt;=$O$2,$D340,$D340-($D340-$I$319)*MIN(J$3-$O$2,$Q$2)/$Q$2))</f>
        <v>9992.08258292468</v>
      </c>
      <c r="K340" s="15" t="n">
        <f aca="false">J340*(1+IF(K$3&lt;=$O$2,$D340,$D340-($D340-$I$319)*MIN(K$3-$O$2,$Q$2)/$Q$2))</f>
        <v>10687.876360918</v>
      </c>
      <c r="L340" s="15" t="n">
        <f aca="false">K340*(1+IF(L$3&lt;=$O$2,$D340,$D340-($D340-$I$319)*MIN(L$3-$O$2,$Q$2)/$Q$2))</f>
        <v>11249.2357647365</v>
      </c>
      <c r="M340" s="15" t="n">
        <f aca="false">L340*(1+IF(M$3&lt;=$O$2,$D340,$D340-($D340-$I$319)*MIN(M$3-$O$2,$Q$2)/$Q$2))</f>
        <v>11647.5881158123</v>
      </c>
      <c r="N340" s="15" t="n">
        <f aca="false">M340*(1+IF(N$3&lt;=$O$2,$D340,$D340-($D340-$I$319)*MIN(N$3-$O$2,$Q$2)/$Q$2))</f>
        <v>11860.7389783317</v>
      </c>
      <c r="O340" s="15" t="n">
        <f aca="false">SUMPRODUCT(E340:N340,1/(1+$F$319)^$E$3:$N$3)*$E$2</f>
        <v>23285.6386179884</v>
      </c>
      <c r="P340" s="15" t="n">
        <f aca="false">N340*$E$2*(1+$I$319)/($F$319-$I$319)/(1+$F$319)^$N$3</f>
        <v>37729.3000805291</v>
      </c>
      <c r="Q340" s="15" t="n">
        <f aca="false">O340+P340</f>
        <v>61014.9386985175</v>
      </c>
      <c r="R340" s="15" t="n">
        <f aca="false">Q340-$G$2+$I$2</f>
        <v>52249.9386985175</v>
      </c>
      <c r="S340" s="40" t="n">
        <f aca="false">R340/$K$2</f>
        <v>93.4737176616649</v>
      </c>
      <c r="T340" s="41" t="n">
        <f aca="false">S340-$M$2</f>
        <v>-0.000109666683172804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0.103857517242432</v>
      </c>
      <c r="C341" s="25" t="n">
        <f aca="false">IF(T340&gt;0,D340,C340)</f>
        <v>0.103858947753906</v>
      </c>
      <c r="D341" s="39" t="n">
        <f aca="false">(B341+C341)/2</f>
        <v>0.103858232498169</v>
      </c>
      <c r="E341" s="15" t="n">
        <f aca="false">$C$2*(1+IF(E$3&lt;=$O$2,$D341,$D341-($D341-$I$319)*MIN(E$3-$O$2,$Q$2)/$Q$2))</f>
        <v>6192.64468431473</v>
      </c>
      <c r="F341" s="15" t="n">
        <f aca="false">E341*(1+IF(F$3&lt;=$O$2,$D341,$D341-($D341-$I$319)*MIN(F$3-$O$2,$Q$2)/$Q$2))</f>
        <v>6835.80181571684</v>
      </c>
      <c r="G341" s="15" t="n">
        <f aca="false">F341*(1+IF(G$3&lt;=$O$2,$D341,$D341-($D341-$I$319)*MIN(G$3-$O$2,$Q$2)/$Q$2))</f>
        <v>7545.75611000496</v>
      </c>
      <c r="H341" s="15" t="n">
        <f aca="false">G341*(1+IF(H$3&lt;=$O$2,$D341,$D341-($D341-$I$319)*MIN(H$3-$O$2,$Q$2)/$Q$2))</f>
        <v>8329.44500245234</v>
      </c>
      <c r="I341" s="15" t="n">
        <f aca="false">H341*(1+IF(I$3&lt;=$O$2,$D341,$D341-($D341-$I$319)*MIN(I$3-$O$2,$Q$2)/$Q$2))</f>
        <v>9194.52643809774</v>
      </c>
      <c r="J341" s="15" t="n">
        <f aca="false">I341*(1+IF(J$3&lt;=$O$2,$D341,$D341-($D341-$I$319)*MIN(J$3-$O$2,$Q$2)/$Q$2))</f>
        <v>9992.12021647599</v>
      </c>
      <c r="K341" s="15" t="n">
        <f aca="false">J341*(1+IF(K$3&lt;=$O$2,$D341,$D341-($D341-$I$319)*MIN(K$3-$O$2,$Q$2)/$Q$2))</f>
        <v>10687.920903216</v>
      </c>
      <c r="L341" s="15" t="n">
        <f aca="false">K341*(1+IF(L$3&lt;=$O$2,$D341,$D341-($D341-$I$319)*MIN(L$3-$O$2,$Q$2)/$Q$2))</f>
        <v>11249.2857043687</v>
      </c>
      <c r="M341" s="15" t="n">
        <f aca="false">L341*(1+IF(M$3&lt;=$O$2,$D341,$D341-($D341-$I$319)*MIN(M$3-$O$2,$Q$2)/$Q$2))</f>
        <v>11647.6414331051</v>
      </c>
      <c r="N341" s="15" t="n">
        <f aca="false">M341*(1+IF(N$3&lt;=$O$2,$D341,$D341-($D341-$I$319)*MIN(N$3-$O$2,$Q$2)/$Q$2))</f>
        <v>11860.793271331</v>
      </c>
      <c r="O341" s="15" t="n">
        <f aca="false">SUMPRODUCT(E341:N341,1/(1+$F$319)^$E$3:$N$3)*$E$2</f>
        <v>23285.7118118726</v>
      </c>
      <c r="P341" s="15" t="n">
        <f aca="false">N341*$E$2*(1+$I$319)/($F$319-$I$319)/(1+$F$319)^$N$3</f>
        <v>37729.4727878845</v>
      </c>
      <c r="Q341" s="15" t="n">
        <f aca="false">O341+P341</f>
        <v>61015.1845997571</v>
      </c>
      <c r="R341" s="15" t="n">
        <f aca="false">Q341-$G$2+$I$2</f>
        <v>52250.1845997571</v>
      </c>
      <c r="S341" s="40" t="n">
        <f aca="false">R341/$K$2</f>
        <v>93.4741575722873</v>
      </c>
      <c r="T341" s="41" t="n">
        <f aca="false">S341-$M$2</f>
        <v>0.00033024393918879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0.103857517242432</v>
      </c>
      <c r="C342" s="25" t="n">
        <f aca="false">IF(T341&gt;0,D341,C341)</f>
        <v>0.103858232498169</v>
      </c>
      <c r="D342" s="39" t="n">
        <f aca="false">(B342+C342)/2</f>
        <v>0.1038578748703</v>
      </c>
      <c r="E342" s="15" t="n">
        <f aca="false">$C$2*(1+IF(E$3&lt;=$O$2,$D342,$D342-($D342-$I$319)*MIN(E$3-$O$2,$Q$2)/$Q$2))</f>
        <v>6192.64267802239</v>
      </c>
      <c r="F342" s="15" t="n">
        <f aca="false">E342*(1+IF(F$3&lt;=$O$2,$D342,$D342-($D342-$I$319)*MIN(F$3-$O$2,$Q$2)/$Q$2))</f>
        <v>6835.79738639292</v>
      </c>
      <c r="G342" s="15" t="n">
        <f aca="false">F342*(1+IF(G$3&lt;=$O$2,$D342,$D342-($D342-$I$319)*MIN(G$3-$O$2,$Q$2)/$Q$2))</f>
        <v>7545.74877598764</v>
      </c>
      <c r="H342" s="15" t="n">
        <f aca="false">G342*(1+IF(H$3&lt;=$O$2,$D342,$D342-($D342-$I$319)*MIN(H$3-$O$2,$Q$2)/$Q$2))</f>
        <v>8329.43420816688</v>
      </c>
      <c r="I342" s="15" t="n">
        <f aca="false">H342*(1+IF(I$3&lt;=$O$2,$D342,$D342-($D342-$I$319)*MIN(I$3-$O$2,$Q$2)/$Q$2))</f>
        <v>9194.51154389908</v>
      </c>
      <c r="J342" s="15" t="n">
        <f aca="false">I342*(1+IF(J$3&lt;=$O$2,$D342,$D342-($D342-$I$319)*MIN(J$3-$O$2,$Q$2)/$Q$2))</f>
        <v>9992.10139968559</v>
      </c>
      <c r="K342" s="15" t="n">
        <f aca="false">J342*(1+IF(K$3&lt;=$O$2,$D342,$D342-($D342-$I$319)*MIN(K$3-$O$2,$Q$2)/$Q$2))</f>
        <v>10687.8986320472</v>
      </c>
      <c r="L342" s="15" t="n">
        <f aca="false">K342*(1+IF(L$3&lt;=$O$2,$D342,$D342-($D342-$I$319)*MIN(L$3-$O$2,$Q$2)/$Q$2))</f>
        <v>11249.2607345286</v>
      </c>
      <c r="M342" s="15" t="n">
        <f aca="false">L342*(1+IF(M$3&lt;=$O$2,$D342,$D342-($D342-$I$319)*MIN(M$3-$O$2,$Q$2)/$Q$2))</f>
        <v>11647.6147744321</v>
      </c>
      <c r="N342" s="15" t="n">
        <f aca="false">M342*(1+IF(N$3&lt;=$O$2,$D342,$D342-($D342-$I$319)*MIN(N$3-$O$2,$Q$2)/$Q$2))</f>
        <v>11860.7661248042</v>
      </c>
      <c r="O342" s="15" t="n">
        <f aca="false">SUMPRODUCT(E342:N342,1/(1+$F$319)^$E$3:$N$3)*$E$2</f>
        <v>23285.6752149021</v>
      </c>
      <c r="P342" s="15" t="n">
        <f aca="false">N342*$E$2*(1+$I$319)/($F$319-$I$319)/(1+$F$319)^$N$3</f>
        <v>37729.3864341204</v>
      </c>
      <c r="Q342" s="15" t="n">
        <f aca="false">O342+P342</f>
        <v>61015.0616490225</v>
      </c>
      <c r="R342" s="15" t="n">
        <f aca="false">Q342-$G$2+$I$2</f>
        <v>52250.0616490225</v>
      </c>
      <c r="S342" s="40" t="n">
        <f aca="false">R342/$K$2</f>
        <v>93.4739376167706</v>
      </c>
      <c r="T342" s="41" t="n">
        <f aca="false">S342-$M$2</f>
        <v>0.000110288422547455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0.103857517242432</v>
      </c>
      <c r="C343" s="25" t="n">
        <f aca="false">IF(T342&gt;0,D342,C342)</f>
        <v>0.1038578748703</v>
      </c>
      <c r="D343" s="39" t="n">
        <f aca="false">(B343+C343)/2</f>
        <v>0.103857696056366</v>
      </c>
      <c r="E343" s="15" t="n">
        <f aca="false">$C$2*(1+IF(E$3&lt;=$O$2,$D343,$D343-($D343-$I$319)*MIN(E$3-$O$2,$Q$2)/$Q$2))</f>
        <v>6192.64167487621</v>
      </c>
      <c r="F343" s="15" t="n">
        <f aca="false">E343*(1+IF(F$3&lt;=$O$2,$D343,$D343-($D343-$I$319)*MIN(F$3-$O$2,$Q$2)/$Q$2))</f>
        <v>6835.79517173149</v>
      </c>
      <c r="G343" s="15" t="n">
        <f aca="false">F343*(1+IF(G$3&lt;=$O$2,$D343,$D343-($D343-$I$319)*MIN(G$3-$O$2,$Q$2)/$Q$2))</f>
        <v>7545.74510898076</v>
      </c>
      <c r="H343" s="15" t="n">
        <f aca="false">G343*(1+IF(H$3&lt;=$O$2,$D343,$D343-($D343-$I$319)*MIN(H$3-$O$2,$Q$2)/$Q$2))</f>
        <v>8329.42881102809</v>
      </c>
      <c r="I343" s="15" t="n">
        <f aca="false">H343*(1+IF(I$3&lt;=$O$2,$D343,$D343-($D343-$I$319)*MIN(I$3-$O$2,$Q$2)/$Q$2))</f>
        <v>9194.50409680698</v>
      </c>
      <c r="J343" s="15" t="n">
        <f aca="false">I343*(1+IF(J$3&lt;=$O$2,$D343,$D343-($D343-$I$319)*MIN(J$3-$O$2,$Q$2)/$Q$2))</f>
        <v>9992.09199130145</v>
      </c>
      <c r="K343" s="15" t="n">
        <f aca="false">J343*(1+IF(K$3&lt;=$O$2,$D343,$D343-($D343-$I$319)*MIN(K$3-$O$2,$Q$2)/$Q$2))</f>
        <v>10687.8874964777</v>
      </c>
      <c r="L343" s="15" t="n">
        <f aca="false">K343*(1+IF(L$3&lt;=$O$2,$D343,$D343-($D343-$I$319)*MIN(L$3-$O$2,$Q$2)/$Q$2))</f>
        <v>11249.2482496265</v>
      </c>
      <c r="M343" s="15" t="n">
        <f aca="false">L343*(1+IF(M$3&lt;=$O$2,$D343,$D343-($D343-$I$319)*MIN(M$3-$O$2,$Q$2)/$Q$2))</f>
        <v>11647.6014451155</v>
      </c>
      <c r="N343" s="15" t="n">
        <f aca="false">M343*(1+IF(N$3&lt;=$O$2,$D343,$D343-($D343-$I$319)*MIN(N$3-$O$2,$Q$2)/$Q$2))</f>
        <v>11860.7525515611</v>
      </c>
      <c r="O343" s="15" t="n">
        <f aca="false">SUMPRODUCT(E343:N343,1/(1+$F$319)^$E$3:$N$3)*$E$2</f>
        <v>23285.6569164381</v>
      </c>
      <c r="P343" s="15" t="n">
        <f aca="false">N343*$E$2*(1+$I$319)/($F$319-$I$319)/(1+$F$319)^$N$3</f>
        <v>37729.3432573031</v>
      </c>
      <c r="Q343" s="15" t="n">
        <f aca="false">O343+P343</f>
        <v>61015.0001737412</v>
      </c>
      <c r="R343" s="15" t="n">
        <f aca="false">Q343-$G$2+$I$2</f>
        <v>52250.0001737412</v>
      </c>
      <c r="S343" s="40" t="n">
        <f aca="false">R343/$K$2</f>
        <v>93.4738276391664</v>
      </c>
      <c r="T343" s="41" t="n">
        <f aca="false">S343-$M$2</f>
        <v>3.10818322191153E-007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0.103857517242432</v>
      </c>
      <c r="C344" s="25" t="n">
        <f aca="false">IF(T343&gt;0,D343,C343)</f>
        <v>0.103857696056366</v>
      </c>
      <c r="D344" s="39" t="n">
        <f aca="false">(B344+C344)/2</f>
        <v>0.103857606649399</v>
      </c>
      <c r="E344" s="15" t="n">
        <f aca="false">$C$2*(1+IF(E$3&lt;=$O$2,$D344,$D344-($D344-$I$319)*MIN(E$3-$O$2,$Q$2)/$Q$2))</f>
        <v>6192.64117330313</v>
      </c>
      <c r="F344" s="15" t="n">
        <f aca="false">E344*(1+IF(F$3&lt;=$O$2,$D344,$D344-($D344-$I$319)*MIN(F$3-$O$2,$Q$2)/$Q$2))</f>
        <v>6835.79406440092</v>
      </c>
      <c r="G344" s="15" t="n">
        <f aca="false">F344*(1+IF(G$3&lt;=$O$2,$D344,$D344-($D344-$I$319)*MIN(G$3-$O$2,$Q$2)/$Q$2))</f>
        <v>7545.74327547776</v>
      </c>
      <c r="H344" s="15" t="n">
        <f aca="false">G344*(1+IF(H$3&lt;=$O$2,$D344,$D344-($D344-$I$319)*MIN(H$3-$O$2,$Q$2)/$Q$2))</f>
        <v>8329.42611245968</v>
      </c>
      <c r="I344" s="15" t="n">
        <f aca="false">H344*(1+IF(I$3&lt;=$O$2,$D344,$D344-($D344-$I$319)*MIN(I$3-$O$2,$Q$2)/$Q$2))</f>
        <v>9194.50037326275</v>
      </c>
      <c r="J344" s="15" t="n">
        <f aca="false">I344*(1+IF(J$3&lt;=$O$2,$D344,$D344-($D344-$I$319)*MIN(J$3-$O$2,$Q$2)/$Q$2))</f>
        <v>9992.08728711215</v>
      </c>
      <c r="K344" s="15" t="n">
        <f aca="false">J344*(1+IF(K$3&lt;=$O$2,$D344,$D344-($D344-$I$319)*MIN(K$3-$O$2,$Q$2)/$Q$2))</f>
        <v>10687.8819286966</v>
      </c>
      <c r="L344" s="15" t="n">
        <f aca="false">K344*(1+IF(L$3&lt;=$O$2,$D344,$D344-($D344-$I$319)*MIN(L$3-$O$2,$Q$2)/$Q$2))</f>
        <v>11249.24200718</v>
      </c>
      <c r="M344" s="15" t="n">
        <f aca="false">L344*(1+IF(M$3&lt;=$O$2,$D344,$D344-($D344-$I$319)*MIN(M$3-$O$2,$Q$2)/$Q$2))</f>
        <v>11647.5947804623</v>
      </c>
      <c r="N344" s="15" t="n">
        <f aca="false">M344*(1+IF(N$3&lt;=$O$2,$D344,$D344-($D344-$I$319)*MIN(N$3-$O$2,$Q$2)/$Q$2))</f>
        <v>11860.7457649447</v>
      </c>
      <c r="O344" s="15" t="n">
        <f aca="false">SUMPRODUCT(E344:N344,1/(1+$F$319)^$E$3:$N$3)*$E$2</f>
        <v>23285.6477672115</v>
      </c>
      <c r="P344" s="15" t="n">
        <f aca="false">N344*$E$2*(1+$I$319)/($F$319-$I$319)/(1+$F$319)^$N$3</f>
        <v>37729.3216689107</v>
      </c>
      <c r="Q344" s="15" t="n">
        <f aca="false">O344+P344</f>
        <v>61014.9694361222</v>
      </c>
      <c r="R344" s="15" t="n">
        <f aca="false">Q344-$G$2+$I$2</f>
        <v>52249.9694361222</v>
      </c>
      <c r="S344" s="40" t="n">
        <f aca="false">R344/$K$2</f>
        <v>93.4737726504028</v>
      </c>
      <c r="T344" s="41" t="n">
        <f aca="false">S344-$M$2</f>
        <v>-5.46779452577084E-005</v>
      </c>
    </row>
    <row r="346" customFormat="false" ht="15" hidden="false" customHeight="false" outlineLevel="0" collapsed="false">
      <c r="A346" s="36" t="s">
        <v>198</v>
      </c>
      <c r="E346" s="5" t="s">
        <v>11</v>
      </c>
      <c r="F346" s="12" t="n">
        <f aca="false">Sensitivity!$B$12</f>
        <v>0.0767360315529091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6" t="s">
        <v>167</v>
      </c>
      <c r="B347" s="28" t="s">
        <v>168</v>
      </c>
      <c r="C347" s="28" t="s">
        <v>169</v>
      </c>
      <c r="D347" s="28" t="s">
        <v>170</v>
      </c>
      <c r="E347" s="28" t="s">
        <v>171</v>
      </c>
      <c r="F347" s="28" t="s">
        <v>172</v>
      </c>
      <c r="G347" s="28" t="s">
        <v>173</v>
      </c>
      <c r="H347" s="28" t="s">
        <v>174</v>
      </c>
      <c r="I347" s="28" t="s">
        <v>175</v>
      </c>
      <c r="J347" s="28" t="s">
        <v>176</v>
      </c>
      <c r="K347" s="28" t="s">
        <v>177</v>
      </c>
      <c r="L347" s="28" t="s">
        <v>178</v>
      </c>
      <c r="M347" s="28" t="s">
        <v>179</v>
      </c>
      <c r="N347" s="28" t="s">
        <v>180</v>
      </c>
      <c r="O347" s="28" t="s">
        <v>181</v>
      </c>
      <c r="P347" s="28" t="s">
        <v>182</v>
      </c>
      <c r="Q347" s="28" t="s">
        <v>183</v>
      </c>
      <c r="R347" s="28" t="s">
        <v>184</v>
      </c>
      <c r="S347" s="28" t="s">
        <v>185</v>
      </c>
      <c r="T347" s="28" t="s">
        <v>186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39" t="n">
        <f aca="false">(B348+C348)/2</f>
        <v>0.25</v>
      </c>
      <c r="E348" s="15" t="n">
        <f aca="false">$C$2*(1+IF(E$3&lt;=$O$2,$D348,$D348-($D348-$I$346)*MIN(E$3-$O$2,$Q$2)/$Q$2))</f>
        <v>7012.5</v>
      </c>
      <c r="F348" s="15" t="n">
        <f aca="false">E348*(1+IF(F$3&lt;=$O$2,$D348,$D348-($D348-$I$346)*MIN(F$3-$O$2,$Q$2)/$Q$2))</f>
        <v>8765.625</v>
      </c>
      <c r="G348" s="15" t="n">
        <f aca="false">F348*(1+IF(G$3&lt;=$O$2,$D348,$D348-($D348-$I$346)*MIN(G$3-$O$2,$Q$2)/$Q$2))</f>
        <v>10957.03125</v>
      </c>
      <c r="H348" s="15" t="n">
        <f aca="false">G348*(1+IF(H$3&lt;=$O$2,$D348,$D348-($D348-$I$346)*MIN(H$3-$O$2,$Q$2)/$Q$2))</f>
        <v>13696.2890625</v>
      </c>
      <c r="I348" s="15" t="n">
        <f aca="false">H348*(1+IF(I$3&lt;=$O$2,$D348,$D348-($D348-$I$346)*MIN(I$3-$O$2,$Q$2)/$Q$2))</f>
        <v>17120.361328125</v>
      </c>
      <c r="J348" s="15" t="n">
        <f aca="false">I348*(1+IF(J$3&lt;=$O$2,$D348,$D348-($D348-$I$346)*MIN(J$3-$O$2,$Q$2)/$Q$2))</f>
        <v>20624.2144775391</v>
      </c>
      <c r="K348" s="15" t="n">
        <f aca="false">J348*(1+IF(K$3&lt;=$O$2,$D348,$D348-($D348-$I$346)*MIN(K$3-$O$2,$Q$2)/$Q$2))</f>
        <v>23910.0643281006</v>
      </c>
      <c r="L348" s="15" t="n">
        <f aca="false">K348*(1+IF(L$3&lt;=$O$2,$D348,$D348-($D348-$I$346)*MIN(L$3-$O$2,$Q$2)/$Q$2))</f>
        <v>26635.3334602175</v>
      </c>
      <c r="M348" s="15" t="n">
        <f aca="false">L348*(1+IF(M$3&lt;=$O$2,$D348,$D348-($D348-$I$346)*MIN(M$3-$O$2,$Q$2)/$Q$2))</f>
        <v>28463.5827489268</v>
      </c>
      <c r="N348" s="15" t="n">
        <f aca="false">M348*(1+IF(N$3&lt;=$O$2,$D348,$D348-($D348-$I$346)*MIN(N$3-$O$2,$Q$2)/$Q$2))</f>
        <v>29126.7842269768</v>
      </c>
      <c r="O348" s="15" t="n">
        <f aca="false">SUMPRODUCT(E348:N348,1/(1+$F$346)^$E$3:$N$3)*$E$2</f>
        <v>44213.8103656004</v>
      </c>
      <c r="P348" s="15" t="n">
        <f aca="false">N348*$E$2*(1+$I$346)/($F$346-$I$346)/(1+$F$346)^$N$3</f>
        <v>101820.045417449</v>
      </c>
      <c r="Q348" s="15" t="n">
        <f aca="false">O348+P348</f>
        <v>146033.855783049</v>
      </c>
      <c r="R348" s="15" t="n">
        <f aca="false">Q348-$G$2+$I$2</f>
        <v>137268.855783049</v>
      </c>
      <c r="S348" s="40" t="n">
        <f aca="false">R348/$K$2</f>
        <v>245.57024541674</v>
      </c>
      <c r="T348" s="41" t="n">
        <f aca="false">S348-$M$2</f>
        <v>152.096418088392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39" t="n">
        <f aca="false">(B349+C349)/2</f>
        <v>-0.125</v>
      </c>
      <c r="E349" s="15" t="n">
        <f aca="false">$C$2*(1+IF(E$3&lt;=$O$2,$D349,$D349-($D349-$I$346)*MIN(E$3-$O$2,$Q$2)/$Q$2))</f>
        <v>4908.75</v>
      </c>
      <c r="F349" s="15" t="n">
        <f aca="false">E349*(1+IF(F$3&lt;=$O$2,$D349,$D349-($D349-$I$346)*MIN(F$3-$O$2,$Q$2)/$Q$2))</f>
        <v>4295.15625</v>
      </c>
      <c r="G349" s="15" t="n">
        <f aca="false">F349*(1+IF(G$3&lt;=$O$2,$D349,$D349-($D349-$I$346)*MIN(G$3-$O$2,$Q$2)/$Q$2))</f>
        <v>3758.26171875</v>
      </c>
      <c r="H349" s="15" t="n">
        <f aca="false">G349*(1+IF(H$3&lt;=$O$2,$D349,$D349-($D349-$I$346)*MIN(H$3-$O$2,$Q$2)/$Q$2))</f>
        <v>3288.47900390625</v>
      </c>
      <c r="I349" s="15" t="n">
        <f aca="false">H349*(1+IF(I$3&lt;=$O$2,$D349,$D349-($D349-$I$346)*MIN(I$3-$O$2,$Q$2)/$Q$2))</f>
        <v>2877.41912841797</v>
      </c>
      <c r="J349" s="15" t="n">
        <f aca="false">I349*(1+IF(J$3&lt;=$O$2,$D349,$D349-($D349-$I$346)*MIN(J$3-$O$2,$Q$2)/$Q$2))</f>
        <v>2603.0859887146</v>
      </c>
      <c r="K349" s="15" t="n">
        <f aca="false">J349*(1+IF(K$3&lt;=$O$2,$D349,$D349-($D349-$I$346)*MIN(K$3-$O$2,$Q$2)/$Q$2))</f>
        <v>2432.11530097583</v>
      </c>
      <c r="L349" s="15" t="n">
        <f aca="false">K349*(1+IF(L$3&lt;=$O$2,$D349,$D349-($D349-$I$346)*MIN(L$3-$O$2,$Q$2)/$Q$2))</f>
        <v>2344.51050783468</v>
      </c>
      <c r="M349" s="15" t="n">
        <f aca="false">L349*(1+IF(M$3&lt;=$O$2,$D349,$D349-($D349-$I$346)*MIN(M$3-$O$2,$Q$2)/$Q$2))</f>
        <v>2329.59942100485</v>
      </c>
      <c r="N349" s="15" t="n">
        <f aca="false">M349*(1+IF(N$3&lt;=$O$2,$D349,$D349-($D349-$I$346)*MIN(N$3-$O$2,$Q$2)/$Q$2))</f>
        <v>2383.87908751426</v>
      </c>
      <c r="O349" s="15" t="n">
        <f aca="false">SUMPRODUCT(E349:N349,1/(1+$F$346)^$E$3:$N$3)*$E$2</f>
        <v>8588.57888740334</v>
      </c>
      <c r="P349" s="15" t="n">
        <f aca="false">N349*$E$2*(1+$I$346)/($F$346-$I$346)/(1+$F$346)^$N$3</f>
        <v>8333.45264169596</v>
      </c>
      <c r="Q349" s="15" t="n">
        <f aca="false">O349+P349</f>
        <v>16922.0315290993</v>
      </c>
      <c r="R349" s="15" t="n">
        <f aca="false">Q349-$G$2+$I$2</f>
        <v>8157.03152909931</v>
      </c>
      <c r="S349" s="40" t="n">
        <f aca="false">R349/$K$2</f>
        <v>14.5927073045535</v>
      </c>
      <c r="T349" s="41" t="n">
        <f aca="false">S349-$M$2</f>
        <v>-78.8811200237946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39" t="n">
        <f aca="false">(B350+C350)/2</f>
        <v>0.0625</v>
      </c>
      <c r="E350" s="15" t="n">
        <f aca="false">$C$2*(1+IF(E$3&lt;=$O$2,$D350,$D350-($D350-$I$346)*MIN(E$3-$O$2,$Q$2)/$Q$2))</f>
        <v>5960.625</v>
      </c>
      <c r="F350" s="15" t="n">
        <f aca="false">E350*(1+IF(F$3&lt;=$O$2,$D350,$D350-($D350-$I$346)*MIN(F$3-$O$2,$Q$2)/$Q$2))</f>
        <v>6333.1640625</v>
      </c>
      <c r="G350" s="15" t="n">
        <f aca="false">F350*(1+IF(G$3&lt;=$O$2,$D350,$D350-($D350-$I$346)*MIN(G$3-$O$2,$Q$2)/$Q$2))</f>
        <v>6728.98681640625</v>
      </c>
      <c r="H350" s="15" t="n">
        <f aca="false">G350*(1+IF(H$3&lt;=$O$2,$D350,$D350-($D350-$I$346)*MIN(H$3-$O$2,$Q$2)/$Q$2))</f>
        <v>7149.54849243164</v>
      </c>
      <c r="I350" s="15" t="n">
        <f aca="false">H350*(1+IF(I$3&lt;=$O$2,$D350,$D350-($D350-$I$346)*MIN(I$3-$O$2,$Q$2)/$Q$2))</f>
        <v>7596.39527320862</v>
      </c>
      <c r="J350" s="15" t="n">
        <f aca="false">I350*(1+IF(J$3&lt;=$O$2,$D350,$D350-($D350-$I$346)*MIN(J$3-$O$2,$Q$2)/$Q$2))</f>
        <v>8011.6142388422</v>
      </c>
      <c r="K350" s="15" t="n">
        <f aca="false">J350*(1+IF(K$3&lt;=$O$2,$D350,$D350-($D350-$I$346)*MIN(K$3-$O$2,$Q$2)/$Q$2))</f>
        <v>8386.71801750479</v>
      </c>
      <c r="L350" s="15" t="n">
        <f aca="false">K350*(1+IF(L$3&lt;=$O$2,$D350,$D350-($D350-$I$346)*MIN(L$3-$O$2,$Q$2)/$Q$2))</f>
        <v>8713.63228582713</v>
      </c>
      <c r="M350" s="15" t="n">
        <f aca="false">L350*(1+IF(M$3&lt;=$O$2,$D350,$D350-($D350-$I$346)*MIN(M$3-$O$2,$Q$2)/$Q$2))</f>
        <v>8984.97479520779</v>
      </c>
      <c r="N350" s="15" t="n">
        <f aca="false">M350*(1+IF(N$3&lt;=$O$2,$D350,$D350-($D350-$I$346)*MIN(N$3-$O$2,$Q$2)/$Q$2))</f>
        <v>9194.32470793613</v>
      </c>
      <c r="O350" s="15" t="n">
        <f aca="false">SUMPRODUCT(E350:N350,1/(1+$F$346)^$E$3:$N$3)*$E$2</f>
        <v>19472.4524363977</v>
      </c>
      <c r="P350" s="15" t="n">
        <f aca="false">N350*$E$2*(1+$I$346)/($F$346-$I$346)/(1+$F$346)^$N$3</f>
        <v>32141.0888359507</v>
      </c>
      <c r="Q350" s="15" t="n">
        <f aca="false">O350+P350</f>
        <v>51613.5412723483</v>
      </c>
      <c r="R350" s="15" t="n">
        <f aca="false">Q350-$G$2+$I$2</f>
        <v>42848.5412723483</v>
      </c>
      <c r="S350" s="40" t="n">
        <f aca="false">R350/$K$2</f>
        <v>76.6548736490542</v>
      </c>
      <c r="T350" s="41" t="n">
        <f aca="false">S350-$M$2</f>
        <v>-16.8189536792939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0.0625</v>
      </c>
      <c r="C351" s="25" t="n">
        <f aca="false">IF(T350&gt;0,D350,C350)</f>
        <v>0.25</v>
      </c>
      <c r="D351" s="39" t="n">
        <f aca="false">(B351+C351)/2</f>
        <v>0.15625</v>
      </c>
      <c r="E351" s="15" t="n">
        <f aca="false">$C$2*(1+IF(E$3&lt;=$O$2,$D351,$D351-($D351-$I$346)*MIN(E$3-$O$2,$Q$2)/$Q$2))</f>
        <v>6486.5625</v>
      </c>
      <c r="F351" s="15" t="n">
        <f aca="false">E351*(1+IF(F$3&lt;=$O$2,$D351,$D351-($D351-$I$346)*MIN(F$3-$O$2,$Q$2)/$Q$2))</f>
        <v>7500.087890625</v>
      </c>
      <c r="G351" s="15" t="n">
        <f aca="false">F351*(1+IF(G$3&lt;=$O$2,$D351,$D351-($D351-$I$346)*MIN(G$3-$O$2,$Q$2)/$Q$2))</f>
        <v>8671.97662353516</v>
      </c>
      <c r="H351" s="15" t="n">
        <f aca="false">G351*(1+IF(H$3&lt;=$O$2,$D351,$D351-($D351-$I$346)*MIN(H$3-$O$2,$Q$2)/$Q$2))</f>
        <v>10026.9729709625</v>
      </c>
      <c r="I351" s="15" t="n">
        <f aca="false">H351*(1+IF(I$3&lt;=$O$2,$D351,$D351-($D351-$I$346)*MIN(I$3-$O$2,$Q$2)/$Q$2))</f>
        <v>11593.6874976754</v>
      </c>
      <c r="J351" s="15" t="n">
        <f aca="false">I351*(1+IF(J$3&lt;=$O$2,$D351,$D351-($D351-$I$346)*MIN(J$3-$O$2,$Q$2)/$Q$2))</f>
        <v>13096.925018624</v>
      </c>
      <c r="K351" s="15" t="n">
        <f aca="false">J351*(1+IF(K$3&lt;=$O$2,$D351,$D351-($D351-$I$346)*MIN(K$3-$O$2,$Q$2)/$Q$2))</f>
        <v>14446.8250802936</v>
      </c>
      <c r="L351" s="15" t="n">
        <f aca="false">K351*(1+IF(L$3&lt;=$O$2,$D351,$D351-($D351-$I$346)*MIN(L$3-$O$2,$Q$2)/$Q$2))</f>
        <v>15551.7182624344</v>
      </c>
      <c r="M351" s="15" t="n">
        <f aca="false">L351*(1+IF(M$3&lt;=$O$2,$D351,$D351-($D351-$I$346)*MIN(M$3-$O$2,$Q$2)/$Q$2))</f>
        <v>16327.5934865473</v>
      </c>
      <c r="N351" s="15" t="n">
        <f aca="false">M351*(1+IF(N$3&lt;=$O$2,$D351,$D351-($D351-$I$346)*MIN(N$3-$O$2,$Q$2)/$Q$2))</f>
        <v>16708.0264147839</v>
      </c>
      <c r="O351" s="15" t="n">
        <f aca="false">SUMPRODUCT(E351:N351,1/(1+$F$346)^$E$3:$N$3)*$E$2</f>
        <v>29404.4642384547</v>
      </c>
      <c r="P351" s="15" t="n">
        <f aca="false">N351*$E$2*(1+$I$346)/($F$346-$I$346)/(1+$F$346)^$N$3</f>
        <v>58407.1346542124</v>
      </c>
      <c r="Q351" s="15" t="n">
        <f aca="false">O351+P351</f>
        <v>87811.5988926672</v>
      </c>
      <c r="R351" s="15" t="n">
        <f aca="false">Q351-$G$2+$I$2</f>
        <v>79046.5988926672</v>
      </c>
      <c r="S351" s="40" t="n">
        <f aca="false">R351/$K$2</f>
        <v>141.412213125098</v>
      </c>
      <c r="T351" s="41" t="n">
        <f aca="false">S351-$M$2</f>
        <v>47.9383857967497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0.0625</v>
      </c>
      <c r="C352" s="25" t="n">
        <f aca="false">IF(T351&gt;0,D351,C351)</f>
        <v>0.15625</v>
      </c>
      <c r="D352" s="39" t="n">
        <f aca="false">(B352+C352)/2</f>
        <v>0.109375</v>
      </c>
      <c r="E352" s="15" t="n">
        <f aca="false">$C$2*(1+IF(E$3&lt;=$O$2,$D352,$D352-($D352-$I$346)*MIN(E$3-$O$2,$Q$2)/$Q$2))</f>
        <v>6223.59375</v>
      </c>
      <c r="F352" s="15" t="n">
        <f aca="false">E352*(1+IF(F$3&lt;=$O$2,$D352,$D352-($D352-$I$346)*MIN(F$3-$O$2,$Q$2)/$Q$2))</f>
        <v>6904.29931640625</v>
      </c>
      <c r="G352" s="15" t="n">
        <f aca="false">F352*(1+IF(G$3&lt;=$O$2,$D352,$D352-($D352-$I$346)*MIN(G$3-$O$2,$Q$2)/$Q$2))</f>
        <v>7659.45705413818</v>
      </c>
      <c r="H352" s="15" t="n">
        <f aca="false">G352*(1+IF(H$3&lt;=$O$2,$D352,$D352-($D352-$I$346)*MIN(H$3-$O$2,$Q$2)/$Q$2))</f>
        <v>8497.21016943455</v>
      </c>
      <c r="I352" s="15" t="n">
        <f aca="false">H352*(1+IF(I$3&lt;=$O$2,$D352,$D352-($D352-$I$346)*MIN(I$3-$O$2,$Q$2)/$Q$2))</f>
        <v>9426.59253171645</v>
      </c>
      <c r="J352" s="15" t="n">
        <f aca="false">I352*(1+IF(J$3&lt;=$O$2,$D352,$D352-($D352-$I$346)*MIN(J$3-$O$2,$Q$2)/$Q$2))</f>
        <v>10295.3472994394</v>
      </c>
      <c r="K352" s="15" t="n">
        <f aca="false">J352*(1+IF(K$3&lt;=$O$2,$D352,$D352-($D352-$I$346)*MIN(K$3-$O$2,$Q$2)/$Q$2))</f>
        <v>11066.9321027959</v>
      </c>
      <c r="L352" s="15" t="n">
        <f aca="false">K352*(1+IF(L$3&lt;=$O$2,$D352,$D352-($D352-$I$346)*MIN(L$3-$O$2,$Q$2)/$Q$2))</f>
        <v>11705.8260930903</v>
      </c>
      <c r="M352" s="15" t="n">
        <f aca="false">L352*(1+IF(M$3&lt;=$O$2,$D352,$D352-($D352-$I$346)*MIN(M$3-$O$2,$Q$2)/$Q$2))</f>
        <v>12180.0876372519</v>
      </c>
      <c r="N352" s="15" t="n">
        <f aca="false">M352*(1+IF(N$3&lt;=$O$2,$D352,$D352-($D352-$I$346)*MIN(N$3-$O$2,$Q$2)/$Q$2))</f>
        <v>12463.8836791999</v>
      </c>
      <c r="O352" s="15" t="n">
        <f aca="false">SUMPRODUCT(E352:N352,1/(1+$F$346)^$E$3:$N$3)*$E$2</f>
        <v>23935.2858839325</v>
      </c>
      <c r="P352" s="15" t="n">
        <f aca="false">N352*$E$2*(1+$I$346)/($F$346-$I$346)/(1+$F$346)^$N$3</f>
        <v>43570.6596514191</v>
      </c>
      <c r="Q352" s="15" t="n">
        <f aca="false">O352+P352</f>
        <v>67505.9455353516</v>
      </c>
      <c r="R352" s="15" t="n">
        <f aca="false">Q352-$G$2+$I$2</f>
        <v>58740.9455353516</v>
      </c>
      <c r="S352" s="40" t="n">
        <f aca="false">R352/$K$2</f>
        <v>105.085952154552</v>
      </c>
      <c r="T352" s="41" t="n">
        <f aca="false">S352-$M$2</f>
        <v>11.6121248262041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0.0625</v>
      </c>
      <c r="C353" s="25" t="n">
        <f aca="false">IF(T352&gt;0,D352,C352)</f>
        <v>0.109375</v>
      </c>
      <c r="D353" s="39" t="n">
        <f aca="false">(B353+C353)/2</f>
        <v>0.0859375</v>
      </c>
      <c r="E353" s="15" t="n">
        <f aca="false">$C$2*(1+IF(E$3&lt;=$O$2,$D353,$D353-($D353-$I$346)*MIN(E$3-$O$2,$Q$2)/$Q$2))</f>
        <v>6092.109375</v>
      </c>
      <c r="F353" s="15" t="n">
        <f aca="false">E353*(1+IF(F$3&lt;=$O$2,$D353,$D353-($D353-$I$346)*MIN(F$3-$O$2,$Q$2)/$Q$2))</f>
        <v>6615.65002441406</v>
      </c>
      <c r="G353" s="15" t="n">
        <f aca="false">F353*(1+IF(G$3&lt;=$O$2,$D353,$D353-($D353-$I$346)*MIN(G$3-$O$2,$Q$2)/$Q$2))</f>
        <v>7184.18244838715</v>
      </c>
      <c r="H353" s="15" t="n">
        <f aca="false">G353*(1+IF(H$3&lt;=$O$2,$D353,$D353-($D353-$I$346)*MIN(H$3-$O$2,$Q$2)/$Q$2))</f>
        <v>7801.57312754542</v>
      </c>
      <c r="I353" s="15" t="n">
        <f aca="false">H353*(1+IF(I$3&lt;=$O$2,$D353,$D353-($D353-$I$346)*MIN(I$3-$O$2,$Q$2)/$Q$2))</f>
        <v>8472.02081819385</v>
      </c>
      <c r="J353" s="15" t="n">
        <f aca="false">I353*(1+IF(J$3&lt;=$O$2,$D353,$D353-($D353-$I$346)*MIN(J$3-$O$2,$Q$2)/$Q$2))</f>
        <v>9093.95186645746</v>
      </c>
      <c r="K353" s="15" t="n">
        <f aca="false">J353*(1+IF(K$3&lt;=$O$2,$D353,$D353-($D353-$I$346)*MIN(K$3-$O$2,$Q$2)/$Q$2))</f>
        <v>9647.61439096706</v>
      </c>
      <c r="L353" s="15" t="n">
        <f aca="false">K353*(1+IF(L$3&lt;=$O$2,$D353,$D353-($D353-$I$346)*MIN(L$3-$O$2,$Q$2)/$Q$2))</f>
        <v>10114.1247848423</v>
      </c>
      <c r="M353" s="15" t="n">
        <f aca="false">L353*(1+IF(M$3&lt;=$O$2,$D353,$D353-($D353-$I$346)*MIN(M$3-$O$2,$Q$2)/$Q$2))</f>
        <v>10476.4885905712</v>
      </c>
      <c r="N353" s="15" t="n">
        <f aca="false">M353*(1+IF(N$3&lt;=$O$2,$D353,$D353-($D353-$I$346)*MIN(N$3-$O$2,$Q$2)/$Q$2))</f>
        <v>10720.5907747315</v>
      </c>
      <c r="O353" s="15" t="n">
        <f aca="false">SUMPRODUCT(E353:N353,1/(1+$F$346)^$E$3:$N$3)*$E$2</f>
        <v>21589.6047315713</v>
      </c>
      <c r="P353" s="15" t="n">
        <f aca="false">N353*$E$2*(1+$I$346)/($F$346-$I$346)/(1+$F$346)^$N$3</f>
        <v>37476.5381265141</v>
      </c>
      <c r="Q353" s="15" t="n">
        <f aca="false">O353+P353</f>
        <v>59066.1428580853</v>
      </c>
      <c r="R353" s="15" t="n">
        <f aca="false">Q353-$G$2+$I$2</f>
        <v>50301.1428580853</v>
      </c>
      <c r="S353" s="40" t="n">
        <f aca="false">R353/$K$2</f>
        <v>89.9873749652677</v>
      </c>
      <c r="T353" s="41" t="n">
        <f aca="false">S353-$M$2</f>
        <v>-3.48645236308039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0.0859375</v>
      </c>
      <c r="C354" s="25" t="n">
        <f aca="false">IF(T353&gt;0,D353,C353)</f>
        <v>0.109375</v>
      </c>
      <c r="D354" s="39" t="n">
        <f aca="false">(B354+C354)/2</f>
        <v>0.09765625</v>
      </c>
      <c r="E354" s="15" t="n">
        <f aca="false">$C$2*(1+IF(E$3&lt;=$O$2,$D354,$D354-($D354-$I$346)*MIN(E$3-$O$2,$Q$2)/$Q$2))</f>
        <v>6157.8515625</v>
      </c>
      <c r="F354" s="15" t="n">
        <f aca="false">E354*(1+IF(F$3&lt;=$O$2,$D354,$D354-($D354-$I$346)*MIN(F$3-$O$2,$Q$2)/$Q$2))</f>
        <v>6759.20425415039</v>
      </c>
      <c r="G354" s="15" t="n">
        <f aca="false">F354*(1+IF(G$3&lt;=$O$2,$D354,$D354-($D354-$I$346)*MIN(G$3-$O$2,$Q$2)/$Q$2))</f>
        <v>7419.28279459477</v>
      </c>
      <c r="H354" s="15" t="n">
        <f aca="false">G354*(1+IF(H$3&lt;=$O$2,$D354,$D354-($D354-$I$346)*MIN(H$3-$O$2,$Q$2)/$Q$2))</f>
        <v>8143.82213000441</v>
      </c>
      <c r="I354" s="15" t="n">
        <f aca="false">H354*(1+IF(I$3&lt;=$O$2,$D354,$D354-($D354-$I$346)*MIN(I$3-$O$2,$Q$2)/$Q$2))</f>
        <v>8939.11725988765</v>
      </c>
      <c r="J354" s="15" t="n">
        <f aca="false">I354*(1+IF(J$3&lt;=$O$2,$D354,$D354-($D354-$I$346)*MIN(J$3-$O$2,$Q$2)/$Q$2))</f>
        <v>9679.14208224745</v>
      </c>
      <c r="K354" s="15" t="n">
        <f aca="false">J354*(1+IF(K$3&lt;=$O$2,$D354,$D354-($D354-$I$346)*MIN(K$3-$O$2,$Q$2)/$Q$2))</f>
        <v>10336.4889178357</v>
      </c>
      <c r="L354" s="15" t="n">
        <f aca="false">K354*(1+IF(L$3&lt;=$O$2,$D354,$D354-($D354-$I$346)*MIN(L$3-$O$2,$Q$2)/$Q$2))</f>
        <v>10884.76213126</v>
      </c>
      <c r="M354" s="15" t="n">
        <f aca="false">L354*(1+IF(M$3&lt;=$O$2,$D354,$D354-($D354-$I$346)*MIN(M$3-$O$2,$Q$2)/$Q$2))</f>
        <v>11300.2471077628</v>
      </c>
      <c r="N354" s="15" t="n">
        <f aca="false">M354*(1+IF(N$3&lt;=$O$2,$D354,$D354-($D354-$I$346)*MIN(N$3-$O$2,$Q$2)/$Q$2))</f>
        <v>11563.5428653737</v>
      </c>
      <c r="O354" s="15" t="n">
        <f aca="false">SUMPRODUCT(E354:N354,1/(1+$F$346)^$E$3:$N$3)*$E$2</f>
        <v>22732.5110119911</v>
      </c>
      <c r="P354" s="15" t="n">
        <f aca="false">N354*$E$2*(1+$I$346)/($F$346-$I$346)/(1+$F$346)^$N$3</f>
        <v>40423.2904863035</v>
      </c>
      <c r="Q354" s="15" t="n">
        <f aca="false">O354+P354</f>
        <v>63155.8014982947</v>
      </c>
      <c r="R354" s="15" t="n">
        <f aca="false">Q354-$G$2+$I$2</f>
        <v>54390.8014982947</v>
      </c>
      <c r="S354" s="40" t="n">
        <f aca="false">R354/$K$2</f>
        <v>97.3036629186995</v>
      </c>
      <c r="T354" s="41" t="n">
        <f aca="false">S354-$M$2</f>
        <v>3.82983559035145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0.0859375</v>
      </c>
      <c r="C355" s="25" t="n">
        <f aca="false">IF(T354&gt;0,D354,C354)</f>
        <v>0.09765625</v>
      </c>
      <c r="D355" s="39" t="n">
        <f aca="false">(B355+C355)/2</f>
        <v>0.091796875</v>
      </c>
      <c r="E355" s="15" t="n">
        <f aca="false">$C$2*(1+IF(E$3&lt;=$O$2,$D355,$D355-($D355-$I$346)*MIN(E$3-$O$2,$Q$2)/$Q$2))</f>
        <v>6124.98046875</v>
      </c>
      <c r="F355" s="15" t="n">
        <f aca="false">E355*(1+IF(F$3&lt;=$O$2,$D355,$D355-($D355-$I$346)*MIN(F$3-$O$2,$Q$2)/$Q$2))</f>
        <v>6687.23453521729</v>
      </c>
      <c r="G355" s="15" t="n">
        <f aca="false">F355*(1+IF(G$3&lt;=$O$2,$D355,$D355-($D355-$I$346)*MIN(G$3-$O$2,$Q$2)/$Q$2))</f>
        <v>7301.10176794231</v>
      </c>
      <c r="H355" s="15" t="n">
        <f aca="false">G355*(1+IF(H$3&lt;=$O$2,$D355,$D355-($D355-$I$346)*MIN(H$3-$O$2,$Q$2)/$Q$2))</f>
        <v>7971.32009429639</v>
      </c>
      <c r="I355" s="15" t="n">
        <f aca="false">H355*(1+IF(I$3&lt;=$O$2,$D355,$D355-($D355-$I$346)*MIN(I$3-$O$2,$Q$2)/$Q$2))</f>
        <v>8703.0623685775</v>
      </c>
      <c r="J355" s="15" t="n">
        <f aca="false">I355*(1+IF(J$3&lt;=$O$2,$D355,$D355-($D355-$I$346)*MIN(J$3-$O$2,$Q$2)/$Q$2))</f>
        <v>9382.74978190748</v>
      </c>
      <c r="K355" s="15" t="n">
        <f aca="false">J355*(1+IF(K$3&lt;=$O$2,$D355,$D355-($D355-$I$346)*MIN(K$3-$O$2,$Q$2)/$Q$2))</f>
        <v>9986.98127520648</v>
      </c>
      <c r="L355" s="15" t="n">
        <f aca="false">K355*(1+IF(L$3&lt;=$O$2,$D355,$D355-($D355-$I$346)*MIN(L$3-$O$2,$Q$2)/$Q$2))</f>
        <v>10493.3087421329</v>
      </c>
      <c r="M355" s="15" t="n">
        <f aca="false">L355*(1+IF(M$3&lt;=$O$2,$D355,$D355-($D355-$I$346)*MIN(M$3-$O$2,$Q$2)/$Q$2))</f>
        <v>10881.5546072738</v>
      </c>
      <c r="N355" s="15" t="n">
        <f aca="false">M355*(1+IF(N$3&lt;=$O$2,$D355,$D355-($D355-$I$346)*MIN(N$3-$O$2,$Q$2)/$Q$2))</f>
        <v>11135.0948296233</v>
      </c>
      <c r="O355" s="15" t="n">
        <f aca="false">SUMPRODUCT(E355:N355,1/(1+$F$346)^$E$3:$N$3)*$E$2</f>
        <v>22153.7497103303</v>
      </c>
      <c r="P355" s="15" t="n">
        <f aca="false">N355*$E$2*(1+$I$346)/($F$346-$I$346)/(1+$F$346)^$N$3</f>
        <v>38925.5419494527</v>
      </c>
      <c r="Q355" s="15" t="n">
        <f aca="false">O355+P355</f>
        <v>61079.291659783</v>
      </c>
      <c r="R355" s="15" t="n">
        <f aca="false">Q355-$G$2+$I$2</f>
        <v>52314.291659783</v>
      </c>
      <c r="S355" s="40" t="n">
        <f aca="false">R355/$K$2</f>
        <v>93.5888433571558</v>
      </c>
      <c r="T355" s="41" t="n">
        <f aca="false">S355-$M$2</f>
        <v>0.115016028807759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0.0859375</v>
      </c>
      <c r="C356" s="25" t="n">
        <f aca="false">IF(T355&gt;0,D355,C355)</f>
        <v>0.091796875</v>
      </c>
      <c r="D356" s="39" t="n">
        <f aca="false">(B356+C356)/2</f>
        <v>0.0888671875</v>
      </c>
      <c r="E356" s="15" t="n">
        <f aca="false">$C$2*(1+IF(E$3&lt;=$O$2,$D356,$D356-($D356-$I$346)*MIN(E$3-$O$2,$Q$2)/$Q$2))</f>
        <v>6108.544921875</v>
      </c>
      <c r="F356" s="15" t="n">
        <f aca="false">E356*(1+IF(F$3&lt;=$O$2,$D356,$D356-($D356-$I$346)*MIN(F$3-$O$2,$Q$2)/$Q$2))</f>
        <v>6651.39412879944</v>
      </c>
      <c r="G356" s="15" t="n">
        <f aca="false">F356*(1+IF(G$3&lt;=$O$2,$D356,$D356-($D356-$I$346)*MIN(G$3-$O$2,$Q$2)/$Q$2))</f>
        <v>7242.48481797986</v>
      </c>
      <c r="H356" s="15" t="n">
        <f aca="false">G356*(1+IF(H$3&lt;=$O$2,$D356,$D356-($D356-$I$346)*MIN(H$3-$O$2,$Q$2)/$Q$2))</f>
        <v>7886.10407426518</v>
      </c>
      <c r="I356" s="15" t="n">
        <f aca="false">H356*(1+IF(I$3&lt;=$O$2,$D356,$D356-($D356-$I$346)*MIN(I$3-$O$2,$Q$2)/$Q$2))</f>
        <v>8586.91996367741</v>
      </c>
      <c r="J356" s="15" t="n">
        <f aca="false">I356*(1+IF(J$3&lt;=$O$2,$D356,$D356-($D356-$I$346)*MIN(J$3-$O$2,$Q$2)/$Q$2))</f>
        <v>9237.41135187584</v>
      </c>
      <c r="K356" s="15" t="n">
        <f aca="false">J356*(1+IF(K$3&lt;=$O$2,$D356,$D356-($D356-$I$346)*MIN(K$3-$O$2,$Q$2)/$Q$2))</f>
        <v>9816.04568564839</v>
      </c>
      <c r="L356" s="15" t="n">
        <f aca="false">K356*(1+IF(L$3&lt;=$O$2,$D356,$D356-($D356-$I$346)*MIN(L$3-$O$2,$Q$2)/$Q$2))</f>
        <v>10302.2037533158</v>
      </c>
      <c r="M356" s="15" t="n">
        <f aca="false">L356*(1+IF(M$3&lt;=$O$2,$D356,$D356-($D356-$I$346)*MIN(M$3-$O$2,$Q$2)/$Q$2))</f>
        <v>10677.3424057994</v>
      </c>
      <c r="N356" s="15" t="n">
        <f aca="false">M356*(1+IF(N$3&lt;=$O$2,$D356,$D356-($D356-$I$346)*MIN(N$3-$O$2,$Q$2)/$Q$2))</f>
        <v>10926.1244838545</v>
      </c>
      <c r="O356" s="15" t="n">
        <f aca="false">SUMPRODUCT(E356:N356,1/(1+$F$346)^$E$3:$N$3)*$E$2</f>
        <v>21869.8717172857</v>
      </c>
      <c r="P356" s="15" t="n">
        <f aca="false">N356*$E$2*(1+$I$346)/($F$346-$I$346)/(1+$F$346)^$N$3</f>
        <v>38195.0332214289</v>
      </c>
      <c r="Q356" s="15" t="n">
        <f aca="false">O356+P356</f>
        <v>60064.9049387145</v>
      </c>
      <c r="R356" s="15" t="n">
        <f aca="false">Q356-$G$2+$I$2</f>
        <v>51299.9049387145</v>
      </c>
      <c r="S356" s="40" t="n">
        <f aca="false">R356/$K$2</f>
        <v>91.774133133054</v>
      </c>
      <c r="T356" s="41" t="n">
        <f aca="false">S356-$M$2</f>
        <v>-1.69969419529413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0.0888671875</v>
      </c>
      <c r="C357" s="25" t="n">
        <f aca="false">IF(T356&gt;0,D356,C356)</f>
        <v>0.091796875</v>
      </c>
      <c r="D357" s="39" t="n">
        <f aca="false">(B357+C357)/2</f>
        <v>0.09033203125</v>
      </c>
      <c r="E357" s="15" t="n">
        <f aca="false">$C$2*(1+IF(E$3&lt;=$O$2,$D357,$D357-($D357-$I$346)*MIN(E$3-$O$2,$Q$2)/$Q$2))</f>
        <v>6116.7626953125</v>
      </c>
      <c r="F357" s="15" t="n">
        <f aca="false">E357*(1+IF(F$3&lt;=$O$2,$D357,$D357-($D357-$I$346)*MIN(F$3-$O$2,$Q$2)/$Q$2))</f>
        <v>6669.3022942543</v>
      </c>
      <c r="G357" s="15" t="n">
        <f aca="false">F357*(1+IF(G$3&lt;=$O$2,$D357,$D357-($D357-$I$346)*MIN(G$3-$O$2,$Q$2)/$Q$2))</f>
        <v>7271.75391751458</v>
      </c>
      <c r="H357" s="15" t="n">
        <f aca="false">G357*(1+IF(H$3&lt;=$O$2,$D357,$D357-($D357-$I$346)*MIN(H$3-$O$2,$Q$2)/$Q$2))</f>
        <v>7928.62621963382</v>
      </c>
      <c r="I357" s="15" t="n">
        <f aca="false">H357*(1+IF(I$3&lt;=$O$2,$D357,$D357-($D357-$I$346)*MIN(I$3-$O$2,$Q$2)/$Q$2))</f>
        <v>8644.83513107535</v>
      </c>
      <c r="J357" s="15" t="n">
        <f aca="false">I357*(1+IF(J$3&lt;=$O$2,$D357,$D357-($D357-$I$346)*MIN(J$3-$O$2,$Q$2)/$Q$2))</f>
        <v>9309.84447655527</v>
      </c>
      <c r="K357" s="15" t="n">
        <f aca="false">J357*(1+IF(K$3&lt;=$O$2,$D357,$D357-($D357-$I$346)*MIN(K$3-$O$2,$Q$2)/$Q$2))</f>
        <v>9901.19852439007</v>
      </c>
      <c r="L357" s="15" t="n">
        <f aca="false">K357*(1+IF(L$3&lt;=$O$2,$D357,$D357-($D357-$I$346)*MIN(L$3-$O$2,$Q$2)/$Q$2))</f>
        <v>10397.3754295681</v>
      </c>
      <c r="M357" s="15" t="n">
        <f aca="false">L357*(1+IF(M$3&lt;=$O$2,$D357,$D357-($D357-$I$346)*MIN(M$3-$O$2,$Q$2)/$Q$2))</f>
        <v>10779.0257160196</v>
      </c>
      <c r="N357" s="15" t="n">
        <f aca="false">M357*(1+IF(N$3&lt;=$O$2,$D357,$D357-($D357-$I$346)*MIN(N$3-$O$2,$Q$2)/$Q$2))</f>
        <v>11030.1770152029</v>
      </c>
      <c r="O357" s="15" t="n">
        <f aca="false">SUMPRODUCT(E357:N357,1/(1+$F$346)^$E$3:$N$3)*$E$2</f>
        <v>22011.3566630191</v>
      </c>
      <c r="P357" s="15" t="n">
        <f aca="false">N357*$E$2*(1+$I$346)/($F$346-$I$346)/(1+$F$346)^$N$3</f>
        <v>38558.7751774623</v>
      </c>
      <c r="Q357" s="15" t="n">
        <f aca="false">O357+P357</f>
        <v>60570.1318404814</v>
      </c>
      <c r="R357" s="15" t="n">
        <f aca="false">Q357-$G$2+$I$2</f>
        <v>51805.1318404814</v>
      </c>
      <c r="S357" s="40" t="n">
        <f aca="false">R357/$K$2</f>
        <v>92.6779703039132</v>
      </c>
      <c r="T357" s="41" t="n">
        <f aca="false">S357-$M$2</f>
        <v>-0.795857024434923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0.09033203125</v>
      </c>
      <c r="C358" s="25" t="n">
        <f aca="false">IF(T357&gt;0,D357,C357)</f>
        <v>0.091796875</v>
      </c>
      <c r="D358" s="39" t="n">
        <f aca="false">(B358+C358)/2</f>
        <v>0.091064453125</v>
      </c>
      <c r="E358" s="15" t="n">
        <f aca="false">$C$2*(1+IF(E$3&lt;=$O$2,$D358,$D358-($D358-$I$346)*MIN(E$3-$O$2,$Q$2)/$Q$2))</f>
        <v>6120.87158203125</v>
      </c>
      <c r="F358" s="15" t="n">
        <f aca="false">E358*(1+IF(F$3&lt;=$O$2,$D358,$D358-($D358-$I$346)*MIN(F$3-$O$2,$Q$2)/$Q$2))</f>
        <v>6678.26540529728</v>
      </c>
      <c r="G358" s="15" t="n">
        <f aca="false">F358*(1+IF(G$3&lt;=$O$2,$D358,$D358-($D358-$I$346)*MIN(G$3-$O$2,$Q$2)/$Q$2))</f>
        <v>7286.41799225428</v>
      </c>
      <c r="H358" s="15" t="n">
        <f aca="false">G358*(1+IF(H$3&lt;=$O$2,$D358,$D358-($D358-$I$346)*MIN(H$3-$O$2,$Q$2)/$Q$2))</f>
        <v>7949.95166195908</v>
      </c>
      <c r="I358" s="15" t="n">
        <f aca="false">H358*(1+IF(I$3&lt;=$O$2,$D358,$D358-($D358-$I$346)*MIN(I$3-$O$2,$Q$2)/$Q$2))</f>
        <v>8673.90966242557</v>
      </c>
      <c r="J358" s="15" t="n">
        <f aca="false">I358*(1+IF(J$3&lt;=$O$2,$D358,$D358-($D358-$I$346)*MIN(J$3-$O$2,$Q$2)/$Q$2))</f>
        <v>9346.23795334402</v>
      </c>
      <c r="K358" s="15" t="n">
        <f aca="false">J358*(1+IF(K$3&lt;=$O$2,$D358,$D358-($D358-$I$346)*MIN(K$3-$O$2,$Q$2)/$Q$2))</f>
        <v>9944.01091986762</v>
      </c>
      <c r="L358" s="15" t="n">
        <f aca="false">K358*(1+IF(L$3&lt;=$O$2,$D358,$D358-($D358-$I$346)*MIN(L$3-$O$2,$Q$2)/$Q$2))</f>
        <v>10445.2465590421</v>
      </c>
      <c r="M358" s="15" t="n">
        <f aca="false">L358*(1+IF(M$3&lt;=$O$2,$D358,$D358-($D358-$I$346)*MIN(M$3-$O$2,$Q$2)/$Q$2))</f>
        <v>10830.1840880336</v>
      </c>
      <c r="N358" s="15" t="n">
        <f aca="false">M358*(1+IF(N$3&lt;=$O$2,$D358,$D358-($D358-$I$346)*MIN(N$3-$O$2,$Q$2)/$Q$2))</f>
        <v>11082.5273772848</v>
      </c>
      <c r="O358" s="15" t="n">
        <f aca="false">SUMPRODUCT(E358:N358,1/(1+$F$346)^$E$3:$N$3)*$E$2</f>
        <v>22082.4393381178</v>
      </c>
      <c r="P358" s="15" t="n">
        <f aca="false">N358*$E$2*(1+$I$346)/($F$346-$I$346)/(1+$F$346)^$N$3</f>
        <v>38741.779116492</v>
      </c>
      <c r="Q358" s="15" t="n">
        <f aca="false">O358+P358</f>
        <v>60824.2184546098</v>
      </c>
      <c r="R358" s="15" t="n">
        <f aca="false">Q358-$G$2+$I$2</f>
        <v>52059.2184546098</v>
      </c>
      <c r="S358" s="40" t="n">
        <f aca="false">R358/$K$2</f>
        <v>93.1325243382765</v>
      </c>
      <c r="T358" s="41" t="n">
        <f aca="false">S358-$M$2</f>
        <v>-0.341302990071611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0.091064453125</v>
      </c>
      <c r="C359" s="25" t="n">
        <f aca="false">IF(T358&gt;0,D358,C358)</f>
        <v>0.091796875</v>
      </c>
      <c r="D359" s="39" t="n">
        <f aca="false">(B359+C359)/2</f>
        <v>0.0914306640625</v>
      </c>
      <c r="E359" s="15" t="n">
        <f aca="false">$C$2*(1+IF(E$3&lt;=$O$2,$D359,$D359-($D359-$I$346)*MIN(E$3-$O$2,$Q$2)/$Q$2))</f>
        <v>6122.92602539063</v>
      </c>
      <c r="F359" s="15" t="n">
        <f aca="false">E359*(1+IF(F$3&lt;=$O$2,$D359,$D359-($D359-$I$346)*MIN(F$3-$O$2,$Q$2)/$Q$2))</f>
        <v>6682.74921789765</v>
      </c>
      <c r="G359" s="15" t="n">
        <f aca="false">F359*(1+IF(G$3&lt;=$O$2,$D359,$D359-($D359-$I$346)*MIN(G$3-$O$2,$Q$2)/$Q$2))</f>
        <v>7293.75741665319</v>
      </c>
      <c r="H359" s="15" t="n">
        <f aca="false">G359*(1+IF(H$3&lt;=$O$2,$D359,$D359-($D359-$I$346)*MIN(H$3-$O$2,$Q$2)/$Q$2))</f>
        <v>7960.63050076857</v>
      </c>
      <c r="I359" s="15" t="n">
        <f aca="false">H359*(1+IF(I$3&lt;=$O$2,$D359,$D359-($D359-$I$346)*MIN(I$3-$O$2,$Q$2)/$Q$2))</f>
        <v>8688.47623381004</v>
      </c>
      <c r="J359" s="15" t="n">
        <f aca="false">I359*(1+IF(J$3&lt;=$O$2,$D359,$D359-($D359-$I$346)*MIN(J$3-$O$2,$Q$2)/$Q$2))</f>
        <v>9364.47905445839</v>
      </c>
      <c r="K359" s="15" t="n">
        <f aca="false">J359*(1+IF(K$3&lt;=$O$2,$D359,$D359-($D359-$I$346)*MIN(K$3-$O$2,$Q$2)/$Q$2))</f>
        <v>9965.47632237505</v>
      </c>
      <c r="L359" s="15" t="n">
        <f aca="false">K359*(1+IF(L$3&lt;=$O$2,$D359,$D359-($D359-$I$346)*MIN(L$3-$O$2,$Q$2)/$Q$2))</f>
        <v>10469.2537285034</v>
      </c>
      <c r="M359" s="15" t="n">
        <f aca="false">L359*(1+IF(M$3&lt;=$O$2,$D359,$D359-($D359-$I$346)*MIN(M$3-$O$2,$Q$2)/$Q$2))</f>
        <v>10855.8427821299</v>
      </c>
      <c r="N359" s="15" t="n">
        <f aca="false">M359*(1+IF(N$3&lt;=$O$2,$D359,$D359-($D359-$I$346)*MIN(N$3-$O$2,$Q$2)/$Q$2))</f>
        <v>11108.7839189535</v>
      </c>
      <c r="O359" s="15" t="n">
        <f aca="false">SUMPRODUCT(E359:N359,1/(1+$F$346)^$E$3:$N$3)*$E$2</f>
        <v>22118.0660200083</v>
      </c>
      <c r="P359" s="15" t="n">
        <f aca="false">N359*$E$2*(1+$I$346)/($F$346-$I$346)/(1+$F$346)^$N$3</f>
        <v>38833.565502671</v>
      </c>
      <c r="Q359" s="15" t="n">
        <f aca="false">O359+P359</f>
        <v>60951.6315226793</v>
      </c>
      <c r="R359" s="15" t="n">
        <f aca="false">Q359-$G$2+$I$2</f>
        <v>52186.6315226793</v>
      </c>
      <c r="S359" s="40" t="n">
        <f aca="false">R359/$K$2</f>
        <v>93.3604628478288</v>
      </c>
      <c r="T359" s="41" t="n">
        <f aca="false">S359-$M$2</f>
        <v>-0.113364480519294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0.0914306640625</v>
      </c>
      <c r="C360" s="25" t="n">
        <f aca="false">IF(T359&gt;0,D359,C359)</f>
        <v>0.091796875</v>
      </c>
      <c r="D360" s="39" t="n">
        <f aca="false">(B360+C360)/2</f>
        <v>0.09161376953125</v>
      </c>
      <c r="E360" s="15" t="n">
        <f aca="false">$C$2*(1+IF(E$3&lt;=$O$2,$D360,$D360-($D360-$I$346)*MIN(E$3-$O$2,$Q$2)/$Q$2))</f>
        <v>6123.95324707031</v>
      </c>
      <c r="F360" s="15" t="n">
        <f aca="false">E360*(1+IF(F$3&lt;=$O$2,$D360,$D360-($D360-$I$346)*MIN(F$3-$O$2,$Q$2)/$Q$2))</f>
        <v>6684.99168846756</v>
      </c>
      <c r="G360" s="15" t="n">
        <f aca="false">F360*(1+IF(G$3&lt;=$O$2,$D360,$D360-($D360-$I$346)*MIN(G$3-$O$2,$Q$2)/$Q$2))</f>
        <v>7297.42897633315</v>
      </c>
      <c r="H360" s="15" t="n">
        <f aca="false">G360*(1+IF(H$3&lt;=$O$2,$D360,$D360-($D360-$I$346)*MIN(H$3-$O$2,$Q$2)/$Q$2))</f>
        <v>7965.9739527416</v>
      </c>
      <c r="I360" s="15" t="n">
        <f aca="false">H360*(1+IF(I$3&lt;=$O$2,$D360,$D360-($D360-$I$346)*MIN(I$3-$O$2,$Q$2)/$Q$2))</f>
        <v>8695.76685454001</v>
      </c>
      <c r="J360" s="15" t="n">
        <f aca="false">I360*(1+IF(J$3&lt;=$O$2,$D360,$D360-($D360-$I$346)*MIN(J$3-$O$2,$Q$2)/$Q$2))</f>
        <v>9373.61071248962</v>
      </c>
      <c r="K360" s="15" t="n">
        <f aca="false">J360*(1+IF(K$3&lt;=$O$2,$D360,$D360-($D360-$I$346)*MIN(K$3-$O$2,$Q$2)/$Q$2))</f>
        <v>9976.22385122383</v>
      </c>
      <c r="L360" s="15" t="n">
        <f aca="false">K360*(1+IF(L$3&lt;=$O$2,$D360,$D360-($D360-$I$346)*MIN(L$3-$O$2,$Q$2)/$Q$2))</f>
        <v>10481.2752497432</v>
      </c>
      <c r="M360" s="15" t="n">
        <f aca="false">L360*(1+IF(M$3&lt;=$O$2,$D360,$D360-($D360-$I$346)*MIN(M$3-$O$2,$Q$2)/$Q$2))</f>
        <v>10868.6920474231</v>
      </c>
      <c r="N360" s="15" t="n">
        <f aca="false">M360*(1+IF(N$3&lt;=$O$2,$D360,$D360-($D360-$I$346)*MIN(N$3-$O$2,$Q$2)/$Q$2))</f>
        <v>11121.9325721281</v>
      </c>
      <c r="O360" s="15" t="n">
        <f aca="false">SUMPRODUCT(E360:N360,1/(1+$F$346)^$E$3:$N$3)*$E$2</f>
        <v>22135.9007338499</v>
      </c>
      <c r="P360" s="15" t="n">
        <f aca="false">N360*$E$2*(1+$I$346)/($F$346-$I$346)/(1+$F$346)^$N$3</f>
        <v>38879.5299473891</v>
      </c>
      <c r="Q360" s="15" t="n">
        <f aca="false">O360+P360</f>
        <v>61015.430681239</v>
      </c>
      <c r="R360" s="15" t="n">
        <f aca="false">Q360-$G$2+$I$2</f>
        <v>52250.430681239</v>
      </c>
      <c r="S360" s="40" t="n">
        <f aca="false">R360/$K$2</f>
        <v>93.474597805358</v>
      </c>
      <c r="T360" s="41" t="n">
        <f aca="false">S360-$M$2</f>
        <v>0.000770477009893966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0.0914306640625</v>
      </c>
      <c r="C361" s="25" t="n">
        <f aca="false">IF(T360&gt;0,D360,C360)</f>
        <v>0.09161376953125</v>
      </c>
      <c r="D361" s="39" t="n">
        <f aca="false">(B361+C361)/2</f>
        <v>0.091522216796875</v>
      </c>
      <c r="E361" s="15" t="n">
        <f aca="false">$C$2*(1+IF(E$3&lt;=$O$2,$D361,$D361-($D361-$I$346)*MIN(E$3-$O$2,$Q$2)/$Q$2))</f>
        <v>6123.43963623047</v>
      </c>
      <c r="F361" s="15" t="n">
        <f aca="false">E361*(1+IF(F$3&lt;=$O$2,$D361,$D361-($D361-$I$346)*MIN(F$3-$O$2,$Q$2)/$Q$2))</f>
        <v>6683.87040616013</v>
      </c>
      <c r="G361" s="15" t="n">
        <f aca="false">F361*(1+IF(G$3&lt;=$O$2,$D361,$D361-($D361-$I$346)*MIN(G$3-$O$2,$Q$2)/$Q$2))</f>
        <v>7295.59304251494</v>
      </c>
      <c r="H361" s="15" t="n">
        <f aca="false">G361*(1+IF(H$3&lt;=$O$2,$D361,$D361-($D361-$I$346)*MIN(H$3-$O$2,$Q$2)/$Q$2))</f>
        <v>7963.30189061376</v>
      </c>
      <c r="I361" s="15" t="n">
        <f aca="false">H361*(1+IF(I$3&lt;=$O$2,$D361,$D361-($D361-$I$346)*MIN(I$3-$O$2,$Q$2)/$Q$2))</f>
        <v>8692.12093266548</v>
      </c>
      <c r="J361" s="15" t="n">
        <f aca="false">I361*(1+IF(J$3&lt;=$O$2,$D361,$D361-($D361-$I$346)*MIN(J$3-$O$2,$Q$2)/$Q$2))</f>
        <v>9369.04395735095</v>
      </c>
      <c r="K361" s="15" t="n">
        <f aca="false">J361*(1+IF(K$3&lt;=$O$2,$D361,$D361-($D361-$I$346)*MIN(K$3-$O$2,$Q$2)/$Q$2))</f>
        <v>9970.84885037994</v>
      </c>
      <c r="L361" s="15" t="n">
        <f aca="false">K361*(1+IF(L$3&lt;=$O$2,$D361,$D361-($D361-$I$346)*MIN(L$3-$O$2,$Q$2)/$Q$2))</f>
        <v>10475.2629933616</v>
      </c>
      <c r="M361" s="15" t="n">
        <f aca="false">L361*(1+IF(M$3&lt;=$O$2,$D361,$D361-($D361-$I$346)*MIN(M$3-$O$2,$Q$2)/$Q$2))</f>
        <v>10862.2657536944</v>
      </c>
      <c r="N361" s="15" t="n">
        <f aca="false">M361*(1+IF(N$3&lt;=$O$2,$D361,$D361-($D361-$I$346)*MIN(N$3-$O$2,$Q$2)/$Q$2))</f>
        <v>11115.3565457555</v>
      </c>
      <c r="O361" s="15" t="n">
        <f aca="false">SUMPRODUCT(E361:N361,1/(1+$F$346)^$E$3:$N$3)*$E$2</f>
        <v>22126.9815947577</v>
      </c>
      <c r="P361" s="15" t="n">
        <f aca="false">N361*$E$2*(1+$I$346)/($F$346-$I$346)/(1+$F$346)^$N$3</f>
        <v>38856.5417830003</v>
      </c>
      <c r="Q361" s="15" t="n">
        <f aca="false">O361+P361</f>
        <v>60983.523377758</v>
      </c>
      <c r="R361" s="15" t="n">
        <f aca="false">Q361-$G$2+$I$2</f>
        <v>52218.523377758</v>
      </c>
      <c r="S361" s="40" t="n">
        <f aca="false">R361/$K$2</f>
        <v>93.4175165082078</v>
      </c>
      <c r="T361" s="41" t="n">
        <f aca="false">S361-$M$2</f>
        <v>-0.0563108201402685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0.091522216796875</v>
      </c>
      <c r="C362" s="25" t="n">
        <f aca="false">IF(T361&gt;0,D361,C361)</f>
        <v>0.09161376953125</v>
      </c>
      <c r="D362" s="39" t="n">
        <f aca="false">(B362+C362)/2</f>
        <v>0.0915679931640625</v>
      </c>
      <c r="E362" s="15" t="n">
        <f aca="false">$C$2*(1+IF(E$3&lt;=$O$2,$D362,$D362-($D362-$I$346)*MIN(E$3-$O$2,$Q$2)/$Q$2))</f>
        <v>6123.69644165039</v>
      </c>
      <c r="F362" s="15" t="n">
        <f aca="false">E362*(1+IF(F$3&lt;=$O$2,$D362,$D362-($D362-$I$346)*MIN(F$3-$O$2,$Q$2)/$Q$2))</f>
        <v>6684.43103555823</v>
      </c>
      <c r="G362" s="15" t="n">
        <f aca="false">F362*(1+IF(G$3&lt;=$O$2,$D362,$D362-($D362-$I$346)*MIN(G$3-$O$2,$Q$2)/$Q$2))</f>
        <v>7296.51097092787</v>
      </c>
      <c r="H362" s="15" t="n">
        <f aca="false">G362*(1+IF(H$3&lt;=$O$2,$D362,$D362-($D362-$I$346)*MIN(H$3-$O$2,$Q$2)/$Q$2))</f>
        <v>7964.6378376353</v>
      </c>
      <c r="I362" s="15" t="n">
        <f aca="false">H362*(1+IF(I$3&lt;=$O$2,$D362,$D362-($D362-$I$346)*MIN(I$3-$O$2,$Q$2)/$Q$2))</f>
        <v>8693.94374070612</v>
      </c>
      <c r="J362" s="15" t="n">
        <f aca="false">I362*(1+IF(J$3&lt;=$O$2,$D362,$D362-($D362-$I$346)*MIN(J$3-$O$2,$Q$2)/$Q$2))</f>
        <v>9371.32710335199</v>
      </c>
      <c r="K362" s="15" t="n">
        <f aca="false">J362*(1+IF(K$3&lt;=$O$2,$D362,$D362-($D362-$I$346)*MIN(K$3-$O$2,$Q$2)/$Q$2))</f>
        <v>9973.53604163799</v>
      </c>
      <c r="L362" s="15" t="n">
        <f aca="false">K362*(1+IF(L$3&lt;=$O$2,$D362,$D362-($D362-$I$346)*MIN(L$3-$O$2,$Q$2)/$Q$2))</f>
        <v>10478.268747533</v>
      </c>
      <c r="M362" s="15" t="n">
        <f aca="false">L362*(1+IF(M$3&lt;=$O$2,$D362,$D362-($D362-$I$346)*MIN(M$3-$O$2,$Q$2)/$Q$2))</f>
        <v>10865.4784851961</v>
      </c>
      <c r="N362" s="15" t="n">
        <f aca="false">M362*(1+IF(N$3&lt;=$O$2,$D362,$D362-($D362-$I$346)*MIN(N$3-$O$2,$Q$2)/$Q$2))</f>
        <v>11118.6441339011</v>
      </c>
      <c r="O362" s="15" t="n">
        <f aca="false">SUMPRODUCT(E362:N362,1/(1+$F$346)^$E$3:$N$3)*$E$2</f>
        <v>22131.4407186787</v>
      </c>
      <c r="P362" s="15" t="n">
        <f aca="false">N362*$E$2*(1+$I$346)/($F$346-$I$346)/(1+$F$346)^$N$3</f>
        <v>38868.0343793575</v>
      </c>
      <c r="Q362" s="15" t="n">
        <f aca="false">O362+P362</f>
        <v>60999.4750980362</v>
      </c>
      <c r="R362" s="15" t="n">
        <f aca="false">Q362-$G$2+$I$2</f>
        <v>52234.4750980362</v>
      </c>
      <c r="S362" s="40" t="n">
        <f aca="false">R362/$K$2</f>
        <v>93.4460537014494</v>
      </c>
      <c r="T362" s="41" t="n">
        <f aca="false">S362-$M$2</f>
        <v>-0.027773626898707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0.0915679931640625</v>
      </c>
      <c r="C363" s="25" t="n">
        <f aca="false">IF(T362&gt;0,D362,C362)</f>
        <v>0.09161376953125</v>
      </c>
      <c r="D363" s="39" t="n">
        <f aca="false">(B363+C363)/2</f>
        <v>0.0915908813476563</v>
      </c>
      <c r="E363" s="15" t="n">
        <f aca="false">$C$2*(1+IF(E$3&lt;=$O$2,$D363,$D363-($D363-$I$346)*MIN(E$3-$O$2,$Q$2)/$Q$2))</f>
        <v>6123.82484436035</v>
      </c>
      <c r="F363" s="15" t="n">
        <f aca="false">E363*(1+IF(F$3&lt;=$O$2,$D363,$D363-($D363-$I$346)*MIN(F$3-$O$2,$Q$2)/$Q$2))</f>
        <v>6684.71135907399</v>
      </c>
      <c r="G363" s="15" t="n">
        <f aca="false">F363*(1+IF(G$3&lt;=$O$2,$D363,$D363-($D363-$I$346)*MIN(G$3-$O$2,$Q$2)/$Q$2))</f>
        <v>7296.96996400627</v>
      </c>
      <c r="H363" s="15" t="n">
        <f aca="false">G363*(1+IF(H$3&lt;=$O$2,$D363,$D363-($D363-$I$346)*MIN(H$3-$O$2,$Q$2)/$Q$2))</f>
        <v>7965.30587417698</v>
      </c>
      <c r="I363" s="15" t="n">
        <f aca="false">H363*(1+IF(I$3&lt;=$O$2,$D363,$D363-($D363-$I$346)*MIN(I$3-$O$2,$Q$2)/$Q$2))</f>
        <v>8694.85525939651</v>
      </c>
      <c r="J363" s="15" t="n">
        <f aca="false">I363*(1+IF(J$3&lt;=$O$2,$D363,$D363-($D363-$I$346)*MIN(J$3-$O$2,$Q$2)/$Q$2))</f>
        <v>9372.46885002404</v>
      </c>
      <c r="K363" s="15" t="n">
        <f aca="false">J363*(1+IF(K$3&lt;=$O$2,$D363,$D363-($D363-$I$346)*MIN(K$3-$O$2,$Q$2)/$Q$2))</f>
        <v>9974.87986913256</v>
      </c>
      <c r="L363" s="15" t="n">
        <f aca="false">K363*(1+IF(L$3&lt;=$O$2,$D363,$D363-($D363-$I$346)*MIN(L$3-$O$2,$Q$2)/$Q$2))</f>
        <v>10479.7719051234</v>
      </c>
      <c r="M363" s="15" t="n">
        <f aca="false">L363*(1+IF(M$3&lt;=$O$2,$D363,$D363-($D363-$I$346)*MIN(M$3-$O$2,$Q$2)/$Q$2))</f>
        <v>10867.0851624574</v>
      </c>
      <c r="N363" s="15" t="n">
        <f aca="false">M363*(1+IF(N$3&lt;=$O$2,$D363,$D363-($D363-$I$346)*MIN(N$3-$O$2,$Q$2)/$Q$2))</f>
        <v>11120.2882467427</v>
      </c>
      <c r="O363" s="15" t="n">
        <f aca="false">SUMPRODUCT(E363:N363,1/(1+$F$346)^$E$3:$N$3)*$E$2</f>
        <v>22133.6706148477</v>
      </c>
      <c r="P363" s="15" t="n">
        <f aca="false">N363*$E$2*(1+$I$346)/($F$346-$I$346)/(1+$F$346)^$N$3</f>
        <v>38873.7817918728</v>
      </c>
      <c r="Q363" s="15" t="n">
        <f aca="false">O363+P363</f>
        <v>61007.4524067205</v>
      </c>
      <c r="R363" s="15" t="n">
        <f aca="false">Q363-$G$2+$I$2</f>
        <v>52242.4524067205</v>
      </c>
      <c r="S363" s="40" t="n">
        <f aca="false">R363/$K$2</f>
        <v>93.4603248894782</v>
      </c>
      <c r="T363" s="41" t="n">
        <f aca="false">S363-$M$2</f>
        <v>-0.0135024388699208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0.0915908813476563</v>
      </c>
      <c r="C364" s="25" t="n">
        <f aca="false">IF(T363&gt;0,D363,C363)</f>
        <v>0.09161376953125</v>
      </c>
      <c r="D364" s="39" t="n">
        <f aca="false">(B364+C364)/2</f>
        <v>0.0916023254394531</v>
      </c>
      <c r="E364" s="15" t="n">
        <f aca="false">$C$2*(1+IF(E$3&lt;=$O$2,$D364,$D364-($D364-$I$346)*MIN(E$3-$O$2,$Q$2)/$Q$2))</f>
        <v>6123.88904571533</v>
      </c>
      <c r="F364" s="15" t="n">
        <f aca="false">E364*(1+IF(F$3&lt;=$O$2,$D364,$D364-($D364-$I$346)*MIN(F$3-$O$2,$Q$2)/$Q$2))</f>
        <v>6684.85152303605</v>
      </c>
      <c r="G364" s="15" t="n">
        <f aca="false">F364*(1+IF(G$3&lt;=$O$2,$D364,$D364-($D364-$I$346)*MIN(G$3-$O$2,$Q$2)/$Q$2))</f>
        <v>7297.19946776362</v>
      </c>
      <c r="H364" s="15" t="n">
        <f aca="false">G364*(1+IF(H$3&lt;=$O$2,$D364,$D364-($D364-$I$346)*MIN(H$3-$O$2,$Q$2)/$Q$2))</f>
        <v>7965.63990820631</v>
      </c>
      <c r="I364" s="15" t="n">
        <f aca="false">H364*(1+IF(I$3&lt;=$O$2,$D364,$D364-($D364-$I$346)*MIN(I$3-$O$2,$Q$2)/$Q$2))</f>
        <v>8695.31104741132</v>
      </c>
      <c r="J364" s="15" t="n">
        <f aca="false">I364*(1+IF(J$3&lt;=$O$2,$D364,$D364-($D364-$I$346)*MIN(J$3-$O$2,$Q$2)/$Q$2))</f>
        <v>9373.03976678205</v>
      </c>
      <c r="K364" s="15" t="n">
        <f aca="false">J364*(1+IF(K$3&lt;=$O$2,$D364,$D364-($D364-$I$346)*MIN(K$3-$O$2,$Q$2)/$Q$2))</f>
        <v>9975.55184085268</v>
      </c>
      <c r="L364" s="15" t="n">
        <f aca="false">K364*(1+IF(L$3&lt;=$O$2,$D364,$D364-($D364-$I$346)*MIN(L$3-$O$2,$Q$2)/$Q$2))</f>
        <v>10480.5235540534</v>
      </c>
      <c r="M364" s="15" t="n">
        <f aca="false">L364*(1+IF(M$3&lt;=$O$2,$D364,$D364-($D364-$I$346)*MIN(M$3-$O$2,$Q$2)/$Q$2))</f>
        <v>10867.8885789758</v>
      </c>
      <c r="N364" s="15" t="n">
        <f aca="false">M364*(1+IF(N$3&lt;=$O$2,$D364,$D364-($D364-$I$346)*MIN(N$3-$O$2,$Q$2)/$Q$2))</f>
        <v>11121.1103828659</v>
      </c>
      <c r="O364" s="15" t="n">
        <f aca="false">SUMPRODUCT(E364:N364,1/(1+$F$346)^$E$3:$N$3)*$E$2</f>
        <v>22134.7856464934</v>
      </c>
      <c r="P364" s="15" t="n">
        <f aca="false">N364*$E$2*(1+$I$346)/($F$346-$I$346)/(1+$F$346)^$N$3</f>
        <v>38876.6557767507</v>
      </c>
      <c r="Q364" s="15" t="n">
        <f aca="false">O364+P364</f>
        <v>61011.441423244</v>
      </c>
      <c r="R364" s="15" t="n">
        <f aca="false">Q364-$G$2+$I$2</f>
        <v>52246.441423244</v>
      </c>
      <c r="S364" s="40" t="n">
        <f aca="false">R364/$K$2</f>
        <v>93.4674611314252</v>
      </c>
      <c r="T364" s="41" t="n">
        <f aca="false">S364-$M$2</f>
        <v>-0.00636619692291163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0.0916023254394531</v>
      </c>
      <c r="C365" s="25" t="n">
        <f aca="false">IF(T364&gt;0,D364,C364)</f>
        <v>0.09161376953125</v>
      </c>
      <c r="D365" s="39" t="n">
        <f aca="false">(B365+C365)/2</f>
        <v>0.0916080474853516</v>
      </c>
      <c r="E365" s="15" t="n">
        <f aca="false">$C$2*(1+IF(E$3&lt;=$O$2,$D365,$D365-($D365-$I$346)*MIN(E$3-$O$2,$Q$2)/$Q$2))</f>
        <v>6123.92114639282</v>
      </c>
      <c r="F365" s="15" t="n">
        <f aca="false">E365*(1+IF(F$3&lt;=$O$2,$D365,$D365-($D365-$I$346)*MIN(F$3-$O$2,$Q$2)/$Q$2))</f>
        <v>6684.92160556812</v>
      </c>
      <c r="G365" s="15" t="n">
        <f aca="false">F365*(1+IF(G$3&lt;=$O$2,$D365,$D365-($D365-$I$346)*MIN(G$3-$O$2,$Q$2)/$Q$2))</f>
        <v>7297.31422144686</v>
      </c>
      <c r="H365" s="15" t="n">
        <f aca="false">G365*(1+IF(H$3&lt;=$O$2,$D365,$D365-($D365-$I$346)*MIN(H$3-$O$2,$Q$2)/$Q$2))</f>
        <v>7965.8069291607</v>
      </c>
      <c r="I365" s="15" t="n">
        <f aca="false">H365*(1+IF(I$3&lt;=$O$2,$D365,$D365-($D365-$I$346)*MIN(I$3-$O$2,$Q$2)/$Q$2))</f>
        <v>8695.53894858639</v>
      </c>
      <c r="J365" s="15" t="n">
        <f aca="false">I365*(1+IF(J$3&lt;=$O$2,$D365,$D365-($D365-$I$346)*MIN(J$3-$O$2,$Q$2)/$Q$2))</f>
        <v>9373.32523601707</v>
      </c>
      <c r="K365" s="15" t="n">
        <f aca="false">J365*(1+IF(K$3&lt;=$O$2,$D365,$D365-($D365-$I$346)*MIN(K$3-$O$2,$Q$2)/$Q$2))</f>
        <v>9975.88784120676</v>
      </c>
      <c r="L365" s="15" t="n">
        <f aca="false">K365*(1+IF(L$3&lt;=$O$2,$D365,$D365-($D365-$I$346)*MIN(L$3-$O$2,$Q$2)/$Q$2))</f>
        <v>10480.8993960532</v>
      </c>
      <c r="M365" s="15" t="n">
        <f aca="false">L365*(1+IF(M$3&lt;=$O$2,$D365,$D365-($D365-$I$346)*MIN(M$3-$O$2,$Q$2)/$Q$2))</f>
        <v>10868.2903067082</v>
      </c>
      <c r="N365" s="15" t="n">
        <f aca="false">M365*(1+IF(N$3&lt;=$O$2,$D365,$D365-($D365-$I$346)*MIN(N$3-$O$2,$Q$2)/$Q$2))</f>
        <v>11121.5214708545</v>
      </c>
      <c r="O365" s="15" t="n">
        <f aca="false">SUMPRODUCT(E365:N365,1/(1+$F$346)^$E$3:$N$3)*$E$2</f>
        <v>22135.3431832076</v>
      </c>
      <c r="P365" s="15" t="n">
        <f aca="false">N365*$E$2*(1+$I$346)/($F$346-$I$346)/(1+$F$346)^$N$3</f>
        <v>38878.0928388492</v>
      </c>
      <c r="Q365" s="15" t="n">
        <f aca="false">O365+P365</f>
        <v>61013.4360220568</v>
      </c>
      <c r="R365" s="15" t="n">
        <f aca="false">Q365-$G$2+$I$2</f>
        <v>52248.4360220568</v>
      </c>
      <c r="S365" s="40" t="n">
        <f aca="false">R365/$K$2</f>
        <v>93.4710294143919</v>
      </c>
      <c r="T365" s="41" t="n">
        <f aca="false">S365-$M$2</f>
        <v>-0.00279791395617224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0.0916080474853516</v>
      </c>
      <c r="C366" s="25" t="n">
        <f aca="false">IF(T365&gt;0,D365,C365)</f>
        <v>0.09161376953125</v>
      </c>
      <c r="D366" s="39" t="n">
        <f aca="false">(B366+C366)/2</f>
        <v>0.0916109085083008</v>
      </c>
      <c r="E366" s="15" t="n">
        <f aca="false">$C$2*(1+IF(E$3&lt;=$O$2,$D366,$D366-($D366-$I$346)*MIN(E$3-$O$2,$Q$2)/$Q$2))</f>
        <v>6123.93719673157</v>
      </c>
      <c r="F366" s="15" t="n">
        <f aca="false">E366*(1+IF(F$3&lt;=$O$2,$D366,$D366-($D366-$I$346)*MIN(F$3-$O$2,$Q$2)/$Q$2))</f>
        <v>6684.95664697192</v>
      </c>
      <c r="G366" s="15" t="n">
        <f aca="false">F366*(1+IF(G$3&lt;=$O$2,$D366,$D366-($D366-$I$346)*MIN(G$3-$O$2,$Q$2)/$Q$2))</f>
        <v>7297.37159873963</v>
      </c>
      <c r="H366" s="15" t="n">
        <f aca="false">G366*(1+IF(H$3&lt;=$O$2,$D366,$D366-($D366-$I$346)*MIN(H$3-$O$2,$Q$2)/$Q$2))</f>
        <v>7965.89044062283</v>
      </c>
      <c r="I366" s="15" t="n">
        <f aca="false">H366*(1+IF(I$3&lt;=$O$2,$D366,$D366-($D366-$I$346)*MIN(I$3-$O$2,$Q$2)/$Q$2))</f>
        <v>8695.65290096588</v>
      </c>
      <c r="J366" s="15" t="n">
        <f aca="false">I366*(1+IF(J$3&lt;=$O$2,$D366,$D366-($D366-$I$346)*MIN(J$3-$O$2,$Q$2)/$Q$2))</f>
        <v>9373.46797334864</v>
      </c>
      <c r="K366" s="15" t="n">
        <f aca="false">J366*(1+IF(K$3&lt;=$O$2,$D366,$D366-($D366-$I$346)*MIN(K$3-$O$2,$Q$2)/$Q$2))</f>
        <v>9976.05584500741</v>
      </c>
      <c r="L366" s="15" t="n">
        <f aca="false">K366*(1+IF(L$3&lt;=$O$2,$D366,$D366-($D366-$I$346)*MIN(L$3-$O$2,$Q$2)/$Q$2))</f>
        <v>10481.0873214369</v>
      </c>
      <c r="M366" s="15" t="n">
        <f aca="false">L366*(1+IF(M$3&lt;=$O$2,$D366,$D366-($D366-$I$346)*MIN(M$3-$O$2,$Q$2)/$Q$2))</f>
        <v>10868.4911754428</v>
      </c>
      <c r="N366" s="15" t="n">
        <f aca="false">M366*(1+IF(N$3&lt;=$O$2,$D366,$D366-($D366-$I$346)*MIN(N$3-$O$2,$Q$2)/$Q$2))</f>
        <v>11121.7270198306</v>
      </c>
      <c r="O366" s="15" t="n">
        <f aca="false">SUMPRODUCT(E366:N366,1/(1+$F$346)^$E$3:$N$3)*$E$2</f>
        <v>22135.6219567877</v>
      </c>
      <c r="P366" s="15" t="n">
        <f aca="false">N366*$E$2*(1+$I$346)/($F$346-$I$346)/(1+$F$346)^$N$3</f>
        <v>38878.8113873139</v>
      </c>
      <c r="Q366" s="15" t="n">
        <f aca="false">O366+P366</f>
        <v>61014.4333441016</v>
      </c>
      <c r="R366" s="15" t="n">
        <f aca="false">Q366-$G$2+$I$2</f>
        <v>52249.4333441016</v>
      </c>
      <c r="S366" s="40" t="n">
        <f aca="false">R366/$K$2</f>
        <v>93.4728135963749</v>
      </c>
      <c r="T366" s="41" t="n">
        <f aca="false">S366-$M$2</f>
        <v>-0.00101373197320243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0.0916109085083008</v>
      </c>
      <c r="C367" s="25" t="n">
        <f aca="false">IF(T366&gt;0,D366,C366)</f>
        <v>0.09161376953125</v>
      </c>
      <c r="D367" s="39" t="n">
        <f aca="false">(B367+C367)/2</f>
        <v>0.0916123390197754</v>
      </c>
      <c r="E367" s="15" t="n">
        <f aca="false">$C$2*(1+IF(E$3&lt;=$O$2,$D367,$D367-($D367-$I$346)*MIN(E$3-$O$2,$Q$2)/$Q$2))</f>
        <v>6123.94522190094</v>
      </c>
      <c r="F367" s="15" t="n">
        <f aca="false">E367*(1+IF(F$3&lt;=$O$2,$D367,$D367-($D367-$I$346)*MIN(F$3-$O$2,$Q$2)/$Q$2))</f>
        <v>6684.97416770826</v>
      </c>
      <c r="G367" s="15" t="n">
        <f aca="false">F367*(1+IF(G$3&lt;=$O$2,$D367,$D367-($D367-$I$346)*MIN(G$3-$O$2,$Q$2)/$Q$2))</f>
        <v>7297.40028749879</v>
      </c>
      <c r="H367" s="15" t="n">
        <f aca="false">G367*(1+IF(H$3&lt;=$O$2,$D367,$D367-($D367-$I$346)*MIN(H$3-$O$2,$Q$2)/$Q$2))</f>
        <v>7965.93219660014</v>
      </c>
      <c r="I367" s="15" t="n">
        <f aca="false">H367*(1+IF(I$3&lt;=$O$2,$D367,$D367-($D367-$I$346)*MIN(I$3-$O$2,$Q$2)/$Q$2))</f>
        <v>8695.70987760362</v>
      </c>
      <c r="J367" s="15" t="n">
        <f aca="false">I367*(1+IF(J$3&lt;=$O$2,$D367,$D367-($D367-$I$346)*MIN(J$3-$O$2,$Q$2)/$Q$2))</f>
        <v>9373.53934269295</v>
      </c>
      <c r="K367" s="15" t="n">
        <f aca="false">J367*(1+IF(K$3&lt;=$O$2,$D367,$D367-($D367-$I$346)*MIN(K$3-$O$2,$Q$2)/$Q$2))</f>
        <v>9976.13984781364</v>
      </c>
      <c r="L367" s="15" t="n">
        <f aca="false">K367*(1+IF(L$3&lt;=$O$2,$D367,$D367-($D367-$I$346)*MIN(L$3-$O$2,$Q$2)/$Q$2))</f>
        <v>10481.1812852247</v>
      </c>
      <c r="M367" s="15" t="n">
        <f aca="false">L367*(1+IF(M$3&lt;=$O$2,$D367,$D367-($D367-$I$346)*MIN(M$3-$O$2,$Q$2)/$Q$2))</f>
        <v>10868.5916110273</v>
      </c>
      <c r="N367" s="15" t="n">
        <f aca="false">M367*(1+IF(N$3&lt;=$O$2,$D367,$D367-($D367-$I$346)*MIN(N$3-$O$2,$Q$2)/$Q$2))</f>
        <v>11121.8297955642</v>
      </c>
      <c r="O367" s="15" t="n">
        <f aca="false">SUMPRODUCT(E367:N367,1/(1+$F$346)^$E$3:$N$3)*$E$2</f>
        <v>22135.7613448836</v>
      </c>
      <c r="P367" s="15" t="n">
        <f aca="false">N367*$E$2*(1+$I$346)/($F$346-$I$346)/(1+$F$346)^$N$3</f>
        <v>38879.1706659002</v>
      </c>
      <c r="Q367" s="15" t="n">
        <f aca="false">O367+P367</f>
        <v>61014.9320107837</v>
      </c>
      <c r="R367" s="15" t="n">
        <f aca="false">Q367-$G$2+$I$2</f>
        <v>52249.9320107837</v>
      </c>
      <c r="S367" s="40" t="n">
        <f aca="false">R367/$K$2</f>
        <v>93.4737056974914</v>
      </c>
      <c r="T367" s="41" t="n">
        <f aca="false">S367-$M$2</f>
        <v>-0.000121630856696697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0.0916123390197754</v>
      </c>
      <c r="C368" s="25" t="n">
        <f aca="false">IF(T367&gt;0,D367,C367)</f>
        <v>0.09161376953125</v>
      </c>
      <c r="D368" s="39" t="n">
        <f aca="false">(B368+C368)/2</f>
        <v>0.0916130542755127</v>
      </c>
      <c r="E368" s="15" t="n">
        <f aca="false">$C$2*(1+IF(E$3&lt;=$O$2,$D368,$D368-($D368-$I$346)*MIN(E$3-$O$2,$Q$2)/$Q$2))</f>
        <v>6123.94923448563</v>
      </c>
      <c r="F368" s="15" t="n">
        <f aca="false">E368*(1+IF(F$3&lt;=$O$2,$D368,$D368-($D368-$I$346)*MIN(F$3-$O$2,$Q$2)/$Q$2))</f>
        <v>6684.98292808504</v>
      </c>
      <c r="G368" s="15" t="n">
        <f aca="false">F368*(1+IF(G$3&lt;=$O$2,$D368,$D368-($D368-$I$346)*MIN(G$3-$O$2,$Q$2)/$Q$2))</f>
        <v>7297.41463190657</v>
      </c>
      <c r="H368" s="15" t="n">
        <f aca="false">G368*(1+IF(H$3&lt;=$O$2,$D368,$D368-($D368-$I$346)*MIN(H$3-$O$2,$Q$2)/$Q$2))</f>
        <v>7965.95307465035</v>
      </c>
      <c r="I368" s="15" t="n">
        <f aca="false">H368*(1+IF(I$3&lt;=$O$2,$D368,$D368-($D368-$I$346)*MIN(I$3-$O$2,$Q$2)/$Q$2))</f>
        <v>8695.73836603448</v>
      </c>
      <c r="J368" s="15" t="n">
        <f aca="false">I368*(1+IF(J$3&lt;=$O$2,$D368,$D368-($D368-$I$346)*MIN(J$3-$O$2,$Q$2)/$Q$2))</f>
        <v>9373.57502753474</v>
      </c>
      <c r="K368" s="15" t="n">
        <f aca="false">J368*(1+IF(K$3&lt;=$O$2,$D368,$D368-($D368-$I$346)*MIN(K$3-$O$2,$Q$2)/$Q$2))</f>
        <v>9976.18184944324</v>
      </c>
      <c r="L368" s="15" t="n">
        <f aca="false">K368*(1+IF(L$3&lt;=$O$2,$D368,$D368-($D368-$I$346)*MIN(L$3-$O$2,$Q$2)/$Q$2))</f>
        <v>10481.2282673926</v>
      </c>
      <c r="M368" s="15" t="n">
        <f aca="false">L368*(1+IF(M$3&lt;=$O$2,$D368,$D368-($D368-$I$346)*MIN(M$3-$O$2,$Q$2)/$Q$2))</f>
        <v>10868.6418291238</v>
      </c>
      <c r="N368" s="15" t="n">
        <f aca="false">M368*(1+IF(N$3&lt;=$O$2,$D368,$D368-($D368-$I$346)*MIN(N$3-$O$2,$Q$2)/$Q$2))</f>
        <v>11121.8811837423</v>
      </c>
      <c r="O368" s="15" t="n">
        <f aca="false">SUMPRODUCT(E368:N368,1/(1+$F$346)^$E$3:$N$3)*$E$2</f>
        <v>22135.8310392579</v>
      </c>
      <c r="P368" s="15" t="n">
        <f aca="false">N368*$E$2*(1+$I$346)/($F$346-$I$346)/(1+$F$346)^$N$3</f>
        <v>38879.3503062818</v>
      </c>
      <c r="Q368" s="15" t="n">
        <f aca="false">O368+P368</f>
        <v>61015.1813455397</v>
      </c>
      <c r="R368" s="15" t="n">
        <f aca="false">Q368-$G$2+$I$2</f>
        <v>52250.1813455397</v>
      </c>
      <c r="S368" s="40" t="n">
        <f aca="false">R368/$K$2</f>
        <v>93.4741517505809</v>
      </c>
      <c r="T368" s="41" t="n">
        <f aca="false">S368-$M$2</f>
        <v>0.000324422232807819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0.0916123390197754</v>
      </c>
      <c r="C369" s="25" t="n">
        <f aca="false">IF(T368&gt;0,D368,C368)</f>
        <v>0.0916130542755127</v>
      </c>
      <c r="D369" s="39" t="n">
        <f aca="false">(B369+C369)/2</f>
        <v>0.091612696647644</v>
      </c>
      <c r="E369" s="15" t="n">
        <f aca="false">$C$2*(1+IF(E$3&lt;=$O$2,$D369,$D369-($D369-$I$346)*MIN(E$3-$O$2,$Q$2)/$Q$2))</f>
        <v>6123.94722819328</v>
      </c>
      <c r="F369" s="15" t="n">
        <f aca="false">E369*(1+IF(F$3&lt;=$O$2,$D369,$D369-($D369-$I$346)*MIN(F$3-$O$2,$Q$2)/$Q$2))</f>
        <v>6684.97854789594</v>
      </c>
      <c r="G369" s="15" t="n">
        <f aca="false">F369*(1+IF(G$3&lt;=$O$2,$D369,$D369-($D369-$I$346)*MIN(G$3-$O$2,$Q$2)/$Q$2))</f>
        <v>7297.40745970033</v>
      </c>
      <c r="H369" s="15" t="n">
        <f aca="false">G369*(1+IF(H$3&lt;=$O$2,$D369,$D369-($D369-$I$346)*MIN(H$3-$O$2,$Q$2)/$Q$2))</f>
        <v>7965.94263562011</v>
      </c>
      <c r="I369" s="15" t="n">
        <f aca="false">H369*(1+IF(I$3&lt;=$O$2,$D369,$D369-($D369-$I$346)*MIN(I$3-$O$2,$Q$2)/$Q$2))</f>
        <v>8695.72412180971</v>
      </c>
      <c r="J369" s="15" t="n">
        <f aca="false">I369*(1+IF(J$3&lt;=$O$2,$D369,$D369-($D369-$I$346)*MIN(J$3-$O$2,$Q$2)/$Q$2))</f>
        <v>9373.55718509971</v>
      </c>
      <c r="K369" s="15" t="n">
        <f aca="false">J369*(1+IF(K$3&lt;=$O$2,$D369,$D369-($D369-$I$346)*MIN(K$3-$O$2,$Q$2)/$Q$2))</f>
        <v>9976.16084860957</v>
      </c>
      <c r="L369" s="15" t="n">
        <f aca="false">K369*(1+IF(L$3&lt;=$O$2,$D369,$D369-($D369-$I$346)*MIN(L$3-$O$2,$Q$2)/$Q$2))</f>
        <v>10481.2047762858</v>
      </c>
      <c r="M369" s="15" t="n">
        <f aca="false">L369*(1+IF(M$3&lt;=$O$2,$D369,$D369-($D369-$I$346)*MIN(M$3-$O$2,$Q$2)/$Q$2))</f>
        <v>10868.6167200502</v>
      </c>
      <c r="N369" s="15" t="n">
        <f aca="false">M369*(1+IF(N$3&lt;=$O$2,$D369,$D369-($D369-$I$346)*MIN(N$3-$O$2,$Q$2)/$Q$2))</f>
        <v>11121.8554896273</v>
      </c>
      <c r="O369" s="15" t="n">
        <f aca="false">SUMPRODUCT(E369:N369,1/(1+$F$346)^$E$3:$N$3)*$E$2</f>
        <v>22135.7961920435</v>
      </c>
      <c r="P369" s="15" t="n">
        <f aca="false">N369*$E$2*(1+$I$346)/($F$346-$I$346)/(1+$F$346)^$N$3</f>
        <v>38879.2604860003</v>
      </c>
      <c r="Q369" s="15" t="n">
        <f aca="false">O369+P369</f>
        <v>61015.0566780438</v>
      </c>
      <c r="R369" s="15" t="n">
        <f aca="false">Q369-$G$2+$I$2</f>
        <v>52250.0566780438</v>
      </c>
      <c r="S369" s="40" t="n">
        <f aca="false">R369/$K$2</f>
        <v>93.4739287238252</v>
      </c>
      <c r="T369" s="41" t="n">
        <f aca="false">S369-$M$2</f>
        <v>0.000101395477102528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0.0916123390197754</v>
      </c>
      <c r="C370" s="25" t="n">
        <f aca="false">IF(T369&gt;0,D369,C369)</f>
        <v>0.091612696647644</v>
      </c>
      <c r="D370" s="39" t="n">
        <f aca="false">(B370+C370)/2</f>
        <v>0.0916125178337097</v>
      </c>
      <c r="E370" s="15" t="n">
        <f aca="false">$C$2*(1+IF(E$3&lt;=$O$2,$D370,$D370-($D370-$I$346)*MIN(E$3-$O$2,$Q$2)/$Q$2))</f>
        <v>6123.94622504711</v>
      </c>
      <c r="F370" s="15" t="n">
        <f aca="false">E370*(1+IF(F$3&lt;=$O$2,$D370,$D370-($D370-$I$346)*MIN(F$3-$O$2,$Q$2)/$Q$2))</f>
        <v>6684.97635780192</v>
      </c>
      <c r="G370" s="15" t="n">
        <f aca="false">F370*(1+IF(G$3&lt;=$O$2,$D370,$D370-($D370-$I$346)*MIN(G$3-$O$2,$Q$2)/$Q$2))</f>
        <v>7297.40387359898</v>
      </c>
      <c r="H370" s="15" t="n">
        <f aca="false">G370*(1+IF(H$3&lt;=$O$2,$D370,$D370-($D370-$I$346)*MIN(H$3-$O$2,$Q$2)/$Q$2))</f>
        <v>7965.93741610884</v>
      </c>
      <c r="I370" s="15" t="n">
        <f aca="false">H370*(1+IF(I$3&lt;=$O$2,$D370,$D370-($D370-$I$346)*MIN(I$3-$O$2,$Q$2)/$Q$2))</f>
        <v>8695.71699970433</v>
      </c>
      <c r="J370" s="15" t="n">
        <f aca="false">I370*(1+IF(J$3&lt;=$O$2,$D370,$D370-($D370-$I$346)*MIN(J$3-$O$2,$Q$2)/$Q$2))</f>
        <v>9373.5482638928</v>
      </c>
      <c r="K370" s="15" t="n">
        <f aca="false">J370*(1+IF(K$3&lt;=$O$2,$D370,$D370-($D370-$I$346)*MIN(K$3-$O$2,$Q$2)/$Q$2))</f>
        <v>9976.15034820689</v>
      </c>
      <c r="L370" s="15" t="n">
        <f aca="false">K370*(1+IF(L$3&lt;=$O$2,$D370,$D370-($D370-$I$346)*MIN(L$3-$O$2,$Q$2)/$Q$2))</f>
        <v>10481.1930307496</v>
      </c>
      <c r="M370" s="15" t="n">
        <f aca="false">L370*(1+IF(M$3&lt;=$O$2,$D370,$D370-($D370-$I$346)*MIN(M$3-$O$2,$Q$2)/$Q$2))</f>
        <v>10868.6041655324</v>
      </c>
      <c r="N370" s="15" t="n">
        <f aca="false">M370*(1+IF(N$3&lt;=$O$2,$D370,$D370-($D370-$I$346)*MIN(N$3-$O$2,$Q$2)/$Q$2))</f>
        <v>11121.8426425893</v>
      </c>
      <c r="O370" s="15" t="n">
        <f aca="false">SUMPRODUCT(E370:N370,1/(1+$F$346)^$E$3:$N$3)*$E$2</f>
        <v>22135.7787684568</v>
      </c>
      <c r="P370" s="15" t="n">
        <f aca="false">N370*$E$2*(1+$I$346)/($F$346-$I$346)/(1+$F$346)^$N$3</f>
        <v>38879.2155759276</v>
      </c>
      <c r="Q370" s="15" t="n">
        <f aca="false">O370+P370</f>
        <v>61014.9943443843</v>
      </c>
      <c r="R370" s="15" t="n">
        <f aca="false">Q370-$G$2+$I$2</f>
        <v>52249.9943443843</v>
      </c>
      <c r="S370" s="40" t="n">
        <f aca="false">R370/$K$2</f>
        <v>93.4738172106056</v>
      </c>
      <c r="T370" s="41" t="n">
        <f aca="false">S370-$M$2</f>
        <v>-1.01177424909338E-005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0.0916125178337097</v>
      </c>
      <c r="C371" s="25" t="n">
        <f aca="false">IF(T370&gt;0,D370,C370)</f>
        <v>0.091612696647644</v>
      </c>
      <c r="D371" s="39" t="n">
        <f aca="false">(B371+C371)/2</f>
        <v>0.0916126072406769</v>
      </c>
      <c r="E371" s="15" t="n">
        <f aca="false">$C$2*(1+IF(E$3&lt;=$O$2,$D371,$D371-($D371-$I$346)*MIN(E$3-$O$2,$Q$2)/$Q$2))</f>
        <v>6123.9467266202</v>
      </c>
      <c r="F371" s="15" t="n">
        <f aca="false">E371*(1+IF(F$3&lt;=$O$2,$D371,$D371-($D371-$I$346)*MIN(F$3-$O$2,$Q$2)/$Q$2))</f>
        <v>6684.97745284888</v>
      </c>
      <c r="G371" s="15" t="n">
        <f aca="false">F371*(1+IF(G$3&lt;=$O$2,$D371,$D371-($D371-$I$346)*MIN(G$3-$O$2,$Q$2)/$Q$2))</f>
        <v>7297.40566664951</v>
      </c>
      <c r="H371" s="15" t="n">
        <f aca="false">G371*(1+IF(H$3&lt;=$O$2,$D371,$D371-($D371-$I$346)*MIN(H$3-$O$2,$Q$2)/$Q$2))</f>
        <v>7965.94002586416</v>
      </c>
      <c r="I371" s="15" t="n">
        <f aca="false">H371*(1+IF(I$3&lt;=$O$2,$D371,$D371-($D371-$I$346)*MIN(I$3-$O$2,$Q$2)/$Q$2))</f>
        <v>8695.72056075644</v>
      </c>
      <c r="J371" s="15" t="n">
        <f aca="false">I371*(1+IF(J$3&lt;=$O$2,$D371,$D371-($D371-$I$346)*MIN(J$3-$O$2,$Q$2)/$Q$2))</f>
        <v>9373.55272449537</v>
      </c>
      <c r="K371" s="15" t="n">
        <f aca="false">J371*(1+IF(K$3&lt;=$O$2,$D371,$D371-($D371-$I$346)*MIN(K$3-$O$2,$Q$2)/$Q$2))</f>
        <v>9976.15559840705</v>
      </c>
      <c r="L371" s="15" t="n">
        <f aca="false">K371*(1+IF(L$3&lt;=$O$2,$D371,$D371-($D371-$I$346)*MIN(L$3-$O$2,$Q$2)/$Q$2))</f>
        <v>10481.1989035163</v>
      </c>
      <c r="M371" s="15" t="n">
        <f aca="false">L371*(1+IF(M$3&lt;=$O$2,$D371,$D371-($D371-$I$346)*MIN(M$3-$O$2,$Q$2)/$Q$2))</f>
        <v>10868.6104427897</v>
      </c>
      <c r="N371" s="15" t="n">
        <f aca="false">M371*(1+IF(N$3&lt;=$O$2,$D371,$D371-($D371-$I$346)*MIN(N$3-$O$2,$Q$2)/$Q$2))</f>
        <v>11121.8490661067</v>
      </c>
      <c r="O371" s="15" t="n">
        <f aca="false">SUMPRODUCT(E371:N371,1/(1+$F$346)^$E$3:$N$3)*$E$2</f>
        <v>22135.7874802484</v>
      </c>
      <c r="P371" s="15" t="n">
        <f aca="false">N371*$E$2*(1+$I$346)/($F$346-$I$346)/(1+$F$346)^$N$3</f>
        <v>38879.2380309582</v>
      </c>
      <c r="Q371" s="15" t="n">
        <f aca="false">O371+P371</f>
        <v>61015.0255112067</v>
      </c>
      <c r="R371" s="15" t="n">
        <f aca="false">Q371-$G$2+$I$2</f>
        <v>52250.0255112067</v>
      </c>
      <c r="S371" s="40" t="n">
        <f aca="false">R371/$K$2</f>
        <v>93.4738729672022</v>
      </c>
      <c r="T371" s="41" t="n">
        <f aca="false">S371-$M$2</f>
        <v>4.56388540754915E-005</v>
      </c>
    </row>
    <row r="373" customFormat="false" ht="15" hidden="false" customHeight="false" outlineLevel="0" collapsed="false">
      <c r="A373" s="36" t="s">
        <v>199</v>
      </c>
      <c r="E373" s="5" t="s">
        <v>11</v>
      </c>
      <c r="F373" s="12" t="n">
        <f aca="false">Sensitivity!$B$12</f>
        <v>0.0767360315529091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6" t="s">
        <v>167</v>
      </c>
      <c r="B374" s="28" t="s">
        <v>168</v>
      </c>
      <c r="C374" s="28" t="s">
        <v>169</v>
      </c>
      <c r="D374" s="28" t="s">
        <v>170</v>
      </c>
      <c r="E374" s="28" t="s">
        <v>171</v>
      </c>
      <c r="F374" s="28" t="s">
        <v>172</v>
      </c>
      <c r="G374" s="28" t="s">
        <v>173</v>
      </c>
      <c r="H374" s="28" t="s">
        <v>174</v>
      </c>
      <c r="I374" s="28" t="s">
        <v>175</v>
      </c>
      <c r="J374" s="28" t="s">
        <v>176</v>
      </c>
      <c r="K374" s="28" t="s">
        <v>177</v>
      </c>
      <c r="L374" s="28" t="s">
        <v>178</v>
      </c>
      <c r="M374" s="28" t="s">
        <v>179</v>
      </c>
      <c r="N374" s="28" t="s">
        <v>180</v>
      </c>
      <c r="O374" s="28" t="s">
        <v>181</v>
      </c>
      <c r="P374" s="28" t="s">
        <v>182</v>
      </c>
      <c r="Q374" s="28" t="s">
        <v>183</v>
      </c>
      <c r="R374" s="28" t="s">
        <v>184</v>
      </c>
      <c r="S374" s="28" t="s">
        <v>185</v>
      </c>
      <c r="T374" s="28" t="s">
        <v>186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39" t="n">
        <f aca="false">(B375+C375)/2</f>
        <v>0.25</v>
      </c>
      <c r="E375" s="15" t="n">
        <f aca="false">$C$2*(1+IF(E$3&lt;=$O$2,$D375,$D375-($D375-$I$373)*MIN(E$3-$O$2,$Q$2)/$Q$2))</f>
        <v>7012.5</v>
      </c>
      <c r="F375" s="15" t="n">
        <f aca="false">E375*(1+IF(F$3&lt;=$O$2,$D375,$D375-($D375-$I$373)*MIN(F$3-$O$2,$Q$2)/$Q$2))</f>
        <v>8765.625</v>
      </c>
      <c r="G375" s="15" t="n">
        <f aca="false">F375*(1+IF(G$3&lt;=$O$2,$D375,$D375-($D375-$I$373)*MIN(G$3-$O$2,$Q$2)/$Q$2))</f>
        <v>10957.03125</v>
      </c>
      <c r="H375" s="15" t="n">
        <f aca="false">G375*(1+IF(H$3&lt;=$O$2,$D375,$D375-($D375-$I$373)*MIN(H$3-$O$2,$Q$2)/$Q$2))</f>
        <v>13696.2890625</v>
      </c>
      <c r="I375" s="15" t="n">
        <f aca="false">H375*(1+IF(I$3&lt;=$O$2,$D375,$D375-($D375-$I$373)*MIN(I$3-$O$2,$Q$2)/$Q$2))</f>
        <v>17120.361328125</v>
      </c>
      <c r="J375" s="15" t="n">
        <f aca="false">I375*(1+IF(J$3&lt;=$O$2,$D375,$D375-($D375-$I$373)*MIN(J$3-$O$2,$Q$2)/$Q$2))</f>
        <v>20641.3348388672</v>
      </c>
      <c r="K375" s="15" t="n">
        <f aca="false">J375*(1+IF(K$3&lt;=$O$2,$D375,$D375-($D375-$I$373)*MIN(K$3-$O$2,$Q$2)/$Q$2))</f>
        <v>23971.1949750732</v>
      </c>
      <c r="L375" s="15" t="n">
        <f aca="false">K375*(1+IF(L$3&lt;=$O$2,$D375,$D375-($D375-$I$373)*MIN(L$3-$O$2,$Q$2)/$Q$2))</f>
        <v>26775.3453632573</v>
      </c>
      <c r="M375" s="15" t="n">
        <f aca="false">L375*(1+IF(M$3&lt;=$O$2,$D375,$D375-($D375-$I$373)*MIN(M$3-$O$2,$Q$2)/$Q$2))</f>
        <v>28720.3064504443</v>
      </c>
      <c r="N375" s="15" t="n">
        <f aca="false">M375*(1+IF(N$3&lt;=$O$2,$D375,$D375-($D375-$I$373)*MIN(N$3-$O$2,$Q$2)/$Q$2))</f>
        <v>29533.0911229919</v>
      </c>
      <c r="O375" s="15" t="n">
        <f aca="false">SUMPRODUCT(E375:N375,1/(1+$F$373)^$E$3:$N$3)*$E$2</f>
        <v>44386.2025645452</v>
      </c>
      <c r="P375" s="15" t="n">
        <f aca="false">N375*$E$2*(1+$I$373)/($F$373-$I$373)/(1+$F$373)^$N$3</f>
        <v>114454.312006681</v>
      </c>
      <c r="Q375" s="15" t="n">
        <f aca="false">O375+P375</f>
        <v>158840.514571226</v>
      </c>
      <c r="R375" s="15" t="n">
        <f aca="false">Q375-$G$2+$I$2</f>
        <v>150075.514571226</v>
      </c>
      <c r="S375" s="40" t="n">
        <f aca="false">R375/$K$2</f>
        <v>268.481009286962</v>
      </c>
      <c r="T375" s="41" t="n">
        <f aca="false">S375-$M$2</f>
        <v>175.007181958614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39" t="n">
        <f aca="false">(B376+C376)/2</f>
        <v>-0.125</v>
      </c>
      <c r="E376" s="15" t="n">
        <f aca="false">$C$2*(1+IF(E$3&lt;=$O$2,$D376,$D376-($D376-$I$373)*MIN(E$3-$O$2,$Q$2)/$Q$2))</f>
        <v>4908.75</v>
      </c>
      <c r="F376" s="15" t="n">
        <f aca="false">E376*(1+IF(F$3&lt;=$O$2,$D376,$D376-($D376-$I$373)*MIN(F$3-$O$2,$Q$2)/$Q$2))</f>
        <v>4295.15625</v>
      </c>
      <c r="G376" s="15" t="n">
        <f aca="false">F376*(1+IF(G$3&lt;=$O$2,$D376,$D376-($D376-$I$373)*MIN(G$3-$O$2,$Q$2)/$Q$2))</f>
        <v>3758.26171875</v>
      </c>
      <c r="H376" s="15" t="n">
        <f aca="false">G376*(1+IF(H$3&lt;=$O$2,$D376,$D376-($D376-$I$373)*MIN(H$3-$O$2,$Q$2)/$Q$2))</f>
        <v>3288.47900390625</v>
      </c>
      <c r="I376" s="15" t="n">
        <f aca="false">H376*(1+IF(I$3&lt;=$O$2,$D376,$D376-($D376-$I$373)*MIN(I$3-$O$2,$Q$2)/$Q$2))</f>
        <v>2877.41912841797</v>
      </c>
      <c r="J376" s="15" t="n">
        <f aca="false">I376*(1+IF(J$3&lt;=$O$2,$D376,$D376-($D376-$I$373)*MIN(J$3-$O$2,$Q$2)/$Q$2))</f>
        <v>2605.96340784302</v>
      </c>
      <c r="K376" s="15" t="n">
        <f aca="false">J376*(1+IF(K$3&lt;=$O$2,$D376,$D376-($D376-$I$373)*MIN(K$3-$O$2,$Q$2)/$Q$2))</f>
        <v>2440.01565803157</v>
      </c>
      <c r="L376" s="15" t="n">
        <f aca="false">K376*(1+IF(L$3&lt;=$O$2,$D376,$D376-($D376-$I$373)*MIN(L$3-$O$2,$Q$2)/$Q$2))</f>
        <v>2359.44634100337</v>
      </c>
      <c r="M376" s="15" t="n">
        <f aca="false">L376*(1+IF(M$3&lt;=$O$2,$D376,$D376-($D376-$I$373)*MIN(M$3-$O$2,$Q$2)/$Q$2))</f>
        <v>2353.8780476386</v>
      </c>
      <c r="N376" s="15" t="n">
        <f aca="false">M376*(1+IF(N$3&lt;=$O$2,$D376,$D376-($D376-$I$373)*MIN(N$3-$O$2,$Q$2)/$Q$2))</f>
        <v>2420.49279638678</v>
      </c>
      <c r="O376" s="15" t="n">
        <f aca="false">SUMPRODUCT(E376:N376,1/(1+$F$373)^$E$3:$N$3)*$E$2</f>
        <v>8605.70190705666</v>
      </c>
      <c r="P376" s="15" t="n">
        <f aca="false">N376*$E$2*(1+$I$373)/($F$373-$I$373)/(1+$F$373)^$N$3</f>
        <v>9380.5229047595</v>
      </c>
      <c r="Q376" s="15" t="n">
        <f aca="false">O376+P376</f>
        <v>17986.2248118162</v>
      </c>
      <c r="R376" s="15" t="n">
        <f aca="false">Q376-$G$2+$I$2</f>
        <v>9221.22481181616</v>
      </c>
      <c r="S376" s="40" t="n">
        <f aca="false">R376/$K$2</f>
        <v>16.496520111303</v>
      </c>
      <c r="T376" s="41" t="n">
        <f aca="false">S376-$M$2</f>
        <v>-76.9773072170451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39" t="n">
        <f aca="false">(B377+C377)/2</f>
        <v>0.0625</v>
      </c>
      <c r="E377" s="15" t="n">
        <f aca="false">$C$2*(1+IF(E$3&lt;=$O$2,$D377,$D377-($D377-$I$373)*MIN(E$3-$O$2,$Q$2)/$Q$2))</f>
        <v>5960.625</v>
      </c>
      <c r="F377" s="15" t="n">
        <f aca="false">E377*(1+IF(F$3&lt;=$O$2,$D377,$D377-($D377-$I$373)*MIN(F$3-$O$2,$Q$2)/$Q$2))</f>
        <v>6333.1640625</v>
      </c>
      <c r="G377" s="15" t="n">
        <f aca="false">F377*(1+IF(G$3&lt;=$O$2,$D377,$D377-($D377-$I$373)*MIN(G$3-$O$2,$Q$2)/$Q$2))</f>
        <v>6728.98681640625</v>
      </c>
      <c r="H377" s="15" t="n">
        <f aca="false">G377*(1+IF(H$3&lt;=$O$2,$D377,$D377-($D377-$I$373)*MIN(H$3-$O$2,$Q$2)/$Q$2))</f>
        <v>7149.54849243164</v>
      </c>
      <c r="I377" s="15" t="n">
        <f aca="false">H377*(1+IF(I$3&lt;=$O$2,$D377,$D377-($D377-$I$373)*MIN(I$3-$O$2,$Q$2)/$Q$2))</f>
        <v>7596.39527320862</v>
      </c>
      <c r="J377" s="15" t="n">
        <f aca="false">I377*(1+IF(J$3&lt;=$O$2,$D377,$D377-($D377-$I$373)*MIN(J$3-$O$2,$Q$2)/$Q$2))</f>
        <v>8019.21063411541</v>
      </c>
      <c r="K377" s="15" t="n">
        <f aca="false">J377*(1+IF(K$3&lt;=$O$2,$D377,$D377-($D377-$I$373)*MIN(K$3-$O$2,$Q$2)/$Q$2))</f>
        <v>8410.70849727293</v>
      </c>
      <c r="L377" s="15" t="n">
        <f aca="false">K377*(1+IF(L$3&lt;=$O$2,$D377,$D377-($D377-$I$373)*MIN(L$3-$O$2,$Q$2)/$Q$2))</f>
        <v>8763.79003998844</v>
      </c>
      <c r="M377" s="15" t="n">
        <f aca="false">L377*(1+IF(M$3&lt;=$O$2,$D377,$D377-($D377-$I$373)*MIN(M$3-$O$2,$Q$2)/$Q$2))</f>
        <v>9071.74962199364</v>
      </c>
      <c r="N377" s="15" t="n">
        <f aca="false">M377*(1+IF(N$3&lt;=$O$2,$D377,$D377-($D377-$I$373)*MIN(N$3-$O$2,$Q$2)/$Q$2))</f>
        <v>9328.48013629606</v>
      </c>
      <c r="O377" s="15" t="n">
        <f aca="false">SUMPRODUCT(E377:N377,1/(1+$F$373)^$E$3:$N$3)*$E$2</f>
        <v>19531.9438180271</v>
      </c>
      <c r="P377" s="15" t="n">
        <f aca="false">N377*$E$2*(1+$I$373)/($F$373-$I$373)/(1+$F$373)^$N$3</f>
        <v>36152.1512130691</v>
      </c>
      <c r="Q377" s="15" t="n">
        <f aca="false">O377+P377</f>
        <v>55684.0950310962</v>
      </c>
      <c r="R377" s="15" t="n">
        <f aca="false">Q377-$G$2+$I$2</f>
        <v>46919.0950310962</v>
      </c>
      <c r="S377" s="40" t="n">
        <f aca="false">R377/$K$2</f>
        <v>83.9369834897424</v>
      </c>
      <c r="T377" s="41" t="n">
        <f aca="false">S377-$M$2</f>
        <v>-9.53684383860566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0.0625</v>
      </c>
      <c r="C378" s="25" t="n">
        <f aca="false">IF(T377&gt;0,D377,C377)</f>
        <v>0.25</v>
      </c>
      <c r="D378" s="39" t="n">
        <f aca="false">(B378+C378)/2</f>
        <v>0.15625</v>
      </c>
      <c r="E378" s="15" t="n">
        <f aca="false">$C$2*(1+IF(E$3&lt;=$O$2,$D378,$D378-($D378-$I$373)*MIN(E$3-$O$2,$Q$2)/$Q$2))</f>
        <v>6486.5625</v>
      </c>
      <c r="F378" s="15" t="n">
        <f aca="false">E378*(1+IF(F$3&lt;=$O$2,$D378,$D378-($D378-$I$373)*MIN(F$3-$O$2,$Q$2)/$Q$2))</f>
        <v>7500.087890625</v>
      </c>
      <c r="G378" s="15" t="n">
        <f aca="false">F378*(1+IF(G$3&lt;=$O$2,$D378,$D378-($D378-$I$373)*MIN(G$3-$O$2,$Q$2)/$Q$2))</f>
        <v>8671.97662353516</v>
      </c>
      <c r="H378" s="15" t="n">
        <f aca="false">G378*(1+IF(H$3&lt;=$O$2,$D378,$D378-($D378-$I$373)*MIN(H$3-$O$2,$Q$2)/$Q$2))</f>
        <v>10026.9729709625</v>
      </c>
      <c r="I378" s="15" t="n">
        <f aca="false">H378*(1+IF(I$3&lt;=$O$2,$D378,$D378-($D378-$I$373)*MIN(I$3-$O$2,$Q$2)/$Q$2))</f>
        <v>11593.6874976754</v>
      </c>
      <c r="J378" s="15" t="n">
        <f aca="false">I378*(1+IF(J$3&lt;=$O$2,$D378,$D378-($D378-$I$373)*MIN(J$3-$O$2,$Q$2)/$Q$2))</f>
        <v>13108.5187061217</v>
      </c>
      <c r="K378" s="15" t="n">
        <f aca="false">J378*(1+IF(K$3&lt;=$O$2,$D378,$D378-($D378-$I$373)*MIN(K$3-$O$2,$Q$2)/$Q$2))</f>
        <v>14485.8307665739</v>
      </c>
      <c r="L378" s="15" t="n">
        <f aca="false">K378*(1+IF(L$3&lt;=$O$2,$D378,$D378-($D378-$I$373)*MIN(L$3-$O$2,$Q$2)/$Q$2))</f>
        <v>15637.1645959012</v>
      </c>
      <c r="M378" s="15" t="n">
        <f aca="false">L378*(1+IF(M$3&lt;=$O$2,$D378,$D378-($D378-$I$373)*MIN(M$3-$O$2,$Q$2)/$Q$2))</f>
        <v>16479.8513959743</v>
      </c>
      <c r="N378" s="15" t="n">
        <f aca="false">M378*(1+IF(N$3&lt;=$O$2,$D378,$D378-($D378-$I$373)*MIN(N$3-$O$2,$Q$2)/$Q$2))</f>
        <v>16946.2311904804</v>
      </c>
      <c r="O378" s="15" t="n">
        <f aca="false">SUMPRODUCT(E378:N378,1/(1+$F$373)^$E$3:$N$3)*$E$2</f>
        <v>29507.6910899409</v>
      </c>
      <c r="P378" s="15" t="n">
        <f aca="false">N378*$E$2*(1+$I$373)/($F$373-$I$373)/(1+$F$373)^$N$3</f>
        <v>65674.4403738559</v>
      </c>
      <c r="Q378" s="15" t="n">
        <f aca="false">O378+P378</f>
        <v>95182.1314637968</v>
      </c>
      <c r="R378" s="15" t="n">
        <f aca="false">Q378-$G$2+$I$2</f>
        <v>86417.1314637968</v>
      </c>
      <c r="S378" s="40" t="n">
        <f aca="false">R378/$K$2</f>
        <v>154.597895208767</v>
      </c>
      <c r="T378" s="41" t="n">
        <f aca="false">S378-$M$2</f>
        <v>61.1240678804193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0.0625</v>
      </c>
      <c r="C379" s="25" t="n">
        <f aca="false">IF(T378&gt;0,D378,C378)</f>
        <v>0.15625</v>
      </c>
      <c r="D379" s="39" t="n">
        <f aca="false">(B379+C379)/2</f>
        <v>0.109375</v>
      </c>
      <c r="E379" s="15" t="n">
        <f aca="false">$C$2*(1+IF(E$3&lt;=$O$2,$D379,$D379-($D379-$I$373)*MIN(E$3-$O$2,$Q$2)/$Q$2))</f>
        <v>6223.59375</v>
      </c>
      <c r="F379" s="15" t="n">
        <f aca="false">E379*(1+IF(F$3&lt;=$O$2,$D379,$D379-($D379-$I$373)*MIN(F$3-$O$2,$Q$2)/$Q$2))</f>
        <v>6904.29931640625</v>
      </c>
      <c r="G379" s="15" t="n">
        <f aca="false">F379*(1+IF(G$3&lt;=$O$2,$D379,$D379-($D379-$I$373)*MIN(G$3-$O$2,$Q$2)/$Q$2))</f>
        <v>7659.45705413818</v>
      </c>
      <c r="H379" s="15" t="n">
        <f aca="false">G379*(1+IF(H$3&lt;=$O$2,$D379,$D379-($D379-$I$373)*MIN(H$3-$O$2,$Q$2)/$Q$2))</f>
        <v>8497.21016943455</v>
      </c>
      <c r="I379" s="15" t="n">
        <f aca="false">H379*(1+IF(I$3&lt;=$O$2,$D379,$D379-($D379-$I$373)*MIN(I$3-$O$2,$Q$2)/$Q$2))</f>
        <v>9426.59253171645</v>
      </c>
      <c r="J379" s="15" t="n">
        <f aca="false">I379*(1+IF(J$3&lt;=$O$2,$D379,$D379-($D379-$I$373)*MIN(J$3-$O$2,$Q$2)/$Q$2))</f>
        <v>10304.7738919712</v>
      </c>
      <c r="K379" s="15" t="n">
        <f aca="false">J379*(1+IF(K$3&lt;=$O$2,$D379,$D379-($D379-$I$373)*MIN(K$3-$O$2,$Q$2)/$Q$2))</f>
        <v>11097.6747190889</v>
      </c>
      <c r="L379" s="15" t="n">
        <f aca="false">K379*(1+IF(L$3&lt;=$O$2,$D379,$D379-($D379-$I$373)*MIN(L$3-$O$2,$Q$2)/$Q$2))</f>
        <v>11771.6365047791</v>
      </c>
      <c r="M379" s="15" t="n">
        <f aca="false">L379*(1+IF(M$3&lt;=$O$2,$D379,$D379-($D379-$I$373)*MIN(M$3-$O$2,$Q$2)/$Q$2))</f>
        <v>12295.6509037894</v>
      </c>
      <c r="N379" s="15" t="n">
        <f aca="false">M379*(1+IF(N$3&lt;=$O$2,$D379,$D379-($D379-$I$373)*MIN(N$3-$O$2,$Q$2)/$Q$2))</f>
        <v>12643.6178243666</v>
      </c>
      <c r="O379" s="15" t="n">
        <f aca="false">SUMPRODUCT(E379:N379,1/(1+$F$373)^$E$3:$N$3)*$E$2</f>
        <v>24014.0563348309</v>
      </c>
      <c r="P379" s="15" t="n">
        <f aca="false">N379*$E$2*(1+$I$373)/($F$373-$I$373)/(1+$F$373)^$N$3</f>
        <v>48999.8345698628</v>
      </c>
      <c r="Q379" s="15" t="n">
        <f aca="false">O379+P379</f>
        <v>73013.8909046937</v>
      </c>
      <c r="R379" s="15" t="n">
        <f aca="false">Q379-$G$2+$I$2</f>
        <v>64248.8909046937</v>
      </c>
      <c r="S379" s="40" t="n">
        <f aca="false">R379/$K$2</f>
        <v>114.939516449057</v>
      </c>
      <c r="T379" s="41" t="n">
        <f aca="false">S379-$M$2</f>
        <v>21.4656891207086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0.0625</v>
      </c>
      <c r="C380" s="25" t="n">
        <f aca="false">IF(T379&gt;0,D379,C379)</f>
        <v>0.109375</v>
      </c>
      <c r="D380" s="39" t="n">
        <f aca="false">(B380+C380)/2</f>
        <v>0.0859375</v>
      </c>
      <c r="E380" s="15" t="n">
        <f aca="false">$C$2*(1+IF(E$3&lt;=$O$2,$D380,$D380-($D380-$I$373)*MIN(E$3-$O$2,$Q$2)/$Q$2))</f>
        <v>6092.109375</v>
      </c>
      <c r="F380" s="15" t="n">
        <f aca="false">E380*(1+IF(F$3&lt;=$O$2,$D380,$D380-($D380-$I$373)*MIN(F$3-$O$2,$Q$2)/$Q$2))</f>
        <v>6615.65002441406</v>
      </c>
      <c r="G380" s="15" t="n">
        <f aca="false">F380*(1+IF(G$3&lt;=$O$2,$D380,$D380-($D380-$I$373)*MIN(G$3-$O$2,$Q$2)/$Q$2))</f>
        <v>7184.18244838715</v>
      </c>
      <c r="H380" s="15" t="n">
        <f aca="false">G380*(1+IF(H$3&lt;=$O$2,$D380,$D380-($D380-$I$373)*MIN(H$3-$O$2,$Q$2)/$Q$2))</f>
        <v>7801.57312754542</v>
      </c>
      <c r="I380" s="15" t="n">
        <f aca="false">H380*(1+IF(I$3&lt;=$O$2,$D380,$D380-($D380-$I$373)*MIN(I$3-$O$2,$Q$2)/$Q$2))</f>
        <v>8472.02081819385</v>
      </c>
      <c r="J380" s="15" t="n">
        <f aca="false">I380*(1+IF(J$3&lt;=$O$2,$D380,$D380-($D380-$I$373)*MIN(J$3-$O$2,$Q$2)/$Q$2))</f>
        <v>9102.42388727566</v>
      </c>
      <c r="K380" s="15" t="n">
        <f aca="false">J380*(1+IF(K$3&lt;=$O$2,$D380,$D380-($D380-$I$373)*MIN(K$3-$O$2,$Q$2)/$Q$2))</f>
        <v>9674.80705736727</v>
      </c>
      <c r="L380" s="15" t="n">
        <f aca="false">K380*(1+IF(L$3&lt;=$O$2,$D380,$D380-($D380-$I$373)*MIN(L$3-$O$2,$Q$2)/$Q$2))</f>
        <v>10171.6567737984</v>
      </c>
      <c r="M380" s="15" t="n">
        <f aca="false">L380*(1+IF(M$3&lt;=$O$2,$D380,$D380-($D380-$I$373)*MIN(M$3-$O$2,$Q$2)/$Q$2))</f>
        <v>10576.7684339568</v>
      </c>
      <c r="N380" s="15" t="n">
        <f aca="false">M380*(1+IF(N$3&lt;=$O$2,$D380,$D380-($D380-$I$373)*MIN(N$3-$O$2,$Q$2)/$Q$2))</f>
        <v>10876.0909806378</v>
      </c>
      <c r="O380" s="15" t="n">
        <f aca="false">SUMPRODUCT(E380:N380,1/(1+$F$373)^$E$3:$N$3)*$E$2</f>
        <v>21658.1521810523</v>
      </c>
      <c r="P380" s="15" t="n">
        <f aca="false">N380*$E$2*(1+$I$373)/($F$373-$I$373)/(1+$F$373)^$N$3</f>
        <v>42149.8550668764</v>
      </c>
      <c r="Q380" s="15" t="n">
        <f aca="false">O380+P380</f>
        <v>63808.0072479287</v>
      </c>
      <c r="R380" s="15" t="n">
        <f aca="false">Q380-$G$2+$I$2</f>
        <v>55043.0072479287</v>
      </c>
      <c r="S380" s="40" t="n">
        <f aca="false">R380/$K$2</f>
        <v>98.4704412464287</v>
      </c>
      <c r="T380" s="41" t="n">
        <f aca="false">S380-$M$2</f>
        <v>4.99661391808057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0.0625</v>
      </c>
      <c r="C381" s="25" t="n">
        <f aca="false">IF(T380&gt;0,D380,C380)</f>
        <v>0.0859375</v>
      </c>
      <c r="D381" s="39" t="n">
        <f aca="false">(B381+C381)/2</f>
        <v>0.07421875</v>
      </c>
      <c r="E381" s="15" t="n">
        <f aca="false">$C$2*(1+IF(E$3&lt;=$O$2,$D381,$D381-($D381-$I$373)*MIN(E$3-$O$2,$Q$2)/$Q$2))</f>
        <v>6026.3671875</v>
      </c>
      <c r="F381" s="15" t="n">
        <f aca="false">E381*(1+IF(F$3&lt;=$O$2,$D381,$D381-($D381-$I$373)*MIN(F$3-$O$2,$Q$2)/$Q$2))</f>
        <v>6473.63662719727</v>
      </c>
      <c r="G381" s="15" t="n">
        <f aca="false">F381*(1+IF(G$3&lt;=$O$2,$D381,$D381-($D381-$I$373)*MIN(G$3-$O$2,$Q$2)/$Q$2))</f>
        <v>6954.10184562206</v>
      </c>
      <c r="H381" s="15" t="n">
        <f aca="false">G381*(1+IF(H$3&lt;=$O$2,$D381,$D381-($D381-$I$373)*MIN(H$3-$O$2,$Q$2)/$Q$2))</f>
        <v>7470.22659197683</v>
      </c>
      <c r="I381" s="15" t="n">
        <f aca="false">H381*(1+IF(I$3&lt;=$O$2,$D381,$D381-($D381-$I$373)*MIN(I$3-$O$2,$Q$2)/$Q$2))</f>
        <v>8024.65747185011</v>
      </c>
      <c r="J381" s="15" t="n">
        <f aca="false">I381*(1+IF(J$3&lt;=$O$2,$D381,$D381-($D381-$I$373)*MIN(J$3-$O$2,$Q$2)/$Q$2))</f>
        <v>8546.54107053188</v>
      </c>
      <c r="K381" s="15" t="n">
        <f aca="false">J381*(1+IF(K$3&lt;=$O$2,$D381,$D381-($D381-$I$373)*MIN(K$3-$O$2,$Q$2)/$Q$2))</f>
        <v>9023.87607249742</v>
      </c>
      <c r="L381" s="15" t="n">
        <f aca="false">K381*(1+IF(L$3&lt;=$O$2,$D381,$D381-($D381-$I$373)*MIN(L$3-$O$2,$Q$2)/$Q$2))</f>
        <v>9444.99780911069</v>
      </c>
      <c r="M381" s="15" t="n">
        <f aca="false">L381*(1+IF(M$3&lt;=$O$2,$D381,$D381-($D381-$I$373)*MIN(M$3-$O$2,$Q$2)/$Q$2))</f>
        <v>9799.03174573795</v>
      </c>
      <c r="N381" s="15" t="n">
        <f aca="false">M381*(1+IF(N$3&lt;=$O$2,$D381,$D381-($D381-$I$373)*MIN(N$3-$O$2,$Q$2)/$Q$2))</f>
        <v>10076.3443441423</v>
      </c>
      <c r="O381" s="15" t="n">
        <f aca="false">SUMPRODUCT(E381:N381,1/(1+$F$373)^$E$3:$N$3)*$E$2</f>
        <v>20567.6838013624</v>
      </c>
      <c r="P381" s="15" t="n">
        <f aca="false">N381*$E$2*(1+$I$373)/($F$373-$I$373)/(1+$F$373)^$N$3</f>
        <v>39050.469002663</v>
      </c>
      <c r="Q381" s="15" t="n">
        <f aca="false">O381+P381</f>
        <v>59618.1528040255</v>
      </c>
      <c r="R381" s="15" t="n">
        <f aca="false">Q381-$G$2+$I$2</f>
        <v>50853.1528040255</v>
      </c>
      <c r="S381" s="40" t="n">
        <f aca="false">R381/$K$2</f>
        <v>90.9749057283364</v>
      </c>
      <c r="T381" s="41" t="n">
        <f aca="false">S381-$M$2</f>
        <v>-2.49892160001171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0.07421875</v>
      </c>
      <c r="C382" s="25" t="n">
        <f aca="false">IF(T381&gt;0,D381,C381)</f>
        <v>0.0859375</v>
      </c>
      <c r="D382" s="39" t="n">
        <f aca="false">(B382+C382)/2</f>
        <v>0.080078125</v>
      </c>
      <c r="E382" s="15" t="n">
        <f aca="false">$C$2*(1+IF(E$3&lt;=$O$2,$D382,$D382-($D382-$I$373)*MIN(E$3-$O$2,$Q$2)/$Q$2))</f>
        <v>6059.23828125</v>
      </c>
      <c r="F382" s="15" t="n">
        <f aca="false">E382*(1+IF(F$3&lt;=$O$2,$D382,$D382-($D382-$I$373)*MIN(F$3-$O$2,$Q$2)/$Q$2))</f>
        <v>6544.45072174072</v>
      </c>
      <c r="G382" s="15" t="n">
        <f aca="false">F382*(1+IF(G$3&lt;=$O$2,$D382,$D382-($D382-$I$373)*MIN(G$3-$O$2,$Q$2)/$Q$2))</f>
        <v>7068.51806469262</v>
      </c>
      <c r="H382" s="15" t="n">
        <f aca="false">G382*(1+IF(H$3&lt;=$O$2,$D382,$D382-($D382-$I$373)*MIN(H$3-$O$2,$Q$2)/$Q$2))</f>
        <v>7634.55173784183</v>
      </c>
      <c r="I382" s="15" t="n">
        <f aca="false">H382*(1+IF(I$3&lt;=$O$2,$D382,$D382-($D382-$I$373)*MIN(I$3-$O$2,$Q$2)/$Q$2))</f>
        <v>8245.9123262237</v>
      </c>
      <c r="J382" s="15" t="n">
        <f aca="false">I382*(1+IF(J$3&lt;=$O$2,$D382,$D382-($D382-$I$373)*MIN(J$3-$O$2,$Q$2)/$Q$2))</f>
        <v>8820.83794838883</v>
      </c>
      <c r="K382" s="15" t="n">
        <f aca="false">J382*(1+IF(K$3&lt;=$O$2,$D382,$D382-($D382-$I$373)*MIN(K$3-$O$2,$Q$2)/$Q$2))</f>
        <v>9344.50353226608</v>
      </c>
      <c r="L382" s="15" t="n">
        <f aca="false">K382*(1+IF(L$3&lt;=$O$2,$D382,$D382-($D382-$I$373)*MIN(L$3-$O$2,$Q$2)/$Q$2))</f>
        <v>9802.48933101186</v>
      </c>
      <c r="M382" s="15" t="n">
        <f aca="false">L382*(1+IF(M$3&lt;=$O$2,$D382,$D382-($D382-$I$373)*MIN(M$3-$O$2,$Q$2)/$Q$2))</f>
        <v>10181.410682658</v>
      </c>
      <c r="N382" s="15" t="n">
        <f aca="false">M382*(1+IF(N$3&lt;=$O$2,$D382,$D382-($D382-$I$373)*MIN(N$3-$O$2,$Q$2)/$Q$2))</f>
        <v>10469.5446049772</v>
      </c>
      <c r="O382" s="15" t="n">
        <f aca="false">SUMPRODUCT(E382:N382,1/(1+$F$373)^$E$3:$N$3)*$E$2</f>
        <v>21105.9127947334</v>
      </c>
      <c r="P382" s="15" t="n">
        <f aca="false">N382*$E$2*(1+$I$373)/($F$373-$I$373)/(1+$F$373)^$N$3</f>
        <v>40574.3008679859</v>
      </c>
      <c r="Q382" s="15" t="n">
        <f aca="false">O382+P382</f>
        <v>61680.2136627193</v>
      </c>
      <c r="R382" s="15" t="n">
        <f aca="false">Q382-$G$2+$I$2</f>
        <v>52915.2136627193</v>
      </c>
      <c r="S382" s="40" t="n">
        <f aca="false">R382/$K$2</f>
        <v>94.6638764584051</v>
      </c>
      <c r="T382" s="41" t="n">
        <f aca="false">S382-$M$2</f>
        <v>1.19004913005706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0.07421875</v>
      </c>
      <c r="C383" s="25" t="n">
        <f aca="false">IF(T382&gt;0,D382,C382)</f>
        <v>0.080078125</v>
      </c>
      <c r="D383" s="39" t="n">
        <f aca="false">(B383+C383)/2</f>
        <v>0.0771484375</v>
      </c>
      <c r="E383" s="15" t="n">
        <f aca="false">$C$2*(1+IF(E$3&lt;=$O$2,$D383,$D383-($D383-$I$373)*MIN(E$3-$O$2,$Q$2)/$Q$2))</f>
        <v>6042.802734375</v>
      </c>
      <c r="F383" s="15" t="n">
        <f aca="false">E383*(1+IF(F$3&lt;=$O$2,$D383,$D383-($D383-$I$373)*MIN(F$3-$O$2,$Q$2)/$Q$2))</f>
        <v>6508.99552345276</v>
      </c>
      <c r="G383" s="15" t="n">
        <f aca="false">F383*(1+IF(G$3&lt;=$O$2,$D383,$D383-($D383-$I$373)*MIN(G$3-$O$2,$Q$2)/$Q$2))</f>
        <v>7011.15435778163</v>
      </c>
      <c r="H383" s="15" t="n">
        <f aca="false">G383*(1+IF(H$3&lt;=$O$2,$D383,$D383-($D383-$I$373)*MIN(H$3-$O$2,$Q$2)/$Q$2))</f>
        <v>7552.0539615558</v>
      </c>
      <c r="I383" s="15" t="n">
        <f aca="false">H383*(1+IF(I$3&lt;=$O$2,$D383,$D383-($D383-$I$373)*MIN(I$3-$O$2,$Q$2)/$Q$2))</f>
        <v>8134.68312460552</v>
      </c>
      <c r="J383" s="15" t="n">
        <f aca="false">I383*(1+IF(J$3&lt;=$O$2,$D383,$D383-($D383-$I$373)*MIN(J$3-$O$2,$Q$2)/$Q$2))</f>
        <v>8682.78790518753</v>
      </c>
      <c r="K383" s="15" t="n">
        <f aca="false">J383*(1+IF(K$3&lt;=$O$2,$D383,$D383-($D383-$I$373)*MIN(K$3-$O$2,$Q$2)/$Q$2))</f>
        <v>9182.99517629172</v>
      </c>
      <c r="L383" s="15" t="n">
        <f aca="false">K383*(1+IF(L$3&lt;=$O$2,$D383,$D383-($D383-$I$373)*MIN(L$3-$O$2,$Q$2)/$Q$2))</f>
        <v>9622.30392615353</v>
      </c>
      <c r="M383" s="15" t="n">
        <f aca="false">L383*(1+IF(M$3&lt;=$O$2,$D383,$D383-($D383-$I$373)*MIN(M$3-$O$2,$Q$2)/$Q$2))</f>
        <v>9988.62202965222</v>
      </c>
      <c r="N383" s="15" t="n">
        <f aca="false">M383*(1+IF(N$3&lt;=$O$2,$D383,$D383-($D383-$I$373)*MIN(N$3-$O$2,$Q$2)/$Q$2))</f>
        <v>10271.3000330914</v>
      </c>
      <c r="O383" s="15" t="n">
        <f aca="false">SUMPRODUCT(E383:N383,1/(1+$F$373)^$E$3:$N$3)*$E$2</f>
        <v>20835.067782578</v>
      </c>
      <c r="P383" s="15" t="n">
        <f aca="false">N383*$E$2*(1+$I$373)/($F$373-$I$373)/(1+$F$373)^$N$3</f>
        <v>39806.0119682648</v>
      </c>
      <c r="Q383" s="15" t="n">
        <f aca="false">O383+P383</f>
        <v>60641.0797508428</v>
      </c>
      <c r="R383" s="15" t="n">
        <f aca="false">Q383-$G$2+$I$2</f>
        <v>51876.0797508428</v>
      </c>
      <c r="S383" s="40" t="n">
        <f aca="false">R383/$K$2</f>
        <v>92.8048941837682</v>
      </c>
      <c r="T383" s="41" t="n">
        <f aca="false">S383-$M$2</f>
        <v>-0.668933144579881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0.0771484375</v>
      </c>
      <c r="C384" s="25" t="n">
        <f aca="false">IF(T383&gt;0,D383,C383)</f>
        <v>0.080078125</v>
      </c>
      <c r="D384" s="39" t="n">
        <f aca="false">(B384+C384)/2</f>
        <v>0.07861328125</v>
      </c>
      <c r="E384" s="15" t="n">
        <f aca="false">$C$2*(1+IF(E$3&lt;=$O$2,$D384,$D384-($D384-$I$373)*MIN(E$3-$O$2,$Q$2)/$Q$2))</f>
        <v>6051.0205078125</v>
      </c>
      <c r="F384" s="15" t="n">
        <f aca="false">E384*(1+IF(F$3&lt;=$O$2,$D384,$D384-($D384-$I$373)*MIN(F$3-$O$2,$Q$2)/$Q$2))</f>
        <v>6526.71108484268</v>
      </c>
      <c r="G384" s="15" t="n">
        <f aca="false">F384*(1+IF(G$3&lt;=$O$2,$D384,$D384-($D384-$I$373)*MIN(G$3-$O$2,$Q$2)/$Q$2))</f>
        <v>7039.79725899291</v>
      </c>
      <c r="H384" s="15" t="n">
        <f aca="false">G384*(1+IF(H$3&lt;=$O$2,$D384,$D384-($D384-$I$373)*MIN(H$3-$O$2,$Q$2)/$Q$2))</f>
        <v>7593.2188208571</v>
      </c>
      <c r="I384" s="15" t="n">
        <f aca="false">H384*(1+IF(I$3&lt;=$O$2,$D384,$D384-($D384-$I$373)*MIN(I$3-$O$2,$Q$2)/$Q$2))</f>
        <v>8190.14666761393</v>
      </c>
      <c r="J384" s="15" t="n">
        <f aca="false">I384*(1+IF(J$3&lt;=$O$2,$D384,$D384-($D384-$I$373)*MIN(J$3-$O$2,$Q$2)/$Q$2))</f>
        <v>8751.58634052054</v>
      </c>
      <c r="K384" s="15" t="n">
        <f aca="false">J384*(1+IF(K$3&lt;=$O$2,$D384,$D384-($D384-$I$373)*MIN(K$3-$O$2,$Q$2)/$Q$2))</f>
        <v>9263.44884891783</v>
      </c>
      <c r="L384" s="15" t="n">
        <f aca="false">K384*(1+IF(L$3&lt;=$O$2,$D384,$D384-($D384-$I$373)*MIN(L$3-$O$2,$Q$2)/$Q$2))</f>
        <v>9712.03425425444</v>
      </c>
      <c r="M384" s="15" t="n">
        <f aca="false">L384*(1+IF(M$3&lt;=$O$2,$D384,$D384-($D384-$I$373)*MIN(M$3-$O$2,$Q$2)/$Q$2))</f>
        <v>10084.6136858386</v>
      </c>
      <c r="N384" s="15" t="n">
        <f aca="false">M384*(1+IF(N$3&lt;=$O$2,$D384,$D384-($D384-$I$373)*MIN(N$3-$O$2,$Q$2)/$Q$2))</f>
        <v>10370.0082531479</v>
      </c>
      <c r="O384" s="15" t="n">
        <f aca="false">SUMPRODUCT(E384:N384,1/(1+$F$373)^$E$3:$N$3)*$E$2</f>
        <v>20970.0550785677</v>
      </c>
      <c r="P384" s="15" t="n">
        <f aca="false">N384*$E$2*(1+$I$373)/($F$373-$I$373)/(1+$F$373)^$N$3</f>
        <v>40188.5517223636</v>
      </c>
      <c r="Q384" s="15" t="n">
        <f aca="false">O384+P384</f>
        <v>61158.6068009313</v>
      </c>
      <c r="R384" s="15" t="n">
        <f aca="false">Q384-$G$2+$I$2</f>
        <v>52393.6068009313</v>
      </c>
      <c r="S384" s="40" t="n">
        <f aca="false">R384/$K$2</f>
        <v>93.7307359850645</v>
      </c>
      <c r="T384" s="41" t="n">
        <f aca="false">S384-$M$2</f>
        <v>0.256908656716377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0.0771484375</v>
      </c>
      <c r="C385" s="25" t="n">
        <f aca="false">IF(T384&gt;0,D384,C384)</f>
        <v>0.07861328125</v>
      </c>
      <c r="D385" s="39" t="n">
        <f aca="false">(B385+C385)/2</f>
        <v>0.077880859375</v>
      </c>
      <c r="E385" s="15" t="n">
        <f aca="false">$C$2*(1+IF(E$3&lt;=$O$2,$D385,$D385-($D385-$I$373)*MIN(E$3-$O$2,$Q$2)/$Q$2))</f>
        <v>6046.91162109375</v>
      </c>
      <c r="F385" s="15" t="n">
        <f aca="false">E385*(1+IF(F$3&lt;=$O$2,$D385,$D385-($D385-$I$373)*MIN(F$3-$O$2,$Q$2)/$Q$2))</f>
        <v>6517.85029470921</v>
      </c>
      <c r="G385" s="15" t="n">
        <f aca="false">F385*(1+IF(G$3&lt;=$O$2,$D385,$D385-($D385-$I$373)*MIN(G$3-$O$2,$Q$2)/$Q$2))</f>
        <v>7025.46607693876</v>
      </c>
      <c r="H385" s="15" t="n">
        <f aca="false">G385*(1+IF(H$3&lt;=$O$2,$D385,$D385-($D385-$I$373)*MIN(H$3-$O$2,$Q$2)/$Q$2))</f>
        <v>7572.61541252066</v>
      </c>
      <c r="I385" s="15" t="n">
        <f aca="false">H385*(1+IF(I$3&lt;=$O$2,$D385,$D385-($D385-$I$373)*MIN(I$3-$O$2,$Q$2)/$Q$2))</f>
        <v>8162.37720856414</v>
      </c>
      <c r="J385" s="15" t="n">
        <f aca="false">I385*(1+IF(J$3&lt;=$O$2,$D385,$D385-($D385-$I$373)*MIN(J$3-$O$2,$Q$2)/$Q$2))</f>
        <v>8717.13062480132</v>
      </c>
      <c r="K385" s="15" t="n">
        <f aca="false">J385*(1+IF(K$3&lt;=$O$2,$D385,$D385-($D385-$I$373)*MIN(K$3-$O$2,$Q$2)/$Q$2))</f>
        <v>9223.14711808026</v>
      </c>
      <c r="L385" s="15" t="n">
        <f aca="false">K385*(1+IF(L$3&lt;=$O$2,$D385,$D385-($D385-$I$373)*MIN(L$3-$O$2,$Q$2)/$Q$2))</f>
        <v>9667.07880562453</v>
      </c>
      <c r="M385" s="15" t="n">
        <f aca="false">L385*(1+IF(M$3&lt;=$O$2,$D385,$D385-($D385-$I$373)*MIN(M$3-$O$2,$Q$2)/$Q$2))</f>
        <v>10036.5175507894</v>
      </c>
      <c r="N385" s="15" t="n">
        <f aca="false">M385*(1+IF(N$3&lt;=$O$2,$D385,$D385-($D385-$I$373)*MIN(N$3-$O$2,$Q$2)/$Q$2))</f>
        <v>10320.5509974768</v>
      </c>
      <c r="O385" s="15" t="n">
        <f aca="false">SUMPRODUCT(E385:N385,1/(1+$F$373)^$E$3:$N$3)*$E$2</f>
        <v>20902.4529517445</v>
      </c>
      <c r="P385" s="15" t="n">
        <f aca="false">N385*$E$2*(1+$I$373)/($F$373-$I$373)/(1+$F$373)^$N$3</f>
        <v>39996.8821085058</v>
      </c>
      <c r="Q385" s="15" t="n">
        <f aca="false">O385+P385</f>
        <v>60899.3350602503</v>
      </c>
      <c r="R385" s="15" t="n">
        <f aca="false">Q385-$G$2+$I$2</f>
        <v>52134.3350602503</v>
      </c>
      <c r="S385" s="40" t="n">
        <f aca="false">R385/$K$2</f>
        <v>93.26690590048</v>
      </c>
      <c r="T385" s="41" t="n">
        <f aca="false">S385-$M$2</f>
        <v>-0.206921427868096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0.077880859375</v>
      </c>
      <c r="C386" s="25" t="n">
        <f aca="false">IF(T385&gt;0,D385,C385)</f>
        <v>0.07861328125</v>
      </c>
      <c r="D386" s="39" t="n">
        <f aca="false">(B386+C386)/2</f>
        <v>0.0782470703125</v>
      </c>
      <c r="E386" s="15" t="n">
        <f aca="false">$C$2*(1+IF(E$3&lt;=$O$2,$D386,$D386-($D386-$I$373)*MIN(E$3-$O$2,$Q$2)/$Q$2))</f>
        <v>6048.96606445313</v>
      </c>
      <c r="F386" s="15" t="n">
        <f aca="false">E386*(1+IF(F$3&lt;=$O$2,$D386,$D386-($D386-$I$373)*MIN(F$3-$O$2,$Q$2)/$Q$2))</f>
        <v>6522.27993741632</v>
      </c>
      <c r="G386" s="15" t="n">
        <f aca="false">F386*(1+IF(G$3&lt;=$O$2,$D386,$D386-($D386-$I$373)*MIN(G$3-$O$2,$Q$2)/$Q$2))</f>
        <v>7032.62923427714</v>
      </c>
      <c r="H386" s="15" t="n">
        <f aca="false">G386*(1+IF(H$3&lt;=$O$2,$D386,$D386-($D386-$I$373)*MIN(H$3-$O$2,$Q$2)/$Q$2))</f>
        <v>7582.91186845336</v>
      </c>
      <c r="I386" s="15" t="n">
        <f aca="false">H386*(1+IF(I$3&lt;=$O$2,$D386,$D386-($D386-$I$373)*MIN(I$3-$O$2,$Q$2)/$Q$2))</f>
        <v>8176.25250659773</v>
      </c>
      <c r="J386" s="15" t="n">
        <f aca="false">I386*(1+IF(J$3&lt;=$O$2,$D386,$D386-($D386-$I$373)*MIN(J$3-$O$2,$Q$2)/$Q$2))</f>
        <v>8734.34433960627</v>
      </c>
      <c r="K386" s="15" t="n">
        <f aca="false">J386*(1+IF(K$3&lt;=$O$2,$D386,$D386-($D386-$I$373)*MIN(K$3-$O$2,$Q$2)/$Q$2))</f>
        <v>9243.27923093547</v>
      </c>
      <c r="L386" s="15" t="n">
        <f aca="false">K386*(1+IF(L$3&lt;=$O$2,$D386,$D386-($D386-$I$373)*MIN(L$3-$O$2,$Q$2)/$Q$2))</f>
        <v>9689.53392023719</v>
      </c>
      <c r="M386" s="15" t="n">
        <f aca="false">L386*(1+IF(M$3&lt;=$O$2,$D386,$D386-($D386-$I$373)*MIN(M$3-$O$2,$Q$2)/$Q$2))</f>
        <v>10060.5404965818</v>
      </c>
      <c r="N386" s="15" t="n">
        <f aca="false">M386*(1+IF(N$3&lt;=$O$2,$D386,$D386-($D386-$I$373)*MIN(N$3-$O$2,$Q$2)/$Q$2))</f>
        <v>10345.2537926351</v>
      </c>
      <c r="O386" s="15" t="n">
        <f aca="false">SUMPRODUCT(E386:N386,1/(1+$F$373)^$E$3:$N$3)*$E$2</f>
        <v>20936.2268550525</v>
      </c>
      <c r="P386" s="15" t="n">
        <f aca="false">N386*$E$2*(1+$I$373)/($F$373-$I$373)/(1+$F$373)^$N$3</f>
        <v>40092.6168019284</v>
      </c>
      <c r="Q386" s="15" t="n">
        <f aca="false">O386+P386</f>
        <v>61028.843656981</v>
      </c>
      <c r="R386" s="15" t="n">
        <f aca="false">Q386-$G$2+$I$2</f>
        <v>52263.843656981</v>
      </c>
      <c r="S386" s="40" t="n">
        <f aca="false">R386/$K$2</f>
        <v>93.4985932537496</v>
      </c>
      <c r="T386" s="41" t="n">
        <f aca="false">S386-$M$2</f>
        <v>0.0247659254015247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0.077880859375</v>
      </c>
      <c r="C387" s="25" t="n">
        <f aca="false">IF(T386&gt;0,D386,C386)</f>
        <v>0.0782470703125</v>
      </c>
      <c r="D387" s="39" t="n">
        <f aca="false">(B387+C387)/2</f>
        <v>0.07806396484375</v>
      </c>
      <c r="E387" s="15" t="n">
        <f aca="false">$C$2*(1+IF(E$3&lt;=$O$2,$D387,$D387-($D387-$I$373)*MIN(E$3-$O$2,$Q$2)/$Q$2))</f>
        <v>6047.93884277344</v>
      </c>
      <c r="F387" s="15" t="n">
        <f aca="false">E387*(1+IF(F$3&lt;=$O$2,$D387,$D387-($D387-$I$373)*MIN(F$3-$O$2,$Q$2)/$Q$2))</f>
        <v>6520.06492797285</v>
      </c>
      <c r="G387" s="15" t="n">
        <f aca="false">F387*(1+IF(G$3&lt;=$O$2,$D387,$D387-($D387-$I$373)*MIN(G$3-$O$2,$Q$2)/$Q$2))</f>
        <v>7029.04704728909</v>
      </c>
      <c r="H387" s="15" t="n">
        <f aca="false">G387*(1+IF(H$3&lt;=$O$2,$D387,$D387-($D387-$I$373)*MIN(H$3-$O$2,$Q$2)/$Q$2))</f>
        <v>7577.76232887373</v>
      </c>
      <c r="I387" s="15" t="n">
        <f aca="false">H387*(1+IF(I$3&lt;=$O$2,$D387,$D387-($D387-$I$373)*MIN(I$3-$O$2,$Q$2)/$Q$2))</f>
        <v>8169.31250090923</v>
      </c>
      <c r="J387" s="15" t="n">
        <f aca="false">I387*(1+IF(J$3&lt;=$O$2,$D387,$D387-($D387-$I$373)*MIN(J$3-$O$2,$Q$2)/$Q$2))</f>
        <v>8725.73394875924</v>
      </c>
      <c r="K387" s="15" t="n">
        <f aca="false">J387*(1+IF(K$3&lt;=$O$2,$D387,$D387-($D387-$I$373)*MIN(K$3-$O$2,$Q$2)/$Q$2))</f>
        <v>9233.20848998631</v>
      </c>
      <c r="L387" s="15" t="n">
        <f aca="false">K387*(1+IF(L$3&lt;=$O$2,$D387,$D387-($D387-$I$373)*MIN(L$3-$O$2,$Q$2)/$Q$2))</f>
        <v>9678.3007153292</v>
      </c>
      <c r="M387" s="15" t="n">
        <f aca="false">L387*(1+IF(M$3&lt;=$O$2,$D387,$D387-($D387-$I$373)*MIN(M$3-$O$2,$Q$2)/$Q$2))</f>
        <v>10048.522748882</v>
      </c>
      <c r="N387" s="15" t="n">
        <f aca="false">M387*(1+IF(N$3&lt;=$O$2,$D387,$D387-($D387-$I$373)*MIN(N$3-$O$2,$Q$2)/$Q$2))</f>
        <v>10332.8959426754</v>
      </c>
      <c r="O387" s="15" t="n">
        <f aca="false">SUMPRODUCT(E387:N387,1/(1+$F$373)^$E$3:$N$3)*$E$2</f>
        <v>20919.3331184262</v>
      </c>
      <c r="P387" s="15" t="n">
        <f aca="false">N387*$E$2*(1+$I$373)/($F$373-$I$373)/(1+$F$373)^$N$3</f>
        <v>40044.7244492746</v>
      </c>
      <c r="Q387" s="15" t="n">
        <f aca="false">O387+P387</f>
        <v>60964.0575677009</v>
      </c>
      <c r="R387" s="15" t="n">
        <f aca="false">Q387-$G$2+$I$2</f>
        <v>52199.0575677009</v>
      </c>
      <c r="S387" s="40" t="n">
        <f aca="false">R387/$K$2</f>
        <v>93.3826927040339</v>
      </c>
      <c r="T387" s="41" t="n">
        <f aca="false">S387-$M$2</f>
        <v>-0.0911346243141793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0.07806396484375</v>
      </c>
      <c r="C388" s="25" t="n">
        <f aca="false">IF(T387&gt;0,D387,C387)</f>
        <v>0.0782470703125</v>
      </c>
      <c r="D388" s="39" t="n">
        <f aca="false">(B388+C388)/2</f>
        <v>0.078155517578125</v>
      </c>
      <c r="E388" s="15" t="n">
        <f aca="false">$C$2*(1+IF(E$3&lt;=$O$2,$D388,$D388-($D388-$I$373)*MIN(E$3-$O$2,$Q$2)/$Q$2))</f>
        <v>6048.45245361328</v>
      </c>
      <c r="F388" s="15" t="n">
        <f aca="false">E388*(1+IF(F$3&lt;=$O$2,$D388,$D388-($D388-$I$373)*MIN(F$3-$O$2,$Q$2)/$Q$2))</f>
        <v>6521.17238567211</v>
      </c>
      <c r="G388" s="15" t="n">
        <f aca="false">F388*(1+IF(G$3&lt;=$O$2,$D388,$D388-($D388-$I$373)*MIN(G$3-$O$2,$Q$2)/$Q$2))</f>
        <v>7030.83798869049</v>
      </c>
      <c r="H388" s="15" t="n">
        <f aca="false">G388*(1+IF(H$3&lt;=$O$2,$D388,$D388-($D388-$I$373)*MIN(H$3-$O$2,$Q$2)/$Q$2))</f>
        <v>7580.33677070454</v>
      </c>
      <c r="I388" s="15" t="n">
        <f aca="false">H388*(1+IF(I$3&lt;=$O$2,$D388,$D388-($D388-$I$373)*MIN(I$3-$O$2,$Q$2)/$Q$2))</f>
        <v>8172.78191443544</v>
      </c>
      <c r="J388" s="15" t="n">
        <f aca="false">I388*(1+IF(J$3&lt;=$O$2,$D388,$D388-($D388-$I$373)*MIN(J$3-$O$2,$Q$2)/$Q$2))</f>
        <v>8730.03826053182</v>
      </c>
      <c r="K388" s="15" t="n">
        <f aca="false">J388*(1+IF(K$3&lt;=$O$2,$D388,$D388-($D388-$I$373)*MIN(K$3-$O$2,$Q$2)/$Q$2))</f>
        <v>9238.24268887826</v>
      </c>
      <c r="L388" s="15" t="n">
        <f aca="false">K388*(1+IF(L$3&lt;=$O$2,$D388,$D388-($D388-$I$373)*MIN(L$3-$O$2,$Q$2)/$Q$2))</f>
        <v>9683.91590528006</v>
      </c>
      <c r="M388" s="15" t="n">
        <f aca="false">L388*(1+IF(M$3&lt;=$O$2,$D388,$D388-($D388-$I$373)*MIN(M$3-$O$2,$Q$2)/$Q$2))</f>
        <v>10054.5300533276</v>
      </c>
      <c r="N388" s="15" t="n">
        <f aca="false">M388*(1+IF(N$3&lt;=$O$2,$D388,$D388-($D388-$I$373)*MIN(N$3-$O$2,$Q$2)/$Q$2))</f>
        <v>10339.0732538368</v>
      </c>
      <c r="O388" s="15" t="n">
        <f aca="false">SUMPRODUCT(E388:N388,1/(1+$F$373)^$E$3:$N$3)*$E$2</f>
        <v>20927.7782898649</v>
      </c>
      <c r="P388" s="15" t="n">
        <f aca="false">N388*$E$2*(1+$I$373)/($F$373-$I$373)/(1+$F$373)^$N$3</f>
        <v>40068.664371313</v>
      </c>
      <c r="Q388" s="15" t="n">
        <f aca="false">O388+P388</f>
        <v>60996.4426611778</v>
      </c>
      <c r="R388" s="15" t="n">
        <f aca="false">Q388-$G$2+$I$2</f>
        <v>52231.4426611778</v>
      </c>
      <c r="S388" s="40" t="n">
        <f aca="false">R388/$K$2</f>
        <v>93.4406287544775</v>
      </c>
      <c r="T388" s="41" t="n">
        <f aca="false">S388-$M$2</f>
        <v>-0.0331985738705782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0.078155517578125</v>
      </c>
      <c r="C389" s="25" t="n">
        <f aca="false">IF(T388&gt;0,D388,C388)</f>
        <v>0.0782470703125</v>
      </c>
      <c r="D389" s="39" t="n">
        <f aca="false">(B389+C389)/2</f>
        <v>0.0782012939453125</v>
      </c>
      <c r="E389" s="15" t="n">
        <f aca="false">$C$2*(1+IF(E$3&lt;=$O$2,$D389,$D389-($D389-$I$373)*MIN(E$3-$O$2,$Q$2)/$Q$2))</f>
        <v>6048.7092590332</v>
      </c>
      <c r="F389" s="15" t="n">
        <f aca="false">E389*(1+IF(F$3&lt;=$O$2,$D389,$D389-($D389-$I$373)*MIN(F$3-$O$2,$Q$2)/$Q$2))</f>
        <v>6521.72614978859</v>
      </c>
      <c r="G389" s="15" t="n">
        <f aca="false">F389*(1+IF(G$3&lt;=$O$2,$D389,$D389-($D389-$I$373)*MIN(G$3-$O$2,$Q$2)/$Q$2))</f>
        <v>7031.73357345904</v>
      </c>
      <c r="H389" s="15" t="n">
        <f aca="false">G389*(1+IF(H$3&lt;=$O$2,$D389,$D389-($D389-$I$373)*MIN(H$3-$O$2,$Q$2)/$Q$2))</f>
        <v>7581.62423758223</v>
      </c>
      <c r="I389" s="15" t="n">
        <f aca="false">H389*(1+IF(I$3&lt;=$O$2,$D389,$D389-($D389-$I$373)*MIN(I$3-$O$2,$Q$2)/$Q$2))</f>
        <v>8174.51706316831</v>
      </c>
      <c r="J389" s="15" t="n">
        <f aca="false">I389*(1+IF(J$3&lt;=$O$2,$D389,$D389-($D389-$I$373)*MIN(J$3-$O$2,$Q$2)/$Q$2))</f>
        <v>8732.19107912008</v>
      </c>
      <c r="K389" s="15" t="n">
        <f aca="false">J389*(1+IF(K$3&lt;=$O$2,$D389,$D389-($D389-$I$373)*MIN(K$3-$O$2,$Q$2)/$Q$2))</f>
        <v>9240.76066695466</v>
      </c>
      <c r="L389" s="15" t="n">
        <f aca="false">K389*(1+IF(L$3&lt;=$O$2,$D389,$D389-($D389-$I$373)*MIN(L$3-$O$2,$Q$2)/$Q$2))</f>
        <v>9686.72455955747</v>
      </c>
      <c r="M389" s="15" t="n">
        <f aca="false">L389*(1+IF(M$3&lt;=$O$2,$D389,$D389-($D389-$I$373)*MIN(M$3-$O$2,$Q$2)/$Q$2))</f>
        <v>10057.5348825157</v>
      </c>
      <c r="N389" s="15" t="n">
        <f aca="false">M389*(1+IF(N$3&lt;=$O$2,$D389,$D389-($D389-$I$373)*MIN(N$3-$O$2,$Q$2)/$Q$2))</f>
        <v>10342.1631196909</v>
      </c>
      <c r="O389" s="15" t="n">
        <f aca="false">SUMPRODUCT(E389:N389,1/(1+$F$373)^$E$3:$N$3)*$E$2</f>
        <v>20932.0021481611</v>
      </c>
      <c r="P389" s="15" t="n">
        <f aca="false">N389*$E$2*(1+$I$373)/($F$373-$I$373)/(1+$F$373)^$N$3</f>
        <v>40080.6390226981</v>
      </c>
      <c r="Q389" s="15" t="n">
        <f aca="false">O389+P389</f>
        <v>61012.6411708592</v>
      </c>
      <c r="R389" s="15" t="n">
        <f aca="false">Q389-$G$2+$I$2</f>
        <v>52247.6411708592</v>
      </c>
      <c r="S389" s="40" t="n">
        <f aca="false">R389/$K$2</f>
        <v>93.4696074472417</v>
      </c>
      <c r="T389" s="41" t="n">
        <f aca="false">S389-$M$2</f>
        <v>-0.0042198811063372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0.0782012939453125</v>
      </c>
      <c r="C390" s="25" t="n">
        <f aca="false">IF(T389&gt;0,D389,C389)</f>
        <v>0.0782470703125</v>
      </c>
      <c r="D390" s="39" t="n">
        <f aca="false">(B390+C390)/2</f>
        <v>0.0782241821289063</v>
      </c>
      <c r="E390" s="15" t="n">
        <f aca="false">$C$2*(1+IF(E$3&lt;=$O$2,$D390,$D390-($D390-$I$373)*MIN(E$3-$O$2,$Q$2)/$Q$2))</f>
        <v>6048.83766174316</v>
      </c>
      <c r="F390" s="15" t="n">
        <f aca="false">E390*(1+IF(F$3&lt;=$O$2,$D390,$D390-($D390-$I$373)*MIN(F$3-$O$2,$Q$2)/$Q$2))</f>
        <v>6522.00304066355</v>
      </c>
      <c r="G390" s="15" t="n">
        <f aca="false">F390*(1+IF(G$3&lt;=$O$2,$D390,$D390-($D390-$I$373)*MIN(G$3-$O$2,$Q$2)/$Q$2))</f>
        <v>7032.18139436169</v>
      </c>
      <c r="H390" s="15" t="n">
        <f aca="false">G390*(1+IF(H$3&lt;=$O$2,$D390,$D390-($D390-$I$373)*MIN(H$3-$O$2,$Q$2)/$Q$2))</f>
        <v>7582.26803251775</v>
      </c>
      <c r="I390" s="15" t="n">
        <f aca="false">H390*(1+IF(I$3&lt;=$O$2,$D390,$D390-($D390-$I$373)*MIN(I$3-$O$2,$Q$2)/$Q$2))</f>
        <v>8175.3847480436</v>
      </c>
      <c r="J390" s="15" t="n">
        <f aca="false">I390*(1+IF(J$3&lt;=$O$2,$D390,$D390-($D390-$I$373)*MIN(J$3-$O$2,$Q$2)/$Q$2))</f>
        <v>8733.2676541214</v>
      </c>
      <c r="K390" s="15" t="n">
        <f aca="false">J390*(1+IF(K$3&lt;=$O$2,$D390,$D390-($D390-$I$373)*MIN(K$3-$O$2,$Q$2)/$Q$2))</f>
        <v>9242.01987569995</v>
      </c>
      <c r="L390" s="15" t="n">
        <f aca="false">K390*(1+IF(L$3&lt;=$O$2,$D390,$D390-($D390-$I$373)*MIN(L$3-$O$2,$Q$2)/$Q$2))</f>
        <v>9688.12915158762</v>
      </c>
      <c r="M390" s="15" t="n">
        <f aca="false">L390*(1+IF(M$3&lt;=$O$2,$D390,$D390-($D390-$I$373)*MIN(M$3-$O$2,$Q$2)/$Q$2))</f>
        <v>10059.037591428</v>
      </c>
      <c r="N390" s="15" t="n">
        <f aca="false">M390*(1+IF(N$3&lt;=$O$2,$D390,$D390-($D390-$I$373)*MIN(N$3-$O$2,$Q$2)/$Q$2))</f>
        <v>10343.7083552654</v>
      </c>
      <c r="O390" s="15" t="n">
        <f aca="false">SUMPRODUCT(E390:N390,1/(1+$F$373)^$E$3:$N$3)*$E$2</f>
        <v>20934.1143955225</v>
      </c>
      <c r="P390" s="15" t="n">
        <f aca="false">N390*$E$2*(1+$I$373)/($F$373-$I$373)/(1+$F$373)^$N$3</f>
        <v>40086.6275212888</v>
      </c>
      <c r="Q390" s="15" t="n">
        <f aca="false">O390+P390</f>
        <v>61020.7419168113</v>
      </c>
      <c r="R390" s="15" t="n">
        <f aca="false">Q390-$G$2+$I$2</f>
        <v>52255.7419168113</v>
      </c>
      <c r="S390" s="40" t="n">
        <f aca="false">R390/$K$2</f>
        <v>93.4840994611817</v>
      </c>
      <c r="T390" s="41" t="n">
        <f aca="false">S390-$M$2</f>
        <v>0.0102721328335775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0.0782012939453125</v>
      </c>
      <c r="C391" s="25" t="n">
        <f aca="false">IF(T390&gt;0,D390,C390)</f>
        <v>0.0782241821289063</v>
      </c>
      <c r="D391" s="39" t="n">
        <f aca="false">(B391+C391)/2</f>
        <v>0.0782127380371094</v>
      </c>
      <c r="E391" s="15" t="n">
        <f aca="false">$C$2*(1+IF(E$3&lt;=$O$2,$D391,$D391-($D391-$I$373)*MIN(E$3-$O$2,$Q$2)/$Q$2))</f>
        <v>6048.77346038818</v>
      </c>
      <c r="F391" s="15" t="n">
        <f aca="false">E391*(1+IF(F$3&lt;=$O$2,$D391,$D391-($D391-$I$373)*MIN(F$3-$O$2,$Q$2)/$Q$2))</f>
        <v>6521.86459449134</v>
      </c>
      <c r="G391" s="15" t="n">
        <f aca="false">F391*(1+IF(G$3&lt;=$O$2,$D391,$D391-($D391-$I$373)*MIN(G$3-$O$2,$Q$2)/$Q$2))</f>
        <v>7031.9574815338</v>
      </c>
      <c r="H391" s="15" t="n">
        <f aca="false">G391*(1+IF(H$3&lt;=$O$2,$D391,$D391-($D391-$I$373)*MIN(H$3-$O$2,$Q$2)/$Q$2))</f>
        <v>7581.94612992509</v>
      </c>
      <c r="I391" s="15" t="n">
        <f aca="false">H391*(1+IF(I$3&lt;=$O$2,$D391,$D391-($D391-$I$373)*MIN(I$3-$O$2,$Q$2)/$Q$2))</f>
        <v>8174.9508963964</v>
      </c>
      <c r="J391" s="15" t="n">
        <f aca="false">I391*(1+IF(J$3&lt;=$O$2,$D391,$D391-($D391-$I$373)*MIN(J$3-$O$2,$Q$2)/$Q$2))</f>
        <v>8732.72935281087</v>
      </c>
      <c r="K391" s="15" t="n">
        <f aca="false">J391*(1+IF(K$3&lt;=$O$2,$D391,$D391-($D391-$I$373)*MIN(K$3-$O$2,$Q$2)/$Q$2))</f>
        <v>9241.39025301691</v>
      </c>
      <c r="L391" s="15" t="n">
        <f aca="false">K391*(1+IF(L$3&lt;=$O$2,$D391,$D391-($D391-$I$373)*MIN(L$3-$O$2,$Q$2)/$Q$2))</f>
        <v>9687.4268334963</v>
      </c>
      <c r="M391" s="15" t="n">
        <f aca="false">L391*(1+IF(M$3&lt;=$O$2,$D391,$D391-($D391-$I$373)*MIN(M$3-$O$2,$Q$2)/$Q$2))</f>
        <v>10058.286212443</v>
      </c>
      <c r="N391" s="15" t="n">
        <f aca="false">M391*(1+IF(N$3&lt;=$O$2,$D391,$D391-($D391-$I$373)*MIN(N$3-$O$2,$Q$2)/$Q$2))</f>
        <v>10342.9357122552</v>
      </c>
      <c r="O391" s="15" t="n">
        <f aca="false">SUMPRODUCT(E391:N391,1/(1+$F$373)^$E$3:$N$3)*$E$2</f>
        <v>20933.058245322</v>
      </c>
      <c r="P391" s="15" t="n">
        <f aca="false">N391*$E$2*(1+$I$373)/($F$373-$I$373)/(1+$F$373)^$N$3</f>
        <v>40083.6331742428</v>
      </c>
      <c r="Q391" s="15" t="n">
        <f aca="false">O391+P391</f>
        <v>61016.6914195648</v>
      </c>
      <c r="R391" s="15" t="n">
        <f aca="false">Q391-$G$2+$I$2</f>
        <v>52251.6914195648</v>
      </c>
      <c r="S391" s="40" t="n">
        <f aca="false">R391/$K$2</f>
        <v>93.4768532318952</v>
      </c>
      <c r="T391" s="41" t="n">
        <f aca="false">S391-$M$2</f>
        <v>0.00302590354715449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0.0782012939453125</v>
      </c>
      <c r="C392" s="25" t="n">
        <f aca="false">IF(T391&gt;0,D391,C391)</f>
        <v>0.0782127380371094</v>
      </c>
      <c r="D392" s="39" t="n">
        <f aca="false">(B392+C392)/2</f>
        <v>0.0782070159912109</v>
      </c>
      <c r="E392" s="15" t="n">
        <f aca="false">$C$2*(1+IF(E$3&lt;=$O$2,$D392,$D392-($D392-$I$373)*MIN(E$3-$O$2,$Q$2)/$Q$2))</f>
        <v>6048.74135971069</v>
      </c>
      <c r="F392" s="15" t="n">
        <f aca="false">E392*(1+IF(F$3&lt;=$O$2,$D392,$D392-($D392-$I$373)*MIN(F$3-$O$2,$Q$2)/$Q$2))</f>
        <v>6521.79537195629</v>
      </c>
      <c r="G392" s="15" t="n">
        <f aca="false">F392*(1+IF(G$3&lt;=$O$2,$D392,$D392-($D392-$I$373)*MIN(G$3-$O$2,$Q$2)/$Q$2))</f>
        <v>7031.84552690228</v>
      </c>
      <c r="H392" s="15" t="n">
        <f aca="false">G392*(1+IF(H$3&lt;=$O$2,$D392,$D392-($D392-$I$373)*MIN(H$3-$O$2,$Q$2)/$Q$2))</f>
        <v>7581.78518247245</v>
      </c>
      <c r="I392" s="15" t="n">
        <f aca="false">H392*(1+IF(I$3&lt;=$O$2,$D392,$D392-($D392-$I$373)*MIN(I$3-$O$2,$Q$2)/$Q$2))</f>
        <v>8174.73397748</v>
      </c>
      <c r="J392" s="15" t="n">
        <f aca="false">I392*(1+IF(J$3&lt;=$O$2,$D392,$D392-($D392-$I$373)*MIN(J$3-$O$2,$Q$2)/$Q$2))</f>
        <v>8732.46021251307</v>
      </c>
      <c r="K392" s="15" t="n">
        <f aca="false">J392*(1+IF(K$3&lt;=$O$2,$D392,$D392-($D392-$I$373)*MIN(K$3-$O$2,$Q$2)/$Q$2))</f>
        <v>9241.0754554083</v>
      </c>
      <c r="L392" s="15" t="n">
        <f aca="false">K392*(1+IF(L$3&lt;=$O$2,$D392,$D392-($D392-$I$373)*MIN(L$3-$O$2,$Q$2)/$Q$2))</f>
        <v>9687.07569100797</v>
      </c>
      <c r="M392" s="15" t="n">
        <f aca="false">L392*(1+IF(M$3&lt;=$O$2,$D392,$D392-($D392-$I$373)*MIN(M$3-$O$2,$Q$2)/$Q$2))</f>
        <v>10057.9105413473</v>
      </c>
      <c r="N392" s="15" t="n">
        <f aca="false">M392*(1+IF(N$3&lt;=$O$2,$D392,$D392-($D392-$I$373)*MIN(N$3-$O$2,$Q$2)/$Q$2))</f>
        <v>10342.5494096675</v>
      </c>
      <c r="O392" s="15" t="n">
        <f aca="false">SUMPRODUCT(E392:N392,1/(1+$F$373)^$E$3:$N$3)*$E$2</f>
        <v>20932.5301901117</v>
      </c>
      <c r="P392" s="15" t="n">
        <f aca="false">N392*$E$2*(1+$I$373)/($F$373-$I$373)/(1+$F$373)^$N$3</f>
        <v>40082.1360740335</v>
      </c>
      <c r="Q392" s="15" t="n">
        <f aca="false">O392+P392</f>
        <v>61014.6662641452</v>
      </c>
      <c r="R392" s="15" t="n">
        <f aca="false">Q392-$G$2+$I$2</f>
        <v>52249.6662641452</v>
      </c>
      <c r="S392" s="40" t="n">
        <f aca="false">R392/$K$2</f>
        <v>93.4732302839908</v>
      </c>
      <c r="T392" s="41" t="n">
        <f aca="false">S392-$M$2</f>
        <v>-0.000597044357249388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0.0782070159912109</v>
      </c>
      <c r="C393" s="25" t="n">
        <f aca="false">IF(T392&gt;0,D392,C392)</f>
        <v>0.0782127380371094</v>
      </c>
      <c r="D393" s="39" t="n">
        <f aca="false">(B393+C393)/2</f>
        <v>0.0782098770141602</v>
      </c>
      <c r="E393" s="15" t="n">
        <f aca="false">$C$2*(1+IF(E$3&lt;=$O$2,$D393,$D393-($D393-$I$373)*MIN(E$3-$O$2,$Q$2)/$Q$2))</f>
        <v>6048.75741004944</v>
      </c>
      <c r="F393" s="15" t="n">
        <f aca="false">E393*(1+IF(F$3&lt;=$O$2,$D393,$D393-($D393-$I$373)*MIN(F$3-$O$2,$Q$2)/$Q$2))</f>
        <v>6521.8299831779</v>
      </c>
      <c r="G393" s="15" t="n">
        <f aca="false">F393*(1+IF(G$3&lt;=$O$2,$D393,$D393-($D393-$I$373)*MIN(G$3-$O$2,$Q$2)/$Q$2))</f>
        <v>7031.9015040695</v>
      </c>
      <c r="H393" s="15" t="n">
        <f aca="false">G393*(1+IF(H$3&lt;=$O$2,$D393,$D393-($D393-$I$373)*MIN(H$3-$O$2,$Q$2)/$Q$2))</f>
        <v>7581.86565587846</v>
      </c>
      <c r="I393" s="15" t="n">
        <f aca="false">H393*(1+IF(I$3&lt;=$O$2,$D393,$D393-($D393-$I$373)*MIN(I$3-$O$2,$Q$2)/$Q$2))</f>
        <v>8174.8424363626</v>
      </c>
      <c r="J393" s="15" t="n">
        <f aca="false">I393*(1+IF(J$3&lt;=$O$2,$D393,$D393-($D393-$I$373)*MIN(J$3-$O$2,$Q$2)/$Q$2))</f>
        <v>8732.59478179886</v>
      </c>
      <c r="K393" s="15" t="n">
        <f aca="false">J393*(1+IF(K$3&lt;=$O$2,$D393,$D393-($D393-$I$373)*MIN(K$3-$O$2,$Q$2)/$Q$2))</f>
        <v>9241.23285306822</v>
      </c>
      <c r="L393" s="15" t="n">
        <f aca="false">K393*(1+IF(L$3&lt;=$O$2,$D393,$D393-($D393-$I$373)*MIN(L$3-$O$2,$Q$2)/$Q$2))</f>
        <v>9687.25126087239</v>
      </c>
      <c r="M393" s="15" t="n">
        <f aca="false">L393*(1+IF(M$3&lt;=$O$2,$D393,$D393-($D393-$I$373)*MIN(M$3-$O$2,$Q$2)/$Q$2))</f>
        <v>10058.0983753622</v>
      </c>
      <c r="N393" s="15" t="n">
        <f aca="false">M393*(1+IF(N$3&lt;=$O$2,$D393,$D393-($D393-$I$373)*MIN(N$3-$O$2,$Q$2)/$Q$2))</f>
        <v>10342.7425593849</v>
      </c>
      <c r="O393" s="15" t="n">
        <f aca="false">SUMPRODUCT(E393:N393,1/(1+$F$373)^$E$3:$N$3)*$E$2</f>
        <v>20932.7942160594</v>
      </c>
      <c r="P393" s="15" t="n">
        <f aca="false">N393*$E$2*(1+$I$373)/($F$373-$I$373)/(1+$F$373)^$N$3</f>
        <v>40082.8846180288</v>
      </c>
      <c r="Q393" s="15" t="n">
        <f aca="false">O393+P393</f>
        <v>61015.6788340882</v>
      </c>
      <c r="R393" s="15" t="n">
        <f aca="false">Q393-$G$2+$I$2</f>
        <v>52250.6788340882</v>
      </c>
      <c r="S393" s="40" t="n">
        <f aca="false">R393/$K$2</f>
        <v>93.4750417440484</v>
      </c>
      <c r="T393" s="41" t="n">
        <f aca="false">S393-$M$2</f>
        <v>0.00121441570036041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0.0782070159912109</v>
      </c>
      <c r="C394" s="25" t="n">
        <f aca="false">IF(T393&gt;0,D393,C393)</f>
        <v>0.0782098770141602</v>
      </c>
      <c r="D394" s="39" t="n">
        <f aca="false">(B394+C394)/2</f>
        <v>0.0782084465026856</v>
      </c>
      <c r="E394" s="15" t="n">
        <f aca="false">$C$2*(1+IF(E$3&lt;=$O$2,$D394,$D394-($D394-$I$373)*MIN(E$3-$O$2,$Q$2)/$Q$2))</f>
        <v>6048.74938488007</v>
      </c>
      <c r="F394" s="15" t="n">
        <f aca="false">E394*(1+IF(F$3&lt;=$O$2,$D394,$D394-($D394-$I$373)*MIN(F$3-$O$2,$Q$2)/$Q$2))</f>
        <v>6521.81267755561</v>
      </c>
      <c r="G394" s="15" t="n">
        <f aca="false">F394*(1+IF(G$3&lt;=$O$2,$D394,$D394-($D394-$I$373)*MIN(G$3-$O$2,$Q$2)/$Q$2))</f>
        <v>7031.87351544876</v>
      </c>
      <c r="H394" s="15" t="n">
        <f aca="false">G394*(1+IF(H$3&lt;=$O$2,$D394,$D394-($D394-$I$373)*MIN(H$3-$O$2,$Q$2)/$Q$2))</f>
        <v>7581.82541909538</v>
      </c>
      <c r="I394" s="15" t="n">
        <f aca="false">H394*(1+IF(I$3&lt;=$O$2,$D394,$D394-($D394-$I$373)*MIN(I$3-$O$2,$Q$2)/$Q$2))</f>
        <v>8174.7882067774</v>
      </c>
      <c r="J394" s="15" t="n">
        <f aca="false">I394*(1+IF(J$3&lt;=$O$2,$D394,$D394-($D394-$I$373)*MIN(J$3-$O$2,$Q$2)/$Q$2))</f>
        <v>8732.52749694019</v>
      </c>
      <c r="K394" s="15" t="n">
        <f aca="false">J394*(1+IF(K$3&lt;=$O$2,$D394,$D394-($D394-$I$373)*MIN(K$3-$O$2,$Q$2)/$Q$2))</f>
        <v>9241.15415395216</v>
      </c>
      <c r="L394" s="15" t="n">
        <f aca="false">K394*(1+IF(L$3&lt;=$O$2,$D394,$D394-($D394-$I$373)*MIN(L$3-$O$2,$Q$2)/$Q$2))</f>
        <v>9687.16347559524</v>
      </c>
      <c r="M394" s="15" t="n">
        <f aca="false">L394*(1+IF(M$3&lt;=$O$2,$D394,$D394-($D394-$I$373)*MIN(M$3-$O$2,$Q$2)/$Q$2))</f>
        <v>10058.0044579715</v>
      </c>
      <c r="N394" s="15" t="n">
        <f aca="false">M394*(1+IF(N$3&lt;=$O$2,$D394,$D394-($D394-$I$373)*MIN(N$3-$O$2,$Q$2)/$Q$2))</f>
        <v>10342.6459841321</v>
      </c>
      <c r="O394" s="15" t="n">
        <f aca="false">SUMPRODUCT(E394:N394,1/(1+$F$373)^$E$3:$N$3)*$E$2</f>
        <v>20932.6622026712</v>
      </c>
      <c r="P394" s="15" t="n">
        <f aca="false">N394*$E$2*(1+$I$373)/($F$373-$I$373)/(1+$F$373)^$N$3</f>
        <v>40082.5103445038</v>
      </c>
      <c r="Q394" s="15" t="n">
        <f aca="false">O394+P394</f>
        <v>61015.172547175</v>
      </c>
      <c r="R394" s="15" t="n">
        <f aca="false">Q394-$G$2+$I$2</f>
        <v>52250.172547175</v>
      </c>
      <c r="S394" s="40" t="n">
        <f aca="false">R394/$K$2</f>
        <v>93.474136010546</v>
      </c>
      <c r="T394" s="41" t="n">
        <f aca="false">S394-$M$2</f>
        <v>0.000308682197911025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0.0782070159912109</v>
      </c>
      <c r="C395" s="25" t="n">
        <f aca="false">IF(T394&gt;0,D394,C394)</f>
        <v>0.0782084465026856</v>
      </c>
      <c r="D395" s="39" t="n">
        <f aca="false">(B395+C395)/2</f>
        <v>0.0782077312469482</v>
      </c>
      <c r="E395" s="15" t="n">
        <f aca="false">$C$2*(1+IF(E$3&lt;=$O$2,$D395,$D395-($D395-$I$373)*MIN(E$3-$O$2,$Q$2)/$Q$2))</f>
        <v>6048.74537229538</v>
      </c>
      <c r="F395" s="15" t="n">
        <f aca="false">E395*(1+IF(F$3&lt;=$O$2,$D395,$D395-($D395-$I$373)*MIN(F$3-$O$2,$Q$2)/$Q$2))</f>
        <v>6521.80402475308</v>
      </c>
      <c r="G395" s="15" t="n">
        <f aca="false">F395*(1+IF(G$3&lt;=$O$2,$D395,$D395-($D395-$I$373)*MIN(G$3-$O$2,$Q$2)/$Q$2))</f>
        <v>7031.85952116623</v>
      </c>
      <c r="H395" s="15" t="n">
        <f aca="false">G395*(1+IF(H$3&lt;=$O$2,$D395,$D395-($D395-$I$373)*MIN(H$3-$O$2,$Q$2)/$Q$2))</f>
        <v>7581.8053007639</v>
      </c>
      <c r="I395" s="15" t="n">
        <f aca="false">H395*(1+IF(I$3&lt;=$O$2,$D395,$D395-($D395-$I$373)*MIN(I$3-$O$2,$Q$2)/$Q$2))</f>
        <v>8174.76109209273</v>
      </c>
      <c r="J395" s="15" t="n">
        <f aca="false">I395*(1+IF(J$3&lt;=$O$2,$D395,$D395-($D395-$I$373)*MIN(J$3-$O$2,$Q$2)/$Q$2))</f>
        <v>8732.49385467269</v>
      </c>
      <c r="K395" s="15" t="n">
        <f aca="false">J395*(1+IF(K$3&lt;=$O$2,$D395,$D395-($D395-$I$373)*MIN(K$3-$O$2,$Q$2)/$Q$2))</f>
        <v>9241.1148046087</v>
      </c>
      <c r="L395" s="15" t="n">
        <f aca="false">K395*(1+IF(L$3&lt;=$O$2,$D395,$D395-($D395-$I$373)*MIN(L$3-$O$2,$Q$2)/$Q$2))</f>
        <v>9687.11958321537</v>
      </c>
      <c r="M395" s="15" t="n">
        <f aca="false">L395*(1+IF(M$3&lt;=$O$2,$D395,$D395-($D395-$I$373)*MIN(M$3-$O$2,$Q$2)/$Q$2))</f>
        <v>10057.9574995636</v>
      </c>
      <c r="N395" s="15" t="n">
        <f aca="false">M395*(1+IF(N$3&lt;=$O$2,$D395,$D395-($D395-$I$373)*MIN(N$3-$O$2,$Q$2)/$Q$2))</f>
        <v>10342.5976968013</v>
      </c>
      <c r="O395" s="15" t="n">
        <f aca="false">SUMPRODUCT(E395:N395,1/(1+$F$373)^$E$3:$N$3)*$E$2</f>
        <v>20932.5961962879</v>
      </c>
      <c r="P395" s="15" t="n">
        <f aca="false">N395*$E$2*(1+$I$373)/($F$373-$I$373)/(1+$F$373)^$N$3</f>
        <v>40082.3232088868</v>
      </c>
      <c r="Q395" s="15" t="n">
        <f aca="false">O395+P395</f>
        <v>61014.9194051747</v>
      </c>
      <c r="R395" s="15" t="n">
        <f aca="false">Q395-$G$2+$I$2</f>
        <v>52249.9194051747</v>
      </c>
      <c r="S395" s="40" t="n">
        <f aca="false">R395/$K$2</f>
        <v>93.4736831464</v>
      </c>
      <c r="T395" s="41" t="n">
        <f aca="false">S395-$M$2</f>
        <v>-0.000144181948058986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0.0782077312469482</v>
      </c>
      <c r="C396" s="25" t="n">
        <f aca="false">IF(T395&gt;0,D395,C395)</f>
        <v>0.0782084465026856</v>
      </c>
      <c r="D396" s="39" t="n">
        <f aca="false">(B396+C396)/2</f>
        <v>0.0782080888748169</v>
      </c>
      <c r="E396" s="15" t="n">
        <f aca="false">$C$2*(1+IF(E$3&lt;=$O$2,$D396,$D396-($D396-$I$373)*MIN(E$3-$O$2,$Q$2)/$Q$2))</f>
        <v>6048.74737858772</v>
      </c>
      <c r="F396" s="15" t="n">
        <f aca="false">E396*(1+IF(F$3&lt;=$O$2,$D396,$D396-($D396-$I$373)*MIN(F$3-$O$2,$Q$2)/$Q$2))</f>
        <v>6521.80835115363</v>
      </c>
      <c r="G396" s="15" t="n">
        <f aca="false">F396*(1+IF(G$3&lt;=$O$2,$D396,$D396-($D396-$I$373)*MIN(G$3-$O$2,$Q$2)/$Q$2))</f>
        <v>7031.86651830517</v>
      </c>
      <c r="H396" s="15" t="n">
        <f aca="false">G396*(1+IF(H$3&lt;=$O$2,$D396,$D396-($D396-$I$373)*MIN(H$3-$O$2,$Q$2)/$Q$2))</f>
        <v>7581.81535992463</v>
      </c>
      <c r="I396" s="15" t="n">
        <f aca="false">H396*(1+IF(I$3&lt;=$O$2,$D396,$D396-($D396-$I$373)*MIN(I$3-$O$2,$Q$2)/$Q$2))</f>
        <v>8174.77464942607</v>
      </c>
      <c r="J396" s="15" t="n">
        <f aca="false">I396*(1+IF(J$3&lt;=$O$2,$D396,$D396-($D396-$I$373)*MIN(J$3-$O$2,$Q$2)/$Q$2))</f>
        <v>8732.51067579295</v>
      </c>
      <c r="K396" s="15" t="n">
        <f aca="false">J396*(1+IF(K$3&lt;=$O$2,$D396,$D396-($D396-$I$373)*MIN(K$3-$O$2,$Q$2)/$Q$2))</f>
        <v>9241.13447926255</v>
      </c>
      <c r="L396" s="15" t="n">
        <f aca="false">K396*(1+IF(L$3&lt;=$O$2,$D396,$D396-($D396-$I$373)*MIN(L$3-$O$2,$Q$2)/$Q$2))</f>
        <v>9687.14152938375</v>
      </c>
      <c r="M396" s="15" t="n">
        <f aca="false">L396*(1+IF(M$3&lt;=$O$2,$D396,$D396-($D396-$I$373)*MIN(M$3-$O$2,$Q$2)/$Q$2))</f>
        <v>10057.9809787436</v>
      </c>
      <c r="N396" s="15" t="n">
        <f aca="false">M396*(1+IF(N$3&lt;=$O$2,$D396,$D396-($D396-$I$373)*MIN(N$3-$O$2,$Q$2)/$Q$2))</f>
        <v>10342.621840442</v>
      </c>
      <c r="O396" s="15" t="n">
        <f aca="false">SUMPRODUCT(E396:N396,1/(1+$F$373)^$E$3:$N$3)*$E$2</f>
        <v>20932.6291994536</v>
      </c>
      <c r="P396" s="15" t="n">
        <f aca="false">N396*$E$2*(1+$I$373)/($F$373-$I$373)/(1+$F$373)^$N$3</f>
        <v>40082.4167765998</v>
      </c>
      <c r="Q396" s="15" t="n">
        <f aca="false">O396+P396</f>
        <v>61015.0459760535</v>
      </c>
      <c r="R396" s="15" t="n">
        <f aca="false">Q396-$G$2+$I$2</f>
        <v>52250.0459760535</v>
      </c>
      <c r="S396" s="40" t="n">
        <f aca="false">R396/$K$2</f>
        <v>93.4739095782559</v>
      </c>
      <c r="T396" s="41" t="n">
        <f aca="false">S396-$M$2</f>
        <v>8.2249907819687E-005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0.0782077312469482</v>
      </c>
      <c r="C397" s="25" t="n">
        <f aca="false">IF(T396&gt;0,D396,C396)</f>
        <v>0.0782080888748169</v>
      </c>
      <c r="D397" s="39" t="n">
        <f aca="false">(B397+C397)/2</f>
        <v>0.0782079100608826</v>
      </c>
      <c r="E397" s="15" t="n">
        <f aca="false">$C$2*(1+IF(E$3&lt;=$O$2,$D397,$D397-($D397-$I$373)*MIN(E$3-$O$2,$Q$2)/$Q$2))</f>
        <v>6048.74637544155</v>
      </c>
      <c r="F397" s="15" t="n">
        <f aca="false">E397*(1+IF(F$3&lt;=$O$2,$D397,$D397-($D397-$I$373)*MIN(F$3-$O$2,$Q$2)/$Q$2))</f>
        <v>6521.80618795317</v>
      </c>
      <c r="G397" s="15" t="n">
        <f aca="false">F397*(1+IF(G$3&lt;=$O$2,$D397,$D397-($D397-$I$373)*MIN(G$3-$O$2,$Q$2)/$Q$2))</f>
        <v>7031.86301973512</v>
      </c>
      <c r="H397" s="15" t="n">
        <f aca="false">G397*(1+IF(H$3&lt;=$O$2,$D397,$D397-($D397-$I$373)*MIN(H$3-$O$2,$Q$2)/$Q$2))</f>
        <v>7581.81033034301</v>
      </c>
      <c r="I397" s="15" t="n">
        <f aca="false">H397*(1+IF(I$3&lt;=$O$2,$D397,$D397-($D397-$I$373)*MIN(I$3-$O$2,$Q$2)/$Q$2))</f>
        <v>8174.76787075715</v>
      </c>
      <c r="J397" s="15" t="n">
        <f aca="false">I397*(1+IF(J$3&lt;=$O$2,$D397,$D397-($D397-$I$373)*MIN(J$3-$O$2,$Q$2)/$Q$2))</f>
        <v>8732.50226522945</v>
      </c>
      <c r="K397" s="15" t="n">
        <f aca="false">J397*(1+IF(K$3&lt;=$O$2,$D397,$D397-($D397-$I$373)*MIN(K$3-$O$2,$Q$2)/$Q$2))</f>
        <v>9241.12464193116</v>
      </c>
      <c r="L397" s="15" t="n">
        <f aca="false">K397*(1+IF(L$3&lt;=$O$2,$D397,$D397-($D397-$I$373)*MIN(L$3-$O$2,$Q$2)/$Q$2))</f>
        <v>9687.13055629417</v>
      </c>
      <c r="M397" s="15" t="n">
        <f aca="false">L397*(1+IF(M$3&lt;=$O$2,$D397,$D397-($D397-$I$373)*MIN(M$3-$O$2,$Q$2)/$Q$2))</f>
        <v>10057.9692391476</v>
      </c>
      <c r="N397" s="15" t="n">
        <f aca="false">M397*(1+IF(N$3&lt;=$O$2,$D397,$D397-($D397-$I$373)*MIN(N$3-$O$2,$Q$2)/$Q$2))</f>
        <v>10342.6097686155</v>
      </c>
      <c r="O397" s="15" t="n">
        <f aca="false">SUMPRODUCT(E397:N397,1/(1+$F$373)^$E$3:$N$3)*$E$2</f>
        <v>20932.6126978643</v>
      </c>
      <c r="P397" s="15" t="n">
        <f aca="false">N397*$E$2*(1+$I$373)/($F$373-$I$373)/(1+$F$373)^$N$3</f>
        <v>40082.3699927195</v>
      </c>
      <c r="Q397" s="15" t="n">
        <f aca="false">O397+P397</f>
        <v>61014.9826905838</v>
      </c>
      <c r="R397" s="15" t="n">
        <f aca="false">Q397-$G$2+$I$2</f>
        <v>52249.9826905838</v>
      </c>
      <c r="S397" s="40" t="n">
        <f aca="false">R397/$K$2</f>
        <v>93.4737963622737</v>
      </c>
      <c r="T397" s="41" t="n">
        <f aca="false">S397-$M$2</f>
        <v>-3.09660743766926E-005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0.0782079100608826</v>
      </c>
      <c r="C398" s="25" t="n">
        <f aca="false">IF(T397&gt;0,D397,C397)</f>
        <v>0.0782080888748169</v>
      </c>
      <c r="D398" s="39" t="n">
        <f aca="false">(B398+C398)/2</f>
        <v>0.0782079994678497</v>
      </c>
      <c r="E398" s="15" t="n">
        <f aca="false">$C$2*(1+IF(E$3&lt;=$O$2,$D398,$D398-($D398-$I$373)*MIN(E$3-$O$2,$Q$2)/$Q$2))</f>
        <v>6048.74687701464</v>
      </c>
      <c r="F398" s="15" t="n">
        <f aca="false">E398*(1+IF(F$3&lt;=$O$2,$D398,$D398-($D398-$I$373)*MIN(F$3-$O$2,$Q$2)/$Q$2))</f>
        <v>6521.80726955336</v>
      </c>
      <c r="G398" s="15" t="n">
        <f aca="false">F398*(1+IF(G$3&lt;=$O$2,$D398,$D398-($D398-$I$373)*MIN(G$3-$O$2,$Q$2)/$Q$2))</f>
        <v>7031.86476902</v>
      </c>
      <c r="H398" s="15" t="n">
        <f aca="false">G398*(1+IF(H$3&lt;=$O$2,$D398,$D398-($D398-$I$373)*MIN(H$3-$O$2,$Q$2)/$Q$2))</f>
        <v>7581.81284513351</v>
      </c>
      <c r="I398" s="15" t="n">
        <f aca="false">H398*(1+IF(I$3&lt;=$O$2,$D398,$D398-($D398-$I$373)*MIN(I$3-$O$2,$Q$2)/$Q$2))</f>
        <v>8174.77126009105</v>
      </c>
      <c r="J398" s="15" t="n">
        <f aca="false">I398*(1+IF(J$3&lt;=$O$2,$D398,$D398-($D398-$I$373)*MIN(J$3-$O$2,$Q$2)/$Q$2))</f>
        <v>8732.50647051036</v>
      </c>
      <c r="K398" s="15" t="n">
        <f aca="false">J398*(1+IF(K$3&lt;=$O$2,$D398,$D398-($D398-$I$373)*MIN(K$3-$O$2,$Q$2)/$Q$2))</f>
        <v>9241.12956059574</v>
      </c>
      <c r="L398" s="15" t="n">
        <f aca="false">K398*(1+IF(L$3&lt;=$O$2,$D398,$D398-($D398-$I$373)*MIN(L$3-$O$2,$Q$2)/$Q$2))</f>
        <v>9687.13604283761</v>
      </c>
      <c r="M398" s="15" t="n">
        <f aca="false">L398*(1+IF(M$3&lt;=$O$2,$D398,$D398-($D398-$I$373)*MIN(M$3-$O$2,$Q$2)/$Q$2))</f>
        <v>10057.9751089441</v>
      </c>
      <c r="N398" s="15" t="n">
        <f aca="false">M398*(1+IF(N$3&lt;=$O$2,$D398,$D398-($D398-$I$373)*MIN(N$3-$O$2,$Q$2)/$Q$2))</f>
        <v>10342.6158045272</v>
      </c>
      <c r="O398" s="15" t="n">
        <f aca="false">SUMPRODUCT(E398:N398,1/(1+$F$373)^$E$3:$N$3)*$E$2</f>
        <v>20932.6209486574</v>
      </c>
      <c r="P398" s="15" t="n">
        <f aca="false">N398*$E$2*(1+$I$373)/($F$373-$I$373)/(1+$F$373)^$N$3</f>
        <v>40082.3933846537</v>
      </c>
      <c r="Q398" s="15" t="n">
        <f aca="false">O398+P398</f>
        <v>61015.014333311</v>
      </c>
      <c r="R398" s="15" t="n">
        <f aca="false">Q398-$G$2+$I$2</f>
        <v>52250.014333311</v>
      </c>
      <c r="S398" s="40" t="n">
        <f aca="false">R398/$K$2</f>
        <v>93.4738529702513</v>
      </c>
      <c r="T398" s="41" t="n">
        <f aca="false">S398-$M$2</f>
        <v>2.56419031785526E-005</v>
      </c>
    </row>
    <row r="400" customFormat="false" ht="15" hidden="false" customHeight="false" outlineLevel="0" collapsed="false">
      <c r="A400" s="36" t="s">
        <v>200</v>
      </c>
      <c r="E400" s="5" t="s">
        <v>11</v>
      </c>
      <c r="F400" s="12" t="n">
        <f aca="false">Sensitivity!$B$12</f>
        <v>0.0767360315529091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6" t="s">
        <v>167</v>
      </c>
      <c r="B401" s="28" t="s">
        <v>168</v>
      </c>
      <c r="C401" s="28" t="s">
        <v>169</v>
      </c>
      <c r="D401" s="28" t="s">
        <v>170</v>
      </c>
      <c r="E401" s="28" t="s">
        <v>171</v>
      </c>
      <c r="F401" s="28" t="s">
        <v>172</v>
      </c>
      <c r="G401" s="28" t="s">
        <v>173</v>
      </c>
      <c r="H401" s="28" t="s">
        <v>174</v>
      </c>
      <c r="I401" s="28" t="s">
        <v>175</v>
      </c>
      <c r="J401" s="28" t="s">
        <v>176</v>
      </c>
      <c r="K401" s="28" t="s">
        <v>177</v>
      </c>
      <c r="L401" s="28" t="s">
        <v>178</v>
      </c>
      <c r="M401" s="28" t="s">
        <v>179</v>
      </c>
      <c r="N401" s="28" t="s">
        <v>180</v>
      </c>
      <c r="O401" s="28" t="s">
        <v>181</v>
      </c>
      <c r="P401" s="28" t="s">
        <v>182</v>
      </c>
      <c r="Q401" s="28" t="s">
        <v>183</v>
      </c>
      <c r="R401" s="28" t="s">
        <v>184</v>
      </c>
      <c r="S401" s="28" t="s">
        <v>185</v>
      </c>
      <c r="T401" s="28" t="s">
        <v>186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39" t="n">
        <f aca="false">(B402+C402)/2</f>
        <v>0.25</v>
      </c>
      <c r="E402" s="15" t="n">
        <f aca="false">$C$2*(1+IF(E$3&lt;=$O$2,$D402,$D402-($D402-$I$400)*MIN(E$3-$O$2,$Q$2)/$Q$2))</f>
        <v>7012.5</v>
      </c>
      <c r="F402" s="15" t="n">
        <f aca="false">E402*(1+IF(F$3&lt;=$O$2,$D402,$D402-($D402-$I$400)*MIN(F$3-$O$2,$Q$2)/$Q$2))</f>
        <v>8765.625</v>
      </c>
      <c r="G402" s="15" t="n">
        <f aca="false">F402*(1+IF(G$3&lt;=$O$2,$D402,$D402-($D402-$I$400)*MIN(G$3-$O$2,$Q$2)/$Q$2))</f>
        <v>10957.03125</v>
      </c>
      <c r="H402" s="15" t="n">
        <f aca="false">G402*(1+IF(H$3&lt;=$O$2,$D402,$D402-($D402-$I$400)*MIN(H$3-$O$2,$Q$2)/$Q$2))</f>
        <v>13696.2890625</v>
      </c>
      <c r="I402" s="15" t="n">
        <f aca="false">H402*(1+IF(I$3&lt;=$O$2,$D402,$D402-($D402-$I$400)*MIN(I$3-$O$2,$Q$2)/$Q$2))</f>
        <v>17120.361328125</v>
      </c>
      <c r="J402" s="15" t="n">
        <f aca="false">I402*(1+IF(J$3&lt;=$O$2,$D402,$D402-($D402-$I$400)*MIN(J$3-$O$2,$Q$2)/$Q$2))</f>
        <v>20658.4552001953</v>
      </c>
      <c r="K402" s="15" t="n">
        <f aca="false">J402*(1+IF(K$3&lt;=$O$2,$D402,$D402-($D402-$I$400)*MIN(K$3-$O$2,$Q$2)/$Q$2))</f>
        <v>24032.3941034912</v>
      </c>
      <c r="L402" s="15" t="n">
        <f aca="false">K402*(1+IF(L$3&lt;=$O$2,$D402,$D402-($D402-$I$400)*MIN(L$3-$O$2,$Q$2)/$Q$2))</f>
        <v>26915.8007480281</v>
      </c>
      <c r="M402" s="15" t="n">
        <f aca="false">L402*(1+IF(M$3&lt;=$O$2,$D402,$D402-($D402-$I$400)*MIN(M$3-$O$2,$Q$2)/$Q$2))</f>
        <v>28978.627717357</v>
      </c>
      <c r="N402" s="15" t="n">
        <f aca="false">M402*(1+IF(N$3&lt;=$O$2,$D402,$D402-($D402-$I$400)*MIN(N$3-$O$2,$Q$2)/$Q$2))</f>
        <v>29943.6160203449</v>
      </c>
      <c r="O402" s="15" t="n">
        <f aca="false">SUMPRODUCT(E402:N402,1/(1+$F$400)^$E$3:$N$3)*$E$2</f>
        <v>44559.7882117442</v>
      </c>
      <c r="P402" s="15" t="n">
        <f aca="false">N402*$E$2*(1+$I$400)/($F$400-$I$400)/(1+$F$400)^$N$3</f>
        <v>130032.677691783</v>
      </c>
      <c r="Q402" s="15" t="n">
        <f aca="false">O402+P402</f>
        <v>174592.465903527</v>
      </c>
      <c r="R402" s="15" t="n">
        <f aca="false">Q402-$G$2+$I$2</f>
        <v>165827.465903527</v>
      </c>
      <c r="S402" s="40" t="n">
        <f aca="false">R402/$K$2</f>
        <v>296.660821323709</v>
      </c>
      <c r="T402" s="41" t="n">
        <f aca="false">S402-$M$2</f>
        <v>203.186993995361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39" t="n">
        <f aca="false">(B403+C403)/2</f>
        <v>-0.125</v>
      </c>
      <c r="E403" s="15" t="n">
        <f aca="false">$C$2*(1+IF(E$3&lt;=$O$2,$D403,$D403-($D403-$I$400)*MIN(E$3-$O$2,$Q$2)/$Q$2))</f>
        <v>4908.75</v>
      </c>
      <c r="F403" s="15" t="n">
        <f aca="false">E403*(1+IF(F$3&lt;=$O$2,$D403,$D403-($D403-$I$400)*MIN(F$3-$O$2,$Q$2)/$Q$2))</f>
        <v>4295.15625</v>
      </c>
      <c r="G403" s="15" t="n">
        <f aca="false">F403*(1+IF(G$3&lt;=$O$2,$D403,$D403-($D403-$I$400)*MIN(G$3-$O$2,$Q$2)/$Q$2))</f>
        <v>3758.26171875</v>
      </c>
      <c r="H403" s="15" t="n">
        <f aca="false">G403*(1+IF(H$3&lt;=$O$2,$D403,$D403-($D403-$I$400)*MIN(H$3-$O$2,$Q$2)/$Q$2))</f>
        <v>3288.47900390625</v>
      </c>
      <c r="I403" s="15" t="n">
        <f aca="false">H403*(1+IF(I$3&lt;=$O$2,$D403,$D403-($D403-$I$400)*MIN(I$3-$O$2,$Q$2)/$Q$2))</f>
        <v>2877.41912841797</v>
      </c>
      <c r="J403" s="15" t="n">
        <f aca="false">I403*(1+IF(J$3&lt;=$O$2,$D403,$D403-($D403-$I$400)*MIN(J$3-$O$2,$Q$2)/$Q$2))</f>
        <v>2608.84082697144</v>
      </c>
      <c r="K403" s="15" t="n">
        <f aca="false">J403*(1+IF(K$3&lt;=$O$2,$D403,$D403-($D403-$I$400)*MIN(K$3-$O$2,$Q$2)/$Q$2))</f>
        <v>2447.92752476384</v>
      </c>
      <c r="L403" s="15" t="n">
        <f aca="false">K403*(1+IF(L$3&lt;=$O$2,$D403,$D403-($D403-$I$400)*MIN(L$3-$O$2,$Q$2)/$Q$2))</f>
        <v>2374.44074047043</v>
      </c>
      <c r="M403" s="15" t="n">
        <f aca="false">L403*(1+IF(M$3&lt;=$O$2,$D403,$D403-($D403-$I$400)*MIN(M$3-$O$2,$Q$2)/$Q$2))</f>
        <v>2378.3348232848</v>
      </c>
      <c r="N403" s="15" t="n">
        <f aca="false">M403*(1+IF(N$3&lt;=$O$2,$D403,$D403-($D403-$I$400)*MIN(N$3-$O$2,$Q$2)/$Q$2))</f>
        <v>2457.53337290018</v>
      </c>
      <c r="O403" s="15" t="n">
        <f aca="false">SUMPRODUCT(E403:N403,1/(1+$F$400)^$E$3:$N$3)*$E$2</f>
        <v>8622.95288302388</v>
      </c>
      <c r="P403" s="15" t="n">
        <f aca="false">N403*$E$2*(1+$I$400)/($F$400-$I$400)/(1+$F$400)^$N$3</f>
        <v>10672.0459138271</v>
      </c>
      <c r="Q403" s="15" t="n">
        <f aca="false">O403+P403</f>
        <v>19294.998796851</v>
      </c>
      <c r="R403" s="15" t="n">
        <f aca="false">Q403-$G$2+$I$2</f>
        <v>10529.9987968509</v>
      </c>
      <c r="S403" s="40" t="n">
        <f aca="false">R403/$K$2</f>
        <v>18.8378811350155</v>
      </c>
      <c r="T403" s="41" t="n">
        <f aca="false">S403-$M$2</f>
        <v>-74.6359461933326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39" t="n">
        <f aca="false">(B404+C404)/2</f>
        <v>0.0625</v>
      </c>
      <c r="E404" s="15" t="n">
        <f aca="false">$C$2*(1+IF(E$3&lt;=$O$2,$D404,$D404-($D404-$I$400)*MIN(E$3-$O$2,$Q$2)/$Q$2))</f>
        <v>5960.625</v>
      </c>
      <c r="F404" s="15" t="n">
        <f aca="false">E404*(1+IF(F$3&lt;=$O$2,$D404,$D404-($D404-$I$400)*MIN(F$3-$O$2,$Q$2)/$Q$2))</f>
        <v>6333.1640625</v>
      </c>
      <c r="G404" s="15" t="n">
        <f aca="false">F404*(1+IF(G$3&lt;=$O$2,$D404,$D404-($D404-$I$400)*MIN(G$3-$O$2,$Q$2)/$Q$2))</f>
        <v>6728.98681640625</v>
      </c>
      <c r="H404" s="15" t="n">
        <f aca="false">G404*(1+IF(H$3&lt;=$O$2,$D404,$D404-($D404-$I$400)*MIN(H$3-$O$2,$Q$2)/$Q$2))</f>
        <v>7149.54849243164</v>
      </c>
      <c r="I404" s="15" t="n">
        <f aca="false">H404*(1+IF(I$3&lt;=$O$2,$D404,$D404-($D404-$I$400)*MIN(I$3-$O$2,$Q$2)/$Q$2))</f>
        <v>7596.39527320862</v>
      </c>
      <c r="J404" s="15" t="n">
        <f aca="false">I404*(1+IF(J$3&lt;=$O$2,$D404,$D404-($D404-$I$400)*MIN(J$3-$O$2,$Q$2)/$Q$2))</f>
        <v>8026.80702938862</v>
      </c>
      <c r="K404" s="15" t="n">
        <f aca="false">J404*(1+IF(K$3&lt;=$O$2,$D404,$D404-($D404-$I$400)*MIN(K$3-$O$2,$Q$2)/$Q$2))</f>
        <v>8434.72936262215</v>
      </c>
      <c r="L404" s="15" t="n">
        <f aca="false">K404*(1+IF(L$3&lt;=$O$2,$D404,$D404-($D404-$I$400)*MIN(L$3-$O$2,$Q$2)/$Q$2))</f>
        <v>8814.12348935289</v>
      </c>
      <c r="M404" s="15" t="n">
        <f aca="false">L404*(1+IF(M$3&lt;=$O$2,$D404,$D404-($D404-$I$400)*MIN(M$3-$O$2,$Q$2)/$Q$2))</f>
        <v>9159.10828272616</v>
      </c>
      <c r="N404" s="15" t="n">
        <f aca="false">M404*(1+IF(N$3&lt;=$O$2,$D404,$D404-($D404-$I$400)*MIN(N$3-$O$2,$Q$2)/$Q$2))</f>
        <v>9464.10658854095</v>
      </c>
      <c r="O404" s="15" t="n">
        <f aca="false">SUMPRODUCT(E404:N404,1/(1+$F$400)^$E$3:$N$3)*$E$2</f>
        <v>19591.8625913587</v>
      </c>
      <c r="P404" s="15" t="n">
        <f aca="false">N404*$E$2*(1+$I$400)/($F$400-$I$400)/(1+$F$400)^$N$3</f>
        <v>41098.6809619877</v>
      </c>
      <c r="Q404" s="15" t="n">
        <f aca="false">O404+P404</f>
        <v>60690.5435533465</v>
      </c>
      <c r="R404" s="15" t="n">
        <f aca="false">Q404-$G$2+$I$2</f>
        <v>51925.5435533465</v>
      </c>
      <c r="S404" s="40" t="n">
        <f aca="false">R404/$K$2</f>
        <v>92.8933835796387</v>
      </c>
      <c r="T404" s="41" t="n">
        <f aca="false">S404-$M$2</f>
        <v>-0.580443748709371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0.0625</v>
      </c>
      <c r="C405" s="25" t="n">
        <f aca="false">IF(T404&gt;0,D404,C404)</f>
        <v>0.25</v>
      </c>
      <c r="D405" s="39" t="n">
        <f aca="false">(B405+C405)/2</f>
        <v>0.15625</v>
      </c>
      <c r="E405" s="15" t="n">
        <f aca="false">$C$2*(1+IF(E$3&lt;=$O$2,$D405,$D405-($D405-$I$400)*MIN(E$3-$O$2,$Q$2)/$Q$2))</f>
        <v>6486.5625</v>
      </c>
      <c r="F405" s="15" t="n">
        <f aca="false">E405*(1+IF(F$3&lt;=$O$2,$D405,$D405-($D405-$I$400)*MIN(F$3-$O$2,$Q$2)/$Q$2))</f>
        <v>7500.087890625</v>
      </c>
      <c r="G405" s="15" t="n">
        <f aca="false">F405*(1+IF(G$3&lt;=$O$2,$D405,$D405-($D405-$I$400)*MIN(G$3-$O$2,$Q$2)/$Q$2))</f>
        <v>8671.97662353516</v>
      </c>
      <c r="H405" s="15" t="n">
        <f aca="false">G405*(1+IF(H$3&lt;=$O$2,$D405,$D405-($D405-$I$400)*MIN(H$3-$O$2,$Q$2)/$Q$2))</f>
        <v>10026.9729709625</v>
      </c>
      <c r="I405" s="15" t="n">
        <f aca="false">H405*(1+IF(I$3&lt;=$O$2,$D405,$D405-($D405-$I$400)*MIN(I$3-$O$2,$Q$2)/$Q$2))</f>
        <v>11593.6874976754</v>
      </c>
      <c r="J405" s="15" t="n">
        <f aca="false">I405*(1+IF(J$3&lt;=$O$2,$D405,$D405-($D405-$I$400)*MIN(J$3-$O$2,$Q$2)/$Q$2))</f>
        <v>13120.1123936194</v>
      </c>
      <c r="K405" s="15" t="n">
        <f aca="false">J405*(1+IF(K$3&lt;=$O$2,$D405,$D405-($D405-$I$400)*MIN(K$3-$O$2,$Q$2)/$Q$2))</f>
        <v>14524.8828276042</v>
      </c>
      <c r="L405" s="15" t="n">
        <f aca="false">K405*(1+IF(L$3&lt;=$O$2,$D405,$D405-($D405-$I$400)*MIN(L$3-$O$2,$Q$2)/$Q$2))</f>
        <v>15722.895163225</v>
      </c>
      <c r="M405" s="15" t="n">
        <f aca="false">L405*(1+IF(M$3&lt;=$O$2,$D405,$D405-($D405-$I$400)*MIN(M$3-$O$2,$Q$2)/$Q$2))</f>
        <v>16633.0935642241</v>
      </c>
      <c r="N405" s="15" t="n">
        <f aca="false">M405*(1+IF(N$3&lt;=$O$2,$D405,$D405-($D405-$I$400)*MIN(N$3-$O$2,$Q$2)/$Q$2))</f>
        <v>17186.9755799127</v>
      </c>
      <c r="O405" s="15" t="n">
        <f aca="false">SUMPRODUCT(E405:N405,1/(1+$F$400)^$E$3:$N$3)*$E$2</f>
        <v>29611.6457190575</v>
      </c>
      <c r="P405" s="15" t="n">
        <f aca="false">N405*$E$2*(1+$I$400)/($F$400-$I$400)/(1+$F$400)^$N$3</f>
        <v>74635.890820964</v>
      </c>
      <c r="Q405" s="15" t="n">
        <f aca="false">O405+P405</f>
        <v>104247.536540021</v>
      </c>
      <c r="R405" s="15" t="n">
        <f aca="false">Q405-$G$2+$I$2</f>
        <v>95482.5365400215</v>
      </c>
      <c r="S405" s="40" t="n">
        <f aca="false">R405/$K$2</f>
        <v>170.815658055783</v>
      </c>
      <c r="T405" s="41" t="n">
        <f aca="false">S405-$M$2</f>
        <v>77.3418307274347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0.0625</v>
      </c>
      <c r="C406" s="25" t="n">
        <f aca="false">IF(T405&gt;0,D405,C405)</f>
        <v>0.15625</v>
      </c>
      <c r="D406" s="39" t="n">
        <f aca="false">(B406+C406)/2</f>
        <v>0.109375</v>
      </c>
      <c r="E406" s="15" t="n">
        <f aca="false">$C$2*(1+IF(E$3&lt;=$O$2,$D406,$D406-($D406-$I$400)*MIN(E$3-$O$2,$Q$2)/$Q$2))</f>
        <v>6223.59375</v>
      </c>
      <c r="F406" s="15" t="n">
        <f aca="false">E406*(1+IF(F$3&lt;=$O$2,$D406,$D406-($D406-$I$400)*MIN(F$3-$O$2,$Q$2)/$Q$2))</f>
        <v>6904.29931640625</v>
      </c>
      <c r="G406" s="15" t="n">
        <f aca="false">F406*(1+IF(G$3&lt;=$O$2,$D406,$D406-($D406-$I$400)*MIN(G$3-$O$2,$Q$2)/$Q$2))</f>
        <v>7659.45705413818</v>
      </c>
      <c r="H406" s="15" t="n">
        <f aca="false">G406*(1+IF(H$3&lt;=$O$2,$D406,$D406-($D406-$I$400)*MIN(H$3-$O$2,$Q$2)/$Q$2))</f>
        <v>8497.21016943455</v>
      </c>
      <c r="I406" s="15" t="n">
        <f aca="false">H406*(1+IF(I$3&lt;=$O$2,$D406,$D406-($D406-$I$400)*MIN(I$3-$O$2,$Q$2)/$Q$2))</f>
        <v>9426.59253171645</v>
      </c>
      <c r="J406" s="15" t="n">
        <f aca="false">I406*(1+IF(J$3&lt;=$O$2,$D406,$D406-($D406-$I$400)*MIN(J$3-$O$2,$Q$2)/$Q$2))</f>
        <v>10314.2004845029</v>
      </c>
      <c r="K406" s="15" t="n">
        <f aca="false">J406*(1+IF(K$3&lt;=$O$2,$D406,$D406-($D406-$I$400)*MIN(K$3-$O$2,$Q$2)/$Q$2))</f>
        <v>11128.455041752</v>
      </c>
      <c r="L406" s="15" t="n">
        <f aca="false">K406*(1+IF(L$3&lt;=$O$2,$D406,$D406-($D406-$I$400)*MIN(L$3-$O$2,$Q$2)/$Q$2))</f>
        <v>11837.6714815628</v>
      </c>
      <c r="M406" s="15" t="n">
        <f aca="false">L406*(1+IF(M$3&lt;=$O$2,$D406,$D406-($D406-$I$400)*MIN(M$3-$O$2,$Q$2)/$Q$2))</f>
        <v>12411.9761134908</v>
      </c>
      <c r="N406" s="15" t="n">
        <f aca="false">M406*(1+IF(N$3&lt;=$O$2,$D406,$D406-($D406-$I$400)*MIN(N$3-$O$2,$Q$2)/$Q$2))</f>
        <v>12825.2949180701</v>
      </c>
      <c r="O406" s="15" t="n">
        <f aca="false">SUMPRODUCT(E406:N406,1/(1+$F$400)^$E$3:$N$3)*$E$2</f>
        <v>24093.3873442315</v>
      </c>
      <c r="P406" s="15" t="n">
        <f aca="false">N406*$E$2*(1+$I$400)/($F$400-$I$400)/(1+$F$400)^$N$3</f>
        <v>55694.9247295435</v>
      </c>
      <c r="Q406" s="15" t="n">
        <f aca="false">O406+P406</f>
        <v>79788.3120737749</v>
      </c>
      <c r="R406" s="15" t="n">
        <f aca="false">Q406-$G$2+$I$2</f>
        <v>71023.3120737749</v>
      </c>
      <c r="S406" s="40" t="n">
        <f aca="false">R406/$K$2</f>
        <v>127.058771465482</v>
      </c>
      <c r="T406" s="41" t="n">
        <f aca="false">S406-$M$2</f>
        <v>33.5849441371335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0.0625</v>
      </c>
      <c r="C407" s="25" t="n">
        <f aca="false">IF(T406&gt;0,D406,C406)</f>
        <v>0.109375</v>
      </c>
      <c r="D407" s="39" t="n">
        <f aca="false">(B407+C407)/2</f>
        <v>0.0859375</v>
      </c>
      <c r="E407" s="15" t="n">
        <f aca="false">$C$2*(1+IF(E$3&lt;=$O$2,$D407,$D407-($D407-$I$400)*MIN(E$3-$O$2,$Q$2)/$Q$2))</f>
        <v>6092.109375</v>
      </c>
      <c r="F407" s="15" t="n">
        <f aca="false">E407*(1+IF(F$3&lt;=$O$2,$D407,$D407-($D407-$I$400)*MIN(F$3-$O$2,$Q$2)/$Q$2))</f>
        <v>6615.65002441406</v>
      </c>
      <c r="G407" s="15" t="n">
        <f aca="false">F407*(1+IF(G$3&lt;=$O$2,$D407,$D407-($D407-$I$400)*MIN(G$3-$O$2,$Q$2)/$Q$2))</f>
        <v>7184.18244838715</v>
      </c>
      <c r="H407" s="15" t="n">
        <f aca="false">G407*(1+IF(H$3&lt;=$O$2,$D407,$D407-($D407-$I$400)*MIN(H$3-$O$2,$Q$2)/$Q$2))</f>
        <v>7801.57312754542</v>
      </c>
      <c r="I407" s="15" t="n">
        <f aca="false">H407*(1+IF(I$3&lt;=$O$2,$D407,$D407-($D407-$I$400)*MIN(I$3-$O$2,$Q$2)/$Q$2))</f>
        <v>8472.02081819385</v>
      </c>
      <c r="J407" s="15" t="n">
        <f aca="false">I407*(1+IF(J$3&lt;=$O$2,$D407,$D407-($D407-$I$400)*MIN(J$3-$O$2,$Q$2)/$Q$2))</f>
        <v>9110.89590809385</v>
      </c>
      <c r="K407" s="15" t="n">
        <f aca="false">J407*(1+IF(K$3&lt;=$O$2,$D407,$D407-($D407-$I$400)*MIN(K$3-$O$2,$Q$2)/$Q$2))</f>
        <v>9702.03361185075</v>
      </c>
      <c r="L407" s="15" t="n">
        <f aca="false">K407*(1+IF(L$3&lt;=$O$2,$D407,$D407-($D407-$I$400)*MIN(L$3-$O$2,$Q$2)/$Q$2))</f>
        <v>10229.3876488229</v>
      </c>
      <c r="M407" s="15" t="n">
        <f aca="false">L407*(1+IF(M$3&lt;=$O$2,$D407,$D407-($D407-$I$400)*MIN(M$3-$O$2,$Q$2)/$Q$2))</f>
        <v>10677.7161360017</v>
      </c>
      <c r="N407" s="15" t="n">
        <f aca="false">M407*(1+IF(N$3&lt;=$O$2,$D407,$D407-($D407-$I$400)*MIN(N$3-$O$2,$Q$2)/$Q$2))</f>
        <v>11033.2840833305</v>
      </c>
      <c r="O407" s="15" t="n">
        <f aca="false">SUMPRODUCT(E407:N407,1/(1+$F$400)^$E$3:$N$3)*$E$2</f>
        <v>21727.189745752</v>
      </c>
      <c r="P407" s="15" t="n">
        <f aca="false">N407*$E$2*(1+$I$400)/($F$400-$I$400)/(1+$F$400)^$N$3</f>
        <v>47912.9665607123</v>
      </c>
      <c r="Q407" s="15" t="n">
        <f aca="false">O407+P407</f>
        <v>69640.1563064643</v>
      </c>
      <c r="R407" s="15" t="n">
        <f aca="false">Q407-$G$2+$I$2</f>
        <v>60875.1563064643</v>
      </c>
      <c r="S407" s="40" t="n">
        <f aca="false">R407/$K$2</f>
        <v>108.903997113429</v>
      </c>
      <c r="T407" s="41" t="n">
        <f aca="false">S407-$M$2</f>
        <v>15.4301697850804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0.0625</v>
      </c>
      <c r="C408" s="25" t="n">
        <f aca="false">IF(T407&gt;0,D407,C407)</f>
        <v>0.0859375</v>
      </c>
      <c r="D408" s="39" t="n">
        <f aca="false">(B408+C408)/2</f>
        <v>0.07421875</v>
      </c>
      <c r="E408" s="15" t="n">
        <f aca="false">$C$2*(1+IF(E$3&lt;=$O$2,$D408,$D408-($D408-$I$400)*MIN(E$3-$O$2,$Q$2)/$Q$2))</f>
        <v>6026.3671875</v>
      </c>
      <c r="F408" s="15" t="n">
        <f aca="false">E408*(1+IF(F$3&lt;=$O$2,$D408,$D408-($D408-$I$400)*MIN(F$3-$O$2,$Q$2)/$Q$2))</f>
        <v>6473.63662719727</v>
      </c>
      <c r="G408" s="15" t="n">
        <f aca="false">F408*(1+IF(G$3&lt;=$O$2,$D408,$D408-($D408-$I$400)*MIN(G$3-$O$2,$Q$2)/$Q$2))</f>
        <v>6954.10184562206</v>
      </c>
      <c r="H408" s="15" t="n">
        <f aca="false">G408*(1+IF(H$3&lt;=$O$2,$D408,$D408-($D408-$I$400)*MIN(H$3-$O$2,$Q$2)/$Q$2))</f>
        <v>7470.22659197683</v>
      </c>
      <c r="I408" s="15" t="n">
        <f aca="false">H408*(1+IF(I$3&lt;=$O$2,$D408,$D408-($D408-$I$400)*MIN(I$3-$O$2,$Q$2)/$Q$2))</f>
        <v>8024.65747185011</v>
      </c>
      <c r="J408" s="15" t="n">
        <f aca="false">I408*(1+IF(J$3&lt;=$O$2,$D408,$D408-($D408-$I$400)*MIN(J$3-$O$2,$Q$2)/$Q$2))</f>
        <v>8554.56572800373</v>
      </c>
      <c r="K408" s="15" t="n">
        <f aca="false">J408*(1+IF(K$3&lt;=$O$2,$D408,$D408-($D408-$I$400)*MIN(K$3-$O$2,$Q$2)/$Q$2))</f>
        <v>9049.4580485759</v>
      </c>
      <c r="L408" s="15" t="n">
        <f aca="false">K408*(1+IF(L$3&lt;=$O$2,$D408,$D408-($D408-$I$400)*MIN(L$3-$O$2,$Q$2)/$Q$2))</f>
        <v>9498.92200620355</v>
      </c>
      <c r="M408" s="15" t="n">
        <f aca="false">L408*(1+IF(M$3&lt;=$O$2,$D408,$D408-($D408-$I$400)*MIN(M$3-$O$2,$Q$2)/$Q$2))</f>
        <v>9892.97291197839</v>
      </c>
      <c r="N408" s="15" t="n">
        <f aca="false">M408*(1+IF(N$3&lt;=$O$2,$D408,$D408-($D408-$I$400)*MIN(N$3-$O$2,$Q$2)/$Q$2))</f>
        <v>10222.4089099473</v>
      </c>
      <c r="O408" s="15" t="n">
        <f aca="false">SUMPRODUCT(E408:N408,1/(1+$F$400)^$E$3:$N$3)*$E$2</f>
        <v>20632.022578187</v>
      </c>
      <c r="P408" s="15" t="n">
        <f aca="false">N408*$E$2*(1+$I$400)/($F$400-$I$400)/(1+$F$400)^$N$3</f>
        <v>44391.6727397798</v>
      </c>
      <c r="Q408" s="15" t="n">
        <f aca="false">O408+P408</f>
        <v>65023.6953179669</v>
      </c>
      <c r="R408" s="15" t="n">
        <f aca="false">Q408-$G$2+$I$2</f>
        <v>56258.6953179669</v>
      </c>
      <c r="S408" s="40" t="n">
        <f aca="false">R408/$K$2</f>
        <v>100.645274102771</v>
      </c>
      <c r="T408" s="41" t="n">
        <f aca="false">S408-$M$2</f>
        <v>7.17144677442279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0.0625</v>
      </c>
      <c r="C409" s="25" t="n">
        <f aca="false">IF(T408&gt;0,D408,C408)</f>
        <v>0.07421875</v>
      </c>
      <c r="D409" s="39" t="n">
        <f aca="false">(B409+C409)/2</f>
        <v>0.068359375</v>
      </c>
      <c r="E409" s="15" t="n">
        <f aca="false">$C$2*(1+IF(E$3&lt;=$O$2,$D409,$D409-($D409-$I$400)*MIN(E$3-$O$2,$Q$2)/$Q$2))</f>
        <v>5993.49609375</v>
      </c>
      <c r="F409" s="15" t="n">
        <f aca="false">E409*(1+IF(F$3&lt;=$O$2,$D409,$D409-($D409-$I$400)*MIN(F$3-$O$2,$Q$2)/$Q$2))</f>
        <v>6403.20774078369</v>
      </c>
      <c r="G409" s="15" t="n">
        <f aca="false">F409*(1+IF(G$3&lt;=$O$2,$D409,$D409-($D409-$I$400)*MIN(G$3-$O$2,$Q$2)/$Q$2))</f>
        <v>6840.92701993883</v>
      </c>
      <c r="H409" s="15" t="n">
        <f aca="false">G409*(1+IF(H$3&lt;=$O$2,$D409,$D409-($D409-$I$400)*MIN(H$3-$O$2,$Q$2)/$Q$2))</f>
        <v>7308.56851544246</v>
      </c>
      <c r="I409" s="15" t="n">
        <f aca="false">H409*(1+IF(I$3&lt;=$O$2,$D409,$D409-($D409-$I$400)*MIN(I$3-$O$2,$Q$2)/$Q$2))</f>
        <v>7808.17769130278</v>
      </c>
      <c r="J409" s="15" t="n">
        <f aca="false">I409*(1+IF(J$3&lt;=$O$2,$D409,$D409-($D409-$I$400)*MIN(J$3-$O$2,$Q$2)/$Q$2))</f>
        <v>8287.18987221998</v>
      </c>
      <c r="K409" s="15" t="n">
        <f aca="false">J409*(1+IF(K$3&lt;=$O$2,$D409,$D409-($D409-$I$400)*MIN(K$3-$O$2,$Q$2)/$Q$2))</f>
        <v>8737.47951342072</v>
      </c>
      <c r="L409" s="15" t="n">
        <f aca="false">K409*(1+IF(L$3&lt;=$O$2,$D409,$D409-($D409-$I$400)*MIN(L$3-$O$2,$Q$2)/$Q$2))</f>
        <v>9150.96980954397</v>
      </c>
      <c r="M409" s="15" t="n">
        <f aca="false">L409*(1+IF(M$3&lt;=$O$2,$D409,$D409-($D409-$I$400)*MIN(M$3-$O$2,$Q$2)/$Q$2))</f>
        <v>9519.86256063508</v>
      </c>
      <c r="N409" s="15" t="n">
        <f aca="false">M409*(1+IF(N$3&lt;=$O$2,$D409,$D409-($D409-$I$400)*MIN(N$3-$O$2,$Q$2)/$Q$2))</f>
        <v>9836.87398390423</v>
      </c>
      <c r="O409" s="15" t="n">
        <f aca="false">SUMPRODUCT(E409:N409,1/(1+$F$400)^$E$3:$N$3)*$E$2</f>
        <v>20105.2300408521</v>
      </c>
      <c r="P409" s="15" t="n">
        <f aca="false">N409*$E$2*(1+$I$400)/($F$400-$I$400)/(1+$F$400)^$N$3</f>
        <v>42717.4548115571</v>
      </c>
      <c r="Q409" s="15" t="n">
        <f aca="false">O409+P409</f>
        <v>62822.6848524091</v>
      </c>
      <c r="R409" s="15" t="n">
        <f aca="false">Q409-$G$2+$I$2</f>
        <v>54057.6848524091</v>
      </c>
      <c r="S409" s="40" t="n">
        <f aca="false">R409/$K$2</f>
        <v>96.7077263093655</v>
      </c>
      <c r="T409" s="41" t="n">
        <f aca="false">S409-$M$2</f>
        <v>3.2338989810174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0.0625</v>
      </c>
      <c r="C410" s="25" t="n">
        <f aca="false">IF(T409&gt;0,D409,C409)</f>
        <v>0.068359375</v>
      </c>
      <c r="D410" s="39" t="n">
        <f aca="false">(B410+C410)/2</f>
        <v>0.0654296875</v>
      </c>
      <c r="E410" s="15" t="n">
        <f aca="false">$C$2*(1+IF(E$3&lt;=$O$2,$D410,$D410-($D410-$I$400)*MIN(E$3-$O$2,$Q$2)/$Q$2))</f>
        <v>5977.060546875</v>
      </c>
      <c r="F410" s="15" t="n">
        <f aca="false">E410*(1+IF(F$3&lt;=$O$2,$D410,$D410-($D410-$I$400)*MIN(F$3-$O$2,$Q$2)/$Q$2))</f>
        <v>6368.13775062561</v>
      </c>
      <c r="G410" s="15" t="n">
        <f aca="false">F410*(1+IF(G$3&lt;=$O$2,$D410,$D410-($D410-$I$400)*MIN(G$3-$O$2,$Q$2)/$Q$2))</f>
        <v>6784.803013606</v>
      </c>
      <c r="H410" s="15" t="n">
        <f aca="false">G410*(1+IF(H$3&lt;=$O$2,$D410,$D410-($D410-$I$400)*MIN(H$3-$O$2,$Q$2)/$Q$2))</f>
        <v>7228.7305545353</v>
      </c>
      <c r="I410" s="15" t="n">
        <f aca="false">H410*(1+IF(I$3&lt;=$O$2,$D410,$D410-($D410-$I$400)*MIN(I$3-$O$2,$Q$2)/$Q$2))</f>
        <v>7701.70413574024</v>
      </c>
      <c r="J410" s="15" t="n">
        <f aca="false">I410*(1+IF(J$3&lt;=$O$2,$D410,$D410-($D410-$I$400)*MIN(J$3-$O$2,$Q$2)/$Q$2))</f>
        <v>8156.13356113943</v>
      </c>
      <c r="K410" s="15" t="n">
        <f aca="false">J410*(1+IF(K$3&lt;=$O$2,$D410,$D410-($D410-$I$400)*MIN(K$3-$O$2,$Q$2)/$Q$2))</f>
        <v>8584.96522224197</v>
      </c>
      <c r="L410" s="15" t="n">
        <f aca="false">K410*(1+IF(L$3&lt;=$O$2,$D410,$D410-($D410-$I$400)*MIN(L$3-$O$2,$Q$2)/$Q$2))</f>
        <v>8981.17746405823</v>
      </c>
      <c r="M410" s="15" t="n">
        <f aca="false">L410*(1+IF(M$3&lt;=$O$2,$D410,$D410-($D410-$I$400)*MIN(M$3-$O$2,$Q$2)/$Q$2))</f>
        <v>9337.96315867182</v>
      </c>
      <c r="N410" s="15" t="n">
        <f aca="false">M410*(1+IF(N$3&lt;=$O$2,$D410,$D410-($D410-$I$400)*MIN(N$3-$O$2,$Q$2)/$Q$2))</f>
        <v>9648.91733185559</v>
      </c>
      <c r="O410" s="15" t="n">
        <f aca="false">SUMPRODUCT(E410:N410,1/(1+$F$400)^$E$3:$N$3)*$E$2</f>
        <v>19846.8882308954</v>
      </c>
      <c r="P410" s="15" t="n">
        <f aca="false">N410*$E$2*(1+$I$400)/($F$400-$I$400)/(1+$F$400)^$N$3</f>
        <v>41901.2371997876</v>
      </c>
      <c r="Q410" s="15" t="n">
        <f aca="false">O410+P410</f>
        <v>61748.125430683</v>
      </c>
      <c r="R410" s="15" t="n">
        <f aca="false">Q410-$G$2+$I$2</f>
        <v>52983.125430683</v>
      </c>
      <c r="S410" s="40" t="n">
        <f aca="false">R410/$K$2</f>
        <v>94.7853687621794</v>
      </c>
      <c r="T410" s="41" t="n">
        <f aca="false">S410-$M$2</f>
        <v>1.31154143383128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0.0625</v>
      </c>
      <c r="C411" s="25" t="n">
        <f aca="false">IF(T410&gt;0,D410,C410)</f>
        <v>0.0654296875</v>
      </c>
      <c r="D411" s="39" t="n">
        <f aca="false">(B411+C411)/2</f>
        <v>0.06396484375</v>
      </c>
      <c r="E411" s="15" t="n">
        <f aca="false">$C$2*(1+IF(E$3&lt;=$O$2,$D411,$D411-($D411-$I$400)*MIN(E$3-$O$2,$Q$2)/$Q$2))</f>
        <v>5968.8427734375</v>
      </c>
      <c r="F411" s="15" t="n">
        <f aca="false">E411*(1+IF(F$3&lt;=$O$2,$D411,$D411-($D411-$I$400)*MIN(F$3-$O$2,$Q$2)/$Q$2))</f>
        <v>6350.63886880875</v>
      </c>
      <c r="G411" s="15" t="n">
        <f aca="false">F411*(1+IF(G$3&lt;=$O$2,$D411,$D411-($D411-$I$400)*MIN(G$3-$O$2,$Q$2)/$Q$2))</f>
        <v>6756.85649176478</v>
      </c>
      <c r="H411" s="15" t="n">
        <f aca="false">G411*(1+IF(H$3&lt;=$O$2,$D411,$D411-($D411-$I$400)*MIN(H$3-$O$2,$Q$2)/$Q$2))</f>
        <v>7189.05776150168</v>
      </c>
      <c r="I411" s="15" t="n">
        <f aca="false">H411*(1+IF(I$3&lt;=$O$2,$D411,$D411-($D411-$I$400)*MIN(I$3-$O$2,$Q$2)/$Q$2))</f>
        <v>7648.90471792586</v>
      </c>
      <c r="J411" s="15" t="n">
        <f aca="false">I411*(1+IF(J$3&lt;=$O$2,$D411,$D411-($D411-$I$400)*MIN(J$3-$O$2,$Q$2)/$Q$2))</f>
        <v>8091.25521945986</v>
      </c>
      <c r="K411" s="15" t="n">
        <f aca="false">J411*(1+IF(K$3&lt;=$O$2,$D411,$D411-($D411-$I$400)*MIN(K$3-$O$2,$Q$2)/$Q$2))</f>
        <v>8509.56426449554</v>
      </c>
      <c r="L411" s="15" t="n">
        <f aca="false">K411*(1+IF(L$3&lt;=$O$2,$D411,$D411-($D411-$I$400)*MIN(L$3-$O$2,$Q$2)/$Q$2))</f>
        <v>8897.31053792378</v>
      </c>
      <c r="M411" s="15" t="n">
        <f aca="false">L411*(1+IF(M$3&lt;=$O$2,$D411,$D411-($D411-$I$400)*MIN(M$3-$O$2,$Q$2)/$Q$2))</f>
        <v>9248.15790632477</v>
      </c>
      <c r="N411" s="15" t="n">
        <f aca="false">M411*(1+IF(N$3&lt;=$O$2,$D411,$D411-($D411-$I$400)*MIN(N$3-$O$2,$Q$2)/$Q$2))</f>
        <v>9556.12156460538</v>
      </c>
      <c r="O411" s="15" t="n">
        <f aca="false">SUMPRODUCT(E411:N411,1/(1+$F$400)^$E$3:$N$3)*$E$2</f>
        <v>19718.9633734375</v>
      </c>
      <c r="P411" s="15" t="n">
        <f aca="false">N411*$E$2*(1+$I$400)/($F$400-$I$400)/(1+$F$400)^$N$3</f>
        <v>41498.2637551038</v>
      </c>
      <c r="Q411" s="15" t="n">
        <f aca="false">O411+P411</f>
        <v>61217.2271285413</v>
      </c>
      <c r="R411" s="15" t="n">
        <f aca="false">Q411-$G$2+$I$2</f>
        <v>52452.2271285413</v>
      </c>
      <c r="S411" s="40" t="n">
        <f aca="false">R411/$K$2</f>
        <v>93.8356061550348</v>
      </c>
      <c r="T411" s="41" t="n">
        <f aca="false">S411-$M$2</f>
        <v>0.361778826686674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0.0625</v>
      </c>
      <c r="C412" s="25" t="n">
        <f aca="false">IF(T411&gt;0,D411,C411)</f>
        <v>0.06396484375</v>
      </c>
      <c r="D412" s="39" t="n">
        <f aca="false">(B412+C412)/2</f>
        <v>0.063232421875</v>
      </c>
      <c r="E412" s="15" t="n">
        <f aca="false">$C$2*(1+IF(E$3&lt;=$O$2,$D412,$D412-($D412-$I$400)*MIN(E$3-$O$2,$Q$2)/$Q$2))</f>
        <v>5964.73388671875</v>
      </c>
      <c r="F412" s="15" t="n">
        <f aca="false">E412*(1+IF(F$3&lt;=$O$2,$D412,$D412-($D412-$I$400)*MIN(F$3-$O$2,$Q$2)/$Q$2))</f>
        <v>6341.89845621586</v>
      </c>
      <c r="G412" s="15" t="n">
        <f aca="false">F412*(1+IF(G$3&lt;=$O$2,$D412,$D412-($D412-$I$400)*MIN(G$3-$O$2,$Q$2)/$Q$2))</f>
        <v>6742.91205488771</v>
      </c>
      <c r="H412" s="15" t="n">
        <f aca="false">G412*(1+IF(H$3&lt;=$O$2,$D412,$D412-($D412-$I$400)*MIN(H$3-$O$2,$Q$2)/$Q$2))</f>
        <v>7169.28271460839</v>
      </c>
      <c r="I412" s="15" t="n">
        <f aca="false">H412*(1+IF(I$3&lt;=$O$2,$D412,$D412-($D412-$I$400)*MIN(I$3-$O$2,$Q$2)/$Q$2))</f>
        <v>7622.61382375966</v>
      </c>
      <c r="J412" s="15" t="n">
        <f aca="false">I412*(1+IF(J$3&lt;=$O$2,$D412,$D412-($D412-$I$400)*MIN(J$3-$O$2,$Q$2)/$Q$2))</f>
        <v>8058.97749830124</v>
      </c>
      <c r="K412" s="15" t="n">
        <f aca="false">J412*(1+IF(K$3&lt;=$O$2,$D412,$D412-($D412-$I$400)*MIN(K$3-$O$2,$Q$2)/$Q$2))</f>
        <v>8472.07627761084</v>
      </c>
      <c r="L412" s="15" t="n">
        <f aca="false">K412*(1+IF(L$3&lt;=$O$2,$D412,$D412-($D412-$I$400)*MIN(L$3-$O$2,$Q$2)/$Q$2))</f>
        <v>8855.63232217473</v>
      </c>
      <c r="M412" s="15" t="n">
        <f aca="false">L412*(1+IF(M$3&lt;=$O$2,$D412,$D412-($D412-$I$400)*MIN(M$3-$O$2,$Q$2)/$Q$2))</f>
        <v>9203.53898303059</v>
      </c>
      <c r="N412" s="15" t="n">
        <f aca="false">M412*(1+IF(N$3&lt;=$O$2,$D412,$D412-($D412-$I$400)*MIN(N$3-$O$2,$Q$2)/$Q$2))</f>
        <v>9510.01683116551</v>
      </c>
      <c r="O412" s="15" t="n">
        <f aca="false">SUMPRODUCT(E412:N412,1/(1+$F$400)^$E$3:$N$3)*$E$2</f>
        <v>19655.3102820156</v>
      </c>
      <c r="P412" s="15" t="n">
        <f aca="false">N412*$E$2*(1+$I$400)/($F$400-$I$400)/(1+$F$400)^$N$3</f>
        <v>41298.0500621624</v>
      </c>
      <c r="Q412" s="15" t="n">
        <f aca="false">O412+P412</f>
        <v>60953.3603441781</v>
      </c>
      <c r="R412" s="15" t="n">
        <f aca="false">Q412-$G$2+$I$2</f>
        <v>52188.3603441781</v>
      </c>
      <c r="S412" s="40" t="n">
        <f aca="false">R412/$K$2</f>
        <v>93.3635556624174</v>
      </c>
      <c r="T412" s="41" t="n">
        <f aca="false">S412-$M$2</f>
        <v>-0.110271665930725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0.063232421875</v>
      </c>
      <c r="C413" s="25" t="n">
        <f aca="false">IF(T412&gt;0,D412,C412)</f>
        <v>0.06396484375</v>
      </c>
      <c r="D413" s="39" t="n">
        <f aca="false">(B413+C413)/2</f>
        <v>0.0635986328125</v>
      </c>
      <c r="E413" s="15" t="n">
        <f aca="false">$C$2*(1+IF(E$3&lt;=$O$2,$D413,$D413-($D413-$I$400)*MIN(E$3-$O$2,$Q$2)/$Q$2))</f>
        <v>5966.78833007813</v>
      </c>
      <c r="F413" s="15" t="n">
        <f aca="false">E413*(1+IF(F$3&lt;=$O$2,$D413,$D413-($D413-$I$400)*MIN(F$3-$O$2,$Q$2)/$Q$2))</f>
        <v>6346.26791015267</v>
      </c>
      <c r="G413" s="15" t="n">
        <f aca="false">F413*(1+IF(G$3&lt;=$O$2,$D413,$D413-($D413-$I$400)*MIN(G$3-$O$2,$Q$2)/$Q$2))</f>
        <v>6749.88187270023</v>
      </c>
      <c r="H413" s="15" t="n">
        <f aca="false">G413*(1+IF(H$3&lt;=$O$2,$D413,$D413-($D413-$I$400)*MIN(H$3-$O$2,$Q$2)/$Q$2))</f>
        <v>7179.16513144984</v>
      </c>
      <c r="I413" s="15" t="n">
        <f aca="false">H413*(1+IF(I$3&lt;=$O$2,$D413,$D413-($D413-$I$400)*MIN(I$3-$O$2,$Q$2)/$Q$2))</f>
        <v>7635.75021854522</v>
      </c>
      <c r="J413" s="15" t="n">
        <f aca="false">I413*(1+IF(J$3&lt;=$O$2,$D413,$D413-($D413-$I$400)*MIN(J$3-$O$2,$Q$2)/$Q$2))</f>
        <v>8075.10293451851</v>
      </c>
      <c r="K413" s="15" t="n">
        <f aca="false">J413*(1+IF(K$3&lt;=$O$2,$D413,$D413-($D413-$I$400)*MIN(K$3-$O$2,$Q$2)/$Q$2))</f>
        <v>8490.80260947965</v>
      </c>
      <c r="L413" s="15" t="n">
        <f aca="false">K413*(1+IF(L$3&lt;=$O$2,$D413,$D413-($D413-$I$400)*MIN(L$3-$O$2,$Q$2)/$Q$2))</f>
        <v>8876.45022059454</v>
      </c>
      <c r="M413" s="15" t="n">
        <f aca="false">L413*(1+IF(M$3&lt;=$O$2,$D413,$D413-($D413-$I$400)*MIN(M$3-$O$2,$Q$2)/$Q$2))</f>
        <v>9225.82487412278</v>
      </c>
      <c r="N413" s="15" t="n">
        <f aca="false">M413*(1+IF(N$3&lt;=$O$2,$D413,$D413-($D413-$I$400)*MIN(N$3-$O$2,$Q$2)/$Q$2))</f>
        <v>9533.04484243107</v>
      </c>
      <c r="O413" s="15" t="n">
        <f aca="false">SUMPRODUCT(E413:N413,1/(1+$F$400)^$E$3:$N$3)*$E$2</f>
        <v>19687.1111140638</v>
      </c>
      <c r="P413" s="15" t="n">
        <f aca="false">N413*$E$2*(1+$I$400)/($F$400-$I$400)/(1+$F$400)^$N$3</f>
        <v>41398.0511430186</v>
      </c>
      <c r="Q413" s="15" t="n">
        <f aca="false">O413+P413</f>
        <v>61085.1622570824</v>
      </c>
      <c r="R413" s="15" t="n">
        <f aca="false">Q413-$G$2+$I$2</f>
        <v>52320.1622570824</v>
      </c>
      <c r="S413" s="40" t="n">
        <f aca="false">R413/$K$2</f>
        <v>93.5993456958789</v>
      </c>
      <c r="T413" s="41" t="n">
        <f aca="false">S413-$M$2</f>
        <v>0.125518367530859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0.063232421875</v>
      </c>
      <c r="C414" s="25" t="n">
        <f aca="false">IF(T413&gt;0,D413,C413)</f>
        <v>0.0635986328125</v>
      </c>
      <c r="D414" s="39" t="n">
        <f aca="false">(B414+C414)/2</f>
        <v>0.06341552734375</v>
      </c>
      <c r="E414" s="15" t="n">
        <f aca="false">$C$2*(1+IF(E$3&lt;=$O$2,$D414,$D414-($D414-$I$400)*MIN(E$3-$O$2,$Q$2)/$Q$2))</f>
        <v>5965.76110839844</v>
      </c>
      <c r="F414" s="15" t="n">
        <f aca="false">E414*(1+IF(F$3&lt;=$O$2,$D414,$D414-($D414-$I$400)*MIN(F$3-$O$2,$Q$2)/$Q$2))</f>
        <v>6344.08299509436</v>
      </c>
      <c r="G414" s="15" t="n">
        <f aca="false">F414*(1+IF(G$3&lt;=$O$2,$D414,$D414-($D414-$I$400)*MIN(G$3-$O$2,$Q$2)/$Q$2))</f>
        <v>6746.39636374079</v>
      </c>
      <c r="H414" s="15" t="n">
        <f aca="false">G414*(1+IF(H$3&lt;=$O$2,$D414,$D414-($D414-$I$400)*MIN(H$3-$O$2,$Q$2)/$Q$2))</f>
        <v>7174.22264681736</v>
      </c>
      <c r="I414" s="15" t="n">
        <f aca="false">H414*(1+IF(I$3&lt;=$O$2,$D414,$D414-($D414-$I$400)*MIN(I$3-$O$2,$Q$2)/$Q$2))</f>
        <v>7629.17975924676</v>
      </c>
      <c r="J414" s="15" t="n">
        <f aca="false">I414*(1+IF(J$3&lt;=$O$2,$D414,$D414-($D414-$I$400)*MIN(J$3-$O$2,$Q$2)/$Q$2))</f>
        <v>8067.03686254966</v>
      </c>
      <c r="K414" s="15" t="n">
        <f aca="false">J414*(1+IF(K$3&lt;=$O$2,$D414,$D414-($D414-$I$400)*MIN(K$3-$O$2,$Q$2)/$Q$2))</f>
        <v>8481.43503160286</v>
      </c>
      <c r="L414" s="15" t="n">
        <f aca="false">K414*(1+IF(L$3&lt;=$O$2,$D414,$D414-($D414-$I$400)*MIN(L$3-$O$2,$Q$2)/$Q$2))</f>
        <v>8866.03597359862</v>
      </c>
      <c r="M414" s="15" t="n">
        <f aca="false">L414*(1+IF(M$3&lt;=$O$2,$D414,$D414-($D414-$I$400)*MIN(M$3-$O$2,$Q$2)/$Q$2))</f>
        <v>9214.67604127817</v>
      </c>
      <c r="N414" s="15" t="n">
        <f aca="false">M414*(1+IF(N$3&lt;=$O$2,$D414,$D414-($D414-$I$400)*MIN(N$3-$O$2,$Q$2)/$Q$2))</f>
        <v>9521.52475345274</v>
      </c>
      <c r="O414" s="15" t="n">
        <f aca="false">SUMPRODUCT(E414:N414,1/(1+$F$400)^$E$3:$N$3)*$E$2</f>
        <v>19671.2042744489</v>
      </c>
      <c r="P414" s="15" t="n">
        <f aca="false">N414*$E$2*(1+$I$400)/($F$400-$I$400)/(1+$F$400)^$N$3</f>
        <v>41348.0241851494</v>
      </c>
      <c r="Q414" s="15" t="n">
        <f aca="false">O414+P414</f>
        <v>61019.2284595983</v>
      </c>
      <c r="R414" s="15" t="n">
        <f aca="false">Q414-$G$2+$I$2</f>
        <v>52254.2284595983</v>
      </c>
      <c r="S414" s="40" t="n">
        <f aca="false">R414/$K$2</f>
        <v>93.4813919274362</v>
      </c>
      <c r="T414" s="41" t="n">
        <f aca="false">S414-$M$2</f>
        <v>0.00756459908808438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0.063232421875</v>
      </c>
      <c r="C415" s="25" t="n">
        <f aca="false">IF(T414&gt;0,D414,C414)</f>
        <v>0.06341552734375</v>
      </c>
      <c r="D415" s="39" t="n">
        <f aca="false">(B415+C415)/2</f>
        <v>0.063323974609375</v>
      </c>
      <c r="E415" s="15" t="n">
        <f aca="false">$C$2*(1+IF(E$3&lt;=$O$2,$D415,$D415-($D415-$I$400)*MIN(E$3-$O$2,$Q$2)/$Q$2))</f>
        <v>5965.24749755859</v>
      </c>
      <c r="F415" s="15" t="n">
        <f aca="false">E415*(1+IF(F$3&lt;=$O$2,$D415,$D415-($D415-$I$400)*MIN(F$3-$O$2,$Q$2)/$Q$2))</f>
        <v>6342.99067863263</v>
      </c>
      <c r="G415" s="15" t="n">
        <f aca="false">F415*(1+IF(G$3&lt;=$O$2,$D415,$D415-($D415-$I$400)*MIN(G$3-$O$2,$Q$2)/$Q$2))</f>
        <v>6744.65405931387</v>
      </c>
      <c r="H415" s="15" t="n">
        <f aca="false">G415*(1+IF(H$3&lt;=$O$2,$D415,$D415-($D415-$I$400)*MIN(H$3-$O$2,$Q$2)/$Q$2))</f>
        <v>7171.75236171488</v>
      </c>
      <c r="I415" s="15" t="n">
        <f aca="false">H415*(1+IF(I$3&lt;=$O$2,$D415,$D415-($D415-$I$400)*MIN(I$3-$O$2,$Q$2)/$Q$2))</f>
        <v>7625.89622617284</v>
      </c>
      <c r="J415" s="15" t="n">
        <f aca="false">I415*(1+IF(J$3&lt;=$O$2,$D415,$D415-($D415-$I$400)*MIN(J$3-$O$2,$Q$2)/$Q$2))</f>
        <v>8063.00634223907</v>
      </c>
      <c r="K415" s="15" t="n">
        <f aca="false">J415*(1+IF(K$3&lt;=$O$2,$D415,$D415-($D415-$I$400)*MIN(K$3-$O$2,$Q$2)/$Q$2))</f>
        <v>8476.7545520524</v>
      </c>
      <c r="L415" s="15" t="n">
        <f aca="false">K415*(1+IF(L$3&lt;=$O$2,$D415,$D415-($D415-$I$400)*MIN(L$3-$O$2,$Q$2)/$Q$2))</f>
        <v>8860.83282401203</v>
      </c>
      <c r="M415" s="15" t="n">
        <f aca="false">L415*(1+IF(M$3&lt;=$O$2,$D415,$D415-($D415-$I$400)*MIN(M$3-$O$2,$Q$2)/$Q$2))</f>
        <v>9209.10604099684</v>
      </c>
      <c r="N415" s="15" t="n">
        <f aca="false">M415*(1+IF(N$3&lt;=$O$2,$D415,$D415-($D415-$I$400)*MIN(N$3-$O$2,$Q$2)/$Q$2))</f>
        <v>9515.76927216204</v>
      </c>
      <c r="O415" s="15" t="n">
        <f aca="false">SUMPRODUCT(E415:N415,1/(1+$F$400)^$E$3:$N$3)*$E$2</f>
        <v>19663.2556729373</v>
      </c>
      <c r="P415" s="15" t="n">
        <f aca="false">N415*$E$2*(1+$I$400)/($F$400-$I$400)/(1+$F$400)^$N$3</f>
        <v>41323.030522289</v>
      </c>
      <c r="Q415" s="15" t="n">
        <f aca="false">O415+P415</f>
        <v>60986.2861952263</v>
      </c>
      <c r="R415" s="15" t="n">
        <f aca="false">Q415-$G$2+$I$2</f>
        <v>52221.2861952263</v>
      </c>
      <c r="S415" s="40" t="n">
        <f aca="false">R415/$K$2</f>
        <v>93.4224591134321</v>
      </c>
      <c r="T415" s="41" t="n">
        <f aca="false">S415-$M$2</f>
        <v>-0.051368214915982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0.063323974609375</v>
      </c>
      <c r="C416" s="25" t="n">
        <f aca="false">IF(T415&gt;0,D415,C415)</f>
        <v>0.06341552734375</v>
      </c>
      <c r="D416" s="39" t="n">
        <f aca="false">(B416+C416)/2</f>
        <v>0.0633697509765625</v>
      </c>
      <c r="E416" s="15" t="n">
        <f aca="false">$C$2*(1+IF(E$3&lt;=$O$2,$D416,$D416-($D416-$I$400)*MIN(E$3-$O$2,$Q$2)/$Q$2))</f>
        <v>5965.50430297852</v>
      </c>
      <c r="F416" s="15" t="n">
        <f aca="false">E416*(1+IF(F$3&lt;=$O$2,$D416,$D416-($D416-$I$400)*MIN(F$3-$O$2,$Q$2)/$Q$2))</f>
        <v>6343.53682510788</v>
      </c>
      <c r="G416" s="15" t="n">
        <f aca="false">F416*(1+IF(G$3&lt;=$O$2,$D416,$D416-($D416-$I$400)*MIN(G$3-$O$2,$Q$2)/$Q$2))</f>
        <v>6745.52517402562</v>
      </c>
      <c r="H416" s="15" t="n">
        <f aca="false">G416*(1+IF(H$3&lt;=$O$2,$D416,$D416-($D416-$I$400)*MIN(H$3-$O$2,$Q$2)/$Q$2))</f>
        <v>7172.98742450975</v>
      </c>
      <c r="I416" s="15" t="n">
        <f aca="false">H416*(1+IF(I$3&lt;=$O$2,$D416,$D416-($D416-$I$400)*MIN(I$3-$O$2,$Q$2)/$Q$2))</f>
        <v>7627.53785135895</v>
      </c>
      <c r="J416" s="15" t="n">
        <f aca="false">I416*(1+IF(J$3&lt;=$O$2,$D416,$D416-($D416-$I$400)*MIN(J$3-$O$2,$Q$2)/$Q$2))</f>
        <v>8065.02139281294</v>
      </c>
      <c r="K416" s="15" t="n">
        <f aca="false">J416*(1+IF(K$3&lt;=$O$2,$D416,$D416-($D416-$I$400)*MIN(K$3-$O$2,$Q$2)/$Q$2))</f>
        <v>8479.09451613513</v>
      </c>
      <c r="L416" s="15" t="n">
        <f aca="false">K416*(1+IF(L$3&lt;=$O$2,$D416,$D416-($D416-$I$400)*MIN(L$3-$O$2,$Q$2)/$Q$2))</f>
        <v>8863.4340677652</v>
      </c>
      <c r="M416" s="15" t="n">
        <f aca="false">L416*(1+IF(M$3&lt;=$O$2,$D416,$D416-($D416-$I$400)*MIN(M$3-$O$2,$Q$2)/$Q$2))</f>
        <v>9211.89067326476</v>
      </c>
      <c r="N416" s="15" t="n">
        <f aca="false">M416*(1+IF(N$3&lt;=$O$2,$D416,$D416-($D416-$I$400)*MIN(N$3-$O$2,$Q$2)/$Q$2))</f>
        <v>9518.64663268447</v>
      </c>
      <c r="O416" s="15" t="n">
        <f aca="false">SUMPRODUCT(E416:N416,1/(1+$F$400)^$E$3:$N$3)*$E$2</f>
        <v>19667.229572294</v>
      </c>
      <c r="P416" s="15" t="n">
        <f aca="false">N416*$E$2*(1+$I$400)/($F$400-$I$400)/(1+$F$400)^$N$3</f>
        <v>41335.5257030034</v>
      </c>
      <c r="Q416" s="15" t="n">
        <f aca="false">O416+P416</f>
        <v>61002.7552752974</v>
      </c>
      <c r="R416" s="15" t="n">
        <f aca="false">Q416-$G$2+$I$2</f>
        <v>52237.7552752974</v>
      </c>
      <c r="S416" s="40" t="n">
        <f aca="false">R416/$K$2</f>
        <v>93.4519218492565</v>
      </c>
      <c r="T416" s="41" t="n">
        <f aca="false">S416-$M$2</f>
        <v>-0.021905479091572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0.0633697509765625</v>
      </c>
      <c r="C417" s="25" t="n">
        <f aca="false">IF(T416&gt;0,D416,C416)</f>
        <v>0.06341552734375</v>
      </c>
      <c r="D417" s="39" t="n">
        <f aca="false">(B417+C417)/2</f>
        <v>0.0633926391601563</v>
      </c>
      <c r="E417" s="15" t="n">
        <f aca="false">$C$2*(1+IF(E$3&lt;=$O$2,$D417,$D417-($D417-$I$400)*MIN(E$3-$O$2,$Q$2)/$Q$2))</f>
        <v>5965.63270568848</v>
      </c>
      <c r="F417" s="15" t="n">
        <f aca="false">E417*(1+IF(F$3&lt;=$O$2,$D417,$D417-($D417-$I$400)*MIN(F$3-$O$2,$Q$2)/$Q$2))</f>
        <v>6343.80990716221</v>
      </c>
      <c r="G417" s="15" t="n">
        <f aca="false">F417*(1+IF(G$3&lt;=$O$2,$D417,$D417-($D417-$I$400)*MIN(G$3-$O$2,$Q$2)/$Q$2))</f>
        <v>6745.96075950757</v>
      </c>
      <c r="H417" s="15" t="n">
        <f aca="false">G417*(1+IF(H$3&lt;=$O$2,$D417,$D417-($D417-$I$400)*MIN(H$3-$O$2,$Q$2)/$Q$2))</f>
        <v>7173.60501572361</v>
      </c>
      <c r="I417" s="15" t="n">
        <f aca="false">H417*(1+IF(I$3&lt;=$O$2,$D417,$D417-($D417-$I$400)*MIN(I$3-$O$2,$Q$2)/$Q$2))</f>
        <v>7628.35876996286</v>
      </c>
      <c r="J417" s="15" t="n">
        <f aca="false">I417*(1+IF(J$3&lt;=$O$2,$D417,$D417-($D417-$I$400)*MIN(J$3-$O$2,$Q$2)/$Q$2))</f>
        <v>8066.02907528159</v>
      </c>
      <c r="K417" s="15" t="n">
        <f aca="false">J417*(1+IF(K$3&lt;=$O$2,$D417,$D417-($D417-$I$400)*MIN(K$3-$O$2,$Q$2)/$Q$2))</f>
        <v>8480.26470493913</v>
      </c>
      <c r="L417" s="15" t="n">
        <f aca="false">K417*(1+IF(L$3&lt;=$O$2,$D417,$D417-($D417-$I$400)*MIN(L$3-$O$2,$Q$2)/$Q$2))</f>
        <v>8864.73493791294</v>
      </c>
      <c r="M417" s="15" t="n">
        <f aca="false">L417*(1+IF(M$3&lt;=$O$2,$D417,$D417-($D417-$I$400)*MIN(M$3-$O$2,$Q$2)/$Q$2))</f>
        <v>9213.28326529285</v>
      </c>
      <c r="N417" s="15" t="n">
        <f aca="false">M417*(1+IF(N$3&lt;=$O$2,$D417,$D417-($D417-$I$400)*MIN(N$3-$O$2,$Q$2)/$Q$2))</f>
        <v>9520.0855980271</v>
      </c>
      <c r="O417" s="15" t="n">
        <f aca="false">SUMPRODUCT(E417:N417,1/(1+$F$400)^$E$3:$N$3)*$E$2</f>
        <v>19669.2168230123</v>
      </c>
      <c r="P417" s="15" t="n">
        <f aca="false">N417*$E$2*(1+$I$400)/($F$400-$I$400)/(1+$F$400)^$N$3</f>
        <v>41341.7745313507</v>
      </c>
      <c r="Q417" s="15" t="n">
        <f aca="false">O417+P417</f>
        <v>61010.9913543629</v>
      </c>
      <c r="R417" s="15" t="n">
        <f aca="false">Q417-$G$2+$I$2</f>
        <v>52245.9913543629</v>
      </c>
      <c r="S417" s="40" t="n">
        <f aca="false">R417/$K$2</f>
        <v>93.4666559704514</v>
      </c>
      <c r="T417" s="41" t="n">
        <f aca="false">S417-$M$2</f>
        <v>-0.00717135789666656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0.0633926391601563</v>
      </c>
      <c r="C418" s="25" t="n">
        <f aca="false">IF(T417&gt;0,D417,C417)</f>
        <v>0.06341552734375</v>
      </c>
      <c r="D418" s="39" t="n">
        <f aca="false">(B418+C418)/2</f>
        <v>0.0634040832519531</v>
      </c>
      <c r="E418" s="15" t="n">
        <f aca="false">$C$2*(1+IF(E$3&lt;=$O$2,$D418,$D418-($D418-$I$400)*MIN(E$3-$O$2,$Q$2)/$Q$2))</f>
        <v>5965.69690704346</v>
      </c>
      <c r="F418" s="15" t="n">
        <f aca="false">E418*(1+IF(F$3&lt;=$O$2,$D418,$D418-($D418-$I$400)*MIN(F$3-$O$2,$Q$2)/$Q$2))</f>
        <v>6343.94645039356</v>
      </c>
      <c r="G418" s="15" t="n">
        <f aca="false">F418*(1+IF(G$3&lt;=$O$2,$D418,$D418-($D418-$I$400)*MIN(G$3-$O$2,$Q$2)/$Q$2))</f>
        <v>6746.17855928025</v>
      </c>
      <c r="H418" s="15" t="n">
        <f aca="false">G418*(1+IF(H$3&lt;=$O$2,$D418,$D418-($D418-$I$400)*MIN(H$3-$O$2,$Q$2)/$Q$2))</f>
        <v>7173.91382628539</v>
      </c>
      <c r="I418" s="15" t="n">
        <f aca="false">H418*(1+IF(I$3&lt;=$O$2,$D418,$D418-($D418-$I$400)*MIN(I$3-$O$2,$Q$2)/$Q$2))</f>
        <v>7628.76925576953</v>
      </c>
      <c r="J418" s="15" t="n">
        <f aca="false">I418*(1+IF(J$3&lt;=$O$2,$D418,$D418-($D418-$I$400)*MIN(J$3-$O$2,$Q$2)/$Q$2))</f>
        <v>8066.53295581516</v>
      </c>
      <c r="K418" s="15" t="n">
        <f aca="false">J418*(1+IF(K$3&lt;=$O$2,$D418,$D418-($D418-$I$400)*MIN(K$3-$O$2,$Q$2)/$Q$2))</f>
        <v>8480.84985103769</v>
      </c>
      <c r="L418" s="15" t="n">
        <f aca="false">K418*(1+IF(L$3&lt;=$O$2,$D418,$D418-($D418-$I$400)*MIN(L$3-$O$2,$Q$2)/$Q$2))</f>
        <v>8865.38543506242</v>
      </c>
      <c r="M418" s="15" t="n">
        <f aca="false">L418*(1+IF(M$3&lt;=$O$2,$D418,$D418-($D418-$I$400)*MIN(M$3-$O$2,$Q$2)/$Q$2))</f>
        <v>9213.97963028956</v>
      </c>
      <c r="N418" s="15" t="n">
        <f aca="false">M418*(1+IF(N$3&lt;=$O$2,$D418,$D418-($D418-$I$400)*MIN(N$3-$O$2,$Q$2)/$Q$2))</f>
        <v>9520.8051519782</v>
      </c>
      <c r="O418" s="15" t="n">
        <f aca="false">SUMPRODUCT(E418:N418,1/(1+$F$400)^$E$3:$N$3)*$E$2</f>
        <v>19670.2105236396</v>
      </c>
      <c r="P418" s="15" t="n">
        <f aca="false">N418*$E$2*(1+$I$400)/($F$400-$I$400)/(1+$F$400)^$N$3</f>
        <v>41344.8992550628</v>
      </c>
      <c r="Q418" s="15" t="n">
        <f aca="false">O418+P418</f>
        <v>61015.1097787024</v>
      </c>
      <c r="R418" s="15" t="n">
        <f aca="false">Q418-$G$2+$I$2</f>
        <v>52250.1097787024</v>
      </c>
      <c r="S418" s="40" t="n">
        <f aca="false">R418/$K$2</f>
        <v>93.4740237194575</v>
      </c>
      <c r="T418" s="41" t="n">
        <f aca="false">S418-$M$2</f>
        <v>0.000196391109426486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0.0633926391601563</v>
      </c>
      <c r="C419" s="25" t="n">
        <f aca="false">IF(T418&gt;0,D418,C418)</f>
        <v>0.0634040832519531</v>
      </c>
      <c r="D419" s="39" t="n">
        <f aca="false">(B419+C419)/2</f>
        <v>0.0633983612060547</v>
      </c>
      <c r="E419" s="15" t="n">
        <f aca="false">$C$2*(1+IF(E$3&lt;=$O$2,$D419,$D419-($D419-$I$400)*MIN(E$3-$O$2,$Q$2)/$Q$2))</f>
        <v>5965.66480636597</v>
      </c>
      <c r="F419" s="15" t="n">
        <f aca="false">E419*(1+IF(F$3&lt;=$O$2,$D419,$D419-($D419-$I$400)*MIN(F$3-$O$2,$Q$2)/$Q$2))</f>
        <v>6343.87817859421</v>
      </c>
      <c r="G419" s="15" t="n">
        <f aca="false">F419*(1+IF(G$3&lt;=$O$2,$D419,$D419-($D419-$I$400)*MIN(G$3-$O$2,$Q$2)/$Q$2))</f>
        <v>6746.06965880793</v>
      </c>
      <c r="H419" s="15" t="n">
        <f aca="false">G419*(1+IF(H$3&lt;=$O$2,$D419,$D419-($D419-$I$400)*MIN(H$3-$O$2,$Q$2)/$Q$2))</f>
        <v>7173.75941975824</v>
      </c>
      <c r="I419" s="15" t="n">
        <f aca="false">H419*(1+IF(I$3&lt;=$O$2,$D419,$D419-($D419-$I$400)*MIN(I$3-$O$2,$Q$2)/$Q$2))</f>
        <v>7628.56401065741</v>
      </c>
      <c r="J419" s="15" t="n">
        <f aca="false">I419*(1+IF(J$3&lt;=$O$2,$D419,$D419-($D419-$I$400)*MIN(J$3-$O$2,$Q$2)/$Q$2))</f>
        <v>8066.28101227332</v>
      </c>
      <c r="K419" s="15" t="n">
        <f aca="false">J419*(1+IF(K$3&lt;=$O$2,$D419,$D419-($D419-$I$400)*MIN(K$3-$O$2,$Q$2)/$Q$2))</f>
        <v>8480.55727368019</v>
      </c>
      <c r="L419" s="15" t="n">
        <f aca="false">K419*(1+IF(L$3&lt;=$O$2,$D419,$D419-($D419-$I$400)*MIN(L$3-$O$2,$Q$2)/$Q$2))</f>
        <v>8865.06018131448</v>
      </c>
      <c r="M419" s="15" t="n">
        <f aca="false">L419*(1+IF(M$3&lt;=$O$2,$D419,$D419-($D419-$I$400)*MIN(M$3-$O$2,$Q$2)/$Q$2))</f>
        <v>9213.63144204238</v>
      </c>
      <c r="N419" s="15" t="n">
        <f aca="false">M419*(1+IF(N$3&lt;=$O$2,$D419,$D419-($D419-$I$400)*MIN(N$3-$O$2,$Q$2)/$Q$2))</f>
        <v>9520.44536906239</v>
      </c>
      <c r="O419" s="15" t="n">
        <f aca="false">SUMPRODUCT(E419:N419,1/(1+$F$400)^$E$3:$N$3)*$E$2</f>
        <v>19669.7136670533</v>
      </c>
      <c r="P419" s="15" t="n">
        <f aca="false">N419*$E$2*(1+$I$400)/($F$400-$I$400)/(1+$F$400)^$N$3</f>
        <v>41343.3368674106</v>
      </c>
      <c r="Q419" s="15" t="n">
        <f aca="false">O419+P419</f>
        <v>61013.050534464</v>
      </c>
      <c r="R419" s="15" t="n">
        <f aca="false">Q419-$G$2+$I$2</f>
        <v>52248.050534464</v>
      </c>
      <c r="S419" s="40" t="n">
        <f aca="false">R419/$K$2</f>
        <v>93.4703397875845</v>
      </c>
      <c r="T419" s="41" t="n">
        <f aca="false">S419-$M$2</f>
        <v>-0.00348754076361502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0.0633983612060547</v>
      </c>
      <c r="C420" s="25" t="n">
        <f aca="false">IF(T419&gt;0,D419,C419)</f>
        <v>0.0634040832519531</v>
      </c>
      <c r="D420" s="39" t="n">
        <f aca="false">(B420+C420)/2</f>
        <v>0.0634012222290039</v>
      </c>
      <c r="E420" s="15" t="n">
        <f aca="false">$C$2*(1+IF(E$3&lt;=$O$2,$D420,$D420-($D420-$I$400)*MIN(E$3-$O$2,$Q$2)/$Q$2))</f>
        <v>5965.68085670471</v>
      </c>
      <c r="F420" s="15" t="n">
        <f aca="false">E420*(1+IF(F$3&lt;=$O$2,$D420,$D420-($D420-$I$400)*MIN(F$3-$O$2,$Q$2)/$Q$2))</f>
        <v>6343.91231444796</v>
      </c>
      <c r="G420" s="15" t="n">
        <f aca="false">F420*(1+IF(G$3&lt;=$O$2,$D420,$D420-($D420-$I$400)*MIN(G$3-$O$2,$Q$2)/$Q$2))</f>
        <v>6746.12410889759</v>
      </c>
      <c r="H420" s="15" t="n">
        <f aca="false">G420*(1+IF(H$3&lt;=$O$2,$D420,$D420-($D420-$I$400)*MIN(H$3-$O$2,$Q$2)/$Q$2))</f>
        <v>7173.83662271025</v>
      </c>
      <c r="I420" s="15" t="n">
        <f aca="false">H420*(1+IF(I$3&lt;=$O$2,$D420,$D420-($D420-$I$400)*MIN(I$3-$O$2,$Q$2)/$Q$2))</f>
        <v>7628.66663266127</v>
      </c>
      <c r="J420" s="15" t="n">
        <f aca="false">I420*(1+IF(J$3&lt;=$O$2,$D420,$D420-($D420-$I$400)*MIN(J$3-$O$2,$Q$2)/$Q$2))</f>
        <v>8066.40698322547</v>
      </c>
      <c r="K420" s="15" t="n">
        <f aca="false">J420*(1+IF(K$3&lt;=$O$2,$D420,$D420-($D420-$I$400)*MIN(K$3-$O$2,$Q$2)/$Q$2))</f>
        <v>8480.70356128187</v>
      </c>
      <c r="L420" s="15" t="n">
        <f aca="false">K420*(1+IF(L$3&lt;=$O$2,$D420,$D420-($D420-$I$400)*MIN(L$3-$O$2,$Q$2)/$Q$2))</f>
        <v>8865.22280689514</v>
      </c>
      <c r="M420" s="15" t="n">
        <f aca="false">L420*(1+IF(M$3&lt;=$O$2,$D420,$D420-($D420-$I$400)*MIN(M$3-$O$2,$Q$2)/$Q$2))</f>
        <v>9213.80553472874</v>
      </c>
      <c r="N420" s="15" t="n">
        <f aca="false">M420*(1+IF(N$3&lt;=$O$2,$D420,$D420-($D420-$I$400)*MIN(N$3-$O$2,$Q$2)/$Q$2))</f>
        <v>9520.62525903521</v>
      </c>
      <c r="O420" s="15" t="n">
        <f aca="false">SUMPRODUCT(E420:N420,1/(1+$F$400)^$E$3:$N$3)*$E$2</f>
        <v>19669.9620937783</v>
      </c>
      <c r="P420" s="15" t="n">
        <f aca="false">N420*$E$2*(1+$I$400)/($F$400-$I$400)/(1+$F$400)^$N$3</f>
        <v>41344.1180547876</v>
      </c>
      <c r="Q420" s="15" t="n">
        <f aca="false">O420+P420</f>
        <v>61014.0801485659</v>
      </c>
      <c r="R420" s="15" t="n">
        <f aca="false">Q420-$G$2+$I$2</f>
        <v>52249.0801485659</v>
      </c>
      <c r="S420" s="40" t="n">
        <f aca="false">R420/$K$2</f>
        <v>93.4721817391783</v>
      </c>
      <c r="T420" s="41" t="n">
        <f aca="false">S420-$M$2</f>
        <v>-0.00164558916979729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0.0634012222290039</v>
      </c>
      <c r="C421" s="25" t="n">
        <f aca="false">IF(T420&gt;0,D420,C420)</f>
        <v>0.0634040832519531</v>
      </c>
      <c r="D421" s="39" t="n">
        <f aca="false">(B421+C421)/2</f>
        <v>0.0634026527404785</v>
      </c>
      <c r="E421" s="15" t="n">
        <f aca="false">$C$2*(1+IF(E$3&lt;=$O$2,$D421,$D421-($D421-$I$400)*MIN(E$3-$O$2,$Q$2)/$Q$2))</f>
        <v>5965.68888187408</v>
      </c>
      <c r="F421" s="15" t="n">
        <f aca="false">E421*(1+IF(F$3&lt;=$O$2,$D421,$D421-($D421-$I$400)*MIN(F$3-$O$2,$Q$2)/$Q$2))</f>
        <v>6343.92938240928</v>
      </c>
      <c r="G421" s="15" t="n">
        <f aca="false">F421*(1+IF(G$3&lt;=$O$2,$D421,$D421-($D421-$I$400)*MIN(G$3-$O$2,$Q$2)/$Q$2))</f>
        <v>6746.15133405229</v>
      </c>
      <c r="H421" s="15" t="n">
        <f aca="false">G421*(1+IF(H$3&lt;=$O$2,$D421,$D421-($D421-$I$400)*MIN(H$3-$O$2,$Q$2)/$Q$2))</f>
        <v>7173.87522441993</v>
      </c>
      <c r="I421" s="15" t="n">
        <f aca="false">H421*(1+IF(I$3&lt;=$O$2,$D421,$D421-($D421-$I$400)*MIN(I$3-$O$2,$Q$2)/$Q$2))</f>
        <v>7628.71794407735</v>
      </c>
      <c r="J421" s="15" t="n">
        <f aca="false">I421*(1+IF(J$3&lt;=$O$2,$D421,$D421-($D421-$I$400)*MIN(J$3-$O$2,$Q$2)/$Q$2))</f>
        <v>8066.46996931562</v>
      </c>
      <c r="K421" s="15" t="n">
        <f aca="false">J421*(1+IF(K$3&lt;=$O$2,$D421,$D421-($D421-$I$400)*MIN(K$3-$O$2,$Q$2)/$Q$2))</f>
        <v>8480.77670589051</v>
      </c>
      <c r="L421" s="15" t="n">
        <f aca="false">K421*(1+IF(L$3&lt;=$O$2,$D421,$D421-($D421-$I$400)*MIN(L$3-$O$2,$Q$2)/$Q$2))</f>
        <v>8865.30412065545</v>
      </c>
      <c r="M421" s="15" t="n">
        <f aca="false">L421*(1+IF(M$3&lt;=$O$2,$D421,$D421-($D421-$I$400)*MIN(M$3-$O$2,$Q$2)/$Q$2))</f>
        <v>9213.89258214984</v>
      </c>
      <c r="N421" s="15" t="n">
        <f aca="false">M421*(1+IF(N$3&lt;=$O$2,$D421,$D421-($D421-$I$400)*MIN(N$3-$O$2,$Q$2)/$Q$2))</f>
        <v>9520.71520513543</v>
      </c>
      <c r="O421" s="15" t="n">
        <f aca="false">SUMPRODUCT(E421:N421,1/(1+$F$400)^$E$3:$N$3)*$E$2</f>
        <v>19670.0863083169</v>
      </c>
      <c r="P421" s="15" t="n">
        <f aca="false">N421*$E$2*(1+$I$400)/($F$400-$I$400)/(1+$F$400)^$N$3</f>
        <v>41344.5086533129</v>
      </c>
      <c r="Q421" s="15" t="n">
        <f aca="false">O421+P421</f>
        <v>61014.5949616298</v>
      </c>
      <c r="R421" s="15" t="n">
        <f aca="false">Q421-$G$2+$I$2</f>
        <v>52249.5949616298</v>
      </c>
      <c r="S421" s="40" t="n">
        <f aca="false">R421/$K$2</f>
        <v>93.4731027257322</v>
      </c>
      <c r="T421" s="41" t="n">
        <f aca="false">S421-$M$2</f>
        <v>-0.000724602615861159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0.0634026527404785</v>
      </c>
      <c r="C422" s="25" t="n">
        <f aca="false">IF(T421&gt;0,D421,C421)</f>
        <v>0.0634040832519531</v>
      </c>
      <c r="D422" s="39" t="n">
        <f aca="false">(B422+C422)/2</f>
        <v>0.0634033679962158</v>
      </c>
      <c r="E422" s="15" t="n">
        <f aca="false">$C$2*(1+IF(E$3&lt;=$O$2,$D422,$D422-($D422-$I$400)*MIN(E$3-$O$2,$Q$2)/$Q$2))</f>
        <v>5965.69289445877</v>
      </c>
      <c r="F422" s="15" t="n">
        <f aca="false">E422*(1+IF(F$3&lt;=$O$2,$D422,$D422-($D422-$I$400)*MIN(F$3-$O$2,$Q$2)/$Q$2))</f>
        <v>6343.93791639855</v>
      </c>
      <c r="G422" s="15" t="n">
        <f aca="false">F422*(1+IF(G$3&lt;=$O$2,$D422,$D422-($D422-$I$400)*MIN(G$3-$O$2,$Q$2)/$Q$2))</f>
        <v>6746.16494665711</v>
      </c>
      <c r="H422" s="15" t="n">
        <f aca="false">G422*(1+IF(H$3&lt;=$O$2,$D422,$D422-($D422-$I$400)*MIN(H$3-$O$2,$Q$2)/$Q$2))</f>
        <v>7173.89452533319</v>
      </c>
      <c r="I422" s="15" t="n">
        <f aca="false">H422*(1+IF(I$3&lt;=$O$2,$D422,$D422-($D422-$I$400)*MIN(I$3-$O$2,$Q$2)/$Q$2))</f>
        <v>7628.74359988893</v>
      </c>
      <c r="J422" s="15" t="n">
        <f aca="false">I422*(1+IF(J$3&lt;=$O$2,$D422,$D422-($D422-$I$400)*MIN(J$3-$O$2,$Q$2)/$Q$2))</f>
        <v>8066.50146251421</v>
      </c>
      <c r="K422" s="15" t="n">
        <f aca="false">J422*(1+IF(K$3&lt;=$O$2,$D422,$D422-($D422-$I$400)*MIN(K$3-$O$2,$Q$2)/$Q$2))</f>
        <v>8480.81327839678</v>
      </c>
      <c r="L422" s="15" t="n">
        <f aca="false">K422*(1+IF(L$3&lt;=$O$2,$D422,$D422-($D422-$I$400)*MIN(L$3-$O$2,$Q$2)/$Q$2))</f>
        <v>8865.3447777781</v>
      </c>
      <c r="M422" s="15" t="n">
        <f aca="false">L422*(1+IF(M$3&lt;=$O$2,$D422,$D422-($D422-$I$400)*MIN(M$3-$O$2,$Q$2)/$Q$2))</f>
        <v>9213.93610612987</v>
      </c>
      <c r="N422" s="15" t="n">
        <f aca="false">M422*(1+IF(N$3&lt;=$O$2,$D422,$D422-($D422-$I$400)*MIN(N$3-$O$2,$Q$2)/$Q$2))</f>
        <v>9520.760178464</v>
      </c>
      <c r="O422" s="15" t="n">
        <f aca="false">SUMPRODUCT(E422:N422,1/(1+$F$400)^$E$3:$N$3)*$E$2</f>
        <v>19670.1484158802</v>
      </c>
      <c r="P422" s="15" t="n">
        <f aca="false">N422*$E$2*(1+$I$400)/($F$400-$I$400)/(1+$F$400)^$N$3</f>
        <v>41344.7039537848</v>
      </c>
      <c r="Q422" s="15" t="n">
        <f aca="false">O422+P422</f>
        <v>61014.852369665</v>
      </c>
      <c r="R422" s="15" t="n">
        <f aca="false">Q422-$G$2+$I$2</f>
        <v>52249.852369665</v>
      </c>
      <c r="S422" s="40" t="n">
        <f aca="false">R422/$K$2</f>
        <v>93.4735632216984</v>
      </c>
      <c r="T422" s="41" t="n">
        <f aca="false">S422-$M$2</f>
        <v>-0.000264106649666473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0.0634033679962158</v>
      </c>
      <c r="C423" s="25" t="n">
        <f aca="false">IF(T422&gt;0,D422,C422)</f>
        <v>0.0634040832519531</v>
      </c>
      <c r="D423" s="39" t="n">
        <f aca="false">(B423+C423)/2</f>
        <v>0.0634037256240845</v>
      </c>
      <c r="E423" s="15" t="n">
        <f aca="false">$C$2*(1+IF(E$3&lt;=$O$2,$D423,$D423-($D423-$I$400)*MIN(E$3-$O$2,$Q$2)/$Q$2))</f>
        <v>5965.69490075111</v>
      </c>
      <c r="F423" s="15" t="n">
        <f aca="false">E423*(1+IF(F$3&lt;=$O$2,$D423,$D423-($D423-$I$400)*MIN(F$3-$O$2,$Q$2)/$Q$2))</f>
        <v>6343.94218339534</v>
      </c>
      <c r="G423" s="15" t="n">
        <f aca="false">F423*(1+IF(G$3&lt;=$O$2,$D423,$D423-($D423-$I$400)*MIN(G$3-$O$2,$Q$2)/$Q$2))</f>
        <v>6746.17175296639</v>
      </c>
      <c r="H423" s="15" t="n">
        <f aca="false">G423*(1+IF(H$3&lt;=$O$2,$D423,$D423-($D423-$I$400)*MIN(H$3-$O$2,$Q$2)/$Q$2))</f>
        <v>7173.90417580442</v>
      </c>
      <c r="I423" s="15" t="n">
        <f aca="false">H423*(1+IF(I$3&lt;=$O$2,$D423,$D423-($D423-$I$400)*MIN(I$3-$O$2,$Q$2)/$Q$2))</f>
        <v>7628.7564278206</v>
      </c>
      <c r="J423" s="15" t="n">
        <f aca="false">I423*(1+IF(J$3&lt;=$O$2,$D423,$D423-($D423-$I$400)*MIN(J$3-$O$2,$Q$2)/$Q$2))</f>
        <v>8066.51720915189</v>
      </c>
      <c r="K423" s="15" t="n">
        <f aca="false">J423*(1+IF(K$3&lt;=$O$2,$D423,$D423-($D423-$I$400)*MIN(K$3-$O$2,$Q$2)/$Q$2))</f>
        <v>8480.83156470041</v>
      </c>
      <c r="L423" s="15" t="n">
        <f aca="false">K423*(1+IF(L$3&lt;=$O$2,$D423,$D423-($D423-$I$400)*MIN(L$3-$O$2,$Q$2)/$Q$2))</f>
        <v>8865.36510640006</v>
      </c>
      <c r="M423" s="15" t="n">
        <f aca="false">L423*(1+IF(M$3&lt;=$O$2,$D423,$D423-($D423-$I$400)*MIN(M$3-$O$2,$Q$2)/$Q$2))</f>
        <v>9213.95786818726</v>
      </c>
      <c r="N423" s="15" t="n">
        <f aca="false">M423*(1+IF(N$3&lt;=$O$2,$D423,$D423-($D423-$I$400)*MIN(N$3-$O$2,$Q$2)/$Q$2))</f>
        <v>9520.7826651979</v>
      </c>
      <c r="O423" s="15" t="n">
        <f aca="false">SUMPRODUCT(E423:N423,1/(1+$F$400)^$E$3:$N$3)*$E$2</f>
        <v>19670.1794697354</v>
      </c>
      <c r="P423" s="15" t="n">
        <f aca="false">N423*$E$2*(1+$I$400)/($F$400-$I$400)/(1+$F$400)^$N$3</f>
        <v>41344.801604323</v>
      </c>
      <c r="Q423" s="15" t="n">
        <f aca="false">O423+P423</f>
        <v>61014.9810740584</v>
      </c>
      <c r="R423" s="15" t="n">
        <f aca="false">Q423-$G$2+$I$2</f>
        <v>52249.9810740584</v>
      </c>
      <c r="S423" s="40" t="n">
        <f aca="false">R423/$K$2</f>
        <v>93.4737934703539</v>
      </c>
      <c r="T423" s="41" t="n">
        <f aca="false">S423-$M$2</f>
        <v>-3.38579941825401E-005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0.0634037256240845</v>
      </c>
      <c r="C424" s="25" t="n">
        <f aca="false">IF(T423&gt;0,D423,C423)</f>
        <v>0.0634040832519531</v>
      </c>
      <c r="D424" s="39" t="n">
        <f aca="false">(B424+C424)/2</f>
        <v>0.0634039044380188</v>
      </c>
      <c r="E424" s="15" t="n">
        <f aca="false">$C$2*(1+IF(E$3&lt;=$O$2,$D424,$D424-($D424-$I$400)*MIN(E$3-$O$2,$Q$2)/$Q$2))</f>
        <v>5965.69590389729</v>
      </c>
      <c r="F424" s="15" t="n">
        <f aca="false">E424*(1+IF(F$3&lt;=$O$2,$D424,$D424-($D424-$I$400)*MIN(F$3-$O$2,$Q$2)/$Q$2))</f>
        <v>6343.94431689427</v>
      </c>
      <c r="G424" s="15" t="n">
        <f aca="false">F424*(1+IF(G$3&lt;=$O$2,$D424,$D424-($D424-$I$400)*MIN(G$3-$O$2,$Q$2)/$Q$2))</f>
        <v>6746.17515612275</v>
      </c>
      <c r="H424" s="15" t="n">
        <f aca="false">G424*(1+IF(H$3&lt;=$O$2,$D424,$D424-($D424-$I$400)*MIN(H$3-$O$2,$Q$2)/$Q$2))</f>
        <v>7173.90900104369</v>
      </c>
      <c r="I424" s="15" t="n">
        <f aca="false">H424*(1+IF(I$3&lt;=$O$2,$D424,$D424-($D424-$I$400)*MIN(I$3-$O$2,$Q$2)/$Q$2))</f>
        <v>7628.76284179291</v>
      </c>
      <c r="J424" s="15" t="n">
        <f aca="false">I424*(1+IF(J$3&lt;=$O$2,$D424,$D424-($D424-$I$400)*MIN(J$3-$O$2,$Q$2)/$Q$2))</f>
        <v>8066.52508248032</v>
      </c>
      <c r="K424" s="15" t="n">
        <f aca="false">J424*(1+IF(K$3&lt;=$O$2,$D424,$D424-($D424-$I$400)*MIN(K$3-$O$2,$Q$2)/$Q$2))</f>
        <v>8480.84070786484</v>
      </c>
      <c r="L424" s="15" t="n">
        <f aca="false">K424*(1+IF(L$3&lt;=$O$2,$D424,$D424-($D424-$I$400)*MIN(L$3-$O$2,$Q$2)/$Q$2))</f>
        <v>8865.37527072619</v>
      </c>
      <c r="M424" s="15" t="n">
        <f aca="false">L424*(1+IF(M$3&lt;=$O$2,$D424,$D424-($D424-$I$400)*MIN(M$3-$O$2,$Q$2)/$Q$2))</f>
        <v>9213.96874923279</v>
      </c>
      <c r="N424" s="15" t="n">
        <f aca="false">M424*(1+IF(N$3&lt;=$O$2,$D424,$D424-($D424-$I$400)*MIN(N$3-$O$2,$Q$2)/$Q$2))</f>
        <v>9520.79390858225</v>
      </c>
      <c r="O424" s="15" t="n">
        <f aca="false">SUMPRODUCT(E424:N424,1/(1+$F$400)^$E$3:$N$3)*$E$2</f>
        <v>19670.1949966814</v>
      </c>
      <c r="P424" s="15" t="n">
        <f aca="false">N424*$E$2*(1+$I$400)/($F$400-$I$400)/(1+$F$400)^$N$3</f>
        <v>41344.8504296677</v>
      </c>
      <c r="Q424" s="15" t="n">
        <f aca="false">O424+P424</f>
        <v>61015.0454263491</v>
      </c>
      <c r="R424" s="15" t="n">
        <f aca="false">Q424-$G$2+$I$2</f>
        <v>52250.0454263491</v>
      </c>
      <c r="S424" s="40" t="n">
        <f aca="false">R424/$K$2</f>
        <v>93.4739085948497</v>
      </c>
      <c r="T424" s="41" t="n">
        <f aca="false">S424-$M$2</f>
        <v>8.12665015814673E-005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0.0634037256240845</v>
      </c>
      <c r="C425" s="25" t="n">
        <f aca="false">IF(T424&gt;0,D424,C424)</f>
        <v>0.0634039044380188</v>
      </c>
      <c r="D425" s="39" t="n">
        <f aca="false">(B425+C425)/2</f>
        <v>0.0634038150310516</v>
      </c>
      <c r="E425" s="15" t="n">
        <f aca="false">$C$2*(1+IF(E$3&lt;=$O$2,$D425,$D425-($D425-$I$400)*MIN(E$3-$O$2,$Q$2)/$Q$2))</f>
        <v>5965.6954023242</v>
      </c>
      <c r="F425" s="15" t="n">
        <f aca="false">E425*(1+IF(F$3&lt;=$O$2,$D425,$D425-($D425-$I$400)*MIN(F$3-$O$2,$Q$2)/$Q$2))</f>
        <v>6343.94325014476</v>
      </c>
      <c r="G425" s="15" t="n">
        <f aca="false">F425*(1+IF(G$3&lt;=$O$2,$D425,$D425-($D425-$I$400)*MIN(G$3-$O$2,$Q$2)/$Q$2))</f>
        <v>6746.17345454443</v>
      </c>
      <c r="H425" s="15" t="n">
        <f aca="false">G425*(1+IF(H$3&lt;=$O$2,$D425,$D425-($D425-$I$400)*MIN(H$3-$O$2,$Q$2)/$Q$2))</f>
        <v>7173.90658842375</v>
      </c>
      <c r="I425" s="15" t="n">
        <f aca="false">H425*(1+IF(I$3&lt;=$O$2,$D425,$D425-($D425-$I$400)*MIN(I$3-$O$2,$Q$2)/$Q$2))</f>
        <v>7628.75963480621</v>
      </c>
      <c r="J425" s="15" t="n">
        <f aca="false">I425*(1+IF(J$3&lt;=$O$2,$D425,$D425-($D425-$I$400)*MIN(J$3-$O$2,$Q$2)/$Q$2))</f>
        <v>8066.52114581531</v>
      </c>
      <c r="K425" s="15" t="n">
        <f aca="false">J425*(1+IF(K$3&lt;=$O$2,$D425,$D425-($D425-$I$400)*MIN(K$3-$O$2,$Q$2)/$Q$2))</f>
        <v>8480.83613628157</v>
      </c>
      <c r="L425" s="15" t="n">
        <f aca="false">K425*(1+IF(L$3&lt;=$O$2,$D425,$D425-($D425-$I$400)*MIN(L$3-$O$2,$Q$2)/$Q$2))</f>
        <v>8865.37018856186</v>
      </c>
      <c r="M425" s="15" t="n">
        <f aca="false">L425*(1+IF(M$3&lt;=$O$2,$D425,$D425-($D425-$I$400)*MIN(M$3-$O$2,$Q$2)/$Q$2))</f>
        <v>9213.96330870862</v>
      </c>
      <c r="N425" s="15" t="n">
        <f aca="false">M425*(1+IF(N$3&lt;=$O$2,$D425,$D425-($D425-$I$400)*MIN(N$3-$O$2,$Q$2)/$Q$2))</f>
        <v>9520.78828688862</v>
      </c>
      <c r="O425" s="15" t="n">
        <f aca="false">SUMPRODUCT(E425:N425,1/(1+$F$400)^$E$3:$N$3)*$E$2</f>
        <v>19670.1872332069</v>
      </c>
      <c r="P425" s="15" t="n">
        <f aca="false">N425*$E$2*(1+$I$400)/($F$400-$I$400)/(1+$F$400)^$N$3</f>
        <v>41344.826016989</v>
      </c>
      <c r="Q425" s="15" t="n">
        <f aca="false">O425+P425</f>
        <v>61015.0132501959</v>
      </c>
      <c r="R425" s="15" t="n">
        <f aca="false">Q425-$G$2+$I$2</f>
        <v>52250.0132501959</v>
      </c>
      <c r="S425" s="40" t="n">
        <f aca="false">R425/$K$2</f>
        <v>93.4738510325878</v>
      </c>
      <c r="T425" s="41" t="n">
        <f aca="false">S425-$M$2</f>
        <v>2.37042396662446E-005</v>
      </c>
    </row>
    <row r="427" customFormat="false" ht="15" hidden="false" customHeight="false" outlineLevel="0" collapsed="false">
      <c r="A427" s="36" t="s">
        <v>201</v>
      </c>
      <c r="E427" s="5" t="s">
        <v>11</v>
      </c>
      <c r="F427" s="12" t="n">
        <f aca="false">Sensitivity!$B$12</f>
        <v>0.0767360315529091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6" t="s">
        <v>167</v>
      </c>
      <c r="B428" s="28" t="s">
        <v>168</v>
      </c>
      <c r="C428" s="28" t="s">
        <v>169</v>
      </c>
      <c r="D428" s="28" t="s">
        <v>170</v>
      </c>
      <c r="E428" s="28" t="s">
        <v>171</v>
      </c>
      <c r="F428" s="28" t="s">
        <v>172</v>
      </c>
      <c r="G428" s="28" t="s">
        <v>173</v>
      </c>
      <c r="H428" s="28" t="s">
        <v>174</v>
      </c>
      <c r="I428" s="28" t="s">
        <v>175</v>
      </c>
      <c r="J428" s="28" t="s">
        <v>176</v>
      </c>
      <c r="K428" s="28" t="s">
        <v>177</v>
      </c>
      <c r="L428" s="28" t="s">
        <v>178</v>
      </c>
      <c r="M428" s="28" t="s">
        <v>179</v>
      </c>
      <c r="N428" s="28" t="s">
        <v>180</v>
      </c>
      <c r="O428" s="28" t="s">
        <v>181</v>
      </c>
      <c r="P428" s="28" t="s">
        <v>182</v>
      </c>
      <c r="Q428" s="28" t="s">
        <v>183</v>
      </c>
      <c r="R428" s="28" t="s">
        <v>184</v>
      </c>
      <c r="S428" s="28" t="s">
        <v>185</v>
      </c>
      <c r="T428" s="28" t="s">
        <v>186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39" t="n">
        <f aca="false">(B429+C429)/2</f>
        <v>0.25</v>
      </c>
      <c r="E429" s="15" t="n">
        <f aca="false">$C$2*(1+IF(E$3&lt;=$O$2,$D429,$D429-($D429-$I$427)*MIN(E$3-$O$2,$Q$2)/$Q$2))</f>
        <v>7012.5</v>
      </c>
      <c r="F429" s="15" t="n">
        <f aca="false">E429*(1+IF(F$3&lt;=$O$2,$D429,$D429-($D429-$I$427)*MIN(F$3-$O$2,$Q$2)/$Q$2))</f>
        <v>8765.625</v>
      </c>
      <c r="G429" s="15" t="n">
        <f aca="false">F429*(1+IF(G$3&lt;=$O$2,$D429,$D429-($D429-$I$427)*MIN(G$3-$O$2,$Q$2)/$Q$2))</f>
        <v>10957.03125</v>
      </c>
      <c r="H429" s="15" t="n">
        <f aca="false">G429*(1+IF(H$3&lt;=$O$2,$D429,$D429-($D429-$I$427)*MIN(H$3-$O$2,$Q$2)/$Q$2))</f>
        <v>13696.2890625</v>
      </c>
      <c r="I429" s="15" t="n">
        <f aca="false">H429*(1+IF(I$3&lt;=$O$2,$D429,$D429-($D429-$I$427)*MIN(I$3-$O$2,$Q$2)/$Q$2))</f>
        <v>17120.361328125</v>
      </c>
      <c r="J429" s="15" t="n">
        <f aca="false">I429*(1+IF(J$3&lt;=$O$2,$D429,$D429-($D429-$I$427)*MIN(J$3-$O$2,$Q$2)/$Q$2))</f>
        <v>20675.5755615234</v>
      </c>
      <c r="K429" s="15" t="n">
        <f aca="false">J429*(1+IF(K$3&lt;=$O$2,$D429,$D429-($D429-$I$427)*MIN(K$3-$O$2,$Q$2)/$Q$2))</f>
        <v>24093.6617133545</v>
      </c>
      <c r="L429" s="15" t="n">
        <f aca="false">K429*(1+IF(L$3&lt;=$O$2,$D429,$D429-($D429-$I$427)*MIN(L$3-$O$2,$Q$2)/$Q$2))</f>
        <v>27056.7002308628</v>
      </c>
      <c r="M429" s="15" t="n">
        <f aca="false">L429*(1+IF(M$3&lt;=$O$2,$D429,$D429-($D429-$I$427)*MIN(M$3-$O$2,$Q$2)/$Q$2))</f>
        <v>29238.5525374796</v>
      </c>
      <c r="N429" s="15" t="n">
        <f aca="false">M429*(1+IF(N$3&lt;=$O$2,$D429,$D429-($D429-$I$427)*MIN(N$3-$O$2,$Q$2)/$Q$2))</f>
        <v>30358.3890996651</v>
      </c>
      <c r="O429" s="15" t="n">
        <f aca="false">SUMPRODUCT(E429:N429,1/(1+$F$427)^$E$3:$N$3)*$E$2</f>
        <v>44734.5741239116</v>
      </c>
      <c r="P429" s="15" t="n">
        <f aca="false">N429*$E$2*(1+$I$427)/($F$427-$I$427)/(1+$F$427)^$N$3</f>
        <v>149704.552406342</v>
      </c>
      <c r="Q429" s="15" t="n">
        <f aca="false">O429+P429</f>
        <v>194439.126530254</v>
      </c>
      <c r="R429" s="15" t="n">
        <f aca="false">Q429-$G$2+$I$2</f>
        <v>185674.126530254</v>
      </c>
      <c r="S429" s="40" t="n">
        <f aca="false">R429/$K$2</f>
        <v>332.165956796761</v>
      </c>
      <c r="T429" s="41" t="n">
        <f aca="false">S429-$M$2</f>
        <v>238.692129468413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39" t="n">
        <f aca="false">(B430+C430)/2</f>
        <v>-0.125</v>
      </c>
      <c r="E430" s="15" t="n">
        <f aca="false">$C$2*(1+IF(E$3&lt;=$O$2,$D430,$D430-($D430-$I$427)*MIN(E$3-$O$2,$Q$2)/$Q$2))</f>
        <v>4908.75</v>
      </c>
      <c r="F430" s="15" t="n">
        <f aca="false">E430*(1+IF(F$3&lt;=$O$2,$D430,$D430-($D430-$I$427)*MIN(F$3-$O$2,$Q$2)/$Q$2))</f>
        <v>4295.15625</v>
      </c>
      <c r="G430" s="15" t="n">
        <f aca="false">F430*(1+IF(G$3&lt;=$O$2,$D430,$D430-($D430-$I$427)*MIN(G$3-$O$2,$Q$2)/$Q$2))</f>
        <v>3758.26171875</v>
      </c>
      <c r="H430" s="15" t="n">
        <f aca="false">G430*(1+IF(H$3&lt;=$O$2,$D430,$D430-($D430-$I$427)*MIN(H$3-$O$2,$Q$2)/$Q$2))</f>
        <v>3288.47900390625</v>
      </c>
      <c r="I430" s="15" t="n">
        <f aca="false">H430*(1+IF(I$3&lt;=$O$2,$D430,$D430-($D430-$I$427)*MIN(I$3-$O$2,$Q$2)/$Q$2))</f>
        <v>2877.41912841797</v>
      </c>
      <c r="J430" s="15" t="n">
        <f aca="false">I430*(1+IF(J$3&lt;=$O$2,$D430,$D430-($D430-$I$427)*MIN(J$3-$O$2,$Q$2)/$Q$2))</f>
        <v>2611.71824609985</v>
      </c>
      <c r="K430" s="15" t="n">
        <f aca="false">J430*(1+IF(K$3&lt;=$O$2,$D430,$D430-($D430-$I$427)*MIN(K$3-$O$2,$Q$2)/$Q$2))</f>
        <v>2455.85090117261</v>
      </c>
      <c r="L430" s="15" t="n">
        <f aca="false">K430*(1+IF(L$3&lt;=$O$2,$D430,$D430-($D430-$I$427)*MIN(L$3-$O$2,$Q$2)/$Q$2))</f>
        <v>2389.49380982293</v>
      </c>
      <c r="M430" s="15" t="n">
        <f aca="false">L430*(1+IF(M$3&lt;=$O$2,$D430,$D430-($D430-$I$427)*MIN(M$3-$O$2,$Q$2)/$Q$2))</f>
        <v>2402.97055491033</v>
      </c>
      <c r="N430" s="15" t="n">
        <f aca="false">M430*(1+IF(N$3&lt;=$O$2,$D430,$D430-($D430-$I$427)*MIN(N$3-$O$2,$Q$2)/$Q$2))</f>
        <v>2495.0043271634</v>
      </c>
      <c r="O430" s="15" t="n">
        <f aca="false">SUMPRODUCT(E430:N430,1/(1+$F$427)^$E$3:$N$3)*$E$2</f>
        <v>8640.33263659597</v>
      </c>
      <c r="P430" s="15" t="n">
        <f aca="false">N430*$E$2*(1+$I$427)/($F$427-$I$427)/(1+$F$427)^$N$3</f>
        <v>12303.4692263696</v>
      </c>
      <c r="Q430" s="15" t="n">
        <f aca="false">O430+P430</f>
        <v>20943.8018629655</v>
      </c>
      <c r="R430" s="15" t="n">
        <f aca="false">Q430-$G$2+$I$2</f>
        <v>12178.8018629655</v>
      </c>
      <c r="S430" s="40" t="n">
        <f aca="false">R430/$K$2</f>
        <v>21.7875449264116</v>
      </c>
      <c r="T430" s="41" t="n">
        <f aca="false">S430-$M$2</f>
        <v>-71.6862824019365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39" t="n">
        <f aca="false">(B431+C431)/2</f>
        <v>0.0625</v>
      </c>
      <c r="E431" s="15" t="n">
        <f aca="false">$C$2*(1+IF(E$3&lt;=$O$2,$D431,$D431-($D431-$I$427)*MIN(E$3-$O$2,$Q$2)/$Q$2))</f>
        <v>5960.625</v>
      </c>
      <c r="F431" s="15" t="n">
        <f aca="false">E431*(1+IF(F$3&lt;=$O$2,$D431,$D431-($D431-$I$427)*MIN(F$3-$O$2,$Q$2)/$Q$2))</f>
        <v>6333.1640625</v>
      </c>
      <c r="G431" s="15" t="n">
        <f aca="false">F431*(1+IF(G$3&lt;=$O$2,$D431,$D431-($D431-$I$427)*MIN(G$3-$O$2,$Q$2)/$Q$2))</f>
        <v>6728.98681640625</v>
      </c>
      <c r="H431" s="15" t="n">
        <f aca="false">G431*(1+IF(H$3&lt;=$O$2,$D431,$D431-($D431-$I$427)*MIN(H$3-$O$2,$Q$2)/$Q$2))</f>
        <v>7149.54849243164</v>
      </c>
      <c r="I431" s="15" t="n">
        <f aca="false">H431*(1+IF(I$3&lt;=$O$2,$D431,$D431-($D431-$I$427)*MIN(I$3-$O$2,$Q$2)/$Q$2))</f>
        <v>7596.39527320862</v>
      </c>
      <c r="J431" s="15" t="n">
        <f aca="false">I431*(1+IF(J$3&lt;=$O$2,$D431,$D431-($D431-$I$427)*MIN(J$3-$O$2,$Q$2)/$Q$2))</f>
        <v>8034.40342466183</v>
      </c>
      <c r="K431" s="15" t="n">
        <f aca="false">J431*(1+IF(K$3&lt;=$O$2,$D431,$D431-($D431-$I$427)*MIN(K$3-$O$2,$Q$2)/$Q$2))</f>
        <v>8458.78061355247</v>
      </c>
      <c r="L431" s="15" t="n">
        <f aca="false">K431*(1+IF(L$3&lt;=$O$2,$D431,$D431-($D431-$I$427)*MIN(L$3-$O$2,$Q$2)/$Q$2))</f>
        <v>8864.63290739071</v>
      </c>
      <c r="M431" s="15" t="n">
        <f aca="false">L431*(1+IF(M$3&lt;=$O$2,$D431,$D431-($D431-$I$427)*MIN(M$3-$O$2,$Q$2)/$Q$2))</f>
        <v>9247.05317101555</v>
      </c>
      <c r="N431" s="15" t="n">
        <f aca="false">M431*(1+IF(N$3&lt;=$O$2,$D431,$D431-($D431-$I$427)*MIN(N$3-$O$2,$Q$2)/$Q$2))</f>
        <v>9601.21530746544</v>
      </c>
      <c r="O431" s="15" t="n">
        <f aca="false">SUMPRODUCT(E431:N431,1/(1+$F$427)^$E$3:$N$3)*$E$2</f>
        <v>19652.2113370671</v>
      </c>
      <c r="P431" s="15" t="n">
        <f aca="false">N431*$E$2*(1+$I$427)/($F$427-$I$427)/(1+$F$427)^$N$3</f>
        <v>47345.9127044686</v>
      </c>
      <c r="Q431" s="15" t="n">
        <f aca="false">O431+P431</f>
        <v>66998.1240415357</v>
      </c>
      <c r="R431" s="15" t="n">
        <f aca="false">Q431-$G$2+$I$2</f>
        <v>58233.1240415357</v>
      </c>
      <c r="S431" s="40" t="n">
        <f aca="false">R431/$K$2</f>
        <v>104.177473329163</v>
      </c>
      <c r="T431" s="41" t="n">
        <f aca="false">S431-$M$2</f>
        <v>10.7036460008152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39" t="n">
        <f aca="false">(B432+C432)/2</f>
        <v>-0.03125</v>
      </c>
      <c r="E432" s="15" t="n">
        <f aca="false">$C$2*(1+IF(E$3&lt;=$O$2,$D432,$D432-($D432-$I$427)*MIN(E$3-$O$2,$Q$2)/$Q$2))</f>
        <v>5434.6875</v>
      </c>
      <c r="F432" s="15" t="n">
        <f aca="false">E432*(1+IF(F$3&lt;=$O$2,$D432,$D432-($D432-$I$427)*MIN(F$3-$O$2,$Q$2)/$Q$2))</f>
        <v>5264.853515625</v>
      </c>
      <c r="G432" s="15" t="n">
        <f aca="false">F432*(1+IF(G$3&lt;=$O$2,$D432,$D432-($D432-$I$427)*MIN(G$3-$O$2,$Q$2)/$Q$2))</f>
        <v>5100.32684326172</v>
      </c>
      <c r="H432" s="15" t="n">
        <f aca="false">G432*(1+IF(H$3&lt;=$O$2,$D432,$D432-($D432-$I$427)*MIN(H$3-$O$2,$Q$2)/$Q$2))</f>
        <v>4940.94162940979</v>
      </c>
      <c r="I432" s="15" t="n">
        <f aca="false">H432*(1+IF(I$3&lt;=$O$2,$D432,$D432-($D432-$I$427)*MIN(I$3-$O$2,$Q$2)/$Q$2))</f>
        <v>4786.53720349073</v>
      </c>
      <c r="J432" s="15" t="n">
        <f aca="false">I432*(1+IF(J$3&lt;=$O$2,$D432,$D432-($D432-$I$427)*MIN(J$3-$O$2,$Q$2)/$Q$2))</f>
        <v>4703.53864838221</v>
      </c>
      <c r="K432" s="15" t="n">
        <f aca="false">J432*(1+IF(K$3&lt;=$O$2,$D432,$D432-($D432-$I$427)*MIN(K$3-$O$2,$Q$2)/$Q$2))</f>
        <v>4687.40551081825</v>
      </c>
      <c r="L432" s="15" t="n">
        <f aca="false">K432*(1+IF(L$3&lt;=$O$2,$D432,$D432-($D432-$I$427)*MIN(L$3-$O$2,$Q$2)/$Q$2))</f>
        <v>4736.52952057163</v>
      </c>
      <c r="M432" s="15" t="n">
        <f aca="false">L432*(1+IF(M$3&lt;=$O$2,$D432,$D432-($D432-$I$427)*MIN(M$3-$O$2,$Q$2)/$Q$2))</f>
        <v>4852.05347557837</v>
      </c>
      <c r="N432" s="15" t="n">
        <f aca="false">M432*(1+IF(N$3&lt;=$O$2,$D432,$D432-($D432-$I$427)*MIN(N$3-$O$2,$Q$2)/$Q$2))</f>
        <v>5037.88712369302</v>
      </c>
      <c r="O432" s="15" t="n">
        <f aca="false">SUMPRODUCT(E432:N432,1/(1+$F$427)^$E$3:$N$3)*$E$2</f>
        <v>12996.462337371</v>
      </c>
      <c r="P432" s="15" t="n">
        <f aca="false">N432*$E$2*(1+$I$427)/($F$427-$I$427)/(1+$F$427)^$N$3</f>
        <v>24843.038754466</v>
      </c>
      <c r="Q432" s="15" t="n">
        <f aca="false">O432+P432</f>
        <v>37839.501091837</v>
      </c>
      <c r="R432" s="15" t="n">
        <f aca="false">Q432-$G$2+$I$2</f>
        <v>29074.501091837</v>
      </c>
      <c r="S432" s="40" t="n">
        <f aca="false">R432/$K$2</f>
        <v>52.0134908079662</v>
      </c>
      <c r="T432" s="41" t="n">
        <f aca="false">S432-$M$2</f>
        <v>-41.4603365203818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39" t="n">
        <f aca="false">(B433+C433)/2</f>
        <v>0.015625</v>
      </c>
      <c r="E433" s="15" t="n">
        <f aca="false">$C$2*(1+IF(E$3&lt;=$O$2,$D433,$D433-($D433-$I$427)*MIN(E$3-$O$2,$Q$2)/$Q$2))</f>
        <v>5697.65625</v>
      </c>
      <c r="F433" s="15" t="n">
        <f aca="false">E433*(1+IF(F$3&lt;=$O$2,$D433,$D433-($D433-$I$427)*MIN(F$3-$O$2,$Q$2)/$Q$2))</f>
        <v>5786.68212890625</v>
      </c>
      <c r="G433" s="15" t="n">
        <f aca="false">F433*(1+IF(G$3&lt;=$O$2,$D433,$D433-($D433-$I$427)*MIN(G$3-$O$2,$Q$2)/$Q$2))</f>
        <v>5877.09903717041</v>
      </c>
      <c r="H433" s="15" t="n">
        <f aca="false">G433*(1+IF(H$3&lt;=$O$2,$D433,$D433-($D433-$I$427)*MIN(H$3-$O$2,$Q$2)/$Q$2))</f>
        <v>5968.9287096262</v>
      </c>
      <c r="I433" s="15" t="n">
        <f aca="false">H433*(1+IF(I$3&lt;=$O$2,$D433,$D433-($D433-$I$427)*MIN(I$3-$O$2,$Q$2)/$Q$2))</f>
        <v>6062.19322071411</v>
      </c>
      <c r="J433" s="15" t="n">
        <f aca="false">I433*(1+IF(J$3&lt;=$O$2,$D433,$D433-($D433-$I$427)*MIN(J$3-$O$2,$Q$2)/$Q$2))</f>
        <v>6184.4070360437</v>
      </c>
      <c r="K433" s="15" t="n">
        <f aca="false">J433*(1+IF(K$3&lt;=$O$2,$D433,$D433-($D433-$I$427)*MIN(K$3-$O$2,$Q$2)/$Q$2))</f>
        <v>6337.1309677988</v>
      </c>
      <c r="L433" s="15" t="n">
        <f aca="false">K433*(1+IF(L$3&lt;=$O$2,$D433,$D433-($D433-$I$427)*MIN(L$3-$O$2,$Q$2)/$Q$2))</f>
        <v>6522.36530598756</v>
      </c>
      <c r="M433" s="15" t="n">
        <f aca="false">L433*(1+IF(M$3&lt;=$O$2,$D433,$D433-($D433-$I$427)*MIN(M$3-$O$2,$Q$2)/$Q$2))</f>
        <v>6742.59297054423</v>
      </c>
      <c r="N433" s="15" t="n">
        <f aca="false">M433*(1+IF(N$3&lt;=$O$2,$D433,$D433-($D433-$I$427)*MIN(N$3-$O$2,$Q$2)/$Q$2))</f>
        <v>7000.83428131608</v>
      </c>
      <c r="O433" s="15" t="n">
        <f aca="false">SUMPRODUCT(E433:N433,1/(1+$F$427)^$E$3:$N$3)*$E$2</f>
        <v>15976.455150501</v>
      </c>
      <c r="P433" s="15" t="n">
        <f aca="false">N433*$E$2*(1+$I$427)/($F$427-$I$427)/(1+$F$427)^$N$3</f>
        <v>34522.8055123307</v>
      </c>
      <c r="Q433" s="15" t="n">
        <f aca="false">O433+P433</f>
        <v>50499.2606628317</v>
      </c>
      <c r="R433" s="15" t="n">
        <f aca="false">Q433-$G$2+$I$2</f>
        <v>41734.2606628317</v>
      </c>
      <c r="S433" s="40" t="n">
        <f aca="false">R433/$K$2</f>
        <v>74.6614559784458</v>
      </c>
      <c r="T433" s="41" t="n">
        <f aca="false">S433-$M$2</f>
        <v>-18.8123713499022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0.015625</v>
      </c>
      <c r="C434" s="25" t="n">
        <f aca="false">IF(T433&gt;0,D433,C433)</f>
        <v>0.0625</v>
      </c>
      <c r="D434" s="39" t="n">
        <f aca="false">(B434+C434)/2</f>
        <v>0.0390625</v>
      </c>
      <c r="E434" s="15" t="n">
        <f aca="false">$C$2*(1+IF(E$3&lt;=$O$2,$D434,$D434-($D434-$I$427)*MIN(E$3-$O$2,$Q$2)/$Q$2))</f>
        <v>5829.140625</v>
      </c>
      <c r="F434" s="15" t="n">
        <f aca="false">E434*(1+IF(F$3&lt;=$O$2,$D434,$D434-($D434-$I$427)*MIN(F$3-$O$2,$Q$2)/$Q$2))</f>
        <v>6056.84143066406</v>
      </c>
      <c r="G434" s="15" t="n">
        <f aca="false">F434*(1+IF(G$3&lt;=$O$2,$D434,$D434-($D434-$I$427)*MIN(G$3-$O$2,$Q$2)/$Q$2))</f>
        <v>6293.43679904938</v>
      </c>
      <c r="H434" s="15" t="n">
        <f aca="false">G434*(1+IF(H$3&lt;=$O$2,$D434,$D434-($D434-$I$427)*MIN(H$3-$O$2,$Q$2)/$Q$2))</f>
        <v>6539.27417401224</v>
      </c>
      <c r="I434" s="15" t="n">
        <f aca="false">H434*(1+IF(I$3&lt;=$O$2,$D434,$D434-($D434-$I$427)*MIN(I$3-$O$2,$Q$2)/$Q$2))</f>
        <v>6794.7145714346</v>
      </c>
      <c r="J434" s="15" t="n">
        <f aca="false">I434*(1+IF(J$3&lt;=$O$2,$D434,$D434-($D434-$I$427)*MIN(J$3-$O$2,$Q$2)/$Q$2))</f>
        <v>7059.09691540912</v>
      </c>
      <c r="K434" s="15" t="n">
        <f aca="false">J434*(1+IF(K$3&lt;=$O$2,$D434,$D434-($D434-$I$427)*MIN(K$3-$O$2,$Q$2)/$Q$2))</f>
        <v>7332.68986410809</v>
      </c>
      <c r="L434" s="15" t="n">
        <f aca="false">K434*(1+IF(L$3&lt;=$O$2,$D434,$D434-($D434-$I$427)*MIN(L$3-$O$2,$Q$2)/$Q$2))</f>
        <v>7615.76835631198</v>
      </c>
      <c r="M434" s="15" t="n">
        <f aca="false">L434*(1+IF(M$3&lt;=$O$2,$D434,$D434-($D434-$I$427)*MIN(M$3-$O$2,$Q$2)/$Q$2))</f>
        <v>7908.61368903307</v>
      </c>
      <c r="N434" s="15" t="n">
        <f aca="false">M434*(1+IF(N$3&lt;=$O$2,$D434,$D434-($D434-$I$427)*MIN(N$3-$O$2,$Q$2)/$Q$2))</f>
        <v>8211.51359332303</v>
      </c>
      <c r="O434" s="15" t="n">
        <f aca="false">SUMPRODUCT(E434:N434,1/(1+$F$427)^$E$3:$N$3)*$E$2</f>
        <v>17718.6081253081</v>
      </c>
      <c r="P434" s="15" t="n">
        <f aca="false">N434*$E$2*(1+$I$427)/($F$427-$I$427)/(1+$F$427)^$N$3</f>
        <v>40492.9577465815</v>
      </c>
      <c r="Q434" s="15" t="n">
        <f aca="false">O434+P434</f>
        <v>58211.5658718895</v>
      </c>
      <c r="R434" s="15" t="n">
        <f aca="false">Q434-$G$2+$I$2</f>
        <v>49446.5658718895</v>
      </c>
      <c r="S434" s="40" t="n">
        <f aca="false">R434/$K$2</f>
        <v>88.4585600055271</v>
      </c>
      <c r="T434" s="41" t="n">
        <f aca="false">S434-$M$2</f>
        <v>-5.01526732282102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0.0390625</v>
      </c>
      <c r="C435" s="25" t="n">
        <f aca="false">IF(T434&gt;0,D434,C434)</f>
        <v>0.0625</v>
      </c>
      <c r="D435" s="39" t="n">
        <f aca="false">(B435+C435)/2</f>
        <v>0.05078125</v>
      </c>
      <c r="E435" s="15" t="n">
        <f aca="false">$C$2*(1+IF(E$3&lt;=$O$2,$D435,$D435-($D435-$I$427)*MIN(E$3-$O$2,$Q$2)/$Q$2))</f>
        <v>5894.8828125</v>
      </c>
      <c r="F435" s="15" t="n">
        <f aca="false">E435*(1+IF(F$3&lt;=$O$2,$D435,$D435-($D435-$I$427)*MIN(F$3-$O$2,$Q$2)/$Q$2))</f>
        <v>6194.23233032227</v>
      </c>
      <c r="G435" s="15" t="n">
        <f aca="false">F435*(1+IF(G$3&lt;=$O$2,$D435,$D435-($D435-$I$427)*MIN(G$3-$O$2,$Q$2)/$Q$2))</f>
        <v>6508.78319084644</v>
      </c>
      <c r="H435" s="15" t="n">
        <f aca="false">G435*(1+IF(H$3&lt;=$O$2,$D435,$D435-($D435-$I$427)*MIN(H$3-$O$2,$Q$2)/$Q$2))</f>
        <v>6839.30733725661</v>
      </c>
      <c r="I435" s="15" t="n">
        <f aca="false">H435*(1+IF(I$3&lt;=$O$2,$D435,$D435-($D435-$I$427)*MIN(I$3-$O$2,$Q$2)/$Q$2))</f>
        <v>7186.61591297668</v>
      </c>
      <c r="J435" s="15" t="n">
        <f aca="false">I435*(1+IF(J$3&lt;=$O$2,$D435,$D435-($D435-$I$427)*MIN(J$3-$O$2,$Q$2)/$Q$2))</f>
        <v>7533.62166233476</v>
      </c>
      <c r="K435" s="15" t="n">
        <f aca="false">J435*(1+IF(K$3&lt;=$O$2,$D435,$D435-($D435-$I$427)*MIN(K$3-$O$2,$Q$2)/$Q$2))</f>
        <v>7878.57678122599</v>
      </c>
      <c r="L435" s="15" t="n">
        <f aca="false">K435*(1+IF(L$3&lt;=$O$2,$D435,$D435-($D435-$I$427)*MIN(L$3-$O$2,$Q$2)/$Q$2))</f>
        <v>8219.66006652721</v>
      </c>
      <c r="M435" s="15" t="n">
        <f aca="false">L435*(1+IF(M$3&lt;=$O$2,$D435,$D435-($D435-$I$427)*MIN(M$3-$O$2,$Q$2)/$Q$2))</f>
        <v>8554.99137351627</v>
      </c>
      <c r="N435" s="15" t="n">
        <f aca="false">M435*(1+IF(N$3&lt;=$O$2,$D435,$D435-($D435-$I$427)*MIN(N$3-$O$2,$Q$2)/$Q$2))</f>
        <v>8882.64754312194</v>
      </c>
      <c r="O435" s="15" t="n">
        <f aca="false">SUMPRODUCT(E435:N435,1/(1+$F$427)^$E$3:$N$3)*$E$2</f>
        <v>18660.3007665755</v>
      </c>
      <c r="P435" s="15" t="n">
        <f aca="false">N435*$E$2*(1+$I$427)/($F$427-$I$427)/(1+$F$427)^$N$3</f>
        <v>43802.4814248472</v>
      </c>
      <c r="Q435" s="15" t="n">
        <f aca="false">O435+P435</f>
        <v>62462.7821914227</v>
      </c>
      <c r="R435" s="15" t="n">
        <f aca="false">Q435-$G$2+$I$2</f>
        <v>53697.7821914227</v>
      </c>
      <c r="S435" s="40" t="n">
        <f aca="false">R435/$K$2</f>
        <v>96.0638702483501</v>
      </c>
      <c r="T435" s="41" t="n">
        <f aca="false">S435-$M$2</f>
        <v>2.59004292000202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0.0390625</v>
      </c>
      <c r="C436" s="25" t="n">
        <f aca="false">IF(T435&gt;0,D435,C435)</f>
        <v>0.05078125</v>
      </c>
      <c r="D436" s="39" t="n">
        <f aca="false">(B436+C436)/2</f>
        <v>0.044921875</v>
      </c>
      <c r="E436" s="15" t="n">
        <f aca="false">$C$2*(1+IF(E$3&lt;=$O$2,$D436,$D436-($D436-$I$427)*MIN(E$3-$O$2,$Q$2)/$Q$2))</f>
        <v>5862.01171875</v>
      </c>
      <c r="F436" s="15" t="n">
        <f aca="false">E436*(1+IF(F$3&lt;=$O$2,$D436,$D436-($D436-$I$427)*MIN(F$3-$O$2,$Q$2)/$Q$2))</f>
        <v>6125.34427642822</v>
      </c>
      <c r="G436" s="15" t="n">
        <f aca="false">F436*(1+IF(G$3&lt;=$O$2,$D436,$D436-($D436-$I$427)*MIN(G$3-$O$2,$Q$2)/$Q$2))</f>
        <v>6400.5062263459</v>
      </c>
      <c r="H436" s="15" t="n">
        <f aca="false">G436*(1+IF(H$3&lt;=$O$2,$D436,$D436-($D436-$I$427)*MIN(H$3-$O$2,$Q$2)/$Q$2))</f>
        <v>6688.02896698253</v>
      </c>
      <c r="I436" s="15" t="n">
        <f aca="false">H436*(1+IF(I$3&lt;=$O$2,$D436,$D436-($D436-$I$427)*MIN(I$3-$O$2,$Q$2)/$Q$2))</f>
        <v>6988.4677682337</v>
      </c>
      <c r="J436" s="15" t="n">
        <f aca="false">I436*(1+IF(J$3&lt;=$O$2,$D436,$D436-($D436-$I$427)*MIN(J$3-$O$2,$Q$2)/$Q$2))</f>
        <v>7293.14749175927</v>
      </c>
      <c r="K436" s="15" t="n">
        <f aca="false">J436*(1+IF(K$3&lt;=$O$2,$D436,$D436-($D436-$I$427)*MIN(K$3-$O$2,$Q$2)/$Q$2))</f>
        <v>7601.45162732184</v>
      </c>
      <c r="L436" s="15" t="n">
        <f aca="false">K436*(1+IF(L$3&lt;=$O$2,$D436,$D436-($D436-$I$427)*MIN(L$3-$O$2,$Q$2)/$Q$2))</f>
        <v>7912.72156964614</v>
      </c>
      <c r="M436" s="15" t="n">
        <f aca="false">L436*(1+IF(M$3&lt;=$O$2,$D436,$D436-($D436-$I$427)*MIN(M$3-$O$2,$Q$2)/$Q$2))</f>
        <v>8226.25821639238</v>
      </c>
      <c r="N436" s="15" t="n">
        <f aca="false">M436*(1+IF(N$3&lt;=$O$2,$D436,$D436-($D436-$I$427)*MIN(N$3-$O$2,$Q$2)/$Q$2))</f>
        <v>8541.32390608021</v>
      </c>
      <c r="O436" s="15" t="n">
        <f aca="false">SUMPRODUCT(E436:N436,1/(1+$F$427)^$E$3:$N$3)*$E$2</f>
        <v>18183.3283074206</v>
      </c>
      <c r="P436" s="15" t="n">
        <f aca="false">N436*$E$2*(1+$I$427)/($F$427-$I$427)/(1+$F$427)^$N$3</f>
        <v>42119.3320936595</v>
      </c>
      <c r="Q436" s="15" t="n">
        <f aca="false">O436+P436</f>
        <v>60302.6604010801</v>
      </c>
      <c r="R436" s="15" t="n">
        <f aca="false">Q436-$G$2+$I$2</f>
        <v>51537.6604010801</v>
      </c>
      <c r="S436" s="40" t="n">
        <f aca="false">R436/$K$2</f>
        <v>92.199471181581</v>
      </c>
      <c r="T436" s="41" t="n">
        <f aca="false">S436-$M$2</f>
        <v>-1.2743561467671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0.044921875</v>
      </c>
      <c r="C437" s="25" t="n">
        <f aca="false">IF(T436&gt;0,D436,C436)</f>
        <v>0.05078125</v>
      </c>
      <c r="D437" s="39" t="n">
        <f aca="false">(B437+C437)/2</f>
        <v>0.0478515625</v>
      </c>
      <c r="E437" s="15" t="n">
        <f aca="false">$C$2*(1+IF(E$3&lt;=$O$2,$D437,$D437-($D437-$I$427)*MIN(E$3-$O$2,$Q$2)/$Q$2))</f>
        <v>5878.447265625</v>
      </c>
      <c r="F437" s="15" t="n">
        <f aca="false">E437*(1+IF(F$3&lt;=$O$2,$D437,$D437-($D437-$I$427)*MIN(F$3-$O$2,$Q$2)/$Q$2))</f>
        <v>6159.74015235901</v>
      </c>
      <c r="G437" s="15" t="n">
        <f aca="false">F437*(1+IF(G$3&lt;=$O$2,$D437,$D437-($D437-$I$427)*MIN(G$3-$O$2,$Q$2)/$Q$2))</f>
        <v>6454.49334324338</v>
      </c>
      <c r="H437" s="15" t="n">
        <f aca="false">G437*(1+IF(H$3&lt;=$O$2,$D437,$D437-($D437-$I$427)*MIN(H$3-$O$2,$Q$2)/$Q$2))</f>
        <v>6763.35093486342</v>
      </c>
      <c r="I437" s="15" t="n">
        <f aca="false">H437*(1+IF(I$3&lt;=$O$2,$D437,$D437-($D437-$I$427)*MIN(I$3-$O$2,$Q$2)/$Q$2))</f>
        <v>7086.98784483247</v>
      </c>
      <c r="J437" s="15" t="n">
        <f aca="false">I437*(1+IF(J$3&lt;=$O$2,$D437,$D437-($D437-$I$427)*MIN(J$3-$O$2,$Q$2)/$Q$2))</f>
        <v>7412.57292515888</v>
      </c>
      <c r="K437" s="15" t="n">
        <f aca="false">J437*(1+IF(K$3&lt;=$O$2,$D437,$D437-($D437-$I$427)*MIN(K$3-$O$2,$Q$2)/$Q$2))</f>
        <v>7738.95546034074</v>
      </c>
      <c r="L437" s="15" t="n">
        <f aca="false">K437*(1+IF(L$3&lt;=$O$2,$D437,$D437-($D437-$I$427)*MIN(L$3-$O$2,$Q$2)/$Q$2))</f>
        <v>8064.92510117746</v>
      </c>
      <c r="M437" s="15" t="n">
        <f aca="false">L437*(1+IF(M$3&lt;=$O$2,$D437,$D437-($D437-$I$427)*MIN(M$3-$O$2,$Q$2)/$Q$2))</f>
        <v>8389.2182597849</v>
      </c>
      <c r="N437" s="15" t="n">
        <f aca="false">M437*(1+IF(N$3&lt;=$O$2,$D437,$D437-($D437-$I$427)*MIN(N$3-$O$2,$Q$2)/$Q$2))</f>
        <v>8710.52531913466</v>
      </c>
      <c r="O437" s="15" t="n">
        <f aca="false">SUMPRODUCT(E437:N437,1/(1+$F$427)^$E$3:$N$3)*$E$2</f>
        <v>18420.2643624537</v>
      </c>
      <c r="P437" s="15" t="n">
        <f aca="false">N437*$E$2*(1+$I$427)/($F$427-$I$427)/(1+$F$427)^$N$3</f>
        <v>42953.7051470082</v>
      </c>
      <c r="Q437" s="15" t="n">
        <f aca="false">O437+P437</f>
        <v>61373.9695094619</v>
      </c>
      <c r="R437" s="15" t="n">
        <f aca="false">Q437-$G$2+$I$2</f>
        <v>52608.9695094619</v>
      </c>
      <c r="S437" s="40" t="n">
        <f aca="false">R437/$K$2</f>
        <v>94.1160140066942</v>
      </c>
      <c r="T437" s="41" t="n">
        <f aca="false">S437-$M$2</f>
        <v>0.64218667834615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0.044921875</v>
      </c>
      <c r="C438" s="25" t="n">
        <f aca="false">IF(T437&gt;0,D437,C437)</f>
        <v>0.0478515625</v>
      </c>
      <c r="D438" s="39" t="n">
        <f aca="false">(B438+C438)/2</f>
        <v>0.04638671875</v>
      </c>
      <c r="E438" s="15" t="n">
        <f aca="false">$C$2*(1+IF(E$3&lt;=$O$2,$D438,$D438-($D438-$I$427)*MIN(E$3-$O$2,$Q$2)/$Q$2))</f>
        <v>5870.2294921875</v>
      </c>
      <c r="F438" s="15" t="n">
        <f aca="false">E438*(1+IF(F$3&lt;=$O$2,$D438,$D438-($D438-$I$427)*MIN(F$3-$O$2,$Q$2)/$Q$2))</f>
        <v>6142.53017663956</v>
      </c>
      <c r="G438" s="15" t="n">
        <f aca="false">F438*(1+IF(G$3&lt;=$O$2,$D438,$D438-($D438-$I$427)*MIN(G$3-$O$2,$Q$2)/$Q$2))</f>
        <v>6427.46199635672</v>
      </c>
      <c r="H438" s="15" t="n">
        <f aca="false">G438*(1+IF(H$3&lt;=$O$2,$D438,$D438-($D438-$I$427)*MIN(H$3-$O$2,$Q$2)/$Q$2))</f>
        <v>6725.61086825804</v>
      </c>
      <c r="I438" s="15" t="n">
        <f aca="false">H438*(1+IF(I$3&lt;=$O$2,$D438,$D438-($D438-$I$427)*MIN(I$3-$O$2,$Q$2)/$Q$2))</f>
        <v>7037.58988802587</v>
      </c>
      <c r="J438" s="15" t="n">
        <f aca="false">I438*(1+IF(J$3&lt;=$O$2,$D438,$D438-($D438-$I$427)*MIN(J$3-$O$2,$Q$2)/$Q$2))</f>
        <v>7352.6583888191</v>
      </c>
      <c r="K438" s="15" t="n">
        <f aca="false">J438*(1+IF(K$3&lt;=$O$2,$D438,$D438-($D438-$I$427)*MIN(K$3-$O$2,$Q$2)/$Q$2))</f>
        <v>7669.940533384</v>
      </c>
      <c r="L438" s="15" t="n">
        <f aca="false">K438*(1+IF(L$3&lt;=$O$2,$D438,$D438-($D438-$I$427)*MIN(L$3-$O$2,$Q$2)/$Q$2))</f>
        <v>7988.50911658169</v>
      </c>
      <c r="M438" s="15" t="n">
        <f aca="false">L438*(1+IF(M$3&lt;=$O$2,$D438,$D438-($D438-$I$427)*MIN(M$3-$O$2,$Q$2)/$Q$2))</f>
        <v>8307.38918103829</v>
      </c>
      <c r="N438" s="15" t="n">
        <f aca="false">M438*(1+IF(N$3&lt;=$O$2,$D438,$D438-($D438-$I$427)*MIN(N$3-$O$2,$Q$2)/$Q$2))</f>
        <v>8625.56218667205</v>
      </c>
      <c r="O438" s="15" t="n">
        <f aca="false">SUMPRODUCT(E438:N438,1/(1+$F$427)^$E$3:$N$3)*$E$2</f>
        <v>18301.4111366375</v>
      </c>
      <c r="P438" s="15" t="n">
        <f aca="false">N438*$E$2*(1+$I$427)/($F$427-$I$427)/(1+$F$427)^$N$3</f>
        <v>42534.7314104705</v>
      </c>
      <c r="Q438" s="15" t="n">
        <f aca="false">O438+P438</f>
        <v>60836.142547108</v>
      </c>
      <c r="R438" s="15" t="n">
        <f aca="false">Q438-$G$2+$I$2</f>
        <v>52071.142547108</v>
      </c>
      <c r="S438" s="40" t="n">
        <f aca="false">R438/$K$2</f>
        <v>93.1538562150846</v>
      </c>
      <c r="T438" s="41" t="n">
        <f aca="false">S438-$M$2</f>
        <v>-0.319971113263506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0.04638671875</v>
      </c>
      <c r="C439" s="25" t="n">
        <f aca="false">IF(T438&gt;0,D438,C438)</f>
        <v>0.0478515625</v>
      </c>
      <c r="D439" s="39" t="n">
        <f aca="false">(B439+C439)/2</f>
        <v>0.047119140625</v>
      </c>
      <c r="E439" s="15" t="n">
        <f aca="false">$C$2*(1+IF(E$3&lt;=$O$2,$D439,$D439-($D439-$I$427)*MIN(E$3-$O$2,$Q$2)/$Q$2))</f>
        <v>5874.33837890625</v>
      </c>
      <c r="F439" s="15" t="n">
        <f aca="false">E439*(1+IF(F$3&lt;=$O$2,$D439,$D439-($D439-$I$427)*MIN(F$3-$O$2,$Q$2)/$Q$2))</f>
        <v>6151.13215506077</v>
      </c>
      <c r="G439" s="15" t="n">
        <f aca="false">F439*(1+IF(G$3&lt;=$O$2,$D439,$D439-($D439-$I$427)*MIN(G$3-$O$2,$Q$2)/$Q$2))</f>
        <v>6440.96821607804</v>
      </c>
      <c r="H439" s="15" t="n">
        <f aca="false">G439*(1+IF(H$3&lt;=$O$2,$D439,$D439-($D439-$I$427)*MIN(H$3-$O$2,$Q$2)/$Q$2))</f>
        <v>6744.46110321257</v>
      </c>
      <c r="I439" s="15" t="n">
        <f aca="false">H439*(1+IF(I$3&lt;=$O$2,$D439,$D439-($D439-$I$427)*MIN(I$3-$O$2,$Q$2)/$Q$2))</f>
        <v>7062.25431437469</v>
      </c>
      <c r="J439" s="15" t="n">
        <f aca="false">I439*(1+IF(J$3&lt;=$O$2,$D439,$D439-($D439-$I$427)*MIN(J$3-$O$2,$Q$2)/$Q$2))</f>
        <v>7382.56506575762</v>
      </c>
      <c r="K439" s="15" t="n">
        <f aca="false">J439*(1+IF(K$3&lt;=$O$2,$D439,$D439-($D439-$I$427)*MIN(K$3-$O$2,$Q$2)/$Q$2))</f>
        <v>7704.38203546902</v>
      </c>
      <c r="L439" s="15" t="n">
        <f aca="false">K439*(1+IF(L$3&lt;=$O$2,$D439,$D439-($D439-$I$427)*MIN(L$3-$O$2,$Q$2)/$Q$2))</f>
        <v>8026.63827886729</v>
      </c>
      <c r="M439" s="15" t="n">
        <f aca="false">L439*(1+IF(M$3&lt;=$O$2,$D439,$D439-($D439-$I$427)*MIN(M$3-$O$2,$Q$2)/$Q$2))</f>
        <v>8348.21613529338</v>
      </c>
      <c r="N439" s="15" t="n">
        <f aca="false">M439*(1+IF(N$3&lt;=$O$2,$D439,$D439-($D439-$I$427)*MIN(N$3-$O$2,$Q$2)/$Q$2))</f>
        <v>8667.95281327512</v>
      </c>
      <c r="O439" s="15" t="n">
        <f aca="false">SUMPRODUCT(E439:N439,1/(1+$F$427)^$E$3:$N$3)*$E$2</f>
        <v>18360.7411577674</v>
      </c>
      <c r="P439" s="15" t="n">
        <f aca="false">N439*$E$2*(1+$I$427)/($F$427-$I$427)/(1+$F$427)^$N$3</f>
        <v>42743.769833458</v>
      </c>
      <c r="Q439" s="15" t="n">
        <f aca="false">O439+P439</f>
        <v>61104.5109912254</v>
      </c>
      <c r="R439" s="15" t="n">
        <f aca="false">Q439-$G$2+$I$2</f>
        <v>52339.5109912254</v>
      </c>
      <c r="S439" s="40" t="n">
        <f aca="false">R439/$K$2</f>
        <v>93.6339600544302</v>
      </c>
      <c r="T439" s="41" t="n">
        <f aca="false">S439-$M$2</f>
        <v>0.160132726082125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0.04638671875</v>
      </c>
      <c r="C440" s="25" t="n">
        <f aca="false">IF(T439&gt;0,D439,C439)</f>
        <v>0.047119140625</v>
      </c>
      <c r="D440" s="39" t="n">
        <f aca="false">(B440+C440)/2</f>
        <v>0.0467529296875</v>
      </c>
      <c r="E440" s="15" t="n">
        <f aca="false">$C$2*(1+IF(E$3&lt;=$O$2,$D440,$D440-($D440-$I$427)*MIN(E$3-$O$2,$Q$2)/$Q$2))</f>
        <v>5872.28393554688</v>
      </c>
      <c r="F440" s="15" t="n">
        <f aca="false">E440*(1+IF(F$3&lt;=$O$2,$D440,$D440-($D440-$I$427)*MIN(F$3-$O$2,$Q$2)/$Q$2))</f>
        <v>6146.83041349053</v>
      </c>
      <c r="G440" s="15" t="n">
        <f aca="false">F440*(1+IF(G$3&lt;=$O$2,$D440,$D440-($D440-$I$427)*MIN(G$3-$O$2,$Q$2)/$Q$2))</f>
        <v>6434.21274361344</v>
      </c>
      <c r="H440" s="15" t="n">
        <f aca="false">G440*(1+IF(H$3&lt;=$O$2,$D440,$D440-($D440-$I$427)*MIN(H$3-$O$2,$Q$2)/$Q$2))</f>
        <v>6735.03103961002</v>
      </c>
      <c r="I440" s="15" t="n">
        <f aca="false">H440*(1+IF(I$3&lt;=$O$2,$D440,$D440-($D440-$I$427)*MIN(I$3-$O$2,$Q$2)/$Q$2))</f>
        <v>7049.91347224804</v>
      </c>
      <c r="J440" s="15" t="n">
        <f aca="false">I440*(1+IF(J$3&lt;=$O$2,$D440,$D440-($D440-$I$427)*MIN(J$3-$O$2,$Q$2)/$Q$2))</f>
        <v>7367.59909654223</v>
      </c>
      <c r="K440" s="15" t="n">
        <f aca="false">J440*(1+IF(K$3&lt;=$O$2,$D440,$D440-($D440-$I$427)*MIN(K$3-$O$2,$Q$2)/$Q$2))</f>
        <v>7687.14482021706</v>
      </c>
      <c r="L440" s="15" t="n">
        <f aca="false">K440*(1+IF(L$3&lt;=$O$2,$D440,$D440-($D440-$I$427)*MIN(L$3-$O$2,$Q$2)/$Q$2))</f>
        <v>8007.55402469654</v>
      </c>
      <c r="M440" s="15" t="n">
        <f aca="false">L440*(1+IF(M$3&lt;=$O$2,$D440,$D440-($D440-$I$427)*MIN(M$3-$O$2,$Q$2)/$Q$2))</f>
        <v>8327.78080207034</v>
      </c>
      <c r="N440" s="15" t="n">
        <f aca="false">M440*(1+IF(N$3&lt;=$O$2,$D440,$D440-($D440-$I$427)*MIN(N$3-$O$2,$Q$2)/$Q$2))</f>
        <v>8646.73480678964</v>
      </c>
      <c r="O440" s="15" t="n">
        <f aca="false">SUMPRODUCT(E440:N440,1/(1+$F$427)^$E$3:$N$3)*$E$2</f>
        <v>18331.0520358434</v>
      </c>
      <c r="P440" s="15" t="n">
        <f aca="false">N440*$E$2*(1+$I$427)/($F$427-$I$427)/(1+$F$427)^$N$3</f>
        <v>42639.1387163906</v>
      </c>
      <c r="Q440" s="15" t="n">
        <f aca="false">O440+P440</f>
        <v>60970.1907522341</v>
      </c>
      <c r="R440" s="15" t="n">
        <f aca="false">Q440-$G$2+$I$2</f>
        <v>52205.1907522341</v>
      </c>
      <c r="S440" s="40" t="n">
        <f aca="false">R440/$K$2</f>
        <v>93.3936648041684</v>
      </c>
      <c r="T440" s="41" t="n">
        <f aca="false">S440-$M$2</f>
        <v>-0.08016252417967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0.0467529296875</v>
      </c>
      <c r="C441" s="25" t="n">
        <f aca="false">IF(T440&gt;0,D440,C440)</f>
        <v>0.047119140625</v>
      </c>
      <c r="D441" s="39" t="n">
        <f aca="false">(B441+C441)/2</f>
        <v>0.04693603515625</v>
      </c>
      <c r="E441" s="15" t="n">
        <f aca="false">$C$2*(1+IF(E$3&lt;=$O$2,$D441,$D441-($D441-$I$427)*MIN(E$3-$O$2,$Q$2)/$Q$2))</f>
        <v>5873.31115722656</v>
      </c>
      <c r="F441" s="15" t="n">
        <f aca="false">E441*(1+IF(F$3&lt;=$O$2,$D441,$D441-($D441-$I$427)*MIN(F$3-$O$2,$Q$2)/$Q$2))</f>
        <v>6148.98109618574</v>
      </c>
      <c r="G441" s="15" t="n">
        <f aca="false">F441*(1+IF(G$3&lt;=$O$2,$D441,$D441-($D441-$I$427)*MIN(G$3-$O$2,$Q$2)/$Q$2))</f>
        <v>6437.58988909143</v>
      </c>
      <c r="H441" s="15" t="n">
        <f aca="false">G441*(1+IF(H$3&lt;=$O$2,$D441,$D441-($D441-$I$427)*MIN(H$3-$O$2,$Q$2)/$Q$2))</f>
        <v>6739.74483444735</v>
      </c>
      <c r="I441" s="15" t="n">
        <f aca="false">H441*(1+IF(I$3&lt;=$O$2,$D441,$D441-($D441-$I$427)*MIN(I$3-$O$2,$Q$2)/$Q$2))</f>
        <v>7056.08173494112</v>
      </c>
      <c r="J441" s="15" t="n">
        <f aca="false">I441*(1+IF(J$3&lt;=$O$2,$D441,$D441-($D441-$I$427)*MIN(J$3-$O$2,$Q$2)/$Q$2))</f>
        <v>7375.07892133203</v>
      </c>
      <c r="K441" s="15" t="n">
        <f aca="false">J441*(1+IF(K$3&lt;=$O$2,$D441,$D441-($D441-$I$427)*MIN(K$3-$O$2,$Q$2)/$Q$2))</f>
        <v>7695.75930852589</v>
      </c>
      <c r="L441" s="15" t="n">
        <f aca="false">K441*(1+IF(L$3&lt;=$O$2,$D441,$D441-($D441-$I$427)*MIN(L$3-$O$2,$Q$2)/$Q$2))</f>
        <v>8017.09122921942</v>
      </c>
      <c r="M441" s="15" t="n">
        <f aca="false">L441*(1+IF(M$3&lt;=$O$2,$D441,$D441-($D441-$I$427)*MIN(M$3-$O$2,$Q$2)/$Q$2))</f>
        <v>8337.9929996398</v>
      </c>
      <c r="N441" s="15" t="n">
        <f aca="false">M441*(1+IF(N$3&lt;=$O$2,$D441,$D441-($D441-$I$427)*MIN(N$3-$O$2,$Q$2)/$Q$2))</f>
        <v>8657.33813152601</v>
      </c>
      <c r="O441" s="15" t="n">
        <f aca="false">SUMPRODUCT(E441:N441,1/(1+$F$427)^$E$3:$N$3)*$E$2</f>
        <v>18345.8905643962</v>
      </c>
      <c r="P441" s="15" t="n">
        <f aca="false">N441*$E$2*(1+$I$427)/($F$427-$I$427)/(1+$F$427)^$N$3</f>
        <v>42691.4262728373</v>
      </c>
      <c r="Q441" s="15" t="n">
        <f aca="false">O441+P441</f>
        <v>61037.3168372335</v>
      </c>
      <c r="R441" s="15" t="n">
        <f aca="false">Q441-$G$2+$I$2</f>
        <v>52272.3168372335</v>
      </c>
      <c r="S441" s="40" t="n">
        <f aca="false">R441/$K$2</f>
        <v>93.5137515425122</v>
      </c>
      <c r="T441" s="41" t="n">
        <f aca="false">S441-$M$2</f>
        <v>0.0399242141641594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0.0467529296875</v>
      </c>
      <c r="C442" s="25" t="n">
        <f aca="false">IF(T441&gt;0,D441,C441)</f>
        <v>0.04693603515625</v>
      </c>
      <c r="D442" s="39" t="n">
        <f aca="false">(B442+C442)/2</f>
        <v>0.046844482421875</v>
      </c>
      <c r="E442" s="15" t="n">
        <f aca="false">$C$2*(1+IF(E$3&lt;=$O$2,$D442,$D442-($D442-$I$427)*MIN(E$3-$O$2,$Q$2)/$Q$2))</f>
        <v>5872.79754638672</v>
      </c>
      <c r="F442" s="15" t="n">
        <f aca="false">E442*(1+IF(F$3&lt;=$O$2,$D442,$D442-($D442-$I$427)*MIN(F$3-$O$2,$Q$2)/$Q$2))</f>
        <v>6147.90570781566</v>
      </c>
      <c r="G442" s="15" t="n">
        <f aca="false">F442*(1+IF(G$3&lt;=$O$2,$D442,$D442-($D442-$I$427)*MIN(G$3-$O$2,$Q$2)/$Q$2))</f>
        <v>6435.90116867678</v>
      </c>
      <c r="H442" s="15" t="n">
        <f aca="false">G442*(1+IF(H$3&lt;=$O$2,$D442,$D442-($D442-$I$427)*MIN(H$3-$O$2,$Q$2)/$Q$2))</f>
        <v>6737.38762784178</v>
      </c>
      <c r="I442" s="15" t="n">
        <f aca="false">H442*(1+IF(I$3&lt;=$O$2,$D442,$D442-($D442-$I$427)*MIN(I$3-$O$2,$Q$2)/$Q$2))</f>
        <v>7052.99706414358</v>
      </c>
      <c r="J442" s="15" t="n">
        <f aca="false">I442*(1+IF(J$3&lt;=$O$2,$D442,$D442-($D442-$I$427)*MIN(J$3-$O$2,$Q$2)/$Q$2))</f>
        <v>7371.33821924916</v>
      </c>
      <c r="K442" s="15" t="n">
        <f aca="false">J442*(1+IF(K$3&lt;=$O$2,$D442,$D442-($D442-$I$427)*MIN(K$3-$O$2,$Q$2)/$Q$2))</f>
        <v>7691.45103495045</v>
      </c>
      <c r="L442" s="15" t="n">
        <f aca="false">K442*(1+IF(L$3&lt;=$O$2,$D442,$D442-($D442-$I$427)*MIN(L$3-$O$2,$Q$2)/$Q$2))</f>
        <v>8012.32139685579</v>
      </c>
      <c r="M442" s="15" t="n">
        <f aca="false">L442*(1+IF(M$3&lt;=$O$2,$D442,$D442-($D442-$I$427)*MIN(M$3-$O$2,$Q$2)/$Q$2))</f>
        <v>8332.88553422213</v>
      </c>
      <c r="N442" s="15" t="n">
        <f aca="false">M442*(1+IF(N$3&lt;=$O$2,$D442,$D442-($D442-$I$427)*MIN(N$3-$O$2,$Q$2)/$Q$2))</f>
        <v>8652.03505018284</v>
      </c>
      <c r="O442" s="15" t="n">
        <f aca="false">SUMPRODUCT(E442:N442,1/(1+$F$427)^$E$3:$N$3)*$E$2</f>
        <v>18338.469792589</v>
      </c>
      <c r="P442" s="15" t="n">
        <f aca="false">N442*$E$2*(1+$I$427)/($F$427-$I$427)/(1+$F$427)^$N$3</f>
        <v>42665.2754973054</v>
      </c>
      <c r="Q442" s="15" t="n">
        <f aca="false">O442+P442</f>
        <v>61003.7452898944</v>
      </c>
      <c r="R442" s="15" t="n">
        <f aca="false">Q442-$G$2+$I$2</f>
        <v>52238.7452898944</v>
      </c>
      <c r="S442" s="40" t="n">
        <f aca="false">R442/$K$2</f>
        <v>93.4536929584142</v>
      </c>
      <c r="T442" s="41" t="n">
        <f aca="false">S442-$M$2</f>
        <v>-0.0201343699338707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0.046844482421875</v>
      </c>
      <c r="C443" s="25" t="n">
        <f aca="false">IF(T442&gt;0,D442,C442)</f>
        <v>0.04693603515625</v>
      </c>
      <c r="D443" s="39" t="n">
        <f aca="false">(B443+C443)/2</f>
        <v>0.0468902587890625</v>
      </c>
      <c r="E443" s="15" t="n">
        <f aca="false">$C$2*(1+IF(E$3&lt;=$O$2,$D443,$D443-($D443-$I$427)*MIN(E$3-$O$2,$Q$2)/$Q$2))</f>
        <v>5873.05435180664</v>
      </c>
      <c r="F443" s="15" t="n">
        <f aca="false">E443*(1+IF(F$3&lt;=$O$2,$D443,$D443-($D443-$I$427)*MIN(F$3-$O$2,$Q$2)/$Q$2))</f>
        <v>6148.44339024508</v>
      </c>
      <c r="G443" s="15" t="n">
        <f aca="false">F443*(1+IF(G$3&lt;=$O$2,$D443,$D443-($D443-$I$427)*MIN(G$3-$O$2,$Q$2)/$Q$2))</f>
        <v>6436.74549196358</v>
      </c>
      <c r="H443" s="15" t="n">
        <f aca="false">G443*(1+IF(H$3&lt;=$O$2,$D443,$D443-($D443-$I$427)*MIN(H$3-$O$2,$Q$2)/$Q$2))</f>
        <v>6738.56615384108</v>
      </c>
      <c r="I443" s="15" t="n">
        <f aca="false">H443*(1+IF(I$3&lt;=$O$2,$D443,$D443-($D443-$I$427)*MIN(I$3-$O$2,$Q$2)/$Q$2))</f>
        <v>7054.53926466191</v>
      </c>
      <c r="J443" s="15" t="n">
        <f aca="false">I443*(1+IF(J$3&lt;=$O$2,$D443,$D443-($D443-$I$427)*MIN(J$3-$O$2,$Q$2)/$Q$2))</f>
        <v>7373.2083728353</v>
      </c>
      <c r="K443" s="15" t="n">
        <f aca="false">J443*(1+IF(K$3&lt;=$O$2,$D443,$D443-($D443-$I$427)*MIN(K$3-$O$2,$Q$2)/$Q$2))</f>
        <v>7693.60491433189</v>
      </c>
      <c r="L443" s="15" t="n">
        <f aca="false">K443*(1+IF(L$3&lt;=$O$2,$D443,$D443-($D443-$I$427)*MIN(L$3-$O$2,$Q$2)/$Q$2))</f>
        <v>8014.70600544477</v>
      </c>
      <c r="M443" s="15" t="n">
        <f aca="false">L443*(1+IF(M$3&lt;=$O$2,$D443,$D443-($D443-$I$427)*MIN(M$3-$O$2,$Q$2)/$Q$2))</f>
        <v>8335.43892519431</v>
      </c>
      <c r="N443" s="15" t="n">
        <f aca="false">M443*(1+IF(N$3&lt;=$O$2,$D443,$D443-($D443-$I$427)*MIN(N$3-$O$2,$Q$2)/$Q$2))</f>
        <v>8654.68623602925</v>
      </c>
      <c r="O443" s="15" t="n">
        <f aca="false">SUMPRODUCT(E443:N443,1/(1+$F$427)^$E$3:$N$3)*$E$2</f>
        <v>18342.1798015385</v>
      </c>
      <c r="P443" s="15" t="n">
        <f aca="false">N443*$E$2*(1+$I$427)/($F$427-$I$427)/(1+$F$427)^$N$3</f>
        <v>42678.3491353427</v>
      </c>
      <c r="Q443" s="15" t="n">
        <f aca="false">O443+P443</f>
        <v>61020.5289368811</v>
      </c>
      <c r="R443" s="15" t="n">
        <f aca="false">Q443-$G$2+$I$2</f>
        <v>52255.5289368811</v>
      </c>
      <c r="S443" s="40" t="n">
        <f aca="false">R443/$K$2</f>
        <v>93.4837184458856</v>
      </c>
      <c r="T443" s="41" t="n">
        <f aca="false">S443-$M$2</f>
        <v>0.00989111753750649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0.046844482421875</v>
      </c>
      <c r="C444" s="25" t="n">
        <f aca="false">IF(T443&gt;0,D443,C443)</f>
        <v>0.0468902587890625</v>
      </c>
      <c r="D444" s="39" t="n">
        <f aca="false">(B444+C444)/2</f>
        <v>0.0468673706054688</v>
      </c>
      <c r="E444" s="15" t="n">
        <f aca="false">$C$2*(1+IF(E$3&lt;=$O$2,$D444,$D444-($D444-$I$427)*MIN(E$3-$O$2,$Q$2)/$Q$2))</f>
        <v>5872.92594909668</v>
      </c>
      <c r="F444" s="15" t="n">
        <f aca="false">E444*(1+IF(F$3&lt;=$O$2,$D444,$D444-($D444-$I$427)*MIN(F$3-$O$2,$Q$2)/$Q$2))</f>
        <v>6148.17454609147</v>
      </c>
      <c r="G444" s="15" t="n">
        <f aca="false">F444*(1+IF(G$3&lt;=$O$2,$D444,$D444-($D444-$I$427)*MIN(G$3-$O$2,$Q$2)/$Q$2))</f>
        <v>6436.32332109025</v>
      </c>
      <c r="H444" s="15" t="n">
        <f aca="false">G444*(1+IF(H$3&lt;=$O$2,$D444,$D444-($D444-$I$427)*MIN(H$3-$O$2,$Q$2)/$Q$2))</f>
        <v>6737.97687151641</v>
      </c>
      <c r="I444" s="15" t="n">
        <f aca="false">H444*(1+IF(I$3&lt;=$O$2,$D444,$D444-($D444-$I$427)*MIN(I$3-$O$2,$Q$2)/$Q$2))</f>
        <v>7053.76813068484</v>
      </c>
      <c r="J444" s="15" t="n">
        <f aca="false">I444*(1+IF(J$3&lt;=$O$2,$D444,$D444-($D444-$I$427)*MIN(J$3-$O$2,$Q$2)/$Q$2))</f>
        <v>7372.27324668257</v>
      </c>
      <c r="K444" s="15" t="n">
        <f aca="false">J444*(1+IF(K$3&lt;=$O$2,$D444,$D444-($D444-$I$427)*MIN(K$3-$O$2,$Q$2)/$Q$2))</f>
        <v>7692.52791029598</v>
      </c>
      <c r="L444" s="15" t="n">
        <f aca="false">K444*(1+IF(L$3&lt;=$O$2,$D444,$D444-($D444-$I$427)*MIN(L$3-$O$2,$Q$2)/$Q$2))</f>
        <v>8013.51362426048</v>
      </c>
      <c r="M444" s="15" t="n">
        <f aca="false">L444*(1+IF(M$3&lt;=$O$2,$D444,$D444-($D444-$I$427)*MIN(M$3-$O$2,$Q$2)/$Q$2))</f>
        <v>8334.16214428386</v>
      </c>
      <c r="N444" s="15" t="n">
        <f aca="false">M444*(1+IF(N$3&lt;=$O$2,$D444,$D444-($D444-$I$427)*MIN(N$3-$O$2,$Q$2)/$Q$2))</f>
        <v>8653.36055440993</v>
      </c>
      <c r="O444" s="15" t="n">
        <f aca="false">SUMPRODUCT(E444:N444,1/(1+$F$427)^$E$3:$N$3)*$E$2</f>
        <v>18340.3247028341</v>
      </c>
      <c r="P444" s="15" t="n">
        <f aca="false">N444*$E$2*(1+$I$427)/($F$427-$I$427)/(1+$F$427)^$N$3</f>
        <v>42671.8118789421</v>
      </c>
      <c r="Q444" s="15" t="n">
        <f aca="false">O444+P444</f>
        <v>61012.1365817762</v>
      </c>
      <c r="R444" s="15" t="n">
        <f aca="false">Q444-$G$2+$I$2</f>
        <v>52247.1365817762</v>
      </c>
      <c r="S444" s="40" t="n">
        <f aca="false">R444/$K$2</f>
        <v>93.4687047511112</v>
      </c>
      <c r="T444" s="41" t="n">
        <f aca="false">S444-$M$2</f>
        <v>-0.00512257723684684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0.0468673706054688</v>
      </c>
      <c r="C445" s="25" t="n">
        <f aca="false">IF(T444&gt;0,D444,C444)</f>
        <v>0.0468902587890625</v>
      </c>
      <c r="D445" s="39" t="n">
        <f aca="false">(B445+C445)/2</f>
        <v>0.0468788146972656</v>
      </c>
      <c r="E445" s="15" t="n">
        <f aca="false">$C$2*(1+IF(E$3&lt;=$O$2,$D445,$D445-($D445-$I$427)*MIN(E$3-$O$2,$Q$2)/$Q$2))</f>
        <v>5872.99015045166</v>
      </c>
      <c r="F445" s="15" t="n">
        <f aca="false">E445*(1+IF(F$3&lt;=$O$2,$D445,$D445-($D445-$I$427)*MIN(F$3-$O$2,$Q$2)/$Q$2))</f>
        <v>6148.30896743355</v>
      </c>
      <c r="G445" s="15" t="n">
        <f aca="false">F445*(1+IF(G$3&lt;=$O$2,$D445,$D445-($D445-$I$427)*MIN(G$3-$O$2,$Q$2)/$Q$2))</f>
        <v>6436.5344042194</v>
      </c>
      <c r="H445" s="15" t="n">
        <f aca="false">G445*(1+IF(H$3&lt;=$O$2,$D445,$D445-($D445-$I$427)*MIN(H$3-$O$2,$Q$2)/$Q$2))</f>
        <v>6738.27150784738</v>
      </c>
      <c r="I445" s="15" t="n">
        <f aca="false">H445*(1+IF(I$3&lt;=$O$2,$D445,$D445-($D445-$I$427)*MIN(I$3-$O$2,$Q$2)/$Q$2))</f>
        <v>7054.15368924362</v>
      </c>
      <c r="J445" s="15" t="n">
        <f aca="false">I445*(1+IF(J$3&lt;=$O$2,$D445,$D445-($D445-$I$427)*MIN(J$3-$O$2,$Q$2)/$Q$2))</f>
        <v>7372.7407974185</v>
      </c>
      <c r="K445" s="15" t="n">
        <f aca="false">J445*(1+IF(K$3&lt;=$O$2,$D445,$D445-($D445-$I$427)*MIN(K$3-$O$2,$Q$2)/$Q$2))</f>
        <v>7693.06639622684</v>
      </c>
      <c r="L445" s="15" t="n">
        <f aca="false">K445*(1+IF(L$3&lt;=$O$2,$D445,$D445-($D445-$I$427)*MIN(L$3-$O$2,$Q$2)/$Q$2))</f>
        <v>8014.10979562912</v>
      </c>
      <c r="M445" s="15" t="n">
        <f aca="false">L445*(1+IF(M$3&lt;=$O$2,$D445,$D445-($D445-$I$427)*MIN(M$3-$O$2,$Q$2)/$Q$2))</f>
        <v>8334.80051338177</v>
      </c>
      <c r="N445" s="15" t="n">
        <f aca="false">M445*(1+IF(N$3&lt;=$O$2,$D445,$D445-($D445-$I$427)*MIN(N$3-$O$2,$Q$2)/$Q$2))</f>
        <v>8654.02337304429</v>
      </c>
      <c r="O445" s="15" t="n">
        <f aca="false">SUMPRODUCT(E445:N445,1/(1+$F$427)^$E$3:$N$3)*$E$2</f>
        <v>18341.2522286278</v>
      </c>
      <c r="P445" s="15" t="n">
        <f aca="false">N445*$E$2*(1+$I$427)/($F$427-$I$427)/(1+$F$427)^$N$3</f>
        <v>42675.0803977906</v>
      </c>
      <c r="Q445" s="15" t="n">
        <f aca="false">O445+P445</f>
        <v>61016.3326264184</v>
      </c>
      <c r="R445" s="15" t="n">
        <f aca="false">Q445-$G$2+$I$2</f>
        <v>52251.3326264184</v>
      </c>
      <c r="S445" s="40" t="n">
        <f aca="false">R445/$K$2</f>
        <v>93.4762113607255</v>
      </c>
      <c r="T445" s="41" t="n">
        <f aca="false">S445-$M$2</f>
        <v>0.00238403237744933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0.0468673706054688</v>
      </c>
      <c r="C446" s="25" t="n">
        <f aca="false">IF(T445&gt;0,D445,C445)</f>
        <v>0.0468788146972656</v>
      </c>
      <c r="D446" s="39" t="n">
        <f aca="false">(B446+C446)/2</f>
        <v>0.0468730926513672</v>
      </c>
      <c r="E446" s="15" t="n">
        <f aca="false">$C$2*(1+IF(E$3&lt;=$O$2,$D446,$D446-($D446-$I$427)*MIN(E$3-$O$2,$Q$2)/$Q$2))</f>
        <v>5872.95804977417</v>
      </c>
      <c r="F446" s="15" t="n">
        <f aca="false">E446*(1+IF(F$3&lt;=$O$2,$D446,$D446-($D446-$I$427)*MIN(F$3-$O$2,$Q$2)/$Q$2))</f>
        <v>6148.24175657883</v>
      </c>
      <c r="G446" s="15" t="n">
        <f aca="false">F446*(1+IF(G$3&lt;=$O$2,$D446,$D446-($D446-$I$427)*MIN(G$3-$O$2,$Q$2)/$Q$2))</f>
        <v>6436.42886207795</v>
      </c>
      <c r="H446" s="15" t="n">
        <f aca="false">G446*(1+IF(H$3&lt;=$O$2,$D446,$D446-($D446-$I$427)*MIN(H$3-$O$2,$Q$2)/$Q$2))</f>
        <v>6738.12418847407</v>
      </c>
      <c r="I446" s="15" t="n">
        <f aca="false">H446*(1+IF(I$3&lt;=$O$2,$D446,$D446-($D446-$I$427)*MIN(I$3-$O$2,$Q$2)/$Q$2))</f>
        <v>7053.96090785683</v>
      </c>
      <c r="J446" s="15" t="n">
        <f aca="false">I446*(1+IF(J$3&lt;=$O$2,$D446,$D446-($D446-$I$427)*MIN(J$3-$O$2,$Q$2)/$Q$2))</f>
        <v>7372.50701896549</v>
      </c>
      <c r="K446" s="15" t="n">
        <f aca="false">J446*(1+IF(K$3&lt;=$O$2,$D446,$D446-($D446-$I$427)*MIN(K$3-$O$2,$Q$2)/$Q$2))</f>
        <v>7692.79714923974</v>
      </c>
      <c r="L446" s="15" t="n">
        <f aca="false">K446*(1+IF(L$3&lt;=$O$2,$D446,$D446-($D446-$I$427)*MIN(L$3-$O$2,$Q$2)/$Q$2))</f>
        <v>8013.81170513906</v>
      </c>
      <c r="M446" s="15" t="n">
        <f aca="false">L446*(1+IF(M$3&lt;=$O$2,$D446,$D446-($D446-$I$427)*MIN(M$3-$O$2,$Q$2)/$Q$2))</f>
        <v>8334.48132349364</v>
      </c>
      <c r="N446" s="15" t="n">
        <f aca="false">M446*(1+IF(N$3&lt;=$O$2,$D446,$D446-($D446-$I$427)*MIN(N$3-$O$2,$Q$2)/$Q$2))</f>
        <v>8653.69195818345</v>
      </c>
      <c r="O446" s="15" t="n">
        <f aca="false">SUMPRODUCT(E446:N446,1/(1+$F$427)^$E$3:$N$3)*$E$2</f>
        <v>18340.7884598415</v>
      </c>
      <c r="P446" s="15" t="n">
        <f aca="false">N446*$E$2*(1+$I$427)/($F$427-$I$427)/(1+$F$427)^$N$3</f>
        <v>42673.4461110292</v>
      </c>
      <c r="Q446" s="15" t="n">
        <f aca="false">O446+P446</f>
        <v>61014.2345708706</v>
      </c>
      <c r="R446" s="15" t="n">
        <f aca="false">Q446-$G$2+$I$2</f>
        <v>52249.2345708706</v>
      </c>
      <c r="S446" s="40" t="n">
        <f aca="false">R446/$K$2</f>
        <v>93.4724579964769</v>
      </c>
      <c r="T446" s="41" t="n">
        <f aca="false">S446-$M$2</f>
        <v>-0.00136933187123134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0.0468730926513672</v>
      </c>
      <c r="C447" s="25" t="n">
        <f aca="false">IF(T446&gt;0,D446,C446)</f>
        <v>0.0468788146972656</v>
      </c>
      <c r="D447" s="39" t="n">
        <f aca="false">(B447+C447)/2</f>
        <v>0.0468759536743164</v>
      </c>
      <c r="E447" s="15" t="n">
        <f aca="false">$C$2*(1+IF(E$3&lt;=$O$2,$D447,$D447-($D447-$I$427)*MIN(E$3-$O$2,$Q$2)/$Q$2))</f>
        <v>5872.97410011292</v>
      </c>
      <c r="F447" s="15" t="n">
        <f aca="false">E447*(1+IF(F$3&lt;=$O$2,$D447,$D447-($D447-$I$427)*MIN(F$3-$O$2,$Q$2)/$Q$2))</f>
        <v>6148.27536196027</v>
      </c>
      <c r="G447" s="15" t="n">
        <f aca="false">F447*(1+IF(G$3&lt;=$O$2,$D447,$D447-($D447-$I$427)*MIN(G$3-$O$2,$Q$2)/$Q$2))</f>
        <v>6436.48163300446</v>
      </c>
      <c r="H447" s="15" t="n">
        <f aca="false">G447*(1+IF(H$3&lt;=$O$2,$D447,$D447-($D447-$I$427)*MIN(H$3-$O$2,$Q$2)/$Q$2))</f>
        <v>6738.19784785876</v>
      </c>
      <c r="I447" s="15" t="n">
        <f aca="false">H447*(1+IF(I$3&lt;=$O$2,$D447,$D447-($D447-$I$427)*MIN(I$3-$O$2,$Q$2)/$Q$2))</f>
        <v>7054.05729802337</v>
      </c>
      <c r="J447" s="15" t="n">
        <f aca="false">I447*(1+IF(J$3&lt;=$O$2,$D447,$D447-($D447-$I$427)*MIN(J$3-$O$2,$Q$2)/$Q$2))</f>
        <v>7372.62390742072</v>
      </c>
      <c r="K447" s="15" t="n">
        <f aca="false">J447*(1+IF(K$3&lt;=$O$2,$D447,$D447-($D447-$I$427)*MIN(K$3-$O$2,$Q$2)/$Q$2))</f>
        <v>7692.93177172786</v>
      </c>
      <c r="L447" s="15" t="n">
        <f aca="false">K447*(1+IF(L$3&lt;=$O$2,$D447,$D447-($D447-$I$427)*MIN(L$3-$O$2,$Q$2)/$Q$2))</f>
        <v>8013.96074918264</v>
      </c>
      <c r="M447" s="15" t="n">
        <f aca="false">L447*(1+IF(M$3&lt;=$O$2,$D447,$D447-($D447-$I$427)*MIN(M$3-$O$2,$Q$2)/$Q$2))</f>
        <v>8334.64091710289</v>
      </c>
      <c r="N447" s="15" t="n">
        <f aca="false">M447*(1+IF(N$3&lt;=$O$2,$D447,$D447-($D447-$I$427)*MIN(N$3-$O$2,$Q$2)/$Q$2))</f>
        <v>8653.85766422793</v>
      </c>
      <c r="O447" s="15" t="n">
        <f aca="false">SUMPRODUCT(E447:N447,1/(1+$F$427)^$E$3:$N$3)*$E$2</f>
        <v>18341.0203427622</v>
      </c>
      <c r="P447" s="15" t="n">
        <f aca="false">N447*$E$2*(1+$I$427)/($F$427-$I$427)/(1+$F$427)^$N$3</f>
        <v>42674.2632475755</v>
      </c>
      <c r="Q447" s="15" t="n">
        <f aca="false">O447+P447</f>
        <v>61015.2835903377</v>
      </c>
      <c r="R447" s="15" t="n">
        <f aca="false">Q447-$G$2+$I$2</f>
        <v>52250.2835903377</v>
      </c>
      <c r="S447" s="40" t="n">
        <f aca="false">R447/$K$2</f>
        <v>93.4743346637406</v>
      </c>
      <c r="T447" s="41" t="n">
        <f aca="false">S447-$M$2</f>
        <v>0.000507335392512687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0.0468730926513672</v>
      </c>
      <c r="C448" s="25" t="n">
        <f aca="false">IF(T447&gt;0,D447,C447)</f>
        <v>0.0468759536743164</v>
      </c>
      <c r="D448" s="39" t="n">
        <f aca="false">(B448+C448)/2</f>
        <v>0.0468745231628418</v>
      </c>
      <c r="E448" s="15" t="n">
        <f aca="false">$C$2*(1+IF(E$3&lt;=$O$2,$D448,$D448-($D448-$I$427)*MIN(E$3-$O$2,$Q$2)/$Q$2))</f>
        <v>5872.96607494354</v>
      </c>
      <c r="F448" s="15" t="n">
        <f aca="false">E448*(1+IF(F$3&lt;=$O$2,$D448,$D448-($D448-$I$427)*MIN(F$3-$O$2,$Q$2)/$Q$2))</f>
        <v>6148.25855925807</v>
      </c>
      <c r="G448" s="15" t="n">
        <f aca="false">F448*(1+IF(G$3&lt;=$O$2,$D448,$D448-($D448-$I$427)*MIN(G$3-$O$2,$Q$2)/$Q$2))</f>
        <v>6436.45524750515</v>
      </c>
      <c r="H448" s="15" t="n">
        <f aca="false">G448*(1+IF(H$3&lt;=$O$2,$D448,$D448-($D448-$I$427)*MIN(H$3-$O$2,$Q$2)/$Q$2))</f>
        <v>6738.16101809093</v>
      </c>
      <c r="I448" s="15" t="n">
        <f aca="false">H448*(1+IF(I$3&lt;=$O$2,$D448,$D448-($D448-$I$427)*MIN(I$3-$O$2,$Q$2)/$Q$2))</f>
        <v>7054.00910280839</v>
      </c>
      <c r="J448" s="15" t="n">
        <f aca="false">I448*(1+IF(J$3&lt;=$O$2,$D448,$D448-($D448-$I$427)*MIN(J$3-$O$2,$Q$2)/$Q$2))</f>
        <v>7372.56546300029</v>
      </c>
      <c r="K448" s="15" t="n">
        <f aca="false">J448*(1+IF(K$3&lt;=$O$2,$D448,$D448-($D448-$I$427)*MIN(K$3-$O$2,$Q$2)/$Q$2))</f>
        <v>7692.86446023244</v>
      </c>
      <c r="L448" s="15" t="n">
        <f aca="false">K448*(1+IF(L$3&lt;=$O$2,$D448,$D448-($D448-$I$427)*MIN(L$3-$O$2,$Q$2)/$Q$2))</f>
        <v>8013.88622686049</v>
      </c>
      <c r="M448" s="15" t="n">
        <f aca="false">L448*(1+IF(M$3&lt;=$O$2,$D448,$D448-($D448-$I$427)*MIN(M$3-$O$2,$Q$2)/$Q$2))</f>
        <v>8334.56111996456</v>
      </c>
      <c r="N448" s="15" t="n">
        <f aca="false">M448*(1+IF(N$3&lt;=$O$2,$D448,$D448-($D448-$I$427)*MIN(N$3-$O$2,$Q$2)/$Q$2))</f>
        <v>8653.77481085921</v>
      </c>
      <c r="O448" s="15" t="n">
        <f aca="false">SUMPRODUCT(E448:N448,1/(1+$F$427)^$E$3:$N$3)*$E$2</f>
        <v>18340.9044009337</v>
      </c>
      <c r="P448" s="15" t="n">
        <f aca="false">N448*$E$2*(1+$I$427)/($F$427-$I$427)/(1+$F$427)^$N$3</f>
        <v>42673.8546775938</v>
      </c>
      <c r="Q448" s="15" t="n">
        <f aca="false">O448+P448</f>
        <v>61014.7590785275</v>
      </c>
      <c r="R448" s="15" t="n">
        <f aca="false">Q448-$G$2+$I$2</f>
        <v>52249.7590785275</v>
      </c>
      <c r="S448" s="40" t="n">
        <f aca="false">R448/$K$2</f>
        <v>93.4733963263936</v>
      </c>
      <c r="T448" s="41" t="n">
        <f aca="false">S448-$M$2</f>
        <v>-0.000431001954495969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0.0468745231628418</v>
      </c>
      <c r="C449" s="25" t="n">
        <f aca="false">IF(T448&gt;0,D448,C448)</f>
        <v>0.0468759536743164</v>
      </c>
      <c r="D449" s="39" t="n">
        <f aca="false">(B449+C449)/2</f>
        <v>0.0468752384185791</v>
      </c>
      <c r="E449" s="15" t="n">
        <f aca="false">$C$2*(1+IF(E$3&lt;=$O$2,$D449,$D449-($D449-$I$427)*MIN(E$3-$O$2,$Q$2)/$Q$2))</f>
        <v>5872.97008752823</v>
      </c>
      <c r="F449" s="15" t="n">
        <f aca="false">E449*(1+IF(F$3&lt;=$O$2,$D449,$D449-($D449-$I$427)*MIN(F$3-$O$2,$Q$2)/$Q$2))</f>
        <v>6148.2669606063</v>
      </c>
      <c r="G449" s="15" t="n">
        <f aca="false">F449*(1+IF(G$3&lt;=$O$2,$D449,$D449-($D449-$I$427)*MIN(G$3-$O$2,$Q$2)/$Q$2))</f>
        <v>6436.46844024579</v>
      </c>
      <c r="H449" s="15" t="n">
        <f aca="false">G449*(1+IF(H$3&lt;=$O$2,$D449,$D449-($D449-$I$427)*MIN(H$3-$O$2,$Q$2)/$Q$2))</f>
        <v>6738.17943295597</v>
      </c>
      <c r="I449" s="15" t="n">
        <f aca="false">H449*(1+IF(I$3&lt;=$O$2,$D449,$D449-($D449-$I$427)*MIN(I$3-$O$2,$Q$2)/$Q$2))</f>
        <v>7054.03320038295</v>
      </c>
      <c r="J449" s="15" t="n">
        <f aca="false">I449*(1+IF(J$3&lt;=$O$2,$D449,$D449-($D449-$I$427)*MIN(J$3-$O$2,$Q$2)/$Q$2))</f>
        <v>7372.5946851623</v>
      </c>
      <c r="K449" s="15" t="n">
        <f aca="false">J449*(1+IF(K$3&lt;=$O$2,$D449,$D449-($D449-$I$427)*MIN(K$3-$O$2,$Q$2)/$Q$2))</f>
        <v>7692.89811591731</v>
      </c>
      <c r="L449" s="15" t="n">
        <f aca="false">K449*(1+IF(L$3&lt;=$O$2,$D449,$D449-($D449-$I$427)*MIN(L$3-$O$2,$Q$2)/$Q$2))</f>
        <v>8013.92348794647</v>
      </c>
      <c r="M449" s="15" t="n">
        <f aca="false">L449*(1+IF(M$3&lt;=$O$2,$D449,$D449-($D449-$I$427)*MIN(M$3-$O$2,$Q$2)/$Q$2))</f>
        <v>8334.6010184503</v>
      </c>
      <c r="N449" s="15" t="n">
        <f aca="false">M449*(1+IF(N$3&lt;=$O$2,$D449,$D449-($D449-$I$427)*MIN(N$3-$O$2,$Q$2)/$Q$2))</f>
        <v>8653.81623745695</v>
      </c>
      <c r="O449" s="15" t="n">
        <f aca="false">SUMPRODUCT(E449:N449,1/(1+$F$427)^$E$3:$N$3)*$E$2</f>
        <v>18340.962371756</v>
      </c>
      <c r="P449" s="15" t="n">
        <f aca="false">N449*$E$2*(1+$I$427)/($F$427-$I$427)/(1+$F$427)^$N$3</f>
        <v>42674.0589621575</v>
      </c>
      <c r="Q449" s="15" t="n">
        <f aca="false">O449+P449</f>
        <v>61015.0213339134</v>
      </c>
      <c r="R449" s="15" t="n">
        <f aca="false">Q449-$G$2+$I$2</f>
        <v>52250.0213339134</v>
      </c>
      <c r="S449" s="40" t="n">
        <f aca="false">R449/$K$2</f>
        <v>93.4738654941383</v>
      </c>
      <c r="T449" s="41" t="n">
        <f aca="false">S449-$M$2</f>
        <v>3.81657902011057E-005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0.0468745231628418</v>
      </c>
      <c r="C450" s="25" t="n">
        <f aca="false">IF(T449&gt;0,D449,C449)</f>
        <v>0.0468752384185791</v>
      </c>
      <c r="D450" s="39" t="n">
        <f aca="false">(B450+C450)/2</f>
        <v>0.0468748807907105</v>
      </c>
      <c r="E450" s="15" t="n">
        <f aca="false">$C$2*(1+IF(E$3&lt;=$O$2,$D450,$D450-($D450-$I$427)*MIN(E$3-$O$2,$Q$2)/$Q$2))</f>
        <v>5872.96808123589</v>
      </c>
      <c r="F450" s="15" t="n">
        <f aca="false">E450*(1+IF(F$3&lt;=$O$2,$D450,$D450-($D450-$I$427)*MIN(F$3-$O$2,$Q$2)/$Q$2))</f>
        <v>6148.26275993147</v>
      </c>
      <c r="G450" s="15" t="n">
        <f aca="false">F450*(1+IF(G$3&lt;=$O$2,$D450,$D450-($D450-$I$427)*MIN(G$3-$O$2,$Q$2)/$Q$2))</f>
        <v>6436.46184387322</v>
      </c>
      <c r="H450" s="15" t="n">
        <f aca="false">G450*(1+IF(H$3&lt;=$O$2,$D450,$D450-($D450-$I$427)*MIN(H$3-$O$2,$Q$2)/$Q$2))</f>
        <v>6738.17022551873</v>
      </c>
      <c r="I450" s="15" t="n">
        <f aca="false">H450*(1+IF(I$3&lt;=$O$2,$D450,$D450-($D450-$I$427)*MIN(I$3-$O$2,$Q$2)/$Q$2))</f>
        <v>7054.02115158744</v>
      </c>
      <c r="J450" s="15" t="n">
        <f aca="false">I450*(1+IF(J$3&lt;=$O$2,$D450,$D450-($D450-$I$427)*MIN(J$3-$O$2,$Q$2)/$Q$2))</f>
        <v>7372.58007406925</v>
      </c>
      <c r="K450" s="15" t="n">
        <f aca="false">J450*(1+IF(K$3&lt;=$O$2,$D450,$D450-($D450-$I$427)*MIN(K$3-$O$2,$Q$2)/$Q$2))</f>
        <v>7692.88128805916</v>
      </c>
      <c r="L450" s="15" t="n">
        <f aca="false">K450*(1+IF(L$3&lt;=$O$2,$D450,$D450-($D450-$I$427)*MIN(L$3-$O$2,$Q$2)/$Q$2))</f>
        <v>8013.90485738471</v>
      </c>
      <c r="M450" s="15" t="n">
        <f aca="false">L450*(1+IF(M$3&lt;=$O$2,$D450,$D450-($D450-$I$427)*MIN(M$3-$O$2,$Q$2)/$Q$2))</f>
        <v>8334.58106918658</v>
      </c>
      <c r="N450" s="15" t="n">
        <f aca="false">M450*(1+IF(N$3&lt;=$O$2,$D450,$D450-($D450-$I$427)*MIN(N$3-$O$2,$Q$2)/$Q$2))</f>
        <v>8653.79552413642</v>
      </c>
      <c r="O450" s="15" t="n">
        <f aca="false">SUMPRODUCT(E450:N450,1/(1+$F$427)^$E$3:$N$3)*$E$2</f>
        <v>18340.9333863218</v>
      </c>
      <c r="P450" s="15" t="n">
        <f aca="false">N450*$E$2*(1+$I$427)/($F$427-$I$427)/(1+$F$427)^$N$3</f>
        <v>42673.9568197688</v>
      </c>
      <c r="Q450" s="15" t="n">
        <f aca="false">O450+P450</f>
        <v>61014.8902060907</v>
      </c>
      <c r="R450" s="15" t="n">
        <f aca="false">Q450-$G$2+$I$2</f>
        <v>52249.8902060907</v>
      </c>
      <c r="S450" s="40" t="n">
        <f aca="false">R450/$K$2</f>
        <v>93.4736309100337</v>
      </c>
      <c r="T450" s="41" t="n">
        <f aca="false">S450-$M$2</f>
        <v>-0.000196418314345692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0.0468748807907105</v>
      </c>
      <c r="C451" s="25" t="n">
        <f aca="false">IF(T450&gt;0,D450,C450)</f>
        <v>0.0468752384185791</v>
      </c>
      <c r="D451" s="39" t="n">
        <f aca="false">(B451+C451)/2</f>
        <v>0.0468750596046448</v>
      </c>
      <c r="E451" s="15" t="n">
        <f aca="false">$C$2*(1+IF(E$3&lt;=$O$2,$D451,$D451-($D451-$I$427)*MIN(E$3-$O$2,$Q$2)/$Q$2))</f>
        <v>5872.96908438206</v>
      </c>
      <c r="F451" s="15" t="n">
        <f aca="false">E451*(1+IF(F$3&lt;=$O$2,$D451,$D451-($D451-$I$427)*MIN(F$3-$O$2,$Q$2)/$Q$2))</f>
        <v>6148.2648602687</v>
      </c>
      <c r="G451" s="15" t="n">
        <f aca="false">F451*(1+IF(G$3&lt;=$O$2,$D451,$D451-($D451-$I$427)*MIN(G$3-$O$2,$Q$2)/$Q$2))</f>
        <v>6436.46514205894</v>
      </c>
      <c r="H451" s="15" t="n">
        <f aca="false">G451*(1+IF(H$3&lt;=$O$2,$D451,$D451-($D451-$I$427)*MIN(H$3-$O$2,$Q$2)/$Q$2))</f>
        <v>6738.17482923617</v>
      </c>
      <c r="I451" s="15" t="n">
        <f aca="false">H451*(1+IF(I$3&lt;=$O$2,$D451,$D451-($D451-$I$427)*MIN(I$3-$O$2,$Q$2)/$Q$2))</f>
        <v>7054.02717598314</v>
      </c>
      <c r="J451" s="15" t="n">
        <f aca="false">I451*(1+IF(J$3&lt;=$O$2,$D451,$D451-($D451-$I$427)*MIN(J$3-$O$2,$Q$2)/$Q$2))</f>
        <v>7372.58737961276</v>
      </c>
      <c r="K451" s="15" t="n">
        <f aca="false">J451*(1+IF(K$3&lt;=$O$2,$D451,$D451-($D451-$I$427)*MIN(K$3-$O$2,$Q$2)/$Q$2))</f>
        <v>7692.88970198431</v>
      </c>
      <c r="L451" s="15" t="n">
        <f aca="false">K451*(1+IF(L$3&lt;=$O$2,$D451,$D451-($D451-$I$427)*MIN(L$3-$O$2,$Q$2)/$Q$2))</f>
        <v>8013.9141726609</v>
      </c>
      <c r="M451" s="15" t="n">
        <f aca="false">L451*(1+IF(M$3&lt;=$O$2,$D451,$D451-($D451-$I$427)*MIN(M$3-$O$2,$Q$2)/$Q$2))</f>
        <v>8334.59104381322</v>
      </c>
      <c r="N451" s="15" t="n">
        <f aca="false">M451*(1+IF(N$3&lt;=$O$2,$D451,$D451-($D451-$I$427)*MIN(N$3-$O$2,$Q$2)/$Q$2))</f>
        <v>8653.80588079127</v>
      </c>
      <c r="O451" s="15" t="n">
        <f aca="false">SUMPRODUCT(E451:N451,1/(1+$F$427)^$E$3:$N$3)*$E$2</f>
        <v>18340.9478790332</v>
      </c>
      <c r="P451" s="15" t="n">
        <f aca="false">N451*$E$2*(1+$I$427)/($F$427-$I$427)/(1+$F$427)^$N$3</f>
        <v>42674.0078909365</v>
      </c>
      <c r="Q451" s="15" t="n">
        <f aca="false">O451+P451</f>
        <v>61014.9557699696</v>
      </c>
      <c r="R451" s="15" t="n">
        <f aca="false">Q451-$G$2+$I$2</f>
        <v>52249.9557699696</v>
      </c>
      <c r="S451" s="40" t="n">
        <f aca="false">R451/$K$2</f>
        <v>93.473748202028</v>
      </c>
      <c r="T451" s="41" t="n">
        <f aca="false">S451-$M$2</f>
        <v>-7.91263201023185E-005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0.0468750596046448</v>
      </c>
      <c r="C452" s="25" t="n">
        <f aca="false">IF(T451&gt;0,D451,C451)</f>
        <v>0.0468752384185791</v>
      </c>
      <c r="D452" s="39" t="n">
        <f aca="false">(B452+C452)/2</f>
        <v>0.0468751490116119</v>
      </c>
      <c r="E452" s="15" t="n">
        <f aca="false">$C$2*(1+IF(E$3&lt;=$O$2,$D452,$D452-($D452-$I$427)*MIN(E$3-$O$2,$Q$2)/$Q$2))</f>
        <v>5872.96958595514</v>
      </c>
      <c r="F452" s="15" t="n">
        <f aca="false">E452*(1+IF(F$3&lt;=$O$2,$D452,$D452-($D452-$I$427)*MIN(F$3-$O$2,$Q$2)/$Q$2))</f>
        <v>6148.26591043746</v>
      </c>
      <c r="G452" s="15" t="n">
        <f aca="false">F452*(1+IF(G$3&lt;=$O$2,$D452,$D452-($D452-$I$427)*MIN(G$3-$O$2,$Q$2)/$Q$2))</f>
        <v>6436.46679115223</v>
      </c>
      <c r="H452" s="15" t="n">
        <f aca="false">G452*(1+IF(H$3&lt;=$O$2,$D452,$D452-($D452-$I$427)*MIN(H$3-$O$2,$Q$2)/$Q$2))</f>
        <v>6738.17713109578</v>
      </c>
      <c r="I452" s="15" t="n">
        <f aca="false">H452*(1+IF(I$3&lt;=$O$2,$D452,$D452-($D452-$I$427)*MIN(I$3-$O$2,$Q$2)/$Q$2))</f>
        <v>7054.03018818253</v>
      </c>
      <c r="J452" s="15" t="n">
        <f aca="false">I452*(1+IF(J$3&lt;=$O$2,$D452,$D452-($D452-$I$427)*MIN(J$3-$O$2,$Q$2)/$Q$2))</f>
        <v>7372.59103238678</v>
      </c>
      <c r="K452" s="15" t="n">
        <f aca="false">J452*(1+IF(K$3&lt;=$O$2,$D452,$D452-($D452-$I$427)*MIN(K$3-$O$2,$Q$2)/$Q$2))</f>
        <v>7692.89390894983</v>
      </c>
      <c r="L452" s="15" t="n">
        <f aca="false">K452*(1+IF(L$3&lt;=$O$2,$D452,$D452-($D452-$I$427)*MIN(L$3-$O$2,$Q$2)/$Q$2))</f>
        <v>8013.91883030251</v>
      </c>
      <c r="M452" s="15" t="n">
        <f aca="false">L452*(1+IF(M$3&lt;=$O$2,$D452,$D452-($D452-$I$427)*MIN(M$3-$O$2,$Q$2)/$Q$2))</f>
        <v>8334.59603113046</v>
      </c>
      <c r="N452" s="15" t="n">
        <f aca="false">M452*(1+IF(N$3&lt;=$O$2,$D452,$D452-($D452-$I$427)*MIN(N$3-$O$2,$Q$2)/$Q$2))</f>
        <v>8653.81105912275</v>
      </c>
      <c r="O452" s="15" t="n">
        <f aca="false">SUMPRODUCT(E452:N452,1/(1+$F$427)^$E$3:$N$3)*$E$2</f>
        <v>18340.9551253931</v>
      </c>
      <c r="P452" s="15" t="n">
        <f aca="false">N452*$E$2*(1+$I$427)/($F$427-$I$427)/(1+$F$427)^$N$3</f>
        <v>42674.0334265403</v>
      </c>
      <c r="Q452" s="15" t="n">
        <f aca="false">O452+P452</f>
        <v>61014.9885519334</v>
      </c>
      <c r="R452" s="15" t="n">
        <f aca="false">Q452-$G$2+$I$2</f>
        <v>52249.9885519334</v>
      </c>
      <c r="S452" s="40" t="n">
        <f aca="false">R452/$K$2</f>
        <v>93.4738068480686</v>
      </c>
      <c r="T452" s="41" t="n">
        <f aca="false">S452-$M$2</f>
        <v>-2.04802794598891E-005</v>
      </c>
    </row>
    <row r="454" customFormat="false" ht="15" hidden="false" customHeight="false" outlineLevel="0" collapsed="false">
      <c r="A454" s="36" t="s">
        <v>202</v>
      </c>
      <c r="E454" s="5" t="s">
        <v>11</v>
      </c>
      <c r="F454" s="12" t="n">
        <f aca="false">Sensitivity!$B$13</f>
        <v>0.0817360315529091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6" t="s">
        <v>167</v>
      </c>
      <c r="B455" s="28" t="s">
        <v>168</v>
      </c>
      <c r="C455" s="28" t="s">
        <v>169</v>
      </c>
      <c r="D455" s="28" t="s">
        <v>170</v>
      </c>
      <c r="E455" s="28" t="s">
        <v>171</v>
      </c>
      <c r="F455" s="28" t="s">
        <v>172</v>
      </c>
      <c r="G455" s="28" t="s">
        <v>173</v>
      </c>
      <c r="H455" s="28" t="s">
        <v>174</v>
      </c>
      <c r="I455" s="28" t="s">
        <v>175</v>
      </c>
      <c r="J455" s="28" t="s">
        <v>176</v>
      </c>
      <c r="K455" s="28" t="s">
        <v>177</v>
      </c>
      <c r="L455" s="28" t="s">
        <v>178</v>
      </c>
      <c r="M455" s="28" t="s">
        <v>179</v>
      </c>
      <c r="N455" s="28" t="s">
        <v>180</v>
      </c>
      <c r="O455" s="28" t="s">
        <v>181</v>
      </c>
      <c r="P455" s="28" t="s">
        <v>182</v>
      </c>
      <c r="Q455" s="28" t="s">
        <v>183</v>
      </c>
      <c r="R455" s="28" t="s">
        <v>184</v>
      </c>
      <c r="S455" s="28" t="s">
        <v>185</v>
      </c>
      <c r="T455" s="28" t="s">
        <v>186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39" t="n">
        <f aca="false">(B456+C456)/2</f>
        <v>0.25</v>
      </c>
      <c r="E456" s="15" t="n">
        <f aca="false">$C$2*(1+IF(E$3&lt;=$O$2,$D456,$D456-($D456-$I$454)*MIN(E$3-$O$2,$Q$2)/$Q$2))</f>
        <v>7012.5</v>
      </c>
      <c r="F456" s="15" t="n">
        <f aca="false">E456*(1+IF(F$3&lt;=$O$2,$D456,$D456-($D456-$I$454)*MIN(F$3-$O$2,$Q$2)/$Q$2))</f>
        <v>8765.625</v>
      </c>
      <c r="G456" s="15" t="n">
        <f aca="false">F456*(1+IF(G$3&lt;=$O$2,$D456,$D456-($D456-$I$454)*MIN(G$3-$O$2,$Q$2)/$Q$2))</f>
        <v>10957.03125</v>
      </c>
      <c r="H456" s="15" t="n">
        <f aca="false">G456*(1+IF(H$3&lt;=$O$2,$D456,$D456-($D456-$I$454)*MIN(H$3-$O$2,$Q$2)/$Q$2))</f>
        <v>13696.2890625</v>
      </c>
      <c r="I456" s="15" t="n">
        <f aca="false">H456*(1+IF(I$3&lt;=$O$2,$D456,$D456-($D456-$I$454)*MIN(I$3-$O$2,$Q$2)/$Q$2))</f>
        <v>17120.361328125</v>
      </c>
      <c r="J456" s="15" t="n">
        <f aca="false">I456*(1+IF(J$3&lt;=$O$2,$D456,$D456-($D456-$I$454)*MIN(J$3-$O$2,$Q$2)/$Q$2))</f>
        <v>20607.0941162109</v>
      </c>
      <c r="K456" s="15" t="n">
        <f aca="false">J456*(1+IF(K$3&lt;=$O$2,$D456,$D456-($D456-$I$454)*MIN(K$3-$O$2,$Q$2)/$Q$2))</f>
        <v>23849.0021625732</v>
      </c>
      <c r="L456" s="15" t="n">
        <f aca="false">K456*(1+IF(L$3&lt;=$O$2,$D456,$D456-($D456-$I$454)*MIN(L$3-$O$2,$Q$2)/$Q$2))</f>
        <v>26495.7644225756</v>
      </c>
      <c r="M456" s="15" t="n">
        <f aca="false">L456*(1+IF(M$3&lt;=$O$2,$D456,$D456-($D456-$I$454)*MIN(M$3-$O$2,$Q$2)/$Q$2))</f>
        <v>28208.4506348509</v>
      </c>
      <c r="N456" s="15" t="n">
        <f aca="false">M456*(1+IF(N$3&lt;=$O$2,$D456,$D456-($D456-$I$454)*MIN(N$3-$O$2,$Q$2)/$Q$2))</f>
        <v>28724.6652814687</v>
      </c>
      <c r="O456" s="15" t="n">
        <f aca="false">SUMPRODUCT(E456:N456,1/(1+$F$454)^$E$3:$N$3)*$E$2</f>
        <v>42803.1225196383</v>
      </c>
      <c r="P456" s="15" t="n">
        <f aca="false">N456*$E$2*(1+$I$454)/($F$454-$I$454)/(1+$F$454)^$N$3</f>
        <v>80361.1588024282</v>
      </c>
      <c r="Q456" s="15" t="n">
        <f aca="false">O456+P456</f>
        <v>123164.281322066</v>
      </c>
      <c r="R456" s="15" t="n">
        <f aca="false">Q456-$G$2+$I$2</f>
        <v>114399.281322066</v>
      </c>
      <c r="S456" s="40" t="n">
        <f aca="false">R456/$K$2</f>
        <v>204.657199402602</v>
      </c>
      <c r="T456" s="41" t="n">
        <f aca="false">S456-$M$2</f>
        <v>111.183372074254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39" t="n">
        <f aca="false">(B457+C457)/2</f>
        <v>-0.125</v>
      </c>
      <c r="E457" s="15" t="n">
        <f aca="false">$C$2*(1+IF(E$3&lt;=$O$2,$D457,$D457-($D457-$I$454)*MIN(E$3-$O$2,$Q$2)/$Q$2))</f>
        <v>4908.75</v>
      </c>
      <c r="F457" s="15" t="n">
        <f aca="false">E457*(1+IF(F$3&lt;=$O$2,$D457,$D457-($D457-$I$454)*MIN(F$3-$O$2,$Q$2)/$Q$2))</f>
        <v>4295.15625</v>
      </c>
      <c r="G457" s="15" t="n">
        <f aca="false">F457*(1+IF(G$3&lt;=$O$2,$D457,$D457-($D457-$I$454)*MIN(G$3-$O$2,$Q$2)/$Q$2))</f>
        <v>3758.26171875</v>
      </c>
      <c r="H457" s="15" t="n">
        <f aca="false">G457*(1+IF(H$3&lt;=$O$2,$D457,$D457-($D457-$I$454)*MIN(H$3-$O$2,$Q$2)/$Q$2))</f>
        <v>3288.47900390625</v>
      </c>
      <c r="I457" s="15" t="n">
        <f aca="false">H457*(1+IF(I$3&lt;=$O$2,$D457,$D457-($D457-$I$454)*MIN(I$3-$O$2,$Q$2)/$Q$2))</f>
        <v>2877.41912841797</v>
      </c>
      <c r="J457" s="15" t="n">
        <f aca="false">I457*(1+IF(J$3&lt;=$O$2,$D457,$D457-($D457-$I$454)*MIN(J$3-$O$2,$Q$2)/$Q$2))</f>
        <v>2600.20856958618</v>
      </c>
      <c r="K457" s="15" t="n">
        <f aca="false">J457*(1+IF(K$3&lt;=$O$2,$D457,$D457-($D457-$I$454)*MIN(K$3-$O$2,$Q$2)/$Q$2))</f>
        <v>2424.22645359659</v>
      </c>
      <c r="L457" s="15" t="n">
        <f aca="false">K457*(1+IF(L$3&lt;=$O$2,$D457,$D457-($D457-$I$454)*MIN(L$3-$O$2,$Q$2)/$Q$2))</f>
        <v>2329.63313737725</v>
      </c>
      <c r="M457" s="15" t="n">
        <f aca="false">L457*(1+IF(M$3&lt;=$O$2,$D457,$D457-($D457-$I$454)*MIN(M$3-$O$2,$Q$2)/$Q$2))</f>
        <v>2305.49813807402</v>
      </c>
      <c r="N457" s="15" t="n">
        <f aca="false">M457*(1+IF(N$3&lt;=$O$2,$D457,$D457-($D457-$I$454)*MIN(N$3-$O$2,$Q$2)/$Q$2))</f>
        <v>2347.68875400078</v>
      </c>
      <c r="O457" s="15" t="n">
        <f aca="false">SUMPRODUCT(E457:N457,1/(1+$F$454)^$E$3:$N$3)*$E$2</f>
        <v>8409.02409915816</v>
      </c>
      <c r="P457" s="15" t="n">
        <f aca="false">N457*$E$2*(1+$I$454)/($F$454-$I$454)/(1+$F$454)^$N$3</f>
        <v>6567.97866677473</v>
      </c>
      <c r="Q457" s="15" t="n">
        <f aca="false">O457+P457</f>
        <v>14977.0027659329</v>
      </c>
      <c r="R457" s="15" t="n">
        <f aca="false">Q457-$G$2+$I$2</f>
        <v>6212.00276593289</v>
      </c>
      <c r="S457" s="40" t="n">
        <f aca="false">R457/$K$2</f>
        <v>11.113103806814</v>
      </c>
      <c r="T457" s="41" t="n">
        <f aca="false">S457-$M$2</f>
        <v>-82.3607235215341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39" t="n">
        <f aca="false">(B458+C458)/2</f>
        <v>0.0625</v>
      </c>
      <c r="E458" s="15" t="n">
        <f aca="false">$C$2*(1+IF(E$3&lt;=$O$2,$D458,$D458-($D458-$I$454)*MIN(E$3-$O$2,$Q$2)/$Q$2))</f>
        <v>5960.625</v>
      </c>
      <c r="F458" s="15" t="n">
        <f aca="false">E458*(1+IF(F$3&lt;=$O$2,$D458,$D458-($D458-$I$454)*MIN(F$3-$O$2,$Q$2)/$Q$2))</f>
        <v>6333.1640625</v>
      </c>
      <c r="G458" s="15" t="n">
        <f aca="false">F458*(1+IF(G$3&lt;=$O$2,$D458,$D458-($D458-$I$454)*MIN(G$3-$O$2,$Q$2)/$Q$2))</f>
        <v>6728.98681640625</v>
      </c>
      <c r="H458" s="15" t="n">
        <f aca="false">G458*(1+IF(H$3&lt;=$O$2,$D458,$D458-($D458-$I$454)*MIN(H$3-$O$2,$Q$2)/$Q$2))</f>
        <v>7149.54849243164</v>
      </c>
      <c r="I458" s="15" t="n">
        <f aca="false">H458*(1+IF(I$3&lt;=$O$2,$D458,$D458-($D458-$I$454)*MIN(I$3-$O$2,$Q$2)/$Q$2))</f>
        <v>7596.39527320862</v>
      </c>
      <c r="J458" s="15" t="n">
        <f aca="false">I458*(1+IF(J$3&lt;=$O$2,$D458,$D458-($D458-$I$454)*MIN(J$3-$O$2,$Q$2)/$Q$2))</f>
        <v>8004.01784356899</v>
      </c>
      <c r="K458" s="15" t="n">
        <f aca="false">J458*(1+IF(K$3&lt;=$O$2,$D458,$D458-($D458-$I$454)*MIN(K$3-$O$2,$Q$2)/$Q$2))</f>
        <v>8362.75792331776</v>
      </c>
      <c r="L458" s="15" t="n">
        <f aca="false">K458*(1+IF(L$3&lt;=$O$2,$D458,$D458-($D458-$I$454)*MIN(L$3-$O$2,$Q$2)/$Q$2))</f>
        <v>8663.64995339873</v>
      </c>
      <c r="M458" s="15" t="n">
        <f aca="false">L458*(1+IF(M$3&lt;=$O$2,$D458,$D458-($D458-$I$454)*MIN(M$3-$O$2,$Q$2)/$Q$2))</f>
        <v>8898.78141313397</v>
      </c>
      <c r="N458" s="15" t="n">
        <f aca="false">M458*(1+IF(N$3&lt;=$O$2,$D458,$D458-($D458-$I$454)*MIN(N$3-$O$2,$Q$2)/$Q$2))</f>
        <v>9061.62911299432</v>
      </c>
      <c r="O458" s="15" t="n">
        <f aca="false">SUMPRODUCT(E458:N458,1/(1+$F$454)^$E$3:$N$3)*$E$2</f>
        <v>18944.9119136028</v>
      </c>
      <c r="P458" s="15" t="n">
        <f aca="false">N458*$E$2*(1+$I$454)/($F$454-$I$454)/(1+$F$454)^$N$3</f>
        <v>25351.1401794413</v>
      </c>
      <c r="Q458" s="15" t="n">
        <f aca="false">O458+P458</f>
        <v>44296.0520930441</v>
      </c>
      <c r="R458" s="15" t="n">
        <f aca="false">Q458-$G$2+$I$2</f>
        <v>35531.0520930441</v>
      </c>
      <c r="S458" s="40" t="n">
        <f aca="false">R458/$K$2</f>
        <v>63.564084749086</v>
      </c>
      <c r="T458" s="41" t="n">
        <f aca="false">S458-$M$2</f>
        <v>-29.9097425792621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39" t="n">
        <f aca="false">(B459+C459)/2</f>
        <v>0.15625</v>
      </c>
      <c r="E459" s="15" t="n">
        <f aca="false">$C$2*(1+IF(E$3&lt;=$O$2,$D459,$D459-($D459-$I$454)*MIN(E$3-$O$2,$Q$2)/$Q$2))</f>
        <v>6486.5625</v>
      </c>
      <c r="F459" s="15" t="n">
        <f aca="false">E459*(1+IF(F$3&lt;=$O$2,$D459,$D459-($D459-$I$454)*MIN(F$3-$O$2,$Q$2)/$Q$2))</f>
        <v>7500.087890625</v>
      </c>
      <c r="G459" s="15" t="n">
        <f aca="false">F459*(1+IF(G$3&lt;=$O$2,$D459,$D459-($D459-$I$454)*MIN(G$3-$O$2,$Q$2)/$Q$2))</f>
        <v>8671.97662353516</v>
      </c>
      <c r="H459" s="15" t="n">
        <f aca="false">G459*(1+IF(H$3&lt;=$O$2,$D459,$D459-($D459-$I$454)*MIN(H$3-$O$2,$Q$2)/$Q$2))</f>
        <v>10026.9729709625</v>
      </c>
      <c r="I459" s="15" t="n">
        <f aca="false">H459*(1+IF(I$3&lt;=$O$2,$D459,$D459-($D459-$I$454)*MIN(I$3-$O$2,$Q$2)/$Q$2))</f>
        <v>11593.6874976754</v>
      </c>
      <c r="J459" s="15" t="n">
        <f aca="false">I459*(1+IF(J$3&lt;=$O$2,$D459,$D459-($D459-$I$454)*MIN(J$3-$O$2,$Q$2)/$Q$2))</f>
        <v>13085.3313311263</v>
      </c>
      <c r="K459" s="15" t="n">
        <f aca="false">J459*(1+IF(K$3&lt;=$O$2,$D459,$D459-($D459-$I$454)*MIN(K$3-$O$2,$Q$2)/$Q$2))</f>
        <v>14407.8657687633</v>
      </c>
      <c r="L459" s="15" t="n">
        <f aca="false">K459*(1+IF(L$3&lt;=$O$2,$D459,$D459-($D459-$I$454)*MIN(L$3-$O$2,$Q$2)/$Q$2))</f>
        <v>15466.555745452</v>
      </c>
      <c r="M459" s="15" t="n">
        <f aca="false">L459*(1+IF(M$3&lt;=$O$2,$D459,$D459-($D459-$I$454)*MIN(M$3-$O$2,$Q$2)/$Q$2))</f>
        <v>16176.3159886108</v>
      </c>
      <c r="N459" s="15" t="n">
        <f aca="false">M459*(1+IF(N$3&lt;=$O$2,$D459,$D459-($D459-$I$454)*MIN(N$3-$O$2,$Q$2)/$Q$2))</f>
        <v>16472.3425712024</v>
      </c>
      <c r="O459" s="15" t="n">
        <f aca="false">SUMPRODUCT(E459:N459,1/(1+$F$454)^$E$3:$N$3)*$E$2</f>
        <v>28531.4659611127</v>
      </c>
      <c r="P459" s="15" t="n">
        <f aca="false">N459*$E$2*(1+$I$454)/($F$454-$I$454)/(1+$F$454)^$N$3</f>
        <v>46083.6192255435</v>
      </c>
      <c r="Q459" s="15" t="n">
        <f aca="false">O459+P459</f>
        <v>74615.0851866562</v>
      </c>
      <c r="R459" s="15" t="n">
        <f aca="false">Q459-$G$2+$I$2</f>
        <v>65850.0851866562</v>
      </c>
      <c r="S459" s="40" t="n">
        <f aca="false">R459/$K$2</f>
        <v>117.804009421904</v>
      </c>
      <c r="T459" s="41" t="n">
        <f aca="false">S459-$M$2</f>
        <v>24.3301820935564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0.0625</v>
      </c>
      <c r="C460" s="25" t="n">
        <f aca="false">IF(T459&gt;0,D459,C459)</f>
        <v>0.15625</v>
      </c>
      <c r="D460" s="39" t="n">
        <f aca="false">(B460+C460)/2</f>
        <v>0.109375</v>
      </c>
      <c r="E460" s="15" t="n">
        <f aca="false">$C$2*(1+IF(E$3&lt;=$O$2,$D460,$D460-($D460-$I$454)*MIN(E$3-$O$2,$Q$2)/$Q$2))</f>
        <v>6223.59375</v>
      </c>
      <c r="F460" s="15" t="n">
        <f aca="false">E460*(1+IF(F$3&lt;=$O$2,$D460,$D460-($D460-$I$454)*MIN(F$3-$O$2,$Q$2)/$Q$2))</f>
        <v>6904.29931640625</v>
      </c>
      <c r="G460" s="15" t="n">
        <f aca="false">F460*(1+IF(G$3&lt;=$O$2,$D460,$D460-($D460-$I$454)*MIN(G$3-$O$2,$Q$2)/$Q$2))</f>
        <v>7659.45705413818</v>
      </c>
      <c r="H460" s="15" t="n">
        <f aca="false">G460*(1+IF(H$3&lt;=$O$2,$D460,$D460-($D460-$I$454)*MIN(H$3-$O$2,$Q$2)/$Q$2))</f>
        <v>8497.21016943455</v>
      </c>
      <c r="I460" s="15" t="n">
        <f aca="false">H460*(1+IF(I$3&lt;=$O$2,$D460,$D460-($D460-$I$454)*MIN(I$3-$O$2,$Q$2)/$Q$2))</f>
        <v>9426.59253171645</v>
      </c>
      <c r="J460" s="15" t="n">
        <f aca="false">I460*(1+IF(J$3&lt;=$O$2,$D460,$D460-($D460-$I$454)*MIN(J$3-$O$2,$Q$2)/$Q$2))</f>
        <v>10285.9207069077</v>
      </c>
      <c r="K460" s="15" t="n">
        <f aca="false">J460*(1+IF(K$3&lt;=$O$2,$D460,$D460-($D460-$I$454)*MIN(K$3-$O$2,$Q$2)/$Q$2))</f>
        <v>11036.2271928731</v>
      </c>
      <c r="L460" s="15" t="n">
        <f aca="false">K460*(1+IF(L$3&lt;=$O$2,$D460,$D460-($D460-$I$454)*MIN(L$3-$O$2,$Q$2)/$Q$2))</f>
        <v>11640.2399071391</v>
      </c>
      <c r="M460" s="15" t="n">
        <f aca="false">L460*(1+IF(M$3&lt;=$O$2,$D460,$D460-($D460-$I$454)*MIN(M$3-$O$2,$Q$2)/$Q$2))</f>
        <v>12065.2832673482</v>
      </c>
      <c r="N460" s="15" t="n">
        <f aca="false">M460*(1+IF(N$3&lt;=$O$2,$D460,$D460-($D460-$I$454)*MIN(N$3-$O$2,$Q$2)/$Q$2))</f>
        <v>12286.0779511407</v>
      </c>
      <c r="O460" s="15" t="n">
        <f aca="false">SUMPRODUCT(E460:N460,1/(1+$F$454)^$E$3:$N$3)*$E$2</f>
        <v>23254.6095118669</v>
      </c>
      <c r="P460" s="15" t="n">
        <f aca="false">N460*$E$2*(1+$I$454)/($F$454-$I$454)/(1+$F$454)^$N$3</f>
        <v>34371.9744552633</v>
      </c>
      <c r="Q460" s="15" t="n">
        <f aca="false">O460+P460</f>
        <v>57626.5839671302</v>
      </c>
      <c r="R460" s="15" t="n">
        <f aca="false">Q460-$G$2+$I$2</f>
        <v>48861.5839671302</v>
      </c>
      <c r="S460" s="40" t="n">
        <f aca="false">R460/$K$2</f>
        <v>87.4120433058969</v>
      </c>
      <c r="T460" s="41" t="n">
        <f aca="false">S460-$M$2</f>
        <v>-6.06178402245121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0.109375</v>
      </c>
      <c r="C461" s="25" t="n">
        <f aca="false">IF(T460&gt;0,D460,C460)</f>
        <v>0.15625</v>
      </c>
      <c r="D461" s="39" t="n">
        <f aca="false">(B461+C461)/2</f>
        <v>0.1328125</v>
      </c>
      <c r="E461" s="15" t="n">
        <f aca="false">$C$2*(1+IF(E$3&lt;=$O$2,$D461,$D461-($D461-$I$454)*MIN(E$3-$O$2,$Q$2)/$Q$2))</f>
        <v>6355.078125</v>
      </c>
      <c r="F461" s="15" t="n">
        <f aca="false">E461*(1+IF(F$3&lt;=$O$2,$D461,$D461-($D461-$I$454)*MIN(F$3-$O$2,$Q$2)/$Q$2))</f>
        <v>7199.11193847656</v>
      </c>
      <c r="G461" s="15" t="n">
        <f aca="false">F461*(1+IF(G$3&lt;=$O$2,$D461,$D461-($D461-$I$454)*MIN(G$3-$O$2,$Q$2)/$Q$2))</f>
        <v>8155.24399280548</v>
      </c>
      <c r="H461" s="15" t="n">
        <f aca="false">G461*(1+IF(H$3&lt;=$O$2,$D461,$D461-($D461-$I$454)*MIN(H$3-$O$2,$Q$2)/$Q$2))</f>
        <v>9238.36233559996</v>
      </c>
      <c r="I461" s="15" t="n">
        <f aca="false">H461*(1+IF(I$3&lt;=$O$2,$D461,$D461-($D461-$I$454)*MIN(I$3-$O$2,$Q$2)/$Q$2))</f>
        <v>10465.3323332968</v>
      </c>
      <c r="J461" s="15" t="n">
        <f aca="false">I461*(1+IF(J$3&lt;=$O$2,$D461,$D461-($D461-$I$454)*MIN(J$3-$O$2,$Q$2)/$Q$2))</f>
        <v>11615.5770100495</v>
      </c>
      <c r="K461" s="15" t="n">
        <f aca="false">J461*(1+IF(K$3&lt;=$O$2,$D461,$D461-($D461-$I$454)*MIN(K$3-$O$2,$Q$2)/$Q$2))</f>
        <v>12626.2193267514</v>
      </c>
      <c r="L461" s="15" t="n">
        <f aca="false">K461*(1+IF(L$3&lt;=$O$2,$D461,$D461-($D461-$I$454)*MIN(L$3-$O$2,$Q$2)/$Q$2))</f>
        <v>13435.6231166928</v>
      </c>
      <c r="M461" s="15" t="n">
        <f aca="false">L461*(1+IF(M$3&lt;=$O$2,$D461,$D461-($D461-$I$454)*MIN(M$3-$O$2,$Q$2)/$Q$2))</f>
        <v>13989.2043781583</v>
      </c>
      <c r="N461" s="15" t="n">
        <f aca="false">M461*(1+IF(N$3&lt;=$O$2,$D461,$D461-($D461-$I$454)*MIN(N$3-$O$2,$Q$2)/$Q$2))</f>
        <v>14245.2068182786</v>
      </c>
      <c r="O461" s="15" t="n">
        <f aca="false">SUMPRODUCT(E461:N461,1/(1+$F$454)^$E$3:$N$3)*$E$2</f>
        <v>25760.6361562074</v>
      </c>
      <c r="P461" s="15" t="n">
        <f aca="false">N461*$E$2*(1+$I$454)/($F$454-$I$454)/(1+$F$454)^$N$3</f>
        <v>39852.903979203</v>
      </c>
      <c r="Q461" s="15" t="n">
        <f aca="false">O461+P461</f>
        <v>65613.5401354104</v>
      </c>
      <c r="R461" s="15" t="n">
        <f aca="false">Q461-$G$2+$I$2</f>
        <v>56848.5401354104</v>
      </c>
      <c r="S461" s="40" t="n">
        <f aca="false">R461/$K$2</f>
        <v>101.700490420785</v>
      </c>
      <c r="T461" s="41" t="n">
        <f aca="false">S461-$M$2</f>
        <v>8.22666309243699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0.109375</v>
      </c>
      <c r="C462" s="25" t="n">
        <f aca="false">IF(T461&gt;0,D461,C461)</f>
        <v>0.1328125</v>
      </c>
      <c r="D462" s="39" t="n">
        <f aca="false">(B462+C462)/2</f>
        <v>0.12109375</v>
      </c>
      <c r="E462" s="15" t="n">
        <f aca="false">$C$2*(1+IF(E$3&lt;=$O$2,$D462,$D462-($D462-$I$454)*MIN(E$3-$O$2,$Q$2)/$Q$2))</f>
        <v>6289.3359375</v>
      </c>
      <c r="F462" s="15" t="n">
        <f aca="false">E462*(1+IF(F$3&lt;=$O$2,$D462,$D462-($D462-$I$454)*MIN(F$3-$O$2,$Q$2)/$Q$2))</f>
        <v>7050.93521118164</v>
      </c>
      <c r="G462" s="15" t="n">
        <f aca="false">F462*(1+IF(G$3&lt;=$O$2,$D462,$D462-($D462-$I$454)*MIN(G$3-$O$2,$Q$2)/$Q$2))</f>
        <v>7904.75939691067</v>
      </c>
      <c r="H462" s="15" t="n">
        <f aca="false">G462*(1+IF(H$3&lt;=$O$2,$D462,$D462-($D462-$I$454)*MIN(H$3-$O$2,$Q$2)/$Q$2))</f>
        <v>8861.97635513032</v>
      </c>
      <c r="I462" s="15" t="n">
        <f aca="false">H462*(1+IF(I$3&lt;=$O$2,$D462,$D462-($D462-$I$454)*MIN(I$3-$O$2,$Q$2)/$Q$2))</f>
        <v>9935.10630438438</v>
      </c>
      <c r="J462" s="15" t="n">
        <f aca="false">I462*(1+IF(J$3&lt;=$O$2,$D462,$D462-($D462-$I$454)*MIN(J$3-$O$2,$Q$2)/$Q$2))</f>
        <v>10933.9322166957</v>
      </c>
      <c r="K462" s="15" t="n">
        <f aca="false">J462*(1+IF(K$3&lt;=$O$2,$D462,$D462-($D462-$I$454)*MIN(K$3-$O$2,$Q$2)/$Q$2))</f>
        <v>11808.3871131412</v>
      </c>
      <c r="L462" s="15" t="n">
        <f aca="false">K462*(1+IF(L$3&lt;=$O$2,$D462,$D462-($D462-$I$454)*MIN(L$3-$O$2,$Q$2)/$Q$2))</f>
        <v>12510.0119544362</v>
      </c>
      <c r="M462" s="15" t="n">
        <f aca="false">L462*(1+IF(M$3&lt;=$O$2,$D462,$D462-($D462-$I$454)*MIN(M$3-$O$2,$Q$2)/$Q$2))</f>
        <v>12996.1353814707</v>
      </c>
      <c r="N462" s="15" t="n">
        <f aca="false">M462*(1+IF(N$3&lt;=$O$2,$D462,$D462-($D462-$I$454)*MIN(N$3-$O$2,$Q$2)/$Q$2))</f>
        <v>13233.9646589516</v>
      </c>
      <c r="O462" s="15" t="n">
        <f aca="false">SUMPRODUCT(E462:N462,1/(1+$F$454)^$E$3:$N$3)*$E$2</f>
        <v>24476.0333777221</v>
      </c>
      <c r="P462" s="15" t="n">
        <f aca="false">N462*$E$2*(1+$I$454)/($F$454-$I$454)/(1+$F$454)^$N$3</f>
        <v>37023.8164700158</v>
      </c>
      <c r="Q462" s="15" t="n">
        <f aca="false">O462+P462</f>
        <v>61499.849847738</v>
      </c>
      <c r="R462" s="15" t="n">
        <f aca="false">Q462-$G$2+$I$2</f>
        <v>52734.849847738</v>
      </c>
      <c r="S462" s="40" t="n">
        <f aca="false">R462/$K$2</f>
        <v>94.3412105043793</v>
      </c>
      <c r="T462" s="41" t="n">
        <f aca="false">S462-$M$2</f>
        <v>0.867383176031225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0.109375</v>
      </c>
      <c r="C463" s="25" t="n">
        <f aca="false">IF(T462&gt;0,D462,C462)</f>
        <v>0.12109375</v>
      </c>
      <c r="D463" s="39" t="n">
        <f aca="false">(B463+C463)/2</f>
        <v>0.115234375</v>
      </c>
      <c r="E463" s="15" t="n">
        <f aca="false">$C$2*(1+IF(E$3&lt;=$O$2,$D463,$D463-($D463-$I$454)*MIN(E$3-$O$2,$Q$2)/$Q$2))</f>
        <v>6256.46484375</v>
      </c>
      <c r="F463" s="15" t="n">
        <f aca="false">E463*(1+IF(F$3&lt;=$O$2,$D463,$D463-($D463-$I$454)*MIN(F$3-$O$2,$Q$2)/$Q$2))</f>
        <v>6977.424659729</v>
      </c>
      <c r="G463" s="15" t="n">
        <f aca="false">F463*(1+IF(G$3&lt;=$O$2,$D463,$D463-($D463-$I$454)*MIN(G$3-$O$2,$Q$2)/$Q$2))</f>
        <v>7781.46382950246</v>
      </c>
      <c r="H463" s="15" t="n">
        <f aca="false">G463*(1+IF(H$3&lt;=$O$2,$D463,$D463-($D463-$I$454)*MIN(H$3-$O$2,$Q$2)/$Q$2))</f>
        <v>8678.15595048029</v>
      </c>
      <c r="I463" s="15" t="n">
        <f aca="false">H463*(1+IF(I$3&lt;=$O$2,$D463,$D463-($D463-$I$454)*MIN(I$3-$O$2,$Q$2)/$Q$2))</f>
        <v>9678.17782758641</v>
      </c>
      <c r="J463" s="15" t="n">
        <f aca="false">I463*(1+IF(J$3&lt;=$O$2,$D463,$D463-($D463-$I$454)*MIN(J$3-$O$2,$Q$2)/$Q$2))</f>
        <v>10605.806976916</v>
      </c>
      <c r="K463" s="15" t="n">
        <f aca="false">J463*(1+IF(K$3&lt;=$O$2,$D463,$D463-($D463-$I$454)*MIN(K$3-$O$2,$Q$2)/$Q$2))</f>
        <v>11416.7336070004</v>
      </c>
      <c r="L463" s="15" t="n">
        <f aca="false">K463*(1+IF(L$3&lt;=$O$2,$D463,$D463-($D463-$I$454)*MIN(L$3-$O$2,$Q$2)/$Q$2))</f>
        <v>12068.3294067029</v>
      </c>
      <c r="M463" s="15" t="n">
        <f aca="false">L463*(1+IF(M$3&lt;=$O$2,$D463,$D463-($D463-$I$454)*MIN(M$3-$O$2,$Q$2)/$Q$2))</f>
        <v>12523.1470285121</v>
      </c>
      <c r="N463" s="15" t="n">
        <f aca="false">M463*(1+IF(N$3&lt;=$O$2,$D463,$D463-($D463-$I$454)*MIN(N$3-$O$2,$Q$2)/$Q$2))</f>
        <v>12752.3206191339</v>
      </c>
      <c r="O463" s="15" t="n">
        <f aca="false">SUMPRODUCT(E463:N463,1/(1+$F$454)^$E$3:$N$3)*$E$2</f>
        <v>23857.6064062764</v>
      </c>
      <c r="P463" s="15" t="n">
        <f aca="false">N463*$E$2*(1+$I$454)/($F$454-$I$454)/(1+$F$454)^$N$3</f>
        <v>35676.3517462057</v>
      </c>
      <c r="Q463" s="15" t="n">
        <f aca="false">O463+P463</f>
        <v>59533.9581524821</v>
      </c>
      <c r="R463" s="15" t="n">
        <f aca="false">Q463-$G$2+$I$2</f>
        <v>50768.9581524821</v>
      </c>
      <c r="S463" s="40" t="n">
        <f aca="false">R463/$K$2</f>
        <v>90.8242837891913</v>
      </c>
      <c r="T463" s="41" t="n">
        <f aca="false">S463-$M$2</f>
        <v>-2.64954353915682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0.115234375</v>
      </c>
      <c r="C464" s="25" t="n">
        <f aca="false">IF(T463&gt;0,D463,C463)</f>
        <v>0.12109375</v>
      </c>
      <c r="D464" s="39" t="n">
        <f aca="false">(B464+C464)/2</f>
        <v>0.1181640625</v>
      </c>
      <c r="E464" s="15" t="n">
        <f aca="false">$C$2*(1+IF(E$3&lt;=$O$2,$D464,$D464-($D464-$I$454)*MIN(E$3-$O$2,$Q$2)/$Q$2))</f>
        <v>6272.900390625</v>
      </c>
      <c r="F464" s="15" t="n">
        <f aca="false">E464*(1+IF(F$3&lt;=$O$2,$D464,$D464-($D464-$I$454)*MIN(F$3-$O$2,$Q$2)/$Q$2))</f>
        <v>7014.13178443909</v>
      </c>
      <c r="G464" s="15" t="n">
        <f aca="false">F464*(1+IF(G$3&lt;=$O$2,$D464,$D464-($D464-$I$454)*MIN(G$3-$O$2,$Q$2)/$Q$2))</f>
        <v>7842.95009099878</v>
      </c>
      <c r="H464" s="15" t="n">
        <f aca="false">G464*(1+IF(H$3&lt;=$O$2,$D464,$D464-($D464-$I$454)*MIN(H$3-$O$2,$Q$2)/$Q$2))</f>
        <v>8769.70493573595</v>
      </c>
      <c r="I464" s="15" t="n">
        <f aca="false">H464*(1+IF(I$3&lt;=$O$2,$D464,$D464-($D464-$I$454)*MIN(I$3-$O$2,$Q$2)/$Q$2))</f>
        <v>9805.96889786881</v>
      </c>
      <c r="J464" s="15" t="n">
        <f aca="false">I464*(1+IF(J$3&lt;=$O$2,$D464,$D464-($D464-$I$454)*MIN(J$3-$O$2,$Q$2)/$Q$2))</f>
        <v>10768.8292414117</v>
      </c>
      <c r="K464" s="15" t="n">
        <f aca="false">J464*(1+IF(K$3&lt;=$O$2,$D464,$D464-($D464-$I$454)*MIN(K$3-$O$2,$Q$2)/$Q$2))</f>
        <v>11611.1502383792</v>
      </c>
      <c r="L464" s="15" t="n">
        <f aca="false">K464*(1+IF(L$3&lt;=$O$2,$D464,$D464-($D464-$I$454)*MIN(L$3-$O$2,$Q$2)/$Q$2))</f>
        <v>12287.4489409825</v>
      </c>
      <c r="M464" s="15" t="n">
        <f aca="false">L464*(1+IF(M$3&lt;=$O$2,$D464,$D464-($D464-$I$454)*MIN(M$3-$O$2,$Q$2)/$Q$2))</f>
        <v>12757.724170404</v>
      </c>
      <c r="N464" s="15" t="n">
        <f aca="false">M464*(1+IF(N$3&lt;=$O$2,$D464,$D464-($D464-$I$454)*MIN(N$3-$O$2,$Q$2)/$Q$2))</f>
        <v>12991.1905227224</v>
      </c>
      <c r="O464" s="15" t="n">
        <f aca="false">SUMPRODUCT(E464:N464,1/(1+$F$454)^$E$3:$N$3)*$E$2</f>
        <v>24164.8686274857</v>
      </c>
      <c r="P464" s="15" t="n">
        <f aca="false">N464*$E$2*(1+$I$454)/($F$454-$I$454)/(1+$F$454)^$N$3</f>
        <v>36344.6227971405</v>
      </c>
      <c r="Q464" s="15" t="n">
        <f aca="false">O464+P464</f>
        <v>60509.4914246262</v>
      </c>
      <c r="R464" s="15" t="n">
        <f aca="false">Q464-$G$2+$I$2</f>
        <v>51744.4914246262</v>
      </c>
      <c r="S464" s="40" t="n">
        <f aca="false">R464/$K$2</f>
        <v>92.5694862510755</v>
      </c>
      <c r="T464" s="41" t="n">
        <f aca="false">S464-$M$2</f>
        <v>-0.904341077272562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0.1181640625</v>
      </c>
      <c r="C465" s="25" t="n">
        <f aca="false">IF(T464&gt;0,D464,C464)</f>
        <v>0.12109375</v>
      </c>
      <c r="D465" s="39" t="n">
        <f aca="false">(B465+C465)/2</f>
        <v>0.11962890625</v>
      </c>
      <c r="E465" s="15" t="n">
        <f aca="false">$C$2*(1+IF(E$3&lt;=$O$2,$D465,$D465-($D465-$I$454)*MIN(E$3-$O$2,$Q$2)/$Q$2))</f>
        <v>6281.1181640625</v>
      </c>
      <c r="F465" s="15" t="n">
        <f aca="false">E465*(1+IF(F$3&lt;=$O$2,$D465,$D465-($D465-$I$454)*MIN(F$3-$O$2,$Q$2)/$Q$2))</f>
        <v>7032.52146005631</v>
      </c>
      <c r="G465" s="15" t="n">
        <f aca="false">F465*(1+IF(G$3&lt;=$O$2,$D465,$D465-($D465-$I$454)*MIN(G$3-$O$2,$Q$2)/$Q$2))</f>
        <v>7873.81431050249</v>
      </c>
      <c r="H465" s="15" t="n">
        <f aca="false">G465*(1+IF(H$3&lt;=$O$2,$D465,$D465-($D465-$I$454)*MIN(H$3-$O$2,$Q$2)/$Q$2))</f>
        <v>8815.7501044835</v>
      </c>
      <c r="I465" s="15" t="n">
        <f aca="false">H465*(1+IF(I$3&lt;=$O$2,$D465,$D465-($D465-$I$454)*MIN(I$3-$O$2,$Q$2)/$Q$2))</f>
        <v>9870.36864725619</v>
      </c>
      <c r="J465" s="15" t="n">
        <f aca="false">I465*(1+IF(J$3&lt;=$O$2,$D465,$D465-($D465-$I$454)*MIN(J$3-$O$2,$Q$2)/$Q$2))</f>
        <v>10851.1193209496</v>
      </c>
      <c r="K465" s="15" t="n">
        <f aca="false">J465*(1+IF(K$3&lt;=$O$2,$D465,$D465-($D465-$I$454)*MIN(K$3-$O$2,$Q$2)/$Q$2))</f>
        <v>11709.414035951</v>
      </c>
      <c r="L465" s="15" t="n">
        <f aca="false">K465*(1+IF(L$3&lt;=$O$2,$D465,$D465-($D465-$I$454)*MIN(L$3-$O$2,$Q$2)/$Q$2))</f>
        <v>12398.2971596454</v>
      </c>
      <c r="M465" s="15" t="n">
        <f aca="false">L465*(1+IF(M$3&lt;=$O$2,$D465,$D465-($D465-$I$454)*MIN(M$3-$O$2,$Q$2)/$Q$2))</f>
        <v>12876.4471757768</v>
      </c>
      <c r="N465" s="15" t="n">
        <f aca="false">M465*(1+IF(N$3&lt;=$O$2,$D465,$D465-($D465-$I$454)*MIN(N$3-$O$2,$Q$2)/$Q$2))</f>
        <v>13112.0861590935</v>
      </c>
      <c r="O465" s="15" t="n">
        <f aca="false">SUMPRODUCT(E465:N465,1/(1+$F$454)^$E$3:$N$3)*$E$2</f>
        <v>24319.9603485428</v>
      </c>
      <c r="P465" s="15" t="n">
        <f aca="false">N465*$E$2*(1+$I$454)/($F$454-$I$454)/(1+$F$454)^$N$3</f>
        <v>36682.8447864218</v>
      </c>
      <c r="Q465" s="15" t="n">
        <f aca="false">O465+P465</f>
        <v>61002.8051349646</v>
      </c>
      <c r="R465" s="15" t="n">
        <f aca="false">Q465-$G$2+$I$2</f>
        <v>52237.8051349646</v>
      </c>
      <c r="S465" s="40" t="n">
        <f aca="false">R465/$K$2</f>
        <v>93.4520110468436</v>
      </c>
      <c r="T465" s="41" t="n">
        <f aca="false">S465-$M$2</f>
        <v>-0.0218162815044991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0.11962890625</v>
      </c>
      <c r="C466" s="25" t="n">
        <f aca="false">IF(T465&gt;0,D465,C465)</f>
        <v>0.12109375</v>
      </c>
      <c r="D466" s="39" t="n">
        <f aca="false">(B466+C466)/2</f>
        <v>0.120361328125</v>
      </c>
      <c r="E466" s="15" t="n">
        <f aca="false">$C$2*(1+IF(E$3&lt;=$O$2,$D466,$D466-($D466-$I$454)*MIN(E$3-$O$2,$Q$2)/$Q$2))</f>
        <v>6285.22705078125</v>
      </c>
      <c r="F466" s="15" t="n">
        <f aca="false">E466*(1+IF(F$3&lt;=$O$2,$D466,$D466-($D466-$I$454)*MIN(F$3-$O$2,$Q$2)/$Q$2))</f>
        <v>7041.72532618046</v>
      </c>
      <c r="G466" s="15" t="n">
        <f aca="false">F466*(1+IF(G$3&lt;=$O$2,$D466,$D466-($D466-$I$454)*MIN(G$3-$O$2,$Q$2)/$Q$2))</f>
        <v>7889.27673873099</v>
      </c>
      <c r="H466" s="15" t="n">
        <f aca="false">G466*(1+IF(H$3&lt;=$O$2,$D466,$D466-($D466-$I$454)*MIN(H$3-$O$2,$Q$2)/$Q$2))</f>
        <v>8838.84056495032</v>
      </c>
      <c r="I466" s="15" t="n">
        <f aca="false">H466*(1+IF(I$3&lt;=$O$2,$D466,$D466-($D466-$I$454)*MIN(I$3-$O$2,$Q$2)/$Q$2))</f>
        <v>9902.69515443286</v>
      </c>
      <c r="J466" s="15" t="n">
        <f aca="false">I466*(1+IF(J$3&lt;=$O$2,$D466,$D466-($D466-$I$454)*MIN(J$3-$O$2,$Q$2)/$Q$2))</f>
        <v>10892.4602513417</v>
      </c>
      <c r="K466" s="15" t="n">
        <f aca="false">J466*(1+IF(K$3&lt;=$O$2,$D466,$D466-($D466-$I$454)*MIN(K$3-$O$2,$Q$2)/$Q$2))</f>
        <v>11758.8116498217</v>
      </c>
      <c r="L466" s="15" t="n">
        <f aca="false">K466*(1+IF(L$3&lt;=$O$2,$D466,$D466-($D466-$I$454)*MIN(L$3-$O$2,$Q$2)/$Q$2))</f>
        <v>12454.0458766744</v>
      </c>
      <c r="M466" s="15" t="n">
        <f aca="false">L466*(1+IF(M$3&lt;=$O$2,$D466,$D466-($D466-$I$454)*MIN(M$3-$O$2,$Q$2)/$Q$2))</f>
        <v>12936.1702087582</v>
      </c>
      <c r="N466" s="15" t="n">
        <f aca="false">M466*(1+IF(N$3&lt;=$O$2,$D466,$D466-($D466-$I$454)*MIN(N$3-$O$2,$Q$2)/$Q$2))</f>
        <v>13172.9021235785</v>
      </c>
      <c r="O466" s="15" t="n">
        <f aca="false">SUMPRODUCT(E466:N466,1/(1+$F$454)^$E$3:$N$3)*$E$2</f>
        <v>24397.8738433146</v>
      </c>
      <c r="P466" s="15" t="n">
        <f aca="false">N466*$E$2*(1+$I$454)/($F$454-$I$454)/(1+$F$454)^$N$3</f>
        <v>36852.9857204174</v>
      </c>
      <c r="Q466" s="15" t="n">
        <f aca="false">O466+P466</f>
        <v>61250.8595637319</v>
      </c>
      <c r="R466" s="15" t="n">
        <f aca="false">Q466-$G$2+$I$2</f>
        <v>52485.8595637319</v>
      </c>
      <c r="S466" s="40" t="n">
        <f aca="false">R466/$K$2</f>
        <v>93.8957736658412</v>
      </c>
      <c r="T466" s="41" t="n">
        <f aca="false">S466-$M$2</f>
        <v>0.421946337493111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0.11962890625</v>
      </c>
      <c r="C467" s="25" t="n">
        <f aca="false">IF(T466&gt;0,D466,C466)</f>
        <v>0.120361328125</v>
      </c>
      <c r="D467" s="39" t="n">
        <f aca="false">(B467+C467)/2</f>
        <v>0.1199951171875</v>
      </c>
      <c r="E467" s="15" t="n">
        <f aca="false">$C$2*(1+IF(E$3&lt;=$O$2,$D467,$D467-($D467-$I$454)*MIN(E$3-$O$2,$Q$2)/$Q$2))</f>
        <v>6283.17260742188</v>
      </c>
      <c r="F467" s="15" t="n">
        <f aca="false">E467*(1+IF(F$3&lt;=$O$2,$D467,$D467-($D467-$I$454)*MIN(F$3-$O$2,$Q$2)/$Q$2))</f>
        <v>7037.12264075875</v>
      </c>
      <c r="G467" s="15" t="n">
        <f aca="false">F467*(1+IF(G$3&lt;=$O$2,$D467,$D467-($D467-$I$454)*MIN(G$3-$O$2,$Q$2)/$Q$2))</f>
        <v>7881.54299669941</v>
      </c>
      <c r="H467" s="15" t="n">
        <f aca="false">G467*(1+IF(H$3&lt;=$O$2,$D467,$D467-($D467-$I$454)*MIN(H$3-$O$2,$Q$2)/$Q$2))</f>
        <v>8827.28967220667</v>
      </c>
      <c r="I467" s="15" t="n">
        <f aca="false">H467*(1+IF(I$3&lt;=$O$2,$D467,$D467-($D467-$I$454)*MIN(I$3-$O$2,$Q$2)/$Q$2))</f>
        <v>9886.52133087112</v>
      </c>
      <c r="J467" s="15" t="n">
        <f aca="false">I467*(1+IF(J$3&lt;=$O$2,$D467,$D467-($D467-$I$454)*MIN(J$3-$O$2,$Q$2)/$Q$2))</f>
        <v>10871.7734274818</v>
      </c>
      <c r="K467" s="15" t="n">
        <f aca="false">J467*(1+IF(K$3&lt;=$O$2,$D467,$D467-($D467-$I$454)*MIN(K$3-$O$2,$Q$2)/$Q$2))</f>
        <v>11734.0906448509</v>
      </c>
      <c r="L467" s="15" t="n">
        <f aca="false">K467*(1+IF(L$3&lt;=$O$2,$D467,$D467-($D467-$I$454)*MIN(L$3-$O$2,$Q$2)/$Q$2))</f>
        <v>12426.1443929385</v>
      </c>
      <c r="M467" s="15" t="n">
        <f aca="false">L467*(1+IF(M$3&lt;=$O$2,$D467,$D467-($D467-$I$454)*MIN(M$3-$O$2,$Q$2)/$Q$2))</f>
        <v>12906.278477375</v>
      </c>
      <c r="N467" s="15" t="n">
        <f aca="false">M467*(1+IF(N$3&lt;=$O$2,$D467,$D467-($D467-$I$454)*MIN(N$3-$O$2,$Q$2)/$Q$2))</f>
        <v>13142.4633735109</v>
      </c>
      <c r="O467" s="15" t="n">
        <f aca="false">SUMPRODUCT(E467:N467,1/(1+$F$454)^$E$3:$N$3)*$E$2</f>
        <v>24358.8863855819</v>
      </c>
      <c r="P467" s="15" t="n">
        <f aca="false">N467*$E$2*(1+$I$454)/($F$454-$I$454)/(1+$F$454)^$N$3</f>
        <v>36767.8291762433</v>
      </c>
      <c r="Q467" s="15" t="n">
        <f aca="false">O467+P467</f>
        <v>61126.7155618252</v>
      </c>
      <c r="R467" s="15" t="n">
        <f aca="false">Q467-$G$2+$I$2</f>
        <v>52361.7155618252</v>
      </c>
      <c r="S467" s="40" t="n">
        <f aca="false">R467/$K$2</f>
        <v>93.6736834266435</v>
      </c>
      <c r="T467" s="41" t="n">
        <f aca="false">S467-$M$2</f>
        <v>0.199856098295442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0.11962890625</v>
      </c>
      <c r="C468" s="25" t="n">
        <f aca="false">IF(T467&gt;0,D467,C467)</f>
        <v>0.1199951171875</v>
      </c>
      <c r="D468" s="39" t="n">
        <f aca="false">(B468+C468)/2</f>
        <v>0.11981201171875</v>
      </c>
      <c r="E468" s="15" t="n">
        <f aca="false">$C$2*(1+IF(E$3&lt;=$O$2,$D468,$D468-($D468-$I$454)*MIN(E$3-$O$2,$Q$2)/$Q$2))</f>
        <v>6282.14538574219</v>
      </c>
      <c r="F468" s="15" t="n">
        <f aca="false">E468*(1+IF(F$3&lt;=$O$2,$D468,$D468-($D468-$I$454)*MIN(F$3-$O$2,$Q$2)/$Q$2))</f>
        <v>7034.82186231762</v>
      </c>
      <c r="G468" s="15" t="n">
        <f aca="false">F468*(1+IF(G$3&lt;=$O$2,$D468,$D468-($D468-$I$454)*MIN(G$3-$O$2,$Q$2)/$Q$2))</f>
        <v>7877.67802172494</v>
      </c>
      <c r="H468" s="15" t="n">
        <f aca="false">G468*(1+IF(H$3&lt;=$O$2,$D468,$D468-($D468-$I$454)*MIN(H$3-$O$2,$Q$2)/$Q$2))</f>
        <v>8821.51847318039</v>
      </c>
      <c r="I468" s="15" t="n">
        <f aca="false">H468*(1+IF(I$3&lt;=$O$2,$D468,$D468-($D468-$I$454)*MIN(I$3-$O$2,$Q$2)/$Q$2))</f>
        <v>9878.44234786625</v>
      </c>
      <c r="J468" s="15" t="n">
        <f aca="false">I468*(1+IF(J$3&lt;=$O$2,$D468,$D468-($D468-$I$454)*MIN(J$3-$O$2,$Q$2)/$Q$2))</f>
        <v>10861.4422871359</v>
      </c>
      <c r="K468" s="15" t="n">
        <f aca="false">J468*(1+IF(K$3&lt;=$O$2,$D468,$D468-($D468-$I$454)*MIN(K$3-$O$2,$Q$2)/$Q$2))</f>
        <v>11721.746795031</v>
      </c>
      <c r="L468" s="15" t="n">
        <f aca="false">K468*(1+IF(L$3&lt;=$O$2,$D468,$D468-($D468-$I$454)*MIN(L$3-$O$2,$Q$2)/$Q$2))</f>
        <v>12412.2140005886</v>
      </c>
      <c r="M468" s="15" t="n">
        <f aca="false">L468*(1+IF(M$3&lt;=$O$2,$D468,$D468-($D468-$I$454)*MIN(M$3-$O$2,$Q$2)/$Q$2))</f>
        <v>12891.3552794161</v>
      </c>
      <c r="N468" s="15" t="n">
        <f aca="false">M468*(1+IF(N$3&lt;=$O$2,$D468,$D468-($D468-$I$454)*MIN(N$3-$O$2,$Q$2)/$Q$2))</f>
        <v>13127.2670810294</v>
      </c>
      <c r="O468" s="15" t="n">
        <f aca="false">SUMPRODUCT(E468:N468,1/(1+$F$454)^$E$3:$N$3)*$E$2</f>
        <v>24339.4156950455</v>
      </c>
      <c r="P468" s="15" t="n">
        <f aca="false">N468*$E$2*(1+$I$454)/($F$454-$I$454)/(1+$F$454)^$N$3</f>
        <v>36725.3154807364</v>
      </c>
      <c r="Q468" s="15" t="n">
        <f aca="false">O468+P468</f>
        <v>61064.7311757819</v>
      </c>
      <c r="R468" s="15" t="n">
        <f aca="false">Q468-$G$2+$I$2</f>
        <v>52299.7311757819</v>
      </c>
      <c r="S468" s="40" t="n">
        <f aca="false">R468/$K$2</f>
        <v>93.5627950477331</v>
      </c>
      <c r="T468" s="41" t="n">
        <f aca="false">S468-$M$2</f>
        <v>0.0889677193850531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0.11962890625</v>
      </c>
      <c r="C469" s="25" t="n">
        <f aca="false">IF(T468&gt;0,D468,C468)</f>
        <v>0.11981201171875</v>
      </c>
      <c r="D469" s="39" t="n">
        <f aca="false">(B469+C469)/2</f>
        <v>0.119720458984375</v>
      </c>
      <c r="E469" s="15" t="n">
        <f aca="false">$C$2*(1+IF(E$3&lt;=$O$2,$D469,$D469-($D469-$I$454)*MIN(E$3-$O$2,$Q$2)/$Q$2))</f>
        <v>6281.63177490234</v>
      </c>
      <c r="F469" s="15" t="n">
        <f aca="false">E469*(1+IF(F$3&lt;=$O$2,$D469,$D469-($D469-$I$454)*MIN(F$3-$O$2,$Q$2)/$Q$2))</f>
        <v>7033.67161416449</v>
      </c>
      <c r="G469" s="15" t="n">
        <f aca="false">F469*(1+IF(G$3&lt;=$O$2,$D469,$D469-($D469-$I$454)*MIN(G$3-$O$2,$Q$2)/$Q$2))</f>
        <v>7875.74600815763</v>
      </c>
      <c r="H469" s="15" t="n">
        <f aca="false">G469*(1+IF(H$3&lt;=$O$2,$D469,$D469-($D469-$I$454)*MIN(H$3-$O$2,$Q$2)/$Q$2))</f>
        <v>8818.63393509862</v>
      </c>
      <c r="I469" s="15" t="n">
        <f aca="false">H469*(1+IF(I$3&lt;=$O$2,$D469,$D469-($D469-$I$454)*MIN(I$3-$O$2,$Q$2)/$Q$2))</f>
        <v>9874.40483742381</v>
      </c>
      <c r="J469" s="15" t="n">
        <f aca="false">I469*(1+IF(J$3&lt;=$O$2,$D469,$D469-($D469-$I$454)*MIN(J$3-$O$2,$Q$2)/$Q$2))</f>
        <v>10856.2797825959</v>
      </c>
      <c r="K469" s="15" t="n">
        <f aca="false">J469*(1+IF(K$3&lt;=$O$2,$D469,$D469-($D469-$I$454)*MIN(K$3-$O$2,$Q$2)/$Q$2))</f>
        <v>11715.5790296656</v>
      </c>
      <c r="L469" s="15" t="n">
        <f aca="false">K469*(1+IF(L$3&lt;=$O$2,$D469,$D469-($D469-$I$454)*MIN(L$3-$O$2,$Q$2)/$Q$2))</f>
        <v>12405.2538868911</v>
      </c>
      <c r="M469" s="15" t="n">
        <f aca="false">L469*(1+IF(M$3&lt;=$O$2,$D469,$D469-($D469-$I$454)*MIN(M$3-$O$2,$Q$2)/$Q$2))</f>
        <v>12883.8993416264</v>
      </c>
      <c r="N469" s="15" t="n">
        <f aca="false">M469*(1+IF(N$3&lt;=$O$2,$D469,$D469-($D469-$I$454)*MIN(N$3-$O$2,$Q$2)/$Q$2))</f>
        <v>13119.6746995782</v>
      </c>
      <c r="O469" s="15" t="n">
        <f aca="false">SUMPRODUCT(E469:N469,1/(1+$F$454)^$E$3:$N$3)*$E$2</f>
        <v>24329.6861044858</v>
      </c>
      <c r="P469" s="15" t="n">
        <f aca="false">N469*$E$2*(1+$I$454)/($F$454-$I$454)/(1+$F$454)^$N$3</f>
        <v>36704.0747607658</v>
      </c>
      <c r="Q469" s="15" t="n">
        <f aca="false">O469+P469</f>
        <v>61033.7608652516</v>
      </c>
      <c r="R469" s="15" t="n">
        <f aca="false">Q469-$G$2+$I$2</f>
        <v>52268.7608652516</v>
      </c>
      <c r="S469" s="40" t="n">
        <f aca="false">R469/$K$2</f>
        <v>93.5073900054592</v>
      </c>
      <c r="T469" s="41" t="n">
        <f aca="false">S469-$M$2</f>
        <v>0.033562677111135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0.11962890625</v>
      </c>
      <c r="C470" s="25" t="n">
        <f aca="false">IF(T469&gt;0,D469,C469)</f>
        <v>0.119720458984375</v>
      </c>
      <c r="D470" s="39" t="n">
        <f aca="false">(B470+C470)/2</f>
        <v>0.119674682617188</v>
      </c>
      <c r="E470" s="15" t="n">
        <f aca="false">$C$2*(1+IF(E$3&lt;=$O$2,$D470,$D470-($D470-$I$454)*MIN(E$3-$O$2,$Q$2)/$Q$2))</f>
        <v>6281.37496948242</v>
      </c>
      <c r="F470" s="15" t="n">
        <f aca="false">E470*(1+IF(F$3&lt;=$O$2,$D470,$D470-($D470-$I$454)*MIN(F$3-$O$2,$Q$2)/$Q$2))</f>
        <v>7033.09652535478</v>
      </c>
      <c r="G470" s="15" t="n">
        <f aca="false">F470*(1+IF(G$3&lt;=$O$2,$D470,$D470-($D470-$I$454)*MIN(G$3-$O$2,$Q$2)/$Q$2))</f>
        <v>7874.78011984265</v>
      </c>
      <c r="H470" s="15" t="n">
        <f aca="false">G470*(1+IF(H$3&lt;=$O$2,$D470,$D470-($D470-$I$454)*MIN(H$3-$O$2,$Q$2)/$Q$2))</f>
        <v>8817.19193136496</v>
      </c>
      <c r="I470" s="15" t="n">
        <f aca="false">H470*(1+IF(I$3&lt;=$O$2,$D470,$D470-($D470-$I$454)*MIN(I$3-$O$2,$Q$2)/$Q$2))</f>
        <v>9872.38657732589</v>
      </c>
      <c r="J470" s="15" t="n">
        <f aca="false">I470*(1+IF(J$3&lt;=$O$2,$D470,$D470-($D470-$I$454)*MIN(J$3-$O$2,$Q$2)/$Q$2))</f>
        <v>10853.6992964514</v>
      </c>
      <c r="K470" s="15" t="n">
        <f aca="false">J470*(1+IF(K$3&lt;=$O$2,$D470,$D470-($D470-$I$454)*MIN(K$3-$O$2,$Q$2)/$Q$2))</f>
        <v>11712.4961864166</v>
      </c>
      <c r="L470" s="15" t="n">
        <f aca="false">K470*(1+IF(L$3&lt;=$O$2,$D470,$D470-($D470-$I$454)*MIN(L$3-$O$2,$Q$2)/$Q$2))</f>
        <v>12401.7751000492</v>
      </c>
      <c r="M470" s="15" t="n">
        <f aca="false">L470*(1+IF(M$3&lt;=$O$2,$D470,$D470-($D470-$I$454)*MIN(M$3-$O$2,$Q$2)/$Q$2))</f>
        <v>12880.1727873115</v>
      </c>
      <c r="N470" s="15" t="n">
        <f aca="false">M470*(1+IF(N$3&lt;=$O$2,$D470,$D470-($D470-$I$454)*MIN(N$3-$O$2,$Q$2)/$Q$2))</f>
        <v>13115.8799493193</v>
      </c>
      <c r="O470" s="15" t="n">
        <f aca="false">SUMPRODUCT(E470:N470,1/(1+$F$454)^$E$3:$N$3)*$E$2</f>
        <v>24324.8227472742</v>
      </c>
      <c r="P470" s="15" t="n">
        <f aca="false">N470*$E$2*(1+$I$454)/($F$454-$I$454)/(1+$F$454)^$N$3</f>
        <v>36693.4584306824</v>
      </c>
      <c r="Q470" s="15" t="n">
        <f aca="false">O470+P470</f>
        <v>61018.2811779565</v>
      </c>
      <c r="R470" s="15" t="n">
        <f aca="false">Q470-$G$2+$I$2</f>
        <v>52253.2811779565</v>
      </c>
      <c r="S470" s="40" t="n">
        <f aca="false">R470/$K$2</f>
        <v>93.4796972663718</v>
      </c>
      <c r="T470" s="41" t="n">
        <f aca="false">S470-$M$2</f>
        <v>0.00586993802370728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0.11962890625</v>
      </c>
      <c r="C471" s="25" t="n">
        <f aca="false">IF(T470&gt;0,D470,C470)</f>
        <v>0.119674682617188</v>
      </c>
      <c r="D471" s="39" t="n">
        <f aca="false">(B471+C471)/2</f>
        <v>0.119651794433594</v>
      </c>
      <c r="E471" s="15" t="n">
        <f aca="false">$C$2*(1+IF(E$3&lt;=$O$2,$D471,$D471-($D471-$I$454)*MIN(E$3-$O$2,$Q$2)/$Q$2))</f>
        <v>6281.24656677246</v>
      </c>
      <c r="F471" s="15" t="n">
        <f aca="false">E471*(1+IF(F$3&lt;=$O$2,$D471,$D471-($D471-$I$454)*MIN(F$3-$O$2,$Q$2)/$Q$2))</f>
        <v>7032.80898976664</v>
      </c>
      <c r="G471" s="15" t="n">
        <f aca="false">F471*(1+IF(G$3&lt;=$O$2,$D471,$D471-($D471-$I$454)*MIN(G$3-$O$2,$Q$2)/$Q$2))</f>
        <v>7874.29720530092</v>
      </c>
      <c r="H471" s="15" t="n">
        <f aca="false">G471*(1+IF(H$3&lt;=$O$2,$D471,$D471-($D471-$I$454)*MIN(H$3-$O$2,$Q$2)/$Q$2))</f>
        <v>8816.47099581861</v>
      </c>
      <c r="I471" s="15" t="n">
        <f aca="false">H471*(1+IF(I$3&lt;=$O$2,$D471,$D471-($D471-$I$454)*MIN(I$3-$O$2,$Q$2)/$Q$2))</f>
        <v>9871.37757104004</v>
      </c>
      <c r="J471" s="15" t="n">
        <f aca="false">I471*(1+IF(J$3&lt;=$O$2,$D471,$D471-($D471-$I$454)*MIN(J$3-$O$2,$Q$2)/$Q$2))</f>
        <v>10852.4092448752</v>
      </c>
      <c r="K471" s="15" t="n">
        <f aca="false">J471*(1+IF(K$3&lt;=$O$2,$D471,$D471-($D471-$I$454)*MIN(K$3-$O$2,$Q$2)/$Q$2))</f>
        <v>11710.9550245939</v>
      </c>
      <c r="L471" s="15" t="n">
        <f aca="false">K471*(1+IF(L$3&lt;=$O$2,$D471,$D471-($D471-$I$454)*MIN(L$3-$O$2,$Q$2)/$Q$2))</f>
        <v>12400.0360240535</v>
      </c>
      <c r="M471" s="15" t="n">
        <f aca="false">L471*(1+IF(M$3&lt;=$O$2,$D471,$D471-($D471-$I$454)*MIN(M$3-$O$2,$Q$2)/$Q$2))</f>
        <v>12878.3098637095</v>
      </c>
      <c r="N471" s="15" t="n">
        <f aca="false">M471*(1+IF(N$3&lt;=$O$2,$D471,$D471-($D471-$I$454)*MIN(N$3-$O$2,$Q$2)/$Q$2))</f>
        <v>13113.9829342154</v>
      </c>
      <c r="O471" s="15" t="n">
        <f aca="false">SUMPRODUCT(E471:N471,1/(1+$F$454)^$E$3:$N$3)*$E$2</f>
        <v>24322.3914281093</v>
      </c>
      <c r="P471" s="15" t="n">
        <f aca="false">N471*$E$2*(1+$I$454)/($F$454-$I$454)/(1+$F$454)^$N$3</f>
        <v>36688.1512728607</v>
      </c>
      <c r="Q471" s="15" t="n">
        <f aca="false">O471+P471</f>
        <v>61010.54270097</v>
      </c>
      <c r="R471" s="15" t="n">
        <f aca="false">Q471-$G$2+$I$2</f>
        <v>52245.54270097</v>
      </c>
      <c r="S471" s="40" t="n">
        <f aca="false">R471/$K$2</f>
        <v>93.4658533417475</v>
      </c>
      <c r="T471" s="41" t="n">
        <f aca="false">S471-$M$2</f>
        <v>-0.00797398660054682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0.119651794433594</v>
      </c>
      <c r="C472" s="25" t="n">
        <f aca="false">IF(T471&gt;0,D471,C471)</f>
        <v>0.119674682617188</v>
      </c>
      <c r="D472" s="39" t="n">
        <f aca="false">(B472+C472)/2</f>
        <v>0.119663238525391</v>
      </c>
      <c r="E472" s="15" t="n">
        <f aca="false">$C$2*(1+IF(E$3&lt;=$O$2,$D472,$D472-($D472-$I$454)*MIN(E$3-$O$2,$Q$2)/$Q$2))</f>
        <v>6281.31076812744</v>
      </c>
      <c r="F472" s="15" t="n">
        <f aca="false">E472*(1+IF(F$3&lt;=$O$2,$D472,$D472-($D472-$I$454)*MIN(F$3-$O$2,$Q$2)/$Q$2))</f>
        <v>7032.95275682598</v>
      </c>
      <c r="G472" s="15" t="n">
        <f aca="false">F472*(1+IF(G$3&lt;=$O$2,$D472,$D472-($D472-$I$454)*MIN(G$3-$O$2,$Q$2)/$Q$2))</f>
        <v>7874.53866010385</v>
      </c>
      <c r="H472" s="15" t="n">
        <f aca="false">G472*(1+IF(H$3&lt;=$O$2,$D472,$D472-($D472-$I$454)*MIN(H$3-$O$2,$Q$2)/$Q$2))</f>
        <v>8816.83145806527</v>
      </c>
      <c r="I472" s="15" t="n">
        <f aca="false">H472*(1+IF(I$3&lt;=$O$2,$D472,$D472-($D472-$I$454)*MIN(I$3-$O$2,$Q$2)/$Q$2))</f>
        <v>9871.8820638699</v>
      </c>
      <c r="J472" s="15" t="n">
        <f aca="false">I472*(1+IF(J$3&lt;=$O$2,$D472,$D472-($D472-$I$454)*MIN(J$3-$O$2,$Q$2)/$Q$2))</f>
        <v>10853.0542547064</v>
      </c>
      <c r="K472" s="15" t="n">
        <f aca="false">J472*(1+IF(K$3&lt;=$O$2,$D472,$D472-($D472-$I$454)*MIN(K$3-$O$2,$Q$2)/$Q$2))</f>
        <v>11711.7255838568</v>
      </c>
      <c r="L472" s="15" t="n">
        <f aca="false">K472*(1+IF(L$3&lt;=$O$2,$D472,$D472-($D472-$I$454)*MIN(L$3-$O$2,$Q$2)/$Q$2))</f>
        <v>12400.9055356015</v>
      </c>
      <c r="M472" s="15" t="n">
        <f aca="false">L472*(1+IF(M$3&lt;=$O$2,$D472,$D472-($D472-$I$454)*MIN(M$3-$O$2,$Q$2)/$Q$2))</f>
        <v>12879.2412960502</v>
      </c>
      <c r="N472" s="15" t="n">
        <f aca="false">M472*(1+IF(N$3&lt;=$O$2,$D472,$D472-($D472-$I$454)*MIN(N$3-$O$2,$Q$2)/$Q$2))</f>
        <v>13114.931411768</v>
      </c>
      <c r="O472" s="15" t="n">
        <f aca="false">SUMPRODUCT(E472:N472,1/(1+$F$454)^$E$3:$N$3)*$E$2</f>
        <v>24323.6070577406</v>
      </c>
      <c r="P472" s="15" t="n">
        <f aca="false">N472*$E$2*(1+$I$454)/($F$454-$I$454)/(1+$F$454)^$N$3</f>
        <v>36690.8047678442</v>
      </c>
      <c r="Q472" s="15" t="n">
        <f aca="false">O472+P472</f>
        <v>61014.4118255847</v>
      </c>
      <c r="R472" s="15" t="n">
        <f aca="false">Q472-$G$2+$I$2</f>
        <v>52249.4118255847</v>
      </c>
      <c r="S472" s="40" t="n">
        <f aca="false">R472/$K$2</f>
        <v>93.4727751003341</v>
      </c>
      <c r="T472" s="41" t="n">
        <f aca="false">S472-$M$2</f>
        <v>-0.00105222801401794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0.119663238525391</v>
      </c>
      <c r="C473" s="25" t="n">
        <f aca="false">IF(T472&gt;0,D472,C472)</f>
        <v>0.119674682617188</v>
      </c>
      <c r="D473" s="39" t="n">
        <f aca="false">(B473+C473)/2</f>
        <v>0.119668960571289</v>
      </c>
      <c r="E473" s="15" t="n">
        <f aca="false">$C$2*(1+IF(E$3&lt;=$O$2,$D473,$D473-($D473-$I$454)*MIN(E$3-$O$2,$Q$2)/$Q$2))</f>
        <v>6281.34286880493</v>
      </c>
      <c r="F473" s="15" t="n">
        <f aca="false">E473*(1+IF(F$3&lt;=$O$2,$D473,$D473-($D473-$I$454)*MIN(F$3-$O$2,$Q$2)/$Q$2))</f>
        <v>7033.0246409067</v>
      </c>
      <c r="G473" s="15" t="n">
        <f aca="false">F473*(1+IF(G$3&lt;=$O$2,$D473,$D473-($D473-$I$454)*MIN(G$3-$O$2,$Q$2)/$Q$2))</f>
        <v>7874.65938935627</v>
      </c>
      <c r="H473" s="15" t="n">
        <f aca="false">G473*(1+IF(H$3&lt;=$O$2,$D473,$D473-($D473-$I$454)*MIN(H$3-$O$2,$Q$2)/$Q$2))</f>
        <v>8817.01169333347</v>
      </c>
      <c r="I473" s="15" t="n">
        <f aca="false">H473*(1+IF(I$3&lt;=$O$2,$D473,$D473-($D473-$I$454)*MIN(I$3-$O$2,$Q$2)/$Q$2))</f>
        <v>9872.13431801959</v>
      </c>
      <c r="J473" s="15" t="n">
        <f aca="false">I473*(1+IF(J$3&lt;=$O$2,$D473,$D473-($D473-$I$454)*MIN(J$3-$O$2,$Q$2)/$Q$2))</f>
        <v>10853.3767715896</v>
      </c>
      <c r="K473" s="15" t="n">
        <f aca="false">J473*(1+IF(K$3&lt;=$O$2,$D473,$D473-($D473-$I$454)*MIN(K$3-$O$2,$Q$2)/$Q$2))</f>
        <v>11712.1108797244</v>
      </c>
      <c r="L473" s="15" t="n">
        <f aca="false">K473*(1+IF(L$3&lt;=$O$2,$D473,$D473-($D473-$I$454)*MIN(L$3-$O$2,$Q$2)/$Q$2))</f>
        <v>12401.3403112127</v>
      </c>
      <c r="M473" s="15" t="n">
        <f aca="false">L473*(1+IF(M$3&lt;=$O$2,$D473,$D473-($D473-$I$454)*MIN(M$3-$O$2,$Q$2)/$Q$2))</f>
        <v>12879.7070343156</v>
      </c>
      <c r="N473" s="15" t="n">
        <f aca="false">M473*(1+IF(N$3&lt;=$O$2,$D473,$D473-($D473-$I$454)*MIN(N$3-$O$2,$Q$2)/$Q$2))</f>
        <v>13115.4056730436</v>
      </c>
      <c r="O473" s="15" t="n">
        <f aca="false">SUMPRODUCT(E473:N473,1/(1+$F$454)^$E$3:$N$3)*$E$2</f>
        <v>24324.2148950194</v>
      </c>
      <c r="P473" s="15" t="n">
        <f aca="false">N473*$E$2*(1+$I$454)/($F$454-$I$454)/(1+$F$454)^$N$3</f>
        <v>36692.1315782808</v>
      </c>
      <c r="Q473" s="15" t="n">
        <f aca="false">O473+P473</f>
        <v>61016.3464733003</v>
      </c>
      <c r="R473" s="15" t="n">
        <f aca="false">Q473-$G$2+$I$2</f>
        <v>52251.3464733003</v>
      </c>
      <c r="S473" s="40" t="n">
        <f aca="false">R473/$K$2</f>
        <v>93.4762361324202</v>
      </c>
      <c r="T473" s="41" t="n">
        <f aca="false">S473-$M$2</f>
        <v>0.00240880407211819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0.119663238525391</v>
      </c>
      <c r="C474" s="25" t="n">
        <f aca="false">IF(T473&gt;0,D473,C473)</f>
        <v>0.119668960571289</v>
      </c>
      <c r="D474" s="39" t="n">
        <f aca="false">(B474+C474)/2</f>
        <v>0.11966609954834</v>
      </c>
      <c r="E474" s="15" t="n">
        <f aca="false">$C$2*(1+IF(E$3&lt;=$O$2,$D474,$D474-($D474-$I$454)*MIN(E$3-$O$2,$Q$2)/$Q$2))</f>
        <v>6281.32681846619</v>
      </c>
      <c r="F474" s="15" t="n">
        <f aca="false">E474*(1+IF(F$3&lt;=$O$2,$D474,$D474-($D474-$I$454)*MIN(F$3-$O$2,$Q$2)/$Q$2))</f>
        <v>7032.98869882042</v>
      </c>
      <c r="G474" s="15" t="n">
        <f aca="false">F474*(1+IF(G$3&lt;=$O$2,$D474,$D474-($D474-$I$454)*MIN(G$3-$O$2,$Q$2)/$Q$2))</f>
        <v>7874.59902457581</v>
      </c>
      <c r="H474" s="15" t="n">
        <f aca="false">G474*(1+IF(H$3&lt;=$O$2,$D474,$D474-($D474-$I$454)*MIN(H$3-$O$2,$Q$2)/$Q$2))</f>
        <v>8816.92157535396</v>
      </c>
      <c r="I474" s="15" t="n">
        <f aca="false">H474*(1+IF(I$3&lt;=$O$2,$D474,$D474-($D474-$I$454)*MIN(I$3-$O$2,$Q$2)/$Q$2))</f>
        <v>9872.00819030017</v>
      </c>
      <c r="J474" s="15" t="n">
        <f aca="false">I474*(1+IF(J$3&lt;=$O$2,$D474,$D474-($D474-$I$454)*MIN(J$3-$O$2,$Q$2)/$Q$2))</f>
        <v>10853.2155121507</v>
      </c>
      <c r="K474" s="15" t="n">
        <f aca="false">J474*(1+IF(K$3&lt;=$O$2,$D474,$D474-($D474-$I$454)*MIN(K$3-$O$2,$Q$2)/$Q$2))</f>
        <v>11711.9182304376</v>
      </c>
      <c r="L474" s="15" t="n">
        <f aca="false">K474*(1+IF(L$3&lt;=$O$2,$D474,$D474-($D474-$I$454)*MIN(L$3-$O$2,$Q$2)/$Q$2))</f>
        <v>12401.122921754</v>
      </c>
      <c r="M474" s="15" t="n">
        <f aca="false">L474*(1+IF(M$3&lt;=$O$2,$D474,$D474-($D474-$I$454)*MIN(M$3-$O$2,$Q$2)/$Q$2))</f>
        <v>12879.4741633416</v>
      </c>
      <c r="N474" s="15" t="n">
        <f aca="false">M474*(1+IF(N$3&lt;=$O$2,$D474,$D474-($D474-$I$454)*MIN(N$3-$O$2,$Q$2)/$Q$2))</f>
        <v>13115.1685405308</v>
      </c>
      <c r="O474" s="15" t="n">
        <f aca="false">SUMPRODUCT(E474:N474,1/(1+$F$454)^$E$3:$N$3)*$E$2</f>
        <v>24323.910974508</v>
      </c>
      <c r="P474" s="15" t="n">
        <f aca="false">N474*$E$2*(1+$I$454)/($F$454-$I$454)/(1+$F$454)^$N$3</f>
        <v>36691.468167817</v>
      </c>
      <c r="Q474" s="15" t="n">
        <f aca="false">O474+P474</f>
        <v>61015.379142325</v>
      </c>
      <c r="R474" s="15" t="n">
        <f aca="false">Q474-$G$2+$I$2</f>
        <v>52250.379142325</v>
      </c>
      <c r="S474" s="40" t="n">
        <f aca="false">R474/$K$2</f>
        <v>93.4745056036441</v>
      </c>
      <c r="T474" s="41" t="n">
        <f aca="false">S474-$M$2</f>
        <v>0.000678275296010611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0.119663238525391</v>
      </c>
      <c r="C475" s="25" t="n">
        <f aca="false">IF(T474&gt;0,D474,C474)</f>
        <v>0.11966609954834</v>
      </c>
      <c r="D475" s="39" t="n">
        <f aca="false">(B475+C475)/2</f>
        <v>0.119664669036865</v>
      </c>
      <c r="E475" s="15" t="n">
        <f aca="false">$C$2*(1+IF(E$3&lt;=$O$2,$D475,$D475-($D475-$I$454)*MIN(E$3-$O$2,$Q$2)/$Q$2))</f>
        <v>6281.31879329681</v>
      </c>
      <c r="F475" s="15" t="n">
        <f aca="false">E475*(1+IF(F$3&lt;=$O$2,$D475,$D475-($D475-$I$454)*MIN(F$3-$O$2,$Q$2)/$Q$2))</f>
        <v>7032.97072781172</v>
      </c>
      <c r="G475" s="15" t="n">
        <f aca="false">F475*(1+IF(G$3&lt;=$O$2,$D475,$D475-($D475-$I$454)*MIN(G$3-$O$2,$Q$2)/$Q$2))</f>
        <v>7874.56884230127</v>
      </c>
      <c r="H475" s="15" t="n">
        <f aca="false">G475*(1+IF(H$3&lt;=$O$2,$D475,$D475-($D475-$I$454)*MIN(H$3-$O$2,$Q$2)/$Q$2))</f>
        <v>8816.87651662326</v>
      </c>
      <c r="I475" s="15" t="n">
        <f aca="false">H475*(1+IF(I$3&lt;=$O$2,$D475,$D475-($D475-$I$454)*MIN(I$3-$O$2,$Q$2)/$Q$2))</f>
        <v>9871.94512692389</v>
      </c>
      <c r="J475" s="15" t="n">
        <f aca="false">I475*(1+IF(J$3&lt;=$O$2,$D475,$D475-($D475-$I$454)*MIN(J$3-$O$2,$Q$2)/$Q$2))</f>
        <v>10853.1348831792</v>
      </c>
      <c r="K475" s="15" t="n">
        <f aca="false">J475*(1+IF(K$3&lt;=$O$2,$D475,$D475-($D475-$I$454)*MIN(K$3-$O$2,$Q$2)/$Q$2))</f>
        <v>11711.8219068089</v>
      </c>
      <c r="L475" s="15" t="n">
        <f aca="false">K475*(1+IF(L$3&lt;=$O$2,$D475,$D475-($D475-$I$454)*MIN(L$3-$O$2,$Q$2)/$Q$2))</f>
        <v>12401.0142282645</v>
      </c>
      <c r="M475" s="15" t="n">
        <f aca="false">L475*(1+IF(M$3&lt;=$O$2,$D475,$D475-($D475-$I$454)*MIN(M$3-$O$2,$Q$2)/$Q$2))</f>
        <v>12879.3577292356</v>
      </c>
      <c r="N475" s="15" t="n">
        <f aca="false">M475*(1+IF(N$3&lt;=$O$2,$D475,$D475-($D475-$I$454)*MIN(N$3-$O$2,$Q$2)/$Q$2))</f>
        <v>13115.0499756806</v>
      </c>
      <c r="O475" s="15" t="n">
        <f aca="false">SUMPRODUCT(E475:N475,1/(1+$F$454)^$E$3:$N$3)*$E$2</f>
        <v>24323.7590156563</v>
      </c>
      <c r="P475" s="15" t="n">
        <f aca="false">N475*$E$2*(1+$I$454)/($F$454-$I$454)/(1+$F$454)^$N$3</f>
        <v>36691.1364665192</v>
      </c>
      <c r="Q475" s="15" t="n">
        <f aca="false">O475+P475</f>
        <v>61014.8954821755</v>
      </c>
      <c r="R475" s="15" t="n">
        <f aca="false">Q475-$G$2+$I$2</f>
        <v>52249.8954821755</v>
      </c>
      <c r="S475" s="40" t="n">
        <f aca="false">R475/$K$2</f>
        <v>93.4736403488058</v>
      </c>
      <c r="T475" s="41" t="n">
        <f aca="false">S475-$M$2</f>
        <v>-0.000186979542235122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0.119664669036865</v>
      </c>
      <c r="C476" s="25" t="n">
        <f aca="false">IF(T475&gt;0,D475,C475)</f>
        <v>0.11966609954834</v>
      </c>
      <c r="D476" s="39" t="n">
        <f aca="false">(B476+C476)/2</f>
        <v>0.119665384292603</v>
      </c>
      <c r="E476" s="15" t="n">
        <f aca="false">$C$2*(1+IF(E$3&lt;=$O$2,$D476,$D476-($D476-$I$454)*MIN(E$3-$O$2,$Q$2)/$Q$2))</f>
        <v>6281.3228058815</v>
      </c>
      <c r="F476" s="15" t="n">
        <f aca="false">E476*(1+IF(F$3&lt;=$O$2,$D476,$D476-($D476-$I$454)*MIN(F$3-$O$2,$Q$2)/$Q$2))</f>
        <v>7032.9797133132</v>
      </c>
      <c r="G476" s="15" t="n">
        <f aca="false">F476*(1+IF(G$3&lt;=$O$2,$D476,$D476-($D476-$I$454)*MIN(G$3-$O$2,$Q$2)/$Q$2))</f>
        <v>7874.5839334289</v>
      </c>
      <c r="H476" s="15" t="n">
        <f aca="false">G476*(1+IF(H$3&lt;=$O$2,$D476,$D476-($D476-$I$454)*MIN(H$3-$O$2,$Q$2)/$Q$2))</f>
        <v>8816.89904596702</v>
      </c>
      <c r="I476" s="15" t="n">
        <f aca="false">H476*(1+IF(I$3&lt;=$O$2,$D476,$D476-($D476-$I$454)*MIN(I$3-$O$2,$Q$2)/$Q$2))</f>
        <v>9871.97665857175</v>
      </c>
      <c r="J476" s="15" t="n">
        <f aca="false">I476*(1+IF(J$3&lt;=$O$2,$D476,$D476-($D476-$I$454)*MIN(J$3-$O$2,$Q$2)/$Q$2))</f>
        <v>10853.1751976026</v>
      </c>
      <c r="K476" s="15" t="n">
        <f aca="false">J476*(1+IF(K$3&lt;=$O$2,$D476,$D476-($D476-$I$454)*MIN(K$3-$O$2,$Q$2)/$Q$2))</f>
        <v>11711.8700685387</v>
      </c>
      <c r="L476" s="15" t="n">
        <f aca="false">K476*(1+IF(L$3&lt;=$O$2,$D476,$D476-($D476-$I$454)*MIN(L$3-$O$2,$Q$2)/$Q$2))</f>
        <v>12401.0685749059</v>
      </c>
      <c r="M476" s="15" t="n">
        <f aca="false">L476*(1+IF(M$3&lt;=$O$2,$D476,$D476-($D476-$I$454)*MIN(M$3-$O$2,$Q$2)/$Q$2))</f>
        <v>12879.4159461735</v>
      </c>
      <c r="N476" s="15" t="n">
        <f aca="false">M476*(1+IF(N$3&lt;=$O$2,$D476,$D476-($D476-$I$454)*MIN(N$3-$O$2,$Q$2)/$Q$2))</f>
        <v>13115.1092579885</v>
      </c>
      <c r="O476" s="15" t="n">
        <f aca="false">SUMPRODUCT(E476:N476,1/(1+$F$454)^$E$3:$N$3)*$E$2</f>
        <v>24323.8349949652</v>
      </c>
      <c r="P476" s="15" t="n">
        <f aca="false">N476*$E$2*(1+$I$454)/($F$454-$I$454)/(1+$F$454)^$N$3</f>
        <v>36691.3023168402</v>
      </c>
      <c r="Q476" s="15" t="n">
        <f aca="false">O476+P476</f>
        <v>61015.1373118054</v>
      </c>
      <c r="R476" s="15" t="n">
        <f aca="false">Q476-$G$2+$I$2</f>
        <v>52250.1373118054</v>
      </c>
      <c r="S476" s="40" t="n">
        <f aca="false">R476/$K$2</f>
        <v>93.4740729754292</v>
      </c>
      <c r="T476" s="41" t="n">
        <f aca="false">S476-$M$2</f>
        <v>0.000245647081086986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0.119664669036865</v>
      </c>
      <c r="C477" s="25" t="n">
        <f aca="false">IF(T476&gt;0,D476,C476)</f>
        <v>0.119665384292603</v>
      </c>
      <c r="D477" s="39" t="n">
        <f aca="false">(B477+C477)/2</f>
        <v>0.119665026664734</v>
      </c>
      <c r="E477" s="15" t="n">
        <f aca="false">$C$2*(1+IF(E$3&lt;=$O$2,$D477,$D477-($D477-$I$454)*MIN(E$3-$O$2,$Q$2)/$Q$2))</f>
        <v>6281.32079958916</v>
      </c>
      <c r="F477" s="15" t="n">
        <f aca="false">E477*(1+IF(F$3&lt;=$O$2,$D477,$D477-($D477-$I$454)*MIN(F$3-$O$2,$Q$2)/$Q$2))</f>
        <v>7032.97522056174</v>
      </c>
      <c r="G477" s="15" t="n">
        <f aca="false">F477*(1+IF(G$3&lt;=$O$2,$D477,$D477-($D477-$I$454)*MIN(G$3-$O$2,$Q$2)/$Q$2))</f>
        <v>7874.57638786268</v>
      </c>
      <c r="H477" s="15" t="n">
        <f aca="false">G477*(1+IF(H$3&lt;=$O$2,$D477,$D477-($D477-$I$454)*MIN(H$3-$O$2,$Q$2)/$Q$2))</f>
        <v>8816.88778128975</v>
      </c>
      <c r="I477" s="15" t="n">
        <f aca="false">H477*(1+IF(I$3&lt;=$O$2,$D477,$D477-($D477-$I$454)*MIN(I$3-$O$2,$Q$2)/$Q$2))</f>
        <v>9871.96089273775</v>
      </c>
      <c r="J477" s="15" t="n">
        <f aca="false">I477*(1+IF(J$3&lt;=$O$2,$D477,$D477-($D477-$I$454)*MIN(J$3-$O$2,$Q$2)/$Q$2))</f>
        <v>10853.1550403753</v>
      </c>
      <c r="K477" s="15" t="n">
        <f aca="false">J477*(1+IF(K$3&lt;=$O$2,$D477,$D477-($D477-$I$454)*MIN(K$3-$O$2,$Q$2)/$Q$2))</f>
        <v>11711.8459876527</v>
      </c>
      <c r="L477" s="15" t="n">
        <f aca="false">K477*(1+IF(L$3&lt;=$O$2,$D477,$D477-($D477-$I$454)*MIN(L$3-$O$2,$Q$2)/$Q$2))</f>
        <v>12401.0414015594</v>
      </c>
      <c r="M477" s="15" t="n">
        <f aca="false">L477*(1+IF(M$3&lt;=$O$2,$D477,$D477-($D477-$I$454)*MIN(M$3-$O$2,$Q$2)/$Q$2))</f>
        <v>12879.3868376758</v>
      </c>
      <c r="N477" s="15" t="n">
        <f aca="false">M477*(1+IF(N$3&lt;=$O$2,$D477,$D477-($D477-$I$454)*MIN(N$3-$O$2,$Q$2)/$Q$2))</f>
        <v>13115.0796168053</v>
      </c>
      <c r="O477" s="15" t="n">
        <f aca="false">SUMPRODUCT(E477:N477,1/(1+$F$454)^$E$3:$N$3)*$E$2</f>
        <v>24323.7970052815</v>
      </c>
      <c r="P477" s="15" t="n">
        <f aca="false">N477*$E$2*(1+$I$454)/($F$454-$I$454)/(1+$F$454)^$N$3</f>
        <v>36691.2193915977</v>
      </c>
      <c r="Q477" s="15" t="n">
        <f aca="false">O477+P477</f>
        <v>61015.0163968792</v>
      </c>
      <c r="R477" s="15" t="n">
        <f aca="false">Q477-$G$2+$I$2</f>
        <v>52250.0163968792</v>
      </c>
      <c r="S477" s="40" t="n">
        <f aca="false">R477/$K$2</f>
        <v>93.4738566619186</v>
      </c>
      <c r="T477" s="41" t="n">
        <f aca="false">S477-$M$2</f>
        <v>2.93335704668607E-005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0.119664669036865</v>
      </c>
      <c r="C478" s="25" t="n">
        <f aca="false">IF(T477&gt;0,D477,C477)</f>
        <v>0.119665026664734</v>
      </c>
      <c r="D478" s="39" t="n">
        <f aca="false">(B478+C478)/2</f>
        <v>0.1196648478508</v>
      </c>
      <c r="E478" s="15" t="n">
        <f aca="false">$C$2*(1+IF(E$3&lt;=$O$2,$D478,$D478-($D478-$I$454)*MIN(E$3-$O$2,$Q$2)/$Q$2))</f>
        <v>6281.31979644299</v>
      </c>
      <c r="F478" s="15" t="n">
        <f aca="false">E478*(1+IF(F$3&lt;=$O$2,$D478,$D478-($D478-$I$454)*MIN(F$3-$O$2,$Q$2)/$Q$2))</f>
        <v>7032.97297418655</v>
      </c>
      <c r="G478" s="15" t="n">
        <f aca="false">F478*(1+IF(G$3&lt;=$O$2,$D478,$D478-($D478-$I$454)*MIN(G$3-$O$2,$Q$2)/$Q$2))</f>
        <v>7874.57261508137</v>
      </c>
      <c r="H478" s="15" t="n">
        <f aca="false">G478*(1+IF(H$3&lt;=$O$2,$D478,$D478-($D478-$I$454)*MIN(H$3-$O$2,$Q$2)/$Q$2))</f>
        <v>8816.88214895515</v>
      </c>
      <c r="I478" s="15" t="n">
        <f aca="false">H478*(1+IF(I$3&lt;=$O$2,$D478,$D478-($D478-$I$454)*MIN(I$3-$O$2,$Q$2)/$Q$2))</f>
        <v>9871.9530098283</v>
      </c>
      <c r="J478" s="15" t="n">
        <f aca="false">I478*(1+IF(J$3&lt;=$O$2,$D478,$D478-($D478-$I$454)*MIN(J$3-$O$2,$Q$2)/$Q$2))</f>
        <v>10853.1449617734</v>
      </c>
      <c r="K478" s="15" t="n">
        <f aca="false">J478*(1+IF(K$3&lt;=$O$2,$D478,$D478-($D478-$I$454)*MIN(K$3-$O$2,$Q$2)/$Q$2))</f>
        <v>11711.8339472255</v>
      </c>
      <c r="L478" s="15" t="n">
        <f aca="false">K478*(1+IF(L$3&lt;=$O$2,$D478,$D478-($D478-$I$454)*MIN(L$3-$O$2,$Q$2)/$Q$2))</f>
        <v>12401.0278149055</v>
      </c>
      <c r="M478" s="15" t="n">
        <f aca="false">L478*(1+IF(M$3&lt;=$O$2,$D478,$D478-($D478-$I$454)*MIN(M$3-$O$2,$Q$2)/$Q$2))</f>
        <v>12879.3722834485</v>
      </c>
      <c r="N478" s="15" t="n">
        <f aca="false">M478*(1+IF(N$3&lt;=$O$2,$D478,$D478-($D478-$I$454)*MIN(N$3-$O$2,$Q$2)/$Q$2))</f>
        <v>13115.0647962356</v>
      </c>
      <c r="O478" s="15" t="n">
        <f aca="false">SUMPRODUCT(E478:N478,1/(1+$F$454)^$E$3:$N$3)*$E$2</f>
        <v>24323.7780104616</v>
      </c>
      <c r="P478" s="15" t="n">
        <f aca="false">N478*$E$2*(1+$I$454)/($F$454-$I$454)/(1+$F$454)^$N$3</f>
        <v>36691.177929038</v>
      </c>
      <c r="Q478" s="15" t="n">
        <f aca="false">O478+P478</f>
        <v>61014.9559394996</v>
      </c>
      <c r="R478" s="15" t="n">
        <f aca="false">Q478-$G$2+$I$2</f>
        <v>52249.9559394996</v>
      </c>
      <c r="S478" s="40" t="n">
        <f aca="false">R478/$K$2</f>
        <v>93.4737485053125</v>
      </c>
      <c r="T478" s="41" t="n">
        <f aca="false">S478-$M$2</f>
        <v>-7.8823035622122E-005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0.1196648478508</v>
      </c>
      <c r="C479" s="25" t="n">
        <f aca="false">IF(T478&gt;0,D478,C478)</f>
        <v>0.119665026664734</v>
      </c>
      <c r="D479" s="39" t="n">
        <f aca="false">(B479+C479)/2</f>
        <v>0.119664937257767</v>
      </c>
      <c r="E479" s="15" t="n">
        <f aca="false">$C$2*(1+IF(E$3&lt;=$O$2,$D479,$D479-($D479-$I$454)*MIN(E$3-$O$2,$Q$2)/$Q$2))</f>
        <v>6281.32029801607</v>
      </c>
      <c r="F479" s="15" t="n">
        <f aca="false">E479*(1+IF(F$3&lt;=$O$2,$D479,$D479-($D479-$I$454)*MIN(F$3-$O$2,$Q$2)/$Q$2))</f>
        <v>7032.9740973741</v>
      </c>
      <c r="G479" s="15" t="n">
        <f aca="false">F479*(1+IF(G$3&lt;=$O$2,$D479,$D479-($D479-$I$454)*MIN(G$3-$O$2,$Q$2)/$Q$2))</f>
        <v>7874.57450147187</v>
      </c>
      <c r="H479" s="15" t="n">
        <f aca="false">G479*(1+IF(H$3&lt;=$O$2,$D479,$D479-($D479-$I$454)*MIN(H$3-$O$2,$Q$2)/$Q$2))</f>
        <v>8816.88496512211</v>
      </c>
      <c r="I479" s="15" t="n">
        <f aca="false">H479*(1+IF(I$3&lt;=$O$2,$D479,$D479-($D479-$I$454)*MIN(I$3-$O$2,$Q$2)/$Q$2))</f>
        <v>9871.9569512824</v>
      </c>
      <c r="J479" s="15" t="n">
        <f aca="false">I479*(1+IF(J$3&lt;=$O$2,$D479,$D479-($D479-$I$454)*MIN(J$3-$O$2,$Q$2)/$Q$2))</f>
        <v>10853.1500010734</v>
      </c>
      <c r="K479" s="15" t="n">
        <f aca="false">J479*(1+IF(K$3&lt;=$O$2,$D479,$D479-($D479-$I$454)*MIN(K$3-$O$2,$Q$2)/$Q$2))</f>
        <v>11711.8399674378</v>
      </c>
      <c r="L479" s="15" t="n">
        <f aca="false">K479*(1+IF(L$3&lt;=$O$2,$D479,$D479-($D479-$I$454)*MIN(L$3-$O$2,$Q$2)/$Q$2))</f>
        <v>12401.0346082308</v>
      </c>
      <c r="M479" s="15" t="n">
        <f aca="false">L479*(1+IF(M$3&lt;=$O$2,$D479,$D479-($D479-$I$454)*MIN(M$3-$O$2,$Q$2)/$Q$2))</f>
        <v>12879.3795605604</v>
      </c>
      <c r="N479" s="15" t="n">
        <f aca="false">M479*(1+IF(N$3&lt;=$O$2,$D479,$D479-($D479-$I$454)*MIN(N$3-$O$2,$Q$2)/$Q$2))</f>
        <v>13115.0722065186</v>
      </c>
      <c r="O479" s="15" t="n">
        <f aca="false">SUMPRODUCT(E479:N479,1/(1+$F$454)^$E$3:$N$3)*$E$2</f>
        <v>24323.7875078697</v>
      </c>
      <c r="P479" s="15" t="n">
        <f aca="false">N479*$E$2*(1+$I$454)/($F$454-$I$454)/(1+$F$454)^$N$3</f>
        <v>36691.1986603127</v>
      </c>
      <c r="Q479" s="15" t="n">
        <f aca="false">O479+P479</f>
        <v>61014.9861681824</v>
      </c>
      <c r="R479" s="15" t="n">
        <f aca="false">Q479-$G$2+$I$2</f>
        <v>52249.9861681824</v>
      </c>
      <c r="S479" s="40" t="n">
        <f aca="false">R479/$K$2</f>
        <v>93.4738025836031</v>
      </c>
      <c r="T479" s="41" t="n">
        <f aca="false">S479-$M$2</f>
        <v>-2.4744745019234E-005</v>
      </c>
    </row>
    <row r="481" customFormat="false" ht="15" hidden="false" customHeight="false" outlineLevel="0" collapsed="false">
      <c r="A481" s="36" t="s">
        <v>203</v>
      </c>
      <c r="E481" s="5" t="s">
        <v>11</v>
      </c>
      <c r="F481" s="12" t="n">
        <f aca="false">Sensitivity!$B$13</f>
        <v>0.0817360315529091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6" t="s">
        <v>167</v>
      </c>
      <c r="B482" s="28" t="s">
        <v>168</v>
      </c>
      <c r="C482" s="28" t="s">
        <v>169</v>
      </c>
      <c r="D482" s="28" t="s">
        <v>170</v>
      </c>
      <c r="E482" s="28" t="s">
        <v>171</v>
      </c>
      <c r="F482" s="28" t="s">
        <v>172</v>
      </c>
      <c r="G482" s="28" t="s">
        <v>173</v>
      </c>
      <c r="H482" s="28" t="s">
        <v>174</v>
      </c>
      <c r="I482" s="28" t="s">
        <v>175</v>
      </c>
      <c r="J482" s="28" t="s">
        <v>176</v>
      </c>
      <c r="K482" s="28" t="s">
        <v>177</v>
      </c>
      <c r="L482" s="28" t="s">
        <v>178</v>
      </c>
      <c r="M482" s="28" t="s">
        <v>179</v>
      </c>
      <c r="N482" s="28" t="s">
        <v>180</v>
      </c>
      <c r="O482" s="28" t="s">
        <v>181</v>
      </c>
      <c r="P482" s="28" t="s">
        <v>182</v>
      </c>
      <c r="Q482" s="28" t="s">
        <v>183</v>
      </c>
      <c r="R482" s="28" t="s">
        <v>184</v>
      </c>
      <c r="S482" s="28" t="s">
        <v>185</v>
      </c>
      <c r="T482" s="28" t="s">
        <v>186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39" t="n">
        <f aca="false">(B483+C483)/2</f>
        <v>0.25</v>
      </c>
      <c r="E483" s="15" t="n">
        <f aca="false">$C$2*(1+IF(E$3&lt;=$O$2,$D483,$D483-($D483-$I$481)*MIN(E$3-$O$2,$Q$2)/$Q$2))</f>
        <v>7012.5</v>
      </c>
      <c r="F483" s="15" t="n">
        <f aca="false">E483*(1+IF(F$3&lt;=$O$2,$D483,$D483-($D483-$I$481)*MIN(F$3-$O$2,$Q$2)/$Q$2))</f>
        <v>8765.625</v>
      </c>
      <c r="G483" s="15" t="n">
        <f aca="false">F483*(1+IF(G$3&lt;=$O$2,$D483,$D483-($D483-$I$481)*MIN(G$3-$O$2,$Q$2)/$Q$2))</f>
        <v>10957.03125</v>
      </c>
      <c r="H483" s="15" t="n">
        <f aca="false">G483*(1+IF(H$3&lt;=$O$2,$D483,$D483-($D483-$I$481)*MIN(H$3-$O$2,$Q$2)/$Q$2))</f>
        <v>13696.2890625</v>
      </c>
      <c r="I483" s="15" t="n">
        <f aca="false">H483*(1+IF(I$3&lt;=$O$2,$D483,$D483-($D483-$I$481)*MIN(I$3-$O$2,$Q$2)/$Q$2))</f>
        <v>17120.361328125</v>
      </c>
      <c r="J483" s="15" t="n">
        <f aca="false">I483*(1+IF(J$3&lt;=$O$2,$D483,$D483-($D483-$I$481)*MIN(J$3-$O$2,$Q$2)/$Q$2))</f>
        <v>20624.2144775391</v>
      </c>
      <c r="K483" s="15" t="n">
        <f aca="false">J483*(1+IF(K$3&lt;=$O$2,$D483,$D483-($D483-$I$481)*MIN(K$3-$O$2,$Q$2)/$Q$2))</f>
        <v>23910.0643281006</v>
      </c>
      <c r="L483" s="15" t="n">
        <f aca="false">K483*(1+IF(L$3&lt;=$O$2,$D483,$D483-($D483-$I$481)*MIN(L$3-$O$2,$Q$2)/$Q$2))</f>
        <v>26635.3334602175</v>
      </c>
      <c r="M483" s="15" t="n">
        <f aca="false">L483*(1+IF(M$3&lt;=$O$2,$D483,$D483-($D483-$I$481)*MIN(M$3-$O$2,$Q$2)/$Q$2))</f>
        <v>28463.5827489268</v>
      </c>
      <c r="N483" s="15" t="n">
        <f aca="false">M483*(1+IF(N$3&lt;=$O$2,$D483,$D483-($D483-$I$481)*MIN(N$3-$O$2,$Q$2)/$Q$2))</f>
        <v>29126.7842269768</v>
      </c>
      <c r="O483" s="15" t="n">
        <f aca="false">SUMPRODUCT(E483:N483,1/(1+$F$481)^$E$3:$N$3)*$E$2</f>
        <v>42967.3229711478</v>
      </c>
      <c r="P483" s="15" t="n">
        <f aca="false">N483*$E$2*(1+$I$481)/($F$481-$I$481)/(1+$F$481)^$N$3</f>
        <v>88892.7361938146</v>
      </c>
      <c r="Q483" s="15" t="n">
        <f aca="false">O483+P483</f>
        <v>131860.059164962</v>
      </c>
      <c r="R483" s="15" t="n">
        <f aca="false">Q483-$G$2+$I$2</f>
        <v>123095.059164962</v>
      </c>
      <c r="S483" s="40" t="n">
        <f aca="false">R483/$K$2</f>
        <v>220.213709193464</v>
      </c>
      <c r="T483" s="41" t="n">
        <f aca="false">S483-$M$2</f>
        <v>126.739881865116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39" t="n">
        <f aca="false">(B484+C484)/2</f>
        <v>-0.125</v>
      </c>
      <c r="E484" s="15" t="n">
        <f aca="false">$C$2*(1+IF(E$3&lt;=$O$2,$D484,$D484-($D484-$I$481)*MIN(E$3-$O$2,$Q$2)/$Q$2))</f>
        <v>4908.75</v>
      </c>
      <c r="F484" s="15" t="n">
        <f aca="false">E484*(1+IF(F$3&lt;=$O$2,$D484,$D484-($D484-$I$481)*MIN(F$3-$O$2,$Q$2)/$Q$2))</f>
        <v>4295.15625</v>
      </c>
      <c r="G484" s="15" t="n">
        <f aca="false">F484*(1+IF(G$3&lt;=$O$2,$D484,$D484-($D484-$I$481)*MIN(G$3-$O$2,$Q$2)/$Q$2))</f>
        <v>3758.26171875</v>
      </c>
      <c r="H484" s="15" t="n">
        <f aca="false">G484*(1+IF(H$3&lt;=$O$2,$D484,$D484-($D484-$I$481)*MIN(H$3-$O$2,$Q$2)/$Q$2))</f>
        <v>3288.47900390625</v>
      </c>
      <c r="I484" s="15" t="n">
        <f aca="false">H484*(1+IF(I$3&lt;=$O$2,$D484,$D484-($D484-$I$481)*MIN(I$3-$O$2,$Q$2)/$Q$2))</f>
        <v>2877.41912841797</v>
      </c>
      <c r="J484" s="15" t="n">
        <f aca="false">I484*(1+IF(J$3&lt;=$O$2,$D484,$D484-($D484-$I$481)*MIN(J$3-$O$2,$Q$2)/$Q$2))</f>
        <v>2603.0859887146</v>
      </c>
      <c r="K484" s="15" t="n">
        <f aca="false">J484*(1+IF(K$3&lt;=$O$2,$D484,$D484-($D484-$I$481)*MIN(K$3-$O$2,$Q$2)/$Q$2))</f>
        <v>2432.11530097583</v>
      </c>
      <c r="L484" s="15" t="n">
        <f aca="false">K484*(1+IF(L$3&lt;=$O$2,$D484,$D484-($D484-$I$481)*MIN(L$3-$O$2,$Q$2)/$Q$2))</f>
        <v>2344.51050783468</v>
      </c>
      <c r="M484" s="15" t="n">
        <f aca="false">L484*(1+IF(M$3&lt;=$O$2,$D484,$D484-($D484-$I$481)*MIN(M$3-$O$2,$Q$2)/$Q$2))</f>
        <v>2329.59942100485</v>
      </c>
      <c r="N484" s="15" t="n">
        <f aca="false">M484*(1+IF(N$3&lt;=$O$2,$D484,$D484-($D484-$I$481)*MIN(N$3-$O$2,$Q$2)/$Q$2))</f>
        <v>2383.87908751426</v>
      </c>
      <c r="O484" s="15" t="n">
        <f aca="false">SUMPRODUCT(E484:N484,1/(1+$F$481)^$E$3:$N$3)*$E$2</f>
        <v>8425.33615059643</v>
      </c>
      <c r="P484" s="15" t="n">
        <f aca="false">N484*$E$2*(1+$I$481)/($F$481-$I$481)/(1+$F$481)^$N$3</f>
        <v>7275.41815783731</v>
      </c>
      <c r="Q484" s="15" t="n">
        <f aca="false">O484+P484</f>
        <v>15700.7543084337</v>
      </c>
      <c r="R484" s="15" t="n">
        <f aca="false">Q484-$G$2+$I$2</f>
        <v>6935.75430843375</v>
      </c>
      <c r="S484" s="40" t="n">
        <f aca="false">R484/$K$2</f>
        <v>12.4078756099212</v>
      </c>
      <c r="T484" s="41" t="n">
        <f aca="false">S484-$M$2</f>
        <v>-81.0659517184269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39" t="n">
        <f aca="false">(B485+C485)/2</f>
        <v>0.0625</v>
      </c>
      <c r="E485" s="15" t="n">
        <f aca="false">$C$2*(1+IF(E$3&lt;=$O$2,$D485,$D485-($D485-$I$481)*MIN(E$3-$O$2,$Q$2)/$Q$2))</f>
        <v>5960.625</v>
      </c>
      <c r="F485" s="15" t="n">
        <f aca="false">E485*(1+IF(F$3&lt;=$O$2,$D485,$D485-($D485-$I$481)*MIN(F$3-$O$2,$Q$2)/$Q$2))</f>
        <v>6333.1640625</v>
      </c>
      <c r="G485" s="15" t="n">
        <f aca="false">F485*(1+IF(G$3&lt;=$O$2,$D485,$D485-($D485-$I$481)*MIN(G$3-$O$2,$Q$2)/$Q$2))</f>
        <v>6728.98681640625</v>
      </c>
      <c r="H485" s="15" t="n">
        <f aca="false">G485*(1+IF(H$3&lt;=$O$2,$D485,$D485-($D485-$I$481)*MIN(H$3-$O$2,$Q$2)/$Q$2))</f>
        <v>7149.54849243164</v>
      </c>
      <c r="I485" s="15" t="n">
        <f aca="false">H485*(1+IF(I$3&lt;=$O$2,$D485,$D485-($D485-$I$481)*MIN(I$3-$O$2,$Q$2)/$Q$2))</f>
        <v>7596.39527320862</v>
      </c>
      <c r="J485" s="15" t="n">
        <f aca="false">I485*(1+IF(J$3&lt;=$O$2,$D485,$D485-($D485-$I$481)*MIN(J$3-$O$2,$Q$2)/$Q$2))</f>
        <v>8011.6142388422</v>
      </c>
      <c r="K485" s="15" t="n">
        <f aca="false">J485*(1+IF(K$3&lt;=$O$2,$D485,$D485-($D485-$I$481)*MIN(K$3-$O$2,$Q$2)/$Q$2))</f>
        <v>8386.71801750479</v>
      </c>
      <c r="L485" s="15" t="n">
        <f aca="false">K485*(1+IF(L$3&lt;=$O$2,$D485,$D485-($D485-$I$481)*MIN(L$3-$O$2,$Q$2)/$Q$2))</f>
        <v>8713.63228582713</v>
      </c>
      <c r="M485" s="15" t="n">
        <f aca="false">L485*(1+IF(M$3&lt;=$O$2,$D485,$D485-($D485-$I$481)*MIN(M$3-$O$2,$Q$2)/$Q$2))</f>
        <v>8984.97479520779</v>
      </c>
      <c r="N485" s="15" t="n">
        <f aca="false">M485*(1+IF(N$3&lt;=$O$2,$D485,$D485-($D485-$I$481)*MIN(N$3-$O$2,$Q$2)/$Q$2))</f>
        <v>9194.32470793613</v>
      </c>
      <c r="O485" s="15" t="n">
        <f aca="false">SUMPRODUCT(E485:N485,1/(1+$F$481)^$E$3:$N$3)*$E$2</f>
        <v>19001.5797553188</v>
      </c>
      <c r="P485" s="15" t="n">
        <f aca="false">N485*$E$2*(1+$I$481)/($F$481-$I$481)/(1+$F$481)^$N$3</f>
        <v>28060.3816189862</v>
      </c>
      <c r="Q485" s="15" t="n">
        <f aca="false">O485+P485</f>
        <v>47061.961374305</v>
      </c>
      <c r="R485" s="15" t="n">
        <f aca="false">Q485-$G$2+$I$2</f>
        <v>38296.961374305</v>
      </c>
      <c r="S485" s="40" t="n">
        <f aca="false">R485/$K$2</f>
        <v>68.5122211426259</v>
      </c>
      <c r="T485" s="41" t="n">
        <f aca="false">S485-$M$2</f>
        <v>-24.9616061857221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0.0625</v>
      </c>
      <c r="C486" s="25" t="n">
        <f aca="false">IF(T485&gt;0,D485,C485)</f>
        <v>0.25</v>
      </c>
      <c r="D486" s="39" t="n">
        <f aca="false">(B486+C486)/2</f>
        <v>0.15625</v>
      </c>
      <c r="E486" s="15" t="n">
        <f aca="false">$C$2*(1+IF(E$3&lt;=$O$2,$D486,$D486-($D486-$I$481)*MIN(E$3-$O$2,$Q$2)/$Q$2))</f>
        <v>6486.5625</v>
      </c>
      <c r="F486" s="15" t="n">
        <f aca="false">E486*(1+IF(F$3&lt;=$O$2,$D486,$D486-($D486-$I$481)*MIN(F$3-$O$2,$Q$2)/$Q$2))</f>
        <v>7500.087890625</v>
      </c>
      <c r="G486" s="15" t="n">
        <f aca="false">F486*(1+IF(G$3&lt;=$O$2,$D486,$D486-($D486-$I$481)*MIN(G$3-$O$2,$Q$2)/$Q$2))</f>
        <v>8671.97662353516</v>
      </c>
      <c r="H486" s="15" t="n">
        <f aca="false">G486*(1+IF(H$3&lt;=$O$2,$D486,$D486-($D486-$I$481)*MIN(H$3-$O$2,$Q$2)/$Q$2))</f>
        <v>10026.9729709625</v>
      </c>
      <c r="I486" s="15" t="n">
        <f aca="false">H486*(1+IF(I$3&lt;=$O$2,$D486,$D486-($D486-$I$481)*MIN(I$3-$O$2,$Q$2)/$Q$2))</f>
        <v>11593.6874976754</v>
      </c>
      <c r="J486" s="15" t="n">
        <f aca="false">I486*(1+IF(J$3&lt;=$O$2,$D486,$D486-($D486-$I$481)*MIN(J$3-$O$2,$Q$2)/$Q$2))</f>
        <v>13096.925018624</v>
      </c>
      <c r="K486" s="15" t="n">
        <f aca="false">J486*(1+IF(K$3&lt;=$O$2,$D486,$D486-($D486-$I$481)*MIN(K$3-$O$2,$Q$2)/$Q$2))</f>
        <v>14446.8250802936</v>
      </c>
      <c r="L486" s="15" t="n">
        <f aca="false">K486*(1+IF(L$3&lt;=$O$2,$D486,$D486-($D486-$I$481)*MIN(L$3-$O$2,$Q$2)/$Q$2))</f>
        <v>15551.7182624344</v>
      </c>
      <c r="M486" s="15" t="n">
        <f aca="false">L486*(1+IF(M$3&lt;=$O$2,$D486,$D486-($D486-$I$481)*MIN(M$3-$O$2,$Q$2)/$Q$2))</f>
        <v>16327.5934865473</v>
      </c>
      <c r="N486" s="15" t="n">
        <f aca="false">M486*(1+IF(N$3&lt;=$O$2,$D486,$D486-($D486-$I$481)*MIN(N$3-$O$2,$Q$2)/$Q$2))</f>
        <v>16708.0264147839</v>
      </c>
      <c r="O486" s="15" t="n">
        <f aca="false">SUMPRODUCT(E486:N486,1/(1+$F$481)^$E$3:$N$3)*$E$2</f>
        <v>28629.7901587378</v>
      </c>
      <c r="P486" s="15" t="n">
        <f aca="false">N486*$E$2*(1+$I$481)/($F$481-$I$481)/(1+$F$481)^$N$3</f>
        <v>50991.6293139246</v>
      </c>
      <c r="Q486" s="15" t="n">
        <f aca="false">O486+P486</f>
        <v>79621.4194726624</v>
      </c>
      <c r="R486" s="15" t="n">
        <f aca="false">Q486-$G$2+$I$2</f>
        <v>70856.4194726624</v>
      </c>
      <c r="S486" s="40" t="n">
        <f aca="false">R486/$K$2</f>
        <v>126.760205146271</v>
      </c>
      <c r="T486" s="41" t="n">
        <f aca="false">S486-$M$2</f>
        <v>33.2863778179226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0.0625</v>
      </c>
      <c r="C487" s="25" t="n">
        <f aca="false">IF(T486&gt;0,D486,C486)</f>
        <v>0.15625</v>
      </c>
      <c r="D487" s="39" t="n">
        <f aca="false">(B487+C487)/2</f>
        <v>0.109375</v>
      </c>
      <c r="E487" s="15" t="n">
        <f aca="false">$C$2*(1+IF(E$3&lt;=$O$2,$D487,$D487-($D487-$I$481)*MIN(E$3-$O$2,$Q$2)/$Q$2))</f>
        <v>6223.59375</v>
      </c>
      <c r="F487" s="15" t="n">
        <f aca="false">E487*(1+IF(F$3&lt;=$O$2,$D487,$D487-($D487-$I$481)*MIN(F$3-$O$2,$Q$2)/$Q$2))</f>
        <v>6904.29931640625</v>
      </c>
      <c r="G487" s="15" t="n">
        <f aca="false">F487*(1+IF(G$3&lt;=$O$2,$D487,$D487-($D487-$I$481)*MIN(G$3-$O$2,$Q$2)/$Q$2))</f>
        <v>7659.45705413818</v>
      </c>
      <c r="H487" s="15" t="n">
        <f aca="false">G487*(1+IF(H$3&lt;=$O$2,$D487,$D487-($D487-$I$481)*MIN(H$3-$O$2,$Q$2)/$Q$2))</f>
        <v>8497.21016943455</v>
      </c>
      <c r="I487" s="15" t="n">
        <f aca="false">H487*(1+IF(I$3&lt;=$O$2,$D487,$D487-($D487-$I$481)*MIN(I$3-$O$2,$Q$2)/$Q$2))</f>
        <v>9426.59253171645</v>
      </c>
      <c r="J487" s="15" t="n">
        <f aca="false">I487*(1+IF(J$3&lt;=$O$2,$D487,$D487-($D487-$I$481)*MIN(J$3-$O$2,$Q$2)/$Q$2))</f>
        <v>10295.3472994394</v>
      </c>
      <c r="K487" s="15" t="n">
        <f aca="false">J487*(1+IF(K$3&lt;=$O$2,$D487,$D487-($D487-$I$481)*MIN(K$3-$O$2,$Q$2)/$Q$2))</f>
        <v>11066.9321027959</v>
      </c>
      <c r="L487" s="15" t="n">
        <f aca="false">K487*(1+IF(L$3&lt;=$O$2,$D487,$D487-($D487-$I$481)*MIN(L$3-$O$2,$Q$2)/$Q$2))</f>
        <v>11705.8260930903</v>
      </c>
      <c r="M487" s="15" t="n">
        <f aca="false">L487*(1+IF(M$3&lt;=$O$2,$D487,$D487-($D487-$I$481)*MIN(M$3-$O$2,$Q$2)/$Q$2))</f>
        <v>12180.0876372519</v>
      </c>
      <c r="N487" s="15" t="n">
        <f aca="false">M487*(1+IF(N$3&lt;=$O$2,$D487,$D487-($D487-$I$481)*MIN(N$3-$O$2,$Q$2)/$Q$2))</f>
        <v>12463.8836791999</v>
      </c>
      <c r="O487" s="15" t="n">
        <f aca="false">SUMPRODUCT(E487:N487,1/(1+$F$481)^$E$3:$N$3)*$E$2</f>
        <v>23329.6400331074</v>
      </c>
      <c r="P487" s="15" t="n">
        <f aca="false">N487*$E$2*(1+$I$481)/($F$481-$I$481)/(1+$F$481)^$N$3</f>
        <v>38038.8276031976</v>
      </c>
      <c r="Q487" s="15" t="n">
        <f aca="false">O487+P487</f>
        <v>61368.467636305</v>
      </c>
      <c r="R487" s="15" t="n">
        <f aca="false">Q487-$G$2+$I$2</f>
        <v>52603.467636305</v>
      </c>
      <c r="S487" s="40" t="n">
        <f aca="false">R487/$K$2</f>
        <v>94.1061713054223</v>
      </c>
      <c r="T487" s="41" t="n">
        <f aca="false">S487-$M$2</f>
        <v>0.632343977074228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0.0625</v>
      </c>
      <c r="C488" s="25" t="n">
        <f aca="false">IF(T487&gt;0,D487,C487)</f>
        <v>0.109375</v>
      </c>
      <c r="D488" s="39" t="n">
        <f aca="false">(B488+C488)/2</f>
        <v>0.0859375</v>
      </c>
      <c r="E488" s="15" t="n">
        <f aca="false">$C$2*(1+IF(E$3&lt;=$O$2,$D488,$D488-($D488-$I$481)*MIN(E$3-$O$2,$Q$2)/$Q$2))</f>
        <v>6092.109375</v>
      </c>
      <c r="F488" s="15" t="n">
        <f aca="false">E488*(1+IF(F$3&lt;=$O$2,$D488,$D488-($D488-$I$481)*MIN(F$3-$O$2,$Q$2)/$Q$2))</f>
        <v>6615.65002441406</v>
      </c>
      <c r="G488" s="15" t="n">
        <f aca="false">F488*(1+IF(G$3&lt;=$O$2,$D488,$D488-($D488-$I$481)*MIN(G$3-$O$2,$Q$2)/$Q$2))</f>
        <v>7184.18244838715</v>
      </c>
      <c r="H488" s="15" t="n">
        <f aca="false">G488*(1+IF(H$3&lt;=$O$2,$D488,$D488-($D488-$I$481)*MIN(H$3-$O$2,$Q$2)/$Q$2))</f>
        <v>7801.57312754542</v>
      </c>
      <c r="I488" s="15" t="n">
        <f aca="false">H488*(1+IF(I$3&lt;=$O$2,$D488,$D488-($D488-$I$481)*MIN(I$3-$O$2,$Q$2)/$Q$2))</f>
        <v>8472.02081819385</v>
      </c>
      <c r="J488" s="15" t="n">
        <f aca="false">I488*(1+IF(J$3&lt;=$O$2,$D488,$D488-($D488-$I$481)*MIN(J$3-$O$2,$Q$2)/$Q$2))</f>
        <v>9093.95186645746</v>
      </c>
      <c r="K488" s="15" t="n">
        <f aca="false">J488*(1+IF(K$3&lt;=$O$2,$D488,$D488-($D488-$I$481)*MIN(K$3-$O$2,$Q$2)/$Q$2))</f>
        <v>9647.61439096706</v>
      </c>
      <c r="L488" s="15" t="n">
        <f aca="false">K488*(1+IF(L$3&lt;=$O$2,$D488,$D488-($D488-$I$481)*MIN(L$3-$O$2,$Q$2)/$Q$2))</f>
        <v>10114.1247848423</v>
      </c>
      <c r="M488" s="15" t="n">
        <f aca="false">L488*(1+IF(M$3&lt;=$O$2,$D488,$D488-($D488-$I$481)*MIN(M$3-$O$2,$Q$2)/$Q$2))</f>
        <v>10476.4885905712</v>
      </c>
      <c r="N488" s="15" t="n">
        <f aca="false">M488*(1+IF(N$3&lt;=$O$2,$D488,$D488-($D488-$I$481)*MIN(N$3-$O$2,$Q$2)/$Q$2))</f>
        <v>10720.5907747315</v>
      </c>
      <c r="O488" s="15" t="n">
        <f aca="false">SUMPRODUCT(E488:N488,1/(1+$F$481)^$E$3:$N$3)*$E$2</f>
        <v>21055.210564557</v>
      </c>
      <c r="P488" s="15" t="n">
        <f aca="false">N488*$E$2*(1+$I$481)/($F$481-$I$481)/(1+$F$481)^$N$3</f>
        <v>32718.429887547</v>
      </c>
      <c r="Q488" s="15" t="n">
        <f aca="false">O488+P488</f>
        <v>53773.640452104</v>
      </c>
      <c r="R488" s="15" t="n">
        <f aca="false">Q488-$G$2+$I$2</f>
        <v>45008.640452104</v>
      </c>
      <c r="S488" s="40" t="n">
        <f aca="false">R488/$K$2</f>
        <v>80.5192322660989</v>
      </c>
      <c r="T488" s="41" t="n">
        <f aca="false">S488-$M$2</f>
        <v>-12.9545950622491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0.0859375</v>
      </c>
      <c r="C489" s="25" t="n">
        <f aca="false">IF(T488&gt;0,D488,C488)</f>
        <v>0.109375</v>
      </c>
      <c r="D489" s="39" t="n">
        <f aca="false">(B489+C489)/2</f>
        <v>0.09765625</v>
      </c>
      <c r="E489" s="15" t="n">
        <f aca="false">$C$2*(1+IF(E$3&lt;=$O$2,$D489,$D489-($D489-$I$481)*MIN(E$3-$O$2,$Q$2)/$Q$2))</f>
        <v>6157.8515625</v>
      </c>
      <c r="F489" s="15" t="n">
        <f aca="false">E489*(1+IF(F$3&lt;=$O$2,$D489,$D489-($D489-$I$481)*MIN(F$3-$O$2,$Q$2)/$Q$2))</f>
        <v>6759.20425415039</v>
      </c>
      <c r="G489" s="15" t="n">
        <f aca="false">F489*(1+IF(G$3&lt;=$O$2,$D489,$D489-($D489-$I$481)*MIN(G$3-$O$2,$Q$2)/$Q$2))</f>
        <v>7419.28279459477</v>
      </c>
      <c r="H489" s="15" t="n">
        <f aca="false">G489*(1+IF(H$3&lt;=$O$2,$D489,$D489-($D489-$I$481)*MIN(H$3-$O$2,$Q$2)/$Q$2))</f>
        <v>8143.82213000441</v>
      </c>
      <c r="I489" s="15" t="n">
        <f aca="false">H489*(1+IF(I$3&lt;=$O$2,$D489,$D489-($D489-$I$481)*MIN(I$3-$O$2,$Q$2)/$Q$2))</f>
        <v>8939.11725988765</v>
      </c>
      <c r="J489" s="15" t="n">
        <f aca="false">I489*(1+IF(J$3&lt;=$O$2,$D489,$D489-($D489-$I$481)*MIN(J$3-$O$2,$Q$2)/$Q$2))</f>
        <v>9679.14208224745</v>
      </c>
      <c r="K489" s="15" t="n">
        <f aca="false">J489*(1+IF(K$3&lt;=$O$2,$D489,$D489-($D489-$I$481)*MIN(K$3-$O$2,$Q$2)/$Q$2))</f>
        <v>10336.4889178357</v>
      </c>
      <c r="L489" s="15" t="n">
        <f aca="false">K489*(1+IF(L$3&lt;=$O$2,$D489,$D489-($D489-$I$481)*MIN(L$3-$O$2,$Q$2)/$Q$2))</f>
        <v>10884.76213126</v>
      </c>
      <c r="M489" s="15" t="n">
        <f aca="false">L489*(1+IF(M$3&lt;=$O$2,$D489,$D489-($D489-$I$481)*MIN(M$3-$O$2,$Q$2)/$Q$2))</f>
        <v>11300.2471077628</v>
      </c>
      <c r="N489" s="15" t="n">
        <f aca="false">M489*(1+IF(N$3&lt;=$O$2,$D489,$D489-($D489-$I$481)*MIN(N$3-$O$2,$Q$2)/$Q$2))</f>
        <v>11563.5428653737</v>
      </c>
      <c r="O489" s="15" t="n">
        <f aca="false">SUMPRODUCT(E489:N489,1/(1+$F$481)^$E$3:$N$3)*$E$2</f>
        <v>22163.5066259766</v>
      </c>
      <c r="P489" s="15" t="n">
        <f aca="false">N489*$E$2*(1+$I$481)/($F$481-$I$481)/(1+$F$481)^$N$3</f>
        <v>35291.0557302612</v>
      </c>
      <c r="Q489" s="15" t="n">
        <f aca="false">O489+P489</f>
        <v>57454.5623562379</v>
      </c>
      <c r="R489" s="15" t="n">
        <f aca="false">Q489-$G$2+$I$2</f>
        <v>48689.5623562379</v>
      </c>
      <c r="S489" s="40" t="n">
        <f aca="false">R489/$K$2</f>
        <v>87.1043013278434</v>
      </c>
      <c r="T489" s="41" t="n">
        <f aca="false">S489-$M$2</f>
        <v>-6.36952600050471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0.09765625</v>
      </c>
      <c r="C490" s="25" t="n">
        <f aca="false">IF(T489&gt;0,D489,C489)</f>
        <v>0.109375</v>
      </c>
      <c r="D490" s="39" t="n">
        <f aca="false">(B490+C490)/2</f>
        <v>0.103515625</v>
      </c>
      <c r="E490" s="15" t="n">
        <f aca="false">$C$2*(1+IF(E$3&lt;=$O$2,$D490,$D490-($D490-$I$481)*MIN(E$3-$O$2,$Q$2)/$Q$2))</f>
        <v>6190.72265625</v>
      </c>
      <c r="F490" s="15" t="n">
        <f aca="false">E490*(1+IF(F$3&lt;=$O$2,$D490,$D490-($D490-$I$481)*MIN(F$3-$O$2,$Q$2)/$Q$2))</f>
        <v>6831.55918121338</v>
      </c>
      <c r="G490" s="15" t="n">
        <f aca="false">F490*(1+IF(G$3&lt;=$O$2,$D490,$D490-($D490-$I$481)*MIN(G$3-$O$2,$Q$2)/$Q$2))</f>
        <v>7538.73229958117</v>
      </c>
      <c r="H490" s="15" t="n">
        <f aca="false">G490*(1+IF(H$3&lt;=$O$2,$D490,$D490-($D490-$I$481)*MIN(H$3-$O$2,$Q$2)/$Q$2))</f>
        <v>8319.10888528</v>
      </c>
      <c r="I490" s="15" t="n">
        <f aca="false">H490*(1+IF(I$3&lt;=$O$2,$D490,$D490-($D490-$I$481)*MIN(I$3-$O$2,$Q$2)/$Q$2))</f>
        <v>9180.26664098281</v>
      </c>
      <c r="J490" s="15" t="n">
        <f aca="false">I490*(1+IF(J$3&lt;=$O$2,$D490,$D490-($D490-$I$481)*MIN(J$3-$O$2,$Q$2)/$Q$2))</f>
        <v>9983.28751473619</v>
      </c>
      <c r="K490" s="15" t="n">
        <f aca="false">J490*(1+IF(K$3&lt;=$O$2,$D490,$D490-($D490-$I$481)*MIN(K$3-$O$2,$Q$2)/$Q$2))</f>
        <v>10696.3875023591</v>
      </c>
      <c r="L490" s="15" t="n">
        <f aca="false">K490*(1+IF(L$3&lt;=$O$2,$D490,$D490-($D490-$I$481)*MIN(L$3-$O$2,$Q$2)/$Q$2))</f>
        <v>11288.8202946616</v>
      </c>
      <c r="M490" s="15" t="n">
        <f aca="false">L490*(1+IF(M$3&lt;=$O$2,$D490,$D490-($D490-$I$481)*MIN(M$3-$O$2,$Q$2)/$Q$2))</f>
        <v>11732.957762617</v>
      </c>
      <c r="N490" s="15" t="n">
        <f aca="false">M490*(1+IF(N$3&lt;=$O$2,$D490,$D490-($D490-$I$481)*MIN(N$3-$O$2,$Q$2)/$Q$2))</f>
        <v>12006.335678486</v>
      </c>
      <c r="O490" s="15" t="n">
        <f aca="false">SUMPRODUCT(E490:N490,1/(1+$F$481)^$E$3:$N$3)*$E$2</f>
        <v>22739.1728531881</v>
      </c>
      <c r="P490" s="15" t="n">
        <f aca="false">N490*$E$2*(1+$I$481)/($F$481-$I$481)/(1+$F$481)^$N$3</f>
        <v>36642.42581004</v>
      </c>
      <c r="Q490" s="15" t="n">
        <f aca="false">O490+P490</f>
        <v>59381.5986632281</v>
      </c>
      <c r="R490" s="15" t="n">
        <f aca="false">Q490-$G$2+$I$2</f>
        <v>50616.5986632281</v>
      </c>
      <c r="S490" s="40" t="n">
        <f aca="false">R490/$K$2</f>
        <v>90.5517168113852</v>
      </c>
      <c r="T490" s="41" t="n">
        <f aca="false">S490-$M$2</f>
        <v>-2.9221105169629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0.103515625</v>
      </c>
      <c r="C491" s="25" t="n">
        <f aca="false">IF(T490&gt;0,D490,C490)</f>
        <v>0.109375</v>
      </c>
      <c r="D491" s="39" t="n">
        <f aca="false">(B491+C491)/2</f>
        <v>0.1064453125</v>
      </c>
      <c r="E491" s="15" t="n">
        <f aca="false">$C$2*(1+IF(E$3&lt;=$O$2,$D491,$D491-($D491-$I$481)*MIN(E$3-$O$2,$Q$2)/$Q$2))</f>
        <v>6207.158203125</v>
      </c>
      <c r="F491" s="15" t="n">
        <f aca="false">E491*(1+IF(F$3&lt;=$O$2,$D491,$D491-($D491-$I$481)*MIN(F$3-$O$2,$Q$2)/$Q$2))</f>
        <v>6867.88109779358</v>
      </c>
      <c r="G491" s="15" t="n">
        <f aca="false">F491*(1+IF(G$3&lt;=$O$2,$D491,$D491-($D491-$I$481)*MIN(G$3-$O$2,$Q$2)/$Q$2))</f>
        <v>7598.93484746106</v>
      </c>
      <c r="H491" s="15" t="n">
        <f aca="false">G491*(1+IF(H$3&lt;=$O$2,$D491,$D491-($D491-$I$481)*MIN(H$3-$O$2,$Q$2)/$Q$2))</f>
        <v>8407.80584196619</v>
      </c>
      <c r="I491" s="15" t="n">
        <f aca="false">H491*(1+IF(I$3&lt;=$O$2,$D491,$D491-($D491-$I$481)*MIN(I$3-$O$2,$Q$2)/$Q$2))</f>
        <v>9302.77736225361</v>
      </c>
      <c r="J491" s="15" t="n">
        <f aca="false">I491*(1+IF(J$3&lt;=$O$2,$D491,$D491-($D491-$I$481)*MIN(J$3-$O$2,$Q$2)/$Q$2))</f>
        <v>10138.3179395161</v>
      </c>
      <c r="K491" s="15" t="n">
        <f aca="false">J491*(1+IF(K$3&lt;=$O$2,$D491,$D491-($D491-$I$481)*MIN(K$3-$O$2,$Q$2)/$Q$2))</f>
        <v>10880.3129154901</v>
      </c>
      <c r="L491" s="15" t="n">
        <f aca="false">K491*(1+IF(L$3&lt;=$O$2,$D491,$D491-($D491-$I$481)*MIN(L$3-$O$2,$Q$2)/$Q$2))</f>
        <v>11495.6830134035</v>
      </c>
      <c r="M491" s="15" t="n">
        <f aca="false">L491*(1+IF(M$3&lt;=$O$2,$D491,$D491-($D491-$I$481)*MIN(M$3-$O$2,$Q$2)/$Q$2))</f>
        <v>11954.6948589259</v>
      </c>
      <c r="N491" s="15" t="n">
        <f aca="false">M491*(1+IF(N$3&lt;=$O$2,$D491,$D491-($D491-$I$481)*MIN(N$3-$O$2,$Q$2)/$Q$2))</f>
        <v>12233.2392491389</v>
      </c>
      <c r="O491" s="15" t="n">
        <f aca="false">SUMPRODUCT(E491:N491,1/(1+$F$481)^$E$3:$N$3)*$E$2</f>
        <v>23032.534591527</v>
      </c>
      <c r="P491" s="15" t="n">
        <f aca="false">N491*$E$2*(1+$I$481)/($F$481-$I$481)/(1+$F$481)^$N$3</f>
        <v>37334.918297034</v>
      </c>
      <c r="Q491" s="15" t="n">
        <f aca="false">O491+P491</f>
        <v>60367.4528885611</v>
      </c>
      <c r="R491" s="15" t="n">
        <f aca="false">Q491-$G$2+$I$2</f>
        <v>51602.4528885611</v>
      </c>
      <c r="S491" s="40" t="n">
        <f aca="false">R491/$K$2</f>
        <v>92.3153831775038</v>
      </c>
      <c r="T491" s="41" t="n">
        <f aca="false">S491-$M$2</f>
        <v>-1.15844415084433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0.1064453125</v>
      </c>
      <c r="C492" s="25" t="n">
        <f aca="false">IF(T491&gt;0,D491,C491)</f>
        <v>0.109375</v>
      </c>
      <c r="D492" s="39" t="n">
        <f aca="false">(B492+C492)/2</f>
        <v>0.10791015625</v>
      </c>
      <c r="E492" s="15" t="n">
        <f aca="false">$C$2*(1+IF(E$3&lt;=$O$2,$D492,$D492-($D492-$I$481)*MIN(E$3-$O$2,$Q$2)/$Q$2))</f>
        <v>6215.3759765625</v>
      </c>
      <c r="F492" s="15" t="n">
        <f aca="false">E492*(1+IF(F$3&lt;=$O$2,$D492,$D492-($D492-$I$481)*MIN(F$3-$O$2,$Q$2)/$Q$2))</f>
        <v>6886.07816934586</v>
      </c>
      <c r="G492" s="15" t="n">
        <f aca="false">F492*(1+IF(G$3&lt;=$O$2,$D492,$D492-($D492-$I$481)*MIN(G$3-$O$2,$Q$2)/$Q$2))</f>
        <v>7629.15594054968</v>
      </c>
      <c r="H492" s="15" t="n">
        <f aca="false">G492*(1+IF(H$3&lt;=$O$2,$D492,$D492-($D492-$I$481)*MIN(H$3-$O$2,$Q$2)/$Q$2))</f>
        <v>8452.41935015001</v>
      </c>
      <c r="I492" s="15" t="n">
        <f aca="false">H492*(1+IF(I$3&lt;=$O$2,$D492,$D492-($D492-$I$481)*MIN(I$3-$O$2,$Q$2)/$Q$2))</f>
        <v>9364.52124291522</v>
      </c>
      <c r="J492" s="15" t="n">
        <f aca="false">I492*(1+IF(J$3&lt;=$O$2,$D492,$D492-($D492-$I$481)*MIN(J$3-$O$2,$Q$2)/$Q$2))</f>
        <v>10216.5814723307</v>
      </c>
      <c r="K492" s="15" t="n">
        <f aca="false">J492*(1+IF(K$3&lt;=$O$2,$D492,$D492-($D492-$I$481)*MIN(K$3-$O$2,$Q$2)/$Q$2))</f>
        <v>10973.2837534649</v>
      </c>
      <c r="L492" s="15" t="n">
        <f aca="false">K492*(1+IF(L$3&lt;=$O$2,$D492,$D492-($D492-$I$481)*MIN(L$3-$O$2,$Q$2)/$Q$2))</f>
        <v>11600.3417661031</v>
      </c>
      <c r="M492" s="15" t="n">
        <f aca="false">L492*(1+IF(M$3&lt;=$O$2,$D492,$D492-($D492-$I$481)*MIN(M$3-$O$2,$Q$2)/$Q$2))</f>
        <v>12066.93107513</v>
      </c>
      <c r="N492" s="15" t="n">
        <f aca="false">M492*(1+IF(N$3&lt;=$O$2,$D492,$D492-($D492-$I$481)*MIN(N$3-$O$2,$Q$2)/$Q$2))</f>
        <v>12348.0905691806</v>
      </c>
      <c r="O492" s="15" t="n">
        <f aca="false">SUMPRODUCT(E492:N492,1/(1+$F$481)^$E$3:$N$3)*$E$2</f>
        <v>23180.6166087006</v>
      </c>
      <c r="P492" s="15" t="n">
        <f aca="false">N492*$E$2*(1+$I$481)/($F$481-$I$481)/(1+$F$481)^$N$3</f>
        <v>37685.4358143273</v>
      </c>
      <c r="Q492" s="15" t="n">
        <f aca="false">O492+P492</f>
        <v>60866.0524230279</v>
      </c>
      <c r="R492" s="15" t="n">
        <f aca="false">Q492-$G$2+$I$2</f>
        <v>52101.0524230279</v>
      </c>
      <c r="S492" s="40" t="n">
        <f aca="false">R492/$K$2</f>
        <v>93.2073641687143</v>
      </c>
      <c r="T492" s="41" t="n">
        <f aca="false">S492-$M$2</f>
        <v>-0.266463159633759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0.10791015625</v>
      </c>
      <c r="C493" s="25" t="n">
        <f aca="false">IF(T492&gt;0,D492,C492)</f>
        <v>0.109375</v>
      </c>
      <c r="D493" s="39" t="n">
        <f aca="false">(B493+C493)/2</f>
        <v>0.108642578125</v>
      </c>
      <c r="E493" s="15" t="n">
        <f aca="false">$C$2*(1+IF(E$3&lt;=$O$2,$D493,$D493-($D493-$I$481)*MIN(E$3-$O$2,$Q$2)/$Q$2))</f>
        <v>6219.48486328125</v>
      </c>
      <c r="F493" s="15" t="n">
        <f aca="false">E493*(1+IF(F$3&lt;=$O$2,$D493,$D493-($D493-$I$481)*MIN(F$3-$O$2,$Q$2)/$Q$2))</f>
        <v>6895.18573343754</v>
      </c>
      <c r="G493" s="15" t="n">
        <f aca="false">F493*(1+IF(G$3&lt;=$O$2,$D493,$D493-($D493-$I$481)*MIN(G$3-$O$2,$Q$2)/$Q$2))</f>
        <v>7644.29648816891</v>
      </c>
      <c r="H493" s="15" t="n">
        <f aca="false">G493*(1+IF(H$3&lt;=$O$2,$D493,$D493-($D493-$I$481)*MIN(H$3-$O$2,$Q$2)/$Q$2))</f>
        <v>8474.79256659547</v>
      </c>
      <c r="I493" s="15" t="n">
        <f aca="false">H493*(1+IF(I$3&lt;=$O$2,$D493,$D493-($D493-$I$481)*MIN(I$3-$O$2,$Q$2)/$Q$2))</f>
        <v>9395.51588010498</v>
      </c>
      <c r="J493" s="15" t="n">
        <f aca="false">I493*(1+IF(J$3&lt;=$O$2,$D493,$D493-($D493-$I$481)*MIN(J$3-$O$2,$Q$2)/$Q$2))</f>
        <v>10255.9014385295</v>
      </c>
      <c r="K493" s="15" t="n">
        <f aca="false">J493*(1+IF(K$3&lt;=$O$2,$D493,$D493-($D493-$I$481)*MIN(K$3-$O$2,$Q$2)/$Q$2))</f>
        <v>11020.0229839032</v>
      </c>
      <c r="L493" s="15" t="n">
        <f aca="false">K493*(1+IF(L$3&lt;=$O$2,$D493,$D493-($D493-$I$481)*MIN(L$3-$O$2,$Q$2)/$Q$2))</f>
        <v>11652.9803884054</v>
      </c>
      <c r="M493" s="15" t="n">
        <f aca="false">L493*(1+IF(M$3&lt;=$O$2,$D493,$D493-($D493-$I$481)*MIN(M$3-$O$2,$Q$2)/$Q$2))</f>
        <v>12123.3939092925</v>
      </c>
      <c r="N493" s="15" t="n">
        <f aca="false">M493*(1+IF(N$3&lt;=$O$2,$D493,$D493-($D493-$I$481)*MIN(N$3-$O$2,$Q$2)/$Q$2))</f>
        <v>12405.868987379</v>
      </c>
      <c r="O493" s="15" t="n">
        <f aca="false">SUMPRODUCT(E493:N493,1/(1+$F$481)^$E$3:$N$3)*$E$2</f>
        <v>23255.0103008924</v>
      </c>
      <c r="P493" s="15" t="n">
        <f aca="false">N493*$E$2*(1+$I$481)/($F$481-$I$481)/(1+$F$481)^$N$3</f>
        <v>37861.7711641755</v>
      </c>
      <c r="Q493" s="15" t="n">
        <f aca="false">O493+P493</f>
        <v>61116.7814650679</v>
      </c>
      <c r="R493" s="15" t="n">
        <f aca="false">Q493-$G$2+$I$2</f>
        <v>52351.7814650679</v>
      </c>
      <c r="S493" s="40" t="n">
        <f aca="false">R493/$K$2</f>
        <v>93.6559115980319</v>
      </c>
      <c r="T493" s="41" t="n">
        <f aca="false">S493-$M$2</f>
        <v>0.18208426968377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0.10791015625</v>
      </c>
      <c r="C494" s="25" t="n">
        <f aca="false">IF(T493&gt;0,D493,C493)</f>
        <v>0.108642578125</v>
      </c>
      <c r="D494" s="39" t="n">
        <f aca="false">(B494+C494)/2</f>
        <v>0.1082763671875</v>
      </c>
      <c r="E494" s="15" t="n">
        <f aca="false">$C$2*(1+IF(E$3&lt;=$O$2,$D494,$D494-($D494-$I$481)*MIN(E$3-$O$2,$Q$2)/$Q$2))</f>
        <v>6217.43041992188</v>
      </c>
      <c r="F494" s="15" t="n">
        <f aca="false">E494*(1+IF(F$3&lt;=$O$2,$D494,$D494-($D494-$I$481)*MIN(F$3-$O$2,$Q$2)/$Q$2))</f>
        <v>6890.63119903207</v>
      </c>
      <c r="G494" s="15" t="n">
        <f aca="false">F494*(1+IF(G$3&lt;=$O$2,$D494,$D494-($D494-$I$481)*MIN(G$3-$O$2,$Q$2)/$Q$2))</f>
        <v>7636.72371289211</v>
      </c>
      <c r="H494" s="15" t="n">
        <f aca="false">G494*(1+IF(H$3&lt;=$O$2,$D494,$D494-($D494-$I$481)*MIN(H$3-$O$2,$Q$2)/$Q$2))</f>
        <v>8463.6004137387</v>
      </c>
      <c r="I494" s="15" t="n">
        <f aca="false">H494*(1+IF(I$3&lt;=$O$2,$D494,$D494-($D494-$I$481)*MIN(I$3-$O$2,$Q$2)/$Q$2))</f>
        <v>9380.00831986495</v>
      </c>
      <c r="J494" s="15" t="n">
        <f aca="false">I494*(1+IF(J$3&lt;=$O$2,$D494,$D494-($D494-$I$481)*MIN(J$3-$O$2,$Q$2)/$Q$2))</f>
        <v>10236.2257386863</v>
      </c>
      <c r="K494" s="15" t="n">
        <f aca="false">J494*(1+IF(K$3&lt;=$O$2,$D494,$D494-($D494-$I$481)*MIN(K$3-$O$2,$Q$2)/$Q$2))</f>
        <v>10996.6321645886</v>
      </c>
      <c r="L494" s="15" t="n">
        <f aca="false">K494*(1+IF(L$3&lt;=$O$2,$D494,$D494-($D494-$I$481)*MIN(L$3-$O$2,$Q$2)/$Q$2))</f>
        <v>11626.6352350811</v>
      </c>
      <c r="M494" s="15" t="n">
        <f aca="false">L494*(1+IF(M$3&lt;=$O$2,$D494,$D494-($D494-$I$481)*MIN(M$3-$O$2,$Q$2)/$Q$2))</f>
        <v>12095.1336810367</v>
      </c>
      <c r="N494" s="15" t="n">
        <f aca="false">M494*(1+IF(N$3&lt;=$O$2,$D494,$D494-($D494-$I$481)*MIN(N$3-$O$2,$Q$2)/$Q$2))</f>
        <v>12376.9502958049</v>
      </c>
      <c r="O494" s="15" t="n">
        <f aca="false">SUMPRODUCT(E494:N494,1/(1+$F$481)^$E$3:$N$3)*$E$2</f>
        <v>23217.783992875</v>
      </c>
      <c r="P494" s="15" t="n">
        <f aca="false">N494*$E$2*(1+$I$481)/($F$481-$I$481)/(1+$F$481)^$N$3</f>
        <v>37773.5135109742</v>
      </c>
      <c r="Q494" s="15" t="n">
        <f aca="false">O494+P494</f>
        <v>60991.2975038492</v>
      </c>
      <c r="R494" s="15" t="n">
        <f aca="false">Q494-$G$2+$I$2</f>
        <v>52226.2975038492</v>
      </c>
      <c r="S494" s="40" t="n">
        <f aca="false">R494/$K$2</f>
        <v>93.4314242081098</v>
      </c>
      <c r="T494" s="41" t="n">
        <f aca="false">S494-$M$2</f>
        <v>-0.0424031202383048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0.1082763671875</v>
      </c>
      <c r="C495" s="25" t="n">
        <f aca="false">IF(T494&gt;0,D494,C494)</f>
        <v>0.108642578125</v>
      </c>
      <c r="D495" s="39" t="n">
        <f aca="false">(B495+C495)/2</f>
        <v>0.10845947265625</v>
      </c>
      <c r="E495" s="15" t="n">
        <f aca="false">$C$2*(1+IF(E$3&lt;=$O$2,$D495,$D495-($D495-$I$481)*MIN(E$3-$O$2,$Q$2)/$Q$2))</f>
        <v>6218.45764160156</v>
      </c>
      <c r="F495" s="15" t="n">
        <f aca="false">E495*(1+IF(F$3&lt;=$O$2,$D495,$D495-($D495-$I$481)*MIN(F$3-$O$2,$Q$2)/$Q$2))</f>
        <v>6892.9082781449</v>
      </c>
      <c r="G495" s="15" t="n">
        <f aca="false">F495*(1+IF(G$3&lt;=$O$2,$D495,$D495-($D495-$I$481)*MIN(G$3-$O$2,$Q$2)/$Q$2))</f>
        <v>7640.50947506039</v>
      </c>
      <c r="H495" s="15" t="n">
        <f aca="false">G495*(1+IF(H$3&lt;=$O$2,$D495,$D495-($D495-$I$481)*MIN(H$3-$O$2,$Q$2)/$Q$2))</f>
        <v>8469.19510355052</v>
      </c>
      <c r="I495" s="15" t="n">
        <f aca="false">H495*(1+IF(I$3&lt;=$O$2,$D495,$D495-($D495-$I$481)*MIN(I$3-$O$2,$Q$2)/$Q$2))</f>
        <v>9387.75953830451</v>
      </c>
      <c r="J495" s="15" t="n">
        <f aca="false">I495*(1+IF(J$3&lt;=$O$2,$D495,$D495-($D495-$I$481)*MIN(J$3-$O$2,$Q$2)/$Q$2))</f>
        <v>10246.0596569116</v>
      </c>
      <c r="K495" s="15" t="n">
        <f aca="false">J495*(1+IF(K$3&lt;=$O$2,$D495,$D495-($D495-$I$481)*MIN(K$3-$O$2,$Q$2)/$Q$2))</f>
        <v>11008.3222692298</v>
      </c>
      <c r="L495" s="15" t="n">
        <f aca="false">K495*(1+IF(L$3&lt;=$O$2,$D495,$D495-($D495-$I$481)*MIN(L$3-$O$2,$Q$2)/$Q$2))</f>
        <v>11639.801345814</v>
      </c>
      <c r="M495" s="15" t="n">
        <f aca="false">L495*(1+IF(M$3&lt;=$O$2,$D495,$D495-($D495-$I$481)*MIN(M$3-$O$2,$Q$2)/$Q$2))</f>
        <v>12109.256586058</v>
      </c>
      <c r="N495" s="15" t="n">
        <f aca="false">M495*(1+IF(N$3&lt;=$O$2,$D495,$D495-($D495-$I$481)*MIN(N$3-$O$2,$Q$2)/$Q$2))</f>
        <v>12391.4022645132</v>
      </c>
      <c r="O495" s="15" t="n">
        <f aca="false">SUMPRODUCT(E495:N495,1/(1+$F$481)^$E$3:$N$3)*$E$2</f>
        <v>23236.3897760224</v>
      </c>
      <c r="P495" s="15" t="n">
        <f aca="false">N495*$E$2*(1+$I$481)/($F$481-$I$481)/(1+$F$481)^$N$3</f>
        <v>37817.61982329</v>
      </c>
      <c r="Q495" s="15" t="n">
        <f aca="false">O495+P495</f>
        <v>61054.0095993124</v>
      </c>
      <c r="R495" s="15" t="n">
        <f aca="false">Q495-$G$2+$I$2</f>
        <v>52289.0095993124</v>
      </c>
      <c r="S495" s="40" t="n">
        <f aca="false">R495/$K$2</f>
        <v>93.543614439358</v>
      </c>
      <c r="T495" s="41" t="n">
        <f aca="false">S495-$M$2</f>
        <v>0.0697871110099584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0.1082763671875</v>
      </c>
      <c r="C496" s="25" t="n">
        <f aca="false">IF(T495&gt;0,D495,C495)</f>
        <v>0.10845947265625</v>
      </c>
      <c r="D496" s="39" t="n">
        <f aca="false">(B496+C496)/2</f>
        <v>0.108367919921875</v>
      </c>
      <c r="E496" s="15" t="n">
        <f aca="false">$C$2*(1+IF(E$3&lt;=$O$2,$D496,$D496-($D496-$I$481)*MIN(E$3-$O$2,$Q$2)/$Q$2))</f>
        <v>6217.94403076172</v>
      </c>
      <c r="F496" s="15" t="n">
        <f aca="false">E496*(1+IF(F$3&lt;=$O$2,$D496,$D496-($D496-$I$481)*MIN(F$3-$O$2,$Q$2)/$Q$2))</f>
        <v>6891.76969156601</v>
      </c>
      <c r="G496" s="15" t="n">
        <f aca="false">F496*(1+IF(G$3&lt;=$O$2,$D496,$D496-($D496-$I$481)*MIN(G$3-$O$2,$Q$2)/$Q$2))</f>
        <v>7638.61643762164</v>
      </c>
      <c r="H496" s="15" t="n">
        <f aca="false">G496*(1+IF(H$3&lt;=$O$2,$D496,$D496-($D496-$I$481)*MIN(H$3-$O$2,$Q$2)/$Q$2))</f>
        <v>8466.39741204774</v>
      </c>
      <c r="I496" s="15" t="n">
        <f aca="false">H496*(1+IF(I$3&lt;=$O$2,$D496,$D496-($D496-$I$481)*MIN(I$3-$O$2,$Q$2)/$Q$2))</f>
        <v>9383.8832888233</v>
      </c>
      <c r="J496" s="15" t="n">
        <f aca="false">I496*(1+IF(J$3&lt;=$O$2,$D496,$D496-($D496-$I$481)*MIN(J$3-$O$2,$Q$2)/$Q$2))</f>
        <v>10241.1417151888</v>
      </c>
      <c r="K496" s="15" t="n">
        <f aca="false">J496*(1+IF(K$3&lt;=$O$2,$D496,$D496-($D496-$I$481)*MIN(K$3-$O$2,$Q$2)/$Q$2))</f>
        <v>11002.4758911544</v>
      </c>
      <c r="L496" s="15" t="n">
        <f aca="false">K496*(1+IF(L$3&lt;=$O$2,$D496,$D496-($D496-$I$481)*MIN(L$3-$O$2,$Q$2)/$Q$2))</f>
        <v>11633.2166746387</v>
      </c>
      <c r="M496" s="15" t="n">
        <f aca="false">L496*(1+IF(M$3&lt;=$O$2,$D496,$D496-($D496-$I$481)*MIN(M$3-$O$2,$Q$2)/$Q$2))</f>
        <v>12102.1933320602</v>
      </c>
      <c r="N496" s="15" t="n">
        <f aca="false">M496*(1+IF(N$3&lt;=$O$2,$D496,$D496-($D496-$I$481)*MIN(N$3-$O$2,$Q$2)/$Q$2))</f>
        <v>12384.1744366972</v>
      </c>
      <c r="O496" s="15" t="n">
        <f aca="false">SUMPRODUCT(E496:N496,1/(1+$F$481)^$E$3:$N$3)*$E$2</f>
        <v>23227.0850424063</v>
      </c>
      <c r="P496" s="15" t="n">
        <f aca="false">N496*$E$2*(1+$I$481)/($F$481-$I$481)/(1+$F$481)^$N$3</f>
        <v>37795.5610410264</v>
      </c>
      <c r="Q496" s="15" t="n">
        <f aca="false">O496+P496</f>
        <v>61022.6460834327</v>
      </c>
      <c r="R496" s="15" t="n">
        <f aca="false">Q496-$G$2+$I$2</f>
        <v>52257.6460834327</v>
      </c>
      <c r="S496" s="40" t="n">
        <f aca="false">R496/$K$2</f>
        <v>93.4875059634203</v>
      </c>
      <c r="T496" s="41" t="n">
        <f aca="false">S496-$M$2</f>
        <v>0.0136786350722247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0.1082763671875</v>
      </c>
      <c r="C497" s="25" t="n">
        <f aca="false">IF(T496&gt;0,D496,C496)</f>
        <v>0.108367919921875</v>
      </c>
      <c r="D497" s="39" t="n">
        <f aca="false">(B497+C497)/2</f>
        <v>0.108322143554688</v>
      </c>
      <c r="E497" s="15" t="n">
        <f aca="false">$C$2*(1+IF(E$3&lt;=$O$2,$D497,$D497-($D497-$I$481)*MIN(E$3-$O$2,$Q$2)/$Q$2))</f>
        <v>6217.6872253418</v>
      </c>
      <c r="F497" s="15" t="n">
        <f aca="false">E497*(1+IF(F$3&lt;=$O$2,$D497,$D497-($D497-$I$481)*MIN(F$3-$O$2,$Q$2)/$Q$2))</f>
        <v>6891.20043354342</v>
      </c>
      <c r="G497" s="15" t="n">
        <f aca="false">F497*(1+IF(G$3&lt;=$O$2,$D497,$D497-($D497-$I$481)*MIN(G$3-$O$2,$Q$2)/$Q$2))</f>
        <v>7637.67003616983</v>
      </c>
      <c r="H497" s="15" t="n">
        <f aca="false">G497*(1+IF(H$3&lt;=$O$2,$D497,$D497-($D497-$I$481)*MIN(H$3-$O$2,$Q$2)/$Q$2))</f>
        <v>8464.99882625116</v>
      </c>
      <c r="I497" s="15" t="n">
        <f aca="false">H497*(1+IF(I$3&lt;=$O$2,$D497,$D497-($D497-$I$481)*MIN(I$3-$O$2,$Q$2)/$Q$2))</f>
        <v>9381.9456442986</v>
      </c>
      <c r="J497" s="15" t="n">
        <f aca="false">I497*(1+IF(J$3&lt;=$O$2,$D497,$D497-($D497-$I$481)*MIN(J$3-$O$2,$Q$2)/$Q$2))</f>
        <v>10238.6834813242</v>
      </c>
      <c r="K497" s="15" t="n">
        <f aca="false">J497*(1+IF(K$3&lt;=$O$2,$D497,$D497-($D497-$I$481)*MIN(K$3-$O$2,$Q$2)/$Q$2))</f>
        <v>10999.5536964952</v>
      </c>
      <c r="L497" s="15" t="n">
        <f aca="false">K497*(1+IF(L$3&lt;=$O$2,$D497,$D497-($D497-$I$481)*MIN(L$3-$O$2,$Q$2)/$Q$2))</f>
        <v>11629.9255509919</v>
      </c>
      <c r="M497" s="15" t="n">
        <f aca="false">L497*(1+IF(M$3&lt;=$O$2,$D497,$D497-($D497-$I$481)*MIN(M$3-$O$2,$Q$2)/$Q$2))</f>
        <v>12098.6630562753</v>
      </c>
      <c r="N497" s="15" t="n">
        <f aca="false">M497*(1+IF(N$3&lt;=$O$2,$D497,$D497-($D497-$I$481)*MIN(N$3-$O$2,$Q$2)/$Q$2))</f>
        <v>12380.5619054865</v>
      </c>
      <c r="O497" s="15" t="n">
        <f aca="false">SUMPRODUCT(E497:N497,1/(1+$F$481)^$E$3:$N$3)*$E$2</f>
        <v>23222.4340572141</v>
      </c>
      <c r="P497" s="15" t="n">
        <f aca="false">N497*$E$2*(1+$I$481)/($F$481-$I$481)/(1+$F$481)^$N$3</f>
        <v>37784.535869782</v>
      </c>
      <c r="Q497" s="15" t="n">
        <f aca="false">O497+P497</f>
        <v>61006.9699269961</v>
      </c>
      <c r="R497" s="15" t="n">
        <f aca="false">Q497-$G$2+$I$2</f>
        <v>52241.9699269961</v>
      </c>
      <c r="S497" s="40" t="n">
        <f aca="false">R497/$K$2</f>
        <v>93.4594617463883</v>
      </c>
      <c r="T497" s="41" t="n">
        <f aca="false">S497-$M$2</f>
        <v>-0.0143655819598223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0.108322143554688</v>
      </c>
      <c r="C498" s="25" t="n">
        <f aca="false">IF(T497&gt;0,D497,C497)</f>
        <v>0.108367919921875</v>
      </c>
      <c r="D498" s="39" t="n">
        <f aca="false">(B498+C498)/2</f>
        <v>0.108345031738281</v>
      </c>
      <c r="E498" s="15" t="n">
        <f aca="false">$C$2*(1+IF(E$3&lt;=$O$2,$D498,$D498-($D498-$I$481)*MIN(E$3-$O$2,$Q$2)/$Q$2))</f>
        <v>6217.81562805176</v>
      </c>
      <c r="F498" s="15" t="n">
        <f aca="false">E498*(1+IF(F$3&lt;=$O$2,$D498,$D498-($D498-$I$481)*MIN(F$3-$O$2,$Q$2)/$Q$2))</f>
        <v>6891.48505961581</v>
      </c>
      <c r="G498" s="15" t="n">
        <f aca="false">F498*(1+IF(G$3&lt;=$O$2,$D498,$D498-($D498-$I$481)*MIN(G$3-$O$2,$Q$2)/$Q$2))</f>
        <v>7638.14322712377</v>
      </c>
      <c r="H498" s="15" t="n">
        <f aca="false">G498*(1+IF(H$3&lt;=$O$2,$D498,$D498-($D498-$I$481)*MIN(H$3-$O$2,$Q$2)/$Q$2))</f>
        <v>8465.69809748804</v>
      </c>
      <c r="I498" s="15" t="n">
        <f aca="false">H498*(1+IF(I$3&lt;=$O$2,$D498,$D498-($D498-$I$481)*MIN(I$3-$O$2,$Q$2)/$Q$2))</f>
        <v>9382.91442654708</v>
      </c>
      <c r="J498" s="15" t="n">
        <f aca="false">I498*(1+IF(J$3&lt;=$O$2,$D498,$D498-($D498-$I$481)*MIN(J$3-$O$2,$Q$2)/$Q$2))</f>
        <v>10239.9125368483</v>
      </c>
      <c r="K498" s="15" t="n">
        <f aca="false">J498*(1+IF(K$3&lt;=$O$2,$D498,$D498-($D498-$I$481)*MIN(K$3-$O$2,$Q$2)/$Q$2))</f>
        <v>11001.0147109729</v>
      </c>
      <c r="L498" s="15" t="n">
        <f aca="false">K498*(1+IF(L$3&lt;=$O$2,$D498,$D498-($D498-$I$481)*MIN(L$3-$O$2,$Q$2)/$Q$2))</f>
        <v>11631.5710118378</v>
      </c>
      <c r="M498" s="15" t="n">
        <f aca="false">L498*(1+IF(M$3&lt;=$O$2,$D498,$D498-($D498-$I$481)*MIN(M$3-$O$2,$Q$2)/$Q$2))</f>
        <v>12100.4280815872</v>
      </c>
      <c r="N498" s="15" t="n">
        <f aca="false">M498*(1+IF(N$3&lt;=$O$2,$D498,$D498-($D498-$I$481)*MIN(N$3-$O$2,$Q$2)/$Q$2))</f>
        <v>12382.3680558881</v>
      </c>
      <c r="O498" s="15" t="n">
        <f aca="false">SUMPRODUCT(E498:N498,1/(1+$F$481)^$E$3:$N$3)*$E$2</f>
        <v>23224.759434693</v>
      </c>
      <c r="P498" s="15" t="n">
        <f aca="false">N498*$E$2*(1+$I$481)/($F$481-$I$481)/(1+$F$481)^$N$3</f>
        <v>37790.0481038111</v>
      </c>
      <c r="Q498" s="15" t="n">
        <f aca="false">O498+P498</f>
        <v>61014.8075385042</v>
      </c>
      <c r="R498" s="15" t="n">
        <f aca="false">Q498-$G$2+$I$2</f>
        <v>52249.8075385042</v>
      </c>
      <c r="S498" s="40" t="n">
        <f aca="false">R498/$K$2</f>
        <v>93.4734830199724</v>
      </c>
      <c r="T498" s="41" t="n">
        <f aca="false">S498-$M$2</f>
        <v>-0.000344308375673563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0.108345031738281</v>
      </c>
      <c r="C499" s="25" t="n">
        <f aca="false">IF(T498&gt;0,D498,C498)</f>
        <v>0.108367919921875</v>
      </c>
      <c r="D499" s="39" t="n">
        <f aca="false">(B499+C499)/2</f>
        <v>0.108356475830078</v>
      </c>
      <c r="E499" s="15" t="n">
        <f aca="false">$C$2*(1+IF(E$3&lt;=$O$2,$D499,$D499-($D499-$I$481)*MIN(E$3-$O$2,$Q$2)/$Q$2))</f>
        <v>6217.87982940674</v>
      </c>
      <c r="F499" s="15" t="n">
        <f aca="false">E499*(1+IF(F$3&lt;=$O$2,$D499,$D499-($D499-$I$481)*MIN(F$3-$O$2,$Q$2)/$Q$2))</f>
        <v>6891.62737485618</v>
      </c>
      <c r="G499" s="15" t="n">
        <f aca="false">F499*(1+IF(G$3&lt;=$O$2,$D499,$D499-($D499-$I$481)*MIN(G$3-$O$2,$Q$2)/$Q$2))</f>
        <v>7638.37982992969</v>
      </c>
      <c r="H499" s="15" t="n">
        <f aca="false">G499*(1+IF(H$3&lt;=$O$2,$D499,$D499-($D499-$I$481)*MIN(H$3-$O$2,$Q$2)/$Q$2))</f>
        <v>8466.04774935242</v>
      </c>
      <c r="I499" s="15" t="n">
        <f aca="false">H499*(1+IF(I$3&lt;=$O$2,$D499,$D499-($D499-$I$481)*MIN(I$3-$O$2,$Q$2)/$Q$2))</f>
        <v>9383.39884768141</v>
      </c>
      <c r="J499" s="15" t="n">
        <f aca="false">I499*(1+IF(J$3&lt;=$O$2,$D499,$D499-($D499-$I$481)*MIN(J$3-$O$2,$Q$2)/$Q$2))</f>
        <v>10240.5271106658</v>
      </c>
      <c r="K499" s="15" t="n">
        <f aca="false">J499*(1+IF(K$3&lt;=$O$2,$D499,$D499-($D499-$I$481)*MIN(K$3-$O$2,$Q$2)/$Q$2))</f>
        <v>11001.7452803497</v>
      </c>
      <c r="L499" s="15" t="n">
        <f aca="false">K499*(1+IF(L$3&lt;=$O$2,$D499,$D499-($D499-$I$481)*MIN(L$3-$O$2,$Q$2)/$Q$2))</f>
        <v>11632.3938179926</v>
      </c>
      <c r="M499" s="15" t="n">
        <f aca="false">L499*(1+IF(M$3&lt;=$O$2,$D499,$D499-($D499-$I$481)*MIN(M$3-$O$2,$Q$2)/$Q$2))</f>
        <v>12101.310678677</v>
      </c>
      <c r="N499" s="15" t="n">
        <f aca="false">M499*(1+IF(N$3&lt;=$O$2,$D499,$D499-($D499-$I$481)*MIN(N$3-$O$2,$Q$2)/$Q$2))</f>
        <v>12383.2712174902</v>
      </c>
      <c r="O499" s="15" t="n">
        <f aca="false">SUMPRODUCT(E499:N499,1/(1+$F$481)^$E$3:$N$3)*$E$2</f>
        <v>23225.9222097691</v>
      </c>
      <c r="P499" s="15" t="n">
        <f aca="false">N499*$E$2*(1+$I$481)/($F$481-$I$481)/(1+$F$481)^$N$3</f>
        <v>37792.8044845157</v>
      </c>
      <c r="Q499" s="15" t="n">
        <f aca="false">O499+P499</f>
        <v>61018.7266942847</v>
      </c>
      <c r="R499" s="15" t="n">
        <f aca="false">Q499-$G$2+$I$2</f>
        <v>52253.7266942847</v>
      </c>
      <c r="S499" s="40" t="n">
        <f aca="false">R499/$K$2</f>
        <v>93.4804942829524</v>
      </c>
      <c r="T499" s="41" t="n">
        <f aca="false">S499-$M$2</f>
        <v>0.0066669546043272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0.108345031738281</v>
      </c>
      <c r="C500" s="25" t="n">
        <f aca="false">IF(T499&gt;0,D499,C499)</f>
        <v>0.108356475830078</v>
      </c>
      <c r="D500" s="39" t="n">
        <f aca="false">(B500+C500)/2</f>
        <v>0.10835075378418</v>
      </c>
      <c r="E500" s="15" t="n">
        <f aca="false">$C$2*(1+IF(E$3&lt;=$O$2,$D500,$D500-($D500-$I$481)*MIN(E$3-$O$2,$Q$2)/$Q$2))</f>
        <v>6217.84772872925</v>
      </c>
      <c r="F500" s="15" t="n">
        <f aca="false">E500*(1+IF(F$3&lt;=$O$2,$D500,$D500-($D500-$I$481)*MIN(F$3-$O$2,$Q$2)/$Q$2))</f>
        <v>6891.55621705231</v>
      </c>
      <c r="G500" s="15" t="n">
        <f aca="false">F500*(1+IF(G$3&lt;=$O$2,$D500,$D500-($D500-$I$481)*MIN(G$3-$O$2,$Q$2)/$Q$2))</f>
        <v>7638.26152791598</v>
      </c>
      <c r="H500" s="15" t="n">
        <f aca="false">G500*(1+IF(H$3&lt;=$O$2,$D500,$D500-($D500-$I$481)*MIN(H$3-$O$2,$Q$2)/$Q$2))</f>
        <v>8465.87292206638</v>
      </c>
      <c r="I500" s="15" t="n">
        <f aca="false">H500*(1+IF(I$3&lt;=$O$2,$D500,$D500-($D500-$I$481)*MIN(I$3-$O$2,$Q$2)/$Q$2))</f>
        <v>9383.15663461334</v>
      </c>
      <c r="J500" s="15" t="n">
        <f aca="false">I500*(1+IF(J$3&lt;=$O$2,$D500,$D500-($D500-$I$481)*MIN(J$3-$O$2,$Q$2)/$Q$2))</f>
        <v>10240.2198199189</v>
      </c>
      <c r="K500" s="15" t="n">
        <f aca="false">J500*(1+IF(K$3&lt;=$O$2,$D500,$D500-($D500-$I$481)*MIN(K$3-$O$2,$Q$2)/$Q$2))</f>
        <v>11001.3799904829</v>
      </c>
      <c r="L500" s="15" t="n">
        <f aca="false">K500*(1+IF(L$3&lt;=$O$2,$D500,$D500-($D500-$I$481)*MIN(L$3-$O$2,$Q$2)/$Q$2))</f>
        <v>11631.9824086039</v>
      </c>
      <c r="M500" s="15" t="n">
        <f aca="false">L500*(1+IF(M$3&lt;=$O$2,$D500,$D500-($D500-$I$481)*MIN(M$3-$O$2,$Q$2)/$Q$2))</f>
        <v>12100.8693730956</v>
      </c>
      <c r="N500" s="15" t="n">
        <f aca="false">M500*(1+IF(N$3&lt;=$O$2,$D500,$D500-($D500-$I$481)*MIN(N$3-$O$2,$Q$2)/$Q$2))</f>
        <v>12382.8196294887</v>
      </c>
      <c r="O500" s="15" t="n">
        <f aca="false">SUMPRODUCT(E500:N500,1/(1+$F$481)^$E$3:$N$3)*$E$2</f>
        <v>23225.3408150361</v>
      </c>
      <c r="P500" s="15" t="n">
        <f aca="false">N500*$E$2*(1+$I$481)/($F$481-$I$481)/(1+$F$481)^$N$3</f>
        <v>37791.4262721882</v>
      </c>
      <c r="Q500" s="15" t="n">
        <f aca="false">O500+P500</f>
        <v>61016.7670872243</v>
      </c>
      <c r="R500" s="15" t="n">
        <f aca="false">Q500-$G$2+$I$2</f>
        <v>52251.7670872243</v>
      </c>
      <c r="S500" s="40" t="n">
        <f aca="false">R500/$K$2</f>
        <v>93.4769885992778</v>
      </c>
      <c r="T500" s="41" t="n">
        <f aca="false">S500-$M$2</f>
        <v>0.00316127092966667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0.108345031738281</v>
      </c>
      <c r="C501" s="25" t="n">
        <f aca="false">IF(T500&gt;0,D500,C500)</f>
        <v>0.10835075378418</v>
      </c>
      <c r="D501" s="39" t="n">
        <f aca="false">(B501+C501)/2</f>
        <v>0.10834789276123</v>
      </c>
      <c r="E501" s="15" t="n">
        <f aca="false">$C$2*(1+IF(E$3&lt;=$O$2,$D501,$D501-($D501-$I$481)*MIN(E$3-$O$2,$Q$2)/$Q$2))</f>
        <v>6217.8316783905</v>
      </c>
      <c r="F501" s="15" t="n">
        <f aca="false">E501*(1+IF(F$3&lt;=$O$2,$D501,$D501-($D501-$I$481)*MIN(F$3-$O$2,$Q$2)/$Q$2))</f>
        <v>6891.52063828814</v>
      </c>
      <c r="G501" s="15" t="n">
        <f aca="false">F501*(1+IF(G$3&lt;=$O$2,$D501,$D501-($D501-$I$481)*MIN(G$3-$O$2,$Q$2)/$Q$2))</f>
        <v>7638.20237736719</v>
      </c>
      <c r="H501" s="15" t="n">
        <f aca="false">G501*(1+IF(H$3&lt;=$O$2,$D501,$D501-($D501-$I$481)*MIN(H$3-$O$2,$Q$2)/$Q$2))</f>
        <v>8465.78550943875</v>
      </c>
      <c r="I501" s="15" t="n">
        <f aca="false">H501*(1+IF(I$3&lt;=$O$2,$D501,$D501-($D501-$I$481)*MIN(I$3-$O$2,$Q$2)/$Q$2))</f>
        <v>9383.03552995499</v>
      </c>
      <c r="J501" s="15" t="n">
        <f aca="false">I501*(1+IF(J$3&lt;=$O$2,$D501,$D501-($D501-$I$481)*MIN(J$3-$O$2,$Q$2)/$Q$2))</f>
        <v>10240.0661774241</v>
      </c>
      <c r="K501" s="15" t="n">
        <f aca="false">J501*(1+IF(K$3&lt;=$O$2,$D501,$D501-($D501-$I$481)*MIN(K$3-$O$2,$Q$2)/$Q$2))</f>
        <v>11001.1973494333</v>
      </c>
      <c r="L501" s="15" t="n">
        <f aca="false">K501*(1+IF(L$3&lt;=$O$2,$D501,$D501-($D501-$I$481)*MIN(L$3-$O$2,$Q$2)/$Q$2))</f>
        <v>11631.776708643</v>
      </c>
      <c r="M501" s="15" t="n">
        <f aca="false">L501*(1+IF(M$3&lt;=$O$2,$D501,$D501-($D501-$I$481)*MIN(M$3-$O$2,$Q$2)/$Q$2))</f>
        <v>12100.6487255823</v>
      </c>
      <c r="N501" s="15" t="n">
        <f aca="false">M501*(1+IF(N$3&lt;=$O$2,$D501,$D501-($D501-$I$481)*MIN(N$3-$O$2,$Q$2)/$Q$2))</f>
        <v>12382.5938408883</v>
      </c>
      <c r="O501" s="15" t="n">
        <f aca="false">SUMPRODUCT(E501:N501,1/(1+$F$481)^$E$3:$N$3)*$E$2</f>
        <v>23225.0501230658</v>
      </c>
      <c r="P501" s="15" t="n">
        <f aca="false">N501*$E$2*(1+$I$481)/($F$481-$I$481)/(1+$F$481)^$N$3</f>
        <v>37790.737182506</v>
      </c>
      <c r="Q501" s="15" t="n">
        <f aca="false">O501+P501</f>
        <v>61015.7873055718</v>
      </c>
      <c r="R501" s="15" t="n">
        <f aca="false">Q501-$G$2+$I$2</f>
        <v>52250.7873055718</v>
      </c>
      <c r="S501" s="40" t="n">
        <f aca="false">R501/$K$2</f>
        <v>93.4752357965791</v>
      </c>
      <c r="T501" s="41" t="n">
        <f aca="false">S501-$M$2</f>
        <v>0.00140846823103402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0.108345031738281</v>
      </c>
      <c r="C502" s="25" t="n">
        <f aca="false">IF(T501&gt;0,D501,C501)</f>
        <v>0.10834789276123</v>
      </c>
      <c r="D502" s="39" t="n">
        <f aca="false">(B502+C502)/2</f>
        <v>0.108346462249756</v>
      </c>
      <c r="E502" s="15" t="n">
        <f aca="false">$C$2*(1+IF(E$3&lt;=$O$2,$D502,$D502-($D502-$I$481)*MIN(E$3-$O$2,$Q$2)/$Q$2))</f>
        <v>6217.82365322113</v>
      </c>
      <c r="F502" s="15" t="n">
        <f aca="false">E502*(1+IF(F$3&lt;=$O$2,$D502,$D502-($D502-$I$481)*MIN(F$3-$O$2,$Q$2)/$Q$2))</f>
        <v>6891.50284894049</v>
      </c>
      <c r="G502" s="15" t="n">
        <f aca="false">F502*(1+IF(G$3&lt;=$O$2,$D502,$D502-($D502-$I$481)*MIN(G$3-$O$2,$Q$2)/$Q$2))</f>
        <v>7638.17280220731</v>
      </c>
      <c r="H502" s="15" t="n">
        <f aca="false">G502*(1+IF(H$3&lt;=$O$2,$D502,$D502-($D502-$I$481)*MIN(H$3-$O$2,$Q$2)/$Q$2))</f>
        <v>8465.74180337877</v>
      </c>
      <c r="I502" s="15" t="n">
        <f aca="false">H502*(1+IF(I$3&lt;=$O$2,$D502,$D502-($D502-$I$481)*MIN(I$3-$O$2,$Q$2)/$Q$2))</f>
        <v>9382.97497809473</v>
      </c>
      <c r="J502" s="15" t="n">
        <f aca="false">I502*(1+IF(J$3&lt;=$O$2,$D502,$D502-($D502-$I$481)*MIN(J$3-$O$2,$Q$2)/$Q$2))</f>
        <v>10239.9893568963</v>
      </c>
      <c r="K502" s="15" t="n">
        <f aca="false">J502*(1+IF(K$3&lt;=$O$2,$D502,$D502-($D502-$I$481)*MIN(K$3-$O$2,$Q$2)/$Q$2))</f>
        <v>11001.1060298795</v>
      </c>
      <c r="L502" s="15" t="n">
        <f aca="false">K502*(1+IF(L$3&lt;=$O$2,$D502,$D502-($D502-$I$481)*MIN(L$3-$O$2,$Q$2)/$Q$2))</f>
        <v>11631.673859846</v>
      </c>
      <c r="M502" s="15" t="n">
        <f aca="false">L502*(1+IF(M$3&lt;=$O$2,$D502,$D502-($D502-$I$481)*MIN(M$3-$O$2,$Q$2)/$Q$2))</f>
        <v>12100.5384031449</v>
      </c>
      <c r="N502" s="15" t="n">
        <f aca="false">M502*(1+IF(N$3&lt;=$O$2,$D502,$D502-($D502-$I$481)*MIN(N$3-$O$2,$Q$2)/$Q$2))</f>
        <v>12382.4809479382</v>
      </c>
      <c r="O502" s="15" t="n">
        <f aca="false">SUMPRODUCT(E502:N502,1/(1+$F$481)^$E$3:$N$3)*$E$2</f>
        <v>23224.9047784298</v>
      </c>
      <c r="P502" s="15" t="n">
        <f aca="false">N502*$E$2*(1+$I$481)/($F$481-$I$481)/(1+$F$481)^$N$3</f>
        <v>37790.3926417851</v>
      </c>
      <c r="Q502" s="15" t="n">
        <f aca="false">O502+P502</f>
        <v>61015.2974202149</v>
      </c>
      <c r="R502" s="15" t="n">
        <f aca="false">Q502-$G$2+$I$2</f>
        <v>52250.2974202149</v>
      </c>
      <c r="S502" s="40" t="n">
        <f aca="false">R502/$K$2</f>
        <v>93.4743594050143</v>
      </c>
      <c r="T502" s="41" t="n">
        <f aca="false">S502-$M$2</f>
        <v>0.000532076666189596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0.108345031738281</v>
      </c>
      <c r="C503" s="25" t="n">
        <f aca="false">IF(T502&gt;0,D502,C502)</f>
        <v>0.108346462249756</v>
      </c>
      <c r="D503" s="39" t="n">
        <f aca="false">(B503+C503)/2</f>
        <v>0.108345746994019</v>
      </c>
      <c r="E503" s="15" t="n">
        <f aca="false">$C$2*(1+IF(E$3&lt;=$O$2,$D503,$D503-($D503-$I$481)*MIN(E$3-$O$2,$Q$2)/$Q$2))</f>
        <v>6217.81964063644</v>
      </c>
      <c r="F503" s="15" t="n">
        <f aca="false">E503*(1+IF(F$3&lt;=$O$2,$D503,$D503-($D503-$I$481)*MIN(F$3-$O$2,$Q$2)/$Q$2))</f>
        <v>6891.49395427528</v>
      </c>
      <c r="G503" s="15" t="n">
        <f aca="false">F503*(1+IF(G$3&lt;=$O$2,$D503,$D503-($D503-$I$481)*MIN(G$3-$O$2,$Q$2)/$Q$2))</f>
        <v>7638.158014656</v>
      </c>
      <c r="H503" s="15" t="n">
        <f aca="false">G503*(1+IF(H$3&lt;=$O$2,$D503,$D503-($D503-$I$481)*MIN(H$3-$O$2,$Q$2)/$Q$2))</f>
        <v>8465.71995041225</v>
      </c>
      <c r="I503" s="15" t="n">
        <f aca="false">H503*(1+IF(I$3&lt;=$O$2,$D503,$D503-($D503-$I$481)*MIN(I$3-$O$2,$Q$2)/$Q$2))</f>
        <v>9382.94470228183</v>
      </c>
      <c r="J503" s="15" t="n">
        <f aca="false">I503*(1+IF(J$3&lt;=$O$2,$D503,$D503-($D503-$I$481)*MIN(J$3-$O$2,$Q$2)/$Q$2))</f>
        <v>10239.9509468123</v>
      </c>
      <c r="K503" s="15" t="n">
        <f aca="false">J503*(1+IF(K$3&lt;=$O$2,$D503,$D503-($D503-$I$481)*MIN(K$3-$O$2,$Q$2)/$Q$2))</f>
        <v>11001.0603703453</v>
      </c>
      <c r="L503" s="15" t="n">
        <f aca="false">K503*(1+IF(L$3&lt;=$O$2,$D503,$D503-($D503-$I$481)*MIN(L$3-$O$2,$Q$2)/$Q$2))</f>
        <v>11631.6224357433</v>
      </c>
      <c r="M503" s="15" t="n">
        <f aca="false">L503*(1+IF(M$3&lt;=$O$2,$D503,$D503-($D503-$I$481)*MIN(M$3-$O$2,$Q$2)/$Q$2))</f>
        <v>12100.4832422561</v>
      </c>
      <c r="N503" s="15" t="n">
        <f aca="false">M503*(1+IF(N$3&lt;=$O$2,$D503,$D503-($D503-$I$481)*MIN(N$3-$O$2,$Q$2)/$Q$2))</f>
        <v>12382.4245018007</v>
      </c>
      <c r="O503" s="15" t="n">
        <f aca="false">SUMPRODUCT(E503:N503,1/(1+$F$481)^$E$3:$N$3)*$E$2</f>
        <v>23224.832106449</v>
      </c>
      <c r="P503" s="15" t="n">
        <f aca="false">N503*$E$2*(1+$I$481)/($F$481-$I$481)/(1+$F$481)^$N$3</f>
        <v>37790.2203724548</v>
      </c>
      <c r="Q503" s="15" t="n">
        <f aca="false">O503+P503</f>
        <v>61015.0524789038</v>
      </c>
      <c r="R503" s="15" t="n">
        <f aca="false">Q503-$G$2+$I$2</f>
        <v>52250.0524789038</v>
      </c>
      <c r="S503" s="40" t="n">
        <f aca="false">R503/$K$2</f>
        <v>93.473921211678</v>
      </c>
      <c r="T503" s="41" t="n">
        <f aca="false">S503-$M$2</f>
        <v>9.38833298960162E-005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0.108345031738281</v>
      </c>
      <c r="C504" s="25" t="n">
        <f aca="false">IF(T503&gt;0,D503,C503)</f>
        <v>0.108345746994019</v>
      </c>
      <c r="D504" s="39" t="n">
        <f aca="false">(B504+C504)/2</f>
        <v>0.10834538936615</v>
      </c>
      <c r="E504" s="15" t="n">
        <f aca="false">$C$2*(1+IF(E$3&lt;=$O$2,$D504,$D504-($D504-$I$481)*MIN(E$3-$O$2,$Q$2)/$Q$2))</f>
        <v>6217.8176343441</v>
      </c>
      <c r="F504" s="15" t="n">
        <f aca="false">E504*(1+IF(F$3&lt;=$O$2,$D504,$D504-($D504-$I$481)*MIN(F$3-$O$2,$Q$2)/$Q$2))</f>
        <v>6891.48950694483</v>
      </c>
      <c r="G504" s="15" t="n">
        <f aca="false">F504*(1+IF(G$3&lt;=$O$2,$D504,$D504-($D504-$I$481)*MIN(G$3-$O$2,$Q$2)/$Q$2))</f>
        <v>7638.1506208875</v>
      </c>
      <c r="H504" s="15" t="n">
        <f aca="false">G504*(1+IF(H$3&lt;=$O$2,$D504,$D504-($D504-$I$481)*MIN(H$3-$O$2,$Q$2)/$Q$2))</f>
        <v>8465.70902394486</v>
      </c>
      <c r="I504" s="15" t="n">
        <f aca="false">H504*(1+IF(I$3&lt;=$O$2,$D504,$D504-($D504-$I$481)*MIN(I$3-$O$2,$Q$2)/$Q$2))</f>
        <v>9382.92956440469</v>
      </c>
      <c r="J504" s="15" t="n">
        <f aca="false">I504*(1+IF(J$3&lt;=$O$2,$D504,$D504-($D504-$I$481)*MIN(J$3-$O$2,$Q$2)/$Q$2))</f>
        <v>10239.9317418153</v>
      </c>
      <c r="K504" s="15" t="n">
        <f aca="false">J504*(1+IF(K$3&lt;=$O$2,$D504,$D504-($D504-$I$481)*MIN(K$3-$O$2,$Q$2)/$Q$2))</f>
        <v>11001.0375406389</v>
      </c>
      <c r="L504" s="15" t="n">
        <f aca="false">K504*(1+IF(L$3&lt;=$O$2,$D504,$D504-($D504-$I$481)*MIN(L$3-$O$2,$Q$2)/$Q$2))</f>
        <v>11631.5967237659</v>
      </c>
      <c r="M504" s="15" t="n">
        <f aca="false">L504*(1+IF(M$3&lt;=$O$2,$D504,$D504-($D504-$I$481)*MIN(M$3-$O$2,$Q$2)/$Q$2))</f>
        <v>12100.4556618941</v>
      </c>
      <c r="N504" s="15" t="n">
        <f aca="false">M504*(1+IF(N$3&lt;=$O$2,$D504,$D504-($D504-$I$481)*MIN(N$3-$O$2,$Q$2)/$Q$2))</f>
        <v>12382.3962788163</v>
      </c>
      <c r="O504" s="15" t="n">
        <f aca="false">SUMPRODUCT(E504:N504,1/(1+$F$481)^$E$3:$N$3)*$E$2</f>
        <v>23224.7957705429</v>
      </c>
      <c r="P504" s="15" t="n">
        <f aca="false">N504*$E$2*(1+$I$481)/($F$481-$I$481)/(1+$F$481)^$N$3</f>
        <v>37790.1342380471</v>
      </c>
      <c r="Q504" s="15" t="n">
        <f aca="false">O504+P504</f>
        <v>61014.93000859</v>
      </c>
      <c r="R504" s="15" t="n">
        <f aca="false">Q504-$G$2+$I$2</f>
        <v>52249.93000859</v>
      </c>
      <c r="S504" s="40" t="n">
        <f aca="false">R504/$K$2</f>
        <v>93.4737021156214</v>
      </c>
      <c r="T504" s="41" t="n">
        <f aca="false">S504-$M$2</f>
        <v>-0.000125212726729274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0.10834538936615</v>
      </c>
      <c r="C505" s="25" t="n">
        <f aca="false">IF(T504&gt;0,D504,C504)</f>
        <v>0.108345746994019</v>
      </c>
      <c r="D505" s="39" t="n">
        <f aca="false">(B505+C505)/2</f>
        <v>0.108345568180084</v>
      </c>
      <c r="E505" s="15" t="n">
        <f aca="false">$C$2*(1+IF(E$3&lt;=$O$2,$D505,$D505-($D505-$I$481)*MIN(E$3-$O$2,$Q$2)/$Q$2))</f>
        <v>6217.81863749027</v>
      </c>
      <c r="F505" s="15" t="n">
        <f aca="false">E505*(1+IF(F$3&lt;=$O$2,$D505,$D505-($D505-$I$481)*MIN(F$3-$O$2,$Q$2)/$Q$2))</f>
        <v>6891.49173060987</v>
      </c>
      <c r="G505" s="15" t="n">
        <f aca="false">F505*(1+IF(G$3&lt;=$O$2,$D505,$D505-($D505-$I$481)*MIN(G$3-$O$2,$Q$2)/$Q$2))</f>
        <v>7638.15431777115</v>
      </c>
      <c r="H505" s="15" t="n">
        <f aca="false">G505*(1+IF(H$3&lt;=$O$2,$D505,$D505-($D505-$I$481)*MIN(H$3-$O$2,$Q$2)/$Q$2))</f>
        <v>8465.71448717723</v>
      </c>
      <c r="I505" s="15" t="n">
        <f aca="false">H505*(1+IF(I$3&lt;=$O$2,$D505,$D505-($D505-$I$481)*MIN(I$3-$O$2,$Q$2)/$Q$2))</f>
        <v>9382.93713334082</v>
      </c>
      <c r="J505" s="15" t="n">
        <f aca="false">I505*(1+IF(J$3&lt;=$O$2,$D505,$D505-($D505-$I$481)*MIN(J$3-$O$2,$Q$2)/$Q$2))</f>
        <v>10239.94134431</v>
      </c>
      <c r="K505" s="15" t="n">
        <f aca="false">J505*(1+IF(K$3&lt;=$O$2,$D505,$D505-($D505-$I$481)*MIN(K$3-$O$2,$Q$2)/$Q$2))</f>
        <v>11001.048955487</v>
      </c>
      <c r="L505" s="15" t="n">
        <f aca="false">K505*(1+IF(L$3&lt;=$O$2,$D505,$D505-($D505-$I$481)*MIN(L$3-$O$2,$Q$2)/$Q$2))</f>
        <v>11631.6095797484</v>
      </c>
      <c r="M505" s="15" t="n">
        <f aca="false">L505*(1+IF(M$3&lt;=$O$2,$D505,$D505-($D505-$I$481)*MIN(M$3-$O$2,$Q$2)/$Q$2))</f>
        <v>12100.4694520682</v>
      </c>
      <c r="N505" s="15" t="n">
        <f aca="false">M505*(1+IF(N$3&lt;=$O$2,$D505,$D505-($D505-$I$481)*MIN(N$3-$O$2,$Q$2)/$Q$2))</f>
        <v>12382.4103903014</v>
      </c>
      <c r="O505" s="15" t="n">
        <f aca="false">SUMPRODUCT(E505:N505,1/(1+$F$481)^$E$3:$N$3)*$E$2</f>
        <v>23224.8139384889</v>
      </c>
      <c r="P505" s="15" t="n">
        <f aca="false">N505*$E$2*(1+$I$481)/($F$481-$I$481)/(1+$F$481)^$N$3</f>
        <v>37790.1773052295</v>
      </c>
      <c r="Q505" s="15" t="n">
        <f aca="false">O505+P505</f>
        <v>61014.9912437184</v>
      </c>
      <c r="R505" s="15" t="n">
        <f aca="false">Q505-$G$2+$I$2</f>
        <v>52249.9912437184</v>
      </c>
      <c r="S505" s="40" t="n">
        <f aca="false">R505/$K$2</f>
        <v>93.4738116635987</v>
      </c>
      <c r="T505" s="41" t="n">
        <f aca="false">S505-$M$2</f>
        <v>-1.56647494264917E-005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0.108345568180084</v>
      </c>
      <c r="C506" s="25" t="n">
        <f aca="false">IF(T505&gt;0,D505,C505)</f>
        <v>0.108345746994019</v>
      </c>
      <c r="D506" s="39" t="n">
        <f aca="false">(B506+C506)/2</f>
        <v>0.108345657587051</v>
      </c>
      <c r="E506" s="15" t="n">
        <f aca="false">$C$2*(1+IF(E$3&lt;=$O$2,$D506,$D506-($D506-$I$481)*MIN(E$3-$O$2,$Q$2)/$Q$2))</f>
        <v>6217.81913906336</v>
      </c>
      <c r="F506" s="15" t="n">
        <f aca="false">E506*(1+IF(F$3&lt;=$O$2,$D506,$D506-($D506-$I$481)*MIN(F$3-$O$2,$Q$2)/$Q$2))</f>
        <v>6891.49284244253</v>
      </c>
      <c r="G506" s="15" t="n">
        <f aca="false">F506*(1+IF(G$3&lt;=$O$2,$D506,$D506-($D506-$I$481)*MIN(G$3-$O$2,$Q$2)/$Q$2))</f>
        <v>7638.15616621343</v>
      </c>
      <c r="H506" s="15" t="n">
        <f aca="false">G506*(1+IF(H$3&lt;=$O$2,$D506,$D506-($D506-$I$481)*MIN(H$3-$O$2,$Q$2)/$Q$2))</f>
        <v>8465.71721879441</v>
      </c>
      <c r="I506" s="15" t="n">
        <f aca="false">H506*(1+IF(I$3&lt;=$O$2,$D506,$D506-($D506-$I$481)*MIN(I$3-$O$2,$Q$2)/$Q$2))</f>
        <v>9382.94091781071</v>
      </c>
      <c r="J506" s="15" t="n">
        <f aca="false">I506*(1+IF(J$3&lt;=$O$2,$D506,$D506-($D506-$I$481)*MIN(J$3-$O$2,$Q$2)/$Q$2))</f>
        <v>10239.9461455602</v>
      </c>
      <c r="K506" s="15" t="n">
        <f aca="false">J506*(1+IF(K$3&lt;=$O$2,$D506,$D506-($D506-$I$481)*MIN(K$3-$O$2,$Q$2)/$Q$2))</f>
        <v>11001.0546629149</v>
      </c>
      <c r="L506" s="15" t="n">
        <f aca="false">K506*(1+IF(L$3&lt;=$O$2,$D506,$D506-($D506-$I$481)*MIN(L$3-$O$2,$Q$2)/$Q$2))</f>
        <v>11631.6160077443</v>
      </c>
      <c r="M506" s="15" t="n">
        <f aca="false">L506*(1+IF(M$3&lt;=$O$2,$D506,$D506-($D506-$I$481)*MIN(M$3-$O$2,$Q$2)/$Q$2))</f>
        <v>12100.4763471605</v>
      </c>
      <c r="N506" s="15" t="n">
        <f aca="false">M506*(1+IF(N$3&lt;=$O$2,$D506,$D506-($D506-$I$481)*MIN(N$3-$O$2,$Q$2)/$Q$2))</f>
        <v>12382.4174460493</v>
      </c>
      <c r="O506" s="15" t="n">
        <f aca="false">SUMPRODUCT(E506:N506,1/(1+$F$481)^$E$3:$N$3)*$E$2</f>
        <v>23224.8230224672</v>
      </c>
      <c r="P506" s="15" t="n">
        <f aca="false">N506*$E$2*(1+$I$481)/($F$481-$I$481)/(1+$F$481)^$N$3</f>
        <v>37790.1988388368</v>
      </c>
      <c r="Q506" s="15" t="n">
        <f aca="false">O506+P506</f>
        <v>61015.021861304</v>
      </c>
      <c r="R506" s="15" t="n">
        <f aca="false">Q506-$G$2+$I$2</f>
        <v>52250.021861304</v>
      </c>
      <c r="S506" s="40" t="n">
        <f aca="false">R506/$K$2</f>
        <v>93.4738664376256</v>
      </c>
      <c r="T506" s="41" t="n">
        <f aca="false">S506-$M$2</f>
        <v>3.91092775089419E-005</v>
      </c>
    </row>
    <row r="508" customFormat="false" ht="15" hidden="false" customHeight="false" outlineLevel="0" collapsed="false">
      <c r="A508" s="36" t="s">
        <v>204</v>
      </c>
      <c r="E508" s="5" t="s">
        <v>11</v>
      </c>
      <c r="F508" s="12" t="n">
        <f aca="false">Sensitivity!$B$13</f>
        <v>0.0817360315529091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6" t="s">
        <v>167</v>
      </c>
      <c r="B509" s="28" t="s">
        <v>168</v>
      </c>
      <c r="C509" s="28" t="s">
        <v>169</v>
      </c>
      <c r="D509" s="28" t="s">
        <v>170</v>
      </c>
      <c r="E509" s="28" t="s">
        <v>171</v>
      </c>
      <c r="F509" s="28" t="s">
        <v>172</v>
      </c>
      <c r="G509" s="28" t="s">
        <v>173</v>
      </c>
      <c r="H509" s="28" t="s">
        <v>174</v>
      </c>
      <c r="I509" s="28" t="s">
        <v>175</v>
      </c>
      <c r="J509" s="28" t="s">
        <v>176</v>
      </c>
      <c r="K509" s="28" t="s">
        <v>177</v>
      </c>
      <c r="L509" s="28" t="s">
        <v>178</v>
      </c>
      <c r="M509" s="28" t="s">
        <v>179</v>
      </c>
      <c r="N509" s="28" t="s">
        <v>180</v>
      </c>
      <c r="O509" s="28" t="s">
        <v>181</v>
      </c>
      <c r="P509" s="28" t="s">
        <v>182</v>
      </c>
      <c r="Q509" s="28" t="s">
        <v>183</v>
      </c>
      <c r="R509" s="28" t="s">
        <v>184</v>
      </c>
      <c r="S509" s="28" t="s">
        <v>185</v>
      </c>
      <c r="T509" s="28" t="s">
        <v>186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39" t="n">
        <f aca="false">(B510+C510)/2</f>
        <v>0.25</v>
      </c>
      <c r="E510" s="15" t="n">
        <f aca="false">$C$2*(1+IF(E$3&lt;=$O$2,$D510,$D510-($D510-$I$508)*MIN(E$3-$O$2,$Q$2)/$Q$2))</f>
        <v>7012.5</v>
      </c>
      <c r="F510" s="15" t="n">
        <f aca="false">E510*(1+IF(F$3&lt;=$O$2,$D510,$D510-($D510-$I$508)*MIN(F$3-$O$2,$Q$2)/$Q$2))</f>
        <v>8765.625</v>
      </c>
      <c r="G510" s="15" t="n">
        <f aca="false">F510*(1+IF(G$3&lt;=$O$2,$D510,$D510-($D510-$I$508)*MIN(G$3-$O$2,$Q$2)/$Q$2))</f>
        <v>10957.03125</v>
      </c>
      <c r="H510" s="15" t="n">
        <f aca="false">G510*(1+IF(H$3&lt;=$O$2,$D510,$D510-($D510-$I$508)*MIN(H$3-$O$2,$Q$2)/$Q$2))</f>
        <v>13696.2890625</v>
      </c>
      <c r="I510" s="15" t="n">
        <f aca="false">H510*(1+IF(I$3&lt;=$O$2,$D510,$D510-($D510-$I$508)*MIN(I$3-$O$2,$Q$2)/$Q$2))</f>
        <v>17120.361328125</v>
      </c>
      <c r="J510" s="15" t="n">
        <f aca="false">I510*(1+IF(J$3&lt;=$O$2,$D510,$D510-($D510-$I$508)*MIN(J$3-$O$2,$Q$2)/$Q$2))</f>
        <v>20641.3348388672</v>
      </c>
      <c r="K510" s="15" t="n">
        <f aca="false">J510*(1+IF(K$3&lt;=$O$2,$D510,$D510-($D510-$I$508)*MIN(K$3-$O$2,$Q$2)/$Q$2))</f>
        <v>23971.1949750732</v>
      </c>
      <c r="L510" s="15" t="n">
        <f aca="false">K510*(1+IF(L$3&lt;=$O$2,$D510,$D510-($D510-$I$508)*MIN(L$3-$O$2,$Q$2)/$Q$2))</f>
        <v>26775.3453632573</v>
      </c>
      <c r="M510" s="15" t="n">
        <f aca="false">L510*(1+IF(M$3&lt;=$O$2,$D510,$D510-($D510-$I$508)*MIN(M$3-$O$2,$Q$2)/$Q$2))</f>
        <v>28720.3064504443</v>
      </c>
      <c r="N510" s="15" t="n">
        <f aca="false">M510*(1+IF(N$3&lt;=$O$2,$D510,$D510-($D510-$I$508)*MIN(N$3-$O$2,$Q$2)/$Q$2))</f>
        <v>29533.0911229919</v>
      </c>
      <c r="O510" s="15" t="n">
        <f aca="false">SUMPRODUCT(E510:N510,1/(1+$F$508)^$E$3:$N$3)*$E$2</f>
        <v>43132.6587855156</v>
      </c>
      <c r="P510" s="15" t="n">
        <f aca="false">N510*$E$2*(1+$I$508)/($F$508-$I$508)/(1+$F$508)^$N$3</f>
        <v>99048.0706067093</v>
      </c>
      <c r="Q510" s="15" t="n">
        <f aca="false">O510+P510</f>
        <v>142180.729392225</v>
      </c>
      <c r="R510" s="15" t="n">
        <f aca="false">Q510-$G$2+$I$2</f>
        <v>133415.729392225</v>
      </c>
      <c r="S510" s="40" t="n">
        <f aca="false">R510/$K$2</f>
        <v>238.677107217119</v>
      </c>
      <c r="T510" s="41" t="n">
        <f aca="false">S510-$M$2</f>
        <v>145.20327988877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39" t="n">
        <f aca="false">(B511+C511)/2</f>
        <v>-0.125</v>
      </c>
      <c r="E511" s="15" t="n">
        <f aca="false">$C$2*(1+IF(E$3&lt;=$O$2,$D511,$D511-($D511-$I$508)*MIN(E$3-$O$2,$Q$2)/$Q$2))</f>
        <v>4908.75</v>
      </c>
      <c r="F511" s="15" t="n">
        <f aca="false">E511*(1+IF(F$3&lt;=$O$2,$D511,$D511-($D511-$I$508)*MIN(F$3-$O$2,$Q$2)/$Q$2))</f>
        <v>4295.15625</v>
      </c>
      <c r="G511" s="15" t="n">
        <f aca="false">F511*(1+IF(G$3&lt;=$O$2,$D511,$D511-($D511-$I$508)*MIN(G$3-$O$2,$Q$2)/$Q$2))</f>
        <v>3758.26171875</v>
      </c>
      <c r="H511" s="15" t="n">
        <f aca="false">G511*(1+IF(H$3&lt;=$O$2,$D511,$D511-($D511-$I$508)*MIN(H$3-$O$2,$Q$2)/$Q$2))</f>
        <v>3288.47900390625</v>
      </c>
      <c r="I511" s="15" t="n">
        <f aca="false">H511*(1+IF(I$3&lt;=$O$2,$D511,$D511-($D511-$I$508)*MIN(I$3-$O$2,$Q$2)/$Q$2))</f>
        <v>2877.41912841797</v>
      </c>
      <c r="J511" s="15" t="n">
        <f aca="false">I511*(1+IF(J$3&lt;=$O$2,$D511,$D511-($D511-$I$508)*MIN(J$3-$O$2,$Q$2)/$Q$2))</f>
        <v>2605.96340784302</v>
      </c>
      <c r="K511" s="15" t="n">
        <f aca="false">J511*(1+IF(K$3&lt;=$O$2,$D511,$D511-($D511-$I$508)*MIN(K$3-$O$2,$Q$2)/$Q$2))</f>
        <v>2440.01565803157</v>
      </c>
      <c r="L511" s="15" t="n">
        <f aca="false">K511*(1+IF(L$3&lt;=$O$2,$D511,$D511-($D511-$I$508)*MIN(L$3-$O$2,$Q$2)/$Q$2))</f>
        <v>2359.44634100337</v>
      </c>
      <c r="M511" s="15" t="n">
        <f aca="false">L511*(1+IF(M$3&lt;=$O$2,$D511,$D511-($D511-$I$508)*MIN(M$3-$O$2,$Q$2)/$Q$2))</f>
        <v>2353.8780476386</v>
      </c>
      <c r="N511" s="15" t="n">
        <f aca="false">M511*(1+IF(N$3&lt;=$O$2,$D511,$D511-($D511-$I$508)*MIN(N$3-$O$2,$Q$2)/$Q$2))</f>
        <v>2420.49279638678</v>
      </c>
      <c r="O511" s="15" t="n">
        <f aca="false">SUMPRODUCT(E511:N511,1/(1+$F$508)^$E$3:$N$3)*$E$2</f>
        <v>8441.76988432355</v>
      </c>
      <c r="P511" s="15" t="n">
        <f aca="false">N511*$E$2*(1+$I$508)/($F$508-$I$508)/(1+$F$508)^$N$3</f>
        <v>8117.84788802226</v>
      </c>
      <c r="Q511" s="15" t="n">
        <f aca="false">O511+P511</f>
        <v>16559.6177723458</v>
      </c>
      <c r="R511" s="15" t="n">
        <f aca="false">Q511-$G$2+$I$2</f>
        <v>7794.61777234581</v>
      </c>
      <c r="S511" s="40" t="n">
        <f aca="false">R511/$K$2</f>
        <v>13.9443589615833</v>
      </c>
      <c r="T511" s="41" t="n">
        <f aca="false">S511-$M$2</f>
        <v>-79.5294683667648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39" t="n">
        <f aca="false">(B512+C512)/2</f>
        <v>0.0625</v>
      </c>
      <c r="E512" s="15" t="n">
        <f aca="false">$C$2*(1+IF(E$3&lt;=$O$2,$D512,$D512-($D512-$I$508)*MIN(E$3-$O$2,$Q$2)/$Q$2))</f>
        <v>5960.625</v>
      </c>
      <c r="F512" s="15" t="n">
        <f aca="false">E512*(1+IF(F$3&lt;=$O$2,$D512,$D512-($D512-$I$508)*MIN(F$3-$O$2,$Q$2)/$Q$2))</f>
        <v>6333.1640625</v>
      </c>
      <c r="G512" s="15" t="n">
        <f aca="false">F512*(1+IF(G$3&lt;=$O$2,$D512,$D512-($D512-$I$508)*MIN(G$3-$O$2,$Q$2)/$Q$2))</f>
        <v>6728.98681640625</v>
      </c>
      <c r="H512" s="15" t="n">
        <f aca="false">G512*(1+IF(H$3&lt;=$O$2,$D512,$D512-($D512-$I$508)*MIN(H$3-$O$2,$Q$2)/$Q$2))</f>
        <v>7149.54849243164</v>
      </c>
      <c r="I512" s="15" t="n">
        <f aca="false">H512*(1+IF(I$3&lt;=$O$2,$D512,$D512-($D512-$I$508)*MIN(I$3-$O$2,$Q$2)/$Q$2))</f>
        <v>7596.39527320862</v>
      </c>
      <c r="J512" s="15" t="n">
        <f aca="false">I512*(1+IF(J$3&lt;=$O$2,$D512,$D512-($D512-$I$508)*MIN(J$3-$O$2,$Q$2)/$Q$2))</f>
        <v>8019.21063411541</v>
      </c>
      <c r="K512" s="15" t="n">
        <f aca="false">J512*(1+IF(K$3&lt;=$O$2,$D512,$D512-($D512-$I$508)*MIN(K$3-$O$2,$Q$2)/$Q$2))</f>
        <v>8410.70849727293</v>
      </c>
      <c r="L512" s="15" t="n">
        <f aca="false">K512*(1+IF(L$3&lt;=$O$2,$D512,$D512-($D512-$I$508)*MIN(L$3-$O$2,$Q$2)/$Q$2))</f>
        <v>8763.79003998844</v>
      </c>
      <c r="M512" s="15" t="n">
        <f aca="false">L512*(1+IF(M$3&lt;=$O$2,$D512,$D512-($D512-$I$508)*MIN(M$3-$O$2,$Q$2)/$Q$2))</f>
        <v>9071.74962199364</v>
      </c>
      <c r="N512" s="15" t="n">
        <f aca="false">M512*(1+IF(N$3&lt;=$O$2,$D512,$D512-($D512-$I$508)*MIN(N$3-$O$2,$Q$2)/$Q$2))</f>
        <v>9328.48013629606</v>
      </c>
      <c r="O512" s="15" t="n">
        <f aca="false">SUMPRODUCT(E512:N512,1/(1+$F$508)^$E$3:$N$3)*$E$2</f>
        <v>19058.6541149638</v>
      </c>
      <c r="P512" s="15" t="n">
        <f aca="false">N512*$E$2*(1+$I$508)/($F$508-$I$508)/(1+$F$508)^$N$3</f>
        <v>31285.8533956107</v>
      </c>
      <c r="Q512" s="15" t="n">
        <f aca="false">O512+P512</f>
        <v>50344.5075105745</v>
      </c>
      <c r="R512" s="15" t="n">
        <f aca="false">Q512-$G$2+$I$2</f>
        <v>41579.5075105745</v>
      </c>
      <c r="S512" s="40" t="n">
        <f aca="false">R512/$K$2</f>
        <v>74.3846068027022</v>
      </c>
      <c r="T512" s="41" t="n">
        <f aca="false">S512-$M$2</f>
        <v>-19.0892205256459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0.0625</v>
      </c>
      <c r="C513" s="25" t="n">
        <f aca="false">IF(T512&gt;0,D512,C512)</f>
        <v>0.25</v>
      </c>
      <c r="D513" s="39" t="n">
        <f aca="false">(B513+C513)/2</f>
        <v>0.15625</v>
      </c>
      <c r="E513" s="15" t="n">
        <f aca="false">$C$2*(1+IF(E$3&lt;=$O$2,$D513,$D513-($D513-$I$508)*MIN(E$3-$O$2,$Q$2)/$Q$2))</f>
        <v>6486.5625</v>
      </c>
      <c r="F513" s="15" t="n">
        <f aca="false">E513*(1+IF(F$3&lt;=$O$2,$D513,$D513-($D513-$I$508)*MIN(F$3-$O$2,$Q$2)/$Q$2))</f>
        <v>7500.087890625</v>
      </c>
      <c r="G513" s="15" t="n">
        <f aca="false">F513*(1+IF(G$3&lt;=$O$2,$D513,$D513-($D513-$I$508)*MIN(G$3-$O$2,$Q$2)/$Q$2))</f>
        <v>8671.97662353516</v>
      </c>
      <c r="H513" s="15" t="n">
        <f aca="false">G513*(1+IF(H$3&lt;=$O$2,$D513,$D513-($D513-$I$508)*MIN(H$3-$O$2,$Q$2)/$Q$2))</f>
        <v>10026.9729709625</v>
      </c>
      <c r="I513" s="15" t="n">
        <f aca="false">H513*(1+IF(I$3&lt;=$O$2,$D513,$D513-($D513-$I$508)*MIN(I$3-$O$2,$Q$2)/$Q$2))</f>
        <v>11593.6874976754</v>
      </c>
      <c r="J513" s="15" t="n">
        <f aca="false">I513*(1+IF(J$3&lt;=$O$2,$D513,$D513-($D513-$I$508)*MIN(J$3-$O$2,$Q$2)/$Q$2))</f>
        <v>13108.5187061217</v>
      </c>
      <c r="K513" s="15" t="n">
        <f aca="false">J513*(1+IF(K$3&lt;=$O$2,$D513,$D513-($D513-$I$508)*MIN(K$3-$O$2,$Q$2)/$Q$2))</f>
        <v>14485.8307665739</v>
      </c>
      <c r="L513" s="15" t="n">
        <f aca="false">K513*(1+IF(L$3&lt;=$O$2,$D513,$D513-($D513-$I$508)*MIN(L$3-$O$2,$Q$2)/$Q$2))</f>
        <v>15637.1645959012</v>
      </c>
      <c r="M513" s="15" t="n">
        <f aca="false">L513*(1+IF(M$3&lt;=$O$2,$D513,$D513-($D513-$I$508)*MIN(M$3-$O$2,$Q$2)/$Q$2))</f>
        <v>16479.8513959743</v>
      </c>
      <c r="N513" s="15" t="n">
        <f aca="false">M513*(1+IF(N$3&lt;=$O$2,$D513,$D513-($D513-$I$508)*MIN(N$3-$O$2,$Q$2)/$Q$2))</f>
        <v>16946.2311904804</v>
      </c>
      <c r="O513" s="15" t="n">
        <f aca="false">SUMPRODUCT(E513:N513,1/(1+$F$508)^$E$3:$N$3)*$E$2</f>
        <v>28728.8066530097</v>
      </c>
      <c r="P513" s="15" t="n">
        <f aca="false">N513*$E$2*(1+$I$508)/($F$508-$I$508)/(1+$F$508)^$N$3</f>
        <v>56834.2641981554</v>
      </c>
      <c r="Q513" s="15" t="n">
        <f aca="false">O513+P513</f>
        <v>85563.0708511651</v>
      </c>
      <c r="R513" s="15" t="n">
        <f aca="false">Q513-$G$2+$I$2</f>
        <v>76798.0708511651</v>
      </c>
      <c r="S513" s="40" t="n">
        <f aca="false">R513/$K$2</f>
        <v>137.389657682144</v>
      </c>
      <c r="T513" s="41" t="n">
        <f aca="false">S513-$M$2</f>
        <v>43.9158303537963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0.0625</v>
      </c>
      <c r="C514" s="25" t="n">
        <f aca="false">IF(T513&gt;0,D513,C513)</f>
        <v>0.15625</v>
      </c>
      <c r="D514" s="39" t="n">
        <f aca="false">(B514+C514)/2</f>
        <v>0.109375</v>
      </c>
      <c r="E514" s="15" t="n">
        <f aca="false">$C$2*(1+IF(E$3&lt;=$O$2,$D514,$D514-($D514-$I$508)*MIN(E$3-$O$2,$Q$2)/$Q$2))</f>
        <v>6223.59375</v>
      </c>
      <c r="F514" s="15" t="n">
        <f aca="false">E514*(1+IF(F$3&lt;=$O$2,$D514,$D514-($D514-$I$508)*MIN(F$3-$O$2,$Q$2)/$Q$2))</f>
        <v>6904.29931640625</v>
      </c>
      <c r="G514" s="15" t="n">
        <f aca="false">F514*(1+IF(G$3&lt;=$O$2,$D514,$D514-($D514-$I$508)*MIN(G$3-$O$2,$Q$2)/$Q$2))</f>
        <v>7659.45705413818</v>
      </c>
      <c r="H514" s="15" t="n">
        <f aca="false">G514*(1+IF(H$3&lt;=$O$2,$D514,$D514-($D514-$I$508)*MIN(H$3-$O$2,$Q$2)/$Q$2))</f>
        <v>8497.21016943455</v>
      </c>
      <c r="I514" s="15" t="n">
        <f aca="false">H514*(1+IF(I$3&lt;=$O$2,$D514,$D514-($D514-$I$508)*MIN(I$3-$O$2,$Q$2)/$Q$2))</f>
        <v>9426.59253171645</v>
      </c>
      <c r="J514" s="15" t="n">
        <f aca="false">I514*(1+IF(J$3&lt;=$O$2,$D514,$D514-($D514-$I$508)*MIN(J$3-$O$2,$Q$2)/$Q$2))</f>
        <v>10304.7738919712</v>
      </c>
      <c r="K514" s="15" t="n">
        <f aca="false">J514*(1+IF(K$3&lt;=$O$2,$D514,$D514-($D514-$I$508)*MIN(K$3-$O$2,$Q$2)/$Q$2))</f>
        <v>11097.6747190889</v>
      </c>
      <c r="L514" s="15" t="n">
        <f aca="false">K514*(1+IF(L$3&lt;=$O$2,$D514,$D514-($D514-$I$508)*MIN(L$3-$O$2,$Q$2)/$Q$2))</f>
        <v>11771.6365047791</v>
      </c>
      <c r="M514" s="15" t="n">
        <f aca="false">L514*(1+IF(M$3&lt;=$O$2,$D514,$D514-($D514-$I$508)*MIN(M$3-$O$2,$Q$2)/$Q$2))</f>
        <v>12295.6509037894</v>
      </c>
      <c r="N514" s="15" t="n">
        <f aca="false">M514*(1+IF(N$3&lt;=$O$2,$D514,$D514-($D514-$I$508)*MIN(N$3-$O$2,$Q$2)/$Q$2))</f>
        <v>12643.6178243666</v>
      </c>
      <c r="O514" s="15" t="n">
        <f aca="false">SUMPRODUCT(E514:N514,1/(1+$F$508)^$E$3:$N$3)*$E$2</f>
        <v>23405.2037600985</v>
      </c>
      <c r="P514" s="15" t="n">
        <f aca="false">N514*$E$2*(1+$I$508)/($F$508-$I$508)/(1+$F$508)^$N$3</f>
        <v>42404.1610062674</v>
      </c>
      <c r="Q514" s="15" t="n">
        <f aca="false">O514+P514</f>
        <v>65809.3647663659</v>
      </c>
      <c r="R514" s="15" t="n">
        <f aca="false">Q514-$G$2+$I$2</f>
        <v>57044.3647663659</v>
      </c>
      <c r="S514" s="40" t="n">
        <f aca="false">R514/$K$2</f>
        <v>102.050815353619</v>
      </c>
      <c r="T514" s="41" t="n">
        <f aca="false">S514-$M$2</f>
        <v>8.57698802527074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0.0625</v>
      </c>
      <c r="C515" s="25" t="n">
        <f aca="false">IF(T514&gt;0,D514,C514)</f>
        <v>0.109375</v>
      </c>
      <c r="D515" s="39" t="n">
        <f aca="false">(B515+C515)/2</f>
        <v>0.0859375</v>
      </c>
      <c r="E515" s="15" t="n">
        <f aca="false">$C$2*(1+IF(E$3&lt;=$O$2,$D515,$D515-($D515-$I$508)*MIN(E$3-$O$2,$Q$2)/$Q$2))</f>
        <v>6092.109375</v>
      </c>
      <c r="F515" s="15" t="n">
        <f aca="false">E515*(1+IF(F$3&lt;=$O$2,$D515,$D515-($D515-$I$508)*MIN(F$3-$O$2,$Q$2)/$Q$2))</f>
        <v>6615.65002441406</v>
      </c>
      <c r="G515" s="15" t="n">
        <f aca="false">F515*(1+IF(G$3&lt;=$O$2,$D515,$D515-($D515-$I$508)*MIN(G$3-$O$2,$Q$2)/$Q$2))</f>
        <v>7184.18244838715</v>
      </c>
      <c r="H515" s="15" t="n">
        <f aca="false">G515*(1+IF(H$3&lt;=$O$2,$D515,$D515-($D515-$I$508)*MIN(H$3-$O$2,$Q$2)/$Q$2))</f>
        <v>7801.57312754542</v>
      </c>
      <c r="I515" s="15" t="n">
        <f aca="false">H515*(1+IF(I$3&lt;=$O$2,$D515,$D515-($D515-$I$508)*MIN(I$3-$O$2,$Q$2)/$Q$2))</f>
        <v>8472.02081819385</v>
      </c>
      <c r="J515" s="15" t="n">
        <f aca="false">I515*(1+IF(J$3&lt;=$O$2,$D515,$D515-($D515-$I$508)*MIN(J$3-$O$2,$Q$2)/$Q$2))</f>
        <v>9102.42388727566</v>
      </c>
      <c r="K515" s="15" t="n">
        <f aca="false">J515*(1+IF(K$3&lt;=$O$2,$D515,$D515-($D515-$I$508)*MIN(K$3-$O$2,$Q$2)/$Q$2))</f>
        <v>9674.80705736727</v>
      </c>
      <c r="L515" s="15" t="n">
        <f aca="false">K515*(1+IF(L$3&lt;=$O$2,$D515,$D515-($D515-$I$508)*MIN(L$3-$O$2,$Q$2)/$Q$2))</f>
        <v>10171.6567737984</v>
      </c>
      <c r="M515" s="15" t="n">
        <f aca="false">L515*(1+IF(M$3&lt;=$O$2,$D515,$D515-($D515-$I$508)*MIN(M$3-$O$2,$Q$2)/$Q$2))</f>
        <v>10576.7684339568</v>
      </c>
      <c r="N515" s="15" t="n">
        <f aca="false">M515*(1+IF(N$3&lt;=$O$2,$D515,$D515-($D515-$I$508)*MIN(N$3-$O$2,$Q$2)/$Q$2))</f>
        <v>10876.0909806378</v>
      </c>
      <c r="O515" s="15" t="n">
        <f aca="false">SUMPRODUCT(E515:N515,1/(1+$F$508)^$E$3:$N$3)*$E$2</f>
        <v>21120.97022838</v>
      </c>
      <c r="P515" s="15" t="n">
        <f aca="false">N515*$E$2*(1+$I$508)/($F$508-$I$508)/(1+$F$508)^$N$3</f>
        <v>36476.2301002941</v>
      </c>
      <c r="Q515" s="15" t="n">
        <f aca="false">O515+P515</f>
        <v>57597.2003286741</v>
      </c>
      <c r="R515" s="15" t="n">
        <f aca="false">Q515-$G$2+$I$2</f>
        <v>48832.2003286741</v>
      </c>
      <c r="S515" s="40" t="n">
        <f aca="false">R515/$K$2</f>
        <v>87.3594767767615</v>
      </c>
      <c r="T515" s="41" t="n">
        <f aca="false">S515-$M$2</f>
        <v>-6.1143505515866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0.0859375</v>
      </c>
      <c r="C516" s="25" t="n">
        <f aca="false">IF(T515&gt;0,D515,C515)</f>
        <v>0.109375</v>
      </c>
      <c r="D516" s="39" t="n">
        <f aca="false">(B516+C516)/2</f>
        <v>0.09765625</v>
      </c>
      <c r="E516" s="15" t="n">
        <f aca="false">$C$2*(1+IF(E$3&lt;=$O$2,$D516,$D516-($D516-$I$508)*MIN(E$3-$O$2,$Q$2)/$Q$2))</f>
        <v>6157.8515625</v>
      </c>
      <c r="F516" s="15" t="n">
        <f aca="false">E516*(1+IF(F$3&lt;=$O$2,$D516,$D516-($D516-$I$508)*MIN(F$3-$O$2,$Q$2)/$Q$2))</f>
        <v>6759.20425415039</v>
      </c>
      <c r="G516" s="15" t="n">
        <f aca="false">F516*(1+IF(G$3&lt;=$O$2,$D516,$D516-($D516-$I$508)*MIN(G$3-$O$2,$Q$2)/$Q$2))</f>
        <v>7419.28279459477</v>
      </c>
      <c r="H516" s="15" t="n">
        <f aca="false">G516*(1+IF(H$3&lt;=$O$2,$D516,$D516-($D516-$I$508)*MIN(H$3-$O$2,$Q$2)/$Q$2))</f>
        <v>8143.82213000441</v>
      </c>
      <c r="I516" s="15" t="n">
        <f aca="false">H516*(1+IF(I$3&lt;=$O$2,$D516,$D516-($D516-$I$508)*MIN(I$3-$O$2,$Q$2)/$Q$2))</f>
        <v>8939.11725988765</v>
      </c>
      <c r="J516" s="15" t="n">
        <f aca="false">I516*(1+IF(J$3&lt;=$O$2,$D516,$D516-($D516-$I$508)*MIN(J$3-$O$2,$Q$2)/$Q$2))</f>
        <v>9688.08119950734</v>
      </c>
      <c r="K516" s="15" t="n">
        <f aca="false">J516*(1+IF(K$3&lt;=$O$2,$D516,$D516-($D516-$I$508)*MIN(K$3-$O$2,$Q$2)/$Q$2))</f>
        <v>10365.4112864694</v>
      </c>
      <c r="L516" s="15" t="n">
        <f aca="false">K516*(1+IF(L$3&lt;=$O$2,$D516,$D516-($D516-$I$508)*MIN(L$3-$O$2,$Q$2)/$Q$2))</f>
        <v>10946.3148484914</v>
      </c>
      <c r="M516" s="15" t="n">
        <f aca="false">L516*(1+IF(M$3&lt;=$O$2,$D516,$D516-($D516-$I$508)*MIN(M$3-$O$2,$Q$2)/$Q$2))</f>
        <v>11407.9346285458</v>
      </c>
      <c r="N516" s="15" t="n">
        <f aca="false">M516*(1+IF(N$3&lt;=$O$2,$D516,$D516-($D516-$I$508)*MIN(N$3-$O$2,$Q$2)/$Q$2))</f>
        <v>11730.7791785336</v>
      </c>
      <c r="O516" s="15" t="n">
        <f aca="false">SUMPRODUCT(E516:N516,1/(1+$F$508)^$E$3:$N$3)*$E$2</f>
        <v>22234.0212404774</v>
      </c>
      <c r="P516" s="15" t="n">
        <f aca="false">N516*$E$2*(1+$I$508)/($F$508-$I$508)/(1+$F$508)^$N$3</f>
        <v>39342.6830773753</v>
      </c>
      <c r="Q516" s="15" t="n">
        <f aca="false">O516+P516</f>
        <v>61576.7043178527</v>
      </c>
      <c r="R516" s="15" t="n">
        <f aca="false">Q516-$G$2+$I$2</f>
        <v>52811.7043178527</v>
      </c>
      <c r="S516" s="40" t="n">
        <f aca="false">R516/$K$2</f>
        <v>94.4787010588083</v>
      </c>
      <c r="T516" s="41" t="n">
        <f aca="false">S516-$M$2</f>
        <v>1.00487373046019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0.0859375</v>
      </c>
      <c r="C517" s="25" t="n">
        <f aca="false">IF(T516&gt;0,D516,C516)</f>
        <v>0.09765625</v>
      </c>
      <c r="D517" s="39" t="n">
        <f aca="false">(B517+C517)/2</f>
        <v>0.091796875</v>
      </c>
      <c r="E517" s="15" t="n">
        <f aca="false">$C$2*(1+IF(E$3&lt;=$O$2,$D517,$D517-($D517-$I$508)*MIN(E$3-$O$2,$Q$2)/$Q$2))</f>
        <v>6124.98046875</v>
      </c>
      <c r="F517" s="15" t="n">
        <f aca="false">E517*(1+IF(F$3&lt;=$O$2,$D517,$D517-($D517-$I$508)*MIN(F$3-$O$2,$Q$2)/$Q$2))</f>
        <v>6687.23453521729</v>
      </c>
      <c r="G517" s="15" t="n">
        <f aca="false">F517*(1+IF(G$3&lt;=$O$2,$D517,$D517-($D517-$I$508)*MIN(G$3-$O$2,$Q$2)/$Q$2))</f>
        <v>7301.10176794231</v>
      </c>
      <c r="H517" s="15" t="n">
        <f aca="false">G517*(1+IF(H$3&lt;=$O$2,$D517,$D517-($D517-$I$508)*MIN(H$3-$O$2,$Q$2)/$Q$2))</f>
        <v>7971.32009429639</v>
      </c>
      <c r="I517" s="15" t="n">
        <f aca="false">H517*(1+IF(I$3&lt;=$O$2,$D517,$D517-($D517-$I$508)*MIN(I$3-$O$2,$Q$2)/$Q$2))</f>
        <v>8703.0623685775</v>
      </c>
      <c r="J517" s="15" t="n">
        <f aca="false">I517*(1+IF(J$3&lt;=$O$2,$D517,$D517-($D517-$I$508)*MIN(J$3-$O$2,$Q$2)/$Q$2))</f>
        <v>9391.45284427606</v>
      </c>
      <c r="K517" s="15" t="n">
        <f aca="false">J517*(1+IF(K$3&lt;=$O$2,$D517,$D517-($D517-$I$508)*MIN(K$3-$O$2,$Q$2)/$Q$2))</f>
        <v>10015.0277041619</v>
      </c>
      <c r="L517" s="15" t="n">
        <f aca="false">K517*(1+IF(L$3&lt;=$O$2,$D517,$D517-($D517-$I$508)*MIN(L$3-$O$2,$Q$2)/$Q$2))</f>
        <v>10552.8221730908</v>
      </c>
      <c r="M517" s="15" t="n">
        <f aca="false">L517*(1+IF(M$3&lt;=$O$2,$D517,$D517-($D517-$I$508)*MIN(M$3-$O$2,$Q$2)/$Q$2))</f>
        <v>10985.4812866736</v>
      </c>
      <c r="N517" s="15" t="n">
        <f aca="false">M517*(1+IF(N$3&lt;=$O$2,$D517,$D517-($D517-$I$508)*MIN(N$3-$O$2,$Q$2)/$Q$2))</f>
        <v>11296.3704070865</v>
      </c>
      <c r="O517" s="15" t="n">
        <f aca="false">SUMPRODUCT(E517:N517,1/(1+$F$508)^$E$3:$N$3)*$E$2</f>
        <v>21670.3993028952</v>
      </c>
      <c r="P517" s="15" t="n">
        <f aca="false">N517*$E$2*(1+$I$508)/($F$508-$I$508)/(1+$F$508)^$N$3</f>
        <v>37885.763092695</v>
      </c>
      <c r="Q517" s="15" t="n">
        <f aca="false">O517+P517</f>
        <v>59556.1623955902</v>
      </c>
      <c r="R517" s="15" t="n">
        <f aca="false">Q517-$G$2+$I$2</f>
        <v>50791.1623955902</v>
      </c>
      <c r="S517" s="40" t="n">
        <f aca="false">R517/$K$2</f>
        <v>90.8640065755308</v>
      </c>
      <c r="T517" s="41" t="n">
        <f aca="false">S517-$M$2</f>
        <v>-2.60982075281729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0.091796875</v>
      </c>
      <c r="C518" s="25" t="n">
        <f aca="false">IF(T517&gt;0,D517,C517)</f>
        <v>0.09765625</v>
      </c>
      <c r="D518" s="39" t="n">
        <f aca="false">(B518+C518)/2</f>
        <v>0.0947265625</v>
      </c>
      <c r="E518" s="15" t="n">
        <f aca="false">$C$2*(1+IF(E$3&lt;=$O$2,$D518,$D518-($D518-$I$508)*MIN(E$3-$O$2,$Q$2)/$Q$2))</f>
        <v>6141.416015625</v>
      </c>
      <c r="F518" s="15" t="n">
        <f aca="false">E518*(1+IF(F$3&lt;=$O$2,$D518,$D518-($D518-$I$508)*MIN(F$3-$O$2,$Q$2)/$Q$2))</f>
        <v>6723.1712436676</v>
      </c>
      <c r="G518" s="15" t="n">
        <f aca="false">F518*(1+IF(G$3&lt;=$O$2,$D518,$D518-($D518-$I$508)*MIN(G$3-$O$2,$Q$2)/$Q$2))</f>
        <v>7360.03414467908</v>
      </c>
      <c r="H518" s="15" t="n">
        <f aca="false">G518*(1+IF(H$3&lt;=$O$2,$D518,$D518-($D518-$I$508)*MIN(H$3-$O$2,$Q$2)/$Q$2))</f>
        <v>8057.22487908716</v>
      </c>
      <c r="I518" s="15" t="n">
        <f aca="false">H518*(1+IF(I$3&lt;=$O$2,$D518,$D518-($D518-$I$508)*MIN(I$3-$O$2,$Q$2)/$Q$2))</f>
        <v>8820.45809517257</v>
      </c>
      <c r="J518" s="15" t="n">
        <f aca="false">I518*(1+IF(J$3&lt;=$O$2,$D518,$D518-($D518-$I$508)*MIN(J$3-$O$2,$Q$2)/$Q$2))</f>
        <v>9538.80722801604</v>
      </c>
      <c r="K518" s="15" t="n">
        <f aca="false">J518*(1+IF(K$3&lt;=$O$2,$D518,$D518-($D518-$I$508)*MIN(K$3-$O$2,$Q$2)/$Q$2))</f>
        <v>10188.9335772733</v>
      </c>
      <c r="L518" s="15" t="n">
        <f aca="false">K518*(1+IF(L$3&lt;=$O$2,$D518,$D518-($D518-$I$508)*MIN(L$3-$O$2,$Q$2)/$Q$2))</f>
        <v>10748.0067307417</v>
      </c>
      <c r="M518" s="15" t="n">
        <f aca="false">L518*(1+IF(M$3&lt;=$O$2,$D518,$D518-($D518-$I$508)*MIN(M$3-$O$2,$Q$2)/$Q$2))</f>
        <v>11194.9659493917</v>
      </c>
      <c r="N518" s="15" t="n">
        <f aca="false">M518*(1+IF(N$3&lt;=$O$2,$D518,$D518-($D518-$I$508)*MIN(N$3-$O$2,$Q$2)/$Q$2))</f>
        <v>11511.7834857595</v>
      </c>
      <c r="O518" s="15" t="n">
        <f aca="false">SUMPRODUCT(E518:N518,1/(1+$F$508)^$E$3:$N$3)*$E$2</f>
        <v>21950.4151833312</v>
      </c>
      <c r="P518" s="15" t="n">
        <f aca="false">N518*$E$2*(1+$I$508)/($F$508-$I$508)/(1+$F$508)^$N$3</f>
        <v>38608.2154000799</v>
      </c>
      <c r="Q518" s="15" t="n">
        <f aca="false">O518+P518</f>
        <v>60558.630583411</v>
      </c>
      <c r="R518" s="15" t="n">
        <f aca="false">Q518-$G$2+$I$2</f>
        <v>51793.630583411</v>
      </c>
      <c r="S518" s="40" t="n">
        <f aca="false">R518/$K$2</f>
        <v>92.6573948681724</v>
      </c>
      <c r="T518" s="41" t="n">
        <f aca="false">S518-$M$2</f>
        <v>-0.816432460175676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0.0947265625</v>
      </c>
      <c r="C519" s="25" t="n">
        <f aca="false">IF(T518&gt;0,D518,C518)</f>
        <v>0.09765625</v>
      </c>
      <c r="D519" s="39" t="n">
        <f aca="false">(B519+C519)/2</f>
        <v>0.09619140625</v>
      </c>
      <c r="E519" s="15" t="n">
        <f aca="false">$C$2*(1+IF(E$3&lt;=$O$2,$D519,$D519-($D519-$I$508)*MIN(E$3-$O$2,$Q$2)/$Q$2))</f>
        <v>6149.6337890625</v>
      </c>
      <c r="F519" s="15" t="n">
        <f aca="false">E519*(1+IF(F$3&lt;=$O$2,$D519,$D519-($D519-$I$508)*MIN(F$3-$O$2,$Q$2)/$Q$2))</f>
        <v>6741.17571115494</v>
      </c>
      <c r="G519" s="15" t="n">
        <f aca="false">F519*(1+IF(G$3&lt;=$O$2,$D519,$D519-($D519-$I$508)*MIN(G$3-$O$2,$Q$2)/$Q$2))</f>
        <v>7389.61888258928</v>
      </c>
      <c r="H519" s="15" t="n">
        <f aca="false">G519*(1+IF(H$3&lt;=$O$2,$D519,$D519-($D519-$I$508)*MIN(H$3-$O$2,$Q$2)/$Q$2))</f>
        <v>8100.43671455709</v>
      </c>
      <c r="I519" s="15" t="n">
        <f aca="false">H519*(1+IF(I$3&lt;=$O$2,$D519,$D519-($D519-$I$508)*MIN(I$3-$O$2,$Q$2)/$Q$2))</f>
        <v>8879.62911336947</v>
      </c>
      <c r="J519" s="15" t="n">
        <f aca="false">I519*(1+IF(J$3&lt;=$O$2,$D519,$D519-($D519-$I$508)*MIN(J$3-$O$2,$Q$2)/$Q$2))</f>
        <v>9613.2030232659</v>
      </c>
      <c r="K519" s="15" t="n">
        <f aca="false">J519*(1+IF(K$3&lt;=$O$2,$D519,$D519-($D519-$I$508)*MIN(K$3-$O$2,$Q$2)/$Q$2))</f>
        <v>10276.8489919141</v>
      </c>
      <c r="L519" s="15" t="n">
        <f aca="false">K519*(1+IF(L$3&lt;=$O$2,$D519,$D519-($D519-$I$508)*MIN(L$3-$O$2,$Q$2)/$Q$2))</f>
        <v>10846.7677103372</v>
      </c>
      <c r="M519" s="15" t="n">
        <f aca="false">L519*(1+IF(M$3&lt;=$O$2,$D519,$D519-($D519-$I$508)*MIN(M$3-$O$2,$Q$2)/$Q$2))</f>
        <v>11301.0116991642</v>
      </c>
      <c r="N519" s="15" t="n">
        <f aca="false">M519*(1+IF(N$3&lt;=$O$2,$D519,$D519-($D519-$I$508)*MIN(N$3-$O$2,$Q$2)/$Q$2))</f>
        <v>11620.8303302505</v>
      </c>
      <c r="O519" s="15" t="n">
        <f aca="false">SUMPRODUCT(E519:N519,1/(1+$F$508)^$E$3:$N$3)*$E$2</f>
        <v>22091.766793776</v>
      </c>
      <c r="P519" s="15" t="n">
        <f aca="false">N519*$E$2*(1+$I$508)/($F$508-$I$508)/(1+$F$508)^$N$3</f>
        <v>38973.9366687274</v>
      </c>
      <c r="Q519" s="15" t="n">
        <f aca="false">O519+P519</f>
        <v>61065.7034625034</v>
      </c>
      <c r="R519" s="15" t="n">
        <f aca="false">Q519-$G$2+$I$2</f>
        <v>52300.7034625034</v>
      </c>
      <c r="S519" s="40" t="n">
        <f aca="false">R519/$K$2</f>
        <v>93.5645344422044</v>
      </c>
      <c r="T519" s="41" t="n">
        <f aca="false">S519-$M$2</f>
        <v>0.0907071138562685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0.0947265625</v>
      </c>
      <c r="C520" s="25" t="n">
        <f aca="false">IF(T519&gt;0,D519,C519)</f>
        <v>0.09619140625</v>
      </c>
      <c r="D520" s="39" t="n">
        <f aca="false">(B520+C520)/2</f>
        <v>0.095458984375</v>
      </c>
      <c r="E520" s="15" t="n">
        <f aca="false">$C$2*(1+IF(E$3&lt;=$O$2,$D520,$D520-($D520-$I$508)*MIN(E$3-$O$2,$Q$2)/$Q$2))</f>
        <v>6145.52490234375</v>
      </c>
      <c r="F520" s="15" t="n">
        <f aca="false">E520*(1+IF(F$3&lt;=$O$2,$D520,$D520-($D520-$I$508)*MIN(F$3-$O$2,$Q$2)/$Q$2))</f>
        <v>6732.17046797276</v>
      </c>
      <c r="G520" s="15" t="n">
        <f aca="false">F520*(1+IF(G$3&lt;=$O$2,$D520,$D520-($D520-$I$508)*MIN(G$3-$O$2,$Q$2)/$Q$2))</f>
        <v>7374.8166234848</v>
      </c>
      <c r="H520" s="15" t="n">
        <f aca="false">G520*(1+IF(H$3&lt;=$O$2,$D520,$D520-($D520-$I$508)*MIN(H$3-$O$2,$Q$2)/$Q$2))</f>
        <v>8078.80912831453</v>
      </c>
      <c r="I520" s="15" t="n">
        <f aca="false">H520*(1+IF(I$3&lt;=$O$2,$D520,$D520-($D520-$I$508)*MIN(I$3-$O$2,$Q$2)/$Q$2))</f>
        <v>8850.00404266291</v>
      </c>
      <c r="J520" s="15" t="n">
        <f aca="false">I520*(1+IF(J$3&lt;=$O$2,$D520,$D520-($D520-$I$508)*MIN(J$3-$O$2,$Q$2)/$Q$2))</f>
        <v>9575.94498364618</v>
      </c>
      <c r="K520" s="15" t="n">
        <f aca="false">J520*(1+IF(K$3&lt;=$O$2,$D520,$D520-($D520-$I$508)*MIN(K$3-$O$2,$Q$2)/$Q$2))</f>
        <v>10232.8106704029</v>
      </c>
      <c r="L520" s="15" t="n">
        <f aca="false">K520*(1+IF(L$3&lt;=$O$2,$D520,$D520-($D520-$I$508)*MIN(L$3-$O$2,$Q$2)/$Q$2))</f>
        <v>10797.2892811457</v>
      </c>
      <c r="M520" s="15" t="n">
        <f aca="false">L520*(1+IF(M$3&lt;=$O$2,$D520,$D520-($D520-$I$508)*MIN(M$3-$O$2,$Q$2)/$Q$2))</f>
        <v>11247.8795642271</v>
      </c>
      <c r="N520" s="15" t="n">
        <f aca="false">M520*(1+IF(N$3&lt;=$O$2,$D520,$D520-($D520-$I$508)*MIN(N$3-$O$2,$Q$2)/$Q$2))</f>
        <v>11566.1945558947</v>
      </c>
      <c r="O520" s="15" t="n">
        <f aca="false">SUMPRODUCT(E520:N520,1/(1+$F$508)^$E$3:$N$3)*$E$2</f>
        <v>22020.9784658304</v>
      </c>
      <c r="P520" s="15" t="n">
        <f aca="false">N520*$E$2*(1+$I$508)/($F$508-$I$508)/(1+$F$508)^$N$3</f>
        <v>38790.6992279356</v>
      </c>
      <c r="Q520" s="15" t="n">
        <f aca="false">O520+P520</f>
        <v>60811.677693766</v>
      </c>
      <c r="R520" s="15" t="n">
        <f aca="false">Q520-$G$2+$I$2</f>
        <v>52046.677693766</v>
      </c>
      <c r="S520" s="40" t="n">
        <f aca="false">R520/$K$2</f>
        <v>93.1100892585889</v>
      </c>
      <c r="T520" s="41" t="n">
        <f aca="false">S520-$M$2</f>
        <v>-0.363738069759194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0.095458984375</v>
      </c>
      <c r="C521" s="25" t="n">
        <f aca="false">IF(T520&gt;0,D520,C520)</f>
        <v>0.09619140625</v>
      </c>
      <c r="D521" s="39" t="n">
        <f aca="false">(B521+C521)/2</f>
        <v>0.0958251953125</v>
      </c>
      <c r="E521" s="15" t="n">
        <f aca="false">$C$2*(1+IF(E$3&lt;=$O$2,$D521,$D521-($D521-$I$508)*MIN(E$3-$O$2,$Q$2)/$Q$2))</f>
        <v>6147.57934570313</v>
      </c>
      <c r="F521" s="15" t="n">
        <f aca="false">E521*(1+IF(F$3&lt;=$O$2,$D521,$D521-($D521-$I$508)*MIN(F$3-$O$2,$Q$2)/$Q$2))</f>
        <v>6736.67233720422</v>
      </c>
      <c r="G521" s="15" t="n">
        <f aca="false">F521*(1+IF(G$3&lt;=$O$2,$D521,$D521-($D521-$I$508)*MIN(G$3-$O$2,$Q$2)/$Q$2))</f>
        <v>7382.21527967313</v>
      </c>
      <c r="H521" s="15" t="n">
        <f aca="false">G521*(1+IF(H$3&lt;=$O$2,$D521,$D521-($D521-$I$508)*MIN(H$3-$O$2,$Q$2)/$Q$2))</f>
        <v>8089.61750068673</v>
      </c>
      <c r="I521" s="15" t="n">
        <f aca="false">H521*(1+IF(I$3&lt;=$O$2,$D521,$D521-($D521-$I$508)*MIN(I$3-$O$2,$Q$2)/$Q$2))</f>
        <v>8864.80667769345</v>
      </c>
      <c r="J521" s="15" t="n">
        <f aca="false">I521*(1+IF(J$3&lt;=$O$2,$D521,$D521-($D521-$I$508)*MIN(J$3-$O$2,$Q$2)/$Q$2))</f>
        <v>9594.55894852722</v>
      </c>
      <c r="K521" s="15" t="n">
        <f aca="false">J521*(1+IF(K$3&lt;=$O$2,$D521,$D521-($D521-$I$508)*MIN(K$3-$O$2,$Q$2)/$Q$2))</f>
        <v>10254.8096469325</v>
      </c>
      <c r="L521" s="15" t="n">
        <f aca="false">K521*(1+IF(L$3&lt;=$O$2,$D521,$D521-($D521-$I$508)*MIN(L$3-$O$2,$Q$2)/$Q$2))</f>
        <v>10822.0039696613</v>
      </c>
      <c r="M521" s="15" t="n">
        <f aca="false">L521*(1+IF(M$3&lt;=$O$2,$D521,$D521-($D521-$I$508)*MIN(M$3-$O$2,$Q$2)/$Q$2))</f>
        <v>11274.4182683476</v>
      </c>
      <c r="N521" s="15" t="n">
        <f aca="false">M521*(1+IF(N$3&lt;=$O$2,$D521,$D521-($D521-$I$508)*MIN(N$3-$O$2,$Q$2)/$Q$2))</f>
        <v>11593.4843053418</v>
      </c>
      <c r="O521" s="15" t="n">
        <f aca="false">SUMPRODUCT(E521:N521,1/(1+$F$508)^$E$3:$N$3)*$E$2</f>
        <v>22056.3444577124</v>
      </c>
      <c r="P521" s="15" t="n">
        <f aca="false">N521*$E$2*(1+$I$508)/($F$508-$I$508)/(1+$F$508)^$N$3</f>
        <v>38882.2235800198</v>
      </c>
      <c r="Q521" s="15" t="n">
        <f aca="false">O521+P521</f>
        <v>60938.5680377322</v>
      </c>
      <c r="R521" s="15" t="n">
        <f aca="false">Q521-$G$2+$I$2</f>
        <v>52173.5680377322</v>
      </c>
      <c r="S521" s="40" t="n">
        <f aca="false">R521/$K$2</f>
        <v>93.3370926289531</v>
      </c>
      <c r="T521" s="41" t="n">
        <f aca="false">S521-$M$2</f>
        <v>-0.136734699395021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0.0958251953125</v>
      </c>
      <c r="C522" s="25" t="n">
        <f aca="false">IF(T521&gt;0,D521,C521)</f>
        <v>0.09619140625</v>
      </c>
      <c r="D522" s="39" t="n">
        <f aca="false">(B522+C522)/2</f>
        <v>0.09600830078125</v>
      </c>
      <c r="E522" s="15" t="n">
        <f aca="false">$C$2*(1+IF(E$3&lt;=$O$2,$D522,$D522-($D522-$I$508)*MIN(E$3-$O$2,$Q$2)/$Q$2))</f>
        <v>6148.60656738281</v>
      </c>
      <c r="F522" s="15" t="n">
        <f aca="false">E522*(1+IF(F$3&lt;=$O$2,$D522,$D522-($D522-$I$508)*MIN(F$3-$O$2,$Q$2)/$Q$2))</f>
        <v>6738.92383608967</v>
      </c>
      <c r="G522" s="15" t="n">
        <f aca="false">F522*(1+IF(G$3&lt;=$O$2,$D522,$D522-($D522-$I$508)*MIN(G$3-$O$2,$Q$2)/$Q$2))</f>
        <v>7385.9164626869</v>
      </c>
      <c r="H522" s="15" t="n">
        <f aca="false">G522*(1+IF(H$3&lt;=$O$2,$D522,$D522-($D522-$I$508)*MIN(H$3-$O$2,$Q$2)/$Q$2))</f>
        <v>8095.02575198173</v>
      </c>
      <c r="I522" s="15" t="n">
        <f aca="false">H522*(1+IF(I$3&lt;=$O$2,$D522,$D522-($D522-$I$508)*MIN(I$3-$O$2,$Q$2)/$Q$2))</f>
        <v>8872.21541920996</v>
      </c>
      <c r="J522" s="15" t="n">
        <f aca="false">I522*(1+IF(J$3&lt;=$O$2,$D522,$D522-($D522-$I$508)*MIN(J$3-$O$2,$Q$2)/$Q$2))</f>
        <v>9603.87721973353</v>
      </c>
      <c r="K522" s="15" t="n">
        <f aca="false">J522*(1+IF(K$3&lt;=$O$2,$D522,$D522-($D522-$I$508)*MIN(K$3-$O$2,$Q$2)/$Q$2))</f>
        <v>10265.8242695279</v>
      </c>
      <c r="L522" s="15" t="n">
        <f aca="false">K522*(1+IF(L$3&lt;=$O$2,$D522,$D522-($D522-$I$508)*MIN(L$3-$O$2,$Q$2)/$Q$2))</f>
        <v>10834.379703319</v>
      </c>
      <c r="M522" s="15" t="n">
        <f aca="false">L522*(1+IF(M$3&lt;=$O$2,$D522,$D522-($D522-$I$508)*MIN(M$3-$O$2,$Q$2)/$Q$2))</f>
        <v>11287.7081368691</v>
      </c>
      <c r="N522" s="15" t="n">
        <f aca="false">M522*(1+IF(N$3&lt;=$O$2,$D522,$D522-($D522-$I$508)*MIN(N$3-$O$2,$Q$2)/$Q$2))</f>
        <v>11607.1502771425</v>
      </c>
      <c r="O522" s="15" t="n">
        <f aca="false">SUMPRODUCT(E522:N522,1/(1+$F$508)^$E$3:$N$3)*$E$2</f>
        <v>22074.0485775394</v>
      </c>
      <c r="P522" s="15" t="n">
        <f aca="false">N522*$E$2*(1+$I$508)/($F$508-$I$508)/(1+$F$508)^$N$3</f>
        <v>38928.0565114318</v>
      </c>
      <c r="Q522" s="15" t="n">
        <f aca="false">O522+P522</f>
        <v>61002.1050889713</v>
      </c>
      <c r="R522" s="15" t="n">
        <f aca="false">Q522-$G$2+$I$2</f>
        <v>52237.1050889713</v>
      </c>
      <c r="S522" s="40" t="n">
        <f aca="false">R522/$K$2</f>
        <v>93.4507586836224</v>
      </c>
      <c r="T522" s="41" t="n">
        <f aca="false">S522-$M$2</f>
        <v>-0.0230686447256829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0.09600830078125</v>
      </c>
      <c r="C523" s="25" t="n">
        <f aca="false">IF(T522&gt;0,D522,C522)</f>
        <v>0.09619140625</v>
      </c>
      <c r="D523" s="39" t="n">
        <f aca="false">(B523+C523)/2</f>
        <v>0.096099853515625</v>
      </c>
      <c r="E523" s="15" t="n">
        <f aca="false">$C$2*(1+IF(E$3&lt;=$O$2,$D523,$D523-($D523-$I$508)*MIN(E$3-$O$2,$Q$2)/$Q$2))</f>
        <v>6149.12017822266</v>
      </c>
      <c r="F523" s="15" t="n">
        <f aca="false">E523*(1+IF(F$3&lt;=$O$2,$D523,$D523-($D523-$I$508)*MIN(F$3-$O$2,$Q$2)/$Q$2))</f>
        <v>6740.04972659983</v>
      </c>
      <c r="G523" s="15" t="n">
        <f aca="false">F523*(1+IF(G$3&lt;=$O$2,$D523,$D523-($D523-$I$508)*MIN(G$3-$O$2,$Q$2)/$Q$2))</f>
        <v>7387.7675180141</v>
      </c>
      <c r="H523" s="15" t="n">
        <f aca="false">G523*(1+IF(H$3&lt;=$O$2,$D523,$D523-($D523-$I$508)*MIN(H$3-$O$2,$Q$2)/$Q$2))</f>
        <v>8097.73089430275</v>
      </c>
      <c r="I523" s="15" t="n">
        <f aca="false">H523*(1+IF(I$3&lt;=$O$2,$D523,$D523-($D523-$I$508)*MIN(I$3-$O$2,$Q$2)/$Q$2))</f>
        <v>8875.92164705419</v>
      </c>
      <c r="J523" s="15" t="n">
        <f aca="false">I523*(1+IF(J$3&lt;=$O$2,$D523,$D523-($D523-$I$508)*MIN(J$3-$O$2,$Q$2)/$Q$2))</f>
        <v>9608.53917965498</v>
      </c>
      <c r="K523" s="15" t="n">
        <f aca="false">J523*(1+IF(K$3&lt;=$O$2,$D523,$D523-($D523-$I$508)*MIN(K$3-$O$2,$Q$2)/$Q$2))</f>
        <v>10271.3353677671</v>
      </c>
      <c r="L523" s="15" t="n">
        <f aca="false">K523*(1+IF(L$3&lt;=$O$2,$D523,$D523-($D523-$I$508)*MIN(L$3-$O$2,$Q$2)/$Q$2))</f>
        <v>10840.5721720127</v>
      </c>
      <c r="M523" s="15" t="n">
        <f aca="false">L523*(1+IF(M$3&lt;=$O$2,$D523,$D523-($D523-$I$508)*MIN(M$3-$O$2,$Q$2)/$Q$2))</f>
        <v>11294.3582055382</v>
      </c>
      <c r="N523" s="15" t="n">
        <f aca="false">M523*(1+IF(N$3&lt;=$O$2,$D523,$D523-($D523-$I$508)*MIN(N$3-$O$2,$Q$2)/$Q$2))</f>
        <v>11613.988542755</v>
      </c>
      <c r="O523" s="15" t="n">
        <f aca="false">SUMPRODUCT(E523:N523,1/(1+$F$508)^$E$3:$N$3)*$E$2</f>
        <v>22082.9059229584</v>
      </c>
      <c r="P523" s="15" t="n">
        <f aca="false">N523*$E$2*(1+$I$508)/($F$508-$I$508)/(1+$F$508)^$N$3</f>
        <v>38950.9906842345</v>
      </c>
      <c r="Q523" s="15" t="n">
        <f aca="false">O523+P523</f>
        <v>61033.8966071929</v>
      </c>
      <c r="R523" s="15" t="n">
        <f aca="false">Q523-$G$2+$I$2</f>
        <v>52268.8966071929</v>
      </c>
      <c r="S523" s="40" t="n">
        <f aca="false">R523/$K$2</f>
        <v>93.5076328440962</v>
      </c>
      <c r="T523" s="41" t="n">
        <f aca="false">S523-$M$2</f>
        <v>0.0338055157481136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0.09600830078125</v>
      </c>
      <c r="C524" s="25" t="n">
        <f aca="false">IF(T523&gt;0,D523,C523)</f>
        <v>0.096099853515625</v>
      </c>
      <c r="D524" s="39" t="n">
        <f aca="false">(B524+C524)/2</f>
        <v>0.0960540771484375</v>
      </c>
      <c r="E524" s="15" t="n">
        <f aca="false">$C$2*(1+IF(E$3&lt;=$O$2,$D524,$D524-($D524-$I$508)*MIN(E$3-$O$2,$Q$2)/$Q$2))</f>
        <v>6148.86337280273</v>
      </c>
      <c r="F524" s="15" t="n">
        <f aca="false">E524*(1+IF(F$3&lt;=$O$2,$D524,$D524-($D524-$I$508)*MIN(F$3-$O$2,$Q$2)/$Q$2))</f>
        <v>6739.48676958913</v>
      </c>
      <c r="G524" s="15" t="n">
        <f aca="false">F524*(1+IF(G$3&lt;=$O$2,$D524,$D524-($D524-$I$508)*MIN(G$3-$O$2,$Q$2)/$Q$2))</f>
        <v>7386.84195169612</v>
      </c>
      <c r="H524" s="15" t="n">
        <f aca="false">G524*(1+IF(H$3&lt;=$O$2,$D524,$D524-($D524-$I$508)*MIN(H$3-$O$2,$Q$2)/$Q$2))</f>
        <v>8096.37823840765</v>
      </c>
      <c r="I524" s="15" t="n">
        <f aca="false">H524*(1+IF(I$3&lt;=$O$2,$D524,$D524-($D524-$I$508)*MIN(I$3-$O$2,$Q$2)/$Q$2))</f>
        <v>8874.06837834259</v>
      </c>
      <c r="J524" s="15" t="n">
        <f aca="false">I524*(1+IF(J$3&lt;=$O$2,$D524,$D524-($D524-$I$508)*MIN(J$3-$O$2,$Q$2)/$Q$2))</f>
        <v>9606.20796427107</v>
      </c>
      <c r="K524" s="15" t="n">
        <f aca="false">J524*(1+IF(K$3&lt;=$O$2,$D524,$D524-($D524-$I$508)*MIN(K$3-$O$2,$Q$2)/$Q$2))</f>
        <v>10268.579502969</v>
      </c>
      <c r="L524" s="15" t="n">
        <f aca="false">K524*(1+IF(L$3&lt;=$O$2,$D524,$D524-($D524-$I$508)*MIN(L$3-$O$2,$Q$2)/$Q$2))</f>
        <v>10837.4755540427</v>
      </c>
      <c r="M524" s="15" t="n">
        <f aca="false">L524*(1+IF(M$3&lt;=$O$2,$D524,$D524-($D524-$I$508)*MIN(M$3-$O$2,$Q$2)/$Q$2))</f>
        <v>11291.0327431787</v>
      </c>
      <c r="N524" s="15" t="n">
        <f aca="false">M524*(1+IF(N$3&lt;=$O$2,$D524,$D524-($D524-$I$508)*MIN(N$3-$O$2,$Q$2)/$Q$2))</f>
        <v>11610.5689698106</v>
      </c>
      <c r="O524" s="15" t="n">
        <f aca="false">SUMPRODUCT(E524:N524,1/(1+$F$508)^$E$3:$N$3)*$E$2</f>
        <v>22078.4768096551</v>
      </c>
      <c r="P524" s="15" t="n">
        <f aca="false">N524*$E$2*(1+$I$508)/($F$508-$I$508)/(1+$F$508)^$N$3</f>
        <v>38939.5221216981</v>
      </c>
      <c r="Q524" s="15" t="n">
        <f aca="false">O524+P524</f>
        <v>61017.9989313533</v>
      </c>
      <c r="R524" s="15" t="n">
        <f aca="false">Q524-$G$2+$I$2</f>
        <v>52252.9989313533</v>
      </c>
      <c r="S524" s="40" t="n">
        <f aca="false">R524/$K$2</f>
        <v>93.4791923348837</v>
      </c>
      <c r="T524" s="41" t="n">
        <f aca="false">S524-$M$2</f>
        <v>0.00536500653559813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0.09600830078125</v>
      </c>
      <c r="C525" s="25" t="n">
        <f aca="false">IF(T524&gt;0,D524,C524)</f>
        <v>0.0960540771484375</v>
      </c>
      <c r="D525" s="39" t="n">
        <f aca="false">(B525+C525)/2</f>
        <v>0.0960311889648438</v>
      </c>
      <c r="E525" s="15" t="n">
        <f aca="false">$C$2*(1+IF(E$3&lt;=$O$2,$D525,$D525-($D525-$I$508)*MIN(E$3-$O$2,$Q$2)/$Q$2))</f>
        <v>6148.73497009277</v>
      </c>
      <c r="F525" s="15" t="n">
        <f aca="false">E525*(1+IF(F$3&lt;=$O$2,$D525,$D525-($D525-$I$508)*MIN(F$3-$O$2,$Q$2)/$Q$2))</f>
        <v>6739.2052999005</v>
      </c>
      <c r="G525" s="15" t="n">
        <f aca="false">F525*(1+IF(G$3&lt;=$O$2,$D525,$D525-($D525-$I$508)*MIN(G$3-$O$2,$Q$2)/$Q$2))</f>
        <v>7386.37919752812</v>
      </c>
      <c r="H525" s="15" t="n">
        <f aca="false">G525*(1+IF(H$3&lt;=$O$2,$D525,$D525-($D525-$I$508)*MIN(H$3-$O$2,$Q$2)/$Q$2))</f>
        <v>8095.70197401193</v>
      </c>
      <c r="I525" s="15" t="n">
        <f aca="false">H525*(1+IF(I$3&lt;=$O$2,$D525,$D525-($D525-$I$508)*MIN(I$3-$O$2,$Q$2)/$Q$2))</f>
        <v>8873.14186008133</v>
      </c>
      <c r="J525" s="15" t="n">
        <f aca="false">I525*(1+IF(J$3&lt;=$O$2,$D525,$D525-($D525-$I$508)*MIN(J$3-$O$2,$Q$2)/$Q$2))</f>
        <v>9605.04253315126</v>
      </c>
      <c r="K525" s="15" t="n">
        <f aca="false">J525*(1+IF(K$3&lt;=$O$2,$D525,$D525-($D525-$I$508)*MIN(K$3-$O$2,$Q$2)/$Q$2))</f>
        <v>10267.2018073364</v>
      </c>
      <c r="L525" s="15" t="n">
        <f aca="false">K525*(1+IF(L$3&lt;=$O$2,$D525,$D525-($D525-$I$508)*MIN(L$3-$O$2,$Q$2)/$Q$2))</f>
        <v>10835.9275327851</v>
      </c>
      <c r="M525" s="15" t="n">
        <f aca="false">L525*(1+IF(M$3&lt;=$O$2,$D525,$D525-($D525-$I$508)*MIN(M$3-$O$2,$Q$2)/$Q$2))</f>
        <v>11289.3703330295</v>
      </c>
      <c r="N525" s="15" t="n">
        <f aca="false">M525*(1+IF(N$3&lt;=$O$2,$D525,$D525-($D525-$I$508)*MIN(N$3-$O$2,$Q$2)/$Q$2))</f>
        <v>11608.8595134542</v>
      </c>
      <c r="O525" s="15" t="n">
        <f aca="false">SUMPRODUCT(E525:N525,1/(1+$F$508)^$E$3:$N$3)*$E$2</f>
        <v>22076.262583459</v>
      </c>
      <c r="P525" s="15" t="n">
        <f aca="false">N525*$E$2*(1+$I$508)/($F$508-$I$508)/(1+$F$508)^$N$3</f>
        <v>38933.788947572</v>
      </c>
      <c r="Q525" s="15" t="n">
        <f aca="false">O525+P525</f>
        <v>61010.051531031</v>
      </c>
      <c r="R525" s="15" t="n">
        <f aca="false">Q525-$G$2+$I$2</f>
        <v>52245.051531031</v>
      </c>
      <c r="S525" s="40" t="n">
        <f aca="false">R525/$K$2</f>
        <v>93.4649746521002</v>
      </c>
      <c r="T525" s="41" t="n">
        <f aca="false">S525-$M$2</f>
        <v>-0.00885267624785513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0.0960311889648438</v>
      </c>
      <c r="C526" s="25" t="n">
        <f aca="false">IF(T525&gt;0,D525,C525)</f>
        <v>0.0960540771484375</v>
      </c>
      <c r="D526" s="39" t="n">
        <f aca="false">(B526+C526)/2</f>
        <v>0.0960426330566406</v>
      </c>
      <c r="E526" s="15" t="n">
        <f aca="false">$C$2*(1+IF(E$3&lt;=$O$2,$D526,$D526-($D526-$I$508)*MIN(E$3-$O$2,$Q$2)/$Q$2))</f>
        <v>6148.79917144775</v>
      </c>
      <c r="F526" s="15" t="n">
        <f aca="false">E526*(1+IF(F$3&lt;=$O$2,$D526,$D526-($D526-$I$508)*MIN(F$3-$O$2,$Q$2)/$Q$2))</f>
        <v>6739.34603401009</v>
      </c>
      <c r="G526" s="15" t="n">
        <f aca="false">F526*(1+IF(G$3&lt;=$O$2,$D526,$D526-($D526-$I$508)*MIN(G$3-$O$2,$Q$2)/$Q$2))</f>
        <v>7386.61057219624</v>
      </c>
      <c r="H526" s="15" t="n">
        <f aca="false">G526*(1+IF(H$3&lt;=$O$2,$D526,$D526-($D526-$I$508)*MIN(H$3-$O$2,$Q$2)/$Q$2))</f>
        <v>8096.04010091399</v>
      </c>
      <c r="I526" s="15" t="n">
        <f aca="false">H526*(1+IF(I$3&lt;=$O$2,$D526,$D526-($D526-$I$508)*MIN(I$3-$O$2,$Q$2)/$Q$2))</f>
        <v>8873.60510953792</v>
      </c>
      <c r="J526" s="15" t="n">
        <f aca="false">I526*(1+IF(J$3&lt;=$O$2,$D526,$D526-($D526-$I$508)*MIN(J$3-$O$2,$Q$2)/$Q$2))</f>
        <v>9605.62523399781</v>
      </c>
      <c r="K526" s="15" t="n">
        <f aca="false">J526*(1+IF(K$3&lt;=$O$2,$D526,$D526-($D526-$I$508)*MIN(K$3-$O$2,$Q$2)/$Q$2))</f>
        <v>10267.8906354237</v>
      </c>
      <c r="L526" s="15" t="n">
        <f aca="false">K526*(1+IF(L$3&lt;=$O$2,$D526,$D526-($D526-$I$508)*MIN(L$3-$O$2,$Q$2)/$Q$2))</f>
        <v>10836.7015194387</v>
      </c>
      <c r="M526" s="15" t="n">
        <f aca="false">L526*(1+IF(M$3&lt;=$O$2,$D526,$D526-($D526-$I$508)*MIN(M$3-$O$2,$Q$2)/$Q$2))</f>
        <v>11290.201511354</v>
      </c>
      <c r="N526" s="15" t="n">
        <f aca="false">M526*(1+IF(N$3&lt;=$O$2,$D526,$D526-($D526-$I$508)*MIN(N$3-$O$2,$Q$2)/$Q$2))</f>
        <v>11609.7142141253</v>
      </c>
      <c r="O526" s="15" t="n">
        <f aca="false">SUMPRODUCT(E526:N526,1/(1+$F$508)^$E$3:$N$3)*$E$2</f>
        <v>22077.3696690212</v>
      </c>
      <c r="P526" s="15" t="n">
        <f aca="false">N526*$E$2*(1+$I$508)/($F$508-$I$508)/(1+$F$508)^$N$3</f>
        <v>38936.6554423817</v>
      </c>
      <c r="Q526" s="15" t="n">
        <f aca="false">O526+P526</f>
        <v>61014.0251114029</v>
      </c>
      <c r="R526" s="15" t="n">
        <f aca="false">Q526-$G$2+$I$2</f>
        <v>52249.0251114029</v>
      </c>
      <c r="S526" s="40" t="n">
        <f aca="false">R526/$K$2</f>
        <v>93.4720832791924</v>
      </c>
      <c r="T526" s="41" t="n">
        <f aca="false">S526-$M$2</f>
        <v>-0.00174404915573234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0.0960426330566406</v>
      </c>
      <c r="C527" s="25" t="n">
        <f aca="false">IF(T526&gt;0,D526,C526)</f>
        <v>0.0960540771484375</v>
      </c>
      <c r="D527" s="39" t="n">
        <f aca="false">(B527+C527)/2</f>
        <v>0.0960483551025391</v>
      </c>
      <c r="E527" s="15" t="n">
        <f aca="false">$C$2*(1+IF(E$3&lt;=$O$2,$D527,$D527-($D527-$I$508)*MIN(E$3-$O$2,$Q$2)/$Q$2))</f>
        <v>6148.83127212524</v>
      </c>
      <c r="F527" s="15" t="n">
        <f aca="false">E527*(1+IF(F$3&lt;=$O$2,$D527,$D527-($D527-$I$508)*MIN(F$3-$O$2,$Q$2)/$Q$2))</f>
        <v>6739.41640161593</v>
      </c>
      <c r="G527" s="15" t="n">
        <f aca="false">F527*(1+IF(G$3&lt;=$O$2,$D527,$D527-($D527-$I$508)*MIN(G$3-$O$2,$Q$2)/$Q$2))</f>
        <v>7386.72626134221</v>
      </c>
      <c r="H527" s="15" t="n">
        <f aca="false">G527*(1+IF(H$3&lt;=$O$2,$D527,$D527-($D527-$I$508)*MIN(H$3-$O$2,$Q$2)/$Q$2))</f>
        <v>8096.20916833686</v>
      </c>
      <c r="I527" s="15" t="n">
        <f aca="false">H527*(1+IF(I$3&lt;=$O$2,$D527,$D527-($D527-$I$508)*MIN(I$3-$O$2,$Q$2)/$Q$2))</f>
        <v>8873.83674152171</v>
      </c>
      <c r="J527" s="15" t="n">
        <f aca="false">I527*(1+IF(J$3&lt;=$O$2,$D527,$D527-($D527-$I$508)*MIN(J$3-$O$2,$Q$2)/$Q$2))</f>
        <v>9605.91659545603</v>
      </c>
      <c r="K527" s="15" t="n">
        <f aca="false">J527*(1+IF(K$3&lt;=$O$2,$D527,$D527-($D527-$I$508)*MIN(K$3-$O$2,$Q$2)/$Q$2))</f>
        <v>10268.235064264</v>
      </c>
      <c r="L527" s="15" t="n">
        <f aca="false">K527*(1+IF(L$3&lt;=$O$2,$D527,$D527-($D527-$I$508)*MIN(L$3-$O$2,$Q$2)/$Q$2))</f>
        <v>10837.0885307467</v>
      </c>
      <c r="M527" s="15" t="n">
        <f aca="false">L527*(1+IF(M$3&lt;=$O$2,$D527,$D527-($D527-$I$508)*MIN(M$3-$O$2,$Q$2)/$Q$2))</f>
        <v>11290.6171205786</v>
      </c>
      <c r="N527" s="15" t="n">
        <f aca="false">M527*(1+IF(N$3&lt;=$O$2,$D527,$D527-($D527-$I$508)*MIN(N$3-$O$2,$Q$2)/$Q$2))</f>
        <v>11610.141585091</v>
      </c>
      <c r="O527" s="15" t="n">
        <f aca="false">SUMPRODUCT(E527:N527,1/(1+$F$508)^$E$3:$N$3)*$E$2</f>
        <v>22077.9232324541</v>
      </c>
      <c r="P527" s="15" t="n">
        <f aca="false">N527*$E$2*(1+$I$508)/($F$508-$I$508)/(1+$F$508)^$N$3</f>
        <v>38938.088758976</v>
      </c>
      <c r="Q527" s="15" t="n">
        <f aca="false">O527+P527</f>
        <v>61016.01199143</v>
      </c>
      <c r="R527" s="15" t="n">
        <f aca="false">Q527-$G$2+$I$2</f>
        <v>52251.01199143</v>
      </c>
      <c r="S527" s="40" t="n">
        <f aca="false">R527/$K$2</f>
        <v>93.4756377534617</v>
      </c>
      <c r="T527" s="41" t="n">
        <f aca="false">S527-$M$2</f>
        <v>0.00181042511364637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0.0960426330566406</v>
      </c>
      <c r="C528" s="25" t="n">
        <f aca="false">IF(T527&gt;0,D527,C527)</f>
        <v>0.0960483551025391</v>
      </c>
      <c r="D528" s="39" t="n">
        <f aca="false">(B528+C528)/2</f>
        <v>0.0960454940795898</v>
      </c>
      <c r="E528" s="15" t="n">
        <f aca="false">$C$2*(1+IF(E$3&lt;=$O$2,$D528,$D528-($D528-$I$508)*MIN(E$3-$O$2,$Q$2)/$Q$2))</f>
        <v>6148.8152217865</v>
      </c>
      <c r="F528" s="15" t="n">
        <f aca="false">E528*(1+IF(F$3&lt;=$O$2,$D528,$D528-($D528-$I$508)*MIN(F$3-$O$2,$Q$2)/$Q$2))</f>
        <v>6739.38121776709</v>
      </c>
      <c r="G528" s="15" t="n">
        <f aca="false">F528*(1+IF(G$3&lt;=$O$2,$D528,$D528-($D528-$I$508)*MIN(G$3-$O$2,$Q$2)/$Q$2))</f>
        <v>7386.66841661823</v>
      </c>
      <c r="H528" s="15" t="n">
        <f aca="false">G528*(1+IF(H$3&lt;=$O$2,$D528,$D528-($D528-$I$508)*MIN(H$3-$O$2,$Q$2)/$Q$2))</f>
        <v>8096.12463429443</v>
      </c>
      <c r="I528" s="15" t="n">
        <f aca="false">H528*(1+IF(I$3&lt;=$O$2,$D528,$D528-($D528-$I$508)*MIN(I$3-$O$2,$Q$2)/$Q$2))</f>
        <v>8873.72092492518</v>
      </c>
      <c r="J528" s="15" t="n">
        <f aca="false">I528*(1+IF(J$3&lt;=$O$2,$D528,$D528-($D528-$I$508)*MIN(J$3-$O$2,$Q$2)/$Q$2))</f>
        <v>9605.77091380732</v>
      </c>
      <c r="K528" s="15" t="n">
        <f aca="false">J528*(1+IF(K$3&lt;=$O$2,$D528,$D528-($D528-$I$508)*MIN(K$3-$O$2,$Q$2)/$Q$2))</f>
        <v>10268.0628486108</v>
      </c>
      <c r="L528" s="15" t="n">
        <f aca="false">K528*(1+IF(L$3&lt;=$O$2,$D528,$D528-($D528-$I$508)*MIN(L$3-$O$2,$Q$2)/$Q$2))</f>
        <v>10836.8950235943</v>
      </c>
      <c r="M528" s="15" t="n">
        <f aca="false">L528*(1+IF(M$3&lt;=$O$2,$D528,$D528-($D528-$I$508)*MIN(M$3-$O$2,$Q$2)/$Q$2))</f>
        <v>11290.4093142944</v>
      </c>
      <c r="N528" s="15" t="n">
        <f aca="false">M528*(1+IF(N$3&lt;=$O$2,$D528,$D528-($D528-$I$508)*MIN(N$3-$O$2,$Q$2)/$Q$2))</f>
        <v>11609.9278978889</v>
      </c>
      <c r="O528" s="15" t="n">
        <f aca="false">SUMPRODUCT(E528:N528,1/(1+$F$508)^$E$3:$N$3)*$E$2</f>
        <v>22077.6464490166</v>
      </c>
      <c r="P528" s="15" t="n">
        <f aca="false">N528*$E$2*(1+$I$508)/($F$508-$I$508)/(1+$F$508)^$N$3</f>
        <v>38937.3720949129</v>
      </c>
      <c r="Q528" s="15" t="n">
        <f aca="false">O528+P528</f>
        <v>61015.0185439295</v>
      </c>
      <c r="R528" s="15" t="n">
        <f aca="false">Q528-$G$2+$I$2</f>
        <v>52250.0185439295</v>
      </c>
      <c r="S528" s="40" t="n">
        <f aca="false">R528/$K$2</f>
        <v>93.4738605029331</v>
      </c>
      <c r="T528" s="41" t="n">
        <f aca="false">S528-$M$2</f>
        <v>3.31745850132847E-005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0.0960426330566406</v>
      </c>
      <c r="C529" s="25" t="n">
        <f aca="false">IF(T528&gt;0,D528,C528)</f>
        <v>0.0960454940795898</v>
      </c>
      <c r="D529" s="39" t="n">
        <f aca="false">(B529+C529)/2</f>
        <v>0.0960440635681152</v>
      </c>
      <c r="E529" s="15" t="n">
        <f aca="false">$C$2*(1+IF(E$3&lt;=$O$2,$D529,$D529-($D529-$I$508)*MIN(E$3-$O$2,$Q$2)/$Q$2))</f>
        <v>6148.80719661713</v>
      </c>
      <c r="F529" s="15" t="n">
        <f aca="false">E529*(1+IF(F$3&lt;=$O$2,$D529,$D529-($D529-$I$508)*MIN(F$3-$O$2,$Q$2)/$Q$2))</f>
        <v>6739.36362587711</v>
      </c>
      <c r="G529" s="15" t="n">
        <f aca="false">F529*(1+IF(G$3&lt;=$O$2,$D529,$D529-($D529-$I$508)*MIN(G$3-$O$2,$Q$2)/$Q$2))</f>
        <v>7386.63949436949</v>
      </c>
      <c r="H529" s="15" t="n">
        <f aca="false">G529*(1+IF(H$3&lt;=$O$2,$D529,$D529-($D529-$I$508)*MIN(H$3-$O$2,$Q$2)/$Q$2))</f>
        <v>8096.08236752146</v>
      </c>
      <c r="I529" s="15" t="n">
        <f aca="false">H529*(1+IF(I$3&lt;=$O$2,$D529,$D529-($D529-$I$508)*MIN(I$3-$O$2,$Q$2)/$Q$2))</f>
        <v>8873.66301708039</v>
      </c>
      <c r="J529" s="15" t="n">
        <f aca="false">I529*(1+IF(J$3&lt;=$O$2,$D529,$D529-($D529-$I$508)*MIN(J$3-$O$2,$Q$2)/$Q$2))</f>
        <v>9605.69807367267</v>
      </c>
      <c r="K529" s="15" t="n">
        <f aca="false">J529*(1+IF(K$3&lt;=$O$2,$D529,$D529-($D529-$I$508)*MIN(K$3-$O$2,$Q$2)/$Q$2))</f>
        <v>10267.976741709</v>
      </c>
      <c r="L529" s="15" t="n">
        <f aca="false">K529*(1+IF(L$3&lt;=$O$2,$D529,$D529-($D529-$I$508)*MIN(L$3-$O$2,$Q$2)/$Q$2))</f>
        <v>10836.7982711419</v>
      </c>
      <c r="M529" s="15" t="n">
        <f aca="false">L529*(1+IF(M$3&lt;=$O$2,$D529,$D529-($D529-$I$508)*MIN(M$3-$O$2,$Q$2)/$Q$2))</f>
        <v>11290.3054124062</v>
      </c>
      <c r="N529" s="15" t="n">
        <f aca="false">M529*(1+IF(N$3&lt;=$O$2,$D529,$D529-($D529-$I$508)*MIN(N$3-$O$2,$Q$2)/$Q$2))</f>
        <v>11609.8210555773</v>
      </c>
      <c r="O529" s="15" t="n">
        <f aca="false">SUMPRODUCT(E529:N529,1/(1+$F$508)^$E$3:$N$3)*$E$2</f>
        <v>22077.5080585887</v>
      </c>
      <c r="P529" s="15" t="n">
        <f aca="false">N529*$E$2*(1+$I$508)/($F$508-$I$508)/(1+$F$508)^$N$3</f>
        <v>38937.0137672059</v>
      </c>
      <c r="Q529" s="15" t="n">
        <f aca="false">O529+P529</f>
        <v>61014.5218257945</v>
      </c>
      <c r="R529" s="15" t="n">
        <f aca="false">Q529-$G$2+$I$2</f>
        <v>52249.5218257945</v>
      </c>
      <c r="S529" s="40" t="n">
        <f aca="false">R529/$K$2</f>
        <v>93.4729718877143</v>
      </c>
      <c r="T529" s="41" t="n">
        <f aca="false">S529-$M$2</f>
        <v>-0.000855440633770854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0.0960440635681152</v>
      </c>
      <c r="C530" s="25" t="n">
        <f aca="false">IF(T529&gt;0,D529,C529)</f>
        <v>0.0960454940795898</v>
      </c>
      <c r="D530" s="39" t="n">
        <f aca="false">(B530+C530)/2</f>
        <v>0.0960447788238525</v>
      </c>
      <c r="E530" s="15" t="n">
        <f aca="false">$C$2*(1+IF(E$3&lt;=$O$2,$D530,$D530-($D530-$I$508)*MIN(E$3-$O$2,$Q$2)/$Q$2))</f>
        <v>6148.81120920181</v>
      </c>
      <c r="F530" s="15" t="n">
        <f aca="false">E530*(1+IF(F$3&lt;=$O$2,$D530,$D530-($D530-$I$508)*MIN(F$3-$O$2,$Q$2)/$Q$2))</f>
        <v>6739.37242181923</v>
      </c>
      <c r="G530" s="15" t="n">
        <f aca="false">F530*(1+IF(G$3&lt;=$O$2,$D530,$D530-($D530-$I$508)*MIN(G$3-$O$2,$Q$2)/$Q$2))</f>
        <v>7386.65395548443</v>
      </c>
      <c r="H530" s="15" t="n">
        <f aca="false">G530*(1+IF(H$3&lt;=$O$2,$D530,$D530-($D530-$I$508)*MIN(H$3-$O$2,$Q$2)/$Q$2))</f>
        <v>8096.10350088726</v>
      </c>
      <c r="I530" s="15" t="n">
        <f aca="false">H530*(1+IF(I$3&lt;=$O$2,$D530,$D530-($D530-$I$508)*MIN(I$3-$O$2,$Q$2)/$Q$2))</f>
        <v>8873.691970965</v>
      </c>
      <c r="J530" s="15" t="n">
        <f aca="false">I530*(1+IF(J$3&lt;=$O$2,$D530,$D530-($D530-$I$508)*MIN(J$3-$O$2,$Q$2)/$Q$2))</f>
        <v>9605.73449368253</v>
      </c>
      <c r="K530" s="15" t="n">
        <f aca="false">J530*(1+IF(K$3&lt;=$O$2,$D530,$D530-($D530-$I$508)*MIN(K$3-$O$2,$Q$2)/$Q$2))</f>
        <v>10268.0197950828</v>
      </c>
      <c r="L530" s="15" t="n">
        <f aca="false">K530*(1+IF(L$3&lt;=$O$2,$D530,$D530-($D530-$I$508)*MIN(L$3-$O$2,$Q$2)/$Q$2))</f>
        <v>10836.8466472744</v>
      </c>
      <c r="M530" s="15" t="n">
        <f aca="false">L530*(1+IF(M$3&lt;=$O$2,$D530,$D530-($D530-$I$508)*MIN(M$3-$O$2,$Q$2)/$Q$2))</f>
        <v>11290.3573632458</v>
      </c>
      <c r="N530" s="15" t="n">
        <f aca="false">M530*(1+IF(N$3&lt;=$O$2,$D530,$D530-($D530-$I$508)*MIN(N$3-$O$2,$Q$2)/$Q$2))</f>
        <v>11609.8744766257</v>
      </c>
      <c r="O530" s="15" t="n">
        <f aca="false">SUMPRODUCT(E530:N530,1/(1+$F$508)^$E$3:$N$3)*$E$2</f>
        <v>22077.5772536951</v>
      </c>
      <c r="P530" s="15" t="n">
        <f aca="false">N530*$E$2*(1+$I$508)/($F$508-$I$508)/(1+$F$508)^$N$3</f>
        <v>38937.1929306991</v>
      </c>
      <c r="Q530" s="15" t="n">
        <f aca="false">O530+P530</f>
        <v>61014.7701843941</v>
      </c>
      <c r="R530" s="15" t="n">
        <f aca="false">Q530-$G$2+$I$2</f>
        <v>52249.7701843941</v>
      </c>
      <c r="S530" s="40" t="n">
        <f aca="false">R530/$K$2</f>
        <v>93.4734161944866</v>
      </c>
      <c r="T530" s="41" t="n">
        <f aca="false">S530-$M$2</f>
        <v>-0.000411133861462076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0.0960447788238525</v>
      </c>
      <c r="C531" s="25" t="n">
        <f aca="false">IF(T530&gt;0,D530,C530)</f>
        <v>0.0960454940795898</v>
      </c>
      <c r="D531" s="39" t="n">
        <f aca="false">(B531+C531)/2</f>
        <v>0.0960451364517212</v>
      </c>
      <c r="E531" s="15" t="n">
        <f aca="false">$C$2*(1+IF(E$3&lt;=$O$2,$D531,$D531-($D531-$I$508)*MIN(E$3-$O$2,$Q$2)/$Q$2))</f>
        <v>6148.81321549416</v>
      </c>
      <c r="F531" s="15" t="n">
        <f aca="false">E531*(1+IF(F$3&lt;=$O$2,$D531,$D531-($D531-$I$508)*MIN(F$3-$O$2,$Q$2)/$Q$2))</f>
        <v>6739.37681979244</v>
      </c>
      <c r="G531" s="15" t="n">
        <f aca="false">F531*(1+IF(G$3&lt;=$O$2,$D531,$D531-($D531-$I$508)*MIN(G$3-$O$2,$Q$2)/$Q$2))</f>
        <v>7386.66118604897</v>
      </c>
      <c r="H531" s="15" t="n">
        <f aca="false">G531*(1+IF(H$3&lt;=$O$2,$D531,$D531-($D531-$I$508)*MIN(H$3-$O$2,$Q$2)/$Q$2))</f>
        <v>8096.11406758568</v>
      </c>
      <c r="I531" s="15" t="n">
        <f aca="false">H531*(1+IF(I$3&lt;=$O$2,$D531,$D531-($D531-$I$508)*MIN(I$3-$O$2,$Q$2)/$Q$2))</f>
        <v>8873.70644793564</v>
      </c>
      <c r="J531" s="15" t="n">
        <f aca="false">I531*(1+IF(J$3&lt;=$O$2,$D531,$D531-($D531-$I$508)*MIN(J$3-$O$2,$Q$2)/$Q$2))</f>
        <v>9605.75270373056</v>
      </c>
      <c r="K531" s="15" t="n">
        <f aca="false">J531*(1+IF(K$3&lt;=$O$2,$D531,$D531-($D531-$I$508)*MIN(K$3-$O$2,$Q$2)/$Q$2))</f>
        <v>10268.0413218276</v>
      </c>
      <c r="L531" s="15" t="n">
        <f aca="false">K531*(1+IF(L$3&lt;=$O$2,$D531,$D531-($D531-$I$508)*MIN(L$3-$O$2,$Q$2)/$Q$2))</f>
        <v>10836.8708354109</v>
      </c>
      <c r="M531" s="15" t="n">
        <f aca="false">L531*(1+IF(M$3&lt;=$O$2,$D531,$D531-($D531-$I$508)*MIN(M$3-$O$2,$Q$2)/$Q$2))</f>
        <v>11290.383338744</v>
      </c>
      <c r="N531" s="15" t="n">
        <f aca="false">M531*(1+IF(N$3&lt;=$O$2,$D531,$D531-($D531-$I$508)*MIN(N$3-$O$2,$Q$2)/$Q$2))</f>
        <v>11609.9011872304</v>
      </c>
      <c r="O531" s="15" t="n">
        <f aca="false">SUMPRODUCT(E531:N531,1/(1+$F$508)^$E$3:$N$3)*$E$2</f>
        <v>22077.611851329</v>
      </c>
      <c r="P531" s="15" t="n">
        <f aca="false">N531*$E$2*(1+$I$508)/($F$508-$I$508)/(1+$F$508)^$N$3</f>
        <v>38937.2825127159</v>
      </c>
      <c r="Q531" s="15" t="n">
        <f aca="false">O531+P531</f>
        <v>61014.8943640448</v>
      </c>
      <c r="R531" s="15" t="n">
        <f aca="false">Q531-$G$2+$I$2</f>
        <v>52249.8943640448</v>
      </c>
      <c r="S531" s="40" t="n">
        <f aca="false">R531/$K$2</f>
        <v>93.4736383485006</v>
      </c>
      <c r="T531" s="41" t="n">
        <f aca="false">S531-$M$2</f>
        <v>-0.000188979847521864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0.0960451364517212</v>
      </c>
      <c r="C532" s="25" t="n">
        <f aca="false">IF(T531&gt;0,D531,C531)</f>
        <v>0.0960454940795898</v>
      </c>
      <c r="D532" s="39" t="n">
        <f aca="false">(B532+C532)/2</f>
        <v>0.0960453152656555</v>
      </c>
      <c r="E532" s="15" t="n">
        <f aca="false">$C$2*(1+IF(E$3&lt;=$O$2,$D532,$D532-($D532-$I$508)*MIN(E$3-$O$2,$Q$2)/$Q$2))</f>
        <v>6148.81421864033</v>
      </c>
      <c r="F532" s="15" t="n">
        <f aca="false">E532*(1+IF(F$3&lt;=$O$2,$D532,$D532-($D532-$I$508)*MIN(F$3-$O$2,$Q$2)/$Q$2))</f>
        <v>6739.37901877958</v>
      </c>
      <c r="G532" s="15" t="n">
        <f aca="false">F532*(1+IF(G$3&lt;=$O$2,$D532,$D532-($D532-$I$508)*MIN(G$3-$O$2,$Q$2)/$Q$2))</f>
        <v>7386.66480133301</v>
      </c>
      <c r="H532" s="15" t="n">
        <f aca="false">G532*(1+IF(H$3&lt;=$O$2,$D532,$D532-($D532-$I$508)*MIN(H$3-$O$2,$Q$2)/$Q$2))</f>
        <v>8096.11935093876</v>
      </c>
      <c r="I532" s="15" t="n">
        <f aca="false">H532*(1+IF(I$3&lt;=$O$2,$D532,$D532-($D532-$I$508)*MIN(I$3-$O$2,$Q$2)/$Q$2))</f>
        <v>8873.71368642805</v>
      </c>
      <c r="J532" s="15" t="n">
        <f aca="false">I532*(1+IF(J$3&lt;=$O$2,$D532,$D532-($D532-$I$508)*MIN(J$3-$O$2,$Q$2)/$Q$2))</f>
        <v>9605.76180876535</v>
      </c>
      <c r="K532" s="15" t="n">
        <f aca="false">J532*(1+IF(K$3&lt;=$O$2,$D532,$D532-($D532-$I$508)*MIN(K$3-$O$2,$Q$2)/$Q$2))</f>
        <v>10268.0520852144</v>
      </c>
      <c r="L532" s="15" t="n">
        <f aca="false">K532*(1+IF(L$3&lt;=$O$2,$D532,$D532-($D532-$I$508)*MIN(L$3-$O$2,$Q$2)/$Q$2))</f>
        <v>10836.8829294967</v>
      </c>
      <c r="M532" s="15" t="n">
        <f aca="false">L532*(1+IF(M$3&lt;=$O$2,$D532,$D532-($D532-$I$508)*MIN(M$3-$O$2,$Q$2)/$Q$2))</f>
        <v>11290.3963265127</v>
      </c>
      <c r="N532" s="15" t="n">
        <f aca="false">M532*(1+IF(N$3&lt;=$O$2,$D532,$D532-($D532-$I$508)*MIN(N$3-$O$2,$Q$2)/$Q$2))</f>
        <v>11609.914542553</v>
      </c>
      <c r="O532" s="15" t="n">
        <f aca="false">SUMPRODUCT(E532:N532,1/(1+$F$508)^$E$3:$N$3)*$E$2</f>
        <v>22077.6291501661</v>
      </c>
      <c r="P532" s="15" t="n">
        <f aca="false">N532*$E$2*(1+$I$508)/($F$508-$I$508)/(1+$F$508)^$N$3</f>
        <v>38937.3273037919</v>
      </c>
      <c r="Q532" s="15" t="n">
        <f aca="false">O532+P532</f>
        <v>61014.956453958</v>
      </c>
      <c r="R532" s="15" t="n">
        <f aca="false">Q532-$G$2+$I$2</f>
        <v>52249.956453958</v>
      </c>
      <c r="S532" s="40" t="n">
        <f aca="false">R532/$K$2</f>
        <v>93.4737494256645</v>
      </c>
      <c r="T532" s="41" t="n">
        <f aca="false">S532-$M$2</f>
        <v>-7.79026835573404E-005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0.0960453152656555</v>
      </c>
      <c r="C533" s="25" t="n">
        <f aca="false">IF(T532&gt;0,D532,C532)</f>
        <v>0.0960454940795898</v>
      </c>
      <c r="D533" s="39" t="n">
        <f aca="false">(B533+C533)/2</f>
        <v>0.0960454046726227</v>
      </c>
      <c r="E533" s="15" t="n">
        <f aca="false">$C$2*(1+IF(E$3&lt;=$O$2,$D533,$D533-($D533-$I$508)*MIN(E$3-$O$2,$Q$2)/$Q$2))</f>
        <v>6148.81472021341</v>
      </c>
      <c r="F533" s="15" t="n">
        <f aca="false">E533*(1+IF(F$3&lt;=$O$2,$D533,$D533-($D533-$I$508)*MIN(F$3-$O$2,$Q$2)/$Q$2))</f>
        <v>6739.38011827329</v>
      </c>
      <c r="G533" s="15" t="n">
        <f aca="false">F533*(1+IF(G$3&lt;=$O$2,$D533,$D533-($D533-$I$508)*MIN(G$3-$O$2,$Q$2)/$Q$2))</f>
        <v>7386.66660897548</v>
      </c>
      <c r="H533" s="15" t="n">
        <f aca="false">G533*(1+IF(H$3&lt;=$O$2,$D533,$D533-($D533-$I$508)*MIN(H$3-$O$2,$Q$2)/$Q$2))</f>
        <v>8096.12199261628</v>
      </c>
      <c r="I533" s="15" t="n">
        <f aca="false">H533*(1+IF(I$3&lt;=$O$2,$D533,$D533-($D533-$I$508)*MIN(I$3-$O$2,$Q$2)/$Q$2))</f>
        <v>8873.71730567603</v>
      </c>
      <c r="J533" s="15" t="n">
        <f aca="false">I533*(1+IF(J$3&lt;=$O$2,$D533,$D533-($D533-$I$508)*MIN(J$3-$O$2,$Q$2)/$Q$2))</f>
        <v>9605.76636128544</v>
      </c>
      <c r="K533" s="15" t="n">
        <f aca="false">J533*(1+IF(K$3&lt;=$O$2,$D533,$D533-($D533-$I$508)*MIN(K$3-$O$2,$Q$2)/$Q$2))</f>
        <v>10268.0574669114</v>
      </c>
      <c r="L533" s="15" t="n">
        <f aca="false">K533*(1+IF(L$3&lt;=$O$2,$D533,$D533-($D533-$I$508)*MIN(L$3-$O$2,$Q$2)/$Q$2))</f>
        <v>10836.888976544</v>
      </c>
      <c r="M533" s="15" t="n">
        <f aca="false">L533*(1+IF(M$3&lt;=$O$2,$D533,$D533-($D533-$I$508)*MIN(M$3-$O$2,$Q$2)/$Q$2))</f>
        <v>11290.4028204019</v>
      </c>
      <c r="N533" s="15" t="n">
        <f aca="false">M533*(1+IF(N$3&lt;=$O$2,$D533,$D533-($D533-$I$508)*MIN(N$3-$O$2,$Q$2)/$Q$2))</f>
        <v>11609.9212202193</v>
      </c>
      <c r="O533" s="15" t="n">
        <f aca="false">SUMPRODUCT(E533:N533,1/(1+$F$508)^$E$3:$N$3)*$E$2</f>
        <v>22077.6377995897</v>
      </c>
      <c r="P533" s="15" t="n">
        <f aca="false">N533*$E$2*(1+$I$508)/($F$508-$I$508)/(1+$F$508)^$N$3</f>
        <v>38937.3496993468</v>
      </c>
      <c r="Q533" s="15" t="n">
        <f aca="false">O533+P533</f>
        <v>61014.9874989365</v>
      </c>
      <c r="R533" s="15" t="n">
        <f aca="false">Q533-$G$2+$I$2</f>
        <v>52249.9874989365</v>
      </c>
      <c r="S533" s="40" t="n">
        <f aca="false">R533/$K$2</f>
        <v>93.4738049642858</v>
      </c>
      <c r="T533" s="41" t="n">
        <f aca="false">S533-$M$2</f>
        <v>-2.23640623318033E-005</v>
      </c>
    </row>
    <row r="535" customFormat="false" ht="15" hidden="false" customHeight="false" outlineLevel="0" collapsed="false">
      <c r="A535" s="36" t="s">
        <v>205</v>
      </c>
      <c r="E535" s="5" t="s">
        <v>11</v>
      </c>
      <c r="F535" s="12" t="n">
        <f aca="false">Sensitivity!$B$13</f>
        <v>0.0817360315529091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6" t="s">
        <v>167</v>
      </c>
      <c r="B536" s="28" t="s">
        <v>168</v>
      </c>
      <c r="C536" s="28" t="s">
        <v>169</v>
      </c>
      <c r="D536" s="28" t="s">
        <v>170</v>
      </c>
      <c r="E536" s="28" t="s">
        <v>171</v>
      </c>
      <c r="F536" s="28" t="s">
        <v>172</v>
      </c>
      <c r="G536" s="28" t="s">
        <v>173</v>
      </c>
      <c r="H536" s="28" t="s">
        <v>174</v>
      </c>
      <c r="I536" s="28" t="s">
        <v>175</v>
      </c>
      <c r="J536" s="28" t="s">
        <v>176</v>
      </c>
      <c r="K536" s="28" t="s">
        <v>177</v>
      </c>
      <c r="L536" s="28" t="s">
        <v>178</v>
      </c>
      <c r="M536" s="28" t="s">
        <v>179</v>
      </c>
      <c r="N536" s="28" t="s">
        <v>180</v>
      </c>
      <c r="O536" s="28" t="s">
        <v>181</v>
      </c>
      <c r="P536" s="28" t="s">
        <v>182</v>
      </c>
      <c r="Q536" s="28" t="s">
        <v>183</v>
      </c>
      <c r="R536" s="28" t="s">
        <v>184</v>
      </c>
      <c r="S536" s="28" t="s">
        <v>185</v>
      </c>
      <c r="T536" s="28" t="s">
        <v>186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39" t="n">
        <f aca="false">(B537+C537)/2</f>
        <v>0.25</v>
      </c>
      <c r="E537" s="15" t="n">
        <f aca="false">$C$2*(1+IF(E$3&lt;=$O$2,$D537,$D537-($D537-$I$535)*MIN(E$3-$O$2,$Q$2)/$Q$2))</f>
        <v>7012.5</v>
      </c>
      <c r="F537" s="15" t="n">
        <f aca="false">E537*(1+IF(F$3&lt;=$O$2,$D537,$D537-($D537-$I$535)*MIN(F$3-$O$2,$Q$2)/$Q$2))</f>
        <v>8765.625</v>
      </c>
      <c r="G537" s="15" t="n">
        <f aca="false">F537*(1+IF(G$3&lt;=$O$2,$D537,$D537-($D537-$I$535)*MIN(G$3-$O$2,$Q$2)/$Q$2))</f>
        <v>10957.03125</v>
      </c>
      <c r="H537" s="15" t="n">
        <f aca="false">G537*(1+IF(H$3&lt;=$O$2,$D537,$D537-($D537-$I$535)*MIN(H$3-$O$2,$Q$2)/$Q$2))</f>
        <v>13696.2890625</v>
      </c>
      <c r="I537" s="15" t="n">
        <f aca="false">H537*(1+IF(I$3&lt;=$O$2,$D537,$D537-($D537-$I$535)*MIN(I$3-$O$2,$Q$2)/$Q$2))</f>
        <v>17120.361328125</v>
      </c>
      <c r="J537" s="15" t="n">
        <f aca="false">I537*(1+IF(J$3&lt;=$O$2,$D537,$D537-($D537-$I$535)*MIN(J$3-$O$2,$Q$2)/$Q$2))</f>
        <v>20658.4552001953</v>
      </c>
      <c r="K537" s="15" t="n">
        <f aca="false">J537*(1+IF(K$3&lt;=$O$2,$D537,$D537-($D537-$I$535)*MIN(K$3-$O$2,$Q$2)/$Q$2))</f>
        <v>24032.3941034912</v>
      </c>
      <c r="L537" s="15" t="n">
        <f aca="false">K537*(1+IF(L$3&lt;=$O$2,$D537,$D537-($D537-$I$535)*MIN(L$3-$O$2,$Q$2)/$Q$2))</f>
        <v>26915.8007480281</v>
      </c>
      <c r="M537" s="15" t="n">
        <f aca="false">L537*(1+IF(M$3&lt;=$O$2,$D537,$D537-($D537-$I$535)*MIN(M$3-$O$2,$Q$2)/$Q$2))</f>
        <v>28978.627717357</v>
      </c>
      <c r="N537" s="15" t="n">
        <f aca="false">M537*(1+IF(N$3&lt;=$O$2,$D537,$D537-($D537-$I$535)*MIN(N$3-$O$2,$Q$2)/$Q$2))</f>
        <v>29943.6160203449</v>
      </c>
      <c r="O537" s="15" t="n">
        <f aca="false">SUMPRODUCT(E537:N537,1/(1+$F$535)^$E$3:$N$3)*$E$2</f>
        <v>43299.136452744</v>
      </c>
      <c r="P537" s="15" t="n">
        <f aca="false">N537*$E$2*(1+$I$535)/($F$535-$I$535)/(1+$F$535)^$N$3</f>
        <v>111330.35593394</v>
      </c>
      <c r="Q537" s="15" t="n">
        <f aca="false">O537+P537</f>
        <v>154629.492386684</v>
      </c>
      <c r="R537" s="15" t="n">
        <f aca="false">Q537-$G$2+$I$2</f>
        <v>145864.492386684</v>
      </c>
      <c r="S537" s="40" t="n">
        <f aca="false">R537/$K$2</f>
        <v>260.947605257226</v>
      </c>
      <c r="T537" s="41" t="n">
        <f aca="false">S537-$M$2</f>
        <v>167.473777928878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39" t="n">
        <f aca="false">(B538+C538)/2</f>
        <v>-0.125</v>
      </c>
      <c r="E538" s="15" t="n">
        <f aca="false">$C$2*(1+IF(E$3&lt;=$O$2,$D538,$D538-($D538-$I$535)*MIN(E$3-$O$2,$Q$2)/$Q$2))</f>
        <v>4908.75</v>
      </c>
      <c r="F538" s="15" t="n">
        <f aca="false">E538*(1+IF(F$3&lt;=$O$2,$D538,$D538-($D538-$I$535)*MIN(F$3-$O$2,$Q$2)/$Q$2))</f>
        <v>4295.15625</v>
      </c>
      <c r="G538" s="15" t="n">
        <f aca="false">F538*(1+IF(G$3&lt;=$O$2,$D538,$D538-($D538-$I$535)*MIN(G$3-$O$2,$Q$2)/$Q$2))</f>
        <v>3758.26171875</v>
      </c>
      <c r="H538" s="15" t="n">
        <f aca="false">G538*(1+IF(H$3&lt;=$O$2,$D538,$D538-($D538-$I$535)*MIN(H$3-$O$2,$Q$2)/$Q$2))</f>
        <v>3288.47900390625</v>
      </c>
      <c r="I538" s="15" t="n">
        <f aca="false">H538*(1+IF(I$3&lt;=$O$2,$D538,$D538-($D538-$I$535)*MIN(I$3-$O$2,$Q$2)/$Q$2))</f>
        <v>2877.41912841797</v>
      </c>
      <c r="J538" s="15" t="n">
        <f aca="false">I538*(1+IF(J$3&lt;=$O$2,$D538,$D538-($D538-$I$535)*MIN(J$3-$O$2,$Q$2)/$Q$2))</f>
        <v>2608.84082697144</v>
      </c>
      <c r="K538" s="15" t="n">
        <f aca="false">J538*(1+IF(K$3&lt;=$O$2,$D538,$D538-($D538-$I$535)*MIN(K$3-$O$2,$Q$2)/$Q$2))</f>
        <v>2447.92752476384</v>
      </c>
      <c r="L538" s="15" t="n">
        <f aca="false">K538*(1+IF(L$3&lt;=$O$2,$D538,$D538-($D538-$I$535)*MIN(L$3-$O$2,$Q$2)/$Q$2))</f>
        <v>2374.44074047043</v>
      </c>
      <c r="M538" s="15" t="n">
        <f aca="false">L538*(1+IF(M$3&lt;=$O$2,$D538,$D538-($D538-$I$535)*MIN(M$3-$O$2,$Q$2)/$Q$2))</f>
        <v>2378.3348232848</v>
      </c>
      <c r="N538" s="15" t="n">
        <f aca="false">M538*(1+IF(N$3&lt;=$O$2,$D538,$D538-($D538-$I$535)*MIN(N$3-$O$2,$Q$2)/$Q$2))</f>
        <v>2457.53337290018</v>
      </c>
      <c r="O538" s="15" t="n">
        <f aca="false">SUMPRODUCT(E538:N538,1/(1+$F$535)^$E$3:$N$3)*$E$2</f>
        <v>8458.32608192736</v>
      </c>
      <c r="P538" s="15" t="n">
        <f aca="false">N538*$E$2*(1+$I$535)/($F$535-$I$535)/(1+$F$535)^$N$3</f>
        <v>9137.10838860011</v>
      </c>
      <c r="Q538" s="15" t="n">
        <f aca="false">O538+P538</f>
        <v>17595.4344705275</v>
      </c>
      <c r="R538" s="15" t="n">
        <f aca="false">Q538-$G$2+$I$2</f>
        <v>8830.43447052747</v>
      </c>
      <c r="S538" s="40" t="n">
        <f aca="false">R538/$K$2</f>
        <v>15.7974068312417</v>
      </c>
      <c r="T538" s="41" t="n">
        <f aca="false">S538-$M$2</f>
        <v>-77.6764204971064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39" t="n">
        <f aca="false">(B539+C539)/2</f>
        <v>0.0625</v>
      </c>
      <c r="E539" s="15" t="n">
        <f aca="false">$C$2*(1+IF(E$3&lt;=$O$2,$D539,$D539-($D539-$I$535)*MIN(E$3-$O$2,$Q$2)/$Q$2))</f>
        <v>5960.625</v>
      </c>
      <c r="F539" s="15" t="n">
        <f aca="false">E539*(1+IF(F$3&lt;=$O$2,$D539,$D539-($D539-$I$535)*MIN(F$3-$O$2,$Q$2)/$Q$2))</f>
        <v>6333.1640625</v>
      </c>
      <c r="G539" s="15" t="n">
        <f aca="false">F539*(1+IF(G$3&lt;=$O$2,$D539,$D539-($D539-$I$535)*MIN(G$3-$O$2,$Q$2)/$Q$2))</f>
        <v>6728.98681640625</v>
      </c>
      <c r="H539" s="15" t="n">
        <f aca="false">G539*(1+IF(H$3&lt;=$O$2,$D539,$D539-($D539-$I$535)*MIN(H$3-$O$2,$Q$2)/$Q$2))</f>
        <v>7149.54849243164</v>
      </c>
      <c r="I539" s="15" t="n">
        <f aca="false">H539*(1+IF(I$3&lt;=$O$2,$D539,$D539-($D539-$I$535)*MIN(I$3-$O$2,$Q$2)/$Q$2))</f>
        <v>7596.39527320862</v>
      </c>
      <c r="J539" s="15" t="n">
        <f aca="false">I539*(1+IF(J$3&lt;=$O$2,$D539,$D539-($D539-$I$535)*MIN(J$3-$O$2,$Q$2)/$Q$2))</f>
        <v>8026.80702938862</v>
      </c>
      <c r="K539" s="15" t="n">
        <f aca="false">J539*(1+IF(K$3&lt;=$O$2,$D539,$D539-($D539-$I$535)*MIN(K$3-$O$2,$Q$2)/$Q$2))</f>
        <v>8434.72936262215</v>
      </c>
      <c r="L539" s="15" t="n">
        <f aca="false">K539*(1+IF(L$3&lt;=$O$2,$D539,$D539-($D539-$I$535)*MIN(L$3-$O$2,$Q$2)/$Q$2))</f>
        <v>8814.12348935289</v>
      </c>
      <c r="M539" s="15" t="n">
        <f aca="false">L539*(1+IF(M$3&lt;=$O$2,$D539,$D539-($D539-$I$535)*MIN(M$3-$O$2,$Q$2)/$Q$2))</f>
        <v>9159.10828272616</v>
      </c>
      <c r="N539" s="15" t="n">
        <f aca="false">M539*(1+IF(N$3&lt;=$O$2,$D539,$D539-($D539-$I$535)*MIN(N$3-$O$2,$Q$2)/$Q$2))</f>
        <v>9464.10658854095</v>
      </c>
      <c r="O539" s="15" t="n">
        <f aca="false">SUMPRODUCT(E539:N539,1/(1+$F$535)^$E$3:$N$3)*$E$2</f>
        <v>19116.1374490347</v>
      </c>
      <c r="P539" s="15" t="n">
        <f aca="false">N539*$E$2*(1+$I$535)/($F$535-$I$535)/(1+$F$535)^$N$3</f>
        <v>35187.5456318678</v>
      </c>
      <c r="Q539" s="15" t="n">
        <f aca="false">O539+P539</f>
        <v>54303.6830809024</v>
      </c>
      <c r="R539" s="15" t="n">
        <f aca="false">Q539-$G$2+$I$2</f>
        <v>45538.6830809024</v>
      </c>
      <c r="S539" s="40" t="n">
        <f aca="false">R539/$K$2</f>
        <v>81.4674640969309</v>
      </c>
      <c r="T539" s="41" t="n">
        <f aca="false">S539-$M$2</f>
        <v>-12.0063632314172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0.0625</v>
      </c>
      <c r="C540" s="25" t="n">
        <f aca="false">IF(T539&gt;0,D539,C539)</f>
        <v>0.25</v>
      </c>
      <c r="D540" s="39" t="n">
        <f aca="false">(B540+C540)/2</f>
        <v>0.15625</v>
      </c>
      <c r="E540" s="15" t="n">
        <f aca="false">$C$2*(1+IF(E$3&lt;=$O$2,$D540,$D540-($D540-$I$535)*MIN(E$3-$O$2,$Q$2)/$Q$2))</f>
        <v>6486.5625</v>
      </c>
      <c r="F540" s="15" t="n">
        <f aca="false">E540*(1+IF(F$3&lt;=$O$2,$D540,$D540-($D540-$I$535)*MIN(F$3-$O$2,$Q$2)/$Q$2))</f>
        <v>7500.087890625</v>
      </c>
      <c r="G540" s="15" t="n">
        <f aca="false">F540*(1+IF(G$3&lt;=$O$2,$D540,$D540-($D540-$I$535)*MIN(G$3-$O$2,$Q$2)/$Q$2))</f>
        <v>8671.97662353516</v>
      </c>
      <c r="H540" s="15" t="n">
        <f aca="false">G540*(1+IF(H$3&lt;=$O$2,$D540,$D540-($D540-$I$535)*MIN(H$3-$O$2,$Q$2)/$Q$2))</f>
        <v>10026.9729709625</v>
      </c>
      <c r="I540" s="15" t="n">
        <f aca="false">H540*(1+IF(I$3&lt;=$O$2,$D540,$D540-($D540-$I$535)*MIN(I$3-$O$2,$Q$2)/$Q$2))</f>
        <v>11593.6874976754</v>
      </c>
      <c r="J540" s="15" t="n">
        <f aca="false">I540*(1+IF(J$3&lt;=$O$2,$D540,$D540-($D540-$I$535)*MIN(J$3-$O$2,$Q$2)/$Q$2))</f>
        <v>13120.1123936194</v>
      </c>
      <c r="K540" s="15" t="n">
        <f aca="false">J540*(1+IF(K$3&lt;=$O$2,$D540,$D540-($D540-$I$535)*MIN(K$3-$O$2,$Q$2)/$Q$2))</f>
        <v>14524.8828276042</v>
      </c>
      <c r="L540" s="15" t="n">
        <f aca="false">K540*(1+IF(L$3&lt;=$O$2,$D540,$D540-($D540-$I$535)*MIN(L$3-$O$2,$Q$2)/$Q$2))</f>
        <v>15722.895163225</v>
      </c>
      <c r="M540" s="15" t="n">
        <f aca="false">L540*(1+IF(M$3&lt;=$O$2,$D540,$D540-($D540-$I$535)*MIN(M$3-$O$2,$Q$2)/$Q$2))</f>
        <v>16633.0935642241</v>
      </c>
      <c r="N540" s="15" t="n">
        <f aca="false">M540*(1+IF(N$3&lt;=$O$2,$D540,$D540-($D540-$I$535)*MIN(N$3-$O$2,$Q$2)/$Q$2))</f>
        <v>17186.9755799127</v>
      </c>
      <c r="O540" s="15" t="n">
        <f aca="false">SUMPRODUCT(E540:N540,1/(1+$F$535)^$E$3:$N$3)*$E$2</f>
        <v>28828.5195102327</v>
      </c>
      <c r="P540" s="15" t="n">
        <f aca="false">N540*$E$2*(1+$I$535)/($F$535-$I$535)/(1+$F$535)^$N$3</f>
        <v>63901.1703676524</v>
      </c>
      <c r="Q540" s="15" t="n">
        <f aca="false">O540+P540</f>
        <v>92729.6898778851</v>
      </c>
      <c r="R540" s="15" t="n">
        <f aca="false">Q540-$G$2+$I$2</f>
        <v>83964.6898778851</v>
      </c>
      <c r="S540" s="40" t="n">
        <f aca="false">R540/$K$2</f>
        <v>150.210543987057</v>
      </c>
      <c r="T540" s="41" t="n">
        <f aca="false">S540-$M$2</f>
        <v>56.7367166587088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0.0625</v>
      </c>
      <c r="C541" s="25" t="n">
        <f aca="false">IF(T540&gt;0,D540,C540)</f>
        <v>0.15625</v>
      </c>
      <c r="D541" s="39" t="n">
        <f aca="false">(B541+C541)/2</f>
        <v>0.109375</v>
      </c>
      <c r="E541" s="15" t="n">
        <f aca="false">$C$2*(1+IF(E$3&lt;=$O$2,$D541,$D541-($D541-$I$535)*MIN(E$3-$O$2,$Q$2)/$Q$2))</f>
        <v>6223.59375</v>
      </c>
      <c r="F541" s="15" t="n">
        <f aca="false">E541*(1+IF(F$3&lt;=$O$2,$D541,$D541-($D541-$I$535)*MIN(F$3-$O$2,$Q$2)/$Q$2))</f>
        <v>6904.29931640625</v>
      </c>
      <c r="G541" s="15" t="n">
        <f aca="false">F541*(1+IF(G$3&lt;=$O$2,$D541,$D541-($D541-$I$535)*MIN(G$3-$O$2,$Q$2)/$Q$2))</f>
        <v>7659.45705413818</v>
      </c>
      <c r="H541" s="15" t="n">
        <f aca="false">G541*(1+IF(H$3&lt;=$O$2,$D541,$D541-($D541-$I$535)*MIN(H$3-$O$2,$Q$2)/$Q$2))</f>
        <v>8497.21016943455</v>
      </c>
      <c r="I541" s="15" t="n">
        <f aca="false">H541*(1+IF(I$3&lt;=$O$2,$D541,$D541-($D541-$I$535)*MIN(I$3-$O$2,$Q$2)/$Q$2))</f>
        <v>9426.59253171645</v>
      </c>
      <c r="J541" s="15" t="n">
        <f aca="false">I541*(1+IF(J$3&lt;=$O$2,$D541,$D541-($D541-$I$535)*MIN(J$3-$O$2,$Q$2)/$Q$2))</f>
        <v>10314.2004845029</v>
      </c>
      <c r="K541" s="15" t="n">
        <f aca="false">J541*(1+IF(K$3&lt;=$O$2,$D541,$D541-($D541-$I$535)*MIN(K$3-$O$2,$Q$2)/$Q$2))</f>
        <v>11128.455041752</v>
      </c>
      <c r="L541" s="15" t="n">
        <f aca="false">K541*(1+IF(L$3&lt;=$O$2,$D541,$D541-($D541-$I$535)*MIN(L$3-$O$2,$Q$2)/$Q$2))</f>
        <v>11837.6714815628</v>
      </c>
      <c r="M541" s="15" t="n">
        <f aca="false">L541*(1+IF(M$3&lt;=$O$2,$D541,$D541-($D541-$I$535)*MIN(M$3-$O$2,$Q$2)/$Q$2))</f>
        <v>12411.9761134908</v>
      </c>
      <c r="N541" s="15" t="n">
        <f aca="false">M541*(1+IF(N$3&lt;=$O$2,$D541,$D541-($D541-$I$535)*MIN(N$3-$O$2,$Q$2)/$Q$2))</f>
        <v>12825.2949180701</v>
      </c>
      <c r="O541" s="15" t="n">
        <f aca="false">SUMPRODUCT(E541:N541,1/(1+$F$535)^$E$3:$N$3)*$E$2</f>
        <v>23481.3038689599</v>
      </c>
      <c r="P541" s="15" t="n">
        <f aca="false">N541*$E$2*(1+$I$535)/($F$535-$I$535)/(1+$F$535)^$N$3</f>
        <v>47684.4428948181</v>
      </c>
      <c r="Q541" s="15" t="n">
        <f aca="false">O541+P541</f>
        <v>71165.7467637779</v>
      </c>
      <c r="R541" s="15" t="n">
        <f aca="false">Q541-$G$2+$I$2</f>
        <v>62400.7467637779</v>
      </c>
      <c r="S541" s="40" t="n">
        <f aca="false">R541/$K$2</f>
        <v>111.633236902533</v>
      </c>
      <c r="T541" s="41" t="n">
        <f aca="false">S541-$M$2</f>
        <v>18.159409574185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0.0625</v>
      </c>
      <c r="C542" s="25" t="n">
        <f aca="false">IF(T541&gt;0,D541,C541)</f>
        <v>0.109375</v>
      </c>
      <c r="D542" s="39" t="n">
        <f aca="false">(B542+C542)/2</f>
        <v>0.0859375</v>
      </c>
      <c r="E542" s="15" t="n">
        <f aca="false">$C$2*(1+IF(E$3&lt;=$O$2,$D542,$D542-($D542-$I$535)*MIN(E$3-$O$2,$Q$2)/$Q$2))</f>
        <v>6092.109375</v>
      </c>
      <c r="F542" s="15" t="n">
        <f aca="false">E542*(1+IF(F$3&lt;=$O$2,$D542,$D542-($D542-$I$535)*MIN(F$3-$O$2,$Q$2)/$Q$2))</f>
        <v>6615.65002441406</v>
      </c>
      <c r="G542" s="15" t="n">
        <f aca="false">F542*(1+IF(G$3&lt;=$O$2,$D542,$D542-($D542-$I$535)*MIN(G$3-$O$2,$Q$2)/$Q$2))</f>
        <v>7184.18244838715</v>
      </c>
      <c r="H542" s="15" t="n">
        <f aca="false">G542*(1+IF(H$3&lt;=$O$2,$D542,$D542-($D542-$I$535)*MIN(H$3-$O$2,$Q$2)/$Q$2))</f>
        <v>7801.57312754542</v>
      </c>
      <c r="I542" s="15" t="n">
        <f aca="false">H542*(1+IF(I$3&lt;=$O$2,$D542,$D542-($D542-$I$535)*MIN(I$3-$O$2,$Q$2)/$Q$2))</f>
        <v>8472.02081819385</v>
      </c>
      <c r="J542" s="15" t="n">
        <f aca="false">I542*(1+IF(J$3&lt;=$O$2,$D542,$D542-($D542-$I$535)*MIN(J$3-$O$2,$Q$2)/$Q$2))</f>
        <v>9110.89590809385</v>
      </c>
      <c r="K542" s="15" t="n">
        <f aca="false">J542*(1+IF(K$3&lt;=$O$2,$D542,$D542-($D542-$I$535)*MIN(K$3-$O$2,$Q$2)/$Q$2))</f>
        <v>9702.03361185075</v>
      </c>
      <c r="L542" s="15" t="n">
        <f aca="false">K542*(1+IF(L$3&lt;=$O$2,$D542,$D542-($D542-$I$535)*MIN(L$3-$O$2,$Q$2)/$Q$2))</f>
        <v>10229.3876488229</v>
      </c>
      <c r="M542" s="15" t="n">
        <f aca="false">L542*(1+IF(M$3&lt;=$O$2,$D542,$D542-($D542-$I$535)*MIN(M$3-$O$2,$Q$2)/$Q$2))</f>
        <v>10677.7161360017</v>
      </c>
      <c r="N542" s="15" t="n">
        <f aca="false">M542*(1+IF(N$3&lt;=$O$2,$D542,$D542-($D542-$I$535)*MIN(N$3-$O$2,$Q$2)/$Q$2))</f>
        <v>11033.2840833305</v>
      </c>
      <c r="O542" s="15" t="n">
        <f aca="false">SUMPRODUCT(E542:N542,1/(1+$F$535)^$E$3:$N$3)*$E$2</f>
        <v>21187.1988780099</v>
      </c>
      <c r="P542" s="15" t="n">
        <f aca="false">N542*$E$2*(1+$I$535)/($F$535-$I$535)/(1+$F$535)^$N$3</f>
        <v>41021.7471157419</v>
      </c>
      <c r="Q542" s="15" t="n">
        <f aca="false">O542+P542</f>
        <v>62208.9459937518</v>
      </c>
      <c r="R542" s="15" t="n">
        <f aca="false">Q542-$G$2+$I$2</f>
        <v>53443.9459937518</v>
      </c>
      <c r="S542" s="40" t="n">
        <f aca="false">R542/$K$2</f>
        <v>95.6097642022108</v>
      </c>
      <c r="T542" s="41" t="n">
        <f aca="false">S542-$M$2</f>
        <v>2.13593687386268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0.0625</v>
      </c>
      <c r="C543" s="25" t="n">
        <f aca="false">IF(T542&gt;0,D542,C542)</f>
        <v>0.0859375</v>
      </c>
      <c r="D543" s="39" t="n">
        <f aca="false">(B543+C543)/2</f>
        <v>0.07421875</v>
      </c>
      <c r="E543" s="15" t="n">
        <f aca="false">$C$2*(1+IF(E$3&lt;=$O$2,$D543,$D543-($D543-$I$535)*MIN(E$3-$O$2,$Q$2)/$Q$2))</f>
        <v>6026.3671875</v>
      </c>
      <c r="F543" s="15" t="n">
        <f aca="false">E543*(1+IF(F$3&lt;=$O$2,$D543,$D543-($D543-$I$535)*MIN(F$3-$O$2,$Q$2)/$Q$2))</f>
        <v>6473.63662719727</v>
      </c>
      <c r="G543" s="15" t="n">
        <f aca="false">F543*(1+IF(G$3&lt;=$O$2,$D543,$D543-($D543-$I$535)*MIN(G$3-$O$2,$Q$2)/$Q$2))</f>
        <v>6954.10184562206</v>
      </c>
      <c r="H543" s="15" t="n">
        <f aca="false">G543*(1+IF(H$3&lt;=$O$2,$D543,$D543-($D543-$I$535)*MIN(H$3-$O$2,$Q$2)/$Q$2))</f>
        <v>7470.22659197683</v>
      </c>
      <c r="I543" s="15" t="n">
        <f aca="false">H543*(1+IF(I$3&lt;=$O$2,$D543,$D543-($D543-$I$535)*MIN(I$3-$O$2,$Q$2)/$Q$2))</f>
        <v>8024.65747185011</v>
      </c>
      <c r="J543" s="15" t="n">
        <f aca="false">I543*(1+IF(J$3&lt;=$O$2,$D543,$D543-($D543-$I$535)*MIN(J$3-$O$2,$Q$2)/$Q$2))</f>
        <v>8554.56572800373</v>
      </c>
      <c r="K543" s="15" t="n">
        <f aca="false">J543*(1+IF(K$3&lt;=$O$2,$D543,$D543-($D543-$I$535)*MIN(K$3-$O$2,$Q$2)/$Q$2))</f>
        <v>9049.4580485759</v>
      </c>
      <c r="L543" s="15" t="n">
        <f aca="false">K543*(1+IF(L$3&lt;=$O$2,$D543,$D543-($D543-$I$535)*MIN(L$3-$O$2,$Q$2)/$Q$2))</f>
        <v>9498.92200620355</v>
      </c>
      <c r="M543" s="15" t="n">
        <f aca="false">L543*(1+IF(M$3&lt;=$O$2,$D543,$D543-($D543-$I$535)*MIN(M$3-$O$2,$Q$2)/$Q$2))</f>
        <v>9892.97291197839</v>
      </c>
      <c r="N543" s="15" t="n">
        <f aca="false">M543*(1+IF(N$3&lt;=$O$2,$D543,$D543-($D543-$I$535)*MIN(N$3-$O$2,$Q$2)/$Q$2))</f>
        <v>10222.4089099473</v>
      </c>
      <c r="O543" s="15" t="n">
        <f aca="false">SUMPRODUCT(E543:N543,1/(1+$F$535)^$E$3:$N$3)*$E$2</f>
        <v>20125.0940147481</v>
      </c>
      <c r="P543" s="15" t="n">
        <f aca="false">N543*$E$2*(1+$I$535)/($F$535-$I$535)/(1+$F$535)^$N$3</f>
        <v>38006.9134493798</v>
      </c>
      <c r="Q543" s="15" t="n">
        <f aca="false">O543+P543</f>
        <v>58132.0074641279</v>
      </c>
      <c r="R543" s="15" t="n">
        <f aca="false">Q543-$G$2+$I$2</f>
        <v>49367.0074641279</v>
      </c>
      <c r="S543" s="40" t="n">
        <f aca="false">R543/$K$2</f>
        <v>88.3162321802711</v>
      </c>
      <c r="T543" s="41" t="n">
        <f aca="false">S543-$M$2</f>
        <v>-5.15759514807698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0.07421875</v>
      </c>
      <c r="C544" s="25" t="n">
        <f aca="false">IF(T543&gt;0,D543,C543)</f>
        <v>0.0859375</v>
      </c>
      <c r="D544" s="39" t="n">
        <f aca="false">(B544+C544)/2</f>
        <v>0.080078125</v>
      </c>
      <c r="E544" s="15" t="n">
        <f aca="false">$C$2*(1+IF(E$3&lt;=$O$2,$D544,$D544-($D544-$I$535)*MIN(E$3-$O$2,$Q$2)/$Q$2))</f>
        <v>6059.23828125</v>
      </c>
      <c r="F544" s="15" t="n">
        <f aca="false">E544*(1+IF(F$3&lt;=$O$2,$D544,$D544-($D544-$I$535)*MIN(F$3-$O$2,$Q$2)/$Q$2))</f>
        <v>6544.45072174072</v>
      </c>
      <c r="G544" s="15" t="n">
        <f aca="false">F544*(1+IF(G$3&lt;=$O$2,$D544,$D544-($D544-$I$535)*MIN(G$3-$O$2,$Q$2)/$Q$2))</f>
        <v>7068.51806469262</v>
      </c>
      <c r="H544" s="15" t="n">
        <f aca="false">G544*(1+IF(H$3&lt;=$O$2,$D544,$D544-($D544-$I$535)*MIN(H$3-$O$2,$Q$2)/$Q$2))</f>
        <v>7634.55173784183</v>
      </c>
      <c r="I544" s="15" t="n">
        <f aca="false">H544*(1+IF(I$3&lt;=$O$2,$D544,$D544-($D544-$I$535)*MIN(I$3-$O$2,$Q$2)/$Q$2))</f>
        <v>8245.9123262237</v>
      </c>
      <c r="J544" s="15" t="n">
        <f aca="false">I544*(1+IF(J$3&lt;=$O$2,$D544,$D544-($D544-$I$535)*MIN(J$3-$O$2,$Q$2)/$Q$2))</f>
        <v>8829.08386071505</v>
      </c>
      <c r="K544" s="15" t="n">
        <f aca="false">J544*(1+IF(K$3&lt;=$O$2,$D544,$D544-($D544-$I$535)*MIN(K$3-$O$2,$Q$2)/$Q$2))</f>
        <v>9370.89714636007</v>
      </c>
      <c r="L544" s="15" t="n">
        <f aca="false">K544*(1+IF(L$3&lt;=$O$2,$D544,$D544-($D544-$I$535)*MIN(L$3-$O$2,$Q$2)/$Q$2))</f>
        <v>9858.28922056369</v>
      </c>
      <c r="M544" s="15" t="n">
        <f aca="false">L544*(1+IF(M$3&lt;=$O$2,$D544,$D544-($D544-$I$535)*MIN(M$3-$O$2,$Q$2)/$Q$2))</f>
        <v>10278.8007086976</v>
      </c>
      <c r="N544" s="15" t="n">
        <f aca="false">M544*(1+IF(N$3&lt;=$O$2,$D544,$D544-($D544-$I$535)*MIN(N$3-$O$2,$Q$2)/$Q$2))</f>
        <v>10621.0847722972</v>
      </c>
      <c r="O544" s="15" t="n">
        <f aca="false">SUMPRODUCT(E544:N544,1/(1+$F$535)^$E$3:$N$3)*$E$2</f>
        <v>20649.3438076692</v>
      </c>
      <c r="P544" s="15" t="n">
        <f aca="false">N544*$E$2*(1+$I$535)/($F$535-$I$535)/(1+$F$535)^$N$3</f>
        <v>39489.1901933621</v>
      </c>
      <c r="Q544" s="15" t="n">
        <f aca="false">O544+P544</f>
        <v>60138.5340010313</v>
      </c>
      <c r="R544" s="15" t="n">
        <f aca="false">Q544-$G$2+$I$2</f>
        <v>51373.5340010313</v>
      </c>
      <c r="S544" s="40" t="n">
        <f aca="false">R544/$K$2</f>
        <v>91.9058535207544</v>
      </c>
      <c r="T544" s="41" t="n">
        <f aca="false">S544-$M$2</f>
        <v>-1.56797380759372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0.080078125</v>
      </c>
      <c r="C545" s="25" t="n">
        <f aca="false">IF(T544&gt;0,D544,C544)</f>
        <v>0.0859375</v>
      </c>
      <c r="D545" s="39" t="n">
        <f aca="false">(B545+C545)/2</f>
        <v>0.0830078125</v>
      </c>
      <c r="E545" s="15" t="n">
        <f aca="false">$C$2*(1+IF(E$3&lt;=$O$2,$D545,$D545-($D545-$I$535)*MIN(E$3-$O$2,$Q$2)/$Q$2))</f>
        <v>6075.673828125</v>
      </c>
      <c r="F545" s="15" t="n">
        <f aca="false">E545*(1+IF(F$3&lt;=$O$2,$D545,$D545-($D545-$I$535)*MIN(F$3-$O$2,$Q$2)/$Q$2))</f>
        <v>6580.00222206116</v>
      </c>
      <c r="G545" s="15" t="n">
        <f aca="false">F545*(1+IF(G$3&lt;=$O$2,$D545,$D545-($D545-$I$535)*MIN(G$3-$O$2,$Q$2)/$Q$2))</f>
        <v>7126.19381275959</v>
      </c>
      <c r="H545" s="15" t="n">
        <f aca="false">G545*(1+IF(H$3&lt;=$O$2,$D545,$D545-($D545-$I$535)*MIN(H$3-$O$2,$Q$2)/$Q$2))</f>
        <v>7717.7235726078</v>
      </c>
      <c r="I545" s="15" t="n">
        <f aca="false">H545*(1+IF(I$3&lt;=$O$2,$D545,$D545-($D545-$I$535)*MIN(I$3-$O$2,$Q$2)/$Q$2))</f>
        <v>8358.35492384966</v>
      </c>
      <c r="J545" s="15" t="n">
        <f aca="false">I545*(1+IF(J$3&lt;=$O$2,$D545,$D545-($D545-$I$535)*MIN(J$3-$O$2,$Q$2)/$Q$2))</f>
        <v>8969.06857430439</v>
      </c>
      <c r="K545" s="15" t="n">
        <f aca="false">J545*(1+IF(K$3&lt;=$O$2,$D545,$D545-($D545-$I$535)*MIN(K$3-$O$2,$Q$2)/$Q$2))</f>
        <v>9535.23822522343</v>
      </c>
      <c r="L545" s="15" t="n">
        <f aca="false">K545*(1+IF(L$3&lt;=$O$2,$D545,$D545-($D545-$I$535)*MIN(L$3-$O$2,$Q$2)/$Q$2))</f>
        <v>10042.3519916603</v>
      </c>
      <c r="M545" s="15" t="n">
        <f aca="false">L545*(1+IF(M$3&lt;=$O$2,$D545,$D545-($D545-$I$535)*MIN(M$3-$O$2,$Q$2)/$Q$2))</f>
        <v>10476.5989829546</v>
      </c>
      <c r="N545" s="15" t="n">
        <f aca="false">M545*(1+IF(N$3&lt;=$O$2,$D545,$D545-($D545-$I$535)*MIN(N$3-$O$2,$Q$2)/$Q$2))</f>
        <v>10825.469729087</v>
      </c>
      <c r="O545" s="15" t="n">
        <f aca="false">SUMPRODUCT(E545:N545,1/(1+$F$535)^$E$3:$N$3)*$E$2</f>
        <v>20916.5504348198</v>
      </c>
      <c r="P545" s="15" t="n">
        <f aca="false">N545*$E$2*(1+$I$535)/($F$535-$I$535)/(1+$F$535)^$N$3</f>
        <v>40249.0934051683</v>
      </c>
      <c r="Q545" s="15" t="n">
        <f aca="false">O545+P545</f>
        <v>61165.6438399881</v>
      </c>
      <c r="R545" s="15" t="n">
        <f aca="false">Q545-$G$2+$I$2</f>
        <v>52400.6438399881</v>
      </c>
      <c r="S545" s="40" t="n">
        <f aca="false">R545/$K$2</f>
        <v>93.7433250563313</v>
      </c>
      <c r="T545" s="41" t="n">
        <f aca="false">S545-$M$2</f>
        <v>0.26949772798325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0.080078125</v>
      </c>
      <c r="C546" s="25" t="n">
        <f aca="false">IF(T545&gt;0,D545,C545)</f>
        <v>0.0830078125</v>
      </c>
      <c r="D546" s="39" t="n">
        <f aca="false">(B546+C546)/2</f>
        <v>0.08154296875</v>
      </c>
      <c r="E546" s="15" t="n">
        <f aca="false">$C$2*(1+IF(E$3&lt;=$O$2,$D546,$D546-($D546-$I$535)*MIN(E$3-$O$2,$Q$2)/$Q$2))</f>
        <v>6067.4560546875</v>
      </c>
      <c r="F546" s="15" t="n">
        <f aca="false">E546*(1+IF(F$3&lt;=$O$2,$D546,$D546-($D546-$I$535)*MIN(F$3-$O$2,$Q$2)/$Q$2))</f>
        <v>6562.21443414688</v>
      </c>
      <c r="G546" s="15" t="n">
        <f aca="false">F546*(1+IF(G$3&lt;=$O$2,$D546,$D546-($D546-$I$535)*MIN(G$3-$O$2,$Q$2)/$Q$2))</f>
        <v>7097.31688068132</v>
      </c>
      <c r="H546" s="15" t="n">
        <f aca="false">G546*(1+IF(H$3&lt;=$O$2,$D546,$D546-($D546-$I$535)*MIN(H$3-$O$2,$Q$2)/$Q$2))</f>
        <v>7676.05316929156</v>
      </c>
      <c r="I546" s="15" t="n">
        <f aca="false">H546*(1+IF(I$3&lt;=$O$2,$D546,$D546-($D546-$I$535)*MIN(I$3-$O$2,$Q$2)/$Q$2))</f>
        <v>8301.98133299844</v>
      </c>
      <c r="J546" s="15" t="n">
        <f aca="false">I546*(1+IF(J$3&lt;=$O$2,$D546,$D546-($D546-$I$535)*MIN(J$3-$O$2,$Q$2)/$Q$2))</f>
        <v>8898.84709219603</v>
      </c>
      <c r="K546" s="15" t="n">
        <f aca="false">J546*(1+IF(K$3&lt;=$O$2,$D546,$D546-($D546-$I$535)*MIN(K$3-$O$2,$Q$2)/$Q$2))</f>
        <v>9452.76278167407</v>
      </c>
      <c r="L546" s="15" t="n">
        <f aca="false">K546*(1+IF(L$3&lt;=$O$2,$D546,$D546-($D546-$I$535)*MIN(L$3-$O$2,$Q$2)/$Q$2))</f>
        <v>9949.9515180948</v>
      </c>
      <c r="M546" s="15" t="n">
        <f aca="false">L546*(1+IF(M$3&lt;=$O$2,$D546,$D546-($D546-$I$535)*MIN(M$3-$O$2,$Q$2)/$Q$2))</f>
        <v>10377.2879436776</v>
      </c>
      <c r="N546" s="15" t="n">
        <f aca="false">M546*(1+IF(N$3&lt;=$O$2,$D546,$D546-($D546-$I$535)*MIN(N$3-$O$2,$Q$2)/$Q$2))</f>
        <v>10722.8516322021</v>
      </c>
      <c r="O546" s="15" t="n">
        <f aca="false">SUMPRODUCT(E546:N546,1/(1+$F$535)^$E$3:$N$3)*$E$2</f>
        <v>20782.5194415611</v>
      </c>
      <c r="P546" s="15" t="n">
        <f aca="false">N546*$E$2*(1+$I$535)/($F$535-$I$535)/(1+$F$535)^$N$3</f>
        <v>39867.5593498391</v>
      </c>
      <c r="Q546" s="15" t="n">
        <f aca="false">O546+P546</f>
        <v>60650.0787914002</v>
      </c>
      <c r="R546" s="15" t="n">
        <f aca="false">Q546-$G$2+$I$2</f>
        <v>51885.0787914002</v>
      </c>
      <c r="S546" s="40" t="n">
        <f aca="false">R546/$K$2</f>
        <v>92.820993222298</v>
      </c>
      <c r="T546" s="41" t="n">
        <f aca="false">S546-$M$2</f>
        <v>-0.652834106050037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0.08154296875</v>
      </c>
      <c r="C547" s="25" t="n">
        <f aca="false">IF(T546&gt;0,D546,C546)</f>
        <v>0.0830078125</v>
      </c>
      <c r="D547" s="39" t="n">
        <f aca="false">(B547+C547)/2</f>
        <v>0.082275390625</v>
      </c>
      <c r="E547" s="15" t="n">
        <f aca="false">$C$2*(1+IF(E$3&lt;=$O$2,$D547,$D547-($D547-$I$535)*MIN(E$3-$O$2,$Q$2)/$Q$2))</f>
        <v>6071.56494140625</v>
      </c>
      <c r="F547" s="15" t="n">
        <f aca="false">E547*(1+IF(F$3&lt;=$O$2,$D547,$D547-($D547-$I$535)*MIN(F$3-$O$2,$Q$2)/$Q$2))</f>
        <v>6571.1053186655</v>
      </c>
      <c r="G547" s="15" t="n">
        <f aca="false">F547*(1+IF(G$3&lt;=$O$2,$D547,$D547-($D547-$I$535)*MIN(G$3-$O$2,$Q$2)/$Q$2))</f>
        <v>7111.74557559672</v>
      </c>
      <c r="H547" s="15" t="n">
        <f aca="false">G547*(1+IF(H$3&lt;=$O$2,$D547,$D547-($D547-$I$535)*MIN(H$3-$O$2,$Q$2)/$Q$2))</f>
        <v>7696.86722085456</v>
      </c>
      <c r="I547" s="15" t="n">
        <f aca="false">H547*(1+IF(I$3&lt;=$O$2,$D547,$D547-($D547-$I$535)*MIN(I$3-$O$2,$Q$2)/$Q$2))</f>
        <v>8330.12997803913</v>
      </c>
      <c r="J547" s="15" t="n">
        <f aca="false">I547*(1+IF(J$3&lt;=$O$2,$D547,$D547-($D547-$I$535)*MIN(J$3-$O$2,$Q$2)/$Q$2))</f>
        <v>8933.90040201302</v>
      </c>
      <c r="K547" s="15" t="n">
        <f aca="false">J547*(1+IF(K$3&lt;=$O$2,$D547,$D547-($D547-$I$535)*MIN(K$3-$O$2,$Q$2)/$Q$2))</f>
        <v>9493.92404259611</v>
      </c>
      <c r="L547" s="15" t="n">
        <f aca="false">K547*(1+IF(L$3&lt;=$O$2,$D547,$D547-($D547-$I$535)*MIN(L$3-$O$2,$Q$2)/$Q$2))</f>
        <v>9996.05916863465</v>
      </c>
      <c r="M547" s="15" t="n">
        <f aca="false">L547*(1+IF(M$3&lt;=$O$2,$D547,$D547-($D547-$I$535)*MIN(M$3-$O$2,$Q$2)/$Q$2))</f>
        <v>10426.8401194491</v>
      </c>
      <c r="N547" s="15" t="n">
        <f aca="false">M547*(1+IF(N$3&lt;=$O$2,$D547,$D547-($D547-$I$535)*MIN(N$3-$O$2,$Q$2)/$Q$2))</f>
        <v>10774.0538954267</v>
      </c>
      <c r="O547" s="15" t="n">
        <f aca="false">SUMPRODUCT(E547:N547,1/(1+$F$535)^$E$3:$N$3)*$E$2</f>
        <v>20849.4277008766</v>
      </c>
      <c r="P547" s="15" t="n">
        <f aca="false">N547*$E$2*(1+$I$535)/($F$535-$I$535)/(1+$F$535)^$N$3</f>
        <v>40057.9293500939</v>
      </c>
      <c r="Q547" s="15" t="n">
        <f aca="false">O547+P547</f>
        <v>60907.3570509704</v>
      </c>
      <c r="R547" s="15" t="n">
        <f aca="false">Q547-$G$2+$I$2</f>
        <v>52142.3570509704</v>
      </c>
      <c r="S547" s="40" t="n">
        <f aca="false">R547/$K$2</f>
        <v>93.2812570234542</v>
      </c>
      <c r="T547" s="41" t="n">
        <f aca="false">S547-$M$2</f>
        <v>-0.192570304893906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0.082275390625</v>
      </c>
      <c r="C548" s="25" t="n">
        <f aca="false">IF(T547&gt;0,D547,C547)</f>
        <v>0.0830078125</v>
      </c>
      <c r="D548" s="39" t="n">
        <f aca="false">(B548+C548)/2</f>
        <v>0.0826416015625</v>
      </c>
      <c r="E548" s="15" t="n">
        <f aca="false">$C$2*(1+IF(E$3&lt;=$O$2,$D548,$D548-($D548-$I$535)*MIN(E$3-$O$2,$Q$2)/$Q$2))</f>
        <v>6073.61938476563</v>
      </c>
      <c r="F548" s="15" t="n">
        <f aca="false">E548*(1+IF(F$3&lt;=$O$2,$D548,$D548-($D548-$I$535)*MIN(F$3-$O$2,$Q$2)/$Q$2))</f>
        <v>6575.5530180037</v>
      </c>
      <c r="G548" s="15" t="n">
        <f aca="false">F548*(1+IF(G$3&lt;=$O$2,$D548,$D548-($D548-$I$535)*MIN(G$3-$O$2,$Q$2)/$Q$2))</f>
        <v>7118.96725057066</v>
      </c>
      <c r="H548" s="15" t="n">
        <f aca="false">G548*(1+IF(H$3&lt;=$O$2,$D548,$D548-($D548-$I$535)*MIN(H$3-$O$2,$Q$2)/$Q$2))</f>
        <v>7707.29010562881</v>
      </c>
      <c r="I548" s="15" t="n">
        <f aca="false">H548*(1+IF(I$3&lt;=$O$2,$D548,$D548-($D548-$I$535)*MIN(I$3-$O$2,$Q$2)/$Q$2))</f>
        <v>8344.23290366478</v>
      </c>
      <c r="J548" s="15" t="n">
        <f aca="false">I548*(1+IF(J$3&lt;=$O$2,$D548,$D548-($D548-$I$535)*MIN(J$3-$O$2,$Q$2)/$Q$2))</f>
        <v>8951.47011157868</v>
      </c>
      <c r="K548" s="15" t="n">
        <f aca="false">J548*(1+IF(K$3&lt;=$O$2,$D548,$D548-($D548-$I$535)*MIN(K$3-$O$2,$Q$2)/$Q$2))</f>
        <v>9514.56198928074</v>
      </c>
      <c r="L548" s="15" t="n">
        <f aca="false">K548*(1+IF(L$3&lt;=$O$2,$D548,$D548-($D548-$I$535)*MIN(L$3-$O$2,$Q$2)/$Q$2))</f>
        <v>10019.1823942105</v>
      </c>
      <c r="M548" s="15" t="n">
        <f aca="false">L548*(1+IF(M$3&lt;=$O$2,$D548,$D548-($D548-$I$535)*MIN(M$3-$O$2,$Q$2)/$Q$2))</f>
        <v>10451.6936690731</v>
      </c>
      <c r="N548" s="15" t="n">
        <f aca="false">M548*(1+IF(N$3&lt;=$O$2,$D548,$D548-($D548-$I$535)*MIN(N$3-$O$2,$Q$2)/$Q$2))</f>
        <v>10799.7350682533</v>
      </c>
      <c r="O548" s="15" t="n">
        <f aca="false">SUMPRODUCT(E548:N548,1/(1+$F$535)^$E$3:$N$3)*$E$2</f>
        <v>20882.9622187563</v>
      </c>
      <c r="P548" s="15" t="n">
        <f aca="false">N548*$E$2*(1+$I$535)/($F$535-$I$535)/(1+$F$535)^$N$3</f>
        <v>40153.4119434332</v>
      </c>
      <c r="Q548" s="15" t="n">
        <f aca="false">O548+P548</f>
        <v>61036.3741621895</v>
      </c>
      <c r="R548" s="15" t="n">
        <f aca="false">Q548-$G$2+$I$2</f>
        <v>52271.3741621895</v>
      </c>
      <c r="S548" s="40" t="n">
        <f aca="false">R548/$K$2</f>
        <v>93.5120651225259</v>
      </c>
      <c r="T548" s="41" t="n">
        <f aca="false">S548-$M$2</f>
        <v>0.0382377941777747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0.082275390625</v>
      </c>
      <c r="C549" s="25" t="n">
        <f aca="false">IF(T548&gt;0,D548,C548)</f>
        <v>0.0826416015625</v>
      </c>
      <c r="D549" s="39" t="n">
        <f aca="false">(B549+C549)/2</f>
        <v>0.08245849609375</v>
      </c>
      <c r="E549" s="15" t="n">
        <f aca="false">$C$2*(1+IF(E$3&lt;=$O$2,$D549,$D549-($D549-$I$535)*MIN(E$3-$O$2,$Q$2)/$Q$2))</f>
        <v>6072.59216308594</v>
      </c>
      <c r="F549" s="15" t="n">
        <f aca="false">E549*(1+IF(F$3&lt;=$O$2,$D549,$D549-($D549-$I$535)*MIN(F$3-$O$2,$Q$2)/$Q$2))</f>
        <v>6573.3289802447</v>
      </c>
      <c r="G549" s="15" t="n">
        <f aca="false">F549*(1+IF(G$3&lt;=$O$2,$D549,$D549-($D549-$I$535)*MIN(G$3-$O$2,$Q$2)/$Q$2))</f>
        <v>7115.35580228514</v>
      </c>
      <c r="H549" s="15" t="n">
        <f aca="false">G549*(1+IF(H$3&lt;=$O$2,$D549,$D549-($D549-$I$535)*MIN(H$3-$O$2,$Q$2)/$Q$2))</f>
        <v>7702.07734091351</v>
      </c>
      <c r="I549" s="15" t="n">
        <f aca="false">H549*(1+IF(I$3&lt;=$O$2,$D549,$D549-($D549-$I$535)*MIN(I$3-$O$2,$Q$2)/$Q$2))</f>
        <v>8337.17905524299</v>
      </c>
      <c r="J549" s="15" t="n">
        <f aca="false">I549*(1+IF(J$3&lt;=$O$2,$D549,$D549-($D549-$I$535)*MIN(J$3-$O$2,$Q$2)/$Q$2))</f>
        <v>8942.68166499862</v>
      </c>
      <c r="K549" s="15" t="n">
        <f aca="false">J549*(1+IF(K$3&lt;=$O$2,$D549,$D549-($D549-$I$535)*MIN(K$3-$O$2,$Q$2)/$Q$2))</f>
        <v>9504.23823346097</v>
      </c>
      <c r="L549" s="15" t="n">
        <f aca="false">K549*(1+IF(L$3&lt;=$O$2,$D549,$D549-($D549-$I$535)*MIN(L$3-$O$2,$Q$2)/$Q$2))</f>
        <v>10007.6149898647</v>
      </c>
      <c r="M549" s="15" t="n">
        <f aca="false">L549*(1+IF(M$3&lt;=$O$2,$D549,$D549-($D549-$I$535)*MIN(M$3-$O$2,$Q$2)/$Q$2))</f>
        <v>10439.2604295046</v>
      </c>
      <c r="N549" s="15" t="n">
        <f aca="false">M549*(1+IF(N$3&lt;=$O$2,$D549,$D549-($D549-$I$535)*MIN(N$3-$O$2,$Q$2)/$Q$2))</f>
        <v>10786.8878018071</v>
      </c>
      <c r="O549" s="15" t="n">
        <f aca="false">SUMPRODUCT(E549:N549,1/(1+$F$535)^$E$3:$N$3)*$E$2</f>
        <v>20866.1882525179</v>
      </c>
      <c r="P549" s="15" t="n">
        <f aca="false">N549*$E$2*(1+$I$535)/($F$535-$I$535)/(1+$F$535)^$N$3</f>
        <v>40105.645810403</v>
      </c>
      <c r="Q549" s="15" t="n">
        <f aca="false">O549+P549</f>
        <v>60971.8340629208</v>
      </c>
      <c r="R549" s="15" t="n">
        <f aca="false">Q549-$G$2+$I$2</f>
        <v>52206.8340629208</v>
      </c>
      <c r="S549" s="40" t="n">
        <f aca="false">R549/$K$2</f>
        <v>93.3966046422427</v>
      </c>
      <c r="T549" s="41" t="n">
        <f aca="false">S549-$M$2</f>
        <v>-0.0772226861053582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0.08245849609375</v>
      </c>
      <c r="C550" s="25" t="n">
        <f aca="false">IF(T549&gt;0,D549,C549)</f>
        <v>0.0826416015625</v>
      </c>
      <c r="D550" s="39" t="n">
        <f aca="false">(B550+C550)/2</f>
        <v>0.082550048828125</v>
      </c>
      <c r="E550" s="15" t="n">
        <f aca="false">$C$2*(1+IF(E$3&lt;=$O$2,$D550,$D550-($D550-$I$535)*MIN(E$3-$O$2,$Q$2)/$Q$2))</f>
        <v>6073.10577392578</v>
      </c>
      <c r="F550" s="15" t="n">
        <f aca="false">E550*(1+IF(F$3&lt;=$O$2,$D550,$D550-($D550-$I$535)*MIN(F$3-$O$2,$Q$2)/$Q$2))</f>
        <v>6574.44095210172</v>
      </c>
      <c r="G550" s="15" t="n">
        <f aca="false">F550*(1+IF(G$3&lt;=$O$2,$D550,$D550-($D550-$I$535)*MIN(G$3-$O$2,$Q$2)/$Q$2))</f>
        <v>7117.16137371534</v>
      </c>
      <c r="H550" s="15" t="n">
        <f aca="false">G550*(1+IF(H$3&lt;=$O$2,$D550,$D550-($D550-$I$535)*MIN(H$3-$O$2,$Q$2)/$Q$2))</f>
        <v>7704.68339263319</v>
      </c>
      <c r="I550" s="15" t="n">
        <f aca="false">H550*(1+IF(I$3&lt;=$O$2,$D550,$D550-($D550-$I$535)*MIN(I$3-$O$2,$Q$2)/$Q$2))</f>
        <v>8340.70538290031</v>
      </c>
      <c r="J550" s="15" t="n">
        <f aca="false">I550*(1+IF(J$3&lt;=$O$2,$D550,$D550-($D550-$I$535)*MIN(J$3-$O$2,$Q$2)/$Q$2))</f>
        <v>8947.07499004596</v>
      </c>
      <c r="K550" s="15" t="n">
        <f aca="false">J550*(1+IF(K$3&lt;=$O$2,$D550,$D550-($D550-$I$535)*MIN(K$3-$O$2,$Q$2)/$Q$2))</f>
        <v>9509.39891529169</v>
      </c>
      <c r="L550" s="15" t="n">
        <f aca="false">K550*(1+IF(L$3&lt;=$O$2,$D550,$D550-($D550-$I$535)*MIN(L$3-$O$2,$Q$2)/$Q$2))</f>
        <v>10013.3972435326</v>
      </c>
      <c r="M550" s="15" t="n">
        <f aca="false">L550*(1+IF(M$3&lt;=$O$2,$D550,$D550-($D550-$I$535)*MIN(M$3-$O$2,$Q$2)/$Q$2))</f>
        <v>10445.4754323781</v>
      </c>
      <c r="N550" s="15" t="n">
        <f aca="false">M550*(1+IF(N$3&lt;=$O$2,$D550,$D550-($D550-$I$535)*MIN(N$3-$O$2,$Q$2)/$Q$2))</f>
        <v>10793.3097642763</v>
      </c>
      <c r="O550" s="15" t="n">
        <f aca="false">SUMPRODUCT(E550:N550,1/(1+$F$535)^$E$3:$N$3)*$E$2</f>
        <v>20874.5735581909</v>
      </c>
      <c r="P550" s="15" t="n">
        <f aca="false">N550*$E$2*(1+$I$535)/($F$535-$I$535)/(1+$F$535)^$N$3</f>
        <v>40129.5226650556</v>
      </c>
      <c r="Q550" s="15" t="n">
        <f aca="false">O550+P550</f>
        <v>61004.0962232465</v>
      </c>
      <c r="R550" s="15" t="n">
        <f aca="false">Q550-$G$2+$I$2</f>
        <v>52239.0962232465</v>
      </c>
      <c r="S550" s="40" t="n">
        <f aca="false">R550/$K$2</f>
        <v>93.454320768626</v>
      </c>
      <c r="T550" s="41" t="n">
        <f aca="false">S550-$M$2</f>
        <v>-0.0195065597221031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0.082550048828125</v>
      </c>
      <c r="C551" s="25" t="n">
        <f aca="false">IF(T550&gt;0,D550,C550)</f>
        <v>0.0826416015625</v>
      </c>
      <c r="D551" s="39" t="n">
        <f aca="false">(B551+C551)/2</f>
        <v>0.0825958251953125</v>
      </c>
      <c r="E551" s="15" t="n">
        <f aca="false">$C$2*(1+IF(E$3&lt;=$O$2,$D551,$D551-($D551-$I$535)*MIN(E$3-$O$2,$Q$2)/$Q$2))</f>
        <v>6073.3625793457</v>
      </c>
      <c r="F551" s="15" t="n">
        <f aca="false">E551*(1+IF(F$3&lt;=$O$2,$D551,$D551-($D551-$I$535)*MIN(F$3-$O$2,$Q$2)/$Q$2))</f>
        <v>6574.99697329709</v>
      </c>
      <c r="G551" s="15" t="n">
        <f aca="false">F551*(1+IF(G$3&lt;=$O$2,$D551,$D551-($D551-$I$535)*MIN(G$3-$O$2,$Q$2)/$Q$2))</f>
        <v>7118.06427396325</v>
      </c>
      <c r="H551" s="15" t="n">
        <f aca="false">G551*(1+IF(H$3&lt;=$O$2,$D551,$D551-($D551-$I$535)*MIN(H$3-$O$2,$Q$2)/$Q$2))</f>
        <v>7705.98666646452</v>
      </c>
      <c r="I551" s="15" t="n">
        <f aca="false">H551*(1+IF(I$3&lt;=$O$2,$D551,$D551-($D551-$I$535)*MIN(I$3-$O$2,$Q$2)/$Q$2))</f>
        <v>8342.46899412523</v>
      </c>
      <c r="J551" s="15" t="n">
        <f aca="false">I551*(1+IF(J$3&lt;=$O$2,$D551,$D551-($D551-$I$535)*MIN(J$3-$O$2,$Q$2)/$Q$2))</f>
        <v>8949.27232621497</v>
      </c>
      <c r="K551" s="15" t="n">
        <f aca="false">J551*(1+IF(K$3&lt;=$O$2,$D551,$D551-($D551-$I$535)*MIN(K$3-$O$2,$Q$2)/$Q$2))</f>
        <v>9511.98015320893</v>
      </c>
      <c r="L551" s="15" t="n">
        <f aca="false">K551*(1+IF(L$3&lt;=$O$2,$D551,$D551-($D551-$I$535)*MIN(L$3-$O$2,$Q$2)/$Q$2))</f>
        <v>10016.2894566683</v>
      </c>
      <c r="M551" s="15" t="n">
        <f aca="false">L551*(1+IF(M$3&lt;=$O$2,$D551,$D551-($D551-$I$535)*MIN(M$3-$O$2,$Q$2)/$Q$2))</f>
        <v>10448.5841464077</v>
      </c>
      <c r="N551" s="15" t="n">
        <f aca="false">M551*(1+IF(N$3&lt;=$O$2,$D551,$D551-($D551-$I$535)*MIN(N$3-$O$2,$Q$2)/$Q$2))</f>
        <v>10796.5219984831</v>
      </c>
      <c r="O551" s="15" t="n">
        <f aca="false">SUMPRODUCT(E551:N551,1/(1+$F$535)^$E$3:$N$3)*$E$2</f>
        <v>20878.7674690344</v>
      </c>
      <c r="P551" s="15" t="n">
        <f aca="false">N551*$E$2*(1+$I$535)/($F$535-$I$535)/(1+$F$535)^$N$3</f>
        <v>40141.4657509321</v>
      </c>
      <c r="Q551" s="15" t="n">
        <f aca="false">O551+P551</f>
        <v>61020.2332199665</v>
      </c>
      <c r="R551" s="15" t="n">
        <f aca="false">Q551-$G$2+$I$2</f>
        <v>52255.2332199665</v>
      </c>
      <c r="S551" s="40" t="n">
        <f aca="false">R551/$K$2</f>
        <v>93.4831894163771</v>
      </c>
      <c r="T551" s="41" t="n">
        <f aca="false">S551-$M$2</f>
        <v>0.00936208802905014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0.082550048828125</v>
      </c>
      <c r="C552" s="25" t="n">
        <f aca="false">IF(T551&gt;0,D551,C551)</f>
        <v>0.0825958251953125</v>
      </c>
      <c r="D552" s="39" t="n">
        <f aca="false">(B552+C552)/2</f>
        <v>0.0825729370117188</v>
      </c>
      <c r="E552" s="15" t="n">
        <f aca="false">$C$2*(1+IF(E$3&lt;=$O$2,$D552,$D552-($D552-$I$535)*MIN(E$3-$O$2,$Q$2)/$Q$2))</f>
        <v>6073.23417663574</v>
      </c>
      <c r="F552" s="15" t="n">
        <f aca="false">E552*(1+IF(F$3&lt;=$O$2,$D552,$D552-($D552-$I$535)*MIN(F$3-$O$2,$Q$2)/$Q$2))</f>
        <v>6574.7189597605</v>
      </c>
      <c r="G552" s="15" t="n">
        <f aca="false">F552*(1+IF(G$3&lt;=$O$2,$D552,$D552-($D552-$I$535)*MIN(G$3-$O$2,$Q$2)/$Q$2))</f>
        <v>7117.61281429456</v>
      </c>
      <c r="H552" s="15" t="n">
        <f aca="false">G552*(1+IF(H$3&lt;=$O$2,$D552,$D552-($D552-$I$535)*MIN(H$3-$O$2,$Q$2)/$Q$2))</f>
        <v>7705.33500888311</v>
      </c>
      <c r="I552" s="15" t="n">
        <f aca="false">H552*(1+IF(I$3&lt;=$O$2,$D552,$D552-($D552-$I$535)*MIN(I$3-$O$2,$Q$2)/$Q$2))</f>
        <v>8341.5871512258</v>
      </c>
      <c r="J552" s="15" t="n">
        <f aca="false">I552*(1+IF(J$3&lt;=$O$2,$D552,$D552-($D552-$I$535)*MIN(J$3-$O$2,$Q$2)/$Q$2))</f>
        <v>8948.17360198571</v>
      </c>
      <c r="K552" s="15" t="n">
        <f aca="false">J552*(1+IF(K$3&lt;=$O$2,$D552,$D552-($D552-$I$535)*MIN(K$3-$O$2,$Q$2)/$Q$2))</f>
        <v>9510.68945948818</v>
      </c>
      <c r="L552" s="15" t="n">
        <f aca="false">K552*(1+IF(L$3&lt;=$O$2,$D552,$D552-($D552-$I$535)*MIN(L$3-$O$2,$Q$2)/$Q$2))</f>
        <v>10014.8432595593</v>
      </c>
      <c r="M552" s="15" t="n">
        <f aca="false">L552*(1+IF(M$3&lt;=$O$2,$D552,$D552-($D552-$I$535)*MIN(M$3-$O$2,$Q$2)/$Q$2))</f>
        <v>10447.0296883247</v>
      </c>
      <c r="N552" s="15" t="n">
        <f aca="false">M552*(1+IF(N$3&lt;=$O$2,$D552,$D552-($D552-$I$535)*MIN(N$3-$O$2,$Q$2)/$Q$2))</f>
        <v>10794.9157769459</v>
      </c>
      <c r="O552" s="15" t="n">
        <f aca="false">SUMPRODUCT(E552:N552,1/(1+$F$535)^$E$3:$N$3)*$E$2</f>
        <v>20876.6704087625</v>
      </c>
      <c r="P552" s="15" t="n">
        <f aca="false">N552*$E$2*(1+$I$535)/($F$535-$I$535)/(1+$F$535)^$N$3</f>
        <v>40135.4938197092</v>
      </c>
      <c r="Q552" s="15" t="n">
        <f aca="false">O552+P552</f>
        <v>61012.1642284717</v>
      </c>
      <c r="R552" s="15" t="n">
        <f aca="false">Q552-$G$2+$I$2</f>
        <v>52247.1642284717</v>
      </c>
      <c r="S552" s="40" t="n">
        <f aca="false">R552/$K$2</f>
        <v>93.4687542102968</v>
      </c>
      <c r="T552" s="41" t="n">
        <f aca="false">S552-$M$2</f>
        <v>-0.00507311805132815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0.0825729370117188</v>
      </c>
      <c r="C553" s="25" t="n">
        <f aca="false">IF(T552&gt;0,D552,C552)</f>
        <v>0.0825958251953125</v>
      </c>
      <c r="D553" s="39" t="n">
        <f aca="false">(B553+C553)/2</f>
        <v>0.0825843811035156</v>
      </c>
      <c r="E553" s="15" t="n">
        <f aca="false">$C$2*(1+IF(E$3&lt;=$O$2,$D553,$D553-($D553-$I$535)*MIN(E$3-$O$2,$Q$2)/$Q$2))</f>
        <v>6073.29837799072</v>
      </c>
      <c r="F553" s="15" t="n">
        <f aca="false">E553*(1+IF(F$3&lt;=$O$2,$D553,$D553-($D553-$I$535)*MIN(F$3-$O$2,$Q$2)/$Q$2))</f>
        <v>6574.85796579407</v>
      </c>
      <c r="G553" s="15" t="n">
        <f aca="false">F553*(1+IF(G$3&lt;=$O$2,$D553,$D553-($D553-$I$535)*MIN(G$3-$O$2,$Q$2)/$Q$2))</f>
        <v>7117.8385417427</v>
      </c>
      <c r="H553" s="15" t="n">
        <f aca="false">G553*(1+IF(H$3&lt;=$O$2,$D553,$D553-($D553-$I$535)*MIN(H$3-$O$2,$Q$2)/$Q$2))</f>
        <v>7705.66083250727</v>
      </c>
      <c r="I553" s="15" t="n">
        <f aca="false">H553*(1+IF(I$3&lt;=$O$2,$D553,$D553-($D553-$I$535)*MIN(I$3-$O$2,$Q$2)/$Q$2))</f>
        <v>8342.02806335348</v>
      </c>
      <c r="J553" s="15" t="n">
        <f aca="false">I553*(1+IF(J$3&lt;=$O$2,$D553,$D553-($D553-$I$535)*MIN(J$3-$O$2,$Q$2)/$Q$2))</f>
        <v>8948.72295006358</v>
      </c>
      <c r="K553" s="15" t="n">
        <f aca="false">J553*(1+IF(K$3&lt;=$O$2,$D553,$D553-($D553-$I$535)*MIN(K$3-$O$2,$Q$2)/$Q$2))</f>
        <v>9511.33478765712</v>
      </c>
      <c r="L553" s="15" t="n">
        <f aca="false">K553*(1+IF(L$3&lt;=$O$2,$D553,$D553-($D553-$I$535)*MIN(L$3-$O$2,$Q$2)/$Q$2))</f>
        <v>10015.5663354773</v>
      </c>
      <c r="M553" s="15" t="n">
        <f aca="false">L553*(1+IF(M$3&lt;=$O$2,$D553,$D553-($D553-$I$535)*MIN(M$3-$O$2,$Q$2)/$Q$2))</f>
        <v>10447.8068920977</v>
      </c>
      <c r="N553" s="15" t="n">
        <f aca="false">M553*(1+IF(N$3&lt;=$O$2,$D553,$D553-($D553-$I$535)*MIN(N$3-$O$2,$Q$2)/$Q$2))</f>
        <v>10795.7188616046</v>
      </c>
      <c r="O553" s="15" t="n">
        <f aca="false">SUMPRODUCT(E553:N553,1/(1+$F$535)^$E$3:$N$3)*$E$2</f>
        <v>20877.7189126847</v>
      </c>
      <c r="P553" s="15" t="n">
        <f aca="false">N553*$E$2*(1+$I$535)/($F$535-$I$535)/(1+$F$535)^$N$3</f>
        <v>40138.479688244</v>
      </c>
      <c r="Q553" s="15" t="n">
        <f aca="false">O553+P553</f>
        <v>61016.1986009288</v>
      </c>
      <c r="R553" s="15" t="n">
        <f aca="false">Q553-$G$2+$I$2</f>
        <v>52251.1986009288</v>
      </c>
      <c r="S553" s="40" t="n">
        <f aca="false">R553/$K$2</f>
        <v>93.4759715927739</v>
      </c>
      <c r="T553" s="41" t="n">
        <f aca="false">S553-$M$2</f>
        <v>0.00214426442580873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0.0825729370117188</v>
      </c>
      <c r="C554" s="25" t="n">
        <f aca="false">IF(T553&gt;0,D553,C553)</f>
        <v>0.0825843811035156</v>
      </c>
      <c r="D554" s="39" t="n">
        <f aca="false">(B554+C554)/2</f>
        <v>0.0825786590576172</v>
      </c>
      <c r="E554" s="15" t="n">
        <f aca="false">$C$2*(1+IF(E$3&lt;=$O$2,$D554,$D554-($D554-$I$535)*MIN(E$3-$O$2,$Q$2)/$Q$2))</f>
        <v>6073.26627731323</v>
      </c>
      <c r="F554" s="15" t="n">
        <f aca="false">E554*(1+IF(F$3&lt;=$O$2,$D554,$D554-($D554-$I$535)*MIN(F$3-$O$2,$Q$2)/$Q$2))</f>
        <v>6574.78846259361</v>
      </c>
      <c r="G554" s="15" t="n">
        <f aca="false">F554*(1+IF(G$3&lt;=$O$2,$D554,$D554-($D554-$I$535)*MIN(G$3-$O$2,$Q$2)/$Q$2))</f>
        <v>7117.72567742208</v>
      </c>
      <c r="H554" s="15" t="n">
        <f aca="false">G554*(1+IF(H$3&lt;=$O$2,$D554,$D554-($D554-$I$535)*MIN(H$3-$O$2,$Q$2)/$Q$2))</f>
        <v>7705.49791940356</v>
      </c>
      <c r="I554" s="15" t="n">
        <f aca="false">H554*(1+IF(I$3&lt;=$O$2,$D554,$D554-($D554-$I$535)*MIN(I$3-$O$2,$Q$2)/$Q$2))</f>
        <v>8341.80760495917</v>
      </c>
      <c r="J554" s="15" t="n">
        <f aca="false">I554*(1+IF(J$3&lt;=$O$2,$D554,$D554-($D554-$I$535)*MIN(J$3-$O$2,$Q$2)/$Q$2))</f>
        <v>8948.44827251553</v>
      </c>
      <c r="K554" s="15" t="n">
        <f aca="false">J554*(1+IF(K$3&lt;=$O$2,$D554,$D554-($D554-$I$535)*MIN(K$3-$O$2,$Q$2)/$Q$2))</f>
        <v>9511.0121188999</v>
      </c>
      <c r="L554" s="15" t="n">
        <f aca="false">K554*(1+IF(L$3&lt;=$O$2,$D554,$D554-($D554-$I$535)*MIN(L$3-$O$2,$Q$2)/$Q$2))</f>
        <v>10015.2047918593</v>
      </c>
      <c r="M554" s="15" t="n">
        <f aca="false">L554*(1+IF(M$3&lt;=$O$2,$D554,$D554-($D554-$I$535)*MIN(M$3-$O$2,$Q$2)/$Q$2))</f>
        <v>10447.4182838943</v>
      </c>
      <c r="N554" s="15" t="n">
        <f aca="false">M554*(1+IF(N$3&lt;=$O$2,$D554,$D554-($D554-$I$535)*MIN(N$3-$O$2,$Q$2)/$Q$2))</f>
        <v>10795.317312748</v>
      </c>
      <c r="O554" s="15" t="n">
        <f aca="false">SUMPRODUCT(E554:N554,1/(1+$F$535)^$E$3:$N$3)*$E$2</f>
        <v>20877.1946541703</v>
      </c>
      <c r="P554" s="15" t="n">
        <f aca="false">N554*$E$2*(1+$I$535)/($F$535-$I$535)/(1+$F$535)^$N$3</f>
        <v>40136.9867297081</v>
      </c>
      <c r="Q554" s="15" t="n">
        <f aca="false">O554+P554</f>
        <v>61014.1813838785</v>
      </c>
      <c r="R554" s="15" t="n">
        <f aca="false">Q554-$G$2+$I$2</f>
        <v>52249.1813838785</v>
      </c>
      <c r="S554" s="40" t="n">
        <f aca="false">R554/$K$2</f>
        <v>93.472362846396</v>
      </c>
      <c r="T554" s="41" t="n">
        <f aca="false">S554-$M$2</f>
        <v>-0.0014644819520413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0.0825786590576172</v>
      </c>
      <c r="C555" s="25" t="n">
        <f aca="false">IF(T554&gt;0,D554,C554)</f>
        <v>0.0825843811035156</v>
      </c>
      <c r="D555" s="39" t="n">
        <f aca="false">(B555+C555)/2</f>
        <v>0.0825815200805664</v>
      </c>
      <c r="E555" s="15" t="n">
        <f aca="false">$C$2*(1+IF(E$3&lt;=$O$2,$D555,$D555-($D555-$I$535)*MIN(E$3-$O$2,$Q$2)/$Q$2))</f>
        <v>6073.28232765198</v>
      </c>
      <c r="F555" s="15" t="n">
        <f aca="false">E555*(1+IF(F$3&lt;=$O$2,$D555,$D555-($D555-$I$535)*MIN(F$3-$O$2,$Q$2)/$Q$2))</f>
        <v>6574.82321414792</v>
      </c>
      <c r="G555" s="15" t="n">
        <f aca="false">F555*(1+IF(G$3&lt;=$O$2,$D555,$D555-($D555-$I$535)*MIN(G$3-$O$2,$Q$2)/$Q$2))</f>
        <v>7117.78210943325</v>
      </c>
      <c r="H555" s="15" t="n">
        <f aca="false">G555*(1+IF(H$3&lt;=$O$2,$D555,$D555-($D555-$I$535)*MIN(H$3-$O$2,$Q$2)/$Q$2))</f>
        <v>7705.57937563251</v>
      </c>
      <c r="I555" s="15" t="n">
        <f aca="false">H555*(1+IF(I$3&lt;=$O$2,$D555,$D555-($D555-$I$535)*MIN(I$3-$O$2,$Q$2)/$Q$2))</f>
        <v>8341.9178335737</v>
      </c>
      <c r="J555" s="15" t="n">
        <f aca="false">I555*(1+IF(J$3&lt;=$O$2,$D555,$D555-($D555-$I$535)*MIN(J$3-$O$2,$Q$2)/$Q$2))</f>
        <v>8948.58561041226</v>
      </c>
      <c r="K555" s="15" t="n">
        <f aca="false">J555*(1+IF(K$3&lt;=$O$2,$D555,$D555-($D555-$I$535)*MIN(K$3-$O$2,$Q$2)/$Q$2))</f>
        <v>9511.17345211031</v>
      </c>
      <c r="L555" s="15" t="n">
        <f aca="false">K555*(1+IF(L$3&lt;=$O$2,$D555,$D555-($D555-$I$535)*MIN(L$3-$O$2,$Q$2)/$Q$2))</f>
        <v>10015.3855622536</v>
      </c>
      <c r="M555" s="15" t="n">
        <f aca="false">L555*(1+IF(M$3&lt;=$O$2,$D555,$D555-($D555-$I$535)*MIN(M$3-$O$2,$Q$2)/$Q$2))</f>
        <v>10447.6125864168</v>
      </c>
      <c r="N555" s="15" t="n">
        <f aca="false">M555*(1+IF(N$3&lt;=$O$2,$D555,$D555-($D555-$I$535)*MIN(N$3-$O$2,$Q$2)/$Q$2))</f>
        <v>10795.5180855444</v>
      </c>
      <c r="O555" s="15" t="n">
        <f aca="false">SUMPRODUCT(E555:N555,1/(1+$F$535)^$E$3:$N$3)*$E$2</f>
        <v>20877.4567817892</v>
      </c>
      <c r="P555" s="15" t="n">
        <f aca="false">N555*$E$2*(1+$I$535)/($F$535-$I$535)/(1+$F$535)^$N$3</f>
        <v>40137.7332029089</v>
      </c>
      <c r="Q555" s="15" t="n">
        <f aca="false">O555+P555</f>
        <v>61015.1899846981</v>
      </c>
      <c r="R555" s="15" t="n">
        <f aca="false">Q555-$G$2+$I$2</f>
        <v>52250.1899846981</v>
      </c>
      <c r="S555" s="40" t="n">
        <f aca="false">R555/$K$2</f>
        <v>93.4741672058</v>
      </c>
      <c r="T555" s="41" t="n">
        <f aca="false">S555-$M$2</f>
        <v>0.000339877451892789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0.0825786590576172</v>
      </c>
      <c r="C556" s="25" t="n">
        <f aca="false">IF(T555&gt;0,D555,C555)</f>
        <v>0.0825815200805664</v>
      </c>
      <c r="D556" s="39" t="n">
        <f aca="false">(B556+C556)/2</f>
        <v>0.0825800895690918</v>
      </c>
      <c r="E556" s="15" t="n">
        <f aca="false">$C$2*(1+IF(E$3&lt;=$O$2,$D556,$D556-($D556-$I$535)*MIN(E$3-$O$2,$Q$2)/$Q$2))</f>
        <v>6073.27430248261</v>
      </c>
      <c r="F556" s="15" t="n">
        <f aca="false">E556*(1+IF(F$3&lt;=$O$2,$D556,$D556-($D556-$I$535)*MIN(F$3-$O$2,$Q$2)/$Q$2))</f>
        <v>6574.80583835928</v>
      </c>
      <c r="G556" s="15" t="n">
        <f aca="false">F556*(1+IF(G$3&lt;=$O$2,$D556,$D556-($D556-$I$535)*MIN(G$3-$O$2,$Q$2)/$Q$2))</f>
        <v>7117.75389339038</v>
      </c>
      <c r="H556" s="15" t="n">
        <f aca="false">G556*(1+IF(H$3&lt;=$O$2,$D556,$D556-($D556-$I$535)*MIN(H$3-$O$2,$Q$2)/$Q$2))</f>
        <v>7705.53864743731</v>
      </c>
      <c r="I556" s="15" t="n">
        <f aca="false">H556*(1+IF(I$3&lt;=$O$2,$D556,$D556-($D556-$I$535)*MIN(I$3-$O$2,$Q$2)/$Q$2))</f>
        <v>8341.86271912078</v>
      </c>
      <c r="J556" s="15" t="n">
        <f aca="false">I556*(1+IF(J$3&lt;=$O$2,$D556,$D556-($D556-$I$535)*MIN(J$3-$O$2,$Q$2)/$Q$2))</f>
        <v>8948.51694124457</v>
      </c>
      <c r="K556" s="15" t="n">
        <f aca="false">J556*(1+IF(K$3&lt;=$O$2,$D556,$D556-($D556-$I$535)*MIN(K$3-$O$2,$Q$2)/$Q$2))</f>
        <v>9511.09278521306</v>
      </c>
      <c r="L556" s="15" t="n">
        <f aca="false">K556*(1+IF(L$3&lt;=$O$2,$D556,$D556-($D556-$I$535)*MIN(L$3-$O$2,$Q$2)/$Q$2))</f>
        <v>10015.2951767028</v>
      </c>
      <c r="M556" s="15" t="n">
        <f aca="false">L556*(1+IF(M$3&lt;=$O$2,$D556,$D556-($D556-$I$535)*MIN(M$3-$O$2,$Q$2)/$Q$2))</f>
        <v>10447.5154347607</v>
      </c>
      <c r="N556" s="15" t="n">
        <f aca="false">M556*(1+IF(N$3&lt;=$O$2,$D556,$D556-($D556-$I$535)*MIN(N$3-$O$2,$Q$2)/$Q$2))</f>
        <v>10795.4176987382</v>
      </c>
      <c r="O556" s="15" t="n">
        <f aca="false">SUMPRODUCT(E556:N556,1/(1+$F$535)^$E$3:$N$3)*$E$2</f>
        <v>20877.3257175702</v>
      </c>
      <c r="P556" s="15" t="n">
        <f aca="false">N556*$E$2*(1+$I$535)/($F$535-$I$535)/(1+$F$535)^$N$3</f>
        <v>40137.3599647917</v>
      </c>
      <c r="Q556" s="15" t="n">
        <f aca="false">O556+P556</f>
        <v>61014.6856823619</v>
      </c>
      <c r="R556" s="15" t="n">
        <f aca="false">Q556-$G$2+$I$2</f>
        <v>52249.6856823619</v>
      </c>
      <c r="S556" s="40" t="n">
        <f aca="false">R556/$K$2</f>
        <v>93.4732650226517</v>
      </c>
      <c r="T556" s="41" t="n">
        <f aca="false">S556-$M$2</f>
        <v>-0.00056230569633442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0.0825800895690918</v>
      </c>
      <c r="C557" s="25" t="n">
        <f aca="false">IF(T556&gt;0,D556,C556)</f>
        <v>0.0825815200805664</v>
      </c>
      <c r="D557" s="39" t="n">
        <f aca="false">(B557+C557)/2</f>
        <v>0.0825808048248291</v>
      </c>
      <c r="E557" s="15" t="n">
        <f aca="false">$C$2*(1+IF(E$3&lt;=$O$2,$D557,$D557-($D557-$I$535)*MIN(E$3-$O$2,$Q$2)/$Q$2))</f>
        <v>6073.27831506729</v>
      </c>
      <c r="F557" s="15" t="n">
        <f aca="false">E557*(1+IF(F$3&lt;=$O$2,$D557,$D557-($D557-$I$535)*MIN(F$3-$O$2,$Q$2)/$Q$2))</f>
        <v>6574.81452625073</v>
      </c>
      <c r="G557" s="15" t="n">
        <f aca="false">F557*(1+IF(G$3&lt;=$O$2,$D557,$D557-($D557-$I$535)*MIN(G$3-$O$2,$Q$2)/$Q$2))</f>
        <v>7117.76800140249</v>
      </c>
      <c r="H557" s="15" t="n">
        <f aca="false">G557*(1+IF(H$3&lt;=$O$2,$D557,$D557-($D557-$I$535)*MIN(H$3-$O$2,$Q$2)/$Q$2))</f>
        <v>7705.55901151473</v>
      </c>
      <c r="I557" s="15" t="n">
        <f aca="false">H557*(1+IF(I$3&lt;=$O$2,$D557,$D557-($D557-$I$535)*MIN(I$3-$O$2,$Q$2)/$Q$2))</f>
        <v>8341.89027631083</v>
      </c>
      <c r="J557" s="15" t="n">
        <f aca="false">I557*(1+IF(J$3&lt;=$O$2,$D557,$D557-($D557-$I$535)*MIN(J$3-$O$2,$Q$2)/$Q$2))</f>
        <v>8948.55127577359</v>
      </c>
      <c r="K557" s="15" t="n">
        <f aca="false">J557*(1+IF(K$3&lt;=$O$2,$D557,$D557-($D557-$I$535)*MIN(K$3-$O$2,$Q$2)/$Q$2))</f>
        <v>9511.13311858867</v>
      </c>
      <c r="L557" s="15" t="n">
        <f aca="false">K557*(1+IF(L$3&lt;=$O$2,$D557,$D557-($D557-$I$535)*MIN(L$3-$O$2,$Q$2)/$Q$2))</f>
        <v>10015.3403693897</v>
      </c>
      <c r="M557" s="15" t="n">
        <f aca="false">L557*(1+IF(M$3&lt;=$O$2,$D557,$D557-($D557-$I$535)*MIN(M$3-$O$2,$Q$2)/$Q$2))</f>
        <v>10447.56401049</v>
      </c>
      <c r="N557" s="15" t="n">
        <f aca="false">M557*(1+IF(N$3&lt;=$O$2,$D557,$D557-($D557-$I$535)*MIN(N$3-$O$2,$Q$2)/$Q$2))</f>
        <v>10795.4678920394</v>
      </c>
      <c r="O557" s="15" t="n">
        <f aca="false">SUMPRODUCT(E557:N557,1/(1+$F$535)^$E$3:$N$3)*$E$2</f>
        <v>20877.3912495773</v>
      </c>
      <c r="P557" s="15" t="n">
        <f aca="false">N557*$E$2*(1+$I$535)/($F$535-$I$535)/(1+$F$535)^$N$3</f>
        <v>40137.5465834711</v>
      </c>
      <c r="Q557" s="15" t="n">
        <f aca="false">O557+P557</f>
        <v>61014.9378330484</v>
      </c>
      <c r="R557" s="15" t="n">
        <f aca="false">Q557-$G$2+$I$2</f>
        <v>52249.9378330484</v>
      </c>
      <c r="S557" s="40" t="n">
        <f aca="false">R557/$K$2</f>
        <v>93.4737161133643</v>
      </c>
      <c r="T557" s="41" t="n">
        <f aca="false">S557-$M$2</f>
        <v>-0.000111214983789409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0.0825808048248291</v>
      </c>
      <c r="C558" s="25" t="n">
        <f aca="false">IF(T557&gt;0,D557,C557)</f>
        <v>0.0825815200805664</v>
      </c>
      <c r="D558" s="39" t="n">
        <f aca="false">(B558+C558)/2</f>
        <v>0.0825811624526978</v>
      </c>
      <c r="E558" s="15" t="n">
        <f aca="false">$C$2*(1+IF(E$3&lt;=$O$2,$D558,$D558-($D558-$I$535)*MIN(E$3-$O$2,$Q$2)/$Q$2))</f>
        <v>6073.28032135963</v>
      </c>
      <c r="F558" s="15" t="n">
        <f aca="false">E558*(1+IF(F$3&lt;=$O$2,$D558,$D558-($D558-$I$535)*MIN(F$3-$O$2,$Q$2)/$Q$2))</f>
        <v>6574.81887019861</v>
      </c>
      <c r="G558" s="15" t="n">
        <f aca="false">F558*(1+IF(G$3&lt;=$O$2,$D558,$D558-($D558-$I$535)*MIN(G$3-$O$2,$Q$2)/$Q$2))</f>
        <v>7117.77505541554</v>
      </c>
      <c r="H558" s="15" t="n">
        <f aca="false">G558*(1+IF(H$3&lt;=$O$2,$D558,$D558-($D558-$I$535)*MIN(H$3-$O$2,$Q$2)/$Q$2))</f>
        <v>7705.56919356857</v>
      </c>
      <c r="I558" s="15" t="n">
        <f aca="false">H558*(1+IF(I$3&lt;=$O$2,$D558,$D558-($D558-$I$535)*MIN(I$3-$O$2,$Q$2)/$Q$2))</f>
        <v>8341.90405493316</v>
      </c>
      <c r="J558" s="15" t="n">
        <f aca="false">I558*(1+IF(J$3&lt;=$O$2,$D558,$D558-($D558-$I$535)*MIN(J$3-$O$2,$Q$2)/$Q$2))</f>
        <v>8948.56844307922</v>
      </c>
      <c r="K558" s="15" t="n">
        <f aca="false">J558*(1+IF(K$3&lt;=$O$2,$D558,$D558-($D558-$I$535)*MIN(K$3-$O$2,$Q$2)/$Q$2))</f>
        <v>9511.15328533124</v>
      </c>
      <c r="L558" s="15" t="n">
        <f aca="false">K558*(1+IF(L$3&lt;=$O$2,$D558,$D558-($D558-$I$535)*MIN(L$3-$O$2,$Q$2)/$Q$2))</f>
        <v>10015.3629657995</v>
      </c>
      <c r="M558" s="15" t="n">
        <f aca="false">L558*(1+IF(M$3&lt;=$O$2,$D558,$D558-($D558-$I$535)*MIN(M$3-$O$2,$Q$2)/$Q$2))</f>
        <v>10447.5882984287</v>
      </c>
      <c r="N558" s="15" t="n">
        <f aca="false">M558*(1+IF(N$3&lt;=$O$2,$D558,$D558-($D558-$I$535)*MIN(N$3-$O$2,$Q$2)/$Q$2))</f>
        <v>10795.4929887664</v>
      </c>
      <c r="O558" s="15" t="n">
        <f aca="false">SUMPRODUCT(E558:N558,1/(1+$F$535)^$E$3:$N$3)*$E$2</f>
        <v>20877.4240156576</v>
      </c>
      <c r="P558" s="15" t="n">
        <f aca="false">N558*$E$2*(1+$I$535)/($F$535-$I$535)/(1+$F$535)^$N$3</f>
        <v>40137.6398930952</v>
      </c>
      <c r="Q558" s="15" t="n">
        <f aca="false">O558+P558</f>
        <v>61015.0639087528</v>
      </c>
      <c r="R558" s="15" t="n">
        <f aca="false">Q558-$G$2+$I$2</f>
        <v>52250.0639087528</v>
      </c>
      <c r="S558" s="40" t="n">
        <f aca="false">R558/$K$2</f>
        <v>93.4739416593667</v>
      </c>
      <c r="T558" s="41" t="n">
        <f aca="false">S558-$M$2</f>
        <v>0.000114331018608027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0.0825808048248291</v>
      </c>
      <c r="C559" s="25" t="n">
        <f aca="false">IF(T558&gt;0,D558,C558)</f>
        <v>0.0825811624526978</v>
      </c>
      <c r="D559" s="39" t="n">
        <f aca="false">(B559+C559)/2</f>
        <v>0.0825809836387634</v>
      </c>
      <c r="E559" s="15" t="n">
        <f aca="false">$C$2*(1+IF(E$3&lt;=$O$2,$D559,$D559-($D559-$I$535)*MIN(E$3-$O$2,$Q$2)/$Q$2))</f>
        <v>6073.27931821346</v>
      </c>
      <c r="F559" s="15" t="n">
        <f aca="false">E559*(1+IF(F$3&lt;=$O$2,$D559,$D559-($D559-$I$535)*MIN(F$3-$O$2,$Q$2)/$Q$2))</f>
        <v>6574.81669822449</v>
      </c>
      <c r="G559" s="15" t="n">
        <f aca="false">F559*(1+IF(G$3&lt;=$O$2,$D559,$D559-($D559-$I$535)*MIN(G$3-$O$2,$Q$2)/$Q$2))</f>
        <v>7117.77152840843</v>
      </c>
      <c r="H559" s="15" t="n">
        <f aca="false">G559*(1+IF(H$3&lt;=$O$2,$D559,$D559-($D559-$I$535)*MIN(H$3-$O$2,$Q$2)/$Q$2))</f>
        <v>7705.56410254039</v>
      </c>
      <c r="I559" s="15" t="n">
        <f aca="false">H559*(1+IF(I$3&lt;=$O$2,$D559,$D559-($D559-$I$535)*MIN(I$3-$O$2,$Q$2)/$Q$2))</f>
        <v>8341.89716561972</v>
      </c>
      <c r="J559" s="15" t="n">
        <f aca="false">I559*(1+IF(J$3&lt;=$O$2,$D559,$D559-($D559-$I$535)*MIN(J$3-$O$2,$Q$2)/$Q$2))</f>
        <v>8948.55985942298</v>
      </c>
      <c r="K559" s="15" t="n">
        <f aca="false">J559*(1+IF(K$3&lt;=$O$2,$D559,$D559-($D559-$I$535)*MIN(K$3-$O$2,$Q$2)/$Q$2))</f>
        <v>9511.14320195539</v>
      </c>
      <c r="L559" s="15" t="n">
        <f aca="false">K559*(1+IF(L$3&lt;=$O$2,$D559,$D559-($D559-$I$535)*MIN(L$3-$O$2,$Q$2)/$Q$2))</f>
        <v>10015.3516675891</v>
      </c>
      <c r="M559" s="15" t="n">
        <f aca="false">L559*(1+IF(M$3&lt;=$O$2,$D559,$D559-($D559-$I$535)*MIN(M$3-$O$2,$Q$2)/$Q$2))</f>
        <v>10447.5761544532</v>
      </c>
      <c r="N559" s="15" t="n">
        <f aca="false">M559*(1+IF(N$3&lt;=$O$2,$D559,$D559-($D559-$I$535)*MIN(N$3-$O$2,$Q$2)/$Q$2))</f>
        <v>10795.4804403965</v>
      </c>
      <c r="O559" s="15" t="n">
        <f aca="false">SUMPRODUCT(E559:N559,1/(1+$F$535)^$E$3:$N$3)*$E$2</f>
        <v>20877.4076326111</v>
      </c>
      <c r="P559" s="15" t="n">
        <f aca="false">N559*$E$2*(1+$I$535)/($F$535-$I$535)/(1+$F$535)^$N$3</f>
        <v>40137.5932382594</v>
      </c>
      <c r="Q559" s="15" t="n">
        <f aca="false">O559+P559</f>
        <v>61015.0008708705</v>
      </c>
      <c r="R559" s="15" t="n">
        <f aca="false">Q559-$G$2+$I$2</f>
        <v>52250.0008708705</v>
      </c>
      <c r="S559" s="40" t="n">
        <f aca="false">R559/$K$2</f>
        <v>93.4738288863117</v>
      </c>
      <c r="T559" s="41" t="n">
        <f aca="false">S559-$M$2</f>
        <v>1.55796357148574E-006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0.0825808048248291</v>
      </c>
      <c r="C560" s="25" t="n">
        <f aca="false">IF(T559&gt;0,D559,C559)</f>
        <v>0.0825809836387634</v>
      </c>
      <c r="D560" s="39" t="n">
        <f aca="false">(B560+C560)/2</f>
        <v>0.0825808942317963</v>
      </c>
      <c r="E560" s="15" t="n">
        <f aca="false">$C$2*(1+IF(E$3&lt;=$O$2,$D560,$D560-($D560-$I$535)*MIN(E$3-$O$2,$Q$2)/$Q$2))</f>
        <v>6073.27881664038</v>
      </c>
      <c r="F560" s="15" t="n">
        <f aca="false">E560*(1+IF(F$3&lt;=$O$2,$D560,$D560-($D560-$I$535)*MIN(F$3-$O$2,$Q$2)/$Q$2))</f>
        <v>6574.81561223757</v>
      </c>
      <c r="G560" s="15" t="n">
        <f aca="false">F560*(1+IF(G$3&lt;=$O$2,$D560,$D560-($D560-$I$535)*MIN(G$3-$O$2,$Q$2)/$Q$2))</f>
        <v>7117.76976490532</v>
      </c>
      <c r="H560" s="15" t="n">
        <f aca="false">G560*(1+IF(H$3&lt;=$O$2,$D560,$D560-($D560-$I$535)*MIN(H$3-$O$2,$Q$2)/$Q$2))</f>
        <v>7705.56155702724</v>
      </c>
      <c r="I560" s="15" t="n">
        <f aca="false">H560*(1+IF(I$3&lt;=$O$2,$D560,$D560-($D560-$I$535)*MIN(I$3-$O$2,$Q$2)/$Q$2))</f>
        <v>8341.8937209647</v>
      </c>
      <c r="J560" s="15" t="n">
        <f aca="false">I560*(1+IF(J$3&lt;=$O$2,$D560,$D560-($D560-$I$535)*MIN(J$3-$O$2,$Q$2)/$Q$2))</f>
        <v>8948.55556759743</v>
      </c>
      <c r="K560" s="15" t="n">
        <f aca="false">J560*(1+IF(K$3&lt;=$O$2,$D560,$D560-($D560-$I$535)*MIN(K$3-$O$2,$Q$2)/$Q$2))</f>
        <v>9511.13816027089</v>
      </c>
      <c r="L560" s="15" t="n">
        <f aca="false">K560*(1+IF(L$3&lt;=$O$2,$D560,$D560-($D560-$I$535)*MIN(L$3-$O$2,$Q$2)/$Q$2))</f>
        <v>10015.346018488</v>
      </c>
      <c r="M560" s="15" t="n">
        <f aca="false">L560*(1+IF(M$3&lt;=$O$2,$D560,$D560-($D560-$I$535)*MIN(M$3-$O$2,$Q$2)/$Q$2))</f>
        <v>10447.5700824701</v>
      </c>
      <c r="N560" s="15" t="n">
        <f aca="false">M560*(1+IF(N$3&lt;=$O$2,$D560,$D560-($D560-$I$535)*MIN(N$3-$O$2,$Q$2)/$Q$2))</f>
        <v>10795.4741662163</v>
      </c>
      <c r="O560" s="15" t="n">
        <f aca="false">SUMPRODUCT(E560:N560,1/(1+$F$535)^$E$3:$N$3)*$E$2</f>
        <v>20877.3994410926</v>
      </c>
      <c r="P560" s="15" t="n">
        <f aca="false">N560*$E$2*(1+$I$535)/($F$535-$I$535)/(1+$F$535)^$N$3</f>
        <v>40137.5699108594</v>
      </c>
      <c r="Q560" s="15" t="n">
        <f aca="false">O560+P560</f>
        <v>61014.9693519519</v>
      </c>
      <c r="R560" s="15" t="n">
        <f aca="false">Q560-$G$2+$I$2</f>
        <v>52249.9693519519</v>
      </c>
      <c r="S560" s="40" t="n">
        <f aca="false">R560/$K$2</f>
        <v>93.4737724998245</v>
      </c>
      <c r="T560" s="41" t="n">
        <f aca="false">S560-$M$2</f>
        <v>-5.4828523545325E-005</v>
      </c>
    </row>
    <row r="562" customFormat="false" ht="15" hidden="false" customHeight="false" outlineLevel="0" collapsed="false">
      <c r="A562" s="36" t="s">
        <v>206</v>
      </c>
      <c r="E562" s="5" t="s">
        <v>11</v>
      </c>
      <c r="F562" s="12" t="n">
        <f aca="false">Sensitivity!$B$13</f>
        <v>0.0817360315529091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6" t="s">
        <v>167</v>
      </c>
      <c r="B563" s="28" t="s">
        <v>168</v>
      </c>
      <c r="C563" s="28" t="s">
        <v>169</v>
      </c>
      <c r="D563" s="28" t="s">
        <v>170</v>
      </c>
      <c r="E563" s="28" t="s">
        <v>171</v>
      </c>
      <c r="F563" s="28" t="s">
        <v>172</v>
      </c>
      <c r="G563" s="28" t="s">
        <v>173</v>
      </c>
      <c r="H563" s="28" t="s">
        <v>174</v>
      </c>
      <c r="I563" s="28" t="s">
        <v>175</v>
      </c>
      <c r="J563" s="28" t="s">
        <v>176</v>
      </c>
      <c r="K563" s="28" t="s">
        <v>177</v>
      </c>
      <c r="L563" s="28" t="s">
        <v>178</v>
      </c>
      <c r="M563" s="28" t="s">
        <v>179</v>
      </c>
      <c r="N563" s="28" t="s">
        <v>180</v>
      </c>
      <c r="O563" s="28" t="s">
        <v>181</v>
      </c>
      <c r="P563" s="28" t="s">
        <v>182</v>
      </c>
      <c r="Q563" s="28" t="s">
        <v>183</v>
      </c>
      <c r="R563" s="28" t="s">
        <v>184</v>
      </c>
      <c r="S563" s="28" t="s">
        <v>185</v>
      </c>
      <c r="T563" s="28" t="s">
        <v>186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39" t="n">
        <f aca="false">(B564+C564)/2</f>
        <v>0.25</v>
      </c>
      <c r="E564" s="15" t="n">
        <f aca="false">$C$2*(1+IF(E$3&lt;=$O$2,$D564,$D564-($D564-$I$562)*MIN(E$3-$O$2,$Q$2)/$Q$2))</f>
        <v>7012.5</v>
      </c>
      <c r="F564" s="15" t="n">
        <f aca="false">E564*(1+IF(F$3&lt;=$O$2,$D564,$D564-($D564-$I$562)*MIN(F$3-$O$2,$Q$2)/$Q$2))</f>
        <v>8765.625</v>
      </c>
      <c r="G564" s="15" t="n">
        <f aca="false">F564*(1+IF(G$3&lt;=$O$2,$D564,$D564-($D564-$I$562)*MIN(G$3-$O$2,$Q$2)/$Q$2))</f>
        <v>10957.03125</v>
      </c>
      <c r="H564" s="15" t="n">
        <f aca="false">G564*(1+IF(H$3&lt;=$O$2,$D564,$D564-($D564-$I$562)*MIN(H$3-$O$2,$Q$2)/$Q$2))</f>
        <v>13696.2890625</v>
      </c>
      <c r="I564" s="15" t="n">
        <f aca="false">H564*(1+IF(I$3&lt;=$O$2,$D564,$D564-($D564-$I$562)*MIN(I$3-$O$2,$Q$2)/$Q$2))</f>
        <v>17120.361328125</v>
      </c>
      <c r="J564" s="15" t="n">
        <f aca="false">I564*(1+IF(J$3&lt;=$O$2,$D564,$D564-($D564-$I$562)*MIN(J$3-$O$2,$Q$2)/$Q$2))</f>
        <v>20675.5755615234</v>
      </c>
      <c r="K564" s="15" t="n">
        <f aca="false">J564*(1+IF(K$3&lt;=$O$2,$D564,$D564-($D564-$I$562)*MIN(K$3-$O$2,$Q$2)/$Q$2))</f>
        <v>24093.6617133545</v>
      </c>
      <c r="L564" s="15" t="n">
        <f aca="false">K564*(1+IF(L$3&lt;=$O$2,$D564,$D564-($D564-$I$562)*MIN(L$3-$O$2,$Q$2)/$Q$2))</f>
        <v>27056.7002308628</v>
      </c>
      <c r="M564" s="15" t="n">
        <f aca="false">L564*(1+IF(M$3&lt;=$O$2,$D564,$D564-($D564-$I$562)*MIN(M$3-$O$2,$Q$2)/$Q$2))</f>
        <v>29238.5525374796</v>
      </c>
      <c r="N564" s="15" t="n">
        <f aca="false">M564*(1+IF(N$3&lt;=$O$2,$D564,$D564-($D564-$I$562)*MIN(N$3-$O$2,$Q$2)/$Q$2))</f>
        <v>30358.3890996651</v>
      </c>
      <c r="O564" s="15" t="n">
        <f aca="false">SUMPRODUCT(E564:N564,1/(1+$F$562)^$E$3:$N$3)*$E$2</f>
        <v>43466.7624873157</v>
      </c>
      <c r="P564" s="15" t="n">
        <f aca="false">N564*$E$2*(1+$I$562)/($F$562-$I$562)/(1+$F$562)^$N$3</f>
        <v>126474.483249932</v>
      </c>
      <c r="Q564" s="15" t="n">
        <f aca="false">O564+P564</f>
        <v>169941.245737247</v>
      </c>
      <c r="R564" s="15" t="n">
        <f aca="false">Q564-$G$2+$I$2</f>
        <v>161176.245737247</v>
      </c>
      <c r="S564" s="40" t="n">
        <f aca="false">R564/$K$2</f>
        <v>288.339915090428</v>
      </c>
      <c r="T564" s="41" t="n">
        <f aca="false">S564-$M$2</f>
        <v>194.86608776208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39" t="n">
        <f aca="false">(B565+C565)/2</f>
        <v>-0.125</v>
      </c>
      <c r="E565" s="15" t="n">
        <f aca="false">$C$2*(1+IF(E$3&lt;=$O$2,$D565,$D565-($D565-$I$562)*MIN(E$3-$O$2,$Q$2)/$Q$2))</f>
        <v>4908.75</v>
      </c>
      <c r="F565" s="15" t="n">
        <f aca="false">E565*(1+IF(F$3&lt;=$O$2,$D565,$D565-($D565-$I$562)*MIN(F$3-$O$2,$Q$2)/$Q$2))</f>
        <v>4295.15625</v>
      </c>
      <c r="G565" s="15" t="n">
        <f aca="false">F565*(1+IF(G$3&lt;=$O$2,$D565,$D565-($D565-$I$562)*MIN(G$3-$O$2,$Q$2)/$Q$2))</f>
        <v>3758.26171875</v>
      </c>
      <c r="H565" s="15" t="n">
        <f aca="false">G565*(1+IF(H$3&lt;=$O$2,$D565,$D565-($D565-$I$562)*MIN(H$3-$O$2,$Q$2)/$Q$2))</f>
        <v>3288.47900390625</v>
      </c>
      <c r="I565" s="15" t="n">
        <f aca="false">H565*(1+IF(I$3&lt;=$O$2,$D565,$D565-($D565-$I$562)*MIN(I$3-$O$2,$Q$2)/$Q$2))</f>
        <v>2877.41912841797</v>
      </c>
      <c r="J565" s="15" t="n">
        <f aca="false">I565*(1+IF(J$3&lt;=$O$2,$D565,$D565-($D565-$I$562)*MIN(J$3-$O$2,$Q$2)/$Q$2))</f>
        <v>2611.71824609985</v>
      </c>
      <c r="K565" s="15" t="n">
        <f aca="false">J565*(1+IF(K$3&lt;=$O$2,$D565,$D565-($D565-$I$562)*MIN(K$3-$O$2,$Q$2)/$Q$2))</f>
        <v>2455.85090117261</v>
      </c>
      <c r="L565" s="15" t="n">
        <f aca="false">K565*(1+IF(L$3&lt;=$O$2,$D565,$D565-($D565-$I$562)*MIN(L$3-$O$2,$Q$2)/$Q$2))</f>
        <v>2389.49380982293</v>
      </c>
      <c r="M565" s="15" t="n">
        <f aca="false">L565*(1+IF(M$3&lt;=$O$2,$D565,$D565-($D565-$I$562)*MIN(M$3-$O$2,$Q$2)/$Q$2))</f>
        <v>2402.97055491033</v>
      </c>
      <c r="N565" s="15" t="n">
        <f aca="false">M565*(1+IF(N$3&lt;=$O$2,$D565,$D565-($D565-$I$562)*MIN(N$3-$O$2,$Q$2)/$Q$2))</f>
        <v>2495.0043271634</v>
      </c>
      <c r="O565" s="15" t="n">
        <f aca="false">SUMPRODUCT(E565:N565,1/(1+$F$562)^$E$3:$N$3)*$E$2</f>
        <v>8475.00552841508</v>
      </c>
      <c r="P565" s="15" t="n">
        <f aca="false">N565*$E$2*(1+$I$562)/($F$562-$I$562)/(1+$F$562)^$N$3</f>
        <v>10394.3059016862</v>
      </c>
      <c r="Q565" s="15" t="n">
        <f aca="false">O565+P565</f>
        <v>18869.3114301013</v>
      </c>
      <c r="R565" s="15" t="n">
        <f aca="false">Q565-$G$2+$I$2</f>
        <v>10104.3114301013</v>
      </c>
      <c r="S565" s="40" t="n">
        <f aca="false">R565/$K$2</f>
        <v>18.0763380265864</v>
      </c>
      <c r="T565" s="41" t="n">
        <f aca="false">S565-$M$2</f>
        <v>-75.3974893017617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39" t="n">
        <f aca="false">(B566+C566)/2</f>
        <v>0.0625</v>
      </c>
      <c r="E566" s="15" t="n">
        <f aca="false">$C$2*(1+IF(E$3&lt;=$O$2,$D566,$D566-($D566-$I$562)*MIN(E$3-$O$2,$Q$2)/$Q$2))</f>
        <v>5960.625</v>
      </c>
      <c r="F566" s="15" t="n">
        <f aca="false">E566*(1+IF(F$3&lt;=$O$2,$D566,$D566-($D566-$I$562)*MIN(F$3-$O$2,$Q$2)/$Q$2))</f>
        <v>6333.1640625</v>
      </c>
      <c r="G566" s="15" t="n">
        <f aca="false">F566*(1+IF(G$3&lt;=$O$2,$D566,$D566-($D566-$I$562)*MIN(G$3-$O$2,$Q$2)/$Q$2))</f>
        <v>6728.98681640625</v>
      </c>
      <c r="H566" s="15" t="n">
        <f aca="false">G566*(1+IF(H$3&lt;=$O$2,$D566,$D566-($D566-$I$562)*MIN(H$3-$O$2,$Q$2)/$Q$2))</f>
        <v>7149.54849243164</v>
      </c>
      <c r="I566" s="15" t="n">
        <f aca="false">H566*(1+IF(I$3&lt;=$O$2,$D566,$D566-($D566-$I$562)*MIN(I$3-$O$2,$Q$2)/$Q$2))</f>
        <v>7596.39527320862</v>
      </c>
      <c r="J566" s="15" t="n">
        <f aca="false">I566*(1+IF(J$3&lt;=$O$2,$D566,$D566-($D566-$I$562)*MIN(J$3-$O$2,$Q$2)/$Q$2))</f>
        <v>8034.40342466183</v>
      </c>
      <c r="K566" s="15" t="n">
        <f aca="false">J566*(1+IF(K$3&lt;=$O$2,$D566,$D566-($D566-$I$562)*MIN(K$3-$O$2,$Q$2)/$Q$2))</f>
        <v>8458.78061355247</v>
      </c>
      <c r="L566" s="15" t="n">
        <f aca="false">K566*(1+IF(L$3&lt;=$O$2,$D566,$D566-($D566-$I$562)*MIN(L$3-$O$2,$Q$2)/$Q$2))</f>
        <v>8864.63290739071</v>
      </c>
      <c r="M566" s="15" t="n">
        <f aca="false">L566*(1+IF(M$3&lt;=$O$2,$D566,$D566-($D566-$I$562)*MIN(M$3-$O$2,$Q$2)/$Q$2))</f>
        <v>9247.05317101555</v>
      </c>
      <c r="N566" s="15" t="n">
        <f aca="false">M566*(1+IF(N$3&lt;=$O$2,$D566,$D566-($D566-$I$562)*MIN(N$3-$O$2,$Q$2)/$Q$2))</f>
        <v>9601.21530746544</v>
      </c>
      <c r="O566" s="15" t="n">
        <f aca="false">SUMPRODUCT(E566:N566,1/(1+$F$562)^$E$3:$N$3)*$E$2</f>
        <v>19174.0322239733</v>
      </c>
      <c r="P566" s="15" t="n">
        <f aca="false">N566*$E$2*(1+$I$562)/($F$562-$I$562)/(1+$F$562)^$N$3</f>
        <v>39999.1165735609</v>
      </c>
      <c r="Q566" s="15" t="n">
        <f aca="false">O566+P566</f>
        <v>59173.1487975343</v>
      </c>
      <c r="R566" s="15" t="n">
        <f aca="false">Q566-$G$2+$I$2</f>
        <v>50408.1487975343</v>
      </c>
      <c r="S566" s="40" t="n">
        <f aca="false">R566/$K$2</f>
        <v>90.1788056773664</v>
      </c>
      <c r="T566" s="41" t="n">
        <f aca="false">S566-$M$2</f>
        <v>-3.2950216509817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0.0625</v>
      </c>
      <c r="C567" s="25" t="n">
        <f aca="false">IF(T566&gt;0,D566,C566)</f>
        <v>0.25</v>
      </c>
      <c r="D567" s="39" t="n">
        <f aca="false">(B567+C567)/2</f>
        <v>0.15625</v>
      </c>
      <c r="E567" s="15" t="n">
        <f aca="false">$C$2*(1+IF(E$3&lt;=$O$2,$D567,$D567-($D567-$I$562)*MIN(E$3-$O$2,$Q$2)/$Q$2))</f>
        <v>6486.5625</v>
      </c>
      <c r="F567" s="15" t="n">
        <f aca="false">E567*(1+IF(F$3&lt;=$O$2,$D567,$D567-($D567-$I$562)*MIN(F$3-$O$2,$Q$2)/$Q$2))</f>
        <v>7500.087890625</v>
      </c>
      <c r="G567" s="15" t="n">
        <f aca="false">F567*(1+IF(G$3&lt;=$O$2,$D567,$D567-($D567-$I$562)*MIN(G$3-$O$2,$Q$2)/$Q$2))</f>
        <v>8671.97662353516</v>
      </c>
      <c r="H567" s="15" t="n">
        <f aca="false">G567*(1+IF(H$3&lt;=$O$2,$D567,$D567-($D567-$I$562)*MIN(H$3-$O$2,$Q$2)/$Q$2))</f>
        <v>10026.9729709625</v>
      </c>
      <c r="I567" s="15" t="n">
        <f aca="false">H567*(1+IF(I$3&lt;=$O$2,$D567,$D567-($D567-$I$562)*MIN(I$3-$O$2,$Q$2)/$Q$2))</f>
        <v>11593.6874976754</v>
      </c>
      <c r="J567" s="15" t="n">
        <f aca="false">I567*(1+IF(J$3&lt;=$O$2,$D567,$D567-($D567-$I$562)*MIN(J$3-$O$2,$Q$2)/$Q$2))</f>
        <v>13131.706081117</v>
      </c>
      <c r="K567" s="15" t="n">
        <f aca="false">J567*(1+IF(K$3&lt;=$O$2,$D567,$D567-($D567-$I$562)*MIN(K$3-$O$2,$Q$2)/$Q$2))</f>
        <v>14563.9812633845</v>
      </c>
      <c r="L567" s="15" t="n">
        <f aca="false">K567*(1+IF(L$3&lt;=$O$2,$D567,$D567-($D567-$I$562)*MIN(L$3-$O$2,$Q$2)/$Q$2))</f>
        <v>15808.9103817786</v>
      </c>
      <c r="M567" s="15" t="n">
        <f aca="false">L567*(1+IF(M$3&lt;=$O$2,$D567,$D567-($D567-$I$562)*MIN(M$3-$O$2,$Q$2)/$Q$2))</f>
        <v>16787.3238453069</v>
      </c>
      <c r="N567" s="15" t="n">
        <f aca="false">M567*(1+IF(N$3&lt;=$O$2,$D567,$D567-($D567-$I$562)*MIN(N$3-$O$2,$Q$2)/$Q$2))</f>
        <v>17430.2783485821</v>
      </c>
      <c r="O567" s="15" t="n">
        <f aca="false">SUMPRODUCT(E567:N567,1/(1+$F$562)^$E$3:$N$3)*$E$2</f>
        <v>28928.932812589</v>
      </c>
      <c r="P567" s="15" t="n">
        <f aca="false">N567*$E$2*(1+$I$562)/($F$562-$I$562)/(1+$F$562)^$N$3</f>
        <v>72615.3630814263</v>
      </c>
      <c r="Q567" s="15" t="n">
        <f aca="false">O567+P567</f>
        <v>101544.295894015</v>
      </c>
      <c r="R567" s="15" t="n">
        <f aca="false">Q567-$G$2+$I$2</f>
        <v>92779.2958940153</v>
      </c>
      <c r="S567" s="40" t="n">
        <f aca="false">R567/$K$2</f>
        <v>165.979634144362</v>
      </c>
      <c r="T567" s="41" t="n">
        <f aca="false">S567-$M$2</f>
        <v>72.5058068160136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0.0625</v>
      </c>
      <c r="C568" s="25" t="n">
        <f aca="false">IF(T567&gt;0,D567,C567)</f>
        <v>0.15625</v>
      </c>
      <c r="D568" s="39" t="n">
        <f aca="false">(B568+C568)/2</f>
        <v>0.109375</v>
      </c>
      <c r="E568" s="15" t="n">
        <f aca="false">$C$2*(1+IF(E$3&lt;=$O$2,$D568,$D568-($D568-$I$562)*MIN(E$3-$O$2,$Q$2)/$Q$2))</f>
        <v>6223.59375</v>
      </c>
      <c r="F568" s="15" t="n">
        <f aca="false">E568*(1+IF(F$3&lt;=$O$2,$D568,$D568-($D568-$I$562)*MIN(F$3-$O$2,$Q$2)/$Q$2))</f>
        <v>6904.29931640625</v>
      </c>
      <c r="G568" s="15" t="n">
        <f aca="false">F568*(1+IF(G$3&lt;=$O$2,$D568,$D568-($D568-$I$562)*MIN(G$3-$O$2,$Q$2)/$Q$2))</f>
        <v>7659.45705413818</v>
      </c>
      <c r="H568" s="15" t="n">
        <f aca="false">G568*(1+IF(H$3&lt;=$O$2,$D568,$D568-($D568-$I$562)*MIN(H$3-$O$2,$Q$2)/$Q$2))</f>
        <v>8497.21016943455</v>
      </c>
      <c r="I568" s="15" t="n">
        <f aca="false">H568*(1+IF(I$3&lt;=$O$2,$D568,$D568-($D568-$I$562)*MIN(I$3-$O$2,$Q$2)/$Q$2))</f>
        <v>9426.59253171645</v>
      </c>
      <c r="J568" s="15" t="n">
        <f aca="false">I568*(1+IF(J$3&lt;=$O$2,$D568,$D568-($D568-$I$562)*MIN(J$3-$O$2,$Q$2)/$Q$2))</f>
        <v>10323.6270770346</v>
      </c>
      <c r="K568" s="15" t="n">
        <f aca="false">J568*(1+IF(K$3&lt;=$O$2,$D568,$D568-($D568-$I$562)*MIN(K$3-$O$2,$Q$2)/$Q$2))</f>
        <v>11159.2730707852</v>
      </c>
      <c r="L568" s="15" t="n">
        <f aca="false">K568*(1+IF(L$3&lt;=$O$2,$D568,$D568-($D568-$I$562)*MIN(L$3-$O$2,$Q$2)/$Q$2))</f>
        <v>11903.9313627986</v>
      </c>
      <c r="M568" s="15" t="n">
        <f aca="false">L568*(1+IF(M$3&lt;=$O$2,$D568,$D568-($D568-$I$562)*MIN(M$3-$O$2,$Q$2)/$Q$2))</f>
        <v>12529.066318316</v>
      </c>
      <c r="N568" s="15" t="n">
        <f aca="false">M568*(1+IF(N$3&lt;=$O$2,$D568,$D568-($D568-$I$562)*MIN(N$3-$O$2,$Q$2)/$Q$2))</f>
        <v>13008.9295583075</v>
      </c>
      <c r="O568" s="15" t="n">
        <f aca="false">SUMPRODUCT(E568:N568,1/(1+$F$562)^$E$3:$N$3)*$E$2</f>
        <v>23557.9435484365</v>
      </c>
      <c r="P568" s="15" t="n">
        <f aca="false">N568*$E$2*(1+$I$562)/($F$562-$I$562)/(1+$F$562)^$N$3</f>
        <v>54195.8151376305</v>
      </c>
      <c r="Q568" s="15" t="n">
        <f aca="false">O568+P568</f>
        <v>77753.758686067</v>
      </c>
      <c r="R568" s="15" t="n">
        <f aca="false">Q568-$G$2+$I$2</f>
        <v>68988.758686067</v>
      </c>
      <c r="S568" s="40" t="n">
        <f aca="false">R568/$K$2</f>
        <v>123.419010852029</v>
      </c>
      <c r="T568" s="41" t="n">
        <f aca="false">S568-$M$2</f>
        <v>29.9451835236806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0.0625</v>
      </c>
      <c r="C569" s="25" t="n">
        <f aca="false">IF(T568&gt;0,D568,C568)</f>
        <v>0.109375</v>
      </c>
      <c r="D569" s="39" t="n">
        <f aca="false">(B569+C569)/2</f>
        <v>0.0859375</v>
      </c>
      <c r="E569" s="15" t="n">
        <f aca="false">$C$2*(1+IF(E$3&lt;=$O$2,$D569,$D569-($D569-$I$562)*MIN(E$3-$O$2,$Q$2)/$Q$2))</f>
        <v>6092.109375</v>
      </c>
      <c r="F569" s="15" t="n">
        <f aca="false">E569*(1+IF(F$3&lt;=$O$2,$D569,$D569-($D569-$I$562)*MIN(F$3-$O$2,$Q$2)/$Q$2))</f>
        <v>6615.65002441406</v>
      </c>
      <c r="G569" s="15" t="n">
        <f aca="false">F569*(1+IF(G$3&lt;=$O$2,$D569,$D569-($D569-$I$562)*MIN(G$3-$O$2,$Q$2)/$Q$2))</f>
        <v>7184.18244838715</v>
      </c>
      <c r="H569" s="15" t="n">
        <f aca="false">G569*(1+IF(H$3&lt;=$O$2,$D569,$D569-($D569-$I$562)*MIN(H$3-$O$2,$Q$2)/$Q$2))</f>
        <v>7801.57312754542</v>
      </c>
      <c r="I569" s="15" t="n">
        <f aca="false">H569*(1+IF(I$3&lt;=$O$2,$D569,$D569-($D569-$I$562)*MIN(I$3-$O$2,$Q$2)/$Q$2))</f>
        <v>8472.02081819385</v>
      </c>
      <c r="J569" s="15" t="n">
        <f aca="false">I569*(1+IF(J$3&lt;=$O$2,$D569,$D569-($D569-$I$562)*MIN(J$3-$O$2,$Q$2)/$Q$2))</f>
        <v>9119.36792891204</v>
      </c>
      <c r="K569" s="15" t="n">
        <f aca="false">J569*(1+IF(K$3&lt;=$O$2,$D569,$D569-($D569-$I$562)*MIN(K$3-$O$2,$Q$2)/$Q$2))</f>
        <v>9729.2940544175</v>
      </c>
      <c r="L569" s="15" t="n">
        <f aca="false">K569*(1+IF(L$3&lt;=$O$2,$D569,$D569-($D569-$I$562)*MIN(L$3-$O$2,$Q$2)/$Q$2))</f>
        <v>10287.3177149086</v>
      </c>
      <c r="M569" s="15" t="n">
        <f aca="false">L569*(1+IF(M$3&lt;=$O$2,$D569,$D569-($D569-$I$562)*MIN(M$3-$O$2,$Q$2)/$Q$2))</f>
        <v>10779.3344029184</v>
      </c>
      <c r="N569" s="15" t="n">
        <f aca="false">M569*(1+IF(N$3&lt;=$O$2,$D569,$D569-($D569-$I$562)*MIN(N$3-$O$2,$Q$2)/$Q$2))</f>
        <v>11192.1829105502</v>
      </c>
      <c r="O569" s="15" t="n">
        <f aca="false">SUMPRODUCT(E569:N569,1/(1+$F$562)^$E$3:$N$3)*$E$2</f>
        <v>21253.8993214776</v>
      </c>
      <c r="P569" s="15" t="n">
        <f aca="false">N569*$E$2*(1+$I$562)/($F$562-$I$562)/(1+$F$562)^$N$3</f>
        <v>46627.1627721567</v>
      </c>
      <c r="Q569" s="15" t="n">
        <f aca="false">O569+P569</f>
        <v>67881.0620936343</v>
      </c>
      <c r="R569" s="15" t="n">
        <f aca="false">Q569-$G$2+$I$2</f>
        <v>59116.0620936343</v>
      </c>
      <c r="S569" s="40" t="n">
        <f aca="false">R569/$K$2</f>
        <v>105.757025463584</v>
      </c>
      <c r="T569" s="41" t="n">
        <f aca="false">S569-$M$2</f>
        <v>12.2831981352361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0.0625</v>
      </c>
      <c r="C570" s="25" t="n">
        <f aca="false">IF(T569&gt;0,D569,C569)</f>
        <v>0.0859375</v>
      </c>
      <c r="D570" s="39" t="n">
        <f aca="false">(B570+C570)/2</f>
        <v>0.07421875</v>
      </c>
      <c r="E570" s="15" t="n">
        <f aca="false">$C$2*(1+IF(E$3&lt;=$O$2,$D570,$D570-($D570-$I$562)*MIN(E$3-$O$2,$Q$2)/$Q$2))</f>
        <v>6026.3671875</v>
      </c>
      <c r="F570" s="15" t="n">
        <f aca="false">E570*(1+IF(F$3&lt;=$O$2,$D570,$D570-($D570-$I$562)*MIN(F$3-$O$2,$Q$2)/$Q$2))</f>
        <v>6473.63662719727</v>
      </c>
      <c r="G570" s="15" t="n">
        <f aca="false">F570*(1+IF(G$3&lt;=$O$2,$D570,$D570-($D570-$I$562)*MIN(G$3-$O$2,$Q$2)/$Q$2))</f>
        <v>6954.10184562206</v>
      </c>
      <c r="H570" s="15" t="n">
        <f aca="false">G570*(1+IF(H$3&lt;=$O$2,$D570,$D570-($D570-$I$562)*MIN(H$3-$O$2,$Q$2)/$Q$2))</f>
        <v>7470.22659197683</v>
      </c>
      <c r="I570" s="15" t="n">
        <f aca="false">H570*(1+IF(I$3&lt;=$O$2,$D570,$D570-($D570-$I$562)*MIN(I$3-$O$2,$Q$2)/$Q$2))</f>
        <v>8024.65747185011</v>
      </c>
      <c r="J570" s="15" t="n">
        <f aca="false">I570*(1+IF(J$3&lt;=$O$2,$D570,$D570-($D570-$I$562)*MIN(J$3-$O$2,$Q$2)/$Q$2))</f>
        <v>8562.59038547558</v>
      </c>
      <c r="K570" s="15" t="n">
        <f aca="false">J570*(1+IF(K$3&lt;=$O$2,$D570,$D570-($D570-$I$562)*MIN(K$3-$O$2,$Q$2)/$Q$2))</f>
        <v>9075.07212328427</v>
      </c>
      <c r="L570" s="15" t="n">
        <f aca="false">K570*(1+IF(L$3&lt;=$O$2,$D570,$D570-($D570-$I$562)*MIN(L$3-$O$2,$Q$2)/$Q$2))</f>
        <v>9553.03348433735</v>
      </c>
      <c r="M570" s="15" t="n">
        <f aca="false">L570*(1+IF(M$3&lt;=$O$2,$D570,$D570-($D570-$I$562)*MIN(M$3-$O$2,$Q$2)/$Q$2))</f>
        <v>9987.54127108057</v>
      </c>
      <c r="N570" s="15" t="n">
        <f aca="false">M570*(1+IF(N$3&lt;=$O$2,$D570,$D570-($D570-$I$562)*MIN(N$3-$O$2,$Q$2)/$Q$2))</f>
        <v>10370.064101763</v>
      </c>
      <c r="O570" s="15" t="n">
        <f aca="false">SUMPRODUCT(E570:N570,1/(1+$F$562)^$E$3:$N$3)*$E$2</f>
        <v>20187.2571021324</v>
      </c>
      <c r="P570" s="15" t="n">
        <f aca="false">N570*$E$2*(1+$I$562)/($F$562-$I$562)/(1+$F$562)^$N$3</f>
        <v>43202.1769743246</v>
      </c>
      <c r="Q570" s="15" t="n">
        <f aca="false">O570+P570</f>
        <v>63389.434076457</v>
      </c>
      <c r="R570" s="15" t="n">
        <f aca="false">Q570-$G$2+$I$2</f>
        <v>54624.434076457</v>
      </c>
      <c r="S570" s="40" t="n">
        <f aca="false">R570/$K$2</f>
        <v>97.7216252396453</v>
      </c>
      <c r="T570" s="41" t="n">
        <f aca="false">S570-$M$2</f>
        <v>4.24779791129726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0.0625</v>
      </c>
      <c r="C571" s="25" t="n">
        <f aca="false">IF(T570&gt;0,D570,C570)</f>
        <v>0.07421875</v>
      </c>
      <c r="D571" s="39" t="n">
        <f aca="false">(B571+C571)/2</f>
        <v>0.068359375</v>
      </c>
      <c r="E571" s="15" t="n">
        <f aca="false">$C$2*(1+IF(E$3&lt;=$O$2,$D571,$D571-($D571-$I$562)*MIN(E$3-$O$2,$Q$2)/$Q$2))</f>
        <v>5993.49609375</v>
      </c>
      <c r="F571" s="15" t="n">
        <f aca="false">E571*(1+IF(F$3&lt;=$O$2,$D571,$D571-($D571-$I$562)*MIN(F$3-$O$2,$Q$2)/$Q$2))</f>
        <v>6403.20774078369</v>
      </c>
      <c r="G571" s="15" t="n">
        <f aca="false">F571*(1+IF(G$3&lt;=$O$2,$D571,$D571-($D571-$I$562)*MIN(G$3-$O$2,$Q$2)/$Q$2))</f>
        <v>6840.92701993883</v>
      </c>
      <c r="H571" s="15" t="n">
        <f aca="false">G571*(1+IF(H$3&lt;=$O$2,$D571,$D571-($D571-$I$562)*MIN(H$3-$O$2,$Q$2)/$Q$2))</f>
        <v>7308.56851544246</v>
      </c>
      <c r="I571" s="15" t="n">
        <f aca="false">H571*(1+IF(I$3&lt;=$O$2,$D571,$D571-($D571-$I$562)*MIN(I$3-$O$2,$Q$2)/$Q$2))</f>
        <v>7808.17769130278</v>
      </c>
      <c r="J571" s="15" t="n">
        <f aca="false">I571*(1+IF(J$3&lt;=$O$2,$D571,$D571-($D571-$I$562)*MIN(J$3-$O$2,$Q$2)/$Q$2))</f>
        <v>8294.99804991128</v>
      </c>
      <c r="K571" s="15" t="n">
        <f aca="false">J571*(1+IF(K$3&lt;=$O$2,$D571,$D571-($D571-$I$562)*MIN(K$3-$O$2,$Q$2)/$Q$2))</f>
        <v>8762.30194942682</v>
      </c>
      <c r="L571" s="15" t="n">
        <f aca="false">K571*(1+IF(L$3&lt;=$O$2,$D571,$D571-($D571-$I$562)*MIN(L$3-$O$2,$Q$2)/$Q$2))</f>
        <v>9203.25384215428</v>
      </c>
      <c r="M571" s="15" t="n">
        <f aca="false">L571*(1+IF(M$3&lt;=$O$2,$D571,$D571-($D571-$I$562)*MIN(M$3-$O$2,$Q$2)/$Q$2))</f>
        <v>9611.06727600109</v>
      </c>
      <c r="N571" s="15" t="n">
        <f aca="false">M571*(1+IF(N$3&lt;=$O$2,$D571,$D571-($D571-$I$562)*MIN(N$3-$O$2,$Q$2)/$Q$2))</f>
        <v>9979.17115267194</v>
      </c>
      <c r="O571" s="15" t="n">
        <f aca="false">SUMPRODUCT(E571:N571,1/(1+$F$562)^$E$3:$N$3)*$E$2</f>
        <v>19674.1258261547</v>
      </c>
      <c r="P571" s="15" t="n">
        <f aca="false">N571*$E$2*(1+$I$562)/($F$562-$I$562)/(1+$F$562)^$N$3</f>
        <v>41573.6984809491</v>
      </c>
      <c r="Q571" s="15" t="n">
        <f aca="false">O571+P571</f>
        <v>61247.8243071038</v>
      </c>
      <c r="R571" s="15" t="n">
        <f aca="false">Q571-$G$2+$I$2</f>
        <v>52482.8243071038</v>
      </c>
      <c r="S571" s="40" t="n">
        <f aca="false">R571/$K$2</f>
        <v>93.890343674378</v>
      </c>
      <c r="T571" s="41" t="n">
        <f aca="false">S571-$M$2</f>
        <v>0.41651634602988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0.0625</v>
      </c>
      <c r="C572" s="25" t="n">
        <f aca="false">IF(T571&gt;0,D571,C571)</f>
        <v>0.068359375</v>
      </c>
      <c r="D572" s="39" t="n">
        <f aca="false">(B572+C572)/2</f>
        <v>0.0654296875</v>
      </c>
      <c r="E572" s="15" t="n">
        <f aca="false">$C$2*(1+IF(E$3&lt;=$O$2,$D572,$D572-($D572-$I$562)*MIN(E$3-$O$2,$Q$2)/$Q$2))</f>
        <v>5977.060546875</v>
      </c>
      <c r="F572" s="15" t="n">
        <f aca="false">E572*(1+IF(F$3&lt;=$O$2,$D572,$D572-($D572-$I$562)*MIN(F$3-$O$2,$Q$2)/$Q$2))</f>
        <v>6368.13775062561</v>
      </c>
      <c r="G572" s="15" t="n">
        <f aca="false">F572*(1+IF(G$3&lt;=$O$2,$D572,$D572-($D572-$I$562)*MIN(G$3-$O$2,$Q$2)/$Q$2))</f>
        <v>6784.803013606</v>
      </c>
      <c r="H572" s="15" t="n">
        <f aca="false">G572*(1+IF(H$3&lt;=$O$2,$D572,$D572-($D572-$I$562)*MIN(H$3-$O$2,$Q$2)/$Q$2))</f>
        <v>7228.7305545353</v>
      </c>
      <c r="I572" s="15" t="n">
        <f aca="false">H572*(1+IF(I$3&lt;=$O$2,$D572,$D572-($D572-$I$562)*MIN(I$3-$O$2,$Q$2)/$Q$2))</f>
        <v>7701.70413574024</v>
      </c>
      <c r="J572" s="15" t="n">
        <f aca="false">I572*(1+IF(J$3&lt;=$O$2,$D572,$D572-($D572-$I$562)*MIN(J$3-$O$2,$Q$2)/$Q$2))</f>
        <v>8163.83526527517</v>
      </c>
      <c r="K572" s="15" t="n">
        <f aca="false">J572*(1+IF(K$3&lt;=$O$2,$D572,$D572-($D572-$I$562)*MIN(K$3-$O$2,$Q$2)/$Q$2))</f>
        <v>8609.39953566424</v>
      </c>
      <c r="L572" s="15" t="n">
        <f aca="false">K572*(1+IF(L$3&lt;=$O$2,$D572,$D572-($D572-$I$562)*MIN(L$3-$O$2,$Q$2)/$Q$2))</f>
        <v>9032.56766546627</v>
      </c>
      <c r="M572" s="15" t="n">
        <f aca="false">L572*(1+IF(M$3&lt;=$O$2,$D572,$D572-($D572-$I$562)*MIN(M$3-$O$2,$Q$2)/$Q$2))</f>
        <v>9427.52515467097</v>
      </c>
      <c r="N572" s="15" t="n">
        <f aca="false">M572*(1+IF(N$3&lt;=$O$2,$D572,$D572-($D572-$I$562)*MIN(N$3-$O$2,$Q$2)/$Q$2))</f>
        <v>9788.59936809487</v>
      </c>
      <c r="O572" s="15" t="n">
        <f aca="false">SUMPRODUCT(E572:N572,1/(1+$F$562)^$E$3:$N$3)*$E$2</f>
        <v>19422.4687506191</v>
      </c>
      <c r="P572" s="15" t="n">
        <f aca="false">N572*$E$2*(1+$I$562)/($F$562-$I$562)/(1+$F$562)^$N$3</f>
        <v>40779.7674229712</v>
      </c>
      <c r="Q572" s="15" t="n">
        <f aca="false">O572+P572</f>
        <v>60202.2361735903</v>
      </c>
      <c r="R572" s="15" t="n">
        <f aca="false">Q572-$G$2+$I$2</f>
        <v>51437.2361735903</v>
      </c>
      <c r="S572" s="40" t="n">
        <f aca="false">R572/$K$2</f>
        <v>92.0198149729692</v>
      </c>
      <c r="T572" s="41" t="n">
        <f aca="false">S572-$M$2</f>
        <v>-1.45401235537886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0.0654296875</v>
      </c>
      <c r="C573" s="25" t="n">
        <f aca="false">IF(T572&gt;0,D572,C572)</f>
        <v>0.068359375</v>
      </c>
      <c r="D573" s="39" t="n">
        <f aca="false">(B573+C573)/2</f>
        <v>0.06689453125</v>
      </c>
      <c r="E573" s="15" t="n">
        <f aca="false">$C$2*(1+IF(E$3&lt;=$O$2,$D573,$D573-($D573-$I$562)*MIN(E$3-$O$2,$Q$2)/$Q$2))</f>
        <v>5985.2783203125</v>
      </c>
      <c r="F573" s="15" t="n">
        <f aca="false">E573*(1+IF(F$3&lt;=$O$2,$D573,$D573-($D573-$I$562)*MIN(F$3-$O$2,$Q$2)/$Q$2))</f>
        <v>6385.66070795059</v>
      </c>
      <c r="G573" s="15" t="n">
        <f aca="false">F573*(1+IF(G$3&lt;=$O$2,$D573,$D573-($D573-$I$562)*MIN(G$3-$O$2,$Q$2)/$Q$2))</f>
        <v>6812.82648773049</v>
      </c>
      <c r="H573" s="15" t="n">
        <f aca="false">G573*(1+IF(H$3&lt;=$O$2,$D573,$D573-($D573-$I$562)*MIN(H$3-$O$2,$Q$2)/$Q$2))</f>
        <v>7268.56732211481</v>
      </c>
      <c r="I573" s="15" t="n">
        <f aca="false">H573*(1+IF(I$3&lt;=$O$2,$D573,$D573-($D573-$I$562)*MIN(I$3-$O$2,$Q$2)/$Q$2))</f>
        <v>7754.79472598674</v>
      </c>
      <c r="J573" s="15" t="n">
        <f aca="false">I573*(1+IF(J$3&lt;=$O$2,$D573,$D573-($D573-$I$562)*MIN(J$3-$O$2,$Q$2)/$Q$2))</f>
        <v>8229.19914009569</v>
      </c>
      <c r="K573" s="15" t="n">
        <f aca="false">J573*(1+IF(K$3&lt;=$O$2,$D573,$D573-($D573-$I$562)*MIN(K$3-$O$2,$Q$2)/$Q$2))</f>
        <v>8685.56352234571</v>
      </c>
      <c r="L573" s="15" t="n">
        <f aca="false">K573*(1+IF(L$3&lt;=$O$2,$D573,$D573-($D573-$I$562)*MIN(L$3-$O$2,$Q$2)/$Q$2))</f>
        <v>9117.56445227698</v>
      </c>
      <c r="M573" s="15" t="n">
        <f aca="false">L573*(1+IF(M$3&lt;=$O$2,$D573,$D573-($D573-$I$562)*MIN(M$3-$O$2,$Q$2)/$Q$2))</f>
        <v>9518.9096671301</v>
      </c>
      <c r="N573" s="15" t="n">
        <f aca="false">M573*(1+IF(N$3&lt;=$O$2,$D573,$D573-($D573-$I$562)*MIN(N$3-$O$2,$Q$2)/$Q$2))</f>
        <v>9883.48390738118</v>
      </c>
      <c r="O573" s="15" t="n">
        <f aca="false">SUMPRODUCT(E573:N573,1/(1+$F$562)^$E$3:$N$3)*$E$2</f>
        <v>19547.8923061701</v>
      </c>
      <c r="P573" s="15" t="n">
        <f aca="false">N573*$E$2*(1+$I$562)/($F$562-$I$562)/(1+$F$562)^$N$3</f>
        <v>41175.0608963912</v>
      </c>
      <c r="Q573" s="15" t="n">
        <f aca="false">O573+P573</f>
        <v>60722.9532025614</v>
      </c>
      <c r="R573" s="15" t="n">
        <f aca="false">Q573-$G$2+$I$2</f>
        <v>51957.9532025614</v>
      </c>
      <c r="S573" s="40" t="n">
        <f aca="false">R573/$K$2</f>
        <v>92.9513635596289</v>
      </c>
      <c r="T573" s="41" t="n">
        <f aca="false">S573-$M$2</f>
        <v>-0.522463768719149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0.06689453125</v>
      </c>
      <c r="C574" s="25" t="n">
        <f aca="false">IF(T573&gt;0,D573,C573)</f>
        <v>0.068359375</v>
      </c>
      <c r="D574" s="39" t="n">
        <f aca="false">(B574+C574)/2</f>
        <v>0.067626953125</v>
      </c>
      <c r="E574" s="15" t="n">
        <f aca="false">$C$2*(1+IF(E$3&lt;=$O$2,$D574,$D574-($D574-$I$562)*MIN(E$3-$O$2,$Q$2)/$Q$2))</f>
        <v>5989.38720703125</v>
      </c>
      <c r="F574" s="15" t="n">
        <f aca="false">E574*(1+IF(F$3&lt;=$O$2,$D574,$D574-($D574-$I$562)*MIN(F$3-$O$2,$Q$2)/$Q$2))</f>
        <v>6394.43121492863</v>
      </c>
      <c r="G574" s="15" t="n">
        <f aca="false">F574*(1+IF(G$3&lt;=$O$2,$D574,$D574-($D574-$I$562)*MIN(G$3-$O$2,$Q$2)/$Q$2))</f>
        <v>6826.86711496164</v>
      </c>
      <c r="H574" s="15" t="n">
        <f aca="false">G574*(1+IF(H$3&lt;=$O$2,$D574,$D574-($D574-$I$562)*MIN(H$3-$O$2,$Q$2)/$Q$2))</f>
        <v>7288.54733733576</v>
      </c>
      <c r="I574" s="15" t="n">
        <f aca="false">H574*(1+IF(I$3&lt;=$O$2,$D574,$D574-($D574-$I$562)*MIN(I$3-$O$2,$Q$2)/$Q$2))</f>
        <v>7781.44958646711</v>
      </c>
      <c r="J574" s="15" t="n">
        <f aca="false">I574*(1+IF(J$3&lt;=$O$2,$D574,$D574-($D574-$I$562)*MIN(J$3-$O$2,$Q$2)/$Q$2))</f>
        <v>8262.0440714423</v>
      </c>
      <c r="K574" s="15" t="n">
        <f aca="false">J574*(1+IF(K$3&lt;=$O$2,$D574,$D574-($D574-$I$562)*MIN(K$3-$O$2,$Q$2)/$Q$2))</f>
        <v>8723.86070689846</v>
      </c>
      <c r="L574" s="15" t="n">
        <f aca="false">K574*(1+IF(L$3&lt;=$O$2,$D574,$D574-($D574-$I$562)*MIN(L$3-$O$2,$Q$2)/$Q$2))</f>
        <v>9160.32227358077</v>
      </c>
      <c r="M574" s="15" t="n">
        <f aca="false">L574*(1+IF(M$3&lt;=$O$2,$D574,$D574-($D574-$I$562)*MIN(M$3-$O$2,$Q$2)/$Q$2))</f>
        <v>9564.89148504435</v>
      </c>
      <c r="N574" s="15" t="n">
        <f aca="false">M574*(1+IF(N$3&lt;=$O$2,$D574,$D574-($D574-$I$562)*MIN(N$3-$O$2,$Q$2)/$Q$2))</f>
        <v>9931.22682892155</v>
      </c>
      <c r="O574" s="15" t="n">
        <f aca="false">SUMPRODUCT(E574:N574,1/(1+$F$562)^$E$3:$N$3)*$E$2</f>
        <v>19610.9075175354</v>
      </c>
      <c r="P574" s="15" t="n">
        <f aca="false">N574*$E$2*(1+$I$562)/($F$562-$I$562)/(1+$F$562)^$N$3</f>
        <v>41373.9601631091</v>
      </c>
      <c r="Q574" s="15" t="n">
        <f aca="false">O574+P574</f>
        <v>60984.8676806446</v>
      </c>
      <c r="R574" s="15" t="n">
        <f aca="false">Q574-$G$2+$I$2</f>
        <v>52219.8676806446</v>
      </c>
      <c r="S574" s="40" t="n">
        <f aca="false">R574/$K$2</f>
        <v>93.4199214294689</v>
      </c>
      <c r="T574" s="41" t="n">
        <f aca="false">S574-$M$2</f>
        <v>-0.0539058988791368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0.067626953125</v>
      </c>
      <c r="C575" s="25" t="n">
        <f aca="false">IF(T574&gt;0,D574,C574)</f>
        <v>0.068359375</v>
      </c>
      <c r="D575" s="39" t="n">
        <f aca="false">(B575+C575)/2</f>
        <v>0.0679931640625</v>
      </c>
      <c r="E575" s="15" t="n">
        <f aca="false">$C$2*(1+IF(E$3&lt;=$O$2,$D575,$D575-($D575-$I$562)*MIN(E$3-$O$2,$Q$2)/$Q$2))</f>
        <v>5991.44165039063</v>
      </c>
      <c r="F575" s="15" t="n">
        <f aca="false">E575*(1+IF(F$3&lt;=$O$2,$D575,$D575-($D575-$I$562)*MIN(F$3-$O$2,$Q$2)/$Q$2))</f>
        <v>6398.81872549653</v>
      </c>
      <c r="G575" s="15" t="n">
        <f aca="false">F575*(1+IF(G$3&lt;=$O$2,$D575,$D575-($D575-$I$562)*MIN(G$3-$O$2,$Q$2)/$Q$2))</f>
        <v>6833.89465690541</v>
      </c>
      <c r="H575" s="15" t="n">
        <f aca="false">G575*(1+IF(H$3&lt;=$O$2,$D575,$D575-($D575-$I$562)*MIN(H$3-$O$2,$Q$2)/$Q$2))</f>
        <v>7298.55277749823</v>
      </c>
      <c r="I575" s="15" t="n">
        <f aca="false">H575*(1+IF(I$3&lt;=$O$2,$D575,$D575-($D575-$I$562)*MIN(I$3-$O$2,$Q$2)/$Q$2))</f>
        <v>7794.80447391748</v>
      </c>
      <c r="J575" s="15" t="n">
        <f aca="false">I575*(1+IF(J$3&lt;=$O$2,$D575,$D575-($D575-$I$562)*MIN(J$3-$O$2,$Q$2)/$Q$2))</f>
        <v>8278.50741173183</v>
      </c>
      <c r="K575" s="15" t="n">
        <f aca="false">J575*(1+IF(K$3&lt;=$O$2,$D575,$D575-($D575-$I$562)*MIN(K$3-$O$2,$Q$2)/$Q$2))</f>
        <v>8743.06329286266</v>
      </c>
      <c r="L575" s="15" t="n">
        <f aca="false">K575*(1+IF(L$3&lt;=$O$2,$D575,$D575-($D575-$I$562)*MIN(L$3-$O$2,$Q$2)/$Q$2))</f>
        <v>9181.76630208482</v>
      </c>
      <c r="M575" s="15" t="n">
        <f aca="false">L575*(1+IF(M$3&lt;=$O$2,$D575,$D575-($D575-$I$562)*MIN(M$3-$O$2,$Q$2)/$Q$2))</f>
        <v>9587.95509009294</v>
      </c>
      <c r="N575" s="15" t="n">
        <f aca="false">M575*(1+IF(N$3&lt;=$O$2,$D575,$D575-($D575-$I$562)*MIN(N$3-$O$2,$Q$2)/$Q$2))</f>
        <v>9955.1737700435</v>
      </c>
      <c r="O575" s="15" t="n">
        <f aca="false">SUMPRODUCT(E575:N575,1/(1+$F$562)^$E$3:$N$3)*$E$2</f>
        <v>19642.4912467182</v>
      </c>
      <c r="P575" s="15" t="n">
        <f aca="false">N575*$E$2*(1+$I$562)/($F$562-$I$562)/(1+$F$562)^$N$3</f>
        <v>41473.7242511796</v>
      </c>
      <c r="Q575" s="15" t="n">
        <f aca="false">O575+P575</f>
        <v>61116.2154978977</v>
      </c>
      <c r="R575" s="15" t="n">
        <f aca="false">Q575-$G$2+$I$2</f>
        <v>52351.2154978977</v>
      </c>
      <c r="S575" s="40" t="n">
        <f aca="false">R575/$K$2</f>
        <v>93.6548990981747</v>
      </c>
      <c r="T575" s="41" t="n">
        <f aca="false">S575-$M$2</f>
        <v>0.181071769826659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0.067626953125</v>
      </c>
      <c r="C576" s="25" t="n">
        <f aca="false">IF(T575&gt;0,D575,C575)</f>
        <v>0.0679931640625</v>
      </c>
      <c r="D576" s="39" t="n">
        <f aca="false">(B576+C576)/2</f>
        <v>0.06781005859375</v>
      </c>
      <c r="E576" s="15" t="n">
        <f aca="false">$C$2*(1+IF(E$3&lt;=$O$2,$D576,$D576-($D576-$I$562)*MIN(E$3-$O$2,$Q$2)/$Q$2))</f>
        <v>5990.41442871094</v>
      </c>
      <c r="F576" s="15" t="n">
        <f aca="false">E576*(1+IF(F$3&lt;=$O$2,$D576,$D576-($D576-$I$562)*MIN(F$3-$O$2,$Q$2)/$Q$2))</f>
        <v>6396.62478212267</v>
      </c>
      <c r="G576" s="15" t="n">
        <f aca="false">F576*(1+IF(G$3&lt;=$O$2,$D576,$D576-($D576-$I$562)*MIN(G$3-$O$2,$Q$2)/$Q$2))</f>
        <v>6830.38028340064</v>
      </c>
      <c r="H576" s="15" t="n">
        <f aca="false">G576*(1+IF(H$3&lt;=$O$2,$D576,$D576-($D576-$I$562)*MIN(H$3-$O$2,$Q$2)/$Q$2))</f>
        <v>7293.54877063564</v>
      </c>
      <c r="I576" s="15" t="n">
        <f aca="false">H576*(1+IF(I$3&lt;=$O$2,$D576,$D576-($D576-$I$562)*MIN(I$3-$O$2,$Q$2)/$Q$2))</f>
        <v>7788.12474012881</v>
      </c>
      <c r="J576" s="15" t="n">
        <f aca="false">I576*(1+IF(J$3&lt;=$O$2,$D576,$D576-($D576-$I$562)*MIN(J$3-$O$2,$Q$2)/$Q$2))</f>
        <v>8270.27233160905</v>
      </c>
      <c r="K576" s="15" t="n">
        <f aca="false">J576*(1+IF(K$3&lt;=$O$2,$D576,$D576-($D576-$I$562)*MIN(K$3-$O$2,$Q$2)/$Q$2))</f>
        <v>8733.45749456491</v>
      </c>
      <c r="L576" s="15" t="n">
        <f aca="false">K576*(1+IF(L$3&lt;=$O$2,$D576,$D576-($D576-$I$562)*MIN(L$3-$O$2,$Q$2)/$Q$2))</f>
        <v>9171.038853563</v>
      </c>
      <c r="M576" s="15" t="n">
        <f aca="false">L576*(1+IF(M$3&lt;=$O$2,$D576,$D576-($D576-$I$562)*MIN(M$3-$O$2,$Q$2)/$Q$2))</f>
        <v>9576.41722044131</v>
      </c>
      <c r="N576" s="15" t="n">
        <f aca="false">M576*(1+IF(N$3&lt;=$O$2,$D576,$D576-($D576-$I$562)*MIN(N$3-$O$2,$Q$2)/$Q$2))</f>
        <v>9943.19399998421</v>
      </c>
      <c r="O576" s="15" t="n">
        <f aca="false">SUMPRODUCT(E576:N576,1/(1+$F$562)^$E$3:$N$3)*$E$2</f>
        <v>19626.6930305952</v>
      </c>
      <c r="P576" s="15" t="n">
        <f aca="false">N576*$E$2*(1+$I$562)/($F$562-$I$562)/(1+$F$562)^$N$3</f>
        <v>41423.8159631368</v>
      </c>
      <c r="Q576" s="15" t="n">
        <f aca="false">O576+P576</f>
        <v>61050.508993732</v>
      </c>
      <c r="R576" s="15" t="n">
        <f aca="false">Q576-$G$2+$I$2</f>
        <v>52285.508993732</v>
      </c>
      <c r="S576" s="40" t="n">
        <f aca="false">R576/$K$2</f>
        <v>93.5373519512898</v>
      </c>
      <c r="T576" s="41" t="n">
        <f aca="false">S576-$M$2</f>
        <v>0.063524622941685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0.067626953125</v>
      </c>
      <c r="C577" s="25" t="n">
        <f aca="false">IF(T576&gt;0,D576,C576)</f>
        <v>0.06781005859375</v>
      </c>
      <c r="D577" s="39" t="n">
        <f aca="false">(B577+C577)/2</f>
        <v>0.067718505859375</v>
      </c>
      <c r="E577" s="15" t="n">
        <f aca="false">$C$2*(1+IF(E$3&lt;=$O$2,$D577,$D577-($D577-$I$562)*MIN(E$3-$O$2,$Q$2)/$Q$2))</f>
        <v>5989.90081787109</v>
      </c>
      <c r="F577" s="15" t="n">
        <f aca="false">E577*(1+IF(F$3&lt;=$O$2,$D577,$D577-($D577-$I$562)*MIN(F$3-$O$2,$Q$2)/$Q$2))</f>
        <v>6395.52795150317</v>
      </c>
      <c r="G577" s="15" t="n">
        <f aca="false">F577*(1+IF(G$3&lt;=$O$2,$D577,$D577-($D577-$I$562)*MIN(G$3-$O$2,$Q$2)/$Q$2))</f>
        <v>6828.62354856084</v>
      </c>
      <c r="H577" s="15" t="n">
        <f aca="false">G577*(1+IF(H$3&lt;=$O$2,$D577,$D577-($D577-$I$562)*MIN(H$3-$O$2,$Q$2)/$Q$2))</f>
        <v>7291.04773234552</v>
      </c>
      <c r="I577" s="15" t="n">
        <f aca="false">H577*(1+IF(I$3&lt;=$O$2,$D577,$D577-($D577-$I$562)*MIN(I$3-$O$2,$Q$2)/$Q$2))</f>
        <v>7784.78659092934</v>
      </c>
      <c r="J577" s="15" t="n">
        <f aca="false">I577*(1+IF(J$3&lt;=$O$2,$D577,$D577-($D577-$I$562)*MIN(J$3-$O$2,$Q$2)/$Q$2))</f>
        <v>8266.15734931333</v>
      </c>
      <c r="K577" s="15" t="n">
        <f aca="false">J577*(1+IF(K$3&lt;=$O$2,$D577,$D577-($D577-$I$562)*MIN(K$3-$O$2,$Q$2)/$Q$2))</f>
        <v>8728.6579748412</v>
      </c>
      <c r="L577" s="15" t="n">
        <f aca="false">K577*(1+IF(L$3&lt;=$O$2,$D577,$D577-($D577-$I$562)*MIN(L$3-$O$2,$Q$2)/$Q$2))</f>
        <v>9165.67920558856</v>
      </c>
      <c r="M577" s="15" t="n">
        <f aca="false">L577*(1+IF(M$3&lt;=$O$2,$D577,$D577-($D577-$I$562)*MIN(M$3-$O$2,$Q$2)/$Q$2))</f>
        <v>9570.65283664555</v>
      </c>
      <c r="N577" s="15" t="n">
        <f aca="false">M577*(1+IF(N$3&lt;=$O$2,$D577,$D577-($D577-$I$562)*MIN(N$3-$O$2,$Q$2)/$Q$2))</f>
        <v>9937.20884028908</v>
      </c>
      <c r="O577" s="15" t="n">
        <f aca="false">SUMPRODUCT(E577:N577,1/(1+$F$562)^$E$3:$N$3)*$E$2</f>
        <v>19618.7986867758</v>
      </c>
      <c r="P577" s="15" t="n">
        <f aca="false">N577*$E$2*(1+$I$562)/($F$562-$I$562)/(1+$F$562)^$N$3</f>
        <v>41398.8815050822</v>
      </c>
      <c r="Q577" s="15" t="n">
        <f aca="false">O577+P577</f>
        <v>61017.680191858</v>
      </c>
      <c r="R577" s="15" t="n">
        <f aca="false">Q577-$G$2+$I$2</f>
        <v>52252.680191858</v>
      </c>
      <c r="S577" s="40" t="n">
        <f aca="false">R577/$K$2</f>
        <v>93.4786221186053</v>
      </c>
      <c r="T577" s="41" t="n">
        <f aca="false">S577-$M$2</f>
        <v>0.00479479025726448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0.067626953125</v>
      </c>
      <c r="C578" s="25" t="n">
        <f aca="false">IF(T577&gt;0,D577,C577)</f>
        <v>0.067718505859375</v>
      </c>
      <c r="D578" s="39" t="n">
        <f aca="false">(B578+C578)/2</f>
        <v>0.0676727294921875</v>
      </c>
      <c r="E578" s="15" t="n">
        <f aca="false">$C$2*(1+IF(E$3&lt;=$O$2,$D578,$D578-($D578-$I$562)*MIN(E$3-$O$2,$Q$2)/$Q$2))</f>
        <v>5989.64401245117</v>
      </c>
      <c r="F578" s="15" t="n">
        <f aca="false">E578*(1+IF(F$3&lt;=$O$2,$D578,$D578-($D578-$I$562)*MIN(F$3-$O$2,$Q$2)/$Q$2))</f>
        <v>6394.97957146028</v>
      </c>
      <c r="G578" s="15" t="n">
        <f aca="false">F578*(1+IF(G$3&lt;=$O$2,$D578,$D578-($D578-$I$562)*MIN(G$3-$O$2,$Q$2)/$Q$2))</f>
        <v>6827.74529410778</v>
      </c>
      <c r="H578" s="15" t="n">
        <f aca="false">G578*(1+IF(H$3&lt;=$O$2,$D578,$D578-($D578-$I$562)*MIN(H$3-$O$2,$Q$2)/$Q$2))</f>
        <v>7289.79745443749</v>
      </c>
      <c r="I578" s="15" t="n">
        <f aca="false">H578*(1+IF(I$3&lt;=$O$2,$D578,$D578-($D578-$I$562)*MIN(I$3-$O$2,$Q$2)/$Q$2))</f>
        <v>7783.11794562447</v>
      </c>
      <c r="J578" s="15" t="n">
        <f aca="false">I578*(1+IF(J$3&lt;=$O$2,$D578,$D578-($D578-$I$562)*MIN(J$3-$O$2,$Q$2)/$Q$2))</f>
        <v>8264.10049735999</v>
      </c>
      <c r="K578" s="15" t="n">
        <f aca="false">J578*(1+IF(K$3&lt;=$O$2,$D578,$D578-($D578-$I$562)*MIN(K$3-$O$2,$Q$2)/$Q$2))</f>
        <v>8726.259059452</v>
      </c>
      <c r="L578" s="15" t="n">
        <f aca="false">K578*(1+IF(L$3&lt;=$O$2,$D578,$D578-($D578-$I$562)*MIN(L$3-$O$2,$Q$2)/$Q$2))</f>
        <v>9163.00040016182</v>
      </c>
      <c r="M578" s="15" t="n">
        <f aca="false">L578*(1+IF(M$3&lt;=$O$2,$D578,$D578-($D578-$I$562)*MIN(M$3-$O$2,$Q$2)/$Q$2))</f>
        <v>9567.77178190617</v>
      </c>
      <c r="N578" s="15" t="n">
        <f aca="false">M578*(1+IF(N$3&lt;=$O$2,$D578,$D578-($D578-$I$562)*MIN(N$3-$O$2,$Q$2)/$Q$2))</f>
        <v>9934.21744115318</v>
      </c>
      <c r="O578" s="15" t="n">
        <f aca="false">SUMPRODUCT(E578:N578,1/(1+$F$562)^$E$3:$N$3)*$E$2</f>
        <v>19614.8527054074</v>
      </c>
      <c r="P578" s="15" t="n">
        <f aca="false">N578*$E$2*(1+$I$562)/($F$562-$I$562)/(1+$F$562)^$N$3</f>
        <v>41386.4191949555</v>
      </c>
      <c r="Q578" s="15" t="n">
        <f aca="false">O578+P578</f>
        <v>61001.2719003629</v>
      </c>
      <c r="R578" s="15" t="n">
        <f aca="false">Q578-$G$2+$I$2</f>
        <v>52236.2719003629</v>
      </c>
      <c r="S578" s="40" t="n">
        <f aca="false">R578/$K$2</f>
        <v>93.4492681318883</v>
      </c>
      <c r="T578" s="41" t="n">
        <f aca="false">S578-$M$2</f>
        <v>-0.0245591964598333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0.0676727294921875</v>
      </c>
      <c r="C579" s="25" t="n">
        <f aca="false">IF(T578&gt;0,D578,C578)</f>
        <v>0.067718505859375</v>
      </c>
      <c r="D579" s="39" t="n">
        <f aca="false">(B579+C579)/2</f>
        <v>0.0676956176757813</v>
      </c>
      <c r="E579" s="15" t="n">
        <f aca="false">$C$2*(1+IF(E$3&lt;=$O$2,$D579,$D579-($D579-$I$562)*MIN(E$3-$O$2,$Q$2)/$Q$2))</f>
        <v>5989.77241516113</v>
      </c>
      <c r="F579" s="15" t="n">
        <f aca="false">E579*(1+IF(F$3&lt;=$O$2,$D579,$D579-($D579-$I$562)*MIN(F$3-$O$2,$Q$2)/$Q$2))</f>
        <v>6395.25375854282</v>
      </c>
      <c r="G579" s="15" t="n">
        <f aca="false">F579*(1+IF(G$3&lt;=$O$2,$D579,$D579-($D579-$I$562)*MIN(G$3-$O$2,$Q$2)/$Q$2))</f>
        <v>6828.18441192074</v>
      </c>
      <c r="H579" s="15" t="n">
        <f aca="false">G579*(1+IF(H$3&lt;=$O$2,$D579,$D579-($D579-$I$562)*MIN(H$3-$O$2,$Q$2)/$Q$2))</f>
        <v>7290.42257328986</v>
      </c>
      <c r="I579" s="15" t="n">
        <f aca="false">H579*(1+IF(I$3&lt;=$O$2,$D579,$D579-($D579-$I$562)*MIN(I$3-$O$2,$Q$2)/$Q$2))</f>
        <v>7783.95223250617</v>
      </c>
      <c r="J579" s="15" t="n">
        <f aca="false">I579*(1+IF(J$3&lt;=$O$2,$D579,$D579-($D579-$I$562)*MIN(J$3-$O$2,$Q$2)/$Q$2))</f>
        <v>8265.12887007779</v>
      </c>
      <c r="K579" s="15" t="n">
        <f aca="false">J579*(1+IF(K$3&lt;=$O$2,$D579,$D579-($D579-$I$562)*MIN(K$3-$O$2,$Q$2)/$Q$2))</f>
        <v>8727.45844678529</v>
      </c>
      <c r="L579" s="15" t="n">
        <f aca="false">K579*(1+IF(L$3&lt;=$O$2,$D579,$D579-($D579-$I$562)*MIN(L$3-$O$2,$Q$2)/$Q$2))</f>
        <v>9164.33971801036</v>
      </c>
      <c r="M579" s="15" t="n">
        <f aca="false">L579*(1+IF(M$3&lt;=$O$2,$D579,$D579-($D579-$I$562)*MIN(M$3-$O$2,$Q$2)/$Q$2))</f>
        <v>9569.21221453048</v>
      </c>
      <c r="N579" s="15" t="n">
        <f aca="false">M579*(1+IF(N$3&lt;=$O$2,$D579,$D579-($D579-$I$562)*MIN(N$3-$O$2,$Q$2)/$Q$2))</f>
        <v>9935.71304234699</v>
      </c>
      <c r="O579" s="15" t="n">
        <f aca="false">SUMPRODUCT(E579:N579,1/(1+$F$562)^$E$3:$N$3)*$E$2</f>
        <v>19616.8255968953</v>
      </c>
      <c r="P579" s="15" t="n">
        <f aca="false">N579*$E$2*(1+$I$562)/($F$562-$I$562)/(1+$F$562)^$N$3</f>
        <v>41392.6499401876</v>
      </c>
      <c r="Q579" s="15" t="n">
        <f aca="false">O579+P579</f>
        <v>61009.4755370828</v>
      </c>
      <c r="R579" s="15" t="n">
        <f aca="false">Q579-$G$2+$I$2</f>
        <v>52244.4755370828</v>
      </c>
      <c r="S579" s="40" t="n">
        <f aca="false">R579/$K$2</f>
        <v>93.4639442146103</v>
      </c>
      <c r="T579" s="41" t="n">
        <f aca="false">S579-$M$2</f>
        <v>-0.00988311373782835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0.0676956176757813</v>
      </c>
      <c r="C580" s="25" t="n">
        <f aca="false">IF(T579&gt;0,D579,C579)</f>
        <v>0.067718505859375</v>
      </c>
      <c r="D580" s="39" t="n">
        <f aca="false">(B580+C580)/2</f>
        <v>0.0677070617675781</v>
      </c>
      <c r="E580" s="15" t="n">
        <f aca="false">$C$2*(1+IF(E$3&lt;=$O$2,$D580,$D580-($D580-$I$562)*MIN(E$3-$O$2,$Q$2)/$Q$2))</f>
        <v>5989.83661651611</v>
      </c>
      <c r="F580" s="15" t="n">
        <f aca="false">E580*(1+IF(F$3&lt;=$O$2,$D580,$D580-($D580-$I$562)*MIN(F$3-$O$2,$Q$2)/$Q$2))</f>
        <v>6395.39085428827</v>
      </c>
      <c r="G580" s="15" t="n">
        <f aca="false">F580*(1+IF(G$3&lt;=$O$2,$D580,$D580-($D580-$I$562)*MIN(G$3-$O$2,$Q$2)/$Q$2))</f>
        <v>6828.40397788737</v>
      </c>
      <c r="H580" s="15" t="n">
        <f aca="false">G580*(1+IF(H$3&lt;=$O$2,$D580,$D580-($D580-$I$562)*MIN(H$3-$O$2,$Q$2)/$Q$2))</f>
        <v>7290.73514779217</v>
      </c>
      <c r="I580" s="15" t="n">
        <f aca="false">H580*(1+IF(I$3&lt;=$O$2,$D580,$D580-($D580-$I$562)*MIN(I$3-$O$2,$Q$2)/$Q$2))</f>
        <v>7784.36940277478</v>
      </c>
      <c r="J580" s="15" t="n">
        <f aca="false">I580*(1+IF(J$3&lt;=$O$2,$D580,$D580-($D580-$I$562)*MIN(J$3-$O$2,$Q$2)/$Q$2))</f>
        <v>8265.64309638029</v>
      </c>
      <c r="K580" s="15" t="n">
        <f aca="false">J580*(1+IF(K$3&lt;=$O$2,$D580,$D580-($D580-$I$562)*MIN(K$3-$O$2,$Q$2)/$Q$2))</f>
        <v>8728.05819322207</v>
      </c>
      <c r="L580" s="15" t="n">
        <f aca="false">K580*(1+IF(L$3&lt;=$O$2,$D580,$D580-($D580-$I$562)*MIN(L$3-$O$2,$Q$2)/$Q$2))</f>
        <v>9165.00944058211</v>
      </c>
      <c r="M580" s="15" t="n">
        <f aca="false">L580*(1+IF(M$3&lt;=$O$2,$D580,$D580-($D580-$I$562)*MIN(M$3-$O$2,$Q$2)/$Q$2))</f>
        <v>9569.93250190033</v>
      </c>
      <c r="N580" s="15" t="n">
        <f aca="false">M580*(1+IF(N$3&lt;=$O$2,$D580,$D580-($D580-$I$562)*MIN(N$3-$O$2,$Q$2)/$Q$2))</f>
        <v>9936.46091672311</v>
      </c>
      <c r="O580" s="15" t="n">
        <f aca="false">SUMPRODUCT(E580:N580,1/(1+$F$562)^$E$3:$N$3)*$E$2</f>
        <v>19617.8121170353</v>
      </c>
      <c r="P580" s="15" t="n">
        <f aca="false">N580*$E$2*(1+$I$562)/($F$562-$I$562)/(1+$F$562)^$N$3</f>
        <v>41395.7656201713</v>
      </c>
      <c r="Q580" s="15" t="n">
        <f aca="false">O580+P580</f>
        <v>61013.5777372066</v>
      </c>
      <c r="R580" s="15" t="n">
        <f aca="false">Q580-$G$2+$I$2</f>
        <v>52248.5777372066</v>
      </c>
      <c r="S580" s="40" t="n">
        <f aca="false">R580/$K$2</f>
        <v>93.4712829389362</v>
      </c>
      <c r="T580" s="41" t="n">
        <f aca="false">S580-$M$2</f>
        <v>-0.00254438941185242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0.0677070617675781</v>
      </c>
      <c r="C581" s="25" t="n">
        <f aca="false">IF(T580&gt;0,D580,C580)</f>
        <v>0.067718505859375</v>
      </c>
      <c r="D581" s="39" t="n">
        <f aca="false">(B581+C581)/2</f>
        <v>0.0677127838134766</v>
      </c>
      <c r="E581" s="15" t="n">
        <f aca="false">$C$2*(1+IF(E$3&lt;=$O$2,$D581,$D581-($D581-$I$562)*MIN(E$3-$O$2,$Q$2)/$Q$2))</f>
        <v>5989.8687171936</v>
      </c>
      <c r="F581" s="15" t="n">
        <f aca="false">E581*(1+IF(F$3&lt;=$O$2,$D581,$D581-($D581-$I$562)*MIN(F$3-$O$2,$Q$2)/$Q$2))</f>
        <v>6395.45940271204</v>
      </c>
      <c r="G581" s="15" t="n">
        <f aca="false">F581*(1+IF(G$3&lt;=$O$2,$D581,$D581-($D581-$I$562)*MIN(G$3-$O$2,$Q$2)/$Q$2))</f>
        <v>6828.51376263575</v>
      </c>
      <c r="H581" s="15" t="n">
        <f aca="false">G581*(1+IF(H$3&lt;=$O$2,$D581,$D581-($D581-$I$562)*MIN(H$3-$O$2,$Q$2)/$Q$2))</f>
        <v>7290.89143881245</v>
      </c>
      <c r="I581" s="15" t="n">
        <f aca="false">H581*(1+IF(I$3&lt;=$O$2,$D581,$D581-($D581-$I$562)*MIN(I$3-$O$2,$Q$2)/$Q$2))</f>
        <v>7784.57799461629</v>
      </c>
      <c r="J581" s="15" t="n">
        <f aca="false">I581*(1+IF(J$3&lt;=$O$2,$D581,$D581-($D581-$I$562)*MIN(J$3-$O$2,$Q$2)/$Q$2))</f>
        <v>8265.90021951793</v>
      </c>
      <c r="K581" s="15" t="n">
        <f aca="false">J581*(1+IF(K$3&lt;=$O$2,$D581,$D581-($D581-$I$562)*MIN(K$3-$O$2,$Q$2)/$Q$2))</f>
        <v>8728.35807963373</v>
      </c>
      <c r="L581" s="15" t="n">
        <f aca="false">K581*(1+IF(L$3&lt;=$O$2,$D581,$D581-($D581-$I$562)*MIN(L$3-$O$2,$Q$2)/$Q$2))</f>
        <v>9165.34431778086</v>
      </c>
      <c r="M581" s="15" t="n">
        <f aca="false">L581*(1+IF(M$3&lt;=$O$2,$D581,$D581-($D581-$I$562)*MIN(M$3-$O$2,$Q$2)/$Q$2))</f>
        <v>9570.29266335085</v>
      </c>
      <c r="N581" s="15" t="n">
        <f aca="false">M581*(1+IF(N$3&lt;=$O$2,$D581,$D581-($D581-$I$562)*MIN(N$3-$O$2,$Q$2)/$Q$2))</f>
        <v>9936.83487235719</v>
      </c>
      <c r="O581" s="15" t="n">
        <f aca="false">SUMPRODUCT(E581:N581,1/(1+$F$562)^$E$3:$N$3)*$E$2</f>
        <v>19618.3053957054</v>
      </c>
      <c r="P581" s="15" t="n">
        <f aca="false">N581*$E$2*(1+$I$562)/($F$562-$I$562)/(1+$F$562)^$N$3</f>
        <v>41397.3235370101</v>
      </c>
      <c r="Q581" s="15" t="n">
        <f aca="false">O581+P581</f>
        <v>61015.6289327155</v>
      </c>
      <c r="R581" s="15" t="n">
        <f aca="false">Q581-$G$2+$I$2</f>
        <v>52250.6289327155</v>
      </c>
      <c r="S581" s="40" t="n">
        <f aca="false">R581/$K$2</f>
        <v>93.4749524718513</v>
      </c>
      <c r="T581" s="41" t="n">
        <f aca="false">S581-$M$2</f>
        <v>0.0011251435032591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0.0677070617675781</v>
      </c>
      <c r="C582" s="25" t="n">
        <f aca="false">IF(T581&gt;0,D581,C581)</f>
        <v>0.0677127838134766</v>
      </c>
      <c r="D582" s="39" t="n">
        <f aca="false">(B582+C582)/2</f>
        <v>0.0677099227905273</v>
      </c>
      <c r="E582" s="15" t="n">
        <f aca="false">$C$2*(1+IF(E$3&lt;=$O$2,$D582,$D582-($D582-$I$562)*MIN(E$3-$O$2,$Q$2)/$Q$2))</f>
        <v>5989.85266685486</v>
      </c>
      <c r="F582" s="15" t="n">
        <f aca="false">E582*(1+IF(F$3&lt;=$O$2,$D582,$D582-($D582-$I$562)*MIN(F$3-$O$2,$Q$2)/$Q$2))</f>
        <v>6395.42512845424</v>
      </c>
      <c r="G582" s="15" t="n">
        <f aca="false">F582*(1+IF(G$3&lt;=$O$2,$D582,$D582-($D582-$I$562)*MIN(G$3-$O$2,$Q$2)/$Q$2))</f>
        <v>6828.45887011447</v>
      </c>
      <c r="H582" s="15" t="n">
        <f aca="false">G582*(1+IF(H$3&lt;=$O$2,$D582,$D582-($D582-$I$562)*MIN(H$3-$O$2,$Q$2)/$Q$2))</f>
        <v>7290.81329298821</v>
      </c>
      <c r="I582" s="15" t="n">
        <f aca="false">H582*(1+IF(I$3&lt;=$O$2,$D582,$D582-($D582-$I$562)*MIN(I$3-$O$2,$Q$2)/$Q$2))</f>
        <v>7784.4736981366</v>
      </c>
      <c r="J582" s="15" t="n">
        <f aca="false">I582*(1+IF(J$3&lt;=$O$2,$D582,$D582-($D582-$I$562)*MIN(J$3-$O$2,$Q$2)/$Q$2))</f>
        <v>8265.7716571169</v>
      </c>
      <c r="K582" s="15" t="n">
        <f aca="false">J582*(1+IF(K$3&lt;=$O$2,$D582,$D582-($D582-$I$562)*MIN(K$3-$O$2,$Q$2)/$Q$2))</f>
        <v>8728.20813532844</v>
      </c>
      <c r="L582" s="15" t="n">
        <f aca="false">K582*(1+IF(L$3&lt;=$O$2,$D582,$D582-($D582-$I$562)*MIN(L$3-$O$2,$Q$2)/$Q$2))</f>
        <v>9165.17687785538</v>
      </c>
      <c r="M582" s="15" t="n">
        <f aca="false">L582*(1+IF(M$3&lt;=$O$2,$D582,$D582-($D582-$I$562)*MIN(M$3-$O$2,$Q$2)/$Q$2))</f>
        <v>9570.11258114509</v>
      </c>
      <c r="N582" s="15" t="n">
        <f aca="false">M582*(1+IF(N$3&lt;=$O$2,$D582,$D582-($D582-$I$562)*MIN(N$3-$O$2,$Q$2)/$Q$2))</f>
        <v>9936.64789300295</v>
      </c>
      <c r="O582" s="15" t="n">
        <f aca="false">SUMPRODUCT(E582:N582,1/(1+$F$562)^$E$3:$N$3)*$E$2</f>
        <v>19618.0587548203</v>
      </c>
      <c r="P582" s="15" t="n">
        <f aca="false">N582*$E$2*(1+$I$562)/($F$562-$I$562)/(1+$F$562)^$N$3</f>
        <v>41396.5445721866</v>
      </c>
      <c r="Q582" s="15" t="n">
        <f aca="false">O582+P582</f>
        <v>61014.6033270069</v>
      </c>
      <c r="R582" s="15" t="n">
        <f aca="false">Q582-$G$2+$I$2</f>
        <v>52249.6033270069</v>
      </c>
      <c r="S582" s="40" t="n">
        <f aca="false">R582/$K$2</f>
        <v>93.4731176911641</v>
      </c>
      <c r="T582" s="41" t="n">
        <f aca="false">S582-$M$2</f>
        <v>-0.000709637183973655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0.0677099227905273</v>
      </c>
      <c r="C583" s="25" t="n">
        <f aca="false">IF(T582&gt;0,D582,C582)</f>
        <v>0.0677127838134766</v>
      </c>
      <c r="D583" s="39" t="n">
        <f aca="false">(B583+C583)/2</f>
        <v>0.067711353302002</v>
      </c>
      <c r="E583" s="15" t="n">
        <f aca="false">$C$2*(1+IF(E$3&lt;=$O$2,$D583,$D583-($D583-$I$562)*MIN(E$3-$O$2,$Q$2)/$Q$2))</f>
        <v>5989.86069202423</v>
      </c>
      <c r="F583" s="15" t="n">
        <f aca="false">E583*(1+IF(F$3&lt;=$O$2,$D583,$D583-($D583-$I$562)*MIN(F$3-$O$2,$Q$2)/$Q$2))</f>
        <v>6395.44226557166</v>
      </c>
      <c r="G583" s="15" t="n">
        <f aca="false">F583*(1+IF(G$3&lt;=$O$2,$D583,$D583-($D583-$I$562)*MIN(G$3-$O$2,$Q$2)/$Q$2))</f>
        <v>6828.48631633834</v>
      </c>
      <c r="H583" s="15" t="n">
        <f aca="false">G583*(1+IF(H$3&lt;=$O$2,$D583,$D583-($D583-$I$562)*MIN(H$3-$O$2,$Q$2)/$Q$2))</f>
        <v>7290.85236582181</v>
      </c>
      <c r="I583" s="15" t="n">
        <f aca="false">H583*(1+IF(I$3&lt;=$O$2,$D583,$D583-($D583-$I$562)*MIN(I$3-$O$2,$Q$2)/$Q$2))</f>
        <v>7784.5258462367</v>
      </c>
      <c r="J583" s="15" t="n">
        <f aca="false">I583*(1+IF(J$3&lt;=$O$2,$D583,$D583-($D583-$I$562)*MIN(J$3-$O$2,$Q$2)/$Q$2))</f>
        <v>8265.83593810936</v>
      </c>
      <c r="K583" s="15" t="n">
        <f aca="false">J583*(1+IF(K$3&lt;=$O$2,$D583,$D583-($D583-$I$562)*MIN(K$3-$O$2,$Q$2)/$Q$2))</f>
        <v>8728.28310720622</v>
      </c>
      <c r="L583" s="15" t="n">
        <f aca="false">K583*(1+IF(L$3&lt;=$O$2,$D583,$D583-($D583-$I$562)*MIN(L$3-$O$2,$Q$2)/$Q$2))</f>
        <v>9165.26059748659</v>
      </c>
      <c r="M583" s="15" t="n">
        <f aca="false">L583*(1+IF(M$3&lt;=$O$2,$D583,$D583-($D583-$I$562)*MIN(M$3-$O$2,$Q$2)/$Q$2))</f>
        <v>9570.20262187785</v>
      </c>
      <c r="N583" s="15" t="n">
        <f aca="false">M583*(1+IF(N$3&lt;=$O$2,$D583,$D583-($D583-$I$562)*MIN(N$3-$O$2,$Q$2)/$Q$2))</f>
        <v>9936.74138229577</v>
      </c>
      <c r="O583" s="15" t="n">
        <f aca="false">SUMPRODUCT(E583:N583,1/(1+$F$562)^$E$3:$N$3)*$E$2</f>
        <v>19618.1820748753</v>
      </c>
      <c r="P583" s="15" t="n">
        <f aca="false">N583*$E$2*(1+$I$562)/($F$562-$I$562)/(1+$F$562)^$N$3</f>
        <v>41396.9340529973</v>
      </c>
      <c r="Q583" s="15" t="n">
        <f aca="false">O583+P583</f>
        <v>61015.1161278727</v>
      </c>
      <c r="R583" s="15" t="n">
        <f aca="false">Q583-$G$2+$I$2</f>
        <v>52250.1161278727</v>
      </c>
      <c r="S583" s="40" t="n">
        <f aca="false">R583/$K$2</f>
        <v>93.4740350779503</v>
      </c>
      <c r="T583" s="41" t="n">
        <f aca="false">S583-$M$2</f>
        <v>0.000207749602211038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0.0677099227905273</v>
      </c>
      <c r="C584" s="25" t="n">
        <f aca="false">IF(T583&gt;0,D583,C583)</f>
        <v>0.067711353302002</v>
      </c>
      <c r="D584" s="39" t="n">
        <f aca="false">(B584+C584)/2</f>
        <v>0.0677106380462647</v>
      </c>
      <c r="E584" s="15" t="n">
        <f aca="false">$C$2*(1+IF(E$3&lt;=$O$2,$D584,$D584-($D584-$I$562)*MIN(E$3-$O$2,$Q$2)/$Q$2))</f>
        <v>5989.85667943955</v>
      </c>
      <c r="F584" s="15" t="n">
        <f aca="false">E584*(1+IF(F$3&lt;=$O$2,$D584,$D584-($D584-$I$562)*MIN(F$3-$O$2,$Q$2)/$Q$2))</f>
        <v>6395.43369701008</v>
      </c>
      <c r="G584" s="15" t="n">
        <f aca="false">F584*(1+IF(G$3&lt;=$O$2,$D584,$D584-($D584-$I$562)*MIN(G$3-$O$2,$Q$2)/$Q$2))</f>
        <v>6828.47259321721</v>
      </c>
      <c r="H584" s="15" t="n">
        <f aca="false">G584*(1+IF(H$3&lt;=$O$2,$D584,$D584-($D584-$I$562)*MIN(H$3-$O$2,$Q$2)/$Q$2))</f>
        <v>7290.83282938538</v>
      </c>
      <c r="I584" s="15" t="n">
        <f aca="false">H584*(1+IF(I$3&lt;=$O$2,$D584,$D584-($D584-$I$562)*MIN(I$3-$O$2,$Q$2)/$Q$2))</f>
        <v>7784.49977215172</v>
      </c>
      <c r="J584" s="15" t="n">
        <f aca="false">I584*(1+IF(J$3&lt;=$O$2,$D584,$D584-($D584-$I$562)*MIN(J$3-$O$2,$Q$2)/$Q$2))</f>
        <v>8265.80379756112</v>
      </c>
      <c r="K584" s="15" t="n">
        <f aca="false">J584*(1+IF(K$3&lt;=$O$2,$D584,$D584-($D584-$I$562)*MIN(K$3-$O$2,$Q$2)/$Q$2))</f>
        <v>8728.24562119861</v>
      </c>
      <c r="L584" s="15" t="n">
        <f aca="false">K584*(1+IF(L$3&lt;=$O$2,$D584,$D584-($D584-$I$562)*MIN(L$3-$O$2,$Q$2)/$Q$2))</f>
        <v>9165.2187375881</v>
      </c>
      <c r="M584" s="15" t="n">
        <f aca="false">L584*(1+IF(M$3&lt;=$O$2,$D584,$D584-($D584-$I$562)*MIN(M$3-$O$2,$Q$2)/$Q$2))</f>
        <v>9570.15760141894</v>
      </c>
      <c r="N584" s="15" t="n">
        <f aca="false">M584*(1+IF(N$3&lt;=$O$2,$D584,$D584-($D584-$I$562)*MIN(N$3-$O$2,$Q$2)/$Q$2))</f>
        <v>9936.69463755328</v>
      </c>
      <c r="O584" s="15" t="n">
        <f aca="false">SUMPRODUCT(E584:N584,1/(1+$F$562)^$E$3:$N$3)*$E$2</f>
        <v>19618.1204147509</v>
      </c>
      <c r="P584" s="15" t="n">
        <f aca="false">N584*$E$2*(1+$I$562)/($F$562-$I$562)/(1+$F$562)^$N$3</f>
        <v>41396.7393121917</v>
      </c>
      <c r="Q584" s="15" t="n">
        <f aca="false">O584+P584</f>
        <v>61014.8597269427</v>
      </c>
      <c r="R584" s="15" t="n">
        <f aca="false">Q584-$G$2+$I$2</f>
        <v>52249.8597269427</v>
      </c>
      <c r="S584" s="40" t="n">
        <f aca="false">R584/$K$2</f>
        <v>93.4735763836679</v>
      </c>
      <c r="T584" s="41" t="n">
        <f aca="false">S584-$M$2</f>
        <v>-0.000250944680203702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0.0677106380462647</v>
      </c>
      <c r="C585" s="25" t="n">
        <f aca="false">IF(T584&gt;0,D584,C584)</f>
        <v>0.067711353302002</v>
      </c>
      <c r="D585" s="39" t="n">
        <f aca="false">(B585+C585)/2</f>
        <v>0.0677109956741333</v>
      </c>
      <c r="E585" s="15" t="n">
        <f aca="false">$C$2*(1+IF(E$3&lt;=$O$2,$D585,$D585-($D585-$I$562)*MIN(E$3-$O$2,$Q$2)/$Q$2))</f>
        <v>5989.85868573189</v>
      </c>
      <c r="F585" s="15" t="n">
        <f aca="false">E585*(1+IF(F$3&lt;=$O$2,$D585,$D585-($D585-$I$562)*MIN(F$3-$O$2,$Q$2)/$Q$2))</f>
        <v>6395.43798129015</v>
      </c>
      <c r="G585" s="15" t="n">
        <f aca="false">F585*(1+IF(G$3&lt;=$O$2,$D585,$D585-($D585-$I$562)*MIN(G$3-$O$2,$Q$2)/$Q$2))</f>
        <v>6828.47945477548</v>
      </c>
      <c r="H585" s="15" t="n">
        <f aca="false">G585*(1+IF(H$3&lt;=$O$2,$D585,$D585-($D585-$I$562)*MIN(H$3-$O$2,$Q$2)/$Q$2))</f>
        <v>7290.84259759869</v>
      </c>
      <c r="I585" s="15" t="n">
        <f aca="false">H585*(1+IF(I$3&lt;=$O$2,$D585,$D585-($D585-$I$562)*MIN(I$3-$O$2,$Q$2)/$Q$2))</f>
        <v>7784.51280918548</v>
      </c>
      <c r="J585" s="15" t="n">
        <f aca="false">I585*(1+IF(J$3&lt;=$O$2,$D585,$D585-($D585-$I$562)*MIN(J$3-$O$2,$Q$2)/$Q$2))</f>
        <v>8265.81986782223</v>
      </c>
      <c r="K585" s="15" t="n">
        <f aca="false">J585*(1+IF(K$3&lt;=$O$2,$D585,$D585-($D585-$I$562)*MIN(K$3-$O$2,$Q$2)/$Q$2))</f>
        <v>8728.26436418523</v>
      </c>
      <c r="L585" s="15" t="n">
        <f aca="false">K585*(1+IF(L$3&lt;=$O$2,$D585,$D585-($D585-$I$562)*MIN(L$3-$O$2,$Q$2)/$Q$2))</f>
        <v>9165.23966751663</v>
      </c>
      <c r="M585" s="15" t="n">
        <f aca="false">L585*(1+IF(M$3&lt;=$O$2,$D585,$D585-($D585-$I$562)*MIN(M$3-$O$2,$Q$2)/$Q$2))</f>
        <v>9570.18011162526</v>
      </c>
      <c r="N585" s="15" t="n">
        <f aca="false">M585*(1+IF(N$3&lt;=$O$2,$D585,$D585-($D585-$I$562)*MIN(N$3-$O$2,$Q$2)/$Q$2))</f>
        <v>9936.71800990051</v>
      </c>
      <c r="O585" s="15" t="n">
        <f aca="false">SUMPRODUCT(E585:N585,1/(1+$F$562)^$E$3:$N$3)*$E$2</f>
        <v>19618.1512447889</v>
      </c>
      <c r="P585" s="15" t="n">
        <f aca="false">N585*$E$2*(1+$I$562)/($F$562-$I$562)/(1+$F$562)^$N$3</f>
        <v>41396.8366824945</v>
      </c>
      <c r="Q585" s="15" t="n">
        <f aca="false">O585+P585</f>
        <v>61014.9879272834</v>
      </c>
      <c r="R585" s="15" t="n">
        <f aca="false">Q585-$G$2+$I$2</f>
        <v>52249.9879272834</v>
      </c>
      <c r="S585" s="40" t="n">
        <f aca="false">R585/$K$2</f>
        <v>93.4738057305868</v>
      </c>
      <c r="T585" s="41" t="n">
        <f aca="false">S585-$M$2</f>
        <v>-2.15977613322593E-005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0.0677109956741333</v>
      </c>
      <c r="C586" s="25" t="n">
        <f aca="false">IF(T585&gt;0,D585,C585)</f>
        <v>0.067711353302002</v>
      </c>
      <c r="D586" s="39" t="n">
        <f aca="false">(B586+C586)/2</f>
        <v>0.0677111744880676</v>
      </c>
      <c r="E586" s="15" t="n">
        <f aca="false">$C$2*(1+IF(E$3&lt;=$O$2,$D586,$D586-($D586-$I$562)*MIN(E$3-$O$2,$Q$2)/$Q$2))</f>
        <v>5989.85968887806</v>
      </c>
      <c r="F586" s="15" t="n">
        <f aca="false">E586*(1+IF(F$3&lt;=$O$2,$D586,$D586-($D586-$I$562)*MIN(F$3-$O$2,$Q$2)/$Q$2))</f>
        <v>6395.44012343072</v>
      </c>
      <c r="G586" s="15" t="n">
        <f aca="false">F586*(1+IF(G$3&lt;=$O$2,$D586,$D586-($D586-$I$562)*MIN(G$3-$O$2,$Q$2)/$Q$2))</f>
        <v>6828.48288555633</v>
      </c>
      <c r="H586" s="15" t="n">
        <f aca="false">G586*(1+IF(H$3&lt;=$O$2,$D586,$D586-($D586-$I$562)*MIN(H$3-$O$2,$Q$2)/$Q$2))</f>
        <v>7290.84748170902</v>
      </c>
      <c r="I586" s="15" t="n">
        <f aca="false">H586*(1+IF(I$3&lt;=$O$2,$D586,$D586-($D586-$I$562)*MIN(I$3-$O$2,$Q$2)/$Q$2))</f>
        <v>7784.51932770891</v>
      </c>
      <c r="J586" s="15" t="n">
        <f aca="false">I586*(1+IF(J$3&lt;=$O$2,$D586,$D586-($D586-$I$562)*MIN(J$3-$O$2,$Q$2)/$Q$2))</f>
        <v>8265.82790296254</v>
      </c>
      <c r="K586" s="15" t="n">
        <f aca="false">J586*(1+IF(K$3&lt;=$O$2,$D586,$D586-($D586-$I$562)*MIN(K$3-$O$2,$Q$2)/$Q$2))</f>
        <v>8728.27373569143</v>
      </c>
      <c r="L586" s="15" t="n">
        <f aca="false">K586*(1+IF(L$3&lt;=$O$2,$D586,$D586-($D586-$I$562)*MIN(L$3-$O$2,$Q$2)/$Q$2))</f>
        <v>9165.25013249643</v>
      </c>
      <c r="M586" s="15" t="n">
        <f aca="false">L586*(1+IF(M$3&lt;=$O$2,$D586,$D586-($D586-$I$562)*MIN(M$3-$O$2,$Q$2)/$Q$2))</f>
        <v>9570.19136674577</v>
      </c>
      <c r="N586" s="15" t="n">
        <f aca="false">M586*(1+IF(N$3&lt;=$O$2,$D586,$D586-($D586-$I$562)*MIN(N$3-$O$2,$Q$2)/$Q$2))</f>
        <v>9936.72969609213</v>
      </c>
      <c r="O586" s="15" t="n">
        <f aca="false">SUMPRODUCT(E586:N586,1/(1+$F$562)^$E$3:$N$3)*$E$2</f>
        <v>19618.1666598261</v>
      </c>
      <c r="P586" s="15" t="n">
        <f aca="false">N586*$E$2*(1+$I$562)/($F$562-$I$562)/(1+$F$562)^$N$3</f>
        <v>41396.8853677209</v>
      </c>
      <c r="Q586" s="15" t="n">
        <f aca="false">O586+P586</f>
        <v>61015.0520275469</v>
      </c>
      <c r="R586" s="15" t="n">
        <f aca="false">Q586-$G$2+$I$2</f>
        <v>52250.0520275469</v>
      </c>
      <c r="S586" s="40" t="n">
        <f aca="false">R586/$K$2</f>
        <v>93.4739204042129</v>
      </c>
      <c r="T586" s="41" t="n">
        <f aca="false">S586-$M$2</f>
        <v>9.30758648536312E-005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0.0677109956741333</v>
      </c>
      <c r="C587" s="25" t="n">
        <f aca="false">IF(T586&gt;0,D586,C586)</f>
        <v>0.0677111744880676</v>
      </c>
      <c r="D587" s="39" t="n">
        <f aca="false">(B587+C587)/2</f>
        <v>0.0677110850811005</v>
      </c>
      <c r="E587" s="15" t="n">
        <f aca="false">$C$2*(1+IF(E$3&lt;=$O$2,$D587,$D587-($D587-$I$562)*MIN(E$3-$O$2,$Q$2)/$Q$2))</f>
        <v>5989.85918730497</v>
      </c>
      <c r="F587" s="15" t="n">
        <f aca="false">E587*(1+IF(F$3&lt;=$O$2,$D587,$D587-($D587-$I$562)*MIN(F$3-$O$2,$Q$2)/$Q$2))</f>
        <v>6395.43905236039</v>
      </c>
      <c r="G587" s="15" t="n">
        <f aca="false">F587*(1+IF(G$3&lt;=$O$2,$D587,$D587-($D587-$I$562)*MIN(G$3-$O$2,$Q$2)/$Q$2))</f>
        <v>6828.48117016576</v>
      </c>
      <c r="H587" s="15" t="n">
        <f aca="false">G587*(1+IF(H$3&lt;=$O$2,$D587,$D587-($D587-$I$562)*MIN(H$3-$O$2,$Q$2)/$Q$2))</f>
        <v>7290.84503965354</v>
      </c>
      <c r="I587" s="15" t="n">
        <f aca="false">H587*(1+IF(I$3&lt;=$O$2,$D587,$D587-($D587-$I$562)*MIN(I$3-$O$2,$Q$2)/$Q$2))</f>
        <v>7784.51606844665</v>
      </c>
      <c r="J587" s="15" t="n">
        <f aca="false">I587*(1+IF(J$3&lt;=$O$2,$D587,$D587-($D587-$I$562)*MIN(J$3-$O$2,$Q$2)/$Q$2))</f>
        <v>8265.82388539157</v>
      </c>
      <c r="K587" s="15" t="n">
        <f aca="false">J587*(1+IF(K$3&lt;=$O$2,$D587,$D587-($D587-$I$562)*MIN(K$3-$O$2,$Q$2)/$Q$2))</f>
        <v>8728.26904993726</v>
      </c>
      <c r="L587" s="15" t="n">
        <f aca="false">K587*(1+IF(L$3&lt;=$O$2,$D587,$D587-($D587-$I$562)*MIN(L$3-$O$2,$Q$2)/$Q$2))</f>
        <v>9165.24490000523</v>
      </c>
      <c r="M587" s="15" t="n">
        <f aca="false">L587*(1+IF(M$3&lt;=$O$2,$D587,$D587-($D587-$I$562)*MIN(M$3-$O$2,$Q$2)/$Q$2))</f>
        <v>9570.18573918407</v>
      </c>
      <c r="N587" s="15" t="n">
        <f aca="false">M587*(1+IF(N$3&lt;=$O$2,$D587,$D587-($D587-$I$562)*MIN(N$3-$O$2,$Q$2)/$Q$2))</f>
        <v>9936.72385299482</v>
      </c>
      <c r="O587" s="15" t="n">
        <f aca="false">SUMPRODUCT(E587:N587,1/(1+$F$562)^$E$3:$N$3)*$E$2</f>
        <v>19618.158952306</v>
      </c>
      <c r="P587" s="15" t="n">
        <f aca="false">N587*$E$2*(1+$I$562)/($F$562-$I$562)/(1+$F$562)^$N$3</f>
        <v>41396.8610251014</v>
      </c>
      <c r="Q587" s="15" t="n">
        <f aca="false">O587+P587</f>
        <v>61015.0199774074</v>
      </c>
      <c r="R587" s="15" t="n">
        <f aca="false">Q587-$G$2+$I$2</f>
        <v>52250.0199774074</v>
      </c>
      <c r="S587" s="40" t="n">
        <f aca="false">R587/$K$2</f>
        <v>93.4738630673859</v>
      </c>
      <c r="T587" s="41" t="n">
        <f aca="false">S587-$M$2</f>
        <v>3.57390378411537E-005</v>
      </c>
    </row>
    <row r="589" customFormat="false" ht="15" hidden="false" customHeight="false" outlineLevel="0" collapsed="false">
      <c r="A589" s="36" t="s">
        <v>207</v>
      </c>
      <c r="E589" s="5" t="s">
        <v>11</v>
      </c>
      <c r="F589" s="12" t="n">
        <f aca="false">Sensitivity!$B$14</f>
        <v>0.086736031552909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6" t="s">
        <v>167</v>
      </c>
      <c r="B590" s="28" t="s">
        <v>168</v>
      </c>
      <c r="C590" s="28" t="s">
        <v>169</v>
      </c>
      <c r="D590" s="28" t="s">
        <v>170</v>
      </c>
      <c r="E590" s="28" t="s">
        <v>171</v>
      </c>
      <c r="F590" s="28" t="s">
        <v>172</v>
      </c>
      <c r="G590" s="28" t="s">
        <v>173</v>
      </c>
      <c r="H590" s="28" t="s">
        <v>174</v>
      </c>
      <c r="I590" s="28" t="s">
        <v>175</v>
      </c>
      <c r="J590" s="28" t="s">
        <v>176</v>
      </c>
      <c r="K590" s="28" t="s">
        <v>177</v>
      </c>
      <c r="L590" s="28" t="s">
        <v>178</v>
      </c>
      <c r="M590" s="28" t="s">
        <v>179</v>
      </c>
      <c r="N590" s="28" t="s">
        <v>180</v>
      </c>
      <c r="O590" s="28" t="s">
        <v>181</v>
      </c>
      <c r="P590" s="28" t="s">
        <v>182</v>
      </c>
      <c r="Q590" s="28" t="s">
        <v>183</v>
      </c>
      <c r="R590" s="28" t="s">
        <v>184</v>
      </c>
      <c r="S590" s="28" t="s">
        <v>185</v>
      </c>
      <c r="T590" s="28" t="s">
        <v>186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39" t="n">
        <f aca="false">(B591+C591)/2</f>
        <v>0.25</v>
      </c>
      <c r="E591" s="15" t="n">
        <f aca="false">$C$2*(1+IF(E$3&lt;=$O$2,$D591,$D591-($D591-$I$589)*MIN(E$3-$O$2,$Q$2)/$Q$2))</f>
        <v>7012.5</v>
      </c>
      <c r="F591" s="15" t="n">
        <f aca="false">E591*(1+IF(F$3&lt;=$O$2,$D591,$D591-($D591-$I$589)*MIN(F$3-$O$2,$Q$2)/$Q$2))</f>
        <v>8765.625</v>
      </c>
      <c r="G591" s="15" t="n">
        <f aca="false">F591*(1+IF(G$3&lt;=$O$2,$D591,$D591-($D591-$I$589)*MIN(G$3-$O$2,$Q$2)/$Q$2))</f>
        <v>10957.03125</v>
      </c>
      <c r="H591" s="15" t="n">
        <f aca="false">G591*(1+IF(H$3&lt;=$O$2,$D591,$D591-($D591-$I$589)*MIN(H$3-$O$2,$Q$2)/$Q$2))</f>
        <v>13696.2890625</v>
      </c>
      <c r="I591" s="15" t="n">
        <f aca="false">H591*(1+IF(I$3&lt;=$O$2,$D591,$D591-($D591-$I$589)*MIN(I$3-$O$2,$Q$2)/$Q$2))</f>
        <v>17120.361328125</v>
      </c>
      <c r="J591" s="15" t="n">
        <f aca="false">I591*(1+IF(J$3&lt;=$O$2,$D591,$D591-($D591-$I$589)*MIN(J$3-$O$2,$Q$2)/$Q$2))</f>
        <v>20607.0941162109</v>
      </c>
      <c r="K591" s="15" t="n">
        <f aca="false">J591*(1+IF(K$3&lt;=$O$2,$D591,$D591-($D591-$I$589)*MIN(K$3-$O$2,$Q$2)/$Q$2))</f>
        <v>23849.0021625732</v>
      </c>
      <c r="L591" s="15" t="n">
        <f aca="false">K591*(1+IF(L$3&lt;=$O$2,$D591,$D591-($D591-$I$589)*MIN(L$3-$O$2,$Q$2)/$Q$2))</f>
        <v>26495.7644225756</v>
      </c>
      <c r="M591" s="15" t="n">
        <f aca="false">L591*(1+IF(M$3&lt;=$O$2,$D591,$D591-($D591-$I$589)*MIN(M$3-$O$2,$Q$2)/$Q$2))</f>
        <v>28208.4506348509</v>
      </c>
      <c r="N591" s="15" t="n">
        <f aca="false">M591*(1+IF(N$3&lt;=$O$2,$D591,$D591-($D591-$I$589)*MIN(N$3-$O$2,$Q$2)/$Q$2))</f>
        <v>28724.6652814687</v>
      </c>
      <c r="O591" s="15" t="n">
        <f aca="false">SUMPRODUCT(E591:N591,1/(1+$F$589)^$E$3:$N$3)*$E$2</f>
        <v>41610.4480085306</v>
      </c>
      <c r="P591" s="15" t="n">
        <f aca="false">N591*$E$2*(1+$I$589)/($F$589-$I$589)/(1+$F$589)^$N$3</f>
        <v>71132.7618538235</v>
      </c>
      <c r="Q591" s="15" t="n">
        <f aca="false">O591+P591</f>
        <v>112743.209862354</v>
      </c>
      <c r="R591" s="15" t="n">
        <f aca="false">Q591-$G$2+$I$2</f>
        <v>103978.209862354</v>
      </c>
      <c r="S591" s="40" t="n">
        <f aca="false">R591/$K$2</f>
        <v>186.014186307836</v>
      </c>
      <c r="T591" s="41" t="n">
        <f aca="false">S591-$M$2</f>
        <v>92.5403589794879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39" t="n">
        <f aca="false">(B592+C592)/2</f>
        <v>-0.125</v>
      </c>
      <c r="E592" s="15" t="n">
        <f aca="false">$C$2*(1+IF(E$3&lt;=$O$2,$D592,$D592-($D592-$I$589)*MIN(E$3-$O$2,$Q$2)/$Q$2))</f>
        <v>4908.75</v>
      </c>
      <c r="F592" s="15" t="n">
        <f aca="false">E592*(1+IF(F$3&lt;=$O$2,$D592,$D592-($D592-$I$589)*MIN(F$3-$O$2,$Q$2)/$Q$2))</f>
        <v>4295.15625</v>
      </c>
      <c r="G592" s="15" t="n">
        <f aca="false">F592*(1+IF(G$3&lt;=$O$2,$D592,$D592-($D592-$I$589)*MIN(G$3-$O$2,$Q$2)/$Q$2))</f>
        <v>3758.26171875</v>
      </c>
      <c r="H592" s="15" t="n">
        <f aca="false">G592*(1+IF(H$3&lt;=$O$2,$D592,$D592-($D592-$I$589)*MIN(H$3-$O$2,$Q$2)/$Q$2))</f>
        <v>3288.47900390625</v>
      </c>
      <c r="I592" s="15" t="n">
        <f aca="false">H592*(1+IF(I$3&lt;=$O$2,$D592,$D592-($D592-$I$589)*MIN(I$3-$O$2,$Q$2)/$Q$2))</f>
        <v>2877.41912841797</v>
      </c>
      <c r="J592" s="15" t="n">
        <f aca="false">I592*(1+IF(J$3&lt;=$O$2,$D592,$D592-($D592-$I$589)*MIN(J$3-$O$2,$Q$2)/$Q$2))</f>
        <v>2600.20856958618</v>
      </c>
      <c r="K592" s="15" t="n">
        <f aca="false">J592*(1+IF(K$3&lt;=$O$2,$D592,$D592-($D592-$I$589)*MIN(K$3-$O$2,$Q$2)/$Q$2))</f>
        <v>2424.22645359659</v>
      </c>
      <c r="L592" s="15" t="n">
        <f aca="false">K592*(1+IF(L$3&lt;=$O$2,$D592,$D592-($D592-$I$589)*MIN(L$3-$O$2,$Q$2)/$Q$2))</f>
        <v>2329.63313737725</v>
      </c>
      <c r="M592" s="15" t="n">
        <f aca="false">L592*(1+IF(M$3&lt;=$O$2,$D592,$D592-($D592-$I$589)*MIN(M$3-$O$2,$Q$2)/$Q$2))</f>
        <v>2305.49813807402</v>
      </c>
      <c r="N592" s="15" t="n">
        <f aca="false">M592*(1+IF(N$3&lt;=$O$2,$D592,$D592-($D592-$I$589)*MIN(N$3-$O$2,$Q$2)/$Q$2))</f>
        <v>2347.68875400078</v>
      </c>
      <c r="O592" s="15" t="n">
        <f aca="false">SUMPRODUCT(E592:N592,1/(1+$F$589)^$E$3:$N$3)*$E$2</f>
        <v>8251.60440343197</v>
      </c>
      <c r="P592" s="15" t="n">
        <f aca="false">N592*$E$2*(1+$I$589)/($F$589-$I$589)/(1+$F$589)^$N$3</f>
        <v>5813.73476100949</v>
      </c>
      <c r="Q592" s="15" t="n">
        <f aca="false">O592+P592</f>
        <v>14065.3391644415</v>
      </c>
      <c r="R592" s="15" t="n">
        <f aca="false">Q592-$G$2+$I$2</f>
        <v>5300.33916444146</v>
      </c>
      <c r="S592" s="40" t="n">
        <f aca="false">R592/$K$2</f>
        <v>9.48216244667333</v>
      </c>
      <c r="T592" s="41" t="n">
        <f aca="false">S592-$M$2</f>
        <v>-83.9916648816748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39" t="n">
        <f aca="false">(B593+C593)/2</f>
        <v>0.0625</v>
      </c>
      <c r="E593" s="15" t="n">
        <f aca="false">$C$2*(1+IF(E$3&lt;=$O$2,$D593,$D593-($D593-$I$589)*MIN(E$3-$O$2,$Q$2)/$Q$2))</f>
        <v>5960.625</v>
      </c>
      <c r="F593" s="15" t="n">
        <f aca="false">E593*(1+IF(F$3&lt;=$O$2,$D593,$D593-($D593-$I$589)*MIN(F$3-$O$2,$Q$2)/$Q$2))</f>
        <v>6333.1640625</v>
      </c>
      <c r="G593" s="15" t="n">
        <f aca="false">F593*(1+IF(G$3&lt;=$O$2,$D593,$D593-($D593-$I$589)*MIN(G$3-$O$2,$Q$2)/$Q$2))</f>
        <v>6728.98681640625</v>
      </c>
      <c r="H593" s="15" t="n">
        <f aca="false">G593*(1+IF(H$3&lt;=$O$2,$D593,$D593-($D593-$I$589)*MIN(H$3-$O$2,$Q$2)/$Q$2))</f>
        <v>7149.54849243164</v>
      </c>
      <c r="I593" s="15" t="n">
        <f aca="false">H593*(1+IF(I$3&lt;=$O$2,$D593,$D593-($D593-$I$589)*MIN(I$3-$O$2,$Q$2)/$Q$2))</f>
        <v>7596.39527320862</v>
      </c>
      <c r="J593" s="15" t="n">
        <f aca="false">I593*(1+IF(J$3&lt;=$O$2,$D593,$D593-($D593-$I$589)*MIN(J$3-$O$2,$Q$2)/$Q$2))</f>
        <v>8004.01784356899</v>
      </c>
      <c r="K593" s="15" t="n">
        <f aca="false">J593*(1+IF(K$3&lt;=$O$2,$D593,$D593-($D593-$I$589)*MIN(K$3-$O$2,$Q$2)/$Q$2))</f>
        <v>8362.75792331776</v>
      </c>
      <c r="L593" s="15" t="n">
        <f aca="false">K593*(1+IF(L$3&lt;=$O$2,$D593,$D593-($D593-$I$589)*MIN(L$3-$O$2,$Q$2)/$Q$2))</f>
        <v>8663.64995339873</v>
      </c>
      <c r="M593" s="15" t="n">
        <f aca="false">L593*(1+IF(M$3&lt;=$O$2,$D593,$D593-($D593-$I$589)*MIN(M$3-$O$2,$Q$2)/$Q$2))</f>
        <v>8898.78141313397</v>
      </c>
      <c r="N593" s="15" t="n">
        <f aca="false">M593*(1+IF(N$3&lt;=$O$2,$D593,$D593-($D593-$I$589)*MIN(N$3-$O$2,$Q$2)/$Q$2))</f>
        <v>9061.62911299432</v>
      </c>
      <c r="O593" s="15" t="n">
        <f aca="false">SUMPRODUCT(E593:N593,1/(1+$F$589)^$E$3:$N$3)*$E$2</f>
        <v>18493.0037466774</v>
      </c>
      <c r="P593" s="15" t="n">
        <f aca="false">N593*$E$2*(1+$I$589)/($F$589-$I$589)/(1+$F$589)^$N$3</f>
        <v>22439.9031071788</v>
      </c>
      <c r="Q593" s="15" t="n">
        <f aca="false">O593+P593</f>
        <v>40932.9068538561</v>
      </c>
      <c r="R593" s="15" t="n">
        <f aca="false">Q593-$G$2+$I$2</f>
        <v>32167.9068538561</v>
      </c>
      <c r="S593" s="40" t="n">
        <f aca="false">R593/$K$2</f>
        <v>57.5475094884542</v>
      </c>
      <c r="T593" s="41" t="n">
        <f aca="false">S593-$M$2</f>
        <v>-35.9263178398939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39" t="n">
        <f aca="false">(B594+C594)/2</f>
        <v>0.15625</v>
      </c>
      <c r="E594" s="15" t="n">
        <f aca="false">$C$2*(1+IF(E$3&lt;=$O$2,$D594,$D594-($D594-$I$589)*MIN(E$3-$O$2,$Q$2)/$Q$2))</f>
        <v>6486.5625</v>
      </c>
      <c r="F594" s="15" t="n">
        <f aca="false">E594*(1+IF(F$3&lt;=$O$2,$D594,$D594-($D594-$I$589)*MIN(F$3-$O$2,$Q$2)/$Q$2))</f>
        <v>7500.087890625</v>
      </c>
      <c r="G594" s="15" t="n">
        <f aca="false">F594*(1+IF(G$3&lt;=$O$2,$D594,$D594-($D594-$I$589)*MIN(G$3-$O$2,$Q$2)/$Q$2))</f>
        <v>8671.97662353516</v>
      </c>
      <c r="H594" s="15" t="n">
        <f aca="false">G594*(1+IF(H$3&lt;=$O$2,$D594,$D594-($D594-$I$589)*MIN(H$3-$O$2,$Q$2)/$Q$2))</f>
        <v>10026.9729709625</v>
      </c>
      <c r="I594" s="15" t="n">
        <f aca="false">H594*(1+IF(I$3&lt;=$O$2,$D594,$D594-($D594-$I$589)*MIN(I$3-$O$2,$Q$2)/$Q$2))</f>
        <v>11593.6874976754</v>
      </c>
      <c r="J594" s="15" t="n">
        <f aca="false">I594*(1+IF(J$3&lt;=$O$2,$D594,$D594-($D594-$I$589)*MIN(J$3-$O$2,$Q$2)/$Q$2))</f>
        <v>13085.3313311263</v>
      </c>
      <c r="K594" s="15" t="n">
        <f aca="false">J594*(1+IF(K$3&lt;=$O$2,$D594,$D594-($D594-$I$589)*MIN(K$3-$O$2,$Q$2)/$Q$2))</f>
        <v>14407.8657687633</v>
      </c>
      <c r="L594" s="15" t="n">
        <f aca="false">K594*(1+IF(L$3&lt;=$O$2,$D594,$D594-($D594-$I$589)*MIN(L$3-$O$2,$Q$2)/$Q$2))</f>
        <v>15466.555745452</v>
      </c>
      <c r="M594" s="15" t="n">
        <f aca="false">L594*(1+IF(M$3&lt;=$O$2,$D594,$D594-($D594-$I$589)*MIN(M$3-$O$2,$Q$2)/$Q$2))</f>
        <v>16176.3159886108</v>
      </c>
      <c r="N594" s="15" t="n">
        <f aca="false">M594*(1+IF(N$3&lt;=$O$2,$D594,$D594-($D594-$I$589)*MIN(N$3-$O$2,$Q$2)/$Q$2))</f>
        <v>16472.3425712024</v>
      </c>
      <c r="O594" s="15" t="n">
        <f aca="false">SUMPRODUCT(E594:N594,1/(1+$F$589)^$E$3:$N$3)*$E$2</f>
        <v>27789.2423319693</v>
      </c>
      <c r="P594" s="15" t="n">
        <f aca="false">N594*$E$2*(1+$I$589)/($F$589-$I$589)/(1+$F$589)^$N$3</f>
        <v>40791.5361174934</v>
      </c>
      <c r="Q594" s="15" t="n">
        <f aca="false">O594+P594</f>
        <v>68580.7784494627</v>
      </c>
      <c r="R594" s="15" t="n">
        <f aca="false">Q594-$G$2+$I$2</f>
        <v>59815.7784494627</v>
      </c>
      <c r="S594" s="40" t="n">
        <f aca="false">R594/$K$2</f>
        <v>107.008798972168</v>
      </c>
      <c r="T594" s="41" t="n">
        <f aca="false">S594-$M$2</f>
        <v>13.5349716438202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39" t="n">
        <f aca="false">(B595+C595)/2</f>
        <v>0.109375</v>
      </c>
      <c r="E595" s="15" t="n">
        <f aca="false">$C$2*(1+IF(E$3&lt;=$O$2,$D595,$D595-($D595-$I$589)*MIN(E$3-$O$2,$Q$2)/$Q$2))</f>
        <v>6223.59375</v>
      </c>
      <c r="F595" s="15" t="n">
        <f aca="false">E595*(1+IF(F$3&lt;=$O$2,$D595,$D595-($D595-$I$589)*MIN(F$3-$O$2,$Q$2)/$Q$2))</f>
        <v>6904.29931640625</v>
      </c>
      <c r="G595" s="15" t="n">
        <f aca="false">F595*(1+IF(G$3&lt;=$O$2,$D595,$D595-($D595-$I$589)*MIN(G$3-$O$2,$Q$2)/$Q$2))</f>
        <v>7659.45705413818</v>
      </c>
      <c r="H595" s="15" t="n">
        <f aca="false">G595*(1+IF(H$3&lt;=$O$2,$D595,$D595-($D595-$I$589)*MIN(H$3-$O$2,$Q$2)/$Q$2))</f>
        <v>8497.21016943455</v>
      </c>
      <c r="I595" s="15" t="n">
        <f aca="false">H595*(1+IF(I$3&lt;=$O$2,$D595,$D595-($D595-$I$589)*MIN(I$3-$O$2,$Q$2)/$Q$2))</f>
        <v>9426.59253171645</v>
      </c>
      <c r="J595" s="15" t="n">
        <f aca="false">I595*(1+IF(J$3&lt;=$O$2,$D595,$D595-($D595-$I$589)*MIN(J$3-$O$2,$Q$2)/$Q$2))</f>
        <v>10285.9207069077</v>
      </c>
      <c r="K595" s="15" t="n">
        <f aca="false">J595*(1+IF(K$3&lt;=$O$2,$D595,$D595-($D595-$I$589)*MIN(K$3-$O$2,$Q$2)/$Q$2))</f>
        <v>11036.2271928731</v>
      </c>
      <c r="L595" s="15" t="n">
        <f aca="false">K595*(1+IF(L$3&lt;=$O$2,$D595,$D595-($D595-$I$589)*MIN(L$3-$O$2,$Q$2)/$Q$2))</f>
        <v>11640.2399071391</v>
      </c>
      <c r="M595" s="15" t="n">
        <f aca="false">L595*(1+IF(M$3&lt;=$O$2,$D595,$D595-($D595-$I$589)*MIN(M$3-$O$2,$Q$2)/$Q$2))</f>
        <v>12065.2832673482</v>
      </c>
      <c r="N595" s="15" t="n">
        <f aca="false">M595*(1+IF(N$3&lt;=$O$2,$D595,$D595-($D595-$I$589)*MIN(N$3-$O$2,$Q$2)/$Q$2))</f>
        <v>12286.0779511407</v>
      </c>
      <c r="O595" s="15" t="n">
        <f aca="false">SUMPRODUCT(E595:N595,1/(1+$F$589)^$E$3:$N$3)*$E$2</f>
        <v>22673.8733423325</v>
      </c>
      <c r="P595" s="15" t="n">
        <f aca="false">N595*$E$2*(1+$I$589)/($F$589-$I$589)/(1+$F$589)^$N$3</f>
        <v>30424.8160405829</v>
      </c>
      <c r="Q595" s="15" t="n">
        <f aca="false">O595+P595</f>
        <v>53098.6893829154</v>
      </c>
      <c r="R595" s="15" t="n">
        <f aca="false">Q595-$G$2+$I$2</f>
        <v>44333.6893829154</v>
      </c>
      <c r="S595" s="40" t="n">
        <f aca="false">R595/$K$2</f>
        <v>79.3117631810001</v>
      </c>
      <c r="T595" s="41" t="n">
        <f aca="false">S595-$M$2</f>
        <v>-14.162064147348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0.109375</v>
      </c>
      <c r="C596" s="25" t="n">
        <f aca="false">IF(T595&gt;0,D595,C595)</f>
        <v>0.15625</v>
      </c>
      <c r="D596" s="39" t="n">
        <f aca="false">(B596+C596)/2</f>
        <v>0.1328125</v>
      </c>
      <c r="E596" s="15" t="n">
        <f aca="false">$C$2*(1+IF(E$3&lt;=$O$2,$D596,$D596-($D596-$I$589)*MIN(E$3-$O$2,$Q$2)/$Q$2))</f>
        <v>6355.078125</v>
      </c>
      <c r="F596" s="15" t="n">
        <f aca="false">E596*(1+IF(F$3&lt;=$O$2,$D596,$D596-($D596-$I$589)*MIN(F$3-$O$2,$Q$2)/$Q$2))</f>
        <v>7199.11193847656</v>
      </c>
      <c r="G596" s="15" t="n">
        <f aca="false">F596*(1+IF(G$3&lt;=$O$2,$D596,$D596-($D596-$I$589)*MIN(G$3-$O$2,$Q$2)/$Q$2))</f>
        <v>8155.24399280548</v>
      </c>
      <c r="H596" s="15" t="n">
        <f aca="false">G596*(1+IF(H$3&lt;=$O$2,$D596,$D596-($D596-$I$589)*MIN(H$3-$O$2,$Q$2)/$Q$2))</f>
        <v>9238.36233559996</v>
      </c>
      <c r="I596" s="15" t="n">
        <f aca="false">H596*(1+IF(I$3&lt;=$O$2,$D596,$D596-($D596-$I$589)*MIN(I$3-$O$2,$Q$2)/$Q$2))</f>
        <v>10465.3323332968</v>
      </c>
      <c r="J596" s="15" t="n">
        <f aca="false">I596*(1+IF(J$3&lt;=$O$2,$D596,$D596-($D596-$I$589)*MIN(J$3-$O$2,$Q$2)/$Q$2))</f>
        <v>11615.5770100495</v>
      </c>
      <c r="K596" s="15" t="n">
        <f aca="false">J596*(1+IF(K$3&lt;=$O$2,$D596,$D596-($D596-$I$589)*MIN(K$3-$O$2,$Q$2)/$Q$2))</f>
        <v>12626.2193267514</v>
      </c>
      <c r="L596" s="15" t="n">
        <f aca="false">K596*(1+IF(L$3&lt;=$O$2,$D596,$D596-($D596-$I$589)*MIN(L$3-$O$2,$Q$2)/$Q$2))</f>
        <v>13435.6231166928</v>
      </c>
      <c r="M596" s="15" t="n">
        <f aca="false">L596*(1+IF(M$3&lt;=$O$2,$D596,$D596-($D596-$I$589)*MIN(M$3-$O$2,$Q$2)/$Q$2))</f>
        <v>13989.2043781583</v>
      </c>
      <c r="N596" s="15" t="n">
        <f aca="false">M596*(1+IF(N$3&lt;=$O$2,$D596,$D596-($D596-$I$589)*MIN(N$3-$O$2,$Q$2)/$Q$2))</f>
        <v>14245.2068182786</v>
      </c>
      <c r="O596" s="15" t="n">
        <f aca="false">SUMPRODUCT(E596:N596,1/(1+$F$589)^$E$3:$N$3)*$E$2</f>
        <v>25103.6525301098</v>
      </c>
      <c r="P596" s="15" t="n">
        <f aca="false">N596*$E$2*(1+$I$589)/($F$589-$I$589)/(1+$F$589)^$N$3</f>
        <v>35276.3346146558</v>
      </c>
      <c r="Q596" s="15" t="n">
        <f aca="false">O596+P596</f>
        <v>60379.9871447656</v>
      </c>
      <c r="R596" s="15" t="n">
        <f aca="false">Q596-$G$2+$I$2</f>
        <v>51614.9871447656</v>
      </c>
      <c r="S596" s="40" t="n">
        <f aca="false">R596/$K$2</f>
        <v>92.3378066205688</v>
      </c>
      <c r="T596" s="41" t="n">
        <f aca="false">S596-$M$2</f>
        <v>-1.13602070777925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0.1328125</v>
      </c>
      <c r="C597" s="25" t="n">
        <f aca="false">IF(T596&gt;0,D596,C596)</f>
        <v>0.15625</v>
      </c>
      <c r="D597" s="39" t="n">
        <f aca="false">(B597+C597)/2</f>
        <v>0.14453125</v>
      </c>
      <c r="E597" s="15" t="n">
        <f aca="false">$C$2*(1+IF(E$3&lt;=$O$2,$D597,$D597-($D597-$I$589)*MIN(E$3-$O$2,$Q$2)/$Q$2))</f>
        <v>6420.8203125</v>
      </c>
      <c r="F597" s="15" t="n">
        <f aca="false">E597*(1+IF(F$3&lt;=$O$2,$D597,$D597-($D597-$I$589)*MIN(F$3-$O$2,$Q$2)/$Q$2))</f>
        <v>7348.82949829102</v>
      </c>
      <c r="G597" s="15" t="n">
        <f aca="false">F597*(1+IF(G$3&lt;=$O$2,$D597,$D597-($D597-$I$589)*MIN(G$3-$O$2,$Q$2)/$Q$2))</f>
        <v>8410.96501171589</v>
      </c>
      <c r="H597" s="15" t="n">
        <f aca="false">G597*(1+IF(H$3&lt;=$O$2,$D597,$D597-($D597-$I$589)*MIN(H$3-$O$2,$Q$2)/$Q$2))</f>
        <v>9626.61229856545</v>
      </c>
      <c r="I597" s="15" t="n">
        <f aca="false">H597*(1+IF(I$3&lt;=$O$2,$D597,$D597-($D597-$I$589)*MIN(I$3-$O$2,$Q$2)/$Q$2))</f>
        <v>11017.9586073425</v>
      </c>
      <c r="J597" s="15" t="n">
        <f aca="false">I597*(1+IF(J$3&lt;=$O$2,$D597,$D597-($D597-$I$589)*MIN(J$3-$O$2,$Q$2)/$Q$2))</f>
        <v>12332.2357998193</v>
      </c>
      <c r="K597" s="15" t="n">
        <f aca="false">J597*(1+IF(K$3&lt;=$O$2,$D597,$D597-($D597-$I$589)*MIN(K$3-$O$2,$Q$2)/$Q$2))</f>
        <v>13491.9438391396</v>
      </c>
      <c r="L597" s="15" t="n">
        <f aca="false">K597*(1+IF(L$3&lt;=$O$2,$D597,$D597-($D597-$I$589)*MIN(L$3-$O$2,$Q$2)/$Q$2))</f>
        <v>14420.0883856936</v>
      </c>
      <c r="M597" s="15" t="n">
        <f aca="false">L597*(1+IF(M$3&lt;=$O$2,$D597,$D597-($D597-$I$589)*MIN(M$3-$O$2,$Q$2)/$Q$2))</f>
        <v>15048.0291595591</v>
      </c>
      <c r="N597" s="15" t="n">
        <f aca="false">M597*(1+IF(N$3&lt;=$O$2,$D597,$D597-($D597-$I$589)*MIN(N$3-$O$2,$Q$2)/$Q$2))</f>
        <v>15323.408093179</v>
      </c>
      <c r="O597" s="15" t="n">
        <f aca="false">SUMPRODUCT(E597:N597,1/(1+$F$589)^$E$3:$N$3)*$E$2</f>
        <v>26412.9853625286</v>
      </c>
      <c r="P597" s="15" t="n">
        <f aca="false">N597*$E$2*(1+$I$589)/($F$589-$I$589)/(1+$F$589)^$N$3</f>
        <v>37946.3547442711</v>
      </c>
      <c r="Q597" s="15" t="n">
        <f aca="false">O597+P597</f>
        <v>64359.3401067997</v>
      </c>
      <c r="R597" s="15" t="n">
        <f aca="false">Q597-$G$2+$I$2</f>
        <v>55594.3401067997</v>
      </c>
      <c r="S597" s="40" t="n">
        <f aca="false">R597/$K$2</f>
        <v>99.4567607191665</v>
      </c>
      <c r="T597" s="41" t="n">
        <f aca="false">S597-$M$2</f>
        <v>5.98293339081842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0.1328125</v>
      </c>
      <c r="C598" s="25" t="n">
        <f aca="false">IF(T597&gt;0,D597,C597)</f>
        <v>0.14453125</v>
      </c>
      <c r="D598" s="39" t="n">
        <f aca="false">(B598+C598)/2</f>
        <v>0.138671875</v>
      </c>
      <c r="E598" s="15" t="n">
        <f aca="false">$C$2*(1+IF(E$3&lt;=$O$2,$D598,$D598-($D598-$I$589)*MIN(E$3-$O$2,$Q$2)/$Q$2))</f>
        <v>6387.94921875</v>
      </c>
      <c r="F598" s="15" t="n">
        <f aca="false">E598*(1+IF(F$3&lt;=$O$2,$D598,$D598-($D598-$I$589)*MIN(F$3-$O$2,$Q$2)/$Q$2))</f>
        <v>7273.77811431885</v>
      </c>
      <c r="G598" s="15" t="n">
        <f aca="false">F598*(1+IF(G$3&lt;=$O$2,$D598,$D598-($D598-$I$589)*MIN(G$3-$O$2,$Q$2)/$Q$2))</f>
        <v>8282.44656376541</v>
      </c>
      <c r="H598" s="15" t="n">
        <f aca="false">G598*(1+IF(H$3&lt;=$O$2,$D598,$D598-($D598-$I$589)*MIN(H$3-$O$2,$Q$2)/$Q$2))</f>
        <v>9430.98895835006</v>
      </c>
      <c r="I598" s="15" t="n">
        <f aca="false">H598*(1+IF(I$3&lt;=$O$2,$D598,$D598-($D598-$I$589)*MIN(I$3-$O$2,$Q$2)/$Q$2))</f>
        <v>10738.8018803088</v>
      </c>
      <c r="J598" s="15" t="n">
        <f aca="false">I598*(1+IF(J$3&lt;=$O$2,$D598,$D598-($D598-$I$589)*MIN(J$3-$O$2,$Q$2)/$Q$2))</f>
        <v>11969.4417287874</v>
      </c>
      <c r="K598" s="15" t="n">
        <f aca="false">J598*(1+IF(K$3&lt;=$O$2,$D598,$D598-($D598-$I$589)*MIN(K$3-$O$2,$Q$2)/$Q$2))</f>
        <v>13052.9529985827</v>
      </c>
      <c r="L598" s="15" t="n">
        <f aca="false">K598*(1+IF(L$3&lt;=$O$2,$D598,$D598-($D598-$I$589)*MIN(L$3-$O$2,$Q$2)/$Q$2))</f>
        <v>13920.3054091473</v>
      </c>
      <c r="M598" s="15" t="n">
        <f aca="false">L598*(1+IF(M$3&lt;=$O$2,$D598,$D598-($D598-$I$589)*MIN(M$3-$O$2,$Q$2)/$Q$2))</f>
        <v>14510.169650669</v>
      </c>
      <c r="N598" s="15" t="n">
        <f aca="false">M598*(1+IF(N$3&lt;=$O$2,$D598,$D598-($D598-$I$589)*MIN(N$3-$O$2,$Q$2)/$Q$2))</f>
        <v>14775.7057552762</v>
      </c>
      <c r="O598" s="15" t="n">
        <f aca="false">SUMPRODUCT(E598:N598,1/(1+$F$589)^$E$3:$N$3)*$E$2</f>
        <v>25750.1437635477</v>
      </c>
      <c r="P598" s="15" t="n">
        <f aca="false">N598*$E$2*(1+$I$589)/($F$589-$I$589)/(1+$F$589)^$N$3</f>
        <v>36590.0437276913</v>
      </c>
      <c r="Q598" s="15" t="n">
        <f aca="false">O598+P598</f>
        <v>62340.187491239</v>
      </c>
      <c r="R598" s="15" t="n">
        <f aca="false">Q598-$G$2+$I$2</f>
        <v>53575.187491239</v>
      </c>
      <c r="S598" s="40" t="n">
        <f aca="false">R598/$K$2</f>
        <v>95.8445516677501</v>
      </c>
      <c r="T598" s="41" t="n">
        <f aca="false">S598-$M$2</f>
        <v>2.37072433940206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0.1328125</v>
      </c>
      <c r="C599" s="25" t="n">
        <f aca="false">IF(T598&gt;0,D598,C598)</f>
        <v>0.138671875</v>
      </c>
      <c r="D599" s="39" t="n">
        <f aca="false">(B599+C599)/2</f>
        <v>0.1357421875</v>
      </c>
      <c r="E599" s="15" t="n">
        <f aca="false">$C$2*(1+IF(E$3&lt;=$O$2,$D599,$D599-($D599-$I$589)*MIN(E$3-$O$2,$Q$2)/$Q$2))</f>
        <v>6371.513671875</v>
      </c>
      <c r="F599" s="15" t="n">
        <f aca="false">E599*(1+IF(F$3&lt;=$O$2,$D599,$D599-($D599-$I$589)*MIN(F$3-$O$2,$Q$2)/$Q$2))</f>
        <v>7236.39687538147</v>
      </c>
      <c r="G599" s="15" t="n">
        <f aca="false">F599*(1+IF(G$3&lt;=$O$2,$D599,$D599-($D599-$I$589)*MIN(G$3-$O$2,$Q$2)/$Q$2))</f>
        <v>8218.68121686392</v>
      </c>
      <c r="H599" s="15" t="n">
        <f aca="false">G599*(1+IF(H$3&lt;=$O$2,$D599,$D599-($D599-$I$589)*MIN(H$3-$O$2,$Q$2)/$Q$2))</f>
        <v>9334.30298360619</v>
      </c>
      <c r="I599" s="15" t="n">
        <f aca="false">H599*(1+IF(I$3&lt;=$O$2,$D599,$D599-($D599-$I$589)*MIN(I$3-$O$2,$Q$2)/$Q$2))</f>
        <v>10601.3616893887</v>
      </c>
      <c r="J599" s="15" t="n">
        <f aca="false">I599*(1+IF(J$3&lt;=$O$2,$D599,$D599-($D599-$I$589)*MIN(J$3-$O$2,$Q$2)/$Q$2))</f>
        <v>11791.4042941289</v>
      </c>
      <c r="K599" s="15" t="n">
        <f aca="false">J599*(1+IF(K$3&lt;=$O$2,$D599,$D599-($D599-$I$589)*MIN(K$3-$O$2,$Q$2)/$Q$2))</f>
        <v>12838.0719811111</v>
      </c>
      <c r="L599" s="15" t="n">
        <f aca="false">K599*(1+IF(L$3&lt;=$O$2,$D599,$D599-($D599-$I$589)*MIN(L$3-$O$2,$Q$2)/$Q$2))</f>
        <v>13676.1012010631</v>
      </c>
      <c r="M599" s="15" t="n">
        <f aca="false">L599*(1+IF(M$3&lt;=$O$2,$D599,$D599-($D599-$I$589)*MIN(M$3-$O$2,$Q$2)/$Q$2))</f>
        <v>14247.6041013474</v>
      </c>
      <c r="N599" s="15" t="n">
        <f aca="false">M599*(1+IF(N$3&lt;=$O$2,$D599,$D599-($D599-$I$589)*MIN(N$3-$O$2,$Q$2)/$Q$2))</f>
        <v>14508.335256402</v>
      </c>
      <c r="O599" s="15" t="n">
        <f aca="false">SUMPRODUCT(E599:N599,1/(1+$F$589)^$E$3:$N$3)*$E$2</f>
        <v>25424.8777330302</v>
      </c>
      <c r="P599" s="15" t="n">
        <f aca="false">N599*$E$2*(1+$I$589)/($F$589-$I$589)/(1+$F$589)^$N$3</f>
        <v>35927.9367253365</v>
      </c>
      <c r="Q599" s="15" t="n">
        <f aca="false">O599+P599</f>
        <v>61352.8144583667</v>
      </c>
      <c r="R599" s="15" t="n">
        <f aca="false">Q599-$G$2+$I$2</f>
        <v>52587.8144583667</v>
      </c>
      <c r="S599" s="40" t="n">
        <f aca="false">R599/$K$2</f>
        <v>94.078168196298</v>
      </c>
      <c r="T599" s="41" t="n">
        <f aca="false">S599-$M$2</f>
        <v>0.604340867949929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0.1328125</v>
      </c>
      <c r="C600" s="25" t="n">
        <f aca="false">IF(T599&gt;0,D599,C599)</f>
        <v>0.1357421875</v>
      </c>
      <c r="D600" s="39" t="n">
        <f aca="false">(B600+C600)/2</f>
        <v>0.13427734375</v>
      </c>
      <c r="E600" s="15" t="n">
        <f aca="false">$C$2*(1+IF(E$3&lt;=$O$2,$D600,$D600-($D600-$I$589)*MIN(E$3-$O$2,$Q$2)/$Q$2))</f>
        <v>6363.2958984375</v>
      </c>
      <c r="F600" s="15" t="n">
        <f aca="false">E600*(1+IF(F$3&lt;=$O$2,$D600,$D600-($D600-$I$589)*MIN(F$3-$O$2,$Q$2)/$Q$2))</f>
        <v>7217.74236917496</v>
      </c>
      <c r="G600" s="15" t="n">
        <f aca="false">F600*(1+IF(G$3&lt;=$O$2,$D600,$D600-($D600-$I$589)*MIN(G$3-$O$2,$Q$2)/$Q$2))</f>
        <v>8186.9216423796</v>
      </c>
      <c r="H600" s="15" t="n">
        <f aca="false">G600*(1+IF(H$3&lt;=$O$2,$D600,$D600-($D600-$I$589)*MIN(H$3-$O$2,$Q$2)/$Q$2))</f>
        <v>9286.23973400772</v>
      </c>
      <c r="I600" s="15" t="n">
        <f aca="false">H600*(1+IF(I$3&lt;=$O$2,$D600,$D600-($D600-$I$589)*MIN(I$3-$O$2,$Q$2)/$Q$2))</f>
        <v>10533.171338916</v>
      </c>
      <c r="J600" s="15" t="n">
        <f aca="false">I600*(1+IF(J$3&lt;=$O$2,$D600,$D600-($D600-$I$589)*MIN(J$3-$O$2,$Q$2)/$Q$2))</f>
        <v>11703.215760939</v>
      </c>
      <c r="K600" s="15" t="n">
        <f aca="false">J600*(1+IF(K$3&lt;=$O$2,$D600,$D600-($D600-$I$589)*MIN(K$3-$O$2,$Q$2)/$Q$2))</f>
        <v>12731.7693357363</v>
      </c>
      <c r="L600" s="15" t="n">
        <f aca="false">K600*(1+IF(L$3&lt;=$O$2,$D600,$D600-($D600-$I$589)*MIN(L$3-$O$2,$Q$2)/$Q$2))</f>
        <v>13555.3994300989</v>
      </c>
      <c r="M600" s="15" t="n">
        <f aca="false">L600*(1+IF(M$3&lt;=$O$2,$D600,$D600-($D600-$I$589)*MIN(M$3-$O$2,$Q$2)/$Q$2))</f>
        <v>14117.8870835443</v>
      </c>
      <c r="N600" s="15" t="n">
        <f aca="false">M600*(1+IF(N$3&lt;=$O$2,$D600,$D600-($D600-$I$589)*MIN(N$3-$O$2,$Q$2)/$Q$2))</f>
        <v>14376.2444171732</v>
      </c>
      <c r="O600" s="15" t="n">
        <f aca="false">SUMPRODUCT(E600:N600,1/(1+$F$589)^$E$3:$N$3)*$E$2</f>
        <v>25263.7629255508</v>
      </c>
      <c r="P600" s="15" t="n">
        <f aca="false">N600*$E$2*(1+$I$589)/($F$589-$I$589)/(1+$F$589)^$N$3</f>
        <v>35600.8315661338</v>
      </c>
      <c r="Q600" s="15" t="n">
        <f aca="false">O600+P600</f>
        <v>60864.5944916846</v>
      </c>
      <c r="R600" s="15" t="n">
        <f aca="false">Q600-$G$2+$I$2</f>
        <v>52099.5944916846</v>
      </c>
      <c r="S600" s="40" t="n">
        <f aca="false">R600/$K$2</f>
        <v>93.2047559692379</v>
      </c>
      <c r="T600" s="41" t="n">
        <f aca="false">S600-$M$2</f>
        <v>-0.269071359110171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0.13427734375</v>
      </c>
      <c r="C601" s="25" t="n">
        <f aca="false">IF(T600&gt;0,D600,C600)</f>
        <v>0.1357421875</v>
      </c>
      <c r="D601" s="39" t="n">
        <f aca="false">(B601+C601)/2</f>
        <v>0.135009765625</v>
      </c>
      <c r="E601" s="15" t="n">
        <f aca="false">$C$2*(1+IF(E$3&lt;=$O$2,$D601,$D601-($D601-$I$589)*MIN(E$3-$O$2,$Q$2)/$Q$2))</f>
        <v>6367.40478515625</v>
      </c>
      <c r="F601" s="15" t="n">
        <f aca="false">E601*(1+IF(F$3&lt;=$O$2,$D601,$D601-($D601-$I$589)*MIN(F$3-$O$2,$Q$2)/$Q$2))</f>
        <v>7227.0666128397</v>
      </c>
      <c r="G601" s="15" t="n">
        <f aca="false">F601*(1+IF(G$3&lt;=$O$2,$D601,$D601-($D601-$I$589)*MIN(G$3-$O$2,$Q$2)/$Q$2))</f>
        <v>8202.79118239545</v>
      </c>
      <c r="H601" s="15" t="n">
        <f aca="false">G601*(1+IF(H$3&lt;=$O$2,$D601,$D601-($D601-$I$589)*MIN(H$3-$O$2,$Q$2)/$Q$2))</f>
        <v>9310.24809740148</v>
      </c>
      <c r="I601" s="15" t="n">
        <f aca="false">H601*(1+IF(I$3&lt;=$O$2,$D601,$D601-($D601-$I$589)*MIN(I$3-$O$2,$Q$2)/$Q$2))</f>
        <v>10567.2225109423</v>
      </c>
      <c r="J601" s="15" t="n">
        <f aca="false">I601*(1+IF(J$3&lt;=$O$2,$D601,$D601-($D601-$I$589)*MIN(J$3-$O$2,$Q$2)/$Q$2))</f>
        <v>11747.2411329399</v>
      </c>
      <c r="K601" s="15" t="n">
        <f aca="false">J601*(1+IF(K$3&lt;=$O$2,$D601,$D601-($D601-$I$589)*MIN(K$3-$O$2,$Q$2)/$Q$2))</f>
        <v>12784.8263012922</v>
      </c>
      <c r="L601" s="15" t="n">
        <f aca="false">K601*(1+IF(L$3&lt;=$O$2,$D601,$D601-($D601-$I$589)*MIN(L$3-$O$2,$Q$2)/$Q$2))</f>
        <v>13615.6342550779</v>
      </c>
      <c r="M601" s="15" t="n">
        <f aca="false">L601*(1+IF(M$3&lt;=$O$2,$D601,$D601-($D601-$I$589)*MIN(M$3-$O$2,$Q$2)/$Q$2))</f>
        <v>14182.615858495</v>
      </c>
      <c r="N601" s="15" t="n">
        <f aca="false">M601*(1+IF(N$3&lt;=$O$2,$D601,$D601-($D601-$I$589)*MIN(N$3-$O$2,$Q$2)/$Q$2))</f>
        <v>14442.1577287055</v>
      </c>
      <c r="O601" s="15" t="n">
        <f aca="false">SUMPRODUCT(E601:N601,1/(1+$F$589)^$E$3:$N$3)*$E$2</f>
        <v>25344.1944167306</v>
      </c>
      <c r="P601" s="15" t="n">
        <f aca="false">N601*$E$2*(1+$I$589)/($F$589-$I$589)/(1+$F$589)^$N$3</f>
        <v>35764.0569978763</v>
      </c>
      <c r="Q601" s="15" t="n">
        <f aca="false">O601+P601</f>
        <v>61108.2514146069</v>
      </c>
      <c r="R601" s="15" t="n">
        <f aca="false">Q601-$G$2+$I$2</f>
        <v>52343.2514146069</v>
      </c>
      <c r="S601" s="40" t="n">
        <f aca="false">R601/$K$2</f>
        <v>93.6406515700148</v>
      </c>
      <c r="T601" s="41" t="n">
        <f aca="false">S601-$M$2</f>
        <v>0.16682424166676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0.13427734375</v>
      </c>
      <c r="C602" s="25" t="n">
        <f aca="false">IF(T601&gt;0,D601,C601)</f>
        <v>0.135009765625</v>
      </c>
      <c r="D602" s="39" t="n">
        <f aca="false">(B602+C602)/2</f>
        <v>0.1346435546875</v>
      </c>
      <c r="E602" s="15" t="n">
        <f aca="false">$C$2*(1+IF(E$3&lt;=$O$2,$D602,$D602-($D602-$I$589)*MIN(E$3-$O$2,$Q$2)/$Q$2))</f>
        <v>6365.35034179688</v>
      </c>
      <c r="F602" s="15" t="n">
        <f aca="false">E602*(1+IF(F$3&lt;=$O$2,$D602,$D602-($D602-$I$589)*MIN(F$3-$O$2,$Q$2)/$Q$2))</f>
        <v>7222.4037386477</v>
      </c>
      <c r="G602" s="15" t="n">
        <f aca="false">F602*(1+IF(G$3&lt;=$O$2,$D602,$D602-($D602-$I$589)*MIN(G$3-$O$2,$Q$2)/$Q$2))</f>
        <v>8194.85385140752</v>
      </c>
      <c r="H602" s="15" t="n">
        <f aca="false">G602*(1+IF(H$3&lt;=$O$2,$D602,$D602-($D602-$I$589)*MIN(H$3-$O$2,$Q$2)/$Q$2))</f>
        <v>9298.23810410557</v>
      </c>
      <c r="I602" s="15" t="n">
        <f aca="false">H602*(1+IF(I$3&lt;=$O$2,$D602,$D602-($D602-$I$589)*MIN(I$3-$O$2,$Q$2)/$Q$2))</f>
        <v>10550.1859347731</v>
      </c>
      <c r="J602" s="15" t="n">
        <f aca="false">I602*(1+IF(J$3&lt;=$O$2,$D602,$D602-($D602-$I$589)*MIN(J$3-$O$2,$Q$2)/$Q$2))</f>
        <v>11725.2112447919</v>
      </c>
      <c r="K602" s="15" t="n">
        <f aca="false">J602*(1+IF(K$3&lt;=$O$2,$D602,$D602-($D602-$I$589)*MIN(K$3-$O$2,$Q$2)/$Q$2))</f>
        <v>12758.2742639802</v>
      </c>
      <c r="L602" s="15" t="n">
        <f aca="false">K602*(1+IF(L$3&lt;=$O$2,$D602,$D602-($D602-$I$589)*MIN(L$3-$O$2,$Q$2)/$Q$2))</f>
        <v>13585.4878748308</v>
      </c>
      <c r="M602" s="15" t="n">
        <f aca="false">L602*(1+IF(M$3&lt;=$O$2,$D602,$D602-($D602-$I$589)*MIN(M$3-$O$2,$Q$2)/$Q$2))</f>
        <v>14150.2190932446</v>
      </c>
      <c r="N602" s="15" t="n">
        <f aca="false">M602*(1+IF(N$3&lt;=$O$2,$D602,$D602-($D602-$I$589)*MIN(N$3-$O$2,$Q$2)/$Q$2))</f>
        <v>14409.1681026509</v>
      </c>
      <c r="O602" s="15" t="n">
        <f aca="false">SUMPRODUCT(E602:N602,1/(1+$F$589)^$E$3:$N$3)*$E$2</f>
        <v>25303.9472382027</v>
      </c>
      <c r="P602" s="15" t="n">
        <f aca="false">N602*$E$2*(1+$I$589)/($F$589-$I$589)/(1+$F$589)^$N$3</f>
        <v>35682.3626355298</v>
      </c>
      <c r="Q602" s="15" t="n">
        <f aca="false">O602+P602</f>
        <v>60986.3098737325</v>
      </c>
      <c r="R602" s="15" t="n">
        <f aca="false">Q602-$G$2+$I$2</f>
        <v>52221.3098737325</v>
      </c>
      <c r="S602" s="40" t="n">
        <f aca="false">R602/$K$2</f>
        <v>93.4225014736351</v>
      </c>
      <c r="T602" s="41" t="n">
        <f aca="false">S602-$M$2</f>
        <v>-0.0513258547129993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0.1346435546875</v>
      </c>
      <c r="C603" s="25" t="n">
        <f aca="false">IF(T602&gt;0,D602,C602)</f>
        <v>0.135009765625</v>
      </c>
      <c r="D603" s="39" t="n">
        <f aca="false">(B603+C603)/2</f>
        <v>0.13482666015625</v>
      </c>
      <c r="E603" s="15" t="n">
        <f aca="false">$C$2*(1+IF(E$3&lt;=$O$2,$D603,$D603-($D603-$I$589)*MIN(E$3-$O$2,$Q$2)/$Q$2))</f>
        <v>6366.37756347656</v>
      </c>
      <c r="F603" s="15" t="n">
        <f aca="false">E603*(1+IF(F$3&lt;=$O$2,$D603,$D603-($D603-$I$589)*MIN(F$3-$O$2,$Q$2)/$Q$2))</f>
        <v>7224.73498765379</v>
      </c>
      <c r="G603" s="15" t="n">
        <f aca="false">F603*(1+IF(G$3&lt;=$O$2,$D603,$D603-($D603-$I$589)*MIN(G$3-$O$2,$Q$2)/$Q$2))</f>
        <v>8198.82187655316</v>
      </c>
      <c r="H603" s="15" t="n">
        <f aca="false">G603*(1+IF(H$3&lt;=$O$2,$D603,$D603-($D603-$I$589)*MIN(H$3-$O$2,$Q$2)/$Q$2))</f>
        <v>9304.24164738482</v>
      </c>
      <c r="I603" s="15" t="n">
        <f aca="false">H603*(1+IF(I$3&lt;=$O$2,$D603,$D603-($D603-$I$589)*MIN(I$3-$O$2,$Q$2)/$Q$2))</f>
        <v>10558.7014739884</v>
      </c>
      <c r="J603" s="15" t="n">
        <f aca="false">I603*(1+IF(J$3&lt;=$O$2,$D603,$D603-($D603-$I$589)*MIN(J$3-$O$2,$Q$2)/$Q$2))</f>
        <v>11736.221885643</v>
      </c>
      <c r="K603" s="15" t="n">
        <f aca="false">J603*(1+IF(K$3&lt;=$O$2,$D603,$D603-($D603-$I$589)*MIN(K$3-$O$2,$Q$2)/$Q$2))</f>
        <v>12771.5443896622</v>
      </c>
      <c r="L603" s="15" t="n">
        <f aca="false">K603*(1+IF(L$3&lt;=$O$2,$D603,$D603-($D603-$I$589)*MIN(L$3-$O$2,$Q$2)/$Q$2))</f>
        <v>13600.5538170989</v>
      </c>
      <c r="M603" s="15" t="n">
        <f aca="false">L603*(1+IF(M$3&lt;=$O$2,$D603,$D603-($D603-$I$589)*MIN(M$3-$O$2,$Q$2)/$Q$2))</f>
        <v>14166.4093744682</v>
      </c>
      <c r="N603" s="15" t="n">
        <f aca="false">M603*(1+IF(N$3&lt;=$O$2,$D603,$D603-($D603-$I$589)*MIN(N$3-$O$2,$Q$2)/$Q$2))</f>
        <v>14425.654666021</v>
      </c>
      <c r="O603" s="15" t="n">
        <f aca="false">SUMPRODUCT(E603:N603,1/(1+$F$589)^$E$3:$N$3)*$E$2</f>
        <v>25324.0629635863</v>
      </c>
      <c r="P603" s="15" t="n">
        <f aca="false">N603*$E$2*(1+$I$589)/($F$589-$I$589)/(1+$F$589)^$N$3</f>
        <v>35723.1893875389</v>
      </c>
      <c r="Q603" s="15" t="n">
        <f aca="false">O603+P603</f>
        <v>61047.2523511252</v>
      </c>
      <c r="R603" s="15" t="n">
        <f aca="false">Q603-$G$2+$I$2</f>
        <v>52282.2523511252</v>
      </c>
      <c r="S603" s="40" t="n">
        <f aca="false">R603/$K$2</f>
        <v>93.5315259063386</v>
      </c>
      <c r="T603" s="41" t="n">
        <f aca="false">S603-$M$2</f>
        <v>0.0576985779905499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0.1346435546875</v>
      </c>
      <c r="C604" s="25" t="n">
        <f aca="false">IF(T603&gt;0,D603,C603)</f>
        <v>0.13482666015625</v>
      </c>
      <c r="D604" s="39" t="n">
        <f aca="false">(B604+C604)/2</f>
        <v>0.134735107421875</v>
      </c>
      <c r="E604" s="15" t="n">
        <f aca="false">$C$2*(1+IF(E$3&lt;=$O$2,$D604,$D604-($D604-$I$589)*MIN(E$3-$O$2,$Q$2)/$Q$2))</f>
        <v>6365.86395263672</v>
      </c>
      <c r="F604" s="15" t="n">
        <f aca="false">E604*(1+IF(F$3&lt;=$O$2,$D604,$D604-($D604-$I$589)*MIN(F$3-$O$2,$Q$2)/$Q$2))</f>
        <v>7223.56931612827</v>
      </c>
      <c r="G604" s="15" t="n">
        <f aca="false">F604*(1+IF(G$3&lt;=$O$2,$D604,$D604-($D604-$I$589)*MIN(G$3-$O$2,$Q$2)/$Q$2))</f>
        <v>8196.83770390617</v>
      </c>
      <c r="H604" s="15" t="n">
        <f aca="false">G604*(1+IF(H$3&lt;=$O$2,$D604,$D604-($D604-$I$589)*MIN(H$3-$O$2,$Q$2)/$Q$2))</f>
        <v>9301.23951246164</v>
      </c>
      <c r="I604" s="15" t="n">
        <f aca="false">H604*(1+IF(I$3&lt;=$O$2,$D604,$D604-($D604-$I$589)*MIN(I$3-$O$2,$Q$2)/$Q$2))</f>
        <v>10554.4430173298</v>
      </c>
      <c r="J604" s="15" t="n">
        <f aca="false">I604*(1+IF(J$3&lt;=$O$2,$D604,$D604-($D604-$I$589)*MIN(J$3-$O$2,$Q$2)/$Q$2))</f>
        <v>11730.7154897476</v>
      </c>
      <c r="K604" s="15" t="n">
        <f aca="false">J604*(1+IF(K$3&lt;=$O$2,$D604,$D604-($D604-$I$589)*MIN(K$3-$O$2,$Q$2)/$Q$2))</f>
        <v>12764.9078541205</v>
      </c>
      <c r="L604" s="15" t="n">
        <f aca="false">K604*(1+IF(L$3&lt;=$O$2,$D604,$D604-($D604-$I$589)*MIN(L$3-$O$2,$Q$2)/$Q$2))</f>
        <v>13593.0190347408</v>
      </c>
      <c r="M604" s="15" t="n">
        <f aca="false">L604*(1+IF(M$3&lt;=$O$2,$D604,$D604-($D604-$I$589)*MIN(M$3-$O$2,$Q$2)/$Q$2))</f>
        <v>14158.3122093761</v>
      </c>
      <c r="N604" s="15" t="n">
        <f aca="false">M604*(1+IF(N$3&lt;=$O$2,$D604,$D604-($D604-$I$589)*MIN(N$3-$O$2,$Q$2)/$Q$2))</f>
        <v>14417.4093228077</v>
      </c>
      <c r="O604" s="15" t="n">
        <f aca="false">SUMPRODUCT(E604:N604,1/(1+$F$589)^$E$3:$N$3)*$E$2</f>
        <v>25314.0031356304</v>
      </c>
      <c r="P604" s="15" t="n">
        <f aca="false">N604*$E$2*(1+$I$589)/($F$589-$I$589)/(1+$F$589)^$N$3</f>
        <v>35702.7709064375</v>
      </c>
      <c r="Q604" s="15" t="n">
        <f aca="false">O604+P604</f>
        <v>61016.7740420679</v>
      </c>
      <c r="R604" s="15" t="n">
        <f aca="false">Q604-$G$2+$I$2</f>
        <v>52251.7740420679</v>
      </c>
      <c r="S604" s="40" t="n">
        <f aca="false">R604/$K$2</f>
        <v>93.4770010413036</v>
      </c>
      <c r="T604" s="41" t="n">
        <f aca="false">S604-$M$2</f>
        <v>0.0031737129555296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0.1346435546875</v>
      </c>
      <c r="C605" s="25" t="n">
        <f aca="false">IF(T604&gt;0,D604,C604)</f>
        <v>0.134735107421875</v>
      </c>
      <c r="D605" s="39" t="n">
        <f aca="false">(B605+C605)/2</f>
        <v>0.134689331054688</v>
      </c>
      <c r="E605" s="15" t="n">
        <f aca="false">$C$2*(1+IF(E$3&lt;=$O$2,$D605,$D605-($D605-$I$589)*MIN(E$3-$O$2,$Q$2)/$Q$2))</f>
        <v>6365.6071472168</v>
      </c>
      <c r="F605" s="15" t="n">
        <f aca="false">E605*(1+IF(F$3&lt;=$O$2,$D605,$D605-($D605-$I$589)*MIN(F$3-$O$2,$Q$2)/$Q$2))</f>
        <v>7222.98651563237</v>
      </c>
      <c r="G605" s="15" t="n">
        <f aca="false">F605*(1+IF(G$3&lt;=$O$2,$D605,$D605-($D605-$I$589)*MIN(G$3-$O$2,$Q$2)/$Q$2))</f>
        <v>8195.84573763992</v>
      </c>
      <c r="H605" s="15" t="n">
        <f aca="false">G605*(1+IF(H$3&lt;=$O$2,$D605,$D605-($D605-$I$589)*MIN(H$3-$O$2,$Q$2)/$Q$2))</f>
        <v>9299.73871747005</v>
      </c>
      <c r="I605" s="15" t="n">
        <f aca="false">H605*(1+IF(I$3&lt;=$O$2,$D605,$D605-($D605-$I$589)*MIN(I$3-$O$2,$Q$2)/$Q$2))</f>
        <v>10552.3143043095</v>
      </c>
      <c r="J605" s="15" t="n">
        <f aca="false">I605*(1+IF(J$3&lt;=$O$2,$D605,$D605-($D605-$I$589)*MIN(J$3-$O$2,$Q$2)/$Q$2))</f>
        <v>11727.9630984442</v>
      </c>
      <c r="K605" s="15" t="n">
        <f aca="false">J605*(1+IF(K$3&lt;=$O$2,$D605,$D605-($D605-$I$589)*MIN(K$3-$O$2,$Q$2)/$Q$2))</f>
        <v>12761.590690943</v>
      </c>
      <c r="L605" s="15" t="n">
        <f aca="false">K605*(1+IF(L$3&lt;=$O$2,$D605,$D605-($D605-$I$589)*MIN(L$3-$O$2,$Q$2)/$Q$2))</f>
        <v>13589.2530020723</v>
      </c>
      <c r="M605" s="15" t="n">
        <f aca="false">L605*(1+IF(M$3&lt;=$O$2,$D605,$D605-($D605-$I$589)*MIN(M$3-$O$2,$Q$2)/$Q$2))</f>
        <v>14154.265145299</v>
      </c>
      <c r="N605" s="15" t="n">
        <f aca="false">M605*(1+IF(N$3&lt;=$O$2,$D605,$D605-($D605-$I$589)*MIN(N$3-$O$2,$Q$2)/$Q$2))</f>
        <v>14413.288197458</v>
      </c>
      <c r="O605" s="15" t="n">
        <f aca="false">SUMPRODUCT(E605:N605,1/(1+$F$589)^$E$3:$N$3)*$E$2</f>
        <v>25308.9746956888</v>
      </c>
      <c r="P605" s="15" t="n">
        <f aca="false">N605*$E$2*(1+$I$589)/($F$589-$I$589)/(1+$F$589)^$N$3</f>
        <v>35692.5654949836</v>
      </c>
      <c r="Q605" s="15" t="n">
        <f aca="false">O605+P605</f>
        <v>61001.5401906724</v>
      </c>
      <c r="R605" s="15" t="n">
        <f aca="false">Q605-$G$2+$I$2</f>
        <v>52236.5401906724</v>
      </c>
      <c r="S605" s="40" t="n">
        <f aca="false">R605/$K$2</f>
        <v>93.4497480959469</v>
      </c>
      <c r="T605" s="41" t="n">
        <f aca="false">S605-$M$2</f>
        <v>-0.0240792324012062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0.134689331054688</v>
      </c>
      <c r="C606" s="25" t="n">
        <f aca="false">IF(T605&gt;0,D605,C605)</f>
        <v>0.134735107421875</v>
      </c>
      <c r="D606" s="39" t="n">
        <f aca="false">(B606+C606)/2</f>
        <v>0.134712219238281</v>
      </c>
      <c r="E606" s="15" t="n">
        <f aca="false">$C$2*(1+IF(E$3&lt;=$O$2,$D606,$D606-($D606-$I$589)*MIN(E$3-$O$2,$Q$2)/$Q$2))</f>
        <v>6365.73554992676</v>
      </c>
      <c r="F606" s="15" t="n">
        <f aca="false">E606*(1+IF(F$3&lt;=$O$2,$D606,$D606-($D606-$I$589)*MIN(F$3-$O$2,$Q$2)/$Q$2))</f>
        <v>7223.27791294141</v>
      </c>
      <c r="G606" s="15" t="n">
        <f aca="false">F606*(1+IF(G$3&lt;=$O$2,$D606,$D606-($D606-$I$589)*MIN(G$3-$O$2,$Q$2)/$Q$2))</f>
        <v>8196.34171076861</v>
      </c>
      <c r="H606" s="15" t="n">
        <f aca="false">G606*(1+IF(H$3&lt;=$O$2,$D606,$D606-($D606-$I$589)*MIN(H$3-$O$2,$Q$2)/$Q$2))</f>
        <v>9300.48909226154</v>
      </c>
      <c r="I606" s="15" t="n">
        <f aca="false">H606*(1+IF(I$3&lt;=$O$2,$D606,$D606-($D606-$I$589)*MIN(I$3-$O$2,$Q$2)/$Q$2))</f>
        <v>10553.3786178815</v>
      </c>
      <c r="J606" s="15" t="n">
        <f aca="false">I606*(1+IF(J$3&lt;=$O$2,$D606,$D606-($D606-$I$589)*MIN(J$3-$O$2,$Q$2)/$Q$2))</f>
        <v>11729.3392268843</v>
      </c>
      <c r="K606" s="15" t="n">
        <f aca="false">J606*(1+IF(K$3&lt;=$O$2,$D606,$D606-($D606-$I$589)*MIN(K$3-$O$2,$Q$2)/$Q$2))</f>
        <v>12763.2491804964</v>
      </c>
      <c r="L606" s="15" t="n">
        <f aca="false">K606*(1+IF(L$3&lt;=$O$2,$D606,$D606-($D606-$I$589)*MIN(L$3-$O$2,$Q$2)/$Q$2))</f>
        <v>13591.1359052166</v>
      </c>
      <c r="M606" s="15" t="n">
        <f aca="false">L606*(1+IF(M$3&lt;=$O$2,$D606,$D606-($D606-$I$589)*MIN(M$3-$O$2,$Q$2)/$Q$2))</f>
        <v>14156.2885508211</v>
      </c>
      <c r="N606" s="15" t="n">
        <f aca="false">M606*(1+IF(N$3&lt;=$O$2,$D606,$D606-($D606-$I$589)*MIN(N$3-$O$2,$Q$2)/$Q$2))</f>
        <v>14415.3486313011</v>
      </c>
      <c r="O606" s="15" t="n">
        <f aca="false">SUMPRODUCT(E606:N606,1/(1+$F$589)^$E$3:$N$3)*$E$2</f>
        <v>25311.4887928416</v>
      </c>
      <c r="P606" s="15" t="n">
        <f aca="false">N606*$E$2*(1+$I$589)/($F$589-$I$589)/(1+$F$589)^$N$3</f>
        <v>35697.6678816763</v>
      </c>
      <c r="Q606" s="15" t="n">
        <f aca="false">O606+P606</f>
        <v>61009.1566745179</v>
      </c>
      <c r="R606" s="15" t="n">
        <f aca="false">Q606-$G$2+$I$2</f>
        <v>52244.1566745179</v>
      </c>
      <c r="S606" s="40" t="n">
        <f aca="false">R606/$K$2</f>
        <v>93.4633737781636</v>
      </c>
      <c r="T606" s="41" t="n">
        <f aca="false">S606-$M$2</f>
        <v>-0.0104535501844936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0.134712219238281</v>
      </c>
      <c r="C607" s="25" t="n">
        <f aca="false">IF(T606&gt;0,D606,C606)</f>
        <v>0.134735107421875</v>
      </c>
      <c r="D607" s="39" t="n">
        <f aca="false">(B607+C607)/2</f>
        <v>0.134723663330078</v>
      </c>
      <c r="E607" s="15" t="n">
        <f aca="false">$C$2*(1+IF(E$3&lt;=$O$2,$D607,$D607-($D607-$I$589)*MIN(E$3-$O$2,$Q$2)/$Q$2))</f>
        <v>6365.79975128174</v>
      </c>
      <c r="F607" s="15" t="n">
        <f aca="false">E607*(1+IF(F$3&lt;=$O$2,$D607,$D607-($D607-$I$589)*MIN(F$3-$O$2,$Q$2)/$Q$2))</f>
        <v>7223.42361380011</v>
      </c>
      <c r="G607" s="15" t="n">
        <f aca="false">F607*(1+IF(G$3&lt;=$O$2,$D607,$D607-($D607-$I$589)*MIN(G$3-$O$2,$Q$2)/$Q$2))</f>
        <v>8196.58970483626</v>
      </c>
      <c r="H607" s="15" t="n">
        <f aca="false">G607*(1+IF(H$3&lt;=$O$2,$D607,$D607-($D607-$I$589)*MIN(H$3-$O$2,$Q$2)/$Q$2))</f>
        <v>9300.8642966854</v>
      </c>
      <c r="I607" s="15" t="n">
        <f aca="false">H607*(1+IF(I$3&lt;=$O$2,$D607,$D607-($D607-$I$589)*MIN(I$3-$O$2,$Q$2)/$Q$2))</f>
        <v>10553.9108068708</v>
      </c>
      <c r="J607" s="15" t="n">
        <f aca="false">I607*(1+IF(J$3&lt;=$O$2,$D607,$D607-($D607-$I$589)*MIN(J$3-$O$2,$Q$2)/$Q$2))</f>
        <v>11730.0273415124</v>
      </c>
      <c r="K607" s="15" t="n">
        <f aca="false">J607*(1+IF(K$3&lt;=$O$2,$D607,$D607-($D607-$I$589)*MIN(K$3-$O$2,$Q$2)/$Q$2))</f>
        <v>12764.0784942985</v>
      </c>
      <c r="L607" s="15" t="n">
        <f aca="false">K607*(1+IF(L$3&lt;=$O$2,$D607,$D607-($D607-$I$589)*MIN(L$3-$O$2,$Q$2)/$Q$2))</f>
        <v>13592.0774416798</v>
      </c>
      <c r="M607" s="15" t="n">
        <f aca="false">L607*(1+IF(M$3&lt;=$O$2,$D607,$D607-($D607-$I$589)*MIN(M$3-$O$2,$Q$2)/$Q$2))</f>
        <v>14157.3003484678</v>
      </c>
      <c r="N607" s="15" t="n">
        <f aca="false">M607*(1+IF(N$3&lt;=$O$2,$D607,$D607-($D607-$I$589)*MIN(N$3-$O$2,$Q$2)/$Q$2))</f>
        <v>14416.3789448448</v>
      </c>
      <c r="O607" s="15" t="n">
        <f aca="false">SUMPRODUCT(E607:N607,1/(1+$F$589)^$E$3:$N$3)*$E$2</f>
        <v>25312.7459335301</v>
      </c>
      <c r="P607" s="15" t="n">
        <f aca="false">N607*$E$2*(1+$I$589)/($F$589-$I$589)/(1+$F$589)^$N$3</f>
        <v>35700.219314294</v>
      </c>
      <c r="Q607" s="15" t="n">
        <f aca="false">O607+P607</f>
        <v>61012.9652478242</v>
      </c>
      <c r="R607" s="15" t="n">
        <f aca="false">Q607-$G$2+$I$2</f>
        <v>52247.9652478242</v>
      </c>
      <c r="S607" s="40" t="n">
        <f aca="false">R607/$K$2</f>
        <v>93.470187212108</v>
      </c>
      <c r="T607" s="41" t="n">
        <f aca="false">S607-$M$2</f>
        <v>-0.00364011624003524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0.134723663330078</v>
      </c>
      <c r="C608" s="25" t="n">
        <f aca="false">IF(T607&gt;0,D607,C607)</f>
        <v>0.134735107421875</v>
      </c>
      <c r="D608" s="39" t="n">
        <f aca="false">(B608+C608)/2</f>
        <v>0.134729385375977</v>
      </c>
      <c r="E608" s="15" t="n">
        <f aca="false">$C$2*(1+IF(E$3&lt;=$O$2,$D608,$D608-($D608-$I$589)*MIN(E$3-$O$2,$Q$2)/$Q$2))</f>
        <v>6365.83185195923</v>
      </c>
      <c r="F608" s="15" t="n">
        <f aca="false">E608*(1+IF(F$3&lt;=$O$2,$D608,$D608-($D608-$I$589)*MIN(F$3-$O$2,$Q$2)/$Q$2))</f>
        <v>7223.49646478051</v>
      </c>
      <c r="G608" s="15" t="n">
        <f aca="false">F608*(1+IF(G$3&lt;=$O$2,$D608,$D608-($D608-$I$589)*MIN(G$3-$O$2,$Q$2)/$Q$2))</f>
        <v>8196.71370374593</v>
      </c>
      <c r="H608" s="15" t="n">
        <f aca="false">G608*(1+IF(H$3&lt;=$O$2,$D608,$D608-($D608-$I$589)*MIN(H$3-$O$2,$Q$2)/$Q$2))</f>
        <v>9301.05190315446</v>
      </c>
      <c r="I608" s="15" t="n">
        <f aca="false">H608*(1+IF(I$3&lt;=$O$2,$D608,$D608-($D608-$I$589)*MIN(I$3-$O$2,$Q$2)/$Q$2))</f>
        <v>10554.1769094165</v>
      </c>
      <c r="J608" s="15" t="n">
        <f aca="false">I608*(1+IF(J$3&lt;=$O$2,$D608,$D608-($D608-$I$589)*MIN(J$3-$O$2,$Q$2)/$Q$2))</f>
        <v>11730.371411429</v>
      </c>
      <c r="K608" s="15" t="n">
        <f aca="false">J608*(1+IF(K$3&lt;=$O$2,$D608,$D608-($D608-$I$589)*MIN(K$3-$O$2,$Q$2)/$Q$2))</f>
        <v>12764.4931684569</v>
      </c>
      <c r="L608" s="15" t="n">
        <f aca="false">K608*(1+IF(L$3&lt;=$O$2,$D608,$D608-($D608-$I$589)*MIN(L$3-$O$2,$Q$2)/$Q$2))</f>
        <v>13592.5482311354</v>
      </c>
      <c r="M608" s="15" t="n">
        <f aca="false">L608*(1+IF(M$3&lt;=$O$2,$D608,$D608-($D608-$I$589)*MIN(M$3-$O$2,$Q$2)/$Q$2))</f>
        <v>14157.806271014</v>
      </c>
      <c r="N608" s="15" t="n">
        <f aca="false">M608*(1+IF(N$3&lt;=$O$2,$D608,$D608-($D608-$I$589)*MIN(N$3-$O$2,$Q$2)/$Q$2))</f>
        <v>14416.8941257736</v>
      </c>
      <c r="O608" s="15" t="n">
        <f aca="false">SUMPRODUCT(E608:N608,1/(1+$F$589)^$E$3:$N$3)*$E$2</f>
        <v>25313.3745269036</v>
      </c>
      <c r="P608" s="15" t="n">
        <f aca="false">N608*$E$2*(1+$I$589)/($F$589-$I$589)/(1+$F$589)^$N$3</f>
        <v>35701.4950904245</v>
      </c>
      <c r="Q608" s="15" t="n">
        <f aca="false">O608+P608</f>
        <v>61014.8696173281</v>
      </c>
      <c r="R608" s="15" t="n">
        <f aca="false">Q608-$G$2+$I$2</f>
        <v>52249.8696173281</v>
      </c>
      <c r="S608" s="40" t="n">
        <f aca="false">R608/$K$2</f>
        <v>93.4735940772982</v>
      </c>
      <c r="T608" s="41" t="n">
        <f aca="false">S608-$M$2</f>
        <v>-0.000233251049905903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0.134729385375977</v>
      </c>
      <c r="C609" s="25" t="n">
        <f aca="false">IF(T608&gt;0,D608,C608)</f>
        <v>0.134735107421875</v>
      </c>
      <c r="D609" s="39" t="n">
        <f aca="false">(B609+C609)/2</f>
        <v>0.134732246398926</v>
      </c>
      <c r="E609" s="15" t="n">
        <f aca="false">$C$2*(1+IF(E$3&lt;=$O$2,$D609,$D609-($D609-$I$589)*MIN(E$3-$O$2,$Q$2)/$Q$2))</f>
        <v>6365.84790229797</v>
      </c>
      <c r="F609" s="15" t="n">
        <f aca="false">E609*(1+IF(F$3&lt;=$O$2,$D609,$D609-($D609-$I$589)*MIN(F$3-$O$2,$Q$2)/$Q$2))</f>
        <v>7223.53289040847</v>
      </c>
      <c r="G609" s="15" t="n">
        <f aca="false">F609*(1+IF(G$3&lt;=$O$2,$D609,$D609-($D609-$I$589)*MIN(G$3-$O$2,$Q$2)/$Q$2))</f>
        <v>8196.77570366973</v>
      </c>
      <c r="H609" s="15" t="n">
        <f aca="false">G609*(1+IF(H$3&lt;=$O$2,$D609,$D609-($D609-$I$589)*MIN(H$3-$O$2,$Q$2)/$Q$2))</f>
        <v>9301.14570745329</v>
      </c>
      <c r="I609" s="15" t="n">
        <f aca="false">H609*(1+IF(I$3&lt;=$O$2,$D609,$D609-($D609-$I$589)*MIN(I$3-$O$2,$Q$2)/$Q$2))</f>
        <v>10554.3099627022</v>
      </c>
      <c r="J609" s="15" t="n">
        <f aca="false">I609*(1+IF(J$3&lt;=$O$2,$D609,$D609-($D609-$I$589)*MIN(J$3-$O$2,$Q$2)/$Q$2))</f>
        <v>11730.543449538</v>
      </c>
      <c r="K609" s="15" t="n">
        <f aca="false">J609*(1+IF(K$3&lt;=$O$2,$D609,$D609-($D609-$I$589)*MIN(K$3-$O$2,$Q$2)/$Q$2))</f>
        <v>12764.7005098505</v>
      </c>
      <c r="L609" s="15" t="n">
        <f aca="false">K609*(1+IF(L$3&lt;=$O$2,$D609,$D609-($D609-$I$589)*MIN(L$3-$O$2,$Q$2)/$Q$2))</f>
        <v>13592.7836311694</v>
      </c>
      <c r="M609" s="15" t="n">
        <f aca="false">L609*(1+IF(M$3&lt;=$O$2,$D609,$D609-($D609-$I$589)*MIN(M$3-$O$2,$Q$2)/$Q$2))</f>
        <v>14158.0592382181</v>
      </c>
      <c r="N609" s="15" t="n">
        <f aca="false">M609*(1+IF(N$3&lt;=$O$2,$D609,$D609-($D609-$I$589)*MIN(N$3-$O$2,$Q$2)/$Q$2))</f>
        <v>14417.1517222775</v>
      </c>
      <c r="O609" s="15" t="n">
        <f aca="false">SUMPRODUCT(E609:N609,1/(1+$F$589)^$E$3:$N$3)*$E$2</f>
        <v>25313.6888293479</v>
      </c>
      <c r="P609" s="15" t="n">
        <f aca="false">N609*$E$2*(1+$I$589)/($F$589-$I$589)/(1+$F$589)^$N$3</f>
        <v>35702.1329934456</v>
      </c>
      <c r="Q609" s="15" t="n">
        <f aca="false">O609+P609</f>
        <v>61015.8218227935</v>
      </c>
      <c r="R609" s="15" t="n">
        <f aca="false">Q609-$G$2+$I$2</f>
        <v>52250.8218227935</v>
      </c>
      <c r="S609" s="40" t="n">
        <f aca="false">R609/$K$2</f>
        <v>93.4752975469488</v>
      </c>
      <c r="T609" s="41" t="n">
        <f aca="false">S609-$M$2</f>
        <v>0.00147021860074403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0.134729385375977</v>
      </c>
      <c r="C610" s="25" t="n">
        <f aca="false">IF(T609&gt;0,D609,C609)</f>
        <v>0.134732246398926</v>
      </c>
      <c r="D610" s="39" t="n">
        <f aca="false">(B610+C610)/2</f>
        <v>0.134730815887451</v>
      </c>
      <c r="E610" s="15" t="n">
        <f aca="false">$C$2*(1+IF(E$3&lt;=$O$2,$D610,$D610-($D610-$I$589)*MIN(E$3-$O$2,$Q$2)/$Q$2))</f>
        <v>6365.8398771286</v>
      </c>
      <c r="F610" s="15" t="n">
        <f aca="false">E610*(1+IF(F$3&lt;=$O$2,$D610,$D610-($D610-$I$589)*MIN(F$3-$O$2,$Q$2)/$Q$2))</f>
        <v>7223.51467758301</v>
      </c>
      <c r="G610" s="15" t="n">
        <f aca="false">F610*(1+IF(G$3&lt;=$O$2,$D610,$D610-($D610-$I$589)*MIN(G$3-$O$2,$Q$2)/$Q$2))</f>
        <v>8196.74470366875</v>
      </c>
      <c r="H610" s="15" t="n">
        <f aca="false">G610*(1+IF(H$3&lt;=$O$2,$D610,$D610-($D610-$I$589)*MIN(H$3-$O$2,$Q$2)/$Q$2))</f>
        <v>9301.09880521518</v>
      </c>
      <c r="I610" s="15" t="n">
        <f aca="false">H610*(1+IF(I$3&lt;=$O$2,$D610,$D610-($D610-$I$589)*MIN(I$3-$O$2,$Q$2)/$Q$2))</f>
        <v>10554.2434358916</v>
      </c>
      <c r="J610" s="15" t="n">
        <f aca="false">I610*(1+IF(J$3&lt;=$O$2,$D610,$D610-($D610-$I$589)*MIN(J$3-$O$2,$Q$2)/$Q$2))</f>
        <v>11730.4574302209</v>
      </c>
      <c r="K610" s="15" t="n">
        <f aca="false">J610*(1+IF(K$3&lt;=$O$2,$D610,$D610-($D610-$I$589)*MIN(K$3-$O$2,$Q$2)/$Q$2))</f>
        <v>12764.5968387942</v>
      </c>
      <c r="L610" s="15" t="n">
        <f aca="false">K610*(1+IF(L$3&lt;=$O$2,$D610,$D610-($D610-$I$589)*MIN(L$3-$O$2,$Q$2)/$Q$2))</f>
        <v>13592.6659307102</v>
      </c>
      <c r="M610" s="15" t="n">
        <f aca="false">L610*(1+IF(M$3&lt;=$O$2,$D610,$D610-($D610-$I$589)*MIN(M$3-$O$2,$Q$2)/$Q$2))</f>
        <v>14157.9327541218</v>
      </c>
      <c r="N610" s="15" t="n">
        <f aca="false">M610*(1+IF(N$3&lt;=$O$2,$D610,$D610-($D610-$I$589)*MIN(N$3-$O$2,$Q$2)/$Q$2))</f>
        <v>14417.0229235222</v>
      </c>
      <c r="O610" s="15" t="n">
        <f aca="false">SUMPRODUCT(E610:N610,1/(1+$F$589)^$E$3:$N$3)*$E$2</f>
        <v>25313.531677646</v>
      </c>
      <c r="P610" s="15" t="n">
        <f aca="false">N610*$E$2*(1+$I$589)/($F$589-$I$589)/(1+$F$589)^$N$3</f>
        <v>35701.8140406887</v>
      </c>
      <c r="Q610" s="15" t="n">
        <f aca="false">O610+P610</f>
        <v>61015.3457183347</v>
      </c>
      <c r="R610" s="15" t="n">
        <f aca="false">Q610-$G$2+$I$2</f>
        <v>52250.3457183347</v>
      </c>
      <c r="S610" s="40" t="n">
        <f aca="false">R610/$K$2</f>
        <v>93.4744458090355</v>
      </c>
      <c r="T610" s="41" t="n">
        <f aca="false">S610-$M$2</f>
        <v>0.000618480687407441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0.134729385375977</v>
      </c>
      <c r="C611" s="25" t="n">
        <f aca="false">IF(T610&gt;0,D610,C610)</f>
        <v>0.134730815887451</v>
      </c>
      <c r="D611" s="39" t="n">
        <f aca="false">(B611+C611)/2</f>
        <v>0.134730100631714</v>
      </c>
      <c r="E611" s="15" t="n">
        <f aca="false">$C$2*(1+IF(E$3&lt;=$O$2,$D611,$D611-($D611-$I$589)*MIN(E$3-$O$2,$Q$2)/$Q$2))</f>
        <v>6365.83586454392</v>
      </c>
      <c r="F611" s="15" t="n">
        <f aca="false">E611*(1+IF(F$3&lt;=$O$2,$D611,$D611-($D611-$I$589)*MIN(F$3-$O$2,$Q$2)/$Q$2))</f>
        <v>7223.50557117889</v>
      </c>
      <c r="G611" s="15" t="n">
        <f aca="false">F611*(1+IF(G$3&lt;=$O$2,$D611,$D611-($D611-$I$589)*MIN(G$3-$O$2,$Q$2)/$Q$2))</f>
        <v>8196.72920369757</v>
      </c>
      <c r="H611" s="15" t="n">
        <f aca="false">G611*(1+IF(H$3&lt;=$O$2,$D611,$D611-($D611-$I$589)*MIN(H$3-$O$2,$Q$2)/$Q$2))</f>
        <v>9301.07535416265</v>
      </c>
      <c r="I611" s="15" t="n">
        <f aca="false">H611*(1+IF(I$3&lt;=$O$2,$D611,$D611-($D611-$I$589)*MIN(I$3-$O$2,$Q$2)/$Q$2))</f>
        <v>10554.2101726121</v>
      </c>
      <c r="J611" s="15" t="n">
        <f aca="false">I611*(1+IF(J$3&lt;=$O$2,$D611,$D611-($D611-$I$589)*MIN(J$3-$O$2,$Q$2)/$Q$2))</f>
        <v>11730.4144207593</v>
      </c>
      <c r="K611" s="15" t="n">
        <f aca="false">J611*(1+IF(K$3&lt;=$O$2,$D611,$D611-($D611-$I$589)*MIN(K$3-$O$2,$Q$2)/$Q$2))</f>
        <v>12764.5450035357</v>
      </c>
      <c r="L611" s="15" t="n">
        <f aca="false">K611*(1+IF(L$3&lt;=$O$2,$D611,$D611-($D611-$I$589)*MIN(L$3-$O$2,$Q$2)/$Q$2))</f>
        <v>13592.6070808122</v>
      </c>
      <c r="M611" s="15" t="n">
        <f aca="false">L611*(1+IF(M$3&lt;=$O$2,$D611,$D611-($D611-$I$589)*MIN(M$3-$O$2,$Q$2)/$Q$2))</f>
        <v>14157.8695124444</v>
      </c>
      <c r="N611" s="15" t="n">
        <f aca="false">M611*(1+IF(N$3&lt;=$O$2,$D611,$D611-($D611-$I$589)*MIN(N$3-$O$2,$Q$2)/$Q$2))</f>
        <v>14416.9585245221</v>
      </c>
      <c r="O611" s="15" t="n">
        <f aca="false">SUMPRODUCT(E611:N611,1/(1+$F$589)^$E$3:$N$3)*$E$2</f>
        <v>25313.4531021549</v>
      </c>
      <c r="P611" s="15" t="n">
        <f aca="false">N611*$E$2*(1+$I$589)/($F$589-$I$589)/(1+$F$589)^$N$3</f>
        <v>35701.654565245</v>
      </c>
      <c r="Q611" s="15" t="n">
        <f aca="false">O611+P611</f>
        <v>61015.1076673999</v>
      </c>
      <c r="R611" s="15" t="n">
        <f aca="false">Q611-$G$2+$I$2</f>
        <v>52250.1076673999</v>
      </c>
      <c r="S611" s="40" t="n">
        <f aca="false">R611/$K$2</f>
        <v>93.4740199423948</v>
      </c>
      <c r="T611" s="41" t="n">
        <f aca="false">S611-$M$2</f>
        <v>0.000192614046753192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0.134729385375977</v>
      </c>
      <c r="C612" s="25" t="n">
        <f aca="false">IF(T611&gt;0,D611,C611)</f>
        <v>0.134730100631714</v>
      </c>
      <c r="D612" s="39" t="n">
        <f aca="false">(B612+C612)/2</f>
        <v>0.134729743003845</v>
      </c>
      <c r="E612" s="15" t="n">
        <f aca="false">$C$2*(1+IF(E$3&lt;=$O$2,$D612,$D612-($D612-$I$589)*MIN(E$3-$O$2,$Q$2)/$Q$2))</f>
        <v>6365.83385825157</v>
      </c>
      <c r="F612" s="15" t="n">
        <f aca="false">E612*(1+IF(F$3&lt;=$O$2,$D612,$D612-($D612-$I$589)*MIN(F$3-$O$2,$Q$2)/$Q$2))</f>
        <v>7223.50101797898</v>
      </c>
      <c r="G612" s="15" t="n">
        <f aca="false">F612*(1+IF(G$3&lt;=$O$2,$D612,$D612-($D612-$I$589)*MIN(G$3-$O$2,$Q$2)/$Q$2))</f>
        <v>8196.72145371931</v>
      </c>
      <c r="H612" s="15" t="n">
        <f aca="false">G612*(1+IF(H$3&lt;=$O$2,$D612,$D612-($D612-$I$589)*MIN(H$3-$O$2,$Q$2)/$Q$2))</f>
        <v>9301.06362865301</v>
      </c>
      <c r="I612" s="15" t="n">
        <f aca="false">H612*(1+IF(I$3&lt;=$O$2,$D612,$D612-($D612-$I$589)*MIN(I$3-$O$2,$Q$2)/$Q$2))</f>
        <v>10554.1935410038</v>
      </c>
      <c r="J612" s="15" t="n">
        <f aca="false">I612*(1+IF(J$3&lt;=$O$2,$D612,$D612-($D612-$I$589)*MIN(J$3-$O$2,$Q$2)/$Q$2))</f>
        <v>11730.3929160778</v>
      </c>
      <c r="K612" s="15" t="n">
        <f aca="false">J612*(1+IF(K$3&lt;=$O$2,$D612,$D612-($D612-$I$589)*MIN(K$3-$O$2,$Q$2)/$Q$2))</f>
        <v>12764.5190859738</v>
      </c>
      <c r="L612" s="15" t="n">
        <f aca="false">K612*(1+IF(L$3&lt;=$O$2,$D612,$D612-($D612-$I$589)*MIN(L$3-$O$2,$Q$2)/$Q$2))</f>
        <v>13592.5776559462</v>
      </c>
      <c r="M612" s="15" t="n">
        <f aca="false">L612*(1+IF(M$3&lt;=$O$2,$D612,$D612-($D612-$I$589)*MIN(M$3-$O$2,$Q$2)/$Q$2))</f>
        <v>14157.8378916983</v>
      </c>
      <c r="N612" s="15" t="n">
        <f aca="false">M612*(1+IF(N$3&lt;=$O$2,$D612,$D612-($D612-$I$589)*MIN(N$3-$O$2,$Q$2)/$Q$2))</f>
        <v>14416.9263251164</v>
      </c>
      <c r="O612" s="15" t="n">
        <f aca="false">SUMPRODUCT(E612:N612,1/(1+$F$589)^$E$3:$N$3)*$E$2</f>
        <v>25313.4138144993</v>
      </c>
      <c r="P612" s="15" t="n">
        <f aca="false">N612*$E$2*(1+$I$589)/($F$589-$I$589)/(1+$F$589)^$N$3</f>
        <v>35701.5748277569</v>
      </c>
      <c r="Q612" s="15" t="n">
        <f aca="false">O612+P612</f>
        <v>61014.9886422561</v>
      </c>
      <c r="R612" s="15" t="n">
        <f aca="false">Q612-$G$2+$I$2</f>
        <v>52249.9886422561</v>
      </c>
      <c r="S612" s="40" t="n">
        <f aca="false">R612/$K$2</f>
        <v>93.4738070096535</v>
      </c>
      <c r="T612" s="41" t="n">
        <f aca="false">S612-$M$2</f>
        <v>-2.03186945668676E-005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0.134729743003845</v>
      </c>
      <c r="C613" s="25" t="n">
        <f aca="false">IF(T612&gt;0,D612,C612)</f>
        <v>0.134730100631714</v>
      </c>
      <c r="D613" s="39" t="n">
        <f aca="false">(B613+C613)/2</f>
        <v>0.13472992181778</v>
      </c>
      <c r="E613" s="15" t="n">
        <f aca="false">$C$2*(1+IF(E$3&lt;=$O$2,$D613,$D613-($D613-$I$589)*MIN(E$3-$O$2,$Q$2)/$Q$2))</f>
        <v>6365.83486139774</v>
      </c>
      <c r="F613" s="15" t="n">
        <f aca="false">E613*(1+IF(F$3&lt;=$O$2,$D613,$D613-($D613-$I$589)*MIN(F$3-$O$2,$Q$2)/$Q$2))</f>
        <v>7223.50329457876</v>
      </c>
      <c r="G613" s="15" t="n">
        <f aca="false">F613*(1+IF(G$3&lt;=$O$2,$D613,$D613-($D613-$I$589)*MIN(G$3-$O$2,$Q$2)/$Q$2))</f>
        <v>8196.72532870783</v>
      </c>
      <c r="H613" s="15" t="n">
        <f aca="false">G613*(1+IF(H$3&lt;=$O$2,$D613,$D613-($D613-$I$589)*MIN(H$3-$O$2,$Q$2)/$Q$2))</f>
        <v>9301.06949140644</v>
      </c>
      <c r="I613" s="15" t="n">
        <f aca="false">H613*(1+IF(I$3&lt;=$O$2,$D613,$D613-($D613-$I$589)*MIN(I$3-$O$2,$Q$2)/$Q$2))</f>
        <v>10554.2018568054</v>
      </c>
      <c r="J613" s="15" t="n">
        <f aca="false">I613*(1+IF(J$3&lt;=$O$2,$D613,$D613-($D613-$I$589)*MIN(J$3-$O$2,$Q$2)/$Q$2))</f>
        <v>11730.4036684144</v>
      </c>
      <c r="K613" s="15" t="n">
        <f aca="false">J613*(1+IF(K$3&lt;=$O$2,$D613,$D613-($D613-$I$589)*MIN(K$3-$O$2,$Q$2)/$Q$2))</f>
        <v>12764.5320447491</v>
      </c>
      <c r="L613" s="15" t="n">
        <f aca="false">K613*(1+IF(L$3&lt;=$O$2,$D613,$D613-($D613-$I$589)*MIN(L$3-$O$2,$Q$2)/$Q$2))</f>
        <v>13592.5923683723</v>
      </c>
      <c r="M613" s="15" t="n">
        <f aca="false">L613*(1+IF(M$3&lt;=$O$2,$D613,$D613-($D613-$I$589)*MIN(M$3-$O$2,$Q$2)/$Q$2))</f>
        <v>14157.8537020636</v>
      </c>
      <c r="N613" s="15" t="n">
        <f aca="false">M613*(1+IF(N$3&lt;=$O$2,$D613,$D613-($D613-$I$589)*MIN(N$3-$O$2,$Q$2)/$Q$2))</f>
        <v>14416.9424248114</v>
      </c>
      <c r="O613" s="15" t="n">
        <f aca="false">SUMPRODUCT(E613:N613,1/(1+$F$589)^$E$3:$N$3)*$E$2</f>
        <v>25313.4334583196</v>
      </c>
      <c r="P613" s="15" t="n">
        <f aca="false">N613*$E$2*(1+$I$589)/($F$589-$I$589)/(1+$F$589)^$N$3</f>
        <v>35701.6146964815</v>
      </c>
      <c r="Q613" s="15" t="n">
        <f aca="false">O613+P613</f>
        <v>61015.048154801</v>
      </c>
      <c r="R613" s="15" t="n">
        <f aca="false">Q613-$G$2+$I$2</f>
        <v>52250.048154801</v>
      </c>
      <c r="S613" s="40" t="n">
        <f aca="false">R613/$K$2</f>
        <v>93.4739134759759</v>
      </c>
      <c r="T613" s="41" t="n">
        <f aca="false">S613-$M$2</f>
        <v>8.61476278259943E-005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0.134729743003845</v>
      </c>
      <c r="C614" s="25" t="n">
        <f aca="false">IF(T613&gt;0,D613,C613)</f>
        <v>0.13472992181778</v>
      </c>
      <c r="D614" s="39" t="n">
        <f aca="false">(B614+C614)/2</f>
        <v>0.134729832410812</v>
      </c>
      <c r="E614" s="15" t="n">
        <f aca="false">$C$2*(1+IF(E$3&lt;=$O$2,$D614,$D614-($D614-$I$589)*MIN(E$3-$O$2,$Q$2)/$Q$2))</f>
        <v>6365.83435982466</v>
      </c>
      <c r="F614" s="15" t="n">
        <f aca="false">E614*(1+IF(F$3&lt;=$O$2,$D614,$D614-($D614-$I$589)*MIN(F$3-$O$2,$Q$2)/$Q$2))</f>
        <v>7223.50215627882</v>
      </c>
      <c r="G614" s="15" t="n">
        <f aca="false">F614*(1+IF(G$3&lt;=$O$2,$D614,$D614-($D614-$I$589)*MIN(G$3-$O$2,$Q$2)/$Q$2))</f>
        <v>8196.72339121341</v>
      </c>
      <c r="H614" s="15" t="n">
        <f aca="false">G614*(1+IF(H$3&lt;=$O$2,$D614,$D614-($D614-$I$589)*MIN(H$3-$O$2,$Q$2)/$Q$2))</f>
        <v>9301.06656002938</v>
      </c>
      <c r="I614" s="15" t="n">
        <f aca="false">H614*(1+IF(I$3&lt;=$O$2,$D614,$D614-($D614-$I$589)*MIN(I$3-$O$2,$Q$2)/$Q$2))</f>
        <v>10554.197698904</v>
      </c>
      <c r="J614" s="15" t="n">
        <f aca="false">I614*(1+IF(J$3&lt;=$O$2,$D614,$D614-($D614-$I$589)*MIN(J$3-$O$2,$Q$2)/$Q$2))</f>
        <v>11730.3982922451</v>
      </c>
      <c r="K614" s="15" t="n">
        <f aca="false">J614*(1+IF(K$3&lt;=$O$2,$D614,$D614-($D614-$I$589)*MIN(K$3-$O$2,$Q$2)/$Q$2))</f>
        <v>12764.5255653601</v>
      </c>
      <c r="L614" s="15" t="n">
        <f aca="false">K614*(1+IF(L$3&lt;=$O$2,$D614,$D614-($D614-$I$589)*MIN(L$3-$O$2,$Q$2)/$Q$2))</f>
        <v>13592.5850121575</v>
      </c>
      <c r="M614" s="15" t="n">
        <f aca="false">L614*(1+IF(M$3&lt;=$O$2,$D614,$D614-($D614-$I$589)*MIN(M$3-$O$2,$Q$2)/$Q$2))</f>
        <v>14157.845796879</v>
      </c>
      <c r="N614" s="15" t="n">
        <f aca="false">M614*(1+IF(N$3&lt;=$O$2,$D614,$D614-($D614-$I$589)*MIN(N$3-$O$2,$Q$2)/$Q$2))</f>
        <v>14416.9343749619</v>
      </c>
      <c r="O614" s="15" t="n">
        <f aca="false">SUMPRODUCT(E614:N614,1/(1+$F$589)^$E$3:$N$3)*$E$2</f>
        <v>25313.4236364075</v>
      </c>
      <c r="P614" s="15" t="n">
        <f aca="false">N614*$E$2*(1+$I$589)/($F$589-$I$589)/(1+$F$589)^$N$3</f>
        <v>35701.5947621143</v>
      </c>
      <c r="Q614" s="15" t="n">
        <f aca="false">O614+P614</f>
        <v>61015.0183985218</v>
      </c>
      <c r="R614" s="15" t="n">
        <f aca="false">Q614-$G$2+$I$2</f>
        <v>52250.0183985218</v>
      </c>
      <c r="S614" s="40" t="n">
        <f aca="false">R614/$K$2</f>
        <v>93.4738602428027</v>
      </c>
      <c r="T614" s="41" t="n">
        <f aca="false">S614-$M$2</f>
        <v>3.29144545787585E-005</v>
      </c>
    </row>
    <row r="616" customFormat="false" ht="15" hidden="false" customHeight="false" outlineLevel="0" collapsed="false">
      <c r="A616" s="36" t="s">
        <v>208</v>
      </c>
      <c r="E616" s="5" t="s">
        <v>11</v>
      </c>
      <c r="F616" s="12" t="n">
        <f aca="false">Sensitivity!$B$14</f>
        <v>0.086736031552909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6" t="s">
        <v>167</v>
      </c>
      <c r="B617" s="28" t="s">
        <v>168</v>
      </c>
      <c r="C617" s="28" t="s">
        <v>169</v>
      </c>
      <c r="D617" s="28" t="s">
        <v>170</v>
      </c>
      <c r="E617" s="28" t="s">
        <v>171</v>
      </c>
      <c r="F617" s="28" t="s">
        <v>172</v>
      </c>
      <c r="G617" s="28" t="s">
        <v>173</v>
      </c>
      <c r="H617" s="28" t="s">
        <v>174</v>
      </c>
      <c r="I617" s="28" t="s">
        <v>175</v>
      </c>
      <c r="J617" s="28" t="s">
        <v>176</v>
      </c>
      <c r="K617" s="28" t="s">
        <v>177</v>
      </c>
      <c r="L617" s="28" t="s">
        <v>178</v>
      </c>
      <c r="M617" s="28" t="s">
        <v>179</v>
      </c>
      <c r="N617" s="28" t="s">
        <v>180</v>
      </c>
      <c r="O617" s="28" t="s">
        <v>181</v>
      </c>
      <c r="P617" s="28" t="s">
        <v>182</v>
      </c>
      <c r="Q617" s="28" t="s">
        <v>183</v>
      </c>
      <c r="R617" s="28" t="s">
        <v>184</v>
      </c>
      <c r="S617" s="28" t="s">
        <v>185</v>
      </c>
      <c r="T617" s="28" t="s">
        <v>186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39" t="n">
        <f aca="false">(B618+C618)/2</f>
        <v>0.25</v>
      </c>
      <c r="E618" s="15" t="n">
        <f aca="false">$C$2*(1+IF(E$3&lt;=$O$2,$D618,$D618-($D618-$I$616)*MIN(E$3-$O$2,$Q$2)/$Q$2))</f>
        <v>7012.5</v>
      </c>
      <c r="F618" s="15" t="n">
        <f aca="false">E618*(1+IF(F$3&lt;=$O$2,$D618,$D618-($D618-$I$616)*MIN(F$3-$O$2,$Q$2)/$Q$2))</f>
        <v>8765.625</v>
      </c>
      <c r="G618" s="15" t="n">
        <f aca="false">F618*(1+IF(G$3&lt;=$O$2,$D618,$D618-($D618-$I$616)*MIN(G$3-$O$2,$Q$2)/$Q$2))</f>
        <v>10957.03125</v>
      </c>
      <c r="H618" s="15" t="n">
        <f aca="false">G618*(1+IF(H$3&lt;=$O$2,$D618,$D618-($D618-$I$616)*MIN(H$3-$O$2,$Q$2)/$Q$2))</f>
        <v>13696.2890625</v>
      </c>
      <c r="I618" s="15" t="n">
        <f aca="false">H618*(1+IF(I$3&lt;=$O$2,$D618,$D618-($D618-$I$616)*MIN(I$3-$O$2,$Q$2)/$Q$2))</f>
        <v>17120.361328125</v>
      </c>
      <c r="J618" s="15" t="n">
        <f aca="false">I618*(1+IF(J$3&lt;=$O$2,$D618,$D618-($D618-$I$616)*MIN(J$3-$O$2,$Q$2)/$Q$2))</f>
        <v>20624.2144775391</v>
      </c>
      <c r="K618" s="15" t="n">
        <f aca="false">J618*(1+IF(K$3&lt;=$O$2,$D618,$D618-($D618-$I$616)*MIN(K$3-$O$2,$Q$2)/$Q$2))</f>
        <v>23910.0643281006</v>
      </c>
      <c r="L618" s="15" t="n">
        <f aca="false">K618*(1+IF(L$3&lt;=$O$2,$D618,$D618-($D618-$I$616)*MIN(L$3-$O$2,$Q$2)/$Q$2))</f>
        <v>26635.3334602175</v>
      </c>
      <c r="M618" s="15" t="n">
        <f aca="false">L618*(1+IF(M$3&lt;=$O$2,$D618,$D618-($D618-$I$616)*MIN(M$3-$O$2,$Q$2)/$Q$2))</f>
        <v>28463.5827489268</v>
      </c>
      <c r="N618" s="15" t="n">
        <f aca="false">M618*(1+IF(N$3&lt;=$O$2,$D618,$D618-($D618-$I$616)*MIN(N$3-$O$2,$Q$2)/$Q$2))</f>
        <v>29126.7842269768</v>
      </c>
      <c r="O618" s="15" t="n">
        <f aca="false">SUMPRODUCT(E618:N618,1/(1+$F$616)^$E$3:$N$3)*$E$2</f>
        <v>41767.9642026161</v>
      </c>
      <c r="P618" s="15" t="n">
        <f aca="false">N618*$E$2*(1+$I$616)/($F$616-$I$616)/(1+$F$616)^$N$3</f>
        <v>78195.772580649</v>
      </c>
      <c r="Q618" s="15" t="n">
        <f aca="false">O618+P618</f>
        <v>119963.736783265</v>
      </c>
      <c r="R618" s="15" t="n">
        <f aca="false">Q618-$G$2+$I$2</f>
        <v>111198.736783265</v>
      </c>
      <c r="S618" s="40" t="n">
        <f aca="false">R618/$K$2</f>
        <v>198.931512367643</v>
      </c>
      <c r="T618" s="41" t="n">
        <f aca="false">S618-$M$2</f>
        <v>105.457685039295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39" t="n">
        <f aca="false">(B619+C619)/2</f>
        <v>-0.125</v>
      </c>
      <c r="E619" s="15" t="n">
        <f aca="false">$C$2*(1+IF(E$3&lt;=$O$2,$D619,$D619-($D619-$I$616)*MIN(E$3-$O$2,$Q$2)/$Q$2))</f>
        <v>4908.75</v>
      </c>
      <c r="F619" s="15" t="n">
        <f aca="false">E619*(1+IF(F$3&lt;=$O$2,$D619,$D619-($D619-$I$616)*MIN(F$3-$O$2,$Q$2)/$Q$2))</f>
        <v>4295.15625</v>
      </c>
      <c r="G619" s="15" t="n">
        <f aca="false">F619*(1+IF(G$3&lt;=$O$2,$D619,$D619-($D619-$I$616)*MIN(G$3-$O$2,$Q$2)/$Q$2))</f>
        <v>3758.26171875</v>
      </c>
      <c r="H619" s="15" t="n">
        <f aca="false">G619*(1+IF(H$3&lt;=$O$2,$D619,$D619-($D619-$I$616)*MIN(H$3-$O$2,$Q$2)/$Q$2))</f>
        <v>3288.47900390625</v>
      </c>
      <c r="I619" s="15" t="n">
        <f aca="false">H619*(1+IF(I$3&lt;=$O$2,$D619,$D619-($D619-$I$616)*MIN(I$3-$O$2,$Q$2)/$Q$2))</f>
        <v>2877.41912841797</v>
      </c>
      <c r="J619" s="15" t="n">
        <f aca="false">I619*(1+IF(J$3&lt;=$O$2,$D619,$D619-($D619-$I$616)*MIN(J$3-$O$2,$Q$2)/$Q$2))</f>
        <v>2603.0859887146</v>
      </c>
      <c r="K619" s="15" t="n">
        <f aca="false">J619*(1+IF(K$3&lt;=$O$2,$D619,$D619-($D619-$I$616)*MIN(K$3-$O$2,$Q$2)/$Q$2))</f>
        <v>2432.11530097583</v>
      </c>
      <c r="L619" s="15" t="n">
        <f aca="false">K619*(1+IF(L$3&lt;=$O$2,$D619,$D619-($D619-$I$616)*MIN(L$3-$O$2,$Q$2)/$Q$2))</f>
        <v>2344.51050783468</v>
      </c>
      <c r="M619" s="15" t="n">
        <f aca="false">L619*(1+IF(M$3&lt;=$O$2,$D619,$D619-($D619-$I$616)*MIN(M$3-$O$2,$Q$2)/$Q$2))</f>
        <v>2329.59942100485</v>
      </c>
      <c r="N619" s="15" t="n">
        <f aca="false">M619*(1+IF(N$3&lt;=$O$2,$D619,$D619-($D619-$I$616)*MIN(N$3-$O$2,$Q$2)/$Q$2))</f>
        <v>2383.87908751426</v>
      </c>
      <c r="O619" s="15" t="n">
        <f aca="false">SUMPRODUCT(E619:N619,1/(1+$F$616)^$E$3:$N$3)*$E$2</f>
        <v>8267.26355794317</v>
      </c>
      <c r="P619" s="15" t="n">
        <f aca="false">N619*$E$2*(1+$I$616)/($F$616-$I$616)/(1+$F$616)^$N$3</f>
        <v>6399.92611386122</v>
      </c>
      <c r="Q619" s="15" t="n">
        <f aca="false">O619+P619</f>
        <v>14667.1896718044</v>
      </c>
      <c r="R619" s="15" t="n">
        <f aca="false">Q619-$G$2+$I$2</f>
        <v>5902.18967180439</v>
      </c>
      <c r="S619" s="40" t="n">
        <f aca="false">R619/$K$2</f>
        <v>10.5588566170603</v>
      </c>
      <c r="T619" s="41" t="n">
        <f aca="false">S619-$M$2</f>
        <v>-82.9149707112877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39" t="n">
        <f aca="false">(B620+C620)/2</f>
        <v>0.0625</v>
      </c>
      <c r="E620" s="15" t="n">
        <f aca="false">$C$2*(1+IF(E$3&lt;=$O$2,$D620,$D620-($D620-$I$616)*MIN(E$3-$O$2,$Q$2)/$Q$2))</f>
        <v>5960.625</v>
      </c>
      <c r="F620" s="15" t="n">
        <f aca="false">E620*(1+IF(F$3&lt;=$O$2,$D620,$D620-($D620-$I$616)*MIN(F$3-$O$2,$Q$2)/$Q$2))</f>
        <v>6333.1640625</v>
      </c>
      <c r="G620" s="15" t="n">
        <f aca="false">F620*(1+IF(G$3&lt;=$O$2,$D620,$D620-($D620-$I$616)*MIN(G$3-$O$2,$Q$2)/$Q$2))</f>
        <v>6728.98681640625</v>
      </c>
      <c r="H620" s="15" t="n">
        <f aca="false">G620*(1+IF(H$3&lt;=$O$2,$D620,$D620-($D620-$I$616)*MIN(H$3-$O$2,$Q$2)/$Q$2))</f>
        <v>7149.54849243164</v>
      </c>
      <c r="I620" s="15" t="n">
        <f aca="false">H620*(1+IF(I$3&lt;=$O$2,$D620,$D620-($D620-$I$616)*MIN(I$3-$O$2,$Q$2)/$Q$2))</f>
        <v>7596.39527320862</v>
      </c>
      <c r="J620" s="15" t="n">
        <f aca="false">I620*(1+IF(J$3&lt;=$O$2,$D620,$D620-($D620-$I$616)*MIN(J$3-$O$2,$Q$2)/$Q$2))</f>
        <v>8011.6142388422</v>
      </c>
      <c r="K620" s="15" t="n">
        <f aca="false">J620*(1+IF(K$3&lt;=$O$2,$D620,$D620-($D620-$I$616)*MIN(K$3-$O$2,$Q$2)/$Q$2))</f>
        <v>8386.71801750479</v>
      </c>
      <c r="L620" s="15" t="n">
        <f aca="false">K620*(1+IF(L$3&lt;=$O$2,$D620,$D620-($D620-$I$616)*MIN(L$3-$O$2,$Q$2)/$Q$2))</f>
        <v>8713.63228582713</v>
      </c>
      <c r="M620" s="15" t="n">
        <f aca="false">L620*(1+IF(M$3&lt;=$O$2,$D620,$D620-($D620-$I$616)*MIN(M$3-$O$2,$Q$2)/$Q$2))</f>
        <v>8984.97479520779</v>
      </c>
      <c r="N620" s="15" t="n">
        <f aca="false">M620*(1+IF(N$3&lt;=$O$2,$D620,$D620-($D620-$I$616)*MIN(N$3-$O$2,$Q$2)/$Q$2))</f>
        <v>9194.32470793613</v>
      </c>
      <c r="O620" s="15" t="n">
        <f aca="false">SUMPRODUCT(E620:N620,1/(1+$F$616)^$E$3:$N$3)*$E$2</f>
        <v>18547.3821223097</v>
      </c>
      <c r="P620" s="15" t="n">
        <f aca="false">N620*$E$2*(1+$I$616)/($F$616-$I$616)/(1+$F$616)^$N$3</f>
        <v>24683.7178554208</v>
      </c>
      <c r="Q620" s="15" t="n">
        <f aca="false">O620+P620</f>
        <v>43231.0999777305</v>
      </c>
      <c r="R620" s="15" t="n">
        <f aca="false">Q620-$G$2+$I$2</f>
        <v>34466.0999777305</v>
      </c>
      <c r="S620" s="40" t="n">
        <f aca="false">R620/$K$2</f>
        <v>61.6589144114825</v>
      </c>
      <c r="T620" s="41" t="n">
        <f aca="false">S620-$M$2</f>
        <v>-31.8149129168656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39" t="n">
        <f aca="false">(B621+C621)/2</f>
        <v>0.15625</v>
      </c>
      <c r="E621" s="15" t="n">
        <f aca="false">$C$2*(1+IF(E$3&lt;=$O$2,$D621,$D621-($D621-$I$616)*MIN(E$3-$O$2,$Q$2)/$Q$2))</f>
        <v>6486.5625</v>
      </c>
      <c r="F621" s="15" t="n">
        <f aca="false">E621*(1+IF(F$3&lt;=$O$2,$D621,$D621-($D621-$I$616)*MIN(F$3-$O$2,$Q$2)/$Q$2))</f>
        <v>7500.087890625</v>
      </c>
      <c r="G621" s="15" t="n">
        <f aca="false">F621*(1+IF(G$3&lt;=$O$2,$D621,$D621-($D621-$I$616)*MIN(G$3-$O$2,$Q$2)/$Q$2))</f>
        <v>8671.97662353516</v>
      </c>
      <c r="H621" s="15" t="n">
        <f aca="false">G621*(1+IF(H$3&lt;=$O$2,$D621,$D621-($D621-$I$616)*MIN(H$3-$O$2,$Q$2)/$Q$2))</f>
        <v>10026.9729709625</v>
      </c>
      <c r="I621" s="15" t="n">
        <f aca="false">H621*(1+IF(I$3&lt;=$O$2,$D621,$D621-($D621-$I$616)*MIN(I$3-$O$2,$Q$2)/$Q$2))</f>
        <v>11593.6874976754</v>
      </c>
      <c r="J621" s="15" t="n">
        <f aca="false">I621*(1+IF(J$3&lt;=$O$2,$D621,$D621-($D621-$I$616)*MIN(J$3-$O$2,$Q$2)/$Q$2))</f>
        <v>13096.925018624</v>
      </c>
      <c r="K621" s="15" t="n">
        <f aca="false">J621*(1+IF(K$3&lt;=$O$2,$D621,$D621-($D621-$I$616)*MIN(K$3-$O$2,$Q$2)/$Q$2))</f>
        <v>14446.8250802936</v>
      </c>
      <c r="L621" s="15" t="n">
        <f aca="false">K621*(1+IF(L$3&lt;=$O$2,$D621,$D621-($D621-$I$616)*MIN(L$3-$O$2,$Q$2)/$Q$2))</f>
        <v>15551.7182624344</v>
      </c>
      <c r="M621" s="15" t="n">
        <f aca="false">L621*(1+IF(M$3&lt;=$O$2,$D621,$D621-($D621-$I$616)*MIN(M$3-$O$2,$Q$2)/$Q$2))</f>
        <v>16327.5934865473</v>
      </c>
      <c r="N621" s="15" t="n">
        <f aca="false">M621*(1+IF(N$3&lt;=$O$2,$D621,$D621-($D621-$I$616)*MIN(N$3-$O$2,$Q$2)/$Q$2))</f>
        <v>16708.0264147839</v>
      </c>
      <c r="O621" s="15" t="n">
        <f aca="false">SUMPRODUCT(E621:N621,1/(1+$F$616)^$E$3:$N$3)*$E$2</f>
        <v>27883.5782976499</v>
      </c>
      <c r="P621" s="15" t="n">
        <f aca="false">N621*$E$2*(1+$I$616)/($F$616-$I$616)/(1+$F$616)^$N$3</f>
        <v>44855.519360488</v>
      </c>
      <c r="Q621" s="15" t="n">
        <f aca="false">O621+P621</f>
        <v>72739.0976581379</v>
      </c>
      <c r="R621" s="15" t="n">
        <f aca="false">Q621-$G$2+$I$2</f>
        <v>63974.0976581379</v>
      </c>
      <c r="S621" s="40" t="n">
        <f aca="false">R621/$K$2</f>
        <v>114.447918813084</v>
      </c>
      <c r="T621" s="41" t="n">
        <f aca="false">S621-$M$2</f>
        <v>20.9740914847363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39" t="n">
        <f aca="false">(B622+C622)/2</f>
        <v>0.109375</v>
      </c>
      <c r="E622" s="15" t="n">
        <f aca="false">$C$2*(1+IF(E$3&lt;=$O$2,$D622,$D622-($D622-$I$616)*MIN(E$3-$O$2,$Q$2)/$Q$2))</f>
        <v>6223.59375</v>
      </c>
      <c r="F622" s="15" t="n">
        <f aca="false">E622*(1+IF(F$3&lt;=$O$2,$D622,$D622-($D622-$I$616)*MIN(F$3-$O$2,$Q$2)/$Q$2))</f>
        <v>6904.29931640625</v>
      </c>
      <c r="G622" s="15" t="n">
        <f aca="false">F622*(1+IF(G$3&lt;=$O$2,$D622,$D622-($D622-$I$616)*MIN(G$3-$O$2,$Q$2)/$Q$2))</f>
        <v>7659.45705413818</v>
      </c>
      <c r="H622" s="15" t="n">
        <f aca="false">G622*(1+IF(H$3&lt;=$O$2,$D622,$D622-($D622-$I$616)*MIN(H$3-$O$2,$Q$2)/$Q$2))</f>
        <v>8497.21016943455</v>
      </c>
      <c r="I622" s="15" t="n">
        <f aca="false">H622*(1+IF(I$3&lt;=$O$2,$D622,$D622-($D622-$I$616)*MIN(I$3-$O$2,$Q$2)/$Q$2))</f>
        <v>9426.59253171645</v>
      </c>
      <c r="J622" s="15" t="n">
        <f aca="false">I622*(1+IF(J$3&lt;=$O$2,$D622,$D622-($D622-$I$616)*MIN(J$3-$O$2,$Q$2)/$Q$2))</f>
        <v>10295.3472994394</v>
      </c>
      <c r="K622" s="15" t="n">
        <f aca="false">J622*(1+IF(K$3&lt;=$O$2,$D622,$D622-($D622-$I$616)*MIN(K$3-$O$2,$Q$2)/$Q$2))</f>
        <v>11066.9321027959</v>
      </c>
      <c r="L622" s="15" t="n">
        <f aca="false">K622*(1+IF(L$3&lt;=$O$2,$D622,$D622-($D622-$I$616)*MIN(L$3-$O$2,$Q$2)/$Q$2))</f>
        <v>11705.8260930903</v>
      </c>
      <c r="M622" s="15" t="n">
        <f aca="false">L622*(1+IF(M$3&lt;=$O$2,$D622,$D622-($D622-$I$616)*MIN(M$3-$O$2,$Q$2)/$Q$2))</f>
        <v>12180.0876372519</v>
      </c>
      <c r="N622" s="15" t="n">
        <f aca="false">M622*(1+IF(N$3&lt;=$O$2,$D622,$D622-($D622-$I$616)*MIN(N$3-$O$2,$Q$2)/$Q$2))</f>
        <v>12463.8836791999</v>
      </c>
      <c r="O622" s="15" t="n">
        <f aca="false">SUMPRODUCT(E622:N622,1/(1+$F$616)^$E$3:$N$3)*$E$2</f>
        <v>22745.8663454661</v>
      </c>
      <c r="P622" s="15" t="n">
        <f aca="false">N622*$E$2*(1+$I$616)/($F$616-$I$616)/(1+$F$616)^$N$3</f>
        <v>33461.4012331541</v>
      </c>
      <c r="Q622" s="15" t="n">
        <f aca="false">O622+P622</f>
        <v>56207.2675786202</v>
      </c>
      <c r="R622" s="15" t="n">
        <f aca="false">Q622-$G$2+$I$2</f>
        <v>47442.2675786202</v>
      </c>
      <c r="S622" s="40" t="n">
        <f aca="false">R622/$K$2</f>
        <v>84.8729249322341</v>
      </c>
      <c r="T622" s="41" t="n">
        <f aca="false">S622-$M$2</f>
        <v>-8.60090239611398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0.109375</v>
      </c>
      <c r="C623" s="25" t="n">
        <f aca="false">IF(T622&gt;0,D622,C622)</f>
        <v>0.15625</v>
      </c>
      <c r="D623" s="39" t="n">
        <f aca="false">(B623+C623)/2</f>
        <v>0.1328125</v>
      </c>
      <c r="E623" s="15" t="n">
        <f aca="false">$C$2*(1+IF(E$3&lt;=$O$2,$D623,$D623-($D623-$I$616)*MIN(E$3-$O$2,$Q$2)/$Q$2))</f>
        <v>6355.078125</v>
      </c>
      <c r="F623" s="15" t="n">
        <f aca="false">E623*(1+IF(F$3&lt;=$O$2,$D623,$D623-($D623-$I$616)*MIN(F$3-$O$2,$Q$2)/$Q$2))</f>
        <v>7199.11193847656</v>
      </c>
      <c r="G623" s="15" t="n">
        <f aca="false">F623*(1+IF(G$3&lt;=$O$2,$D623,$D623-($D623-$I$616)*MIN(G$3-$O$2,$Q$2)/$Q$2))</f>
        <v>8155.24399280548</v>
      </c>
      <c r="H623" s="15" t="n">
        <f aca="false">G623*(1+IF(H$3&lt;=$O$2,$D623,$D623-($D623-$I$616)*MIN(H$3-$O$2,$Q$2)/$Q$2))</f>
        <v>9238.36233559996</v>
      </c>
      <c r="I623" s="15" t="n">
        <f aca="false">H623*(1+IF(I$3&lt;=$O$2,$D623,$D623-($D623-$I$616)*MIN(I$3-$O$2,$Q$2)/$Q$2))</f>
        <v>10465.3323332968</v>
      </c>
      <c r="J623" s="15" t="n">
        <f aca="false">I623*(1+IF(J$3&lt;=$O$2,$D623,$D623-($D623-$I$616)*MIN(J$3-$O$2,$Q$2)/$Q$2))</f>
        <v>11626.0423423828</v>
      </c>
      <c r="K623" s="15" t="n">
        <f aca="false">J623*(1+IF(K$3&lt;=$O$2,$D623,$D623-($D623-$I$616)*MIN(K$3-$O$2,$Q$2)/$Q$2))</f>
        <v>12660.8473061724</v>
      </c>
      <c r="L623" s="15" t="n">
        <f aca="false">K623*(1+IF(L$3&lt;=$O$2,$D623,$D623-($D623-$I$616)*MIN(L$3-$O$2,$Q$2)/$Q$2))</f>
        <v>13510.4534646531</v>
      </c>
      <c r="M623" s="15" t="n">
        <f aca="false">L623*(1+IF(M$3&lt;=$O$2,$D623,$D623-($D623-$I$616)*MIN(M$3-$O$2,$Q$2)/$Q$2))</f>
        <v>14121.1597373891</v>
      </c>
      <c r="N623" s="15" t="n">
        <f aca="false">M623*(1+IF(N$3&lt;=$O$2,$D623,$D623-($D623-$I$616)*MIN(N$3-$O$2,$Q$2)/$Q$2))</f>
        <v>14450.1827592703</v>
      </c>
      <c r="O623" s="15" t="n">
        <f aca="false">SUMPRODUCT(E623:N623,1/(1+$F$616)^$E$3:$N$3)*$E$2</f>
        <v>25186.1653650894</v>
      </c>
      <c r="P623" s="15" t="n">
        <f aca="false">N623*$E$2*(1+$I$616)/($F$616-$I$616)/(1+$F$616)^$N$3</f>
        <v>38793.9566547197</v>
      </c>
      <c r="Q623" s="15" t="n">
        <f aca="false">O623+P623</f>
        <v>63980.1220198091</v>
      </c>
      <c r="R623" s="15" t="n">
        <f aca="false">Q623-$G$2+$I$2</f>
        <v>55215.1220198091</v>
      </c>
      <c r="S623" s="40" t="n">
        <f aca="false">R623/$K$2</f>
        <v>98.7783498869532</v>
      </c>
      <c r="T623" s="41" t="n">
        <f aca="false">S623-$M$2</f>
        <v>5.30452255860513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0.109375</v>
      </c>
      <c r="C624" s="25" t="n">
        <f aca="false">IF(T623&gt;0,D623,C623)</f>
        <v>0.1328125</v>
      </c>
      <c r="D624" s="39" t="n">
        <f aca="false">(B624+C624)/2</f>
        <v>0.12109375</v>
      </c>
      <c r="E624" s="15" t="n">
        <f aca="false">$C$2*(1+IF(E$3&lt;=$O$2,$D624,$D624-($D624-$I$616)*MIN(E$3-$O$2,$Q$2)/$Q$2))</f>
        <v>6289.3359375</v>
      </c>
      <c r="F624" s="15" t="n">
        <f aca="false">E624*(1+IF(F$3&lt;=$O$2,$D624,$D624-($D624-$I$616)*MIN(F$3-$O$2,$Q$2)/$Q$2))</f>
        <v>7050.93521118164</v>
      </c>
      <c r="G624" s="15" t="n">
        <f aca="false">F624*(1+IF(G$3&lt;=$O$2,$D624,$D624-($D624-$I$616)*MIN(G$3-$O$2,$Q$2)/$Q$2))</f>
        <v>7904.75939691067</v>
      </c>
      <c r="H624" s="15" t="n">
        <f aca="false">G624*(1+IF(H$3&lt;=$O$2,$D624,$D624-($D624-$I$616)*MIN(H$3-$O$2,$Q$2)/$Q$2))</f>
        <v>8861.97635513032</v>
      </c>
      <c r="I624" s="15" t="n">
        <f aca="false">H624*(1+IF(I$3&lt;=$O$2,$D624,$D624-($D624-$I$616)*MIN(I$3-$O$2,$Q$2)/$Q$2))</f>
        <v>9935.10630438438</v>
      </c>
      <c r="J624" s="15" t="n">
        <f aca="false">I624*(1+IF(J$3&lt;=$O$2,$D624,$D624-($D624-$I$616)*MIN(J$3-$O$2,$Q$2)/$Q$2))</f>
        <v>10943.867323</v>
      </c>
      <c r="K624" s="15" t="n">
        <f aca="false">J624*(1+IF(K$3&lt;=$O$2,$D624,$D624-($D624-$I$616)*MIN(K$3-$O$2,$Q$2)/$Q$2))</f>
        <v>11841.0045266371</v>
      </c>
      <c r="L624" s="15" t="n">
        <f aca="false">K624*(1+IF(L$3&lt;=$O$2,$D624,$D624-($D624-$I$616)*MIN(L$3-$O$2,$Q$2)/$Q$2))</f>
        <v>12580.0904266785</v>
      </c>
      <c r="M624" s="15" t="n">
        <f aca="false">L624*(1+IF(M$3&lt;=$O$2,$D624,$D624-($D624-$I$616)*MIN(M$3-$O$2,$Q$2)/$Q$2))</f>
        <v>13119.2573772529</v>
      </c>
      <c r="N624" s="15" t="n">
        <f aca="false">M624*(1+IF(N$3&lt;=$O$2,$D624,$D624-($D624-$I$616)*MIN(N$3-$O$2,$Q$2)/$Q$2))</f>
        <v>13424.9360741429</v>
      </c>
      <c r="O624" s="15" t="n">
        <f aca="false">SUMPRODUCT(E624:N624,1/(1+$F$616)^$E$3:$N$3)*$E$2</f>
        <v>23935.3410667143</v>
      </c>
      <c r="P624" s="15" t="n">
        <f aca="false">N624*$E$2*(1+$I$616)/($F$616-$I$616)/(1+$F$616)^$N$3</f>
        <v>36041.5087358372</v>
      </c>
      <c r="Q624" s="15" t="n">
        <f aca="false">O624+P624</f>
        <v>59976.8498025515</v>
      </c>
      <c r="R624" s="15" t="n">
        <f aca="false">Q624-$G$2+$I$2</f>
        <v>51211.8498025515</v>
      </c>
      <c r="S624" s="40" t="n">
        <f aca="false">R624/$K$2</f>
        <v>91.6166048920382</v>
      </c>
      <c r="T624" s="41" t="n">
        <f aca="false">S624-$M$2</f>
        <v>-1.85722243630993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0.12109375</v>
      </c>
      <c r="C625" s="25" t="n">
        <f aca="false">IF(T624&gt;0,D624,C624)</f>
        <v>0.1328125</v>
      </c>
      <c r="D625" s="39" t="n">
        <f aca="false">(B625+C625)/2</f>
        <v>0.126953125</v>
      </c>
      <c r="E625" s="15" t="n">
        <f aca="false">$C$2*(1+IF(E$3&lt;=$O$2,$D625,$D625-($D625-$I$616)*MIN(E$3-$O$2,$Q$2)/$Q$2))</f>
        <v>6322.20703125</v>
      </c>
      <c r="F625" s="15" t="n">
        <f aca="false">E625*(1+IF(F$3&lt;=$O$2,$D625,$D625-($D625-$I$616)*MIN(F$3-$O$2,$Q$2)/$Q$2))</f>
        <v>7124.83097076416</v>
      </c>
      <c r="G625" s="15" t="n">
        <f aca="false">F625*(1+IF(G$3&lt;=$O$2,$D625,$D625-($D625-$I$616)*MIN(G$3-$O$2,$Q$2)/$Q$2))</f>
        <v>8029.35052759945</v>
      </c>
      <c r="H625" s="15" t="n">
        <f aca="false">G625*(1+IF(H$3&lt;=$O$2,$D625,$D625-($D625-$I$616)*MIN(H$3-$O$2,$Q$2)/$Q$2))</f>
        <v>9048.7016687986</v>
      </c>
      <c r="I625" s="15" t="n">
        <f aca="false">H625*(1+IF(I$3&lt;=$O$2,$D625,$D625-($D625-$I$616)*MIN(I$3-$O$2,$Q$2)/$Q$2))</f>
        <v>10197.4626228453</v>
      </c>
      <c r="J625" s="15" t="n">
        <f aca="false">I625*(1+IF(J$3&lt;=$O$2,$D625,$D625-($D625-$I$616)*MIN(J$3-$O$2,$Q$2)/$Q$2))</f>
        <v>11280.6625963005</v>
      </c>
      <c r="K625" s="15" t="n">
        <f aca="false">J625*(1+IF(K$3&lt;=$O$2,$D625,$D625-($D625-$I$616)*MIN(K$3-$O$2,$Q$2)/$Q$2))</f>
        <v>12245.0675929006</v>
      </c>
      <c r="L625" s="15" t="n">
        <f aca="false">K625*(1+IF(L$3&lt;=$O$2,$D625,$D625-($D625-$I$616)*MIN(L$3-$O$2,$Q$2)/$Q$2))</f>
        <v>13038.0734765513</v>
      </c>
      <c r="M625" s="15" t="n">
        <f aca="false">L625*(1+IF(M$3&lt;=$O$2,$D625,$D625-($D625-$I$616)*MIN(M$3-$O$2,$Q$2)/$Q$2))</f>
        <v>13612.1480005198</v>
      </c>
      <c r="N625" s="15" t="n">
        <f aca="false">M625*(1+IF(N$3&lt;=$O$2,$D625,$D625-($D625-$I$616)*MIN(N$3-$O$2,$Q$2)/$Q$2))</f>
        <v>13929.3110489319</v>
      </c>
      <c r="O625" s="15" t="n">
        <f aca="false">SUMPRODUCT(E625:N625,1/(1+$F$616)^$E$3:$N$3)*$E$2</f>
        <v>24552.906014485</v>
      </c>
      <c r="P625" s="15" t="n">
        <f aca="false">N625*$E$2*(1+$I$616)/($F$616-$I$616)/(1+$F$616)^$N$3</f>
        <v>37395.5885586088</v>
      </c>
      <c r="Q625" s="15" t="n">
        <f aca="false">O625+P625</f>
        <v>61948.4945730937</v>
      </c>
      <c r="R625" s="15" t="n">
        <f aca="false">Q625-$G$2+$I$2</f>
        <v>53183.4945730937</v>
      </c>
      <c r="S625" s="40" t="n">
        <f aca="false">R625/$K$2</f>
        <v>95.1438237022679</v>
      </c>
      <c r="T625" s="41" t="n">
        <f aca="false">S625-$M$2</f>
        <v>1.66999637391983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0.12109375</v>
      </c>
      <c r="C626" s="25" t="n">
        <f aca="false">IF(T625&gt;0,D625,C625)</f>
        <v>0.126953125</v>
      </c>
      <c r="D626" s="39" t="n">
        <f aca="false">(B626+C626)/2</f>
        <v>0.1240234375</v>
      </c>
      <c r="E626" s="15" t="n">
        <f aca="false">$C$2*(1+IF(E$3&lt;=$O$2,$D626,$D626-($D626-$I$616)*MIN(E$3-$O$2,$Q$2)/$Q$2))</f>
        <v>6305.771484375</v>
      </c>
      <c r="F626" s="15" t="n">
        <f aca="false">E626*(1+IF(F$3&lt;=$O$2,$D626,$D626-($D626-$I$616)*MIN(F$3-$O$2,$Q$2)/$Q$2))</f>
        <v>7087.83493995667</v>
      </c>
      <c r="G626" s="15" t="n">
        <f aca="false">F626*(1+IF(G$3&lt;=$O$2,$D626,$D626-($D626-$I$616)*MIN(G$3-$O$2,$Q$2)/$Q$2))</f>
        <v>7966.8925936427</v>
      </c>
      <c r="H626" s="15" t="n">
        <f aca="false">G626*(1+IF(H$3&lt;=$O$2,$D626,$D626-($D626-$I$616)*MIN(H$3-$O$2,$Q$2)/$Q$2))</f>
        <v>8954.97399929956</v>
      </c>
      <c r="I626" s="15" t="n">
        <f aca="false">H626*(1+IF(I$3&lt;=$O$2,$D626,$D626-($D626-$I$616)*MIN(I$3-$O$2,$Q$2)/$Q$2))</f>
        <v>10065.6006574158</v>
      </c>
      <c r="J626" s="15" t="n">
        <f aca="false">I626*(1+IF(J$3&lt;=$O$2,$D626,$D626-($D626-$I$616)*MIN(J$3-$O$2,$Q$2)/$Q$2))</f>
        <v>11111.2026717073</v>
      </c>
      <c r="K626" s="15" t="n">
        <f aca="false">J626*(1+IF(K$3&lt;=$O$2,$D626,$D626-($D626-$I$616)*MIN(K$3-$O$2,$Q$2)/$Q$2))</f>
        <v>12041.5888106703</v>
      </c>
      <c r="L626" s="15" t="n">
        <f aca="false">K626*(1+IF(L$3&lt;=$O$2,$D626,$D626-($D626-$I$616)*MIN(L$3-$O$2,$Q$2)/$Q$2))</f>
        <v>12807.3059171478</v>
      </c>
      <c r="M626" s="15" t="n">
        <f aca="false">L626*(1+IF(M$3&lt;=$O$2,$D626,$D626-($D626-$I$616)*MIN(M$3-$O$2,$Q$2)/$Q$2))</f>
        <v>13363.7153204352</v>
      </c>
      <c r="N626" s="15" t="n">
        <f aca="false">M626*(1+IF(N$3&lt;=$O$2,$D626,$D626-($D626-$I$616)*MIN(N$3-$O$2,$Q$2)/$Q$2))</f>
        <v>13675.0898874013</v>
      </c>
      <c r="O626" s="15" t="n">
        <f aca="false">SUMPRODUCT(E626:N626,1/(1+$F$616)^$E$3:$N$3)*$E$2</f>
        <v>24242.1843326528</v>
      </c>
      <c r="P626" s="15" t="n">
        <f aca="false">N626*$E$2*(1+$I$616)/($F$616-$I$616)/(1+$F$616)^$N$3</f>
        <v>36713.0889054605</v>
      </c>
      <c r="Q626" s="15" t="n">
        <f aca="false">O626+P626</f>
        <v>60955.2732381133</v>
      </c>
      <c r="R626" s="15" t="n">
        <f aca="false">Q626-$G$2+$I$2</f>
        <v>52190.2732381133</v>
      </c>
      <c r="S626" s="40" t="n">
        <f aca="false">R626/$K$2</f>
        <v>93.3669777775829</v>
      </c>
      <c r="T626" s="41" t="n">
        <f aca="false">S626-$M$2</f>
        <v>-0.106849550765219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0.1240234375</v>
      </c>
      <c r="C627" s="25" t="n">
        <f aca="false">IF(T626&gt;0,D626,C626)</f>
        <v>0.126953125</v>
      </c>
      <c r="D627" s="39" t="n">
        <f aca="false">(B627+C627)/2</f>
        <v>0.12548828125</v>
      </c>
      <c r="E627" s="15" t="n">
        <f aca="false">$C$2*(1+IF(E$3&lt;=$O$2,$D627,$D627-($D627-$I$616)*MIN(E$3-$O$2,$Q$2)/$Q$2))</f>
        <v>6313.9892578125</v>
      </c>
      <c r="F627" s="15" t="n">
        <f aca="false">E627*(1+IF(F$3&lt;=$O$2,$D627,$D627-($D627-$I$616)*MIN(F$3-$O$2,$Q$2)/$Q$2))</f>
        <v>7106.32091760635</v>
      </c>
      <c r="G627" s="15" t="n">
        <f aca="false">F627*(1+IF(G$3&lt;=$O$2,$D627,$D627-($D627-$I$616)*MIN(G$3-$O$2,$Q$2)/$Q$2))</f>
        <v>7998.0809155677</v>
      </c>
      <c r="H627" s="15" t="n">
        <f aca="false">G627*(1+IF(H$3&lt;=$O$2,$D627,$D627-($D627-$I$616)*MIN(H$3-$O$2,$Q$2)/$Q$2))</f>
        <v>9001.74634296071</v>
      </c>
      <c r="I627" s="15" t="n">
        <f aca="false">H627*(1+IF(I$3&lt;=$O$2,$D627,$D627-($D627-$I$616)*MIN(I$3-$O$2,$Q$2)/$Q$2))</f>
        <v>10131.3600197873</v>
      </c>
      <c r="J627" s="15" t="n">
        <f aca="false">I627*(1+IF(J$3&lt;=$O$2,$D627,$D627-($D627-$I$616)*MIN(J$3-$O$2,$Q$2)/$Q$2))</f>
        <v>11195.665721966</v>
      </c>
      <c r="K627" s="15" t="n">
        <f aca="false">J627*(1+IF(K$3&lt;=$O$2,$D627,$D627-($D627-$I$616)*MIN(K$3-$O$2,$Q$2)/$Q$2))</f>
        <v>12142.9642358342</v>
      </c>
      <c r="L627" s="15" t="n">
        <f aca="false">K627*(1+IF(L$3&lt;=$O$2,$D627,$D627-($D627-$I$616)*MIN(L$3-$O$2,$Q$2)/$Q$2))</f>
        <v>12922.2427603451</v>
      </c>
      <c r="M627" s="15" t="n">
        <f aca="false">L627*(1+IF(M$3&lt;=$O$2,$D627,$D627-($D627-$I$616)*MIN(M$3-$O$2,$Q$2)/$Q$2))</f>
        <v>13487.4313721762</v>
      </c>
      <c r="N627" s="15" t="n">
        <f aca="false">M627*(1+IF(N$3&lt;=$O$2,$D627,$D627-($D627-$I$616)*MIN(N$3-$O$2,$Q$2)/$Q$2))</f>
        <v>13801.6885231479</v>
      </c>
      <c r="O627" s="15" t="n">
        <f aca="false">SUMPRODUCT(E627:N627,1/(1+$F$616)^$E$3:$N$3)*$E$2</f>
        <v>24397.0575651505</v>
      </c>
      <c r="P627" s="15" t="n">
        <f aca="false">N627*$E$2*(1+$I$616)/($F$616-$I$616)/(1+$F$616)^$N$3</f>
        <v>37052.9643291501</v>
      </c>
      <c r="Q627" s="15" t="n">
        <f aca="false">O627+P627</f>
        <v>61450.0218943006</v>
      </c>
      <c r="R627" s="15" t="n">
        <f aca="false">Q627-$G$2+$I$2</f>
        <v>52685.0218943006</v>
      </c>
      <c r="S627" s="40" t="n">
        <f aca="false">R627/$K$2</f>
        <v>94.2520696524037</v>
      </c>
      <c r="T627" s="41" t="n">
        <f aca="false">S627-$M$2</f>
        <v>0.77824232405564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0.1240234375</v>
      </c>
      <c r="C628" s="25" t="n">
        <f aca="false">IF(T627&gt;0,D627,C627)</f>
        <v>0.12548828125</v>
      </c>
      <c r="D628" s="39" t="n">
        <f aca="false">(B628+C628)/2</f>
        <v>0.124755859375</v>
      </c>
      <c r="E628" s="15" t="n">
        <f aca="false">$C$2*(1+IF(E$3&lt;=$O$2,$D628,$D628-($D628-$I$616)*MIN(E$3-$O$2,$Q$2)/$Q$2))</f>
        <v>6309.88037109375</v>
      </c>
      <c r="F628" s="15" t="n">
        <f aca="false">E628*(1+IF(F$3&lt;=$O$2,$D628,$D628-($D628-$I$616)*MIN(F$3-$O$2,$Q$2)/$Q$2))</f>
        <v>7097.074919343</v>
      </c>
      <c r="G628" s="15" t="n">
        <f aca="false">F628*(1+IF(G$3&lt;=$O$2,$D628,$D628-($D628-$I$616)*MIN(G$3-$O$2,$Q$2)/$Q$2))</f>
        <v>7982.47659995439</v>
      </c>
      <c r="H628" s="15" t="n">
        <f aca="false">G628*(1+IF(H$3&lt;=$O$2,$D628,$D628-($D628-$I$616)*MIN(H$3-$O$2,$Q$2)/$Q$2))</f>
        <v>8978.33732812253</v>
      </c>
      <c r="I628" s="15" t="n">
        <f aca="false">H628*(1+IF(I$3&lt;=$O$2,$D628,$D628-($D628-$I$616)*MIN(I$3-$O$2,$Q$2)/$Q$2))</f>
        <v>10098.4375172511</v>
      </c>
      <c r="J628" s="15" t="n">
        <f aca="false">I628*(1+IF(J$3&lt;=$O$2,$D628,$D628-($D628-$I$616)*MIN(J$3-$O$2,$Q$2)/$Q$2))</f>
        <v>11153.367636729</v>
      </c>
      <c r="K628" s="15" t="n">
        <f aca="false">J628*(1+IF(K$3&lt;=$O$2,$D628,$D628-($D628-$I$616)*MIN(K$3-$O$2,$Q$2)/$Q$2))</f>
        <v>12092.1858017706</v>
      </c>
      <c r="L628" s="15" t="n">
        <f aca="false">K628*(1+IF(L$3&lt;=$O$2,$D628,$D628-($D628-$I$616)*MIN(L$3-$O$2,$Q$2)/$Q$2))</f>
        <v>12864.6629718482</v>
      </c>
      <c r="M628" s="15" t="n">
        <f aca="false">L628*(1+IF(M$3&lt;=$O$2,$D628,$D628-($D628-$I$616)*MIN(M$3-$O$2,$Q$2)/$Q$2))</f>
        <v>13425.4487065679</v>
      </c>
      <c r="N628" s="15" t="n">
        <f aca="false">M628*(1+IF(N$3&lt;=$O$2,$D628,$D628-($D628-$I$616)*MIN(N$3-$O$2,$Q$2)/$Q$2))</f>
        <v>13738.261661431</v>
      </c>
      <c r="O628" s="15" t="n">
        <f aca="false">SUMPRODUCT(E628:N628,1/(1+$F$616)^$E$3:$N$3)*$E$2</f>
        <v>24319.4993986973</v>
      </c>
      <c r="P628" s="15" t="n">
        <f aca="false">N628*$E$2*(1+$I$616)/($F$616-$I$616)/(1+$F$616)^$N$3</f>
        <v>36882.6842043114</v>
      </c>
      <c r="Q628" s="15" t="n">
        <f aca="false">O628+P628</f>
        <v>61202.1836030087</v>
      </c>
      <c r="R628" s="15" t="n">
        <f aca="false">Q628-$G$2+$I$2</f>
        <v>52437.1836030087</v>
      </c>
      <c r="S628" s="40" t="n">
        <f aca="false">R628/$K$2</f>
        <v>93.8086936974645</v>
      </c>
      <c r="T628" s="41" t="n">
        <f aca="false">S628-$M$2</f>
        <v>0.334866369116398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0.1240234375</v>
      </c>
      <c r="C629" s="25" t="n">
        <f aca="false">IF(T628&gt;0,D628,C628)</f>
        <v>0.124755859375</v>
      </c>
      <c r="D629" s="39" t="n">
        <f aca="false">(B629+C629)/2</f>
        <v>0.1243896484375</v>
      </c>
      <c r="E629" s="15" t="n">
        <f aca="false">$C$2*(1+IF(E$3&lt;=$O$2,$D629,$D629-($D629-$I$616)*MIN(E$3-$O$2,$Q$2)/$Q$2))</f>
        <v>6307.82592773438</v>
      </c>
      <c r="F629" s="15" t="n">
        <f aca="false">E629*(1+IF(F$3&lt;=$O$2,$D629,$D629-($D629-$I$616)*MIN(F$3-$O$2,$Q$2)/$Q$2))</f>
        <v>7092.4541772902</v>
      </c>
      <c r="G629" s="15" t="n">
        <f aca="false">F629*(1+IF(G$3&lt;=$O$2,$D629,$D629-($D629-$I$616)*MIN(G$3-$O$2,$Q$2)/$Q$2))</f>
        <v>7974.68205896241</v>
      </c>
      <c r="H629" s="15" t="n">
        <f aca="false">G629*(1+IF(H$3&lt;=$O$2,$D629,$D629-($D629-$I$616)*MIN(H$3-$O$2,$Q$2)/$Q$2))</f>
        <v>8966.64995667758</v>
      </c>
      <c r="I629" s="15" t="n">
        <f aca="false">H629*(1+IF(I$3&lt;=$O$2,$D629,$D629-($D629-$I$616)*MIN(I$3-$O$2,$Q$2)/$Q$2))</f>
        <v>10082.0083924508</v>
      </c>
      <c r="J629" s="15" t="n">
        <f aca="false">I629*(1+IF(J$3&lt;=$O$2,$D629,$D629-($D629-$I$616)*MIN(J$3-$O$2,$Q$2)/$Q$2))</f>
        <v>11132.2685351444</v>
      </c>
      <c r="K629" s="15" t="n">
        <f aca="false">J629*(1+IF(K$3&lt;=$O$2,$D629,$D629-($D629-$I$616)*MIN(K$3-$O$2,$Q$2)/$Q$2))</f>
        <v>12066.864659531</v>
      </c>
      <c r="L629" s="15" t="n">
        <f aca="false">K629*(1+IF(L$3&lt;=$O$2,$D629,$D629-($D629-$I$616)*MIN(L$3-$O$2,$Q$2)/$Q$2))</f>
        <v>12835.956648568</v>
      </c>
      <c r="M629" s="15" t="n">
        <f aca="false">L629*(1+IF(M$3&lt;=$O$2,$D629,$D629-($D629-$I$616)*MIN(M$3-$O$2,$Q$2)/$Q$2))</f>
        <v>13394.5509074722</v>
      </c>
      <c r="N629" s="15" t="n">
        <f aca="false">M629*(1+IF(N$3&lt;=$O$2,$D629,$D629-($D629-$I$616)*MIN(N$3-$O$2,$Q$2)/$Q$2))</f>
        <v>13706.6439436163</v>
      </c>
      <c r="O629" s="15" t="n">
        <f aca="false">SUMPRODUCT(E629:N629,1/(1+$F$616)^$E$3:$N$3)*$E$2</f>
        <v>24280.8115220153</v>
      </c>
      <c r="P629" s="15" t="n">
        <f aca="false">N629*$E$2*(1+$I$616)/($F$616-$I$616)/(1+$F$616)^$N$3</f>
        <v>36797.8010997266</v>
      </c>
      <c r="Q629" s="15" t="n">
        <f aca="false">O629+P629</f>
        <v>61078.612621742</v>
      </c>
      <c r="R629" s="15" t="n">
        <f aca="false">Q629-$G$2+$I$2</f>
        <v>52313.612621742</v>
      </c>
      <c r="S629" s="40" t="n">
        <f aca="false">R629/$K$2</f>
        <v>93.5876285765894</v>
      </c>
      <c r="T629" s="41" t="n">
        <f aca="false">S629-$M$2</f>
        <v>0.113801248241359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0.1240234375</v>
      </c>
      <c r="C630" s="25" t="n">
        <f aca="false">IF(T629&gt;0,D629,C629)</f>
        <v>0.1243896484375</v>
      </c>
      <c r="D630" s="39" t="n">
        <f aca="false">(B630+C630)/2</f>
        <v>0.12420654296875</v>
      </c>
      <c r="E630" s="15" t="n">
        <f aca="false">$C$2*(1+IF(E$3&lt;=$O$2,$D630,$D630-($D630-$I$616)*MIN(E$3-$O$2,$Q$2)/$Q$2))</f>
        <v>6306.79870605469</v>
      </c>
      <c r="F630" s="15" t="n">
        <f aca="false">E630*(1+IF(F$3&lt;=$O$2,$D630,$D630-($D630-$I$616)*MIN(F$3-$O$2,$Q$2)/$Q$2))</f>
        <v>7090.14437053353</v>
      </c>
      <c r="G630" s="15" t="n">
        <f aca="false">F630*(1+IF(G$3&lt;=$O$2,$D630,$D630-($D630-$I$616)*MIN(G$3-$O$2,$Q$2)/$Q$2))</f>
        <v>7970.78669194684</v>
      </c>
      <c r="H630" s="15" t="n">
        <f aca="false">G630*(1+IF(H$3&lt;=$O$2,$D630,$D630-($D630-$I$616)*MIN(H$3-$O$2,$Q$2)/$Q$2))</f>
        <v>8960.81055169488</v>
      </c>
      <c r="I630" s="15" t="n">
        <f aca="false">H630*(1+IF(I$3&lt;=$O$2,$D630,$D630-($D630-$I$616)*MIN(I$3-$O$2,$Q$2)/$Q$2))</f>
        <v>10073.8018525188</v>
      </c>
      <c r="J630" s="15" t="n">
        <f aca="false">I630*(1+IF(J$3&lt;=$O$2,$D630,$D630-($D630-$I$616)*MIN(J$3-$O$2,$Q$2)/$Q$2))</f>
        <v>11121.7314512744</v>
      </c>
      <c r="K630" s="15" t="n">
        <f aca="false">J630*(1+IF(K$3&lt;=$O$2,$D630,$D630-($D630-$I$616)*MIN(K$3-$O$2,$Q$2)/$Q$2))</f>
        <v>12054.221077634</v>
      </c>
      <c r="L630" s="15" t="n">
        <f aca="false">K630*(1+IF(L$3&lt;=$O$2,$D630,$D630-($D630-$I$616)*MIN(L$3-$O$2,$Q$2)/$Q$2))</f>
        <v>12821.6243395929</v>
      </c>
      <c r="M630" s="15" t="n">
        <f aca="false">L630*(1+IF(M$3&lt;=$O$2,$D630,$D630-($D630-$I$616)*MIN(M$3-$O$2,$Q$2)/$Q$2))</f>
        <v>13379.1253441759</v>
      </c>
      <c r="N630" s="15" t="n">
        <f aca="false">M630*(1+IF(N$3&lt;=$O$2,$D630,$D630-($D630-$I$616)*MIN(N$3-$O$2,$Q$2)/$Q$2))</f>
        <v>13690.8589646952</v>
      </c>
      <c r="O630" s="15" t="n">
        <f aca="false">SUMPRODUCT(E630:N630,1/(1+$F$616)^$E$3:$N$3)*$E$2</f>
        <v>24261.4903468996</v>
      </c>
      <c r="P630" s="15" t="n">
        <f aca="false">N630*$E$2*(1+$I$616)/($F$616-$I$616)/(1+$F$616)^$N$3</f>
        <v>36755.4236572914</v>
      </c>
      <c r="Q630" s="15" t="n">
        <f aca="false">O630+P630</f>
        <v>61016.9140041909</v>
      </c>
      <c r="R630" s="15" t="n">
        <f aca="false">Q630-$G$2+$I$2</f>
        <v>52251.9140041909</v>
      </c>
      <c r="S630" s="40" t="n">
        <f aca="false">R630/$K$2</f>
        <v>93.4772514297308</v>
      </c>
      <c r="T630" s="41" t="n">
        <f aca="false">S630-$M$2</f>
        <v>0.00342410138274829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0.1240234375</v>
      </c>
      <c r="C631" s="25" t="n">
        <f aca="false">IF(T630&gt;0,D630,C630)</f>
        <v>0.12420654296875</v>
      </c>
      <c r="D631" s="39" t="n">
        <f aca="false">(B631+C631)/2</f>
        <v>0.124114990234375</v>
      </c>
      <c r="E631" s="15" t="n">
        <f aca="false">$C$2*(1+IF(E$3&lt;=$O$2,$D631,$D631-($D631-$I$616)*MIN(E$3-$O$2,$Q$2)/$Q$2))</f>
        <v>6306.28509521484</v>
      </c>
      <c r="F631" s="15" t="n">
        <f aca="false">E631*(1+IF(F$3&lt;=$O$2,$D631,$D631-($D631-$I$616)*MIN(F$3-$O$2,$Q$2)/$Q$2))</f>
        <v>7088.98960822262</v>
      </c>
      <c r="G631" s="15" t="n">
        <f aca="false">F631*(1+IF(G$3&lt;=$O$2,$D631,$D631-($D631-$I$616)*MIN(G$3-$O$2,$Q$2)/$Q$2))</f>
        <v>7968.83948421875</v>
      </c>
      <c r="H631" s="15" t="n">
        <f aca="false">G631*(1+IF(H$3&lt;=$O$2,$D631,$D631-($D631-$I$616)*MIN(H$3-$O$2,$Q$2)/$Q$2))</f>
        <v>8957.89191898187</v>
      </c>
      <c r="I631" s="15" t="n">
        <f aca="false">H631*(1+IF(I$3&lt;=$O$2,$D631,$D631-($D631-$I$616)*MIN(I$3-$O$2,$Q$2)/$Q$2))</f>
        <v>10069.7005870269</v>
      </c>
      <c r="J631" s="15" t="n">
        <f aca="false">I631*(1+IF(J$3&lt;=$O$2,$D631,$D631-($D631-$I$616)*MIN(J$3-$O$2,$Q$2)/$Q$2))</f>
        <v>11116.46602378</v>
      </c>
      <c r="K631" s="15" t="n">
        <f aca="false">J631*(1+IF(K$3&lt;=$O$2,$D631,$D631-($D631-$I$616)*MIN(K$3-$O$2,$Q$2)/$Q$2))</f>
        <v>12047.9035303109</v>
      </c>
      <c r="L631" s="15" t="n">
        <f aca="false">K631*(1+IF(L$3&lt;=$O$2,$D631,$D631-($D631-$I$616)*MIN(L$3-$O$2,$Q$2)/$Q$2))</f>
        <v>12814.4633932684</v>
      </c>
      <c r="M631" s="15" t="n">
        <f aca="false">L631*(1+IF(M$3&lt;=$O$2,$D631,$D631-($D631-$I$616)*MIN(M$3-$O$2,$Q$2)/$Q$2))</f>
        <v>13371.4183907017</v>
      </c>
      <c r="N631" s="15" t="n">
        <f aca="false">M631*(1+IF(N$3&lt;=$O$2,$D631,$D631-($D631-$I$616)*MIN(N$3-$O$2,$Q$2)/$Q$2))</f>
        <v>13682.9724392051</v>
      </c>
      <c r="O631" s="15" t="n">
        <f aca="false">SUMPRODUCT(E631:N631,1/(1+$F$616)^$E$3:$N$3)*$E$2</f>
        <v>24251.8354453522</v>
      </c>
      <c r="P631" s="15" t="n">
        <f aca="false">N631*$E$2*(1+$I$616)/($F$616-$I$616)/(1+$F$616)^$N$3</f>
        <v>36734.2509473599</v>
      </c>
      <c r="Q631" s="15" t="n">
        <f aca="false">O631+P631</f>
        <v>60986.0863927121</v>
      </c>
      <c r="R631" s="15" t="n">
        <f aca="false">Q631-$G$2+$I$2</f>
        <v>52221.0863927121</v>
      </c>
      <c r="S631" s="40" t="n">
        <f aca="false">R631/$K$2</f>
        <v>93.4221016721745</v>
      </c>
      <c r="T631" s="41" t="n">
        <f aca="false">S631-$M$2</f>
        <v>-0.0517256561736161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0.124114990234375</v>
      </c>
      <c r="C632" s="25" t="n">
        <f aca="false">IF(T631&gt;0,D631,C631)</f>
        <v>0.12420654296875</v>
      </c>
      <c r="D632" s="39" t="n">
        <f aca="false">(B632+C632)/2</f>
        <v>0.124160766601563</v>
      </c>
      <c r="E632" s="15" t="n">
        <f aca="false">$C$2*(1+IF(E$3&lt;=$O$2,$D632,$D632-($D632-$I$616)*MIN(E$3-$O$2,$Q$2)/$Q$2))</f>
        <v>6306.54190063477</v>
      </c>
      <c r="F632" s="15" t="n">
        <f aca="false">E632*(1+IF(F$3&lt;=$O$2,$D632,$D632-($D632-$I$616)*MIN(F$3-$O$2,$Q$2)/$Q$2))</f>
        <v>7089.56697762245</v>
      </c>
      <c r="G632" s="15" t="n">
        <f aca="false">F632*(1+IF(G$3&lt;=$O$2,$D632,$D632-($D632-$I$616)*MIN(G$3-$O$2,$Q$2)/$Q$2))</f>
        <v>7969.81304843718</v>
      </c>
      <c r="H632" s="15" t="n">
        <f aca="false">G632*(1+IF(H$3&lt;=$O$2,$D632,$D632-($D632-$I$616)*MIN(H$3-$O$2,$Q$2)/$Q$2))</f>
        <v>8959.35114620228</v>
      </c>
      <c r="I632" s="15" t="n">
        <f aca="false">H632*(1+IF(I$3&lt;=$O$2,$D632,$D632-($D632-$I$616)*MIN(I$3-$O$2,$Q$2)/$Q$2))</f>
        <v>10071.7510527673</v>
      </c>
      <c r="J632" s="15" t="n">
        <f aca="false">I632*(1+IF(J$3&lt;=$O$2,$D632,$D632-($D632-$I$616)*MIN(J$3-$O$2,$Q$2)/$Q$2))</f>
        <v>11119.0984780586</v>
      </c>
      <c r="K632" s="15" t="n">
        <f aca="false">J632*(1+IF(K$3&lt;=$O$2,$D632,$D632-($D632-$I$616)*MIN(K$3-$O$2,$Q$2)/$Q$2))</f>
        <v>12051.0619504465</v>
      </c>
      <c r="L632" s="15" t="n">
        <f aca="false">K632*(1+IF(L$3&lt;=$O$2,$D632,$D632-($D632-$I$616)*MIN(L$3-$O$2,$Q$2)/$Q$2))</f>
        <v>12818.0434325659</v>
      </c>
      <c r="M632" s="15" t="n">
        <f aca="false">L632*(1+IF(M$3&lt;=$O$2,$D632,$D632-($D632-$I$616)*MIN(M$3-$O$2,$Q$2)/$Q$2))</f>
        <v>13375.2713819328</v>
      </c>
      <c r="N632" s="15" t="n">
        <f aca="false">M632*(1+IF(N$3&lt;=$O$2,$D632,$D632-($D632-$I$616)*MIN(N$3-$O$2,$Q$2)/$Q$2))</f>
        <v>13686.9152051319</v>
      </c>
      <c r="O632" s="15" t="n">
        <f aca="false">SUMPRODUCT(E632:N632,1/(1+$F$616)^$E$3:$N$3)*$E$2</f>
        <v>24256.6624224343</v>
      </c>
      <c r="P632" s="15" t="n">
        <f aca="false">N632*$E$2*(1+$I$616)/($F$616-$I$616)/(1+$F$616)^$N$3</f>
        <v>36744.835968533</v>
      </c>
      <c r="Q632" s="15" t="n">
        <f aca="false">O632+P632</f>
        <v>61001.4983909673</v>
      </c>
      <c r="R632" s="15" t="n">
        <f aca="false">Q632-$G$2+$I$2</f>
        <v>52236.4983909673</v>
      </c>
      <c r="S632" s="40" t="n">
        <f aca="false">R632/$K$2</f>
        <v>93.4496733174126</v>
      </c>
      <c r="T632" s="41" t="n">
        <f aca="false">S632-$M$2</f>
        <v>-0.0241540109354474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0.124160766601563</v>
      </c>
      <c r="C633" s="25" t="n">
        <f aca="false">IF(T632&gt;0,D632,C632)</f>
        <v>0.12420654296875</v>
      </c>
      <c r="D633" s="39" t="n">
        <f aca="false">(B633+C633)/2</f>
        <v>0.124183654785156</v>
      </c>
      <c r="E633" s="15" t="n">
        <f aca="false">$C$2*(1+IF(E$3&lt;=$O$2,$D633,$D633-($D633-$I$616)*MIN(E$3-$O$2,$Q$2)/$Q$2))</f>
        <v>6306.67030334473</v>
      </c>
      <c r="F633" s="15" t="n">
        <f aca="false">E633*(1+IF(F$3&lt;=$O$2,$D633,$D633-($D633-$I$616)*MIN(F$3-$O$2,$Q$2)/$Q$2))</f>
        <v>7089.85567113909</v>
      </c>
      <c r="G633" s="15" t="n">
        <f aca="false">F633*(1+IF(G$3&lt;=$O$2,$D633,$D633-($D633-$I$616)*MIN(G$3-$O$2,$Q$2)/$Q$2))</f>
        <v>7970.2998602804</v>
      </c>
      <c r="H633" s="15" t="n">
        <f aca="false">G633*(1+IF(H$3&lt;=$O$2,$D633,$D633-($D633-$I$616)*MIN(H$3-$O$2,$Q$2)/$Q$2))</f>
        <v>8960.08082666364</v>
      </c>
      <c r="I633" s="15" t="n">
        <f aca="false">H633*(1+IF(I$3&lt;=$O$2,$D633,$D633-($D633-$I$616)*MIN(I$3-$O$2,$Q$2)/$Q$2))</f>
        <v>10072.7764108891</v>
      </c>
      <c r="J633" s="15" t="n">
        <f aca="false">I633*(1+IF(J$3&lt;=$O$2,$D633,$D633-($D633-$I$616)*MIN(J$3-$O$2,$Q$2)/$Q$2))</f>
        <v>11120.4148997942</v>
      </c>
      <c r="K633" s="15" t="n">
        <f aca="false">J633*(1+IF(K$3&lt;=$O$2,$D633,$D633-($D633-$I$616)*MIN(K$3-$O$2,$Q$2)/$Q$2))</f>
        <v>12052.6414256506</v>
      </c>
      <c r="L633" s="15" t="n">
        <f aca="false">K633*(1+IF(L$3&lt;=$O$2,$D633,$D633-($D633-$I$616)*MIN(L$3-$O$2,$Q$2)/$Q$2))</f>
        <v>12819.8337776021</v>
      </c>
      <c r="M633" s="15" t="n">
        <f aca="false">L633*(1+IF(M$3&lt;=$O$2,$D633,$D633-($D633-$I$616)*MIN(M$3-$O$2,$Q$2)/$Q$2))</f>
        <v>13377.1982416647</v>
      </c>
      <c r="N633" s="15" t="n">
        <f aca="false">M633*(1+IF(N$3&lt;=$O$2,$D633,$D633-($D633-$I$616)*MIN(N$3-$O$2,$Q$2)/$Q$2))</f>
        <v>13688.8869606955</v>
      </c>
      <c r="O633" s="15" t="n">
        <f aca="false">SUMPRODUCT(E633:N633,1/(1+$F$616)^$E$3:$N$3)*$E$2</f>
        <v>24259.0762662334</v>
      </c>
      <c r="P633" s="15" t="n">
        <f aca="false">N633*$E$2*(1+$I$616)/($F$616-$I$616)/(1+$F$616)^$N$3</f>
        <v>36750.1294794279</v>
      </c>
      <c r="Q633" s="15" t="n">
        <f aca="false">O633+P633</f>
        <v>61009.2057456613</v>
      </c>
      <c r="R633" s="15" t="n">
        <f aca="false">Q633-$G$2+$I$2</f>
        <v>52244.2057456613</v>
      </c>
      <c r="S633" s="40" t="n">
        <f aca="false">R633/$K$2</f>
        <v>93.4634615651031</v>
      </c>
      <c r="T633" s="41" t="n">
        <f aca="false">S633-$M$2</f>
        <v>-0.0103657632450336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0.124183654785156</v>
      </c>
      <c r="C634" s="25" t="n">
        <f aca="false">IF(T633&gt;0,D633,C633)</f>
        <v>0.12420654296875</v>
      </c>
      <c r="D634" s="39" t="n">
        <f aca="false">(B634+C634)/2</f>
        <v>0.124195098876953</v>
      </c>
      <c r="E634" s="15" t="n">
        <f aca="false">$C$2*(1+IF(E$3&lt;=$O$2,$D634,$D634-($D634-$I$616)*MIN(E$3-$O$2,$Q$2)/$Q$2))</f>
        <v>6306.73450469971</v>
      </c>
      <c r="F634" s="15" t="n">
        <f aca="false">E634*(1+IF(F$3&lt;=$O$2,$D634,$D634-($D634-$I$616)*MIN(F$3-$O$2,$Q$2)/$Q$2))</f>
        <v>7090.00002010158</v>
      </c>
      <c r="G634" s="15" t="n">
        <f aca="false">F634*(1+IF(G$3&lt;=$O$2,$D634,$D634-($D634-$I$616)*MIN(G$3-$O$2,$Q$2)/$Q$2))</f>
        <v>7970.54327363569</v>
      </c>
      <c r="H634" s="15" t="n">
        <f aca="false">G634*(1+IF(H$3&lt;=$O$2,$D634,$D634-($D634-$I$616)*MIN(H$3-$O$2,$Q$2)/$Q$2))</f>
        <v>8960.44568360791</v>
      </c>
      <c r="I634" s="15" t="n">
        <f aca="false">H634*(1+IF(I$3&lt;=$O$2,$D634,$D634-($D634-$I$616)*MIN(I$3-$O$2,$Q$2)/$Q$2))</f>
        <v>10073.2891212652</v>
      </c>
      <c r="J634" s="15" t="n">
        <f aca="false">I634*(1+IF(J$3&lt;=$O$2,$D634,$D634-($D634-$I$616)*MIN(J$3-$O$2,$Q$2)/$Q$2))</f>
        <v>11121.0731593156</v>
      </c>
      <c r="K634" s="15" t="n">
        <f aca="false">J634*(1+IF(K$3&lt;=$O$2,$D634,$D634-($D634-$I$616)*MIN(K$3-$O$2,$Q$2)/$Q$2))</f>
        <v>12053.4312295438</v>
      </c>
      <c r="L634" s="15" t="n">
        <f aca="false">K634*(1+IF(L$3&lt;=$O$2,$D634,$D634-($D634-$I$616)*MIN(L$3-$O$2,$Q$2)/$Q$2))</f>
        <v>12820.7290314768</v>
      </c>
      <c r="M634" s="15" t="n">
        <f aca="false">L634*(1+IF(M$3&lt;=$O$2,$D634,$D634-($D634-$I$616)*MIN(M$3-$O$2,$Q$2)/$Q$2))</f>
        <v>13378.1617625713</v>
      </c>
      <c r="N634" s="15" t="n">
        <f aca="false">M634*(1+IF(N$3&lt;=$O$2,$D634,$D634-($D634-$I$616)*MIN(N$3-$O$2,$Q$2)/$Q$2))</f>
        <v>13689.8729316392</v>
      </c>
      <c r="O634" s="15" t="n">
        <f aca="false">SUMPRODUCT(E634:N634,1/(1+$F$616)^$E$3:$N$3)*$E$2</f>
        <v>24260.2832769567</v>
      </c>
      <c r="P634" s="15" t="n">
        <f aca="false">N634*$E$2*(1+$I$616)/($F$616-$I$616)/(1+$F$616)^$N$3</f>
        <v>36752.7764849841</v>
      </c>
      <c r="Q634" s="15" t="n">
        <f aca="false">O634+P634</f>
        <v>61013.0597619408</v>
      </c>
      <c r="R634" s="15" t="n">
        <f aca="false">Q634-$G$2+$I$2</f>
        <v>52248.0597619408</v>
      </c>
      <c r="S634" s="40" t="n">
        <f aca="false">R634/$K$2</f>
        <v>93.4703562952893</v>
      </c>
      <c r="T634" s="41" t="n">
        <f aca="false">S634-$M$2</f>
        <v>-0.00347103305874441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0.124195098876953</v>
      </c>
      <c r="C635" s="25" t="n">
        <f aca="false">IF(T634&gt;0,D634,C634)</f>
        <v>0.12420654296875</v>
      </c>
      <c r="D635" s="39" t="n">
        <f aca="false">(B635+C635)/2</f>
        <v>0.124200820922852</v>
      </c>
      <c r="E635" s="15" t="n">
        <f aca="false">$C$2*(1+IF(E$3&lt;=$O$2,$D635,$D635-($D635-$I$616)*MIN(E$3-$O$2,$Q$2)/$Q$2))</f>
        <v>6306.7666053772</v>
      </c>
      <c r="F635" s="15" t="n">
        <f aca="false">E635*(1+IF(F$3&lt;=$O$2,$D635,$D635-($D635-$I$616)*MIN(F$3-$O$2,$Q$2)/$Q$2))</f>
        <v>7090.07219513387</v>
      </c>
      <c r="G635" s="15" t="n">
        <f aca="false">F635*(1+IF(G$3&lt;=$O$2,$D635,$D635-($D635-$I$616)*MIN(G$3-$O$2,$Q$2)/$Q$2))</f>
        <v>7970.66498217178</v>
      </c>
      <c r="H635" s="15" t="n">
        <f aca="false">G635*(1+IF(H$3&lt;=$O$2,$D635,$D635-($D635-$I$616)*MIN(H$3-$O$2,$Q$2)/$Q$2))</f>
        <v>8960.62811625854</v>
      </c>
      <c r="I635" s="15" t="n">
        <f aca="false">H635*(1+IF(I$3&lt;=$O$2,$D635,$D635-($D635-$I$616)*MIN(I$3-$O$2,$Q$2)/$Q$2))</f>
        <v>10073.5454842822</v>
      </c>
      <c r="J635" s="15" t="n">
        <f aca="false">I635*(1+IF(J$3&lt;=$O$2,$D635,$D635-($D635-$I$616)*MIN(J$3-$O$2,$Q$2)/$Q$2))</f>
        <v>11121.4023012402</v>
      </c>
      <c r="K635" s="15" t="n">
        <f aca="false">J635*(1+IF(K$3&lt;=$O$2,$D635,$D635-($D635-$I$616)*MIN(K$3-$O$2,$Q$2)/$Q$2))</f>
        <v>12053.8261480642</v>
      </c>
      <c r="L635" s="15" t="n">
        <f aca="false">K635*(1+IF(L$3&lt;=$O$2,$D635,$D635-($D635-$I$616)*MIN(L$3-$O$2,$Q$2)/$Q$2))</f>
        <v>12821.1766787545</v>
      </c>
      <c r="M635" s="15" t="n">
        <f aca="false">L635*(1+IF(M$3&lt;=$O$2,$D635,$D635-($D635-$I$616)*MIN(M$3-$O$2,$Q$2)/$Q$2))</f>
        <v>13378.6435457861</v>
      </c>
      <c r="N635" s="15" t="n">
        <f aca="false">M635*(1+IF(N$3&lt;=$O$2,$D635,$D635-($D635-$I$616)*MIN(N$3-$O$2,$Q$2)/$Q$2))</f>
        <v>13690.3659404029</v>
      </c>
      <c r="O635" s="15" t="n">
        <f aca="false">SUMPRODUCT(E635:N635,1/(1+$F$616)^$E$3:$N$3)*$E$2</f>
        <v>24260.8868045256</v>
      </c>
      <c r="P635" s="15" t="n">
        <f aca="false">N635*$E$2*(1+$I$616)/($F$616-$I$616)/(1+$F$616)^$N$3</f>
        <v>36754.1000502933</v>
      </c>
      <c r="Q635" s="15" t="n">
        <f aca="false">O635+P635</f>
        <v>61014.9868548188</v>
      </c>
      <c r="R635" s="15" t="n">
        <f aca="false">Q635-$G$2+$I$2</f>
        <v>52249.9868548188</v>
      </c>
      <c r="S635" s="40" t="n">
        <f aca="false">R635/$K$2</f>
        <v>93.4738038119769</v>
      </c>
      <c r="T635" s="41" t="n">
        <f aca="false">S635-$M$2</f>
        <v>-2.35163712289932E-005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0.124200820922852</v>
      </c>
      <c r="C636" s="25" t="n">
        <f aca="false">IF(T635&gt;0,D635,C635)</f>
        <v>0.12420654296875</v>
      </c>
      <c r="D636" s="39" t="n">
        <f aca="false">(B636+C636)/2</f>
        <v>0.124203681945801</v>
      </c>
      <c r="E636" s="15" t="n">
        <f aca="false">$C$2*(1+IF(E$3&lt;=$O$2,$D636,$D636-($D636-$I$616)*MIN(E$3-$O$2,$Q$2)/$Q$2))</f>
        <v>6306.78265571594</v>
      </c>
      <c r="F636" s="15" t="n">
        <f aca="false">E636*(1+IF(F$3&lt;=$O$2,$D636,$D636-($D636-$I$616)*MIN(F$3-$O$2,$Q$2)/$Q$2))</f>
        <v>7090.10828278778</v>
      </c>
      <c r="G636" s="15" t="n">
        <f aca="false">F636*(1+IF(G$3&lt;=$O$2,$D636,$D636-($D636-$I$616)*MIN(G$3-$O$2,$Q$2)/$Q$2))</f>
        <v>7970.72583690444</v>
      </c>
      <c r="H636" s="15" t="n">
        <f aca="false">G636*(1+IF(H$3&lt;=$O$2,$D636,$D636-($D636-$I$616)*MIN(H$3-$O$2,$Q$2)/$Q$2))</f>
        <v>8960.71933362849</v>
      </c>
      <c r="I636" s="15" t="n">
        <f aca="false">H636*(1+IF(I$3&lt;=$O$2,$D636,$D636-($D636-$I$616)*MIN(I$3-$O$2,$Q$2)/$Q$2))</f>
        <v>10073.6736677481</v>
      </c>
      <c r="J636" s="15" t="n">
        <f aca="false">I636*(1+IF(J$3&lt;=$O$2,$D636,$D636-($D636-$I$616)*MIN(J$3-$O$2,$Q$2)/$Q$2))</f>
        <v>11121.5668752436</v>
      </c>
      <c r="K636" s="15" t="n">
        <f aca="false">J636*(1+IF(K$3&lt;=$O$2,$D636,$D636-($D636-$I$616)*MIN(K$3-$O$2,$Q$2)/$Q$2))</f>
        <v>12054.0236114679</v>
      </c>
      <c r="L636" s="15" t="n">
        <f aca="false">K636*(1+IF(L$3&lt;=$O$2,$D636,$D636-($D636-$I$616)*MIN(L$3-$O$2,$Q$2)/$Q$2))</f>
        <v>12821.4005074786</v>
      </c>
      <c r="M636" s="15" t="n">
        <f aca="false">L636*(1+IF(M$3&lt;=$O$2,$D636,$D636-($D636-$I$616)*MIN(M$3-$O$2,$Q$2)/$Q$2))</f>
        <v>13378.8844430841</v>
      </c>
      <c r="N636" s="15" t="n">
        <f aca="false">M636*(1+IF(N$3&lt;=$O$2,$D636,$D636-($D636-$I$616)*MIN(N$3-$O$2,$Q$2)/$Q$2))</f>
        <v>13690.612450608</v>
      </c>
      <c r="O636" s="15" t="n">
        <f aca="false">SUMPRODUCT(E636:N636,1/(1+$F$616)^$E$3:$N$3)*$E$2</f>
        <v>24261.1885738619</v>
      </c>
      <c r="P636" s="15" t="n">
        <f aca="false">N636*$E$2*(1+$I$616)/($F$616-$I$616)/(1+$F$616)^$N$3</f>
        <v>36754.7618485811</v>
      </c>
      <c r="Q636" s="15" t="n">
        <f aca="false">O636+P636</f>
        <v>61015.950422443</v>
      </c>
      <c r="R636" s="15" t="n">
        <f aca="false">Q636-$G$2+$I$2</f>
        <v>52250.950422443</v>
      </c>
      <c r="S636" s="40" t="n">
        <f aca="false">R636/$K$2</f>
        <v>93.4755276082204</v>
      </c>
      <c r="T636" s="41" t="n">
        <f aca="false">S636-$M$2</f>
        <v>0.0017002798722956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0.124200820922852</v>
      </c>
      <c r="C637" s="25" t="n">
        <f aca="false">IF(T636&gt;0,D636,C636)</f>
        <v>0.124203681945801</v>
      </c>
      <c r="D637" s="39" t="n">
        <f aca="false">(B637+C637)/2</f>
        <v>0.124202251434326</v>
      </c>
      <c r="E637" s="15" t="n">
        <f aca="false">$C$2*(1+IF(E$3&lt;=$O$2,$D637,$D637-($D637-$I$616)*MIN(E$3-$O$2,$Q$2)/$Q$2))</f>
        <v>6306.77463054657</v>
      </c>
      <c r="F637" s="15" t="n">
        <f aca="false">E637*(1+IF(F$3&lt;=$O$2,$D637,$D637-($D637-$I$616)*MIN(F$3-$O$2,$Q$2)/$Q$2))</f>
        <v>7090.09023894934</v>
      </c>
      <c r="G637" s="15" t="n">
        <f aca="false">F637*(1+IF(G$3&lt;=$O$2,$D637,$D637-($D637-$I$616)*MIN(G$3-$O$2,$Q$2)/$Q$2))</f>
        <v>7970.69540949939</v>
      </c>
      <c r="H637" s="15" t="n">
        <f aca="false">G637*(1+IF(H$3&lt;=$O$2,$D637,$D637-($D637-$I$616)*MIN(H$3-$O$2,$Q$2)/$Q$2))</f>
        <v>8960.67372485647</v>
      </c>
      <c r="I637" s="15" t="n">
        <f aca="false">H637*(1+IF(I$3&lt;=$O$2,$D637,$D637-($D637-$I$616)*MIN(I$3-$O$2,$Q$2)/$Q$2))</f>
        <v>10073.6095758521</v>
      </c>
      <c r="J637" s="15" t="n">
        <f aca="false">I637*(1+IF(J$3&lt;=$O$2,$D637,$D637-($D637-$I$616)*MIN(J$3-$O$2,$Q$2)/$Q$2))</f>
        <v>11121.4845879885</v>
      </c>
      <c r="K637" s="15" t="n">
        <f aca="false">J637*(1+IF(K$3&lt;=$O$2,$D637,$D637-($D637-$I$616)*MIN(K$3-$O$2,$Q$2)/$Q$2))</f>
        <v>12053.9248794207</v>
      </c>
      <c r="L637" s="15" t="n">
        <f aca="false">K637*(1+IF(L$3&lt;=$O$2,$D637,$D637-($D637-$I$616)*MIN(L$3-$O$2,$Q$2)/$Q$2))</f>
        <v>12821.2885926928</v>
      </c>
      <c r="M637" s="15" t="n">
        <f aca="false">L637*(1+IF(M$3&lt;=$O$2,$D637,$D637-($D637-$I$616)*MIN(M$3-$O$2,$Q$2)/$Q$2))</f>
        <v>13378.7639939609</v>
      </c>
      <c r="N637" s="15" t="n">
        <f aca="false">M637*(1+IF(N$3&lt;=$O$2,$D637,$D637-($D637-$I$616)*MIN(N$3-$O$2,$Q$2)/$Q$2))</f>
        <v>13690.4891950202</v>
      </c>
      <c r="O637" s="15" t="n">
        <f aca="false">SUMPRODUCT(E637:N637,1/(1+$F$616)^$E$3:$N$3)*$E$2</f>
        <v>24261.0376887311</v>
      </c>
      <c r="P637" s="15" t="n">
        <f aca="false">N637*$E$2*(1+$I$616)/($F$616-$I$616)/(1+$F$616)^$N$3</f>
        <v>36754.4309481344</v>
      </c>
      <c r="Q637" s="15" t="n">
        <f aca="false">O637+P637</f>
        <v>61015.4686368655</v>
      </c>
      <c r="R637" s="15" t="n">
        <f aca="false">Q637-$G$2+$I$2</f>
        <v>52250.4686368655</v>
      </c>
      <c r="S637" s="40" t="n">
        <f aca="false">R637/$K$2</f>
        <v>93.4746657069403</v>
      </c>
      <c r="T637" s="41" t="n">
        <f aca="false">S637-$M$2</f>
        <v>0.000838378592206368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0.124200820922852</v>
      </c>
      <c r="C638" s="25" t="n">
        <f aca="false">IF(T637&gt;0,D637,C637)</f>
        <v>0.124202251434326</v>
      </c>
      <c r="D638" s="39" t="n">
        <f aca="false">(B638+C638)/2</f>
        <v>0.124201536178589</v>
      </c>
      <c r="E638" s="15" t="n">
        <f aca="false">$C$2*(1+IF(E$3&lt;=$O$2,$D638,$D638-($D638-$I$616)*MIN(E$3-$O$2,$Q$2)/$Q$2))</f>
        <v>6306.77061796188</v>
      </c>
      <c r="F638" s="15" t="n">
        <f aca="false">E638*(1+IF(F$3&lt;=$O$2,$D638,$D638-($D638-$I$616)*MIN(F$3-$O$2,$Q$2)/$Q$2))</f>
        <v>7090.08121703874</v>
      </c>
      <c r="G638" s="15" t="n">
        <f aca="false">F638*(1+IF(G$3&lt;=$O$2,$D638,$D638-($D638-$I$616)*MIN(G$3-$O$2,$Q$2)/$Q$2))</f>
        <v>7970.68019582591</v>
      </c>
      <c r="H638" s="15" t="n">
        <f aca="false">G638*(1+IF(H$3&lt;=$O$2,$D638,$D638-($D638-$I$616)*MIN(H$3-$O$2,$Q$2)/$Q$2))</f>
        <v>8960.65092053574</v>
      </c>
      <c r="I638" s="15" t="n">
        <f aca="false">H638*(1+IF(I$3&lt;=$O$2,$D638,$D638-($D638-$I$616)*MIN(I$3-$O$2,$Q$2)/$Q$2))</f>
        <v>10073.5775300264</v>
      </c>
      <c r="J638" s="15" t="n">
        <f aca="false">I638*(1+IF(J$3&lt;=$O$2,$D638,$D638-($D638-$I$616)*MIN(J$3-$O$2,$Q$2)/$Q$2))</f>
        <v>11121.443444551</v>
      </c>
      <c r="K638" s="15" t="n">
        <f aca="false">J638*(1+IF(K$3&lt;=$O$2,$D638,$D638-($D638-$I$616)*MIN(K$3-$O$2,$Q$2)/$Q$2))</f>
        <v>12053.8755136561</v>
      </c>
      <c r="L638" s="15" t="n">
        <f aca="false">K638*(1+IF(L$3&lt;=$O$2,$D638,$D638-($D638-$I$616)*MIN(L$3-$O$2,$Q$2)/$Q$2))</f>
        <v>12821.2326356177</v>
      </c>
      <c r="M638" s="15" t="n">
        <f aca="false">L638*(1+IF(M$3&lt;=$O$2,$D638,$D638-($D638-$I$616)*MIN(M$3-$O$2,$Q$2)/$Q$2))</f>
        <v>13378.7037697549</v>
      </c>
      <c r="N638" s="15" t="n">
        <f aca="false">M638*(1+IF(N$3&lt;=$O$2,$D638,$D638-($D638-$I$616)*MIN(N$3-$O$2,$Q$2)/$Q$2))</f>
        <v>13690.4275675902</v>
      </c>
      <c r="O638" s="15" t="n">
        <f aca="false">SUMPRODUCT(E638:N638,1/(1+$F$616)^$E$3:$N$3)*$E$2</f>
        <v>24260.9622465126</v>
      </c>
      <c r="P638" s="15" t="n">
        <f aca="false">N638*$E$2*(1+$I$616)/($F$616-$I$616)/(1+$F$616)^$N$3</f>
        <v>36754.2654988882</v>
      </c>
      <c r="Q638" s="15" t="n">
        <f aca="false">O638+P638</f>
        <v>61015.2277454008</v>
      </c>
      <c r="R638" s="15" t="n">
        <f aca="false">Q638-$G$2+$I$2</f>
        <v>52250.2277454008</v>
      </c>
      <c r="S638" s="40" t="n">
        <f aca="false">R638/$K$2</f>
        <v>93.474234758669</v>
      </c>
      <c r="T638" s="41" t="n">
        <f aca="false">S638-$M$2</f>
        <v>0.000407430320890967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0.124200820922852</v>
      </c>
      <c r="C639" s="25" t="n">
        <f aca="false">IF(T638&gt;0,D638,C638)</f>
        <v>0.124201536178589</v>
      </c>
      <c r="D639" s="39" t="n">
        <f aca="false">(B639+C639)/2</f>
        <v>0.12420117855072</v>
      </c>
      <c r="E639" s="15" t="n">
        <f aca="false">$C$2*(1+IF(E$3&lt;=$O$2,$D639,$D639-($D639-$I$616)*MIN(E$3-$O$2,$Q$2)/$Q$2))</f>
        <v>6306.76861166954</v>
      </c>
      <c r="F639" s="15" t="n">
        <f aca="false">E639*(1+IF(F$3&lt;=$O$2,$D639,$D639-($D639-$I$616)*MIN(F$3-$O$2,$Q$2)/$Q$2))</f>
        <v>7090.07670608559</v>
      </c>
      <c r="G639" s="15" t="n">
        <f aca="false">F639*(1+IF(G$3&lt;=$O$2,$D639,$D639-($D639-$I$616)*MIN(G$3-$O$2,$Q$2)/$Q$2))</f>
        <v>7970.67258899643</v>
      </c>
      <c r="H639" s="15" t="n">
        <f aca="false">G639*(1+IF(H$3&lt;=$O$2,$D639,$D639-($D639-$I$616)*MIN(H$3-$O$2,$Q$2)/$Q$2))</f>
        <v>8960.6395183917</v>
      </c>
      <c r="I639" s="15" t="n">
        <f aca="false">H639*(1+IF(I$3&lt;=$O$2,$D639,$D639-($D639-$I$616)*MIN(I$3-$O$2,$Q$2)/$Q$2))</f>
        <v>10073.5615071441</v>
      </c>
      <c r="J639" s="15" t="n">
        <f aca="false">I639*(1+IF(J$3&lt;=$O$2,$D639,$D639-($D639-$I$616)*MIN(J$3-$O$2,$Q$2)/$Q$2))</f>
        <v>11121.4228728798</v>
      </c>
      <c r="K639" s="15" t="n">
        <f aca="false">J639*(1+IF(K$3&lt;=$O$2,$D639,$D639-($D639-$I$616)*MIN(K$3-$O$2,$Q$2)/$Q$2))</f>
        <v>12053.8508308386</v>
      </c>
      <c r="L639" s="15" t="n">
        <f aca="false">K639*(1+IF(L$3&lt;=$O$2,$D639,$D639-($D639-$I$616)*MIN(L$3-$O$2,$Q$2)/$Q$2))</f>
        <v>12821.2046571596</v>
      </c>
      <c r="M639" s="15" t="n">
        <f aca="false">L639*(1+IF(M$3&lt;=$O$2,$D639,$D639-($D639-$I$616)*MIN(M$3-$O$2,$Q$2)/$Q$2))</f>
        <v>13378.6736577409</v>
      </c>
      <c r="N639" s="15" t="n">
        <f aca="false">M639*(1+IF(N$3&lt;=$O$2,$D639,$D639-($D639-$I$616)*MIN(N$3-$O$2,$Q$2)/$Q$2))</f>
        <v>13690.3967539662</v>
      </c>
      <c r="O639" s="15" t="n">
        <f aca="false">SUMPRODUCT(E639:N639,1/(1+$F$616)^$E$3:$N$3)*$E$2</f>
        <v>24260.9245254902</v>
      </c>
      <c r="P639" s="15" t="n">
        <f aca="false">N639*$E$2*(1+$I$616)/($F$616-$I$616)/(1+$F$616)^$N$3</f>
        <v>36754.1827745093</v>
      </c>
      <c r="Q639" s="15" t="n">
        <f aca="false">O639+P639</f>
        <v>61015.1072999994</v>
      </c>
      <c r="R639" s="15" t="n">
        <f aca="false">Q639-$G$2+$I$2</f>
        <v>52250.1072999994</v>
      </c>
      <c r="S639" s="40" t="n">
        <f aca="false">R639/$K$2</f>
        <v>93.4740192851255</v>
      </c>
      <c r="T639" s="41" t="n">
        <f aca="false">S639-$M$2</f>
        <v>0.000191956777399582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0.124200820922852</v>
      </c>
      <c r="C640" s="25" t="n">
        <f aca="false">IF(T639&gt;0,D639,C639)</f>
        <v>0.12420117855072</v>
      </c>
      <c r="D640" s="39" t="n">
        <f aca="false">(B640+C640)/2</f>
        <v>0.124200999736786</v>
      </c>
      <c r="E640" s="15" t="n">
        <f aca="false">$C$2*(1+IF(E$3&lt;=$O$2,$D640,$D640-($D640-$I$616)*MIN(E$3-$O$2,$Q$2)/$Q$2))</f>
        <v>6306.76760852337</v>
      </c>
      <c r="F640" s="15" t="n">
        <f aca="false">E640*(1+IF(F$3&lt;=$O$2,$D640,$D640-($D640-$I$616)*MIN(F$3-$O$2,$Q$2)/$Q$2))</f>
        <v>7090.07445060955</v>
      </c>
      <c r="G640" s="15" t="n">
        <f aca="false">F640*(1+IF(G$3&lt;=$O$2,$D640,$D640-($D640-$I$616)*MIN(G$3-$O$2,$Q$2)/$Q$2))</f>
        <v>7970.6687855835</v>
      </c>
      <c r="H640" s="15" t="n">
        <f aca="false">G640*(1+IF(H$3&lt;=$O$2,$D640,$D640-($D640-$I$616)*MIN(H$3-$O$2,$Q$2)/$Q$2))</f>
        <v>8960.63381732376</v>
      </c>
      <c r="I640" s="15" t="n">
        <f aca="false">H640*(1+IF(I$3&lt;=$O$2,$D640,$D640-($D640-$I$616)*MIN(I$3-$O$2,$Q$2)/$Q$2))</f>
        <v>10073.5534957106</v>
      </c>
      <c r="J640" s="15" t="n">
        <f aca="false">I640*(1+IF(J$3&lt;=$O$2,$D640,$D640-($D640-$I$616)*MIN(J$3-$O$2,$Q$2)/$Q$2))</f>
        <v>11121.412587056</v>
      </c>
      <c r="K640" s="15" t="n">
        <f aca="false">J640*(1+IF(K$3&lt;=$O$2,$D640,$D640-($D640-$I$616)*MIN(K$3-$O$2,$Q$2)/$Q$2))</f>
        <v>12053.838489446</v>
      </c>
      <c r="L640" s="15" t="n">
        <f aca="false">K640*(1+IF(L$3&lt;=$O$2,$D640,$D640-($D640-$I$616)*MIN(L$3-$O$2,$Q$2)/$Q$2))</f>
        <v>12821.1906679504</v>
      </c>
      <c r="M640" s="15" t="n">
        <f aca="false">L640*(1+IF(M$3&lt;=$O$2,$D640,$D640-($D640-$I$616)*MIN(M$3-$O$2,$Q$2)/$Q$2))</f>
        <v>13378.6586017561</v>
      </c>
      <c r="N640" s="15" t="n">
        <f aca="false">M640*(1+IF(N$3&lt;=$O$2,$D640,$D640-($D640-$I$616)*MIN(N$3-$O$2,$Q$2)/$Q$2))</f>
        <v>13690.381347177</v>
      </c>
      <c r="O640" s="15" t="n">
        <f aca="false">SUMPRODUCT(E640:N640,1/(1+$F$616)^$E$3:$N$3)*$E$2</f>
        <v>24260.9056650006</v>
      </c>
      <c r="P640" s="15" t="n">
        <f aca="false">N640*$E$2*(1+$I$616)/($F$616-$I$616)/(1+$F$616)^$N$3</f>
        <v>36754.1414123809</v>
      </c>
      <c r="Q640" s="15" t="n">
        <f aca="false">O640+P640</f>
        <v>61015.0470773815</v>
      </c>
      <c r="R640" s="15" t="n">
        <f aca="false">Q640-$G$2+$I$2</f>
        <v>52250.0470773815</v>
      </c>
      <c r="S640" s="40" t="n">
        <f aca="false">R640/$K$2</f>
        <v>93.4739115485018</v>
      </c>
      <c r="T640" s="41" t="n">
        <f aca="false">S640-$M$2</f>
        <v>8.42201537096798E-005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0.124200820922852</v>
      </c>
      <c r="C641" s="25" t="n">
        <f aca="false">IF(T640&gt;0,D640,C640)</f>
        <v>0.124200999736786</v>
      </c>
      <c r="D641" s="39" t="n">
        <f aca="false">(B641+C641)/2</f>
        <v>0.124200910329819</v>
      </c>
      <c r="E641" s="15" t="n">
        <f aca="false">$C$2*(1+IF(E$3&lt;=$O$2,$D641,$D641-($D641-$I$616)*MIN(E$3-$O$2,$Q$2)/$Q$2))</f>
        <v>6306.76710695028</v>
      </c>
      <c r="F641" s="15" t="n">
        <f aca="false">E641*(1+IF(F$3&lt;=$O$2,$D641,$D641-($D641-$I$616)*MIN(F$3-$O$2,$Q$2)/$Q$2))</f>
        <v>7090.07332287167</v>
      </c>
      <c r="G641" s="15" t="n">
        <f aca="false">F641*(1+IF(G$3&lt;=$O$2,$D641,$D641-($D641-$I$616)*MIN(G$3-$O$2,$Q$2)/$Q$2))</f>
        <v>7970.66688387749</v>
      </c>
      <c r="H641" s="15" t="n">
        <f aca="false">G641*(1+IF(H$3&lt;=$O$2,$D641,$D641-($D641-$I$616)*MIN(H$3-$O$2,$Q$2)/$Q$2))</f>
        <v>8960.63096679081</v>
      </c>
      <c r="I641" s="15" t="n">
        <f aca="false">H641*(1+IF(I$3&lt;=$O$2,$D641,$D641-($D641-$I$616)*MIN(I$3-$O$2,$Q$2)/$Q$2))</f>
        <v>10073.5494899958</v>
      </c>
      <c r="J641" s="15" t="n">
        <f aca="false">I641*(1+IF(J$3&lt;=$O$2,$D641,$D641-($D641-$I$616)*MIN(J$3-$O$2,$Q$2)/$Q$2))</f>
        <v>11121.4074441471</v>
      </c>
      <c r="K641" s="15" t="n">
        <f aca="false">J641*(1+IF(K$3&lt;=$O$2,$D641,$D641-($D641-$I$616)*MIN(K$3-$O$2,$Q$2)/$Q$2))</f>
        <v>12053.8323187537</v>
      </c>
      <c r="L641" s="15" t="n">
        <f aca="false">K641*(1+IF(L$3&lt;=$O$2,$D641,$D641-($D641-$I$616)*MIN(L$3-$O$2,$Q$2)/$Q$2))</f>
        <v>12821.1836733508</v>
      </c>
      <c r="M641" s="15" t="n">
        <f aca="false">L641*(1+IF(M$3&lt;=$O$2,$D641,$D641-($D641-$I$616)*MIN(M$3-$O$2,$Q$2)/$Q$2))</f>
        <v>13378.6510737692</v>
      </c>
      <c r="N641" s="15" t="n">
        <f aca="false">M641*(1+IF(N$3&lt;=$O$2,$D641,$D641-($D641-$I$616)*MIN(N$3-$O$2,$Q$2)/$Q$2))</f>
        <v>13690.3736437881</v>
      </c>
      <c r="O641" s="15" t="n">
        <f aca="false">SUMPRODUCT(E641:N641,1/(1+$F$616)^$E$3:$N$3)*$E$2</f>
        <v>24260.8962347613</v>
      </c>
      <c r="P641" s="15" t="n">
        <f aca="false">N641*$E$2*(1+$I$616)/($F$616-$I$616)/(1+$F$616)^$N$3</f>
        <v>36754.120731332</v>
      </c>
      <c r="Q641" s="15" t="n">
        <f aca="false">O641+P641</f>
        <v>61015.0169660933</v>
      </c>
      <c r="R641" s="15" t="n">
        <f aca="false">Q641-$G$2+$I$2</f>
        <v>52250.0169660933</v>
      </c>
      <c r="S641" s="40" t="n">
        <f aca="false">R641/$K$2</f>
        <v>93.473857680227</v>
      </c>
      <c r="T641" s="41" t="n">
        <f aca="false">S641-$M$2</f>
        <v>3.03518789195323E-005</v>
      </c>
    </row>
    <row r="643" customFormat="false" ht="15" hidden="false" customHeight="false" outlineLevel="0" collapsed="false">
      <c r="A643" s="36" t="s">
        <v>209</v>
      </c>
      <c r="E643" s="5" t="s">
        <v>11</v>
      </c>
      <c r="F643" s="12" t="n">
        <f aca="false">Sensitivity!$B$14</f>
        <v>0.086736031552909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6" t="s">
        <v>167</v>
      </c>
      <c r="B644" s="28" t="s">
        <v>168</v>
      </c>
      <c r="C644" s="28" t="s">
        <v>169</v>
      </c>
      <c r="D644" s="28" t="s">
        <v>170</v>
      </c>
      <c r="E644" s="28" t="s">
        <v>171</v>
      </c>
      <c r="F644" s="28" t="s">
        <v>172</v>
      </c>
      <c r="G644" s="28" t="s">
        <v>173</v>
      </c>
      <c r="H644" s="28" t="s">
        <v>174</v>
      </c>
      <c r="I644" s="28" t="s">
        <v>175</v>
      </c>
      <c r="J644" s="28" t="s">
        <v>176</v>
      </c>
      <c r="K644" s="28" t="s">
        <v>177</v>
      </c>
      <c r="L644" s="28" t="s">
        <v>178</v>
      </c>
      <c r="M644" s="28" t="s">
        <v>179</v>
      </c>
      <c r="N644" s="28" t="s">
        <v>180</v>
      </c>
      <c r="O644" s="28" t="s">
        <v>181</v>
      </c>
      <c r="P644" s="28" t="s">
        <v>182</v>
      </c>
      <c r="Q644" s="28" t="s">
        <v>183</v>
      </c>
      <c r="R644" s="28" t="s">
        <v>184</v>
      </c>
      <c r="S644" s="28" t="s">
        <v>185</v>
      </c>
      <c r="T644" s="28" t="s">
        <v>186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39" t="n">
        <f aca="false">(B645+C645)/2</f>
        <v>0.25</v>
      </c>
      <c r="E645" s="15" t="n">
        <f aca="false">$C$2*(1+IF(E$3&lt;=$O$2,$D645,$D645-($D645-$I$643)*MIN(E$3-$O$2,$Q$2)/$Q$2))</f>
        <v>7012.5</v>
      </c>
      <c r="F645" s="15" t="n">
        <f aca="false">E645*(1+IF(F$3&lt;=$O$2,$D645,$D645-($D645-$I$643)*MIN(F$3-$O$2,$Q$2)/$Q$2))</f>
        <v>8765.625</v>
      </c>
      <c r="G645" s="15" t="n">
        <f aca="false">F645*(1+IF(G$3&lt;=$O$2,$D645,$D645-($D645-$I$643)*MIN(G$3-$O$2,$Q$2)/$Q$2))</f>
        <v>10957.03125</v>
      </c>
      <c r="H645" s="15" t="n">
        <f aca="false">G645*(1+IF(H$3&lt;=$O$2,$D645,$D645-($D645-$I$643)*MIN(H$3-$O$2,$Q$2)/$Q$2))</f>
        <v>13696.2890625</v>
      </c>
      <c r="I645" s="15" t="n">
        <f aca="false">H645*(1+IF(I$3&lt;=$O$2,$D645,$D645-($D645-$I$643)*MIN(I$3-$O$2,$Q$2)/$Q$2))</f>
        <v>17120.361328125</v>
      </c>
      <c r="J645" s="15" t="n">
        <f aca="false">I645*(1+IF(J$3&lt;=$O$2,$D645,$D645-($D645-$I$643)*MIN(J$3-$O$2,$Q$2)/$Q$2))</f>
        <v>20641.3348388672</v>
      </c>
      <c r="K645" s="15" t="n">
        <f aca="false">J645*(1+IF(K$3&lt;=$O$2,$D645,$D645-($D645-$I$643)*MIN(K$3-$O$2,$Q$2)/$Q$2))</f>
        <v>23971.1949750732</v>
      </c>
      <c r="L645" s="15" t="n">
        <f aca="false">K645*(1+IF(L$3&lt;=$O$2,$D645,$D645-($D645-$I$643)*MIN(L$3-$O$2,$Q$2)/$Q$2))</f>
        <v>26775.3453632573</v>
      </c>
      <c r="M645" s="15" t="n">
        <f aca="false">L645*(1+IF(M$3&lt;=$O$2,$D645,$D645-($D645-$I$643)*MIN(M$3-$O$2,$Q$2)/$Q$2))</f>
        <v>28720.3064504443</v>
      </c>
      <c r="N645" s="15" t="n">
        <f aca="false">M645*(1+IF(N$3&lt;=$O$2,$D645,$D645-($D645-$I$643)*MIN(N$3-$O$2,$Q$2)/$Q$2))</f>
        <v>29533.0911229919</v>
      </c>
      <c r="O645" s="15" t="n">
        <f aca="false">SUMPRODUCT(E645:N645,1/(1+$F$643)^$E$3:$N$3)*$E$2</f>
        <v>41926.5669151615</v>
      </c>
      <c r="P645" s="15" t="n">
        <f aca="false">N645*$E$2*(1+$I$643)/($F$643-$I$643)/(1+$F$643)^$N$3</f>
        <v>86491.1745667927</v>
      </c>
      <c r="Q645" s="15" t="n">
        <f aca="false">O645+P645</f>
        <v>128417.741481954</v>
      </c>
      <c r="R645" s="15" t="n">
        <f aca="false">Q645-$G$2+$I$2</f>
        <v>119652.741481954</v>
      </c>
      <c r="S645" s="40" t="n">
        <f aca="false">R645/$K$2</f>
        <v>214.055496586558</v>
      </c>
      <c r="T645" s="41" t="n">
        <f aca="false">S645-$M$2</f>
        <v>120.58166925821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39" t="n">
        <f aca="false">(B646+C646)/2</f>
        <v>-0.125</v>
      </c>
      <c r="E646" s="15" t="n">
        <f aca="false">$C$2*(1+IF(E$3&lt;=$O$2,$D646,$D646-($D646-$I$643)*MIN(E$3-$O$2,$Q$2)/$Q$2))</f>
        <v>4908.75</v>
      </c>
      <c r="F646" s="15" t="n">
        <f aca="false">E646*(1+IF(F$3&lt;=$O$2,$D646,$D646-($D646-$I$643)*MIN(F$3-$O$2,$Q$2)/$Q$2))</f>
        <v>4295.15625</v>
      </c>
      <c r="G646" s="15" t="n">
        <f aca="false">F646*(1+IF(G$3&lt;=$O$2,$D646,$D646-($D646-$I$643)*MIN(G$3-$O$2,$Q$2)/$Q$2))</f>
        <v>3758.26171875</v>
      </c>
      <c r="H646" s="15" t="n">
        <f aca="false">G646*(1+IF(H$3&lt;=$O$2,$D646,$D646-($D646-$I$643)*MIN(H$3-$O$2,$Q$2)/$Q$2))</f>
        <v>3288.47900390625</v>
      </c>
      <c r="I646" s="15" t="n">
        <f aca="false">H646*(1+IF(I$3&lt;=$O$2,$D646,$D646-($D646-$I$643)*MIN(I$3-$O$2,$Q$2)/$Q$2))</f>
        <v>2877.41912841797</v>
      </c>
      <c r="J646" s="15" t="n">
        <f aca="false">I646*(1+IF(J$3&lt;=$O$2,$D646,$D646-($D646-$I$643)*MIN(J$3-$O$2,$Q$2)/$Q$2))</f>
        <v>2605.96340784302</v>
      </c>
      <c r="K646" s="15" t="n">
        <f aca="false">J646*(1+IF(K$3&lt;=$O$2,$D646,$D646-($D646-$I$643)*MIN(K$3-$O$2,$Q$2)/$Q$2))</f>
        <v>2440.01565803157</v>
      </c>
      <c r="L646" s="15" t="n">
        <f aca="false">K646*(1+IF(L$3&lt;=$O$2,$D646,$D646-($D646-$I$643)*MIN(L$3-$O$2,$Q$2)/$Q$2))</f>
        <v>2359.44634100337</v>
      </c>
      <c r="M646" s="15" t="n">
        <f aca="false">L646*(1+IF(M$3&lt;=$O$2,$D646,$D646-($D646-$I$643)*MIN(M$3-$O$2,$Q$2)/$Q$2))</f>
        <v>2353.8780476386</v>
      </c>
      <c r="N646" s="15" t="n">
        <f aca="false">M646*(1+IF(N$3&lt;=$O$2,$D646,$D646-($D646-$I$643)*MIN(N$3-$O$2,$Q$2)/$Q$2))</f>
        <v>2420.49279638678</v>
      </c>
      <c r="O646" s="15" t="n">
        <f aca="false">SUMPRODUCT(E646:N646,1/(1+$F$643)^$E$3:$N$3)*$E$2</f>
        <v>8283.03919756944</v>
      </c>
      <c r="P646" s="15" t="n">
        <f aca="false">N646*$E$2*(1+$I$643)/($F$643-$I$643)/(1+$F$643)^$N$3</f>
        <v>7088.70142031865</v>
      </c>
      <c r="Q646" s="15" t="n">
        <f aca="false">O646+P646</f>
        <v>15371.7406178881</v>
      </c>
      <c r="R646" s="15" t="n">
        <f aca="false">Q646-$G$2+$I$2</f>
        <v>6606.74061788809</v>
      </c>
      <c r="S646" s="40" t="n">
        <f aca="false">R646/$K$2</f>
        <v>11.8192790759743</v>
      </c>
      <c r="T646" s="41" t="n">
        <f aca="false">S646-$M$2</f>
        <v>-81.6545482523738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39" t="n">
        <f aca="false">(B647+C647)/2</f>
        <v>0.0625</v>
      </c>
      <c r="E647" s="15" t="n">
        <f aca="false">$C$2*(1+IF(E$3&lt;=$O$2,$D647,$D647-($D647-$I$643)*MIN(E$3-$O$2,$Q$2)/$Q$2))</f>
        <v>5960.625</v>
      </c>
      <c r="F647" s="15" t="n">
        <f aca="false">E647*(1+IF(F$3&lt;=$O$2,$D647,$D647-($D647-$I$643)*MIN(F$3-$O$2,$Q$2)/$Q$2))</f>
        <v>6333.1640625</v>
      </c>
      <c r="G647" s="15" t="n">
        <f aca="false">F647*(1+IF(G$3&lt;=$O$2,$D647,$D647-($D647-$I$643)*MIN(G$3-$O$2,$Q$2)/$Q$2))</f>
        <v>6728.98681640625</v>
      </c>
      <c r="H647" s="15" t="n">
        <f aca="false">G647*(1+IF(H$3&lt;=$O$2,$D647,$D647-($D647-$I$643)*MIN(H$3-$O$2,$Q$2)/$Q$2))</f>
        <v>7149.54849243164</v>
      </c>
      <c r="I647" s="15" t="n">
        <f aca="false">H647*(1+IF(I$3&lt;=$O$2,$D647,$D647-($D647-$I$643)*MIN(I$3-$O$2,$Q$2)/$Q$2))</f>
        <v>7596.39527320862</v>
      </c>
      <c r="J647" s="15" t="n">
        <f aca="false">I647*(1+IF(J$3&lt;=$O$2,$D647,$D647-($D647-$I$643)*MIN(J$3-$O$2,$Q$2)/$Q$2))</f>
        <v>8019.21063411541</v>
      </c>
      <c r="K647" s="15" t="n">
        <f aca="false">J647*(1+IF(K$3&lt;=$O$2,$D647,$D647-($D647-$I$643)*MIN(K$3-$O$2,$Q$2)/$Q$2))</f>
        <v>8410.70849727293</v>
      </c>
      <c r="L647" s="15" t="n">
        <f aca="false">K647*(1+IF(L$3&lt;=$O$2,$D647,$D647-($D647-$I$643)*MIN(L$3-$O$2,$Q$2)/$Q$2))</f>
        <v>8763.79003998844</v>
      </c>
      <c r="M647" s="15" t="n">
        <f aca="false">L647*(1+IF(M$3&lt;=$O$2,$D647,$D647-($D647-$I$643)*MIN(M$3-$O$2,$Q$2)/$Q$2))</f>
        <v>9071.74962199364</v>
      </c>
      <c r="N647" s="15" t="n">
        <f aca="false">M647*(1+IF(N$3&lt;=$O$2,$D647,$D647-($D647-$I$643)*MIN(N$3-$O$2,$Q$2)/$Q$2))</f>
        <v>9328.48013629606</v>
      </c>
      <c r="O647" s="15" t="n">
        <f aca="false">SUMPRODUCT(E647:N647,1/(1+$F$643)^$E$3:$N$3)*$E$2</f>
        <v>18602.1495843373</v>
      </c>
      <c r="P647" s="15" t="n">
        <f aca="false">N647*$E$2*(1+$I$643)/($F$643-$I$643)/(1+$F$643)^$N$3</f>
        <v>27319.56504489</v>
      </c>
      <c r="Q647" s="15" t="n">
        <f aca="false">O647+P647</f>
        <v>45921.7146292273</v>
      </c>
      <c r="R647" s="15" t="n">
        <f aca="false">Q647-$G$2+$I$2</f>
        <v>37156.7146292273</v>
      </c>
      <c r="S647" s="40" t="n">
        <f aca="false">R647/$K$2</f>
        <v>66.472350762509</v>
      </c>
      <c r="T647" s="41" t="n">
        <f aca="false">S647-$M$2</f>
        <v>-27.001476565839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0.0625</v>
      </c>
      <c r="C648" s="25" t="n">
        <f aca="false">IF(T647&gt;0,D647,C647)</f>
        <v>0.25</v>
      </c>
      <c r="D648" s="39" t="n">
        <f aca="false">(B648+C648)/2</f>
        <v>0.15625</v>
      </c>
      <c r="E648" s="15" t="n">
        <f aca="false">$C$2*(1+IF(E$3&lt;=$O$2,$D648,$D648-($D648-$I$643)*MIN(E$3-$O$2,$Q$2)/$Q$2))</f>
        <v>6486.5625</v>
      </c>
      <c r="F648" s="15" t="n">
        <f aca="false">E648*(1+IF(F$3&lt;=$O$2,$D648,$D648-($D648-$I$643)*MIN(F$3-$O$2,$Q$2)/$Q$2))</f>
        <v>7500.087890625</v>
      </c>
      <c r="G648" s="15" t="n">
        <f aca="false">F648*(1+IF(G$3&lt;=$O$2,$D648,$D648-($D648-$I$643)*MIN(G$3-$O$2,$Q$2)/$Q$2))</f>
        <v>8671.97662353516</v>
      </c>
      <c r="H648" s="15" t="n">
        <f aca="false">G648*(1+IF(H$3&lt;=$O$2,$D648,$D648-($D648-$I$643)*MIN(H$3-$O$2,$Q$2)/$Q$2))</f>
        <v>10026.9729709625</v>
      </c>
      <c r="I648" s="15" t="n">
        <f aca="false">H648*(1+IF(I$3&lt;=$O$2,$D648,$D648-($D648-$I$643)*MIN(I$3-$O$2,$Q$2)/$Q$2))</f>
        <v>11593.6874976754</v>
      </c>
      <c r="J648" s="15" t="n">
        <f aca="false">I648*(1+IF(J$3&lt;=$O$2,$D648,$D648-($D648-$I$643)*MIN(J$3-$O$2,$Q$2)/$Q$2))</f>
        <v>13108.5187061217</v>
      </c>
      <c r="K648" s="15" t="n">
        <f aca="false">J648*(1+IF(K$3&lt;=$O$2,$D648,$D648-($D648-$I$643)*MIN(K$3-$O$2,$Q$2)/$Q$2))</f>
        <v>14485.8307665739</v>
      </c>
      <c r="L648" s="15" t="n">
        <f aca="false">K648*(1+IF(L$3&lt;=$O$2,$D648,$D648-($D648-$I$643)*MIN(L$3-$O$2,$Q$2)/$Q$2))</f>
        <v>15637.1645959012</v>
      </c>
      <c r="M648" s="15" t="n">
        <f aca="false">L648*(1+IF(M$3&lt;=$O$2,$D648,$D648-($D648-$I$643)*MIN(M$3-$O$2,$Q$2)/$Q$2))</f>
        <v>16479.8513959743</v>
      </c>
      <c r="N648" s="15" t="n">
        <f aca="false">M648*(1+IF(N$3&lt;=$O$2,$D648,$D648-($D648-$I$643)*MIN(N$3-$O$2,$Q$2)/$Q$2))</f>
        <v>16946.2311904804</v>
      </c>
      <c r="O648" s="15" t="n">
        <f aca="false">SUMPRODUCT(E648:N648,1/(1+$F$643)^$E$3:$N$3)*$E$2</f>
        <v>27978.5768233829</v>
      </c>
      <c r="P648" s="15" t="n">
        <f aca="false">N648*$E$2*(1+$I$643)/($F$643-$I$643)/(1+$F$643)^$N$3</f>
        <v>49629.0562352953</v>
      </c>
      <c r="Q648" s="15" t="n">
        <f aca="false">O648+P648</f>
        <v>77607.6330586782</v>
      </c>
      <c r="R648" s="15" t="n">
        <f aca="false">Q648-$G$2+$I$2</f>
        <v>68842.6330586782</v>
      </c>
      <c r="S648" s="40" t="n">
        <f aca="false">R648/$K$2</f>
        <v>123.157596083363</v>
      </c>
      <c r="T648" s="41" t="n">
        <f aca="false">S648-$M$2</f>
        <v>29.6837687550148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0.0625</v>
      </c>
      <c r="C649" s="25" t="n">
        <f aca="false">IF(T648&gt;0,D648,C648)</f>
        <v>0.15625</v>
      </c>
      <c r="D649" s="39" t="n">
        <f aca="false">(B649+C649)/2</f>
        <v>0.109375</v>
      </c>
      <c r="E649" s="15" t="n">
        <f aca="false">$C$2*(1+IF(E$3&lt;=$O$2,$D649,$D649-($D649-$I$643)*MIN(E$3-$O$2,$Q$2)/$Q$2))</f>
        <v>6223.59375</v>
      </c>
      <c r="F649" s="15" t="n">
        <f aca="false">E649*(1+IF(F$3&lt;=$O$2,$D649,$D649-($D649-$I$643)*MIN(F$3-$O$2,$Q$2)/$Q$2))</f>
        <v>6904.29931640625</v>
      </c>
      <c r="G649" s="15" t="n">
        <f aca="false">F649*(1+IF(G$3&lt;=$O$2,$D649,$D649-($D649-$I$643)*MIN(G$3-$O$2,$Q$2)/$Q$2))</f>
        <v>7659.45705413818</v>
      </c>
      <c r="H649" s="15" t="n">
        <f aca="false">G649*(1+IF(H$3&lt;=$O$2,$D649,$D649-($D649-$I$643)*MIN(H$3-$O$2,$Q$2)/$Q$2))</f>
        <v>8497.21016943455</v>
      </c>
      <c r="I649" s="15" t="n">
        <f aca="false">H649*(1+IF(I$3&lt;=$O$2,$D649,$D649-($D649-$I$643)*MIN(I$3-$O$2,$Q$2)/$Q$2))</f>
        <v>9426.59253171645</v>
      </c>
      <c r="J649" s="15" t="n">
        <f aca="false">I649*(1+IF(J$3&lt;=$O$2,$D649,$D649-($D649-$I$643)*MIN(J$3-$O$2,$Q$2)/$Q$2))</f>
        <v>10304.7738919712</v>
      </c>
      <c r="K649" s="15" t="n">
        <f aca="false">J649*(1+IF(K$3&lt;=$O$2,$D649,$D649-($D649-$I$643)*MIN(K$3-$O$2,$Q$2)/$Q$2))</f>
        <v>11097.6747190889</v>
      </c>
      <c r="L649" s="15" t="n">
        <f aca="false">K649*(1+IF(L$3&lt;=$O$2,$D649,$D649-($D649-$I$643)*MIN(L$3-$O$2,$Q$2)/$Q$2))</f>
        <v>11771.6365047791</v>
      </c>
      <c r="M649" s="15" t="n">
        <f aca="false">L649*(1+IF(M$3&lt;=$O$2,$D649,$D649-($D649-$I$643)*MIN(M$3-$O$2,$Q$2)/$Q$2))</f>
        <v>12295.6509037894</v>
      </c>
      <c r="N649" s="15" t="n">
        <f aca="false">M649*(1+IF(N$3&lt;=$O$2,$D649,$D649-($D649-$I$643)*MIN(N$3-$O$2,$Q$2)/$Q$2))</f>
        <v>12643.6178243666</v>
      </c>
      <c r="O649" s="15" t="n">
        <f aca="false">SUMPRODUCT(E649:N649,1/(1+$F$643)^$E$3:$N$3)*$E$2</f>
        <v>22818.36967042</v>
      </c>
      <c r="P649" s="15" t="n">
        <f aca="false">N649*$E$2*(1+$I$643)/($F$643-$I$643)/(1+$F$643)^$N$3</f>
        <v>37028.3405773178</v>
      </c>
      <c r="Q649" s="15" t="n">
        <f aca="false">O649+P649</f>
        <v>59846.7102477378</v>
      </c>
      <c r="R649" s="15" t="n">
        <f aca="false">Q649-$G$2+$I$2</f>
        <v>51081.7102477378</v>
      </c>
      <c r="S649" s="40" t="n">
        <f aca="false">R649/$K$2</f>
        <v>91.3837887719379</v>
      </c>
      <c r="T649" s="41" t="n">
        <f aca="false">S649-$M$2</f>
        <v>-2.09003855641021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0.109375</v>
      </c>
      <c r="C650" s="25" t="n">
        <f aca="false">IF(T649&gt;0,D649,C649)</f>
        <v>0.15625</v>
      </c>
      <c r="D650" s="39" t="n">
        <f aca="false">(B650+C650)/2</f>
        <v>0.1328125</v>
      </c>
      <c r="E650" s="15" t="n">
        <f aca="false">$C$2*(1+IF(E$3&lt;=$O$2,$D650,$D650-($D650-$I$643)*MIN(E$3-$O$2,$Q$2)/$Q$2))</f>
        <v>6355.078125</v>
      </c>
      <c r="F650" s="15" t="n">
        <f aca="false">E650*(1+IF(F$3&lt;=$O$2,$D650,$D650-($D650-$I$643)*MIN(F$3-$O$2,$Q$2)/$Q$2))</f>
        <v>7199.11193847656</v>
      </c>
      <c r="G650" s="15" t="n">
        <f aca="false">F650*(1+IF(G$3&lt;=$O$2,$D650,$D650-($D650-$I$643)*MIN(G$3-$O$2,$Q$2)/$Q$2))</f>
        <v>8155.24399280548</v>
      </c>
      <c r="H650" s="15" t="n">
        <f aca="false">G650*(1+IF(H$3&lt;=$O$2,$D650,$D650-($D650-$I$643)*MIN(H$3-$O$2,$Q$2)/$Q$2))</f>
        <v>9238.36233559996</v>
      </c>
      <c r="I650" s="15" t="n">
        <f aca="false">H650*(1+IF(I$3&lt;=$O$2,$D650,$D650-($D650-$I$643)*MIN(I$3-$O$2,$Q$2)/$Q$2))</f>
        <v>10465.3323332968</v>
      </c>
      <c r="J650" s="15" t="n">
        <f aca="false">I650*(1+IF(J$3&lt;=$O$2,$D650,$D650-($D650-$I$643)*MIN(J$3-$O$2,$Q$2)/$Q$2))</f>
        <v>11636.5076747161</v>
      </c>
      <c r="K650" s="15" t="n">
        <f aca="false">J650*(1+IF(K$3&lt;=$O$2,$D650,$D650-($D650-$I$643)*MIN(K$3-$O$2,$Q$2)/$Q$2))</f>
        <v>12695.5171469228</v>
      </c>
      <c r="L650" s="15" t="n">
        <f aca="false">K650*(1+IF(L$3&lt;=$O$2,$D650,$D650-($D650-$I$643)*MIN(L$3-$O$2,$Q$2)/$Q$2))</f>
        <v>13585.5363765078</v>
      </c>
      <c r="M650" s="15" t="n">
        <f aca="false">L650*(1+IF(M$3&lt;=$O$2,$D650,$D650-($D650-$I$643)*MIN(M$3-$O$2,$Q$2)/$Q$2))</f>
        <v>14253.978730073</v>
      </c>
      <c r="N650" s="15" t="n">
        <f aca="false">M650*(1+IF(N$3&lt;=$O$2,$D650,$D650-($D650-$I$643)*MIN(N$3-$O$2,$Q$2)/$Q$2))</f>
        <v>14657.366328134</v>
      </c>
      <c r="O650" s="15" t="n">
        <f aca="false">SUMPRODUCT(E650:N650,1/(1+$F$643)^$E$3:$N$3)*$E$2</f>
        <v>25269.2603903686</v>
      </c>
      <c r="P650" s="15" t="n">
        <f aca="false">N650*$E$2*(1+$I$643)/($F$643-$I$643)/(1+$F$643)^$N$3</f>
        <v>42925.8428959074</v>
      </c>
      <c r="Q650" s="15" t="n">
        <f aca="false">O650+P650</f>
        <v>68195.1032862761</v>
      </c>
      <c r="R650" s="15" t="n">
        <f aca="false">Q650-$G$2+$I$2</f>
        <v>59430.1032862761</v>
      </c>
      <c r="S650" s="40" t="n">
        <f aca="false">R650/$K$2</f>
        <v>106.318836606455</v>
      </c>
      <c r="T650" s="41" t="n">
        <f aca="false">S650-$M$2</f>
        <v>12.8450092781066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0.109375</v>
      </c>
      <c r="C651" s="25" t="n">
        <f aca="false">IF(T650&gt;0,D650,C650)</f>
        <v>0.1328125</v>
      </c>
      <c r="D651" s="39" t="n">
        <f aca="false">(B651+C651)/2</f>
        <v>0.12109375</v>
      </c>
      <c r="E651" s="15" t="n">
        <f aca="false">$C$2*(1+IF(E$3&lt;=$O$2,$D651,$D651-($D651-$I$643)*MIN(E$3-$O$2,$Q$2)/$Q$2))</f>
        <v>6289.3359375</v>
      </c>
      <c r="F651" s="15" t="n">
        <f aca="false">E651*(1+IF(F$3&lt;=$O$2,$D651,$D651-($D651-$I$643)*MIN(F$3-$O$2,$Q$2)/$Q$2))</f>
        <v>7050.93521118164</v>
      </c>
      <c r="G651" s="15" t="n">
        <f aca="false">F651*(1+IF(G$3&lt;=$O$2,$D651,$D651-($D651-$I$643)*MIN(G$3-$O$2,$Q$2)/$Q$2))</f>
        <v>7904.75939691067</v>
      </c>
      <c r="H651" s="15" t="n">
        <f aca="false">G651*(1+IF(H$3&lt;=$O$2,$D651,$D651-($D651-$I$643)*MIN(H$3-$O$2,$Q$2)/$Q$2))</f>
        <v>8861.97635513032</v>
      </c>
      <c r="I651" s="15" t="n">
        <f aca="false">H651*(1+IF(I$3&lt;=$O$2,$D651,$D651-($D651-$I$643)*MIN(I$3-$O$2,$Q$2)/$Q$2))</f>
        <v>9935.10630438438</v>
      </c>
      <c r="J651" s="15" t="n">
        <f aca="false">I651*(1+IF(J$3&lt;=$O$2,$D651,$D651-($D651-$I$643)*MIN(J$3-$O$2,$Q$2)/$Q$2))</f>
        <v>10953.8024293044</v>
      </c>
      <c r="K651" s="15" t="n">
        <f aca="false">J651*(1+IF(K$3&lt;=$O$2,$D651,$D651-($D651-$I$643)*MIN(K$3-$O$2,$Q$2)/$Q$2))</f>
        <v>11873.6616805583</v>
      </c>
      <c r="L651" s="15" t="n">
        <f aca="false">K651*(1+IF(L$3&lt;=$O$2,$D651,$D651-($D651-$I$643)*MIN(L$3-$O$2,$Q$2)/$Q$2))</f>
        <v>12650.4069435462</v>
      </c>
      <c r="M651" s="15" t="n">
        <f aca="false">L651*(1+IF(M$3&lt;=$O$2,$D651,$D651-($D651-$I$643)*MIN(M$3-$O$2,$Q$2)/$Q$2))</f>
        <v>13243.1891999121</v>
      </c>
      <c r="N651" s="15" t="n">
        <f aca="false">M651*(1+IF(N$3&lt;=$O$2,$D651,$D651-($D651-$I$643)*MIN(N$3-$O$2,$Q$2)/$Q$2))</f>
        <v>13617.9714542696</v>
      </c>
      <c r="O651" s="15" t="n">
        <f aca="false">SUMPRODUCT(E651:N651,1/(1+$F$643)^$E$3:$N$3)*$E$2</f>
        <v>24012.9842829284</v>
      </c>
      <c r="P651" s="15" t="n">
        <f aca="false">N651*$E$2*(1+$I$643)/($F$643-$I$643)/(1+$F$643)^$N$3</f>
        <v>39881.8512221322</v>
      </c>
      <c r="Q651" s="15" t="n">
        <f aca="false">O651+P651</f>
        <v>63894.8355050606</v>
      </c>
      <c r="R651" s="15" t="n">
        <f aca="false">Q651-$G$2+$I$2</f>
        <v>55129.8355050606</v>
      </c>
      <c r="S651" s="40" t="n">
        <f aca="false">R651/$K$2</f>
        <v>98.6257746342634</v>
      </c>
      <c r="T651" s="41" t="n">
        <f aca="false">S651-$M$2</f>
        <v>5.15194730591536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0.109375</v>
      </c>
      <c r="C652" s="25" t="n">
        <f aca="false">IF(T651&gt;0,D651,C651)</f>
        <v>0.12109375</v>
      </c>
      <c r="D652" s="39" t="n">
        <f aca="false">(B652+C652)/2</f>
        <v>0.115234375</v>
      </c>
      <c r="E652" s="15" t="n">
        <f aca="false">$C$2*(1+IF(E$3&lt;=$O$2,$D652,$D652-($D652-$I$643)*MIN(E$3-$O$2,$Q$2)/$Q$2))</f>
        <v>6256.46484375</v>
      </c>
      <c r="F652" s="15" t="n">
        <f aca="false">E652*(1+IF(F$3&lt;=$O$2,$D652,$D652-($D652-$I$643)*MIN(F$3-$O$2,$Q$2)/$Q$2))</f>
        <v>6977.424659729</v>
      </c>
      <c r="G652" s="15" t="n">
        <f aca="false">F652*(1+IF(G$3&lt;=$O$2,$D652,$D652-($D652-$I$643)*MIN(G$3-$O$2,$Q$2)/$Q$2))</f>
        <v>7781.46382950246</v>
      </c>
      <c r="H652" s="15" t="n">
        <f aca="false">G652*(1+IF(H$3&lt;=$O$2,$D652,$D652-($D652-$I$643)*MIN(H$3-$O$2,$Q$2)/$Q$2))</f>
        <v>8678.15595048029</v>
      </c>
      <c r="I652" s="15" t="n">
        <f aca="false">H652*(1+IF(I$3&lt;=$O$2,$D652,$D652-($D652-$I$643)*MIN(I$3-$O$2,$Q$2)/$Q$2))</f>
        <v>9678.17782758641</v>
      </c>
      <c r="J652" s="15" t="n">
        <f aca="false">I652*(1+IF(J$3&lt;=$O$2,$D652,$D652-($D652-$I$643)*MIN(J$3-$O$2,$Q$2)/$Q$2))</f>
        <v>10625.1633325712</v>
      </c>
      <c r="K652" s="15" t="n">
        <f aca="false">J652*(1+IF(K$3&lt;=$O$2,$D652,$D652-($D652-$I$643)*MIN(K$3-$O$2,$Q$2)/$Q$2))</f>
        <v>11480.0706150369</v>
      </c>
      <c r="L652" s="15" t="n">
        <f aca="false">K652*(1+IF(L$3&lt;=$O$2,$D652,$D652-($D652-$I$643)*MIN(L$3-$O$2,$Q$2)/$Q$2))</f>
        <v>12204.1617189921</v>
      </c>
      <c r="M652" s="15" t="n">
        <f aca="false">L652*(1+IF(M$3&lt;=$O$2,$D652,$D652-($D652-$I$643)*MIN(M$3-$O$2,$Q$2)/$Q$2))</f>
        <v>12761.7317299275</v>
      </c>
      <c r="N652" s="15" t="n">
        <f aca="false">M652*(1+IF(N$3&lt;=$O$2,$D652,$D652-($D652-$I$643)*MIN(N$3-$O$2,$Q$2)/$Q$2))</f>
        <v>13122.8887378844</v>
      </c>
      <c r="O652" s="15" t="n">
        <f aca="false">SUMPRODUCT(E652:N652,1/(1+$F$643)^$E$3:$N$3)*$E$2</f>
        <v>23408.1469815153</v>
      </c>
      <c r="P652" s="15" t="n">
        <f aca="false">N652*$E$2*(1+$I$643)/($F$643-$I$643)/(1+$F$643)^$N$3</f>
        <v>38431.9425258312</v>
      </c>
      <c r="Q652" s="15" t="n">
        <f aca="false">O652+P652</f>
        <v>61840.0895073466</v>
      </c>
      <c r="R652" s="15" t="n">
        <f aca="false">Q652-$G$2+$I$2</f>
        <v>53075.0895073466</v>
      </c>
      <c r="S652" s="40" t="n">
        <f aca="false">R652/$K$2</f>
        <v>94.9498899913173</v>
      </c>
      <c r="T652" s="41" t="n">
        <f aca="false">S652-$M$2</f>
        <v>1.47606266296923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0.109375</v>
      </c>
      <c r="C653" s="25" t="n">
        <f aca="false">IF(T652&gt;0,D652,C652)</f>
        <v>0.115234375</v>
      </c>
      <c r="D653" s="39" t="n">
        <f aca="false">(B653+C653)/2</f>
        <v>0.1123046875</v>
      </c>
      <c r="E653" s="15" t="n">
        <f aca="false">$C$2*(1+IF(E$3&lt;=$O$2,$D653,$D653-($D653-$I$643)*MIN(E$3-$O$2,$Q$2)/$Q$2))</f>
        <v>6240.029296875</v>
      </c>
      <c r="F653" s="15" t="n">
        <f aca="false">E653*(1+IF(F$3&lt;=$O$2,$D653,$D653-($D653-$I$643)*MIN(F$3-$O$2,$Q$2)/$Q$2))</f>
        <v>6940.81383705139</v>
      </c>
      <c r="G653" s="15" t="n">
        <f aca="false">F653*(1+IF(G$3&lt;=$O$2,$D653,$D653-($D653-$I$643)*MIN(G$3-$O$2,$Q$2)/$Q$2))</f>
        <v>7720.29976601712</v>
      </c>
      <c r="H653" s="15" t="n">
        <f aca="false">G653*(1+IF(H$3&lt;=$O$2,$D653,$D653-($D653-$I$643)*MIN(H$3-$O$2,$Q$2)/$Q$2))</f>
        <v>8587.325618646</v>
      </c>
      <c r="I653" s="15" t="n">
        <f aca="false">H653*(1+IF(I$3&lt;=$O$2,$D653,$D653-($D653-$I$643)*MIN(I$3-$O$2,$Q$2)/$Q$2))</f>
        <v>9551.72253870878</v>
      </c>
      <c r="J653" s="15" t="n">
        <f aca="false">I653*(1+IF(J$3&lt;=$O$2,$D653,$D653-($D653-$I$643)*MIN(J$3-$O$2,$Q$2)/$Q$2))</f>
        <v>10463.947860115</v>
      </c>
      <c r="K653" s="15" t="n">
        <f aca="false">J653*(1+IF(K$3&lt;=$O$2,$D653,$D653-($D653-$I$643)*MIN(K$3-$O$2,$Q$2)/$Q$2))</f>
        <v>11287.4899865594</v>
      </c>
      <c r="L653" s="15" t="n">
        <f aca="false">K653*(1+IF(L$3&lt;=$O$2,$D653,$D653-($D653-$I$643)*MIN(L$3-$O$2,$Q$2)/$Q$2))</f>
        <v>11986.2067807712</v>
      </c>
      <c r="M653" s="15" t="n">
        <f aca="false">L653*(1+IF(M$3&lt;=$O$2,$D653,$D653-($D653-$I$643)*MIN(M$3-$O$2,$Q$2)/$Q$2))</f>
        <v>12526.7959436528</v>
      </c>
      <c r="N653" s="15" t="n">
        <f aca="false">M653*(1+IF(N$3&lt;=$O$2,$D653,$D653-($D653-$I$643)*MIN(N$3-$O$2,$Q$2)/$Q$2))</f>
        <v>12881.3042688582</v>
      </c>
      <c r="O653" s="15" t="n">
        <f aca="false">SUMPRODUCT(E653:N653,1/(1+$F$643)^$E$3:$N$3)*$E$2</f>
        <v>23111.3976504906</v>
      </c>
      <c r="P653" s="15" t="n">
        <f aca="false">N653*$E$2*(1+$I$643)/($F$643-$I$643)/(1+$F$643)^$N$3</f>
        <v>37724.4336370339</v>
      </c>
      <c r="Q653" s="15" t="n">
        <f aca="false">O653+P653</f>
        <v>60835.8312875246</v>
      </c>
      <c r="R653" s="15" t="n">
        <f aca="false">Q653-$G$2+$I$2</f>
        <v>52070.8312875246</v>
      </c>
      <c r="S653" s="40" t="n">
        <f aca="false">R653/$K$2</f>
        <v>93.1532993801648</v>
      </c>
      <c r="T653" s="41" t="n">
        <f aca="false">S653-$M$2</f>
        <v>-0.320527948183241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0.1123046875</v>
      </c>
      <c r="C654" s="25" t="n">
        <f aca="false">IF(T653&gt;0,D653,C653)</f>
        <v>0.115234375</v>
      </c>
      <c r="D654" s="39" t="n">
        <f aca="false">(B654+C654)/2</f>
        <v>0.11376953125</v>
      </c>
      <c r="E654" s="15" t="n">
        <f aca="false">$C$2*(1+IF(E$3&lt;=$O$2,$D654,$D654-($D654-$I$643)*MIN(E$3-$O$2,$Q$2)/$Q$2))</f>
        <v>6248.2470703125</v>
      </c>
      <c r="F654" s="15" t="n">
        <f aca="false">E654*(1+IF(F$3&lt;=$O$2,$D654,$D654-($D654-$I$643)*MIN(F$3-$O$2,$Q$2)/$Q$2))</f>
        <v>6959.10721063614</v>
      </c>
      <c r="G654" s="15" t="n">
        <f aca="false">F654*(1+IF(G$3&lt;=$O$2,$D654,$D654-($D654-$I$643)*MIN(G$3-$O$2,$Q$2)/$Q$2))</f>
        <v>7750.84157590871</v>
      </c>
      <c r="H654" s="15" t="n">
        <f aca="false">G654*(1+IF(H$3&lt;=$O$2,$D654,$D654-($D654-$I$643)*MIN(H$3-$O$2,$Q$2)/$Q$2))</f>
        <v>8632.65118879285</v>
      </c>
      <c r="I654" s="15" t="n">
        <f aca="false">H654*(1+IF(I$3&lt;=$O$2,$D654,$D654-($D654-$I$643)*MIN(I$3-$O$2,$Q$2)/$Q$2))</f>
        <v>9614.78386798657</v>
      </c>
      <c r="J654" s="15" t="n">
        <f aca="false">I654*(1+IF(J$3&lt;=$O$2,$D654,$D654-($D654-$I$643)*MIN(J$3-$O$2,$Q$2)/$Q$2))</f>
        <v>10544.2991076641</v>
      </c>
      <c r="K654" s="15" t="n">
        <f aca="false">J654*(1+IF(K$3&lt;=$O$2,$D654,$D654-($D654-$I$643)*MIN(K$3-$O$2,$Q$2)/$Q$2))</f>
        <v>11383.4325536661</v>
      </c>
      <c r="L654" s="15" t="n">
        <f aca="false">K654*(1+IF(L$3&lt;=$O$2,$D654,$D654-($D654-$I$643)*MIN(L$3-$O$2,$Q$2)/$Q$2))</f>
        <v>12094.758352686</v>
      </c>
      <c r="M654" s="15" t="n">
        <f aca="false">L654*(1+IF(M$3&lt;=$O$2,$D654,$D654-($D654-$I$643)*MIN(M$3-$O$2,$Q$2)/$Q$2))</f>
        <v>12643.7866794642</v>
      </c>
      <c r="N654" s="15" t="n">
        <f aca="false">M654*(1+IF(N$3&lt;=$O$2,$D654,$D654-($D654-$I$643)*MIN(N$3-$O$2,$Q$2)/$Q$2))</f>
        <v>13001.605842493</v>
      </c>
      <c r="O654" s="15" t="n">
        <f aca="false">SUMPRODUCT(E654:N654,1/(1+$F$643)^$E$3:$N$3)*$E$2</f>
        <v>23259.3044363619</v>
      </c>
      <c r="P654" s="15" t="n">
        <f aca="false">N654*$E$2*(1+$I$643)/($F$643-$I$643)/(1+$F$643)^$N$3</f>
        <v>38076.7511226158</v>
      </c>
      <c r="Q654" s="15" t="n">
        <f aca="false">O654+P654</f>
        <v>61336.0555589777</v>
      </c>
      <c r="R654" s="15" t="n">
        <f aca="false">Q654-$G$2+$I$2</f>
        <v>52571.0555589777</v>
      </c>
      <c r="S654" s="40" t="n">
        <f aca="false">R654/$K$2</f>
        <v>94.0481869816052</v>
      </c>
      <c r="T654" s="41" t="n">
        <f aca="false">S654-$M$2</f>
        <v>0.574359653257076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0.1123046875</v>
      </c>
      <c r="C655" s="25" t="n">
        <f aca="false">IF(T654&gt;0,D654,C654)</f>
        <v>0.11376953125</v>
      </c>
      <c r="D655" s="39" t="n">
        <f aca="false">(B655+C655)/2</f>
        <v>0.113037109375</v>
      </c>
      <c r="E655" s="15" t="n">
        <f aca="false">$C$2*(1+IF(E$3&lt;=$O$2,$D655,$D655-($D655-$I$643)*MIN(E$3-$O$2,$Q$2)/$Q$2))</f>
        <v>6244.13818359375</v>
      </c>
      <c r="F655" s="15" t="n">
        <f aca="false">E655*(1+IF(F$3&lt;=$O$2,$D655,$D655-($D655-$I$643)*MIN(F$3-$O$2,$Q$2)/$Q$2))</f>
        <v>6949.95751440525</v>
      </c>
      <c r="G655" s="15" t="n">
        <f aca="false">F655*(1+IF(G$3&lt;=$O$2,$D655,$D655-($D655-$I$643)*MIN(G$3-$O$2,$Q$2)/$Q$2))</f>
        <v>7735.56062211268</v>
      </c>
      <c r="H655" s="15" t="n">
        <f aca="false">G655*(1+IF(H$3&lt;=$O$2,$D655,$D655-($D655-$I$643)*MIN(H$3-$O$2,$Q$2)/$Q$2))</f>
        <v>8609.96603423138</v>
      </c>
      <c r="I655" s="15" t="n">
        <f aca="false">H655*(1+IF(I$3&lt;=$O$2,$D655,$D655-($D655-$I$643)*MIN(I$3-$O$2,$Q$2)/$Q$2))</f>
        <v>9583.21170655782</v>
      </c>
      <c r="J655" s="15" t="n">
        <f aca="false">I655*(1+IF(J$3&lt;=$O$2,$D655,$D655-($D655-$I$643)*MIN(J$3-$O$2,$Q$2)/$Q$2))</f>
        <v>10504.0595246873</v>
      </c>
      <c r="K655" s="15" t="n">
        <f aca="false">J655*(1+IF(K$3&lt;=$O$2,$D655,$D655-($D655-$I$643)*MIN(K$3-$O$2,$Q$2)/$Q$2))</f>
        <v>11335.3745937309</v>
      </c>
      <c r="L655" s="15" t="n">
        <f aca="false">K655*(1+IF(L$3&lt;=$O$2,$D655,$D655-($D655-$I$643)*MIN(L$3-$O$2,$Q$2)/$Q$2))</f>
        <v>12040.3764454357</v>
      </c>
      <c r="M655" s="15" t="n">
        <f aca="false">L655*(1+IF(M$3&lt;=$O$2,$D655,$D655-($D655-$I$643)*MIN(M$3-$O$2,$Q$2)/$Q$2))</f>
        <v>12585.1724379962</v>
      </c>
      <c r="N655" s="15" t="n">
        <f aca="false">M655*(1+IF(N$3&lt;=$O$2,$D655,$D655-($D655-$I$643)*MIN(N$3-$O$2,$Q$2)/$Q$2))</f>
        <v>12941.3328179915</v>
      </c>
      <c r="O655" s="15" t="n">
        <f aca="false">SUMPRODUCT(E655:N655,1/(1+$F$643)^$E$3:$N$3)*$E$2</f>
        <v>23185.234413429</v>
      </c>
      <c r="P655" s="15" t="n">
        <f aca="false">N655*$E$2*(1+$I$643)/($F$643-$I$643)/(1+$F$643)^$N$3</f>
        <v>37900.2343922091</v>
      </c>
      <c r="Q655" s="15" t="n">
        <f aca="false">O655+P655</f>
        <v>61085.4688056381</v>
      </c>
      <c r="R655" s="15" t="n">
        <f aca="false">Q655-$G$2+$I$2</f>
        <v>52320.4688056381</v>
      </c>
      <c r="S655" s="40" t="n">
        <f aca="false">R655/$K$2</f>
        <v>93.5998941028982</v>
      </c>
      <c r="T655" s="41" t="n">
        <f aca="false">S655-$M$2</f>
        <v>0.126066774550154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0.1123046875</v>
      </c>
      <c r="C656" s="25" t="n">
        <f aca="false">IF(T655&gt;0,D655,C655)</f>
        <v>0.113037109375</v>
      </c>
      <c r="D656" s="39" t="n">
        <f aca="false">(B656+C656)/2</f>
        <v>0.1126708984375</v>
      </c>
      <c r="E656" s="15" t="n">
        <f aca="false">$C$2*(1+IF(E$3&lt;=$O$2,$D656,$D656-($D656-$I$643)*MIN(E$3-$O$2,$Q$2)/$Q$2))</f>
        <v>6242.08374023438</v>
      </c>
      <c r="F656" s="15" t="n">
        <f aca="false">E656*(1+IF(F$3&lt;=$O$2,$D656,$D656-($D656-$I$643)*MIN(F$3-$O$2,$Q$2)/$Q$2))</f>
        <v>6945.38492336869</v>
      </c>
      <c r="G656" s="15" t="n">
        <f aca="false">F656*(1+IF(G$3&lt;=$O$2,$D656,$D656-($D656-$I$643)*MIN(G$3-$O$2,$Q$2)/$Q$2))</f>
        <v>7727.92768267891</v>
      </c>
      <c r="H656" s="15" t="n">
        <f aca="false">G656*(1+IF(H$3&lt;=$O$2,$D656,$D656-($D656-$I$643)*MIN(H$3-$O$2,$Q$2)/$Q$2))</f>
        <v>8598.64023774637</v>
      </c>
      <c r="I656" s="15" t="n">
        <f aca="false">H656*(1+IF(I$3&lt;=$O$2,$D656,$D656-($D656-$I$643)*MIN(I$3-$O$2,$Q$2)/$Q$2))</f>
        <v>9567.45675867409</v>
      </c>
      <c r="J656" s="15" t="n">
        <f aca="false">I656*(1+IF(J$3&lt;=$O$2,$D656,$D656-($D656-$I$643)*MIN(J$3-$O$2,$Q$2)/$Q$2))</f>
        <v>10483.9877229376</v>
      </c>
      <c r="K656" s="15" t="n">
        <f aca="false">J656*(1+IF(K$3&lt;=$O$2,$D656,$D656-($D656-$I$643)*MIN(K$3-$O$2,$Q$2)/$Q$2))</f>
        <v>11311.4106535319</v>
      </c>
      <c r="L656" s="15" t="n">
        <f aca="false">K656*(1+IF(L$3&lt;=$O$2,$D656,$D656-($D656-$I$643)*MIN(L$3-$O$2,$Q$2)/$Q$2))</f>
        <v>12013.2651268004</v>
      </c>
      <c r="M656" s="15" t="n">
        <f aca="false">L656*(1+IF(M$3&lt;=$O$2,$D656,$D656-($D656-$I$643)*MIN(M$3-$O$2,$Q$2)/$Q$2))</f>
        <v>12555.9545242721</v>
      </c>
      <c r="N656" s="15" t="n">
        <f aca="false">M656*(1+IF(N$3&lt;=$O$2,$D656,$D656-($D656-$I$643)*MIN(N$3-$O$2,$Q$2)/$Q$2))</f>
        <v>12911.288037309</v>
      </c>
      <c r="O656" s="15" t="n">
        <f aca="false">SUMPRODUCT(E656:N656,1/(1+$F$643)^$E$3:$N$3)*$E$2</f>
        <v>23148.2869168561</v>
      </c>
      <c r="P656" s="15" t="n">
        <f aca="false">N656*$E$2*(1+$I$643)/($F$643-$I$643)/(1+$F$643)^$N$3</f>
        <v>37812.2446738283</v>
      </c>
      <c r="Q656" s="15" t="n">
        <f aca="false">O656+P656</f>
        <v>60960.5315906844</v>
      </c>
      <c r="R656" s="15" t="n">
        <f aca="false">Q656-$G$2+$I$2</f>
        <v>52195.5315906844</v>
      </c>
      <c r="S656" s="40" t="n">
        <f aca="false">R656/$K$2</f>
        <v>93.3763848271573</v>
      </c>
      <c r="T656" s="41" t="n">
        <f aca="false">S656-$M$2</f>
        <v>-0.0974425011908267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0.1126708984375</v>
      </c>
      <c r="C657" s="25" t="n">
        <f aca="false">IF(T656&gt;0,D656,C656)</f>
        <v>0.113037109375</v>
      </c>
      <c r="D657" s="39" t="n">
        <f aca="false">(B657+C657)/2</f>
        <v>0.11285400390625</v>
      </c>
      <c r="E657" s="15" t="n">
        <f aca="false">$C$2*(1+IF(E$3&lt;=$O$2,$D657,$D657-($D657-$I$643)*MIN(E$3-$O$2,$Q$2)/$Q$2))</f>
        <v>6243.11096191406</v>
      </c>
      <c r="F657" s="15" t="n">
        <f aca="false">E657*(1+IF(F$3&lt;=$O$2,$D657,$D657-($D657-$I$643)*MIN(F$3-$O$2,$Q$2)/$Q$2))</f>
        <v>6947.67103079706</v>
      </c>
      <c r="G657" s="15" t="n">
        <f aca="false">F657*(1+IF(G$3&lt;=$O$2,$D657,$D657-($D657-$I$643)*MIN(G$3-$O$2,$Q$2)/$Q$2))</f>
        <v>7731.74352444598</v>
      </c>
      <c r="H657" s="15" t="n">
        <f aca="false">G657*(1+IF(H$3&lt;=$O$2,$D657,$D657-($D657-$I$643)*MIN(H$3-$O$2,$Q$2)/$Q$2))</f>
        <v>8604.30173835593</v>
      </c>
      <c r="I657" s="15" t="n">
        <f aca="false">H657*(1+IF(I$3&lt;=$O$2,$D657,$D657-($D657-$I$643)*MIN(I$3-$O$2,$Q$2)/$Q$2))</f>
        <v>9575.3316403469</v>
      </c>
      <c r="J657" s="15" t="n">
        <f aca="false">I657*(1+IF(J$3&lt;=$O$2,$D657,$D657-($D657-$I$643)*MIN(J$3-$O$2,$Q$2)/$Q$2))</f>
        <v>10494.0196289059</v>
      </c>
      <c r="K657" s="15" t="n">
        <f aca="false">J657*(1+IF(K$3&lt;=$O$2,$D657,$D657-($D657-$I$643)*MIN(K$3-$O$2,$Q$2)/$Q$2))</f>
        <v>11323.3872104208</v>
      </c>
      <c r="L657" s="15" t="n">
        <f aca="false">K657*(1+IF(L$3&lt;=$O$2,$D657,$D657-($D657-$I$643)*MIN(L$3-$O$2,$Q$2)/$Q$2))</f>
        <v>12026.8141590445</v>
      </c>
      <c r="M657" s="15" t="n">
        <f aca="false">L657*(1+IF(M$3&lt;=$O$2,$D657,$D657-($D657-$I$643)*MIN(M$3-$O$2,$Q$2)/$Q$2))</f>
        <v>12570.5560580222</v>
      </c>
      <c r="N657" s="15" t="n">
        <f aca="false">M657*(1+IF(N$3&lt;=$O$2,$D657,$D657-($D657-$I$643)*MIN(N$3-$O$2,$Q$2)/$Q$2))</f>
        <v>12926.3027944642</v>
      </c>
      <c r="O657" s="15" t="n">
        <f aca="false">SUMPRODUCT(E657:N657,1/(1+$F$643)^$E$3:$N$3)*$E$2</f>
        <v>23166.7533810713</v>
      </c>
      <c r="P657" s="15" t="n">
        <f aca="false">N657*$E$2*(1+$I$643)/($F$643-$I$643)/(1+$F$643)^$N$3</f>
        <v>37856.2171783244</v>
      </c>
      <c r="Q657" s="15" t="n">
        <f aca="false">O657+P657</f>
        <v>61022.9705593957</v>
      </c>
      <c r="R657" s="15" t="n">
        <f aca="false">Q657-$G$2+$I$2</f>
        <v>52257.9705593957</v>
      </c>
      <c r="S657" s="40" t="n">
        <f aca="false">R657/$K$2</f>
        <v>93.4880864420833</v>
      </c>
      <c r="T657" s="41" t="n">
        <f aca="false">S657-$M$2</f>
        <v>0.0142591137351786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0.1126708984375</v>
      </c>
      <c r="C658" s="25" t="n">
        <f aca="false">IF(T657&gt;0,D657,C657)</f>
        <v>0.11285400390625</v>
      </c>
      <c r="D658" s="39" t="n">
        <f aca="false">(B658+C658)/2</f>
        <v>0.112762451171875</v>
      </c>
      <c r="E658" s="15" t="n">
        <f aca="false">$C$2*(1+IF(E$3&lt;=$O$2,$D658,$D658-($D658-$I$643)*MIN(E$3-$O$2,$Q$2)/$Q$2))</f>
        <v>6242.59735107422</v>
      </c>
      <c r="F658" s="15" t="n">
        <f aca="false">E658*(1+IF(F$3&lt;=$O$2,$D658,$D658-($D658-$I$643)*MIN(F$3-$O$2,$Q$2)/$Q$2))</f>
        <v>6946.5279300604</v>
      </c>
      <c r="G658" s="15" t="n">
        <f aca="false">F658*(1+IF(G$3&lt;=$O$2,$D658,$D658-($D658-$I$643)*MIN(G$3-$O$2,$Q$2)/$Q$2))</f>
        <v>7729.8354465879</v>
      </c>
      <c r="H658" s="15" t="n">
        <f aca="false">G658*(1+IF(H$3&lt;=$O$2,$D658,$D658-($D658-$I$643)*MIN(H$3-$O$2,$Q$2)/$Q$2))</f>
        <v>8601.4706387004</v>
      </c>
      <c r="I658" s="15" t="n">
        <f aca="false">H658*(1+IF(I$3&lt;=$O$2,$D658,$D658-($D658-$I$643)*MIN(I$3-$O$2,$Q$2)/$Q$2))</f>
        <v>9571.39355160317</v>
      </c>
      <c r="J658" s="15" t="n">
        <f aca="false">I658*(1+IF(J$3&lt;=$O$2,$D658,$D658-($D658-$I$643)*MIN(J$3-$O$2,$Q$2)/$Q$2))</f>
        <v>10489.0026775128</v>
      </c>
      <c r="K658" s="15" t="n">
        <f aca="false">J658*(1+IF(K$3&lt;=$O$2,$D658,$D658-($D658-$I$643)*MIN(K$3-$O$2,$Q$2)/$Q$2))</f>
        <v>11317.3975791811</v>
      </c>
      <c r="L658" s="15" t="n">
        <f aca="false">K658*(1+IF(L$3&lt;=$O$2,$D658,$D658-($D658-$I$643)*MIN(L$3-$O$2,$Q$2)/$Q$2))</f>
        <v>12020.0379868416</v>
      </c>
      <c r="M658" s="15" t="n">
        <f aca="false">L658*(1+IF(M$3&lt;=$O$2,$D658,$D658-($D658-$I$643)*MIN(M$3-$O$2,$Q$2)/$Q$2))</f>
        <v>12563.2534361788</v>
      </c>
      <c r="N658" s="15" t="n">
        <f aca="false">M658*(1+IF(N$3&lt;=$O$2,$D658,$D658-($D658-$I$643)*MIN(N$3-$O$2,$Q$2)/$Q$2))</f>
        <v>12918.7935084226</v>
      </c>
      <c r="O658" s="15" t="n">
        <f aca="false">SUMPRODUCT(E658:N658,1/(1+$F$643)^$E$3:$N$3)*$E$2</f>
        <v>23157.5183286081</v>
      </c>
      <c r="P658" s="15" t="n">
        <f aca="false">N658*$E$2*(1+$I$643)/($F$643-$I$643)/(1+$F$643)^$N$3</f>
        <v>37834.2253398409</v>
      </c>
      <c r="Q658" s="15" t="n">
        <f aca="false">O658+P658</f>
        <v>60991.7436684489</v>
      </c>
      <c r="R658" s="15" t="n">
        <f aca="false">Q658-$G$2+$I$2</f>
        <v>52226.7436684489</v>
      </c>
      <c r="S658" s="40" t="n">
        <f aca="false">R658/$K$2</f>
        <v>93.4322223844305</v>
      </c>
      <c r="T658" s="41" t="n">
        <f aca="false">S658-$M$2</f>
        <v>-0.0416049439176192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0.112762451171875</v>
      </c>
      <c r="C659" s="25" t="n">
        <f aca="false">IF(T658&gt;0,D658,C658)</f>
        <v>0.11285400390625</v>
      </c>
      <c r="D659" s="39" t="n">
        <f aca="false">(B659+C659)/2</f>
        <v>0.112808227539063</v>
      </c>
      <c r="E659" s="15" t="n">
        <f aca="false">$C$2*(1+IF(E$3&lt;=$O$2,$D659,$D659-($D659-$I$643)*MIN(E$3-$O$2,$Q$2)/$Q$2))</f>
        <v>6242.85415649414</v>
      </c>
      <c r="F659" s="15" t="n">
        <f aca="false">E659*(1+IF(F$3&lt;=$O$2,$D659,$D659-($D659-$I$643)*MIN(F$3-$O$2,$Q$2)/$Q$2))</f>
        <v>6947.09946867311</v>
      </c>
      <c r="G659" s="15" t="n">
        <f aca="false">F659*(1+IF(G$3&lt;=$O$2,$D659,$D659-($D659-$I$643)*MIN(G$3-$O$2,$Q$2)/$Q$2))</f>
        <v>7730.78944627169</v>
      </c>
      <c r="H659" s="15" t="n">
        <f aca="false">G659*(1+IF(H$3&lt;=$O$2,$D659,$D659-($D659-$I$643)*MIN(H$3-$O$2,$Q$2)/$Q$2))</f>
        <v>8602.88610118329</v>
      </c>
      <c r="I659" s="15" t="n">
        <f aca="false">H659*(1+IF(I$3&lt;=$O$2,$D659,$D659-($D659-$I$643)*MIN(I$3-$O$2,$Q$2)/$Q$2))</f>
        <v>9573.36243397821</v>
      </c>
      <c r="J659" s="15" t="n">
        <f aca="false">I659*(1+IF(J$3&lt;=$O$2,$D659,$D659-($D659-$I$643)*MIN(J$3-$O$2,$Q$2)/$Q$2))</f>
        <v>10491.5109035674</v>
      </c>
      <c r="K659" s="15" t="n">
        <f aca="false">J659*(1+IF(K$3&lt;=$O$2,$D659,$D659-($D659-$I$643)*MIN(K$3-$O$2,$Q$2)/$Q$2))</f>
        <v>11320.3920565387</v>
      </c>
      <c r="L659" s="15" t="n">
        <f aca="false">K659*(1+IF(L$3&lt;=$O$2,$D659,$D659-($D659-$I$643)*MIN(L$3-$O$2,$Q$2)/$Q$2))</f>
        <v>12023.4256588369</v>
      </c>
      <c r="M659" s="15" t="n">
        <f aca="false">L659*(1+IF(M$3&lt;=$O$2,$D659,$D659-($D659-$I$643)*MIN(M$3-$O$2,$Q$2)/$Q$2))</f>
        <v>12566.9042832572</v>
      </c>
      <c r="N659" s="15" t="n">
        <f aca="false">M659*(1+IF(N$3&lt;=$O$2,$D659,$D659-($D659-$I$643)*MIN(N$3-$O$2,$Q$2)/$Q$2))</f>
        <v>12922.5476744734</v>
      </c>
      <c r="O659" s="15" t="n">
        <f aca="false">SUMPRODUCT(E659:N659,1/(1+$F$643)^$E$3:$N$3)*$E$2</f>
        <v>23162.135399668</v>
      </c>
      <c r="P659" s="15" t="n">
        <f aca="false">N659*$E$2*(1+$I$643)/($F$643-$I$643)/(1+$F$643)^$N$3</f>
        <v>37845.2198622191</v>
      </c>
      <c r="Q659" s="15" t="n">
        <f aca="false">O659+P659</f>
        <v>61007.3552618871</v>
      </c>
      <c r="R659" s="15" t="n">
        <f aca="false">Q659-$G$2+$I$2</f>
        <v>52242.3552618871</v>
      </c>
      <c r="S659" s="40" t="n">
        <f aca="false">R659/$K$2</f>
        <v>93.4601511000163</v>
      </c>
      <c r="T659" s="41" t="n">
        <f aca="false">S659-$M$2</f>
        <v>-0.0136762283318177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0.112808227539063</v>
      </c>
      <c r="C660" s="25" t="n">
        <f aca="false">IF(T659&gt;0,D659,C659)</f>
        <v>0.11285400390625</v>
      </c>
      <c r="D660" s="39" t="n">
        <f aca="false">(B660+C660)/2</f>
        <v>0.112831115722656</v>
      </c>
      <c r="E660" s="15" t="n">
        <f aca="false">$C$2*(1+IF(E$3&lt;=$O$2,$D660,$D660-($D660-$I$643)*MIN(E$3-$O$2,$Q$2)/$Q$2))</f>
        <v>6242.9825592041</v>
      </c>
      <c r="F660" s="15" t="n">
        <f aca="false">E660*(1+IF(F$3&lt;=$O$2,$D660,$D660-($D660-$I$643)*MIN(F$3-$O$2,$Q$2)/$Q$2))</f>
        <v>6947.38524679618</v>
      </c>
      <c r="G660" s="15" t="n">
        <f aca="false">F660*(1+IF(G$3&lt;=$O$2,$D660,$D660-($D660-$I$643)*MIN(G$3-$O$2,$Q$2)/$Q$2))</f>
        <v>7731.26647554732</v>
      </c>
      <c r="H660" s="15" t="n">
        <f aca="false">G660*(1+IF(H$3&lt;=$O$2,$D660,$D660-($D660-$I$643)*MIN(H$3-$O$2,$Q$2)/$Q$2))</f>
        <v>8603.59389793249</v>
      </c>
      <c r="I660" s="15" t="n">
        <f aca="false">H660*(1+IF(I$3&lt;=$O$2,$D660,$D660-($D660-$I$643)*MIN(I$3-$O$2,$Q$2)/$Q$2))</f>
        <v>9574.34699666085</v>
      </c>
      <c r="J660" s="15" t="n">
        <f aca="false">I660*(1+IF(J$3&lt;=$O$2,$D660,$D660-($D660-$I$643)*MIN(J$3-$O$2,$Q$2)/$Q$2))</f>
        <v>10492.7652038212</v>
      </c>
      <c r="K660" s="15" t="n">
        <f aca="false">J660*(1+IF(K$3&lt;=$O$2,$D660,$D660-($D660-$I$643)*MIN(K$3-$O$2,$Q$2)/$Q$2))</f>
        <v>11321.8895489063</v>
      </c>
      <c r="L660" s="15" t="n">
        <f aca="false">K660*(1+IF(L$3&lt;=$O$2,$D660,$D660-($D660-$I$643)*MIN(L$3-$O$2,$Q$2)/$Q$2))</f>
        <v>12025.1198054034</v>
      </c>
      <c r="M660" s="15" t="n">
        <f aca="false">L660*(1+IF(M$3&lt;=$O$2,$D660,$D660-($D660-$I$643)*MIN(M$3-$O$2,$Q$2)/$Q$2))</f>
        <v>12568.7300546662</v>
      </c>
      <c r="N660" s="15" t="n">
        <f aca="false">M660*(1+IF(N$3&lt;=$O$2,$D660,$D660-($D660-$I$643)*MIN(N$3-$O$2,$Q$2)/$Q$2))</f>
        <v>12924.4251152133</v>
      </c>
      <c r="O660" s="15" t="n">
        <f aca="false">SUMPRODUCT(E660:N660,1/(1+$F$643)^$E$3:$N$3)*$E$2</f>
        <v>23164.4442765664</v>
      </c>
      <c r="P660" s="15" t="n">
        <f aca="false">N660*$E$2*(1+$I$643)/($F$643-$I$643)/(1+$F$643)^$N$3</f>
        <v>37850.7181710177</v>
      </c>
      <c r="Q660" s="15" t="n">
        <f aca="false">O660+P660</f>
        <v>61015.1624475841</v>
      </c>
      <c r="R660" s="15" t="n">
        <f aca="false">Q660-$G$2+$I$2</f>
        <v>52250.1624475841</v>
      </c>
      <c r="S660" s="40" t="n">
        <f aca="false">R660/$K$2</f>
        <v>93.474117942653</v>
      </c>
      <c r="T660" s="41" t="n">
        <f aca="false">S660-$M$2</f>
        <v>0.000290614304873316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0.112808227539063</v>
      </c>
      <c r="C661" s="25" t="n">
        <f aca="false">IF(T660&gt;0,D660,C660)</f>
        <v>0.112831115722656</v>
      </c>
      <c r="D661" s="39" t="n">
        <f aca="false">(B661+C661)/2</f>
        <v>0.112819671630859</v>
      </c>
      <c r="E661" s="15" t="n">
        <f aca="false">$C$2*(1+IF(E$3&lt;=$O$2,$D661,$D661-($D661-$I$643)*MIN(E$3-$O$2,$Q$2)/$Q$2))</f>
        <v>6242.91835784912</v>
      </c>
      <c r="F661" s="15" t="n">
        <f aca="false">E661*(1+IF(F$3&lt;=$O$2,$D661,$D661-($D661-$I$643)*MIN(F$3-$O$2,$Q$2)/$Q$2))</f>
        <v>6947.24235699992</v>
      </c>
      <c r="G661" s="15" t="n">
        <f aca="false">F661*(1+IF(G$3&lt;=$O$2,$D661,$D661-($D661-$I$643)*MIN(G$3-$O$2,$Q$2)/$Q$2))</f>
        <v>7731.02795845665</v>
      </c>
      <c r="H661" s="15" t="n">
        <f aca="false">G661*(1+IF(H$3&lt;=$O$2,$D661,$D661-($D661-$I$643)*MIN(H$3-$O$2,$Q$2)/$Q$2))</f>
        <v>8603.23999409872</v>
      </c>
      <c r="I661" s="15" t="n">
        <f aca="false">H661*(1+IF(I$3&lt;=$O$2,$D661,$D661-($D661-$I$643)*MIN(I$3-$O$2,$Q$2)/$Q$2))</f>
        <v>9573.85470519442</v>
      </c>
      <c r="J661" s="15" t="n">
        <f aca="false">I661*(1+IF(J$3&lt;=$O$2,$D661,$D661-($D661-$I$643)*MIN(J$3-$O$2,$Q$2)/$Q$2))</f>
        <v>10492.1380380911</v>
      </c>
      <c r="K661" s="15" t="n">
        <f aca="false">J661*(1+IF(K$3&lt;=$O$2,$D661,$D661-($D661-$I$643)*MIN(K$3-$O$2,$Q$2)/$Q$2))</f>
        <v>11321.1407815801</v>
      </c>
      <c r="L661" s="15" t="n">
        <f aca="false">K661*(1+IF(L$3&lt;=$O$2,$D661,$D661-($D661-$I$643)*MIN(L$3-$O$2,$Q$2)/$Q$2))</f>
        <v>12024.2727062372</v>
      </c>
      <c r="M661" s="15" t="n">
        <f aca="false">L661*(1+IF(M$3&lt;=$O$2,$D661,$D661-($D661-$I$643)*MIN(M$3-$O$2,$Q$2)/$Q$2))</f>
        <v>12567.8171399699</v>
      </c>
      <c r="N661" s="15" t="n">
        <f aca="false">M661*(1+IF(N$3&lt;=$O$2,$D661,$D661-($D661-$I$643)*MIN(N$3-$O$2,$Q$2)/$Q$2))</f>
        <v>12923.4863650311</v>
      </c>
      <c r="O661" s="15" t="n">
        <f aca="false">SUMPRODUCT(E661:N661,1/(1+$F$643)^$E$3:$N$3)*$E$2</f>
        <v>23163.2898096677</v>
      </c>
      <c r="P661" s="15" t="n">
        <f aca="false">N661*$E$2*(1+$I$643)/($F$643-$I$643)/(1+$F$643)^$N$3</f>
        <v>37847.9689293097</v>
      </c>
      <c r="Q661" s="15" t="n">
        <f aca="false">O661+P661</f>
        <v>61011.2587389774</v>
      </c>
      <c r="R661" s="15" t="n">
        <f aca="false">Q661-$G$2+$I$2</f>
        <v>52246.2587389774</v>
      </c>
      <c r="S661" s="40" t="n">
        <f aca="false">R661/$K$2</f>
        <v>93.4671343142463</v>
      </c>
      <c r="T661" s="41" t="n">
        <f aca="false">S661-$M$2</f>
        <v>-0.00669301410182754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0.112819671630859</v>
      </c>
      <c r="C662" s="25" t="n">
        <f aca="false">IF(T661&gt;0,D661,C661)</f>
        <v>0.112831115722656</v>
      </c>
      <c r="D662" s="39" t="n">
        <f aca="false">(B662+C662)/2</f>
        <v>0.112825393676758</v>
      </c>
      <c r="E662" s="15" t="n">
        <f aca="false">$C$2*(1+IF(E$3&lt;=$O$2,$D662,$D662-($D662-$I$643)*MIN(E$3-$O$2,$Q$2)/$Q$2))</f>
        <v>6242.95045852661</v>
      </c>
      <c r="F662" s="15" t="n">
        <f aca="false">E662*(1+IF(F$3&lt;=$O$2,$D662,$D662-($D662-$I$643)*MIN(F$3-$O$2,$Q$2)/$Q$2))</f>
        <v>6947.31380171437</v>
      </c>
      <c r="G662" s="15" t="n">
        <f aca="false">F662*(1+IF(G$3&lt;=$O$2,$D662,$D662-($D662-$I$643)*MIN(G$3-$O$2,$Q$2)/$Q$2))</f>
        <v>7731.14721638877</v>
      </c>
      <c r="H662" s="15" t="n">
        <f aca="false">G662*(1+IF(H$3&lt;=$O$2,$D662,$D662-($D662-$I$643)*MIN(H$3-$O$2,$Q$2)/$Q$2))</f>
        <v>8603.4169446508</v>
      </c>
      <c r="I662" s="15" t="n">
        <f aca="false">H662*(1+IF(I$3&lt;=$O$2,$D662,$D662-($D662-$I$643)*MIN(I$3-$O$2,$Q$2)/$Q$2))</f>
        <v>9574.10084839632</v>
      </c>
      <c r="J662" s="15" t="n">
        <f aca="false">I662*(1+IF(J$3&lt;=$O$2,$D662,$D662-($D662-$I$643)*MIN(J$3-$O$2,$Q$2)/$Q$2))</f>
        <v>10492.4516170553</v>
      </c>
      <c r="K662" s="15" t="n">
        <f aca="false">J662*(1+IF(K$3&lt;=$O$2,$D662,$D662-($D662-$I$643)*MIN(K$3-$O$2,$Q$2)/$Q$2))</f>
        <v>11321.5151599575</v>
      </c>
      <c r="L662" s="15" t="n">
        <f aca="false">K662*(1+IF(L$3&lt;=$O$2,$D662,$D662-($D662-$I$643)*MIN(L$3-$O$2,$Q$2)/$Q$2))</f>
        <v>12024.6962493494</v>
      </c>
      <c r="M662" s="15" t="n">
        <f aca="false">L662*(1+IF(M$3&lt;=$O$2,$D662,$D662-($D662-$I$643)*MIN(M$3-$O$2,$Q$2)/$Q$2))</f>
        <v>12568.2735900699</v>
      </c>
      <c r="N662" s="15" t="n">
        <f aca="false">M662*(1+IF(N$3&lt;=$O$2,$D662,$D662-($D662-$I$643)*MIN(N$3-$O$2,$Q$2)/$Q$2))</f>
        <v>12923.9557326689</v>
      </c>
      <c r="O662" s="15" t="n">
        <f aca="false">SUMPRODUCT(E662:N662,1/(1+$F$643)^$E$3:$N$3)*$E$2</f>
        <v>23163.8670360045</v>
      </c>
      <c r="P662" s="15" t="n">
        <f aca="false">N662*$E$2*(1+$I$643)/($F$643-$I$643)/(1+$F$643)^$N$3</f>
        <v>37849.3435283359</v>
      </c>
      <c r="Q662" s="15" t="n">
        <f aca="false">O662+P662</f>
        <v>61013.2105643404</v>
      </c>
      <c r="R662" s="15" t="n">
        <f aca="false">Q662-$G$2+$I$2</f>
        <v>52248.2105643404</v>
      </c>
      <c r="S662" s="40" t="n">
        <f aca="false">R662/$K$2</f>
        <v>93.4706260766762</v>
      </c>
      <c r="T662" s="41" t="n">
        <f aca="false">S662-$M$2</f>
        <v>-0.00320125167192487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0.112825393676758</v>
      </c>
      <c r="C663" s="25" t="n">
        <f aca="false">IF(T662&gt;0,D662,C662)</f>
        <v>0.112831115722656</v>
      </c>
      <c r="D663" s="39" t="n">
        <f aca="false">(B663+C663)/2</f>
        <v>0.112828254699707</v>
      </c>
      <c r="E663" s="15" t="n">
        <f aca="false">$C$2*(1+IF(E$3&lt;=$O$2,$D663,$D663-($D663-$I$643)*MIN(E$3-$O$2,$Q$2)/$Q$2))</f>
        <v>6242.96650886536</v>
      </c>
      <c r="F663" s="15" t="n">
        <f aca="false">E663*(1+IF(F$3&lt;=$O$2,$D663,$D663-($D663-$I$643)*MIN(F$3-$O$2,$Q$2)/$Q$2))</f>
        <v>6947.34952420936</v>
      </c>
      <c r="G663" s="15" t="n">
        <f aca="false">F663*(1+IF(G$3&lt;=$O$2,$D663,$D663-($D663-$I$643)*MIN(G$3-$O$2,$Q$2)/$Q$2))</f>
        <v>7731.20684581474</v>
      </c>
      <c r="H663" s="15" t="n">
        <f aca="false">G663*(1+IF(H$3&lt;=$O$2,$D663,$D663-($D663-$I$643)*MIN(H$3-$O$2,$Q$2)/$Q$2))</f>
        <v>8603.50542095044</v>
      </c>
      <c r="I663" s="15" t="n">
        <f aca="false">H663*(1+IF(I$3&lt;=$O$2,$D663,$D663-($D663-$I$643)*MIN(I$3-$O$2,$Q$2)/$Q$2))</f>
        <v>9574.22392189575</v>
      </c>
      <c r="J663" s="15" t="n">
        <f aca="false">I663*(1+IF(J$3&lt;=$O$2,$D663,$D663-($D663-$I$643)*MIN(J$3-$O$2,$Q$2)/$Q$2))</f>
        <v>10492.608409463</v>
      </c>
      <c r="K663" s="15" t="n">
        <f aca="false">J663*(1+IF(K$3&lt;=$O$2,$D663,$D663-($D663-$I$643)*MIN(K$3-$O$2,$Q$2)/$Q$2))</f>
        <v>11321.7023531105</v>
      </c>
      <c r="L663" s="15" t="n">
        <f aca="false">K663*(1+IF(L$3&lt;=$O$2,$D663,$D663-($D663-$I$643)*MIN(L$3-$O$2,$Q$2)/$Q$2))</f>
        <v>12024.9080257587</v>
      </c>
      <c r="M663" s="15" t="n">
        <f aca="false">L663*(1+IF(M$3&lt;=$O$2,$D663,$D663-($D663-$I$643)*MIN(M$3-$O$2,$Q$2)/$Q$2))</f>
        <v>12568.501820556</v>
      </c>
      <c r="N663" s="15" t="n">
        <f aca="false">M663*(1+IF(N$3&lt;=$O$2,$D663,$D663-($D663-$I$643)*MIN(N$3-$O$2,$Q$2)/$Q$2))</f>
        <v>12924.1904220778</v>
      </c>
      <c r="O663" s="15" t="n">
        <f aca="false">SUMPRODUCT(E663:N663,1/(1+$F$643)^$E$3:$N$3)*$E$2</f>
        <v>23164.1556545073</v>
      </c>
      <c r="P663" s="15" t="n">
        <f aca="false">N663*$E$2*(1+$I$643)/($F$643-$I$643)/(1+$F$643)^$N$3</f>
        <v>37850.0308442198</v>
      </c>
      <c r="Q663" s="15" t="n">
        <f aca="false">O663+P663</f>
        <v>61014.1864987271</v>
      </c>
      <c r="R663" s="15" t="n">
        <f aca="false">Q663-$G$2+$I$2</f>
        <v>52249.1864987271</v>
      </c>
      <c r="S663" s="40" t="n">
        <f aca="false">R663/$K$2</f>
        <v>93.472371996721</v>
      </c>
      <c r="T663" s="41" t="n">
        <f aca="false">S663-$M$2</f>
        <v>-0.00145533162707068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0.112828254699707</v>
      </c>
      <c r="C664" s="25" t="n">
        <f aca="false">IF(T663&gt;0,D663,C663)</f>
        <v>0.112831115722656</v>
      </c>
      <c r="D664" s="39" t="n">
        <f aca="false">(B664+C664)/2</f>
        <v>0.112829685211182</v>
      </c>
      <c r="E664" s="15" t="n">
        <f aca="false">$C$2*(1+IF(E$3&lt;=$O$2,$D664,$D664-($D664-$I$643)*MIN(E$3-$O$2,$Q$2)/$Q$2))</f>
        <v>6242.97453403473</v>
      </c>
      <c r="F664" s="15" t="n">
        <f aca="false">E664*(1+IF(F$3&lt;=$O$2,$D664,$D664-($D664-$I$643)*MIN(F$3-$O$2,$Q$2)/$Q$2))</f>
        <v>6947.36738549129</v>
      </c>
      <c r="G664" s="15" t="n">
        <f aca="false">F664*(1+IF(G$3&lt;=$O$2,$D664,$D664-($D664-$I$643)*MIN(G$3-$O$2,$Q$2)/$Q$2))</f>
        <v>7731.2366606427</v>
      </c>
      <c r="H664" s="15" t="n">
        <f aca="false">G664*(1+IF(H$3&lt;=$O$2,$D664,$D664-($D664-$I$643)*MIN(H$3-$O$2,$Q$2)/$Q$2))</f>
        <v>8603.54965935617</v>
      </c>
      <c r="I664" s="15" t="n">
        <f aca="false">H664*(1+IF(I$3&lt;=$O$2,$D664,$D664-($D664-$I$643)*MIN(I$3-$O$2,$Q$2)/$Q$2))</f>
        <v>9574.28545912009</v>
      </c>
      <c r="J664" s="15" t="n">
        <f aca="false">I664*(1+IF(J$3&lt;=$O$2,$D664,$D664-($D664-$I$643)*MIN(J$3-$O$2,$Q$2)/$Q$2))</f>
        <v>10492.6868063983</v>
      </c>
      <c r="K664" s="15" t="n">
        <f aca="false">J664*(1+IF(K$3&lt;=$O$2,$D664,$D664-($D664-$I$643)*MIN(K$3-$O$2,$Q$2)/$Q$2))</f>
        <v>11321.795950678</v>
      </c>
      <c r="L664" s="15" t="n">
        <f aca="false">K664*(1+IF(L$3&lt;=$O$2,$D664,$D664-($D664-$I$643)*MIN(L$3-$O$2,$Q$2)/$Q$2))</f>
        <v>12025.0139151766</v>
      </c>
      <c r="M664" s="15" t="n">
        <f aca="false">L664*(1+IF(M$3&lt;=$O$2,$D664,$D664-($D664-$I$643)*MIN(M$3-$O$2,$Q$2)/$Q$2))</f>
        <v>12568.6159371581</v>
      </c>
      <c r="N664" s="15" t="n">
        <f aca="false">M664*(1+IF(N$3&lt;=$O$2,$D664,$D664-($D664-$I$643)*MIN(N$3-$O$2,$Q$2)/$Q$2))</f>
        <v>12924.3077681797</v>
      </c>
      <c r="O664" s="15" t="n">
        <f aca="false">SUMPRODUCT(E664:N664,1/(1+$F$643)^$E$3:$N$3)*$E$2</f>
        <v>23164.2999650923</v>
      </c>
      <c r="P664" s="15" t="n">
        <f aca="false">N664*$E$2*(1+$I$643)/($F$643-$I$643)/(1+$F$643)^$N$3</f>
        <v>37850.3745062545</v>
      </c>
      <c r="Q664" s="15" t="n">
        <f aca="false">O664+P664</f>
        <v>61014.6744713468</v>
      </c>
      <c r="R664" s="15" t="n">
        <f aca="false">Q664-$G$2+$I$2</f>
        <v>52249.6744713468</v>
      </c>
      <c r="S664" s="40" t="n">
        <f aca="false">R664/$K$2</f>
        <v>93.4732449664511</v>
      </c>
      <c r="T664" s="41" t="n">
        <f aca="false">S664-$M$2</f>
        <v>-0.00058236189700267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0.112829685211182</v>
      </c>
      <c r="C665" s="25" t="n">
        <f aca="false">IF(T664&gt;0,D664,C664)</f>
        <v>0.112831115722656</v>
      </c>
      <c r="D665" s="39" t="n">
        <f aca="false">(B665+C665)/2</f>
        <v>0.112830400466919</v>
      </c>
      <c r="E665" s="15" t="n">
        <f aca="false">$C$2*(1+IF(E$3&lt;=$O$2,$D665,$D665-($D665-$I$643)*MIN(E$3-$O$2,$Q$2)/$Q$2))</f>
        <v>6242.97854661942</v>
      </c>
      <c r="F665" s="15" t="n">
        <f aca="false">E665*(1+IF(F$3&lt;=$O$2,$D665,$D665-($D665-$I$643)*MIN(F$3-$O$2,$Q$2)/$Q$2))</f>
        <v>6947.37631614087</v>
      </c>
      <c r="G665" s="15" t="n">
        <f aca="false">F665*(1+IF(G$3&lt;=$O$2,$D665,$D665-($D665-$I$643)*MIN(G$3-$O$2,$Q$2)/$Q$2))</f>
        <v>7731.25156808543</v>
      </c>
      <c r="H665" s="15" t="n">
        <f aca="false">G665*(1+IF(H$3&lt;=$O$2,$D665,$D665-($D665-$I$643)*MIN(H$3-$O$2,$Q$2)/$Q$2))</f>
        <v>8603.57177862301</v>
      </c>
      <c r="I665" s="15" t="n">
        <f aca="false">H665*(1+IF(I$3&lt;=$O$2,$D665,$D665-($D665-$I$643)*MIN(I$3-$O$2,$Q$2)/$Q$2))</f>
        <v>9574.31622785092</v>
      </c>
      <c r="J665" s="15" t="n">
        <f aca="false">I665*(1+IF(J$3&lt;=$O$2,$D665,$D665-($D665-$I$643)*MIN(J$3-$O$2,$Q$2)/$Q$2))</f>
        <v>10492.7260050488</v>
      </c>
      <c r="K665" s="15" t="n">
        <f aca="false">J665*(1+IF(K$3&lt;=$O$2,$D665,$D665-($D665-$I$643)*MIN(K$3-$O$2,$Q$2)/$Q$2))</f>
        <v>11321.8427497096</v>
      </c>
      <c r="L665" s="15" t="n">
        <f aca="false">K665*(1+IF(L$3&lt;=$O$2,$D665,$D665-($D665-$I$643)*MIN(L$3-$O$2,$Q$2)/$Q$2))</f>
        <v>12025.0668601889</v>
      </c>
      <c r="M665" s="15" t="n">
        <f aca="false">L665*(1+IF(M$3&lt;=$O$2,$D665,$D665-($D665-$I$643)*MIN(M$3-$O$2,$Q$2)/$Q$2))</f>
        <v>12568.6729957989</v>
      </c>
      <c r="N665" s="15" t="n">
        <f aca="false">M665*(1+IF(N$3&lt;=$O$2,$D665,$D665-($D665-$I$643)*MIN(N$3-$O$2,$Q$2)/$Q$2))</f>
        <v>12924.36644158</v>
      </c>
      <c r="O665" s="15" t="n">
        <f aca="false">SUMPRODUCT(E665:N665,1/(1+$F$643)^$E$3:$N$3)*$E$2</f>
        <v>23164.3721207182</v>
      </c>
      <c r="P665" s="15" t="n">
        <f aca="false">N665*$E$2*(1+$I$643)/($F$643-$I$643)/(1+$F$643)^$N$3</f>
        <v>37850.5463382951</v>
      </c>
      <c r="Q665" s="15" t="n">
        <f aca="false">O665+P665</f>
        <v>61014.9184590133</v>
      </c>
      <c r="R665" s="15" t="n">
        <f aca="false">Q665-$G$2+$I$2</f>
        <v>52249.9184590133</v>
      </c>
      <c r="S665" s="40" t="n">
        <f aca="false">R665/$K$2</f>
        <v>93.4736814537431</v>
      </c>
      <c r="T665" s="41" t="n">
        <f aca="false">S665-$M$2</f>
        <v>-0.000145874605024687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0.112830400466919</v>
      </c>
      <c r="C666" s="25" t="n">
        <f aca="false">IF(T665&gt;0,D665,C665)</f>
        <v>0.112831115722656</v>
      </c>
      <c r="D666" s="39" t="n">
        <f aca="false">(B666+C666)/2</f>
        <v>0.112830758094788</v>
      </c>
      <c r="E666" s="15" t="n">
        <f aca="false">$C$2*(1+IF(E$3&lt;=$O$2,$D666,$D666-($D666-$I$643)*MIN(E$3-$O$2,$Q$2)/$Q$2))</f>
        <v>6242.98055291176</v>
      </c>
      <c r="F666" s="15" t="n">
        <f aca="false">E666*(1+IF(F$3&lt;=$O$2,$D666,$D666-($D666-$I$643)*MIN(F$3-$O$2,$Q$2)/$Q$2))</f>
        <v>6947.38078146781</v>
      </c>
      <c r="G666" s="15" t="n">
        <f aca="false">F666*(1+IF(G$3&lt;=$O$2,$D666,$D666-($D666-$I$643)*MIN(G$3-$O$2,$Q$2)/$Q$2))</f>
        <v>7731.25902181398</v>
      </c>
      <c r="H666" s="15" t="n">
        <f aca="false">G666*(1+IF(H$3&lt;=$O$2,$D666,$D666-($D666-$I$643)*MIN(H$3-$O$2,$Q$2)/$Q$2))</f>
        <v>8603.58283827242</v>
      </c>
      <c r="I666" s="15" t="n">
        <f aca="false">H666*(1+IF(I$3&lt;=$O$2,$D666,$D666-($D666-$I$643)*MIN(I$3-$O$2,$Q$2)/$Q$2))</f>
        <v>9574.331612246</v>
      </c>
      <c r="J666" s="15" t="n">
        <f aca="false">I666*(1+IF(J$3&lt;=$O$2,$D666,$D666-($D666-$I$643)*MIN(J$3-$O$2,$Q$2)/$Q$2))</f>
        <v>10492.7456044198</v>
      </c>
      <c r="K666" s="15" t="n">
        <f aca="false">J666*(1+IF(K$3&lt;=$O$2,$D666,$D666-($D666-$I$643)*MIN(K$3-$O$2,$Q$2)/$Q$2))</f>
        <v>11321.8661492873</v>
      </c>
      <c r="L666" s="15" t="n">
        <f aca="false">K666*(1+IF(L$3&lt;=$O$2,$D666,$D666-($D666-$I$643)*MIN(L$3-$O$2,$Q$2)/$Q$2))</f>
        <v>12025.0933327709</v>
      </c>
      <c r="M666" s="15" t="n">
        <f aca="false">L666*(1+IF(M$3&lt;=$O$2,$D666,$D666-($D666-$I$643)*MIN(M$3-$O$2,$Q$2)/$Q$2))</f>
        <v>12568.7015252043</v>
      </c>
      <c r="N666" s="15" t="n">
        <f aca="false">M666*(1+IF(N$3&lt;=$O$2,$D666,$D666-($D666-$I$643)*MIN(N$3-$O$2,$Q$2)/$Q$2))</f>
        <v>12924.3957783675</v>
      </c>
      <c r="O666" s="15" t="n">
        <f aca="false">SUMPRODUCT(E666:N666,1/(1+$F$643)^$E$3:$N$3)*$E$2</f>
        <v>23164.4081986145</v>
      </c>
      <c r="P666" s="15" t="n">
        <f aca="false">N666*$E$2*(1+$I$643)/($F$643-$I$643)/(1+$F$643)^$N$3</f>
        <v>37850.6322545711</v>
      </c>
      <c r="Q666" s="15" t="n">
        <f aca="false">O666+P666</f>
        <v>61015.0404531857</v>
      </c>
      <c r="R666" s="15" t="n">
        <f aca="false">Q666-$G$2+$I$2</f>
        <v>52250.0404531857</v>
      </c>
      <c r="S666" s="40" t="n">
        <f aca="false">R666/$K$2</f>
        <v>93.4738996979958</v>
      </c>
      <c r="T666" s="41" t="n">
        <f aca="false">S666-$M$2</f>
        <v>7.23696476683244E-005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0.112830400466919</v>
      </c>
      <c r="C667" s="25" t="n">
        <f aca="false">IF(T666&gt;0,D666,C666)</f>
        <v>0.112830758094788</v>
      </c>
      <c r="D667" s="39" t="n">
        <f aca="false">(B667+C667)/2</f>
        <v>0.112830579280853</v>
      </c>
      <c r="E667" s="15" t="n">
        <f aca="false">$C$2*(1+IF(E$3&lt;=$O$2,$D667,$D667-($D667-$I$643)*MIN(E$3-$O$2,$Q$2)/$Q$2))</f>
        <v>6242.97954976559</v>
      </c>
      <c r="F667" s="15" t="n">
        <f aca="false">E667*(1+IF(F$3&lt;=$O$2,$D667,$D667-($D667-$I$643)*MIN(F$3-$O$2,$Q$2)/$Q$2))</f>
        <v>6947.37854880416</v>
      </c>
      <c r="G667" s="15" t="n">
        <f aca="false">F667*(1+IF(G$3&lt;=$O$2,$D667,$D667-($D667-$I$643)*MIN(G$3-$O$2,$Q$2)/$Q$2))</f>
        <v>7731.25529494911</v>
      </c>
      <c r="H667" s="15" t="n">
        <f aca="false">G667*(1+IF(H$3&lt;=$O$2,$D667,$D667-($D667-$I$643)*MIN(H$3-$O$2,$Q$2)/$Q$2))</f>
        <v>8603.57730844638</v>
      </c>
      <c r="I667" s="15" t="n">
        <f aca="false">H667*(1+IF(I$3&lt;=$O$2,$D667,$D667-($D667-$I$643)*MIN(I$3-$O$2,$Q$2)/$Q$2))</f>
        <v>9574.32392004599</v>
      </c>
      <c r="J667" s="15" t="n">
        <f aca="false">I667*(1+IF(J$3&lt;=$O$2,$D667,$D667-($D667-$I$643)*MIN(J$3-$O$2,$Q$2)/$Q$2))</f>
        <v>10492.7358047305</v>
      </c>
      <c r="K667" s="15" t="n">
        <f aca="false">J667*(1+IF(K$3&lt;=$O$2,$D667,$D667-($D667-$I$643)*MIN(K$3-$O$2,$Q$2)/$Q$2))</f>
        <v>11321.8544494933</v>
      </c>
      <c r="L667" s="15" t="n">
        <f aca="false">K667*(1+IF(L$3&lt;=$O$2,$D667,$D667-($D667-$I$643)*MIN(L$3-$O$2,$Q$2)/$Q$2))</f>
        <v>12025.0800964736</v>
      </c>
      <c r="M667" s="15" t="n">
        <f aca="false">L667*(1+IF(M$3&lt;=$O$2,$D667,$D667-($D667-$I$643)*MIN(M$3-$O$2,$Q$2)/$Q$2))</f>
        <v>12568.6872604945</v>
      </c>
      <c r="N667" s="15" t="n">
        <f aca="false">M667*(1+IF(N$3&lt;=$O$2,$D667,$D667-($D667-$I$643)*MIN(N$3-$O$2,$Q$2)/$Q$2))</f>
        <v>12924.3811099665</v>
      </c>
      <c r="O667" s="15" t="n">
        <f aca="false">SUMPRODUCT(E667:N667,1/(1+$F$643)^$E$3:$N$3)*$E$2</f>
        <v>23164.3901596594</v>
      </c>
      <c r="P667" s="15" t="n">
        <f aca="false">N667*$E$2*(1+$I$643)/($F$643-$I$643)/(1+$F$643)^$N$3</f>
        <v>37850.5892964118</v>
      </c>
      <c r="Q667" s="15" t="n">
        <f aca="false">O667+P667</f>
        <v>61014.9794560712</v>
      </c>
      <c r="R667" s="15" t="n">
        <f aca="false">Q667-$G$2+$I$2</f>
        <v>52249.9794560712</v>
      </c>
      <c r="S667" s="40" t="n">
        <f aca="false">R667/$K$2</f>
        <v>93.4737905758188</v>
      </c>
      <c r="T667" s="41" t="n">
        <f aca="false">S667-$M$2</f>
        <v>-3.67525292404025E-005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0.112830579280853</v>
      </c>
      <c r="C668" s="25" t="n">
        <f aca="false">IF(T667&gt;0,D667,C667)</f>
        <v>0.112830758094788</v>
      </c>
      <c r="D668" s="39" t="n">
        <f aca="false">(B668+C668)/2</f>
        <v>0.11283066868782</v>
      </c>
      <c r="E668" s="15" t="n">
        <f aca="false">$C$2*(1+IF(E$3&lt;=$O$2,$D668,$D668-($D668-$I$643)*MIN(E$3-$O$2,$Q$2)/$Q$2))</f>
        <v>6242.98005133867</v>
      </c>
      <c r="F668" s="15" t="n">
        <f aca="false">E668*(1+IF(F$3&lt;=$O$2,$D668,$D668-($D668-$I$643)*MIN(F$3-$O$2,$Q$2)/$Q$2))</f>
        <v>6947.37966513594</v>
      </c>
      <c r="G668" s="15" t="n">
        <f aca="false">F668*(1+IF(G$3&lt;=$O$2,$D668,$D668-($D668-$I$643)*MIN(G$3-$O$2,$Q$2)/$Q$2))</f>
        <v>7731.25715838139</v>
      </c>
      <c r="H668" s="15" t="n">
        <f aca="false">G668*(1+IF(H$3&lt;=$O$2,$D668,$D668-($D668-$I$643)*MIN(H$3-$O$2,$Q$2)/$Q$2))</f>
        <v>8603.58007335906</v>
      </c>
      <c r="I668" s="15" t="n">
        <f aca="false">H668*(1+IF(I$3&lt;=$O$2,$D668,$D668-($D668-$I$643)*MIN(I$3-$O$2,$Q$2)/$Q$2))</f>
        <v>9574.32776614537</v>
      </c>
      <c r="J668" s="15" t="n">
        <f aca="false">I668*(1+IF(J$3&lt;=$O$2,$D668,$D668-($D668-$I$643)*MIN(J$3-$O$2,$Q$2)/$Q$2))</f>
        <v>10492.7407045742</v>
      </c>
      <c r="K668" s="15" t="n">
        <f aca="false">J668*(1+IF(K$3&lt;=$O$2,$D668,$D668-($D668-$I$643)*MIN(K$3-$O$2,$Q$2)/$Q$2))</f>
        <v>11321.860299389</v>
      </c>
      <c r="L668" s="15" t="n">
        <f aca="false">K668*(1+IF(L$3&lt;=$O$2,$D668,$D668-($D668-$I$643)*MIN(L$3-$O$2,$Q$2)/$Q$2))</f>
        <v>12025.0867146207</v>
      </c>
      <c r="M668" s="15" t="n">
        <f aca="false">L668*(1+IF(M$3&lt;=$O$2,$D668,$D668-($D668-$I$643)*MIN(M$3-$O$2,$Q$2)/$Q$2))</f>
        <v>12568.6943928476</v>
      </c>
      <c r="N668" s="15" t="n">
        <f aca="false">M668*(1+IF(N$3&lt;=$O$2,$D668,$D668-($D668-$I$643)*MIN(N$3-$O$2,$Q$2)/$Q$2))</f>
        <v>12924.3884441652</v>
      </c>
      <c r="O668" s="15" t="n">
        <f aca="false">SUMPRODUCT(E668:N668,1/(1+$F$643)^$E$3:$N$3)*$E$2</f>
        <v>23164.3991791353</v>
      </c>
      <c r="P668" s="15" t="n">
        <f aca="false">N668*$E$2*(1+$I$643)/($F$643-$I$643)/(1+$F$643)^$N$3</f>
        <v>37850.6107754861</v>
      </c>
      <c r="Q668" s="15" t="n">
        <f aca="false">O668+P668</f>
        <v>61015.0099546214</v>
      </c>
      <c r="R668" s="15" t="n">
        <f aca="false">Q668-$G$2+$I$2</f>
        <v>52250.0099546214</v>
      </c>
      <c r="S668" s="40" t="n">
        <f aca="false">R668/$K$2</f>
        <v>93.4738451368947</v>
      </c>
      <c r="T668" s="41" t="n">
        <f aca="false">S668-$M$2</f>
        <v>1.78085465876165E-005</v>
      </c>
    </row>
    <row r="670" customFormat="false" ht="15" hidden="false" customHeight="false" outlineLevel="0" collapsed="false">
      <c r="A670" s="36" t="s">
        <v>210</v>
      </c>
      <c r="E670" s="5" t="s">
        <v>11</v>
      </c>
      <c r="F670" s="12" t="n">
        <f aca="false">Sensitivity!$B$14</f>
        <v>0.086736031552909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6" t="s">
        <v>167</v>
      </c>
      <c r="B671" s="28" t="s">
        <v>168</v>
      </c>
      <c r="C671" s="28" t="s">
        <v>169</v>
      </c>
      <c r="D671" s="28" t="s">
        <v>170</v>
      </c>
      <c r="E671" s="28" t="s">
        <v>171</v>
      </c>
      <c r="F671" s="28" t="s">
        <v>172</v>
      </c>
      <c r="G671" s="28" t="s">
        <v>173</v>
      </c>
      <c r="H671" s="28" t="s">
        <v>174</v>
      </c>
      <c r="I671" s="28" t="s">
        <v>175</v>
      </c>
      <c r="J671" s="28" t="s">
        <v>176</v>
      </c>
      <c r="K671" s="28" t="s">
        <v>177</v>
      </c>
      <c r="L671" s="28" t="s">
        <v>178</v>
      </c>
      <c r="M671" s="28" t="s">
        <v>179</v>
      </c>
      <c r="N671" s="28" t="s">
        <v>180</v>
      </c>
      <c r="O671" s="28" t="s">
        <v>181</v>
      </c>
      <c r="P671" s="28" t="s">
        <v>182</v>
      </c>
      <c r="Q671" s="28" t="s">
        <v>183</v>
      </c>
      <c r="R671" s="28" t="s">
        <v>184</v>
      </c>
      <c r="S671" s="28" t="s">
        <v>185</v>
      </c>
      <c r="T671" s="28" t="s">
        <v>186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39" t="n">
        <f aca="false">(B672+C672)/2</f>
        <v>0.25</v>
      </c>
      <c r="E672" s="15" t="n">
        <f aca="false">$C$2*(1+IF(E$3&lt;=$O$2,$D672,$D672-($D672-$I$670)*MIN(E$3-$O$2,$Q$2)/$Q$2))</f>
        <v>7012.5</v>
      </c>
      <c r="F672" s="15" t="n">
        <f aca="false">E672*(1+IF(F$3&lt;=$O$2,$D672,$D672-($D672-$I$670)*MIN(F$3-$O$2,$Q$2)/$Q$2))</f>
        <v>8765.625</v>
      </c>
      <c r="G672" s="15" t="n">
        <f aca="false">F672*(1+IF(G$3&lt;=$O$2,$D672,$D672-($D672-$I$670)*MIN(G$3-$O$2,$Q$2)/$Q$2))</f>
        <v>10957.03125</v>
      </c>
      <c r="H672" s="15" t="n">
        <f aca="false">G672*(1+IF(H$3&lt;=$O$2,$D672,$D672-($D672-$I$670)*MIN(H$3-$O$2,$Q$2)/$Q$2))</f>
        <v>13696.2890625</v>
      </c>
      <c r="I672" s="15" t="n">
        <f aca="false">H672*(1+IF(I$3&lt;=$O$2,$D672,$D672-($D672-$I$670)*MIN(I$3-$O$2,$Q$2)/$Q$2))</f>
        <v>17120.361328125</v>
      </c>
      <c r="J672" s="15" t="n">
        <f aca="false">I672*(1+IF(J$3&lt;=$O$2,$D672,$D672-($D672-$I$670)*MIN(J$3-$O$2,$Q$2)/$Q$2))</f>
        <v>20658.4552001953</v>
      </c>
      <c r="K672" s="15" t="n">
        <f aca="false">J672*(1+IF(K$3&lt;=$O$2,$D672,$D672-($D672-$I$670)*MIN(K$3-$O$2,$Q$2)/$Q$2))</f>
        <v>24032.3941034912</v>
      </c>
      <c r="L672" s="15" t="n">
        <f aca="false">K672*(1+IF(L$3&lt;=$O$2,$D672,$D672-($D672-$I$670)*MIN(L$3-$O$2,$Q$2)/$Q$2))</f>
        <v>26915.8007480281</v>
      </c>
      <c r="M672" s="15" t="n">
        <f aca="false">L672*(1+IF(M$3&lt;=$O$2,$D672,$D672-($D672-$I$670)*MIN(M$3-$O$2,$Q$2)/$Q$2))</f>
        <v>28978.627717357</v>
      </c>
      <c r="N672" s="15" t="n">
        <f aca="false">M672*(1+IF(N$3&lt;=$O$2,$D672,$D672-($D672-$I$670)*MIN(N$3-$O$2,$Q$2)/$Q$2))</f>
        <v>29943.6160203449</v>
      </c>
      <c r="O672" s="15" t="n">
        <f aca="false">SUMPRODUCT(E672:N672,1/(1+$F$670)^$E$3:$N$3)*$E$2</f>
        <v>42086.262349762</v>
      </c>
      <c r="P672" s="15" t="n">
        <f aca="false">N672*$E$2*(1+$I$670)/($F$670-$I$670)/(1+$F$670)^$N$3</f>
        <v>96365.204068654</v>
      </c>
      <c r="Q672" s="15" t="n">
        <f aca="false">O672+P672</f>
        <v>138451.466418416</v>
      </c>
      <c r="R672" s="15" t="n">
        <f aca="false">Q672-$G$2+$I$2</f>
        <v>129686.466418416</v>
      </c>
      <c r="S672" s="40" t="n">
        <f aca="false">R672/$K$2</f>
        <v>232.005557297964</v>
      </c>
      <c r="T672" s="41" t="n">
        <f aca="false">S672-$M$2</f>
        <v>138.531729969616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39" t="n">
        <f aca="false">(B673+C673)/2</f>
        <v>-0.125</v>
      </c>
      <c r="E673" s="15" t="n">
        <f aca="false">$C$2*(1+IF(E$3&lt;=$O$2,$D673,$D673-($D673-$I$670)*MIN(E$3-$O$2,$Q$2)/$Q$2))</f>
        <v>4908.75</v>
      </c>
      <c r="F673" s="15" t="n">
        <f aca="false">E673*(1+IF(F$3&lt;=$O$2,$D673,$D673-($D673-$I$670)*MIN(F$3-$O$2,$Q$2)/$Q$2))</f>
        <v>4295.15625</v>
      </c>
      <c r="G673" s="15" t="n">
        <f aca="false">F673*(1+IF(G$3&lt;=$O$2,$D673,$D673-($D673-$I$670)*MIN(G$3-$O$2,$Q$2)/$Q$2))</f>
        <v>3758.26171875</v>
      </c>
      <c r="H673" s="15" t="n">
        <f aca="false">G673*(1+IF(H$3&lt;=$O$2,$D673,$D673-($D673-$I$670)*MIN(H$3-$O$2,$Q$2)/$Q$2))</f>
        <v>3288.47900390625</v>
      </c>
      <c r="I673" s="15" t="n">
        <f aca="false">H673*(1+IF(I$3&lt;=$O$2,$D673,$D673-($D673-$I$670)*MIN(I$3-$O$2,$Q$2)/$Q$2))</f>
        <v>2877.41912841797</v>
      </c>
      <c r="J673" s="15" t="n">
        <f aca="false">I673*(1+IF(J$3&lt;=$O$2,$D673,$D673-($D673-$I$670)*MIN(J$3-$O$2,$Q$2)/$Q$2))</f>
        <v>2608.84082697144</v>
      </c>
      <c r="K673" s="15" t="n">
        <f aca="false">J673*(1+IF(K$3&lt;=$O$2,$D673,$D673-($D673-$I$670)*MIN(K$3-$O$2,$Q$2)/$Q$2))</f>
        <v>2447.92752476384</v>
      </c>
      <c r="L673" s="15" t="n">
        <f aca="false">K673*(1+IF(L$3&lt;=$O$2,$D673,$D673-($D673-$I$670)*MIN(L$3-$O$2,$Q$2)/$Q$2))</f>
        <v>2374.44074047043</v>
      </c>
      <c r="M673" s="15" t="n">
        <f aca="false">L673*(1+IF(M$3&lt;=$O$2,$D673,$D673-($D673-$I$670)*MIN(M$3-$O$2,$Q$2)/$Q$2))</f>
        <v>2378.3348232848</v>
      </c>
      <c r="N673" s="15" t="n">
        <f aca="false">M673*(1+IF(N$3&lt;=$O$2,$D673,$D673-($D673-$I$670)*MIN(N$3-$O$2,$Q$2)/$Q$2))</f>
        <v>2457.53337290018</v>
      </c>
      <c r="O673" s="15" t="n">
        <f aca="false">SUMPRODUCT(E673:N673,1/(1+$F$670)^$E$3:$N$3)*$E$2</f>
        <v>8298.93206953078</v>
      </c>
      <c r="P673" s="15" t="n">
        <f aca="false">N673*$E$2*(1+$I$670)/($F$670-$I$670)/(1+$F$670)^$N$3</f>
        <v>7908.88798547736</v>
      </c>
      <c r="Q673" s="15" t="n">
        <f aca="false">O673+P673</f>
        <v>16207.8200550081</v>
      </c>
      <c r="R673" s="15" t="n">
        <f aca="false">Q673-$G$2+$I$2</f>
        <v>7442.82005500814</v>
      </c>
      <c r="S673" s="40" t="n">
        <f aca="false">R673/$K$2</f>
        <v>13.3150024240727</v>
      </c>
      <c r="T673" s="41" t="n">
        <f aca="false">S673-$M$2</f>
        <v>-80.1588249042754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39" t="n">
        <f aca="false">(B674+C674)/2</f>
        <v>0.0625</v>
      </c>
      <c r="E674" s="15" t="n">
        <f aca="false">$C$2*(1+IF(E$3&lt;=$O$2,$D674,$D674-($D674-$I$670)*MIN(E$3-$O$2,$Q$2)/$Q$2))</f>
        <v>5960.625</v>
      </c>
      <c r="F674" s="15" t="n">
        <f aca="false">E674*(1+IF(F$3&lt;=$O$2,$D674,$D674-($D674-$I$670)*MIN(F$3-$O$2,$Q$2)/$Q$2))</f>
        <v>6333.1640625</v>
      </c>
      <c r="G674" s="15" t="n">
        <f aca="false">F674*(1+IF(G$3&lt;=$O$2,$D674,$D674-($D674-$I$670)*MIN(G$3-$O$2,$Q$2)/$Q$2))</f>
        <v>6728.98681640625</v>
      </c>
      <c r="H674" s="15" t="n">
        <f aca="false">G674*(1+IF(H$3&lt;=$O$2,$D674,$D674-($D674-$I$670)*MIN(H$3-$O$2,$Q$2)/$Q$2))</f>
        <v>7149.54849243164</v>
      </c>
      <c r="I674" s="15" t="n">
        <f aca="false">H674*(1+IF(I$3&lt;=$O$2,$D674,$D674-($D674-$I$670)*MIN(I$3-$O$2,$Q$2)/$Q$2))</f>
        <v>7596.39527320862</v>
      </c>
      <c r="J674" s="15" t="n">
        <f aca="false">I674*(1+IF(J$3&lt;=$O$2,$D674,$D674-($D674-$I$670)*MIN(J$3-$O$2,$Q$2)/$Q$2))</f>
        <v>8026.80702938862</v>
      </c>
      <c r="K674" s="15" t="n">
        <f aca="false">J674*(1+IF(K$3&lt;=$O$2,$D674,$D674-($D674-$I$670)*MIN(K$3-$O$2,$Q$2)/$Q$2))</f>
        <v>8434.72936262215</v>
      </c>
      <c r="L674" s="15" t="n">
        <f aca="false">K674*(1+IF(L$3&lt;=$O$2,$D674,$D674-($D674-$I$670)*MIN(L$3-$O$2,$Q$2)/$Q$2))</f>
        <v>8814.12348935289</v>
      </c>
      <c r="M674" s="15" t="n">
        <f aca="false">L674*(1+IF(M$3&lt;=$O$2,$D674,$D674-($D674-$I$670)*MIN(M$3-$O$2,$Q$2)/$Q$2))</f>
        <v>9159.10828272616</v>
      </c>
      <c r="N674" s="15" t="n">
        <f aca="false">M674*(1+IF(N$3&lt;=$O$2,$D674,$D674-($D674-$I$670)*MIN(N$3-$O$2,$Q$2)/$Q$2))</f>
        <v>9464.10658854095</v>
      </c>
      <c r="O674" s="15" t="n">
        <f aca="false">SUMPRODUCT(E674:N674,1/(1+$F$670)^$E$3:$N$3)*$E$2</f>
        <v>18657.3084810286</v>
      </c>
      <c r="P674" s="15" t="n">
        <f aca="false">N674*$E$2*(1+$I$670)/($F$670-$I$670)/(1+$F$670)^$N$3</f>
        <v>30457.5961070494</v>
      </c>
      <c r="Q674" s="15" t="n">
        <f aca="false">O674+P674</f>
        <v>49114.904588078</v>
      </c>
      <c r="R674" s="15" t="n">
        <f aca="false">Q674-$G$2+$I$2</f>
        <v>40349.904588078</v>
      </c>
      <c r="S674" s="40" t="n">
        <f aca="false">R674/$K$2</f>
        <v>72.184880654188</v>
      </c>
      <c r="T674" s="41" t="n">
        <f aca="false">S674-$M$2</f>
        <v>-21.2889466741601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0.0625</v>
      </c>
      <c r="C675" s="25" t="n">
        <f aca="false">IF(T674&gt;0,D674,C674)</f>
        <v>0.25</v>
      </c>
      <c r="D675" s="39" t="n">
        <f aca="false">(B675+C675)/2</f>
        <v>0.15625</v>
      </c>
      <c r="E675" s="15" t="n">
        <f aca="false">$C$2*(1+IF(E$3&lt;=$O$2,$D675,$D675-($D675-$I$670)*MIN(E$3-$O$2,$Q$2)/$Q$2))</f>
        <v>6486.5625</v>
      </c>
      <c r="F675" s="15" t="n">
        <f aca="false">E675*(1+IF(F$3&lt;=$O$2,$D675,$D675-($D675-$I$670)*MIN(F$3-$O$2,$Q$2)/$Q$2))</f>
        <v>7500.087890625</v>
      </c>
      <c r="G675" s="15" t="n">
        <f aca="false">F675*(1+IF(G$3&lt;=$O$2,$D675,$D675-($D675-$I$670)*MIN(G$3-$O$2,$Q$2)/$Q$2))</f>
        <v>8671.97662353516</v>
      </c>
      <c r="H675" s="15" t="n">
        <f aca="false">G675*(1+IF(H$3&lt;=$O$2,$D675,$D675-($D675-$I$670)*MIN(H$3-$O$2,$Q$2)/$Q$2))</f>
        <v>10026.9729709625</v>
      </c>
      <c r="I675" s="15" t="n">
        <f aca="false">H675*(1+IF(I$3&lt;=$O$2,$D675,$D675-($D675-$I$670)*MIN(I$3-$O$2,$Q$2)/$Q$2))</f>
        <v>11593.6874976754</v>
      </c>
      <c r="J675" s="15" t="n">
        <f aca="false">I675*(1+IF(J$3&lt;=$O$2,$D675,$D675-($D675-$I$670)*MIN(J$3-$O$2,$Q$2)/$Q$2))</f>
        <v>13120.1123936194</v>
      </c>
      <c r="K675" s="15" t="n">
        <f aca="false">J675*(1+IF(K$3&lt;=$O$2,$D675,$D675-($D675-$I$670)*MIN(K$3-$O$2,$Q$2)/$Q$2))</f>
        <v>14524.8828276042</v>
      </c>
      <c r="L675" s="15" t="n">
        <f aca="false">K675*(1+IF(L$3&lt;=$O$2,$D675,$D675-($D675-$I$670)*MIN(L$3-$O$2,$Q$2)/$Q$2))</f>
        <v>15722.895163225</v>
      </c>
      <c r="M675" s="15" t="n">
        <f aca="false">L675*(1+IF(M$3&lt;=$O$2,$D675,$D675-($D675-$I$670)*MIN(M$3-$O$2,$Q$2)/$Q$2))</f>
        <v>16633.0935642241</v>
      </c>
      <c r="N675" s="15" t="n">
        <f aca="false">M675*(1+IF(N$3&lt;=$O$2,$D675,$D675-($D675-$I$670)*MIN(N$3-$O$2,$Q$2)/$Q$2))</f>
        <v>17186.9755799127</v>
      </c>
      <c r="O675" s="15" t="n">
        <f aca="false">SUMPRODUCT(E675:N675,1/(1+$F$670)^$E$3:$N$3)*$E$2</f>
        <v>28074.2417961655</v>
      </c>
      <c r="P675" s="15" t="n">
        <f aca="false">N675*$E$2*(1+$I$670)/($F$670-$I$670)/(1+$F$670)^$N$3</f>
        <v>55311.5030581462</v>
      </c>
      <c r="Q675" s="15" t="n">
        <f aca="false">O675+P675</f>
        <v>83385.7448543116</v>
      </c>
      <c r="R675" s="15" t="n">
        <f aca="false">Q675-$G$2+$I$2</f>
        <v>74620.7448543116</v>
      </c>
      <c r="S675" s="40" t="n">
        <f aca="false">R675/$K$2</f>
        <v>133.494480758366</v>
      </c>
      <c r="T675" s="41" t="n">
        <f aca="false">S675-$M$2</f>
        <v>40.0206534300183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0.0625</v>
      </c>
      <c r="C676" s="25" t="n">
        <f aca="false">IF(T675&gt;0,D675,C675)</f>
        <v>0.15625</v>
      </c>
      <c r="D676" s="39" t="n">
        <f aca="false">(B676+C676)/2</f>
        <v>0.109375</v>
      </c>
      <c r="E676" s="15" t="n">
        <f aca="false">$C$2*(1+IF(E$3&lt;=$O$2,$D676,$D676-($D676-$I$670)*MIN(E$3-$O$2,$Q$2)/$Q$2))</f>
        <v>6223.59375</v>
      </c>
      <c r="F676" s="15" t="n">
        <f aca="false">E676*(1+IF(F$3&lt;=$O$2,$D676,$D676-($D676-$I$670)*MIN(F$3-$O$2,$Q$2)/$Q$2))</f>
        <v>6904.29931640625</v>
      </c>
      <c r="G676" s="15" t="n">
        <f aca="false">F676*(1+IF(G$3&lt;=$O$2,$D676,$D676-($D676-$I$670)*MIN(G$3-$O$2,$Q$2)/$Q$2))</f>
        <v>7659.45705413818</v>
      </c>
      <c r="H676" s="15" t="n">
        <f aca="false">G676*(1+IF(H$3&lt;=$O$2,$D676,$D676-($D676-$I$670)*MIN(H$3-$O$2,$Q$2)/$Q$2))</f>
        <v>8497.21016943455</v>
      </c>
      <c r="I676" s="15" t="n">
        <f aca="false">H676*(1+IF(I$3&lt;=$O$2,$D676,$D676-($D676-$I$670)*MIN(I$3-$O$2,$Q$2)/$Q$2))</f>
        <v>9426.59253171645</v>
      </c>
      <c r="J676" s="15" t="n">
        <f aca="false">I676*(1+IF(J$3&lt;=$O$2,$D676,$D676-($D676-$I$670)*MIN(J$3-$O$2,$Q$2)/$Q$2))</f>
        <v>10314.2004845029</v>
      </c>
      <c r="K676" s="15" t="n">
        <f aca="false">J676*(1+IF(K$3&lt;=$O$2,$D676,$D676-($D676-$I$670)*MIN(K$3-$O$2,$Q$2)/$Q$2))</f>
        <v>11128.455041752</v>
      </c>
      <c r="L676" s="15" t="n">
        <f aca="false">K676*(1+IF(L$3&lt;=$O$2,$D676,$D676-($D676-$I$670)*MIN(L$3-$O$2,$Q$2)/$Q$2))</f>
        <v>11837.6714815628</v>
      </c>
      <c r="M676" s="15" t="n">
        <f aca="false">L676*(1+IF(M$3&lt;=$O$2,$D676,$D676-($D676-$I$670)*MIN(M$3-$O$2,$Q$2)/$Q$2))</f>
        <v>12411.9761134908</v>
      </c>
      <c r="N676" s="15" t="n">
        <f aca="false">M676*(1+IF(N$3&lt;=$O$2,$D676,$D676-($D676-$I$670)*MIN(N$3-$O$2,$Q$2)/$Q$2))</f>
        <v>12825.2949180701</v>
      </c>
      <c r="O676" s="15" t="n">
        <f aca="false">SUMPRODUCT(E676:N676,1/(1+$F$670)^$E$3:$N$3)*$E$2</f>
        <v>22891.3863533189</v>
      </c>
      <c r="P676" s="15" t="n">
        <f aca="false">N676*$E$2*(1+$I$670)/($F$670-$I$670)/(1+$F$670)^$N$3</f>
        <v>41274.6463613734</v>
      </c>
      <c r="Q676" s="15" t="n">
        <f aca="false">O676+P676</f>
        <v>64166.0327146923</v>
      </c>
      <c r="R676" s="15" t="n">
        <f aca="false">Q676-$G$2+$I$2</f>
        <v>55401.0327146923</v>
      </c>
      <c r="S676" s="40" t="n">
        <f aca="false">R676/$K$2</f>
        <v>99.1109390580921</v>
      </c>
      <c r="T676" s="41" t="n">
        <f aca="false">S676-$M$2</f>
        <v>5.63711172974399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0.0625</v>
      </c>
      <c r="C677" s="25" t="n">
        <f aca="false">IF(T676&gt;0,D676,C676)</f>
        <v>0.109375</v>
      </c>
      <c r="D677" s="39" t="n">
        <f aca="false">(B677+C677)/2</f>
        <v>0.0859375</v>
      </c>
      <c r="E677" s="15" t="n">
        <f aca="false">$C$2*(1+IF(E$3&lt;=$O$2,$D677,$D677-($D677-$I$670)*MIN(E$3-$O$2,$Q$2)/$Q$2))</f>
        <v>6092.109375</v>
      </c>
      <c r="F677" s="15" t="n">
        <f aca="false">E677*(1+IF(F$3&lt;=$O$2,$D677,$D677-($D677-$I$670)*MIN(F$3-$O$2,$Q$2)/$Q$2))</f>
        <v>6615.65002441406</v>
      </c>
      <c r="G677" s="15" t="n">
        <f aca="false">F677*(1+IF(G$3&lt;=$O$2,$D677,$D677-($D677-$I$670)*MIN(G$3-$O$2,$Q$2)/$Q$2))</f>
        <v>7184.18244838715</v>
      </c>
      <c r="H677" s="15" t="n">
        <f aca="false">G677*(1+IF(H$3&lt;=$O$2,$D677,$D677-($D677-$I$670)*MIN(H$3-$O$2,$Q$2)/$Q$2))</f>
        <v>7801.57312754542</v>
      </c>
      <c r="I677" s="15" t="n">
        <f aca="false">H677*(1+IF(I$3&lt;=$O$2,$D677,$D677-($D677-$I$670)*MIN(I$3-$O$2,$Q$2)/$Q$2))</f>
        <v>8472.02081819385</v>
      </c>
      <c r="J677" s="15" t="n">
        <f aca="false">I677*(1+IF(J$3&lt;=$O$2,$D677,$D677-($D677-$I$670)*MIN(J$3-$O$2,$Q$2)/$Q$2))</f>
        <v>9110.89590809385</v>
      </c>
      <c r="K677" s="15" t="n">
        <f aca="false">J677*(1+IF(K$3&lt;=$O$2,$D677,$D677-($D677-$I$670)*MIN(K$3-$O$2,$Q$2)/$Q$2))</f>
        <v>9702.03361185075</v>
      </c>
      <c r="L677" s="15" t="n">
        <f aca="false">K677*(1+IF(L$3&lt;=$O$2,$D677,$D677-($D677-$I$670)*MIN(L$3-$O$2,$Q$2)/$Q$2))</f>
        <v>10229.3876488229</v>
      </c>
      <c r="M677" s="15" t="n">
        <f aca="false">L677*(1+IF(M$3&lt;=$O$2,$D677,$D677-($D677-$I$670)*MIN(M$3-$O$2,$Q$2)/$Q$2))</f>
        <v>10677.7161360017</v>
      </c>
      <c r="N677" s="15" t="n">
        <f aca="false">M677*(1+IF(N$3&lt;=$O$2,$D677,$D677-($D677-$I$670)*MIN(N$3-$O$2,$Q$2)/$Q$2))</f>
        <v>11033.2840833305</v>
      </c>
      <c r="O677" s="15" t="n">
        <f aca="false">SUMPRODUCT(E677:N677,1/(1+$F$670)^$E$3:$N$3)*$E$2</f>
        <v>20666.580244162</v>
      </c>
      <c r="P677" s="15" t="n">
        <f aca="false">N677*$E$2*(1+$I$670)/($F$670-$I$670)/(1+$F$670)^$N$3</f>
        <v>35507.5576548664</v>
      </c>
      <c r="Q677" s="15" t="n">
        <f aca="false">O677+P677</f>
        <v>56174.1378990283</v>
      </c>
      <c r="R677" s="15" t="n">
        <f aca="false">Q677-$G$2+$I$2</f>
        <v>47409.1378990283</v>
      </c>
      <c r="S677" s="40" t="n">
        <f aca="false">R677/$K$2</f>
        <v>84.8136568375046</v>
      </c>
      <c r="T677" s="41" t="n">
        <f aca="false">S677-$M$2</f>
        <v>-8.66017049084346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0.0859375</v>
      </c>
      <c r="C678" s="25" t="n">
        <f aca="false">IF(T677&gt;0,D677,C677)</f>
        <v>0.109375</v>
      </c>
      <c r="D678" s="39" t="n">
        <f aca="false">(B678+C678)/2</f>
        <v>0.09765625</v>
      </c>
      <c r="E678" s="15" t="n">
        <f aca="false">$C$2*(1+IF(E$3&lt;=$O$2,$D678,$D678-($D678-$I$670)*MIN(E$3-$O$2,$Q$2)/$Q$2))</f>
        <v>6157.8515625</v>
      </c>
      <c r="F678" s="15" t="n">
        <f aca="false">E678*(1+IF(F$3&lt;=$O$2,$D678,$D678-($D678-$I$670)*MIN(F$3-$O$2,$Q$2)/$Q$2))</f>
        <v>6759.20425415039</v>
      </c>
      <c r="G678" s="15" t="n">
        <f aca="false">F678*(1+IF(G$3&lt;=$O$2,$D678,$D678-($D678-$I$670)*MIN(G$3-$O$2,$Q$2)/$Q$2))</f>
        <v>7419.28279459477</v>
      </c>
      <c r="H678" s="15" t="n">
        <f aca="false">G678*(1+IF(H$3&lt;=$O$2,$D678,$D678-($D678-$I$670)*MIN(H$3-$O$2,$Q$2)/$Q$2))</f>
        <v>8143.82213000441</v>
      </c>
      <c r="I678" s="15" t="n">
        <f aca="false">H678*(1+IF(I$3&lt;=$O$2,$D678,$D678-($D678-$I$670)*MIN(I$3-$O$2,$Q$2)/$Q$2))</f>
        <v>8939.11725988765</v>
      </c>
      <c r="J678" s="15" t="n">
        <f aca="false">I678*(1+IF(J$3&lt;=$O$2,$D678,$D678-($D678-$I$670)*MIN(J$3-$O$2,$Q$2)/$Q$2))</f>
        <v>9697.02031676723</v>
      </c>
      <c r="K678" s="15" t="n">
        <f aca="false">J678*(1+IF(K$3&lt;=$O$2,$D678,$D678-($D678-$I$670)*MIN(K$3-$O$2,$Q$2)/$Q$2))</f>
        <v>10394.3694115721</v>
      </c>
      <c r="L678" s="15" t="n">
        <f aca="false">K678*(1+IF(L$3&lt;=$O$2,$D678,$D678-($D678-$I$670)*MIN(L$3-$O$2,$Q$2)/$Q$2))</f>
        <v>11008.0789675549</v>
      </c>
      <c r="M678" s="15" t="n">
        <f aca="false">L678*(1+IF(M$3&lt;=$O$2,$D678,$D678-($D678-$I$670)*MIN(M$3-$O$2,$Q$2)/$Q$2))</f>
        <v>11516.3357335856</v>
      </c>
      <c r="N678" s="15" t="n">
        <f aca="false">M678*(1+IF(N$3&lt;=$O$2,$D678,$D678-($D678-$I$670)*MIN(N$3-$O$2,$Q$2)/$Q$2))</f>
        <v>11899.829713514</v>
      </c>
      <c r="O678" s="15" t="n">
        <f aca="false">SUMPRODUCT(E678:N678,1/(1+$F$670)^$E$3:$N$3)*$E$2</f>
        <v>21750.7560270984</v>
      </c>
      <c r="P678" s="15" t="n">
        <f aca="false">N678*$E$2*(1+$I$670)/($F$670-$I$670)/(1+$F$670)^$N$3</f>
        <v>38296.293872653</v>
      </c>
      <c r="Q678" s="15" t="n">
        <f aca="false">O678+P678</f>
        <v>60047.0498997514</v>
      </c>
      <c r="R678" s="15" t="n">
        <f aca="false">Q678-$G$2+$I$2</f>
        <v>51282.0498997514</v>
      </c>
      <c r="S678" s="40" t="n">
        <f aca="false">R678/$K$2</f>
        <v>91.7421909545089</v>
      </c>
      <c r="T678" s="41" t="n">
        <f aca="false">S678-$M$2</f>
        <v>-1.73163637383914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0.09765625</v>
      </c>
      <c r="C679" s="25" t="n">
        <f aca="false">IF(T678&gt;0,D678,C678)</f>
        <v>0.109375</v>
      </c>
      <c r="D679" s="39" t="n">
        <f aca="false">(B679+C679)/2</f>
        <v>0.103515625</v>
      </c>
      <c r="E679" s="15" t="n">
        <f aca="false">$C$2*(1+IF(E$3&lt;=$O$2,$D679,$D679-($D679-$I$670)*MIN(E$3-$O$2,$Q$2)/$Q$2))</f>
        <v>6190.72265625</v>
      </c>
      <c r="F679" s="15" t="n">
        <f aca="false">E679*(1+IF(F$3&lt;=$O$2,$D679,$D679-($D679-$I$670)*MIN(F$3-$O$2,$Q$2)/$Q$2))</f>
        <v>6831.55918121338</v>
      </c>
      <c r="G679" s="15" t="n">
        <f aca="false">F679*(1+IF(G$3&lt;=$O$2,$D679,$D679-($D679-$I$670)*MIN(G$3-$O$2,$Q$2)/$Q$2))</f>
        <v>7538.73229958117</v>
      </c>
      <c r="H679" s="15" t="n">
        <f aca="false">G679*(1+IF(H$3&lt;=$O$2,$D679,$D679-($D679-$I$670)*MIN(H$3-$O$2,$Q$2)/$Q$2))</f>
        <v>8319.10888528</v>
      </c>
      <c r="I679" s="15" t="n">
        <f aca="false">H679*(1+IF(I$3&lt;=$O$2,$D679,$D679-($D679-$I$670)*MIN(I$3-$O$2,$Q$2)/$Q$2))</f>
        <v>9180.26664098281</v>
      </c>
      <c r="J679" s="15" t="n">
        <f aca="false">I679*(1+IF(J$3&lt;=$O$2,$D679,$D679-($D679-$I$670)*MIN(J$3-$O$2,$Q$2)/$Q$2))</f>
        <v>10001.6480480181</v>
      </c>
      <c r="K679" s="15" t="n">
        <f aca="false">J679*(1+IF(K$3&lt;=$O$2,$D679,$D679-($D679-$I$670)*MIN(K$3-$O$2,$Q$2)/$Q$2))</f>
        <v>10756.0661092501</v>
      </c>
      <c r="L679" s="15" t="n">
        <f aca="false">K679*(1+IF(L$3&lt;=$O$2,$D679,$D679-($D679-$I$670)*MIN(L$3-$O$2,$Q$2)/$Q$2))</f>
        <v>11416.3406724491</v>
      </c>
      <c r="M679" s="15" t="n">
        <f aca="false">L679*(1+IF(M$3&lt;=$O$2,$D679,$D679-($D679-$I$670)*MIN(M$3-$O$2,$Q$2)/$Q$2))</f>
        <v>11956.8259159474</v>
      </c>
      <c r="N679" s="15" t="n">
        <f aca="false">M679*(1+IF(N$3&lt;=$O$2,$D679,$D679-($D679-$I$670)*MIN(N$3-$O$2,$Q$2)/$Q$2))</f>
        <v>12354.9882189485</v>
      </c>
      <c r="O679" s="15" t="n">
        <f aca="false">SUMPRODUCT(E679:N679,1/(1+$F$670)^$E$3:$N$3)*$E$2</f>
        <v>22313.8478930696</v>
      </c>
      <c r="P679" s="15" t="n">
        <f aca="false">N679*$E$2*(1+$I$670)/($F$670-$I$670)/(1+$F$670)^$N$3</f>
        <v>39761.0949918623</v>
      </c>
      <c r="Q679" s="15" t="n">
        <f aca="false">O679+P679</f>
        <v>62074.9428849319</v>
      </c>
      <c r="R679" s="15" t="n">
        <f aca="false">Q679-$G$2+$I$2</f>
        <v>53309.9428849319</v>
      </c>
      <c r="S679" s="40" t="n">
        <f aca="false">R679/$K$2</f>
        <v>95.3700362891908</v>
      </c>
      <c r="T679" s="41" t="n">
        <f aca="false">S679-$M$2</f>
        <v>1.89620896084269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0.09765625</v>
      </c>
      <c r="C680" s="25" t="n">
        <f aca="false">IF(T679&gt;0,D679,C679)</f>
        <v>0.103515625</v>
      </c>
      <c r="D680" s="39" t="n">
        <f aca="false">(B680+C680)/2</f>
        <v>0.1005859375</v>
      </c>
      <c r="E680" s="15" t="n">
        <f aca="false">$C$2*(1+IF(E$3&lt;=$O$2,$D680,$D680-($D680-$I$670)*MIN(E$3-$O$2,$Q$2)/$Q$2))</f>
        <v>6174.287109375</v>
      </c>
      <c r="F680" s="15" t="n">
        <f aca="false">E680*(1+IF(F$3&lt;=$O$2,$D680,$D680-($D680-$I$670)*MIN(F$3-$O$2,$Q$2)/$Q$2))</f>
        <v>6795.33356666565</v>
      </c>
      <c r="G680" s="15" t="n">
        <f aca="false">F680*(1+IF(G$3&lt;=$O$2,$D680,$D680-($D680-$I$670)*MIN(G$3-$O$2,$Q$2)/$Q$2))</f>
        <v>7478.84856409393</v>
      </c>
      <c r="H680" s="15" t="n">
        <f aca="false">G680*(1+IF(H$3&lt;=$O$2,$D680,$D680-($D680-$I$670)*MIN(H$3-$O$2,$Q$2)/$Q$2))</f>
        <v>8231.11555833385</v>
      </c>
      <c r="I680" s="15" t="n">
        <f aca="false">H680*(1+IF(I$3&lt;=$O$2,$D680,$D680-($D680-$I$670)*MIN(I$3-$O$2,$Q$2)/$Q$2))</f>
        <v>9059.0500334397</v>
      </c>
      <c r="J680" s="15" t="n">
        <f aca="false">I680*(1+IF(J$3&lt;=$O$2,$D680,$D680-($D680-$I$670)*MIN(J$3-$O$2,$Q$2)/$Q$2))</f>
        <v>9848.35373904076</v>
      </c>
      <c r="K680" s="15" t="n">
        <f aca="false">J680*(1+IF(K$3&lt;=$O$2,$D680,$D680-($D680-$I$670)*MIN(K$3-$O$2,$Q$2)/$Q$2))</f>
        <v>10573.8973470486</v>
      </c>
      <c r="L680" s="15" t="n">
        <f aca="false">K680*(1+IF(L$3&lt;=$O$2,$D680,$D680-($D680-$I$670)*MIN(L$3-$O$2,$Q$2)/$Q$2))</f>
        <v>11210.5979671153</v>
      </c>
      <c r="M680" s="15" t="n">
        <f aca="false">L680*(1+IF(M$3&lt;=$O$2,$D680,$D680-($D680-$I$670)*MIN(M$3-$O$2,$Q$2)/$Q$2))</f>
        <v>11734.7739982508</v>
      </c>
      <c r="N680" s="15" t="n">
        <f aca="false">M680*(1+IF(N$3&lt;=$O$2,$D680,$D680-($D680-$I$670)*MIN(N$3-$O$2,$Q$2)/$Q$2))</f>
        <v>12125.5419723926</v>
      </c>
      <c r="O680" s="15" t="n">
        <f aca="false">SUMPRODUCT(E680:N680,1/(1+$F$670)^$E$3:$N$3)*$E$2</f>
        <v>22030.5172100538</v>
      </c>
      <c r="P680" s="15" t="n">
        <f aca="false">N680*$E$2*(1+$I$670)/($F$670-$I$670)/(1+$F$670)^$N$3</f>
        <v>39022.6860315977</v>
      </c>
      <c r="Q680" s="15" t="n">
        <f aca="false">O680+P680</f>
        <v>61053.2032416515</v>
      </c>
      <c r="R680" s="15" t="n">
        <f aca="false">Q680-$G$2+$I$2</f>
        <v>52288.2032416515</v>
      </c>
      <c r="S680" s="40" t="n">
        <f aca="false">R680/$K$2</f>
        <v>93.5421718874584</v>
      </c>
      <c r="T680" s="41" t="n">
        <f aca="false">S680-$M$2</f>
        <v>0.0683445591103151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0.09765625</v>
      </c>
      <c r="C681" s="25" t="n">
        <f aca="false">IF(T680&gt;0,D680,C680)</f>
        <v>0.1005859375</v>
      </c>
      <c r="D681" s="39" t="n">
        <f aca="false">(B681+C681)/2</f>
        <v>0.09912109375</v>
      </c>
      <c r="E681" s="15" t="n">
        <f aca="false">$C$2*(1+IF(E$3&lt;=$O$2,$D681,$D681-($D681-$I$670)*MIN(E$3-$O$2,$Q$2)/$Q$2))</f>
        <v>6166.0693359375</v>
      </c>
      <c r="F681" s="15" t="n">
        <f aca="false">E681*(1+IF(F$3&lt;=$O$2,$D681,$D681-($D681-$I$670)*MIN(F$3-$O$2,$Q$2)/$Q$2))</f>
        <v>6777.25687265396</v>
      </c>
      <c r="G681" s="15" t="n">
        <f aca="false">F681*(1+IF(G$3&lt;=$O$2,$D681,$D681-($D681-$I$670)*MIN(G$3-$O$2,$Q$2)/$Q$2))</f>
        <v>7449.02598649613</v>
      </c>
      <c r="H681" s="15" t="n">
        <f aca="false">G681*(1+IF(H$3&lt;=$O$2,$D681,$D681-($D681-$I$670)*MIN(H$3-$O$2,$Q$2)/$Q$2))</f>
        <v>8187.3815896498</v>
      </c>
      <c r="I681" s="15" t="n">
        <f aca="false">H681*(1+IF(I$3&lt;=$O$2,$D681,$D681-($D681-$I$670)*MIN(I$3-$O$2,$Q$2)/$Q$2))</f>
        <v>8998.9238077645</v>
      </c>
      <c r="J681" s="15" t="n">
        <f aca="false">I681*(1+IF(J$3&lt;=$O$2,$D681,$D681-($D681-$I$670)*MIN(J$3-$O$2,$Q$2)/$Q$2))</f>
        <v>9772.44317664303</v>
      </c>
      <c r="K681" s="15" t="n">
        <f aca="false">J681*(1+IF(K$3&lt;=$O$2,$D681,$D681-($D681-$I$670)*MIN(K$3-$O$2,$Q$2)/$Q$2))</f>
        <v>10483.8052735231</v>
      </c>
      <c r="L681" s="15" t="n">
        <f aca="false">K681*(1+IF(L$3&lt;=$O$2,$D681,$D681-($D681-$I$670)*MIN(L$3-$O$2,$Q$2)/$Q$2))</f>
        <v>11108.9382010375</v>
      </c>
      <c r="M681" s="15" t="n">
        <f aca="false">L681*(1+IF(M$3&lt;=$O$2,$D681,$D681-($D681-$I$670)*MIN(M$3-$O$2,$Q$2)/$Q$2))</f>
        <v>11625.1063356907</v>
      </c>
      <c r="N681" s="15" t="n">
        <f aca="false">M681*(1+IF(N$3&lt;=$O$2,$D681,$D681-($D681-$I$670)*MIN(N$3-$O$2,$Q$2)/$Q$2))</f>
        <v>12012.2223766693</v>
      </c>
      <c r="O681" s="15" t="n">
        <f aca="false">SUMPRODUCT(E681:N681,1/(1+$F$670)^$E$3:$N$3)*$E$2</f>
        <v>21890.1930420456</v>
      </c>
      <c r="P681" s="15" t="n">
        <f aca="false">N681*$E$2*(1+$I$670)/($F$670-$I$670)/(1+$F$670)^$N$3</f>
        <v>38657.9984147302</v>
      </c>
      <c r="Q681" s="15" t="n">
        <f aca="false">O681+P681</f>
        <v>60548.1914567757</v>
      </c>
      <c r="R681" s="15" t="n">
        <f aca="false">Q681-$G$2+$I$2</f>
        <v>51783.1914567757</v>
      </c>
      <c r="S681" s="40" t="n">
        <f aca="false">R681/$K$2</f>
        <v>92.6387195548602</v>
      </c>
      <c r="T681" s="41" t="n">
        <f aca="false">S681-$M$2</f>
        <v>-0.83510777348792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0.09912109375</v>
      </c>
      <c r="C682" s="25" t="n">
        <f aca="false">IF(T681&gt;0,D681,C681)</f>
        <v>0.1005859375</v>
      </c>
      <c r="D682" s="39" t="n">
        <f aca="false">(B682+C682)/2</f>
        <v>0.099853515625</v>
      </c>
      <c r="E682" s="15" t="n">
        <f aca="false">$C$2*(1+IF(E$3&lt;=$O$2,$D682,$D682-($D682-$I$670)*MIN(E$3-$O$2,$Q$2)/$Q$2))</f>
        <v>6170.17822265625</v>
      </c>
      <c r="F682" s="15" t="n">
        <f aca="false">E682*(1+IF(F$3&lt;=$O$2,$D682,$D682-($D682-$I$670)*MIN(F$3-$O$2,$Q$2)/$Q$2))</f>
        <v>6786.29221022129</v>
      </c>
      <c r="G682" s="15" t="n">
        <f aca="false">F682*(1+IF(G$3&lt;=$O$2,$D682,$D682-($D682-$I$670)*MIN(G$3-$O$2,$Q$2)/$Q$2))</f>
        <v>7463.92734547044</v>
      </c>
      <c r="H682" s="15" t="n">
        <f aca="false">G682*(1+IF(H$3&lt;=$O$2,$D682,$D682-($D682-$I$670)*MIN(H$3-$O$2,$Q$2)/$Q$2))</f>
        <v>8209.22673128524</v>
      </c>
      <c r="I682" s="15" t="n">
        <f aca="false">H682*(1+IF(I$3&lt;=$O$2,$D682,$D682-($D682-$I$670)*MIN(I$3-$O$2,$Q$2)/$Q$2))</f>
        <v>9028.94688096679</v>
      </c>
      <c r="J682" s="15" t="n">
        <f aca="false">I682*(1+IF(J$3&lt;=$O$2,$D682,$D682-($D682-$I$670)*MIN(J$3-$O$2,$Q$2)/$Q$2))</f>
        <v>9810.33733795876</v>
      </c>
      <c r="K682" s="15" t="n">
        <f aca="false">J682*(1+IF(K$3&lt;=$O$2,$D682,$D682-($D682-$I$670)*MIN(K$3-$O$2,$Q$2)/$Q$2))</f>
        <v>10528.7690348978</v>
      </c>
      <c r="L682" s="15" t="n">
        <f aca="false">K682*(1+IF(L$3&lt;=$O$2,$D682,$D682-($D682-$I$670)*MIN(L$3-$O$2,$Q$2)/$Q$2))</f>
        <v>11159.6676815503</v>
      </c>
      <c r="M682" s="15" t="n">
        <f aca="false">L682*(1+IF(M$3&lt;=$O$2,$D682,$D682-($D682-$I$670)*MIN(M$3-$O$2,$Q$2)/$Q$2))</f>
        <v>11679.8276388287</v>
      </c>
      <c r="N682" s="15" t="n">
        <f aca="false">M682*(1+IF(N$3&lt;=$O$2,$D682,$D682-($D682-$I$670)*MIN(N$3-$O$2,$Q$2)/$Q$2))</f>
        <v>12068.7658992017</v>
      </c>
      <c r="O682" s="15" t="n">
        <f aca="false">SUMPRODUCT(E682:N682,1/(1+$F$670)^$E$3:$N$3)*$E$2</f>
        <v>21960.2439065797</v>
      </c>
      <c r="P682" s="15" t="n">
        <f aca="false">N682*$E$2*(1+$I$670)/($F$670-$I$670)/(1+$F$670)^$N$3</f>
        <v>38839.9680233406</v>
      </c>
      <c r="Q682" s="15" t="n">
        <f aca="false">O682+P682</f>
        <v>60800.2119299203</v>
      </c>
      <c r="R682" s="15" t="n">
        <f aca="false">Q682-$G$2+$I$2</f>
        <v>52035.2119299203</v>
      </c>
      <c r="S682" s="40" t="n">
        <f aca="false">R682/$K$2</f>
        <v>93.0895773192606</v>
      </c>
      <c r="T682" s="41" t="n">
        <f aca="false">S682-$M$2</f>
        <v>-0.384250009087523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0.099853515625</v>
      </c>
      <c r="C683" s="25" t="n">
        <f aca="false">IF(T682&gt;0,D682,C682)</f>
        <v>0.1005859375</v>
      </c>
      <c r="D683" s="39" t="n">
        <f aca="false">(B683+C683)/2</f>
        <v>0.1002197265625</v>
      </c>
      <c r="E683" s="15" t="n">
        <f aca="false">$C$2*(1+IF(E$3&lt;=$O$2,$D683,$D683-($D683-$I$670)*MIN(E$3-$O$2,$Q$2)/$Q$2))</f>
        <v>6172.23266601563</v>
      </c>
      <c r="F683" s="15" t="n">
        <f aca="false">E683*(1+IF(F$3&lt;=$O$2,$D683,$D683-($D683-$I$670)*MIN(F$3-$O$2,$Q$2)/$Q$2))</f>
        <v>6790.81213608384</v>
      </c>
      <c r="G683" s="15" t="n">
        <f aca="false">F683*(1+IF(G$3&lt;=$O$2,$D683,$D683-($D683-$I$670)*MIN(G$3-$O$2,$Q$2)/$Q$2))</f>
        <v>7471.38547149947</v>
      </c>
      <c r="H683" s="15" t="n">
        <f aca="false">G683*(1+IF(H$3&lt;=$O$2,$D683,$D683-($D683-$I$670)*MIN(H$3-$O$2,$Q$2)/$Q$2))</f>
        <v>8220.16568049618</v>
      </c>
      <c r="I683" s="15" t="n">
        <f aca="false">H683*(1+IF(I$3&lt;=$O$2,$D683,$D683-($D683-$I$670)*MIN(I$3-$O$2,$Q$2)/$Q$2))</f>
        <v>9043.98843729396</v>
      </c>
      <c r="J683" s="15" t="n">
        <f aca="false">I683*(1+IF(J$3&lt;=$O$2,$D683,$D683-($D683-$I$670)*MIN(J$3-$O$2,$Q$2)/$Q$2))</f>
        <v>9829.33023886234</v>
      </c>
      <c r="K683" s="15" t="n">
        <f aca="false">J683*(1+IF(K$3&lt;=$O$2,$D683,$D683-($D683-$I$670)*MIN(K$3-$O$2,$Q$2)/$Q$2))</f>
        <v>10551.3125909428</v>
      </c>
      <c r="L683" s="15" t="n">
        <f aca="false">K683*(1+IF(L$3&lt;=$O$2,$D683,$D683-($D683-$I$670)*MIN(L$3-$O$2,$Q$2)/$Q$2))</f>
        <v>11185.1076816057</v>
      </c>
      <c r="M683" s="15" t="n">
        <f aca="false">L683*(1+IF(M$3&lt;=$O$2,$D683,$D683-($D683-$I$670)*MIN(M$3-$O$2,$Q$2)/$Q$2))</f>
        <v>11707.2726369282</v>
      </c>
      <c r="N683" s="15" t="n">
        <f aca="false">M683*(1+IF(N$3&lt;=$O$2,$D683,$D683-($D683-$I$670)*MIN(N$3-$O$2,$Q$2)/$Q$2))</f>
        <v>12097.1248157379</v>
      </c>
      <c r="O683" s="15" t="n">
        <f aca="false">SUMPRODUCT(E683:N683,1/(1+$F$670)^$E$3:$N$3)*$E$2</f>
        <v>21995.3527126917</v>
      </c>
      <c r="P683" s="15" t="n">
        <f aca="false">N683*$E$2*(1+$I$670)/($F$670-$I$670)/(1+$F$670)^$N$3</f>
        <v>38931.2333126537</v>
      </c>
      <c r="Q683" s="15" t="n">
        <f aca="false">O683+P683</f>
        <v>60926.5860253454</v>
      </c>
      <c r="R683" s="15" t="n">
        <f aca="false">Q683-$G$2+$I$2</f>
        <v>52161.5860253454</v>
      </c>
      <c r="S683" s="40" t="n">
        <f aca="false">R683/$K$2</f>
        <v>93.3156571350413</v>
      </c>
      <c r="T683" s="41" t="n">
        <f aca="false">S683-$M$2</f>
        <v>-0.15817019330683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0.1002197265625</v>
      </c>
      <c r="C684" s="25" t="n">
        <f aca="false">IF(T683&gt;0,D683,C683)</f>
        <v>0.1005859375</v>
      </c>
      <c r="D684" s="39" t="n">
        <f aca="false">(B684+C684)/2</f>
        <v>0.10040283203125</v>
      </c>
      <c r="E684" s="15" t="n">
        <f aca="false">$C$2*(1+IF(E$3&lt;=$O$2,$D684,$D684-($D684-$I$670)*MIN(E$3-$O$2,$Q$2)/$Q$2))</f>
        <v>6173.25988769531</v>
      </c>
      <c r="F684" s="15" t="n">
        <f aca="false">E684*(1+IF(F$3&lt;=$O$2,$D684,$D684-($D684-$I$670)*MIN(F$3-$O$2,$Q$2)/$Q$2))</f>
        <v>6793.07266328484</v>
      </c>
      <c r="G684" s="15" t="n">
        <f aca="false">F684*(1+IF(G$3&lt;=$O$2,$D684,$D684-($D684-$I$670)*MIN(G$3-$O$2,$Q$2)/$Q$2))</f>
        <v>7475.1163968727</v>
      </c>
      <c r="H684" s="15" t="n">
        <f aca="false">G684*(1+IF(H$3&lt;=$O$2,$D684,$D684-($D684-$I$670)*MIN(H$3-$O$2,$Q$2)/$Q$2))</f>
        <v>8225.63925288195</v>
      </c>
      <c r="I684" s="15" t="n">
        <f aca="false">H684*(1+IF(I$3&lt;=$O$2,$D684,$D684-($D684-$I$670)*MIN(I$3-$O$2,$Q$2)/$Q$2))</f>
        <v>9051.51672913872</v>
      </c>
      <c r="J684" s="15" t="n">
        <f aca="false">I684*(1+IF(J$3&lt;=$O$2,$D684,$D684-($D684-$I$670)*MIN(J$3-$O$2,$Q$2)/$Q$2))</f>
        <v>9838.83816158179</v>
      </c>
      <c r="K684" s="15" t="n">
        <f aca="false">J684*(1+IF(K$3&lt;=$O$2,$D684,$D684-($D684-$I$670)*MIN(K$3-$O$2,$Q$2)/$Q$2))</f>
        <v>10562.599815086</v>
      </c>
      <c r="L684" s="15" t="n">
        <f aca="false">K684*(1+IF(L$3&lt;=$O$2,$D684,$D684-($D684-$I$670)*MIN(L$3-$O$2,$Q$2)/$Q$2))</f>
        <v>11197.8465334104</v>
      </c>
      <c r="M684" s="15" t="n">
        <f aca="false">L684*(1+IF(M$3&lt;=$O$2,$D684,$D684-($D684-$I$670)*MIN(M$3-$O$2,$Q$2)/$Q$2))</f>
        <v>11721.0162659816</v>
      </c>
      <c r="N684" s="15" t="n">
        <f aca="false">M684*(1+IF(N$3&lt;=$O$2,$D684,$D684-($D684-$I$670)*MIN(N$3-$O$2,$Q$2)/$Q$2))</f>
        <v>12111.3261076388</v>
      </c>
      <c r="O684" s="15" t="n">
        <f aca="false">SUMPRODUCT(E684:N684,1/(1+$F$670)^$E$3:$N$3)*$E$2</f>
        <v>22012.9279948661</v>
      </c>
      <c r="P684" s="15" t="n">
        <f aca="false">N684*$E$2*(1+$I$670)/($F$670-$I$670)/(1+$F$670)^$N$3</f>
        <v>38976.9362227877</v>
      </c>
      <c r="Q684" s="15" t="n">
        <f aca="false">O684+P684</f>
        <v>60989.8642176538</v>
      </c>
      <c r="R684" s="15" t="n">
        <f aca="false">Q684-$G$2+$I$2</f>
        <v>52224.8642176538</v>
      </c>
      <c r="S684" s="40" t="n">
        <f aca="false">R684/$K$2</f>
        <v>93.428860098132</v>
      </c>
      <c r="T684" s="41" t="n">
        <f aca="false">S684-$M$2</f>
        <v>-0.0449672302160735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0.10040283203125</v>
      </c>
      <c r="C685" s="25" t="n">
        <f aca="false">IF(T684&gt;0,D684,C684)</f>
        <v>0.1005859375</v>
      </c>
      <c r="D685" s="39" t="n">
        <f aca="false">(B685+C685)/2</f>
        <v>0.100494384765625</v>
      </c>
      <c r="E685" s="15" t="n">
        <f aca="false">$C$2*(1+IF(E$3&lt;=$O$2,$D685,$D685-($D685-$I$670)*MIN(E$3-$O$2,$Q$2)/$Q$2))</f>
        <v>6173.77349853516</v>
      </c>
      <c r="F685" s="15" t="n">
        <f aca="false">E685*(1+IF(F$3&lt;=$O$2,$D685,$D685-($D685-$I$670)*MIN(F$3-$O$2,$Q$2)/$Q$2))</f>
        <v>6794.20306795277</v>
      </c>
      <c r="G685" s="15" t="n">
        <f aca="false">F685*(1+IF(G$3&lt;=$O$2,$D685,$D685-($D685-$I$670)*MIN(G$3-$O$2,$Q$2)/$Q$2))</f>
        <v>7476.9823252394</v>
      </c>
      <c r="H685" s="15" t="n">
        <f aca="false">G685*(1+IF(H$3&lt;=$O$2,$D685,$D685-($D685-$I$670)*MIN(H$3-$O$2,$Q$2)/$Q$2))</f>
        <v>8228.37706391779</v>
      </c>
      <c r="I685" s="15" t="n">
        <f aca="false">H685*(1+IF(I$3&lt;=$O$2,$D685,$D685-($D685-$I$670)*MIN(I$3-$O$2,$Q$2)/$Q$2))</f>
        <v>9055.28275457579</v>
      </c>
      <c r="J685" s="15" t="n">
        <f aca="false">I685*(1+IF(J$3&lt;=$O$2,$D685,$D685-($D685-$I$670)*MIN(J$3-$O$2,$Q$2)/$Q$2))</f>
        <v>9843.59499316115</v>
      </c>
      <c r="K685" s="15" t="n">
        <f aca="false">J685*(1+IF(K$3&lt;=$O$2,$D685,$D685-($D685-$I$670)*MIN(K$3-$O$2,$Q$2)/$Q$2))</f>
        <v>10568.2472921019</v>
      </c>
      <c r="L685" s="15" t="n">
        <f aca="false">K685*(1+IF(L$3&lt;=$O$2,$D685,$D685-($D685-$I$670)*MIN(L$3-$O$2,$Q$2)/$Q$2))</f>
        <v>11204.2206768664</v>
      </c>
      <c r="M685" s="15" t="n">
        <f aca="false">L685*(1+IF(M$3&lt;=$O$2,$D685,$D685-($D685-$I$670)*MIN(M$3-$O$2,$Q$2)/$Q$2))</f>
        <v>11727.8933684381</v>
      </c>
      <c r="N685" s="15" t="n">
        <f aca="false">M685*(1+IF(N$3&lt;=$O$2,$D685,$D685-($D685-$I$670)*MIN(N$3-$O$2,$Q$2)/$Q$2))</f>
        <v>12118.4322176071</v>
      </c>
      <c r="O685" s="15" t="n">
        <f aca="false">SUMPRODUCT(E685:N685,1/(1+$F$670)^$E$3:$N$3)*$E$2</f>
        <v>22021.7208601954</v>
      </c>
      <c r="P685" s="15" t="n">
        <f aca="false">N685*$E$2*(1+$I$670)/($F$670-$I$670)/(1+$F$670)^$N$3</f>
        <v>38999.8052622773</v>
      </c>
      <c r="Q685" s="15" t="n">
        <f aca="false">O685+P685</f>
        <v>61021.5261224727</v>
      </c>
      <c r="R685" s="15" t="n">
        <f aca="false">Q685-$G$2+$I$2</f>
        <v>52256.5261224727</v>
      </c>
      <c r="S685" s="40" t="n">
        <f aca="false">R685/$K$2</f>
        <v>93.4855023837574</v>
      </c>
      <c r="T685" s="41" t="n">
        <f aca="false">S685-$M$2</f>
        <v>0.0116750554092704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0.10040283203125</v>
      </c>
      <c r="C686" s="25" t="n">
        <f aca="false">IF(T685&gt;0,D685,C685)</f>
        <v>0.100494384765625</v>
      </c>
      <c r="D686" s="39" t="n">
        <f aca="false">(B686+C686)/2</f>
        <v>0.100448608398438</v>
      </c>
      <c r="E686" s="15" t="n">
        <f aca="false">$C$2*(1+IF(E$3&lt;=$O$2,$D686,$D686-($D686-$I$670)*MIN(E$3-$O$2,$Q$2)/$Q$2))</f>
        <v>6173.51669311523</v>
      </c>
      <c r="F686" s="15" t="n">
        <f aca="false">E686*(1+IF(F$3&lt;=$O$2,$D686,$D686-($D686-$I$670)*MIN(F$3-$O$2,$Q$2)/$Q$2))</f>
        <v>6793.63785386318</v>
      </c>
      <c r="G686" s="15" t="n">
        <f aca="false">F686*(1+IF(G$3&lt;=$O$2,$D686,$D686-($D686-$I$670)*MIN(G$3-$O$2,$Q$2)/$Q$2))</f>
        <v>7476.04932224669</v>
      </c>
      <c r="H686" s="15" t="n">
        <f aca="false">G686*(1+IF(H$3&lt;=$O$2,$D686,$D686-($D686-$I$670)*MIN(H$3-$O$2,$Q$2)/$Q$2))</f>
        <v>8227.00807298445</v>
      </c>
      <c r="I686" s="15" t="n">
        <f aca="false">H686*(1+IF(I$3&lt;=$O$2,$D686,$D686-($D686-$I$670)*MIN(I$3-$O$2,$Q$2)/$Q$2))</f>
        <v>9053.39958519845</v>
      </c>
      <c r="J686" s="15" t="n">
        <f aca="false">I686*(1+IF(J$3&lt;=$O$2,$D686,$D686-($D686-$I$670)*MIN(J$3-$O$2,$Q$2)/$Q$2))</f>
        <v>9841.21633812241</v>
      </c>
      <c r="K686" s="15" t="n">
        <f aca="false">J686*(1+IF(K$3&lt;=$O$2,$D686,$D686-($D686-$I$670)*MIN(K$3-$O$2,$Q$2)/$Q$2))</f>
        <v>10565.4232314136</v>
      </c>
      <c r="L686" s="15" t="n">
        <f aca="false">K686*(1+IF(L$3&lt;=$O$2,$D686,$D686-($D686-$I$670)*MIN(L$3-$O$2,$Q$2)/$Q$2))</f>
        <v>11201.0332118717</v>
      </c>
      <c r="M686" s="15" t="n">
        <f aca="false">L686*(1+IF(M$3&lt;=$O$2,$D686,$D686-($D686-$I$670)*MIN(M$3-$O$2,$Q$2)/$Q$2))</f>
        <v>11724.4543763874</v>
      </c>
      <c r="N686" s="15" t="n">
        <f aca="false">M686*(1+IF(N$3&lt;=$O$2,$D686,$D686-($D686-$I$670)*MIN(N$3-$O$2,$Q$2)/$Q$2))</f>
        <v>12114.8787071211</v>
      </c>
      <c r="O686" s="15" t="n">
        <f aca="false">SUMPRODUCT(E686:N686,1/(1+$F$670)^$E$3:$N$3)*$E$2</f>
        <v>22017.3239920444</v>
      </c>
      <c r="P686" s="15" t="n">
        <f aca="false">N686*$E$2*(1+$I$670)/($F$670-$I$670)/(1+$F$670)^$N$3</f>
        <v>38988.3692766263</v>
      </c>
      <c r="Q686" s="15" t="n">
        <f aca="false">O686+P686</f>
        <v>61005.6932686707</v>
      </c>
      <c r="R686" s="15" t="n">
        <f aca="false">Q686-$G$2+$I$2</f>
        <v>52240.6932686707</v>
      </c>
      <c r="S686" s="40" t="n">
        <f aca="false">R686/$K$2</f>
        <v>93.4571778394052</v>
      </c>
      <c r="T686" s="41" t="n">
        <f aca="false">S686-$M$2</f>
        <v>-0.0166494889428748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0.100448608398438</v>
      </c>
      <c r="C687" s="25" t="n">
        <f aca="false">IF(T686&gt;0,D686,C686)</f>
        <v>0.100494384765625</v>
      </c>
      <c r="D687" s="39" t="n">
        <f aca="false">(B687+C687)/2</f>
        <v>0.100471496582031</v>
      </c>
      <c r="E687" s="15" t="n">
        <f aca="false">$C$2*(1+IF(E$3&lt;=$O$2,$D687,$D687-($D687-$I$670)*MIN(E$3-$O$2,$Q$2)/$Q$2))</f>
        <v>6173.6450958252</v>
      </c>
      <c r="F687" s="15" t="n">
        <f aca="false">E687*(1+IF(F$3&lt;=$O$2,$D687,$D687-($D687-$I$670)*MIN(F$3-$O$2,$Q$2)/$Q$2))</f>
        <v>6793.92045796907</v>
      </c>
      <c r="G687" s="15" t="n">
        <f aca="false">F687*(1+IF(G$3&lt;=$O$2,$D687,$D687-($D687-$I$670)*MIN(G$3-$O$2,$Q$2)/$Q$2))</f>
        <v>7476.5158140405</v>
      </c>
      <c r="H687" s="15" t="n">
        <f aca="false">G687*(1+IF(H$3&lt;=$O$2,$D687,$D687-($D687-$I$670)*MIN(H$3-$O$2,$Q$2)/$Q$2))</f>
        <v>8227.69254709637</v>
      </c>
      <c r="I687" s="15" t="n">
        <f aca="false">H687*(1+IF(I$3&lt;=$O$2,$D687,$D687-($D687-$I$670)*MIN(I$3-$O$2,$Q$2)/$Q$2))</f>
        <v>9054.34113071997</v>
      </c>
      <c r="J687" s="15" t="n">
        <f aca="false">I687*(1+IF(J$3&lt;=$O$2,$D687,$D687-($D687-$I$670)*MIN(J$3-$O$2,$Q$2)/$Q$2))</f>
        <v>9842.40560582471</v>
      </c>
      <c r="K687" s="15" t="n">
        <f aca="false">J687*(1+IF(K$3&lt;=$O$2,$D687,$D687-($D687-$I$670)*MIN(K$3-$O$2,$Q$2)/$Q$2))</f>
        <v>10566.835181205</v>
      </c>
      <c r="L687" s="15" t="n">
        <f aca="false">K687*(1+IF(L$3&lt;=$O$2,$D687,$D687-($D687-$I$670)*MIN(L$3-$O$2,$Q$2)/$Q$2))</f>
        <v>11202.6268460421</v>
      </c>
      <c r="M687" s="15" t="n">
        <f aca="false">L687*(1+IF(M$3&lt;=$O$2,$D687,$D687-($D687-$I$670)*MIN(M$3-$O$2,$Q$2)/$Q$2))</f>
        <v>11726.173762195</v>
      </c>
      <c r="N687" s="15" t="n">
        <f aca="false">M687*(1+IF(N$3&lt;=$O$2,$D687,$D687-($D687-$I$670)*MIN(N$3-$O$2,$Q$2)/$Q$2))</f>
        <v>12116.6553484761</v>
      </c>
      <c r="O687" s="15" t="n">
        <f aca="false">SUMPRODUCT(E687:N687,1/(1+$F$670)^$E$3:$N$3)*$E$2</f>
        <v>22019.5223172384</v>
      </c>
      <c r="P687" s="15" t="n">
        <f aca="false">N687*$E$2*(1+$I$670)/($F$670-$I$670)/(1+$F$670)^$N$3</f>
        <v>38994.0869029349</v>
      </c>
      <c r="Q687" s="15" t="n">
        <f aca="false">O687+P687</f>
        <v>61013.6092201733</v>
      </c>
      <c r="R687" s="15" t="n">
        <f aca="false">Q687-$G$2+$I$2</f>
        <v>52248.6092201733</v>
      </c>
      <c r="S687" s="40" t="n">
        <f aca="false">R687/$K$2</f>
        <v>93.4713392611064</v>
      </c>
      <c r="T687" s="41" t="n">
        <f aca="false">S687-$M$2</f>
        <v>-0.00248806724165718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0.100471496582031</v>
      </c>
      <c r="C688" s="25" t="n">
        <f aca="false">IF(T687&gt;0,D687,C687)</f>
        <v>0.100494384765625</v>
      </c>
      <c r="D688" s="39" t="n">
        <f aca="false">(B688+C688)/2</f>
        <v>0.100482940673828</v>
      </c>
      <c r="E688" s="15" t="n">
        <f aca="false">$C$2*(1+IF(E$3&lt;=$O$2,$D688,$D688-($D688-$I$670)*MIN(E$3-$O$2,$Q$2)/$Q$2))</f>
        <v>6173.70929718018</v>
      </c>
      <c r="F688" s="15" t="n">
        <f aca="false">E688*(1+IF(F$3&lt;=$O$2,$D688,$D688-($D688-$I$670)*MIN(F$3-$O$2,$Q$2)/$Q$2))</f>
        <v>6794.06176222619</v>
      </c>
      <c r="G688" s="15" t="n">
        <f aca="false">F688*(1+IF(G$3&lt;=$O$2,$D688,$D688-($D688-$I$670)*MIN(G$3-$O$2,$Q$2)/$Q$2))</f>
        <v>7476.74906721429</v>
      </c>
      <c r="H688" s="15" t="n">
        <f aca="false">G688*(1+IF(H$3&lt;=$O$2,$D688,$D688-($D688-$I$670)*MIN(H$3-$O$2,$Q$2)/$Q$2))</f>
        <v>8228.03480016829</v>
      </c>
      <c r="I688" s="15" t="n">
        <f aca="false">H688*(1+IF(I$3&lt;=$O$2,$D688,$D688-($D688-$I$670)*MIN(I$3-$O$2,$Q$2)/$Q$2))</f>
        <v>9054.81193285579</v>
      </c>
      <c r="J688" s="15" t="n">
        <f aca="false">I688*(1+IF(J$3&lt;=$O$2,$D688,$D688-($D688-$I$670)*MIN(J$3-$O$2,$Q$2)/$Q$2))</f>
        <v>9843.00028453806</v>
      </c>
      <c r="K688" s="15" t="n">
        <f aca="false">J688*(1+IF(K$3&lt;=$O$2,$D688,$D688-($D688-$I$670)*MIN(K$3-$O$2,$Q$2)/$Q$2))</f>
        <v>10567.5412165143</v>
      </c>
      <c r="L688" s="15" t="n">
        <f aca="false">K688*(1+IF(L$3&lt;=$O$2,$D688,$D688-($D688-$I$670)*MIN(L$3-$O$2,$Q$2)/$Q$2))</f>
        <v>11203.4237368712</v>
      </c>
      <c r="M688" s="15" t="n">
        <f aca="false">L688*(1+IF(M$3&lt;=$O$2,$D688,$D688-($D688-$I$670)*MIN(M$3-$O$2,$Q$2)/$Q$2))</f>
        <v>11727.0335377606</v>
      </c>
      <c r="N688" s="15" t="n">
        <f aca="false">M688*(1+IF(N$3&lt;=$O$2,$D688,$D688-($D688-$I$670)*MIN(N$3-$O$2,$Q$2)/$Q$2))</f>
        <v>12117.543754568</v>
      </c>
      <c r="O688" s="15" t="n">
        <f aca="false">SUMPRODUCT(E688:N688,1/(1+$F$670)^$E$3:$N$3)*$E$2</f>
        <v>22020.6215614953</v>
      </c>
      <c r="P688" s="15" t="n">
        <f aca="false">N688*$E$2*(1+$I$670)/($F$670-$I$670)/(1+$F$670)^$N$3</f>
        <v>38996.9459909718</v>
      </c>
      <c r="Q688" s="15" t="n">
        <f aca="false">O688+P688</f>
        <v>61017.5675524671</v>
      </c>
      <c r="R688" s="15" t="n">
        <f aca="false">Q688-$G$2+$I$2</f>
        <v>52252.5675524671</v>
      </c>
      <c r="S688" s="40" t="n">
        <f aca="false">R688/$K$2</f>
        <v>93.4784206098019</v>
      </c>
      <c r="T688" s="41" t="n">
        <f aca="false">S688-$M$2</f>
        <v>0.0045932814538503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0.100471496582031</v>
      </c>
      <c r="C689" s="25" t="n">
        <f aca="false">IF(T688&gt;0,D688,C688)</f>
        <v>0.100482940673828</v>
      </c>
      <c r="D689" s="39" t="n">
        <f aca="false">(B689+C689)/2</f>
        <v>0.10047721862793</v>
      </c>
      <c r="E689" s="15" t="n">
        <f aca="false">$C$2*(1+IF(E$3&lt;=$O$2,$D689,$D689-($D689-$I$670)*MIN(E$3-$O$2,$Q$2)/$Q$2))</f>
        <v>6173.67719650269</v>
      </c>
      <c r="F689" s="15" t="n">
        <f aca="false">E689*(1+IF(F$3&lt;=$O$2,$D689,$D689-($D689-$I$670)*MIN(F$3-$O$2,$Q$2)/$Q$2))</f>
        <v>6793.99110991395</v>
      </c>
      <c r="G689" s="15" t="n">
        <f aca="false">F689*(1+IF(G$3&lt;=$O$2,$D689,$D689-($D689-$I$670)*MIN(G$3-$O$2,$Q$2)/$Q$2))</f>
        <v>7476.63244002098</v>
      </c>
      <c r="H689" s="15" t="n">
        <f aca="false">G689*(1+IF(H$3&lt;=$O$2,$D689,$D689-($D689-$I$670)*MIN(H$3-$O$2,$Q$2)/$Q$2))</f>
        <v>8227.86367229764</v>
      </c>
      <c r="I689" s="15" t="n">
        <f aca="false">H689*(1+IF(I$3&lt;=$O$2,$D689,$D689-($D689-$I$670)*MIN(I$3-$O$2,$Q$2)/$Q$2))</f>
        <v>9054.57652933989</v>
      </c>
      <c r="J689" s="15" t="n">
        <f aca="false">I689*(1+IF(J$3&lt;=$O$2,$D689,$D689-($D689-$I$670)*MIN(J$3-$O$2,$Q$2)/$Q$2))</f>
        <v>9842.70294144274</v>
      </c>
      <c r="K689" s="15" t="n">
        <f aca="false">J689*(1+IF(K$3&lt;=$O$2,$D689,$D689-($D689-$I$670)*MIN(K$3-$O$2,$Q$2)/$Q$2))</f>
        <v>10567.188193825</v>
      </c>
      <c r="L689" s="15" t="n">
        <f aca="false">K689*(1+IF(L$3&lt;=$O$2,$D689,$D689-($D689-$I$670)*MIN(L$3-$O$2,$Q$2)/$Q$2))</f>
        <v>11203.025285311</v>
      </c>
      <c r="M689" s="15" t="n">
        <f aca="false">L689*(1+IF(M$3&lt;=$O$2,$D689,$D689-($D689-$I$670)*MIN(M$3-$O$2,$Q$2)/$Q$2))</f>
        <v>11726.603643089</v>
      </c>
      <c r="N689" s="15" t="n">
        <f aca="false">M689*(1+IF(N$3&lt;=$O$2,$D689,$D689-($D689-$I$670)*MIN(N$3-$O$2,$Q$2)/$Q$2))</f>
        <v>12117.0995444039</v>
      </c>
      <c r="O689" s="15" t="n">
        <f aca="false">SUMPRODUCT(E689:N689,1/(1+$F$670)^$E$3:$N$3)*$E$2</f>
        <v>22020.0719325616</v>
      </c>
      <c r="P689" s="15" t="n">
        <f aca="false">N689*$E$2*(1+$I$670)/($F$670-$I$670)/(1+$F$670)^$N$3</f>
        <v>38995.5164240455</v>
      </c>
      <c r="Q689" s="15" t="n">
        <f aca="false">O689+P689</f>
        <v>61015.588356607</v>
      </c>
      <c r="R689" s="15" t="n">
        <f aca="false">Q689-$G$2+$I$2</f>
        <v>52250.588356607</v>
      </c>
      <c r="S689" s="40" t="n">
        <f aca="false">R689/$K$2</f>
        <v>93.4748798822981</v>
      </c>
      <c r="T689" s="41" t="n">
        <f aca="false">S689-$M$2</f>
        <v>0.00105255395004633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0.100471496582031</v>
      </c>
      <c r="C690" s="25" t="n">
        <f aca="false">IF(T689&gt;0,D689,C689)</f>
        <v>0.10047721862793</v>
      </c>
      <c r="D690" s="39" t="n">
        <f aca="false">(B690+C690)/2</f>
        <v>0.10047435760498</v>
      </c>
      <c r="E690" s="15" t="n">
        <f aca="false">$C$2*(1+IF(E$3&lt;=$O$2,$D690,$D690-($D690-$I$670)*MIN(E$3-$O$2,$Q$2)/$Q$2))</f>
        <v>6173.66114616394</v>
      </c>
      <c r="F690" s="15" t="n">
        <f aca="false">E690*(1+IF(F$3&lt;=$O$2,$D690,$D690-($D690-$I$670)*MIN(F$3-$O$2,$Q$2)/$Q$2))</f>
        <v>6793.95578389559</v>
      </c>
      <c r="G690" s="15" t="n">
        <f aca="false">F690*(1+IF(G$3&lt;=$O$2,$D690,$D690-($D690-$I$670)*MIN(G$3-$O$2,$Q$2)/$Q$2))</f>
        <v>7476.57412687914</v>
      </c>
      <c r="H690" s="15" t="n">
        <f aca="false">G690*(1+IF(H$3&lt;=$O$2,$D690,$D690-($D690-$I$670)*MIN(H$3-$O$2,$Q$2)/$Q$2))</f>
        <v>8227.77810936334</v>
      </c>
      <c r="I690" s="15" t="n">
        <f aca="false">H690*(1+IF(I$3&lt;=$O$2,$D690,$D690-($D690-$I$670)*MIN(I$3-$O$2,$Q$2)/$Q$2))</f>
        <v>9054.45882941794</v>
      </c>
      <c r="J690" s="15" t="n">
        <f aca="false">I690*(1+IF(J$3&lt;=$O$2,$D690,$D690-($D690-$I$670)*MIN(J$3-$O$2,$Q$2)/$Q$2))</f>
        <v>9842.55427269908</v>
      </c>
      <c r="K690" s="15" t="n">
        <f aca="false">J690*(1+IF(K$3&lt;=$O$2,$D690,$D690-($D690-$I$670)*MIN(K$3-$O$2,$Q$2)/$Q$2))</f>
        <v>10567.0116862564</v>
      </c>
      <c r="L690" s="15" t="n">
        <f aca="false">K690*(1+IF(L$3&lt;=$O$2,$D690,$D690-($D690-$I$670)*MIN(L$3-$O$2,$Q$2)/$Q$2))</f>
        <v>11202.8260641402</v>
      </c>
      <c r="M690" s="15" t="n">
        <f aca="false">L690*(1+IF(M$3&lt;=$O$2,$D690,$D690-($D690-$I$670)*MIN(M$3-$O$2,$Q$2)/$Q$2))</f>
        <v>11726.3887009198</v>
      </c>
      <c r="N690" s="15" t="n">
        <f aca="false">M690*(1+IF(N$3&lt;=$O$2,$D690,$D690-($D690-$I$670)*MIN(N$3-$O$2,$Q$2)/$Q$2))</f>
        <v>12116.8774446605</v>
      </c>
      <c r="O690" s="15" t="n">
        <f aca="false">SUMPRODUCT(E690:N690,1/(1+$F$670)^$E$3:$N$3)*$E$2</f>
        <v>22019.7971231987</v>
      </c>
      <c r="P690" s="15" t="n">
        <f aca="false">N690*$E$2*(1+$I$670)/($F$670-$I$670)/(1+$F$670)^$N$3</f>
        <v>38994.8016577633</v>
      </c>
      <c r="Q690" s="15" t="n">
        <f aca="false">O690+P690</f>
        <v>61014.598780962</v>
      </c>
      <c r="R690" s="15" t="n">
        <f aca="false">Q690-$G$2+$I$2</f>
        <v>52249.598780962</v>
      </c>
      <c r="S690" s="40" t="n">
        <f aca="false">R690/$K$2</f>
        <v>93.4731095584134</v>
      </c>
      <c r="T690" s="41" t="n">
        <f aca="false">S690-$M$2</f>
        <v>-0.000717769934638568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0.10047435760498</v>
      </c>
      <c r="C691" s="25" t="n">
        <f aca="false">IF(T690&gt;0,D690,C690)</f>
        <v>0.10047721862793</v>
      </c>
      <c r="D691" s="39" t="n">
        <f aca="false">(B691+C691)/2</f>
        <v>0.100475788116455</v>
      </c>
      <c r="E691" s="15" t="n">
        <f aca="false">$C$2*(1+IF(E$3&lt;=$O$2,$D691,$D691-($D691-$I$670)*MIN(E$3-$O$2,$Q$2)/$Q$2))</f>
        <v>6173.66917133331</v>
      </c>
      <c r="F691" s="15" t="n">
        <f aca="false">E691*(1+IF(F$3&lt;=$O$2,$D691,$D691-($D691-$I$670)*MIN(F$3-$O$2,$Q$2)/$Q$2))</f>
        <v>6793.97344689329</v>
      </c>
      <c r="G691" s="15" t="n">
        <f aca="false">F691*(1+IF(G$3&lt;=$O$2,$D691,$D691-($D691-$I$670)*MIN(G$3-$O$2,$Q$2)/$Q$2))</f>
        <v>7476.60328341216</v>
      </c>
      <c r="H691" s="15" t="n">
        <f aca="false">G691*(1+IF(H$3&lt;=$O$2,$D691,$D691-($D691-$I$670)*MIN(H$3-$O$2,$Q$2)/$Q$2))</f>
        <v>8227.82089074707</v>
      </c>
      <c r="I691" s="15" t="n">
        <f aca="false">H691*(1+IF(I$3&lt;=$O$2,$D691,$D691-($D691-$I$670)*MIN(I$3-$O$2,$Q$2)/$Q$2))</f>
        <v>9054.51767922592</v>
      </c>
      <c r="J691" s="15" t="n">
        <f aca="false">I691*(1+IF(J$3&lt;=$O$2,$D691,$D691-($D691-$I$670)*MIN(J$3-$O$2,$Q$2)/$Q$2))</f>
        <v>9842.62860683725</v>
      </c>
      <c r="K691" s="15" t="n">
        <f aca="false">J691*(1+IF(K$3&lt;=$O$2,$D691,$D691-($D691-$I$670)*MIN(K$3-$O$2,$Q$2)/$Q$2))</f>
        <v>10567.099939726</v>
      </c>
      <c r="L691" s="15" t="n">
        <f aca="false">K691*(1+IF(L$3&lt;=$O$2,$D691,$D691-($D691-$I$670)*MIN(L$3-$O$2,$Q$2)/$Q$2))</f>
        <v>11202.9256743415</v>
      </c>
      <c r="M691" s="15" t="n">
        <f aca="false">L691*(1+IF(M$3&lt;=$O$2,$D691,$D691-($D691-$I$670)*MIN(M$3-$O$2,$Q$2)/$Q$2))</f>
        <v>11726.4961715739</v>
      </c>
      <c r="N691" s="15" t="n">
        <f aca="false">M691*(1+IF(N$3&lt;=$O$2,$D691,$D691-($D691-$I$670)*MIN(N$3-$O$2,$Q$2)/$Q$2))</f>
        <v>12116.9884940873</v>
      </c>
      <c r="O691" s="15" t="n">
        <f aca="false">SUMPRODUCT(E691:N691,1/(1+$F$670)^$E$3:$N$3)*$E$2</f>
        <v>22019.9345274548</v>
      </c>
      <c r="P691" s="15" t="n">
        <f aca="false">N691*$E$2*(1+$I$670)/($F$670-$I$670)/(1+$F$670)^$N$3</f>
        <v>38995.1590394726</v>
      </c>
      <c r="Q691" s="15" t="n">
        <f aca="false">O691+P691</f>
        <v>61015.0935669274</v>
      </c>
      <c r="R691" s="15" t="n">
        <f aca="false">Q691-$G$2+$I$2</f>
        <v>52250.0935669274</v>
      </c>
      <c r="S691" s="40" t="n">
        <f aca="false">R691/$K$2</f>
        <v>93.4739947170335</v>
      </c>
      <c r="T691" s="41" t="n">
        <f aca="false">S691-$M$2</f>
        <v>0.000167388685454739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0.10047435760498</v>
      </c>
      <c r="C692" s="25" t="n">
        <f aca="false">IF(T691&gt;0,D691,C691)</f>
        <v>0.100475788116455</v>
      </c>
      <c r="D692" s="39" t="n">
        <f aca="false">(B692+C692)/2</f>
        <v>0.100475072860718</v>
      </c>
      <c r="E692" s="15" t="n">
        <f aca="false">$C$2*(1+IF(E$3&lt;=$O$2,$D692,$D692-($D692-$I$670)*MIN(E$3-$O$2,$Q$2)/$Q$2))</f>
        <v>6173.66515874863</v>
      </c>
      <c r="F692" s="15" t="n">
        <f aca="false">E692*(1+IF(F$3&lt;=$O$2,$D692,$D692-($D692-$I$670)*MIN(F$3-$O$2,$Q$2)/$Q$2))</f>
        <v>6793.96461539157</v>
      </c>
      <c r="G692" s="15" t="n">
        <f aca="false">F692*(1+IF(G$3&lt;=$O$2,$D692,$D692-($D692-$I$670)*MIN(G$3-$O$2,$Q$2)/$Q$2))</f>
        <v>7476.58870513618</v>
      </c>
      <c r="H692" s="15" t="n">
        <f aca="false">G692*(1+IF(H$3&lt;=$O$2,$D692,$D692-($D692-$I$670)*MIN(H$3-$O$2,$Q$2)/$Q$2))</f>
        <v>8227.79950003435</v>
      </c>
      <c r="I692" s="15" t="n">
        <f aca="false">H692*(1+IF(I$3&lt;=$O$2,$D692,$D692-($D692-$I$670)*MIN(I$3-$O$2,$Q$2)/$Q$2))</f>
        <v>9054.48825428368</v>
      </c>
      <c r="J692" s="15" t="n">
        <f aca="false">I692*(1+IF(J$3&lt;=$O$2,$D692,$D692-($D692-$I$670)*MIN(J$3-$O$2,$Q$2)/$Q$2))</f>
        <v>9842.59143970975</v>
      </c>
      <c r="K692" s="15" t="n">
        <f aca="false">J692*(1+IF(K$3&lt;=$O$2,$D692,$D692-($D692-$I$670)*MIN(K$3-$O$2,$Q$2)/$Q$2))</f>
        <v>10567.0558129125</v>
      </c>
      <c r="L692" s="15" t="n">
        <f aca="false">K692*(1+IF(L$3&lt;=$O$2,$D692,$D692-($D692-$I$670)*MIN(L$3-$O$2,$Q$2)/$Q$2))</f>
        <v>11202.8758691448</v>
      </c>
      <c r="M692" s="15" t="n">
        <f aca="false">L692*(1+IF(M$3&lt;=$O$2,$D692,$D692-($D692-$I$670)*MIN(M$3-$O$2,$Q$2)/$Q$2))</f>
        <v>11726.4424361392</v>
      </c>
      <c r="N692" s="15" t="n">
        <f aca="false">M692*(1+IF(N$3&lt;=$O$2,$D692,$D692-($D692-$I$670)*MIN(N$3-$O$2,$Q$2)/$Q$2))</f>
        <v>12116.9329692626</v>
      </c>
      <c r="O692" s="15" t="n">
        <f aca="false">SUMPRODUCT(E692:N692,1/(1+$F$670)^$E$3:$N$3)*$E$2</f>
        <v>22019.8658252204</v>
      </c>
      <c r="P692" s="15" t="n">
        <f aca="false">N692*$E$2*(1+$I$670)/($F$670-$I$670)/(1+$F$670)^$N$3</f>
        <v>38994.98034826</v>
      </c>
      <c r="Q692" s="15" t="n">
        <f aca="false">O692+P692</f>
        <v>61014.8461734804</v>
      </c>
      <c r="R692" s="15" t="n">
        <f aca="false">Q692-$G$2+$I$2</f>
        <v>52249.8461734804</v>
      </c>
      <c r="S692" s="40" t="n">
        <f aca="false">R692/$K$2</f>
        <v>93.4735521368929</v>
      </c>
      <c r="T692" s="41" t="n">
        <f aca="false">S692-$M$2</f>
        <v>-0.000275191455145318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0.100475072860718</v>
      </c>
      <c r="C693" s="25" t="n">
        <f aca="false">IF(T692&gt;0,D692,C692)</f>
        <v>0.100475788116455</v>
      </c>
      <c r="D693" s="39" t="n">
        <f aca="false">(B693+C693)/2</f>
        <v>0.100475430488586</v>
      </c>
      <c r="E693" s="15" t="n">
        <f aca="false">$C$2*(1+IF(E$3&lt;=$O$2,$D693,$D693-($D693-$I$670)*MIN(E$3-$O$2,$Q$2)/$Q$2))</f>
        <v>6173.66716504097</v>
      </c>
      <c r="F693" s="15" t="n">
        <f aca="false">E693*(1+IF(F$3&lt;=$O$2,$D693,$D693-($D693-$I$670)*MIN(F$3-$O$2,$Q$2)/$Q$2))</f>
        <v>6793.96903114171</v>
      </c>
      <c r="G693" s="15" t="n">
        <f aca="false">F693*(1+IF(G$3&lt;=$O$2,$D693,$D693-($D693-$I$670)*MIN(G$3-$O$2,$Q$2)/$Q$2))</f>
        <v>7476.5959942718</v>
      </c>
      <c r="H693" s="15" t="n">
        <f aca="false">G693*(1+IF(H$3&lt;=$O$2,$D693,$D693-($D693-$I$670)*MIN(H$3-$O$2,$Q$2)/$Q$2))</f>
        <v>8227.8101953855</v>
      </c>
      <c r="I693" s="15" t="n">
        <f aca="false">H693*(1+IF(I$3&lt;=$O$2,$D693,$D693-($D693-$I$670)*MIN(I$3-$O$2,$Q$2)/$Q$2))</f>
        <v>9054.50296674524</v>
      </c>
      <c r="J693" s="15" t="n">
        <f aca="false">I693*(1+IF(J$3&lt;=$O$2,$D693,$D693-($D693-$I$670)*MIN(J$3-$O$2,$Q$2)/$Q$2))</f>
        <v>9842.61002325889</v>
      </c>
      <c r="K693" s="15" t="n">
        <f aca="false">J693*(1+IF(K$3&lt;=$O$2,$D693,$D693-($D693-$I$670)*MIN(K$3-$O$2,$Q$2)/$Q$2))</f>
        <v>10567.0778762996</v>
      </c>
      <c r="L693" s="15" t="n">
        <f aca="false">K693*(1+IF(L$3&lt;=$O$2,$D693,$D693-($D693-$I$670)*MIN(L$3-$O$2,$Q$2)/$Q$2))</f>
        <v>11202.9007717191</v>
      </c>
      <c r="M693" s="15" t="n">
        <f aca="false">L693*(1+IF(M$3&lt;=$O$2,$D693,$D693-($D693-$I$670)*MIN(M$3-$O$2,$Q$2)/$Q$2))</f>
        <v>11726.4693038296</v>
      </c>
      <c r="N693" s="15" t="n">
        <f aca="false">M693*(1+IF(N$3&lt;=$O$2,$D693,$D693-($D693-$I$670)*MIN(N$3-$O$2,$Q$2)/$Q$2))</f>
        <v>12116.9607316472</v>
      </c>
      <c r="O693" s="15" t="n">
        <f aca="false">SUMPRODUCT(E693:N693,1/(1+$F$670)^$E$3:$N$3)*$E$2</f>
        <v>22019.900176311</v>
      </c>
      <c r="P693" s="15" t="n">
        <f aca="false">N693*$E$2*(1+$I$670)/($F$670-$I$670)/(1+$F$670)^$N$3</f>
        <v>38995.0696937769</v>
      </c>
      <c r="Q693" s="15" t="n">
        <f aca="false">O693+P693</f>
        <v>61014.9698700879</v>
      </c>
      <c r="R693" s="15" t="n">
        <f aca="false">Q693-$G$2+$I$2</f>
        <v>52249.9698700879</v>
      </c>
      <c r="S693" s="40" t="n">
        <f aca="false">R693/$K$2</f>
        <v>93.4737734267556</v>
      </c>
      <c r="T693" s="41" t="n">
        <f aca="false">S693-$M$2</f>
        <v>-5.3901592465877E-005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0.100475430488586</v>
      </c>
      <c r="C694" s="25" t="n">
        <f aca="false">IF(T693&gt;0,D693,C693)</f>
        <v>0.100475788116455</v>
      </c>
      <c r="D694" s="39" t="n">
        <f aca="false">(B694+C694)/2</f>
        <v>0.100475609302521</v>
      </c>
      <c r="E694" s="15" t="n">
        <f aca="false">$C$2*(1+IF(E$3&lt;=$O$2,$D694,$D694-($D694-$I$670)*MIN(E$3-$O$2,$Q$2)/$Q$2))</f>
        <v>6173.66816818714</v>
      </c>
      <c r="F694" s="15" t="n">
        <f aca="false">E694*(1+IF(F$3&lt;=$O$2,$D694,$D694-($D694-$I$670)*MIN(F$3-$O$2,$Q$2)/$Q$2))</f>
        <v>6793.97123901732</v>
      </c>
      <c r="G694" s="15" t="n">
        <f aca="false">F694*(1+IF(G$3&lt;=$O$2,$D694,$D694-($D694-$I$670)*MIN(G$3-$O$2,$Q$2)/$Q$2))</f>
        <v>7476.59963884139</v>
      </c>
      <c r="H694" s="15" t="n">
        <f aca="false">G694*(1+IF(H$3&lt;=$O$2,$D694,$D694-($D694-$I$670)*MIN(H$3-$O$2,$Q$2)/$Q$2))</f>
        <v>8227.81554306498</v>
      </c>
      <c r="I694" s="15" t="n">
        <f aca="false">H694*(1+IF(I$3&lt;=$O$2,$D694,$D694-($D694-$I$670)*MIN(I$3-$O$2,$Q$2)/$Q$2))</f>
        <v>9054.51032298319</v>
      </c>
      <c r="J694" s="15" t="n">
        <f aca="false">I694*(1+IF(J$3&lt;=$O$2,$D694,$D694-($D694-$I$670)*MIN(J$3-$O$2,$Q$2)/$Q$2))</f>
        <v>9842.61931504442</v>
      </c>
      <c r="K694" s="15" t="n">
        <f aca="false">J694*(1+IF(K$3&lt;=$O$2,$D694,$D694-($D694-$I$670)*MIN(K$3-$O$2,$Q$2)/$Q$2))</f>
        <v>10567.0889080079</v>
      </c>
      <c r="L694" s="15" t="n">
        <f aca="false">K694*(1+IF(L$3&lt;=$O$2,$D694,$D694-($D694-$I$670)*MIN(L$3-$O$2,$Q$2)/$Q$2))</f>
        <v>11202.9132230243</v>
      </c>
      <c r="M694" s="15" t="n">
        <f aca="false">L694*(1+IF(M$3&lt;=$O$2,$D694,$D694-($D694-$I$670)*MIN(M$3-$O$2,$Q$2)/$Q$2))</f>
        <v>11726.482737695</v>
      </c>
      <c r="N694" s="15" t="n">
        <f aca="false">M694*(1+IF(N$3&lt;=$O$2,$D694,$D694-($D694-$I$670)*MIN(N$3-$O$2,$Q$2)/$Q$2))</f>
        <v>12116.9746128603</v>
      </c>
      <c r="O694" s="15" t="n">
        <f aca="false">SUMPRODUCT(E694:N694,1/(1+$F$670)^$E$3:$N$3)*$E$2</f>
        <v>22019.9173518762</v>
      </c>
      <c r="P694" s="15" t="n">
        <f aca="false">N694*$E$2*(1+$I$670)/($F$670-$I$670)/(1+$F$670)^$N$3</f>
        <v>38995.1143666024</v>
      </c>
      <c r="Q694" s="15" t="n">
        <f aca="false">O694+P694</f>
        <v>61015.0317184786</v>
      </c>
      <c r="R694" s="15" t="n">
        <f aca="false">Q694-$G$2+$I$2</f>
        <v>52250.0317184786</v>
      </c>
      <c r="S694" s="40" t="n">
        <f aca="false">R694/$K$2</f>
        <v>93.4738840718426</v>
      </c>
      <c r="T694" s="41" t="n">
        <f aca="false">S694-$M$2</f>
        <v>5.6743494553757E-005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0.100475430488586</v>
      </c>
      <c r="C695" s="25" t="n">
        <f aca="false">IF(T694&gt;0,D694,C694)</f>
        <v>0.100475609302521</v>
      </c>
      <c r="D695" s="39" t="n">
        <f aca="false">(B695+C695)/2</f>
        <v>0.100475519895554</v>
      </c>
      <c r="E695" s="15" t="n">
        <f aca="false">$C$2*(1+IF(E$3&lt;=$O$2,$D695,$D695-($D695-$I$670)*MIN(E$3-$O$2,$Q$2)/$Q$2))</f>
        <v>6173.66766661406</v>
      </c>
      <c r="F695" s="15" t="n">
        <f aca="false">E695*(1+IF(F$3&lt;=$O$2,$D695,$D695-($D695-$I$670)*MIN(F$3-$O$2,$Q$2)/$Q$2))</f>
        <v>6793.97013507947</v>
      </c>
      <c r="G695" s="15" t="n">
        <f aca="false">F695*(1+IF(G$3&lt;=$O$2,$D695,$D695-($D695-$I$670)*MIN(G$3-$O$2,$Q$2)/$Q$2))</f>
        <v>7476.59781655645</v>
      </c>
      <c r="H695" s="15" t="n">
        <f aca="false">G695*(1+IF(H$3&lt;=$O$2,$D695,$D695-($D695-$I$670)*MIN(H$3-$O$2,$Q$2)/$Q$2))</f>
        <v>8227.81286922492</v>
      </c>
      <c r="I695" s="15" t="n">
        <f aca="false">H695*(1+IF(I$3&lt;=$O$2,$D695,$D695-($D695-$I$670)*MIN(I$3-$O$2,$Q$2)/$Q$2))</f>
        <v>9054.50664486362</v>
      </c>
      <c r="J695" s="15" t="n">
        <f aca="false">I695*(1+IF(J$3&lt;=$O$2,$D695,$D695-($D695-$I$670)*MIN(J$3-$O$2,$Q$2)/$Q$2))</f>
        <v>9842.61466915074</v>
      </c>
      <c r="K695" s="15" t="n">
        <f aca="false">J695*(1+IF(K$3&lt;=$O$2,$D695,$D695-($D695-$I$670)*MIN(K$3-$O$2,$Q$2)/$Q$2))</f>
        <v>10567.0833921525</v>
      </c>
      <c r="L695" s="15" t="n">
        <f aca="false">K695*(1+IF(L$3&lt;=$O$2,$D695,$D695-($D695-$I$670)*MIN(L$3-$O$2,$Q$2)/$Q$2))</f>
        <v>11202.9069973702</v>
      </c>
      <c r="M695" s="15" t="n">
        <f aca="false">L695*(1+IF(M$3&lt;=$O$2,$D695,$D695-($D695-$I$670)*MIN(M$3-$O$2,$Q$2)/$Q$2))</f>
        <v>11726.4760207606</v>
      </c>
      <c r="N695" s="15" t="n">
        <f aca="false">M695*(1+IF(N$3&lt;=$O$2,$D695,$D695-($D695-$I$670)*MIN(N$3-$O$2,$Q$2)/$Q$2))</f>
        <v>12116.967672252</v>
      </c>
      <c r="O695" s="15" t="n">
        <f aca="false">SUMPRODUCT(E695:N695,1/(1+$F$670)^$E$3:$N$3)*$E$2</f>
        <v>22019.908764092</v>
      </c>
      <c r="P695" s="15" t="n">
        <f aca="false">N695*$E$2*(1+$I$670)/($F$670-$I$670)/(1+$F$670)^$N$3</f>
        <v>38995.092030184</v>
      </c>
      <c r="Q695" s="15" t="n">
        <f aca="false">O695+P695</f>
        <v>61015.000794276</v>
      </c>
      <c r="R695" s="15" t="n">
        <f aca="false">Q695-$G$2+$I$2</f>
        <v>52250.000794276</v>
      </c>
      <c r="S695" s="40" t="n">
        <f aca="false">R695/$K$2</f>
        <v>93.4738287492861</v>
      </c>
      <c r="T695" s="41" t="n">
        <f aca="false">S695-$M$2</f>
        <v>1.42093803390253E-006</v>
      </c>
    </row>
    <row r="697" customFormat="false" ht="15" hidden="false" customHeight="false" outlineLevel="0" collapsed="false">
      <c r="A697" s="36" t="s">
        <v>211</v>
      </c>
      <c r="E697" s="5" t="s">
        <v>11</v>
      </c>
      <c r="F697" s="12" t="n">
        <f aca="false">Sensitivity!$B$14</f>
        <v>0.086736031552909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6" t="s">
        <v>167</v>
      </c>
      <c r="B698" s="28" t="s">
        <v>168</v>
      </c>
      <c r="C698" s="28" t="s">
        <v>169</v>
      </c>
      <c r="D698" s="28" t="s">
        <v>170</v>
      </c>
      <c r="E698" s="28" t="s">
        <v>171</v>
      </c>
      <c r="F698" s="28" t="s">
        <v>172</v>
      </c>
      <c r="G698" s="28" t="s">
        <v>173</v>
      </c>
      <c r="H698" s="28" t="s">
        <v>174</v>
      </c>
      <c r="I698" s="28" t="s">
        <v>175</v>
      </c>
      <c r="J698" s="28" t="s">
        <v>176</v>
      </c>
      <c r="K698" s="28" t="s">
        <v>177</v>
      </c>
      <c r="L698" s="28" t="s">
        <v>178</v>
      </c>
      <c r="M698" s="28" t="s">
        <v>179</v>
      </c>
      <c r="N698" s="28" t="s">
        <v>180</v>
      </c>
      <c r="O698" s="28" t="s">
        <v>181</v>
      </c>
      <c r="P698" s="28" t="s">
        <v>182</v>
      </c>
      <c r="Q698" s="28" t="s">
        <v>183</v>
      </c>
      <c r="R698" s="28" t="s">
        <v>184</v>
      </c>
      <c r="S698" s="28" t="s">
        <v>185</v>
      </c>
      <c r="T698" s="28" t="s">
        <v>186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39" t="n">
        <f aca="false">(B699+C699)/2</f>
        <v>0.25</v>
      </c>
      <c r="E699" s="15" t="n">
        <f aca="false">$C$2*(1+IF(E$3&lt;=$O$2,$D699,$D699-($D699-$I$697)*MIN(E$3-$O$2,$Q$2)/$Q$2))</f>
        <v>7012.5</v>
      </c>
      <c r="F699" s="15" t="n">
        <f aca="false">E699*(1+IF(F$3&lt;=$O$2,$D699,$D699-($D699-$I$697)*MIN(F$3-$O$2,$Q$2)/$Q$2))</f>
        <v>8765.625</v>
      </c>
      <c r="G699" s="15" t="n">
        <f aca="false">F699*(1+IF(G$3&lt;=$O$2,$D699,$D699-($D699-$I$697)*MIN(G$3-$O$2,$Q$2)/$Q$2))</f>
        <v>10957.03125</v>
      </c>
      <c r="H699" s="15" t="n">
        <f aca="false">G699*(1+IF(H$3&lt;=$O$2,$D699,$D699-($D699-$I$697)*MIN(H$3-$O$2,$Q$2)/$Q$2))</f>
        <v>13696.2890625</v>
      </c>
      <c r="I699" s="15" t="n">
        <f aca="false">H699*(1+IF(I$3&lt;=$O$2,$D699,$D699-($D699-$I$697)*MIN(I$3-$O$2,$Q$2)/$Q$2))</f>
        <v>17120.361328125</v>
      </c>
      <c r="J699" s="15" t="n">
        <f aca="false">I699*(1+IF(J$3&lt;=$O$2,$D699,$D699-($D699-$I$697)*MIN(J$3-$O$2,$Q$2)/$Q$2))</f>
        <v>20675.5755615234</v>
      </c>
      <c r="K699" s="15" t="n">
        <f aca="false">J699*(1+IF(K$3&lt;=$O$2,$D699,$D699-($D699-$I$697)*MIN(K$3-$O$2,$Q$2)/$Q$2))</f>
        <v>24093.6617133545</v>
      </c>
      <c r="L699" s="15" t="n">
        <f aca="false">K699*(1+IF(L$3&lt;=$O$2,$D699,$D699-($D699-$I$697)*MIN(L$3-$O$2,$Q$2)/$Q$2))</f>
        <v>27056.7002308628</v>
      </c>
      <c r="M699" s="15" t="n">
        <f aca="false">L699*(1+IF(M$3&lt;=$O$2,$D699,$D699-($D699-$I$697)*MIN(M$3-$O$2,$Q$2)/$Q$2))</f>
        <v>29238.5525374796</v>
      </c>
      <c r="N699" s="15" t="n">
        <f aca="false">M699*(1+IF(N$3&lt;=$O$2,$D699,$D699-($D699-$I$697)*MIN(N$3-$O$2,$Q$2)/$Q$2))</f>
        <v>30358.3890996651</v>
      </c>
      <c r="O699" s="15" t="n">
        <f aca="false">SUMPRODUCT(E699:N699,1/(1+$F$697)^$E$3:$N$3)*$E$2</f>
        <v>42247.0567333984</v>
      </c>
      <c r="P699" s="15" t="n">
        <f aca="false">N699*$E$2*(1+$I$697)/($F$697-$I$697)/(1+$F$697)^$N$3</f>
        <v>108307.066272179</v>
      </c>
      <c r="Q699" s="15" t="n">
        <f aca="false">O699+P699</f>
        <v>150554.123005578</v>
      </c>
      <c r="R699" s="15" t="n">
        <f aca="false">Q699-$G$2+$I$2</f>
        <v>141789.123005578</v>
      </c>
      <c r="S699" s="40" t="n">
        <f aca="false">R699/$K$2</f>
        <v>253.656880399259</v>
      </c>
      <c r="T699" s="41" t="n">
        <f aca="false">S699-$M$2</f>
        <v>160.183053070911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39" t="n">
        <f aca="false">(B700+C700)/2</f>
        <v>-0.125</v>
      </c>
      <c r="E700" s="15" t="n">
        <f aca="false">$C$2*(1+IF(E$3&lt;=$O$2,$D700,$D700-($D700-$I$697)*MIN(E$3-$O$2,$Q$2)/$Q$2))</f>
        <v>4908.75</v>
      </c>
      <c r="F700" s="15" t="n">
        <f aca="false">E700*(1+IF(F$3&lt;=$O$2,$D700,$D700-($D700-$I$697)*MIN(F$3-$O$2,$Q$2)/$Q$2))</f>
        <v>4295.15625</v>
      </c>
      <c r="G700" s="15" t="n">
        <f aca="false">F700*(1+IF(G$3&lt;=$O$2,$D700,$D700-($D700-$I$697)*MIN(G$3-$O$2,$Q$2)/$Q$2))</f>
        <v>3758.26171875</v>
      </c>
      <c r="H700" s="15" t="n">
        <f aca="false">G700*(1+IF(H$3&lt;=$O$2,$D700,$D700-($D700-$I$697)*MIN(H$3-$O$2,$Q$2)/$Q$2))</f>
        <v>3288.47900390625</v>
      </c>
      <c r="I700" s="15" t="n">
        <f aca="false">H700*(1+IF(I$3&lt;=$O$2,$D700,$D700-($D700-$I$697)*MIN(I$3-$O$2,$Q$2)/$Q$2))</f>
        <v>2877.41912841797</v>
      </c>
      <c r="J700" s="15" t="n">
        <f aca="false">I700*(1+IF(J$3&lt;=$O$2,$D700,$D700-($D700-$I$697)*MIN(J$3-$O$2,$Q$2)/$Q$2))</f>
        <v>2611.71824609985</v>
      </c>
      <c r="K700" s="15" t="n">
        <f aca="false">J700*(1+IF(K$3&lt;=$O$2,$D700,$D700-($D700-$I$697)*MIN(K$3-$O$2,$Q$2)/$Q$2))</f>
        <v>2455.85090117261</v>
      </c>
      <c r="L700" s="15" t="n">
        <f aca="false">K700*(1+IF(L$3&lt;=$O$2,$D700,$D700-($D700-$I$697)*MIN(L$3-$O$2,$Q$2)/$Q$2))</f>
        <v>2389.49380982293</v>
      </c>
      <c r="M700" s="15" t="n">
        <f aca="false">L700*(1+IF(M$3&lt;=$O$2,$D700,$D700-($D700-$I$697)*MIN(M$3-$O$2,$Q$2)/$Q$2))</f>
        <v>2402.97055491033</v>
      </c>
      <c r="N700" s="15" t="n">
        <f aca="false">M700*(1+IF(N$3&lt;=$O$2,$D700,$D700-($D700-$I$697)*MIN(N$3-$O$2,$Q$2)/$Q$2))</f>
        <v>2495.0043271634</v>
      </c>
      <c r="O700" s="15" t="n">
        <f aca="false">SUMPRODUCT(E700:N700,1/(1+$F$697)^$E$3:$N$3)*$E$2</f>
        <v>8314.94292431388</v>
      </c>
      <c r="P700" s="15" t="n">
        <f aca="false">N700*$E$2*(1+$I$697)/($F$697-$I$697)/(1+$F$697)^$N$3</f>
        <v>8901.21666615182</v>
      </c>
      <c r="Q700" s="15" t="n">
        <f aca="false">O700+P700</f>
        <v>17216.1595904657</v>
      </c>
      <c r="R700" s="15" t="n">
        <f aca="false">Q700-$G$2+$I$2</f>
        <v>8451.15959046569</v>
      </c>
      <c r="S700" s="40" t="n">
        <f aca="false">R700/$K$2</f>
        <v>15.1188943977704</v>
      </c>
      <c r="T700" s="41" t="n">
        <f aca="false">S700-$M$2</f>
        <v>-78.3549329305777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39" t="n">
        <f aca="false">(B701+C701)/2</f>
        <v>0.0625</v>
      </c>
      <c r="E701" s="15" t="n">
        <f aca="false">$C$2*(1+IF(E$3&lt;=$O$2,$D701,$D701-($D701-$I$697)*MIN(E$3-$O$2,$Q$2)/$Q$2))</f>
        <v>5960.625</v>
      </c>
      <c r="F701" s="15" t="n">
        <f aca="false">E701*(1+IF(F$3&lt;=$O$2,$D701,$D701-($D701-$I$697)*MIN(F$3-$O$2,$Q$2)/$Q$2))</f>
        <v>6333.1640625</v>
      </c>
      <c r="G701" s="15" t="n">
        <f aca="false">F701*(1+IF(G$3&lt;=$O$2,$D701,$D701-($D701-$I$697)*MIN(G$3-$O$2,$Q$2)/$Q$2))</f>
        <v>6728.98681640625</v>
      </c>
      <c r="H701" s="15" t="n">
        <f aca="false">G701*(1+IF(H$3&lt;=$O$2,$D701,$D701-($D701-$I$697)*MIN(H$3-$O$2,$Q$2)/$Q$2))</f>
        <v>7149.54849243164</v>
      </c>
      <c r="I701" s="15" t="n">
        <f aca="false">H701*(1+IF(I$3&lt;=$O$2,$D701,$D701-($D701-$I$697)*MIN(I$3-$O$2,$Q$2)/$Q$2))</f>
        <v>7596.39527320862</v>
      </c>
      <c r="J701" s="15" t="n">
        <f aca="false">I701*(1+IF(J$3&lt;=$O$2,$D701,$D701-($D701-$I$697)*MIN(J$3-$O$2,$Q$2)/$Q$2))</f>
        <v>8034.40342466183</v>
      </c>
      <c r="K701" s="15" t="n">
        <f aca="false">J701*(1+IF(K$3&lt;=$O$2,$D701,$D701-($D701-$I$697)*MIN(K$3-$O$2,$Q$2)/$Q$2))</f>
        <v>8458.78061355247</v>
      </c>
      <c r="L701" s="15" t="n">
        <f aca="false">K701*(1+IF(L$3&lt;=$O$2,$D701,$D701-($D701-$I$697)*MIN(L$3-$O$2,$Q$2)/$Q$2))</f>
        <v>8864.63290739071</v>
      </c>
      <c r="M701" s="15" t="n">
        <f aca="false">L701*(1+IF(M$3&lt;=$O$2,$D701,$D701-($D701-$I$697)*MIN(M$3-$O$2,$Q$2)/$Q$2))</f>
        <v>9247.05317101555</v>
      </c>
      <c r="N701" s="15" t="n">
        <f aca="false">M701*(1+IF(N$3&lt;=$O$2,$D701,$D701-($D701-$I$697)*MIN(N$3-$O$2,$Q$2)/$Q$2))</f>
        <v>9601.21530746544</v>
      </c>
      <c r="O701" s="15" t="n">
        <f aca="false">SUMPRODUCT(E701:N701,1/(1+$F$697)^$E$3:$N$3)*$E$2</f>
        <v>18712.8611701522</v>
      </c>
      <c r="P701" s="15" t="n">
        <f aca="false">N701*$E$2*(1+$I$697)/($F$697-$I$697)/(1+$F$697)^$N$3</f>
        <v>34253.4466893237</v>
      </c>
      <c r="Q701" s="15" t="n">
        <f aca="false">O701+P701</f>
        <v>52966.3078594758</v>
      </c>
      <c r="R701" s="15" t="n">
        <f aca="false">Q701-$G$2+$I$2</f>
        <v>44201.3078594758</v>
      </c>
      <c r="S701" s="40" t="n">
        <f aca="false">R701/$K$2</f>
        <v>79.0749362400727</v>
      </c>
      <c r="T701" s="41" t="n">
        <f aca="false">S701-$M$2</f>
        <v>-14.3988910882754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0.0625</v>
      </c>
      <c r="C702" s="25" t="n">
        <f aca="false">IF(T701&gt;0,D701,C701)</f>
        <v>0.25</v>
      </c>
      <c r="D702" s="39" t="n">
        <f aca="false">(B702+C702)/2</f>
        <v>0.15625</v>
      </c>
      <c r="E702" s="15" t="n">
        <f aca="false">$C$2*(1+IF(E$3&lt;=$O$2,$D702,$D702-($D702-$I$697)*MIN(E$3-$O$2,$Q$2)/$Q$2))</f>
        <v>6486.5625</v>
      </c>
      <c r="F702" s="15" t="n">
        <f aca="false">E702*(1+IF(F$3&lt;=$O$2,$D702,$D702-($D702-$I$697)*MIN(F$3-$O$2,$Q$2)/$Q$2))</f>
        <v>7500.087890625</v>
      </c>
      <c r="G702" s="15" t="n">
        <f aca="false">F702*(1+IF(G$3&lt;=$O$2,$D702,$D702-($D702-$I$697)*MIN(G$3-$O$2,$Q$2)/$Q$2))</f>
        <v>8671.97662353516</v>
      </c>
      <c r="H702" s="15" t="n">
        <f aca="false">G702*(1+IF(H$3&lt;=$O$2,$D702,$D702-($D702-$I$697)*MIN(H$3-$O$2,$Q$2)/$Q$2))</f>
        <v>10026.9729709625</v>
      </c>
      <c r="I702" s="15" t="n">
        <f aca="false">H702*(1+IF(I$3&lt;=$O$2,$D702,$D702-($D702-$I$697)*MIN(I$3-$O$2,$Q$2)/$Q$2))</f>
        <v>11593.6874976754</v>
      </c>
      <c r="J702" s="15" t="n">
        <f aca="false">I702*(1+IF(J$3&lt;=$O$2,$D702,$D702-($D702-$I$697)*MIN(J$3-$O$2,$Q$2)/$Q$2))</f>
        <v>13131.706081117</v>
      </c>
      <c r="K702" s="15" t="n">
        <f aca="false">J702*(1+IF(K$3&lt;=$O$2,$D702,$D702-($D702-$I$697)*MIN(K$3-$O$2,$Q$2)/$Q$2))</f>
        <v>14563.9812633845</v>
      </c>
      <c r="L702" s="15" t="n">
        <f aca="false">K702*(1+IF(L$3&lt;=$O$2,$D702,$D702-($D702-$I$697)*MIN(L$3-$O$2,$Q$2)/$Q$2))</f>
        <v>15808.9103817786</v>
      </c>
      <c r="M702" s="15" t="n">
        <f aca="false">L702*(1+IF(M$3&lt;=$O$2,$D702,$D702-($D702-$I$697)*MIN(M$3-$O$2,$Q$2)/$Q$2))</f>
        <v>16787.3238453069</v>
      </c>
      <c r="N702" s="15" t="n">
        <f aca="false">M702*(1+IF(N$3&lt;=$O$2,$D702,$D702-($D702-$I$697)*MIN(N$3-$O$2,$Q$2)/$Q$2))</f>
        <v>17430.2783485821</v>
      </c>
      <c r="O702" s="15" t="n">
        <f aca="false">SUMPRODUCT(E702:N702,1/(1+$F$697)^$E$3:$N$3)*$E$2</f>
        <v>28170.5771181629</v>
      </c>
      <c r="P702" s="15" t="n">
        <f aca="false">N702*$E$2*(1+$I$697)/($F$697-$I$697)/(1+$F$697)^$N$3</f>
        <v>62184.535089948</v>
      </c>
      <c r="Q702" s="15" t="n">
        <f aca="false">O702+P702</f>
        <v>90355.1122081109</v>
      </c>
      <c r="R702" s="15" t="n">
        <f aca="false">Q702-$G$2+$I$2</f>
        <v>81590.1122081109</v>
      </c>
      <c r="S702" s="40" t="n">
        <f aca="false">R702/$K$2</f>
        <v>145.962489191225</v>
      </c>
      <c r="T702" s="41" t="n">
        <f aca="false">S702-$M$2</f>
        <v>52.4886618628768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0.0625</v>
      </c>
      <c r="C703" s="25" t="n">
        <f aca="false">IF(T702&gt;0,D702,C702)</f>
        <v>0.15625</v>
      </c>
      <c r="D703" s="39" t="n">
        <f aca="false">(B703+C703)/2</f>
        <v>0.109375</v>
      </c>
      <c r="E703" s="15" t="n">
        <f aca="false">$C$2*(1+IF(E$3&lt;=$O$2,$D703,$D703-($D703-$I$697)*MIN(E$3-$O$2,$Q$2)/$Q$2))</f>
        <v>6223.59375</v>
      </c>
      <c r="F703" s="15" t="n">
        <f aca="false">E703*(1+IF(F$3&lt;=$O$2,$D703,$D703-($D703-$I$697)*MIN(F$3-$O$2,$Q$2)/$Q$2))</f>
        <v>6904.29931640625</v>
      </c>
      <c r="G703" s="15" t="n">
        <f aca="false">F703*(1+IF(G$3&lt;=$O$2,$D703,$D703-($D703-$I$697)*MIN(G$3-$O$2,$Q$2)/$Q$2))</f>
        <v>7659.45705413818</v>
      </c>
      <c r="H703" s="15" t="n">
        <f aca="false">G703*(1+IF(H$3&lt;=$O$2,$D703,$D703-($D703-$I$697)*MIN(H$3-$O$2,$Q$2)/$Q$2))</f>
        <v>8497.21016943455</v>
      </c>
      <c r="I703" s="15" t="n">
        <f aca="false">H703*(1+IF(I$3&lt;=$O$2,$D703,$D703-($D703-$I$697)*MIN(I$3-$O$2,$Q$2)/$Q$2))</f>
        <v>9426.59253171645</v>
      </c>
      <c r="J703" s="15" t="n">
        <f aca="false">I703*(1+IF(J$3&lt;=$O$2,$D703,$D703-($D703-$I$697)*MIN(J$3-$O$2,$Q$2)/$Q$2))</f>
        <v>10323.6270770346</v>
      </c>
      <c r="K703" s="15" t="n">
        <f aca="false">J703*(1+IF(K$3&lt;=$O$2,$D703,$D703-($D703-$I$697)*MIN(K$3-$O$2,$Q$2)/$Q$2))</f>
        <v>11159.2730707852</v>
      </c>
      <c r="L703" s="15" t="n">
        <f aca="false">K703*(1+IF(L$3&lt;=$O$2,$D703,$D703-($D703-$I$697)*MIN(L$3-$O$2,$Q$2)/$Q$2))</f>
        <v>11903.9313627986</v>
      </c>
      <c r="M703" s="15" t="n">
        <f aca="false">L703*(1+IF(M$3&lt;=$O$2,$D703,$D703-($D703-$I$697)*MIN(M$3-$O$2,$Q$2)/$Q$2))</f>
        <v>12529.066318316</v>
      </c>
      <c r="N703" s="15" t="n">
        <f aca="false">M703*(1+IF(N$3&lt;=$O$2,$D703,$D703-($D703-$I$697)*MIN(N$3-$O$2,$Q$2)/$Q$2))</f>
        <v>13008.9295583075</v>
      </c>
      <c r="O703" s="15" t="n">
        <f aca="false">SUMPRODUCT(E703:N703,1/(1+$F$697)^$E$3:$N$3)*$E$2</f>
        <v>22964.9194423483</v>
      </c>
      <c r="P703" s="15" t="n">
        <f aca="false">N703*$E$2*(1+$I$697)/($F$697-$I$697)/(1+$F$697)^$N$3</f>
        <v>46410.8616295873</v>
      </c>
      <c r="Q703" s="15" t="n">
        <f aca="false">O703+P703</f>
        <v>69375.7810719356</v>
      </c>
      <c r="R703" s="15" t="n">
        <f aca="false">Q703-$G$2+$I$2</f>
        <v>60610.7810719356</v>
      </c>
      <c r="S703" s="40" t="n">
        <f aca="false">R703/$K$2</f>
        <v>108.431037017309</v>
      </c>
      <c r="T703" s="41" t="n">
        <f aca="false">S703-$M$2</f>
        <v>14.9572096889612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0.0625</v>
      </c>
      <c r="C704" s="25" t="n">
        <f aca="false">IF(T703&gt;0,D703,C703)</f>
        <v>0.109375</v>
      </c>
      <c r="D704" s="39" t="n">
        <f aca="false">(B704+C704)/2</f>
        <v>0.0859375</v>
      </c>
      <c r="E704" s="15" t="n">
        <f aca="false">$C$2*(1+IF(E$3&lt;=$O$2,$D704,$D704-($D704-$I$697)*MIN(E$3-$O$2,$Q$2)/$Q$2))</f>
        <v>6092.109375</v>
      </c>
      <c r="F704" s="15" t="n">
        <f aca="false">E704*(1+IF(F$3&lt;=$O$2,$D704,$D704-($D704-$I$697)*MIN(F$3-$O$2,$Q$2)/$Q$2))</f>
        <v>6615.65002441406</v>
      </c>
      <c r="G704" s="15" t="n">
        <f aca="false">F704*(1+IF(G$3&lt;=$O$2,$D704,$D704-($D704-$I$697)*MIN(G$3-$O$2,$Q$2)/$Q$2))</f>
        <v>7184.18244838715</v>
      </c>
      <c r="H704" s="15" t="n">
        <f aca="false">G704*(1+IF(H$3&lt;=$O$2,$D704,$D704-($D704-$I$697)*MIN(H$3-$O$2,$Q$2)/$Q$2))</f>
        <v>7801.57312754542</v>
      </c>
      <c r="I704" s="15" t="n">
        <f aca="false">H704*(1+IF(I$3&lt;=$O$2,$D704,$D704-($D704-$I$697)*MIN(I$3-$O$2,$Q$2)/$Q$2))</f>
        <v>8472.02081819385</v>
      </c>
      <c r="J704" s="15" t="n">
        <f aca="false">I704*(1+IF(J$3&lt;=$O$2,$D704,$D704-($D704-$I$697)*MIN(J$3-$O$2,$Q$2)/$Q$2))</f>
        <v>9119.36792891204</v>
      </c>
      <c r="K704" s="15" t="n">
        <f aca="false">J704*(1+IF(K$3&lt;=$O$2,$D704,$D704-($D704-$I$697)*MIN(K$3-$O$2,$Q$2)/$Q$2))</f>
        <v>9729.2940544175</v>
      </c>
      <c r="L704" s="15" t="n">
        <f aca="false">K704*(1+IF(L$3&lt;=$O$2,$D704,$D704-($D704-$I$697)*MIN(L$3-$O$2,$Q$2)/$Q$2))</f>
        <v>10287.3177149086</v>
      </c>
      <c r="M704" s="15" t="n">
        <f aca="false">L704*(1+IF(M$3&lt;=$O$2,$D704,$D704-($D704-$I$697)*MIN(M$3-$O$2,$Q$2)/$Q$2))</f>
        <v>10779.3344029184</v>
      </c>
      <c r="N704" s="15" t="n">
        <f aca="false">M704*(1+IF(N$3&lt;=$O$2,$D704,$D704-($D704-$I$697)*MIN(N$3-$O$2,$Q$2)/$Q$2))</f>
        <v>11192.1829105502</v>
      </c>
      <c r="O704" s="15" t="n">
        <f aca="false">SUMPRODUCT(E704:N704,1/(1+$F$697)^$E$3:$N$3)*$E$2</f>
        <v>20730.5796462169</v>
      </c>
      <c r="P704" s="15" t="n">
        <f aca="false">N704*$E$2*(1+$I$697)/($F$697-$I$697)/(1+$F$697)^$N$3</f>
        <v>39929.4077246242</v>
      </c>
      <c r="Q704" s="15" t="n">
        <f aca="false">O704+P704</f>
        <v>60659.9873708411</v>
      </c>
      <c r="R704" s="15" t="n">
        <f aca="false">Q704-$G$2+$I$2</f>
        <v>51894.9873708411</v>
      </c>
      <c r="S704" s="40" t="n">
        <f aca="false">R704/$K$2</f>
        <v>92.8387194011254</v>
      </c>
      <c r="T704" s="41" t="n">
        <f aca="false">S704-$M$2</f>
        <v>-0.635107927222663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0.0859375</v>
      </c>
      <c r="C705" s="25" t="n">
        <f aca="false">IF(T704&gt;0,D704,C704)</f>
        <v>0.109375</v>
      </c>
      <c r="D705" s="39" t="n">
        <f aca="false">(B705+C705)/2</f>
        <v>0.09765625</v>
      </c>
      <c r="E705" s="15" t="n">
        <f aca="false">$C$2*(1+IF(E$3&lt;=$O$2,$D705,$D705-($D705-$I$697)*MIN(E$3-$O$2,$Q$2)/$Q$2))</f>
        <v>6157.8515625</v>
      </c>
      <c r="F705" s="15" t="n">
        <f aca="false">E705*(1+IF(F$3&lt;=$O$2,$D705,$D705-($D705-$I$697)*MIN(F$3-$O$2,$Q$2)/$Q$2))</f>
        <v>6759.20425415039</v>
      </c>
      <c r="G705" s="15" t="n">
        <f aca="false">F705*(1+IF(G$3&lt;=$O$2,$D705,$D705-($D705-$I$697)*MIN(G$3-$O$2,$Q$2)/$Q$2))</f>
        <v>7419.28279459477</v>
      </c>
      <c r="H705" s="15" t="n">
        <f aca="false">G705*(1+IF(H$3&lt;=$O$2,$D705,$D705-($D705-$I$697)*MIN(H$3-$O$2,$Q$2)/$Q$2))</f>
        <v>8143.82213000441</v>
      </c>
      <c r="I705" s="15" t="n">
        <f aca="false">H705*(1+IF(I$3&lt;=$O$2,$D705,$D705-($D705-$I$697)*MIN(I$3-$O$2,$Q$2)/$Q$2))</f>
        <v>8939.11725988765</v>
      </c>
      <c r="J705" s="15" t="n">
        <f aca="false">I705*(1+IF(J$3&lt;=$O$2,$D705,$D705-($D705-$I$697)*MIN(J$3-$O$2,$Q$2)/$Q$2))</f>
        <v>9705.95943402712</v>
      </c>
      <c r="K705" s="15" t="n">
        <f aca="false">J705*(1+IF(K$3&lt;=$O$2,$D705,$D705-($D705-$I$697)*MIN(K$3-$O$2,$Q$2)/$Q$2))</f>
        <v>10423.3632931439</v>
      </c>
      <c r="L705" s="15" t="n">
        <f aca="false">K705*(1+IF(L$3&lt;=$O$2,$D705,$D705-($D705-$I$697)*MIN(L$3-$O$2,$Q$2)/$Q$2))</f>
        <v>11070.0548102588</v>
      </c>
      <c r="M705" s="15" t="n">
        <f aca="false">L705*(1+IF(M$3&lt;=$O$2,$D705,$D705-($D705-$I$697)*MIN(M$3-$O$2,$Q$2)/$Q$2))</f>
        <v>11625.453297658</v>
      </c>
      <c r="N705" s="15" t="n">
        <f aca="false">M705*(1+IF(N$3&lt;=$O$2,$D705,$D705-($D705-$I$697)*MIN(N$3-$O$2,$Q$2)/$Q$2))</f>
        <v>12070.7081589583</v>
      </c>
      <c r="O705" s="15" t="n">
        <f aca="false">SUMPRODUCT(E705:N705,1/(1+$F$697)^$E$3:$N$3)*$E$2</f>
        <v>21819.3793781231</v>
      </c>
      <c r="P705" s="15" t="n">
        <f aca="false">N705*$E$2*(1+$I$697)/($F$697-$I$697)/(1+$F$697)^$N$3</f>
        <v>43063.6482137604</v>
      </c>
      <c r="Q705" s="15" t="n">
        <f aca="false">O705+P705</f>
        <v>64883.0275918835</v>
      </c>
      <c r="R705" s="15" t="n">
        <f aca="false">Q705-$G$2+$I$2</f>
        <v>56118.0275918835</v>
      </c>
      <c r="S705" s="40" t="n">
        <f aca="false">R705/$K$2</f>
        <v>100.393623370932</v>
      </c>
      <c r="T705" s="41" t="n">
        <f aca="false">S705-$M$2</f>
        <v>6.91979604258381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0.0859375</v>
      </c>
      <c r="C706" s="25" t="n">
        <f aca="false">IF(T705&gt;0,D705,C705)</f>
        <v>0.09765625</v>
      </c>
      <c r="D706" s="39" t="n">
        <f aca="false">(B706+C706)/2</f>
        <v>0.091796875</v>
      </c>
      <c r="E706" s="15" t="n">
        <f aca="false">$C$2*(1+IF(E$3&lt;=$O$2,$D706,$D706-($D706-$I$697)*MIN(E$3-$O$2,$Q$2)/$Q$2))</f>
        <v>6124.98046875</v>
      </c>
      <c r="F706" s="15" t="n">
        <f aca="false">E706*(1+IF(F$3&lt;=$O$2,$D706,$D706-($D706-$I$697)*MIN(F$3-$O$2,$Q$2)/$Q$2))</f>
        <v>6687.23453521729</v>
      </c>
      <c r="G706" s="15" t="n">
        <f aca="false">F706*(1+IF(G$3&lt;=$O$2,$D706,$D706-($D706-$I$697)*MIN(G$3-$O$2,$Q$2)/$Q$2))</f>
        <v>7301.10176794231</v>
      </c>
      <c r="H706" s="15" t="n">
        <f aca="false">G706*(1+IF(H$3&lt;=$O$2,$D706,$D706-($D706-$I$697)*MIN(H$3-$O$2,$Q$2)/$Q$2))</f>
        <v>7971.32009429639</v>
      </c>
      <c r="I706" s="15" t="n">
        <f aca="false">H706*(1+IF(I$3&lt;=$O$2,$D706,$D706-($D706-$I$697)*MIN(I$3-$O$2,$Q$2)/$Q$2))</f>
        <v>8703.0623685775</v>
      </c>
      <c r="J706" s="15" t="n">
        <f aca="false">I706*(1+IF(J$3&lt;=$O$2,$D706,$D706-($D706-$I$697)*MIN(J$3-$O$2,$Q$2)/$Q$2))</f>
        <v>9408.85896901322</v>
      </c>
      <c r="K706" s="15" t="n">
        <f aca="false">J706*(1+IF(K$3&lt;=$O$2,$D706,$D706-($D706-$I$697)*MIN(K$3-$O$2,$Q$2)/$Q$2))</f>
        <v>10071.2249988212</v>
      </c>
      <c r="L706" s="15" t="n">
        <f aca="false">K706*(1+IF(L$3&lt;=$O$2,$D706,$D706-($D706-$I$697)*MIN(L$3-$O$2,$Q$2)/$Q$2))</f>
        <v>10672.4645422196</v>
      </c>
      <c r="M706" s="15" t="n">
        <f aca="false">L706*(1+IF(M$3&lt;=$O$2,$D706,$D706-($D706-$I$697)*MIN(M$3-$O$2,$Q$2)/$Q$2))</f>
        <v>11195.408634498</v>
      </c>
      <c r="N706" s="15" t="n">
        <f aca="false">M706*(1+IF(N$3&lt;=$O$2,$D706,$D706-($D706-$I$697)*MIN(N$3-$O$2,$Q$2)/$Q$2))</f>
        <v>11624.1927851993</v>
      </c>
      <c r="O706" s="15" t="n">
        <f aca="false">SUMPRODUCT(E706:N706,1/(1+$F$697)^$E$3:$N$3)*$E$2</f>
        <v>21268.0526673714</v>
      </c>
      <c r="P706" s="15" t="n">
        <f aca="false">N706*$E$2*(1+$I$697)/($F$697-$I$697)/(1+$F$697)^$N$3</f>
        <v>41470.652945846</v>
      </c>
      <c r="Q706" s="15" t="n">
        <f aca="false">O706+P706</f>
        <v>62738.7056132174</v>
      </c>
      <c r="R706" s="15" t="n">
        <f aca="false">Q706-$G$2+$I$2</f>
        <v>53973.7056132174</v>
      </c>
      <c r="S706" s="40" t="n">
        <f aca="false">R706/$K$2</f>
        <v>96.5574897370522</v>
      </c>
      <c r="T706" s="41" t="n">
        <f aca="false">S706-$M$2</f>
        <v>3.08366240870411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0.0859375</v>
      </c>
      <c r="C707" s="25" t="n">
        <f aca="false">IF(T706&gt;0,D706,C706)</f>
        <v>0.091796875</v>
      </c>
      <c r="D707" s="39" t="n">
        <f aca="false">(B707+C707)/2</f>
        <v>0.0888671875</v>
      </c>
      <c r="E707" s="15" t="n">
        <f aca="false">$C$2*(1+IF(E$3&lt;=$O$2,$D707,$D707-($D707-$I$697)*MIN(E$3-$O$2,$Q$2)/$Q$2))</f>
        <v>6108.544921875</v>
      </c>
      <c r="F707" s="15" t="n">
        <f aca="false">E707*(1+IF(F$3&lt;=$O$2,$D707,$D707-($D707-$I$697)*MIN(F$3-$O$2,$Q$2)/$Q$2))</f>
        <v>6651.39412879944</v>
      </c>
      <c r="G707" s="15" t="n">
        <f aca="false">F707*(1+IF(G$3&lt;=$O$2,$D707,$D707-($D707-$I$697)*MIN(G$3-$O$2,$Q$2)/$Q$2))</f>
        <v>7242.48481797986</v>
      </c>
      <c r="H707" s="15" t="n">
        <f aca="false">G707*(1+IF(H$3&lt;=$O$2,$D707,$D707-($D707-$I$697)*MIN(H$3-$O$2,$Q$2)/$Q$2))</f>
        <v>7886.10407426518</v>
      </c>
      <c r="I707" s="15" t="n">
        <f aca="false">H707*(1+IF(I$3&lt;=$O$2,$D707,$D707-($D707-$I$697)*MIN(I$3-$O$2,$Q$2)/$Q$2))</f>
        <v>8586.91996367741</v>
      </c>
      <c r="J707" s="15" t="n">
        <f aca="false">I707*(1+IF(J$3&lt;=$O$2,$D707,$D707-($D707-$I$697)*MIN(J$3-$O$2,$Q$2)/$Q$2))</f>
        <v>9263.17211176687</v>
      </c>
      <c r="K707" s="15" t="n">
        <f aca="false">J707*(1+IF(K$3&lt;=$O$2,$D707,$D707-($D707-$I$697)*MIN(K$3-$O$2,$Q$2)/$Q$2))</f>
        <v>9898.99914025984</v>
      </c>
      <c r="L707" s="15" t="n">
        <f aca="false">K707*(1+IF(L$3&lt;=$O$2,$D707,$D707-($D707-$I$697)*MIN(L$3-$O$2,$Q$2)/$Q$2))</f>
        <v>10478.3566255669</v>
      </c>
      <c r="M707" s="15" t="n">
        <f aca="false">L707*(1+IF(M$3&lt;=$O$2,$D707,$D707-($D707-$I$697)*MIN(M$3-$O$2,$Q$2)/$Q$2))</f>
        <v>10985.6498891615</v>
      </c>
      <c r="N707" s="15" t="n">
        <f aca="false">M707*(1+IF(N$3&lt;=$O$2,$D707,$D707-($D707-$I$697)*MIN(N$3-$O$2,$Q$2)/$Q$2))</f>
        <v>11406.4002799164</v>
      </c>
      <c r="O707" s="15" t="n">
        <f aca="false">SUMPRODUCT(E707:N707,1/(1+$F$697)^$E$3:$N$3)*$E$2</f>
        <v>20997.6047904749</v>
      </c>
      <c r="P707" s="15" t="n">
        <f aca="false">N707*$E$2*(1+$I$697)/($F$697-$I$697)/(1+$F$697)^$N$3</f>
        <v>40693.6529796814</v>
      </c>
      <c r="Q707" s="15" t="n">
        <f aca="false">O707+P707</f>
        <v>61691.2577701563</v>
      </c>
      <c r="R707" s="15" t="n">
        <f aca="false">Q707-$G$2+$I$2</f>
        <v>52926.2577701563</v>
      </c>
      <c r="S707" s="40" t="n">
        <f aca="false">R707/$K$2</f>
        <v>94.6836340658991</v>
      </c>
      <c r="T707" s="41" t="n">
        <f aca="false">S707-$M$2</f>
        <v>1.20980673755099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0.0859375</v>
      </c>
      <c r="C708" s="25" t="n">
        <f aca="false">IF(T707&gt;0,D707,C707)</f>
        <v>0.0888671875</v>
      </c>
      <c r="D708" s="39" t="n">
        <f aca="false">(B708+C708)/2</f>
        <v>0.08740234375</v>
      </c>
      <c r="E708" s="15" t="n">
        <f aca="false">$C$2*(1+IF(E$3&lt;=$O$2,$D708,$D708-($D708-$I$697)*MIN(E$3-$O$2,$Q$2)/$Q$2))</f>
        <v>6100.3271484375</v>
      </c>
      <c r="F708" s="15" t="n">
        <f aca="false">E708*(1+IF(F$3&lt;=$O$2,$D708,$D708-($D708-$I$697)*MIN(F$3-$O$2,$Q$2)/$Q$2))</f>
        <v>6633.51003885269</v>
      </c>
      <c r="G708" s="15" t="n">
        <f aca="false">F708*(1+IF(G$3&lt;=$O$2,$D708,$D708-($D708-$I$697)*MIN(G$3-$O$2,$Q$2)/$Q$2))</f>
        <v>7213.29436353757</v>
      </c>
      <c r="H708" s="15" t="n">
        <f aca="false">G708*(1+IF(H$3&lt;=$O$2,$D708,$D708-($D708-$I$697)*MIN(H$3-$O$2,$Q$2)/$Q$2))</f>
        <v>7843.75319706942</v>
      </c>
      <c r="I708" s="15" t="n">
        <f aca="false">H708*(1+IF(I$3&lt;=$O$2,$D708,$D708-($D708-$I$697)*MIN(I$3-$O$2,$Q$2)/$Q$2))</f>
        <v>8529.31561028984</v>
      </c>
      <c r="J708" s="15" t="n">
        <f aca="false">I708*(1+IF(J$3&lt;=$O$2,$D708,$D708-($D708-$I$697)*MIN(J$3-$O$2,$Q$2)/$Q$2))</f>
        <v>9191.0359078029</v>
      </c>
      <c r="K708" s="15" t="n">
        <f aca="false">J708*(1+IF(K$3&lt;=$O$2,$D708,$D708-($D708-$I$697)*MIN(K$3-$O$2,$Q$2)/$Q$2))</f>
        <v>9813.83342580987</v>
      </c>
      <c r="L708" s="15" t="n">
        <f aca="false">K708*(1+IF(L$3&lt;=$O$2,$D708,$D708-($D708-$I$697)*MIN(L$3-$O$2,$Q$2)/$Q$2))</f>
        <v>10382.4561349701</v>
      </c>
      <c r="M708" s="15" t="n">
        <f aca="false">L708*(1+IF(M$3&lt;=$O$2,$D708,$D708-($D708-$I$697)*MIN(M$3-$O$2,$Q$2)/$Q$2))</f>
        <v>10882.0647909612</v>
      </c>
      <c r="N708" s="15" t="n">
        <f aca="false">M708*(1+IF(N$3&lt;=$O$2,$D708,$D708-($D708-$I$697)*MIN(N$3-$O$2,$Q$2)/$Q$2))</f>
        <v>11298.847872455</v>
      </c>
      <c r="O708" s="15" t="n">
        <f aca="false">SUMPRODUCT(E708:N708,1/(1+$F$697)^$E$3:$N$3)*$E$2</f>
        <v>20863.6668972134</v>
      </c>
      <c r="P708" s="15" t="n">
        <f aca="false">N708*$E$2*(1+$I$697)/($F$697-$I$697)/(1+$F$697)^$N$3</f>
        <v>40309.9473197924</v>
      </c>
      <c r="Q708" s="15" t="n">
        <f aca="false">O708+P708</f>
        <v>61173.6142170057</v>
      </c>
      <c r="R708" s="15" t="n">
        <f aca="false">Q708-$G$2+$I$2</f>
        <v>52408.6142170057</v>
      </c>
      <c r="S708" s="40" t="n">
        <f aca="false">R708/$K$2</f>
        <v>93.7575838437972</v>
      </c>
      <c r="T708" s="41" t="n">
        <f aca="false">S708-$M$2</f>
        <v>0.283756515449085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0.0859375</v>
      </c>
      <c r="C709" s="25" t="n">
        <f aca="false">IF(T708&gt;0,D708,C708)</f>
        <v>0.08740234375</v>
      </c>
      <c r="D709" s="39" t="n">
        <f aca="false">(B709+C709)/2</f>
        <v>0.086669921875</v>
      </c>
      <c r="E709" s="15" t="n">
        <f aca="false">$C$2*(1+IF(E$3&lt;=$O$2,$D709,$D709-($D709-$I$697)*MIN(E$3-$O$2,$Q$2)/$Q$2))</f>
        <v>6096.21826171875</v>
      </c>
      <c r="F709" s="15" t="n">
        <f aca="false">E709*(1+IF(F$3&lt;=$O$2,$D709,$D709-($D709-$I$697)*MIN(F$3-$O$2,$Q$2)/$Q$2))</f>
        <v>6624.57702219486</v>
      </c>
      <c r="G709" s="15" t="n">
        <f aca="false">F709*(1+IF(G$3&lt;=$O$2,$D709,$D709-($D709-$I$697)*MIN(G$3-$O$2,$Q$2)/$Q$2))</f>
        <v>7198.72859516341</v>
      </c>
      <c r="H709" s="15" t="n">
        <f aca="false">G709*(1+IF(H$3&lt;=$O$2,$D709,$D709-($D709-$I$697)*MIN(H$3-$O$2,$Q$2)/$Q$2))</f>
        <v>7822.64184010555</v>
      </c>
      <c r="I709" s="15" t="n">
        <f aca="false">H709*(1+IF(I$3&lt;=$O$2,$D709,$D709-($D709-$I$697)*MIN(I$3-$O$2,$Q$2)/$Q$2))</f>
        <v>8500.62959724361</v>
      </c>
      <c r="J709" s="15" t="n">
        <f aca="false">I709*(1+IF(J$3&lt;=$O$2,$D709,$D709-($D709-$I$697)*MIN(J$3-$O$2,$Q$2)/$Q$2))</f>
        <v>9155.14354242363</v>
      </c>
      <c r="K709" s="15" t="n">
        <f aca="false">J709*(1+IF(K$3&lt;=$O$2,$D709,$D709-($D709-$I$697)*MIN(K$3-$O$2,$Q$2)/$Q$2))</f>
        <v>9771.48568683932</v>
      </c>
      <c r="L709" s="15" t="n">
        <f aca="false">K709*(1+IF(L$3&lt;=$O$2,$D709,$D709-($D709-$I$697)*MIN(L$3-$O$2,$Q$2)/$Q$2))</f>
        <v>10334.7919883553</v>
      </c>
      <c r="M709" s="15" t="n">
        <f aca="false">L709*(1+IF(M$3&lt;=$O$2,$D709,$D709-($D709-$I$697)*MIN(M$3-$O$2,$Q$2)/$Q$2))</f>
        <v>10830.5931377235</v>
      </c>
      <c r="N709" s="15" t="n">
        <f aca="false">M709*(1+IF(N$3&lt;=$O$2,$D709,$D709-($D709-$I$697)*MIN(N$3-$O$2,$Q$2)/$Q$2))</f>
        <v>11245.4048548983</v>
      </c>
      <c r="O709" s="15" t="n">
        <f aca="false">SUMPRODUCT(E709:N709,1/(1+$F$697)^$E$3:$N$3)*$E$2</f>
        <v>20797.0172550804</v>
      </c>
      <c r="P709" s="15" t="n">
        <f aca="false">N709*$E$2*(1+$I$697)/($F$697-$I$697)/(1+$F$697)^$N$3</f>
        <v>40119.283170081</v>
      </c>
      <c r="Q709" s="15" t="n">
        <f aca="false">O709+P709</f>
        <v>60916.3004251614</v>
      </c>
      <c r="R709" s="15" t="n">
        <f aca="false">Q709-$G$2+$I$2</f>
        <v>52151.3004251614</v>
      </c>
      <c r="S709" s="40" t="n">
        <f aca="false">R709/$K$2</f>
        <v>93.2972564763702</v>
      </c>
      <c r="T709" s="41" t="n">
        <f aca="false">S709-$M$2</f>
        <v>-0.176570851977928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0.086669921875</v>
      </c>
      <c r="C710" s="25" t="n">
        <f aca="false">IF(T709&gt;0,D709,C709)</f>
        <v>0.08740234375</v>
      </c>
      <c r="D710" s="39" t="n">
        <f aca="false">(B710+C710)/2</f>
        <v>0.0870361328125</v>
      </c>
      <c r="E710" s="15" t="n">
        <f aca="false">$C$2*(1+IF(E$3&lt;=$O$2,$D710,$D710-($D710-$I$697)*MIN(E$3-$O$2,$Q$2)/$Q$2))</f>
        <v>6098.27270507813</v>
      </c>
      <c r="F710" s="15" t="n">
        <f aca="false">E710*(1+IF(F$3&lt;=$O$2,$D710,$D710-($D710-$I$697)*MIN(F$3-$O$2,$Q$2)/$Q$2))</f>
        <v>6629.04277816415</v>
      </c>
      <c r="G710" s="15" t="n">
        <f aca="false">F710*(1+IF(G$3&lt;=$O$2,$D710,$D710-($D710-$I$697)*MIN(G$3-$O$2,$Q$2)/$Q$2))</f>
        <v>7206.00902582419</v>
      </c>
      <c r="H710" s="15" t="n">
        <f aca="false">G710*(1+IF(H$3&lt;=$O$2,$D710,$D710-($D710-$I$697)*MIN(H$3-$O$2,$Q$2)/$Q$2))</f>
        <v>7833.1921844439</v>
      </c>
      <c r="I710" s="15" t="n">
        <f aca="false">H710*(1+IF(I$3&lt;=$O$2,$D710,$D710-($D710-$I$697)*MIN(I$3-$O$2,$Q$2)/$Q$2))</f>
        <v>8514.96293975499</v>
      </c>
      <c r="J710" s="15" t="n">
        <f aca="false">I710*(1+IF(J$3&lt;=$O$2,$D710,$D710-($D710-$I$697)*MIN(J$3-$O$2,$Q$2)/$Q$2))</f>
        <v>9173.07511212794</v>
      </c>
      <c r="K710" s="15" t="n">
        <f aca="false">J710*(1+IF(K$3&lt;=$O$2,$D710,$D710-($D710-$I$697)*MIN(K$3-$O$2,$Q$2)/$Q$2))</f>
        <v>9792.64001310066</v>
      </c>
      <c r="L710" s="15" t="n">
        <f aca="false">K710*(1+IF(L$3&lt;=$O$2,$D710,$D710-($D710-$I$697)*MIN(L$3-$O$2,$Q$2)/$Q$2))</f>
        <v>10358.6002873078</v>
      </c>
      <c r="M710" s="15" t="n">
        <f aca="false">L710*(1+IF(M$3&lt;=$O$2,$D710,$D710-($D710-$I$697)*MIN(M$3-$O$2,$Q$2)/$Q$2))</f>
        <v>10856.3023021825</v>
      </c>
      <c r="N710" s="15" t="n">
        <f aca="false">M710*(1+IF(N$3&lt;=$O$2,$D710,$D710-($D710-$I$697)*MIN(N$3-$O$2,$Q$2)/$Q$2))</f>
        <v>11272.0986803561</v>
      </c>
      <c r="O710" s="15" t="n">
        <f aca="false">SUMPRODUCT(E710:N710,1/(1+$F$697)^$E$3:$N$3)*$E$2</f>
        <v>20830.3155328448</v>
      </c>
      <c r="P710" s="15" t="n">
        <f aca="false">N710*$E$2*(1+$I$697)/($F$697-$I$697)/(1+$F$697)^$N$3</f>
        <v>40214.5164814867</v>
      </c>
      <c r="Q710" s="15" t="n">
        <f aca="false">O710+P710</f>
        <v>61044.8320143316</v>
      </c>
      <c r="R710" s="15" t="n">
        <f aca="false">Q710-$G$2+$I$2</f>
        <v>52279.8320143316</v>
      </c>
      <c r="S710" s="40" t="n">
        <f aca="false">R710/$K$2</f>
        <v>93.5271959897162</v>
      </c>
      <c r="T710" s="41" t="n">
        <f aca="false">S710-$M$2</f>
        <v>0.053368661368097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0.086669921875</v>
      </c>
      <c r="C711" s="25" t="n">
        <f aca="false">IF(T710&gt;0,D710,C710)</f>
        <v>0.0870361328125</v>
      </c>
      <c r="D711" s="39" t="n">
        <f aca="false">(B711+C711)/2</f>
        <v>0.08685302734375</v>
      </c>
      <c r="E711" s="15" t="n">
        <f aca="false">$C$2*(1+IF(E$3&lt;=$O$2,$D711,$D711-($D711-$I$697)*MIN(E$3-$O$2,$Q$2)/$Q$2))</f>
        <v>6097.24548339844</v>
      </c>
      <c r="F711" s="15" t="n">
        <f aca="false">E711*(1+IF(F$3&lt;=$O$2,$D711,$D711-($D711-$I$697)*MIN(F$3-$O$2,$Q$2)/$Q$2))</f>
        <v>6626.8097120896</v>
      </c>
      <c r="G711" s="15" t="n">
        <f aca="false">F711*(1+IF(G$3&lt;=$O$2,$D711,$D711-($D711-$I$697)*MIN(G$3-$O$2,$Q$2)/$Q$2))</f>
        <v>7202.36819721555</v>
      </c>
      <c r="H711" s="15" t="n">
        <f aca="false">G711*(1+IF(H$3&lt;=$O$2,$D711,$D711-($D711-$I$697)*MIN(H$3-$O$2,$Q$2)/$Q$2))</f>
        <v>7827.91567918806</v>
      </c>
      <c r="I711" s="15" t="n">
        <f aca="false">H711*(1+IF(I$3&lt;=$O$2,$D711,$D711-($D711-$I$697)*MIN(I$3-$O$2,$Q$2)/$Q$2))</f>
        <v>8507.79385371715</v>
      </c>
      <c r="J711" s="15" t="n">
        <f aca="false">I711*(1+IF(J$3&lt;=$O$2,$D711,$D711-($D711-$I$697)*MIN(J$3-$O$2,$Q$2)/$Q$2))</f>
        <v>9164.10567640613</v>
      </c>
      <c r="K711" s="15" t="n">
        <f aca="false">J711*(1+IF(K$3&lt;=$O$2,$D711,$D711-($D711-$I$697)*MIN(K$3-$O$2,$Q$2)/$Q$2))</f>
        <v>9782.05796790503</v>
      </c>
      <c r="L711" s="15" t="n">
        <f aca="false">K711*(1+IF(L$3&lt;=$O$2,$D711,$D711-($D711-$I$697)*MIN(L$3-$O$2,$Q$2)/$Q$2))</f>
        <v>10346.6901992733</v>
      </c>
      <c r="M711" s="15" t="n">
        <f aca="false">L711*(1+IF(M$3&lt;=$O$2,$D711,$D711-($D711-$I$697)*MIN(M$3-$O$2,$Q$2)/$Q$2))</f>
        <v>10843.441060338</v>
      </c>
      <c r="N711" s="15" t="n">
        <f aca="false">M711*(1+IF(N$3&lt;=$O$2,$D711,$D711-($D711-$I$697)*MIN(N$3-$O$2,$Q$2)/$Q$2))</f>
        <v>11258.744852949</v>
      </c>
      <c r="O711" s="15" t="n">
        <f aca="false">SUMPRODUCT(E711:N711,1/(1+$F$697)^$E$3:$N$3)*$E$2</f>
        <v>20813.6597630339</v>
      </c>
      <c r="P711" s="15" t="n">
        <f aca="false">N711*$E$2*(1+$I$697)/($F$697-$I$697)/(1+$F$697)^$N$3</f>
        <v>40166.8751568691</v>
      </c>
      <c r="Q711" s="15" t="n">
        <f aca="false">O711+P711</f>
        <v>60980.534919903</v>
      </c>
      <c r="R711" s="15" t="n">
        <f aca="false">Q711-$G$2+$I$2</f>
        <v>52215.534919903</v>
      </c>
      <c r="S711" s="40" t="n">
        <f aca="false">R711/$K$2</f>
        <v>93.4121702384755</v>
      </c>
      <c r="T711" s="41" t="n">
        <f aca="false">S711-$M$2</f>
        <v>-0.0616570898726252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0.08685302734375</v>
      </c>
      <c r="C712" s="25" t="n">
        <f aca="false">IF(T711&gt;0,D711,C711)</f>
        <v>0.0870361328125</v>
      </c>
      <c r="D712" s="39" t="n">
        <f aca="false">(B712+C712)/2</f>
        <v>0.086944580078125</v>
      </c>
      <c r="E712" s="15" t="n">
        <f aca="false">$C$2*(1+IF(E$3&lt;=$O$2,$D712,$D712-($D712-$I$697)*MIN(E$3-$O$2,$Q$2)/$Q$2))</f>
        <v>6097.75909423828</v>
      </c>
      <c r="F712" s="15" t="n">
        <f aca="false">E712*(1+IF(F$3&lt;=$O$2,$D712,$D712-($D712-$I$697)*MIN(F$3-$O$2,$Q$2)/$Q$2))</f>
        <v>6627.9261981044</v>
      </c>
      <c r="G712" s="15" t="n">
        <f aca="false">F712*(1+IF(G$3&lt;=$O$2,$D712,$D712-($D712-$I$697)*MIN(G$3-$O$2,$Q$2)/$Q$2))</f>
        <v>7204.18845818739</v>
      </c>
      <c r="H712" s="15" t="n">
        <f aca="false">G712*(1+IF(H$3&lt;=$O$2,$D712,$D712-($D712-$I$697)*MIN(H$3-$O$2,$Q$2)/$Q$2))</f>
        <v>7830.55359848816</v>
      </c>
      <c r="I712" s="15" t="n">
        <f aca="false">H712*(1+IF(I$3&lt;=$O$2,$D712,$D712-($D712-$I$697)*MIN(I$3-$O$2,$Q$2)/$Q$2))</f>
        <v>8511.37779288797</v>
      </c>
      <c r="J712" s="15" t="n">
        <f aca="false">I712*(1+IF(J$3&lt;=$O$2,$D712,$D712-($D712-$I$697)*MIN(J$3-$O$2,$Q$2)/$Q$2))</f>
        <v>9168.58948125263</v>
      </c>
      <c r="K712" s="15" t="n">
        <f aca="false">J712*(1+IF(K$3&lt;=$O$2,$D712,$D712-($D712-$I$697)*MIN(K$3-$O$2,$Q$2)/$Q$2))</f>
        <v>9787.34776951915</v>
      </c>
      <c r="L712" s="15" t="n">
        <f aca="false">K712*(1+IF(L$3&lt;=$O$2,$D712,$D712-($D712-$I$697)*MIN(L$3-$O$2,$Q$2)/$Q$2))</f>
        <v>10352.6437580225</v>
      </c>
      <c r="M712" s="15" t="n">
        <f aca="false">L712*(1+IF(M$3&lt;=$O$2,$D712,$D712-($D712-$I$697)*MIN(M$3-$O$2,$Q$2)/$Q$2))</f>
        <v>10849.8700156162</v>
      </c>
      <c r="N712" s="15" t="n">
        <f aca="false">M712*(1+IF(N$3&lt;=$O$2,$D712,$D712-($D712-$I$697)*MIN(N$3-$O$2,$Q$2)/$Q$2))</f>
        <v>11265.4200372143</v>
      </c>
      <c r="O712" s="15" t="n">
        <f aca="false">SUMPRODUCT(E712:N712,1/(1+$F$697)^$E$3:$N$3)*$E$2</f>
        <v>20821.9859895953</v>
      </c>
      <c r="P712" s="15" t="n">
        <f aca="false">N712*$E$2*(1+$I$697)/($F$697-$I$697)/(1+$F$697)^$N$3</f>
        <v>40190.689649207</v>
      </c>
      <c r="Q712" s="15" t="n">
        <f aca="false">O712+P712</f>
        <v>61012.6756388024</v>
      </c>
      <c r="R712" s="15" t="n">
        <f aca="false">Q712-$G$2+$I$2</f>
        <v>52247.6756388024</v>
      </c>
      <c r="S712" s="40" t="n">
        <f aca="false">R712/$K$2</f>
        <v>93.4696691094536</v>
      </c>
      <c r="T712" s="41" t="n">
        <f aca="false">S712-$M$2</f>
        <v>-0.00415821889450285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0.086944580078125</v>
      </c>
      <c r="C713" s="25" t="n">
        <f aca="false">IF(T712&gt;0,D712,C712)</f>
        <v>0.0870361328125</v>
      </c>
      <c r="D713" s="39" t="n">
        <f aca="false">(B713+C713)/2</f>
        <v>0.0869903564453125</v>
      </c>
      <c r="E713" s="15" t="n">
        <f aca="false">$C$2*(1+IF(E$3&lt;=$O$2,$D713,$D713-($D713-$I$697)*MIN(E$3-$O$2,$Q$2)/$Q$2))</f>
        <v>6098.0158996582</v>
      </c>
      <c r="F713" s="15" t="n">
        <f aca="false">E713*(1+IF(F$3&lt;=$O$2,$D713,$D713-($D713-$I$697)*MIN(F$3-$O$2,$Q$2)/$Q$2))</f>
        <v>6628.48447637865</v>
      </c>
      <c r="G713" s="15" t="n">
        <f aca="false">F713*(1+IF(G$3&lt;=$O$2,$D713,$D713-($D713-$I$697)*MIN(G$3-$O$2,$Q$2)/$Q$2))</f>
        <v>7205.09870367105</v>
      </c>
      <c r="H713" s="15" t="n">
        <f aca="false">G713*(1+IF(H$3&lt;=$O$2,$D713,$D713-($D713-$I$697)*MIN(H$3-$O$2,$Q$2)/$Q$2))</f>
        <v>7831.87280812706</v>
      </c>
      <c r="I713" s="15" t="n">
        <f aca="false">H713*(1+IF(I$3&lt;=$O$2,$D713,$D713-($D713-$I$697)*MIN(I$3-$O$2,$Q$2)/$Q$2))</f>
        <v>8513.17021534038</v>
      </c>
      <c r="J713" s="15" t="n">
        <f aca="false">I713*(1+IF(J$3&lt;=$O$2,$D713,$D713-($D713-$I$697)*MIN(J$3-$O$2,$Q$2)/$Q$2))</f>
        <v>9170.83206839955</v>
      </c>
      <c r="K713" s="15" t="n">
        <f aca="false">J713*(1+IF(K$3&lt;=$O$2,$D713,$D713-($D713-$I$697)*MIN(K$3-$O$2,$Q$2)/$Q$2))</f>
        <v>9789.99358600554</v>
      </c>
      <c r="L713" s="15" t="n">
        <f aca="false">K713*(1+IF(L$3&lt;=$O$2,$D713,$D713-($D713-$I$697)*MIN(L$3-$O$2,$Q$2)/$Q$2))</f>
        <v>10355.6216512695</v>
      </c>
      <c r="M713" s="15" t="n">
        <f aca="false">L713*(1+IF(M$3&lt;=$O$2,$D713,$D713-($D713-$I$697)*MIN(M$3-$O$2,$Q$2)/$Q$2))</f>
        <v>10853.0857423958</v>
      </c>
      <c r="N713" s="15" t="n">
        <f aca="false">M713*(1+IF(N$3&lt;=$O$2,$D713,$D713-($D713-$I$697)*MIN(N$3-$O$2,$Q$2)/$Q$2))</f>
        <v>11268.7589263295</v>
      </c>
      <c r="O713" s="15" t="n">
        <f aca="false">SUMPRODUCT(E713:N713,1/(1+$F$697)^$E$3:$N$3)*$E$2</f>
        <v>20826.1503465576</v>
      </c>
      <c r="P713" s="15" t="n">
        <f aca="false">N713*$E$2*(1+$I$697)/($F$697-$I$697)/(1+$F$697)^$N$3</f>
        <v>40202.6015225113</v>
      </c>
      <c r="Q713" s="15" t="n">
        <f aca="false">O713+P713</f>
        <v>61028.7518690689</v>
      </c>
      <c r="R713" s="15" t="n">
        <f aca="false">Q713-$G$2+$I$2</f>
        <v>52263.7518690689</v>
      </c>
      <c r="S713" s="40" t="n">
        <f aca="false">R713/$K$2</f>
        <v>93.4984290476741</v>
      </c>
      <c r="T713" s="41" t="n">
        <f aca="false">S713-$M$2</f>
        <v>0.0246017193260002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0.086944580078125</v>
      </c>
      <c r="C714" s="25" t="n">
        <f aca="false">IF(T713&gt;0,D713,C713)</f>
        <v>0.0869903564453125</v>
      </c>
      <c r="D714" s="39" t="n">
        <f aca="false">(B714+C714)/2</f>
        <v>0.0869674682617188</v>
      </c>
      <c r="E714" s="15" t="n">
        <f aca="false">$C$2*(1+IF(E$3&lt;=$O$2,$D714,$D714-($D714-$I$697)*MIN(E$3-$O$2,$Q$2)/$Q$2))</f>
        <v>6097.88749694824</v>
      </c>
      <c r="F714" s="15" t="n">
        <f aca="false">E714*(1+IF(F$3&lt;=$O$2,$D714,$D714-($D714-$I$697)*MIN(F$3-$O$2,$Q$2)/$Q$2))</f>
        <v>6628.20533430262</v>
      </c>
      <c r="G714" s="15" t="n">
        <f aca="false">F714*(1+IF(G$3&lt;=$O$2,$D714,$D714-($D714-$I$697)*MIN(G$3-$O$2,$Q$2)/$Q$2))</f>
        <v>7204.64357134574</v>
      </c>
      <c r="H714" s="15" t="n">
        <f aca="false">G714*(1+IF(H$3&lt;=$O$2,$D714,$D714-($D714-$I$697)*MIN(H$3-$O$2,$Q$2)/$Q$2))</f>
        <v>7831.21318247374</v>
      </c>
      <c r="I714" s="15" t="n">
        <f aca="false">H714*(1+IF(I$3&lt;=$O$2,$D714,$D714-($D714-$I$697)*MIN(I$3-$O$2,$Q$2)/$Q$2))</f>
        <v>8512.27396637128</v>
      </c>
      <c r="J714" s="15" t="n">
        <f aca="false">I714*(1+IF(J$3&lt;=$O$2,$D714,$D714-($D714-$I$697)*MIN(J$3-$O$2,$Q$2)/$Q$2))</f>
        <v>9169.71071775805</v>
      </c>
      <c r="K714" s="15" t="n">
        <f aca="false">J714*(1+IF(K$3&lt;=$O$2,$D714,$D714-($D714-$I$697)*MIN(K$3-$O$2,$Q$2)/$Q$2))</f>
        <v>9788.67060144356</v>
      </c>
      <c r="L714" s="15" t="n">
        <f aca="false">K714*(1+IF(L$3&lt;=$O$2,$D714,$D714-($D714-$I$697)*MIN(L$3-$O$2,$Q$2)/$Q$2))</f>
        <v>10354.1326118069</v>
      </c>
      <c r="M714" s="15" t="n">
        <f aca="false">L714*(1+IF(M$3&lt;=$O$2,$D714,$D714-($D714-$I$697)*MIN(M$3-$O$2,$Q$2)/$Q$2))</f>
        <v>10851.4777748917</v>
      </c>
      <c r="N714" s="15" t="n">
        <f aca="false">M714*(1+IF(N$3&lt;=$O$2,$D714,$D714-($D714-$I$697)*MIN(N$3-$O$2,$Q$2)/$Q$2))</f>
        <v>11267.08937367</v>
      </c>
      <c r="O714" s="15" t="n">
        <f aca="false">SUMPRODUCT(E714:N714,1/(1+$F$697)^$E$3:$N$3)*$E$2</f>
        <v>20824.0680644204</v>
      </c>
      <c r="P714" s="15" t="n">
        <f aca="false">N714*$E$2*(1+$I$697)/($F$697-$I$697)/(1+$F$697)^$N$3</f>
        <v>40196.6452001931</v>
      </c>
      <c r="Q714" s="15" t="n">
        <f aca="false">O714+P714</f>
        <v>61020.7132646135</v>
      </c>
      <c r="R714" s="15" t="n">
        <f aca="false">Q714-$G$2+$I$2</f>
        <v>52255.7132646135</v>
      </c>
      <c r="S714" s="40" t="n">
        <f aca="false">R714/$K$2</f>
        <v>93.4840482031799</v>
      </c>
      <c r="T714" s="41" t="n">
        <f aca="false">S714-$M$2</f>
        <v>0.0102208748318162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0.086944580078125</v>
      </c>
      <c r="C715" s="25" t="n">
        <f aca="false">IF(T714&gt;0,D714,C714)</f>
        <v>0.0869674682617188</v>
      </c>
      <c r="D715" s="39" t="n">
        <f aca="false">(B715+C715)/2</f>
        <v>0.0869560241699219</v>
      </c>
      <c r="E715" s="15" t="n">
        <f aca="false">$C$2*(1+IF(E$3&lt;=$O$2,$D715,$D715-($D715-$I$697)*MIN(E$3-$O$2,$Q$2)/$Q$2))</f>
        <v>6097.82329559326</v>
      </c>
      <c r="F715" s="15" t="n">
        <f aca="false">E715*(1+IF(F$3&lt;=$O$2,$D715,$D715-($D715-$I$697)*MIN(F$3-$O$2,$Q$2)/$Q$2))</f>
        <v>6628.06576546878</v>
      </c>
      <c r="G715" s="15" t="n">
        <f aca="false">F715*(1+IF(G$3&lt;=$O$2,$D715,$D715-($D715-$I$697)*MIN(G$3-$O$2,$Q$2)/$Q$2))</f>
        <v>7204.41601237072</v>
      </c>
      <c r="H715" s="15" t="n">
        <f aca="false">G715*(1+IF(H$3&lt;=$O$2,$D715,$D715-($D715-$I$697)*MIN(H$3-$O$2,$Q$2)/$Q$2))</f>
        <v>7830.8833852726</v>
      </c>
      <c r="I715" s="15" t="n">
        <f aca="false">H715*(1+IF(I$3&lt;=$O$2,$D715,$D715-($D715-$I$697)*MIN(I$3-$O$2,$Q$2)/$Q$2))</f>
        <v>8511.8258701942</v>
      </c>
      <c r="J715" s="15" t="n">
        <f aca="false">I715*(1+IF(J$3&lt;=$O$2,$D715,$D715-($D715-$I$697)*MIN(J$3-$O$2,$Q$2)/$Q$2))</f>
        <v>9169.15008523891</v>
      </c>
      <c r="K715" s="15" t="n">
        <f aca="false">J715*(1+IF(K$3&lt;=$O$2,$D715,$D715-($D715-$I$697)*MIN(K$3-$O$2,$Q$2)/$Q$2))</f>
        <v>9788.00916640257</v>
      </c>
      <c r="L715" s="15" t="n">
        <f aca="false">K715*(1+IF(L$3&lt;=$O$2,$D715,$D715-($D715-$I$697)*MIN(L$3-$O$2,$Q$2)/$Q$2))</f>
        <v>10353.3881617062</v>
      </c>
      <c r="M715" s="15" t="n">
        <f aca="false">L715*(1+IF(M$3&lt;=$O$2,$D715,$D715-($D715-$I$697)*MIN(M$3-$O$2,$Q$2)/$Q$2))</f>
        <v>10850.6738692268</v>
      </c>
      <c r="N715" s="15" t="n">
        <f aca="false">M715*(1+IF(N$3&lt;=$O$2,$D715,$D715-($D715-$I$697)*MIN(N$3-$O$2,$Q$2)/$Q$2))</f>
        <v>11266.2546784182</v>
      </c>
      <c r="O715" s="15" t="n">
        <f aca="false">SUMPRODUCT(E715:N715,1/(1+$F$697)^$E$3:$N$3)*$E$2</f>
        <v>20823.0270010951</v>
      </c>
      <c r="P715" s="15" t="n">
        <f aca="false">N715*$E$2*(1+$I$697)/($F$697-$I$697)/(1+$F$697)^$N$3</f>
        <v>40193.6673282889</v>
      </c>
      <c r="Q715" s="15" t="n">
        <f aca="false">O715+P715</f>
        <v>61016.694329384</v>
      </c>
      <c r="R715" s="15" t="n">
        <f aca="false">Q715-$G$2+$I$2</f>
        <v>52251.694329384</v>
      </c>
      <c r="S715" s="40" t="n">
        <f aca="false">R715/$K$2</f>
        <v>93.4768584374825</v>
      </c>
      <c r="T715" s="41" t="n">
        <f aca="false">S715-$M$2</f>
        <v>0.00303110913442595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0.086944580078125</v>
      </c>
      <c r="C716" s="25" t="n">
        <f aca="false">IF(T715&gt;0,D715,C715)</f>
        <v>0.0869560241699219</v>
      </c>
      <c r="D716" s="39" t="n">
        <f aca="false">(B716+C716)/2</f>
        <v>0.0869503021240234</v>
      </c>
      <c r="E716" s="15" t="n">
        <f aca="false">$C$2*(1+IF(E$3&lt;=$O$2,$D716,$D716-($D716-$I$697)*MIN(E$3-$O$2,$Q$2)/$Q$2))</f>
        <v>6097.79119491577</v>
      </c>
      <c r="F716" s="15" t="n">
        <f aca="false">E716*(1+IF(F$3&lt;=$O$2,$D716,$D716-($D716-$I$697)*MIN(F$3-$O$2,$Q$2)/$Q$2))</f>
        <v>6627.99598160291</v>
      </c>
      <c r="G716" s="15" t="n">
        <f aca="false">F716*(1+IF(G$3&lt;=$O$2,$D716,$D716-($D716-$I$697)*MIN(G$3-$O$2,$Q$2)/$Q$2))</f>
        <v>7204.30223468009</v>
      </c>
      <c r="H716" s="15" t="n">
        <f aca="false">G716*(1+IF(H$3&lt;=$O$2,$D716,$D716-($D716-$I$697)*MIN(H$3-$O$2,$Q$2)/$Q$2))</f>
        <v>7830.71849057831</v>
      </c>
      <c r="I716" s="15" t="n">
        <f aca="false">H716*(1+IF(I$3&lt;=$O$2,$D716,$D716-($D716-$I$697)*MIN(I$3-$O$2,$Q$2)/$Q$2))</f>
        <v>8511.60182918227</v>
      </c>
      <c r="J716" s="15" t="n">
        <f aca="false">I716*(1+IF(J$3&lt;=$O$2,$D716,$D716-($D716-$I$697)*MIN(J$3-$O$2,$Q$2)/$Q$2))</f>
        <v>9168.86977967923</v>
      </c>
      <c r="K716" s="15" t="n">
        <f aca="false">J716*(1+IF(K$3&lt;=$O$2,$D716,$D716-($D716-$I$697)*MIN(K$3-$O$2,$Q$2)/$Q$2))</f>
        <v>9787.67846319128</v>
      </c>
      <c r="L716" s="15" t="n">
        <f aca="false">K716*(1+IF(L$3&lt;=$O$2,$D716,$D716-($D716-$I$697)*MIN(L$3-$O$2,$Q$2)/$Q$2))</f>
        <v>10353.0159540623</v>
      </c>
      <c r="M716" s="15" t="n">
        <f aca="false">L716*(1+IF(M$3&lt;=$O$2,$D716,$D716-($D716-$I$697)*MIN(M$3-$O$2,$Q$2)/$Q$2))</f>
        <v>10850.2719359149</v>
      </c>
      <c r="N716" s="15" t="n">
        <f aca="false">M716*(1+IF(N$3&lt;=$O$2,$D716,$D716-($D716-$I$697)*MIN(N$3-$O$2,$Q$2)/$Q$2))</f>
        <v>11265.8373510605</v>
      </c>
      <c r="O716" s="15" t="n">
        <f aca="false">SUMPRODUCT(E716:N716,1/(1+$F$697)^$E$3:$N$3)*$E$2</f>
        <v>20822.5064888671</v>
      </c>
      <c r="P716" s="15" t="n">
        <f aca="false">N716*$E$2*(1+$I$697)/($F$697-$I$697)/(1+$F$697)^$N$3</f>
        <v>40192.1784646459</v>
      </c>
      <c r="Q716" s="15" t="n">
        <f aca="false">O716+P716</f>
        <v>61014.684953513</v>
      </c>
      <c r="R716" s="15" t="n">
        <f aca="false">Q716-$G$2+$I$2</f>
        <v>52249.684953513</v>
      </c>
      <c r="S716" s="40" t="n">
        <f aca="false">R716/$K$2</f>
        <v>93.473263718761</v>
      </c>
      <c r="T716" s="41" t="n">
        <f aca="false">S716-$M$2</f>
        <v>-0.000563609587118208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0.0869503021240234</v>
      </c>
      <c r="C717" s="25" t="n">
        <f aca="false">IF(T716&gt;0,D716,C716)</f>
        <v>0.0869560241699219</v>
      </c>
      <c r="D717" s="39" t="n">
        <f aca="false">(B717+C717)/2</f>
        <v>0.0869531631469727</v>
      </c>
      <c r="E717" s="15" t="n">
        <f aca="false">$C$2*(1+IF(E$3&lt;=$O$2,$D717,$D717-($D717-$I$697)*MIN(E$3-$O$2,$Q$2)/$Q$2))</f>
        <v>6097.80724525452</v>
      </c>
      <c r="F717" s="15" t="n">
        <f aca="false">E717*(1+IF(F$3&lt;=$O$2,$D717,$D717-($D717-$I$697)*MIN(F$3-$O$2,$Q$2)/$Q$2))</f>
        <v>6628.03087348992</v>
      </c>
      <c r="G717" s="15" t="n">
        <f aca="false">F717*(1+IF(G$3&lt;=$O$2,$D717,$D717-($D717-$I$697)*MIN(G$3-$O$2,$Q$2)/$Q$2))</f>
        <v>7204.35912337567</v>
      </c>
      <c r="H717" s="15" t="n">
        <f aca="false">G717*(1+IF(H$3&lt;=$O$2,$D717,$D717-($D717-$I$697)*MIN(H$3-$O$2,$Q$2)/$Q$2))</f>
        <v>7830.80093759993</v>
      </c>
      <c r="I717" s="15" t="n">
        <f aca="false">H717*(1+IF(I$3&lt;=$O$2,$D717,$D717-($D717-$I$697)*MIN(I$3-$O$2,$Q$2)/$Q$2))</f>
        <v>8511.71384909852</v>
      </c>
      <c r="J717" s="15" t="n">
        <f aca="false">I717*(1+IF(J$3&lt;=$O$2,$D717,$D717-($D717-$I$697)*MIN(J$3-$O$2,$Q$2)/$Q$2))</f>
        <v>9169.00993156743</v>
      </c>
      <c r="K717" s="15" t="n">
        <f aca="false">J717*(1+IF(K$3&lt;=$O$2,$D717,$D717-($D717-$I$697)*MIN(K$3-$O$2,$Q$2)/$Q$2))</f>
        <v>9787.84381360452</v>
      </c>
      <c r="L717" s="15" t="n">
        <f aca="false">K717*(1+IF(L$3&lt;=$O$2,$D717,$D717-($D717-$I$697)*MIN(L$3-$O$2,$Q$2)/$Q$2))</f>
        <v>10353.2020564337</v>
      </c>
      <c r="M717" s="15" t="n">
        <f aca="false">L717*(1+IF(M$3&lt;=$O$2,$D717,$D717-($D717-$I$697)*MIN(M$3-$O$2,$Q$2)/$Q$2))</f>
        <v>10850.4729009442</v>
      </c>
      <c r="N717" s="15" t="n">
        <f aca="false">M717*(1+IF(N$3&lt;=$O$2,$D717,$D717-($D717-$I$697)*MIN(N$3-$O$2,$Q$2)/$Q$2))</f>
        <v>11266.0460130503</v>
      </c>
      <c r="O717" s="15" t="n">
        <f aca="false">SUMPRODUCT(E717:N717,1/(1+$F$697)^$E$3:$N$3)*$E$2</f>
        <v>20822.7667433616</v>
      </c>
      <c r="P717" s="15" t="n">
        <f aca="false">N717*$E$2*(1+$I$697)/($F$697-$I$697)/(1+$F$697)^$N$3</f>
        <v>40192.9228904418</v>
      </c>
      <c r="Q717" s="15" t="n">
        <f aca="false">O717+P717</f>
        <v>61015.6896338033</v>
      </c>
      <c r="R717" s="15" t="n">
        <f aca="false">Q717-$G$2+$I$2</f>
        <v>52250.6896338033</v>
      </c>
      <c r="S717" s="40" t="n">
        <f aca="false">R717/$K$2</f>
        <v>93.4750610644448</v>
      </c>
      <c r="T717" s="41" t="n">
        <f aca="false">S717-$M$2</f>
        <v>0.00123373609667965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0.0869503021240234</v>
      </c>
      <c r="C718" s="25" t="n">
        <f aca="false">IF(T717&gt;0,D717,C717)</f>
        <v>0.0869531631469727</v>
      </c>
      <c r="D718" s="39" t="n">
        <f aca="false">(B718+C718)/2</f>
        <v>0.0869517326354981</v>
      </c>
      <c r="E718" s="15" t="n">
        <f aca="false">$C$2*(1+IF(E$3&lt;=$O$2,$D718,$D718-($D718-$I$697)*MIN(E$3-$O$2,$Q$2)/$Q$2))</f>
        <v>6097.79922008514</v>
      </c>
      <c r="F718" s="15" t="n">
        <f aca="false">E718*(1+IF(F$3&lt;=$O$2,$D718,$D718-($D718-$I$697)*MIN(F$3-$O$2,$Q$2)/$Q$2))</f>
        <v>6628.01342753494</v>
      </c>
      <c r="G718" s="15" t="n">
        <f aca="false">F718*(1+IF(G$3&lt;=$O$2,$D718,$D718-($D718-$I$697)*MIN(G$3-$O$2,$Q$2)/$Q$2))</f>
        <v>7204.33067899044</v>
      </c>
      <c r="H718" s="15" t="n">
        <f aca="false">G718*(1+IF(H$3&lt;=$O$2,$D718,$D718-($D718-$I$697)*MIN(H$3-$O$2,$Q$2)/$Q$2))</f>
        <v>7830.75971400774</v>
      </c>
      <c r="I718" s="15" t="n">
        <f aca="false">H718*(1+IF(I$3&lt;=$O$2,$D718,$D718-($D718-$I$697)*MIN(I$3-$O$2,$Q$2)/$Q$2))</f>
        <v>8511.65783899297</v>
      </c>
      <c r="J718" s="15" t="n">
        <f aca="false">I718*(1+IF(J$3&lt;=$O$2,$D718,$D718-($D718-$I$697)*MIN(J$3-$O$2,$Q$2)/$Q$2))</f>
        <v>9168.93985540042</v>
      </c>
      <c r="K718" s="15" t="n">
        <f aca="false">J718*(1+IF(K$3&lt;=$O$2,$D718,$D718-($D718-$I$697)*MIN(K$3-$O$2,$Q$2)/$Q$2))</f>
        <v>9787.7611380998</v>
      </c>
      <c r="L718" s="15" t="n">
        <f aca="false">K718*(1+IF(L$3&lt;=$O$2,$D718,$D718-($D718-$I$697)*MIN(L$3-$O$2,$Q$2)/$Q$2))</f>
        <v>10353.1090048854</v>
      </c>
      <c r="M718" s="15" t="n">
        <f aca="false">L718*(1+IF(M$3&lt;=$O$2,$D718,$D718-($D718-$I$697)*MIN(M$3-$O$2,$Q$2)/$Q$2))</f>
        <v>10850.3724180229</v>
      </c>
      <c r="N718" s="15" t="n">
        <f aca="false">M718*(1+IF(N$3&lt;=$O$2,$D718,$D718-($D718-$I$697)*MIN(N$3-$O$2,$Q$2)/$Q$2))</f>
        <v>11265.9416816332</v>
      </c>
      <c r="O718" s="15" t="n">
        <f aca="false">SUMPRODUCT(E718:N718,1/(1+$F$697)^$E$3:$N$3)*$E$2</f>
        <v>20822.6366157095</v>
      </c>
      <c r="P718" s="15" t="n">
        <f aca="false">N718*$E$2*(1+$I$697)/($F$697-$I$697)/(1+$F$697)^$N$3</f>
        <v>40192.5506760374</v>
      </c>
      <c r="Q718" s="15" t="n">
        <f aca="false">O718+P718</f>
        <v>61015.1872917469</v>
      </c>
      <c r="R718" s="15" t="n">
        <f aca="false">Q718-$G$2+$I$2</f>
        <v>52250.1872917469</v>
      </c>
      <c r="S718" s="40" t="n">
        <f aca="false">R718/$K$2</f>
        <v>93.4741623881836</v>
      </c>
      <c r="T718" s="41" t="n">
        <f aca="false">S718-$M$2</f>
        <v>0.0003350598355496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0.0869503021240234</v>
      </c>
      <c r="C719" s="25" t="n">
        <f aca="false">IF(T718&gt;0,D718,C718)</f>
        <v>0.0869517326354981</v>
      </c>
      <c r="D719" s="39" t="n">
        <f aca="false">(B719+C719)/2</f>
        <v>0.0869510173797607</v>
      </c>
      <c r="E719" s="15" t="n">
        <f aca="false">$C$2*(1+IF(E$3&lt;=$O$2,$D719,$D719-($D719-$I$697)*MIN(E$3-$O$2,$Q$2)/$Q$2))</f>
        <v>6097.79520750046</v>
      </c>
      <c r="F719" s="15" t="n">
        <f aca="false">E719*(1+IF(F$3&lt;=$O$2,$D719,$D719-($D719-$I$697)*MIN(F$3-$O$2,$Q$2)/$Q$2))</f>
        <v>6628.00470456605</v>
      </c>
      <c r="G719" s="15" t="n">
        <f aca="false">F719*(1+IF(G$3&lt;=$O$2,$D719,$D719-($D719-$I$697)*MIN(G$3-$O$2,$Q$2)/$Q$2))</f>
        <v>7204.31645682591</v>
      </c>
      <c r="H719" s="15" t="n">
        <f aca="false">G719*(1+IF(H$3&lt;=$O$2,$D719,$D719-($D719-$I$697)*MIN(H$3-$O$2,$Q$2)/$Q$2))</f>
        <v>7830.73910227268</v>
      </c>
      <c r="I719" s="15" t="n">
        <f aca="false">H719*(1+IF(I$3&lt;=$O$2,$D719,$D719-($D719-$I$697)*MIN(I$3-$O$2,$Q$2)/$Q$2))</f>
        <v>8511.62983405076</v>
      </c>
      <c r="J719" s="15" t="n">
        <f aca="false">I719*(1+IF(J$3&lt;=$O$2,$D719,$D719-($D719-$I$697)*MIN(J$3-$O$2,$Q$2)/$Q$2))</f>
        <v>9168.9048174841</v>
      </c>
      <c r="K719" s="15" t="n">
        <f aca="false">J719*(1+IF(K$3&lt;=$O$2,$D719,$D719-($D719-$I$697)*MIN(K$3-$O$2,$Q$2)/$Q$2))</f>
        <v>9787.71980057102</v>
      </c>
      <c r="L719" s="15" t="n">
        <f aca="false">K719*(1+IF(L$3&lt;=$O$2,$D719,$D719-($D719-$I$697)*MIN(L$3-$O$2,$Q$2)/$Q$2))</f>
        <v>10353.0624793832</v>
      </c>
      <c r="M719" s="15" t="n">
        <f aca="false">L719*(1+IF(M$3&lt;=$O$2,$D719,$D719-($D719-$I$697)*MIN(M$3-$O$2,$Q$2)/$Q$2))</f>
        <v>10850.3221768672</v>
      </c>
      <c r="N719" s="15" t="n">
        <f aca="false">M719*(1+IF(N$3&lt;=$O$2,$D719,$D719-($D719-$I$697)*MIN(N$3-$O$2,$Q$2)/$Q$2))</f>
        <v>11265.8895162412</v>
      </c>
      <c r="O719" s="15" t="n">
        <f aca="false">SUMPRODUCT(E719:N719,1/(1+$F$697)^$E$3:$N$3)*$E$2</f>
        <v>20822.5715521871</v>
      </c>
      <c r="P719" s="15" t="n">
        <f aca="false">N719*$E$2*(1+$I$697)/($F$697-$I$697)/(1+$F$697)^$N$3</f>
        <v>40192.364569965</v>
      </c>
      <c r="Q719" s="15" t="n">
        <f aca="false">O719+P719</f>
        <v>61014.9361221521</v>
      </c>
      <c r="R719" s="15" t="n">
        <f aca="false">Q719-$G$2+$I$2</f>
        <v>52249.9361221521</v>
      </c>
      <c r="S719" s="40" t="n">
        <f aca="false">R719/$K$2</f>
        <v>93.4737130526175</v>
      </c>
      <c r="T719" s="41" t="n">
        <f aca="false">S719-$M$2</f>
        <v>-0.000114275730581426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0.0869510173797607</v>
      </c>
      <c r="C720" s="25" t="n">
        <f aca="false">IF(T719&gt;0,D719,C719)</f>
        <v>0.0869517326354981</v>
      </c>
      <c r="D720" s="39" t="n">
        <f aca="false">(B720+C720)/2</f>
        <v>0.0869513750076294</v>
      </c>
      <c r="E720" s="15" t="n">
        <f aca="false">$C$2*(1+IF(E$3&lt;=$O$2,$D720,$D720-($D720-$I$697)*MIN(E$3-$O$2,$Q$2)/$Q$2))</f>
        <v>6097.7972137928</v>
      </c>
      <c r="F720" s="15" t="n">
        <f aca="false">E720*(1+IF(F$3&lt;=$O$2,$D720,$D720-($D720-$I$697)*MIN(F$3-$O$2,$Q$2)/$Q$2))</f>
        <v>6628.00906604978</v>
      </c>
      <c r="G720" s="15" t="n">
        <f aca="false">F720*(1+IF(G$3&lt;=$O$2,$D720,$D720-($D720-$I$697)*MIN(G$3-$O$2,$Q$2)/$Q$2))</f>
        <v>7204.32356790584</v>
      </c>
      <c r="H720" s="15" t="n">
        <f aca="false">G720*(1+IF(H$3&lt;=$O$2,$D720,$D720-($D720-$I$697)*MIN(H$3-$O$2,$Q$2)/$Q$2))</f>
        <v>7830.74940813512</v>
      </c>
      <c r="I720" s="15" t="n">
        <f aca="false">H720*(1+IF(I$3&lt;=$O$2,$D720,$D720-($D720-$I$697)*MIN(I$3-$O$2,$Q$2)/$Q$2))</f>
        <v>8511.64383651265</v>
      </c>
      <c r="J720" s="15" t="n">
        <f aca="false">I720*(1+IF(J$3&lt;=$O$2,$D720,$D720-($D720-$I$697)*MIN(J$3-$O$2,$Q$2)/$Q$2))</f>
        <v>9168.92233642833</v>
      </c>
      <c r="K720" s="15" t="n">
        <f aca="false">J720*(1+IF(K$3&lt;=$O$2,$D720,$D720-($D720-$I$697)*MIN(K$3-$O$2,$Q$2)/$Q$2))</f>
        <v>9787.74046931678</v>
      </c>
      <c r="L720" s="15" t="n">
        <f aca="false">K720*(1+IF(L$3&lt;=$O$2,$D720,$D720-($D720-$I$697)*MIN(L$3-$O$2,$Q$2)/$Q$2))</f>
        <v>10353.0857421116</v>
      </c>
      <c r="M720" s="15" t="n">
        <f aca="false">L720*(1+IF(M$3&lt;=$O$2,$D720,$D720-($D720-$I$697)*MIN(M$3-$O$2,$Q$2)/$Q$2))</f>
        <v>10850.3472974196</v>
      </c>
      <c r="N720" s="15" t="n">
        <f aca="false">M720*(1+IF(N$3&lt;=$O$2,$D720,$D720-($D720-$I$697)*MIN(N$3-$O$2,$Q$2)/$Q$2))</f>
        <v>11265.9155989108</v>
      </c>
      <c r="O720" s="15" t="n">
        <f aca="false">SUMPRODUCT(E720:N720,1/(1+$F$697)^$E$3:$N$3)*$E$2</f>
        <v>20822.604083923</v>
      </c>
      <c r="P720" s="15" t="n">
        <f aca="false">N720*$E$2*(1+$I$697)/($F$697-$I$697)/(1+$F$697)^$N$3</f>
        <v>40192.4576229071</v>
      </c>
      <c r="Q720" s="15" t="n">
        <f aca="false">O720+P720</f>
        <v>61015.0617068301</v>
      </c>
      <c r="R720" s="15" t="n">
        <f aca="false">Q720-$G$2+$I$2</f>
        <v>52250.0617068301</v>
      </c>
      <c r="S720" s="40" t="n">
        <f aca="false">R720/$K$2</f>
        <v>93.4739377201869</v>
      </c>
      <c r="T720" s="41" t="n">
        <f aca="false">S720-$M$2</f>
        <v>0.00011039183880257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0.0869510173797607</v>
      </c>
      <c r="C721" s="25" t="n">
        <f aca="false">IF(T720&gt;0,D720,C720)</f>
        <v>0.0869513750076294</v>
      </c>
      <c r="D721" s="39" t="n">
        <f aca="false">(B721+C721)/2</f>
        <v>0.0869511961936951</v>
      </c>
      <c r="E721" s="15" t="n">
        <f aca="false">$C$2*(1+IF(E$3&lt;=$O$2,$D721,$D721-($D721-$I$697)*MIN(E$3-$O$2,$Q$2)/$Q$2))</f>
        <v>6097.79621064663</v>
      </c>
      <c r="F721" s="15" t="n">
        <f aca="false">E721*(1+IF(F$3&lt;=$O$2,$D721,$D721-($D721-$I$697)*MIN(F$3-$O$2,$Q$2)/$Q$2))</f>
        <v>6628.00688530774</v>
      </c>
      <c r="G721" s="15" t="n">
        <f aca="false">F721*(1+IF(G$3&lt;=$O$2,$D721,$D721-($D721-$I$697)*MIN(G$3-$O$2,$Q$2)/$Q$2))</f>
        <v>7204.32001236529</v>
      </c>
      <c r="H721" s="15" t="n">
        <f aca="false">G721*(1+IF(H$3&lt;=$O$2,$D721,$D721-($D721-$I$697)*MIN(H$3-$O$2,$Q$2)/$Q$2))</f>
        <v>7830.74425520263</v>
      </c>
      <c r="I721" s="15" t="n">
        <f aca="false">H721*(1+IF(I$3&lt;=$O$2,$D721,$D721-($D721-$I$697)*MIN(I$3-$O$2,$Q$2)/$Q$2))</f>
        <v>8511.6368352794</v>
      </c>
      <c r="J721" s="15" t="n">
        <f aca="false">I721*(1+IF(J$3&lt;=$O$2,$D721,$D721-($D721-$I$697)*MIN(J$3-$O$2,$Q$2)/$Q$2))</f>
        <v>9168.91357695273</v>
      </c>
      <c r="K721" s="15" t="n">
        <f aca="false">J721*(1+IF(K$3&lt;=$O$2,$D721,$D721-($D721-$I$697)*MIN(K$3-$O$2,$Q$2)/$Q$2))</f>
        <v>9787.73013493924</v>
      </c>
      <c r="L721" s="15" t="n">
        <f aca="false">K721*(1+IF(L$3&lt;=$O$2,$D721,$D721-($D721-$I$697)*MIN(L$3-$O$2,$Q$2)/$Q$2))</f>
        <v>10353.0741107418</v>
      </c>
      <c r="M721" s="15" t="n">
        <f aca="false">L721*(1+IF(M$3&lt;=$O$2,$D721,$D721-($D721-$I$697)*MIN(M$3-$O$2,$Q$2)/$Q$2))</f>
        <v>10850.3347371371</v>
      </c>
      <c r="N721" s="15" t="n">
        <f aca="false">M721*(1+IF(N$3&lt;=$O$2,$D721,$D721-($D721-$I$697)*MIN(N$3-$O$2,$Q$2)/$Q$2))</f>
        <v>11265.9025575694</v>
      </c>
      <c r="O721" s="15" t="n">
        <f aca="false">SUMPRODUCT(E721:N721,1/(1+$F$697)^$E$3:$N$3)*$E$2</f>
        <v>20822.5878180487</v>
      </c>
      <c r="P721" s="15" t="n">
        <f aca="false">N721*$E$2*(1+$I$697)/($F$697-$I$697)/(1+$F$697)^$N$3</f>
        <v>40192.4110964125</v>
      </c>
      <c r="Q721" s="15" t="n">
        <f aca="false">O721+P721</f>
        <v>61014.9989144612</v>
      </c>
      <c r="R721" s="15" t="n">
        <f aca="false">Q721-$G$2+$I$2</f>
        <v>52249.9989144612</v>
      </c>
      <c r="S721" s="40" t="n">
        <f aca="false">R721/$K$2</f>
        <v>93.4738253863487</v>
      </c>
      <c r="T721" s="41" t="n">
        <f aca="false">S721-$M$2</f>
        <v>-1.94199934355765E-006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0.0869511961936951</v>
      </c>
      <c r="C722" s="25" t="n">
        <f aca="false">IF(T721&gt;0,D721,C721)</f>
        <v>0.0869513750076294</v>
      </c>
      <c r="D722" s="39" t="n">
        <f aca="false">(B722+C722)/2</f>
        <v>0.0869512856006622</v>
      </c>
      <c r="E722" s="15" t="n">
        <f aca="false">$C$2*(1+IF(E$3&lt;=$O$2,$D722,$D722-($D722-$I$697)*MIN(E$3-$O$2,$Q$2)/$Q$2))</f>
        <v>6097.79671221972</v>
      </c>
      <c r="F722" s="15" t="n">
        <f aca="false">E722*(1+IF(F$3&lt;=$O$2,$D722,$D722-($D722-$I$697)*MIN(F$3-$O$2,$Q$2)/$Q$2))</f>
        <v>6628.00797567871</v>
      </c>
      <c r="G722" s="15" t="n">
        <f aca="false">F722*(1+IF(G$3&lt;=$O$2,$D722,$D722-($D722-$I$697)*MIN(G$3-$O$2,$Q$2)/$Q$2))</f>
        <v>7204.32179013542</v>
      </c>
      <c r="H722" s="15" t="n">
        <f aca="false">G722*(1+IF(H$3&lt;=$O$2,$D722,$D722-($D722-$I$697)*MIN(H$3-$O$2,$Q$2)/$Q$2))</f>
        <v>7830.74683166856</v>
      </c>
      <c r="I722" s="15" t="n">
        <f aca="false">H722*(1+IF(I$3&lt;=$O$2,$D722,$D722-($D722-$I$697)*MIN(I$3-$O$2,$Q$2)/$Q$2))</f>
        <v>8511.64033589545</v>
      </c>
      <c r="J722" s="15" t="n">
        <f aca="false">I722*(1+IF(J$3&lt;=$O$2,$D722,$D722-($D722-$I$697)*MIN(J$3-$O$2,$Q$2)/$Q$2))</f>
        <v>9168.91795668966</v>
      </c>
      <c r="K722" s="15" t="n">
        <f aca="false">J722*(1+IF(K$3&lt;=$O$2,$D722,$D722-($D722-$I$697)*MIN(K$3-$O$2,$Q$2)/$Q$2))</f>
        <v>9787.73530212684</v>
      </c>
      <c r="L722" s="15" t="n">
        <f aca="false">K722*(1+IF(L$3&lt;=$O$2,$D722,$D722-($D722-$I$697)*MIN(L$3-$O$2,$Q$2)/$Q$2))</f>
        <v>10353.0799264253</v>
      </c>
      <c r="M722" s="15" t="n">
        <f aca="false">L722*(1+IF(M$3&lt;=$O$2,$D722,$D722-($D722-$I$697)*MIN(M$3-$O$2,$Q$2)/$Q$2))</f>
        <v>10850.3410172768</v>
      </c>
      <c r="N722" s="15" t="n">
        <f aca="false">M722*(1+IF(N$3&lt;=$O$2,$D722,$D722-($D722-$I$697)*MIN(N$3-$O$2,$Q$2)/$Q$2))</f>
        <v>11265.9090782385</v>
      </c>
      <c r="O722" s="15" t="n">
        <f aca="false">SUMPRODUCT(E722:N722,1/(1+$F$697)^$E$3:$N$3)*$E$2</f>
        <v>20822.5959509843</v>
      </c>
      <c r="P722" s="15" t="n">
        <f aca="false">N722*$E$2*(1+$I$697)/($F$697-$I$697)/(1+$F$697)^$N$3</f>
        <v>40192.4343596539</v>
      </c>
      <c r="Q722" s="15" t="n">
        <f aca="false">O722+P722</f>
        <v>61015.0303106382</v>
      </c>
      <c r="R722" s="15" t="n">
        <f aca="false">Q722-$G$2+$I$2</f>
        <v>52250.0303106382</v>
      </c>
      <c r="S722" s="40" t="n">
        <f aca="false">R722/$K$2</f>
        <v>93.4738815532545</v>
      </c>
      <c r="T722" s="41" t="n">
        <f aca="false">S722-$M$2</f>
        <v>5.42249063784084E-005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212</v>
      </c>
    </row>
    <row r="3" customFormat="false" ht="15" hidden="false" customHeight="false" outlineLevel="0" collapsed="false">
      <c r="B3" s="2" t="s">
        <v>213</v>
      </c>
    </row>
    <row r="5" customFormat="false" ht="15" hidden="false" customHeight="false" outlineLevel="0" collapsed="false">
      <c r="B5" s="3" t="s">
        <v>214</v>
      </c>
    </row>
    <row r="6" customFormat="false" ht="15" hidden="false" customHeight="false" outlineLevel="0" collapsed="false">
      <c r="B6" s="28" t="s">
        <v>163</v>
      </c>
      <c r="C6" s="42" t="n">
        <v>1</v>
      </c>
      <c r="D6" s="42" t="n">
        <v>2</v>
      </c>
      <c r="E6" s="42" t="n">
        <v>3</v>
      </c>
      <c r="F6" s="42" t="n">
        <v>4</v>
      </c>
      <c r="G6" s="42" t="n">
        <v>5</v>
      </c>
      <c r="H6" s="42" t="n">
        <v>6</v>
      </c>
      <c r="I6" s="42" t="n">
        <v>7</v>
      </c>
      <c r="J6" s="42" t="n">
        <v>8</v>
      </c>
      <c r="K6" s="42" t="n">
        <v>9</v>
      </c>
      <c r="L6" s="42" t="n">
        <v>10</v>
      </c>
    </row>
    <row r="7" customFormat="false" ht="15" hidden="false" customHeight="false" outlineLevel="0" collapsed="false">
      <c r="B7" s="5" t="s">
        <v>215</v>
      </c>
      <c r="C7" s="23" t="n">
        <f aca="false">IF(C$6&lt;=Inputs!$C$46,Solver!$W$7,Solver!$W$7-(Solver!$W$7-Inputs!$C$37)*MIN(C$6-Inputs!$C$46,Inputs!$C$47)/Inputs!$C$47)</f>
        <v>0.0782079589675959</v>
      </c>
      <c r="D7" s="23" t="n">
        <f aca="false">IF(D$6&lt;=Inputs!$C$46,Solver!$W$7,Solver!$W$7-(Solver!$W$7-Inputs!$C$37)*MIN(D$6-Inputs!$C$46,Inputs!$C$47)/Inputs!$C$47)</f>
        <v>0.0782079589675959</v>
      </c>
      <c r="E7" s="23" t="n">
        <f aca="false">IF(E$6&lt;=Inputs!$C$46,Solver!$W$7,Solver!$W$7-(Solver!$W$7-Inputs!$C$37)*MIN(E$6-Inputs!$C$46,Inputs!$C$47)/Inputs!$C$47)</f>
        <v>0.0782079589675959</v>
      </c>
      <c r="F7" s="23" t="n">
        <f aca="false">IF(F$6&lt;=Inputs!$C$46,Solver!$W$7,Solver!$W$7-(Solver!$W$7-Inputs!$C$37)*MIN(F$6-Inputs!$C$46,Inputs!$C$47)/Inputs!$C$47)</f>
        <v>0.0782079589675959</v>
      </c>
      <c r="G7" s="23" t="n">
        <f aca="false">IF(G$6&lt;=Inputs!$C$46,Solver!$W$7,Solver!$W$7-(Solver!$W$7-Inputs!$C$37)*MIN(G$6-Inputs!$C$46,Inputs!$C$47)/Inputs!$C$47)</f>
        <v>0.0782079589675959</v>
      </c>
      <c r="H7" s="23" t="n">
        <f aca="false">IF(H$6&lt;=Inputs!$C$46,Solver!$W$7,Solver!$W$7-(Solver!$W$7-Inputs!$C$37)*MIN(H$6-Inputs!$C$46,Inputs!$C$47)/Inputs!$C$47)</f>
        <v>0.0682263671740767</v>
      </c>
      <c r="I7" s="23" t="n">
        <f aca="false">IF(I$6&lt;=Inputs!$C$46,Solver!$W$7,Solver!$W$7-(Solver!$W$7-Inputs!$C$37)*MIN(I$6-Inputs!$C$46,Inputs!$C$47)/Inputs!$C$47)</f>
        <v>0.0582447753805576</v>
      </c>
      <c r="J7" s="23" t="n">
        <f aca="false">IF(J$6&lt;=Inputs!$C$46,Solver!$W$7,Solver!$W$7-(Solver!$W$7-Inputs!$C$37)*MIN(J$6-Inputs!$C$46,Inputs!$C$47)/Inputs!$C$47)</f>
        <v>0.0482631835870384</v>
      </c>
      <c r="K7" s="23" t="n">
        <f aca="false">IF(K$6&lt;=Inputs!$C$46,Solver!$W$7,Solver!$W$7-(Solver!$W$7-Inputs!$C$37)*MIN(K$6-Inputs!$C$46,Inputs!$C$47)/Inputs!$C$47)</f>
        <v>0.0382815917935192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106</v>
      </c>
      <c r="C8" s="15" t="n">
        <f aca="false">Inputs!$C$12*(1+C7)</f>
        <v>6048.74664980821</v>
      </c>
      <c r="D8" s="15" t="n">
        <f aca="false">C8*(1+D7)</f>
        <v>6521.8067796018</v>
      </c>
      <c r="E8" s="15" t="n">
        <f aca="false">D8*(1+E7)</f>
        <v>7031.86397661548</v>
      </c>
      <c r="F8" s="15" t="n">
        <f aca="false">E8*(1+F7)</f>
        <v>7581.81170596434</v>
      </c>
      <c r="G8" s="15" t="n">
        <f aca="false">F8*(1+G7)</f>
        <v>8174.76972476444</v>
      </c>
      <c r="H8" s="15" t="n">
        <f aca="false">G8*(1+H7)</f>
        <v>8732.50456556975</v>
      </c>
      <c r="I8" s="15" t="n">
        <f aca="false">H8*(1+I7)</f>
        <v>9241.12733250105</v>
      </c>
      <c r="J8" s="15" t="n">
        <f aca="false">I8*(1+J7)</f>
        <v>9687.13355750075</v>
      </c>
      <c r="K8" s="15" t="n">
        <f aca="false">J8*(1+K7)</f>
        <v>10057.9724499983</v>
      </c>
      <c r="L8" s="15" t="n">
        <f aca="false">K8*(1+L7)</f>
        <v>10342.6130703332</v>
      </c>
    </row>
    <row r="9" customFormat="false" ht="15" hidden="false" customHeight="false" outlineLevel="0" collapsed="false">
      <c r="B9" s="5" t="s">
        <v>60</v>
      </c>
      <c r="C9" s="15" t="n">
        <f aca="false">C8*Inputs!$C$23</f>
        <v>2312.75607198549</v>
      </c>
      <c r="D9" s="15" t="n">
        <f aca="false">D8*Inputs!$C$23</f>
        <v>2493.63200396539</v>
      </c>
      <c r="E9" s="15" t="n">
        <f aca="false">E8*Inputs!$C$23</f>
        <v>2688.6538734118</v>
      </c>
      <c r="F9" s="15" t="n">
        <f aca="false">F8*Inputs!$C$23</f>
        <v>2898.92800522166</v>
      </c>
      <c r="G9" s="15" t="n">
        <f aca="false">G8*Inputs!$C$23</f>
        <v>3125.64724770405</v>
      </c>
      <c r="H9" s="15" t="n">
        <f aca="false">H8*Inputs!$C$23</f>
        <v>3338.89880448255</v>
      </c>
      <c r="I9" s="15" t="n">
        <f aca="false">I8*Inputs!$C$23</f>
        <v>3533.37221536805</v>
      </c>
      <c r="J9" s="15" t="n">
        <f aca="false">J8*Inputs!$C$23</f>
        <v>3703.9040072797</v>
      </c>
      <c r="K9" s="15" t="n">
        <f aca="false">K8*Inputs!$C$23</f>
        <v>3845.69534852876</v>
      </c>
      <c r="L9" s="15" t="n">
        <f aca="false">L8*Inputs!$C$23</f>
        <v>3954.52852689212</v>
      </c>
    </row>
    <row r="10" customFormat="false" ht="15" hidden="false" customHeight="false" outlineLevel="0" collapsed="false">
      <c r="B10" s="5" t="s">
        <v>216</v>
      </c>
      <c r="C10" s="43" t="n">
        <f aca="false">1/(1+WACC!$C$37)^C$6</f>
        <v>0.928732735504135</v>
      </c>
      <c r="D10" s="43" t="n">
        <f aca="false">1/(1+WACC!$C$37)^D$6</f>
        <v>0.862544493996994</v>
      </c>
      <c r="E10" s="43" t="n">
        <f aca="false">1/(1+WACC!$C$37)^E$6</f>
        <v>0.801073307403858</v>
      </c>
      <c r="F10" s="43" t="n">
        <f aca="false">1/(1+WACC!$C$37)^F$6</f>
        <v>0.74398300412453</v>
      </c>
      <c r="G10" s="43" t="n">
        <f aca="false">1/(1+WACC!$C$37)^G$6</f>
        <v>0.690961370589159</v>
      </c>
      <c r="H10" s="43" t="n">
        <f aca="false">1/(1+WACC!$C$37)^H$6</f>
        <v>0.641718443834956</v>
      </c>
      <c r="I10" s="43" t="n">
        <f aca="false">1/(1+WACC!$C$37)^I$6</f>
        <v>0.595984925766296</v>
      </c>
      <c r="J10" s="43" t="n">
        <f aca="false">1/(1+WACC!$C$37)^J$6</f>
        <v>0.553510710426161</v>
      </c>
      <c r="K10" s="43" t="n">
        <f aca="false">1/(1+WACC!$C$37)^K$6</f>
        <v>0.514063516224925</v>
      </c>
      <c r="L10" s="43" t="n">
        <f aca="false">1/(1+WACC!$C$37)^L$6</f>
        <v>0.477427615646449</v>
      </c>
    </row>
    <row r="11" customFormat="false" ht="15" hidden="false" customHeight="false" outlineLevel="0" collapsed="false">
      <c r="B11" s="5" t="s">
        <v>217</v>
      </c>
      <c r="C11" s="15" t="n">
        <f aca="false">C9*C10</f>
        <v>2147.93227328889</v>
      </c>
      <c r="D11" s="15" t="n">
        <f aca="false">D9*D10</f>
        <v>2150.86855507504</v>
      </c>
      <c r="E11" s="15" t="n">
        <f aca="false">E9*E10</f>
        <v>2153.80885083819</v>
      </c>
      <c r="F11" s="15" t="n">
        <f aca="false">F9*F10</f>
        <v>2156.75316606554</v>
      </c>
      <c r="G11" s="15" t="n">
        <f aca="false">G9*G10</f>
        <v>2159.70150625182</v>
      </c>
      <c r="H11" s="15" t="n">
        <f aca="false">H9*H10</f>
        <v>2142.63294493494</v>
      </c>
      <c r="I11" s="15" t="n">
        <f aca="false">I9*I10</f>
        <v>2105.83657748082</v>
      </c>
      <c r="J11" s="15" t="n">
        <f aca="false">J9*J10</f>
        <v>2050.15053841969</v>
      </c>
      <c r="K11" s="15" t="n">
        <f aca="false">K9*K10</f>
        <v>1976.93167319453</v>
      </c>
      <c r="L11" s="15" t="n">
        <f aca="false">L9*L10</f>
        <v>1888.00112559997</v>
      </c>
    </row>
    <row r="13" customFormat="false" ht="15" hidden="false" customHeight="false" outlineLevel="0" collapsed="false">
      <c r="B13" s="5" t="s">
        <v>218</v>
      </c>
      <c r="C13" s="15" t="n">
        <f aca="false">SUM(C11:L11)</f>
        <v>20932.6172111494</v>
      </c>
    </row>
    <row r="14" customFormat="false" ht="15" hidden="false" customHeight="false" outlineLevel="0" collapsed="false">
      <c r="B14" s="5" t="s">
        <v>219</v>
      </c>
      <c r="C14" s="15" t="n">
        <f aca="false">L9*(1+Inputs!$C$37)/(WACC!$C$37-Inputs!$C$37)</f>
        <v>83954.8896519566</v>
      </c>
    </row>
    <row r="15" customFormat="false" ht="15" hidden="false" customHeight="false" outlineLevel="0" collapsed="false">
      <c r="B15" s="5" t="s">
        <v>220</v>
      </c>
      <c r="C15" s="15" t="n">
        <f aca="false">C14*L10</f>
        <v>40082.3827883944</v>
      </c>
    </row>
    <row r="16" customFormat="false" ht="15" hidden="false" customHeight="false" outlineLevel="0" collapsed="false">
      <c r="B16" s="7" t="s">
        <v>221</v>
      </c>
      <c r="C16" s="15" t="n">
        <f aca="false">C13+C15</f>
        <v>61014.9999995438</v>
      </c>
    </row>
    <row r="17" customFormat="false" ht="15" hidden="false" customHeight="false" outlineLevel="0" collapsed="false">
      <c r="B17" s="5" t="s">
        <v>222</v>
      </c>
      <c r="C17" s="16" t="n">
        <f aca="false">-Inputs!$C$27</f>
        <v>-9320</v>
      </c>
    </row>
    <row r="18" customFormat="false" ht="15" hidden="false" customHeight="false" outlineLevel="0" collapsed="false">
      <c r="B18" s="5" t="s">
        <v>223</v>
      </c>
      <c r="C18" s="16" t="n">
        <f aca="false">Inputs!$C$28</f>
        <v>555</v>
      </c>
    </row>
    <row r="19" customFormat="false" ht="15" hidden="false" customHeight="false" outlineLevel="0" collapsed="false">
      <c r="B19" s="5" t="s">
        <v>224</v>
      </c>
      <c r="C19" s="15" t="n">
        <f aca="false">SUM(C16:C18)</f>
        <v>52249.9999995438</v>
      </c>
    </row>
    <row r="20" customFormat="false" ht="15" hidden="false" customHeight="false" outlineLevel="0" collapsed="false">
      <c r="B20" s="5" t="s">
        <v>225</v>
      </c>
      <c r="C20" s="34" t="n">
        <f aca="false">Inputs!$C$7</f>
        <v>558.98</v>
      </c>
    </row>
    <row r="21" customFormat="false" ht="15" hidden="false" customHeight="false" outlineLevel="0" collapsed="false">
      <c r="B21" s="7" t="s">
        <v>226</v>
      </c>
      <c r="C21" s="44" t="n">
        <f aca="false">C19/C20</f>
        <v>93.473827327532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93.4738273283481</v>
      </c>
    </row>
    <row r="23" customFormat="false" ht="15" hidden="false" customHeight="false" outlineLevel="0" collapsed="false">
      <c r="B23" s="5" t="s">
        <v>227</v>
      </c>
      <c r="C23" s="23" t="n">
        <f aca="false">C21/C22-1</f>
        <v>-8.73079386565223E-012</v>
      </c>
    </row>
    <row r="24" customFormat="false" ht="15" hidden="false" customHeight="false" outlineLevel="0" collapsed="false">
      <c r="B24" s="5" t="s">
        <v>228</v>
      </c>
      <c r="C24" s="23" t="n">
        <f aca="false">C15/C16</f>
        <v>0.65692670308439</v>
      </c>
    </row>
    <row r="25" customFormat="false" ht="15" hidden="false" customHeight="false" outlineLevel="0" collapsed="false">
      <c r="B25" s="3" t="s">
        <v>229</v>
      </c>
    </row>
    <row r="26" customFormat="false" ht="15" hidden="false" customHeight="false" outlineLevel="0" collapsed="false">
      <c r="B26" s="28" t="s">
        <v>163</v>
      </c>
      <c r="C26" s="42" t="n">
        <v>1</v>
      </c>
      <c r="D26" s="42" t="n">
        <v>2</v>
      </c>
      <c r="E26" s="42" t="n">
        <v>3</v>
      </c>
      <c r="F26" s="42" t="n">
        <v>4</v>
      </c>
      <c r="G26" s="42" t="n">
        <v>5</v>
      </c>
      <c r="H26" s="42" t="n">
        <v>6</v>
      </c>
      <c r="I26" s="42" t="n">
        <v>7</v>
      </c>
      <c r="J26" s="42" t="n">
        <v>8</v>
      </c>
      <c r="K26" s="42" t="n">
        <v>9</v>
      </c>
      <c r="L26" s="42" t="n">
        <v>10</v>
      </c>
    </row>
    <row r="27" customFormat="false" ht="15" hidden="false" customHeight="false" outlineLevel="0" collapsed="false">
      <c r="B27" s="5" t="s">
        <v>215</v>
      </c>
      <c r="C27" s="23" t="n">
        <f aca="false">IF(C$26&lt;=Inputs!$C$46,Inputs!$C$45,Inputs!$C$45-(Inputs!$C$45-Inputs!$C$37)*MIN(C$26-Inputs!$C$46,Inputs!$C$47)/Inputs!$C$47)</f>
        <v>0.0979</v>
      </c>
      <c r="D27" s="23" t="n">
        <f aca="false">IF(D$26&lt;=Inputs!$C$46,Inputs!$C$45,Inputs!$C$45-(Inputs!$C$45-Inputs!$C$37)*MIN(D$26-Inputs!$C$46,Inputs!$C$47)/Inputs!$C$47)</f>
        <v>0.0979</v>
      </c>
      <c r="E27" s="23" t="n">
        <f aca="false">IF(E$26&lt;=Inputs!$C$46,Inputs!$C$45,Inputs!$C$45-(Inputs!$C$45-Inputs!$C$37)*MIN(E$26-Inputs!$C$46,Inputs!$C$47)/Inputs!$C$47)</f>
        <v>0.0979</v>
      </c>
      <c r="F27" s="23" t="n">
        <f aca="false">IF(F$26&lt;=Inputs!$C$46,Inputs!$C$45,Inputs!$C$45-(Inputs!$C$45-Inputs!$C$37)*MIN(F$26-Inputs!$C$46,Inputs!$C$47)/Inputs!$C$47)</f>
        <v>0.0979</v>
      </c>
      <c r="G27" s="23" t="n">
        <f aca="false">IF(G$26&lt;=Inputs!$C$46,Inputs!$C$45,Inputs!$C$45-(Inputs!$C$45-Inputs!$C$37)*MIN(G$26-Inputs!$C$46,Inputs!$C$47)/Inputs!$C$47)</f>
        <v>0.0979</v>
      </c>
      <c r="H27" s="23" t="n">
        <f aca="false">IF(H$26&lt;=Inputs!$C$46,Inputs!$C$45,Inputs!$C$45-(Inputs!$C$45-Inputs!$C$37)*MIN(H$26-Inputs!$C$46,Inputs!$C$47)/Inputs!$C$47)</f>
        <v>0.08398</v>
      </c>
      <c r="I27" s="23" t="n">
        <f aca="false">IF(I$26&lt;=Inputs!$C$46,Inputs!$C$45,Inputs!$C$45-(Inputs!$C$45-Inputs!$C$37)*MIN(I$26-Inputs!$C$46,Inputs!$C$47)/Inputs!$C$47)</f>
        <v>0.07006</v>
      </c>
      <c r="J27" s="23" t="n">
        <f aca="false">IF(J$26&lt;=Inputs!$C$46,Inputs!$C$45,Inputs!$C$45-(Inputs!$C$45-Inputs!$C$37)*MIN(J$26-Inputs!$C$46,Inputs!$C$47)/Inputs!$C$47)</f>
        <v>0.05614</v>
      </c>
      <c r="K27" s="23" t="n">
        <f aca="false">IF(K$26&lt;=Inputs!$C$46,Inputs!$C$45,Inputs!$C$45-(Inputs!$C$45-Inputs!$C$37)*MIN(K$26-Inputs!$C$46,Inputs!$C$47)/Inputs!$C$47)</f>
        <v>0.04222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106</v>
      </c>
      <c r="C28" s="15" t="n">
        <f aca="false">Inputs!$C$12*(1+C27)</f>
        <v>6159.219</v>
      </c>
      <c r="D28" s="15" t="n">
        <f aca="false">C28*(1+D27)</f>
        <v>6762.2065401</v>
      </c>
      <c r="E28" s="15" t="n">
        <f aca="false">D28*(1+E27)</f>
        <v>7424.22656037579</v>
      </c>
      <c r="F28" s="15" t="n">
        <f aca="false">E28*(1+F27)</f>
        <v>8151.05834063658</v>
      </c>
      <c r="G28" s="15" t="n">
        <f aca="false">F28*(1+G27)</f>
        <v>8949.04695218491</v>
      </c>
      <c r="H28" s="15" t="n">
        <f aca="false">G28*(1+H27)</f>
        <v>9700.58791522939</v>
      </c>
      <c r="I28" s="15" t="n">
        <f aca="false">H28*(1+I27)</f>
        <v>10380.2111045704</v>
      </c>
      <c r="J28" s="15" t="n">
        <f aca="false">I28*(1+J27)</f>
        <v>10962.9561559809</v>
      </c>
      <c r="K28" s="15" t="n">
        <f aca="false">J28*(1+K27)</f>
        <v>11425.8121648865</v>
      </c>
      <c r="L28" s="15" t="n">
        <f aca="false">K28*(1+L27)</f>
        <v>11749.1626491527</v>
      </c>
    </row>
    <row r="29" customFormat="false" ht="15" hidden="false" customHeight="false" outlineLevel="0" collapsed="false">
      <c r="B29" s="5" t="s">
        <v>60</v>
      </c>
      <c r="C29" s="15" t="n">
        <f aca="false">C28*Inputs!$C$23</f>
        <v>2354.9955</v>
      </c>
      <c r="D29" s="15" t="n">
        <f aca="false">D28*Inputs!$C$23</f>
        <v>2585.54955945</v>
      </c>
      <c r="E29" s="15" t="n">
        <f aca="false">E28*Inputs!$C$23</f>
        <v>2838.67486132016</v>
      </c>
      <c r="F29" s="15" t="n">
        <f aca="false">F28*Inputs!$C$23</f>
        <v>3116.5811302434</v>
      </c>
      <c r="G29" s="15" t="n">
        <f aca="false">G28*Inputs!$C$23</f>
        <v>3421.69442289423</v>
      </c>
      <c r="H29" s="15" t="n">
        <f aca="false">H28*Inputs!$C$23</f>
        <v>3709.04832052889</v>
      </c>
      <c r="I29" s="15" t="n">
        <f aca="false">I28*Inputs!$C$23</f>
        <v>3968.90424586514</v>
      </c>
      <c r="J29" s="15" t="n">
        <f aca="false">J28*Inputs!$C$23</f>
        <v>4191.71853022801</v>
      </c>
      <c r="K29" s="15" t="n">
        <f aca="false">K28*Inputs!$C$23</f>
        <v>4368.69288657424</v>
      </c>
      <c r="L29" s="15" t="n">
        <f aca="false">L28*Inputs!$C$23</f>
        <v>4492.32689526429</v>
      </c>
    </row>
    <row r="30" customFormat="false" ht="15" hidden="false" customHeight="false" outlineLevel="0" collapsed="false">
      <c r="B30" s="5" t="s">
        <v>216</v>
      </c>
      <c r="C30" s="43" t="n">
        <f aca="false">1/(1+WACC!$C$37)^C$26</f>
        <v>0.928732735504135</v>
      </c>
      <c r="D30" s="43" t="n">
        <f aca="false">1/(1+WACC!$C$37)^D$26</f>
        <v>0.862544493996994</v>
      </c>
      <c r="E30" s="43" t="n">
        <f aca="false">1/(1+WACC!$C$37)^E$26</f>
        <v>0.801073307403858</v>
      </c>
      <c r="F30" s="43" t="n">
        <f aca="false">1/(1+WACC!$C$37)^F$26</f>
        <v>0.74398300412453</v>
      </c>
      <c r="G30" s="43" t="n">
        <f aca="false">1/(1+WACC!$C$37)^G$26</f>
        <v>0.690961370589159</v>
      </c>
      <c r="H30" s="43" t="n">
        <f aca="false">1/(1+WACC!$C$37)^H$26</f>
        <v>0.641718443834956</v>
      </c>
      <c r="I30" s="43" t="n">
        <f aca="false">1/(1+WACC!$C$37)^I$26</f>
        <v>0.595984925766296</v>
      </c>
      <c r="J30" s="43" t="n">
        <f aca="false">1/(1+WACC!$C$37)^J$26</f>
        <v>0.553510710426161</v>
      </c>
      <c r="K30" s="43" t="n">
        <f aca="false">1/(1+WACC!$C$37)^K$26</f>
        <v>0.514063516224925</v>
      </c>
      <c r="L30" s="43" t="n">
        <f aca="false">1/(1+WACC!$C$37)^L$26</f>
        <v>0.477427615646449</v>
      </c>
    </row>
    <row r="31" customFormat="false" ht="15" hidden="false" customHeight="false" outlineLevel="0" collapsed="false">
      <c r="B31" s="5" t="s">
        <v>217</v>
      </c>
      <c r="C31" s="15" t="n">
        <f aca="false">C29*C30</f>
        <v>2187.16141281493</v>
      </c>
      <c r="D31" s="15" t="n">
        <f aca="false">D29*D30</f>
        <v>2230.15153645995</v>
      </c>
      <c r="E31" s="15" t="n">
        <f aca="false">E29*E30</f>
        <v>2273.98665980193</v>
      </c>
      <c r="F31" s="15" t="n">
        <f aca="false">F29*F30</f>
        <v>2318.68339187631</v>
      </c>
      <c r="G31" s="15" t="n">
        <f aca="false">G29*G30</f>
        <v>2364.25866818028</v>
      </c>
      <c r="H31" s="15" t="n">
        <f aca="false">H29*H30</f>
        <v>2380.16471635845</v>
      </c>
      <c r="I31" s="15" t="n">
        <f aca="false">I29*I30</f>
        <v>2365.40710234547</v>
      </c>
      <c r="J31" s="15" t="n">
        <f aca="false">J29*J30</f>
        <v>2320.16110157301</v>
      </c>
      <c r="K31" s="15" t="n">
        <f aca="false">K29*K30</f>
        <v>2245.78562657917</v>
      </c>
      <c r="L31" s="15" t="n">
        <f aca="false">L29*L30</f>
        <v>2144.76091831044</v>
      </c>
    </row>
    <row r="33" customFormat="false" ht="15" hidden="false" customHeight="false" outlineLevel="0" collapsed="false">
      <c r="B33" s="5" t="s">
        <v>218</v>
      </c>
      <c r="C33" s="15" t="n">
        <f aca="false">SUM(C31:L31)</f>
        <v>22830.5211342999</v>
      </c>
    </row>
    <row r="34" customFormat="false" ht="15" hidden="false" customHeight="false" outlineLevel="0" collapsed="false">
      <c r="B34" s="5" t="s">
        <v>219</v>
      </c>
      <c r="C34" s="15" t="n">
        <f aca="false">L29*(1+Inputs!$C$37)/(WACC!$C$37-Inputs!$C$37)</f>
        <v>95372.3828789359</v>
      </c>
    </row>
    <row r="35" customFormat="false" ht="15" hidden="false" customHeight="false" outlineLevel="0" collapsed="false">
      <c r="B35" s="5" t="s">
        <v>220</v>
      </c>
      <c r="C35" s="15" t="n">
        <f aca="false">C34*L30</f>
        <v>45533.4093564106</v>
      </c>
    </row>
    <row r="36" customFormat="false" ht="15" hidden="false" customHeight="false" outlineLevel="0" collapsed="false">
      <c r="B36" s="7" t="s">
        <v>221</v>
      </c>
      <c r="C36" s="15" t="n">
        <f aca="false">C33+C35</f>
        <v>68363.9304907106</v>
      </c>
    </row>
    <row r="37" customFormat="false" ht="15" hidden="false" customHeight="false" outlineLevel="0" collapsed="false">
      <c r="B37" s="5" t="s">
        <v>222</v>
      </c>
      <c r="C37" s="16" t="n">
        <f aca="false">-Inputs!$C$27</f>
        <v>-9320</v>
      </c>
    </row>
    <row r="38" customFormat="false" ht="15" hidden="false" customHeight="false" outlineLevel="0" collapsed="false">
      <c r="B38" s="5" t="s">
        <v>223</v>
      </c>
      <c r="C38" s="16" t="n">
        <f aca="false">Inputs!$C$28</f>
        <v>555</v>
      </c>
    </row>
    <row r="39" customFormat="false" ht="15" hidden="false" customHeight="false" outlineLevel="0" collapsed="false">
      <c r="B39" s="5" t="s">
        <v>224</v>
      </c>
      <c r="C39" s="15" t="n">
        <f aca="false">SUM(C36:C38)</f>
        <v>59598.9304907106</v>
      </c>
    </row>
    <row r="40" customFormat="false" ht="15" hidden="false" customHeight="false" outlineLevel="0" collapsed="false">
      <c r="B40" s="5" t="s">
        <v>225</v>
      </c>
      <c r="C40" s="34" t="n">
        <f aca="false">Inputs!$C$7</f>
        <v>558.98</v>
      </c>
    </row>
    <row r="41" customFormat="false" ht="15" hidden="false" customHeight="false" outlineLevel="0" collapsed="false">
      <c r="B41" s="7" t="s">
        <v>226</v>
      </c>
      <c r="C41" s="44" t="n">
        <f aca="false">C39/C40</f>
        <v>106.620863878333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93.4738273283481</v>
      </c>
    </row>
    <row r="43" customFormat="false" ht="15" hidden="false" customHeight="false" outlineLevel="0" collapsed="false">
      <c r="B43" s="5" t="s">
        <v>227</v>
      </c>
      <c r="C43" s="23" t="n">
        <f aca="false">C41/C42-1</f>
        <v>0.14064938738202</v>
      </c>
    </row>
    <row r="44" customFormat="false" ht="15" hidden="false" customHeight="false" outlineLevel="0" collapsed="false">
      <c r="B44" s="5" t="s">
        <v>228</v>
      </c>
      <c r="C44" s="23" t="n">
        <f aca="false">C35/C36</f>
        <v>0.666044345747467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230</v>
      </c>
    </row>
    <row r="3" customFormat="false" ht="15" hidden="false" customHeight="false" outlineLevel="0" collapsed="false">
      <c r="B3" s="2" t="s">
        <v>231</v>
      </c>
    </row>
    <row r="5" customFormat="false" ht="15" hidden="false" customHeight="false" outlineLevel="0" collapsed="false">
      <c r="B5" s="5" t="s">
        <v>232</v>
      </c>
      <c r="C5" s="24" t="n">
        <v>0.005</v>
      </c>
      <c r="D5" s="5" t="s">
        <v>233</v>
      </c>
      <c r="F5" s="24" t="n">
        <v>0.005</v>
      </c>
    </row>
    <row r="6" customFormat="false" ht="15" hidden="false" customHeight="false" outlineLevel="0" collapsed="false">
      <c r="B6" s="5" t="s">
        <v>234</v>
      </c>
      <c r="C6" s="24" t="n">
        <v>0.02</v>
      </c>
    </row>
    <row r="8" customFormat="false" ht="15" hidden="false" customHeight="false" outlineLevel="0" collapsed="false">
      <c r="B8" s="3" t="s">
        <v>235</v>
      </c>
    </row>
    <row r="9" customFormat="false" ht="15" hidden="false" customHeight="false" outlineLevel="0" collapsed="false">
      <c r="C9" s="45" t="n">
        <f aca="false">Inputs!$C$37+(0-2)*$F$5</f>
        <v>0.0183</v>
      </c>
      <c r="D9" s="45" t="n">
        <f aca="false">Inputs!$C$37+(1-2)*$F$5</f>
        <v>0.0233</v>
      </c>
      <c r="E9" s="45" t="n">
        <f aca="false">Inputs!$C$37+(2-2)*$F$5</f>
        <v>0.0283</v>
      </c>
      <c r="F9" s="45" t="n">
        <f aca="false">Inputs!$C$37+(3-2)*$F$5</f>
        <v>0.0333</v>
      </c>
      <c r="G9" s="45" t="n">
        <f aca="false">Inputs!$C$37+(4-2)*$F$5</f>
        <v>0.0383</v>
      </c>
    </row>
    <row r="10" customFormat="false" ht="15" hidden="false" customHeight="false" outlineLevel="0" collapsed="false">
      <c r="B10" s="45" t="n">
        <f aca="false">WACC!$C$37+(0-2)*$C$5</f>
        <v>0.0667360315529091</v>
      </c>
      <c r="C10" s="9" t="n">
        <f aca="false">Solver!$D$74</f>
        <v>0.0694534480571747</v>
      </c>
      <c r="D10" s="9" t="n">
        <f aca="false">Solver!$D$101</f>
        <v>0.0547808706760407</v>
      </c>
      <c r="E10" s="9" t="n">
        <f aca="false">Solver!$D$128</f>
        <v>0.0383984744548798</v>
      </c>
      <c r="F10" s="9" t="n">
        <f aca="false">Solver!$D$155</f>
        <v>0.0198545753955841</v>
      </c>
      <c r="G10" s="9" t="n">
        <f aca="false">Solver!$D$182</f>
        <v>-0.00151225924491882</v>
      </c>
      <c r="I10" s="19" t="s">
        <v>236</v>
      </c>
    </row>
    <row r="11" customFormat="false" ht="15" hidden="false" customHeight="false" outlineLevel="0" collapsed="false">
      <c r="B11" s="45" t="n">
        <f aca="false">WACC!$C$37+(1-2)*$C$5</f>
        <v>0.071736031552909</v>
      </c>
      <c r="C11" s="9" t="n">
        <f aca="false">Solver!$D$209</f>
        <v>0.0871767699718475</v>
      </c>
      <c r="D11" s="9" t="n">
        <f aca="false">Solver!$D$236</f>
        <v>0.0738320648670197</v>
      </c>
      <c r="E11" s="9" t="n">
        <f aca="false">Solver!$D$263</f>
        <v>0.0590936839580536</v>
      </c>
      <c r="F11" s="9" t="n">
        <f aca="false">Solver!$D$290</f>
        <v>0.0426381528377533</v>
      </c>
      <c r="G11" s="9" t="n">
        <f aca="false">Solver!$D$317</f>
        <v>0.0240121781826019</v>
      </c>
    </row>
    <row r="12" customFormat="false" ht="15" hidden="false" customHeight="false" outlineLevel="0" collapsed="false">
      <c r="B12" s="45" t="n">
        <f aca="false">WACC!$C$37+(2-2)*$C$5</f>
        <v>0.0767360315529091</v>
      </c>
      <c r="C12" s="9" t="n">
        <f aca="false">Solver!$D$344</f>
        <v>0.103857606649399</v>
      </c>
      <c r="D12" s="9" t="n">
        <f aca="false">Solver!$D$371</f>
        <v>0.0916126072406769</v>
      </c>
      <c r="E12" s="8" t="n">
        <f aca="false">Solver!$D$398</f>
        <v>0.0782079994678497</v>
      </c>
      <c r="F12" s="9" t="n">
        <f aca="false">Solver!$D$425</f>
        <v>0.0634038150310516</v>
      </c>
      <c r="G12" s="9" t="n">
        <f aca="false">Solver!$D$452</f>
        <v>0.0468751490116119</v>
      </c>
    </row>
    <row r="13" customFormat="false" ht="15" hidden="false" customHeight="false" outlineLevel="0" collapsed="false">
      <c r="B13" s="45" t="n">
        <f aca="false">WACC!$C$37+(3-2)*$C$5</f>
        <v>0.0817360315529091</v>
      </c>
      <c r="C13" s="9" t="n">
        <f aca="false">Solver!$D$479</f>
        <v>0.119664937257767</v>
      </c>
      <c r="D13" s="9" t="n">
        <f aca="false">Solver!$D$506</f>
        <v>0.108345657587051</v>
      </c>
      <c r="E13" s="9" t="n">
        <f aca="false">Solver!$D$533</f>
        <v>0.0960454046726227</v>
      </c>
      <c r="F13" s="9" t="n">
        <f aca="false">Solver!$D$560</f>
        <v>0.0825808942317963</v>
      </c>
      <c r="G13" s="9" t="n">
        <f aca="false">Solver!$D$587</f>
        <v>0.0677110850811005</v>
      </c>
    </row>
    <row r="14" customFormat="false" ht="15" hidden="false" customHeight="false" outlineLevel="0" collapsed="false">
      <c r="B14" s="45" t="n">
        <f aca="false">WACC!$C$37+(4-2)*$C$5</f>
        <v>0.086736031552909</v>
      </c>
      <c r="C14" s="9" t="n">
        <f aca="false">Solver!$D$614</f>
        <v>0.134729832410812</v>
      </c>
      <c r="D14" s="9" t="n">
        <f aca="false">Solver!$D$641</f>
        <v>0.124200910329819</v>
      </c>
      <c r="E14" s="9" t="n">
        <f aca="false">Solver!$D$668</f>
        <v>0.11283066868782</v>
      </c>
      <c r="F14" s="9" t="n">
        <f aca="false">Solver!$D$695</f>
        <v>0.100475519895554</v>
      </c>
      <c r="G14" s="9" t="n">
        <f aca="false">Solver!$D$722</f>
        <v>0.0869512856006622</v>
      </c>
    </row>
    <row r="17" customFormat="false" ht="15" hidden="false" customHeight="false" outlineLevel="0" collapsed="false">
      <c r="B17" s="3" t="s">
        <v>237</v>
      </c>
    </row>
    <row r="18" customFormat="false" ht="15" hidden="false" customHeight="false" outlineLevel="0" collapsed="false">
      <c r="C18" s="46" t="n">
        <f aca="false">Inputs!$C$45+(0-2)*$C$6</f>
        <v>0.0579</v>
      </c>
      <c r="D18" s="46" t="n">
        <f aca="false">Inputs!$C$45+(1-2)*$C$6</f>
        <v>0.0779</v>
      </c>
      <c r="E18" s="46" t="n">
        <f aca="false">Inputs!$C$45+(2-2)*$C$6</f>
        <v>0.0979</v>
      </c>
      <c r="F18" s="46" t="n">
        <f aca="false">Inputs!$C$45+(3-2)*$C$6</f>
        <v>0.1179</v>
      </c>
      <c r="G18" s="46" t="n">
        <f aca="false">Inputs!$C$45+(4-2)*$C$6</f>
        <v>0.1379</v>
      </c>
    </row>
    <row r="19" customFormat="false" ht="15" hidden="false" customHeight="false" outlineLevel="0" collapsed="false">
      <c r="B19" s="45" t="n">
        <f aca="false">WACC!$C$37+(0-2)*$C$5</f>
        <v>0.0667360315529091</v>
      </c>
      <c r="C19" s="40" t="n">
        <f aca="false">(SUMPRODUCT($C28:$L28,1/(1+$B19)^$C$27:$L$27)*Inputs!$C$23+$L28*Inputs!$C$23*(1+Inputs!$C$37)/($B19-Inputs!$C$37)/(1+$B19)^$L$27-Inputs!$C$27+Inputs!$C$28)/Inputs!$C$7</f>
        <v>107.091774903654</v>
      </c>
      <c r="D19" s="40" t="n">
        <f aca="false">(SUMPRODUCT($C29:$L29,1/(1+$B19)^$C$27:$L$27)*Inputs!$C$23+$L29*Inputs!$C$23*(1+Inputs!$C$37)/($B19-Inputs!$C$37)/(1+$B19)^$L$27-Inputs!$C$27+Inputs!$C$28)/Inputs!$C$7</f>
        <v>122.662410250675</v>
      </c>
      <c r="E19" s="40" t="n">
        <f aca="false">(SUMPRODUCT($C30:$L30,1/(1+$B19)^$C$27:$L$27)*Inputs!$C$23+$L30*Inputs!$C$23*(1+Inputs!$C$37)/($B19-Inputs!$C$37)/(1+$B19)^$L$27-Inputs!$C$27+Inputs!$C$28)/Inputs!$C$7</f>
        <v>140.019940660981</v>
      </c>
      <c r="F19" s="40" t="n">
        <f aca="false">(SUMPRODUCT($C31:$L31,1/(1+$B19)^$C$27:$L$27)*Inputs!$C$23+$L31*Inputs!$C$23*(1+Inputs!$C$37)/($B19-Inputs!$C$37)/(1+$B19)^$L$27-Inputs!$C$27+Inputs!$C$28)/Inputs!$C$7</f>
        <v>159.341294017223</v>
      </c>
      <c r="G19" s="40" t="n">
        <f aca="false">(SUMPRODUCT($C32:$L32,1/(1+$B19)^$C$27:$L$27)*Inputs!$C$23+$L32*Inputs!$C$23*(1+Inputs!$C$37)/($B19-Inputs!$C$37)/(1+$B19)^$L$27-Inputs!$C$27+Inputs!$C$28)/Inputs!$C$7</f>
        <v>180.81797784798</v>
      </c>
      <c r="I19" s="19" t="s">
        <v>238</v>
      </c>
    </row>
    <row r="20" customFormat="false" ht="15" hidden="false" customHeight="false" outlineLevel="0" collapsed="false">
      <c r="B20" s="45" t="n">
        <f aca="false">WACC!$C$37+(1-2)*$C$5</f>
        <v>0.071736031552909</v>
      </c>
      <c r="C20" s="40" t="n">
        <f aca="false">(SUMPRODUCT($C28:$L28,1/(1+$B20)^$C$27:$L$27)*Inputs!$C$23+$L28*Inputs!$C$23*(1+Inputs!$C$37)/($B20-Inputs!$C$37)/(1+$B20)^$L$27-Inputs!$C$27+Inputs!$C$28)/Inputs!$C$7</f>
        <v>92.7047480270988</v>
      </c>
      <c r="D20" s="40" t="n">
        <f aca="false">(SUMPRODUCT($C29:$L29,1/(1+$B20)^$C$27:$L$27)*Inputs!$C$23+$L29*Inputs!$C$23*(1+Inputs!$C$37)/($B20-Inputs!$C$37)/(1+$B20)^$L$27-Inputs!$C$27+Inputs!$C$28)/Inputs!$C$7</f>
        <v>106.273403240867</v>
      </c>
      <c r="E20" s="40" t="n">
        <f aca="false">(SUMPRODUCT($C30:$L30,1/(1+$B20)^$C$27:$L$27)*Inputs!$C$23+$L30*Inputs!$C$23*(1+Inputs!$C$37)/($B20-Inputs!$C$37)/(1+$B20)^$L$27-Inputs!$C$27+Inputs!$C$28)/Inputs!$C$7</f>
        <v>121.388666241488</v>
      </c>
      <c r="F20" s="40" t="n">
        <f aca="false">(SUMPRODUCT($C31:$L31,1/(1+$B20)^$C$27:$L$27)*Inputs!$C$23+$L31*Inputs!$C$23*(1+Inputs!$C$37)/($B20-Inputs!$C$37)/(1+$B20)^$L$27-Inputs!$C$27+Inputs!$C$28)/Inputs!$C$7</f>
        <v>138.203071881906</v>
      </c>
      <c r="G20" s="40" t="n">
        <f aca="false">(SUMPRODUCT($C32:$L32,1/(1+$B20)^$C$27:$L$27)*Inputs!$C$23+$L32*Inputs!$C$23*(1+Inputs!$C$37)/($B20-Inputs!$C$37)/(1+$B20)^$L$27-Inputs!$C$27+Inputs!$C$28)/Inputs!$C$7</f>
        <v>156.881689908147</v>
      </c>
    </row>
    <row r="21" customFormat="false" ht="15" hidden="false" customHeight="false" outlineLevel="0" collapsed="false">
      <c r="B21" s="45" t="n">
        <f aca="false">WACC!$C$37+(2-2)*$C$5</f>
        <v>0.0767360315529091</v>
      </c>
      <c r="C21" s="40" t="n">
        <f aca="false">(SUMPRODUCT($C28:$L28,1/(1+$B21)^$C$27:$L$27)*Inputs!$C$23+$L28*Inputs!$C$23*(1+Inputs!$C$37)/($B21-Inputs!$C$37)/(1+$B21)^$L$27-Inputs!$C$27+Inputs!$C$28)/Inputs!$C$7</f>
        <v>81.2939920221938</v>
      </c>
      <c r="D21" s="40" t="n">
        <f aca="false">(SUMPRODUCT($C29:$L29,1/(1+$B21)^$C$27:$L$27)*Inputs!$C$23+$L29*Inputs!$C$23*(1+Inputs!$C$37)/($B21-Inputs!$C$37)/(1+$B21)^$L$27-Inputs!$C$27+Inputs!$C$28)/Inputs!$C$7</f>
        <v>93.2790041602496</v>
      </c>
      <c r="E21" s="44" t="n">
        <f aca="false">(SUMPRODUCT($C30:$L30,1/(1+$B21)^$C$27:$L$27)*Inputs!$C$23+$L30*Inputs!$C$23*(1+Inputs!$C$37)/($B21-Inputs!$C$37)/(1+$B21)^$L$27-Inputs!$C$27+Inputs!$C$28)/Inputs!$C$7</f>
        <v>106.620863878333</v>
      </c>
      <c r="F21" s="40" t="n">
        <f aca="false">(SUMPRODUCT($C31:$L31,1/(1+$B21)^$C$27:$L$27)*Inputs!$C$23+$L31*Inputs!$C$23*(1+Inputs!$C$37)/($B21-Inputs!$C$37)/(1+$B21)^$L$27-Inputs!$C$27+Inputs!$C$28)/Inputs!$C$7</f>
        <v>121.452864937455</v>
      </c>
      <c r="G21" s="40" t="n">
        <f aca="false">(SUMPRODUCT($C32:$L32,1/(1+$B21)^$C$27:$L$27)*Inputs!$C$23+$L32*Inputs!$C$23*(1+Inputs!$C$37)/($B21-Inputs!$C$37)/(1+$B21)^$L$27-Inputs!$C$27+Inputs!$C$28)/Inputs!$C$7</f>
        <v>137.919224588004</v>
      </c>
    </row>
    <row r="22" customFormat="false" ht="15" hidden="false" customHeight="false" outlineLevel="0" collapsed="false">
      <c r="B22" s="45" t="n">
        <f aca="false">WACC!$C$37+(3-2)*$C$5</f>
        <v>0.0817360315529091</v>
      </c>
      <c r="C22" s="40" t="n">
        <f aca="false">(SUMPRODUCT($C28:$L28,1/(1+$B22)^$C$27:$L$27)*Inputs!$C$23+$L28*Inputs!$C$23*(1+Inputs!$C$37)/($B22-Inputs!$C$37)/(1+$B22)^$L$27-Inputs!$C$27+Inputs!$C$28)/Inputs!$C$7</f>
        <v>72.0238595941617</v>
      </c>
      <c r="D22" s="40" t="n">
        <f aca="false">(SUMPRODUCT($C29:$L29,1/(1+$B22)^$C$27:$L$27)*Inputs!$C$23+$L29*Inputs!$C$23*(1+Inputs!$C$37)/($B22-Inputs!$C$37)/(1+$B22)^$L$27-Inputs!$C$27+Inputs!$C$28)/Inputs!$C$7</f>
        <v>82.7259810637218</v>
      </c>
      <c r="E22" s="40" t="n">
        <f aca="false">(SUMPRODUCT($C30:$L30,1/(1+$B22)^$C$27:$L$27)*Inputs!$C$23+$L30*Inputs!$C$23*(1+Inputs!$C$37)/($B22-Inputs!$C$37)/(1+$B22)^$L$27-Inputs!$C$27+Inputs!$C$28)/Inputs!$C$7</f>
        <v>94.6315036730878</v>
      </c>
      <c r="F22" s="40" t="n">
        <f aca="false">(SUMPRODUCT($C31:$L31,1/(1+$B22)^$C$27:$L$27)*Inputs!$C$23+$L31*Inputs!$C$23*(1+Inputs!$C$37)/($B22-Inputs!$C$37)/(1+$B22)^$L$27-Inputs!$C$27+Inputs!$C$28)/Inputs!$C$7</f>
        <v>107.858181867021</v>
      </c>
      <c r="G22" s="40" t="n">
        <f aca="false">(SUMPRODUCT($C32:$L32,1/(1+$B22)^$C$27:$L$27)*Inputs!$C$23+$L32*Inputs!$C$23*(1+Inputs!$C$37)/($B22-Inputs!$C$37)/(1+$B22)^$L$27-Inputs!$C$27+Inputs!$C$28)/Inputs!$C$7</f>
        <v>122.53339348069</v>
      </c>
    </row>
    <row r="23" customFormat="false" ht="15" hidden="false" customHeight="false" outlineLevel="0" collapsed="false">
      <c r="B23" s="45" t="n">
        <f aca="false">WACC!$C$37+(4-2)*$C$5</f>
        <v>0.086736031552909</v>
      </c>
      <c r="C23" s="40" t="n">
        <f aca="false">(SUMPRODUCT($C28:$L28,1/(1+$B23)^$C$27:$L$27)*Inputs!$C$23+$L28*Inputs!$C$23*(1+Inputs!$C$37)/($B23-Inputs!$C$37)/(1+$B23)^$L$27-Inputs!$C$27+Inputs!$C$28)/Inputs!$C$7</f>
        <v>64.3447140791781</v>
      </c>
      <c r="D23" s="40" t="n">
        <f aca="false">(SUMPRODUCT($C29:$L29,1/(1+$B23)^$C$27:$L$27)*Inputs!$C$23+$L29*Inputs!$C$23*(1+Inputs!$C$37)/($B23-Inputs!$C$37)/(1+$B23)^$L$27-Inputs!$C$27+Inputs!$C$28)/Inputs!$C$7</f>
        <v>73.9873621299321</v>
      </c>
      <c r="E23" s="40" t="n">
        <f aca="false">(SUMPRODUCT($C30:$L30,1/(1+$B23)^$C$27:$L$27)*Inputs!$C$23+$L30*Inputs!$C$23*(1+Inputs!$C$37)/($B23-Inputs!$C$37)/(1+$B23)^$L$27-Inputs!$C$27+Inputs!$C$28)/Inputs!$C$7</f>
        <v>84.7069310485352</v>
      </c>
      <c r="F23" s="40" t="n">
        <f aca="false">(SUMPRODUCT($C31:$L31,1/(1+$B23)^$C$27:$L$27)*Inputs!$C$23+$L31*Inputs!$C$23*(1+Inputs!$C$37)/($B23-Inputs!$C$37)/(1+$B23)^$L$27-Inputs!$C$27+Inputs!$C$28)/Inputs!$C$7</f>
        <v>96.6083840578805</v>
      </c>
      <c r="G23" s="40" t="n">
        <f aca="false">(SUMPRODUCT($C32:$L32,1/(1+$B23)^$C$27:$L$27)*Inputs!$C$23+$L32*Inputs!$C$23*(1+Inputs!$C$37)/($B23-Inputs!$C$37)/(1+$B23)^$L$27-Inputs!$C$27+Inputs!$C$28)/Inputs!$C$7</f>
        <v>109.805238719083</v>
      </c>
    </row>
    <row r="26" customFormat="false" ht="15" hidden="false" customHeight="false" outlineLevel="0" collapsed="false">
      <c r="B26" s="19" t="s">
        <v>239</v>
      </c>
    </row>
    <row r="27" customFormat="false" ht="15" hidden="false" customHeight="false" outlineLevel="0" collapsed="false"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</row>
    <row r="28" customFormat="false" ht="15" hidden="false" customHeight="false" outlineLevel="0" collapsed="false">
      <c r="B28" s="23" t="n">
        <f aca="false">C$18</f>
        <v>0.0579</v>
      </c>
      <c r="C28" s="15" t="n">
        <f aca="false">Inputs!$C$12*(1+IF(C$27&lt;=Inputs!$C$46,$B28,$B28-($B28-Inputs!$C$37)*MIN(C$27-Inputs!$C$46,Inputs!$C$47)/Inputs!$C$47))</f>
        <v>5934.819</v>
      </c>
      <c r="D28" s="15" t="n">
        <f aca="false">C28*(1+IF(D$27&lt;=Inputs!$C$46,$B28,$B28-($B28-Inputs!$C$37)*MIN(D$27-Inputs!$C$46,Inputs!$C$47)/Inputs!$C$47))</f>
        <v>6278.4450201</v>
      </c>
      <c r="E28" s="15" t="n">
        <f aca="false">D28*(1+IF(E$27&lt;=Inputs!$C$46,$B28,$B28-($B28-Inputs!$C$37)*MIN(E$27-Inputs!$C$46,Inputs!$C$47)/Inputs!$C$47))</f>
        <v>6641.96698676379</v>
      </c>
      <c r="F28" s="15" t="n">
        <f aca="false">E28*(1+IF(F$27&lt;=Inputs!$C$46,$B28,$B28-($B28-Inputs!$C$37)*MIN(F$27-Inputs!$C$46,Inputs!$C$47)/Inputs!$C$47))</f>
        <v>7026.53687529742</v>
      </c>
      <c r="G28" s="15" t="n">
        <f aca="false">F28*(1+IF(G$27&lt;=Inputs!$C$46,$B28,$B28-($B28-Inputs!$C$37)*MIN(G$27-Inputs!$C$46,Inputs!$C$47)/Inputs!$C$47))</f>
        <v>7433.37336037714</v>
      </c>
      <c r="H28" s="15" t="n">
        <f aca="false">G28*(1+IF(H$27&lt;=Inputs!$C$46,$B28,$B28-($B28-Inputs!$C$37)*MIN(H$27-Inputs!$C$46,Inputs!$C$47)/Inputs!$C$47))</f>
        <v>7819.76010764954</v>
      </c>
      <c r="I28" s="15" t="n">
        <f aca="false">H28*(1+IF(I$27&lt;=Inputs!$C$46,$B28,$B28-($B28-Inputs!$C$37)*MIN(I$27-Inputs!$C$46,Inputs!$C$47)/Inputs!$C$47))</f>
        <v>8179.93825820788</v>
      </c>
      <c r="J28" s="15" t="n">
        <f aca="false">I28*(1+IF(J$27&lt;=Inputs!$C$46,$B28,$B28-($B28-Inputs!$C$37)*MIN(J$27-Inputs!$C$46,Inputs!$C$47)/Inputs!$C$47))</f>
        <v>8508.28097989234</v>
      </c>
      <c r="K28" s="15" t="n">
        <f aca="false">J28*(1+IF(K$27&lt;=Inputs!$C$46,$B28,$B28-($B28-Inputs!$C$37)*MIN(K$27-Inputs!$C$46,Inputs!$C$47)/Inputs!$C$47))</f>
        <v>8799.43435502426</v>
      </c>
      <c r="L28" s="15" t="n">
        <f aca="false">K28*(1+IF(L$27&lt;=Inputs!$C$46,$B28,$B28-($B28-Inputs!$C$37)*MIN(L$27-Inputs!$C$46,Inputs!$C$47)/Inputs!$C$47))</f>
        <v>9048.45834727144</v>
      </c>
    </row>
    <row r="29" customFormat="false" ht="15" hidden="false" customHeight="false" outlineLevel="0" collapsed="false">
      <c r="B29" s="23" t="n">
        <f aca="false">D$18</f>
        <v>0.0779</v>
      </c>
      <c r="C29" s="15" t="n">
        <f aca="false">Inputs!$C$12*(1+IF(C$27&lt;=Inputs!$C$46,$B29,$B29-($B29-Inputs!$C$37)*MIN(C$27-Inputs!$C$46,Inputs!$C$47)/Inputs!$C$47))</f>
        <v>6047.019</v>
      </c>
      <c r="D29" s="15" t="n">
        <f aca="false">C29*(1+IF(D$27&lt;=Inputs!$C$46,$B29,$B29-($B29-Inputs!$C$37)*MIN(D$27-Inputs!$C$46,Inputs!$C$47)/Inputs!$C$47))</f>
        <v>6518.0817801</v>
      </c>
      <c r="E29" s="15" t="n">
        <f aca="false">D29*(1+IF(E$27&lt;=Inputs!$C$46,$B29,$B29-($B29-Inputs!$C$37)*MIN(E$27-Inputs!$C$46,Inputs!$C$47)/Inputs!$C$47))</f>
        <v>7025.84035076979</v>
      </c>
      <c r="F29" s="15" t="n">
        <f aca="false">E29*(1+IF(F$27&lt;=Inputs!$C$46,$B29,$B29-($B29-Inputs!$C$37)*MIN(F$27-Inputs!$C$46,Inputs!$C$47)/Inputs!$C$47))</f>
        <v>7573.15331409476</v>
      </c>
      <c r="G29" s="15" t="n">
        <f aca="false">F29*(1+IF(G$27&lt;=Inputs!$C$46,$B29,$B29-($B29-Inputs!$C$37)*MIN(G$27-Inputs!$C$46,Inputs!$C$47)/Inputs!$C$47))</f>
        <v>8163.10195726274</v>
      </c>
      <c r="H29" s="15" t="n">
        <f aca="false">G29*(1+IF(H$27&lt;=Inputs!$C$46,$B29,$B29-($B29-Inputs!$C$37)*MIN(H$27-Inputs!$C$46,Inputs!$C$47)/Inputs!$C$47))</f>
        <v>8718.02962831746</v>
      </c>
      <c r="I29" s="15" t="n">
        <f aca="false">H29*(1+IF(I$27&lt;=Inputs!$C$46,$B29,$B29-($B29-Inputs!$C$37)*MIN(I$27-Inputs!$C$46,Inputs!$C$47)/Inputs!$C$47))</f>
        <v>9224.19842853757</v>
      </c>
      <c r="J29" s="15" t="n">
        <f aca="false">I29*(1+IF(J$27&lt;=Inputs!$C$46,$B29,$B29-($B29-Inputs!$C$37)*MIN(J$27-Inputs!$C$46,Inputs!$C$47)/Inputs!$C$47))</f>
        <v>9668.25134088737</v>
      </c>
      <c r="K29" s="15" t="n">
        <f aca="false">J29*(1+IF(K$27&lt;=Inputs!$C$46,$B29,$B29-($B29-Inputs!$C$37)*MIN(K$27-Inputs!$C$46,Inputs!$C$47)/Inputs!$C$47))</f>
        <v>10037.7719071361</v>
      </c>
      <c r="L29" s="15" t="n">
        <f aca="false">K29*(1+IF(L$27&lt;=Inputs!$C$46,$B29,$B29-($B29-Inputs!$C$37)*MIN(L$27-Inputs!$C$46,Inputs!$C$47)/Inputs!$C$47))</f>
        <v>10321.840852108</v>
      </c>
    </row>
    <row r="30" customFormat="false" ht="15" hidden="false" customHeight="false" outlineLevel="0" collapsed="false">
      <c r="B30" s="23" t="n">
        <f aca="false">E$18</f>
        <v>0.0979</v>
      </c>
      <c r="C30" s="15" t="n">
        <f aca="false">Inputs!$C$12*(1+IF(C$27&lt;=Inputs!$C$46,$B30,$B30-($B30-Inputs!$C$37)*MIN(C$27-Inputs!$C$46,Inputs!$C$47)/Inputs!$C$47))</f>
        <v>6159.219</v>
      </c>
      <c r="D30" s="15" t="n">
        <f aca="false">C30*(1+IF(D$27&lt;=Inputs!$C$46,$B30,$B30-($B30-Inputs!$C$37)*MIN(D$27-Inputs!$C$46,Inputs!$C$47)/Inputs!$C$47))</f>
        <v>6762.2065401</v>
      </c>
      <c r="E30" s="15" t="n">
        <f aca="false">D30*(1+IF(E$27&lt;=Inputs!$C$46,$B30,$B30-($B30-Inputs!$C$37)*MIN(E$27-Inputs!$C$46,Inputs!$C$47)/Inputs!$C$47))</f>
        <v>7424.22656037579</v>
      </c>
      <c r="F30" s="15" t="n">
        <f aca="false">E30*(1+IF(F$27&lt;=Inputs!$C$46,$B30,$B30-($B30-Inputs!$C$37)*MIN(F$27-Inputs!$C$46,Inputs!$C$47)/Inputs!$C$47))</f>
        <v>8151.05834063658</v>
      </c>
      <c r="G30" s="15" t="n">
        <f aca="false">F30*(1+IF(G$27&lt;=Inputs!$C$46,$B30,$B30-($B30-Inputs!$C$37)*MIN(G$27-Inputs!$C$46,Inputs!$C$47)/Inputs!$C$47))</f>
        <v>8949.04695218491</v>
      </c>
      <c r="H30" s="15" t="n">
        <f aca="false">G30*(1+IF(H$27&lt;=Inputs!$C$46,$B30,$B30-($B30-Inputs!$C$37)*MIN(H$27-Inputs!$C$46,Inputs!$C$47)/Inputs!$C$47))</f>
        <v>9700.58791522939</v>
      </c>
      <c r="I30" s="15" t="n">
        <f aca="false">H30*(1+IF(I$27&lt;=Inputs!$C$46,$B30,$B30-($B30-Inputs!$C$37)*MIN(I$27-Inputs!$C$46,Inputs!$C$47)/Inputs!$C$47))</f>
        <v>10380.2111045704</v>
      </c>
      <c r="J30" s="15" t="n">
        <f aca="false">I30*(1+IF(J$27&lt;=Inputs!$C$46,$B30,$B30-($B30-Inputs!$C$37)*MIN(J$27-Inputs!$C$46,Inputs!$C$47)/Inputs!$C$47))</f>
        <v>10962.9561559809</v>
      </c>
      <c r="K30" s="15" t="n">
        <f aca="false">J30*(1+IF(K$27&lt;=Inputs!$C$46,$B30,$B30-($B30-Inputs!$C$37)*MIN(K$27-Inputs!$C$46,Inputs!$C$47)/Inputs!$C$47))</f>
        <v>11425.8121648865</v>
      </c>
      <c r="L30" s="15" t="n">
        <f aca="false">K30*(1+IF(L$27&lt;=Inputs!$C$46,$B30,$B30-($B30-Inputs!$C$37)*MIN(L$27-Inputs!$C$46,Inputs!$C$47)/Inputs!$C$47))</f>
        <v>11749.1626491527</v>
      </c>
    </row>
    <row r="31" customFormat="false" ht="15" hidden="false" customHeight="false" outlineLevel="0" collapsed="false">
      <c r="B31" s="23" t="n">
        <f aca="false">F$18</f>
        <v>0.1179</v>
      </c>
      <c r="C31" s="15" t="n">
        <f aca="false">Inputs!$C$12*(1+IF(C$27&lt;=Inputs!$C$46,$B31,$B31-($B31-Inputs!$C$37)*MIN(C$27-Inputs!$C$46,Inputs!$C$47)/Inputs!$C$47))</f>
        <v>6271.419</v>
      </c>
      <c r="D31" s="15" t="n">
        <f aca="false">C31*(1+IF(D$27&lt;=Inputs!$C$46,$B31,$B31-($B31-Inputs!$C$37)*MIN(D$27-Inputs!$C$46,Inputs!$C$47)/Inputs!$C$47))</f>
        <v>7010.8193001</v>
      </c>
      <c r="E31" s="15" t="n">
        <f aca="false">D31*(1+IF(E$27&lt;=Inputs!$C$46,$B31,$B31-($B31-Inputs!$C$37)*MIN(E$27-Inputs!$C$46,Inputs!$C$47)/Inputs!$C$47))</f>
        <v>7837.39489558179</v>
      </c>
      <c r="F31" s="15" t="n">
        <f aca="false">E31*(1+IF(F$27&lt;=Inputs!$C$46,$B31,$B31-($B31-Inputs!$C$37)*MIN(F$27-Inputs!$C$46,Inputs!$C$47)/Inputs!$C$47))</f>
        <v>8761.42375377089</v>
      </c>
      <c r="G31" s="15" t="n">
        <f aca="false">F31*(1+IF(G$27&lt;=Inputs!$C$46,$B31,$B31-($B31-Inputs!$C$37)*MIN(G$27-Inputs!$C$46,Inputs!$C$47)/Inputs!$C$47))</f>
        <v>9794.39561434048</v>
      </c>
      <c r="H31" s="15" t="n">
        <f aca="false">G31*(1+IF(H$27&lt;=Inputs!$C$46,$B31,$B31-($B31-Inputs!$C$37)*MIN(H$27-Inputs!$C$46,Inputs!$C$47)/Inputs!$C$47))</f>
        <v>10773.6392878622</v>
      </c>
      <c r="I31" s="15" t="n">
        <f aca="false">H31*(1+IF(I$27&lt;=Inputs!$C$46,$B31,$B31-($B31-Inputs!$C$37)*MIN(I$27-Inputs!$C$46,Inputs!$C$47)/Inputs!$C$47))</f>
        <v>11657.7241278242</v>
      </c>
      <c r="J31" s="15" t="n">
        <f aca="false">I31*(1+IF(J$27&lt;=Inputs!$C$46,$B31,$B31-($B31-Inputs!$C$37)*MIN(J$27-Inputs!$C$46,Inputs!$C$47)/Inputs!$C$47))</f>
        <v>12405.4505533829</v>
      </c>
      <c r="K31" s="15" t="n">
        <f aca="false">J31*(1+IF(K$27&lt;=Inputs!$C$46,$B31,$B31-($B31-Inputs!$C$37)*MIN(K$27-Inputs!$C$46,Inputs!$C$47)/Inputs!$C$47))</f>
        <v>12978.8304779602</v>
      </c>
      <c r="L31" s="15" t="n">
        <f aca="false">K31*(1+IF(L$27&lt;=Inputs!$C$46,$B31,$B31-($B31-Inputs!$C$37)*MIN(L$27-Inputs!$C$46,Inputs!$C$47)/Inputs!$C$47))</f>
        <v>13346.1313804865</v>
      </c>
    </row>
    <row r="32" customFormat="false" ht="15" hidden="false" customHeight="false" outlineLevel="0" collapsed="false">
      <c r="B32" s="23" t="n">
        <f aca="false">G$18</f>
        <v>0.1379</v>
      </c>
      <c r="C32" s="15" t="n">
        <f aca="false">Inputs!$C$12*(1+IF(C$27&lt;=Inputs!$C$46,$B32,$B32-($B32-Inputs!$C$37)*MIN(C$27-Inputs!$C$46,Inputs!$C$47)/Inputs!$C$47))</f>
        <v>6383.619</v>
      </c>
      <c r="D32" s="15" t="n">
        <f aca="false">C32*(1+IF(D$27&lt;=Inputs!$C$46,$B32,$B32-($B32-Inputs!$C$37)*MIN(D$27-Inputs!$C$46,Inputs!$C$47)/Inputs!$C$47))</f>
        <v>7263.9200601</v>
      </c>
      <c r="E32" s="15" t="n">
        <f aca="false">D32*(1+IF(E$27&lt;=Inputs!$C$46,$B32,$B32-($B32-Inputs!$C$37)*MIN(E$27-Inputs!$C$46,Inputs!$C$47)/Inputs!$C$47))</f>
        <v>8265.61463638779</v>
      </c>
      <c r="F32" s="15" t="n">
        <f aca="false">E32*(1+IF(F$27&lt;=Inputs!$C$46,$B32,$B32-($B32-Inputs!$C$37)*MIN(F$27-Inputs!$C$46,Inputs!$C$47)/Inputs!$C$47))</f>
        <v>9405.44289474566</v>
      </c>
      <c r="G32" s="15" t="n">
        <f aca="false">F32*(1+IF(G$27&lt;=Inputs!$C$46,$B32,$B32-($B32-Inputs!$C$37)*MIN(G$27-Inputs!$C$46,Inputs!$C$47)/Inputs!$C$47))</f>
        <v>10702.4534699311</v>
      </c>
      <c r="H32" s="15" t="n">
        <f aca="false">G32*(1+IF(H$27&lt;=Inputs!$C$46,$B32,$B32-($B32-Inputs!$C$37)*MIN(H$27-Inputs!$C$46,Inputs!$C$47)/Inputs!$C$47))</f>
        <v>11943.7240233737</v>
      </c>
      <c r="I32" s="15" t="n">
        <f aca="false">H32*(1+IF(I$27&lt;=Inputs!$C$46,$B32,$B32-($B32-Inputs!$C$37)*MIN(I$27-Inputs!$C$46,Inputs!$C$47)/Inputs!$C$47))</f>
        <v>13067.1507050122</v>
      </c>
      <c r="J32" s="15" t="n">
        <f aca="false">I32*(1+IF(J$27&lt;=Inputs!$C$46,$B32,$B32-($B32-Inputs!$C$37)*MIN(J$27-Inputs!$C$46,Inputs!$C$47)/Inputs!$C$47))</f>
        <v>14009.8149568718</v>
      </c>
      <c r="K32" s="15" t="n">
        <f aca="false">J32*(1+IF(K$27&lt;=Inputs!$C$46,$B32,$B32-($B32-Inputs!$C$37)*MIN(K$27-Inputs!$C$46,Inputs!$C$47)/Inputs!$C$47))</f>
        <v>14713.3878640059</v>
      </c>
      <c r="L32" s="15" t="n">
        <f aca="false">K32*(1+IF(L$27&lt;=Inputs!$C$46,$B32,$B32-($B32-Inputs!$C$37)*MIN(L$27-Inputs!$C$46,Inputs!$C$47)/Inputs!$C$47))</f>
        <v>15129.7767405573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240</v>
      </c>
    </row>
    <row r="3" customFormat="false" ht="15" hidden="false" customHeight="false" outlineLevel="0" collapsed="false">
      <c r="B3" s="2" t="s">
        <v>241</v>
      </c>
    </row>
    <row r="5" customFormat="false" ht="15" hidden="false" customHeight="false" outlineLevel="0" collapsed="false">
      <c r="B5" s="28" t="s">
        <v>242</v>
      </c>
      <c r="C5" s="28" t="s">
        <v>243</v>
      </c>
      <c r="D5" s="28" t="s">
        <v>244</v>
      </c>
      <c r="E5" s="28" t="s">
        <v>245</v>
      </c>
      <c r="F5" s="28" t="s">
        <v>246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0.382352941176471</v>
      </c>
      <c r="D6" s="24" t="n">
        <v>0.38235294</v>
      </c>
      <c r="E6" s="47" t="n">
        <f aca="false">C6-D6</f>
        <v>1.17647058761605E-009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136</v>
      </c>
      <c r="C7" s="48" t="n">
        <f aca="false">WACC!$C$14</f>
        <v>0.609131529999621</v>
      </c>
      <c r="D7" s="49" t="n">
        <v>0.60913153</v>
      </c>
      <c r="E7" s="47" t="n">
        <f aca="false">C7-D7</f>
        <v>-3.78919118304566E-013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WACC!$C$37</f>
        <v>0.0767360315529091</v>
      </c>
      <c r="D8" s="24" t="n">
        <v>0.07673603</v>
      </c>
      <c r="E8" s="47" t="n">
        <f aca="false">C8-D8</f>
        <v>1.55290905134997E-009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7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247</v>
      </c>
      <c r="C10" s="12" t="n">
        <f aca="false">Inputs!$C$43</f>
        <v>0.0979</v>
      </c>
      <c r="D10" s="24" t="n">
        <v>0.0979</v>
      </c>
      <c r="E10" s="47" t="n">
        <f aca="false">C10-D10</f>
        <v>0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248</v>
      </c>
      <c r="C11" s="12" t="n">
        <f aca="false">Solver!$W$7</f>
        <v>0.0782079589675959</v>
      </c>
      <c r="D11" s="24" t="n">
        <v>0.07820795</v>
      </c>
      <c r="E11" s="47" t="n">
        <f aca="false">C11-D11</f>
        <v>8.96759591584306E-009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249</v>
      </c>
      <c r="C12" s="12" t="n">
        <f aca="false">Sensitivity!$E$14</f>
        <v>0.11283066868782</v>
      </c>
      <c r="D12" s="24" t="n">
        <v>0.11283065</v>
      </c>
      <c r="E12" s="47" t="n">
        <f aca="false">C12-D12</f>
        <v>1.86878204300189E-008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250</v>
      </c>
      <c r="C13" s="6" t="n">
        <f aca="false">DCF!$C$41</f>
        <v>106.620863878333</v>
      </c>
      <c r="D13" s="20" t="n">
        <v>106.62086388</v>
      </c>
      <c r="E13" s="47" t="n">
        <f aca="false">C13-D13</f>
        <v>-1.66704694493092E-009</v>
      </c>
      <c r="F13" s="5" t="str">
        <f aca="false">IF(ABS(E13)&lt;=0.02,"Pass","Check")</f>
        <v>Pass</v>
      </c>
    </row>
    <row r="14" customFormat="false" ht="15" hidden="false" customHeight="false" outlineLevel="0" collapsed="false">
      <c r="B14" s="5" t="s">
        <v>251</v>
      </c>
      <c r="C14" s="6" t="n">
        <f aca="false">DCF!$C$21-DCF!$C$22</f>
        <v>-8.16100964584621E-010</v>
      </c>
      <c r="D14" s="20" t="n">
        <v>0</v>
      </c>
      <c r="E14" s="47" t="n">
        <f aca="false">C14-D14</f>
        <v>-8.16100964584621E-010</v>
      </c>
      <c r="F14" s="5" t="str">
        <f aca="false">IF(ABS(E14)&lt;=0.01,"Pass","Check")</f>
        <v>Pass</v>
      </c>
      <c r="G14" s="19" t="s">
        <v>252</v>
      </c>
    </row>
    <row r="16" customFormat="false" ht="15" hidden="false" customHeight="false" outlineLevel="0" collapsed="false">
      <c r="B16" s="36" t="s">
        <v>253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2026-10-14T16:48:44Z</dcterms:created>
  <dc:creator>openpyxl</dc:creator>
  <dc:description/>
  <dc:language>en-US</dc:language>
  <cp:lastModifiedBy/>
  <dcterms:modified xsi:type="dcterms:W3CDTF">2026-10-14T16:48:44Z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