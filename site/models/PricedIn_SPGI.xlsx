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<sst xmlns="http://schemas.openxmlformats.org/spreadsheetml/2006/main" count="831" uniqueCount="242">
  <si>
    <t xml:space="preserve">Priced In: S&amp;P Global (SPGI)</t>
  </si>
  <si>
    <t xml:space="preserve">Reverse DCF, model v1.0. Inputs as of the Oct 13, 2026 close; model locked Oct 14, 2026 (commit 0735af0).</t>
  </si>
  <si>
    <t xml:space="preserve">Ratings and indexes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</si>
  <si>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</si>
  <si>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</si>
  <si>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</si>
  <si>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</si>
  <si>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</si>
  <si>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</si>
  <si>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</si>
  <si>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</si>
  <si>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</si>
  <si>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</si>
  <si>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</si>
  <si>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</si>
  <si>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</si>
  <si>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</si>
  <si>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History not comparable</t>
  </si>
  <si>
    <t xml:space="preserve">Mobility was spun off on July 1, 2026 and IHS Markit merged in 2022; revenue is S&amp;P's recast figure without Mobility.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</si>
  <si>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</si>
  <si>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</si>
  <si>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</si>
  <si>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</si>
  <si>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</si>
  <si>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</si>
  <si>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</si>
  <si>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</si>
  <si>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</si>
  <si>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</si>
  <si>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</si>
  <si>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</si>
  <si>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</si>
  <si>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S&amp;P Global (SPGI):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</si>
  <si>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</si>
  <si>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</si>
  <si>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</si>
  <si>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</si>
  <si>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</si>
  <si>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</si>
  <si>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</si>
  <si>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</si>
  <si>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</si>
  <si>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</si>
  <si>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</si>
  <si>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</si>
  <si>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S&amp;P Global recast without Mobility (8-K/A exhibit 99.1): Q3'25 3,443 + Q4'25 3,472 + Q1'26 3,717 + Q2'26 est. 3,685.</t>
  </si>
  <si>
    <t xml:space="preserve">Free cash flow, reported (cash from operations - capex) ($mm)</t>
  </si>
  <si>
    <t xml:space="preserve">Stock Analysis cash flow statement, trailing 12 months.</t>
  </si>
  <si>
    <t xml:space="preserve">Free cash flow scaled to revenue used ($mm)</t>
  </si>
  <si>
    <t xml:space="preserve">Holds the reported free-cash-flow margin on the smaller revenue base.</t>
  </si>
  <si>
    <t xml:space="preserve">Less: CME's 27% share of S&amp;P Dow Jones Indices cash flow ($mm)</t>
  </si>
  <si>
    <t xml:space="preserve">Estimate: the index business's cash flow times CME's 27% minority stake.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</si>
  <si>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</si>
  <si>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</si>
  <si>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</si>
  <si>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</si>
  <si>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</si>
  <si>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</si>
  <si>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</si>
  <si>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</si>
  <si>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</si>
  <si>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</si>
  <si>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</si>
  <si>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</si>
  <si>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</si>
  <si>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</si>
  <si>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</si>
  <si>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</si>
  <si>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</si>
  <si>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</si>
  <si>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</si>
  <si>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</si>
  <si>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</si>
  <si>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</si>
  <si>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</si>
  <si>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</si>
  <si>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</si>
  <si>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</si>
  <si>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</si>
  <si>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</si>
  <si>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</si>
  <si>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</si>
  <si>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</si>
  <si>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</si>
  <si>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n/a</t>
  </si>
  <si>
    <t xml:space="preserve">Not used: past growth isn't comparable (see Cover).</t>
  </si>
  <si>
    <t xml:space="preserve">Analysts' revenue growth forecast</t>
  </si>
  <si>
    <t xml:space="preserve">Average of 2026e growth over recast 2025 (+8.7%) and 2027e over 2026e (+5.5%), Yahoo Finance consensus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</si>
  <si>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</si>
  <si>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</si>
  <si>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</si>
  <si>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</si>
  <si>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</si>
  <si>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</si>
  <si>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</si>
  <si>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</si>
  <si>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</si>
  <si>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</si>
  <si>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S&amp;P Global (SPGI):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</si>
  <si>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</si>
  <si>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</si>
  <si>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</si>
  <si>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</si>
  <si>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</si>
  <si>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</si>
  <si>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</si>
  <si>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</si>
  <si>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</si>
  <si>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</si>
  <si>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includes Mobility (spun off Jul 1 2026) and IHS Markit merger (Feb 2022)</t>
  </si>
  <si>
    <t xml:space="preserve">History window</t>
  </si>
  <si>
    <t xml:space="preserve">Not used for this company: Mobility was spun off on July 1, 2026 and IHS Markit merged in 2022; revenue is S&amp;P's recast figure without Mobility.</t>
  </si>
  <si>
    <t xml:space="preserve">S&amp;P Global (SPGI):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</si>
  <si>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</si>
  <si>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</si>
  <si>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</si>
  <si>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</si>
  <si>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</si>
  <si>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</si>
  <si>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S&amp;P Global (SPGI)</t>
  </si>
  <si>
    <t xml:space="preserve">Raw betas: 60 monthly returns to Sep 2026 against the S&amp;P 500 (S&amp;P/TSX for TMX); Cboe uses Stock Analysis's 5-year beta. Debt and equity from Stock Analysis, Oct 13, 2026.</t>
  </si>
  <si>
    <t xml:space="preserve">Moody's (MCO)</t>
  </si>
  <si>
    <t xml:space="preserve">MSCI (MSCI)</t>
  </si>
  <si>
    <t xml:space="preserve">Morningstar (MORN)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</si>
  <si>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</si>
  <si>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</si>
  <si>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</si>
  <si>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</si>
  <si>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</si>
  <si>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</si>
  <si>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</si>
  <si>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</si>
  <si>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</si>
  <si>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</si>
  <si>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</si>
  <si>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</si>
  <si>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</si>
  <si>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</si>
  <si>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</si>
  <si>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</si>
  <si>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</si>
  <si>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</si>
  <si>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</si>
  <si>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</si>
  <si>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</si>
  <si>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</si>
  <si>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</si>
  <si>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</si>
  <si>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</si>
  <si>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</si>
  <si>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</si>
  <si>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</si>
  <si>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</si>
  <si>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</si>
  <si>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</si>
  <si>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</si>
  <si>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</si>
  <si>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</si>
  <si>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</si>
  <si>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</si>
  <si>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</si>
  <si>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</si>
  <si>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</si>
  <si>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</si>
  <si>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</si>
  <si>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</si>
  <si>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</si>
  <si>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</si>
  <si>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</si>
  <si>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</si>
  <si>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</si>
  <si>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</si>
  <si>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</si>
  <si>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</si>
  <si>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</si>
  <si>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</si>
  <si>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</si>
  <si>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</si>
  <si>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</si>
  <si>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</si>
  <si>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</si>
  <si>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</si>
  <si>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</si>
  <si>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</si>
  <si>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</si>
  <si>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</si>
  <si>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</si>
  <si>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</si>
  <si>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</si>
  <si>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</si>
  <si>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</si>
  <si>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</si>
  <si>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</si>
  <si>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</si>
  <si>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</si>
  <si>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</si>
  <si>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</si>
  <si>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</si>
  <si>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</si>
  <si>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</si>
  <si>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S&amp;P Global (SPGI):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</si>
  <si>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</si>
  <si>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</si>
  <si>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</si>
  <si>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</si>
  <si>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</si>
  <si>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</si>
  <si>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</si>
  <si>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</si>
  <si>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</si>
  <si>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</si>
  <si>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</si>
  <si>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</si>
  <si>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</si>
  <si>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</si>
  <si>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</si>
  <si>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</si>
  <si>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</si>
  <si>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S&amp;P Global (SPGI):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</si>
  <si>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</si>
  <si>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</si>
  <si>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</si>
  <si>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</si>
  <si>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</si>
  <si>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</si>
  <si>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</si>
  <si>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$409.98.</t>
  </si>
  <si>
    <t xml:space="preserve">Helper: revenue paths for each growth view (years 1 to 10)</t>
  </si>
  <si>
    <t xml:space="preserve">S&amp;P Global (SPGI):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</si>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</sst>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;\(0.00\);\-"/>
    <numFmt numFmtId="172" formatCode="0.0\x"/>
    <numFmt numFmtId="173" formatCode="0.0000%"/>
    <numFmt numFmtId="174" formatCode="#,##0.0000;\(#,##0.0000\);\-"/>
    <numFmt numFmtId="175" formatCode="0.0000"/>
    <numFmt numFmtId="176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409.980662889711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0.137494051880367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0.07</v>
      </c>
    </row>
    <row r="13" customFormat="false" ht="15" hidden="false" customHeight="false" outlineLevel="0" collapsed="false">
      <c r="B13" s="7" t="s">
        <v>9</v>
      </c>
      <c r="C13" s="10" t="n">
        <f aca="false">C11-C12</f>
        <v>0.0674940518803669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high</v>
      </c>
    </row>
    <row r="15" customFormat="false" ht="15" hidden="false" customHeight="false" outlineLevel="0" collapsed="false">
      <c r="B15" s="5" t="s">
        <v>11</v>
      </c>
      <c r="C15" s="12" t="n">
        <f aca="false">WACC!$C$34</f>
        <v>0.0948919064489092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0.32684941689858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0.07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270.344269841684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-0.340592632012965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14317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0.07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409.980662889711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294.77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120850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16120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4" t="n">
        <v>14317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5570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C12*C13/C11</f>
        <v>4947.00310173697</v>
      </c>
      <c r="E14" s="19" t="s">
        <v>49</v>
      </c>
    </row>
    <row r="15" customFormat="false" ht="15" hidden="false" customHeight="false" outlineLevel="0" collapsed="false">
      <c r="B15" s="5" t="s">
        <v>50</v>
      </c>
      <c r="C15" s="14" t="n">
        <v>320</v>
      </c>
      <c r="E15" s="19" t="s">
        <v>51</v>
      </c>
    </row>
    <row r="16" customFormat="false" ht="15" hidden="false" customHeight="false" outlineLevel="0" collapsed="false">
      <c r="B16" s="5" t="s">
        <v>52</v>
      </c>
      <c r="C16" s="15" t="n">
        <f aca="false">C14-C15</f>
        <v>4627.00310173697</v>
      </c>
    </row>
    <row r="17" customFormat="false" ht="15" hidden="false" customHeight="false" outlineLevel="0" collapsed="false">
      <c r="B17" s="5" t="s">
        <v>53</v>
      </c>
      <c r="C17" s="14" t="n">
        <v>6940</v>
      </c>
      <c r="E17" s="19" t="s">
        <v>54</v>
      </c>
    </row>
    <row r="18" customFormat="false" ht="15" hidden="false" customHeight="false" outlineLevel="0" collapsed="false">
      <c r="B18" s="5" t="s">
        <v>55</v>
      </c>
      <c r="C18" s="14" t="n">
        <v>6870</v>
      </c>
      <c r="E18" s="19" t="s">
        <v>54</v>
      </c>
    </row>
    <row r="19" customFormat="false" ht="15" hidden="false" customHeight="false" outlineLevel="0" collapsed="false">
      <c r="B19" s="5" t="s">
        <v>56</v>
      </c>
      <c r="C19" s="15" t="n">
        <f aca="false">MAX(0,C17-C18)</f>
        <v>70</v>
      </c>
      <c r="E19" s="19" t="s">
        <v>57</v>
      </c>
    </row>
    <row r="20" customFormat="false" ht="15" hidden="false" customHeight="false" outlineLevel="0" collapsed="false">
      <c r="B20" s="5" t="s">
        <v>58</v>
      </c>
      <c r="C20" s="22" t="n">
        <v>0.25</v>
      </c>
      <c r="E20" s="19" t="s">
        <v>59</v>
      </c>
    </row>
    <row r="21" customFormat="false" ht="15" hidden="false" customHeight="false" outlineLevel="0" collapsed="false">
      <c r="B21" s="5" t="s">
        <v>60</v>
      </c>
      <c r="C21" s="15" t="n">
        <f aca="false">C19*(1-C20)</f>
        <v>52.5</v>
      </c>
    </row>
    <row r="22" customFormat="false" ht="15" hidden="false" customHeight="false" outlineLevel="0" collapsed="false">
      <c r="B22" s="5" t="s">
        <v>61</v>
      </c>
      <c r="C22" s="15" t="n">
        <f aca="false">C16+C21</f>
        <v>4679.50310173697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0.32684941689858</v>
      </c>
      <c r="E23" s="19" t="s">
        <v>62</v>
      </c>
    </row>
    <row r="24" customFormat="false" ht="15" hidden="false" customHeight="false" outlineLevel="0" collapsed="false">
      <c r="B24" s="5" t="s">
        <v>63</v>
      </c>
      <c r="C24" s="14" t="n">
        <v>8140</v>
      </c>
      <c r="E24" s="19" t="s">
        <v>54</v>
      </c>
    </row>
    <row r="26" customFormat="false" ht="15" hidden="false" customHeight="false" outlineLevel="0" collapsed="false">
      <c r="B26" s="3" t="s">
        <v>64</v>
      </c>
    </row>
    <row r="27" customFormat="false" ht="15" hidden="false" customHeight="false" outlineLevel="0" collapsed="false">
      <c r="B27" s="5" t="s">
        <v>65</v>
      </c>
      <c r="C27" s="14" t="n">
        <v>15750</v>
      </c>
      <c r="E27" s="19" t="s">
        <v>66</v>
      </c>
    </row>
    <row r="28" customFormat="false" ht="15" hidden="false" customHeight="false" outlineLevel="0" collapsed="false">
      <c r="B28" s="5" t="s">
        <v>67</v>
      </c>
      <c r="C28" s="14" t="n">
        <v>4130</v>
      </c>
      <c r="E28" s="19" t="s">
        <v>66</v>
      </c>
    </row>
    <row r="29" customFormat="false" ht="15" hidden="false" customHeight="false" outlineLevel="0" collapsed="false">
      <c r="B29" s="5" t="s">
        <v>68</v>
      </c>
      <c r="C29" s="15" t="n">
        <f aca="false">C27-C28</f>
        <v>11620</v>
      </c>
    </row>
    <row r="31" customFormat="false" ht="15" hidden="false" customHeight="false" outlineLevel="0" collapsed="false">
      <c r="B31" s="3" t="s">
        <v>69</v>
      </c>
    </row>
    <row r="32" customFormat="false" ht="15" hidden="false" customHeight="false" outlineLevel="0" collapsed="false">
      <c r="B32" s="5" t="s">
        <v>70</v>
      </c>
      <c r="C32" s="24" t="n">
        <v>0.0521</v>
      </c>
      <c r="E32" s="19" t="s">
        <v>71</v>
      </c>
    </row>
    <row r="33" customFormat="false" ht="15" hidden="false" customHeight="false" outlineLevel="0" collapsed="false">
      <c r="B33" s="5" t="s">
        <v>72</v>
      </c>
      <c r="C33" s="24" t="n">
        <v>0.0288</v>
      </c>
      <c r="E33" s="19" t="s">
        <v>73</v>
      </c>
    </row>
    <row r="34" customFormat="false" ht="15" hidden="false" customHeight="false" outlineLevel="0" collapsed="false">
      <c r="B34" s="5" t="s">
        <v>74</v>
      </c>
      <c r="C34" s="25" t="n">
        <f aca="false">C32-C33</f>
        <v>0.0233</v>
      </c>
      <c r="E34" s="19" t="s">
        <v>75</v>
      </c>
    </row>
    <row r="35" customFormat="false" ht="15" hidden="false" customHeight="false" outlineLevel="0" collapsed="false">
      <c r="B35" s="5" t="s">
        <v>76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77</v>
      </c>
      <c r="C36" s="24" t="n">
        <v>0.005</v>
      </c>
      <c r="E36" s="19" t="s">
        <v>78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79</v>
      </c>
    </row>
    <row r="38" customFormat="false" ht="15" hidden="false" customHeight="false" outlineLevel="0" collapsed="false">
      <c r="B38" s="5" t="s">
        <v>80</v>
      </c>
      <c r="C38" s="24" t="n">
        <v>0.0423</v>
      </c>
      <c r="E38" s="19" t="s">
        <v>81</v>
      </c>
    </row>
    <row r="40" customFormat="false" ht="15" hidden="false" customHeight="false" outlineLevel="0" collapsed="false">
      <c r="B40" s="3" t="s">
        <v>82</v>
      </c>
    </row>
    <row r="41" customFormat="false" ht="15" hidden="false" customHeight="false" outlineLevel="0" collapsed="false">
      <c r="B41" s="5" t="s">
        <v>83</v>
      </c>
      <c r="C41" s="5" t="s">
        <v>84</v>
      </c>
      <c r="E41" s="19" t="s">
        <v>85</v>
      </c>
    </row>
    <row r="42" customFormat="false" ht="15" hidden="false" customHeight="false" outlineLevel="0" collapsed="false">
      <c r="B42" s="5" t="s">
        <v>86</v>
      </c>
      <c r="C42" s="22" t="n">
        <v>0.07</v>
      </c>
      <c r="E42" s="19" t="s">
        <v>87</v>
      </c>
    </row>
    <row r="43" customFormat="false" ht="15" hidden="false" customHeight="false" outlineLevel="0" collapsed="false">
      <c r="B43" s="5" t="s">
        <v>88</v>
      </c>
      <c r="C43" s="23" t="n">
        <f aca="false">AVERAGE(C41:C42)</f>
        <v>0.07</v>
      </c>
      <c r="E43" s="19" t="s">
        <v>89</v>
      </c>
    </row>
    <row r="44" customFormat="false" ht="15" hidden="false" customHeight="false" outlineLevel="0" collapsed="false">
      <c r="B44" s="5" t="s">
        <v>90</v>
      </c>
      <c r="C44" s="22" t="n">
        <v>0.03</v>
      </c>
      <c r="E44" s="19" t="s">
        <v>91</v>
      </c>
    </row>
    <row r="45" customFormat="false" ht="15" hidden="false" customHeight="false" outlineLevel="0" collapsed="false">
      <c r="B45" s="5" t="s">
        <v>92</v>
      </c>
      <c r="C45" s="26" t="n">
        <v>0.07</v>
      </c>
      <c r="E45" s="19" t="s">
        <v>93</v>
      </c>
    </row>
    <row r="46" customFormat="false" ht="15" hidden="false" customHeight="false" outlineLevel="0" collapsed="false">
      <c r="B46" s="5" t="s">
        <v>94</v>
      </c>
      <c r="C46" s="27" t="n">
        <v>5</v>
      </c>
      <c r="E46" s="19" t="s">
        <v>95</v>
      </c>
    </row>
    <row r="47" customFormat="false" ht="15" hidden="false" customHeight="false" outlineLevel="0" collapsed="false">
      <c r="B47" s="5" t="s">
        <v>96</v>
      </c>
      <c r="C47" s="27" t="n">
        <v>5</v>
      </c>
      <c r="E47" s="1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98</v>
      </c>
    </row>
    <row r="3" customFormat="false" ht="15" hidden="false" customHeight="false" outlineLevel="0" collapsed="false">
      <c r="B3" s="2" t="s">
        <v>99</v>
      </c>
    </row>
    <row r="5" customFormat="false" ht="15" hidden="false" customHeight="false" outlineLevel="0" collapsed="false">
      <c r="B5" s="28" t="s">
        <v>100</v>
      </c>
      <c r="C5" s="28" t="s">
        <v>101</v>
      </c>
      <c r="D5" s="28" t="s">
        <v>102</v>
      </c>
      <c r="E5" s="28" t="s">
        <v>103</v>
      </c>
      <c r="F5" s="28" t="s">
        <v>104</v>
      </c>
      <c r="G5" s="28" t="s">
        <v>105</v>
      </c>
      <c r="H5" s="28" t="s">
        <v>106</v>
      </c>
    </row>
    <row r="6" customFormat="false" ht="15" hidden="false" customHeight="false" outlineLevel="0" collapsed="false">
      <c r="B6" s="5" t="s">
        <v>107</v>
      </c>
      <c r="C6" s="14" t="n">
        <v>8297</v>
      </c>
      <c r="D6" s="14" t="n">
        <v>11181</v>
      </c>
      <c r="E6" s="14" t="n">
        <v>12497</v>
      </c>
      <c r="F6" s="14" t="n">
        <v>14208</v>
      </c>
      <c r="G6" s="14" t="n">
        <v>15336</v>
      </c>
      <c r="H6" s="14" t="n">
        <v>16122</v>
      </c>
    </row>
    <row r="7" customFormat="false" ht="15" hidden="false" customHeight="false" outlineLevel="0" collapsed="false">
      <c r="B7" s="5" t="s">
        <v>108</v>
      </c>
      <c r="D7" s="23" t="n">
        <f aca="false">D6/C6-1</f>
        <v>0.34759551645173</v>
      </c>
      <c r="E7" s="23" t="n">
        <f aca="false">E6/D6-1</f>
        <v>0.117699669081478</v>
      </c>
      <c r="F7" s="23" t="n">
        <f aca="false">F6/E6-1</f>
        <v>0.136912859086181</v>
      </c>
      <c r="G7" s="23" t="n">
        <f aca="false">G6/F6-1</f>
        <v>0.0793918918918919</v>
      </c>
    </row>
    <row r="8" customFormat="false" ht="15" hidden="false" customHeight="false" outlineLevel="0" collapsed="false">
      <c r="B8" s="19" t="s">
        <v>109</v>
      </c>
    </row>
    <row r="10" customFormat="false" ht="15" hidden="false" customHeight="false" outlineLevel="0" collapsed="false">
      <c r="B10" s="3" t="s">
        <v>110</v>
      </c>
    </row>
    <row r="11" customFormat="false" ht="15" hidden="false" customHeight="false" outlineLevel="0" collapsed="false">
      <c r="B11" s="1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112</v>
      </c>
    </row>
    <row r="3" customFormat="false" ht="15" hidden="false" customHeight="false" outlineLevel="0" collapsed="false">
      <c r="B3" s="2" t="s">
        <v>113</v>
      </c>
    </row>
    <row r="5" customFormat="false" ht="15" hidden="false" customHeight="false" outlineLevel="0" collapsed="false">
      <c r="B5" s="28" t="s">
        <v>114</v>
      </c>
      <c r="C5" s="28" t="s">
        <v>115</v>
      </c>
      <c r="D5" s="28" t="s">
        <v>116</v>
      </c>
      <c r="E5" s="28" t="s">
        <v>117</v>
      </c>
      <c r="F5" s="28" t="s">
        <v>58</v>
      </c>
      <c r="G5" s="28" t="s">
        <v>118</v>
      </c>
    </row>
    <row r="6" customFormat="false" ht="15" hidden="false" customHeight="false" outlineLevel="0" collapsed="false">
      <c r="B6" s="7" t="s">
        <v>119</v>
      </c>
      <c r="C6" s="29" t="n">
        <v>1.09250166626551</v>
      </c>
      <c r="D6" s="14" t="n">
        <v>15750</v>
      </c>
      <c r="E6" s="14" t="n">
        <v>120850</v>
      </c>
      <c r="F6" s="22" t="n">
        <v>0.25</v>
      </c>
      <c r="G6" s="30" t="n">
        <f aca="false">C6/(1+(1-F6)*D6/E6)</f>
        <v>0.995223415570996</v>
      </c>
      <c r="H6" s="19" t="s">
        <v>120</v>
      </c>
    </row>
    <row r="7" customFormat="false" ht="15" hidden="false" customHeight="false" outlineLevel="0" collapsed="false">
      <c r="B7" s="5" t="s">
        <v>121</v>
      </c>
      <c r="C7" s="29" t="n">
        <v>1.3479366702065</v>
      </c>
      <c r="D7" s="14" t="n">
        <v>7620</v>
      </c>
      <c r="E7" s="14" t="n">
        <v>80380</v>
      </c>
      <c r="F7" s="22" t="n">
        <v>0.25</v>
      </c>
      <c r="G7" s="30" t="n">
        <f aca="false">C7/(1+(1-F7)*D7/E7)</f>
        <v>1.2584604164144</v>
      </c>
    </row>
    <row r="8" customFormat="false" ht="15" hidden="false" customHeight="false" outlineLevel="0" collapsed="false">
      <c r="B8" s="5" t="s">
        <v>122</v>
      </c>
      <c r="C8" s="29" t="n">
        <v>1.24194634399389</v>
      </c>
      <c r="D8" s="14" t="n">
        <v>6540</v>
      </c>
      <c r="E8" s="14" t="n">
        <v>40770</v>
      </c>
      <c r="F8" s="22" t="n">
        <v>0.25</v>
      </c>
      <c r="G8" s="30" t="n">
        <f aca="false">C8/(1+(1-F8)*D8/E8)</f>
        <v>1.10857476616597</v>
      </c>
    </row>
    <row r="9" customFormat="false" ht="15" hidden="false" customHeight="false" outlineLevel="0" collapsed="false">
      <c r="B9" s="5" t="s">
        <v>123</v>
      </c>
      <c r="C9" s="29" t="n">
        <v>1.02503279266652</v>
      </c>
      <c r="D9" s="14" t="n">
        <v>1900</v>
      </c>
      <c r="E9" s="14" t="n">
        <v>7670</v>
      </c>
      <c r="F9" s="22" t="n">
        <v>0.25</v>
      </c>
      <c r="G9" s="30" t="n">
        <f aca="false">C9/(1+(1-F9)*D9/E9)</f>
        <v>0.864431173144824</v>
      </c>
    </row>
    <row r="11" customFormat="false" ht="15" hidden="false" customHeight="false" outlineLevel="0" collapsed="false">
      <c r="B11" s="5" t="s">
        <v>124</v>
      </c>
      <c r="C11" s="30" t="n">
        <f aca="false">MEDIAN(G6:G9)</f>
        <v>1.05189909086848</v>
      </c>
    </row>
    <row r="12" customFormat="false" ht="15" hidden="false" customHeight="false" outlineLevel="0" collapsed="false">
      <c r="B12" s="5" t="s">
        <v>116</v>
      </c>
      <c r="C12" s="16" t="n">
        <f aca="false">Inputs!$C$27</f>
        <v>15750</v>
      </c>
    </row>
    <row r="13" customFormat="false" ht="15" hidden="false" customHeight="false" outlineLevel="0" collapsed="false">
      <c r="B13" s="5" t="s">
        <v>39</v>
      </c>
      <c r="C13" s="16" t="n">
        <f aca="false">Inputs!$C$8</f>
        <v>120850</v>
      </c>
    </row>
    <row r="14" customFormat="false" ht="15" hidden="false" customHeight="false" outlineLevel="0" collapsed="false">
      <c r="B14" s="5" t="s">
        <v>58</v>
      </c>
      <c r="C14" s="9" t="n">
        <f aca="false">Inputs!$C$20</f>
        <v>0.25</v>
      </c>
    </row>
    <row r="15" customFormat="false" ht="15" hidden="false" customHeight="false" outlineLevel="0" collapsed="false">
      <c r="B15" s="5" t="s">
        <v>125</v>
      </c>
      <c r="C15" s="30" t="n">
        <f aca="false">WACC!$C$11*(1+(1-WACC!$C$14)*WACC!$C$12/WACC!$C$13)</f>
        <v>1.15471711330029</v>
      </c>
      <c r="H15" s="19" t="s">
        <v>126</v>
      </c>
    </row>
    <row r="16" customFormat="false" ht="15" hidden="false" customHeight="false" outlineLevel="0" collapsed="false">
      <c r="B16" s="5" t="s">
        <v>127</v>
      </c>
      <c r="C16" s="12" t="n">
        <f aca="false">Inputs!$C$35</f>
        <v>0.0521</v>
      </c>
    </row>
    <row r="17" customFormat="false" ht="15" hidden="false" customHeight="false" outlineLevel="0" collapsed="false">
      <c r="B17" s="5" t="s">
        <v>80</v>
      </c>
      <c r="C17" s="12" t="n">
        <f aca="false">Inputs!$C$38</f>
        <v>0.0423</v>
      </c>
    </row>
    <row r="18" customFormat="false" ht="15" hidden="false" customHeight="false" outlineLevel="0" collapsed="false">
      <c r="B18" s="5" t="s">
        <v>128</v>
      </c>
      <c r="C18" s="25" t="n">
        <f aca="false">WACC!$C$16+WACC!$C$15*WACC!$C$17</f>
        <v>0.100944533892602</v>
      </c>
      <c r="H18" s="19" t="s">
        <v>129</v>
      </c>
    </row>
    <row r="20" customFormat="false" ht="15" hidden="false" customHeight="false" outlineLevel="0" collapsed="false">
      <c r="B20" s="3" t="s">
        <v>130</v>
      </c>
    </row>
    <row r="21" customFormat="false" ht="15" hidden="false" customHeight="false" outlineLevel="0" collapsed="false">
      <c r="B21" s="28" t="s">
        <v>131</v>
      </c>
      <c r="C21" s="28" t="s">
        <v>132</v>
      </c>
    </row>
    <row r="22" customFormat="false" ht="15" hidden="false" customHeight="false" outlineLevel="0" collapsed="false">
      <c r="B22" s="31" t="n">
        <v>1</v>
      </c>
      <c r="C22" s="24" t="n">
        <v>0.01</v>
      </c>
      <c r="H22" s="19" t="s">
        <v>133</v>
      </c>
    </row>
    <row r="23" customFormat="false" ht="15" hidden="false" customHeight="false" outlineLevel="0" collapsed="false">
      <c r="B23" s="31" t="n">
        <v>2</v>
      </c>
      <c r="C23" s="24" t="n">
        <v>0.0125</v>
      </c>
    </row>
    <row r="24" customFormat="false" ht="15" hidden="false" customHeight="false" outlineLevel="0" collapsed="false">
      <c r="B24" s="31" t="n">
        <v>3</v>
      </c>
      <c r="C24" s="24" t="n">
        <v>0.016</v>
      </c>
    </row>
    <row r="25" customFormat="false" ht="15" hidden="false" customHeight="false" outlineLevel="0" collapsed="false">
      <c r="B25" s="31" t="n">
        <v>4</v>
      </c>
      <c r="C25" s="24" t="n">
        <v>0.02</v>
      </c>
    </row>
    <row r="26" customFormat="false" ht="15" hidden="false" customHeight="false" outlineLevel="0" collapsed="false">
      <c r="B26" s="31" t="n">
        <v>99</v>
      </c>
      <c r="C26" s="24" t="n">
        <v>0.0275</v>
      </c>
    </row>
    <row r="28" customFormat="false" ht="15" hidden="false" customHeight="false" outlineLevel="0" collapsed="false">
      <c r="B28" s="5" t="s">
        <v>134</v>
      </c>
      <c r="C28" s="32" t="n">
        <f aca="false">Inputs!$C$27/Inputs!$C$24</f>
        <v>1.93488943488944</v>
      </c>
    </row>
    <row r="29" customFormat="false" ht="15" hidden="false" customHeight="false" outlineLevel="0" collapsed="false">
      <c r="B29" s="5" t="s">
        <v>135</v>
      </c>
      <c r="C29" s="25" t="n">
        <f aca="false">INDEX(C22:C26,COUNTIF(B22:B26,"&lt;="&amp;WACC!$C$28)+1)</f>
        <v>0.0125</v>
      </c>
      <c r="H29" s="19" t="s">
        <v>136</v>
      </c>
    </row>
    <row r="30" customFormat="false" ht="15" hidden="false" customHeight="false" outlineLevel="0" collapsed="false">
      <c r="B30" s="5" t="s">
        <v>137</v>
      </c>
      <c r="C30" s="25" t="n">
        <f aca="false">WACC!$C$16+WACC!$C$29</f>
        <v>0.0646</v>
      </c>
    </row>
    <row r="31" customFormat="false" ht="15" hidden="false" customHeight="false" outlineLevel="0" collapsed="false">
      <c r="B31" s="5" t="s">
        <v>138</v>
      </c>
      <c r="C31" s="25" t="n">
        <f aca="false">WACC!$C$30*(1-WACC!$C$14)</f>
        <v>0.04845</v>
      </c>
    </row>
    <row r="32" customFormat="false" ht="15" hidden="false" customHeight="false" outlineLevel="0" collapsed="false">
      <c r="B32" s="5" t="s">
        <v>139</v>
      </c>
      <c r="C32" s="23" t="n">
        <f aca="false">WACC!$C$12/(WACC!$C$12+WACC!$C$13)</f>
        <v>0.115300146412884</v>
      </c>
      <c r="H32" s="19" t="s">
        <v>140</v>
      </c>
    </row>
    <row r="33" customFormat="false" ht="15" hidden="false" customHeight="false" outlineLevel="0" collapsed="false">
      <c r="B33" s="5" t="s">
        <v>141</v>
      </c>
      <c r="C33" s="23" t="n">
        <f aca="false">1-WACC!$C$32</f>
        <v>0.884699853587116</v>
      </c>
    </row>
    <row r="34" customFormat="false" ht="15" hidden="false" customHeight="false" outlineLevel="0" collapsed="false">
      <c r="B34" s="5" t="s">
        <v>11</v>
      </c>
      <c r="C34" s="33" t="n">
        <f aca="false">WACC!$C$33*WACC!$C$18+WACC!$C$32*WACC!$C$31</f>
        <v>0.0948919064489092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142</v>
      </c>
    </row>
    <row r="2" customFormat="false" ht="15" hidden="false" customHeight="false" outlineLevel="0" collapsed="false">
      <c r="B2" s="5" t="s">
        <v>143</v>
      </c>
      <c r="C2" s="16" t="n">
        <f aca="false">Inputs!$C$12</f>
        <v>14317</v>
      </c>
      <c r="D2" s="5" t="s">
        <v>144</v>
      </c>
      <c r="E2" s="9" t="n">
        <f aca="false">Inputs!$C$23</f>
        <v>0.32684941689858</v>
      </c>
      <c r="F2" s="5" t="s">
        <v>145</v>
      </c>
      <c r="G2" s="16" t="n">
        <f aca="false">Inputs!$C$27</f>
        <v>15750</v>
      </c>
      <c r="H2" s="5" t="s">
        <v>146</v>
      </c>
      <c r="I2" s="16" t="n">
        <f aca="false">Inputs!$C$28</f>
        <v>4130</v>
      </c>
      <c r="J2" s="5" t="s">
        <v>147</v>
      </c>
      <c r="K2" s="34" t="n">
        <f aca="false">Inputs!$C$7</f>
        <v>294.77</v>
      </c>
      <c r="L2" s="5" t="s">
        <v>148</v>
      </c>
      <c r="M2" s="6" t="n">
        <f aca="false">Inputs!$C$6</f>
        <v>409.980662889711</v>
      </c>
      <c r="N2" s="5" t="s">
        <v>149</v>
      </c>
      <c r="O2" s="35" t="n">
        <f aca="false">Inputs!$C$46</f>
        <v>5</v>
      </c>
      <c r="P2" s="5" t="s">
        <v>150</v>
      </c>
      <c r="Q2" s="35" t="n">
        <f aca="false">Inputs!$C$47</f>
        <v>5</v>
      </c>
    </row>
    <row r="3" customFormat="false" ht="15" hidden="false" customHeight="false" outlineLevel="0" collapsed="false">
      <c r="D3" s="36" t="s">
        <v>151</v>
      </c>
      <c r="E3" s="37" t="n">
        <v>1</v>
      </c>
      <c r="F3" s="37" t="n">
        <v>2</v>
      </c>
      <c r="G3" s="37" t="n">
        <v>3</v>
      </c>
      <c r="H3" s="37" t="n">
        <v>4</v>
      </c>
      <c r="I3" s="37" t="n">
        <v>5</v>
      </c>
      <c r="J3" s="37" t="n">
        <v>6</v>
      </c>
      <c r="K3" s="37" t="n">
        <v>7</v>
      </c>
      <c r="L3" s="37" t="n">
        <v>8</v>
      </c>
      <c r="M3" s="37" t="n">
        <v>9</v>
      </c>
      <c r="N3" s="37" t="n">
        <v>10</v>
      </c>
    </row>
    <row r="4" customFormat="false" ht="15" hidden="false" customHeight="false" outlineLevel="0" collapsed="false">
      <c r="A4" s="19" t="s">
        <v>152</v>
      </c>
    </row>
    <row r="6" customFormat="false" ht="15" hidden="false" customHeight="false" outlineLevel="0" collapsed="false">
      <c r="A6" s="36" t="s">
        <v>153</v>
      </c>
      <c r="E6" s="5" t="s">
        <v>11</v>
      </c>
      <c r="F6" s="12" t="n">
        <f aca="false">WACC!$C$34</f>
        <v>0.0948919064489092</v>
      </c>
      <c r="G6" s="5" t="s">
        <v>12</v>
      </c>
      <c r="I6" s="12" t="n">
        <f aca="false">Inputs!$C$37</f>
        <v>0.0283</v>
      </c>
      <c r="W6" s="36" t="s">
        <v>154</v>
      </c>
    </row>
    <row r="7" customFormat="false" ht="23.85" hidden="false" customHeight="false" outlineLevel="0" collapsed="false">
      <c r="A7" s="36" t="s">
        <v>155</v>
      </c>
      <c r="B7" s="28" t="s">
        <v>156</v>
      </c>
      <c r="C7" s="28" t="s">
        <v>157</v>
      </c>
      <c r="D7" s="28" t="s">
        <v>158</v>
      </c>
      <c r="E7" s="28" t="s">
        <v>159</v>
      </c>
      <c r="F7" s="28" t="s">
        <v>160</v>
      </c>
      <c r="G7" s="28" t="s">
        <v>161</v>
      </c>
      <c r="H7" s="28" t="s">
        <v>162</v>
      </c>
      <c r="I7" s="28" t="s">
        <v>163</v>
      </c>
      <c r="J7" s="28" t="s">
        <v>164</v>
      </c>
      <c r="K7" s="28" t="s">
        <v>165</v>
      </c>
      <c r="L7" s="28" t="s">
        <v>166</v>
      </c>
      <c r="M7" s="28" t="s">
        <v>167</v>
      </c>
      <c r="N7" s="28" t="s">
        <v>168</v>
      </c>
      <c r="O7" s="28" t="s">
        <v>169</v>
      </c>
      <c r="P7" s="28" t="s">
        <v>170</v>
      </c>
      <c r="Q7" s="28" t="s">
        <v>171</v>
      </c>
      <c r="R7" s="28" t="s">
        <v>172</v>
      </c>
      <c r="S7" s="28" t="s">
        <v>173</v>
      </c>
      <c r="T7" s="28" t="s">
        <v>174</v>
      </c>
      <c r="W7" s="38" t="n">
        <f aca="false">$D$47</f>
        <v>0.137494051880367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39" t="n">
        <f aca="false">(B8+C8)/2</f>
        <v>0.25</v>
      </c>
      <c r="E8" s="15" t="n">
        <f aca="false">$C$2*(1+IF(E$3&lt;=$O$2,$D8,$D8-($D8-$I$6)*MIN(E$3-$O$2,$Q$2)/$Q$2))</f>
        <v>17896.25</v>
      </c>
      <c r="F8" s="15" t="n">
        <f aca="false">E8*(1+IF(F$3&lt;=$O$2,$D8,$D8-($D8-$I$6)*MIN(F$3-$O$2,$Q$2)/$Q$2))</f>
        <v>22370.3125</v>
      </c>
      <c r="G8" s="15" t="n">
        <f aca="false">F8*(1+IF(G$3&lt;=$O$2,$D8,$D8-($D8-$I$6)*MIN(G$3-$O$2,$Q$2)/$Q$2))</f>
        <v>27962.890625</v>
      </c>
      <c r="H8" s="15" t="n">
        <f aca="false">G8*(1+IF(H$3&lt;=$O$2,$D8,$D8-($D8-$I$6)*MIN(H$3-$O$2,$Q$2)/$Q$2))</f>
        <v>34953.61328125</v>
      </c>
      <c r="I8" s="15" t="n">
        <f aca="false">H8*(1+IF(I$3&lt;=$O$2,$D8,$D8-($D8-$I$6)*MIN(I$3-$O$2,$Q$2)/$Q$2))</f>
        <v>43692.0166015625</v>
      </c>
      <c r="J8" s="15" t="n">
        <f aca="false">I8*(1+IF(J$3&lt;=$O$2,$D8,$D8-($D8-$I$6)*MIN(J$3-$O$2,$Q$2)/$Q$2))</f>
        <v>52677.7167358398</v>
      </c>
      <c r="K8" s="15" t="n">
        <f aca="false">J8*(1+IF(K$3&lt;=$O$2,$D8,$D8-($D8-$I$6)*MIN(K$3-$O$2,$Q$2)/$Q$2))</f>
        <v>61175.6859996655</v>
      </c>
      <c r="L8" s="15" t="n">
        <f aca="false">K8*(1+IF(L$3&lt;=$O$2,$D8,$D8-($D8-$I$6)*MIN(L$3-$O$2,$Q$2)/$Q$2))</f>
        <v>68332.0177479064</v>
      </c>
      <c r="M8" s="15" t="n">
        <f aca="false">L8*(1+IF(M$3&lt;=$O$2,$D8,$D8-($D8-$I$6)*MIN(M$3-$O$2,$Q$2)/$Q$2))</f>
        <v>73295.6555171143</v>
      </c>
      <c r="N8" s="15" t="n">
        <f aca="false">M8*(1+IF(N$3&lt;=$O$2,$D8,$D8-($D8-$I$6)*MIN(N$3-$O$2,$Q$2)/$Q$2))</f>
        <v>75369.9225682487</v>
      </c>
      <c r="O8" s="15" t="n">
        <f aca="false">SUMPRODUCT(E8:N8,1/(1+$F$6)^$E$3:$N$3)*$E$2</f>
        <v>87384.7033335954</v>
      </c>
      <c r="P8" s="15" t="n">
        <f aca="false">N8*$E$2*(1+$I$6)/($F$6-$I$6)/(1+$F$6)^$N$3</f>
        <v>153649.700017103</v>
      </c>
      <c r="Q8" s="15" t="n">
        <f aca="false">O8+P8</f>
        <v>241034.403350698</v>
      </c>
      <c r="R8" s="15" t="n">
        <f aca="false">Q8-$G$2+$I$2</f>
        <v>229414.403350698</v>
      </c>
      <c r="S8" s="40" t="n">
        <f aca="false">R8/$K$2</f>
        <v>778.282740274445</v>
      </c>
      <c r="T8" s="41" t="n">
        <f aca="false">S8-$M$2</f>
        <v>368.302077384735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39" t="n">
        <f aca="false">(B9+C9)/2</f>
        <v>-0.125</v>
      </c>
      <c r="E9" s="15" t="n">
        <f aca="false">$C$2*(1+IF(E$3&lt;=$O$2,$D9,$D9-($D9-$I$6)*MIN(E$3-$O$2,$Q$2)/$Q$2))</f>
        <v>12527.375</v>
      </c>
      <c r="F9" s="15" t="n">
        <f aca="false">E9*(1+IF(F$3&lt;=$O$2,$D9,$D9-($D9-$I$6)*MIN(F$3-$O$2,$Q$2)/$Q$2))</f>
        <v>10961.453125</v>
      </c>
      <c r="G9" s="15" t="n">
        <f aca="false">F9*(1+IF(G$3&lt;=$O$2,$D9,$D9-($D9-$I$6)*MIN(G$3-$O$2,$Q$2)/$Q$2))</f>
        <v>9591.271484375</v>
      </c>
      <c r="H9" s="15" t="n">
        <f aca="false">G9*(1+IF(H$3&lt;=$O$2,$D9,$D9-($D9-$I$6)*MIN(H$3-$O$2,$Q$2)/$Q$2))</f>
        <v>8392.36254882813</v>
      </c>
      <c r="I9" s="15" t="n">
        <f aca="false">H9*(1+IF(I$3&lt;=$O$2,$D9,$D9-($D9-$I$6)*MIN(I$3-$O$2,$Q$2)/$Q$2))</f>
        <v>7343.31723022461</v>
      </c>
      <c r="J9" s="15" t="n">
        <f aca="false">I9*(1+IF(J$3&lt;=$O$2,$D9,$D9-($D9-$I$6)*MIN(J$3-$O$2,$Q$2)/$Q$2))</f>
        <v>6650.54868272522</v>
      </c>
      <c r="K9" s="15" t="n">
        <f aca="false">J9*(1+IF(K$3&lt;=$O$2,$D9,$D9-($D9-$I$6)*MIN(K$3-$O$2,$Q$2)/$Q$2))</f>
        <v>6227.04174260928</v>
      </c>
      <c r="L9" s="15" t="n">
        <f aca="false">K9*(1+IF(L$3&lt;=$O$2,$D9,$D9-($D9-$I$6)*MIN(L$3-$O$2,$Q$2)/$Q$2))</f>
        <v>6021.42482426832</v>
      </c>
      <c r="M9" s="15" t="n">
        <f aca="false">L9*(1+IF(M$3&lt;=$O$2,$D9,$D9-($D9-$I$6)*MIN(M$3-$O$2,$Q$2)/$Q$2))</f>
        <v>6007.21426168305</v>
      </c>
      <c r="N9" s="15" t="n">
        <f aca="false">M9*(1+IF(N$3&lt;=$O$2,$D9,$D9-($D9-$I$6)*MIN(N$3-$O$2,$Q$2)/$Q$2))</f>
        <v>6177.21842528868</v>
      </c>
      <c r="O9" s="15" t="n">
        <f aca="false">SUMPRODUCT(E9:N9,1/(1+$F$6)^$E$3:$N$3)*$E$2</f>
        <v>17528.4731991825</v>
      </c>
      <c r="P9" s="15" t="n">
        <f aca="false">N9*$E$2*(1+$I$6)/($F$6-$I$6)/(1+$F$6)^$N$3</f>
        <v>12592.924679288</v>
      </c>
      <c r="Q9" s="15" t="n">
        <f aca="false">O9+P9</f>
        <v>30121.3978784705</v>
      </c>
      <c r="R9" s="15" t="n">
        <f aca="false">Q9-$G$2+$I$2</f>
        <v>18501.3978784705</v>
      </c>
      <c r="S9" s="40" t="n">
        <f aca="false">R9/$K$2</f>
        <v>62.7655388216932</v>
      </c>
      <c r="T9" s="41" t="n">
        <f aca="false">S9-$M$2</f>
        <v>-347.215124068017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39" t="n">
        <f aca="false">(B10+C10)/2</f>
        <v>0.0625</v>
      </c>
      <c r="E10" s="15" t="n">
        <f aca="false">$C$2*(1+IF(E$3&lt;=$O$2,$D10,$D10-($D10-$I$6)*MIN(E$3-$O$2,$Q$2)/$Q$2))</f>
        <v>15211.8125</v>
      </c>
      <c r="F10" s="15" t="n">
        <f aca="false">E10*(1+IF(F$3&lt;=$O$2,$D10,$D10-($D10-$I$6)*MIN(F$3-$O$2,$Q$2)/$Q$2))</f>
        <v>16162.55078125</v>
      </c>
      <c r="G10" s="15" t="n">
        <f aca="false">F10*(1+IF(G$3&lt;=$O$2,$D10,$D10-($D10-$I$6)*MIN(G$3-$O$2,$Q$2)/$Q$2))</f>
        <v>17172.7102050781</v>
      </c>
      <c r="H10" s="15" t="n">
        <f aca="false">G10*(1+IF(H$3&lt;=$O$2,$D10,$D10-($D10-$I$6)*MIN(H$3-$O$2,$Q$2)/$Q$2))</f>
        <v>18246.0045928955</v>
      </c>
      <c r="I10" s="15" t="n">
        <f aca="false">H10*(1+IF(I$3&lt;=$O$2,$D10,$D10-($D10-$I$6)*MIN(I$3-$O$2,$Q$2)/$Q$2))</f>
        <v>19386.3798799515</v>
      </c>
      <c r="J10" s="15" t="n">
        <f aca="false">I10*(1+IF(J$3&lt;=$O$2,$D10,$D10-($D10-$I$6)*MIN(J$3-$O$2,$Q$2)/$Q$2))</f>
        <v>20465.4257840696</v>
      </c>
      <c r="K10" s="15" t="n">
        <f aca="false">J10*(1+IF(K$3&lt;=$O$2,$D10,$D10-($D10-$I$6)*MIN(K$3-$O$2,$Q$2)/$Q$2))</f>
        <v>21464.5478708479</v>
      </c>
      <c r="L10" s="15" t="n">
        <f aca="false">K10*(1+IF(L$3&lt;=$O$2,$D10,$D10-($D10-$I$6)*MIN(L$3-$O$2,$Q$2)/$Q$2))</f>
        <v>22365.629590466</v>
      </c>
      <c r="M10" s="15" t="n">
        <f aca="false">L10*(1+IF(M$3&lt;=$O$2,$D10,$D10-($D10-$I$6)*MIN(M$3-$O$2,$Q$2)/$Q$2))</f>
        <v>23151.557814275</v>
      </c>
      <c r="N10" s="15" t="n">
        <f aca="false">M10*(1+IF(N$3&lt;=$O$2,$D10,$D10-($D10-$I$6)*MIN(N$3-$O$2,$Q$2)/$Q$2))</f>
        <v>23806.746900419</v>
      </c>
      <c r="O10" s="15" t="n">
        <f aca="false">SUMPRODUCT(E10:N10,1/(1+$F$6)^$E$3:$N$3)*$E$2</f>
        <v>39032.2043643766</v>
      </c>
      <c r="P10" s="15" t="n">
        <f aca="false">N10*$E$2*(1+$I$6)/($F$6-$I$6)/(1+$F$6)^$N$3</f>
        <v>48532.6161284057</v>
      </c>
      <c r="Q10" s="15" t="n">
        <f aca="false">O10+P10</f>
        <v>87564.8204927823</v>
      </c>
      <c r="R10" s="15" t="n">
        <f aca="false">Q10-$G$2+$I$2</f>
        <v>75944.8204927823</v>
      </c>
      <c r="S10" s="40" t="n">
        <f aca="false">R10/$K$2</f>
        <v>257.640942065957</v>
      </c>
      <c r="T10" s="41" t="n">
        <f aca="false">S10-$M$2</f>
        <v>-152.339720823753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39" t="n">
        <f aca="false">(B11+C11)/2</f>
        <v>0.15625</v>
      </c>
      <c r="E11" s="15" t="n">
        <f aca="false">$C$2*(1+IF(E$3&lt;=$O$2,$D11,$D11-($D11-$I$6)*MIN(E$3-$O$2,$Q$2)/$Q$2))</f>
        <v>16554.03125</v>
      </c>
      <c r="F11" s="15" t="n">
        <f aca="false">E11*(1+IF(F$3&lt;=$O$2,$D11,$D11-($D11-$I$6)*MIN(F$3-$O$2,$Q$2)/$Q$2))</f>
        <v>19140.5986328125</v>
      </c>
      <c r="G11" s="15" t="n">
        <f aca="false">F11*(1+IF(G$3&lt;=$O$2,$D11,$D11-($D11-$I$6)*MIN(G$3-$O$2,$Q$2)/$Q$2))</f>
        <v>22131.3171691895</v>
      </c>
      <c r="H11" s="15" t="n">
        <f aca="false">G11*(1+IF(H$3&lt;=$O$2,$D11,$D11-($D11-$I$6)*MIN(H$3-$O$2,$Q$2)/$Q$2))</f>
        <v>25589.3354768753</v>
      </c>
      <c r="I11" s="15" t="n">
        <f aca="false">H11*(1+IF(I$3&lt;=$O$2,$D11,$D11-($D11-$I$6)*MIN(I$3-$O$2,$Q$2)/$Q$2))</f>
        <v>29587.6691451371</v>
      </c>
      <c r="J11" s="15" t="n">
        <f aca="false">I11*(1+IF(J$3&lt;=$O$2,$D11,$D11-($D11-$I$6)*MIN(J$3-$O$2,$Q$2)/$Q$2))</f>
        <v>33453.5939956407</v>
      </c>
      <c r="K11" s="15" t="n">
        <f aca="false">J11*(1+IF(K$3&lt;=$O$2,$D11,$D11-($D11-$I$6)*MIN(K$3-$O$2,$Q$2)/$Q$2))</f>
        <v>36968.5631167627</v>
      </c>
      <c r="L11" s="15" t="n">
        <f aca="false">K11*(1+IF(L$3&lt;=$O$2,$D11,$D11-($D11-$I$6)*MIN(L$3-$O$2,$Q$2)/$Q$2))</f>
        <v>39906.824513283</v>
      </c>
      <c r="M11" s="15" t="n">
        <f aca="false">L11*(1+IF(M$3&lt;=$O$2,$D11,$D11-($D11-$I$6)*MIN(M$3-$O$2,$Q$2)/$Q$2))</f>
        <v>42057.4032863038</v>
      </c>
      <c r="N11" s="15" t="n">
        <f aca="false">M11*(1+IF(N$3&lt;=$O$2,$D11,$D11-($D11-$I$6)*MIN(N$3-$O$2,$Q$2)/$Q$2))</f>
        <v>43247.6277993062</v>
      </c>
      <c r="O11" s="15" t="n">
        <f aca="false">SUMPRODUCT(E11:N11,1/(1+$F$6)^$E$3:$N$3)*$E$2</f>
        <v>58495.0018305552</v>
      </c>
      <c r="P11" s="15" t="n">
        <f aca="false">N11*$E$2*(1+$I$6)/($F$6-$I$6)/(1+$F$6)^$N$3</f>
        <v>88164.9444683662</v>
      </c>
      <c r="Q11" s="15" t="n">
        <f aca="false">O11+P11</f>
        <v>146659.946298921</v>
      </c>
      <c r="R11" s="15" t="n">
        <f aca="false">Q11-$G$2+$I$2</f>
        <v>135039.946298921</v>
      </c>
      <c r="S11" s="40" t="n">
        <f aca="false">R11/$K$2</f>
        <v>458.119707904201</v>
      </c>
      <c r="T11" s="41" t="n">
        <f aca="false">S11-$M$2</f>
        <v>48.1390450144908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39" t="n">
        <f aca="false">(B12+C12)/2</f>
        <v>0.109375</v>
      </c>
      <c r="E12" s="15" t="n">
        <f aca="false">$C$2*(1+IF(E$3&lt;=$O$2,$D12,$D12-($D12-$I$6)*MIN(E$3-$O$2,$Q$2)/$Q$2))</f>
        <v>15882.921875</v>
      </c>
      <c r="F12" s="15" t="n">
        <f aca="false">E12*(1+IF(F$3&lt;=$O$2,$D12,$D12-($D12-$I$6)*MIN(F$3-$O$2,$Q$2)/$Q$2))</f>
        <v>17620.1164550781</v>
      </c>
      <c r="G12" s="15" t="n">
        <f aca="false">F12*(1+IF(G$3&lt;=$O$2,$D12,$D12-($D12-$I$6)*MIN(G$3-$O$2,$Q$2)/$Q$2))</f>
        <v>19547.3166923523</v>
      </c>
      <c r="H12" s="15" t="n">
        <f aca="false">G12*(1+IF(H$3&lt;=$O$2,$D12,$D12-($D12-$I$6)*MIN(H$3-$O$2,$Q$2)/$Q$2))</f>
        <v>21685.3044555783</v>
      </c>
      <c r="I12" s="15" t="n">
        <f aca="false">H12*(1+IF(I$3&lt;=$O$2,$D12,$D12-($D12-$I$6)*MIN(I$3-$O$2,$Q$2)/$Q$2))</f>
        <v>24057.1346304072</v>
      </c>
      <c r="J12" s="15" t="n">
        <f aca="false">I12*(1+IF(J$3&lt;=$O$2,$D12,$D12-($D12-$I$6)*MIN(J$3-$O$2,$Q$2)/$Q$2))</f>
        <v>26298.2972925759</v>
      </c>
      <c r="K12" s="15" t="n">
        <f aca="false">J12*(1+IF(K$3&lt;=$O$2,$D12,$D12-($D12-$I$6)*MIN(K$3-$O$2,$Q$2)/$Q$2))</f>
        <v>28321.8197777532</v>
      </c>
      <c r="L12" s="15" t="n">
        <f aca="false">K12*(1+IF(L$3&lt;=$O$2,$D12,$D12-($D12-$I$6)*MIN(L$3-$O$2,$Q$2)/$Q$2))</f>
        <v>30041.8038928561</v>
      </c>
      <c r="M12" s="15" t="n">
        <f aca="false">L12*(1+IF(M$3&lt;=$O$2,$D12,$D12-($D12-$I$6)*MIN(M$3-$O$2,$Q$2)/$Q$2))</f>
        <v>31379.1147931466</v>
      </c>
      <c r="N12" s="15" t="n">
        <f aca="false">M12*(1+IF(N$3&lt;=$O$2,$D12,$D12-($D12-$I$6)*MIN(N$3-$O$2,$Q$2)/$Q$2))</f>
        <v>32267.1437417927</v>
      </c>
      <c r="O12" s="15" t="n">
        <f aca="false">SUMPRODUCT(E12:N12,1/(1+$F$6)^$E$3:$N$3)*$E$2</f>
        <v>47789.6417261288</v>
      </c>
      <c r="P12" s="15" t="n">
        <f aca="false">N12*$E$2*(1+$I$6)/($F$6-$I$6)/(1+$F$6)^$N$3</f>
        <v>65780.0457715182</v>
      </c>
      <c r="Q12" s="15" t="n">
        <f aca="false">O12+P12</f>
        <v>113569.687497647</v>
      </c>
      <c r="R12" s="15" t="n">
        <f aca="false">Q12-$G$2+$I$2</f>
        <v>101949.687497647</v>
      </c>
      <c r="S12" s="40" t="n">
        <f aca="false">R12/$K$2</f>
        <v>345.861815984147</v>
      </c>
      <c r="T12" s="41" t="n">
        <f aca="false">S12-$M$2</f>
        <v>-64.1188469055634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0.109375</v>
      </c>
      <c r="C13" s="25" t="n">
        <f aca="false">IF(T12&gt;0,D12,C12)</f>
        <v>0.15625</v>
      </c>
      <c r="D13" s="39" t="n">
        <f aca="false">(B13+C13)/2</f>
        <v>0.1328125</v>
      </c>
      <c r="E13" s="15" t="n">
        <f aca="false">$C$2*(1+IF(E$3&lt;=$O$2,$D13,$D13-($D13-$I$6)*MIN(E$3-$O$2,$Q$2)/$Q$2))</f>
        <v>16218.4765625</v>
      </c>
      <c r="F13" s="15" t="n">
        <f aca="false">E13*(1+IF(F$3&lt;=$O$2,$D13,$D13-($D13-$I$6)*MIN(F$3-$O$2,$Q$2)/$Q$2))</f>
        <v>18372.492980957</v>
      </c>
      <c r="G13" s="15" t="n">
        <f aca="false">F13*(1+IF(G$3&lt;=$O$2,$D13,$D13-($D13-$I$6)*MIN(G$3-$O$2,$Q$2)/$Q$2))</f>
        <v>20812.5897049904</v>
      </c>
      <c r="H13" s="15" t="n">
        <f aca="false">G13*(1+IF(H$3&lt;=$O$2,$D13,$D13-($D13-$I$6)*MIN(H$3-$O$2,$Q$2)/$Q$2))</f>
        <v>23576.7617751844</v>
      </c>
      <c r="I13" s="15" t="n">
        <f aca="false">H13*(1+IF(I$3&lt;=$O$2,$D13,$D13-($D13-$I$6)*MIN(I$3-$O$2,$Q$2)/$Q$2))</f>
        <v>26708.0504484511</v>
      </c>
      <c r="J13" s="15" t="n">
        <f aca="false">I13*(1+IF(J$3&lt;=$O$2,$D13,$D13-($D13-$I$6)*MIN(J$3-$O$2,$Q$2)/$Q$2))</f>
        <v>29696.9483741373</v>
      </c>
      <c r="K13" s="15" t="n">
        <f aca="false">J13*(1+IF(K$3&lt;=$O$2,$D13,$D13-($D13-$I$6)*MIN(K$3-$O$2,$Q$2)/$Q$2))</f>
        <v>32399.5934032966</v>
      </c>
      <c r="L13" s="15" t="n">
        <f aca="false">K13*(1+IF(L$3&lt;=$O$2,$D13,$D13-($D13-$I$6)*MIN(L$3-$O$2,$Q$2)/$Q$2))</f>
        <v>34670.9668988347</v>
      </c>
      <c r="M13" s="15" t="n">
        <f aca="false">L13*(1+IF(M$3&lt;=$O$2,$D13,$D13-($D13-$I$6)*MIN(M$3-$O$2,$Q$2)/$Q$2))</f>
        <v>36376.8651476746</v>
      </c>
      <c r="N13" s="15" t="n">
        <f aca="false">M13*(1+IF(N$3&lt;=$O$2,$D13,$D13-($D13-$I$6)*MIN(N$3-$O$2,$Q$2)/$Q$2))</f>
        <v>37406.3304313538</v>
      </c>
      <c r="O13" s="15" t="n">
        <f aca="false">SUMPRODUCT(E13:N13,1/(1+$F$6)^$E$3:$N$3)*$E$2</f>
        <v>52875.7761758018</v>
      </c>
      <c r="P13" s="15" t="n">
        <f aca="false">N13*$E$2*(1+$I$6)/($F$6-$I$6)/(1+$F$6)^$N$3</f>
        <v>76256.8310231937</v>
      </c>
      <c r="Q13" s="15" t="n">
        <f aca="false">O13+P13</f>
        <v>129132.607198996</v>
      </c>
      <c r="R13" s="15" t="n">
        <f aca="false">Q13-$G$2+$I$2</f>
        <v>117512.607198996</v>
      </c>
      <c r="S13" s="40" t="n">
        <f aca="false">R13/$K$2</f>
        <v>398.658639613921</v>
      </c>
      <c r="T13" s="41" t="n">
        <f aca="false">S13-$M$2</f>
        <v>-11.3220232757895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0.1328125</v>
      </c>
      <c r="C14" s="25" t="n">
        <f aca="false">IF(T13&gt;0,D13,C13)</f>
        <v>0.15625</v>
      </c>
      <c r="D14" s="39" t="n">
        <f aca="false">(B14+C14)/2</f>
        <v>0.14453125</v>
      </c>
      <c r="E14" s="15" t="n">
        <f aca="false">$C$2*(1+IF(E$3&lt;=$O$2,$D14,$D14-($D14-$I$6)*MIN(E$3-$O$2,$Q$2)/$Q$2))</f>
        <v>16386.25390625</v>
      </c>
      <c r="F14" s="15" t="n">
        <f aca="false">E14*(1+IF(F$3&lt;=$O$2,$D14,$D14-($D14-$I$6)*MIN(F$3-$O$2,$Q$2)/$Q$2))</f>
        <v>18754.5796661377</v>
      </c>
      <c r="G14" s="15" t="n">
        <f aca="false">F14*(1+IF(G$3&lt;=$O$2,$D14,$D14-($D14-$I$6)*MIN(G$3-$O$2,$Q$2)/$Q$2))</f>
        <v>21465.2025085092</v>
      </c>
      <c r="H14" s="15" t="n">
        <f aca="false">G14*(1+IF(H$3&lt;=$O$2,$D14,$D14-($D14-$I$6)*MIN(H$3-$O$2,$Q$2)/$Q$2))</f>
        <v>24567.5950585671</v>
      </c>
      <c r="I14" s="15" t="n">
        <f aca="false">H14*(1+IF(I$3&lt;=$O$2,$D14,$D14-($D14-$I$6)*MIN(I$3-$O$2,$Q$2)/$Q$2))</f>
        <v>28118.3802818757</v>
      </c>
      <c r="J14" s="15" t="n">
        <f aca="false">I14*(1+IF(J$3&lt;=$O$2,$D14,$D14-($D14-$I$6)*MIN(J$3-$O$2,$Q$2)/$Q$2))</f>
        <v>31528.7180343629</v>
      </c>
      <c r="K14" s="15" t="n">
        <f aca="false">J14*(1+IF(K$3&lt;=$O$2,$D14,$D14-($D14-$I$6)*MIN(K$3-$O$2,$Q$2)/$Q$2))</f>
        <v>34619.7541395543</v>
      </c>
      <c r="L14" s="15" t="n">
        <f aca="false">K14*(1+IF(L$3&lt;=$O$2,$D14,$D14-($D14-$I$6)*MIN(L$3-$O$2,$Q$2)/$Q$2))</f>
        <v>37209.052101037</v>
      </c>
      <c r="M14" s="15" t="n">
        <f aca="false">L14*(1+IF(M$3&lt;=$O$2,$D14,$D14-($D14-$I$6)*MIN(M$3-$O$2,$Q$2)/$Q$2))</f>
        <v>39127.0392029</v>
      </c>
      <c r="N14" s="15" t="n">
        <f aca="false">M14*(1+IF(N$3&lt;=$O$2,$D14,$D14-($D14-$I$6)*MIN(N$3-$O$2,$Q$2)/$Q$2))</f>
        <v>40234.3344123421</v>
      </c>
      <c r="O14" s="15" t="n">
        <f aca="false">SUMPRODUCT(E14:N14,1/(1+$F$6)^$E$3:$N$3)*$E$2</f>
        <v>55615.6651615303</v>
      </c>
      <c r="P14" s="15" t="n">
        <f aca="false">N14*$E$2*(1+$I$6)/($F$6-$I$6)/(1+$F$6)^$N$3</f>
        <v>82022.0215464102</v>
      </c>
      <c r="Q14" s="15" t="n">
        <f aca="false">O14+P14</f>
        <v>137637.686707941</v>
      </c>
      <c r="R14" s="15" t="n">
        <f aca="false">Q14-$G$2+$I$2</f>
        <v>126017.686707941</v>
      </c>
      <c r="S14" s="40" t="n">
        <f aca="false">R14/$K$2</f>
        <v>427.511913383114</v>
      </c>
      <c r="T14" s="41" t="n">
        <f aca="false">S14-$M$2</f>
        <v>17.5312504934035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0.1328125</v>
      </c>
      <c r="C15" s="25" t="n">
        <f aca="false">IF(T14&gt;0,D14,C14)</f>
        <v>0.14453125</v>
      </c>
      <c r="D15" s="39" t="n">
        <f aca="false">(B15+C15)/2</f>
        <v>0.138671875</v>
      </c>
      <c r="E15" s="15" t="n">
        <f aca="false">$C$2*(1+IF(E$3&lt;=$O$2,$D15,$D15-($D15-$I$6)*MIN(E$3-$O$2,$Q$2)/$Q$2))</f>
        <v>16302.365234375</v>
      </c>
      <c r="F15" s="15" t="n">
        <f aca="false">E15*(1+IF(F$3&lt;=$O$2,$D15,$D15-($D15-$I$6)*MIN(F$3-$O$2,$Q$2)/$Q$2))</f>
        <v>18563.0447883606</v>
      </c>
      <c r="G15" s="15" t="n">
        <f aca="false">F15*(1+IF(G$3&lt;=$O$2,$D15,$D15-($D15-$I$6)*MIN(G$3-$O$2,$Q$2)/$Q$2))</f>
        <v>21137.2170148715</v>
      </c>
      <c r="H15" s="15" t="n">
        <f aca="false">G15*(1+IF(H$3&lt;=$O$2,$D15,$D15-($D15-$I$6)*MIN(H$3-$O$2,$Q$2)/$Q$2))</f>
        <v>24068.3545306057</v>
      </c>
      <c r="I15" s="15" t="n">
        <f aca="false">H15*(1+IF(I$3&lt;=$O$2,$D15,$D15-($D15-$I$6)*MIN(I$3-$O$2,$Q$2)/$Q$2))</f>
        <v>27405.9583815295</v>
      </c>
      <c r="J15" s="15" t="n">
        <f aca="false">I15*(1+IF(J$3&lt;=$O$2,$D15,$D15-($D15-$I$6)*MIN(J$3-$O$2,$Q$2)/$Q$2))</f>
        <v>30601.4246139199</v>
      </c>
      <c r="K15" s="15" t="n">
        <f aca="false">J15*(1+IF(K$3&lt;=$O$2,$D15,$D15-($D15-$I$6)*MIN(K$3-$O$2,$Q$2)/$Q$2))</f>
        <v>33493.9668978795</v>
      </c>
      <c r="L15" s="15" t="n">
        <f aca="false">K15*(1+IF(L$3&lt;=$O$2,$D15,$D15-($D15-$I$6)*MIN(L$3-$O$2,$Q$2)/$Q$2))</f>
        <v>35920.5629321723</v>
      </c>
      <c r="M15" s="15" t="n">
        <f aca="false">L15*(1+IF(M$3&lt;=$O$2,$D15,$D15-($D15-$I$6)*MIN(M$3-$O$2,$Q$2)/$Q$2))</f>
        <v>37730.0388395286</v>
      </c>
      <c r="N15" s="15" t="n">
        <f aca="false">M15*(1+IF(N$3&lt;=$O$2,$D15,$D15-($D15-$I$6)*MIN(N$3-$O$2,$Q$2)/$Q$2))</f>
        <v>38797.7989386873</v>
      </c>
      <c r="O15" s="15" t="n">
        <f aca="false">SUMPRODUCT(E15:N15,1/(1+$F$6)^$E$3:$N$3)*$E$2</f>
        <v>54228.6852093305</v>
      </c>
      <c r="P15" s="15" t="n">
        <f aca="false">N15*$E$2*(1+$I$6)/($F$6-$I$6)/(1+$F$6)^$N$3</f>
        <v>79093.4893538619</v>
      </c>
      <c r="Q15" s="15" t="n">
        <f aca="false">O15+P15</f>
        <v>133322.174563192</v>
      </c>
      <c r="R15" s="15" t="n">
        <f aca="false">Q15-$G$2+$I$2</f>
        <v>121702.174563192</v>
      </c>
      <c r="S15" s="40" t="n">
        <f aca="false">R15/$K$2</f>
        <v>412.871644208001</v>
      </c>
      <c r="T15" s="41" t="n">
        <f aca="false">S15-$M$2</f>
        <v>2.8909813182903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0.1328125</v>
      </c>
      <c r="C16" s="25" t="n">
        <f aca="false">IF(T15&gt;0,D15,C15)</f>
        <v>0.138671875</v>
      </c>
      <c r="D16" s="39" t="n">
        <f aca="false">(B16+C16)/2</f>
        <v>0.1357421875</v>
      </c>
      <c r="E16" s="15" t="n">
        <f aca="false">$C$2*(1+IF(E$3&lt;=$O$2,$D16,$D16-($D16-$I$6)*MIN(E$3-$O$2,$Q$2)/$Q$2))</f>
        <v>16260.4208984375</v>
      </c>
      <c r="F16" s="15" t="n">
        <f aca="false">E16*(1+IF(F$3&lt;=$O$2,$D16,$D16-($D16-$I$6)*MIN(F$3-$O$2,$Q$2)/$Q$2))</f>
        <v>18467.6460008621</v>
      </c>
      <c r="G16" s="15" t="n">
        <f aca="false">F16*(1+IF(G$3&lt;=$O$2,$D16,$D16-($D16-$I$6)*MIN(G$3-$O$2,$Q$2)/$Q$2))</f>
        <v>20974.4846669948</v>
      </c>
      <c r="H16" s="15" t="n">
        <f aca="false">G16*(1+IF(H$3&lt;=$O$2,$D16,$D16-($D16-$I$6)*MIN(H$3-$O$2,$Q$2)/$Q$2))</f>
        <v>23821.6070973779</v>
      </c>
      <c r="I16" s="15" t="n">
        <f aca="false">H16*(1+IF(I$3&lt;=$O$2,$D16,$D16-($D16-$I$6)*MIN(I$3-$O$2,$Q$2)/$Q$2))</f>
        <v>27055.2041545414</v>
      </c>
      <c r="J16" s="15" t="n">
        <f aca="false">I16*(1+IF(J$3&lt;=$O$2,$D16,$D16-($D16-$I$6)*MIN(J$3-$O$2,$Q$2)/$Q$2))</f>
        <v>30146.3626862134</v>
      </c>
      <c r="K16" s="15" t="n">
        <f aca="false">J16*(1+IF(K$3&lt;=$O$2,$D16,$D16-($D16-$I$6)*MIN(K$3-$O$2,$Q$2)/$Q$2))</f>
        <v>32942.8994415383</v>
      </c>
      <c r="L16" s="15" t="n">
        <f aca="false">K16*(1+IF(L$3&lt;=$O$2,$D16,$D16-($D16-$I$6)*MIN(L$3-$O$2,$Q$2)/$Q$2))</f>
        <v>35290.9663671704</v>
      </c>
      <c r="M16" s="15" t="n">
        <f aca="false">L16*(1+IF(M$3&lt;=$O$2,$D16,$D16-($D16-$I$6)*MIN(M$3-$O$2,$Q$2)/$Q$2))</f>
        <v>37048.0484404569</v>
      </c>
      <c r="N16" s="15" t="n">
        <f aca="false">M16*(1+IF(N$3&lt;=$O$2,$D16,$D16-($D16-$I$6)*MIN(N$3-$O$2,$Q$2)/$Q$2))</f>
        <v>38096.5082113218</v>
      </c>
      <c r="O16" s="15" t="n">
        <f aca="false">SUMPRODUCT(E16:N16,1/(1+$F$6)^$E$3:$N$3)*$E$2</f>
        <v>53548.0204156136</v>
      </c>
      <c r="P16" s="15" t="n">
        <f aca="false">N16*$E$2*(1+$I$6)/($F$6-$I$6)/(1+$F$6)^$N$3</f>
        <v>77663.8327187909</v>
      </c>
      <c r="Q16" s="15" t="n">
        <f aca="false">O16+P16</f>
        <v>131211.853134405</v>
      </c>
      <c r="R16" s="15" t="n">
        <f aca="false">Q16-$G$2+$I$2</f>
        <v>119591.853134405</v>
      </c>
      <c r="S16" s="40" t="n">
        <f aca="false">R16/$K$2</f>
        <v>405.712430486157</v>
      </c>
      <c r="T16" s="41" t="n">
        <f aca="false">S16-$M$2</f>
        <v>-4.2682324035535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0.1357421875</v>
      </c>
      <c r="C17" s="25" t="n">
        <f aca="false">IF(T16&gt;0,D16,C16)</f>
        <v>0.138671875</v>
      </c>
      <c r="D17" s="39" t="n">
        <f aca="false">(B17+C17)/2</f>
        <v>0.13720703125</v>
      </c>
      <c r="E17" s="15" t="n">
        <f aca="false">$C$2*(1+IF(E$3&lt;=$O$2,$D17,$D17-($D17-$I$6)*MIN(E$3-$O$2,$Q$2)/$Q$2))</f>
        <v>16281.3930664063</v>
      </c>
      <c r="F17" s="15" t="n">
        <f aca="false">E17*(1+IF(F$3&lt;=$O$2,$D17,$D17-($D17-$I$6)*MIN(F$3-$O$2,$Q$2)/$Q$2))</f>
        <v>18515.3146736622</v>
      </c>
      <c r="G17" s="15" t="n">
        <f aca="false">F17*(1+IF(G$3&lt;=$O$2,$D17,$D17-($D17-$I$6)*MIN(G$3-$O$2,$Q$2)/$Q$2))</f>
        <v>21055.7460326949</v>
      </c>
      <c r="H17" s="15" t="n">
        <f aca="false">G17*(1+IF(H$3&lt;=$O$2,$D17,$D17-($D17-$I$6)*MIN(H$3-$O$2,$Q$2)/$Q$2))</f>
        <v>23944.742436595</v>
      </c>
      <c r="I17" s="15" t="n">
        <f aca="false">H17*(1+IF(I$3&lt;=$O$2,$D17,$D17-($D17-$I$6)*MIN(I$3-$O$2,$Q$2)/$Q$2))</f>
        <v>27230.1294603661</v>
      </c>
      <c r="J17" s="15" t="n">
        <f aca="false">I17*(1+IF(J$3&lt;=$O$2,$D17,$D17-($D17-$I$6)*MIN(J$3-$O$2,$Q$2)/$Q$2))</f>
        <v>30373.1841721597</v>
      </c>
      <c r="K17" s="15" t="n">
        <f aca="false">J17*(1+IF(K$3&lt;=$O$2,$D17,$D17-($D17-$I$6)*MIN(K$3-$O$2,$Q$2)/$Q$2))</f>
        <v>33217.4572749115</v>
      </c>
      <c r="L17" s="15" t="n">
        <f aca="false">K17*(1+IF(L$3&lt;=$O$2,$D17,$D17-($D17-$I$6)*MIN(L$3-$O$2,$Q$2)/$Q$2))</f>
        <v>35604.5571787852</v>
      </c>
      <c r="M17" s="15" t="n">
        <f aca="false">L17*(1+IF(M$3&lt;=$O$2,$D17,$D17-($D17-$I$6)*MIN(M$3-$O$2,$Q$2)/$Q$2))</f>
        <v>37387.6834712073</v>
      </c>
      <c r="N17" s="15" t="n">
        <f aca="false">M17*(1+IF(N$3&lt;=$O$2,$D17,$D17-($D17-$I$6)*MIN(N$3-$O$2,$Q$2)/$Q$2))</f>
        <v>38445.7549134425</v>
      </c>
      <c r="O17" s="15" t="n">
        <f aca="false">SUMPRODUCT(E17:N17,1/(1+$F$6)^$E$3:$N$3)*$E$2</f>
        <v>53887.2942072838</v>
      </c>
      <c r="P17" s="15" t="n">
        <f aca="false">N17*$E$2*(1+$I$6)/($F$6-$I$6)/(1+$F$6)^$N$3</f>
        <v>78375.8097141794</v>
      </c>
      <c r="Q17" s="15" t="n">
        <f aca="false">O17+P17</f>
        <v>132263.103921463</v>
      </c>
      <c r="R17" s="15" t="n">
        <f aca="false">Q17-$G$2+$I$2</f>
        <v>120643.103921463</v>
      </c>
      <c r="S17" s="40" t="n">
        <f aca="false">R17/$K$2</f>
        <v>409.278773014429</v>
      </c>
      <c r="T17" s="41" t="n">
        <f aca="false">S17-$M$2</f>
        <v>-0.701889875281779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0.13720703125</v>
      </c>
      <c r="C18" s="25" t="n">
        <f aca="false">IF(T17&gt;0,D17,C17)</f>
        <v>0.138671875</v>
      </c>
      <c r="D18" s="39" t="n">
        <f aca="false">(B18+C18)/2</f>
        <v>0.137939453125</v>
      </c>
      <c r="E18" s="15" t="n">
        <f aca="false">$C$2*(1+IF(E$3&lt;=$O$2,$D18,$D18-($D18-$I$6)*MIN(E$3-$O$2,$Q$2)/$Q$2))</f>
        <v>16291.8791503906</v>
      </c>
      <c r="F18" s="15" t="n">
        <f aca="false">E18*(1+IF(F$3&lt;=$O$2,$D18,$D18-($D18-$I$6)*MIN(F$3-$O$2,$Q$2)/$Q$2))</f>
        <v>18539.1720507741</v>
      </c>
      <c r="G18" s="15" t="n">
        <f aca="false">F18*(1+IF(G$3&lt;=$O$2,$D18,$D18-($D18-$I$6)*MIN(G$3-$O$2,$Q$2)/$Q$2))</f>
        <v>21096.4553048482</v>
      </c>
      <c r="H18" s="15" t="n">
        <f aca="false">G18*(1+IF(H$3&lt;=$O$2,$D18,$D18-($D18-$I$6)*MIN(H$3-$O$2,$Q$2)/$Q$2))</f>
        <v>24006.4888124749</v>
      </c>
      <c r="I18" s="15" t="n">
        <f aca="false">H18*(1+IF(I$3&lt;=$O$2,$D18,$D18-($D18-$I$6)*MIN(I$3-$O$2,$Q$2)/$Q$2))</f>
        <v>27317.9307507191</v>
      </c>
      <c r="J18" s="15" t="n">
        <f aca="false">I18*(1+IF(J$3&lt;=$O$2,$D18,$D18-($D18-$I$6)*MIN(J$3-$O$2,$Q$2)/$Q$2))</f>
        <v>30487.1265813769</v>
      </c>
      <c r="K18" s="15" t="n">
        <f aca="false">J18*(1+IF(K$3&lt;=$O$2,$D18,$D18-($D18-$I$6)*MIN(K$3-$O$2,$Q$2)/$Q$2))</f>
        <v>33355.4673950707</v>
      </c>
      <c r="L18" s="15" t="n">
        <f aca="false">K18*(1+IF(L$3&lt;=$O$2,$D18,$D18-($D18-$I$6)*MIN(L$3-$O$2,$Q$2)/$Q$2))</f>
        <v>35762.257203921</v>
      </c>
      <c r="M18" s="15" t="n">
        <f aca="false">L18*(1+IF(M$3&lt;=$O$2,$D18,$D18-($D18-$I$6)*MIN(M$3-$O$2,$Q$2)/$Q$2))</f>
        <v>37558.5199472626</v>
      </c>
      <c r="N18" s="15" t="n">
        <f aca="false">M18*(1+IF(N$3&lt;=$O$2,$D18,$D18-($D18-$I$6)*MIN(N$3-$O$2,$Q$2)/$Q$2))</f>
        <v>38621.4260617701</v>
      </c>
      <c r="O18" s="15" t="n">
        <f aca="false">SUMPRODUCT(E18:N18,1/(1+$F$6)^$E$3:$N$3)*$E$2</f>
        <v>54057.724299244</v>
      </c>
      <c r="P18" s="15" t="n">
        <f aca="false">N18*$E$2*(1+$I$6)/($F$6-$I$6)/(1+$F$6)^$N$3</f>
        <v>78733.9342593886</v>
      </c>
      <c r="Q18" s="15" t="n">
        <f aca="false">O18+P18</f>
        <v>132791.658558633</v>
      </c>
      <c r="R18" s="15" t="n">
        <f aca="false">Q18-$G$2+$I$2</f>
        <v>121171.658558633</v>
      </c>
      <c r="S18" s="40" t="n">
        <f aca="false">R18/$K$2</f>
        <v>411.071881665816</v>
      </c>
      <c r="T18" s="41" t="n">
        <f aca="false">S18-$M$2</f>
        <v>1.09121877610562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0.13720703125</v>
      </c>
      <c r="C19" s="25" t="n">
        <f aca="false">IF(T18&gt;0,D18,C18)</f>
        <v>0.137939453125</v>
      </c>
      <c r="D19" s="39" t="n">
        <f aca="false">(B19+C19)/2</f>
        <v>0.1375732421875</v>
      </c>
      <c r="E19" s="15" t="n">
        <f aca="false">$C$2*(1+IF(E$3&lt;=$O$2,$D19,$D19-($D19-$I$6)*MIN(E$3-$O$2,$Q$2)/$Q$2))</f>
        <v>16286.6361083984</v>
      </c>
      <c r="F19" s="15" t="n">
        <f aca="false">E19*(1+IF(F$3&lt;=$O$2,$D19,$D19-($D19-$I$6)*MIN(F$3-$O$2,$Q$2)/$Q$2))</f>
        <v>18527.2414421588</v>
      </c>
      <c r="G19" s="15" t="n">
        <f aca="false">F19*(1+IF(G$3&lt;=$O$2,$D19,$D19-($D19-$I$6)*MIN(G$3-$O$2,$Q$2)/$Q$2))</f>
        <v>21076.0941161472</v>
      </c>
      <c r="H19" s="15" t="n">
        <f aca="false">G19*(1+IF(H$3&lt;=$O$2,$D19,$D19-($D19-$I$6)*MIN(H$3-$O$2,$Q$2)/$Q$2))</f>
        <v>23975.6007163545</v>
      </c>
      <c r="I19" s="15" t="n">
        <f aca="false">H19*(1+IF(I$3&lt;=$O$2,$D19,$D19-($D19-$I$6)*MIN(I$3-$O$2,$Q$2)/$Q$2))</f>
        <v>27274.0018402963</v>
      </c>
      <c r="J19" s="15" t="n">
        <f aca="false">I19*(1+IF(J$3&lt;=$O$2,$D19,$D19-($D19-$I$6)*MIN(J$3-$O$2,$Q$2)/$Q$2))</f>
        <v>30430.1109791903</v>
      </c>
      <c r="K19" s="15" t="n">
        <f aca="false">J19*(1+IF(K$3&lt;=$O$2,$D19,$D19-($D19-$I$6)*MIN(K$3-$O$2,$Q$2)/$Q$2))</f>
        <v>33286.4012519944</v>
      </c>
      <c r="L19" s="15" t="n">
        <f aca="false">K19*(1+IF(L$3&lt;=$O$2,$D19,$D19-($D19-$I$6)*MIN(L$3-$O$2,$Q$2)/$Q$2))</f>
        <v>35683.3316016496</v>
      </c>
      <c r="M19" s="15" t="n">
        <f aca="false">L19*(1+IF(M$3&lt;=$O$2,$D19,$D19-($D19-$I$6)*MIN(M$3-$O$2,$Q$2)/$Q$2))</f>
        <v>37473.0165532091</v>
      </c>
      <c r="N19" s="15" t="n">
        <f aca="false">M19*(1+IF(N$3&lt;=$O$2,$D19,$D19-($D19-$I$6)*MIN(N$3-$O$2,$Q$2)/$Q$2))</f>
        <v>38533.5029216649</v>
      </c>
      <c r="O19" s="15" t="n">
        <f aca="false">SUMPRODUCT(E19:N19,1/(1+$F$6)^$E$3:$N$3)*$E$2</f>
        <v>53972.4429958653</v>
      </c>
      <c r="P19" s="15" t="n">
        <f aca="false">N19*$E$2*(1+$I$6)/($F$6-$I$6)/(1+$F$6)^$N$3</f>
        <v>78554.6934741867</v>
      </c>
      <c r="Q19" s="15" t="n">
        <f aca="false">O19+P19</f>
        <v>132527.136470052</v>
      </c>
      <c r="R19" s="15" t="n">
        <f aca="false">Q19-$G$2+$I$2</f>
        <v>120907.136470052</v>
      </c>
      <c r="S19" s="40" t="n">
        <f aca="false">R19/$K$2</f>
        <v>410.174496963911</v>
      </c>
      <c r="T19" s="41" t="n">
        <f aca="false">S19-$M$2</f>
        <v>0.193834074200538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0.13720703125</v>
      </c>
      <c r="C20" s="25" t="n">
        <f aca="false">IF(T19&gt;0,D19,C19)</f>
        <v>0.1375732421875</v>
      </c>
      <c r="D20" s="39" t="n">
        <f aca="false">(B20+C20)/2</f>
        <v>0.13739013671875</v>
      </c>
      <c r="E20" s="15" t="n">
        <f aca="false">$C$2*(1+IF(E$3&lt;=$O$2,$D20,$D20-($D20-$I$6)*MIN(E$3-$O$2,$Q$2)/$Q$2))</f>
        <v>16284.0145874023</v>
      </c>
      <c r="F20" s="15" t="n">
        <f aca="false">E20*(1+IF(F$3&lt;=$O$2,$D20,$D20-($D20-$I$6)*MIN(F$3-$O$2,$Q$2)/$Q$2))</f>
        <v>18521.2775778957</v>
      </c>
      <c r="G20" s="15" t="n">
        <f aca="false">F20*(1+IF(G$3&lt;=$O$2,$D20,$D20-($D20-$I$6)*MIN(G$3-$O$2,$Q$2)/$Q$2))</f>
        <v>21065.9184365287</v>
      </c>
      <c r="H20" s="15" t="n">
        <f aca="false">G20*(1+IF(H$3&lt;=$O$2,$D20,$D20-($D20-$I$6)*MIN(H$3-$O$2,$Q$2)/$Q$2))</f>
        <v>23960.1678506294</v>
      </c>
      <c r="I20" s="15" t="n">
        <f aca="false">H20*(1+IF(I$3&lt;=$O$2,$D20,$D20-($D20-$I$6)*MIN(I$3-$O$2,$Q$2)/$Q$2))</f>
        <v>27252.0585874316</v>
      </c>
      <c r="J20" s="15" t="n">
        <f aca="false">I20*(1+IF(J$3&lt;=$O$2,$D20,$D20-($D20-$I$6)*MIN(J$3-$O$2,$Q$2)/$Q$2))</f>
        <v>30401.6364831921</v>
      </c>
      <c r="K20" s="15" t="n">
        <f aca="false">J20*(1+IF(K$3&lt;=$O$2,$D20,$D20-($D20-$I$6)*MIN(K$3-$O$2,$Q$2)/$Q$2))</f>
        <v>33251.9140039215</v>
      </c>
      <c r="L20" s="15" t="n">
        <f aca="false">K20*(1+IF(L$3&lt;=$O$2,$D20,$D20-($D20-$I$6)*MIN(L$3-$O$2,$Q$2)/$Q$2))</f>
        <v>35643.9255081717</v>
      </c>
      <c r="M20" s="15" t="n">
        <f aca="false">L20*(1+IF(M$3&lt;=$O$2,$D20,$D20-($D20-$I$6)*MIN(M$3-$O$2,$Q$2)/$Q$2))</f>
        <v>37430.3287414288</v>
      </c>
      <c r="N20" s="15" t="n">
        <f aca="false">M20*(1+IF(N$3&lt;=$O$2,$D20,$D20-($D20-$I$6)*MIN(N$3-$O$2,$Q$2)/$Q$2))</f>
        <v>38489.6070448113</v>
      </c>
      <c r="O20" s="15" t="n">
        <f aca="false">SUMPRODUCT(E20:N20,1/(1+$F$6)^$E$3:$N$3)*$E$2</f>
        <v>53929.8520490705</v>
      </c>
      <c r="P20" s="15" t="n">
        <f aca="false">N20*$E$2*(1+$I$6)/($F$6-$I$6)/(1+$F$6)^$N$3</f>
        <v>78465.2070042433</v>
      </c>
      <c r="Q20" s="15" t="n">
        <f aca="false">O20+P20</f>
        <v>132395.059053314</v>
      </c>
      <c r="R20" s="15" t="n">
        <f aca="false">Q20-$G$2+$I$2</f>
        <v>120775.059053314</v>
      </c>
      <c r="S20" s="40" t="n">
        <f aca="false">R20/$K$2</f>
        <v>409.726427564928</v>
      </c>
      <c r="T20" s="41" t="n">
        <f aca="false">S20-$M$2</f>
        <v>-0.254235324782826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0.13739013671875</v>
      </c>
      <c r="C21" s="25" t="n">
        <f aca="false">IF(T20&gt;0,D20,C20)</f>
        <v>0.1375732421875</v>
      </c>
      <c r="D21" s="39" t="n">
        <f aca="false">(B21+C21)/2</f>
        <v>0.137481689453125</v>
      </c>
      <c r="E21" s="15" t="n">
        <f aca="false">$C$2*(1+IF(E$3&lt;=$O$2,$D21,$D21-($D21-$I$6)*MIN(E$3-$O$2,$Q$2)/$Q$2))</f>
        <v>16285.3253479004</v>
      </c>
      <c r="F21" s="15" t="n">
        <f aca="false">E21*(1+IF(F$3&lt;=$O$2,$D21,$D21-($D21-$I$6)*MIN(F$3-$O$2,$Q$2)/$Q$2))</f>
        <v>18524.2593900235</v>
      </c>
      <c r="G21" s="15" t="n">
        <f aca="false">F21*(1+IF(G$3&lt;=$O$2,$D21,$D21-($D21-$I$6)*MIN(G$3-$O$2,$Q$2)/$Q$2))</f>
        <v>21071.0058668319</v>
      </c>
      <c r="H21" s="15" t="n">
        <f aca="false">G21*(1+IF(H$3&lt;=$O$2,$D21,$D21-($D21-$I$6)*MIN(H$3-$O$2,$Q$2)/$Q$2))</f>
        <v>23967.8833518806</v>
      </c>
      <c r="I21" s="15" t="n">
        <f aca="false">H21*(1+IF(I$3&lt;=$O$2,$D21,$D21-($D21-$I$6)*MIN(I$3-$O$2,$Q$2)/$Q$2))</f>
        <v>27263.0284477126</v>
      </c>
      <c r="J21" s="15" t="n">
        <f aca="false">I21*(1+IF(J$3&lt;=$O$2,$D21,$D21-($D21-$I$6)*MIN(J$3-$O$2,$Q$2)/$Q$2))</f>
        <v>30415.8709572068</v>
      </c>
      <c r="K21" s="15" t="n">
        <f aca="false">J21*(1+IF(K$3&lt;=$O$2,$D21,$D21-($D21-$I$6)*MIN(K$3-$O$2,$Q$2)/$Q$2))</f>
        <v>33269.1538116734</v>
      </c>
      <c r="L21" s="15" t="n">
        <f aca="false">K21*(1+IF(L$3&lt;=$O$2,$D21,$D21-($D21-$I$6)*MIN(L$3-$O$2,$Q$2)/$Q$2))</f>
        <v>35663.6238324775</v>
      </c>
      <c r="M21" s="15" t="n">
        <f aca="false">L21*(1+IF(M$3&lt;=$O$2,$D21,$D21-($D21-$I$6)*MIN(M$3-$O$2,$Q$2)/$Q$2))</f>
        <v>37451.6673273467</v>
      </c>
      <c r="N21" s="15" t="n">
        <f aca="false">M21*(1+IF(N$3&lt;=$O$2,$D21,$D21-($D21-$I$6)*MIN(N$3-$O$2,$Q$2)/$Q$2))</f>
        <v>38511.5495127106</v>
      </c>
      <c r="O21" s="15" t="n">
        <f aca="false">SUMPRODUCT(E21:N21,1/(1+$F$6)^$E$3:$N$3)*$E$2</f>
        <v>53951.1433828618</v>
      </c>
      <c r="P21" s="15" t="n">
        <f aca="false">N21*$E$2*(1+$I$6)/($F$6-$I$6)/(1+$F$6)^$N$3</f>
        <v>78509.939086956</v>
      </c>
      <c r="Q21" s="15" t="n">
        <f aca="false">O21+P21</f>
        <v>132461.082469818</v>
      </c>
      <c r="R21" s="15" t="n">
        <f aca="false">Q21-$G$2+$I$2</f>
        <v>120841.082469818</v>
      </c>
      <c r="S21" s="40" t="n">
        <f aca="false">R21/$K$2</f>
        <v>409.950410387142</v>
      </c>
      <c r="T21" s="41" t="n">
        <f aca="false">S21-$M$2</f>
        <v>-0.0302525025687714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0.137481689453125</v>
      </c>
      <c r="C22" s="25" t="n">
        <f aca="false">IF(T21&gt;0,D21,C21)</f>
        <v>0.1375732421875</v>
      </c>
      <c r="D22" s="39" t="n">
        <f aca="false">(B22+C22)/2</f>
        <v>0.137527465820313</v>
      </c>
      <c r="E22" s="15" t="n">
        <f aca="false">$C$2*(1+IF(E$3&lt;=$O$2,$D22,$D22-($D22-$I$6)*MIN(E$3-$O$2,$Q$2)/$Q$2))</f>
        <v>16285.9807281494</v>
      </c>
      <c r="F22" s="15" t="n">
        <f aca="false">E22*(1+IF(F$3&lt;=$O$2,$D22,$D22-($D22-$I$6)*MIN(F$3-$O$2,$Q$2)/$Q$2))</f>
        <v>18525.7503860903</v>
      </c>
      <c r="G22" s="15" t="n">
        <f aca="false">F22*(1+IF(G$3&lt;=$O$2,$D22,$D22-($D22-$I$6)*MIN(G$3-$O$2,$Q$2)/$Q$2))</f>
        <v>21073.5498891089</v>
      </c>
      <c r="H22" s="15" t="n">
        <f aca="false">G22*(1+IF(H$3&lt;=$O$2,$D22,$D22-($D22-$I$6)*MIN(H$3-$O$2,$Q$2)/$Q$2))</f>
        <v>23971.741801196</v>
      </c>
      <c r="I22" s="15" t="n">
        <f aca="false">H22*(1+IF(I$3&lt;=$O$2,$D22,$D22-($D22-$I$6)*MIN(I$3-$O$2,$Q$2)/$Q$2))</f>
        <v>27268.5147024133</v>
      </c>
      <c r="J22" s="15" t="n">
        <f aca="false">I22*(1+IF(J$3&lt;=$O$2,$D22,$D22-($D22-$I$6)*MIN(J$3-$O$2,$Q$2)/$Q$2))</f>
        <v>30422.9902745945</v>
      </c>
      <c r="K22" s="15" t="n">
        <f aca="false">J22*(1+IF(K$3&lt;=$O$2,$D22,$D22-($D22-$I$6)*MIN(K$3-$O$2,$Q$2)/$Q$2))</f>
        <v>33277.7765775875</v>
      </c>
      <c r="L22" s="15" t="n">
        <f aca="false">K22*(1+IF(L$3&lt;=$O$2,$D22,$D22-($D22-$I$6)*MIN(L$3-$O$2,$Q$2)/$Q$2))</f>
        <v>35673.476536215</v>
      </c>
      <c r="M22" s="15" t="n">
        <f aca="false">L22*(1+IF(M$3&lt;=$O$2,$D22,$D22-($D22-$I$6)*MIN(M$3-$O$2,$Q$2)/$Q$2))</f>
        <v>37462.3406100001</v>
      </c>
      <c r="N22" s="15" t="n">
        <f aca="false">M22*(1+IF(N$3&lt;=$O$2,$D22,$D22-($D22-$I$6)*MIN(N$3-$O$2,$Q$2)/$Q$2))</f>
        <v>38522.5248492631</v>
      </c>
      <c r="O22" s="15" t="n">
        <f aca="false">SUMPRODUCT(E22:N22,1/(1+$F$6)^$E$3:$N$3)*$E$2</f>
        <v>53961.792154277</v>
      </c>
      <c r="P22" s="15" t="n">
        <f aca="false">N22*$E$2*(1+$I$6)/($F$6-$I$6)/(1+$F$6)^$N$3</f>
        <v>78532.3134919097</v>
      </c>
      <c r="Q22" s="15" t="n">
        <f aca="false">O22+P22</f>
        <v>132494.105646187</v>
      </c>
      <c r="R22" s="15" t="n">
        <f aca="false">Q22-$G$2+$I$2</f>
        <v>120874.105646187</v>
      </c>
      <c r="S22" s="40" t="n">
        <f aca="false">R22/$K$2</f>
        <v>410.062440703554</v>
      </c>
      <c r="T22" s="41" t="n">
        <f aca="false">S22-$M$2</f>
        <v>0.0817778138434733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0.137481689453125</v>
      </c>
      <c r="C23" s="25" t="n">
        <f aca="false">IF(T22&gt;0,D22,C22)</f>
        <v>0.137527465820313</v>
      </c>
      <c r="D23" s="39" t="n">
        <f aca="false">(B23+C23)/2</f>
        <v>0.137504577636719</v>
      </c>
      <c r="E23" s="15" t="n">
        <f aca="false">$C$2*(1+IF(E$3&lt;=$O$2,$D23,$D23-($D23-$I$6)*MIN(E$3-$O$2,$Q$2)/$Q$2))</f>
        <v>16285.6530380249</v>
      </c>
      <c r="F23" s="15" t="n">
        <f aca="false">E23*(1+IF(F$3&lt;=$O$2,$D23,$D23-($D23-$I$6)*MIN(F$3-$O$2,$Q$2)/$Q$2))</f>
        <v>18525.0048805567</v>
      </c>
      <c r="G23" s="15" t="n">
        <f aca="false">F23*(1+IF(G$3&lt;=$O$2,$D23,$D23-($D23-$I$6)*MIN(G$3-$O$2,$Q$2)/$Q$2))</f>
        <v>21072.2778523758</v>
      </c>
      <c r="H23" s="15" t="n">
        <f aca="false">G23*(1+IF(H$3&lt;=$O$2,$D23,$D23-($D23-$I$6)*MIN(H$3-$O$2,$Q$2)/$Q$2))</f>
        <v>23969.8125183103</v>
      </c>
      <c r="I23" s="15" t="n">
        <f aca="false">H23*(1+IF(I$3&lt;=$O$2,$D23,$D23-($D23-$I$6)*MIN(I$3-$O$2,$Q$2)/$Q$2))</f>
        <v>27265.7714646719</v>
      </c>
      <c r="J23" s="15" t="n">
        <f aca="false">I23*(1+IF(J$3&lt;=$O$2,$D23,$D23-($D23-$I$6)*MIN(J$3-$O$2,$Q$2)/$Q$2))</f>
        <v>30419.4304425131</v>
      </c>
      <c r="K23" s="15" t="n">
        <f aca="false">J23*(1+IF(K$3&lt;=$O$2,$D23,$D23-($D23-$I$6)*MIN(K$3-$O$2,$Q$2)/$Q$2))</f>
        <v>33273.4649560907</v>
      </c>
      <c r="L23" s="15" t="n">
        <f aca="false">K23*(1+IF(L$3&lt;=$O$2,$D23,$D23-($D23-$I$6)*MIN(L$3-$O$2,$Q$2)/$Q$2))</f>
        <v>35668.5498891641</v>
      </c>
      <c r="M23" s="15" t="n">
        <f aca="false">L23*(1+IF(M$3&lt;=$O$2,$D23,$D23-($D23-$I$6)*MIN(M$3-$O$2,$Q$2)/$Q$2))</f>
        <v>37457.0036361396</v>
      </c>
      <c r="N23" s="15" t="n">
        <f aca="false">M23*(1+IF(N$3&lt;=$O$2,$D23,$D23-($D23-$I$6)*MIN(N$3-$O$2,$Q$2)/$Q$2))</f>
        <v>38517.0368390423</v>
      </c>
      <c r="O23" s="15" t="n">
        <f aca="false">SUMPRODUCT(E23:N23,1/(1+$F$6)^$E$3:$N$3)*$E$2</f>
        <v>53956.4675098208</v>
      </c>
      <c r="P23" s="15" t="n">
        <f aca="false">N23*$E$2*(1+$I$6)/($F$6-$I$6)/(1+$F$6)^$N$3</f>
        <v>78521.125592342</v>
      </c>
      <c r="Q23" s="15" t="n">
        <f aca="false">O23+P23</f>
        <v>132477.593102163</v>
      </c>
      <c r="R23" s="15" t="n">
        <f aca="false">Q23-$G$2+$I$2</f>
        <v>120857.593102163</v>
      </c>
      <c r="S23" s="40" t="n">
        <f aca="false">R23/$K$2</f>
        <v>410.006422302687</v>
      </c>
      <c r="T23" s="41" t="n">
        <f aca="false">S23-$M$2</f>
        <v>0.0257594129759013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0.137481689453125</v>
      </c>
      <c r="C24" s="25" t="n">
        <f aca="false">IF(T23&gt;0,D23,C23)</f>
        <v>0.137504577636719</v>
      </c>
      <c r="D24" s="39" t="n">
        <f aca="false">(B24+C24)/2</f>
        <v>0.137493133544922</v>
      </c>
      <c r="E24" s="15" t="n">
        <f aca="false">$C$2*(1+IF(E$3&lt;=$O$2,$D24,$D24-($D24-$I$6)*MIN(E$3-$O$2,$Q$2)/$Q$2))</f>
        <v>16285.4891929626</v>
      </c>
      <c r="F24" s="15" t="n">
        <f aca="false">E24*(1+IF(F$3&lt;=$O$2,$D24,$D24-($D24-$I$6)*MIN(F$3-$O$2,$Q$2)/$Q$2))</f>
        <v>18524.632133415</v>
      </c>
      <c r="G24" s="15" t="n">
        <f aca="false">F24*(1+IF(G$3&lt;=$O$2,$D24,$D24-($D24-$I$6)*MIN(G$3-$O$2,$Q$2)/$Q$2))</f>
        <v>21071.6418532052</v>
      </c>
      <c r="H24" s="15" t="n">
        <f aca="false">G24*(1+IF(H$3&lt;=$O$2,$D24,$D24-($D24-$I$6)*MIN(H$3-$O$2,$Q$2)/$Q$2))</f>
        <v>23968.8479205387</v>
      </c>
      <c r="I24" s="15" t="n">
        <f aca="false">H24*(1+IF(I$3&lt;=$O$2,$D24,$D24-($D24-$I$6)*MIN(I$3-$O$2,$Q$2)/$Q$2))</f>
        <v>27264.3999285953</v>
      </c>
      <c r="J24" s="15" t="n">
        <f aca="false">I24*(1+IF(J$3&lt;=$O$2,$D24,$D24-($D24-$I$6)*MIN(J$3-$O$2,$Q$2)/$Q$2))</f>
        <v>30417.6506565148</v>
      </c>
      <c r="K24" s="15" t="n">
        <f aca="false">J24*(1+IF(K$3&lt;=$O$2,$D24,$D24-($D24-$I$6)*MIN(K$3-$O$2,$Q$2)/$Q$2))</f>
        <v>33271.3093242499</v>
      </c>
      <c r="L24" s="15" t="n">
        <f aca="false">K24*(1+IF(L$3&lt;=$O$2,$D24,$D24-($D24-$I$6)*MIN(L$3-$O$2,$Q$2)/$Q$2))</f>
        <v>35666.086787029</v>
      </c>
      <c r="M24" s="15" t="n">
        <f aca="false">L24*(1+IF(M$3&lt;=$O$2,$D24,$D24-($D24-$I$6)*MIN(M$3-$O$2,$Q$2)/$Q$2))</f>
        <v>37454.3353986141</v>
      </c>
      <c r="N24" s="15" t="n">
        <f aca="false">M24*(1+IF(N$3&lt;=$O$2,$D24,$D24-($D24-$I$6)*MIN(N$3-$O$2,$Q$2)/$Q$2))</f>
        <v>38514.2930903949</v>
      </c>
      <c r="O24" s="15" t="n">
        <f aca="false">SUMPRODUCT(E24:N24,1/(1+$F$6)^$E$3:$N$3)*$E$2</f>
        <v>53953.8053816571</v>
      </c>
      <c r="P24" s="15" t="n">
        <f aca="false">N24*$E$2*(1+$I$6)/($F$6-$I$6)/(1+$F$6)^$N$3</f>
        <v>78515.5321653856</v>
      </c>
      <c r="Q24" s="15" t="n">
        <f aca="false">O24+P24</f>
        <v>132469.337547043</v>
      </c>
      <c r="R24" s="15" t="n">
        <f aca="false">Q24-$G$2+$I$2</f>
        <v>120849.337547043</v>
      </c>
      <c r="S24" s="40" t="n">
        <f aca="false">R24/$K$2</f>
        <v>409.97841553429</v>
      </c>
      <c r="T24" s="41" t="n">
        <f aca="false">S24-$M$2</f>
        <v>-0.00224735542042254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0.137493133544922</v>
      </c>
      <c r="C25" s="25" t="n">
        <f aca="false">IF(T24&gt;0,D24,C24)</f>
        <v>0.137504577636719</v>
      </c>
      <c r="D25" s="39" t="n">
        <f aca="false">(B25+C25)/2</f>
        <v>0.13749885559082</v>
      </c>
      <c r="E25" s="15" t="n">
        <f aca="false">$C$2*(1+IF(E$3&lt;=$O$2,$D25,$D25-($D25-$I$6)*MIN(E$3-$O$2,$Q$2)/$Q$2))</f>
        <v>16285.5711154938</v>
      </c>
      <c r="F25" s="15" t="n">
        <f aca="false">E25*(1+IF(F$3&lt;=$O$2,$D25,$D25-($D25-$I$6)*MIN(F$3-$O$2,$Q$2)/$Q$2))</f>
        <v>18524.8185065171</v>
      </c>
      <c r="G25" s="15" t="n">
        <f aca="false">F25*(1+IF(G$3&lt;=$O$2,$D25,$D25-($D25-$I$6)*MIN(G$3-$O$2,$Q$2)/$Q$2))</f>
        <v>21071.9598511908</v>
      </c>
      <c r="H25" s="15" t="n">
        <f aca="false">G25*(1+IF(H$3&lt;=$O$2,$D25,$D25-($D25-$I$6)*MIN(H$3-$O$2,$Q$2)/$Q$2))</f>
        <v>23969.3302157853</v>
      </c>
      <c r="I25" s="15" t="n">
        <f aca="false">H25*(1+IF(I$3&lt;=$O$2,$D25,$D25-($D25-$I$6)*MIN(I$3-$O$2,$Q$2)/$Q$2))</f>
        <v>27265.0856897342</v>
      </c>
      <c r="J25" s="15" t="n">
        <f aca="false">I25*(1+IF(J$3&lt;=$O$2,$D25,$D25-($D25-$I$6)*MIN(J$3-$O$2,$Q$2)/$Q$2))</f>
        <v>30418.5405386774</v>
      </c>
      <c r="K25" s="15" t="n">
        <f aca="false">J25*(1+IF(K$3&lt;=$O$2,$D25,$D25-($D25-$I$6)*MIN(K$3-$O$2,$Q$2)/$Q$2))</f>
        <v>33272.3871252619</v>
      </c>
      <c r="L25" s="15" t="n">
        <f aca="false">K25*(1+IF(L$3&lt;=$O$2,$D25,$D25-($D25-$I$6)*MIN(L$3-$O$2,$Q$2)/$Q$2))</f>
        <v>35667.3183196482</v>
      </c>
      <c r="M25" s="15" t="n">
        <f aca="false">L25*(1+IF(M$3&lt;=$O$2,$D25,$D25-($D25-$I$6)*MIN(M$3-$O$2,$Q$2)/$Q$2))</f>
        <v>37455.669496594</v>
      </c>
      <c r="N25" s="15" t="n">
        <f aca="false">M25*(1+IF(N$3&lt;=$O$2,$D25,$D25-($D25-$I$6)*MIN(N$3-$O$2,$Q$2)/$Q$2))</f>
        <v>38515.6649433476</v>
      </c>
      <c r="O25" s="15" t="n">
        <f aca="false">SUMPRODUCT(E25:N25,1/(1+$F$6)^$E$3:$N$3)*$E$2</f>
        <v>53955.1364295675</v>
      </c>
      <c r="P25" s="15" t="n">
        <f aca="false">N25*$E$2*(1+$I$6)/($F$6-$I$6)/(1+$F$6)^$N$3</f>
        <v>78518.3288352968</v>
      </c>
      <c r="Q25" s="15" t="n">
        <f aca="false">O25+P25</f>
        <v>132473.465264864</v>
      </c>
      <c r="R25" s="15" t="n">
        <f aca="false">Q25-$G$2+$I$2</f>
        <v>120853.465264864</v>
      </c>
      <c r="S25" s="40" t="n">
        <f aca="false">R25/$K$2</f>
        <v>409.992418715827</v>
      </c>
      <c r="T25" s="41" t="n">
        <f aca="false">S25-$M$2</f>
        <v>0.0117558261165414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0.137493133544922</v>
      </c>
      <c r="C26" s="25" t="n">
        <f aca="false">IF(T25&gt;0,D25,C25)</f>
        <v>0.13749885559082</v>
      </c>
      <c r="D26" s="39" t="n">
        <f aca="false">(B26+C26)/2</f>
        <v>0.137495994567871</v>
      </c>
      <c r="E26" s="15" t="n">
        <f aca="false">$C$2*(1+IF(E$3&lt;=$O$2,$D26,$D26-($D26-$I$6)*MIN(E$3-$O$2,$Q$2)/$Q$2))</f>
        <v>16285.5301542282</v>
      </c>
      <c r="F26" s="15" t="n">
        <f aca="false">E26*(1+IF(F$3&lt;=$O$2,$D26,$D26-($D26-$I$6)*MIN(F$3-$O$2,$Q$2)/$Q$2))</f>
        <v>18524.7253198489</v>
      </c>
      <c r="G26" s="15" t="n">
        <f aca="false">F26*(1+IF(G$3&lt;=$O$2,$D26,$D26-($D26-$I$6)*MIN(G$3-$O$2,$Q$2)/$Q$2))</f>
        <v>21071.8008517981</v>
      </c>
      <c r="H26" s="15" t="n">
        <f aca="false">G26*(1+IF(H$3&lt;=$O$2,$D26,$D26-($D26-$I$6)*MIN(H$3-$O$2,$Q$2)/$Q$2))</f>
        <v>23969.0890672522</v>
      </c>
      <c r="I26" s="15" t="n">
        <f aca="false">H26*(1+IF(I$3&lt;=$O$2,$D26,$D26-($D26-$I$6)*MIN(I$3-$O$2,$Q$2)/$Q$2))</f>
        <v>27264.7428074399</v>
      </c>
      <c r="J26" s="15" t="n">
        <f aca="false">I26*(1+IF(J$3&lt;=$O$2,$D26,$D26-($D26-$I$6)*MIN(J$3-$O$2,$Q$2)/$Q$2))</f>
        <v>30418.095594887</v>
      </c>
      <c r="K26" s="15" t="n">
        <f aca="false">J26*(1+IF(K$3&lt;=$O$2,$D26,$D26-($D26-$I$6)*MIN(K$3-$O$2,$Q$2)/$Q$2))</f>
        <v>33271.8482210288</v>
      </c>
      <c r="L26" s="15" t="n">
        <f aca="false">K26*(1+IF(L$3&lt;=$O$2,$D26,$D26-($D26-$I$6)*MIN(L$3-$O$2,$Q$2)/$Q$2))</f>
        <v>35666.7025487266</v>
      </c>
      <c r="M26" s="15" t="n">
        <f aca="false">L26*(1+IF(M$3&lt;=$O$2,$D26,$D26-($D26-$I$6)*MIN(M$3-$O$2,$Q$2)/$Q$2))</f>
        <v>37455.0024424084</v>
      </c>
      <c r="N26" s="15" t="n">
        <f aca="false">M26*(1+IF(N$3&lt;=$O$2,$D26,$D26-($D26-$I$6)*MIN(N$3-$O$2,$Q$2)/$Q$2))</f>
        <v>38514.9790115286</v>
      </c>
      <c r="O26" s="15" t="n">
        <f aca="false">SUMPRODUCT(E26:N26,1/(1+$F$6)^$E$3:$N$3)*$E$2</f>
        <v>53954.4709015695</v>
      </c>
      <c r="P26" s="15" t="n">
        <f aca="false">N26*$E$2*(1+$I$6)/($F$6-$I$6)/(1+$F$6)^$N$3</f>
        <v>78516.9304894496</v>
      </c>
      <c r="Q26" s="15" t="n">
        <f aca="false">O26+P26</f>
        <v>132471.401391019</v>
      </c>
      <c r="R26" s="15" t="n">
        <f aca="false">Q26-$G$2+$I$2</f>
        <v>120851.401391019</v>
      </c>
      <c r="S26" s="40" t="n">
        <f aca="false">R26/$K$2</f>
        <v>409.985417074394</v>
      </c>
      <c r="T26" s="41" t="n">
        <f aca="false">S26-$M$2</f>
        <v>0.00475418468340649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0.137493133544922</v>
      </c>
      <c r="C27" s="25" t="n">
        <f aca="false">IF(T26&gt;0,D26,C26)</f>
        <v>0.137495994567871</v>
      </c>
      <c r="D27" s="39" t="n">
        <f aca="false">(B27+C27)/2</f>
        <v>0.137494564056396</v>
      </c>
      <c r="E27" s="15" t="n">
        <f aca="false">$C$2*(1+IF(E$3&lt;=$O$2,$D27,$D27-($D27-$I$6)*MIN(E$3-$O$2,$Q$2)/$Q$2))</f>
        <v>16285.5096735954</v>
      </c>
      <c r="F27" s="15" t="n">
        <f aca="false">E27*(1+IF(F$3&lt;=$O$2,$D27,$D27-($D27-$I$6)*MIN(F$3-$O$2,$Q$2)/$Q$2))</f>
        <v>18524.6787266027</v>
      </c>
      <c r="G27" s="15" t="n">
        <f aca="false">F27*(1+IF(G$3&lt;=$O$2,$D27,$D27-($D27-$I$6)*MIN(G$3-$O$2,$Q$2)/$Q$2))</f>
        <v>21071.7213524017</v>
      </c>
      <c r="H27" s="15" t="n">
        <f aca="false">G27*(1+IF(H$3&lt;=$O$2,$D27,$D27-($D27-$I$6)*MIN(H$3-$O$2,$Q$2)/$Q$2))</f>
        <v>23968.968493668</v>
      </c>
      <c r="I27" s="15" t="n">
        <f aca="false">H27*(1+IF(I$3&lt;=$O$2,$D27,$D27-($D27-$I$6)*MIN(I$3-$O$2,$Q$2)/$Q$2))</f>
        <v>27264.5713675864</v>
      </c>
      <c r="J27" s="15" t="n">
        <f aca="false">I27*(1+IF(J$3&lt;=$O$2,$D27,$D27-($D27-$I$6)*MIN(J$3-$O$2,$Q$2)/$Q$2))</f>
        <v>30417.8731250236</v>
      </c>
      <c r="K27" s="15" t="n">
        <f aca="false">J27*(1+IF(K$3&lt;=$O$2,$D27,$D27-($D27-$I$6)*MIN(K$3-$O$2,$Q$2)/$Q$2))</f>
        <v>33271.5787717076</v>
      </c>
      <c r="L27" s="15" t="n">
        <f aca="false">K27*(1+IF(L$3&lt;=$O$2,$D27,$D27-($D27-$I$6)*MIN(L$3-$O$2,$Q$2)/$Q$2))</f>
        <v>35666.3946667248</v>
      </c>
      <c r="M27" s="15" t="n">
        <f aca="false">L27*(1+IF(M$3&lt;=$O$2,$D27,$D27-($D27-$I$6)*MIN(M$3-$O$2,$Q$2)/$Q$2))</f>
        <v>37454.6689192124</v>
      </c>
      <c r="N27" s="15" t="n">
        <f aca="false">M27*(1+IF(N$3&lt;=$O$2,$D27,$D27-($D27-$I$6)*MIN(N$3-$O$2,$Q$2)/$Q$2))</f>
        <v>38514.6360496261</v>
      </c>
      <c r="O27" s="15" t="n">
        <f aca="false">SUMPRODUCT(E27:N27,1/(1+$F$6)^$E$3:$N$3)*$E$2</f>
        <v>53954.1381406026</v>
      </c>
      <c r="P27" s="15" t="n">
        <f aca="false">N27*$E$2*(1+$I$6)/($F$6-$I$6)/(1+$F$6)^$N$3</f>
        <v>78516.2313246947</v>
      </c>
      <c r="Q27" s="15" t="n">
        <f aca="false">O27+P27</f>
        <v>132470.369465297</v>
      </c>
      <c r="R27" s="15" t="n">
        <f aca="false">Q27-$G$2+$I$2</f>
        <v>120850.369465297</v>
      </c>
      <c r="S27" s="40" t="n">
        <f aca="false">R27/$K$2</f>
        <v>409.981916291676</v>
      </c>
      <c r="T27" s="41" t="n">
        <f aca="false">S27-$M$2</f>
        <v>0.00125340196530033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0.137493133544922</v>
      </c>
      <c r="C28" s="25" t="n">
        <f aca="false">IF(T27&gt;0,D27,C27)</f>
        <v>0.137494564056396</v>
      </c>
      <c r="D28" s="39" t="n">
        <f aca="false">(B28+C28)/2</f>
        <v>0.137493848800659</v>
      </c>
      <c r="E28" s="15" t="n">
        <f aca="false">$C$2*(1+IF(E$3&lt;=$O$2,$D28,$D28-($D28-$I$6)*MIN(E$3-$O$2,$Q$2)/$Q$2))</f>
        <v>16285.499433279</v>
      </c>
      <c r="F28" s="15" t="n">
        <f aca="false">E28*(1+IF(F$3&lt;=$O$2,$D28,$D28-($D28-$I$6)*MIN(F$3-$O$2,$Q$2)/$Q$2))</f>
        <v>18524.6554300015</v>
      </c>
      <c r="G28" s="15" t="n">
        <f aca="false">F28*(1+IF(G$3&lt;=$O$2,$D28,$D28-($D28-$I$6)*MIN(G$3-$O$2,$Q$2)/$Q$2))</f>
        <v>21071.6816027785</v>
      </c>
      <c r="H28" s="15" t="n">
        <f aca="false">G28*(1+IF(H$3&lt;=$O$2,$D28,$D28-($D28-$I$6)*MIN(H$3-$O$2,$Q$2)/$Q$2))</f>
        <v>23968.9082070465</v>
      </c>
      <c r="I28" s="15" t="n">
        <f aca="false">H28*(1+IF(I$3&lt;=$O$2,$D28,$D28-($D28-$I$6)*MIN(I$3-$O$2,$Q$2)/$Q$2))</f>
        <v>27264.4856479831</v>
      </c>
      <c r="J28" s="15" t="n">
        <f aca="false">I28*(1+IF(J$3&lt;=$O$2,$D28,$D28-($D28-$I$6)*MIN(J$3-$O$2,$Q$2)/$Q$2))</f>
        <v>30417.7618905999</v>
      </c>
      <c r="K28" s="15" t="n">
        <f aca="false">J28*(1+IF(K$3&lt;=$O$2,$D28,$D28-($D28-$I$6)*MIN(K$3-$O$2,$Q$2)/$Q$2))</f>
        <v>33271.4440477458</v>
      </c>
      <c r="L28" s="15" t="n">
        <f aca="false">K28*(1+IF(L$3&lt;=$O$2,$D28,$D28-($D28-$I$6)*MIN(L$3-$O$2,$Q$2)/$Q$2))</f>
        <v>35666.2407265887</v>
      </c>
      <c r="M28" s="15" t="n">
        <f aca="false">L28*(1+IF(M$3&lt;=$O$2,$D28,$D28-($D28-$I$6)*MIN(M$3-$O$2,$Q$2)/$Q$2))</f>
        <v>37454.5021585885</v>
      </c>
      <c r="N28" s="15" t="n">
        <f aca="false">M28*(1+IF(N$3&lt;=$O$2,$D28,$D28-($D28-$I$6)*MIN(N$3-$O$2,$Q$2)/$Q$2))</f>
        <v>38514.4645696766</v>
      </c>
      <c r="O28" s="15" t="n">
        <f aca="false">SUMPRODUCT(E28:N28,1/(1+$F$6)^$E$3:$N$3)*$E$2</f>
        <v>53953.9717608772</v>
      </c>
      <c r="P28" s="15" t="n">
        <f aca="false">N28*$E$2*(1+$I$6)/($F$6-$I$6)/(1+$F$6)^$N$3</f>
        <v>78515.8817443595</v>
      </c>
      <c r="Q28" s="15" t="n">
        <f aca="false">O28+P28</f>
        <v>132469.853505237</v>
      </c>
      <c r="R28" s="15" t="n">
        <f aca="false">Q28-$G$2+$I$2</f>
        <v>120849.853505237</v>
      </c>
      <c r="S28" s="40" t="n">
        <f aca="false">R28/$K$2</f>
        <v>409.980165909817</v>
      </c>
      <c r="T28" s="41" t="n">
        <f aca="false">S28-$M$2</f>
        <v>-0.000496979894023752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0.137493848800659</v>
      </c>
      <c r="C29" s="25" t="n">
        <f aca="false">IF(T28&gt;0,D28,C28)</f>
        <v>0.137494564056396</v>
      </c>
      <c r="D29" s="39" t="n">
        <f aca="false">(B29+C29)/2</f>
        <v>0.137494206428528</v>
      </c>
      <c r="E29" s="15" t="n">
        <f aca="false">$C$2*(1+IF(E$3&lt;=$O$2,$D29,$D29-($D29-$I$6)*MIN(E$3-$O$2,$Q$2)/$Q$2))</f>
        <v>16285.5045534372</v>
      </c>
      <c r="F29" s="15" t="n">
        <f aca="false">E29*(1+IF(F$3&lt;=$O$2,$D29,$D29-($D29-$I$6)*MIN(F$3-$O$2,$Q$2)/$Q$2))</f>
        <v>18524.6670783003</v>
      </c>
      <c r="G29" s="15" t="n">
        <f aca="false">F29*(1+IF(G$3&lt;=$O$2,$D29,$D29-($D29-$I$6)*MIN(G$3-$O$2,$Q$2)/$Q$2))</f>
        <v>21071.7014775838</v>
      </c>
      <c r="H29" s="15" t="n">
        <f aca="false">G29*(1+IF(H$3&lt;=$O$2,$D29,$D29-($D29-$I$6)*MIN(H$3-$O$2,$Q$2)/$Q$2))</f>
        <v>23968.9383503431</v>
      </c>
      <c r="I29" s="15" t="n">
        <f aca="false">H29*(1+IF(I$3&lt;=$O$2,$D29,$D29-($D29-$I$6)*MIN(I$3-$O$2,$Q$2)/$Q$2))</f>
        <v>27264.5285077578</v>
      </c>
      <c r="J29" s="15" t="n">
        <f aca="false">I29*(1+IF(J$3&lt;=$O$2,$D29,$D29-($D29-$I$6)*MIN(J$3-$O$2,$Q$2)/$Q$2))</f>
        <v>30417.8175077694</v>
      </c>
      <c r="K29" s="15" t="n">
        <f aca="false">J29*(1+IF(K$3&lt;=$O$2,$D29,$D29-($D29-$I$6)*MIN(K$3-$O$2,$Q$2)/$Q$2))</f>
        <v>33271.5114096685</v>
      </c>
      <c r="L29" s="15" t="n">
        <f aca="false">K29*(1+IF(L$3&lt;=$O$2,$D29,$D29-($D29-$I$6)*MIN(L$3-$O$2,$Q$2)/$Q$2))</f>
        <v>35666.3176965847</v>
      </c>
      <c r="M29" s="15" t="n">
        <f aca="false">L29*(1+IF(M$3&lt;=$O$2,$D29,$D29-($D29-$I$6)*MIN(M$3-$O$2,$Q$2)/$Q$2))</f>
        <v>37454.5855388193</v>
      </c>
      <c r="N29" s="15" t="n">
        <f aca="false">M29*(1+IF(N$3&lt;=$O$2,$D29,$D29-($D29-$I$6)*MIN(N$3-$O$2,$Q$2)/$Q$2))</f>
        <v>38514.5503095679</v>
      </c>
      <c r="O29" s="15" t="n">
        <f aca="false">SUMPRODUCT(E29:N29,1/(1+$F$6)^$E$3:$N$3)*$E$2</f>
        <v>53954.0549506767</v>
      </c>
      <c r="P29" s="15" t="n">
        <f aca="false">N29*$E$2*(1+$I$6)/($F$6-$I$6)/(1+$F$6)^$N$3</f>
        <v>78516.0565343569</v>
      </c>
      <c r="Q29" s="15" t="n">
        <f aca="false">O29+P29</f>
        <v>132470.111485034</v>
      </c>
      <c r="R29" s="15" t="n">
        <f aca="false">Q29-$G$2+$I$2</f>
        <v>120850.111485034</v>
      </c>
      <c r="S29" s="40" t="n">
        <f aca="false">R29/$K$2</f>
        <v>409.981041099955</v>
      </c>
      <c r="T29" s="41" t="n">
        <f aca="false">S29-$M$2</f>
        <v>0.000378210244036836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0.137493848800659</v>
      </c>
      <c r="C30" s="25" t="n">
        <f aca="false">IF(T29&gt;0,D29,C29)</f>
        <v>0.137494206428528</v>
      </c>
      <c r="D30" s="39" t="n">
        <f aca="false">(B30+C30)/2</f>
        <v>0.137494027614594</v>
      </c>
      <c r="E30" s="15" t="n">
        <f aca="false">$C$2*(1+IF(E$3&lt;=$O$2,$D30,$D30-($D30-$I$6)*MIN(E$3-$O$2,$Q$2)/$Q$2))</f>
        <v>16285.5019933581</v>
      </c>
      <c r="F30" s="15" t="n">
        <f aca="false">E30*(1+IF(F$3&lt;=$O$2,$D30,$D30-($D30-$I$6)*MIN(F$3-$O$2,$Q$2)/$Q$2))</f>
        <v>18524.6612541504</v>
      </c>
      <c r="G30" s="15" t="n">
        <f aca="false">F30*(1+IF(G$3&lt;=$O$2,$D30,$D30-($D30-$I$6)*MIN(G$3-$O$2,$Q$2)/$Q$2))</f>
        <v>21071.6915401796</v>
      </c>
      <c r="H30" s="15" t="n">
        <f aca="false">G30*(1+IF(H$3&lt;=$O$2,$D30,$D30-($D30-$I$6)*MIN(H$3-$O$2,$Q$2)/$Q$2))</f>
        <v>23968.9232786912</v>
      </c>
      <c r="I30" s="15" t="n">
        <f aca="false">H30*(1+IF(I$3&lt;=$O$2,$D30,$D30-($D30-$I$6)*MIN(I$3-$O$2,$Q$2)/$Q$2))</f>
        <v>27264.5070778637</v>
      </c>
      <c r="J30" s="15" t="n">
        <f aca="false">I30*(1+IF(J$3&lt;=$O$2,$D30,$D30-($D30-$I$6)*MIN(J$3-$O$2,$Q$2)/$Q$2))</f>
        <v>30417.7896991741</v>
      </c>
      <c r="K30" s="15" t="n">
        <f aca="false">J30*(1+IF(K$3&lt;=$O$2,$D30,$D30-($D30-$I$6)*MIN(K$3-$O$2,$Q$2)/$Q$2))</f>
        <v>33271.4777286926</v>
      </c>
      <c r="L30" s="15" t="n">
        <f aca="false">K30*(1+IF(L$3&lt;=$O$2,$D30,$D30-($D30-$I$6)*MIN(L$3-$O$2,$Q$2)/$Q$2))</f>
        <v>35666.2792115687</v>
      </c>
      <c r="M30" s="15" t="n">
        <f aca="false">L30*(1+IF(M$3&lt;=$O$2,$D30,$D30-($D30-$I$6)*MIN(M$3-$O$2,$Q$2)/$Q$2))</f>
        <v>37454.5438486836</v>
      </c>
      <c r="N30" s="15" t="n">
        <f aca="false">M30*(1+IF(N$3&lt;=$O$2,$D30,$D30-($D30-$I$6)*MIN(N$3-$O$2,$Q$2)/$Q$2))</f>
        <v>38514.5074396014</v>
      </c>
      <c r="O30" s="15" t="n">
        <f aca="false">SUMPRODUCT(E30:N30,1/(1+$F$6)^$E$3:$N$3)*$E$2</f>
        <v>53954.0133557612</v>
      </c>
      <c r="P30" s="15" t="n">
        <f aca="false">N30*$E$2*(1+$I$6)/($F$6-$I$6)/(1+$F$6)^$N$3</f>
        <v>78515.9691393157</v>
      </c>
      <c r="Q30" s="15" t="n">
        <f aca="false">O30+P30</f>
        <v>132469.982495077</v>
      </c>
      <c r="R30" s="15" t="n">
        <f aca="false">Q30-$G$2+$I$2</f>
        <v>120849.982495077</v>
      </c>
      <c r="S30" s="40" t="n">
        <f aca="false">R30/$K$2</f>
        <v>409.980603504688</v>
      </c>
      <c r="T30" s="41" t="n">
        <f aca="false">S30-$M$2</f>
        <v>-5.9385022780134E-005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0.137494027614594</v>
      </c>
      <c r="C31" s="25" t="n">
        <f aca="false">IF(T30&gt;0,D30,C30)</f>
        <v>0.137494206428528</v>
      </c>
      <c r="D31" s="39" t="n">
        <f aca="false">(B31+C31)/2</f>
        <v>0.137494117021561</v>
      </c>
      <c r="E31" s="15" t="n">
        <f aca="false">$C$2*(1+IF(E$3&lt;=$O$2,$D31,$D31-($D31-$I$6)*MIN(E$3-$O$2,$Q$2)/$Q$2))</f>
        <v>16285.5032733977</v>
      </c>
      <c r="F31" s="15" t="n">
        <f aca="false">E31*(1+IF(F$3&lt;=$O$2,$D31,$D31-($D31-$I$6)*MIN(F$3-$O$2,$Q$2)/$Q$2))</f>
        <v>18524.6641662252</v>
      </c>
      <c r="G31" s="15" t="n">
        <f aca="false">F31*(1+IF(G$3&lt;=$O$2,$D31,$D31-($D31-$I$6)*MIN(G$3-$O$2,$Q$2)/$Q$2))</f>
        <v>21071.6965088813</v>
      </c>
      <c r="H31" s="15" t="n">
        <f aca="false">G31*(1+IF(H$3&lt;=$O$2,$D31,$D31-($D31-$I$6)*MIN(H$3-$O$2,$Q$2)/$Q$2))</f>
        <v>23968.9308145163</v>
      </c>
      <c r="I31" s="15" t="n">
        <f aca="false">H31*(1+IF(I$3&lt;=$O$2,$D31,$D31-($D31-$I$6)*MIN(I$3-$O$2,$Q$2)/$Q$2))</f>
        <v>27264.517792809</v>
      </c>
      <c r="J31" s="15" t="n">
        <f aca="false">I31*(1+IF(J$3&lt;=$O$2,$D31,$D31-($D31-$I$6)*MIN(J$3-$O$2,$Q$2)/$Q$2))</f>
        <v>30417.8036034691</v>
      </c>
      <c r="K31" s="15" t="n">
        <f aca="false">J31*(1+IF(K$3&lt;=$O$2,$D31,$D31-($D31-$I$6)*MIN(K$3-$O$2,$Q$2)/$Q$2))</f>
        <v>33271.4945691769</v>
      </c>
      <c r="L31" s="15" t="n">
        <f aca="false">K31*(1+IF(L$3&lt;=$O$2,$D31,$D31-($D31-$I$6)*MIN(L$3-$O$2,$Q$2)/$Q$2))</f>
        <v>35666.2984540722</v>
      </c>
      <c r="M31" s="15" t="n">
        <f aca="false">L31*(1+IF(M$3&lt;=$O$2,$D31,$D31-($D31-$I$6)*MIN(M$3-$O$2,$Q$2)/$Q$2))</f>
        <v>37454.5646937464</v>
      </c>
      <c r="N31" s="15" t="n">
        <f aca="false">M31*(1+IF(N$3&lt;=$O$2,$D31,$D31-($D31-$I$6)*MIN(N$3-$O$2,$Q$2)/$Q$2))</f>
        <v>38514.5288745794</v>
      </c>
      <c r="O31" s="15" t="n">
        <f aca="false">SUMPRODUCT(E31:N31,1/(1+$F$6)^$E$3:$N$3)*$E$2</f>
        <v>53954.034153215</v>
      </c>
      <c r="P31" s="15" t="n">
        <f aca="false">N31*$E$2*(1+$I$6)/($F$6-$I$6)/(1+$F$6)^$N$3</f>
        <v>78516.0128368257</v>
      </c>
      <c r="Q31" s="15" t="n">
        <f aca="false">O31+P31</f>
        <v>132470.046990041</v>
      </c>
      <c r="R31" s="15" t="n">
        <f aca="false">Q31-$G$2+$I$2</f>
        <v>120850.046990041</v>
      </c>
      <c r="S31" s="40" t="n">
        <f aca="false">R31/$K$2</f>
        <v>409.980822302272</v>
      </c>
      <c r="T31" s="41" t="n">
        <f aca="false">S31-$M$2</f>
        <v>0.000159412561174577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0.137494027614594</v>
      </c>
      <c r="C32" s="25" t="n">
        <f aca="false">IF(T31&gt;0,D31,C31)</f>
        <v>0.137494117021561</v>
      </c>
      <c r="D32" s="39" t="n">
        <f aca="false">(B32+C32)/2</f>
        <v>0.137494072318077</v>
      </c>
      <c r="E32" s="15" t="n">
        <f aca="false">$C$2*(1+IF(E$3&lt;=$O$2,$D32,$D32-($D32-$I$6)*MIN(E$3-$O$2,$Q$2)/$Q$2))</f>
        <v>16285.5026333779</v>
      </c>
      <c r="F32" s="15" t="n">
        <f aca="false">E32*(1+IF(F$3&lt;=$O$2,$D32,$D32-($D32-$I$6)*MIN(F$3-$O$2,$Q$2)/$Q$2))</f>
        <v>18524.6627101878</v>
      </c>
      <c r="G32" s="15" t="n">
        <f aca="false">F32*(1+IF(G$3&lt;=$O$2,$D32,$D32-($D32-$I$6)*MIN(G$3-$O$2,$Q$2)/$Q$2))</f>
        <v>21071.6940245304</v>
      </c>
      <c r="H32" s="15" t="n">
        <f aca="false">G32*(1+IF(H$3&lt;=$O$2,$D32,$D32-($D32-$I$6)*MIN(H$3-$O$2,$Q$2)/$Q$2))</f>
        <v>23968.9270466035</v>
      </c>
      <c r="I32" s="15" t="n">
        <f aca="false">H32*(1+IF(I$3&lt;=$O$2,$D32,$D32-($D32-$I$6)*MIN(I$3-$O$2,$Q$2)/$Q$2))</f>
        <v>27264.5124353359</v>
      </c>
      <c r="J32" s="15" t="n">
        <f aca="false">I32*(1+IF(J$3&lt;=$O$2,$D32,$D32-($D32-$I$6)*MIN(J$3-$O$2,$Q$2)/$Q$2))</f>
        <v>30417.7966513209</v>
      </c>
      <c r="K32" s="15" t="n">
        <f aca="false">J32*(1+IF(K$3&lt;=$O$2,$D32,$D32-($D32-$I$6)*MIN(K$3-$O$2,$Q$2)/$Q$2))</f>
        <v>33271.4861489338</v>
      </c>
      <c r="L32" s="15" t="n">
        <f aca="false">K32*(1+IF(L$3&lt;=$O$2,$D32,$D32-($D32-$I$6)*MIN(L$3-$O$2,$Q$2)/$Q$2))</f>
        <v>35666.2888328193</v>
      </c>
      <c r="M32" s="15" t="n">
        <f aca="false">L32*(1+IF(M$3&lt;=$O$2,$D32,$D32-($D32-$I$6)*MIN(M$3-$O$2,$Q$2)/$Q$2))</f>
        <v>37454.5542712137</v>
      </c>
      <c r="N32" s="15" t="n">
        <f aca="false">M32*(1+IF(N$3&lt;=$O$2,$D32,$D32-($D32-$I$6)*MIN(N$3-$O$2,$Q$2)/$Q$2))</f>
        <v>38514.5181570891</v>
      </c>
      <c r="O32" s="15" t="n">
        <f aca="false">SUMPRODUCT(E32:N32,1/(1+$F$6)^$E$3:$N$3)*$E$2</f>
        <v>53954.0237544871</v>
      </c>
      <c r="P32" s="15" t="n">
        <f aca="false">N32*$E$2*(1+$I$6)/($F$6-$I$6)/(1+$F$6)^$N$3</f>
        <v>78515.990988068</v>
      </c>
      <c r="Q32" s="15" t="n">
        <f aca="false">O32+P32</f>
        <v>132470.014742555</v>
      </c>
      <c r="R32" s="15" t="n">
        <f aca="false">Q32-$G$2+$I$2</f>
        <v>120850.014742555</v>
      </c>
      <c r="S32" s="40" t="n">
        <f aca="false">R32/$K$2</f>
        <v>409.980712903467</v>
      </c>
      <c r="T32" s="41" t="n">
        <f aca="false">S32-$M$2</f>
        <v>5.00137567769343E-005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0.137494027614594</v>
      </c>
      <c r="C33" s="25" t="n">
        <f aca="false">IF(T32&gt;0,D32,C32)</f>
        <v>0.137494072318077</v>
      </c>
      <c r="D33" s="39" t="n">
        <f aca="false">(B33+C33)/2</f>
        <v>0.137494049966335</v>
      </c>
      <c r="E33" s="15" t="n">
        <f aca="false">$C$2*(1+IF(E$3&lt;=$O$2,$D33,$D33-($D33-$I$6)*MIN(E$3-$O$2,$Q$2)/$Q$2))</f>
        <v>16285.502313368</v>
      </c>
      <c r="F33" s="15" t="n">
        <f aca="false">E33*(1+IF(F$3&lt;=$O$2,$D33,$D33-($D33-$I$6)*MIN(F$3-$O$2,$Q$2)/$Q$2))</f>
        <v>18524.6619821691</v>
      </c>
      <c r="G33" s="15" t="n">
        <f aca="false">F33*(1+IF(G$3&lt;=$O$2,$D33,$D33-($D33-$I$6)*MIN(G$3-$O$2,$Q$2)/$Q$2))</f>
        <v>21071.6927823549</v>
      </c>
      <c r="H33" s="15" t="n">
        <f aca="false">G33*(1+IF(H$3&lt;=$O$2,$D33,$D33-($D33-$I$6)*MIN(H$3-$O$2,$Q$2)/$Q$2))</f>
        <v>23968.9251626473</v>
      </c>
      <c r="I33" s="15" t="n">
        <f aca="false">H33*(1+IF(I$3&lt;=$O$2,$D33,$D33-($D33-$I$6)*MIN(I$3-$O$2,$Q$2)/$Q$2))</f>
        <v>27264.5097565997</v>
      </c>
      <c r="J33" s="15" t="n">
        <f aca="false">I33*(1+IF(J$3&lt;=$O$2,$D33,$D33-($D33-$I$6)*MIN(J$3-$O$2,$Q$2)/$Q$2))</f>
        <v>30417.7931752473</v>
      </c>
      <c r="K33" s="15" t="n">
        <f aca="false">J33*(1+IF(K$3&lt;=$O$2,$D33,$D33-($D33-$I$6)*MIN(K$3-$O$2,$Q$2)/$Q$2))</f>
        <v>33271.481938813</v>
      </c>
      <c r="L33" s="15" t="n">
        <f aca="false">K33*(1+IF(L$3&lt;=$O$2,$D33,$D33-($D33-$I$6)*MIN(L$3-$O$2,$Q$2)/$Q$2))</f>
        <v>35666.2840221937</v>
      </c>
      <c r="M33" s="15" t="n">
        <f aca="false">L33*(1+IF(M$3&lt;=$O$2,$D33,$D33-($D33-$I$6)*MIN(M$3-$O$2,$Q$2)/$Q$2))</f>
        <v>37454.5490599483</v>
      </c>
      <c r="N33" s="15" t="n">
        <f aca="false">M33*(1+IF(N$3&lt;=$O$2,$D33,$D33-($D33-$I$6)*MIN(N$3-$O$2,$Q$2)/$Q$2))</f>
        <v>38514.5127983449</v>
      </c>
      <c r="O33" s="15" t="n">
        <f aca="false">SUMPRODUCT(E33:N33,1/(1+$F$6)^$E$3:$N$3)*$E$2</f>
        <v>53954.0185551239</v>
      </c>
      <c r="P33" s="15" t="n">
        <f aca="false">N33*$E$2*(1+$I$6)/($F$6-$I$6)/(1+$F$6)^$N$3</f>
        <v>78515.9800636912</v>
      </c>
      <c r="Q33" s="15" t="n">
        <f aca="false">O33+P33</f>
        <v>132469.998618815</v>
      </c>
      <c r="R33" s="15" t="n">
        <f aca="false">Q33-$G$2+$I$2</f>
        <v>120849.998618815</v>
      </c>
      <c r="S33" s="40" t="n">
        <f aca="false">R33/$K$2</f>
        <v>409.980658204074</v>
      </c>
      <c r="T33" s="41" t="n">
        <f aca="false">S33-$M$2</f>
        <v>-4.6856361564096E-006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0.137494049966335</v>
      </c>
      <c r="C34" s="25" t="n">
        <f aca="false">IF(T33&gt;0,D33,C33)</f>
        <v>0.137494072318077</v>
      </c>
      <c r="D34" s="39" t="n">
        <f aca="false">(B34+C34)/2</f>
        <v>0.137494061142206</v>
      </c>
      <c r="E34" s="15" t="n">
        <f aca="false">$C$2*(1+IF(E$3&lt;=$O$2,$D34,$D34-($D34-$I$6)*MIN(E$3-$O$2,$Q$2)/$Q$2))</f>
        <v>16285.502473373</v>
      </c>
      <c r="F34" s="15" t="n">
        <f aca="false">E34*(1+IF(F$3&lt;=$O$2,$D34,$D34-($D34-$I$6)*MIN(F$3-$O$2,$Q$2)/$Q$2))</f>
        <v>18524.6623461785</v>
      </c>
      <c r="G34" s="15" t="n">
        <f aca="false">F34*(1+IF(G$3&lt;=$O$2,$D34,$D34-($D34-$I$6)*MIN(G$3-$O$2,$Q$2)/$Q$2))</f>
        <v>21071.6934034426</v>
      </c>
      <c r="H34" s="15" t="n">
        <f aca="false">G34*(1+IF(H$3&lt;=$O$2,$D34,$D34-($D34-$I$6)*MIN(H$3-$O$2,$Q$2)/$Q$2))</f>
        <v>23968.9261046254</v>
      </c>
      <c r="I34" s="15" t="n">
        <f aca="false">H34*(1+IF(I$3&lt;=$O$2,$D34,$D34-($D34-$I$6)*MIN(I$3-$O$2,$Q$2)/$Q$2))</f>
        <v>27264.5110959678</v>
      </c>
      <c r="J34" s="15" t="n">
        <f aca="false">I34*(1+IF(J$3&lt;=$O$2,$D34,$D34-($D34-$I$6)*MIN(J$3-$O$2,$Q$2)/$Q$2))</f>
        <v>30417.7949132841</v>
      </c>
      <c r="K34" s="15" t="n">
        <f aca="false">J34*(1+IF(K$3&lt;=$O$2,$D34,$D34-($D34-$I$6)*MIN(K$3-$O$2,$Q$2)/$Q$2))</f>
        <v>33271.4840438733</v>
      </c>
      <c r="L34" s="15" t="n">
        <f aca="false">K34*(1+IF(L$3&lt;=$O$2,$D34,$D34-($D34-$I$6)*MIN(L$3-$O$2,$Q$2)/$Q$2))</f>
        <v>35666.2864275064</v>
      </c>
      <c r="M34" s="15" t="n">
        <f aca="false">L34*(1+IF(M$3&lt;=$O$2,$D34,$D34-($D34-$I$6)*MIN(M$3-$O$2,$Q$2)/$Q$2))</f>
        <v>37454.551665581</v>
      </c>
      <c r="N34" s="15" t="n">
        <f aca="false">M34*(1+IF(N$3&lt;=$O$2,$D34,$D34-($D34-$I$6)*MIN(N$3-$O$2,$Q$2)/$Q$2))</f>
        <v>38514.5154777169</v>
      </c>
      <c r="O34" s="15" t="n">
        <f aca="false">SUMPRODUCT(E34:N34,1/(1+$F$6)^$E$3:$N$3)*$E$2</f>
        <v>53954.0211548054</v>
      </c>
      <c r="P34" s="15" t="n">
        <f aca="false">N34*$E$2*(1+$I$6)/($F$6-$I$6)/(1+$F$6)^$N$3</f>
        <v>78515.9855258794</v>
      </c>
      <c r="Q34" s="15" t="n">
        <f aca="false">O34+P34</f>
        <v>132470.006680685</v>
      </c>
      <c r="R34" s="15" t="n">
        <f aca="false">Q34-$G$2+$I$2</f>
        <v>120850.006680685</v>
      </c>
      <c r="S34" s="40" t="n">
        <f aca="false">R34/$K$2</f>
        <v>409.98068555377</v>
      </c>
      <c r="T34" s="41" t="n">
        <f aca="false">S34-$M$2</f>
        <v>2.26640595428762E-005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0.137494049966335</v>
      </c>
      <c r="C35" s="25" t="n">
        <f aca="false">IF(T34&gt;0,D34,C34)</f>
        <v>0.137494061142206</v>
      </c>
      <c r="D35" s="39" t="n">
        <f aca="false">(B35+C35)/2</f>
        <v>0.137494055554271</v>
      </c>
      <c r="E35" s="15" t="n">
        <f aca="false">$C$2*(1+IF(E$3&lt;=$O$2,$D35,$D35-($D35-$I$6)*MIN(E$3-$O$2,$Q$2)/$Q$2))</f>
        <v>16285.5023933705</v>
      </c>
      <c r="F35" s="15" t="n">
        <f aca="false">E35*(1+IF(F$3&lt;=$O$2,$D35,$D35-($D35-$I$6)*MIN(F$3-$O$2,$Q$2)/$Q$2))</f>
        <v>18524.6621641738</v>
      </c>
      <c r="G35" s="15" t="n">
        <f aca="false">F35*(1+IF(G$3&lt;=$O$2,$D35,$D35-($D35-$I$6)*MIN(G$3-$O$2,$Q$2)/$Q$2))</f>
        <v>21071.6930928988</v>
      </c>
      <c r="H35" s="15" t="n">
        <f aca="false">G35*(1+IF(H$3&lt;=$O$2,$D35,$D35-($D35-$I$6)*MIN(H$3-$O$2,$Q$2)/$Q$2))</f>
        <v>23968.9256336364</v>
      </c>
      <c r="I35" s="15" t="n">
        <f aca="false">H35*(1+IF(I$3&lt;=$O$2,$D35,$D35-($D35-$I$6)*MIN(I$3-$O$2,$Q$2)/$Q$2))</f>
        <v>27264.5104262838</v>
      </c>
      <c r="J35" s="15" t="n">
        <f aca="false">I35*(1+IF(J$3&lt;=$O$2,$D35,$D35-($D35-$I$6)*MIN(J$3-$O$2,$Q$2)/$Q$2))</f>
        <v>30417.7940442657</v>
      </c>
      <c r="K35" s="15" t="n">
        <f aca="false">J35*(1+IF(K$3&lt;=$O$2,$D35,$D35-($D35-$I$6)*MIN(K$3-$O$2,$Q$2)/$Q$2))</f>
        <v>33271.4829913431</v>
      </c>
      <c r="L35" s="15" t="n">
        <f aca="false">K35*(1+IF(L$3&lt;=$O$2,$D35,$D35-($D35-$I$6)*MIN(L$3-$O$2,$Q$2)/$Q$2))</f>
        <v>35666.28522485</v>
      </c>
      <c r="M35" s="15" t="n">
        <f aca="false">L35*(1+IF(M$3&lt;=$O$2,$D35,$D35-($D35-$I$6)*MIN(M$3-$O$2,$Q$2)/$Q$2))</f>
        <v>37454.5503627646</v>
      </c>
      <c r="N35" s="15" t="n">
        <f aca="false">M35*(1+IF(N$3&lt;=$O$2,$D35,$D35-($D35-$I$6)*MIN(N$3-$O$2,$Q$2)/$Q$2))</f>
        <v>38514.5141380309</v>
      </c>
      <c r="O35" s="15" t="n">
        <f aca="false">SUMPRODUCT(E35:N35,1/(1+$F$6)^$E$3:$N$3)*$E$2</f>
        <v>53954.0198549646</v>
      </c>
      <c r="P35" s="15" t="n">
        <f aca="false">N35*$E$2*(1+$I$6)/($F$6-$I$6)/(1+$F$6)^$N$3</f>
        <v>78515.9827947853</v>
      </c>
      <c r="Q35" s="15" t="n">
        <f aca="false">O35+P35</f>
        <v>132470.00264975</v>
      </c>
      <c r="R35" s="15" t="n">
        <f aca="false">Q35-$G$2+$I$2</f>
        <v>120850.00264975</v>
      </c>
      <c r="S35" s="40" t="n">
        <f aca="false">R35/$K$2</f>
        <v>409.980671878922</v>
      </c>
      <c r="T35" s="41" t="n">
        <f aca="false">S35-$M$2</f>
        <v>8.98921155112475E-006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0.137494049966335</v>
      </c>
      <c r="C36" s="25" t="n">
        <f aca="false">IF(T35&gt;0,D35,C35)</f>
        <v>0.137494055554271</v>
      </c>
      <c r="D36" s="39" t="n">
        <f aca="false">(B36+C36)/2</f>
        <v>0.137494052760303</v>
      </c>
      <c r="E36" s="15" t="n">
        <f aca="false">$C$2*(1+IF(E$3&lt;=$O$2,$D36,$D36-($D36-$I$6)*MIN(E$3-$O$2,$Q$2)/$Q$2))</f>
        <v>16285.5023533693</v>
      </c>
      <c r="F36" s="15" t="n">
        <f aca="false">E36*(1+IF(F$3&lt;=$O$2,$D36,$D36-($D36-$I$6)*MIN(F$3-$O$2,$Q$2)/$Q$2))</f>
        <v>18524.6620731715</v>
      </c>
      <c r="G36" s="15" t="n">
        <f aca="false">F36*(1+IF(G$3&lt;=$O$2,$D36,$D36-($D36-$I$6)*MIN(G$3-$O$2,$Q$2)/$Q$2))</f>
        <v>21071.6929376269</v>
      </c>
      <c r="H36" s="15" t="n">
        <f aca="false">G36*(1+IF(H$3&lt;=$O$2,$D36,$D36-($D36-$I$6)*MIN(H$3-$O$2,$Q$2)/$Q$2))</f>
        <v>23968.9253981418</v>
      </c>
      <c r="I36" s="15" t="n">
        <f aca="false">H36*(1+IF(I$3&lt;=$O$2,$D36,$D36-($D36-$I$6)*MIN(I$3-$O$2,$Q$2)/$Q$2))</f>
        <v>27264.5100914417</v>
      </c>
      <c r="J36" s="15" t="n">
        <f aca="false">I36*(1+IF(J$3&lt;=$O$2,$D36,$D36-($D36-$I$6)*MIN(J$3-$O$2,$Q$2)/$Q$2))</f>
        <v>30417.7936097565</v>
      </c>
      <c r="K36" s="15" t="n">
        <f aca="false">J36*(1+IF(K$3&lt;=$O$2,$D36,$D36-($D36-$I$6)*MIN(K$3-$O$2,$Q$2)/$Q$2))</f>
        <v>33271.4824650781</v>
      </c>
      <c r="L36" s="15" t="n">
        <f aca="false">K36*(1+IF(L$3&lt;=$O$2,$D36,$D36-($D36-$I$6)*MIN(L$3-$O$2,$Q$2)/$Q$2))</f>
        <v>35666.2846235219</v>
      </c>
      <c r="M36" s="15" t="n">
        <f aca="false">L36*(1+IF(M$3&lt;=$O$2,$D36,$D36-($D36-$I$6)*MIN(M$3-$O$2,$Q$2)/$Q$2))</f>
        <v>37454.5497113565</v>
      </c>
      <c r="N36" s="15" t="n">
        <f aca="false">M36*(1+IF(N$3&lt;=$O$2,$D36,$D36-($D36-$I$6)*MIN(N$3-$O$2,$Q$2)/$Q$2))</f>
        <v>38514.5134681879</v>
      </c>
      <c r="O36" s="15" t="n">
        <f aca="false">SUMPRODUCT(E36:N36,1/(1+$F$6)^$E$3:$N$3)*$E$2</f>
        <v>53954.0192050442</v>
      </c>
      <c r="P36" s="15" t="n">
        <f aca="false">N36*$E$2*(1+$I$6)/($F$6-$I$6)/(1+$F$6)^$N$3</f>
        <v>78515.9814292382</v>
      </c>
      <c r="Q36" s="15" t="n">
        <f aca="false">O36+P36</f>
        <v>132470.000634282</v>
      </c>
      <c r="R36" s="15" t="n">
        <f aca="false">Q36-$G$2+$I$2</f>
        <v>120850.000634282</v>
      </c>
      <c r="S36" s="40" t="n">
        <f aca="false">R36/$K$2</f>
        <v>409.980665041498</v>
      </c>
      <c r="T36" s="41" t="n">
        <f aca="false">S36-$M$2</f>
        <v>2.15178761209245E-006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0.137494049966335</v>
      </c>
      <c r="C37" s="25" t="n">
        <f aca="false">IF(T36&gt;0,D36,C36)</f>
        <v>0.137494052760303</v>
      </c>
      <c r="D37" s="39" t="n">
        <f aca="false">(B37+C37)/2</f>
        <v>0.137494051363319</v>
      </c>
      <c r="E37" s="15" t="n">
        <f aca="false">$C$2*(1+IF(E$3&lt;=$O$2,$D37,$D37-($D37-$I$6)*MIN(E$3-$O$2,$Q$2)/$Q$2))</f>
        <v>16285.5023333686</v>
      </c>
      <c r="F37" s="15" t="n">
        <f aca="false">E37*(1+IF(F$3&lt;=$O$2,$D37,$D37-($D37-$I$6)*MIN(F$3-$O$2,$Q$2)/$Q$2))</f>
        <v>18524.6620276703</v>
      </c>
      <c r="G37" s="15" t="n">
        <f aca="false">F37*(1+IF(G$3&lt;=$O$2,$D37,$D37-($D37-$I$6)*MIN(G$3-$O$2,$Q$2)/$Q$2))</f>
        <v>21071.6928599909</v>
      </c>
      <c r="H37" s="15" t="n">
        <f aca="false">G37*(1+IF(H$3&lt;=$O$2,$D37,$D37-($D37-$I$6)*MIN(H$3-$O$2,$Q$2)/$Q$2))</f>
        <v>23968.9252803946</v>
      </c>
      <c r="I37" s="15" t="n">
        <f aca="false">H37*(1+IF(I$3&lt;=$O$2,$D37,$D37-($D37-$I$6)*MIN(I$3-$O$2,$Q$2)/$Q$2))</f>
        <v>27264.5099240207</v>
      </c>
      <c r="J37" s="15" t="n">
        <f aca="false">I37*(1+IF(J$3&lt;=$O$2,$D37,$D37-($D37-$I$6)*MIN(J$3-$O$2,$Q$2)/$Q$2))</f>
        <v>30417.7933925019</v>
      </c>
      <c r="K37" s="15" t="n">
        <f aca="false">J37*(1+IF(K$3&lt;=$O$2,$D37,$D37-($D37-$I$6)*MIN(K$3-$O$2,$Q$2)/$Q$2))</f>
        <v>33271.4822019455</v>
      </c>
      <c r="L37" s="15" t="n">
        <f aca="false">K37*(1+IF(L$3&lt;=$O$2,$D37,$D37-($D37-$I$6)*MIN(L$3-$O$2,$Q$2)/$Q$2))</f>
        <v>35666.2843228578</v>
      </c>
      <c r="M37" s="15" t="n">
        <f aca="false">L37*(1+IF(M$3&lt;=$O$2,$D37,$D37-($D37-$I$6)*MIN(M$3-$O$2,$Q$2)/$Q$2))</f>
        <v>37454.5493856524</v>
      </c>
      <c r="N37" s="15" t="n">
        <f aca="false">M37*(1+IF(N$3&lt;=$O$2,$D37,$D37-($D37-$I$6)*MIN(N$3-$O$2,$Q$2)/$Q$2))</f>
        <v>38514.5131332664</v>
      </c>
      <c r="O37" s="15" t="n">
        <f aca="false">SUMPRODUCT(E37:N37,1/(1+$F$6)^$E$3:$N$3)*$E$2</f>
        <v>53954.018880084</v>
      </c>
      <c r="P37" s="15" t="n">
        <f aca="false">N37*$E$2*(1+$I$6)/($F$6-$I$6)/(1+$F$6)^$N$3</f>
        <v>78515.9807464647</v>
      </c>
      <c r="Q37" s="15" t="n">
        <f aca="false">O37+P37</f>
        <v>132469.999626549</v>
      </c>
      <c r="R37" s="15" t="n">
        <f aca="false">Q37-$G$2+$I$2</f>
        <v>120849.999626549</v>
      </c>
      <c r="S37" s="40" t="n">
        <f aca="false">R37/$K$2</f>
        <v>409.980661622786</v>
      </c>
      <c r="T37" s="41" t="n">
        <f aca="false">S37-$M$2</f>
        <v>-1.26692430058029E-006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0.137494051363319</v>
      </c>
      <c r="C38" s="25" t="n">
        <f aca="false">IF(T37&gt;0,D37,C37)</f>
        <v>0.137494052760303</v>
      </c>
      <c r="D38" s="39" t="n">
        <f aca="false">(B38+C38)/2</f>
        <v>0.137494052061811</v>
      </c>
      <c r="E38" s="15" t="n">
        <f aca="false">$C$2*(1+IF(E$3&lt;=$O$2,$D38,$D38-($D38-$I$6)*MIN(E$3-$O$2,$Q$2)/$Q$2))</f>
        <v>16285.502343369</v>
      </c>
      <c r="F38" s="15" t="n">
        <f aca="false">E38*(1+IF(F$3&lt;=$O$2,$D38,$D38-($D38-$I$6)*MIN(F$3-$O$2,$Q$2)/$Q$2))</f>
        <v>18524.6620504209</v>
      </c>
      <c r="G38" s="15" t="n">
        <f aca="false">F38*(1+IF(G$3&lt;=$O$2,$D38,$D38-($D38-$I$6)*MIN(G$3-$O$2,$Q$2)/$Q$2))</f>
        <v>21071.6928988089</v>
      </c>
      <c r="H38" s="15" t="n">
        <f aca="false">G38*(1+IF(H$3&lt;=$O$2,$D38,$D38-($D38-$I$6)*MIN(H$3-$O$2,$Q$2)/$Q$2))</f>
        <v>23968.9253392682</v>
      </c>
      <c r="I38" s="15" t="n">
        <f aca="false">H38*(1+IF(I$3&lt;=$O$2,$D38,$D38-($D38-$I$6)*MIN(I$3-$O$2,$Q$2)/$Q$2))</f>
        <v>27264.5100077312</v>
      </c>
      <c r="J38" s="15" t="n">
        <f aca="false">I38*(1+IF(J$3&lt;=$O$2,$D38,$D38-($D38-$I$6)*MIN(J$3-$O$2,$Q$2)/$Q$2))</f>
        <v>30417.7935011292</v>
      </c>
      <c r="K38" s="15" t="n">
        <f aca="false">J38*(1+IF(K$3&lt;=$O$2,$D38,$D38-($D38-$I$6)*MIN(K$3-$O$2,$Q$2)/$Q$2))</f>
        <v>33271.4823335118</v>
      </c>
      <c r="L38" s="15" t="n">
        <f aca="false">K38*(1+IF(L$3&lt;=$O$2,$D38,$D38-($D38-$I$6)*MIN(L$3-$O$2,$Q$2)/$Q$2))</f>
        <v>35666.2844731898</v>
      </c>
      <c r="M38" s="15" t="n">
        <f aca="false">L38*(1+IF(M$3&lt;=$O$2,$D38,$D38-($D38-$I$6)*MIN(M$3-$O$2,$Q$2)/$Q$2))</f>
        <v>37454.5495485044</v>
      </c>
      <c r="N38" s="15" t="n">
        <f aca="false">M38*(1+IF(N$3&lt;=$O$2,$D38,$D38-($D38-$I$6)*MIN(N$3-$O$2,$Q$2)/$Q$2))</f>
        <v>38514.5133007271</v>
      </c>
      <c r="O38" s="15" t="n">
        <f aca="false">SUMPRODUCT(E38:N38,1/(1+$F$6)^$E$3:$N$3)*$E$2</f>
        <v>53954.0190425641</v>
      </c>
      <c r="P38" s="15" t="n">
        <f aca="false">N38*$E$2*(1+$I$6)/($F$6-$I$6)/(1+$F$6)^$N$3</f>
        <v>78515.9810878514</v>
      </c>
      <c r="Q38" s="15" t="n">
        <f aca="false">O38+P38</f>
        <v>132470.000130416</v>
      </c>
      <c r="R38" s="15" t="n">
        <f aca="false">Q38-$G$2+$I$2</f>
        <v>120850.000130416</v>
      </c>
      <c r="S38" s="40" t="n">
        <f aca="false">R38/$K$2</f>
        <v>409.980663332142</v>
      </c>
      <c r="T38" s="41" t="n">
        <f aca="false">S38-$M$2</f>
        <v>4.424317125995E-007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0.137494051363319</v>
      </c>
      <c r="C39" s="25" t="n">
        <f aca="false">IF(T38&gt;0,D38,C38)</f>
        <v>0.137494052061811</v>
      </c>
      <c r="D39" s="39" t="n">
        <f aca="false">(B39+C39)/2</f>
        <v>0.137494051712565</v>
      </c>
      <c r="E39" s="15" t="n">
        <f aca="false">$C$2*(1+IF(E$3&lt;=$O$2,$D39,$D39-($D39-$I$6)*MIN(E$3-$O$2,$Q$2)/$Q$2))</f>
        <v>16285.5023383688</v>
      </c>
      <c r="F39" s="15" t="n">
        <f aca="false">E39*(1+IF(F$3&lt;=$O$2,$D39,$D39-($D39-$I$6)*MIN(F$3-$O$2,$Q$2)/$Q$2))</f>
        <v>18524.6620390456</v>
      </c>
      <c r="G39" s="15" t="n">
        <f aca="false">F39*(1+IF(G$3&lt;=$O$2,$D39,$D39-($D39-$I$6)*MIN(G$3-$O$2,$Q$2)/$Q$2))</f>
        <v>21071.6928793999</v>
      </c>
      <c r="H39" s="15" t="n">
        <f aca="false">G39*(1+IF(H$3&lt;=$O$2,$D39,$D39-($D39-$I$6)*MIN(H$3-$O$2,$Q$2)/$Q$2))</f>
        <v>23968.9253098314</v>
      </c>
      <c r="I39" s="15" t="n">
        <f aca="false">H39*(1+IF(I$3&lt;=$O$2,$D39,$D39-($D39-$I$6)*MIN(I$3-$O$2,$Q$2)/$Q$2))</f>
        <v>27264.509965876</v>
      </c>
      <c r="J39" s="15" t="n">
        <f aca="false">I39*(1+IF(J$3&lt;=$O$2,$D39,$D39-($D39-$I$6)*MIN(J$3-$O$2,$Q$2)/$Q$2))</f>
        <v>30417.7934468155</v>
      </c>
      <c r="K39" s="15" t="n">
        <f aca="false">J39*(1+IF(K$3&lt;=$O$2,$D39,$D39-($D39-$I$6)*MIN(K$3-$O$2,$Q$2)/$Q$2))</f>
        <v>33271.4822677286</v>
      </c>
      <c r="L39" s="15" t="n">
        <f aca="false">K39*(1+IF(L$3&lt;=$O$2,$D39,$D39-($D39-$I$6)*MIN(L$3-$O$2,$Q$2)/$Q$2))</f>
        <v>35666.2843980238</v>
      </c>
      <c r="M39" s="15" t="n">
        <f aca="false">L39*(1+IF(M$3&lt;=$O$2,$D39,$D39-($D39-$I$6)*MIN(M$3-$O$2,$Q$2)/$Q$2))</f>
        <v>37454.5494670784</v>
      </c>
      <c r="N39" s="15" t="n">
        <f aca="false">M39*(1+IF(N$3&lt;=$O$2,$D39,$D39-($D39-$I$6)*MIN(N$3-$O$2,$Q$2)/$Q$2))</f>
        <v>38514.5132169968</v>
      </c>
      <c r="O39" s="15" t="n">
        <f aca="false">SUMPRODUCT(E39:N39,1/(1+$F$6)^$E$3:$N$3)*$E$2</f>
        <v>53954.0189613241</v>
      </c>
      <c r="P39" s="15" t="n">
        <f aca="false">N39*$E$2*(1+$I$6)/($F$6-$I$6)/(1+$F$6)^$N$3</f>
        <v>78515.9809171581</v>
      </c>
      <c r="Q39" s="15" t="n">
        <f aca="false">O39+P39</f>
        <v>132469.999878482</v>
      </c>
      <c r="R39" s="15" t="n">
        <f aca="false">Q39-$G$2+$I$2</f>
        <v>120849.999878482</v>
      </c>
      <c r="S39" s="40" t="n">
        <f aca="false">R39/$K$2</f>
        <v>409.980662477464</v>
      </c>
      <c r="T39" s="41" t="n">
        <f aca="false">S39-$M$2</f>
        <v>-4.12246322412102E-007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0.137494051712565</v>
      </c>
      <c r="C40" s="25" t="n">
        <f aca="false">IF(T39&gt;0,D39,C39)</f>
        <v>0.137494052061811</v>
      </c>
      <c r="D40" s="39" t="n">
        <f aca="false">(B40+C40)/2</f>
        <v>0.137494051887188</v>
      </c>
      <c r="E40" s="15" t="n">
        <f aca="false">$C$2*(1+IF(E$3&lt;=$O$2,$D40,$D40-($D40-$I$6)*MIN(E$3-$O$2,$Q$2)/$Q$2))</f>
        <v>16285.5023408689</v>
      </c>
      <c r="F40" s="15" t="n">
        <f aca="false">E40*(1+IF(F$3&lt;=$O$2,$D40,$D40-($D40-$I$6)*MIN(F$3-$O$2,$Q$2)/$Q$2))</f>
        <v>18524.6620447332</v>
      </c>
      <c r="G40" s="15" t="n">
        <f aca="false">F40*(1+IF(G$3&lt;=$O$2,$D40,$D40-($D40-$I$6)*MIN(G$3-$O$2,$Q$2)/$Q$2))</f>
        <v>21071.6928891044</v>
      </c>
      <c r="H40" s="15" t="n">
        <f aca="false">G40*(1+IF(H$3&lt;=$O$2,$D40,$D40-($D40-$I$6)*MIN(H$3-$O$2,$Q$2)/$Q$2))</f>
        <v>23968.9253245498</v>
      </c>
      <c r="I40" s="15" t="n">
        <f aca="false">H40*(1+IF(I$3&lt;=$O$2,$D40,$D40-($D40-$I$6)*MIN(I$3-$O$2,$Q$2)/$Q$2))</f>
        <v>27264.5099868036</v>
      </c>
      <c r="J40" s="15" t="n">
        <f aca="false">I40*(1+IF(J$3&lt;=$O$2,$D40,$D40-($D40-$I$6)*MIN(J$3-$O$2,$Q$2)/$Q$2))</f>
        <v>30417.7934739724</v>
      </c>
      <c r="K40" s="15" t="n">
        <f aca="false">J40*(1+IF(K$3&lt;=$O$2,$D40,$D40-($D40-$I$6)*MIN(K$3-$O$2,$Q$2)/$Q$2))</f>
        <v>33271.4823006202</v>
      </c>
      <c r="L40" s="15" t="n">
        <f aca="false">K40*(1+IF(L$3&lt;=$O$2,$D40,$D40-($D40-$I$6)*MIN(L$3-$O$2,$Q$2)/$Q$2))</f>
        <v>35666.2844356068</v>
      </c>
      <c r="M40" s="15" t="n">
        <f aca="false">L40*(1+IF(M$3&lt;=$O$2,$D40,$D40-($D40-$I$6)*MIN(M$3-$O$2,$Q$2)/$Q$2))</f>
        <v>37454.5495077914</v>
      </c>
      <c r="N40" s="15" t="n">
        <f aca="false">M40*(1+IF(N$3&lt;=$O$2,$D40,$D40-($D40-$I$6)*MIN(N$3-$O$2,$Q$2)/$Q$2))</f>
        <v>38514.5132588619</v>
      </c>
      <c r="O40" s="15" t="n">
        <f aca="false">SUMPRODUCT(E40:N40,1/(1+$F$6)^$E$3:$N$3)*$E$2</f>
        <v>53954.0190019441</v>
      </c>
      <c r="P40" s="15" t="n">
        <f aca="false">N40*$E$2*(1+$I$6)/($F$6-$I$6)/(1+$F$6)^$N$3</f>
        <v>78515.9810025048</v>
      </c>
      <c r="Q40" s="15" t="n">
        <f aca="false">O40+P40</f>
        <v>132470.000004449</v>
      </c>
      <c r="R40" s="15" t="n">
        <f aca="false">Q40-$G$2+$I$2</f>
        <v>120850.000004449</v>
      </c>
      <c r="S40" s="40" t="n">
        <f aca="false">R40/$K$2</f>
        <v>409.980662904803</v>
      </c>
      <c r="T40" s="41" t="n">
        <f aca="false">S40-$M$2</f>
        <v>1.50927803588274E-008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0.137494051712565</v>
      </c>
      <c r="C41" s="25" t="n">
        <f aca="false">IF(T40&gt;0,D40,C40)</f>
        <v>0.137494051887188</v>
      </c>
      <c r="D41" s="39" t="n">
        <f aca="false">(B41+C41)/2</f>
        <v>0.137494051799877</v>
      </c>
      <c r="E41" s="15" t="n">
        <f aca="false">$C$2*(1+IF(E$3&lt;=$O$2,$D41,$D41-($D41-$I$6)*MIN(E$3-$O$2,$Q$2)/$Q$2))</f>
        <v>16285.5023396188</v>
      </c>
      <c r="F41" s="15" t="n">
        <f aca="false">E41*(1+IF(F$3&lt;=$O$2,$D41,$D41-($D41-$I$6)*MIN(F$3-$O$2,$Q$2)/$Q$2))</f>
        <v>18524.6620418894</v>
      </c>
      <c r="G41" s="15" t="n">
        <f aca="false">F41*(1+IF(G$3&lt;=$O$2,$D41,$D41-($D41-$I$6)*MIN(G$3-$O$2,$Q$2)/$Q$2))</f>
        <v>21071.6928842522</v>
      </c>
      <c r="H41" s="15" t="n">
        <f aca="false">G41*(1+IF(H$3&lt;=$O$2,$D41,$D41-($D41-$I$6)*MIN(H$3-$O$2,$Q$2)/$Q$2))</f>
        <v>23968.9253171906</v>
      </c>
      <c r="I41" s="15" t="n">
        <f aca="false">H41*(1+IF(I$3&lt;=$O$2,$D41,$D41-($D41-$I$6)*MIN(I$3-$O$2,$Q$2)/$Q$2))</f>
        <v>27264.5099763398</v>
      </c>
      <c r="J41" s="15" t="n">
        <f aca="false">I41*(1+IF(J$3&lt;=$O$2,$D41,$D41-($D41-$I$6)*MIN(J$3-$O$2,$Q$2)/$Q$2))</f>
        <v>30417.793460394</v>
      </c>
      <c r="K41" s="15" t="n">
        <f aca="false">J41*(1+IF(K$3&lt;=$O$2,$D41,$D41-($D41-$I$6)*MIN(K$3-$O$2,$Q$2)/$Q$2))</f>
        <v>33271.4822841744</v>
      </c>
      <c r="L41" s="15" t="n">
        <f aca="false">K41*(1+IF(L$3&lt;=$O$2,$D41,$D41-($D41-$I$6)*MIN(L$3-$O$2,$Q$2)/$Q$2))</f>
        <v>35666.2844168153</v>
      </c>
      <c r="M41" s="15" t="n">
        <f aca="false">L41*(1+IF(M$3&lt;=$O$2,$D41,$D41-($D41-$I$6)*MIN(M$3-$O$2,$Q$2)/$Q$2))</f>
        <v>37454.5494874349</v>
      </c>
      <c r="N41" s="15" t="n">
        <f aca="false">M41*(1+IF(N$3&lt;=$O$2,$D41,$D41-($D41-$I$6)*MIN(N$3-$O$2,$Q$2)/$Q$2))</f>
        <v>38514.5132379293</v>
      </c>
      <c r="O41" s="15" t="n">
        <f aca="false">SUMPRODUCT(E41:N41,1/(1+$F$6)^$E$3:$N$3)*$E$2</f>
        <v>53954.0189816341</v>
      </c>
      <c r="P41" s="15" t="n">
        <f aca="false">N41*$E$2*(1+$I$6)/($F$6-$I$6)/(1+$F$6)^$N$3</f>
        <v>78515.9809598314</v>
      </c>
      <c r="Q41" s="15" t="n">
        <f aca="false">O41+P41</f>
        <v>132469.999941466</v>
      </c>
      <c r="R41" s="15" t="n">
        <f aca="false">Q41-$G$2+$I$2</f>
        <v>120849.999941466</v>
      </c>
      <c r="S41" s="40" t="n">
        <f aca="false">R41/$K$2</f>
        <v>409.980662691134</v>
      </c>
      <c r="T41" s="41" t="n">
        <f aca="false">S41-$M$2</f>
        <v>-1.98576799448347E-007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0.137494051799877</v>
      </c>
      <c r="C42" s="25" t="n">
        <f aca="false">IF(T41&gt;0,D41,C41)</f>
        <v>0.137494051887188</v>
      </c>
      <c r="D42" s="39" t="n">
        <f aca="false">(B42+C42)/2</f>
        <v>0.137494051843532</v>
      </c>
      <c r="E42" s="15" t="n">
        <f aca="false">$C$2*(1+IF(E$3&lt;=$O$2,$D42,$D42-($D42-$I$6)*MIN(E$3-$O$2,$Q$2)/$Q$2))</f>
        <v>16285.5023402439</v>
      </c>
      <c r="F42" s="15" t="n">
        <f aca="false">E42*(1+IF(F$3&lt;=$O$2,$D42,$D42-($D42-$I$6)*MIN(F$3-$O$2,$Q$2)/$Q$2))</f>
        <v>18524.6620433113</v>
      </c>
      <c r="G42" s="15" t="n">
        <f aca="false">F42*(1+IF(G$3&lt;=$O$2,$D42,$D42-($D42-$I$6)*MIN(G$3-$O$2,$Q$2)/$Q$2))</f>
        <v>21071.6928866783</v>
      </c>
      <c r="H42" s="15" t="n">
        <f aca="false">G42*(1+IF(H$3&lt;=$O$2,$D42,$D42-($D42-$I$6)*MIN(H$3-$O$2,$Q$2)/$Q$2))</f>
        <v>23968.9253208702</v>
      </c>
      <c r="I42" s="15" t="n">
        <f aca="false">H42*(1+IF(I$3&lt;=$O$2,$D42,$D42-($D42-$I$6)*MIN(I$3-$O$2,$Q$2)/$Q$2))</f>
        <v>27264.5099815717</v>
      </c>
      <c r="J42" s="15" t="n">
        <f aca="false">I42*(1+IF(J$3&lt;=$O$2,$D42,$D42-($D42-$I$6)*MIN(J$3-$O$2,$Q$2)/$Q$2))</f>
        <v>30417.7934671832</v>
      </c>
      <c r="K42" s="15" t="n">
        <f aca="false">J42*(1+IF(K$3&lt;=$O$2,$D42,$D42-($D42-$I$6)*MIN(K$3-$O$2,$Q$2)/$Q$2))</f>
        <v>33271.4822923973</v>
      </c>
      <c r="L42" s="15" t="n">
        <f aca="false">K42*(1+IF(L$3&lt;=$O$2,$D42,$D42-($D42-$I$6)*MIN(L$3-$O$2,$Q$2)/$Q$2))</f>
        <v>35666.284426211</v>
      </c>
      <c r="M42" s="15" t="n">
        <f aca="false">L42*(1+IF(M$3&lt;=$O$2,$D42,$D42-($D42-$I$6)*MIN(M$3-$O$2,$Q$2)/$Q$2))</f>
        <v>37454.5494976132</v>
      </c>
      <c r="N42" s="15" t="n">
        <f aca="false">M42*(1+IF(N$3&lt;=$O$2,$D42,$D42-($D42-$I$6)*MIN(N$3-$O$2,$Q$2)/$Q$2))</f>
        <v>38514.5132483956</v>
      </c>
      <c r="O42" s="15" t="n">
        <f aca="false">SUMPRODUCT(E42:N42,1/(1+$F$6)^$E$3:$N$3)*$E$2</f>
        <v>53954.0189917891</v>
      </c>
      <c r="P42" s="15" t="n">
        <f aca="false">N42*$E$2*(1+$I$6)/($F$6-$I$6)/(1+$F$6)^$N$3</f>
        <v>78515.9809811681</v>
      </c>
      <c r="Q42" s="15" t="n">
        <f aca="false">O42+P42</f>
        <v>132469.999972957</v>
      </c>
      <c r="R42" s="15" t="n">
        <f aca="false">Q42-$G$2+$I$2</f>
        <v>120849.999972957</v>
      </c>
      <c r="S42" s="40" t="n">
        <f aca="false">R42/$K$2</f>
        <v>409.980662797969</v>
      </c>
      <c r="T42" s="41" t="n">
        <f aca="false">S42-$M$2</f>
        <v>-9.17419811230502E-008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0.137494051843532</v>
      </c>
      <c r="C43" s="25" t="n">
        <f aca="false">IF(T42&gt;0,D42,C42)</f>
        <v>0.137494051887188</v>
      </c>
      <c r="D43" s="39" t="n">
        <f aca="false">(B43+C43)/2</f>
        <v>0.13749405186536</v>
      </c>
      <c r="E43" s="15" t="n">
        <f aca="false">$C$2*(1+IF(E$3&lt;=$O$2,$D43,$D43-($D43-$I$6)*MIN(E$3-$O$2,$Q$2)/$Q$2))</f>
        <v>16285.5023405564</v>
      </c>
      <c r="F43" s="15" t="n">
        <f aca="false">E43*(1+IF(F$3&lt;=$O$2,$D43,$D43-($D43-$I$6)*MIN(F$3-$O$2,$Q$2)/$Q$2))</f>
        <v>18524.6620440223</v>
      </c>
      <c r="G43" s="15" t="n">
        <f aca="false">F43*(1+IF(G$3&lt;=$O$2,$D43,$D43-($D43-$I$6)*MIN(G$3-$O$2,$Q$2)/$Q$2))</f>
        <v>21071.6928878913</v>
      </c>
      <c r="H43" s="15" t="n">
        <f aca="false">G43*(1+IF(H$3&lt;=$O$2,$D43,$D43-($D43-$I$6)*MIN(H$3-$O$2,$Q$2)/$Q$2))</f>
        <v>23968.92532271</v>
      </c>
      <c r="I43" s="15" t="n">
        <f aca="false">H43*(1+IF(I$3&lt;=$O$2,$D43,$D43-($D43-$I$6)*MIN(I$3-$O$2,$Q$2)/$Q$2))</f>
        <v>27264.5099841876</v>
      </c>
      <c r="J43" s="15" t="n">
        <f aca="false">I43*(1+IF(J$3&lt;=$O$2,$D43,$D43-($D43-$I$6)*MIN(J$3-$O$2,$Q$2)/$Q$2))</f>
        <v>30417.7934705778</v>
      </c>
      <c r="K43" s="15" t="n">
        <f aca="false">J43*(1+IF(K$3&lt;=$O$2,$D43,$D43-($D43-$I$6)*MIN(K$3-$O$2,$Q$2)/$Q$2))</f>
        <v>33271.4822965088</v>
      </c>
      <c r="L43" s="15" t="n">
        <f aca="false">K43*(1+IF(L$3&lt;=$O$2,$D43,$D43-($D43-$I$6)*MIN(L$3-$O$2,$Q$2)/$Q$2))</f>
        <v>35666.2844309089</v>
      </c>
      <c r="M43" s="15" t="n">
        <f aca="false">L43*(1+IF(M$3&lt;=$O$2,$D43,$D43-($D43-$I$6)*MIN(M$3-$O$2,$Q$2)/$Q$2))</f>
        <v>37454.5495027023</v>
      </c>
      <c r="N43" s="15" t="n">
        <f aca="false">M43*(1+IF(N$3&lt;=$O$2,$D43,$D43-($D43-$I$6)*MIN(N$3-$O$2,$Q$2)/$Q$2))</f>
        <v>38514.5132536288</v>
      </c>
      <c r="O43" s="15" t="n">
        <f aca="false">SUMPRODUCT(E43:N43,1/(1+$F$6)^$E$3:$N$3)*$E$2</f>
        <v>53954.0189968666</v>
      </c>
      <c r="P43" s="15" t="n">
        <f aca="false">N43*$E$2*(1+$I$6)/($F$6-$I$6)/(1+$F$6)^$N$3</f>
        <v>78515.9809918364</v>
      </c>
      <c r="Q43" s="15" t="n">
        <f aca="false">O43+P43</f>
        <v>132469.999988703</v>
      </c>
      <c r="R43" s="15" t="n">
        <f aca="false">Q43-$G$2+$I$2</f>
        <v>120849.999988703</v>
      </c>
      <c r="S43" s="40" t="n">
        <f aca="false">R43/$K$2</f>
        <v>409.980662851386</v>
      </c>
      <c r="T43" s="41" t="n">
        <f aca="false">S43-$M$2</f>
        <v>-3.83246288038208E-008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0.13749405186536</v>
      </c>
      <c r="C44" s="25" t="n">
        <f aca="false">IF(T43&gt;0,D43,C43)</f>
        <v>0.137494051887188</v>
      </c>
      <c r="D44" s="39" t="n">
        <f aca="false">(B44+C44)/2</f>
        <v>0.137494051876274</v>
      </c>
      <c r="E44" s="15" t="n">
        <f aca="false">$C$2*(1+IF(E$3&lt;=$O$2,$D44,$D44-($D44-$I$6)*MIN(E$3-$O$2,$Q$2)/$Q$2))</f>
        <v>16285.5023407126</v>
      </c>
      <c r="F44" s="15" t="n">
        <f aca="false">E44*(1+IF(F$3&lt;=$O$2,$D44,$D44-($D44-$I$6)*MIN(F$3-$O$2,$Q$2)/$Q$2))</f>
        <v>18524.6620443777</v>
      </c>
      <c r="G44" s="15" t="n">
        <f aca="false">F44*(1+IF(G$3&lt;=$O$2,$D44,$D44-($D44-$I$6)*MIN(G$3-$O$2,$Q$2)/$Q$2))</f>
        <v>21071.6928884979</v>
      </c>
      <c r="H44" s="15" t="n">
        <f aca="false">G44*(1+IF(H$3&lt;=$O$2,$D44,$D44-($D44-$I$6)*MIN(H$3-$O$2,$Q$2)/$Q$2))</f>
        <v>23968.9253236299</v>
      </c>
      <c r="I44" s="15" t="n">
        <f aca="false">H44*(1+IF(I$3&lt;=$O$2,$D44,$D44-($D44-$I$6)*MIN(I$3-$O$2,$Q$2)/$Q$2))</f>
        <v>27264.5099854956</v>
      </c>
      <c r="J44" s="15" t="n">
        <f aca="false">I44*(1+IF(J$3&lt;=$O$2,$D44,$D44-($D44-$I$6)*MIN(J$3-$O$2,$Q$2)/$Q$2))</f>
        <v>30417.7934722751</v>
      </c>
      <c r="K44" s="15" t="n">
        <f aca="false">J44*(1+IF(K$3&lt;=$O$2,$D44,$D44-($D44-$I$6)*MIN(K$3-$O$2,$Q$2)/$Q$2))</f>
        <v>33271.4822985645</v>
      </c>
      <c r="L44" s="15" t="n">
        <f aca="false">K44*(1+IF(L$3&lt;=$O$2,$D44,$D44-($D44-$I$6)*MIN(L$3-$O$2,$Q$2)/$Q$2))</f>
        <v>35666.2844332579</v>
      </c>
      <c r="M44" s="15" t="n">
        <f aca="false">L44*(1+IF(M$3&lt;=$O$2,$D44,$D44-($D44-$I$6)*MIN(M$3-$O$2,$Q$2)/$Q$2))</f>
        <v>37454.5495052469</v>
      </c>
      <c r="N44" s="15" t="n">
        <f aca="false">M44*(1+IF(N$3&lt;=$O$2,$D44,$D44-($D44-$I$6)*MIN(N$3-$O$2,$Q$2)/$Q$2))</f>
        <v>38514.5132562454</v>
      </c>
      <c r="O44" s="15" t="n">
        <f aca="false">SUMPRODUCT(E44:N44,1/(1+$F$6)^$E$3:$N$3)*$E$2</f>
        <v>53954.0189994054</v>
      </c>
      <c r="P44" s="15" t="n">
        <f aca="false">N44*$E$2*(1+$I$6)/($F$6-$I$6)/(1+$F$6)^$N$3</f>
        <v>78515.9809971706</v>
      </c>
      <c r="Q44" s="15" t="n">
        <f aca="false">O44+P44</f>
        <v>132469.999996576</v>
      </c>
      <c r="R44" s="15" t="n">
        <f aca="false">Q44-$G$2+$I$2</f>
        <v>120849.999996576</v>
      </c>
      <c r="S44" s="40" t="n">
        <f aca="false">R44/$K$2</f>
        <v>409.980662878095</v>
      </c>
      <c r="T44" s="41" t="n">
        <f aca="false">S44-$M$2</f>
        <v>-1.1616009487625E-008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0.137494051876274</v>
      </c>
      <c r="C45" s="25" t="n">
        <f aca="false">IF(T44&gt;0,D44,C44)</f>
        <v>0.137494051887188</v>
      </c>
      <c r="D45" s="39" t="n">
        <f aca="false">(B45+C45)/2</f>
        <v>0.137494051881731</v>
      </c>
      <c r="E45" s="15" t="n">
        <f aca="false">$C$2*(1+IF(E$3&lt;=$O$2,$D45,$D45-($D45-$I$6)*MIN(E$3-$O$2,$Q$2)/$Q$2))</f>
        <v>16285.5023407907</v>
      </c>
      <c r="F45" s="15" t="n">
        <f aca="false">E45*(1+IF(F$3&lt;=$O$2,$D45,$D45-($D45-$I$6)*MIN(F$3-$O$2,$Q$2)/$Q$2))</f>
        <v>18524.6620445555</v>
      </c>
      <c r="G45" s="15" t="n">
        <f aca="false">F45*(1+IF(G$3&lt;=$O$2,$D45,$D45-($D45-$I$6)*MIN(G$3-$O$2,$Q$2)/$Q$2))</f>
        <v>21071.6928888011</v>
      </c>
      <c r="H45" s="15" t="n">
        <f aca="false">G45*(1+IF(H$3&lt;=$O$2,$D45,$D45-($D45-$I$6)*MIN(H$3-$O$2,$Q$2)/$Q$2))</f>
        <v>23968.9253240899</v>
      </c>
      <c r="I45" s="15" t="n">
        <f aca="false">H45*(1+IF(I$3&lt;=$O$2,$D45,$D45-($D45-$I$6)*MIN(I$3-$O$2,$Q$2)/$Q$2))</f>
        <v>27264.5099861496</v>
      </c>
      <c r="J45" s="15" t="n">
        <f aca="false">I45*(1+IF(J$3&lt;=$O$2,$D45,$D45-($D45-$I$6)*MIN(J$3-$O$2,$Q$2)/$Q$2))</f>
        <v>30417.7934731237</v>
      </c>
      <c r="K45" s="15" t="n">
        <f aca="false">J45*(1+IF(K$3&lt;=$O$2,$D45,$D45-($D45-$I$6)*MIN(K$3-$O$2,$Q$2)/$Q$2))</f>
        <v>33271.4822995923</v>
      </c>
      <c r="L45" s="15" t="n">
        <f aca="false">K45*(1+IF(L$3&lt;=$O$2,$D45,$D45-($D45-$I$6)*MIN(L$3-$O$2,$Q$2)/$Q$2))</f>
        <v>35666.2844344323</v>
      </c>
      <c r="M45" s="15" t="n">
        <f aca="false">L45*(1+IF(M$3&lt;=$O$2,$D45,$D45-($D45-$I$6)*MIN(M$3-$O$2,$Q$2)/$Q$2))</f>
        <v>37454.5495065192</v>
      </c>
      <c r="N45" s="15" t="n">
        <f aca="false">M45*(1+IF(N$3&lt;=$O$2,$D45,$D45-($D45-$I$6)*MIN(N$3-$O$2,$Q$2)/$Q$2))</f>
        <v>38514.5132575537</v>
      </c>
      <c r="O45" s="15" t="n">
        <f aca="false">SUMPRODUCT(E45:N45,1/(1+$F$6)^$E$3:$N$3)*$E$2</f>
        <v>53954.0190006747</v>
      </c>
      <c r="P45" s="15" t="n">
        <f aca="false">N45*$E$2*(1+$I$6)/($F$6-$I$6)/(1+$F$6)^$N$3</f>
        <v>78515.9809998376</v>
      </c>
      <c r="Q45" s="15" t="n">
        <f aca="false">O45+P45</f>
        <v>132470.000000512</v>
      </c>
      <c r="R45" s="15" t="n">
        <f aca="false">Q45-$G$2+$I$2</f>
        <v>120850.000000512</v>
      </c>
      <c r="S45" s="40" t="n">
        <f aca="false">R45/$K$2</f>
        <v>409.980662891449</v>
      </c>
      <c r="T45" s="41" t="n">
        <f aca="false">S45-$M$2</f>
        <v>1.73827174876351E-009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0.137494051876274</v>
      </c>
      <c r="C46" s="25" t="n">
        <f aca="false">IF(T45&gt;0,D45,C45)</f>
        <v>0.137494051881731</v>
      </c>
      <c r="D46" s="39" t="n">
        <f aca="false">(B46+C46)/2</f>
        <v>0.137494051879003</v>
      </c>
      <c r="E46" s="15" t="n">
        <f aca="false">$C$2*(1+IF(E$3&lt;=$O$2,$D46,$D46-($D46-$I$6)*MIN(E$3-$O$2,$Q$2)/$Q$2))</f>
        <v>16285.5023407517</v>
      </c>
      <c r="F46" s="15" t="n">
        <f aca="false">E46*(1+IF(F$3&lt;=$O$2,$D46,$D46-($D46-$I$6)*MIN(F$3-$O$2,$Q$2)/$Q$2))</f>
        <v>18524.6620444666</v>
      </c>
      <c r="G46" s="15" t="n">
        <f aca="false">F46*(1+IF(G$3&lt;=$O$2,$D46,$D46-($D46-$I$6)*MIN(G$3-$O$2,$Q$2)/$Q$2))</f>
        <v>21071.6928886495</v>
      </c>
      <c r="H46" s="15" t="n">
        <f aca="false">G46*(1+IF(H$3&lt;=$O$2,$D46,$D46-($D46-$I$6)*MIN(H$3-$O$2,$Q$2)/$Q$2))</f>
        <v>23968.9253238599</v>
      </c>
      <c r="I46" s="15" t="n">
        <f aca="false">H46*(1+IF(I$3&lt;=$O$2,$D46,$D46-($D46-$I$6)*MIN(I$3-$O$2,$Q$2)/$Q$2))</f>
        <v>27264.5099858226</v>
      </c>
      <c r="J46" s="15" t="n">
        <f aca="false">I46*(1+IF(J$3&lt;=$O$2,$D46,$D46-($D46-$I$6)*MIN(J$3-$O$2,$Q$2)/$Q$2))</f>
        <v>30417.7934726994</v>
      </c>
      <c r="K46" s="15" t="n">
        <f aca="false">J46*(1+IF(K$3&lt;=$O$2,$D46,$D46-($D46-$I$6)*MIN(K$3-$O$2,$Q$2)/$Q$2))</f>
        <v>33271.4822990784</v>
      </c>
      <c r="L46" s="15" t="n">
        <f aca="false">K46*(1+IF(L$3&lt;=$O$2,$D46,$D46-($D46-$I$6)*MIN(L$3-$O$2,$Q$2)/$Q$2))</f>
        <v>35666.2844338451</v>
      </c>
      <c r="M46" s="15" t="n">
        <f aca="false">L46*(1+IF(M$3&lt;=$O$2,$D46,$D46-($D46-$I$6)*MIN(M$3-$O$2,$Q$2)/$Q$2))</f>
        <v>37454.549505883</v>
      </c>
      <c r="N46" s="15" t="n">
        <f aca="false">M46*(1+IF(N$3&lt;=$O$2,$D46,$D46-($D46-$I$6)*MIN(N$3-$O$2,$Q$2)/$Q$2))</f>
        <v>38514.5132568995</v>
      </c>
      <c r="O46" s="15" t="n">
        <f aca="false">SUMPRODUCT(E46:N46,1/(1+$F$6)^$E$3:$N$3)*$E$2</f>
        <v>53954.0190000401</v>
      </c>
      <c r="P46" s="15" t="n">
        <f aca="false">N46*$E$2*(1+$I$6)/($F$6-$I$6)/(1+$F$6)^$N$3</f>
        <v>78515.9809985041</v>
      </c>
      <c r="Q46" s="15" t="n">
        <f aca="false">O46+P46</f>
        <v>132469.999998544</v>
      </c>
      <c r="R46" s="15" t="n">
        <f aca="false">Q46-$G$2+$I$2</f>
        <v>120849.999998544</v>
      </c>
      <c r="S46" s="40" t="n">
        <f aca="false">R46/$K$2</f>
        <v>409.980662884772</v>
      </c>
      <c r="T46" s="41" t="n">
        <f aca="false">S46-$M$2</f>
        <v>-4.93878360430244E-009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0.137494051879003</v>
      </c>
      <c r="C47" s="25" t="n">
        <f aca="false">IF(T46&gt;0,D46,C46)</f>
        <v>0.137494051881731</v>
      </c>
      <c r="D47" s="39" t="n">
        <f aca="false">(B47+C47)/2</f>
        <v>0.137494051880367</v>
      </c>
      <c r="E47" s="15" t="n">
        <f aca="false">$C$2*(1+IF(E$3&lt;=$O$2,$D47,$D47-($D47-$I$6)*MIN(E$3-$O$2,$Q$2)/$Q$2))</f>
        <v>16285.5023407712</v>
      </c>
      <c r="F47" s="15" t="n">
        <f aca="false">E47*(1+IF(F$3&lt;=$O$2,$D47,$D47-($D47-$I$6)*MIN(F$3-$O$2,$Q$2)/$Q$2))</f>
        <v>18524.662044511</v>
      </c>
      <c r="G47" s="15" t="n">
        <f aca="false">F47*(1+IF(G$3&lt;=$O$2,$D47,$D47-($D47-$I$6)*MIN(G$3-$O$2,$Q$2)/$Q$2))</f>
        <v>21071.6928887253</v>
      </c>
      <c r="H47" s="15" t="n">
        <f aca="false">G47*(1+IF(H$3&lt;=$O$2,$D47,$D47-($D47-$I$6)*MIN(H$3-$O$2,$Q$2)/$Q$2))</f>
        <v>23968.9253239749</v>
      </c>
      <c r="I47" s="15" t="n">
        <f aca="false">H47*(1+IF(I$3&lt;=$O$2,$D47,$D47-($D47-$I$6)*MIN(I$3-$O$2,$Q$2)/$Q$2))</f>
        <v>27264.5099859861</v>
      </c>
      <c r="J47" s="15" t="n">
        <f aca="false">I47*(1+IF(J$3&lt;=$O$2,$D47,$D47-($D47-$I$6)*MIN(J$3-$O$2,$Q$2)/$Q$2))</f>
        <v>30417.7934729116</v>
      </c>
      <c r="K47" s="15" t="n">
        <f aca="false">J47*(1+IF(K$3&lt;=$O$2,$D47,$D47-($D47-$I$6)*MIN(K$3-$O$2,$Q$2)/$Q$2))</f>
        <v>33271.4822993354</v>
      </c>
      <c r="L47" s="15" t="n">
        <f aca="false">K47*(1+IF(L$3&lt;=$O$2,$D47,$D47-($D47-$I$6)*MIN(L$3-$O$2,$Q$2)/$Q$2))</f>
        <v>35666.2844341387</v>
      </c>
      <c r="M47" s="15" t="n">
        <f aca="false">L47*(1+IF(M$3&lt;=$O$2,$D47,$D47-($D47-$I$6)*MIN(M$3-$O$2,$Q$2)/$Q$2))</f>
        <v>37454.5495062011</v>
      </c>
      <c r="N47" s="15" t="n">
        <f aca="false">M47*(1+IF(N$3&lt;=$O$2,$D47,$D47-($D47-$I$6)*MIN(N$3-$O$2,$Q$2)/$Q$2))</f>
        <v>38514.5132572266</v>
      </c>
      <c r="O47" s="15" t="n">
        <f aca="false">SUMPRODUCT(E47:N47,1/(1+$F$6)^$E$3:$N$3)*$E$2</f>
        <v>53954.0190003574</v>
      </c>
      <c r="P47" s="15" t="n">
        <f aca="false">N47*$E$2*(1+$I$6)/($F$6-$I$6)/(1+$F$6)^$N$3</f>
        <v>78515.9809991709</v>
      </c>
      <c r="Q47" s="15" t="n">
        <f aca="false">O47+P47</f>
        <v>132469.999999528</v>
      </c>
      <c r="R47" s="15" t="n">
        <f aca="false">Q47-$G$2+$I$2</f>
        <v>120849.999999528</v>
      </c>
      <c r="S47" s="40" t="n">
        <f aca="false">R47/$K$2</f>
        <v>409.98066288811</v>
      </c>
      <c r="T47" s="41" t="n">
        <f aca="false">S47-$M$2</f>
        <v>-1.60019908435061E-009</v>
      </c>
    </row>
    <row r="49" customFormat="false" ht="15" hidden="false" customHeight="false" outlineLevel="0" collapsed="false">
      <c r="A49" s="36" t="s">
        <v>175</v>
      </c>
      <c r="E49" s="5" t="s">
        <v>11</v>
      </c>
      <c r="F49" s="12" t="n">
        <f aca="false">Sensitivity!$B$10</f>
        <v>0.0848919064489092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6" t="s">
        <v>155</v>
      </c>
      <c r="B50" s="28" t="s">
        <v>156</v>
      </c>
      <c r="C50" s="28" t="s">
        <v>157</v>
      </c>
      <c r="D50" s="28" t="s">
        <v>158</v>
      </c>
      <c r="E50" s="28" t="s">
        <v>159</v>
      </c>
      <c r="F50" s="28" t="s">
        <v>160</v>
      </c>
      <c r="G50" s="28" t="s">
        <v>161</v>
      </c>
      <c r="H50" s="28" t="s">
        <v>162</v>
      </c>
      <c r="I50" s="28" t="s">
        <v>163</v>
      </c>
      <c r="J50" s="28" t="s">
        <v>164</v>
      </c>
      <c r="K50" s="28" t="s">
        <v>165</v>
      </c>
      <c r="L50" s="28" t="s">
        <v>166</v>
      </c>
      <c r="M50" s="28" t="s">
        <v>167</v>
      </c>
      <c r="N50" s="28" t="s">
        <v>168</v>
      </c>
      <c r="O50" s="28" t="s">
        <v>169</v>
      </c>
      <c r="P50" s="28" t="s">
        <v>170</v>
      </c>
      <c r="Q50" s="28" t="s">
        <v>171</v>
      </c>
      <c r="R50" s="28" t="s">
        <v>172</v>
      </c>
      <c r="S50" s="28" t="s">
        <v>173</v>
      </c>
      <c r="T50" s="28" t="s">
        <v>174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39" t="n">
        <f aca="false">(B51+C51)/2</f>
        <v>0.25</v>
      </c>
      <c r="E51" s="15" t="n">
        <f aca="false">$C$2*(1+IF(E$3&lt;=$O$2,$D51,$D51-($D51-$I$49)*MIN(E$3-$O$2,$Q$2)/$Q$2))</f>
        <v>17896.25</v>
      </c>
      <c r="F51" s="15" t="n">
        <f aca="false">E51*(1+IF(F$3&lt;=$O$2,$D51,$D51-($D51-$I$49)*MIN(F$3-$O$2,$Q$2)/$Q$2))</f>
        <v>22370.3125</v>
      </c>
      <c r="G51" s="15" t="n">
        <f aca="false">F51*(1+IF(G$3&lt;=$O$2,$D51,$D51-($D51-$I$49)*MIN(G$3-$O$2,$Q$2)/$Q$2))</f>
        <v>27962.890625</v>
      </c>
      <c r="H51" s="15" t="n">
        <f aca="false">G51*(1+IF(H$3&lt;=$O$2,$D51,$D51-($D51-$I$49)*MIN(H$3-$O$2,$Q$2)/$Q$2))</f>
        <v>34953.61328125</v>
      </c>
      <c r="I51" s="15" t="n">
        <f aca="false">H51*(1+IF(I$3&lt;=$O$2,$D51,$D51-($D51-$I$49)*MIN(I$3-$O$2,$Q$2)/$Q$2))</f>
        <v>43692.0166015625</v>
      </c>
      <c r="J51" s="15" t="n">
        <f aca="false">I51*(1+IF(J$3&lt;=$O$2,$D51,$D51-($D51-$I$49)*MIN(J$3-$O$2,$Q$2)/$Q$2))</f>
        <v>52590.3327026367</v>
      </c>
      <c r="K51" s="15" t="n">
        <f aca="false">J51*(1+IF(K$3&lt;=$O$2,$D51,$D51-($D51-$I$49)*MIN(K$3-$O$2,$Q$2)/$Q$2))</f>
        <v>60863.8438434155</v>
      </c>
      <c r="L51" s="15" t="n">
        <f aca="false">K51*(1+IF(L$3&lt;=$O$2,$D51,$D51-($D51-$I$49)*MIN(L$3-$O$2,$Q$2)/$Q$2))</f>
        <v>67618.5132331578</v>
      </c>
      <c r="M51" s="15" t="n">
        <f aca="false">L51*(1+IF(M$3&lt;=$O$2,$D51,$D51-($D51-$I$49)*MIN(M$3-$O$2,$Q$2)/$Q$2))</f>
        <v>71989.3739285491</v>
      </c>
      <c r="N51" s="15" t="n">
        <f aca="false">M51*(1+IF(N$3&lt;=$O$2,$D51,$D51-($D51-$I$49)*MIN(N$3-$O$2,$Q$2)/$Q$2))</f>
        <v>73306.7794714416</v>
      </c>
      <c r="O51" s="15" t="n">
        <f aca="false">SUMPRODUCT(E51:N51,1/(1+$F$49)^$E$3:$N$3)*$E$2</f>
        <v>91724.8550823156</v>
      </c>
      <c r="P51" s="15" t="n">
        <f aca="false">N51*$E$2*(1+$I$49)/($F$49-$I$49)/(1+$F$49)^$N$3</f>
        <v>162211.431743717</v>
      </c>
      <c r="Q51" s="15" t="n">
        <f aca="false">O51+P51</f>
        <v>253936.286826033</v>
      </c>
      <c r="R51" s="15" t="n">
        <f aca="false">Q51-$G$2+$I$2</f>
        <v>242316.286826033</v>
      </c>
      <c r="S51" s="40" t="n">
        <f aca="false">R51/$K$2</f>
        <v>822.052063731156</v>
      </c>
      <c r="T51" s="41" t="n">
        <f aca="false">S51-$M$2</f>
        <v>412.071400841445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39" t="n">
        <f aca="false">(B52+C52)/2</f>
        <v>-0.125</v>
      </c>
      <c r="E52" s="15" t="n">
        <f aca="false">$C$2*(1+IF(E$3&lt;=$O$2,$D52,$D52-($D52-$I$49)*MIN(E$3-$O$2,$Q$2)/$Q$2))</f>
        <v>12527.375</v>
      </c>
      <c r="F52" s="15" t="n">
        <f aca="false">E52*(1+IF(F$3&lt;=$O$2,$D52,$D52-($D52-$I$49)*MIN(F$3-$O$2,$Q$2)/$Q$2))</f>
        <v>10961.453125</v>
      </c>
      <c r="G52" s="15" t="n">
        <f aca="false">F52*(1+IF(G$3&lt;=$O$2,$D52,$D52-($D52-$I$49)*MIN(G$3-$O$2,$Q$2)/$Q$2))</f>
        <v>9591.271484375</v>
      </c>
      <c r="H52" s="15" t="n">
        <f aca="false">G52*(1+IF(H$3&lt;=$O$2,$D52,$D52-($D52-$I$49)*MIN(H$3-$O$2,$Q$2)/$Q$2))</f>
        <v>8392.36254882813</v>
      </c>
      <c r="I52" s="15" t="n">
        <f aca="false">H52*(1+IF(I$3&lt;=$O$2,$D52,$D52-($D52-$I$49)*MIN(I$3-$O$2,$Q$2)/$Q$2))</f>
        <v>7343.31723022461</v>
      </c>
      <c r="J52" s="15" t="n">
        <f aca="false">I52*(1+IF(J$3&lt;=$O$2,$D52,$D52-($D52-$I$49)*MIN(J$3-$O$2,$Q$2)/$Q$2))</f>
        <v>6635.86204826477</v>
      </c>
      <c r="K52" s="15" t="n">
        <f aca="false">J52*(1+IF(K$3&lt;=$O$2,$D52,$D52-($D52-$I$49)*MIN(K$3-$O$2,$Q$2)/$Q$2))</f>
        <v>6186.74690483821</v>
      </c>
      <c r="L52" s="15" t="n">
        <f aca="false">K52*(1+IF(L$3&lt;=$O$2,$D52,$D52-($D52-$I$49)*MIN(L$3-$O$2,$Q$2)/$Q$2))</f>
        <v>5945.34004061142</v>
      </c>
      <c r="M52" s="15" t="n">
        <f aca="false">L52*(1+IF(M$3&lt;=$O$2,$D52,$D52-($D52-$I$49)*MIN(M$3-$O$2,$Q$2)/$Q$2))</f>
        <v>5883.74631779069</v>
      </c>
      <c r="N52" s="15" t="n">
        <f aca="false">M52*(1+IF(N$3&lt;=$O$2,$D52,$D52-($D52-$I$49)*MIN(N$3-$O$2,$Q$2)/$Q$2))</f>
        <v>5991.41887540626</v>
      </c>
      <c r="O52" s="15" t="n">
        <f aca="false">SUMPRODUCT(E52:N52,1/(1+$F$49)^$E$3:$N$3)*$E$2</f>
        <v>18126.9769663011</v>
      </c>
      <c r="P52" s="15" t="n">
        <f aca="false">N52*$E$2*(1+$I$49)/($F$49-$I$49)/(1+$F$49)^$N$3</f>
        <v>13257.6637653902</v>
      </c>
      <c r="Q52" s="15" t="n">
        <f aca="false">O52+P52</f>
        <v>31384.6407316913</v>
      </c>
      <c r="R52" s="15" t="n">
        <f aca="false">Q52-$G$2+$I$2</f>
        <v>19764.6407316913</v>
      </c>
      <c r="S52" s="40" t="n">
        <f aca="false">R52/$K$2</f>
        <v>67.0510592383596</v>
      </c>
      <c r="T52" s="41" t="n">
        <f aca="false">S52-$M$2</f>
        <v>-342.929603651351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39" t="n">
        <f aca="false">(B53+C53)/2</f>
        <v>0.0625</v>
      </c>
      <c r="E53" s="15" t="n">
        <f aca="false">$C$2*(1+IF(E$3&lt;=$O$2,$D53,$D53-($D53-$I$49)*MIN(E$3-$O$2,$Q$2)/$Q$2))</f>
        <v>15211.8125</v>
      </c>
      <c r="F53" s="15" t="n">
        <f aca="false">E53*(1+IF(F$3&lt;=$O$2,$D53,$D53-($D53-$I$49)*MIN(F$3-$O$2,$Q$2)/$Q$2))</f>
        <v>16162.55078125</v>
      </c>
      <c r="G53" s="15" t="n">
        <f aca="false">F53*(1+IF(G$3&lt;=$O$2,$D53,$D53-($D53-$I$49)*MIN(G$3-$O$2,$Q$2)/$Q$2))</f>
        <v>17172.7102050781</v>
      </c>
      <c r="H53" s="15" t="n">
        <f aca="false">G53*(1+IF(H$3&lt;=$O$2,$D53,$D53-($D53-$I$49)*MIN(H$3-$O$2,$Q$2)/$Q$2))</f>
        <v>18246.0045928955</v>
      </c>
      <c r="I53" s="15" t="n">
        <f aca="false">H53*(1+IF(I$3&lt;=$O$2,$D53,$D53-($D53-$I$49)*MIN(I$3-$O$2,$Q$2)/$Q$2))</f>
        <v>19386.3798799515</v>
      </c>
      <c r="J53" s="15" t="n">
        <f aca="false">I53*(1+IF(J$3&lt;=$O$2,$D53,$D53-($D53-$I$49)*MIN(J$3-$O$2,$Q$2)/$Q$2))</f>
        <v>20426.6530243097</v>
      </c>
      <c r="K53" s="15" t="n">
        <f aca="false">J53*(1+IF(K$3&lt;=$O$2,$D53,$D53-($D53-$I$49)*MIN(K$3-$O$2,$Q$2)/$Q$2))</f>
        <v>21342.1756128592</v>
      </c>
      <c r="L53" s="15" t="n">
        <f aca="false">K53*(1+IF(L$3&lt;=$O$2,$D53,$D53-($D53-$I$49)*MIN(L$3-$O$2,$Q$2)/$Q$2))</f>
        <v>22110.0670914099</v>
      </c>
      <c r="M53" s="15" t="n">
        <f aca="false">L53*(1+IF(M$3&lt;=$O$2,$D53,$D53-($D53-$I$49)*MIN(M$3-$O$2,$Q$2)/$Q$2))</f>
        <v>22710.1343122708</v>
      </c>
      <c r="N53" s="15" t="n">
        <f aca="false">M53*(1+IF(N$3&lt;=$O$2,$D53,$D53-($D53-$I$49)*MIN(N$3-$O$2,$Q$2)/$Q$2))</f>
        <v>23125.7297701853</v>
      </c>
      <c r="O53" s="15" t="n">
        <f aca="false">SUMPRODUCT(E53:N53,1/(1+$F$49)^$E$3:$N$3)*$E$2</f>
        <v>40703.5977480225</v>
      </c>
      <c r="P53" s="15" t="n">
        <f aca="false">N53*$E$2*(1+$I$49)/($F$49-$I$49)/(1+$F$49)^$N$3</f>
        <v>51172.0438844467</v>
      </c>
      <c r="Q53" s="15" t="n">
        <f aca="false">O53+P53</f>
        <v>91875.6416324692</v>
      </c>
      <c r="R53" s="15" t="n">
        <f aca="false">Q53-$G$2+$I$2</f>
        <v>80255.6416324692</v>
      </c>
      <c r="S53" s="40" t="n">
        <f aca="false">R53/$K$2</f>
        <v>272.26529712138</v>
      </c>
      <c r="T53" s="41" t="n">
        <f aca="false">S53-$M$2</f>
        <v>-137.715365768331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39" t="n">
        <f aca="false">(B54+C54)/2</f>
        <v>0.15625</v>
      </c>
      <c r="E54" s="15" t="n">
        <f aca="false">$C$2*(1+IF(E$3&lt;=$O$2,$D54,$D54-($D54-$I$49)*MIN(E$3-$O$2,$Q$2)/$Q$2))</f>
        <v>16554.03125</v>
      </c>
      <c r="F54" s="15" t="n">
        <f aca="false">E54*(1+IF(F$3&lt;=$O$2,$D54,$D54-($D54-$I$49)*MIN(F$3-$O$2,$Q$2)/$Q$2))</f>
        <v>19140.5986328125</v>
      </c>
      <c r="G54" s="15" t="n">
        <f aca="false">F54*(1+IF(G$3&lt;=$O$2,$D54,$D54-($D54-$I$49)*MIN(G$3-$O$2,$Q$2)/$Q$2))</f>
        <v>22131.3171691895</v>
      </c>
      <c r="H54" s="15" t="n">
        <f aca="false">G54*(1+IF(H$3&lt;=$O$2,$D54,$D54-($D54-$I$49)*MIN(H$3-$O$2,$Q$2)/$Q$2))</f>
        <v>25589.3354768753</v>
      </c>
      <c r="I54" s="15" t="n">
        <f aca="false">H54*(1+IF(I$3&lt;=$O$2,$D54,$D54-($D54-$I$49)*MIN(I$3-$O$2,$Q$2)/$Q$2))</f>
        <v>29587.6691451371</v>
      </c>
      <c r="J54" s="15" t="n">
        <f aca="false">I54*(1+IF(J$3&lt;=$O$2,$D54,$D54-($D54-$I$49)*MIN(J$3-$O$2,$Q$2)/$Q$2))</f>
        <v>33394.4186573504</v>
      </c>
      <c r="K54" s="15" t="n">
        <f aca="false">J54*(1+IF(K$3&lt;=$O$2,$D54,$D54-($D54-$I$49)*MIN(K$3-$O$2,$Q$2)/$Q$2))</f>
        <v>36769.5925510488</v>
      </c>
      <c r="L54" s="15" t="n">
        <f aca="false">K54*(1+IF(L$3&lt;=$O$2,$D54,$D54-($D54-$I$49)*MIN(L$3-$O$2,$Q$2)/$Q$2))</f>
        <v>39471.4222116999</v>
      </c>
      <c r="M54" s="15" t="n">
        <f aca="false">L54*(1+IF(M$3&lt;=$O$2,$D54,$D54-($D54-$I$49)*MIN(M$3-$O$2,$Q$2)/$Q$2))</f>
        <v>41282.7657769948</v>
      </c>
      <c r="N54" s="15" t="n">
        <f aca="false">M54*(1+IF(N$3&lt;=$O$2,$D54,$D54-($D54-$I$49)*MIN(N$3-$O$2,$Q$2)/$Q$2))</f>
        <v>42038.2403907138</v>
      </c>
      <c r="O54" s="15" t="n">
        <f aca="false">SUMPRODUCT(E54:N54,1/(1+$F$49)^$E$3:$N$3)*$E$2</f>
        <v>61214.8433158813</v>
      </c>
      <c r="P54" s="15" t="n">
        <f aca="false">N54*$E$2*(1+$I$49)/($F$49-$I$49)/(1+$F$49)^$N$3</f>
        <v>93021.1804546778</v>
      </c>
      <c r="Q54" s="15" t="n">
        <f aca="false">O54+P54</f>
        <v>154236.023770559</v>
      </c>
      <c r="R54" s="15" t="n">
        <f aca="false">Q54-$G$2+$I$2</f>
        <v>142616.023770559</v>
      </c>
      <c r="S54" s="40" t="n">
        <f aca="false">R54/$K$2</f>
        <v>483.821365032259</v>
      </c>
      <c r="T54" s="41" t="n">
        <f aca="false">S54-$M$2</f>
        <v>73.8407021425489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39" t="n">
        <f aca="false">(B55+C55)/2</f>
        <v>0.109375</v>
      </c>
      <c r="E55" s="15" t="n">
        <f aca="false">$C$2*(1+IF(E$3&lt;=$O$2,$D55,$D55-($D55-$I$49)*MIN(E$3-$O$2,$Q$2)/$Q$2))</f>
        <v>15882.921875</v>
      </c>
      <c r="F55" s="15" t="n">
        <f aca="false">E55*(1+IF(F$3&lt;=$O$2,$D55,$D55-($D55-$I$49)*MIN(F$3-$O$2,$Q$2)/$Q$2))</f>
        <v>17620.1164550781</v>
      </c>
      <c r="G55" s="15" t="n">
        <f aca="false">F55*(1+IF(G$3&lt;=$O$2,$D55,$D55-($D55-$I$49)*MIN(G$3-$O$2,$Q$2)/$Q$2))</f>
        <v>19547.3166923523</v>
      </c>
      <c r="H55" s="15" t="n">
        <f aca="false">G55*(1+IF(H$3&lt;=$O$2,$D55,$D55-($D55-$I$49)*MIN(H$3-$O$2,$Q$2)/$Q$2))</f>
        <v>21685.3044555783</v>
      </c>
      <c r="I55" s="15" t="n">
        <f aca="false">H55*(1+IF(I$3&lt;=$O$2,$D55,$D55-($D55-$I$49)*MIN(I$3-$O$2,$Q$2)/$Q$2))</f>
        <v>24057.1346304072</v>
      </c>
      <c r="J55" s="15" t="n">
        <f aca="false">I55*(1+IF(J$3&lt;=$O$2,$D55,$D55-($D55-$I$49)*MIN(J$3-$O$2,$Q$2)/$Q$2))</f>
        <v>26250.1830233151</v>
      </c>
      <c r="K55" s="15" t="n">
        <f aca="false">J55*(1+IF(K$3&lt;=$O$2,$D55,$D55-($D55-$I$49)*MIN(K$3-$O$2,$Q$2)/$Q$2))</f>
        <v>28165.0026239508</v>
      </c>
      <c r="L55" s="15" t="n">
        <f aca="false">K55*(1+IF(L$3&lt;=$O$2,$D55,$D55-($D55-$I$49)*MIN(L$3-$O$2,$Q$2)/$Q$2))</f>
        <v>29706.4732175597</v>
      </c>
      <c r="M55" s="15" t="n">
        <f aca="false">L55*(1+IF(M$3&lt;=$O$2,$D55,$D55-($D55-$I$49)*MIN(M$3-$O$2,$Q$2)/$Q$2))</f>
        <v>30791.2050870989</v>
      </c>
      <c r="N55" s="15" t="n">
        <f aca="false">M55*(1+IF(N$3&lt;=$O$2,$D55,$D55-($D55-$I$49)*MIN(N$3-$O$2,$Q$2)/$Q$2))</f>
        <v>31354.6841401928</v>
      </c>
      <c r="O55" s="15" t="n">
        <f aca="false">SUMPRODUCT(E55:N55,1/(1+$F$49)^$E$3:$N$3)*$E$2</f>
        <v>49926.9066983648</v>
      </c>
      <c r="P55" s="15" t="n">
        <f aca="false">N55*$E$2*(1+$I$49)/($F$49-$I$49)/(1+$F$49)^$N$3</f>
        <v>69380.8709497885</v>
      </c>
      <c r="Q55" s="15" t="n">
        <f aca="false">O55+P55</f>
        <v>119307.777648153</v>
      </c>
      <c r="R55" s="15" t="n">
        <f aca="false">Q55-$G$2+$I$2</f>
        <v>107687.777648153</v>
      </c>
      <c r="S55" s="40" t="n">
        <f aca="false">R55/$K$2</f>
        <v>365.328146175504</v>
      </c>
      <c r="T55" s="41" t="n">
        <f aca="false">S55-$M$2</f>
        <v>-44.6525167142066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0.109375</v>
      </c>
      <c r="C56" s="25" t="n">
        <f aca="false">IF(T55&gt;0,D55,C55)</f>
        <v>0.15625</v>
      </c>
      <c r="D56" s="39" t="n">
        <f aca="false">(B56+C56)/2</f>
        <v>0.1328125</v>
      </c>
      <c r="E56" s="15" t="n">
        <f aca="false">$C$2*(1+IF(E$3&lt;=$O$2,$D56,$D56-($D56-$I$49)*MIN(E$3-$O$2,$Q$2)/$Q$2))</f>
        <v>16218.4765625</v>
      </c>
      <c r="F56" s="15" t="n">
        <f aca="false">E56*(1+IF(F$3&lt;=$O$2,$D56,$D56-($D56-$I$49)*MIN(F$3-$O$2,$Q$2)/$Q$2))</f>
        <v>18372.492980957</v>
      </c>
      <c r="G56" s="15" t="n">
        <f aca="false">F56*(1+IF(G$3&lt;=$O$2,$D56,$D56-($D56-$I$49)*MIN(G$3-$O$2,$Q$2)/$Q$2))</f>
        <v>20812.5897049904</v>
      </c>
      <c r="H56" s="15" t="n">
        <f aca="false">G56*(1+IF(H$3&lt;=$O$2,$D56,$D56-($D56-$I$49)*MIN(H$3-$O$2,$Q$2)/$Q$2))</f>
        <v>23576.7617751844</v>
      </c>
      <c r="I56" s="15" t="n">
        <f aca="false">H56*(1+IF(I$3&lt;=$O$2,$D56,$D56-($D56-$I$49)*MIN(I$3-$O$2,$Q$2)/$Q$2))</f>
        <v>26708.0504484511</v>
      </c>
      <c r="J56" s="15" t="n">
        <f aca="false">I56*(1+IF(J$3&lt;=$O$2,$D56,$D56-($D56-$I$49)*MIN(J$3-$O$2,$Q$2)/$Q$2))</f>
        <v>29643.5322732404</v>
      </c>
      <c r="K56" s="15" t="n">
        <f aca="false">J56*(1+IF(K$3&lt;=$O$2,$D56,$D56-($D56-$I$49)*MIN(K$3-$O$2,$Q$2)/$Q$2))</f>
        <v>32222.7419075043</v>
      </c>
      <c r="L56" s="15" t="n">
        <f aca="false">K56*(1+IF(L$3&lt;=$O$2,$D56,$D56-($D56-$I$49)*MIN(L$3-$O$2,$Q$2)/$Q$2))</f>
        <v>34288.3807774849</v>
      </c>
      <c r="M56" s="15" t="n">
        <f aca="false">L56*(1+IF(M$3&lt;=$O$2,$D56,$D56-($D56-$I$49)*MIN(M$3-$O$2,$Q$2)/$Q$2))</f>
        <v>35701.1477864692</v>
      </c>
      <c r="N56" s="15" t="n">
        <f aca="false">M56*(1+IF(N$3&lt;=$O$2,$D56,$D56-($D56-$I$49)*MIN(N$3-$O$2,$Q$2)/$Q$2))</f>
        <v>36354.4787909616</v>
      </c>
      <c r="O56" s="15" t="n">
        <f aca="false">SUMPRODUCT(E56:N56,1/(1+$F$49)^$E$3:$N$3)*$E$2</f>
        <v>55288.2679692802</v>
      </c>
      <c r="P56" s="15" t="n">
        <f aca="false">N56*$E$2*(1+$I$49)/($F$49-$I$49)/(1+$F$49)^$N$3</f>
        <v>80444.2931131062</v>
      </c>
      <c r="Q56" s="15" t="n">
        <f aca="false">O56+P56</f>
        <v>135732.561082386</v>
      </c>
      <c r="R56" s="15" t="n">
        <f aca="false">Q56-$G$2+$I$2</f>
        <v>124112.561082386</v>
      </c>
      <c r="S56" s="40" t="n">
        <f aca="false">R56/$K$2</f>
        <v>421.048821394261</v>
      </c>
      <c r="T56" s="41" t="n">
        <f aca="false">S56-$M$2</f>
        <v>11.0681585045504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0.109375</v>
      </c>
      <c r="C57" s="25" t="n">
        <f aca="false">IF(T56&gt;0,D56,C56)</f>
        <v>0.1328125</v>
      </c>
      <c r="D57" s="39" t="n">
        <f aca="false">(B57+C57)/2</f>
        <v>0.12109375</v>
      </c>
      <c r="E57" s="15" t="n">
        <f aca="false">$C$2*(1+IF(E$3&lt;=$O$2,$D57,$D57-($D57-$I$49)*MIN(E$3-$O$2,$Q$2)/$Q$2))</f>
        <v>16050.69921875</v>
      </c>
      <c r="F57" s="15" t="n">
        <f aca="false">E57*(1+IF(F$3&lt;=$O$2,$D57,$D57-($D57-$I$49)*MIN(F$3-$O$2,$Q$2)/$Q$2))</f>
        <v>17994.3385772705</v>
      </c>
      <c r="G57" s="15" t="n">
        <f aca="false">F57*(1+IF(G$3&lt;=$O$2,$D57,$D57-($D57-$I$49)*MIN(G$3-$O$2,$Q$2)/$Q$2))</f>
        <v>20173.3405143619</v>
      </c>
      <c r="H57" s="15" t="n">
        <f aca="false">G57*(1+IF(H$3&lt;=$O$2,$D57,$D57-($D57-$I$49)*MIN(H$3-$O$2,$Q$2)/$Q$2))</f>
        <v>22616.2059672729</v>
      </c>
      <c r="I57" s="15" t="n">
        <f aca="false">H57*(1+IF(I$3&lt;=$O$2,$D57,$D57-($D57-$I$49)*MIN(I$3-$O$2,$Q$2)/$Q$2))</f>
        <v>25354.8871586223</v>
      </c>
      <c r="J57" s="15" t="n">
        <f aca="false">I57*(1+IF(J$3&lt;=$O$2,$D57,$D57-($D57-$I$49)*MIN(J$3-$O$2,$Q$2)/$Q$2))</f>
        <v>27903.9407391144</v>
      </c>
      <c r="K57" s="15" t="n">
        <f aca="false">J57*(1+IF(K$3&lt;=$O$2,$D57,$D57-($D57-$I$49)*MIN(K$3-$O$2,$Q$2)/$Q$2))</f>
        <v>30135.593279651</v>
      </c>
      <c r="L57" s="15" t="n">
        <f aca="false">K57*(1+IF(L$3&lt;=$O$2,$D57,$D57-($D57-$I$49)*MIN(L$3-$O$2,$Q$2)/$Q$2))</f>
        <v>31926.1748933447</v>
      </c>
      <c r="M57" s="15" t="n">
        <f aca="false">L57*(1+IF(M$3&lt;=$O$2,$D57,$D57-($D57-$I$49)*MIN(M$3-$O$2,$Q$2)/$Q$2))</f>
        <v>33166.7861419814</v>
      </c>
      <c r="N57" s="15" t="n">
        <f aca="false">M57*(1+IF(N$3&lt;=$O$2,$D57,$D57-($D57-$I$49)*MIN(N$3-$O$2,$Q$2)/$Q$2))</f>
        <v>33773.7383283797</v>
      </c>
      <c r="O57" s="15" t="n">
        <f aca="false">SUMPRODUCT(E57:N57,1/(1+$F$49)^$E$3:$N$3)*$E$2</f>
        <v>52540.1562435723</v>
      </c>
      <c r="P57" s="15" t="n">
        <f aca="false">N57*$E$2*(1+$I$49)/($F$49-$I$49)/(1+$F$49)^$N$3</f>
        <v>74733.6943333924</v>
      </c>
      <c r="Q57" s="15" t="n">
        <f aca="false">O57+P57</f>
        <v>127273.850576965</v>
      </c>
      <c r="R57" s="15" t="n">
        <f aca="false">Q57-$G$2+$I$2</f>
        <v>115653.850576965</v>
      </c>
      <c r="S57" s="40" t="n">
        <f aca="false">R57/$K$2</f>
        <v>392.352853332987</v>
      </c>
      <c r="T57" s="41" t="n">
        <f aca="false">S57-$M$2</f>
        <v>-17.6278095567232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0.12109375</v>
      </c>
      <c r="C58" s="25" t="n">
        <f aca="false">IF(T57&gt;0,D57,C57)</f>
        <v>0.1328125</v>
      </c>
      <c r="D58" s="39" t="n">
        <f aca="false">(B58+C58)/2</f>
        <v>0.126953125</v>
      </c>
      <c r="E58" s="15" t="n">
        <f aca="false">$C$2*(1+IF(E$3&lt;=$O$2,$D58,$D58-($D58-$I$49)*MIN(E$3-$O$2,$Q$2)/$Q$2))</f>
        <v>16134.587890625</v>
      </c>
      <c r="F58" s="15" t="n">
        <f aca="false">E58*(1+IF(F$3&lt;=$O$2,$D58,$D58-($D58-$I$49)*MIN(F$3-$O$2,$Q$2)/$Q$2))</f>
        <v>18182.924243927</v>
      </c>
      <c r="G58" s="15" t="n">
        <f aca="false">F58*(1+IF(G$3&lt;=$O$2,$D58,$D58-($D58-$I$49)*MIN(G$3-$O$2,$Q$2)/$Q$2))</f>
        <v>20491.3032983318</v>
      </c>
      <c r="H58" s="15" t="n">
        <f aca="false">G58*(1+IF(H$3&lt;=$O$2,$D58,$D58-($D58-$I$49)*MIN(H$3-$O$2,$Q$2)/$Q$2))</f>
        <v>23092.7382873778</v>
      </c>
      <c r="I58" s="15" t="n">
        <f aca="false">H58*(1+IF(I$3&lt;=$O$2,$D58,$D58-($D58-$I$49)*MIN(I$3-$O$2,$Q$2)/$Q$2))</f>
        <v>26024.4335777676</v>
      </c>
      <c r="J58" s="15" t="n">
        <f aca="false">I58*(1+IF(J$3&lt;=$O$2,$D58,$D58-($D58-$I$49)*MIN(J$3-$O$2,$Q$2)/$Q$2))</f>
        <v>28762.7895399042</v>
      </c>
      <c r="K58" s="15" t="n">
        <f aca="false">J58*(1+IF(K$3&lt;=$O$2,$D58,$D58-($D58-$I$49)*MIN(K$3-$O$2,$Q$2)/$Q$2))</f>
        <v>31164.2487688212</v>
      </c>
      <c r="L58" s="15" t="n">
        <f aca="false">K58*(1+IF(L$3&lt;=$O$2,$D58,$D58-($D58-$I$49)*MIN(L$3-$O$2,$Q$2)/$Q$2))</f>
        <v>33088.9917280946</v>
      </c>
      <c r="M58" s="15" t="n">
        <f aca="false">L58*(1+IF(M$3&lt;=$O$2,$D58,$D58-($D58-$I$49)*MIN(M$3-$O$2,$Q$2)/$Q$2))</f>
        <v>34413.5647475901</v>
      </c>
      <c r="N58" s="15" t="n">
        <f aca="false">M58*(1+IF(N$3&lt;=$O$2,$D58,$D58-($D58-$I$49)*MIN(N$3-$O$2,$Q$2)/$Q$2))</f>
        <v>35043.3329824709</v>
      </c>
      <c r="O58" s="15" t="n">
        <f aca="false">SUMPRODUCT(E58:N58,1/(1+$F$49)^$E$3:$N$3)*$E$2</f>
        <v>53896.9617659122</v>
      </c>
      <c r="P58" s="15" t="n">
        <f aca="false">N58*$E$2*(1+$I$49)/($F$49-$I$49)/(1+$F$49)^$N$3</f>
        <v>77543.0220389499</v>
      </c>
      <c r="Q58" s="15" t="n">
        <f aca="false">O58+P58</f>
        <v>131439.983804862</v>
      </c>
      <c r="R58" s="15" t="n">
        <f aca="false">Q58-$G$2+$I$2</f>
        <v>119819.983804862</v>
      </c>
      <c r="S58" s="40" t="n">
        <f aca="false">R58/$K$2</f>
        <v>406.486358194057</v>
      </c>
      <c r="T58" s="41" t="n">
        <f aca="false">S58-$M$2</f>
        <v>-3.49430469565374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0.126953125</v>
      </c>
      <c r="C59" s="25" t="n">
        <f aca="false">IF(T58&gt;0,D58,C58)</f>
        <v>0.1328125</v>
      </c>
      <c r="D59" s="39" t="n">
        <f aca="false">(B59+C59)/2</f>
        <v>0.1298828125</v>
      </c>
      <c r="E59" s="15" t="n">
        <f aca="false">$C$2*(1+IF(E$3&lt;=$O$2,$D59,$D59-($D59-$I$49)*MIN(E$3-$O$2,$Q$2)/$Q$2))</f>
        <v>16176.5322265625</v>
      </c>
      <c r="F59" s="15" t="n">
        <f aca="false">E59*(1+IF(F$3&lt;=$O$2,$D59,$D59-($D59-$I$49)*MIN(F$3-$O$2,$Q$2)/$Q$2))</f>
        <v>18277.5857286453</v>
      </c>
      <c r="G59" s="15" t="n">
        <f aca="false">F59*(1+IF(G$3&lt;=$O$2,$D59,$D59-($D59-$I$49)*MIN(G$3-$O$2,$Q$2)/$Q$2))</f>
        <v>20651.5299687916</v>
      </c>
      <c r="H59" s="15" t="n">
        <f aca="false">G59*(1+IF(H$3&lt;=$O$2,$D59,$D59-($D59-$I$49)*MIN(H$3-$O$2,$Q$2)/$Q$2))</f>
        <v>23333.8087635663</v>
      </c>
      <c r="I59" s="15" t="n">
        <f aca="false">H59*(1+IF(I$3&lt;=$O$2,$D59,$D59-($D59-$I$49)*MIN(I$3-$O$2,$Q$2)/$Q$2))</f>
        <v>26364.4694721155</v>
      </c>
      <c r="J59" s="15" t="n">
        <f aca="false">I59*(1+IF(J$3&lt;=$O$2,$D59,$D59-($D59-$I$49)*MIN(J$3-$O$2,$Q$2)/$Q$2))</f>
        <v>29200.3965864704</v>
      </c>
      <c r="K59" s="15" t="n">
        <f aca="false">J59*(1+IF(K$3&lt;=$O$2,$D59,$D59-($D59-$I$49)*MIN(K$3-$O$2,$Q$2)/$Q$2))</f>
        <v>31689.7212703431</v>
      </c>
      <c r="L59" s="15" t="n">
        <f aca="false">K59*(1+IF(L$3&lt;=$O$2,$D59,$D59-($D59-$I$49)*MIN(L$3-$O$2,$Q$2)/$Q$2))</f>
        <v>33684.0544602648</v>
      </c>
      <c r="M59" s="15" t="n">
        <f aca="false">L59*(1+IF(M$3&lt;=$O$2,$D59,$D59-($D59-$I$49)*MIN(M$3-$O$2,$Q$2)/$Q$2))</f>
        <v>35052.1849635035</v>
      </c>
      <c r="N59" s="15" t="n">
        <f aca="false">M59*(1+IF(N$3&lt;=$O$2,$D59,$D59-($D59-$I$49)*MIN(N$3-$O$2,$Q$2)/$Q$2))</f>
        <v>35693.6399483356</v>
      </c>
      <c r="O59" s="15" t="n">
        <f aca="false">SUMPRODUCT(E59:N59,1/(1+$F$49)^$E$3:$N$3)*$E$2</f>
        <v>54588.252348064</v>
      </c>
      <c r="P59" s="15" t="n">
        <f aca="false">N59*$E$2*(1+$I$49)/($F$49-$I$49)/(1+$F$49)^$N$3</f>
        <v>78982.00523759</v>
      </c>
      <c r="Q59" s="15" t="n">
        <f aca="false">O59+P59</f>
        <v>133570.257585654</v>
      </c>
      <c r="R59" s="15" t="n">
        <f aca="false">Q59-$G$2+$I$2</f>
        <v>121950.257585654</v>
      </c>
      <c r="S59" s="40" t="n">
        <f aca="false">R59/$K$2</f>
        <v>413.713259781029</v>
      </c>
      <c r="T59" s="41" t="n">
        <f aca="false">S59-$M$2</f>
        <v>3.73259689131885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0.126953125</v>
      </c>
      <c r="C60" s="25" t="n">
        <f aca="false">IF(T59&gt;0,D59,C59)</f>
        <v>0.1298828125</v>
      </c>
      <c r="D60" s="39" t="n">
        <f aca="false">(B60+C60)/2</f>
        <v>0.12841796875</v>
      </c>
      <c r="E60" s="15" t="n">
        <f aca="false">$C$2*(1+IF(E$3&lt;=$O$2,$D60,$D60-($D60-$I$49)*MIN(E$3-$O$2,$Q$2)/$Q$2))</f>
        <v>16155.5600585938</v>
      </c>
      <c r="F60" s="15" t="n">
        <f aca="false">E60*(1+IF(F$3&lt;=$O$2,$D60,$D60-($D60-$I$49)*MIN(F$3-$O$2,$Q$2)/$Q$2))</f>
        <v>18230.224265337</v>
      </c>
      <c r="G60" s="15" t="n">
        <f aca="false">F60*(1+IF(G$3&lt;=$O$2,$D60,$D60-($D60-$I$49)*MIN(G$3-$O$2,$Q$2)/$Q$2))</f>
        <v>20571.3126353485</v>
      </c>
      <c r="H60" s="15" t="n">
        <f aca="false">G60*(1+IF(H$3&lt;=$O$2,$D60,$D60-($D60-$I$49)*MIN(H$3-$O$2,$Q$2)/$Q$2))</f>
        <v>23213.0388185012</v>
      </c>
      <c r="I60" s="15" t="n">
        <f aca="false">H60*(1+IF(I$3&lt;=$O$2,$D60,$D60-($D60-$I$49)*MIN(I$3-$O$2,$Q$2)/$Q$2))</f>
        <v>26194.010112088</v>
      </c>
      <c r="J60" s="15" t="n">
        <f aca="false">I60*(1+IF(J$3&lt;=$O$2,$D60,$D60-($D60-$I$49)*MIN(J$3-$O$2,$Q$2)/$Q$2))</f>
        <v>28980.9054467073</v>
      </c>
      <c r="K60" s="15" t="n">
        <f aca="false">J60*(1+IF(K$3&lt;=$O$2,$D60,$D60-($D60-$I$49)*MIN(K$3-$O$2,$Q$2)/$Q$2))</f>
        <v>31426.0470805784</v>
      </c>
      <c r="L60" s="15" t="n">
        <f aca="false">K60*(1+IF(L$3&lt;=$O$2,$D60,$D60-($D60-$I$49)*MIN(L$3-$O$2,$Q$2)/$Q$2))</f>
        <v>33385.372730295</v>
      </c>
      <c r="M60" s="15" t="n">
        <f aca="false">L60*(1+IF(M$3&lt;=$O$2,$D60,$D60-($D60-$I$49)*MIN(M$3-$O$2,$Q$2)/$Q$2))</f>
        <v>34731.5909374638</v>
      </c>
      <c r="N60" s="15" t="n">
        <f aca="false">M60*(1+IF(N$3&lt;=$O$2,$D60,$D60-($D60-$I$49)*MIN(N$3-$O$2,$Q$2)/$Q$2))</f>
        <v>35367.1790516194</v>
      </c>
      <c r="O60" s="15" t="n">
        <f aca="false">SUMPRODUCT(E60:N60,1/(1+$F$49)^$E$3:$N$3)*$E$2</f>
        <v>54241.5227078643</v>
      </c>
      <c r="P60" s="15" t="n">
        <f aca="false">N60*$E$2*(1+$I$49)/($F$49-$I$49)/(1+$F$49)^$N$3</f>
        <v>78259.6206253277</v>
      </c>
      <c r="Q60" s="15" t="n">
        <f aca="false">O60+P60</f>
        <v>132501.143333192</v>
      </c>
      <c r="R60" s="15" t="n">
        <f aca="false">Q60-$G$2+$I$2</f>
        <v>120881.143333192</v>
      </c>
      <c r="S60" s="40" t="n">
        <f aca="false">R60/$K$2</f>
        <v>410.086315884222</v>
      </c>
      <c r="T60" s="41" t="n">
        <f aca="false">S60-$M$2</f>
        <v>0.10565299451099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0.126953125</v>
      </c>
      <c r="C61" s="25" t="n">
        <f aca="false">IF(T60&gt;0,D60,C60)</f>
        <v>0.12841796875</v>
      </c>
      <c r="D61" s="39" t="n">
        <f aca="false">(B61+C61)/2</f>
        <v>0.127685546875</v>
      </c>
      <c r="E61" s="15" t="n">
        <f aca="false">$C$2*(1+IF(E$3&lt;=$O$2,$D61,$D61-($D61-$I$49)*MIN(E$3-$O$2,$Q$2)/$Q$2))</f>
        <v>16145.0739746094</v>
      </c>
      <c r="F61" s="15" t="n">
        <f aca="false">E61*(1+IF(F$3&lt;=$O$2,$D61,$D61-($D61-$I$49)*MIN(F$3-$O$2,$Q$2)/$Q$2))</f>
        <v>18206.5665743947</v>
      </c>
      <c r="G61" s="15" t="n">
        <f aca="false">F61*(1+IF(G$3&lt;=$O$2,$D61,$D61-($D61-$I$49)*MIN(G$3-$O$2,$Q$2)/$Q$2))</f>
        <v>20531.2819841624</v>
      </c>
      <c r="H61" s="15" t="n">
        <f aca="false">G61*(1+IF(H$3&lt;=$O$2,$D61,$D61-($D61-$I$49)*MIN(H$3-$O$2,$Q$2)/$Q$2))</f>
        <v>23152.829952355</v>
      </c>
      <c r="I61" s="15" t="n">
        <f aca="false">H61*(1+IF(I$3&lt;=$O$2,$D61,$D61-($D61-$I$49)*MIN(I$3-$O$2,$Q$2)/$Q$2))</f>
        <v>26109.1117065253</v>
      </c>
      <c r="J61" s="15" t="n">
        <f aca="false">I61*(1+IF(J$3&lt;=$O$2,$D61,$D61-($D61-$I$49)*MIN(J$3-$O$2,$Q$2)/$Q$2))</f>
        <v>28871.6760207057</v>
      </c>
      <c r="K61" s="15" t="n">
        <f aca="false">J61*(1+IF(K$3&lt;=$O$2,$D61,$D61-($D61-$I$49)*MIN(K$3-$O$2,$Q$2)/$Q$2))</f>
        <v>31294.9141343183</v>
      </c>
      <c r="L61" s="15" t="n">
        <f aca="false">K61*(1+IF(L$3&lt;=$O$2,$D61,$D61-($D61-$I$49)*MIN(L$3-$O$2,$Q$2)/$Q$2))</f>
        <v>33236.8955817717</v>
      </c>
      <c r="M61" s="15" t="n">
        <f aca="false">L61*(1+IF(M$3&lt;=$O$2,$D61,$D61-($D61-$I$49)*MIN(M$3-$O$2,$Q$2)/$Q$2))</f>
        <v>34572.257970846</v>
      </c>
      <c r="N61" s="15" t="n">
        <f aca="false">M61*(1+IF(N$3&lt;=$O$2,$D61,$D61-($D61-$I$49)*MIN(N$3-$O$2,$Q$2)/$Q$2))</f>
        <v>35204.9302917125</v>
      </c>
      <c r="O61" s="15" t="n">
        <f aca="false">SUMPRODUCT(E61:N61,1/(1+$F$49)^$E$3:$N$3)*$E$2</f>
        <v>54068.9719312807</v>
      </c>
      <c r="P61" s="15" t="n">
        <f aca="false">N61*$E$2*(1+$I$49)/($F$49-$I$49)/(1+$F$49)^$N$3</f>
        <v>77900.6005751645</v>
      </c>
      <c r="Q61" s="15" t="n">
        <f aca="false">O61+P61</f>
        <v>131969.572506445</v>
      </c>
      <c r="R61" s="15" t="n">
        <f aca="false">Q61-$G$2+$I$2</f>
        <v>120349.572506445</v>
      </c>
      <c r="S61" s="40" t="n">
        <f aca="false">R61/$K$2</f>
        <v>408.282974883622</v>
      </c>
      <c r="T61" s="41" t="n">
        <f aca="false">S61-$M$2</f>
        <v>-1.69768800608853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0.127685546875</v>
      </c>
      <c r="C62" s="25" t="n">
        <f aca="false">IF(T61&gt;0,D61,C61)</f>
        <v>0.12841796875</v>
      </c>
      <c r="D62" s="39" t="n">
        <f aca="false">(B62+C62)/2</f>
        <v>0.1280517578125</v>
      </c>
      <c r="E62" s="15" t="n">
        <f aca="false">$C$2*(1+IF(E$3&lt;=$O$2,$D62,$D62-($D62-$I$49)*MIN(E$3-$O$2,$Q$2)/$Q$2))</f>
        <v>16150.3170166016</v>
      </c>
      <c r="F62" s="15" t="n">
        <f aca="false">E62*(1+IF(F$3&lt;=$O$2,$D62,$D62-($D62-$I$49)*MIN(F$3-$O$2,$Q$2)/$Q$2))</f>
        <v>18218.3934998065</v>
      </c>
      <c r="G62" s="15" t="n">
        <f aca="false">F62*(1+IF(G$3&lt;=$O$2,$D62,$D62-($D62-$I$49)*MIN(G$3-$O$2,$Q$2)/$Q$2))</f>
        <v>20551.2908119766</v>
      </c>
      <c r="H62" s="15" t="n">
        <f aca="false">G62*(1+IF(H$3&lt;=$O$2,$D62,$D62-($D62-$I$49)*MIN(H$3-$O$2,$Q$2)/$Q$2))</f>
        <v>23182.9197257661</v>
      </c>
      <c r="I62" s="15" t="n">
        <f aca="false">H62*(1+IF(I$3&lt;=$O$2,$D62,$D62-($D62-$I$49)*MIN(I$3-$O$2,$Q$2)/$Q$2))</f>
        <v>26151.5333478765</v>
      </c>
      <c r="J62" s="15" t="n">
        <f aca="false">I62*(1+IF(J$3&lt;=$O$2,$D62,$D62-($D62-$I$49)*MIN(J$3-$O$2,$Q$2)/$Q$2))</f>
        <v>28926.2478116799</v>
      </c>
      <c r="K62" s="15" t="n">
        <f aca="false">J62*(1+IF(K$3&lt;=$O$2,$D62,$D62-($D62-$I$49)*MIN(K$3-$O$2,$Q$2)/$Q$2))</f>
        <v>31360.4220731848</v>
      </c>
      <c r="L62" s="15" t="n">
        <f aca="false">K62*(1+IF(L$3&lt;=$O$2,$D62,$D62-($D62-$I$49)*MIN(L$3-$O$2,$Q$2)/$Q$2))</f>
        <v>33311.0623764337</v>
      </c>
      <c r="M62" s="15" t="n">
        <f aca="false">L62*(1+IF(M$3&lt;=$O$2,$D62,$D62-($D62-$I$49)*MIN(M$3-$O$2,$Q$2)/$Q$2))</f>
        <v>34651.8443480055</v>
      </c>
      <c r="N62" s="15" t="n">
        <f aca="false">M62*(1+IF(N$3&lt;=$O$2,$D62,$D62-($D62-$I$49)*MIN(N$3-$O$2,$Q$2)/$Q$2))</f>
        <v>35285.973099574</v>
      </c>
      <c r="O62" s="15" t="n">
        <f aca="false">SUMPRODUCT(E62:N62,1/(1+$F$49)^$E$3:$N$3)*$E$2</f>
        <v>54155.1796456138</v>
      </c>
      <c r="P62" s="15" t="n">
        <f aca="false">N62*$E$2*(1+$I$49)/($F$49-$I$49)/(1+$F$49)^$N$3</f>
        <v>78079.930099535</v>
      </c>
      <c r="Q62" s="15" t="n">
        <f aca="false">O62+P62</f>
        <v>132235.109745149</v>
      </c>
      <c r="R62" s="15" t="n">
        <f aca="false">Q62-$G$2+$I$2</f>
        <v>120615.109745149</v>
      </c>
      <c r="S62" s="40" t="n">
        <f aca="false">R62/$K$2</f>
        <v>409.183803457437</v>
      </c>
      <c r="T62" s="41" t="n">
        <f aca="false">S62-$M$2</f>
        <v>-0.796859432273436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0.1280517578125</v>
      </c>
      <c r="C63" s="25" t="n">
        <f aca="false">IF(T62&gt;0,D62,C62)</f>
        <v>0.12841796875</v>
      </c>
      <c r="D63" s="39" t="n">
        <f aca="false">(B63+C63)/2</f>
        <v>0.12823486328125</v>
      </c>
      <c r="E63" s="15" t="n">
        <f aca="false">$C$2*(1+IF(E$3&lt;=$O$2,$D63,$D63-($D63-$I$49)*MIN(E$3-$O$2,$Q$2)/$Q$2))</f>
        <v>16152.9385375977</v>
      </c>
      <c r="F63" s="15" t="n">
        <f aca="false">E63*(1+IF(F$3&lt;=$O$2,$D63,$D63-($D63-$I$49)*MIN(F$3-$O$2,$Q$2)/$Q$2))</f>
        <v>18224.3084025569</v>
      </c>
      <c r="G63" s="15" t="n">
        <f aca="false">F63*(1+IF(G$3&lt;=$O$2,$D63,$D63-($D63-$I$49)*MIN(G$3-$O$2,$Q$2)/$Q$2))</f>
        <v>20561.3000989542</v>
      </c>
      <c r="H63" s="15" t="n">
        <f aca="false">G63*(1+IF(H$3&lt;=$O$2,$D63,$D63-($D63-$I$49)*MIN(H$3-$O$2,$Q$2)/$Q$2))</f>
        <v>23197.9756060283</v>
      </c>
      <c r="I63" s="15" t="n">
        <f aca="false">H63*(1+IF(I$3&lt;=$O$2,$D63,$D63-($D63-$I$49)*MIN(I$3-$O$2,$Q$2)/$Q$2))</f>
        <v>26172.7648362691</v>
      </c>
      <c r="J63" s="15" t="n">
        <f aca="false">I63*(1+IF(J$3&lt;=$O$2,$D63,$D63-($D63-$I$49)*MIN(J$3-$O$2,$Q$2)/$Q$2))</f>
        <v>28953.5658919469</v>
      </c>
      <c r="K63" s="15" t="n">
        <f aca="false">J63*(1+IF(K$3&lt;=$O$2,$D63,$D63-($D63-$I$49)*MIN(K$3-$O$2,$Q$2)/$Q$2))</f>
        <v>31393.219932471</v>
      </c>
      <c r="L63" s="15" t="n">
        <f aca="false">K63*(1+IF(L$3&lt;=$O$2,$D63,$D63-($D63-$I$49)*MIN(L$3-$O$2,$Q$2)/$Q$2))</f>
        <v>33348.199593729</v>
      </c>
      <c r="M63" s="15" t="n">
        <f aca="false">L63*(1+IF(M$3&lt;=$O$2,$D63,$D63-($D63-$I$49)*MIN(M$3-$O$2,$Q$2)/$Q$2))</f>
        <v>34691.6975988967</v>
      </c>
      <c r="N63" s="15" t="n">
        <f aca="false">M63*(1+IF(N$3&lt;=$O$2,$D63,$D63-($D63-$I$49)*MIN(N$3-$O$2,$Q$2)/$Q$2))</f>
        <v>35326.5556649565</v>
      </c>
      <c r="O63" s="15" t="n">
        <f aca="false">SUMPRODUCT(E63:N63,1/(1+$F$49)^$E$3:$N$3)*$E$2</f>
        <v>54198.3342460415</v>
      </c>
      <c r="P63" s="15" t="n">
        <f aca="false">N63*$E$2*(1+$I$49)/($F$49-$I$49)/(1+$F$49)^$N$3</f>
        <v>78169.7301982707</v>
      </c>
      <c r="Q63" s="15" t="n">
        <f aca="false">O63+P63</f>
        <v>132368.064444312</v>
      </c>
      <c r="R63" s="15" t="n">
        <f aca="false">Q63-$G$2+$I$2</f>
        <v>120748.064444312</v>
      </c>
      <c r="S63" s="40" t="n">
        <f aca="false">R63/$K$2</f>
        <v>409.634849015545</v>
      </c>
      <c r="T63" s="41" t="n">
        <f aca="false">S63-$M$2</f>
        <v>-0.345813874165799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0.12823486328125</v>
      </c>
      <c r="C64" s="25" t="n">
        <f aca="false">IF(T63&gt;0,D63,C63)</f>
        <v>0.12841796875</v>
      </c>
      <c r="D64" s="39" t="n">
        <f aca="false">(B64+C64)/2</f>
        <v>0.128326416015625</v>
      </c>
      <c r="E64" s="15" t="n">
        <f aca="false">$C$2*(1+IF(E$3&lt;=$O$2,$D64,$D64-($D64-$I$49)*MIN(E$3-$O$2,$Q$2)/$Q$2))</f>
        <v>16154.2492980957</v>
      </c>
      <c r="F64" s="15" t="n">
        <f aca="false">E64*(1+IF(F$3&lt;=$O$2,$D64,$D64-($D64-$I$49)*MIN(F$3-$O$2,$Q$2)/$Q$2))</f>
        <v>18227.2662139433</v>
      </c>
      <c r="G64" s="15" t="n">
        <f aca="false">F64*(1+IF(G$3&lt;=$O$2,$D64,$D64-($D64-$I$49)*MIN(G$3-$O$2,$Q$2)/$Q$2))</f>
        <v>20566.3059609413</v>
      </c>
      <c r="H64" s="15" t="n">
        <f aca="false">G64*(1+IF(H$3&lt;=$O$2,$D64,$D64-($D64-$I$49)*MIN(H$3-$O$2,$Q$2)/$Q$2))</f>
        <v>23205.5062955897</v>
      </c>
      <c r="I64" s="15" t="n">
        <f aca="false">H64*(1+IF(I$3&lt;=$O$2,$D64,$D64-($D64-$I$49)*MIN(I$3-$O$2,$Q$2)/$Q$2))</f>
        <v>26183.3857503307</v>
      </c>
      <c r="J64" s="15" t="n">
        <f aca="false">I64*(1+IF(J$3&lt;=$O$2,$D64,$D64-($D64-$I$49)*MIN(J$3-$O$2,$Q$2)/$Q$2))</f>
        <v>28967.2329841725</v>
      </c>
      <c r="K64" s="15" t="n">
        <f aca="false">J64*(1+IF(K$3&lt;=$O$2,$D64,$D64-($D64-$I$49)*MIN(K$3-$O$2,$Q$2)/$Q$2))</f>
        <v>31409.6298440658</v>
      </c>
      <c r="L64" s="15" t="n">
        <f aca="false">K64*(1+IF(L$3&lt;=$O$2,$D64,$D64-($D64-$I$49)*MIN(L$3-$O$2,$Q$2)/$Q$2))</f>
        <v>33366.7816702601</v>
      </c>
      <c r="M64" s="15" t="n">
        <f aca="false">L64*(1+IF(M$3&lt;=$O$2,$D64,$D64-($D64-$I$49)*MIN(M$3-$O$2,$Q$2)/$Q$2))</f>
        <v>34711.6392550568</v>
      </c>
      <c r="N64" s="15" t="n">
        <f aca="false">M64*(1+IF(N$3&lt;=$O$2,$D64,$D64-($D64-$I$49)*MIN(N$3-$O$2,$Q$2)/$Q$2))</f>
        <v>35346.8622534244</v>
      </c>
      <c r="O64" s="15" t="n">
        <f aca="false">SUMPRODUCT(E64:N64,1/(1+$F$49)^$E$3:$N$3)*$E$2</f>
        <v>54219.9242427517</v>
      </c>
      <c r="P64" s="15" t="n">
        <f aca="false">N64*$E$2*(1+$I$49)/($F$49-$I$49)/(1+$F$49)^$N$3</f>
        <v>78214.6641158831</v>
      </c>
      <c r="Q64" s="15" t="n">
        <f aca="false">O64+P64</f>
        <v>132434.588358635</v>
      </c>
      <c r="R64" s="15" t="n">
        <f aca="false">Q64-$G$2+$I$2</f>
        <v>120814.588358635</v>
      </c>
      <c r="S64" s="40" t="n">
        <f aca="false">R64/$K$2</f>
        <v>409.860529764341</v>
      </c>
      <c r="T64" s="41" t="n">
        <f aca="false">S64-$M$2</f>
        <v>-0.120133125369762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0.128326416015625</v>
      </c>
      <c r="C65" s="25" t="n">
        <f aca="false">IF(T64&gt;0,D64,C64)</f>
        <v>0.12841796875</v>
      </c>
      <c r="D65" s="39" t="n">
        <f aca="false">(B65+C65)/2</f>
        <v>0.128372192382813</v>
      </c>
      <c r="E65" s="15" t="n">
        <f aca="false">$C$2*(1+IF(E$3&lt;=$O$2,$D65,$D65-($D65-$I$49)*MIN(E$3-$O$2,$Q$2)/$Q$2))</f>
        <v>16154.9046783447</v>
      </c>
      <c r="F65" s="15" t="n">
        <f aca="false">E65*(1+IF(F$3&lt;=$O$2,$D65,$D65-($D65-$I$49)*MIN(F$3-$O$2,$Q$2)/$Q$2))</f>
        <v>18228.7452096392</v>
      </c>
      <c r="G65" s="15" t="n">
        <f aca="false">F65*(1+IF(G$3&lt;=$O$2,$D65,$D65-($D65-$I$49)*MIN(G$3-$O$2,$Q$2)/$Q$2))</f>
        <v>20568.8091965883</v>
      </c>
      <c r="H65" s="15" t="n">
        <f aca="false">G65*(1+IF(H$3&lt;=$O$2,$D65,$D65-($D65-$I$49)*MIN(H$3-$O$2,$Q$2)/$Q$2))</f>
        <v>23209.2723278581</v>
      </c>
      <c r="I65" s="15" t="n">
        <f aca="false">H65*(1+IF(I$3&lt;=$O$2,$D65,$D65-($D65-$I$49)*MIN(I$3-$O$2,$Q$2)/$Q$2))</f>
        <v>26188.6975001949</v>
      </c>
      <c r="J65" s="15" t="n">
        <f aca="false">I65*(1+IF(J$3&lt;=$O$2,$D65,$D65-($D65-$I$49)*MIN(J$3-$O$2,$Q$2)/$Q$2))</f>
        <v>28974.0685440459</v>
      </c>
      <c r="K65" s="15" t="n">
        <f aca="false">J65*(1+IF(K$3&lt;=$O$2,$D65,$D65-($D65-$I$49)*MIN(K$3-$O$2,$Q$2)/$Q$2))</f>
        <v>31417.8375465377</v>
      </c>
      <c r="L65" s="15" t="n">
        <f aca="false">K65*(1+IF(L$3&lt;=$O$2,$D65,$D65-($D65-$I$49)*MIN(L$3-$O$2,$Q$2)/$Q$2))</f>
        <v>33376.0760771092</v>
      </c>
      <c r="M65" s="15" t="n">
        <f aca="false">L65*(1+IF(M$3&lt;=$O$2,$D65,$D65-($D65-$I$49)*MIN(M$3-$O$2,$Q$2)/$Q$2))</f>
        <v>34721.6138427089</v>
      </c>
      <c r="N65" s="15" t="n">
        <f aca="false">M65*(1+IF(N$3&lt;=$O$2,$D65,$D65-($D65-$I$49)*MIN(N$3-$O$2,$Q$2)/$Q$2))</f>
        <v>35357.0193760304</v>
      </c>
      <c r="O65" s="15" t="n">
        <f aca="false">SUMPRODUCT(E65:N65,1/(1+$F$49)^$E$3:$N$3)*$E$2</f>
        <v>54230.7224165668</v>
      </c>
      <c r="P65" s="15" t="n">
        <f aca="false">N65*$E$2*(1+$I$49)/($F$49-$I$49)/(1+$F$49)^$N$3</f>
        <v>78237.1395460167</v>
      </c>
      <c r="Q65" s="15" t="n">
        <f aca="false">O65+P65</f>
        <v>132467.861962583</v>
      </c>
      <c r="R65" s="15" t="n">
        <f aca="false">Q65-$G$2+$I$2</f>
        <v>120847.861962583</v>
      </c>
      <c r="S65" s="40" t="n">
        <f aca="false">R65/$K$2</f>
        <v>409.97340965018</v>
      </c>
      <c r="T65" s="41" t="n">
        <f aca="false">S65-$M$2</f>
        <v>-0.00725323953093948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0.128372192382813</v>
      </c>
      <c r="C66" s="25" t="n">
        <f aca="false">IF(T65&gt;0,D65,C65)</f>
        <v>0.12841796875</v>
      </c>
      <c r="D66" s="39" t="n">
        <f aca="false">(B66+C66)/2</f>
        <v>0.128395080566406</v>
      </c>
      <c r="E66" s="15" t="n">
        <f aca="false">$C$2*(1+IF(E$3&lt;=$O$2,$D66,$D66-($D66-$I$49)*MIN(E$3-$O$2,$Q$2)/$Q$2))</f>
        <v>16155.2323684692</v>
      </c>
      <c r="F66" s="15" t="n">
        <f aca="false">E66*(1+IF(F$3&lt;=$O$2,$D66,$D66-($D66-$I$49)*MIN(F$3-$O$2,$Q$2)/$Q$2))</f>
        <v>18229.4847299879</v>
      </c>
      <c r="G66" s="15" t="n">
        <f aca="false">F66*(1+IF(G$3&lt;=$O$2,$D66,$D66-($D66-$I$49)*MIN(G$3-$O$2,$Q$2)/$Q$2))</f>
        <v>20570.0608905787</v>
      </c>
      <c r="H66" s="15" t="n">
        <f aca="false">G66*(1+IF(H$3&lt;=$O$2,$D66,$D66-($D66-$I$49)*MIN(H$3-$O$2,$Q$2)/$Q$2))</f>
        <v>23211.1555158805</v>
      </c>
      <c r="I66" s="15" t="n">
        <f aca="false">H66*(1+IF(I$3&lt;=$O$2,$D66,$D66-($D66-$I$49)*MIN(I$3-$O$2,$Q$2)/$Q$2))</f>
        <v>26191.3536983813</v>
      </c>
      <c r="J66" s="15" t="n">
        <f aca="false">I66*(1+IF(J$3&lt;=$O$2,$D66,$D66-($D66-$I$49)*MIN(J$3-$O$2,$Q$2)/$Q$2))</f>
        <v>28977.4868275149</v>
      </c>
      <c r="K66" s="15" t="n">
        <f aca="false">J66*(1+IF(K$3&lt;=$O$2,$D66,$D66-($D66-$I$49)*MIN(K$3-$O$2,$Q$2)/$Q$2))</f>
        <v>31421.9420845908</v>
      </c>
      <c r="L66" s="15" t="n">
        <f aca="false">K66*(1+IF(L$3&lt;=$O$2,$D66,$D66-($D66-$I$49)*MIN(L$3-$O$2,$Q$2)/$Q$2))</f>
        <v>33380.7241228812</v>
      </c>
      <c r="M66" s="15" t="n">
        <f aca="false">L66*(1+IF(M$3&lt;=$O$2,$D66,$D66-($D66-$I$49)*MIN(M$3-$O$2,$Q$2)/$Q$2))</f>
        <v>34726.6020766646</v>
      </c>
      <c r="N66" s="15" t="n">
        <f aca="false">M66*(1+IF(N$3&lt;=$O$2,$D66,$D66-($D66-$I$49)*MIN(N$3-$O$2,$Q$2)/$Q$2))</f>
        <v>35362.0988946676</v>
      </c>
      <c r="O66" s="15" t="n">
        <f aca="false">SUMPRODUCT(E66:N66,1/(1+$F$49)^$E$3:$N$3)*$E$2</f>
        <v>54236.1222975064</v>
      </c>
      <c r="P66" s="15" t="n">
        <f aca="false">N66*$E$2*(1+$I$49)/($F$49-$I$49)/(1+$F$49)^$N$3</f>
        <v>78248.3793794487</v>
      </c>
      <c r="Q66" s="15" t="n">
        <f aca="false">O66+P66</f>
        <v>132484.501676955</v>
      </c>
      <c r="R66" s="15" t="n">
        <f aca="false">Q66-$G$2+$I$2</f>
        <v>120864.501676955</v>
      </c>
      <c r="S66" s="40" t="n">
        <f aca="false">R66/$K$2</f>
        <v>410.029859473336</v>
      </c>
      <c r="T66" s="41" t="n">
        <f aca="false">S66-$M$2</f>
        <v>0.0491965836250756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0.128372192382813</v>
      </c>
      <c r="C67" s="25" t="n">
        <f aca="false">IF(T66&gt;0,D66,C66)</f>
        <v>0.128395080566406</v>
      </c>
      <c r="D67" s="39" t="n">
        <f aca="false">(B67+C67)/2</f>
        <v>0.128383636474609</v>
      </c>
      <c r="E67" s="15" t="n">
        <f aca="false">$C$2*(1+IF(E$3&lt;=$O$2,$D67,$D67-($D67-$I$49)*MIN(E$3-$O$2,$Q$2)/$Q$2))</f>
        <v>16155.068523407</v>
      </c>
      <c r="F67" s="15" t="n">
        <f aca="false">E67*(1+IF(F$3&lt;=$O$2,$D67,$D67-($D67-$I$49)*MIN(F$3-$O$2,$Q$2)/$Q$2))</f>
        <v>18229.1149679385</v>
      </c>
      <c r="G67" s="15" t="n">
        <f aca="false">F67*(1+IF(G$3&lt;=$O$2,$D67,$D67-($D67-$I$49)*MIN(G$3-$O$2,$Q$2)/$Q$2))</f>
        <v>20569.4350372361</v>
      </c>
      <c r="H67" s="15" t="n">
        <f aca="false">G67*(1+IF(H$3&lt;=$O$2,$D67,$D67-($D67-$I$49)*MIN(H$3-$O$2,$Q$2)/$Q$2))</f>
        <v>23210.2139075448</v>
      </c>
      <c r="I67" s="15" t="n">
        <f aca="false">H67*(1+IF(I$3&lt;=$O$2,$D67,$D67-($D67-$I$49)*MIN(I$3-$O$2,$Q$2)/$Q$2))</f>
        <v>26190.0255723489</v>
      </c>
      <c r="J67" s="15" t="n">
        <f aca="false">I67*(1+IF(J$3&lt;=$O$2,$D67,$D67-($D67-$I$49)*MIN(J$3-$O$2,$Q$2)/$Q$2))</f>
        <v>28975.7776438166</v>
      </c>
      <c r="K67" s="15" t="n">
        <f aca="false">J67*(1+IF(K$3&lt;=$O$2,$D67,$D67-($D67-$I$49)*MIN(K$3-$O$2,$Q$2)/$Q$2))</f>
        <v>31419.8897583251</v>
      </c>
      <c r="L67" s="15" t="n">
        <f aca="false">K67*(1+IF(L$3&lt;=$O$2,$D67,$D67-($D67-$I$49)*MIN(L$3-$O$2,$Q$2)/$Q$2))</f>
        <v>33378.4000297936</v>
      </c>
      <c r="M67" s="15" t="n">
        <f aca="false">L67*(1+IF(M$3&lt;=$O$2,$D67,$D67-($D67-$I$49)*MIN(M$3-$O$2,$Q$2)/$Q$2))</f>
        <v>34724.1078813356</v>
      </c>
      <c r="N67" s="15" t="n">
        <f aca="false">M67*(1+IF(N$3&lt;=$O$2,$D67,$D67-($D67-$I$49)*MIN(N$3-$O$2,$Q$2)/$Q$2))</f>
        <v>35359.559055564</v>
      </c>
      <c r="O67" s="15" t="n">
        <f aca="false">SUMPRODUCT(E67:N67,1/(1+$F$49)^$E$3:$N$3)*$E$2</f>
        <v>54233.4222908623</v>
      </c>
      <c r="P67" s="15" t="n">
        <f aca="false">N67*$E$2*(1+$I$49)/($F$49-$I$49)/(1+$F$49)^$N$3</f>
        <v>78242.7592861864</v>
      </c>
      <c r="Q67" s="15" t="n">
        <f aca="false">O67+P67</f>
        <v>132476.181577049</v>
      </c>
      <c r="R67" s="15" t="n">
        <f aca="false">Q67-$G$2+$I$2</f>
        <v>120856.181577049</v>
      </c>
      <c r="S67" s="40" t="n">
        <f aca="false">R67/$K$2</f>
        <v>410.001633738334</v>
      </c>
      <c r="T67" s="41" t="n">
        <f aca="false">S67-$M$2</f>
        <v>0.0209708486232216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0.128372192382813</v>
      </c>
      <c r="C68" s="25" t="n">
        <f aca="false">IF(T67&gt;0,D67,C67)</f>
        <v>0.128383636474609</v>
      </c>
      <c r="D68" s="39" t="n">
        <f aca="false">(B68+C68)/2</f>
        <v>0.128377914428711</v>
      </c>
      <c r="E68" s="15" t="n">
        <f aca="false">$C$2*(1+IF(E$3&lt;=$O$2,$D68,$D68-($D68-$I$49)*MIN(E$3-$O$2,$Q$2)/$Q$2))</f>
        <v>16154.9866008759</v>
      </c>
      <c r="F68" s="15" t="n">
        <f aca="false">E68*(1+IF(F$3&lt;=$O$2,$D68,$D68-($D68-$I$49)*MIN(F$3-$O$2,$Q$2)/$Q$2))</f>
        <v>18228.9300883201</v>
      </c>
      <c r="G68" s="15" t="n">
        <f aca="false">F68*(1+IF(G$3&lt;=$O$2,$D68,$D68-($D68-$I$49)*MIN(G$3-$O$2,$Q$2)/$Q$2))</f>
        <v>20569.1221153254</v>
      </c>
      <c r="H68" s="15" t="n">
        <f aca="false">G68*(1+IF(H$3&lt;=$O$2,$D68,$D68-($D68-$I$49)*MIN(H$3-$O$2,$Q$2)/$Q$2))</f>
        <v>23209.7431141203</v>
      </c>
      <c r="I68" s="15" t="n">
        <f aca="false">H68*(1+IF(I$3&lt;=$O$2,$D68,$D68-($D68-$I$49)*MIN(I$3-$O$2,$Q$2)/$Q$2))</f>
        <v>26189.3615295372</v>
      </c>
      <c r="J68" s="15" t="n">
        <f aca="false">I68*(1+IF(J$3&lt;=$O$2,$D68,$D68-($D68-$I$49)*MIN(J$3-$O$2,$Q$2)/$Q$2))</f>
        <v>28974.9230834405</v>
      </c>
      <c r="K68" s="15" t="n">
        <f aca="false">J68*(1+IF(K$3&lt;=$O$2,$D68,$D68-($D68-$I$49)*MIN(K$3-$O$2,$Q$2)/$Q$2))</f>
        <v>31418.863638122</v>
      </c>
      <c r="L68" s="15" t="n">
        <f aca="false">K68*(1+IF(L$3&lt;=$O$2,$D68,$D68-($D68-$I$49)*MIN(L$3-$O$2,$Q$2)/$Q$2))</f>
        <v>33377.2380359014</v>
      </c>
      <c r="M68" s="15" t="n">
        <f aca="false">L68*(1+IF(M$3&lt;=$O$2,$D68,$D68-($D68-$I$49)*MIN(M$3-$O$2,$Q$2)/$Q$2))</f>
        <v>34722.8608424349</v>
      </c>
      <c r="N68" s="15" t="n">
        <f aca="false">M68*(1+IF(N$3&lt;=$O$2,$D68,$D68-($D68-$I$49)*MIN(N$3-$O$2,$Q$2)/$Q$2))</f>
        <v>35358.2891958515</v>
      </c>
      <c r="O68" s="15" t="n">
        <f aca="false">SUMPRODUCT(E68:N68,1/(1+$F$49)^$E$3:$N$3)*$E$2</f>
        <v>54232.0723371713</v>
      </c>
      <c r="P68" s="15" t="n">
        <f aca="false">N68*$E$2*(1+$I$49)/($F$49-$I$49)/(1+$F$49)^$N$3</f>
        <v>78239.9493719661</v>
      </c>
      <c r="Q68" s="15" t="n">
        <f aca="false">O68+P68</f>
        <v>132472.021709137</v>
      </c>
      <c r="R68" s="15" t="n">
        <f aca="false">Q68-$G$2+$I$2</f>
        <v>120852.021709137</v>
      </c>
      <c r="S68" s="40" t="n">
        <f aca="false">R68/$K$2</f>
        <v>409.987521488406</v>
      </c>
      <c r="T68" s="41" t="n">
        <f aca="false">S68-$M$2</f>
        <v>0.0068585986956009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0.128372192382813</v>
      </c>
      <c r="C69" s="25" t="n">
        <f aca="false">IF(T68&gt;0,D68,C68)</f>
        <v>0.128377914428711</v>
      </c>
      <c r="D69" s="39" t="n">
        <f aca="false">(B69+C69)/2</f>
        <v>0.128375053405762</v>
      </c>
      <c r="E69" s="15" t="n">
        <f aca="false">$C$2*(1+IF(E$3&lt;=$O$2,$D69,$D69-($D69-$I$49)*MIN(E$3-$O$2,$Q$2)/$Q$2))</f>
        <v>16154.9456396103</v>
      </c>
      <c r="F69" s="15" t="n">
        <f aca="false">E69*(1+IF(F$3&lt;=$O$2,$D69,$D69-($D69-$I$49)*MIN(F$3-$O$2,$Q$2)/$Q$2))</f>
        <v>18228.8376488624</v>
      </c>
      <c r="G69" s="15" t="n">
        <f aca="false">F69*(1+IF(G$3&lt;=$O$2,$D69,$D69-($D69-$I$49)*MIN(G$3-$O$2,$Q$2)/$Q$2))</f>
        <v>20568.9656555601</v>
      </c>
      <c r="H69" s="15" t="n">
        <f aca="false">G69*(1+IF(H$3&lt;=$O$2,$D69,$D69-($D69-$I$49)*MIN(H$3-$O$2,$Q$2)/$Q$2))</f>
        <v>23209.5077200939</v>
      </c>
      <c r="I69" s="15" t="n">
        <f aca="false">H69*(1+IF(I$3&lt;=$O$2,$D69,$D69-($D69-$I$49)*MIN(I$3-$O$2,$Q$2)/$Q$2))</f>
        <v>26189.0295131824</v>
      </c>
      <c r="J69" s="15" t="n">
        <f aca="false">I69*(1+IF(J$3&lt;=$O$2,$D69,$D69-($D69-$I$49)*MIN(J$3-$O$2,$Q$2)/$Q$2))</f>
        <v>28974.4958111206</v>
      </c>
      <c r="K69" s="15" t="n">
        <f aca="false">J69*(1+IF(K$3&lt;=$O$2,$D69,$D69-($D69-$I$49)*MIN(K$3-$O$2,$Q$2)/$Q$2))</f>
        <v>31418.3505887525</v>
      </c>
      <c r="L69" s="15" t="n">
        <f aca="false">K69*(1+IF(L$3&lt;=$O$2,$D69,$D69-($D69-$I$49)*MIN(L$3-$O$2,$Q$2)/$Q$2))</f>
        <v>33376.6570521179</v>
      </c>
      <c r="M69" s="15" t="n">
        <f aca="false">L69*(1+IF(M$3&lt;=$O$2,$D69,$D69-($D69-$I$49)*MIN(M$3-$O$2,$Q$2)/$Q$2))</f>
        <v>34722.2373376752</v>
      </c>
      <c r="N69" s="15" t="n">
        <f aca="false">M69*(1+IF(N$3&lt;=$O$2,$D69,$D69-($D69-$I$49)*MIN(N$3-$O$2,$Q$2)/$Q$2))</f>
        <v>35357.6542809546</v>
      </c>
      <c r="O69" s="15" t="n">
        <f aca="false">SUMPRODUCT(E69:N69,1/(1+$F$49)^$E$3:$N$3)*$E$2</f>
        <v>54231.3973727333</v>
      </c>
      <c r="P69" s="15" t="n">
        <f aca="false">N69*$E$2*(1+$I$49)/($F$49-$I$49)/(1+$F$49)^$N$3</f>
        <v>78238.5444479577</v>
      </c>
      <c r="Q69" s="15" t="n">
        <f aca="false">O69+P69</f>
        <v>132469.941820691</v>
      </c>
      <c r="R69" s="15" t="n">
        <f aca="false">Q69-$G$2+$I$2</f>
        <v>120849.941820691</v>
      </c>
      <c r="S69" s="40" t="n">
        <f aca="false">R69/$K$2</f>
        <v>409.980465517831</v>
      </c>
      <c r="T69" s="41" t="n">
        <f aca="false">S69-$M$2</f>
        <v>-0.000197371879721686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0.128375053405762</v>
      </c>
      <c r="C70" s="25" t="n">
        <f aca="false">IF(T69&gt;0,D69,C69)</f>
        <v>0.128377914428711</v>
      </c>
      <c r="D70" s="39" t="n">
        <f aca="false">(B70+C70)/2</f>
        <v>0.128376483917236</v>
      </c>
      <c r="E70" s="15" t="n">
        <f aca="false">$C$2*(1+IF(E$3&lt;=$O$2,$D70,$D70-($D70-$I$49)*MIN(E$3-$O$2,$Q$2)/$Q$2))</f>
        <v>16154.9661202431</v>
      </c>
      <c r="F70" s="15" t="n">
        <f aca="false">E70*(1+IF(F$3&lt;=$O$2,$D70,$D70-($D70-$I$49)*MIN(F$3-$O$2,$Q$2)/$Q$2))</f>
        <v>18228.883868562</v>
      </c>
      <c r="G70" s="15" t="n">
        <f aca="false">F70*(1+IF(G$3&lt;=$O$2,$D70,$D70-($D70-$I$49)*MIN(G$3-$O$2,$Q$2)/$Q$2))</f>
        <v>20569.0438853436</v>
      </c>
      <c r="H70" s="15" t="n">
        <f aca="false">G70*(1+IF(H$3&lt;=$O$2,$D70,$D70-($D70-$I$49)*MIN(H$3-$O$2,$Q$2)/$Q$2))</f>
        <v>23209.6254168833</v>
      </c>
      <c r="I70" s="15" t="n">
        <f aca="false">H70*(1+IF(I$3&lt;=$O$2,$D70,$D70-($D70-$I$49)*MIN(I$3-$O$2,$Q$2)/$Q$2))</f>
        <v>26189.1955209389</v>
      </c>
      <c r="J70" s="15" t="n">
        <f aca="false">I70*(1+IF(J$3&lt;=$O$2,$D70,$D70-($D70-$I$49)*MIN(J$3-$O$2,$Q$2)/$Q$2))</f>
        <v>28974.7094466249</v>
      </c>
      <c r="K70" s="15" t="n">
        <f aca="false">J70*(1+IF(K$3&lt;=$O$2,$D70,$D70-($D70-$I$49)*MIN(K$3-$O$2,$Q$2)/$Q$2))</f>
        <v>31418.6071125429</v>
      </c>
      <c r="L70" s="15" t="n">
        <f aca="false">K70*(1+IF(L$3&lt;=$O$2,$D70,$D70-($D70-$I$49)*MIN(L$3-$O$2,$Q$2)/$Q$2))</f>
        <v>33376.9475429128</v>
      </c>
      <c r="M70" s="15" t="n">
        <f aca="false">L70*(1+IF(M$3&lt;=$O$2,$D70,$D70-($D70-$I$49)*MIN(M$3-$O$2,$Q$2)/$Q$2))</f>
        <v>34722.5490888308</v>
      </c>
      <c r="N70" s="15" t="n">
        <f aca="false">M70*(1+IF(N$3&lt;=$O$2,$D70,$D70-($D70-$I$49)*MIN(N$3-$O$2,$Q$2)/$Q$2))</f>
        <v>35357.9717371565</v>
      </c>
      <c r="O70" s="15" t="n">
        <f aca="false">SUMPRODUCT(E70:N70,1/(1+$F$49)^$E$3:$N$3)*$E$2</f>
        <v>54231.7348539184</v>
      </c>
      <c r="P70" s="15" t="n">
        <f aca="false">N70*$E$2*(1+$I$49)/($F$49-$I$49)/(1+$F$49)^$N$3</f>
        <v>78239.2469072035</v>
      </c>
      <c r="Q70" s="15" t="n">
        <f aca="false">O70+P70</f>
        <v>132470.981761122</v>
      </c>
      <c r="R70" s="15" t="n">
        <f aca="false">Q70-$G$2+$I$2</f>
        <v>120850.981761122</v>
      </c>
      <c r="S70" s="40" t="n">
        <f aca="false">R70/$K$2</f>
        <v>409.983993490253</v>
      </c>
      <c r="T70" s="41" t="n">
        <f aca="false">S70-$M$2</f>
        <v>0.00333060054231282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0.128375053405762</v>
      </c>
      <c r="C71" s="25" t="n">
        <f aca="false">IF(T70&gt;0,D70,C70)</f>
        <v>0.128376483917236</v>
      </c>
      <c r="D71" s="39" t="n">
        <f aca="false">(B71+C71)/2</f>
        <v>0.128375768661499</v>
      </c>
      <c r="E71" s="15" t="n">
        <f aca="false">$C$2*(1+IF(E$3&lt;=$O$2,$D71,$D71-($D71-$I$49)*MIN(E$3-$O$2,$Q$2)/$Q$2))</f>
        <v>16154.9558799267</v>
      </c>
      <c r="F71" s="15" t="n">
        <f aca="false">E71*(1+IF(F$3&lt;=$O$2,$D71,$D71-($D71-$I$49)*MIN(F$3-$O$2,$Q$2)/$Q$2))</f>
        <v>18228.8607587049</v>
      </c>
      <c r="G71" s="15" t="n">
        <f aca="false">F71*(1+IF(G$3&lt;=$O$2,$D71,$D71-($D71-$I$49)*MIN(G$3-$O$2,$Q$2)/$Q$2))</f>
        <v>20569.004770427</v>
      </c>
      <c r="H71" s="15" t="n">
        <f aca="false">G71*(1+IF(H$3&lt;=$O$2,$D71,$D71-($D71-$I$49)*MIN(H$3-$O$2,$Q$2)/$Q$2))</f>
        <v>23209.5665684327</v>
      </c>
      <c r="I71" s="15" t="n">
        <f aca="false">H71*(1+IF(I$3&lt;=$O$2,$D71,$D71-($D71-$I$49)*MIN(I$3-$O$2,$Q$2)/$Q$2))</f>
        <v>26189.1125169554</v>
      </c>
      <c r="J71" s="15" t="n">
        <f aca="false">I71*(1+IF(J$3&lt;=$O$2,$D71,$D71-($D71-$I$49)*MIN(J$3-$O$2,$Q$2)/$Q$2))</f>
        <v>28974.6026287088</v>
      </c>
      <c r="K71" s="15" t="n">
        <f aca="false">J71*(1+IF(K$3&lt;=$O$2,$D71,$D71-($D71-$I$49)*MIN(K$3-$O$2,$Q$2)/$Q$2))</f>
        <v>31418.4788504241</v>
      </c>
      <c r="L71" s="15" t="n">
        <f aca="false">K71*(1+IF(L$3&lt;=$O$2,$D71,$D71-($D71-$I$49)*MIN(L$3-$O$2,$Q$2)/$Q$2))</f>
        <v>33376.8022972411</v>
      </c>
      <c r="M71" s="15" t="n">
        <f aca="false">L71*(1+IF(M$3&lt;=$O$2,$D71,$D71-($D71-$I$49)*MIN(M$3-$O$2,$Q$2)/$Q$2))</f>
        <v>34722.393212947</v>
      </c>
      <c r="N71" s="15" t="n">
        <f aca="false">M71*(1+IF(N$3&lt;=$O$2,$D71,$D71-($D71-$I$49)*MIN(N$3-$O$2,$Q$2)/$Q$2))</f>
        <v>35357.8130087439</v>
      </c>
      <c r="O71" s="15" t="n">
        <f aca="false">SUMPRODUCT(E71:N71,1/(1+$F$49)^$E$3:$N$3)*$E$2</f>
        <v>54231.5661130674</v>
      </c>
      <c r="P71" s="15" t="n">
        <f aca="false">N71*$E$2*(1+$I$49)/($F$49-$I$49)/(1+$F$49)^$N$3</f>
        <v>78238.895676891</v>
      </c>
      <c r="Q71" s="15" t="n">
        <f aca="false">O71+P71</f>
        <v>132470.461789958</v>
      </c>
      <c r="R71" s="15" t="n">
        <f aca="false">Q71-$G$2+$I$2</f>
        <v>120850.461789958</v>
      </c>
      <c r="S71" s="40" t="n">
        <f aca="false">R71/$K$2</f>
        <v>409.982229500826</v>
      </c>
      <c r="T71" s="41" t="n">
        <f aca="false">S71-$M$2</f>
        <v>0.0015666111149244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0.128375053405762</v>
      </c>
      <c r="C72" s="25" t="n">
        <f aca="false">IF(T71&gt;0,D71,C71)</f>
        <v>0.128375768661499</v>
      </c>
      <c r="D72" s="39" t="n">
        <f aca="false">(B72+C72)/2</f>
        <v>0.12837541103363</v>
      </c>
      <c r="E72" s="15" t="n">
        <f aca="false">$C$2*(1+IF(E$3&lt;=$O$2,$D72,$D72-($D72-$I$49)*MIN(E$3-$O$2,$Q$2)/$Q$2))</f>
        <v>16154.9507597685</v>
      </c>
      <c r="F72" s="15" t="n">
        <f aca="false">E72*(1+IF(F$3&lt;=$O$2,$D72,$D72-($D72-$I$49)*MIN(F$3-$O$2,$Q$2)/$Q$2))</f>
        <v>18228.8492037818</v>
      </c>
      <c r="G72" s="15" t="n">
        <f aca="false">F72*(1+IF(G$3&lt;=$O$2,$D72,$D72-($D72-$I$49)*MIN(G$3-$O$2,$Q$2)/$Q$2))</f>
        <v>20568.9852129874</v>
      </c>
      <c r="H72" s="15" t="n">
        <f aca="false">G72*(1+IF(H$3&lt;=$O$2,$D72,$D72-($D72-$I$49)*MIN(H$3-$O$2,$Q$2)/$Q$2))</f>
        <v>23209.5371442493</v>
      </c>
      <c r="I72" s="15" t="n">
        <f aca="false">H72*(1+IF(I$3&lt;=$O$2,$D72,$D72-($D72-$I$49)*MIN(I$3-$O$2,$Q$2)/$Q$2))</f>
        <v>26189.0710150426</v>
      </c>
      <c r="J72" s="15" t="n">
        <f aca="false">I72*(1+IF(J$3&lt;=$O$2,$D72,$D72-($D72-$I$49)*MIN(J$3-$O$2,$Q$2)/$Q$2))</f>
        <v>28974.5492198737</v>
      </c>
      <c r="K72" s="15" t="n">
        <f aca="false">J72*(1+IF(K$3&lt;=$O$2,$D72,$D72-($D72-$I$49)*MIN(K$3-$O$2,$Q$2)/$Q$2))</f>
        <v>31418.4147195324</v>
      </c>
      <c r="L72" s="15" t="n">
        <f aca="false">K72*(1+IF(L$3&lt;=$O$2,$D72,$D72-($D72-$I$49)*MIN(L$3-$O$2,$Q$2)/$Q$2))</f>
        <v>33376.7296746109</v>
      </c>
      <c r="M72" s="15" t="n">
        <f aca="false">L72*(1+IF(M$3&lt;=$O$2,$D72,$D72-($D72-$I$49)*MIN(M$3-$O$2,$Q$2)/$Q$2))</f>
        <v>34722.3152752345</v>
      </c>
      <c r="N72" s="15" t="n">
        <f aca="false">M72*(1+IF(N$3&lt;=$O$2,$D72,$D72-($D72-$I$49)*MIN(N$3-$O$2,$Q$2)/$Q$2))</f>
        <v>35357.7336447713</v>
      </c>
      <c r="O72" s="15" t="n">
        <f aca="false">SUMPRODUCT(E72:N72,1/(1+$F$49)^$E$3:$N$3)*$E$2</f>
        <v>54231.4817428357</v>
      </c>
      <c r="P72" s="15" t="n">
        <f aca="false">N72*$E$2*(1+$I$49)/($F$49-$I$49)/(1+$F$49)^$N$3</f>
        <v>78238.7200622519</v>
      </c>
      <c r="Q72" s="15" t="n">
        <f aca="false">O72+P72</f>
        <v>132470.201805088</v>
      </c>
      <c r="R72" s="15" t="n">
        <f aca="false">Q72-$G$2+$I$2</f>
        <v>120850.201805088</v>
      </c>
      <c r="S72" s="40" t="n">
        <f aca="false">R72/$K$2</f>
        <v>409.981347508524</v>
      </c>
      <c r="T72" s="41" t="n">
        <f aca="false">S72-$M$2</f>
        <v>0.000684618813465932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0.128375053405762</v>
      </c>
      <c r="C73" s="25" t="n">
        <f aca="false">IF(T72&gt;0,D72,C72)</f>
        <v>0.12837541103363</v>
      </c>
      <c r="D73" s="39" t="n">
        <f aca="false">(B73+C73)/2</f>
        <v>0.128375232219696</v>
      </c>
      <c r="E73" s="15" t="n">
        <f aca="false">$C$2*(1+IF(E$3&lt;=$O$2,$D73,$D73-($D73-$I$49)*MIN(E$3-$O$2,$Q$2)/$Q$2))</f>
        <v>16154.9481996894</v>
      </c>
      <c r="F73" s="15" t="n">
        <f aca="false">E73*(1+IF(F$3&lt;=$O$2,$D73,$D73-($D73-$I$49)*MIN(F$3-$O$2,$Q$2)/$Q$2))</f>
        <v>18228.8434263217</v>
      </c>
      <c r="G73" s="15" t="n">
        <f aca="false">F73*(1+IF(G$3&lt;=$O$2,$D73,$D73-($D73-$I$49)*MIN(G$3-$O$2,$Q$2)/$Q$2))</f>
        <v>20568.9754342722</v>
      </c>
      <c r="H73" s="15" t="n">
        <f aca="false">G73*(1+IF(H$3&lt;=$O$2,$D73,$D73-($D73-$I$49)*MIN(H$3-$O$2,$Q$2)/$Q$2))</f>
        <v>23209.5224321681</v>
      </c>
      <c r="I73" s="15" t="n">
        <f aca="false">H73*(1+IF(I$3&lt;=$O$2,$D73,$D73-($D73-$I$49)*MIN(I$3-$O$2,$Q$2)/$Q$2))</f>
        <v>26189.0502641059</v>
      </c>
      <c r="J73" s="15" t="n">
        <f aca="false">I73*(1+IF(J$3&lt;=$O$2,$D73,$D73-($D73-$I$49)*MIN(J$3-$O$2,$Q$2)/$Q$2))</f>
        <v>28974.5225154869</v>
      </c>
      <c r="K73" s="15" t="n">
        <f aca="false">J73*(1+IF(K$3&lt;=$O$2,$D73,$D73-($D73-$I$49)*MIN(K$3-$O$2,$Q$2)/$Q$2))</f>
        <v>31418.3826541285</v>
      </c>
      <c r="L73" s="15" t="n">
        <f aca="false">K73*(1+IF(L$3&lt;=$O$2,$D73,$D73-($D73-$I$49)*MIN(L$3-$O$2,$Q$2)/$Q$2))</f>
        <v>33376.6933633472</v>
      </c>
      <c r="M73" s="15" t="n">
        <f aca="false">L73*(1+IF(M$3&lt;=$O$2,$D73,$D73-($D73-$I$49)*MIN(M$3-$O$2,$Q$2)/$Q$2))</f>
        <v>34722.2763064357</v>
      </c>
      <c r="N73" s="15" t="n">
        <f aca="false">M73*(1+IF(N$3&lt;=$O$2,$D73,$D73-($D73-$I$49)*MIN(N$3-$O$2,$Q$2)/$Q$2))</f>
        <v>35357.6939628435</v>
      </c>
      <c r="O73" s="15" t="n">
        <f aca="false">SUMPRODUCT(E73:N73,1/(1+$F$49)^$E$3:$N$3)*$E$2</f>
        <v>54231.4395577683</v>
      </c>
      <c r="P73" s="15" t="n">
        <f aca="false">N73*$E$2*(1+$I$49)/($F$49-$I$49)/(1+$F$49)^$N$3</f>
        <v>78238.6322550617</v>
      </c>
      <c r="Q73" s="15" t="n">
        <f aca="false">O73+P73</f>
        <v>132470.07181283</v>
      </c>
      <c r="R73" s="15" t="n">
        <f aca="false">Q73-$G$2+$I$2</f>
        <v>120850.07181283</v>
      </c>
      <c r="S73" s="40" t="n">
        <f aca="false">R73/$K$2</f>
        <v>409.980906512976</v>
      </c>
      <c r="T73" s="41" t="n">
        <f aca="false">S73-$M$2</f>
        <v>0.00024362326581695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0.128375053405762</v>
      </c>
      <c r="C74" s="25" t="n">
        <f aca="false">IF(T73&gt;0,D73,C73)</f>
        <v>0.128375232219696</v>
      </c>
      <c r="D74" s="39" t="n">
        <f aca="false">(B74+C74)/2</f>
        <v>0.128375142812729</v>
      </c>
      <c r="E74" s="15" t="n">
        <f aca="false">$C$2*(1+IF(E$3&lt;=$O$2,$D74,$D74-($D74-$I$49)*MIN(E$3-$O$2,$Q$2)/$Q$2))</f>
        <v>16154.9469196498</v>
      </c>
      <c r="F74" s="15" t="n">
        <f aca="false">E74*(1+IF(F$3&lt;=$O$2,$D74,$D74-($D74-$I$49)*MIN(F$3-$O$2,$Q$2)/$Q$2))</f>
        <v>18228.8405375919</v>
      </c>
      <c r="G74" s="15" t="n">
        <f aca="false">F74*(1+IF(G$3&lt;=$O$2,$D74,$D74-($D74-$I$49)*MIN(G$3-$O$2,$Q$2)/$Q$2))</f>
        <v>20568.9705449158</v>
      </c>
      <c r="H74" s="15" t="n">
        <f aca="false">G74*(1+IF(H$3&lt;=$O$2,$D74,$D74-($D74-$I$49)*MIN(H$3-$O$2,$Q$2)/$Q$2))</f>
        <v>23209.5150761301</v>
      </c>
      <c r="I74" s="15" t="n">
        <f aca="false">H74*(1+IF(I$3&lt;=$O$2,$D74,$D74-($D74-$I$49)*MIN(I$3-$O$2,$Q$2)/$Q$2))</f>
        <v>26189.0398886425</v>
      </c>
      <c r="J74" s="15" t="n">
        <f aca="false">I74*(1+IF(J$3&lt;=$O$2,$D74,$D74-($D74-$I$49)*MIN(J$3-$O$2,$Q$2)/$Q$2))</f>
        <v>28974.5091633012</v>
      </c>
      <c r="K74" s="15" t="n">
        <f aca="false">J74*(1+IF(K$3&lt;=$O$2,$D74,$D74-($D74-$I$49)*MIN(K$3-$O$2,$Q$2)/$Q$2))</f>
        <v>31418.366621437</v>
      </c>
      <c r="L74" s="15" t="n">
        <f aca="false">K74*(1+IF(L$3&lt;=$O$2,$D74,$D74-($D74-$I$49)*MIN(L$3-$O$2,$Q$2)/$Q$2))</f>
        <v>33376.6752077283</v>
      </c>
      <c r="M74" s="15" t="n">
        <f aca="false">L74*(1+IF(M$3&lt;=$O$2,$D74,$D74-($D74-$I$49)*MIN(M$3-$O$2,$Q$2)/$Q$2))</f>
        <v>34722.2568220506</v>
      </c>
      <c r="N74" s="15" t="n">
        <f aca="false">M74*(1+IF(N$3&lt;=$O$2,$D74,$D74-($D74-$I$49)*MIN(N$3-$O$2,$Q$2)/$Q$2))</f>
        <v>35357.6741218942</v>
      </c>
      <c r="O74" s="15" t="n">
        <f aca="false">SUMPRODUCT(E74:N74,1/(1+$F$49)^$E$3:$N$3)*$E$2</f>
        <v>54231.4184652468</v>
      </c>
      <c r="P74" s="15" t="n">
        <f aca="false">N74*$E$2*(1+$I$49)/($F$49-$I$49)/(1+$F$49)^$N$3</f>
        <v>78238.5883514989</v>
      </c>
      <c r="Q74" s="15" t="n">
        <f aca="false">O74+P74</f>
        <v>132470.006816746</v>
      </c>
      <c r="R74" s="15" t="n">
        <f aca="false">Q74-$G$2+$I$2</f>
        <v>120850.006816746</v>
      </c>
      <c r="S74" s="40" t="n">
        <f aca="false">R74/$K$2</f>
        <v>409.980686015353</v>
      </c>
      <c r="T74" s="41" t="n">
        <f aca="false">S74-$M$2</f>
        <v>2.31256427127846E-005</v>
      </c>
    </row>
    <row r="76" customFormat="false" ht="15" hidden="false" customHeight="false" outlineLevel="0" collapsed="false">
      <c r="A76" s="36" t="s">
        <v>176</v>
      </c>
      <c r="E76" s="5" t="s">
        <v>11</v>
      </c>
      <c r="F76" s="12" t="n">
        <f aca="false">Sensitivity!$B$10</f>
        <v>0.0848919064489092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6" t="s">
        <v>155</v>
      </c>
      <c r="B77" s="28" t="s">
        <v>156</v>
      </c>
      <c r="C77" s="28" t="s">
        <v>157</v>
      </c>
      <c r="D77" s="28" t="s">
        <v>158</v>
      </c>
      <c r="E77" s="28" t="s">
        <v>159</v>
      </c>
      <c r="F77" s="28" t="s">
        <v>160</v>
      </c>
      <c r="G77" s="28" t="s">
        <v>161</v>
      </c>
      <c r="H77" s="28" t="s">
        <v>162</v>
      </c>
      <c r="I77" s="28" t="s">
        <v>163</v>
      </c>
      <c r="J77" s="28" t="s">
        <v>164</v>
      </c>
      <c r="K77" s="28" t="s">
        <v>165</v>
      </c>
      <c r="L77" s="28" t="s">
        <v>166</v>
      </c>
      <c r="M77" s="28" t="s">
        <v>167</v>
      </c>
      <c r="N77" s="28" t="s">
        <v>168</v>
      </c>
      <c r="O77" s="28" t="s">
        <v>169</v>
      </c>
      <c r="P77" s="28" t="s">
        <v>170</v>
      </c>
      <c r="Q77" s="28" t="s">
        <v>171</v>
      </c>
      <c r="R77" s="28" t="s">
        <v>172</v>
      </c>
      <c r="S77" s="28" t="s">
        <v>173</v>
      </c>
      <c r="T77" s="28" t="s">
        <v>174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39" t="n">
        <f aca="false">(B78+C78)/2</f>
        <v>0.25</v>
      </c>
      <c r="E78" s="15" t="n">
        <f aca="false">$C$2*(1+IF(E$3&lt;=$O$2,$D78,$D78-($D78-$I$76)*MIN(E$3-$O$2,$Q$2)/$Q$2))</f>
        <v>17896.25</v>
      </c>
      <c r="F78" s="15" t="n">
        <f aca="false">E78*(1+IF(F$3&lt;=$O$2,$D78,$D78-($D78-$I$76)*MIN(F$3-$O$2,$Q$2)/$Q$2))</f>
        <v>22370.3125</v>
      </c>
      <c r="G78" s="15" t="n">
        <f aca="false">F78*(1+IF(G$3&lt;=$O$2,$D78,$D78-($D78-$I$76)*MIN(G$3-$O$2,$Q$2)/$Q$2))</f>
        <v>27962.890625</v>
      </c>
      <c r="H78" s="15" t="n">
        <f aca="false">G78*(1+IF(H$3&lt;=$O$2,$D78,$D78-($D78-$I$76)*MIN(H$3-$O$2,$Q$2)/$Q$2))</f>
        <v>34953.61328125</v>
      </c>
      <c r="I78" s="15" t="n">
        <f aca="false">H78*(1+IF(I$3&lt;=$O$2,$D78,$D78-($D78-$I$76)*MIN(I$3-$O$2,$Q$2)/$Q$2))</f>
        <v>43692.0166015625</v>
      </c>
      <c r="J78" s="15" t="n">
        <f aca="false">I78*(1+IF(J$3&lt;=$O$2,$D78,$D78-($D78-$I$76)*MIN(J$3-$O$2,$Q$2)/$Q$2))</f>
        <v>52634.0247192383</v>
      </c>
      <c r="K78" s="15" t="n">
        <f aca="false">J78*(1+IF(K$3&lt;=$O$2,$D78,$D78-($D78-$I$76)*MIN(K$3-$O$2,$Q$2)/$Q$2))</f>
        <v>61019.6775375073</v>
      </c>
      <c r="L78" s="15" t="n">
        <f aca="false">K78*(1+IF(L$3&lt;=$O$2,$D78,$D78-($D78-$I$76)*MIN(L$3-$O$2,$Q$2)/$Q$2))</f>
        <v>67974.7003832324</v>
      </c>
      <c r="M78" s="15" t="n">
        <f aca="false">L78*(1+IF(M$3&lt;=$O$2,$D78,$D78-($D78-$I$76)*MIN(M$3-$O$2,$Q$2)/$Q$2))</f>
        <v>72640.4838175375</v>
      </c>
      <c r="N78" s="15" t="n">
        <f aca="false">M78*(1+IF(N$3&lt;=$O$2,$D78,$D78-($D78-$I$76)*MIN(N$3-$O$2,$Q$2)/$Q$2))</f>
        <v>74333.0070904861</v>
      </c>
      <c r="O78" s="15" t="n">
        <f aca="false">SUMPRODUCT(E78:N78,1/(1+$F$76)^$E$3:$N$3)*$E$2</f>
        <v>92073.7894134435</v>
      </c>
      <c r="P78" s="15" t="n">
        <f aca="false">N78*$E$2*(1+$I$76)/($F$76-$I$76)/(1+$F$76)^$N$3</f>
        <v>178708.023346535</v>
      </c>
      <c r="Q78" s="15" t="n">
        <f aca="false">O78+P78</f>
        <v>270781.812759978</v>
      </c>
      <c r="R78" s="15" t="n">
        <f aca="false">Q78-$G$2+$I$2</f>
        <v>259161.812759978</v>
      </c>
      <c r="S78" s="40" t="n">
        <f aca="false">R78/$K$2</f>
        <v>879.200097567522</v>
      </c>
      <c r="T78" s="41" t="n">
        <f aca="false">S78-$M$2</f>
        <v>469.219434677812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39" t="n">
        <f aca="false">(B79+C79)/2</f>
        <v>-0.125</v>
      </c>
      <c r="E79" s="15" t="n">
        <f aca="false">$C$2*(1+IF(E$3&lt;=$O$2,$D79,$D79-($D79-$I$76)*MIN(E$3-$O$2,$Q$2)/$Q$2))</f>
        <v>12527.375</v>
      </c>
      <c r="F79" s="15" t="n">
        <f aca="false">E79*(1+IF(F$3&lt;=$O$2,$D79,$D79-($D79-$I$76)*MIN(F$3-$O$2,$Q$2)/$Q$2))</f>
        <v>10961.453125</v>
      </c>
      <c r="G79" s="15" t="n">
        <f aca="false">F79*(1+IF(G$3&lt;=$O$2,$D79,$D79-($D79-$I$76)*MIN(G$3-$O$2,$Q$2)/$Q$2))</f>
        <v>9591.271484375</v>
      </c>
      <c r="H79" s="15" t="n">
        <f aca="false">G79*(1+IF(H$3&lt;=$O$2,$D79,$D79-($D79-$I$76)*MIN(H$3-$O$2,$Q$2)/$Q$2))</f>
        <v>8392.36254882813</v>
      </c>
      <c r="I79" s="15" t="n">
        <f aca="false">H79*(1+IF(I$3&lt;=$O$2,$D79,$D79-($D79-$I$76)*MIN(I$3-$O$2,$Q$2)/$Q$2))</f>
        <v>7343.31723022461</v>
      </c>
      <c r="J79" s="15" t="n">
        <f aca="false">I79*(1+IF(J$3&lt;=$O$2,$D79,$D79-($D79-$I$76)*MIN(J$3-$O$2,$Q$2)/$Q$2))</f>
        <v>6643.205365495</v>
      </c>
      <c r="K79" s="15" t="n">
        <f aca="false">J79*(1+IF(K$3&lt;=$O$2,$D79,$D79-($D79-$I$76)*MIN(K$3-$O$2,$Q$2)/$Q$2))</f>
        <v>6206.87963708928</v>
      </c>
      <c r="L79" s="15" t="n">
        <f aca="false">K79*(1+IF(L$3&lt;=$O$2,$D79,$D79-($D79-$I$76)*MIN(L$3-$O$2,$Q$2)/$Q$2))</f>
        <v>5983.30783256133</v>
      </c>
      <c r="M79" s="15" t="n">
        <f aca="false">L79*(1+IF(M$3&lt;=$O$2,$D79,$D79-($D79-$I$76)*MIN(M$3-$O$2,$Q$2)/$Q$2))</f>
        <v>5945.25399474624</v>
      </c>
      <c r="N79" s="15" t="n">
        <f aca="false">M79*(1+IF(N$3&lt;=$O$2,$D79,$D79-($D79-$I$76)*MIN(N$3-$O$2,$Q$2)/$Q$2))</f>
        <v>6083.77841282382</v>
      </c>
      <c r="O79" s="15" t="n">
        <f aca="false">SUMPRODUCT(E79:N79,1/(1+$F$76)^$E$3:$N$3)*$E$2</f>
        <v>18161.6564662743</v>
      </c>
      <c r="P79" s="15" t="n">
        <f aca="false">N79*$E$2*(1+$I$76)/($F$76-$I$76)/(1+$F$76)^$N$3</f>
        <v>14626.3424175829</v>
      </c>
      <c r="Q79" s="15" t="n">
        <f aca="false">O79+P79</f>
        <v>32787.9988838572</v>
      </c>
      <c r="R79" s="15" t="n">
        <f aca="false">Q79-$G$2+$I$2</f>
        <v>21167.9988838572</v>
      </c>
      <c r="S79" s="40" t="n">
        <f aca="false">R79/$K$2</f>
        <v>71.8119173723825</v>
      </c>
      <c r="T79" s="41" t="n">
        <f aca="false">S79-$M$2</f>
        <v>-338.168745517328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39" t="n">
        <f aca="false">(B80+C80)/2</f>
        <v>0.0625</v>
      </c>
      <c r="E80" s="15" t="n">
        <f aca="false">$C$2*(1+IF(E$3&lt;=$O$2,$D80,$D80-($D80-$I$76)*MIN(E$3-$O$2,$Q$2)/$Q$2))</f>
        <v>15211.8125</v>
      </c>
      <c r="F80" s="15" t="n">
        <f aca="false">E80*(1+IF(F$3&lt;=$O$2,$D80,$D80-($D80-$I$76)*MIN(F$3-$O$2,$Q$2)/$Q$2))</f>
        <v>16162.55078125</v>
      </c>
      <c r="G80" s="15" t="n">
        <f aca="false">F80*(1+IF(G$3&lt;=$O$2,$D80,$D80-($D80-$I$76)*MIN(G$3-$O$2,$Q$2)/$Q$2))</f>
        <v>17172.7102050781</v>
      </c>
      <c r="H80" s="15" t="n">
        <f aca="false">G80*(1+IF(H$3&lt;=$O$2,$D80,$D80-($D80-$I$76)*MIN(H$3-$O$2,$Q$2)/$Q$2))</f>
        <v>18246.0045928955</v>
      </c>
      <c r="I80" s="15" t="n">
        <f aca="false">H80*(1+IF(I$3&lt;=$O$2,$D80,$D80-($D80-$I$76)*MIN(I$3-$O$2,$Q$2)/$Q$2))</f>
        <v>19386.3798799515</v>
      </c>
      <c r="J80" s="15" t="n">
        <f aca="false">I80*(1+IF(J$3&lt;=$O$2,$D80,$D80-($D80-$I$76)*MIN(J$3-$O$2,$Q$2)/$Q$2))</f>
        <v>20446.0394041896</v>
      </c>
      <c r="K80" s="15" t="n">
        <f aca="false">J80*(1+IF(K$3&lt;=$O$2,$D80,$D80-($D80-$I$76)*MIN(K$3-$O$2,$Q$2)/$Q$2))</f>
        <v>21403.3229690938</v>
      </c>
      <c r="L80" s="15" t="n">
        <f aca="false">K80*(1+IF(L$3&lt;=$O$2,$D80,$D80-($D80-$I$76)*MIN(L$3-$O$2,$Q$2)/$Q$2))</f>
        <v>22237.6244984291</v>
      </c>
      <c r="M80" s="15" t="n">
        <f aca="false">L80*(1+IF(M$3&lt;=$O$2,$D80,$D80-($D80-$I$76)*MIN(M$3-$O$2,$Q$2)/$Q$2))</f>
        <v>22930.1041253101</v>
      </c>
      <c r="N80" s="15" t="n">
        <f aca="false">M80*(1+IF(N$3&lt;=$O$2,$D80,$D80-($D80-$I$76)*MIN(N$3-$O$2,$Q$2)/$Q$2))</f>
        <v>23464.3755514299</v>
      </c>
      <c r="O80" s="15" t="n">
        <f aca="false">SUMPRODUCT(E80:N80,1/(1+$F$76)^$E$3:$N$3)*$E$2</f>
        <v>40824.044069441</v>
      </c>
      <c r="P80" s="15" t="n">
        <f aca="false">N80*$E$2*(1+$I$76)/($F$76-$I$76)/(1+$F$76)^$N$3</f>
        <v>56411.9808680993</v>
      </c>
      <c r="Q80" s="15" t="n">
        <f aca="false">O80+P80</f>
        <v>97236.0249375403</v>
      </c>
      <c r="R80" s="15" t="n">
        <f aca="false">Q80-$G$2+$I$2</f>
        <v>85616.0249375403</v>
      </c>
      <c r="S80" s="40" t="n">
        <f aca="false">R80/$K$2</f>
        <v>290.450266097433</v>
      </c>
      <c r="T80" s="41" t="n">
        <f aca="false">S80-$M$2</f>
        <v>-119.530396792278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0.0625</v>
      </c>
      <c r="C81" s="25" t="n">
        <f aca="false">IF(T80&gt;0,D80,C80)</f>
        <v>0.25</v>
      </c>
      <c r="D81" s="39" t="n">
        <f aca="false">(B81+C81)/2</f>
        <v>0.15625</v>
      </c>
      <c r="E81" s="15" t="n">
        <f aca="false">$C$2*(1+IF(E$3&lt;=$O$2,$D81,$D81-($D81-$I$76)*MIN(E$3-$O$2,$Q$2)/$Q$2))</f>
        <v>16554.03125</v>
      </c>
      <c r="F81" s="15" t="n">
        <f aca="false">E81*(1+IF(F$3&lt;=$O$2,$D81,$D81-($D81-$I$76)*MIN(F$3-$O$2,$Q$2)/$Q$2))</f>
        <v>19140.5986328125</v>
      </c>
      <c r="G81" s="15" t="n">
        <f aca="false">F81*(1+IF(G$3&lt;=$O$2,$D81,$D81-($D81-$I$76)*MIN(G$3-$O$2,$Q$2)/$Q$2))</f>
        <v>22131.3171691895</v>
      </c>
      <c r="H81" s="15" t="n">
        <f aca="false">G81*(1+IF(H$3&lt;=$O$2,$D81,$D81-($D81-$I$76)*MIN(H$3-$O$2,$Q$2)/$Q$2))</f>
        <v>25589.3354768753</v>
      </c>
      <c r="I81" s="15" t="n">
        <f aca="false">H81*(1+IF(I$3&lt;=$O$2,$D81,$D81-($D81-$I$76)*MIN(I$3-$O$2,$Q$2)/$Q$2))</f>
        <v>29587.6691451371</v>
      </c>
      <c r="J81" s="15" t="n">
        <f aca="false">I81*(1+IF(J$3&lt;=$O$2,$D81,$D81-($D81-$I$76)*MIN(J$3-$O$2,$Q$2)/$Q$2))</f>
        <v>33424.0063264955</v>
      </c>
      <c r="K81" s="15" t="n">
        <f aca="false">J81*(1+IF(K$3&lt;=$O$2,$D81,$D81-($D81-$I$76)*MIN(K$3-$O$2,$Q$2)/$Q$2))</f>
        <v>36869.0186585674</v>
      </c>
      <c r="L81" s="15" t="n">
        <f aca="false">K81*(1+IF(L$3&lt;=$O$2,$D81,$D81-($D81-$I$76)*MIN(L$3-$O$2,$Q$2)/$Q$2))</f>
        <v>39688.7612055747</v>
      </c>
      <c r="M81" s="15" t="n">
        <f aca="false">L81*(1+IF(M$3&lt;=$O$2,$D81,$D81-($D81-$I$76)*MIN(M$3-$O$2,$Q$2)/$Q$2))</f>
        <v>41668.8335021208</v>
      </c>
      <c r="N81" s="15" t="n">
        <f aca="false">M81*(1+IF(N$3&lt;=$O$2,$D81,$D81-($D81-$I$76)*MIN(N$3-$O$2,$Q$2)/$Q$2))</f>
        <v>42639.7173227202</v>
      </c>
      <c r="O81" s="15" t="n">
        <f aca="false">SUMPRODUCT(E81:N81,1/(1+$F$76)^$E$3:$N$3)*$E$2</f>
        <v>61423.8072932854</v>
      </c>
      <c r="P81" s="15" t="n">
        <f aca="false">N81*$E$2*(1+$I$76)/($F$76-$I$76)/(1+$F$76)^$N$3</f>
        <v>102512.4624586</v>
      </c>
      <c r="Q81" s="15" t="n">
        <f aca="false">O81+P81</f>
        <v>163936.269751886</v>
      </c>
      <c r="R81" s="15" t="n">
        <f aca="false">Q81-$G$2+$I$2</f>
        <v>152316.269751886</v>
      </c>
      <c r="S81" s="40" t="n">
        <f aca="false">R81/$K$2</f>
        <v>516.729211764718</v>
      </c>
      <c r="T81" s="41" t="n">
        <f aca="false">S81-$M$2</f>
        <v>106.748548875007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0.0625</v>
      </c>
      <c r="C82" s="25" t="n">
        <f aca="false">IF(T81&gt;0,D81,C81)</f>
        <v>0.15625</v>
      </c>
      <c r="D82" s="39" t="n">
        <f aca="false">(B82+C82)/2</f>
        <v>0.109375</v>
      </c>
      <c r="E82" s="15" t="n">
        <f aca="false">$C$2*(1+IF(E$3&lt;=$O$2,$D82,$D82-($D82-$I$76)*MIN(E$3-$O$2,$Q$2)/$Q$2))</f>
        <v>15882.921875</v>
      </c>
      <c r="F82" s="15" t="n">
        <f aca="false">E82*(1+IF(F$3&lt;=$O$2,$D82,$D82-($D82-$I$76)*MIN(F$3-$O$2,$Q$2)/$Q$2))</f>
        <v>17620.1164550781</v>
      </c>
      <c r="G82" s="15" t="n">
        <f aca="false">F82*(1+IF(G$3&lt;=$O$2,$D82,$D82-($D82-$I$76)*MIN(G$3-$O$2,$Q$2)/$Q$2))</f>
        <v>19547.3166923523</v>
      </c>
      <c r="H82" s="15" t="n">
        <f aca="false">G82*(1+IF(H$3&lt;=$O$2,$D82,$D82-($D82-$I$76)*MIN(H$3-$O$2,$Q$2)/$Q$2))</f>
        <v>21685.3044555783</v>
      </c>
      <c r="I82" s="15" t="n">
        <f aca="false">H82*(1+IF(I$3&lt;=$O$2,$D82,$D82-($D82-$I$76)*MIN(I$3-$O$2,$Q$2)/$Q$2))</f>
        <v>24057.1346304072</v>
      </c>
      <c r="J82" s="15" t="n">
        <f aca="false">I82*(1+IF(J$3&lt;=$O$2,$D82,$D82-($D82-$I$76)*MIN(J$3-$O$2,$Q$2)/$Q$2))</f>
        <v>26274.2401579455</v>
      </c>
      <c r="K82" s="15" t="n">
        <f aca="false">J82*(1+IF(K$3&lt;=$O$2,$D82,$D82-($D82-$I$76)*MIN(K$3-$O$2,$Q$2)/$Q$2))</f>
        <v>28243.3630865828</v>
      </c>
      <c r="L82" s="15" t="n">
        <f aca="false">K82*(1+IF(L$3&lt;=$O$2,$D82,$D82-($D82-$I$76)*MIN(L$3-$O$2,$Q$2)/$Q$2))</f>
        <v>29873.8524375712</v>
      </c>
      <c r="M82" s="15" t="n">
        <f aca="false">L82*(1+IF(M$3&lt;=$O$2,$D82,$D82-($D82-$I$76)*MIN(M$3-$O$2,$Q$2)/$Q$2))</f>
        <v>31084.1915690794</v>
      </c>
      <c r="N82" s="15" t="n">
        <f aca="false">M82*(1+IF(N$3&lt;=$O$2,$D82,$D82-($D82-$I$76)*MIN(N$3-$O$2,$Q$2)/$Q$2))</f>
        <v>31808.4532326389</v>
      </c>
      <c r="O82" s="15" t="n">
        <f aca="false">SUMPRODUCT(E82:N82,1/(1+$F$76)^$E$3:$N$3)*$E$2</f>
        <v>50086.3738875895</v>
      </c>
      <c r="P82" s="15" t="n">
        <f aca="false">N82*$E$2*(1+$I$76)/($F$76-$I$76)/(1+$F$76)^$N$3</f>
        <v>76472.4316345216</v>
      </c>
      <c r="Q82" s="15" t="n">
        <f aca="false">O82+P82</f>
        <v>126558.805522111</v>
      </c>
      <c r="R82" s="15" t="n">
        <f aca="false">Q82-$G$2+$I$2</f>
        <v>114938.805522111</v>
      </c>
      <c r="S82" s="40" t="n">
        <f aca="false">R82/$K$2</f>
        <v>389.927080510605</v>
      </c>
      <c r="T82" s="41" t="n">
        <f aca="false">S82-$M$2</f>
        <v>-20.0535823791054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0.109375</v>
      </c>
      <c r="C83" s="25" t="n">
        <f aca="false">IF(T82&gt;0,D82,C82)</f>
        <v>0.15625</v>
      </c>
      <c r="D83" s="39" t="n">
        <f aca="false">(B83+C83)/2</f>
        <v>0.1328125</v>
      </c>
      <c r="E83" s="15" t="n">
        <f aca="false">$C$2*(1+IF(E$3&lt;=$O$2,$D83,$D83-($D83-$I$76)*MIN(E$3-$O$2,$Q$2)/$Q$2))</f>
        <v>16218.4765625</v>
      </c>
      <c r="F83" s="15" t="n">
        <f aca="false">E83*(1+IF(F$3&lt;=$O$2,$D83,$D83-($D83-$I$76)*MIN(F$3-$O$2,$Q$2)/$Q$2))</f>
        <v>18372.492980957</v>
      </c>
      <c r="G83" s="15" t="n">
        <f aca="false">F83*(1+IF(G$3&lt;=$O$2,$D83,$D83-($D83-$I$76)*MIN(G$3-$O$2,$Q$2)/$Q$2))</f>
        <v>20812.5897049904</v>
      </c>
      <c r="H83" s="15" t="n">
        <f aca="false">G83*(1+IF(H$3&lt;=$O$2,$D83,$D83-($D83-$I$76)*MIN(H$3-$O$2,$Q$2)/$Q$2))</f>
        <v>23576.7617751844</v>
      </c>
      <c r="I83" s="15" t="n">
        <f aca="false">H83*(1+IF(I$3&lt;=$O$2,$D83,$D83-($D83-$I$76)*MIN(I$3-$O$2,$Q$2)/$Q$2))</f>
        <v>26708.0504484511</v>
      </c>
      <c r="J83" s="15" t="n">
        <f aca="false">I83*(1+IF(J$3&lt;=$O$2,$D83,$D83-($D83-$I$76)*MIN(J$3-$O$2,$Q$2)/$Q$2))</f>
        <v>29670.2403236888</v>
      </c>
      <c r="K83" s="15" t="n">
        <f aca="false">J83*(1+IF(K$3&lt;=$O$2,$D83,$D83-($D83-$I$76)*MIN(K$3-$O$2,$Q$2)/$Q$2))</f>
        <v>32311.1142392995</v>
      </c>
      <c r="L83" s="15" t="n">
        <f aca="false">K83*(1+IF(L$3&lt;=$O$2,$D83,$D83-($D83-$I$76)*MIN(L$3-$O$2,$Q$2)/$Q$2))</f>
        <v>34479.3515603277</v>
      </c>
      <c r="M83" s="15" t="n">
        <f aca="false">L83*(1+IF(M$3&lt;=$O$2,$D83,$D83-($D83-$I$76)*MIN(M$3-$O$2,$Q$2)/$Q$2))</f>
        <v>36037.9044492335</v>
      </c>
      <c r="N83" s="15" t="n">
        <f aca="false">M83*(1+IF(N$3&lt;=$O$2,$D83,$D83-($D83-$I$76)*MIN(N$3-$O$2,$Q$2)/$Q$2))</f>
        <v>36877.5876229006</v>
      </c>
      <c r="O83" s="15" t="n">
        <f aca="false">SUMPRODUCT(E83:N83,1/(1+$F$76)^$E$3:$N$3)*$E$2</f>
        <v>55471.0397639078</v>
      </c>
      <c r="P83" s="15" t="n">
        <f aca="false">N83*$E$2*(1+$I$76)/($F$76-$I$76)/(1+$F$76)^$N$3</f>
        <v>88659.4131978916</v>
      </c>
      <c r="Q83" s="15" t="n">
        <f aca="false">O83+P83</f>
        <v>144130.452961799</v>
      </c>
      <c r="R83" s="15" t="n">
        <f aca="false">Q83-$G$2+$I$2</f>
        <v>132510.452961799</v>
      </c>
      <c r="S83" s="40" t="n">
        <f aca="false">R83/$K$2</f>
        <v>449.538463757504</v>
      </c>
      <c r="T83" s="41" t="n">
        <f aca="false">S83-$M$2</f>
        <v>39.5578008677933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0.109375</v>
      </c>
      <c r="C84" s="25" t="n">
        <f aca="false">IF(T83&gt;0,D83,C83)</f>
        <v>0.1328125</v>
      </c>
      <c r="D84" s="39" t="n">
        <f aca="false">(B84+C84)/2</f>
        <v>0.12109375</v>
      </c>
      <c r="E84" s="15" t="n">
        <f aca="false">$C$2*(1+IF(E$3&lt;=$O$2,$D84,$D84-($D84-$I$76)*MIN(E$3-$O$2,$Q$2)/$Q$2))</f>
        <v>16050.69921875</v>
      </c>
      <c r="F84" s="15" t="n">
        <f aca="false">E84*(1+IF(F$3&lt;=$O$2,$D84,$D84-($D84-$I$76)*MIN(F$3-$O$2,$Q$2)/$Q$2))</f>
        <v>17994.3385772705</v>
      </c>
      <c r="G84" s="15" t="n">
        <f aca="false">F84*(1+IF(G$3&lt;=$O$2,$D84,$D84-($D84-$I$76)*MIN(G$3-$O$2,$Q$2)/$Q$2))</f>
        <v>20173.3405143619</v>
      </c>
      <c r="H84" s="15" t="n">
        <f aca="false">G84*(1+IF(H$3&lt;=$O$2,$D84,$D84-($D84-$I$76)*MIN(H$3-$O$2,$Q$2)/$Q$2))</f>
        <v>22616.2059672729</v>
      </c>
      <c r="I84" s="15" t="n">
        <f aca="false">H84*(1+IF(I$3&lt;=$O$2,$D84,$D84-($D84-$I$76)*MIN(I$3-$O$2,$Q$2)/$Q$2))</f>
        <v>25354.8871586223</v>
      </c>
      <c r="J84" s="15" t="n">
        <f aca="false">I84*(1+IF(J$3&lt;=$O$2,$D84,$D84-($D84-$I$76)*MIN(J$3-$O$2,$Q$2)/$Q$2))</f>
        <v>27929.295626273</v>
      </c>
      <c r="K84" s="15" t="n">
        <f aca="false">J84*(1+IF(K$3&lt;=$O$2,$D84,$D84-($D84-$I$76)*MIN(K$3-$O$2,$Q$2)/$Q$2))</f>
        <v>30218.8345468563</v>
      </c>
      <c r="L84" s="15" t="n">
        <f aca="false">K84*(1+IF(L$3&lt;=$O$2,$D84,$D84-($D84-$I$76)*MIN(L$3-$O$2,$Q$2)/$Q$2))</f>
        <v>32105.0186521847</v>
      </c>
      <c r="M84" s="15" t="n">
        <f aca="false">L84*(1+IF(M$3&lt;=$O$2,$D84,$D84-($D84-$I$76)*MIN(M$3-$O$2,$Q$2)/$Q$2))</f>
        <v>33480.999620344</v>
      </c>
      <c r="N84" s="15" t="n">
        <f aca="false">M84*(1+IF(N$3&lt;=$O$2,$D84,$D84-($D84-$I$76)*MIN(N$3-$O$2,$Q$2)/$Q$2))</f>
        <v>34261.106911498</v>
      </c>
      <c r="O84" s="15" t="n">
        <f aca="false">SUMPRODUCT(E84:N84,1/(1+$F$76)^$E$3:$N$3)*$E$2</f>
        <v>52710.9324422239</v>
      </c>
      <c r="P84" s="15" t="n">
        <f aca="false">N84*$E$2*(1+$I$76)/($F$76-$I$76)/(1+$F$76)^$N$3</f>
        <v>82368.9896786346</v>
      </c>
      <c r="Q84" s="15" t="n">
        <f aca="false">O84+P84</f>
        <v>135079.922120859</v>
      </c>
      <c r="R84" s="15" t="n">
        <f aca="false">Q84-$G$2+$I$2</f>
        <v>123459.922120859</v>
      </c>
      <c r="S84" s="40" t="n">
        <f aca="false">R84/$K$2</f>
        <v>418.834759713874</v>
      </c>
      <c r="T84" s="41" t="n">
        <f aca="false">S84-$M$2</f>
        <v>8.85409682416298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0.109375</v>
      </c>
      <c r="C85" s="25" t="n">
        <f aca="false">IF(T84&gt;0,D84,C84)</f>
        <v>0.12109375</v>
      </c>
      <c r="D85" s="39" t="n">
        <f aca="false">(B85+C85)/2</f>
        <v>0.115234375</v>
      </c>
      <c r="E85" s="15" t="n">
        <f aca="false">$C$2*(1+IF(E$3&lt;=$O$2,$D85,$D85-($D85-$I$76)*MIN(E$3-$O$2,$Q$2)/$Q$2))</f>
        <v>15966.810546875</v>
      </c>
      <c r="F85" s="15" t="n">
        <f aca="false">E85*(1+IF(F$3&lt;=$O$2,$D85,$D85-($D85-$I$76)*MIN(F$3-$O$2,$Q$2)/$Q$2))</f>
        <v>17806.7359809876</v>
      </c>
      <c r="G85" s="15" t="n">
        <f aca="false">F85*(1+IF(G$3&lt;=$O$2,$D85,$D85-($D85-$I$76)*MIN(G$3-$O$2,$Q$2)/$Q$2))</f>
        <v>19858.6840725467</v>
      </c>
      <c r="H85" s="15" t="n">
        <f aca="false">G85*(1+IF(H$3&lt;=$O$2,$D85,$D85-($D85-$I$76)*MIN(H$3-$O$2,$Q$2)/$Q$2))</f>
        <v>22147.087119969</v>
      </c>
      <c r="I85" s="15" t="n">
        <f aca="false">H85*(1+IF(I$3&lt;=$O$2,$D85,$D85-($D85-$I$76)*MIN(I$3-$O$2,$Q$2)/$Q$2))</f>
        <v>24699.1928623092</v>
      </c>
      <c r="J85" s="15" t="n">
        <f aca="false">I85*(1+IF(J$3&lt;=$O$2,$D85,$D85-($D85-$I$76)*MIN(J$3-$O$2,$Q$2)/$Q$2))</f>
        <v>27091.2479430417</v>
      </c>
      <c r="K85" s="15" t="n">
        <f aca="false">J85*(1+IF(K$3&lt;=$O$2,$D85,$D85-($D85-$I$76)*MIN(K$3-$O$2,$Q$2)/$Q$2))</f>
        <v>29216.8441886827</v>
      </c>
      <c r="L85" s="15" t="n">
        <f aca="false">K85*(1+IF(L$3&lt;=$O$2,$D85,$D85-($D85-$I$76)*MIN(L$3-$O$2,$Q$2)/$Q$2))</f>
        <v>30972.0095822626</v>
      </c>
      <c r="M85" s="15" t="n">
        <f aca="false">L85*(1+IF(M$3&lt;=$O$2,$D85,$D85-($D85-$I$76)*MIN(M$3-$O$2,$Q$2)/$Q$2))</f>
        <v>32263.1358742172</v>
      </c>
      <c r="N85" s="15" t="n">
        <f aca="false">M85*(1+IF(N$3&lt;=$O$2,$D85,$D85-($D85-$I$76)*MIN(N$3-$O$2,$Q$2)/$Q$2))</f>
        <v>33014.8669400864</v>
      </c>
      <c r="O85" s="15" t="n">
        <f aca="false">SUMPRODUCT(E85:N85,1/(1+$F$76)^$E$3:$N$3)*$E$2</f>
        <v>51382.100351087</v>
      </c>
      <c r="P85" s="15" t="n">
        <f aca="false">N85*$E$2*(1+$I$76)/($F$76-$I$76)/(1+$F$76)^$N$3</f>
        <v>79372.8364134331</v>
      </c>
      <c r="Q85" s="15" t="n">
        <f aca="false">O85+P85</f>
        <v>130754.93676452</v>
      </c>
      <c r="R85" s="15" t="n">
        <f aca="false">Q85-$G$2+$I$2</f>
        <v>119134.93676452</v>
      </c>
      <c r="S85" s="40" t="n">
        <f aca="false">R85/$K$2</f>
        <v>404.162352900635</v>
      </c>
      <c r="T85" s="41" t="n">
        <f aca="false">S85-$M$2</f>
        <v>-5.81830998907594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0.115234375</v>
      </c>
      <c r="C86" s="25" t="n">
        <f aca="false">IF(T85&gt;0,D85,C85)</f>
        <v>0.12109375</v>
      </c>
      <c r="D86" s="39" t="n">
        <f aca="false">(B86+C86)/2</f>
        <v>0.1181640625</v>
      </c>
      <c r="E86" s="15" t="n">
        <f aca="false">$C$2*(1+IF(E$3&lt;=$O$2,$D86,$D86-($D86-$I$76)*MIN(E$3-$O$2,$Q$2)/$Q$2))</f>
        <v>16008.7548828125</v>
      </c>
      <c r="F86" s="15" t="n">
        <f aca="false">E86*(1+IF(F$3&lt;=$O$2,$D86,$D86-($D86-$I$76)*MIN(F$3-$O$2,$Q$2)/$Q$2))</f>
        <v>17900.4143953323</v>
      </c>
      <c r="G86" s="15" t="n">
        <f aca="false">F86*(1+IF(G$3&lt;=$O$2,$D86,$D86-($D86-$I$76)*MIN(G$3-$O$2,$Q$2)/$Q$2))</f>
        <v>20015.6000807183</v>
      </c>
      <c r="H86" s="15" t="n">
        <f aca="false">G86*(1+IF(H$3&lt;=$O$2,$D86,$D86-($D86-$I$76)*MIN(H$3-$O$2,$Q$2)/$Q$2))</f>
        <v>22380.7246996313</v>
      </c>
      <c r="I86" s="15" t="n">
        <f aca="false">H86*(1+IF(I$3&lt;=$O$2,$D86,$D86-($D86-$I$76)*MIN(I$3-$O$2,$Q$2)/$Q$2))</f>
        <v>25025.3220518338</v>
      </c>
      <c r="J86" s="15" t="n">
        <f aca="false">I86*(1+IF(J$3&lt;=$O$2,$D86,$D86-($D86-$I$76)*MIN(J$3-$O$2,$Q$2)/$Q$2))</f>
        <v>27507.6150278078</v>
      </c>
      <c r="K86" s="15" t="n">
        <f aca="false">J86*(1+IF(K$3&lt;=$O$2,$D86,$D86-($D86-$I$76)*MIN(K$3-$O$2,$Q$2)/$Q$2))</f>
        <v>29714.23292469</v>
      </c>
      <c r="L86" s="15" t="n">
        <f aca="false">K86*(1+IF(L$3&lt;=$O$2,$D86,$D86-($D86-$I$76)*MIN(L$3-$O$2,$Q$2)/$Q$2))</f>
        <v>31534.0996915582</v>
      </c>
      <c r="M86" s="15" t="n">
        <f aca="false">L86*(1+IF(M$3&lt;=$O$2,$D86,$D86-($D86-$I$76)*MIN(M$3-$O$2,$Q$2)/$Q$2))</f>
        <v>32867.1347751758</v>
      </c>
      <c r="N86" s="15" t="n">
        <f aca="false">M86*(1+IF(N$3&lt;=$O$2,$D86,$D86-($D86-$I$76)*MIN(N$3-$O$2,$Q$2)/$Q$2))</f>
        <v>33632.9390154374</v>
      </c>
      <c r="O86" s="15" t="n">
        <f aca="false">SUMPRODUCT(E86:N86,1/(1+$F$76)^$E$3:$N$3)*$E$2</f>
        <v>52042.32995748</v>
      </c>
      <c r="P86" s="15" t="n">
        <f aca="false">N86*$E$2*(1+$I$76)/($F$76-$I$76)/(1+$F$76)^$N$3</f>
        <v>80858.7770903278</v>
      </c>
      <c r="Q86" s="15" t="n">
        <f aca="false">O86+P86</f>
        <v>132901.107047808</v>
      </c>
      <c r="R86" s="15" t="n">
        <f aca="false">Q86-$G$2+$I$2</f>
        <v>121281.107047808</v>
      </c>
      <c r="S86" s="40" t="n">
        <f aca="false">R86/$K$2</f>
        <v>411.443182982691</v>
      </c>
      <c r="T86" s="41" t="n">
        <f aca="false">S86-$M$2</f>
        <v>1.46252009298047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0.115234375</v>
      </c>
      <c r="C87" s="25" t="n">
        <f aca="false">IF(T86&gt;0,D86,C86)</f>
        <v>0.1181640625</v>
      </c>
      <c r="D87" s="39" t="n">
        <f aca="false">(B87+C87)/2</f>
        <v>0.11669921875</v>
      </c>
      <c r="E87" s="15" t="n">
        <f aca="false">$C$2*(1+IF(E$3&lt;=$O$2,$D87,$D87-($D87-$I$76)*MIN(E$3-$O$2,$Q$2)/$Q$2))</f>
        <v>15987.7827148438</v>
      </c>
      <c r="F87" s="15" t="n">
        <f aca="false">E87*(1+IF(F$3&lt;=$O$2,$D87,$D87-($D87-$I$76)*MIN(F$3-$O$2,$Q$2)/$Q$2))</f>
        <v>17853.5444672108</v>
      </c>
      <c r="G87" s="15" t="n">
        <f aca="false">F87*(1+IF(G$3&lt;=$O$2,$D87,$D87-($D87-$I$76)*MIN(G$3-$O$2,$Q$2)/$Q$2))</f>
        <v>19937.0391584527</v>
      </c>
      <c r="H87" s="15" t="n">
        <f aca="false">G87*(1+IF(H$3&lt;=$O$2,$D87,$D87-($D87-$I$76)*MIN(H$3-$O$2,$Q$2)/$Q$2))</f>
        <v>22263.6760524322</v>
      </c>
      <c r="I87" s="15" t="n">
        <f aca="false">H87*(1+IF(I$3&lt;=$O$2,$D87,$D87-($D87-$I$76)*MIN(I$3-$O$2,$Q$2)/$Q$2))</f>
        <v>24861.8296542542</v>
      </c>
      <c r="J87" s="15" t="n">
        <f aca="false">I87*(1+IF(J$3&lt;=$O$2,$D87,$D87-($D87-$I$76)*MIN(J$3-$O$2,$Q$2)/$Q$2))</f>
        <v>27298.7706583206</v>
      </c>
      <c r="K87" s="15" t="n">
        <f aca="false">J87*(1+IF(K$3&lt;=$O$2,$D87,$D87-($D87-$I$76)*MIN(K$3-$O$2,$Q$2)/$Q$2))</f>
        <v>29464.642326053</v>
      </c>
      <c r="L87" s="15" t="n">
        <f aca="false">K87*(1+IF(L$3&lt;=$O$2,$D87,$D87-($D87-$I$76)*MIN(L$3-$O$2,$Q$2)/$Q$2))</f>
        <v>31251.9583218507</v>
      </c>
      <c r="M87" s="15" t="n">
        <f aca="false">L87*(1+IF(M$3&lt;=$O$2,$D87,$D87-($D87-$I$76)*MIN(M$3-$O$2,$Q$2)/$Q$2))</f>
        <v>32563.9106490835</v>
      </c>
      <c r="N87" s="15" t="n">
        <f aca="false">M87*(1+IF(N$3&lt;=$O$2,$D87,$D87-($D87-$I$76)*MIN(N$3-$O$2,$Q$2)/$Q$2))</f>
        <v>33322.6497672071</v>
      </c>
      <c r="O87" s="15" t="n">
        <f aca="false">SUMPRODUCT(E87:N87,1/(1+$F$76)^$E$3:$N$3)*$E$2</f>
        <v>51711.1746118595</v>
      </c>
      <c r="P87" s="15" t="n">
        <f aca="false">N87*$E$2*(1+$I$76)/($F$76-$I$76)/(1+$F$76)^$N$3</f>
        <v>80112.7938402568</v>
      </c>
      <c r="Q87" s="15" t="n">
        <f aca="false">O87+P87</f>
        <v>131823.968452116</v>
      </c>
      <c r="R87" s="15" t="n">
        <f aca="false">Q87-$G$2+$I$2</f>
        <v>120203.968452116</v>
      </c>
      <c r="S87" s="40" t="n">
        <f aca="false">R87/$K$2</f>
        <v>407.789016698159</v>
      </c>
      <c r="T87" s="41" t="n">
        <f aca="false">S87-$M$2</f>
        <v>-2.19164619155146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0.11669921875</v>
      </c>
      <c r="C88" s="25" t="n">
        <f aca="false">IF(T87&gt;0,D87,C87)</f>
        <v>0.1181640625</v>
      </c>
      <c r="D88" s="39" t="n">
        <f aca="false">(B88+C88)/2</f>
        <v>0.117431640625</v>
      </c>
      <c r="E88" s="15" t="n">
        <f aca="false">$C$2*(1+IF(E$3&lt;=$O$2,$D88,$D88-($D88-$I$76)*MIN(E$3-$O$2,$Q$2)/$Q$2))</f>
        <v>15998.2687988281</v>
      </c>
      <c r="F88" s="15" t="n">
        <f aca="false">E88*(1+IF(F$3&lt;=$O$2,$D88,$D88-($D88-$I$76)*MIN(F$3-$O$2,$Q$2)/$Q$2))</f>
        <v>17876.9717510343</v>
      </c>
      <c r="G88" s="15" t="n">
        <f aca="false">F88*(1+IF(G$3&lt;=$O$2,$D88,$D88-($D88-$I$76)*MIN(G$3-$O$2,$Q$2)/$Q$2))</f>
        <v>19976.293873165</v>
      </c>
      <c r="H88" s="15" t="n">
        <f aca="false">G88*(1+IF(H$3&lt;=$O$2,$D88,$D88-($D88-$I$76)*MIN(H$3-$O$2,$Q$2)/$Q$2))</f>
        <v>22322.1428362979</v>
      </c>
      <c r="I88" s="15" t="n">
        <f aca="false">H88*(1+IF(I$3&lt;=$O$2,$D88,$D88-($D88-$I$76)*MIN(I$3-$O$2,$Q$2)/$Q$2))</f>
        <v>24943.4686918299</v>
      </c>
      <c r="J88" s="15" t="n">
        <f aca="false">I88*(1+IF(J$3&lt;=$O$2,$D88,$D88-($D88-$I$76)*MIN(J$3-$O$2,$Q$2)/$Q$2))</f>
        <v>27403.0272170218</v>
      </c>
      <c r="K88" s="15" t="n">
        <f aca="false">J88*(1+IF(K$3&lt;=$O$2,$D88,$D88-($D88-$I$76)*MIN(K$3-$O$2,$Q$2)/$Q$2))</f>
        <v>29589.2128971963</v>
      </c>
      <c r="L88" s="15" t="n">
        <f aca="false">K88*(1+IF(L$3&lt;=$O$2,$D88,$D88-($D88-$I$76)*MIN(L$3-$O$2,$Q$2)/$Q$2))</f>
        <v>31392.7540196272</v>
      </c>
      <c r="M88" s="15" t="n">
        <f aca="false">L88*(1+IF(M$3&lt;=$O$2,$D88,$D88-($D88-$I$76)*MIN(M$3-$O$2,$Q$2)/$Q$2))</f>
        <v>32715.2154762054</v>
      </c>
      <c r="N88" s="15" t="n">
        <f aca="false">M88*(1+IF(N$3&lt;=$O$2,$D88,$D88-($D88-$I$76)*MIN(N$3-$O$2,$Q$2)/$Q$2))</f>
        <v>33477.479996801</v>
      </c>
      <c r="O88" s="15" t="n">
        <f aca="false">SUMPRODUCT(E88:N88,1/(1+$F$76)^$E$3:$N$3)*$E$2</f>
        <v>51876.4913930224</v>
      </c>
      <c r="P88" s="15" t="n">
        <f aca="false">N88*$E$2*(1+$I$76)/($F$76-$I$76)/(1+$F$76)^$N$3</f>
        <v>80485.0296123321</v>
      </c>
      <c r="Q88" s="15" t="n">
        <f aca="false">O88+P88</f>
        <v>132361.521005354</v>
      </c>
      <c r="R88" s="15" t="n">
        <f aca="false">Q88-$G$2+$I$2</f>
        <v>120741.521005354</v>
      </c>
      <c r="S88" s="40" t="n">
        <f aca="false">R88/$K$2</f>
        <v>409.612650559265</v>
      </c>
      <c r="T88" s="41" t="n">
        <f aca="false">S88-$M$2</f>
        <v>-0.368012330445765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0.117431640625</v>
      </c>
      <c r="C89" s="25" t="n">
        <f aca="false">IF(T88&gt;0,D88,C88)</f>
        <v>0.1181640625</v>
      </c>
      <c r="D89" s="39" t="n">
        <f aca="false">(B89+C89)/2</f>
        <v>0.1177978515625</v>
      </c>
      <c r="E89" s="15" t="n">
        <f aca="false">$C$2*(1+IF(E$3&lt;=$O$2,$D89,$D89-($D89-$I$76)*MIN(E$3-$O$2,$Q$2)/$Q$2))</f>
        <v>16003.5118408203</v>
      </c>
      <c r="F89" s="15" t="n">
        <f aca="false">E89*(1+IF(F$3&lt;=$O$2,$D89,$D89-($D89-$I$76)*MIN(F$3-$O$2,$Q$2)/$Q$2))</f>
        <v>17888.691153124</v>
      </c>
      <c r="G89" s="15" t="n">
        <f aca="false">F89*(1+IF(G$3&lt;=$O$2,$D89,$D89-($D89-$I$76)*MIN(G$3-$O$2,$Q$2)/$Q$2))</f>
        <v>19995.9405382271</v>
      </c>
      <c r="H89" s="15" t="n">
        <f aca="false">G89*(1+IF(H$3&lt;=$O$2,$D89,$D89-($D89-$I$76)*MIN(H$3-$O$2,$Q$2)/$Q$2))</f>
        <v>22351.4193736017</v>
      </c>
      <c r="I89" s="15" t="n">
        <f aca="false">H89*(1+IF(I$3&lt;=$O$2,$D89,$D89-($D89-$I$76)*MIN(I$3-$O$2,$Q$2)/$Q$2))</f>
        <v>24984.3685551845</v>
      </c>
      <c r="J89" s="15" t="n">
        <f aca="false">I89*(1+IF(J$3&lt;=$O$2,$D89,$D89-($D89-$I$76)*MIN(J$3-$O$2,$Q$2)/$Q$2))</f>
        <v>27455.2796634087</v>
      </c>
      <c r="K89" s="15" t="n">
        <f aca="false">J89*(1+IF(K$3&lt;=$O$2,$D89,$D89-($D89-$I$76)*MIN(K$3-$O$2,$Q$2)/$Q$2))</f>
        <v>29651.66664491</v>
      </c>
      <c r="L89" s="15" t="n">
        <f aca="false">K89*(1+IF(L$3&lt;=$O$2,$D89,$D89-($D89-$I$76)*MIN(L$3-$O$2,$Q$2)/$Q$2))</f>
        <v>31463.357995013</v>
      </c>
      <c r="M89" s="15" t="n">
        <f aca="false">L89*(1+IF(M$3&lt;=$O$2,$D89,$D89-($D89-$I$76)*MIN(M$3-$O$2,$Q$2)/$Q$2))</f>
        <v>32791.0981829909</v>
      </c>
      <c r="N89" s="15" t="n">
        <f aca="false">M89*(1+IF(N$3&lt;=$O$2,$D89,$D89-($D89-$I$76)*MIN(N$3-$O$2,$Q$2)/$Q$2))</f>
        <v>33555.1307706546</v>
      </c>
      <c r="O89" s="15" t="n">
        <f aca="false">SUMPRODUCT(E89:N89,1/(1+$F$76)^$E$3:$N$3)*$E$2</f>
        <v>51959.3453576263</v>
      </c>
      <c r="P89" s="15" t="n">
        <f aca="false">N89*$E$2*(1+$I$76)/($F$76-$I$76)/(1+$F$76)^$N$3</f>
        <v>80671.7140591192</v>
      </c>
      <c r="Q89" s="15" t="n">
        <f aca="false">O89+P89</f>
        <v>132631.059416746</v>
      </c>
      <c r="R89" s="15" t="n">
        <f aca="false">Q89-$G$2+$I$2</f>
        <v>121011.059416746</v>
      </c>
      <c r="S89" s="40" t="n">
        <f aca="false">R89/$K$2</f>
        <v>410.527053013351</v>
      </c>
      <c r="T89" s="41" t="n">
        <f aca="false">S89-$M$2</f>
        <v>0.546390123640549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0.117431640625</v>
      </c>
      <c r="C90" s="25" t="n">
        <f aca="false">IF(T89&gt;0,D89,C89)</f>
        <v>0.1177978515625</v>
      </c>
      <c r="D90" s="39" t="n">
        <f aca="false">(B90+C90)/2</f>
        <v>0.11761474609375</v>
      </c>
      <c r="E90" s="15" t="n">
        <f aca="false">$C$2*(1+IF(E$3&lt;=$O$2,$D90,$D90-($D90-$I$76)*MIN(E$3-$O$2,$Q$2)/$Q$2))</f>
        <v>16000.8903198242</v>
      </c>
      <c r="F90" s="15" t="n">
        <f aca="false">E90*(1+IF(F$3&lt;=$O$2,$D90,$D90-($D90-$I$76)*MIN(F$3-$O$2,$Q$2)/$Q$2))</f>
        <v>17882.8309720643</v>
      </c>
      <c r="G90" s="15" t="n">
        <f aca="false">F90*(1+IF(G$3&lt;=$O$2,$D90,$D90-($D90-$I$76)*MIN(G$3-$O$2,$Q$2)/$Q$2))</f>
        <v>19986.1155962811</v>
      </c>
      <c r="H90" s="15" t="n">
        <f aca="false">G90*(1+IF(H$3&lt;=$O$2,$D90,$D90-($D90-$I$76)*MIN(H$3-$O$2,$Q$2)/$Q$2))</f>
        <v>22336.777507538</v>
      </c>
      <c r="I90" s="15" t="n">
        <f aca="false">H90*(1+IF(I$3&lt;=$O$2,$D90,$D90-($D90-$I$76)*MIN(I$3-$O$2,$Q$2)/$Q$2))</f>
        <v>24963.9119226397</v>
      </c>
      <c r="J90" s="15" t="n">
        <f aca="false">I90*(1+IF(J$3&lt;=$O$2,$D90,$D90-($D90-$I$76)*MIN(J$3-$O$2,$Q$2)/$Q$2))</f>
        <v>27429.1430820296</v>
      </c>
      <c r="K90" s="15" t="n">
        <f aca="false">J90*(1+IF(K$3&lt;=$O$2,$D90,$D90-($D90-$I$76)*MIN(K$3-$O$2,$Q$2)/$Q$2))</f>
        <v>29620.4257150513</v>
      </c>
      <c r="L90" s="15" t="n">
        <f aca="false">K90*(1+IF(L$3&lt;=$O$2,$D90,$D90-($D90-$I$76)*MIN(L$3-$O$2,$Q$2)/$Q$2))</f>
        <v>31428.0388064136</v>
      </c>
      <c r="M90" s="15" t="n">
        <f aca="false">L90*(1+IF(M$3&lt;=$O$2,$D90,$D90-($D90-$I$76)*MIN(M$3-$O$2,$Q$2)/$Q$2))</f>
        <v>32753.1376106533</v>
      </c>
      <c r="N90" s="15" t="n">
        <f aca="false">M90*(1+IF(N$3&lt;=$O$2,$D90,$D90-($D90-$I$76)*MIN(N$3-$O$2,$Q$2)/$Q$2))</f>
        <v>33516.2857169815</v>
      </c>
      <c r="O90" s="15" t="n">
        <f aca="false">SUMPRODUCT(E90:N90,1/(1+$F$76)^$E$3:$N$3)*$E$2</f>
        <v>51917.9020577666</v>
      </c>
      <c r="P90" s="15" t="n">
        <f aca="false">N90*$E$2*(1+$I$76)/($F$76-$I$76)/(1+$F$76)^$N$3</f>
        <v>80578.3245538318</v>
      </c>
      <c r="Q90" s="15" t="n">
        <f aca="false">O90+P90</f>
        <v>132496.226611598</v>
      </c>
      <c r="R90" s="15" t="n">
        <f aca="false">Q90-$G$2+$I$2</f>
        <v>120876.226611598</v>
      </c>
      <c r="S90" s="40" t="n">
        <f aca="false">R90/$K$2</f>
        <v>410.069636026727</v>
      </c>
      <c r="T90" s="41" t="n">
        <f aca="false">S90-$M$2</f>
        <v>0.0889731370166373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0.117431640625</v>
      </c>
      <c r="C91" s="25" t="n">
        <f aca="false">IF(T90&gt;0,D90,C90)</f>
        <v>0.11761474609375</v>
      </c>
      <c r="D91" s="39" t="n">
        <f aca="false">(B91+C91)/2</f>
        <v>0.117523193359375</v>
      </c>
      <c r="E91" s="15" t="n">
        <f aca="false">$C$2*(1+IF(E$3&lt;=$O$2,$D91,$D91-($D91-$I$76)*MIN(E$3-$O$2,$Q$2)/$Q$2))</f>
        <v>15999.5795593262</v>
      </c>
      <c r="F91" s="15" t="n">
        <f aca="false">E91*(1+IF(F$3&lt;=$O$2,$D91,$D91-($D91-$I$76)*MIN(F$3-$O$2,$Q$2)/$Q$2))</f>
        <v>17879.9012415456</v>
      </c>
      <c r="G91" s="15" t="n">
        <f aca="false">F91*(1+IF(G$3&lt;=$O$2,$D91,$D91-($D91-$I$76)*MIN(G$3-$O$2,$Q$2)/$Q$2))</f>
        <v>19981.2043324023</v>
      </c>
      <c r="H91" s="15" t="n">
        <f aca="false">G91*(1+IF(H$3&lt;=$O$2,$D91,$D91-($D91-$I$76)*MIN(H$3-$O$2,$Q$2)/$Q$2))</f>
        <v>22329.4592727123</v>
      </c>
      <c r="I91" s="15" t="n">
        <f aca="false">H91*(1+IF(I$3&lt;=$O$2,$D91,$D91-($D91-$I$76)*MIN(I$3-$O$2,$Q$2)/$Q$2))</f>
        <v>24953.6886324296</v>
      </c>
      <c r="J91" s="15" t="n">
        <f aca="false">I91*(1+IF(J$3&lt;=$O$2,$D91,$D91-($D91-$I$76)*MIN(J$3-$O$2,$Q$2)/$Q$2))</f>
        <v>27416.0825607997</v>
      </c>
      <c r="K91" s="15" t="n">
        <f aca="false">J91*(1+IF(K$3&lt;=$O$2,$D91,$D91-($D91-$I$76)*MIN(K$3-$O$2,$Q$2)/$Q$2))</f>
        <v>29604.815793436</v>
      </c>
      <c r="L91" s="15" t="n">
        <f aca="false">K91*(1+IF(L$3&lt;=$O$2,$D91,$D91-($D91-$I$76)*MIN(L$3-$O$2,$Q$2)/$Q$2))</f>
        <v>31410.3921145725</v>
      </c>
      <c r="M91" s="15" t="n">
        <f aca="false">L91*(1+IF(M$3&lt;=$O$2,$D91,$D91-($D91-$I$76)*MIN(M$3-$O$2,$Q$2)/$Q$2))</f>
        <v>32734.171740783</v>
      </c>
      <c r="N91" s="15" t="n">
        <f aca="false">M91*(1+IF(N$3&lt;=$O$2,$D91,$D91-($D91-$I$76)*MIN(N$3-$O$2,$Q$2)/$Q$2))</f>
        <v>33496.8779423433</v>
      </c>
      <c r="O91" s="15" t="n">
        <f aca="false">SUMPRODUCT(E91:N91,1/(1+$F$76)^$E$3:$N$3)*$E$2</f>
        <v>51897.1926474853</v>
      </c>
      <c r="P91" s="15" t="n">
        <f aca="false">N91*$E$2*(1+$I$76)/($F$76-$I$76)/(1+$F$76)^$N$3</f>
        <v>80531.6652677501</v>
      </c>
      <c r="Q91" s="15" t="n">
        <f aca="false">O91+P91</f>
        <v>132428.857915235</v>
      </c>
      <c r="R91" s="15" t="n">
        <f aca="false">Q91-$G$2+$I$2</f>
        <v>120808.857915235</v>
      </c>
      <c r="S91" s="40" t="n">
        <f aca="false">R91/$K$2</f>
        <v>409.841089375565</v>
      </c>
      <c r="T91" s="41" t="n">
        <f aca="false">S91-$M$2</f>
        <v>-0.139573514145525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0.117523193359375</v>
      </c>
      <c r="C92" s="25" t="n">
        <f aca="false">IF(T91&gt;0,D91,C91)</f>
        <v>0.11761474609375</v>
      </c>
      <c r="D92" s="39" t="n">
        <f aca="false">(B92+C92)/2</f>
        <v>0.117568969726563</v>
      </c>
      <c r="E92" s="15" t="n">
        <f aca="false">$C$2*(1+IF(E$3&lt;=$O$2,$D92,$D92-($D92-$I$76)*MIN(E$3-$O$2,$Q$2)/$Q$2))</f>
        <v>16000.2349395752</v>
      </c>
      <c r="F92" s="15" t="n">
        <f aca="false">E92*(1+IF(F$3&lt;=$O$2,$D92,$D92-($D92-$I$76)*MIN(F$3-$O$2,$Q$2)/$Q$2))</f>
        <v>17881.366076804</v>
      </c>
      <c r="G92" s="15" t="n">
        <f aca="false">F92*(1+IF(G$3&lt;=$O$2,$D92,$D92-($D92-$I$76)*MIN(G$3-$O$2,$Q$2)/$Q$2))</f>
        <v>19983.6598637574</v>
      </c>
      <c r="H92" s="15" t="n">
        <f aca="false">G92*(1+IF(H$3&lt;=$O$2,$D92,$D92-($D92-$I$76)*MIN(H$3-$O$2,$Q$2)/$Q$2))</f>
        <v>22333.1181653054</v>
      </c>
      <c r="I92" s="15" t="n">
        <f aca="false">H92*(1+IF(I$3&lt;=$O$2,$D92,$D92-($D92-$I$76)*MIN(I$3-$O$2,$Q$2)/$Q$2))</f>
        <v>24958.7998587819</v>
      </c>
      <c r="J92" s="15" t="n">
        <f aca="false">I92*(1+IF(J$3&lt;=$O$2,$D92,$D92-($D92-$I$76)*MIN(J$3-$O$2,$Q$2)/$Q$2))</f>
        <v>27422.6121741306</v>
      </c>
      <c r="K92" s="15" t="n">
        <f aca="false">J92*(1+IF(K$3&lt;=$O$2,$D92,$D92-($D92-$I$76)*MIN(K$3-$O$2,$Q$2)/$Q$2))</f>
        <v>29612.6198759077</v>
      </c>
      <c r="L92" s="15" t="n">
        <f aca="false">K92*(1+IF(L$3&lt;=$O$2,$D92,$D92-($D92-$I$76)*MIN(L$3-$O$2,$Q$2)/$Q$2))</f>
        <v>31419.2143856588</v>
      </c>
      <c r="M92" s="15" t="n">
        <f aca="false">L92*(1+IF(M$3&lt;=$O$2,$D92,$D92-($D92-$I$76)*MIN(M$3-$O$2,$Q$2)/$Q$2))</f>
        <v>32743.6534747954</v>
      </c>
      <c r="N92" s="15" t="n">
        <f aca="false">M92*(1+IF(N$3&lt;=$O$2,$D92,$D92-($D92-$I$76)*MIN(N$3-$O$2,$Q$2)/$Q$2))</f>
        <v>33506.5806007582</v>
      </c>
      <c r="O92" s="15" t="n">
        <f aca="false">SUMPRODUCT(E92:N92,1/(1+$F$76)^$E$3:$N$3)*$E$2</f>
        <v>51907.5463329636</v>
      </c>
      <c r="P92" s="15" t="n">
        <f aca="false">N92*$E$2*(1+$I$76)/($F$76-$I$76)/(1+$F$76)^$N$3</f>
        <v>80554.9919563154</v>
      </c>
      <c r="Q92" s="15" t="n">
        <f aca="false">O92+P92</f>
        <v>132462.538289279</v>
      </c>
      <c r="R92" s="15" t="n">
        <f aca="false">Q92-$G$2+$I$2</f>
        <v>120842.538289279</v>
      </c>
      <c r="S92" s="40" t="n">
        <f aca="false">R92/$K$2</f>
        <v>409.955349218981</v>
      </c>
      <c r="T92" s="41" t="n">
        <f aca="false">S92-$M$2</f>
        <v>-0.0253136707296449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0.117568969726563</v>
      </c>
      <c r="C93" s="25" t="n">
        <f aca="false">IF(T92&gt;0,D92,C92)</f>
        <v>0.11761474609375</v>
      </c>
      <c r="D93" s="39" t="n">
        <f aca="false">(B93+C93)/2</f>
        <v>0.117591857910156</v>
      </c>
      <c r="E93" s="15" t="n">
        <f aca="false">$C$2*(1+IF(E$3&lt;=$O$2,$D93,$D93-($D93-$I$76)*MIN(E$3-$O$2,$Q$2)/$Q$2))</f>
        <v>16000.5626296997</v>
      </c>
      <c r="F93" s="15" t="n">
        <f aca="false">E93*(1+IF(F$3&lt;=$O$2,$D93,$D93-($D93-$I$76)*MIN(F$3-$O$2,$Q$2)/$Q$2))</f>
        <v>17882.0985169339</v>
      </c>
      <c r="G93" s="15" t="n">
        <f aca="false">F93*(1+IF(G$3&lt;=$O$2,$D93,$D93-($D93-$I$76)*MIN(G$3-$O$2,$Q$2)/$Q$2))</f>
        <v>19984.8877048726</v>
      </c>
      <c r="H93" s="15" t="n">
        <f aca="false">G93*(1+IF(H$3&lt;=$O$2,$D93,$D93-($D93-$I$76)*MIN(H$3-$O$2,$Q$2)/$Q$2))</f>
        <v>22334.9477802144</v>
      </c>
      <c r="I93" s="15" t="n">
        <f aca="false">H93*(1+IF(I$3&lt;=$O$2,$D93,$D93-($D93-$I$76)*MIN(I$3-$O$2,$Q$2)/$Q$2))</f>
        <v>24961.3557860162</v>
      </c>
      <c r="J93" s="15" t="n">
        <f aca="false">I93*(1+IF(J$3&lt;=$O$2,$D93,$D93-($D93-$I$76)*MIN(J$3-$O$2,$Q$2)/$Q$2))</f>
        <v>27425.8774662463</v>
      </c>
      <c r="K93" s="15" t="n">
        <f aca="false">J93*(1+IF(K$3&lt;=$O$2,$D93,$D93-($D93-$I$76)*MIN(K$3-$O$2,$Q$2)/$Q$2))</f>
        <v>29616.522575875</v>
      </c>
      <c r="L93" s="15" t="n">
        <f aca="false">K93*(1+IF(L$3&lt;=$O$2,$D93,$D93-($D93-$I$76)*MIN(L$3-$O$2,$Q$2)/$Q$2))</f>
        <v>31423.6263272998</v>
      </c>
      <c r="M93" s="15" t="n">
        <f aca="false">L93*(1+IF(M$3&lt;=$O$2,$D93,$D93-($D93-$I$76)*MIN(M$3-$O$2,$Q$2)/$Q$2))</f>
        <v>32748.395242461</v>
      </c>
      <c r="N93" s="15" t="n">
        <f aca="false">M93*(1+IF(N$3&lt;=$O$2,$D93,$D93-($D93-$I$76)*MIN(N$3-$O$2,$Q$2)/$Q$2))</f>
        <v>33511.4328516104</v>
      </c>
      <c r="O93" s="15" t="n">
        <f aca="false">SUMPRODUCT(E93:N93,1/(1+$F$76)^$E$3:$N$3)*$E$2</f>
        <v>51912.7239404264</v>
      </c>
      <c r="P93" s="15" t="n">
        <f aca="false">N93*$E$2*(1+$I$76)/($F$76-$I$76)/(1+$F$76)^$N$3</f>
        <v>80566.6575163744</v>
      </c>
      <c r="Q93" s="15" t="n">
        <f aca="false">O93+P93</f>
        <v>132479.381456801</v>
      </c>
      <c r="R93" s="15" t="n">
        <f aca="false">Q93-$G$2+$I$2</f>
        <v>120859.381456801</v>
      </c>
      <c r="S93" s="40" t="n">
        <f aca="false">R93/$K$2</f>
        <v>410.012489251962</v>
      </c>
      <c r="T93" s="41" t="n">
        <f aca="false">S93-$M$2</f>
        <v>0.031826362251195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0.117568969726563</v>
      </c>
      <c r="C94" s="25" t="n">
        <f aca="false">IF(T93&gt;0,D93,C93)</f>
        <v>0.117591857910156</v>
      </c>
      <c r="D94" s="39" t="n">
        <f aca="false">(B94+C94)/2</f>
        <v>0.117580413818359</v>
      </c>
      <c r="E94" s="15" t="n">
        <f aca="false">$C$2*(1+IF(E$3&lt;=$O$2,$D94,$D94-($D94-$I$76)*MIN(E$3-$O$2,$Q$2)/$Q$2))</f>
        <v>16000.3987846375</v>
      </c>
      <c r="F94" s="15" t="n">
        <f aca="false">E94*(1+IF(F$3&lt;=$O$2,$D94,$D94-($D94-$I$76)*MIN(F$3-$O$2,$Q$2)/$Q$2))</f>
        <v>17881.7322949939</v>
      </c>
      <c r="G94" s="15" t="n">
        <f aca="false">F94*(1+IF(G$3&lt;=$O$2,$D94,$D94-($D94-$I$76)*MIN(G$3-$O$2,$Q$2)/$Q$2))</f>
        <v>19984.2737780284</v>
      </c>
      <c r="H94" s="15" t="n">
        <f aca="false">G94*(1+IF(H$3&lt;=$O$2,$D94,$D94-($D94-$I$76)*MIN(H$3-$O$2,$Q$2)/$Q$2))</f>
        <v>22334.0329587084</v>
      </c>
      <c r="I94" s="15" t="n">
        <f aca="false">H94*(1+IF(I$3&lt;=$O$2,$D94,$D94-($D94-$I$76)*MIN(I$3-$O$2,$Q$2)/$Q$2))</f>
        <v>24960.0777962262</v>
      </c>
      <c r="J94" s="15" t="n">
        <f aca="false">I94*(1+IF(J$3&lt;=$O$2,$D94,$D94-($D94-$I$76)*MIN(J$3-$O$2,$Q$2)/$Q$2))</f>
        <v>27424.2447797316</v>
      </c>
      <c r="K94" s="15" t="n">
        <f aca="false">J94*(1+IF(K$3&lt;=$O$2,$D94,$D94-($D94-$I$76)*MIN(K$3-$O$2,$Q$2)/$Q$2))</f>
        <v>29614.5711709928</v>
      </c>
      <c r="L94" s="15" t="n">
        <f aca="false">K94*(1+IF(L$3&lt;=$O$2,$D94,$D94-($D94-$I$76)*MIN(L$3-$O$2,$Q$2)/$Q$2))</f>
        <v>31421.4202892987</v>
      </c>
      <c r="M94" s="15" t="n">
        <f aca="false">L94*(1+IF(M$3&lt;=$O$2,$D94,$D94-($D94-$I$76)*MIN(M$3-$O$2,$Q$2)/$Q$2))</f>
        <v>32746.0242835664</v>
      </c>
      <c r="N94" s="15" t="n">
        <f aca="false">M94*(1+IF(N$3&lt;=$O$2,$D94,$D94-($D94-$I$76)*MIN(N$3-$O$2,$Q$2)/$Q$2))</f>
        <v>33509.0066493736</v>
      </c>
      <c r="O94" s="15" t="n">
        <f aca="false">SUMPRODUCT(E94:N94,1/(1+$F$76)^$E$3:$N$3)*$E$2</f>
        <v>51910.1350729632</v>
      </c>
      <c r="P94" s="15" t="n">
        <f aca="false">N94*$E$2*(1+$I$76)/($F$76-$I$76)/(1+$F$76)^$N$3</f>
        <v>80560.8245516801</v>
      </c>
      <c r="Q94" s="15" t="n">
        <f aca="false">O94+P94</f>
        <v>132470.959624643</v>
      </c>
      <c r="R94" s="15" t="n">
        <f aca="false">Q94-$G$2+$I$2</f>
        <v>120850.959624643</v>
      </c>
      <c r="S94" s="40" t="n">
        <f aca="false">R94/$K$2</f>
        <v>409.983918392792</v>
      </c>
      <c r="T94" s="41" t="n">
        <f aca="false">S94-$M$2</f>
        <v>0.00325550308150469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0.117568969726563</v>
      </c>
      <c r="C95" s="25" t="n">
        <f aca="false">IF(T94&gt;0,D94,C94)</f>
        <v>0.117580413818359</v>
      </c>
      <c r="D95" s="39" t="n">
        <f aca="false">(B95+C95)/2</f>
        <v>0.117574691772461</v>
      </c>
      <c r="E95" s="15" t="n">
        <f aca="false">$C$2*(1+IF(E$3&lt;=$O$2,$D95,$D95-($D95-$I$76)*MIN(E$3-$O$2,$Q$2)/$Q$2))</f>
        <v>16000.3168621063</v>
      </c>
      <c r="F95" s="15" t="n">
        <f aca="false">E95*(1+IF(F$3&lt;=$O$2,$D95,$D95-($D95-$I$76)*MIN(F$3-$O$2,$Q$2)/$Q$2))</f>
        <v>17881.5491854302</v>
      </c>
      <c r="G95" s="15" t="n">
        <f aca="false">F95*(1+IF(G$3&lt;=$O$2,$D95,$D95-($D95-$I$76)*MIN(G$3-$O$2,$Q$2)/$Q$2))</f>
        <v>19983.9668193212</v>
      </c>
      <c r="H95" s="15" t="n">
        <f aca="false">G95*(1+IF(H$3&lt;=$O$2,$D95,$D95-($D95-$I$76)*MIN(H$3-$O$2,$Q$2)/$Q$2))</f>
        <v>22333.575558494</v>
      </c>
      <c r="I95" s="15" t="n">
        <f aca="false">H95*(1+IF(I$3&lt;=$O$2,$D95,$D95-($D95-$I$76)*MIN(I$3-$O$2,$Q$2)/$Q$2))</f>
        <v>24959.4388209609</v>
      </c>
      <c r="J95" s="15" t="n">
        <f aca="false">I95*(1+IF(J$3&lt;=$O$2,$D95,$D95-($D95-$I$76)*MIN(J$3-$O$2,$Q$2)/$Q$2))</f>
        <v>27423.4284668171</v>
      </c>
      <c r="K95" s="15" t="n">
        <f aca="false">J95*(1+IF(K$3&lt;=$O$2,$D95,$D95-($D95-$I$76)*MIN(K$3-$O$2,$Q$2)/$Q$2))</f>
        <v>29613.5955097259</v>
      </c>
      <c r="L95" s="15" t="n">
        <f aca="false">K95*(1+IF(L$3&lt;=$O$2,$D95,$D95-($D95-$I$76)*MIN(L$3-$O$2,$Q$2)/$Q$2))</f>
        <v>31420.317320684</v>
      </c>
      <c r="M95" s="15" t="n">
        <f aca="false">L95*(1+IF(M$3&lt;=$O$2,$D95,$D95-($D95-$I$76)*MIN(M$3-$O$2,$Q$2)/$Q$2))</f>
        <v>32744.838860416</v>
      </c>
      <c r="N95" s="15" t="n">
        <f aca="false">M95*(1+IF(N$3&lt;=$O$2,$D95,$D95-($D95-$I$76)*MIN(N$3-$O$2,$Q$2)/$Q$2))</f>
        <v>33507.7936058637</v>
      </c>
      <c r="O95" s="15" t="n">
        <f aca="false">SUMPRODUCT(E95:N95,1/(1+$F$76)^$E$3:$N$3)*$E$2</f>
        <v>51908.8406870308</v>
      </c>
      <c r="P95" s="15" t="n">
        <f aca="false">N95*$E$2*(1+$I$76)/($F$76-$I$76)/(1+$F$76)^$N$3</f>
        <v>80557.9082078329</v>
      </c>
      <c r="Q95" s="15" t="n">
        <f aca="false">O95+P95</f>
        <v>132466.748894864</v>
      </c>
      <c r="R95" s="15" t="n">
        <f aca="false">Q95-$G$2+$I$2</f>
        <v>120846.748894864</v>
      </c>
      <c r="S95" s="40" t="n">
        <f aca="false">R95/$K$2</f>
        <v>409.969633595222</v>
      </c>
      <c r="T95" s="41" t="n">
        <f aca="false">S95-$M$2</f>
        <v>-0.0110292944882531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0.117574691772461</v>
      </c>
      <c r="C96" s="25" t="n">
        <f aca="false">IF(T95&gt;0,D95,C95)</f>
        <v>0.117580413818359</v>
      </c>
      <c r="D96" s="39" t="n">
        <f aca="false">(B96+C96)/2</f>
        <v>0.11757755279541</v>
      </c>
      <c r="E96" s="15" t="n">
        <f aca="false">$C$2*(1+IF(E$3&lt;=$O$2,$D96,$D96-($D96-$I$76)*MIN(E$3-$O$2,$Q$2)/$Q$2))</f>
        <v>16000.3578233719</v>
      </c>
      <c r="F96" s="15" t="n">
        <f aca="false">E96*(1+IF(F$3&lt;=$O$2,$D96,$D96-($D96-$I$76)*MIN(F$3-$O$2,$Q$2)/$Q$2))</f>
        <v>17881.6407400949</v>
      </c>
      <c r="G96" s="15" t="n">
        <f aca="false">F96*(1+IF(G$3&lt;=$O$2,$D96,$D96-($D96-$I$76)*MIN(G$3-$O$2,$Q$2)/$Q$2))</f>
        <v>19984.1202982819</v>
      </c>
      <c r="H96" s="15" t="n">
        <f aca="false">G96*(1+IF(H$3&lt;=$O$2,$D96,$D96-($D96-$I$76)*MIN(H$3-$O$2,$Q$2)/$Q$2))</f>
        <v>22333.804257723</v>
      </c>
      <c r="I96" s="15" t="n">
        <f aca="false">H96*(1+IF(I$3&lt;=$O$2,$D96,$D96-($D96-$I$76)*MIN(I$3-$O$2,$Q$2)/$Q$2))</f>
        <v>24959.7583069578</v>
      </c>
      <c r="J96" s="15" t="n">
        <f aca="false">I96*(1+IF(J$3&lt;=$O$2,$D96,$D96-($D96-$I$76)*MIN(J$3-$O$2,$Q$2)/$Q$2))</f>
        <v>27423.8366207458</v>
      </c>
      <c r="K96" s="15" t="n">
        <f aca="false">J96*(1+IF(K$3&lt;=$O$2,$D96,$D96-($D96-$I$76)*MIN(K$3-$O$2,$Q$2)/$Q$2))</f>
        <v>29614.0833369282</v>
      </c>
      <c r="L96" s="15" t="n">
        <f aca="false">K96*(1+IF(L$3&lt;=$O$2,$D96,$D96-($D96-$I$76)*MIN(L$3-$O$2,$Q$2)/$Q$2))</f>
        <v>31420.8688007926</v>
      </c>
      <c r="M96" s="15" t="n">
        <f aca="false">L96*(1+IF(M$3&lt;=$O$2,$D96,$D96-($D96-$I$76)*MIN(M$3-$O$2,$Q$2)/$Q$2))</f>
        <v>32745.4315672999</v>
      </c>
      <c r="N96" s="15" t="n">
        <f aca="false">M96*(1+IF(N$3&lt;=$O$2,$D96,$D96-($D96-$I$76)*MIN(N$3-$O$2,$Q$2)/$Q$2))</f>
        <v>33508.400122818</v>
      </c>
      <c r="O96" s="15" t="n">
        <f aca="false">SUMPRODUCT(E96:N96,1/(1+$F$76)^$E$3:$N$3)*$E$2</f>
        <v>51909.4878760138</v>
      </c>
      <c r="P96" s="15" t="n">
        <f aca="false">N96*$E$2*(1+$I$76)/($F$76-$I$76)/(1+$F$76)^$N$3</f>
        <v>80559.3663682151</v>
      </c>
      <c r="Q96" s="15" t="n">
        <f aca="false">O96+P96</f>
        <v>132468.854244229</v>
      </c>
      <c r="R96" s="15" t="n">
        <f aca="false">Q96-$G$2+$I$2</f>
        <v>120848.854244229</v>
      </c>
      <c r="S96" s="40" t="n">
        <f aca="false">R96/$K$2</f>
        <v>409.976775941341</v>
      </c>
      <c r="T96" s="41" t="n">
        <f aca="false">S96-$M$2</f>
        <v>-0.00388694836999548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0.11757755279541</v>
      </c>
      <c r="C97" s="25" t="n">
        <f aca="false">IF(T96&gt;0,D96,C96)</f>
        <v>0.117580413818359</v>
      </c>
      <c r="D97" s="39" t="n">
        <f aca="false">(B97+C97)/2</f>
        <v>0.117578983306885</v>
      </c>
      <c r="E97" s="15" t="n">
        <f aca="false">$C$2*(1+IF(E$3&lt;=$O$2,$D97,$D97-($D97-$I$76)*MIN(E$3-$O$2,$Q$2)/$Q$2))</f>
        <v>16000.3783040047</v>
      </c>
      <c r="F97" s="15" t="n">
        <f aca="false">E97*(1+IF(F$3&lt;=$O$2,$D97,$D97-($D97-$I$76)*MIN(F$3-$O$2,$Q$2)/$Q$2))</f>
        <v>17881.6865175151</v>
      </c>
      <c r="G97" s="15" t="n">
        <f aca="false">F97*(1+IF(G$3&lt;=$O$2,$D97,$D97-($D97-$I$76)*MIN(G$3-$O$2,$Q$2)/$Q$2))</f>
        <v>19984.1970380569</v>
      </c>
      <c r="H97" s="15" t="n">
        <f aca="false">G97*(1+IF(H$3&lt;=$O$2,$D97,$D97-($D97-$I$76)*MIN(H$3-$O$2,$Q$2)/$Q$2))</f>
        <v>22333.9186079961</v>
      </c>
      <c r="I97" s="15" t="n">
        <f aca="false">H97*(1+IF(I$3&lt;=$O$2,$D97,$D97-($D97-$I$76)*MIN(I$3-$O$2,$Q$2)/$Q$2))</f>
        <v>24959.918051183</v>
      </c>
      <c r="J97" s="15" t="n">
        <f aca="false">I97*(1+IF(J$3&lt;=$O$2,$D97,$D97-($D97-$I$76)*MIN(J$3-$O$2,$Q$2)/$Q$2))</f>
        <v>27424.0406996065</v>
      </c>
      <c r="K97" s="15" t="n">
        <f aca="false">J97*(1+IF(K$3&lt;=$O$2,$D97,$D97-($D97-$I$76)*MIN(K$3-$O$2,$Q$2)/$Q$2))</f>
        <v>29614.3272531027</v>
      </c>
      <c r="L97" s="15" t="n">
        <f aca="false">K97*(1+IF(L$3&lt;=$O$2,$D97,$D97-($D97-$I$76)*MIN(L$3-$O$2,$Q$2)/$Q$2))</f>
        <v>31421.1445439959</v>
      </c>
      <c r="M97" s="15" t="n">
        <f aca="false">L97*(1+IF(M$3&lt;=$O$2,$D97,$D97-($D97-$I$76)*MIN(M$3-$O$2,$Q$2)/$Q$2))</f>
        <v>32745.7279242604</v>
      </c>
      <c r="N97" s="15" t="n">
        <f aca="false">M97*(1+IF(N$3&lt;=$O$2,$D97,$D97-($D97-$I$76)*MIN(N$3-$O$2,$Q$2)/$Q$2))</f>
        <v>33508.7033848956</v>
      </c>
      <c r="O97" s="15" t="n">
        <f aca="false">SUMPRODUCT(E97:N97,1/(1+$F$76)^$E$3:$N$3)*$E$2</f>
        <v>51909.8114734927</v>
      </c>
      <c r="P97" s="15" t="n">
        <f aca="false">N97*$E$2*(1+$I$76)/($F$76-$I$76)/(1+$F$76)^$N$3</f>
        <v>80560.0954570623</v>
      </c>
      <c r="Q97" s="15" t="n">
        <f aca="false">O97+P97</f>
        <v>132469.906930555</v>
      </c>
      <c r="R97" s="15" t="n">
        <f aca="false">Q97-$G$2+$I$2</f>
        <v>120849.906930555</v>
      </c>
      <c r="S97" s="40" t="n">
        <f aca="false">R97/$K$2</f>
        <v>409.9803471539</v>
      </c>
      <c r="T97" s="41" t="n">
        <f aca="false">S97-$M$2</f>
        <v>-0.000315735811057039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0.117578983306885</v>
      </c>
      <c r="C98" s="25" t="n">
        <f aca="false">IF(T97&gt;0,D97,C97)</f>
        <v>0.117580413818359</v>
      </c>
      <c r="D98" s="39" t="n">
        <f aca="false">(B98+C98)/2</f>
        <v>0.117579698562622</v>
      </c>
      <c r="E98" s="15" t="n">
        <f aca="false">$C$2*(1+IF(E$3&lt;=$O$2,$D98,$D98-($D98-$I$76)*MIN(E$3-$O$2,$Q$2)/$Q$2))</f>
        <v>16000.3885443211</v>
      </c>
      <c r="F98" s="15" t="n">
        <f aca="false">E98*(1+IF(F$3&lt;=$O$2,$D98,$D98-($D98-$I$76)*MIN(F$3-$O$2,$Q$2)/$Q$2))</f>
        <v>17881.7094062472</v>
      </c>
      <c r="G98" s="15" t="n">
        <f aca="false">F98*(1+IF(G$3&lt;=$O$2,$D98,$D98-($D98-$I$76)*MIN(G$3-$O$2,$Q$2)/$Q$2))</f>
        <v>19984.2354080181</v>
      </c>
      <c r="H98" s="15" t="n">
        <f aca="false">G98*(1+IF(H$3&lt;=$O$2,$D98,$D98-($D98-$I$76)*MIN(H$3-$O$2,$Q$2)/$Q$2))</f>
        <v>22333.9757832974</v>
      </c>
      <c r="I98" s="15" t="n">
        <f aca="false">H98*(1+IF(I$3&lt;=$O$2,$D98,$D98-($D98-$I$76)*MIN(I$3-$O$2,$Q$2)/$Q$2))</f>
        <v>24959.9979236024</v>
      </c>
      <c r="J98" s="15" t="n">
        <f aca="false">I98*(1+IF(J$3&lt;=$O$2,$D98,$D98-($D98-$I$76)*MIN(J$3-$O$2,$Q$2)/$Q$2))</f>
        <v>27424.142739511</v>
      </c>
      <c r="K98" s="15" t="n">
        <f aca="false">J98*(1+IF(K$3&lt;=$O$2,$D98,$D98-($D98-$I$76)*MIN(K$3-$O$2,$Q$2)/$Q$2))</f>
        <v>29614.4492118333</v>
      </c>
      <c r="L98" s="15" t="n">
        <f aca="false">K98*(1+IF(L$3&lt;=$O$2,$D98,$D98-($D98-$I$76)*MIN(L$3-$O$2,$Q$2)/$Q$2))</f>
        <v>31421.2824163849</v>
      </c>
      <c r="M98" s="15" t="n">
        <f aca="false">L98*(1+IF(M$3&lt;=$O$2,$D98,$D98-($D98-$I$76)*MIN(M$3-$O$2,$Q$2)/$Q$2))</f>
        <v>32745.8761036202</v>
      </c>
      <c r="N98" s="15" t="n">
        <f aca="false">M98*(1+IF(N$3&lt;=$O$2,$D98,$D98-($D98-$I$76)*MIN(N$3-$O$2,$Q$2)/$Q$2))</f>
        <v>33508.8550168346</v>
      </c>
      <c r="O98" s="15" t="n">
        <f aca="false">SUMPRODUCT(E98:N98,1/(1+$F$76)^$E$3:$N$3)*$E$2</f>
        <v>51909.973272979</v>
      </c>
      <c r="P98" s="15" t="n">
        <f aca="false">N98*$E$2*(1+$I$76)/($F$76-$I$76)/(1+$F$76)^$N$3</f>
        <v>80560.4600036499</v>
      </c>
      <c r="Q98" s="15" t="n">
        <f aca="false">O98+P98</f>
        <v>132470.433276629</v>
      </c>
      <c r="R98" s="15" t="n">
        <f aca="false">Q98-$G$2+$I$2</f>
        <v>120850.433276629</v>
      </c>
      <c r="S98" s="40" t="n">
        <f aca="false">R98/$K$2</f>
        <v>409.982132770054</v>
      </c>
      <c r="T98" s="41" t="n">
        <f aca="false">S98-$M$2</f>
        <v>0.00146988034362039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0.117578983306885</v>
      </c>
      <c r="C99" s="25" t="n">
        <f aca="false">IF(T98&gt;0,D98,C98)</f>
        <v>0.117579698562622</v>
      </c>
      <c r="D99" s="39" t="n">
        <f aca="false">(B99+C99)/2</f>
        <v>0.117579340934753</v>
      </c>
      <c r="E99" s="15" t="n">
        <f aca="false">$C$2*(1+IF(E$3&lt;=$O$2,$D99,$D99-($D99-$I$76)*MIN(E$3-$O$2,$Q$2)/$Q$2))</f>
        <v>16000.3834241629</v>
      </c>
      <c r="F99" s="15" t="n">
        <f aca="false">E99*(1+IF(F$3&lt;=$O$2,$D99,$D99-($D99-$I$76)*MIN(F$3-$O$2,$Q$2)/$Q$2))</f>
        <v>17881.6979618793</v>
      </c>
      <c r="G99" s="15" t="n">
        <f aca="false">F99*(1+IF(G$3&lt;=$O$2,$D99,$D99-($D99-$I$76)*MIN(G$3-$O$2,$Q$2)/$Q$2))</f>
        <v>19984.2162230314</v>
      </c>
      <c r="H99" s="15" t="n">
        <f aca="false">G99*(1+IF(H$3&lt;=$O$2,$D99,$D99-($D99-$I$76)*MIN(H$3-$O$2,$Q$2)/$Q$2))</f>
        <v>22333.947195633</v>
      </c>
      <c r="I99" s="15" t="n">
        <f aca="false">H99*(1+IF(I$3&lt;=$O$2,$D99,$D99-($D99-$I$76)*MIN(I$3-$O$2,$Q$2)/$Q$2))</f>
        <v>24959.9579873671</v>
      </c>
      <c r="J99" s="15" t="n">
        <f aca="false">I99*(1+IF(J$3&lt;=$O$2,$D99,$D99-($D99-$I$76)*MIN(J$3-$O$2,$Q$2)/$Q$2))</f>
        <v>27424.0917195193</v>
      </c>
      <c r="K99" s="15" t="n">
        <f aca="false">J99*(1+IF(K$3&lt;=$O$2,$D99,$D99-($D99-$I$76)*MIN(K$3-$O$2,$Q$2)/$Q$2))</f>
        <v>29614.3882324144</v>
      </c>
      <c r="L99" s="15" t="n">
        <f aca="false">K99*(1+IF(L$3&lt;=$O$2,$D99,$D99-($D99-$I$76)*MIN(L$3-$O$2,$Q$2)/$Q$2))</f>
        <v>31421.2134801248</v>
      </c>
      <c r="M99" s="15" t="n">
        <f aca="false">L99*(1+IF(M$3&lt;=$O$2,$D99,$D99-($D99-$I$76)*MIN(M$3-$O$2,$Q$2)/$Q$2))</f>
        <v>32745.802013867</v>
      </c>
      <c r="N99" s="15" t="n">
        <f aca="false">M99*(1+IF(N$3&lt;=$O$2,$D99,$D99-($D99-$I$76)*MIN(N$3-$O$2,$Q$2)/$Q$2))</f>
        <v>33508.7792007901</v>
      </c>
      <c r="O99" s="15" t="n">
        <f aca="false">SUMPRODUCT(E99:N99,1/(1+$F$76)^$E$3:$N$3)*$E$2</f>
        <v>51909.8923731736</v>
      </c>
      <c r="P99" s="15" t="n">
        <f aca="false">N99*$E$2*(1+$I$76)/($F$76-$I$76)/(1+$F$76)^$N$3</f>
        <v>80560.2777301757</v>
      </c>
      <c r="Q99" s="15" t="n">
        <f aca="false">O99+P99</f>
        <v>132470.170103349</v>
      </c>
      <c r="R99" s="15" t="n">
        <f aca="false">Q99-$G$2+$I$2</f>
        <v>120850.170103349</v>
      </c>
      <c r="S99" s="40" t="n">
        <f aca="false">R99/$K$2</f>
        <v>409.981239961154</v>
      </c>
      <c r="T99" s="41" t="n">
        <f aca="false">S99-$M$2</f>
        <v>0.000577071443274235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0.117578983306885</v>
      </c>
      <c r="C100" s="25" t="n">
        <f aca="false">IF(T99&gt;0,D99,C99)</f>
        <v>0.117579340934753</v>
      </c>
      <c r="D100" s="39" t="n">
        <f aca="false">(B100+C100)/2</f>
        <v>0.117579162120819</v>
      </c>
      <c r="E100" s="15" t="n">
        <f aca="false">$C$2*(1+IF(E$3&lt;=$O$2,$D100,$D100-($D100-$I$76)*MIN(E$3-$O$2,$Q$2)/$Q$2))</f>
        <v>16000.3808640838</v>
      </c>
      <c r="F100" s="15" t="n">
        <f aca="false">E100*(1+IF(F$3&lt;=$O$2,$D100,$D100-($D100-$I$76)*MIN(F$3-$O$2,$Q$2)/$Q$2))</f>
        <v>17881.6922396967</v>
      </c>
      <c r="G100" s="15" t="n">
        <f aca="false">F100*(1+IF(G$3&lt;=$O$2,$D100,$D100-($D100-$I$76)*MIN(G$3-$O$2,$Q$2)/$Q$2))</f>
        <v>19984.2066305426</v>
      </c>
      <c r="H100" s="15" t="n">
        <f aca="false">G100*(1+IF(H$3&lt;=$O$2,$D100,$D100-($D100-$I$76)*MIN(H$3-$O$2,$Q$2)/$Q$2))</f>
        <v>22333.9329018111</v>
      </c>
      <c r="I100" s="15" t="n">
        <f aca="false">H100*(1+IF(I$3&lt;=$O$2,$D100,$D100-($D100-$I$76)*MIN(I$3-$O$2,$Q$2)/$Q$2))</f>
        <v>24959.9380192687</v>
      </c>
      <c r="J100" s="15" t="n">
        <f aca="false">I100*(1+IF(J$3&lt;=$O$2,$D100,$D100-($D100-$I$76)*MIN(J$3-$O$2,$Q$2)/$Q$2))</f>
        <v>27424.066209553</v>
      </c>
      <c r="K100" s="15" t="n">
        <f aca="false">J100*(1+IF(K$3&lt;=$O$2,$D100,$D100-($D100-$I$76)*MIN(K$3-$O$2,$Q$2)/$Q$2))</f>
        <v>29614.3577427451</v>
      </c>
      <c r="L100" s="15" t="n">
        <f aca="false">K100*(1+IF(L$3&lt;=$O$2,$D100,$D100-($D100-$I$76)*MIN(L$3-$O$2,$Q$2)/$Q$2))</f>
        <v>31421.179012044</v>
      </c>
      <c r="M100" s="15" t="n">
        <f aca="false">L100*(1+IF(M$3&lt;=$O$2,$D100,$D100-($D100-$I$76)*MIN(M$3-$O$2,$Q$2)/$Q$2))</f>
        <v>32745.7649690453</v>
      </c>
      <c r="N100" s="15" t="n">
        <f aca="false">M100*(1+IF(N$3&lt;=$O$2,$D100,$D100-($D100-$I$76)*MIN(N$3-$O$2,$Q$2)/$Q$2))</f>
        <v>33508.7412928241</v>
      </c>
      <c r="O100" s="15" t="n">
        <f aca="false">SUMPRODUCT(E100:N100,1/(1+$F$76)^$E$3:$N$3)*$E$2</f>
        <v>51909.8519233176</v>
      </c>
      <c r="P100" s="15" t="n">
        <f aca="false">N100*$E$2*(1+$I$76)/($F$76-$I$76)/(1+$F$76)^$N$3</f>
        <v>80560.1865935739</v>
      </c>
      <c r="Q100" s="15" t="n">
        <f aca="false">O100+P100</f>
        <v>132470.038516891</v>
      </c>
      <c r="R100" s="15" t="n">
        <f aca="false">Q100-$G$2+$I$2</f>
        <v>120850.038516891</v>
      </c>
      <c r="S100" s="40" t="n">
        <f aca="false">R100/$K$2</f>
        <v>409.980793557321</v>
      </c>
      <c r="T100" s="41" t="n">
        <f aca="false">S100-$M$2</f>
        <v>0.000130667610335422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0.117578983306885</v>
      </c>
      <c r="C101" s="25" t="n">
        <f aca="false">IF(T100&gt;0,D100,C100)</f>
        <v>0.117579162120819</v>
      </c>
      <c r="D101" s="39" t="n">
        <f aca="false">(B101+C101)/2</f>
        <v>0.117579072713852</v>
      </c>
      <c r="E101" s="15" t="n">
        <f aca="false">$C$2*(1+IF(E$3&lt;=$O$2,$D101,$D101-($D101-$I$76)*MIN(E$3-$O$2,$Q$2)/$Q$2))</f>
        <v>16000.3795840442</v>
      </c>
      <c r="F101" s="15" t="n">
        <f aca="false">E101*(1+IF(F$3&lt;=$O$2,$D101,$D101-($D101-$I$76)*MIN(F$3-$O$2,$Q$2)/$Q$2))</f>
        <v>17881.6893786058</v>
      </c>
      <c r="G101" s="15" t="n">
        <f aca="false">F101*(1+IF(G$3&lt;=$O$2,$D101,$D101-($D101-$I$76)*MIN(G$3-$O$2,$Q$2)/$Q$2))</f>
        <v>19984.2018342994</v>
      </c>
      <c r="H101" s="15" t="n">
        <f aca="false">G101*(1+IF(H$3&lt;=$O$2,$D101,$D101-($D101-$I$76)*MIN(H$3-$O$2,$Q$2)/$Q$2))</f>
        <v>22333.9257549028</v>
      </c>
      <c r="I101" s="15" t="n">
        <f aca="false">H101*(1+IF(I$3&lt;=$O$2,$D101,$D101-($D101-$I$76)*MIN(I$3-$O$2,$Q$2)/$Q$2))</f>
        <v>24959.9280352243</v>
      </c>
      <c r="J101" s="15" t="n">
        <f aca="false">I101*(1+IF(J$3&lt;=$O$2,$D101,$D101-($D101-$I$76)*MIN(J$3-$O$2,$Q$2)/$Q$2))</f>
        <v>27424.0534545773</v>
      </c>
      <c r="K101" s="15" t="n">
        <f aca="false">J101*(1+IF(K$3&lt;=$O$2,$D101,$D101-($D101-$I$76)*MIN(K$3-$O$2,$Q$2)/$Q$2))</f>
        <v>29614.3424979206</v>
      </c>
      <c r="L101" s="15" t="n">
        <f aca="false">K101*(1+IF(L$3&lt;=$O$2,$D101,$D101-($D101-$I$76)*MIN(L$3-$O$2,$Q$2)/$Q$2))</f>
        <v>31421.1617780158</v>
      </c>
      <c r="M101" s="15" t="n">
        <f aca="false">L101*(1+IF(M$3&lt;=$O$2,$D101,$D101-($D101-$I$76)*MIN(M$3-$O$2,$Q$2)/$Q$2))</f>
        <v>32745.7464466483</v>
      </c>
      <c r="N101" s="15" t="n">
        <f aca="false">M101*(1+IF(N$3&lt;=$O$2,$D101,$D101-($D101-$I$76)*MIN(N$3-$O$2,$Q$2)/$Q$2))</f>
        <v>33508.7223388552</v>
      </c>
      <c r="O101" s="15" t="n">
        <f aca="false">SUMPRODUCT(E101:N101,1/(1+$F$76)^$E$3:$N$3)*$E$2</f>
        <v>51909.8316984013</v>
      </c>
      <c r="P101" s="15" t="n">
        <f aca="false">N101*$E$2*(1+$I$76)/($F$76-$I$76)/(1+$F$76)^$N$3</f>
        <v>80560.1410253068</v>
      </c>
      <c r="Q101" s="15" t="n">
        <f aca="false">O101+P101</f>
        <v>132469.972723708</v>
      </c>
      <c r="R101" s="15" t="n">
        <f aca="false">Q101-$G$2+$I$2</f>
        <v>120849.972723708</v>
      </c>
      <c r="S101" s="40" t="n">
        <f aca="false">R101/$K$2</f>
        <v>409.980570355559</v>
      </c>
      <c r="T101" s="41" t="n">
        <f aca="false">S101-$M$2</f>
        <v>-9.25341519177891E-005</v>
      </c>
    </row>
    <row r="103" customFormat="false" ht="15" hidden="false" customHeight="false" outlineLevel="0" collapsed="false">
      <c r="A103" s="36" t="s">
        <v>177</v>
      </c>
      <c r="E103" s="5" t="s">
        <v>11</v>
      </c>
      <c r="F103" s="12" t="n">
        <f aca="false">Sensitivity!$B$10</f>
        <v>0.0848919064489092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6" t="s">
        <v>155</v>
      </c>
      <c r="B104" s="28" t="s">
        <v>156</v>
      </c>
      <c r="C104" s="28" t="s">
        <v>157</v>
      </c>
      <c r="D104" s="28" t="s">
        <v>158</v>
      </c>
      <c r="E104" s="28" t="s">
        <v>159</v>
      </c>
      <c r="F104" s="28" t="s">
        <v>160</v>
      </c>
      <c r="G104" s="28" t="s">
        <v>161</v>
      </c>
      <c r="H104" s="28" t="s">
        <v>162</v>
      </c>
      <c r="I104" s="28" t="s">
        <v>163</v>
      </c>
      <c r="J104" s="28" t="s">
        <v>164</v>
      </c>
      <c r="K104" s="28" t="s">
        <v>165</v>
      </c>
      <c r="L104" s="28" t="s">
        <v>166</v>
      </c>
      <c r="M104" s="28" t="s">
        <v>167</v>
      </c>
      <c r="N104" s="28" t="s">
        <v>168</v>
      </c>
      <c r="O104" s="28" t="s">
        <v>169</v>
      </c>
      <c r="P104" s="28" t="s">
        <v>170</v>
      </c>
      <c r="Q104" s="28" t="s">
        <v>171</v>
      </c>
      <c r="R104" s="28" t="s">
        <v>172</v>
      </c>
      <c r="S104" s="28" t="s">
        <v>173</v>
      </c>
      <c r="T104" s="28" t="s">
        <v>174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39" t="n">
        <f aca="false">(B105+C105)/2</f>
        <v>0.25</v>
      </c>
      <c r="E105" s="15" t="n">
        <f aca="false">$C$2*(1+IF(E$3&lt;=$O$2,$D105,$D105-($D105-$I$103)*MIN(E$3-$O$2,$Q$2)/$Q$2))</f>
        <v>17896.25</v>
      </c>
      <c r="F105" s="15" t="n">
        <f aca="false">E105*(1+IF(F$3&lt;=$O$2,$D105,$D105-($D105-$I$103)*MIN(F$3-$O$2,$Q$2)/$Q$2))</f>
        <v>22370.3125</v>
      </c>
      <c r="G105" s="15" t="n">
        <f aca="false">F105*(1+IF(G$3&lt;=$O$2,$D105,$D105-($D105-$I$103)*MIN(G$3-$O$2,$Q$2)/$Q$2))</f>
        <v>27962.890625</v>
      </c>
      <c r="H105" s="15" t="n">
        <f aca="false">G105*(1+IF(H$3&lt;=$O$2,$D105,$D105-($D105-$I$103)*MIN(H$3-$O$2,$Q$2)/$Q$2))</f>
        <v>34953.61328125</v>
      </c>
      <c r="I105" s="15" t="n">
        <f aca="false">H105*(1+IF(I$3&lt;=$O$2,$D105,$D105-($D105-$I$103)*MIN(I$3-$O$2,$Q$2)/$Q$2))</f>
        <v>43692.0166015625</v>
      </c>
      <c r="J105" s="15" t="n">
        <f aca="false">I105*(1+IF(J$3&lt;=$O$2,$D105,$D105-($D105-$I$103)*MIN(J$3-$O$2,$Q$2)/$Q$2))</f>
        <v>52677.7167358398</v>
      </c>
      <c r="K105" s="15" t="n">
        <f aca="false">J105*(1+IF(K$3&lt;=$O$2,$D105,$D105-($D105-$I$103)*MIN(K$3-$O$2,$Q$2)/$Q$2))</f>
        <v>61175.6859996655</v>
      </c>
      <c r="L105" s="15" t="n">
        <f aca="false">K105*(1+IF(L$3&lt;=$O$2,$D105,$D105-($D105-$I$103)*MIN(L$3-$O$2,$Q$2)/$Q$2))</f>
        <v>68332.0177479064</v>
      </c>
      <c r="M105" s="15" t="n">
        <f aca="false">L105*(1+IF(M$3&lt;=$O$2,$D105,$D105-($D105-$I$103)*MIN(M$3-$O$2,$Q$2)/$Q$2))</f>
        <v>73295.6555171143</v>
      </c>
      <c r="N105" s="15" t="n">
        <f aca="false">M105*(1+IF(N$3&lt;=$O$2,$D105,$D105-($D105-$I$103)*MIN(N$3-$O$2,$Q$2)/$Q$2))</f>
        <v>75369.9225682487</v>
      </c>
      <c r="O105" s="15" t="n">
        <f aca="false">SUMPRODUCT(E105:N105,1/(1+$F$103)^$E$3:$N$3)*$E$2</f>
        <v>92425.1327758742</v>
      </c>
      <c r="P105" s="15" t="n">
        <f aca="false">N105*$E$2*(1+$I$103)/($F$103-$I$103)/(1+$F$103)^$N$3</f>
        <v>198173.966586237</v>
      </c>
      <c r="Q105" s="15" t="n">
        <f aca="false">O105+P105</f>
        <v>290599.099362111</v>
      </c>
      <c r="R105" s="15" t="n">
        <f aca="false">Q105-$G$2+$I$2</f>
        <v>278979.099362111</v>
      </c>
      <c r="S105" s="40" t="n">
        <f aca="false">R105/$K$2</f>
        <v>946.429756630971</v>
      </c>
      <c r="T105" s="41" t="n">
        <f aca="false">S105-$M$2</f>
        <v>536.44909374126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39" t="n">
        <f aca="false">(B106+C106)/2</f>
        <v>-0.125</v>
      </c>
      <c r="E106" s="15" t="n">
        <f aca="false">$C$2*(1+IF(E$3&lt;=$O$2,$D106,$D106-($D106-$I$103)*MIN(E$3-$O$2,$Q$2)/$Q$2))</f>
        <v>12527.375</v>
      </c>
      <c r="F106" s="15" t="n">
        <f aca="false">E106*(1+IF(F$3&lt;=$O$2,$D106,$D106-($D106-$I$103)*MIN(F$3-$O$2,$Q$2)/$Q$2))</f>
        <v>10961.453125</v>
      </c>
      <c r="G106" s="15" t="n">
        <f aca="false">F106*(1+IF(G$3&lt;=$O$2,$D106,$D106-($D106-$I$103)*MIN(G$3-$O$2,$Q$2)/$Q$2))</f>
        <v>9591.271484375</v>
      </c>
      <c r="H106" s="15" t="n">
        <f aca="false">G106*(1+IF(H$3&lt;=$O$2,$D106,$D106-($D106-$I$103)*MIN(H$3-$O$2,$Q$2)/$Q$2))</f>
        <v>8392.36254882813</v>
      </c>
      <c r="I106" s="15" t="n">
        <f aca="false">H106*(1+IF(I$3&lt;=$O$2,$D106,$D106-($D106-$I$103)*MIN(I$3-$O$2,$Q$2)/$Q$2))</f>
        <v>7343.31723022461</v>
      </c>
      <c r="J106" s="15" t="n">
        <f aca="false">I106*(1+IF(J$3&lt;=$O$2,$D106,$D106-($D106-$I$103)*MIN(J$3-$O$2,$Q$2)/$Q$2))</f>
        <v>6650.54868272522</v>
      </c>
      <c r="K106" s="15" t="n">
        <f aca="false">J106*(1+IF(K$3&lt;=$O$2,$D106,$D106-($D106-$I$103)*MIN(K$3-$O$2,$Q$2)/$Q$2))</f>
        <v>6227.04174260928</v>
      </c>
      <c r="L106" s="15" t="n">
        <f aca="false">K106*(1+IF(L$3&lt;=$O$2,$D106,$D106-($D106-$I$103)*MIN(L$3-$O$2,$Q$2)/$Q$2))</f>
        <v>6021.42482426832</v>
      </c>
      <c r="M106" s="15" t="n">
        <f aca="false">L106*(1+IF(M$3&lt;=$O$2,$D106,$D106-($D106-$I$103)*MIN(M$3-$O$2,$Q$2)/$Q$2))</f>
        <v>6007.21426168305</v>
      </c>
      <c r="N106" s="15" t="n">
        <f aca="false">M106*(1+IF(N$3&lt;=$O$2,$D106,$D106-($D106-$I$103)*MIN(N$3-$O$2,$Q$2)/$Q$2))</f>
        <v>6177.21842528868</v>
      </c>
      <c r="O106" s="15" t="n">
        <f aca="false">SUMPRODUCT(E106:N106,1/(1+$F$103)^$E$3:$N$3)*$E$2</f>
        <v>18196.5942064678</v>
      </c>
      <c r="P106" s="15" t="n">
        <f aca="false">N106*$E$2*(1+$I$103)/($F$103-$I$103)/(1+$F$103)^$N$3</f>
        <v>16242.0742399005</v>
      </c>
      <c r="Q106" s="15" t="n">
        <f aca="false">O106+P106</f>
        <v>34438.6684463683</v>
      </c>
      <c r="R106" s="15" t="n">
        <f aca="false">Q106-$G$2+$I$2</f>
        <v>22818.6684463683</v>
      </c>
      <c r="S106" s="40" t="n">
        <f aca="false">R106/$K$2</f>
        <v>77.4117734042415</v>
      </c>
      <c r="T106" s="41" t="n">
        <f aca="false">S106-$M$2</f>
        <v>-332.568889485469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39" t="n">
        <f aca="false">(B107+C107)/2</f>
        <v>0.0625</v>
      </c>
      <c r="E107" s="15" t="n">
        <f aca="false">$C$2*(1+IF(E$3&lt;=$O$2,$D107,$D107-($D107-$I$103)*MIN(E$3-$O$2,$Q$2)/$Q$2))</f>
        <v>15211.8125</v>
      </c>
      <c r="F107" s="15" t="n">
        <f aca="false">E107*(1+IF(F$3&lt;=$O$2,$D107,$D107-($D107-$I$103)*MIN(F$3-$O$2,$Q$2)/$Q$2))</f>
        <v>16162.55078125</v>
      </c>
      <c r="G107" s="15" t="n">
        <f aca="false">F107*(1+IF(G$3&lt;=$O$2,$D107,$D107-($D107-$I$103)*MIN(G$3-$O$2,$Q$2)/$Q$2))</f>
        <v>17172.7102050781</v>
      </c>
      <c r="H107" s="15" t="n">
        <f aca="false">G107*(1+IF(H$3&lt;=$O$2,$D107,$D107-($D107-$I$103)*MIN(H$3-$O$2,$Q$2)/$Q$2))</f>
        <v>18246.0045928955</v>
      </c>
      <c r="I107" s="15" t="n">
        <f aca="false">H107*(1+IF(I$3&lt;=$O$2,$D107,$D107-($D107-$I$103)*MIN(I$3-$O$2,$Q$2)/$Q$2))</f>
        <v>19386.3798799515</v>
      </c>
      <c r="J107" s="15" t="n">
        <f aca="false">I107*(1+IF(J$3&lt;=$O$2,$D107,$D107-($D107-$I$103)*MIN(J$3-$O$2,$Q$2)/$Q$2))</f>
        <v>20465.4257840696</v>
      </c>
      <c r="K107" s="15" t="n">
        <f aca="false">J107*(1+IF(K$3&lt;=$O$2,$D107,$D107-($D107-$I$103)*MIN(K$3-$O$2,$Q$2)/$Q$2))</f>
        <v>21464.5478708479</v>
      </c>
      <c r="L107" s="15" t="n">
        <f aca="false">K107*(1+IF(L$3&lt;=$O$2,$D107,$D107-($D107-$I$103)*MIN(L$3-$O$2,$Q$2)/$Q$2))</f>
        <v>22365.629590466</v>
      </c>
      <c r="M107" s="15" t="n">
        <f aca="false">L107*(1+IF(M$3&lt;=$O$2,$D107,$D107-($D107-$I$103)*MIN(M$3-$O$2,$Q$2)/$Q$2))</f>
        <v>23151.557814275</v>
      </c>
      <c r="N107" s="15" t="n">
        <f aca="false">M107*(1+IF(N$3&lt;=$O$2,$D107,$D107-($D107-$I$103)*MIN(N$3-$O$2,$Q$2)/$Q$2))</f>
        <v>23806.746900419</v>
      </c>
      <c r="O107" s="15" t="n">
        <f aca="false">SUMPRODUCT(E107:N107,1/(1+$F$103)^$E$3:$N$3)*$E$2</f>
        <v>40945.3530273</v>
      </c>
      <c r="P107" s="15" t="n">
        <f aca="false">N107*$E$2*(1+$I$103)/($F$103-$I$103)/(1+$F$103)^$N$3</f>
        <v>62596.2891297722</v>
      </c>
      <c r="Q107" s="15" t="n">
        <f aca="false">O107+P107</f>
        <v>103541.642157072</v>
      </c>
      <c r="R107" s="15" t="n">
        <f aca="false">Q107-$G$2+$I$2</f>
        <v>91921.6421570722</v>
      </c>
      <c r="S107" s="40" t="n">
        <f aca="false">R107/$K$2</f>
        <v>311.84191796001</v>
      </c>
      <c r="T107" s="41" t="n">
        <f aca="false">S107-$M$2</f>
        <v>-98.1387449297003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0.0625</v>
      </c>
      <c r="C108" s="25" t="n">
        <f aca="false">IF(T107&gt;0,D107,C107)</f>
        <v>0.25</v>
      </c>
      <c r="D108" s="39" t="n">
        <f aca="false">(B108+C108)/2</f>
        <v>0.15625</v>
      </c>
      <c r="E108" s="15" t="n">
        <f aca="false">$C$2*(1+IF(E$3&lt;=$O$2,$D108,$D108-($D108-$I$103)*MIN(E$3-$O$2,$Q$2)/$Q$2))</f>
        <v>16554.03125</v>
      </c>
      <c r="F108" s="15" t="n">
        <f aca="false">E108*(1+IF(F$3&lt;=$O$2,$D108,$D108-($D108-$I$103)*MIN(F$3-$O$2,$Q$2)/$Q$2))</f>
        <v>19140.5986328125</v>
      </c>
      <c r="G108" s="15" t="n">
        <f aca="false">F108*(1+IF(G$3&lt;=$O$2,$D108,$D108-($D108-$I$103)*MIN(G$3-$O$2,$Q$2)/$Q$2))</f>
        <v>22131.3171691895</v>
      </c>
      <c r="H108" s="15" t="n">
        <f aca="false">G108*(1+IF(H$3&lt;=$O$2,$D108,$D108-($D108-$I$103)*MIN(H$3-$O$2,$Q$2)/$Q$2))</f>
        <v>25589.3354768753</v>
      </c>
      <c r="I108" s="15" t="n">
        <f aca="false">H108*(1+IF(I$3&lt;=$O$2,$D108,$D108-($D108-$I$103)*MIN(I$3-$O$2,$Q$2)/$Q$2))</f>
        <v>29587.6691451371</v>
      </c>
      <c r="J108" s="15" t="n">
        <f aca="false">I108*(1+IF(J$3&lt;=$O$2,$D108,$D108-($D108-$I$103)*MIN(J$3-$O$2,$Q$2)/$Q$2))</f>
        <v>33453.5939956407</v>
      </c>
      <c r="K108" s="15" t="n">
        <f aca="false">J108*(1+IF(K$3&lt;=$O$2,$D108,$D108-($D108-$I$103)*MIN(K$3-$O$2,$Q$2)/$Q$2))</f>
        <v>36968.5631167627</v>
      </c>
      <c r="L108" s="15" t="n">
        <f aca="false">K108*(1+IF(L$3&lt;=$O$2,$D108,$D108-($D108-$I$103)*MIN(L$3-$O$2,$Q$2)/$Q$2))</f>
        <v>39906.824513283</v>
      </c>
      <c r="M108" s="15" t="n">
        <f aca="false">L108*(1+IF(M$3&lt;=$O$2,$D108,$D108-($D108-$I$103)*MIN(M$3-$O$2,$Q$2)/$Q$2))</f>
        <v>42057.4032863038</v>
      </c>
      <c r="N108" s="15" t="n">
        <f aca="false">M108*(1+IF(N$3&lt;=$O$2,$D108,$D108-($D108-$I$103)*MIN(N$3-$O$2,$Q$2)/$Q$2))</f>
        <v>43247.6277993062</v>
      </c>
      <c r="O108" s="15" t="n">
        <f aca="false">SUMPRODUCT(E108:N108,1/(1+$F$103)^$E$3:$N$3)*$E$2</f>
        <v>61634.240262231</v>
      </c>
      <c r="P108" s="15" t="n">
        <f aca="false">N108*$E$2*(1+$I$103)/($F$103-$I$103)/(1+$F$103)^$N$3</f>
        <v>113713.184973395</v>
      </c>
      <c r="Q108" s="15" t="n">
        <f aca="false">O108+P108</f>
        <v>175347.425235626</v>
      </c>
      <c r="R108" s="15" t="n">
        <f aca="false">Q108-$G$2+$I$2</f>
        <v>163727.425235626</v>
      </c>
      <c r="S108" s="40" t="n">
        <f aca="false">R108/$K$2</f>
        <v>555.441277048634</v>
      </c>
      <c r="T108" s="41" t="n">
        <f aca="false">S108-$M$2</f>
        <v>145.460614158924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0.0625</v>
      </c>
      <c r="C109" s="25" t="n">
        <f aca="false">IF(T108&gt;0,D108,C108)</f>
        <v>0.15625</v>
      </c>
      <c r="D109" s="39" t="n">
        <f aca="false">(B109+C109)/2</f>
        <v>0.109375</v>
      </c>
      <c r="E109" s="15" t="n">
        <f aca="false">$C$2*(1+IF(E$3&lt;=$O$2,$D109,$D109-($D109-$I$103)*MIN(E$3-$O$2,$Q$2)/$Q$2))</f>
        <v>15882.921875</v>
      </c>
      <c r="F109" s="15" t="n">
        <f aca="false">E109*(1+IF(F$3&lt;=$O$2,$D109,$D109-($D109-$I$103)*MIN(F$3-$O$2,$Q$2)/$Q$2))</f>
        <v>17620.1164550781</v>
      </c>
      <c r="G109" s="15" t="n">
        <f aca="false">F109*(1+IF(G$3&lt;=$O$2,$D109,$D109-($D109-$I$103)*MIN(G$3-$O$2,$Q$2)/$Q$2))</f>
        <v>19547.3166923523</v>
      </c>
      <c r="H109" s="15" t="n">
        <f aca="false">G109*(1+IF(H$3&lt;=$O$2,$D109,$D109-($D109-$I$103)*MIN(H$3-$O$2,$Q$2)/$Q$2))</f>
        <v>21685.3044555783</v>
      </c>
      <c r="I109" s="15" t="n">
        <f aca="false">H109*(1+IF(I$3&lt;=$O$2,$D109,$D109-($D109-$I$103)*MIN(I$3-$O$2,$Q$2)/$Q$2))</f>
        <v>24057.1346304072</v>
      </c>
      <c r="J109" s="15" t="n">
        <f aca="false">I109*(1+IF(J$3&lt;=$O$2,$D109,$D109-($D109-$I$103)*MIN(J$3-$O$2,$Q$2)/$Q$2))</f>
        <v>26298.2972925759</v>
      </c>
      <c r="K109" s="15" t="n">
        <f aca="false">J109*(1+IF(K$3&lt;=$O$2,$D109,$D109-($D109-$I$103)*MIN(K$3-$O$2,$Q$2)/$Q$2))</f>
        <v>28321.8197777532</v>
      </c>
      <c r="L109" s="15" t="n">
        <f aca="false">K109*(1+IF(L$3&lt;=$O$2,$D109,$D109-($D109-$I$103)*MIN(L$3-$O$2,$Q$2)/$Q$2))</f>
        <v>30041.8038928561</v>
      </c>
      <c r="M109" s="15" t="n">
        <f aca="false">L109*(1+IF(M$3&lt;=$O$2,$D109,$D109-($D109-$I$103)*MIN(M$3-$O$2,$Q$2)/$Q$2))</f>
        <v>31379.1147931466</v>
      </c>
      <c r="N109" s="15" t="n">
        <f aca="false">M109*(1+IF(N$3&lt;=$O$2,$D109,$D109-($D109-$I$103)*MIN(N$3-$O$2,$Q$2)/$Q$2))</f>
        <v>32267.1437417927</v>
      </c>
      <c r="O109" s="15" t="n">
        <f aca="false">SUMPRODUCT(E109:N109,1/(1+$F$103)^$E$3:$N$3)*$E$2</f>
        <v>50246.972518498</v>
      </c>
      <c r="P109" s="15" t="n">
        <f aca="false">N109*$E$2*(1+$I$103)/($F$103-$I$103)/(1+$F$103)^$N$3</f>
        <v>84841.6403762257</v>
      </c>
      <c r="Q109" s="15" t="n">
        <f aca="false">O109+P109</f>
        <v>135088.612894724</v>
      </c>
      <c r="R109" s="15" t="n">
        <f aca="false">Q109-$G$2+$I$2</f>
        <v>123468.612894724</v>
      </c>
      <c r="S109" s="40" t="n">
        <f aca="false">R109/$K$2</f>
        <v>418.864242951195</v>
      </c>
      <c r="T109" s="41" t="n">
        <f aca="false">S109-$M$2</f>
        <v>8.88358006148434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0.0625</v>
      </c>
      <c r="C110" s="25" t="n">
        <f aca="false">IF(T109&gt;0,D109,C109)</f>
        <v>0.109375</v>
      </c>
      <c r="D110" s="39" t="n">
        <f aca="false">(B110+C110)/2</f>
        <v>0.0859375</v>
      </c>
      <c r="E110" s="15" t="n">
        <f aca="false">$C$2*(1+IF(E$3&lt;=$O$2,$D110,$D110-($D110-$I$103)*MIN(E$3-$O$2,$Q$2)/$Q$2))</f>
        <v>15547.3671875</v>
      </c>
      <c r="F110" s="15" t="n">
        <f aca="false">E110*(1+IF(F$3&lt;=$O$2,$D110,$D110-($D110-$I$103)*MIN(F$3-$O$2,$Q$2)/$Q$2))</f>
        <v>16883.4690551758</v>
      </c>
      <c r="G110" s="15" t="n">
        <f aca="false">F110*(1+IF(G$3&lt;=$O$2,$D110,$D110-($D110-$I$103)*MIN(G$3-$O$2,$Q$2)/$Q$2))</f>
        <v>18334.392177105</v>
      </c>
      <c r="H110" s="15" t="n">
        <f aca="false">G110*(1+IF(H$3&lt;=$O$2,$D110,$D110-($D110-$I$103)*MIN(H$3-$O$2,$Q$2)/$Q$2))</f>
        <v>19910.0040048249</v>
      </c>
      <c r="I110" s="15" t="n">
        <f aca="false">H110*(1+IF(I$3&lt;=$O$2,$D110,$D110-($D110-$I$103)*MIN(I$3-$O$2,$Q$2)/$Q$2))</f>
        <v>21621.0199739895</v>
      </c>
      <c r="J110" s="15" t="n">
        <f aca="false">I110*(1+IF(J$3&lt;=$O$2,$D110,$D110-($D110-$I$103)*MIN(J$3-$O$2,$Q$2)/$Q$2))</f>
        <v>23229.8400702541</v>
      </c>
      <c r="K110" s="15" t="n">
        <f aca="false">J110*(1+IF(K$3&lt;=$O$2,$D110,$D110-($D110-$I$103)*MIN(K$3-$O$2,$Q$2)/$Q$2))</f>
        <v>24690.5904884719</v>
      </c>
      <c r="L110" s="15" t="n">
        <f aca="false">K110*(1+IF(L$3&lt;=$O$2,$D110,$D110-($D110-$I$103)*MIN(L$3-$O$2,$Q$2)/$Q$2))</f>
        <v>25958.5757630073</v>
      </c>
      <c r="M110" s="15" t="n">
        <f aca="false">L110*(1+IF(M$3&lt;=$O$2,$D110,$D110-($D110-$I$103)*MIN(M$3-$O$2,$Q$2)/$Q$2))</f>
        <v>26992.4409392085</v>
      </c>
      <c r="N110" s="15" t="n">
        <f aca="false">M110*(1+IF(N$3&lt;=$O$2,$D110,$D110-($D110-$I$103)*MIN(N$3-$O$2,$Q$2)/$Q$2))</f>
        <v>27756.3270177881</v>
      </c>
      <c r="O110" s="15" t="n">
        <f aca="false">SUMPRODUCT(E110:N110,1/(1+$F$103)^$E$3:$N$3)*$E$2</f>
        <v>45359.2738657522</v>
      </c>
      <c r="P110" s="15" t="n">
        <f aca="false">N110*$E$2*(1+$I$103)/($F$103-$I$103)/(1+$F$103)^$N$3</f>
        <v>72981.1207912406</v>
      </c>
      <c r="Q110" s="15" t="n">
        <f aca="false">O110+P110</f>
        <v>118340.394656993</v>
      </c>
      <c r="R110" s="15" t="n">
        <f aca="false">Q110-$G$2+$I$2</f>
        <v>106720.394656993</v>
      </c>
      <c r="S110" s="40" t="n">
        <f aca="false">R110/$K$2</f>
        <v>362.046323089164</v>
      </c>
      <c r="T110" s="41" t="n">
        <f aca="false">S110-$M$2</f>
        <v>-47.9343398005466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0.0859375</v>
      </c>
      <c r="C111" s="25" t="n">
        <f aca="false">IF(T110&gt;0,D110,C110)</f>
        <v>0.109375</v>
      </c>
      <c r="D111" s="39" t="n">
        <f aca="false">(B111+C111)/2</f>
        <v>0.09765625</v>
      </c>
      <c r="E111" s="15" t="n">
        <f aca="false">$C$2*(1+IF(E$3&lt;=$O$2,$D111,$D111-($D111-$I$103)*MIN(E$3-$O$2,$Q$2)/$Q$2))</f>
        <v>15715.14453125</v>
      </c>
      <c r="F111" s="15" t="n">
        <f aca="false">E111*(1+IF(F$3&lt;=$O$2,$D111,$D111-($D111-$I$103)*MIN(F$3-$O$2,$Q$2)/$Q$2))</f>
        <v>17249.8266143799</v>
      </c>
      <c r="G111" s="15" t="n">
        <f aca="false">F111*(1+IF(G$3&lt;=$O$2,$D111,$D111-($D111-$I$103)*MIN(G$3-$O$2,$Q$2)/$Q$2))</f>
        <v>18934.3799946904</v>
      </c>
      <c r="H111" s="15" t="n">
        <f aca="false">G111*(1+IF(H$3&lt;=$O$2,$D111,$D111-($D111-$I$103)*MIN(H$3-$O$2,$Q$2)/$Q$2))</f>
        <v>20783.4405410469</v>
      </c>
      <c r="I111" s="15" t="n">
        <f aca="false">H111*(1+IF(I$3&lt;=$O$2,$D111,$D111-($D111-$I$103)*MIN(I$3-$O$2,$Q$2)/$Q$2))</f>
        <v>22813.0734063835</v>
      </c>
      <c r="J111" s="15" t="n">
        <f aca="false">I111*(1+IF(J$3&lt;=$O$2,$D111,$D111-($D111-$I$103)*MIN(J$3-$O$2,$Q$2)/$Q$2))</f>
        <v>24724.4667617374</v>
      </c>
      <c r="K111" s="15" t="n">
        <f aca="false">J111*(1+IF(K$3&lt;=$O$2,$D111,$D111-($D111-$I$103)*MIN(K$3-$O$2,$Q$2)/$Q$2))</f>
        <v>26453.0469498008</v>
      </c>
      <c r="L111" s="15" t="n">
        <f aca="false">K111*(1+IF(L$3&lt;=$O$2,$D111,$D111-($D111-$I$103)*MIN(L$3-$O$2,$Q$2)/$Q$2))</f>
        <v>27935.541833485</v>
      </c>
      <c r="M111" s="15" t="n">
        <f aca="false">L111*(1+IF(M$3&lt;=$O$2,$D111,$D111-($D111-$I$103)*MIN(M$3-$O$2,$Q$2)/$Q$2))</f>
        <v>29113.6185520303</v>
      </c>
      <c r="N111" s="15" t="n">
        <f aca="false">M111*(1+IF(N$3&lt;=$O$2,$D111,$D111-($D111-$I$103)*MIN(N$3-$O$2,$Q$2)/$Q$2))</f>
        <v>29937.5339570528</v>
      </c>
      <c r="O111" s="15" t="n">
        <f aca="false">SUMPRODUCT(E111:N111,1/(1+$F$103)^$E$3:$N$3)*$E$2</f>
        <v>47741.0740427426</v>
      </c>
      <c r="P111" s="15" t="n">
        <f aca="false">N111*$E$2*(1+$I$103)/($F$103-$I$103)/(1+$F$103)^$N$3</f>
        <v>78716.2790131174</v>
      </c>
      <c r="Q111" s="15" t="n">
        <f aca="false">O111+P111</f>
        <v>126457.35305586</v>
      </c>
      <c r="R111" s="15" t="n">
        <f aca="false">Q111-$G$2+$I$2</f>
        <v>114837.35305586</v>
      </c>
      <c r="S111" s="40" t="n">
        <f aca="false">R111/$K$2</f>
        <v>389.582905505513</v>
      </c>
      <c r="T111" s="41" t="n">
        <f aca="false">S111-$M$2</f>
        <v>-20.3977573841977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0.09765625</v>
      </c>
      <c r="C112" s="25" t="n">
        <f aca="false">IF(T111&gt;0,D111,C111)</f>
        <v>0.109375</v>
      </c>
      <c r="D112" s="39" t="n">
        <f aca="false">(B112+C112)/2</f>
        <v>0.103515625</v>
      </c>
      <c r="E112" s="15" t="n">
        <f aca="false">$C$2*(1+IF(E$3&lt;=$O$2,$D112,$D112-($D112-$I$103)*MIN(E$3-$O$2,$Q$2)/$Q$2))</f>
        <v>15799.033203125</v>
      </c>
      <c r="F112" s="15" t="n">
        <f aca="false">E112*(1+IF(F$3&lt;=$O$2,$D112,$D112-($D112-$I$103)*MIN(F$3-$O$2,$Q$2)/$Q$2))</f>
        <v>17434.4799995422</v>
      </c>
      <c r="G112" s="15" t="n">
        <f aca="false">F112*(1+IF(G$3&lt;=$O$2,$D112,$D112-($D112-$I$103)*MIN(G$3-$O$2,$Q$2)/$Q$2))</f>
        <v>19239.2210932449</v>
      </c>
      <c r="H112" s="15" t="n">
        <f aca="false">G112*(1+IF(H$3&lt;=$O$2,$D112,$D112-($D112-$I$103)*MIN(H$3-$O$2,$Q$2)/$Q$2))</f>
        <v>21230.7810892253</v>
      </c>
      <c r="I112" s="15" t="n">
        <f aca="false">H112*(1+IF(I$3&lt;=$O$2,$D112,$D112-($D112-$I$103)*MIN(I$3-$O$2,$Q$2)/$Q$2))</f>
        <v>23428.4986629146</v>
      </c>
      <c r="J112" s="15" t="n">
        <f aca="false">I112*(1+IF(J$3&lt;=$O$2,$D112,$D112-($D112-$I$103)*MIN(J$3-$O$2,$Q$2)/$Q$2))</f>
        <v>25501.2765108693</v>
      </c>
      <c r="K112" s="15" t="n">
        <f aca="false">J112*(1+IF(K$3&lt;=$O$2,$D112,$D112-($D112-$I$103)*MIN(K$3-$O$2,$Q$2)/$Q$2))</f>
        <v>27373.8193067646</v>
      </c>
      <c r="L112" s="15" t="n">
        <f aca="false">K112*(1+IF(L$3&lt;=$O$2,$D112,$D112-($D112-$I$103)*MIN(L$3-$O$2,$Q$2)/$Q$2))</f>
        <v>28972.0739642642</v>
      </c>
      <c r="M112" s="15" t="n">
        <f aca="false">L112*(1+IF(M$3&lt;=$O$2,$D112,$D112-($D112-$I$103)*MIN(M$3-$O$2,$Q$2)/$Q$2))</f>
        <v>30227.8141876066</v>
      </c>
      <c r="N112" s="15" t="n">
        <f aca="false">M112*(1+IF(N$3&lt;=$O$2,$D112,$D112-($D112-$I$103)*MIN(N$3-$O$2,$Q$2)/$Q$2))</f>
        <v>31083.2613291158</v>
      </c>
      <c r="O112" s="15" t="n">
        <f aca="false">SUMPRODUCT(E112:N112,1/(1+$F$103)^$E$3:$N$3)*$E$2</f>
        <v>48978.1448792468</v>
      </c>
      <c r="P112" s="15" t="n">
        <f aca="false">N112*$E$2*(1+$I$103)/($F$103-$I$103)/(1+$F$103)^$N$3</f>
        <v>81728.798201293</v>
      </c>
      <c r="Q112" s="15" t="n">
        <f aca="false">O112+P112</f>
        <v>130706.94308054</v>
      </c>
      <c r="R112" s="15" t="n">
        <f aca="false">Q112-$G$2+$I$2</f>
        <v>119086.94308054</v>
      </c>
      <c r="S112" s="40" t="n">
        <f aca="false">R112/$K$2</f>
        <v>403.999535504088</v>
      </c>
      <c r="T112" s="41" t="n">
        <f aca="false">S112-$M$2</f>
        <v>-5.98112738562298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0.103515625</v>
      </c>
      <c r="C113" s="25" t="n">
        <f aca="false">IF(T112&gt;0,D112,C112)</f>
        <v>0.109375</v>
      </c>
      <c r="D113" s="39" t="n">
        <f aca="false">(B113+C113)/2</f>
        <v>0.1064453125</v>
      </c>
      <c r="E113" s="15" t="n">
        <f aca="false">$C$2*(1+IF(E$3&lt;=$O$2,$D113,$D113-($D113-$I$103)*MIN(E$3-$O$2,$Q$2)/$Q$2))</f>
        <v>15840.9775390625</v>
      </c>
      <c r="F113" s="15" t="n">
        <f aca="false">E113*(1+IF(F$3&lt;=$O$2,$D113,$D113-($D113-$I$103)*MIN(F$3-$O$2,$Q$2)/$Q$2))</f>
        <v>17527.1753435135</v>
      </c>
      <c r="G113" s="15" t="n">
        <f aca="false">F113*(1+IF(G$3&lt;=$O$2,$D113,$D113-($D113-$I$103)*MIN(G$3-$O$2,$Q$2)/$Q$2))</f>
        <v>19392.8610001961</v>
      </c>
      <c r="H113" s="15" t="n">
        <f aca="false">G113*(1+IF(H$3&lt;=$O$2,$D113,$D113-($D113-$I$103)*MIN(H$3-$O$2,$Q$2)/$Q$2))</f>
        <v>21457.140149631</v>
      </c>
      <c r="I113" s="15" t="n">
        <f aca="false">H113*(1+IF(I$3&lt;=$O$2,$D113,$D113-($D113-$I$103)*MIN(I$3-$O$2,$Q$2)/$Q$2))</f>
        <v>23741.1521382148</v>
      </c>
      <c r="J113" s="15" t="n">
        <f aca="false">I113*(1+IF(J$3&lt;=$O$2,$D113,$D113-($D113-$I$103)*MIN(J$3-$O$2,$Q$2)/$Q$2))</f>
        <v>25897.2345460869</v>
      </c>
      <c r="K113" s="15" t="n">
        <f aca="false">J113*(1+IF(K$3&lt;=$O$2,$D113,$D113-($D113-$I$103)*MIN(K$3-$O$2,$Q$2)/$Q$2))</f>
        <v>27844.374775635</v>
      </c>
      <c r="L113" s="15" t="n">
        <f aca="false">K113*(1+IF(L$3&lt;=$O$2,$D113,$D113-($D113-$I$103)*MIN(L$3-$O$2,$Q$2)/$Q$2))</f>
        <v>29502.7335290692</v>
      </c>
      <c r="M113" s="15" t="n">
        <f aca="false">L113*(1+IF(M$3&lt;=$O$2,$D113,$D113-($D113-$I$103)*MIN(M$3-$O$2,$Q$2)/$Q$2))</f>
        <v>30798.7609541885</v>
      </c>
      <c r="N113" s="15" t="n">
        <f aca="false">M113*(1+IF(N$3&lt;=$O$2,$D113,$D113-($D113-$I$103)*MIN(N$3-$O$2,$Q$2)/$Q$2))</f>
        <v>31670.365889192</v>
      </c>
      <c r="O113" s="15" t="n">
        <f aca="false">SUMPRODUCT(E113:N113,1/(1+$F$103)^$E$3:$N$3)*$E$2</f>
        <v>49608.5425172698</v>
      </c>
      <c r="P113" s="15" t="n">
        <f aca="false">N113*$E$2*(1+$I$103)/($F$103-$I$103)/(1+$F$103)^$N$3</f>
        <v>83272.5020490157</v>
      </c>
      <c r="Q113" s="15" t="n">
        <f aca="false">O113+P113</f>
        <v>132881.044566286</v>
      </c>
      <c r="R113" s="15" t="n">
        <f aca="false">Q113-$G$2+$I$2</f>
        <v>121261.044566286</v>
      </c>
      <c r="S113" s="40" t="n">
        <f aca="false">R113/$K$2</f>
        <v>411.375121505871</v>
      </c>
      <c r="T113" s="41" t="n">
        <f aca="false">S113-$M$2</f>
        <v>1.39445861616014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0.103515625</v>
      </c>
      <c r="C114" s="25" t="n">
        <f aca="false">IF(T113&gt;0,D113,C113)</f>
        <v>0.1064453125</v>
      </c>
      <c r="D114" s="39" t="n">
        <f aca="false">(B114+C114)/2</f>
        <v>0.10498046875</v>
      </c>
      <c r="E114" s="15" t="n">
        <f aca="false">$C$2*(1+IF(E$3&lt;=$O$2,$D114,$D114-($D114-$I$103)*MIN(E$3-$O$2,$Q$2)/$Q$2))</f>
        <v>15820.0053710938</v>
      </c>
      <c r="F114" s="15" t="n">
        <f aca="false">E114*(1+IF(F$3&lt;=$O$2,$D114,$D114-($D114-$I$103)*MIN(F$3-$O$2,$Q$2)/$Q$2))</f>
        <v>17480.7969505787</v>
      </c>
      <c r="G114" s="15" t="n">
        <f aca="false">F114*(1+IF(G$3&lt;=$O$2,$D114,$D114-($D114-$I$103)*MIN(G$3-$O$2,$Q$2)/$Q$2))</f>
        <v>19315.939208574</v>
      </c>
      <c r="H114" s="15" t="n">
        <f aca="false">G114*(1+IF(H$3&lt;=$O$2,$D114,$D114-($D114-$I$103)*MIN(H$3-$O$2,$Q$2)/$Q$2))</f>
        <v>21343.7355610366</v>
      </c>
      <c r="I114" s="15" t="n">
        <f aca="false">H114*(1+IF(I$3&lt;=$O$2,$D114,$D114-($D114-$I$103)*MIN(I$3-$O$2,$Q$2)/$Q$2))</f>
        <v>23584.4109251103</v>
      </c>
      <c r="J114" s="15" t="n">
        <f aca="false">I114*(1+IF(J$3&lt;=$O$2,$D114,$D114-($D114-$I$103)*MIN(J$3-$O$2,$Q$2)/$Q$2))</f>
        <v>25698.620702235</v>
      </c>
      <c r="K114" s="15" t="n">
        <f aca="false">J114*(1+IF(K$3&lt;=$O$2,$D114,$D114-($D114-$I$103)*MIN(K$3-$O$2,$Q$2)/$Q$2))</f>
        <v>27608.2410371137</v>
      </c>
      <c r="L114" s="15" t="n">
        <f aca="false">K114*(1+IF(L$3&lt;=$O$2,$D114,$D114-($D114-$I$103)*MIN(L$3-$O$2,$Q$2)/$Q$2))</f>
        <v>29236.3594040996</v>
      </c>
      <c r="M114" s="15" t="n">
        <f aca="false">L114*(1+IF(M$3&lt;=$O$2,$D114,$D114-($D114-$I$103)*MIN(M$3-$O$2,$Q$2)/$Q$2))</f>
        <v>30512.1199239656</v>
      </c>
      <c r="N114" s="15" t="n">
        <f aca="false">M114*(1+IF(N$3&lt;=$O$2,$D114,$D114-($D114-$I$103)*MIN(N$3-$O$2,$Q$2)/$Q$2))</f>
        <v>31375.6129178138</v>
      </c>
      <c r="O114" s="15" t="n">
        <f aca="false">SUMPRODUCT(E114:N114,1/(1+$F$103)^$E$3:$N$3)*$E$2</f>
        <v>49292.3455123858</v>
      </c>
      <c r="P114" s="15" t="n">
        <f aca="false">N114*$E$2*(1+$I$103)/($F$103-$I$103)/(1+$F$103)^$N$3</f>
        <v>82497.4930864125</v>
      </c>
      <c r="Q114" s="15" t="n">
        <f aca="false">O114+P114</f>
        <v>131789.838598798</v>
      </c>
      <c r="R114" s="15" t="n">
        <f aca="false">Q114-$G$2+$I$2</f>
        <v>120169.838598798</v>
      </c>
      <c r="S114" s="40" t="n">
        <f aca="false">R114/$K$2</f>
        <v>407.673232007322</v>
      </c>
      <c r="T114" s="41" t="n">
        <f aca="false">S114-$M$2</f>
        <v>-2.30743088238887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0.10498046875</v>
      </c>
      <c r="C115" s="25" t="n">
        <f aca="false">IF(T114&gt;0,D114,C114)</f>
        <v>0.1064453125</v>
      </c>
      <c r="D115" s="39" t="n">
        <f aca="false">(B115+C115)/2</f>
        <v>0.105712890625</v>
      </c>
      <c r="E115" s="15" t="n">
        <f aca="false">$C$2*(1+IF(E$3&lt;=$O$2,$D115,$D115-($D115-$I$103)*MIN(E$3-$O$2,$Q$2)/$Q$2))</f>
        <v>15830.4914550781</v>
      </c>
      <c r="F115" s="15" t="n">
        <f aca="false">E115*(1+IF(F$3&lt;=$O$2,$D115,$D115-($D115-$I$103)*MIN(F$3-$O$2,$Q$2)/$Q$2))</f>
        <v>17503.9784668088</v>
      </c>
      <c r="G115" s="15" t="n">
        <f aca="false">F115*(1+IF(G$3&lt;=$O$2,$D115,$D115-($D115-$I$103)*MIN(G$3-$O$2,$Q$2)/$Q$2))</f>
        <v>19354.3746279729</v>
      </c>
      <c r="H115" s="15" t="n">
        <f aca="false">G115*(1+IF(H$3&lt;=$O$2,$D115,$D115-($D115-$I$103)*MIN(H$3-$O$2,$Q$2)/$Q$2))</f>
        <v>21400.3815161351</v>
      </c>
      <c r="I115" s="15" t="n">
        <f aca="false">H115*(1+IF(I$3&lt;=$O$2,$D115,$D115-($D115-$I$103)*MIN(I$3-$O$2,$Q$2)/$Q$2))</f>
        <v>23662.6777066835</v>
      </c>
      <c r="J115" s="15" t="n">
        <f aca="false">I115*(1+IF(J$3&lt;=$O$2,$D115,$D115-($D115-$I$103)*MIN(J$3-$O$2,$Q$2)/$Q$2))</f>
        <v>25797.7685107444</v>
      </c>
      <c r="K115" s="15" t="n">
        <f aca="false">J115*(1+IF(K$3&lt;=$O$2,$D115,$D115-($D115-$I$103)*MIN(K$3-$O$2,$Q$2)/$Q$2))</f>
        <v>27726.0932588532</v>
      </c>
      <c r="L115" s="15" t="n">
        <f aca="false">K115*(1+IF(L$3&lt;=$O$2,$D115,$D115-($D115-$I$103)*MIN(L$3-$O$2,$Q$2)/$Q$2))</f>
        <v>29369.2845080412</v>
      </c>
      <c r="M115" s="15" t="n">
        <f aca="false">L115*(1+IF(M$3&lt;=$O$2,$D115,$D115-($D115-$I$103)*MIN(M$3-$O$2,$Q$2)/$Q$2))</f>
        <v>30655.1475014899</v>
      </c>
      <c r="N115" s="15" t="n">
        <f aca="false">M115*(1+IF(N$3&lt;=$O$2,$D115,$D115-($D115-$I$103)*MIN(N$3-$O$2,$Q$2)/$Q$2))</f>
        <v>31522.6881757821</v>
      </c>
      <c r="O115" s="15" t="n">
        <f aca="false">SUMPRODUCT(E115:N115,1/(1+$F$103)^$E$3:$N$3)*$E$2</f>
        <v>49450.1937382336</v>
      </c>
      <c r="P115" s="15" t="n">
        <f aca="false">N115*$E$2*(1+$I$103)/($F$103-$I$103)/(1+$F$103)^$N$3</f>
        <v>82884.2055343638</v>
      </c>
      <c r="Q115" s="15" t="n">
        <f aca="false">O115+P115</f>
        <v>132334.399272597</v>
      </c>
      <c r="R115" s="15" t="n">
        <f aca="false">Q115-$G$2+$I$2</f>
        <v>120714.399272597</v>
      </c>
      <c r="S115" s="40" t="n">
        <f aca="false">R115/$K$2</f>
        <v>409.520640745658</v>
      </c>
      <c r="T115" s="41" t="n">
        <f aca="false">S115-$M$2</f>
        <v>-0.460022144053085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0.105712890625</v>
      </c>
      <c r="C116" s="25" t="n">
        <f aca="false">IF(T115&gt;0,D115,C115)</f>
        <v>0.1064453125</v>
      </c>
      <c r="D116" s="39" t="n">
        <f aca="false">(B116+C116)/2</f>
        <v>0.1060791015625</v>
      </c>
      <c r="E116" s="15" t="n">
        <f aca="false">$C$2*(1+IF(E$3&lt;=$O$2,$D116,$D116-($D116-$I$103)*MIN(E$3-$O$2,$Q$2)/$Q$2))</f>
        <v>15835.7344970703</v>
      </c>
      <c r="F116" s="15" t="n">
        <f aca="false">E116*(1+IF(F$3&lt;=$O$2,$D116,$D116-($D116-$I$103)*MIN(F$3-$O$2,$Q$2)/$Q$2))</f>
        <v>17515.5749851018</v>
      </c>
      <c r="G116" s="15" t="n">
        <f aca="false">F116*(1+IF(G$3&lt;=$O$2,$D116,$D116-($D116-$I$103)*MIN(G$3-$O$2,$Q$2)/$Q$2))</f>
        <v>19373.611442872</v>
      </c>
      <c r="H116" s="15" t="n">
        <f aca="false">G116*(1+IF(H$3&lt;=$O$2,$D116,$D116-($D116-$I$103)*MIN(H$3-$O$2,$Q$2)/$Q$2))</f>
        <v>21428.7467387529</v>
      </c>
      <c r="I116" s="15" t="n">
        <f aca="false">H116*(1+IF(I$3&lt;=$O$2,$D116,$D116-($D116-$I$103)*MIN(I$3-$O$2,$Q$2)/$Q$2))</f>
        <v>23701.8889404101</v>
      </c>
      <c r="J116" s="15" t="n">
        <f aca="false">I116*(1+IF(J$3&lt;=$O$2,$D116,$D116-($D116-$I$103)*MIN(J$3-$O$2,$Q$2)/$Q$2))</f>
        <v>25847.4616991191</v>
      </c>
      <c r="K116" s="15" t="n">
        <f aca="false">J116*(1+IF(K$3&lt;=$O$2,$D116,$D116-($D116-$I$103)*MIN(K$3-$O$2,$Q$2)/$Q$2))</f>
        <v>27785.1802743814</v>
      </c>
      <c r="L116" s="15" t="n">
        <f aca="false">K116*(1+IF(L$3&lt;=$O$2,$D116,$D116-($D116-$I$103)*MIN(L$3-$O$2,$Q$2)/$Q$2))</f>
        <v>29435.9434195437</v>
      </c>
      <c r="M116" s="15" t="n">
        <f aca="false">L116*(1+IF(M$3&lt;=$O$2,$D116,$D116-($D116-$I$103)*MIN(M$3-$O$2,$Q$2)/$Q$2))</f>
        <v>30726.8808648802</v>
      </c>
      <c r="N116" s="15" t="n">
        <f aca="false">M116*(1+IF(N$3&lt;=$O$2,$D116,$D116-($D116-$I$103)*MIN(N$3-$O$2,$Q$2)/$Q$2))</f>
        <v>31596.4515933563</v>
      </c>
      <c r="O116" s="15" t="n">
        <f aca="false">SUMPRODUCT(E116:N116,1/(1+$F$103)^$E$3:$N$3)*$E$2</f>
        <v>49529.3054671352</v>
      </c>
      <c r="P116" s="15" t="n">
        <f aca="false">N116*$E$2*(1+$I$103)/($F$103-$I$103)/(1+$F$103)^$N$3</f>
        <v>83078.1554357505</v>
      </c>
      <c r="Q116" s="15" t="n">
        <f aca="false">O116+P116</f>
        <v>132607.460902886</v>
      </c>
      <c r="R116" s="15" t="n">
        <f aca="false">Q116-$G$2+$I$2</f>
        <v>120987.460902886</v>
      </c>
      <c r="S116" s="40" t="n">
        <f aca="false">R116/$K$2</f>
        <v>410.446995633497</v>
      </c>
      <c r="T116" s="41" t="n">
        <f aca="false">S116-$M$2</f>
        <v>0.466332743785983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0.105712890625</v>
      </c>
      <c r="C117" s="25" t="n">
        <f aca="false">IF(T116&gt;0,D116,C116)</f>
        <v>0.1060791015625</v>
      </c>
      <c r="D117" s="39" t="n">
        <f aca="false">(B117+C117)/2</f>
        <v>0.10589599609375</v>
      </c>
      <c r="E117" s="15" t="n">
        <f aca="false">$C$2*(1+IF(E$3&lt;=$O$2,$D117,$D117-($D117-$I$103)*MIN(E$3-$O$2,$Q$2)/$Q$2))</f>
        <v>15833.1129760742</v>
      </c>
      <c r="F117" s="15" t="n">
        <f aca="false">E117*(1+IF(F$3&lt;=$O$2,$D117,$D117-($D117-$I$103)*MIN(F$3-$O$2,$Q$2)/$Q$2))</f>
        <v>17509.7762459405</v>
      </c>
      <c r="G117" s="15" t="n">
        <f aca="false">F117*(1+IF(G$3&lt;=$O$2,$D117,$D117-($D117-$I$103)*MIN(G$3-$O$2,$Q$2)/$Q$2))</f>
        <v>19363.991442883</v>
      </c>
      <c r="H117" s="15" t="n">
        <f aca="false">G117*(1+IF(H$3&lt;=$O$2,$D117,$D117-($D117-$I$103)*MIN(H$3-$O$2,$Q$2)/$Q$2))</f>
        <v>21414.560605078</v>
      </c>
      <c r="I117" s="15" t="n">
        <f aca="false">H117*(1+IF(I$3&lt;=$O$2,$D117,$D117-($D117-$I$103)*MIN(I$3-$O$2,$Q$2)/$Q$2))</f>
        <v>23682.2768312627</v>
      </c>
      <c r="J117" s="15" t="n">
        <f aca="false">I117*(1+IF(J$3&lt;=$O$2,$D117,$D117-($D117-$I$103)*MIN(J$3-$O$2,$Q$2)/$Q$2))</f>
        <v>25822.6051539792</v>
      </c>
      <c r="K117" s="15" t="n">
        <f aca="false">J117*(1+IF(K$3&lt;=$O$2,$D117,$D117-($D117-$I$103)*MIN(K$3-$O$2,$Q$2)/$Q$2))</f>
        <v>27755.623341032</v>
      </c>
      <c r="L117" s="15" t="n">
        <f aca="false">K117*(1+IF(L$3&lt;=$O$2,$D117,$D117-($D117-$I$103)*MIN(L$3-$O$2,$Q$2)/$Q$2))</f>
        <v>29402.5975777234</v>
      </c>
      <c r="M117" s="15" t="n">
        <f aca="false">L117*(1+IF(M$3&lt;=$O$2,$D117,$D117-($D117-$I$103)*MIN(M$3-$O$2,$Q$2)/$Q$2))</f>
        <v>30690.9958585303</v>
      </c>
      <c r="N117" s="15" t="n">
        <f aca="false">M117*(1+IF(N$3&lt;=$O$2,$D117,$D117-($D117-$I$103)*MIN(N$3-$O$2,$Q$2)/$Q$2))</f>
        <v>31559.5510413268</v>
      </c>
      <c r="O117" s="15" t="n">
        <f aca="false">SUMPRODUCT(E117:N117,1/(1+$F$103)^$E$3:$N$3)*$E$2</f>
        <v>49489.7339489729</v>
      </c>
      <c r="P117" s="15" t="n">
        <f aca="false">N117*$E$2*(1+$I$103)/($F$103-$I$103)/(1+$F$103)^$N$3</f>
        <v>82981.1309395625</v>
      </c>
      <c r="Q117" s="15" t="n">
        <f aca="false">O117+P117</f>
        <v>132470.864888535</v>
      </c>
      <c r="R117" s="15" t="n">
        <f aca="false">Q117-$G$2+$I$2</f>
        <v>120850.864888535</v>
      </c>
      <c r="S117" s="40" t="n">
        <f aca="false">R117/$K$2</f>
        <v>409.983597002868</v>
      </c>
      <c r="T117" s="41" t="n">
        <f aca="false">S117-$M$2</f>
        <v>0.00293411315738013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0.105712890625</v>
      </c>
      <c r="C118" s="25" t="n">
        <f aca="false">IF(T117&gt;0,D117,C117)</f>
        <v>0.10589599609375</v>
      </c>
      <c r="D118" s="39" t="n">
        <f aca="false">(B118+C118)/2</f>
        <v>0.105804443359375</v>
      </c>
      <c r="E118" s="15" t="n">
        <f aca="false">$C$2*(1+IF(E$3&lt;=$O$2,$D118,$D118-($D118-$I$103)*MIN(E$3-$O$2,$Q$2)/$Q$2))</f>
        <v>15831.8022155762</v>
      </c>
      <c r="F118" s="15" t="n">
        <f aca="false">E118*(1+IF(F$3&lt;=$O$2,$D118,$D118-($D118-$I$103)*MIN(F$3-$O$2,$Q$2)/$Q$2))</f>
        <v>17506.8772363709</v>
      </c>
      <c r="G118" s="15" t="n">
        <f aca="false">F118*(1+IF(G$3&lt;=$O$2,$D118,$D118-($D118-$I$103)*MIN(G$3-$O$2,$Q$2)/$Q$2))</f>
        <v>19359.1826373261</v>
      </c>
      <c r="H118" s="15" t="n">
        <f aca="false">G118*(1+IF(H$3&lt;=$O$2,$D118,$D118-($D118-$I$103)*MIN(H$3-$O$2,$Q$2)/$Q$2))</f>
        <v>21407.4701801608</v>
      </c>
      <c r="I118" s="15" t="n">
        <f aca="false">H118*(1+IF(I$3&lt;=$O$2,$D118,$D118-($D118-$I$103)*MIN(I$3-$O$2,$Q$2)/$Q$2))</f>
        <v>23672.4756463052</v>
      </c>
      <c r="J118" s="15" t="n">
        <f aca="false">I118*(1+IF(J$3&lt;=$O$2,$D118,$D118-($D118-$I$103)*MIN(J$3-$O$2,$Q$2)/$Q$2))</f>
        <v>25810.1843454198</v>
      </c>
      <c r="K118" s="15" t="n">
        <f aca="false">J118*(1+IF(K$3&lt;=$O$2,$D118,$D118-($D118-$I$103)*MIN(K$3-$O$2,$Q$2)/$Q$2))</f>
        <v>27740.8549448119</v>
      </c>
      <c r="L118" s="15" t="n">
        <f aca="false">K118*(1+IF(L$3&lt;=$O$2,$D118,$D118-($D118-$I$103)*MIN(L$3-$O$2,$Q$2)/$Q$2))</f>
        <v>29385.9369480744</v>
      </c>
      <c r="M118" s="15" t="n">
        <f aca="false">L118*(1+IF(M$3&lt;=$O$2,$D118,$D118-($D118-$I$103)*MIN(M$3-$O$2,$Q$2)/$Q$2))</f>
        <v>30673.0671008558</v>
      </c>
      <c r="N118" s="15" t="n">
        <f aca="false">M118*(1+IF(N$3&lt;=$O$2,$D118,$D118-($D118-$I$103)*MIN(N$3-$O$2,$Q$2)/$Q$2))</f>
        <v>31541.11489981</v>
      </c>
      <c r="O118" s="15" t="n">
        <f aca="false">SUMPRODUCT(E118:N118,1/(1+$F$103)^$E$3:$N$3)*$E$2</f>
        <v>49469.9599316049</v>
      </c>
      <c r="P118" s="15" t="n">
        <f aca="false">N118*$E$2*(1+$I$103)/($F$103-$I$103)/(1+$F$103)^$N$3</f>
        <v>82932.6558560223</v>
      </c>
      <c r="Q118" s="15" t="n">
        <f aca="false">O118+P118</f>
        <v>132402.615787627</v>
      </c>
      <c r="R118" s="15" t="n">
        <f aca="false">Q118-$G$2+$I$2</f>
        <v>120782.615787627</v>
      </c>
      <c r="S118" s="40" t="n">
        <f aca="false">R118/$K$2</f>
        <v>409.752063600866</v>
      </c>
      <c r="T118" s="41" t="n">
        <f aca="false">S118-$M$2</f>
        <v>-0.228599288845089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0.105804443359375</v>
      </c>
      <c r="C119" s="25" t="n">
        <f aca="false">IF(T118&gt;0,D118,C118)</f>
        <v>0.10589599609375</v>
      </c>
      <c r="D119" s="39" t="n">
        <f aca="false">(B119+C119)/2</f>
        <v>0.105850219726563</v>
      </c>
      <c r="E119" s="15" t="n">
        <f aca="false">$C$2*(1+IF(E$3&lt;=$O$2,$D119,$D119-($D119-$I$103)*MIN(E$3-$O$2,$Q$2)/$Q$2))</f>
        <v>15832.4575958252</v>
      </c>
      <c r="F119" s="15" t="n">
        <f aca="false">E119*(1+IF(F$3&lt;=$O$2,$D119,$D119-($D119-$I$103)*MIN(F$3-$O$2,$Q$2)/$Q$2))</f>
        <v>17508.3267111548</v>
      </c>
      <c r="G119" s="15" t="n">
        <f aca="false">F119*(1+IF(G$3&lt;=$O$2,$D119,$D119-($D119-$I$103)*MIN(G$3-$O$2,$Q$2)/$Q$2))</f>
        <v>19361.586940575</v>
      </c>
      <c r="H119" s="15" t="n">
        <f aca="false">G119*(1+IF(H$3&lt;=$O$2,$D119,$D119-($D119-$I$103)*MIN(H$3-$O$2,$Q$2)/$Q$2))</f>
        <v>21411.0151724898</v>
      </c>
      <c r="I119" s="15" t="n">
        <f aca="false">H119*(1+IF(I$3&lt;=$O$2,$D119,$D119-($D119-$I$103)*MIN(I$3-$O$2,$Q$2)/$Q$2))</f>
        <v>23677.3758330666</v>
      </c>
      <c r="J119" s="15" t="n">
        <f aca="false">I119*(1+IF(J$3&lt;=$O$2,$D119,$D119-($D119-$I$103)*MIN(J$3-$O$2,$Q$2)/$Q$2))</f>
        <v>25816.3941278645</v>
      </c>
      <c r="K119" s="15" t="n">
        <f aca="false">J119*(1+IF(K$3&lt;=$O$2,$D119,$D119-($D119-$I$103)*MIN(K$3-$O$2,$Q$2)/$Q$2))</f>
        <v>27748.2383039811</v>
      </c>
      <c r="L119" s="15" t="n">
        <f aca="false">K119*(1+IF(L$3&lt;=$O$2,$D119,$D119-($D119-$I$103)*MIN(L$3-$O$2,$Q$2)/$Q$2))</f>
        <v>29394.2662389833</v>
      </c>
      <c r="M119" s="15" t="n">
        <f aca="false">L119*(1+IF(M$3&lt;=$O$2,$D119,$D119-($D119-$I$103)*MIN(M$3-$O$2,$Q$2)/$Q$2))</f>
        <v>30682.0303346534</v>
      </c>
      <c r="N119" s="15" t="n">
        <f aca="false">M119*(1+IF(N$3&lt;=$O$2,$D119,$D119-($D119-$I$103)*MIN(N$3-$O$2,$Q$2)/$Q$2))</f>
        <v>31550.3317931241</v>
      </c>
      <c r="O119" s="15" t="n">
        <f aca="false">SUMPRODUCT(E119:N119,1/(1+$F$103)^$E$3:$N$3)*$E$2</f>
        <v>49479.8459621106</v>
      </c>
      <c r="P119" s="15" t="n">
        <f aca="false">N119*$E$2*(1+$I$103)/($F$103-$I$103)/(1+$F$103)^$N$3</f>
        <v>82956.8903018782</v>
      </c>
      <c r="Q119" s="15" t="n">
        <f aca="false">O119+P119</f>
        <v>132436.736263989</v>
      </c>
      <c r="R119" s="15" t="n">
        <f aca="false">Q119-$G$2+$I$2</f>
        <v>120816.736263989</v>
      </c>
      <c r="S119" s="40" t="n">
        <f aca="false">R119/$K$2</f>
        <v>409.867816480608</v>
      </c>
      <c r="T119" s="41" t="n">
        <f aca="false">S119-$M$2</f>
        <v>-0.112846409102531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0.105850219726563</v>
      </c>
      <c r="C120" s="25" t="n">
        <f aca="false">IF(T119&gt;0,D119,C119)</f>
        <v>0.10589599609375</v>
      </c>
      <c r="D120" s="39" t="n">
        <f aca="false">(B120+C120)/2</f>
        <v>0.105873107910156</v>
      </c>
      <c r="E120" s="15" t="n">
        <f aca="false">$C$2*(1+IF(E$3&lt;=$O$2,$D120,$D120-($D120-$I$103)*MIN(E$3-$O$2,$Q$2)/$Q$2))</f>
        <v>15832.7852859497</v>
      </c>
      <c r="F120" s="15" t="n">
        <f aca="false">E120*(1+IF(F$3&lt;=$O$2,$D120,$D120-($D120-$I$103)*MIN(F$3-$O$2,$Q$2)/$Q$2))</f>
        <v>17509.0514710474</v>
      </c>
      <c r="G120" s="15" t="n">
        <f aca="false">F120*(1+IF(G$3&lt;=$O$2,$D120,$D120-($D120-$I$103)*MIN(G$3-$O$2,$Q$2)/$Q$2))</f>
        <v>19362.7891668461</v>
      </c>
      <c r="H120" s="15" t="n">
        <f aca="false">G120*(1+IF(H$3&lt;=$O$2,$D120,$D120-($D120-$I$103)*MIN(H$3-$O$2,$Q$2)/$Q$2))</f>
        <v>21412.7878337492</v>
      </c>
      <c r="I120" s="15" t="n">
        <f aca="false">H120*(1+IF(I$3&lt;=$O$2,$D120,$D120-($D120-$I$103)*MIN(I$3-$O$2,$Q$2)/$Q$2))</f>
        <v>23679.826230729</v>
      </c>
      <c r="J120" s="15" t="n">
        <f aca="false">I120*(1+IF(J$3&lt;=$O$2,$D120,$D120-($D120-$I$103)*MIN(J$3-$O$2,$Q$2)/$Q$2))</f>
        <v>25819.4994854507</v>
      </c>
      <c r="K120" s="15" t="n">
        <f aca="false">J120*(1+IF(K$3&lt;=$O$2,$D120,$D120-($D120-$I$103)*MIN(K$3-$O$2,$Q$2)/$Q$2))</f>
        <v>27751.9306127516</v>
      </c>
      <c r="L120" s="15" t="n">
        <f aca="false">K120*(1+IF(L$3&lt;=$O$2,$D120,$D120-($D120-$I$103)*MIN(L$3-$O$2,$Q$2)/$Q$2))</f>
        <v>29398.4316523477</v>
      </c>
      <c r="M120" s="15" t="n">
        <f aca="false">L120*(1+IF(M$3&lt;=$O$2,$D120,$D120-($D120-$I$103)*MIN(M$3-$O$2,$Q$2)/$Q$2))</f>
        <v>30686.5128103005</v>
      </c>
      <c r="N120" s="15" t="n">
        <f aca="false">M120*(1+IF(N$3&lt;=$O$2,$D120,$D120-($D120-$I$103)*MIN(N$3-$O$2,$Q$2)/$Q$2))</f>
        <v>31554.941122832</v>
      </c>
      <c r="O120" s="15" t="n">
        <f aca="false">SUMPRODUCT(E120:N120,1/(1+$F$103)^$E$3:$N$3)*$E$2</f>
        <v>49484.7897109748</v>
      </c>
      <c r="P120" s="15" t="n">
        <f aca="false">N120*$E$2*(1+$I$103)/($F$103-$I$103)/(1+$F$103)^$N$3</f>
        <v>82969.009846657</v>
      </c>
      <c r="Q120" s="15" t="n">
        <f aca="false">O120+P120</f>
        <v>132453.799557632</v>
      </c>
      <c r="R120" s="15" t="n">
        <f aca="false">Q120-$G$2+$I$2</f>
        <v>120833.799557632</v>
      </c>
      <c r="S120" s="40" t="n">
        <f aca="false">R120/$K$2</f>
        <v>409.92570328606</v>
      </c>
      <c r="T120" s="41" t="n">
        <f aca="false">S120-$M$2</f>
        <v>-0.054959603650957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0.105873107910156</v>
      </c>
      <c r="C121" s="25" t="n">
        <f aca="false">IF(T120&gt;0,D120,C120)</f>
        <v>0.10589599609375</v>
      </c>
      <c r="D121" s="39" t="n">
        <f aca="false">(B121+C121)/2</f>
        <v>0.105884552001953</v>
      </c>
      <c r="E121" s="15" t="n">
        <f aca="false">$C$2*(1+IF(E$3&lt;=$O$2,$D121,$D121-($D121-$I$103)*MIN(E$3-$O$2,$Q$2)/$Q$2))</f>
        <v>15832.949131012</v>
      </c>
      <c r="F121" s="15" t="n">
        <f aca="false">E121*(1+IF(F$3&lt;=$O$2,$D121,$D121-($D121-$I$103)*MIN(F$3-$O$2,$Q$2)/$Q$2))</f>
        <v>17509.4138566189</v>
      </c>
      <c r="G121" s="15" t="n">
        <f aca="false">F121*(1+IF(G$3&lt;=$O$2,$D121,$D121-($D121-$I$103)*MIN(G$3-$O$2,$Q$2)/$Q$2))</f>
        <v>19363.3902986438</v>
      </c>
      <c r="H121" s="15" t="n">
        <f aca="false">G121*(1+IF(H$3&lt;=$O$2,$D121,$D121-($D121-$I$103)*MIN(H$3-$O$2,$Q$2)/$Q$2))</f>
        <v>21413.6742056546</v>
      </c>
      <c r="I121" s="15" t="n">
        <f aca="false">H121*(1+IF(I$3&lt;=$O$2,$D121,$D121-($D121-$I$103)*MIN(I$3-$O$2,$Q$2)/$Q$2))</f>
        <v>23681.0515056361</v>
      </c>
      <c r="J121" s="15" t="n">
        <f aca="false">I121*(1+IF(J$3&lt;=$O$2,$D121,$D121-($D121-$I$103)*MIN(J$3-$O$2,$Q$2)/$Q$2))</f>
        <v>25821.0522808456</v>
      </c>
      <c r="K121" s="15" t="n">
        <f aca="false">J121*(1+IF(K$3&lt;=$O$2,$D121,$D121-($D121-$I$103)*MIN(K$3-$O$2,$Q$2)/$Q$2))</f>
        <v>27753.7769244506</v>
      </c>
      <c r="L121" s="15" t="n">
        <f aca="false">K121*(1+IF(L$3&lt;=$O$2,$D121,$D121-($D121-$I$103)*MIN(L$3-$O$2,$Q$2)/$Q$2))</f>
        <v>29400.5145510308</v>
      </c>
      <c r="M121" s="15" t="n">
        <f aca="false">L121*(1+IF(M$3&lt;=$O$2,$D121,$D121-($D121-$I$103)*MIN(M$3-$O$2,$Q$2)/$Q$2))</f>
        <v>30688.7542628387</v>
      </c>
      <c r="N121" s="15" t="n">
        <f aca="false">M121*(1+IF(N$3&lt;=$O$2,$D121,$D121-($D121-$I$103)*MIN(N$3-$O$2,$Q$2)/$Q$2))</f>
        <v>31557.246008477</v>
      </c>
      <c r="O121" s="15" t="n">
        <f aca="false">SUMPRODUCT(E121:N121,1/(1+$F$103)^$E$3:$N$3)*$E$2</f>
        <v>49487.2617688293</v>
      </c>
      <c r="P121" s="15" t="n">
        <f aca="false">N121*$E$2*(1+$I$103)/($F$103-$I$103)/(1+$F$103)^$N$3</f>
        <v>82975.0701995833</v>
      </c>
      <c r="Q121" s="15" t="n">
        <f aca="false">O121+P121</f>
        <v>132462.331968413</v>
      </c>
      <c r="R121" s="15" t="n">
        <f aca="false">Q121-$G$2+$I$2</f>
        <v>120842.331968413</v>
      </c>
      <c r="S121" s="40" t="n">
        <f aca="false">R121/$K$2</f>
        <v>409.954649280499</v>
      </c>
      <c r="T121" s="41" t="n">
        <f aca="false">S121-$M$2</f>
        <v>-0.0260136092118728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0.105884552001953</v>
      </c>
      <c r="C122" s="25" t="n">
        <f aca="false">IF(T121&gt;0,D121,C121)</f>
        <v>0.10589599609375</v>
      </c>
      <c r="D122" s="39" t="n">
        <f aca="false">(B122+C122)/2</f>
        <v>0.105890274047852</v>
      </c>
      <c r="E122" s="15" t="n">
        <f aca="false">$C$2*(1+IF(E$3&lt;=$O$2,$D122,$D122-($D122-$I$103)*MIN(E$3-$O$2,$Q$2)/$Q$2))</f>
        <v>15833.0310535431</v>
      </c>
      <c r="F122" s="15" t="n">
        <f aca="false">E122*(1+IF(F$3&lt;=$O$2,$D122,$D122-($D122-$I$103)*MIN(F$3-$O$2,$Q$2)/$Q$2))</f>
        <v>17509.5950508109</v>
      </c>
      <c r="G122" s="15" t="n">
        <f aca="false">F122*(1+IF(G$3&lt;=$O$2,$D122,$D122-($D122-$I$103)*MIN(G$3-$O$2,$Q$2)/$Q$2))</f>
        <v>19363.6908692082</v>
      </c>
      <c r="H122" s="15" t="n">
        <f aca="false">G122*(1+IF(H$3&lt;=$O$2,$D122,$D122-($D122-$I$103)*MIN(H$3-$O$2,$Q$2)/$Q$2))</f>
        <v>21414.1174019265</v>
      </c>
      <c r="I122" s="15" t="n">
        <f aca="false">H122*(1+IF(I$3&lt;=$O$2,$D122,$D122-($D122-$I$103)*MIN(I$3-$O$2,$Q$2)/$Q$2))</f>
        <v>23681.6641621094</v>
      </c>
      <c r="J122" s="15" t="n">
        <f aca="false">I122*(1+IF(J$3&lt;=$O$2,$D122,$D122-($D122-$I$103)*MIN(J$3-$O$2,$Q$2)/$Q$2))</f>
        <v>25821.8287076949</v>
      </c>
      <c r="K122" s="15" t="n">
        <f aca="false">J122*(1+IF(K$3&lt;=$O$2,$D122,$D122-($D122-$I$103)*MIN(K$3-$O$2,$Q$2)/$Q$2))</f>
        <v>27754.7001196307</v>
      </c>
      <c r="L122" s="15" t="n">
        <f aca="false">K122*(1+IF(L$3&lt;=$O$2,$D122,$D122-($D122-$I$103)*MIN(L$3-$O$2,$Q$2)/$Q$2))</f>
        <v>29401.5560483755</v>
      </c>
      <c r="M122" s="15" t="n">
        <f aca="false">L122*(1+IF(M$3&lt;=$O$2,$D122,$D122-($D122-$I$103)*MIN(M$3-$O$2,$Q$2)/$Q$2))</f>
        <v>30689.8750427898</v>
      </c>
      <c r="N122" s="15" t="n">
        <f aca="false">M122*(1+IF(N$3&lt;=$O$2,$D122,$D122-($D122-$I$103)*MIN(N$3-$O$2,$Q$2)/$Q$2))</f>
        <v>31558.3985065008</v>
      </c>
      <c r="O122" s="15" t="n">
        <f aca="false">SUMPRODUCT(E122:N122,1/(1+$F$103)^$E$3:$N$3)*$E$2</f>
        <v>49488.4978436146</v>
      </c>
      <c r="P122" s="15" t="n">
        <f aca="false">N122*$E$2*(1+$I$103)/($F$103-$I$103)/(1+$F$103)^$N$3</f>
        <v>82978.1005211899</v>
      </c>
      <c r="Q122" s="15" t="n">
        <f aca="false">O122+P122</f>
        <v>132466.598364805</v>
      </c>
      <c r="R122" s="15" t="n">
        <f aca="false">Q122-$G$2+$I$2</f>
        <v>120846.598364805</v>
      </c>
      <c r="S122" s="40" t="n">
        <f aca="false">R122/$K$2</f>
        <v>409.969122925686</v>
      </c>
      <c r="T122" s="41" t="n">
        <f aca="false">S122-$M$2</f>
        <v>-0.0115399640242231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0.105890274047852</v>
      </c>
      <c r="C123" s="25" t="n">
        <f aca="false">IF(T122&gt;0,D122,C122)</f>
        <v>0.10589599609375</v>
      </c>
      <c r="D123" s="39" t="n">
        <f aca="false">(B123+C123)/2</f>
        <v>0.105893135070801</v>
      </c>
      <c r="E123" s="15" t="n">
        <f aca="false">$C$2*(1+IF(E$3&lt;=$O$2,$D123,$D123-($D123-$I$103)*MIN(E$3-$O$2,$Q$2)/$Q$2))</f>
        <v>15833.0720148087</v>
      </c>
      <c r="F123" s="15" t="n">
        <f aca="false">E123*(1+IF(F$3&lt;=$O$2,$D123,$D123-($D123-$I$103)*MIN(F$3-$O$2,$Q$2)/$Q$2))</f>
        <v>17509.6856482585</v>
      </c>
      <c r="G123" s="15" t="n">
        <f aca="false">F123*(1+IF(G$3&lt;=$O$2,$D123,$D123-($D123-$I$103)*MIN(G$3-$O$2,$Q$2)/$Q$2))</f>
        <v>19363.8411556568</v>
      </c>
      <c r="H123" s="15" t="n">
        <f aca="false">G123*(1+IF(H$3&lt;=$O$2,$D123,$D123-($D123-$I$103)*MIN(H$3-$O$2,$Q$2)/$Q$2))</f>
        <v>21414.3390026423</v>
      </c>
      <c r="I123" s="15" t="n">
        <f aca="false">H123*(1+IF(I$3&lt;=$O$2,$D123,$D123-($D123-$I$103)*MIN(I$3-$O$2,$Q$2)/$Q$2))</f>
        <v>23681.970495101</v>
      </c>
      <c r="J123" s="15" t="n">
        <f aca="false">I123*(1+IF(J$3&lt;=$O$2,$D123,$D123-($D123-$I$103)*MIN(J$3-$O$2,$Q$2)/$Q$2))</f>
        <v>25822.2169284077</v>
      </c>
      <c r="K123" s="15" t="n">
        <f aca="false">J123*(1+IF(K$3&lt;=$O$2,$D123,$D123-($D123-$I$103)*MIN(K$3-$O$2,$Q$2)/$Q$2))</f>
        <v>27755.1617270537</v>
      </c>
      <c r="L123" s="15" t="n">
        <f aca="false">K123*(1+IF(L$3&lt;=$O$2,$D123,$D123-($D123-$I$103)*MIN(L$3-$O$2,$Q$2)/$Q$2))</f>
        <v>29402.076809049</v>
      </c>
      <c r="M123" s="15" t="n">
        <f aca="false">L123*(1+IF(M$3&lt;=$O$2,$D123,$D123-($D123-$I$103)*MIN(M$3-$O$2,$Q$2)/$Q$2))</f>
        <v>30690.4354461864</v>
      </c>
      <c r="N123" s="15" t="n">
        <f aca="false">M123*(1+IF(N$3&lt;=$O$2,$D123,$D123-($D123-$I$103)*MIN(N$3-$O$2,$Q$2)/$Q$2))</f>
        <v>31558.9747693134</v>
      </c>
      <c r="O123" s="15" t="n">
        <f aca="false">SUMPRODUCT(E123:N123,1/(1+$F$103)^$E$3:$N$3)*$E$2</f>
        <v>49489.1158924721</v>
      </c>
      <c r="P123" s="15" t="n">
        <f aca="false">N123*$E$2*(1+$I$103)/($F$103-$I$103)/(1+$F$103)^$N$3</f>
        <v>82979.6157182803</v>
      </c>
      <c r="Q123" s="15" t="n">
        <f aca="false">O123+P123</f>
        <v>132468.731610752</v>
      </c>
      <c r="R123" s="15" t="n">
        <f aca="false">Q123-$G$2+$I$2</f>
        <v>120848.731610752</v>
      </c>
      <c r="S123" s="40" t="n">
        <f aca="false">R123/$K$2</f>
        <v>409.976359910277</v>
      </c>
      <c r="T123" s="41" t="n">
        <f aca="false">S123-$M$2</f>
        <v>-0.00430297943347568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0.105893135070801</v>
      </c>
      <c r="C124" s="25" t="n">
        <f aca="false">IF(T123&gt;0,D123,C123)</f>
        <v>0.10589599609375</v>
      </c>
      <c r="D124" s="39" t="n">
        <f aca="false">(B124+C124)/2</f>
        <v>0.105894565582275</v>
      </c>
      <c r="E124" s="15" t="n">
        <f aca="false">$C$2*(1+IF(E$3&lt;=$O$2,$D124,$D124-($D124-$I$103)*MIN(E$3-$O$2,$Q$2)/$Q$2))</f>
        <v>15833.0924954414</v>
      </c>
      <c r="F124" s="15" t="n">
        <f aca="false">E124*(1+IF(F$3&lt;=$O$2,$D124,$D124-($D124-$I$103)*MIN(F$3-$O$2,$Q$2)/$Q$2))</f>
        <v>17509.7309470702</v>
      </c>
      <c r="G124" s="15" t="n">
        <f aca="false">F124*(1+IF(G$3&lt;=$O$2,$D124,$D124-($D124-$I$103)*MIN(G$3-$O$2,$Q$2)/$Q$2))</f>
        <v>19363.9162991727</v>
      </c>
      <c r="H124" s="15" t="n">
        <f aca="false">G124*(1+IF(H$3&lt;=$O$2,$D124,$D124-($D124-$I$103)*MIN(H$3-$O$2,$Q$2)/$Q$2))</f>
        <v>21414.4498036452</v>
      </c>
      <c r="I124" s="15" t="n">
        <f aca="false">H124*(1+IF(I$3&lt;=$O$2,$D124,$D124-($D124-$I$103)*MIN(I$3-$O$2,$Q$2)/$Q$2))</f>
        <v>23682.1236627856</v>
      </c>
      <c r="J124" s="15" t="n">
        <f aca="false">I124*(1+IF(J$3&lt;=$O$2,$D124,$D124-($D124-$I$103)*MIN(J$3-$O$2,$Q$2)/$Q$2))</f>
        <v>25822.4110405861</v>
      </c>
      <c r="K124" s="15" t="n">
        <f aca="false">J124*(1+IF(K$3&lt;=$O$2,$D124,$D124-($D124-$I$103)*MIN(K$3-$O$2,$Q$2)/$Q$2))</f>
        <v>27755.3925332234</v>
      </c>
      <c r="L124" s="15" t="n">
        <f aca="false">K124*(1+IF(L$3&lt;=$O$2,$D124,$D124-($D124-$I$103)*MIN(L$3-$O$2,$Q$2)/$Q$2))</f>
        <v>29402.337192386</v>
      </c>
      <c r="M124" s="15" t="n">
        <f aca="false">L124*(1+IF(M$3&lt;=$O$2,$D124,$D124-($D124-$I$103)*MIN(M$3-$O$2,$Q$2)/$Q$2))</f>
        <v>30690.7156512399</v>
      </c>
      <c r="N124" s="15" t="n">
        <f aca="false">M124*(1+IF(N$3&lt;=$O$2,$D124,$D124-($D124-$I$103)*MIN(N$3-$O$2,$Q$2)/$Q$2))</f>
        <v>31559.26290417</v>
      </c>
      <c r="O124" s="15" t="n">
        <f aca="false">SUMPRODUCT(E124:N124,1/(1+$F$103)^$E$3:$N$3)*$E$2</f>
        <v>49489.424919767</v>
      </c>
      <c r="P124" s="15" t="n">
        <f aca="false">N124*$E$2*(1+$I$103)/($F$103-$I$103)/(1+$F$103)^$N$3</f>
        <v>82980.3733258974</v>
      </c>
      <c r="Q124" s="15" t="n">
        <f aca="false">O124+P124</f>
        <v>132469.798245664</v>
      </c>
      <c r="R124" s="15" t="n">
        <f aca="false">Q124-$G$2+$I$2</f>
        <v>120849.798245664</v>
      </c>
      <c r="S124" s="40" t="n">
        <f aca="false">R124/$K$2</f>
        <v>409.979978443072</v>
      </c>
      <c r="T124" s="41" t="n">
        <f aca="false">S124-$M$2</f>
        <v>-0.000684446638160807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0.105894565582275</v>
      </c>
      <c r="C125" s="25" t="n">
        <f aca="false">IF(T124&gt;0,D124,C124)</f>
        <v>0.10589599609375</v>
      </c>
      <c r="D125" s="39" t="n">
        <f aca="false">(B125+C125)/2</f>
        <v>0.105895280838013</v>
      </c>
      <c r="E125" s="15" t="n">
        <f aca="false">$C$2*(1+IF(E$3&lt;=$O$2,$D125,$D125-($D125-$I$103)*MIN(E$3-$O$2,$Q$2)/$Q$2))</f>
        <v>15833.1027357578</v>
      </c>
      <c r="F125" s="15" t="n">
        <f aca="false">E125*(1+IF(F$3&lt;=$O$2,$D125,$D125-($D125-$I$103)*MIN(F$3-$O$2,$Q$2)/$Q$2))</f>
        <v>17509.753596498</v>
      </c>
      <c r="G125" s="15" t="n">
        <f aca="false">F125*(1+IF(G$3&lt;=$O$2,$D125,$D125-($D125-$I$103)*MIN(G$3-$O$2,$Q$2)/$Q$2))</f>
        <v>19363.9538710036</v>
      </c>
      <c r="H125" s="15" t="n">
        <f aca="false">G125*(1+IF(H$3&lt;=$O$2,$D125,$D125-($D125-$I$103)*MIN(H$3-$O$2,$Q$2)/$Q$2))</f>
        <v>21414.5052043078</v>
      </c>
      <c r="I125" s="15" t="n">
        <f aca="false">H125*(1+IF(I$3&lt;=$O$2,$D125,$D125-($D125-$I$103)*MIN(I$3-$O$2,$Q$2)/$Q$2))</f>
        <v>23682.2002469251</v>
      </c>
      <c r="J125" s="15" t="n">
        <f aca="false">I125*(1+IF(J$3&lt;=$O$2,$D125,$D125-($D125-$I$103)*MIN(J$3-$O$2,$Q$2)/$Q$2))</f>
        <v>25822.5080971308</v>
      </c>
      <c r="K125" s="15" t="n">
        <f aca="false">J125*(1+IF(K$3&lt;=$O$2,$D125,$D125-($D125-$I$103)*MIN(K$3-$O$2,$Q$2)/$Q$2))</f>
        <v>27755.5079369228</v>
      </c>
      <c r="L125" s="15" t="n">
        <f aca="false">K125*(1+IF(L$3&lt;=$O$2,$D125,$D125-($D125-$I$103)*MIN(L$3-$O$2,$Q$2)/$Q$2))</f>
        <v>29402.4673848047</v>
      </c>
      <c r="M125" s="15" t="n">
        <f aca="false">L125*(1+IF(M$3&lt;=$O$2,$D125,$D125-($D125-$I$103)*MIN(M$3-$O$2,$Q$2)/$Q$2))</f>
        <v>30690.8557546055</v>
      </c>
      <c r="N125" s="15" t="n">
        <f aca="false">M125*(1+IF(N$3&lt;=$O$2,$D125,$D125-($D125-$I$103)*MIN(N$3-$O$2,$Q$2)/$Q$2))</f>
        <v>31559.4069724608</v>
      </c>
      <c r="O125" s="15" t="n">
        <f aca="false">SUMPRODUCT(E125:N125,1/(1+$F$103)^$E$3:$N$3)*$E$2</f>
        <v>49489.5794341311</v>
      </c>
      <c r="P125" s="15" t="n">
        <f aca="false">N125*$E$2*(1+$I$103)/($F$103-$I$103)/(1+$F$103)^$N$3</f>
        <v>82980.752131974</v>
      </c>
      <c r="Q125" s="15" t="n">
        <f aca="false">O125+P125</f>
        <v>132470.331566105</v>
      </c>
      <c r="R125" s="15" t="n">
        <f aca="false">Q125-$G$2+$I$2</f>
        <v>120850.331566105</v>
      </c>
      <c r="S125" s="40" t="n">
        <f aca="false">R125/$K$2</f>
        <v>409.981787719595</v>
      </c>
      <c r="T125" s="41" t="n">
        <f aca="false">S125-$M$2</f>
        <v>0.00112482988441798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0.105894565582275</v>
      </c>
      <c r="C126" s="25" t="n">
        <f aca="false">IF(T125&gt;0,D125,C125)</f>
        <v>0.105895280838013</v>
      </c>
      <c r="D126" s="39" t="n">
        <f aca="false">(B126+C126)/2</f>
        <v>0.105894923210144</v>
      </c>
      <c r="E126" s="15" t="n">
        <f aca="false">$C$2*(1+IF(E$3&lt;=$O$2,$D126,$D126-($D126-$I$103)*MIN(E$3-$O$2,$Q$2)/$Q$2))</f>
        <v>15833.0976155996</v>
      </c>
      <c r="F126" s="15" t="n">
        <f aca="false">E126*(1+IF(F$3&lt;=$O$2,$D126,$D126-($D126-$I$103)*MIN(F$3-$O$2,$Q$2)/$Q$2))</f>
        <v>17509.7422717823</v>
      </c>
      <c r="G126" s="15" t="n">
        <f aca="false">F126*(1+IF(G$3&lt;=$O$2,$D126,$D126-($D126-$I$103)*MIN(G$3-$O$2,$Q$2)/$Q$2))</f>
        <v>19363.9350850821</v>
      </c>
      <c r="H126" s="15" t="n">
        <f aca="false">G126*(1+IF(H$3&lt;=$O$2,$D126,$D126-($D126-$I$103)*MIN(H$3-$O$2,$Q$2)/$Q$2))</f>
        <v>21414.477503963</v>
      </c>
      <c r="I126" s="15" t="n">
        <f aca="false">H126*(1+IF(I$3&lt;=$O$2,$D126,$D126-($D126-$I$103)*MIN(I$3-$O$2,$Q$2)/$Q$2))</f>
        <v>23682.1619548306</v>
      </c>
      <c r="J126" s="15" t="n">
        <f aca="false">I126*(1+IF(J$3&lt;=$O$2,$D126,$D126-($D126-$I$103)*MIN(J$3-$O$2,$Q$2)/$Q$2))</f>
        <v>25822.4595688205</v>
      </c>
      <c r="K126" s="15" t="n">
        <f aca="false">J126*(1+IF(K$3&lt;=$O$2,$D126,$D126-($D126-$I$103)*MIN(K$3-$O$2,$Q$2)/$Q$2))</f>
        <v>27755.4502350219</v>
      </c>
      <c r="L126" s="15" t="n">
        <f aca="false">K126*(1+IF(L$3&lt;=$O$2,$D126,$D126-($D126-$I$103)*MIN(L$3-$O$2,$Q$2)/$Q$2))</f>
        <v>29402.4022885328</v>
      </c>
      <c r="M126" s="15" t="n">
        <f aca="false">L126*(1+IF(M$3&lt;=$O$2,$D126,$D126-($D126-$I$103)*MIN(M$3-$O$2,$Q$2)/$Q$2))</f>
        <v>30690.7857028528</v>
      </c>
      <c r="N126" s="15" t="n">
        <f aca="false">M126*(1+IF(N$3&lt;=$O$2,$D126,$D126-($D126-$I$103)*MIN(N$3-$O$2,$Q$2)/$Q$2))</f>
        <v>31559.3349382436</v>
      </c>
      <c r="O126" s="15" t="n">
        <f aca="false">SUMPRODUCT(E126:N126,1/(1+$F$103)^$E$3:$N$3)*$E$2</f>
        <v>49489.5021768894</v>
      </c>
      <c r="P126" s="15" t="n">
        <f aca="false">N126*$E$2*(1+$I$103)/($F$103-$I$103)/(1+$F$103)^$N$3</f>
        <v>82980.5627287467</v>
      </c>
      <c r="Q126" s="15" t="n">
        <f aca="false">O126+P126</f>
        <v>132470.064905636</v>
      </c>
      <c r="R126" s="15" t="n">
        <f aca="false">Q126-$G$2+$I$2</f>
        <v>120850.064905636</v>
      </c>
      <c r="S126" s="40" t="n">
        <f aca="false">R126/$K$2</f>
        <v>409.98088308049</v>
      </c>
      <c r="T126" s="41" t="n">
        <f aca="false">S126-$M$2</f>
        <v>0.000220190779543827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0.105894565582275</v>
      </c>
      <c r="C127" s="25" t="n">
        <f aca="false">IF(T126&gt;0,D126,C126)</f>
        <v>0.105894923210144</v>
      </c>
      <c r="D127" s="39" t="n">
        <f aca="false">(B127+C127)/2</f>
        <v>0.10589474439621</v>
      </c>
      <c r="E127" s="15" t="n">
        <f aca="false">$C$2*(1+IF(E$3&lt;=$O$2,$D127,$D127-($D127-$I$103)*MIN(E$3-$O$2,$Q$2)/$Q$2))</f>
        <v>15833.0950555205</v>
      </c>
      <c r="F127" s="15" t="n">
        <f aca="false">E127*(1+IF(F$3&lt;=$O$2,$D127,$D127-($D127-$I$103)*MIN(F$3-$O$2,$Q$2)/$Q$2))</f>
        <v>17509.7366094258</v>
      </c>
      <c r="G127" s="15" t="n">
        <f aca="false">F127*(1+IF(G$3&lt;=$O$2,$D127,$D127-($D127-$I$103)*MIN(G$3-$O$2,$Q$2)/$Q$2))</f>
        <v>19363.9256921259</v>
      </c>
      <c r="H127" s="15" t="n">
        <f aca="false">G127*(1+IF(H$3&lt;=$O$2,$D127,$D127-($D127-$I$103)*MIN(H$3-$O$2,$Q$2)/$Q$2))</f>
        <v>21414.4636538007</v>
      </c>
      <c r="I127" s="15" t="n">
        <f aca="false">H127*(1+IF(I$3&lt;=$O$2,$D127,$D127-($D127-$I$103)*MIN(I$3-$O$2,$Q$2)/$Q$2))</f>
        <v>23682.1428088019</v>
      </c>
      <c r="J127" s="15" t="n">
        <f aca="false">I127*(1+IF(J$3&lt;=$O$2,$D127,$D127-($D127-$I$103)*MIN(J$3-$O$2,$Q$2)/$Q$2))</f>
        <v>25822.4353046938</v>
      </c>
      <c r="K127" s="15" t="n">
        <f aca="false">J127*(1+IF(K$3&lt;=$O$2,$D127,$D127-($D127-$I$103)*MIN(K$3-$O$2,$Q$2)/$Q$2))</f>
        <v>27755.4213841099</v>
      </c>
      <c r="L127" s="15" t="n">
        <f aca="false">K127*(1+IF(L$3&lt;=$O$2,$D127,$D127-($D127-$I$103)*MIN(L$3-$O$2,$Q$2)/$Q$2))</f>
        <v>29402.3697404438</v>
      </c>
      <c r="M127" s="15" t="n">
        <f aca="false">L127*(1+IF(M$3&lt;=$O$2,$D127,$D127-($D127-$I$103)*MIN(M$3-$O$2,$Q$2)/$Q$2))</f>
        <v>30690.7506770289</v>
      </c>
      <c r="N127" s="15" t="n">
        <f aca="false">M127*(1+IF(N$3&lt;=$O$2,$D127,$D127-($D127-$I$103)*MIN(N$3-$O$2,$Q$2)/$Q$2))</f>
        <v>31559.2989211888</v>
      </c>
      <c r="O127" s="15" t="n">
        <f aca="false">SUMPRODUCT(E127:N127,1/(1+$F$103)^$E$3:$N$3)*$E$2</f>
        <v>49489.4635483133</v>
      </c>
      <c r="P127" s="15" t="n">
        <f aca="false">N127*$E$2*(1+$I$103)/($F$103-$I$103)/(1+$F$103)^$N$3</f>
        <v>82980.4680272748</v>
      </c>
      <c r="Q127" s="15" t="n">
        <f aca="false">O127+P127</f>
        <v>132469.931575588</v>
      </c>
      <c r="R127" s="15" t="n">
        <f aca="false">Q127-$G$2+$I$2</f>
        <v>120849.931575588</v>
      </c>
      <c r="S127" s="40" t="n">
        <f aca="false">R127/$K$2</f>
        <v>409.98043076157</v>
      </c>
      <c r="T127" s="41" t="n">
        <f aca="false">S127-$M$2</f>
        <v>-0.000232128140282839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0.10589474439621</v>
      </c>
      <c r="C128" s="25" t="n">
        <f aca="false">IF(T127&gt;0,D127,C127)</f>
        <v>0.105894923210144</v>
      </c>
      <c r="D128" s="39" t="n">
        <f aca="false">(B128+C128)/2</f>
        <v>0.105894833803177</v>
      </c>
      <c r="E128" s="15" t="n">
        <f aca="false">$C$2*(1+IF(E$3&lt;=$O$2,$D128,$D128-($D128-$I$103)*MIN(E$3-$O$2,$Q$2)/$Q$2))</f>
        <v>15833.0963355601</v>
      </c>
      <c r="F128" s="15" t="n">
        <f aca="false">E128*(1+IF(F$3&lt;=$O$2,$D128,$D128-($D128-$I$103)*MIN(F$3-$O$2,$Q$2)/$Q$2))</f>
        <v>17509.7394406039</v>
      </c>
      <c r="G128" s="15" t="n">
        <f aca="false">F128*(1+IF(G$3&lt;=$O$2,$D128,$D128-($D128-$I$103)*MIN(G$3-$O$2,$Q$2)/$Q$2))</f>
        <v>19363.9303886036</v>
      </c>
      <c r="H128" s="15" t="n">
        <f aca="false">G128*(1+IF(H$3&lt;=$O$2,$D128,$D128-($D128-$I$103)*MIN(H$3-$O$2,$Q$2)/$Q$2))</f>
        <v>21414.4705788811</v>
      </c>
      <c r="I128" s="15" t="n">
        <f aca="false">H128*(1+IF(I$3&lt;=$O$2,$D128,$D128-($D128-$I$103)*MIN(I$3-$O$2,$Q$2)/$Q$2))</f>
        <v>23682.1523818147</v>
      </c>
      <c r="J128" s="15" t="n">
        <f aca="false">I128*(1+IF(J$3&lt;=$O$2,$D128,$D128-($D128-$I$103)*MIN(J$3-$O$2,$Q$2)/$Q$2))</f>
        <v>25822.4474367548</v>
      </c>
      <c r="K128" s="15" t="n">
        <f aca="false">J128*(1+IF(K$3&lt;=$O$2,$D128,$D128-($D128-$I$103)*MIN(K$3-$O$2,$Q$2)/$Q$2))</f>
        <v>27755.4358095627</v>
      </c>
      <c r="L128" s="15" t="n">
        <f aca="false">K128*(1+IF(L$3&lt;=$O$2,$D128,$D128-($D128-$I$103)*MIN(L$3-$O$2,$Q$2)/$Q$2))</f>
        <v>29402.3860144844</v>
      </c>
      <c r="M128" s="15" t="n">
        <f aca="false">L128*(1+IF(M$3&lt;=$O$2,$D128,$D128-($D128-$I$103)*MIN(M$3-$O$2,$Q$2)/$Q$2))</f>
        <v>30690.7681899365</v>
      </c>
      <c r="N128" s="15" t="n">
        <f aca="false">M128*(1+IF(N$3&lt;=$O$2,$D128,$D128-($D128-$I$103)*MIN(N$3-$O$2,$Q$2)/$Q$2))</f>
        <v>31559.3169297117</v>
      </c>
      <c r="O128" s="15" t="n">
        <f aca="false">SUMPRODUCT(E128:N128,1/(1+$F$103)^$E$3:$N$3)*$E$2</f>
        <v>49489.4828625976</v>
      </c>
      <c r="P128" s="15" t="n">
        <f aca="false">N128*$E$2*(1+$I$103)/($F$103-$I$103)/(1+$F$103)^$N$3</f>
        <v>82980.5153779989</v>
      </c>
      <c r="Q128" s="15" t="n">
        <f aca="false">O128+P128</f>
        <v>132469.998240597</v>
      </c>
      <c r="R128" s="15" t="n">
        <f aca="false">Q128-$G$2+$I$2</f>
        <v>120849.998240597</v>
      </c>
      <c r="S128" s="40" t="n">
        <f aca="false">R128/$K$2</f>
        <v>409.980656920977</v>
      </c>
      <c r="T128" s="41" t="n">
        <f aca="false">S128-$M$2</f>
        <v>-5.96873320546365E-006</v>
      </c>
    </row>
    <row r="130" customFormat="false" ht="15" hidden="false" customHeight="false" outlineLevel="0" collapsed="false">
      <c r="A130" s="36" t="s">
        <v>178</v>
      </c>
      <c r="E130" s="5" t="s">
        <v>11</v>
      </c>
      <c r="F130" s="12" t="n">
        <f aca="false">Sensitivity!$B$10</f>
        <v>0.0848919064489092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6" t="s">
        <v>155</v>
      </c>
      <c r="B131" s="28" t="s">
        <v>156</v>
      </c>
      <c r="C131" s="28" t="s">
        <v>157</v>
      </c>
      <c r="D131" s="28" t="s">
        <v>158</v>
      </c>
      <c r="E131" s="28" t="s">
        <v>159</v>
      </c>
      <c r="F131" s="28" t="s">
        <v>160</v>
      </c>
      <c r="G131" s="28" t="s">
        <v>161</v>
      </c>
      <c r="H131" s="28" t="s">
        <v>162</v>
      </c>
      <c r="I131" s="28" t="s">
        <v>163</v>
      </c>
      <c r="J131" s="28" t="s">
        <v>164</v>
      </c>
      <c r="K131" s="28" t="s">
        <v>165</v>
      </c>
      <c r="L131" s="28" t="s">
        <v>166</v>
      </c>
      <c r="M131" s="28" t="s">
        <v>167</v>
      </c>
      <c r="N131" s="28" t="s">
        <v>168</v>
      </c>
      <c r="O131" s="28" t="s">
        <v>169</v>
      </c>
      <c r="P131" s="28" t="s">
        <v>170</v>
      </c>
      <c r="Q131" s="28" t="s">
        <v>171</v>
      </c>
      <c r="R131" s="28" t="s">
        <v>172</v>
      </c>
      <c r="S131" s="28" t="s">
        <v>173</v>
      </c>
      <c r="T131" s="28" t="s">
        <v>174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39" t="n">
        <f aca="false">(B132+C132)/2</f>
        <v>0.25</v>
      </c>
      <c r="E132" s="15" t="n">
        <f aca="false">$C$2*(1+IF(E$3&lt;=$O$2,$D132,$D132-($D132-$I$130)*MIN(E$3-$O$2,$Q$2)/$Q$2))</f>
        <v>17896.25</v>
      </c>
      <c r="F132" s="15" t="n">
        <f aca="false">E132*(1+IF(F$3&lt;=$O$2,$D132,$D132-($D132-$I$130)*MIN(F$3-$O$2,$Q$2)/$Q$2))</f>
        <v>22370.3125</v>
      </c>
      <c r="G132" s="15" t="n">
        <f aca="false">F132*(1+IF(G$3&lt;=$O$2,$D132,$D132-($D132-$I$130)*MIN(G$3-$O$2,$Q$2)/$Q$2))</f>
        <v>27962.890625</v>
      </c>
      <c r="H132" s="15" t="n">
        <f aca="false">G132*(1+IF(H$3&lt;=$O$2,$D132,$D132-($D132-$I$130)*MIN(H$3-$O$2,$Q$2)/$Q$2))</f>
        <v>34953.61328125</v>
      </c>
      <c r="I132" s="15" t="n">
        <f aca="false">H132*(1+IF(I$3&lt;=$O$2,$D132,$D132-($D132-$I$130)*MIN(I$3-$O$2,$Q$2)/$Q$2))</f>
        <v>43692.0166015625</v>
      </c>
      <c r="J132" s="15" t="n">
        <f aca="false">I132*(1+IF(J$3&lt;=$O$2,$D132,$D132-($D132-$I$130)*MIN(J$3-$O$2,$Q$2)/$Q$2))</f>
        <v>52721.4087524414</v>
      </c>
      <c r="K132" s="15" t="n">
        <f aca="false">J132*(1+IF(K$3&lt;=$O$2,$D132,$D132-($D132-$I$130)*MIN(K$3-$O$2,$Q$2)/$Q$2))</f>
        <v>61331.8692298901</v>
      </c>
      <c r="L132" s="15" t="n">
        <f aca="false">K132*(1+IF(L$3&lt;=$O$2,$D132,$D132-($D132-$I$130)*MIN(L$3-$O$2,$Q$2)/$Q$2))</f>
        <v>68690.4669000924</v>
      </c>
      <c r="M132" s="15" t="n">
        <f aca="false">L132*(1+IF(M$3&lt;=$O$2,$D132,$D132-($D132-$I$130)*MIN(M$3-$O$2,$Q$2)/$Q$2))</f>
        <v>73954.9042833154</v>
      </c>
      <c r="N132" s="15" t="n">
        <f aca="false">M132*(1+IF(N$3&lt;=$O$2,$D132,$D132-($D132-$I$130)*MIN(N$3-$O$2,$Q$2)/$Q$2))</f>
        <v>76417.6025959498</v>
      </c>
      <c r="O132" s="15" t="n">
        <f aca="false">SUMPRODUCT(E132:N132,1/(1+$F$130)^$E$3:$N$3)*$E$2</f>
        <v>92778.8989301215</v>
      </c>
      <c r="P132" s="15" t="n">
        <f aca="false">N132*$E$2*(1+$I$130)/($F$130-$I$130)/(1+$F$130)^$N$3</f>
        <v>221473.252416684</v>
      </c>
      <c r="Q132" s="15" t="n">
        <f aca="false">O132+P132</f>
        <v>314252.151346805</v>
      </c>
      <c r="R132" s="15" t="n">
        <f aca="false">Q132-$G$2+$I$2</f>
        <v>302632.151346805</v>
      </c>
      <c r="S132" s="40" t="n">
        <f aca="false">R132/$K$2</f>
        <v>1026.67215573771</v>
      </c>
      <c r="T132" s="41" t="n">
        <f aca="false">S132-$M$2</f>
        <v>616.691492848002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39" t="n">
        <f aca="false">(B133+C133)/2</f>
        <v>-0.125</v>
      </c>
      <c r="E133" s="15" t="n">
        <f aca="false">$C$2*(1+IF(E$3&lt;=$O$2,$D133,$D133-($D133-$I$130)*MIN(E$3-$O$2,$Q$2)/$Q$2))</f>
        <v>12527.375</v>
      </c>
      <c r="F133" s="15" t="n">
        <f aca="false">E133*(1+IF(F$3&lt;=$O$2,$D133,$D133-($D133-$I$130)*MIN(F$3-$O$2,$Q$2)/$Q$2))</f>
        <v>10961.453125</v>
      </c>
      <c r="G133" s="15" t="n">
        <f aca="false">F133*(1+IF(G$3&lt;=$O$2,$D133,$D133-($D133-$I$130)*MIN(G$3-$O$2,$Q$2)/$Q$2))</f>
        <v>9591.271484375</v>
      </c>
      <c r="H133" s="15" t="n">
        <f aca="false">G133*(1+IF(H$3&lt;=$O$2,$D133,$D133-($D133-$I$130)*MIN(H$3-$O$2,$Q$2)/$Q$2))</f>
        <v>8392.36254882813</v>
      </c>
      <c r="I133" s="15" t="n">
        <f aca="false">H133*(1+IF(I$3&lt;=$O$2,$D133,$D133-($D133-$I$130)*MIN(I$3-$O$2,$Q$2)/$Q$2))</f>
        <v>7343.31723022461</v>
      </c>
      <c r="J133" s="15" t="n">
        <f aca="false">I133*(1+IF(J$3&lt;=$O$2,$D133,$D133-($D133-$I$130)*MIN(J$3-$O$2,$Q$2)/$Q$2))</f>
        <v>6657.89199995545</v>
      </c>
      <c r="K133" s="15" t="n">
        <f aca="false">J133*(1+IF(K$3&lt;=$O$2,$D133,$D133-($D133-$I$130)*MIN(K$3-$O$2,$Q$2)/$Q$2))</f>
        <v>6247.23322139819</v>
      </c>
      <c r="L133" s="15" t="n">
        <f aca="false">K133*(1+IF(L$3&lt;=$O$2,$D133,$D133-($D133-$I$130)*MIN(L$3-$O$2,$Q$2)/$Q$2))</f>
        <v>6059.69128009182</v>
      </c>
      <c r="M133" s="15" t="n">
        <f aca="false">L133*(1+IF(M$3&lt;=$O$2,$D133,$D133-($D133-$I$130)*MIN(M$3-$O$2,$Q$2)/$Q$2))</f>
        <v>6069.62917379117</v>
      </c>
      <c r="N133" s="15" t="n">
        <f aca="false">M133*(1+IF(N$3&lt;=$O$2,$D133,$D133-($D133-$I$130)*MIN(N$3-$O$2,$Q$2)/$Q$2))</f>
        <v>6271.74782527842</v>
      </c>
      <c r="O133" s="15" t="n">
        <f aca="false">SUMPRODUCT(E133:N133,1/(1+$F$130)^$E$3:$N$3)*$E$2</f>
        <v>18231.7918442271</v>
      </c>
      <c r="P133" s="15" t="n">
        <f aca="false">N133*$E$2*(1+$I$130)/($F$130-$I$130)/(1+$F$130)^$N$3</f>
        <v>18176.7595686821</v>
      </c>
      <c r="Q133" s="15" t="n">
        <f aca="false">O133+P133</f>
        <v>36408.5514129092</v>
      </c>
      <c r="R133" s="15" t="n">
        <f aca="false">Q133-$G$2+$I$2</f>
        <v>24788.5514129092</v>
      </c>
      <c r="S133" s="40" t="n">
        <f aca="false">R133/$K$2</f>
        <v>84.0945530851484</v>
      </c>
      <c r="T133" s="41" t="n">
        <f aca="false">S133-$M$2</f>
        <v>-325.886109804562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39" t="n">
        <f aca="false">(B134+C134)/2</f>
        <v>0.0625</v>
      </c>
      <c r="E134" s="15" t="n">
        <f aca="false">$C$2*(1+IF(E$3&lt;=$O$2,$D134,$D134-($D134-$I$130)*MIN(E$3-$O$2,$Q$2)/$Q$2))</f>
        <v>15211.8125</v>
      </c>
      <c r="F134" s="15" t="n">
        <f aca="false">E134*(1+IF(F$3&lt;=$O$2,$D134,$D134-($D134-$I$130)*MIN(F$3-$O$2,$Q$2)/$Q$2))</f>
        <v>16162.55078125</v>
      </c>
      <c r="G134" s="15" t="n">
        <f aca="false">F134*(1+IF(G$3&lt;=$O$2,$D134,$D134-($D134-$I$130)*MIN(G$3-$O$2,$Q$2)/$Q$2))</f>
        <v>17172.7102050781</v>
      </c>
      <c r="H134" s="15" t="n">
        <f aca="false">G134*(1+IF(H$3&lt;=$O$2,$D134,$D134-($D134-$I$130)*MIN(H$3-$O$2,$Q$2)/$Q$2))</f>
        <v>18246.0045928955</v>
      </c>
      <c r="I134" s="15" t="n">
        <f aca="false">H134*(1+IF(I$3&lt;=$O$2,$D134,$D134-($D134-$I$130)*MIN(I$3-$O$2,$Q$2)/$Q$2))</f>
        <v>19386.3798799515</v>
      </c>
      <c r="J134" s="15" t="n">
        <f aca="false">I134*(1+IF(J$3&lt;=$O$2,$D134,$D134-($D134-$I$130)*MIN(J$3-$O$2,$Q$2)/$Q$2))</f>
        <v>20484.8121639495</v>
      </c>
      <c r="K134" s="15" t="n">
        <f aca="false">J134*(1+IF(K$3&lt;=$O$2,$D134,$D134-($D134-$I$130)*MIN(K$3-$O$2,$Q$2)/$Q$2))</f>
        <v>21525.8503181214</v>
      </c>
      <c r="L134" s="15" t="n">
        <f aca="false">K134*(1+IF(L$3&lt;=$O$2,$D134,$D134-($D134-$I$130)*MIN(L$3-$O$2,$Q$2)/$Q$2))</f>
        <v>22494.0830654305</v>
      </c>
      <c r="M134" s="15" t="n">
        <f aca="false">L134*(1+IF(M$3&lt;=$O$2,$D134,$D134-($D134-$I$130)*MIN(M$3-$O$2,$Q$2)/$Q$2))</f>
        <v>23374.5014766115</v>
      </c>
      <c r="N134" s="15" t="n">
        <f aca="false">M134*(1+IF(N$3&lt;=$O$2,$D134,$D134-($D134-$I$130)*MIN(N$3-$O$2,$Q$2)/$Q$2))</f>
        <v>24152.8723757827</v>
      </c>
      <c r="O134" s="15" t="n">
        <f aca="false">SUMPRODUCT(E134:N134,1/(1+$F$130)^$E$3:$N$3)*$E$2</f>
        <v>41067.5298302691</v>
      </c>
      <c r="P134" s="15" t="n">
        <f aca="false">N134*$E$2*(1+$I$130)/($F$130-$I$130)/(1+$F$130)^$N$3</f>
        <v>69999.777780953</v>
      </c>
      <c r="Q134" s="15" t="n">
        <f aca="false">O134+P134</f>
        <v>111067.307611222</v>
      </c>
      <c r="R134" s="15" t="n">
        <f aca="false">Q134-$G$2+$I$2</f>
        <v>99447.3076112221</v>
      </c>
      <c r="S134" s="40" t="n">
        <f aca="false">R134/$K$2</f>
        <v>337.372553554372</v>
      </c>
      <c r="T134" s="41" t="n">
        <f aca="false">S134-$M$2</f>
        <v>-72.608109335339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0.0625</v>
      </c>
      <c r="C135" s="25" t="n">
        <f aca="false">IF(T134&gt;0,D134,C134)</f>
        <v>0.25</v>
      </c>
      <c r="D135" s="39" t="n">
        <f aca="false">(B135+C135)/2</f>
        <v>0.15625</v>
      </c>
      <c r="E135" s="15" t="n">
        <f aca="false">$C$2*(1+IF(E$3&lt;=$O$2,$D135,$D135-($D135-$I$130)*MIN(E$3-$O$2,$Q$2)/$Q$2))</f>
        <v>16554.03125</v>
      </c>
      <c r="F135" s="15" t="n">
        <f aca="false">E135*(1+IF(F$3&lt;=$O$2,$D135,$D135-($D135-$I$130)*MIN(F$3-$O$2,$Q$2)/$Q$2))</f>
        <v>19140.5986328125</v>
      </c>
      <c r="G135" s="15" t="n">
        <f aca="false">F135*(1+IF(G$3&lt;=$O$2,$D135,$D135-($D135-$I$130)*MIN(G$3-$O$2,$Q$2)/$Q$2))</f>
        <v>22131.3171691895</v>
      </c>
      <c r="H135" s="15" t="n">
        <f aca="false">G135*(1+IF(H$3&lt;=$O$2,$D135,$D135-($D135-$I$130)*MIN(H$3-$O$2,$Q$2)/$Q$2))</f>
        <v>25589.3354768753</v>
      </c>
      <c r="I135" s="15" t="n">
        <f aca="false">H135*(1+IF(I$3&lt;=$O$2,$D135,$D135-($D135-$I$130)*MIN(I$3-$O$2,$Q$2)/$Q$2))</f>
        <v>29587.6691451371</v>
      </c>
      <c r="J135" s="15" t="n">
        <f aca="false">I135*(1+IF(J$3&lt;=$O$2,$D135,$D135-($D135-$I$130)*MIN(J$3-$O$2,$Q$2)/$Q$2))</f>
        <v>33483.1816647858</v>
      </c>
      <c r="K135" s="15" t="n">
        <f aca="false">J135*(1+IF(K$3&lt;=$O$2,$D135,$D135-($D135-$I$130)*MIN(K$3-$O$2,$Q$2)/$Q$2))</f>
        <v>37068.2259256344</v>
      </c>
      <c r="L135" s="15" t="n">
        <f aca="false">K135*(1+IF(L$3&lt;=$O$2,$D135,$D135-($D135-$I$130)*MIN(L$3-$O$2,$Q$2)/$Q$2))</f>
        <v>40125.6131999808</v>
      </c>
      <c r="M135" s="15" t="n">
        <f aca="false">L135*(1+IF(M$3&lt;=$O$2,$D135,$D135-($D135-$I$130)*MIN(M$3-$O$2,$Q$2)/$Q$2))</f>
        <v>42448.4849481277</v>
      </c>
      <c r="N135" s="15" t="n">
        <f aca="false">M135*(1+IF(N$3&lt;=$O$2,$D135,$D135-($D135-$I$130)*MIN(N$3-$O$2,$Q$2)/$Q$2))</f>
        <v>43862.0194969003</v>
      </c>
      <c r="O135" s="15" t="n">
        <f aca="false">SUMPRODUCT(E135:N135,1/(1+$F$130)^$E$3:$N$3)*$E$2</f>
        <v>61846.1508445515</v>
      </c>
      <c r="P135" s="15" t="n">
        <f aca="false">N135*$E$2*(1+$I$130)/($F$130-$I$130)/(1+$F$130)^$N$3</f>
        <v>127120.765184243</v>
      </c>
      <c r="Q135" s="15" t="n">
        <f aca="false">O135+P135</f>
        <v>188966.916028794</v>
      </c>
      <c r="R135" s="15" t="n">
        <f aca="false">Q135-$G$2+$I$2</f>
        <v>177346.916028794</v>
      </c>
      <c r="S135" s="40" t="n">
        <f aca="false">R135/$K$2</f>
        <v>601.645065742085</v>
      </c>
      <c r="T135" s="41" t="n">
        <f aca="false">S135-$M$2</f>
        <v>191.664402852374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0.0625</v>
      </c>
      <c r="C136" s="25" t="n">
        <f aca="false">IF(T135&gt;0,D135,C135)</f>
        <v>0.15625</v>
      </c>
      <c r="D136" s="39" t="n">
        <f aca="false">(B136+C136)/2</f>
        <v>0.109375</v>
      </c>
      <c r="E136" s="15" t="n">
        <f aca="false">$C$2*(1+IF(E$3&lt;=$O$2,$D136,$D136-($D136-$I$130)*MIN(E$3-$O$2,$Q$2)/$Q$2))</f>
        <v>15882.921875</v>
      </c>
      <c r="F136" s="15" t="n">
        <f aca="false">E136*(1+IF(F$3&lt;=$O$2,$D136,$D136-($D136-$I$130)*MIN(F$3-$O$2,$Q$2)/$Q$2))</f>
        <v>17620.1164550781</v>
      </c>
      <c r="G136" s="15" t="n">
        <f aca="false">F136*(1+IF(G$3&lt;=$O$2,$D136,$D136-($D136-$I$130)*MIN(G$3-$O$2,$Q$2)/$Q$2))</f>
        <v>19547.3166923523</v>
      </c>
      <c r="H136" s="15" t="n">
        <f aca="false">G136*(1+IF(H$3&lt;=$O$2,$D136,$D136-($D136-$I$130)*MIN(H$3-$O$2,$Q$2)/$Q$2))</f>
        <v>21685.3044555783</v>
      </c>
      <c r="I136" s="15" t="n">
        <f aca="false">H136*(1+IF(I$3&lt;=$O$2,$D136,$D136-($D136-$I$130)*MIN(I$3-$O$2,$Q$2)/$Q$2))</f>
        <v>24057.1346304072</v>
      </c>
      <c r="J136" s="15" t="n">
        <f aca="false">I136*(1+IF(J$3&lt;=$O$2,$D136,$D136-($D136-$I$130)*MIN(J$3-$O$2,$Q$2)/$Q$2))</f>
        <v>26322.3544272064</v>
      </c>
      <c r="K136" s="15" t="n">
        <f aca="false">J136*(1+IF(K$3&lt;=$O$2,$D136,$D136-($D136-$I$130)*MIN(K$3-$O$2,$Q$2)/$Q$2))</f>
        <v>28400.3726974622</v>
      </c>
      <c r="L136" s="15" t="n">
        <f aca="false">K136*(1+IF(L$3&lt;=$O$2,$D136,$D136-($D136-$I$130)*MIN(L$3-$O$2,$Q$2)/$Q$2))</f>
        <v>30210.3284494714</v>
      </c>
      <c r="M136" s="15" t="n">
        <f aca="false">L136*(1+IF(M$3&lt;=$O$2,$D136,$D136-($D136-$I$130)*MIN(M$3-$O$2,$Q$2)/$Q$2))</f>
        <v>31675.9825341975</v>
      </c>
      <c r="N136" s="15" t="n">
        <f aca="false">M136*(1+IF(N$3&lt;=$O$2,$D136,$D136-($D136-$I$130)*MIN(N$3-$O$2,$Q$2)/$Q$2))</f>
        <v>32730.7927525863</v>
      </c>
      <c r="O136" s="15" t="n">
        <f aca="false">SUMPRODUCT(E136:N136,1/(1+$F$130)^$E$3:$N$3)*$E$2</f>
        <v>50408.7093255367</v>
      </c>
      <c r="P136" s="15" t="n">
        <f aca="false">N136*$E$2*(1+$I$130)/($F$130-$I$130)/(1+$F$130)^$N$3</f>
        <v>94860.2792921944</v>
      </c>
      <c r="Q136" s="15" t="n">
        <f aca="false">O136+P136</f>
        <v>145268.988617731</v>
      </c>
      <c r="R136" s="15" t="n">
        <f aca="false">Q136-$G$2+$I$2</f>
        <v>133648.988617731</v>
      </c>
      <c r="S136" s="40" t="n">
        <f aca="false">R136/$K$2</f>
        <v>453.40091806402</v>
      </c>
      <c r="T136" s="41" t="n">
        <f aca="false">S136-$M$2</f>
        <v>43.4202551743089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0.0625</v>
      </c>
      <c r="C137" s="25" t="n">
        <f aca="false">IF(T136&gt;0,D136,C136)</f>
        <v>0.109375</v>
      </c>
      <c r="D137" s="39" t="n">
        <f aca="false">(B137+C137)/2</f>
        <v>0.0859375</v>
      </c>
      <c r="E137" s="15" t="n">
        <f aca="false">$C$2*(1+IF(E$3&lt;=$O$2,$D137,$D137-($D137-$I$130)*MIN(E$3-$O$2,$Q$2)/$Q$2))</f>
        <v>15547.3671875</v>
      </c>
      <c r="F137" s="15" t="n">
        <f aca="false">E137*(1+IF(F$3&lt;=$O$2,$D137,$D137-($D137-$I$130)*MIN(F$3-$O$2,$Q$2)/$Q$2))</f>
        <v>16883.4690551758</v>
      </c>
      <c r="G137" s="15" t="n">
        <f aca="false">F137*(1+IF(G$3&lt;=$O$2,$D137,$D137-($D137-$I$130)*MIN(G$3-$O$2,$Q$2)/$Q$2))</f>
        <v>18334.392177105</v>
      </c>
      <c r="H137" s="15" t="n">
        <f aca="false">G137*(1+IF(H$3&lt;=$O$2,$D137,$D137-($D137-$I$130)*MIN(H$3-$O$2,$Q$2)/$Q$2))</f>
        <v>19910.0040048249</v>
      </c>
      <c r="I137" s="15" t="n">
        <f aca="false">H137*(1+IF(I$3&lt;=$O$2,$D137,$D137-($D137-$I$130)*MIN(I$3-$O$2,$Q$2)/$Q$2))</f>
        <v>21621.0199739895</v>
      </c>
      <c r="J137" s="15" t="n">
        <f aca="false">I137*(1+IF(J$3&lt;=$O$2,$D137,$D137-($D137-$I$130)*MIN(J$3-$O$2,$Q$2)/$Q$2))</f>
        <v>23251.4610902281</v>
      </c>
      <c r="K137" s="15" t="n">
        <f aca="false">J137*(1+IF(K$3&lt;=$O$2,$D137,$D137-($D137-$I$130)*MIN(K$3-$O$2,$Q$2)/$Q$2))</f>
        <v>24760.0740144148</v>
      </c>
      <c r="L137" s="15" t="n">
        <f aca="false">K137*(1+IF(L$3&lt;=$O$2,$D137,$D137-($D137-$I$130)*MIN(L$3-$O$2,$Q$2)/$Q$2))</f>
        <v>26105.9078374683</v>
      </c>
      <c r="M137" s="15" t="n">
        <f aca="false">L137*(1+IF(M$3&lt;=$O$2,$D137,$D137-($D137-$I$130)*MIN(M$3-$O$2,$Q$2)/$Q$2))</f>
        <v>27250.064513215</v>
      </c>
      <c r="N137" s="15" t="n">
        <f aca="false">M137*(1+IF(N$3&lt;=$O$2,$D137,$D137-($D137-$I$130)*MIN(N$3-$O$2,$Q$2)/$Q$2))</f>
        <v>28157.491661505</v>
      </c>
      <c r="O137" s="15" t="n">
        <f aca="false">SUMPRODUCT(E137:N137,1/(1+$F$130)^$E$3:$N$3)*$E$2</f>
        <v>45500.0344147259</v>
      </c>
      <c r="P137" s="15" t="n">
        <f aca="false">N137*$E$2*(1+$I$130)/($F$130-$I$130)/(1+$F$130)^$N$3</f>
        <v>81605.952638191</v>
      </c>
      <c r="Q137" s="15" t="n">
        <f aca="false">O137+P137</f>
        <v>127105.987052917</v>
      </c>
      <c r="R137" s="15" t="n">
        <f aca="false">Q137-$G$2+$I$2</f>
        <v>115485.987052917</v>
      </c>
      <c r="S137" s="40" t="n">
        <f aca="false">R137/$K$2</f>
        <v>391.783380442097</v>
      </c>
      <c r="T137" s="41" t="n">
        <f aca="false">S137-$M$2</f>
        <v>-18.1972824476137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0.0859375</v>
      </c>
      <c r="C138" s="25" t="n">
        <f aca="false">IF(T137&gt;0,D137,C137)</f>
        <v>0.109375</v>
      </c>
      <c r="D138" s="39" t="n">
        <f aca="false">(B138+C138)/2</f>
        <v>0.09765625</v>
      </c>
      <c r="E138" s="15" t="n">
        <f aca="false">$C$2*(1+IF(E$3&lt;=$O$2,$D138,$D138-($D138-$I$130)*MIN(E$3-$O$2,$Q$2)/$Q$2))</f>
        <v>15715.14453125</v>
      </c>
      <c r="F138" s="15" t="n">
        <f aca="false">E138*(1+IF(F$3&lt;=$O$2,$D138,$D138-($D138-$I$130)*MIN(F$3-$O$2,$Q$2)/$Q$2))</f>
        <v>17249.8266143799</v>
      </c>
      <c r="G138" s="15" t="n">
        <f aca="false">F138*(1+IF(G$3&lt;=$O$2,$D138,$D138-($D138-$I$130)*MIN(G$3-$O$2,$Q$2)/$Q$2))</f>
        <v>18934.3799946904</v>
      </c>
      <c r="H138" s="15" t="n">
        <f aca="false">G138*(1+IF(H$3&lt;=$O$2,$D138,$D138-($D138-$I$130)*MIN(H$3-$O$2,$Q$2)/$Q$2))</f>
        <v>20783.4405410469</v>
      </c>
      <c r="I138" s="15" t="n">
        <f aca="false">H138*(1+IF(I$3&lt;=$O$2,$D138,$D138-($D138-$I$130)*MIN(I$3-$O$2,$Q$2)/$Q$2))</f>
        <v>22813.0734063835</v>
      </c>
      <c r="J138" s="15" t="n">
        <f aca="false">I138*(1+IF(J$3&lt;=$O$2,$D138,$D138-($D138-$I$130)*MIN(J$3-$O$2,$Q$2)/$Q$2))</f>
        <v>24747.2798351437</v>
      </c>
      <c r="K138" s="15" t="n">
        <f aca="false">J138*(1+IF(K$3&lt;=$O$2,$D138,$D138-($D138-$I$130)*MIN(K$3-$O$2,$Q$2)/$Q$2))</f>
        <v>26526.9495303883</v>
      </c>
      <c r="L138" s="15" t="n">
        <f aca="false">K138*(1+IF(L$3&lt;=$O$2,$D138,$D138-($D138-$I$130)*MIN(L$3-$O$2,$Q$2)/$Q$2))</f>
        <v>28093.1669480363</v>
      </c>
      <c r="M138" s="15" t="n">
        <f aca="false">L138*(1+IF(M$3&lt;=$O$2,$D138,$D138-($D138-$I$130)*MIN(M$3-$O$2,$Q$2)/$Q$2))</f>
        <v>29390.2635824858</v>
      </c>
      <c r="N138" s="15" t="n">
        <f aca="false">M138*(1+IF(N$3&lt;=$O$2,$D138,$D138-($D138-$I$130)*MIN(N$3-$O$2,$Q$2)/$Q$2))</f>
        <v>30368.9593597826</v>
      </c>
      <c r="O138" s="15" t="n">
        <f aca="false">SUMPRODUCT(E138:N138,1/(1+$F$130)^$E$3:$N$3)*$E$2</f>
        <v>47892.0081914284</v>
      </c>
      <c r="P138" s="15" t="n">
        <f aca="false">N138*$E$2*(1+$I$130)/($F$130-$I$130)/(1+$F$130)^$N$3</f>
        <v>88015.2212767483</v>
      </c>
      <c r="Q138" s="15" t="n">
        <f aca="false">O138+P138</f>
        <v>135907.229468177</v>
      </c>
      <c r="R138" s="15" t="n">
        <f aca="false">Q138-$G$2+$I$2</f>
        <v>124287.229468177</v>
      </c>
      <c r="S138" s="40" t="n">
        <f aca="false">R138/$K$2</f>
        <v>421.641379611822</v>
      </c>
      <c r="T138" s="41" t="n">
        <f aca="false">S138-$M$2</f>
        <v>11.6607167221113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0.0859375</v>
      </c>
      <c r="C139" s="25" t="n">
        <f aca="false">IF(T138&gt;0,D138,C138)</f>
        <v>0.09765625</v>
      </c>
      <c r="D139" s="39" t="n">
        <f aca="false">(B139+C139)/2</f>
        <v>0.091796875</v>
      </c>
      <c r="E139" s="15" t="n">
        <f aca="false">$C$2*(1+IF(E$3&lt;=$O$2,$D139,$D139-($D139-$I$130)*MIN(E$3-$O$2,$Q$2)/$Q$2))</f>
        <v>15631.255859375</v>
      </c>
      <c r="F139" s="15" t="n">
        <f aca="false">E139*(1+IF(F$3&lt;=$O$2,$D139,$D139-($D139-$I$130)*MIN(F$3-$O$2,$Q$2)/$Q$2))</f>
        <v>17066.1562995911</v>
      </c>
      <c r="G139" s="15" t="n">
        <f aca="false">F139*(1+IF(G$3&lt;=$O$2,$D139,$D139-($D139-$I$130)*MIN(G$3-$O$2,$Q$2)/$Q$2))</f>
        <v>18632.7761161551</v>
      </c>
      <c r="H139" s="15" t="n">
        <f aca="false">G139*(1+IF(H$3&lt;=$O$2,$D139,$D139-($D139-$I$130)*MIN(H$3-$O$2,$Q$2)/$Q$2))</f>
        <v>20343.2067361928</v>
      </c>
      <c r="I139" s="15" t="n">
        <f aca="false">H139*(1+IF(I$3&lt;=$O$2,$D139,$D139-($D139-$I$130)*MIN(I$3-$O$2,$Q$2)/$Q$2))</f>
        <v>22210.6495420542</v>
      </c>
      <c r="J139" s="15" t="n">
        <f aca="false">I139*(1+IF(J$3&lt;=$O$2,$D139,$D139-($D139-$I$130)*MIN(J$3-$O$2,$Q$2)/$Q$2))</f>
        <v>23989.6670437489</v>
      </c>
      <c r="K139" s="15" t="n">
        <f aca="false">J139*(1+IF(K$3&lt;=$O$2,$D139,$D139-($D139-$I$130)*MIN(K$3-$O$2,$Q$2)/$Q$2))</f>
        <v>25630.5152889156</v>
      </c>
      <c r="L139" s="15" t="n">
        <f aca="false">K139*(1+IF(L$3&lt;=$O$2,$D139,$D139-($D139-$I$130)*MIN(L$3-$O$2,$Q$2)/$Q$2))</f>
        <v>27083.733467653</v>
      </c>
      <c r="M139" s="15" t="n">
        <f aca="false">L139*(1+IF(M$3&lt;=$O$2,$D139,$D139-($D139-$I$130)*MIN(M$3-$O$2,$Q$2)/$Q$2))</f>
        <v>28302.484546364</v>
      </c>
      <c r="N139" s="15" t="n">
        <f aca="false">M139*(1+IF(N$3&lt;=$O$2,$D139,$D139-($D139-$I$130)*MIN(N$3-$O$2,$Q$2)/$Q$2))</f>
        <v>29244.9572817579</v>
      </c>
      <c r="O139" s="15" t="n">
        <f aca="false">SUMPRODUCT(E139:N139,1/(1+$F$130)^$E$3:$N$3)*$E$2</f>
        <v>46680.7947776281</v>
      </c>
      <c r="P139" s="15" t="n">
        <f aca="false">N139*$E$2*(1+$I$130)/($F$130-$I$130)/(1+$F$130)^$N$3</f>
        <v>84757.6420347056</v>
      </c>
      <c r="Q139" s="15" t="n">
        <f aca="false">O139+P139</f>
        <v>131438.436812334</v>
      </c>
      <c r="R139" s="15" t="n">
        <f aca="false">Q139-$G$2+$I$2</f>
        <v>119818.436812334</v>
      </c>
      <c r="S139" s="40" t="n">
        <f aca="false">R139/$K$2</f>
        <v>406.481110059822</v>
      </c>
      <c r="T139" s="41" t="n">
        <f aca="false">S139-$M$2</f>
        <v>-3.49955282988861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0.091796875</v>
      </c>
      <c r="C140" s="25" t="n">
        <f aca="false">IF(T139&gt;0,D139,C139)</f>
        <v>0.09765625</v>
      </c>
      <c r="D140" s="39" t="n">
        <f aca="false">(B140+C140)/2</f>
        <v>0.0947265625</v>
      </c>
      <c r="E140" s="15" t="n">
        <f aca="false">$C$2*(1+IF(E$3&lt;=$O$2,$D140,$D140-($D140-$I$130)*MIN(E$3-$O$2,$Q$2)/$Q$2))</f>
        <v>15673.2001953125</v>
      </c>
      <c r="F140" s="15" t="n">
        <f aca="false">E140*(1+IF(F$3&lt;=$O$2,$D140,$D140-($D140-$I$130)*MIN(F$3-$O$2,$Q$2)/$Q$2))</f>
        <v>17157.8685731888</v>
      </c>
      <c r="G140" s="15" t="n">
        <f aca="false">F140*(1+IF(G$3&lt;=$O$2,$D140,$D140-($D140-$I$130)*MIN(G$3-$O$2,$Q$2)/$Q$2))</f>
        <v>18783.1744829537</v>
      </c>
      <c r="H140" s="15" t="n">
        <f aca="false">G140*(1+IF(H$3&lt;=$O$2,$D140,$D140-($D140-$I$130)*MIN(H$3-$O$2,$Q$2)/$Q$2))</f>
        <v>20562.4400345617</v>
      </c>
      <c r="I140" s="15" t="n">
        <f aca="false">H140*(1+IF(I$3&lt;=$O$2,$D140,$D140-($D140-$I$130)*MIN(I$3-$O$2,$Q$2)/$Q$2))</f>
        <v>22510.2492956481</v>
      </c>
      <c r="J140" s="15" t="n">
        <f aca="false">I140*(1+IF(J$3&lt;=$O$2,$D140,$D140-($D140-$I$130)*MIN(J$3-$O$2,$Q$2)/$Q$2))</f>
        <v>24366.0223853929</v>
      </c>
      <c r="K140" s="15" t="n">
        <f aca="false">J140*(1+IF(K$3&lt;=$O$2,$D140,$D140-($D140-$I$130)*MIN(K$3-$O$2,$Q$2)/$Q$2))</f>
        <v>26075.4435289861</v>
      </c>
      <c r="L140" s="15" t="n">
        <f aca="false">K140*(1+IF(L$3&lt;=$O$2,$D140,$D140-($D140-$I$130)*MIN(L$3-$O$2,$Q$2)/$Q$2))</f>
        <v>27584.4457431608</v>
      </c>
      <c r="M140" s="15" t="n">
        <f aca="false">L140*(1+IF(M$3&lt;=$O$2,$D140,$D140-($D140-$I$130)*MIN(M$3-$O$2,$Q$2)/$Q$2))</f>
        <v>28841.8913225021</v>
      </c>
      <c r="N140" s="15" t="n">
        <f aca="false">M140*(1+IF(N$3&lt;=$O$2,$D140,$D140-($D140-$I$130)*MIN(N$3-$O$2,$Q$2)/$Q$2))</f>
        <v>29802.3263035414</v>
      </c>
      <c r="O140" s="15" t="n">
        <f aca="false">SUMPRODUCT(E140:N140,1/(1+$F$130)^$E$3:$N$3)*$E$2</f>
        <v>47282.5498829241</v>
      </c>
      <c r="P140" s="15" t="n">
        <f aca="false">N140*$E$2*(1+$I$130)/($F$130-$I$130)/(1+$F$130)^$N$3</f>
        <v>86373.0071581495</v>
      </c>
      <c r="Q140" s="15" t="n">
        <f aca="false">O140+P140</f>
        <v>133655.557041074</v>
      </c>
      <c r="R140" s="15" t="n">
        <f aca="false">Q140-$G$2+$I$2</f>
        <v>122035.557041074</v>
      </c>
      <c r="S140" s="40" t="n">
        <f aca="false">R140/$K$2</f>
        <v>414.002636092796</v>
      </c>
      <c r="T140" s="41" t="n">
        <f aca="false">S140-$M$2</f>
        <v>4.02197320308585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0.091796875</v>
      </c>
      <c r="C141" s="25" t="n">
        <f aca="false">IF(T140&gt;0,D140,C140)</f>
        <v>0.0947265625</v>
      </c>
      <c r="D141" s="39" t="n">
        <f aca="false">(B141+C141)/2</f>
        <v>0.09326171875</v>
      </c>
      <c r="E141" s="15" t="n">
        <f aca="false">$C$2*(1+IF(E$3&lt;=$O$2,$D141,$D141-($D141-$I$130)*MIN(E$3-$O$2,$Q$2)/$Q$2))</f>
        <v>15652.2280273438</v>
      </c>
      <c r="F141" s="15" t="n">
        <f aca="false">E141*(1+IF(F$3&lt;=$O$2,$D141,$D141-($D141-$I$130)*MIN(F$3-$O$2,$Q$2)/$Q$2))</f>
        <v>17111.9817154408</v>
      </c>
      <c r="G141" s="15" t="n">
        <f aca="false">F141*(1+IF(G$3&lt;=$O$2,$D141,$D141-($D141-$I$130)*MIN(G$3-$O$2,$Q$2)/$Q$2))</f>
        <v>18707.8745414413</v>
      </c>
      <c r="H141" s="15" t="n">
        <f aca="false">G141*(1+IF(H$3&lt;=$O$2,$D141,$D141-($D141-$I$130)*MIN(H$3-$O$2,$Q$2)/$Q$2))</f>
        <v>20452.6030753355</v>
      </c>
      <c r="I141" s="15" t="n">
        <f aca="false">H141*(1+IF(I$3&lt;=$O$2,$D141,$D141-($D141-$I$130)*MIN(I$3-$O$2,$Q$2)/$Q$2))</f>
        <v>22360.0479910528</v>
      </c>
      <c r="J141" s="15" t="n">
        <f aca="false">I141*(1+IF(J$3&lt;=$O$2,$D141,$D141-($D141-$I$130)*MIN(J$3-$O$2,$Q$2)/$Q$2))</f>
        <v>24177.2351162557</v>
      </c>
      <c r="K141" s="15" t="n">
        <f aca="false">J141*(1+IF(K$3&lt;=$O$2,$D141,$D141-($D141-$I$130)*MIN(K$3-$O$2,$Q$2)/$Q$2))</f>
        <v>25852.1621889432</v>
      </c>
      <c r="L141" s="15" t="n">
        <f aca="false">K141*(1+IF(L$3&lt;=$O$2,$D141,$D141-($D141-$I$130)*MIN(L$3-$O$2,$Q$2)/$Q$2))</f>
        <v>27333.0952211361</v>
      </c>
      <c r="M141" s="15" t="n">
        <f aca="false">L141*(1+IF(M$3&lt;=$O$2,$D141,$D141-($D141-$I$130)*MIN(M$3-$O$2,$Q$2)/$Q$2))</f>
        <v>28571.0751656432</v>
      </c>
      <c r="N141" s="15" t="n">
        <f aca="false">M141*(1+IF(N$3&lt;=$O$2,$D141,$D141-($D141-$I$130)*MIN(N$3-$O$2,$Q$2)/$Q$2))</f>
        <v>29522.4919686592</v>
      </c>
      <c r="O141" s="15" t="n">
        <f aca="false">SUMPRODUCT(E141:N141,1/(1+$F$130)^$E$3:$N$3)*$E$2</f>
        <v>46980.7150870115</v>
      </c>
      <c r="P141" s="15" t="n">
        <f aca="false">N141*$E$2*(1+$I$130)/($F$130-$I$130)/(1+$F$130)^$N$3</f>
        <v>85561.9921802011</v>
      </c>
      <c r="Q141" s="15" t="n">
        <f aca="false">O141+P141</f>
        <v>132542.707267213</v>
      </c>
      <c r="R141" s="15" t="n">
        <f aca="false">Q141-$G$2+$I$2</f>
        <v>120922.707267213</v>
      </c>
      <c r="S141" s="40" t="n">
        <f aca="false">R141/$K$2</f>
        <v>410.227320511628</v>
      </c>
      <c r="T141" s="41" t="n">
        <f aca="false">S141-$M$2</f>
        <v>0.246657621917564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0.091796875</v>
      </c>
      <c r="C142" s="25" t="n">
        <f aca="false">IF(T141&gt;0,D141,C141)</f>
        <v>0.09326171875</v>
      </c>
      <c r="D142" s="39" t="n">
        <f aca="false">(B142+C142)/2</f>
        <v>0.092529296875</v>
      </c>
      <c r="E142" s="15" t="n">
        <f aca="false">$C$2*(1+IF(E$3&lt;=$O$2,$D142,$D142-($D142-$I$130)*MIN(E$3-$O$2,$Q$2)/$Q$2))</f>
        <v>15641.7419433594</v>
      </c>
      <c r="F142" s="15" t="n">
        <f aca="false">E142*(1+IF(F$3&lt;=$O$2,$D142,$D142-($D142-$I$130)*MIN(F$3-$O$2,$Q$2)/$Q$2))</f>
        <v>17089.0613272786</v>
      </c>
      <c r="G142" s="15" t="n">
        <f aca="false">F142*(1+IF(G$3&lt;=$O$2,$D142,$D142-($D142-$I$130)*MIN(G$3-$O$2,$Q$2)/$Q$2))</f>
        <v>18670.3001561455</v>
      </c>
      <c r="H142" s="15" t="n">
        <f aca="false">G142*(1+IF(H$3&lt;=$O$2,$D142,$D142-($D142-$I$130)*MIN(H$3-$O$2,$Q$2)/$Q$2))</f>
        <v>20397.8499020388</v>
      </c>
      <c r="I142" s="15" t="n">
        <f aca="false">H142*(1+IF(I$3&lt;=$O$2,$D142,$D142-($D142-$I$130)*MIN(I$3-$O$2,$Q$2)/$Q$2))</f>
        <v>22285.2486112362</v>
      </c>
      <c r="J142" s="15" t="n">
        <f aca="false">I142*(1+IF(J$3&lt;=$O$2,$D142,$D142-($D142-$I$130)*MIN(J$3-$O$2,$Q$2)/$Q$2))</f>
        <v>24083.2990747329</v>
      </c>
      <c r="K142" s="15" t="n">
        <f aca="false">J142*(1+IF(K$3&lt;=$O$2,$D142,$D142-($D142-$I$130)*MIN(K$3-$O$2,$Q$2)/$Q$2))</f>
        <v>25741.1350562975</v>
      </c>
      <c r="L142" s="15" t="n">
        <f aca="false">K142*(1+IF(L$3&lt;=$O$2,$D142,$D142-($D142-$I$130)*MIN(L$3-$O$2,$Q$2)/$Q$2))</f>
        <v>27208.1665857318</v>
      </c>
      <c r="M142" s="15" t="n">
        <f aca="false">L142*(1+IF(M$3&lt;=$O$2,$D142,$D142-($D142-$I$130)*MIN(M$3-$O$2,$Q$2)/$Q$2))</f>
        <v>28436.5026482628</v>
      </c>
      <c r="N142" s="15" t="n">
        <f aca="false">M142*(1+IF(N$3&lt;=$O$2,$D142,$D142-($D142-$I$130)*MIN(N$3-$O$2,$Q$2)/$Q$2))</f>
        <v>29383.43818645</v>
      </c>
      <c r="O142" s="15" t="n">
        <f aca="false">SUMPRODUCT(E142:N142,1/(1+$F$130)^$E$3:$N$3)*$E$2</f>
        <v>46830.5163254964</v>
      </c>
      <c r="P142" s="15" t="n">
        <f aca="false">N142*$E$2*(1+$I$130)/($F$130-$I$130)/(1+$F$130)^$N$3</f>
        <v>85158.9869515558</v>
      </c>
      <c r="Q142" s="15" t="n">
        <f aca="false">O142+P142</f>
        <v>131989.503277052</v>
      </c>
      <c r="R142" s="15" t="n">
        <f aca="false">Q142-$G$2+$I$2</f>
        <v>120369.503277052</v>
      </c>
      <c r="S142" s="40" t="n">
        <f aca="false">R142/$K$2</f>
        <v>408.35058953439</v>
      </c>
      <c r="T142" s="41" t="n">
        <f aca="false">S142-$M$2</f>
        <v>-1.63007335532018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0.092529296875</v>
      </c>
      <c r="C143" s="25" t="n">
        <f aca="false">IF(T142&gt;0,D142,C142)</f>
        <v>0.09326171875</v>
      </c>
      <c r="D143" s="39" t="n">
        <f aca="false">(B143+C143)/2</f>
        <v>0.0928955078125</v>
      </c>
      <c r="E143" s="15" t="n">
        <f aca="false">$C$2*(1+IF(E$3&lt;=$O$2,$D143,$D143-($D143-$I$130)*MIN(E$3-$O$2,$Q$2)/$Q$2))</f>
        <v>15646.9849853516</v>
      </c>
      <c r="F143" s="15" t="n">
        <f aca="false">E143*(1+IF(F$3&lt;=$O$2,$D143,$D143-($D143-$I$130)*MIN(F$3-$O$2,$Q$2)/$Q$2))</f>
        <v>17100.5196013004</v>
      </c>
      <c r="G143" s="15" t="n">
        <f aca="false">F143*(1+IF(G$3&lt;=$O$2,$D143,$D143-($D143-$I$130)*MIN(G$3-$O$2,$Q$2)/$Q$2))</f>
        <v>18689.0810535208</v>
      </c>
      <c r="H143" s="15" t="n">
        <f aca="false">G143*(1+IF(H$3&lt;=$O$2,$D143,$D143-($D143-$I$130)*MIN(H$3-$O$2,$Q$2)/$Q$2))</f>
        <v>20425.2127285365</v>
      </c>
      <c r="I143" s="15" t="n">
        <f aca="false">H143*(1+IF(I$3&lt;=$O$2,$D143,$D143-($D143-$I$130)*MIN(I$3-$O$2,$Q$2)/$Q$2))</f>
        <v>22322.6232371323</v>
      </c>
      <c r="J143" s="15" t="n">
        <f aca="false">I143*(1+IF(J$3&lt;=$O$2,$D143,$D143-($D143-$I$130)*MIN(J$3-$O$2,$Q$2)/$Q$2))</f>
        <v>24130.229044948</v>
      </c>
      <c r="K143" s="15" t="n">
        <f aca="false">J143*(1+IF(K$3&lt;=$O$2,$D143,$D143-($D143-$I$130)*MIN(K$3-$O$2,$Q$2)/$Q$2))</f>
        <v>25796.5976242841</v>
      </c>
      <c r="L143" s="15" t="n">
        <f aca="false">K143*(1+IF(L$3&lt;=$O$2,$D143,$D143-($D143-$I$130)*MIN(L$3-$O$2,$Q$2)/$Q$2))</f>
        <v>27270.5688592744</v>
      </c>
      <c r="M143" s="15" t="n">
        <f aca="false">L143*(1+IF(M$3&lt;=$O$2,$D143,$D143-($D143-$I$130)*MIN(M$3-$O$2,$Q$2)/$Q$2))</f>
        <v>28503.7194821891</v>
      </c>
      <c r="N143" s="15" t="n">
        <f aca="false">M143*(1+IF(N$3&lt;=$O$2,$D143,$D143-($D143-$I$130)*MIN(N$3-$O$2,$Q$2)/$Q$2))</f>
        <v>29452.893340946</v>
      </c>
      <c r="O143" s="15" t="n">
        <f aca="false">SUMPRODUCT(E143:N143,1/(1+$F$130)^$E$3:$N$3)*$E$2</f>
        <v>46905.5559666892</v>
      </c>
      <c r="P143" s="15" t="n">
        <f aca="false">N143*$E$2*(1+$I$130)/($F$130-$I$130)/(1+$F$130)^$N$3</f>
        <v>85360.2816590679</v>
      </c>
      <c r="Q143" s="15" t="n">
        <f aca="false">O143+P143</f>
        <v>132265.837625757</v>
      </c>
      <c r="R143" s="15" t="n">
        <f aca="false">Q143-$G$2+$I$2</f>
        <v>120645.837625757</v>
      </c>
      <c r="S143" s="40" t="n">
        <f aca="false">R143/$K$2</f>
        <v>409.288047039241</v>
      </c>
      <c r="T143" s="41" t="n">
        <f aca="false">S143-$M$2</f>
        <v>-0.692615850469451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0.0928955078125</v>
      </c>
      <c r="C144" s="25" t="n">
        <f aca="false">IF(T143&gt;0,D143,C143)</f>
        <v>0.09326171875</v>
      </c>
      <c r="D144" s="39" t="n">
        <f aca="false">(B144+C144)/2</f>
        <v>0.09307861328125</v>
      </c>
      <c r="E144" s="15" t="n">
        <f aca="false">$C$2*(1+IF(E$3&lt;=$O$2,$D144,$D144-($D144-$I$130)*MIN(E$3-$O$2,$Q$2)/$Q$2))</f>
        <v>15649.6065063477</v>
      </c>
      <c r="F144" s="15" t="n">
        <f aca="false">E144*(1+IF(F$3&lt;=$O$2,$D144,$D144-($D144-$I$130)*MIN(F$3-$O$2,$Q$2)/$Q$2))</f>
        <v>17106.2501783557</v>
      </c>
      <c r="G144" s="15" t="n">
        <f aca="false">F144*(1+IF(G$3&lt;=$O$2,$D144,$D144-($D144-$I$130)*MIN(G$3-$O$2,$Q$2)/$Q$2))</f>
        <v>18698.4762233992</v>
      </c>
      <c r="H144" s="15" t="n">
        <f aca="false">G144*(1+IF(H$3&lt;=$O$2,$D144,$D144-($D144-$I$130)*MIN(H$3-$O$2,$Q$2)/$Q$2))</f>
        <v>20438.9044607456</v>
      </c>
      <c r="I144" s="15" t="n">
        <f aca="false">H144*(1+IF(I$3&lt;=$O$2,$D144,$D144-($D144-$I$130)*MIN(I$3-$O$2,$Q$2)/$Q$2))</f>
        <v>22341.3293449398</v>
      </c>
      <c r="J144" s="15" t="n">
        <f aca="false">I144*(1+IF(J$3&lt;=$O$2,$D144,$D144-($D144-$I$130)*MIN(J$3-$O$2,$Q$2)/$Q$2))</f>
        <v>24153.7225618065</v>
      </c>
      <c r="K144" s="15" t="n">
        <f aca="false">J144*(1+IF(K$3&lt;=$O$2,$D144,$D144-($D144-$I$130)*MIN(K$3-$O$2,$Q$2)/$Q$2))</f>
        <v>25824.3671473095</v>
      </c>
      <c r="L144" s="15" t="n">
        <f aca="false">K144*(1+IF(L$3&lt;=$O$2,$D144,$D144-($D144-$I$130)*MIN(L$3-$O$2,$Q$2)/$Q$2))</f>
        <v>27301.8165160877</v>
      </c>
      <c r="M144" s="15" t="n">
        <f aca="false">L144*(1+IF(M$3&lt;=$O$2,$D144,$D144-($D144-$I$130)*MIN(M$3-$O$2,$Q$2)/$Q$2))</f>
        <v>28537.3799523516</v>
      </c>
      <c r="N144" s="15" t="n">
        <f aca="false">M144*(1+IF(N$3&lt;=$O$2,$D144,$D144-($D144-$I$130)*MIN(N$3-$O$2,$Q$2)/$Q$2))</f>
        <v>29487.6747047649</v>
      </c>
      <c r="O144" s="15" t="n">
        <f aca="false">SUMPRODUCT(E144:N144,1/(1+$F$130)^$E$3:$N$3)*$E$2</f>
        <v>46943.1205809646</v>
      </c>
      <c r="P144" s="15" t="n">
        <f aca="false">N144*$E$2*(1+$I$130)/($F$130-$I$130)/(1+$F$130)^$N$3</f>
        <v>85461.0848968926</v>
      </c>
      <c r="Q144" s="15" t="n">
        <f aca="false">O144+P144</f>
        <v>132404.205477857</v>
      </c>
      <c r="R144" s="15" t="n">
        <f aca="false">Q144-$G$2+$I$2</f>
        <v>120784.205477857</v>
      </c>
      <c r="S144" s="40" t="n">
        <f aca="false">R144/$K$2</f>
        <v>409.757456586007</v>
      </c>
      <c r="T144" s="41" t="n">
        <f aca="false">S144-$M$2</f>
        <v>-0.223206303703932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0.09307861328125</v>
      </c>
      <c r="C145" s="25" t="n">
        <f aca="false">IF(T144&gt;0,D144,C144)</f>
        <v>0.09326171875</v>
      </c>
      <c r="D145" s="39" t="n">
        <f aca="false">(B145+C145)/2</f>
        <v>0.093170166015625</v>
      </c>
      <c r="E145" s="15" t="n">
        <f aca="false">$C$2*(1+IF(E$3&lt;=$O$2,$D145,$D145-($D145-$I$130)*MIN(E$3-$O$2,$Q$2)/$Q$2))</f>
        <v>15650.9172668457</v>
      </c>
      <c r="F145" s="15" t="n">
        <f aca="false">E145*(1+IF(F$3&lt;=$O$2,$D145,$D145-($D145-$I$130)*MIN(F$3-$O$2,$Q$2)/$Q$2))</f>
        <v>17109.1158268945</v>
      </c>
      <c r="G145" s="15" t="n">
        <f aca="false">F145*(1+IF(G$3&lt;=$O$2,$D145,$D145-($D145-$I$130)*MIN(G$3-$O$2,$Q$2)/$Q$2))</f>
        <v>18703.1749888669</v>
      </c>
      <c r="H145" s="15" t="n">
        <f aca="false">G145*(1+IF(H$3&lt;=$O$2,$D145,$D145-($D145-$I$130)*MIN(H$3-$O$2,$Q$2)/$Q$2))</f>
        <v>20445.7529075989</v>
      </c>
      <c r="I145" s="15" t="n">
        <f aca="false">H145*(1+IF(I$3&lt;=$O$2,$D145,$D145-($D145-$I$130)*MIN(I$3-$O$2,$Q$2)/$Q$2))</f>
        <v>22350.6871003143</v>
      </c>
      <c r="J145" s="15" t="n">
        <f aca="false">I145*(1+IF(J$3&lt;=$O$2,$D145,$D145-($D145-$I$130)*MIN(J$3-$O$2,$Q$2)/$Q$2))</f>
        <v>24165.476458562</v>
      </c>
      <c r="K145" s="15" t="n">
        <f aca="false">J145*(1+IF(K$3&lt;=$O$2,$D145,$D145-($D145-$I$130)*MIN(K$3-$O$2,$Q$2)/$Q$2))</f>
        <v>25838.2614770846</v>
      </c>
      <c r="L145" s="15" t="n">
        <f aca="false">K145*(1+IF(L$3&lt;=$O$2,$D145,$D145-($D145-$I$130)*MIN(L$3-$O$2,$Q$2)/$Q$2))</f>
        <v>27317.4519859468</v>
      </c>
      <c r="M145" s="15" t="n">
        <f aca="false">L145*(1+IF(M$3&lt;=$O$2,$D145,$D145-($D145-$I$130)*MIN(M$3-$O$2,$Q$2)/$Q$2))</f>
        <v>28554.2232141834</v>
      </c>
      <c r="N145" s="15" t="n">
        <f aca="false">M145*(1+IF(N$3&lt;=$O$2,$D145,$D145-($D145-$I$130)*MIN(N$3-$O$2,$Q$2)/$Q$2))</f>
        <v>29505.0788472157</v>
      </c>
      <c r="O145" s="15" t="n">
        <f aca="false">SUMPRODUCT(E145:N145,1/(1+$F$130)^$E$3:$N$3)*$E$2</f>
        <v>46961.9140961415</v>
      </c>
      <c r="P145" s="15" t="n">
        <f aca="false">N145*$E$2*(1+$I$130)/($F$130-$I$130)/(1+$F$130)^$N$3</f>
        <v>85511.5255271028</v>
      </c>
      <c r="Q145" s="15" t="n">
        <f aca="false">O145+P145</f>
        <v>132473.439623244</v>
      </c>
      <c r="R145" s="15" t="n">
        <f aca="false">Q145-$G$2+$I$2</f>
        <v>120853.439623244</v>
      </c>
      <c r="S145" s="40" t="n">
        <f aca="false">R145/$K$2</f>
        <v>409.992331727259</v>
      </c>
      <c r="T145" s="41" t="n">
        <f aca="false">S145-$M$2</f>
        <v>0.0116688375487684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0.09307861328125</v>
      </c>
      <c r="C146" s="25" t="n">
        <f aca="false">IF(T145&gt;0,D145,C145)</f>
        <v>0.093170166015625</v>
      </c>
      <c r="D146" s="39" t="n">
        <f aca="false">(B146+C146)/2</f>
        <v>0.0931243896484375</v>
      </c>
      <c r="E146" s="15" t="n">
        <f aca="false">$C$2*(1+IF(E$3&lt;=$O$2,$D146,$D146-($D146-$I$130)*MIN(E$3-$O$2,$Q$2)/$Q$2))</f>
        <v>15650.2618865967</v>
      </c>
      <c r="F146" s="15" t="n">
        <f aca="false">E146*(1+IF(F$3&lt;=$O$2,$D146,$D146-($D146-$I$130)*MIN(F$3-$O$2,$Q$2)/$Q$2))</f>
        <v>17107.6829726242</v>
      </c>
      <c r="G146" s="15" t="n">
        <f aca="false">F146*(1+IF(G$3&lt;=$O$2,$D146,$D146-($D146-$I$130)*MIN(G$3-$O$2,$Q$2)/$Q$2))</f>
        <v>18700.8255077488</v>
      </c>
      <c r="H146" s="15" t="n">
        <f aca="false">G146*(1+IF(H$3&lt;=$O$2,$D146,$D146-($D146-$I$130)*MIN(H$3-$O$2,$Q$2)/$Q$2))</f>
        <v>20442.3284690798</v>
      </c>
      <c r="I146" s="15" t="n">
        <f aca="false">H146*(1+IF(I$3&lt;=$O$2,$D146,$D146-($D146-$I$130)*MIN(I$3-$O$2,$Q$2)/$Q$2))</f>
        <v>22346.0078307558</v>
      </c>
      <c r="J146" s="15" t="n">
        <f aca="false">I146*(1+IF(J$3&lt;=$O$2,$D146,$D146-($D146-$I$130)*MIN(J$3-$O$2,$Q$2)/$Q$2))</f>
        <v>24159.5989151633</v>
      </c>
      <c r="K146" s="15" t="n">
        <f aca="false">J146*(1+IF(K$3&lt;=$O$2,$D146,$D146-($D146-$I$130)*MIN(K$3-$O$2,$Q$2)/$Q$2))</f>
        <v>25831.3135145886</v>
      </c>
      <c r="L146" s="15" t="n">
        <f aca="false">K146*(1+IF(L$3&lt;=$O$2,$D146,$D146-($D146-$I$130)*MIN(L$3-$O$2,$Q$2)/$Q$2))</f>
        <v>27309.6332805555</v>
      </c>
      <c r="M146" s="15" t="n">
        <f aca="false">L146*(1+IF(M$3&lt;=$O$2,$D146,$D146-($D146-$I$130)*MIN(M$3-$O$2,$Q$2)/$Q$2))</f>
        <v>28545.8004973044</v>
      </c>
      <c r="N146" s="15" t="n">
        <f aca="false">M146*(1+IF(N$3&lt;=$O$2,$D146,$D146-($D146-$I$130)*MIN(N$3-$O$2,$Q$2)/$Q$2))</f>
        <v>29496.3756538646</v>
      </c>
      <c r="O146" s="15" t="n">
        <f aca="false">SUMPRODUCT(E146:N146,1/(1+$F$130)^$E$3:$N$3)*$E$2</f>
        <v>46952.5164042633</v>
      </c>
      <c r="P146" s="15" t="n">
        <f aca="false">N146*$E$2*(1+$I$130)/($F$130-$I$130)/(1+$F$130)^$N$3</f>
        <v>85486.3019598567</v>
      </c>
      <c r="Q146" s="15" t="n">
        <f aca="false">O146+P146</f>
        <v>132438.81836412</v>
      </c>
      <c r="R146" s="15" t="n">
        <f aca="false">Q146-$G$2+$I$2</f>
        <v>120818.81836412</v>
      </c>
      <c r="S146" s="40" t="n">
        <f aca="false">R146/$K$2</f>
        <v>409.874879954269</v>
      </c>
      <c r="T146" s="41" t="n">
        <f aca="false">S146-$M$2</f>
        <v>-0.105782935441312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0.0931243896484375</v>
      </c>
      <c r="C147" s="25" t="n">
        <f aca="false">IF(T146&gt;0,D146,C146)</f>
        <v>0.093170166015625</v>
      </c>
      <c r="D147" s="39" t="n">
        <f aca="false">(B147+C147)/2</f>
        <v>0.0931472778320313</v>
      </c>
      <c r="E147" s="15" t="n">
        <f aca="false">$C$2*(1+IF(E$3&lt;=$O$2,$D147,$D147-($D147-$I$130)*MIN(E$3-$O$2,$Q$2)/$Q$2))</f>
        <v>15650.5895767212</v>
      </c>
      <c r="F147" s="15" t="n">
        <f aca="false">E147*(1+IF(F$3&lt;=$O$2,$D147,$D147-($D147-$I$130)*MIN(F$3-$O$2,$Q$2)/$Q$2))</f>
        <v>17108.3993922591</v>
      </c>
      <c r="G147" s="15" t="n">
        <f aca="false">F147*(1+IF(G$3&lt;=$O$2,$D147,$D147-($D147-$I$130)*MIN(G$3-$O$2,$Q$2)/$Q$2))</f>
        <v>18702.0002237113</v>
      </c>
      <c r="H147" s="15" t="n">
        <f aca="false">G147*(1+IF(H$3&lt;=$O$2,$D147,$D147-($D147-$I$130)*MIN(H$3-$O$2,$Q$2)/$Q$2))</f>
        <v>20444.040634564</v>
      </c>
      <c r="I147" s="15" t="n">
        <f aca="false">H147*(1+IF(I$3&lt;=$O$2,$D147,$D147-($D147-$I$130)*MIN(I$3-$O$2,$Q$2)/$Q$2))</f>
        <v>22348.3473675611</v>
      </c>
      <c r="J147" s="15" t="n">
        <f aca="false">I147*(1+IF(J$3&lt;=$O$2,$D147,$D147-($D147-$I$130)*MIN(J$3-$O$2,$Q$2)/$Q$2))</f>
        <v>24162.5375380954</v>
      </c>
      <c r="K147" s="15" t="n">
        <f aca="false">J147*(1+IF(K$3&lt;=$O$2,$D147,$D147-($D147-$I$130)*MIN(K$3-$O$2,$Q$2)/$Q$2))</f>
        <v>25834.7872964155</v>
      </c>
      <c r="L147" s="15" t="n">
        <f aca="false">K147*(1+IF(L$3&lt;=$O$2,$D147,$D147-($D147-$I$130)*MIN(L$3-$O$2,$Q$2)/$Q$2))</f>
        <v>27313.5423906102</v>
      </c>
      <c r="M147" s="15" t="n">
        <f aca="false">L147*(1+IF(M$3&lt;=$O$2,$D147,$D147-($D147-$I$130)*MIN(M$3-$O$2,$Q$2)/$Q$2))</f>
        <v>28550.011584223</v>
      </c>
      <c r="N147" s="15" t="n">
        <f aca="false">M147*(1+IF(N$3&lt;=$O$2,$D147,$D147-($D147-$I$130)*MIN(N$3-$O$2,$Q$2)/$Q$2))</f>
        <v>29500.7269699777</v>
      </c>
      <c r="O147" s="15" t="n">
        <f aca="false">SUMPRODUCT(E147:N147,1/(1+$F$130)^$E$3:$N$3)*$E$2</f>
        <v>46957.2150166085</v>
      </c>
      <c r="P147" s="15" t="n">
        <f aca="false">N147*$E$2*(1+$I$130)/($F$130-$I$130)/(1+$F$130)^$N$3</f>
        <v>85498.9129303544</v>
      </c>
      <c r="Q147" s="15" t="n">
        <f aca="false">O147+P147</f>
        <v>132456.127946963</v>
      </c>
      <c r="R147" s="15" t="n">
        <f aca="false">Q147-$G$2+$I$2</f>
        <v>120836.127946963</v>
      </c>
      <c r="S147" s="40" t="n">
        <f aca="false">R147/$K$2</f>
        <v>409.933602289795</v>
      </c>
      <c r="T147" s="41" t="n">
        <f aca="false">S147-$M$2</f>
        <v>-0.0470605999154827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0.0931472778320313</v>
      </c>
      <c r="C148" s="25" t="n">
        <f aca="false">IF(T147&gt;0,D147,C147)</f>
        <v>0.093170166015625</v>
      </c>
      <c r="D148" s="39" t="n">
        <f aca="false">(B148+C148)/2</f>
        <v>0.0931587219238281</v>
      </c>
      <c r="E148" s="15" t="n">
        <f aca="false">$C$2*(1+IF(E$3&lt;=$O$2,$D148,$D148-($D148-$I$130)*MIN(E$3-$O$2,$Q$2)/$Q$2))</f>
        <v>15650.7534217834</v>
      </c>
      <c r="F148" s="15" t="n">
        <f aca="false">E148*(1+IF(F$3&lt;=$O$2,$D148,$D148-($D148-$I$130)*MIN(F$3-$O$2,$Q$2)/$Q$2))</f>
        <v>17108.7576077018</v>
      </c>
      <c r="G148" s="15" t="n">
        <f aca="false">F148*(1+IF(G$3&lt;=$O$2,$D148,$D148-($D148-$I$130)*MIN(G$3-$O$2,$Q$2)/$Q$2))</f>
        <v>18702.5876001398</v>
      </c>
      <c r="H148" s="15" t="n">
        <f aca="false">G148*(1+IF(H$3&lt;=$O$2,$D148,$D148-($D148-$I$130)*MIN(H$3-$O$2,$Q$2)/$Q$2))</f>
        <v>20444.8967576373</v>
      </c>
      <c r="I148" s="15" t="n">
        <f aca="false">H148*(1+IF(I$3&lt;=$O$2,$D148,$D148-($D148-$I$130)*MIN(I$3-$O$2,$Q$2)/$Q$2))</f>
        <v>22349.5172094434</v>
      </c>
      <c r="J148" s="15" t="n">
        <f aca="false">I148*(1+IF(J$3&lt;=$O$2,$D148,$D148-($D148-$I$130)*MIN(J$3-$O$2,$Q$2)/$Q$2))</f>
        <v>24164.0069611354</v>
      </c>
      <c r="K148" s="15" t="n">
        <f aca="false">J148*(1+IF(K$3&lt;=$O$2,$D148,$D148-($D148-$I$130)*MIN(K$3-$O$2,$Q$2)/$Q$2))</f>
        <v>25836.5243368924</v>
      </c>
      <c r="L148" s="15" t="n">
        <f aca="false">K148*(1+IF(L$3&lt;=$O$2,$D148,$D148-($D148-$I$130)*MIN(L$3-$O$2,$Q$2)/$Q$2))</f>
        <v>27315.4971276151</v>
      </c>
      <c r="M148" s="15" t="n">
        <f aca="false">L148*(1+IF(M$3&lt;=$O$2,$D148,$D148-($D148-$I$130)*MIN(M$3-$O$2,$Q$2)/$Q$2))</f>
        <v>28552.1173313192</v>
      </c>
      <c r="N148" s="15" t="n">
        <f aca="false">M148*(1+IF(N$3&lt;=$O$2,$D148,$D148-($D148-$I$130)*MIN(N$3-$O$2,$Q$2)/$Q$2))</f>
        <v>29502.9028384522</v>
      </c>
      <c r="O148" s="15" t="n">
        <f aca="false">SUMPRODUCT(E148:N148,1/(1+$F$130)^$E$3:$N$3)*$E$2</f>
        <v>46959.5644979738</v>
      </c>
      <c r="P148" s="15" t="n">
        <f aca="false">N148*$E$2*(1+$I$130)/($F$130-$I$130)/(1+$F$130)^$N$3</f>
        <v>85505.219025436</v>
      </c>
      <c r="Q148" s="15" t="n">
        <f aca="false">O148+P148</f>
        <v>132464.78352341</v>
      </c>
      <c r="R148" s="15" t="n">
        <f aca="false">Q148-$G$2+$I$2</f>
        <v>120844.78352341</v>
      </c>
      <c r="S148" s="40" t="n">
        <f aca="false">R148/$K$2</f>
        <v>409.962966120738</v>
      </c>
      <c r="T148" s="41" t="n">
        <f aca="false">S148-$M$2</f>
        <v>-0.0176967689729395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0.0931587219238281</v>
      </c>
      <c r="C149" s="25" t="n">
        <f aca="false">IF(T148&gt;0,D148,C148)</f>
        <v>0.093170166015625</v>
      </c>
      <c r="D149" s="39" t="n">
        <f aca="false">(B149+C149)/2</f>
        <v>0.0931644439697266</v>
      </c>
      <c r="E149" s="15" t="n">
        <f aca="false">$C$2*(1+IF(E$3&lt;=$O$2,$D149,$D149-($D149-$I$130)*MIN(E$3-$O$2,$Q$2)/$Q$2))</f>
        <v>15650.8353443146</v>
      </c>
      <c r="F149" s="15" t="n">
        <f aca="false">E149*(1+IF(F$3&lt;=$O$2,$D149,$D149-($D149-$I$130)*MIN(F$3-$O$2,$Q$2)/$Q$2))</f>
        <v>17108.9367168294</v>
      </c>
      <c r="G149" s="15" t="n">
        <f aca="false">F149*(1+IF(G$3&lt;=$O$2,$D149,$D149-($D149-$I$130)*MIN(G$3-$O$2,$Q$2)/$Q$2))</f>
        <v>18702.881292966</v>
      </c>
      <c r="H149" s="15" t="n">
        <f aca="false">G149*(1+IF(H$3&lt;=$O$2,$D149,$D149-($D149-$I$130)*MIN(H$3-$O$2,$Q$2)/$Q$2))</f>
        <v>20445.324829257</v>
      </c>
      <c r="I149" s="15" t="n">
        <f aca="false">H149*(1+IF(I$3&lt;=$O$2,$D149,$D149-($D149-$I$130)*MIN(I$3-$O$2,$Q$2)/$Q$2))</f>
        <v>22350.1021487552</v>
      </c>
      <c r="J149" s="15" t="n">
        <f aca="false">I149*(1+IF(J$3&lt;=$O$2,$D149,$D149-($D149-$I$130)*MIN(J$3-$O$2,$Q$2)/$Q$2))</f>
        <v>24164.7417005502</v>
      </c>
      <c r="K149" s="15" t="n">
        <f aca="false">J149*(1+IF(K$3&lt;=$O$2,$D149,$D149-($D149-$I$130)*MIN(K$3-$O$2,$Q$2)/$Q$2))</f>
        <v>25837.3928945238</v>
      </c>
      <c r="L149" s="15" t="n">
        <f aca="false">K149*(1+IF(L$3&lt;=$O$2,$D149,$D149-($D149-$I$130)*MIN(L$3-$O$2,$Q$2)/$Q$2))</f>
        <v>27316.4745416147</v>
      </c>
      <c r="M149" s="15" t="n">
        <f aca="false">L149*(1+IF(M$3&lt;=$O$2,$D149,$D149-($D149-$I$130)*MIN(M$3-$O$2,$Q$2)/$Q$2))</f>
        <v>28553.1702557798</v>
      </c>
      <c r="N149" s="15" t="n">
        <f aca="false">M149*(1+IF(N$3&lt;=$O$2,$D149,$D149-($D149-$I$130)*MIN(N$3-$O$2,$Q$2)/$Q$2))</f>
        <v>29503.9908252973</v>
      </c>
      <c r="O149" s="15" t="n">
        <f aca="false">SUMPRODUCT(E149:N149,1/(1+$F$130)^$E$3:$N$3)*$E$2</f>
        <v>46960.739282457</v>
      </c>
      <c r="P149" s="15" t="n">
        <f aca="false">N149*$E$2*(1+$I$130)/($F$130-$I$130)/(1+$F$130)^$N$3</f>
        <v>85508.3722254448</v>
      </c>
      <c r="Q149" s="15" t="n">
        <f aca="false">O149+P149</f>
        <v>132469.111507902</v>
      </c>
      <c r="R149" s="15" t="n">
        <f aca="false">Q149-$G$2+$I$2</f>
        <v>120849.111507902</v>
      </c>
      <c r="S149" s="40" t="n">
        <f aca="false">R149/$K$2</f>
        <v>409.977648702045</v>
      </c>
      <c r="T149" s="41" t="n">
        <f aca="false">S149-$M$2</f>
        <v>-0.00301418766537154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0.0931644439697266</v>
      </c>
      <c r="C150" s="25" t="n">
        <f aca="false">IF(T149&gt;0,D149,C149)</f>
        <v>0.093170166015625</v>
      </c>
      <c r="D150" s="39" t="n">
        <f aca="false">(B150+C150)/2</f>
        <v>0.0931673049926758</v>
      </c>
      <c r="E150" s="15" t="n">
        <f aca="false">$C$2*(1+IF(E$3&lt;=$O$2,$D150,$D150-($D150-$I$130)*MIN(E$3-$O$2,$Q$2)/$Q$2))</f>
        <v>15650.8763055801</v>
      </c>
      <c r="F150" s="15" t="n">
        <f aca="false">E150*(1+IF(F$3&lt;=$O$2,$D150,$D150-($D150-$I$130)*MIN(F$3-$O$2,$Q$2)/$Q$2))</f>
        <v>17109.0262717448</v>
      </c>
      <c r="G150" s="15" t="n">
        <f aca="false">F150*(1+IF(G$3&lt;=$O$2,$D150,$D150-($D150-$I$130)*MIN(G$3-$O$2,$Q$2)/$Q$2))</f>
        <v>18703.0281405321</v>
      </c>
      <c r="H150" s="15" t="n">
        <f aca="false">G150*(1+IF(H$3&lt;=$O$2,$D150,$D150-($D150-$I$130)*MIN(H$3-$O$2,$Q$2)/$Q$2))</f>
        <v>20445.5388675877</v>
      </c>
      <c r="I150" s="15" t="n">
        <f aca="false">H150*(1+IF(I$3&lt;=$O$2,$D150,$D150-($D150-$I$130)*MIN(I$3-$O$2,$Q$2)/$Q$2))</f>
        <v>22350.3946230038</v>
      </c>
      <c r="J150" s="15" t="n">
        <f aca="false">I150*(1+IF(J$3&lt;=$O$2,$D150,$D150-($D150-$I$130)*MIN(J$3-$O$2,$Q$2)/$Q$2))</f>
        <v>24165.1090772315</v>
      </c>
      <c r="K150" s="15" t="n">
        <f aca="false">J150*(1+IF(K$3&lt;=$O$2,$D150,$D150-($D150-$I$130)*MIN(K$3-$O$2,$Q$2)/$Q$2))</f>
        <v>25837.827182688</v>
      </c>
      <c r="L150" s="15" t="n">
        <f aca="false">K150*(1+IF(L$3&lt;=$O$2,$D150,$D150-($D150-$I$130)*MIN(L$3-$O$2,$Q$2)/$Q$2))</f>
        <v>27316.9632599891</v>
      </c>
      <c r="M150" s="15" t="n">
        <f aca="false">L150*(1+IF(M$3&lt;=$O$2,$D150,$D150-($D150-$I$130)*MIN(M$3-$O$2,$Q$2)/$Q$2))</f>
        <v>28553.6967307387</v>
      </c>
      <c r="N150" s="15" t="n">
        <f aca="false">M150*(1+IF(N$3&lt;=$O$2,$D150,$D150-($D150-$I$130)*MIN(N$3-$O$2,$Q$2)/$Q$2))</f>
        <v>29504.5348318723</v>
      </c>
      <c r="O150" s="15" t="n">
        <f aca="false">SUMPRODUCT(E150:N150,1/(1+$F$130)^$E$3:$N$3)*$E$2</f>
        <v>46961.3266856491</v>
      </c>
      <c r="P150" s="15" t="n">
        <f aca="false">N150*$E$2*(1+$I$130)/($F$130-$I$130)/(1+$F$130)^$N$3</f>
        <v>85509.9488635675</v>
      </c>
      <c r="Q150" s="15" t="n">
        <f aca="false">O150+P150</f>
        <v>132471.275549217</v>
      </c>
      <c r="R150" s="15" t="n">
        <f aca="false">Q150-$G$2+$I$2</f>
        <v>120851.275549217</v>
      </c>
      <c r="S150" s="40" t="n">
        <f aca="false">R150/$K$2</f>
        <v>409.984990159163</v>
      </c>
      <c r="T150" s="41" t="n">
        <f aca="false">S150-$M$2</f>
        <v>0.00432726945268769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0.0931644439697266</v>
      </c>
      <c r="C151" s="25" t="n">
        <f aca="false">IF(T150&gt;0,D150,C150)</f>
        <v>0.0931673049926758</v>
      </c>
      <c r="D151" s="39" t="n">
        <f aca="false">(B151+C151)/2</f>
        <v>0.0931658744812012</v>
      </c>
      <c r="E151" s="15" t="n">
        <f aca="false">$C$2*(1+IF(E$3&lt;=$O$2,$D151,$D151-($D151-$I$130)*MIN(E$3-$O$2,$Q$2)/$Q$2))</f>
        <v>15650.8558249474</v>
      </c>
      <c r="F151" s="15" t="n">
        <f aca="false">E151*(1+IF(F$3&lt;=$O$2,$D151,$D151-($D151-$I$130)*MIN(F$3-$O$2,$Q$2)/$Q$2))</f>
        <v>17108.9814942578</v>
      </c>
      <c r="G151" s="15" t="n">
        <f aca="false">F151*(1+IF(G$3&lt;=$O$2,$D151,$D151-($D151-$I$130)*MIN(G$3-$O$2,$Q$2)/$Q$2))</f>
        <v>18702.954716653</v>
      </c>
      <c r="H151" s="15" t="n">
        <f aca="false">G151*(1+IF(H$3&lt;=$O$2,$D151,$D151-($D151-$I$130)*MIN(H$3-$O$2,$Q$2)/$Q$2))</f>
        <v>20445.4318482123</v>
      </c>
      <c r="I151" s="15" t="n">
        <f aca="false">H151*(1+IF(I$3&lt;=$O$2,$D151,$D151-($D151-$I$130)*MIN(I$3-$O$2,$Q$2)/$Q$2))</f>
        <v>22350.2483854968</v>
      </c>
      <c r="J151" s="15" t="n">
        <f aca="false">I151*(1+IF(J$3&lt;=$O$2,$D151,$D151-($D151-$I$130)*MIN(J$3-$O$2,$Q$2)/$Q$2))</f>
        <v>24164.9253883097</v>
      </c>
      <c r="K151" s="15" t="n">
        <f aca="false">J151*(1+IF(K$3&lt;=$O$2,$D151,$D151-($D151-$I$130)*MIN(K$3-$O$2,$Q$2)/$Q$2))</f>
        <v>25837.6100378269</v>
      </c>
      <c r="L151" s="15" t="n">
        <f aca="false">K151*(1+IF(L$3&lt;=$O$2,$D151,$D151-($D151-$I$130)*MIN(L$3-$O$2,$Q$2)/$Q$2))</f>
        <v>27316.718899854</v>
      </c>
      <c r="M151" s="15" t="n">
        <f aca="false">L151*(1+IF(M$3&lt;=$O$2,$D151,$D151-($D151-$I$130)*MIN(M$3-$O$2,$Q$2)/$Q$2))</f>
        <v>28553.4334921985</v>
      </c>
      <c r="N151" s="15" t="n">
        <f aca="false">M151*(1+IF(N$3&lt;=$O$2,$D151,$D151-($D151-$I$130)*MIN(N$3-$O$2,$Q$2)/$Q$2))</f>
        <v>29504.2628274887</v>
      </c>
      <c r="O151" s="15" t="n">
        <f aca="false">SUMPRODUCT(E151:N151,1/(1+$F$130)^$E$3:$N$3)*$E$2</f>
        <v>46961.0329831405</v>
      </c>
      <c r="P151" s="15" t="n">
        <f aca="false">N151*$E$2*(1+$I$130)/($F$130-$I$130)/(1+$F$130)^$N$3</f>
        <v>85509.1605413296</v>
      </c>
      <c r="Q151" s="15" t="n">
        <f aca="false">O151+P151</f>
        <v>132470.19352447</v>
      </c>
      <c r="R151" s="15" t="n">
        <f aca="false">Q151-$G$2+$I$2</f>
        <v>120850.19352447</v>
      </c>
      <c r="S151" s="40" t="n">
        <f aca="false">R151/$K$2</f>
        <v>409.981319416732</v>
      </c>
      <c r="T151" s="41" t="n">
        <f aca="false">S151-$M$2</f>
        <v>0.000656527021362763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0.0931644439697266</v>
      </c>
      <c r="C152" s="25" t="n">
        <f aca="false">IF(T151&gt;0,D151,C151)</f>
        <v>0.0931658744812012</v>
      </c>
      <c r="D152" s="39" t="n">
        <f aca="false">(B152+C152)/2</f>
        <v>0.0931651592254639</v>
      </c>
      <c r="E152" s="15" t="n">
        <f aca="false">$C$2*(1+IF(E$3&lt;=$O$2,$D152,$D152-($D152-$I$130)*MIN(E$3-$O$2,$Q$2)/$Q$2))</f>
        <v>15650.845584631</v>
      </c>
      <c r="F152" s="15" t="n">
        <f aca="false">E152*(1+IF(F$3&lt;=$O$2,$D152,$D152-($D152-$I$130)*MIN(F$3-$O$2,$Q$2)/$Q$2))</f>
        <v>17108.9591055363</v>
      </c>
      <c r="G152" s="15" t="n">
        <f aca="false">F152*(1+IF(G$3&lt;=$O$2,$D152,$D152-($D152-$I$130)*MIN(G$3-$O$2,$Q$2)/$Q$2))</f>
        <v>18702.9180047855</v>
      </c>
      <c r="H152" s="15" t="n">
        <f aca="false">G152*(1+IF(H$3&lt;=$O$2,$D152,$D152-($D152-$I$130)*MIN(H$3-$O$2,$Q$2)/$Q$2))</f>
        <v>20445.3783386821</v>
      </c>
      <c r="I152" s="15" t="n">
        <f aca="false">H152*(1+IF(I$3&lt;=$O$2,$D152,$D152-($D152-$I$130)*MIN(I$3-$O$2,$Q$2)/$Q$2))</f>
        <v>22350.1752670303</v>
      </c>
      <c r="J152" s="15" t="n">
        <f aca="false">I152*(1+IF(J$3&lt;=$O$2,$D152,$D152-($D152-$I$130)*MIN(J$3-$O$2,$Q$2)/$Q$2))</f>
        <v>24164.8335442846</v>
      </c>
      <c r="K152" s="15" t="n">
        <f aca="false">J152*(1+IF(K$3&lt;=$O$2,$D152,$D152-($D152-$I$130)*MIN(K$3-$O$2,$Q$2)/$Q$2))</f>
        <v>25837.5014659806</v>
      </c>
      <c r="L152" s="15" t="n">
        <f aca="false">K152*(1+IF(L$3&lt;=$O$2,$D152,$D152-($D152-$I$130)*MIN(L$3-$O$2,$Q$2)/$Q$2))</f>
        <v>27316.5967204974</v>
      </c>
      <c r="M152" s="15" t="n">
        <f aca="false">L152*(1+IF(M$3&lt;=$O$2,$D152,$D152-($D152-$I$130)*MIN(M$3-$O$2,$Q$2)/$Q$2))</f>
        <v>28553.301873724</v>
      </c>
      <c r="N152" s="15" t="n">
        <f aca="false">M152*(1+IF(N$3&lt;=$O$2,$D152,$D152-($D152-$I$130)*MIN(N$3-$O$2,$Q$2)/$Q$2))</f>
        <v>29504.126826119</v>
      </c>
      <c r="O152" s="15" t="n">
        <f aca="false">SUMPRODUCT(E152:N152,1/(1+$F$130)^$E$3:$N$3)*$E$2</f>
        <v>46960.8861325706</v>
      </c>
      <c r="P152" s="15" t="n">
        <f aca="false">N152*$E$2*(1+$I$130)/($F$130-$I$130)/(1+$F$130)^$N$3</f>
        <v>85508.7663825931</v>
      </c>
      <c r="Q152" s="15" t="n">
        <f aca="false">O152+P152</f>
        <v>132469.652515164</v>
      </c>
      <c r="R152" s="15" t="n">
        <f aca="false">Q152-$G$2+$I$2</f>
        <v>120849.652515164</v>
      </c>
      <c r="S152" s="40" t="n">
        <f aca="false">R152/$K$2</f>
        <v>409.97948405592</v>
      </c>
      <c r="T152" s="41" t="n">
        <f aca="false">S152-$M$2</f>
        <v>-0.00117883379010664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0.0931651592254639</v>
      </c>
      <c r="C153" s="25" t="n">
        <f aca="false">IF(T152&gt;0,D152,C152)</f>
        <v>0.0931658744812012</v>
      </c>
      <c r="D153" s="39" t="n">
        <f aca="false">(B153+C153)/2</f>
        <v>0.0931655168533325</v>
      </c>
      <c r="E153" s="15" t="n">
        <f aca="false">$C$2*(1+IF(E$3&lt;=$O$2,$D153,$D153-($D153-$I$130)*MIN(E$3-$O$2,$Q$2)/$Q$2))</f>
        <v>15650.8507047892</v>
      </c>
      <c r="F153" s="15" t="n">
        <f aca="false">E153*(1+IF(F$3&lt;=$O$2,$D153,$D153-($D153-$I$130)*MIN(F$3-$O$2,$Q$2)/$Q$2))</f>
        <v>17108.9702998952</v>
      </c>
      <c r="G153" s="15" t="n">
        <f aca="false">F153*(1+IF(G$3&lt;=$O$2,$D153,$D153-($D153-$I$130)*MIN(G$3-$O$2,$Q$2)/$Q$2))</f>
        <v>18702.9363607132</v>
      </c>
      <c r="H153" s="15" t="n">
        <f aca="false">G153*(1+IF(H$3&lt;=$O$2,$D153,$D153-($D153-$I$130)*MIN(H$3-$O$2,$Q$2)/$Q$2))</f>
        <v>20445.4050934341</v>
      </c>
      <c r="I153" s="15" t="n">
        <f aca="false">H153*(1+IF(I$3&lt;=$O$2,$D153,$D153-($D153-$I$130)*MIN(I$3-$O$2,$Q$2)/$Q$2))</f>
        <v>22350.2118262396</v>
      </c>
      <c r="J153" s="15" t="n">
        <f aca="false">I153*(1+IF(J$3&lt;=$O$2,$D153,$D153-($D153-$I$130)*MIN(J$3-$O$2,$Q$2)/$Q$2))</f>
        <v>24164.8794662608</v>
      </c>
      <c r="K153" s="15" t="n">
        <f aca="false">J153*(1+IF(K$3&lt;=$O$2,$D153,$D153-($D153-$I$130)*MIN(K$3-$O$2,$Q$2)/$Q$2))</f>
        <v>25837.555751855</v>
      </c>
      <c r="L153" s="15" t="n">
        <f aca="false">K153*(1+IF(L$3&lt;=$O$2,$D153,$D153-($D153-$I$130)*MIN(L$3-$O$2,$Q$2)/$Q$2))</f>
        <v>27316.6578101164</v>
      </c>
      <c r="M153" s="15" t="n">
        <f aca="false">L153*(1+IF(M$3&lt;=$O$2,$D153,$D153-($D153-$I$130)*MIN(M$3-$O$2,$Q$2)/$Q$2))</f>
        <v>28553.367682895</v>
      </c>
      <c r="N153" s="15" t="n">
        <f aca="false">M153*(1+IF(N$3&lt;=$O$2,$D153,$D153-($D153-$I$130)*MIN(N$3-$O$2,$Q$2)/$Q$2))</f>
        <v>29504.1948267354</v>
      </c>
      <c r="O153" s="15" t="n">
        <f aca="false">SUMPRODUCT(E153:N153,1/(1+$F$130)^$E$3:$N$3)*$E$2</f>
        <v>46960.9595577985</v>
      </c>
      <c r="P153" s="15" t="n">
        <f aca="false">N153*$E$2*(1+$I$130)/($F$130-$I$130)/(1+$F$130)^$N$3</f>
        <v>85508.9634617628</v>
      </c>
      <c r="Q153" s="15" t="n">
        <f aca="false">O153+P153</f>
        <v>132469.923019561</v>
      </c>
      <c r="R153" s="15" t="n">
        <f aca="false">Q153-$G$2+$I$2</f>
        <v>120849.923019561</v>
      </c>
      <c r="S153" s="40" t="n">
        <f aca="false">R153/$K$2</f>
        <v>409.980401735459</v>
      </c>
      <c r="T153" s="41" t="n">
        <f aca="false">S153-$M$2</f>
        <v>-0.000261154251234075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0.0931655168533325</v>
      </c>
      <c r="C154" s="25" t="n">
        <f aca="false">IF(T153&gt;0,D153,C153)</f>
        <v>0.0931658744812012</v>
      </c>
      <c r="D154" s="39" t="n">
        <f aca="false">(B154+C154)/2</f>
        <v>0.0931656956672669</v>
      </c>
      <c r="E154" s="15" t="n">
        <f aca="false">$C$2*(1+IF(E$3&lt;=$O$2,$D154,$D154-($D154-$I$130)*MIN(E$3-$O$2,$Q$2)/$Q$2))</f>
        <v>15650.8532648683</v>
      </c>
      <c r="F154" s="15" t="n">
        <f aca="false">E154*(1+IF(F$3&lt;=$O$2,$D154,$D154-($D154-$I$130)*MIN(F$3-$O$2,$Q$2)/$Q$2))</f>
        <v>17108.975897076</v>
      </c>
      <c r="G154" s="15" t="n">
        <f aca="false">F154*(1+IF(G$3&lt;=$O$2,$D154,$D154-($D154-$I$130)*MIN(G$3-$O$2,$Q$2)/$Q$2))</f>
        <v>18702.9455386816</v>
      </c>
      <c r="H154" s="15" t="n">
        <f aca="false">G154*(1+IF(H$3&lt;=$O$2,$D154,$D154-($D154-$I$130)*MIN(H$3-$O$2,$Q$2)/$Q$2))</f>
        <v>20445.4184708199</v>
      </c>
      <c r="I154" s="15" t="n">
        <f aca="false">H154*(1+IF(I$3&lt;=$O$2,$D154,$D154-($D154-$I$130)*MIN(I$3-$O$2,$Q$2)/$Q$2))</f>
        <v>22350.2301058622</v>
      </c>
      <c r="J154" s="15" t="n">
        <f aca="false">I154*(1+IF(J$3&lt;=$O$2,$D154,$D154-($D154-$I$130)*MIN(J$3-$O$2,$Q$2)/$Q$2))</f>
        <v>24164.9024272762</v>
      </c>
      <c r="K154" s="15" t="n">
        <f aca="false">J154*(1+IF(K$3&lt;=$O$2,$D154,$D154-($D154-$I$130)*MIN(K$3-$O$2,$Q$2)/$Q$2))</f>
        <v>25837.5828948288</v>
      </c>
      <c r="L154" s="15" t="n">
        <f aca="false">K154*(1+IF(L$3&lt;=$O$2,$D154,$D154-($D154-$I$130)*MIN(L$3-$O$2,$Q$2)/$Q$2))</f>
        <v>27316.6883549704</v>
      </c>
      <c r="M154" s="15" t="n">
        <f aca="false">L154*(1+IF(M$3&lt;=$O$2,$D154,$D154-($D154-$I$130)*MIN(M$3-$O$2,$Q$2)/$Q$2))</f>
        <v>28553.4005875302</v>
      </c>
      <c r="N154" s="15" t="n">
        <f aca="false">M154*(1+IF(N$3&lt;=$O$2,$D154,$D154-($D154-$I$130)*MIN(N$3-$O$2,$Q$2)/$Q$2))</f>
        <v>29504.2288270949</v>
      </c>
      <c r="O154" s="15" t="n">
        <f aca="false">SUMPRODUCT(E154:N154,1/(1+$F$130)^$E$3:$N$3)*$E$2</f>
        <v>46960.9962704553</v>
      </c>
      <c r="P154" s="15" t="n">
        <f aca="false">N154*$E$2*(1+$I$130)/($F$130-$I$130)/(1+$F$130)^$N$3</f>
        <v>85509.0620014966</v>
      </c>
      <c r="Q154" s="15" t="n">
        <f aca="false">O154+P154</f>
        <v>132470.058271952</v>
      </c>
      <c r="R154" s="15" t="n">
        <f aca="false">Q154-$G$2+$I$2</f>
        <v>120850.058271952</v>
      </c>
      <c r="S154" s="40" t="n">
        <f aca="false">R154/$K$2</f>
        <v>409.980860575879</v>
      </c>
      <c r="T154" s="41" t="n">
        <f aca="false">S154-$M$2</f>
        <v>0.00019768616834881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0.0931655168533325</v>
      </c>
      <c r="C155" s="25" t="n">
        <f aca="false">IF(T154&gt;0,D154,C154)</f>
        <v>0.0931656956672669</v>
      </c>
      <c r="D155" s="39" t="n">
        <f aca="false">(B155+C155)/2</f>
        <v>0.0931656062602997</v>
      </c>
      <c r="E155" s="15" t="n">
        <f aca="false">$C$2*(1+IF(E$3&lt;=$O$2,$D155,$D155-($D155-$I$130)*MIN(E$3-$O$2,$Q$2)/$Q$2))</f>
        <v>15650.8519848287</v>
      </c>
      <c r="F155" s="15" t="n">
        <f aca="false">E155*(1+IF(F$3&lt;=$O$2,$D155,$D155-($D155-$I$130)*MIN(F$3-$O$2,$Q$2)/$Q$2))</f>
        <v>17108.9730984855</v>
      </c>
      <c r="G155" s="15" t="n">
        <f aca="false">F155*(1+IF(G$3&lt;=$O$2,$D155,$D155-($D155-$I$130)*MIN(G$3-$O$2,$Q$2)/$Q$2))</f>
        <v>18702.940949697</v>
      </c>
      <c r="H155" s="15" t="n">
        <f aca="false">G155*(1+IF(H$3&lt;=$O$2,$D155,$D155-($D155-$I$130)*MIN(H$3-$O$2,$Q$2)/$Q$2))</f>
        <v>20445.4117821262</v>
      </c>
      <c r="I155" s="15" t="n">
        <f aca="false">H155*(1+IF(I$3&lt;=$O$2,$D155,$D155-($D155-$I$130)*MIN(I$3-$O$2,$Q$2)/$Q$2))</f>
        <v>22350.2209660494</v>
      </c>
      <c r="J155" s="15" t="n">
        <f aca="false">I155*(1+IF(J$3&lt;=$O$2,$D155,$D155-($D155-$I$130)*MIN(J$3-$O$2,$Q$2)/$Q$2))</f>
        <v>24164.8909467662</v>
      </c>
      <c r="K155" s="15" t="n">
        <f aca="false">J155*(1+IF(K$3&lt;=$O$2,$D155,$D155-($D155-$I$130)*MIN(K$3-$O$2,$Q$2)/$Q$2))</f>
        <v>25837.5693233389</v>
      </c>
      <c r="L155" s="15" t="n">
        <f aca="false">K155*(1+IF(L$3&lt;=$O$2,$D155,$D155-($D155-$I$130)*MIN(L$3-$O$2,$Q$2)/$Q$2))</f>
        <v>27316.6730825397</v>
      </c>
      <c r="M155" s="15" t="n">
        <f aca="false">L155*(1+IF(M$3&lt;=$O$2,$D155,$D155-($D155-$I$130)*MIN(M$3-$O$2,$Q$2)/$Q$2))</f>
        <v>28553.3841352084</v>
      </c>
      <c r="N155" s="15" t="n">
        <f aca="false">M155*(1+IF(N$3&lt;=$O$2,$D155,$D155-($D155-$I$130)*MIN(N$3-$O$2,$Q$2)/$Q$2))</f>
        <v>29504.2118269109</v>
      </c>
      <c r="O155" s="15" t="n">
        <f aca="false">SUMPRODUCT(E155:N155,1/(1+$F$130)^$E$3:$N$3)*$E$2</f>
        <v>46960.9779141233</v>
      </c>
      <c r="P155" s="15" t="n">
        <f aca="false">N155*$E$2*(1+$I$130)/($F$130-$I$130)/(1+$F$130)^$N$3</f>
        <v>85509.0127316172</v>
      </c>
      <c r="Q155" s="15" t="n">
        <f aca="false">O155+P155</f>
        <v>132469.990645741</v>
      </c>
      <c r="R155" s="15" t="n">
        <f aca="false">Q155-$G$2+$I$2</f>
        <v>120849.990645741</v>
      </c>
      <c r="S155" s="40" t="n">
        <f aca="false">R155/$K$2</f>
        <v>409.980631155615</v>
      </c>
      <c r="T155" s="41" t="n">
        <f aca="false">S155-$M$2</f>
        <v>-3.17340958986279E-005</v>
      </c>
    </row>
    <row r="157" customFormat="false" ht="15" hidden="false" customHeight="false" outlineLevel="0" collapsed="false">
      <c r="A157" s="36" t="s">
        <v>179</v>
      </c>
      <c r="E157" s="5" t="s">
        <v>11</v>
      </c>
      <c r="F157" s="12" t="n">
        <f aca="false">Sensitivity!$B$10</f>
        <v>0.0848919064489092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6" t="s">
        <v>155</v>
      </c>
      <c r="B158" s="28" t="s">
        <v>156</v>
      </c>
      <c r="C158" s="28" t="s">
        <v>157</v>
      </c>
      <c r="D158" s="28" t="s">
        <v>158</v>
      </c>
      <c r="E158" s="28" t="s">
        <v>159</v>
      </c>
      <c r="F158" s="28" t="s">
        <v>160</v>
      </c>
      <c r="G158" s="28" t="s">
        <v>161</v>
      </c>
      <c r="H158" s="28" t="s">
        <v>162</v>
      </c>
      <c r="I158" s="28" t="s">
        <v>163</v>
      </c>
      <c r="J158" s="28" t="s">
        <v>164</v>
      </c>
      <c r="K158" s="28" t="s">
        <v>165</v>
      </c>
      <c r="L158" s="28" t="s">
        <v>166</v>
      </c>
      <c r="M158" s="28" t="s">
        <v>167</v>
      </c>
      <c r="N158" s="28" t="s">
        <v>168</v>
      </c>
      <c r="O158" s="28" t="s">
        <v>169</v>
      </c>
      <c r="P158" s="28" t="s">
        <v>170</v>
      </c>
      <c r="Q158" s="28" t="s">
        <v>171</v>
      </c>
      <c r="R158" s="28" t="s">
        <v>172</v>
      </c>
      <c r="S158" s="28" t="s">
        <v>173</v>
      </c>
      <c r="T158" s="28" t="s">
        <v>174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39" t="n">
        <f aca="false">(B159+C159)/2</f>
        <v>0.25</v>
      </c>
      <c r="E159" s="15" t="n">
        <f aca="false">$C$2*(1+IF(E$3&lt;=$O$2,$D159,$D159-($D159-$I$157)*MIN(E$3-$O$2,$Q$2)/$Q$2))</f>
        <v>17896.25</v>
      </c>
      <c r="F159" s="15" t="n">
        <f aca="false">E159*(1+IF(F$3&lt;=$O$2,$D159,$D159-($D159-$I$157)*MIN(F$3-$O$2,$Q$2)/$Q$2))</f>
        <v>22370.3125</v>
      </c>
      <c r="G159" s="15" t="n">
        <f aca="false">F159*(1+IF(G$3&lt;=$O$2,$D159,$D159-($D159-$I$157)*MIN(G$3-$O$2,$Q$2)/$Q$2))</f>
        <v>27962.890625</v>
      </c>
      <c r="H159" s="15" t="n">
        <f aca="false">G159*(1+IF(H$3&lt;=$O$2,$D159,$D159-($D159-$I$157)*MIN(H$3-$O$2,$Q$2)/$Q$2))</f>
        <v>34953.61328125</v>
      </c>
      <c r="I159" s="15" t="n">
        <f aca="false">H159*(1+IF(I$3&lt;=$O$2,$D159,$D159-($D159-$I$157)*MIN(I$3-$O$2,$Q$2)/$Q$2))</f>
        <v>43692.0166015625</v>
      </c>
      <c r="J159" s="15" t="n">
        <f aca="false">I159*(1+IF(J$3&lt;=$O$2,$D159,$D159-($D159-$I$157)*MIN(J$3-$O$2,$Q$2)/$Q$2))</f>
        <v>52765.100769043</v>
      </c>
      <c r="K159" s="15" t="n">
        <f aca="false">J159*(1+IF(K$3&lt;=$O$2,$D159,$D159-($D159-$I$157)*MIN(K$3-$O$2,$Q$2)/$Q$2))</f>
        <v>61488.2272281811</v>
      </c>
      <c r="L159" s="15" t="n">
        <f aca="false">K159*(1+IF(L$3&lt;=$O$2,$D159,$D159-($D159-$I$157)*MIN(L$3-$O$2,$Q$2)/$Q$2))</f>
        <v>69050.0494127029</v>
      </c>
      <c r="M159" s="15" t="n">
        <f aca="false">L159*(1+IF(M$3&lt;=$O$2,$D159,$D159-($D159-$I$157)*MIN(M$3-$O$2,$Q$2)/$Q$2))</f>
        <v>74618.2453973432</v>
      </c>
      <c r="N159" s="15" t="n">
        <f aca="false">M159*(1+IF(N$3&lt;=$O$2,$D159,$D159-($D159-$I$157)*MIN(N$3-$O$2,$Q$2)/$Q$2))</f>
        <v>77476.1241960615</v>
      </c>
      <c r="O159" s="15" t="n">
        <f aca="false">SUMPRODUCT(E159:N159,1/(1+$F$157)^$E$3:$N$3)*$E$2</f>
        <v>93135.1016885834</v>
      </c>
      <c r="P159" s="15" t="n">
        <f aca="false">N159*$E$2*(1+$I$157)/($F$157-$I$157)/(1+$F$157)^$N$3</f>
        <v>249840.753606102</v>
      </c>
      <c r="Q159" s="15" t="n">
        <f aca="false">O159+P159</f>
        <v>342975.855294686</v>
      </c>
      <c r="R159" s="15" t="n">
        <f aca="false">Q159-$G$2+$I$2</f>
        <v>331355.855294686</v>
      </c>
      <c r="S159" s="40" t="n">
        <f aca="false">R159/$K$2</f>
        <v>1124.11661734466</v>
      </c>
      <c r="T159" s="41" t="n">
        <f aca="false">S159-$M$2</f>
        <v>714.13595445495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39" t="n">
        <f aca="false">(B160+C160)/2</f>
        <v>-0.125</v>
      </c>
      <c r="E160" s="15" t="n">
        <f aca="false">$C$2*(1+IF(E$3&lt;=$O$2,$D160,$D160-($D160-$I$157)*MIN(E$3-$O$2,$Q$2)/$Q$2))</f>
        <v>12527.375</v>
      </c>
      <c r="F160" s="15" t="n">
        <f aca="false">E160*(1+IF(F$3&lt;=$O$2,$D160,$D160-($D160-$I$157)*MIN(F$3-$O$2,$Q$2)/$Q$2))</f>
        <v>10961.453125</v>
      </c>
      <c r="G160" s="15" t="n">
        <f aca="false">F160*(1+IF(G$3&lt;=$O$2,$D160,$D160-($D160-$I$157)*MIN(G$3-$O$2,$Q$2)/$Q$2))</f>
        <v>9591.271484375</v>
      </c>
      <c r="H160" s="15" t="n">
        <f aca="false">G160*(1+IF(H$3&lt;=$O$2,$D160,$D160-($D160-$I$157)*MIN(H$3-$O$2,$Q$2)/$Q$2))</f>
        <v>8392.36254882813</v>
      </c>
      <c r="I160" s="15" t="n">
        <f aca="false">H160*(1+IF(I$3&lt;=$O$2,$D160,$D160-($D160-$I$157)*MIN(I$3-$O$2,$Q$2)/$Q$2))</f>
        <v>7343.31723022461</v>
      </c>
      <c r="J160" s="15" t="n">
        <f aca="false">I160*(1+IF(J$3&lt;=$O$2,$D160,$D160-($D160-$I$157)*MIN(J$3-$O$2,$Q$2)/$Q$2))</f>
        <v>6665.23531718567</v>
      </c>
      <c r="K160" s="15" t="n">
        <f aca="false">J160*(1+IF(K$3&lt;=$O$2,$D160,$D160-($D160-$I$157)*MIN(K$3-$O$2,$Q$2)/$Q$2))</f>
        <v>6267.45407345603</v>
      </c>
      <c r="L160" s="15" t="n">
        <f aca="false">K160*(1+IF(L$3&lt;=$O$2,$D160,$D160-($D160-$I$157)*MIN(L$3-$O$2,$Q$2)/$Q$2))</f>
        <v>6098.10746439125</v>
      </c>
      <c r="M160" s="15" t="n">
        <f aca="false">L160*(1+IF(M$3&lt;=$O$2,$D160,$D160-($D160-$I$157)*MIN(M$3-$O$2,$Q$2)/$Q$2))</f>
        <v>6132.50079049041</v>
      </c>
      <c r="N160" s="15" t="n">
        <f aca="false">M160*(1+IF(N$3&lt;=$O$2,$D160,$D160-($D160-$I$157)*MIN(N$3-$O$2,$Q$2)/$Q$2))</f>
        <v>6367.3755707662</v>
      </c>
      <c r="O160" s="15" t="n">
        <f aca="false">SUMPRODUCT(E160:N160,1/(1+$F$157)^$E$3:$N$3)*$E$2</f>
        <v>18267.2510441454</v>
      </c>
      <c r="P160" s="15" t="n">
        <f aca="false">N160*$E$2*(1+$I$157)/($F$157-$I$157)/(1+$F$157)^$N$3</f>
        <v>20533.1633145142</v>
      </c>
      <c r="Q160" s="15" t="n">
        <f aca="false">O160+P160</f>
        <v>38800.4143586596</v>
      </c>
      <c r="R160" s="15" t="n">
        <f aca="false">Q160-$G$2+$I$2</f>
        <v>27180.4143586596</v>
      </c>
      <c r="S160" s="40" t="n">
        <f aca="false">R160/$K$2</f>
        <v>92.2088895025259</v>
      </c>
      <c r="T160" s="41" t="n">
        <f aca="false">S160-$M$2</f>
        <v>-317.771773387185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39" t="n">
        <f aca="false">(B161+C161)/2</f>
        <v>0.0625</v>
      </c>
      <c r="E161" s="15" t="n">
        <f aca="false">$C$2*(1+IF(E$3&lt;=$O$2,$D161,$D161-($D161-$I$157)*MIN(E$3-$O$2,$Q$2)/$Q$2))</f>
        <v>15211.8125</v>
      </c>
      <c r="F161" s="15" t="n">
        <f aca="false">E161*(1+IF(F$3&lt;=$O$2,$D161,$D161-($D161-$I$157)*MIN(F$3-$O$2,$Q$2)/$Q$2))</f>
        <v>16162.55078125</v>
      </c>
      <c r="G161" s="15" t="n">
        <f aca="false">F161*(1+IF(G$3&lt;=$O$2,$D161,$D161-($D161-$I$157)*MIN(G$3-$O$2,$Q$2)/$Q$2))</f>
        <v>17172.7102050781</v>
      </c>
      <c r="H161" s="15" t="n">
        <f aca="false">G161*(1+IF(H$3&lt;=$O$2,$D161,$D161-($D161-$I$157)*MIN(H$3-$O$2,$Q$2)/$Q$2))</f>
        <v>18246.0045928955</v>
      </c>
      <c r="I161" s="15" t="n">
        <f aca="false">H161*(1+IF(I$3&lt;=$O$2,$D161,$D161-($D161-$I$157)*MIN(I$3-$O$2,$Q$2)/$Q$2))</f>
        <v>19386.3798799515</v>
      </c>
      <c r="J161" s="15" t="n">
        <f aca="false">I161*(1+IF(J$3&lt;=$O$2,$D161,$D161-($D161-$I$157)*MIN(J$3-$O$2,$Q$2)/$Q$2))</f>
        <v>20504.1985438295</v>
      </c>
      <c r="K161" s="15" t="n">
        <f aca="false">J161*(1+IF(K$3&lt;=$O$2,$D161,$D161-($D161-$I$157)*MIN(K$3-$O$2,$Q$2)/$Q$2))</f>
        <v>21587.2303109146</v>
      </c>
      <c r="L161" s="15" t="n">
        <f aca="false">K161*(1+IF(L$3&lt;=$O$2,$D161,$D161-($D161-$I$157)*MIN(L$3-$O$2,$Q$2)/$Q$2))</f>
        <v>22622.9856212322</v>
      </c>
      <c r="M161" s="15" t="n">
        <f aca="false">L161*(1+IF(M$3&lt;=$O$2,$D161,$D161-($D161-$I$157)*MIN(M$3-$O$2,$Q$2)/$Q$2))</f>
        <v>23598.9412209322</v>
      </c>
      <c r="N161" s="15" t="n">
        <f aca="false">M161*(1+IF(N$3&lt;=$O$2,$D161,$D161-($D161-$I$157)*MIN(N$3-$O$2,$Q$2)/$Q$2))</f>
        <v>24502.7806696939</v>
      </c>
      <c r="O161" s="15" t="n">
        <f aca="false">SUMPRODUCT(E161:N161,1/(1+$F$157)^$E$3:$N$3)*$E$2</f>
        <v>41190.5797080952</v>
      </c>
      <c r="P161" s="15" t="n">
        <f aca="false">N161*$E$2*(1+$I$157)/($F$157-$I$157)/(1+$F$157)^$N$3</f>
        <v>79015.2224505903</v>
      </c>
      <c r="Q161" s="15" t="n">
        <f aca="false">O161+P161</f>
        <v>120205.802158685</v>
      </c>
      <c r="R161" s="15" t="n">
        <f aca="false">Q161-$G$2+$I$2</f>
        <v>108585.802158685</v>
      </c>
      <c r="S161" s="40" t="n">
        <f aca="false">R161/$K$2</f>
        <v>368.374672316333</v>
      </c>
      <c r="T161" s="41" t="n">
        <f aca="false">S161-$M$2</f>
        <v>-41.6059905733777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0.0625</v>
      </c>
      <c r="C162" s="25" t="n">
        <f aca="false">IF(T161&gt;0,D161,C161)</f>
        <v>0.25</v>
      </c>
      <c r="D162" s="39" t="n">
        <f aca="false">(B162+C162)/2</f>
        <v>0.15625</v>
      </c>
      <c r="E162" s="15" t="n">
        <f aca="false">$C$2*(1+IF(E$3&lt;=$O$2,$D162,$D162-($D162-$I$157)*MIN(E$3-$O$2,$Q$2)/$Q$2))</f>
        <v>16554.03125</v>
      </c>
      <c r="F162" s="15" t="n">
        <f aca="false">E162*(1+IF(F$3&lt;=$O$2,$D162,$D162-($D162-$I$157)*MIN(F$3-$O$2,$Q$2)/$Q$2))</f>
        <v>19140.5986328125</v>
      </c>
      <c r="G162" s="15" t="n">
        <f aca="false">F162*(1+IF(G$3&lt;=$O$2,$D162,$D162-($D162-$I$157)*MIN(G$3-$O$2,$Q$2)/$Q$2))</f>
        <v>22131.3171691895</v>
      </c>
      <c r="H162" s="15" t="n">
        <f aca="false">G162*(1+IF(H$3&lt;=$O$2,$D162,$D162-($D162-$I$157)*MIN(H$3-$O$2,$Q$2)/$Q$2))</f>
        <v>25589.3354768753</v>
      </c>
      <c r="I162" s="15" t="n">
        <f aca="false">H162*(1+IF(I$3&lt;=$O$2,$D162,$D162-($D162-$I$157)*MIN(I$3-$O$2,$Q$2)/$Q$2))</f>
        <v>29587.6691451371</v>
      </c>
      <c r="J162" s="15" t="n">
        <f aca="false">I162*(1+IF(J$3&lt;=$O$2,$D162,$D162-($D162-$I$157)*MIN(J$3-$O$2,$Q$2)/$Q$2))</f>
        <v>33512.769333931</v>
      </c>
      <c r="K162" s="15" t="n">
        <f aca="false">J162*(1+IF(K$3&lt;=$O$2,$D162,$D162-($D162-$I$157)*MIN(K$3-$O$2,$Q$2)/$Q$2))</f>
        <v>37168.0070851828</v>
      </c>
      <c r="L162" s="15" t="n">
        <f aca="false">K162*(1+IF(L$3&lt;=$O$2,$D162,$D162-($D162-$I$157)*MIN(L$3-$O$2,$Q$2)/$Q$2))</f>
        <v>40345.1283308242</v>
      </c>
      <c r="M162" s="15" t="n">
        <f aca="false">L162*(1+IF(M$3&lt;=$O$2,$D162,$D162-($D162-$I$157)*MIN(M$3-$O$2,$Q$2)/$Q$2))</f>
        <v>42842.0883232189</v>
      </c>
      <c r="N162" s="15" t="n">
        <f aca="false">M162*(1+IF(N$3&lt;=$O$2,$D162,$D162-($D162-$I$157)*MIN(N$3-$O$2,$Q$2)/$Q$2))</f>
        <v>44482.9403059982</v>
      </c>
      <c r="O162" s="15" t="n">
        <f aca="false">SUMPRODUCT(E162:N162,1/(1+$F$157)^$E$3:$N$3)*$E$2</f>
        <v>62059.5476957324</v>
      </c>
      <c r="P162" s="15" t="n">
        <f aca="false">N162*$E$2*(1+$I$157)/($F$157-$I$157)/(1+$F$157)^$N$3</f>
        <v>143446.144783154</v>
      </c>
      <c r="Q162" s="15" t="n">
        <f aca="false">O162+P162</f>
        <v>205505.692478886</v>
      </c>
      <c r="R162" s="15" t="n">
        <f aca="false">Q162-$G$2+$I$2</f>
        <v>193885.692478886</v>
      </c>
      <c r="S162" s="40" t="n">
        <f aca="false">R162/$K$2</f>
        <v>657.752459473103</v>
      </c>
      <c r="T162" s="41" t="n">
        <f aca="false">S162-$M$2</f>
        <v>247.771796583392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0.0625</v>
      </c>
      <c r="C163" s="25" t="n">
        <f aca="false">IF(T162&gt;0,D162,C162)</f>
        <v>0.15625</v>
      </c>
      <c r="D163" s="39" t="n">
        <f aca="false">(B163+C163)/2</f>
        <v>0.109375</v>
      </c>
      <c r="E163" s="15" t="n">
        <f aca="false">$C$2*(1+IF(E$3&lt;=$O$2,$D163,$D163-($D163-$I$157)*MIN(E$3-$O$2,$Q$2)/$Q$2))</f>
        <v>15882.921875</v>
      </c>
      <c r="F163" s="15" t="n">
        <f aca="false">E163*(1+IF(F$3&lt;=$O$2,$D163,$D163-($D163-$I$157)*MIN(F$3-$O$2,$Q$2)/$Q$2))</f>
        <v>17620.1164550781</v>
      </c>
      <c r="G163" s="15" t="n">
        <f aca="false">F163*(1+IF(G$3&lt;=$O$2,$D163,$D163-($D163-$I$157)*MIN(G$3-$O$2,$Q$2)/$Q$2))</f>
        <v>19547.3166923523</v>
      </c>
      <c r="H163" s="15" t="n">
        <f aca="false">G163*(1+IF(H$3&lt;=$O$2,$D163,$D163-($D163-$I$157)*MIN(H$3-$O$2,$Q$2)/$Q$2))</f>
        <v>21685.3044555783</v>
      </c>
      <c r="I163" s="15" t="n">
        <f aca="false">H163*(1+IF(I$3&lt;=$O$2,$D163,$D163-($D163-$I$157)*MIN(I$3-$O$2,$Q$2)/$Q$2))</f>
        <v>24057.1346304072</v>
      </c>
      <c r="J163" s="15" t="n">
        <f aca="false">I163*(1+IF(J$3&lt;=$O$2,$D163,$D163-($D163-$I$157)*MIN(J$3-$O$2,$Q$2)/$Q$2))</f>
        <v>26346.4115618368</v>
      </c>
      <c r="K163" s="15" t="n">
        <f aca="false">J163*(1+IF(K$3&lt;=$O$2,$D163,$D163-($D163-$I$157)*MIN(K$3-$O$2,$Q$2)/$Q$2))</f>
        <v>28479.0218457096</v>
      </c>
      <c r="L163" s="15" t="n">
        <f aca="false">K163*(1+IF(L$3&lt;=$O$2,$D163,$D163-($D163-$I$157)*MIN(L$3-$O$2,$Q$2)/$Q$2))</f>
        <v>30379.4269734738</v>
      </c>
      <c r="M163" s="15" t="n">
        <f aca="false">L163*(1+IF(M$3&lt;=$O$2,$D163,$D163-($D163-$I$157)*MIN(M$3-$O$2,$Q$2)/$Q$2))</f>
        <v>31974.8025809858</v>
      </c>
      <c r="N163" s="15" t="n">
        <f aca="false">M163*(1+IF(N$3&lt;=$O$2,$D163,$D163-($D163-$I$157)*MIN(N$3-$O$2,$Q$2)/$Q$2))</f>
        <v>33199.4375198376</v>
      </c>
      <c r="O163" s="15" t="n">
        <f aca="false">SUMPRODUCT(E163:N163,1/(1+$F$157)^$E$3:$N$3)*$E$2</f>
        <v>50571.5910699104</v>
      </c>
      <c r="P163" s="15" t="n">
        <f aca="false">N163*$E$2*(1+$I$157)/($F$157-$I$157)/(1+$F$157)^$N$3</f>
        <v>107059.724209547</v>
      </c>
      <c r="Q163" s="15" t="n">
        <f aca="false">O163+P163</f>
        <v>157631.315279457</v>
      </c>
      <c r="R163" s="15" t="n">
        <f aca="false">Q163-$G$2+$I$2</f>
        <v>146011.315279457</v>
      </c>
      <c r="S163" s="40" t="n">
        <f aca="false">R163/$K$2</f>
        <v>495.339808255444</v>
      </c>
      <c r="T163" s="41" t="n">
        <f aca="false">S163-$M$2</f>
        <v>85.359145365733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0.0625</v>
      </c>
      <c r="C164" s="25" t="n">
        <f aca="false">IF(T163&gt;0,D163,C163)</f>
        <v>0.109375</v>
      </c>
      <c r="D164" s="39" t="n">
        <f aca="false">(B164+C164)/2</f>
        <v>0.0859375</v>
      </c>
      <c r="E164" s="15" t="n">
        <f aca="false">$C$2*(1+IF(E$3&lt;=$O$2,$D164,$D164-($D164-$I$157)*MIN(E$3-$O$2,$Q$2)/$Q$2))</f>
        <v>15547.3671875</v>
      </c>
      <c r="F164" s="15" t="n">
        <f aca="false">E164*(1+IF(F$3&lt;=$O$2,$D164,$D164-($D164-$I$157)*MIN(F$3-$O$2,$Q$2)/$Q$2))</f>
        <v>16883.4690551758</v>
      </c>
      <c r="G164" s="15" t="n">
        <f aca="false">F164*(1+IF(G$3&lt;=$O$2,$D164,$D164-($D164-$I$157)*MIN(G$3-$O$2,$Q$2)/$Q$2))</f>
        <v>18334.392177105</v>
      </c>
      <c r="H164" s="15" t="n">
        <f aca="false">G164*(1+IF(H$3&lt;=$O$2,$D164,$D164-($D164-$I$157)*MIN(H$3-$O$2,$Q$2)/$Q$2))</f>
        <v>19910.0040048249</v>
      </c>
      <c r="I164" s="15" t="n">
        <f aca="false">H164*(1+IF(I$3&lt;=$O$2,$D164,$D164-($D164-$I$157)*MIN(I$3-$O$2,$Q$2)/$Q$2))</f>
        <v>21621.0199739895</v>
      </c>
      <c r="J164" s="15" t="n">
        <f aca="false">I164*(1+IF(J$3&lt;=$O$2,$D164,$D164-($D164-$I$157)*MIN(J$3-$O$2,$Q$2)/$Q$2))</f>
        <v>23273.0821102021</v>
      </c>
      <c r="K164" s="15" t="n">
        <f aca="false">J164*(1+IF(K$3&lt;=$O$2,$D164,$D164-($D164-$I$157)*MIN(K$3-$O$2,$Q$2)/$Q$2))</f>
        <v>24829.6440244377</v>
      </c>
      <c r="L164" s="15" t="n">
        <f aca="false">K164*(1+IF(L$3&lt;=$O$2,$D164,$D164-($D164-$I$157)*MIN(L$3-$O$2,$Q$2)/$Q$2))</f>
        <v>26253.7482574593</v>
      </c>
      <c r="M164" s="15" t="n">
        <f aca="false">L164*(1+IF(M$3&lt;=$O$2,$D164,$D164-($D164-$I$157)*MIN(M$3-$O$2,$Q$2)/$Q$2))</f>
        <v>27509.3994022429</v>
      </c>
      <c r="N164" s="15" t="n">
        <f aca="false">M164*(1+IF(N$3&lt;=$O$2,$D164,$D164-($D164-$I$157)*MIN(N$3-$O$2,$Q$2)/$Q$2))</f>
        <v>28563.0093993488</v>
      </c>
      <c r="O164" s="15" t="n">
        <f aca="false">SUMPRODUCT(E164:N164,1/(1+$F$157)^$E$3:$N$3)*$E$2</f>
        <v>45641.7960947832</v>
      </c>
      <c r="P164" s="15" t="n">
        <f aca="false">N164*$E$2*(1+$I$157)/($F$157-$I$157)/(1+$F$157)^$N$3</f>
        <v>92108.425242499</v>
      </c>
      <c r="Q164" s="15" t="n">
        <f aca="false">O164+P164</f>
        <v>137750.221337282</v>
      </c>
      <c r="R164" s="15" t="n">
        <f aca="false">Q164-$G$2+$I$2</f>
        <v>126130.221337282</v>
      </c>
      <c r="S164" s="40" t="n">
        <f aca="false">R164/$K$2</f>
        <v>427.89368435486</v>
      </c>
      <c r="T164" s="41" t="n">
        <f aca="false">S164-$M$2</f>
        <v>17.9130214651499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0.0625</v>
      </c>
      <c r="C165" s="25" t="n">
        <f aca="false">IF(T164&gt;0,D164,C164)</f>
        <v>0.0859375</v>
      </c>
      <c r="D165" s="39" t="n">
        <f aca="false">(B165+C165)/2</f>
        <v>0.07421875</v>
      </c>
      <c r="E165" s="15" t="n">
        <f aca="false">$C$2*(1+IF(E$3&lt;=$O$2,$D165,$D165-($D165-$I$157)*MIN(E$3-$O$2,$Q$2)/$Q$2))</f>
        <v>15379.58984375</v>
      </c>
      <c r="F165" s="15" t="n">
        <f aca="false">E165*(1+IF(F$3&lt;=$O$2,$D165,$D165-($D165-$I$157)*MIN(F$3-$O$2,$Q$2)/$Q$2))</f>
        <v>16521.0437774658</v>
      </c>
      <c r="G165" s="15" t="n">
        <f aca="false">F165*(1+IF(G$3&lt;=$O$2,$D165,$D165-($D165-$I$157)*MIN(G$3-$O$2,$Q$2)/$Q$2))</f>
        <v>17747.2149953246</v>
      </c>
      <c r="H165" s="15" t="n">
        <f aca="false">G165*(1+IF(H$3&lt;=$O$2,$D165,$D165-($D165-$I$157)*MIN(H$3-$O$2,$Q$2)/$Q$2))</f>
        <v>19064.3911082589</v>
      </c>
      <c r="I165" s="15" t="n">
        <f aca="false">H165*(1+IF(I$3&lt;=$O$2,$D165,$D165-($D165-$I$157)*MIN(I$3-$O$2,$Q$2)/$Q$2))</f>
        <v>20479.326385825</v>
      </c>
      <c r="J165" s="15" t="n">
        <f aca="false">I165*(1+IF(J$3&lt;=$O$2,$D165,$D165-($D165-$I$157)*MIN(J$3-$O$2,$Q$2)/$Q$2))</f>
        <v>21852.1580300987</v>
      </c>
      <c r="K165" s="15" t="n">
        <f aca="false">J165*(1+IF(K$3&lt;=$O$2,$D165,$D165-($D165-$I$157)*MIN(K$3-$O$2,$Q$2)/$Q$2))</f>
        <v>23160.0370033977</v>
      </c>
      <c r="L165" s="15" t="n">
        <f aca="false">K165*(1+IF(L$3&lt;=$O$2,$D165,$D165-($D165-$I$157)*MIN(L$3-$O$2,$Q$2)/$Q$2))</f>
        <v>24379.8182522741</v>
      </c>
      <c r="M165" s="15" t="n">
        <f aca="false">L165*(1+IF(M$3&lt;=$O$2,$D165,$D165-($D165-$I$157)*MIN(M$3-$O$2,$Q$2)/$Q$2))</f>
        <v>25488.703810706</v>
      </c>
      <c r="N165" s="15" t="n">
        <f aca="false">M165*(1+IF(N$3&lt;=$O$2,$D165,$D165-($D165-$I$157)*MIN(N$3-$O$2,$Q$2)/$Q$2))</f>
        <v>26464.921166656</v>
      </c>
      <c r="O165" s="15" t="n">
        <f aca="false">SUMPRODUCT(E165:N165,1/(1+$F$157)^$E$3:$N$3)*$E$2</f>
        <v>43359.1655758775</v>
      </c>
      <c r="P165" s="15" t="n">
        <f aca="false">N165*$E$2*(1+$I$157)/($F$157-$I$157)/(1+$F$157)^$N$3</f>
        <v>85342.6254476931</v>
      </c>
      <c r="Q165" s="15" t="n">
        <f aca="false">O165+P165</f>
        <v>128701.791023571</v>
      </c>
      <c r="R165" s="15" t="n">
        <f aca="false">Q165-$G$2+$I$2</f>
        <v>117081.791023571</v>
      </c>
      <c r="S165" s="40" t="n">
        <f aca="false">R165/$K$2</f>
        <v>397.19710629837</v>
      </c>
      <c r="T165" s="41" t="n">
        <f aca="false">S165-$M$2</f>
        <v>-12.7835565913404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0.07421875</v>
      </c>
      <c r="C166" s="25" t="n">
        <f aca="false">IF(T165&gt;0,D165,C165)</f>
        <v>0.0859375</v>
      </c>
      <c r="D166" s="39" t="n">
        <f aca="false">(B166+C166)/2</f>
        <v>0.080078125</v>
      </c>
      <c r="E166" s="15" t="n">
        <f aca="false">$C$2*(1+IF(E$3&lt;=$O$2,$D166,$D166-($D166-$I$157)*MIN(E$3-$O$2,$Q$2)/$Q$2))</f>
        <v>15463.478515625</v>
      </c>
      <c r="F166" s="15" t="n">
        <f aca="false">E166*(1+IF(F$3&lt;=$O$2,$D166,$D166-($D166-$I$157)*MIN(F$3-$O$2,$Q$2)/$Q$2))</f>
        <v>16701.764881134</v>
      </c>
      <c r="G166" s="15" t="n">
        <f aca="false">F166*(1+IF(G$3&lt;=$O$2,$D166,$D166-($D166-$I$157)*MIN(G$3-$O$2,$Q$2)/$Q$2))</f>
        <v>18039.2108970061</v>
      </c>
      <c r="H166" s="15" t="n">
        <f aca="false">G166*(1+IF(H$3&lt;=$O$2,$D166,$D166-($D166-$I$157)*MIN(H$3-$O$2,$Q$2)/$Q$2))</f>
        <v>19483.7570821179</v>
      </c>
      <c r="I166" s="15" t="n">
        <f aca="false">H166*(1+IF(I$3&lt;=$O$2,$D166,$D166-($D166-$I$157)*MIN(I$3-$O$2,$Q$2)/$Q$2))</f>
        <v>21043.9798172094</v>
      </c>
      <c r="J166" s="15" t="n">
        <f aca="false">I166*(1+IF(J$3&lt;=$O$2,$D166,$D166-($D166-$I$157)*MIN(J$3-$O$2,$Q$2)/$Q$2))</f>
        <v>22553.3066596492</v>
      </c>
      <c r="K166" s="15" t="n">
        <f aca="false">J166*(1+IF(K$3&lt;=$O$2,$D166,$D166-($D166-$I$157)*MIN(K$3-$O$2,$Q$2)/$Q$2))</f>
        <v>23982.4392235878</v>
      </c>
      <c r="L166" s="15" t="n">
        <f aca="false">K166*(1+IF(L$3&lt;=$O$2,$D166,$D166-($D166-$I$157)*MIN(L$3-$O$2,$Q$2)/$Q$2))</f>
        <v>25301.7431833264</v>
      </c>
      <c r="M166" s="15" t="n">
        <f aca="false">L166*(1+IF(M$3&lt;=$O$2,$D166,$D166-($D166-$I$157)*MIN(M$3-$O$2,$Q$2)/$Q$2))</f>
        <v>26482.211825134</v>
      </c>
      <c r="N166" s="15" t="n">
        <f aca="false">M166*(1+IF(N$3&lt;=$O$2,$D166,$D166-($D166-$I$157)*MIN(N$3-$O$2,$Q$2)/$Q$2))</f>
        <v>27496.4805380367</v>
      </c>
      <c r="O166" s="15" t="n">
        <f aca="false">SUMPRODUCT(E166:N166,1/(1+$F$157)^$E$3:$N$3)*$E$2</f>
        <v>44485.8842176077</v>
      </c>
      <c r="P166" s="15" t="n">
        <f aca="false">N166*$E$2*(1+$I$157)/($F$157-$I$157)/(1+$F$157)^$N$3</f>
        <v>88669.1414990507</v>
      </c>
      <c r="Q166" s="15" t="n">
        <f aca="false">O166+P166</f>
        <v>133155.025716658</v>
      </c>
      <c r="R166" s="15" t="n">
        <f aca="false">Q166-$G$2+$I$2</f>
        <v>121535.025716658</v>
      </c>
      <c r="S166" s="40" t="n">
        <f aca="false">R166/$K$2</f>
        <v>412.304595843059</v>
      </c>
      <c r="T166" s="41" t="n">
        <f aca="false">S166-$M$2</f>
        <v>2.32393295334805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0.07421875</v>
      </c>
      <c r="C167" s="25" t="n">
        <f aca="false">IF(T166&gt;0,D166,C166)</f>
        <v>0.080078125</v>
      </c>
      <c r="D167" s="39" t="n">
        <f aca="false">(B167+C167)/2</f>
        <v>0.0771484375</v>
      </c>
      <c r="E167" s="15" t="n">
        <f aca="false">$C$2*(1+IF(E$3&lt;=$O$2,$D167,$D167-($D167-$I$157)*MIN(E$3-$O$2,$Q$2)/$Q$2))</f>
        <v>15421.5341796875</v>
      </c>
      <c r="F167" s="15" t="n">
        <f aca="false">E167*(1+IF(F$3&lt;=$O$2,$D167,$D167-($D167-$I$157)*MIN(F$3-$O$2,$Q$2)/$Q$2))</f>
        <v>16611.2814455032</v>
      </c>
      <c r="G167" s="15" t="n">
        <f aca="false">F167*(1+IF(G$3&lt;=$O$2,$D167,$D167-($D167-$I$157)*MIN(G$3-$O$2,$Q$2)/$Q$2))</f>
        <v>17892.8158538966</v>
      </c>
      <c r="H167" s="15" t="n">
        <f aca="false">G167*(1+IF(H$3&lt;=$O$2,$D167,$D167-($D167-$I$157)*MIN(H$3-$O$2,$Q$2)/$Q$2))</f>
        <v>19273.2186394999</v>
      </c>
      <c r="I167" s="15" t="n">
        <f aca="false">H167*(1+IF(I$3&lt;=$O$2,$D167,$D167-($D167-$I$157)*MIN(I$3-$O$2,$Q$2)/$Q$2))</f>
        <v>20760.1173431332</v>
      </c>
      <c r="J167" s="15" t="n">
        <f aca="false">I167*(1+IF(J$3&lt;=$O$2,$D167,$D167-($D167-$I$157)*MIN(J$3-$O$2,$Q$2)/$Q$2))</f>
        <v>22200.4283342531</v>
      </c>
      <c r="K167" s="15" t="n">
        <f aca="false">J167*(1+IF(K$3&lt;=$O$2,$D167,$D167-($D167-$I$157)*MIN(K$3-$O$2,$Q$2)/$Q$2))</f>
        <v>23568.1759110249</v>
      </c>
      <c r="L167" s="15" t="n">
        <f aca="false">K167*(1+IF(L$3&lt;=$O$2,$D167,$D167-($D167-$I$157)*MIN(L$3-$O$2,$Q$2)/$Q$2))</f>
        <v>24837.0717719645</v>
      </c>
      <c r="M167" s="15" t="n">
        <f aca="false">L167*(1+IF(M$3&lt;=$O$2,$D167,$D167-($D167-$I$157)*MIN(M$3-$O$2,$Q$2)/$Q$2))</f>
        <v>25981.307906914</v>
      </c>
      <c r="N167" s="15" t="n">
        <f aca="false">M167*(1+IF(N$3&lt;=$O$2,$D167,$D167-($D167-$I$157)*MIN(N$3-$O$2,$Q$2)/$Q$2))</f>
        <v>26976.3919997488</v>
      </c>
      <c r="O167" s="15" t="n">
        <f aca="false">SUMPRODUCT(E167:N167,1/(1+$F$157)^$E$3:$N$3)*$E$2</f>
        <v>43918.9189216632</v>
      </c>
      <c r="P167" s="15" t="n">
        <f aca="false">N167*$E$2*(1+$I$157)/($F$157-$I$157)/(1+$F$157)^$N$3</f>
        <v>86991.9885219747</v>
      </c>
      <c r="Q167" s="15" t="n">
        <f aca="false">O167+P167</f>
        <v>130910.907443638</v>
      </c>
      <c r="R167" s="15" t="n">
        <f aca="false">Q167-$G$2+$I$2</f>
        <v>119290.907443638</v>
      </c>
      <c r="S167" s="40" t="n">
        <f aca="false">R167/$K$2</f>
        <v>404.691479606601</v>
      </c>
      <c r="T167" s="41" t="n">
        <f aca="false">S167-$M$2</f>
        <v>-5.28918328310914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0.0771484375</v>
      </c>
      <c r="C168" s="25" t="n">
        <f aca="false">IF(T167&gt;0,D167,C167)</f>
        <v>0.080078125</v>
      </c>
      <c r="D168" s="39" t="n">
        <f aca="false">(B168+C168)/2</f>
        <v>0.07861328125</v>
      </c>
      <c r="E168" s="15" t="n">
        <f aca="false">$C$2*(1+IF(E$3&lt;=$O$2,$D168,$D168-($D168-$I$157)*MIN(E$3-$O$2,$Q$2)/$Q$2))</f>
        <v>15442.5063476563</v>
      </c>
      <c r="F168" s="15" t="n">
        <f aca="false">E168*(1+IF(F$3&lt;=$O$2,$D168,$D168-($D168-$I$157)*MIN(F$3-$O$2,$Q$2)/$Q$2))</f>
        <v>16656.4924423695</v>
      </c>
      <c r="G168" s="15" t="n">
        <f aca="false">F168*(1+IF(G$3&lt;=$O$2,$D168,$D168-($D168-$I$157)*MIN(G$3-$O$2,$Q$2)/$Q$2))</f>
        <v>17965.91396738</v>
      </c>
      <c r="H168" s="15" t="n">
        <f aca="false">G168*(1+IF(H$3&lt;=$O$2,$D168,$D168-($D168-$I$157)*MIN(H$3-$O$2,$Q$2)/$Q$2))</f>
        <v>19378.2734150109</v>
      </c>
      <c r="I168" s="15" t="n">
        <f aca="false">H168*(1+IF(I$3&lt;=$O$2,$D168,$D168-($D168-$I$157)*MIN(I$3-$O$2,$Q$2)/$Q$2))</f>
        <v>20901.6630731245</v>
      </c>
      <c r="J168" s="15" t="n">
        <f aca="false">I168*(1+IF(J$3&lt;=$O$2,$D168,$D168-($D168-$I$157)*MIN(J$3-$O$2,$Q$2)/$Q$2))</f>
        <v>22376.2884664729</v>
      </c>
      <c r="K168" s="15" t="n">
        <f aca="false">J168*(1+IF(K$3&lt;=$O$2,$D168,$D168-($D168-$I$157)*MIN(K$3-$O$2,$Q$2)/$Q$2))</f>
        <v>23774.5372809069</v>
      </c>
      <c r="L168" s="15" t="n">
        <f aca="false">K168*(1+IF(L$3&lt;=$O$2,$D168,$D168-($D168-$I$157)*MIN(L$3-$O$2,$Q$2)/$Q$2))</f>
        <v>25068.4739019631</v>
      </c>
      <c r="M168" s="15" t="n">
        <f aca="false">L168*(1+IF(M$3&lt;=$O$2,$D168,$D168-($D168-$I$157)*MIN(M$3-$O$2,$Q$2)/$Q$2))</f>
        <v>26230.7149401919</v>
      </c>
      <c r="N168" s="15" t="n">
        <f aca="false">M168*(1+IF(N$3&lt;=$O$2,$D168,$D168-($D168-$I$157)*MIN(N$3-$O$2,$Q$2)/$Q$2))</f>
        <v>27235.3513224013</v>
      </c>
      <c r="O168" s="15" t="n">
        <f aca="false">SUMPRODUCT(E168:N168,1/(1+$F$157)^$E$3:$N$3)*$E$2</f>
        <v>44201.4947131312</v>
      </c>
      <c r="P168" s="15" t="n">
        <f aca="false">N168*$E$2*(1+$I$157)/($F$157-$I$157)/(1+$F$157)^$N$3</f>
        <v>87827.0663346063</v>
      </c>
      <c r="Q168" s="15" t="n">
        <f aca="false">O168+P168</f>
        <v>132028.561047738</v>
      </c>
      <c r="R168" s="15" t="n">
        <f aca="false">Q168-$G$2+$I$2</f>
        <v>120408.561047737</v>
      </c>
      <c r="S168" s="40" t="n">
        <f aca="false">R168/$K$2</f>
        <v>408.483092064109</v>
      </c>
      <c r="T168" s="41" t="n">
        <f aca="false">S168-$M$2</f>
        <v>-1.49757082560132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0.07861328125</v>
      </c>
      <c r="C169" s="25" t="n">
        <f aca="false">IF(T168&gt;0,D168,C168)</f>
        <v>0.080078125</v>
      </c>
      <c r="D169" s="39" t="n">
        <f aca="false">(B169+C169)/2</f>
        <v>0.079345703125</v>
      </c>
      <c r="E169" s="15" t="n">
        <f aca="false">$C$2*(1+IF(E$3&lt;=$O$2,$D169,$D169-($D169-$I$157)*MIN(E$3-$O$2,$Q$2)/$Q$2))</f>
        <v>15452.9924316406</v>
      </c>
      <c r="F169" s="15" t="n">
        <f aca="false">E169*(1+IF(F$3&lt;=$O$2,$D169,$D169-($D169-$I$157)*MIN(F$3-$O$2,$Q$2)/$Q$2))</f>
        <v>16679.1209815145</v>
      </c>
      <c r="G169" s="15" t="n">
        <f aca="false">F169*(1+IF(G$3&lt;=$O$2,$D169,$D169-($D169-$I$157)*MIN(G$3-$O$2,$Q$2)/$Q$2))</f>
        <v>18002.5375632997</v>
      </c>
      <c r="H169" s="15" t="n">
        <f aca="false">G169*(1+IF(H$3&lt;=$O$2,$D169,$D169-($D169-$I$157)*MIN(H$3-$O$2,$Q$2)/$Q$2))</f>
        <v>19430.9615642939</v>
      </c>
      <c r="I169" s="15" t="n">
        <f aca="false">H169*(1+IF(I$3&lt;=$O$2,$D169,$D169-($D169-$I$157)*MIN(I$3-$O$2,$Q$2)/$Q$2))</f>
        <v>20972.7248720076</v>
      </c>
      <c r="J169" s="15" t="n">
        <f aca="false">I169*(1+IF(J$3&lt;=$O$2,$D169,$D169-($D169-$I$157)*MIN(J$3-$O$2,$Q$2)/$Q$2))</f>
        <v>22464.6524256605</v>
      </c>
      <c r="K169" s="15" t="n">
        <f aca="false">J169*(1+IF(K$3&lt;=$O$2,$D169,$D169-($D169-$I$157)*MIN(K$3-$O$2,$Q$2)/$Q$2))</f>
        <v>23878.2950861253</v>
      </c>
      <c r="L169" s="15" t="n">
        <f aca="false">K169*(1+IF(L$3&lt;=$O$2,$D169,$D169-($D169-$I$157)*MIN(L$3-$O$2,$Q$2)/$Q$2))</f>
        <v>25184.8743524184</v>
      </c>
      <c r="M169" s="15" t="n">
        <f aca="false">L169*(1+IF(M$3&lt;=$O$2,$D169,$D169-($D169-$I$157)*MIN(M$3-$O$2,$Q$2)/$Q$2))</f>
        <v>26356.201215298</v>
      </c>
      <c r="N169" s="15" t="n">
        <f aca="false">M169*(1+IF(N$3&lt;=$O$2,$D169,$D169-($D169-$I$157)*MIN(N$3-$O$2,$Q$2)/$Q$2))</f>
        <v>27365.6437218439</v>
      </c>
      <c r="O169" s="15" t="n">
        <f aca="false">SUMPRODUCT(E169:N169,1/(1+$F$157)^$E$3:$N$3)*$E$2</f>
        <v>44343.4620778783</v>
      </c>
      <c r="P169" s="15" t="n">
        <f aca="false">N169*$E$2*(1+$I$157)/($F$157-$I$157)/(1+$F$157)^$N$3</f>
        <v>88247.2261141987</v>
      </c>
      <c r="Q169" s="15" t="n">
        <f aca="false">O169+P169</f>
        <v>132590.688192077</v>
      </c>
      <c r="R169" s="15" t="n">
        <f aca="false">Q169-$G$2+$I$2</f>
        <v>120970.688192077</v>
      </c>
      <c r="S169" s="40" t="n">
        <f aca="false">R169/$K$2</f>
        <v>410.390094623188</v>
      </c>
      <c r="T169" s="41" t="n">
        <f aca="false">S169-$M$2</f>
        <v>0.409431733477049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0.07861328125</v>
      </c>
      <c r="C170" s="25" t="n">
        <f aca="false">IF(T169&gt;0,D169,C169)</f>
        <v>0.079345703125</v>
      </c>
      <c r="D170" s="39" t="n">
        <f aca="false">(B170+C170)/2</f>
        <v>0.0789794921875</v>
      </c>
      <c r="E170" s="15" t="n">
        <f aca="false">$C$2*(1+IF(E$3&lt;=$O$2,$D170,$D170-($D170-$I$157)*MIN(E$3-$O$2,$Q$2)/$Q$2))</f>
        <v>15447.7493896484</v>
      </c>
      <c r="F170" s="15" t="n">
        <f aca="false">E170*(1+IF(F$3&lt;=$O$2,$D170,$D170-($D170-$I$157)*MIN(F$3-$O$2,$Q$2)/$Q$2))</f>
        <v>16667.8047918826</v>
      </c>
      <c r="G170" s="15" t="n">
        <f aca="false">F170*(1+IF(G$3&lt;=$O$2,$D170,$D170-($D170-$I$157)*MIN(G$3-$O$2,$Q$2)/$Q$2))</f>
        <v>17984.2195502259</v>
      </c>
      <c r="H170" s="15" t="n">
        <f aca="false">G170*(1+IF(H$3&lt;=$O$2,$D170,$D170-($D170-$I$157)*MIN(H$3-$O$2,$Q$2)/$Q$2))</f>
        <v>19404.6040776913</v>
      </c>
      <c r="I170" s="15" t="n">
        <f aca="false">H170*(1+IF(I$3&lt;=$O$2,$D170,$D170-($D170-$I$157)*MIN(I$3-$O$2,$Q$2)/$Q$2))</f>
        <v>20937.1698538468</v>
      </c>
      <c r="J170" s="15" t="n">
        <f aca="false">I170*(1+IF(J$3&lt;=$O$2,$D170,$D170-($D170-$I$157)*MIN(J$3-$O$2,$Q$2)/$Q$2))</f>
        <v>22420.4342092475</v>
      </c>
      <c r="K170" s="15" t="n">
        <f aca="false">J170*(1+IF(K$3&lt;=$O$2,$D170,$D170-($D170-$I$157)*MIN(K$3-$O$2,$Q$2)/$Q$2))</f>
        <v>23826.3679664149</v>
      </c>
      <c r="L170" s="15" t="n">
        <f aca="false">K170*(1+IF(L$3&lt;=$O$2,$D170,$D170-($D170-$I$157)*MIN(L$3-$O$2,$Q$2)/$Q$2))</f>
        <v>25126.6156793471</v>
      </c>
      <c r="M170" s="15" t="n">
        <f aca="false">L170*(1+IF(M$3&lt;=$O$2,$D170,$D170-($D170-$I$157)*MIN(M$3-$O$2,$Q$2)/$Q$2))</f>
        <v>26293.3926531114</v>
      </c>
      <c r="N170" s="15" t="n">
        <f aca="false">M170*(1+IF(N$3&lt;=$O$2,$D170,$D170-($D170-$I$157)*MIN(N$3-$O$2,$Q$2)/$Q$2))</f>
        <v>27300.4295917255</v>
      </c>
      <c r="O170" s="15" t="n">
        <f aca="false">SUMPRODUCT(E170:N170,1/(1+$F$157)^$E$3:$N$3)*$E$2</f>
        <v>44272.4216329379</v>
      </c>
      <c r="P170" s="15" t="n">
        <f aca="false">N170*$E$2*(1+$I$157)/($F$157-$I$157)/(1+$F$157)^$N$3</f>
        <v>88036.927166186</v>
      </c>
      <c r="Q170" s="15" t="n">
        <f aca="false">O170+P170</f>
        <v>132309.348799124</v>
      </c>
      <c r="R170" s="15" t="n">
        <f aca="false">Q170-$G$2+$I$2</f>
        <v>120689.348799124</v>
      </c>
      <c r="S170" s="40" t="n">
        <f aca="false">R170/$K$2</f>
        <v>409.435657628402</v>
      </c>
      <c r="T170" s="41" t="n">
        <f aca="false">S170-$M$2</f>
        <v>-0.545005261309086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0.0789794921875</v>
      </c>
      <c r="C171" s="25" t="n">
        <f aca="false">IF(T170&gt;0,D170,C170)</f>
        <v>0.079345703125</v>
      </c>
      <c r="D171" s="39" t="n">
        <f aca="false">(B171+C171)/2</f>
        <v>0.07916259765625</v>
      </c>
      <c r="E171" s="15" t="n">
        <f aca="false">$C$2*(1+IF(E$3&lt;=$O$2,$D171,$D171-($D171-$I$157)*MIN(E$3-$O$2,$Q$2)/$Q$2))</f>
        <v>15450.3709106445</v>
      </c>
      <c r="F171" s="15" t="n">
        <f aca="false">E171*(1+IF(F$3&lt;=$O$2,$D171,$D171-($D171-$I$157)*MIN(F$3-$O$2,$Q$2)/$Q$2))</f>
        <v>16673.4624066837</v>
      </c>
      <c r="G171" s="15" t="n">
        <f aca="false">F171*(1+IF(G$3&lt;=$O$2,$D171,$D171-($D171-$I$157)*MIN(G$3-$O$2,$Q$2)/$Q$2))</f>
        <v>17993.3770027206</v>
      </c>
      <c r="H171" s="15" t="n">
        <f aca="false">G171*(1+IF(H$3&lt;=$O$2,$D171,$D171-($D171-$I$157)*MIN(H$3-$O$2,$Q$2)/$Q$2))</f>
        <v>19417.7794668642</v>
      </c>
      <c r="I171" s="15" t="n">
        <f aca="false">H171*(1+IF(I$3&lt;=$O$2,$D171,$D171-($D171-$I$157)*MIN(I$3-$O$2,$Q$2)/$Q$2))</f>
        <v>20954.9413301774</v>
      </c>
      <c r="J171" s="15" t="n">
        <f aca="false">I171*(1+IF(J$3&lt;=$O$2,$D171,$D171-($D171-$I$157)*MIN(J$3-$O$2,$Q$2)/$Q$2))</f>
        <v>22442.5342523115</v>
      </c>
      <c r="K171" s="15" t="n">
        <f aca="false">J171*(1+IF(K$3&lt;=$O$2,$D171,$D171-($D171-$I$157)*MIN(K$3-$O$2,$Q$2)/$Q$2))</f>
        <v>23852.3194626983</v>
      </c>
      <c r="L171" s="15" t="n">
        <f aca="false">K171*(1+IF(L$3&lt;=$O$2,$D171,$D171-($D171-$I$157)*MIN(L$3-$O$2,$Q$2)/$Q$2))</f>
        <v>25155.7303914687</v>
      </c>
      <c r="M171" s="15" t="n">
        <f aca="false">L171*(1+IF(M$3&lt;=$O$2,$D171,$D171-($D171-$I$157)*MIN(M$3-$O$2,$Q$2)/$Q$2))</f>
        <v>26324.780563409</v>
      </c>
      <c r="N171" s="15" t="n">
        <f aca="false">M171*(1+IF(N$3&lt;=$O$2,$D171,$D171-($D171-$I$157)*MIN(N$3-$O$2,$Q$2)/$Q$2))</f>
        <v>27333.0196589876</v>
      </c>
      <c r="O171" s="15" t="n">
        <f aca="false">SUMPRODUCT(E171:N171,1/(1+$F$157)^$E$3:$N$3)*$E$2</f>
        <v>44307.9276542366</v>
      </c>
      <c r="P171" s="15" t="n">
        <f aca="false">N171*$E$2*(1+$I$157)/($F$157-$I$157)/(1+$F$157)^$N$3</f>
        <v>88142.0218266291</v>
      </c>
      <c r="Q171" s="15" t="n">
        <f aca="false">O171+P171</f>
        <v>132449.949480866</v>
      </c>
      <c r="R171" s="15" t="n">
        <f aca="false">Q171-$G$2+$I$2</f>
        <v>120829.949480866</v>
      </c>
      <c r="S171" s="40" t="n">
        <f aca="false">R171/$K$2</f>
        <v>409.912641994998</v>
      </c>
      <c r="T171" s="41" t="n">
        <f aca="false">S171-$M$2</f>
        <v>-0.0680208947121628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0.07916259765625</v>
      </c>
      <c r="C172" s="25" t="n">
        <f aca="false">IF(T171&gt;0,D171,C171)</f>
        <v>0.079345703125</v>
      </c>
      <c r="D172" s="39" t="n">
        <f aca="false">(B172+C172)/2</f>
        <v>0.079254150390625</v>
      </c>
      <c r="E172" s="15" t="n">
        <f aca="false">$C$2*(1+IF(E$3&lt;=$O$2,$D172,$D172-($D172-$I$157)*MIN(E$3-$O$2,$Q$2)/$Q$2))</f>
        <v>15451.6816711426</v>
      </c>
      <c r="F172" s="15" t="n">
        <f aca="false">E172*(1+IF(F$3&lt;=$O$2,$D172,$D172-($D172-$I$157)*MIN(F$3-$O$2,$Q$2)/$Q$2))</f>
        <v>16676.2915740954</v>
      </c>
      <c r="G172" s="15" t="n">
        <f aca="false">F172*(1+IF(G$3&lt;=$O$2,$D172,$D172-($D172-$I$157)*MIN(G$3-$O$2,$Q$2)/$Q$2))</f>
        <v>17997.9568944666</v>
      </c>
      <c r="H172" s="15" t="n">
        <f aca="false">G172*(1+IF(H$3&lt;=$O$2,$D172,$D172-($D172-$I$157)*MIN(H$3-$O$2,$Q$2)/$Q$2))</f>
        <v>19424.3696769047</v>
      </c>
      <c r="I172" s="15" t="n">
        <f aca="false">H172*(1+IF(I$3&lt;=$O$2,$D172,$D172-($D172-$I$157)*MIN(I$3-$O$2,$Q$2)/$Q$2))</f>
        <v>20963.8315925212</v>
      </c>
      <c r="J172" s="15" t="n">
        <f aca="false">I172*(1+IF(J$3&lt;=$O$2,$D172,$D172-($D172-$I$157)*MIN(J$3-$O$2,$Q$2)/$Q$2))</f>
        <v>22453.5910719578</v>
      </c>
      <c r="K172" s="15" t="n">
        <f aca="false">J172*(1+IF(K$3&lt;=$O$2,$D172,$D172-($D172-$I$157)*MIN(K$3-$O$2,$Q$2)/$Q$2))</f>
        <v>23865.3042573561</v>
      </c>
      <c r="L172" s="15" t="n">
        <f aca="false">K172*(1+IF(L$3&lt;=$O$2,$D172,$D172-($D172-$I$157)*MIN(L$3-$O$2,$Q$2)/$Q$2))</f>
        <v>25170.2987142824</v>
      </c>
      <c r="M172" s="15" t="n">
        <f aca="false">L172*(1+IF(M$3&lt;=$O$2,$D172,$D172-($D172-$I$157)*MIN(M$3-$O$2,$Q$2)/$Q$2))</f>
        <v>26340.4867948237</v>
      </c>
      <c r="N172" s="15" t="n">
        <f aca="false">M172*(1+IF(N$3&lt;=$O$2,$D172,$D172-($D172-$I$157)*MIN(N$3-$O$2,$Q$2)/$Q$2))</f>
        <v>27349.3274390655</v>
      </c>
      <c r="O172" s="15" t="n">
        <f aca="false">SUMPRODUCT(E172:N172,1/(1+$F$157)^$E$3:$N$3)*$E$2</f>
        <v>44325.6913144476</v>
      </c>
      <c r="P172" s="15" t="n">
        <f aca="false">N172*$E$2*(1+$I$157)/($F$157-$I$157)/(1+$F$157)^$N$3</f>
        <v>88194.6102608929</v>
      </c>
      <c r="Q172" s="15" t="n">
        <f aca="false">O172+P172</f>
        <v>132520.30157534</v>
      </c>
      <c r="R172" s="15" t="n">
        <f aca="false">Q172-$G$2+$I$2</f>
        <v>120900.30157534</v>
      </c>
      <c r="S172" s="40" t="n">
        <f aca="false">R172/$K$2</f>
        <v>410.15130975113</v>
      </c>
      <c r="T172" s="41" t="n">
        <f aca="false">S172-$M$2</f>
        <v>0.170646861419073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0.07916259765625</v>
      </c>
      <c r="C173" s="25" t="n">
        <f aca="false">IF(T172&gt;0,D172,C172)</f>
        <v>0.079254150390625</v>
      </c>
      <c r="D173" s="39" t="n">
        <f aca="false">(B173+C173)/2</f>
        <v>0.0792083740234375</v>
      </c>
      <c r="E173" s="15" t="n">
        <f aca="false">$C$2*(1+IF(E$3&lt;=$O$2,$D173,$D173-($D173-$I$157)*MIN(E$3-$O$2,$Q$2)/$Q$2))</f>
        <v>15451.0262908936</v>
      </c>
      <c r="F173" s="15" t="n">
        <f aca="false">E173*(1+IF(F$3&lt;=$O$2,$D173,$D173-($D173-$I$157)*MIN(F$3-$O$2,$Q$2)/$Q$2))</f>
        <v>16674.8769603886</v>
      </c>
      <c r="G173" s="15" t="n">
        <f aca="false">F173*(1+IF(G$3&lt;=$O$2,$D173,$D173-($D173-$I$157)*MIN(G$3-$O$2,$Q$2)/$Q$2))</f>
        <v>17995.6668514619</v>
      </c>
      <c r="H173" s="15" t="n">
        <f aca="false">G173*(1+IF(H$3&lt;=$O$2,$D173,$D173-($D173-$I$157)*MIN(H$3-$O$2,$Q$2)/$Q$2))</f>
        <v>19421.0743622337</v>
      </c>
      <c r="I173" s="15" t="n">
        <f aca="false">H173*(1+IF(I$3&lt;=$O$2,$D173,$D173-($D173-$I$157)*MIN(I$3-$O$2,$Q$2)/$Q$2))</f>
        <v>20959.3860842544</v>
      </c>
      <c r="J173" s="15" t="n">
        <f aca="false">I173*(1+IF(J$3&lt;=$O$2,$D173,$D173-($D173-$I$157)*MIN(J$3-$O$2,$Q$2)/$Q$2))</f>
        <v>22448.0620954704</v>
      </c>
      <c r="K173" s="15" t="n">
        <f aca="false">J173*(1+IF(K$3&lt;=$O$2,$D173,$D173-($D173-$I$157)*MIN(K$3-$O$2,$Q$2)/$Q$2))</f>
        <v>23858.8111059087</v>
      </c>
      <c r="L173" s="15" t="n">
        <f aca="false">K173*(1+IF(L$3&lt;=$O$2,$D173,$D173-($D173-$I$157)*MIN(L$3-$O$2,$Q$2)/$Q$2))</f>
        <v>25163.013638655</v>
      </c>
      <c r="M173" s="15" t="n">
        <f aca="false">L173*(1+IF(M$3&lt;=$O$2,$D173,$D173-($D173-$I$157)*MIN(M$3-$O$2,$Q$2)/$Q$2))</f>
        <v>26332.6326557129</v>
      </c>
      <c r="N173" s="15" t="n">
        <f aca="false">M173*(1+IF(N$3&lt;=$O$2,$D173,$D173-($D173-$I$157)*MIN(N$3-$O$2,$Q$2)/$Q$2))</f>
        <v>27341.1724864267</v>
      </c>
      <c r="O173" s="15" t="n">
        <f aca="false">SUMPRODUCT(E173:N173,1/(1+$F$157)^$E$3:$N$3)*$E$2</f>
        <v>44316.8085966043</v>
      </c>
      <c r="P173" s="15" t="n">
        <f aca="false">N173*$E$2*(1+$I$157)/($F$157-$I$157)/(1+$F$157)^$N$3</f>
        <v>88168.3126171472</v>
      </c>
      <c r="Q173" s="15" t="n">
        <f aca="false">O173+P173</f>
        <v>132485.121213752</v>
      </c>
      <c r="R173" s="15" t="n">
        <f aca="false">Q173-$G$2+$I$2</f>
        <v>120865.121213752</v>
      </c>
      <c r="S173" s="40" t="n">
        <f aca="false">R173/$K$2</f>
        <v>410.031961236732</v>
      </c>
      <c r="T173" s="41" t="n">
        <f aca="false">S173-$M$2</f>
        <v>0.0512983470215431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0.07916259765625</v>
      </c>
      <c r="C174" s="25" t="n">
        <f aca="false">IF(T173&gt;0,D173,C173)</f>
        <v>0.0792083740234375</v>
      </c>
      <c r="D174" s="39" t="n">
        <f aca="false">(B174+C174)/2</f>
        <v>0.0791854858398438</v>
      </c>
      <c r="E174" s="15" t="n">
        <f aca="false">$C$2*(1+IF(E$3&lt;=$O$2,$D174,$D174-($D174-$I$157)*MIN(E$3-$O$2,$Q$2)/$Q$2))</f>
        <v>15450.698600769</v>
      </c>
      <c r="F174" s="15" t="n">
        <f aca="false">E174*(1+IF(F$3&lt;=$O$2,$D174,$D174-($D174-$I$157)*MIN(F$3-$O$2,$Q$2)/$Q$2))</f>
        <v>16674.1696760359</v>
      </c>
      <c r="G174" s="15" t="n">
        <f aca="false">F174*(1+IF(G$3&lt;=$O$2,$D174,$D174-($D174-$I$157)*MIN(G$3-$O$2,$Q$2)/$Q$2))</f>
        <v>17994.5219028088</v>
      </c>
      <c r="H174" s="15" t="n">
        <f aca="false">G174*(1+IF(H$3&lt;=$O$2,$D174,$D174-($D174-$I$157)*MIN(H$3-$O$2,$Q$2)/$Q$2))</f>
        <v>19419.4268621385</v>
      </c>
      <c r="I174" s="15" t="n">
        <f aca="false">H174*(1+IF(I$3&lt;=$O$2,$D174,$D174-($D174-$I$157)*MIN(I$3-$O$2,$Q$2)/$Q$2))</f>
        <v>20957.1636129482</v>
      </c>
      <c r="J174" s="15" t="n">
        <f aca="false">I174*(1+IF(J$3&lt;=$O$2,$D174,$D174-($D174-$I$157)*MIN(J$3-$O$2,$Q$2)/$Q$2))</f>
        <v>22445.2980322365</v>
      </c>
      <c r="K174" s="15" t="n">
        <f aca="false">J174*(1+IF(K$3&lt;=$O$2,$D174,$D174-($D174-$I$157)*MIN(K$3-$O$2,$Q$2)/$Q$2))</f>
        <v>23855.565095792</v>
      </c>
      <c r="L174" s="15" t="n">
        <f aca="false">K174*(1+IF(L$3&lt;=$O$2,$D174,$D174-($D174-$I$157)*MIN(L$3-$O$2,$Q$2)/$Q$2))</f>
        <v>25159.371786531</v>
      </c>
      <c r="M174" s="15" t="n">
        <f aca="false">L174*(1+IF(M$3&lt;=$O$2,$D174,$D174-($D174-$I$157)*MIN(M$3-$O$2,$Q$2)/$Q$2))</f>
        <v>26328.7063537387</v>
      </c>
      <c r="N174" s="15" t="n">
        <f aca="false">M174*(1+IF(N$3&lt;=$O$2,$D174,$D174-($D174-$I$157)*MIN(N$3-$O$2,$Q$2)/$Q$2))</f>
        <v>27337.0958070869</v>
      </c>
      <c r="O174" s="15" t="n">
        <f aca="false">SUMPRODUCT(E174:N174,1/(1+$F$157)^$E$3:$N$3)*$E$2</f>
        <v>44312.3679035066</v>
      </c>
      <c r="P174" s="15" t="n">
        <f aca="false">N174*$E$2*(1+$I$157)/($F$157-$I$157)/(1+$F$157)^$N$3</f>
        <v>88155.1663653304</v>
      </c>
      <c r="Q174" s="15" t="n">
        <f aca="false">O174+P174</f>
        <v>132467.534268837</v>
      </c>
      <c r="R174" s="15" t="n">
        <f aca="false">Q174-$G$2+$I$2</f>
        <v>120847.534268837</v>
      </c>
      <c r="S174" s="40" t="n">
        <f aca="false">R174/$K$2</f>
        <v>409.972297957177</v>
      </c>
      <c r="T174" s="41" t="n">
        <f aca="false">S174-$M$2</f>
        <v>-0.00836493253370918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0.0791854858398438</v>
      </c>
      <c r="C175" s="25" t="n">
        <f aca="false">IF(T174&gt;0,D174,C174)</f>
        <v>0.0792083740234375</v>
      </c>
      <c r="D175" s="39" t="n">
        <f aca="false">(B175+C175)/2</f>
        <v>0.0791969299316406</v>
      </c>
      <c r="E175" s="15" t="n">
        <f aca="false">$C$2*(1+IF(E$3&lt;=$O$2,$D175,$D175-($D175-$I$157)*MIN(E$3-$O$2,$Q$2)/$Q$2))</f>
        <v>15450.8624458313</v>
      </c>
      <c r="F175" s="15" t="n">
        <f aca="false">E175*(1+IF(F$3&lt;=$O$2,$D175,$D175-($D175-$I$157)*MIN(F$3-$O$2,$Q$2)/$Q$2))</f>
        <v>16674.5233163372</v>
      </c>
      <c r="G175" s="15" t="n">
        <f aca="false">F175*(1+IF(G$3&lt;=$O$2,$D175,$D175-($D175-$I$157)*MIN(G$3-$O$2,$Q$2)/$Q$2))</f>
        <v>17995.0943710647</v>
      </c>
      <c r="H175" s="15" t="n">
        <f aca="false">G175*(1+IF(H$3&lt;=$O$2,$D175,$D175-($D175-$I$157)*MIN(H$3-$O$2,$Q$2)/$Q$2))</f>
        <v>19420.2505990832</v>
      </c>
      <c r="I175" s="15" t="n">
        <f aca="false">H175*(1+IF(I$3&lt;=$O$2,$D175,$D175-($D175-$I$157)*MIN(I$3-$O$2,$Q$2)/$Q$2))</f>
        <v>20958.2748250336</v>
      </c>
      <c r="J175" s="15" t="n">
        <f aca="false">I175*(1+IF(J$3&lt;=$O$2,$D175,$D175-($D175-$I$157)*MIN(J$3-$O$2,$Q$2)/$Q$2))</f>
        <v>22446.6800284384</v>
      </c>
      <c r="K175" s="15" t="n">
        <f aca="false">J175*(1+IF(K$3&lt;=$O$2,$D175,$D175-($D175-$I$157)*MIN(K$3-$O$2,$Q$2)/$Q$2))</f>
        <v>23857.1880537202</v>
      </c>
      <c r="L175" s="15" t="n">
        <f aca="false">K175*(1+IF(L$3&lt;=$O$2,$D175,$D175-($D175-$I$157)*MIN(L$3-$O$2,$Q$2)/$Q$2))</f>
        <v>25161.1926554573</v>
      </c>
      <c r="M175" s="15" t="n">
        <f aca="false">L175*(1+IF(M$3&lt;=$O$2,$D175,$D175-($D175-$I$157)*MIN(M$3-$O$2,$Q$2)/$Q$2))</f>
        <v>26330.6694407666</v>
      </c>
      <c r="N175" s="15" t="n">
        <f aca="false">M175*(1+IF(N$3&lt;=$O$2,$D175,$D175-($D175-$I$157)*MIN(N$3-$O$2,$Q$2)/$Q$2))</f>
        <v>27339.134080348</v>
      </c>
      <c r="O175" s="15" t="n">
        <f aca="false">SUMPRODUCT(E175:N175,1/(1+$F$157)^$E$3:$N$3)*$E$2</f>
        <v>44314.5881945744</v>
      </c>
      <c r="P175" s="15" t="n">
        <f aca="false">N175*$E$2*(1+$I$157)/($F$157-$I$157)/(1+$F$157)^$N$3</f>
        <v>88161.7392770874</v>
      </c>
      <c r="Q175" s="15" t="n">
        <f aca="false">O175+P175</f>
        <v>132476.327471662</v>
      </c>
      <c r="R175" s="15" t="n">
        <f aca="false">Q175-$G$2+$I$2</f>
        <v>120856.327471662</v>
      </c>
      <c r="S175" s="40" t="n">
        <f aca="false">R175/$K$2</f>
        <v>410.002128682233</v>
      </c>
      <c r="T175" s="41" t="n">
        <f aca="false">S175-$M$2</f>
        <v>0.0214657925224628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0.0791854858398438</v>
      </c>
      <c r="C176" s="25" t="n">
        <f aca="false">IF(T175&gt;0,D175,C175)</f>
        <v>0.0791969299316406</v>
      </c>
      <c r="D176" s="39" t="n">
        <f aca="false">(B176+C176)/2</f>
        <v>0.0791912078857422</v>
      </c>
      <c r="E176" s="15" t="n">
        <f aca="false">$C$2*(1+IF(E$3&lt;=$O$2,$D176,$D176-($D176-$I$157)*MIN(E$3-$O$2,$Q$2)/$Q$2))</f>
        <v>15450.7805233002</v>
      </c>
      <c r="F176" s="15" t="n">
        <f aca="false">E176*(1+IF(F$3&lt;=$O$2,$D176,$D176-($D176-$I$157)*MIN(F$3-$O$2,$Q$2)/$Q$2))</f>
        <v>16674.3464957178</v>
      </c>
      <c r="G176" s="15" t="n">
        <f aca="false">F176*(1+IF(G$3&lt;=$O$2,$D176,$D176-($D176-$I$157)*MIN(G$3-$O$2,$Q$2)/$Q$2))</f>
        <v>17994.8081354191</v>
      </c>
      <c r="H176" s="15" t="n">
        <f aca="false">G176*(1+IF(H$3&lt;=$O$2,$D176,$D176-($D176-$I$157)*MIN(H$3-$O$2,$Q$2)/$Q$2))</f>
        <v>19419.8387273351</v>
      </c>
      <c r="I176" s="15" t="n">
        <f aca="false">H176*(1+IF(I$3&lt;=$O$2,$D176,$D176-($D176-$I$157)*MIN(I$3-$O$2,$Q$2)/$Q$2))</f>
        <v>20957.7192130991</v>
      </c>
      <c r="J176" s="15" t="n">
        <f aca="false">I176*(1+IF(J$3&lt;=$O$2,$D176,$D176-($D176-$I$157)*MIN(J$3-$O$2,$Q$2)/$Q$2))</f>
        <v>22445.9890214839</v>
      </c>
      <c r="K176" s="15" t="n">
        <f aca="false">J176*(1+IF(K$3&lt;=$O$2,$D176,$D176-($D176-$I$157)*MIN(K$3-$O$2,$Q$2)/$Q$2))</f>
        <v>23856.3765629739</v>
      </c>
      <c r="L176" s="15" t="n">
        <f aca="false">K176*(1+IF(L$3&lt;=$O$2,$D176,$D176-($D176-$I$157)*MIN(L$3-$O$2,$Q$2)/$Q$2))</f>
        <v>25160.2822067106</v>
      </c>
      <c r="M176" s="15" t="n">
        <f aca="false">L176*(1+IF(M$3&lt;=$O$2,$D176,$D176-($D176-$I$157)*MIN(M$3-$O$2,$Q$2)/$Q$2))</f>
        <v>26329.6878812633</v>
      </c>
      <c r="N176" s="15" t="n">
        <f aca="false">M176*(1+IF(N$3&lt;=$O$2,$D176,$D176-($D176-$I$157)*MIN(N$3-$O$2,$Q$2)/$Q$2))</f>
        <v>27338.1149271157</v>
      </c>
      <c r="O176" s="15" t="n">
        <f aca="false">SUMPRODUCT(E176:N176,1/(1+$F$157)^$E$3:$N$3)*$E$2</f>
        <v>44313.4780351706</v>
      </c>
      <c r="P176" s="15" t="n">
        <f aca="false">N176*$E$2*(1+$I$157)/($F$157-$I$157)/(1+$F$157)^$N$3</f>
        <v>88158.4527676726</v>
      </c>
      <c r="Q176" s="15" t="n">
        <f aca="false">O176+P176</f>
        <v>132471.930802843</v>
      </c>
      <c r="R176" s="15" t="n">
        <f aca="false">Q176-$G$2+$I$2</f>
        <v>120851.930802843</v>
      </c>
      <c r="S176" s="40" t="n">
        <f aca="false">R176/$K$2</f>
        <v>409.987213091031</v>
      </c>
      <c r="T176" s="41" t="n">
        <f aca="false">S176-$M$2</f>
        <v>0.00655020132029449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0.0791854858398438</v>
      </c>
      <c r="C177" s="25" t="n">
        <f aca="false">IF(T176&gt;0,D176,C176)</f>
        <v>0.0791912078857422</v>
      </c>
      <c r="D177" s="39" t="n">
        <f aca="false">(B177+C177)/2</f>
        <v>0.079188346862793</v>
      </c>
      <c r="E177" s="15" t="n">
        <f aca="false">$C$2*(1+IF(E$3&lt;=$O$2,$D177,$D177-($D177-$I$157)*MIN(E$3-$O$2,$Q$2)/$Q$2))</f>
        <v>15450.7395620346</v>
      </c>
      <c r="F177" s="15" t="n">
        <f aca="false">E177*(1+IF(F$3&lt;=$O$2,$D177,$D177-($D177-$I$157)*MIN(F$3-$O$2,$Q$2)/$Q$2))</f>
        <v>16674.2580857597</v>
      </c>
      <c r="G177" s="15" t="n">
        <f aca="false">F177*(1+IF(G$3&lt;=$O$2,$D177,$D177-($D177-$I$157)*MIN(G$3-$O$2,$Q$2)/$Q$2))</f>
        <v>17994.6650187345</v>
      </c>
      <c r="H177" s="15" t="n">
        <f aca="false">G177*(1+IF(H$3&lt;=$O$2,$D177,$D177-($D177-$I$157)*MIN(H$3-$O$2,$Q$2)/$Q$2))</f>
        <v>19419.6327939179</v>
      </c>
      <c r="I177" s="15" t="n">
        <f aca="false">H177*(1+IF(I$3&lt;=$O$2,$D177,$D177-($D177-$I$157)*MIN(I$3-$O$2,$Q$2)/$Q$2))</f>
        <v>20957.4414115507</v>
      </c>
      <c r="J177" s="15" t="n">
        <f aca="false">I177*(1+IF(J$3&lt;=$O$2,$D177,$D177-($D177-$I$157)*MIN(J$3-$O$2,$Q$2)/$Q$2))</f>
        <v>22445.6435246468</v>
      </c>
      <c r="K177" s="15" t="n">
        <f aca="false">J177*(1+IF(K$3&lt;=$O$2,$D177,$D177-($D177-$I$157)*MIN(K$3-$O$2,$Q$2)/$Q$2))</f>
        <v>23855.9708264374</v>
      </c>
      <c r="L177" s="15" t="n">
        <f aca="false">K177*(1+IF(L$3&lt;=$O$2,$D177,$D177-($D177-$I$157)*MIN(L$3-$O$2,$Q$2)/$Q$2))</f>
        <v>25159.82699305</v>
      </c>
      <c r="M177" s="15" t="n">
        <f aca="false">L177*(1+IF(M$3&lt;=$O$2,$D177,$D177-($D177-$I$157)*MIN(M$3-$O$2,$Q$2)/$Q$2))</f>
        <v>26329.1971135037</v>
      </c>
      <c r="N177" s="15" t="n">
        <f aca="false">M177*(1+IF(N$3&lt;=$O$2,$D177,$D177-($D177-$I$157)*MIN(N$3-$O$2,$Q$2)/$Q$2))</f>
        <v>27337.6053629509</v>
      </c>
      <c r="O177" s="15" t="n">
        <f aca="false">SUMPRODUCT(E177:N177,1/(1+$F$157)^$E$3:$N$3)*$E$2</f>
        <v>44312.9229658711</v>
      </c>
      <c r="P177" s="15" t="n">
        <f aca="false">N177*$E$2*(1+$I$157)/($F$157-$I$157)/(1+$F$157)^$N$3</f>
        <v>88156.8095531176</v>
      </c>
      <c r="Q177" s="15" t="n">
        <f aca="false">O177+P177</f>
        <v>132469.732518989</v>
      </c>
      <c r="R177" s="15" t="n">
        <f aca="false">Q177-$G$2+$I$2</f>
        <v>120849.732518989</v>
      </c>
      <c r="S177" s="40" t="n">
        <f aca="false">R177/$K$2</f>
        <v>409.979755466936</v>
      </c>
      <c r="T177" s="41" t="n">
        <f aca="false">S177-$M$2</f>
        <v>-0.000907422774673705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0.079188346862793</v>
      </c>
      <c r="C178" s="25" t="n">
        <f aca="false">IF(T177&gt;0,D177,C177)</f>
        <v>0.0791912078857422</v>
      </c>
      <c r="D178" s="39" t="n">
        <f aca="false">(B178+C178)/2</f>
        <v>0.0791897773742676</v>
      </c>
      <c r="E178" s="15" t="n">
        <f aca="false">$C$2*(1+IF(E$3&lt;=$O$2,$D178,$D178-($D178-$I$157)*MIN(E$3-$O$2,$Q$2)/$Q$2))</f>
        <v>15450.7600426674</v>
      </c>
      <c r="F178" s="15" t="n">
        <f aca="false">E178*(1+IF(F$3&lt;=$O$2,$D178,$D178-($D178-$I$157)*MIN(F$3-$O$2,$Q$2)/$Q$2))</f>
        <v>16674.3022907095</v>
      </c>
      <c r="G178" s="15" t="n">
        <f aca="false">F178*(1+IF(G$3&lt;=$O$2,$D178,$D178-($D178-$I$157)*MIN(G$3-$O$2,$Q$2)/$Q$2))</f>
        <v>17994.736576982</v>
      </c>
      <c r="H178" s="15" t="n">
        <f aca="false">G178*(1+IF(H$3&lt;=$O$2,$D178,$D178-($D178-$I$157)*MIN(H$3-$O$2,$Q$2)/$Q$2))</f>
        <v>19419.7357604218</v>
      </c>
      <c r="I178" s="15" t="n">
        <f aca="false">H178*(1+IF(I$3&lt;=$O$2,$D178,$D178-($D178-$I$157)*MIN(I$3-$O$2,$Q$2)/$Q$2))</f>
        <v>20957.5803119567</v>
      </c>
      <c r="J178" s="15" t="n">
        <f aca="false">I178*(1+IF(J$3&lt;=$O$2,$D178,$D178-($D178-$I$157)*MIN(J$3-$O$2,$Q$2)/$Q$2))</f>
        <v>22445.816272512</v>
      </c>
      <c r="K178" s="15" t="n">
        <f aca="false">J178*(1+IF(K$3&lt;=$O$2,$D178,$D178-($D178-$I$157)*MIN(K$3-$O$2,$Q$2)/$Q$2))</f>
        <v>23856.1736939692</v>
      </c>
      <c r="L178" s="15" t="n">
        <f aca="false">K178*(1+IF(L$3&lt;=$O$2,$D178,$D178-($D178-$I$157)*MIN(L$3-$O$2,$Q$2)/$Q$2))</f>
        <v>25160.0545989876</v>
      </c>
      <c r="M178" s="15" t="n">
        <f aca="false">L178*(1+IF(M$3&lt;=$O$2,$D178,$D178-($D178-$I$157)*MIN(M$3-$O$2,$Q$2)/$Q$2))</f>
        <v>26329.4424963842</v>
      </c>
      <c r="N178" s="15" t="n">
        <f aca="false">M178*(1+IF(N$3&lt;=$O$2,$D178,$D178-($D178-$I$157)*MIN(N$3-$O$2,$Q$2)/$Q$2))</f>
        <v>27337.8601439957</v>
      </c>
      <c r="O178" s="15" t="n">
        <f aca="false">SUMPRODUCT(E178:N178,1/(1+$F$157)^$E$3:$N$3)*$E$2</f>
        <v>44313.200499654</v>
      </c>
      <c r="P178" s="15" t="n">
        <f aca="false">N178*$E$2*(1+$I$157)/($F$157-$I$157)/(1+$F$157)^$N$3</f>
        <v>88157.6311570491</v>
      </c>
      <c r="Q178" s="15" t="n">
        <f aca="false">O178+P178</f>
        <v>132470.831656703</v>
      </c>
      <c r="R178" s="15" t="n">
        <f aca="false">Q178-$G$2+$I$2</f>
        <v>120850.831656703</v>
      </c>
      <c r="S178" s="40" t="n">
        <f aca="false">R178/$K$2</f>
        <v>409.983484264691</v>
      </c>
      <c r="T178" s="41" t="n">
        <f aca="false">S178-$M$2</f>
        <v>0.00282137498078328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0.079188346862793</v>
      </c>
      <c r="C179" s="25" t="n">
        <f aca="false">IF(T178&gt;0,D178,C178)</f>
        <v>0.0791897773742676</v>
      </c>
      <c r="D179" s="39" t="n">
        <f aca="false">(B179+C179)/2</f>
        <v>0.0791890621185303</v>
      </c>
      <c r="E179" s="15" t="n">
        <f aca="false">$C$2*(1+IF(E$3&lt;=$O$2,$D179,$D179-($D179-$I$157)*MIN(E$3-$O$2,$Q$2)/$Q$2))</f>
        <v>15450.749802351</v>
      </c>
      <c r="F179" s="15" t="n">
        <f aca="false">E179*(1+IF(F$3&lt;=$O$2,$D179,$D179-($D179-$I$157)*MIN(F$3-$O$2,$Q$2)/$Q$2))</f>
        <v>16674.2801882272</v>
      </c>
      <c r="G179" s="15" t="n">
        <f aca="false">F179*(1+IF(G$3&lt;=$O$2,$D179,$D179-($D179-$I$157)*MIN(G$3-$O$2,$Q$2)/$Q$2))</f>
        <v>17994.7007978345</v>
      </c>
      <c r="H179" s="15" t="n">
        <f aca="false">G179*(1+IF(H$3&lt;=$O$2,$D179,$D179-($D179-$I$157)*MIN(H$3-$O$2,$Q$2)/$Q$2))</f>
        <v>19419.6842771186</v>
      </c>
      <c r="I179" s="15" t="n">
        <f aca="false">H179*(1+IF(I$3&lt;=$O$2,$D179,$D179-($D179-$I$157)*MIN(I$3-$O$2,$Q$2)/$Q$2))</f>
        <v>20957.5108616616</v>
      </c>
      <c r="J179" s="15" t="n">
        <f aca="false">I179*(1+IF(J$3&lt;=$O$2,$D179,$D179-($D179-$I$157)*MIN(J$3-$O$2,$Q$2)/$Q$2))</f>
        <v>22445.7298984411</v>
      </c>
      <c r="K179" s="15" t="n">
        <f aca="false">J179*(1+IF(K$3&lt;=$O$2,$D179,$D179-($D179-$I$157)*MIN(K$3-$O$2,$Q$2)/$Q$2))</f>
        <v>23856.0722600192</v>
      </c>
      <c r="L179" s="15" t="n">
        <f aca="false">K179*(1+IF(L$3&lt;=$O$2,$D179,$D179-($D179-$I$157)*MIN(L$3-$O$2,$Q$2)/$Q$2))</f>
        <v>25159.9407957956</v>
      </c>
      <c r="M179" s="15" t="n">
        <f aca="false">L179*(1+IF(M$3&lt;=$O$2,$D179,$D179-($D179-$I$157)*MIN(M$3-$O$2,$Q$2)/$Q$2))</f>
        <v>26329.3198046941</v>
      </c>
      <c r="N179" s="15" t="n">
        <f aca="false">M179*(1+IF(N$3&lt;=$O$2,$D179,$D179-($D179-$I$157)*MIN(N$3-$O$2,$Q$2)/$Q$2))</f>
        <v>27337.7327532139</v>
      </c>
      <c r="O179" s="15" t="n">
        <f aca="false">SUMPRODUCT(E179:N179,1/(1+$F$157)^$E$3:$N$3)*$E$2</f>
        <v>44313.0617325458</v>
      </c>
      <c r="P179" s="15" t="n">
        <f aca="false">N179*$E$2*(1+$I$157)/($F$157-$I$157)/(1+$F$157)^$N$3</f>
        <v>88157.2203542469</v>
      </c>
      <c r="Q179" s="15" t="n">
        <f aca="false">O179+P179</f>
        <v>132470.282086793</v>
      </c>
      <c r="R179" s="15" t="n">
        <f aca="false">Q179-$G$2+$I$2</f>
        <v>120850.282086793</v>
      </c>
      <c r="S179" s="40" t="n">
        <f aca="false">R179/$K$2</f>
        <v>409.981619862241</v>
      </c>
      <c r="T179" s="41" t="n">
        <f aca="false">S179-$M$2</f>
        <v>0.000956972530048006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0.079188346862793</v>
      </c>
      <c r="C180" s="25" t="n">
        <f aca="false">IF(T179&gt;0,D179,C179)</f>
        <v>0.0791890621185303</v>
      </c>
      <c r="D180" s="39" t="n">
        <f aca="false">(B180+C180)/2</f>
        <v>0.0791887044906616</v>
      </c>
      <c r="E180" s="15" t="n">
        <f aca="false">$C$2*(1+IF(E$3&lt;=$O$2,$D180,$D180-($D180-$I$157)*MIN(E$3-$O$2,$Q$2)/$Q$2))</f>
        <v>15450.7446821928</v>
      </c>
      <c r="F180" s="15" t="n">
        <f aca="false">E180*(1+IF(F$3&lt;=$O$2,$D180,$D180-($D180-$I$157)*MIN(F$3-$O$2,$Q$2)/$Q$2))</f>
        <v>16674.2691369916</v>
      </c>
      <c r="G180" s="15" t="n">
        <f aca="false">F180*(1+IF(G$3&lt;=$O$2,$D180,$D180-($D180-$I$157)*MIN(G$3-$O$2,$Q$2)/$Q$2))</f>
        <v>17994.6829082786</v>
      </c>
      <c r="H180" s="15" t="n">
        <f aca="false">G180*(1+IF(H$3&lt;=$O$2,$D180,$D180-($D180-$I$157)*MIN(H$3-$O$2,$Q$2)/$Q$2))</f>
        <v>19419.6585355055</v>
      </c>
      <c r="I180" s="15" t="n">
        <f aca="false">H180*(1+IF(I$3&lt;=$O$2,$D180,$D180-($D180-$I$157)*MIN(I$3-$O$2,$Q$2)/$Q$2))</f>
        <v>20957.4761365831</v>
      </c>
      <c r="J180" s="15" t="n">
        <f aca="false">I180*(1+IF(J$3&lt;=$O$2,$D180,$D180-($D180-$I$157)*MIN(J$3-$O$2,$Q$2)/$Q$2))</f>
        <v>22445.6867115094</v>
      </c>
      <c r="K180" s="15" t="n">
        <f aca="false">J180*(1+IF(K$3&lt;=$O$2,$D180,$D180-($D180-$I$157)*MIN(K$3-$O$2,$Q$2)/$Q$2))</f>
        <v>23856.0215431823</v>
      </c>
      <c r="L180" s="15" t="n">
        <f aca="false">K180*(1+IF(L$3&lt;=$O$2,$D180,$D180-($D180-$I$157)*MIN(L$3-$O$2,$Q$2)/$Q$2))</f>
        <v>25159.883894367</v>
      </c>
      <c r="M180" s="15" t="n">
        <f aca="false">L180*(1+IF(M$3&lt;=$O$2,$D180,$D180-($D180-$I$157)*MIN(M$3-$O$2,$Q$2)/$Q$2))</f>
        <v>26329.2584590365</v>
      </c>
      <c r="N180" s="15" t="n">
        <f aca="false">M180*(1+IF(N$3&lt;=$O$2,$D180,$D180-($D180-$I$157)*MIN(N$3-$O$2,$Q$2)/$Q$2))</f>
        <v>27337.6690580176</v>
      </c>
      <c r="O180" s="15" t="n">
        <f aca="false">SUMPRODUCT(E180:N180,1/(1+$F$157)^$E$3:$N$3)*$E$2</f>
        <v>44312.9923491543</v>
      </c>
      <c r="P180" s="15" t="n">
        <f aca="false">N180*$E$2*(1+$I$157)/($F$157-$I$157)/(1+$F$157)^$N$3</f>
        <v>88157.0149534731</v>
      </c>
      <c r="Q180" s="15" t="n">
        <f aca="false">O180+P180</f>
        <v>132470.007302627</v>
      </c>
      <c r="R180" s="15" t="n">
        <f aca="false">Q180-$G$2+$I$2</f>
        <v>120850.007302627</v>
      </c>
      <c r="S180" s="40" t="n">
        <f aca="false">R180/$K$2</f>
        <v>409.980687663695</v>
      </c>
      <c r="T180" s="41" t="n">
        <f aca="false">S180-$M$2</f>
        <v>2.47739845349315E-005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0.079188346862793</v>
      </c>
      <c r="C181" s="25" t="n">
        <f aca="false">IF(T180&gt;0,D180,C180)</f>
        <v>0.0791887044906616</v>
      </c>
      <c r="D181" s="39" t="n">
        <f aca="false">(B181+C181)/2</f>
        <v>0.0791885256767273</v>
      </c>
      <c r="E181" s="15" t="n">
        <f aca="false">$C$2*(1+IF(E$3&lt;=$O$2,$D181,$D181-($D181-$I$157)*MIN(E$3-$O$2,$Q$2)/$Q$2))</f>
        <v>15450.7421221137</v>
      </c>
      <c r="F181" s="15" t="n">
        <f aca="false">E181*(1+IF(F$3&lt;=$O$2,$D181,$D181-($D181-$I$157)*MIN(F$3-$O$2,$Q$2)/$Q$2))</f>
        <v>16674.2636113752</v>
      </c>
      <c r="G181" s="15" t="n">
        <f aca="false">F181*(1+IF(G$3&lt;=$O$2,$D181,$D181-($D181-$I$157)*MIN(G$3-$O$2,$Q$2)/$Q$2))</f>
        <v>17994.6739635051</v>
      </c>
      <c r="H181" s="15" t="n">
        <f aca="false">G181*(1+IF(H$3&lt;=$O$2,$D181,$D181-($D181-$I$157)*MIN(H$3-$O$2,$Q$2)/$Q$2))</f>
        <v>19419.6456647085</v>
      </c>
      <c r="I181" s="15" t="n">
        <f aca="false">H181*(1+IF(I$3&lt;=$O$2,$D181,$D181-($D181-$I$157)*MIN(I$3-$O$2,$Q$2)/$Q$2))</f>
        <v>20957.4587740612</v>
      </c>
      <c r="J181" s="15" t="n">
        <f aca="false">I181*(1+IF(J$3&lt;=$O$2,$D181,$D181-($D181-$I$157)*MIN(J$3-$O$2,$Q$2)/$Q$2))</f>
        <v>22445.6651180694</v>
      </c>
      <c r="K181" s="15" t="n">
        <f aca="false">J181*(1+IF(K$3&lt;=$O$2,$D181,$D181-($D181-$I$157)*MIN(K$3-$O$2,$Q$2)/$Q$2))</f>
        <v>23855.9961847983</v>
      </c>
      <c r="L181" s="15" t="n">
        <f aca="false">K181*(1+IF(L$3&lt;=$O$2,$D181,$D181-($D181-$I$157)*MIN(L$3-$O$2,$Q$2)/$Q$2))</f>
        <v>25159.8554436945</v>
      </c>
      <c r="M181" s="15" t="n">
        <f aca="false">L181*(1+IF(M$3&lt;=$O$2,$D181,$D181-($D181-$I$157)*MIN(M$3-$O$2,$Q$2)/$Q$2))</f>
        <v>26329.2277862545</v>
      </c>
      <c r="N181" s="15" t="n">
        <f aca="false">M181*(1+IF(N$3&lt;=$O$2,$D181,$D181-($D181-$I$157)*MIN(N$3-$O$2,$Q$2)/$Q$2))</f>
        <v>27337.637210468</v>
      </c>
      <c r="O181" s="15" t="n">
        <f aca="false">SUMPRODUCT(E181:N181,1/(1+$F$157)^$E$3:$N$3)*$E$2</f>
        <v>44312.9576574992</v>
      </c>
      <c r="P181" s="15" t="n">
        <f aca="false">N181*$E$2*(1+$I$157)/($F$157-$I$157)/(1+$F$157)^$N$3</f>
        <v>88156.9122532431</v>
      </c>
      <c r="Q181" s="15" t="n">
        <f aca="false">O181+P181</f>
        <v>132469.869910742</v>
      </c>
      <c r="R181" s="15" t="n">
        <f aca="false">Q181-$G$2+$I$2</f>
        <v>120849.869910742</v>
      </c>
      <c r="S181" s="40" t="n">
        <f aca="false">R181/$K$2</f>
        <v>409.980221565092</v>
      </c>
      <c r="T181" s="41" t="n">
        <f aca="false">S181-$M$2</f>
        <v>-0.000441324618179806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0.0791885256767273</v>
      </c>
      <c r="C182" s="25" t="n">
        <f aca="false">IF(T181&gt;0,D181,C181)</f>
        <v>0.0791887044906616</v>
      </c>
      <c r="D182" s="39" t="n">
        <f aca="false">(B182+C182)/2</f>
        <v>0.0791886150836945</v>
      </c>
      <c r="E182" s="15" t="n">
        <f aca="false">$C$2*(1+IF(E$3&lt;=$O$2,$D182,$D182-($D182-$I$157)*MIN(E$3-$O$2,$Q$2)/$Q$2))</f>
        <v>15450.7434021533</v>
      </c>
      <c r="F182" s="15" t="n">
        <f aca="false">E182*(1+IF(F$3&lt;=$O$2,$D182,$D182-($D182-$I$157)*MIN(F$3-$O$2,$Q$2)/$Q$2))</f>
        <v>16674.2663741833</v>
      </c>
      <c r="G182" s="15" t="n">
        <f aca="false">F182*(1+IF(G$3&lt;=$O$2,$D182,$D182-($D182-$I$157)*MIN(G$3-$O$2,$Q$2)/$Q$2))</f>
        <v>17994.6784358915</v>
      </c>
      <c r="H182" s="15" t="n">
        <f aca="false">G182*(1+IF(H$3&lt;=$O$2,$D182,$D182-($D182-$I$157)*MIN(H$3-$O$2,$Q$2)/$Q$2))</f>
        <v>19419.6521001062</v>
      </c>
      <c r="I182" s="15" t="n">
        <f aca="false">H182*(1+IF(I$3&lt;=$O$2,$D182,$D182-($D182-$I$157)*MIN(I$3-$O$2,$Q$2)/$Q$2))</f>
        <v>20957.4674553207</v>
      </c>
      <c r="J182" s="15" t="n">
        <f aca="false">I182*(1+IF(J$3&lt;=$O$2,$D182,$D182-($D182-$I$157)*MIN(J$3-$O$2,$Q$2)/$Q$2))</f>
        <v>22445.6759147872</v>
      </c>
      <c r="K182" s="15" t="n">
        <f aca="false">J182*(1+IF(K$3&lt;=$O$2,$D182,$D182-($D182-$I$157)*MIN(K$3-$O$2,$Q$2)/$Q$2))</f>
        <v>23856.0088639874</v>
      </c>
      <c r="L182" s="15" t="n">
        <f aca="false">K182*(1+IF(L$3&lt;=$O$2,$D182,$D182-($D182-$I$157)*MIN(L$3-$O$2,$Q$2)/$Q$2))</f>
        <v>25159.8696690273</v>
      </c>
      <c r="M182" s="15" t="n">
        <f aca="false">L182*(1+IF(M$3&lt;=$O$2,$D182,$D182-($D182-$I$157)*MIN(M$3-$O$2,$Q$2)/$Q$2))</f>
        <v>26329.2431226416</v>
      </c>
      <c r="N182" s="15" t="n">
        <f aca="false">M182*(1+IF(N$3&lt;=$O$2,$D182,$D182-($D182-$I$157)*MIN(N$3-$O$2,$Q$2)/$Q$2))</f>
        <v>27337.6531342387</v>
      </c>
      <c r="O182" s="15" t="n">
        <f aca="false">SUMPRODUCT(E182:N182,1/(1+$F$157)^$E$3:$N$3)*$E$2</f>
        <v>44312.9750033233</v>
      </c>
      <c r="P182" s="15" t="n">
        <f aca="false">N182*$E$2*(1+$I$157)/($F$157-$I$157)/(1+$F$157)^$N$3</f>
        <v>88156.963603345</v>
      </c>
      <c r="Q182" s="15" t="n">
        <f aca="false">O182+P182</f>
        <v>132469.938606668</v>
      </c>
      <c r="R182" s="15" t="n">
        <f aca="false">Q182-$G$2+$I$2</f>
        <v>120849.938606668</v>
      </c>
      <c r="S182" s="40" t="n">
        <f aca="false">R182/$K$2</f>
        <v>409.980454614338</v>
      </c>
      <c r="T182" s="41" t="n">
        <f aca="false">S182-$M$2</f>
        <v>-0.000208275372870048</v>
      </c>
    </row>
    <row r="184" customFormat="false" ht="15" hidden="false" customHeight="false" outlineLevel="0" collapsed="false">
      <c r="A184" s="36" t="s">
        <v>180</v>
      </c>
      <c r="E184" s="5" t="s">
        <v>11</v>
      </c>
      <c r="F184" s="12" t="n">
        <f aca="false">Sensitivity!$B$11</f>
        <v>0.0898919064489092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6" t="s">
        <v>155</v>
      </c>
      <c r="B185" s="28" t="s">
        <v>156</v>
      </c>
      <c r="C185" s="28" t="s">
        <v>157</v>
      </c>
      <c r="D185" s="28" t="s">
        <v>158</v>
      </c>
      <c r="E185" s="28" t="s">
        <v>159</v>
      </c>
      <c r="F185" s="28" t="s">
        <v>160</v>
      </c>
      <c r="G185" s="28" t="s">
        <v>161</v>
      </c>
      <c r="H185" s="28" t="s">
        <v>162</v>
      </c>
      <c r="I185" s="28" t="s">
        <v>163</v>
      </c>
      <c r="J185" s="28" t="s">
        <v>164</v>
      </c>
      <c r="K185" s="28" t="s">
        <v>165</v>
      </c>
      <c r="L185" s="28" t="s">
        <v>166</v>
      </c>
      <c r="M185" s="28" t="s">
        <v>167</v>
      </c>
      <c r="N185" s="28" t="s">
        <v>168</v>
      </c>
      <c r="O185" s="28" t="s">
        <v>169</v>
      </c>
      <c r="P185" s="28" t="s">
        <v>170</v>
      </c>
      <c r="Q185" s="28" t="s">
        <v>171</v>
      </c>
      <c r="R185" s="28" t="s">
        <v>172</v>
      </c>
      <c r="S185" s="28" t="s">
        <v>173</v>
      </c>
      <c r="T185" s="28" t="s">
        <v>174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39" t="n">
        <f aca="false">(B186+C186)/2</f>
        <v>0.25</v>
      </c>
      <c r="E186" s="15" t="n">
        <f aca="false">$C$2*(1+IF(E$3&lt;=$O$2,$D186,$D186-($D186-$I$184)*MIN(E$3-$O$2,$Q$2)/$Q$2))</f>
        <v>17896.25</v>
      </c>
      <c r="F186" s="15" t="n">
        <f aca="false">E186*(1+IF(F$3&lt;=$O$2,$D186,$D186-($D186-$I$184)*MIN(F$3-$O$2,$Q$2)/$Q$2))</f>
        <v>22370.3125</v>
      </c>
      <c r="G186" s="15" t="n">
        <f aca="false">F186*(1+IF(G$3&lt;=$O$2,$D186,$D186-($D186-$I$184)*MIN(G$3-$O$2,$Q$2)/$Q$2))</f>
        <v>27962.890625</v>
      </c>
      <c r="H186" s="15" t="n">
        <f aca="false">G186*(1+IF(H$3&lt;=$O$2,$D186,$D186-($D186-$I$184)*MIN(H$3-$O$2,$Q$2)/$Q$2))</f>
        <v>34953.61328125</v>
      </c>
      <c r="I186" s="15" t="n">
        <f aca="false">H186*(1+IF(I$3&lt;=$O$2,$D186,$D186-($D186-$I$184)*MIN(I$3-$O$2,$Q$2)/$Q$2))</f>
        <v>43692.0166015625</v>
      </c>
      <c r="J186" s="15" t="n">
        <f aca="false">I186*(1+IF(J$3&lt;=$O$2,$D186,$D186-($D186-$I$184)*MIN(J$3-$O$2,$Q$2)/$Q$2))</f>
        <v>52590.3327026367</v>
      </c>
      <c r="K186" s="15" t="n">
        <f aca="false">J186*(1+IF(K$3&lt;=$O$2,$D186,$D186-($D186-$I$184)*MIN(K$3-$O$2,$Q$2)/$Q$2))</f>
        <v>60863.8438434155</v>
      </c>
      <c r="L186" s="15" t="n">
        <f aca="false">K186*(1+IF(L$3&lt;=$O$2,$D186,$D186-($D186-$I$184)*MIN(L$3-$O$2,$Q$2)/$Q$2))</f>
        <v>67618.5132331578</v>
      </c>
      <c r="M186" s="15" t="n">
        <f aca="false">L186*(1+IF(M$3&lt;=$O$2,$D186,$D186-($D186-$I$184)*MIN(M$3-$O$2,$Q$2)/$Q$2))</f>
        <v>71989.3739285491</v>
      </c>
      <c r="N186" s="15" t="n">
        <f aca="false">M186*(1+IF(N$3&lt;=$O$2,$D186,$D186-($D186-$I$184)*MIN(N$3-$O$2,$Q$2)/$Q$2))</f>
        <v>73306.7794714416</v>
      </c>
      <c r="O186" s="15" t="n">
        <f aca="false">SUMPRODUCT(E186:N186,1/(1+$F$184)^$E$3:$N$3)*$E$2</f>
        <v>89185.0206241714</v>
      </c>
      <c r="P186" s="15" t="n">
        <f aca="false">N186*$E$2*(1+$I$184)/($F$184-$I$184)/(1+$F$184)^$N$3</f>
        <v>144101.796765793</v>
      </c>
      <c r="Q186" s="15" t="n">
        <f aca="false">O186+P186</f>
        <v>233286.817389965</v>
      </c>
      <c r="R186" s="15" t="n">
        <f aca="false">Q186-$G$2+$I$2</f>
        <v>221666.817389965</v>
      </c>
      <c r="S186" s="40" t="n">
        <f aca="false">R186/$K$2</f>
        <v>751.999244800911</v>
      </c>
      <c r="T186" s="41" t="n">
        <f aca="false">S186-$M$2</f>
        <v>342.0185819112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39" t="n">
        <f aca="false">(B187+C187)/2</f>
        <v>-0.125</v>
      </c>
      <c r="E187" s="15" t="n">
        <f aca="false">$C$2*(1+IF(E$3&lt;=$O$2,$D187,$D187-($D187-$I$184)*MIN(E$3-$O$2,$Q$2)/$Q$2))</f>
        <v>12527.375</v>
      </c>
      <c r="F187" s="15" t="n">
        <f aca="false">E187*(1+IF(F$3&lt;=$O$2,$D187,$D187-($D187-$I$184)*MIN(F$3-$O$2,$Q$2)/$Q$2))</f>
        <v>10961.453125</v>
      </c>
      <c r="G187" s="15" t="n">
        <f aca="false">F187*(1+IF(G$3&lt;=$O$2,$D187,$D187-($D187-$I$184)*MIN(G$3-$O$2,$Q$2)/$Q$2))</f>
        <v>9591.271484375</v>
      </c>
      <c r="H187" s="15" t="n">
        <f aca="false">G187*(1+IF(H$3&lt;=$O$2,$D187,$D187-($D187-$I$184)*MIN(H$3-$O$2,$Q$2)/$Q$2))</f>
        <v>8392.36254882813</v>
      </c>
      <c r="I187" s="15" t="n">
        <f aca="false">H187*(1+IF(I$3&lt;=$O$2,$D187,$D187-($D187-$I$184)*MIN(I$3-$O$2,$Q$2)/$Q$2))</f>
        <v>7343.31723022461</v>
      </c>
      <c r="J187" s="15" t="n">
        <f aca="false">I187*(1+IF(J$3&lt;=$O$2,$D187,$D187-($D187-$I$184)*MIN(J$3-$O$2,$Q$2)/$Q$2))</f>
        <v>6635.86204826477</v>
      </c>
      <c r="K187" s="15" t="n">
        <f aca="false">J187*(1+IF(K$3&lt;=$O$2,$D187,$D187-($D187-$I$184)*MIN(K$3-$O$2,$Q$2)/$Q$2))</f>
        <v>6186.74690483821</v>
      </c>
      <c r="L187" s="15" t="n">
        <f aca="false">K187*(1+IF(L$3&lt;=$O$2,$D187,$D187-($D187-$I$184)*MIN(L$3-$O$2,$Q$2)/$Q$2))</f>
        <v>5945.34004061142</v>
      </c>
      <c r="M187" s="15" t="n">
        <f aca="false">L187*(1+IF(M$3&lt;=$O$2,$D187,$D187-($D187-$I$184)*MIN(M$3-$O$2,$Q$2)/$Q$2))</f>
        <v>5883.74631779069</v>
      </c>
      <c r="N187" s="15" t="n">
        <f aca="false">M187*(1+IF(N$3&lt;=$O$2,$D187,$D187-($D187-$I$184)*MIN(N$3-$O$2,$Q$2)/$Q$2))</f>
        <v>5991.41887540626</v>
      </c>
      <c r="O187" s="15" t="n">
        <f aca="false">SUMPRODUCT(E187:N187,1/(1+$F$184)^$E$3:$N$3)*$E$2</f>
        <v>17790.3926153933</v>
      </c>
      <c r="P187" s="15" t="n">
        <f aca="false">N187*$E$2*(1+$I$184)/($F$184-$I$184)/(1+$F$184)^$N$3</f>
        <v>11777.5495165338</v>
      </c>
      <c r="Q187" s="15" t="n">
        <f aca="false">O187+P187</f>
        <v>29567.9421319272</v>
      </c>
      <c r="R187" s="15" t="n">
        <f aca="false">Q187-$G$2+$I$2</f>
        <v>17947.9421319272</v>
      </c>
      <c r="S187" s="40" t="n">
        <f aca="false">R187/$K$2</f>
        <v>60.887953767097</v>
      </c>
      <c r="T187" s="41" t="n">
        <f aca="false">S187-$M$2</f>
        <v>-349.092709122614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39" t="n">
        <f aca="false">(B188+C188)/2</f>
        <v>0.0625</v>
      </c>
      <c r="E188" s="15" t="n">
        <f aca="false">$C$2*(1+IF(E$3&lt;=$O$2,$D188,$D188-($D188-$I$184)*MIN(E$3-$O$2,$Q$2)/$Q$2))</f>
        <v>15211.8125</v>
      </c>
      <c r="F188" s="15" t="n">
        <f aca="false">E188*(1+IF(F$3&lt;=$O$2,$D188,$D188-($D188-$I$184)*MIN(F$3-$O$2,$Q$2)/$Q$2))</f>
        <v>16162.55078125</v>
      </c>
      <c r="G188" s="15" t="n">
        <f aca="false">F188*(1+IF(G$3&lt;=$O$2,$D188,$D188-($D188-$I$184)*MIN(G$3-$O$2,$Q$2)/$Q$2))</f>
        <v>17172.7102050781</v>
      </c>
      <c r="H188" s="15" t="n">
        <f aca="false">G188*(1+IF(H$3&lt;=$O$2,$D188,$D188-($D188-$I$184)*MIN(H$3-$O$2,$Q$2)/$Q$2))</f>
        <v>18246.0045928955</v>
      </c>
      <c r="I188" s="15" t="n">
        <f aca="false">H188*(1+IF(I$3&lt;=$O$2,$D188,$D188-($D188-$I$184)*MIN(I$3-$O$2,$Q$2)/$Q$2))</f>
        <v>19386.3798799515</v>
      </c>
      <c r="J188" s="15" t="n">
        <f aca="false">I188*(1+IF(J$3&lt;=$O$2,$D188,$D188-($D188-$I$184)*MIN(J$3-$O$2,$Q$2)/$Q$2))</f>
        <v>20426.6530243097</v>
      </c>
      <c r="K188" s="15" t="n">
        <f aca="false">J188*(1+IF(K$3&lt;=$O$2,$D188,$D188-($D188-$I$184)*MIN(K$3-$O$2,$Q$2)/$Q$2))</f>
        <v>21342.1756128592</v>
      </c>
      <c r="L188" s="15" t="n">
        <f aca="false">K188*(1+IF(L$3&lt;=$O$2,$D188,$D188-($D188-$I$184)*MIN(L$3-$O$2,$Q$2)/$Q$2))</f>
        <v>22110.0670914099</v>
      </c>
      <c r="M188" s="15" t="n">
        <f aca="false">L188*(1+IF(M$3&lt;=$O$2,$D188,$D188-($D188-$I$184)*MIN(M$3-$O$2,$Q$2)/$Q$2))</f>
        <v>22710.1343122708</v>
      </c>
      <c r="N188" s="15" t="n">
        <f aca="false">M188*(1+IF(N$3&lt;=$O$2,$D188,$D188-($D188-$I$184)*MIN(N$3-$O$2,$Q$2)/$Q$2))</f>
        <v>23125.7297701853</v>
      </c>
      <c r="O188" s="15" t="n">
        <f aca="false">SUMPRODUCT(E188:N188,1/(1+$F$184)^$E$3:$N$3)*$E$2</f>
        <v>39739.7235007318</v>
      </c>
      <c r="P188" s="15" t="n">
        <f aca="false">N188*$E$2*(1+$I$184)/($F$184-$I$184)/(1+$F$184)^$N$3</f>
        <v>45459.0862595749</v>
      </c>
      <c r="Q188" s="15" t="n">
        <f aca="false">O188+P188</f>
        <v>85198.8097603067</v>
      </c>
      <c r="R188" s="15" t="n">
        <f aca="false">Q188-$G$2+$I$2</f>
        <v>73578.8097603067</v>
      </c>
      <c r="S188" s="40" t="n">
        <f aca="false">R188/$K$2</f>
        <v>249.614308648461</v>
      </c>
      <c r="T188" s="41" t="n">
        <f aca="false">S188-$M$2</f>
        <v>-160.36635424125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39" t="n">
        <f aca="false">(B189+C189)/2</f>
        <v>0.15625</v>
      </c>
      <c r="E189" s="15" t="n">
        <f aca="false">$C$2*(1+IF(E$3&lt;=$O$2,$D189,$D189-($D189-$I$184)*MIN(E$3-$O$2,$Q$2)/$Q$2))</f>
        <v>16554.03125</v>
      </c>
      <c r="F189" s="15" t="n">
        <f aca="false">E189*(1+IF(F$3&lt;=$O$2,$D189,$D189-($D189-$I$184)*MIN(F$3-$O$2,$Q$2)/$Q$2))</f>
        <v>19140.5986328125</v>
      </c>
      <c r="G189" s="15" t="n">
        <f aca="false">F189*(1+IF(G$3&lt;=$O$2,$D189,$D189-($D189-$I$184)*MIN(G$3-$O$2,$Q$2)/$Q$2))</f>
        <v>22131.3171691895</v>
      </c>
      <c r="H189" s="15" t="n">
        <f aca="false">G189*(1+IF(H$3&lt;=$O$2,$D189,$D189-($D189-$I$184)*MIN(H$3-$O$2,$Q$2)/$Q$2))</f>
        <v>25589.3354768753</v>
      </c>
      <c r="I189" s="15" t="n">
        <f aca="false">H189*(1+IF(I$3&lt;=$O$2,$D189,$D189-($D189-$I$184)*MIN(I$3-$O$2,$Q$2)/$Q$2))</f>
        <v>29587.6691451371</v>
      </c>
      <c r="J189" s="15" t="n">
        <f aca="false">I189*(1+IF(J$3&lt;=$O$2,$D189,$D189-($D189-$I$184)*MIN(J$3-$O$2,$Q$2)/$Q$2))</f>
        <v>33394.4186573504</v>
      </c>
      <c r="K189" s="15" t="n">
        <f aca="false">J189*(1+IF(K$3&lt;=$O$2,$D189,$D189-($D189-$I$184)*MIN(K$3-$O$2,$Q$2)/$Q$2))</f>
        <v>36769.5925510488</v>
      </c>
      <c r="L189" s="15" t="n">
        <f aca="false">K189*(1+IF(L$3&lt;=$O$2,$D189,$D189-($D189-$I$184)*MIN(L$3-$O$2,$Q$2)/$Q$2))</f>
        <v>39471.4222116999</v>
      </c>
      <c r="M189" s="15" t="n">
        <f aca="false">L189*(1+IF(M$3&lt;=$O$2,$D189,$D189-($D189-$I$184)*MIN(M$3-$O$2,$Q$2)/$Q$2))</f>
        <v>41282.7657769948</v>
      </c>
      <c r="N189" s="15" t="n">
        <f aca="false">M189*(1+IF(N$3&lt;=$O$2,$D189,$D189-($D189-$I$184)*MIN(N$3-$O$2,$Q$2)/$Q$2))</f>
        <v>42038.2403907138</v>
      </c>
      <c r="O189" s="15" t="n">
        <f aca="false">SUMPRODUCT(E189:N189,1/(1+$F$184)^$E$3:$N$3)*$E$2</f>
        <v>59633.1406299537</v>
      </c>
      <c r="P189" s="15" t="n">
        <f aca="false">N189*$E$2*(1+$I$184)/($F$184-$I$184)/(1+$F$184)^$N$3</f>
        <v>82636.094735742</v>
      </c>
      <c r="Q189" s="15" t="n">
        <f aca="false">O189+P189</f>
        <v>142269.235365696</v>
      </c>
      <c r="R189" s="15" t="n">
        <f aca="false">Q189-$G$2+$I$2</f>
        <v>130649.235365696</v>
      </c>
      <c r="S189" s="40" t="n">
        <f aca="false">R189/$K$2</f>
        <v>443.224328682348</v>
      </c>
      <c r="T189" s="41" t="n">
        <f aca="false">S189-$M$2</f>
        <v>33.2436657926375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39" t="n">
        <f aca="false">(B190+C190)/2</f>
        <v>0.109375</v>
      </c>
      <c r="E190" s="15" t="n">
        <f aca="false">$C$2*(1+IF(E$3&lt;=$O$2,$D190,$D190-($D190-$I$184)*MIN(E$3-$O$2,$Q$2)/$Q$2))</f>
        <v>15882.921875</v>
      </c>
      <c r="F190" s="15" t="n">
        <f aca="false">E190*(1+IF(F$3&lt;=$O$2,$D190,$D190-($D190-$I$184)*MIN(F$3-$O$2,$Q$2)/$Q$2))</f>
        <v>17620.1164550781</v>
      </c>
      <c r="G190" s="15" t="n">
        <f aca="false">F190*(1+IF(G$3&lt;=$O$2,$D190,$D190-($D190-$I$184)*MIN(G$3-$O$2,$Q$2)/$Q$2))</f>
        <v>19547.3166923523</v>
      </c>
      <c r="H190" s="15" t="n">
        <f aca="false">G190*(1+IF(H$3&lt;=$O$2,$D190,$D190-($D190-$I$184)*MIN(H$3-$O$2,$Q$2)/$Q$2))</f>
        <v>21685.3044555783</v>
      </c>
      <c r="I190" s="15" t="n">
        <f aca="false">H190*(1+IF(I$3&lt;=$O$2,$D190,$D190-($D190-$I$184)*MIN(I$3-$O$2,$Q$2)/$Q$2))</f>
        <v>24057.1346304072</v>
      </c>
      <c r="J190" s="15" t="n">
        <f aca="false">I190*(1+IF(J$3&lt;=$O$2,$D190,$D190-($D190-$I$184)*MIN(J$3-$O$2,$Q$2)/$Q$2))</f>
        <v>26250.1830233151</v>
      </c>
      <c r="K190" s="15" t="n">
        <f aca="false">J190*(1+IF(K$3&lt;=$O$2,$D190,$D190-($D190-$I$184)*MIN(K$3-$O$2,$Q$2)/$Q$2))</f>
        <v>28165.0026239508</v>
      </c>
      <c r="L190" s="15" t="n">
        <f aca="false">K190*(1+IF(L$3&lt;=$O$2,$D190,$D190-($D190-$I$184)*MIN(L$3-$O$2,$Q$2)/$Q$2))</f>
        <v>29706.4732175597</v>
      </c>
      <c r="M190" s="15" t="n">
        <f aca="false">L190*(1+IF(M$3&lt;=$O$2,$D190,$D190-($D190-$I$184)*MIN(M$3-$O$2,$Q$2)/$Q$2))</f>
        <v>30791.2050870989</v>
      </c>
      <c r="N190" s="15" t="n">
        <f aca="false">M190*(1+IF(N$3&lt;=$O$2,$D190,$D190-($D190-$I$184)*MIN(N$3-$O$2,$Q$2)/$Q$2))</f>
        <v>31354.6841401928</v>
      </c>
      <c r="O190" s="15" t="n">
        <f aca="false">SUMPRODUCT(E190:N190,1/(1+$F$184)^$E$3:$N$3)*$E$2</f>
        <v>48688.8269671788</v>
      </c>
      <c r="P190" s="15" t="n">
        <f aca="false">N190*$E$2*(1+$I$184)/($F$184-$I$184)/(1+$F$184)^$N$3</f>
        <v>61635.0404997112</v>
      </c>
      <c r="Q190" s="15" t="n">
        <f aca="false">O190+P190</f>
        <v>110323.86746689</v>
      </c>
      <c r="R190" s="15" t="n">
        <f aca="false">Q190-$G$2+$I$2</f>
        <v>98703.86746689</v>
      </c>
      <c r="S190" s="40" t="n">
        <f aca="false">R190/$K$2</f>
        <v>334.850451086915</v>
      </c>
      <c r="T190" s="41" t="n">
        <f aca="false">S190-$M$2</f>
        <v>-75.1302118027953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0.109375</v>
      </c>
      <c r="C191" s="25" t="n">
        <f aca="false">IF(T190&gt;0,D190,C190)</f>
        <v>0.15625</v>
      </c>
      <c r="D191" s="39" t="n">
        <f aca="false">(B191+C191)/2</f>
        <v>0.1328125</v>
      </c>
      <c r="E191" s="15" t="n">
        <f aca="false">$C$2*(1+IF(E$3&lt;=$O$2,$D191,$D191-($D191-$I$184)*MIN(E$3-$O$2,$Q$2)/$Q$2))</f>
        <v>16218.4765625</v>
      </c>
      <c r="F191" s="15" t="n">
        <f aca="false">E191*(1+IF(F$3&lt;=$O$2,$D191,$D191-($D191-$I$184)*MIN(F$3-$O$2,$Q$2)/$Q$2))</f>
        <v>18372.492980957</v>
      </c>
      <c r="G191" s="15" t="n">
        <f aca="false">F191*(1+IF(G$3&lt;=$O$2,$D191,$D191-($D191-$I$184)*MIN(G$3-$O$2,$Q$2)/$Q$2))</f>
        <v>20812.5897049904</v>
      </c>
      <c r="H191" s="15" t="n">
        <f aca="false">G191*(1+IF(H$3&lt;=$O$2,$D191,$D191-($D191-$I$184)*MIN(H$3-$O$2,$Q$2)/$Q$2))</f>
        <v>23576.7617751844</v>
      </c>
      <c r="I191" s="15" t="n">
        <f aca="false">H191*(1+IF(I$3&lt;=$O$2,$D191,$D191-($D191-$I$184)*MIN(I$3-$O$2,$Q$2)/$Q$2))</f>
        <v>26708.0504484511</v>
      </c>
      <c r="J191" s="15" t="n">
        <f aca="false">I191*(1+IF(J$3&lt;=$O$2,$D191,$D191-($D191-$I$184)*MIN(J$3-$O$2,$Q$2)/$Q$2))</f>
        <v>29643.5322732404</v>
      </c>
      <c r="K191" s="15" t="n">
        <f aca="false">J191*(1+IF(K$3&lt;=$O$2,$D191,$D191-($D191-$I$184)*MIN(K$3-$O$2,$Q$2)/$Q$2))</f>
        <v>32222.7419075043</v>
      </c>
      <c r="L191" s="15" t="n">
        <f aca="false">K191*(1+IF(L$3&lt;=$O$2,$D191,$D191-($D191-$I$184)*MIN(L$3-$O$2,$Q$2)/$Q$2))</f>
        <v>34288.3807774849</v>
      </c>
      <c r="M191" s="15" t="n">
        <f aca="false">L191*(1+IF(M$3&lt;=$O$2,$D191,$D191-($D191-$I$184)*MIN(M$3-$O$2,$Q$2)/$Q$2))</f>
        <v>35701.1477864692</v>
      </c>
      <c r="N191" s="15" t="n">
        <f aca="false">M191*(1+IF(N$3&lt;=$O$2,$D191,$D191-($D191-$I$184)*MIN(N$3-$O$2,$Q$2)/$Q$2))</f>
        <v>36354.4787909616</v>
      </c>
      <c r="O191" s="15" t="n">
        <f aca="false">SUMPRODUCT(E191:N191,1/(1+$F$184)^$E$3:$N$3)*$E$2</f>
        <v>53887.9327408679</v>
      </c>
      <c r="P191" s="15" t="n">
        <f aca="false">N191*$E$2*(1+$I$184)/($F$184-$I$184)/(1+$F$184)^$N$3</f>
        <v>71463.3182910779</v>
      </c>
      <c r="Q191" s="15" t="n">
        <f aca="false">O191+P191</f>
        <v>125351.251031946</v>
      </c>
      <c r="R191" s="15" t="n">
        <f aca="false">Q191-$G$2+$I$2</f>
        <v>113731.251031946</v>
      </c>
      <c r="S191" s="40" t="n">
        <f aca="false">R191/$K$2</f>
        <v>385.830481500647</v>
      </c>
      <c r="T191" s="41" t="n">
        <f aca="false">S191-$M$2</f>
        <v>-24.1501813890632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0.1328125</v>
      </c>
      <c r="C192" s="25" t="n">
        <f aca="false">IF(T191&gt;0,D191,C191)</f>
        <v>0.15625</v>
      </c>
      <c r="D192" s="39" t="n">
        <f aca="false">(B192+C192)/2</f>
        <v>0.14453125</v>
      </c>
      <c r="E192" s="15" t="n">
        <f aca="false">$C$2*(1+IF(E$3&lt;=$O$2,$D192,$D192-($D192-$I$184)*MIN(E$3-$O$2,$Q$2)/$Q$2))</f>
        <v>16386.25390625</v>
      </c>
      <c r="F192" s="15" t="n">
        <f aca="false">E192*(1+IF(F$3&lt;=$O$2,$D192,$D192-($D192-$I$184)*MIN(F$3-$O$2,$Q$2)/$Q$2))</f>
        <v>18754.5796661377</v>
      </c>
      <c r="G192" s="15" t="n">
        <f aca="false">F192*(1+IF(G$3&lt;=$O$2,$D192,$D192-($D192-$I$184)*MIN(G$3-$O$2,$Q$2)/$Q$2))</f>
        <v>21465.2025085092</v>
      </c>
      <c r="H192" s="15" t="n">
        <f aca="false">G192*(1+IF(H$3&lt;=$O$2,$D192,$D192-($D192-$I$184)*MIN(H$3-$O$2,$Q$2)/$Q$2))</f>
        <v>24567.5950585671</v>
      </c>
      <c r="I192" s="15" t="n">
        <f aca="false">H192*(1+IF(I$3&lt;=$O$2,$D192,$D192-($D192-$I$184)*MIN(I$3-$O$2,$Q$2)/$Q$2))</f>
        <v>28118.3802818757</v>
      </c>
      <c r="J192" s="15" t="n">
        <f aca="false">I192*(1+IF(J$3&lt;=$O$2,$D192,$D192-($D192-$I$184)*MIN(J$3-$O$2,$Q$2)/$Q$2))</f>
        <v>31472.4812737992</v>
      </c>
      <c r="K192" s="15" t="n">
        <f aca="false">J192*(1+IF(K$3&lt;=$O$2,$D192,$D192-($D192-$I$184)*MIN(K$3-$O$2,$Q$2)/$Q$2))</f>
        <v>34432.1140721857</v>
      </c>
      <c r="L192" s="15" t="n">
        <f aca="false">K192*(1+IF(L$3&lt;=$O$2,$D192,$D192-($D192-$I$184)*MIN(L$3-$O$2,$Q$2)/$Q$2))</f>
        <v>36800.7852794965</v>
      </c>
      <c r="M192" s="15" t="n">
        <f aca="false">L192*(1+IF(M$3&lt;=$O$2,$D192,$D192-($D192-$I$184)*MIN(M$3-$O$2,$Q$2)/$Q$2))</f>
        <v>38403.3214754738</v>
      </c>
      <c r="N192" s="15" t="n">
        <f aca="false">M192*(1+IF(N$3&lt;=$O$2,$D192,$D192-($D192-$I$184)*MIN(N$3-$O$2,$Q$2)/$Q$2))</f>
        <v>39106.1022584749</v>
      </c>
      <c r="O192" s="15" t="n">
        <f aca="false">SUMPRODUCT(E192:N192,1/(1+$F$184)^$E$3:$N$3)*$E$2</f>
        <v>56689.1065726666</v>
      </c>
      <c r="P192" s="15" t="n">
        <f aca="false">N192*$E$2*(1+$I$184)/($F$184-$I$184)/(1+$F$184)^$N$3</f>
        <v>76872.2843996773</v>
      </c>
      <c r="Q192" s="15" t="n">
        <f aca="false">O192+P192</f>
        <v>133561.390972344</v>
      </c>
      <c r="R192" s="15" t="n">
        <f aca="false">Q192-$G$2+$I$2</f>
        <v>121941.390972344</v>
      </c>
      <c r="S192" s="40" t="n">
        <f aca="false">R192/$K$2</f>
        <v>413.683180012701</v>
      </c>
      <c r="T192" s="41" t="n">
        <f aca="false">S192-$M$2</f>
        <v>3.70251712299051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0.1328125</v>
      </c>
      <c r="C193" s="25" t="n">
        <f aca="false">IF(T192&gt;0,D192,C192)</f>
        <v>0.14453125</v>
      </c>
      <c r="D193" s="39" t="n">
        <f aca="false">(B193+C193)/2</f>
        <v>0.138671875</v>
      </c>
      <c r="E193" s="15" t="n">
        <f aca="false">$C$2*(1+IF(E$3&lt;=$O$2,$D193,$D193-($D193-$I$184)*MIN(E$3-$O$2,$Q$2)/$Q$2))</f>
        <v>16302.365234375</v>
      </c>
      <c r="F193" s="15" t="n">
        <f aca="false">E193*(1+IF(F$3&lt;=$O$2,$D193,$D193-($D193-$I$184)*MIN(F$3-$O$2,$Q$2)/$Q$2))</f>
        <v>18563.0447883606</v>
      </c>
      <c r="G193" s="15" t="n">
        <f aca="false">F193*(1+IF(G$3&lt;=$O$2,$D193,$D193-($D193-$I$184)*MIN(G$3-$O$2,$Q$2)/$Q$2))</f>
        <v>21137.2170148715</v>
      </c>
      <c r="H193" s="15" t="n">
        <f aca="false">G193*(1+IF(H$3&lt;=$O$2,$D193,$D193-($D193-$I$184)*MIN(H$3-$O$2,$Q$2)/$Q$2))</f>
        <v>24068.3545306057</v>
      </c>
      <c r="I193" s="15" t="n">
        <f aca="false">H193*(1+IF(I$3&lt;=$O$2,$D193,$D193-($D193-$I$184)*MIN(I$3-$O$2,$Q$2)/$Q$2))</f>
        <v>27405.9583815295</v>
      </c>
      <c r="J193" s="15" t="n">
        <f aca="false">I193*(1+IF(J$3&lt;=$O$2,$D193,$D193-($D193-$I$184)*MIN(J$3-$O$2,$Q$2)/$Q$2))</f>
        <v>30546.6126971568</v>
      </c>
      <c r="K193" s="15" t="n">
        <f aca="false">J193*(1+IF(K$3&lt;=$O$2,$D193,$D193-($D193-$I$184)*MIN(K$3-$O$2,$Q$2)/$Q$2))</f>
        <v>33311.7875366682</v>
      </c>
      <c r="L193" s="15" t="n">
        <f aca="false">K193*(1+IF(L$3&lt;=$O$2,$D193,$D193-($D193-$I$184)*MIN(L$3-$O$2,$Q$2)/$Q$2))</f>
        <v>35525.3141787453</v>
      </c>
      <c r="M193" s="15" t="n">
        <f aca="false">L193*(1+IF(M$3&lt;=$O$2,$D193,$D193-($D193-$I$184)*MIN(M$3-$O$2,$Q$2)/$Q$2))</f>
        <v>37030.6771637483</v>
      </c>
      <c r="N193" s="15" t="n">
        <f aca="false">M193*(1+IF(N$3&lt;=$O$2,$D193,$D193-($D193-$I$184)*MIN(N$3-$O$2,$Q$2)/$Q$2))</f>
        <v>37708.3385558449</v>
      </c>
      <c r="O193" s="15" t="n">
        <f aca="false">SUMPRODUCT(E193:N193,1/(1+$F$184)^$E$3:$N$3)*$E$2</f>
        <v>55271.0678790796</v>
      </c>
      <c r="P193" s="15" t="n">
        <f aca="false">N193*$E$2*(1+$I$184)/($F$184-$I$184)/(1+$F$184)^$N$3</f>
        <v>74124.6495635096</v>
      </c>
      <c r="Q193" s="15" t="n">
        <f aca="false">O193+P193</f>
        <v>129395.717442589</v>
      </c>
      <c r="R193" s="15" t="n">
        <f aca="false">Q193-$G$2+$I$2</f>
        <v>117775.717442589</v>
      </c>
      <c r="S193" s="40" t="n">
        <f aca="false">R193/$K$2</f>
        <v>399.551234666313</v>
      </c>
      <c r="T193" s="41" t="n">
        <f aca="false">S193-$M$2</f>
        <v>-10.4294282233972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0.138671875</v>
      </c>
      <c r="C194" s="25" t="n">
        <f aca="false">IF(T193&gt;0,D193,C193)</f>
        <v>0.14453125</v>
      </c>
      <c r="D194" s="39" t="n">
        <f aca="false">(B194+C194)/2</f>
        <v>0.1416015625</v>
      </c>
      <c r="E194" s="15" t="n">
        <f aca="false">$C$2*(1+IF(E$3&lt;=$O$2,$D194,$D194-($D194-$I$184)*MIN(E$3-$O$2,$Q$2)/$Q$2))</f>
        <v>16344.3095703125</v>
      </c>
      <c r="F194" s="15" t="n">
        <f aca="false">E194*(1+IF(F$3&lt;=$O$2,$D194,$D194-($D194-$I$184)*MIN(F$3-$O$2,$Q$2)/$Q$2))</f>
        <v>18658.6893434525</v>
      </c>
      <c r="G194" s="15" t="n">
        <f aca="false">F194*(1+IF(G$3&lt;=$O$2,$D194,$D194-($D194-$I$184)*MIN(G$3-$O$2,$Q$2)/$Q$2))</f>
        <v>21300.7889086874</v>
      </c>
      <c r="H194" s="15" t="n">
        <f aca="false">G194*(1+IF(H$3&lt;=$O$2,$D194,$D194-($D194-$I$184)*MIN(H$3-$O$2,$Q$2)/$Q$2))</f>
        <v>24317.0139006402</v>
      </c>
      <c r="I194" s="15" t="n">
        <f aca="false">H194*(1+IF(I$3&lt;=$O$2,$D194,$D194-($D194-$I$184)*MIN(I$3-$O$2,$Q$2)/$Q$2))</f>
        <v>27760.3410643051</v>
      </c>
      <c r="J194" s="15" t="n">
        <f aca="false">I194*(1+IF(J$3&lt;=$O$2,$D194,$D194-($D194-$I$184)*MIN(J$3-$O$2,$Q$2)/$Q$2))</f>
        <v>31006.6700487913</v>
      </c>
      <c r="K194" s="15" t="n">
        <f aca="false">J194*(1+IF(K$3&lt;=$O$2,$D194,$D194-($D194-$I$184)*MIN(K$3-$O$2,$Q$2)/$Q$2))</f>
        <v>33867.9946296469</v>
      </c>
      <c r="L194" s="15" t="n">
        <f aca="false">K194*(1+IF(L$3&lt;=$O$2,$D194,$D194-($D194-$I$184)*MIN(L$3-$O$2,$Q$2)/$Q$2))</f>
        <v>36158.1695940003</v>
      </c>
      <c r="M194" s="15" t="n">
        <f aca="false">L194*(1+IF(M$3&lt;=$O$2,$D194,$D194-($D194-$I$184)*MIN(M$3-$O$2,$Q$2)/$Q$2))</f>
        <v>37711.5358591865</v>
      </c>
      <c r="N194" s="15" t="n">
        <f aca="false">M194*(1+IF(N$3&lt;=$O$2,$D194,$D194-($D194-$I$184)*MIN(N$3-$O$2,$Q$2)/$Q$2))</f>
        <v>38401.6569654096</v>
      </c>
      <c r="O194" s="15" t="n">
        <f aca="false">SUMPRODUCT(E194:N194,1/(1+$F$184)^$E$3:$N$3)*$E$2</f>
        <v>55975.6741882029</v>
      </c>
      <c r="P194" s="15" t="n">
        <f aca="false">N194*$E$2*(1+$I$184)/($F$184-$I$184)/(1+$F$184)^$N$3</f>
        <v>75487.5307222434</v>
      </c>
      <c r="Q194" s="15" t="n">
        <f aca="false">O194+P194</f>
        <v>131463.204910446</v>
      </c>
      <c r="R194" s="15" t="n">
        <f aca="false">Q194-$G$2+$I$2</f>
        <v>119843.204910446</v>
      </c>
      <c r="S194" s="40" t="n">
        <f aca="false">R194/$K$2</f>
        <v>406.565135225587</v>
      </c>
      <c r="T194" s="41" t="n">
        <f aca="false">S194-$M$2</f>
        <v>-3.41552766412354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0.1416015625</v>
      </c>
      <c r="C195" s="25" t="n">
        <f aca="false">IF(T194&gt;0,D194,C194)</f>
        <v>0.14453125</v>
      </c>
      <c r="D195" s="39" t="n">
        <f aca="false">(B195+C195)/2</f>
        <v>0.14306640625</v>
      </c>
      <c r="E195" s="15" t="n">
        <f aca="false">$C$2*(1+IF(E$3&lt;=$O$2,$D195,$D195-($D195-$I$184)*MIN(E$3-$O$2,$Q$2)/$Q$2))</f>
        <v>16365.2817382813</v>
      </c>
      <c r="F195" s="15" t="n">
        <f aca="false">E195*(1+IF(F$3&lt;=$O$2,$D195,$D195-($D195-$I$184)*MIN(F$3-$O$2,$Q$2)/$Q$2))</f>
        <v>18706.6037838459</v>
      </c>
      <c r="G195" s="15" t="n">
        <f aca="false">F195*(1+IF(G$3&lt;=$O$2,$D195,$D195-($D195-$I$184)*MIN(G$3-$O$2,$Q$2)/$Q$2))</f>
        <v>21382.8903603434</v>
      </c>
      <c r="H195" s="15" t="n">
        <f aca="false">G195*(1+IF(H$3&lt;=$O$2,$D195,$D195-($D195-$I$184)*MIN(H$3-$O$2,$Q$2)/$Q$2))</f>
        <v>24442.0636394355</v>
      </c>
      <c r="I195" s="15" t="n">
        <f aca="false">H195*(1+IF(I$3&lt;=$O$2,$D195,$D195-($D195-$I$184)*MIN(I$3-$O$2,$Q$2)/$Q$2))</f>
        <v>27938.9018456633</v>
      </c>
      <c r="J195" s="15" t="n">
        <f aca="false">I195*(1+IF(J$3&lt;=$O$2,$D195,$D195-($D195-$I$184)*MIN(J$3-$O$2,$Q$2)/$Q$2))</f>
        <v>31238.8528517229</v>
      </c>
      <c r="K195" s="15" t="n">
        <f aca="false">J195*(1+IF(K$3&lt;=$O$2,$D195,$D195-($D195-$I$184)*MIN(K$3-$O$2,$Q$2)/$Q$2))</f>
        <v>34149.0595023186</v>
      </c>
      <c r="L195" s="15" t="n">
        <f aca="false">K195*(1+IF(L$3&lt;=$O$2,$D195,$D195-($D195-$I$184)*MIN(L$3-$O$2,$Q$2)/$Q$2))</f>
        <v>36478.2494635797</v>
      </c>
      <c r="M195" s="15" t="n">
        <f aca="false">L195*(1+IF(M$3&lt;=$O$2,$D195,$D195-($D195-$I$184)*MIN(M$3-$O$2,$Q$2)/$Q$2))</f>
        <v>38056.0534471356</v>
      </c>
      <c r="N195" s="15" t="n">
        <f aca="false">M195*(1+IF(N$3&lt;=$O$2,$D195,$D195-($D195-$I$184)*MIN(N$3-$O$2,$Q$2)/$Q$2))</f>
        <v>38752.4792252182</v>
      </c>
      <c r="O195" s="15" t="n">
        <f aca="false">SUMPRODUCT(E195:N195,1/(1+$F$184)^$E$3:$N$3)*$E$2</f>
        <v>56331.2808050253</v>
      </c>
      <c r="P195" s="15" t="n">
        <f aca="false">N195*$E$2*(1+$I$184)/($F$184-$I$184)/(1+$F$184)^$N$3</f>
        <v>76177.1547699556</v>
      </c>
      <c r="Q195" s="15" t="n">
        <f aca="false">O195+P195</f>
        <v>132508.435574981</v>
      </c>
      <c r="R195" s="15" t="n">
        <f aca="false">Q195-$G$2+$I$2</f>
        <v>120888.435574981</v>
      </c>
      <c r="S195" s="40" t="n">
        <f aca="false">R195/$K$2</f>
        <v>410.111054635753</v>
      </c>
      <c r="T195" s="41" t="n">
        <f aca="false">S195-$M$2</f>
        <v>0.130391746042449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0.1416015625</v>
      </c>
      <c r="C196" s="25" t="n">
        <f aca="false">IF(T195&gt;0,D195,C195)</f>
        <v>0.14306640625</v>
      </c>
      <c r="D196" s="39" t="n">
        <f aca="false">(B196+C196)/2</f>
        <v>0.142333984375</v>
      </c>
      <c r="E196" s="15" t="n">
        <f aca="false">$C$2*(1+IF(E$3&lt;=$O$2,$D196,$D196-($D196-$I$184)*MIN(E$3-$O$2,$Q$2)/$Q$2))</f>
        <v>16354.7956542969</v>
      </c>
      <c r="F196" s="15" t="n">
        <f aca="false">E196*(1+IF(F$3&lt;=$O$2,$D196,$D196-($D196-$I$184)*MIN(F$3-$O$2,$Q$2)/$Q$2))</f>
        <v>18682.6388834119</v>
      </c>
      <c r="G196" s="15" t="n">
        <f aca="false">F196*(1+IF(G$3&lt;=$O$2,$D196,$D196-($D196-$I$184)*MIN(G$3-$O$2,$Q$2)/$Q$2))</f>
        <v>21341.8133143272</v>
      </c>
      <c r="H196" s="15" t="n">
        <f aca="false">G196*(1+IF(H$3&lt;=$O$2,$D196,$D196-($D196-$I$184)*MIN(H$3-$O$2,$Q$2)/$Q$2))</f>
        <v>24379.4786371428</v>
      </c>
      <c r="I196" s="15" t="n">
        <f aca="false">H196*(1+IF(I$3&lt;=$O$2,$D196,$D196-($D196-$I$184)*MIN(I$3-$O$2,$Q$2)/$Q$2))</f>
        <v>27849.5069685525</v>
      </c>
      <c r="J196" s="15" t="n">
        <f aca="false">I196*(1+IF(J$3&lt;=$O$2,$D196,$D196-($D196-$I$184)*MIN(J$3-$O$2,$Q$2)/$Q$2))</f>
        <v>31122.5811958282</v>
      </c>
      <c r="K196" s="15" t="n">
        <f aca="false">J196*(1+IF(K$3&lt;=$O$2,$D196,$D196-($D196-$I$184)*MIN(K$3-$O$2,$Q$2)/$Q$2))</f>
        <v>34008.2790815636</v>
      </c>
      <c r="L196" s="15" t="n">
        <f aca="false">K196*(1+IF(L$3&lt;=$O$2,$D196,$D196-($D196-$I$184)*MIN(L$3-$O$2,$Q$2)/$Q$2))</f>
        <v>36317.9035312456</v>
      </c>
      <c r="M196" s="15" t="n">
        <f aca="false">L196*(1+IF(M$3&lt;=$O$2,$D196,$D196-($D196-$I$184)*MIN(M$3-$O$2,$Q$2)/$Q$2))</f>
        <v>37883.4520216928</v>
      </c>
      <c r="N196" s="15" t="n">
        <f aca="false">M196*(1+IF(N$3&lt;=$O$2,$D196,$D196-($D196-$I$184)*MIN(N$3-$O$2,$Q$2)/$Q$2))</f>
        <v>38576.7191936898</v>
      </c>
      <c r="O196" s="15" t="n">
        <f aca="false">SUMPRODUCT(E196:N196,1/(1+$F$184)^$E$3:$N$3)*$E$2</f>
        <v>56153.2008946993</v>
      </c>
      <c r="P196" s="15" t="n">
        <f aca="false">N196*$E$2*(1+$I$184)/($F$184-$I$184)/(1+$F$184)^$N$3</f>
        <v>75831.6568975151</v>
      </c>
      <c r="Q196" s="15" t="n">
        <f aca="false">O196+P196</f>
        <v>131984.857792214</v>
      </c>
      <c r="R196" s="15" t="n">
        <f aca="false">Q196-$G$2+$I$2</f>
        <v>120364.857792214</v>
      </c>
      <c r="S196" s="40" t="n">
        <f aca="false">R196/$K$2</f>
        <v>408.334829840942</v>
      </c>
      <c r="T196" s="41" t="n">
        <f aca="false">S196-$M$2</f>
        <v>-1.64583304876879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0.142333984375</v>
      </c>
      <c r="C197" s="25" t="n">
        <f aca="false">IF(T196&gt;0,D196,C196)</f>
        <v>0.14306640625</v>
      </c>
      <c r="D197" s="39" t="n">
        <f aca="false">(B197+C197)/2</f>
        <v>0.1427001953125</v>
      </c>
      <c r="E197" s="15" t="n">
        <f aca="false">$C$2*(1+IF(E$3&lt;=$O$2,$D197,$D197-($D197-$I$184)*MIN(E$3-$O$2,$Q$2)/$Q$2))</f>
        <v>16360.0386962891</v>
      </c>
      <c r="F197" s="15" t="n">
        <f aca="false">E197*(1+IF(F$3&lt;=$O$2,$D197,$D197-($D197-$I$184)*MIN(F$3-$O$2,$Q$2)/$Q$2))</f>
        <v>18694.6194135696</v>
      </c>
      <c r="G197" s="15" t="n">
        <f aca="false">F197*(1+IF(G$3&lt;=$O$2,$D197,$D197-($D197-$I$184)*MIN(G$3-$O$2,$Q$2)/$Q$2))</f>
        <v>21362.3452551788</v>
      </c>
      <c r="H197" s="15" t="n">
        <f aca="false">G197*(1+IF(H$3&lt;=$O$2,$D197,$D197-($D197-$I$184)*MIN(H$3-$O$2,$Q$2)/$Q$2))</f>
        <v>24410.7560954259</v>
      </c>
      <c r="I197" s="15" t="n">
        <f aca="false">H197*(1+IF(I$3&lt;=$O$2,$D197,$D197-($D197-$I$184)*MIN(I$3-$O$2,$Q$2)/$Q$2))</f>
        <v>27894.1757579689</v>
      </c>
      <c r="J197" s="15" t="n">
        <f aca="false">I197*(1+IF(J$3&lt;=$O$2,$D197,$D197-($D197-$I$184)*MIN(J$3-$O$2,$Q$2)/$Q$2))</f>
        <v>31180.6719042378</v>
      </c>
      <c r="K197" s="15" t="n">
        <f aca="false">J197*(1+IF(K$3&lt;=$O$2,$D197,$D197-($D197-$I$184)*MIN(K$3-$O$2,$Q$2)/$Q$2))</f>
        <v>34078.6072050027</v>
      </c>
      <c r="L197" s="15" t="n">
        <f aca="false">K197*(1+IF(L$3&lt;=$O$2,$D197,$D197-($D197-$I$184)*MIN(L$3-$O$2,$Q$2)/$Q$2))</f>
        <v>36397.9998737663</v>
      </c>
      <c r="M197" s="15" t="n">
        <f aca="false">L197*(1+IF(M$3&lt;=$O$2,$D197,$D197-($D197-$I$184)*MIN(M$3-$O$2,$Q$2)/$Q$2))</f>
        <v>37969.6669301124</v>
      </c>
      <c r="N197" s="15" t="n">
        <f aca="false">M197*(1+IF(N$3&lt;=$O$2,$D197,$D197-($D197-$I$184)*MIN(N$3-$O$2,$Q$2)/$Q$2))</f>
        <v>38664.5118349335</v>
      </c>
      <c r="O197" s="15" t="n">
        <f aca="false">SUMPRODUCT(E197:N197,1/(1+$F$184)^$E$3:$N$3)*$E$2</f>
        <v>56242.1716005442</v>
      </c>
      <c r="P197" s="15" t="n">
        <f aca="false">N197*$E$2*(1+$I$184)/($F$184-$I$184)/(1+$F$184)^$N$3</f>
        <v>76004.2340784695</v>
      </c>
      <c r="Q197" s="15" t="n">
        <f aca="false">O197+P197</f>
        <v>132246.405679014</v>
      </c>
      <c r="R197" s="15" t="n">
        <f aca="false">Q197-$G$2+$I$2</f>
        <v>120626.405679014</v>
      </c>
      <c r="S197" s="40" t="n">
        <f aca="false">R197/$K$2</f>
        <v>409.222124636203</v>
      </c>
      <c r="T197" s="41" t="n">
        <f aca="false">S197-$M$2</f>
        <v>-0.758538253507254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0.1427001953125</v>
      </c>
      <c r="C198" s="25" t="n">
        <f aca="false">IF(T197&gt;0,D197,C197)</f>
        <v>0.14306640625</v>
      </c>
      <c r="D198" s="39" t="n">
        <f aca="false">(B198+C198)/2</f>
        <v>0.14288330078125</v>
      </c>
      <c r="E198" s="15" t="n">
        <f aca="false">$C$2*(1+IF(E$3&lt;=$O$2,$D198,$D198-($D198-$I$184)*MIN(E$3-$O$2,$Q$2)/$Q$2))</f>
        <v>16362.6602172852</v>
      </c>
      <c r="F198" s="15" t="n">
        <f aca="false">E198*(1+IF(F$3&lt;=$O$2,$D198,$D198-($D198-$I$184)*MIN(F$3-$O$2,$Q$2)/$Q$2))</f>
        <v>18700.6111186929</v>
      </c>
      <c r="G198" s="15" t="n">
        <f aca="false">F198*(1+IF(G$3&lt;=$O$2,$D198,$D198-($D198-$I$184)*MIN(G$3-$O$2,$Q$2)/$Q$2))</f>
        <v>21372.6161619583</v>
      </c>
      <c r="H198" s="15" t="n">
        <f aca="false">G198*(1+IF(H$3&lt;=$O$2,$D198,$D198-($D198-$I$184)*MIN(H$3-$O$2,$Q$2)/$Q$2))</f>
        <v>24426.4061055096</v>
      </c>
      <c r="I198" s="15" t="n">
        <f aca="false">H198*(1+IF(I$3&lt;=$O$2,$D198,$D198-($D198-$I$184)*MIN(I$3-$O$2,$Q$2)/$Q$2))</f>
        <v>27916.5316360881</v>
      </c>
      <c r="J198" s="15" t="n">
        <f aca="false">I198*(1+IF(J$3&lt;=$O$2,$D198,$D198-($D198-$I$184)*MIN(J$3-$O$2,$Q$2)/$Q$2))</f>
        <v>31209.7510910989</v>
      </c>
      <c r="K198" s="15" t="n">
        <f aca="false">J198*(1+IF(K$3&lt;=$O$2,$D198,$D198-($D198-$I$184)*MIN(K$3-$O$2,$Q$2)/$Q$2))</f>
        <v>34113.8178205602</v>
      </c>
      <c r="L198" s="15" t="n">
        <f aca="false">K198*(1+IF(L$3&lt;=$O$2,$D198,$D198-($D198-$I$184)*MIN(L$3-$O$2,$Q$2)/$Q$2))</f>
        <v>36438.1054972107</v>
      </c>
      <c r="M198" s="15" t="n">
        <f aca="false">L198*(1+IF(M$3&lt;=$O$2,$D198,$D198-($D198-$I$184)*MIN(M$3-$O$2,$Q$2)/$Q$2))</f>
        <v>38012.8387192213</v>
      </c>
      <c r="N198" s="15" t="n">
        <f aca="false">M198*(1+IF(N$3&lt;=$O$2,$D198,$D198-($D198-$I$184)*MIN(N$3-$O$2,$Q$2)/$Q$2))</f>
        <v>38708.473667783</v>
      </c>
      <c r="O198" s="15" t="n">
        <f aca="false">SUMPRODUCT(E198:N198,1/(1+$F$184)^$E$3:$N$3)*$E$2</f>
        <v>56286.7088780869</v>
      </c>
      <c r="P198" s="15" t="n">
        <f aca="false">N198*$E$2*(1+$I$184)/($F$184-$I$184)/(1+$F$184)^$N$3</f>
        <v>76090.6514487102</v>
      </c>
      <c r="Q198" s="15" t="n">
        <f aca="false">O198+P198</f>
        <v>132377.360326797</v>
      </c>
      <c r="R198" s="15" t="n">
        <f aca="false">Q198-$G$2+$I$2</f>
        <v>120757.360326797</v>
      </c>
      <c r="S198" s="40" t="n">
        <f aca="false">R198/$K$2</f>
        <v>409.666385069027</v>
      </c>
      <c r="T198" s="41" t="n">
        <f aca="false">S198-$M$2</f>
        <v>-0.314277820683628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0.14288330078125</v>
      </c>
      <c r="C199" s="25" t="n">
        <f aca="false">IF(T198&gt;0,D198,C198)</f>
        <v>0.14306640625</v>
      </c>
      <c r="D199" s="39" t="n">
        <f aca="false">(B199+C199)/2</f>
        <v>0.142974853515625</v>
      </c>
      <c r="E199" s="15" t="n">
        <f aca="false">$C$2*(1+IF(E$3&lt;=$O$2,$D199,$D199-($D199-$I$184)*MIN(E$3-$O$2,$Q$2)/$Q$2))</f>
        <v>16363.9709777832</v>
      </c>
      <c r="F199" s="15" t="n">
        <f aca="false">E199*(1+IF(F$3&lt;=$O$2,$D199,$D199-($D199-$I$184)*MIN(F$3-$O$2,$Q$2)/$Q$2))</f>
        <v>18703.6073312657</v>
      </c>
      <c r="G199" s="15" t="n">
        <f aca="false">F199*(1+IF(G$3&lt;=$O$2,$D199,$D199-($D199-$I$184)*MIN(G$3-$O$2,$Q$2)/$Q$2))</f>
        <v>21377.7528496672</v>
      </c>
      <c r="H199" s="15" t="n">
        <f aca="false">G199*(1+IF(H$3&lt;=$O$2,$D199,$D199-($D199-$I$184)*MIN(H$3-$O$2,$Q$2)/$Q$2))</f>
        <v>24434.2339318416</v>
      </c>
      <c r="I199" s="15" t="n">
        <f aca="false">H199*(1+IF(I$3&lt;=$O$2,$D199,$D199-($D199-$I$184)*MIN(I$3-$O$2,$Q$2)/$Q$2))</f>
        <v>27927.7149490131</v>
      </c>
      <c r="J199" s="15" t="n">
        <f aca="false">I199*(1+IF(J$3&lt;=$O$2,$D199,$D199-($D199-$I$184)*MIN(J$3-$O$2,$Q$2)/$Q$2))</f>
        <v>31224.2991488156</v>
      </c>
      <c r="K199" s="15" t="n">
        <f aca="false">J199*(1+IF(K$3&lt;=$O$2,$D199,$D199-($D199-$I$184)*MIN(K$3-$O$2,$Q$2)/$Q$2))</f>
        <v>34131.4347767429</v>
      </c>
      <c r="L199" s="15" t="n">
        <f aca="false">K199*(1+IF(L$3&lt;=$O$2,$D199,$D199-($D199-$I$184)*MIN(L$3-$O$2,$Q$2)/$Q$2))</f>
        <v>36458.1726855847</v>
      </c>
      <c r="M199" s="15" t="n">
        <f aca="false">L199*(1+IF(M$3&lt;=$O$2,$D199,$D199-($D199-$I$184)*MIN(M$3-$O$2,$Q$2)/$Q$2))</f>
        <v>38034.4407135354</v>
      </c>
      <c r="N199" s="15" t="n">
        <f aca="false">M199*(1+IF(N$3&lt;=$O$2,$D199,$D199-($D199-$I$184)*MIN(N$3-$O$2,$Q$2)/$Q$2))</f>
        <v>38730.4709785931</v>
      </c>
      <c r="O199" s="15" t="n">
        <f aca="false">SUMPRODUCT(E199:N199,1/(1+$F$184)^$E$3:$N$3)*$E$2</f>
        <v>56308.9905088348</v>
      </c>
      <c r="P199" s="15" t="n">
        <f aca="false">N199*$E$2*(1+$I$184)/($F$184-$I$184)/(1+$F$184)^$N$3</f>
        <v>76133.8923608687</v>
      </c>
      <c r="Q199" s="15" t="n">
        <f aca="false">O199+P199</f>
        <v>132442.882869703</v>
      </c>
      <c r="R199" s="15" t="n">
        <f aca="false">Q199-$G$2+$I$2</f>
        <v>120822.882869703</v>
      </c>
      <c r="S199" s="40" t="n">
        <f aca="false">R199/$K$2</f>
        <v>409.888668689838</v>
      </c>
      <c r="T199" s="41" t="n">
        <f aca="false">S199-$M$2</f>
        <v>-0.0919941998728291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0.142974853515625</v>
      </c>
      <c r="C200" s="25" t="n">
        <f aca="false">IF(T199&gt;0,D199,C199)</f>
        <v>0.14306640625</v>
      </c>
      <c r="D200" s="39" t="n">
        <f aca="false">(B200+C200)/2</f>
        <v>0.143020629882813</v>
      </c>
      <c r="E200" s="15" t="n">
        <f aca="false">$C$2*(1+IF(E$3&lt;=$O$2,$D200,$D200-($D200-$I$184)*MIN(E$3-$O$2,$Q$2)/$Q$2))</f>
        <v>16364.6263580322</v>
      </c>
      <c r="F200" s="15" t="n">
        <f aca="false">E200*(1+IF(F$3&lt;=$O$2,$D200,$D200-($D200-$I$184)*MIN(F$3-$O$2,$Q$2)/$Q$2))</f>
        <v>18705.1055275549</v>
      </c>
      <c r="G200" s="15" t="n">
        <f aca="false">F200*(1+IF(G$3&lt;=$O$2,$D200,$D200-($D200-$I$184)*MIN(G$3-$O$2,$Q$2)/$Q$2))</f>
        <v>21380.3215021302</v>
      </c>
      <c r="H200" s="15" t="n">
        <f aca="false">G200*(1+IF(H$3&lt;=$O$2,$D200,$D200-($D200-$I$184)*MIN(H$3-$O$2,$Q$2)/$Q$2))</f>
        <v>24438.148550462</v>
      </c>
      <c r="I200" s="15" t="n">
        <f aca="false">H200*(1+IF(I$3&lt;=$O$2,$D200,$D200-($D200-$I$184)*MIN(I$3-$O$2,$Q$2)/$Q$2))</f>
        <v>27933.3079493188</v>
      </c>
      <c r="J200" s="15" t="n">
        <f aca="false">I200*(1+IF(J$3&lt;=$O$2,$D200,$D200-($D200-$I$184)*MIN(J$3-$O$2,$Q$2)/$Q$2))</f>
        <v>31231.575294511</v>
      </c>
      <c r="K200" s="15" t="n">
        <f aca="false">J200*(1+IF(K$3&lt;=$O$2,$D200,$D200-($D200-$I$184)*MIN(K$3-$O$2,$Q$2)/$Q$2))</f>
        <v>34140.2461681789</v>
      </c>
      <c r="L200" s="15" t="n">
        <f aca="false">K200*(1+IF(L$3&lt;=$O$2,$D200,$D200-($D200-$I$184)*MIN(L$3-$O$2,$Q$2)/$Q$2))</f>
        <v>36468.2098756364</v>
      </c>
      <c r="M200" s="15" t="n">
        <f aca="false">L200*(1+IF(M$3&lt;=$O$2,$D200,$D200-($D200-$I$184)*MIN(M$3-$O$2,$Q$2)/$Q$2))</f>
        <v>38045.2457376381</v>
      </c>
      <c r="N200" s="15" t="n">
        <f aca="false">M200*(1+IF(N$3&lt;=$O$2,$D200,$D200-($D200-$I$184)*MIN(N$3-$O$2,$Q$2)/$Q$2))</f>
        <v>38741.4737346369</v>
      </c>
      <c r="O200" s="15" t="n">
        <f aca="false">SUMPRODUCT(E200:N200,1/(1+$F$184)^$E$3:$N$3)*$E$2</f>
        <v>56320.1345735563</v>
      </c>
      <c r="P200" s="15" t="n">
        <f aca="false">N200*$E$2*(1+$I$184)/($F$184-$I$184)/(1+$F$184)^$N$3</f>
        <v>76155.5208777224</v>
      </c>
      <c r="Q200" s="15" t="n">
        <f aca="false">O200+P200</f>
        <v>132475.655451279</v>
      </c>
      <c r="R200" s="15" t="n">
        <f aca="false">Q200-$G$2+$I$2</f>
        <v>120855.655451279</v>
      </c>
      <c r="S200" s="40" t="n">
        <f aca="false">R200/$K$2</f>
        <v>409.999848869555</v>
      </c>
      <c r="T200" s="41" t="n">
        <f aca="false">S200-$M$2</f>
        <v>0.0191859798441669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0.142974853515625</v>
      </c>
      <c r="C201" s="25" t="n">
        <f aca="false">IF(T200&gt;0,D200,C200)</f>
        <v>0.143020629882813</v>
      </c>
      <c r="D201" s="39" t="n">
        <f aca="false">(B201+C201)/2</f>
        <v>0.142997741699219</v>
      </c>
      <c r="E201" s="15" t="n">
        <f aca="false">$C$2*(1+IF(E$3&lt;=$O$2,$D201,$D201-($D201-$I$184)*MIN(E$3-$O$2,$Q$2)/$Q$2))</f>
        <v>16364.2986679077</v>
      </c>
      <c r="F201" s="15" t="n">
        <f aca="false">E201*(1+IF(F$3&lt;=$O$2,$D201,$D201-($D201-$I$184)*MIN(F$3-$O$2,$Q$2)/$Q$2))</f>
        <v>18704.3564219101</v>
      </c>
      <c r="G201" s="15" t="n">
        <f aca="false">F201*(1+IF(G$3&lt;=$O$2,$D201,$D201-($D201-$I$184)*MIN(G$3-$O$2,$Q$2)/$Q$2))</f>
        <v>21379.0371501805</v>
      </c>
      <c r="H201" s="15" t="n">
        <f aca="false">G201*(1+IF(H$3&lt;=$O$2,$D201,$D201-($D201-$I$184)*MIN(H$3-$O$2,$Q$2)/$Q$2))</f>
        <v>24436.19118236</v>
      </c>
      <c r="I201" s="15" t="n">
        <f aca="false">H201*(1+IF(I$3&lt;=$O$2,$D201,$D201-($D201-$I$184)*MIN(I$3-$O$2,$Q$2)/$Q$2))</f>
        <v>27930.5113371678</v>
      </c>
      <c r="J201" s="15" t="n">
        <f aca="false">I201*(1+IF(J$3&lt;=$O$2,$D201,$D201-($D201-$I$184)*MIN(J$3-$O$2,$Q$2)/$Q$2))</f>
        <v>31227.9370452374</v>
      </c>
      <c r="K201" s="15" t="n">
        <f aca="false">J201*(1+IF(K$3&lt;=$O$2,$D201,$D201-($D201-$I$184)*MIN(K$3-$O$2,$Q$2)/$Q$2))</f>
        <v>34135.8402296451</v>
      </c>
      <c r="L201" s="15" t="n">
        <f aca="false">K201*(1+IF(L$3&lt;=$O$2,$D201,$D201-($D201-$I$184)*MIN(L$3-$O$2,$Q$2)/$Q$2))</f>
        <v>36463.1909809045</v>
      </c>
      <c r="M201" s="15" t="n">
        <f aca="false">L201*(1+IF(M$3&lt;=$O$2,$D201,$D201-($D201-$I$184)*MIN(M$3-$O$2,$Q$2)/$Q$2))</f>
        <v>38039.8428899482</v>
      </c>
      <c r="N201" s="15" t="n">
        <f aca="false">M201*(1+IF(N$3&lt;=$O$2,$D201,$D201-($D201-$I$184)*MIN(N$3-$O$2,$Q$2)/$Q$2))</f>
        <v>38735.9720148343</v>
      </c>
      <c r="O201" s="15" t="n">
        <f aca="false">SUMPRODUCT(E201:N201,1/(1+$F$184)^$E$3:$N$3)*$E$2</f>
        <v>56314.5622703763</v>
      </c>
      <c r="P201" s="15" t="n">
        <f aca="false">N201*$E$2*(1+$I$184)/($F$184-$I$184)/(1+$F$184)^$N$3</f>
        <v>76144.7059474448</v>
      </c>
      <c r="Q201" s="15" t="n">
        <f aca="false">O201+P201</f>
        <v>132459.268217821</v>
      </c>
      <c r="R201" s="15" t="n">
        <f aca="false">Q201-$G$2+$I$2</f>
        <v>120839.268217821</v>
      </c>
      <c r="S201" s="40" t="n">
        <f aca="false">R201/$K$2</f>
        <v>409.944255581711</v>
      </c>
      <c r="T201" s="41" t="n">
        <f aca="false">S201-$M$2</f>
        <v>-0.0364073079991272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0.142997741699219</v>
      </c>
      <c r="C202" s="25" t="n">
        <f aca="false">IF(T201&gt;0,D201,C201)</f>
        <v>0.143020629882813</v>
      </c>
      <c r="D202" s="39" t="n">
        <f aca="false">(B202+C202)/2</f>
        <v>0.143009185791016</v>
      </c>
      <c r="E202" s="15" t="n">
        <f aca="false">$C$2*(1+IF(E$3&lt;=$O$2,$D202,$D202-($D202-$I$184)*MIN(E$3-$O$2,$Q$2)/$Q$2))</f>
        <v>16364.46251297</v>
      </c>
      <c r="F202" s="15" t="n">
        <f aca="false">E202*(1+IF(F$3&lt;=$O$2,$D202,$D202-($D202-$I$184)*MIN(F$3-$O$2,$Q$2)/$Q$2))</f>
        <v>18704.7309728574</v>
      </c>
      <c r="G202" s="15" t="n">
        <f aca="false">F202*(1+IF(G$3&lt;=$O$2,$D202,$D202-($D202-$I$184)*MIN(G$3-$O$2,$Q$2)/$Q$2))</f>
        <v>21379.6793197257</v>
      </c>
      <c r="H202" s="15" t="n">
        <f aca="false">G202*(1+IF(H$3&lt;=$O$2,$D202,$D202-($D202-$I$184)*MIN(H$3-$O$2,$Q$2)/$Q$2))</f>
        <v>24437.1698517127</v>
      </c>
      <c r="I202" s="15" t="n">
        <f aca="false">H202*(1+IF(I$3&lt;=$O$2,$D202,$D202-($D202-$I$184)*MIN(I$3-$O$2,$Q$2)/$Q$2))</f>
        <v>27931.9096152429</v>
      </c>
      <c r="J202" s="15" t="n">
        <f aca="false">I202*(1+IF(J$3&lt;=$O$2,$D202,$D202-($D202-$I$184)*MIN(J$3-$O$2,$Q$2)/$Q$2))</f>
        <v>31229.756125766</v>
      </c>
      <c r="K202" s="15" t="n">
        <f aca="false">J202*(1+IF(K$3&lt;=$O$2,$D202,$D202-($D202-$I$184)*MIN(K$3-$O$2,$Q$2)/$Q$2))</f>
        <v>34138.0431382053</v>
      </c>
      <c r="L202" s="15" t="n">
        <f aca="false">K202*(1+IF(L$3&lt;=$O$2,$D202,$D202-($D202-$I$184)*MIN(L$3-$O$2,$Q$2)/$Q$2))</f>
        <v>36465.7003533401</v>
      </c>
      <c r="M202" s="15" t="n">
        <f aca="false">L202*(1+IF(M$3&lt;=$O$2,$D202,$D202-($D202-$I$184)*MIN(M$3-$O$2,$Q$2)/$Q$2))</f>
        <v>38042.5442298791</v>
      </c>
      <c r="N202" s="15" t="n">
        <f aca="false">M202*(1+IF(N$3&lt;=$O$2,$D202,$D202-($D202-$I$184)*MIN(N$3-$O$2,$Q$2)/$Q$2))</f>
        <v>38738.7227892858</v>
      </c>
      <c r="O202" s="15" t="n">
        <f aca="false">SUMPRODUCT(E202:N202,1/(1+$F$184)^$E$3:$N$3)*$E$2</f>
        <v>56317.3483542585</v>
      </c>
      <c r="P202" s="15" t="n">
        <f aca="false">N202*$E$2*(1+$I$184)/($F$184-$I$184)/(1+$F$184)^$N$3</f>
        <v>76150.1132446119</v>
      </c>
      <c r="Q202" s="15" t="n">
        <f aca="false">O202+P202</f>
        <v>132467.46159887</v>
      </c>
      <c r="R202" s="15" t="n">
        <f aca="false">Q202-$G$2+$I$2</f>
        <v>120847.46159887</v>
      </c>
      <c r="S202" s="40" t="n">
        <f aca="false">R202/$K$2</f>
        <v>409.972051426096</v>
      </c>
      <c r="T202" s="41" t="n">
        <f aca="false">S202-$M$2</f>
        <v>-0.00861146361438614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0.143009185791016</v>
      </c>
      <c r="C203" s="25" t="n">
        <f aca="false">IF(T202&gt;0,D202,C202)</f>
        <v>0.143020629882813</v>
      </c>
      <c r="D203" s="39" t="n">
        <f aca="false">(B203+C203)/2</f>
        <v>0.143014907836914</v>
      </c>
      <c r="E203" s="15" t="n">
        <f aca="false">$C$2*(1+IF(E$3&lt;=$O$2,$D203,$D203-($D203-$I$184)*MIN(E$3-$O$2,$Q$2)/$Q$2))</f>
        <v>16364.5444355011</v>
      </c>
      <c r="F203" s="15" t="n">
        <f aca="false">E203*(1+IF(F$3&lt;=$O$2,$D203,$D203-($D203-$I$184)*MIN(F$3-$O$2,$Q$2)/$Q$2))</f>
        <v>18704.9182497374</v>
      </c>
      <c r="G203" s="15" t="n">
        <f aca="false">F203*(1+IF(G$3&lt;=$O$2,$D203,$D203-($D203-$I$184)*MIN(G$3-$O$2,$Q$2)/$Q$2))</f>
        <v>21380.0004093206</v>
      </c>
      <c r="H203" s="15" t="n">
        <f aca="false">G203*(1+IF(H$3&lt;=$O$2,$D203,$D203-($D203-$I$184)*MIN(H$3-$O$2,$Q$2)/$Q$2))</f>
        <v>24437.6591974127</v>
      </c>
      <c r="I203" s="15" t="n">
        <f aca="false">H203*(1+IF(I$3&lt;=$O$2,$D203,$D203-($D203-$I$184)*MIN(I$3-$O$2,$Q$2)/$Q$2))</f>
        <v>27932.6087752806</v>
      </c>
      <c r="J203" s="15" t="n">
        <f aca="false">I203*(1+IF(J$3&lt;=$O$2,$D203,$D203-($D203-$I$184)*MIN(J$3-$O$2,$Q$2)/$Q$2))</f>
        <v>31230.6656991112</v>
      </c>
      <c r="K203" s="15" t="n">
        <f aca="false">J203*(1+IF(K$3&lt;=$O$2,$D203,$D203-($D203-$I$184)*MIN(K$3-$O$2,$Q$2)/$Q$2))</f>
        <v>34139.1446380151</v>
      </c>
      <c r="L203" s="15" t="n">
        <f aca="false">K203*(1+IF(L$3&lt;=$O$2,$D203,$D203-($D203-$I$184)*MIN(L$3-$O$2,$Q$2)/$Q$2))</f>
        <v>36466.9550957552</v>
      </c>
      <c r="M203" s="15" t="n">
        <f aca="false">L203*(1+IF(M$3&lt;=$O$2,$D203,$D203-($D203-$I$184)*MIN(M$3-$O$2,$Q$2)/$Q$2))</f>
        <v>38043.8949627795</v>
      </c>
      <c r="N203" s="15" t="n">
        <f aca="false">M203*(1+IF(N$3&lt;=$O$2,$D203,$D203-($D203-$I$184)*MIN(N$3-$O$2,$Q$2)/$Q$2))</f>
        <v>38740.0982405984</v>
      </c>
      <c r="O203" s="15" t="n">
        <f aca="false">SUMPRODUCT(E203:N203,1/(1+$F$184)^$E$3:$N$3)*$E$2</f>
        <v>56318.74144698</v>
      </c>
      <c r="P203" s="15" t="n">
        <f aca="false">N203*$E$2*(1+$I$184)/($F$184-$I$184)/(1+$F$184)^$N$3</f>
        <v>76152.8170191731</v>
      </c>
      <c r="Q203" s="15" t="n">
        <f aca="false">O203+P203</f>
        <v>132471.558466153</v>
      </c>
      <c r="R203" s="15" t="n">
        <f aca="false">Q203-$G$2+$I$2</f>
        <v>120851.558466153</v>
      </c>
      <c r="S203" s="40" t="n">
        <f aca="false">R203/$K$2</f>
        <v>409.985949947936</v>
      </c>
      <c r="T203" s="41" t="n">
        <f aca="false">S203-$M$2</f>
        <v>0.00528705822569009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0.143009185791016</v>
      </c>
      <c r="C204" s="25" t="n">
        <f aca="false">IF(T203&gt;0,D203,C203)</f>
        <v>0.143014907836914</v>
      </c>
      <c r="D204" s="39" t="n">
        <f aca="false">(B204+C204)/2</f>
        <v>0.143012046813965</v>
      </c>
      <c r="E204" s="15" t="n">
        <f aca="false">$C$2*(1+IF(E$3&lt;=$O$2,$D204,$D204-($D204-$I$184)*MIN(E$3-$O$2,$Q$2)/$Q$2))</f>
        <v>16364.5034742355</v>
      </c>
      <c r="F204" s="15" t="n">
        <f aca="false">E204*(1+IF(F$3&lt;=$O$2,$D204,$D204-($D204-$I$184)*MIN(F$3-$O$2,$Q$2)/$Q$2))</f>
        <v>18704.8246111802</v>
      </c>
      <c r="G204" s="15" t="n">
        <f aca="false">F204*(1+IF(G$3&lt;=$O$2,$D204,$D204-($D204-$I$184)*MIN(G$3-$O$2,$Q$2)/$Q$2))</f>
        <v>21379.8398641213</v>
      </c>
      <c r="H204" s="15" t="n">
        <f aca="false">G204*(1+IF(H$3&lt;=$O$2,$D204,$D204-($D204-$I$184)*MIN(H$3-$O$2,$Q$2)/$Q$2))</f>
        <v>24437.4145236441</v>
      </c>
      <c r="I204" s="15" t="n">
        <f aca="false">H204*(1+IF(I$3&lt;=$O$2,$D204,$D204-($D204-$I$184)*MIN(I$3-$O$2,$Q$2)/$Q$2))</f>
        <v>27932.2591935117</v>
      </c>
      <c r="J204" s="15" t="n">
        <f aca="false">I204*(1+IF(J$3&lt;=$O$2,$D204,$D204-($D204-$I$184)*MIN(J$3-$O$2,$Q$2)/$Q$2))</f>
        <v>31230.2109096818</v>
      </c>
      <c r="K204" s="15" t="n">
        <f aca="false">J204*(1+IF(K$3&lt;=$O$2,$D204,$D204-($D204-$I$184)*MIN(K$3-$O$2,$Q$2)/$Q$2))</f>
        <v>34138.5938843159</v>
      </c>
      <c r="L204" s="15" t="n">
        <f aca="false">K204*(1+IF(L$3&lt;=$O$2,$D204,$D204-($D204-$I$184)*MIN(L$3-$O$2,$Q$2)/$Q$2))</f>
        <v>36466.3277198644</v>
      </c>
      <c r="M204" s="15" t="n">
        <f aca="false">L204*(1+IF(M$3&lt;=$O$2,$D204,$D204-($D204-$I$184)*MIN(M$3-$O$2,$Q$2)/$Q$2))</f>
        <v>38043.2195910846</v>
      </c>
      <c r="N204" s="15" t="n">
        <f aca="false">M204*(1+IF(N$3&lt;=$O$2,$D204,$D204-($D204-$I$184)*MIN(N$3-$O$2,$Q$2)/$Q$2))</f>
        <v>38739.4105096014</v>
      </c>
      <c r="O204" s="15" t="n">
        <f aca="false">SUMPRODUCT(E204:N204,1/(1+$F$184)^$E$3:$N$3)*$E$2</f>
        <v>56318.0448963875</v>
      </c>
      <c r="P204" s="15" t="n">
        <f aca="false">N204*$E$2*(1+$I$184)/($F$184-$I$184)/(1+$F$184)^$N$3</f>
        <v>76151.4651213941</v>
      </c>
      <c r="Q204" s="15" t="n">
        <f aca="false">O204+P204</f>
        <v>132469.510017782</v>
      </c>
      <c r="R204" s="15" t="n">
        <f aca="false">Q204-$G$2+$I$2</f>
        <v>120849.510017782</v>
      </c>
      <c r="S204" s="40" t="n">
        <f aca="false">R204/$K$2</f>
        <v>409.979000637044</v>
      </c>
      <c r="T204" s="41" t="n">
        <f aca="false">S204-$M$2</f>
        <v>-0.00166225266616493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0.143012046813965</v>
      </c>
      <c r="C205" s="25" t="n">
        <f aca="false">IF(T204&gt;0,D204,C204)</f>
        <v>0.143014907836914</v>
      </c>
      <c r="D205" s="39" t="n">
        <f aca="false">(B205+C205)/2</f>
        <v>0.143013477325439</v>
      </c>
      <c r="E205" s="15" t="n">
        <f aca="false">$C$2*(1+IF(E$3&lt;=$O$2,$D205,$D205-($D205-$I$184)*MIN(E$3-$O$2,$Q$2)/$Q$2))</f>
        <v>16364.5239548683</v>
      </c>
      <c r="F205" s="15" t="n">
        <f aca="false">E205*(1+IF(F$3&lt;=$O$2,$D205,$D205-($D205-$I$184)*MIN(F$3-$O$2,$Q$2)/$Q$2))</f>
        <v>18704.8714304295</v>
      </c>
      <c r="G205" s="15" t="n">
        <f aca="false">F205*(1+IF(G$3&lt;=$O$2,$D205,$D205-($D205-$I$184)*MIN(G$3-$O$2,$Q$2)/$Q$2))</f>
        <v>21379.9201366205</v>
      </c>
      <c r="H205" s="15" t="n">
        <f aca="false">G205*(1+IF(H$3&lt;=$O$2,$D205,$D205-($D205-$I$184)*MIN(H$3-$O$2,$Q$2)/$Q$2))</f>
        <v>24437.5368602988</v>
      </c>
      <c r="I205" s="15" t="n">
        <f aca="false">H205*(1+IF(I$3&lt;=$O$2,$D205,$D205-($D205-$I$184)*MIN(I$3-$O$2,$Q$2)/$Q$2))</f>
        <v>27932.4339839587</v>
      </c>
      <c r="J205" s="15" t="n">
        <f aca="false">I205*(1+IF(J$3&lt;=$O$2,$D205,$D205-($D205-$I$184)*MIN(J$3-$O$2,$Q$2)/$Q$2))</f>
        <v>31230.4383037073</v>
      </c>
      <c r="K205" s="15" t="n">
        <f aca="false">J205*(1+IF(K$3&lt;=$O$2,$D205,$D205-($D205-$I$184)*MIN(K$3-$O$2,$Q$2)/$Q$2))</f>
        <v>34138.869260217</v>
      </c>
      <c r="L205" s="15" t="n">
        <f aca="false">K205*(1+IF(L$3&lt;=$O$2,$D205,$D205-($D205-$I$184)*MIN(L$3-$O$2,$Q$2)/$Q$2))</f>
        <v>36466.641406639</v>
      </c>
      <c r="M205" s="15" t="n">
        <f aca="false">L205*(1+IF(M$3&lt;=$O$2,$D205,$D205-($D205-$I$184)*MIN(M$3-$O$2,$Q$2)/$Q$2))</f>
        <v>38043.5572756209</v>
      </c>
      <c r="N205" s="15" t="n">
        <f aca="false">M205*(1+IF(N$3&lt;=$O$2,$D205,$D205-($D205-$I$184)*MIN(N$3-$O$2,$Q$2)/$Q$2))</f>
        <v>38739.7543737647</v>
      </c>
      <c r="O205" s="15" t="n">
        <f aca="false">SUMPRODUCT(E205:N205,1/(1+$F$184)^$E$3:$N$3)*$E$2</f>
        <v>56318.3931706258</v>
      </c>
      <c r="P205" s="15" t="n">
        <f aca="false">N205*$E$2*(1+$I$184)/($F$184-$I$184)/(1+$F$184)^$N$3</f>
        <v>76152.141067659</v>
      </c>
      <c r="Q205" s="15" t="n">
        <f aca="false">O205+P205</f>
        <v>132470.534238285</v>
      </c>
      <c r="R205" s="15" t="n">
        <f aca="false">Q205-$G$2+$I$2</f>
        <v>120850.534238285</v>
      </c>
      <c r="S205" s="40" t="n">
        <f aca="false">R205/$K$2</f>
        <v>409.982475279997</v>
      </c>
      <c r="T205" s="41" t="n">
        <f aca="false">S205-$M$2</f>
        <v>0.00181239028682967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0.143012046813965</v>
      </c>
      <c r="C206" s="25" t="n">
        <f aca="false">IF(T205&gt;0,D205,C205)</f>
        <v>0.143013477325439</v>
      </c>
      <c r="D206" s="39" t="n">
        <f aca="false">(B206+C206)/2</f>
        <v>0.143012762069702</v>
      </c>
      <c r="E206" s="15" t="n">
        <f aca="false">$C$2*(1+IF(E$3&lt;=$O$2,$D206,$D206-($D206-$I$184)*MIN(E$3-$O$2,$Q$2)/$Q$2))</f>
        <v>16364.5137145519</v>
      </c>
      <c r="F206" s="15" t="n">
        <f aca="false">E206*(1+IF(F$3&lt;=$O$2,$D206,$D206-($D206-$I$184)*MIN(F$3-$O$2,$Q$2)/$Q$2))</f>
        <v>18704.8480207975</v>
      </c>
      <c r="G206" s="15" t="n">
        <f aca="false">F206*(1+IF(G$3&lt;=$O$2,$D206,$D206-($D206-$I$184)*MIN(G$3-$O$2,$Q$2)/$Q$2))</f>
        <v>21379.8800003458</v>
      </c>
      <c r="H206" s="15" t="n">
        <f aca="false">G206*(1+IF(H$3&lt;=$O$2,$D206,$D206-($D206-$I$184)*MIN(H$3-$O$2,$Q$2)/$Q$2))</f>
        <v>24437.475691914</v>
      </c>
      <c r="I206" s="15" t="n">
        <f aca="false">H206*(1+IF(I$3&lt;=$O$2,$D206,$D206-($D206-$I$184)*MIN(I$3-$O$2,$Q$2)/$Q$2))</f>
        <v>27932.3465886258</v>
      </c>
      <c r="J206" s="15" t="n">
        <f aca="false">I206*(1+IF(J$3&lt;=$O$2,$D206,$D206-($D206-$I$184)*MIN(J$3-$O$2,$Q$2)/$Q$2))</f>
        <v>31230.3246065223</v>
      </c>
      <c r="K206" s="15" t="n">
        <f aca="false">J206*(1+IF(K$3&lt;=$O$2,$D206,$D206-($D206-$I$184)*MIN(K$3-$O$2,$Q$2)/$Q$2))</f>
        <v>34138.7315720293</v>
      </c>
      <c r="L206" s="15" t="n">
        <f aca="false">K206*(1+IF(L$3&lt;=$O$2,$D206,$D206-($D206-$I$184)*MIN(L$3-$O$2,$Q$2)/$Q$2))</f>
        <v>36466.484562959</v>
      </c>
      <c r="M206" s="15" t="n">
        <f aca="false">L206*(1+IF(M$3&lt;=$O$2,$D206,$D206-($D206-$I$184)*MIN(M$3-$O$2,$Q$2)/$Q$2))</f>
        <v>38043.3884330249</v>
      </c>
      <c r="N206" s="15" t="n">
        <f aca="false">M206*(1+IF(N$3&lt;=$O$2,$D206,$D206-($D206-$I$184)*MIN(N$3-$O$2,$Q$2)/$Q$2))</f>
        <v>38739.5824413493</v>
      </c>
      <c r="O206" s="15" t="n">
        <f aca="false">SUMPRODUCT(E206:N206,1/(1+$F$184)^$E$3:$N$3)*$E$2</f>
        <v>56318.2190332421</v>
      </c>
      <c r="P206" s="15" t="n">
        <f aca="false">N206*$E$2*(1+$I$184)/($F$184-$I$184)/(1+$F$184)^$N$3</f>
        <v>76151.8030938705</v>
      </c>
      <c r="Q206" s="15" t="n">
        <f aca="false">O206+P206</f>
        <v>132470.022127113</v>
      </c>
      <c r="R206" s="15" t="n">
        <f aca="false">Q206-$G$2+$I$2</f>
        <v>120850.022127113</v>
      </c>
      <c r="S206" s="40" t="n">
        <f aca="false">R206/$K$2</f>
        <v>409.980737955398</v>
      </c>
      <c r="T206" s="41" t="n">
        <f aca="false">S206-$M$2</f>
        <v>7.50656872696709E-005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0.143012046813965</v>
      </c>
      <c r="C207" s="25" t="n">
        <f aca="false">IF(T206&gt;0,D206,C206)</f>
        <v>0.143012762069702</v>
      </c>
      <c r="D207" s="39" t="n">
        <f aca="false">(B207+C207)/2</f>
        <v>0.143012404441834</v>
      </c>
      <c r="E207" s="15" t="n">
        <f aca="false">$C$2*(1+IF(E$3&lt;=$O$2,$D207,$D207-($D207-$I$184)*MIN(E$3-$O$2,$Q$2)/$Q$2))</f>
        <v>16364.5085943937</v>
      </c>
      <c r="F207" s="15" t="n">
        <f aca="false">E207*(1+IF(F$3&lt;=$O$2,$D207,$D207-($D207-$I$184)*MIN(F$3-$O$2,$Q$2)/$Q$2))</f>
        <v>18704.836315987</v>
      </c>
      <c r="G207" s="15" t="n">
        <f aca="false">F207*(1+IF(G$3&lt;=$O$2,$D207,$D207-($D207-$I$184)*MIN(G$3-$O$2,$Q$2)/$Q$2))</f>
        <v>21379.8599322273</v>
      </c>
      <c r="H207" s="15" t="n">
        <f aca="false">G207*(1+IF(H$3&lt;=$O$2,$D207,$D207-($D207-$I$184)*MIN(H$3-$O$2,$Q$2)/$Q$2))</f>
        <v>24437.4451077647</v>
      </c>
      <c r="I207" s="15" t="n">
        <f aca="false">H207*(1+IF(I$3&lt;=$O$2,$D207,$D207-($D207-$I$184)*MIN(I$3-$O$2,$Q$2)/$Q$2))</f>
        <v>27932.3028910414</v>
      </c>
      <c r="J207" s="15" t="n">
        <f aca="false">I207*(1+IF(J$3&lt;=$O$2,$D207,$D207-($D207-$I$184)*MIN(J$3-$O$2,$Q$2)/$Q$2))</f>
        <v>31230.267758059</v>
      </c>
      <c r="K207" s="15" t="n">
        <f aca="false">J207*(1+IF(K$3&lt;=$O$2,$D207,$D207-($D207-$I$184)*MIN(K$3-$O$2,$Q$2)/$Q$2))</f>
        <v>34138.6627281134</v>
      </c>
      <c r="L207" s="15" t="n">
        <f aca="false">K207*(1+IF(L$3&lt;=$O$2,$D207,$D207-($D207-$I$184)*MIN(L$3-$O$2,$Q$2)/$Q$2))</f>
        <v>36466.4061413386</v>
      </c>
      <c r="M207" s="15" t="n">
        <f aca="false">L207*(1+IF(M$3&lt;=$O$2,$D207,$D207-($D207-$I$184)*MIN(M$3-$O$2,$Q$2)/$Q$2))</f>
        <v>38043.3040119728</v>
      </c>
      <c r="N207" s="15" t="n">
        <f aca="false">M207*(1+IF(N$3&lt;=$O$2,$D207,$D207-($D207-$I$184)*MIN(N$3-$O$2,$Q$2)/$Q$2))</f>
        <v>38739.4964753919</v>
      </c>
      <c r="O207" s="15" t="n">
        <f aca="false">SUMPRODUCT(E207:N207,1/(1+$F$184)^$E$3:$N$3)*$E$2</f>
        <v>56318.1319647487</v>
      </c>
      <c r="P207" s="15" t="n">
        <f aca="false">N207*$E$2*(1+$I$184)/($F$184-$I$184)/(1+$F$184)^$N$3</f>
        <v>76151.6341074683</v>
      </c>
      <c r="Q207" s="15" t="n">
        <f aca="false">O207+P207</f>
        <v>132469.766072217</v>
      </c>
      <c r="R207" s="15" t="n">
        <f aca="false">Q207-$G$2+$I$2</f>
        <v>120849.766072217</v>
      </c>
      <c r="S207" s="40" t="n">
        <f aca="false">R207/$K$2</f>
        <v>409.97986929544</v>
      </c>
      <c r="T207" s="41" t="n">
        <f aca="false">S207-$M$2</f>
        <v>-0.000793594270135145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0.143012404441834</v>
      </c>
      <c r="C208" s="25" t="n">
        <f aca="false">IF(T207&gt;0,D207,C207)</f>
        <v>0.143012762069702</v>
      </c>
      <c r="D208" s="39" t="n">
        <f aca="false">(B208+C208)/2</f>
        <v>0.143012583255768</v>
      </c>
      <c r="E208" s="15" t="n">
        <f aca="false">$C$2*(1+IF(E$3&lt;=$O$2,$D208,$D208-($D208-$I$184)*MIN(E$3-$O$2,$Q$2)/$Q$2))</f>
        <v>16364.5111544728</v>
      </c>
      <c r="F208" s="15" t="n">
        <f aca="false">E208*(1+IF(F$3&lt;=$O$2,$D208,$D208-($D208-$I$184)*MIN(F$3-$O$2,$Q$2)/$Q$2))</f>
        <v>18704.8421683918</v>
      </c>
      <c r="G208" s="15" t="n">
        <f aca="false">F208*(1+IF(G$3&lt;=$O$2,$D208,$D208-($D208-$I$184)*MIN(G$3-$O$2,$Q$2)/$Q$2))</f>
        <v>21379.8699662849</v>
      </c>
      <c r="H208" s="15" t="n">
        <f aca="false">G208*(1+IF(H$3&lt;=$O$2,$D208,$D208-($D208-$I$184)*MIN(H$3-$O$2,$Q$2)/$Q$2))</f>
        <v>24437.4603998358</v>
      </c>
      <c r="I208" s="15" t="n">
        <f aca="false">H208*(1+IF(I$3&lt;=$O$2,$D208,$D208-($D208-$I$184)*MIN(I$3-$O$2,$Q$2)/$Q$2))</f>
        <v>27932.3247398268</v>
      </c>
      <c r="J208" s="15" t="n">
        <f aca="false">I208*(1+IF(J$3&lt;=$O$2,$D208,$D208-($D208-$I$184)*MIN(J$3-$O$2,$Q$2)/$Q$2))</f>
        <v>31230.2961822799</v>
      </c>
      <c r="K208" s="15" t="n">
        <f aca="false">J208*(1+IF(K$3&lt;=$O$2,$D208,$D208-($D208-$I$184)*MIN(K$3-$O$2,$Q$2)/$Q$2))</f>
        <v>34138.6971500565</v>
      </c>
      <c r="L208" s="15" t="n">
        <f aca="false">K208*(1+IF(L$3&lt;=$O$2,$D208,$D208-($D208-$I$184)*MIN(L$3-$O$2,$Q$2)/$Q$2))</f>
        <v>36466.4453521305</v>
      </c>
      <c r="M208" s="15" t="n">
        <f aca="false">L208*(1+IF(M$3&lt;=$O$2,$D208,$D208-($D208-$I$184)*MIN(M$3-$O$2,$Q$2)/$Q$2))</f>
        <v>38043.3462224784</v>
      </c>
      <c r="N208" s="15" t="n">
        <f aca="false">M208*(1+IF(N$3&lt;=$O$2,$D208,$D208-($D208-$I$184)*MIN(N$3-$O$2,$Q$2)/$Q$2))</f>
        <v>38739.5394583497</v>
      </c>
      <c r="O208" s="15" t="n">
        <f aca="false">SUMPRODUCT(E208:N208,1/(1+$F$184)^$E$3:$N$3)*$E$2</f>
        <v>56318.1754989789</v>
      </c>
      <c r="P208" s="15" t="n">
        <f aca="false">N208*$E$2*(1+$I$184)/($F$184-$I$184)/(1+$F$184)^$N$3</f>
        <v>76151.7186006283</v>
      </c>
      <c r="Q208" s="15" t="n">
        <f aca="false">O208+P208</f>
        <v>132469.894099607</v>
      </c>
      <c r="R208" s="15" t="n">
        <f aca="false">Q208-$G$2+$I$2</f>
        <v>120849.894099607</v>
      </c>
      <c r="S208" s="40" t="n">
        <f aca="false">R208/$K$2</f>
        <v>409.980303625224</v>
      </c>
      <c r="T208" s="41" t="n">
        <f aca="false">S208-$M$2</f>
        <v>-0.000359264486860411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0.143012583255768</v>
      </c>
      <c r="C209" s="25" t="n">
        <f aca="false">IF(T208&gt;0,D208,C208)</f>
        <v>0.143012762069702</v>
      </c>
      <c r="D209" s="39" t="n">
        <f aca="false">(B209+C209)/2</f>
        <v>0.143012672662735</v>
      </c>
      <c r="E209" s="15" t="n">
        <f aca="false">$C$2*(1+IF(E$3&lt;=$O$2,$D209,$D209-($D209-$I$184)*MIN(E$3-$O$2,$Q$2)/$Q$2))</f>
        <v>16364.5124345124</v>
      </c>
      <c r="F209" s="15" t="n">
        <f aca="false">E209*(1+IF(F$3&lt;=$O$2,$D209,$D209-($D209-$I$184)*MIN(F$3-$O$2,$Q$2)/$Q$2))</f>
        <v>18704.8450945946</v>
      </c>
      <c r="G209" s="15" t="n">
        <f aca="false">F209*(1+IF(G$3&lt;=$O$2,$D209,$D209-($D209-$I$184)*MIN(G$3-$O$2,$Q$2)/$Q$2))</f>
        <v>21379.874983315</v>
      </c>
      <c r="H209" s="15" t="n">
        <f aca="false">G209*(1+IF(H$3&lt;=$O$2,$D209,$D209-($D209-$I$184)*MIN(H$3-$O$2,$Q$2)/$Q$2))</f>
        <v>24437.468045874</v>
      </c>
      <c r="I209" s="15" t="n">
        <f aca="false">H209*(1+IF(I$3&lt;=$O$2,$D209,$D209-($D209-$I$184)*MIN(I$3-$O$2,$Q$2)/$Q$2))</f>
        <v>27932.3356642246</v>
      </c>
      <c r="J209" s="15" t="n">
        <f aca="false">I209*(1+IF(J$3&lt;=$O$2,$D209,$D209-($D209-$I$184)*MIN(J$3-$O$2,$Q$2)/$Q$2))</f>
        <v>31230.3103943984</v>
      </c>
      <c r="K209" s="15" t="n">
        <f aca="false">J209*(1+IF(K$3&lt;=$O$2,$D209,$D209-($D209-$I$184)*MIN(K$3-$O$2,$Q$2)/$Q$2))</f>
        <v>34138.7143610392</v>
      </c>
      <c r="L209" s="15" t="n">
        <f aca="false">K209*(1+IF(L$3&lt;=$O$2,$D209,$D209-($D209-$I$184)*MIN(L$3-$O$2,$Q$2)/$Q$2))</f>
        <v>36466.4649575402</v>
      </c>
      <c r="M209" s="15" t="n">
        <f aca="false">L209*(1+IF(M$3&lt;=$O$2,$D209,$D209-($D209-$I$184)*MIN(M$3-$O$2,$Q$2)/$Q$2))</f>
        <v>38043.3673277465</v>
      </c>
      <c r="N209" s="15" t="n">
        <f aca="false">M209*(1+IF(N$3&lt;=$O$2,$D209,$D209-($D209-$I$184)*MIN(N$3-$O$2,$Q$2)/$Q$2))</f>
        <v>38739.5609498443</v>
      </c>
      <c r="O209" s="15" t="n">
        <f aca="false">SUMPRODUCT(E209:N209,1/(1+$F$184)^$E$3:$N$3)*$E$2</f>
        <v>56318.1972661064</v>
      </c>
      <c r="P209" s="15" t="n">
        <f aca="false">N209*$E$2*(1+$I$184)/($F$184-$I$184)/(1+$F$184)^$N$3</f>
        <v>76151.7608472391</v>
      </c>
      <c r="Q209" s="15" t="n">
        <f aca="false">O209+P209</f>
        <v>132469.958113346</v>
      </c>
      <c r="R209" s="15" t="n">
        <f aca="false">Q209-$G$2+$I$2</f>
        <v>120849.958113345</v>
      </c>
      <c r="S209" s="40" t="n">
        <f aca="false">R209/$K$2</f>
        <v>409.980520790262</v>
      </c>
      <c r="T209" s="41" t="n">
        <f aca="false">S209-$M$2</f>
        <v>-0.00014209944868071</v>
      </c>
    </row>
    <row r="211" customFormat="false" ht="15" hidden="false" customHeight="false" outlineLevel="0" collapsed="false">
      <c r="A211" s="36" t="s">
        <v>181</v>
      </c>
      <c r="E211" s="5" t="s">
        <v>11</v>
      </c>
      <c r="F211" s="12" t="n">
        <f aca="false">Sensitivity!$B$11</f>
        <v>0.0898919064489092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6" t="s">
        <v>155</v>
      </c>
      <c r="B212" s="28" t="s">
        <v>156</v>
      </c>
      <c r="C212" s="28" t="s">
        <v>157</v>
      </c>
      <c r="D212" s="28" t="s">
        <v>158</v>
      </c>
      <c r="E212" s="28" t="s">
        <v>159</v>
      </c>
      <c r="F212" s="28" t="s">
        <v>160</v>
      </c>
      <c r="G212" s="28" t="s">
        <v>161</v>
      </c>
      <c r="H212" s="28" t="s">
        <v>162</v>
      </c>
      <c r="I212" s="28" t="s">
        <v>163</v>
      </c>
      <c r="J212" s="28" t="s">
        <v>164</v>
      </c>
      <c r="K212" s="28" t="s">
        <v>165</v>
      </c>
      <c r="L212" s="28" t="s">
        <v>166</v>
      </c>
      <c r="M212" s="28" t="s">
        <v>167</v>
      </c>
      <c r="N212" s="28" t="s">
        <v>168</v>
      </c>
      <c r="O212" s="28" t="s">
        <v>169</v>
      </c>
      <c r="P212" s="28" t="s">
        <v>170</v>
      </c>
      <c r="Q212" s="28" t="s">
        <v>171</v>
      </c>
      <c r="R212" s="28" t="s">
        <v>172</v>
      </c>
      <c r="S212" s="28" t="s">
        <v>173</v>
      </c>
      <c r="T212" s="28" t="s">
        <v>174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39" t="n">
        <f aca="false">(B213+C213)/2</f>
        <v>0.25</v>
      </c>
      <c r="E213" s="15" t="n">
        <f aca="false">$C$2*(1+IF(E$3&lt;=$O$2,$D213,$D213-($D213-$I$211)*MIN(E$3-$O$2,$Q$2)/$Q$2))</f>
        <v>17896.25</v>
      </c>
      <c r="F213" s="15" t="n">
        <f aca="false">E213*(1+IF(F$3&lt;=$O$2,$D213,$D213-($D213-$I$211)*MIN(F$3-$O$2,$Q$2)/$Q$2))</f>
        <v>22370.3125</v>
      </c>
      <c r="G213" s="15" t="n">
        <f aca="false">F213*(1+IF(G$3&lt;=$O$2,$D213,$D213-($D213-$I$211)*MIN(G$3-$O$2,$Q$2)/$Q$2))</f>
        <v>27962.890625</v>
      </c>
      <c r="H213" s="15" t="n">
        <f aca="false">G213*(1+IF(H$3&lt;=$O$2,$D213,$D213-($D213-$I$211)*MIN(H$3-$O$2,$Q$2)/$Q$2))</f>
        <v>34953.61328125</v>
      </c>
      <c r="I213" s="15" t="n">
        <f aca="false">H213*(1+IF(I$3&lt;=$O$2,$D213,$D213-($D213-$I$211)*MIN(I$3-$O$2,$Q$2)/$Q$2))</f>
        <v>43692.0166015625</v>
      </c>
      <c r="J213" s="15" t="n">
        <f aca="false">I213*(1+IF(J$3&lt;=$O$2,$D213,$D213-($D213-$I$211)*MIN(J$3-$O$2,$Q$2)/$Q$2))</f>
        <v>52634.0247192383</v>
      </c>
      <c r="K213" s="15" t="n">
        <f aca="false">J213*(1+IF(K$3&lt;=$O$2,$D213,$D213-($D213-$I$211)*MIN(K$3-$O$2,$Q$2)/$Q$2))</f>
        <v>61019.6775375073</v>
      </c>
      <c r="L213" s="15" t="n">
        <f aca="false">K213*(1+IF(L$3&lt;=$O$2,$D213,$D213-($D213-$I$211)*MIN(L$3-$O$2,$Q$2)/$Q$2))</f>
        <v>67974.7003832324</v>
      </c>
      <c r="M213" s="15" t="n">
        <f aca="false">L213*(1+IF(M$3&lt;=$O$2,$D213,$D213-($D213-$I$211)*MIN(M$3-$O$2,$Q$2)/$Q$2))</f>
        <v>72640.4838175375</v>
      </c>
      <c r="N213" s="15" t="n">
        <f aca="false">M213*(1+IF(N$3&lt;=$O$2,$D213,$D213-($D213-$I$211)*MIN(N$3-$O$2,$Q$2)/$Q$2))</f>
        <v>74333.0070904861</v>
      </c>
      <c r="O213" s="15" t="n">
        <f aca="false">SUMPRODUCT(E213:N213,1/(1+$F$211)^$E$3:$N$3)*$E$2</f>
        <v>89519.7961170445</v>
      </c>
      <c r="P213" s="15" t="n">
        <f aca="false">N213*$E$2*(1+$I$211)/($F$211-$I$211)/(1+$F$211)^$N$3</f>
        <v>157861.660711498</v>
      </c>
      <c r="Q213" s="15" t="n">
        <f aca="false">O213+P213</f>
        <v>247381.456828542</v>
      </c>
      <c r="R213" s="15" t="n">
        <f aca="false">Q213-$G$2+$I$2</f>
        <v>235761.456828542</v>
      </c>
      <c r="S213" s="40" t="n">
        <f aca="false">R213/$K$2</f>
        <v>799.814963627717</v>
      </c>
      <c r="T213" s="41" t="n">
        <f aca="false">S213-$M$2</f>
        <v>389.834300738006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39" t="n">
        <f aca="false">(B214+C214)/2</f>
        <v>-0.125</v>
      </c>
      <c r="E214" s="15" t="n">
        <f aca="false">$C$2*(1+IF(E$3&lt;=$O$2,$D214,$D214-($D214-$I$211)*MIN(E$3-$O$2,$Q$2)/$Q$2))</f>
        <v>12527.375</v>
      </c>
      <c r="F214" s="15" t="n">
        <f aca="false">E214*(1+IF(F$3&lt;=$O$2,$D214,$D214-($D214-$I$211)*MIN(F$3-$O$2,$Q$2)/$Q$2))</f>
        <v>10961.453125</v>
      </c>
      <c r="G214" s="15" t="n">
        <f aca="false">F214*(1+IF(G$3&lt;=$O$2,$D214,$D214-($D214-$I$211)*MIN(G$3-$O$2,$Q$2)/$Q$2))</f>
        <v>9591.271484375</v>
      </c>
      <c r="H214" s="15" t="n">
        <f aca="false">G214*(1+IF(H$3&lt;=$O$2,$D214,$D214-($D214-$I$211)*MIN(H$3-$O$2,$Q$2)/$Q$2))</f>
        <v>8392.36254882813</v>
      </c>
      <c r="I214" s="15" t="n">
        <f aca="false">H214*(1+IF(I$3&lt;=$O$2,$D214,$D214-($D214-$I$211)*MIN(I$3-$O$2,$Q$2)/$Q$2))</f>
        <v>7343.31723022461</v>
      </c>
      <c r="J214" s="15" t="n">
        <f aca="false">I214*(1+IF(J$3&lt;=$O$2,$D214,$D214-($D214-$I$211)*MIN(J$3-$O$2,$Q$2)/$Q$2))</f>
        <v>6643.205365495</v>
      </c>
      <c r="K214" s="15" t="n">
        <f aca="false">J214*(1+IF(K$3&lt;=$O$2,$D214,$D214-($D214-$I$211)*MIN(K$3-$O$2,$Q$2)/$Q$2))</f>
        <v>6206.87963708928</v>
      </c>
      <c r="L214" s="15" t="n">
        <f aca="false">K214*(1+IF(L$3&lt;=$O$2,$D214,$D214-($D214-$I$211)*MIN(L$3-$O$2,$Q$2)/$Q$2))</f>
        <v>5983.30783256133</v>
      </c>
      <c r="M214" s="15" t="n">
        <f aca="false">L214*(1+IF(M$3&lt;=$O$2,$D214,$D214-($D214-$I$211)*MIN(M$3-$O$2,$Q$2)/$Q$2))</f>
        <v>5945.25399474624</v>
      </c>
      <c r="N214" s="15" t="n">
        <f aca="false">M214*(1+IF(N$3&lt;=$O$2,$D214,$D214-($D214-$I$211)*MIN(N$3-$O$2,$Q$2)/$Q$2))</f>
        <v>6083.77841282382</v>
      </c>
      <c r="O214" s="15" t="n">
        <f aca="false">SUMPRODUCT(E214:N214,1/(1+$F$211)^$E$3:$N$3)*$E$2</f>
        <v>17823.6886071193</v>
      </c>
      <c r="P214" s="15" t="n">
        <f aca="false">N214*$E$2*(1+$I$211)/($F$211-$I$211)/(1+$F$211)^$N$3</f>
        <v>12920.173705337</v>
      </c>
      <c r="Q214" s="15" t="n">
        <f aca="false">O214+P214</f>
        <v>30743.8623124563</v>
      </c>
      <c r="R214" s="15" t="n">
        <f aca="false">Q214-$G$2+$I$2</f>
        <v>19123.8623124563</v>
      </c>
      <c r="S214" s="40" t="n">
        <f aca="false">R214/$K$2</f>
        <v>64.8772341569912</v>
      </c>
      <c r="T214" s="41" t="n">
        <f aca="false">S214-$M$2</f>
        <v>-345.103428732719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39" t="n">
        <f aca="false">(B215+C215)/2</f>
        <v>0.0625</v>
      </c>
      <c r="E215" s="15" t="n">
        <f aca="false">$C$2*(1+IF(E$3&lt;=$O$2,$D215,$D215-($D215-$I$211)*MIN(E$3-$O$2,$Q$2)/$Q$2))</f>
        <v>15211.8125</v>
      </c>
      <c r="F215" s="15" t="n">
        <f aca="false">E215*(1+IF(F$3&lt;=$O$2,$D215,$D215-($D215-$I$211)*MIN(F$3-$O$2,$Q$2)/$Q$2))</f>
        <v>16162.55078125</v>
      </c>
      <c r="G215" s="15" t="n">
        <f aca="false">F215*(1+IF(G$3&lt;=$O$2,$D215,$D215-($D215-$I$211)*MIN(G$3-$O$2,$Q$2)/$Q$2))</f>
        <v>17172.7102050781</v>
      </c>
      <c r="H215" s="15" t="n">
        <f aca="false">G215*(1+IF(H$3&lt;=$O$2,$D215,$D215-($D215-$I$211)*MIN(H$3-$O$2,$Q$2)/$Q$2))</f>
        <v>18246.0045928955</v>
      </c>
      <c r="I215" s="15" t="n">
        <f aca="false">H215*(1+IF(I$3&lt;=$O$2,$D215,$D215-($D215-$I$211)*MIN(I$3-$O$2,$Q$2)/$Q$2))</f>
        <v>19386.3798799515</v>
      </c>
      <c r="J215" s="15" t="n">
        <f aca="false">I215*(1+IF(J$3&lt;=$O$2,$D215,$D215-($D215-$I$211)*MIN(J$3-$O$2,$Q$2)/$Q$2))</f>
        <v>20446.0394041896</v>
      </c>
      <c r="K215" s="15" t="n">
        <f aca="false">J215*(1+IF(K$3&lt;=$O$2,$D215,$D215-($D215-$I$211)*MIN(K$3-$O$2,$Q$2)/$Q$2))</f>
        <v>21403.3229690938</v>
      </c>
      <c r="L215" s="15" t="n">
        <f aca="false">K215*(1+IF(L$3&lt;=$O$2,$D215,$D215-($D215-$I$211)*MIN(L$3-$O$2,$Q$2)/$Q$2))</f>
        <v>22237.6244984291</v>
      </c>
      <c r="M215" s="15" t="n">
        <f aca="false">L215*(1+IF(M$3&lt;=$O$2,$D215,$D215-($D215-$I$211)*MIN(M$3-$O$2,$Q$2)/$Q$2))</f>
        <v>22930.1041253101</v>
      </c>
      <c r="N215" s="15" t="n">
        <f aca="false">M215*(1+IF(N$3&lt;=$O$2,$D215,$D215-($D215-$I$211)*MIN(N$3-$O$2,$Q$2)/$Q$2))</f>
        <v>23464.3755514299</v>
      </c>
      <c r="O215" s="15" t="n">
        <f aca="false">SUMPRODUCT(E215:N215,1/(1+$F$211)^$E$3:$N$3)*$E$2</f>
        <v>39855.3193758985</v>
      </c>
      <c r="P215" s="15" t="n">
        <f aca="false">N215*$E$2*(1+$I$211)/($F$211-$I$211)/(1+$F$211)^$N$3</f>
        <v>49831.5006629279</v>
      </c>
      <c r="Q215" s="15" t="n">
        <f aca="false">O215+P215</f>
        <v>89686.8200388264</v>
      </c>
      <c r="R215" s="15" t="n">
        <f aca="false">Q215-$G$2+$I$2</f>
        <v>78066.8200388264</v>
      </c>
      <c r="S215" s="40" t="n">
        <f aca="false">R215/$K$2</f>
        <v>264.839773514355</v>
      </c>
      <c r="T215" s="41" t="n">
        <f aca="false">S215-$M$2</f>
        <v>-145.140889375356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39" t="n">
        <f aca="false">(B216+C216)/2</f>
        <v>0.15625</v>
      </c>
      <c r="E216" s="15" t="n">
        <f aca="false">$C$2*(1+IF(E$3&lt;=$O$2,$D216,$D216-($D216-$I$211)*MIN(E$3-$O$2,$Q$2)/$Q$2))</f>
        <v>16554.03125</v>
      </c>
      <c r="F216" s="15" t="n">
        <f aca="false">E216*(1+IF(F$3&lt;=$O$2,$D216,$D216-($D216-$I$211)*MIN(F$3-$O$2,$Q$2)/$Q$2))</f>
        <v>19140.5986328125</v>
      </c>
      <c r="G216" s="15" t="n">
        <f aca="false">F216*(1+IF(G$3&lt;=$O$2,$D216,$D216-($D216-$I$211)*MIN(G$3-$O$2,$Q$2)/$Q$2))</f>
        <v>22131.3171691895</v>
      </c>
      <c r="H216" s="15" t="n">
        <f aca="false">G216*(1+IF(H$3&lt;=$O$2,$D216,$D216-($D216-$I$211)*MIN(H$3-$O$2,$Q$2)/$Q$2))</f>
        <v>25589.3354768753</v>
      </c>
      <c r="I216" s="15" t="n">
        <f aca="false">H216*(1+IF(I$3&lt;=$O$2,$D216,$D216-($D216-$I$211)*MIN(I$3-$O$2,$Q$2)/$Q$2))</f>
        <v>29587.6691451371</v>
      </c>
      <c r="J216" s="15" t="n">
        <f aca="false">I216*(1+IF(J$3&lt;=$O$2,$D216,$D216-($D216-$I$211)*MIN(J$3-$O$2,$Q$2)/$Q$2))</f>
        <v>33424.0063264955</v>
      </c>
      <c r="K216" s="15" t="n">
        <f aca="false">J216*(1+IF(K$3&lt;=$O$2,$D216,$D216-($D216-$I$211)*MIN(K$3-$O$2,$Q$2)/$Q$2))</f>
        <v>36869.0186585674</v>
      </c>
      <c r="L216" s="15" t="n">
        <f aca="false">K216*(1+IF(L$3&lt;=$O$2,$D216,$D216-($D216-$I$211)*MIN(L$3-$O$2,$Q$2)/$Q$2))</f>
        <v>39688.7612055747</v>
      </c>
      <c r="M216" s="15" t="n">
        <f aca="false">L216*(1+IF(M$3&lt;=$O$2,$D216,$D216-($D216-$I$211)*MIN(M$3-$O$2,$Q$2)/$Q$2))</f>
        <v>41668.8335021208</v>
      </c>
      <c r="N216" s="15" t="n">
        <f aca="false">M216*(1+IF(N$3&lt;=$O$2,$D216,$D216-($D216-$I$211)*MIN(N$3-$O$2,$Q$2)/$Q$2))</f>
        <v>42639.7173227202</v>
      </c>
      <c r="O216" s="15" t="n">
        <f aca="false">SUMPRODUCT(E216:N216,1/(1+$F$211)^$E$3:$N$3)*$E$2</f>
        <v>59833.6559124192</v>
      </c>
      <c r="P216" s="15" t="n">
        <f aca="false">N216*$E$2*(1+$I$211)/($F$211-$I$211)/(1+$F$211)^$N$3</f>
        <v>90554.3425767709</v>
      </c>
      <c r="Q216" s="15" t="n">
        <f aca="false">O216+P216</f>
        <v>150387.99848919</v>
      </c>
      <c r="R216" s="15" t="n">
        <f aca="false">Q216-$G$2+$I$2</f>
        <v>138767.99848919</v>
      </c>
      <c r="S216" s="40" t="n">
        <f aca="false">R216/$K$2</f>
        <v>470.76703358276</v>
      </c>
      <c r="T216" s="41" t="n">
        <f aca="false">S216-$M$2</f>
        <v>60.7863706930493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39" t="n">
        <f aca="false">(B217+C217)/2</f>
        <v>0.109375</v>
      </c>
      <c r="E217" s="15" t="n">
        <f aca="false">$C$2*(1+IF(E$3&lt;=$O$2,$D217,$D217-($D217-$I$211)*MIN(E$3-$O$2,$Q$2)/$Q$2))</f>
        <v>15882.921875</v>
      </c>
      <c r="F217" s="15" t="n">
        <f aca="false">E217*(1+IF(F$3&lt;=$O$2,$D217,$D217-($D217-$I$211)*MIN(F$3-$O$2,$Q$2)/$Q$2))</f>
        <v>17620.1164550781</v>
      </c>
      <c r="G217" s="15" t="n">
        <f aca="false">F217*(1+IF(G$3&lt;=$O$2,$D217,$D217-($D217-$I$211)*MIN(G$3-$O$2,$Q$2)/$Q$2))</f>
        <v>19547.3166923523</v>
      </c>
      <c r="H217" s="15" t="n">
        <f aca="false">G217*(1+IF(H$3&lt;=$O$2,$D217,$D217-($D217-$I$211)*MIN(H$3-$O$2,$Q$2)/$Q$2))</f>
        <v>21685.3044555783</v>
      </c>
      <c r="I217" s="15" t="n">
        <f aca="false">H217*(1+IF(I$3&lt;=$O$2,$D217,$D217-($D217-$I$211)*MIN(I$3-$O$2,$Q$2)/$Q$2))</f>
        <v>24057.1346304072</v>
      </c>
      <c r="J217" s="15" t="n">
        <f aca="false">I217*(1+IF(J$3&lt;=$O$2,$D217,$D217-($D217-$I$211)*MIN(J$3-$O$2,$Q$2)/$Q$2))</f>
        <v>26274.2401579455</v>
      </c>
      <c r="K217" s="15" t="n">
        <f aca="false">J217*(1+IF(K$3&lt;=$O$2,$D217,$D217-($D217-$I$211)*MIN(K$3-$O$2,$Q$2)/$Q$2))</f>
        <v>28243.3630865828</v>
      </c>
      <c r="L217" s="15" t="n">
        <f aca="false">K217*(1+IF(L$3&lt;=$O$2,$D217,$D217-($D217-$I$211)*MIN(L$3-$O$2,$Q$2)/$Q$2))</f>
        <v>29873.8524375712</v>
      </c>
      <c r="M217" s="15" t="n">
        <f aca="false">L217*(1+IF(M$3&lt;=$O$2,$D217,$D217-($D217-$I$211)*MIN(M$3-$O$2,$Q$2)/$Q$2))</f>
        <v>31084.1915690794</v>
      </c>
      <c r="N217" s="15" t="n">
        <f aca="false">M217*(1+IF(N$3&lt;=$O$2,$D217,$D217-($D217-$I$211)*MIN(N$3-$O$2,$Q$2)/$Q$2))</f>
        <v>31808.4532326389</v>
      </c>
      <c r="O217" s="15" t="n">
        <f aca="false">SUMPRODUCT(E217:N217,1/(1+$F$211)^$E$3:$N$3)*$E$2</f>
        <v>48841.8591830167</v>
      </c>
      <c r="P217" s="15" t="n">
        <f aca="false">N217*$E$2*(1+$I$211)/($F$211-$I$211)/(1+$F$211)^$N$3</f>
        <v>67551.891797622</v>
      </c>
      <c r="Q217" s="15" t="n">
        <f aca="false">O217+P217</f>
        <v>116393.750980639</v>
      </c>
      <c r="R217" s="15" t="n">
        <f aca="false">Q217-$G$2+$I$2</f>
        <v>104773.750980639</v>
      </c>
      <c r="S217" s="40" t="n">
        <f aca="false">R217/$K$2</f>
        <v>355.442382130606</v>
      </c>
      <c r="T217" s="41" t="n">
        <f aca="false">S217-$M$2</f>
        <v>-54.5382807591048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0.109375</v>
      </c>
      <c r="C218" s="25" t="n">
        <f aca="false">IF(T217&gt;0,D217,C217)</f>
        <v>0.15625</v>
      </c>
      <c r="D218" s="39" t="n">
        <f aca="false">(B218+C218)/2</f>
        <v>0.1328125</v>
      </c>
      <c r="E218" s="15" t="n">
        <f aca="false">$C$2*(1+IF(E$3&lt;=$O$2,$D218,$D218-($D218-$I$211)*MIN(E$3-$O$2,$Q$2)/$Q$2))</f>
        <v>16218.4765625</v>
      </c>
      <c r="F218" s="15" t="n">
        <f aca="false">E218*(1+IF(F$3&lt;=$O$2,$D218,$D218-($D218-$I$211)*MIN(F$3-$O$2,$Q$2)/$Q$2))</f>
        <v>18372.492980957</v>
      </c>
      <c r="G218" s="15" t="n">
        <f aca="false">F218*(1+IF(G$3&lt;=$O$2,$D218,$D218-($D218-$I$211)*MIN(G$3-$O$2,$Q$2)/$Q$2))</f>
        <v>20812.5897049904</v>
      </c>
      <c r="H218" s="15" t="n">
        <f aca="false">G218*(1+IF(H$3&lt;=$O$2,$D218,$D218-($D218-$I$211)*MIN(H$3-$O$2,$Q$2)/$Q$2))</f>
        <v>23576.7617751844</v>
      </c>
      <c r="I218" s="15" t="n">
        <f aca="false">H218*(1+IF(I$3&lt;=$O$2,$D218,$D218-($D218-$I$211)*MIN(I$3-$O$2,$Q$2)/$Q$2))</f>
        <v>26708.0504484511</v>
      </c>
      <c r="J218" s="15" t="n">
        <f aca="false">I218*(1+IF(J$3&lt;=$O$2,$D218,$D218-($D218-$I$211)*MIN(J$3-$O$2,$Q$2)/$Q$2))</f>
        <v>29670.2403236888</v>
      </c>
      <c r="K218" s="15" t="n">
        <f aca="false">J218*(1+IF(K$3&lt;=$O$2,$D218,$D218-($D218-$I$211)*MIN(K$3-$O$2,$Q$2)/$Q$2))</f>
        <v>32311.1142392995</v>
      </c>
      <c r="L218" s="15" t="n">
        <f aca="false">K218*(1+IF(L$3&lt;=$O$2,$D218,$D218-($D218-$I$211)*MIN(L$3-$O$2,$Q$2)/$Q$2))</f>
        <v>34479.3515603277</v>
      </c>
      <c r="M218" s="15" t="n">
        <f aca="false">L218*(1+IF(M$3&lt;=$O$2,$D218,$D218-($D218-$I$211)*MIN(M$3-$O$2,$Q$2)/$Q$2))</f>
        <v>36037.9044492335</v>
      </c>
      <c r="N218" s="15" t="n">
        <f aca="false">M218*(1+IF(N$3&lt;=$O$2,$D218,$D218-($D218-$I$211)*MIN(N$3-$O$2,$Q$2)/$Q$2))</f>
        <v>36877.5876229006</v>
      </c>
      <c r="O218" s="15" t="n">
        <f aca="false">SUMPRODUCT(E218:N218,1/(1+$F$211)^$E$3:$N$3)*$E$2</f>
        <v>54063.3219018406</v>
      </c>
      <c r="P218" s="15" t="n">
        <f aca="false">N218*$E$2*(1+$I$211)/($F$211-$I$211)/(1+$F$211)^$N$3</f>
        <v>78317.2570712528</v>
      </c>
      <c r="Q218" s="15" t="n">
        <f aca="false">O218+P218</f>
        <v>132380.578973093</v>
      </c>
      <c r="R218" s="15" t="n">
        <f aca="false">Q218-$G$2+$I$2</f>
        <v>120760.578973093</v>
      </c>
      <c r="S218" s="40" t="n">
        <f aca="false">R218/$K$2</f>
        <v>409.677304247696</v>
      </c>
      <c r="T218" s="41" t="n">
        <f aca="false">S218-$M$2</f>
        <v>-0.30335864201453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0.1328125</v>
      </c>
      <c r="C219" s="25" t="n">
        <f aca="false">IF(T218&gt;0,D218,C218)</f>
        <v>0.15625</v>
      </c>
      <c r="D219" s="39" t="n">
        <f aca="false">(B219+C219)/2</f>
        <v>0.14453125</v>
      </c>
      <c r="E219" s="15" t="n">
        <f aca="false">$C$2*(1+IF(E$3&lt;=$O$2,$D219,$D219-($D219-$I$211)*MIN(E$3-$O$2,$Q$2)/$Q$2))</f>
        <v>16386.25390625</v>
      </c>
      <c r="F219" s="15" t="n">
        <f aca="false">E219*(1+IF(F$3&lt;=$O$2,$D219,$D219-($D219-$I$211)*MIN(F$3-$O$2,$Q$2)/$Q$2))</f>
        <v>18754.5796661377</v>
      </c>
      <c r="G219" s="15" t="n">
        <f aca="false">F219*(1+IF(G$3&lt;=$O$2,$D219,$D219-($D219-$I$211)*MIN(G$3-$O$2,$Q$2)/$Q$2))</f>
        <v>21465.2025085092</v>
      </c>
      <c r="H219" s="15" t="n">
        <f aca="false">G219*(1+IF(H$3&lt;=$O$2,$D219,$D219-($D219-$I$211)*MIN(H$3-$O$2,$Q$2)/$Q$2))</f>
        <v>24567.5950585671</v>
      </c>
      <c r="I219" s="15" t="n">
        <f aca="false">H219*(1+IF(I$3&lt;=$O$2,$D219,$D219-($D219-$I$211)*MIN(I$3-$O$2,$Q$2)/$Q$2))</f>
        <v>28118.3802818757</v>
      </c>
      <c r="J219" s="15" t="n">
        <f aca="false">I219*(1+IF(J$3&lt;=$O$2,$D219,$D219-($D219-$I$211)*MIN(J$3-$O$2,$Q$2)/$Q$2))</f>
        <v>31500.5996540811</v>
      </c>
      <c r="K219" s="15" t="n">
        <f aca="false">J219*(1+IF(K$3&lt;=$O$2,$D219,$D219-($D219-$I$211)*MIN(K$3-$O$2,$Q$2)/$Q$2))</f>
        <v>34525.8778691094</v>
      </c>
      <c r="L219" s="15" t="n">
        <f aca="false">K219*(1+IF(L$3&lt;=$O$2,$D219,$D219-($D219-$I$211)*MIN(L$3-$O$2,$Q$2)/$Q$2))</f>
        <v>37004.5769560275</v>
      </c>
      <c r="M219" s="15" t="n">
        <f aca="false">L219*(1+IF(M$3&lt;=$O$2,$D219,$D219-($D219-$I$211)*MIN(M$3-$O$2,$Q$2)/$Q$2))</f>
        <v>38764.005823123</v>
      </c>
      <c r="N219" s="15" t="n">
        <f aca="false">M219*(1+IF(N$3&lt;=$O$2,$D219,$D219-($D219-$I$211)*MIN(N$3-$O$2,$Q$2)/$Q$2))</f>
        <v>39667.2071588018</v>
      </c>
      <c r="O219" s="15" t="n">
        <f aca="false">SUMPRODUCT(E219:N219,1/(1+$F$211)^$E$3:$N$3)*$E$2</f>
        <v>56876.6953760745</v>
      </c>
      <c r="P219" s="15" t="n">
        <f aca="false">N219*$E$2*(1+$I$211)/($F$211-$I$211)/(1+$F$211)^$N$3</f>
        <v>84241.5966066428</v>
      </c>
      <c r="Q219" s="15" t="n">
        <f aca="false">O219+P219</f>
        <v>141118.291982717</v>
      </c>
      <c r="R219" s="15" t="n">
        <f aca="false">Q219-$G$2+$I$2</f>
        <v>129498.291982717</v>
      </c>
      <c r="S219" s="40" t="n">
        <f aca="false">R219/$K$2</f>
        <v>439.319781465947</v>
      </c>
      <c r="T219" s="41" t="n">
        <f aca="false">S219-$M$2</f>
        <v>29.3391185762368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0.1328125</v>
      </c>
      <c r="C220" s="25" t="n">
        <f aca="false">IF(T219&gt;0,D219,C219)</f>
        <v>0.14453125</v>
      </c>
      <c r="D220" s="39" t="n">
        <f aca="false">(B220+C220)/2</f>
        <v>0.138671875</v>
      </c>
      <c r="E220" s="15" t="n">
        <f aca="false">$C$2*(1+IF(E$3&lt;=$O$2,$D220,$D220-($D220-$I$211)*MIN(E$3-$O$2,$Q$2)/$Q$2))</f>
        <v>16302.365234375</v>
      </c>
      <c r="F220" s="15" t="n">
        <f aca="false">E220*(1+IF(F$3&lt;=$O$2,$D220,$D220-($D220-$I$211)*MIN(F$3-$O$2,$Q$2)/$Q$2))</f>
        <v>18563.0447883606</v>
      </c>
      <c r="G220" s="15" t="n">
        <f aca="false">F220*(1+IF(G$3&lt;=$O$2,$D220,$D220-($D220-$I$211)*MIN(G$3-$O$2,$Q$2)/$Q$2))</f>
        <v>21137.2170148715</v>
      </c>
      <c r="H220" s="15" t="n">
        <f aca="false">G220*(1+IF(H$3&lt;=$O$2,$D220,$D220-($D220-$I$211)*MIN(H$3-$O$2,$Q$2)/$Q$2))</f>
        <v>24068.3545306057</v>
      </c>
      <c r="I220" s="15" t="n">
        <f aca="false">H220*(1+IF(I$3&lt;=$O$2,$D220,$D220-($D220-$I$211)*MIN(I$3-$O$2,$Q$2)/$Q$2))</f>
        <v>27405.9583815295</v>
      </c>
      <c r="J220" s="15" t="n">
        <f aca="false">I220*(1+IF(J$3&lt;=$O$2,$D220,$D220-($D220-$I$211)*MIN(J$3-$O$2,$Q$2)/$Q$2))</f>
        <v>30574.0186555384</v>
      </c>
      <c r="K220" s="15" t="n">
        <f aca="false">J220*(1+IF(K$3&lt;=$O$2,$D220,$D220-($D220-$I$211)*MIN(K$3-$O$2,$Q$2)/$Q$2))</f>
        <v>33402.8224053571</v>
      </c>
      <c r="L220" s="15" t="n">
        <f aca="false">K220*(1+IF(L$3&lt;=$O$2,$D220,$D220-($D220-$I$211)*MIN(L$3-$O$2,$Q$2)/$Q$2))</f>
        <v>35722.6066678811</v>
      </c>
      <c r="M220" s="15" t="n">
        <f aca="false">L220*(1+IF(M$3&lt;=$O$2,$D220,$D220-($D220-$I$211)*MIN(M$3-$O$2,$Q$2)/$Q$2))</f>
        <v>37379.220225475</v>
      </c>
      <c r="N220" s="15" t="n">
        <f aca="false">M220*(1+IF(N$3&lt;=$O$2,$D220,$D220-($D220-$I$211)*MIN(N$3-$O$2,$Q$2)/$Q$2))</f>
        <v>38250.1560567285</v>
      </c>
      <c r="O220" s="15" t="n">
        <f aca="false">SUMPRODUCT(E220:N220,1/(1+$F$211)^$E$3:$N$3)*$E$2</f>
        <v>55452.4682204118</v>
      </c>
      <c r="P220" s="15" t="n">
        <f aca="false">N220*$E$2*(1+$I$211)/($F$211-$I$211)/(1+$F$211)^$N$3</f>
        <v>81232.1927221204</v>
      </c>
      <c r="Q220" s="15" t="n">
        <f aca="false">O220+P220</f>
        <v>136684.660942532</v>
      </c>
      <c r="R220" s="15" t="n">
        <f aca="false">Q220-$G$2+$I$2</f>
        <v>125064.660942532</v>
      </c>
      <c r="S220" s="40" t="n">
        <f aca="false">R220/$K$2</f>
        <v>424.278796833234</v>
      </c>
      <c r="T220" s="41" t="n">
        <f aca="false">S220-$M$2</f>
        <v>14.2981339435229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0.1328125</v>
      </c>
      <c r="C221" s="25" t="n">
        <f aca="false">IF(T220&gt;0,D220,C220)</f>
        <v>0.138671875</v>
      </c>
      <c r="D221" s="39" t="n">
        <f aca="false">(B221+C221)/2</f>
        <v>0.1357421875</v>
      </c>
      <c r="E221" s="15" t="n">
        <f aca="false">$C$2*(1+IF(E$3&lt;=$O$2,$D221,$D221-($D221-$I$211)*MIN(E$3-$O$2,$Q$2)/$Q$2))</f>
        <v>16260.4208984375</v>
      </c>
      <c r="F221" s="15" t="n">
        <f aca="false">E221*(1+IF(F$3&lt;=$O$2,$D221,$D221-($D221-$I$211)*MIN(F$3-$O$2,$Q$2)/$Q$2))</f>
        <v>18467.6460008621</v>
      </c>
      <c r="G221" s="15" t="n">
        <f aca="false">F221*(1+IF(G$3&lt;=$O$2,$D221,$D221-($D221-$I$211)*MIN(G$3-$O$2,$Q$2)/$Q$2))</f>
        <v>20974.4846669948</v>
      </c>
      <c r="H221" s="15" t="n">
        <f aca="false">G221*(1+IF(H$3&lt;=$O$2,$D221,$D221-($D221-$I$211)*MIN(H$3-$O$2,$Q$2)/$Q$2))</f>
        <v>23821.6070973779</v>
      </c>
      <c r="I221" s="15" t="n">
        <f aca="false">H221*(1+IF(I$3&lt;=$O$2,$D221,$D221-($D221-$I$211)*MIN(I$3-$O$2,$Q$2)/$Q$2))</f>
        <v>27055.2041545414</v>
      </c>
      <c r="J221" s="15" t="n">
        <f aca="false">I221*(1+IF(J$3&lt;=$O$2,$D221,$D221-($D221-$I$211)*MIN(J$3-$O$2,$Q$2)/$Q$2))</f>
        <v>30119.3074820588</v>
      </c>
      <c r="K221" s="15" t="n">
        <f aca="false">J221*(1+IF(K$3&lt;=$O$2,$D221,$D221-($D221-$I$211)*MIN(K$3-$O$2,$Q$2)/$Q$2))</f>
        <v>32853.0958379515</v>
      </c>
      <c r="L221" s="15" t="n">
        <f aca="false">K221*(1+IF(L$3&lt;=$O$2,$D221,$D221-($D221-$I$211)*MIN(L$3-$O$2,$Q$2)/$Q$2))</f>
        <v>35096.2025558423</v>
      </c>
      <c r="M221" s="15" t="n">
        <f aca="false">L221*(1+IF(M$3&lt;=$O$2,$D221,$D221-($D221-$I$211)*MIN(M$3-$O$2,$Q$2)/$Q$2))</f>
        <v>36703.2028330579</v>
      </c>
      <c r="N221" s="15" t="n">
        <f aca="false">M221*(1+IF(N$3&lt;=$O$2,$D221,$D221-($D221-$I$211)*MIN(N$3-$O$2,$Q$2)/$Q$2))</f>
        <v>37558.3874590681</v>
      </c>
      <c r="O221" s="15" t="n">
        <f aca="false">SUMPRODUCT(E221:N221,1/(1+$F$211)^$E$3:$N$3)*$E$2</f>
        <v>54753.5600742061</v>
      </c>
      <c r="P221" s="15" t="n">
        <f aca="false">N221*$E$2*(1+$I$211)/($F$211-$I$211)/(1+$F$211)^$N$3</f>
        <v>79763.0776690754</v>
      </c>
      <c r="Q221" s="15" t="n">
        <f aca="false">O221+P221</f>
        <v>134516.637743281</v>
      </c>
      <c r="R221" s="15" t="n">
        <f aca="false">Q221-$G$2+$I$2</f>
        <v>122896.637743281</v>
      </c>
      <c r="S221" s="40" t="n">
        <f aca="false">R221/$K$2</f>
        <v>416.923831269402</v>
      </c>
      <c r="T221" s="41" t="n">
        <f aca="false">S221-$M$2</f>
        <v>6.94316837969092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0.1328125</v>
      </c>
      <c r="C222" s="25" t="n">
        <f aca="false">IF(T221&gt;0,D221,C221)</f>
        <v>0.1357421875</v>
      </c>
      <c r="D222" s="39" t="n">
        <f aca="false">(B222+C222)/2</f>
        <v>0.13427734375</v>
      </c>
      <c r="E222" s="15" t="n">
        <f aca="false">$C$2*(1+IF(E$3&lt;=$O$2,$D222,$D222-($D222-$I$211)*MIN(E$3-$O$2,$Q$2)/$Q$2))</f>
        <v>16239.4487304688</v>
      </c>
      <c r="F222" s="15" t="n">
        <f aca="false">E222*(1+IF(F$3&lt;=$O$2,$D222,$D222-($D222-$I$211)*MIN(F$3-$O$2,$Q$2)/$Q$2))</f>
        <v>18420.0387699604</v>
      </c>
      <c r="G222" s="15" t="n">
        <f aca="false">F222*(1+IF(G$3&lt;=$O$2,$D222,$D222-($D222-$I$211)*MIN(G$3-$O$2,$Q$2)/$Q$2))</f>
        <v>20893.4326477627</v>
      </c>
      <c r="H222" s="15" t="n">
        <f aca="false">G222*(1+IF(H$3&lt;=$O$2,$D222,$D222-($D222-$I$211)*MIN(H$3-$O$2,$Q$2)/$Q$2))</f>
        <v>23698.9472855238</v>
      </c>
      <c r="I222" s="15" t="n">
        <f aca="false">H222*(1+IF(I$3&lt;=$O$2,$D222,$D222-($D222-$I$211)*MIN(I$3-$O$2,$Q$2)/$Q$2))</f>
        <v>26881.1789766952</v>
      </c>
      <c r="J222" s="15" t="n">
        <f aca="false">I222*(1+IF(J$3&lt;=$O$2,$D222,$D222-($D222-$I$211)*MIN(J$3-$O$2,$Q$2)/$Q$2))</f>
        <v>29894.0719186138</v>
      </c>
      <c r="K222" s="15" t="n">
        <f aca="false">J222*(1+IF(K$3&lt;=$O$2,$D222,$D222-($D222-$I$211)*MIN(K$3-$O$2,$Q$2)/$Q$2))</f>
        <v>32581.142611557</v>
      </c>
      <c r="L222" s="15" t="n">
        <f aca="false">K222*(1+IF(L$3&lt;=$O$2,$D222,$D222-($D222-$I$211)*MIN(L$3-$O$2,$Q$2)/$Q$2))</f>
        <v>34786.5906997545</v>
      </c>
      <c r="M222" s="15" t="n">
        <f aca="false">L222*(1+IF(M$3&lt;=$O$2,$D222,$D222-($D222-$I$211)*MIN(M$3-$O$2,$Q$2)/$Q$2))</f>
        <v>36369.2229498543</v>
      </c>
      <c r="N222" s="15" t="n">
        <f aca="false">M222*(1+IF(N$3&lt;=$O$2,$D222,$D222-($D222-$I$211)*MIN(N$3-$O$2,$Q$2)/$Q$2))</f>
        <v>37216.6258445859</v>
      </c>
      <c r="O222" s="15" t="n">
        <f aca="false">SUMPRODUCT(E222:N222,1/(1+$F$211)^$E$3:$N$3)*$E$2</f>
        <v>54407.363451813</v>
      </c>
      <c r="P222" s="15" t="n">
        <f aca="false">N222*$E$2*(1+$I$211)/($F$211-$I$211)/(1+$F$211)^$N$3</f>
        <v>79037.2755235502</v>
      </c>
      <c r="Q222" s="15" t="n">
        <f aca="false">O222+P222</f>
        <v>133444.638975363</v>
      </c>
      <c r="R222" s="15" t="n">
        <f aca="false">Q222-$G$2+$I$2</f>
        <v>121824.638975363</v>
      </c>
      <c r="S222" s="40" t="n">
        <f aca="false">R222/$K$2</f>
        <v>413.28710172461</v>
      </c>
      <c r="T222" s="41" t="n">
        <f aca="false">S222-$M$2</f>
        <v>3.30643883489944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0.1328125</v>
      </c>
      <c r="C223" s="25" t="n">
        <f aca="false">IF(T222&gt;0,D222,C222)</f>
        <v>0.13427734375</v>
      </c>
      <c r="D223" s="39" t="n">
        <f aca="false">(B223+C223)/2</f>
        <v>0.133544921875</v>
      </c>
      <c r="E223" s="15" t="n">
        <f aca="false">$C$2*(1+IF(E$3&lt;=$O$2,$D223,$D223-($D223-$I$211)*MIN(E$3-$O$2,$Q$2)/$Q$2))</f>
        <v>16228.9626464844</v>
      </c>
      <c r="F223" s="15" t="n">
        <f aca="false">E223*(1+IF(F$3&lt;=$O$2,$D223,$D223-($D223-$I$211)*MIN(F$3-$O$2,$Q$2)/$Q$2))</f>
        <v>18396.2581952214</v>
      </c>
      <c r="G223" s="15" t="n">
        <f aca="false">F223*(1+IF(G$3&lt;=$O$2,$D223,$D223-($D223-$I$211)*MIN(G$3-$O$2,$Q$2)/$Q$2))</f>
        <v>20852.9850586946</v>
      </c>
      <c r="H223" s="15" t="n">
        <f aca="false">G223*(1+IF(H$3&lt;=$O$2,$D223,$D223-($D223-$I$211)*MIN(H$3-$O$2,$Q$2)/$Q$2))</f>
        <v>23637.7953192185</v>
      </c>
      <c r="I223" s="15" t="n">
        <f aca="false">H223*(1+IF(I$3&lt;=$O$2,$D223,$D223-($D223-$I$211)*MIN(I$3-$O$2,$Q$2)/$Q$2))</f>
        <v>26794.5028484208</v>
      </c>
      <c r="J223" s="15" t="n">
        <f aca="false">I223*(1+IF(J$3&lt;=$O$2,$D223,$D223-($D223-$I$211)*MIN(J$3-$O$2,$Q$2)/$Q$2))</f>
        <v>29781.9810633519</v>
      </c>
      <c r="K223" s="15" t="n">
        <f aca="false">J223*(1+IF(K$3&lt;=$O$2,$D223,$D223-($D223-$I$211)*MIN(K$3-$O$2,$Q$2)/$Q$2))</f>
        <v>32445.8885274952</v>
      </c>
      <c r="L223" s="15" t="n">
        <f aca="false">K223*(1+IF(L$3&lt;=$O$2,$D223,$D223-($D223-$I$211)*MIN(L$3-$O$2,$Q$2)/$Q$2))</f>
        <v>34632.6755085373</v>
      </c>
      <c r="M223" s="15" t="n">
        <f aca="false">L223*(1+IF(M$3&lt;=$O$2,$D223,$D223-($D223-$I$211)*MIN(M$3-$O$2,$Q$2)/$Q$2))</f>
        <v>36203.2321690384</v>
      </c>
      <c r="N223" s="15" t="n">
        <f aca="false">M223*(1+IF(N$3&lt;=$O$2,$D223,$D223-($D223-$I$211)*MIN(N$3-$O$2,$Q$2)/$Q$2))</f>
        <v>37046.7674785769</v>
      </c>
      <c r="O223" s="15" t="n">
        <f aca="false">SUMPRODUCT(E223:N223,1/(1+$F$211)^$E$3:$N$3)*$E$2</f>
        <v>54235.0740657227</v>
      </c>
      <c r="P223" s="15" t="n">
        <f aca="false">N223*$E$2*(1+$I$211)/($F$211-$I$211)/(1+$F$211)^$N$3</f>
        <v>78676.5458182221</v>
      </c>
      <c r="Q223" s="15" t="n">
        <f aca="false">O223+P223</f>
        <v>132911.619883945</v>
      </c>
      <c r="R223" s="15" t="n">
        <f aca="false">Q223-$G$2+$I$2</f>
        <v>121291.619883945</v>
      </c>
      <c r="S223" s="40" t="n">
        <f aca="false">R223/$K$2</f>
        <v>411.478847521609</v>
      </c>
      <c r="T223" s="41" t="n">
        <f aca="false">S223-$M$2</f>
        <v>1.49818463189888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0.1328125</v>
      </c>
      <c r="C224" s="25" t="n">
        <f aca="false">IF(T223&gt;0,D223,C223)</f>
        <v>0.133544921875</v>
      </c>
      <c r="D224" s="39" t="n">
        <f aca="false">(B224+C224)/2</f>
        <v>0.1331787109375</v>
      </c>
      <c r="E224" s="15" t="n">
        <f aca="false">$C$2*(1+IF(E$3&lt;=$O$2,$D224,$D224-($D224-$I$211)*MIN(E$3-$O$2,$Q$2)/$Q$2))</f>
        <v>16223.7196044922</v>
      </c>
      <c r="F224" s="15" t="n">
        <f aca="false">E224*(1+IF(F$3&lt;=$O$2,$D224,$D224-($D224-$I$211)*MIN(F$3-$O$2,$Q$2)/$Q$2))</f>
        <v>18384.3736680299</v>
      </c>
      <c r="G224" s="15" t="n">
        <f aca="false">F224*(1+IF(G$3&lt;=$O$2,$D224,$D224-($D224-$I$211)*MIN(G$3-$O$2,$Q$2)/$Q$2))</f>
        <v>20832.7808545314</v>
      </c>
      <c r="H224" s="15" t="n">
        <f aca="false">G224*(1+IF(H$3&lt;=$O$2,$D224,$D224-($D224-$I$211)*MIN(H$3-$O$2,$Q$2)/$Q$2))</f>
        <v>23607.2637539814</v>
      </c>
      <c r="I224" s="15" t="n">
        <f aca="false">H224*(1+IF(I$3&lt;=$O$2,$D224,$D224-($D224-$I$211)*MIN(I$3-$O$2,$Q$2)/$Q$2))</f>
        <v>26751.2487094982</v>
      </c>
      <c r="J224" s="15" t="n">
        <f aca="false">I224*(1+IF(J$3&lt;=$O$2,$D224,$D224-($D224-$I$211)*MIN(J$3-$O$2,$Q$2)/$Q$2))</f>
        <v>29726.066983764</v>
      </c>
      <c r="K224" s="15" t="n">
        <f aca="false">J224*(1+IF(K$3&lt;=$O$2,$D224,$D224-($D224-$I$211)*MIN(K$3-$O$2,$Q$2)/$Q$2))</f>
        <v>32378.4414973364</v>
      </c>
      <c r="L224" s="15" t="n">
        <f aca="false">K224*(1+IF(L$3&lt;=$O$2,$D224,$D224-($D224-$I$211)*MIN(L$3-$O$2,$Q$2)/$Q$2))</f>
        <v>34555.9397497813</v>
      </c>
      <c r="M224" s="15" t="n">
        <f aca="false">L224*(1+IF(M$3&lt;=$O$2,$D224,$D224-($D224-$I$211)*MIN(M$3-$O$2,$Q$2)/$Q$2))</f>
        <v>36120.4855689392</v>
      </c>
      <c r="N224" s="15" t="n">
        <f aca="false">M224*(1+IF(N$3&lt;=$O$2,$D224,$D224-($D224-$I$211)*MIN(N$3-$O$2,$Q$2)/$Q$2))</f>
        <v>36962.0928826955</v>
      </c>
      <c r="O224" s="15" t="n">
        <f aca="false">SUMPRODUCT(E224:N224,1/(1+$F$211)^$E$3:$N$3)*$E$2</f>
        <v>54149.1309274145</v>
      </c>
      <c r="P224" s="15" t="n">
        <f aca="false">N224*$E$2*(1+$I$211)/($F$211-$I$211)/(1+$F$211)^$N$3</f>
        <v>78496.7216344695</v>
      </c>
      <c r="Q224" s="15" t="n">
        <f aca="false">O224+P224</f>
        <v>132645.852561884</v>
      </c>
      <c r="R224" s="15" t="n">
        <f aca="false">Q224-$G$2+$I$2</f>
        <v>121025.852561884</v>
      </c>
      <c r="S224" s="40" t="n">
        <f aca="false">R224/$K$2</f>
        <v>410.577238395644</v>
      </c>
      <c r="T224" s="41" t="n">
        <f aca="false">S224-$M$2</f>
        <v>0.596575505933345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0.1328125</v>
      </c>
      <c r="C225" s="25" t="n">
        <f aca="false">IF(T224&gt;0,D224,C224)</f>
        <v>0.1331787109375</v>
      </c>
      <c r="D225" s="39" t="n">
        <f aca="false">(B225+C225)/2</f>
        <v>0.13299560546875</v>
      </c>
      <c r="E225" s="15" t="n">
        <f aca="false">$C$2*(1+IF(E$3&lt;=$O$2,$D225,$D225-($D225-$I$211)*MIN(E$3-$O$2,$Q$2)/$Q$2))</f>
        <v>16221.0980834961</v>
      </c>
      <c r="F225" s="15" t="n">
        <f aca="false">E225*(1+IF(F$3&lt;=$O$2,$D225,$D225-($D225-$I$211)*MIN(F$3-$O$2,$Q$2)/$Q$2))</f>
        <v>18378.4328444786</v>
      </c>
      <c r="G225" s="15" t="n">
        <f aca="false">F225*(1+IF(G$3&lt;=$O$2,$D225,$D225-($D225-$I$211)*MIN(G$3-$O$2,$Q$2)/$Q$2))</f>
        <v>20822.6836481968</v>
      </c>
      <c r="H225" s="15" t="n">
        <f aca="false">G225*(1+IF(H$3&lt;=$O$2,$D225,$D225-($D225-$I$211)*MIN(H$3-$O$2,$Q$2)/$Q$2))</f>
        <v>23592.009067473</v>
      </c>
      <c r="I225" s="15" t="n">
        <f aca="false">H225*(1+IF(I$3&lt;=$O$2,$D225,$D225-($D225-$I$211)*MIN(I$3-$O$2,$Q$2)/$Q$2))</f>
        <v>26729.6425976258</v>
      </c>
      <c r="J225" s="15" t="n">
        <f aca="false">I225*(1+IF(J$3&lt;=$O$2,$D225,$D225-($D225-$I$211)*MIN(J$3-$O$2,$Q$2)/$Q$2))</f>
        <v>29698.1427331184</v>
      </c>
      <c r="K225" s="15" t="n">
        <f aca="false">J225*(1+IF(K$3&lt;=$O$2,$D225,$D225-($D225-$I$211)*MIN(K$3-$O$2,$Q$2)/$Q$2))</f>
        <v>32344.7629078441</v>
      </c>
      <c r="L225" s="15" t="n">
        <f aca="false">K225*(1+IF(L$3&lt;=$O$2,$D225,$D225-($D225-$I$211)*MIN(L$3-$O$2,$Q$2)/$Q$2))</f>
        <v>34517.6272239645</v>
      </c>
      <c r="M225" s="15" t="n">
        <f aca="false">L225*(1+IF(M$3&lt;=$O$2,$D225,$D225-($D225-$I$211)*MIN(M$3-$O$2,$Q$2)/$Q$2))</f>
        <v>36079.1743418184</v>
      </c>
      <c r="N225" s="15" t="n">
        <f aca="false">M225*(1+IF(N$3&lt;=$O$2,$D225,$D225-($D225-$I$211)*MIN(N$3-$O$2,$Q$2)/$Q$2))</f>
        <v>36919.8191039828</v>
      </c>
      <c r="O225" s="15" t="n">
        <f aca="false">SUMPRODUCT(E225:N225,1/(1+$F$211)^$E$3:$N$3)*$E$2</f>
        <v>54106.2096625737</v>
      </c>
      <c r="P225" s="15" t="n">
        <f aca="false">N225*$E$2*(1+$I$211)/($F$211-$I$211)/(1+$F$211)^$N$3</f>
        <v>78406.9444389362</v>
      </c>
      <c r="Q225" s="15" t="n">
        <f aca="false">O225+P225</f>
        <v>132513.15410151</v>
      </c>
      <c r="R225" s="15" t="n">
        <f aca="false">Q225-$G$2+$I$2</f>
        <v>120893.15410151</v>
      </c>
      <c r="S225" s="40" t="n">
        <f aca="false">R225/$K$2</f>
        <v>410.127062121349</v>
      </c>
      <c r="T225" s="41" t="n">
        <f aca="false">S225-$M$2</f>
        <v>0.146399231637929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0.1328125</v>
      </c>
      <c r="C226" s="25" t="n">
        <f aca="false">IF(T225&gt;0,D225,C225)</f>
        <v>0.13299560546875</v>
      </c>
      <c r="D226" s="39" t="n">
        <f aca="false">(B226+C226)/2</f>
        <v>0.132904052734375</v>
      </c>
      <c r="E226" s="15" t="n">
        <f aca="false">$C$2*(1+IF(E$3&lt;=$O$2,$D226,$D226-($D226-$I$211)*MIN(E$3-$O$2,$Q$2)/$Q$2))</f>
        <v>16219.787322998</v>
      </c>
      <c r="F226" s="15" t="n">
        <f aca="false">E226*(1+IF(F$3&lt;=$O$2,$D226,$D226-($D226-$I$211)*MIN(F$3-$O$2,$Q$2)/$Q$2))</f>
        <v>18375.4627927141</v>
      </c>
      <c r="G226" s="15" t="n">
        <f aca="false">F226*(1+IF(G$3&lt;=$O$2,$D226,$D226-($D226-$I$211)*MIN(G$3-$O$2,$Q$2)/$Q$2))</f>
        <v>20817.6362687356</v>
      </c>
      <c r="H226" s="15" t="n">
        <f aca="false">G226*(1+IF(H$3&lt;=$O$2,$D226,$D226-($D226-$I$211)*MIN(H$3-$O$2,$Q$2)/$Q$2))</f>
        <v>23584.3844972006</v>
      </c>
      <c r="I226" s="15" t="n">
        <f aca="false">H226*(1+IF(I$3&lt;=$O$2,$D226,$D226-($D226-$I$211)*MIN(I$3-$O$2,$Q$2)/$Q$2))</f>
        <v>26718.8447781243</v>
      </c>
      <c r="J226" s="15" t="n">
        <f aca="false">I226*(1+IF(J$3&lt;=$O$2,$D226,$D226-($D226-$I$211)*MIN(J$3-$O$2,$Q$2)/$Q$2))</f>
        <v>29684.1887991051</v>
      </c>
      <c r="K226" s="15" t="n">
        <f aca="false">J226*(1+IF(K$3&lt;=$O$2,$D226,$D226-($D226-$I$211)*MIN(K$3-$O$2,$Q$2)/$Q$2))</f>
        <v>32327.9348348328</v>
      </c>
      <c r="L226" s="15" t="n">
        <f aca="false">K226*(1+IF(L$3&lt;=$O$2,$D226,$D226-($D226-$I$211)*MIN(L$3-$O$2,$Q$2)/$Q$2))</f>
        <v>34498.4847862566</v>
      </c>
      <c r="M226" s="15" t="n">
        <f aca="false">L226*(1+IF(M$3&lt;=$O$2,$D226,$D226-($D226-$I$211)*MIN(M$3-$O$2,$Q$2)/$Q$2))</f>
        <v>36058.5342309302</v>
      </c>
      <c r="N226" s="15" t="n">
        <f aca="false">M226*(1+IF(N$3&lt;=$O$2,$D226,$D226-($D226-$I$211)*MIN(N$3-$O$2,$Q$2)/$Q$2))</f>
        <v>36898.6980785109</v>
      </c>
      <c r="O226" s="15" t="n">
        <f aca="false">SUMPRODUCT(E226:N226,1/(1+$F$211)^$E$3:$N$3)*$E$2</f>
        <v>54084.7615956976</v>
      </c>
      <c r="P226" s="15" t="n">
        <f aca="false">N226*$E$2*(1+$I$211)/($F$211-$I$211)/(1+$F$211)^$N$3</f>
        <v>78362.0895314405</v>
      </c>
      <c r="Q226" s="15" t="n">
        <f aca="false">O226+P226</f>
        <v>132446.851127138</v>
      </c>
      <c r="R226" s="15" t="n">
        <f aca="false">Q226-$G$2+$I$2</f>
        <v>120826.851127138</v>
      </c>
      <c r="S226" s="40" t="n">
        <f aca="false">R226/$K$2</f>
        <v>409.90213090592</v>
      </c>
      <c r="T226" s="41" t="n">
        <f aca="false">S226-$M$2</f>
        <v>-0.0785319837903558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0.132904052734375</v>
      </c>
      <c r="C227" s="25" t="n">
        <f aca="false">IF(T226&gt;0,D226,C226)</f>
        <v>0.13299560546875</v>
      </c>
      <c r="D227" s="39" t="n">
        <f aca="false">(B227+C227)/2</f>
        <v>0.132949829101563</v>
      </c>
      <c r="E227" s="15" t="n">
        <f aca="false">$C$2*(1+IF(E$3&lt;=$O$2,$D227,$D227-($D227-$I$211)*MIN(E$3-$O$2,$Q$2)/$Q$2))</f>
        <v>16220.4427032471</v>
      </c>
      <c r="F227" s="15" t="n">
        <f aca="false">E227*(1+IF(F$3&lt;=$O$2,$D227,$D227-($D227-$I$211)*MIN(F$3-$O$2,$Q$2)/$Q$2))</f>
        <v>18376.9477885955</v>
      </c>
      <c r="G227" s="15" t="n">
        <f aca="false">F227*(1+IF(G$3&lt;=$O$2,$D227,$D227-($D227-$I$211)*MIN(G$3-$O$2,$Q$2)/$Q$2))</f>
        <v>20820.1598564976</v>
      </c>
      <c r="H227" s="15" t="n">
        <f aca="false">G227*(1+IF(H$3&lt;=$O$2,$D227,$D227-($D227-$I$211)*MIN(H$3-$O$2,$Q$2)/$Q$2))</f>
        <v>23588.1965512861</v>
      </c>
      <c r="I227" s="15" t="n">
        <f aca="false">H227*(1+IF(I$3&lt;=$O$2,$D227,$D227-($D227-$I$211)*MIN(I$3-$O$2,$Q$2)/$Q$2))</f>
        <v>26724.2432515937</v>
      </c>
      <c r="J227" s="15" t="n">
        <f aca="false">I227*(1+IF(J$3&lt;=$O$2,$D227,$D227-($D227-$I$211)*MIN(J$3-$O$2,$Q$2)/$Q$2))</f>
        <v>29691.1650836805</v>
      </c>
      <c r="K227" s="15" t="n">
        <f aca="false">J227*(1+IF(K$3&lt;=$O$2,$D227,$D227-($D227-$I$211)*MIN(K$3-$O$2,$Q$2)/$Q$2))</f>
        <v>32336.3479364813</v>
      </c>
      <c r="L227" s="15" t="n">
        <f aca="false">K227*(1+IF(L$3&lt;=$O$2,$D227,$D227-($D227-$I$211)*MIN(L$3-$O$2,$Q$2)/$Q$2))</f>
        <v>34508.0548534029</v>
      </c>
      <c r="M227" s="15" t="n">
        <f aca="false">L227*(1+IF(M$3&lt;=$O$2,$D227,$D227-($D227-$I$211)*MIN(M$3-$O$2,$Q$2)/$Q$2))</f>
        <v>36068.8529949478</v>
      </c>
      <c r="N227" s="15" t="n">
        <f aca="false">M227*(1+IF(N$3&lt;=$O$2,$D227,$D227-($D227-$I$211)*MIN(N$3-$O$2,$Q$2)/$Q$2))</f>
        <v>36909.2572697301</v>
      </c>
      <c r="O227" s="15" t="n">
        <f aca="false">SUMPRODUCT(E227:N227,1/(1+$F$211)^$E$3:$N$3)*$E$2</f>
        <v>54095.4845823204</v>
      </c>
      <c r="P227" s="15" t="n">
        <f aca="false">N227*$E$2*(1+$I$211)/($F$211-$I$211)/(1+$F$211)^$N$3</f>
        <v>78384.5141786716</v>
      </c>
      <c r="Q227" s="15" t="n">
        <f aca="false">O227+P227</f>
        <v>132479.998760992</v>
      </c>
      <c r="R227" s="15" t="n">
        <f aca="false">Q227-$G$2+$I$2</f>
        <v>120859.998760992</v>
      </c>
      <c r="S227" s="40" t="n">
        <f aca="false">R227/$K$2</f>
        <v>410.0145834413</v>
      </c>
      <c r="T227" s="41" t="n">
        <f aca="false">S227-$M$2</f>
        <v>0.0339205515891194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0.132904052734375</v>
      </c>
      <c r="C228" s="25" t="n">
        <f aca="false">IF(T227&gt;0,D227,C227)</f>
        <v>0.132949829101563</v>
      </c>
      <c r="D228" s="39" t="n">
        <f aca="false">(B228+C228)/2</f>
        <v>0.132926940917969</v>
      </c>
      <c r="E228" s="15" t="n">
        <f aca="false">$C$2*(1+IF(E$3&lt;=$O$2,$D228,$D228-($D228-$I$211)*MIN(E$3-$O$2,$Q$2)/$Q$2))</f>
        <v>16220.1150131226</v>
      </c>
      <c r="F228" s="15" t="n">
        <f aca="false">E228*(1+IF(F$3&lt;=$O$2,$D228,$D228-($D228-$I$211)*MIN(F$3-$O$2,$Q$2)/$Q$2))</f>
        <v>18376.2052831546</v>
      </c>
      <c r="G228" s="15" t="n">
        <f aca="false">F228*(1+IF(G$3&lt;=$O$2,$D228,$D228-($D228-$I$211)*MIN(G$3-$O$2,$Q$2)/$Q$2))</f>
        <v>20818.8980371249</v>
      </c>
      <c r="H228" s="15" t="n">
        <f aca="false">G228*(1+IF(H$3&lt;=$O$2,$D228,$D228-($D228-$I$211)*MIN(H$3-$O$2,$Q$2)/$Q$2))</f>
        <v>23586.290466483</v>
      </c>
      <c r="I228" s="15" t="n">
        <f aca="false">H228*(1+IF(I$3&lt;=$O$2,$D228,$D228-($D228-$I$211)*MIN(I$3-$O$2,$Q$2)/$Q$2))</f>
        <v>26721.5439057953</v>
      </c>
      <c r="J228" s="15" t="n">
        <f aca="false">I228*(1+IF(J$3&lt;=$O$2,$D228,$D228-($D228-$I$211)*MIN(J$3-$O$2,$Q$2)/$Q$2))</f>
        <v>29687.6767707983</v>
      </c>
      <c r="K228" s="15" t="n">
        <f aca="false">J228*(1+IF(K$3&lt;=$O$2,$D228,$D228-($D228-$I$211)*MIN(K$3-$O$2,$Q$2)/$Q$2))</f>
        <v>32332.1411519644</v>
      </c>
      <c r="L228" s="15" t="n">
        <f aca="false">K228*(1+IF(L$3&lt;=$O$2,$D228,$D228-($D228-$I$211)*MIN(L$3-$O$2,$Q$2)/$Q$2))</f>
        <v>34503.2695319323</v>
      </c>
      <c r="M228" s="15" t="n">
        <f aca="false">L228*(1+IF(M$3&lt;=$O$2,$D228,$D228-($D228-$I$211)*MIN(M$3-$O$2,$Q$2)/$Q$2))</f>
        <v>36063.6932901171</v>
      </c>
      <c r="N228" s="15" t="n">
        <f aca="false">M228*(1+IF(N$3&lt;=$O$2,$D228,$D228-($D228-$I$211)*MIN(N$3-$O$2,$Q$2)/$Q$2))</f>
        <v>36903.9773437768</v>
      </c>
      <c r="O228" s="15" t="n">
        <f aca="false">SUMPRODUCT(E228:N228,1/(1+$F$211)^$E$3:$N$3)*$E$2</f>
        <v>54090.1228273287</v>
      </c>
      <c r="P228" s="15" t="n">
        <f aca="false">N228*$E$2*(1+$I$211)/($F$211-$I$211)/(1+$F$211)^$N$3</f>
        <v>78373.3011535022</v>
      </c>
      <c r="Q228" s="15" t="n">
        <f aca="false">O228+P228</f>
        <v>132463.423980831</v>
      </c>
      <c r="R228" s="15" t="n">
        <f aca="false">Q228-$G$2+$I$2</f>
        <v>120843.423980831</v>
      </c>
      <c r="S228" s="40" t="n">
        <f aca="false">R228/$K$2</f>
        <v>409.958353905862</v>
      </c>
      <c r="T228" s="41" t="n">
        <f aca="false">S228-$M$2</f>
        <v>-0.0223089838487454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0.132926940917969</v>
      </c>
      <c r="C229" s="25" t="n">
        <f aca="false">IF(T228&gt;0,D228,C228)</f>
        <v>0.132949829101563</v>
      </c>
      <c r="D229" s="39" t="n">
        <f aca="false">(B229+C229)/2</f>
        <v>0.132938385009766</v>
      </c>
      <c r="E229" s="15" t="n">
        <f aca="false">$C$2*(1+IF(E$3&lt;=$O$2,$D229,$D229-($D229-$I$211)*MIN(E$3-$O$2,$Q$2)/$Q$2))</f>
        <v>16220.2788581848</v>
      </c>
      <c r="F229" s="15" t="n">
        <f aca="false">E229*(1+IF(F$3&lt;=$O$2,$D229,$D229-($D229-$I$211)*MIN(F$3-$O$2,$Q$2)/$Q$2))</f>
        <v>18376.576534</v>
      </c>
      <c r="G229" s="15" t="n">
        <f aca="false">F229*(1+IF(G$3&lt;=$O$2,$D229,$D229-($D229-$I$211)*MIN(G$3-$O$2,$Q$2)/$Q$2))</f>
        <v>20819.5289404383</v>
      </c>
      <c r="H229" s="15" t="n">
        <f aca="false">G229*(1+IF(H$3&lt;=$O$2,$D229,$D229-($D229-$I$211)*MIN(H$3-$O$2,$Q$2)/$Q$2))</f>
        <v>23587.2434944442</v>
      </c>
      <c r="I229" s="15" t="n">
        <f aca="false">H229*(1+IF(I$3&lt;=$O$2,$D229,$D229-($D229-$I$211)*MIN(I$3-$O$2,$Q$2)/$Q$2))</f>
        <v>26722.8935514277</v>
      </c>
      <c r="J229" s="15" t="n">
        <f aca="false">I229*(1+IF(J$3&lt;=$O$2,$D229,$D229-($D229-$I$211)*MIN(J$3-$O$2,$Q$2)/$Q$2))</f>
        <v>29689.4208845891</v>
      </c>
      <c r="K229" s="15" t="n">
        <f aca="false">J229*(1+IF(K$3&lt;=$O$2,$D229,$D229-($D229-$I$211)*MIN(K$3-$O$2,$Q$2)/$Q$2))</f>
        <v>32334.244485797</v>
      </c>
      <c r="L229" s="15" t="n">
        <f aca="false">K229*(1+IF(L$3&lt;=$O$2,$D229,$D229-($D229-$I$211)*MIN(L$3-$O$2,$Q$2)/$Q$2))</f>
        <v>34505.6621206895</v>
      </c>
      <c r="M229" s="15" t="n">
        <f aca="false">L229*(1+IF(M$3&lt;=$O$2,$D229,$D229-($D229-$I$211)*MIN(M$3-$O$2,$Q$2)/$Q$2))</f>
        <v>36066.2730618226</v>
      </c>
      <c r="N229" s="15" t="n">
        <f aca="false">M229*(1+IF(N$3&lt;=$O$2,$D229,$D229-($D229-$I$211)*MIN(N$3-$O$2,$Q$2)/$Q$2))</f>
        <v>36906.6172241631</v>
      </c>
      <c r="O229" s="15" t="n">
        <f aca="false">SUMPRODUCT(E229:N229,1/(1+$F$211)^$E$3:$N$3)*$E$2</f>
        <v>54092.8036394015</v>
      </c>
      <c r="P229" s="15" t="n">
        <f aca="false">N229*$E$2*(1+$I$211)/($F$211-$I$211)/(1+$F$211)^$N$3</f>
        <v>78378.907490689</v>
      </c>
      <c r="Q229" s="15" t="n">
        <f aca="false">O229+P229</f>
        <v>132471.711130091</v>
      </c>
      <c r="R229" s="15" t="n">
        <f aca="false">Q229-$G$2+$I$2</f>
        <v>120851.711130091</v>
      </c>
      <c r="S229" s="40" t="n">
        <f aca="false">R229/$K$2</f>
        <v>409.986467856602</v>
      </c>
      <c r="T229" s="41" t="n">
        <f aca="false">S229-$M$2</f>
        <v>0.00580496689127585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0.132926940917969</v>
      </c>
      <c r="C230" s="25" t="n">
        <f aca="false">IF(T229&gt;0,D229,C229)</f>
        <v>0.132938385009766</v>
      </c>
      <c r="D230" s="39" t="n">
        <f aca="false">(B230+C230)/2</f>
        <v>0.132932662963867</v>
      </c>
      <c r="E230" s="15" t="n">
        <f aca="false">$C$2*(1+IF(E$3&lt;=$O$2,$D230,$D230-($D230-$I$211)*MIN(E$3-$O$2,$Q$2)/$Q$2))</f>
        <v>16220.1969356537</v>
      </c>
      <c r="F230" s="15" t="n">
        <f aca="false">E230*(1+IF(F$3&lt;=$O$2,$D230,$D230-($D230-$I$211)*MIN(F$3-$O$2,$Q$2)/$Q$2))</f>
        <v>18376.3909081085</v>
      </c>
      <c r="G230" s="15" t="n">
        <f aca="false">F230*(1+IF(G$3&lt;=$O$2,$D230,$D230-($D230-$I$211)*MIN(G$3-$O$2,$Q$2)/$Q$2))</f>
        <v>20819.2134871884</v>
      </c>
      <c r="H230" s="15" t="n">
        <f aca="false">G230*(1+IF(H$3&lt;=$O$2,$D230,$D230-($D230-$I$211)*MIN(H$3-$O$2,$Q$2)/$Q$2))</f>
        <v>23586.7669768536</v>
      </c>
      <c r="I230" s="15" t="n">
        <f aca="false">H230*(1+IF(I$3&lt;=$O$2,$D230,$D230-($D230-$I$211)*MIN(I$3-$O$2,$Q$2)/$Q$2))</f>
        <v>26722.2187217949</v>
      </c>
      <c r="J230" s="15" t="n">
        <f aca="false">I230*(1+IF(J$3&lt;=$O$2,$D230,$D230-($D230-$I$211)*MIN(J$3-$O$2,$Q$2)/$Q$2))</f>
        <v>29688.5488170313</v>
      </c>
      <c r="K230" s="15" t="n">
        <f aca="false">J230*(1+IF(K$3&lt;=$O$2,$D230,$D230-($D230-$I$211)*MIN(K$3-$O$2,$Q$2)/$Q$2))</f>
        <v>32333.1928042745</v>
      </c>
      <c r="L230" s="15" t="n">
        <f aca="false">K230*(1+IF(L$3&lt;=$O$2,$D230,$D230-($D230-$I$211)*MIN(L$3-$O$2,$Q$2)/$Q$2))</f>
        <v>34504.4658083168</v>
      </c>
      <c r="M230" s="15" t="n">
        <f aca="false">L230*(1+IF(M$3&lt;=$O$2,$D230,$D230-($D230-$I$211)*MIN(M$3-$O$2,$Q$2)/$Q$2))</f>
        <v>36064.9831557929</v>
      </c>
      <c r="N230" s="15" t="n">
        <f aca="false">M230*(1+IF(N$3&lt;=$O$2,$D230,$D230-($D230-$I$211)*MIN(N$3-$O$2,$Q$2)/$Q$2))</f>
        <v>36905.2972633229</v>
      </c>
      <c r="O230" s="15" t="n">
        <f aca="false">SUMPRODUCT(E230:N230,1/(1+$F$211)^$E$3:$N$3)*$E$2</f>
        <v>54091.4632170097</v>
      </c>
      <c r="P230" s="15" t="n">
        <f aca="false">N230*$E$2*(1+$I$211)/($F$211-$I$211)/(1+$F$211)^$N$3</f>
        <v>78376.1042782473</v>
      </c>
      <c r="Q230" s="15" t="n">
        <f aca="false">O230+P230</f>
        <v>132467.567495257</v>
      </c>
      <c r="R230" s="15" t="n">
        <f aca="false">Q230-$G$2+$I$2</f>
        <v>120847.567495257</v>
      </c>
      <c r="S230" s="40" t="n">
        <f aca="false">R230/$K$2</f>
        <v>409.972410676992</v>
      </c>
      <c r="T230" s="41" t="n">
        <f aca="false">S230-$M$2</f>
        <v>-0.00825221271838927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0.132932662963867</v>
      </c>
      <c r="C231" s="25" t="n">
        <f aca="false">IF(T230&gt;0,D230,C230)</f>
        <v>0.132938385009766</v>
      </c>
      <c r="D231" s="39" t="n">
        <f aca="false">(B231+C231)/2</f>
        <v>0.132935523986816</v>
      </c>
      <c r="E231" s="15" t="n">
        <f aca="false">$C$2*(1+IF(E$3&lt;=$O$2,$D231,$D231-($D231-$I$211)*MIN(E$3-$O$2,$Q$2)/$Q$2))</f>
        <v>16220.2378969193</v>
      </c>
      <c r="F231" s="15" t="n">
        <f aca="false">E231*(1+IF(F$3&lt;=$O$2,$D231,$D231-($D231-$I$211)*MIN(F$3-$O$2,$Q$2)/$Q$2))</f>
        <v>18376.483720937</v>
      </c>
      <c r="G231" s="15" t="n">
        <f aca="false">F231*(1+IF(G$3&lt;=$O$2,$D231,$D231-($D231-$I$211)*MIN(G$3-$O$2,$Q$2)/$Q$2))</f>
        <v>20819.371213415</v>
      </c>
      <c r="H231" s="15" t="n">
        <f aca="false">G231*(1+IF(H$3&lt;=$O$2,$D231,$D231-($D231-$I$211)*MIN(H$3-$O$2,$Q$2)/$Q$2))</f>
        <v>23587.0052347464</v>
      </c>
      <c r="I231" s="15" t="n">
        <f aca="false">H231*(1+IF(I$3&lt;=$O$2,$D231,$D231-($D231-$I$211)*MIN(I$3-$O$2,$Q$2)/$Q$2))</f>
        <v>26722.5561349071</v>
      </c>
      <c r="J231" s="15" t="n">
        <f aca="false">I231*(1+IF(J$3&lt;=$O$2,$D231,$D231-($D231-$I$211)*MIN(J$3-$O$2,$Q$2)/$Q$2))</f>
        <v>29688.9848481446</v>
      </c>
      <c r="K231" s="15" t="n">
        <f aca="false">J231*(1+IF(K$3&lt;=$O$2,$D231,$D231-($D231-$I$211)*MIN(K$3-$O$2,$Q$2)/$Q$2))</f>
        <v>32333.7186413842</v>
      </c>
      <c r="L231" s="15" t="n">
        <f aca="false">K231*(1+IF(L$3&lt;=$O$2,$D231,$D231-($D231-$I$211)*MIN(L$3-$O$2,$Q$2)/$Q$2))</f>
        <v>34505.0639600046</v>
      </c>
      <c r="M231" s="15" t="n">
        <f aca="false">L231*(1+IF(M$3&lt;=$O$2,$D231,$D231-($D231-$I$211)*MIN(M$3-$O$2,$Q$2)/$Q$2))</f>
        <v>36065.6281037635</v>
      </c>
      <c r="N231" s="15" t="n">
        <f aca="false">M231*(1+IF(N$3&lt;=$O$2,$D231,$D231-($D231-$I$211)*MIN(N$3-$O$2,$Q$2)/$Q$2))</f>
        <v>36905.9572385812</v>
      </c>
      <c r="O231" s="15" t="n">
        <f aca="false">SUMPRODUCT(E231:N231,1/(1+$F$211)^$E$3:$N$3)*$E$2</f>
        <v>54092.1334241167</v>
      </c>
      <c r="P231" s="15" t="n">
        <f aca="false">N231*$E$2*(1+$I$211)/($F$211-$I$211)/(1+$F$211)^$N$3</f>
        <v>78377.505873506</v>
      </c>
      <c r="Q231" s="15" t="n">
        <f aca="false">O231+P231</f>
        <v>132469.639297623</v>
      </c>
      <c r="R231" s="15" t="n">
        <f aca="false">Q231-$G$2+$I$2</f>
        <v>120849.639297623</v>
      </c>
      <c r="S231" s="40" t="n">
        <f aca="false">R231/$K$2</f>
        <v>409.979439215737</v>
      </c>
      <c r="T231" s="41" t="n">
        <f aca="false">S231-$M$2</f>
        <v>-0.00122367397386824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0.132935523986816</v>
      </c>
      <c r="C232" s="25" t="n">
        <f aca="false">IF(T231&gt;0,D231,C231)</f>
        <v>0.132938385009766</v>
      </c>
      <c r="D232" s="39" t="n">
        <f aca="false">(B232+C232)/2</f>
        <v>0.132936954498291</v>
      </c>
      <c r="E232" s="15" t="n">
        <f aca="false">$C$2*(1+IF(E$3&lt;=$O$2,$D232,$D232-($D232-$I$211)*MIN(E$3-$O$2,$Q$2)/$Q$2))</f>
        <v>16220.258377552</v>
      </c>
      <c r="F232" s="15" t="n">
        <f aca="false">E232*(1+IF(F$3&lt;=$O$2,$D232,$D232-($D232-$I$211)*MIN(F$3-$O$2,$Q$2)/$Q$2))</f>
        <v>18376.5301274392</v>
      </c>
      <c r="G232" s="15" t="n">
        <f aca="false">F232*(1+IF(G$3&lt;=$O$2,$D232,$D232-($D232-$I$211)*MIN(G$3-$O$2,$Q$2)/$Q$2))</f>
        <v>20819.450076827</v>
      </c>
      <c r="H232" s="15" t="n">
        <f aca="false">G232*(1+IF(H$3&lt;=$O$2,$D232,$D232-($D232-$I$211)*MIN(H$3-$O$2,$Q$2)/$Q$2))</f>
        <v>23587.1243643696</v>
      </c>
      <c r="I232" s="15" t="n">
        <f aca="false">H232*(1+IF(I$3&lt;=$O$2,$D232,$D232-($D232-$I$211)*MIN(I$3-$O$2,$Q$2)/$Q$2))</f>
        <v>26722.7248427414</v>
      </c>
      <c r="J232" s="15" t="n">
        <f aca="false">I232*(1+IF(J$3&lt;=$O$2,$D232,$D232-($D232-$I$211)*MIN(J$3-$O$2,$Q$2)/$Q$2))</f>
        <v>29689.2028657005</v>
      </c>
      <c r="K232" s="15" t="n">
        <f aca="false">J232*(1+IF(K$3&lt;=$O$2,$D232,$D232-($D232-$I$211)*MIN(K$3-$O$2,$Q$2)/$Q$2))</f>
        <v>32333.9815626777</v>
      </c>
      <c r="L232" s="15" t="n">
        <f aca="false">K232*(1+IF(L$3&lt;=$O$2,$D232,$D232-($D232-$I$211)*MIN(L$3-$O$2,$Q$2)/$Q$2))</f>
        <v>34505.3630392224</v>
      </c>
      <c r="M232" s="15" t="n">
        <f aca="false">L232*(1+IF(M$3&lt;=$O$2,$D232,$D232-($D232-$I$211)*MIN(M$3-$O$2,$Q$2)/$Q$2))</f>
        <v>36065.9505815319</v>
      </c>
      <c r="N232" s="15" t="n">
        <f aca="false">M232*(1+IF(N$3&lt;=$O$2,$D232,$D232-($D232-$I$211)*MIN(N$3-$O$2,$Q$2)/$Q$2))</f>
        <v>36906.2872300816</v>
      </c>
      <c r="O232" s="15" t="n">
        <f aca="false">SUMPRODUCT(E232:N232,1/(1+$F$211)^$E$3:$N$3)*$E$2</f>
        <v>54092.4685307369</v>
      </c>
      <c r="P232" s="15" t="n">
        <f aca="false">N232*$E$2*(1+$I$211)/($F$211-$I$211)/(1+$F$211)^$N$3</f>
        <v>78378.2066793569</v>
      </c>
      <c r="Q232" s="15" t="n">
        <f aca="false">O232+P232</f>
        <v>132470.675210094</v>
      </c>
      <c r="R232" s="15" t="n">
        <f aca="false">Q232-$G$2+$I$2</f>
        <v>120850.675210094</v>
      </c>
      <c r="S232" s="40" t="n">
        <f aca="false">R232/$K$2</f>
        <v>409.982953523404</v>
      </c>
      <c r="T232" s="41" t="n">
        <f aca="false">S232-$M$2</f>
        <v>0.00229063369323512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0.132935523986816</v>
      </c>
      <c r="C233" s="25" t="n">
        <f aca="false">IF(T232&gt;0,D232,C232)</f>
        <v>0.132936954498291</v>
      </c>
      <c r="D233" s="39" t="n">
        <f aca="false">(B233+C233)/2</f>
        <v>0.132936239242554</v>
      </c>
      <c r="E233" s="15" t="n">
        <f aca="false">$C$2*(1+IF(E$3&lt;=$O$2,$D233,$D233-($D233-$I$211)*MIN(E$3-$O$2,$Q$2)/$Q$2))</f>
        <v>16220.2481372356</v>
      </c>
      <c r="F233" s="15" t="n">
        <f aca="false">E233*(1+IF(F$3&lt;=$O$2,$D233,$D233-($D233-$I$211)*MIN(F$3-$O$2,$Q$2)/$Q$2))</f>
        <v>18376.5069241808</v>
      </c>
      <c r="G233" s="15" t="n">
        <f aca="false">F233*(1+IF(G$3&lt;=$O$2,$D233,$D233-($D233-$I$211)*MIN(G$3-$O$2,$Q$2)/$Q$2))</f>
        <v>20819.4106450961</v>
      </c>
      <c r="H233" s="15" t="n">
        <f aca="false">G233*(1+IF(H$3&lt;=$O$2,$D233,$D233-($D233-$I$211)*MIN(H$3-$O$2,$Q$2)/$Q$2))</f>
        <v>23587.0647995016</v>
      </c>
      <c r="I233" s="15" t="n">
        <f aca="false">H233*(1+IF(I$3&lt;=$O$2,$D233,$D233-($D233-$I$211)*MIN(I$3-$O$2,$Q$2)/$Q$2))</f>
        <v>26722.6404887178</v>
      </c>
      <c r="J233" s="15" t="n">
        <f aca="false">I233*(1+IF(J$3&lt;=$O$2,$D233,$D233-($D233-$I$211)*MIN(J$3-$O$2,$Q$2)/$Q$2))</f>
        <v>29689.0938567559</v>
      </c>
      <c r="K233" s="15" t="n">
        <f aca="false">J233*(1+IF(K$3&lt;=$O$2,$D233,$D233-($D233-$I$211)*MIN(K$3-$O$2,$Q$2)/$Q$2))</f>
        <v>32333.8501018027</v>
      </c>
      <c r="L233" s="15" t="n">
        <f aca="false">K233*(1+IF(L$3&lt;=$O$2,$D233,$D233-($D233-$I$211)*MIN(L$3-$O$2,$Q$2)/$Q$2))</f>
        <v>34505.2134993323</v>
      </c>
      <c r="M233" s="15" t="n">
        <f aca="false">L233*(1+IF(M$3&lt;=$O$2,$D233,$D233-($D233-$I$211)*MIN(M$3-$O$2,$Q$2)/$Q$2))</f>
        <v>36065.7893423324</v>
      </c>
      <c r="N233" s="15" t="n">
        <f aca="false">M233*(1+IF(N$3&lt;=$O$2,$D233,$D233-($D233-$I$211)*MIN(N$3-$O$2,$Q$2)/$Q$2))</f>
        <v>36906.1222340088</v>
      </c>
      <c r="O233" s="15" t="n">
        <f aca="false">SUMPRODUCT(E233:N233,1/(1+$F$211)^$E$3:$N$3)*$E$2</f>
        <v>54092.3009771712</v>
      </c>
      <c r="P233" s="15" t="n">
        <f aca="false">N233*$E$2*(1+$I$211)/($F$211-$I$211)/(1+$F$211)^$N$3</f>
        <v>78377.8562757463</v>
      </c>
      <c r="Q233" s="15" t="n">
        <f aca="false">O233+P233</f>
        <v>132470.157252917</v>
      </c>
      <c r="R233" s="15" t="n">
        <f aca="false">Q233-$G$2+$I$2</f>
        <v>120850.157252917</v>
      </c>
      <c r="S233" s="40" t="n">
        <f aca="false">R233/$K$2</f>
        <v>409.981196366379</v>
      </c>
      <c r="T233" s="41" t="n">
        <f aca="false">S233-$M$2</f>
        <v>0.000533476668124422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0.132935523986816</v>
      </c>
      <c r="C234" s="25" t="n">
        <f aca="false">IF(T233&gt;0,D233,C233)</f>
        <v>0.132936239242554</v>
      </c>
      <c r="D234" s="39" t="n">
        <f aca="false">(B234+C234)/2</f>
        <v>0.132935881614685</v>
      </c>
      <c r="E234" s="15" t="n">
        <f aca="false">$C$2*(1+IF(E$3&lt;=$O$2,$D234,$D234-($D234-$I$211)*MIN(E$3-$O$2,$Q$2)/$Q$2))</f>
        <v>16220.2430170774</v>
      </c>
      <c r="F234" s="15" t="n">
        <f aca="false">E234*(1+IF(F$3&lt;=$O$2,$D234,$D234-($D234-$I$211)*MIN(F$3-$O$2,$Q$2)/$Q$2))</f>
        <v>18376.4953225571</v>
      </c>
      <c r="G234" s="15" t="n">
        <f aca="false">F234*(1+IF(G$3&lt;=$O$2,$D234,$D234-($D234-$I$211)*MIN(G$3-$O$2,$Q$2)/$Q$2))</f>
        <v>20819.3909292493</v>
      </c>
      <c r="H234" s="15" t="n">
        <f aca="false">G234*(1+IF(H$3&lt;=$O$2,$D234,$D234-($D234-$I$211)*MIN(H$3-$O$2,$Q$2)/$Q$2))</f>
        <v>23587.0350171099</v>
      </c>
      <c r="I234" s="15" t="n">
        <f aca="false">H234*(1+IF(I$3&lt;=$O$2,$D234,$D234-($D234-$I$211)*MIN(I$3-$O$2,$Q$2)/$Q$2))</f>
        <v>26722.5983117858</v>
      </c>
      <c r="J234" s="15" t="n">
        <f aca="false">I234*(1+IF(J$3&lt;=$O$2,$D234,$D234-($D234-$I$211)*MIN(J$3-$O$2,$Q$2)/$Q$2))</f>
        <v>29689.0393524086</v>
      </c>
      <c r="K234" s="15" t="n">
        <f aca="false">J234*(1+IF(K$3&lt;=$O$2,$D234,$D234-($D234-$I$211)*MIN(K$3-$O$2,$Q$2)/$Q$2))</f>
        <v>32333.7843715364</v>
      </c>
      <c r="L234" s="15" t="n">
        <f aca="false">K234*(1+IF(L$3&lt;=$O$2,$D234,$D234-($D234-$I$211)*MIN(L$3-$O$2,$Q$2)/$Q$2))</f>
        <v>34505.1387295982</v>
      </c>
      <c r="M234" s="15" t="n">
        <f aca="false">L234*(1+IF(M$3&lt;=$O$2,$D234,$D234-($D234-$I$211)*MIN(M$3-$O$2,$Q$2)/$Q$2))</f>
        <v>36065.7087229691</v>
      </c>
      <c r="N234" s="15" t="n">
        <f aca="false">M234*(1+IF(N$3&lt;=$O$2,$D234,$D234-($D234-$I$211)*MIN(N$3-$O$2,$Q$2)/$Q$2))</f>
        <v>36906.0397362143</v>
      </c>
      <c r="O234" s="15" t="n">
        <f aca="false">SUMPRODUCT(E234:N234,1/(1+$F$211)^$E$3:$N$3)*$E$2</f>
        <v>54092.2172005801</v>
      </c>
      <c r="P234" s="15" t="n">
        <f aca="false">N234*$E$2*(1+$I$211)/($F$211-$I$211)/(1+$F$211)^$N$3</f>
        <v>78377.6810744548</v>
      </c>
      <c r="Q234" s="15" t="n">
        <f aca="false">O234+P234</f>
        <v>132469.898275035</v>
      </c>
      <c r="R234" s="15" t="n">
        <f aca="false">Q234-$G$2+$I$2</f>
        <v>120849.898275035</v>
      </c>
      <c r="S234" s="40" t="n">
        <f aca="false">R234/$K$2</f>
        <v>409.98031779026</v>
      </c>
      <c r="T234" s="41" t="n">
        <f aca="false">S234-$M$2</f>
        <v>-0.000345099450669295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0.132935881614685</v>
      </c>
      <c r="C235" s="25" t="n">
        <f aca="false">IF(T234&gt;0,D234,C234)</f>
        <v>0.132936239242554</v>
      </c>
      <c r="D235" s="39" t="n">
        <f aca="false">(B235+C235)/2</f>
        <v>0.132936060428619</v>
      </c>
      <c r="E235" s="15" t="n">
        <f aca="false">$C$2*(1+IF(E$3&lt;=$O$2,$D235,$D235-($D235-$I$211)*MIN(E$3-$O$2,$Q$2)/$Q$2))</f>
        <v>16220.2455771565</v>
      </c>
      <c r="F235" s="15" t="n">
        <f aca="false">E235*(1+IF(F$3&lt;=$O$2,$D235,$D235-($D235-$I$211)*MIN(F$3-$O$2,$Q$2)/$Q$2))</f>
        <v>18376.5011233685</v>
      </c>
      <c r="G235" s="15" t="n">
        <f aca="false">F235*(1+IF(G$3&lt;=$O$2,$D235,$D235-($D235-$I$211)*MIN(G$3-$O$2,$Q$2)/$Q$2))</f>
        <v>20819.4007871712</v>
      </c>
      <c r="H235" s="15" t="n">
        <f aca="false">G235*(1+IF(H$3&lt;=$O$2,$D235,$D235-($D235-$I$211)*MIN(H$3-$O$2,$Q$2)/$Q$2))</f>
        <v>23587.0499083022</v>
      </c>
      <c r="I235" s="15" t="n">
        <f aca="false">H235*(1+IF(I$3&lt;=$O$2,$D235,$D235-($D235-$I$211)*MIN(I$3-$O$2,$Q$2)/$Q$2))</f>
        <v>26722.6194002451</v>
      </c>
      <c r="J235" s="15" t="n">
        <f aca="false">I235*(1+IF(J$3&lt;=$O$2,$D235,$D235-($D235-$I$211)*MIN(J$3-$O$2,$Q$2)/$Q$2))</f>
        <v>29689.0666045719</v>
      </c>
      <c r="K235" s="15" t="n">
        <f aca="false">J235*(1+IF(K$3&lt;=$O$2,$D235,$D235-($D235-$I$211)*MIN(K$3-$O$2,$Q$2)/$Q$2))</f>
        <v>32333.8172366553</v>
      </c>
      <c r="L235" s="15" t="n">
        <f aca="false">K235*(1+IF(L$3&lt;=$O$2,$D235,$D235-($D235-$I$211)*MIN(L$3-$O$2,$Q$2)/$Q$2))</f>
        <v>34505.1761144477</v>
      </c>
      <c r="M235" s="15" t="n">
        <f aca="false">L235*(1+IF(M$3&lt;=$O$2,$D235,$D235-($D235-$I$211)*MIN(M$3-$O$2,$Q$2)/$Q$2))</f>
        <v>36065.7490326311</v>
      </c>
      <c r="N235" s="15" t="n">
        <f aca="false">M235*(1+IF(N$3&lt;=$O$2,$D235,$D235-($D235-$I$211)*MIN(N$3-$O$2,$Q$2)/$Q$2))</f>
        <v>36906.0809850914</v>
      </c>
      <c r="O235" s="15" t="n">
        <f aca="false">SUMPRODUCT(E235:N235,1/(1+$F$211)^$E$3:$N$3)*$E$2</f>
        <v>54092.2590888597</v>
      </c>
      <c r="P235" s="15" t="n">
        <f aca="false">N235*$E$2*(1+$I$211)/($F$211-$I$211)/(1+$F$211)^$N$3</f>
        <v>78377.7686750577</v>
      </c>
      <c r="Q235" s="15" t="n">
        <f aca="false">O235+P235</f>
        <v>132470.027763917</v>
      </c>
      <c r="R235" s="15" t="n">
        <f aca="false">Q235-$G$2+$I$2</f>
        <v>120850.027763917</v>
      </c>
      <c r="S235" s="40" t="n">
        <f aca="false">R235/$K$2</f>
        <v>409.98075707812</v>
      </c>
      <c r="T235" s="41" t="n">
        <f aca="false">S235-$M$2</f>
        <v>9.41884091503198E-005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0.132935881614685</v>
      </c>
      <c r="C236" s="25" t="n">
        <f aca="false">IF(T235&gt;0,D235,C235)</f>
        <v>0.132936060428619</v>
      </c>
      <c r="D236" s="39" t="n">
        <f aca="false">(B236+C236)/2</f>
        <v>0.132935971021652</v>
      </c>
      <c r="E236" s="15" t="n">
        <f aca="false">$C$2*(1+IF(E$3&lt;=$O$2,$D236,$D236-($D236-$I$211)*MIN(E$3-$O$2,$Q$2)/$Q$2))</f>
        <v>16220.244297117</v>
      </c>
      <c r="F236" s="15" t="n">
        <f aca="false">E236*(1+IF(F$3&lt;=$O$2,$D236,$D236-($D236-$I$211)*MIN(F$3-$O$2,$Q$2)/$Q$2))</f>
        <v>18376.4982229627</v>
      </c>
      <c r="G236" s="15" t="n">
        <f aca="false">F236*(1+IF(G$3&lt;=$O$2,$D236,$D236-($D236-$I$211)*MIN(G$3-$O$2,$Q$2)/$Q$2))</f>
        <v>20819.3958582099</v>
      </c>
      <c r="H236" s="15" t="n">
        <f aca="false">G236*(1+IF(H$3&lt;=$O$2,$D236,$D236-($D236-$I$211)*MIN(H$3-$O$2,$Q$2)/$Q$2))</f>
        <v>23587.0424627052</v>
      </c>
      <c r="I236" s="15" t="n">
        <f aca="false">H236*(1+IF(I$3&lt;=$O$2,$D236,$D236-($D236-$I$211)*MIN(I$3-$O$2,$Q$2)/$Q$2))</f>
        <v>26722.6088560138</v>
      </c>
      <c r="J236" s="15" t="n">
        <f aca="false">I236*(1+IF(J$3&lt;=$O$2,$D236,$D236-($D236-$I$211)*MIN(J$3-$O$2,$Q$2)/$Q$2))</f>
        <v>29689.0529784876</v>
      </c>
      <c r="K236" s="15" t="n">
        <f aca="false">J236*(1+IF(K$3&lt;=$O$2,$D236,$D236-($D236-$I$211)*MIN(K$3-$O$2,$Q$2)/$Q$2))</f>
        <v>32333.8008040923</v>
      </c>
      <c r="L236" s="15" t="n">
        <f aca="false">K236*(1+IF(L$3&lt;=$O$2,$D236,$D236-($D236-$I$211)*MIN(L$3-$O$2,$Q$2)/$Q$2))</f>
        <v>34505.1574220186</v>
      </c>
      <c r="M236" s="15" t="n">
        <f aca="false">L236*(1+IF(M$3&lt;=$O$2,$D236,$D236-($D236-$I$211)*MIN(M$3-$O$2,$Q$2)/$Q$2))</f>
        <v>36065.7288777952</v>
      </c>
      <c r="N236" s="15" t="n">
        <f aca="false">M236*(1+IF(N$3&lt;=$O$2,$D236,$D236-($D236-$I$211)*MIN(N$3-$O$2,$Q$2)/$Q$2))</f>
        <v>36906.0603606478</v>
      </c>
      <c r="O236" s="15" t="n">
        <f aca="false">SUMPRODUCT(E236:N236,1/(1+$F$211)^$E$3:$N$3)*$E$2</f>
        <v>54092.2381447159</v>
      </c>
      <c r="P236" s="15" t="n">
        <f aca="false">N236*$E$2*(1+$I$211)/($F$211-$I$211)/(1+$F$211)^$N$3</f>
        <v>78377.7248747456</v>
      </c>
      <c r="Q236" s="15" t="n">
        <f aca="false">O236+P236</f>
        <v>132469.963019462</v>
      </c>
      <c r="R236" s="15" t="n">
        <f aca="false">Q236-$G$2+$I$2</f>
        <v>120849.963019461</v>
      </c>
      <c r="S236" s="40" t="n">
        <f aca="false">R236/$K$2</f>
        <v>409.98053743414</v>
      </c>
      <c r="T236" s="41" t="n">
        <f aca="false">S236-$M$2</f>
        <v>-0.000125455570412214</v>
      </c>
    </row>
    <row r="238" customFormat="false" ht="15" hidden="false" customHeight="false" outlineLevel="0" collapsed="false">
      <c r="A238" s="36" t="s">
        <v>182</v>
      </c>
      <c r="E238" s="5" t="s">
        <v>11</v>
      </c>
      <c r="F238" s="12" t="n">
        <f aca="false">Sensitivity!$B$11</f>
        <v>0.0898919064489092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6" t="s">
        <v>155</v>
      </c>
      <c r="B239" s="28" t="s">
        <v>156</v>
      </c>
      <c r="C239" s="28" t="s">
        <v>157</v>
      </c>
      <c r="D239" s="28" t="s">
        <v>158</v>
      </c>
      <c r="E239" s="28" t="s">
        <v>159</v>
      </c>
      <c r="F239" s="28" t="s">
        <v>160</v>
      </c>
      <c r="G239" s="28" t="s">
        <v>161</v>
      </c>
      <c r="H239" s="28" t="s">
        <v>162</v>
      </c>
      <c r="I239" s="28" t="s">
        <v>163</v>
      </c>
      <c r="J239" s="28" t="s">
        <v>164</v>
      </c>
      <c r="K239" s="28" t="s">
        <v>165</v>
      </c>
      <c r="L239" s="28" t="s">
        <v>166</v>
      </c>
      <c r="M239" s="28" t="s">
        <v>167</v>
      </c>
      <c r="N239" s="28" t="s">
        <v>168</v>
      </c>
      <c r="O239" s="28" t="s">
        <v>169</v>
      </c>
      <c r="P239" s="28" t="s">
        <v>170</v>
      </c>
      <c r="Q239" s="28" t="s">
        <v>171</v>
      </c>
      <c r="R239" s="28" t="s">
        <v>172</v>
      </c>
      <c r="S239" s="28" t="s">
        <v>173</v>
      </c>
      <c r="T239" s="28" t="s">
        <v>174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39" t="n">
        <f aca="false">(B240+C240)/2</f>
        <v>0.25</v>
      </c>
      <c r="E240" s="15" t="n">
        <f aca="false">$C$2*(1+IF(E$3&lt;=$O$2,$D240,$D240-($D240-$I$238)*MIN(E$3-$O$2,$Q$2)/$Q$2))</f>
        <v>17896.25</v>
      </c>
      <c r="F240" s="15" t="n">
        <f aca="false">E240*(1+IF(F$3&lt;=$O$2,$D240,$D240-($D240-$I$238)*MIN(F$3-$O$2,$Q$2)/$Q$2))</f>
        <v>22370.3125</v>
      </c>
      <c r="G240" s="15" t="n">
        <f aca="false">F240*(1+IF(G$3&lt;=$O$2,$D240,$D240-($D240-$I$238)*MIN(G$3-$O$2,$Q$2)/$Q$2))</f>
        <v>27962.890625</v>
      </c>
      <c r="H240" s="15" t="n">
        <f aca="false">G240*(1+IF(H$3&lt;=$O$2,$D240,$D240-($D240-$I$238)*MIN(H$3-$O$2,$Q$2)/$Q$2))</f>
        <v>34953.61328125</v>
      </c>
      <c r="I240" s="15" t="n">
        <f aca="false">H240*(1+IF(I$3&lt;=$O$2,$D240,$D240-($D240-$I$238)*MIN(I$3-$O$2,$Q$2)/$Q$2))</f>
        <v>43692.0166015625</v>
      </c>
      <c r="J240" s="15" t="n">
        <f aca="false">I240*(1+IF(J$3&lt;=$O$2,$D240,$D240-($D240-$I$238)*MIN(J$3-$O$2,$Q$2)/$Q$2))</f>
        <v>52677.7167358398</v>
      </c>
      <c r="K240" s="15" t="n">
        <f aca="false">J240*(1+IF(K$3&lt;=$O$2,$D240,$D240-($D240-$I$238)*MIN(K$3-$O$2,$Q$2)/$Q$2))</f>
        <v>61175.6859996655</v>
      </c>
      <c r="L240" s="15" t="n">
        <f aca="false">K240*(1+IF(L$3&lt;=$O$2,$D240,$D240-($D240-$I$238)*MIN(L$3-$O$2,$Q$2)/$Q$2))</f>
        <v>68332.0177479064</v>
      </c>
      <c r="M240" s="15" t="n">
        <f aca="false">L240*(1+IF(M$3&lt;=$O$2,$D240,$D240-($D240-$I$238)*MIN(M$3-$O$2,$Q$2)/$Q$2))</f>
        <v>73295.6555171143</v>
      </c>
      <c r="N240" s="15" t="n">
        <f aca="false">M240*(1+IF(N$3&lt;=$O$2,$D240,$D240-($D240-$I$238)*MIN(N$3-$O$2,$Q$2)/$Q$2))</f>
        <v>75369.9225682487</v>
      </c>
      <c r="O240" s="15" t="n">
        <f aca="false">SUMPRODUCT(E240:N240,1/(1+$F$238)^$E$3:$N$3)*$E$2</f>
        <v>89856.8773117056</v>
      </c>
      <c r="P240" s="15" t="n">
        <f aca="false">N240*$E$2*(1+$I$238)/($F$238-$I$238)/(1+$F$238)^$N$3</f>
        <v>173903.24953886</v>
      </c>
      <c r="Q240" s="15" t="n">
        <f aca="false">O240+P240</f>
        <v>263760.126850565</v>
      </c>
      <c r="R240" s="15" t="n">
        <f aca="false">Q240-$G$2+$I$2</f>
        <v>252140.126850565</v>
      </c>
      <c r="S240" s="40" t="n">
        <f aca="false">R240/$K$2</f>
        <v>855.379200225821</v>
      </c>
      <c r="T240" s="41" t="n">
        <f aca="false">S240-$M$2</f>
        <v>445.398537336111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39" t="n">
        <f aca="false">(B241+C241)/2</f>
        <v>-0.125</v>
      </c>
      <c r="E241" s="15" t="n">
        <f aca="false">$C$2*(1+IF(E$3&lt;=$O$2,$D241,$D241-($D241-$I$238)*MIN(E$3-$O$2,$Q$2)/$Q$2))</f>
        <v>12527.375</v>
      </c>
      <c r="F241" s="15" t="n">
        <f aca="false">E241*(1+IF(F$3&lt;=$O$2,$D241,$D241-($D241-$I$238)*MIN(F$3-$O$2,$Q$2)/$Q$2))</f>
        <v>10961.453125</v>
      </c>
      <c r="G241" s="15" t="n">
        <f aca="false">F241*(1+IF(G$3&lt;=$O$2,$D241,$D241-($D241-$I$238)*MIN(G$3-$O$2,$Q$2)/$Q$2))</f>
        <v>9591.271484375</v>
      </c>
      <c r="H241" s="15" t="n">
        <f aca="false">G241*(1+IF(H$3&lt;=$O$2,$D241,$D241-($D241-$I$238)*MIN(H$3-$O$2,$Q$2)/$Q$2))</f>
        <v>8392.36254882813</v>
      </c>
      <c r="I241" s="15" t="n">
        <f aca="false">H241*(1+IF(I$3&lt;=$O$2,$D241,$D241-($D241-$I$238)*MIN(I$3-$O$2,$Q$2)/$Q$2))</f>
        <v>7343.31723022461</v>
      </c>
      <c r="J241" s="15" t="n">
        <f aca="false">I241*(1+IF(J$3&lt;=$O$2,$D241,$D241-($D241-$I$238)*MIN(J$3-$O$2,$Q$2)/$Q$2))</f>
        <v>6650.54868272522</v>
      </c>
      <c r="K241" s="15" t="n">
        <f aca="false">J241*(1+IF(K$3&lt;=$O$2,$D241,$D241-($D241-$I$238)*MIN(K$3-$O$2,$Q$2)/$Q$2))</f>
        <v>6227.04174260928</v>
      </c>
      <c r="L241" s="15" t="n">
        <f aca="false">K241*(1+IF(L$3&lt;=$O$2,$D241,$D241-($D241-$I$238)*MIN(L$3-$O$2,$Q$2)/$Q$2))</f>
        <v>6021.42482426832</v>
      </c>
      <c r="M241" s="15" t="n">
        <f aca="false">L241*(1+IF(M$3&lt;=$O$2,$D241,$D241-($D241-$I$238)*MIN(M$3-$O$2,$Q$2)/$Q$2))</f>
        <v>6007.21426168305</v>
      </c>
      <c r="N241" s="15" t="n">
        <f aca="false">M241*(1+IF(N$3&lt;=$O$2,$D241,$D241-($D241-$I$238)*MIN(N$3-$O$2,$Q$2)/$Q$2))</f>
        <v>6177.21842528868</v>
      </c>
      <c r="O241" s="15" t="n">
        <f aca="false">SUMPRODUCT(E241:N241,1/(1+$F$238)^$E$3:$N$3)*$E$2</f>
        <v>17857.2318425741</v>
      </c>
      <c r="P241" s="15" t="n">
        <f aca="false">N241*$E$2*(1+$I$238)/($F$238-$I$238)/(1+$F$238)^$N$3</f>
        <v>14252.8786107784</v>
      </c>
      <c r="Q241" s="15" t="n">
        <f aca="false">O241+P241</f>
        <v>32110.1104533525</v>
      </c>
      <c r="R241" s="15" t="n">
        <f aca="false">Q241-$G$2+$I$2</f>
        <v>20490.1104533525</v>
      </c>
      <c r="S241" s="40" t="n">
        <f aca="false">R241/$K$2</f>
        <v>69.5121974873715</v>
      </c>
      <c r="T241" s="41" t="n">
        <f aca="false">S241-$M$2</f>
        <v>-340.468465402339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39" t="n">
        <f aca="false">(B242+C242)/2</f>
        <v>0.0625</v>
      </c>
      <c r="E242" s="15" t="n">
        <f aca="false">$C$2*(1+IF(E$3&lt;=$O$2,$D242,$D242-($D242-$I$238)*MIN(E$3-$O$2,$Q$2)/$Q$2))</f>
        <v>15211.8125</v>
      </c>
      <c r="F242" s="15" t="n">
        <f aca="false">E242*(1+IF(F$3&lt;=$O$2,$D242,$D242-($D242-$I$238)*MIN(F$3-$O$2,$Q$2)/$Q$2))</f>
        <v>16162.55078125</v>
      </c>
      <c r="G242" s="15" t="n">
        <f aca="false">F242*(1+IF(G$3&lt;=$O$2,$D242,$D242-($D242-$I$238)*MIN(G$3-$O$2,$Q$2)/$Q$2))</f>
        <v>17172.7102050781</v>
      </c>
      <c r="H242" s="15" t="n">
        <f aca="false">G242*(1+IF(H$3&lt;=$O$2,$D242,$D242-($D242-$I$238)*MIN(H$3-$O$2,$Q$2)/$Q$2))</f>
        <v>18246.0045928955</v>
      </c>
      <c r="I242" s="15" t="n">
        <f aca="false">H242*(1+IF(I$3&lt;=$O$2,$D242,$D242-($D242-$I$238)*MIN(I$3-$O$2,$Q$2)/$Q$2))</f>
        <v>19386.3798799515</v>
      </c>
      <c r="J242" s="15" t="n">
        <f aca="false">I242*(1+IF(J$3&lt;=$O$2,$D242,$D242-($D242-$I$238)*MIN(J$3-$O$2,$Q$2)/$Q$2))</f>
        <v>20465.4257840696</v>
      </c>
      <c r="K242" s="15" t="n">
        <f aca="false">J242*(1+IF(K$3&lt;=$O$2,$D242,$D242-($D242-$I$238)*MIN(K$3-$O$2,$Q$2)/$Q$2))</f>
        <v>21464.5478708479</v>
      </c>
      <c r="L242" s="15" t="n">
        <f aca="false">K242*(1+IF(L$3&lt;=$O$2,$D242,$D242-($D242-$I$238)*MIN(L$3-$O$2,$Q$2)/$Q$2))</f>
        <v>22365.629590466</v>
      </c>
      <c r="M242" s="15" t="n">
        <f aca="false">L242*(1+IF(M$3&lt;=$O$2,$D242,$D242-($D242-$I$238)*MIN(M$3-$O$2,$Q$2)/$Q$2))</f>
        <v>23151.557814275</v>
      </c>
      <c r="N242" s="15" t="n">
        <f aca="false">M242*(1+IF(N$3&lt;=$O$2,$D242,$D242-($D242-$I$238)*MIN(N$3-$O$2,$Q$2)/$Q$2))</f>
        <v>23806.746900419</v>
      </c>
      <c r="O242" s="15" t="n">
        <f aca="false">SUMPRODUCT(E242:N242,1/(1+$F$238)^$E$3:$N$3)*$E$2</f>
        <v>39971.7410083999</v>
      </c>
      <c r="P242" s="15" t="n">
        <f aca="false">N242*$E$2*(1+$I$238)/($F$238-$I$238)/(1+$F$238)^$N$3</f>
        <v>54930.0106177387</v>
      </c>
      <c r="Q242" s="15" t="n">
        <f aca="false">O242+P242</f>
        <v>94901.7516261386</v>
      </c>
      <c r="R242" s="15" t="n">
        <f aca="false">Q242-$G$2+$I$2</f>
        <v>83281.7516261386</v>
      </c>
      <c r="S242" s="40" t="n">
        <f aca="false">R242/$K$2</f>
        <v>282.531301103025</v>
      </c>
      <c r="T242" s="41" t="n">
        <f aca="false">S242-$M$2</f>
        <v>-127.449361786686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0.0625</v>
      </c>
      <c r="C243" s="25" t="n">
        <f aca="false">IF(T242&gt;0,D242,C242)</f>
        <v>0.25</v>
      </c>
      <c r="D243" s="39" t="n">
        <f aca="false">(B243+C243)/2</f>
        <v>0.15625</v>
      </c>
      <c r="E243" s="15" t="n">
        <f aca="false">$C$2*(1+IF(E$3&lt;=$O$2,$D243,$D243-($D243-$I$238)*MIN(E$3-$O$2,$Q$2)/$Q$2))</f>
        <v>16554.03125</v>
      </c>
      <c r="F243" s="15" t="n">
        <f aca="false">E243*(1+IF(F$3&lt;=$O$2,$D243,$D243-($D243-$I$238)*MIN(F$3-$O$2,$Q$2)/$Q$2))</f>
        <v>19140.5986328125</v>
      </c>
      <c r="G243" s="15" t="n">
        <f aca="false">F243*(1+IF(G$3&lt;=$O$2,$D243,$D243-($D243-$I$238)*MIN(G$3-$O$2,$Q$2)/$Q$2))</f>
        <v>22131.3171691895</v>
      </c>
      <c r="H243" s="15" t="n">
        <f aca="false">G243*(1+IF(H$3&lt;=$O$2,$D243,$D243-($D243-$I$238)*MIN(H$3-$O$2,$Q$2)/$Q$2))</f>
        <v>25589.3354768753</v>
      </c>
      <c r="I243" s="15" t="n">
        <f aca="false">H243*(1+IF(I$3&lt;=$O$2,$D243,$D243-($D243-$I$238)*MIN(I$3-$O$2,$Q$2)/$Q$2))</f>
        <v>29587.6691451371</v>
      </c>
      <c r="J243" s="15" t="n">
        <f aca="false">I243*(1+IF(J$3&lt;=$O$2,$D243,$D243-($D243-$I$238)*MIN(J$3-$O$2,$Q$2)/$Q$2))</f>
        <v>33453.5939956407</v>
      </c>
      <c r="K243" s="15" t="n">
        <f aca="false">J243*(1+IF(K$3&lt;=$O$2,$D243,$D243-($D243-$I$238)*MIN(K$3-$O$2,$Q$2)/$Q$2))</f>
        <v>36968.5631167627</v>
      </c>
      <c r="L243" s="15" t="n">
        <f aca="false">K243*(1+IF(L$3&lt;=$O$2,$D243,$D243-($D243-$I$238)*MIN(L$3-$O$2,$Q$2)/$Q$2))</f>
        <v>39906.824513283</v>
      </c>
      <c r="M243" s="15" t="n">
        <f aca="false">L243*(1+IF(M$3&lt;=$O$2,$D243,$D243-($D243-$I$238)*MIN(M$3-$O$2,$Q$2)/$Q$2))</f>
        <v>42057.4032863038</v>
      </c>
      <c r="N243" s="15" t="n">
        <f aca="false">M243*(1+IF(N$3&lt;=$O$2,$D243,$D243-($D243-$I$238)*MIN(N$3-$O$2,$Q$2)/$Q$2))</f>
        <v>43247.6277993062</v>
      </c>
      <c r="O243" s="15" t="n">
        <f aca="false">SUMPRODUCT(E243:N243,1/(1+$F$238)^$E$3:$N$3)*$E$2</f>
        <v>60035.5772767147</v>
      </c>
      <c r="P243" s="15" t="n">
        <f aca="false">N243*$E$2*(1+$I$238)/($F$238-$I$238)/(1+$F$238)^$N$3</f>
        <v>99786.52959788</v>
      </c>
      <c r="Q243" s="15" t="n">
        <f aca="false">O243+P243</f>
        <v>159822.106874595</v>
      </c>
      <c r="R243" s="15" t="n">
        <f aca="false">Q243-$G$2+$I$2</f>
        <v>148202.106874595</v>
      </c>
      <c r="S243" s="40" t="n">
        <f aca="false">R243/$K$2</f>
        <v>502.772015044254</v>
      </c>
      <c r="T243" s="41" t="n">
        <f aca="false">S243-$M$2</f>
        <v>92.7913521545431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0.0625</v>
      </c>
      <c r="C244" s="25" t="n">
        <f aca="false">IF(T243&gt;0,D243,C243)</f>
        <v>0.15625</v>
      </c>
      <c r="D244" s="39" t="n">
        <f aca="false">(B244+C244)/2</f>
        <v>0.109375</v>
      </c>
      <c r="E244" s="15" t="n">
        <f aca="false">$C$2*(1+IF(E$3&lt;=$O$2,$D244,$D244-($D244-$I$238)*MIN(E$3-$O$2,$Q$2)/$Q$2))</f>
        <v>15882.921875</v>
      </c>
      <c r="F244" s="15" t="n">
        <f aca="false">E244*(1+IF(F$3&lt;=$O$2,$D244,$D244-($D244-$I$238)*MIN(F$3-$O$2,$Q$2)/$Q$2))</f>
        <v>17620.1164550781</v>
      </c>
      <c r="G244" s="15" t="n">
        <f aca="false">F244*(1+IF(G$3&lt;=$O$2,$D244,$D244-($D244-$I$238)*MIN(G$3-$O$2,$Q$2)/$Q$2))</f>
        <v>19547.3166923523</v>
      </c>
      <c r="H244" s="15" t="n">
        <f aca="false">G244*(1+IF(H$3&lt;=$O$2,$D244,$D244-($D244-$I$238)*MIN(H$3-$O$2,$Q$2)/$Q$2))</f>
        <v>21685.3044555783</v>
      </c>
      <c r="I244" s="15" t="n">
        <f aca="false">H244*(1+IF(I$3&lt;=$O$2,$D244,$D244-($D244-$I$238)*MIN(I$3-$O$2,$Q$2)/$Q$2))</f>
        <v>24057.1346304072</v>
      </c>
      <c r="J244" s="15" t="n">
        <f aca="false">I244*(1+IF(J$3&lt;=$O$2,$D244,$D244-($D244-$I$238)*MIN(J$3-$O$2,$Q$2)/$Q$2))</f>
        <v>26298.2972925759</v>
      </c>
      <c r="K244" s="15" t="n">
        <f aca="false">J244*(1+IF(K$3&lt;=$O$2,$D244,$D244-($D244-$I$238)*MIN(K$3-$O$2,$Q$2)/$Q$2))</f>
        <v>28321.8197777532</v>
      </c>
      <c r="L244" s="15" t="n">
        <f aca="false">K244*(1+IF(L$3&lt;=$O$2,$D244,$D244-($D244-$I$238)*MIN(L$3-$O$2,$Q$2)/$Q$2))</f>
        <v>30041.8038928561</v>
      </c>
      <c r="M244" s="15" t="n">
        <f aca="false">L244*(1+IF(M$3&lt;=$O$2,$D244,$D244-($D244-$I$238)*MIN(M$3-$O$2,$Q$2)/$Q$2))</f>
        <v>31379.1147931466</v>
      </c>
      <c r="N244" s="15" t="n">
        <f aca="false">M244*(1+IF(N$3&lt;=$O$2,$D244,$D244-($D244-$I$238)*MIN(N$3-$O$2,$Q$2)/$Q$2))</f>
        <v>32267.1437417927</v>
      </c>
      <c r="O244" s="15" t="n">
        <f aca="false">SUMPRODUCT(E244:N244,1/(1+$F$238)^$E$3:$N$3)*$E$2</f>
        <v>48995.9744270873</v>
      </c>
      <c r="P244" s="15" t="n">
        <f aca="false">N244*$E$2*(1+$I$238)/($F$238-$I$238)/(1+$F$238)^$N$3</f>
        <v>74450.9342563548</v>
      </c>
      <c r="Q244" s="15" t="n">
        <f aca="false">O244+P244</f>
        <v>123446.908683442</v>
      </c>
      <c r="R244" s="15" t="n">
        <f aca="false">Q244-$G$2+$I$2</f>
        <v>111826.908683442</v>
      </c>
      <c r="S244" s="40" t="n">
        <f aca="false">R244/$K$2</f>
        <v>379.370046759989</v>
      </c>
      <c r="T244" s="41" t="n">
        <f aca="false">S244-$M$2</f>
        <v>-30.6106161297214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0.109375</v>
      </c>
      <c r="C245" s="25" t="n">
        <f aca="false">IF(T244&gt;0,D244,C244)</f>
        <v>0.15625</v>
      </c>
      <c r="D245" s="39" t="n">
        <f aca="false">(B245+C245)/2</f>
        <v>0.1328125</v>
      </c>
      <c r="E245" s="15" t="n">
        <f aca="false">$C$2*(1+IF(E$3&lt;=$O$2,$D245,$D245-($D245-$I$238)*MIN(E$3-$O$2,$Q$2)/$Q$2))</f>
        <v>16218.4765625</v>
      </c>
      <c r="F245" s="15" t="n">
        <f aca="false">E245*(1+IF(F$3&lt;=$O$2,$D245,$D245-($D245-$I$238)*MIN(F$3-$O$2,$Q$2)/$Q$2))</f>
        <v>18372.492980957</v>
      </c>
      <c r="G245" s="15" t="n">
        <f aca="false">F245*(1+IF(G$3&lt;=$O$2,$D245,$D245-($D245-$I$238)*MIN(G$3-$O$2,$Q$2)/$Q$2))</f>
        <v>20812.5897049904</v>
      </c>
      <c r="H245" s="15" t="n">
        <f aca="false">G245*(1+IF(H$3&lt;=$O$2,$D245,$D245-($D245-$I$238)*MIN(H$3-$O$2,$Q$2)/$Q$2))</f>
        <v>23576.7617751844</v>
      </c>
      <c r="I245" s="15" t="n">
        <f aca="false">H245*(1+IF(I$3&lt;=$O$2,$D245,$D245-($D245-$I$238)*MIN(I$3-$O$2,$Q$2)/$Q$2))</f>
        <v>26708.0504484511</v>
      </c>
      <c r="J245" s="15" t="n">
        <f aca="false">I245*(1+IF(J$3&lt;=$O$2,$D245,$D245-($D245-$I$238)*MIN(J$3-$O$2,$Q$2)/$Q$2))</f>
        <v>29696.9483741373</v>
      </c>
      <c r="K245" s="15" t="n">
        <f aca="false">J245*(1+IF(K$3&lt;=$O$2,$D245,$D245-($D245-$I$238)*MIN(K$3-$O$2,$Q$2)/$Q$2))</f>
        <v>32399.5934032966</v>
      </c>
      <c r="L245" s="15" t="n">
        <f aca="false">K245*(1+IF(L$3&lt;=$O$2,$D245,$D245-($D245-$I$238)*MIN(L$3-$O$2,$Q$2)/$Q$2))</f>
        <v>34670.9668988347</v>
      </c>
      <c r="M245" s="15" t="n">
        <f aca="false">L245*(1+IF(M$3&lt;=$O$2,$D245,$D245-($D245-$I$238)*MIN(M$3-$O$2,$Q$2)/$Q$2))</f>
        <v>36376.8651476746</v>
      </c>
      <c r="N245" s="15" t="n">
        <f aca="false">M245*(1+IF(N$3&lt;=$O$2,$D245,$D245-($D245-$I$238)*MIN(N$3-$O$2,$Q$2)/$Q$2))</f>
        <v>37406.3304313538</v>
      </c>
      <c r="O245" s="15" t="n">
        <f aca="false">SUMPRODUCT(E245:N245,1/(1+$F$238)^$E$3:$N$3)*$E$2</f>
        <v>54239.9465988119</v>
      </c>
      <c r="P245" s="15" t="n">
        <f aca="false">N245*$E$2*(1+$I$238)/($F$238-$I$238)/(1+$F$238)^$N$3</f>
        <v>86308.7315692318</v>
      </c>
      <c r="Q245" s="15" t="n">
        <f aca="false">O245+P245</f>
        <v>140548.678168044</v>
      </c>
      <c r="R245" s="15" t="n">
        <f aca="false">Q245-$G$2+$I$2</f>
        <v>128928.678168044</v>
      </c>
      <c r="S245" s="40" t="n">
        <f aca="false">R245/$K$2</f>
        <v>437.387380561264</v>
      </c>
      <c r="T245" s="41" t="n">
        <f aca="false">S245-$M$2</f>
        <v>27.4067176715529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0.109375</v>
      </c>
      <c r="C246" s="25" t="n">
        <f aca="false">IF(T245&gt;0,D245,C245)</f>
        <v>0.1328125</v>
      </c>
      <c r="D246" s="39" t="n">
        <f aca="false">(B246+C246)/2</f>
        <v>0.12109375</v>
      </c>
      <c r="E246" s="15" t="n">
        <f aca="false">$C$2*(1+IF(E$3&lt;=$O$2,$D246,$D246-($D246-$I$238)*MIN(E$3-$O$2,$Q$2)/$Q$2))</f>
        <v>16050.69921875</v>
      </c>
      <c r="F246" s="15" t="n">
        <f aca="false">E246*(1+IF(F$3&lt;=$O$2,$D246,$D246-($D246-$I$238)*MIN(F$3-$O$2,$Q$2)/$Q$2))</f>
        <v>17994.3385772705</v>
      </c>
      <c r="G246" s="15" t="n">
        <f aca="false">F246*(1+IF(G$3&lt;=$O$2,$D246,$D246-($D246-$I$238)*MIN(G$3-$O$2,$Q$2)/$Q$2))</f>
        <v>20173.3405143619</v>
      </c>
      <c r="H246" s="15" t="n">
        <f aca="false">G246*(1+IF(H$3&lt;=$O$2,$D246,$D246-($D246-$I$238)*MIN(H$3-$O$2,$Q$2)/$Q$2))</f>
        <v>22616.2059672729</v>
      </c>
      <c r="I246" s="15" t="n">
        <f aca="false">H246*(1+IF(I$3&lt;=$O$2,$D246,$D246-($D246-$I$238)*MIN(I$3-$O$2,$Q$2)/$Q$2))</f>
        <v>25354.8871586223</v>
      </c>
      <c r="J246" s="15" t="n">
        <f aca="false">I246*(1+IF(J$3&lt;=$O$2,$D246,$D246-($D246-$I$238)*MIN(J$3-$O$2,$Q$2)/$Q$2))</f>
        <v>27954.6505134317</v>
      </c>
      <c r="K246" s="15" t="n">
        <f aca="false">J246*(1+IF(K$3&lt;=$O$2,$D246,$D246-($D246-$I$238)*MIN(K$3-$O$2,$Q$2)/$Q$2))</f>
        <v>30302.1772336102</v>
      </c>
      <c r="L246" s="15" t="n">
        <f aca="false">K246*(1+IF(L$3&lt;=$O$2,$D246,$D246-($D246-$I$238)*MIN(L$3-$O$2,$Q$2)/$Q$2))</f>
        <v>32284.4699127899</v>
      </c>
      <c r="M246" s="15" t="n">
        <f aca="false">L246*(1+IF(M$3&lt;=$O$2,$D246,$D246-($D246-$I$238)*MIN(M$3-$O$2,$Q$2)/$Q$2))</f>
        <v>33797.2798173159</v>
      </c>
      <c r="N246" s="15" t="n">
        <f aca="false">M246*(1+IF(N$3&lt;=$O$2,$D246,$D246-($D246-$I$238)*MIN(N$3-$O$2,$Q$2)/$Q$2))</f>
        <v>34753.7428361459</v>
      </c>
      <c r="O246" s="15" t="n">
        <f aca="false">SUMPRODUCT(E246:N246,1/(1+$F$238)^$E$3:$N$3)*$E$2</f>
        <v>51552.1421889594</v>
      </c>
      <c r="P246" s="15" t="n">
        <f aca="false">N246*$E$2*(1+$I$238)/($F$238-$I$238)/(1+$F$238)^$N$3</f>
        <v>80188.3378262846</v>
      </c>
      <c r="Q246" s="15" t="n">
        <f aca="false">O246+P246</f>
        <v>131740.480015244</v>
      </c>
      <c r="R246" s="15" t="n">
        <f aca="false">Q246-$G$2+$I$2</f>
        <v>120120.480015244</v>
      </c>
      <c r="S246" s="40" t="n">
        <f aca="false">R246/$K$2</f>
        <v>407.505784222425</v>
      </c>
      <c r="T246" s="41" t="n">
        <f aca="false">S246-$M$2</f>
        <v>-2.47487866728602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0.12109375</v>
      </c>
      <c r="C247" s="25" t="n">
        <f aca="false">IF(T246&gt;0,D246,C246)</f>
        <v>0.1328125</v>
      </c>
      <c r="D247" s="39" t="n">
        <f aca="false">(B247+C247)/2</f>
        <v>0.126953125</v>
      </c>
      <c r="E247" s="15" t="n">
        <f aca="false">$C$2*(1+IF(E$3&lt;=$O$2,$D247,$D247-($D247-$I$238)*MIN(E$3-$O$2,$Q$2)/$Q$2))</f>
        <v>16134.587890625</v>
      </c>
      <c r="F247" s="15" t="n">
        <f aca="false">E247*(1+IF(F$3&lt;=$O$2,$D247,$D247-($D247-$I$238)*MIN(F$3-$O$2,$Q$2)/$Q$2))</f>
        <v>18182.924243927</v>
      </c>
      <c r="G247" s="15" t="n">
        <f aca="false">F247*(1+IF(G$3&lt;=$O$2,$D247,$D247-($D247-$I$238)*MIN(G$3-$O$2,$Q$2)/$Q$2))</f>
        <v>20491.3032983318</v>
      </c>
      <c r="H247" s="15" t="n">
        <f aca="false">G247*(1+IF(H$3&lt;=$O$2,$D247,$D247-($D247-$I$238)*MIN(H$3-$O$2,$Q$2)/$Q$2))</f>
        <v>23092.7382873778</v>
      </c>
      <c r="I247" s="15" t="n">
        <f aca="false">H247*(1+IF(I$3&lt;=$O$2,$D247,$D247-($D247-$I$238)*MIN(I$3-$O$2,$Q$2)/$Q$2))</f>
        <v>26024.4335777676</v>
      </c>
      <c r="J247" s="15" t="n">
        <f aca="false">I247*(1+IF(J$3&lt;=$O$2,$D247,$D247-($D247-$I$238)*MIN(J$3-$O$2,$Q$2)/$Q$2))</f>
        <v>28814.8384070598</v>
      </c>
      <c r="K247" s="15" t="n">
        <f aca="false">J247*(1+IF(K$3&lt;=$O$2,$D247,$D247-($D247-$I$238)*MIN(K$3-$O$2,$Q$2)/$Q$2))</f>
        <v>31335.9026471154</v>
      </c>
      <c r="L247" s="15" t="n">
        <f aca="false">K247*(1+IF(L$3&lt;=$O$2,$D247,$D247-($D247-$I$238)*MIN(L$3-$O$2,$Q$2)/$Q$2))</f>
        <v>33459.2625803623</v>
      </c>
      <c r="M247" s="15" t="n">
        <f aca="false">L247*(1+IF(M$3&lt;=$O$2,$D247,$D247-($D247-$I$238)*MIN(M$3-$O$2,$Q$2)/$Q$2))</f>
        <v>35066.3318741362</v>
      </c>
      <c r="N247" s="15" t="n">
        <f aca="false">M247*(1+IF(N$3&lt;=$O$2,$D247,$D247-($D247-$I$238)*MIN(N$3-$O$2,$Q$2)/$Q$2))</f>
        <v>36058.7090661743</v>
      </c>
      <c r="O247" s="15" t="n">
        <f aca="false">SUMPRODUCT(E247:N247,1/(1+$F$238)^$E$3:$N$3)*$E$2</f>
        <v>52879.2071876973</v>
      </c>
      <c r="P247" s="15" t="n">
        <f aca="false">N247*$E$2*(1+$I$238)/($F$238-$I$238)/(1+$F$238)^$N$3</f>
        <v>83199.324970857</v>
      </c>
      <c r="Q247" s="15" t="n">
        <f aca="false">O247+P247</f>
        <v>136078.532158554</v>
      </c>
      <c r="R247" s="15" t="n">
        <f aca="false">Q247-$G$2+$I$2</f>
        <v>124458.532158554</v>
      </c>
      <c r="S247" s="40" t="n">
        <f aca="false">R247/$K$2</f>
        <v>422.22251979019</v>
      </c>
      <c r="T247" s="41" t="n">
        <f aca="false">S247-$M$2</f>
        <v>12.2418569004792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0.12109375</v>
      </c>
      <c r="C248" s="25" t="n">
        <f aca="false">IF(T247&gt;0,D247,C247)</f>
        <v>0.126953125</v>
      </c>
      <c r="D248" s="39" t="n">
        <f aca="false">(B248+C248)/2</f>
        <v>0.1240234375</v>
      </c>
      <c r="E248" s="15" t="n">
        <f aca="false">$C$2*(1+IF(E$3&lt;=$O$2,$D248,$D248-($D248-$I$238)*MIN(E$3-$O$2,$Q$2)/$Q$2))</f>
        <v>16092.6435546875</v>
      </c>
      <c r="F248" s="15" t="n">
        <f aca="false">E248*(1+IF(F$3&lt;=$O$2,$D248,$D248-($D248-$I$238)*MIN(F$3-$O$2,$Q$2)/$Q$2))</f>
        <v>18088.5085268021</v>
      </c>
      <c r="G248" s="15" t="n">
        <f aca="false">F248*(1+IF(G$3&lt;=$O$2,$D248,$D248-($D248-$I$238)*MIN(G$3-$O$2,$Q$2)/$Q$2))</f>
        <v>20331.9075335441</v>
      </c>
      <c r="H248" s="15" t="n">
        <f aca="false">G248*(1+IF(H$3&lt;=$O$2,$D248,$D248-($D248-$I$238)*MIN(H$3-$O$2,$Q$2)/$Q$2))</f>
        <v>22853.5405967864</v>
      </c>
      <c r="I248" s="15" t="n">
        <f aca="false">H248*(1+IF(I$3&lt;=$O$2,$D248,$D248-($D248-$I$238)*MIN(I$3-$O$2,$Q$2)/$Q$2))</f>
        <v>25687.9152606457</v>
      </c>
      <c r="J248" s="15" t="n">
        <f aca="false">I248*(1+IF(J$3&lt;=$O$2,$D248,$D248-($D248-$I$238)*MIN(J$3-$O$2,$Q$2)/$Q$2))</f>
        <v>28382.0317032881</v>
      </c>
      <c r="K248" s="15" t="n">
        <f aca="false">J248*(1+IF(K$3&lt;=$O$2,$D248,$D248-($D248-$I$238)*MIN(K$3-$O$2,$Q$2)/$Q$2))</f>
        <v>30815.3385832148</v>
      </c>
      <c r="L248" s="15" t="n">
        <f aca="false">K248*(1+IF(L$3&lt;=$O$2,$D248,$D248-($D248-$I$238)*MIN(L$3-$O$2,$Q$2)/$Q$2))</f>
        <v>32867.3127198844</v>
      </c>
      <c r="M248" s="15" t="n">
        <f aca="false">L248*(1+IF(M$3&lt;=$O$2,$D248,$D248-($D248-$I$238)*MIN(M$3-$O$2,$Q$2)/$Q$2))</f>
        <v>34426.6921008441</v>
      </c>
      <c r="N248" s="15" t="n">
        <f aca="false">M248*(1+IF(N$3&lt;=$O$2,$D248,$D248-($D248-$I$238)*MIN(N$3-$O$2,$Q$2)/$Q$2))</f>
        <v>35400.967487298</v>
      </c>
      <c r="O248" s="15" t="n">
        <f aca="false">SUMPRODUCT(E248:N248,1/(1+$F$238)^$E$3:$N$3)*$E$2</f>
        <v>52211.5138132337</v>
      </c>
      <c r="P248" s="15" t="n">
        <f aca="false">N248*$E$2*(1+$I$238)/($F$238-$I$238)/(1+$F$238)^$N$3</f>
        <v>81681.6983895131</v>
      </c>
      <c r="Q248" s="15" t="n">
        <f aca="false">O248+P248</f>
        <v>133893.212202747</v>
      </c>
      <c r="R248" s="15" t="n">
        <f aca="false">Q248-$G$2+$I$2</f>
        <v>122273.212202747</v>
      </c>
      <c r="S248" s="40" t="n">
        <f aca="false">R248/$K$2</f>
        <v>414.808875403694</v>
      </c>
      <c r="T248" s="41" t="n">
        <f aca="false">S248-$M$2</f>
        <v>4.82821251398337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0.12109375</v>
      </c>
      <c r="C249" s="25" t="n">
        <f aca="false">IF(T248&gt;0,D248,C248)</f>
        <v>0.1240234375</v>
      </c>
      <c r="D249" s="39" t="n">
        <f aca="false">(B249+C249)/2</f>
        <v>0.12255859375</v>
      </c>
      <c r="E249" s="15" t="n">
        <f aca="false">$C$2*(1+IF(E$3&lt;=$O$2,$D249,$D249-($D249-$I$238)*MIN(E$3-$O$2,$Q$2)/$Q$2))</f>
        <v>16071.6713867188</v>
      </c>
      <c r="F249" s="15" t="n">
        <f aca="false">E249*(1+IF(F$3&lt;=$O$2,$D249,$D249-($D249-$I$238)*MIN(F$3-$O$2,$Q$2)/$Q$2))</f>
        <v>18041.3928310871</v>
      </c>
      <c r="G249" s="15" t="n">
        <f aca="false">F249*(1+IF(G$3&lt;=$O$2,$D249,$D249-($D249-$I$238)*MIN(G$3-$O$2,$Q$2)/$Q$2))</f>
        <v>20252.5205657565</v>
      </c>
      <c r="H249" s="15" t="n">
        <f aca="false">G249*(1+IF(H$3&lt;=$O$2,$D249,$D249-($D249-$I$238)*MIN(H$3-$O$2,$Q$2)/$Q$2))</f>
        <v>22734.6410061885</v>
      </c>
      <c r="I249" s="15" t="n">
        <f aca="false">H249*(1+IF(I$3&lt;=$O$2,$D249,$D249-($D249-$I$238)*MIN(I$3-$O$2,$Q$2)/$Q$2))</f>
        <v>25520.9666373181</v>
      </c>
      <c r="J249" s="15" t="n">
        <f aca="false">I249*(1+IF(J$3&lt;=$O$2,$D249,$D249-($D249-$I$238)*MIN(J$3-$O$2,$Q$2)/$Q$2))</f>
        <v>28167.6663342536</v>
      </c>
      <c r="K249" s="15" t="n">
        <f aca="false">J249*(1+IF(K$3&lt;=$O$2,$D249,$D249-($D249-$I$238)*MIN(K$3-$O$2,$Q$2)/$Q$2))</f>
        <v>30557.8380622446</v>
      </c>
      <c r="L249" s="15" t="n">
        <f aca="false">K249*(1+IF(L$3&lt;=$O$2,$D249,$D249-($D249-$I$238)*MIN(L$3-$O$2,$Q$2)/$Q$2))</f>
        <v>32574.7604169211</v>
      </c>
      <c r="M249" s="15" t="n">
        <f aca="false">L249*(1+IF(M$3&lt;=$O$2,$D249,$D249-($D249-$I$238)*MIN(M$3-$O$2,$Q$2)/$Q$2))</f>
        <v>34110.7163584483</v>
      </c>
      <c r="N249" s="15" t="n">
        <f aca="false">M249*(1+IF(N$3&lt;=$O$2,$D249,$D249-($D249-$I$238)*MIN(N$3-$O$2,$Q$2)/$Q$2))</f>
        <v>35076.0496313924</v>
      </c>
      <c r="O249" s="15" t="n">
        <f aca="false">SUMPRODUCT(E249:N249,1/(1+$F$238)^$E$3:$N$3)*$E$2</f>
        <v>51880.7937828898</v>
      </c>
      <c r="P249" s="15" t="n">
        <f aca="false">N249*$E$2*(1+$I$238)/($F$238-$I$238)/(1+$F$238)^$N$3</f>
        <v>80932.0058191909</v>
      </c>
      <c r="Q249" s="15" t="n">
        <f aca="false">O249+P249</f>
        <v>132812.799602081</v>
      </c>
      <c r="R249" s="15" t="n">
        <f aca="false">Q249-$G$2+$I$2</f>
        <v>121192.799602081</v>
      </c>
      <c r="S249" s="40" t="n">
        <f aca="false">R249/$K$2</f>
        <v>411.143602137533</v>
      </c>
      <c r="T249" s="41" t="n">
        <f aca="false">S249-$M$2</f>
        <v>1.16293924782286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0.12109375</v>
      </c>
      <c r="C250" s="25" t="n">
        <f aca="false">IF(T249&gt;0,D249,C249)</f>
        <v>0.12255859375</v>
      </c>
      <c r="D250" s="39" t="n">
        <f aca="false">(B250+C250)/2</f>
        <v>0.121826171875</v>
      </c>
      <c r="E250" s="15" t="n">
        <f aca="false">$C$2*(1+IF(E$3&lt;=$O$2,$D250,$D250-($D250-$I$238)*MIN(E$3-$O$2,$Q$2)/$Q$2))</f>
        <v>16061.1853027344</v>
      </c>
      <c r="F250" s="15" t="n">
        <f aca="false">E250*(1+IF(F$3&lt;=$O$2,$D250,$D250-($D250-$I$238)*MIN(F$3-$O$2,$Q$2)/$Q$2))</f>
        <v>18017.8580239415</v>
      </c>
      <c r="G250" s="15" t="n">
        <f aca="false">F250*(1+IF(G$3&lt;=$O$2,$D250,$D250-($D250-$I$238)*MIN(G$3-$O$2,$Q$2)/$Q$2))</f>
        <v>20212.9046923856</v>
      </c>
      <c r="H250" s="15" t="n">
        <f aca="false">G250*(1+IF(H$3&lt;=$O$2,$D250,$D250-($D250-$I$238)*MIN(H$3-$O$2,$Q$2)/$Q$2))</f>
        <v>22675.3654935331</v>
      </c>
      <c r="I250" s="15" t="n">
        <f aca="false">H250*(1+IF(I$3&lt;=$O$2,$D250,$D250-($D250-$I$238)*MIN(I$3-$O$2,$Q$2)/$Q$2))</f>
        <v>25437.8184674767</v>
      </c>
      <c r="J250" s="15" t="n">
        <f aca="false">I250*(1+IF(J$3&lt;=$O$2,$D250,$D250-($D250-$I$238)*MIN(J$3-$O$2,$Q$2)/$Q$2))</f>
        <v>28060.9901557977</v>
      </c>
      <c r="K250" s="15" t="n">
        <f aca="false">J250*(1+IF(K$3&lt;=$O$2,$D250,$D250-($D250-$I$238)*MIN(K$3-$O$2,$Q$2)/$Q$2))</f>
        <v>30429.7783701831</v>
      </c>
      <c r="L250" s="15" t="n">
        <f aca="false">K250*(1+IF(L$3&lt;=$O$2,$D250,$D250-($D250-$I$238)*MIN(L$3-$O$2,$Q$2)/$Q$2))</f>
        <v>32429.3333708465</v>
      </c>
      <c r="M250" s="15" t="n">
        <f aca="false">L250*(1+IF(M$3&lt;=$O$2,$D250,$D250-($D250-$I$238)*MIN(M$3-$O$2,$Q$2)/$Q$2))</f>
        <v>33953.6817865681</v>
      </c>
      <c r="N250" s="15" t="n">
        <f aca="false">M250*(1+IF(N$3&lt;=$O$2,$D250,$D250-($D250-$I$238)*MIN(N$3-$O$2,$Q$2)/$Q$2))</f>
        <v>34914.570981128</v>
      </c>
      <c r="O250" s="15" t="n">
        <f aca="false">SUMPRODUCT(E250:N250,1/(1+$F$238)^$E$3:$N$3)*$E$2</f>
        <v>51716.2101781679</v>
      </c>
      <c r="P250" s="15" t="n">
        <f aca="false">N250*$E$2*(1+$I$238)/($F$238-$I$238)/(1+$F$238)^$N$3</f>
        <v>80559.4213577075</v>
      </c>
      <c r="Q250" s="15" t="n">
        <f aca="false">O250+P250</f>
        <v>132275.631535875</v>
      </c>
      <c r="R250" s="15" t="n">
        <f aca="false">Q250-$G$2+$I$2</f>
        <v>120655.631535875</v>
      </c>
      <c r="S250" s="40" t="n">
        <f aca="false">R250/$K$2</f>
        <v>409.321272639262</v>
      </c>
      <c r="T250" s="41" t="n">
        <f aca="false">S250-$M$2</f>
        <v>-0.659390250448155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0.121826171875</v>
      </c>
      <c r="C251" s="25" t="n">
        <f aca="false">IF(T250&gt;0,D250,C250)</f>
        <v>0.12255859375</v>
      </c>
      <c r="D251" s="39" t="n">
        <f aca="false">(B251+C251)/2</f>
        <v>0.1221923828125</v>
      </c>
      <c r="E251" s="15" t="n">
        <f aca="false">$C$2*(1+IF(E$3&lt;=$O$2,$D251,$D251-($D251-$I$238)*MIN(E$3-$O$2,$Q$2)/$Q$2))</f>
        <v>16066.4283447266</v>
      </c>
      <c r="F251" s="15" t="n">
        <f aca="false">E251*(1+IF(F$3&lt;=$O$2,$D251,$D251-($D251-$I$238)*MIN(F$3-$O$2,$Q$2)/$Q$2))</f>
        <v>18029.623507455</v>
      </c>
      <c r="G251" s="15" t="n">
        <f aca="false">F251*(1+IF(G$3&lt;=$O$2,$D251,$D251-($D251-$I$238)*MIN(G$3-$O$2,$Q$2)/$Q$2))</f>
        <v>20232.7061650432</v>
      </c>
      <c r="H251" s="15" t="n">
        <f aca="false">G251*(1+IF(H$3&lt;=$O$2,$D251,$D251-($D251-$I$238)*MIN(H$3-$O$2,$Q$2)/$Q$2))</f>
        <v>22704.988742095</v>
      </c>
      <c r="I251" s="15" t="n">
        <f aca="false">H251*(1+IF(I$3&lt;=$O$2,$D251,$D251-($D251-$I$238)*MIN(I$3-$O$2,$Q$2)/$Q$2))</f>
        <v>25479.3654182225</v>
      </c>
      <c r="J251" s="15" t="n">
        <f aca="false">I251*(1+IF(J$3&lt;=$O$2,$D251,$D251-($D251-$I$238)*MIN(J$3-$O$2,$Q$2)/$Q$2))</f>
        <v>28114.2861248921</v>
      </c>
      <c r="K251" s="15" t="n">
        <f aca="false">J251*(1+IF(K$3&lt;=$O$2,$D251,$D251-($D251-$I$238)*MIN(K$3-$O$2,$Q$2)/$Q$2))</f>
        <v>30493.7508114297</v>
      </c>
      <c r="L251" s="15" t="n">
        <f aca="false">K251*(1+IF(L$3&lt;=$O$2,$D251,$D251-($D251-$I$238)*MIN(L$3-$O$2,$Q$2)/$Q$2))</f>
        <v>32501.9763292234</v>
      </c>
      <c r="M251" s="15" t="n">
        <f aca="false">L251*(1+IF(M$3&lt;=$O$2,$D251,$D251-($D251-$I$238)*MIN(M$3-$O$2,$Q$2)/$Q$2))</f>
        <v>34032.1198600737</v>
      </c>
      <c r="N251" s="15" t="n">
        <f aca="false">M251*(1+IF(N$3&lt;=$O$2,$D251,$D251-($D251-$I$238)*MIN(N$3-$O$2,$Q$2)/$Q$2))</f>
        <v>34995.2288521138</v>
      </c>
      <c r="O251" s="15" t="n">
        <f aca="false">SUMPRODUCT(E251:N251,1/(1+$F$238)^$E$3:$N$3)*$E$2</f>
        <v>51798.4374353862</v>
      </c>
      <c r="P251" s="15" t="n">
        <f aca="false">N251*$E$2*(1+$I$238)/($F$238-$I$238)/(1+$F$238)^$N$3</f>
        <v>80745.5256468901</v>
      </c>
      <c r="Q251" s="15" t="n">
        <f aca="false">O251+P251</f>
        <v>132543.963082276</v>
      </c>
      <c r="R251" s="15" t="n">
        <f aca="false">Q251-$G$2+$I$2</f>
        <v>120923.963082276</v>
      </c>
      <c r="S251" s="40" t="n">
        <f aca="false">R251/$K$2</f>
        <v>410.231580833451</v>
      </c>
      <c r="T251" s="41" t="n">
        <f aca="false">S251-$M$2</f>
        <v>0.250917943740149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0.121826171875</v>
      </c>
      <c r="C252" s="25" t="n">
        <f aca="false">IF(T251&gt;0,D251,C251)</f>
        <v>0.1221923828125</v>
      </c>
      <c r="D252" s="39" t="n">
        <f aca="false">(B252+C252)/2</f>
        <v>0.12200927734375</v>
      </c>
      <c r="E252" s="15" t="n">
        <f aca="false">$C$2*(1+IF(E$3&lt;=$O$2,$D252,$D252-($D252-$I$238)*MIN(E$3-$O$2,$Q$2)/$Q$2))</f>
        <v>16063.8068237305</v>
      </c>
      <c r="F252" s="15" t="n">
        <f aca="false">E252*(1+IF(F$3&lt;=$O$2,$D252,$D252-($D252-$I$238)*MIN(F$3-$O$2,$Q$2)/$Q$2))</f>
        <v>18023.7402856834</v>
      </c>
      <c r="G252" s="15" t="n">
        <f aca="false">F252*(1+IF(G$3&lt;=$O$2,$D252,$D252-($D252-$I$238)*MIN(G$3-$O$2,$Q$2)/$Q$2))</f>
        <v>20222.8038129711</v>
      </c>
      <c r="H252" s="15" t="n">
        <f aca="false">G252*(1+IF(H$3&lt;=$O$2,$D252,$D252-($D252-$I$238)*MIN(H$3-$O$2,$Q$2)/$Q$2))</f>
        <v>22690.1734920561</v>
      </c>
      <c r="I252" s="15" t="n">
        <f aca="false">H252*(1+IF(I$3&lt;=$O$2,$D252,$D252-($D252-$I$238)*MIN(I$3-$O$2,$Q$2)/$Q$2))</f>
        <v>25458.5851626262</v>
      </c>
      <c r="J252" s="15" t="n">
        <f aca="false">I252*(1+IF(J$3&lt;=$O$2,$D252,$D252-($D252-$I$238)*MIN(J$3-$O$2,$Q$2)/$Q$2))</f>
        <v>28087.6276169557</v>
      </c>
      <c r="K252" s="15" t="n">
        <f aca="false">J252*(1+IF(K$3&lt;=$O$2,$D252,$D252-($D252-$I$238)*MIN(K$3-$O$2,$Q$2)/$Q$2))</f>
        <v>30461.7502502868</v>
      </c>
      <c r="L252" s="15" t="n">
        <f aca="false">K252*(1+IF(L$3&lt;=$O$2,$D252,$D252-($D252-$I$238)*MIN(L$3-$O$2,$Q$2)/$Q$2))</f>
        <v>32465.6372234019</v>
      </c>
      <c r="M252" s="15" t="n">
        <f aca="false">L252*(1+IF(M$3&lt;=$O$2,$D252,$D252-($D252-$I$238)*MIN(M$3-$O$2,$Q$2)/$Q$2))</f>
        <v>33992.8810373661</v>
      </c>
      <c r="N252" s="15" t="n">
        <f aca="false">M252*(1+IF(N$3&lt;=$O$2,$D252,$D252-($D252-$I$238)*MIN(N$3-$O$2,$Q$2)/$Q$2))</f>
        <v>34954.8795707235</v>
      </c>
      <c r="O252" s="15" t="n">
        <f aca="false">SUMPRODUCT(E252:N252,1/(1+$F$238)^$E$3:$N$3)*$E$2</f>
        <v>51757.3076821509</v>
      </c>
      <c r="P252" s="15" t="n">
        <f aca="false">N252*$E$2*(1+$I$238)/($F$238-$I$238)/(1+$F$238)^$N$3</f>
        <v>80652.4265576087</v>
      </c>
      <c r="Q252" s="15" t="n">
        <f aca="false">O252+P252</f>
        <v>132409.73423976</v>
      </c>
      <c r="R252" s="15" t="n">
        <f aca="false">Q252-$G$2+$I$2</f>
        <v>120789.73423976</v>
      </c>
      <c r="S252" s="40" t="n">
        <f aca="false">R252/$K$2</f>
        <v>409.776212775247</v>
      </c>
      <c r="T252" s="41" t="n">
        <f aca="false">S252-$M$2</f>
        <v>-0.204450114463612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0.12200927734375</v>
      </c>
      <c r="C253" s="25" t="n">
        <f aca="false">IF(T252&gt;0,D252,C252)</f>
        <v>0.1221923828125</v>
      </c>
      <c r="D253" s="39" t="n">
        <f aca="false">(B253+C253)/2</f>
        <v>0.122100830078125</v>
      </c>
      <c r="E253" s="15" t="n">
        <f aca="false">$C$2*(1+IF(E$3&lt;=$O$2,$D253,$D253-($D253-$I$238)*MIN(E$3-$O$2,$Q$2)/$Q$2))</f>
        <v>16065.1175842285</v>
      </c>
      <c r="F253" s="15" t="n">
        <f aca="false">E253*(1+IF(F$3&lt;=$O$2,$D253,$D253-($D253-$I$238)*MIN(F$3-$O$2,$Q$2)/$Q$2))</f>
        <v>18026.6817765655</v>
      </c>
      <c r="G253" s="15" t="n">
        <f aca="false">F253*(1+IF(G$3&lt;=$O$2,$D253,$D253-($D253-$I$238)*MIN(G$3-$O$2,$Q$2)/$Q$2))</f>
        <v>20227.7545850384</v>
      </c>
      <c r="H253" s="15" t="n">
        <f aca="false">G253*(1+IF(H$3&lt;=$O$2,$D253,$D253-($D253-$I$238)*MIN(H$3-$O$2,$Q$2)/$Q$2))</f>
        <v>22697.5802104881</v>
      </c>
      <c r="I253" s="15" t="n">
        <f aca="false">H253*(1+IF(I$3&lt;=$O$2,$D253,$D253-($D253-$I$238)*MIN(I$3-$O$2,$Q$2)/$Q$2))</f>
        <v>25468.9735949536</v>
      </c>
      <c r="J253" s="15" t="n">
        <f aca="false">I253*(1+IF(J$3&lt;=$O$2,$D253,$D253-($D253-$I$238)*MIN(J$3-$O$2,$Q$2)/$Q$2))</f>
        <v>28100.9542392463</v>
      </c>
      <c r="K253" s="15" t="n">
        <f aca="false">J253*(1+IF(K$3&lt;=$O$2,$D253,$D253-($D253-$I$238)*MIN(K$3-$O$2,$Q$2)/$Q$2))</f>
        <v>30477.7469443942</v>
      </c>
      <c r="L253" s="15" t="n">
        <f aca="false">K253*(1+IF(L$3&lt;=$O$2,$D253,$D253-($D253-$I$238)*MIN(L$3-$O$2,$Q$2)/$Q$2))</f>
        <v>32483.8023678387</v>
      </c>
      <c r="M253" s="15" t="n">
        <f aca="false">L253*(1+IF(M$3&lt;=$O$2,$D253,$D253-($D253-$I$238)*MIN(M$3-$O$2,$Q$2)/$Q$2))</f>
        <v>34012.4955000879</v>
      </c>
      <c r="N253" s="15" t="n">
        <f aca="false">M253*(1+IF(N$3&lt;=$O$2,$D253,$D253-($D253-$I$238)*MIN(N$3-$O$2,$Q$2)/$Q$2))</f>
        <v>34975.0491227404</v>
      </c>
      <c r="O253" s="15" t="n">
        <f aca="false">SUMPRODUCT(E253:N253,1/(1+$F$238)^$E$3:$N$3)*$E$2</f>
        <v>51777.8685261551</v>
      </c>
      <c r="P253" s="15" t="n">
        <f aca="false">N253*$E$2*(1+$I$238)/($F$238-$I$238)/(1+$F$238)^$N$3</f>
        <v>80698.9643609917</v>
      </c>
      <c r="Q253" s="15" t="n">
        <f aca="false">O253+P253</f>
        <v>132476.832887147</v>
      </c>
      <c r="R253" s="15" t="n">
        <f aca="false">Q253-$G$2+$I$2</f>
        <v>120856.832887147</v>
      </c>
      <c r="S253" s="40" t="n">
        <f aca="false">R253/$K$2</f>
        <v>410.003843291878</v>
      </c>
      <c r="T253" s="41" t="n">
        <f aca="false">S253-$M$2</f>
        <v>0.0231804021673838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0.12200927734375</v>
      </c>
      <c r="C254" s="25" t="n">
        <f aca="false">IF(T253&gt;0,D253,C253)</f>
        <v>0.122100830078125</v>
      </c>
      <c r="D254" s="39" t="n">
        <f aca="false">(B254+C254)/2</f>
        <v>0.122055053710938</v>
      </c>
      <c r="E254" s="15" t="n">
        <f aca="false">$C$2*(1+IF(E$3&lt;=$O$2,$D254,$D254-($D254-$I$238)*MIN(E$3-$O$2,$Q$2)/$Q$2))</f>
        <v>16064.4622039795</v>
      </c>
      <c r="F254" s="15" t="n">
        <f aca="false">E254*(1+IF(F$3&lt;=$O$2,$D254,$D254-($D254-$I$238)*MIN(F$3-$O$2,$Q$2)/$Q$2))</f>
        <v>18025.2110011235</v>
      </c>
      <c r="G254" s="15" t="n">
        <f aca="false">F254*(1+IF(G$3&lt;=$O$2,$D254,$D254-($D254-$I$238)*MIN(G$3-$O$2,$Q$2)/$Q$2))</f>
        <v>20225.2790980167</v>
      </c>
      <c r="H254" s="15" t="n">
        <f aca="false">G254*(1+IF(H$3&lt;=$O$2,$D254,$D254-($D254-$I$238)*MIN(H$3-$O$2,$Q$2)/$Q$2))</f>
        <v>22693.8766246438</v>
      </c>
      <c r="I254" s="15" t="n">
        <f aca="false">H254*(1+IF(I$3&lt;=$O$2,$D254,$D254-($D254-$I$238)*MIN(I$3-$O$2,$Q$2)/$Q$2))</f>
        <v>25463.7789549741</v>
      </c>
      <c r="J254" s="15" t="n">
        <f aca="false">I254*(1+IF(J$3&lt;=$O$2,$D254,$D254-($D254-$I$238)*MIN(J$3-$O$2,$Q$2)/$Q$2))</f>
        <v>28094.2902702855</v>
      </c>
      <c r="K254" s="15" t="n">
        <f aca="false">J254*(1+IF(K$3&lt;=$O$2,$D254,$D254-($D254-$I$238)*MIN(K$3-$O$2,$Q$2)/$Q$2))</f>
        <v>30469.7477008913</v>
      </c>
      <c r="L254" s="15" t="n">
        <f aca="false">K254*(1+IF(L$3&lt;=$O$2,$D254,$D254-($D254-$I$238)*MIN(L$3-$O$2,$Q$2)/$Q$2))</f>
        <v>32474.7186937288</v>
      </c>
      <c r="M254" s="15" t="n">
        <f aca="false">L254*(1+IF(M$3&lt;=$O$2,$D254,$D254-($D254-$I$238)*MIN(M$3-$O$2,$Q$2)/$Q$2))</f>
        <v>34002.687031837</v>
      </c>
      <c r="N254" s="15" t="n">
        <f aca="false">M254*(1+IF(N$3&lt;=$O$2,$D254,$D254-($D254-$I$238)*MIN(N$3-$O$2,$Q$2)/$Q$2))</f>
        <v>34964.963074838</v>
      </c>
      <c r="O254" s="15" t="n">
        <f aca="false">SUMPRODUCT(E254:N254,1/(1+$F$238)^$E$3:$N$3)*$E$2</f>
        <v>51767.5870961818</v>
      </c>
      <c r="P254" s="15" t="n">
        <f aca="false">N254*$E$2*(1+$I$238)/($F$238-$I$238)/(1+$F$238)^$N$3</f>
        <v>80675.6925246216</v>
      </c>
      <c r="Q254" s="15" t="n">
        <f aca="false">O254+P254</f>
        <v>132443.279620803</v>
      </c>
      <c r="R254" s="15" t="n">
        <f aca="false">Q254-$G$2+$I$2</f>
        <v>120823.279620803</v>
      </c>
      <c r="S254" s="40" t="n">
        <f aca="false">R254/$K$2</f>
        <v>409.89001465822</v>
      </c>
      <c r="T254" s="41" t="n">
        <f aca="false">S254-$M$2</f>
        <v>-0.0906482314910022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0.122055053710938</v>
      </c>
      <c r="C255" s="25" t="n">
        <f aca="false">IF(T254&gt;0,D254,C254)</f>
        <v>0.122100830078125</v>
      </c>
      <c r="D255" s="39" t="n">
        <f aca="false">(B255+C255)/2</f>
        <v>0.122077941894531</v>
      </c>
      <c r="E255" s="15" t="n">
        <f aca="false">$C$2*(1+IF(E$3&lt;=$O$2,$D255,$D255-($D255-$I$238)*MIN(E$3-$O$2,$Q$2)/$Q$2))</f>
        <v>16064.789894104</v>
      </c>
      <c r="F255" s="15" t="n">
        <f aca="false">E255*(1+IF(F$3&lt;=$O$2,$D255,$D255-($D255-$I$238)*MIN(F$3-$O$2,$Q$2)/$Q$2))</f>
        <v>18025.9463813443</v>
      </c>
      <c r="G255" s="15" t="n">
        <f aca="false">F255*(1+IF(G$3&lt;=$O$2,$D255,$D255-($D255-$I$238)*MIN(G$3-$O$2,$Q$2)/$Q$2))</f>
        <v>20226.51681628</v>
      </c>
      <c r="H255" s="15" t="n">
        <f aca="false">G255*(1+IF(H$3&lt;=$O$2,$D255,$D255-($D255-$I$238)*MIN(H$3-$O$2,$Q$2)/$Q$2))</f>
        <v>22695.7283609066</v>
      </c>
      <c r="I255" s="15" t="n">
        <f aca="false">H255*(1+IF(I$3&lt;=$O$2,$D255,$D255-($D255-$I$238)*MIN(I$3-$O$2,$Q$2)/$Q$2))</f>
        <v>25466.3761690034</v>
      </c>
      <c r="J255" s="15" t="n">
        <f aca="false">I255*(1+IF(J$3&lt;=$O$2,$D255,$D255-($D255-$I$238)*MIN(J$3-$O$2,$Q$2)/$Q$2))</f>
        <v>28097.622090299</v>
      </c>
      <c r="K255" s="15" t="n">
        <f aca="false">J255*(1+IF(K$3&lt;=$O$2,$D255,$D255-($D255-$I$238)*MIN(K$3-$O$2,$Q$2)/$Q$2))</f>
        <v>30473.7470985096</v>
      </c>
      <c r="L255" s="15" t="n">
        <f aca="false">K255*(1+IF(L$3&lt;=$O$2,$D255,$D255-($D255-$I$238)*MIN(L$3-$O$2,$Q$2)/$Q$2))</f>
        <v>32479.2602552825</v>
      </c>
      <c r="M255" s="15" t="n">
        <f aca="false">L255*(1+IF(M$3&lt;=$O$2,$D255,$D255-($D255-$I$238)*MIN(M$3-$O$2,$Q$2)/$Q$2))</f>
        <v>34007.5909567065</v>
      </c>
      <c r="N255" s="15" t="n">
        <f aca="false">M255*(1+IF(N$3&lt;=$O$2,$D255,$D255-($D255-$I$238)*MIN(N$3-$O$2,$Q$2)/$Q$2))</f>
        <v>34970.0057807812</v>
      </c>
      <c r="O255" s="15" t="n">
        <f aca="false">SUMPRODUCT(E255:N255,1/(1+$F$238)^$E$3:$N$3)*$E$2</f>
        <v>51772.7275591529</v>
      </c>
      <c r="P255" s="15" t="n">
        <f aca="false">N255*$E$2*(1+$I$238)/($F$238-$I$238)/(1+$F$238)^$N$3</f>
        <v>80687.3277090575</v>
      </c>
      <c r="Q255" s="15" t="n">
        <f aca="false">O255+P255</f>
        <v>132460.05526821</v>
      </c>
      <c r="R255" s="15" t="n">
        <f aca="false">Q255-$G$2+$I$2</f>
        <v>120840.05526821</v>
      </c>
      <c r="S255" s="40" t="n">
        <f aca="false">R255/$K$2</f>
        <v>409.946925630866</v>
      </c>
      <c r="T255" s="41" t="n">
        <f aca="false">S255-$M$2</f>
        <v>-0.0337372588446101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0.122077941894531</v>
      </c>
      <c r="C256" s="25" t="n">
        <f aca="false">IF(T255&gt;0,D255,C255)</f>
        <v>0.122100830078125</v>
      </c>
      <c r="D256" s="39" t="n">
        <f aca="false">(B256+C256)/2</f>
        <v>0.122089385986328</v>
      </c>
      <c r="E256" s="15" t="n">
        <f aca="false">$C$2*(1+IF(E$3&lt;=$O$2,$D256,$D256-($D256-$I$238)*MIN(E$3-$O$2,$Q$2)/$Q$2))</f>
        <v>16064.9537391663</v>
      </c>
      <c r="F256" s="15" t="n">
        <f aca="false">E256*(1+IF(F$3&lt;=$O$2,$D256,$D256-($D256-$I$238)*MIN(F$3-$O$2,$Q$2)/$Q$2))</f>
        <v>18026.3140770798</v>
      </c>
      <c r="G256" s="15" t="n">
        <f aca="false">F256*(1+IF(G$3&lt;=$O$2,$D256,$D256-($D256-$I$238)*MIN(G$3-$O$2,$Q$2)/$Q$2))</f>
        <v>20227.1356943472</v>
      </c>
      <c r="H256" s="15" t="n">
        <f aca="false">G256*(1+IF(H$3&lt;=$O$2,$D256,$D256-($D256-$I$238)*MIN(H$3-$O$2,$Q$2)/$Q$2))</f>
        <v>22696.6542715322</v>
      </c>
      <c r="I256" s="15" t="n">
        <f aca="false">H256*(1+IF(I$3&lt;=$O$2,$D256,$D256-($D256-$I$238)*MIN(I$3-$O$2,$Q$2)/$Q$2))</f>
        <v>25467.6748554876</v>
      </c>
      <c r="J256" s="15" t="n">
        <f aca="false">I256*(1+IF(J$3&lt;=$O$2,$D256,$D256-($D256-$I$238)*MIN(J$3-$O$2,$Q$2)/$Q$2))</f>
        <v>28099.2881236543</v>
      </c>
      <c r="K256" s="15" t="n">
        <f aca="false">J256*(1+IF(K$3&lt;=$O$2,$D256,$D256-($D256-$I$238)*MIN(K$3-$O$2,$Q$2)/$Q$2))</f>
        <v>30475.746965416</v>
      </c>
      <c r="L256" s="15" t="n">
        <f aca="false">K256*(1+IF(L$3&lt;=$O$2,$D256,$D256-($D256-$I$238)*MIN(L$3-$O$2,$Q$2)/$Q$2))</f>
        <v>32481.5312426817</v>
      </c>
      <c r="M256" s="15" t="n">
        <f aca="false">L256*(1+IF(M$3&lt;=$O$2,$D256,$D256-($D256-$I$238)*MIN(M$3-$O$2,$Q$2)/$Q$2))</f>
        <v>34010.043151079</v>
      </c>
      <c r="N256" s="15" t="n">
        <f aca="false">M256*(1+IF(N$3&lt;=$O$2,$D256,$D256-($D256-$I$238)*MIN(N$3-$O$2,$Q$2)/$Q$2))</f>
        <v>34972.5273722545</v>
      </c>
      <c r="O256" s="15" t="n">
        <f aca="false">SUMPRODUCT(E256:N256,1/(1+$F$238)^$E$3:$N$3)*$E$2</f>
        <v>51775.2979796473</v>
      </c>
      <c r="P256" s="15" t="n">
        <f aca="false">N256*$E$2*(1+$I$238)/($F$238-$I$238)/(1+$F$238)^$N$3</f>
        <v>80693.1458515774</v>
      </c>
      <c r="Q256" s="15" t="n">
        <f aca="false">O256+P256</f>
        <v>132468.443831225</v>
      </c>
      <c r="R256" s="15" t="n">
        <f aca="false">Q256-$G$2+$I$2</f>
        <v>120848.443831225</v>
      </c>
      <c r="S256" s="40" t="n">
        <f aca="false">R256/$K$2</f>
        <v>409.975383625283</v>
      </c>
      <c r="T256" s="41" t="n">
        <f aca="false">S256-$M$2</f>
        <v>-0.00527926442754279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0.122089385986328</v>
      </c>
      <c r="C257" s="25" t="n">
        <f aca="false">IF(T256&gt;0,D256,C256)</f>
        <v>0.122100830078125</v>
      </c>
      <c r="D257" s="39" t="n">
        <f aca="false">(B257+C257)/2</f>
        <v>0.122095108032227</v>
      </c>
      <c r="E257" s="15" t="n">
        <f aca="false">$C$2*(1+IF(E$3&lt;=$O$2,$D257,$D257-($D257-$I$238)*MIN(E$3-$O$2,$Q$2)/$Q$2))</f>
        <v>16065.0356616974</v>
      </c>
      <c r="F257" s="15" t="n">
        <f aca="false">E257*(1+IF(F$3&lt;=$O$2,$D257,$D257-($D257-$I$238)*MIN(F$3-$O$2,$Q$2)/$Q$2))</f>
        <v>18026.4979263539</v>
      </c>
      <c r="G257" s="15" t="n">
        <f aca="false">F257*(1+IF(G$3&lt;=$O$2,$D257,$D257-($D257-$I$238)*MIN(G$3-$O$2,$Q$2)/$Q$2))</f>
        <v>20227.4451381148</v>
      </c>
      <c r="H257" s="15" t="n">
        <f aca="false">G257*(1+IF(H$3&lt;=$O$2,$D257,$D257-($D257-$I$238)*MIN(H$3-$O$2,$Q$2)/$Q$2))</f>
        <v>22697.1172374689</v>
      </c>
      <c r="I257" s="15" t="n">
        <f aca="false">H257*(1+IF(I$3&lt;=$O$2,$D257,$D257-($D257-$I$238)*MIN(I$3-$O$2,$Q$2)/$Q$2))</f>
        <v>25468.3242185977</v>
      </c>
      <c r="J257" s="15" t="n">
        <f aca="false">I257*(1+IF(J$3&lt;=$O$2,$D257,$D257-($D257-$I$238)*MIN(J$3-$O$2,$Q$2)/$Q$2))</f>
        <v>28100.1211711706</v>
      </c>
      <c r="K257" s="15" t="n">
        <f aca="false">J257*(1+IF(K$3&lt;=$O$2,$D257,$D257-($D257-$I$238)*MIN(K$3-$O$2,$Q$2)/$Q$2))</f>
        <v>30476.7469408958</v>
      </c>
      <c r="L257" s="15" t="n">
        <f aca="false">K257*(1+IF(L$3&lt;=$O$2,$D257,$D257-($D257-$I$238)*MIN(L$3-$O$2,$Q$2)/$Q$2))</f>
        <v>32482.6667880401</v>
      </c>
      <c r="M257" s="15" t="n">
        <f aca="false">L257*(1+IF(M$3&lt;=$O$2,$D257,$D257-($D257-$I$238)*MIN(M$3-$O$2,$Q$2)/$Q$2))</f>
        <v>34011.2693062534</v>
      </c>
      <c r="N257" s="15" t="n">
        <f aca="false">M257*(1+IF(N$3&lt;=$O$2,$D257,$D257-($D257-$I$238)*MIN(N$3-$O$2,$Q$2)/$Q$2))</f>
        <v>34973.7882276204</v>
      </c>
      <c r="O257" s="15" t="n">
        <f aca="false">SUMPRODUCT(E257:N257,1/(1+$F$238)^$E$3:$N$3)*$E$2</f>
        <v>51776.5832371492</v>
      </c>
      <c r="P257" s="15" t="n">
        <f aca="false">N257*$E$2*(1+$I$238)/($F$238-$I$238)/(1+$F$238)^$N$3</f>
        <v>80696.0550604215</v>
      </c>
      <c r="Q257" s="15" t="n">
        <f aca="false">O257+P257</f>
        <v>132472.638297571</v>
      </c>
      <c r="R257" s="15" t="n">
        <f aca="false">Q257-$G$2+$I$2</f>
        <v>120852.638297571</v>
      </c>
      <c r="S257" s="40" t="n">
        <f aca="false">R257/$K$2</f>
        <v>409.989613249553</v>
      </c>
      <c r="T257" s="41" t="n">
        <f aca="false">S257-$M$2</f>
        <v>0.00895035984211745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0.122089385986328</v>
      </c>
      <c r="C258" s="25" t="n">
        <f aca="false">IF(T257&gt;0,D257,C257)</f>
        <v>0.122095108032227</v>
      </c>
      <c r="D258" s="39" t="n">
        <f aca="false">(B258+C258)/2</f>
        <v>0.122092247009277</v>
      </c>
      <c r="E258" s="15" t="n">
        <f aca="false">$C$2*(1+IF(E$3&lt;=$O$2,$D258,$D258-($D258-$I$238)*MIN(E$3-$O$2,$Q$2)/$Q$2))</f>
        <v>16064.9947004318</v>
      </c>
      <c r="F258" s="15" t="n">
        <f aca="false">E258*(1+IF(F$3&lt;=$O$2,$D258,$D258-($D258-$I$238)*MIN(F$3-$O$2,$Q$2)/$Q$2))</f>
        <v>18026.4060015997</v>
      </c>
      <c r="G258" s="15" t="n">
        <f aca="false">F258*(1+IF(G$3&lt;=$O$2,$D258,$D258-($D258-$I$238)*MIN(G$3-$O$2,$Q$2)/$Q$2))</f>
        <v>20227.2904158365</v>
      </c>
      <c r="H258" s="15" t="n">
        <f aca="false">G258*(1+IF(H$3&lt;=$O$2,$D258,$D258-($D258-$I$238)*MIN(H$3-$O$2,$Q$2)/$Q$2))</f>
        <v>22696.8857536152</v>
      </c>
      <c r="I258" s="15" t="n">
        <f aca="false">H258*(1+IF(I$3&lt;=$O$2,$D258,$D258-($D258-$I$238)*MIN(I$3-$O$2,$Q$2)/$Q$2))</f>
        <v>25467.9995353869</v>
      </c>
      <c r="J258" s="15" t="n">
        <f aca="false">I258*(1+IF(J$3&lt;=$O$2,$D258,$D258-($D258-$I$238)*MIN(J$3-$O$2,$Q$2)/$Q$2))</f>
        <v>28099.7046448425</v>
      </c>
      <c r="K258" s="15" t="n">
        <f aca="false">J258*(1+IF(K$3&lt;=$O$2,$D258,$D258-($D258-$I$238)*MIN(K$3-$O$2,$Q$2)/$Q$2))</f>
        <v>30476.2469496537</v>
      </c>
      <c r="L258" s="15" t="n">
        <f aca="false">K258*(1+IF(L$3&lt;=$O$2,$D258,$D258-($D258-$I$238)*MIN(L$3-$O$2,$Q$2)/$Q$2))</f>
        <v>32482.0990110559</v>
      </c>
      <c r="M258" s="15" t="n">
        <f aca="false">L258*(1+IF(M$3&lt;=$O$2,$D258,$D258-($D258-$I$238)*MIN(M$3-$O$2,$Q$2)/$Q$2))</f>
        <v>34010.6562238338</v>
      </c>
      <c r="N258" s="15" t="n">
        <f aca="false">M258*(1+IF(N$3&lt;=$O$2,$D258,$D258-($D258-$I$238)*MIN(N$3-$O$2,$Q$2)/$Q$2))</f>
        <v>34973.1577949683</v>
      </c>
      <c r="O258" s="15" t="n">
        <f aca="false">SUMPRODUCT(E258:N258,1/(1+$F$238)^$E$3:$N$3)*$E$2</f>
        <v>51775.9406044603</v>
      </c>
      <c r="P258" s="15" t="n">
        <f aca="false">N258*$E$2*(1+$I$238)/($F$238-$I$238)/(1+$F$238)^$N$3</f>
        <v>80694.6004445339</v>
      </c>
      <c r="Q258" s="15" t="n">
        <f aca="false">O258+P258</f>
        <v>132470.541048994</v>
      </c>
      <c r="R258" s="15" t="n">
        <f aca="false">Q258-$G$2+$I$2</f>
        <v>120850.541048994</v>
      </c>
      <c r="S258" s="40" t="n">
        <f aca="false">R258/$K$2</f>
        <v>409.982498385162</v>
      </c>
      <c r="T258" s="41" t="n">
        <f aca="false">S258-$M$2</f>
        <v>0.00183549545113237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0.122089385986328</v>
      </c>
      <c r="C259" s="25" t="n">
        <f aca="false">IF(T258&gt;0,D258,C258)</f>
        <v>0.122092247009277</v>
      </c>
      <c r="D259" s="39" t="n">
        <f aca="false">(B259+C259)/2</f>
        <v>0.122090816497803</v>
      </c>
      <c r="E259" s="15" t="n">
        <f aca="false">$C$2*(1+IF(E$3&lt;=$O$2,$D259,$D259-($D259-$I$238)*MIN(E$3-$O$2,$Q$2)/$Q$2))</f>
        <v>16064.974219799</v>
      </c>
      <c r="F259" s="15" t="n">
        <f aca="false">E259*(1+IF(F$3&lt;=$O$2,$D259,$D259-($D259-$I$238)*MIN(F$3-$O$2,$Q$2)/$Q$2))</f>
        <v>18026.3600393105</v>
      </c>
      <c r="G259" s="15" t="n">
        <f aca="false">F259*(1+IF(G$3&lt;=$O$2,$D259,$D259-($D259-$I$238)*MIN(G$3-$O$2,$Q$2)/$Q$2))</f>
        <v>20227.2130549932</v>
      </c>
      <c r="H259" s="15" t="n">
        <f aca="false">G259*(1+IF(H$3&lt;=$O$2,$D259,$D259-($D259-$I$238)*MIN(H$3-$O$2,$Q$2)/$Q$2))</f>
        <v>22696.7700123524</v>
      </c>
      <c r="I259" s="15" t="n">
        <f aca="false">H259*(1+IF(I$3&lt;=$O$2,$D259,$D259-($D259-$I$238)*MIN(I$3-$O$2,$Q$2)/$Q$2))</f>
        <v>25467.8371950233</v>
      </c>
      <c r="J259" s="15" t="n">
        <f aca="false">I259*(1+IF(J$3&lt;=$O$2,$D259,$D259-($D259-$I$238)*MIN(J$3-$O$2,$Q$2)/$Q$2))</f>
        <v>28099.496383606</v>
      </c>
      <c r="K259" s="15" t="n">
        <f aca="false">J259*(1+IF(K$3&lt;=$O$2,$D259,$D259-($D259-$I$238)*MIN(K$3-$O$2,$Q$2)/$Q$2))</f>
        <v>30475.9969566593</v>
      </c>
      <c r="L259" s="15" t="n">
        <f aca="false">K259*(1+IF(L$3&lt;=$O$2,$D259,$D259-($D259-$I$238)*MIN(L$3-$O$2,$Q$2)/$Q$2))</f>
        <v>32481.8151257926</v>
      </c>
      <c r="M259" s="15" t="n">
        <f aca="false">L259*(1+IF(M$3&lt;=$O$2,$D259,$D259-($D259-$I$238)*MIN(M$3-$O$2,$Q$2)/$Q$2))</f>
        <v>34010.3496862483</v>
      </c>
      <c r="N259" s="15" t="n">
        <f aca="false">M259*(1+IF(N$3&lt;=$O$2,$D259,$D259-($D259-$I$238)*MIN(N$3-$O$2,$Q$2)/$Q$2))</f>
        <v>34972.8425823691</v>
      </c>
      <c r="O259" s="15" t="n">
        <f aca="false">SUMPRODUCT(E259:N259,1/(1+$F$238)^$E$3:$N$3)*$E$2</f>
        <v>51775.6192910693</v>
      </c>
      <c r="P259" s="15" t="n">
        <f aca="false">N259*$E$2*(1+$I$238)/($F$238-$I$238)/(1+$F$238)^$N$3</f>
        <v>80693.8731451892</v>
      </c>
      <c r="Q259" s="15" t="n">
        <f aca="false">O259+P259</f>
        <v>132469.492436258</v>
      </c>
      <c r="R259" s="15" t="n">
        <f aca="false">Q259-$G$2+$I$2</f>
        <v>120849.492436258</v>
      </c>
      <c r="S259" s="40" t="n">
        <f aca="false">R259/$K$2</f>
        <v>409.978940992158</v>
      </c>
      <c r="T259" s="41" t="n">
        <f aca="false">S259-$M$2</f>
        <v>-0.00172189755232921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0.122090816497803</v>
      </c>
      <c r="C260" s="25" t="n">
        <f aca="false">IF(T259&gt;0,D259,C259)</f>
        <v>0.122092247009277</v>
      </c>
      <c r="D260" s="39" t="n">
        <f aca="false">(B260+C260)/2</f>
        <v>0.12209153175354</v>
      </c>
      <c r="E260" s="15" t="n">
        <f aca="false">$C$2*(1+IF(E$3&lt;=$O$2,$D260,$D260-($D260-$I$238)*MIN(E$3-$O$2,$Q$2)/$Q$2))</f>
        <v>16064.9844601154</v>
      </c>
      <c r="F260" s="15" t="n">
        <f aca="false">E260*(1+IF(F$3&lt;=$O$2,$D260,$D260-($D260-$I$238)*MIN(F$3-$O$2,$Q$2)/$Q$2))</f>
        <v>18026.3830204477</v>
      </c>
      <c r="G260" s="15" t="n">
        <f aca="false">F260*(1+IF(G$3&lt;=$O$2,$D260,$D260-($D260-$I$238)*MIN(G$3-$O$2,$Q$2)/$Q$2))</f>
        <v>20227.2517353902</v>
      </c>
      <c r="H260" s="15" t="n">
        <f aca="false">G260*(1+IF(H$3&lt;=$O$2,$D260,$D260-($D260-$I$238)*MIN(H$3-$O$2,$Q$2)/$Q$2))</f>
        <v>22696.8278829285</v>
      </c>
      <c r="I260" s="15" t="n">
        <f aca="false">H260*(1+IF(I$3&lt;=$O$2,$D260,$D260-($D260-$I$238)*MIN(I$3-$O$2,$Q$2)/$Q$2))</f>
        <v>25467.9183651016</v>
      </c>
      <c r="J260" s="15" t="n">
        <f aca="false">I260*(1+IF(J$3&lt;=$O$2,$D260,$D260-($D260-$I$238)*MIN(J$3-$O$2,$Q$2)/$Q$2))</f>
        <v>28099.6005140636</v>
      </c>
      <c r="K260" s="15" t="n">
        <f aca="false">J260*(1+IF(K$3&lt;=$O$2,$D260,$D260-($D260-$I$238)*MIN(K$3-$O$2,$Q$2)/$Q$2))</f>
        <v>30476.1219529376</v>
      </c>
      <c r="L260" s="15" t="n">
        <f aca="false">K260*(1+IF(L$3&lt;=$O$2,$D260,$D260-($D260-$I$238)*MIN(L$3-$O$2,$Q$2)/$Q$2))</f>
        <v>32481.9570681552</v>
      </c>
      <c r="M260" s="15" t="n">
        <f aca="false">L260*(1+IF(M$3&lt;=$O$2,$D260,$D260-($D260-$I$238)*MIN(M$3-$O$2,$Q$2)/$Q$2))</f>
        <v>34010.502954739</v>
      </c>
      <c r="N260" s="15" t="n">
        <f aca="false">M260*(1+IF(N$3&lt;=$O$2,$D260,$D260-($D260-$I$238)*MIN(N$3-$O$2,$Q$2)/$Q$2))</f>
        <v>34973.0001883581</v>
      </c>
      <c r="O260" s="15" t="n">
        <f aca="false">SUMPRODUCT(E260:N260,1/(1+$F$238)^$E$3:$N$3)*$E$2</f>
        <v>51775.7799475186</v>
      </c>
      <c r="P260" s="15" t="n">
        <f aca="false">N260*$E$2*(1+$I$238)/($F$238-$I$238)/(1+$F$238)^$N$3</f>
        <v>80694.2367941449</v>
      </c>
      <c r="Q260" s="15" t="n">
        <f aca="false">O260+P260</f>
        <v>132470.016741664</v>
      </c>
      <c r="R260" s="15" t="n">
        <f aca="false">Q260-$G$2+$I$2</f>
        <v>120850.016741664</v>
      </c>
      <c r="S260" s="40" t="n">
        <f aca="false">R260/$K$2</f>
        <v>409.980719685394</v>
      </c>
      <c r="T260" s="41" t="n">
        <f aca="false">S260-$M$2</f>
        <v>5.67956833492644E-005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0.122090816497803</v>
      </c>
      <c r="C261" s="25" t="n">
        <f aca="false">IF(T260&gt;0,D260,C260)</f>
        <v>0.12209153175354</v>
      </c>
      <c r="D261" s="39" t="n">
        <f aca="false">(B261+C261)/2</f>
        <v>0.122091174125671</v>
      </c>
      <c r="E261" s="15" t="n">
        <f aca="false">$C$2*(1+IF(E$3&lt;=$O$2,$D261,$D261-($D261-$I$238)*MIN(E$3-$O$2,$Q$2)/$Q$2))</f>
        <v>16064.9793399572</v>
      </c>
      <c r="F261" s="15" t="n">
        <f aca="false">E261*(1+IF(F$3&lt;=$O$2,$D261,$D261-($D261-$I$238)*MIN(F$3-$O$2,$Q$2)/$Q$2))</f>
        <v>18026.3715298773</v>
      </c>
      <c r="G261" s="15" t="n">
        <f aca="false">F261*(1+IF(G$3&lt;=$O$2,$D261,$D261-($D261-$I$238)*MIN(G$3-$O$2,$Q$2)/$Q$2))</f>
        <v>20227.2323951856</v>
      </c>
      <c r="H261" s="15" t="n">
        <f aca="false">G261*(1+IF(H$3&lt;=$O$2,$D261,$D261-($D261-$I$238)*MIN(H$3-$O$2,$Q$2)/$Q$2))</f>
        <v>22696.7989476266</v>
      </c>
      <c r="I261" s="15" t="n">
        <f aca="false">H261*(1+IF(I$3&lt;=$O$2,$D261,$D261-($D261-$I$238)*MIN(I$3-$O$2,$Q$2)/$Q$2))</f>
        <v>25467.8777800366</v>
      </c>
      <c r="J261" s="15" t="n">
        <f aca="false">I261*(1+IF(J$3&lt;=$O$2,$D261,$D261-($D261-$I$238)*MIN(J$3-$O$2,$Q$2)/$Q$2))</f>
        <v>28099.5484487946</v>
      </c>
      <c r="K261" s="15" t="n">
        <f aca="false">J261*(1+IF(K$3&lt;=$O$2,$D261,$D261-($D261-$I$238)*MIN(K$3-$O$2,$Q$2)/$Q$2))</f>
        <v>30476.0594547437</v>
      </c>
      <c r="L261" s="15" t="n">
        <f aca="false">K261*(1+IF(L$3&lt;=$O$2,$D261,$D261-($D261-$I$238)*MIN(L$3-$O$2,$Q$2)/$Q$2))</f>
        <v>32481.8860969066</v>
      </c>
      <c r="M261" s="15" t="n">
        <f aca="false">L261*(1+IF(M$3&lt;=$O$2,$D261,$D261-($D261-$I$238)*MIN(M$3-$O$2,$Q$2)/$Q$2))</f>
        <v>34010.4263204181</v>
      </c>
      <c r="N261" s="15" t="n">
        <f aca="false">M261*(1+IF(N$3&lt;=$O$2,$D261,$D261-($D261-$I$238)*MIN(N$3-$O$2,$Q$2)/$Q$2))</f>
        <v>34972.921385286</v>
      </c>
      <c r="O261" s="15" t="n">
        <f aca="false">SUMPRODUCT(E261:N261,1/(1+$F$238)^$E$3:$N$3)*$E$2</f>
        <v>51775.6996192324</v>
      </c>
      <c r="P261" s="15" t="n">
        <f aca="false">N261*$E$2*(1+$I$238)/($F$238-$I$238)/(1+$F$238)^$N$3</f>
        <v>80694.0549694879</v>
      </c>
      <c r="Q261" s="15" t="n">
        <f aca="false">O261+P261</f>
        <v>132469.75458872</v>
      </c>
      <c r="R261" s="15" t="n">
        <f aca="false">Q261-$G$2+$I$2</f>
        <v>120849.75458872</v>
      </c>
      <c r="S261" s="40" t="n">
        <f aca="false">R261/$K$2</f>
        <v>409.97983033796</v>
      </c>
      <c r="T261" s="41" t="n">
        <f aca="false">S261-$M$2</f>
        <v>-0.000832551750931998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0.122091174125671</v>
      </c>
      <c r="C262" s="25" t="n">
        <f aca="false">IF(T261&gt;0,D261,C261)</f>
        <v>0.12209153175354</v>
      </c>
      <c r="D262" s="39" t="n">
        <f aca="false">(B262+C262)/2</f>
        <v>0.122091352939606</v>
      </c>
      <c r="E262" s="15" t="n">
        <f aca="false">$C$2*(1+IF(E$3&lt;=$O$2,$D262,$D262-($D262-$I$238)*MIN(E$3-$O$2,$Q$2)/$Q$2))</f>
        <v>16064.9819000363</v>
      </c>
      <c r="F262" s="15" t="n">
        <f aca="false">E262*(1+IF(F$3&lt;=$O$2,$D262,$D262-($D262-$I$238)*MIN(F$3-$O$2,$Q$2)/$Q$2))</f>
        <v>18026.3772751621</v>
      </c>
      <c r="G262" s="15" t="n">
        <f aca="false">F262*(1+IF(G$3&lt;=$O$2,$D262,$D262-($D262-$I$238)*MIN(G$3-$O$2,$Q$2)/$Q$2))</f>
        <v>20227.2420652863</v>
      </c>
      <c r="H262" s="15" t="n">
        <f aca="false">G262*(1+IF(H$3&lt;=$O$2,$D262,$D262-($D262-$I$238)*MIN(H$3-$O$2,$Q$2)/$Q$2))</f>
        <v>22696.8134152741</v>
      </c>
      <c r="I262" s="15" t="n">
        <f aca="false">H262*(1+IF(I$3&lt;=$O$2,$D262,$D262-($D262-$I$238)*MIN(I$3-$O$2,$Q$2)/$Q$2))</f>
        <v>25467.8980725627</v>
      </c>
      <c r="J262" s="15" t="n">
        <f aca="false">I262*(1+IF(J$3&lt;=$O$2,$D262,$D262-($D262-$I$238)*MIN(J$3-$O$2,$Q$2)/$Q$2))</f>
        <v>28099.5744814191</v>
      </c>
      <c r="K262" s="15" t="n">
        <f aca="false">J262*(1+IF(K$3&lt;=$O$2,$D262,$D262-($D262-$I$238)*MIN(K$3-$O$2,$Q$2)/$Q$2))</f>
        <v>30476.090703827</v>
      </c>
      <c r="L262" s="15" t="n">
        <f aca="false">K262*(1+IF(L$3&lt;=$O$2,$D262,$D262-($D262-$I$238)*MIN(L$3-$O$2,$Q$2)/$Q$2))</f>
        <v>32481.9215825141</v>
      </c>
      <c r="M262" s="15" t="n">
        <f aca="false">L262*(1+IF(M$3&lt;=$O$2,$D262,$D262-($D262-$I$238)*MIN(M$3-$O$2,$Q$2)/$Q$2))</f>
        <v>34010.4646375597</v>
      </c>
      <c r="N262" s="15" t="n">
        <f aca="false">M262*(1+IF(N$3&lt;=$O$2,$D262,$D262-($D262-$I$238)*MIN(N$3-$O$2,$Q$2)/$Q$2))</f>
        <v>34972.9607868026</v>
      </c>
      <c r="O262" s="15" t="n">
        <f aca="false">SUMPRODUCT(E262:N262,1/(1+$F$238)^$E$3:$N$3)*$E$2</f>
        <v>51775.7397833602</v>
      </c>
      <c r="P262" s="15" t="n">
        <f aca="false">N262*$E$2*(1+$I$238)/($F$238-$I$238)/(1+$F$238)^$N$3</f>
        <v>80694.1458817717</v>
      </c>
      <c r="Q262" s="15" t="n">
        <f aca="false">O262+P262</f>
        <v>132469.885665132</v>
      </c>
      <c r="R262" s="15" t="n">
        <f aca="false">Q262-$G$2+$I$2</f>
        <v>120849.885665132</v>
      </c>
      <c r="S262" s="40" t="n">
        <f aca="false">R262/$K$2</f>
        <v>409.980275011473</v>
      </c>
      <c r="T262" s="41" t="n">
        <f aca="false">S262-$M$2</f>
        <v>-0.000387878237916084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0.122091352939606</v>
      </c>
      <c r="C263" s="25" t="n">
        <f aca="false">IF(T262&gt;0,D262,C262)</f>
        <v>0.12209153175354</v>
      </c>
      <c r="D263" s="39" t="n">
        <f aca="false">(B263+C263)/2</f>
        <v>0.122091442346573</v>
      </c>
      <c r="E263" s="15" t="n">
        <f aca="false">$C$2*(1+IF(E$3&lt;=$O$2,$D263,$D263-($D263-$I$238)*MIN(E$3-$O$2,$Q$2)/$Q$2))</f>
        <v>16064.9831800759</v>
      </c>
      <c r="F263" s="15" t="n">
        <f aca="false">E263*(1+IF(F$3&lt;=$O$2,$D263,$D263-($D263-$I$238)*MIN(F$3-$O$2,$Q$2)/$Q$2))</f>
        <v>18026.3801478048</v>
      </c>
      <c r="G263" s="15" t="n">
        <f aca="false">F263*(1+IF(G$3&lt;=$O$2,$D263,$D263-($D263-$I$238)*MIN(G$3-$O$2,$Q$2)/$Q$2))</f>
        <v>20227.2469003379</v>
      </c>
      <c r="H263" s="15" t="n">
        <f aca="false">G263*(1+IF(H$3&lt;=$O$2,$D263,$D263-($D263-$I$238)*MIN(H$3-$O$2,$Q$2)/$Q$2))</f>
        <v>22696.8206491004</v>
      </c>
      <c r="I263" s="15" t="n">
        <f aca="false">H263*(1+IF(I$3&lt;=$O$2,$D263,$D263-($D263-$I$238)*MIN(I$3-$O$2,$Q$2)/$Q$2))</f>
        <v>25467.9082188305</v>
      </c>
      <c r="J263" s="15" t="n">
        <f aca="false">I263*(1+IF(J$3&lt;=$O$2,$D263,$D263-($D263-$I$238)*MIN(J$3-$O$2,$Q$2)/$Q$2))</f>
        <v>28099.5874977389</v>
      </c>
      <c r="K263" s="15" t="n">
        <f aca="false">J263*(1+IF(K$3&lt;=$O$2,$D263,$D263-($D263-$I$238)*MIN(K$3-$O$2,$Q$2)/$Q$2))</f>
        <v>30476.1063283789</v>
      </c>
      <c r="L263" s="15" t="n">
        <f aca="false">K263*(1+IF(L$3&lt;=$O$2,$D263,$D263-($D263-$I$238)*MIN(L$3-$O$2,$Q$2)/$Q$2))</f>
        <v>32481.9393253304</v>
      </c>
      <c r="M263" s="15" t="n">
        <f aca="false">L263*(1+IF(M$3&lt;=$O$2,$D263,$D263-($D263-$I$238)*MIN(M$3-$O$2,$Q$2)/$Q$2))</f>
        <v>34010.4837961446</v>
      </c>
      <c r="N263" s="15" t="n">
        <f aca="false">M263*(1+IF(N$3&lt;=$O$2,$D263,$D263-($D263-$I$238)*MIN(N$3-$O$2,$Q$2)/$Q$2))</f>
        <v>34972.9804875755</v>
      </c>
      <c r="O263" s="15" t="n">
        <f aca="false">SUMPRODUCT(E263:N263,1/(1+$F$238)^$E$3:$N$3)*$E$2</f>
        <v>51775.7598654356</v>
      </c>
      <c r="P263" s="15" t="n">
        <f aca="false">N263*$E$2*(1+$I$238)/($F$238-$I$238)/(1+$F$238)^$N$3</f>
        <v>80694.1913379471</v>
      </c>
      <c r="Q263" s="15" t="n">
        <f aca="false">O263+P263</f>
        <v>132469.951203383</v>
      </c>
      <c r="R263" s="15" t="n">
        <f aca="false">Q263-$G$2+$I$2</f>
        <v>120849.951203383</v>
      </c>
      <c r="S263" s="40" t="n">
        <f aca="false">R263/$K$2</f>
        <v>409.980497348382</v>
      </c>
      <c r="T263" s="41" t="n">
        <f aca="false">S263-$M$2</f>
        <v>-0.000165541328215113</v>
      </c>
    </row>
    <row r="265" customFormat="false" ht="15" hidden="false" customHeight="false" outlineLevel="0" collapsed="false">
      <c r="A265" s="36" t="s">
        <v>183</v>
      </c>
      <c r="E265" s="5" t="s">
        <v>11</v>
      </c>
      <c r="F265" s="12" t="n">
        <f aca="false">Sensitivity!$B$11</f>
        <v>0.0898919064489092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6" t="s">
        <v>155</v>
      </c>
      <c r="B266" s="28" t="s">
        <v>156</v>
      </c>
      <c r="C266" s="28" t="s">
        <v>157</v>
      </c>
      <c r="D266" s="28" t="s">
        <v>158</v>
      </c>
      <c r="E266" s="28" t="s">
        <v>159</v>
      </c>
      <c r="F266" s="28" t="s">
        <v>160</v>
      </c>
      <c r="G266" s="28" t="s">
        <v>161</v>
      </c>
      <c r="H266" s="28" t="s">
        <v>162</v>
      </c>
      <c r="I266" s="28" t="s">
        <v>163</v>
      </c>
      <c r="J266" s="28" t="s">
        <v>164</v>
      </c>
      <c r="K266" s="28" t="s">
        <v>165</v>
      </c>
      <c r="L266" s="28" t="s">
        <v>166</v>
      </c>
      <c r="M266" s="28" t="s">
        <v>167</v>
      </c>
      <c r="N266" s="28" t="s">
        <v>168</v>
      </c>
      <c r="O266" s="28" t="s">
        <v>169</v>
      </c>
      <c r="P266" s="28" t="s">
        <v>170</v>
      </c>
      <c r="Q266" s="28" t="s">
        <v>171</v>
      </c>
      <c r="R266" s="28" t="s">
        <v>172</v>
      </c>
      <c r="S266" s="28" t="s">
        <v>173</v>
      </c>
      <c r="T266" s="28" t="s">
        <v>174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39" t="n">
        <f aca="false">(B267+C267)/2</f>
        <v>0.25</v>
      </c>
      <c r="E267" s="15" t="n">
        <f aca="false">$C$2*(1+IF(E$3&lt;=$O$2,$D267,$D267-($D267-$I$265)*MIN(E$3-$O$2,$Q$2)/$Q$2))</f>
        <v>17896.25</v>
      </c>
      <c r="F267" s="15" t="n">
        <f aca="false">E267*(1+IF(F$3&lt;=$O$2,$D267,$D267-($D267-$I$265)*MIN(F$3-$O$2,$Q$2)/$Q$2))</f>
        <v>22370.3125</v>
      </c>
      <c r="G267" s="15" t="n">
        <f aca="false">F267*(1+IF(G$3&lt;=$O$2,$D267,$D267-($D267-$I$265)*MIN(G$3-$O$2,$Q$2)/$Q$2))</f>
        <v>27962.890625</v>
      </c>
      <c r="H267" s="15" t="n">
        <f aca="false">G267*(1+IF(H$3&lt;=$O$2,$D267,$D267-($D267-$I$265)*MIN(H$3-$O$2,$Q$2)/$Q$2))</f>
        <v>34953.61328125</v>
      </c>
      <c r="I267" s="15" t="n">
        <f aca="false">H267*(1+IF(I$3&lt;=$O$2,$D267,$D267-($D267-$I$265)*MIN(I$3-$O$2,$Q$2)/$Q$2))</f>
        <v>43692.0166015625</v>
      </c>
      <c r="J267" s="15" t="n">
        <f aca="false">I267*(1+IF(J$3&lt;=$O$2,$D267,$D267-($D267-$I$265)*MIN(J$3-$O$2,$Q$2)/$Q$2))</f>
        <v>52721.4087524414</v>
      </c>
      <c r="K267" s="15" t="n">
        <f aca="false">J267*(1+IF(K$3&lt;=$O$2,$D267,$D267-($D267-$I$265)*MIN(K$3-$O$2,$Q$2)/$Q$2))</f>
        <v>61331.8692298901</v>
      </c>
      <c r="L267" s="15" t="n">
        <f aca="false">K267*(1+IF(L$3&lt;=$O$2,$D267,$D267-($D267-$I$265)*MIN(L$3-$O$2,$Q$2)/$Q$2))</f>
        <v>68690.4669000924</v>
      </c>
      <c r="M267" s="15" t="n">
        <f aca="false">L267*(1+IF(M$3&lt;=$O$2,$D267,$D267-($D267-$I$265)*MIN(M$3-$O$2,$Q$2)/$Q$2))</f>
        <v>73954.9042833154</v>
      </c>
      <c r="N267" s="15" t="n">
        <f aca="false">M267*(1+IF(N$3&lt;=$O$2,$D267,$D267-($D267-$I$265)*MIN(N$3-$O$2,$Q$2)/$Q$2))</f>
        <v>76417.6025959498</v>
      </c>
      <c r="O267" s="15" t="n">
        <f aca="false">SUMPRODUCT(E267:N267,1/(1+$F$265)^$E$3:$N$3)*$E$2</f>
        <v>90196.2773631693</v>
      </c>
      <c r="P267" s="15" t="n">
        <f aca="false">N267*$E$2*(1+$I$265)/($F$265-$I$265)/(1+$F$265)^$N$3</f>
        <v>192831.932166889</v>
      </c>
      <c r="Q267" s="15" t="n">
        <f aca="false">O267+P267</f>
        <v>283028.209530058</v>
      </c>
      <c r="R267" s="15" t="n">
        <f aca="false">Q267-$G$2+$I$2</f>
        <v>271408.209530058</v>
      </c>
      <c r="S267" s="40" t="n">
        <f aca="false">R267/$K$2</f>
        <v>920.745698443052</v>
      </c>
      <c r="T267" s="41" t="n">
        <f aca="false">S267-$M$2</f>
        <v>510.765035553341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39" t="n">
        <f aca="false">(B268+C268)/2</f>
        <v>-0.125</v>
      </c>
      <c r="E268" s="15" t="n">
        <f aca="false">$C$2*(1+IF(E$3&lt;=$O$2,$D268,$D268-($D268-$I$265)*MIN(E$3-$O$2,$Q$2)/$Q$2))</f>
        <v>12527.375</v>
      </c>
      <c r="F268" s="15" t="n">
        <f aca="false">E268*(1+IF(F$3&lt;=$O$2,$D268,$D268-($D268-$I$265)*MIN(F$3-$O$2,$Q$2)/$Q$2))</f>
        <v>10961.453125</v>
      </c>
      <c r="G268" s="15" t="n">
        <f aca="false">F268*(1+IF(G$3&lt;=$O$2,$D268,$D268-($D268-$I$265)*MIN(G$3-$O$2,$Q$2)/$Q$2))</f>
        <v>9591.271484375</v>
      </c>
      <c r="H268" s="15" t="n">
        <f aca="false">G268*(1+IF(H$3&lt;=$O$2,$D268,$D268-($D268-$I$265)*MIN(H$3-$O$2,$Q$2)/$Q$2))</f>
        <v>8392.36254882813</v>
      </c>
      <c r="I268" s="15" t="n">
        <f aca="false">H268*(1+IF(I$3&lt;=$O$2,$D268,$D268-($D268-$I$265)*MIN(I$3-$O$2,$Q$2)/$Q$2))</f>
        <v>7343.31723022461</v>
      </c>
      <c r="J268" s="15" t="n">
        <f aca="false">I268*(1+IF(J$3&lt;=$O$2,$D268,$D268-($D268-$I$265)*MIN(J$3-$O$2,$Q$2)/$Q$2))</f>
        <v>6657.89199995545</v>
      </c>
      <c r="K268" s="15" t="n">
        <f aca="false">J268*(1+IF(K$3&lt;=$O$2,$D268,$D268-($D268-$I$265)*MIN(K$3-$O$2,$Q$2)/$Q$2))</f>
        <v>6247.23322139819</v>
      </c>
      <c r="L268" s="15" t="n">
        <f aca="false">K268*(1+IF(L$3&lt;=$O$2,$D268,$D268-($D268-$I$265)*MIN(L$3-$O$2,$Q$2)/$Q$2))</f>
        <v>6059.69128009182</v>
      </c>
      <c r="M268" s="15" t="n">
        <f aca="false">L268*(1+IF(M$3&lt;=$O$2,$D268,$D268-($D268-$I$265)*MIN(M$3-$O$2,$Q$2)/$Q$2))</f>
        <v>6069.62917379117</v>
      </c>
      <c r="N268" s="15" t="n">
        <f aca="false">M268*(1+IF(N$3&lt;=$O$2,$D268,$D268-($D268-$I$265)*MIN(N$3-$O$2,$Q$2)/$Q$2))</f>
        <v>6271.74782527842</v>
      </c>
      <c r="O268" s="15" t="n">
        <f aca="false">SUMPRODUCT(E268:N268,1/(1+$F$265)^$E$3:$N$3)*$E$2</f>
        <v>17891.0239064388</v>
      </c>
      <c r="P268" s="15" t="n">
        <f aca="false">N268*$E$2*(1+$I$265)/($F$265-$I$265)/(1+$F$265)^$N$3</f>
        <v>15826.108254226</v>
      </c>
      <c r="Q268" s="15" t="n">
        <f aca="false">O268+P268</f>
        <v>33717.1321606648</v>
      </c>
      <c r="R268" s="15" t="n">
        <f aca="false">Q268-$G$2+$I$2</f>
        <v>22097.1321606648</v>
      </c>
      <c r="S268" s="40" t="n">
        <f aca="false">R268/$K$2</f>
        <v>74.9639792403052</v>
      </c>
      <c r="T268" s="41" t="n">
        <f aca="false">S268-$M$2</f>
        <v>-335.016683649405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39" t="n">
        <f aca="false">(B269+C269)/2</f>
        <v>0.0625</v>
      </c>
      <c r="E269" s="15" t="n">
        <f aca="false">$C$2*(1+IF(E$3&lt;=$O$2,$D269,$D269-($D269-$I$265)*MIN(E$3-$O$2,$Q$2)/$Q$2))</f>
        <v>15211.8125</v>
      </c>
      <c r="F269" s="15" t="n">
        <f aca="false">E269*(1+IF(F$3&lt;=$O$2,$D269,$D269-($D269-$I$265)*MIN(F$3-$O$2,$Q$2)/$Q$2))</f>
        <v>16162.55078125</v>
      </c>
      <c r="G269" s="15" t="n">
        <f aca="false">F269*(1+IF(G$3&lt;=$O$2,$D269,$D269-($D269-$I$265)*MIN(G$3-$O$2,$Q$2)/$Q$2))</f>
        <v>17172.7102050781</v>
      </c>
      <c r="H269" s="15" t="n">
        <f aca="false">G269*(1+IF(H$3&lt;=$O$2,$D269,$D269-($D269-$I$265)*MIN(H$3-$O$2,$Q$2)/$Q$2))</f>
        <v>18246.0045928955</v>
      </c>
      <c r="I269" s="15" t="n">
        <f aca="false">H269*(1+IF(I$3&lt;=$O$2,$D269,$D269-($D269-$I$265)*MIN(I$3-$O$2,$Q$2)/$Q$2))</f>
        <v>19386.3798799515</v>
      </c>
      <c r="J269" s="15" t="n">
        <f aca="false">I269*(1+IF(J$3&lt;=$O$2,$D269,$D269-($D269-$I$265)*MIN(J$3-$O$2,$Q$2)/$Q$2))</f>
        <v>20484.8121639495</v>
      </c>
      <c r="K269" s="15" t="n">
        <f aca="false">J269*(1+IF(K$3&lt;=$O$2,$D269,$D269-($D269-$I$265)*MIN(K$3-$O$2,$Q$2)/$Q$2))</f>
        <v>21525.8503181214</v>
      </c>
      <c r="L269" s="15" t="n">
        <f aca="false">K269*(1+IF(L$3&lt;=$O$2,$D269,$D269-($D269-$I$265)*MIN(L$3-$O$2,$Q$2)/$Q$2))</f>
        <v>22494.0830654305</v>
      </c>
      <c r="M269" s="15" t="n">
        <f aca="false">L269*(1+IF(M$3&lt;=$O$2,$D269,$D269-($D269-$I$265)*MIN(M$3-$O$2,$Q$2)/$Q$2))</f>
        <v>23374.5014766115</v>
      </c>
      <c r="N269" s="15" t="n">
        <f aca="false">M269*(1+IF(N$3&lt;=$O$2,$D269,$D269-($D269-$I$265)*MIN(N$3-$O$2,$Q$2)/$Q$2))</f>
        <v>24152.8723757827</v>
      </c>
      <c r="O269" s="15" t="n">
        <f aca="false">SUMPRODUCT(E269:N269,1/(1+$F$265)^$E$3:$N$3)*$E$2</f>
        <v>40088.9933780873</v>
      </c>
      <c r="P269" s="15" t="n">
        <f aca="false">N269*$E$2*(1+$I$265)/($F$265-$I$265)/(1+$F$265)^$N$3</f>
        <v>60947.2803305308</v>
      </c>
      <c r="Q269" s="15" t="n">
        <f aca="false">O269+P269</f>
        <v>101036.273708618</v>
      </c>
      <c r="R269" s="15" t="n">
        <f aca="false">Q269-$G$2+$I$2</f>
        <v>89416.273708618</v>
      </c>
      <c r="S269" s="40" t="n">
        <f aca="false">R269/$K$2</f>
        <v>303.342516906802</v>
      </c>
      <c r="T269" s="41" t="n">
        <f aca="false">S269-$M$2</f>
        <v>-106.638145982909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0.0625</v>
      </c>
      <c r="C270" s="25" t="n">
        <f aca="false">IF(T269&gt;0,D269,C269)</f>
        <v>0.25</v>
      </c>
      <c r="D270" s="39" t="n">
        <f aca="false">(B270+C270)/2</f>
        <v>0.15625</v>
      </c>
      <c r="E270" s="15" t="n">
        <f aca="false">$C$2*(1+IF(E$3&lt;=$O$2,$D270,$D270-($D270-$I$265)*MIN(E$3-$O$2,$Q$2)/$Q$2))</f>
        <v>16554.03125</v>
      </c>
      <c r="F270" s="15" t="n">
        <f aca="false">E270*(1+IF(F$3&lt;=$O$2,$D270,$D270-($D270-$I$265)*MIN(F$3-$O$2,$Q$2)/$Q$2))</f>
        <v>19140.5986328125</v>
      </c>
      <c r="G270" s="15" t="n">
        <f aca="false">F270*(1+IF(G$3&lt;=$O$2,$D270,$D270-($D270-$I$265)*MIN(G$3-$O$2,$Q$2)/$Q$2))</f>
        <v>22131.3171691895</v>
      </c>
      <c r="H270" s="15" t="n">
        <f aca="false">G270*(1+IF(H$3&lt;=$O$2,$D270,$D270-($D270-$I$265)*MIN(H$3-$O$2,$Q$2)/$Q$2))</f>
        <v>25589.3354768753</v>
      </c>
      <c r="I270" s="15" t="n">
        <f aca="false">H270*(1+IF(I$3&lt;=$O$2,$D270,$D270-($D270-$I$265)*MIN(I$3-$O$2,$Q$2)/$Q$2))</f>
        <v>29587.6691451371</v>
      </c>
      <c r="J270" s="15" t="n">
        <f aca="false">I270*(1+IF(J$3&lt;=$O$2,$D270,$D270-($D270-$I$265)*MIN(J$3-$O$2,$Q$2)/$Q$2))</f>
        <v>33483.1816647858</v>
      </c>
      <c r="K270" s="15" t="n">
        <f aca="false">J270*(1+IF(K$3&lt;=$O$2,$D270,$D270-($D270-$I$265)*MIN(K$3-$O$2,$Q$2)/$Q$2))</f>
        <v>37068.2259256344</v>
      </c>
      <c r="L270" s="15" t="n">
        <f aca="false">K270*(1+IF(L$3&lt;=$O$2,$D270,$D270-($D270-$I$265)*MIN(L$3-$O$2,$Q$2)/$Q$2))</f>
        <v>40125.6131999808</v>
      </c>
      <c r="M270" s="15" t="n">
        <f aca="false">L270*(1+IF(M$3&lt;=$O$2,$D270,$D270-($D270-$I$265)*MIN(M$3-$O$2,$Q$2)/$Q$2))</f>
        <v>42448.4849481277</v>
      </c>
      <c r="N270" s="15" t="n">
        <f aca="false">M270*(1+IF(N$3&lt;=$O$2,$D270,$D270-($D270-$I$265)*MIN(N$3-$O$2,$Q$2)/$Q$2))</f>
        <v>43862.0194969003</v>
      </c>
      <c r="O270" s="15" t="n">
        <f aca="false">SUMPRODUCT(E270:N270,1/(1+$F$265)^$E$3:$N$3)*$E$2</f>
        <v>60238.9129655891</v>
      </c>
      <c r="P270" s="15" t="n">
        <f aca="false">N270*$E$2*(1+$I$265)/($F$265-$I$265)/(1+$F$265)^$N$3</f>
        <v>110681.278671484</v>
      </c>
      <c r="Q270" s="15" t="n">
        <f aca="false">O270+P270</f>
        <v>170920.191637073</v>
      </c>
      <c r="R270" s="15" t="n">
        <f aca="false">Q270-$G$2+$I$2</f>
        <v>159300.191637073</v>
      </c>
      <c r="S270" s="40" t="n">
        <f aca="false">R270/$K$2</f>
        <v>540.421995579853</v>
      </c>
      <c r="T270" s="41" t="n">
        <f aca="false">S270-$M$2</f>
        <v>130.441332690142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0.0625</v>
      </c>
      <c r="C271" s="25" t="n">
        <f aca="false">IF(T270&gt;0,D270,C270)</f>
        <v>0.15625</v>
      </c>
      <c r="D271" s="39" t="n">
        <f aca="false">(B271+C271)/2</f>
        <v>0.109375</v>
      </c>
      <c r="E271" s="15" t="n">
        <f aca="false">$C$2*(1+IF(E$3&lt;=$O$2,$D271,$D271-($D271-$I$265)*MIN(E$3-$O$2,$Q$2)/$Q$2))</f>
        <v>15882.921875</v>
      </c>
      <c r="F271" s="15" t="n">
        <f aca="false">E271*(1+IF(F$3&lt;=$O$2,$D271,$D271-($D271-$I$265)*MIN(F$3-$O$2,$Q$2)/$Q$2))</f>
        <v>17620.1164550781</v>
      </c>
      <c r="G271" s="15" t="n">
        <f aca="false">F271*(1+IF(G$3&lt;=$O$2,$D271,$D271-($D271-$I$265)*MIN(G$3-$O$2,$Q$2)/$Q$2))</f>
        <v>19547.3166923523</v>
      </c>
      <c r="H271" s="15" t="n">
        <f aca="false">G271*(1+IF(H$3&lt;=$O$2,$D271,$D271-($D271-$I$265)*MIN(H$3-$O$2,$Q$2)/$Q$2))</f>
        <v>21685.3044555783</v>
      </c>
      <c r="I271" s="15" t="n">
        <f aca="false">H271*(1+IF(I$3&lt;=$O$2,$D271,$D271-($D271-$I$265)*MIN(I$3-$O$2,$Q$2)/$Q$2))</f>
        <v>24057.1346304072</v>
      </c>
      <c r="J271" s="15" t="n">
        <f aca="false">I271*(1+IF(J$3&lt;=$O$2,$D271,$D271-($D271-$I$265)*MIN(J$3-$O$2,$Q$2)/$Q$2))</f>
        <v>26322.3544272064</v>
      </c>
      <c r="K271" s="15" t="n">
        <f aca="false">J271*(1+IF(K$3&lt;=$O$2,$D271,$D271-($D271-$I$265)*MIN(K$3-$O$2,$Q$2)/$Q$2))</f>
        <v>28400.3726974622</v>
      </c>
      <c r="L271" s="15" t="n">
        <f aca="false">K271*(1+IF(L$3&lt;=$O$2,$D271,$D271-($D271-$I$265)*MIN(L$3-$O$2,$Q$2)/$Q$2))</f>
        <v>30210.3284494714</v>
      </c>
      <c r="M271" s="15" t="n">
        <f aca="false">L271*(1+IF(M$3&lt;=$O$2,$D271,$D271-($D271-$I$265)*MIN(M$3-$O$2,$Q$2)/$Q$2))</f>
        <v>31675.9825341975</v>
      </c>
      <c r="N271" s="15" t="n">
        <f aca="false">M271*(1+IF(N$3&lt;=$O$2,$D271,$D271-($D271-$I$265)*MIN(N$3-$O$2,$Q$2)/$Q$2))</f>
        <v>32730.7927525863</v>
      </c>
      <c r="O271" s="15" t="n">
        <f aca="false">SUMPRODUCT(E271:N271,1/(1+$F$265)^$E$3:$N$3)*$E$2</f>
        <v>49151.1791378613</v>
      </c>
      <c r="P271" s="15" t="n">
        <f aca="false">N271*$E$2*(1+$I$265)/($F$265-$I$265)/(1+$F$265)^$N$3</f>
        <v>82592.7769706</v>
      </c>
      <c r="Q271" s="15" t="n">
        <f aca="false">O271+P271</f>
        <v>131743.956108461</v>
      </c>
      <c r="R271" s="15" t="n">
        <f aca="false">Q271-$G$2+$I$2</f>
        <v>120123.956108461</v>
      </c>
      <c r="S271" s="40" t="n">
        <f aca="false">R271/$K$2</f>
        <v>407.517576783463</v>
      </c>
      <c r="T271" s="41" t="n">
        <f aca="false">S271-$M$2</f>
        <v>-2.46308610624783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0.109375</v>
      </c>
      <c r="C272" s="25" t="n">
        <f aca="false">IF(T271&gt;0,D271,C271)</f>
        <v>0.15625</v>
      </c>
      <c r="D272" s="39" t="n">
        <f aca="false">(B272+C272)/2</f>
        <v>0.1328125</v>
      </c>
      <c r="E272" s="15" t="n">
        <f aca="false">$C$2*(1+IF(E$3&lt;=$O$2,$D272,$D272-($D272-$I$265)*MIN(E$3-$O$2,$Q$2)/$Q$2))</f>
        <v>16218.4765625</v>
      </c>
      <c r="F272" s="15" t="n">
        <f aca="false">E272*(1+IF(F$3&lt;=$O$2,$D272,$D272-($D272-$I$265)*MIN(F$3-$O$2,$Q$2)/$Q$2))</f>
        <v>18372.492980957</v>
      </c>
      <c r="G272" s="15" t="n">
        <f aca="false">F272*(1+IF(G$3&lt;=$O$2,$D272,$D272-($D272-$I$265)*MIN(G$3-$O$2,$Q$2)/$Q$2))</f>
        <v>20812.5897049904</v>
      </c>
      <c r="H272" s="15" t="n">
        <f aca="false">G272*(1+IF(H$3&lt;=$O$2,$D272,$D272-($D272-$I$265)*MIN(H$3-$O$2,$Q$2)/$Q$2))</f>
        <v>23576.7617751844</v>
      </c>
      <c r="I272" s="15" t="n">
        <f aca="false">H272*(1+IF(I$3&lt;=$O$2,$D272,$D272-($D272-$I$265)*MIN(I$3-$O$2,$Q$2)/$Q$2))</f>
        <v>26708.0504484511</v>
      </c>
      <c r="J272" s="15" t="n">
        <f aca="false">I272*(1+IF(J$3&lt;=$O$2,$D272,$D272-($D272-$I$265)*MIN(J$3-$O$2,$Q$2)/$Q$2))</f>
        <v>29723.6564245857</v>
      </c>
      <c r="K272" s="15" t="n">
        <f aca="false">J272*(1+IF(K$3&lt;=$O$2,$D272,$D272-($D272-$I$265)*MIN(K$3-$O$2,$Q$2)/$Q$2))</f>
        <v>32488.1793994954</v>
      </c>
      <c r="L272" s="15" t="n">
        <f aca="false">K272*(1+IF(L$3&lt;=$O$2,$D272,$D272-($D272-$I$265)*MIN(L$3-$O$2,$Q$2)/$Q$2))</f>
        <v>34863.2277544955</v>
      </c>
      <c r="M272" s="15" t="n">
        <f aca="false">L272*(1+IF(M$3&lt;=$O$2,$D272,$D272-($D272-$I$265)*MIN(M$3-$O$2,$Q$2)/$Q$2))</f>
        <v>36718.038629104</v>
      </c>
      <c r="N272" s="15" t="n">
        <f aca="false">M272*(1+IF(N$3&lt;=$O$2,$D272,$D272-($D272-$I$265)*MIN(N$3-$O$2,$Q$2)/$Q$2))</f>
        <v>37940.7493154532</v>
      </c>
      <c r="O272" s="15" t="n">
        <f aca="false">SUMPRODUCT(E272:N272,1/(1+$F$265)^$E$3:$N$3)*$E$2</f>
        <v>54417.8141253602</v>
      </c>
      <c r="P272" s="15" t="n">
        <f aca="false">N272*$E$2*(1+$I$265)/($F$265-$I$265)/(1+$F$265)^$N$3</f>
        <v>95739.5645744345</v>
      </c>
      <c r="Q272" s="15" t="n">
        <f aca="false">O272+P272</f>
        <v>150157.378699795</v>
      </c>
      <c r="R272" s="15" t="n">
        <f aca="false">Q272-$G$2+$I$2</f>
        <v>138537.378699795</v>
      </c>
      <c r="S272" s="40" t="n">
        <f aca="false">R272/$K$2</f>
        <v>469.984661599874</v>
      </c>
      <c r="T272" s="41" t="n">
        <f aca="false">S272-$M$2</f>
        <v>60.0039987101631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0.109375</v>
      </c>
      <c r="C273" s="25" t="n">
        <f aca="false">IF(T272&gt;0,D272,C272)</f>
        <v>0.1328125</v>
      </c>
      <c r="D273" s="39" t="n">
        <f aca="false">(B273+C273)/2</f>
        <v>0.12109375</v>
      </c>
      <c r="E273" s="15" t="n">
        <f aca="false">$C$2*(1+IF(E$3&lt;=$O$2,$D273,$D273-($D273-$I$265)*MIN(E$3-$O$2,$Q$2)/$Q$2))</f>
        <v>16050.69921875</v>
      </c>
      <c r="F273" s="15" t="n">
        <f aca="false">E273*(1+IF(F$3&lt;=$O$2,$D273,$D273-($D273-$I$265)*MIN(F$3-$O$2,$Q$2)/$Q$2))</f>
        <v>17994.3385772705</v>
      </c>
      <c r="G273" s="15" t="n">
        <f aca="false">F273*(1+IF(G$3&lt;=$O$2,$D273,$D273-($D273-$I$265)*MIN(G$3-$O$2,$Q$2)/$Q$2))</f>
        <v>20173.3405143619</v>
      </c>
      <c r="H273" s="15" t="n">
        <f aca="false">G273*(1+IF(H$3&lt;=$O$2,$D273,$D273-($D273-$I$265)*MIN(H$3-$O$2,$Q$2)/$Q$2))</f>
        <v>22616.2059672729</v>
      </c>
      <c r="I273" s="15" t="n">
        <f aca="false">H273*(1+IF(I$3&lt;=$O$2,$D273,$D273-($D273-$I$265)*MIN(I$3-$O$2,$Q$2)/$Q$2))</f>
        <v>25354.8871586223</v>
      </c>
      <c r="J273" s="15" t="n">
        <f aca="false">I273*(1+IF(J$3&lt;=$O$2,$D273,$D273-($D273-$I$265)*MIN(J$3-$O$2,$Q$2)/$Q$2))</f>
        <v>27980.0054005903</v>
      </c>
      <c r="K273" s="15" t="n">
        <f aca="false">J273*(1+IF(K$3&lt;=$O$2,$D273,$D273-($D273-$I$265)*MIN(K$3-$O$2,$Q$2)/$Q$2))</f>
        <v>30385.6213399128</v>
      </c>
      <c r="L273" s="15" t="n">
        <f aca="false">K273*(1+IF(L$3&lt;=$O$2,$D273,$D273-($D273-$I$265)*MIN(L$3-$O$2,$Q$2)/$Q$2))</f>
        <v>32464.5295879363</v>
      </c>
      <c r="M273" s="15" t="n">
        <f aca="false">L273*(1+IF(M$3&lt;=$O$2,$D273,$D273-($D273-$I$265)*MIN(M$3-$O$2,$Q$2)/$Q$2))</f>
        <v>34115.6349821167</v>
      </c>
      <c r="N273" s="15" t="n">
        <f aca="false">M273*(1+IF(N$3&lt;=$O$2,$D273,$D273-($D273-$I$265)*MIN(N$3-$O$2,$Q$2)/$Q$2))</f>
        <v>35251.6856270212</v>
      </c>
      <c r="O273" s="15" t="n">
        <f aca="false">SUMPRODUCT(E273:N273,1/(1+$F$265)^$E$3:$N$3)*$E$2</f>
        <v>51718.3447722132</v>
      </c>
      <c r="P273" s="15" t="n">
        <f aca="false">N273*$E$2*(1+$I$265)/($F$265-$I$265)/(1+$F$265)^$N$3</f>
        <v>88953.9899274271</v>
      </c>
      <c r="Q273" s="15" t="n">
        <f aca="false">O273+P273</f>
        <v>140672.33469964</v>
      </c>
      <c r="R273" s="15" t="n">
        <f aca="false">Q273-$G$2+$I$2</f>
        <v>129052.33469964</v>
      </c>
      <c r="S273" s="40" t="n">
        <f aca="false">R273/$K$2</f>
        <v>437.806882313805</v>
      </c>
      <c r="T273" s="41" t="n">
        <f aca="false">S273-$M$2</f>
        <v>27.8262194240947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0.109375</v>
      </c>
      <c r="C274" s="25" t="n">
        <f aca="false">IF(T273&gt;0,D273,C273)</f>
        <v>0.12109375</v>
      </c>
      <c r="D274" s="39" t="n">
        <f aca="false">(B274+C274)/2</f>
        <v>0.115234375</v>
      </c>
      <c r="E274" s="15" t="n">
        <f aca="false">$C$2*(1+IF(E$3&lt;=$O$2,$D274,$D274-($D274-$I$265)*MIN(E$3-$O$2,$Q$2)/$Q$2))</f>
        <v>15966.810546875</v>
      </c>
      <c r="F274" s="15" t="n">
        <f aca="false">E274*(1+IF(F$3&lt;=$O$2,$D274,$D274-($D274-$I$265)*MIN(F$3-$O$2,$Q$2)/$Q$2))</f>
        <v>17806.7359809876</v>
      </c>
      <c r="G274" s="15" t="n">
        <f aca="false">F274*(1+IF(G$3&lt;=$O$2,$D274,$D274-($D274-$I$265)*MIN(G$3-$O$2,$Q$2)/$Q$2))</f>
        <v>19858.6840725467</v>
      </c>
      <c r="H274" s="15" t="n">
        <f aca="false">G274*(1+IF(H$3&lt;=$O$2,$D274,$D274-($D274-$I$265)*MIN(H$3-$O$2,$Q$2)/$Q$2))</f>
        <v>22147.087119969</v>
      </c>
      <c r="I274" s="15" t="n">
        <f aca="false">H274*(1+IF(I$3&lt;=$O$2,$D274,$D274-($D274-$I$265)*MIN(I$3-$O$2,$Q$2)/$Q$2))</f>
        <v>24699.1928623092</v>
      </c>
      <c r="J274" s="15" t="n">
        <f aca="false">I274*(1+IF(J$3&lt;=$O$2,$D274,$D274-($D274-$I$265)*MIN(J$3-$O$2,$Q$2)/$Q$2))</f>
        <v>27140.6463287663</v>
      </c>
      <c r="K274" s="15" t="n">
        <f aca="false">J274*(1+IF(K$3&lt;=$O$2,$D274,$D274-($D274-$I$265)*MIN(K$3-$O$2,$Q$2)/$Q$2))</f>
        <v>29378.6809879403</v>
      </c>
      <c r="L274" s="15" t="n">
        <f aca="false">K274*(1+IF(L$3&lt;=$O$2,$D274,$D274-($D274-$I$265)*MIN(L$3-$O$2,$Q$2)/$Q$2))</f>
        <v>31319.8406108673</v>
      </c>
      <c r="M274" s="15" t="n">
        <f aca="false">L274*(1+IF(M$3&lt;=$O$2,$D274,$D274-($D274-$I$265)*MIN(M$3-$O$2,$Q$2)/$Q$2))</f>
        <v>32876.0256163193</v>
      </c>
      <c r="N274" s="15" t="n">
        <f aca="false">M274*(1+IF(N$3&lt;=$O$2,$D274,$D274-($D274-$I$265)*MIN(N$3-$O$2,$Q$2)/$Q$2))</f>
        <v>33970.7972693428</v>
      </c>
      <c r="O274" s="15" t="n">
        <f aca="false">SUMPRODUCT(E274:N274,1/(1+$F$265)^$E$3:$N$3)*$E$2</f>
        <v>50418.6048710778</v>
      </c>
      <c r="P274" s="15" t="n">
        <f aca="false">N274*$E$2*(1+$I$265)/($F$265-$I$265)/(1+$F$265)^$N$3</f>
        <v>85721.8003727879</v>
      </c>
      <c r="Q274" s="15" t="n">
        <f aca="false">O274+P274</f>
        <v>136140.405243866</v>
      </c>
      <c r="R274" s="15" t="n">
        <f aca="false">Q274-$G$2+$I$2</f>
        <v>124520.405243866</v>
      </c>
      <c r="S274" s="40" t="n">
        <f aca="false">R274/$K$2</f>
        <v>422.43242271556</v>
      </c>
      <c r="T274" s="41" t="n">
        <f aca="false">S274-$M$2</f>
        <v>12.4517598258495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0.109375</v>
      </c>
      <c r="C275" s="25" t="n">
        <f aca="false">IF(T274&gt;0,D274,C274)</f>
        <v>0.115234375</v>
      </c>
      <c r="D275" s="39" t="n">
        <f aca="false">(B275+C275)/2</f>
        <v>0.1123046875</v>
      </c>
      <c r="E275" s="15" t="n">
        <f aca="false">$C$2*(1+IF(E$3&lt;=$O$2,$D275,$D275-($D275-$I$265)*MIN(E$3-$O$2,$Q$2)/$Q$2))</f>
        <v>15924.8662109375</v>
      </c>
      <c r="F275" s="15" t="n">
        <f aca="false">E275*(1+IF(F$3&lt;=$O$2,$D275,$D275-($D275-$I$265)*MIN(F$3-$O$2,$Q$2)/$Q$2))</f>
        <v>17713.3033342361</v>
      </c>
      <c r="G275" s="15" t="n">
        <f aca="false">F275*(1+IF(G$3&lt;=$O$2,$D275,$D275-($D275-$I$265)*MIN(G$3-$O$2,$Q$2)/$Q$2))</f>
        <v>19702.5903297802</v>
      </c>
      <c r="H275" s="15" t="n">
        <f aca="false">G275*(1+IF(H$3&lt;=$O$2,$D275,$D275-($D275-$I$265)*MIN(H$3-$O$2,$Q$2)/$Q$2))</f>
        <v>21915.2835797067</v>
      </c>
      <c r="I275" s="15" t="n">
        <f aca="false">H275*(1+IF(I$3&lt;=$O$2,$D275,$D275-($D275-$I$265)*MIN(I$3-$O$2,$Q$2)/$Q$2))</f>
        <v>24376.4726535996</v>
      </c>
      <c r="J275" s="15" t="n">
        <f aca="false">I275*(1+IF(J$3&lt;=$O$2,$D275,$D275-($D275-$I$265)*MIN(J$3-$O$2,$Q$2)/$Q$2))</f>
        <v>26728.8936764444</v>
      </c>
      <c r="K275" s="15" t="n">
        <f aca="false">J275*(1+IF(K$3&lt;=$O$2,$D275,$D275-($D275-$I$265)*MIN(K$3-$O$2,$Q$2)/$Q$2))</f>
        <v>28885.9905711469</v>
      </c>
      <c r="L275" s="15" t="n">
        <f aca="false">K275*(1+IF(L$3&lt;=$O$2,$D275,$D275-($D275-$I$265)*MIN(L$3-$O$2,$Q$2)/$Q$2))</f>
        <v>30760.7455204467</v>
      </c>
      <c r="M275" s="15" t="n">
        <f aca="false">L275*(1+IF(M$3&lt;=$O$2,$D275,$D275-($D275-$I$265)*MIN(M$3-$O$2,$Q$2)/$Q$2))</f>
        <v>32271.1269636995</v>
      </c>
      <c r="N275" s="15" t="n">
        <f aca="false">M275*(1+IF(N$3&lt;=$O$2,$D275,$D275-($D275-$I$265)*MIN(N$3-$O$2,$Q$2)/$Q$2))</f>
        <v>33345.7554915907</v>
      </c>
      <c r="O275" s="15" t="n">
        <f aca="false">SUMPRODUCT(E275:N275,1/(1+$F$265)^$E$3:$N$3)*$E$2</f>
        <v>49780.8995123313</v>
      </c>
      <c r="P275" s="15" t="n">
        <f aca="false">N275*$E$2*(1+$I$265)/($F$265-$I$265)/(1+$F$265)^$N$3</f>
        <v>84144.5719647438</v>
      </c>
      <c r="Q275" s="15" t="n">
        <f aca="false">O275+P275</f>
        <v>133925.471477075</v>
      </c>
      <c r="R275" s="15" t="n">
        <f aca="false">Q275-$G$2+$I$2</f>
        <v>122305.471477075</v>
      </c>
      <c r="S275" s="40" t="n">
        <f aca="false">R275/$K$2</f>
        <v>414.918314201157</v>
      </c>
      <c r="T275" s="41" t="n">
        <f aca="false">S275-$M$2</f>
        <v>4.93765131144676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0.109375</v>
      </c>
      <c r="C276" s="25" t="n">
        <f aca="false">IF(T275&gt;0,D275,C275)</f>
        <v>0.1123046875</v>
      </c>
      <c r="D276" s="39" t="n">
        <f aca="false">(B276+C276)/2</f>
        <v>0.11083984375</v>
      </c>
      <c r="E276" s="15" t="n">
        <f aca="false">$C$2*(1+IF(E$3&lt;=$O$2,$D276,$D276-($D276-$I$265)*MIN(E$3-$O$2,$Q$2)/$Q$2))</f>
        <v>15903.8940429688</v>
      </c>
      <c r="F276" s="15" t="n">
        <f aca="false">E276*(1+IF(F$3&lt;=$O$2,$D276,$D276-($D276-$I$265)*MIN(F$3-$O$2,$Q$2)/$Q$2))</f>
        <v>17666.679173708</v>
      </c>
      <c r="G276" s="15" t="n">
        <f aca="false">F276*(1+IF(G$3&lt;=$O$2,$D276,$D276-($D276-$I$265)*MIN(G$3-$O$2,$Q$2)/$Q$2))</f>
        <v>19624.8511329031</v>
      </c>
      <c r="H276" s="15" t="n">
        <f aca="false">G276*(1+IF(H$3&lt;=$O$2,$D276,$D276-($D276-$I$265)*MIN(H$3-$O$2,$Q$2)/$Q$2))</f>
        <v>21800.0665660911</v>
      </c>
      <c r="I276" s="15" t="n">
        <f aca="false">H276*(1+IF(I$3&lt;=$O$2,$D276,$D276-($D276-$I$265)*MIN(I$3-$O$2,$Q$2)/$Q$2))</f>
        <v>24216.3825380163</v>
      </c>
      <c r="J276" s="15" t="n">
        <f aca="false">I276*(1+IF(J$3&lt;=$O$2,$D276,$D276-($D276-$I$265)*MIN(J$3-$O$2,$Q$2)/$Q$2))</f>
        <v>26524.9756910826</v>
      </c>
      <c r="K276" s="15" t="n">
        <f aca="false">J276*(1+IF(K$3&lt;=$O$2,$D276,$D276-($D276-$I$265)*MIN(K$3-$O$2,$Q$2)/$Q$2))</f>
        <v>28642.3028639311</v>
      </c>
      <c r="L276" s="15" t="n">
        <f aca="false">K276*(1+IF(L$3&lt;=$O$2,$D276,$D276-($D276-$I$265)*MIN(L$3-$O$2,$Q$2)/$Q$2))</f>
        <v>30484.4594247838</v>
      </c>
      <c r="M276" s="15" t="n">
        <f aca="false">L276*(1+IF(M$3&lt;=$O$2,$D276,$D276-($D276-$I$265)*MIN(M$3-$O$2,$Q$2)/$Q$2))</f>
        <v>31972.3439677493</v>
      </c>
      <c r="N276" s="15" t="n">
        <f aca="false">M276*(1+IF(N$3&lt;=$O$2,$D276,$D276-($D276-$I$265)*MIN(N$3-$O$2,$Q$2)/$Q$2))</f>
        <v>33037.0230218753</v>
      </c>
      <c r="O276" s="15" t="n">
        <f aca="false">SUMPRODUCT(E276:N276,1/(1+$F$265)^$E$3:$N$3)*$E$2</f>
        <v>49465.0469981065</v>
      </c>
      <c r="P276" s="15" t="n">
        <f aca="false">N276*$E$2*(1+$I$265)/($F$265-$I$265)/(1+$F$265)^$N$3</f>
        <v>83365.5174454251</v>
      </c>
      <c r="Q276" s="15" t="n">
        <f aca="false">O276+P276</f>
        <v>132830.564443532</v>
      </c>
      <c r="R276" s="15" t="n">
        <f aca="false">Q276-$G$2+$I$2</f>
        <v>121210.564443532</v>
      </c>
      <c r="S276" s="40" t="n">
        <f aca="false">R276/$K$2</f>
        <v>411.203868926728</v>
      </c>
      <c r="T276" s="41" t="n">
        <f aca="false">S276-$M$2</f>
        <v>1.22320603701741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0.109375</v>
      </c>
      <c r="C277" s="25" t="n">
        <f aca="false">IF(T276&gt;0,D276,C276)</f>
        <v>0.11083984375</v>
      </c>
      <c r="D277" s="39" t="n">
        <f aca="false">(B277+C277)/2</f>
        <v>0.110107421875</v>
      </c>
      <c r="E277" s="15" t="n">
        <f aca="false">$C$2*(1+IF(E$3&lt;=$O$2,$D277,$D277-($D277-$I$265)*MIN(E$3-$O$2,$Q$2)/$Q$2))</f>
        <v>15893.4079589844</v>
      </c>
      <c r="F277" s="15" t="n">
        <f aca="false">E277*(1+IF(F$3&lt;=$O$2,$D277,$D277-($D277-$I$265)*MIN(F$3-$O$2,$Q$2)/$Q$2))</f>
        <v>17643.3901341558</v>
      </c>
      <c r="G277" s="15" t="n">
        <f aca="false">F277*(1+IF(G$3&lt;=$O$2,$D277,$D277-($D277-$I$265)*MIN(G$3-$O$2,$Q$2)/$Q$2))</f>
        <v>19586.0583349625</v>
      </c>
      <c r="H277" s="15" t="n">
        <f aca="false">G277*(1+IF(H$3&lt;=$O$2,$D277,$D277-($D277-$I$265)*MIN(H$3-$O$2,$Q$2)/$Q$2))</f>
        <v>21742.6287229185</v>
      </c>
      <c r="I277" s="15" t="n">
        <f aca="false">H277*(1+IF(I$3&lt;=$O$2,$D277,$D277-($D277-$I$265)*MIN(I$3-$O$2,$Q$2)/$Q$2))</f>
        <v>24136.6535163844</v>
      </c>
      <c r="J277" s="15" t="n">
        <f aca="false">I277*(1+IF(J$3&lt;=$O$2,$D277,$D277-($D277-$I$265)*MIN(J$3-$O$2,$Q$2)/$Q$2))</f>
        <v>26423.5033819069</v>
      </c>
      <c r="K277" s="15" t="n">
        <f aca="false">J277*(1+IF(K$3&lt;=$O$2,$D277,$D277-($D277-$I$265)*MIN(K$3-$O$2,$Q$2)/$Q$2))</f>
        <v>28521.1187475262</v>
      </c>
      <c r="L277" s="15" t="n">
        <f aca="false">K277*(1+IF(L$3&lt;=$O$2,$D277,$D277-($D277-$I$265)*MIN(L$3-$O$2,$Q$2)/$Q$2))</f>
        <v>30347.1254418141</v>
      </c>
      <c r="M277" s="15" t="n">
        <f aca="false">L277*(1+IF(M$3&lt;=$O$2,$D277,$D277-($D277-$I$265)*MIN(M$3-$O$2,$Q$2)/$Q$2))</f>
        <v>31823.8616123271</v>
      </c>
      <c r="N277" s="15" t="n">
        <f aca="false">M277*(1+IF(N$3&lt;=$O$2,$D277,$D277-($D277-$I$265)*MIN(N$3-$O$2,$Q$2)/$Q$2))</f>
        <v>32883.5962040176</v>
      </c>
      <c r="O277" s="15" t="n">
        <f aca="false">SUMPRODUCT(E277:N277,1/(1+$F$265)^$E$3:$N$3)*$E$2</f>
        <v>49307.865707555</v>
      </c>
      <c r="P277" s="15" t="n">
        <f aca="false">N277*$E$2*(1+$I$265)/($F$265-$I$265)/(1+$F$265)^$N$3</f>
        <v>82978.3607075966</v>
      </c>
      <c r="Q277" s="15" t="n">
        <f aca="false">O277+P277</f>
        <v>132286.226415152</v>
      </c>
      <c r="R277" s="15" t="n">
        <f aca="false">Q277-$G$2+$I$2</f>
        <v>120666.226415152</v>
      </c>
      <c r="S277" s="40" t="n">
        <f aca="false">R277/$K$2</f>
        <v>409.35721550752</v>
      </c>
      <c r="T277" s="41" t="n">
        <f aca="false">S277-$M$2</f>
        <v>-0.623447382191046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0.110107421875</v>
      </c>
      <c r="C278" s="25" t="n">
        <f aca="false">IF(T277&gt;0,D277,C277)</f>
        <v>0.11083984375</v>
      </c>
      <c r="D278" s="39" t="n">
        <f aca="false">(B278+C278)/2</f>
        <v>0.1104736328125</v>
      </c>
      <c r="E278" s="15" t="n">
        <f aca="false">$C$2*(1+IF(E$3&lt;=$O$2,$D278,$D278-($D278-$I$265)*MIN(E$3-$O$2,$Q$2)/$Q$2))</f>
        <v>15898.6510009766</v>
      </c>
      <c r="F278" s="15" t="n">
        <f aca="false">E278*(1+IF(F$3&lt;=$O$2,$D278,$D278-($D278-$I$265)*MIN(F$3-$O$2,$Q$2)/$Q$2))</f>
        <v>17655.0327338725</v>
      </c>
      <c r="G278" s="15" t="n">
        <f aca="false">F278*(1+IF(G$3&lt;=$O$2,$D278,$D278-($D278-$I$265)*MIN(G$3-$O$2,$Q$2)/$Q$2))</f>
        <v>19605.448337407</v>
      </c>
      <c r="H278" s="15" t="n">
        <f aca="false">G278*(1+IF(H$3&lt;=$O$2,$D278,$D278-($D278-$I$265)*MIN(H$3-$O$2,$Q$2)/$Q$2))</f>
        <v>21771.3334381582</v>
      </c>
      <c r="I278" s="15" t="n">
        <f aca="false">H278*(1+IF(I$3&lt;=$O$2,$D278,$D278-($D278-$I$265)*MIN(I$3-$O$2,$Q$2)/$Q$2))</f>
        <v>24176.4917342438</v>
      </c>
      <c r="J278" s="15" t="n">
        <f aca="false">I278*(1+IF(J$3&lt;=$O$2,$D278,$D278-($D278-$I$265)*MIN(J$3-$O$2,$Q$2)/$Q$2))</f>
        <v>26474.1990656285</v>
      </c>
      <c r="K278" s="15" t="n">
        <f aca="false">J278*(1+IF(K$3&lt;=$O$2,$D278,$D278-($D278-$I$265)*MIN(K$3-$O$2,$Q$2)/$Q$2))</f>
        <v>28581.6559651314</v>
      </c>
      <c r="L278" s="15" t="n">
        <f aca="false">K278*(1+IF(L$3&lt;=$O$2,$D278,$D278-($D278-$I$265)*MIN(L$3-$O$2,$Q$2)/$Q$2))</f>
        <v>30415.7251978208</v>
      </c>
      <c r="M278" s="15" t="n">
        <f aca="false">L278*(1+IF(M$3&lt;=$O$2,$D278,$D278-($D278-$I$265)*MIN(M$3-$O$2,$Q$2)/$Q$2))</f>
        <v>31898.0272485367</v>
      </c>
      <c r="N278" s="15" t="n">
        <f aca="false">M278*(1+IF(N$3&lt;=$O$2,$D278,$D278-($D278-$I$265)*MIN(N$3-$O$2,$Q$2)/$Q$2))</f>
        <v>32960.231555913</v>
      </c>
      <c r="O278" s="15" t="n">
        <f aca="false">SUMPRODUCT(E278:N278,1/(1+$F$265)^$E$3:$N$3)*$E$2</f>
        <v>49386.3944227006</v>
      </c>
      <c r="P278" s="15" t="n">
        <f aca="false">N278*$E$2*(1+$I$265)/($F$265-$I$265)/(1+$F$265)^$N$3</f>
        <v>83171.742107644</v>
      </c>
      <c r="Q278" s="15" t="n">
        <f aca="false">O278+P278</f>
        <v>132558.136530345</v>
      </c>
      <c r="R278" s="15" t="n">
        <f aca="false">Q278-$G$2+$I$2</f>
        <v>120938.136530345</v>
      </c>
      <c r="S278" s="40" t="n">
        <f aca="false">R278/$K$2</f>
        <v>410.279663908622</v>
      </c>
      <c r="T278" s="41" t="n">
        <f aca="false">S278-$M$2</f>
        <v>0.299001018911895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0.110107421875</v>
      </c>
      <c r="C279" s="25" t="n">
        <f aca="false">IF(T278&gt;0,D278,C278)</f>
        <v>0.1104736328125</v>
      </c>
      <c r="D279" s="39" t="n">
        <f aca="false">(B279+C279)/2</f>
        <v>0.11029052734375</v>
      </c>
      <c r="E279" s="15" t="n">
        <f aca="false">$C$2*(1+IF(E$3&lt;=$O$2,$D279,$D279-($D279-$I$265)*MIN(E$3-$O$2,$Q$2)/$Q$2))</f>
        <v>15896.0294799805</v>
      </c>
      <c r="F279" s="15" t="n">
        <f aca="false">E279*(1+IF(F$3&lt;=$O$2,$D279,$D279-($D279-$I$265)*MIN(F$3-$O$2,$Q$2)/$Q$2))</f>
        <v>17649.2109539993</v>
      </c>
      <c r="G279" s="15" t="n">
        <f aca="false">F279*(1+IF(G$3&lt;=$O$2,$D279,$D279-($D279-$I$265)*MIN(G$3-$O$2,$Q$2)/$Q$2))</f>
        <v>19595.751737317</v>
      </c>
      <c r="H279" s="15" t="n">
        <f aca="false">G279*(1+IF(H$3&lt;=$O$2,$D279,$D279-($D279-$I$265)*MIN(H$3-$O$2,$Q$2)/$Q$2))</f>
        <v>21756.9775301229</v>
      </c>
      <c r="I279" s="15" t="n">
        <f aca="false">H279*(1+IF(I$3&lt;=$O$2,$D279,$D279-($D279-$I$265)*MIN(I$3-$O$2,$Q$2)/$Q$2))</f>
        <v>24156.5660553263</v>
      </c>
      <c r="J279" s="15" t="n">
        <f aca="false">I279*(1+IF(J$3&lt;=$O$2,$D279,$D279-($D279-$I$265)*MIN(J$3-$O$2,$Q$2)/$Q$2))</f>
        <v>26448.8411124996</v>
      </c>
      <c r="K279" s="15" t="n">
        <f aca="false">J279*(1+IF(K$3&lt;=$O$2,$D279,$D279-($D279-$I$265)*MIN(K$3-$O$2,$Q$2)/$Q$2))</f>
        <v>28551.3736564753</v>
      </c>
      <c r="L279" s="15" t="n">
        <f aca="false">K279*(1+IF(L$3&lt;=$O$2,$D279,$D279-($D279-$I$265)*MIN(L$3-$O$2,$Q$2)/$Q$2))</f>
        <v>30381.4085249161</v>
      </c>
      <c r="M279" s="15" t="n">
        <f aca="false">L279*(1+IF(M$3&lt;=$O$2,$D279,$D279-($D279-$I$265)*MIN(M$3-$O$2,$Q$2)/$Q$2))</f>
        <v>31860.9255615516</v>
      </c>
      <c r="N279" s="15" t="n">
        <f aca="false">M279*(1+IF(N$3&lt;=$O$2,$D279,$D279-($D279-$I$265)*MIN(N$3-$O$2,$Q$2)/$Q$2))</f>
        <v>32921.8943827513</v>
      </c>
      <c r="O279" s="15" t="n">
        <f aca="false">SUMPRODUCT(E279:N279,1/(1+$F$265)^$E$3:$N$3)*$E$2</f>
        <v>49347.114593857</v>
      </c>
      <c r="P279" s="15" t="n">
        <f aca="false">N279*$E$2*(1+$I$265)/($F$265-$I$265)/(1+$F$265)^$N$3</f>
        <v>83075.0022084133</v>
      </c>
      <c r="Q279" s="15" t="n">
        <f aca="false">O279+P279</f>
        <v>132422.11680227</v>
      </c>
      <c r="R279" s="15" t="n">
        <f aca="false">Q279-$G$2+$I$2</f>
        <v>120802.11680227</v>
      </c>
      <c r="S279" s="40" t="n">
        <f aca="false">R279/$K$2</f>
        <v>409.81822031506</v>
      </c>
      <c r="T279" s="41" t="n">
        <f aca="false">S279-$M$2</f>
        <v>-0.16244257465047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0.11029052734375</v>
      </c>
      <c r="C280" s="25" t="n">
        <f aca="false">IF(T279&gt;0,D279,C279)</f>
        <v>0.1104736328125</v>
      </c>
      <c r="D280" s="39" t="n">
        <f aca="false">(B280+C280)/2</f>
        <v>0.110382080078125</v>
      </c>
      <c r="E280" s="15" t="n">
        <f aca="false">$C$2*(1+IF(E$3&lt;=$O$2,$D280,$D280-($D280-$I$265)*MIN(E$3-$O$2,$Q$2)/$Q$2))</f>
        <v>15897.3402404785</v>
      </c>
      <c r="F280" s="15" t="n">
        <f aca="false">E280*(1+IF(F$3&lt;=$O$2,$D280,$D280-($D280-$I$265)*MIN(F$3-$O$2,$Q$2)/$Q$2))</f>
        <v>17652.1217239322</v>
      </c>
      <c r="G280" s="15" t="n">
        <f aca="false">F280*(1+IF(G$3&lt;=$O$2,$D280,$D280-($D280-$I$265)*MIN(G$3-$O$2,$Q$2)/$Q$2))</f>
        <v>19600.5996376121</v>
      </c>
      <c r="H280" s="15" t="n">
        <f aca="false">G280*(1+IF(H$3&lt;=$O$2,$D280,$D280-($D280-$I$265)*MIN(H$3-$O$2,$Q$2)/$Q$2))</f>
        <v>21764.1545963903</v>
      </c>
      <c r="I280" s="15" t="n">
        <f aca="false">H280*(1+IF(I$3&lt;=$O$2,$D280,$D280-($D280-$I$265)*MIN(I$3-$O$2,$Q$2)/$Q$2))</f>
        <v>24166.5272518817</v>
      </c>
      <c r="J280" s="15" t="n">
        <f aca="false">I280*(1+IF(J$3&lt;=$O$2,$D280,$D280-($D280-$I$265)*MIN(J$3-$O$2,$Q$2)/$Q$2))</f>
        <v>26461.5175604412</v>
      </c>
      <c r="K280" s="15" t="n">
        <f aca="false">J280*(1+IF(K$3&lt;=$O$2,$D280,$D280-($D280-$I$265)*MIN(K$3-$O$2,$Q$2)/$Q$2))</f>
        <v>28566.5113845534</v>
      </c>
      <c r="L280" s="15" t="n">
        <f aca="false">K280*(1+IF(L$3&lt;=$O$2,$D280,$D280-($D280-$I$265)*MIN(L$3-$O$2,$Q$2)/$Q$2))</f>
        <v>30398.5626608978</v>
      </c>
      <c r="M280" s="15" t="n">
        <f aca="false">L280*(1+IF(M$3&lt;=$O$2,$D280,$D280-($D280-$I$265)*MIN(M$3-$O$2,$Q$2)/$Q$2))</f>
        <v>31879.4716857631</v>
      </c>
      <c r="N280" s="15" t="n">
        <f aca="false">M280*(1+IF(N$3&lt;=$O$2,$D280,$D280-($D280-$I$265)*MIN(N$3-$O$2,$Q$2)/$Q$2))</f>
        <v>32941.0580928991</v>
      </c>
      <c r="O280" s="15" t="n">
        <f aca="false">SUMPRODUCT(E280:N280,1/(1+$F$265)^$E$3:$N$3)*$E$2</f>
        <v>49366.7506390539</v>
      </c>
      <c r="P280" s="15" t="n">
        <f aca="false">N280*$E$2*(1+$I$265)/($F$265-$I$265)/(1+$F$265)^$N$3</f>
        <v>83123.3598528532</v>
      </c>
      <c r="Q280" s="15" t="n">
        <f aca="false">O280+P280</f>
        <v>132490.110491907</v>
      </c>
      <c r="R280" s="15" t="n">
        <f aca="false">Q280-$G$2+$I$2</f>
        <v>120870.110491907</v>
      </c>
      <c r="S280" s="40" t="n">
        <f aca="false">R280/$K$2</f>
        <v>410.048887240584</v>
      </c>
      <c r="T280" s="41" t="n">
        <f aca="false">S280-$M$2</f>
        <v>0.0682243508738907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0.11029052734375</v>
      </c>
      <c r="C281" s="25" t="n">
        <f aca="false">IF(T280&gt;0,D280,C280)</f>
        <v>0.110382080078125</v>
      </c>
      <c r="D281" s="39" t="n">
        <f aca="false">(B281+C281)/2</f>
        <v>0.110336303710938</v>
      </c>
      <c r="E281" s="15" t="n">
        <f aca="false">$C$2*(1+IF(E$3&lt;=$O$2,$D281,$D281-($D281-$I$265)*MIN(E$3-$O$2,$Q$2)/$Q$2))</f>
        <v>15896.6848602295</v>
      </c>
      <c r="F281" s="15" t="n">
        <f aca="false">E281*(1+IF(F$3&lt;=$O$2,$D281,$D281-($D281-$I$265)*MIN(F$3-$O$2,$Q$2)/$Q$2))</f>
        <v>17650.6663089648</v>
      </c>
      <c r="G281" s="15" t="n">
        <f aca="false">F281*(1+IF(G$3&lt;=$O$2,$D281,$D281-($D281-$I$265)*MIN(G$3-$O$2,$Q$2)/$Q$2))</f>
        <v>19598.1755875312</v>
      </c>
      <c r="H281" s="15" t="n">
        <f aca="false">G281*(1+IF(H$3&lt;=$O$2,$D281,$D281-($D281-$I$265)*MIN(H$3-$O$2,$Q$2)/$Q$2))</f>
        <v>21760.5658413373</v>
      </c>
      <c r="I281" s="15" t="n">
        <f aca="false">H281*(1+IF(I$3&lt;=$O$2,$D281,$D281-($D281-$I$265)*MIN(I$3-$O$2,$Q$2)/$Q$2))</f>
        <v>24161.546242929</v>
      </c>
      <c r="J281" s="15" t="n">
        <f aca="false">I281*(1+IF(J$3&lt;=$O$2,$D281,$D281-($D281-$I$265)*MIN(J$3-$O$2,$Q$2)/$Q$2))</f>
        <v>26455.1787044154</v>
      </c>
      <c r="K281" s="15" t="n">
        <f aca="false">J281*(1+IF(K$3&lt;=$O$2,$D281,$D281-($D281-$I$265)*MIN(K$3-$O$2,$Q$2)/$Q$2))</f>
        <v>28558.9416641127</v>
      </c>
      <c r="L281" s="15" t="n">
        <f aca="false">K281*(1+IF(L$3&lt;=$O$2,$D281,$D281-($D281-$I$265)*MIN(L$3-$O$2,$Q$2)/$Q$2))</f>
        <v>30389.9845430075</v>
      </c>
      <c r="M281" s="15" t="n">
        <f aca="false">L281*(1+IF(M$3&lt;=$O$2,$D281,$D281-($D281-$I$265)*MIN(M$3-$O$2,$Q$2)/$Q$2))</f>
        <v>31870.1974440948</v>
      </c>
      <c r="N281" s="15" t="n">
        <f aca="false">M281*(1+IF(N$3&lt;=$O$2,$D281,$D281-($D281-$I$265)*MIN(N$3-$O$2,$Q$2)/$Q$2))</f>
        <v>32931.4750189832</v>
      </c>
      <c r="O281" s="15" t="n">
        <f aca="false">SUMPRODUCT(E281:N281,1/(1+$F$265)^$E$3:$N$3)*$E$2</f>
        <v>49356.9316493252</v>
      </c>
      <c r="P281" s="15" t="n">
        <f aca="false">N281*$E$2*(1+$I$265)/($F$265-$I$265)/(1+$F$265)^$N$3</f>
        <v>83099.1779550112</v>
      </c>
      <c r="Q281" s="15" t="n">
        <f aca="false">O281+P281</f>
        <v>132456.109604336</v>
      </c>
      <c r="R281" s="15" t="n">
        <f aca="false">Q281-$G$2+$I$2</f>
        <v>120836.109604336</v>
      </c>
      <c r="S281" s="40" t="n">
        <f aca="false">R281/$K$2</f>
        <v>409.933540062884</v>
      </c>
      <c r="T281" s="41" t="n">
        <f aca="false">S281-$M$2</f>
        <v>-0.0471228268264099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0.110336303710938</v>
      </c>
      <c r="C282" s="25" t="n">
        <f aca="false">IF(T281&gt;0,D281,C281)</f>
        <v>0.110382080078125</v>
      </c>
      <c r="D282" s="39" t="n">
        <f aca="false">(B282+C282)/2</f>
        <v>0.110359191894531</v>
      </c>
      <c r="E282" s="15" t="n">
        <f aca="false">$C$2*(1+IF(E$3&lt;=$O$2,$D282,$D282-($D282-$I$265)*MIN(E$3-$O$2,$Q$2)/$Q$2))</f>
        <v>15897.012550354</v>
      </c>
      <c r="F282" s="15" t="n">
        <f aca="false">E282*(1+IF(F$3&lt;=$O$2,$D282,$D282-($D282-$I$265)*MIN(F$3-$O$2,$Q$2)/$Q$2))</f>
        <v>17651.3940089483</v>
      </c>
      <c r="G282" s="15" t="n">
        <f aca="false">F282*(1+IF(G$3&lt;=$O$2,$D282,$D282-($D282-$I$265)*MIN(G$3-$O$2,$Q$2)/$Q$2))</f>
        <v>19599.3875875878</v>
      </c>
      <c r="H282" s="15" t="n">
        <f aca="false">G282*(1+IF(H$3&lt;=$O$2,$D282,$D282-($D282-$I$265)*MIN(H$3-$O$2,$Q$2)/$Q$2))</f>
        <v>21762.3601633817</v>
      </c>
      <c r="I282" s="15" t="n">
        <f aca="false">H282*(1+IF(I$3&lt;=$O$2,$D282,$D282-($D282-$I$265)*MIN(I$3-$O$2,$Q$2)/$Q$2))</f>
        <v>24164.0366447302</v>
      </c>
      <c r="J282" s="15" t="n">
        <f aca="false">I282*(1+IF(J$3&lt;=$O$2,$D282,$D282-($D282-$I$265)*MIN(J$3-$O$2,$Q$2)/$Q$2))</f>
        <v>26458.347974402</v>
      </c>
      <c r="K282" s="15" t="n">
        <f aca="false">J282*(1+IF(K$3&lt;=$O$2,$D282,$D282-($D282-$I$265)*MIN(K$3-$O$2,$Q$2)/$Q$2))</f>
        <v>28562.7263102126</v>
      </c>
      <c r="L282" s="15" t="n">
        <f aca="false">K282*(1+IF(L$3&lt;=$O$2,$D282,$D282-($D282-$I$265)*MIN(L$3-$O$2,$Q$2)/$Q$2))</f>
        <v>30394.2733394505</v>
      </c>
      <c r="M282" s="15" t="n">
        <f aca="false">L282*(1+IF(M$3&lt;=$O$2,$D282,$D282-($D282-$I$265)*MIN(M$3-$O$2,$Q$2)/$Q$2))</f>
        <v>31874.8342700061</v>
      </c>
      <c r="N282" s="15" t="n">
        <f aca="false">M282*(1+IF(N$3&lt;=$O$2,$D282,$D282-($D282-$I$265)*MIN(N$3-$O$2,$Q$2)/$Q$2))</f>
        <v>32936.2662511973</v>
      </c>
      <c r="O282" s="15" t="n">
        <f aca="false">SUMPRODUCT(E282:N282,1/(1+$F$265)^$E$3:$N$3)*$E$2</f>
        <v>49361.840902385</v>
      </c>
      <c r="P282" s="15" t="n">
        <f aca="false">N282*$E$2*(1+$I$265)/($F$265-$I$265)/(1+$F$265)^$N$3</f>
        <v>83111.2681349427</v>
      </c>
      <c r="Q282" s="15" t="n">
        <f aca="false">O282+P282</f>
        <v>132473.109037328</v>
      </c>
      <c r="R282" s="15" t="n">
        <f aca="false">Q282-$G$2+$I$2</f>
        <v>120853.109037328</v>
      </c>
      <c r="S282" s="40" t="n">
        <f aca="false">R282/$K$2</f>
        <v>409.99121022264</v>
      </c>
      <c r="T282" s="41" t="n">
        <f aca="false">S282-$M$2</f>
        <v>0.010547332929832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0.110336303710938</v>
      </c>
      <c r="C283" s="25" t="n">
        <f aca="false">IF(T282&gt;0,D282,C282)</f>
        <v>0.110359191894531</v>
      </c>
      <c r="D283" s="39" t="n">
        <f aca="false">(B283+C283)/2</f>
        <v>0.110347747802734</v>
      </c>
      <c r="E283" s="15" t="n">
        <f aca="false">$C$2*(1+IF(E$3&lt;=$O$2,$D283,$D283-($D283-$I$265)*MIN(E$3-$O$2,$Q$2)/$Q$2))</f>
        <v>15896.8487052917</v>
      </c>
      <c r="F283" s="15" t="n">
        <f aca="false">E283*(1+IF(F$3&lt;=$O$2,$D283,$D283-($D283-$I$265)*MIN(F$3-$O$2,$Q$2)/$Q$2))</f>
        <v>17651.0301570815</v>
      </c>
      <c r="G283" s="15" t="n">
        <f aca="false">F283*(1+IF(G$3&lt;=$O$2,$D283,$D283-($D283-$I$265)*MIN(G$3-$O$2,$Q$2)/$Q$2))</f>
        <v>19598.7815813136</v>
      </c>
      <c r="H283" s="15" t="n">
        <f aca="false">G283*(1+IF(H$3&lt;=$O$2,$D283,$D283-($D283-$I$265)*MIN(H$3-$O$2,$Q$2)/$Q$2))</f>
        <v>21761.4629884893</v>
      </c>
      <c r="I283" s="15" t="n">
        <f aca="false">H283*(1+IF(I$3&lt;=$O$2,$D283,$D283-($D283-$I$265)*MIN(I$3-$O$2,$Q$2)/$Q$2))</f>
        <v>24162.7914181616</v>
      </c>
      <c r="J283" s="15" t="n">
        <f aca="false">I283*(1+IF(J$3&lt;=$O$2,$D283,$D283-($D283-$I$265)*MIN(J$3-$O$2,$Q$2)/$Q$2))</f>
        <v>26456.7632999037</v>
      </c>
      <c r="K283" s="15" t="n">
        <f aca="false">J283*(1+IF(K$3&lt;=$O$2,$D283,$D283-($D283-$I$265)*MIN(K$3-$O$2,$Q$2)/$Q$2))</f>
        <v>28560.833933635</v>
      </c>
      <c r="L283" s="15" t="n">
        <f aca="false">K283*(1+IF(L$3&lt;=$O$2,$D283,$D283-($D283-$I$265)*MIN(L$3-$O$2,$Q$2)/$Q$2))</f>
        <v>30392.1288756069</v>
      </c>
      <c r="M283" s="15" t="n">
        <f aca="false">L283*(1+IF(M$3&lt;=$O$2,$D283,$D283-($D283-$I$265)*MIN(M$3-$O$2,$Q$2)/$Q$2))</f>
        <v>31872.5157833238</v>
      </c>
      <c r="N283" s="15" t="n">
        <f aca="false">M283*(1+IF(N$3&lt;=$O$2,$D283,$D283-($D283-$I$265)*MIN(N$3-$O$2,$Q$2)/$Q$2))</f>
        <v>32933.8705589085</v>
      </c>
      <c r="O283" s="15" t="n">
        <f aca="false">SUMPRODUCT(E283:N283,1/(1+$F$265)^$E$3:$N$3)*$E$2</f>
        <v>49359.3862154067</v>
      </c>
      <c r="P283" s="15" t="n">
        <f aca="false">N283*$E$2*(1+$I$265)/($F$265-$I$265)/(1+$F$265)^$N$3</f>
        <v>83105.2228527401</v>
      </c>
      <c r="Q283" s="15" t="n">
        <f aca="false">O283+P283</f>
        <v>132464.609068147</v>
      </c>
      <c r="R283" s="15" t="n">
        <f aca="false">Q283-$G$2+$I$2</f>
        <v>120844.609068147</v>
      </c>
      <c r="S283" s="40" t="n">
        <f aca="false">R283/$K$2</f>
        <v>409.962374285534</v>
      </c>
      <c r="T283" s="41" t="n">
        <f aca="false">S283-$M$2</f>
        <v>-0.0182886041766892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0.110347747802734</v>
      </c>
      <c r="C284" s="25" t="n">
        <f aca="false">IF(T283&gt;0,D283,C283)</f>
        <v>0.110359191894531</v>
      </c>
      <c r="D284" s="39" t="n">
        <f aca="false">(B284+C284)/2</f>
        <v>0.110353469848633</v>
      </c>
      <c r="E284" s="15" t="n">
        <f aca="false">$C$2*(1+IF(E$3&lt;=$O$2,$D284,$D284-($D284-$I$265)*MIN(E$3-$O$2,$Q$2)/$Q$2))</f>
        <v>15896.9306278229</v>
      </c>
      <c r="F284" s="15" t="n">
        <f aca="false">E284*(1+IF(F$3&lt;=$O$2,$D284,$D284-($D284-$I$265)*MIN(F$3-$O$2,$Q$2)/$Q$2))</f>
        <v>17651.2120825461</v>
      </c>
      <c r="G284" s="15" t="n">
        <f aca="false">F284*(1+IF(G$3&lt;=$O$2,$D284,$D284-($D284-$I$265)*MIN(G$3-$O$2,$Q$2)/$Q$2))</f>
        <v>19599.0845828892</v>
      </c>
      <c r="H284" s="15" t="n">
        <f aca="false">G284*(1+IF(H$3&lt;=$O$2,$D284,$D284-($D284-$I$265)*MIN(H$3-$O$2,$Q$2)/$Q$2))</f>
        <v>21761.9115724679</v>
      </c>
      <c r="I284" s="15" t="n">
        <f aca="false">H284*(1+IF(I$3&lt;=$O$2,$D284,$D284-($D284-$I$265)*MIN(I$3-$O$2,$Q$2)/$Q$2))</f>
        <v>24163.4140250288</v>
      </c>
      <c r="J284" s="15" t="n">
        <f aca="false">I284*(1+IF(J$3&lt;=$O$2,$D284,$D284-($D284-$I$265)*MIN(J$3-$O$2,$Q$2)/$Q$2))</f>
        <v>26457.5556272764</v>
      </c>
      <c r="K284" s="15" t="n">
        <f aca="false">J284*(1+IF(K$3&lt;=$O$2,$D284,$D284-($D284-$I$265)*MIN(K$3-$O$2,$Q$2)/$Q$2))</f>
        <v>28561.7801085416</v>
      </c>
      <c r="L284" s="15" t="n">
        <f aca="false">K284*(1+IF(L$3&lt;=$O$2,$D284,$D284-($D284-$I$265)*MIN(L$3-$O$2,$Q$2)/$Q$2))</f>
        <v>30393.2010911227</v>
      </c>
      <c r="M284" s="15" t="n">
        <f aca="false">L284*(1+IF(M$3&lt;=$O$2,$D284,$D284-($D284-$I$265)*MIN(M$3-$O$2,$Q$2)/$Q$2))</f>
        <v>31873.6750082328</v>
      </c>
      <c r="N284" s="15" t="n">
        <f aca="false">M284*(1+IF(N$3&lt;=$O$2,$D284,$D284-($D284-$I$265)*MIN(N$3-$O$2,$Q$2)/$Q$2))</f>
        <v>32935.0683860069</v>
      </c>
      <c r="O284" s="15" t="n">
        <f aca="false">SUMPRODUCT(E284:N284,1/(1+$F$265)^$E$3:$N$3)*$E$2</f>
        <v>49360.6135437834</v>
      </c>
      <c r="P284" s="15" t="n">
        <f aca="false">N284*$E$2*(1+$I$265)/($F$265-$I$265)/(1+$F$265)^$N$3</f>
        <v>83108.2454457809</v>
      </c>
      <c r="Q284" s="15" t="n">
        <f aca="false">O284+P284</f>
        <v>132468.858989564</v>
      </c>
      <c r="R284" s="15" t="n">
        <f aca="false">Q284-$G$2+$I$2</f>
        <v>120848.858989564</v>
      </c>
      <c r="S284" s="40" t="n">
        <f aca="false">R284/$K$2</f>
        <v>409.976792039774</v>
      </c>
      <c r="T284" s="41" t="n">
        <f aca="false">S284-$M$2</f>
        <v>-0.00387084993627695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0.110353469848633</v>
      </c>
      <c r="C285" s="25" t="n">
        <f aca="false">IF(T284&gt;0,D284,C284)</f>
        <v>0.110359191894531</v>
      </c>
      <c r="D285" s="39" t="n">
        <f aca="false">(B285+C285)/2</f>
        <v>0.110356330871582</v>
      </c>
      <c r="E285" s="15" t="n">
        <f aca="false">$C$2*(1+IF(E$3&lt;=$O$2,$D285,$D285-($D285-$I$265)*MIN(E$3-$O$2,$Q$2)/$Q$2))</f>
        <v>15896.9715890884</v>
      </c>
      <c r="F285" s="15" t="n">
        <f aca="false">E285*(1+IF(F$3&lt;=$O$2,$D285,$D285-($D285-$I$265)*MIN(F$3-$O$2,$Q$2)/$Q$2))</f>
        <v>17651.30304563</v>
      </c>
      <c r="G285" s="15" t="n">
        <f aca="false">F285*(1+IF(G$3&lt;=$O$2,$D285,$D285-($D285-$I$265)*MIN(G$3-$O$2,$Q$2)/$Q$2))</f>
        <v>19599.2360848481</v>
      </c>
      <c r="H285" s="15" t="n">
        <f aca="false">G285*(1+IF(H$3&lt;=$O$2,$D285,$D285-($D285-$I$265)*MIN(H$3-$O$2,$Q$2)/$Q$2))</f>
        <v>21762.1358670579</v>
      </c>
      <c r="I285" s="15" t="n">
        <f aca="false">H285*(1+IF(I$3&lt;=$O$2,$D285,$D285-($D285-$I$265)*MIN(I$3-$O$2,$Q$2)/$Q$2))</f>
        <v>24163.7253332752</v>
      </c>
      <c r="J285" s="15" t="n">
        <f aca="false">I285*(1+IF(J$3&lt;=$O$2,$D285,$D285-($D285-$I$265)*MIN(J$3-$O$2,$Q$2)/$Q$2))</f>
        <v>26457.95179837</v>
      </c>
      <c r="K285" s="15" t="n">
        <f aca="false">J285*(1+IF(K$3&lt;=$O$2,$D285,$D285-($D285-$I$265)*MIN(K$3-$O$2,$Q$2)/$Q$2))</f>
        <v>28562.2532060315</v>
      </c>
      <c r="L285" s="15" t="n">
        <f aca="false">K285*(1+IF(L$3&lt;=$O$2,$D285,$D285-($D285-$I$265)*MIN(L$3-$O$2,$Q$2)/$Q$2))</f>
        <v>30393.7372111851</v>
      </c>
      <c r="M285" s="15" t="n">
        <f aca="false">L285*(1+IF(M$3&lt;=$O$2,$D285,$D285-($D285-$I$265)*MIN(M$3-$O$2,$Q$2)/$Q$2))</f>
        <v>31874.2546345113</v>
      </c>
      <c r="N285" s="15" t="n">
        <f aca="false">M285*(1+IF(N$3&lt;=$O$2,$D285,$D285-($D285-$I$265)*MIN(N$3-$O$2,$Q$2)/$Q$2))</f>
        <v>32935.6673138406</v>
      </c>
      <c r="O285" s="15" t="n">
        <f aca="false">SUMPRODUCT(E285:N285,1/(1+$F$265)^$E$3:$N$3)*$E$2</f>
        <v>49361.227219306</v>
      </c>
      <c r="P285" s="15" t="n">
        <f aca="false">N285*$E$2*(1+$I$265)/($F$265-$I$265)/(1+$F$265)^$N$3</f>
        <v>83109.7567783465</v>
      </c>
      <c r="Q285" s="15" t="n">
        <f aca="false">O285+P285</f>
        <v>132470.983997653</v>
      </c>
      <c r="R285" s="15" t="n">
        <f aca="false">Q285-$G$2+$I$2</f>
        <v>120850.983997653</v>
      </c>
      <c r="S285" s="40" t="n">
        <f aca="false">R285/$K$2</f>
        <v>409.984001077628</v>
      </c>
      <c r="T285" s="41" t="n">
        <f aca="false">S285-$M$2</f>
        <v>0.00333818791779095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0.110353469848633</v>
      </c>
      <c r="C286" s="25" t="n">
        <f aca="false">IF(T285&gt;0,D285,C285)</f>
        <v>0.110356330871582</v>
      </c>
      <c r="D286" s="39" t="n">
        <f aca="false">(B286+C286)/2</f>
        <v>0.110354900360107</v>
      </c>
      <c r="E286" s="15" t="n">
        <f aca="false">$C$2*(1+IF(E$3&lt;=$O$2,$D286,$D286-($D286-$I$265)*MIN(E$3-$O$2,$Q$2)/$Q$2))</f>
        <v>15896.9511084557</v>
      </c>
      <c r="F286" s="15" t="n">
        <f aca="false">E286*(1+IF(F$3&lt;=$O$2,$D286,$D286-($D286-$I$265)*MIN(F$3-$O$2,$Q$2)/$Q$2))</f>
        <v>17651.2575640588</v>
      </c>
      <c r="G286" s="15" t="n">
        <f aca="false">F286*(1+IF(G$3&lt;=$O$2,$D286,$D286-($D286-$I$265)*MIN(G$3-$O$2,$Q$2)/$Q$2))</f>
        <v>19599.1603337711</v>
      </c>
      <c r="H286" s="15" t="n">
        <f aca="false">G286*(1+IF(H$3&lt;=$O$2,$D286,$D286-($D286-$I$265)*MIN(H$3-$O$2,$Q$2)/$Q$2))</f>
        <v>21762.0237195462</v>
      </c>
      <c r="I286" s="15" t="n">
        <f aca="false">H286*(1+IF(I$3&lt;=$O$2,$D286,$D286-($D286-$I$265)*MIN(I$3-$O$2,$Q$2)/$Q$2))</f>
        <v>24163.569678751</v>
      </c>
      <c r="J286" s="15" t="n">
        <f aca="false">I286*(1+IF(J$3&lt;=$O$2,$D286,$D286-($D286-$I$265)*MIN(J$3-$O$2,$Q$2)/$Q$2))</f>
        <v>26457.7537122059</v>
      </c>
      <c r="K286" s="15" t="n">
        <f aca="false">J286*(1+IF(K$3&lt;=$O$2,$D286,$D286-($D286-$I$265)*MIN(K$3-$O$2,$Q$2)/$Q$2))</f>
        <v>28562.0166564501</v>
      </c>
      <c r="L286" s="15" t="n">
        <f aca="false">K286*(1+IF(L$3&lt;=$O$2,$D286,$D286-($D286-$I$265)*MIN(L$3-$O$2,$Q$2)/$Q$2))</f>
        <v>30393.4691501285</v>
      </c>
      <c r="M286" s="15" t="n">
        <f aca="false">L286*(1+IF(M$3&lt;=$O$2,$D286,$D286-($D286-$I$265)*MIN(M$3-$O$2,$Q$2)/$Q$2))</f>
        <v>31873.96482022</v>
      </c>
      <c r="N286" s="15" t="n">
        <f aca="false">M286*(1+IF(N$3&lt;=$O$2,$D286,$D286-($D286-$I$265)*MIN(N$3-$O$2,$Q$2)/$Q$2))</f>
        <v>32935.3678487334</v>
      </c>
      <c r="O286" s="15" t="n">
        <f aca="false">SUMPRODUCT(E286:N286,1/(1+$F$265)^$E$3:$N$3)*$E$2</f>
        <v>49360.9203806002</v>
      </c>
      <c r="P286" s="15" t="n">
        <f aca="false">N286*$E$2*(1+$I$265)/($F$265-$I$265)/(1+$F$265)^$N$3</f>
        <v>83109.0011090599</v>
      </c>
      <c r="Q286" s="15" t="n">
        <f aca="false">O286+P286</f>
        <v>132469.92148966</v>
      </c>
      <c r="R286" s="15" t="n">
        <f aca="false">Q286-$G$2+$I$2</f>
        <v>120849.92148966</v>
      </c>
      <c r="S286" s="40" t="n">
        <f aca="false">R286/$K$2</f>
        <v>409.980396545307</v>
      </c>
      <c r="T286" s="41" t="n">
        <f aca="false">S286-$M$2</f>
        <v>-0.000266344403769381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0.110354900360107</v>
      </c>
      <c r="C287" s="25" t="n">
        <f aca="false">IF(T286&gt;0,D286,C286)</f>
        <v>0.110356330871582</v>
      </c>
      <c r="D287" s="39" t="n">
        <f aca="false">(B287+C287)/2</f>
        <v>0.110355615615845</v>
      </c>
      <c r="E287" s="15" t="n">
        <f aca="false">$C$2*(1+IF(E$3&lt;=$O$2,$D287,$D287-($D287-$I$265)*MIN(E$3-$O$2,$Q$2)/$Q$2))</f>
        <v>15896.961348772</v>
      </c>
      <c r="F287" s="15" t="n">
        <f aca="false">E287*(1+IF(F$3&lt;=$O$2,$D287,$D287-($D287-$I$265)*MIN(F$3-$O$2,$Q$2)/$Q$2))</f>
        <v>17651.2803048371</v>
      </c>
      <c r="G287" s="15" t="n">
        <f aca="false">F287*(1+IF(G$3&lt;=$O$2,$D287,$D287-($D287-$I$265)*MIN(G$3-$O$2,$Q$2)/$Q$2))</f>
        <v>19599.1982092852</v>
      </c>
      <c r="H287" s="15" t="n">
        <f aca="false">G287*(1+IF(H$3&lt;=$O$2,$D287,$D287-($D287-$I$265)*MIN(H$3-$O$2,$Q$2)/$Q$2))</f>
        <v>21762.0797932478</v>
      </c>
      <c r="I287" s="15" t="n">
        <f aca="false">H287*(1+IF(I$3&lt;=$O$2,$D287,$D287-($D287-$I$265)*MIN(I$3-$O$2,$Q$2)/$Q$2))</f>
        <v>24163.6475059128</v>
      </c>
      <c r="J287" s="15" t="n">
        <f aca="false">I287*(1+IF(J$3&lt;=$O$2,$D287,$D287-($D287-$I$265)*MIN(J$3-$O$2,$Q$2)/$Q$2))</f>
        <v>26457.8527551337</v>
      </c>
      <c r="K287" s="15" t="n">
        <f aca="false">J287*(1+IF(K$3&lt;=$O$2,$D287,$D287-($D287-$I$265)*MIN(K$3-$O$2,$Q$2)/$Q$2))</f>
        <v>28562.1349310317</v>
      </c>
      <c r="L287" s="15" t="n">
        <f aca="false">K287*(1+IF(L$3&lt;=$O$2,$D287,$D287-($D287-$I$265)*MIN(L$3-$O$2,$Q$2)/$Q$2))</f>
        <v>30393.6031804005</v>
      </c>
      <c r="M287" s="15" t="n">
        <f aca="false">L287*(1+IF(M$3&lt;=$O$2,$D287,$D287-($D287-$I$265)*MIN(M$3-$O$2,$Q$2)/$Q$2))</f>
        <v>31874.1097270777</v>
      </c>
      <c r="N287" s="15" t="n">
        <f aca="false">M287*(1+IF(N$3&lt;=$O$2,$D287,$D287-($D287-$I$265)*MIN(N$3-$O$2,$Q$2)/$Q$2))</f>
        <v>32935.5175809894</v>
      </c>
      <c r="O287" s="15" t="n">
        <f aca="false">SUMPRODUCT(E287:N287,1/(1+$F$265)^$E$3:$N$3)*$E$2</f>
        <v>49361.073799717</v>
      </c>
      <c r="P287" s="15" t="n">
        <f aca="false">N287*$E$2*(1+$I$265)/($F$265-$I$265)/(1+$F$265)^$N$3</f>
        <v>83109.3789429522</v>
      </c>
      <c r="Q287" s="15" t="n">
        <f aca="false">O287+P287</f>
        <v>132470.452742669</v>
      </c>
      <c r="R287" s="15" t="n">
        <f aca="false">Q287-$G$2+$I$2</f>
        <v>120850.452742669</v>
      </c>
      <c r="S287" s="40" t="n">
        <f aca="false">R287/$K$2</f>
        <v>409.982198808119</v>
      </c>
      <c r="T287" s="41" t="n">
        <f aca="false">S287-$M$2</f>
        <v>0.00153591840836498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0.110354900360107</v>
      </c>
      <c r="C288" s="25" t="n">
        <f aca="false">IF(T287&gt;0,D287,C287)</f>
        <v>0.110355615615845</v>
      </c>
      <c r="D288" s="39" t="n">
        <f aca="false">(B288+C288)/2</f>
        <v>0.110355257987976</v>
      </c>
      <c r="E288" s="15" t="n">
        <f aca="false">$C$2*(1+IF(E$3&lt;=$O$2,$D288,$D288-($D288-$I$265)*MIN(E$3-$O$2,$Q$2)/$Q$2))</f>
        <v>15896.9562286139</v>
      </c>
      <c r="F288" s="15" t="n">
        <f aca="false">E288*(1+IF(F$3&lt;=$O$2,$D288,$D288-($D288-$I$265)*MIN(F$3-$O$2,$Q$2)/$Q$2))</f>
        <v>17651.2689344461</v>
      </c>
      <c r="G288" s="15" t="n">
        <f aca="false">F288*(1+IF(G$3&lt;=$O$2,$D288,$D288-($D288-$I$265)*MIN(G$3-$O$2,$Q$2)/$Q$2))</f>
        <v>19599.179271522</v>
      </c>
      <c r="H288" s="15" t="n">
        <f aca="false">G288*(1+IF(H$3&lt;=$O$2,$D288,$D288-($D288-$I$265)*MIN(H$3-$O$2,$Q$2)/$Q$2))</f>
        <v>21762.0517563835</v>
      </c>
      <c r="I288" s="15" t="n">
        <f aca="false">H288*(1+IF(I$3&lt;=$O$2,$D288,$D288-($D288-$I$265)*MIN(I$3-$O$2,$Q$2)/$Q$2))</f>
        <v>24163.6085923068</v>
      </c>
      <c r="J288" s="15" t="n">
        <f aca="false">I288*(1+IF(J$3&lt;=$O$2,$D288,$D288-($D288-$I$265)*MIN(J$3-$O$2,$Q$2)/$Q$2))</f>
        <v>26457.8032336312</v>
      </c>
      <c r="K288" s="15" t="n">
        <f aca="false">J288*(1+IF(K$3&lt;=$O$2,$D288,$D288-($D288-$I$265)*MIN(K$3-$O$2,$Q$2)/$Q$2))</f>
        <v>28562.0757936887</v>
      </c>
      <c r="L288" s="15" t="n">
        <f aca="false">K288*(1+IF(L$3&lt;=$O$2,$D288,$D288-($D288-$I$265)*MIN(L$3-$O$2,$Q$2)/$Q$2))</f>
        <v>30393.5361652004</v>
      </c>
      <c r="M288" s="15" t="n">
        <f aca="false">L288*(1+IF(M$3&lt;=$O$2,$D288,$D288-($D288-$I$265)*MIN(M$3-$O$2,$Q$2)/$Q$2))</f>
        <v>31874.0372735769</v>
      </c>
      <c r="N288" s="15" t="n">
        <f aca="false">M288*(1+IF(N$3&lt;=$O$2,$D288,$D288-($D288-$I$265)*MIN(N$3-$O$2,$Q$2)/$Q$2))</f>
        <v>32935.442714787</v>
      </c>
      <c r="O288" s="15" t="n">
        <f aca="false">SUMPRODUCT(E288:N288,1/(1+$F$265)^$E$3:$N$3)*$E$2</f>
        <v>49360.9970900995</v>
      </c>
      <c r="P288" s="15" t="n">
        <f aca="false">N288*$E$2*(1+$I$265)/($F$265-$I$265)/(1+$F$265)^$N$3</f>
        <v>83109.1900258184</v>
      </c>
      <c r="Q288" s="15" t="n">
        <f aca="false">O288+P288</f>
        <v>132470.187115918</v>
      </c>
      <c r="R288" s="15" t="n">
        <f aca="false">Q288-$G$2+$I$2</f>
        <v>120850.187115918</v>
      </c>
      <c r="S288" s="40" t="n">
        <f aca="false">R288/$K$2</f>
        <v>409.981297675876</v>
      </c>
      <c r="T288" s="41" t="n">
        <f aca="false">S288-$M$2</f>
        <v>0.000634786165164769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0.110354900360107</v>
      </c>
      <c r="C289" s="25" t="n">
        <f aca="false">IF(T288&gt;0,D288,C288)</f>
        <v>0.110355257987976</v>
      </c>
      <c r="D289" s="39" t="n">
        <f aca="false">(B289+C289)/2</f>
        <v>0.110355079174042</v>
      </c>
      <c r="E289" s="15" t="n">
        <f aca="false">$C$2*(1+IF(E$3&lt;=$O$2,$D289,$D289-($D289-$I$265)*MIN(E$3-$O$2,$Q$2)/$Q$2))</f>
        <v>15896.9536685348</v>
      </c>
      <c r="F289" s="15" t="n">
        <f aca="false">E289*(1+IF(F$3&lt;=$O$2,$D289,$D289-($D289-$I$265)*MIN(F$3-$O$2,$Q$2)/$Q$2))</f>
        <v>17651.263249252</v>
      </c>
      <c r="G289" s="15" t="n">
        <f aca="false">F289*(1+IF(G$3&lt;=$O$2,$D289,$D289-($D289-$I$265)*MIN(G$3-$O$2,$Q$2)/$Q$2))</f>
        <v>19599.169802645</v>
      </c>
      <c r="H289" s="15" t="n">
        <f aca="false">G289*(1+IF(H$3&lt;=$O$2,$D289,$D289-($D289-$I$265)*MIN(H$3-$O$2,$Q$2)/$Q$2))</f>
        <v>21762.0377379614</v>
      </c>
      <c r="I289" s="15" t="n">
        <f aca="false">H289*(1+IF(I$3&lt;=$O$2,$D289,$D289-($D289-$I$265)*MIN(I$3-$O$2,$Q$2)/$Q$2))</f>
        <v>24163.5891355226</v>
      </c>
      <c r="J289" s="15" t="n">
        <f aca="false">I289*(1+IF(J$3&lt;=$O$2,$D289,$D289-($D289-$I$265)*MIN(J$3-$O$2,$Q$2)/$Q$2))</f>
        <v>26457.7784729089</v>
      </c>
      <c r="K289" s="15" t="n">
        <f aca="false">J289*(1+IF(K$3&lt;=$O$2,$D289,$D289-($D289-$I$265)*MIN(K$3-$O$2,$Q$2)/$Q$2))</f>
        <v>28562.0462250563</v>
      </c>
      <c r="L289" s="15" t="n">
        <f aca="false">K289*(1+IF(L$3&lt;=$O$2,$D289,$D289-($D289-$I$265)*MIN(L$3-$O$2,$Q$2)/$Q$2))</f>
        <v>30393.5026576485</v>
      </c>
      <c r="M289" s="15" t="n">
        <f aca="false">L289*(1+IF(M$3&lt;=$O$2,$D289,$D289-($D289-$I$265)*MIN(M$3-$O$2,$Q$2)/$Q$2))</f>
        <v>31874.0010468805</v>
      </c>
      <c r="N289" s="15" t="n">
        <f aca="false">M289*(1+IF(N$3&lt;=$O$2,$D289,$D289-($D289-$I$265)*MIN(N$3-$O$2,$Q$2)/$Q$2))</f>
        <v>32935.4052817416</v>
      </c>
      <c r="O289" s="15" t="n">
        <f aca="false">SUMPRODUCT(E289:N289,1/(1+$F$265)^$E$3:$N$3)*$E$2</f>
        <v>49360.9587353351</v>
      </c>
      <c r="P289" s="15" t="n">
        <f aca="false">N289*$E$2*(1+$I$265)/($F$265-$I$265)/(1+$F$265)^$N$3</f>
        <v>83109.0955673922</v>
      </c>
      <c r="Q289" s="15" t="n">
        <f aca="false">O289+P289</f>
        <v>132470.054302727</v>
      </c>
      <c r="R289" s="15" t="n">
        <f aca="false">Q289-$G$2+$I$2</f>
        <v>120850.054302727</v>
      </c>
      <c r="S289" s="40" t="n">
        <f aca="false">R289/$K$2</f>
        <v>409.980847110382</v>
      </c>
      <c r="T289" s="41" t="n">
        <f aca="false">S289-$M$2</f>
        <v>0.000184220671371804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0.110354900360107</v>
      </c>
      <c r="C290" s="25" t="n">
        <f aca="false">IF(T289&gt;0,D289,C289)</f>
        <v>0.110355079174042</v>
      </c>
      <c r="D290" s="39" t="n">
        <f aca="false">(B290+C290)/2</f>
        <v>0.110354989767075</v>
      </c>
      <c r="E290" s="15" t="n">
        <f aca="false">$C$2*(1+IF(E$3&lt;=$O$2,$D290,$D290-($D290-$I$265)*MIN(E$3-$O$2,$Q$2)/$Q$2))</f>
        <v>15896.9523884952</v>
      </c>
      <c r="F290" s="15" t="n">
        <f aca="false">E290*(1+IF(F$3&lt;=$O$2,$D290,$D290-($D290-$I$265)*MIN(F$3-$O$2,$Q$2)/$Q$2))</f>
        <v>17651.2604066553</v>
      </c>
      <c r="G290" s="15" t="n">
        <f aca="false">F290*(1+IF(G$3&lt;=$O$2,$D290,$D290-($D290-$I$265)*MIN(G$3-$O$2,$Q$2)/$Q$2))</f>
        <v>19599.1650682077</v>
      </c>
      <c r="H290" s="15" t="n">
        <f aca="false">G290*(1+IF(H$3&lt;=$O$2,$D290,$D290-($D290-$I$265)*MIN(H$3-$O$2,$Q$2)/$Q$2))</f>
        <v>21762.0307287529</v>
      </c>
      <c r="I290" s="15" t="n">
        <f aca="false">H290*(1+IF(I$3&lt;=$O$2,$D290,$D290-($D290-$I$265)*MIN(I$3-$O$2,$Q$2)/$Q$2))</f>
        <v>24163.5794071352</v>
      </c>
      <c r="J290" s="15" t="n">
        <f aca="false">I290*(1+IF(J$3&lt;=$O$2,$D290,$D290-($D290-$I$265)*MIN(J$3-$O$2,$Q$2)/$Q$2))</f>
        <v>26457.766092555</v>
      </c>
      <c r="K290" s="15" t="n">
        <f aca="false">J290*(1+IF(K$3&lt;=$O$2,$D290,$D290-($D290-$I$265)*MIN(K$3-$O$2,$Q$2)/$Q$2))</f>
        <v>28562.03144075</v>
      </c>
      <c r="L290" s="15" t="n">
        <f aca="false">K290*(1+IF(L$3&lt;=$O$2,$D290,$D290-($D290-$I$265)*MIN(L$3-$O$2,$Q$2)/$Q$2))</f>
        <v>30393.4859038845</v>
      </c>
      <c r="M290" s="15" t="n">
        <f aca="false">L290*(1+IF(M$3&lt;=$O$2,$D290,$D290-($D290-$I$265)*MIN(M$3-$O$2,$Q$2)/$Q$2))</f>
        <v>31873.9829335457</v>
      </c>
      <c r="N290" s="15" t="n">
        <f aca="false">M290*(1+IF(N$3&lt;=$O$2,$D290,$D290-($D290-$I$265)*MIN(N$3-$O$2,$Q$2)/$Q$2))</f>
        <v>32935.3865652328</v>
      </c>
      <c r="O290" s="15" t="n">
        <f aca="false">SUMPRODUCT(E290:N290,1/(1+$F$265)^$E$3:$N$3)*$E$2</f>
        <v>49360.9395579639</v>
      </c>
      <c r="P290" s="15" t="n">
        <f aca="false">N290*$E$2*(1+$I$265)/($F$265-$I$265)/(1+$F$265)^$N$3</f>
        <v>83109.0483382143</v>
      </c>
      <c r="Q290" s="15" t="n">
        <f aca="false">O290+P290</f>
        <v>132469.987896178</v>
      </c>
      <c r="R290" s="15" t="n">
        <f aca="false">Q290-$G$2+$I$2</f>
        <v>120849.987896178</v>
      </c>
      <c r="S290" s="40" t="n">
        <f aca="false">R290/$K$2</f>
        <v>409.980621827792</v>
      </c>
      <c r="T290" s="41" t="n">
        <f aca="false">S290-$M$2</f>
        <v>-4.10619186936856E-005</v>
      </c>
    </row>
    <row r="292" customFormat="false" ht="15" hidden="false" customHeight="false" outlineLevel="0" collapsed="false">
      <c r="A292" s="36" t="s">
        <v>184</v>
      </c>
      <c r="E292" s="5" t="s">
        <v>11</v>
      </c>
      <c r="F292" s="12" t="n">
        <f aca="false">Sensitivity!$B$11</f>
        <v>0.0898919064489092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6" t="s">
        <v>155</v>
      </c>
      <c r="B293" s="28" t="s">
        <v>156</v>
      </c>
      <c r="C293" s="28" t="s">
        <v>157</v>
      </c>
      <c r="D293" s="28" t="s">
        <v>158</v>
      </c>
      <c r="E293" s="28" t="s">
        <v>159</v>
      </c>
      <c r="F293" s="28" t="s">
        <v>160</v>
      </c>
      <c r="G293" s="28" t="s">
        <v>161</v>
      </c>
      <c r="H293" s="28" t="s">
        <v>162</v>
      </c>
      <c r="I293" s="28" t="s">
        <v>163</v>
      </c>
      <c r="J293" s="28" t="s">
        <v>164</v>
      </c>
      <c r="K293" s="28" t="s">
        <v>165</v>
      </c>
      <c r="L293" s="28" t="s">
        <v>166</v>
      </c>
      <c r="M293" s="28" t="s">
        <v>167</v>
      </c>
      <c r="N293" s="28" t="s">
        <v>168</v>
      </c>
      <c r="O293" s="28" t="s">
        <v>169</v>
      </c>
      <c r="P293" s="28" t="s">
        <v>170</v>
      </c>
      <c r="Q293" s="28" t="s">
        <v>171</v>
      </c>
      <c r="R293" s="28" t="s">
        <v>172</v>
      </c>
      <c r="S293" s="28" t="s">
        <v>173</v>
      </c>
      <c r="T293" s="28" t="s">
        <v>174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39" t="n">
        <f aca="false">(B294+C294)/2</f>
        <v>0.25</v>
      </c>
      <c r="E294" s="15" t="n">
        <f aca="false">$C$2*(1+IF(E$3&lt;=$O$2,$D294,$D294-($D294-$I$292)*MIN(E$3-$O$2,$Q$2)/$Q$2))</f>
        <v>17896.25</v>
      </c>
      <c r="F294" s="15" t="n">
        <f aca="false">E294*(1+IF(F$3&lt;=$O$2,$D294,$D294-($D294-$I$292)*MIN(F$3-$O$2,$Q$2)/$Q$2))</f>
        <v>22370.3125</v>
      </c>
      <c r="G294" s="15" t="n">
        <f aca="false">F294*(1+IF(G$3&lt;=$O$2,$D294,$D294-($D294-$I$292)*MIN(G$3-$O$2,$Q$2)/$Q$2))</f>
        <v>27962.890625</v>
      </c>
      <c r="H294" s="15" t="n">
        <f aca="false">G294*(1+IF(H$3&lt;=$O$2,$D294,$D294-($D294-$I$292)*MIN(H$3-$O$2,$Q$2)/$Q$2))</f>
        <v>34953.61328125</v>
      </c>
      <c r="I294" s="15" t="n">
        <f aca="false">H294*(1+IF(I$3&lt;=$O$2,$D294,$D294-($D294-$I$292)*MIN(I$3-$O$2,$Q$2)/$Q$2))</f>
        <v>43692.0166015625</v>
      </c>
      <c r="J294" s="15" t="n">
        <f aca="false">I294*(1+IF(J$3&lt;=$O$2,$D294,$D294-($D294-$I$292)*MIN(J$3-$O$2,$Q$2)/$Q$2))</f>
        <v>52765.100769043</v>
      </c>
      <c r="K294" s="15" t="n">
        <f aca="false">J294*(1+IF(K$3&lt;=$O$2,$D294,$D294-($D294-$I$292)*MIN(K$3-$O$2,$Q$2)/$Q$2))</f>
        <v>61488.2272281811</v>
      </c>
      <c r="L294" s="15" t="n">
        <f aca="false">K294*(1+IF(L$3&lt;=$O$2,$D294,$D294-($D294-$I$292)*MIN(L$3-$O$2,$Q$2)/$Q$2))</f>
        <v>69050.0494127029</v>
      </c>
      <c r="M294" s="15" t="n">
        <f aca="false">L294*(1+IF(M$3&lt;=$O$2,$D294,$D294-($D294-$I$292)*MIN(M$3-$O$2,$Q$2)/$Q$2))</f>
        <v>74618.2453973432</v>
      </c>
      <c r="N294" s="15" t="n">
        <f aca="false">M294*(1+IF(N$3&lt;=$O$2,$D294,$D294-($D294-$I$292)*MIN(N$3-$O$2,$Q$2)/$Q$2))</f>
        <v>77476.1241960615</v>
      </c>
      <c r="O294" s="15" t="n">
        <f aca="false">SUMPRODUCT(E294:N294,1/(1+$F$292)^$E$3:$N$3)*$E$2</f>
        <v>90538.0094760206</v>
      </c>
      <c r="P294" s="15" t="n">
        <f aca="false">N294*$E$2*(1+$I$292)/($F$292-$I$292)/(1+$F$292)^$N$3</f>
        <v>215487.758469876</v>
      </c>
      <c r="Q294" s="15" t="n">
        <f aca="false">O294+P294</f>
        <v>306025.767945897</v>
      </c>
      <c r="R294" s="15" t="n">
        <f aca="false">Q294-$G$2+$I$2</f>
        <v>294405.767945897</v>
      </c>
      <c r="S294" s="40" t="n">
        <f aca="false">R294/$K$2</f>
        <v>998.764351684013</v>
      </c>
      <c r="T294" s="41" t="n">
        <f aca="false">S294-$M$2</f>
        <v>588.783688794303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39" t="n">
        <f aca="false">(B295+C295)/2</f>
        <v>-0.125</v>
      </c>
      <c r="E295" s="15" t="n">
        <f aca="false">$C$2*(1+IF(E$3&lt;=$O$2,$D295,$D295-($D295-$I$292)*MIN(E$3-$O$2,$Q$2)/$Q$2))</f>
        <v>12527.375</v>
      </c>
      <c r="F295" s="15" t="n">
        <f aca="false">E295*(1+IF(F$3&lt;=$O$2,$D295,$D295-($D295-$I$292)*MIN(F$3-$O$2,$Q$2)/$Q$2))</f>
        <v>10961.453125</v>
      </c>
      <c r="G295" s="15" t="n">
        <f aca="false">F295*(1+IF(G$3&lt;=$O$2,$D295,$D295-($D295-$I$292)*MIN(G$3-$O$2,$Q$2)/$Q$2))</f>
        <v>9591.271484375</v>
      </c>
      <c r="H295" s="15" t="n">
        <f aca="false">G295*(1+IF(H$3&lt;=$O$2,$D295,$D295-($D295-$I$292)*MIN(H$3-$O$2,$Q$2)/$Q$2))</f>
        <v>8392.36254882813</v>
      </c>
      <c r="I295" s="15" t="n">
        <f aca="false">H295*(1+IF(I$3&lt;=$O$2,$D295,$D295-($D295-$I$292)*MIN(I$3-$O$2,$Q$2)/$Q$2))</f>
        <v>7343.31723022461</v>
      </c>
      <c r="J295" s="15" t="n">
        <f aca="false">I295*(1+IF(J$3&lt;=$O$2,$D295,$D295-($D295-$I$292)*MIN(J$3-$O$2,$Q$2)/$Q$2))</f>
        <v>6665.23531718567</v>
      </c>
      <c r="K295" s="15" t="n">
        <f aca="false">J295*(1+IF(K$3&lt;=$O$2,$D295,$D295-($D295-$I$292)*MIN(K$3-$O$2,$Q$2)/$Q$2))</f>
        <v>6267.45407345603</v>
      </c>
      <c r="L295" s="15" t="n">
        <f aca="false">K295*(1+IF(L$3&lt;=$O$2,$D295,$D295-($D295-$I$292)*MIN(L$3-$O$2,$Q$2)/$Q$2))</f>
        <v>6098.10746439125</v>
      </c>
      <c r="M295" s="15" t="n">
        <f aca="false">L295*(1+IF(M$3&lt;=$O$2,$D295,$D295-($D295-$I$292)*MIN(M$3-$O$2,$Q$2)/$Q$2))</f>
        <v>6132.50079049041</v>
      </c>
      <c r="N295" s="15" t="n">
        <f aca="false">M295*(1+IF(N$3&lt;=$O$2,$D295,$D295-($D295-$I$292)*MIN(N$3-$O$2,$Q$2)/$Q$2))</f>
        <v>6367.3755707662</v>
      </c>
      <c r="O295" s="15" t="n">
        <f aca="false">SUMPRODUCT(E295:N295,1/(1+$F$292)^$E$3:$N$3)*$E$2</f>
        <v>17925.0663903192</v>
      </c>
      <c r="P295" s="15" t="n">
        <f aca="false">N295*$E$2*(1+$I$292)/($F$292-$I$292)/(1+$F$292)^$N$3</f>
        <v>17709.8622745768</v>
      </c>
      <c r="Q295" s="15" t="n">
        <f aca="false">O295+P295</f>
        <v>35634.928664896</v>
      </c>
      <c r="R295" s="15" t="n">
        <f aca="false">Q295-$G$2+$I$2</f>
        <v>24014.928664896</v>
      </c>
      <c r="S295" s="40" t="n">
        <f aca="false">R295/$K$2</f>
        <v>81.4700568744988</v>
      </c>
      <c r="T295" s="41" t="n">
        <f aca="false">S295-$M$2</f>
        <v>-328.510606015212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39" t="n">
        <f aca="false">(B296+C296)/2</f>
        <v>0.0625</v>
      </c>
      <c r="E296" s="15" t="n">
        <f aca="false">$C$2*(1+IF(E$3&lt;=$O$2,$D296,$D296-($D296-$I$292)*MIN(E$3-$O$2,$Q$2)/$Q$2))</f>
        <v>15211.8125</v>
      </c>
      <c r="F296" s="15" t="n">
        <f aca="false">E296*(1+IF(F$3&lt;=$O$2,$D296,$D296-($D296-$I$292)*MIN(F$3-$O$2,$Q$2)/$Q$2))</f>
        <v>16162.55078125</v>
      </c>
      <c r="G296" s="15" t="n">
        <f aca="false">F296*(1+IF(G$3&lt;=$O$2,$D296,$D296-($D296-$I$292)*MIN(G$3-$O$2,$Q$2)/$Q$2))</f>
        <v>17172.7102050781</v>
      </c>
      <c r="H296" s="15" t="n">
        <f aca="false">G296*(1+IF(H$3&lt;=$O$2,$D296,$D296-($D296-$I$292)*MIN(H$3-$O$2,$Q$2)/$Q$2))</f>
        <v>18246.0045928955</v>
      </c>
      <c r="I296" s="15" t="n">
        <f aca="false">H296*(1+IF(I$3&lt;=$O$2,$D296,$D296-($D296-$I$292)*MIN(I$3-$O$2,$Q$2)/$Q$2))</f>
        <v>19386.3798799515</v>
      </c>
      <c r="J296" s="15" t="n">
        <f aca="false">I296*(1+IF(J$3&lt;=$O$2,$D296,$D296-($D296-$I$292)*MIN(J$3-$O$2,$Q$2)/$Q$2))</f>
        <v>20504.1985438295</v>
      </c>
      <c r="K296" s="15" t="n">
        <f aca="false">J296*(1+IF(K$3&lt;=$O$2,$D296,$D296-($D296-$I$292)*MIN(K$3-$O$2,$Q$2)/$Q$2))</f>
        <v>21587.2303109146</v>
      </c>
      <c r="L296" s="15" t="n">
        <f aca="false">K296*(1+IF(L$3&lt;=$O$2,$D296,$D296-($D296-$I$292)*MIN(L$3-$O$2,$Q$2)/$Q$2))</f>
        <v>22622.9856212322</v>
      </c>
      <c r="M296" s="15" t="n">
        <f aca="false">L296*(1+IF(M$3&lt;=$O$2,$D296,$D296-($D296-$I$292)*MIN(M$3-$O$2,$Q$2)/$Q$2))</f>
        <v>23598.9412209322</v>
      </c>
      <c r="N296" s="15" t="n">
        <f aca="false">M296*(1+IF(N$3&lt;=$O$2,$D296,$D296-($D296-$I$292)*MIN(N$3-$O$2,$Q$2)/$Q$2))</f>
        <v>24502.7806696939</v>
      </c>
      <c r="O296" s="15" t="n">
        <f aca="false">SUMPRODUCT(E296:N296,1/(1+$F$292)^$E$3:$N$3)*$E$2</f>
        <v>40207.0814849499</v>
      </c>
      <c r="P296" s="15" t="n">
        <f aca="false">N296*$E$2*(1+$I$292)/($F$292-$I$292)/(1+$F$292)^$N$3</f>
        <v>68150.6636732321</v>
      </c>
      <c r="Q296" s="15" t="n">
        <f aca="false">O296+P296</f>
        <v>108357.745158182</v>
      </c>
      <c r="R296" s="15" t="n">
        <f aca="false">Q296-$G$2+$I$2</f>
        <v>96737.745158182</v>
      </c>
      <c r="S296" s="40" t="n">
        <f aca="false">R296/$K$2</f>
        <v>328.18042934553</v>
      </c>
      <c r="T296" s="41" t="n">
        <f aca="false">S296-$M$2</f>
        <v>-81.8002335441802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0.0625</v>
      </c>
      <c r="C297" s="25" t="n">
        <f aca="false">IF(T296&gt;0,D296,C296)</f>
        <v>0.25</v>
      </c>
      <c r="D297" s="39" t="n">
        <f aca="false">(B297+C297)/2</f>
        <v>0.15625</v>
      </c>
      <c r="E297" s="15" t="n">
        <f aca="false">$C$2*(1+IF(E$3&lt;=$O$2,$D297,$D297-($D297-$I$292)*MIN(E$3-$O$2,$Q$2)/$Q$2))</f>
        <v>16554.03125</v>
      </c>
      <c r="F297" s="15" t="n">
        <f aca="false">E297*(1+IF(F$3&lt;=$O$2,$D297,$D297-($D297-$I$292)*MIN(F$3-$O$2,$Q$2)/$Q$2))</f>
        <v>19140.5986328125</v>
      </c>
      <c r="G297" s="15" t="n">
        <f aca="false">F297*(1+IF(G$3&lt;=$O$2,$D297,$D297-($D297-$I$292)*MIN(G$3-$O$2,$Q$2)/$Q$2))</f>
        <v>22131.3171691895</v>
      </c>
      <c r="H297" s="15" t="n">
        <f aca="false">G297*(1+IF(H$3&lt;=$O$2,$D297,$D297-($D297-$I$292)*MIN(H$3-$O$2,$Q$2)/$Q$2))</f>
        <v>25589.3354768753</v>
      </c>
      <c r="I297" s="15" t="n">
        <f aca="false">H297*(1+IF(I$3&lt;=$O$2,$D297,$D297-($D297-$I$292)*MIN(I$3-$O$2,$Q$2)/$Q$2))</f>
        <v>29587.6691451371</v>
      </c>
      <c r="J297" s="15" t="n">
        <f aca="false">I297*(1+IF(J$3&lt;=$O$2,$D297,$D297-($D297-$I$292)*MIN(J$3-$O$2,$Q$2)/$Q$2))</f>
        <v>33512.769333931</v>
      </c>
      <c r="K297" s="15" t="n">
        <f aca="false">J297*(1+IF(K$3&lt;=$O$2,$D297,$D297-($D297-$I$292)*MIN(K$3-$O$2,$Q$2)/$Q$2))</f>
        <v>37168.0070851828</v>
      </c>
      <c r="L297" s="15" t="n">
        <f aca="false">K297*(1+IF(L$3&lt;=$O$2,$D297,$D297-($D297-$I$292)*MIN(L$3-$O$2,$Q$2)/$Q$2))</f>
        <v>40345.1283308242</v>
      </c>
      <c r="M297" s="15" t="n">
        <f aca="false">L297*(1+IF(M$3&lt;=$O$2,$D297,$D297-($D297-$I$292)*MIN(M$3-$O$2,$Q$2)/$Q$2))</f>
        <v>42842.0883232189</v>
      </c>
      <c r="N297" s="15" t="n">
        <f aca="false">M297*(1+IF(N$3&lt;=$O$2,$D297,$D297-($D297-$I$292)*MIN(N$3-$O$2,$Q$2)/$Q$2))</f>
        <v>44482.9403059982</v>
      </c>
      <c r="O297" s="15" t="n">
        <f aca="false">SUMPRODUCT(E297:N297,1/(1+$F$292)^$E$3:$N$3)*$E$2</f>
        <v>60443.6712539432</v>
      </c>
      <c r="P297" s="15" t="n">
        <f aca="false">N297*$E$2*(1+$I$292)/($F$292-$I$292)/(1+$F$292)^$N$3</f>
        <v>123722.362161944</v>
      </c>
      <c r="Q297" s="15" t="n">
        <f aca="false">O297+P297</f>
        <v>184166.033415887</v>
      </c>
      <c r="R297" s="15" t="n">
        <f aca="false">Q297-$G$2+$I$2</f>
        <v>172546.033415887</v>
      </c>
      <c r="S297" s="40" t="n">
        <f aca="false">R297/$K$2</f>
        <v>585.35818915048</v>
      </c>
      <c r="T297" s="41" t="n">
        <f aca="false">S297-$M$2</f>
        <v>175.377526260769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0.0625</v>
      </c>
      <c r="C298" s="25" t="n">
        <f aca="false">IF(T297&gt;0,D297,C297)</f>
        <v>0.15625</v>
      </c>
      <c r="D298" s="39" t="n">
        <f aca="false">(B298+C298)/2</f>
        <v>0.109375</v>
      </c>
      <c r="E298" s="15" t="n">
        <f aca="false">$C$2*(1+IF(E$3&lt;=$O$2,$D298,$D298-($D298-$I$292)*MIN(E$3-$O$2,$Q$2)/$Q$2))</f>
        <v>15882.921875</v>
      </c>
      <c r="F298" s="15" t="n">
        <f aca="false">E298*(1+IF(F$3&lt;=$O$2,$D298,$D298-($D298-$I$292)*MIN(F$3-$O$2,$Q$2)/$Q$2))</f>
        <v>17620.1164550781</v>
      </c>
      <c r="G298" s="15" t="n">
        <f aca="false">F298*(1+IF(G$3&lt;=$O$2,$D298,$D298-($D298-$I$292)*MIN(G$3-$O$2,$Q$2)/$Q$2))</f>
        <v>19547.3166923523</v>
      </c>
      <c r="H298" s="15" t="n">
        <f aca="false">G298*(1+IF(H$3&lt;=$O$2,$D298,$D298-($D298-$I$292)*MIN(H$3-$O$2,$Q$2)/$Q$2))</f>
        <v>21685.3044555783</v>
      </c>
      <c r="I298" s="15" t="n">
        <f aca="false">H298*(1+IF(I$3&lt;=$O$2,$D298,$D298-($D298-$I$292)*MIN(I$3-$O$2,$Q$2)/$Q$2))</f>
        <v>24057.1346304072</v>
      </c>
      <c r="J298" s="15" t="n">
        <f aca="false">I298*(1+IF(J$3&lt;=$O$2,$D298,$D298-($D298-$I$292)*MIN(J$3-$O$2,$Q$2)/$Q$2))</f>
        <v>26346.4115618368</v>
      </c>
      <c r="K298" s="15" t="n">
        <f aca="false">J298*(1+IF(K$3&lt;=$O$2,$D298,$D298-($D298-$I$292)*MIN(K$3-$O$2,$Q$2)/$Q$2))</f>
        <v>28479.0218457096</v>
      </c>
      <c r="L298" s="15" t="n">
        <f aca="false">K298*(1+IF(L$3&lt;=$O$2,$D298,$D298-($D298-$I$292)*MIN(L$3-$O$2,$Q$2)/$Q$2))</f>
        <v>30379.4269734738</v>
      </c>
      <c r="M298" s="15" t="n">
        <f aca="false">L298*(1+IF(M$3&lt;=$O$2,$D298,$D298-($D298-$I$292)*MIN(M$3-$O$2,$Q$2)/$Q$2))</f>
        <v>31974.8025809858</v>
      </c>
      <c r="N298" s="15" t="n">
        <f aca="false">M298*(1+IF(N$3&lt;=$O$2,$D298,$D298-($D298-$I$292)*MIN(N$3-$O$2,$Q$2)/$Q$2))</f>
        <v>33199.4375198376</v>
      </c>
      <c r="O298" s="15" t="n">
        <f aca="false">SUMPRODUCT(E298:N298,1/(1+$F$292)^$E$3:$N$3)*$E$2</f>
        <v>49307.4797793754</v>
      </c>
      <c r="P298" s="15" t="n">
        <f aca="false">N298*$E$2*(1+$I$292)/($F$292-$I$292)/(1+$F$292)^$N$3</f>
        <v>92339.0586176764</v>
      </c>
      <c r="Q298" s="15" t="n">
        <f aca="false">O298+P298</f>
        <v>141646.538397052</v>
      </c>
      <c r="R298" s="15" t="n">
        <f aca="false">Q298-$G$2+$I$2</f>
        <v>130026.538397052</v>
      </c>
      <c r="S298" s="40" t="n">
        <f aca="false">R298/$K$2</f>
        <v>441.111844478922</v>
      </c>
      <c r="T298" s="41" t="n">
        <f aca="false">S298-$M$2</f>
        <v>31.1311815892111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0.0625</v>
      </c>
      <c r="C299" s="25" t="n">
        <f aca="false">IF(T298&gt;0,D298,C298)</f>
        <v>0.109375</v>
      </c>
      <c r="D299" s="39" t="n">
        <f aca="false">(B299+C299)/2</f>
        <v>0.0859375</v>
      </c>
      <c r="E299" s="15" t="n">
        <f aca="false">$C$2*(1+IF(E$3&lt;=$O$2,$D299,$D299-($D299-$I$292)*MIN(E$3-$O$2,$Q$2)/$Q$2))</f>
        <v>15547.3671875</v>
      </c>
      <c r="F299" s="15" t="n">
        <f aca="false">E299*(1+IF(F$3&lt;=$O$2,$D299,$D299-($D299-$I$292)*MIN(F$3-$O$2,$Q$2)/$Q$2))</f>
        <v>16883.4690551758</v>
      </c>
      <c r="G299" s="15" t="n">
        <f aca="false">F299*(1+IF(G$3&lt;=$O$2,$D299,$D299-($D299-$I$292)*MIN(G$3-$O$2,$Q$2)/$Q$2))</f>
        <v>18334.392177105</v>
      </c>
      <c r="H299" s="15" t="n">
        <f aca="false">G299*(1+IF(H$3&lt;=$O$2,$D299,$D299-($D299-$I$292)*MIN(H$3-$O$2,$Q$2)/$Q$2))</f>
        <v>19910.0040048249</v>
      </c>
      <c r="I299" s="15" t="n">
        <f aca="false">H299*(1+IF(I$3&lt;=$O$2,$D299,$D299-($D299-$I$292)*MIN(I$3-$O$2,$Q$2)/$Q$2))</f>
        <v>21621.0199739895</v>
      </c>
      <c r="J299" s="15" t="n">
        <f aca="false">I299*(1+IF(J$3&lt;=$O$2,$D299,$D299-($D299-$I$292)*MIN(J$3-$O$2,$Q$2)/$Q$2))</f>
        <v>23273.0821102021</v>
      </c>
      <c r="K299" s="15" t="n">
        <f aca="false">J299*(1+IF(K$3&lt;=$O$2,$D299,$D299-($D299-$I$292)*MIN(K$3-$O$2,$Q$2)/$Q$2))</f>
        <v>24829.6440244377</v>
      </c>
      <c r="L299" s="15" t="n">
        <f aca="false">K299*(1+IF(L$3&lt;=$O$2,$D299,$D299-($D299-$I$292)*MIN(L$3-$O$2,$Q$2)/$Q$2))</f>
        <v>26253.7482574593</v>
      </c>
      <c r="M299" s="15" t="n">
        <f aca="false">L299*(1+IF(M$3&lt;=$O$2,$D299,$D299-($D299-$I$292)*MIN(M$3-$O$2,$Q$2)/$Q$2))</f>
        <v>27509.3994022429</v>
      </c>
      <c r="N299" s="15" t="n">
        <f aca="false">M299*(1+IF(N$3&lt;=$O$2,$D299,$D299-($D299-$I$292)*MIN(N$3-$O$2,$Q$2)/$Q$2))</f>
        <v>28563.0093993488</v>
      </c>
      <c r="O299" s="15" t="n">
        <f aca="false">SUMPRODUCT(E299:N299,1/(1+$F$292)^$E$3:$N$3)*$E$2</f>
        <v>44526.021301757</v>
      </c>
      <c r="P299" s="15" t="n">
        <f aca="false">N299*$E$2*(1+$I$292)/($F$292-$I$292)/(1+$F$292)^$N$3</f>
        <v>79443.5567665189</v>
      </c>
      <c r="Q299" s="15" t="n">
        <f aca="false">O299+P299</f>
        <v>123969.578068276</v>
      </c>
      <c r="R299" s="15" t="n">
        <f aca="false">Q299-$G$2+$I$2</f>
        <v>112349.578068276</v>
      </c>
      <c r="S299" s="40" t="n">
        <f aca="false">R299/$K$2</f>
        <v>381.143189837079</v>
      </c>
      <c r="T299" s="41" t="n">
        <f aca="false">S299-$M$2</f>
        <v>-28.8374730526313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0.0859375</v>
      </c>
      <c r="C300" s="25" t="n">
        <f aca="false">IF(T299&gt;0,D299,C299)</f>
        <v>0.109375</v>
      </c>
      <c r="D300" s="39" t="n">
        <f aca="false">(B300+C300)/2</f>
        <v>0.09765625</v>
      </c>
      <c r="E300" s="15" t="n">
        <f aca="false">$C$2*(1+IF(E$3&lt;=$O$2,$D300,$D300-($D300-$I$292)*MIN(E$3-$O$2,$Q$2)/$Q$2))</f>
        <v>15715.14453125</v>
      </c>
      <c r="F300" s="15" t="n">
        <f aca="false">E300*(1+IF(F$3&lt;=$O$2,$D300,$D300-($D300-$I$292)*MIN(F$3-$O$2,$Q$2)/$Q$2))</f>
        <v>17249.8266143799</v>
      </c>
      <c r="G300" s="15" t="n">
        <f aca="false">F300*(1+IF(G$3&lt;=$O$2,$D300,$D300-($D300-$I$292)*MIN(G$3-$O$2,$Q$2)/$Q$2))</f>
        <v>18934.3799946904</v>
      </c>
      <c r="H300" s="15" t="n">
        <f aca="false">G300*(1+IF(H$3&lt;=$O$2,$D300,$D300-($D300-$I$292)*MIN(H$3-$O$2,$Q$2)/$Q$2))</f>
        <v>20783.4405410469</v>
      </c>
      <c r="I300" s="15" t="n">
        <f aca="false">H300*(1+IF(I$3&lt;=$O$2,$D300,$D300-($D300-$I$292)*MIN(I$3-$O$2,$Q$2)/$Q$2))</f>
        <v>22813.0734063835</v>
      </c>
      <c r="J300" s="15" t="n">
        <f aca="false">I300*(1+IF(J$3&lt;=$O$2,$D300,$D300-($D300-$I$292)*MIN(J$3-$O$2,$Q$2)/$Q$2))</f>
        <v>24770.0929085501</v>
      </c>
      <c r="K300" s="15" t="n">
        <f aca="false">J300*(1+IF(K$3&lt;=$O$2,$D300,$D300-($D300-$I$292)*MIN(K$3-$O$2,$Q$2)/$Q$2))</f>
        <v>26600.9433632695</v>
      </c>
      <c r="L300" s="15" t="n">
        <f aca="false">K300*(1+IF(L$3&lt;=$O$2,$D300,$D300-($D300-$I$292)*MIN(L$3-$O$2,$Q$2)/$Q$2))</f>
        <v>28251.3323918851</v>
      </c>
      <c r="M300" s="15" t="n">
        <f aca="false">L300*(1+IF(M$3&lt;=$O$2,$D300,$D300-($D300-$I$292)*MIN(M$3-$O$2,$Q$2)/$Q$2))</f>
        <v>29668.7370521515</v>
      </c>
      <c r="N300" s="15" t="n">
        <f aca="false">M300*(1+IF(N$3&lt;=$O$2,$D300,$D300-($D300-$I$292)*MIN(N$3-$O$2,$Q$2)/$Q$2))</f>
        <v>30805.0496812489</v>
      </c>
      <c r="O300" s="15" t="n">
        <f aca="false">SUMPRODUCT(E300:N300,1/(1+$F$292)^$E$3:$N$3)*$E$2</f>
        <v>46856.1800755897</v>
      </c>
      <c r="P300" s="15" t="n">
        <f aca="false">N300*$E$2*(1+$I$292)/($F$292-$I$292)/(1+$F$292)^$N$3</f>
        <v>85679.4422055374</v>
      </c>
      <c r="Q300" s="15" t="n">
        <f aca="false">O300+P300</f>
        <v>132535.622281127</v>
      </c>
      <c r="R300" s="15" t="n">
        <f aca="false">Q300-$G$2+$I$2</f>
        <v>120915.622281127</v>
      </c>
      <c r="S300" s="40" t="n">
        <f aca="false">R300/$K$2</f>
        <v>410.203284869991</v>
      </c>
      <c r="T300" s="41" t="n">
        <f aca="false">S300-$M$2</f>
        <v>0.22262198028011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0.0859375</v>
      </c>
      <c r="C301" s="25" t="n">
        <f aca="false">IF(T300&gt;0,D300,C300)</f>
        <v>0.09765625</v>
      </c>
      <c r="D301" s="39" t="n">
        <f aca="false">(B301+C301)/2</f>
        <v>0.091796875</v>
      </c>
      <c r="E301" s="15" t="n">
        <f aca="false">$C$2*(1+IF(E$3&lt;=$O$2,$D301,$D301-($D301-$I$292)*MIN(E$3-$O$2,$Q$2)/$Q$2))</f>
        <v>15631.255859375</v>
      </c>
      <c r="F301" s="15" t="n">
        <f aca="false">E301*(1+IF(F$3&lt;=$O$2,$D301,$D301-($D301-$I$292)*MIN(F$3-$O$2,$Q$2)/$Q$2))</f>
        <v>17066.1562995911</v>
      </c>
      <c r="G301" s="15" t="n">
        <f aca="false">F301*(1+IF(G$3&lt;=$O$2,$D301,$D301-($D301-$I$292)*MIN(G$3-$O$2,$Q$2)/$Q$2))</f>
        <v>18632.7761161551</v>
      </c>
      <c r="H301" s="15" t="n">
        <f aca="false">G301*(1+IF(H$3&lt;=$O$2,$D301,$D301-($D301-$I$292)*MIN(H$3-$O$2,$Q$2)/$Q$2))</f>
        <v>20343.2067361928</v>
      </c>
      <c r="I301" s="15" t="n">
        <f aca="false">H301*(1+IF(I$3&lt;=$O$2,$D301,$D301-($D301-$I$292)*MIN(I$3-$O$2,$Q$2)/$Q$2))</f>
        <v>22210.6495420542</v>
      </c>
      <c r="J301" s="15" t="n">
        <f aca="false">I301*(1+IF(J$3&lt;=$O$2,$D301,$D301-($D301-$I$292)*MIN(J$3-$O$2,$Q$2)/$Q$2))</f>
        <v>24011.877693291</v>
      </c>
      <c r="K301" s="15" t="n">
        <f aca="false">J301*(1+IF(K$3&lt;=$O$2,$D301,$D301-($D301-$I$292)*MIN(K$3-$O$2,$Q$2)/$Q$2))</f>
        <v>25702.268860628</v>
      </c>
      <c r="L301" s="15" t="n">
        <f aca="false">K301*(1+IF(L$3&lt;=$O$2,$D301,$D301-($D301-$I$292)*MIN(L$3-$O$2,$Q$2)/$Q$2))</f>
        <v>27236.6621837714</v>
      </c>
      <c r="M301" s="15" t="n">
        <f aca="false">L301*(1+IF(M$3&lt;=$O$2,$D301,$D301-($D301-$I$292)*MIN(M$3-$O$2,$Q$2)/$Q$2))</f>
        <v>28571.2416078623</v>
      </c>
      <c r="N301" s="15" t="n">
        <f aca="false">M301*(1+IF(N$3&lt;=$O$2,$D301,$D301-($D301-$I$292)*MIN(N$3-$O$2,$Q$2)/$Q$2))</f>
        <v>29665.5201614434</v>
      </c>
      <c r="O301" s="15" t="n">
        <f aca="false">SUMPRODUCT(E301:N301,1/(1+$F$292)^$E$3:$N$3)*$E$2</f>
        <v>45676.3113311945</v>
      </c>
      <c r="P301" s="15" t="n">
        <f aca="false">N301*$E$2*(1+$I$292)/($F$292-$I$292)/(1+$F$292)^$N$3</f>
        <v>82510.0185349401</v>
      </c>
      <c r="Q301" s="15" t="n">
        <f aca="false">O301+P301</f>
        <v>128186.329866135</v>
      </c>
      <c r="R301" s="15" t="n">
        <f aca="false">Q301-$G$2+$I$2</f>
        <v>116566.329866135</v>
      </c>
      <c r="S301" s="40" t="n">
        <f aca="false">R301/$K$2</f>
        <v>395.448416956049</v>
      </c>
      <c r="T301" s="41" t="n">
        <f aca="false">S301-$M$2</f>
        <v>-14.5322459336614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0.091796875</v>
      </c>
      <c r="C302" s="25" t="n">
        <f aca="false">IF(T301&gt;0,D301,C301)</f>
        <v>0.09765625</v>
      </c>
      <c r="D302" s="39" t="n">
        <f aca="false">(B302+C302)/2</f>
        <v>0.0947265625</v>
      </c>
      <c r="E302" s="15" t="n">
        <f aca="false">$C$2*(1+IF(E$3&lt;=$O$2,$D302,$D302-($D302-$I$292)*MIN(E$3-$O$2,$Q$2)/$Q$2))</f>
        <v>15673.2001953125</v>
      </c>
      <c r="F302" s="15" t="n">
        <f aca="false">E302*(1+IF(F$3&lt;=$O$2,$D302,$D302-($D302-$I$292)*MIN(F$3-$O$2,$Q$2)/$Q$2))</f>
        <v>17157.8685731888</v>
      </c>
      <c r="G302" s="15" t="n">
        <f aca="false">F302*(1+IF(G$3&lt;=$O$2,$D302,$D302-($D302-$I$292)*MIN(G$3-$O$2,$Q$2)/$Q$2))</f>
        <v>18783.1744829537</v>
      </c>
      <c r="H302" s="15" t="n">
        <f aca="false">G302*(1+IF(H$3&lt;=$O$2,$D302,$D302-($D302-$I$292)*MIN(H$3-$O$2,$Q$2)/$Q$2))</f>
        <v>20562.4400345617</v>
      </c>
      <c r="I302" s="15" t="n">
        <f aca="false">H302*(1+IF(I$3&lt;=$O$2,$D302,$D302-($D302-$I$292)*MIN(I$3-$O$2,$Q$2)/$Q$2))</f>
        <v>22510.2492956481</v>
      </c>
      <c r="J302" s="15" t="n">
        <f aca="false">I302*(1+IF(J$3&lt;=$O$2,$D302,$D302-($D302-$I$292)*MIN(J$3-$O$2,$Q$2)/$Q$2))</f>
        <v>24388.5326346886</v>
      </c>
      <c r="K302" s="15" t="n">
        <f aca="false">J302*(1+IF(K$3&lt;=$O$2,$D302,$D302-($D302-$I$292)*MIN(K$3-$O$2,$Q$2)/$Q$2))</f>
        <v>26148.3100711939</v>
      </c>
      <c r="L302" s="15" t="n">
        <f aca="false">K302*(1+IF(L$3&lt;=$O$2,$D302,$D302-($D302-$I$292)*MIN(L$3-$O$2,$Q$2)/$Q$2))</f>
        <v>27739.9740479212</v>
      </c>
      <c r="M302" s="15" t="n">
        <f aca="false">L302*(1+IF(M$3&lt;=$O$2,$D302,$D302-($D302-$I$292)*MIN(M$3-$O$2,$Q$2)/$Q$2))</f>
        <v>29115.4693298293</v>
      </c>
      <c r="N302" s="15" t="n">
        <f aca="false">M302*(1+IF(N$3&lt;=$O$2,$D302,$D302-($D302-$I$292)*MIN(N$3-$O$2,$Q$2)/$Q$2))</f>
        <v>30230.5918051617</v>
      </c>
      <c r="O302" s="15" t="n">
        <f aca="false">SUMPRODUCT(E302:N302,1/(1+$F$292)^$E$3:$N$3)*$E$2</f>
        <v>46262.5047671722</v>
      </c>
      <c r="P302" s="15" t="n">
        <f aca="false">N302*$E$2*(1+$I$292)/($F$292-$I$292)/(1+$F$292)^$N$3</f>
        <v>84081.6771993773</v>
      </c>
      <c r="Q302" s="15" t="n">
        <f aca="false">O302+P302</f>
        <v>130344.181966549</v>
      </c>
      <c r="R302" s="15" t="n">
        <f aca="false">Q302-$G$2+$I$2</f>
        <v>118724.181966549</v>
      </c>
      <c r="S302" s="40" t="n">
        <f aca="false">R302/$K$2</f>
        <v>402.768877316381</v>
      </c>
      <c r="T302" s="41" t="n">
        <f aca="false">S302-$M$2</f>
        <v>-7.21178557333002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0.0947265625</v>
      </c>
      <c r="C303" s="25" t="n">
        <f aca="false">IF(T302&gt;0,D302,C302)</f>
        <v>0.09765625</v>
      </c>
      <c r="D303" s="39" t="n">
        <f aca="false">(B303+C303)/2</f>
        <v>0.09619140625</v>
      </c>
      <c r="E303" s="15" t="n">
        <f aca="false">$C$2*(1+IF(E$3&lt;=$O$2,$D303,$D303-($D303-$I$292)*MIN(E$3-$O$2,$Q$2)/$Q$2))</f>
        <v>15694.1723632813</v>
      </c>
      <c r="F303" s="15" t="n">
        <f aca="false">E303*(1+IF(F$3&lt;=$O$2,$D303,$D303-($D303-$I$292)*MIN(F$3-$O$2,$Q$2)/$Q$2))</f>
        <v>17203.8168728352</v>
      </c>
      <c r="G303" s="15" t="n">
        <f aca="false">F303*(1+IF(G$3&lt;=$O$2,$D303,$D303-($D303-$I$292)*MIN(G$3-$O$2,$Q$2)/$Q$2))</f>
        <v>18858.6762107007</v>
      </c>
      <c r="H303" s="15" t="n">
        <f aca="false">G303*(1+IF(H$3&lt;=$O$2,$D303,$D303-($D303-$I$292)*MIN(H$3-$O$2,$Q$2)/$Q$2))</f>
        <v>20672.7187954214</v>
      </c>
      <c r="I303" s="15" t="n">
        <f aca="false">H303*(1+IF(I$3&lt;=$O$2,$D303,$D303-($D303-$I$292)*MIN(I$3-$O$2,$Q$2)/$Q$2))</f>
        <v>22661.2566873638</v>
      </c>
      <c r="J303" s="15" t="n">
        <f aca="false">I303*(1+IF(J$3&lt;=$O$2,$D303,$D303-($D303-$I$292)*MIN(J$3-$O$2,$Q$2)/$Q$2))</f>
        <v>24578.6964321087</v>
      </c>
      <c r="K303" s="15" t="n">
        <f aca="false">J303*(1+IF(K$3&lt;=$O$2,$D303,$D303-($D303-$I$292)*MIN(K$3-$O$2,$Q$2)/$Q$2))</f>
        <v>26373.7976856065</v>
      </c>
      <c r="L303" s="15" t="n">
        <f aca="false">K303*(1+IF(L$3&lt;=$O$2,$D303,$D303-($D303-$I$292)*MIN(L$3-$O$2,$Q$2)/$Q$2))</f>
        <v>27994.6406314343</v>
      </c>
      <c r="M303" s="15" t="n">
        <f aca="false">L303*(1+IF(M$3&lt;=$O$2,$D303,$D303-($D303-$I$292)*MIN(M$3-$O$2,$Q$2)/$Q$2))</f>
        <v>29390.9651903417</v>
      </c>
      <c r="N303" s="15" t="n">
        <f aca="false">M303*(1+IF(N$3&lt;=$O$2,$D303,$D303-($D303-$I$292)*MIN(N$3-$O$2,$Q$2)/$Q$2))</f>
        <v>30516.6391571318</v>
      </c>
      <c r="O303" s="15" t="n">
        <f aca="false">SUMPRODUCT(E303:N303,1/(1+$F$292)^$E$3:$N$3)*$E$2</f>
        <v>46558.4016890461</v>
      </c>
      <c r="P303" s="15" t="n">
        <f aca="false">N303*$E$2*(1+$I$292)/($F$292-$I$292)/(1+$F$292)^$N$3</f>
        <v>84877.2733050405</v>
      </c>
      <c r="Q303" s="15" t="n">
        <f aca="false">O303+P303</f>
        <v>131435.674994087</v>
      </c>
      <c r="R303" s="15" t="n">
        <f aca="false">Q303-$G$2+$I$2</f>
        <v>119815.674994087</v>
      </c>
      <c r="S303" s="40" t="n">
        <f aca="false">R303/$K$2</f>
        <v>406.471740659112</v>
      </c>
      <c r="T303" s="41" t="n">
        <f aca="false">S303-$M$2</f>
        <v>-3.50892223059816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0.09619140625</v>
      </c>
      <c r="C304" s="25" t="n">
        <f aca="false">IF(T303&gt;0,D303,C303)</f>
        <v>0.09765625</v>
      </c>
      <c r="D304" s="39" t="n">
        <f aca="false">(B304+C304)/2</f>
        <v>0.096923828125</v>
      </c>
      <c r="E304" s="15" t="n">
        <f aca="false">$C$2*(1+IF(E$3&lt;=$O$2,$D304,$D304-($D304-$I$292)*MIN(E$3-$O$2,$Q$2)/$Q$2))</f>
        <v>15704.6584472656</v>
      </c>
      <c r="F304" s="15" t="n">
        <f aca="false">E304*(1+IF(F$3&lt;=$O$2,$D304,$D304-($D304-$I$292)*MIN(F$3-$O$2,$Q$2)/$Q$2))</f>
        <v>17226.8140633702</v>
      </c>
      <c r="G304" s="15" t="n">
        <f aca="false">F304*(1+IF(G$3&lt;=$O$2,$D304,$D304-($D304-$I$292)*MIN(G$3-$O$2,$Q$2)/$Q$2))</f>
        <v>18896.5028287897</v>
      </c>
      <c r="H304" s="15" t="n">
        <f aca="false">G304*(1+IF(H$3&lt;=$O$2,$D304,$D304-($D304-$I$292)*MIN(H$3-$O$2,$Q$2)/$Q$2))</f>
        <v>20728.0242211308</v>
      </c>
      <c r="I304" s="15" t="n">
        <f aca="false">H304*(1+IF(I$3&lt;=$O$2,$D304,$D304-($D304-$I$292)*MIN(I$3-$O$2,$Q$2)/$Q$2))</f>
        <v>22737.0636781106</v>
      </c>
      <c r="J304" s="15" t="n">
        <f aca="false">I304*(1+IF(J$3&lt;=$O$2,$D304,$D304-($D304-$I$292)*MIN(J$3-$O$2,$Q$2)/$Q$2))</f>
        <v>24674.2401874884</v>
      </c>
      <c r="K304" s="15" t="n">
        <f aca="false">J304*(1+IF(K$3&lt;=$O$2,$D304,$D304-($D304-$I$292)*MIN(K$3-$O$2,$Q$2)/$Q$2))</f>
        <v>26487.162636189</v>
      </c>
      <c r="L304" s="15" t="n">
        <f aca="false">K304*(1+IF(L$3&lt;=$O$2,$D304,$D304-($D304-$I$292)*MIN(L$3-$O$2,$Q$2)/$Q$2))</f>
        <v>28122.7325131162</v>
      </c>
      <c r="M304" s="15" t="n">
        <f aca="false">L304*(1+IF(M$3&lt;=$O$2,$D304,$D304-($D304-$I$292)*MIN(M$3-$O$2,$Q$2)/$Q$2))</f>
        <v>29529.5656158194</v>
      </c>
      <c r="N304" s="15" t="n">
        <f aca="false">M304*(1+IF(N$3&lt;=$O$2,$D304,$D304-($D304-$I$292)*MIN(N$3-$O$2,$Q$2)/$Q$2))</f>
        <v>30660.5479789052</v>
      </c>
      <c r="O304" s="15" t="n">
        <f aca="false">SUMPRODUCT(E304:N304,1/(1+$F$292)^$E$3:$N$3)*$E$2</f>
        <v>46707.0550088879</v>
      </c>
      <c r="P304" s="15" t="n">
        <f aca="false">N304*$E$2*(1+$I$292)/($F$292-$I$292)/(1+$F$292)^$N$3</f>
        <v>85277.5332528604</v>
      </c>
      <c r="Q304" s="15" t="n">
        <f aca="false">O304+P304</f>
        <v>131984.588261748</v>
      </c>
      <c r="R304" s="15" t="n">
        <f aca="false">Q304-$G$2+$I$2</f>
        <v>120364.588261748</v>
      </c>
      <c r="S304" s="40" t="n">
        <f aca="false">R304/$K$2</f>
        <v>408.333915465442</v>
      </c>
      <c r="T304" s="41" t="n">
        <f aca="false">S304-$M$2</f>
        <v>-1.64674742426865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0.096923828125</v>
      </c>
      <c r="C305" s="25" t="n">
        <f aca="false">IF(T304&gt;0,D304,C304)</f>
        <v>0.09765625</v>
      </c>
      <c r="D305" s="39" t="n">
        <f aca="false">(B305+C305)/2</f>
        <v>0.0972900390625</v>
      </c>
      <c r="E305" s="15" t="n">
        <f aca="false">$C$2*(1+IF(E$3&lt;=$O$2,$D305,$D305-($D305-$I$292)*MIN(E$3-$O$2,$Q$2)/$Q$2))</f>
        <v>15709.9014892578</v>
      </c>
      <c r="F305" s="15" t="n">
        <f aca="false">E305*(1+IF(F$3&lt;=$O$2,$D305,$D305-($D305-$I$292)*MIN(F$3-$O$2,$Q$2)/$Q$2))</f>
        <v>17238.3184188157</v>
      </c>
      <c r="G305" s="15" t="n">
        <f aca="false">F305*(1+IF(G$3&lt;=$O$2,$D305,$D305-($D305-$I$292)*MIN(G$3-$O$2,$Q$2)/$Q$2))</f>
        <v>18915.4350911541</v>
      </c>
      <c r="H305" s="15" t="n">
        <f aca="false">G305*(1+IF(H$3&lt;=$O$2,$D305,$D305-($D305-$I$292)*MIN(H$3-$O$2,$Q$2)/$Q$2))</f>
        <v>20755.7185100567</v>
      </c>
      <c r="I305" s="15" t="n">
        <f aca="false">H305*(1+IF(I$3&lt;=$O$2,$D305,$D305-($D305-$I$292)*MIN(I$3-$O$2,$Q$2)/$Q$2))</f>
        <v>22775.0431746704</v>
      </c>
      <c r="J305" s="15" t="n">
        <f aca="false">I305*(1+IF(J$3&lt;=$O$2,$D305,$D305-($D305-$I$292)*MIN(J$3-$O$2,$Q$2)/$Q$2))</f>
        <v>24722.1278774794</v>
      </c>
      <c r="K305" s="15" t="n">
        <f aca="false">J305*(1+IF(K$3&lt;=$O$2,$D305,$D305-($D305-$I$292)*MIN(K$3-$O$2,$Q$2)/$Q$2))</f>
        <v>26544.0009487072</v>
      </c>
      <c r="L305" s="15" t="n">
        <f aca="false">K305*(1+IF(L$3&lt;=$O$2,$D305,$D305-($D305-$I$292)*MIN(L$3-$O$2,$Q$2)/$Q$2))</f>
        <v>28186.9688461784</v>
      </c>
      <c r="M305" s="15" t="n">
        <f aca="false">L305*(1+IF(M$3&lt;=$O$2,$D305,$D305-($D305-$I$292)*MIN(M$3-$O$2,$Q$2)/$Q$2))</f>
        <v>29599.079831645</v>
      </c>
      <c r="N305" s="15" t="n">
        <f aca="false">M305*(1+IF(N$3&lt;=$O$2,$D305,$D305-($D305-$I$292)*MIN(N$3-$O$2,$Q$2)/$Q$2))</f>
        <v>30732.724589197</v>
      </c>
      <c r="O305" s="15" t="n">
        <f aca="false">SUMPRODUCT(E305:N305,1/(1+$F$292)^$E$3:$N$3)*$E$2</f>
        <v>46781.5584873961</v>
      </c>
      <c r="P305" s="15" t="n">
        <f aca="false">N305*$E$2*(1+$I$292)/($F$292-$I$292)/(1+$F$292)^$N$3</f>
        <v>85478.2812397674</v>
      </c>
      <c r="Q305" s="15" t="n">
        <f aca="false">O305+P305</f>
        <v>132259.839727164</v>
      </c>
      <c r="R305" s="15" t="n">
        <f aca="false">Q305-$G$2+$I$2</f>
        <v>120639.839727164</v>
      </c>
      <c r="S305" s="40" t="n">
        <f aca="false">R305/$K$2</f>
        <v>409.267699315275</v>
      </c>
      <c r="T305" s="41" t="n">
        <f aca="false">S305-$M$2</f>
        <v>-0.712963574435889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0.0972900390625</v>
      </c>
      <c r="C306" s="25" t="n">
        <f aca="false">IF(T305&gt;0,D305,C305)</f>
        <v>0.09765625</v>
      </c>
      <c r="D306" s="39" t="n">
        <f aca="false">(B306+C306)/2</f>
        <v>0.09747314453125</v>
      </c>
      <c r="E306" s="15" t="n">
        <f aca="false">$C$2*(1+IF(E$3&lt;=$O$2,$D306,$D306-($D306-$I$292)*MIN(E$3-$O$2,$Q$2)/$Q$2))</f>
        <v>15712.5230102539</v>
      </c>
      <c r="F306" s="15" t="n">
        <f aca="false">E306*(1+IF(F$3&lt;=$O$2,$D306,$D306-($D306-$I$292)*MIN(F$3-$O$2,$Q$2)/$Q$2))</f>
        <v>17244.072036583</v>
      </c>
      <c r="G306" s="15" t="n">
        <f aca="false">F306*(1+IF(G$3&lt;=$O$2,$D306,$D306-($D306-$I$292)*MIN(G$3-$O$2,$Q$2)/$Q$2))</f>
        <v>18924.9059625121</v>
      </c>
      <c r="H306" s="15" t="n">
        <f aca="false">G306*(1+IF(H$3&lt;=$O$2,$D306,$D306-($D306-$I$292)*MIN(H$3-$O$2,$Q$2)/$Q$2))</f>
        <v>20769.5760566364</v>
      </c>
      <c r="I306" s="15" t="n">
        <f aca="false">H306*(1+IF(I$3&lt;=$O$2,$D306,$D306-($D306-$I$292)*MIN(I$3-$O$2,$Q$2)/$Q$2))</f>
        <v>22794.0519454577</v>
      </c>
      <c r="J306" s="15" t="n">
        <f aca="false">I306*(1+IF(J$3&lt;=$O$2,$D306,$D306-($D306-$I$292)*MIN(J$3-$O$2,$Q$2)/$Q$2))</f>
        <v>24746.1007191458</v>
      </c>
      <c r="K306" s="15" t="n">
        <f aca="false">J306*(1+IF(K$3&lt;=$O$2,$D306,$D306-($D306-$I$292)*MIN(K$3-$O$2,$Q$2)/$Q$2))</f>
        <v>26572.4591333524</v>
      </c>
      <c r="L306" s="15" t="n">
        <f aca="false">K306*(1+IF(L$3&lt;=$O$2,$D306,$D306-($D306-$I$292)*MIN(L$3-$O$2,$Q$2)/$Q$2))</f>
        <v>28219.1347040993</v>
      </c>
      <c r="M306" s="15" t="n">
        <f aca="false">L306*(1+IF(M$3&lt;=$O$2,$D306,$D306-($D306-$I$292)*MIN(M$3-$O$2,$Q$2)/$Q$2))</f>
        <v>29633.8905505448</v>
      </c>
      <c r="N306" s="15" t="n">
        <f aca="false">M306*(1+IF(N$3&lt;=$O$2,$D306,$D306-($D306-$I$292)*MIN(N$3-$O$2,$Q$2)/$Q$2))</f>
        <v>30768.8685586306</v>
      </c>
      <c r="O306" s="15" t="n">
        <f aca="false">SUMPRODUCT(E306:N306,1/(1+$F$292)^$E$3:$N$3)*$E$2</f>
        <v>46818.8545069596</v>
      </c>
      <c r="P306" s="15" t="n">
        <f aca="false">N306*$E$2*(1+$I$292)/($F$292-$I$292)/(1+$F$292)^$N$3</f>
        <v>85578.8100547577</v>
      </c>
      <c r="Q306" s="15" t="n">
        <f aca="false">O306+P306</f>
        <v>132397.664561717</v>
      </c>
      <c r="R306" s="15" t="n">
        <f aca="false">Q306-$G$2+$I$2</f>
        <v>120777.664561717</v>
      </c>
      <c r="S306" s="40" t="n">
        <f aca="false">R306/$K$2</f>
        <v>409.735266688324</v>
      </c>
      <c r="T306" s="41" t="n">
        <f aca="false">S306-$M$2</f>
        <v>-0.245396201386598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0.09747314453125</v>
      </c>
      <c r="C307" s="25" t="n">
        <f aca="false">IF(T306&gt;0,D306,C306)</f>
        <v>0.09765625</v>
      </c>
      <c r="D307" s="39" t="n">
        <f aca="false">(B307+C307)/2</f>
        <v>0.097564697265625</v>
      </c>
      <c r="E307" s="15" t="n">
        <f aca="false">$C$2*(1+IF(E$3&lt;=$O$2,$D307,$D307-($D307-$I$292)*MIN(E$3-$O$2,$Q$2)/$Q$2))</f>
        <v>15713.833770752</v>
      </c>
      <c r="F307" s="15" t="n">
        <f aca="false">E307*(1+IF(F$3&lt;=$O$2,$D307,$D307-($D307-$I$292)*MIN(F$3-$O$2,$Q$2)/$Q$2))</f>
        <v>17246.9492054777</v>
      </c>
      <c r="G307" s="15" t="n">
        <f aca="false">F307*(1+IF(G$3&lt;=$O$2,$D307,$D307-($D307-$I$292)*MIN(G$3-$O$2,$Q$2)/$Q$2))</f>
        <v>18929.6425834658</v>
      </c>
      <c r="H307" s="15" t="n">
        <f aca="false">G307*(1+IF(H$3&lt;=$O$2,$D307,$D307-($D307-$I$292)*MIN(H$3-$O$2,$Q$2)/$Q$2))</f>
        <v>20776.5074314681</v>
      </c>
      <c r="I307" s="15" t="n">
        <f aca="false">H307*(1+IF(I$3&lt;=$O$2,$D307,$D307-($D307-$I$292)*MIN(I$3-$O$2,$Q$2)/$Q$2))</f>
        <v>22803.5610892563</v>
      </c>
      <c r="J307" s="15" t="n">
        <f aca="false">I307*(1+IF(J$3&lt;=$O$2,$D307,$D307-($D307-$I$292)*MIN(J$3-$O$2,$Q$2)/$Q$2))</f>
        <v>24758.0943946012</v>
      </c>
      <c r="K307" s="15" t="n">
        <f aca="false">J307*(1+IF(K$3&lt;=$O$2,$D307,$D307-($D307-$I$292)*MIN(K$3-$O$2,$Q$2)/$Q$2))</f>
        <v>26586.6979914163</v>
      </c>
      <c r="L307" s="15" t="n">
        <f aca="false">K307*(1+IF(L$3&lt;=$O$2,$D307,$D307-($D307-$I$292)*MIN(L$3-$O$2,$Q$2)/$Q$2))</f>
        <v>28235.2295675891</v>
      </c>
      <c r="M307" s="15" t="n">
        <f aca="false">L307*(1+IF(M$3&lt;=$O$2,$D307,$D307-($D307-$I$292)*MIN(M$3-$O$2,$Q$2)/$Q$2))</f>
        <v>29651.3093265375</v>
      </c>
      <c r="N307" s="15" t="n">
        <f aca="false">M307*(1+IF(N$3&lt;=$O$2,$D307,$D307-($D307-$I$292)*MIN(N$3-$O$2,$Q$2)/$Q$2))</f>
        <v>30786.9544737438</v>
      </c>
      <c r="O307" s="15" t="n">
        <f aca="false">SUMPRODUCT(E307:N307,1/(1+$F$292)^$E$3:$N$3)*$E$2</f>
        <v>46837.5135962877</v>
      </c>
      <c r="P307" s="15" t="n">
        <f aca="false">N307*$E$2*(1+$I$292)/($F$292-$I$292)/(1+$F$292)^$N$3</f>
        <v>85629.1132074781</v>
      </c>
      <c r="Q307" s="15" t="n">
        <f aca="false">O307+P307</f>
        <v>132466.626803766</v>
      </c>
      <c r="R307" s="15" t="n">
        <f aca="false">Q307-$G$2+$I$2</f>
        <v>120846.626803766</v>
      </c>
      <c r="S307" s="40" t="n">
        <f aca="false">R307/$K$2</f>
        <v>409.969219404165</v>
      </c>
      <c r="T307" s="41" t="n">
        <f aca="false">S307-$M$2</f>
        <v>-0.0114434855453851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0.097564697265625</v>
      </c>
      <c r="C308" s="25" t="n">
        <f aca="false">IF(T307&gt;0,D307,C307)</f>
        <v>0.09765625</v>
      </c>
      <c r="D308" s="39" t="n">
        <f aca="false">(B308+C308)/2</f>
        <v>0.0976104736328125</v>
      </c>
      <c r="E308" s="15" t="n">
        <f aca="false">$C$2*(1+IF(E$3&lt;=$O$2,$D308,$D308-($D308-$I$292)*MIN(E$3-$O$2,$Q$2)/$Q$2))</f>
        <v>15714.489151001</v>
      </c>
      <c r="F308" s="15" t="n">
        <f aca="false">E308*(1+IF(F$3&lt;=$O$2,$D308,$D308-($D308-$I$292)*MIN(F$3-$O$2,$Q$2)/$Q$2))</f>
        <v>17248.3878799279</v>
      </c>
      <c r="G308" s="15" t="n">
        <f aca="false">F308*(1+IF(G$3&lt;=$O$2,$D308,$D308-($D308-$I$292)*MIN(G$3-$O$2,$Q$2)/$Q$2))</f>
        <v>18932.0111902901</v>
      </c>
      <c r="H308" s="15" t="n">
        <f aca="false">G308*(1+IF(H$3&lt;=$O$2,$D308,$D308-($D308-$I$292)*MIN(H$3-$O$2,$Q$2)/$Q$2))</f>
        <v>20779.973769396</v>
      </c>
      <c r="I308" s="15" t="n">
        <f aca="false">H308*(1+IF(I$3&lt;=$O$2,$D308,$D308-($D308-$I$292)*MIN(I$3-$O$2,$Q$2)/$Q$2))</f>
        <v>22808.3168511042</v>
      </c>
      <c r="J308" s="15" t="n">
        <f aca="false">I308*(1+IF(J$3&lt;=$O$2,$D308,$D308-($D308-$I$292)*MIN(J$3-$O$2,$Q$2)/$Q$2))</f>
        <v>24764.0930466665</v>
      </c>
      <c r="K308" s="15" t="n">
        <f aca="false">J308*(1+IF(K$3&lt;=$O$2,$D308,$D308-($D308-$I$292)*MIN(K$3-$O$2,$Q$2)/$Q$2))</f>
        <v>26593.8198629647</v>
      </c>
      <c r="L308" s="15" t="n">
        <f aca="false">K308*(1+IF(L$3&lt;=$O$2,$D308,$D308-($D308-$I$292)*MIN(L$3-$O$2,$Q$2)/$Q$2))</f>
        <v>28243.2799844275</v>
      </c>
      <c r="M308" s="15" t="n">
        <f aca="false">L308*(1+IF(M$3&lt;=$O$2,$D308,$D308-($D308-$I$292)*MIN(M$3-$O$2,$Q$2)/$Q$2))</f>
        <v>29660.0220703952</v>
      </c>
      <c r="N308" s="15" t="n">
        <f aca="false">M308*(1+IF(N$3&lt;=$O$2,$D308,$D308-($D308-$I$292)*MIN(N$3-$O$2,$Q$2)/$Q$2))</f>
        <v>30796.0009156913</v>
      </c>
      <c r="O308" s="15" t="n">
        <f aca="false">SUMPRODUCT(E308:N308,1/(1+$F$292)^$E$3:$N$3)*$E$2</f>
        <v>46846.8459120228</v>
      </c>
      <c r="P308" s="15" t="n">
        <f aca="false">N308*$E$2*(1+$I$292)/($F$292-$I$292)/(1+$F$292)^$N$3</f>
        <v>85654.2744751282</v>
      </c>
      <c r="Q308" s="15" t="n">
        <f aca="false">O308+P308</f>
        <v>132501.120387151</v>
      </c>
      <c r="R308" s="15" t="n">
        <f aca="false">Q308-$G$2+$I$2</f>
        <v>120881.120387151</v>
      </c>
      <c r="S308" s="40" t="n">
        <f aca="false">R308/$K$2</f>
        <v>410.08623804034</v>
      </c>
      <c r="T308" s="41" t="n">
        <f aca="false">S308-$M$2</f>
        <v>0.105575150629079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0.097564697265625</v>
      </c>
      <c r="C309" s="25" t="n">
        <f aca="false">IF(T308&gt;0,D308,C308)</f>
        <v>0.0976104736328125</v>
      </c>
      <c r="D309" s="39" t="n">
        <f aca="false">(B309+C309)/2</f>
        <v>0.0975875854492188</v>
      </c>
      <c r="E309" s="15" t="n">
        <f aca="false">$C$2*(1+IF(E$3&lt;=$O$2,$D309,$D309-($D309-$I$292)*MIN(E$3-$O$2,$Q$2)/$Q$2))</f>
        <v>15714.1614608765</v>
      </c>
      <c r="F309" s="15" t="n">
        <f aca="false">E309*(1+IF(F$3&lt;=$O$2,$D309,$D309-($D309-$I$292)*MIN(F$3-$O$2,$Q$2)/$Q$2))</f>
        <v>17247.6685352026</v>
      </c>
      <c r="G309" s="15" t="n">
        <f aca="false">F309*(1+IF(G$3&lt;=$O$2,$D309,$D309-($D309-$I$292)*MIN(G$3-$O$2,$Q$2)/$Q$2))</f>
        <v>18930.8268621815</v>
      </c>
      <c r="H309" s="15" t="n">
        <f aca="false">G309*(1+IF(H$3&lt;=$O$2,$D309,$D309-($D309-$I$292)*MIN(H$3-$O$2,$Q$2)/$Q$2))</f>
        <v>20778.240546219</v>
      </c>
      <c r="I309" s="15" t="n">
        <f aca="false">H309*(1+IF(I$3&lt;=$O$2,$D309,$D309-($D309-$I$292)*MIN(I$3-$O$2,$Q$2)/$Q$2))</f>
        <v>22805.9388710075</v>
      </c>
      <c r="J309" s="15" t="n">
        <f aca="false">I309*(1+IF(J$3&lt;=$O$2,$D309,$D309-($D309-$I$292)*MIN(J$3-$O$2,$Q$2)/$Q$2))</f>
        <v>24761.0935694187</v>
      </c>
      <c r="K309" s="15" t="n">
        <f aca="false">J309*(1+IF(K$3&lt;=$O$2,$D309,$D309-($D309-$I$292)*MIN(K$3-$O$2,$Q$2)/$Q$2))</f>
        <v>26590.2587236153</v>
      </c>
      <c r="L309" s="15" t="n">
        <f aca="false">K309*(1+IF(L$3&lt;=$O$2,$D309,$D309-($D309-$I$292)*MIN(L$3-$O$2,$Q$2)/$Q$2))</f>
        <v>28239.254527207</v>
      </c>
      <c r="M309" s="15" t="n">
        <f aca="false">L309*(1+IF(M$3&lt;=$O$2,$D309,$D309-($D309-$I$292)*MIN(M$3-$O$2,$Q$2)/$Q$2))</f>
        <v>29655.6654187598</v>
      </c>
      <c r="N309" s="15" t="n">
        <f aca="false">M309*(1+IF(N$3&lt;=$O$2,$D309,$D309-($D309-$I$292)*MIN(N$3-$O$2,$Q$2)/$Q$2))</f>
        <v>30791.4774042983</v>
      </c>
      <c r="O309" s="15" t="n">
        <f aca="false">SUMPRODUCT(E309:N309,1/(1+$F$292)^$E$3:$N$3)*$E$2</f>
        <v>46842.1795231974</v>
      </c>
      <c r="P309" s="15" t="n">
        <f aca="false">N309*$E$2*(1+$I$292)/($F$292-$I$292)/(1+$F$292)^$N$3</f>
        <v>85641.6930335473</v>
      </c>
      <c r="Q309" s="15" t="n">
        <f aca="false">O309+P309</f>
        <v>132483.872556745</v>
      </c>
      <c r="R309" s="15" t="n">
        <f aca="false">Q309-$G$2+$I$2</f>
        <v>120863.872556745</v>
      </c>
      <c r="S309" s="40" t="n">
        <f aca="false">R309/$K$2</f>
        <v>410.027725198442</v>
      </c>
      <c r="T309" s="41" t="n">
        <f aca="false">S309-$M$2</f>
        <v>0.0470623087311992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0.097564697265625</v>
      </c>
      <c r="C310" s="25" t="n">
        <f aca="false">IF(T309&gt;0,D309,C309)</f>
        <v>0.0975875854492188</v>
      </c>
      <c r="D310" s="39" t="n">
        <f aca="false">(B310+C310)/2</f>
        <v>0.0975761413574219</v>
      </c>
      <c r="E310" s="15" t="n">
        <f aca="false">$C$2*(1+IF(E$3&lt;=$O$2,$D310,$D310-($D310-$I$292)*MIN(E$3-$O$2,$Q$2)/$Q$2))</f>
        <v>15713.9976158142</v>
      </c>
      <c r="F310" s="15" t="n">
        <f aca="false">E310*(1+IF(F$3&lt;=$O$2,$D310,$D310-($D310-$I$292)*MIN(F$3-$O$2,$Q$2)/$Q$2))</f>
        <v>17247.3088684651</v>
      </c>
      <c r="G310" s="15" t="n">
        <f aca="false">F310*(1+IF(G$3&lt;=$O$2,$D310,$D310-($D310-$I$292)*MIN(G$3-$O$2,$Q$2)/$Q$2))</f>
        <v>18930.2347166496</v>
      </c>
      <c r="H310" s="15" t="n">
        <f aca="false">G310*(1+IF(H$3&lt;=$O$2,$D310,$D310-($D310-$I$292)*MIN(H$3-$O$2,$Q$2)/$Q$2))</f>
        <v>20777.3739752905</v>
      </c>
      <c r="I310" s="15" t="n">
        <f aca="false">H310*(1+IF(I$3&lt;=$O$2,$D310,$D310-($D310-$I$292)*MIN(I$3-$O$2,$Q$2)/$Q$2))</f>
        <v>22804.7499553395</v>
      </c>
      <c r="J310" s="15" t="n">
        <f aca="false">I310*(1+IF(J$3&lt;=$O$2,$D310,$D310-($D310-$I$292)*MIN(J$3-$O$2,$Q$2)/$Q$2))</f>
        <v>24759.5939442077</v>
      </c>
      <c r="K310" s="15" t="n">
        <f aca="false">J310*(1+IF(K$3&lt;=$O$2,$D310,$D310-($D310-$I$292)*MIN(K$3-$O$2,$Q$2)/$Q$2))</f>
        <v>26588.4783066244</v>
      </c>
      <c r="L310" s="15" t="n">
        <f aca="false">K310*(1+IF(L$3&lt;=$O$2,$D310,$D310-($D310-$I$292)*MIN(L$3-$O$2,$Q$2)/$Q$2))</f>
        <v>28237.241985201</v>
      </c>
      <c r="M310" s="15" t="n">
        <f aca="false">L310*(1+IF(M$3&lt;=$O$2,$D310,$D310-($D310-$I$292)*MIN(M$3-$O$2,$Q$2)/$Q$2))</f>
        <v>29653.4873027259</v>
      </c>
      <c r="N310" s="15" t="n">
        <f aca="false">M310*(1+IF(N$3&lt;=$O$2,$D310,$D310-($D310-$I$292)*MIN(N$3-$O$2,$Q$2)/$Q$2))</f>
        <v>30789.2158664203</v>
      </c>
      <c r="O310" s="15" t="n">
        <f aca="false">SUMPRODUCT(E310:N310,1/(1+$F$292)^$E$3:$N$3)*$E$2</f>
        <v>46839.8465020058</v>
      </c>
      <c r="P310" s="15" t="n">
        <f aca="false">N310*$E$2*(1+$I$292)/($F$292-$I$292)/(1+$F$292)^$N$3</f>
        <v>85635.4029185848</v>
      </c>
      <c r="Q310" s="15" t="n">
        <f aca="false">O310+P310</f>
        <v>132475.249420591</v>
      </c>
      <c r="R310" s="15" t="n">
        <f aca="false">Q310-$G$2+$I$2</f>
        <v>120855.249420591</v>
      </c>
      <c r="S310" s="40" t="n">
        <f aca="false">R310/$K$2</f>
        <v>409.998471420398</v>
      </c>
      <c r="T310" s="41" t="n">
        <f aca="false">S310-$M$2</f>
        <v>0.0178085306869775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0.097564697265625</v>
      </c>
      <c r="C311" s="25" t="n">
        <f aca="false">IF(T310&gt;0,D310,C310)</f>
        <v>0.0975761413574219</v>
      </c>
      <c r="D311" s="39" t="n">
        <f aca="false">(B311+C311)/2</f>
        <v>0.0975704193115234</v>
      </c>
      <c r="E311" s="15" t="n">
        <f aca="false">$C$2*(1+IF(E$3&lt;=$O$2,$D311,$D311-($D311-$I$292)*MIN(E$3-$O$2,$Q$2)/$Q$2))</f>
        <v>15713.9156932831</v>
      </c>
      <c r="F311" s="15" t="n">
        <f aca="false">E311*(1+IF(F$3&lt;=$O$2,$D311,$D311-($D311-$I$292)*MIN(F$3-$O$2,$Q$2)/$Q$2))</f>
        <v>17247.1290365026</v>
      </c>
      <c r="G311" s="15" t="n">
        <f aca="false">F311*(1+IF(G$3&lt;=$O$2,$D311,$D311-($D311-$I$292)*MIN(G$3-$O$2,$Q$2)/$Q$2))</f>
        <v>18929.9386485142</v>
      </c>
      <c r="H311" s="15" t="n">
        <f aca="false">G311*(1+IF(H$3&lt;=$O$2,$D311,$D311-($D311-$I$292)*MIN(H$3-$O$2,$Q$2)/$Q$2))</f>
        <v>20776.9406999911</v>
      </c>
      <c r="I311" s="15" t="n">
        <f aca="false">H311*(1+IF(I$3&lt;=$O$2,$D311,$D311-($D311-$I$292)*MIN(I$3-$O$2,$Q$2)/$Q$2))</f>
        <v>22804.1555160999</v>
      </c>
      <c r="J311" s="15" t="n">
        <f aca="false">I311*(1+IF(J$3&lt;=$O$2,$D311,$D311-($D311-$I$292)*MIN(J$3-$O$2,$Q$2)/$Q$2))</f>
        <v>24758.8441599541</v>
      </c>
      <c r="K311" s="15" t="n">
        <f aca="false">J311*(1+IF(K$3&lt;=$O$2,$D311,$D311-($D311-$I$292)*MIN(K$3-$O$2,$Q$2)/$Q$2))</f>
        <v>26587.5881362978</v>
      </c>
      <c r="L311" s="15" t="n">
        <f aca="false">K311*(1+IF(L$3&lt;=$O$2,$D311,$D311-($D311-$I$292)*MIN(L$3-$O$2,$Q$2)/$Q$2))</f>
        <v>28236.2357608462</v>
      </c>
      <c r="M311" s="15" t="n">
        <f aca="false">L311*(1+IF(M$3&lt;=$O$2,$D311,$D311-($D311-$I$292)*MIN(M$3-$O$2,$Q$2)/$Q$2))</f>
        <v>29652.3982971515</v>
      </c>
      <c r="N311" s="15" t="n">
        <f aca="false">M311*(1+IF(N$3&lt;=$O$2,$D311,$D311-($D311-$I$292)*MIN(N$3-$O$2,$Q$2)/$Q$2))</f>
        <v>30788.0851519323</v>
      </c>
      <c r="O311" s="15" t="n">
        <f aca="false">SUMPRODUCT(E311:N311,1/(1+$F$292)^$E$3:$N$3)*$E$2</f>
        <v>46838.6800347129</v>
      </c>
      <c r="P311" s="15" t="n">
        <f aca="false">N311*$E$2*(1+$I$292)/($F$292-$I$292)/(1+$F$292)^$N$3</f>
        <v>85632.2580125509</v>
      </c>
      <c r="Q311" s="15" t="n">
        <f aca="false">O311+P311</f>
        <v>132470.938047264</v>
      </c>
      <c r="R311" s="15" t="n">
        <f aca="false">Q311-$G$2+$I$2</f>
        <v>120850.938047264</v>
      </c>
      <c r="S311" s="40" t="n">
        <f aca="false">R311/$K$2</f>
        <v>409.983845192061</v>
      </c>
      <c r="T311" s="41" t="n">
        <f aca="false">S311-$M$2</f>
        <v>0.00318230235018291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0.097564697265625</v>
      </c>
      <c r="C312" s="25" t="n">
        <f aca="false">IF(T311&gt;0,D311,C311)</f>
        <v>0.0975704193115234</v>
      </c>
      <c r="D312" s="39" t="n">
        <f aca="false">(B312+C312)/2</f>
        <v>0.0975675582885742</v>
      </c>
      <c r="E312" s="15" t="n">
        <f aca="false">$C$2*(1+IF(E$3&lt;=$O$2,$D312,$D312-($D312-$I$292)*MIN(E$3-$O$2,$Q$2)/$Q$2))</f>
        <v>15713.8747320175</v>
      </c>
      <c r="F312" s="15" t="n">
        <f aca="false">E312*(1+IF(F$3&lt;=$O$2,$D312,$D312-($D312-$I$292)*MIN(F$3-$O$2,$Q$2)/$Q$2))</f>
        <v>17247.039120873</v>
      </c>
      <c r="G312" s="15" t="n">
        <f aca="false">F312*(1+IF(G$3&lt;=$O$2,$D312,$D312-($D312-$I$292)*MIN(G$3-$O$2,$Q$2)/$Q$2))</f>
        <v>18929.7906156041</v>
      </c>
      <c r="H312" s="15" t="n">
        <f aca="false">G312*(1+IF(H$3&lt;=$O$2,$D312,$D312-($D312-$I$292)*MIN(H$3-$O$2,$Q$2)/$Q$2))</f>
        <v>20776.7240648825</v>
      </c>
      <c r="I312" s="15" t="n">
        <f aca="false">H312*(1+IF(I$3&lt;=$O$2,$D312,$D312-($D312-$I$292)*MIN(I$3-$O$2,$Q$2)/$Q$2))</f>
        <v>22803.8583011286</v>
      </c>
      <c r="J312" s="15" t="n">
        <f aca="false">I312*(1+IF(J$3&lt;=$O$2,$D312,$D312-($D312-$I$292)*MIN(J$3-$O$2,$Q$2)/$Q$2))</f>
        <v>24758.469274915</v>
      </c>
      <c r="K312" s="15" t="n">
        <f aca="false">J312*(1+IF(K$3&lt;=$O$2,$D312,$D312-($D312-$I$292)*MIN(K$3-$O$2,$Q$2)/$Q$2))</f>
        <v>26587.1430606764</v>
      </c>
      <c r="L312" s="15" t="n">
        <f aca="false">K312*(1+IF(L$3&lt;=$O$2,$D312,$D312-($D312-$I$292)*MIN(L$3-$O$2,$Q$2)/$Q$2))</f>
        <v>28235.7326603305</v>
      </c>
      <c r="M312" s="15" t="n">
        <f aca="false">L312*(1+IF(M$3&lt;=$O$2,$D312,$D312-($D312-$I$292)*MIN(M$3-$O$2,$Q$2)/$Q$2))</f>
        <v>29651.8538074745</v>
      </c>
      <c r="N312" s="15" t="n">
        <f aca="false">M312*(1+IF(N$3&lt;=$O$2,$D312,$D312-($D312-$I$292)*MIN(N$3-$O$2,$Q$2)/$Q$2))</f>
        <v>30787.5198083007</v>
      </c>
      <c r="O312" s="15" t="n">
        <f aca="false">SUMPRODUCT(E312:N312,1/(1+$F$292)^$E$3:$N$3)*$E$2</f>
        <v>46838.0968118919</v>
      </c>
      <c r="P312" s="15" t="n">
        <f aca="false">N312*$E$2*(1+$I$292)/($F$292-$I$292)/(1+$F$292)^$N$3</f>
        <v>85630.6855973945</v>
      </c>
      <c r="Q312" s="15" t="n">
        <f aca="false">O312+P312</f>
        <v>132468.782409286</v>
      </c>
      <c r="R312" s="15" t="n">
        <f aca="false">Q312-$G$2+$I$2</f>
        <v>120848.782409286</v>
      </c>
      <c r="S312" s="40" t="n">
        <f aca="false">R312/$K$2</f>
        <v>409.976532243059</v>
      </c>
      <c r="T312" s="41" t="n">
        <f aca="false">S312-$M$2</f>
        <v>-0.00413064665201546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0.0975675582885742</v>
      </c>
      <c r="C313" s="25" t="n">
        <f aca="false">IF(T312&gt;0,D312,C312)</f>
        <v>0.0975704193115234</v>
      </c>
      <c r="D313" s="39" t="n">
        <f aca="false">(B313+C313)/2</f>
        <v>0.0975689888000488</v>
      </c>
      <c r="E313" s="15" t="n">
        <f aca="false">$C$2*(1+IF(E$3&lt;=$O$2,$D313,$D313-($D313-$I$292)*MIN(E$3-$O$2,$Q$2)/$Q$2))</f>
        <v>15713.8952126503</v>
      </c>
      <c r="F313" s="15" t="n">
        <f aca="false">E313*(1+IF(F$3&lt;=$O$2,$D313,$D313-($D313-$I$292)*MIN(F$3-$O$2,$Q$2)/$Q$2))</f>
        <v>17247.0840786585</v>
      </c>
      <c r="G313" s="15" t="n">
        <f aca="false">F313*(1+IF(G$3&lt;=$O$2,$D313,$D313-($D313-$I$292)*MIN(G$3-$O$2,$Q$2)/$Q$2))</f>
        <v>18929.8646319627</v>
      </c>
      <c r="H313" s="15" t="n">
        <f aca="false">G313*(1+IF(H$3&lt;=$O$2,$D313,$D313-($D313-$I$292)*MIN(H$3-$O$2,$Q$2)/$Q$2))</f>
        <v>20776.8323822251</v>
      </c>
      <c r="I313" s="15" t="n">
        <f aca="false">H313*(1+IF(I$3&lt;=$O$2,$D313,$D313-($D313-$I$292)*MIN(I$3-$O$2,$Q$2)/$Q$2))</f>
        <v>22804.0069082269</v>
      </c>
      <c r="J313" s="15" t="n">
        <f aca="false">I313*(1+IF(J$3&lt;=$O$2,$D313,$D313-($D313-$I$292)*MIN(J$3-$O$2,$Q$2)/$Q$2))</f>
        <v>24758.6567168439</v>
      </c>
      <c r="K313" s="15" t="n">
        <f aca="false">J313*(1+IF(K$3&lt;=$O$2,$D313,$D313-($D313-$I$292)*MIN(K$3-$O$2,$Q$2)/$Q$2))</f>
        <v>26587.3655976919</v>
      </c>
      <c r="L313" s="15" t="n">
        <f aca="false">K313*(1+IF(L$3&lt;=$O$2,$D313,$D313-($D313-$I$292)*MIN(L$3-$O$2,$Q$2)/$Q$2))</f>
        <v>28235.9842096165</v>
      </c>
      <c r="M313" s="15" t="n">
        <f aca="false">L313*(1+IF(M$3&lt;=$O$2,$D313,$D313-($D313-$I$292)*MIN(M$3-$O$2,$Q$2)/$Q$2))</f>
        <v>29652.1260512204</v>
      </c>
      <c r="N313" s="15" t="n">
        <f aca="false">M313*(1+IF(N$3&lt;=$O$2,$D313,$D313-($D313-$I$292)*MIN(N$3-$O$2,$Q$2)/$Q$2))</f>
        <v>30787.8024789822</v>
      </c>
      <c r="O313" s="15" t="n">
        <f aca="false">SUMPRODUCT(E313:N313,1/(1+$F$292)^$E$3:$N$3)*$E$2</f>
        <v>46838.3884224003</v>
      </c>
      <c r="P313" s="15" t="n">
        <f aca="false">N313*$E$2*(1+$I$292)/($F$292-$I$292)/(1+$F$292)^$N$3</f>
        <v>85631.4718018176</v>
      </c>
      <c r="Q313" s="15" t="n">
        <f aca="false">O313+P313</f>
        <v>132469.860224218</v>
      </c>
      <c r="R313" s="15" t="n">
        <f aca="false">Q313-$G$2+$I$2</f>
        <v>120849.860224218</v>
      </c>
      <c r="S313" s="40" t="n">
        <f aca="false">R313/$K$2</f>
        <v>409.980188703796</v>
      </c>
      <c r="T313" s="41" t="n">
        <f aca="false">S313-$M$2</f>
        <v>-0.0004741859146975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0.0975689888000488</v>
      </c>
      <c r="C314" s="25" t="n">
        <f aca="false">IF(T313&gt;0,D313,C313)</f>
        <v>0.0975704193115234</v>
      </c>
      <c r="D314" s="39" t="n">
        <f aca="false">(B314+C314)/2</f>
        <v>0.0975697040557861</v>
      </c>
      <c r="E314" s="15" t="n">
        <f aca="false">$C$2*(1+IF(E$3&lt;=$O$2,$D314,$D314-($D314-$I$292)*MIN(E$3-$O$2,$Q$2)/$Q$2))</f>
        <v>15713.9054529667</v>
      </c>
      <c r="F314" s="15" t="n">
        <f aca="false">E314*(1+IF(F$3&lt;=$O$2,$D314,$D314-($D314-$I$292)*MIN(F$3-$O$2,$Q$2)/$Q$2))</f>
        <v>17247.1065575733</v>
      </c>
      <c r="G314" s="15" t="n">
        <f aca="false">F314*(1+IF(G$3&lt;=$O$2,$D314,$D314-($D314-$I$292)*MIN(G$3-$O$2,$Q$2)/$Q$2))</f>
        <v>18929.9016402143</v>
      </c>
      <c r="H314" s="15" t="n">
        <f aca="false">G314*(1+IF(H$3&lt;=$O$2,$D314,$D314-($D314-$I$292)*MIN(H$3-$O$2,$Q$2)/$Q$2))</f>
        <v>20776.8865410551</v>
      </c>
      <c r="I314" s="15" t="n">
        <f aca="false">H314*(1+IF(I$3&lt;=$O$2,$D314,$D314-($D314-$I$292)*MIN(I$3-$O$2,$Q$2)/$Q$2))</f>
        <v>22804.0812120665</v>
      </c>
      <c r="J314" s="15" t="n">
        <f aca="false">I314*(1+IF(J$3&lt;=$O$2,$D314,$D314-($D314-$I$292)*MIN(J$3-$O$2,$Q$2)/$Q$2))</f>
        <v>24758.7504382513</v>
      </c>
      <c r="K314" s="15" t="n">
        <f aca="false">J314*(1+IF(K$3&lt;=$O$2,$D314,$D314-($D314-$I$292)*MIN(K$3-$O$2,$Q$2)/$Q$2))</f>
        <v>26587.4768667961</v>
      </c>
      <c r="L314" s="15" t="n">
        <f aca="false">K314*(1+IF(L$3&lt;=$O$2,$D314,$D314-($D314-$I$292)*MIN(L$3-$O$2,$Q$2)/$Q$2))</f>
        <v>28236.1099849884</v>
      </c>
      <c r="M314" s="15" t="n">
        <f aca="false">L314*(1+IF(M$3&lt;=$O$2,$D314,$D314-($D314-$I$292)*MIN(M$3-$O$2,$Q$2)/$Q$2))</f>
        <v>29652.2621739128</v>
      </c>
      <c r="N314" s="15" t="n">
        <f aca="false">M314*(1+IF(N$3&lt;=$O$2,$D314,$D314-($D314-$I$292)*MIN(N$3-$O$2,$Q$2)/$Q$2))</f>
        <v>30787.9438151737</v>
      </c>
      <c r="O314" s="15" t="n">
        <f aca="false">SUMPRODUCT(E314:N314,1/(1+$F$292)^$E$3:$N$3)*$E$2</f>
        <v>46838.534228331</v>
      </c>
      <c r="P314" s="15" t="n">
        <f aca="false">N314*$E$2*(1+$I$292)/($F$292-$I$292)/(1+$F$292)^$N$3</f>
        <v>85631.8649063955</v>
      </c>
      <c r="Q314" s="15" t="n">
        <f aca="false">O314+P314</f>
        <v>132470.399134727</v>
      </c>
      <c r="R314" s="15" t="n">
        <f aca="false">Q314-$G$2+$I$2</f>
        <v>120850.399134727</v>
      </c>
      <c r="S314" s="40" t="n">
        <f aca="false">R314/$K$2</f>
        <v>409.982016944487</v>
      </c>
      <c r="T314" s="41" t="n">
        <f aca="false">S314-$M$2</f>
        <v>0.00135405477686845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0.0975689888000488</v>
      </c>
      <c r="C315" s="25" t="n">
        <f aca="false">IF(T314&gt;0,D314,C314)</f>
        <v>0.0975697040557861</v>
      </c>
      <c r="D315" s="39" t="n">
        <f aca="false">(B315+C315)/2</f>
        <v>0.0975693464279175</v>
      </c>
      <c r="E315" s="15" t="n">
        <f aca="false">$C$2*(1+IF(E$3&lt;=$O$2,$D315,$D315-($D315-$I$292)*MIN(E$3-$O$2,$Q$2)/$Q$2))</f>
        <v>15713.9003328085</v>
      </c>
      <c r="F315" s="15" t="n">
        <f aca="false">E315*(1+IF(F$3&lt;=$O$2,$D315,$D315-($D315-$I$292)*MIN(F$3-$O$2,$Q$2)/$Q$2))</f>
        <v>17247.0953181141</v>
      </c>
      <c r="G315" s="15" t="n">
        <f aca="false">F315*(1+IF(G$3&lt;=$O$2,$D315,$D315-($D315-$I$292)*MIN(G$3-$O$2,$Q$2)/$Q$2))</f>
        <v>18929.8831360824</v>
      </c>
      <c r="H315" s="15" t="n">
        <f aca="false">G315*(1+IF(H$3&lt;=$O$2,$D315,$D315-($D315-$I$292)*MIN(H$3-$O$2,$Q$2)/$Q$2))</f>
        <v>20776.8594616269</v>
      </c>
      <c r="I315" s="15" t="n">
        <f aca="false">H315*(1+IF(I$3&lt;=$O$2,$D315,$D315-($D315-$I$292)*MIN(I$3-$O$2,$Q$2)/$Q$2))</f>
        <v>22804.0440601225</v>
      </c>
      <c r="J315" s="15" t="n">
        <f aca="false">I315*(1+IF(J$3&lt;=$O$2,$D315,$D315-($D315-$I$292)*MIN(J$3-$O$2,$Q$2)/$Q$2))</f>
        <v>24758.7035775107</v>
      </c>
      <c r="K315" s="15" t="n">
        <f aca="false">J315*(1+IF(K$3&lt;=$O$2,$D315,$D315-($D315-$I$292)*MIN(K$3-$O$2,$Q$2)/$Q$2))</f>
        <v>26587.4212321943</v>
      </c>
      <c r="L315" s="15" t="n">
        <f aca="false">K315*(1+IF(L$3&lt;=$O$2,$D315,$D315-($D315-$I$292)*MIN(L$3-$O$2,$Q$2)/$Q$2))</f>
        <v>28236.0470972417</v>
      </c>
      <c r="M315" s="15" t="n">
        <f aca="false">L315*(1+IF(M$3&lt;=$O$2,$D315,$D315-($D315-$I$292)*MIN(M$3-$O$2,$Q$2)/$Q$2))</f>
        <v>29652.1941124984</v>
      </c>
      <c r="N315" s="15" t="n">
        <f aca="false">M315*(1+IF(N$3&lt;=$O$2,$D315,$D315-($D315-$I$292)*MIN(N$3-$O$2,$Q$2)/$Q$2))</f>
        <v>30787.873147007</v>
      </c>
      <c r="O315" s="15" t="n">
        <f aca="false">SUMPRODUCT(E315:N315,1/(1+$F$292)^$E$3:$N$3)*$E$2</f>
        <v>46838.4613253093</v>
      </c>
      <c r="P315" s="15" t="n">
        <f aca="false">N315*$E$2*(1+$I$292)/($F$292-$I$292)/(1+$F$292)^$N$3</f>
        <v>85631.6683539094</v>
      </c>
      <c r="Q315" s="15" t="n">
        <f aca="false">O315+P315</f>
        <v>132470.129679219</v>
      </c>
      <c r="R315" s="15" t="n">
        <f aca="false">Q315-$G$2+$I$2</f>
        <v>120850.129679219</v>
      </c>
      <c r="S315" s="40" t="n">
        <f aca="false">R315/$K$2</f>
        <v>409.981102823281</v>
      </c>
      <c r="T315" s="41" t="n">
        <f aca="false">S315-$M$2</f>
        <v>0.000439933570874018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0.0975689888000488</v>
      </c>
      <c r="C316" s="25" t="n">
        <f aca="false">IF(T315&gt;0,D315,C315)</f>
        <v>0.0975693464279175</v>
      </c>
      <c r="D316" s="39" t="n">
        <f aca="false">(B316+C316)/2</f>
        <v>0.0975691676139832</v>
      </c>
      <c r="E316" s="15" t="n">
        <f aca="false">$C$2*(1+IF(E$3&lt;=$O$2,$D316,$D316-($D316-$I$292)*MIN(E$3-$O$2,$Q$2)/$Q$2))</f>
        <v>15713.8977727294</v>
      </c>
      <c r="F316" s="15" t="n">
        <f aca="false">E316*(1+IF(F$3&lt;=$O$2,$D316,$D316-($D316-$I$292)*MIN(F$3-$O$2,$Q$2)/$Q$2))</f>
        <v>17247.0896983858</v>
      </c>
      <c r="G316" s="15" t="n">
        <f aca="false">F316*(1+IF(G$3&lt;=$O$2,$D316,$D316-($D316-$I$292)*MIN(G$3-$O$2,$Q$2)/$Q$2))</f>
        <v>18929.873884021</v>
      </c>
      <c r="H316" s="15" t="n">
        <f aca="false">G316*(1+IF(H$3&lt;=$O$2,$D316,$D316-($D316-$I$292)*MIN(H$3-$O$2,$Q$2)/$Q$2))</f>
        <v>20776.8459219227</v>
      </c>
      <c r="I316" s="15" t="n">
        <f aca="false">H316*(1+IF(I$3&lt;=$O$2,$D316,$D316-($D316-$I$292)*MIN(I$3-$O$2,$Q$2)/$Q$2))</f>
        <v>22804.0254841686</v>
      </c>
      <c r="J316" s="15" t="n">
        <f aca="false">I316*(1+IF(J$3&lt;=$O$2,$D316,$D316-($D316-$I$292)*MIN(J$3-$O$2,$Q$2)/$Q$2))</f>
        <v>24758.6801471681</v>
      </c>
      <c r="K316" s="15" t="n">
        <f aca="false">J316*(1+IF(K$3&lt;=$O$2,$D316,$D316-($D316-$I$292)*MIN(K$3-$O$2,$Q$2)/$Q$2))</f>
        <v>26587.3934149307</v>
      </c>
      <c r="L316" s="15" t="n">
        <f aca="false">K316*(1+IF(L$3&lt;=$O$2,$D316,$D316-($D316-$I$292)*MIN(L$3-$O$2,$Q$2)/$Q$2))</f>
        <v>28236.0156534139</v>
      </c>
      <c r="M316" s="15" t="n">
        <f aca="false">L316*(1+IF(M$3&lt;=$O$2,$D316,$D316-($D316-$I$292)*MIN(M$3-$O$2,$Q$2)/$Q$2))</f>
        <v>29652.1600818423</v>
      </c>
      <c r="N316" s="15" t="n">
        <f aca="false">M316*(1+IF(N$3&lt;=$O$2,$D316,$D316-($D316-$I$292)*MIN(N$3-$O$2,$Q$2)/$Q$2))</f>
        <v>30787.8378129769</v>
      </c>
      <c r="O316" s="15" t="n">
        <f aca="false">SUMPRODUCT(E316:N316,1/(1+$F$292)^$E$3:$N$3)*$E$2</f>
        <v>46838.4248738407</v>
      </c>
      <c r="P316" s="15" t="n">
        <f aca="false">N316*$E$2*(1+$I$292)/($F$292-$I$292)/(1+$F$292)^$N$3</f>
        <v>85631.5700778143</v>
      </c>
      <c r="Q316" s="15" t="n">
        <f aca="false">O316+P316</f>
        <v>132469.994951655</v>
      </c>
      <c r="R316" s="15" t="n">
        <f aca="false">Q316-$G$2+$I$2</f>
        <v>120849.994951655</v>
      </c>
      <c r="S316" s="40" t="n">
        <f aca="false">R316/$K$2</f>
        <v>409.980645763324</v>
      </c>
      <c r="T316" s="41" t="n">
        <f aca="false">S316-$M$2</f>
        <v>-1.71263868651295E-005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0.0975691676139832</v>
      </c>
      <c r="C317" s="25" t="n">
        <f aca="false">IF(T316&gt;0,D316,C316)</f>
        <v>0.0975693464279175</v>
      </c>
      <c r="D317" s="39" t="n">
        <f aca="false">(B317+C317)/2</f>
        <v>0.0975692570209503</v>
      </c>
      <c r="E317" s="15" t="n">
        <f aca="false">$C$2*(1+IF(E$3&lt;=$O$2,$D317,$D317-($D317-$I$292)*MIN(E$3-$O$2,$Q$2)/$Q$2))</f>
        <v>15713.8990527689</v>
      </c>
      <c r="F317" s="15" t="n">
        <f aca="false">E317*(1+IF(F$3&lt;=$O$2,$D317,$D317-($D317-$I$292)*MIN(F$3-$O$2,$Q$2)/$Q$2))</f>
        <v>17247.0925082498</v>
      </c>
      <c r="G317" s="15" t="n">
        <f aca="false">F317*(1+IF(G$3&lt;=$O$2,$D317,$D317-($D317-$I$292)*MIN(G$3-$O$2,$Q$2)/$Q$2))</f>
        <v>18929.8785100514</v>
      </c>
      <c r="H317" s="15" t="n">
        <f aca="false">G317*(1+IF(H$3&lt;=$O$2,$D317,$D317-($D317-$I$292)*MIN(H$3-$O$2,$Q$2)/$Q$2))</f>
        <v>20776.8526917739</v>
      </c>
      <c r="I317" s="15" t="n">
        <f aca="false">H317*(1+IF(I$3&lt;=$O$2,$D317,$D317-($D317-$I$292)*MIN(I$3-$O$2,$Q$2)/$Q$2))</f>
        <v>22804.034772144</v>
      </c>
      <c r="J317" s="15" t="n">
        <f aca="false">I317*(1+IF(J$3&lt;=$O$2,$D317,$D317-($D317-$I$292)*MIN(J$3-$O$2,$Q$2)/$Q$2))</f>
        <v>24758.6918623371</v>
      </c>
      <c r="K317" s="15" t="n">
        <f aca="false">J317*(1+IF(K$3&lt;=$O$2,$D317,$D317-($D317-$I$292)*MIN(K$3-$O$2,$Q$2)/$Q$2))</f>
        <v>26587.4073235594</v>
      </c>
      <c r="L317" s="15" t="n">
        <f aca="false">K317*(1+IF(L$3&lt;=$O$2,$D317,$D317-($D317-$I$292)*MIN(L$3-$O$2,$Q$2)/$Q$2))</f>
        <v>28236.031375324</v>
      </c>
      <c r="M317" s="15" t="n">
        <f aca="false">L317*(1+IF(M$3&lt;=$O$2,$D317,$D317-($D317-$I$292)*MIN(M$3-$O$2,$Q$2)/$Q$2))</f>
        <v>29652.1770971661</v>
      </c>
      <c r="N317" s="15" t="n">
        <f aca="false">M317*(1+IF(N$3&lt;=$O$2,$D317,$D317-($D317-$I$292)*MIN(N$3-$O$2,$Q$2)/$Q$2))</f>
        <v>30787.8554799875</v>
      </c>
      <c r="O317" s="15" t="n">
        <f aca="false">SUMPRODUCT(E317:N317,1/(1+$F$292)^$E$3:$N$3)*$E$2</f>
        <v>46838.4430995714</v>
      </c>
      <c r="P317" s="15" t="n">
        <f aca="false">N317*$E$2*(1+$I$292)/($F$292-$I$292)/(1+$F$292)^$N$3</f>
        <v>85631.6192158495</v>
      </c>
      <c r="Q317" s="15" t="n">
        <f aca="false">O317+P317</f>
        <v>132470.062315421</v>
      </c>
      <c r="R317" s="15" t="n">
        <f aca="false">Q317-$G$2+$I$2</f>
        <v>120850.062315421</v>
      </c>
      <c r="S317" s="40" t="n">
        <f aca="false">R317/$K$2</f>
        <v>409.980874293249</v>
      </c>
      <c r="T317" s="41" t="n">
        <f aca="false">S317-$M$2</f>
        <v>0.000211403538116883</v>
      </c>
    </row>
    <row r="319" customFormat="false" ht="15" hidden="false" customHeight="false" outlineLevel="0" collapsed="false">
      <c r="A319" s="36" t="s">
        <v>185</v>
      </c>
      <c r="E319" s="5" t="s">
        <v>11</v>
      </c>
      <c r="F319" s="12" t="n">
        <f aca="false">Sensitivity!$B$12</f>
        <v>0.0948919064489092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6" t="s">
        <v>155</v>
      </c>
      <c r="B320" s="28" t="s">
        <v>156</v>
      </c>
      <c r="C320" s="28" t="s">
        <v>157</v>
      </c>
      <c r="D320" s="28" t="s">
        <v>158</v>
      </c>
      <c r="E320" s="28" t="s">
        <v>159</v>
      </c>
      <c r="F320" s="28" t="s">
        <v>160</v>
      </c>
      <c r="G320" s="28" t="s">
        <v>161</v>
      </c>
      <c r="H320" s="28" t="s">
        <v>162</v>
      </c>
      <c r="I320" s="28" t="s">
        <v>163</v>
      </c>
      <c r="J320" s="28" t="s">
        <v>164</v>
      </c>
      <c r="K320" s="28" t="s">
        <v>165</v>
      </c>
      <c r="L320" s="28" t="s">
        <v>166</v>
      </c>
      <c r="M320" s="28" t="s">
        <v>167</v>
      </c>
      <c r="N320" s="28" t="s">
        <v>168</v>
      </c>
      <c r="O320" s="28" t="s">
        <v>169</v>
      </c>
      <c r="P320" s="28" t="s">
        <v>170</v>
      </c>
      <c r="Q320" s="28" t="s">
        <v>171</v>
      </c>
      <c r="R320" s="28" t="s">
        <v>172</v>
      </c>
      <c r="S320" s="28" t="s">
        <v>173</v>
      </c>
      <c r="T320" s="28" t="s">
        <v>174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39" t="n">
        <f aca="false">(B321+C321)/2</f>
        <v>0.25</v>
      </c>
      <c r="E321" s="15" t="n">
        <f aca="false">$C$2*(1+IF(E$3&lt;=$O$2,$D321,$D321-($D321-$I$319)*MIN(E$3-$O$2,$Q$2)/$Q$2))</f>
        <v>17896.25</v>
      </c>
      <c r="F321" s="15" t="n">
        <f aca="false">E321*(1+IF(F$3&lt;=$O$2,$D321,$D321-($D321-$I$319)*MIN(F$3-$O$2,$Q$2)/$Q$2))</f>
        <v>22370.3125</v>
      </c>
      <c r="G321" s="15" t="n">
        <f aca="false">F321*(1+IF(G$3&lt;=$O$2,$D321,$D321-($D321-$I$319)*MIN(G$3-$O$2,$Q$2)/$Q$2))</f>
        <v>27962.890625</v>
      </c>
      <c r="H321" s="15" t="n">
        <f aca="false">G321*(1+IF(H$3&lt;=$O$2,$D321,$D321-($D321-$I$319)*MIN(H$3-$O$2,$Q$2)/$Q$2))</f>
        <v>34953.61328125</v>
      </c>
      <c r="I321" s="15" t="n">
        <f aca="false">H321*(1+IF(I$3&lt;=$O$2,$D321,$D321-($D321-$I$319)*MIN(I$3-$O$2,$Q$2)/$Q$2))</f>
        <v>43692.0166015625</v>
      </c>
      <c r="J321" s="15" t="n">
        <f aca="false">I321*(1+IF(J$3&lt;=$O$2,$D321,$D321-($D321-$I$319)*MIN(J$3-$O$2,$Q$2)/$Q$2))</f>
        <v>52590.3327026367</v>
      </c>
      <c r="K321" s="15" t="n">
        <f aca="false">J321*(1+IF(K$3&lt;=$O$2,$D321,$D321-($D321-$I$319)*MIN(K$3-$O$2,$Q$2)/$Q$2))</f>
        <v>60863.8438434155</v>
      </c>
      <c r="L321" s="15" t="n">
        <f aca="false">K321*(1+IF(L$3&lt;=$O$2,$D321,$D321-($D321-$I$319)*MIN(L$3-$O$2,$Q$2)/$Q$2))</f>
        <v>67618.5132331578</v>
      </c>
      <c r="M321" s="15" t="n">
        <f aca="false">L321*(1+IF(M$3&lt;=$O$2,$D321,$D321-($D321-$I$319)*MIN(M$3-$O$2,$Q$2)/$Q$2))</f>
        <v>71989.3739285491</v>
      </c>
      <c r="N321" s="15" t="n">
        <f aca="false">M321*(1+IF(N$3&lt;=$O$2,$D321,$D321-($D321-$I$319)*MIN(N$3-$O$2,$Q$2)/$Q$2))</f>
        <v>73306.7794714416</v>
      </c>
      <c r="O321" s="15" t="n">
        <f aca="false">SUMPRODUCT(E321:N321,1/(1+$F$319)^$E$3:$N$3)*$E$2</f>
        <v>86739.9762330082</v>
      </c>
      <c r="P321" s="15" t="n">
        <f aca="false">N321*$E$2*(1+$I$319)/($F$319-$I$319)/(1+$F$319)^$N$3</f>
        <v>128668.507897121</v>
      </c>
      <c r="Q321" s="15" t="n">
        <f aca="false">O321+P321</f>
        <v>215408.484130129</v>
      </c>
      <c r="R321" s="15" t="n">
        <f aca="false">Q321-$G$2+$I$2</f>
        <v>203788.484130129</v>
      </c>
      <c r="S321" s="40" t="n">
        <f aca="false">R321/$K$2</f>
        <v>691.347437426227</v>
      </c>
      <c r="T321" s="41" t="n">
        <f aca="false">S321-$M$2</f>
        <v>281.366774536516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39" t="n">
        <f aca="false">(B322+C322)/2</f>
        <v>-0.125</v>
      </c>
      <c r="E322" s="15" t="n">
        <f aca="false">$C$2*(1+IF(E$3&lt;=$O$2,$D322,$D322-($D322-$I$319)*MIN(E$3-$O$2,$Q$2)/$Q$2))</f>
        <v>12527.375</v>
      </c>
      <c r="F322" s="15" t="n">
        <f aca="false">E322*(1+IF(F$3&lt;=$O$2,$D322,$D322-($D322-$I$319)*MIN(F$3-$O$2,$Q$2)/$Q$2))</f>
        <v>10961.453125</v>
      </c>
      <c r="G322" s="15" t="n">
        <f aca="false">F322*(1+IF(G$3&lt;=$O$2,$D322,$D322-($D322-$I$319)*MIN(G$3-$O$2,$Q$2)/$Q$2))</f>
        <v>9591.271484375</v>
      </c>
      <c r="H322" s="15" t="n">
        <f aca="false">G322*(1+IF(H$3&lt;=$O$2,$D322,$D322-($D322-$I$319)*MIN(H$3-$O$2,$Q$2)/$Q$2))</f>
        <v>8392.36254882813</v>
      </c>
      <c r="I322" s="15" t="n">
        <f aca="false">H322*(1+IF(I$3&lt;=$O$2,$D322,$D322-($D322-$I$319)*MIN(I$3-$O$2,$Q$2)/$Q$2))</f>
        <v>7343.31723022461</v>
      </c>
      <c r="J322" s="15" t="n">
        <f aca="false">I322*(1+IF(J$3&lt;=$O$2,$D322,$D322-($D322-$I$319)*MIN(J$3-$O$2,$Q$2)/$Q$2))</f>
        <v>6635.86204826477</v>
      </c>
      <c r="K322" s="15" t="n">
        <f aca="false">J322*(1+IF(K$3&lt;=$O$2,$D322,$D322-($D322-$I$319)*MIN(K$3-$O$2,$Q$2)/$Q$2))</f>
        <v>6186.74690483821</v>
      </c>
      <c r="L322" s="15" t="n">
        <f aca="false">K322*(1+IF(L$3&lt;=$O$2,$D322,$D322-($D322-$I$319)*MIN(L$3-$O$2,$Q$2)/$Q$2))</f>
        <v>5945.34004061142</v>
      </c>
      <c r="M322" s="15" t="n">
        <f aca="false">L322*(1+IF(M$3&lt;=$O$2,$D322,$D322-($D322-$I$319)*MIN(M$3-$O$2,$Q$2)/$Q$2))</f>
        <v>5883.74631779069</v>
      </c>
      <c r="N322" s="15" t="n">
        <f aca="false">M322*(1+IF(N$3&lt;=$O$2,$D322,$D322-($D322-$I$319)*MIN(N$3-$O$2,$Q$2)/$Q$2))</f>
        <v>5991.41887540626</v>
      </c>
      <c r="O322" s="15" t="n">
        <f aca="false">SUMPRODUCT(E322:N322,1/(1+$F$319)^$E$3:$N$3)*$E$2</f>
        <v>17464.2873269596</v>
      </c>
      <c r="P322" s="15" t="n">
        <f aca="false">N322*$E$2*(1+$I$319)/($F$319-$I$319)/(1+$F$319)^$N$3</f>
        <v>10516.1750719863</v>
      </c>
      <c r="Q322" s="15" t="n">
        <f aca="false">O322+P322</f>
        <v>27980.4623989458</v>
      </c>
      <c r="R322" s="15" t="n">
        <f aca="false">Q322-$G$2+$I$2</f>
        <v>16360.4623989458</v>
      </c>
      <c r="S322" s="40" t="n">
        <f aca="false">R322/$K$2</f>
        <v>55.5024676830947</v>
      </c>
      <c r="T322" s="41" t="n">
        <f aca="false">S322-$M$2</f>
        <v>-354.478195206616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39" t="n">
        <f aca="false">(B323+C323)/2</f>
        <v>0.0625</v>
      </c>
      <c r="E323" s="15" t="n">
        <f aca="false">$C$2*(1+IF(E$3&lt;=$O$2,$D323,$D323-($D323-$I$319)*MIN(E$3-$O$2,$Q$2)/$Q$2))</f>
        <v>15211.8125</v>
      </c>
      <c r="F323" s="15" t="n">
        <f aca="false">E323*(1+IF(F$3&lt;=$O$2,$D323,$D323-($D323-$I$319)*MIN(F$3-$O$2,$Q$2)/$Q$2))</f>
        <v>16162.55078125</v>
      </c>
      <c r="G323" s="15" t="n">
        <f aca="false">F323*(1+IF(G$3&lt;=$O$2,$D323,$D323-($D323-$I$319)*MIN(G$3-$O$2,$Q$2)/$Q$2))</f>
        <v>17172.7102050781</v>
      </c>
      <c r="H323" s="15" t="n">
        <f aca="false">G323*(1+IF(H$3&lt;=$O$2,$D323,$D323-($D323-$I$319)*MIN(H$3-$O$2,$Q$2)/$Q$2))</f>
        <v>18246.0045928955</v>
      </c>
      <c r="I323" s="15" t="n">
        <f aca="false">H323*(1+IF(I$3&lt;=$O$2,$D323,$D323-($D323-$I$319)*MIN(I$3-$O$2,$Q$2)/$Q$2))</f>
        <v>19386.3798799515</v>
      </c>
      <c r="J323" s="15" t="n">
        <f aca="false">I323*(1+IF(J$3&lt;=$O$2,$D323,$D323-($D323-$I$319)*MIN(J$3-$O$2,$Q$2)/$Q$2))</f>
        <v>20426.6530243097</v>
      </c>
      <c r="K323" s="15" t="n">
        <f aca="false">J323*(1+IF(K$3&lt;=$O$2,$D323,$D323-($D323-$I$319)*MIN(K$3-$O$2,$Q$2)/$Q$2))</f>
        <v>21342.1756128592</v>
      </c>
      <c r="L323" s="15" t="n">
        <f aca="false">K323*(1+IF(L$3&lt;=$O$2,$D323,$D323-($D323-$I$319)*MIN(L$3-$O$2,$Q$2)/$Q$2))</f>
        <v>22110.0670914099</v>
      </c>
      <c r="M323" s="15" t="n">
        <f aca="false">L323*(1+IF(M$3&lt;=$O$2,$D323,$D323-($D323-$I$319)*MIN(M$3-$O$2,$Q$2)/$Q$2))</f>
        <v>22710.1343122708</v>
      </c>
      <c r="N323" s="15" t="n">
        <f aca="false">M323*(1+IF(N$3&lt;=$O$2,$D323,$D323-($D323-$I$319)*MIN(N$3-$O$2,$Q$2)/$Q$2))</f>
        <v>23125.7297701853</v>
      </c>
      <c r="O323" s="15" t="n">
        <f aca="false">SUMPRODUCT(E323:N323,1/(1+$F$319)^$E$3:$N$3)*$E$2</f>
        <v>38809.4846279596</v>
      </c>
      <c r="P323" s="15" t="n">
        <f aca="false">N323*$E$2*(1+$I$319)/($F$319-$I$319)/(1+$F$319)^$N$3</f>
        <v>40590.4224004407</v>
      </c>
      <c r="Q323" s="15" t="n">
        <f aca="false">O323+P323</f>
        <v>79399.9070284004</v>
      </c>
      <c r="R323" s="15" t="n">
        <f aca="false">Q323-$G$2+$I$2</f>
        <v>67779.9070284004</v>
      </c>
      <c r="S323" s="40" t="n">
        <f aca="false">R323/$K$2</f>
        <v>229.941673265259</v>
      </c>
      <c r="T323" s="41" t="n">
        <f aca="false">S323-$M$2</f>
        <v>-180.038989624452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39" t="n">
        <f aca="false">(B324+C324)/2</f>
        <v>0.15625</v>
      </c>
      <c r="E324" s="15" t="n">
        <f aca="false">$C$2*(1+IF(E$3&lt;=$O$2,$D324,$D324-($D324-$I$319)*MIN(E$3-$O$2,$Q$2)/$Q$2))</f>
        <v>16554.03125</v>
      </c>
      <c r="F324" s="15" t="n">
        <f aca="false">E324*(1+IF(F$3&lt;=$O$2,$D324,$D324-($D324-$I$319)*MIN(F$3-$O$2,$Q$2)/$Q$2))</f>
        <v>19140.5986328125</v>
      </c>
      <c r="G324" s="15" t="n">
        <f aca="false">F324*(1+IF(G$3&lt;=$O$2,$D324,$D324-($D324-$I$319)*MIN(G$3-$O$2,$Q$2)/$Q$2))</f>
        <v>22131.3171691895</v>
      </c>
      <c r="H324" s="15" t="n">
        <f aca="false">G324*(1+IF(H$3&lt;=$O$2,$D324,$D324-($D324-$I$319)*MIN(H$3-$O$2,$Q$2)/$Q$2))</f>
        <v>25589.3354768753</v>
      </c>
      <c r="I324" s="15" t="n">
        <f aca="false">H324*(1+IF(I$3&lt;=$O$2,$D324,$D324-($D324-$I$319)*MIN(I$3-$O$2,$Q$2)/$Q$2))</f>
        <v>29587.6691451371</v>
      </c>
      <c r="J324" s="15" t="n">
        <f aca="false">I324*(1+IF(J$3&lt;=$O$2,$D324,$D324-($D324-$I$319)*MIN(J$3-$O$2,$Q$2)/$Q$2))</f>
        <v>33394.4186573504</v>
      </c>
      <c r="K324" s="15" t="n">
        <f aca="false">J324*(1+IF(K$3&lt;=$O$2,$D324,$D324-($D324-$I$319)*MIN(K$3-$O$2,$Q$2)/$Q$2))</f>
        <v>36769.5925510488</v>
      </c>
      <c r="L324" s="15" t="n">
        <f aca="false">K324*(1+IF(L$3&lt;=$O$2,$D324,$D324-($D324-$I$319)*MIN(L$3-$O$2,$Q$2)/$Q$2))</f>
        <v>39471.4222116999</v>
      </c>
      <c r="M324" s="15" t="n">
        <f aca="false">L324*(1+IF(M$3&lt;=$O$2,$D324,$D324-($D324-$I$319)*MIN(M$3-$O$2,$Q$2)/$Q$2))</f>
        <v>41282.7657769948</v>
      </c>
      <c r="N324" s="15" t="n">
        <f aca="false">M324*(1+IF(N$3&lt;=$O$2,$D324,$D324-($D324-$I$319)*MIN(N$3-$O$2,$Q$2)/$Q$2))</f>
        <v>42038.2403907138</v>
      </c>
      <c r="O324" s="15" t="n">
        <f aca="false">SUMPRODUCT(E324:N324,1/(1+$F$319)^$E$3:$N$3)*$E$2</f>
        <v>58108.7568768273</v>
      </c>
      <c r="P324" s="15" t="n">
        <f aca="false">N324*$E$2*(1+$I$319)/($F$319-$I$319)/(1+$F$319)^$N$3</f>
        <v>73785.7767684477</v>
      </c>
      <c r="Q324" s="15" t="n">
        <f aca="false">O324+P324</f>
        <v>131894.533645275</v>
      </c>
      <c r="R324" s="15" t="n">
        <f aca="false">Q324-$G$2+$I$2</f>
        <v>120274.533645275</v>
      </c>
      <c r="S324" s="40" t="n">
        <f aca="false">R324/$K$2</f>
        <v>408.028407386352</v>
      </c>
      <c r="T324" s="41" t="n">
        <f aca="false">S324-$M$2</f>
        <v>-1.95225550335829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0.15625</v>
      </c>
      <c r="C325" s="25" t="n">
        <f aca="false">IF(T324&gt;0,D324,C324)</f>
        <v>0.25</v>
      </c>
      <c r="D325" s="39" t="n">
        <f aca="false">(B325+C325)/2</f>
        <v>0.203125</v>
      </c>
      <c r="E325" s="15" t="n">
        <f aca="false">$C$2*(1+IF(E$3&lt;=$O$2,$D325,$D325-($D325-$I$319)*MIN(E$3-$O$2,$Q$2)/$Q$2))</f>
        <v>17225.140625</v>
      </c>
      <c r="F325" s="15" t="n">
        <f aca="false">E325*(1+IF(F$3&lt;=$O$2,$D325,$D325-($D325-$I$319)*MIN(F$3-$O$2,$Q$2)/$Q$2))</f>
        <v>20723.9973144531</v>
      </c>
      <c r="G325" s="15" t="n">
        <f aca="false">F325*(1+IF(G$3&lt;=$O$2,$D325,$D325-($D325-$I$319)*MIN(G$3-$O$2,$Q$2)/$Q$2))</f>
        <v>24933.5592689514</v>
      </c>
      <c r="H325" s="15" t="n">
        <f aca="false">G325*(1+IF(H$3&lt;=$O$2,$D325,$D325-($D325-$I$319)*MIN(H$3-$O$2,$Q$2)/$Q$2))</f>
        <v>29998.1884954572</v>
      </c>
      <c r="I325" s="15" t="n">
        <f aca="false">H325*(1+IF(I$3&lt;=$O$2,$D325,$D325-($D325-$I$319)*MIN(I$3-$O$2,$Q$2)/$Q$2))</f>
        <v>36091.5705335969</v>
      </c>
      <c r="J325" s="15" t="n">
        <f aca="false">I325*(1+IF(J$3&lt;=$O$2,$D325,$D325-($D325-$I$319)*MIN(J$3-$O$2,$Q$2)/$Q$2))</f>
        <v>42088.5458934594</v>
      </c>
      <c r="K325" s="15" t="n">
        <f aca="false">J325*(1+IF(K$3&lt;=$O$2,$D325,$D325-($D325-$I$319)*MIN(K$3-$O$2,$Q$2)/$Q$2))</f>
        <v>47526.1755801649</v>
      </c>
      <c r="L325" s="15" t="n">
        <f aca="false">K325*(1+IF(L$3&lt;=$O$2,$D325,$D325-($D325-$I$319)*MIN(L$3-$O$2,$Q$2)/$Q$2))</f>
        <v>51909.5147539235</v>
      </c>
      <c r="M325" s="15" t="n">
        <f aca="false">L325*(1+IF(M$3&lt;=$O$2,$D325,$D325-($D325-$I$319)*MIN(M$3-$O$2,$Q$2)/$Q$2))</f>
        <v>54778.294086799</v>
      </c>
      <c r="N325" s="15" t="n">
        <f aca="false">M325*(1+IF(N$3&lt;=$O$2,$D325,$D325-($D325-$I$319)*MIN(N$3-$O$2,$Q$2)/$Q$2))</f>
        <v>55780.7368685875</v>
      </c>
      <c r="O325" s="15" t="n">
        <f aca="false">SUMPRODUCT(E325:N325,1/(1+$F$319)^$E$3:$N$3)*$E$2</f>
        <v>71039.2512066217</v>
      </c>
      <c r="P325" s="15" t="n">
        <f aca="false">N325*$E$2*(1+$I$319)/($F$319-$I$319)/(1+$F$319)^$N$3</f>
        <v>97906.6906776217</v>
      </c>
      <c r="Q325" s="15" t="n">
        <f aca="false">O325+P325</f>
        <v>168945.941884243</v>
      </c>
      <c r="R325" s="15" t="n">
        <f aca="false">Q325-$G$2+$I$2</f>
        <v>157325.941884243</v>
      </c>
      <c r="S325" s="40" t="n">
        <f aca="false">R325/$K$2</f>
        <v>533.724401683494</v>
      </c>
      <c r="T325" s="41" t="n">
        <f aca="false">S325-$M$2</f>
        <v>123.743738793783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0.15625</v>
      </c>
      <c r="C326" s="25" t="n">
        <f aca="false">IF(T325&gt;0,D325,C325)</f>
        <v>0.203125</v>
      </c>
      <c r="D326" s="39" t="n">
        <f aca="false">(B326+C326)/2</f>
        <v>0.1796875</v>
      </c>
      <c r="E326" s="15" t="n">
        <f aca="false">$C$2*(1+IF(E$3&lt;=$O$2,$D326,$D326-($D326-$I$319)*MIN(E$3-$O$2,$Q$2)/$Q$2))</f>
        <v>16889.5859375</v>
      </c>
      <c r="F326" s="15" t="n">
        <f aca="false">E326*(1+IF(F$3&lt;=$O$2,$D326,$D326-($D326-$I$319)*MIN(F$3-$O$2,$Q$2)/$Q$2))</f>
        <v>19924.4334106445</v>
      </c>
      <c r="G326" s="15" t="n">
        <f aca="false">F326*(1+IF(G$3&lt;=$O$2,$D326,$D326-($D326-$I$319)*MIN(G$3-$O$2,$Q$2)/$Q$2))</f>
        <v>23504.6050391197</v>
      </c>
      <c r="H326" s="15" t="n">
        <f aca="false">G326*(1+IF(H$3&lt;=$O$2,$D326,$D326-($D326-$I$319)*MIN(H$3-$O$2,$Q$2)/$Q$2))</f>
        <v>27728.0887570865</v>
      </c>
      <c r="I326" s="15" t="n">
        <f aca="false">H326*(1+IF(I$3&lt;=$O$2,$D326,$D326-($D326-$I$319)*MIN(I$3-$O$2,$Q$2)/$Q$2))</f>
        <v>32710.4797056255</v>
      </c>
      <c r="J326" s="15" t="n">
        <f aca="false">I326*(1+IF(J$3&lt;=$O$2,$D326,$D326-($D326-$I$319)*MIN(J$3-$O$2,$Q$2)/$Q$2))</f>
        <v>37532.3315190318</v>
      </c>
      <c r="K326" s="15" t="n">
        <f aca="false">J326*(1+IF(K$3&lt;=$O$2,$D326,$D326-($D326-$I$319)*MIN(K$3-$O$2,$Q$2)/$Q$2))</f>
        <v>41853.5226776467</v>
      </c>
      <c r="L326" s="15" t="n">
        <f aca="false">K326*(1+IF(L$3&lt;=$O$2,$D326,$D326-($D326-$I$319)*MIN(L$3-$O$2,$Q$2)/$Q$2))</f>
        <v>45321.2962991031</v>
      </c>
      <c r="M326" s="15" t="n">
        <f aca="false">L326*(1+IF(M$3&lt;=$O$2,$D326,$D326-($D326-$I$319)*MIN(M$3-$O$2,$Q$2)/$Q$2))</f>
        <v>47613.534162671</v>
      </c>
      <c r="N326" s="15" t="n">
        <f aca="false">M326*(1+IF(N$3&lt;=$O$2,$D326,$D326-($D326-$I$319)*MIN(N$3-$O$2,$Q$2)/$Q$2))</f>
        <v>48484.8618378479</v>
      </c>
      <c r="O326" s="15" t="n">
        <f aca="false">SUMPRODUCT(E326:N326,1/(1+$F$319)^$E$3:$N$3)*$E$2</f>
        <v>64257.7187777868</v>
      </c>
      <c r="P326" s="15" t="n">
        <f aca="false">N326*$E$2*(1+$I$319)/($F$319-$I$319)/(1+$F$319)^$N$3</f>
        <v>85100.9261797442</v>
      </c>
      <c r="Q326" s="15" t="n">
        <f aca="false">O326+P326</f>
        <v>149358.644957531</v>
      </c>
      <c r="R326" s="15" t="n">
        <f aca="false">Q326-$G$2+$I$2</f>
        <v>137738.644957531</v>
      </c>
      <c r="S326" s="40" t="n">
        <f aca="false">R326/$K$2</f>
        <v>467.274976956715</v>
      </c>
      <c r="T326" s="41" t="n">
        <f aca="false">S326-$M$2</f>
        <v>57.2943140670048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0.15625</v>
      </c>
      <c r="C327" s="25" t="n">
        <f aca="false">IF(T326&gt;0,D326,C326)</f>
        <v>0.1796875</v>
      </c>
      <c r="D327" s="39" t="n">
        <f aca="false">(B327+C327)/2</f>
        <v>0.16796875</v>
      </c>
      <c r="E327" s="15" t="n">
        <f aca="false">$C$2*(1+IF(E$3&lt;=$O$2,$D327,$D327-($D327-$I$319)*MIN(E$3-$O$2,$Q$2)/$Q$2))</f>
        <v>16721.80859375</v>
      </c>
      <c r="F327" s="15" t="n">
        <f aca="false">E327*(1+IF(F$3&lt;=$O$2,$D327,$D327-($D327-$I$319)*MIN(F$3-$O$2,$Q$2)/$Q$2))</f>
        <v>19530.5498809814</v>
      </c>
      <c r="G327" s="15" t="n">
        <f aca="false">F327*(1+IF(G$3&lt;=$O$2,$D327,$D327-($D327-$I$319)*MIN(G$3-$O$2,$Q$2)/$Q$2))</f>
        <v>22811.0719313025</v>
      </c>
      <c r="H327" s="15" t="n">
        <f aca="false">G327*(1+IF(H$3&lt;=$O$2,$D327,$D327-($D327-$I$319)*MIN(H$3-$O$2,$Q$2)/$Q$2))</f>
        <v>26642.6191697635</v>
      </c>
      <c r="I327" s="15" t="n">
        <f aca="false">H327*(1+IF(I$3&lt;=$O$2,$D327,$D327-($D327-$I$319)*MIN(I$3-$O$2,$Q$2)/$Q$2))</f>
        <v>31117.7466084347</v>
      </c>
      <c r="J327" s="15" t="n">
        <f aca="false">I327*(1+IF(J$3&lt;=$O$2,$D327,$D327-($D327-$I$319)*MIN(J$3-$O$2,$Q$2)/$Q$2))</f>
        <v>35413.08476153</v>
      </c>
      <c r="K327" s="15" t="n">
        <f aca="false">J327*(1+IF(K$3&lt;=$O$2,$D327,$D327-($D327-$I$319)*MIN(K$3-$O$2,$Q$2)/$Q$2))</f>
        <v>39241.2834906074</v>
      </c>
      <c r="L327" s="15" t="n">
        <f aca="false">K327*(1+IF(L$3&lt;=$O$2,$D327,$D327-($D327-$I$319)*MIN(L$3-$O$2,$Q$2)/$Q$2))</f>
        <v>42308.6765178594</v>
      </c>
      <c r="M327" s="15" t="n">
        <f aca="false">L327*(1+IF(M$3&lt;=$O$2,$D327,$D327-($D327-$I$319)*MIN(M$3-$O$2,$Q$2)/$Q$2))</f>
        <v>44349.3826438527</v>
      </c>
      <c r="N327" s="15" t="n">
        <f aca="false">M327*(1+IF(N$3&lt;=$O$2,$D327,$D327-($D327-$I$319)*MIN(N$3-$O$2,$Q$2)/$Q$2))</f>
        <v>45160.9763462352</v>
      </c>
      <c r="O327" s="15" t="n">
        <f aca="false">SUMPRODUCT(E327:N327,1/(1+$F$319)^$E$3:$N$3)*$E$2</f>
        <v>61107.6690478309</v>
      </c>
      <c r="P327" s="15" t="n">
        <f aca="false">N327*$E$2*(1+$I$319)/($F$319-$I$319)/(1+$F$319)^$N$3</f>
        <v>79266.8220257989</v>
      </c>
      <c r="Q327" s="15" t="n">
        <f aca="false">O327+P327</f>
        <v>140374.49107363</v>
      </c>
      <c r="R327" s="15" t="n">
        <f aca="false">Q327-$G$2+$I$2</f>
        <v>128754.49107363</v>
      </c>
      <c r="S327" s="40" t="n">
        <f aca="false">R327/$K$2</f>
        <v>436.796455112901</v>
      </c>
      <c r="T327" s="41" t="n">
        <f aca="false">S327-$M$2</f>
        <v>26.8157922231902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0.15625</v>
      </c>
      <c r="C328" s="25" t="n">
        <f aca="false">IF(T327&gt;0,D327,C327)</f>
        <v>0.16796875</v>
      </c>
      <c r="D328" s="39" t="n">
        <f aca="false">(B328+C328)/2</f>
        <v>0.162109375</v>
      </c>
      <c r="E328" s="15" t="n">
        <f aca="false">$C$2*(1+IF(E$3&lt;=$O$2,$D328,$D328-($D328-$I$319)*MIN(E$3-$O$2,$Q$2)/$Q$2))</f>
        <v>16637.919921875</v>
      </c>
      <c r="F328" s="15" t="n">
        <f aca="false">E328*(1+IF(F$3&lt;=$O$2,$D328,$D328-($D328-$I$319)*MIN(F$3-$O$2,$Q$2)/$Q$2))</f>
        <v>19335.0827217102</v>
      </c>
      <c r="G328" s="15" t="n">
        <f aca="false">F328*(1+IF(G$3&lt;=$O$2,$D328,$D328-($D328-$I$319)*MIN(G$3-$O$2,$Q$2)/$Q$2))</f>
        <v>22469.4808972999</v>
      </c>
      <c r="H328" s="15" t="n">
        <f aca="false">G328*(1+IF(H$3&lt;=$O$2,$D328,$D328-($D328-$I$319)*MIN(H$3-$O$2,$Q$2)/$Q$2))</f>
        <v>26111.9944021357</v>
      </c>
      <c r="I328" s="15" t="n">
        <f aca="false">H328*(1+IF(I$3&lt;=$O$2,$D328,$D328-($D328-$I$319)*MIN(I$3-$O$2,$Q$2)/$Q$2))</f>
        <v>30344.9934946694</v>
      </c>
      <c r="J328" s="15" t="n">
        <f aca="false">I328*(1+IF(J$3&lt;=$O$2,$D328,$D328-($D328-$I$319)*MIN(J$3-$O$2,$Q$2)/$Q$2))</f>
        <v>34391.4225146998</v>
      </c>
      <c r="K328" s="15" t="n">
        <f aca="false">J328*(1+IF(K$3&lt;=$O$2,$D328,$D328-($D328-$I$319)*MIN(K$3-$O$2,$Q$2)/$Q$2))</f>
        <v>37988.2709330388</v>
      </c>
      <c r="L328" s="15" t="n">
        <f aca="false">K328*(1+IF(L$3&lt;=$O$2,$D328,$D328-($D328-$I$319)*MIN(L$3-$O$2,$Q$2)/$Q$2))</f>
        <v>40868.6840911978</v>
      </c>
      <c r="M328" s="15" t="n">
        <f aca="false">L328*(1+IF(M$3&lt;=$O$2,$D328,$D328-($D328-$I$319)*MIN(M$3-$O$2,$Q$2)/$Q$2))</f>
        <v>42792.0409933122</v>
      </c>
      <c r="N328" s="15" t="n">
        <f aca="false">M328*(1+IF(N$3&lt;=$O$2,$D328,$D328-($D328-$I$319)*MIN(N$3-$O$2,$Q$2)/$Q$2))</f>
        <v>43575.1353434898</v>
      </c>
      <c r="O328" s="15" t="n">
        <f aca="false">SUMPRODUCT(E328:N328,1/(1+$F$319)^$E$3:$N$3)*$E$2</f>
        <v>59589.743890826</v>
      </c>
      <c r="P328" s="15" t="n">
        <f aca="false">N328*$E$2*(1+$I$319)/($F$319-$I$319)/(1+$F$319)^$N$3</f>
        <v>76483.3441939182</v>
      </c>
      <c r="Q328" s="15" t="n">
        <f aca="false">O328+P328</f>
        <v>136073.088084744</v>
      </c>
      <c r="R328" s="15" t="n">
        <f aca="false">Q328-$G$2+$I$2</f>
        <v>124453.088084744</v>
      </c>
      <c r="S328" s="40" t="n">
        <f aca="false">R328/$K$2</f>
        <v>422.204050903227</v>
      </c>
      <c r="T328" s="41" t="n">
        <f aca="false">S328-$M$2</f>
        <v>12.2233880135165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0.15625</v>
      </c>
      <c r="C329" s="25" t="n">
        <f aca="false">IF(T328&gt;0,D328,C328)</f>
        <v>0.162109375</v>
      </c>
      <c r="D329" s="39" t="n">
        <f aca="false">(B329+C329)/2</f>
        <v>0.1591796875</v>
      </c>
      <c r="E329" s="15" t="n">
        <f aca="false">$C$2*(1+IF(E$3&lt;=$O$2,$D329,$D329-($D329-$I$319)*MIN(E$3-$O$2,$Q$2)/$Q$2))</f>
        <v>16595.9755859375</v>
      </c>
      <c r="F329" s="15" t="n">
        <f aca="false">E329*(1+IF(F$3&lt;=$O$2,$D329,$D329-($D329-$I$319)*MIN(F$3-$O$2,$Q$2)/$Q$2))</f>
        <v>19237.7177934647</v>
      </c>
      <c r="G329" s="15" t="n">
        <f aca="false">F329*(1+IF(G$3&lt;=$O$2,$D329,$D329-($D329-$I$319)*MIN(G$3-$O$2,$Q$2)/$Q$2))</f>
        <v>22299.9717000416</v>
      </c>
      <c r="H329" s="15" t="n">
        <f aca="false">G329*(1+IF(H$3&lt;=$O$2,$D329,$D329-($D329-$I$319)*MIN(H$3-$O$2,$Q$2)/$Q$2))</f>
        <v>25849.674226513</v>
      </c>
      <c r="I329" s="15" t="n">
        <f aca="false">H329*(1+IF(I$3&lt;=$O$2,$D329,$D329-($D329-$I$319)*MIN(I$3-$O$2,$Q$2)/$Q$2))</f>
        <v>29964.4172918662</v>
      </c>
      <c r="J329" s="15" t="n">
        <f aca="false">I329*(1+IF(J$3&lt;=$O$2,$D329,$D329-($D329-$I$319)*MIN(J$3-$O$2,$Q$2)/$Q$2))</f>
        <v>33889.8683236655</v>
      </c>
      <c r="K329" s="15" t="n">
        <f aca="false">J329*(1+IF(K$3&lt;=$O$2,$D329,$D329-($D329-$I$319)*MIN(K$3-$O$2,$Q$2)/$Q$2))</f>
        <v>37374.689349301</v>
      </c>
      <c r="L329" s="15" t="n">
        <f aca="false">K329*(1+IF(L$3&lt;=$O$2,$D329,$D329-($D329-$I$319)*MIN(L$3-$O$2,$Q$2)/$Q$2))</f>
        <v>40164.7799867689</v>
      </c>
      <c r="M329" s="15" t="n">
        <f aca="false">L329*(1+IF(M$3&lt;=$O$2,$D329,$D329-($D329-$I$319)*MIN(M$3-$O$2,$Q$2)/$Q$2))</f>
        <v>42031.4757911352</v>
      </c>
      <c r="N329" s="15" t="n">
        <f aca="false">M329*(1+IF(N$3&lt;=$O$2,$D329,$D329-($D329-$I$319)*MIN(N$3-$O$2,$Q$2)/$Q$2))</f>
        <v>42800.651798113</v>
      </c>
      <c r="O329" s="15" t="n">
        <f aca="false">SUMPRODUCT(E329:N329,1/(1+$F$319)^$E$3:$N$3)*$E$2</f>
        <v>58844.6851098787</v>
      </c>
      <c r="P329" s="15" t="n">
        <f aca="false">N329*$E$2*(1+$I$319)/($F$319-$I$319)/(1+$F$319)^$N$3</f>
        <v>75123.9659359587</v>
      </c>
      <c r="Q329" s="15" t="n">
        <f aca="false">O329+P329</f>
        <v>133968.651045837</v>
      </c>
      <c r="R329" s="15" t="n">
        <f aca="false">Q329-$G$2+$I$2</f>
        <v>122348.651045837</v>
      </c>
      <c r="S329" s="40" t="n">
        <f aca="false">R329/$K$2</f>
        <v>415.064799829825</v>
      </c>
      <c r="T329" s="41" t="n">
        <f aca="false">S329-$M$2</f>
        <v>5.08413694011409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0.15625</v>
      </c>
      <c r="C330" s="25" t="n">
        <f aca="false">IF(T329&gt;0,D329,C329)</f>
        <v>0.1591796875</v>
      </c>
      <c r="D330" s="39" t="n">
        <f aca="false">(B330+C330)/2</f>
        <v>0.15771484375</v>
      </c>
      <c r="E330" s="15" t="n">
        <f aca="false">$C$2*(1+IF(E$3&lt;=$O$2,$D330,$D330-($D330-$I$319)*MIN(E$3-$O$2,$Q$2)/$Q$2))</f>
        <v>16575.0034179688</v>
      </c>
      <c r="F330" s="15" t="n">
        <f aca="false">E330*(1+IF(F$3&lt;=$O$2,$D330,$D330-($D330-$I$319)*MIN(F$3-$O$2,$Q$2)/$Q$2))</f>
        <v>19189.1274921894</v>
      </c>
      <c r="G330" s="15" t="n">
        <f aca="false">F330*(1+IF(G$3&lt;=$O$2,$D330,$D330-($D330-$I$319)*MIN(G$3-$O$2,$Q$2)/$Q$2))</f>
        <v>22215.5377363189</v>
      </c>
      <c r="H330" s="15" t="n">
        <f aca="false">G330*(1+IF(H$3&lt;=$O$2,$D330,$D330-($D330-$I$319)*MIN(H$3-$O$2,$Q$2)/$Q$2))</f>
        <v>25719.2577992247</v>
      </c>
      <c r="I330" s="15" t="n">
        <f aca="false">H330*(1+IF(I$3&lt;=$O$2,$D330,$D330-($D330-$I$319)*MIN(I$3-$O$2,$Q$2)/$Q$2))</f>
        <v>29775.5665243953</v>
      </c>
      <c r="J330" s="15" t="n">
        <f aca="false">I330*(1+IF(J$3&lt;=$O$2,$D330,$D330-($D330-$I$319)*MIN(J$3-$O$2,$Q$2)/$Q$2))</f>
        <v>33641.3841554448</v>
      </c>
      <c r="K330" s="15" t="n">
        <f aca="false">J330*(1+IF(K$3&lt;=$O$2,$D330,$D330-($D330-$I$319)*MIN(K$3-$O$2,$Q$2)/$Q$2))</f>
        <v>37071.0864748285</v>
      </c>
      <c r="L330" s="15" t="n">
        <f aca="false">K330*(1+IF(L$3&lt;=$O$2,$D330,$D330-($D330-$I$319)*MIN(L$3-$O$2,$Q$2)/$Q$2))</f>
        <v>39816.7912487302</v>
      </c>
      <c r="M330" s="15" t="n">
        <f aca="false">L330*(1+IF(M$3&lt;=$O$2,$D330,$D330-($D330-$I$319)*MIN(M$3-$O$2,$Q$2)/$Q$2))</f>
        <v>41655.6488746956</v>
      </c>
      <c r="N330" s="15" t="n">
        <f aca="false">M330*(1+IF(N$3&lt;=$O$2,$D330,$D330-($D330-$I$319)*MIN(N$3-$O$2,$Q$2)/$Q$2))</f>
        <v>42417.9472491025</v>
      </c>
      <c r="O330" s="15" t="n">
        <f aca="false">SUMPRODUCT(E330:N330,1/(1+$F$319)^$E$3:$N$3)*$E$2</f>
        <v>58475.5861187485</v>
      </c>
      <c r="P330" s="15" t="n">
        <f aca="false">N330*$E$2*(1+$I$319)/($F$319-$I$319)/(1+$F$319)^$N$3</f>
        <v>74452.2405697421</v>
      </c>
      <c r="Q330" s="15" t="n">
        <f aca="false">O330+P330</f>
        <v>132927.826688491</v>
      </c>
      <c r="R330" s="15" t="n">
        <f aca="false">Q330-$G$2+$I$2</f>
        <v>121307.826688491</v>
      </c>
      <c r="S330" s="40" t="n">
        <f aca="false">R330/$K$2</f>
        <v>411.533828708792</v>
      </c>
      <c r="T330" s="41" t="n">
        <f aca="false">S330-$M$2</f>
        <v>1.55316581908119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0.15625</v>
      </c>
      <c r="C331" s="25" t="n">
        <f aca="false">IF(T330&gt;0,D330,C330)</f>
        <v>0.15771484375</v>
      </c>
      <c r="D331" s="39" t="n">
        <f aca="false">(B331+C331)/2</f>
        <v>0.156982421875</v>
      </c>
      <c r="E331" s="15" t="n">
        <f aca="false">$C$2*(1+IF(E$3&lt;=$O$2,$D331,$D331-($D331-$I$319)*MIN(E$3-$O$2,$Q$2)/$Q$2))</f>
        <v>16564.5173339844</v>
      </c>
      <c r="F331" s="15" t="n">
        <f aca="false">E331*(1+IF(F$3&lt;=$O$2,$D331,$D331-($D331-$I$319)*MIN(F$3-$O$2,$Q$2)/$Q$2))</f>
        <v>19164.8553822637</v>
      </c>
      <c r="G331" s="15" t="n">
        <f aca="false">F331*(1+IF(G$3&lt;=$O$2,$D331,$D331-($D331-$I$319)*MIN(G$3-$O$2,$Q$2)/$Q$2))</f>
        <v>22173.4007950555</v>
      </c>
      <c r="H331" s="15" t="n">
        <f aca="false">G331*(1+IF(H$3&lt;=$O$2,$D331,$D331-($D331-$I$319)*MIN(H$3-$O$2,$Q$2)/$Q$2))</f>
        <v>25654.2349530684</v>
      </c>
      <c r="I331" s="15" t="n">
        <f aca="false">H331*(1+IF(I$3&lt;=$O$2,$D331,$D331-($D331-$I$319)*MIN(I$3-$O$2,$Q$2)/$Q$2))</f>
        <v>29681.4988873514</v>
      </c>
      <c r="J331" s="15" t="n">
        <f aca="false">I331*(1+IF(J$3&lt;=$O$2,$D331,$D331-($D331-$I$319)*MIN(J$3-$O$2,$Q$2)/$Q$2))</f>
        <v>33517.7120374523</v>
      </c>
      <c r="K331" s="15" t="n">
        <f aca="false">J331*(1+IF(K$3&lt;=$O$2,$D331,$D331-($D331-$I$319)*MIN(K$3-$O$2,$Q$2)/$Q$2))</f>
        <v>36920.0766563753</v>
      </c>
      <c r="L331" s="15" t="n">
        <f aca="false">K331*(1+IF(L$3&lt;=$O$2,$D331,$D331-($D331-$I$319)*MIN(L$3-$O$2,$Q$2)/$Q$2))</f>
        <v>39643.7803177937</v>
      </c>
      <c r="M331" s="15" t="n">
        <f aca="false">L331*(1+IF(M$3&lt;=$O$2,$D331,$D331-($D331-$I$319)*MIN(M$3-$O$2,$Q$2)/$Q$2))</f>
        <v>41468.8405909597</v>
      </c>
      <c r="N331" s="15" t="n">
        <f aca="false">M331*(1+IF(N$3&lt;=$O$2,$D331,$D331-($D331-$I$319)*MIN(N$3-$O$2,$Q$2)/$Q$2))</f>
        <v>42227.7203737743</v>
      </c>
      <c r="O331" s="15" t="n">
        <f aca="false">SUMPRODUCT(E331:N331,1/(1+$F$319)^$E$3:$N$3)*$E$2</f>
        <v>58291.888581183</v>
      </c>
      <c r="P331" s="15" t="n">
        <f aca="false">N331*$E$2*(1+$I$319)/($F$319-$I$319)/(1+$F$319)^$N$3</f>
        <v>74118.3531941556</v>
      </c>
      <c r="Q331" s="15" t="n">
        <f aca="false">O331+P331</f>
        <v>132410.241775339</v>
      </c>
      <c r="R331" s="15" t="n">
        <f aca="false">Q331-$G$2+$I$2</f>
        <v>120790.241775339</v>
      </c>
      <c r="S331" s="40" t="n">
        <f aca="false">R331/$K$2</f>
        <v>409.777934577259</v>
      </c>
      <c r="T331" s="41" t="n">
        <f aca="false">S331-$M$2</f>
        <v>-0.202728312451654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0.156982421875</v>
      </c>
      <c r="C332" s="25" t="n">
        <f aca="false">IF(T331&gt;0,D331,C331)</f>
        <v>0.15771484375</v>
      </c>
      <c r="D332" s="39" t="n">
        <f aca="false">(B332+C332)/2</f>
        <v>0.1573486328125</v>
      </c>
      <c r="E332" s="15" t="n">
        <f aca="false">$C$2*(1+IF(E$3&lt;=$O$2,$D332,$D332-($D332-$I$319)*MIN(E$3-$O$2,$Q$2)/$Q$2))</f>
        <v>16569.7603759766</v>
      </c>
      <c r="F332" s="15" t="n">
        <f aca="false">E332*(1+IF(F$3&lt;=$O$2,$D332,$D332-($D332-$I$319)*MIN(F$3-$O$2,$Q$2)/$Q$2))</f>
        <v>19176.9895171672</v>
      </c>
      <c r="G332" s="15" t="n">
        <f aca="false">F332*(1+IF(G$3&lt;=$O$2,$D332,$D332-($D332-$I$319)*MIN(G$3-$O$2,$Q$2)/$Q$2))</f>
        <v>22194.4625991531</v>
      </c>
      <c r="H332" s="15" t="n">
        <f aca="false">G332*(1+IF(H$3&lt;=$O$2,$D332,$D332-($D332-$I$319)*MIN(H$3-$O$2,$Q$2)/$Q$2))</f>
        <v>25686.730945138</v>
      </c>
      <c r="I332" s="15" t="n">
        <f aca="false">H332*(1+IF(I$3&lt;=$O$2,$D332,$D332-($D332-$I$319)*MIN(I$3-$O$2,$Q$2)/$Q$2))</f>
        <v>29728.502940778</v>
      </c>
      <c r="J332" s="15" t="n">
        <f aca="false">I332*(1+IF(J$3&lt;=$O$2,$D332,$D332-($D332-$I$319)*MIN(J$3-$O$2,$Q$2)/$Q$2))</f>
        <v>33579.5006961763</v>
      </c>
      <c r="K332" s="15" t="n">
        <f aca="false">J332*(1+IF(K$3&lt;=$O$2,$D332,$D332-($D332-$I$319)*MIN(K$3-$O$2,$Q$2)/$Q$2))</f>
        <v>36995.5157563142</v>
      </c>
      <c r="L332" s="15" t="n">
        <f aca="false">K332*(1+IF(L$3&lt;=$O$2,$D332,$D332-($D332-$I$319)*MIN(L$3-$O$2,$Q$2)/$Q$2))</f>
        <v>39730.2040490982</v>
      </c>
      <c r="M332" s="15" t="n">
        <f aca="false">L332*(1+IF(M$3&lt;=$O$2,$D332,$D332-($D332-$I$319)*MIN(M$3-$O$2,$Q$2)/$Q$2))</f>
        <v>41562.1528940745</v>
      </c>
      <c r="N332" s="15" t="n">
        <f aca="false">M332*(1+IF(N$3&lt;=$O$2,$D332,$D332-($D332-$I$319)*MIN(N$3-$O$2,$Q$2)/$Q$2))</f>
        <v>42322.740292036</v>
      </c>
      <c r="O332" s="15" t="n">
        <f aca="false">SUMPRODUCT(E332:N332,1/(1+$F$319)^$E$3:$N$3)*$E$2</f>
        <v>58383.6665207119</v>
      </c>
      <c r="P332" s="15" t="n">
        <f aca="false">N332*$E$2*(1+$I$319)/($F$319-$I$319)/(1+$F$319)^$N$3</f>
        <v>74285.1327361215</v>
      </c>
      <c r="Q332" s="15" t="n">
        <f aca="false">O332+P332</f>
        <v>132668.799256833</v>
      </c>
      <c r="R332" s="15" t="n">
        <f aca="false">Q332-$G$2+$I$2</f>
        <v>121048.799256833</v>
      </c>
      <c r="S332" s="40" t="n">
        <f aca="false">R332/$K$2</f>
        <v>410.655084495822</v>
      </c>
      <c r="T332" s="41" t="n">
        <f aca="false">S332-$M$2</f>
        <v>0.674421606111253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0.156982421875</v>
      </c>
      <c r="C333" s="25" t="n">
        <f aca="false">IF(T332&gt;0,D332,C332)</f>
        <v>0.1573486328125</v>
      </c>
      <c r="D333" s="39" t="n">
        <f aca="false">(B333+C333)/2</f>
        <v>0.15716552734375</v>
      </c>
      <c r="E333" s="15" t="n">
        <f aca="false">$C$2*(1+IF(E$3&lt;=$O$2,$D333,$D333-($D333-$I$319)*MIN(E$3-$O$2,$Q$2)/$Q$2))</f>
        <v>16567.1388549805</v>
      </c>
      <c r="F333" s="15" t="n">
        <f aca="false">E333*(1+IF(F$3&lt;=$O$2,$D333,$D333-($D333-$I$319)*MIN(F$3-$O$2,$Q$2)/$Q$2))</f>
        <v>19170.9219697006</v>
      </c>
      <c r="G333" s="15" t="n">
        <f aca="false">F333*(1+IF(G$3&lt;=$O$2,$D333,$D333-($D333-$I$319)*MIN(G$3-$O$2,$Q$2)/$Q$2))</f>
        <v>22183.9300307345</v>
      </c>
      <c r="H333" s="15" t="n">
        <f aca="false">G333*(1+IF(H$3&lt;=$O$2,$D333,$D333-($D333-$I$319)*MIN(H$3-$O$2,$Q$2)/$Q$2))</f>
        <v>25670.4790925717</v>
      </c>
      <c r="I333" s="15" t="n">
        <f aca="false">H333*(1+IF(I$3&lt;=$O$2,$D333,$D333-($D333-$I$319)*MIN(I$3-$O$2,$Q$2)/$Q$2))</f>
        <v>29704.9934763225</v>
      </c>
      <c r="J333" s="15" t="n">
        <f aca="false">I333*(1+IF(J$3&lt;=$O$2,$D333,$D333-($D333-$I$319)*MIN(J$3-$O$2,$Q$2)/$Q$2))</f>
        <v>33548.5945240049</v>
      </c>
      <c r="K333" s="15" t="n">
        <f aca="false">J333*(1+IF(K$3&lt;=$O$2,$D333,$D333-($D333-$I$319)*MIN(K$3-$O$2,$Q$2)/$Q$2))</f>
        <v>36957.7797659247</v>
      </c>
      <c r="L333" s="15" t="n">
        <f aca="false">K333*(1+IF(L$3&lt;=$O$2,$D333,$D333-($D333-$I$319)*MIN(L$3-$O$2,$Q$2)/$Q$2))</f>
        <v>39686.9717663009</v>
      </c>
      <c r="M333" s="15" t="n">
        <f aca="false">L333*(1+IF(M$3&lt;=$O$2,$D333,$D333-($D333-$I$319)*MIN(M$3-$O$2,$Q$2)/$Q$2))</f>
        <v>41515.473802225</v>
      </c>
      <c r="N333" s="15" t="n">
        <f aca="false">M333*(1+IF(N$3&lt;=$O$2,$D333,$D333-($D333-$I$319)*MIN(N$3-$O$2,$Q$2)/$Q$2))</f>
        <v>42275.2069728057</v>
      </c>
      <c r="O333" s="15" t="n">
        <f aca="false">SUMPRODUCT(E333:N333,1/(1+$F$319)^$E$3:$N$3)*$E$2</f>
        <v>58337.7598561564</v>
      </c>
      <c r="P333" s="15" t="n">
        <f aca="false">N333*$E$2*(1+$I$319)/($F$319-$I$319)/(1+$F$319)^$N$3</f>
        <v>74201.701963349</v>
      </c>
      <c r="Q333" s="15" t="n">
        <f aca="false">O333+P333</f>
        <v>132539.461819505</v>
      </c>
      <c r="R333" s="15" t="n">
        <f aca="false">Q333-$G$2+$I$2</f>
        <v>120919.461819505</v>
      </c>
      <c r="S333" s="40" t="n">
        <f aca="false">R333/$K$2</f>
        <v>410.216310409829</v>
      </c>
      <c r="T333" s="41" t="n">
        <f aca="false">S333-$M$2</f>
        <v>0.235647520118732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0.156982421875</v>
      </c>
      <c r="C334" s="25" t="n">
        <f aca="false">IF(T333&gt;0,D333,C333)</f>
        <v>0.15716552734375</v>
      </c>
      <c r="D334" s="39" t="n">
        <f aca="false">(B334+C334)/2</f>
        <v>0.157073974609375</v>
      </c>
      <c r="E334" s="15" t="n">
        <f aca="false">$C$2*(1+IF(E$3&lt;=$O$2,$D334,$D334-($D334-$I$319)*MIN(E$3-$O$2,$Q$2)/$Q$2))</f>
        <v>16565.8280944824</v>
      </c>
      <c r="F334" s="15" t="n">
        <f aca="false">E334*(1+IF(F$3&lt;=$O$2,$D334,$D334-($D334-$I$319)*MIN(F$3-$O$2,$Q$2)/$Q$2))</f>
        <v>19167.8885559784</v>
      </c>
      <c r="G334" s="15" t="n">
        <f aca="false">F334*(1+IF(G$3&lt;=$O$2,$D334,$D334-($D334-$I$319)*MIN(G$3-$O$2,$Q$2)/$Q$2))</f>
        <v>22178.6649963355</v>
      </c>
      <c r="H334" s="15" t="n">
        <f aca="false">G334*(1+IF(H$3&lt;=$O$2,$D334,$D334-($D334-$I$319)*MIN(H$3-$O$2,$Q$2)/$Q$2))</f>
        <v>25662.3560588397</v>
      </c>
      <c r="I334" s="15" t="n">
        <f aca="false">H334*(1+IF(I$3&lt;=$O$2,$D334,$D334-($D334-$I$319)*MIN(I$3-$O$2,$Q$2)/$Q$2))</f>
        <v>29693.2443228427</v>
      </c>
      <c r="J334" s="15" t="n">
        <f aca="false">I334*(1+IF(J$3&lt;=$O$2,$D334,$D334-($D334-$I$319)*MIN(J$3-$O$2,$Q$2)/$Q$2))</f>
        <v>33533.1503209332</v>
      </c>
      <c r="K334" s="15" t="n">
        <f aca="false">J334*(1+IF(K$3&lt;=$O$2,$D334,$D334-($D334-$I$319)*MIN(K$3-$O$2,$Q$2)/$Q$2))</f>
        <v>36938.924102532</v>
      </c>
      <c r="L334" s="15" t="n">
        <f aca="false">K334*(1+IF(L$3&lt;=$O$2,$D334,$D334-($D334-$I$319)*MIN(L$3-$O$2,$Q$2)/$Q$2))</f>
        <v>39665.3709398093</v>
      </c>
      <c r="M334" s="15" t="n">
        <f aca="false">L334*(1+IF(M$3&lt;=$O$2,$D334,$D334-($D334-$I$319)*MIN(M$3-$O$2,$Q$2)/$Q$2))</f>
        <v>41492.1514639423</v>
      </c>
      <c r="N334" s="15" t="n">
        <f aca="false">M334*(1+IF(N$3&lt;=$O$2,$D334,$D334-($D334-$I$319)*MIN(N$3-$O$2,$Q$2)/$Q$2))</f>
        <v>42251.4578357325</v>
      </c>
      <c r="O334" s="15" t="n">
        <f aca="false">SUMPRODUCT(E334:N334,1/(1+$F$319)^$E$3:$N$3)*$E$2</f>
        <v>58314.8197965364</v>
      </c>
      <c r="P334" s="15" t="n">
        <f aca="false">N334*$E$2*(1+$I$319)/($F$319-$I$319)/(1+$F$319)^$N$3</f>
        <v>74160.0173326357</v>
      </c>
      <c r="Q334" s="15" t="n">
        <f aca="false">O334+P334</f>
        <v>132474.837129172</v>
      </c>
      <c r="R334" s="15" t="n">
        <f aca="false">Q334-$G$2+$I$2</f>
        <v>120854.837129172</v>
      </c>
      <c r="S334" s="40" t="n">
        <f aca="false">R334/$K$2</f>
        <v>409.997072731866</v>
      </c>
      <c r="T334" s="41" t="n">
        <f aca="false">S334-$M$2</f>
        <v>0.0164098421549852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0.156982421875</v>
      </c>
      <c r="C335" s="25" t="n">
        <f aca="false">IF(T334&gt;0,D334,C334)</f>
        <v>0.157073974609375</v>
      </c>
      <c r="D335" s="39" t="n">
        <f aca="false">(B335+C335)/2</f>
        <v>0.157028198242188</v>
      </c>
      <c r="E335" s="15" t="n">
        <f aca="false">$C$2*(1+IF(E$3&lt;=$O$2,$D335,$D335-($D335-$I$319)*MIN(E$3-$O$2,$Q$2)/$Q$2))</f>
        <v>16565.1727142334</v>
      </c>
      <c r="F335" s="15" t="n">
        <f aca="false">E335*(1+IF(F$3&lt;=$O$2,$D335,$D335-($D335-$I$319)*MIN(F$3-$O$2,$Q$2)/$Q$2))</f>
        <v>19166.3719391201</v>
      </c>
      <c r="G335" s="15" t="n">
        <f aca="false">F335*(1+IF(G$3&lt;=$O$2,$D335,$D335-($D335-$I$319)*MIN(G$3-$O$2,$Q$2)/$Q$2))</f>
        <v>22176.0327915598</v>
      </c>
      <c r="H335" s="15" t="n">
        <f aca="false">G335*(1+IF(H$3&lt;=$O$2,$D335,$D335-($D335-$I$319)*MIN(H$3-$O$2,$Q$2)/$Q$2))</f>
        <v>25658.2952649781</v>
      </c>
      <c r="I335" s="15" t="n">
        <f aca="false">H335*(1+IF(I$3&lt;=$O$2,$D335,$D335-($D335-$I$319)*MIN(I$3-$O$2,$Q$2)/$Q$2))</f>
        <v>29687.3711404036</v>
      </c>
      <c r="J335" s="15" t="n">
        <f aca="false">I335*(1+IF(J$3&lt;=$O$2,$D335,$D335-($D335-$I$319)*MIN(J$3-$O$2,$Q$2)/$Q$2))</f>
        <v>33525.4304393573</v>
      </c>
      <c r="K335" s="15" t="n">
        <f aca="false">J335*(1+IF(K$3&lt;=$O$2,$D335,$D335-($D335-$I$319)*MIN(K$3-$O$2,$Q$2)/$Q$2))</f>
        <v>36929.499352485</v>
      </c>
      <c r="L335" s="15" t="n">
        <f aca="false">K335*(1+IF(L$3&lt;=$O$2,$D335,$D335-($D335-$I$319)*MIN(L$3-$O$2,$Q$2)/$Q$2))</f>
        <v>39654.574353498</v>
      </c>
      <c r="M335" s="15" t="n">
        <f aca="false">L335*(1+IF(M$3&lt;=$O$2,$D335,$D335-($D335-$I$319)*MIN(M$3-$O$2,$Q$2)/$Q$2))</f>
        <v>41480.4945945913</v>
      </c>
      <c r="N335" s="15" t="n">
        <f aca="false">M335*(1+IF(N$3&lt;=$O$2,$D335,$D335-($D335-$I$319)*MIN(N$3-$O$2,$Q$2)/$Q$2))</f>
        <v>42239.5876456723</v>
      </c>
      <c r="O335" s="15" t="n">
        <f aca="false">SUMPRODUCT(E335:N335,1/(1+$F$319)^$E$3:$N$3)*$E$2</f>
        <v>58303.3530835219</v>
      </c>
      <c r="P335" s="15" t="n">
        <f aca="false">N335*$E$2*(1+$I$319)/($F$319-$I$319)/(1+$F$319)^$N$3</f>
        <v>74139.1827024076</v>
      </c>
      <c r="Q335" s="15" t="n">
        <f aca="false">O335+P335</f>
        <v>132442.53578593</v>
      </c>
      <c r="R335" s="15" t="n">
        <f aca="false">Q335-$G$2+$I$2</f>
        <v>120822.53578593</v>
      </c>
      <c r="S335" s="40" t="n">
        <f aca="false">R335/$K$2</f>
        <v>409.887491216642</v>
      </c>
      <c r="T335" s="41" t="n">
        <f aca="false">S335-$M$2</f>
        <v>-0.0931716730687526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0.157028198242188</v>
      </c>
      <c r="C336" s="25" t="n">
        <f aca="false">IF(T335&gt;0,D335,C335)</f>
        <v>0.157073974609375</v>
      </c>
      <c r="D336" s="39" t="n">
        <f aca="false">(B336+C336)/2</f>
        <v>0.157051086425781</v>
      </c>
      <c r="E336" s="15" t="n">
        <f aca="false">$C$2*(1+IF(E$3&lt;=$O$2,$D336,$D336-($D336-$I$319)*MIN(E$3-$O$2,$Q$2)/$Q$2))</f>
        <v>16565.5004043579</v>
      </c>
      <c r="F336" s="15" t="n">
        <f aca="false">E336*(1+IF(F$3&lt;=$O$2,$D336,$D336-($D336-$I$319)*MIN(F$3-$O$2,$Q$2)/$Q$2))</f>
        <v>19167.130240049</v>
      </c>
      <c r="G336" s="15" t="n">
        <f aca="false">F336*(1+IF(G$3&lt;=$O$2,$D336,$D336-($D336-$I$319)*MIN(G$3-$O$2,$Q$2)/$Q$2))</f>
        <v>22177.3488679132</v>
      </c>
      <c r="H336" s="15" t="n">
        <f aca="false">G336*(1+IF(H$3&lt;=$O$2,$D336,$D336-($D336-$I$319)*MIN(H$3-$O$2,$Q$2)/$Q$2))</f>
        <v>25660.3256016625</v>
      </c>
      <c r="I336" s="15" t="n">
        <f aca="false">H336*(1+IF(I$3&lt;=$O$2,$D336,$D336-($D336-$I$319)*MIN(I$3-$O$2,$Q$2)/$Q$2))</f>
        <v>29690.3076154429</v>
      </c>
      <c r="J336" s="15" t="n">
        <f aca="false">I336*(1+IF(J$3&lt;=$O$2,$D336,$D336-($D336-$I$319)*MIN(J$3-$O$2,$Q$2)/$Q$2))</f>
        <v>33529.2901951722</v>
      </c>
      <c r="K336" s="15" t="n">
        <f aca="false">J336*(1+IF(K$3&lt;=$O$2,$D336,$D336-($D336-$I$319)*MIN(K$3-$O$2,$Q$2)/$Q$2))</f>
        <v>36934.2114707431</v>
      </c>
      <c r="L336" s="15" t="n">
        <f aca="false">K336*(1+IF(L$3&lt;=$O$2,$D336,$D336-($D336-$I$319)*MIN(L$3-$O$2,$Q$2)/$Q$2))</f>
        <v>39659.9723277958</v>
      </c>
      <c r="M336" s="15" t="n">
        <f aca="false">L336*(1+IF(M$3&lt;=$O$2,$D336,$D336-($D336-$I$319)*MIN(M$3-$O$2,$Q$2)/$Q$2))</f>
        <v>41486.3226710141</v>
      </c>
      <c r="N336" s="15" t="n">
        <f aca="false">M336*(1+IF(N$3&lt;=$O$2,$D336,$D336-($D336-$I$319)*MIN(N$3-$O$2,$Q$2)/$Q$2))</f>
        <v>42245.5223758936</v>
      </c>
      <c r="O336" s="15" t="n">
        <f aca="false">SUMPRODUCT(E336:N336,1/(1+$F$319)^$E$3:$N$3)*$E$2</f>
        <v>58309.0861636702</v>
      </c>
      <c r="P336" s="15" t="n">
        <f aca="false">N336*$E$2*(1+$I$319)/($F$319-$I$319)/(1+$F$319)^$N$3</f>
        <v>74149.599377207</v>
      </c>
      <c r="Q336" s="15" t="n">
        <f aca="false">O336+P336</f>
        <v>132458.685540877</v>
      </c>
      <c r="R336" s="15" t="n">
        <f aca="false">Q336-$G$2+$I$2</f>
        <v>120838.685540877</v>
      </c>
      <c r="S336" s="40" t="n">
        <f aca="false">R336/$K$2</f>
        <v>409.942278864461</v>
      </c>
      <c r="T336" s="41" t="n">
        <f aca="false">S336-$M$2</f>
        <v>-0.0383840252493428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0.157051086425781</v>
      </c>
      <c r="C337" s="25" t="n">
        <f aca="false">IF(T336&gt;0,D336,C336)</f>
        <v>0.157073974609375</v>
      </c>
      <c r="D337" s="39" t="n">
        <f aca="false">(B337+C337)/2</f>
        <v>0.157062530517578</v>
      </c>
      <c r="E337" s="15" t="n">
        <f aca="false">$C$2*(1+IF(E$3&lt;=$O$2,$D337,$D337-($D337-$I$319)*MIN(E$3-$O$2,$Q$2)/$Q$2))</f>
        <v>16565.6642494202</v>
      </c>
      <c r="F337" s="15" t="n">
        <f aca="false">E337*(1+IF(F$3&lt;=$O$2,$D337,$D337-($D337-$I$319)*MIN(F$3-$O$2,$Q$2)/$Q$2))</f>
        <v>19167.5093961387</v>
      </c>
      <c r="G337" s="15" t="n">
        <f aca="false">F337*(1+IF(G$3&lt;=$O$2,$D337,$D337-($D337-$I$319)*MIN(G$3-$O$2,$Q$2)/$Q$2))</f>
        <v>22178.0069256157</v>
      </c>
      <c r="H337" s="15" t="n">
        <f aca="false">G337*(1+IF(H$3&lt;=$O$2,$D337,$D337-($D337-$I$319)*MIN(H$3-$O$2,$Q$2)/$Q$2))</f>
        <v>25661.3408151892</v>
      </c>
      <c r="I337" s="15" t="n">
        <f aca="false">H337*(1+IF(I$3&lt;=$O$2,$D337,$D337-($D337-$I$319)*MIN(I$3-$O$2,$Q$2)/$Q$2))</f>
        <v>29691.7759400969</v>
      </c>
      <c r="J337" s="15" t="n">
        <f aca="false">I337*(1+IF(J$3&lt;=$O$2,$D337,$D337-($D337-$I$319)*MIN(J$3-$O$2,$Q$2)/$Q$2))</f>
        <v>33531.2202118077</v>
      </c>
      <c r="K337" s="15" t="n">
        <f aca="false">J337*(1+IF(K$3&lt;=$O$2,$D337,$D337-($D337-$I$319)*MIN(K$3-$O$2,$Q$2)/$Q$2))</f>
        <v>36936.5677224433</v>
      </c>
      <c r="L337" s="15" t="n">
        <f aca="false">K337*(1+IF(L$3&lt;=$O$2,$D337,$D337-($D337-$I$319)*MIN(L$3-$O$2,$Q$2)/$Q$2))</f>
        <v>39662.6715540841</v>
      </c>
      <c r="M337" s="15" t="n">
        <f aca="false">L337*(1+IF(M$3&lt;=$O$2,$D337,$D337-($D337-$I$319)*MIN(M$3-$O$2,$Q$2)/$Q$2))</f>
        <v>41489.2369779103</v>
      </c>
      <c r="N337" s="15" t="n">
        <f aca="false">M337*(1+IF(N$3&lt;=$O$2,$D337,$D337-($D337-$I$319)*MIN(N$3-$O$2,$Q$2)/$Q$2))</f>
        <v>42248.490014606</v>
      </c>
      <c r="O337" s="15" t="n">
        <f aca="false">SUMPRODUCT(E337:N337,1/(1+$F$319)^$E$3:$N$3)*$E$2</f>
        <v>58311.9529110105</v>
      </c>
      <c r="P337" s="15" t="n">
        <f aca="false">N337*$E$2*(1+$I$319)/($F$319-$I$319)/(1+$F$319)^$N$3</f>
        <v>74154.8081948342</v>
      </c>
      <c r="Q337" s="15" t="n">
        <f aca="false">O337+P337</f>
        <v>132466.761105845</v>
      </c>
      <c r="R337" s="15" t="n">
        <f aca="false">Q337-$G$2+$I$2</f>
        <v>120846.761105845</v>
      </c>
      <c r="S337" s="40" t="n">
        <f aca="false">R337/$K$2</f>
        <v>409.969675020676</v>
      </c>
      <c r="T337" s="41" t="n">
        <f aca="false">S337-$M$2</f>
        <v>-0.0109878690344658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0.157062530517578</v>
      </c>
      <c r="C338" s="25" t="n">
        <f aca="false">IF(T337&gt;0,D337,C337)</f>
        <v>0.157073974609375</v>
      </c>
      <c r="D338" s="39" t="n">
        <f aca="false">(B338+C338)/2</f>
        <v>0.157068252563477</v>
      </c>
      <c r="E338" s="15" t="n">
        <f aca="false">$C$2*(1+IF(E$3&lt;=$O$2,$D338,$D338-($D338-$I$319)*MIN(E$3-$O$2,$Q$2)/$Q$2))</f>
        <v>16565.7461719513</v>
      </c>
      <c r="F338" s="15" t="n">
        <f aca="false">E338*(1+IF(F$3&lt;=$O$2,$D338,$D338-($D338-$I$319)*MIN(F$3-$O$2,$Q$2)/$Q$2))</f>
        <v>19167.6989755898</v>
      </c>
      <c r="G338" s="15" t="n">
        <f aca="false">F338*(1+IF(G$3&lt;=$O$2,$D338,$D338-($D338-$I$319)*MIN(G$3-$O$2,$Q$2)/$Q$2))</f>
        <v>22178.3359593484</v>
      </c>
      <c r="H338" s="15" t="n">
        <f aca="false">G338*(1+IF(H$3&lt;=$O$2,$D338,$D338-($D338-$I$319)*MIN(H$3-$O$2,$Q$2)/$Q$2))</f>
        <v>25661.848433249</v>
      </c>
      <c r="I338" s="15" t="n">
        <f aca="false">H338*(1+IF(I$3&lt;=$O$2,$D338,$D338-($D338-$I$319)*MIN(I$3-$O$2,$Q$2)/$Q$2))</f>
        <v>29692.5101242082</v>
      </c>
      <c r="J338" s="15" t="n">
        <f aca="false">I338*(1+IF(J$3&lt;=$O$2,$D338,$D338-($D338-$I$319)*MIN(J$3-$O$2,$Q$2)/$Q$2))</f>
        <v>33532.185254809</v>
      </c>
      <c r="K338" s="15" t="n">
        <f aca="false">J338*(1+IF(K$3&lt;=$O$2,$D338,$D338-($D338-$I$319)*MIN(K$3-$O$2,$Q$2)/$Q$2))</f>
        <v>36937.7458964387</v>
      </c>
      <c r="L338" s="15" t="n">
        <f aca="false">K338*(1+IF(L$3&lt;=$O$2,$D338,$D338-($D338-$I$319)*MIN(L$3-$O$2,$Q$2)/$Q$2))</f>
        <v>39664.0212270166</v>
      </c>
      <c r="M338" s="15" t="n">
        <f aca="false">L338*(1+IF(M$3&lt;=$O$2,$D338,$D338-($D338-$I$319)*MIN(M$3-$O$2,$Q$2)/$Q$2))</f>
        <v>41490.6941985337</v>
      </c>
      <c r="N338" s="15" t="n">
        <f aca="false">M338*(1+IF(N$3&lt;=$O$2,$D338,$D338-($D338-$I$319)*MIN(N$3-$O$2,$Q$2)/$Q$2))</f>
        <v>42249.9739023669</v>
      </c>
      <c r="O338" s="15" t="n">
        <f aca="false">SUMPRODUCT(E338:N338,1/(1+$F$319)^$E$3:$N$3)*$E$2</f>
        <v>58313.3863364999</v>
      </c>
      <c r="P338" s="15" t="n">
        <f aca="false">N338*$E$2*(1+$I$319)/($F$319-$I$319)/(1+$F$319)^$N$3</f>
        <v>74157.4127237121</v>
      </c>
      <c r="Q338" s="15" t="n">
        <f aca="false">O338+P338</f>
        <v>132470.799060212</v>
      </c>
      <c r="R338" s="15" t="n">
        <f aca="false">Q338-$G$2+$I$2</f>
        <v>120850.799060212</v>
      </c>
      <c r="S338" s="40" t="n">
        <f aca="false">R338/$K$2</f>
        <v>409.983373681894</v>
      </c>
      <c r="T338" s="41" t="n">
        <f aca="false">S338-$M$2</f>
        <v>0.00271079218367731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0.157062530517578</v>
      </c>
      <c r="C339" s="25" t="n">
        <f aca="false">IF(T338&gt;0,D338,C338)</f>
        <v>0.157068252563477</v>
      </c>
      <c r="D339" s="39" t="n">
        <f aca="false">(B339+C339)/2</f>
        <v>0.157065391540527</v>
      </c>
      <c r="E339" s="15" t="n">
        <f aca="false">$C$2*(1+IF(E$3&lt;=$O$2,$D339,$D339-($D339-$I$319)*MIN(E$3-$O$2,$Q$2)/$Q$2))</f>
        <v>16565.7052106857</v>
      </c>
      <c r="F339" s="15" t="n">
        <f aca="false">E339*(1+IF(F$3&lt;=$O$2,$D339,$D339-($D339-$I$319)*MIN(F$3-$O$2,$Q$2)/$Q$2))</f>
        <v>19167.604185747</v>
      </c>
      <c r="G339" s="15" t="n">
        <f aca="false">F339*(1+IF(G$3&lt;=$O$2,$D339,$D339-($D339-$I$319)*MIN(G$3-$O$2,$Q$2)/$Q$2))</f>
        <v>22178.1714420752</v>
      </c>
      <c r="H339" s="15" t="n">
        <f aca="false">G339*(1+IF(H$3&lt;=$O$2,$D339,$D339-($D339-$I$319)*MIN(H$3-$O$2,$Q$2)/$Q$2))</f>
        <v>25661.5946232777</v>
      </c>
      <c r="I339" s="15" t="n">
        <f aca="false">H339*(1+IF(I$3&lt;=$O$2,$D339,$D339-($D339-$I$319)*MIN(I$3-$O$2,$Q$2)/$Q$2))</f>
        <v>29692.1430303372</v>
      </c>
      <c r="J339" s="15" t="n">
        <f aca="false">I339*(1+IF(J$3&lt;=$O$2,$D339,$D339-($D339-$I$319)*MIN(J$3-$O$2,$Q$2)/$Q$2))</f>
        <v>33531.702730418</v>
      </c>
      <c r="K339" s="15" t="n">
        <f aca="false">J339*(1+IF(K$3&lt;=$O$2,$D339,$D339-($D339-$I$319)*MIN(K$3-$O$2,$Q$2)/$Q$2))</f>
        <v>36937.1568054288</v>
      </c>
      <c r="L339" s="15" t="n">
        <f aca="false">K339*(1+IF(L$3&lt;=$O$2,$D339,$D339-($D339-$I$319)*MIN(L$3-$O$2,$Q$2)/$Q$2))</f>
        <v>39663.3463855679</v>
      </c>
      <c r="M339" s="15" t="n">
        <f aca="false">L339*(1+IF(M$3&lt;=$O$2,$D339,$D339-($D339-$I$319)*MIN(M$3-$O$2,$Q$2)/$Q$2))</f>
        <v>41489.9655826239</v>
      </c>
      <c r="N339" s="15" t="n">
        <f aca="false">M339*(1+IF(N$3&lt;=$O$2,$D339,$D339-($D339-$I$319)*MIN(N$3-$O$2,$Q$2)/$Q$2))</f>
        <v>42249.231952786</v>
      </c>
      <c r="O339" s="15" t="n">
        <f aca="false">SUMPRODUCT(E339:N339,1/(1+$F$319)^$E$3:$N$3)*$E$2</f>
        <v>58312.6696194369</v>
      </c>
      <c r="P339" s="15" t="n">
        <f aca="false">N339*$E$2*(1+$I$319)/($F$319-$I$319)/(1+$F$319)^$N$3</f>
        <v>74156.1104492676</v>
      </c>
      <c r="Q339" s="15" t="n">
        <f aca="false">O339+P339</f>
        <v>132468.780068704</v>
      </c>
      <c r="R339" s="15" t="n">
        <f aca="false">Q339-$G$2+$I$2</f>
        <v>120848.780068704</v>
      </c>
      <c r="S339" s="40" t="n">
        <f aca="false">R339/$K$2</f>
        <v>409.976524302692</v>
      </c>
      <c r="T339" s="41" t="n">
        <f aca="false">S339-$M$2</f>
        <v>-0.00413858701887193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0.157065391540527</v>
      </c>
      <c r="C340" s="25" t="n">
        <f aca="false">IF(T339&gt;0,D339,C339)</f>
        <v>0.157068252563477</v>
      </c>
      <c r="D340" s="39" t="n">
        <f aca="false">(B340+C340)/2</f>
        <v>0.157066822052002</v>
      </c>
      <c r="E340" s="15" t="n">
        <f aca="false">$C$2*(1+IF(E$3&lt;=$O$2,$D340,$D340-($D340-$I$319)*MIN(E$3-$O$2,$Q$2)/$Q$2))</f>
        <v>16565.7256913185</v>
      </c>
      <c r="F340" s="15" t="n">
        <f aca="false">E340*(1+IF(F$3&lt;=$O$2,$D340,$D340-($D340-$I$319)*MIN(F$3-$O$2,$Q$2)/$Q$2))</f>
        <v>19167.6515806391</v>
      </c>
      <c r="G340" s="15" t="n">
        <f aca="false">F340*(1+IF(G$3&lt;=$O$2,$D340,$D340-($D340-$I$319)*MIN(G$3-$O$2,$Q$2)/$Q$2))</f>
        <v>22178.2537006101</v>
      </c>
      <c r="H340" s="15" t="n">
        <f aca="false">G340*(1+IF(H$3&lt;=$O$2,$D340,$D340-($D340-$I$319)*MIN(H$3-$O$2,$Q$2)/$Q$2))</f>
        <v>25661.721528028</v>
      </c>
      <c r="I340" s="15" t="n">
        <f aca="false">H340*(1+IF(I$3&lt;=$O$2,$D340,$D340-($D340-$I$319)*MIN(I$3-$O$2,$Q$2)/$Q$2))</f>
        <v>29692.3265768188</v>
      </c>
      <c r="J340" s="15" t="n">
        <f aca="false">I340*(1+IF(J$3&lt;=$O$2,$D340,$D340-($D340-$I$319)*MIN(J$3-$O$2,$Q$2)/$Q$2))</f>
        <v>33531.9439918909</v>
      </c>
      <c r="K340" s="15" t="n">
        <f aca="false">J340*(1+IF(K$3&lt;=$O$2,$D340,$D340-($D340-$I$319)*MIN(K$3-$O$2,$Q$2)/$Q$2))</f>
        <v>36937.4513499307</v>
      </c>
      <c r="L340" s="15" t="n">
        <f aca="false">K340*(1+IF(L$3&lt;=$O$2,$D340,$D340-($D340-$I$319)*MIN(L$3-$O$2,$Q$2)/$Q$2))</f>
        <v>39663.6838050466</v>
      </c>
      <c r="M340" s="15" t="n">
        <f aca="false">L340*(1+IF(M$3&lt;=$O$2,$D340,$D340-($D340-$I$319)*MIN(M$3-$O$2,$Q$2)/$Q$2))</f>
        <v>41490.3298891793</v>
      </c>
      <c r="N340" s="15" t="n">
        <f aca="false">M340*(1+IF(N$3&lt;=$O$2,$D340,$D340-($D340-$I$319)*MIN(N$3-$O$2,$Q$2)/$Q$2))</f>
        <v>42249.6029261513</v>
      </c>
      <c r="O340" s="15" t="n">
        <f aca="false">SUMPRODUCT(E340:N340,1/(1+$F$319)^$E$3:$N$3)*$E$2</f>
        <v>58313.0279768888</v>
      </c>
      <c r="P340" s="15" t="n">
        <f aca="false">N340*$E$2*(1+$I$319)/($F$319-$I$319)/(1+$F$319)^$N$3</f>
        <v>74156.7615839884</v>
      </c>
      <c r="Q340" s="15" t="n">
        <f aca="false">O340+P340</f>
        <v>132469.789560877</v>
      </c>
      <c r="R340" s="15" t="n">
        <f aca="false">Q340-$G$2+$I$2</f>
        <v>120849.789560877</v>
      </c>
      <c r="S340" s="40" t="n">
        <f aca="false">R340/$K$2</f>
        <v>409.979948980145</v>
      </c>
      <c r="T340" s="41" t="n">
        <f aca="false">S340-$M$2</f>
        <v>-0.000713909566059101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0.157066822052002</v>
      </c>
      <c r="C341" s="25" t="n">
        <f aca="false">IF(T340&gt;0,D340,C340)</f>
        <v>0.157068252563477</v>
      </c>
      <c r="D341" s="39" t="n">
        <f aca="false">(B341+C341)/2</f>
        <v>0.157067537307739</v>
      </c>
      <c r="E341" s="15" t="n">
        <f aca="false">$C$2*(1+IF(E$3&lt;=$O$2,$D341,$D341-($D341-$I$319)*MIN(E$3-$O$2,$Q$2)/$Q$2))</f>
        <v>16565.7359316349</v>
      </c>
      <c r="F341" s="15" t="n">
        <f aca="false">E341*(1+IF(F$3&lt;=$O$2,$D341,$D341-($D341-$I$319)*MIN(F$3-$O$2,$Q$2)/$Q$2))</f>
        <v>19167.6752781071</v>
      </c>
      <c r="G341" s="15" t="n">
        <f aca="false">F341*(1+IF(G$3&lt;=$O$2,$D341,$D341-($D341-$I$319)*MIN(G$3-$O$2,$Q$2)/$Q$2))</f>
        <v>22178.2948299538</v>
      </c>
      <c r="H341" s="15" t="n">
        <f aca="false">G341*(1+IF(H$3&lt;=$O$2,$D341,$D341-($D341-$I$319)*MIN(H$3-$O$2,$Q$2)/$Q$2))</f>
        <v>25661.7849805797</v>
      </c>
      <c r="I341" s="15" t="n">
        <f aca="false">H341*(1+IF(I$3&lt;=$O$2,$D341,$D341-($D341-$I$319)*MIN(I$3-$O$2,$Q$2)/$Q$2))</f>
        <v>29692.4183504</v>
      </c>
      <c r="J341" s="15" t="n">
        <f aca="false">I341*(1+IF(J$3&lt;=$O$2,$D341,$D341-($D341-$I$319)*MIN(J$3-$O$2,$Q$2)/$Q$2))</f>
        <v>33532.0646231693</v>
      </c>
      <c r="K341" s="15" t="n">
        <f aca="false">J341*(1+IF(K$3&lt;=$O$2,$D341,$D341-($D341-$I$319)*MIN(K$3-$O$2,$Q$2)/$Q$2))</f>
        <v>36937.598622934</v>
      </c>
      <c r="L341" s="15" t="n">
        <f aca="false">K341*(1+IF(L$3&lt;=$O$2,$D341,$D341-($D341-$I$319)*MIN(L$3-$O$2,$Q$2)/$Q$2))</f>
        <v>39663.8525157202</v>
      </c>
      <c r="M341" s="15" t="n">
        <f aca="false">L341*(1+IF(M$3&lt;=$O$2,$D341,$D341-($D341-$I$319)*MIN(M$3-$O$2,$Q$2)/$Q$2))</f>
        <v>41490.5120435066</v>
      </c>
      <c r="N341" s="15" t="n">
        <f aca="false">M341*(1+IF(N$3&lt;=$O$2,$D341,$D341-($D341-$I$319)*MIN(N$3-$O$2,$Q$2)/$Q$2))</f>
        <v>42249.7884139028</v>
      </c>
      <c r="O341" s="15" t="n">
        <f aca="false">SUMPRODUCT(E341:N341,1/(1+$F$319)^$E$3:$N$3)*$E$2</f>
        <v>58313.2071564244</v>
      </c>
      <c r="P341" s="15" t="n">
        <f aca="false">N341*$E$2*(1+$I$319)/($F$319-$I$319)/(1+$F$319)^$N$3</f>
        <v>74157.0871532249</v>
      </c>
      <c r="Q341" s="15" t="n">
        <f aca="false">O341+P341</f>
        <v>132470.294309649</v>
      </c>
      <c r="R341" s="15" t="n">
        <f aca="false">Q341-$G$2+$I$2</f>
        <v>120850.294309649</v>
      </c>
      <c r="S341" s="40" t="n">
        <f aca="false">R341/$K$2</f>
        <v>409.981661327982</v>
      </c>
      <c r="T341" s="41" t="n">
        <f aca="false">S341-$M$2</f>
        <v>0.000998438271608393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0.157066822052002</v>
      </c>
      <c r="C342" s="25" t="n">
        <f aca="false">IF(T341&gt;0,D341,C341)</f>
        <v>0.157067537307739</v>
      </c>
      <c r="D342" s="39" t="n">
        <f aca="false">(B342+C342)/2</f>
        <v>0.157067179679871</v>
      </c>
      <c r="E342" s="15" t="n">
        <f aca="false">$C$2*(1+IF(E$3&lt;=$O$2,$D342,$D342-($D342-$I$319)*MIN(E$3-$O$2,$Q$2)/$Q$2))</f>
        <v>16565.7308114767</v>
      </c>
      <c r="F342" s="15" t="n">
        <f aca="false">E342*(1+IF(F$3&lt;=$O$2,$D342,$D342-($D342-$I$319)*MIN(F$3-$O$2,$Q$2)/$Q$2))</f>
        <v>19167.6634293713</v>
      </c>
      <c r="G342" s="15" t="n">
        <f aca="false">F342*(1+IF(G$3&lt;=$O$2,$D342,$D342-($D342-$I$319)*MIN(G$3-$O$2,$Q$2)/$Q$2))</f>
        <v>22178.2742652756</v>
      </c>
      <c r="H342" s="15" t="n">
        <f aca="false">G342*(1+IF(H$3&lt;=$O$2,$D342,$D342-($D342-$I$319)*MIN(H$3-$O$2,$Q$2)/$Q$2))</f>
        <v>25661.7532542891</v>
      </c>
      <c r="I342" s="15" t="n">
        <f aca="false">H342*(1+IF(I$3&lt;=$O$2,$D342,$D342-($D342-$I$319)*MIN(I$3-$O$2,$Q$2)/$Q$2))</f>
        <v>29692.3724635811</v>
      </c>
      <c r="J342" s="15" t="n">
        <f aca="false">I342*(1+IF(J$3&lt;=$O$2,$D342,$D342-($D342-$I$319)*MIN(J$3-$O$2,$Q$2)/$Q$2))</f>
        <v>33532.0043074849</v>
      </c>
      <c r="K342" s="15" t="n">
        <f aca="false">J342*(1+IF(K$3&lt;=$O$2,$D342,$D342-($D342-$I$319)*MIN(K$3-$O$2,$Q$2)/$Q$2))</f>
        <v>36937.5249863697</v>
      </c>
      <c r="L342" s="15" t="n">
        <f aca="false">K342*(1+IF(L$3&lt;=$O$2,$D342,$D342-($D342-$I$319)*MIN(L$3-$O$2,$Q$2)/$Q$2))</f>
        <v>39663.7681603055</v>
      </c>
      <c r="M342" s="15" t="n">
        <f aca="false">L342*(1+IF(M$3&lt;=$O$2,$D342,$D342-($D342-$I$319)*MIN(M$3-$O$2,$Q$2)/$Q$2))</f>
        <v>41490.4209662555</v>
      </c>
      <c r="N342" s="15" t="n">
        <f aca="false">M342*(1+IF(N$3&lt;=$O$2,$D342,$D342-($D342-$I$319)*MIN(N$3-$O$2,$Q$2)/$Q$2))</f>
        <v>42249.695669938</v>
      </c>
      <c r="O342" s="15" t="n">
        <f aca="false">SUMPRODUCT(E342:N342,1/(1+$F$319)^$E$3:$N$3)*$E$2</f>
        <v>58313.1175665891</v>
      </c>
      <c r="P342" s="15" t="n">
        <f aca="false">N342*$E$2*(1+$I$319)/($F$319-$I$319)/(1+$F$319)^$N$3</f>
        <v>74156.9243684504</v>
      </c>
      <c r="Q342" s="15" t="n">
        <f aca="false">O342+P342</f>
        <v>132470.041935039</v>
      </c>
      <c r="R342" s="15" t="n">
        <f aca="false">Q342-$G$2+$I$2</f>
        <v>120850.041935039</v>
      </c>
      <c r="S342" s="40" t="n">
        <f aca="false">R342/$K$2</f>
        <v>409.980805153304</v>
      </c>
      <c r="T342" s="41" t="n">
        <f aca="false">S342-$M$2</f>
        <v>0.000142263593545522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0.157066822052002</v>
      </c>
      <c r="C343" s="25" t="n">
        <f aca="false">IF(T342&gt;0,D342,C342)</f>
        <v>0.157067179679871</v>
      </c>
      <c r="D343" s="39" t="n">
        <f aca="false">(B343+C343)/2</f>
        <v>0.157067000865936</v>
      </c>
      <c r="E343" s="15" t="n">
        <f aca="false">$C$2*(1+IF(E$3&lt;=$O$2,$D343,$D343-($D343-$I$319)*MIN(E$3-$O$2,$Q$2)/$Q$2))</f>
        <v>16565.7282513976</v>
      </c>
      <c r="F343" s="15" t="n">
        <f aca="false">E343*(1+IF(F$3&lt;=$O$2,$D343,$D343-($D343-$I$319)*MIN(F$3-$O$2,$Q$2)/$Q$2))</f>
        <v>19167.6575050047</v>
      </c>
      <c r="G343" s="15" t="n">
        <f aca="false">F343*(1+IF(G$3&lt;=$O$2,$D343,$D343-($D343-$I$319)*MIN(G$3-$O$2,$Q$2)/$Q$2))</f>
        <v>22178.2639829413</v>
      </c>
      <c r="H343" s="15" t="n">
        <f aca="false">G343*(1+IF(H$3&lt;=$O$2,$D343,$D343-($D343-$I$319)*MIN(H$3-$O$2,$Q$2)/$Q$2))</f>
        <v>25661.7373911549</v>
      </c>
      <c r="I343" s="15" t="n">
        <f aca="false">H343*(1+IF(I$3&lt;=$O$2,$D343,$D343-($D343-$I$319)*MIN(I$3-$O$2,$Q$2)/$Q$2))</f>
        <v>29692.3495201929</v>
      </c>
      <c r="J343" s="15" t="n">
        <f aca="false">I343*(1+IF(J$3&lt;=$O$2,$D343,$D343-($D343-$I$319)*MIN(J$3-$O$2,$Q$2)/$Q$2))</f>
        <v>33531.9741496766</v>
      </c>
      <c r="K343" s="15" t="n">
        <f aca="false">J343*(1+IF(K$3&lt;=$O$2,$D343,$D343-($D343-$I$319)*MIN(K$3-$O$2,$Q$2)/$Q$2))</f>
        <v>36937.4881681345</v>
      </c>
      <c r="L343" s="15" t="n">
        <f aca="false">K343*(1+IF(L$3&lt;=$O$2,$D343,$D343-($D343-$I$319)*MIN(L$3-$O$2,$Q$2)/$Q$2))</f>
        <v>39663.7259826566</v>
      </c>
      <c r="M343" s="15" t="n">
        <f aca="false">L343*(1+IF(M$3&lt;=$O$2,$D343,$D343-($D343-$I$319)*MIN(M$3-$O$2,$Q$2)/$Q$2))</f>
        <v>41490.3754276955</v>
      </c>
      <c r="N343" s="15" t="n">
        <f aca="false">M343*(1+IF(N$3&lt;=$O$2,$D343,$D343-($D343-$I$319)*MIN(N$3-$O$2,$Q$2)/$Q$2))</f>
        <v>42249.6492980224</v>
      </c>
      <c r="O343" s="15" t="n">
        <f aca="false">SUMPRODUCT(E343:N343,1/(1+$F$319)^$E$3:$N$3)*$E$2</f>
        <v>58313.0727717221</v>
      </c>
      <c r="P343" s="15" t="n">
        <f aca="false">N343*$E$2*(1+$I$319)/($F$319-$I$319)/(1+$F$319)^$N$3</f>
        <v>74156.8429761803</v>
      </c>
      <c r="Q343" s="15" t="n">
        <f aca="false">O343+P343</f>
        <v>132469.915747902</v>
      </c>
      <c r="R343" s="15" t="n">
        <f aca="false">Q343-$G$2+$I$2</f>
        <v>120849.915747902</v>
      </c>
      <c r="S343" s="40" t="n">
        <f aca="false">R343/$K$2</f>
        <v>409.980377066534</v>
      </c>
      <c r="T343" s="41" t="n">
        <f aca="false">S343-$M$2</f>
        <v>-0.000285823176113809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0.157067000865936</v>
      </c>
      <c r="C344" s="25" t="n">
        <f aca="false">IF(T343&gt;0,D343,C343)</f>
        <v>0.157067179679871</v>
      </c>
      <c r="D344" s="39" t="n">
        <f aca="false">(B344+C344)/2</f>
        <v>0.157067090272903</v>
      </c>
      <c r="E344" s="15" t="n">
        <f aca="false">$C$2*(1+IF(E$3&lt;=$O$2,$D344,$D344-($D344-$I$319)*MIN(E$3-$O$2,$Q$2)/$Q$2))</f>
        <v>16565.7295314372</v>
      </c>
      <c r="F344" s="15" t="n">
        <f aca="false">E344*(1+IF(F$3&lt;=$O$2,$D344,$D344-($D344-$I$319)*MIN(F$3-$O$2,$Q$2)/$Q$2))</f>
        <v>19167.6604671879</v>
      </c>
      <c r="G344" s="15" t="n">
        <f aca="false">F344*(1+IF(G$3&lt;=$O$2,$D344,$D344-($D344-$I$319)*MIN(G$3-$O$2,$Q$2)/$Q$2))</f>
        <v>22178.2691241081</v>
      </c>
      <c r="H344" s="15" t="n">
        <f aca="false">G344*(1+IF(H$3&lt;=$O$2,$D344,$D344-($D344-$I$319)*MIN(H$3-$O$2,$Q$2)/$Q$2))</f>
        <v>25661.7453227211</v>
      </c>
      <c r="I344" s="15" t="n">
        <f aca="false">H344*(1+IF(I$3&lt;=$O$2,$D344,$D344-($D344-$I$319)*MIN(I$3-$O$2,$Q$2)/$Q$2))</f>
        <v>29692.3609918852</v>
      </c>
      <c r="J344" s="15" t="n">
        <f aca="false">I344*(1+IF(J$3&lt;=$O$2,$D344,$D344-($D344-$I$319)*MIN(J$3-$O$2,$Q$2)/$Q$2))</f>
        <v>33531.9892285779</v>
      </c>
      <c r="K344" s="15" t="n">
        <f aca="false">J344*(1+IF(K$3&lt;=$O$2,$D344,$D344-($D344-$I$319)*MIN(K$3-$O$2,$Q$2)/$Q$2))</f>
        <v>36937.5065772482</v>
      </c>
      <c r="L344" s="15" t="n">
        <f aca="false">K344*(1+IF(L$3&lt;=$O$2,$D344,$D344-($D344-$I$319)*MIN(L$3-$O$2,$Q$2)/$Q$2))</f>
        <v>39663.7470714762</v>
      </c>
      <c r="M344" s="15" t="n">
        <f aca="false">L344*(1+IF(M$3&lt;=$O$2,$D344,$D344-($D344-$I$319)*MIN(M$3-$O$2,$Q$2)/$Q$2))</f>
        <v>41490.3981969701</v>
      </c>
      <c r="N344" s="15" t="n">
        <f aca="false">M344*(1+IF(N$3&lt;=$O$2,$D344,$D344-($D344-$I$319)*MIN(N$3-$O$2,$Q$2)/$Q$2))</f>
        <v>42249.6724839746</v>
      </c>
      <c r="O344" s="15" t="n">
        <f aca="false">SUMPRODUCT(E344:N344,1/(1+$F$319)^$E$3:$N$3)*$E$2</f>
        <v>58313.0951691514</v>
      </c>
      <c r="P344" s="15" t="n">
        <f aca="false">N344*$E$2*(1+$I$319)/($F$319-$I$319)/(1+$F$319)^$N$3</f>
        <v>74156.8836723055</v>
      </c>
      <c r="Q344" s="15" t="n">
        <f aca="false">O344+P344</f>
        <v>132469.978841457</v>
      </c>
      <c r="R344" s="15" t="n">
        <f aca="false">Q344-$G$2+$I$2</f>
        <v>120849.978841457</v>
      </c>
      <c r="S344" s="40" t="n">
        <f aca="false">R344/$K$2</f>
        <v>409.980591109872</v>
      </c>
      <c r="T344" s="41" t="n">
        <f aca="false">S344-$M$2</f>
        <v>-7.17798387768198E-005</v>
      </c>
    </row>
    <row r="346" customFormat="false" ht="15" hidden="false" customHeight="false" outlineLevel="0" collapsed="false">
      <c r="A346" s="36" t="s">
        <v>186</v>
      </c>
      <c r="E346" s="5" t="s">
        <v>11</v>
      </c>
      <c r="F346" s="12" t="n">
        <f aca="false">Sensitivity!$B$12</f>
        <v>0.0948919064489092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6" t="s">
        <v>155</v>
      </c>
      <c r="B347" s="28" t="s">
        <v>156</v>
      </c>
      <c r="C347" s="28" t="s">
        <v>157</v>
      </c>
      <c r="D347" s="28" t="s">
        <v>158</v>
      </c>
      <c r="E347" s="28" t="s">
        <v>159</v>
      </c>
      <c r="F347" s="28" t="s">
        <v>160</v>
      </c>
      <c r="G347" s="28" t="s">
        <v>161</v>
      </c>
      <c r="H347" s="28" t="s">
        <v>162</v>
      </c>
      <c r="I347" s="28" t="s">
        <v>163</v>
      </c>
      <c r="J347" s="28" t="s">
        <v>164</v>
      </c>
      <c r="K347" s="28" t="s">
        <v>165</v>
      </c>
      <c r="L347" s="28" t="s">
        <v>166</v>
      </c>
      <c r="M347" s="28" t="s">
        <v>167</v>
      </c>
      <c r="N347" s="28" t="s">
        <v>168</v>
      </c>
      <c r="O347" s="28" t="s">
        <v>169</v>
      </c>
      <c r="P347" s="28" t="s">
        <v>170</v>
      </c>
      <c r="Q347" s="28" t="s">
        <v>171</v>
      </c>
      <c r="R347" s="28" t="s">
        <v>172</v>
      </c>
      <c r="S347" s="28" t="s">
        <v>173</v>
      </c>
      <c r="T347" s="28" t="s">
        <v>174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39" t="n">
        <f aca="false">(B348+C348)/2</f>
        <v>0.25</v>
      </c>
      <c r="E348" s="15" t="n">
        <f aca="false">$C$2*(1+IF(E$3&lt;=$O$2,$D348,$D348-($D348-$I$346)*MIN(E$3-$O$2,$Q$2)/$Q$2))</f>
        <v>17896.25</v>
      </c>
      <c r="F348" s="15" t="n">
        <f aca="false">E348*(1+IF(F$3&lt;=$O$2,$D348,$D348-($D348-$I$346)*MIN(F$3-$O$2,$Q$2)/$Q$2))</f>
        <v>22370.3125</v>
      </c>
      <c r="G348" s="15" t="n">
        <f aca="false">F348*(1+IF(G$3&lt;=$O$2,$D348,$D348-($D348-$I$346)*MIN(G$3-$O$2,$Q$2)/$Q$2))</f>
        <v>27962.890625</v>
      </c>
      <c r="H348" s="15" t="n">
        <f aca="false">G348*(1+IF(H$3&lt;=$O$2,$D348,$D348-($D348-$I$346)*MIN(H$3-$O$2,$Q$2)/$Q$2))</f>
        <v>34953.61328125</v>
      </c>
      <c r="I348" s="15" t="n">
        <f aca="false">H348*(1+IF(I$3&lt;=$O$2,$D348,$D348-($D348-$I$346)*MIN(I$3-$O$2,$Q$2)/$Q$2))</f>
        <v>43692.0166015625</v>
      </c>
      <c r="J348" s="15" t="n">
        <f aca="false">I348*(1+IF(J$3&lt;=$O$2,$D348,$D348-($D348-$I$346)*MIN(J$3-$O$2,$Q$2)/$Q$2))</f>
        <v>52634.0247192383</v>
      </c>
      <c r="K348" s="15" t="n">
        <f aca="false">J348*(1+IF(K$3&lt;=$O$2,$D348,$D348-($D348-$I$346)*MIN(K$3-$O$2,$Q$2)/$Q$2))</f>
        <v>61019.6775375073</v>
      </c>
      <c r="L348" s="15" t="n">
        <f aca="false">K348*(1+IF(L$3&lt;=$O$2,$D348,$D348-($D348-$I$346)*MIN(L$3-$O$2,$Q$2)/$Q$2))</f>
        <v>67974.7003832324</v>
      </c>
      <c r="M348" s="15" t="n">
        <f aca="false">L348*(1+IF(M$3&lt;=$O$2,$D348,$D348-($D348-$I$346)*MIN(M$3-$O$2,$Q$2)/$Q$2))</f>
        <v>72640.4838175375</v>
      </c>
      <c r="N348" s="15" t="n">
        <f aca="false">M348*(1+IF(N$3&lt;=$O$2,$D348,$D348-($D348-$I$346)*MIN(N$3-$O$2,$Q$2)/$Q$2))</f>
        <v>74333.0070904861</v>
      </c>
      <c r="O348" s="15" t="n">
        <f aca="false">SUMPRODUCT(E348:N348,1/(1+$F$346)^$E$3:$N$3)*$E$2</f>
        <v>87061.2361483176</v>
      </c>
      <c r="P348" s="15" t="n">
        <f aca="false">N348*$E$2*(1+$I$346)/($F$346-$I$346)/(1+$F$346)^$N$3</f>
        <v>140267.16165181</v>
      </c>
      <c r="Q348" s="15" t="n">
        <f aca="false">O348+P348</f>
        <v>227328.397800127</v>
      </c>
      <c r="R348" s="15" t="n">
        <f aca="false">Q348-$G$2+$I$2</f>
        <v>215708.397800127</v>
      </c>
      <c r="S348" s="40" t="n">
        <f aca="false">R348/$K$2</f>
        <v>731.785452387038</v>
      </c>
      <c r="T348" s="41" t="n">
        <f aca="false">S348-$M$2</f>
        <v>321.804789497328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39" t="n">
        <f aca="false">(B349+C349)/2</f>
        <v>-0.125</v>
      </c>
      <c r="E349" s="15" t="n">
        <f aca="false">$C$2*(1+IF(E$3&lt;=$O$2,$D349,$D349-($D349-$I$346)*MIN(E$3-$O$2,$Q$2)/$Q$2))</f>
        <v>12527.375</v>
      </c>
      <c r="F349" s="15" t="n">
        <f aca="false">E349*(1+IF(F$3&lt;=$O$2,$D349,$D349-($D349-$I$346)*MIN(F$3-$O$2,$Q$2)/$Q$2))</f>
        <v>10961.453125</v>
      </c>
      <c r="G349" s="15" t="n">
        <f aca="false">F349*(1+IF(G$3&lt;=$O$2,$D349,$D349-($D349-$I$346)*MIN(G$3-$O$2,$Q$2)/$Q$2))</f>
        <v>9591.271484375</v>
      </c>
      <c r="H349" s="15" t="n">
        <f aca="false">G349*(1+IF(H$3&lt;=$O$2,$D349,$D349-($D349-$I$346)*MIN(H$3-$O$2,$Q$2)/$Q$2))</f>
        <v>8392.36254882813</v>
      </c>
      <c r="I349" s="15" t="n">
        <f aca="false">H349*(1+IF(I$3&lt;=$O$2,$D349,$D349-($D349-$I$346)*MIN(I$3-$O$2,$Q$2)/$Q$2))</f>
        <v>7343.31723022461</v>
      </c>
      <c r="J349" s="15" t="n">
        <f aca="false">I349*(1+IF(J$3&lt;=$O$2,$D349,$D349-($D349-$I$346)*MIN(J$3-$O$2,$Q$2)/$Q$2))</f>
        <v>6643.205365495</v>
      </c>
      <c r="K349" s="15" t="n">
        <f aca="false">J349*(1+IF(K$3&lt;=$O$2,$D349,$D349-($D349-$I$346)*MIN(K$3-$O$2,$Q$2)/$Q$2))</f>
        <v>6206.87963708928</v>
      </c>
      <c r="L349" s="15" t="n">
        <f aca="false">K349*(1+IF(L$3&lt;=$O$2,$D349,$D349-($D349-$I$346)*MIN(L$3-$O$2,$Q$2)/$Q$2))</f>
        <v>5983.30783256133</v>
      </c>
      <c r="M349" s="15" t="n">
        <f aca="false">L349*(1+IF(M$3&lt;=$O$2,$D349,$D349-($D349-$I$346)*MIN(M$3-$O$2,$Q$2)/$Q$2))</f>
        <v>5945.25399474624</v>
      </c>
      <c r="N349" s="15" t="n">
        <f aca="false">M349*(1+IF(N$3&lt;=$O$2,$D349,$D349-($D349-$I$346)*MIN(N$3-$O$2,$Q$2)/$Q$2))</f>
        <v>6083.77841282382</v>
      </c>
      <c r="O349" s="15" t="n">
        <f aca="false">SUMPRODUCT(E349:N349,1/(1+$F$346)^$E$3:$N$3)*$E$2</f>
        <v>17496.2618803198</v>
      </c>
      <c r="P349" s="15" t="n">
        <f aca="false">N349*$E$2*(1+$I$346)/($F$346-$I$346)/(1+$F$346)^$N$3</f>
        <v>11480.153480762</v>
      </c>
      <c r="Q349" s="15" t="n">
        <f aca="false">O349+P349</f>
        <v>28976.4153610818</v>
      </c>
      <c r="R349" s="15" t="n">
        <f aca="false">Q349-$G$2+$I$2</f>
        <v>17356.4153610818</v>
      </c>
      <c r="S349" s="40" t="n">
        <f aca="false">R349/$K$2</f>
        <v>58.881213695701</v>
      </c>
      <c r="T349" s="41" t="n">
        <f aca="false">S349-$M$2</f>
        <v>-351.09944919401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39" t="n">
        <f aca="false">(B350+C350)/2</f>
        <v>0.0625</v>
      </c>
      <c r="E350" s="15" t="n">
        <f aca="false">$C$2*(1+IF(E$3&lt;=$O$2,$D350,$D350-($D350-$I$346)*MIN(E$3-$O$2,$Q$2)/$Q$2))</f>
        <v>15211.8125</v>
      </c>
      <c r="F350" s="15" t="n">
        <f aca="false">E350*(1+IF(F$3&lt;=$O$2,$D350,$D350-($D350-$I$346)*MIN(F$3-$O$2,$Q$2)/$Q$2))</f>
        <v>16162.55078125</v>
      </c>
      <c r="G350" s="15" t="n">
        <f aca="false">F350*(1+IF(G$3&lt;=$O$2,$D350,$D350-($D350-$I$346)*MIN(G$3-$O$2,$Q$2)/$Q$2))</f>
        <v>17172.7102050781</v>
      </c>
      <c r="H350" s="15" t="n">
        <f aca="false">G350*(1+IF(H$3&lt;=$O$2,$D350,$D350-($D350-$I$346)*MIN(H$3-$O$2,$Q$2)/$Q$2))</f>
        <v>18246.0045928955</v>
      </c>
      <c r="I350" s="15" t="n">
        <f aca="false">H350*(1+IF(I$3&lt;=$O$2,$D350,$D350-($D350-$I$346)*MIN(I$3-$O$2,$Q$2)/$Q$2))</f>
        <v>19386.3798799515</v>
      </c>
      <c r="J350" s="15" t="n">
        <f aca="false">I350*(1+IF(J$3&lt;=$O$2,$D350,$D350-($D350-$I$346)*MIN(J$3-$O$2,$Q$2)/$Q$2))</f>
        <v>20446.0394041896</v>
      </c>
      <c r="K350" s="15" t="n">
        <f aca="false">J350*(1+IF(K$3&lt;=$O$2,$D350,$D350-($D350-$I$346)*MIN(K$3-$O$2,$Q$2)/$Q$2))</f>
        <v>21403.3229690938</v>
      </c>
      <c r="L350" s="15" t="n">
        <f aca="false">K350*(1+IF(L$3&lt;=$O$2,$D350,$D350-($D350-$I$346)*MIN(L$3-$O$2,$Q$2)/$Q$2))</f>
        <v>22237.6244984291</v>
      </c>
      <c r="M350" s="15" t="n">
        <f aca="false">L350*(1+IF(M$3&lt;=$O$2,$D350,$D350-($D350-$I$346)*MIN(M$3-$O$2,$Q$2)/$Q$2))</f>
        <v>22930.1041253101</v>
      </c>
      <c r="N350" s="15" t="n">
        <f aca="false">M350*(1+IF(N$3&lt;=$O$2,$D350,$D350-($D350-$I$346)*MIN(N$3-$O$2,$Q$2)/$Q$2))</f>
        <v>23464.3755514299</v>
      </c>
      <c r="O350" s="15" t="n">
        <f aca="false">SUMPRODUCT(E350:N350,1/(1+$F$346)^$E$3:$N$3)*$E$2</f>
        <v>38920.4491852957</v>
      </c>
      <c r="P350" s="15" t="n">
        <f aca="false">N350*$E$2*(1+$I$346)/($F$346-$I$346)/(1+$F$346)^$N$3</f>
        <v>44277.5220236238</v>
      </c>
      <c r="Q350" s="15" t="n">
        <f aca="false">O350+P350</f>
        <v>83197.9712089195</v>
      </c>
      <c r="R350" s="15" t="n">
        <f aca="false">Q350-$G$2+$I$2</f>
        <v>71577.9712089195</v>
      </c>
      <c r="S350" s="40" t="n">
        <f aca="false">R350/$K$2</f>
        <v>242.826512904704</v>
      </c>
      <c r="T350" s="41" t="n">
        <f aca="false">S350-$M$2</f>
        <v>-167.154149985007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39" t="n">
        <f aca="false">(B351+C351)/2</f>
        <v>0.15625</v>
      </c>
      <c r="E351" s="15" t="n">
        <f aca="false">$C$2*(1+IF(E$3&lt;=$O$2,$D351,$D351-($D351-$I$346)*MIN(E$3-$O$2,$Q$2)/$Q$2))</f>
        <v>16554.03125</v>
      </c>
      <c r="F351" s="15" t="n">
        <f aca="false">E351*(1+IF(F$3&lt;=$O$2,$D351,$D351-($D351-$I$346)*MIN(F$3-$O$2,$Q$2)/$Q$2))</f>
        <v>19140.5986328125</v>
      </c>
      <c r="G351" s="15" t="n">
        <f aca="false">F351*(1+IF(G$3&lt;=$O$2,$D351,$D351-($D351-$I$346)*MIN(G$3-$O$2,$Q$2)/$Q$2))</f>
        <v>22131.3171691895</v>
      </c>
      <c r="H351" s="15" t="n">
        <f aca="false">G351*(1+IF(H$3&lt;=$O$2,$D351,$D351-($D351-$I$346)*MIN(H$3-$O$2,$Q$2)/$Q$2))</f>
        <v>25589.3354768753</v>
      </c>
      <c r="I351" s="15" t="n">
        <f aca="false">H351*(1+IF(I$3&lt;=$O$2,$D351,$D351-($D351-$I$346)*MIN(I$3-$O$2,$Q$2)/$Q$2))</f>
        <v>29587.6691451371</v>
      </c>
      <c r="J351" s="15" t="n">
        <f aca="false">I351*(1+IF(J$3&lt;=$O$2,$D351,$D351-($D351-$I$346)*MIN(J$3-$O$2,$Q$2)/$Q$2))</f>
        <v>33424.0063264955</v>
      </c>
      <c r="K351" s="15" t="n">
        <f aca="false">J351*(1+IF(K$3&lt;=$O$2,$D351,$D351-($D351-$I$346)*MIN(K$3-$O$2,$Q$2)/$Q$2))</f>
        <v>36869.0186585674</v>
      </c>
      <c r="L351" s="15" t="n">
        <f aca="false">K351*(1+IF(L$3&lt;=$O$2,$D351,$D351-($D351-$I$346)*MIN(L$3-$O$2,$Q$2)/$Q$2))</f>
        <v>39688.7612055747</v>
      </c>
      <c r="M351" s="15" t="n">
        <f aca="false">L351*(1+IF(M$3&lt;=$O$2,$D351,$D351-($D351-$I$346)*MIN(M$3-$O$2,$Q$2)/$Q$2))</f>
        <v>41668.8335021208</v>
      </c>
      <c r="N351" s="15" t="n">
        <f aca="false">M351*(1+IF(N$3&lt;=$O$2,$D351,$D351-($D351-$I$346)*MIN(N$3-$O$2,$Q$2)/$Q$2))</f>
        <v>42639.7173227202</v>
      </c>
      <c r="O351" s="15" t="n">
        <f aca="false">SUMPRODUCT(E351:N351,1/(1+$F$346)^$E$3:$N$3)*$E$2</f>
        <v>58301.2062785515</v>
      </c>
      <c r="P351" s="15" t="n">
        <f aca="false">N351*$E$2*(1+$I$346)/($F$346-$I$346)/(1+$F$346)^$N$3</f>
        <v>80461.5924553248</v>
      </c>
      <c r="Q351" s="15" t="n">
        <f aca="false">O351+P351</f>
        <v>138762.798733876</v>
      </c>
      <c r="R351" s="15" t="n">
        <f aca="false">Q351-$G$2+$I$2</f>
        <v>127142.798733876</v>
      </c>
      <c r="S351" s="40" t="n">
        <f aca="false">R351/$K$2</f>
        <v>431.32882835389</v>
      </c>
      <c r="T351" s="41" t="n">
        <f aca="false">S351-$M$2</f>
        <v>21.3481654641797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39" t="n">
        <f aca="false">(B352+C352)/2</f>
        <v>0.109375</v>
      </c>
      <c r="E352" s="15" t="n">
        <f aca="false">$C$2*(1+IF(E$3&lt;=$O$2,$D352,$D352-($D352-$I$346)*MIN(E$3-$O$2,$Q$2)/$Q$2))</f>
        <v>15882.921875</v>
      </c>
      <c r="F352" s="15" t="n">
        <f aca="false">E352*(1+IF(F$3&lt;=$O$2,$D352,$D352-($D352-$I$346)*MIN(F$3-$O$2,$Q$2)/$Q$2))</f>
        <v>17620.1164550781</v>
      </c>
      <c r="G352" s="15" t="n">
        <f aca="false">F352*(1+IF(G$3&lt;=$O$2,$D352,$D352-($D352-$I$346)*MIN(G$3-$O$2,$Q$2)/$Q$2))</f>
        <v>19547.3166923523</v>
      </c>
      <c r="H352" s="15" t="n">
        <f aca="false">G352*(1+IF(H$3&lt;=$O$2,$D352,$D352-($D352-$I$346)*MIN(H$3-$O$2,$Q$2)/$Q$2))</f>
        <v>21685.3044555783</v>
      </c>
      <c r="I352" s="15" t="n">
        <f aca="false">H352*(1+IF(I$3&lt;=$O$2,$D352,$D352-($D352-$I$346)*MIN(I$3-$O$2,$Q$2)/$Q$2))</f>
        <v>24057.1346304072</v>
      </c>
      <c r="J352" s="15" t="n">
        <f aca="false">I352*(1+IF(J$3&lt;=$O$2,$D352,$D352-($D352-$I$346)*MIN(J$3-$O$2,$Q$2)/$Q$2))</f>
        <v>26274.2401579455</v>
      </c>
      <c r="K352" s="15" t="n">
        <f aca="false">J352*(1+IF(K$3&lt;=$O$2,$D352,$D352-($D352-$I$346)*MIN(K$3-$O$2,$Q$2)/$Q$2))</f>
        <v>28243.3630865828</v>
      </c>
      <c r="L352" s="15" t="n">
        <f aca="false">K352*(1+IF(L$3&lt;=$O$2,$D352,$D352-($D352-$I$346)*MIN(L$3-$O$2,$Q$2)/$Q$2))</f>
        <v>29873.8524375712</v>
      </c>
      <c r="M352" s="15" t="n">
        <f aca="false">L352*(1+IF(M$3&lt;=$O$2,$D352,$D352-($D352-$I$346)*MIN(M$3-$O$2,$Q$2)/$Q$2))</f>
        <v>31084.1915690794</v>
      </c>
      <c r="N352" s="15" t="n">
        <f aca="false">M352*(1+IF(N$3&lt;=$O$2,$D352,$D352-($D352-$I$346)*MIN(N$3-$O$2,$Q$2)/$Q$2))</f>
        <v>31808.4532326389</v>
      </c>
      <c r="O352" s="15" t="n">
        <f aca="false">SUMPRODUCT(E352:N352,1/(1+$F$346)^$E$3:$N$3)*$E$2</f>
        <v>47641.7164258339</v>
      </c>
      <c r="P352" s="15" t="n">
        <f aca="false">N352*$E$2*(1+$I$346)/($F$346-$I$346)/(1+$F$346)^$N$3</f>
        <v>60022.8838589209</v>
      </c>
      <c r="Q352" s="15" t="n">
        <f aca="false">O352+P352</f>
        <v>107664.600284755</v>
      </c>
      <c r="R352" s="15" t="n">
        <f aca="false">Q352-$G$2+$I$2</f>
        <v>96044.6002847548</v>
      </c>
      <c r="S352" s="40" t="n">
        <f aca="false">R352/$K$2</f>
        <v>325.82895235185</v>
      </c>
      <c r="T352" s="41" t="n">
        <f aca="false">S352-$M$2</f>
        <v>-84.1517105378605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0.109375</v>
      </c>
      <c r="C353" s="25" t="n">
        <f aca="false">IF(T352&gt;0,D352,C352)</f>
        <v>0.15625</v>
      </c>
      <c r="D353" s="39" t="n">
        <f aca="false">(B353+C353)/2</f>
        <v>0.1328125</v>
      </c>
      <c r="E353" s="15" t="n">
        <f aca="false">$C$2*(1+IF(E$3&lt;=$O$2,$D353,$D353-($D353-$I$346)*MIN(E$3-$O$2,$Q$2)/$Q$2))</f>
        <v>16218.4765625</v>
      </c>
      <c r="F353" s="15" t="n">
        <f aca="false">E353*(1+IF(F$3&lt;=$O$2,$D353,$D353-($D353-$I$346)*MIN(F$3-$O$2,$Q$2)/$Q$2))</f>
        <v>18372.492980957</v>
      </c>
      <c r="G353" s="15" t="n">
        <f aca="false">F353*(1+IF(G$3&lt;=$O$2,$D353,$D353-($D353-$I$346)*MIN(G$3-$O$2,$Q$2)/$Q$2))</f>
        <v>20812.5897049904</v>
      </c>
      <c r="H353" s="15" t="n">
        <f aca="false">G353*(1+IF(H$3&lt;=$O$2,$D353,$D353-($D353-$I$346)*MIN(H$3-$O$2,$Q$2)/$Q$2))</f>
        <v>23576.7617751844</v>
      </c>
      <c r="I353" s="15" t="n">
        <f aca="false">H353*(1+IF(I$3&lt;=$O$2,$D353,$D353-($D353-$I$346)*MIN(I$3-$O$2,$Q$2)/$Q$2))</f>
        <v>26708.0504484511</v>
      </c>
      <c r="J353" s="15" t="n">
        <f aca="false">I353*(1+IF(J$3&lt;=$O$2,$D353,$D353-($D353-$I$346)*MIN(J$3-$O$2,$Q$2)/$Q$2))</f>
        <v>29670.2403236888</v>
      </c>
      <c r="K353" s="15" t="n">
        <f aca="false">J353*(1+IF(K$3&lt;=$O$2,$D353,$D353-($D353-$I$346)*MIN(K$3-$O$2,$Q$2)/$Q$2))</f>
        <v>32311.1142392995</v>
      </c>
      <c r="L353" s="15" t="n">
        <f aca="false">K353*(1+IF(L$3&lt;=$O$2,$D353,$D353-($D353-$I$346)*MIN(L$3-$O$2,$Q$2)/$Q$2))</f>
        <v>34479.3515603277</v>
      </c>
      <c r="M353" s="15" t="n">
        <f aca="false">L353*(1+IF(M$3&lt;=$O$2,$D353,$D353-($D353-$I$346)*MIN(M$3-$O$2,$Q$2)/$Q$2))</f>
        <v>36037.9044492335</v>
      </c>
      <c r="N353" s="15" t="n">
        <f aca="false">M353*(1+IF(N$3&lt;=$O$2,$D353,$D353-($D353-$I$346)*MIN(N$3-$O$2,$Q$2)/$Q$2))</f>
        <v>36877.5876229006</v>
      </c>
      <c r="O353" s="15" t="n">
        <f aca="false">SUMPRODUCT(E353:N353,1/(1+$F$346)^$E$3:$N$3)*$E$2</f>
        <v>52706.2524797604</v>
      </c>
      <c r="P353" s="15" t="n">
        <f aca="false">N353*$E$2*(1+$I$346)/($F$346-$I$346)/(1+$F$346)^$N$3</f>
        <v>69588.3934593604</v>
      </c>
      <c r="Q353" s="15" t="n">
        <f aca="false">O353+P353</f>
        <v>122294.645939121</v>
      </c>
      <c r="R353" s="15" t="n">
        <f aca="false">Q353-$G$2+$I$2</f>
        <v>110674.645939121</v>
      </c>
      <c r="S353" s="40" t="n">
        <f aca="false">R353/$K$2</f>
        <v>375.461023642572</v>
      </c>
      <c r="T353" s="41" t="n">
        <f aca="false">S353-$M$2</f>
        <v>-34.5196392471391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0.1328125</v>
      </c>
      <c r="C354" s="25" t="n">
        <f aca="false">IF(T353&gt;0,D353,C353)</f>
        <v>0.15625</v>
      </c>
      <c r="D354" s="39" t="n">
        <f aca="false">(B354+C354)/2</f>
        <v>0.14453125</v>
      </c>
      <c r="E354" s="15" t="n">
        <f aca="false">$C$2*(1+IF(E$3&lt;=$O$2,$D354,$D354-($D354-$I$346)*MIN(E$3-$O$2,$Q$2)/$Q$2))</f>
        <v>16386.25390625</v>
      </c>
      <c r="F354" s="15" t="n">
        <f aca="false">E354*(1+IF(F$3&lt;=$O$2,$D354,$D354-($D354-$I$346)*MIN(F$3-$O$2,$Q$2)/$Q$2))</f>
        <v>18754.5796661377</v>
      </c>
      <c r="G354" s="15" t="n">
        <f aca="false">F354*(1+IF(G$3&lt;=$O$2,$D354,$D354-($D354-$I$346)*MIN(G$3-$O$2,$Q$2)/$Q$2))</f>
        <v>21465.2025085092</v>
      </c>
      <c r="H354" s="15" t="n">
        <f aca="false">G354*(1+IF(H$3&lt;=$O$2,$D354,$D354-($D354-$I$346)*MIN(H$3-$O$2,$Q$2)/$Q$2))</f>
        <v>24567.5950585671</v>
      </c>
      <c r="I354" s="15" t="n">
        <f aca="false">H354*(1+IF(I$3&lt;=$O$2,$D354,$D354-($D354-$I$346)*MIN(I$3-$O$2,$Q$2)/$Q$2))</f>
        <v>28118.3802818757</v>
      </c>
      <c r="J354" s="15" t="n">
        <f aca="false">I354*(1+IF(J$3&lt;=$O$2,$D354,$D354-($D354-$I$346)*MIN(J$3-$O$2,$Q$2)/$Q$2))</f>
        <v>31500.5996540811</v>
      </c>
      <c r="K354" s="15" t="n">
        <f aca="false">J354*(1+IF(K$3&lt;=$O$2,$D354,$D354-($D354-$I$346)*MIN(K$3-$O$2,$Q$2)/$Q$2))</f>
        <v>34525.8778691094</v>
      </c>
      <c r="L354" s="15" t="n">
        <f aca="false">K354*(1+IF(L$3&lt;=$O$2,$D354,$D354-($D354-$I$346)*MIN(L$3-$O$2,$Q$2)/$Q$2))</f>
        <v>37004.5769560275</v>
      </c>
      <c r="M354" s="15" t="n">
        <f aca="false">L354*(1+IF(M$3&lt;=$O$2,$D354,$D354-($D354-$I$346)*MIN(M$3-$O$2,$Q$2)/$Q$2))</f>
        <v>38764.005823123</v>
      </c>
      <c r="N354" s="15" t="n">
        <f aca="false">M354*(1+IF(N$3&lt;=$O$2,$D354,$D354-($D354-$I$346)*MIN(N$3-$O$2,$Q$2)/$Q$2))</f>
        <v>39667.2071588018</v>
      </c>
      <c r="O354" s="15" t="n">
        <f aca="false">SUMPRODUCT(E354:N354,1/(1+$F$346)^$E$3:$N$3)*$E$2</f>
        <v>55434.3563821332</v>
      </c>
      <c r="P354" s="15" t="n">
        <f aca="false">N354*$E$2*(1+$I$346)/($F$346-$I$346)/(1+$F$346)^$N$3</f>
        <v>74852.4346935993</v>
      </c>
      <c r="Q354" s="15" t="n">
        <f aca="false">O354+P354</f>
        <v>130286.791075733</v>
      </c>
      <c r="R354" s="15" t="n">
        <f aca="false">Q354-$G$2+$I$2</f>
        <v>118666.791075733</v>
      </c>
      <c r="S354" s="40" t="n">
        <f aca="false">R354/$K$2</f>
        <v>402.574180125971</v>
      </c>
      <c r="T354" s="41" t="n">
        <f aca="false">S354-$M$2</f>
        <v>-7.40648276373946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0.14453125</v>
      </c>
      <c r="C355" s="25" t="n">
        <f aca="false">IF(T354&gt;0,D354,C354)</f>
        <v>0.15625</v>
      </c>
      <c r="D355" s="39" t="n">
        <f aca="false">(B355+C355)/2</f>
        <v>0.150390625</v>
      </c>
      <c r="E355" s="15" t="n">
        <f aca="false">$C$2*(1+IF(E$3&lt;=$O$2,$D355,$D355-($D355-$I$346)*MIN(E$3-$O$2,$Q$2)/$Q$2))</f>
        <v>16470.142578125</v>
      </c>
      <c r="F355" s="15" t="n">
        <f aca="false">E355*(1+IF(F$3&lt;=$O$2,$D355,$D355-($D355-$I$346)*MIN(F$3-$O$2,$Q$2)/$Q$2))</f>
        <v>18947.0976142883</v>
      </c>
      <c r="G355" s="15" t="n">
        <f aca="false">F355*(1+IF(G$3&lt;=$O$2,$D355,$D355-($D355-$I$346)*MIN(G$3-$O$2,$Q$2)/$Q$2))</f>
        <v>21796.5634664372</v>
      </c>
      <c r="H355" s="15" t="n">
        <f aca="false">G355*(1+IF(H$3&lt;=$O$2,$D355,$D355-($D355-$I$346)*MIN(H$3-$O$2,$Q$2)/$Q$2))</f>
        <v>25074.5622690068</v>
      </c>
      <c r="I355" s="15" t="n">
        <f aca="false">H355*(1+IF(I$3&lt;=$O$2,$D355,$D355-($D355-$I$346)*MIN(I$3-$O$2,$Q$2)/$Q$2))</f>
        <v>28845.5413602442</v>
      </c>
      <c r="J355" s="15" t="n">
        <f aca="false">I355*(1+IF(J$3&lt;=$O$2,$D355,$D355-($D355-$I$346)*MIN(J$3-$O$2,$Q$2)/$Q$2))</f>
        <v>32450.4407778873</v>
      </c>
      <c r="K355" s="15" t="n">
        <f aca="false">J355*(1+IF(K$3&lt;=$O$2,$D355,$D355-($D355-$I$346)*MIN(K$3-$O$2,$Q$2)/$Q$2))</f>
        <v>35681.0241280044</v>
      </c>
      <c r="L355" s="15" t="n">
        <f aca="false">K355*(1+IF(L$3&lt;=$O$2,$D355,$D355-($D355-$I$346)*MIN(L$3-$O$2,$Q$2)/$Q$2))</f>
        <v>38326.2814530141</v>
      </c>
      <c r="M355" s="15" t="n">
        <f aca="false">L355*(1+IF(M$3&lt;=$O$2,$D355,$D355-($D355-$I$346)*MIN(M$3-$O$2,$Q$2)/$Q$2))</f>
        <v>40193.4660236273</v>
      </c>
      <c r="N355" s="15" t="n">
        <f aca="false">M355*(1+IF(N$3&lt;=$O$2,$D355,$D355-($D355-$I$346)*MIN(N$3-$O$2,$Q$2)/$Q$2))</f>
        <v>41129.9737819778</v>
      </c>
      <c r="O355" s="15" t="n">
        <f aca="false">SUMPRODUCT(E355:N355,1/(1+$F$346)^$E$3:$N$3)*$E$2</f>
        <v>56850.0408209379</v>
      </c>
      <c r="P355" s="15" t="n">
        <f aca="false">N355*$E$2*(1+$I$346)/($F$346-$I$346)/(1+$F$346)^$N$3</f>
        <v>77612.6906071282</v>
      </c>
      <c r="Q355" s="15" t="n">
        <f aca="false">O355+P355</f>
        <v>134462.731428066</v>
      </c>
      <c r="R355" s="15" t="n">
        <f aca="false">Q355-$G$2+$I$2</f>
        <v>122842.731428066</v>
      </c>
      <c r="S355" s="40" t="n">
        <f aca="false">R355/$K$2</f>
        <v>416.740955416311</v>
      </c>
      <c r="T355" s="41" t="n">
        <f aca="false">S355-$M$2</f>
        <v>6.76029252660061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0.14453125</v>
      </c>
      <c r="C356" s="25" t="n">
        <f aca="false">IF(T355&gt;0,D355,C355)</f>
        <v>0.150390625</v>
      </c>
      <c r="D356" s="39" t="n">
        <f aca="false">(B356+C356)/2</f>
        <v>0.1474609375</v>
      </c>
      <c r="E356" s="15" t="n">
        <f aca="false">$C$2*(1+IF(E$3&lt;=$O$2,$D356,$D356-($D356-$I$346)*MIN(E$3-$O$2,$Q$2)/$Q$2))</f>
        <v>16428.1982421875</v>
      </c>
      <c r="F356" s="15" t="n">
        <f aca="false">E356*(1+IF(F$3&lt;=$O$2,$D356,$D356-($D356-$I$346)*MIN(F$3-$O$2,$Q$2)/$Q$2))</f>
        <v>18850.7157564163</v>
      </c>
      <c r="G356" s="15" t="n">
        <f aca="false">F356*(1+IF(G$3&lt;=$O$2,$D356,$D356-($D356-$I$346)*MIN(G$3-$O$2,$Q$2)/$Q$2))</f>
        <v>21630.4599744035</v>
      </c>
      <c r="H356" s="15" t="n">
        <f aca="false">G356*(1+IF(H$3&lt;=$O$2,$D356,$D356-($D356-$I$346)*MIN(H$3-$O$2,$Q$2)/$Q$2))</f>
        <v>24820.1078807853</v>
      </c>
      <c r="I356" s="15" t="n">
        <f aca="false">H356*(1+IF(I$3&lt;=$O$2,$D356,$D356-($D356-$I$346)*MIN(I$3-$O$2,$Q$2)/$Q$2))</f>
        <v>28480.104257737</v>
      </c>
      <c r="J356" s="15" t="n">
        <f aca="false">I356*(1+IF(J$3&lt;=$O$2,$D356,$D356-($D356-$I$346)*MIN(J$3-$O$2,$Q$2)/$Q$2))</f>
        <v>31972.583842733</v>
      </c>
      <c r="K356" s="15" t="n">
        <f aca="false">J356*(1+IF(K$3&lt;=$O$2,$D356,$D356-($D356-$I$346)*MIN(K$3-$O$2,$Q$2)/$Q$2))</f>
        <v>35099.3926367953</v>
      </c>
      <c r="L356" s="15" t="n">
        <f aca="false">K356*(1+IF(L$3&lt;=$O$2,$D356,$D356-($D356-$I$346)*MIN(L$3-$O$2,$Q$2)/$Q$2))</f>
        <v>37660.3978834186</v>
      </c>
      <c r="M356" s="15" t="n">
        <f aca="false">L356*(1+IF(M$3&lt;=$O$2,$D356,$D356-($D356-$I$346)*MIN(M$3-$O$2,$Q$2)/$Q$2))</f>
        <v>39473.075215668</v>
      </c>
      <c r="N356" s="15" t="n">
        <f aca="false">M356*(1+IF(N$3&lt;=$O$2,$D356,$D356-($D356-$I$346)*MIN(N$3-$O$2,$Q$2)/$Q$2))</f>
        <v>40392.797868193</v>
      </c>
      <c r="O356" s="15" t="n">
        <f aca="false">SUMPRODUCT(E356:N356,1/(1+$F$346)^$E$3:$N$3)*$E$2</f>
        <v>56137.8137432123</v>
      </c>
      <c r="P356" s="15" t="n">
        <f aca="false">N356*$E$2*(1+$I$346)/($F$346-$I$346)/(1+$F$346)^$N$3</f>
        <v>76221.6319494475</v>
      </c>
      <c r="Q356" s="15" t="n">
        <f aca="false">O356+P356</f>
        <v>132359.44569266</v>
      </c>
      <c r="R356" s="15" t="n">
        <f aca="false">Q356-$G$2+$I$2</f>
        <v>120739.44569266</v>
      </c>
      <c r="S356" s="40" t="n">
        <f aca="false">R356/$K$2</f>
        <v>409.605610111815</v>
      </c>
      <c r="T356" s="41" t="n">
        <f aca="false">S356-$M$2</f>
        <v>-0.375052777895576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0.1474609375</v>
      </c>
      <c r="C357" s="25" t="n">
        <f aca="false">IF(T356&gt;0,D356,C356)</f>
        <v>0.150390625</v>
      </c>
      <c r="D357" s="39" t="n">
        <f aca="false">(B357+C357)/2</f>
        <v>0.14892578125</v>
      </c>
      <c r="E357" s="15" t="n">
        <f aca="false">$C$2*(1+IF(E$3&lt;=$O$2,$D357,$D357-($D357-$I$346)*MIN(E$3-$O$2,$Q$2)/$Q$2))</f>
        <v>16449.1704101563</v>
      </c>
      <c r="F357" s="15" t="n">
        <f aca="false">E357*(1+IF(F$3&lt;=$O$2,$D357,$D357-($D357-$I$346)*MIN(F$3-$O$2,$Q$2)/$Q$2))</f>
        <v>18898.8759644032</v>
      </c>
      <c r="G357" s="15" t="n">
        <f aca="false">F357*(1+IF(G$3&lt;=$O$2,$D357,$D357-($D357-$I$346)*MIN(G$3-$O$2,$Q$2)/$Q$2))</f>
        <v>21713.4058321487</v>
      </c>
      <c r="H357" s="15" t="n">
        <f aca="false">G357*(1+IF(H$3&lt;=$O$2,$D357,$D357-($D357-$I$346)*MIN(H$3-$O$2,$Q$2)/$Q$2))</f>
        <v>24947.0917592998</v>
      </c>
      <c r="I357" s="15" t="n">
        <f aca="false">H357*(1+IF(I$3&lt;=$O$2,$D357,$D357-($D357-$I$346)*MIN(I$3-$O$2,$Q$2)/$Q$2))</f>
        <v>28662.356889469</v>
      </c>
      <c r="J357" s="15" t="n">
        <f aca="false">I357*(1+IF(J$3&lt;=$O$2,$D357,$D357-($D357-$I$346)*MIN(J$3-$O$2,$Q$2)/$Q$2))</f>
        <v>32210.7745863583</v>
      </c>
      <c r="K357" s="15" t="n">
        <f aca="false">J357*(1+IF(K$3&lt;=$O$2,$D357,$D357-($D357-$I$346)*MIN(K$3-$O$2,$Q$2)/$Q$2))</f>
        <v>35389.1878674678</v>
      </c>
      <c r="L357" s="15" t="n">
        <f aca="false">K357*(1+IF(L$3&lt;=$O$2,$D357,$D357-($D357-$I$346)*MIN(L$3-$O$2,$Q$2)/$Q$2))</f>
        <v>37992.0736942412</v>
      </c>
      <c r="M357" s="15" t="n">
        <f aca="false">L357*(1+IF(M$3&lt;=$O$2,$D357,$D357-($D357-$I$346)*MIN(M$3-$O$2,$Q$2)/$Q$2))</f>
        <v>39831.8457991464</v>
      </c>
      <c r="N357" s="15" t="n">
        <f aca="false">M357*(1+IF(N$3&lt;=$O$2,$D357,$D357-($D357-$I$346)*MIN(N$3-$O$2,$Q$2)/$Q$2))</f>
        <v>40759.9278062665</v>
      </c>
      <c r="O357" s="15" t="n">
        <f aca="false">SUMPRODUCT(E357:N357,1/(1+$F$346)^$E$3:$N$3)*$E$2</f>
        <v>56492.8248224264</v>
      </c>
      <c r="P357" s="15" t="n">
        <f aca="false">N357*$E$2*(1+$I$346)/($F$346-$I$346)/(1+$F$346)^$N$3</f>
        <v>76914.4099815306</v>
      </c>
      <c r="Q357" s="15" t="n">
        <f aca="false">O357+P357</f>
        <v>133407.234803957</v>
      </c>
      <c r="R357" s="15" t="n">
        <f aca="false">Q357-$G$2+$I$2</f>
        <v>121787.234803957</v>
      </c>
      <c r="S357" s="40" t="n">
        <f aca="false">R357/$K$2</f>
        <v>413.160208989914</v>
      </c>
      <c r="T357" s="41" t="n">
        <f aca="false">S357-$M$2</f>
        <v>3.17954610020348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0.1474609375</v>
      </c>
      <c r="C358" s="25" t="n">
        <f aca="false">IF(T357&gt;0,D357,C357)</f>
        <v>0.14892578125</v>
      </c>
      <c r="D358" s="39" t="n">
        <f aca="false">(B358+C358)/2</f>
        <v>0.148193359375</v>
      </c>
      <c r="E358" s="15" t="n">
        <f aca="false">$C$2*(1+IF(E$3&lt;=$O$2,$D358,$D358-($D358-$I$346)*MIN(E$3-$O$2,$Q$2)/$Q$2))</f>
        <v>16438.6843261719</v>
      </c>
      <c r="F358" s="15" t="n">
        <f aca="false">E358*(1+IF(F$3&lt;=$O$2,$D358,$D358-($D358-$I$346)*MIN(F$3-$O$2,$Q$2)/$Q$2))</f>
        <v>18874.7881801724</v>
      </c>
      <c r="G358" s="15" t="n">
        <f aca="false">F358*(1+IF(G$3&lt;=$O$2,$D358,$D358-($D358-$I$346)*MIN(G$3-$O$2,$Q$2)/$Q$2))</f>
        <v>21671.9064480837</v>
      </c>
      <c r="H358" s="15" t="n">
        <f aca="false">G358*(1+IF(H$3&lt;=$O$2,$D358,$D358-($D358-$I$346)*MIN(H$3-$O$2,$Q$2)/$Q$2))</f>
        <v>24883.539068686</v>
      </c>
      <c r="I358" s="15" t="n">
        <f aca="false">H358*(1+IF(I$3&lt;=$O$2,$D358,$D358-($D358-$I$346)*MIN(I$3-$O$2,$Q$2)/$Q$2))</f>
        <v>28571.1143164136</v>
      </c>
      <c r="J358" s="15" t="n">
        <f aca="false">I358*(1+IF(J$3&lt;=$O$2,$D358,$D358-($D358-$I$346)*MIN(J$3-$O$2,$Q$2)/$Q$2))</f>
        <v>32091.4952384373</v>
      </c>
      <c r="K358" s="15" t="n">
        <f aca="false">J358*(1+IF(K$3&lt;=$O$2,$D358,$D358-($D358-$I$346)*MIN(K$3-$O$2,$Q$2)/$Q$2))</f>
        <v>35244.0358661101</v>
      </c>
      <c r="L358" s="15" t="n">
        <f aca="false">K358*(1+IF(L$3&lt;=$O$2,$D358,$D358-($D358-$I$346)*MIN(L$3-$O$2,$Q$2)/$Q$2))</f>
        <v>37825.920316691</v>
      </c>
      <c r="M358" s="15" t="n">
        <f aca="false">L358*(1+IF(M$3&lt;=$O$2,$D358,$D358-($D358-$I$346)*MIN(M$3-$O$2,$Q$2)/$Q$2))</f>
        <v>39652.1055120304</v>
      </c>
      <c r="N358" s="15" t="n">
        <f aca="false">M358*(1+IF(N$3&lt;=$O$2,$D358,$D358-($D358-$I$346)*MIN(N$3-$O$2,$Q$2)/$Q$2))</f>
        <v>40575.9995704607</v>
      </c>
      <c r="O358" s="15" t="n">
        <f aca="false">SUMPRODUCT(E358:N358,1/(1+$F$346)^$E$3:$N$3)*$E$2</f>
        <v>56315.0444509399</v>
      </c>
      <c r="P358" s="15" t="n">
        <f aca="false">N358*$E$2*(1+$I$346)/($F$346-$I$346)/(1+$F$346)^$N$3</f>
        <v>76567.3354772973</v>
      </c>
      <c r="Q358" s="15" t="n">
        <f aca="false">O358+P358</f>
        <v>132882.379928237</v>
      </c>
      <c r="R358" s="15" t="n">
        <f aca="false">Q358-$G$2+$I$2</f>
        <v>121262.379928237</v>
      </c>
      <c r="S358" s="40" t="n">
        <f aca="false">R358/$K$2</f>
        <v>411.379651688562</v>
      </c>
      <c r="T358" s="41" t="n">
        <f aca="false">S358-$M$2</f>
        <v>1.39898879885101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0.1474609375</v>
      </c>
      <c r="C359" s="25" t="n">
        <f aca="false">IF(T358&gt;0,D358,C358)</f>
        <v>0.148193359375</v>
      </c>
      <c r="D359" s="39" t="n">
        <f aca="false">(B359+C359)/2</f>
        <v>0.1478271484375</v>
      </c>
      <c r="E359" s="15" t="n">
        <f aca="false">$C$2*(1+IF(E$3&lt;=$O$2,$D359,$D359-($D359-$I$346)*MIN(E$3-$O$2,$Q$2)/$Q$2))</f>
        <v>16433.4412841797</v>
      </c>
      <c r="F359" s="15" t="n">
        <f aca="false">E359*(1+IF(F$3&lt;=$O$2,$D359,$D359-($D359-$I$346)*MIN(F$3-$O$2,$Q$2)/$Q$2))</f>
        <v>18862.7500482351</v>
      </c>
      <c r="G359" s="15" t="n">
        <f aca="false">F359*(1+IF(G$3&lt;=$O$2,$D359,$D359-($D359-$I$346)*MIN(G$3-$O$2,$Q$2)/$Q$2))</f>
        <v>21651.176599555</v>
      </c>
      <c r="H359" s="15" t="n">
        <f aca="false">G359*(1+IF(H$3&lt;=$O$2,$D359,$D359-($D359-$I$346)*MIN(H$3-$O$2,$Q$2)/$Q$2))</f>
        <v>24851.8082965839</v>
      </c>
      <c r="I359" s="15" t="n">
        <f aca="false">H359*(1+IF(I$3&lt;=$O$2,$D359,$D359-($D359-$I$346)*MIN(I$3-$O$2,$Q$2)/$Q$2))</f>
        <v>28525.5802505833</v>
      </c>
      <c r="J359" s="15" t="n">
        <f aca="false">I359*(1+IF(J$3&lt;=$O$2,$D359,$D359-($D359-$I$346)*MIN(J$3-$O$2,$Q$2)/$Q$2))</f>
        <v>32031.9936033261</v>
      </c>
      <c r="K359" s="15" t="n">
        <f aca="false">J359*(1+IF(K$3&lt;=$O$2,$D359,$D359-($D359-$I$346)*MIN(K$3-$O$2,$Q$2)/$Q$2))</f>
        <v>35171.6507475978</v>
      </c>
      <c r="L359" s="15" t="n">
        <f aca="false">K359*(1+IF(L$3&lt;=$O$2,$D359,$D359-($D359-$I$346)*MIN(L$3-$O$2,$Q$2)/$Q$2))</f>
        <v>37743.0803593921</v>
      </c>
      <c r="M359" s="15" t="n">
        <f aca="false">L359*(1+IF(M$3&lt;=$O$2,$D359,$D359-($D359-$I$346)*MIN(M$3-$O$2,$Q$2)/$Q$2))</f>
        <v>39562.5017658464</v>
      </c>
      <c r="N359" s="15" t="n">
        <f aca="false">M359*(1+IF(N$3&lt;=$O$2,$D359,$D359-($D359-$I$346)*MIN(N$3-$O$2,$Q$2)/$Q$2))</f>
        <v>40484.3080569906</v>
      </c>
      <c r="O359" s="15" t="n">
        <f aca="false">SUMPRODUCT(E359:N359,1/(1+$F$346)^$E$3:$N$3)*$E$2</f>
        <v>56226.360486775</v>
      </c>
      <c r="P359" s="15" t="n">
        <f aca="false">N359*$E$2*(1+$I$346)/($F$346-$I$346)/(1+$F$346)^$N$3</f>
        <v>76394.3126325959</v>
      </c>
      <c r="Q359" s="15" t="n">
        <f aca="false">O359+P359</f>
        <v>132620.673119371</v>
      </c>
      <c r="R359" s="15" t="n">
        <f aca="false">Q359-$G$2+$I$2</f>
        <v>121000.673119371</v>
      </c>
      <c r="S359" s="40" t="n">
        <f aca="false">R359/$K$2</f>
        <v>410.491817754083</v>
      </c>
      <c r="T359" s="41" t="n">
        <f aca="false">S359-$M$2</f>
        <v>0.511154864372088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0.1474609375</v>
      </c>
      <c r="C360" s="25" t="n">
        <f aca="false">IF(T359&gt;0,D359,C359)</f>
        <v>0.1478271484375</v>
      </c>
      <c r="D360" s="39" t="n">
        <f aca="false">(B360+C360)/2</f>
        <v>0.14764404296875</v>
      </c>
      <c r="E360" s="15" t="n">
        <f aca="false">$C$2*(1+IF(E$3&lt;=$O$2,$D360,$D360-($D360-$I$346)*MIN(E$3-$O$2,$Q$2)/$Q$2))</f>
        <v>16430.8197631836</v>
      </c>
      <c r="F360" s="15" t="n">
        <f aca="false">E360*(1+IF(F$3&lt;=$O$2,$D360,$D360-($D360-$I$346)*MIN(F$3-$O$2,$Q$2)/$Q$2))</f>
        <v>18856.7324223109</v>
      </c>
      <c r="G360" s="15" t="n">
        <f aca="false">F360*(1+IF(G$3&lt;=$O$2,$D360,$D360-($D360-$I$346)*MIN(G$3-$O$2,$Q$2)/$Q$2))</f>
        <v>21640.8166343207</v>
      </c>
      <c r="H360" s="15" t="n">
        <f aca="false">G360*(1+IF(H$3&lt;=$O$2,$D360,$D360-($D360-$I$346)*MIN(H$3-$O$2,$Q$2)/$Q$2))</f>
        <v>24835.9542953572</v>
      </c>
      <c r="I360" s="15" t="n">
        <f aca="false">H360*(1+IF(I$3&lt;=$O$2,$D360,$D360-($D360-$I$346)*MIN(I$3-$O$2,$Q$2)/$Q$2))</f>
        <v>28502.8349985109</v>
      </c>
      <c r="J360" s="15" t="n">
        <f aca="false">I360*(1+IF(J$3&lt;=$O$2,$D360,$D360-($D360-$I$346)*MIN(J$3-$O$2,$Q$2)/$Q$2))</f>
        <v>32002.277245805</v>
      </c>
      <c r="K360" s="15" t="n">
        <f aca="false">J360*(1+IF(K$3&lt;=$O$2,$D360,$D360-($D360-$I$346)*MIN(K$3-$O$2,$Q$2)/$Q$2))</f>
        <v>35135.5058278024</v>
      </c>
      <c r="L360" s="15" t="n">
        <f aca="false">K360*(1+IF(L$3&lt;=$O$2,$D360,$D360-($D360-$I$346)*MIN(L$3-$O$2,$Q$2)/$Q$2))</f>
        <v>37701.7194521426</v>
      </c>
      <c r="M360" s="15" t="n">
        <f aca="false">L360*(1+IF(M$3&lt;=$O$2,$D360,$D360-($D360-$I$346)*MIN(M$3-$O$2,$Q$2)/$Q$2))</f>
        <v>39517.7663600881</v>
      </c>
      <c r="N360" s="15" t="n">
        <f aca="false">M360*(1+IF(N$3&lt;=$O$2,$D360,$D360-($D360-$I$346)*MIN(N$3-$O$2,$Q$2)/$Q$2))</f>
        <v>40438.5303162782</v>
      </c>
      <c r="O360" s="15" t="n">
        <f aca="false">SUMPRODUCT(E360:N360,1/(1+$F$346)^$E$3:$N$3)*$E$2</f>
        <v>56182.0699746139</v>
      </c>
      <c r="P360" s="15" t="n">
        <f aca="false">N360*$E$2*(1+$I$346)/($F$346-$I$346)/(1+$F$346)^$N$3</f>
        <v>76307.929557191</v>
      </c>
      <c r="Q360" s="15" t="n">
        <f aca="false">O360+P360</f>
        <v>132489.999531805</v>
      </c>
      <c r="R360" s="15" t="n">
        <f aca="false">Q360-$G$2+$I$2</f>
        <v>120869.999531805</v>
      </c>
      <c r="S360" s="40" t="n">
        <f aca="false">R360/$K$2</f>
        <v>410.048510811157</v>
      </c>
      <c r="T360" s="41" t="n">
        <f aca="false">S360-$M$2</f>
        <v>0.0678479214467984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0.1474609375</v>
      </c>
      <c r="C361" s="25" t="n">
        <f aca="false">IF(T360&gt;0,D360,C360)</f>
        <v>0.14764404296875</v>
      </c>
      <c r="D361" s="39" t="n">
        <f aca="false">(B361+C361)/2</f>
        <v>0.147552490234375</v>
      </c>
      <c r="E361" s="15" t="n">
        <f aca="false">$C$2*(1+IF(E$3&lt;=$O$2,$D361,$D361-($D361-$I$346)*MIN(E$3-$O$2,$Q$2)/$Q$2))</f>
        <v>16429.5090026855</v>
      </c>
      <c r="F361" s="15" t="n">
        <f aca="false">E361*(1+IF(F$3&lt;=$O$2,$D361,$D361-($D361-$I$346)*MIN(F$3-$O$2,$Q$2)/$Q$2))</f>
        <v>18853.7239693599</v>
      </c>
      <c r="G361" s="15" t="n">
        <f aca="false">F361*(1+IF(G$3&lt;=$O$2,$D361,$D361-($D361-$I$346)*MIN(G$3-$O$2,$Q$2)/$Q$2))</f>
        <v>21635.6378912305</v>
      </c>
      <c r="H361" s="15" t="n">
        <f aca="false">G361*(1+IF(H$3&lt;=$O$2,$D361,$D361-($D361-$I$346)*MIN(H$3-$O$2,$Q$2)/$Q$2))</f>
        <v>24828.0301398907</v>
      </c>
      <c r="I361" s="15" t="n">
        <f aca="false">H361*(1+IF(I$3&lt;=$O$2,$D361,$D361-($D361-$I$346)*MIN(I$3-$O$2,$Q$2)/$Q$2))</f>
        <v>28491.4678146457</v>
      </c>
      <c r="J361" s="15" t="n">
        <f aca="false">I361*(1+IF(J$3&lt;=$O$2,$D361,$D361-($D361-$I$346)*MIN(J$3-$O$2,$Q$2)/$Q$2))</f>
        <v>31987.4276758488</v>
      </c>
      <c r="K361" s="15" t="n">
        <f aca="false">J361*(1+IF(K$3&lt;=$O$2,$D361,$D361-($D361-$I$346)*MIN(K$3-$O$2,$Q$2)/$Q$2))</f>
        <v>35117.4452676458</v>
      </c>
      <c r="L361" s="15" t="n">
        <f aca="false">K361*(1+IF(L$3&lt;=$O$2,$D361,$D361-($D361-$I$346)*MIN(L$3-$O$2,$Q$2)/$Q$2))</f>
        <v>37681.0537524516</v>
      </c>
      <c r="M361" s="15" t="n">
        <f aca="false">L361*(1+IF(M$3&lt;=$O$2,$D361,$D361-($D361-$I$346)*MIN(M$3-$O$2,$Q$2)/$Q$2))</f>
        <v>39495.4152575633</v>
      </c>
      <c r="N361" s="15" t="n">
        <f aca="false">M361*(1+IF(N$3&lt;=$O$2,$D361,$D361-($D361-$I$346)*MIN(N$3-$O$2,$Q$2)/$Q$2))</f>
        <v>40415.6584330645</v>
      </c>
      <c r="O361" s="15" t="n">
        <f aca="false">SUMPRODUCT(E361:N361,1/(1+$F$346)^$E$3:$N$3)*$E$2</f>
        <v>56159.9375753417</v>
      </c>
      <c r="P361" s="15" t="n">
        <f aca="false">N361*$E$2*(1+$I$346)/($F$346-$I$346)/(1+$F$346)^$N$3</f>
        <v>76264.7700744042</v>
      </c>
      <c r="Q361" s="15" t="n">
        <f aca="false">O361+P361</f>
        <v>132424.707649746</v>
      </c>
      <c r="R361" s="15" t="n">
        <f aca="false">Q361-$G$2+$I$2</f>
        <v>120804.707649746</v>
      </c>
      <c r="S361" s="40" t="n">
        <f aca="false">R361/$K$2</f>
        <v>409.827009701618</v>
      </c>
      <c r="T361" s="41" t="n">
        <f aca="false">S361-$M$2</f>
        <v>-0.153653188092733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0.147552490234375</v>
      </c>
      <c r="C362" s="25" t="n">
        <f aca="false">IF(T361&gt;0,D361,C361)</f>
        <v>0.14764404296875</v>
      </c>
      <c r="D362" s="39" t="n">
        <f aca="false">(B362+C362)/2</f>
        <v>0.147598266601563</v>
      </c>
      <c r="E362" s="15" t="n">
        <f aca="false">$C$2*(1+IF(E$3&lt;=$O$2,$D362,$D362-($D362-$I$346)*MIN(E$3-$O$2,$Q$2)/$Q$2))</f>
        <v>16430.1643829346</v>
      </c>
      <c r="F362" s="15" t="n">
        <f aca="false">E362*(1+IF(F$3&lt;=$O$2,$D362,$D362-($D362-$I$346)*MIN(F$3-$O$2,$Q$2)/$Q$2))</f>
        <v>18855.2281658344</v>
      </c>
      <c r="G362" s="15" t="n">
        <f aca="false">F362*(1+IF(G$3&lt;=$O$2,$D362,$D362-($D362-$I$346)*MIN(G$3-$O$2,$Q$2)/$Q$2))</f>
        <v>21638.2271594886</v>
      </c>
      <c r="H362" s="15" t="n">
        <f aca="false">G362*(1+IF(H$3&lt;=$O$2,$D362,$D362-($D362-$I$346)*MIN(H$3-$O$2,$Q$2)/$Q$2))</f>
        <v>24831.9919805599</v>
      </c>
      <c r="I362" s="15" t="n">
        <f aca="false">H362*(1+IF(I$3&lt;=$O$2,$D362,$D362-($D362-$I$346)*MIN(I$3-$O$2,$Q$2)/$Q$2))</f>
        <v>28497.1509531545</v>
      </c>
      <c r="J362" s="15" t="n">
        <f aca="false">I362*(1+IF(J$3&lt;=$O$2,$D362,$D362-($D362-$I$346)*MIN(J$3-$O$2,$Q$2)/$Q$2))</f>
        <v>31994.8517436111</v>
      </c>
      <c r="K362" s="15" t="n">
        <f aca="false">J362*(1+IF(K$3&lt;=$O$2,$D362,$D362-($D362-$I$346)*MIN(K$3-$O$2,$Q$2)/$Q$2))</f>
        <v>35126.4745563802</v>
      </c>
      <c r="L362" s="15" t="n">
        <f aca="false">K362*(1+IF(L$3&lt;=$O$2,$D362,$D362-($D362-$I$346)*MIN(L$3-$O$2,$Q$2)/$Q$2))</f>
        <v>37691.3853732166</v>
      </c>
      <c r="M362" s="15" t="n">
        <f aca="false">L362*(1+IF(M$3&lt;=$O$2,$D362,$D362-($D362-$I$346)*MIN(M$3-$O$2,$Q$2)/$Q$2))</f>
        <v>39506.589425953</v>
      </c>
      <c r="N362" s="15" t="n">
        <f aca="false">M362*(1+IF(N$3&lt;=$O$2,$D362,$D362-($D362-$I$346)*MIN(N$3-$O$2,$Q$2)/$Q$2))</f>
        <v>40427.0929595777</v>
      </c>
      <c r="O362" s="15" t="n">
        <f aca="false">SUMPRODUCT(E362:N362,1/(1+$F$346)^$E$3:$N$3)*$E$2</f>
        <v>56171.0027038946</v>
      </c>
      <c r="P362" s="15" t="n">
        <f aca="false">N362*$E$2*(1+$I$346)/($F$346-$I$346)/(1+$F$346)^$N$3</f>
        <v>76286.3471455012</v>
      </c>
      <c r="Q362" s="15" t="n">
        <f aca="false">O362+P362</f>
        <v>132457.349849396</v>
      </c>
      <c r="R362" s="15" t="n">
        <f aca="false">Q362-$G$2+$I$2</f>
        <v>120837.349849396</v>
      </c>
      <c r="S362" s="40" t="n">
        <f aca="false">R362/$K$2</f>
        <v>409.937747563849</v>
      </c>
      <c r="T362" s="41" t="n">
        <f aca="false">S362-$M$2</f>
        <v>-0.0429153258618271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0.147598266601563</v>
      </c>
      <c r="C363" s="25" t="n">
        <f aca="false">IF(T362&gt;0,D362,C362)</f>
        <v>0.14764404296875</v>
      </c>
      <c r="D363" s="39" t="n">
        <f aca="false">(B363+C363)/2</f>
        <v>0.147621154785156</v>
      </c>
      <c r="E363" s="15" t="n">
        <f aca="false">$C$2*(1+IF(E$3&lt;=$O$2,$D363,$D363-($D363-$I$346)*MIN(E$3-$O$2,$Q$2)/$Q$2))</f>
        <v>16430.4920730591</v>
      </c>
      <c r="F363" s="15" t="n">
        <f aca="false">E363*(1+IF(F$3&lt;=$O$2,$D363,$D363-($D363-$I$346)*MIN(F$3-$O$2,$Q$2)/$Q$2))</f>
        <v>18855.9802865724</v>
      </c>
      <c r="G363" s="15" t="n">
        <f aca="false">F363*(1+IF(G$3&lt;=$O$2,$D363,$D363-($D363-$I$346)*MIN(G$3-$O$2,$Q$2)/$Q$2))</f>
        <v>21639.5218710824</v>
      </c>
      <c r="H363" s="15" t="n">
        <f aca="false">G363*(1+IF(H$3&lt;=$O$2,$D363,$D363-($D363-$I$346)*MIN(H$3-$O$2,$Q$2)/$Q$2))</f>
        <v>24833.9730786902</v>
      </c>
      <c r="I363" s="15" t="n">
        <f aca="false">H363*(1+IF(I$3&lt;=$O$2,$D363,$D363-($D363-$I$346)*MIN(I$3-$O$2,$Q$2)/$Q$2))</f>
        <v>28499.9928624699</v>
      </c>
      <c r="J363" s="15" t="n">
        <f aca="false">I363*(1+IF(J$3&lt;=$O$2,$D363,$D363-($D363-$I$346)*MIN(J$3-$O$2,$Q$2)/$Q$2))</f>
        <v>31998.5643153903</v>
      </c>
      <c r="K363" s="15" t="n">
        <f aca="false">J363*(1+IF(K$3&lt;=$O$2,$D363,$D363-($D363-$I$346)*MIN(K$3-$O$2,$Q$2)/$Q$2))</f>
        <v>35130.9899442327</v>
      </c>
      <c r="L363" s="15" t="n">
        <f aca="false">K363*(1+IF(L$3&lt;=$O$2,$D363,$D363-($D363-$I$346)*MIN(L$3-$O$2,$Q$2)/$Q$2))</f>
        <v>37696.5521053784</v>
      </c>
      <c r="M363" s="15" t="n">
        <f aca="false">L363*(1+IF(M$3&lt;=$O$2,$D363,$D363-($D363-$I$346)*MIN(M$3-$O$2,$Q$2)/$Q$2))</f>
        <v>39512.1775472656</v>
      </c>
      <c r="N363" s="15" t="n">
        <f aca="false">M363*(1+IF(N$3&lt;=$O$2,$D363,$D363-($D363-$I$346)*MIN(N$3-$O$2,$Q$2)/$Q$2))</f>
        <v>40432.8112841169</v>
      </c>
      <c r="O363" s="15" t="n">
        <f aca="false">SUMPRODUCT(E363:N363,1/(1+$F$346)^$E$3:$N$3)*$E$2</f>
        <v>56176.5360714596</v>
      </c>
      <c r="P363" s="15" t="n">
        <f aca="false">N363*$E$2*(1+$I$346)/($F$346-$I$346)/(1+$F$346)^$N$3</f>
        <v>76297.137683701</v>
      </c>
      <c r="Q363" s="15" t="n">
        <f aca="false">O363+P363</f>
        <v>132473.673755161</v>
      </c>
      <c r="R363" s="15" t="n">
        <f aca="false">Q363-$G$2+$I$2</f>
        <v>120853.673755161</v>
      </c>
      <c r="S363" s="40" t="n">
        <f aca="false">R363/$K$2</f>
        <v>409.993126014047</v>
      </c>
      <c r="T363" s="41" t="n">
        <f aca="false">S363-$M$2</f>
        <v>0.0124631243361364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0.147598266601563</v>
      </c>
      <c r="C364" s="25" t="n">
        <f aca="false">IF(T363&gt;0,D363,C363)</f>
        <v>0.147621154785156</v>
      </c>
      <c r="D364" s="39" t="n">
        <f aca="false">(B364+C364)/2</f>
        <v>0.147609710693359</v>
      </c>
      <c r="E364" s="15" t="n">
        <f aca="false">$C$2*(1+IF(E$3&lt;=$O$2,$D364,$D364-($D364-$I$346)*MIN(E$3-$O$2,$Q$2)/$Q$2))</f>
        <v>16430.3282279968</v>
      </c>
      <c r="F364" s="15" t="n">
        <f aca="false">E364*(1+IF(F$3&lt;=$O$2,$D364,$D364-($D364-$I$346)*MIN(F$3-$O$2,$Q$2)/$Q$2))</f>
        <v>18855.6042243284</v>
      </c>
      <c r="G364" s="15" t="n">
        <f aca="false">F364*(1+IF(G$3&lt;=$O$2,$D364,$D364-($D364-$I$346)*MIN(G$3-$O$2,$Q$2)/$Q$2))</f>
        <v>21638.87450883</v>
      </c>
      <c r="H364" s="15" t="n">
        <f aca="false">G364*(1+IF(H$3&lt;=$O$2,$D364,$D364-($D364-$I$346)*MIN(H$3-$O$2,$Q$2)/$Q$2))</f>
        <v>24832.9825148083</v>
      </c>
      <c r="I364" s="15" t="n">
        <f aca="false">H364*(1+IF(I$3&lt;=$O$2,$D364,$D364-($D364-$I$346)*MIN(I$3-$O$2,$Q$2)/$Q$2))</f>
        <v>28498.5718794724</v>
      </c>
      <c r="J364" s="15" t="n">
        <f aca="false">I364*(1+IF(J$3&lt;=$O$2,$D364,$D364-($D364-$I$346)*MIN(J$3-$O$2,$Q$2)/$Q$2))</f>
        <v>31996.707984673</v>
      </c>
      <c r="K364" s="15" t="n">
        <f aca="false">J364*(1+IF(K$3&lt;=$O$2,$D364,$D364-($D364-$I$346)*MIN(K$3-$O$2,$Q$2)/$Q$2))</f>
        <v>35128.7321883446</v>
      </c>
      <c r="L364" s="15" t="n">
        <f aca="false">K364*(1+IF(L$3&lt;=$O$2,$D364,$D364-($D364-$I$346)*MIN(L$3-$O$2,$Q$2)/$Q$2))</f>
        <v>37693.9686624761</v>
      </c>
      <c r="M364" s="15" t="n">
        <f aca="false">L364*(1+IF(M$3&lt;=$O$2,$D364,$D364-($D364-$I$346)*MIN(M$3-$O$2,$Q$2)/$Q$2))</f>
        <v>39509.3834001752</v>
      </c>
      <c r="N364" s="15" t="n">
        <f aca="false">M364*(1+IF(N$3&lt;=$O$2,$D364,$D364-($D364-$I$346)*MIN(N$3-$O$2,$Q$2)/$Q$2))</f>
        <v>40429.9520333993</v>
      </c>
      <c r="O364" s="15" t="n">
        <f aca="false">SUMPRODUCT(E364:N364,1/(1+$F$346)^$E$3:$N$3)*$E$2</f>
        <v>56173.7693207314</v>
      </c>
      <c r="P364" s="15" t="n">
        <f aca="false">N364*$E$2*(1+$I$346)/($F$346-$I$346)/(1+$F$346)^$N$3</f>
        <v>76291.7422476986</v>
      </c>
      <c r="Q364" s="15" t="n">
        <f aca="false">O364+P364</f>
        <v>132465.51156843</v>
      </c>
      <c r="R364" s="15" t="n">
        <f aca="false">Q364-$G$2+$I$2</f>
        <v>120845.51156843</v>
      </c>
      <c r="S364" s="40" t="n">
        <f aca="false">R364/$K$2</f>
        <v>409.965435995624</v>
      </c>
      <c r="T364" s="41" t="n">
        <f aca="false">S364-$M$2</f>
        <v>-0.0152268940867657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0.147609710693359</v>
      </c>
      <c r="C365" s="25" t="n">
        <f aca="false">IF(T364&gt;0,D364,C364)</f>
        <v>0.147621154785156</v>
      </c>
      <c r="D365" s="39" t="n">
        <f aca="false">(B365+C365)/2</f>
        <v>0.147615432739258</v>
      </c>
      <c r="E365" s="15" t="n">
        <f aca="false">$C$2*(1+IF(E$3&lt;=$O$2,$D365,$D365-($D365-$I$346)*MIN(E$3-$O$2,$Q$2)/$Q$2))</f>
        <v>16430.410150528</v>
      </c>
      <c r="F365" s="15" t="n">
        <f aca="false">E365*(1+IF(F$3&lt;=$O$2,$D365,$D365-($D365-$I$346)*MIN(F$3-$O$2,$Q$2)/$Q$2))</f>
        <v>18855.7922549816</v>
      </c>
      <c r="G365" s="15" t="n">
        <f aca="false">F365*(1+IF(G$3&lt;=$O$2,$D365,$D365-($D365-$I$346)*MIN(G$3-$O$2,$Q$2)/$Q$2))</f>
        <v>21639.1981883423</v>
      </c>
      <c r="H365" s="15" t="n">
        <f aca="false">G365*(1+IF(H$3&lt;=$O$2,$D365,$D365-($D365-$I$346)*MIN(H$3-$O$2,$Q$2)/$Q$2))</f>
        <v>24833.477793045</v>
      </c>
      <c r="I365" s="15" t="n">
        <f aca="false">H365*(1+IF(I$3&lt;=$O$2,$D365,$D365-($D365-$I$346)*MIN(I$3-$O$2,$Q$2)/$Q$2))</f>
        <v>28499.2823638861</v>
      </c>
      <c r="J365" s="15" t="n">
        <f aca="false">I365*(1+IF(J$3&lt;=$O$2,$D365,$D365-($D365-$I$346)*MIN(J$3-$O$2,$Q$2)/$Q$2))</f>
        <v>31997.6361388245</v>
      </c>
      <c r="K365" s="15" t="n">
        <f aca="false">J365*(1+IF(K$3&lt;=$O$2,$D365,$D365-($D365-$I$346)*MIN(K$3-$O$2,$Q$2)/$Q$2))</f>
        <v>35129.8610507979</v>
      </c>
      <c r="L365" s="15" t="n">
        <f aca="false">K365*(1+IF(L$3&lt;=$O$2,$D365,$D365-($D365-$I$346)*MIN(L$3-$O$2,$Q$2)/$Q$2))</f>
        <v>37695.2603647214</v>
      </c>
      <c r="M365" s="15" t="n">
        <f aca="false">L365*(1+IF(M$3&lt;=$O$2,$D365,$D365-($D365-$I$346)*MIN(M$3-$O$2,$Q$2)/$Q$2))</f>
        <v>39510.7804521113</v>
      </c>
      <c r="N365" s="15" t="n">
        <f aca="false">M365*(1+IF(N$3&lt;=$O$2,$D365,$D365-($D365-$I$346)*MIN(N$3-$O$2,$Q$2)/$Q$2))</f>
        <v>40431.3816366455</v>
      </c>
      <c r="O365" s="15" t="n">
        <f aca="false">SUMPRODUCT(E365:N365,1/(1+$F$346)^$E$3:$N$3)*$E$2</f>
        <v>56175.1526793587</v>
      </c>
      <c r="P365" s="15" t="n">
        <f aca="false">N365*$E$2*(1+$I$346)/($F$346-$I$346)/(1+$F$346)^$N$3</f>
        <v>76294.4399239731</v>
      </c>
      <c r="Q365" s="15" t="n">
        <f aca="false">O365+P365</f>
        <v>132469.592603332</v>
      </c>
      <c r="R365" s="15" t="n">
        <f aca="false">Q365-$G$2+$I$2</f>
        <v>120849.592603332</v>
      </c>
      <c r="S365" s="40" t="n">
        <f aca="false">R365/$K$2</f>
        <v>409.979280806499</v>
      </c>
      <c r="T365" s="41" t="n">
        <f aca="false">S365-$M$2</f>
        <v>-0.00138208321129696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0.147615432739258</v>
      </c>
      <c r="C366" s="25" t="n">
        <f aca="false">IF(T365&gt;0,D365,C365)</f>
        <v>0.147621154785156</v>
      </c>
      <c r="D366" s="39" t="n">
        <f aca="false">(B366+C366)/2</f>
        <v>0.147618293762207</v>
      </c>
      <c r="E366" s="15" t="n">
        <f aca="false">$C$2*(1+IF(E$3&lt;=$O$2,$D366,$D366-($D366-$I$346)*MIN(E$3-$O$2,$Q$2)/$Q$2))</f>
        <v>16430.4511117935</v>
      </c>
      <c r="F366" s="15" t="n">
        <f aca="false">E366*(1+IF(F$3&lt;=$O$2,$D366,$D366-($D366-$I$346)*MIN(F$3-$O$2,$Q$2)/$Q$2))</f>
        <v>18855.8862706598</v>
      </c>
      <c r="G366" s="15" t="n">
        <f aca="false">F366*(1+IF(G$3&lt;=$O$2,$D366,$D366-($D366-$I$346)*MIN(G$3-$O$2,$Q$2)/$Q$2))</f>
        <v>21639.3600293089</v>
      </c>
      <c r="H366" s="15" t="n">
        <f aca="false">G366*(1+IF(H$3&lt;=$O$2,$D366,$D366-($D366-$I$346)*MIN(H$3-$O$2,$Q$2)/$Q$2))</f>
        <v>24833.7254349415</v>
      </c>
      <c r="I366" s="15" t="n">
        <f aca="false">H366*(1+IF(I$3&lt;=$O$2,$D366,$D366-($D366-$I$346)*MIN(I$3-$O$2,$Q$2)/$Q$2))</f>
        <v>28499.6376114067</v>
      </c>
      <c r="J366" s="15" t="n">
        <f aca="false">I366*(1+IF(J$3&lt;=$O$2,$D366,$D366-($D366-$I$346)*MIN(J$3-$O$2,$Q$2)/$Q$2))</f>
        <v>31998.1002243056</v>
      </c>
      <c r="K366" s="15" t="n">
        <f aca="false">J366*(1+IF(K$3&lt;=$O$2,$D366,$D366-($D366-$I$346)*MIN(K$3-$O$2,$Q$2)/$Q$2))</f>
        <v>35130.4254936425</v>
      </c>
      <c r="L366" s="15" t="n">
        <f aca="false">K366*(1+IF(L$3&lt;=$O$2,$D366,$D366-($D366-$I$346)*MIN(L$3-$O$2,$Q$2)/$Q$2))</f>
        <v>37695.9062302484</v>
      </c>
      <c r="M366" s="15" t="n">
        <f aca="false">L366*(1+IF(M$3&lt;=$O$2,$D366,$D366-($D366-$I$346)*MIN(M$3-$O$2,$Q$2)/$Q$2))</f>
        <v>39511.4789942861</v>
      </c>
      <c r="N366" s="15" t="n">
        <f aca="false">M366*(1+IF(N$3&lt;=$O$2,$D366,$D366-($D366-$I$346)*MIN(N$3-$O$2,$Q$2)/$Q$2))</f>
        <v>40432.096454853</v>
      </c>
      <c r="O366" s="15" t="n">
        <f aca="false">SUMPRODUCT(E366:N366,1/(1+$F$346)^$E$3:$N$3)*$E$2</f>
        <v>56175.8443712249</v>
      </c>
      <c r="P366" s="15" t="n">
        <f aca="false">N366*$E$2*(1+$I$346)/($F$346-$I$346)/(1+$F$346)^$N$3</f>
        <v>76295.7887934052</v>
      </c>
      <c r="Q366" s="15" t="n">
        <f aca="false">O366+P366</f>
        <v>132471.63316463</v>
      </c>
      <c r="R366" s="15" t="n">
        <f aca="false">Q366-$G$2+$I$2</f>
        <v>120851.63316463</v>
      </c>
      <c r="S366" s="40" t="n">
        <f aca="false">R366/$K$2</f>
        <v>409.986203360688</v>
      </c>
      <c r="T366" s="41" t="n">
        <f aca="false">S366-$M$2</f>
        <v>0.00554047097779176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0.147615432739258</v>
      </c>
      <c r="C367" s="25" t="n">
        <f aca="false">IF(T366&gt;0,D366,C366)</f>
        <v>0.147618293762207</v>
      </c>
      <c r="D367" s="39" t="n">
        <f aca="false">(B367+C367)/2</f>
        <v>0.147616863250732</v>
      </c>
      <c r="E367" s="15" t="n">
        <f aca="false">$C$2*(1+IF(E$3&lt;=$O$2,$D367,$D367-($D367-$I$346)*MIN(E$3-$O$2,$Q$2)/$Q$2))</f>
        <v>16430.4306311607</v>
      </c>
      <c r="F367" s="15" t="n">
        <f aca="false">E367*(1+IF(F$3&lt;=$O$2,$D367,$D367-($D367-$I$346)*MIN(F$3-$O$2,$Q$2)/$Q$2))</f>
        <v>18855.8392627914</v>
      </c>
      <c r="G367" s="15" t="n">
        <f aca="false">F367*(1+IF(G$3&lt;=$O$2,$D367,$D367-($D367-$I$346)*MIN(G$3-$O$2,$Q$2)/$Q$2))</f>
        <v>21639.2791087247</v>
      </c>
      <c r="H367" s="15" t="n">
        <f aca="false">G367*(1+IF(H$3&lt;=$O$2,$D367,$D367-($D367-$I$346)*MIN(H$3-$O$2,$Q$2)/$Q$2))</f>
        <v>24833.6016137618</v>
      </c>
      <c r="I367" s="15" t="n">
        <f aca="false">H367*(1+IF(I$3&lt;=$O$2,$D367,$D367-($D367-$I$346)*MIN(I$3-$O$2,$Q$2)/$Q$2))</f>
        <v>28499.4599872036</v>
      </c>
      <c r="J367" s="15" t="n">
        <f aca="false">I367*(1+IF(J$3&lt;=$O$2,$D367,$D367-($D367-$I$346)*MIN(J$3-$O$2,$Q$2)/$Q$2))</f>
        <v>31997.8681808646</v>
      </c>
      <c r="K367" s="15" t="n">
        <f aca="false">J367*(1+IF(K$3&lt;=$O$2,$D367,$D367-($D367-$I$346)*MIN(K$3-$O$2,$Q$2)/$Q$2))</f>
        <v>35130.143271252</v>
      </c>
      <c r="L367" s="15" t="n">
        <f aca="false">K367*(1+IF(L$3&lt;=$O$2,$D367,$D367-($D367-$I$346)*MIN(L$3-$O$2,$Q$2)/$Q$2))</f>
        <v>37695.5832962845</v>
      </c>
      <c r="M367" s="15" t="n">
        <f aca="false">L367*(1+IF(M$3&lt;=$O$2,$D367,$D367-($D367-$I$346)*MIN(M$3-$O$2,$Q$2)/$Q$2))</f>
        <v>39511.1297218481</v>
      </c>
      <c r="N367" s="15" t="n">
        <f aca="false">M367*(1+IF(N$3&lt;=$O$2,$D367,$D367-($D367-$I$346)*MIN(N$3-$O$2,$Q$2)/$Q$2))</f>
        <v>40431.7390443672</v>
      </c>
      <c r="O367" s="15" t="n">
        <f aca="false">SUMPRODUCT(E367:N367,1/(1+$F$346)^$E$3:$N$3)*$E$2</f>
        <v>56175.4985242457</v>
      </c>
      <c r="P367" s="15" t="n">
        <f aca="false">N367*$E$2*(1+$I$346)/($F$346-$I$346)/(1+$F$346)^$N$3</f>
        <v>76295.1143560812</v>
      </c>
      <c r="Q367" s="15" t="n">
        <f aca="false">O367+P367</f>
        <v>132470.612880327</v>
      </c>
      <c r="R367" s="15" t="n">
        <f aca="false">Q367-$G$2+$I$2</f>
        <v>120850.612880327</v>
      </c>
      <c r="S367" s="40" t="n">
        <f aca="false">R367/$K$2</f>
        <v>409.982742071198</v>
      </c>
      <c r="T367" s="41" t="n">
        <f aca="false">S367-$M$2</f>
        <v>0.0020791814872041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0.147615432739258</v>
      </c>
      <c r="C368" s="25" t="n">
        <f aca="false">IF(T367&gt;0,D367,C367)</f>
        <v>0.147616863250732</v>
      </c>
      <c r="D368" s="39" t="n">
        <f aca="false">(B368+C368)/2</f>
        <v>0.147616147994995</v>
      </c>
      <c r="E368" s="15" t="n">
        <f aca="false">$C$2*(1+IF(E$3&lt;=$O$2,$D368,$D368-($D368-$I$346)*MIN(E$3-$O$2,$Q$2)/$Q$2))</f>
        <v>16430.4203908443</v>
      </c>
      <c r="F368" s="15" t="n">
        <f aca="false">E368*(1+IF(F$3&lt;=$O$2,$D368,$D368-($D368-$I$346)*MIN(F$3-$O$2,$Q$2)/$Q$2))</f>
        <v>18855.8157588792</v>
      </c>
      <c r="G368" s="15" t="n">
        <f aca="false">F368*(1+IF(G$3&lt;=$O$2,$D368,$D368-($D368-$I$346)*MIN(G$3-$O$2,$Q$2)/$Q$2))</f>
        <v>21639.2386485083</v>
      </c>
      <c r="H368" s="15" t="n">
        <f aca="false">G368*(1+IF(H$3&lt;=$O$2,$D368,$D368-($D368-$I$346)*MIN(H$3-$O$2,$Q$2)/$Q$2))</f>
        <v>24833.5397033455</v>
      </c>
      <c r="I368" s="15" t="n">
        <f aca="false">H368*(1+IF(I$3&lt;=$O$2,$D368,$D368-($D368-$I$346)*MIN(I$3-$O$2,$Q$2)/$Q$2))</f>
        <v>28499.3711754341</v>
      </c>
      <c r="J368" s="15" t="n">
        <f aca="false">I368*(1+IF(J$3&lt;=$O$2,$D368,$D368-($D368-$I$346)*MIN(J$3-$O$2,$Q$2)/$Q$2))</f>
        <v>31997.7521596694</v>
      </c>
      <c r="K368" s="15" t="n">
        <f aca="false">J368*(1+IF(K$3&lt;=$O$2,$D368,$D368-($D368-$I$346)*MIN(K$3-$O$2,$Q$2)/$Q$2))</f>
        <v>35130.0021607829</v>
      </c>
      <c r="L368" s="15" t="n">
        <f aca="false">K368*(1+IF(L$3&lt;=$O$2,$D368,$D368-($D368-$I$346)*MIN(L$3-$O$2,$Q$2)/$Q$2))</f>
        <v>37695.4218302029</v>
      </c>
      <c r="M368" s="15" t="n">
        <f aca="false">L368*(1+IF(M$3&lt;=$O$2,$D368,$D368-($D368-$I$346)*MIN(M$3-$O$2,$Q$2)/$Q$2))</f>
        <v>39510.9550866421</v>
      </c>
      <c r="N368" s="15" t="n">
        <f aca="false">M368*(1+IF(N$3&lt;=$O$2,$D368,$D368-($D368-$I$346)*MIN(N$3-$O$2,$Q$2)/$Q$2))</f>
        <v>40431.5603401608</v>
      </c>
      <c r="O368" s="15" t="n">
        <f aca="false">SUMPRODUCT(E368:N368,1/(1+$F$346)^$E$3:$N$3)*$E$2</f>
        <v>56175.3256015407</v>
      </c>
      <c r="P368" s="15" t="n">
        <f aca="false">N368*$E$2*(1+$I$346)/($F$346-$I$346)/(1+$F$346)^$N$3</f>
        <v>76294.7771393752</v>
      </c>
      <c r="Q368" s="15" t="n">
        <f aca="false">O368+P368</f>
        <v>132470.102740916</v>
      </c>
      <c r="R368" s="15" t="n">
        <f aca="false">Q368-$G$2+$I$2</f>
        <v>120850.102740916</v>
      </c>
      <c r="S368" s="40" t="n">
        <f aca="false">R368/$K$2</f>
        <v>409.98101143575</v>
      </c>
      <c r="T368" s="41" t="n">
        <f aca="false">S368-$M$2</f>
        <v>0.000348546038992481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0.147615432739258</v>
      </c>
      <c r="C369" s="25" t="n">
        <f aca="false">IF(T368&gt;0,D368,C368)</f>
        <v>0.147616147994995</v>
      </c>
      <c r="D369" s="39" t="n">
        <f aca="false">(B369+C369)/2</f>
        <v>0.147615790367126</v>
      </c>
      <c r="E369" s="15" t="n">
        <f aca="false">$C$2*(1+IF(E$3&lt;=$O$2,$D369,$D369-($D369-$I$346)*MIN(E$3-$O$2,$Q$2)/$Q$2))</f>
        <v>16430.4152706862</v>
      </c>
      <c r="F369" s="15" t="n">
        <f aca="false">E369*(1+IF(F$3&lt;=$O$2,$D369,$D369-($D369-$I$346)*MIN(F$3-$O$2,$Q$2)/$Q$2))</f>
        <v>18855.8040069286</v>
      </c>
      <c r="G369" s="15" t="n">
        <f aca="false">F369*(1+IF(G$3&lt;=$O$2,$D369,$D369-($D369-$I$346)*MIN(G$3-$O$2,$Q$2)/$Q$2))</f>
        <v>21639.218418419</v>
      </c>
      <c r="H369" s="15" t="n">
        <f aca="false">G369*(1+IF(H$3&lt;=$O$2,$D369,$D369-($D369-$I$346)*MIN(H$3-$O$2,$Q$2)/$Q$2))</f>
        <v>24833.5087481808</v>
      </c>
      <c r="I369" s="15" t="n">
        <f aca="false">H369*(1+IF(I$3&lt;=$O$2,$D369,$D369-($D369-$I$346)*MIN(I$3-$O$2,$Q$2)/$Q$2))</f>
        <v>28499.3267696324</v>
      </c>
      <c r="J369" s="15" t="n">
        <f aca="false">I369*(1+IF(J$3&lt;=$O$2,$D369,$D369-($D369-$I$346)*MIN(J$3-$O$2,$Q$2)/$Q$2))</f>
        <v>31997.6941492032</v>
      </c>
      <c r="K369" s="15" t="n">
        <f aca="false">J369*(1+IF(K$3&lt;=$O$2,$D369,$D369-($D369-$I$346)*MIN(K$3-$O$2,$Q$2)/$Q$2))</f>
        <v>35129.9316057299</v>
      </c>
      <c r="L369" s="15" t="n">
        <f aca="false">K369*(1+IF(L$3&lt;=$O$2,$D369,$D369-($D369-$I$346)*MIN(L$3-$O$2,$Q$2)/$Q$2))</f>
        <v>37695.3410973871</v>
      </c>
      <c r="M369" s="15" t="n">
        <f aca="false">L369*(1+IF(M$3&lt;=$O$2,$D369,$D369-($D369-$I$346)*MIN(M$3-$O$2,$Q$2)/$Q$2))</f>
        <v>39510.8677692923</v>
      </c>
      <c r="N369" s="15" t="n">
        <f aca="false">M369*(1+IF(N$3&lt;=$O$2,$D369,$D369-($D369-$I$346)*MIN(N$3-$O$2,$Q$2)/$Q$2))</f>
        <v>40431.4709883168</v>
      </c>
      <c r="O369" s="15" t="n">
        <f aca="false">SUMPRODUCT(E369:N369,1/(1+$F$346)^$E$3:$N$3)*$E$2</f>
        <v>56175.2391403843</v>
      </c>
      <c r="P369" s="15" t="n">
        <f aca="false">N369*$E$2*(1+$I$346)/($F$346-$I$346)/(1+$F$346)^$N$3</f>
        <v>76294.6085315111</v>
      </c>
      <c r="Q369" s="15" t="n">
        <f aca="false">O369+P369</f>
        <v>132469.847671895</v>
      </c>
      <c r="R369" s="15" t="n">
        <f aca="false">Q369-$G$2+$I$2</f>
        <v>120849.847671895</v>
      </c>
      <c r="S369" s="40" t="n">
        <f aca="false">R369/$K$2</f>
        <v>409.98014612035</v>
      </c>
      <c r="T369" s="41" t="n">
        <f aca="false">S369-$M$2</f>
        <v>-0.000516769361013303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0.147615790367126</v>
      </c>
      <c r="C370" s="25" t="n">
        <f aca="false">IF(T369&gt;0,D369,C369)</f>
        <v>0.147616147994995</v>
      </c>
      <c r="D370" s="39" t="n">
        <f aca="false">(B370+C370)/2</f>
        <v>0.147615969181061</v>
      </c>
      <c r="E370" s="15" t="n">
        <f aca="false">$C$2*(1+IF(E$3&lt;=$O$2,$D370,$D370-($D370-$I$346)*MIN(E$3-$O$2,$Q$2)/$Q$2))</f>
        <v>16430.4178307652</v>
      </c>
      <c r="F370" s="15" t="n">
        <f aca="false">E370*(1+IF(F$3&lt;=$O$2,$D370,$D370-($D370-$I$346)*MIN(F$3-$O$2,$Q$2)/$Q$2))</f>
        <v>18855.8098829034</v>
      </c>
      <c r="G370" s="15" t="n">
        <f aca="false">F370*(1+IF(G$3&lt;=$O$2,$D370,$D370-($D370-$I$346)*MIN(G$3-$O$2,$Q$2)/$Q$2))</f>
        <v>21639.2285334621</v>
      </c>
      <c r="H370" s="15" t="n">
        <f aca="false">G370*(1+IF(H$3&lt;=$O$2,$D370,$D370-($D370-$I$346)*MIN(H$3-$O$2,$Q$2)/$Q$2))</f>
        <v>24833.5242257595</v>
      </c>
      <c r="I370" s="15" t="n">
        <f aca="false">H370*(1+IF(I$3&lt;=$O$2,$D370,$D370-($D370-$I$346)*MIN(I$3-$O$2,$Q$2)/$Q$2))</f>
        <v>28499.3489725264</v>
      </c>
      <c r="J370" s="15" t="n">
        <f aca="false">I370*(1+IF(J$3&lt;=$O$2,$D370,$D370-($D370-$I$346)*MIN(J$3-$O$2,$Q$2)/$Q$2))</f>
        <v>31997.7231544253</v>
      </c>
      <c r="K370" s="15" t="n">
        <f aca="false">J370*(1+IF(K$3&lt;=$O$2,$D370,$D370-($D370-$I$346)*MIN(K$3-$O$2,$Q$2)/$Q$2))</f>
        <v>35129.9668832412</v>
      </c>
      <c r="L370" s="15" t="n">
        <f aca="false">K370*(1+IF(L$3&lt;=$O$2,$D370,$D370-($D370-$I$346)*MIN(L$3-$O$2,$Q$2)/$Q$2))</f>
        <v>37695.3814637763</v>
      </c>
      <c r="M370" s="15" t="n">
        <f aca="false">L370*(1+IF(M$3&lt;=$O$2,$D370,$D370-($D370-$I$346)*MIN(M$3-$O$2,$Q$2)/$Q$2))</f>
        <v>39510.9114279461</v>
      </c>
      <c r="N370" s="15" t="n">
        <f aca="false">M370*(1+IF(N$3&lt;=$O$2,$D370,$D370-($D370-$I$346)*MIN(N$3-$O$2,$Q$2)/$Q$2))</f>
        <v>40431.5156642172</v>
      </c>
      <c r="O370" s="15" t="n">
        <f aca="false">SUMPRODUCT(E370:N370,1/(1+$F$346)^$E$3:$N$3)*$E$2</f>
        <v>56175.2823709462</v>
      </c>
      <c r="P370" s="15" t="n">
        <f aca="false">N370*$E$2*(1+$I$346)/($F$346-$I$346)/(1+$F$346)^$N$3</f>
        <v>76294.6928354024</v>
      </c>
      <c r="Q370" s="15" t="n">
        <f aca="false">O370+P370</f>
        <v>132469.975206349</v>
      </c>
      <c r="R370" s="15" t="n">
        <f aca="false">Q370-$G$2+$I$2</f>
        <v>120849.975206349</v>
      </c>
      <c r="S370" s="40" t="n">
        <f aca="false">R370/$K$2</f>
        <v>409.980578777856</v>
      </c>
      <c r="T370" s="41" t="n">
        <f aca="false">S370-$M$2</f>
        <v>-8.4111854675939E-005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0.147615969181061</v>
      </c>
      <c r="C371" s="25" t="n">
        <f aca="false">IF(T370&gt;0,D370,C370)</f>
        <v>0.147616147994995</v>
      </c>
      <c r="D371" s="39" t="n">
        <f aca="false">(B371+C371)/2</f>
        <v>0.147616058588028</v>
      </c>
      <c r="E371" s="15" t="n">
        <f aca="false">$C$2*(1+IF(E$3&lt;=$O$2,$D371,$D371-($D371-$I$346)*MIN(E$3-$O$2,$Q$2)/$Q$2))</f>
        <v>16430.4191108048</v>
      </c>
      <c r="F371" s="15" t="n">
        <f aca="false">E371*(1+IF(F$3&lt;=$O$2,$D371,$D371-($D371-$I$346)*MIN(F$3-$O$2,$Q$2)/$Q$2))</f>
        <v>18855.8128208912</v>
      </c>
      <c r="G371" s="15" t="n">
        <f aca="false">F371*(1+IF(G$3&lt;=$O$2,$D371,$D371-($D371-$I$346)*MIN(G$3-$O$2,$Q$2)/$Q$2))</f>
        <v>21639.2335909848</v>
      </c>
      <c r="H371" s="15" t="n">
        <f aca="false">G371*(1+IF(H$3&lt;=$O$2,$D371,$D371-($D371-$I$346)*MIN(H$3-$O$2,$Q$2)/$Q$2))</f>
        <v>24833.5319645516</v>
      </c>
      <c r="I371" s="15" t="n">
        <f aca="false">H371*(1+IF(I$3&lt;=$O$2,$D371,$D371-($D371-$I$346)*MIN(I$3-$O$2,$Q$2)/$Q$2))</f>
        <v>28499.3600739785</v>
      </c>
      <c r="J371" s="15" t="n">
        <f aca="false">I371*(1+IF(J$3&lt;=$O$2,$D371,$D371-($D371-$I$346)*MIN(J$3-$O$2,$Q$2)/$Q$2))</f>
        <v>31997.7376570446</v>
      </c>
      <c r="K371" s="15" t="n">
        <f aca="false">J371*(1+IF(K$3&lt;=$O$2,$D371,$D371-($D371-$I$346)*MIN(K$3-$O$2,$Q$2)/$Q$2))</f>
        <v>35129.9845220083</v>
      </c>
      <c r="L371" s="15" t="n">
        <f aca="false">K371*(1+IF(L$3&lt;=$O$2,$D371,$D371-($D371-$I$346)*MIN(L$3-$O$2,$Q$2)/$Q$2))</f>
        <v>37695.4016469849</v>
      </c>
      <c r="M371" s="15" t="n">
        <f aca="false">L371*(1+IF(M$3&lt;=$O$2,$D371,$D371-($D371-$I$346)*MIN(M$3-$O$2,$Q$2)/$Q$2))</f>
        <v>39510.9332572888</v>
      </c>
      <c r="N371" s="15" t="n">
        <f aca="false">M371*(1+IF(N$3&lt;=$O$2,$D371,$D371-($D371-$I$346)*MIN(N$3-$O$2,$Q$2)/$Q$2))</f>
        <v>40431.5380021836</v>
      </c>
      <c r="O371" s="15" t="n">
        <f aca="false">SUMPRODUCT(E371:N371,1/(1+$F$346)^$E$3:$N$3)*$E$2</f>
        <v>56175.3039862393</v>
      </c>
      <c r="P371" s="15" t="n">
        <f aca="false">N371*$E$2*(1+$I$346)/($F$346-$I$346)/(1+$F$346)^$N$3</f>
        <v>76294.7349873786</v>
      </c>
      <c r="Q371" s="15" t="n">
        <f aca="false">O371+P371</f>
        <v>132470.038973618</v>
      </c>
      <c r="R371" s="15" t="n">
        <f aca="false">Q371-$G$2+$I$2</f>
        <v>120850.038973618</v>
      </c>
      <c r="S371" s="40" t="n">
        <f aca="false">R371/$K$2</f>
        <v>409.980795106754</v>
      </c>
      <c r="T371" s="41" t="n">
        <f aca="false">S371-$M$2</f>
        <v>0.000132217043699256</v>
      </c>
    </row>
    <row r="373" customFormat="false" ht="15" hidden="false" customHeight="false" outlineLevel="0" collapsed="false">
      <c r="A373" s="36" t="s">
        <v>187</v>
      </c>
      <c r="E373" s="5" t="s">
        <v>11</v>
      </c>
      <c r="F373" s="12" t="n">
        <f aca="false">Sensitivity!$B$12</f>
        <v>0.0948919064489092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6" t="s">
        <v>155</v>
      </c>
      <c r="B374" s="28" t="s">
        <v>156</v>
      </c>
      <c r="C374" s="28" t="s">
        <v>157</v>
      </c>
      <c r="D374" s="28" t="s">
        <v>158</v>
      </c>
      <c r="E374" s="28" t="s">
        <v>159</v>
      </c>
      <c r="F374" s="28" t="s">
        <v>160</v>
      </c>
      <c r="G374" s="28" t="s">
        <v>161</v>
      </c>
      <c r="H374" s="28" t="s">
        <v>162</v>
      </c>
      <c r="I374" s="28" t="s">
        <v>163</v>
      </c>
      <c r="J374" s="28" t="s">
        <v>164</v>
      </c>
      <c r="K374" s="28" t="s">
        <v>165</v>
      </c>
      <c r="L374" s="28" t="s">
        <v>166</v>
      </c>
      <c r="M374" s="28" t="s">
        <v>167</v>
      </c>
      <c r="N374" s="28" t="s">
        <v>168</v>
      </c>
      <c r="O374" s="28" t="s">
        <v>169</v>
      </c>
      <c r="P374" s="28" t="s">
        <v>170</v>
      </c>
      <c r="Q374" s="28" t="s">
        <v>171</v>
      </c>
      <c r="R374" s="28" t="s">
        <v>172</v>
      </c>
      <c r="S374" s="28" t="s">
        <v>173</v>
      </c>
      <c r="T374" s="28" t="s">
        <v>174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39" t="n">
        <f aca="false">(B375+C375)/2</f>
        <v>0.25</v>
      </c>
      <c r="E375" s="15" t="n">
        <f aca="false">$C$2*(1+IF(E$3&lt;=$O$2,$D375,$D375-($D375-$I$373)*MIN(E$3-$O$2,$Q$2)/$Q$2))</f>
        <v>17896.25</v>
      </c>
      <c r="F375" s="15" t="n">
        <f aca="false">E375*(1+IF(F$3&lt;=$O$2,$D375,$D375-($D375-$I$373)*MIN(F$3-$O$2,$Q$2)/$Q$2))</f>
        <v>22370.3125</v>
      </c>
      <c r="G375" s="15" t="n">
        <f aca="false">F375*(1+IF(G$3&lt;=$O$2,$D375,$D375-($D375-$I$373)*MIN(G$3-$O$2,$Q$2)/$Q$2))</f>
        <v>27962.890625</v>
      </c>
      <c r="H375" s="15" t="n">
        <f aca="false">G375*(1+IF(H$3&lt;=$O$2,$D375,$D375-($D375-$I$373)*MIN(H$3-$O$2,$Q$2)/$Q$2))</f>
        <v>34953.61328125</v>
      </c>
      <c r="I375" s="15" t="n">
        <f aca="false">H375*(1+IF(I$3&lt;=$O$2,$D375,$D375-($D375-$I$373)*MIN(I$3-$O$2,$Q$2)/$Q$2))</f>
        <v>43692.0166015625</v>
      </c>
      <c r="J375" s="15" t="n">
        <f aca="false">I375*(1+IF(J$3&lt;=$O$2,$D375,$D375-($D375-$I$373)*MIN(J$3-$O$2,$Q$2)/$Q$2))</f>
        <v>52677.7167358398</v>
      </c>
      <c r="K375" s="15" t="n">
        <f aca="false">J375*(1+IF(K$3&lt;=$O$2,$D375,$D375-($D375-$I$373)*MIN(K$3-$O$2,$Q$2)/$Q$2))</f>
        <v>61175.6859996655</v>
      </c>
      <c r="L375" s="15" t="n">
        <f aca="false">K375*(1+IF(L$3&lt;=$O$2,$D375,$D375-($D375-$I$373)*MIN(L$3-$O$2,$Q$2)/$Q$2))</f>
        <v>68332.0177479064</v>
      </c>
      <c r="M375" s="15" t="n">
        <f aca="false">L375*(1+IF(M$3&lt;=$O$2,$D375,$D375-($D375-$I$373)*MIN(M$3-$O$2,$Q$2)/$Q$2))</f>
        <v>73295.6555171143</v>
      </c>
      <c r="N375" s="15" t="n">
        <f aca="false">M375*(1+IF(N$3&lt;=$O$2,$D375,$D375-($D375-$I$373)*MIN(N$3-$O$2,$Q$2)/$Q$2))</f>
        <v>75369.9225682487</v>
      </c>
      <c r="O375" s="15" t="n">
        <f aca="false">SUMPRODUCT(E375:N375,1/(1+$F$373)^$E$3:$N$3)*$E$2</f>
        <v>87384.7033335954</v>
      </c>
      <c r="P375" s="15" t="n">
        <f aca="false">N375*$E$2*(1+$I$373)/($F$373-$I$373)/(1+$F$373)^$N$3</f>
        <v>153649.700017103</v>
      </c>
      <c r="Q375" s="15" t="n">
        <f aca="false">O375+P375</f>
        <v>241034.403350698</v>
      </c>
      <c r="R375" s="15" t="n">
        <f aca="false">Q375-$G$2+$I$2</f>
        <v>229414.403350698</v>
      </c>
      <c r="S375" s="40" t="n">
        <f aca="false">R375/$K$2</f>
        <v>778.282740274445</v>
      </c>
      <c r="T375" s="41" t="n">
        <f aca="false">S375-$M$2</f>
        <v>368.302077384735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39" t="n">
        <f aca="false">(B376+C376)/2</f>
        <v>-0.125</v>
      </c>
      <c r="E376" s="15" t="n">
        <f aca="false">$C$2*(1+IF(E$3&lt;=$O$2,$D376,$D376-($D376-$I$373)*MIN(E$3-$O$2,$Q$2)/$Q$2))</f>
        <v>12527.375</v>
      </c>
      <c r="F376" s="15" t="n">
        <f aca="false">E376*(1+IF(F$3&lt;=$O$2,$D376,$D376-($D376-$I$373)*MIN(F$3-$O$2,$Q$2)/$Q$2))</f>
        <v>10961.453125</v>
      </c>
      <c r="G376" s="15" t="n">
        <f aca="false">F376*(1+IF(G$3&lt;=$O$2,$D376,$D376-($D376-$I$373)*MIN(G$3-$O$2,$Q$2)/$Q$2))</f>
        <v>9591.271484375</v>
      </c>
      <c r="H376" s="15" t="n">
        <f aca="false">G376*(1+IF(H$3&lt;=$O$2,$D376,$D376-($D376-$I$373)*MIN(H$3-$O$2,$Q$2)/$Q$2))</f>
        <v>8392.36254882813</v>
      </c>
      <c r="I376" s="15" t="n">
        <f aca="false">H376*(1+IF(I$3&lt;=$O$2,$D376,$D376-($D376-$I$373)*MIN(I$3-$O$2,$Q$2)/$Q$2))</f>
        <v>7343.31723022461</v>
      </c>
      <c r="J376" s="15" t="n">
        <f aca="false">I376*(1+IF(J$3&lt;=$O$2,$D376,$D376-($D376-$I$373)*MIN(J$3-$O$2,$Q$2)/$Q$2))</f>
        <v>6650.54868272522</v>
      </c>
      <c r="K376" s="15" t="n">
        <f aca="false">J376*(1+IF(K$3&lt;=$O$2,$D376,$D376-($D376-$I$373)*MIN(K$3-$O$2,$Q$2)/$Q$2))</f>
        <v>6227.04174260928</v>
      </c>
      <c r="L376" s="15" t="n">
        <f aca="false">K376*(1+IF(L$3&lt;=$O$2,$D376,$D376-($D376-$I$373)*MIN(L$3-$O$2,$Q$2)/$Q$2))</f>
        <v>6021.42482426832</v>
      </c>
      <c r="M376" s="15" t="n">
        <f aca="false">L376*(1+IF(M$3&lt;=$O$2,$D376,$D376-($D376-$I$373)*MIN(M$3-$O$2,$Q$2)/$Q$2))</f>
        <v>6007.21426168305</v>
      </c>
      <c r="N376" s="15" t="n">
        <f aca="false">M376*(1+IF(N$3&lt;=$O$2,$D376,$D376-($D376-$I$373)*MIN(N$3-$O$2,$Q$2)/$Q$2))</f>
        <v>6177.21842528868</v>
      </c>
      <c r="O376" s="15" t="n">
        <f aca="false">SUMPRODUCT(E376:N376,1/(1+$F$373)^$E$3:$N$3)*$E$2</f>
        <v>17528.4731991825</v>
      </c>
      <c r="P376" s="15" t="n">
        <f aca="false">N376*$E$2*(1+$I$373)/($F$373-$I$373)/(1+$F$373)^$N$3</f>
        <v>12592.924679288</v>
      </c>
      <c r="Q376" s="15" t="n">
        <f aca="false">O376+P376</f>
        <v>30121.3978784705</v>
      </c>
      <c r="R376" s="15" t="n">
        <f aca="false">Q376-$G$2+$I$2</f>
        <v>18501.3978784705</v>
      </c>
      <c r="S376" s="40" t="n">
        <f aca="false">R376/$K$2</f>
        <v>62.7655388216932</v>
      </c>
      <c r="T376" s="41" t="n">
        <f aca="false">S376-$M$2</f>
        <v>-347.215124068017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39" t="n">
        <f aca="false">(B377+C377)/2</f>
        <v>0.0625</v>
      </c>
      <c r="E377" s="15" t="n">
        <f aca="false">$C$2*(1+IF(E$3&lt;=$O$2,$D377,$D377-($D377-$I$373)*MIN(E$3-$O$2,$Q$2)/$Q$2))</f>
        <v>15211.8125</v>
      </c>
      <c r="F377" s="15" t="n">
        <f aca="false">E377*(1+IF(F$3&lt;=$O$2,$D377,$D377-($D377-$I$373)*MIN(F$3-$O$2,$Q$2)/$Q$2))</f>
        <v>16162.55078125</v>
      </c>
      <c r="G377" s="15" t="n">
        <f aca="false">F377*(1+IF(G$3&lt;=$O$2,$D377,$D377-($D377-$I$373)*MIN(G$3-$O$2,$Q$2)/$Q$2))</f>
        <v>17172.7102050781</v>
      </c>
      <c r="H377" s="15" t="n">
        <f aca="false">G377*(1+IF(H$3&lt;=$O$2,$D377,$D377-($D377-$I$373)*MIN(H$3-$O$2,$Q$2)/$Q$2))</f>
        <v>18246.0045928955</v>
      </c>
      <c r="I377" s="15" t="n">
        <f aca="false">H377*(1+IF(I$3&lt;=$O$2,$D377,$D377-($D377-$I$373)*MIN(I$3-$O$2,$Q$2)/$Q$2))</f>
        <v>19386.3798799515</v>
      </c>
      <c r="J377" s="15" t="n">
        <f aca="false">I377*(1+IF(J$3&lt;=$O$2,$D377,$D377-($D377-$I$373)*MIN(J$3-$O$2,$Q$2)/$Q$2))</f>
        <v>20465.4257840696</v>
      </c>
      <c r="K377" s="15" t="n">
        <f aca="false">J377*(1+IF(K$3&lt;=$O$2,$D377,$D377-($D377-$I$373)*MIN(K$3-$O$2,$Q$2)/$Q$2))</f>
        <v>21464.5478708479</v>
      </c>
      <c r="L377" s="15" t="n">
        <f aca="false">K377*(1+IF(L$3&lt;=$O$2,$D377,$D377-($D377-$I$373)*MIN(L$3-$O$2,$Q$2)/$Q$2))</f>
        <v>22365.629590466</v>
      </c>
      <c r="M377" s="15" t="n">
        <f aca="false">L377*(1+IF(M$3&lt;=$O$2,$D377,$D377-($D377-$I$373)*MIN(M$3-$O$2,$Q$2)/$Q$2))</f>
        <v>23151.557814275</v>
      </c>
      <c r="N377" s="15" t="n">
        <f aca="false">M377*(1+IF(N$3&lt;=$O$2,$D377,$D377-($D377-$I$373)*MIN(N$3-$O$2,$Q$2)/$Q$2))</f>
        <v>23806.746900419</v>
      </c>
      <c r="O377" s="15" t="n">
        <f aca="false">SUMPRODUCT(E377:N377,1/(1+$F$373)^$E$3:$N$3)*$E$2</f>
        <v>39032.2043643766</v>
      </c>
      <c r="P377" s="15" t="n">
        <f aca="false">N377*$E$2*(1+$I$373)/($F$373-$I$373)/(1+$F$373)^$N$3</f>
        <v>48532.6161284057</v>
      </c>
      <c r="Q377" s="15" t="n">
        <f aca="false">O377+P377</f>
        <v>87564.8204927823</v>
      </c>
      <c r="R377" s="15" t="n">
        <f aca="false">Q377-$G$2+$I$2</f>
        <v>75944.8204927823</v>
      </c>
      <c r="S377" s="40" t="n">
        <f aca="false">R377/$K$2</f>
        <v>257.640942065957</v>
      </c>
      <c r="T377" s="41" t="n">
        <f aca="false">S377-$M$2</f>
        <v>-152.339720823753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39" t="n">
        <f aca="false">(B378+C378)/2</f>
        <v>0.15625</v>
      </c>
      <c r="E378" s="15" t="n">
        <f aca="false">$C$2*(1+IF(E$3&lt;=$O$2,$D378,$D378-($D378-$I$373)*MIN(E$3-$O$2,$Q$2)/$Q$2))</f>
        <v>16554.03125</v>
      </c>
      <c r="F378" s="15" t="n">
        <f aca="false">E378*(1+IF(F$3&lt;=$O$2,$D378,$D378-($D378-$I$373)*MIN(F$3-$O$2,$Q$2)/$Q$2))</f>
        <v>19140.5986328125</v>
      </c>
      <c r="G378" s="15" t="n">
        <f aca="false">F378*(1+IF(G$3&lt;=$O$2,$D378,$D378-($D378-$I$373)*MIN(G$3-$O$2,$Q$2)/$Q$2))</f>
        <v>22131.3171691895</v>
      </c>
      <c r="H378" s="15" t="n">
        <f aca="false">G378*(1+IF(H$3&lt;=$O$2,$D378,$D378-($D378-$I$373)*MIN(H$3-$O$2,$Q$2)/$Q$2))</f>
        <v>25589.3354768753</v>
      </c>
      <c r="I378" s="15" t="n">
        <f aca="false">H378*(1+IF(I$3&lt;=$O$2,$D378,$D378-($D378-$I$373)*MIN(I$3-$O$2,$Q$2)/$Q$2))</f>
        <v>29587.6691451371</v>
      </c>
      <c r="J378" s="15" t="n">
        <f aca="false">I378*(1+IF(J$3&lt;=$O$2,$D378,$D378-($D378-$I$373)*MIN(J$3-$O$2,$Q$2)/$Q$2))</f>
        <v>33453.5939956407</v>
      </c>
      <c r="K378" s="15" t="n">
        <f aca="false">J378*(1+IF(K$3&lt;=$O$2,$D378,$D378-($D378-$I$373)*MIN(K$3-$O$2,$Q$2)/$Q$2))</f>
        <v>36968.5631167627</v>
      </c>
      <c r="L378" s="15" t="n">
        <f aca="false">K378*(1+IF(L$3&lt;=$O$2,$D378,$D378-($D378-$I$373)*MIN(L$3-$O$2,$Q$2)/$Q$2))</f>
        <v>39906.824513283</v>
      </c>
      <c r="M378" s="15" t="n">
        <f aca="false">L378*(1+IF(M$3&lt;=$O$2,$D378,$D378-($D378-$I$373)*MIN(M$3-$O$2,$Q$2)/$Q$2))</f>
        <v>42057.4032863038</v>
      </c>
      <c r="N378" s="15" t="n">
        <f aca="false">M378*(1+IF(N$3&lt;=$O$2,$D378,$D378-($D378-$I$373)*MIN(N$3-$O$2,$Q$2)/$Q$2))</f>
        <v>43247.6277993062</v>
      </c>
      <c r="O378" s="15" t="n">
        <f aca="false">SUMPRODUCT(E378:N378,1/(1+$F$373)^$E$3:$N$3)*$E$2</f>
        <v>58495.0018305552</v>
      </c>
      <c r="P378" s="15" t="n">
        <f aca="false">N378*$E$2*(1+$I$373)/($F$373-$I$373)/(1+$F$373)^$N$3</f>
        <v>88164.9444683662</v>
      </c>
      <c r="Q378" s="15" t="n">
        <f aca="false">O378+P378</f>
        <v>146659.946298921</v>
      </c>
      <c r="R378" s="15" t="n">
        <f aca="false">Q378-$G$2+$I$2</f>
        <v>135039.946298921</v>
      </c>
      <c r="S378" s="40" t="n">
        <f aca="false">R378/$K$2</f>
        <v>458.119707904201</v>
      </c>
      <c r="T378" s="41" t="n">
        <f aca="false">S378-$M$2</f>
        <v>48.1390450144908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39" t="n">
        <f aca="false">(B379+C379)/2</f>
        <v>0.109375</v>
      </c>
      <c r="E379" s="15" t="n">
        <f aca="false">$C$2*(1+IF(E$3&lt;=$O$2,$D379,$D379-($D379-$I$373)*MIN(E$3-$O$2,$Q$2)/$Q$2))</f>
        <v>15882.921875</v>
      </c>
      <c r="F379" s="15" t="n">
        <f aca="false">E379*(1+IF(F$3&lt;=$O$2,$D379,$D379-($D379-$I$373)*MIN(F$3-$O$2,$Q$2)/$Q$2))</f>
        <v>17620.1164550781</v>
      </c>
      <c r="G379" s="15" t="n">
        <f aca="false">F379*(1+IF(G$3&lt;=$O$2,$D379,$D379-($D379-$I$373)*MIN(G$3-$O$2,$Q$2)/$Q$2))</f>
        <v>19547.3166923523</v>
      </c>
      <c r="H379" s="15" t="n">
        <f aca="false">G379*(1+IF(H$3&lt;=$O$2,$D379,$D379-($D379-$I$373)*MIN(H$3-$O$2,$Q$2)/$Q$2))</f>
        <v>21685.3044555783</v>
      </c>
      <c r="I379" s="15" t="n">
        <f aca="false">H379*(1+IF(I$3&lt;=$O$2,$D379,$D379-($D379-$I$373)*MIN(I$3-$O$2,$Q$2)/$Q$2))</f>
        <v>24057.1346304072</v>
      </c>
      <c r="J379" s="15" t="n">
        <f aca="false">I379*(1+IF(J$3&lt;=$O$2,$D379,$D379-($D379-$I$373)*MIN(J$3-$O$2,$Q$2)/$Q$2))</f>
        <v>26298.2972925759</v>
      </c>
      <c r="K379" s="15" t="n">
        <f aca="false">J379*(1+IF(K$3&lt;=$O$2,$D379,$D379-($D379-$I$373)*MIN(K$3-$O$2,$Q$2)/$Q$2))</f>
        <v>28321.8197777532</v>
      </c>
      <c r="L379" s="15" t="n">
        <f aca="false">K379*(1+IF(L$3&lt;=$O$2,$D379,$D379-($D379-$I$373)*MIN(L$3-$O$2,$Q$2)/$Q$2))</f>
        <v>30041.8038928561</v>
      </c>
      <c r="M379" s="15" t="n">
        <f aca="false">L379*(1+IF(M$3&lt;=$O$2,$D379,$D379-($D379-$I$373)*MIN(M$3-$O$2,$Q$2)/$Q$2))</f>
        <v>31379.1147931466</v>
      </c>
      <c r="N379" s="15" t="n">
        <f aca="false">M379*(1+IF(N$3&lt;=$O$2,$D379,$D379-($D379-$I$373)*MIN(N$3-$O$2,$Q$2)/$Q$2))</f>
        <v>32267.1437417927</v>
      </c>
      <c r="O379" s="15" t="n">
        <f aca="false">SUMPRODUCT(E379:N379,1/(1+$F$373)^$E$3:$N$3)*$E$2</f>
        <v>47789.6417261288</v>
      </c>
      <c r="P379" s="15" t="n">
        <f aca="false">N379*$E$2*(1+$I$373)/($F$373-$I$373)/(1+$F$373)^$N$3</f>
        <v>65780.0457715182</v>
      </c>
      <c r="Q379" s="15" t="n">
        <f aca="false">O379+P379</f>
        <v>113569.687497647</v>
      </c>
      <c r="R379" s="15" t="n">
        <f aca="false">Q379-$G$2+$I$2</f>
        <v>101949.687497647</v>
      </c>
      <c r="S379" s="40" t="n">
        <f aca="false">R379/$K$2</f>
        <v>345.861815984147</v>
      </c>
      <c r="T379" s="41" t="n">
        <f aca="false">S379-$M$2</f>
        <v>-64.1188469055634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0.109375</v>
      </c>
      <c r="C380" s="25" t="n">
        <f aca="false">IF(T379&gt;0,D379,C379)</f>
        <v>0.15625</v>
      </c>
      <c r="D380" s="39" t="n">
        <f aca="false">(B380+C380)/2</f>
        <v>0.1328125</v>
      </c>
      <c r="E380" s="15" t="n">
        <f aca="false">$C$2*(1+IF(E$3&lt;=$O$2,$D380,$D380-($D380-$I$373)*MIN(E$3-$O$2,$Q$2)/$Q$2))</f>
        <v>16218.4765625</v>
      </c>
      <c r="F380" s="15" t="n">
        <f aca="false">E380*(1+IF(F$3&lt;=$O$2,$D380,$D380-($D380-$I$373)*MIN(F$3-$O$2,$Q$2)/$Q$2))</f>
        <v>18372.492980957</v>
      </c>
      <c r="G380" s="15" t="n">
        <f aca="false">F380*(1+IF(G$3&lt;=$O$2,$D380,$D380-($D380-$I$373)*MIN(G$3-$O$2,$Q$2)/$Q$2))</f>
        <v>20812.5897049904</v>
      </c>
      <c r="H380" s="15" t="n">
        <f aca="false">G380*(1+IF(H$3&lt;=$O$2,$D380,$D380-($D380-$I$373)*MIN(H$3-$O$2,$Q$2)/$Q$2))</f>
        <v>23576.7617751844</v>
      </c>
      <c r="I380" s="15" t="n">
        <f aca="false">H380*(1+IF(I$3&lt;=$O$2,$D380,$D380-($D380-$I$373)*MIN(I$3-$O$2,$Q$2)/$Q$2))</f>
        <v>26708.0504484511</v>
      </c>
      <c r="J380" s="15" t="n">
        <f aca="false">I380*(1+IF(J$3&lt;=$O$2,$D380,$D380-($D380-$I$373)*MIN(J$3-$O$2,$Q$2)/$Q$2))</f>
        <v>29696.9483741373</v>
      </c>
      <c r="K380" s="15" t="n">
        <f aca="false">J380*(1+IF(K$3&lt;=$O$2,$D380,$D380-($D380-$I$373)*MIN(K$3-$O$2,$Q$2)/$Q$2))</f>
        <v>32399.5934032966</v>
      </c>
      <c r="L380" s="15" t="n">
        <f aca="false">K380*(1+IF(L$3&lt;=$O$2,$D380,$D380-($D380-$I$373)*MIN(L$3-$O$2,$Q$2)/$Q$2))</f>
        <v>34670.9668988347</v>
      </c>
      <c r="M380" s="15" t="n">
        <f aca="false">L380*(1+IF(M$3&lt;=$O$2,$D380,$D380-($D380-$I$373)*MIN(M$3-$O$2,$Q$2)/$Q$2))</f>
        <v>36376.8651476746</v>
      </c>
      <c r="N380" s="15" t="n">
        <f aca="false">M380*(1+IF(N$3&lt;=$O$2,$D380,$D380-($D380-$I$373)*MIN(N$3-$O$2,$Q$2)/$Q$2))</f>
        <v>37406.3304313538</v>
      </c>
      <c r="O380" s="15" t="n">
        <f aca="false">SUMPRODUCT(E380:N380,1/(1+$F$373)^$E$3:$N$3)*$E$2</f>
        <v>52875.7761758018</v>
      </c>
      <c r="P380" s="15" t="n">
        <f aca="false">N380*$E$2*(1+$I$373)/($F$373-$I$373)/(1+$F$373)^$N$3</f>
        <v>76256.8310231937</v>
      </c>
      <c r="Q380" s="15" t="n">
        <f aca="false">O380+P380</f>
        <v>129132.607198996</v>
      </c>
      <c r="R380" s="15" t="n">
        <f aca="false">Q380-$G$2+$I$2</f>
        <v>117512.607198996</v>
      </c>
      <c r="S380" s="40" t="n">
        <f aca="false">R380/$K$2</f>
        <v>398.658639613921</v>
      </c>
      <c r="T380" s="41" t="n">
        <f aca="false">S380-$M$2</f>
        <v>-11.3220232757895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0.1328125</v>
      </c>
      <c r="C381" s="25" t="n">
        <f aca="false">IF(T380&gt;0,D380,C380)</f>
        <v>0.15625</v>
      </c>
      <c r="D381" s="39" t="n">
        <f aca="false">(B381+C381)/2</f>
        <v>0.14453125</v>
      </c>
      <c r="E381" s="15" t="n">
        <f aca="false">$C$2*(1+IF(E$3&lt;=$O$2,$D381,$D381-($D381-$I$373)*MIN(E$3-$O$2,$Q$2)/$Q$2))</f>
        <v>16386.25390625</v>
      </c>
      <c r="F381" s="15" t="n">
        <f aca="false">E381*(1+IF(F$3&lt;=$O$2,$D381,$D381-($D381-$I$373)*MIN(F$3-$O$2,$Q$2)/$Q$2))</f>
        <v>18754.5796661377</v>
      </c>
      <c r="G381" s="15" t="n">
        <f aca="false">F381*(1+IF(G$3&lt;=$O$2,$D381,$D381-($D381-$I$373)*MIN(G$3-$O$2,$Q$2)/$Q$2))</f>
        <v>21465.2025085092</v>
      </c>
      <c r="H381" s="15" t="n">
        <f aca="false">G381*(1+IF(H$3&lt;=$O$2,$D381,$D381-($D381-$I$373)*MIN(H$3-$O$2,$Q$2)/$Q$2))</f>
        <v>24567.5950585671</v>
      </c>
      <c r="I381" s="15" t="n">
        <f aca="false">H381*(1+IF(I$3&lt;=$O$2,$D381,$D381-($D381-$I$373)*MIN(I$3-$O$2,$Q$2)/$Q$2))</f>
        <v>28118.3802818757</v>
      </c>
      <c r="J381" s="15" t="n">
        <f aca="false">I381*(1+IF(J$3&lt;=$O$2,$D381,$D381-($D381-$I$373)*MIN(J$3-$O$2,$Q$2)/$Q$2))</f>
        <v>31528.7180343629</v>
      </c>
      <c r="K381" s="15" t="n">
        <f aca="false">J381*(1+IF(K$3&lt;=$O$2,$D381,$D381-($D381-$I$373)*MIN(K$3-$O$2,$Q$2)/$Q$2))</f>
        <v>34619.7541395543</v>
      </c>
      <c r="L381" s="15" t="n">
        <f aca="false">K381*(1+IF(L$3&lt;=$O$2,$D381,$D381-($D381-$I$373)*MIN(L$3-$O$2,$Q$2)/$Q$2))</f>
        <v>37209.052101037</v>
      </c>
      <c r="M381" s="15" t="n">
        <f aca="false">L381*(1+IF(M$3&lt;=$O$2,$D381,$D381-($D381-$I$373)*MIN(M$3-$O$2,$Q$2)/$Q$2))</f>
        <v>39127.0392029</v>
      </c>
      <c r="N381" s="15" t="n">
        <f aca="false">M381*(1+IF(N$3&lt;=$O$2,$D381,$D381-($D381-$I$373)*MIN(N$3-$O$2,$Q$2)/$Q$2))</f>
        <v>40234.3344123421</v>
      </c>
      <c r="O381" s="15" t="n">
        <f aca="false">SUMPRODUCT(E381:N381,1/(1+$F$373)^$E$3:$N$3)*$E$2</f>
        <v>55615.6651615303</v>
      </c>
      <c r="P381" s="15" t="n">
        <f aca="false">N381*$E$2*(1+$I$373)/($F$373-$I$373)/(1+$F$373)^$N$3</f>
        <v>82022.0215464102</v>
      </c>
      <c r="Q381" s="15" t="n">
        <f aca="false">O381+P381</f>
        <v>137637.686707941</v>
      </c>
      <c r="R381" s="15" t="n">
        <f aca="false">Q381-$G$2+$I$2</f>
        <v>126017.686707941</v>
      </c>
      <c r="S381" s="40" t="n">
        <f aca="false">R381/$K$2</f>
        <v>427.511913383114</v>
      </c>
      <c r="T381" s="41" t="n">
        <f aca="false">S381-$M$2</f>
        <v>17.5312504934035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0.1328125</v>
      </c>
      <c r="C382" s="25" t="n">
        <f aca="false">IF(T381&gt;0,D381,C381)</f>
        <v>0.14453125</v>
      </c>
      <c r="D382" s="39" t="n">
        <f aca="false">(B382+C382)/2</f>
        <v>0.138671875</v>
      </c>
      <c r="E382" s="15" t="n">
        <f aca="false">$C$2*(1+IF(E$3&lt;=$O$2,$D382,$D382-($D382-$I$373)*MIN(E$3-$O$2,$Q$2)/$Q$2))</f>
        <v>16302.365234375</v>
      </c>
      <c r="F382" s="15" t="n">
        <f aca="false">E382*(1+IF(F$3&lt;=$O$2,$D382,$D382-($D382-$I$373)*MIN(F$3-$O$2,$Q$2)/$Q$2))</f>
        <v>18563.0447883606</v>
      </c>
      <c r="G382" s="15" t="n">
        <f aca="false">F382*(1+IF(G$3&lt;=$O$2,$D382,$D382-($D382-$I$373)*MIN(G$3-$O$2,$Q$2)/$Q$2))</f>
        <v>21137.2170148715</v>
      </c>
      <c r="H382" s="15" t="n">
        <f aca="false">G382*(1+IF(H$3&lt;=$O$2,$D382,$D382-($D382-$I$373)*MIN(H$3-$O$2,$Q$2)/$Q$2))</f>
        <v>24068.3545306057</v>
      </c>
      <c r="I382" s="15" t="n">
        <f aca="false">H382*(1+IF(I$3&lt;=$O$2,$D382,$D382-($D382-$I$373)*MIN(I$3-$O$2,$Q$2)/$Q$2))</f>
        <v>27405.9583815295</v>
      </c>
      <c r="J382" s="15" t="n">
        <f aca="false">I382*(1+IF(J$3&lt;=$O$2,$D382,$D382-($D382-$I$373)*MIN(J$3-$O$2,$Q$2)/$Q$2))</f>
        <v>30601.4246139199</v>
      </c>
      <c r="K382" s="15" t="n">
        <f aca="false">J382*(1+IF(K$3&lt;=$O$2,$D382,$D382-($D382-$I$373)*MIN(K$3-$O$2,$Q$2)/$Q$2))</f>
        <v>33493.9668978795</v>
      </c>
      <c r="L382" s="15" t="n">
        <f aca="false">K382*(1+IF(L$3&lt;=$O$2,$D382,$D382-($D382-$I$373)*MIN(L$3-$O$2,$Q$2)/$Q$2))</f>
        <v>35920.5629321723</v>
      </c>
      <c r="M382" s="15" t="n">
        <f aca="false">L382*(1+IF(M$3&lt;=$O$2,$D382,$D382-($D382-$I$373)*MIN(M$3-$O$2,$Q$2)/$Q$2))</f>
        <v>37730.0388395286</v>
      </c>
      <c r="N382" s="15" t="n">
        <f aca="false">M382*(1+IF(N$3&lt;=$O$2,$D382,$D382-($D382-$I$373)*MIN(N$3-$O$2,$Q$2)/$Q$2))</f>
        <v>38797.7989386873</v>
      </c>
      <c r="O382" s="15" t="n">
        <f aca="false">SUMPRODUCT(E382:N382,1/(1+$F$373)^$E$3:$N$3)*$E$2</f>
        <v>54228.6852093305</v>
      </c>
      <c r="P382" s="15" t="n">
        <f aca="false">N382*$E$2*(1+$I$373)/($F$373-$I$373)/(1+$F$373)^$N$3</f>
        <v>79093.4893538619</v>
      </c>
      <c r="Q382" s="15" t="n">
        <f aca="false">O382+P382</f>
        <v>133322.174563192</v>
      </c>
      <c r="R382" s="15" t="n">
        <f aca="false">Q382-$G$2+$I$2</f>
        <v>121702.174563192</v>
      </c>
      <c r="S382" s="40" t="n">
        <f aca="false">R382/$K$2</f>
        <v>412.871644208001</v>
      </c>
      <c r="T382" s="41" t="n">
        <f aca="false">S382-$M$2</f>
        <v>2.8909813182903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0.1328125</v>
      </c>
      <c r="C383" s="25" t="n">
        <f aca="false">IF(T382&gt;0,D382,C382)</f>
        <v>0.138671875</v>
      </c>
      <c r="D383" s="39" t="n">
        <f aca="false">(B383+C383)/2</f>
        <v>0.1357421875</v>
      </c>
      <c r="E383" s="15" t="n">
        <f aca="false">$C$2*(1+IF(E$3&lt;=$O$2,$D383,$D383-($D383-$I$373)*MIN(E$3-$O$2,$Q$2)/$Q$2))</f>
        <v>16260.4208984375</v>
      </c>
      <c r="F383" s="15" t="n">
        <f aca="false">E383*(1+IF(F$3&lt;=$O$2,$D383,$D383-($D383-$I$373)*MIN(F$3-$O$2,$Q$2)/$Q$2))</f>
        <v>18467.6460008621</v>
      </c>
      <c r="G383" s="15" t="n">
        <f aca="false">F383*(1+IF(G$3&lt;=$O$2,$D383,$D383-($D383-$I$373)*MIN(G$3-$O$2,$Q$2)/$Q$2))</f>
        <v>20974.4846669948</v>
      </c>
      <c r="H383" s="15" t="n">
        <f aca="false">G383*(1+IF(H$3&lt;=$O$2,$D383,$D383-($D383-$I$373)*MIN(H$3-$O$2,$Q$2)/$Q$2))</f>
        <v>23821.6070973779</v>
      </c>
      <c r="I383" s="15" t="n">
        <f aca="false">H383*(1+IF(I$3&lt;=$O$2,$D383,$D383-($D383-$I$373)*MIN(I$3-$O$2,$Q$2)/$Q$2))</f>
        <v>27055.2041545414</v>
      </c>
      <c r="J383" s="15" t="n">
        <f aca="false">I383*(1+IF(J$3&lt;=$O$2,$D383,$D383-($D383-$I$373)*MIN(J$3-$O$2,$Q$2)/$Q$2))</f>
        <v>30146.3626862134</v>
      </c>
      <c r="K383" s="15" t="n">
        <f aca="false">J383*(1+IF(K$3&lt;=$O$2,$D383,$D383-($D383-$I$373)*MIN(K$3-$O$2,$Q$2)/$Q$2))</f>
        <v>32942.8994415383</v>
      </c>
      <c r="L383" s="15" t="n">
        <f aca="false">K383*(1+IF(L$3&lt;=$O$2,$D383,$D383-($D383-$I$373)*MIN(L$3-$O$2,$Q$2)/$Q$2))</f>
        <v>35290.9663671704</v>
      </c>
      <c r="M383" s="15" t="n">
        <f aca="false">L383*(1+IF(M$3&lt;=$O$2,$D383,$D383-($D383-$I$373)*MIN(M$3-$O$2,$Q$2)/$Q$2))</f>
        <v>37048.0484404569</v>
      </c>
      <c r="N383" s="15" t="n">
        <f aca="false">M383*(1+IF(N$3&lt;=$O$2,$D383,$D383-($D383-$I$373)*MIN(N$3-$O$2,$Q$2)/$Q$2))</f>
        <v>38096.5082113218</v>
      </c>
      <c r="O383" s="15" t="n">
        <f aca="false">SUMPRODUCT(E383:N383,1/(1+$F$373)^$E$3:$N$3)*$E$2</f>
        <v>53548.0204156136</v>
      </c>
      <c r="P383" s="15" t="n">
        <f aca="false">N383*$E$2*(1+$I$373)/($F$373-$I$373)/(1+$F$373)^$N$3</f>
        <v>77663.8327187909</v>
      </c>
      <c r="Q383" s="15" t="n">
        <f aca="false">O383+P383</f>
        <v>131211.853134405</v>
      </c>
      <c r="R383" s="15" t="n">
        <f aca="false">Q383-$G$2+$I$2</f>
        <v>119591.853134405</v>
      </c>
      <c r="S383" s="40" t="n">
        <f aca="false">R383/$K$2</f>
        <v>405.712430486157</v>
      </c>
      <c r="T383" s="41" t="n">
        <f aca="false">S383-$M$2</f>
        <v>-4.2682324035535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0.1357421875</v>
      </c>
      <c r="C384" s="25" t="n">
        <f aca="false">IF(T383&gt;0,D383,C383)</f>
        <v>0.138671875</v>
      </c>
      <c r="D384" s="39" t="n">
        <f aca="false">(B384+C384)/2</f>
        <v>0.13720703125</v>
      </c>
      <c r="E384" s="15" t="n">
        <f aca="false">$C$2*(1+IF(E$3&lt;=$O$2,$D384,$D384-($D384-$I$373)*MIN(E$3-$O$2,$Q$2)/$Q$2))</f>
        <v>16281.3930664063</v>
      </c>
      <c r="F384" s="15" t="n">
        <f aca="false">E384*(1+IF(F$3&lt;=$O$2,$D384,$D384-($D384-$I$373)*MIN(F$3-$O$2,$Q$2)/$Q$2))</f>
        <v>18515.3146736622</v>
      </c>
      <c r="G384" s="15" t="n">
        <f aca="false">F384*(1+IF(G$3&lt;=$O$2,$D384,$D384-($D384-$I$373)*MIN(G$3-$O$2,$Q$2)/$Q$2))</f>
        <v>21055.7460326949</v>
      </c>
      <c r="H384" s="15" t="n">
        <f aca="false">G384*(1+IF(H$3&lt;=$O$2,$D384,$D384-($D384-$I$373)*MIN(H$3-$O$2,$Q$2)/$Q$2))</f>
        <v>23944.742436595</v>
      </c>
      <c r="I384" s="15" t="n">
        <f aca="false">H384*(1+IF(I$3&lt;=$O$2,$D384,$D384-($D384-$I$373)*MIN(I$3-$O$2,$Q$2)/$Q$2))</f>
        <v>27230.1294603661</v>
      </c>
      <c r="J384" s="15" t="n">
        <f aca="false">I384*(1+IF(J$3&lt;=$O$2,$D384,$D384-($D384-$I$373)*MIN(J$3-$O$2,$Q$2)/$Q$2))</f>
        <v>30373.1841721597</v>
      </c>
      <c r="K384" s="15" t="n">
        <f aca="false">J384*(1+IF(K$3&lt;=$O$2,$D384,$D384-($D384-$I$373)*MIN(K$3-$O$2,$Q$2)/$Q$2))</f>
        <v>33217.4572749115</v>
      </c>
      <c r="L384" s="15" t="n">
        <f aca="false">K384*(1+IF(L$3&lt;=$O$2,$D384,$D384-($D384-$I$373)*MIN(L$3-$O$2,$Q$2)/$Q$2))</f>
        <v>35604.5571787852</v>
      </c>
      <c r="M384" s="15" t="n">
        <f aca="false">L384*(1+IF(M$3&lt;=$O$2,$D384,$D384-($D384-$I$373)*MIN(M$3-$O$2,$Q$2)/$Q$2))</f>
        <v>37387.6834712073</v>
      </c>
      <c r="N384" s="15" t="n">
        <f aca="false">M384*(1+IF(N$3&lt;=$O$2,$D384,$D384-($D384-$I$373)*MIN(N$3-$O$2,$Q$2)/$Q$2))</f>
        <v>38445.7549134425</v>
      </c>
      <c r="O384" s="15" t="n">
        <f aca="false">SUMPRODUCT(E384:N384,1/(1+$F$373)^$E$3:$N$3)*$E$2</f>
        <v>53887.2942072838</v>
      </c>
      <c r="P384" s="15" t="n">
        <f aca="false">N384*$E$2*(1+$I$373)/($F$373-$I$373)/(1+$F$373)^$N$3</f>
        <v>78375.8097141794</v>
      </c>
      <c r="Q384" s="15" t="n">
        <f aca="false">O384+P384</f>
        <v>132263.103921463</v>
      </c>
      <c r="R384" s="15" t="n">
        <f aca="false">Q384-$G$2+$I$2</f>
        <v>120643.103921463</v>
      </c>
      <c r="S384" s="40" t="n">
        <f aca="false">R384/$K$2</f>
        <v>409.278773014429</v>
      </c>
      <c r="T384" s="41" t="n">
        <f aca="false">S384-$M$2</f>
        <v>-0.701889875281779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0.13720703125</v>
      </c>
      <c r="C385" s="25" t="n">
        <f aca="false">IF(T384&gt;0,D384,C384)</f>
        <v>0.138671875</v>
      </c>
      <c r="D385" s="39" t="n">
        <f aca="false">(B385+C385)/2</f>
        <v>0.137939453125</v>
      </c>
      <c r="E385" s="15" t="n">
        <f aca="false">$C$2*(1+IF(E$3&lt;=$O$2,$D385,$D385-($D385-$I$373)*MIN(E$3-$O$2,$Q$2)/$Q$2))</f>
        <v>16291.8791503906</v>
      </c>
      <c r="F385" s="15" t="n">
        <f aca="false">E385*(1+IF(F$3&lt;=$O$2,$D385,$D385-($D385-$I$373)*MIN(F$3-$O$2,$Q$2)/$Q$2))</f>
        <v>18539.1720507741</v>
      </c>
      <c r="G385" s="15" t="n">
        <f aca="false">F385*(1+IF(G$3&lt;=$O$2,$D385,$D385-($D385-$I$373)*MIN(G$3-$O$2,$Q$2)/$Q$2))</f>
        <v>21096.4553048482</v>
      </c>
      <c r="H385" s="15" t="n">
        <f aca="false">G385*(1+IF(H$3&lt;=$O$2,$D385,$D385-($D385-$I$373)*MIN(H$3-$O$2,$Q$2)/$Q$2))</f>
        <v>24006.4888124749</v>
      </c>
      <c r="I385" s="15" t="n">
        <f aca="false">H385*(1+IF(I$3&lt;=$O$2,$D385,$D385-($D385-$I$373)*MIN(I$3-$O$2,$Q$2)/$Q$2))</f>
        <v>27317.9307507191</v>
      </c>
      <c r="J385" s="15" t="n">
        <f aca="false">I385*(1+IF(J$3&lt;=$O$2,$D385,$D385-($D385-$I$373)*MIN(J$3-$O$2,$Q$2)/$Q$2))</f>
        <v>30487.1265813769</v>
      </c>
      <c r="K385" s="15" t="n">
        <f aca="false">J385*(1+IF(K$3&lt;=$O$2,$D385,$D385-($D385-$I$373)*MIN(K$3-$O$2,$Q$2)/$Q$2))</f>
        <v>33355.4673950707</v>
      </c>
      <c r="L385" s="15" t="n">
        <f aca="false">K385*(1+IF(L$3&lt;=$O$2,$D385,$D385-($D385-$I$373)*MIN(L$3-$O$2,$Q$2)/$Q$2))</f>
        <v>35762.257203921</v>
      </c>
      <c r="M385" s="15" t="n">
        <f aca="false">L385*(1+IF(M$3&lt;=$O$2,$D385,$D385-($D385-$I$373)*MIN(M$3-$O$2,$Q$2)/$Q$2))</f>
        <v>37558.5199472626</v>
      </c>
      <c r="N385" s="15" t="n">
        <f aca="false">M385*(1+IF(N$3&lt;=$O$2,$D385,$D385-($D385-$I$373)*MIN(N$3-$O$2,$Q$2)/$Q$2))</f>
        <v>38621.4260617701</v>
      </c>
      <c r="O385" s="15" t="n">
        <f aca="false">SUMPRODUCT(E385:N385,1/(1+$F$373)^$E$3:$N$3)*$E$2</f>
        <v>54057.724299244</v>
      </c>
      <c r="P385" s="15" t="n">
        <f aca="false">N385*$E$2*(1+$I$373)/($F$373-$I$373)/(1+$F$373)^$N$3</f>
        <v>78733.9342593886</v>
      </c>
      <c r="Q385" s="15" t="n">
        <f aca="false">O385+P385</f>
        <v>132791.658558633</v>
      </c>
      <c r="R385" s="15" t="n">
        <f aca="false">Q385-$G$2+$I$2</f>
        <v>121171.658558633</v>
      </c>
      <c r="S385" s="40" t="n">
        <f aca="false">R385/$K$2</f>
        <v>411.071881665816</v>
      </c>
      <c r="T385" s="41" t="n">
        <f aca="false">S385-$M$2</f>
        <v>1.09121877610562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0.13720703125</v>
      </c>
      <c r="C386" s="25" t="n">
        <f aca="false">IF(T385&gt;0,D385,C385)</f>
        <v>0.137939453125</v>
      </c>
      <c r="D386" s="39" t="n">
        <f aca="false">(B386+C386)/2</f>
        <v>0.1375732421875</v>
      </c>
      <c r="E386" s="15" t="n">
        <f aca="false">$C$2*(1+IF(E$3&lt;=$O$2,$D386,$D386-($D386-$I$373)*MIN(E$3-$O$2,$Q$2)/$Q$2))</f>
        <v>16286.6361083984</v>
      </c>
      <c r="F386" s="15" t="n">
        <f aca="false">E386*(1+IF(F$3&lt;=$O$2,$D386,$D386-($D386-$I$373)*MIN(F$3-$O$2,$Q$2)/$Q$2))</f>
        <v>18527.2414421588</v>
      </c>
      <c r="G386" s="15" t="n">
        <f aca="false">F386*(1+IF(G$3&lt;=$O$2,$D386,$D386-($D386-$I$373)*MIN(G$3-$O$2,$Q$2)/$Q$2))</f>
        <v>21076.0941161472</v>
      </c>
      <c r="H386" s="15" t="n">
        <f aca="false">G386*(1+IF(H$3&lt;=$O$2,$D386,$D386-($D386-$I$373)*MIN(H$3-$O$2,$Q$2)/$Q$2))</f>
        <v>23975.6007163545</v>
      </c>
      <c r="I386" s="15" t="n">
        <f aca="false">H386*(1+IF(I$3&lt;=$O$2,$D386,$D386-($D386-$I$373)*MIN(I$3-$O$2,$Q$2)/$Q$2))</f>
        <v>27274.0018402963</v>
      </c>
      <c r="J386" s="15" t="n">
        <f aca="false">I386*(1+IF(J$3&lt;=$O$2,$D386,$D386-($D386-$I$373)*MIN(J$3-$O$2,$Q$2)/$Q$2))</f>
        <v>30430.1109791903</v>
      </c>
      <c r="K386" s="15" t="n">
        <f aca="false">J386*(1+IF(K$3&lt;=$O$2,$D386,$D386-($D386-$I$373)*MIN(K$3-$O$2,$Q$2)/$Q$2))</f>
        <v>33286.4012519944</v>
      </c>
      <c r="L386" s="15" t="n">
        <f aca="false">K386*(1+IF(L$3&lt;=$O$2,$D386,$D386-($D386-$I$373)*MIN(L$3-$O$2,$Q$2)/$Q$2))</f>
        <v>35683.3316016496</v>
      </c>
      <c r="M386" s="15" t="n">
        <f aca="false">L386*(1+IF(M$3&lt;=$O$2,$D386,$D386-($D386-$I$373)*MIN(M$3-$O$2,$Q$2)/$Q$2))</f>
        <v>37473.0165532091</v>
      </c>
      <c r="N386" s="15" t="n">
        <f aca="false">M386*(1+IF(N$3&lt;=$O$2,$D386,$D386-($D386-$I$373)*MIN(N$3-$O$2,$Q$2)/$Q$2))</f>
        <v>38533.5029216649</v>
      </c>
      <c r="O386" s="15" t="n">
        <f aca="false">SUMPRODUCT(E386:N386,1/(1+$F$373)^$E$3:$N$3)*$E$2</f>
        <v>53972.4429958653</v>
      </c>
      <c r="P386" s="15" t="n">
        <f aca="false">N386*$E$2*(1+$I$373)/($F$373-$I$373)/(1+$F$373)^$N$3</f>
        <v>78554.6934741867</v>
      </c>
      <c r="Q386" s="15" t="n">
        <f aca="false">O386+P386</f>
        <v>132527.136470052</v>
      </c>
      <c r="R386" s="15" t="n">
        <f aca="false">Q386-$G$2+$I$2</f>
        <v>120907.136470052</v>
      </c>
      <c r="S386" s="40" t="n">
        <f aca="false">R386/$K$2</f>
        <v>410.174496963911</v>
      </c>
      <c r="T386" s="41" t="n">
        <f aca="false">S386-$M$2</f>
        <v>0.193834074200538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0.13720703125</v>
      </c>
      <c r="C387" s="25" t="n">
        <f aca="false">IF(T386&gt;0,D386,C386)</f>
        <v>0.1375732421875</v>
      </c>
      <c r="D387" s="39" t="n">
        <f aca="false">(B387+C387)/2</f>
        <v>0.13739013671875</v>
      </c>
      <c r="E387" s="15" t="n">
        <f aca="false">$C$2*(1+IF(E$3&lt;=$O$2,$D387,$D387-($D387-$I$373)*MIN(E$3-$O$2,$Q$2)/$Q$2))</f>
        <v>16284.0145874023</v>
      </c>
      <c r="F387" s="15" t="n">
        <f aca="false">E387*(1+IF(F$3&lt;=$O$2,$D387,$D387-($D387-$I$373)*MIN(F$3-$O$2,$Q$2)/$Q$2))</f>
        <v>18521.2775778957</v>
      </c>
      <c r="G387" s="15" t="n">
        <f aca="false">F387*(1+IF(G$3&lt;=$O$2,$D387,$D387-($D387-$I$373)*MIN(G$3-$O$2,$Q$2)/$Q$2))</f>
        <v>21065.9184365287</v>
      </c>
      <c r="H387" s="15" t="n">
        <f aca="false">G387*(1+IF(H$3&lt;=$O$2,$D387,$D387-($D387-$I$373)*MIN(H$3-$O$2,$Q$2)/$Q$2))</f>
        <v>23960.1678506294</v>
      </c>
      <c r="I387" s="15" t="n">
        <f aca="false">H387*(1+IF(I$3&lt;=$O$2,$D387,$D387-($D387-$I$373)*MIN(I$3-$O$2,$Q$2)/$Q$2))</f>
        <v>27252.0585874316</v>
      </c>
      <c r="J387" s="15" t="n">
        <f aca="false">I387*(1+IF(J$3&lt;=$O$2,$D387,$D387-($D387-$I$373)*MIN(J$3-$O$2,$Q$2)/$Q$2))</f>
        <v>30401.6364831921</v>
      </c>
      <c r="K387" s="15" t="n">
        <f aca="false">J387*(1+IF(K$3&lt;=$O$2,$D387,$D387-($D387-$I$373)*MIN(K$3-$O$2,$Q$2)/$Q$2))</f>
        <v>33251.9140039215</v>
      </c>
      <c r="L387" s="15" t="n">
        <f aca="false">K387*(1+IF(L$3&lt;=$O$2,$D387,$D387-($D387-$I$373)*MIN(L$3-$O$2,$Q$2)/$Q$2))</f>
        <v>35643.9255081717</v>
      </c>
      <c r="M387" s="15" t="n">
        <f aca="false">L387*(1+IF(M$3&lt;=$O$2,$D387,$D387-($D387-$I$373)*MIN(M$3-$O$2,$Q$2)/$Q$2))</f>
        <v>37430.3287414288</v>
      </c>
      <c r="N387" s="15" t="n">
        <f aca="false">M387*(1+IF(N$3&lt;=$O$2,$D387,$D387-($D387-$I$373)*MIN(N$3-$O$2,$Q$2)/$Q$2))</f>
        <v>38489.6070448113</v>
      </c>
      <c r="O387" s="15" t="n">
        <f aca="false">SUMPRODUCT(E387:N387,1/(1+$F$373)^$E$3:$N$3)*$E$2</f>
        <v>53929.8520490705</v>
      </c>
      <c r="P387" s="15" t="n">
        <f aca="false">N387*$E$2*(1+$I$373)/($F$373-$I$373)/(1+$F$373)^$N$3</f>
        <v>78465.2070042433</v>
      </c>
      <c r="Q387" s="15" t="n">
        <f aca="false">O387+P387</f>
        <v>132395.059053314</v>
      </c>
      <c r="R387" s="15" t="n">
        <f aca="false">Q387-$G$2+$I$2</f>
        <v>120775.059053314</v>
      </c>
      <c r="S387" s="40" t="n">
        <f aca="false">R387/$K$2</f>
        <v>409.726427564928</v>
      </c>
      <c r="T387" s="41" t="n">
        <f aca="false">S387-$M$2</f>
        <v>-0.254235324782826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0.13739013671875</v>
      </c>
      <c r="C388" s="25" t="n">
        <f aca="false">IF(T387&gt;0,D387,C387)</f>
        <v>0.1375732421875</v>
      </c>
      <c r="D388" s="39" t="n">
        <f aca="false">(B388+C388)/2</f>
        <v>0.137481689453125</v>
      </c>
      <c r="E388" s="15" t="n">
        <f aca="false">$C$2*(1+IF(E$3&lt;=$O$2,$D388,$D388-($D388-$I$373)*MIN(E$3-$O$2,$Q$2)/$Q$2))</f>
        <v>16285.3253479004</v>
      </c>
      <c r="F388" s="15" t="n">
        <f aca="false">E388*(1+IF(F$3&lt;=$O$2,$D388,$D388-($D388-$I$373)*MIN(F$3-$O$2,$Q$2)/$Q$2))</f>
        <v>18524.2593900235</v>
      </c>
      <c r="G388" s="15" t="n">
        <f aca="false">F388*(1+IF(G$3&lt;=$O$2,$D388,$D388-($D388-$I$373)*MIN(G$3-$O$2,$Q$2)/$Q$2))</f>
        <v>21071.0058668319</v>
      </c>
      <c r="H388" s="15" t="n">
        <f aca="false">G388*(1+IF(H$3&lt;=$O$2,$D388,$D388-($D388-$I$373)*MIN(H$3-$O$2,$Q$2)/$Q$2))</f>
        <v>23967.8833518806</v>
      </c>
      <c r="I388" s="15" t="n">
        <f aca="false">H388*(1+IF(I$3&lt;=$O$2,$D388,$D388-($D388-$I$373)*MIN(I$3-$O$2,$Q$2)/$Q$2))</f>
        <v>27263.0284477126</v>
      </c>
      <c r="J388" s="15" t="n">
        <f aca="false">I388*(1+IF(J$3&lt;=$O$2,$D388,$D388-($D388-$I$373)*MIN(J$3-$O$2,$Q$2)/$Q$2))</f>
        <v>30415.8709572068</v>
      </c>
      <c r="K388" s="15" t="n">
        <f aca="false">J388*(1+IF(K$3&lt;=$O$2,$D388,$D388-($D388-$I$373)*MIN(K$3-$O$2,$Q$2)/$Q$2))</f>
        <v>33269.1538116734</v>
      </c>
      <c r="L388" s="15" t="n">
        <f aca="false">K388*(1+IF(L$3&lt;=$O$2,$D388,$D388-($D388-$I$373)*MIN(L$3-$O$2,$Q$2)/$Q$2))</f>
        <v>35663.6238324775</v>
      </c>
      <c r="M388" s="15" t="n">
        <f aca="false">L388*(1+IF(M$3&lt;=$O$2,$D388,$D388-($D388-$I$373)*MIN(M$3-$O$2,$Q$2)/$Q$2))</f>
        <v>37451.6673273467</v>
      </c>
      <c r="N388" s="15" t="n">
        <f aca="false">M388*(1+IF(N$3&lt;=$O$2,$D388,$D388-($D388-$I$373)*MIN(N$3-$O$2,$Q$2)/$Q$2))</f>
        <v>38511.5495127106</v>
      </c>
      <c r="O388" s="15" t="n">
        <f aca="false">SUMPRODUCT(E388:N388,1/(1+$F$373)^$E$3:$N$3)*$E$2</f>
        <v>53951.1433828618</v>
      </c>
      <c r="P388" s="15" t="n">
        <f aca="false">N388*$E$2*(1+$I$373)/($F$373-$I$373)/(1+$F$373)^$N$3</f>
        <v>78509.939086956</v>
      </c>
      <c r="Q388" s="15" t="n">
        <f aca="false">O388+P388</f>
        <v>132461.082469818</v>
      </c>
      <c r="R388" s="15" t="n">
        <f aca="false">Q388-$G$2+$I$2</f>
        <v>120841.082469818</v>
      </c>
      <c r="S388" s="40" t="n">
        <f aca="false">R388/$K$2</f>
        <v>409.950410387142</v>
      </c>
      <c r="T388" s="41" t="n">
        <f aca="false">S388-$M$2</f>
        <v>-0.0302525025687714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0.137481689453125</v>
      </c>
      <c r="C389" s="25" t="n">
        <f aca="false">IF(T388&gt;0,D388,C388)</f>
        <v>0.1375732421875</v>
      </c>
      <c r="D389" s="39" t="n">
        <f aca="false">(B389+C389)/2</f>
        <v>0.137527465820313</v>
      </c>
      <c r="E389" s="15" t="n">
        <f aca="false">$C$2*(1+IF(E$3&lt;=$O$2,$D389,$D389-($D389-$I$373)*MIN(E$3-$O$2,$Q$2)/$Q$2))</f>
        <v>16285.9807281494</v>
      </c>
      <c r="F389" s="15" t="n">
        <f aca="false">E389*(1+IF(F$3&lt;=$O$2,$D389,$D389-($D389-$I$373)*MIN(F$3-$O$2,$Q$2)/$Q$2))</f>
        <v>18525.7503860903</v>
      </c>
      <c r="G389" s="15" t="n">
        <f aca="false">F389*(1+IF(G$3&lt;=$O$2,$D389,$D389-($D389-$I$373)*MIN(G$3-$O$2,$Q$2)/$Q$2))</f>
        <v>21073.5498891089</v>
      </c>
      <c r="H389" s="15" t="n">
        <f aca="false">G389*(1+IF(H$3&lt;=$O$2,$D389,$D389-($D389-$I$373)*MIN(H$3-$O$2,$Q$2)/$Q$2))</f>
        <v>23971.741801196</v>
      </c>
      <c r="I389" s="15" t="n">
        <f aca="false">H389*(1+IF(I$3&lt;=$O$2,$D389,$D389-($D389-$I$373)*MIN(I$3-$O$2,$Q$2)/$Q$2))</f>
        <v>27268.5147024133</v>
      </c>
      <c r="J389" s="15" t="n">
        <f aca="false">I389*(1+IF(J$3&lt;=$O$2,$D389,$D389-($D389-$I$373)*MIN(J$3-$O$2,$Q$2)/$Q$2))</f>
        <v>30422.9902745945</v>
      </c>
      <c r="K389" s="15" t="n">
        <f aca="false">J389*(1+IF(K$3&lt;=$O$2,$D389,$D389-($D389-$I$373)*MIN(K$3-$O$2,$Q$2)/$Q$2))</f>
        <v>33277.7765775875</v>
      </c>
      <c r="L389" s="15" t="n">
        <f aca="false">K389*(1+IF(L$3&lt;=$O$2,$D389,$D389-($D389-$I$373)*MIN(L$3-$O$2,$Q$2)/$Q$2))</f>
        <v>35673.476536215</v>
      </c>
      <c r="M389" s="15" t="n">
        <f aca="false">L389*(1+IF(M$3&lt;=$O$2,$D389,$D389-($D389-$I$373)*MIN(M$3-$O$2,$Q$2)/$Q$2))</f>
        <v>37462.3406100001</v>
      </c>
      <c r="N389" s="15" t="n">
        <f aca="false">M389*(1+IF(N$3&lt;=$O$2,$D389,$D389-($D389-$I$373)*MIN(N$3-$O$2,$Q$2)/$Q$2))</f>
        <v>38522.5248492631</v>
      </c>
      <c r="O389" s="15" t="n">
        <f aca="false">SUMPRODUCT(E389:N389,1/(1+$F$373)^$E$3:$N$3)*$E$2</f>
        <v>53961.792154277</v>
      </c>
      <c r="P389" s="15" t="n">
        <f aca="false">N389*$E$2*(1+$I$373)/($F$373-$I$373)/(1+$F$373)^$N$3</f>
        <v>78532.3134919097</v>
      </c>
      <c r="Q389" s="15" t="n">
        <f aca="false">O389+P389</f>
        <v>132494.105646187</v>
      </c>
      <c r="R389" s="15" t="n">
        <f aca="false">Q389-$G$2+$I$2</f>
        <v>120874.105646187</v>
      </c>
      <c r="S389" s="40" t="n">
        <f aca="false">R389/$K$2</f>
        <v>410.062440703554</v>
      </c>
      <c r="T389" s="41" t="n">
        <f aca="false">S389-$M$2</f>
        <v>0.0817778138434733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0.137481689453125</v>
      </c>
      <c r="C390" s="25" t="n">
        <f aca="false">IF(T389&gt;0,D389,C389)</f>
        <v>0.137527465820313</v>
      </c>
      <c r="D390" s="39" t="n">
        <f aca="false">(B390+C390)/2</f>
        <v>0.137504577636719</v>
      </c>
      <c r="E390" s="15" t="n">
        <f aca="false">$C$2*(1+IF(E$3&lt;=$O$2,$D390,$D390-($D390-$I$373)*MIN(E$3-$O$2,$Q$2)/$Q$2))</f>
        <v>16285.6530380249</v>
      </c>
      <c r="F390" s="15" t="n">
        <f aca="false">E390*(1+IF(F$3&lt;=$O$2,$D390,$D390-($D390-$I$373)*MIN(F$3-$O$2,$Q$2)/$Q$2))</f>
        <v>18525.0048805567</v>
      </c>
      <c r="G390" s="15" t="n">
        <f aca="false">F390*(1+IF(G$3&lt;=$O$2,$D390,$D390-($D390-$I$373)*MIN(G$3-$O$2,$Q$2)/$Q$2))</f>
        <v>21072.2778523758</v>
      </c>
      <c r="H390" s="15" t="n">
        <f aca="false">G390*(1+IF(H$3&lt;=$O$2,$D390,$D390-($D390-$I$373)*MIN(H$3-$O$2,$Q$2)/$Q$2))</f>
        <v>23969.8125183103</v>
      </c>
      <c r="I390" s="15" t="n">
        <f aca="false">H390*(1+IF(I$3&lt;=$O$2,$D390,$D390-($D390-$I$373)*MIN(I$3-$O$2,$Q$2)/$Q$2))</f>
        <v>27265.7714646719</v>
      </c>
      <c r="J390" s="15" t="n">
        <f aca="false">I390*(1+IF(J$3&lt;=$O$2,$D390,$D390-($D390-$I$373)*MIN(J$3-$O$2,$Q$2)/$Q$2))</f>
        <v>30419.4304425131</v>
      </c>
      <c r="K390" s="15" t="n">
        <f aca="false">J390*(1+IF(K$3&lt;=$O$2,$D390,$D390-($D390-$I$373)*MIN(K$3-$O$2,$Q$2)/$Q$2))</f>
        <v>33273.4649560907</v>
      </c>
      <c r="L390" s="15" t="n">
        <f aca="false">K390*(1+IF(L$3&lt;=$O$2,$D390,$D390-($D390-$I$373)*MIN(L$3-$O$2,$Q$2)/$Q$2))</f>
        <v>35668.5498891641</v>
      </c>
      <c r="M390" s="15" t="n">
        <f aca="false">L390*(1+IF(M$3&lt;=$O$2,$D390,$D390-($D390-$I$373)*MIN(M$3-$O$2,$Q$2)/$Q$2))</f>
        <v>37457.0036361396</v>
      </c>
      <c r="N390" s="15" t="n">
        <f aca="false">M390*(1+IF(N$3&lt;=$O$2,$D390,$D390-($D390-$I$373)*MIN(N$3-$O$2,$Q$2)/$Q$2))</f>
        <v>38517.0368390423</v>
      </c>
      <c r="O390" s="15" t="n">
        <f aca="false">SUMPRODUCT(E390:N390,1/(1+$F$373)^$E$3:$N$3)*$E$2</f>
        <v>53956.4675098208</v>
      </c>
      <c r="P390" s="15" t="n">
        <f aca="false">N390*$E$2*(1+$I$373)/($F$373-$I$373)/(1+$F$373)^$N$3</f>
        <v>78521.125592342</v>
      </c>
      <c r="Q390" s="15" t="n">
        <f aca="false">O390+P390</f>
        <v>132477.593102163</v>
      </c>
      <c r="R390" s="15" t="n">
        <f aca="false">Q390-$G$2+$I$2</f>
        <v>120857.593102163</v>
      </c>
      <c r="S390" s="40" t="n">
        <f aca="false">R390/$K$2</f>
        <v>410.006422302687</v>
      </c>
      <c r="T390" s="41" t="n">
        <f aca="false">S390-$M$2</f>
        <v>0.0257594129759013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0.137481689453125</v>
      </c>
      <c r="C391" s="25" t="n">
        <f aca="false">IF(T390&gt;0,D390,C390)</f>
        <v>0.137504577636719</v>
      </c>
      <c r="D391" s="39" t="n">
        <f aca="false">(B391+C391)/2</f>
        <v>0.137493133544922</v>
      </c>
      <c r="E391" s="15" t="n">
        <f aca="false">$C$2*(1+IF(E$3&lt;=$O$2,$D391,$D391-($D391-$I$373)*MIN(E$3-$O$2,$Q$2)/$Q$2))</f>
        <v>16285.4891929626</v>
      </c>
      <c r="F391" s="15" t="n">
        <f aca="false">E391*(1+IF(F$3&lt;=$O$2,$D391,$D391-($D391-$I$373)*MIN(F$3-$O$2,$Q$2)/$Q$2))</f>
        <v>18524.632133415</v>
      </c>
      <c r="G391" s="15" t="n">
        <f aca="false">F391*(1+IF(G$3&lt;=$O$2,$D391,$D391-($D391-$I$373)*MIN(G$3-$O$2,$Q$2)/$Q$2))</f>
        <v>21071.6418532052</v>
      </c>
      <c r="H391" s="15" t="n">
        <f aca="false">G391*(1+IF(H$3&lt;=$O$2,$D391,$D391-($D391-$I$373)*MIN(H$3-$O$2,$Q$2)/$Q$2))</f>
        <v>23968.8479205387</v>
      </c>
      <c r="I391" s="15" t="n">
        <f aca="false">H391*(1+IF(I$3&lt;=$O$2,$D391,$D391-($D391-$I$373)*MIN(I$3-$O$2,$Q$2)/$Q$2))</f>
        <v>27264.3999285953</v>
      </c>
      <c r="J391" s="15" t="n">
        <f aca="false">I391*(1+IF(J$3&lt;=$O$2,$D391,$D391-($D391-$I$373)*MIN(J$3-$O$2,$Q$2)/$Q$2))</f>
        <v>30417.6506565148</v>
      </c>
      <c r="K391" s="15" t="n">
        <f aca="false">J391*(1+IF(K$3&lt;=$O$2,$D391,$D391-($D391-$I$373)*MIN(K$3-$O$2,$Q$2)/$Q$2))</f>
        <v>33271.3093242499</v>
      </c>
      <c r="L391" s="15" t="n">
        <f aca="false">K391*(1+IF(L$3&lt;=$O$2,$D391,$D391-($D391-$I$373)*MIN(L$3-$O$2,$Q$2)/$Q$2))</f>
        <v>35666.086787029</v>
      </c>
      <c r="M391" s="15" t="n">
        <f aca="false">L391*(1+IF(M$3&lt;=$O$2,$D391,$D391-($D391-$I$373)*MIN(M$3-$O$2,$Q$2)/$Q$2))</f>
        <v>37454.3353986141</v>
      </c>
      <c r="N391" s="15" t="n">
        <f aca="false">M391*(1+IF(N$3&lt;=$O$2,$D391,$D391-($D391-$I$373)*MIN(N$3-$O$2,$Q$2)/$Q$2))</f>
        <v>38514.2930903949</v>
      </c>
      <c r="O391" s="15" t="n">
        <f aca="false">SUMPRODUCT(E391:N391,1/(1+$F$373)^$E$3:$N$3)*$E$2</f>
        <v>53953.8053816571</v>
      </c>
      <c r="P391" s="15" t="n">
        <f aca="false">N391*$E$2*(1+$I$373)/($F$373-$I$373)/(1+$F$373)^$N$3</f>
        <v>78515.5321653856</v>
      </c>
      <c r="Q391" s="15" t="n">
        <f aca="false">O391+P391</f>
        <v>132469.337547043</v>
      </c>
      <c r="R391" s="15" t="n">
        <f aca="false">Q391-$G$2+$I$2</f>
        <v>120849.337547043</v>
      </c>
      <c r="S391" s="40" t="n">
        <f aca="false">R391/$K$2</f>
        <v>409.97841553429</v>
      </c>
      <c r="T391" s="41" t="n">
        <f aca="false">S391-$M$2</f>
        <v>-0.00224735542042254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0.137493133544922</v>
      </c>
      <c r="C392" s="25" t="n">
        <f aca="false">IF(T391&gt;0,D391,C391)</f>
        <v>0.137504577636719</v>
      </c>
      <c r="D392" s="39" t="n">
        <f aca="false">(B392+C392)/2</f>
        <v>0.13749885559082</v>
      </c>
      <c r="E392" s="15" t="n">
        <f aca="false">$C$2*(1+IF(E$3&lt;=$O$2,$D392,$D392-($D392-$I$373)*MIN(E$3-$O$2,$Q$2)/$Q$2))</f>
        <v>16285.5711154938</v>
      </c>
      <c r="F392" s="15" t="n">
        <f aca="false">E392*(1+IF(F$3&lt;=$O$2,$D392,$D392-($D392-$I$373)*MIN(F$3-$O$2,$Q$2)/$Q$2))</f>
        <v>18524.8185065171</v>
      </c>
      <c r="G392" s="15" t="n">
        <f aca="false">F392*(1+IF(G$3&lt;=$O$2,$D392,$D392-($D392-$I$373)*MIN(G$3-$O$2,$Q$2)/$Q$2))</f>
        <v>21071.9598511908</v>
      </c>
      <c r="H392" s="15" t="n">
        <f aca="false">G392*(1+IF(H$3&lt;=$O$2,$D392,$D392-($D392-$I$373)*MIN(H$3-$O$2,$Q$2)/$Q$2))</f>
        <v>23969.3302157853</v>
      </c>
      <c r="I392" s="15" t="n">
        <f aca="false">H392*(1+IF(I$3&lt;=$O$2,$D392,$D392-($D392-$I$373)*MIN(I$3-$O$2,$Q$2)/$Q$2))</f>
        <v>27265.0856897342</v>
      </c>
      <c r="J392" s="15" t="n">
        <f aca="false">I392*(1+IF(J$3&lt;=$O$2,$D392,$D392-($D392-$I$373)*MIN(J$3-$O$2,$Q$2)/$Q$2))</f>
        <v>30418.5405386774</v>
      </c>
      <c r="K392" s="15" t="n">
        <f aca="false">J392*(1+IF(K$3&lt;=$O$2,$D392,$D392-($D392-$I$373)*MIN(K$3-$O$2,$Q$2)/$Q$2))</f>
        <v>33272.3871252619</v>
      </c>
      <c r="L392" s="15" t="n">
        <f aca="false">K392*(1+IF(L$3&lt;=$O$2,$D392,$D392-($D392-$I$373)*MIN(L$3-$O$2,$Q$2)/$Q$2))</f>
        <v>35667.3183196482</v>
      </c>
      <c r="M392" s="15" t="n">
        <f aca="false">L392*(1+IF(M$3&lt;=$O$2,$D392,$D392-($D392-$I$373)*MIN(M$3-$O$2,$Q$2)/$Q$2))</f>
        <v>37455.669496594</v>
      </c>
      <c r="N392" s="15" t="n">
        <f aca="false">M392*(1+IF(N$3&lt;=$O$2,$D392,$D392-($D392-$I$373)*MIN(N$3-$O$2,$Q$2)/$Q$2))</f>
        <v>38515.6649433476</v>
      </c>
      <c r="O392" s="15" t="n">
        <f aca="false">SUMPRODUCT(E392:N392,1/(1+$F$373)^$E$3:$N$3)*$E$2</f>
        <v>53955.1364295675</v>
      </c>
      <c r="P392" s="15" t="n">
        <f aca="false">N392*$E$2*(1+$I$373)/($F$373-$I$373)/(1+$F$373)^$N$3</f>
        <v>78518.3288352968</v>
      </c>
      <c r="Q392" s="15" t="n">
        <f aca="false">O392+P392</f>
        <v>132473.465264864</v>
      </c>
      <c r="R392" s="15" t="n">
        <f aca="false">Q392-$G$2+$I$2</f>
        <v>120853.465264864</v>
      </c>
      <c r="S392" s="40" t="n">
        <f aca="false">R392/$K$2</f>
        <v>409.992418715827</v>
      </c>
      <c r="T392" s="41" t="n">
        <f aca="false">S392-$M$2</f>
        <v>0.0117558261165414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0.137493133544922</v>
      </c>
      <c r="C393" s="25" t="n">
        <f aca="false">IF(T392&gt;0,D392,C392)</f>
        <v>0.13749885559082</v>
      </c>
      <c r="D393" s="39" t="n">
        <f aca="false">(B393+C393)/2</f>
        <v>0.137495994567871</v>
      </c>
      <c r="E393" s="15" t="n">
        <f aca="false">$C$2*(1+IF(E$3&lt;=$O$2,$D393,$D393-($D393-$I$373)*MIN(E$3-$O$2,$Q$2)/$Q$2))</f>
        <v>16285.5301542282</v>
      </c>
      <c r="F393" s="15" t="n">
        <f aca="false">E393*(1+IF(F$3&lt;=$O$2,$D393,$D393-($D393-$I$373)*MIN(F$3-$O$2,$Q$2)/$Q$2))</f>
        <v>18524.7253198489</v>
      </c>
      <c r="G393" s="15" t="n">
        <f aca="false">F393*(1+IF(G$3&lt;=$O$2,$D393,$D393-($D393-$I$373)*MIN(G$3-$O$2,$Q$2)/$Q$2))</f>
        <v>21071.8008517981</v>
      </c>
      <c r="H393" s="15" t="n">
        <f aca="false">G393*(1+IF(H$3&lt;=$O$2,$D393,$D393-($D393-$I$373)*MIN(H$3-$O$2,$Q$2)/$Q$2))</f>
        <v>23969.0890672522</v>
      </c>
      <c r="I393" s="15" t="n">
        <f aca="false">H393*(1+IF(I$3&lt;=$O$2,$D393,$D393-($D393-$I$373)*MIN(I$3-$O$2,$Q$2)/$Q$2))</f>
        <v>27264.7428074399</v>
      </c>
      <c r="J393" s="15" t="n">
        <f aca="false">I393*(1+IF(J$3&lt;=$O$2,$D393,$D393-($D393-$I$373)*MIN(J$3-$O$2,$Q$2)/$Q$2))</f>
        <v>30418.095594887</v>
      </c>
      <c r="K393" s="15" t="n">
        <f aca="false">J393*(1+IF(K$3&lt;=$O$2,$D393,$D393-($D393-$I$373)*MIN(K$3-$O$2,$Q$2)/$Q$2))</f>
        <v>33271.8482210288</v>
      </c>
      <c r="L393" s="15" t="n">
        <f aca="false">K393*(1+IF(L$3&lt;=$O$2,$D393,$D393-($D393-$I$373)*MIN(L$3-$O$2,$Q$2)/$Q$2))</f>
        <v>35666.7025487266</v>
      </c>
      <c r="M393" s="15" t="n">
        <f aca="false">L393*(1+IF(M$3&lt;=$O$2,$D393,$D393-($D393-$I$373)*MIN(M$3-$O$2,$Q$2)/$Q$2))</f>
        <v>37455.0024424084</v>
      </c>
      <c r="N393" s="15" t="n">
        <f aca="false">M393*(1+IF(N$3&lt;=$O$2,$D393,$D393-($D393-$I$373)*MIN(N$3-$O$2,$Q$2)/$Q$2))</f>
        <v>38514.9790115286</v>
      </c>
      <c r="O393" s="15" t="n">
        <f aca="false">SUMPRODUCT(E393:N393,1/(1+$F$373)^$E$3:$N$3)*$E$2</f>
        <v>53954.4709015695</v>
      </c>
      <c r="P393" s="15" t="n">
        <f aca="false">N393*$E$2*(1+$I$373)/($F$373-$I$373)/(1+$F$373)^$N$3</f>
        <v>78516.9304894496</v>
      </c>
      <c r="Q393" s="15" t="n">
        <f aca="false">O393+P393</f>
        <v>132471.401391019</v>
      </c>
      <c r="R393" s="15" t="n">
        <f aca="false">Q393-$G$2+$I$2</f>
        <v>120851.401391019</v>
      </c>
      <c r="S393" s="40" t="n">
        <f aca="false">R393/$K$2</f>
        <v>409.985417074394</v>
      </c>
      <c r="T393" s="41" t="n">
        <f aca="false">S393-$M$2</f>
        <v>0.00475418468340649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0.137493133544922</v>
      </c>
      <c r="C394" s="25" t="n">
        <f aca="false">IF(T393&gt;0,D393,C393)</f>
        <v>0.137495994567871</v>
      </c>
      <c r="D394" s="39" t="n">
        <f aca="false">(B394+C394)/2</f>
        <v>0.137494564056396</v>
      </c>
      <c r="E394" s="15" t="n">
        <f aca="false">$C$2*(1+IF(E$3&lt;=$O$2,$D394,$D394-($D394-$I$373)*MIN(E$3-$O$2,$Q$2)/$Q$2))</f>
        <v>16285.5096735954</v>
      </c>
      <c r="F394" s="15" t="n">
        <f aca="false">E394*(1+IF(F$3&lt;=$O$2,$D394,$D394-($D394-$I$373)*MIN(F$3-$O$2,$Q$2)/$Q$2))</f>
        <v>18524.6787266027</v>
      </c>
      <c r="G394" s="15" t="n">
        <f aca="false">F394*(1+IF(G$3&lt;=$O$2,$D394,$D394-($D394-$I$373)*MIN(G$3-$O$2,$Q$2)/$Q$2))</f>
        <v>21071.7213524017</v>
      </c>
      <c r="H394" s="15" t="n">
        <f aca="false">G394*(1+IF(H$3&lt;=$O$2,$D394,$D394-($D394-$I$373)*MIN(H$3-$O$2,$Q$2)/$Q$2))</f>
        <v>23968.968493668</v>
      </c>
      <c r="I394" s="15" t="n">
        <f aca="false">H394*(1+IF(I$3&lt;=$O$2,$D394,$D394-($D394-$I$373)*MIN(I$3-$O$2,$Q$2)/$Q$2))</f>
        <v>27264.5713675864</v>
      </c>
      <c r="J394" s="15" t="n">
        <f aca="false">I394*(1+IF(J$3&lt;=$O$2,$D394,$D394-($D394-$I$373)*MIN(J$3-$O$2,$Q$2)/$Q$2))</f>
        <v>30417.8731250236</v>
      </c>
      <c r="K394" s="15" t="n">
        <f aca="false">J394*(1+IF(K$3&lt;=$O$2,$D394,$D394-($D394-$I$373)*MIN(K$3-$O$2,$Q$2)/$Q$2))</f>
        <v>33271.5787717076</v>
      </c>
      <c r="L394" s="15" t="n">
        <f aca="false">K394*(1+IF(L$3&lt;=$O$2,$D394,$D394-($D394-$I$373)*MIN(L$3-$O$2,$Q$2)/$Q$2))</f>
        <v>35666.3946667248</v>
      </c>
      <c r="M394" s="15" t="n">
        <f aca="false">L394*(1+IF(M$3&lt;=$O$2,$D394,$D394-($D394-$I$373)*MIN(M$3-$O$2,$Q$2)/$Q$2))</f>
        <v>37454.6689192124</v>
      </c>
      <c r="N394" s="15" t="n">
        <f aca="false">M394*(1+IF(N$3&lt;=$O$2,$D394,$D394-($D394-$I$373)*MIN(N$3-$O$2,$Q$2)/$Q$2))</f>
        <v>38514.6360496261</v>
      </c>
      <c r="O394" s="15" t="n">
        <f aca="false">SUMPRODUCT(E394:N394,1/(1+$F$373)^$E$3:$N$3)*$E$2</f>
        <v>53954.1381406026</v>
      </c>
      <c r="P394" s="15" t="n">
        <f aca="false">N394*$E$2*(1+$I$373)/($F$373-$I$373)/(1+$F$373)^$N$3</f>
        <v>78516.2313246947</v>
      </c>
      <c r="Q394" s="15" t="n">
        <f aca="false">O394+P394</f>
        <v>132470.369465297</v>
      </c>
      <c r="R394" s="15" t="n">
        <f aca="false">Q394-$G$2+$I$2</f>
        <v>120850.369465297</v>
      </c>
      <c r="S394" s="40" t="n">
        <f aca="false">R394/$K$2</f>
        <v>409.981916291676</v>
      </c>
      <c r="T394" s="41" t="n">
        <f aca="false">S394-$M$2</f>
        <v>0.00125340196530033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0.137493133544922</v>
      </c>
      <c r="C395" s="25" t="n">
        <f aca="false">IF(T394&gt;0,D394,C394)</f>
        <v>0.137494564056396</v>
      </c>
      <c r="D395" s="39" t="n">
        <f aca="false">(B395+C395)/2</f>
        <v>0.137493848800659</v>
      </c>
      <c r="E395" s="15" t="n">
        <f aca="false">$C$2*(1+IF(E$3&lt;=$O$2,$D395,$D395-($D395-$I$373)*MIN(E$3-$O$2,$Q$2)/$Q$2))</f>
        <v>16285.499433279</v>
      </c>
      <c r="F395" s="15" t="n">
        <f aca="false">E395*(1+IF(F$3&lt;=$O$2,$D395,$D395-($D395-$I$373)*MIN(F$3-$O$2,$Q$2)/$Q$2))</f>
        <v>18524.6554300015</v>
      </c>
      <c r="G395" s="15" t="n">
        <f aca="false">F395*(1+IF(G$3&lt;=$O$2,$D395,$D395-($D395-$I$373)*MIN(G$3-$O$2,$Q$2)/$Q$2))</f>
        <v>21071.6816027785</v>
      </c>
      <c r="H395" s="15" t="n">
        <f aca="false">G395*(1+IF(H$3&lt;=$O$2,$D395,$D395-($D395-$I$373)*MIN(H$3-$O$2,$Q$2)/$Q$2))</f>
        <v>23968.9082070465</v>
      </c>
      <c r="I395" s="15" t="n">
        <f aca="false">H395*(1+IF(I$3&lt;=$O$2,$D395,$D395-($D395-$I$373)*MIN(I$3-$O$2,$Q$2)/$Q$2))</f>
        <v>27264.4856479831</v>
      </c>
      <c r="J395" s="15" t="n">
        <f aca="false">I395*(1+IF(J$3&lt;=$O$2,$D395,$D395-($D395-$I$373)*MIN(J$3-$O$2,$Q$2)/$Q$2))</f>
        <v>30417.7618905999</v>
      </c>
      <c r="K395" s="15" t="n">
        <f aca="false">J395*(1+IF(K$3&lt;=$O$2,$D395,$D395-($D395-$I$373)*MIN(K$3-$O$2,$Q$2)/$Q$2))</f>
        <v>33271.4440477458</v>
      </c>
      <c r="L395" s="15" t="n">
        <f aca="false">K395*(1+IF(L$3&lt;=$O$2,$D395,$D395-($D395-$I$373)*MIN(L$3-$O$2,$Q$2)/$Q$2))</f>
        <v>35666.2407265887</v>
      </c>
      <c r="M395" s="15" t="n">
        <f aca="false">L395*(1+IF(M$3&lt;=$O$2,$D395,$D395-($D395-$I$373)*MIN(M$3-$O$2,$Q$2)/$Q$2))</f>
        <v>37454.5021585885</v>
      </c>
      <c r="N395" s="15" t="n">
        <f aca="false">M395*(1+IF(N$3&lt;=$O$2,$D395,$D395-($D395-$I$373)*MIN(N$3-$O$2,$Q$2)/$Q$2))</f>
        <v>38514.4645696766</v>
      </c>
      <c r="O395" s="15" t="n">
        <f aca="false">SUMPRODUCT(E395:N395,1/(1+$F$373)^$E$3:$N$3)*$E$2</f>
        <v>53953.9717608772</v>
      </c>
      <c r="P395" s="15" t="n">
        <f aca="false">N395*$E$2*(1+$I$373)/($F$373-$I$373)/(1+$F$373)^$N$3</f>
        <v>78515.8817443595</v>
      </c>
      <c r="Q395" s="15" t="n">
        <f aca="false">O395+P395</f>
        <v>132469.853505237</v>
      </c>
      <c r="R395" s="15" t="n">
        <f aca="false">Q395-$G$2+$I$2</f>
        <v>120849.853505237</v>
      </c>
      <c r="S395" s="40" t="n">
        <f aca="false">R395/$K$2</f>
        <v>409.980165909817</v>
      </c>
      <c r="T395" s="41" t="n">
        <f aca="false">S395-$M$2</f>
        <v>-0.000496979894023752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0.137493848800659</v>
      </c>
      <c r="C396" s="25" t="n">
        <f aca="false">IF(T395&gt;0,D395,C395)</f>
        <v>0.137494564056396</v>
      </c>
      <c r="D396" s="39" t="n">
        <f aca="false">(B396+C396)/2</f>
        <v>0.137494206428528</v>
      </c>
      <c r="E396" s="15" t="n">
        <f aca="false">$C$2*(1+IF(E$3&lt;=$O$2,$D396,$D396-($D396-$I$373)*MIN(E$3-$O$2,$Q$2)/$Q$2))</f>
        <v>16285.5045534372</v>
      </c>
      <c r="F396" s="15" t="n">
        <f aca="false">E396*(1+IF(F$3&lt;=$O$2,$D396,$D396-($D396-$I$373)*MIN(F$3-$O$2,$Q$2)/$Q$2))</f>
        <v>18524.6670783003</v>
      </c>
      <c r="G396" s="15" t="n">
        <f aca="false">F396*(1+IF(G$3&lt;=$O$2,$D396,$D396-($D396-$I$373)*MIN(G$3-$O$2,$Q$2)/$Q$2))</f>
        <v>21071.7014775838</v>
      </c>
      <c r="H396" s="15" t="n">
        <f aca="false">G396*(1+IF(H$3&lt;=$O$2,$D396,$D396-($D396-$I$373)*MIN(H$3-$O$2,$Q$2)/$Q$2))</f>
        <v>23968.9383503431</v>
      </c>
      <c r="I396" s="15" t="n">
        <f aca="false">H396*(1+IF(I$3&lt;=$O$2,$D396,$D396-($D396-$I$373)*MIN(I$3-$O$2,$Q$2)/$Q$2))</f>
        <v>27264.5285077578</v>
      </c>
      <c r="J396" s="15" t="n">
        <f aca="false">I396*(1+IF(J$3&lt;=$O$2,$D396,$D396-($D396-$I$373)*MIN(J$3-$O$2,$Q$2)/$Q$2))</f>
        <v>30417.8175077694</v>
      </c>
      <c r="K396" s="15" t="n">
        <f aca="false">J396*(1+IF(K$3&lt;=$O$2,$D396,$D396-($D396-$I$373)*MIN(K$3-$O$2,$Q$2)/$Q$2))</f>
        <v>33271.5114096685</v>
      </c>
      <c r="L396" s="15" t="n">
        <f aca="false">K396*(1+IF(L$3&lt;=$O$2,$D396,$D396-($D396-$I$373)*MIN(L$3-$O$2,$Q$2)/$Q$2))</f>
        <v>35666.3176965847</v>
      </c>
      <c r="M396" s="15" t="n">
        <f aca="false">L396*(1+IF(M$3&lt;=$O$2,$D396,$D396-($D396-$I$373)*MIN(M$3-$O$2,$Q$2)/$Q$2))</f>
        <v>37454.5855388193</v>
      </c>
      <c r="N396" s="15" t="n">
        <f aca="false">M396*(1+IF(N$3&lt;=$O$2,$D396,$D396-($D396-$I$373)*MIN(N$3-$O$2,$Q$2)/$Q$2))</f>
        <v>38514.5503095679</v>
      </c>
      <c r="O396" s="15" t="n">
        <f aca="false">SUMPRODUCT(E396:N396,1/(1+$F$373)^$E$3:$N$3)*$E$2</f>
        <v>53954.0549506767</v>
      </c>
      <c r="P396" s="15" t="n">
        <f aca="false">N396*$E$2*(1+$I$373)/($F$373-$I$373)/(1+$F$373)^$N$3</f>
        <v>78516.0565343569</v>
      </c>
      <c r="Q396" s="15" t="n">
        <f aca="false">O396+P396</f>
        <v>132470.111485034</v>
      </c>
      <c r="R396" s="15" t="n">
        <f aca="false">Q396-$G$2+$I$2</f>
        <v>120850.111485034</v>
      </c>
      <c r="S396" s="40" t="n">
        <f aca="false">R396/$K$2</f>
        <v>409.981041099955</v>
      </c>
      <c r="T396" s="41" t="n">
        <f aca="false">S396-$M$2</f>
        <v>0.000378210244036836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0.137493848800659</v>
      </c>
      <c r="C397" s="25" t="n">
        <f aca="false">IF(T396&gt;0,D396,C396)</f>
        <v>0.137494206428528</v>
      </c>
      <c r="D397" s="39" t="n">
        <f aca="false">(B397+C397)/2</f>
        <v>0.137494027614594</v>
      </c>
      <c r="E397" s="15" t="n">
        <f aca="false">$C$2*(1+IF(E$3&lt;=$O$2,$D397,$D397-($D397-$I$373)*MIN(E$3-$O$2,$Q$2)/$Q$2))</f>
        <v>16285.5019933581</v>
      </c>
      <c r="F397" s="15" t="n">
        <f aca="false">E397*(1+IF(F$3&lt;=$O$2,$D397,$D397-($D397-$I$373)*MIN(F$3-$O$2,$Q$2)/$Q$2))</f>
        <v>18524.6612541504</v>
      </c>
      <c r="G397" s="15" t="n">
        <f aca="false">F397*(1+IF(G$3&lt;=$O$2,$D397,$D397-($D397-$I$373)*MIN(G$3-$O$2,$Q$2)/$Q$2))</f>
        <v>21071.6915401796</v>
      </c>
      <c r="H397" s="15" t="n">
        <f aca="false">G397*(1+IF(H$3&lt;=$O$2,$D397,$D397-($D397-$I$373)*MIN(H$3-$O$2,$Q$2)/$Q$2))</f>
        <v>23968.9232786912</v>
      </c>
      <c r="I397" s="15" t="n">
        <f aca="false">H397*(1+IF(I$3&lt;=$O$2,$D397,$D397-($D397-$I$373)*MIN(I$3-$O$2,$Q$2)/$Q$2))</f>
        <v>27264.5070778637</v>
      </c>
      <c r="J397" s="15" t="n">
        <f aca="false">I397*(1+IF(J$3&lt;=$O$2,$D397,$D397-($D397-$I$373)*MIN(J$3-$O$2,$Q$2)/$Q$2))</f>
        <v>30417.7896991741</v>
      </c>
      <c r="K397" s="15" t="n">
        <f aca="false">J397*(1+IF(K$3&lt;=$O$2,$D397,$D397-($D397-$I$373)*MIN(K$3-$O$2,$Q$2)/$Q$2))</f>
        <v>33271.4777286926</v>
      </c>
      <c r="L397" s="15" t="n">
        <f aca="false">K397*(1+IF(L$3&lt;=$O$2,$D397,$D397-($D397-$I$373)*MIN(L$3-$O$2,$Q$2)/$Q$2))</f>
        <v>35666.2792115687</v>
      </c>
      <c r="M397" s="15" t="n">
        <f aca="false">L397*(1+IF(M$3&lt;=$O$2,$D397,$D397-($D397-$I$373)*MIN(M$3-$O$2,$Q$2)/$Q$2))</f>
        <v>37454.5438486836</v>
      </c>
      <c r="N397" s="15" t="n">
        <f aca="false">M397*(1+IF(N$3&lt;=$O$2,$D397,$D397-($D397-$I$373)*MIN(N$3-$O$2,$Q$2)/$Q$2))</f>
        <v>38514.5074396014</v>
      </c>
      <c r="O397" s="15" t="n">
        <f aca="false">SUMPRODUCT(E397:N397,1/(1+$F$373)^$E$3:$N$3)*$E$2</f>
        <v>53954.0133557612</v>
      </c>
      <c r="P397" s="15" t="n">
        <f aca="false">N397*$E$2*(1+$I$373)/($F$373-$I$373)/(1+$F$373)^$N$3</f>
        <v>78515.9691393157</v>
      </c>
      <c r="Q397" s="15" t="n">
        <f aca="false">O397+P397</f>
        <v>132469.982495077</v>
      </c>
      <c r="R397" s="15" t="n">
        <f aca="false">Q397-$G$2+$I$2</f>
        <v>120849.982495077</v>
      </c>
      <c r="S397" s="40" t="n">
        <f aca="false">R397/$K$2</f>
        <v>409.980603504688</v>
      </c>
      <c r="T397" s="41" t="n">
        <f aca="false">S397-$M$2</f>
        <v>-5.9385022780134E-005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0.137494027614594</v>
      </c>
      <c r="C398" s="25" t="n">
        <f aca="false">IF(T397&gt;0,D397,C397)</f>
        <v>0.137494206428528</v>
      </c>
      <c r="D398" s="39" t="n">
        <f aca="false">(B398+C398)/2</f>
        <v>0.137494117021561</v>
      </c>
      <c r="E398" s="15" t="n">
        <f aca="false">$C$2*(1+IF(E$3&lt;=$O$2,$D398,$D398-($D398-$I$373)*MIN(E$3-$O$2,$Q$2)/$Q$2))</f>
        <v>16285.5032733977</v>
      </c>
      <c r="F398" s="15" t="n">
        <f aca="false">E398*(1+IF(F$3&lt;=$O$2,$D398,$D398-($D398-$I$373)*MIN(F$3-$O$2,$Q$2)/$Q$2))</f>
        <v>18524.6641662252</v>
      </c>
      <c r="G398" s="15" t="n">
        <f aca="false">F398*(1+IF(G$3&lt;=$O$2,$D398,$D398-($D398-$I$373)*MIN(G$3-$O$2,$Q$2)/$Q$2))</f>
        <v>21071.6965088813</v>
      </c>
      <c r="H398" s="15" t="n">
        <f aca="false">G398*(1+IF(H$3&lt;=$O$2,$D398,$D398-($D398-$I$373)*MIN(H$3-$O$2,$Q$2)/$Q$2))</f>
        <v>23968.9308145163</v>
      </c>
      <c r="I398" s="15" t="n">
        <f aca="false">H398*(1+IF(I$3&lt;=$O$2,$D398,$D398-($D398-$I$373)*MIN(I$3-$O$2,$Q$2)/$Q$2))</f>
        <v>27264.517792809</v>
      </c>
      <c r="J398" s="15" t="n">
        <f aca="false">I398*(1+IF(J$3&lt;=$O$2,$D398,$D398-($D398-$I$373)*MIN(J$3-$O$2,$Q$2)/$Q$2))</f>
        <v>30417.8036034691</v>
      </c>
      <c r="K398" s="15" t="n">
        <f aca="false">J398*(1+IF(K$3&lt;=$O$2,$D398,$D398-($D398-$I$373)*MIN(K$3-$O$2,$Q$2)/$Q$2))</f>
        <v>33271.4945691769</v>
      </c>
      <c r="L398" s="15" t="n">
        <f aca="false">K398*(1+IF(L$3&lt;=$O$2,$D398,$D398-($D398-$I$373)*MIN(L$3-$O$2,$Q$2)/$Q$2))</f>
        <v>35666.2984540722</v>
      </c>
      <c r="M398" s="15" t="n">
        <f aca="false">L398*(1+IF(M$3&lt;=$O$2,$D398,$D398-($D398-$I$373)*MIN(M$3-$O$2,$Q$2)/$Q$2))</f>
        <v>37454.5646937464</v>
      </c>
      <c r="N398" s="15" t="n">
        <f aca="false">M398*(1+IF(N$3&lt;=$O$2,$D398,$D398-($D398-$I$373)*MIN(N$3-$O$2,$Q$2)/$Q$2))</f>
        <v>38514.5288745794</v>
      </c>
      <c r="O398" s="15" t="n">
        <f aca="false">SUMPRODUCT(E398:N398,1/(1+$F$373)^$E$3:$N$3)*$E$2</f>
        <v>53954.034153215</v>
      </c>
      <c r="P398" s="15" t="n">
        <f aca="false">N398*$E$2*(1+$I$373)/($F$373-$I$373)/(1+$F$373)^$N$3</f>
        <v>78516.0128368257</v>
      </c>
      <c r="Q398" s="15" t="n">
        <f aca="false">O398+P398</f>
        <v>132470.046990041</v>
      </c>
      <c r="R398" s="15" t="n">
        <f aca="false">Q398-$G$2+$I$2</f>
        <v>120850.046990041</v>
      </c>
      <c r="S398" s="40" t="n">
        <f aca="false">R398/$K$2</f>
        <v>409.980822302272</v>
      </c>
      <c r="T398" s="41" t="n">
        <f aca="false">S398-$M$2</f>
        <v>0.000159412561174577</v>
      </c>
    </row>
    <row r="400" customFormat="false" ht="15" hidden="false" customHeight="false" outlineLevel="0" collapsed="false">
      <c r="A400" s="36" t="s">
        <v>188</v>
      </c>
      <c r="E400" s="5" t="s">
        <v>11</v>
      </c>
      <c r="F400" s="12" t="n">
        <f aca="false">Sensitivity!$B$12</f>
        <v>0.0948919064489092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6" t="s">
        <v>155</v>
      </c>
      <c r="B401" s="28" t="s">
        <v>156</v>
      </c>
      <c r="C401" s="28" t="s">
        <v>157</v>
      </c>
      <c r="D401" s="28" t="s">
        <v>158</v>
      </c>
      <c r="E401" s="28" t="s">
        <v>159</v>
      </c>
      <c r="F401" s="28" t="s">
        <v>160</v>
      </c>
      <c r="G401" s="28" t="s">
        <v>161</v>
      </c>
      <c r="H401" s="28" t="s">
        <v>162</v>
      </c>
      <c r="I401" s="28" t="s">
        <v>163</v>
      </c>
      <c r="J401" s="28" t="s">
        <v>164</v>
      </c>
      <c r="K401" s="28" t="s">
        <v>165</v>
      </c>
      <c r="L401" s="28" t="s">
        <v>166</v>
      </c>
      <c r="M401" s="28" t="s">
        <v>167</v>
      </c>
      <c r="N401" s="28" t="s">
        <v>168</v>
      </c>
      <c r="O401" s="28" t="s">
        <v>169</v>
      </c>
      <c r="P401" s="28" t="s">
        <v>170</v>
      </c>
      <c r="Q401" s="28" t="s">
        <v>171</v>
      </c>
      <c r="R401" s="28" t="s">
        <v>172</v>
      </c>
      <c r="S401" s="28" t="s">
        <v>173</v>
      </c>
      <c r="T401" s="28" t="s">
        <v>174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39" t="n">
        <f aca="false">(B402+C402)/2</f>
        <v>0.25</v>
      </c>
      <c r="E402" s="15" t="n">
        <f aca="false">$C$2*(1+IF(E$3&lt;=$O$2,$D402,$D402-($D402-$I$400)*MIN(E$3-$O$2,$Q$2)/$Q$2))</f>
        <v>17896.25</v>
      </c>
      <c r="F402" s="15" t="n">
        <f aca="false">E402*(1+IF(F$3&lt;=$O$2,$D402,$D402-($D402-$I$400)*MIN(F$3-$O$2,$Q$2)/$Q$2))</f>
        <v>22370.3125</v>
      </c>
      <c r="G402" s="15" t="n">
        <f aca="false">F402*(1+IF(G$3&lt;=$O$2,$D402,$D402-($D402-$I$400)*MIN(G$3-$O$2,$Q$2)/$Q$2))</f>
        <v>27962.890625</v>
      </c>
      <c r="H402" s="15" t="n">
        <f aca="false">G402*(1+IF(H$3&lt;=$O$2,$D402,$D402-($D402-$I$400)*MIN(H$3-$O$2,$Q$2)/$Q$2))</f>
        <v>34953.61328125</v>
      </c>
      <c r="I402" s="15" t="n">
        <f aca="false">H402*(1+IF(I$3&lt;=$O$2,$D402,$D402-($D402-$I$400)*MIN(I$3-$O$2,$Q$2)/$Q$2))</f>
        <v>43692.0166015625</v>
      </c>
      <c r="J402" s="15" t="n">
        <f aca="false">I402*(1+IF(J$3&lt;=$O$2,$D402,$D402-($D402-$I$400)*MIN(J$3-$O$2,$Q$2)/$Q$2))</f>
        <v>52721.4087524414</v>
      </c>
      <c r="K402" s="15" t="n">
        <f aca="false">J402*(1+IF(K$3&lt;=$O$2,$D402,$D402-($D402-$I$400)*MIN(K$3-$O$2,$Q$2)/$Q$2))</f>
        <v>61331.8692298901</v>
      </c>
      <c r="L402" s="15" t="n">
        <f aca="false">K402*(1+IF(L$3&lt;=$O$2,$D402,$D402-($D402-$I$400)*MIN(L$3-$O$2,$Q$2)/$Q$2))</f>
        <v>68690.4669000924</v>
      </c>
      <c r="M402" s="15" t="n">
        <f aca="false">L402*(1+IF(M$3&lt;=$O$2,$D402,$D402-($D402-$I$400)*MIN(M$3-$O$2,$Q$2)/$Q$2))</f>
        <v>73954.9042833154</v>
      </c>
      <c r="N402" s="15" t="n">
        <f aca="false">M402*(1+IF(N$3&lt;=$O$2,$D402,$D402-($D402-$I$400)*MIN(N$3-$O$2,$Q$2)/$Q$2))</f>
        <v>76417.6025959498</v>
      </c>
      <c r="O402" s="15" t="n">
        <f aca="false">SUMPRODUCT(E402:N402,1/(1+$F$400)^$E$3:$N$3)*$E$2</f>
        <v>87710.3903676462</v>
      </c>
      <c r="P402" s="15" t="n">
        <f aca="false">N402*$E$2*(1+$I$400)/($F$400-$I$400)/(1+$F$400)^$N$3</f>
        <v>169251.081049583</v>
      </c>
      <c r="Q402" s="15" t="n">
        <f aca="false">O402+P402</f>
        <v>256961.471417229</v>
      </c>
      <c r="R402" s="15" t="n">
        <f aca="false">Q402-$G$2+$I$2</f>
        <v>245341.471417229</v>
      </c>
      <c r="S402" s="40" t="n">
        <f aca="false">R402/$K$2</f>
        <v>832.314928307593</v>
      </c>
      <c r="T402" s="41" t="n">
        <f aca="false">S402-$M$2</f>
        <v>422.334265417882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39" t="n">
        <f aca="false">(B403+C403)/2</f>
        <v>-0.125</v>
      </c>
      <c r="E403" s="15" t="n">
        <f aca="false">$C$2*(1+IF(E$3&lt;=$O$2,$D403,$D403-($D403-$I$400)*MIN(E$3-$O$2,$Q$2)/$Q$2))</f>
        <v>12527.375</v>
      </c>
      <c r="F403" s="15" t="n">
        <f aca="false">E403*(1+IF(F$3&lt;=$O$2,$D403,$D403-($D403-$I$400)*MIN(F$3-$O$2,$Q$2)/$Q$2))</f>
        <v>10961.453125</v>
      </c>
      <c r="G403" s="15" t="n">
        <f aca="false">F403*(1+IF(G$3&lt;=$O$2,$D403,$D403-($D403-$I$400)*MIN(G$3-$O$2,$Q$2)/$Q$2))</f>
        <v>9591.271484375</v>
      </c>
      <c r="H403" s="15" t="n">
        <f aca="false">G403*(1+IF(H$3&lt;=$O$2,$D403,$D403-($D403-$I$400)*MIN(H$3-$O$2,$Q$2)/$Q$2))</f>
        <v>8392.36254882813</v>
      </c>
      <c r="I403" s="15" t="n">
        <f aca="false">H403*(1+IF(I$3&lt;=$O$2,$D403,$D403-($D403-$I$400)*MIN(I$3-$O$2,$Q$2)/$Q$2))</f>
        <v>7343.31723022461</v>
      </c>
      <c r="J403" s="15" t="n">
        <f aca="false">I403*(1+IF(J$3&lt;=$O$2,$D403,$D403-($D403-$I$400)*MIN(J$3-$O$2,$Q$2)/$Q$2))</f>
        <v>6657.89199995545</v>
      </c>
      <c r="K403" s="15" t="n">
        <f aca="false">J403*(1+IF(K$3&lt;=$O$2,$D403,$D403-($D403-$I$400)*MIN(K$3-$O$2,$Q$2)/$Q$2))</f>
        <v>6247.23322139819</v>
      </c>
      <c r="L403" s="15" t="n">
        <f aca="false">K403*(1+IF(L$3&lt;=$O$2,$D403,$D403-($D403-$I$400)*MIN(L$3-$O$2,$Q$2)/$Q$2))</f>
        <v>6059.69128009182</v>
      </c>
      <c r="M403" s="15" t="n">
        <f aca="false">L403*(1+IF(M$3&lt;=$O$2,$D403,$D403-($D403-$I$400)*MIN(M$3-$O$2,$Q$2)/$Q$2))</f>
        <v>6069.62917379117</v>
      </c>
      <c r="N403" s="15" t="n">
        <f aca="false">M403*(1+IF(N$3&lt;=$O$2,$D403,$D403-($D403-$I$400)*MIN(N$3-$O$2,$Q$2)/$Q$2))</f>
        <v>6271.74782527842</v>
      </c>
      <c r="O403" s="15" t="n">
        <f aca="false">SUMPRODUCT(E403:N403,1/(1+$F$400)^$E$3:$N$3)*$E$2</f>
        <v>17560.9227990687</v>
      </c>
      <c r="P403" s="15" t="n">
        <f aca="false">N403*$E$2*(1+$I$400)/($F$400-$I$400)/(1+$F$400)^$N$3</f>
        <v>13890.7799177019</v>
      </c>
      <c r="Q403" s="15" t="n">
        <f aca="false">O403+P403</f>
        <v>31451.7027167706</v>
      </c>
      <c r="R403" s="15" t="n">
        <f aca="false">Q403-$G$2+$I$2</f>
        <v>19831.7027167706</v>
      </c>
      <c r="S403" s="40" t="n">
        <f aca="false">R403/$K$2</f>
        <v>67.2785653790094</v>
      </c>
      <c r="T403" s="41" t="n">
        <f aca="false">S403-$M$2</f>
        <v>-342.702097510701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39" t="n">
        <f aca="false">(B404+C404)/2</f>
        <v>0.0625</v>
      </c>
      <c r="E404" s="15" t="n">
        <f aca="false">$C$2*(1+IF(E$3&lt;=$O$2,$D404,$D404-($D404-$I$400)*MIN(E$3-$O$2,$Q$2)/$Q$2))</f>
        <v>15211.8125</v>
      </c>
      <c r="F404" s="15" t="n">
        <f aca="false">E404*(1+IF(F$3&lt;=$O$2,$D404,$D404-($D404-$I$400)*MIN(F$3-$O$2,$Q$2)/$Q$2))</f>
        <v>16162.55078125</v>
      </c>
      <c r="G404" s="15" t="n">
        <f aca="false">F404*(1+IF(G$3&lt;=$O$2,$D404,$D404-($D404-$I$400)*MIN(G$3-$O$2,$Q$2)/$Q$2))</f>
        <v>17172.7102050781</v>
      </c>
      <c r="H404" s="15" t="n">
        <f aca="false">G404*(1+IF(H$3&lt;=$O$2,$D404,$D404-($D404-$I$400)*MIN(H$3-$O$2,$Q$2)/$Q$2))</f>
        <v>18246.0045928955</v>
      </c>
      <c r="I404" s="15" t="n">
        <f aca="false">H404*(1+IF(I$3&lt;=$O$2,$D404,$D404-($D404-$I$400)*MIN(I$3-$O$2,$Q$2)/$Q$2))</f>
        <v>19386.3798799515</v>
      </c>
      <c r="J404" s="15" t="n">
        <f aca="false">I404*(1+IF(J$3&lt;=$O$2,$D404,$D404-($D404-$I$400)*MIN(J$3-$O$2,$Q$2)/$Q$2))</f>
        <v>20484.8121639495</v>
      </c>
      <c r="K404" s="15" t="n">
        <f aca="false">J404*(1+IF(K$3&lt;=$O$2,$D404,$D404-($D404-$I$400)*MIN(K$3-$O$2,$Q$2)/$Q$2))</f>
        <v>21525.8503181214</v>
      </c>
      <c r="L404" s="15" t="n">
        <f aca="false">K404*(1+IF(L$3&lt;=$O$2,$D404,$D404-($D404-$I$400)*MIN(L$3-$O$2,$Q$2)/$Q$2))</f>
        <v>22494.0830654305</v>
      </c>
      <c r="M404" s="15" t="n">
        <f aca="false">L404*(1+IF(M$3&lt;=$O$2,$D404,$D404-($D404-$I$400)*MIN(M$3-$O$2,$Q$2)/$Q$2))</f>
        <v>23374.5014766115</v>
      </c>
      <c r="N404" s="15" t="n">
        <f aca="false">M404*(1+IF(N$3&lt;=$O$2,$D404,$D404-($D404-$I$400)*MIN(N$3-$O$2,$Q$2)/$Q$2))</f>
        <v>24152.8723757827</v>
      </c>
      <c r="O404" s="15" t="n">
        <f aca="false">SUMPRODUCT(E404:N404,1/(1+$F$400)^$E$3:$N$3)*$E$2</f>
        <v>39144.754927289</v>
      </c>
      <c r="P404" s="15" t="n">
        <f aca="false">N404*$E$2*(1+$I$400)/($F$400-$I$400)/(1+$F$400)^$N$3</f>
        <v>53494.216269361</v>
      </c>
      <c r="Q404" s="15" t="n">
        <f aca="false">O404+P404</f>
        <v>92638.9711966501</v>
      </c>
      <c r="R404" s="15" t="n">
        <f aca="false">Q404-$G$2+$I$2</f>
        <v>81018.9711966501</v>
      </c>
      <c r="S404" s="40" t="n">
        <f aca="false">R404/$K$2</f>
        <v>274.854873958171</v>
      </c>
      <c r="T404" s="41" t="n">
        <f aca="false">S404-$M$2</f>
        <v>-135.12578893154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39" t="n">
        <f aca="false">(B405+C405)/2</f>
        <v>0.15625</v>
      </c>
      <c r="E405" s="15" t="n">
        <f aca="false">$C$2*(1+IF(E$3&lt;=$O$2,$D405,$D405-($D405-$I$400)*MIN(E$3-$O$2,$Q$2)/$Q$2))</f>
        <v>16554.03125</v>
      </c>
      <c r="F405" s="15" t="n">
        <f aca="false">E405*(1+IF(F$3&lt;=$O$2,$D405,$D405-($D405-$I$400)*MIN(F$3-$O$2,$Q$2)/$Q$2))</f>
        <v>19140.5986328125</v>
      </c>
      <c r="G405" s="15" t="n">
        <f aca="false">F405*(1+IF(G$3&lt;=$O$2,$D405,$D405-($D405-$I$400)*MIN(G$3-$O$2,$Q$2)/$Q$2))</f>
        <v>22131.3171691895</v>
      </c>
      <c r="H405" s="15" t="n">
        <f aca="false">G405*(1+IF(H$3&lt;=$O$2,$D405,$D405-($D405-$I$400)*MIN(H$3-$O$2,$Q$2)/$Q$2))</f>
        <v>25589.3354768753</v>
      </c>
      <c r="I405" s="15" t="n">
        <f aca="false">H405*(1+IF(I$3&lt;=$O$2,$D405,$D405-($D405-$I$400)*MIN(I$3-$O$2,$Q$2)/$Q$2))</f>
        <v>29587.6691451371</v>
      </c>
      <c r="J405" s="15" t="n">
        <f aca="false">I405*(1+IF(J$3&lt;=$O$2,$D405,$D405-($D405-$I$400)*MIN(J$3-$O$2,$Q$2)/$Q$2))</f>
        <v>33483.1816647858</v>
      </c>
      <c r="K405" s="15" t="n">
        <f aca="false">J405*(1+IF(K$3&lt;=$O$2,$D405,$D405-($D405-$I$400)*MIN(K$3-$O$2,$Q$2)/$Q$2))</f>
        <v>37068.2259256344</v>
      </c>
      <c r="L405" s="15" t="n">
        <f aca="false">K405*(1+IF(L$3&lt;=$O$2,$D405,$D405-($D405-$I$400)*MIN(L$3-$O$2,$Q$2)/$Q$2))</f>
        <v>40125.6131999808</v>
      </c>
      <c r="M405" s="15" t="n">
        <f aca="false">L405*(1+IF(M$3&lt;=$O$2,$D405,$D405-($D405-$I$400)*MIN(M$3-$O$2,$Q$2)/$Q$2))</f>
        <v>42448.4849481277</v>
      </c>
      <c r="N405" s="15" t="n">
        <f aca="false">M405*(1+IF(N$3&lt;=$O$2,$D405,$D405-($D405-$I$400)*MIN(N$3-$O$2,$Q$2)/$Q$2))</f>
        <v>43862.0194969003</v>
      </c>
      <c r="O405" s="15" t="n">
        <f aca="false">SUMPRODUCT(E405:N405,1/(1+$F$400)^$E$3:$N$3)*$E$2</f>
        <v>58690.1514148284</v>
      </c>
      <c r="P405" s="15" t="n">
        <f aca="false">N405*$E$2*(1+$I$400)/($F$400-$I$400)/(1+$F$400)^$N$3</f>
        <v>97146.3898981532</v>
      </c>
      <c r="Q405" s="15" t="n">
        <f aca="false">O405+P405</f>
        <v>155836.541312982</v>
      </c>
      <c r="R405" s="15" t="n">
        <f aca="false">Q405-$G$2+$I$2</f>
        <v>144216.541312982</v>
      </c>
      <c r="S405" s="40" t="n">
        <f aca="false">R405/$K$2</f>
        <v>489.251081565226</v>
      </c>
      <c r="T405" s="41" t="n">
        <f aca="false">S405-$M$2</f>
        <v>79.2704186755152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39" t="n">
        <f aca="false">(B406+C406)/2</f>
        <v>0.109375</v>
      </c>
      <c r="E406" s="15" t="n">
        <f aca="false">$C$2*(1+IF(E$3&lt;=$O$2,$D406,$D406-($D406-$I$400)*MIN(E$3-$O$2,$Q$2)/$Q$2))</f>
        <v>15882.921875</v>
      </c>
      <c r="F406" s="15" t="n">
        <f aca="false">E406*(1+IF(F$3&lt;=$O$2,$D406,$D406-($D406-$I$400)*MIN(F$3-$O$2,$Q$2)/$Q$2))</f>
        <v>17620.1164550781</v>
      </c>
      <c r="G406" s="15" t="n">
        <f aca="false">F406*(1+IF(G$3&lt;=$O$2,$D406,$D406-($D406-$I$400)*MIN(G$3-$O$2,$Q$2)/$Q$2))</f>
        <v>19547.3166923523</v>
      </c>
      <c r="H406" s="15" t="n">
        <f aca="false">G406*(1+IF(H$3&lt;=$O$2,$D406,$D406-($D406-$I$400)*MIN(H$3-$O$2,$Q$2)/$Q$2))</f>
        <v>21685.3044555783</v>
      </c>
      <c r="I406" s="15" t="n">
        <f aca="false">H406*(1+IF(I$3&lt;=$O$2,$D406,$D406-($D406-$I$400)*MIN(I$3-$O$2,$Q$2)/$Q$2))</f>
        <v>24057.1346304072</v>
      </c>
      <c r="J406" s="15" t="n">
        <f aca="false">I406*(1+IF(J$3&lt;=$O$2,$D406,$D406-($D406-$I$400)*MIN(J$3-$O$2,$Q$2)/$Q$2))</f>
        <v>26322.3544272064</v>
      </c>
      <c r="K406" s="15" t="n">
        <f aca="false">J406*(1+IF(K$3&lt;=$O$2,$D406,$D406-($D406-$I$400)*MIN(K$3-$O$2,$Q$2)/$Q$2))</f>
        <v>28400.3726974622</v>
      </c>
      <c r="L406" s="15" t="n">
        <f aca="false">K406*(1+IF(L$3&lt;=$O$2,$D406,$D406-($D406-$I$400)*MIN(L$3-$O$2,$Q$2)/$Q$2))</f>
        <v>30210.3284494714</v>
      </c>
      <c r="M406" s="15" t="n">
        <f aca="false">L406*(1+IF(M$3&lt;=$O$2,$D406,$D406-($D406-$I$400)*MIN(M$3-$O$2,$Q$2)/$Q$2))</f>
        <v>31675.9825341975</v>
      </c>
      <c r="N406" s="15" t="n">
        <f aca="false">M406*(1+IF(N$3&lt;=$O$2,$D406,$D406-($D406-$I$400)*MIN(N$3-$O$2,$Q$2)/$Q$2))</f>
        <v>32730.7927525863</v>
      </c>
      <c r="O406" s="15" t="n">
        <f aca="false">SUMPRODUCT(E406:N406,1/(1+$F$400)^$E$3:$N$3)*$E$2</f>
        <v>47938.6100883992</v>
      </c>
      <c r="P406" s="15" t="n">
        <f aca="false">N406*$E$2*(1+$I$400)/($F$400-$I$400)/(1+$F$400)^$N$3</f>
        <v>72492.7486442593</v>
      </c>
      <c r="Q406" s="15" t="n">
        <f aca="false">O406+P406</f>
        <v>120431.358732659</v>
      </c>
      <c r="R406" s="15" t="n">
        <f aca="false">Q406-$G$2+$I$2</f>
        <v>108811.358732659</v>
      </c>
      <c r="S406" s="40" t="n">
        <f aca="false">R406/$K$2</f>
        <v>369.139867465002</v>
      </c>
      <c r="T406" s="41" t="n">
        <f aca="false">S406-$M$2</f>
        <v>-40.8407954247089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0.109375</v>
      </c>
      <c r="C407" s="25" t="n">
        <f aca="false">IF(T406&gt;0,D406,C406)</f>
        <v>0.15625</v>
      </c>
      <c r="D407" s="39" t="n">
        <f aca="false">(B407+C407)/2</f>
        <v>0.1328125</v>
      </c>
      <c r="E407" s="15" t="n">
        <f aca="false">$C$2*(1+IF(E$3&lt;=$O$2,$D407,$D407-($D407-$I$400)*MIN(E$3-$O$2,$Q$2)/$Q$2))</f>
        <v>16218.4765625</v>
      </c>
      <c r="F407" s="15" t="n">
        <f aca="false">E407*(1+IF(F$3&lt;=$O$2,$D407,$D407-($D407-$I$400)*MIN(F$3-$O$2,$Q$2)/$Q$2))</f>
        <v>18372.492980957</v>
      </c>
      <c r="G407" s="15" t="n">
        <f aca="false">F407*(1+IF(G$3&lt;=$O$2,$D407,$D407-($D407-$I$400)*MIN(G$3-$O$2,$Q$2)/$Q$2))</f>
        <v>20812.5897049904</v>
      </c>
      <c r="H407" s="15" t="n">
        <f aca="false">G407*(1+IF(H$3&lt;=$O$2,$D407,$D407-($D407-$I$400)*MIN(H$3-$O$2,$Q$2)/$Q$2))</f>
        <v>23576.7617751844</v>
      </c>
      <c r="I407" s="15" t="n">
        <f aca="false">H407*(1+IF(I$3&lt;=$O$2,$D407,$D407-($D407-$I$400)*MIN(I$3-$O$2,$Q$2)/$Q$2))</f>
        <v>26708.0504484511</v>
      </c>
      <c r="J407" s="15" t="n">
        <f aca="false">I407*(1+IF(J$3&lt;=$O$2,$D407,$D407-($D407-$I$400)*MIN(J$3-$O$2,$Q$2)/$Q$2))</f>
        <v>29723.6564245857</v>
      </c>
      <c r="K407" s="15" t="n">
        <f aca="false">J407*(1+IF(K$3&lt;=$O$2,$D407,$D407-($D407-$I$400)*MIN(K$3-$O$2,$Q$2)/$Q$2))</f>
        <v>32488.1793994954</v>
      </c>
      <c r="L407" s="15" t="n">
        <f aca="false">K407*(1+IF(L$3&lt;=$O$2,$D407,$D407-($D407-$I$400)*MIN(L$3-$O$2,$Q$2)/$Q$2))</f>
        <v>34863.2277544955</v>
      </c>
      <c r="M407" s="15" t="n">
        <f aca="false">L407*(1+IF(M$3&lt;=$O$2,$D407,$D407-($D407-$I$400)*MIN(M$3-$O$2,$Q$2)/$Q$2))</f>
        <v>36718.038629104</v>
      </c>
      <c r="N407" s="15" t="n">
        <f aca="false">M407*(1+IF(N$3&lt;=$O$2,$D407,$D407-($D407-$I$400)*MIN(N$3-$O$2,$Q$2)/$Q$2))</f>
        <v>37940.7493154532</v>
      </c>
      <c r="O407" s="15" t="n">
        <f aca="false">SUMPRODUCT(E407:N407,1/(1+$F$400)^$E$3:$N$3)*$E$2</f>
        <v>53046.4897418877</v>
      </c>
      <c r="P407" s="15" t="n">
        <f aca="false">N407*$E$2*(1+$I$400)/($F$400-$I$400)/(1+$F$400)^$N$3</f>
        <v>84031.8541714108</v>
      </c>
      <c r="Q407" s="15" t="n">
        <f aca="false">O407+P407</f>
        <v>137078.343913299</v>
      </c>
      <c r="R407" s="15" t="n">
        <f aca="false">Q407-$G$2+$I$2</f>
        <v>125458.343913299</v>
      </c>
      <c r="S407" s="40" t="n">
        <f aca="false">R407/$K$2</f>
        <v>425.614356662138</v>
      </c>
      <c r="T407" s="41" t="n">
        <f aca="false">S407-$M$2</f>
        <v>15.6336937724278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0.109375</v>
      </c>
      <c r="C408" s="25" t="n">
        <f aca="false">IF(T407&gt;0,D407,C407)</f>
        <v>0.1328125</v>
      </c>
      <c r="D408" s="39" t="n">
        <f aca="false">(B408+C408)/2</f>
        <v>0.12109375</v>
      </c>
      <c r="E408" s="15" t="n">
        <f aca="false">$C$2*(1+IF(E$3&lt;=$O$2,$D408,$D408-($D408-$I$400)*MIN(E$3-$O$2,$Q$2)/$Q$2))</f>
        <v>16050.69921875</v>
      </c>
      <c r="F408" s="15" t="n">
        <f aca="false">E408*(1+IF(F$3&lt;=$O$2,$D408,$D408-($D408-$I$400)*MIN(F$3-$O$2,$Q$2)/$Q$2))</f>
        <v>17994.3385772705</v>
      </c>
      <c r="G408" s="15" t="n">
        <f aca="false">F408*(1+IF(G$3&lt;=$O$2,$D408,$D408-($D408-$I$400)*MIN(G$3-$O$2,$Q$2)/$Q$2))</f>
        <v>20173.3405143619</v>
      </c>
      <c r="H408" s="15" t="n">
        <f aca="false">G408*(1+IF(H$3&lt;=$O$2,$D408,$D408-($D408-$I$400)*MIN(H$3-$O$2,$Q$2)/$Q$2))</f>
        <v>22616.2059672729</v>
      </c>
      <c r="I408" s="15" t="n">
        <f aca="false">H408*(1+IF(I$3&lt;=$O$2,$D408,$D408-($D408-$I$400)*MIN(I$3-$O$2,$Q$2)/$Q$2))</f>
        <v>25354.8871586223</v>
      </c>
      <c r="J408" s="15" t="n">
        <f aca="false">I408*(1+IF(J$3&lt;=$O$2,$D408,$D408-($D408-$I$400)*MIN(J$3-$O$2,$Q$2)/$Q$2))</f>
        <v>27980.0054005903</v>
      </c>
      <c r="K408" s="15" t="n">
        <f aca="false">J408*(1+IF(K$3&lt;=$O$2,$D408,$D408-($D408-$I$400)*MIN(K$3-$O$2,$Q$2)/$Q$2))</f>
        <v>30385.6213399128</v>
      </c>
      <c r="L408" s="15" t="n">
        <f aca="false">K408*(1+IF(L$3&lt;=$O$2,$D408,$D408-($D408-$I$400)*MIN(L$3-$O$2,$Q$2)/$Q$2))</f>
        <v>32464.5295879363</v>
      </c>
      <c r="M408" s="15" t="n">
        <f aca="false">L408*(1+IF(M$3&lt;=$O$2,$D408,$D408-($D408-$I$400)*MIN(M$3-$O$2,$Q$2)/$Q$2))</f>
        <v>34115.6349821167</v>
      </c>
      <c r="N408" s="15" t="n">
        <f aca="false">M408*(1+IF(N$3&lt;=$O$2,$D408,$D408-($D408-$I$400)*MIN(N$3-$O$2,$Q$2)/$Q$2))</f>
        <v>35251.6856270212</v>
      </c>
      <c r="O408" s="15" t="n">
        <f aca="false">SUMPRODUCT(E408:N408,1/(1+$F$400)^$E$3:$N$3)*$E$2</f>
        <v>50428.6203734861</v>
      </c>
      <c r="P408" s="15" t="n">
        <f aca="false">N408*$E$2*(1+$I$400)/($F$400-$I$400)/(1+$F$400)^$N$3</f>
        <v>78076.067535644</v>
      </c>
      <c r="Q408" s="15" t="n">
        <f aca="false">O408+P408</f>
        <v>128504.68790913</v>
      </c>
      <c r="R408" s="15" t="n">
        <f aca="false">Q408-$G$2+$I$2</f>
        <v>116884.68790913</v>
      </c>
      <c r="S408" s="40" t="n">
        <f aca="false">R408/$K$2</f>
        <v>396.528438813753</v>
      </c>
      <c r="T408" s="41" t="n">
        <f aca="false">S408-$M$2</f>
        <v>-13.4522240759571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0.12109375</v>
      </c>
      <c r="C409" s="25" t="n">
        <f aca="false">IF(T408&gt;0,D408,C408)</f>
        <v>0.1328125</v>
      </c>
      <c r="D409" s="39" t="n">
        <f aca="false">(B409+C409)/2</f>
        <v>0.126953125</v>
      </c>
      <c r="E409" s="15" t="n">
        <f aca="false">$C$2*(1+IF(E$3&lt;=$O$2,$D409,$D409-($D409-$I$400)*MIN(E$3-$O$2,$Q$2)/$Q$2))</f>
        <v>16134.587890625</v>
      </c>
      <c r="F409" s="15" t="n">
        <f aca="false">E409*(1+IF(F$3&lt;=$O$2,$D409,$D409-($D409-$I$400)*MIN(F$3-$O$2,$Q$2)/$Q$2))</f>
        <v>18182.924243927</v>
      </c>
      <c r="G409" s="15" t="n">
        <f aca="false">F409*(1+IF(G$3&lt;=$O$2,$D409,$D409-($D409-$I$400)*MIN(G$3-$O$2,$Q$2)/$Q$2))</f>
        <v>20491.3032983318</v>
      </c>
      <c r="H409" s="15" t="n">
        <f aca="false">G409*(1+IF(H$3&lt;=$O$2,$D409,$D409-($D409-$I$400)*MIN(H$3-$O$2,$Q$2)/$Q$2))</f>
        <v>23092.7382873778</v>
      </c>
      <c r="I409" s="15" t="n">
        <f aca="false">H409*(1+IF(I$3&lt;=$O$2,$D409,$D409-($D409-$I$400)*MIN(I$3-$O$2,$Q$2)/$Q$2))</f>
        <v>26024.4335777676</v>
      </c>
      <c r="J409" s="15" t="n">
        <f aca="false">I409*(1+IF(J$3&lt;=$O$2,$D409,$D409-($D409-$I$400)*MIN(J$3-$O$2,$Q$2)/$Q$2))</f>
        <v>28840.8628406375</v>
      </c>
      <c r="K409" s="15" t="n">
        <f aca="false">J409*(1+IF(K$3&lt;=$O$2,$D409,$D409-($D409-$I$400)*MIN(K$3-$O$2,$Q$2)/$Q$2))</f>
        <v>31421.885732864</v>
      </c>
      <c r="L409" s="15" t="n">
        <f aca="false">K409*(1+IF(L$3&lt;=$O$2,$D409,$D409-($D409-$I$400)*MIN(L$3-$O$2,$Q$2)/$Q$2))</f>
        <v>33645.3376446786</v>
      </c>
      <c r="M409" s="15" t="n">
        <f aca="false">L409*(1+IF(M$3&lt;=$O$2,$D409,$D409-($D409-$I$400)*MIN(M$3-$O$2,$Q$2)/$Q$2))</f>
        <v>35395.9255906673</v>
      </c>
      <c r="N409" s="15" t="n">
        <f aca="false">M409*(1+IF(N$3&lt;=$O$2,$D409,$D409-($D409-$I$400)*MIN(N$3-$O$2,$Q$2)/$Q$2))</f>
        <v>36574.6099128365</v>
      </c>
      <c r="O409" s="15" t="n">
        <f aca="false">SUMPRODUCT(E409:N409,1/(1+$F$400)^$E$3:$N$3)*$E$2</f>
        <v>51721.2017080267</v>
      </c>
      <c r="P409" s="15" t="n">
        <f aca="false">N409*$E$2*(1+$I$400)/($F$400-$I$400)/(1+$F$400)^$N$3</f>
        <v>81006.1040444426</v>
      </c>
      <c r="Q409" s="15" t="n">
        <f aca="false">O409+P409</f>
        <v>132727.305752469</v>
      </c>
      <c r="R409" s="15" t="n">
        <f aca="false">Q409-$G$2+$I$2</f>
        <v>121107.305752469</v>
      </c>
      <c r="S409" s="40" t="n">
        <f aca="false">R409/$K$2</f>
        <v>410.853566348235</v>
      </c>
      <c r="T409" s="41" t="n">
        <f aca="false">S409-$M$2</f>
        <v>0.872903458524661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0.12109375</v>
      </c>
      <c r="C410" s="25" t="n">
        <f aca="false">IF(T409&gt;0,D409,C409)</f>
        <v>0.126953125</v>
      </c>
      <c r="D410" s="39" t="n">
        <f aca="false">(B410+C410)/2</f>
        <v>0.1240234375</v>
      </c>
      <c r="E410" s="15" t="n">
        <f aca="false">$C$2*(1+IF(E$3&lt;=$O$2,$D410,$D410-($D410-$I$400)*MIN(E$3-$O$2,$Q$2)/$Q$2))</f>
        <v>16092.6435546875</v>
      </c>
      <c r="F410" s="15" t="n">
        <f aca="false">E410*(1+IF(F$3&lt;=$O$2,$D410,$D410-($D410-$I$400)*MIN(F$3-$O$2,$Q$2)/$Q$2))</f>
        <v>18088.5085268021</v>
      </c>
      <c r="G410" s="15" t="n">
        <f aca="false">F410*(1+IF(G$3&lt;=$O$2,$D410,$D410-($D410-$I$400)*MIN(G$3-$O$2,$Q$2)/$Q$2))</f>
        <v>20331.9075335441</v>
      </c>
      <c r="H410" s="15" t="n">
        <f aca="false">G410*(1+IF(H$3&lt;=$O$2,$D410,$D410-($D410-$I$400)*MIN(H$3-$O$2,$Q$2)/$Q$2))</f>
        <v>22853.5405967864</v>
      </c>
      <c r="I410" s="15" t="n">
        <f aca="false">H410*(1+IF(I$3&lt;=$O$2,$D410,$D410-($D410-$I$400)*MIN(I$3-$O$2,$Q$2)/$Q$2))</f>
        <v>25687.9152606457</v>
      </c>
      <c r="J410" s="15" t="n">
        <f aca="false">I410*(1+IF(J$3&lt;=$O$2,$D410,$D410-($D410-$I$400)*MIN(J$3-$O$2,$Q$2)/$Q$2))</f>
        <v>28407.7196185487</v>
      </c>
      <c r="K410" s="15" t="n">
        <f aca="false">J410*(1+IF(K$3&lt;=$O$2,$D410,$D410-($D410-$I$400)*MIN(K$3-$O$2,$Q$2)/$Q$2))</f>
        <v>30900.044267045</v>
      </c>
      <c r="L410" s="15" t="n">
        <f aca="false">K410*(1+IF(L$3&lt;=$O$2,$D410,$D410-($D410-$I$400)*MIN(L$3-$O$2,$Q$2)/$Q$2))</f>
        <v>33050.359035061</v>
      </c>
      <c r="M410" s="15" t="n">
        <f aca="false">L410*(1+IF(M$3&lt;=$O$2,$D410,$D410-($D410-$I$400)*MIN(M$3-$O$2,$Q$2)/$Q$2))</f>
        <v>34750.6244273825</v>
      </c>
      <c r="N410" s="15" t="n">
        <f aca="false">M410*(1+IF(N$3&lt;=$O$2,$D410,$D410-($D410-$I$400)*MIN(N$3-$O$2,$Q$2)/$Q$2))</f>
        <v>35907.8202208143</v>
      </c>
      <c r="O410" s="15" t="n">
        <f aca="false">SUMPRODUCT(E410:N410,1/(1+$F$400)^$E$3:$N$3)*$E$2</f>
        <v>51070.8696530805</v>
      </c>
      <c r="P410" s="15" t="n">
        <f aca="false">N410*$E$2*(1+$I$400)/($F$400-$I$400)/(1+$F$400)^$N$3</f>
        <v>79529.2862384171</v>
      </c>
      <c r="Q410" s="15" t="n">
        <f aca="false">O410+P410</f>
        <v>130600.155891498</v>
      </c>
      <c r="R410" s="15" t="n">
        <f aca="false">Q410-$G$2+$I$2</f>
        <v>118980.155891498</v>
      </c>
      <c r="S410" s="40" t="n">
        <f aca="false">R410/$K$2</f>
        <v>403.637262582684</v>
      </c>
      <c r="T410" s="41" t="n">
        <f aca="false">S410-$M$2</f>
        <v>-6.34340030702691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0.1240234375</v>
      </c>
      <c r="C411" s="25" t="n">
        <f aca="false">IF(T410&gt;0,D410,C410)</f>
        <v>0.126953125</v>
      </c>
      <c r="D411" s="39" t="n">
        <f aca="false">(B411+C411)/2</f>
        <v>0.12548828125</v>
      </c>
      <c r="E411" s="15" t="n">
        <f aca="false">$C$2*(1+IF(E$3&lt;=$O$2,$D411,$D411-($D411-$I$400)*MIN(E$3-$O$2,$Q$2)/$Q$2))</f>
        <v>16113.6157226563</v>
      </c>
      <c r="F411" s="15" t="n">
        <f aca="false">E411*(1+IF(F$3&lt;=$O$2,$D411,$D411-($D411-$I$400)*MIN(F$3-$O$2,$Q$2)/$Q$2))</f>
        <v>18135.6856644154</v>
      </c>
      <c r="G411" s="15" t="n">
        <f aca="false">F411*(1+IF(G$3&lt;=$O$2,$D411,$D411-($D411-$I$400)*MIN(G$3-$O$2,$Q$2)/$Q$2))</f>
        <v>20411.5016877331</v>
      </c>
      <c r="H411" s="15" t="n">
        <f aca="false">G411*(1+IF(H$3&lt;=$O$2,$D411,$D411-($D411-$I$400)*MIN(H$3-$O$2,$Q$2)/$Q$2))</f>
        <v>22972.9059522582</v>
      </c>
      <c r="I411" s="15" t="n">
        <f aca="false">H411*(1+IF(I$3&lt;=$O$2,$D411,$D411-($D411-$I$400)*MIN(I$3-$O$2,$Q$2)/$Q$2))</f>
        <v>25855.736435525</v>
      </c>
      <c r="J411" s="15" t="n">
        <f aca="false">I411*(1+IF(J$3&lt;=$O$2,$D411,$D411-($D411-$I$400)*MIN(J$3-$O$2,$Q$2)/$Q$2))</f>
        <v>28623.6091807832</v>
      </c>
      <c r="K411" s="15" t="n">
        <f aca="false">J411*(1+IF(K$3&lt;=$O$2,$D411,$D411-($D411-$I$400)*MIN(K$3-$O$2,$Q$2)/$Q$2))</f>
        <v>31160.0321666322</v>
      </c>
      <c r="L411" s="15" t="n">
        <f aca="false">K411*(1+IF(L$3&lt;=$O$2,$D411,$D411-($D411-$I$400)*MIN(L$3-$O$2,$Q$2)/$Q$2))</f>
        <v>33346.6971614356</v>
      </c>
      <c r="M411" s="15" t="n">
        <f aca="false">L411*(1+IF(M$3&lt;=$O$2,$D411,$D411-($D411-$I$400)*MIN(M$3-$O$2,$Q$2)/$Q$2))</f>
        <v>35071.9771162468</v>
      </c>
      <c r="N411" s="15" t="n">
        <f aca="false">M411*(1+IF(N$3&lt;=$O$2,$D411,$D411-($D411-$I$400)*MIN(N$3-$O$2,$Q$2)/$Q$2))</f>
        <v>36239.8739542179</v>
      </c>
      <c r="O411" s="15" t="n">
        <f aca="false">SUMPRODUCT(E411:N411,1/(1+$F$400)^$E$3:$N$3)*$E$2</f>
        <v>51395.0195014457</v>
      </c>
      <c r="P411" s="15" t="n">
        <f aca="false">N411*$E$2*(1+$I$400)/($F$400-$I$400)/(1+$F$400)^$N$3</f>
        <v>80264.7248210988</v>
      </c>
      <c r="Q411" s="15" t="n">
        <f aca="false">O411+P411</f>
        <v>131659.744322544</v>
      </c>
      <c r="R411" s="15" t="n">
        <f aca="false">Q411-$G$2+$I$2</f>
        <v>120039.744322544</v>
      </c>
      <c r="S411" s="40" t="n">
        <f aca="false">R411/$K$2</f>
        <v>407.231890363824</v>
      </c>
      <c r="T411" s="41" t="n">
        <f aca="false">S411-$M$2</f>
        <v>-2.74877252588635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0.12548828125</v>
      </c>
      <c r="C412" s="25" t="n">
        <f aca="false">IF(T411&gt;0,D411,C411)</f>
        <v>0.126953125</v>
      </c>
      <c r="D412" s="39" t="n">
        <f aca="false">(B412+C412)/2</f>
        <v>0.126220703125</v>
      </c>
      <c r="E412" s="15" t="n">
        <f aca="false">$C$2*(1+IF(E$3&lt;=$O$2,$D412,$D412-($D412-$I$400)*MIN(E$3-$O$2,$Q$2)/$Q$2))</f>
        <v>16124.1018066406</v>
      </c>
      <c r="F412" s="15" t="n">
        <f aca="false">E412*(1+IF(F$3&lt;=$O$2,$D412,$D412-($D412-$I$400)*MIN(F$3-$O$2,$Q$2)/$Q$2))</f>
        <v>18159.2972739339</v>
      </c>
      <c r="G412" s="15" t="n">
        <f aca="false">F412*(1+IF(G$3&lt;=$O$2,$D412,$D412-($D412-$I$400)*MIN(G$3-$O$2,$Q$2)/$Q$2))</f>
        <v>20451.3765441057</v>
      </c>
      <c r="H412" s="15" t="n">
        <f aca="false">G412*(1+IF(H$3&lt;=$O$2,$D412,$D412-($D412-$I$400)*MIN(H$3-$O$2,$Q$2)/$Q$2))</f>
        <v>23032.7636713769</v>
      </c>
      <c r="I412" s="15" t="n">
        <f aca="false">H412*(1+IF(I$3&lt;=$O$2,$D412,$D412-($D412-$I$400)*MIN(I$3-$O$2,$Q$2)/$Q$2))</f>
        <v>25939.97529689</v>
      </c>
      <c r="J412" s="15" t="n">
        <f aca="false">I412*(1+IF(J$3&lt;=$O$2,$D412,$D412-($D412-$I$400)*MIN(J$3-$O$2,$Q$2)/$Q$2))</f>
        <v>28732.0650691822</v>
      </c>
      <c r="K412" s="15" t="n">
        <f aca="false">J412*(1+IF(K$3&lt;=$O$2,$D412,$D412-($D412-$I$400)*MIN(K$3-$O$2,$Q$2)/$Q$2))</f>
        <v>31290.7250490629</v>
      </c>
      <c r="L412" s="15" t="n">
        <f aca="false">K412*(1+IF(L$3&lt;=$O$2,$D412,$D412-($D412-$I$400)*MIN(L$3-$O$2,$Q$2)/$Q$2))</f>
        <v>33495.7286623367</v>
      </c>
      <c r="M412" s="15" t="n">
        <f aca="false">L412*(1+IF(M$3&lt;=$O$2,$D412,$D412-($D412-$I$400)*MIN(M$3-$O$2,$Q$2)/$Q$2))</f>
        <v>35233.6257585902</v>
      </c>
      <c r="N412" s="15" t="n">
        <f aca="false">M412*(1+IF(N$3&lt;=$O$2,$D412,$D412-($D412-$I$400)*MIN(N$3-$O$2,$Q$2)/$Q$2))</f>
        <v>36406.9054963513</v>
      </c>
      <c r="O412" s="15" t="n">
        <f aca="false">SUMPRODUCT(E412:N412,1/(1+$F$400)^$E$3:$N$3)*$E$2</f>
        <v>51557.8558277511</v>
      </c>
      <c r="P412" s="15" t="n">
        <f aca="false">N412*$E$2*(1+$I$400)/($F$400-$I$400)/(1+$F$400)^$N$3</f>
        <v>80634.6692856607</v>
      </c>
      <c r="Q412" s="15" t="n">
        <f aca="false">O412+P412</f>
        <v>132192.525113412</v>
      </c>
      <c r="R412" s="15" t="n">
        <f aca="false">Q412-$G$2+$I$2</f>
        <v>120572.525113412</v>
      </c>
      <c r="S412" s="40" t="n">
        <f aca="false">R412/$K$2</f>
        <v>409.039336138046</v>
      </c>
      <c r="T412" s="41" t="n">
        <f aca="false">S412-$M$2</f>
        <v>-0.941326751664406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0.126220703125</v>
      </c>
      <c r="C413" s="25" t="n">
        <f aca="false">IF(T412&gt;0,D412,C412)</f>
        <v>0.126953125</v>
      </c>
      <c r="D413" s="39" t="n">
        <f aca="false">(B413+C413)/2</f>
        <v>0.1265869140625</v>
      </c>
      <c r="E413" s="15" t="n">
        <f aca="false">$C$2*(1+IF(E$3&lt;=$O$2,$D413,$D413-($D413-$I$400)*MIN(E$3-$O$2,$Q$2)/$Q$2))</f>
        <v>16129.3448486328</v>
      </c>
      <c r="F413" s="15" t="n">
        <f aca="false">E413*(1+IF(F$3&lt;=$O$2,$D413,$D413-($D413-$I$400)*MIN(F$3-$O$2,$Q$2)/$Q$2))</f>
        <v>18171.1088388711</v>
      </c>
      <c r="G413" s="15" t="n">
        <f aca="false">F413*(1+IF(G$3&lt;=$O$2,$D413,$D413-($D413-$I$400)*MIN(G$3-$O$2,$Q$2)/$Q$2))</f>
        <v>20471.3334318776</v>
      </c>
      <c r="H413" s="15" t="n">
        <f aca="false">G413*(1+IF(H$3&lt;=$O$2,$D413,$D413-($D413-$I$400)*MIN(H$3-$O$2,$Q$2)/$Q$2))</f>
        <v>23062.7363577635</v>
      </c>
      <c r="I413" s="15" t="n">
        <f aca="false">H413*(1+IF(I$3&lt;=$O$2,$D413,$D413-($D413-$I$400)*MIN(I$3-$O$2,$Q$2)/$Q$2))</f>
        <v>25982.1769831298</v>
      </c>
      <c r="J413" s="15" t="n">
        <f aca="false">I413*(1+IF(J$3&lt;=$O$2,$D413,$D413-($D413-$I$400)*MIN(J$3-$O$2,$Q$2)/$Q$2))</f>
        <v>28786.4211657736</v>
      </c>
      <c r="K413" s="15" t="n">
        <f aca="false">J413*(1+IF(K$3&lt;=$O$2,$D413,$D413-($D413-$I$400)*MIN(K$3-$O$2,$Q$2)/$Q$2))</f>
        <v>31356.2468290689</v>
      </c>
      <c r="L413" s="15" t="n">
        <f aca="false">K413*(1+IF(L$3&lt;=$O$2,$D413,$D413-($D413-$I$400)*MIN(L$3-$O$2,$Q$2)/$Q$2))</f>
        <v>33570.4608497832</v>
      </c>
      <c r="M413" s="15" t="n">
        <f aca="false">L413*(1+IF(M$3&lt;=$O$2,$D413,$D413-($D413-$I$400)*MIN(M$3-$O$2,$Q$2)/$Q$2))</f>
        <v>35314.6941353475</v>
      </c>
      <c r="N413" s="15" t="n">
        <f aca="false">M413*(1+IF(N$3&lt;=$O$2,$D413,$D413-($D413-$I$400)*MIN(N$3-$O$2,$Q$2)/$Q$2))</f>
        <v>36490.6734500545</v>
      </c>
      <c r="O413" s="15" t="n">
        <f aca="false">SUMPRODUCT(E413:N413,1/(1+$F$400)^$E$3:$N$3)*$E$2</f>
        <v>51639.464981917</v>
      </c>
      <c r="P413" s="15" t="n">
        <f aca="false">N413*$E$2*(1+$I$400)/($F$400-$I$400)/(1+$F$400)^$N$3</f>
        <v>80820.200056582</v>
      </c>
      <c r="Q413" s="15" t="n">
        <f aca="false">O413+P413</f>
        <v>132459.665038499</v>
      </c>
      <c r="R413" s="15" t="n">
        <f aca="false">Q413-$G$2+$I$2</f>
        <v>120839.665038499</v>
      </c>
      <c r="S413" s="40" t="n">
        <f aca="false">R413/$K$2</f>
        <v>409.945601786135</v>
      </c>
      <c r="T413" s="41" t="n">
        <f aca="false">S413-$M$2</f>
        <v>-0.0350611035755151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0.1265869140625</v>
      </c>
      <c r="C414" s="25" t="n">
        <f aca="false">IF(T413&gt;0,D413,C413)</f>
        <v>0.126953125</v>
      </c>
      <c r="D414" s="39" t="n">
        <f aca="false">(B414+C414)/2</f>
        <v>0.12677001953125</v>
      </c>
      <c r="E414" s="15" t="n">
        <f aca="false">$C$2*(1+IF(E$3&lt;=$O$2,$D414,$D414-($D414-$I$400)*MIN(E$3-$O$2,$Q$2)/$Q$2))</f>
        <v>16131.9663696289</v>
      </c>
      <c r="F414" s="15" t="n">
        <f aca="false">E414*(1+IF(F$3&lt;=$O$2,$D414,$D414-($D414-$I$400)*MIN(F$3-$O$2,$Q$2)/$Q$2))</f>
        <v>18177.0160613842</v>
      </c>
      <c r="G414" s="15" t="n">
        <f aca="false">F414*(1+IF(G$3&lt;=$O$2,$D414,$D414-($D414-$I$400)*MIN(G$3-$O$2,$Q$2)/$Q$2))</f>
        <v>20481.3167425058</v>
      </c>
      <c r="H414" s="15" t="n">
        <f aca="false">G414*(1+IF(H$3&lt;=$O$2,$D414,$D414-($D414-$I$400)*MIN(H$3-$O$2,$Q$2)/$Q$2))</f>
        <v>23077.7336659789</v>
      </c>
      <c r="I414" s="15" t="n">
        <f aca="false">H414*(1+IF(I$3&lt;=$O$2,$D414,$D414-($D414-$I$400)*MIN(I$3-$O$2,$Q$2)/$Q$2))</f>
        <v>26003.2984135521</v>
      </c>
      <c r="J414" s="15" t="n">
        <f aca="false">I414*(1+IF(J$3&lt;=$O$2,$D414,$D414-($D414-$I$400)*MIN(J$3-$O$2,$Q$2)/$Q$2))</f>
        <v>28813.6312991967</v>
      </c>
      <c r="K414" s="15" t="n">
        <f aca="false">J414*(1+IF(K$3&lt;=$O$2,$D414,$D414-($D414-$I$400)*MIN(K$3-$O$2,$Q$2)/$Q$2))</f>
        <v>31389.0516296412</v>
      </c>
      <c r="L414" s="15" t="n">
        <f aca="false">K414*(1+IF(L$3&lt;=$O$2,$D414,$D414-($D414-$I$400)*MIN(L$3-$O$2,$Q$2)/$Q$2))</f>
        <v>33607.8811564642</v>
      </c>
      <c r="M414" s="15" t="n">
        <f aca="false">L414*(1+IF(M$3&lt;=$O$2,$D414,$D414-($D414-$I$400)*MIN(M$3-$O$2,$Q$2)/$Q$2))</f>
        <v>35355.2894605942</v>
      </c>
      <c r="N414" s="15" t="n">
        <f aca="false">M414*(1+IF(N$3&lt;=$O$2,$D414,$D414-($D414-$I$400)*MIN(N$3-$O$2,$Q$2)/$Q$2))</f>
        <v>36532.620599632</v>
      </c>
      <c r="O414" s="15" t="n">
        <f aca="false">SUMPRODUCT(E414:N414,1/(1+$F$400)^$E$3:$N$3)*$E$2</f>
        <v>51680.3173870007</v>
      </c>
      <c r="P414" s="15" t="n">
        <f aca="false">N414*$E$2*(1+$I$400)/($F$400-$I$400)/(1+$F$400)^$N$3</f>
        <v>80913.1053581324</v>
      </c>
      <c r="Q414" s="15" t="n">
        <f aca="false">O414+P414</f>
        <v>132593.422745133</v>
      </c>
      <c r="R414" s="15" t="n">
        <f aca="false">Q414-$G$2+$I$2</f>
        <v>120973.422745133</v>
      </c>
      <c r="S414" s="40" t="n">
        <f aca="false">R414/$K$2</f>
        <v>410.399371527405</v>
      </c>
      <c r="T414" s="41" t="n">
        <f aca="false">S414-$M$2</f>
        <v>0.418708637694238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0.1265869140625</v>
      </c>
      <c r="C415" s="25" t="n">
        <f aca="false">IF(T414&gt;0,D414,C414)</f>
        <v>0.12677001953125</v>
      </c>
      <c r="D415" s="39" t="n">
        <f aca="false">(B415+C415)/2</f>
        <v>0.126678466796875</v>
      </c>
      <c r="E415" s="15" t="n">
        <f aca="false">$C$2*(1+IF(E$3&lt;=$O$2,$D415,$D415-($D415-$I$400)*MIN(E$3-$O$2,$Q$2)/$Q$2))</f>
        <v>16130.6556091309</v>
      </c>
      <c r="F415" s="15" t="n">
        <f aca="false">E415*(1+IF(F$3&lt;=$O$2,$D415,$D415-($D415-$I$400)*MIN(F$3-$O$2,$Q$2)/$Q$2))</f>
        <v>18174.062330124</v>
      </c>
      <c r="G415" s="15" t="n">
        <f aca="false">F415*(1+IF(G$3&lt;=$O$2,$D415,$D415-($D415-$I$400)*MIN(G$3-$O$2,$Q$2)/$Q$2))</f>
        <v>20476.3246815749</v>
      </c>
      <c r="H415" s="15" t="n">
        <f aca="false">G415*(1+IF(H$3&lt;=$O$2,$D415,$D415-($D415-$I$400)*MIN(H$3-$O$2,$Q$2)/$Q$2))</f>
        <v>23070.2340978718</v>
      </c>
      <c r="I415" s="15" t="n">
        <f aca="false">H415*(1+IF(I$3&lt;=$O$2,$D415,$D415-($D415-$I$400)*MIN(I$3-$O$2,$Q$2)/$Q$2))</f>
        <v>25992.7359820352</v>
      </c>
      <c r="J415" s="15" t="n">
        <f aca="false">I415*(1+IF(J$3&lt;=$O$2,$D415,$D415-($D415-$I$400)*MIN(J$3-$O$2,$Q$2)/$Q$2))</f>
        <v>28800.0235573237</v>
      </c>
      <c r="K415" s="15" t="n">
        <f aca="false">J415*(1+IF(K$3&lt;=$O$2,$D415,$D415-($D415-$I$400)*MIN(K$3-$O$2,$Q$2)/$Q$2))</f>
        <v>31372.6455678807</v>
      </c>
      <c r="L415" s="15" t="n">
        <f aca="false">K415*(1+IF(L$3&lt;=$O$2,$D415,$D415-($D415-$I$400)*MIN(L$3-$O$2,$Q$2)/$Q$2))</f>
        <v>33589.1664822873</v>
      </c>
      <c r="M415" s="15" t="n">
        <f aca="false">L415*(1+IF(M$3&lt;=$O$2,$D415,$D415-($D415-$I$400)*MIN(M$3-$O$2,$Q$2)/$Q$2))</f>
        <v>35334.9866995676</v>
      </c>
      <c r="N415" s="15" t="n">
        <f aca="false">M415*(1+IF(N$3&lt;=$O$2,$D415,$D415-($D415-$I$400)*MIN(N$3-$O$2,$Q$2)/$Q$2))</f>
        <v>36511.6417566633</v>
      </c>
      <c r="O415" s="15" t="n">
        <f aca="false">SUMPRODUCT(E415:N415,1/(1+$F$400)^$E$3:$N$3)*$E$2</f>
        <v>51659.8871964014</v>
      </c>
      <c r="P415" s="15" t="n">
        <f aca="false">N415*$E$2*(1+$I$400)/($F$400-$I$400)/(1+$F$400)^$N$3</f>
        <v>80866.6410392973</v>
      </c>
      <c r="Q415" s="15" t="n">
        <f aca="false">O415+P415</f>
        <v>132526.528235699</v>
      </c>
      <c r="R415" s="15" t="n">
        <f aca="false">Q415-$G$2+$I$2</f>
        <v>120906.528235699</v>
      </c>
      <c r="S415" s="40" t="n">
        <f aca="false">R415/$K$2</f>
        <v>410.172433543776</v>
      </c>
      <c r="T415" s="41" t="n">
        <f aca="false">S415-$M$2</f>
        <v>0.191770654064953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0.1265869140625</v>
      </c>
      <c r="C416" s="25" t="n">
        <f aca="false">IF(T415&gt;0,D415,C415)</f>
        <v>0.126678466796875</v>
      </c>
      <c r="D416" s="39" t="n">
        <f aca="false">(B416+C416)/2</f>
        <v>0.126632690429688</v>
      </c>
      <c r="E416" s="15" t="n">
        <f aca="false">$C$2*(1+IF(E$3&lt;=$O$2,$D416,$D416-($D416-$I$400)*MIN(E$3-$O$2,$Q$2)/$Q$2))</f>
        <v>16130.0002288818</v>
      </c>
      <c r="F416" s="15" t="n">
        <f aca="false">E416*(1+IF(F$3&lt;=$O$2,$D416,$D416-($D416-$I$400)*MIN(F$3-$O$2,$Q$2)/$Q$2))</f>
        <v>18172.5855544966</v>
      </c>
      <c r="G416" s="15" t="n">
        <f aca="false">F416*(1+IF(G$3&lt;=$O$2,$D416,$D416-($D416-$I$400)*MIN(G$3-$O$2,$Q$2)/$Q$2))</f>
        <v>20473.8289553262</v>
      </c>
      <c r="H416" s="15" t="n">
        <f aca="false">G416*(1+IF(H$3&lt;=$O$2,$D416,$D416-($D416-$I$400)*MIN(H$3-$O$2,$Q$2)/$Q$2))</f>
        <v>23066.4849993364</v>
      </c>
      <c r="I416" s="15" t="n">
        <f aca="false">H416*(1+IF(I$3&lt;=$O$2,$D416,$D416-($D416-$I$400)*MIN(I$3-$O$2,$Q$2)/$Q$2))</f>
        <v>25987.4560535584</v>
      </c>
      <c r="J416" s="15" t="n">
        <f aca="false">I416*(1+IF(J$3&lt;=$O$2,$D416,$D416-($D416-$I$400)*MIN(J$3-$O$2,$Q$2)/$Q$2))</f>
        <v>28793.2216928634</v>
      </c>
      <c r="K416" s="15" t="n">
        <f aca="false">J416*(1+IF(K$3&lt;=$O$2,$D416,$D416-($D416-$I$400)*MIN(K$3-$O$2,$Q$2)/$Q$2))</f>
        <v>31364.4452832758</v>
      </c>
      <c r="L416" s="15" t="n">
        <f aca="false">K416*(1+IF(L$3&lt;=$O$2,$D416,$D416-($D416-$I$400)*MIN(L$3-$O$2,$Q$2)/$Q$2))</f>
        <v>33579.812536058</v>
      </c>
      <c r="M416" s="15" t="n">
        <f aca="false">L416*(1+IF(M$3&lt;=$O$2,$D416,$D416-($D416-$I$400)*MIN(M$3-$O$2,$Q$2)/$Q$2))</f>
        <v>35324.8391431317</v>
      </c>
      <c r="N416" s="15" t="n">
        <f aca="false">M416*(1+IF(N$3&lt;=$O$2,$D416,$D416-($D416-$I$400)*MIN(N$3-$O$2,$Q$2)/$Q$2))</f>
        <v>36501.156286598</v>
      </c>
      <c r="O416" s="15" t="n">
        <f aca="false">SUMPRODUCT(E416:N416,1/(1+$F$400)^$E$3:$N$3)*$E$2</f>
        <v>51649.6750923242</v>
      </c>
      <c r="P416" s="15" t="n">
        <f aca="false">N416*$E$2*(1+$I$400)/($F$400-$I$400)/(1+$F$400)^$N$3</f>
        <v>80843.4176315539</v>
      </c>
      <c r="Q416" s="15" t="n">
        <f aca="false">O416+P416</f>
        <v>132493.092723878</v>
      </c>
      <c r="R416" s="15" t="n">
        <f aca="false">Q416-$G$2+$I$2</f>
        <v>120873.092723878</v>
      </c>
      <c r="S416" s="40" t="n">
        <f aca="false">R416/$K$2</f>
        <v>410.05900438945</v>
      </c>
      <c r="T416" s="41" t="n">
        <f aca="false">S416-$M$2</f>
        <v>0.0783414997391674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0.1265869140625</v>
      </c>
      <c r="C417" s="25" t="n">
        <f aca="false">IF(T416&gt;0,D416,C416)</f>
        <v>0.126632690429688</v>
      </c>
      <c r="D417" s="39" t="n">
        <f aca="false">(B417+C417)/2</f>
        <v>0.126609802246094</v>
      </c>
      <c r="E417" s="15" t="n">
        <f aca="false">$C$2*(1+IF(E$3&lt;=$O$2,$D417,$D417-($D417-$I$400)*MIN(E$3-$O$2,$Q$2)/$Q$2))</f>
        <v>16129.6725387573</v>
      </c>
      <c r="F417" s="15" t="n">
        <f aca="false">E417*(1+IF(F$3&lt;=$O$2,$D417,$D417-($D417-$I$400)*MIN(F$3-$O$2,$Q$2)/$Q$2))</f>
        <v>18171.8471891836</v>
      </c>
      <c r="G417" s="15" t="n">
        <f aca="false">F417*(1+IF(G$3&lt;=$O$2,$D417,$D417-($D417-$I$400)*MIN(G$3-$O$2,$Q$2)/$Q$2))</f>
        <v>20472.5811682524</v>
      </c>
      <c r="H417" s="15" t="n">
        <f aca="false">G417*(1+IF(H$3&lt;=$O$2,$D417,$D417-($D417-$I$400)*MIN(H$3-$O$2,$Q$2)/$Q$2))</f>
        <v>23064.610621432</v>
      </c>
      <c r="I417" s="15" t="n">
        <f aca="false">H417*(1+IF(I$3&lt;=$O$2,$D417,$D417-($D417-$I$400)*MIN(I$3-$O$2,$Q$2)/$Q$2))</f>
        <v>25984.8164110946</v>
      </c>
      <c r="J417" s="15" t="n">
        <f aca="false">I417*(1+IF(J$3&lt;=$O$2,$D417,$D417-($D417-$I$400)*MIN(J$3-$O$2,$Q$2)/$Q$2))</f>
        <v>28789.8212621603</v>
      </c>
      <c r="K417" s="15" t="n">
        <f aca="false">J417*(1+IF(K$3&lt;=$O$2,$D417,$D417-($D417-$I$400)*MIN(K$3-$O$2,$Q$2)/$Q$2))</f>
        <v>31360.3458273938</v>
      </c>
      <c r="L417" s="15" t="n">
        <f aca="false">K417*(1+IF(L$3&lt;=$O$2,$D417,$D417-($D417-$I$400)*MIN(L$3-$O$2,$Q$2)/$Q$2))</f>
        <v>33575.1364104553</v>
      </c>
      <c r="M417" s="15" t="n">
        <f aca="false">L417*(1+IF(M$3&lt;=$O$2,$D417,$D417-($D417-$I$400)*MIN(M$3-$O$2,$Q$2)/$Q$2))</f>
        <v>35319.7663206925</v>
      </c>
      <c r="N417" s="15" t="n">
        <f aca="false">M417*(1+IF(N$3&lt;=$O$2,$D417,$D417-($D417-$I$400)*MIN(N$3-$O$2,$Q$2)/$Q$2))</f>
        <v>36495.9145391715</v>
      </c>
      <c r="O417" s="15" t="n">
        <f aca="false">SUMPRODUCT(E417:N417,1/(1+$F$400)^$E$3:$N$3)*$E$2</f>
        <v>51644.5697879343</v>
      </c>
      <c r="P417" s="15" t="n">
        <f aca="false">N417*$E$2*(1+$I$400)/($F$400-$I$400)/(1+$F$400)^$N$3</f>
        <v>80831.8081150502</v>
      </c>
      <c r="Q417" s="15" t="n">
        <f aca="false">O417+P417</f>
        <v>132476.377902984</v>
      </c>
      <c r="R417" s="15" t="n">
        <f aca="false">Q417-$G$2+$I$2</f>
        <v>120856.377902984</v>
      </c>
      <c r="S417" s="40" t="n">
        <f aca="false">R417/$K$2</f>
        <v>410.002299769259</v>
      </c>
      <c r="T417" s="41" t="n">
        <f aca="false">S417-$M$2</f>
        <v>0.021636879548339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0.1265869140625</v>
      </c>
      <c r="C418" s="25" t="n">
        <f aca="false">IF(T417&gt;0,D417,C417)</f>
        <v>0.126609802246094</v>
      </c>
      <c r="D418" s="39" t="n">
        <f aca="false">(B418+C418)/2</f>
        <v>0.126598358154297</v>
      </c>
      <c r="E418" s="15" t="n">
        <f aca="false">$C$2*(1+IF(E$3&lt;=$O$2,$D418,$D418-($D418-$I$400)*MIN(E$3-$O$2,$Q$2)/$Q$2))</f>
        <v>16129.5086936951</v>
      </c>
      <c r="F418" s="15" t="n">
        <f aca="false">E418*(1+IF(F$3&lt;=$O$2,$D418,$D418-($D418-$I$400)*MIN(F$3-$O$2,$Q$2)/$Q$2))</f>
        <v>18171.4780121523</v>
      </c>
      <c r="G418" s="15" t="n">
        <f aca="false">F418*(1+IF(G$3&lt;=$O$2,$D418,$D418-($D418-$I$400)*MIN(G$3-$O$2,$Q$2)/$Q$2))</f>
        <v>20471.9572937277</v>
      </c>
      <c r="H418" s="15" t="n">
        <f aca="false">G418*(1+IF(H$3&lt;=$O$2,$D418,$D418-($D418-$I$400)*MIN(H$3-$O$2,$Q$2)/$Q$2))</f>
        <v>23063.6734753185</v>
      </c>
      <c r="I418" s="15" t="n">
        <f aca="false">H418*(1+IF(I$3&lt;=$O$2,$D418,$D418-($D418-$I$400)*MIN(I$3-$O$2,$Q$2)/$Q$2))</f>
        <v>25983.4966703007</v>
      </c>
      <c r="J418" s="15" t="n">
        <f aca="false">I418*(1+IF(J$3&lt;=$O$2,$D418,$D418-($D418-$I$400)*MIN(J$3-$O$2,$Q$2)/$Q$2))</f>
        <v>28788.121172179</v>
      </c>
      <c r="K418" s="15" t="n">
        <f aca="false">J418*(1+IF(K$3&lt;=$O$2,$D418,$D418-($D418-$I$400)*MIN(K$3-$O$2,$Q$2)/$Q$2))</f>
        <v>31358.2962710393</v>
      </c>
      <c r="L418" s="15" t="n">
        <f aca="false">K418*(1+IF(L$3&lt;=$O$2,$D418,$D418-($D418-$I$400)*MIN(L$3-$O$2,$Q$2)/$Q$2))</f>
        <v>33572.7985595065</v>
      </c>
      <c r="M418" s="15" t="n">
        <f aca="false">L418*(1+IF(M$3&lt;=$O$2,$D418,$D418-($D418-$I$400)*MIN(M$3-$O$2,$Q$2)/$Q$2))</f>
        <v>35317.2301483875</v>
      </c>
      <c r="N418" s="15" t="n">
        <f aca="false">M418*(1+IF(N$3&lt;=$O$2,$D418,$D418-($D418-$I$400)*MIN(N$3-$O$2,$Q$2)/$Q$2))</f>
        <v>36493.2939123288</v>
      </c>
      <c r="O418" s="15" t="n">
        <f aca="false">SUMPRODUCT(E418:N418,1/(1+$F$400)^$E$3:$N$3)*$E$2</f>
        <v>51642.0173226319</v>
      </c>
      <c r="P418" s="15" t="n">
        <f aca="false">N418*$E$2*(1+$I$400)/($F$400-$I$400)/(1+$F$400)^$N$3</f>
        <v>80826.0039035715</v>
      </c>
      <c r="Q418" s="15" t="n">
        <f aca="false">O418+P418</f>
        <v>132468.021226203</v>
      </c>
      <c r="R418" s="15" t="n">
        <f aca="false">Q418-$G$2+$I$2</f>
        <v>120848.021226203</v>
      </c>
      <c r="S418" s="40" t="n">
        <f aca="false">R418/$K$2</f>
        <v>409.973949948107</v>
      </c>
      <c r="T418" s="41" t="n">
        <f aca="false">S418-$M$2</f>
        <v>-0.00671294160400748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0.126598358154297</v>
      </c>
      <c r="C419" s="25" t="n">
        <f aca="false">IF(T418&gt;0,D418,C418)</f>
        <v>0.126609802246094</v>
      </c>
      <c r="D419" s="39" t="n">
        <f aca="false">(B419+C419)/2</f>
        <v>0.126604080200195</v>
      </c>
      <c r="E419" s="15" t="n">
        <f aca="false">$C$2*(1+IF(E$3&lt;=$O$2,$D419,$D419-($D419-$I$400)*MIN(E$3-$O$2,$Q$2)/$Q$2))</f>
        <v>16129.5906162262</v>
      </c>
      <c r="F419" s="15" t="n">
        <f aca="false">E419*(1+IF(F$3&lt;=$O$2,$D419,$D419-($D419-$I$400)*MIN(F$3-$O$2,$Q$2)/$Q$2))</f>
        <v>18171.6626001992</v>
      </c>
      <c r="G419" s="15" t="n">
        <f aca="false">F419*(1+IF(G$3&lt;=$O$2,$D419,$D419-($D419-$I$400)*MIN(G$3-$O$2,$Q$2)/$Q$2))</f>
        <v>20472.2692294057</v>
      </c>
      <c r="H419" s="15" t="n">
        <f aca="false">G419*(1+IF(H$3&lt;=$O$2,$D419,$D419-($D419-$I$400)*MIN(H$3-$O$2,$Q$2)/$Q$2))</f>
        <v>23064.1420448054</v>
      </c>
      <c r="I419" s="15" t="n">
        <f aca="false">H419*(1+IF(I$3&lt;=$O$2,$D419,$D419-($D419-$I$400)*MIN(I$3-$O$2,$Q$2)/$Q$2))</f>
        <v>25984.1565339946</v>
      </c>
      <c r="J419" s="15" t="n">
        <f aca="false">I419*(1+IF(J$3&lt;=$O$2,$D419,$D419-($D419-$I$400)*MIN(J$3-$O$2,$Q$2)/$Q$2))</f>
        <v>28788.9712067225</v>
      </c>
      <c r="K419" s="15" t="n">
        <f aca="false">J419*(1+IF(K$3&lt;=$O$2,$D419,$D419-($D419-$I$400)*MIN(K$3-$O$2,$Q$2)/$Q$2))</f>
        <v>31359.3210349182</v>
      </c>
      <c r="L419" s="15" t="n">
        <f aca="false">K419*(1+IF(L$3&lt;=$O$2,$D419,$D419-($D419-$I$400)*MIN(L$3-$O$2,$Q$2)/$Q$2))</f>
        <v>33573.9674673273</v>
      </c>
      <c r="M419" s="15" t="n">
        <f aca="false">L419*(1+IF(M$3&lt;=$O$2,$D419,$D419-($D419-$I$400)*MIN(M$3-$O$2,$Q$2)/$Q$2))</f>
        <v>35318.4982146313</v>
      </c>
      <c r="N419" s="15" t="n">
        <f aca="false">M419*(1+IF(N$3&lt;=$O$2,$D419,$D419-($D419-$I$400)*MIN(N$3-$O$2,$Q$2)/$Q$2))</f>
        <v>36494.6042051786</v>
      </c>
      <c r="O419" s="15" t="n">
        <f aca="false">SUMPRODUCT(E419:N419,1/(1+$F$400)^$E$3:$N$3)*$E$2</f>
        <v>51643.2935397093</v>
      </c>
      <c r="P419" s="15" t="n">
        <f aca="false">N419*$E$2*(1+$I$400)/($F$400-$I$400)/(1+$F$400)^$N$3</f>
        <v>80828.9059637485</v>
      </c>
      <c r="Q419" s="15" t="n">
        <f aca="false">O419+P419</f>
        <v>132472.199503458</v>
      </c>
      <c r="R419" s="15" t="n">
        <f aca="false">Q419-$G$2+$I$2</f>
        <v>120852.199503458</v>
      </c>
      <c r="S419" s="40" t="n">
        <f aca="false">R419/$K$2</f>
        <v>409.98812465128</v>
      </c>
      <c r="T419" s="41" t="n">
        <f aca="false">S419-$M$2</f>
        <v>0.007461761569175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0.126598358154297</v>
      </c>
      <c r="C420" s="25" t="n">
        <f aca="false">IF(T419&gt;0,D419,C419)</f>
        <v>0.126604080200195</v>
      </c>
      <c r="D420" s="39" t="n">
        <f aca="false">(B420+C420)/2</f>
        <v>0.126601219177246</v>
      </c>
      <c r="E420" s="15" t="n">
        <f aca="false">$C$2*(1+IF(E$3&lt;=$O$2,$D420,$D420-($D420-$I$400)*MIN(E$3-$O$2,$Q$2)/$Q$2))</f>
        <v>16129.5496549606</v>
      </c>
      <c r="F420" s="15" t="n">
        <f aca="false">E420*(1+IF(F$3&lt;=$O$2,$D420,$D420-($D420-$I$400)*MIN(F$3-$O$2,$Q$2)/$Q$2))</f>
        <v>18171.5703060586</v>
      </c>
      <c r="G420" s="15" t="n">
        <f aca="false">F420*(1+IF(G$3&lt;=$O$2,$D420,$D420-($D420-$I$400)*MIN(G$3-$O$2,$Q$2)/$Q$2))</f>
        <v>20472.1132611706</v>
      </c>
      <c r="H420" s="15" t="n">
        <f aca="false">G420*(1+IF(H$3&lt;=$O$2,$D420,$D420-($D420-$I$400)*MIN(H$3-$O$2,$Q$2)/$Q$2))</f>
        <v>23063.9077591695</v>
      </c>
      <c r="I420" s="15" t="n">
        <f aca="false">H420*(1+IF(I$3&lt;=$O$2,$D420,$D420-($D420-$I$400)*MIN(I$3-$O$2,$Q$2)/$Q$2))</f>
        <v>25983.8266004719</v>
      </c>
      <c r="J420" s="15" t="n">
        <f aca="false">I420*(1+IF(J$3&lt;=$O$2,$D420,$D420-($D420-$I$400)*MIN(J$3-$O$2,$Q$2)/$Q$2))</f>
        <v>28788.546186839</v>
      </c>
      <c r="K420" s="15" t="n">
        <f aca="false">J420*(1+IF(K$3&lt;=$O$2,$D420,$D420-($D420-$I$400)*MIN(K$3-$O$2,$Q$2)/$Q$2))</f>
        <v>31358.8086494042</v>
      </c>
      <c r="L420" s="15" t="n">
        <f aca="false">K420*(1+IF(L$3&lt;=$O$2,$D420,$D420-($D420-$I$400)*MIN(L$3-$O$2,$Q$2)/$Q$2))</f>
        <v>33573.3830090036</v>
      </c>
      <c r="M420" s="15" t="n">
        <f aca="false">L420*(1+IF(M$3&lt;=$O$2,$D420,$D420-($D420-$I$400)*MIN(M$3-$O$2,$Q$2)/$Q$2))</f>
        <v>35317.8641765323</v>
      </c>
      <c r="N420" s="15" t="n">
        <f aca="false">M420*(1+IF(N$3&lt;=$O$2,$D420,$D420-($D420-$I$400)*MIN(N$3-$O$2,$Q$2)/$Q$2))</f>
        <v>36493.9490536108</v>
      </c>
      <c r="O420" s="15" t="n">
        <f aca="false">SUMPRODUCT(E420:N420,1/(1+$F$400)^$E$3:$N$3)*$E$2</f>
        <v>51642.6554272772</v>
      </c>
      <c r="P420" s="15" t="n">
        <f aca="false">N420*$E$2*(1+$I$400)/($F$400-$I$400)/(1+$F$400)^$N$3</f>
        <v>80827.4549222695</v>
      </c>
      <c r="Q420" s="15" t="n">
        <f aca="false">O420+P420</f>
        <v>132470.110349547</v>
      </c>
      <c r="R420" s="15" t="n">
        <f aca="false">Q420-$G$2+$I$2</f>
        <v>120850.110349547</v>
      </c>
      <c r="S420" s="40" t="n">
        <f aca="false">R420/$K$2</f>
        <v>409.981037247843</v>
      </c>
      <c r="T420" s="41" t="n">
        <f aca="false">S420-$M$2</f>
        <v>0.000374358132376074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0.126598358154297</v>
      </c>
      <c r="C421" s="25" t="n">
        <f aca="false">IF(T420&gt;0,D420,C420)</f>
        <v>0.126601219177246</v>
      </c>
      <c r="D421" s="39" t="n">
        <f aca="false">(B421+C421)/2</f>
        <v>0.126599788665771</v>
      </c>
      <c r="E421" s="15" t="n">
        <f aca="false">$C$2*(1+IF(E$3&lt;=$O$2,$D421,$D421-($D421-$I$400)*MIN(E$3-$O$2,$Q$2)/$Q$2))</f>
        <v>16129.5291743279</v>
      </c>
      <c r="F421" s="15" t="n">
        <f aca="false">E421*(1+IF(F$3&lt;=$O$2,$D421,$D421-($D421-$I$400)*MIN(F$3-$O$2,$Q$2)/$Q$2))</f>
        <v>18171.5241590762</v>
      </c>
      <c r="G421" s="15" t="n">
        <f aca="false">F421*(1+IF(G$3&lt;=$O$2,$D421,$D421-($D421-$I$400)*MIN(G$3-$O$2,$Q$2)/$Q$2))</f>
        <v>20472.0352773502</v>
      </c>
      <c r="H421" s="15" t="n">
        <f aca="false">G421*(1+IF(H$3&lt;=$O$2,$D421,$D421-($D421-$I$400)*MIN(H$3-$O$2,$Q$2)/$Q$2))</f>
        <v>23063.7906170209</v>
      </c>
      <c r="I421" s="15" t="n">
        <f aca="false">H421*(1+IF(I$3&lt;=$O$2,$D421,$D421-($D421-$I$400)*MIN(I$3-$O$2,$Q$2)/$Q$2))</f>
        <v>25983.6616349674</v>
      </c>
      <c r="J421" s="15" t="n">
        <f aca="false">I421*(1+IF(J$3&lt;=$O$2,$D421,$D421-($D421-$I$400)*MIN(J$3-$O$2,$Q$2)/$Q$2))</f>
        <v>28788.3336788561</v>
      </c>
      <c r="K421" s="15" t="n">
        <f aca="false">J421*(1+IF(K$3&lt;=$O$2,$D421,$D421-($D421-$I$400)*MIN(K$3-$O$2,$Q$2)/$Q$2))</f>
        <v>31358.5524593282</v>
      </c>
      <c r="L421" s="15" t="n">
        <f aca="false">K421*(1+IF(L$3&lt;=$O$2,$D421,$D421-($D421-$I$400)*MIN(L$3-$O$2,$Q$2)/$Q$2))</f>
        <v>33573.0907831517</v>
      </c>
      <c r="M421" s="15" t="n">
        <f aca="false">L421*(1+IF(M$3&lt;=$O$2,$D421,$D421-($D421-$I$400)*MIN(M$3-$O$2,$Q$2)/$Q$2))</f>
        <v>35317.5471612156</v>
      </c>
      <c r="N421" s="15" t="n">
        <f aca="false">M421*(1+IF(N$3&lt;=$O$2,$D421,$D421-($D421-$I$400)*MIN(N$3-$O$2,$Q$2)/$Q$2))</f>
        <v>36493.6214816841</v>
      </c>
      <c r="O421" s="15" t="n">
        <f aca="false">SUMPRODUCT(E421:N421,1/(1+$F$400)^$E$3:$N$3)*$E$2</f>
        <v>51642.3363739812</v>
      </c>
      <c r="P421" s="15" t="n">
        <f aca="false">N421*$E$2*(1+$I$400)/($F$400-$I$400)/(1+$F$400)^$N$3</f>
        <v>80826.7294100729</v>
      </c>
      <c r="Q421" s="15" t="n">
        <f aca="false">O421+P421</f>
        <v>132469.065784054</v>
      </c>
      <c r="R421" s="15" t="n">
        <f aca="false">Q421-$G$2+$I$2</f>
        <v>120849.065784054</v>
      </c>
      <c r="S421" s="40" t="n">
        <f aca="false">R421/$K$2</f>
        <v>409.977493585012</v>
      </c>
      <c r="T421" s="41" t="n">
        <f aca="false">S421-$M$2</f>
        <v>-0.00316930469841736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0.126599788665771</v>
      </c>
      <c r="C422" s="25" t="n">
        <f aca="false">IF(T421&gt;0,D421,C421)</f>
        <v>0.126601219177246</v>
      </c>
      <c r="D422" s="39" t="n">
        <f aca="false">(B422+C422)/2</f>
        <v>0.126600503921509</v>
      </c>
      <c r="E422" s="15" t="n">
        <f aca="false">$C$2*(1+IF(E$3&lt;=$O$2,$D422,$D422-($D422-$I$400)*MIN(E$3-$O$2,$Q$2)/$Q$2))</f>
        <v>16129.5394146442</v>
      </c>
      <c r="F422" s="15" t="n">
        <f aca="false">E422*(1+IF(F$3&lt;=$O$2,$D422,$D422-($D422-$I$400)*MIN(F$3-$O$2,$Q$2)/$Q$2))</f>
        <v>18171.54723256</v>
      </c>
      <c r="G422" s="15" t="n">
        <f aca="false">F422*(1+IF(G$3&lt;=$O$2,$D422,$D422-($D422-$I$400)*MIN(G$3-$O$2,$Q$2)/$Q$2))</f>
        <v>20472.0742692356</v>
      </c>
      <c r="H422" s="15" t="n">
        <f aca="false">G422*(1+IF(H$3&lt;=$O$2,$D422,$D422-($D422-$I$400)*MIN(H$3-$O$2,$Q$2)/$Q$2))</f>
        <v>23063.8491880394</v>
      </c>
      <c r="I422" s="15" t="n">
        <f aca="false">H422*(1+IF(I$3&lt;=$O$2,$D422,$D422-($D422-$I$400)*MIN(I$3-$O$2,$Q$2)/$Q$2))</f>
        <v>25983.7441176149</v>
      </c>
      <c r="J422" s="15" t="n">
        <f aca="false">I422*(1+IF(J$3&lt;=$O$2,$D422,$D422-($D422-$I$400)*MIN(J$3-$O$2,$Q$2)/$Q$2))</f>
        <v>28788.4399326843</v>
      </c>
      <c r="K422" s="15" t="n">
        <f aca="false">J422*(1+IF(K$3&lt;=$O$2,$D422,$D422-($D422-$I$400)*MIN(K$3-$O$2,$Q$2)/$Q$2))</f>
        <v>31358.6805541428</v>
      </c>
      <c r="L422" s="15" t="n">
        <f aca="false">K422*(1+IF(L$3&lt;=$O$2,$D422,$D422-($D422-$I$400)*MIN(L$3-$O$2,$Q$2)/$Q$2))</f>
        <v>33573.2368958018</v>
      </c>
      <c r="M422" s="15" t="n">
        <f aca="false">L422*(1+IF(M$3&lt;=$O$2,$D422,$D422-($D422-$I$400)*MIN(M$3-$O$2,$Q$2)/$Q$2))</f>
        <v>35317.7056685629</v>
      </c>
      <c r="N422" s="15" t="n">
        <f aca="false">M422*(1+IF(N$3&lt;=$O$2,$D422,$D422-($D422-$I$400)*MIN(N$3-$O$2,$Q$2)/$Q$2))</f>
        <v>36493.785267326</v>
      </c>
      <c r="O422" s="15" t="n">
        <f aca="false">SUMPRODUCT(E422:N422,1/(1+$F$400)^$E$3:$N$3)*$E$2</f>
        <v>51642.4959003858</v>
      </c>
      <c r="P422" s="15" t="n">
        <f aca="false">N422*$E$2*(1+$I$400)/($F$400-$I$400)/(1+$F$400)^$N$3</f>
        <v>80827.0921654593</v>
      </c>
      <c r="Q422" s="15" t="n">
        <f aca="false">O422+P422</f>
        <v>132469.588065845</v>
      </c>
      <c r="R422" s="15" t="n">
        <f aca="false">Q422-$G$2+$I$2</f>
        <v>120849.588065845</v>
      </c>
      <c r="S422" s="40" t="n">
        <f aca="false">R422/$K$2</f>
        <v>409.979265413187</v>
      </c>
      <c r="T422" s="41" t="n">
        <f aca="false">S422-$M$2</f>
        <v>-0.0013974765237208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0.126600503921509</v>
      </c>
      <c r="C423" s="25" t="n">
        <f aca="false">IF(T422&gt;0,D422,C422)</f>
        <v>0.126601219177246</v>
      </c>
      <c r="D423" s="39" t="n">
        <f aca="false">(B423+C423)/2</f>
        <v>0.126600861549377</v>
      </c>
      <c r="E423" s="15" t="n">
        <f aca="false">$C$2*(1+IF(E$3&lt;=$O$2,$D423,$D423-($D423-$I$400)*MIN(E$3-$O$2,$Q$2)/$Q$2))</f>
        <v>16129.5445348024</v>
      </c>
      <c r="F423" s="15" t="n">
        <f aca="false">E423*(1+IF(F$3&lt;=$O$2,$D423,$D423-($D423-$I$400)*MIN(F$3-$O$2,$Q$2)/$Q$2))</f>
        <v>18171.5587693075</v>
      </c>
      <c r="G423" s="15" t="n">
        <f aca="false">F423*(1+IF(G$3&lt;=$O$2,$D423,$D423-($D423-$I$400)*MIN(G$3-$O$2,$Q$2)/$Q$2))</f>
        <v>20472.093765197</v>
      </c>
      <c r="H423" s="15" t="n">
        <f aca="false">G423*(1+IF(H$3&lt;=$O$2,$D423,$D423-($D423-$I$400)*MIN(H$3-$O$2,$Q$2)/$Q$2))</f>
        <v>23063.8784735905</v>
      </c>
      <c r="I423" s="15" t="n">
        <f aca="false">H423*(1+IF(I$3&lt;=$O$2,$D423,$D423-($D423-$I$400)*MIN(I$3-$O$2,$Q$2)/$Q$2))</f>
        <v>25983.7853590172</v>
      </c>
      <c r="J423" s="15" t="n">
        <f aca="false">I423*(1+IF(J$3&lt;=$O$2,$D423,$D423-($D423-$I$400)*MIN(J$3-$O$2,$Q$2)/$Q$2))</f>
        <v>28788.4930597208</v>
      </c>
      <c r="K423" s="15" t="n">
        <f aca="false">J423*(1+IF(K$3&lt;=$O$2,$D423,$D423-($D423-$I$400)*MIN(K$3-$O$2,$Q$2)/$Q$2))</f>
        <v>31358.7446017177</v>
      </c>
      <c r="L423" s="15" t="n">
        <f aca="false">K423*(1+IF(L$3&lt;=$O$2,$D423,$D423-($D423-$I$400)*MIN(L$3-$O$2,$Q$2)/$Q$2))</f>
        <v>33573.3099523337</v>
      </c>
      <c r="M423" s="15" t="n">
        <f aca="false">L423*(1+IF(M$3&lt;=$O$2,$D423,$D423-($D423-$I$400)*MIN(M$3-$O$2,$Q$2)/$Q$2))</f>
        <v>35317.7849224698</v>
      </c>
      <c r="N423" s="15" t="n">
        <f aca="false">M423*(1+IF(N$3&lt;=$O$2,$D423,$D423-($D423-$I$400)*MIN(N$3-$O$2,$Q$2)/$Q$2))</f>
        <v>36493.8671603881</v>
      </c>
      <c r="O423" s="15" t="n">
        <f aca="false">SUMPRODUCT(E423:N423,1/(1+$F$400)^$E$3:$N$3)*$E$2</f>
        <v>51642.5756637707</v>
      </c>
      <c r="P423" s="15" t="n">
        <f aca="false">N423*$E$2*(1+$I$400)/($F$400-$I$400)/(1+$F$400)^$N$3</f>
        <v>80827.2735436865</v>
      </c>
      <c r="Q423" s="15" t="n">
        <f aca="false">O423+P423</f>
        <v>132469.849207457</v>
      </c>
      <c r="R423" s="15" t="n">
        <f aca="false">Q423-$G$2+$I$2</f>
        <v>120849.849207457</v>
      </c>
      <c r="S423" s="40" t="n">
        <f aca="false">R423/$K$2</f>
        <v>409.980151329705</v>
      </c>
      <c r="T423" s="41" t="n">
        <f aca="false">S423-$M$2</f>
        <v>-0.000511560005691081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0.126600861549377</v>
      </c>
      <c r="C424" s="25" t="n">
        <f aca="false">IF(T423&gt;0,D423,C423)</f>
        <v>0.126601219177246</v>
      </c>
      <c r="D424" s="39" t="n">
        <f aca="false">(B424+C424)/2</f>
        <v>0.126601040363312</v>
      </c>
      <c r="E424" s="15" t="n">
        <f aca="false">$C$2*(1+IF(E$3&lt;=$O$2,$D424,$D424-($D424-$I$400)*MIN(E$3-$O$2,$Q$2)/$Q$2))</f>
        <v>16129.5470948815</v>
      </c>
      <c r="F424" s="15" t="n">
        <f aca="false">E424*(1+IF(F$3&lt;=$O$2,$D424,$D424-($D424-$I$400)*MIN(F$3-$O$2,$Q$2)/$Q$2))</f>
        <v>18171.5645376826</v>
      </c>
      <c r="G424" s="15" t="n">
        <f aca="false">F424*(1+IF(G$3&lt;=$O$2,$D424,$D424-($D424-$I$400)*MIN(G$3-$O$2,$Q$2)/$Q$2))</f>
        <v>20472.1035131822</v>
      </c>
      <c r="H424" s="15" t="n">
        <f aca="false">G424*(1+IF(H$3&lt;=$O$2,$D424,$D424-($D424-$I$400)*MIN(H$3-$O$2,$Q$2)/$Q$2))</f>
        <v>23063.8931163765</v>
      </c>
      <c r="I424" s="15" t="n">
        <f aca="false">H424*(1+IF(I$3&lt;=$O$2,$D424,$D424-($D424-$I$400)*MIN(I$3-$O$2,$Q$2)/$Q$2))</f>
        <v>25983.805979738</v>
      </c>
      <c r="J424" s="15" t="n">
        <f aca="false">I424*(1+IF(J$3&lt;=$O$2,$D424,$D424-($D424-$I$400)*MIN(J$3-$O$2,$Q$2)/$Q$2))</f>
        <v>28788.5196232697</v>
      </c>
      <c r="K424" s="15" t="n">
        <f aca="false">J424*(1+IF(K$3&lt;=$O$2,$D424,$D424-($D424-$I$400)*MIN(K$3-$O$2,$Q$2)/$Q$2))</f>
        <v>31358.776625547</v>
      </c>
      <c r="L424" s="15" t="n">
        <f aca="false">K424*(1+IF(L$3&lt;=$O$2,$D424,$D424-($D424-$I$400)*MIN(L$3-$O$2,$Q$2)/$Q$2))</f>
        <v>33573.3464806514</v>
      </c>
      <c r="M424" s="15" t="n">
        <f aca="false">L424*(1+IF(M$3&lt;=$O$2,$D424,$D424-($D424-$I$400)*MIN(M$3-$O$2,$Q$2)/$Q$2))</f>
        <v>35317.8245494816</v>
      </c>
      <c r="N424" s="15" t="n">
        <f aca="false">M424*(1+IF(N$3&lt;=$O$2,$D424,$D424-($D424-$I$400)*MIN(N$3-$O$2,$Q$2)/$Q$2))</f>
        <v>36493.9081069794</v>
      </c>
      <c r="O424" s="15" t="n">
        <f aca="false">SUMPRODUCT(E424:N424,1/(1+$F$400)^$E$3:$N$3)*$E$2</f>
        <v>51642.6155455087</v>
      </c>
      <c r="P424" s="15" t="n">
        <f aca="false">N424*$E$2*(1+$I$400)/($F$400-$I$400)/(1+$F$400)^$N$3</f>
        <v>80827.3642329335</v>
      </c>
      <c r="Q424" s="15" t="n">
        <f aca="false">O424+P424</f>
        <v>132469.979778442</v>
      </c>
      <c r="R424" s="15" t="n">
        <f aca="false">Q424-$G$2+$I$2</f>
        <v>120849.979778442</v>
      </c>
      <c r="S424" s="40" t="n">
        <f aca="false">R424/$K$2</f>
        <v>409.980594288571</v>
      </c>
      <c r="T424" s="41" t="n">
        <f aca="false">S424-$M$2</f>
        <v>-6.86011391621832E-005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0.126601040363312</v>
      </c>
      <c r="C425" s="25" t="n">
        <f aca="false">IF(T424&gt;0,D424,C424)</f>
        <v>0.126601219177246</v>
      </c>
      <c r="D425" s="39" t="n">
        <f aca="false">(B425+C425)/2</f>
        <v>0.126601129770279</v>
      </c>
      <c r="E425" s="15" t="n">
        <f aca="false">$C$2*(1+IF(E$3&lt;=$O$2,$D425,$D425-($D425-$I$400)*MIN(E$3-$O$2,$Q$2)/$Q$2))</f>
        <v>16129.5483749211</v>
      </c>
      <c r="F425" s="15" t="n">
        <f aca="false">E425*(1+IF(F$3&lt;=$O$2,$D425,$D425-($D425-$I$400)*MIN(F$3-$O$2,$Q$2)/$Q$2))</f>
        <v>18171.5674218705</v>
      </c>
      <c r="G425" s="15" t="n">
        <f aca="false">F425*(1+IF(G$3&lt;=$O$2,$D425,$D425-($D425-$I$400)*MIN(G$3-$O$2,$Q$2)/$Q$2))</f>
        <v>20472.1083871761</v>
      </c>
      <c r="H425" s="15" t="n">
        <f aca="false">G425*(1+IF(H$3&lt;=$O$2,$D425,$D425-($D425-$I$400)*MIN(H$3-$O$2,$Q$2)/$Q$2))</f>
        <v>23063.9004377721</v>
      </c>
      <c r="I425" s="15" t="n">
        <f aca="false">H425*(1+IF(I$3&lt;=$O$2,$D425,$D425-($D425-$I$400)*MIN(I$3-$O$2,$Q$2)/$Q$2))</f>
        <v>25983.8162901033</v>
      </c>
      <c r="J425" s="15" t="n">
        <f aca="false">I425*(1+IF(J$3&lt;=$O$2,$D425,$D425-($D425-$I$400)*MIN(J$3-$O$2,$Q$2)/$Q$2))</f>
        <v>28788.5329050518</v>
      </c>
      <c r="K425" s="15" t="n">
        <f aca="false">J425*(1+IF(K$3&lt;=$O$2,$D425,$D425-($D425-$I$400)*MIN(K$3-$O$2,$Q$2)/$Q$2))</f>
        <v>31358.7926374721</v>
      </c>
      <c r="L425" s="15" t="n">
        <f aca="false">K425*(1+IF(L$3&lt;=$O$2,$D425,$D425-($D425-$I$400)*MIN(L$3-$O$2,$Q$2)/$Q$2))</f>
        <v>33573.3647448232</v>
      </c>
      <c r="M425" s="15" t="n">
        <f aca="false">L425*(1+IF(M$3&lt;=$O$2,$D425,$D425-($D425-$I$400)*MIN(M$3-$O$2,$Q$2)/$Q$2))</f>
        <v>35317.8443630021</v>
      </c>
      <c r="N425" s="15" t="n">
        <f aca="false">M425*(1+IF(N$3&lt;=$O$2,$D425,$D425-($D425-$I$400)*MIN(N$3-$O$2,$Q$2)/$Q$2))</f>
        <v>36493.9285802901</v>
      </c>
      <c r="O425" s="15" t="n">
        <f aca="false">SUMPRODUCT(E425:N425,1/(1+$F$400)^$E$3:$N$3)*$E$2</f>
        <v>51642.6354863891</v>
      </c>
      <c r="P425" s="15" t="n">
        <f aca="false">N425*$E$2*(1+$I$400)/($F$400-$I$400)/(1+$F$400)^$N$3</f>
        <v>80827.4095775903</v>
      </c>
      <c r="Q425" s="15" t="n">
        <f aca="false">O425+P425</f>
        <v>132470.045063979</v>
      </c>
      <c r="R425" s="15" t="n">
        <f aca="false">Q425-$G$2+$I$2</f>
        <v>120850.045063979</v>
      </c>
      <c r="S425" s="40" t="n">
        <f aca="false">R425/$K$2</f>
        <v>409.980815768156</v>
      </c>
      <c r="T425" s="41" t="n">
        <f aca="false">S425-$M$2</f>
        <v>0.00015287844581735</v>
      </c>
    </row>
    <row r="427" customFormat="false" ht="15" hidden="false" customHeight="false" outlineLevel="0" collapsed="false">
      <c r="A427" s="36" t="s">
        <v>189</v>
      </c>
      <c r="E427" s="5" t="s">
        <v>11</v>
      </c>
      <c r="F427" s="12" t="n">
        <f aca="false">Sensitivity!$B$12</f>
        <v>0.0948919064489092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6" t="s">
        <v>155</v>
      </c>
      <c r="B428" s="28" t="s">
        <v>156</v>
      </c>
      <c r="C428" s="28" t="s">
        <v>157</v>
      </c>
      <c r="D428" s="28" t="s">
        <v>158</v>
      </c>
      <c r="E428" s="28" t="s">
        <v>159</v>
      </c>
      <c r="F428" s="28" t="s">
        <v>160</v>
      </c>
      <c r="G428" s="28" t="s">
        <v>161</v>
      </c>
      <c r="H428" s="28" t="s">
        <v>162</v>
      </c>
      <c r="I428" s="28" t="s">
        <v>163</v>
      </c>
      <c r="J428" s="28" t="s">
        <v>164</v>
      </c>
      <c r="K428" s="28" t="s">
        <v>165</v>
      </c>
      <c r="L428" s="28" t="s">
        <v>166</v>
      </c>
      <c r="M428" s="28" t="s">
        <v>167</v>
      </c>
      <c r="N428" s="28" t="s">
        <v>168</v>
      </c>
      <c r="O428" s="28" t="s">
        <v>169</v>
      </c>
      <c r="P428" s="28" t="s">
        <v>170</v>
      </c>
      <c r="Q428" s="28" t="s">
        <v>171</v>
      </c>
      <c r="R428" s="28" t="s">
        <v>172</v>
      </c>
      <c r="S428" s="28" t="s">
        <v>173</v>
      </c>
      <c r="T428" s="28" t="s">
        <v>174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39" t="n">
        <f aca="false">(B429+C429)/2</f>
        <v>0.25</v>
      </c>
      <c r="E429" s="15" t="n">
        <f aca="false">$C$2*(1+IF(E$3&lt;=$O$2,$D429,$D429-($D429-$I$427)*MIN(E$3-$O$2,$Q$2)/$Q$2))</f>
        <v>17896.25</v>
      </c>
      <c r="F429" s="15" t="n">
        <f aca="false">E429*(1+IF(F$3&lt;=$O$2,$D429,$D429-($D429-$I$427)*MIN(F$3-$O$2,$Q$2)/$Q$2))</f>
        <v>22370.3125</v>
      </c>
      <c r="G429" s="15" t="n">
        <f aca="false">F429*(1+IF(G$3&lt;=$O$2,$D429,$D429-($D429-$I$427)*MIN(G$3-$O$2,$Q$2)/$Q$2))</f>
        <v>27962.890625</v>
      </c>
      <c r="H429" s="15" t="n">
        <f aca="false">G429*(1+IF(H$3&lt;=$O$2,$D429,$D429-($D429-$I$427)*MIN(H$3-$O$2,$Q$2)/$Q$2))</f>
        <v>34953.61328125</v>
      </c>
      <c r="I429" s="15" t="n">
        <f aca="false">H429*(1+IF(I$3&lt;=$O$2,$D429,$D429-($D429-$I$427)*MIN(I$3-$O$2,$Q$2)/$Q$2))</f>
        <v>43692.0166015625</v>
      </c>
      <c r="J429" s="15" t="n">
        <f aca="false">I429*(1+IF(J$3&lt;=$O$2,$D429,$D429-($D429-$I$427)*MIN(J$3-$O$2,$Q$2)/$Q$2))</f>
        <v>52765.100769043</v>
      </c>
      <c r="K429" s="15" t="n">
        <f aca="false">J429*(1+IF(K$3&lt;=$O$2,$D429,$D429-($D429-$I$427)*MIN(K$3-$O$2,$Q$2)/$Q$2))</f>
        <v>61488.2272281811</v>
      </c>
      <c r="L429" s="15" t="n">
        <f aca="false">K429*(1+IF(L$3&lt;=$O$2,$D429,$D429-($D429-$I$427)*MIN(L$3-$O$2,$Q$2)/$Q$2))</f>
        <v>69050.0494127029</v>
      </c>
      <c r="M429" s="15" t="n">
        <f aca="false">L429*(1+IF(M$3&lt;=$O$2,$D429,$D429-($D429-$I$427)*MIN(M$3-$O$2,$Q$2)/$Q$2))</f>
        <v>74618.2453973432</v>
      </c>
      <c r="N429" s="15" t="n">
        <f aca="false">M429*(1+IF(N$3&lt;=$O$2,$D429,$D429-($D429-$I$427)*MIN(N$3-$O$2,$Q$2)/$Q$2))</f>
        <v>77476.1241960615</v>
      </c>
      <c r="O429" s="15" t="n">
        <f aca="false">SUMPRODUCT(E429:N429,1/(1+$F$427)^$E$3:$N$3)*$E$2</f>
        <v>88038.3098766439</v>
      </c>
      <c r="P429" s="15" t="n">
        <f aca="false">N429*$E$2*(1+$I$427)/($F$427-$I$427)/(1+$F$427)^$N$3</f>
        <v>187659.98459358</v>
      </c>
      <c r="Q429" s="15" t="n">
        <f aca="false">O429+P429</f>
        <v>275698.294470224</v>
      </c>
      <c r="R429" s="15" t="n">
        <f aca="false">Q429-$G$2+$I$2</f>
        <v>264078.294470224</v>
      </c>
      <c r="S429" s="40" t="n">
        <f aca="false">R429/$K$2</f>
        <v>895.879141263438</v>
      </c>
      <c r="T429" s="41" t="n">
        <f aca="false">S429-$M$2</f>
        <v>485.898478373727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39" t="n">
        <f aca="false">(B430+C430)/2</f>
        <v>-0.125</v>
      </c>
      <c r="E430" s="15" t="n">
        <f aca="false">$C$2*(1+IF(E$3&lt;=$O$2,$D430,$D430-($D430-$I$427)*MIN(E$3-$O$2,$Q$2)/$Q$2))</f>
        <v>12527.375</v>
      </c>
      <c r="F430" s="15" t="n">
        <f aca="false">E430*(1+IF(F$3&lt;=$O$2,$D430,$D430-($D430-$I$427)*MIN(F$3-$O$2,$Q$2)/$Q$2))</f>
        <v>10961.453125</v>
      </c>
      <c r="G430" s="15" t="n">
        <f aca="false">F430*(1+IF(G$3&lt;=$O$2,$D430,$D430-($D430-$I$427)*MIN(G$3-$O$2,$Q$2)/$Q$2))</f>
        <v>9591.271484375</v>
      </c>
      <c r="H430" s="15" t="n">
        <f aca="false">G430*(1+IF(H$3&lt;=$O$2,$D430,$D430-($D430-$I$427)*MIN(H$3-$O$2,$Q$2)/$Q$2))</f>
        <v>8392.36254882813</v>
      </c>
      <c r="I430" s="15" t="n">
        <f aca="false">H430*(1+IF(I$3&lt;=$O$2,$D430,$D430-($D430-$I$427)*MIN(I$3-$O$2,$Q$2)/$Q$2))</f>
        <v>7343.31723022461</v>
      </c>
      <c r="J430" s="15" t="n">
        <f aca="false">I430*(1+IF(J$3&lt;=$O$2,$D430,$D430-($D430-$I$427)*MIN(J$3-$O$2,$Q$2)/$Q$2))</f>
        <v>6665.23531718567</v>
      </c>
      <c r="K430" s="15" t="n">
        <f aca="false">J430*(1+IF(K$3&lt;=$O$2,$D430,$D430-($D430-$I$427)*MIN(K$3-$O$2,$Q$2)/$Q$2))</f>
        <v>6267.45407345603</v>
      </c>
      <c r="L430" s="15" t="n">
        <f aca="false">K430*(1+IF(L$3&lt;=$O$2,$D430,$D430-($D430-$I$427)*MIN(L$3-$O$2,$Q$2)/$Q$2))</f>
        <v>6098.10746439125</v>
      </c>
      <c r="M430" s="15" t="n">
        <f aca="false">L430*(1+IF(M$3&lt;=$O$2,$D430,$D430-($D430-$I$427)*MIN(M$3-$O$2,$Q$2)/$Q$2))</f>
        <v>6132.50079049041</v>
      </c>
      <c r="N430" s="15" t="n">
        <f aca="false">M430*(1+IF(N$3&lt;=$O$2,$D430,$D430-($D430-$I$427)*MIN(N$3-$O$2,$Q$2)/$Q$2))</f>
        <v>6367.3755707662</v>
      </c>
      <c r="O430" s="15" t="n">
        <f aca="false">SUMPRODUCT(E430:N430,1/(1+$F$427)^$E$3:$N$3)*$E$2</f>
        <v>17593.6122021173</v>
      </c>
      <c r="P430" s="15" t="n">
        <f aca="false">N430*$E$2*(1+$I$427)/($F$427-$I$427)/(1+$F$427)^$N$3</f>
        <v>15422.8365694662</v>
      </c>
      <c r="Q430" s="15" t="n">
        <f aca="false">O430+P430</f>
        <v>33016.4487715835</v>
      </c>
      <c r="R430" s="15" t="n">
        <f aca="false">Q430-$G$2+$I$2</f>
        <v>21396.4487715835</v>
      </c>
      <c r="S430" s="40" t="n">
        <f aca="false">R430/$K$2</f>
        <v>72.586928017042</v>
      </c>
      <c r="T430" s="41" t="n">
        <f aca="false">S430-$M$2</f>
        <v>-337.393734872669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39" t="n">
        <f aca="false">(B431+C431)/2</f>
        <v>0.0625</v>
      </c>
      <c r="E431" s="15" t="n">
        <f aca="false">$C$2*(1+IF(E$3&lt;=$O$2,$D431,$D431-($D431-$I$427)*MIN(E$3-$O$2,$Q$2)/$Q$2))</f>
        <v>15211.8125</v>
      </c>
      <c r="F431" s="15" t="n">
        <f aca="false">E431*(1+IF(F$3&lt;=$O$2,$D431,$D431-($D431-$I$427)*MIN(F$3-$O$2,$Q$2)/$Q$2))</f>
        <v>16162.55078125</v>
      </c>
      <c r="G431" s="15" t="n">
        <f aca="false">F431*(1+IF(G$3&lt;=$O$2,$D431,$D431-($D431-$I$427)*MIN(G$3-$O$2,$Q$2)/$Q$2))</f>
        <v>17172.7102050781</v>
      </c>
      <c r="H431" s="15" t="n">
        <f aca="false">G431*(1+IF(H$3&lt;=$O$2,$D431,$D431-($D431-$I$427)*MIN(H$3-$O$2,$Q$2)/$Q$2))</f>
        <v>18246.0045928955</v>
      </c>
      <c r="I431" s="15" t="n">
        <f aca="false">H431*(1+IF(I$3&lt;=$O$2,$D431,$D431-($D431-$I$427)*MIN(I$3-$O$2,$Q$2)/$Q$2))</f>
        <v>19386.3798799515</v>
      </c>
      <c r="J431" s="15" t="n">
        <f aca="false">I431*(1+IF(J$3&lt;=$O$2,$D431,$D431-($D431-$I$427)*MIN(J$3-$O$2,$Q$2)/$Q$2))</f>
        <v>20504.1985438295</v>
      </c>
      <c r="K431" s="15" t="n">
        <f aca="false">J431*(1+IF(K$3&lt;=$O$2,$D431,$D431-($D431-$I$427)*MIN(K$3-$O$2,$Q$2)/$Q$2))</f>
        <v>21587.2303109146</v>
      </c>
      <c r="L431" s="15" t="n">
        <f aca="false">K431*(1+IF(L$3&lt;=$O$2,$D431,$D431-($D431-$I$427)*MIN(L$3-$O$2,$Q$2)/$Q$2))</f>
        <v>22622.9856212322</v>
      </c>
      <c r="M431" s="15" t="n">
        <f aca="false">L431*(1+IF(M$3&lt;=$O$2,$D431,$D431-($D431-$I$427)*MIN(M$3-$O$2,$Q$2)/$Q$2))</f>
        <v>23598.9412209322</v>
      </c>
      <c r="N431" s="15" t="n">
        <f aca="false">M431*(1+IF(N$3&lt;=$O$2,$D431,$D431-($D431-$I$427)*MIN(N$3-$O$2,$Q$2)/$Q$2))</f>
        <v>24502.7806696939</v>
      </c>
      <c r="O431" s="15" t="n">
        <f aca="false">SUMPRODUCT(E431:N431,1/(1+$F$427)^$E$3:$N$3)*$E$2</f>
        <v>39258.105655364</v>
      </c>
      <c r="P431" s="15" t="n">
        <f aca="false">N431*$E$2*(1+$I$427)/($F$427-$I$427)/(1+$F$427)^$N$3</f>
        <v>59349.7866689667</v>
      </c>
      <c r="Q431" s="15" t="n">
        <f aca="false">O431+P431</f>
        <v>98607.8923243307</v>
      </c>
      <c r="R431" s="15" t="n">
        <f aca="false">Q431-$G$2+$I$2</f>
        <v>86987.8923243307</v>
      </c>
      <c r="S431" s="40" t="n">
        <f aca="false">R431/$K$2</f>
        <v>295.104292581778</v>
      </c>
      <c r="T431" s="41" t="n">
        <f aca="false">S431-$M$2</f>
        <v>-114.876370307933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0.0625</v>
      </c>
      <c r="C432" s="25" t="n">
        <f aca="false">IF(T431&gt;0,D431,C431)</f>
        <v>0.25</v>
      </c>
      <c r="D432" s="39" t="n">
        <f aca="false">(B432+C432)/2</f>
        <v>0.15625</v>
      </c>
      <c r="E432" s="15" t="n">
        <f aca="false">$C$2*(1+IF(E$3&lt;=$O$2,$D432,$D432-($D432-$I$427)*MIN(E$3-$O$2,$Q$2)/$Q$2))</f>
        <v>16554.03125</v>
      </c>
      <c r="F432" s="15" t="n">
        <f aca="false">E432*(1+IF(F$3&lt;=$O$2,$D432,$D432-($D432-$I$427)*MIN(F$3-$O$2,$Q$2)/$Q$2))</f>
        <v>19140.5986328125</v>
      </c>
      <c r="G432" s="15" t="n">
        <f aca="false">F432*(1+IF(G$3&lt;=$O$2,$D432,$D432-($D432-$I$427)*MIN(G$3-$O$2,$Q$2)/$Q$2))</f>
        <v>22131.3171691895</v>
      </c>
      <c r="H432" s="15" t="n">
        <f aca="false">G432*(1+IF(H$3&lt;=$O$2,$D432,$D432-($D432-$I$427)*MIN(H$3-$O$2,$Q$2)/$Q$2))</f>
        <v>25589.3354768753</v>
      </c>
      <c r="I432" s="15" t="n">
        <f aca="false">H432*(1+IF(I$3&lt;=$O$2,$D432,$D432-($D432-$I$427)*MIN(I$3-$O$2,$Q$2)/$Q$2))</f>
        <v>29587.6691451371</v>
      </c>
      <c r="J432" s="15" t="n">
        <f aca="false">I432*(1+IF(J$3&lt;=$O$2,$D432,$D432-($D432-$I$427)*MIN(J$3-$O$2,$Q$2)/$Q$2))</f>
        <v>33512.769333931</v>
      </c>
      <c r="K432" s="15" t="n">
        <f aca="false">J432*(1+IF(K$3&lt;=$O$2,$D432,$D432-($D432-$I$427)*MIN(K$3-$O$2,$Q$2)/$Q$2))</f>
        <v>37168.0070851828</v>
      </c>
      <c r="L432" s="15" t="n">
        <f aca="false">K432*(1+IF(L$3&lt;=$O$2,$D432,$D432-($D432-$I$427)*MIN(L$3-$O$2,$Q$2)/$Q$2))</f>
        <v>40345.1283308242</v>
      </c>
      <c r="M432" s="15" t="n">
        <f aca="false">L432*(1+IF(M$3&lt;=$O$2,$D432,$D432-($D432-$I$427)*MIN(M$3-$O$2,$Q$2)/$Q$2))</f>
        <v>42842.0883232189</v>
      </c>
      <c r="N432" s="15" t="n">
        <f aca="false">M432*(1+IF(N$3&lt;=$O$2,$D432,$D432-($D432-$I$427)*MIN(N$3-$O$2,$Q$2)/$Q$2))</f>
        <v>44482.9403059982</v>
      </c>
      <c r="O432" s="15" t="n">
        <f aca="false">SUMPRODUCT(E432:N432,1/(1+$F$427)^$E$3:$N$3)*$E$2</f>
        <v>58886.6629440854</v>
      </c>
      <c r="P432" s="15" t="n">
        <f aca="false">N432*$E$2*(1+$I$427)/($F$427-$I$427)/(1+$F$427)^$N$3</f>
        <v>107745.037314671</v>
      </c>
      <c r="Q432" s="15" t="n">
        <f aca="false">O432+P432</f>
        <v>166631.700258757</v>
      </c>
      <c r="R432" s="15" t="n">
        <f aca="false">Q432-$G$2+$I$2</f>
        <v>155011.700258757</v>
      </c>
      <c r="S432" s="40" t="n">
        <f aca="false">R432/$K$2</f>
        <v>525.873393692563</v>
      </c>
      <c r="T432" s="41" t="n">
        <f aca="false">S432-$M$2</f>
        <v>115.892730802852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0.0625</v>
      </c>
      <c r="C433" s="25" t="n">
        <f aca="false">IF(T432&gt;0,D432,C432)</f>
        <v>0.15625</v>
      </c>
      <c r="D433" s="39" t="n">
        <f aca="false">(B433+C433)/2</f>
        <v>0.109375</v>
      </c>
      <c r="E433" s="15" t="n">
        <f aca="false">$C$2*(1+IF(E$3&lt;=$O$2,$D433,$D433-($D433-$I$427)*MIN(E$3-$O$2,$Q$2)/$Q$2))</f>
        <v>15882.921875</v>
      </c>
      <c r="F433" s="15" t="n">
        <f aca="false">E433*(1+IF(F$3&lt;=$O$2,$D433,$D433-($D433-$I$427)*MIN(F$3-$O$2,$Q$2)/$Q$2))</f>
        <v>17620.1164550781</v>
      </c>
      <c r="G433" s="15" t="n">
        <f aca="false">F433*(1+IF(G$3&lt;=$O$2,$D433,$D433-($D433-$I$427)*MIN(G$3-$O$2,$Q$2)/$Q$2))</f>
        <v>19547.3166923523</v>
      </c>
      <c r="H433" s="15" t="n">
        <f aca="false">G433*(1+IF(H$3&lt;=$O$2,$D433,$D433-($D433-$I$427)*MIN(H$3-$O$2,$Q$2)/$Q$2))</f>
        <v>21685.3044555783</v>
      </c>
      <c r="I433" s="15" t="n">
        <f aca="false">H433*(1+IF(I$3&lt;=$O$2,$D433,$D433-($D433-$I$427)*MIN(I$3-$O$2,$Q$2)/$Q$2))</f>
        <v>24057.1346304072</v>
      </c>
      <c r="J433" s="15" t="n">
        <f aca="false">I433*(1+IF(J$3&lt;=$O$2,$D433,$D433-($D433-$I$427)*MIN(J$3-$O$2,$Q$2)/$Q$2))</f>
        <v>26346.4115618368</v>
      </c>
      <c r="K433" s="15" t="n">
        <f aca="false">J433*(1+IF(K$3&lt;=$O$2,$D433,$D433-($D433-$I$427)*MIN(K$3-$O$2,$Q$2)/$Q$2))</f>
        <v>28479.0218457096</v>
      </c>
      <c r="L433" s="15" t="n">
        <f aca="false">K433*(1+IF(L$3&lt;=$O$2,$D433,$D433-($D433-$I$427)*MIN(L$3-$O$2,$Q$2)/$Q$2))</f>
        <v>30379.4269734738</v>
      </c>
      <c r="M433" s="15" t="n">
        <f aca="false">L433*(1+IF(M$3&lt;=$O$2,$D433,$D433-($D433-$I$427)*MIN(M$3-$O$2,$Q$2)/$Q$2))</f>
        <v>31974.8025809858</v>
      </c>
      <c r="N433" s="15" t="n">
        <f aca="false">M433*(1+IF(N$3&lt;=$O$2,$D433,$D433-($D433-$I$427)*MIN(N$3-$O$2,$Q$2)/$Q$2))</f>
        <v>33199.4375198376</v>
      </c>
      <c r="O433" s="15" t="n">
        <f aca="false">SUMPRODUCT(E433:N433,1/(1+$F$427)^$E$3:$N$3)*$E$2</f>
        <v>48088.627693874</v>
      </c>
      <c r="P433" s="15" t="n">
        <f aca="false">N433*$E$2*(1+$I$427)/($F$427-$I$427)/(1+$F$427)^$N$3</f>
        <v>80414.527677224</v>
      </c>
      <c r="Q433" s="15" t="n">
        <f aca="false">O433+P433</f>
        <v>128503.155371098</v>
      </c>
      <c r="R433" s="15" t="n">
        <f aca="false">Q433-$G$2+$I$2</f>
        <v>116883.155371098</v>
      </c>
      <c r="S433" s="40" t="n">
        <f aca="false">R433/$K$2</f>
        <v>396.523239716043</v>
      </c>
      <c r="T433" s="41" t="n">
        <f aca="false">S433-$M$2</f>
        <v>-13.4574231736676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0.109375</v>
      </c>
      <c r="C434" s="25" t="n">
        <f aca="false">IF(T433&gt;0,D433,C433)</f>
        <v>0.15625</v>
      </c>
      <c r="D434" s="39" t="n">
        <f aca="false">(B434+C434)/2</f>
        <v>0.1328125</v>
      </c>
      <c r="E434" s="15" t="n">
        <f aca="false">$C$2*(1+IF(E$3&lt;=$O$2,$D434,$D434-($D434-$I$427)*MIN(E$3-$O$2,$Q$2)/$Q$2))</f>
        <v>16218.4765625</v>
      </c>
      <c r="F434" s="15" t="n">
        <f aca="false">E434*(1+IF(F$3&lt;=$O$2,$D434,$D434-($D434-$I$427)*MIN(F$3-$O$2,$Q$2)/$Q$2))</f>
        <v>18372.492980957</v>
      </c>
      <c r="G434" s="15" t="n">
        <f aca="false">F434*(1+IF(G$3&lt;=$O$2,$D434,$D434-($D434-$I$427)*MIN(G$3-$O$2,$Q$2)/$Q$2))</f>
        <v>20812.5897049904</v>
      </c>
      <c r="H434" s="15" t="n">
        <f aca="false">G434*(1+IF(H$3&lt;=$O$2,$D434,$D434-($D434-$I$427)*MIN(H$3-$O$2,$Q$2)/$Q$2))</f>
        <v>23576.7617751844</v>
      </c>
      <c r="I434" s="15" t="n">
        <f aca="false">H434*(1+IF(I$3&lt;=$O$2,$D434,$D434-($D434-$I$427)*MIN(I$3-$O$2,$Q$2)/$Q$2))</f>
        <v>26708.0504484511</v>
      </c>
      <c r="J434" s="15" t="n">
        <f aca="false">I434*(1+IF(J$3&lt;=$O$2,$D434,$D434-($D434-$I$427)*MIN(J$3-$O$2,$Q$2)/$Q$2))</f>
        <v>29750.3644750342</v>
      </c>
      <c r="K434" s="15" t="n">
        <f aca="false">J434*(1+IF(K$3&lt;=$O$2,$D434,$D434-($D434-$I$427)*MIN(K$3-$O$2,$Q$2)/$Q$2))</f>
        <v>32576.872227896</v>
      </c>
      <c r="L434" s="15" t="n">
        <f aca="false">K434*(1+IF(L$3&lt;=$O$2,$D434,$D434-($D434-$I$427)*MIN(L$3-$O$2,$Q$2)/$Q$2))</f>
        <v>35056.1350888</v>
      </c>
      <c r="M434" s="15" t="n">
        <f aca="false">L434*(1+IF(M$3&lt;=$O$2,$D434,$D434-($D434-$I$427)*MIN(M$3-$O$2,$Q$2)/$Q$2))</f>
        <v>37061.4336562171</v>
      </c>
      <c r="N434" s="15" t="n">
        <f aca="false">M434*(1+IF(N$3&lt;=$O$2,$D434,$D434-($D434-$I$427)*MIN(N$3-$O$2,$Q$2)/$Q$2))</f>
        <v>38480.8865652502</v>
      </c>
      <c r="O434" s="15" t="n">
        <f aca="false">SUMPRODUCT(E434:N434,1/(1+$F$427)^$E$3:$N$3)*$E$2</f>
        <v>53218.4001798747</v>
      </c>
      <c r="P434" s="15" t="n">
        <f aca="false">N434*$E$2*(1+$I$427)/($F$427-$I$427)/(1+$F$427)^$N$3</f>
        <v>93207.0706287245</v>
      </c>
      <c r="Q434" s="15" t="n">
        <f aca="false">O434+P434</f>
        <v>146425.470808599</v>
      </c>
      <c r="R434" s="15" t="n">
        <f aca="false">Q434-$G$2+$I$2</f>
        <v>134805.470808599</v>
      </c>
      <c r="S434" s="40" t="n">
        <f aca="false">R434/$K$2</f>
        <v>457.324255550426</v>
      </c>
      <c r="T434" s="41" t="n">
        <f aca="false">S434-$M$2</f>
        <v>47.3435926607159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0.109375</v>
      </c>
      <c r="C435" s="25" t="n">
        <f aca="false">IF(T434&gt;0,D434,C434)</f>
        <v>0.1328125</v>
      </c>
      <c r="D435" s="39" t="n">
        <f aca="false">(B435+C435)/2</f>
        <v>0.12109375</v>
      </c>
      <c r="E435" s="15" t="n">
        <f aca="false">$C$2*(1+IF(E$3&lt;=$O$2,$D435,$D435-($D435-$I$427)*MIN(E$3-$O$2,$Q$2)/$Q$2))</f>
        <v>16050.69921875</v>
      </c>
      <c r="F435" s="15" t="n">
        <f aca="false">E435*(1+IF(F$3&lt;=$O$2,$D435,$D435-($D435-$I$427)*MIN(F$3-$O$2,$Q$2)/$Q$2))</f>
        <v>17994.3385772705</v>
      </c>
      <c r="G435" s="15" t="n">
        <f aca="false">F435*(1+IF(G$3&lt;=$O$2,$D435,$D435-($D435-$I$427)*MIN(G$3-$O$2,$Q$2)/$Q$2))</f>
        <v>20173.3405143619</v>
      </c>
      <c r="H435" s="15" t="n">
        <f aca="false">G435*(1+IF(H$3&lt;=$O$2,$D435,$D435-($D435-$I$427)*MIN(H$3-$O$2,$Q$2)/$Q$2))</f>
        <v>22616.2059672729</v>
      </c>
      <c r="I435" s="15" t="n">
        <f aca="false">H435*(1+IF(I$3&lt;=$O$2,$D435,$D435-($D435-$I$427)*MIN(I$3-$O$2,$Q$2)/$Q$2))</f>
        <v>25354.8871586223</v>
      </c>
      <c r="J435" s="15" t="n">
        <f aca="false">I435*(1+IF(J$3&lt;=$O$2,$D435,$D435-($D435-$I$427)*MIN(J$3-$O$2,$Q$2)/$Q$2))</f>
        <v>28005.3602877489</v>
      </c>
      <c r="K435" s="15" t="n">
        <f aca="false">J435*(1+IF(K$3&lt;=$O$2,$D435,$D435-($D435-$I$427)*MIN(K$3-$O$2,$Q$2)/$Q$2))</f>
        <v>30469.166865764</v>
      </c>
      <c r="L435" s="15" t="n">
        <f aca="false">K435*(1+IF(L$3&lt;=$O$2,$D435,$D435-($D435-$I$427)*MIN(L$3-$O$2,$Q$2)/$Q$2))</f>
        <v>32645.1985903997</v>
      </c>
      <c r="M435" s="15" t="n">
        <f aca="false">L435*(1+IF(M$3&lt;=$O$2,$D435,$D435-($D435-$I$427)*MIN(M$3-$O$2,$Q$2)/$Q$2))</f>
        <v>34436.0733785708</v>
      </c>
      <c r="N435" s="15" t="n">
        <f aca="false">M435*(1+IF(N$3&lt;=$O$2,$D435,$D435-($D435-$I$427)*MIN(N$3-$O$2,$Q$2)/$Q$2))</f>
        <v>35754.97498897</v>
      </c>
      <c r="O435" s="15" t="n">
        <f aca="false">SUMPRODUCT(E435:N435,1/(1+$F$427)^$E$3:$N$3)*$E$2</f>
        <v>50589.2623910988</v>
      </c>
      <c r="P435" s="15" t="n">
        <f aca="false">N435*$E$2*(1+$I$427)/($F$427-$I$427)/(1+$F$427)^$N$3</f>
        <v>86604.4620223146</v>
      </c>
      <c r="Q435" s="15" t="n">
        <f aca="false">O435+P435</f>
        <v>137193.724413413</v>
      </c>
      <c r="R435" s="15" t="n">
        <f aca="false">Q435-$G$2+$I$2</f>
        <v>125573.724413413</v>
      </c>
      <c r="S435" s="40" t="n">
        <f aca="false">R435/$K$2</f>
        <v>426.005782180729</v>
      </c>
      <c r="T435" s="41" t="n">
        <f aca="false">S435-$M$2</f>
        <v>16.0251192910183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0.109375</v>
      </c>
      <c r="C436" s="25" t="n">
        <f aca="false">IF(T435&gt;0,D435,C435)</f>
        <v>0.12109375</v>
      </c>
      <c r="D436" s="39" t="n">
        <f aca="false">(B436+C436)/2</f>
        <v>0.115234375</v>
      </c>
      <c r="E436" s="15" t="n">
        <f aca="false">$C$2*(1+IF(E$3&lt;=$O$2,$D436,$D436-($D436-$I$427)*MIN(E$3-$O$2,$Q$2)/$Q$2))</f>
        <v>15966.810546875</v>
      </c>
      <c r="F436" s="15" t="n">
        <f aca="false">E436*(1+IF(F$3&lt;=$O$2,$D436,$D436-($D436-$I$427)*MIN(F$3-$O$2,$Q$2)/$Q$2))</f>
        <v>17806.7359809876</v>
      </c>
      <c r="G436" s="15" t="n">
        <f aca="false">F436*(1+IF(G$3&lt;=$O$2,$D436,$D436-($D436-$I$427)*MIN(G$3-$O$2,$Q$2)/$Q$2))</f>
        <v>19858.6840725467</v>
      </c>
      <c r="H436" s="15" t="n">
        <f aca="false">G436*(1+IF(H$3&lt;=$O$2,$D436,$D436-($D436-$I$427)*MIN(H$3-$O$2,$Q$2)/$Q$2))</f>
        <v>22147.087119969</v>
      </c>
      <c r="I436" s="15" t="n">
        <f aca="false">H436*(1+IF(I$3&lt;=$O$2,$D436,$D436-($D436-$I$427)*MIN(I$3-$O$2,$Q$2)/$Q$2))</f>
        <v>24699.1928623092</v>
      </c>
      <c r="J436" s="15" t="n">
        <f aca="false">I436*(1+IF(J$3&lt;=$O$2,$D436,$D436-($D436-$I$427)*MIN(J$3-$O$2,$Q$2)/$Q$2))</f>
        <v>27165.3455216286</v>
      </c>
      <c r="K436" s="15" t="n">
        <f aca="false">J436*(1+IF(K$3&lt;=$O$2,$D436,$D436-($D436-$I$427)*MIN(K$3-$O$2,$Q$2)/$Q$2))</f>
        <v>29459.7475827263</v>
      </c>
      <c r="L436" s="15" t="n">
        <f aca="false">K436*(1+IF(L$3&lt;=$O$2,$D436,$D436-($D436-$I$427)*MIN(L$3-$O$2,$Q$2)/$Q$2))</f>
        <v>31494.6428223187</v>
      </c>
      <c r="M436" s="15" t="n">
        <f aca="false">L436*(1+IF(M$3&lt;=$O$2,$D436,$D436-($D436-$I$427)*MIN(M$3-$O$2,$Q$2)/$Q$2))</f>
        <v>33185.4917746902</v>
      </c>
      <c r="N436" s="15" t="n">
        <f aca="false">M436*(1+IF(N$3&lt;=$O$2,$D436,$D436-($D436-$I$427)*MIN(N$3-$O$2,$Q$2)/$Q$2))</f>
        <v>34456.4961096608</v>
      </c>
      <c r="O436" s="15" t="n">
        <f aca="false">SUMPRODUCT(E436:N436,1/(1+$F$427)^$E$3:$N$3)*$E$2</f>
        <v>49323.2514247137</v>
      </c>
      <c r="P436" s="15" t="n">
        <f aca="false">N436*$E$2*(1+$I$427)/($F$427-$I$427)/(1+$F$427)^$N$3</f>
        <v>83459.3314544816</v>
      </c>
      <c r="Q436" s="15" t="n">
        <f aca="false">O436+P436</f>
        <v>132782.582879195</v>
      </c>
      <c r="R436" s="15" t="n">
        <f aca="false">Q436-$G$2+$I$2</f>
        <v>121162.582879195</v>
      </c>
      <c r="S436" s="40" t="n">
        <f aca="false">R436/$K$2</f>
        <v>411.041092645776</v>
      </c>
      <c r="T436" s="41" t="n">
        <f aca="false">S436-$M$2</f>
        <v>1.06042975606516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0.109375</v>
      </c>
      <c r="C437" s="25" t="n">
        <f aca="false">IF(T436&gt;0,D436,C436)</f>
        <v>0.115234375</v>
      </c>
      <c r="D437" s="39" t="n">
        <f aca="false">(B437+C437)/2</f>
        <v>0.1123046875</v>
      </c>
      <c r="E437" s="15" t="n">
        <f aca="false">$C$2*(1+IF(E$3&lt;=$O$2,$D437,$D437-($D437-$I$427)*MIN(E$3-$O$2,$Q$2)/$Q$2))</f>
        <v>15924.8662109375</v>
      </c>
      <c r="F437" s="15" t="n">
        <f aca="false">E437*(1+IF(F$3&lt;=$O$2,$D437,$D437-($D437-$I$427)*MIN(F$3-$O$2,$Q$2)/$Q$2))</f>
        <v>17713.3033342361</v>
      </c>
      <c r="G437" s="15" t="n">
        <f aca="false">F437*(1+IF(G$3&lt;=$O$2,$D437,$D437-($D437-$I$427)*MIN(G$3-$O$2,$Q$2)/$Q$2))</f>
        <v>19702.5903297802</v>
      </c>
      <c r="H437" s="15" t="n">
        <f aca="false">G437*(1+IF(H$3&lt;=$O$2,$D437,$D437-($D437-$I$427)*MIN(H$3-$O$2,$Q$2)/$Q$2))</f>
        <v>21915.2835797067</v>
      </c>
      <c r="I437" s="15" t="n">
        <f aca="false">H437*(1+IF(I$3&lt;=$O$2,$D437,$D437-($D437-$I$427)*MIN(I$3-$O$2,$Q$2)/$Q$2))</f>
        <v>24376.4726535996</v>
      </c>
      <c r="J437" s="15" t="n">
        <f aca="false">I437*(1+IF(J$3&lt;=$O$2,$D437,$D437-($D437-$I$427)*MIN(J$3-$O$2,$Q$2)/$Q$2))</f>
        <v>26753.270149098</v>
      </c>
      <c r="K437" s="15" t="n">
        <f aca="false">J437*(1+IF(K$3&lt;=$O$2,$D437,$D437-($D437-$I$427)*MIN(K$3-$O$2,$Q$2)/$Q$2))</f>
        <v>28965.8408340007</v>
      </c>
      <c r="L437" s="15" t="n">
        <f aca="false">K437*(1+IF(L$3&lt;=$O$2,$D437,$D437-($D437-$I$427)*MIN(L$3-$O$2,$Q$2)/$Q$2))</f>
        <v>30932.6757375809</v>
      </c>
      <c r="M437" s="15" t="n">
        <f aca="false">L437*(1+IF(M$3&lt;=$O$2,$D437,$D437-($D437-$I$427)*MIN(M$3-$O$2,$Q$2)/$Q$2))</f>
        <v>32575.2298186299</v>
      </c>
      <c r="N437" s="15" t="n">
        <f aca="false">M437*(1+IF(N$3&lt;=$O$2,$D437,$D437-($D437-$I$427)*MIN(N$3-$O$2,$Q$2)/$Q$2))</f>
        <v>33822.8611206835</v>
      </c>
      <c r="O437" s="15" t="n">
        <f aca="false">SUMPRODUCT(E437:N437,1/(1+$F$427)^$E$3:$N$3)*$E$2</f>
        <v>48702.0615087094</v>
      </c>
      <c r="P437" s="15" t="n">
        <f aca="false">N437*$E$2*(1+$I$427)/($F$427-$I$427)/(1+$F$427)^$N$3</f>
        <v>81924.5627305257</v>
      </c>
      <c r="Q437" s="15" t="n">
        <f aca="false">O437+P437</f>
        <v>130626.624239235</v>
      </c>
      <c r="R437" s="15" t="n">
        <f aca="false">Q437-$G$2+$I$2</f>
        <v>119006.624239235</v>
      </c>
      <c r="S437" s="40" t="n">
        <f aca="false">R437/$K$2</f>
        <v>403.727055803627</v>
      </c>
      <c r="T437" s="41" t="n">
        <f aca="false">S437-$M$2</f>
        <v>-6.25360708608343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0.1123046875</v>
      </c>
      <c r="C438" s="25" t="n">
        <f aca="false">IF(T437&gt;0,D437,C437)</f>
        <v>0.115234375</v>
      </c>
      <c r="D438" s="39" t="n">
        <f aca="false">(B438+C438)/2</f>
        <v>0.11376953125</v>
      </c>
      <c r="E438" s="15" t="n">
        <f aca="false">$C$2*(1+IF(E$3&lt;=$O$2,$D438,$D438-($D438-$I$427)*MIN(E$3-$O$2,$Q$2)/$Q$2))</f>
        <v>15945.8383789063</v>
      </c>
      <c r="F438" s="15" t="n">
        <f aca="false">E438*(1+IF(F$3&lt;=$O$2,$D438,$D438-($D438-$I$427)*MIN(F$3-$O$2,$Q$2)/$Q$2))</f>
        <v>17759.9889366627</v>
      </c>
      <c r="G438" s="15" t="n">
        <f aca="false">F438*(1+IF(G$3&lt;=$O$2,$D438,$D438-($D438-$I$427)*MIN(G$3-$O$2,$Q$2)/$Q$2))</f>
        <v>19780.534552992</v>
      </c>
      <c r="H438" s="15" t="n">
        <f aca="false">G438*(1+IF(H$3&lt;=$O$2,$D438,$D438-($D438-$I$427)*MIN(H$3-$O$2,$Q$2)/$Q$2))</f>
        <v>22030.9566969603</v>
      </c>
      <c r="I438" s="15" t="n">
        <f aca="false">H438*(1+IF(I$3&lt;=$O$2,$D438,$D438-($D438-$I$427)*MIN(I$3-$O$2,$Q$2)/$Q$2))</f>
        <v>24537.4083133625</v>
      </c>
      <c r="J438" s="15" t="n">
        <f aca="false">I438*(1+IF(J$3&lt;=$O$2,$D438,$D438-($D438-$I$427)*MIN(J$3-$O$2,$Q$2)/$Q$2))</f>
        <v>26958.6524145638</v>
      </c>
      <c r="K438" s="15" t="n">
        <f aca="false">J438*(1+IF(K$3&lt;=$O$2,$D438,$D438-($D438-$I$427)*MIN(K$3-$O$2,$Q$2)/$Q$2))</f>
        <v>29211.9029185568</v>
      </c>
      <c r="L438" s="15" t="n">
        <f aca="false">K438*(1+IF(L$3&lt;=$O$2,$D438,$D438-($D438-$I$427)*MIN(L$3-$O$2,$Q$2)/$Q$2))</f>
        <v>31212.5622484112</v>
      </c>
      <c r="M438" s="15" t="n">
        <f aca="false">L438*(1+IF(M$3&lt;=$O$2,$D438,$D438-($D438-$I$427)*MIN(M$3-$O$2,$Q$2)/$Q$2))</f>
        <v>32879.1228709251</v>
      </c>
      <c r="N438" s="15" t="n">
        <f aca="false">M438*(1+IF(N$3&lt;=$O$2,$D438,$D438-($D438-$I$427)*MIN(N$3-$O$2,$Q$2)/$Q$2))</f>
        <v>34138.3932768816</v>
      </c>
      <c r="O438" s="15" t="n">
        <f aca="false">SUMPRODUCT(E438:N438,1/(1+$F$427)^$E$3:$N$3)*$E$2</f>
        <v>49011.6813203737</v>
      </c>
      <c r="P438" s="15" t="n">
        <f aca="false">N438*$E$2*(1+$I$427)/($F$427-$I$427)/(1+$F$427)^$N$3</f>
        <v>82688.8337906147</v>
      </c>
      <c r="Q438" s="15" t="n">
        <f aca="false">O438+P438</f>
        <v>131700.515110988</v>
      </c>
      <c r="R438" s="15" t="n">
        <f aca="false">Q438-$G$2+$I$2</f>
        <v>120080.515110988</v>
      </c>
      <c r="S438" s="40" t="n">
        <f aca="false">R438/$K$2</f>
        <v>407.370204264303</v>
      </c>
      <c r="T438" s="41" t="n">
        <f aca="false">S438-$M$2</f>
        <v>-2.610458625408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0.11376953125</v>
      </c>
      <c r="C439" s="25" t="n">
        <f aca="false">IF(T438&gt;0,D438,C438)</f>
        <v>0.115234375</v>
      </c>
      <c r="D439" s="39" t="n">
        <f aca="false">(B439+C439)/2</f>
        <v>0.114501953125</v>
      </c>
      <c r="E439" s="15" t="n">
        <f aca="false">$C$2*(1+IF(E$3&lt;=$O$2,$D439,$D439-($D439-$I$427)*MIN(E$3-$O$2,$Q$2)/$Q$2))</f>
        <v>15956.3244628906</v>
      </c>
      <c r="F439" s="15" t="n">
        <f aca="false">E439*(1+IF(F$3&lt;=$O$2,$D439,$D439-($D439-$I$427)*MIN(F$3-$O$2,$Q$2)/$Q$2))</f>
        <v>17783.3547785878</v>
      </c>
      <c r="G439" s="15" t="n">
        <f aca="false">F439*(1+IF(G$3&lt;=$O$2,$D439,$D439-($D439-$I$427)*MIN(G$3-$O$2,$Q$2)/$Q$2))</f>
        <v>19819.5836338509</v>
      </c>
      <c r="H439" s="15" t="n">
        <f aca="false">G439*(1+IF(H$3&lt;=$O$2,$D439,$D439-($D439-$I$427)*MIN(H$3-$O$2,$Q$2)/$Q$2))</f>
        <v>22088.9646700511</v>
      </c>
      <c r="I439" s="15" t="n">
        <f aca="false">H439*(1+IF(I$3&lt;=$O$2,$D439,$D439-($D439-$I$427)*MIN(I$3-$O$2,$Q$2)/$Q$2))</f>
        <v>24618.1942672811</v>
      </c>
      <c r="J439" s="15" t="n">
        <f aca="false">I439*(1+IF(J$3&lt;=$O$2,$D439,$D439-($D439-$I$427)*MIN(J$3-$O$2,$Q$2)/$Q$2))</f>
        <v>27061.83469618</v>
      </c>
      <c r="K439" s="15" t="n">
        <f aca="false">J439*(1+IF(K$3&lt;=$O$2,$D439,$D439-($D439-$I$427)*MIN(K$3-$O$2,$Q$2)/$Q$2))</f>
        <v>29335.6017604406</v>
      </c>
      <c r="L439" s="15" t="n">
        <f aca="false">K439*(1+IF(L$3&lt;=$O$2,$D439,$D439-($D439-$I$427)*MIN(L$3-$O$2,$Q$2)/$Q$2))</f>
        <v>31353.3273679625</v>
      </c>
      <c r="M439" s="15" t="n">
        <f aca="false">L439*(1+IF(M$3&lt;=$O$2,$D439,$D439-($D439-$I$427)*MIN(M$3-$O$2,$Q$2)/$Q$2))</f>
        <v>33031.9967626368</v>
      </c>
      <c r="N439" s="15" t="n">
        <f aca="false">M439*(1+IF(N$3&lt;=$O$2,$D439,$D439-($D439-$I$427)*MIN(N$3-$O$2,$Q$2)/$Q$2))</f>
        <v>34297.1222386457</v>
      </c>
      <c r="O439" s="15" t="n">
        <f aca="false">SUMPRODUCT(E439:N439,1/(1+$F$427)^$E$3:$N$3)*$E$2</f>
        <v>49167.2218786496</v>
      </c>
      <c r="P439" s="15" t="n">
        <f aca="false">N439*$E$2*(1+$I$427)/($F$427-$I$427)/(1+$F$427)^$N$3</f>
        <v>83073.3015841229</v>
      </c>
      <c r="Q439" s="15" t="n">
        <f aca="false">O439+P439</f>
        <v>132240.523462772</v>
      </c>
      <c r="R439" s="15" t="n">
        <f aca="false">Q439-$G$2+$I$2</f>
        <v>120620.523462772</v>
      </c>
      <c r="S439" s="40" t="n">
        <f aca="false">R439/$K$2</f>
        <v>409.202169361782</v>
      </c>
      <c r="T439" s="41" t="n">
        <f aca="false">S439-$M$2</f>
        <v>-0.778493527928617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0.114501953125</v>
      </c>
      <c r="C440" s="25" t="n">
        <f aca="false">IF(T439&gt;0,D439,C439)</f>
        <v>0.115234375</v>
      </c>
      <c r="D440" s="39" t="n">
        <f aca="false">(B440+C440)/2</f>
        <v>0.1148681640625</v>
      </c>
      <c r="E440" s="15" t="n">
        <f aca="false">$C$2*(1+IF(E$3&lt;=$O$2,$D440,$D440-($D440-$I$427)*MIN(E$3-$O$2,$Q$2)/$Q$2))</f>
        <v>15961.5675048828</v>
      </c>
      <c r="F440" s="15" t="n">
        <f aca="false">E440*(1+IF(F$3&lt;=$O$2,$D440,$D440-($D440-$I$427)*MIN(F$3-$O$2,$Q$2)/$Q$2))</f>
        <v>17795.0434597284</v>
      </c>
      <c r="G440" s="15" t="n">
        <f aca="false">F440*(1+IF(G$3&lt;=$O$2,$D440,$D440-($D440-$I$427)*MIN(G$3-$O$2,$Q$2)/$Q$2))</f>
        <v>19839.1274313598</v>
      </c>
      <c r="H440" s="15" t="n">
        <f aca="false">G440*(1+IF(H$3&lt;=$O$2,$D440,$D440-($D440-$I$427)*MIN(H$3-$O$2,$Q$2)/$Q$2))</f>
        <v>22118.011576002</v>
      </c>
      <c r="I440" s="15" t="n">
        <f aca="false">H440*(1+IF(I$3&lt;=$O$2,$D440,$D440-($D440-$I$427)*MIN(I$3-$O$2,$Q$2)/$Q$2))</f>
        <v>24658.6669584505</v>
      </c>
      <c r="J440" s="15" t="n">
        <f aca="false">I440*(1+IF(J$3&lt;=$O$2,$D440,$D440-($D440-$I$427)*MIN(J$3-$O$2,$Q$2)/$Q$2))</f>
        <v>27113.5489887489</v>
      </c>
      <c r="K440" s="15" t="n">
        <f aca="false">J440*(1+IF(K$3&lt;=$O$2,$D440,$D440-($D440-$I$427)*MIN(K$3-$O$2,$Q$2)/$Q$2))</f>
        <v>29397.6187153903</v>
      </c>
      <c r="L440" s="15" t="n">
        <f aca="false">K440*(1+IF(L$3&lt;=$O$2,$D440,$D440-($D440-$I$427)*MIN(L$3-$O$2,$Q$2)/$Q$2))</f>
        <v>31423.9161893285</v>
      </c>
      <c r="M440" s="15" t="n">
        <f aca="false">L440*(1+IF(M$3&lt;=$O$2,$D440,$D440-($D440-$I$427)*MIN(M$3-$O$2,$Q$2)/$Q$2))</f>
        <v>33108.6664934339</v>
      </c>
      <c r="N440" s="15" t="n">
        <f aca="false">M440*(1+IF(N$3&lt;=$O$2,$D440,$D440-($D440-$I$427)*MIN(N$3-$O$2,$Q$2)/$Q$2))</f>
        <v>34376.7284201324</v>
      </c>
      <c r="O440" s="15" t="n">
        <f aca="false">SUMPRODUCT(E440:N440,1/(1+$F$427)^$E$3:$N$3)*$E$2</f>
        <v>49245.1754396002</v>
      </c>
      <c r="P440" s="15" t="n">
        <f aca="false">N440*$E$2*(1+$I$427)/($F$427-$I$427)/(1+$F$427)^$N$3</f>
        <v>83266.1209197099</v>
      </c>
      <c r="Q440" s="15" t="n">
        <f aca="false">O440+P440</f>
        <v>132511.29635931</v>
      </c>
      <c r="R440" s="15" t="n">
        <f aca="false">Q440-$G$2+$I$2</f>
        <v>120891.29635931</v>
      </c>
      <c r="S440" s="40" t="n">
        <f aca="false">R440/$K$2</f>
        <v>410.12075977647</v>
      </c>
      <c r="T440" s="41" t="n">
        <f aca="false">S440-$M$2</f>
        <v>0.140096886759466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0.114501953125</v>
      </c>
      <c r="C441" s="25" t="n">
        <f aca="false">IF(T440&gt;0,D440,C440)</f>
        <v>0.1148681640625</v>
      </c>
      <c r="D441" s="39" t="n">
        <f aca="false">(B441+C441)/2</f>
        <v>0.11468505859375</v>
      </c>
      <c r="E441" s="15" t="n">
        <f aca="false">$C$2*(1+IF(E$3&lt;=$O$2,$D441,$D441-($D441-$I$427)*MIN(E$3-$O$2,$Q$2)/$Q$2))</f>
        <v>15958.9459838867</v>
      </c>
      <c r="F441" s="15" t="n">
        <f aca="false">E441*(1+IF(F$3&lt;=$O$2,$D441,$D441-($D441-$I$427)*MIN(F$3-$O$2,$Q$2)/$Q$2))</f>
        <v>17789.1986391433</v>
      </c>
      <c r="G441" s="15" t="n">
        <f aca="false">F441*(1+IF(G$3&lt;=$O$2,$D441,$D441-($D441-$I$427)*MIN(G$3-$O$2,$Q$2)/$Q$2))</f>
        <v>19829.3539274093</v>
      </c>
      <c r="H441" s="15" t="n">
        <f aca="false">G441*(1+IF(H$3&lt;=$O$2,$D441,$D441-($D441-$I$427)*MIN(H$3-$O$2,$Q$2)/$Q$2))</f>
        <v>22103.4845444504</v>
      </c>
      <c r="I441" s="15" t="n">
        <f aca="false">H441*(1+IF(I$3&lt;=$O$2,$D441,$D441-($D441-$I$427)*MIN(I$3-$O$2,$Q$2)/$Q$2))</f>
        <v>24638.4239645567</v>
      </c>
      <c r="J441" s="15" t="n">
        <f aca="false">I441*(1+IF(J$3&lt;=$O$2,$D441,$D441-($D441-$I$427)*MIN(J$3-$O$2,$Q$2)/$Q$2))</f>
        <v>27087.6815689515</v>
      </c>
      <c r="K441" s="15" t="n">
        <f aca="false">J441*(1+IF(K$3&lt;=$O$2,$D441,$D441-($D441-$I$427)*MIN(K$3-$O$2,$Q$2)/$Q$2))</f>
        <v>29366.5962593303</v>
      </c>
      <c r="L441" s="15" t="n">
        <f aca="false">K441*(1+IF(L$3&lt;=$O$2,$D441,$D441-($D441-$I$427)*MIN(L$3-$O$2,$Q$2)/$Q$2))</f>
        <v>31388.6045664498</v>
      </c>
      <c r="M441" s="15" t="n">
        <f aca="false">L441*(1+IF(M$3&lt;=$O$2,$D441,$D441-($D441-$I$427)*MIN(M$3-$O$2,$Q$2)/$Q$2))</f>
        <v>33070.3122011417</v>
      </c>
      <c r="N441" s="15" t="n">
        <f aca="false">M441*(1+IF(N$3&lt;=$O$2,$D441,$D441-($D441-$I$427)*MIN(N$3-$O$2,$Q$2)/$Q$2))</f>
        <v>34336.9051584454</v>
      </c>
      <c r="O441" s="15" t="n">
        <f aca="false">SUMPRODUCT(E441:N441,1/(1+$F$427)^$E$3:$N$3)*$E$2</f>
        <v>49206.1833671892</v>
      </c>
      <c r="P441" s="15" t="n">
        <f aca="false">N441*$E$2*(1+$I$427)/($F$427-$I$427)/(1+$F$427)^$N$3</f>
        <v>83169.6623945553</v>
      </c>
      <c r="Q441" s="15" t="n">
        <f aca="false">O441+P441</f>
        <v>132375.845761745</v>
      </c>
      <c r="R441" s="15" t="n">
        <f aca="false">Q441-$G$2+$I$2</f>
        <v>120755.845761745</v>
      </c>
      <c r="S441" s="40" t="n">
        <f aca="false">R441/$K$2</f>
        <v>409.661246944209</v>
      </c>
      <c r="T441" s="41" t="n">
        <f aca="false">S441-$M$2</f>
        <v>-0.319415945501476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0.11468505859375</v>
      </c>
      <c r="C442" s="25" t="n">
        <f aca="false">IF(T441&gt;0,D441,C441)</f>
        <v>0.1148681640625</v>
      </c>
      <c r="D442" s="39" t="n">
        <f aca="false">(B442+C442)/2</f>
        <v>0.114776611328125</v>
      </c>
      <c r="E442" s="15" t="n">
        <f aca="false">$C$2*(1+IF(E$3&lt;=$O$2,$D442,$D442-($D442-$I$427)*MIN(E$3-$O$2,$Q$2)/$Q$2))</f>
        <v>15960.2567443848</v>
      </c>
      <c r="F442" s="15" t="n">
        <f aca="false">E442*(1+IF(F$3&lt;=$O$2,$D442,$D442-($D442-$I$427)*MIN(F$3-$O$2,$Q$2)/$Q$2))</f>
        <v>17792.1209294321</v>
      </c>
      <c r="G442" s="15" t="n">
        <f aca="false">F442*(1+IF(G$3&lt;=$O$2,$D442,$D442-($D442-$I$427)*MIN(G$3-$O$2,$Q$2)/$Q$2))</f>
        <v>19834.2402780525</v>
      </c>
      <c r="H442" s="15" t="n">
        <f aca="false">G442*(1+IF(H$3&lt;=$O$2,$D442,$D442-($D442-$I$427)*MIN(H$3-$O$2,$Q$2)/$Q$2))</f>
        <v>22110.7471654352</v>
      </c>
      <c r="I442" s="15" t="n">
        <f aca="false">H442*(1+IF(I$3&lt;=$O$2,$D442,$D442-($D442-$I$427)*MIN(I$3-$O$2,$Q$2)/$Q$2))</f>
        <v>24648.5437990168</v>
      </c>
      <c r="J442" s="15" t="n">
        <f aca="false">I442*(1+IF(J$3&lt;=$O$2,$D442,$D442-($D442-$I$427)*MIN(J$3-$O$2,$Q$2)/$Q$2))</f>
        <v>27100.6127096565</v>
      </c>
      <c r="K442" s="15" t="n">
        <f aca="false">J442*(1+IF(K$3&lt;=$O$2,$D442,$D442-($D442-$I$427)*MIN(K$3-$O$2,$Q$2)/$Q$2))</f>
        <v>29382.1039914066</v>
      </c>
      <c r="L442" s="15" t="n">
        <f aca="false">K442*(1+IF(L$3&lt;=$O$2,$D442,$D442-($D442-$I$427)*MIN(L$3-$O$2,$Q$2)/$Q$2))</f>
        <v>31406.2560730588</v>
      </c>
      <c r="M442" s="15" t="n">
        <f aca="false">L442*(1+IF(M$3&lt;=$O$2,$D442,$D442-($D442-$I$427)*MIN(M$3-$O$2,$Q$2)/$Q$2))</f>
        <v>33089.4844884511</v>
      </c>
      <c r="N442" s="15" t="n">
        <f aca="false">M442*(1+IF(N$3&lt;=$O$2,$D442,$D442-($D442-$I$427)*MIN(N$3-$O$2,$Q$2)/$Q$2))</f>
        <v>34356.8117443588</v>
      </c>
      <c r="O442" s="15" t="n">
        <f aca="false">SUMPRODUCT(E442:N442,1/(1+$F$427)^$E$3:$N$3)*$E$2</f>
        <v>49225.6755790257</v>
      </c>
      <c r="P442" s="15" t="n">
        <f aca="false">N442*$E$2*(1+$I$427)/($F$427-$I$427)/(1+$F$427)^$N$3</f>
        <v>83217.8794374777</v>
      </c>
      <c r="Q442" s="15" t="n">
        <f aca="false">O442+P442</f>
        <v>132443.555016503</v>
      </c>
      <c r="R442" s="15" t="n">
        <f aca="false">Q442-$G$2+$I$2</f>
        <v>120823.555016503</v>
      </c>
      <c r="S442" s="40" t="n">
        <f aca="false">R442/$K$2</f>
        <v>409.890948931382</v>
      </c>
      <c r="T442" s="41" t="n">
        <f aca="false">S442-$M$2</f>
        <v>-0.0897139583289572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0.114776611328125</v>
      </c>
      <c r="C443" s="25" t="n">
        <f aca="false">IF(T442&gt;0,D442,C442)</f>
        <v>0.1148681640625</v>
      </c>
      <c r="D443" s="39" t="n">
        <f aca="false">(B443+C443)/2</f>
        <v>0.114822387695313</v>
      </c>
      <c r="E443" s="15" t="n">
        <f aca="false">$C$2*(1+IF(E$3&lt;=$O$2,$D443,$D443-($D443-$I$427)*MIN(E$3-$O$2,$Q$2)/$Q$2))</f>
        <v>15960.9121246338</v>
      </c>
      <c r="F443" s="15" t="n">
        <f aca="false">E443*(1+IF(F$3&lt;=$O$2,$D443,$D443-($D443-$I$427)*MIN(F$3-$O$2,$Q$2)/$Q$2))</f>
        <v>17793.5821645793</v>
      </c>
      <c r="G443" s="15" t="n">
        <f aca="false">F443*(1+IF(G$3&lt;=$O$2,$D443,$D443-($D443-$I$427)*MIN(G$3-$O$2,$Q$2)/$Q$2))</f>
        <v>19836.683754369</v>
      </c>
      <c r="H443" s="15" t="n">
        <f aca="false">G443*(1+IF(H$3&lt;=$O$2,$D443,$D443-($D443-$I$427)*MIN(H$3-$O$2,$Q$2)/$Q$2))</f>
        <v>22114.3791470025</v>
      </c>
      <c r="I443" s="15" t="n">
        <f aca="false">H443*(1+IF(I$3&lt;=$O$2,$D443,$D443-($D443-$I$427)*MIN(I$3-$O$2,$Q$2)/$Q$2))</f>
        <v>24653.6049630608</v>
      </c>
      <c r="J443" s="15" t="n">
        <f aca="false">I443*(1+IF(J$3&lt;=$O$2,$D443,$D443-($D443-$I$427)*MIN(J$3-$O$2,$Q$2)/$Q$2))</f>
        <v>27107.0802068023</v>
      </c>
      <c r="K443" s="15" t="n">
        <f aca="false">J443*(1+IF(K$3&lt;=$O$2,$D443,$D443-($D443-$I$427)*MIN(K$3-$O$2,$Q$2)/$Q$2))</f>
        <v>29389.8604792466</v>
      </c>
      <c r="L443" s="15" t="n">
        <f aca="false">K443*(1+IF(L$3&lt;=$O$2,$D443,$D443-($D443-$I$427)*MIN(L$3-$O$2,$Q$2)/$Q$2))</f>
        <v>31415.0850547633</v>
      </c>
      <c r="M443" s="15" t="n">
        <f aca="false">L443*(1+IF(M$3&lt;=$O$2,$D443,$D443-($D443-$I$427)*MIN(M$3-$O$2,$Q$2)/$Q$2))</f>
        <v>33099.0742759691</v>
      </c>
      <c r="N443" s="15" t="n">
        <f aca="false">M443*(1+IF(N$3&lt;=$O$2,$D443,$D443-($D443-$I$427)*MIN(N$3-$O$2,$Q$2)/$Q$2))</f>
        <v>34366.7688207387</v>
      </c>
      <c r="O443" s="15" t="n">
        <f aca="false">SUMPRODUCT(E443:N443,1/(1+$F$427)^$E$3:$N$3)*$E$2</f>
        <v>49235.4245530475</v>
      </c>
      <c r="P443" s="15" t="n">
        <f aca="false">N443*$E$2*(1+$I$427)/($F$427-$I$427)/(1+$F$427)^$N$3</f>
        <v>83241.9971230155</v>
      </c>
      <c r="Q443" s="15" t="n">
        <f aca="false">O443+P443</f>
        <v>132477.421676063</v>
      </c>
      <c r="R443" s="15" t="n">
        <f aca="false">Q443-$G$2+$I$2</f>
        <v>120857.421676063</v>
      </c>
      <c r="S443" s="40" t="n">
        <f aca="false">R443/$K$2</f>
        <v>410.005840743845</v>
      </c>
      <c r="T443" s="41" t="n">
        <f aca="false">S443-$M$2</f>
        <v>0.0251778541339149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0.114776611328125</v>
      </c>
      <c r="C444" s="25" t="n">
        <f aca="false">IF(T443&gt;0,D443,C443)</f>
        <v>0.114822387695313</v>
      </c>
      <c r="D444" s="39" t="n">
        <f aca="false">(B444+C444)/2</f>
        <v>0.114799499511719</v>
      </c>
      <c r="E444" s="15" t="n">
        <f aca="false">$C$2*(1+IF(E$3&lt;=$O$2,$D444,$D444-($D444-$I$427)*MIN(E$3-$O$2,$Q$2)/$Q$2))</f>
        <v>15960.5844345093</v>
      </c>
      <c r="F444" s="15" t="n">
        <f aca="false">E444*(1+IF(F$3&lt;=$O$2,$D444,$D444-($D444-$I$427)*MIN(F$3-$O$2,$Q$2)/$Q$2))</f>
        <v>17792.8515395055</v>
      </c>
      <c r="G444" s="15" t="n">
        <f aca="false">F444*(1+IF(G$3&lt;=$O$2,$D444,$D444-($D444-$I$427)*MIN(G$3-$O$2,$Q$2)/$Q$2))</f>
        <v>19835.461991127</v>
      </c>
      <c r="H444" s="15" t="n">
        <f aca="false">G444*(1+IF(H$3&lt;=$O$2,$D444,$D444-($D444-$I$427)*MIN(H$3-$O$2,$Q$2)/$Q$2))</f>
        <v>22112.5631002921</v>
      </c>
      <c r="I444" s="15" t="n">
        <f aca="false">H444*(1+IF(I$3&lt;=$O$2,$D444,$D444-($D444-$I$427)*MIN(I$3-$O$2,$Q$2)/$Q$2))</f>
        <v>24651.074277127</v>
      </c>
      <c r="J444" s="15" t="n">
        <f aca="false">I444*(1+IF(J$3&lt;=$O$2,$D444,$D444-($D444-$I$427)*MIN(J$3-$O$2,$Q$2)/$Q$2))</f>
        <v>27103.846297642</v>
      </c>
      <c r="K444" s="15" t="n">
        <f aca="false">J444*(1+IF(K$3&lt;=$O$2,$D444,$D444-($D444-$I$427)*MIN(K$3-$O$2,$Q$2)/$Q$2))</f>
        <v>29385.982016809</v>
      </c>
      <c r="L444" s="15" t="n">
        <f aca="false">K444*(1+IF(L$3&lt;=$O$2,$D444,$D444-($D444-$I$427)*MIN(L$3-$O$2,$Q$2)/$Q$2))</f>
        <v>31410.6702948313</v>
      </c>
      <c r="M444" s="15" t="n">
        <f aca="false">L444*(1+IF(M$3&lt;=$O$2,$D444,$D444-($D444-$I$427)*MIN(M$3-$O$2,$Q$2)/$Q$2))</f>
        <v>33094.2790784998</v>
      </c>
      <c r="N444" s="15" t="n">
        <f aca="false">M444*(1+IF(N$3&lt;=$O$2,$D444,$D444-($D444-$I$427)*MIN(N$3-$O$2,$Q$2)/$Q$2))</f>
        <v>34361.7899672064</v>
      </c>
      <c r="O444" s="15" t="n">
        <f aca="false">SUMPRODUCT(E444:N444,1/(1+$F$427)^$E$3:$N$3)*$E$2</f>
        <v>49230.5498269919</v>
      </c>
      <c r="P444" s="15" t="n">
        <f aca="false">N444*$E$2*(1+$I$427)/($F$427-$I$427)/(1+$F$427)^$N$3</f>
        <v>83229.9375164351</v>
      </c>
      <c r="Q444" s="15" t="n">
        <f aca="false">O444+P444</f>
        <v>132460.487343427</v>
      </c>
      <c r="R444" s="15" t="n">
        <f aca="false">Q444-$G$2+$I$2</f>
        <v>120840.487343427</v>
      </c>
      <c r="S444" s="40" t="n">
        <f aca="false">R444/$K$2</f>
        <v>409.948391435448</v>
      </c>
      <c r="T444" s="41" t="n">
        <f aca="false">S444-$M$2</f>
        <v>-0.0322714542626841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0.114799499511719</v>
      </c>
      <c r="C445" s="25" t="n">
        <f aca="false">IF(T444&gt;0,D444,C444)</f>
        <v>0.114822387695313</v>
      </c>
      <c r="D445" s="39" t="n">
        <f aca="false">(B445+C445)/2</f>
        <v>0.114810943603516</v>
      </c>
      <c r="E445" s="15" t="n">
        <f aca="false">$C$2*(1+IF(E$3&lt;=$O$2,$D445,$D445-($D445-$I$427)*MIN(E$3-$O$2,$Q$2)/$Q$2))</f>
        <v>15960.7482795715</v>
      </c>
      <c r="F445" s="15" t="n">
        <f aca="false">E445*(1+IF(F$3&lt;=$O$2,$D445,$D445-($D445-$I$427)*MIN(F$3-$O$2,$Q$2)/$Q$2))</f>
        <v>17793.2168501673</v>
      </c>
      <c r="G445" s="15" t="n">
        <f aca="false">F445*(1+IF(G$3&lt;=$O$2,$D445,$D445-($D445-$I$427)*MIN(G$3-$O$2,$Q$2)/$Q$2))</f>
        <v>19836.072866477</v>
      </c>
      <c r="H445" s="15" t="n">
        <f aca="false">G445*(1+IF(H$3&lt;=$O$2,$D445,$D445-($D445-$I$427)*MIN(H$3-$O$2,$Q$2)/$Q$2))</f>
        <v>22113.4711096653</v>
      </c>
      <c r="I445" s="15" t="n">
        <f aca="false">H445*(1+IF(I$3&lt;=$O$2,$D445,$D445-($D445-$I$427)*MIN(I$3-$O$2,$Q$2)/$Q$2))</f>
        <v>24652.3395941151</v>
      </c>
      <c r="J445" s="15" t="n">
        <f aca="false">I445*(1+IF(J$3&lt;=$O$2,$D445,$D445-($D445-$I$427)*MIN(J$3-$O$2,$Q$2)/$Q$2))</f>
        <v>27105.4632120737</v>
      </c>
      <c r="K445" s="15" t="n">
        <f aca="false">J445*(1+IF(K$3&lt;=$O$2,$D445,$D445-($D445-$I$427)*MIN(K$3-$O$2,$Q$2)/$Q$2))</f>
        <v>29387.9211933959</v>
      </c>
      <c r="L445" s="15" t="n">
        <f aca="false">K445*(1+IF(L$3&lt;=$O$2,$D445,$D445-($D445-$I$427)*MIN(L$3-$O$2,$Q$2)/$Q$2))</f>
        <v>31412.8776075239</v>
      </c>
      <c r="M445" s="15" t="n">
        <f aca="false">L445*(1+IF(M$3&lt;=$O$2,$D445,$D445-($D445-$I$427)*MIN(M$3-$O$2,$Q$2)/$Q$2))</f>
        <v>33096.6766013028</v>
      </c>
      <c r="N445" s="15" t="n">
        <f aca="false">M445*(1+IF(N$3&lt;=$O$2,$D445,$D445-($D445-$I$427)*MIN(N$3-$O$2,$Q$2)/$Q$2))</f>
        <v>34364.2793151327</v>
      </c>
      <c r="O445" s="15" t="n">
        <f aca="false">SUMPRODUCT(E445:N445,1/(1+$F$427)^$E$3:$N$3)*$E$2</f>
        <v>49232.9871302558</v>
      </c>
      <c r="P445" s="15" t="n">
        <f aca="false">N445*$E$2*(1+$I$427)/($F$427-$I$427)/(1+$F$427)^$N$3</f>
        <v>83235.967128762</v>
      </c>
      <c r="Q445" s="15" t="n">
        <f aca="false">O445+P445</f>
        <v>132468.954259018</v>
      </c>
      <c r="R445" s="15" t="n">
        <f aca="false">Q445-$G$2+$I$2</f>
        <v>120848.954259018</v>
      </c>
      <c r="S445" s="40" t="n">
        <f aca="false">R445/$K$2</f>
        <v>409.97711523906</v>
      </c>
      <c r="T445" s="41" t="n">
        <f aca="false">S445-$M$2</f>
        <v>-0.00354765065014817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0.114810943603516</v>
      </c>
      <c r="C446" s="25" t="n">
        <f aca="false">IF(T445&gt;0,D445,C445)</f>
        <v>0.114822387695313</v>
      </c>
      <c r="D446" s="39" t="n">
        <f aca="false">(B446+C446)/2</f>
        <v>0.114816665649414</v>
      </c>
      <c r="E446" s="15" t="n">
        <f aca="false">$C$2*(1+IF(E$3&lt;=$O$2,$D446,$D446-($D446-$I$427)*MIN(E$3-$O$2,$Q$2)/$Q$2))</f>
        <v>15960.8302021027</v>
      </c>
      <c r="F446" s="15" t="n">
        <f aca="false">E446*(1+IF(F$3&lt;=$O$2,$D446,$D446-($D446-$I$427)*MIN(F$3-$O$2,$Q$2)/$Q$2))</f>
        <v>17793.3995069046</v>
      </c>
      <c r="G446" s="15" t="n">
        <f aca="false">F446*(1+IF(G$3&lt;=$O$2,$D446,$D446-($D446-$I$427)*MIN(G$3-$O$2,$Q$2)/$Q$2))</f>
        <v>19836.3783088553</v>
      </c>
      <c r="H446" s="15" t="n">
        <f aca="false">G446*(1+IF(H$3&lt;=$O$2,$D446,$D446-($D446-$I$427)*MIN(H$3-$O$2,$Q$2)/$Q$2))</f>
        <v>22113.9251248384</v>
      </c>
      <c r="I446" s="15" t="n">
        <f aca="false">H446*(1+IF(I$3&lt;=$O$2,$D446,$D446-($D446-$I$427)*MIN(I$3-$O$2,$Q$2)/$Q$2))</f>
        <v>24652.9722720931</v>
      </c>
      <c r="J446" s="15" t="n">
        <f aca="false">I446*(1+IF(J$3&lt;=$O$2,$D446,$D446-($D446-$I$427)*MIN(J$3-$O$2,$Q$2)/$Q$2))</f>
        <v>27106.2716994007</v>
      </c>
      <c r="K446" s="15" t="n">
        <f aca="false">J446*(1+IF(K$3&lt;=$O$2,$D446,$D446-($D446-$I$427)*MIN(K$3-$O$2,$Q$2)/$Q$2))</f>
        <v>29388.8908226629</v>
      </c>
      <c r="L446" s="15" t="n">
        <f aca="false">K446*(1+IF(L$3&lt;=$O$2,$D446,$D446-($D446-$I$427)*MIN(L$3-$O$2,$Q$2)/$Q$2))</f>
        <v>31413.9813143248</v>
      </c>
      <c r="M446" s="15" t="n">
        <f aca="false">L446*(1+IF(M$3&lt;=$O$2,$D446,$D446-($D446-$I$427)*MIN(M$3-$O$2,$Q$2)/$Q$2))</f>
        <v>33097.8754196525</v>
      </c>
      <c r="N446" s="15" t="n">
        <f aca="false">M446*(1+IF(N$3&lt;=$O$2,$D446,$D446-($D446-$I$427)*MIN(N$3-$O$2,$Q$2)/$Q$2))</f>
        <v>34365.5240482252</v>
      </c>
      <c r="O446" s="15" t="n">
        <f aca="false">SUMPRODUCT(E446:N446,1/(1+$F$427)^$E$3:$N$3)*$E$2</f>
        <v>49234.2058267104</v>
      </c>
      <c r="P446" s="15" t="n">
        <f aca="false">N446*$E$2*(1+$I$427)/($F$427-$I$427)/(1+$F$427)^$N$3</f>
        <v>83238.9820781467</v>
      </c>
      <c r="Q446" s="15" t="n">
        <f aca="false">O446+P446</f>
        <v>132473.187904857</v>
      </c>
      <c r="R446" s="15" t="n">
        <f aca="false">Q446-$G$2+$I$2</f>
        <v>120853.187904857</v>
      </c>
      <c r="S446" s="40" t="n">
        <f aca="false">R446/$K$2</f>
        <v>409.991477778801</v>
      </c>
      <c r="T446" s="41" t="n">
        <f aca="false">S446-$M$2</f>
        <v>0.0108148890899997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0.114810943603516</v>
      </c>
      <c r="C447" s="25" t="n">
        <f aca="false">IF(T446&gt;0,D446,C446)</f>
        <v>0.114816665649414</v>
      </c>
      <c r="D447" s="39" t="n">
        <f aca="false">(B447+C447)/2</f>
        <v>0.114813804626465</v>
      </c>
      <c r="E447" s="15" t="n">
        <f aca="false">$C$2*(1+IF(E$3&lt;=$O$2,$D447,$D447-($D447-$I$427)*MIN(E$3-$O$2,$Q$2)/$Q$2))</f>
        <v>15960.7892408371</v>
      </c>
      <c r="F447" s="15" t="n">
        <f aca="false">E447*(1+IF(F$3&lt;=$O$2,$D447,$D447-($D447-$I$427)*MIN(F$3-$O$2,$Q$2)/$Q$2))</f>
        <v>17793.3081784188</v>
      </c>
      <c r="G447" s="15" t="n">
        <f aca="false">F447*(1+IF(G$3&lt;=$O$2,$D447,$D447-($D447-$I$427)*MIN(G$3-$O$2,$Q$2)/$Q$2))</f>
        <v>19836.2255872742</v>
      </c>
      <c r="H447" s="15" t="n">
        <f aca="false">G447*(1+IF(H$3&lt;=$O$2,$D447,$D447-($D447-$I$427)*MIN(H$3-$O$2,$Q$2)/$Q$2))</f>
        <v>22113.698116378</v>
      </c>
      <c r="I447" s="15" t="n">
        <f aca="false">H447*(1+IF(I$3&lt;=$O$2,$D447,$D447-($D447-$I$427)*MIN(I$3-$O$2,$Q$2)/$Q$2))</f>
        <v>24652.6559314804</v>
      </c>
      <c r="J447" s="15" t="n">
        <f aca="false">I447*(1+IF(J$3&lt;=$O$2,$D447,$D447-($D447-$I$427)*MIN(J$3-$O$2,$Q$2)/$Q$2))</f>
        <v>27105.8674532279</v>
      </c>
      <c r="K447" s="15" t="n">
        <f aca="false">J447*(1+IF(K$3&lt;=$O$2,$D447,$D447-($D447-$I$427)*MIN(K$3-$O$2,$Q$2)/$Q$2))</f>
        <v>29388.4060046148</v>
      </c>
      <c r="L447" s="15" t="n">
        <f aca="false">K447*(1+IF(L$3&lt;=$O$2,$D447,$D447-($D447-$I$427)*MIN(L$3-$O$2,$Q$2)/$Q$2))</f>
        <v>31413.4294567197</v>
      </c>
      <c r="M447" s="15" t="n">
        <f aca="false">L447*(1+IF(M$3&lt;=$O$2,$D447,$D447-($D447-$I$427)*MIN(M$3-$O$2,$Q$2)/$Q$2))</f>
        <v>33097.2760057318</v>
      </c>
      <c r="N447" s="15" t="n">
        <f aca="false">M447*(1+IF(N$3&lt;=$O$2,$D447,$D447-($D447-$I$427)*MIN(N$3-$O$2,$Q$2)/$Q$2))</f>
        <v>34364.9016767514</v>
      </c>
      <c r="O447" s="15" t="n">
        <f aca="false">SUMPRODUCT(E447:N447,1/(1+$F$427)^$E$3:$N$3)*$E$2</f>
        <v>49233.5964747478</v>
      </c>
      <c r="P447" s="15" t="n">
        <f aca="false">N447*$E$2*(1+$I$427)/($F$427-$I$427)/(1+$F$427)^$N$3</f>
        <v>83237.474591519</v>
      </c>
      <c r="Q447" s="15" t="n">
        <f aca="false">O447+P447</f>
        <v>132471.071066267</v>
      </c>
      <c r="R447" s="15" t="n">
        <f aca="false">Q447-$G$2+$I$2</f>
        <v>120851.071066267</v>
      </c>
      <c r="S447" s="40" t="n">
        <f aca="false">R447/$K$2</f>
        <v>409.984296455768</v>
      </c>
      <c r="T447" s="41" t="n">
        <f aca="false">S447-$M$2</f>
        <v>0.00363356605760146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0.114810943603516</v>
      </c>
      <c r="C448" s="25" t="n">
        <f aca="false">IF(T447&gt;0,D447,C447)</f>
        <v>0.114813804626465</v>
      </c>
      <c r="D448" s="39" t="n">
        <f aca="false">(B448+C448)/2</f>
        <v>0.11481237411499</v>
      </c>
      <c r="E448" s="15" t="n">
        <f aca="false">$C$2*(1+IF(E$3&lt;=$O$2,$D448,$D448-($D448-$I$427)*MIN(E$3-$O$2,$Q$2)/$Q$2))</f>
        <v>15960.7687602043</v>
      </c>
      <c r="F448" s="15" t="n">
        <f aca="false">E448*(1+IF(F$3&lt;=$O$2,$D448,$D448-($D448-$I$427)*MIN(F$3-$O$2,$Q$2)/$Q$2))</f>
        <v>17793.2625142637</v>
      </c>
      <c r="G448" s="15" t="n">
        <f aca="false">F448*(1+IF(G$3&lt;=$O$2,$D448,$D448-($D448-$I$427)*MIN(G$3-$O$2,$Q$2)/$Q$2))</f>
        <v>19836.1492267776</v>
      </c>
      <c r="H448" s="15" t="n">
        <f aca="false">G448*(1+IF(H$3&lt;=$O$2,$D448,$D448-($D448-$I$427)*MIN(H$3-$O$2,$Q$2)/$Q$2))</f>
        <v>22113.5846128032</v>
      </c>
      <c r="I448" s="15" t="n">
        <f aca="false">H448*(1+IF(I$3&lt;=$O$2,$D448,$D448-($D448-$I$427)*MIN(I$3-$O$2,$Q$2)/$Q$2))</f>
        <v>24652.4977623918</v>
      </c>
      <c r="J448" s="15" t="n">
        <f aca="false">I448*(1+IF(J$3&lt;=$O$2,$D448,$D448-($D448-$I$427)*MIN(J$3-$O$2,$Q$2)/$Q$2))</f>
        <v>27105.6653320235</v>
      </c>
      <c r="K448" s="15" t="n">
        <f aca="false">J448*(1+IF(K$3&lt;=$O$2,$D448,$D448-($D448-$I$427)*MIN(K$3-$O$2,$Q$2)/$Q$2))</f>
        <v>29388.1635981517</v>
      </c>
      <c r="L448" s="15" t="n">
        <f aca="false">K448*(1+IF(L$3&lt;=$O$2,$D448,$D448-($D448-$I$427)*MIN(L$3-$O$2,$Q$2)/$Q$2))</f>
        <v>31413.1535310707</v>
      </c>
      <c r="M448" s="15" t="n">
        <f aca="false">L448*(1+IF(M$3&lt;=$O$2,$D448,$D448-($D448-$I$427)*MIN(M$3-$O$2,$Q$2)/$Q$2))</f>
        <v>33096.9763023308</v>
      </c>
      <c r="N448" s="15" t="n">
        <f aca="false">M448*(1+IF(N$3&lt;=$O$2,$D448,$D448-($D448-$I$427)*MIN(N$3-$O$2,$Q$2)/$Q$2))</f>
        <v>34364.5904947101</v>
      </c>
      <c r="O448" s="15" t="n">
        <f aca="false">SUMPRODUCT(E448:N448,1/(1+$F$427)^$E$3:$N$3)*$E$2</f>
        <v>49233.291801568</v>
      </c>
      <c r="P448" s="15" t="n">
        <f aca="false">N448*$E$2*(1+$I$427)/($F$427-$I$427)/(1+$F$427)^$N$3</f>
        <v>83236.7208571567</v>
      </c>
      <c r="Q448" s="15" t="n">
        <f aca="false">O448+P448</f>
        <v>132470.012658725</v>
      </c>
      <c r="R448" s="15" t="n">
        <f aca="false">Q448-$G$2+$I$2</f>
        <v>120850.012658725</v>
      </c>
      <c r="S448" s="40" t="n">
        <f aca="false">R448/$K$2</f>
        <v>409.980705834124</v>
      </c>
      <c r="T448" s="41" t="n">
        <f aca="false">S448-$M$2</f>
        <v>4.29444132805656E-005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0.114810943603516</v>
      </c>
      <c r="C449" s="25" t="n">
        <f aca="false">IF(T448&gt;0,D448,C448)</f>
        <v>0.11481237411499</v>
      </c>
      <c r="D449" s="39" t="n">
        <f aca="false">(B449+C449)/2</f>
        <v>0.114811658859253</v>
      </c>
      <c r="E449" s="15" t="n">
        <f aca="false">$C$2*(1+IF(E$3&lt;=$O$2,$D449,$D449-($D449-$I$427)*MIN(E$3-$O$2,$Q$2)/$Q$2))</f>
        <v>15960.7585198879</v>
      </c>
      <c r="F449" s="15" t="n">
        <f aca="false">E449*(1+IF(F$3&lt;=$O$2,$D449,$D449-($D449-$I$427)*MIN(F$3-$O$2,$Q$2)/$Q$2))</f>
        <v>17793.2396822082</v>
      </c>
      <c r="G449" s="15" t="n">
        <f aca="false">F449*(1+IF(G$3&lt;=$O$2,$D449,$D449-($D449-$I$427)*MIN(G$3-$O$2,$Q$2)/$Q$2))</f>
        <v>19836.1110466028</v>
      </c>
      <c r="H449" s="15" t="n">
        <f aca="false">G449*(1+IF(H$3&lt;=$O$2,$D449,$D449-($D449-$I$427)*MIN(H$3-$O$2,$Q$2)/$Q$2))</f>
        <v>22113.5278611796</v>
      </c>
      <c r="I449" s="15" t="n">
        <f aca="false">H449*(1+IF(I$3&lt;=$O$2,$D449,$D449-($D449-$I$427)*MIN(I$3-$O$2,$Q$2)/$Q$2))</f>
        <v>24652.418678152</v>
      </c>
      <c r="J449" s="15" t="n">
        <f aca="false">I449*(1+IF(J$3&lt;=$O$2,$D449,$D449-($D449-$I$427)*MIN(J$3-$O$2,$Q$2)/$Q$2))</f>
        <v>27105.5642718918</v>
      </c>
      <c r="K449" s="15" t="n">
        <f aca="false">J449*(1+IF(K$3&lt;=$O$2,$D449,$D449-($D449-$I$427)*MIN(K$3-$O$2,$Q$2)/$Q$2))</f>
        <v>29388.0423955604</v>
      </c>
      <c r="L449" s="15" t="n">
        <f aca="false">K449*(1+IF(L$3&lt;=$O$2,$D449,$D449-($D449-$I$427)*MIN(L$3-$O$2,$Q$2)/$Q$2))</f>
        <v>31413.0155690345</v>
      </c>
      <c r="M449" s="15" t="n">
        <f aca="false">L449*(1+IF(M$3&lt;=$O$2,$D449,$D449-($D449-$I$427)*MIN(M$3-$O$2,$Q$2)/$Q$2))</f>
        <v>33096.8264515202</v>
      </c>
      <c r="N449" s="15" t="n">
        <f aca="false">M449*(1+IF(N$3&lt;=$O$2,$D449,$D449-($D449-$I$427)*MIN(N$3-$O$2,$Q$2)/$Q$2))</f>
        <v>34364.4349046134</v>
      </c>
      <c r="O449" s="15" t="n">
        <f aca="false">SUMPRODUCT(E449:N449,1/(1+$F$427)^$E$3:$N$3)*$E$2</f>
        <v>49233.1394656785</v>
      </c>
      <c r="P449" s="15" t="n">
        <f aca="false">N449*$E$2*(1+$I$427)/($F$427-$I$427)/(1+$F$427)^$N$3</f>
        <v>83236.3439922134</v>
      </c>
      <c r="Q449" s="15" t="n">
        <f aca="false">O449+P449</f>
        <v>132469.483457892</v>
      </c>
      <c r="R449" s="15" t="n">
        <f aca="false">Q449-$G$2+$I$2</f>
        <v>120849.483457892</v>
      </c>
      <c r="S449" s="40" t="n">
        <f aca="false">R449/$K$2</f>
        <v>409.97891053327</v>
      </c>
      <c r="T449" s="41" t="n">
        <f aca="false">S449-$M$2</f>
        <v>-0.00175235644093164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0.114811658859253</v>
      </c>
      <c r="C450" s="25" t="n">
        <f aca="false">IF(T449&gt;0,D449,C449)</f>
        <v>0.11481237411499</v>
      </c>
      <c r="D450" s="39" t="n">
        <f aca="false">(B450+C450)/2</f>
        <v>0.114812016487122</v>
      </c>
      <c r="E450" s="15" t="n">
        <f aca="false">$C$2*(1+IF(E$3&lt;=$O$2,$D450,$D450-($D450-$I$427)*MIN(E$3-$O$2,$Q$2)/$Q$2))</f>
        <v>15960.7636400461</v>
      </c>
      <c r="F450" s="15" t="n">
        <f aca="false">E450*(1+IF(F$3&lt;=$O$2,$D450,$D450-($D450-$I$427)*MIN(F$3-$O$2,$Q$2)/$Q$2))</f>
        <v>17793.2510982341</v>
      </c>
      <c r="G450" s="15" t="n">
        <f aca="false">F450*(1+IF(G$3&lt;=$O$2,$D450,$D450-($D450-$I$427)*MIN(G$3-$O$2,$Q$2)/$Q$2))</f>
        <v>19836.1301366841</v>
      </c>
      <c r="H450" s="15" t="n">
        <f aca="false">G450*(1+IF(H$3&lt;=$O$2,$D450,$D450-($D450-$I$427)*MIN(H$3-$O$2,$Q$2)/$Q$2))</f>
        <v>22113.5562369778</v>
      </c>
      <c r="I450" s="15" t="n">
        <f aca="false">H450*(1+IF(I$3&lt;=$O$2,$D450,$D450-($D450-$I$427)*MIN(I$3-$O$2,$Q$2)/$Q$2))</f>
        <v>24652.4582202465</v>
      </c>
      <c r="J450" s="15" t="n">
        <f aca="false">I450*(1+IF(J$3&lt;=$O$2,$D450,$D450-($D450-$I$427)*MIN(J$3-$O$2,$Q$2)/$Q$2))</f>
        <v>27105.6148019185</v>
      </c>
      <c r="K450" s="15" t="n">
        <f aca="false">J450*(1+IF(K$3&lt;=$O$2,$D450,$D450-($D450-$I$427)*MIN(K$3-$O$2,$Q$2)/$Q$2))</f>
        <v>29388.1029968027</v>
      </c>
      <c r="L450" s="15" t="n">
        <f aca="false">K450*(1+IF(L$3&lt;=$O$2,$D450,$D450-($D450-$I$427)*MIN(L$3-$O$2,$Q$2)/$Q$2))</f>
        <v>31413.0845499869</v>
      </c>
      <c r="M450" s="15" t="n">
        <f aca="false">L450*(1+IF(M$3&lt;=$O$2,$D450,$D450-($D450-$I$427)*MIN(M$3-$O$2,$Q$2)/$Q$2))</f>
        <v>33096.9013768514</v>
      </c>
      <c r="N450" s="15" t="n">
        <f aca="false">M450*(1+IF(N$3&lt;=$O$2,$D450,$D450-($D450-$I$427)*MIN(N$3-$O$2,$Q$2)/$Q$2))</f>
        <v>34364.5126995848</v>
      </c>
      <c r="O450" s="15" t="n">
        <f aca="false">SUMPRODUCT(E450:N450,1/(1+$F$427)^$E$3:$N$3)*$E$2</f>
        <v>49233.2156335649</v>
      </c>
      <c r="P450" s="15" t="n">
        <f aca="false">N450*$E$2*(1+$I$427)/($F$427-$I$427)/(1+$F$427)^$N$3</f>
        <v>83236.5324244985</v>
      </c>
      <c r="Q450" s="15" t="n">
        <f aca="false">O450+P450</f>
        <v>132469.748058063</v>
      </c>
      <c r="R450" s="15" t="n">
        <f aca="false">Q450-$G$2+$I$2</f>
        <v>120849.748058063</v>
      </c>
      <c r="S450" s="40" t="n">
        <f aca="false">R450/$K$2</f>
        <v>409.979808182866</v>
      </c>
      <c r="T450" s="41" t="n">
        <f aca="false">S450-$M$2</f>
        <v>-0.000854706844620523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0.114812016487122</v>
      </c>
      <c r="C451" s="25" t="n">
        <f aca="false">IF(T450&gt;0,D450,C450)</f>
        <v>0.11481237411499</v>
      </c>
      <c r="D451" s="39" t="n">
        <f aca="false">(B451+C451)/2</f>
        <v>0.114812195301056</v>
      </c>
      <c r="E451" s="15" t="n">
        <f aca="false">$C$2*(1+IF(E$3&lt;=$O$2,$D451,$D451-($D451-$I$427)*MIN(E$3-$O$2,$Q$2)/$Q$2))</f>
        <v>15960.7662001252</v>
      </c>
      <c r="F451" s="15" t="n">
        <f aca="false">E451*(1+IF(F$3&lt;=$O$2,$D451,$D451-($D451-$I$427)*MIN(F$3-$O$2,$Q$2)/$Q$2))</f>
        <v>17793.2568062485</v>
      </c>
      <c r="G451" s="15" t="n">
        <f aca="false">F451*(1+IF(G$3&lt;=$O$2,$D451,$D451-($D451-$I$427)*MIN(G$3-$O$2,$Q$2)/$Q$2))</f>
        <v>19836.1396817293</v>
      </c>
      <c r="H451" s="15" t="n">
        <f aca="false">G451*(1+IF(H$3&lt;=$O$2,$D451,$D451-($D451-$I$427)*MIN(H$3-$O$2,$Q$2)/$Q$2))</f>
        <v>22113.5704248871</v>
      </c>
      <c r="I451" s="15" t="n">
        <f aca="false">H451*(1+IF(I$3&lt;=$O$2,$D451,$D451-($D451-$I$427)*MIN(I$3-$O$2,$Q$2)/$Q$2))</f>
        <v>24652.4779913128</v>
      </c>
      <c r="J451" s="15" t="n">
        <f aca="false">I451*(1+IF(J$3&lt;=$O$2,$D451,$D451-($D451-$I$427)*MIN(J$3-$O$2,$Q$2)/$Q$2))</f>
        <v>27105.6400669612</v>
      </c>
      <c r="K451" s="15" t="n">
        <f aca="false">J451*(1+IF(K$3&lt;=$O$2,$D451,$D451-($D451-$I$427)*MIN(K$3-$O$2,$Q$2)/$Q$2))</f>
        <v>29388.1332974639</v>
      </c>
      <c r="L451" s="15" t="n">
        <f aca="false">K451*(1+IF(L$3&lt;=$O$2,$D451,$D451-($D451-$I$427)*MIN(L$3-$O$2,$Q$2)/$Q$2))</f>
        <v>31413.1190405123</v>
      </c>
      <c r="M451" s="15" t="n">
        <f aca="false">L451*(1+IF(M$3&lt;=$O$2,$D451,$D451-($D451-$I$427)*MIN(M$3-$O$2,$Q$2)/$Q$2))</f>
        <v>33096.9388395726</v>
      </c>
      <c r="N451" s="15" t="n">
        <f aca="false">M451*(1+IF(N$3&lt;=$O$2,$D451,$D451-($D451-$I$427)*MIN(N$3-$O$2,$Q$2)/$Q$2))</f>
        <v>34364.5515971282</v>
      </c>
      <c r="O451" s="15" t="n">
        <f aca="false">SUMPRODUCT(E451:N451,1/(1+$F$427)^$E$3:$N$3)*$E$2</f>
        <v>49233.2537175518</v>
      </c>
      <c r="P451" s="15" t="n">
        <f aca="false">N451*$E$2*(1+$I$427)/($F$427-$I$427)/(1+$F$427)^$N$3</f>
        <v>83236.626640781</v>
      </c>
      <c r="Q451" s="15" t="n">
        <f aca="false">O451+P451</f>
        <v>132469.880358333</v>
      </c>
      <c r="R451" s="15" t="n">
        <f aca="false">Q451-$G$2+$I$2</f>
        <v>120849.880358333</v>
      </c>
      <c r="S451" s="40" t="n">
        <f aca="false">R451/$K$2</f>
        <v>409.980257008287</v>
      </c>
      <c r="T451" s="41" t="n">
        <f aca="false">S451-$M$2</f>
        <v>-0.000405881423432675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0.114812195301056</v>
      </c>
      <c r="C452" s="25" t="n">
        <f aca="false">IF(T451&gt;0,D451,C451)</f>
        <v>0.11481237411499</v>
      </c>
      <c r="D452" s="39" t="n">
        <f aca="false">(B452+C452)/2</f>
        <v>0.114812284708023</v>
      </c>
      <c r="E452" s="15" t="n">
        <f aca="false">$C$2*(1+IF(E$3&lt;=$O$2,$D452,$D452-($D452-$I$427)*MIN(E$3-$O$2,$Q$2)/$Q$2))</f>
        <v>15960.7674801648</v>
      </c>
      <c r="F452" s="15" t="n">
        <f aca="false">E452*(1+IF(F$3&lt;=$O$2,$D452,$D452-($D452-$I$427)*MIN(F$3-$O$2,$Q$2)/$Q$2))</f>
        <v>17793.259660256</v>
      </c>
      <c r="G452" s="15" t="n">
        <f aca="false">F452*(1+IF(G$3&lt;=$O$2,$D452,$D452-($D452-$I$427)*MIN(G$3-$O$2,$Q$2)/$Q$2))</f>
        <v>19836.1444542531</v>
      </c>
      <c r="H452" s="15" t="n">
        <f aca="false">G452*(1+IF(H$3&lt;=$O$2,$D452,$D452-($D452-$I$427)*MIN(H$3-$O$2,$Q$2)/$Q$2))</f>
        <v>22113.5775188443</v>
      </c>
      <c r="I452" s="15" t="n">
        <f aca="false">H452*(1+IF(I$3&lt;=$O$2,$D452,$D452-($D452-$I$427)*MIN(I$3-$O$2,$Q$2)/$Q$2))</f>
        <v>24652.4878768508</v>
      </c>
      <c r="J452" s="15" t="n">
        <f aca="false">I452*(1+IF(J$3&lt;=$O$2,$D452,$D452-($D452-$I$427)*MIN(J$3-$O$2,$Q$2)/$Q$2))</f>
        <v>27105.6526994899</v>
      </c>
      <c r="K452" s="15" t="n">
        <f aca="false">J452*(1+IF(K$3&lt;=$O$2,$D452,$D452-($D452-$I$427)*MIN(K$3-$O$2,$Q$2)/$Q$2))</f>
        <v>29388.1484478045</v>
      </c>
      <c r="L452" s="15" t="n">
        <f aca="false">K452*(1+IF(L$3&lt;=$O$2,$D452,$D452-($D452-$I$427)*MIN(L$3-$O$2,$Q$2)/$Q$2))</f>
        <v>31413.1362857874</v>
      </c>
      <c r="M452" s="15" t="n">
        <f aca="false">L452*(1+IF(M$3&lt;=$O$2,$D452,$D452-($D452-$I$427)*MIN(M$3-$O$2,$Q$2)/$Q$2))</f>
        <v>33096.9575709471</v>
      </c>
      <c r="N452" s="15" t="n">
        <f aca="false">M452*(1+IF(N$3&lt;=$O$2,$D452,$D452-($D452-$I$427)*MIN(N$3-$O$2,$Q$2)/$Q$2))</f>
        <v>34364.5710459143</v>
      </c>
      <c r="O452" s="15" t="n">
        <f aca="false">SUMPRODUCT(E452:N452,1/(1+$F$427)^$E$3:$N$3)*$E$2</f>
        <v>49233.2727595563</v>
      </c>
      <c r="P452" s="15" t="n">
        <f aca="false">N452*$E$2*(1+$I$427)/($F$427-$I$427)/(1+$F$427)^$N$3</f>
        <v>83236.6737489572</v>
      </c>
      <c r="Q452" s="15" t="n">
        <f aca="false">O452+P452</f>
        <v>132469.946508513</v>
      </c>
      <c r="R452" s="15" t="n">
        <f aca="false">Q452-$G$2+$I$2</f>
        <v>120849.946508513</v>
      </c>
      <c r="S452" s="40" t="n">
        <f aca="false">R452/$K$2</f>
        <v>409.980481421154</v>
      </c>
      <c r="T452" s="41" t="n">
        <f aca="false">S452-$M$2</f>
        <v>-0.000181468556945674</v>
      </c>
    </row>
    <row r="454" customFormat="false" ht="15" hidden="false" customHeight="false" outlineLevel="0" collapsed="false">
      <c r="A454" s="36" t="s">
        <v>190</v>
      </c>
      <c r="E454" s="5" t="s">
        <v>11</v>
      </c>
      <c r="F454" s="12" t="n">
        <f aca="false">Sensitivity!$B$13</f>
        <v>0.0998919064489092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6" t="s">
        <v>155</v>
      </c>
      <c r="B455" s="28" t="s">
        <v>156</v>
      </c>
      <c r="C455" s="28" t="s">
        <v>157</v>
      </c>
      <c r="D455" s="28" t="s">
        <v>158</v>
      </c>
      <c r="E455" s="28" t="s">
        <v>159</v>
      </c>
      <c r="F455" s="28" t="s">
        <v>160</v>
      </c>
      <c r="G455" s="28" t="s">
        <v>161</v>
      </c>
      <c r="H455" s="28" t="s">
        <v>162</v>
      </c>
      <c r="I455" s="28" t="s">
        <v>163</v>
      </c>
      <c r="J455" s="28" t="s">
        <v>164</v>
      </c>
      <c r="K455" s="28" t="s">
        <v>165</v>
      </c>
      <c r="L455" s="28" t="s">
        <v>166</v>
      </c>
      <c r="M455" s="28" t="s">
        <v>167</v>
      </c>
      <c r="N455" s="28" t="s">
        <v>168</v>
      </c>
      <c r="O455" s="28" t="s">
        <v>169</v>
      </c>
      <c r="P455" s="28" t="s">
        <v>170</v>
      </c>
      <c r="Q455" s="28" t="s">
        <v>171</v>
      </c>
      <c r="R455" s="28" t="s">
        <v>172</v>
      </c>
      <c r="S455" s="28" t="s">
        <v>173</v>
      </c>
      <c r="T455" s="28" t="s">
        <v>174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39" t="n">
        <f aca="false">(B456+C456)/2</f>
        <v>0.25</v>
      </c>
      <c r="E456" s="15" t="n">
        <f aca="false">$C$2*(1+IF(E$3&lt;=$O$2,$D456,$D456-($D456-$I$454)*MIN(E$3-$O$2,$Q$2)/$Q$2))</f>
        <v>17896.25</v>
      </c>
      <c r="F456" s="15" t="n">
        <f aca="false">E456*(1+IF(F$3&lt;=$O$2,$D456,$D456-($D456-$I$454)*MIN(F$3-$O$2,$Q$2)/$Q$2))</f>
        <v>22370.3125</v>
      </c>
      <c r="G456" s="15" t="n">
        <f aca="false">F456*(1+IF(G$3&lt;=$O$2,$D456,$D456-($D456-$I$454)*MIN(G$3-$O$2,$Q$2)/$Q$2))</f>
        <v>27962.890625</v>
      </c>
      <c r="H456" s="15" t="n">
        <f aca="false">G456*(1+IF(H$3&lt;=$O$2,$D456,$D456-($D456-$I$454)*MIN(H$3-$O$2,$Q$2)/$Q$2))</f>
        <v>34953.61328125</v>
      </c>
      <c r="I456" s="15" t="n">
        <f aca="false">H456*(1+IF(I$3&lt;=$O$2,$D456,$D456-($D456-$I$454)*MIN(I$3-$O$2,$Q$2)/$Q$2))</f>
        <v>43692.0166015625</v>
      </c>
      <c r="J456" s="15" t="n">
        <f aca="false">I456*(1+IF(J$3&lt;=$O$2,$D456,$D456-($D456-$I$454)*MIN(J$3-$O$2,$Q$2)/$Q$2))</f>
        <v>52590.3327026367</v>
      </c>
      <c r="K456" s="15" t="n">
        <f aca="false">J456*(1+IF(K$3&lt;=$O$2,$D456,$D456-($D456-$I$454)*MIN(K$3-$O$2,$Q$2)/$Q$2))</f>
        <v>60863.8438434155</v>
      </c>
      <c r="L456" s="15" t="n">
        <f aca="false">K456*(1+IF(L$3&lt;=$O$2,$D456,$D456-($D456-$I$454)*MIN(L$3-$O$2,$Q$2)/$Q$2))</f>
        <v>67618.5132331578</v>
      </c>
      <c r="M456" s="15" t="n">
        <f aca="false">L456*(1+IF(M$3&lt;=$O$2,$D456,$D456-($D456-$I$454)*MIN(M$3-$O$2,$Q$2)/$Q$2))</f>
        <v>71989.3739285491</v>
      </c>
      <c r="N456" s="15" t="n">
        <f aca="false">M456*(1+IF(N$3&lt;=$O$2,$D456,$D456-($D456-$I$454)*MIN(N$3-$O$2,$Q$2)/$Q$2))</f>
        <v>73306.7794714416</v>
      </c>
      <c r="O456" s="15" t="n">
        <f aca="false">SUMPRODUCT(E456:N456,1/(1+$F$454)^$E$3:$N$3)*$E$2</f>
        <v>84385.5276816107</v>
      </c>
      <c r="P456" s="15" t="n">
        <f aca="false">N456*$E$2*(1+$I$454)/($F$454-$I$454)/(1+$F$454)^$N$3</f>
        <v>115403.891778534</v>
      </c>
      <c r="Q456" s="15" t="n">
        <f aca="false">O456+P456</f>
        <v>199789.419460145</v>
      </c>
      <c r="R456" s="15" t="n">
        <f aca="false">Q456-$G$2+$I$2</f>
        <v>188169.419460145</v>
      </c>
      <c r="S456" s="40" t="n">
        <f aca="false">R456/$K$2</f>
        <v>638.360143366504</v>
      </c>
      <c r="T456" s="41" t="n">
        <f aca="false">S456-$M$2</f>
        <v>228.379480476794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39" t="n">
        <f aca="false">(B457+C457)/2</f>
        <v>-0.125</v>
      </c>
      <c r="E457" s="15" t="n">
        <f aca="false">$C$2*(1+IF(E$3&lt;=$O$2,$D457,$D457-($D457-$I$454)*MIN(E$3-$O$2,$Q$2)/$Q$2))</f>
        <v>12527.375</v>
      </c>
      <c r="F457" s="15" t="n">
        <f aca="false">E457*(1+IF(F$3&lt;=$O$2,$D457,$D457-($D457-$I$454)*MIN(F$3-$O$2,$Q$2)/$Q$2))</f>
        <v>10961.453125</v>
      </c>
      <c r="G457" s="15" t="n">
        <f aca="false">F457*(1+IF(G$3&lt;=$O$2,$D457,$D457-($D457-$I$454)*MIN(G$3-$O$2,$Q$2)/$Q$2))</f>
        <v>9591.271484375</v>
      </c>
      <c r="H457" s="15" t="n">
        <f aca="false">G457*(1+IF(H$3&lt;=$O$2,$D457,$D457-($D457-$I$454)*MIN(H$3-$O$2,$Q$2)/$Q$2))</f>
        <v>8392.36254882813</v>
      </c>
      <c r="I457" s="15" t="n">
        <f aca="false">H457*(1+IF(I$3&lt;=$O$2,$D457,$D457-($D457-$I$454)*MIN(I$3-$O$2,$Q$2)/$Q$2))</f>
        <v>7343.31723022461</v>
      </c>
      <c r="J457" s="15" t="n">
        <f aca="false">I457*(1+IF(J$3&lt;=$O$2,$D457,$D457-($D457-$I$454)*MIN(J$3-$O$2,$Q$2)/$Q$2))</f>
        <v>6635.86204826477</v>
      </c>
      <c r="K457" s="15" t="n">
        <f aca="false">J457*(1+IF(K$3&lt;=$O$2,$D457,$D457-($D457-$I$454)*MIN(K$3-$O$2,$Q$2)/$Q$2))</f>
        <v>6186.74690483821</v>
      </c>
      <c r="L457" s="15" t="n">
        <f aca="false">K457*(1+IF(L$3&lt;=$O$2,$D457,$D457-($D457-$I$454)*MIN(L$3-$O$2,$Q$2)/$Q$2))</f>
        <v>5945.34004061142</v>
      </c>
      <c r="M457" s="15" t="n">
        <f aca="false">L457*(1+IF(M$3&lt;=$O$2,$D457,$D457-($D457-$I$454)*MIN(M$3-$O$2,$Q$2)/$Q$2))</f>
        <v>5883.74631779069</v>
      </c>
      <c r="N457" s="15" t="n">
        <f aca="false">M457*(1+IF(N$3&lt;=$O$2,$D457,$D457-($D457-$I$454)*MIN(N$3-$O$2,$Q$2)/$Q$2))</f>
        <v>5991.41887540626</v>
      </c>
      <c r="O457" s="15" t="n">
        <f aca="false">SUMPRODUCT(E457:N457,1/(1+$F$454)^$E$3:$N$3)*$E$2</f>
        <v>17148.2400432909</v>
      </c>
      <c r="P457" s="15" t="n">
        <f aca="false">N457*$E$2*(1+$I$454)/($F$454-$I$454)/(1+$F$454)^$N$3</f>
        <v>9432.04790174439</v>
      </c>
      <c r="Q457" s="15" t="n">
        <f aca="false">O457+P457</f>
        <v>26580.2879450353</v>
      </c>
      <c r="R457" s="15" t="n">
        <f aca="false">Q457-$G$2+$I$2</f>
        <v>14960.2879450353</v>
      </c>
      <c r="S457" s="40" t="n">
        <f aca="false">R457/$K$2</f>
        <v>50.7524101673688</v>
      </c>
      <c r="T457" s="41" t="n">
        <f aca="false">S457-$M$2</f>
        <v>-359.228252722342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39" t="n">
        <f aca="false">(B458+C458)/2</f>
        <v>0.0625</v>
      </c>
      <c r="E458" s="15" t="n">
        <f aca="false">$C$2*(1+IF(E$3&lt;=$O$2,$D458,$D458-($D458-$I$454)*MIN(E$3-$O$2,$Q$2)/$Q$2))</f>
        <v>15211.8125</v>
      </c>
      <c r="F458" s="15" t="n">
        <f aca="false">E458*(1+IF(F$3&lt;=$O$2,$D458,$D458-($D458-$I$454)*MIN(F$3-$O$2,$Q$2)/$Q$2))</f>
        <v>16162.55078125</v>
      </c>
      <c r="G458" s="15" t="n">
        <f aca="false">F458*(1+IF(G$3&lt;=$O$2,$D458,$D458-($D458-$I$454)*MIN(G$3-$O$2,$Q$2)/$Q$2))</f>
        <v>17172.7102050781</v>
      </c>
      <c r="H458" s="15" t="n">
        <f aca="false">G458*(1+IF(H$3&lt;=$O$2,$D458,$D458-($D458-$I$454)*MIN(H$3-$O$2,$Q$2)/$Q$2))</f>
        <v>18246.0045928955</v>
      </c>
      <c r="I458" s="15" t="n">
        <f aca="false">H458*(1+IF(I$3&lt;=$O$2,$D458,$D458-($D458-$I$454)*MIN(I$3-$O$2,$Q$2)/$Q$2))</f>
        <v>19386.3798799515</v>
      </c>
      <c r="J458" s="15" t="n">
        <f aca="false">I458*(1+IF(J$3&lt;=$O$2,$D458,$D458-($D458-$I$454)*MIN(J$3-$O$2,$Q$2)/$Q$2))</f>
        <v>20426.6530243097</v>
      </c>
      <c r="K458" s="15" t="n">
        <f aca="false">J458*(1+IF(K$3&lt;=$O$2,$D458,$D458-($D458-$I$454)*MIN(K$3-$O$2,$Q$2)/$Q$2))</f>
        <v>21342.1756128592</v>
      </c>
      <c r="L458" s="15" t="n">
        <f aca="false">K458*(1+IF(L$3&lt;=$O$2,$D458,$D458-($D458-$I$454)*MIN(L$3-$O$2,$Q$2)/$Q$2))</f>
        <v>22110.0670914099</v>
      </c>
      <c r="M458" s="15" t="n">
        <f aca="false">L458*(1+IF(M$3&lt;=$O$2,$D458,$D458-($D458-$I$454)*MIN(M$3-$O$2,$Q$2)/$Q$2))</f>
        <v>22710.1343122708</v>
      </c>
      <c r="N458" s="15" t="n">
        <f aca="false">M458*(1+IF(N$3&lt;=$O$2,$D458,$D458-($D458-$I$454)*MIN(N$3-$O$2,$Q$2)/$Q$2))</f>
        <v>23125.7297701853</v>
      </c>
      <c r="O458" s="15" t="n">
        <f aca="false">SUMPRODUCT(E458:N458,1/(1+$F$454)^$E$3:$N$3)*$E$2</f>
        <v>37911.4451009136</v>
      </c>
      <c r="P458" s="15" t="n">
        <f aca="false">N458*$E$2*(1+$I$454)/($F$454-$I$454)/(1+$F$454)^$N$3</f>
        <v>36405.8990851969</v>
      </c>
      <c r="Q458" s="15" t="n">
        <f aca="false">O458+P458</f>
        <v>74317.3441861105</v>
      </c>
      <c r="R458" s="15" t="n">
        <f aca="false">Q458-$G$2+$I$2</f>
        <v>62697.3441861105</v>
      </c>
      <c r="S458" s="40" t="n">
        <f aca="false">R458/$K$2</f>
        <v>212.699203399635</v>
      </c>
      <c r="T458" s="41" t="n">
        <f aca="false">S458-$M$2</f>
        <v>-197.281459490075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39" t="n">
        <f aca="false">(B459+C459)/2</f>
        <v>0.15625</v>
      </c>
      <c r="E459" s="15" t="n">
        <f aca="false">$C$2*(1+IF(E$3&lt;=$O$2,$D459,$D459-($D459-$I$454)*MIN(E$3-$O$2,$Q$2)/$Q$2))</f>
        <v>16554.03125</v>
      </c>
      <c r="F459" s="15" t="n">
        <f aca="false">E459*(1+IF(F$3&lt;=$O$2,$D459,$D459-($D459-$I$454)*MIN(F$3-$O$2,$Q$2)/$Q$2))</f>
        <v>19140.5986328125</v>
      </c>
      <c r="G459" s="15" t="n">
        <f aca="false">F459*(1+IF(G$3&lt;=$O$2,$D459,$D459-($D459-$I$454)*MIN(G$3-$O$2,$Q$2)/$Q$2))</f>
        <v>22131.3171691895</v>
      </c>
      <c r="H459" s="15" t="n">
        <f aca="false">G459*(1+IF(H$3&lt;=$O$2,$D459,$D459-($D459-$I$454)*MIN(H$3-$O$2,$Q$2)/$Q$2))</f>
        <v>25589.3354768753</v>
      </c>
      <c r="I459" s="15" t="n">
        <f aca="false">H459*(1+IF(I$3&lt;=$O$2,$D459,$D459-($D459-$I$454)*MIN(I$3-$O$2,$Q$2)/$Q$2))</f>
        <v>29587.6691451371</v>
      </c>
      <c r="J459" s="15" t="n">
        <f aca="false">I459*(1+IF(J$3&lt;=$O$2,$D459,$D459-($D459-$I$454)*MIN(J$3-$O$2,$Q$2)/$Q$2))</f>
        <v>33394.4186573504</v>
      </c>
      <c r="K459" s="15" t="n">
        <f aca="false">J459*(1+IF(K$3&lt;=$O$2,$D459,$D459-($D459-$I$454)*MIN(K$3-$O$2,$Q$2)/$Q$2))</f>
        <v>36769.5925510488</v>
      </c>
      <c r="L459" s="15" t="n">
        <f aca="false">K459*(1+IF(L$3&lt;=$O$2,$D459,$D459-($D459-$I$454)*MIN(L$3-$O$2,$Q$2)/$Q$2))</f>
        <v>39471.4222116999</v>
      </c>
      <c r="M459" s="15" t="n">
        <f aca="false">L459*(1+IF(M$3&lt;=$O$2,$D459,$D459-($D459-$I$454)*MIN(M$3-$O$2,$Q$2)/$Q$2))</f>
        <v>41282.7657769948</v>
      </c>
      <c r="N459" s="15" t="n">
        <f aca="false">M459*(1+IF(N$3&lt;=$O$2,$D459,$D459-($D459-$I$454)*MIN(N$3-$O$2,$Q$2)/$Q$2))</f>
        <v>42038.2403907138</v>
      </c>
      <c r="O459" s="15" t="n">
        <f aca="false">SUMPRODUCT(E459:N459,1/(1+$F$454)^$E$3:$N$3)*$E$2</f>
        <v>56639.1954779955</v>
      </c>
      <c r="P459" s="15" t="n">
        <f aca="false">N459*$E$2*(1+$I$454)/($F$454-$I$454)/(1+$F$454)^$N$3</f>
        <v>66179.0980259867</v>
      </c>
      <c r="Q459" s="15" t="n">
        <f aca="false">O459+P459</f>
        <v>122818.293503982</v>
      </c>
      <c r="R459" s="15" t="n">
        <f aca="false">Q459-$G$2+$I$2</f>
        <v>111198.293503982</v>
      </c>
      <c r="S459" s="40" t="n">
        <f aca="false">R459/$K$2</f>
        <v>377.23748517143</v>
      </c>
      <c r="T459" s="41" t="n">
        <f aca="false">S459-$M$2</f>
        <v>-32.7431777182811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0.15625</v>
      </c>
      <c r="C460" s="25" t="n">
        <f aca="false">IF(T459&gt;0,D459,C459)</f>
        <v>0.25</v>
      </c>
      <c r="D460" s="39" t="n">
        <f aca="false">(B460+C460)/2</f>
        <v>0.203125</v>
      </c>
      <c r="E460" s="15" t="n">
        <f aca="false">$C$2*(1+IF(E$3&lt;=$O$2,$D460,$D460-($D460-$I$454)*MIN(E$3-$O$2,$Q$2)/$Q$2))</f>
        <v>17225.140625</v>
      </c>
      <c r="F460" s="15" t="n">
        <f aca="false">E460*(1+IF(F$3&lt;=$O$2,$D460,$D460-($D460-$I$454)*MIN(F$3-$O$2,$Q$2)/$Q$2))</f>
        <v>20723.9973144531</v>
      </c>
      <c r="G460" s="15" t="n">
        <f aca="false">F460*(1+IF(G$3&lt;=$O$2,$D460,$D460-($D460-$I$454)*MIN(G$3-$O$2,$Q$2)/$Q$2))</f>
        <v>24933.5592689514</v>
      </c>
      <c r="H460" s="15" t="n">
        <f aca="false">G460*(1+IF(H$3&lt;=$O$2,$D460,$D460-($D460-$I$454)*MIN(H$3-$O$2,$Q$2)/$Q$2))</f>
        <v>29998.1884954572</v>
      </c>
      <c r="I460" s="15" t="n">
        <f aca="false">H460*(1+IF(I$3&lt;=$O$2,$D460,$D460-($D460-$I$454)*MIN(I$3-$O$2,$Q$2)/$Q$2))</f>
        <v>36091.5705335969</v>
      </c>
      <c r="J460" s="15" t="n">
        <f aca="false">I460*(1+IF(J$3&lt;=$O$2,$D460,$D460-($D460-$I$454)*MIN(J$3-$O$2,$Q$2)/$Q$2))</f>
        <v>42088.5458934594</v>
      </c>
      <c r="K460" s="15" t="n">
        <f aca="false">J460*(1+IF(K$3&lt;=$O$2,$D460,$D460-($D460-$I$454)*MIN(K$3-$O$2,$Q$2)/$Q$2))</f>
        <v>47526.1755801649</v>
      </c>
      <c r="L460" s="15" t="n">
        <f aca="false">K460*(1+IF(L$3&lt;=$O$2,$D460,$D460-($D460-$I$454)*MIN(L$3-$O$2,$Q$2)/$Q$2))</f>
        <v>51909.5147539235</v>
      </c>
      <c r="M460" s="15" t="n">
        <f aca="false">L460*(1+IF(M$3&lt;=$O$2,$D460,$D460-($D460-$I$454)*MIN(M$3-$O$2,$Q$2)/$Q$2))</f>
        <v>54778.294086799</v>
      </c>
      <c r="N460" s="15" t="n">
        <f aca="false">M460*(1+IF(N$3&lt;=$O$2,$D460,$D460-($D460-$I$454)*MIN(N$3-$O$2,$Q$2)/$Q$2))</f>
        <v>55780.7368685875</v>
      </c>
      <c r="O460" s="15" t="n">
        <f aca="false">SUMPRODUCT(E460:N460,1/(1+$F$454)^$E$3:$N$3)*$E$2</f>
        <v>69174.2170322908</v>
      </c>
      <c r="P460" s="15" t="n">
        <f aca="false">N460*$E$2*(1+$I$454)/($F$454-$I$454)/(1+$F$454)^$N$3</f>
        <v>87813.3532440496</v>
      </c>
      <c r="Q460" s="15" t="n">
        <f aca="false">O460+P460</f>
        <v>156987.57027634</v>
      </c>
      <c r="R460" s="15" t="n">
        <f aca="false">Q460-$G$2+$I$2</f>
        <v>145367.57027634</v>
      </c>
      <c r="S460" s="40" t="n">
        <f aca="false">R460/$K$2</f>
        <v>493.155919110969</v>
      </c>
      <c r="T460" s="41" t="n">
        <f aca="false">S460-$M$2</f>
        <v>83.1752562212587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0.15625</v>
      </c>
      <c r="C461" s="25" t="n">
        <f aca="false">IF(T460&gt;0,D460,C460)</f>
        <v>0.203125</v>
      </c>
      <c r="D461" s="39" t="n">
        <f aca="false">(B461+C461)/2</f>
        <v>0.1796875</v>
      </c>
      <c r="E461" s="15" t="n">
        <f aca="false">$C$2*(1+IF(E$3&lt;=$O$2,$D461,$D461-($D461-$I$454)*MIN(E$3-$O$2,$Q$2)/$Q$2))</f>
        <v>16889.5859375</v>
      </c>
      <c r="F461" s="15" t="n">
        <f aca="false">E461*(1+IF(F$3&lt;=$O$2,$D461,$D461-($D461-$I$454)*MIN(F$3-$O$2,$Q$2)/$Q$2))</f>
        <v>19924.4334106445</v>
      </c>
      <c r="G461" s="15" t="n">
        <f aca="false">F461*(1+IF(G$3&lt;=$O$2,$D461,$D461-($D461-$I$454)*MIN(G$3-$O$2,$Q$2)/$Q$2))</f>
        <v>23504.6050391197</v>
      </c>
      <c r="H461" s="15" t="n">
        <f aca="false">G461*(1+IF(H$3&lt;=$O$2,$D461,$D461-($D461-$I$454)*MIN(H$3-$O$2,$Q$2)/$Q$2))</f>
        <v>27728.0887570865</v>
      </c>
      <c r="I461" s="15" t="n">
        <f aca="false">H461*(1+IF(I$3&lt;=$O$2,$D461,$D461-($D461-$I$454)*MIN(I$3-$O$2,$Q$2)/$Q$2))</f>
        <v>32710.4797056255</v>
      </c>
      <c r="J461" s="15" t="n">
        <f aca="false">I461*(1+IF(J$3&lt;=$O$2,$D461,$D461-($D461-$I$454)*MIN(J$3-$O$2,$Q$2)/$Q$2))</f>
        <v>37532.3315190318</v>
      </c>
      <c r="K461" s="15" t="n">
        <f aca="false">J461*(1+IF(K$3&lt;=$O$2,$D461,$D461-($D461-$I$454)*MIN(K$3-$O$2,$Q$2)/$Q$2))</f>
        <v>41853.5226776467</v>
      </c>
      <c r="L461" s="15" t="n">
        <f aca="false">K461*(1+IF(L$3&lt;=$O$2,$D461,$D461-($D461-$I$454)*MIN(L$3-$O$2,$Q$2)/$Q$2))</f>
        <v>45321.2962991031</v>
      </c>
      <c r="M461" s="15" t="n">
        <f aca="false">L461*(1+IF(M$3&lt;=$O$2,$D461,$D461-($D461-$I$454)*MIN(M$3-$O$2,$Q$2)/$Q$2))</f>
        <v>47613.534162671</v>
      </c>
      <c r="N461" s="15" t="n">
        <f aca="false">M461*(1+IF(N$3&lt;=$O$2,$D461,$D461-($D461-$I$454)*MIN(N$3-$O$2,$Q$2)/$Q$2))</f>
        <v>48484.8618378479</v>
      </c>
      <c r="O461" s="15" t="n">
        <f aca="false">SUMPRODUCT(E461:N461,1/(1+$F$454)^$E$3:$N$3)*$E$2</f>
        <v>62601.0895660855</v>
      </c>
      <c r="P461" s="15" t="n">
        <f aca="false">N461*$E$2*(1+$I$454)/($F$454-$I$454)/(1+$F$454)^$N$3</f>
        <v>76327.7528869205</v>
      </c>
      <c r="Q461" s="15" t="n">
        <f aca="false">O461+P461</f>
        <v>138928.842453006</v>
      </c>
      <c r="R461" s="15" t="n">
        <f aca="false">Q461-$G$2+$I$2</f>
        <v>127308.842453006</v>
      </c>
      <c r="S461" s="40" t="n">
        <f aca="false">R461/$K$2</f>
        <v>431.892127601201</v>
      </c>
      <c r="T461" s="41" t="n">
        <f aca="false">S461-$M$2</f>
        <v>21.9114647114901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0.15625</v>
      </c>
      <c r="C462" s="25" t="n">
        <f aca="false">IF(T461&gt;0,D461,C461)</f>
        <v>0.1796875</v>
      </c>
      <c r="D462" s="39" t="n">
        <f aca="false">(B462+C462)/2</f>
        <v>0.16796875</v>
      </c>
      <c r="E462" s="15" t="n">
        <f aca="false">$C$2*(1+IF(E$3&lt;=$O$2,$D462,$D462-($D462-$I$454)*MIN(E$3-$O$2,$Q$2)/$Q$2))</f>
        <v>16721.80859375</v>
      </c>
      <c r="F462" s="15" t="n">
        <f aca="false">E462*(1+IF(F$3&lt;=$O$2,$D462,$D462-($D462-$I$454)*MIN(F$3-$O$2,$Q$2)/$Q$2))</f>
        <v>19530.5498809814</v>
      </c>
      <c r="G462" s="15" t="n">
        <f aca="false">F462*(1+IF(G$3&lt;=$O$2,$D462,$D462-($D462-$I$454)*MIN(G$3-$O$2,$Q$2)/$Q$2))</f>
        <v>22811.0719313025</v>
      </c>
      <c r="H462" s="15" t="n">
        <f aca="false">G462*(1+IF(H$3&lt;=$O$2,$D462,$D462-($D462-$I$454)*MIN(H$3-$O$2,$Q$2)/$Q$2))</f>
        <v>26642.6191697635</v>
      </c>
      <c r="I462" s="15" t="n">
        <f aca="false">H462*(1+IF(I$3&lt;=$O$2,$D462,$D462-($D462-$I$454)*MIN(I$3-$O$2,$Q$2)/$Q$2))</f>
        <v>31117.7466084347</v>
      </c>
      <c r="J462" s="15" t="n">
        <f aca="false">I462*(1+IF(J$3&lt;=$O$2,$D462,$D462-($D462-$I$454)*MIN(J$3-$O$2,$Q$2)/$Q$2))</f>
        <v>35413.08476153</v>
      </c>
      <c r="K462" s="15" t="n">
        <f aca="false">J462*(1+IF(K$3&lt;=$O$2,$D462,$D462-($D462-$I$454)*MIN(K$3-$O$2,$Q$2)/$Q$2))</f>
        <v>39241.2834906074</v>
      </c>
      <c r="L462" s="15" t="n">
        <f aca="false">K462*(1+IF(L$3&lt;=$O$2,$D462,$D462-($D462-$I$454)*MIN(L$3-$O$2,$Q$2)/$Q$2))</f>
        <v>42308.6765178594</v>
      </c>
      <c r="M462" s="15" t="n">
        <f aca="false">L462*(1+IF(M$3&lt;=$O$2,$D462,$D462-($D462-$I$454)*MIN(M$3-$O$2,$Q$2)/$Q$2))</f>
        <v>44349.3826438527</v>
      </c>
      <c r="N462" s="15" t="n">
        <f aca="false">M462*(1+IF(N$3&lt;=$O$2,$D462,$D462-($D462-$I$454)*MIN(N$3-$O$2,$Q$2)/$Q$2))</f>
        <v>45160.9763462352</v>
      </c>
      <c r="O462" s="15" t="n">
        <f aca="false">SUMPRODUCT(E462:N462,1/(1+$F$454)^$E$3:$N$3)*$E$2</f>
        <v>59547.1158070476</v>
      </c>
      <c r="P462" s="15" t="n">
        <f aca="false">N462*$E$2*(1+$I$454)/($F$454-$I$454)/(1+$F$454)^$N$3</f>
        <v>71095.0946754416</v>
      </c>
      <c r="Q462" s="15" t="n">
        <f aca="false">O462+P462</f>
        <v>130642.210482489</v>
      </c>
      <c r="R462" s="15" t="n">
        <f aca="false">Q462-$G$2+$I$2</f>
        <v>119022.210482489</v>
      </c>
      <c r="S462" s="40" t="n">
        <f aca="false">R462/$K$2</f>
        <v>403.779931751838</v>
      </c>
      <c r="T462" s="41" t="n">
        <f aca="false">S462-$M$2</f>
        <v>-6.20073113787305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0.16796875</v>
      </c>
      <c r="C463" s="25" t="n">
        <f aca="false">IF(T462&gt;0,D462,C462)</f>
        <v>0.1796875</v>
      </c>
      <c r="D463" s="39" t="n">
        <f aca="false">(B463+C463)/2</f>
        <v>0.173828125</v>
      </c>
      <c r="E463" s="15" t="n">
        <f aca="false">$C$2*(1+IF(E$3&lt;=$O$2,$D463,$D463-($D463-$I$454)*MIN(E$3-$O$2,$Q$2)/$Q$2))</f>
        <v>16805.697265625</v>
      </c>
      <c r="F463" s="15" t="n">
        <f aca="false">E463*(1+IF(F$3&lt;=$O$2,$D463,$D463-($D463-$I$454)*MIN(F$3-$O$2,$Q$2)/$Q$2))</f>
        <v>19727.0001106262</v>
      </c>
      <c r="G463" s="15" t="n">
        <f aca="false">F463*(1+IF(G$3&lt;=$O$2,$D463,$D463-($D463-$I$454)*MIN(G$3-$O$2,$Q$2)/$Q$2))</f>
        <v>23156.1075517312</v>
      </c>
      <c r="H463" s="15" t="n">
        <f aca="false">G463*(1+IF(H$3&lt;=$O$2,$D463,$D463-($D463-$I$454)*MIN(H$3-$O$2,$Q$2)/$Q$2))</f>
        <v>27181.2903097469</v>
      </c>
      <c r="I463" s="15" t="n">
        <f aca="false">H463*(1+IF(I$3&lt;=$O$2,$D463,$D463-($D463-$I$454)*MIN(I$3-$O$2,$Q$2)/$Q$2))</f>
        <v>31906.1630393709</v>
      </c>
      <c r="J463" s="15" t="n">
        <f aca="false">I463*(1+IF(J$3&lt;=$O$2,$D463,$D463-($D463-$I$454)*MIN(J$3-$O$2,$Q$2)/$Q$2))</f>
        <v>36459.8903937575</v>
      </c>
      <c r="K463" s="15" t="n">
        <f aca="false">J463*(1+IF(K$3&lt;=$O$2,$D463,$D463-($D463-$I$454)*MIN(K$3-$O$2,$Q$2)/$Q$2))</f>
        <v>40529.4294223513</v>
      </c>
      <c r="L463" s="15" t="n">
        <f aca="false">K463*(1+IF(L$3&lt;=$O$2,$D463,$D463-($D463-$I$454)*MIN(L$3-$O$2,$Q$2)/$Q$2))</f>
        <v>43792.5044469316</v>
      </c>
      <c r="M463" s="15" t="n">
        <f aca="false">L463*(1+IF(M$3&lt;=$O$2,$D463,$D463-($D463-$I$454)*MIN(M$3-$O$2,$Q$2)/$Q$2))</f>
        <v>45956.1004994475</v>
      </c>
      <c r="N463" s="15" t="n">
        <f aca="false">M463*(1+IF(N$3&lt;=$O$2,$D463,$D463-($D463-$I$454)*MIN(N$3-$O$2,$Q$2)/$Q$2))</f>
        <v>46797.0971385874</v>
      </c>
      <c r="O463" s="15" t="n">
        <f aca="false">SUMPRODUCT(E463:N463,1/(1+$F$454)^$E$3:$N$3)*$E$2</f>
        <v>61055.4339952893</v>
      </c>
      <c r="P463" s="15" t="n">
        <f aca="false">N463*$E$2*(1+$I$454)/($F$454-$I$454)/(1+$F$454)^$N$3</f>
        <v>73670.7733264287</v>
      </c>
      <c r="Q463" s="15" t="n">
        <f aca="false">O463+P463</f>
        <v>134726.207321718</v>
      </c>
      <c r="R463" s="15" t="n">
        <f aca="false">Q463-$G$2+$I$2</f>
        <v>123106.207321718</v>
      </c>
      <c r="S463" s="40" t="n">
        <f aca="false">R463/$K$2</f>
        <v>417.634790927564</v>
      </c>
      <c r="T463" s="41" t="n">
        <f aca="false">S463-$M$2</f>
        <v>7.65412803785335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0.16796875</v>
      </c>
      <c r="C464" s="25" t="n">
        <f aca="false">IF(T463&gt;0,D463,C463)</f>
        <v>0.173828125</v>
      </c>
      <c r="D464" s="39" t="n">
        <f aca="false">(B464+C464)/2</f>
        <v>0.1708984375</v>
      </c>
      <c r="E464" s="15" t="n">
        <f aca="false">$C$2*(1+IF(E$3&lt;=$O$2,$D464,$D464-($D464-$I$454)*MIN(E$3-$O$2,$Q$2)/$Q$2))</f>
        <v>16763.7529296875</v>
      </c>
      <c r="F464" s="15" t="n">
        <f aca="false">E464*(1+IF(F$3&lt;=$O$2,$D464,$D464-($D464-$I$454)*MIN(F$3-$O$2,$Q$2)/$Q$2))</f>
        <v>19628.6521120071</v>
      </c>
      <c r="G464" s="15" t="n">
        <f aca="false">F464*(1+IF(G$3&lt;=$O$2,$D464,$D464-($D464-$I$454)*MIN(G$3-$O$2,$Q$2)/$Q$2))</f>
        <v>22983.1580881802</v>
      </c>
      <c r="H464" s="15" t="n">
        <f aca="false">G464*(1+IF(H$3&lt;=$O$2,$D464,$D464-($D464-$I$454)*MIN(H$3-$O$2,$Q$2)/$Q$2))</f>
        <v>26910.9438942657</v>
      </c>
      <c r="I464" s="15" t="n">
        <f aca="false">H464*(1+IF(I$3&lt;=$O$2,$D464,$D464-($D464-$I$454)*MIN(I$3-$O$2,$Q$2)/$Q$2))</f>
        <v>31509.9821574459</v>
      </c>
      <c r="J464" s="15" t="n">
        <f aca="false">I464*(1+IF(J$3&lt;=$O$2,$D464,$D464-($D464-$I$454)*MIN(J$3-$O$2,$Q$2)/$Q$2))</f>
        <v>35933.3140652305</v>
      </c>
      <c r="K464" s="15" t="n">
        <f aca="false">J464*(1+IF(K$3&lt;=$O$2,$D464,$D464-($D464-$I$454)*MIN(K$3-$O$2,$Q$2)/$Q$2))</f>
        <v>39880.9142609547</v>
      </c>
      <c r="L464" s="15" t="n">
        <f aca="false">K464*(1+IF(L$3&lt;=$O$2,$D464,$D464-($D464-$I$454)*MIN(L$3-$O$2,$Q$2)/$Q$2))</f>
        <v>43045.0410728475</v>
      </c>
      <c r="M464" s="15" t="n">
        <f aca="false">L464*(1+IF(M$3&lt;=$O$2,$D464,$D464-($D464-$I$454)*MIN(M$3-$O$2,$Q$2)/$Q$2))</f>
        <v>45146.4865264486</v>
      </c>
      <c r="N464" s="15" t="n">
        <f aca="false">M464*(1+IF(N$3&lt;=$O$2,$D464,$D464-($D464-$I$454)*MIN(N$3-$O$2,$Q$2)/$Q$2))</f>
        <v>45972.6672298826</v>
      </c>
      <c r="O464" s="15" t="n">
        <f aca="false">SUMPRODUCT(E464:N464,1/(1+$F$454)^$E$3:$N$3)*$E$2</f>
        <v>60296.6598544131</v>
      </c>
      <c r="P464" s="15" t="n">
        <f aca="false">N464*$E$2*(1+$I$454)/($F$454-$I$454)/(1+$F$454)^$N$3</f>
        <v>72372.9067355192</v>
      </c>
      <c r="Q464" s="15" t="n">
        <f aca="false">O464+P464</f>
        <v>132669.566589932</v>
      </c>
      <c r="R464" s="15" t="n">
        <f aca="false">Q464-$G$2+$I$2</f>
        <v>121049.566589932</v>
      </c>
      <c r="S464" s="40" t="n">
        <f aca="false">R464/$K$2</f>
        <v>410.657687654552</v>
      </c>
      <c r="T464" s="41" t="n">
        <f aca="false">S464-$M$2</f>
        <v>0.677024764841406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0.16796875</v>
      </c>
      <c r="C465" s="25" t="n">
        <f aca="false">IF(T464&gt;0,D464,C464)</f>
        <v>0.1708984375</v>
      </c>
      <c r="D465" s="39" t="n">
        <f aca="false">(B465+C465)/2</f>
        <v>0.16943359375</v>
      </c>
      <c r="E465" s="15" t="n">
        <f aca="false">$C$2*(1+IF(E$3&lt;=$O$2,$D465,$D465-($D465-$I$454)*MIN(E$3-$O$2,$Q$2)/$Q$2))</f>
        <v>16742.7807617188</v>
      </c>
      <c r="F465" s="15" t="n">
        <f aca="false">E465*(1+IF(F$3&lt;=$O$2,$D465,$D465-($D465-$I$454)*MIN(F$3-$O$2,$Q$2)/$Q$2))</f>
        <v>19579.5702755451</v>
      </c>
      <c r="G465" s="15" t="n">
        <f aca="false">F465*(1+IF(G$3&lt;=$O$2,$D465,$D465-($D465-$I$454)*MIN(G$3-$O$2,$Q$2)/$Q$2))</f>
        <v>22897.0072314114</v>
      </c>
      <c r="H465" s="15" t="n">
        <f aca="false">G465*(1+IF(H$3&lt;=$O$2,$D465,$D465-($D465-$I$454)*MIN(H$3-$O$2,$Q$2)/$Q$2))</f>
        <v>26776.5294527492</v>
      </c>
      <c r="I465" s="15" t="n">
        <f aca="false">H465*(1+IF(I$3&lt;=$O$2,$D465,$D465-($D465-$I$454)*MIN(I$3-$O$2,$Q$2)/$Q$2))</f>
        <v>31313.3730660812</v>
      </c>
      <c r="J465" s="15" t="n">
        <f aca="false">I465*(1+IF(J$3&lt;=$O$2,$D465,$D465-($D465-$I$454)*MIN(J$3-$O$2,$Q$2)/$Q$2))</f>
        <v>35672.4098763195</v>
      </c>
      <c r="K465" s="15" t="n">
        <f aca="false">J465*(1+IF(K$3&lt;=$O$2,$D465,$D465-($D465-$I$454)*MIN(K$3-$O$2,$Q$2)/$Q$2))</f>
        <v>39559.9946784549</v>
      </c>
      <c r="L465" s="15" t="n">
        <f aca="false">K465*(1+IF(L$3&lt;=$O$2,$D465,$D465-($D465-$I$454)*MIN(L$3-$O$2,$Q$2)/$Q$2))</f>
        <v>42675.4802468649</v>
      </c>
      <c r="M465" s="15" t="n">
        <f aca="false">L465*(1+IF(M$3&lt;=$O$2,$D465,$D465-($D465-$I$454)*MIN(M$3-$O$2,$Q$2)/$Q$2))</f>
        <v>44746.3812743257</v>
      </c>
      <c r="N465" s="15" t="n">
        <f aca="false">M465*(1+IF(N$3&lt;=$O$2,$D465,$D465-($D465-$I$454)*MIN(N$3-$O$2,$Q$2)/$Q$2))</f>
        <v>45565.2400516458</v>
      </c>
      <c r="O465" s="15" t="n">
        <f aca="false">SUMPRODUCT(E465:N465,1/(1+$F$454)^$E$3:$N$3)*$E$2</f>
        <v>59920.7405297632</v>
      </c>
      <c r="P465" s="15" t="n">
        <f aca="false">N465*$E$2*(1+$I$454)/($F$454-$I$454)/(1+$F$454)^$N$3</f>
        <v>71731.5106419535</v>
      </c>
      <c r="Q465" s="15" t="n">
        <f aca="false">O465+P465</f>
        <v>131652.251171717</v>
      </c>
      <c r="R465" s="15" t="n">
        <f aca="false">Q465-$G$2+$I$2</f>
        <v>120032.251171717</v>
      </c>
      <c r="S465" s="40" t="n">
        <f aca="false">R465/$K$2</f>
        <v>407.206470033303</v>
      </c>
      <c r="T465" s="41" t="n">
        <f aca="false">S465-$M$2</f>
        <v>-2.77419285640764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0.16943359375</v>
      </c>
      <c r="C466" s="25" t="n">
        <f aca="false">IF(T465&gt;0,D465,C465)</f>
        <v>0.1708984375</v>
      </c>
      <c r="D466" s="39" t="n">
        <f aca="false">(B466+C466)/2</f>
        <v>0.170166015625</v>
      </c>
      <c r="E466" s="15" t="n">
        <f aca="false">$C$2*(1+IF(E$3&lt;=$O$2,$D466,$D466-($D466-$I$454)*MIN(E$3-$O$2,$Q$2)/$Q$2))</f>
        <v>16753.2668457031</v>
      </c>
      <c r="F466" s="15" t="n">
        <f aca="false">E466*(1+IF(F$3&lt;=$O$2,$D466,$D466-($D466-$I$454)*MIN(F$3-$O$2,$Q$2)/$Q$2))</f>
        <v>19604.1035135388</v>
      </c>
      <c r="G466" s="15" t="n">
        <f aca="false">F466*(1+IF(G$3&lt;=$O$2,$D466,$D466-($D466-$I$454)*MIN(G$3-$O$2,$Q$2)/$Q$2))</f>
        <v>22940.0556983378</v>
      </c>
      <c r="H466" s="15" t="n">
        <f aca="false">G466*(1+IF(H$3&lt;=$O$2,$D466,$D466-($D466-$I$454)*MIN(H$3-$O$2,$Q$2)/$Q$2))</f>
        <v>26843.6735747395</v>
      </c>
      <c r="I466" s="15" t="n">
        <f aca="false">H466*(1+IF(I$3&lt;=$O$2,$D466,$D466-($D466-$I$454)*MIN(I$3-$O$2,$Q$2)/$Q$2))</f>
        <v>31411.5545516911</v>
      </c>
      <c r="J466" s="15" t="n">
        <f aca="false">I466*(1+IF(J$3&lt;=$O$2,$D466,$D466-($D466-$I$454)*MIN(J$3-$O$2,$Q$2)/$Q$2))</f>
        <v>35802.6641074691</v>
      </c>
      <c r="K466" s="15" t="n">
        <f aca="false">J466*(1+IF(K$3&lt;=$O$2,$D466,$D466-($D466-$I$454)*MIN(K$3-$O$2,$Q$2)/$Q$2))</f>
        <v>39720.1776286927</v>
      </c>
      <c r="L466" s="15" t="n">
        <f aca="false">K466*(1+IF(L$3&lt;=$O$2,$D466,$D466-($D466-$I$454)*MIN(L$3-$O$2,$Q$2)/$Q$2))</f>
        <v>42859.9149258525</v>
      </c>
      <c r="M466" s="15" t="n">
        <f aca="false">L466*(1+IF(M$3&lt;=$O$2,$D466,$D466-($D466-$I$454)*MIN(M$3-$O$2,$Q$2)/$Q$2))</f>
        <v>44946.0442709588</v>
      </c>
      <c r="N466" s="15" t="n">
        <f aca="false">M466*(1+IF(N$3&lt;=$O$2,$D466,$D466-($D466-$I$454)*MIN(N$3-$O$2,$Q$2)/$Q$2))</f>
        <v>45768.5568811173</v>
      </c>
      <c r="O466" s="15" t="n">
        <f aca="false">SUMPRODUCT(E466:N466,1/(1+$F$454)^$E$3:$N$3)*$E$2</f>
        <v>60108.4125617004</v>
      </c>
      <c r="P466" s="15" t="n">
        <f aca="false">N466*$E$2*(1+$I$454)/($F$454-$I$454)/(1+$F$454)^$N$3</f>
        <v>72051.5840861051</v>
      </c>
      <c r="Q466" s="15" t="n">
        <f aca="false">O466+P466</f>
        <v>132159.996647805</v>
      </c>
      <c r="R466" s="15" t="n">
        <f aca="false">Q466-$G$2+$I$2</f>
        <v>120539.996647805</v>
      </c>
      <c r="S466" s="40" t="n">
        <f aca="false">R466/$K$2</f>
        <v>408.92898411577</v>
      </c>
      <c r="T466" s="41" t="n">
        <f aca="false">S466-$M$2</f>
        <v>-1.05167877394075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0.170166015625</v>
      </c>
      <c r="C467" s="25" t="n">
        <f aca="false">IF(T466&gt;0,D466,C466)</f>
        <v>0.1708984375</v>
      </c>
      <c r="D467" s="39" t="n">
        <f aca="false">(B467+C467)/2</f>
        <v>0.1705322265625</v>
      </c>
      <c r="E467" s="15" t="n">
        <f aca="false">$C$2*(1+IF(E$3&lt;=$O$2,$D467,$D467-($D467-$I$454)*MIN(E$3-$O$2,$Q$2)/$Q$2))</f>
        <v>16758.5098876953</v>
      </c>
      <c r="F467" s="15" t="n">
        <f aca="false">E467*(1+IF(F$3&lt;=$O$2,$D467,$D467-($D467-$I$454)*MIN(F$3-$O$2,$Q$2)/$Q$2))</f>
        <v>19616.3758927137</v>
      </c>
      <c r="G467" s="15" t="n">
        <f aca="false">F467*(1+IF(G$3&lt;=$O$2,$D467,$D467-($D467-$I$454)*MIN(G$3-$O$2,$Q$2)/$Q$2))</f>
        <v>22961.6001507851</v>
      </c>
      <c r="H467" s="15" t="n">
        <f aca="false">G467*(1+IF(H$3&lt;=$O$2,$D467,$D467-($D467-$I$454)*MIN(H$3-$O$2,$Q$2)/$Q$2))</f>
        <v>26877.2929499363</v>
      </c>
      <c r="I467" s="15" t="n">
        <f aca="false">H467*(1+IF(I$3&lt;=$O$2,$D467,$D467-($D467-$I$454)*MIN(I$3-$O$2,$Q$2)/$Q$2))</f>
        <v>31460.7375606615</v>
      </c>
      <c r="J467" s="15" t="n">
        <f aca="false">I467*(1+IF(J$3&lt;=$O$2,$D467,$D467-($D467-$I$454)*MIN(J$3-$O$2,$Q$2)/$Q$2))</f>
        <v>35867.939560548</v>
      </c>
      <c r="K467" s="15" t="n">
        <f aca="false">J467*(1+IF(K$3&lt;=$O$2,$D467,$D467-($D467-$I$454)*MIN(K$3-$O$2,$Q$2)/$Q$2))</f>
        <v>39800.4766354129</v>
      </c>
      <c r="L467" s="15" t="n">
        <f aca="false">K467*(1+IF(L$3&lt;=$O$2,$D467,$D467-($D467-$I$454)*MIN(L$3-$O$2,$Q$2)/$Q$2))</f>
        <v>42952.391428424</v>
      </c>
      <c r="M467" s="15" t="n">
        <f aca="false">L467*(1+IF(M$3&lt;=$O$2,$D467,$D467-($D467-$I$454)*MIN(M$3-$O$2,$Q$2)/$Q$2))</f>
        <v>45046.1678282307</v>
      </c>
      <c r="N467" s="15" t="n">
        <f aca="false">M467*(1+IF(N$3&lt;=$O$2,$D467,$D467-($D467-$I$454)*MIN(N$3-$O$2,$Q$2)/$Q$2))</f>
        <v>45870.5126994874</v>
      </c>
      <c r="O467" s="15" t="n">
        <f aca="false">SUMPRODUCT(E467:N467,1/(1+$F$454)^$E$3:$N$3)*$E$2</f>
        <v>60202.4641996031</v>
      </c>
      <c r="P467" s="15" t="n">
        <f aca="false">N467*$E$2*(1+$I$454)/($F$454-$I$454)/(1+$F$454)^$N$3</f>
        <v>72212.0889986685</v>
      </c>
      <c r="Q467" s="15" t="n">
        <f aca="false">O467+P467</f>
        <v>132414.553198272</v>
      </c>
      <c r="R467" s="15" t="n">
        <f aca="false">Q467-$G$2+$I$2</f>
        <v>120794.553198272</v>
      </c>
      <c r="S467" s="40" t="n">
        <f aca="false">R467/$K$2</f>
        <v>409.792560973883</v>
      </c>
      <c r="T467" s="41" t="n">
        <f aca="false">S467-$M$2</f>
        <v>-0.18810191582736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0.1705322265625</v>
      </c>
      <c r="C468" s="25" t="n">
        <f aca="false">IF(T467&gt;0,D467,C467)</f>
        <v>0.1708984375</v>
      </c>
      <c r="D468" s="39" t="n">
        <f aca="false">(B468+C468)/2</f>
        <v>0.17071533203125</v>
      </c>
      <c r="E468" s="15" t="n">
        <f aca="false">$C$2*(1+IF(E$3&lt;=$O$2,$D468,$D468-($D468-$I$454)*MIN(E$3-$O$2,$Q$2)/$Q$2))</f>
        <v>16761.1314086914</v>
      </c>
      <c r="F468" s="15" t="n">
        <f aca="false">E468*(1+IF(F$3&lt;=$O$2,$D468,$D468-($D468-$I$454)*MIN(F$3-$O$2,$Q$2)/$Q$2))</f>
        <v>19622.5135223456</v>
      </c>
      <c r="G468" s="15" t="n">
        <f aca="false">F468*(1+IF(G$3&lt;=$O$2,$D468,$D468-($D468-$I$454)*MIN(G$3-$O$2,$Q$2)/$Q$2))</f>
        <v>22972.3774336005</v>
      </c>
      <c r="H468" s="15" t="n">
        <f aca="false">G468*(1+IF(H$3&lt;=$O$2,$D468,$D468-($D468-$I$454)*MIN(H$3-$O$2,$Q$2)/$Q$2))</f>
        <v>26894.1144747248</v>
      </c>
      <c r="I468" s="15" t="n">
        <f aca="false">H468*(1+IF(I$3&lt;=$O$2,$D468,$D468-($D468-$I$454)*MIN(I$3-$O$2,$Q$2)/$Q$2))</f>
        <v>31485.3521569639</v>
      </c>
      <c r="J468" s="15" t="n">
        <f aca="false">I468*(1+IF(J$3&lt;=$O$2,$D468,$D468-($D468-$I$454)*MIN(J$3-$O$2,$Q$2)/$Q$2))</f>
        <v>35900.6144239359</v>
      </c>
      <c r="K468" s="15" t="n">
        <f aca="false">J468*(1+IF(K$3&lt;=$O$2,$D468,$D468-($D468-$I$454)*MIN(K$3-$O$2,$Q$2)/$Q$2))</f>
        <v>39840.678108424</v>
      </c>
      <c r="L468" s="15" t="n">
        <f aca="false">K468*(1+IF(L$3&lt;=$O$2,$D468,$D468-($D468-$I$454)*MIN(L$3-$O$2,$Q$2)/$Q$2))</f>
        <v>42998.6945907064</v>
      </c>
      <c r="M468" s="15" t="n">
        <f aca="false">L468*(1+IF(M$3&lt;=$O$2,$D468,$D468-($D468-$I$454)*MIN(M$3-$O$2,$Q$2)/$Q$2))</f>
        <v>45096.3027643069</v>
      </c>
      <c r="N468" s="15" t="n">
        <f aca="false">M468*(1+IF(N$3&lt;=$O$2,$D468,$D468-($D468-$I$454)*MIN(N$3-$O$2,$Q$2)/$Q$2))</f>
        <v>45921.5651048937</v>
      </c>
      <c r="O468" s="15" t="n">
        <f aca="false">SUMPRODUCT(E468:N468,1/(1+$F$454)^$E$3:$N$3)*$E$2</f>
        <v>60249.5440122742</v>
      </c>
      <c r="P468" s="15" t="n">
        <f aca="false">N468*$E$2*(1+$I$454)/($F$454-$I$454)/(1+$F$454)^$N$3</f>
        <v>72292.458731332</v>
      </c>
      <c r="Q468" s="15" t="n">
        <f aca="false">O468+P468</f>
        <v>132542.002743606</v>
      </c>
      <c r="R468" s="15" t="n">
        <f aca="false">Q468-$G$2+$I$2</f>
        <v>120922.002743606</v>
      </c>
      <c r="S468" s="40" t="n">
        <f aca="false">R468/$K$2</f>
        <v>410.224930432562</v>
      </c>
      <c r="T468" s="41" t="n">
        <f aca="false">S468-$M$2</f>
        <v>0.244267542851105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0.1705322265625</v>
      </c>
      <c r="C469" s="25" t="n">
        <f aca="false">IF(T468&gt;0,D468,C468)</f>
        <v>0.17071533203125</v>
      </c>
      <c r="D469" s="39" t="n">
        <f aca="false">(B469+C469)/2</f>
        <v>0.170623779296875</v>
      </c>
      <c r="E469" s="15" t="n">
        <f aca="false">$C$2*(1+IF(E$3&lt;=$O$2,$D469,$D469-($D469-$I$454)*MIN(E$3-$O$2,$Q$2)/$Q$2))</f>
        <v>16759.8206481934</v>
      </c>
      <c r="F469" s="15" t="n">
        <f aca="false">E469*(1+IF(F$3&lt;=$O$2,$D469,$D469-($D469-$I$454)*MIN(F$3-$O$2,$Q$2)/$Q$2))</f>
        <v>19619.4445875259</v>
      </c>
      <c r="G469" s="15" t="n">
        <f aca="false">F469*(1+IF(G$3&lt;=$O$2,$D469,$D469-($D469-$I$454)*MIN(G$3-$O$2,$Q$2)/$Q$2))</f>
        <v>22966.9883707552</v>
      </c>
      <c r="H469" s="15" t="n">
        <f aca="false">G469*(1+IF(H$3&lt;=$O$2,$D469,$D469-($D469-$I$454)*MIN(H$3-$O$2,$Q$2)/$Q$2))</f>
        <v>26885.7027256408</v>
      </c>
      <c r="I469" s="15" t="n">
        <f aca="false">H469*(1+IF(I$3&lt;=$O$2,$D469,$D469-($D469-$I$454)*MIN(I$3-$O$2,$Q$2)/$Q$2))</f>
        <v>31473.042933742</v>
      </c>
      <c r="J469" s="15" t="n">
        <f aca="false">I469*(1+IF(J$3&lt;=$O$2,$D469,$D469-($D469-$I$454)*MIN(J$3-$O$2,$Q$2)/$Q$2))</f>
        <v>35884.2738959418</v>
      </c>
      <c r="K469" s="15" t="n">
        <f aca="false">J469*(1+IF(K$3&lt;=$O$2,$D469,$D469-($D469-$I$454)*MIN(K$3-$O$2,$Q$2)/$Q$2))</f>
        <v>39820.5730385299</v>
      </c>
      <c r="L469" s="15" t="n">
        <f aca="false">K469*(1+IF(L$3&lt;=$O$2,$D469,$D469-($D469-$I$454)*MIN(L$3-$O$2,$Q$2)/$Q$2))</f>
        <v>42975.5375967335</v>
      </c>
      <c r="M469" s="15" t="n">
        <f aca="false">L469*(1+IF(M$3&lt;=$O$2,$D469,$D469-($D469-$I$454)*MIN(M$3-$O$2,$Q$2)/$Q$2))</f>
        <v>45071.2291955635</v>
      </c>
      <c r="N469" s="15" t="n">
        <f aca="false">M469*(1+IF(N$3&lt;=$O$2,$D469,$D469-($D469-$I$454)*MIN(N$3-$O$2,$Q$2)/$Q$2))</f>
        <v>45896.0326898424</v>
      </c>
      <c r="O469" s="15" t="n">
        <f aca="false">SUMPRODUCT(E469:N469,1/(1+$F$454)^$E$3:$N$3)*$E$2</f>
        <v>60225.9996038333</v>
      </c>
      <c r="P469" s="15" t="n">
        <f aca="false">N469*$E$2*(1+$I$454)/($F$454-$I$454)/(1+$F$454)^$N$3</f>
        <v>72252.2640851523</v>
      </c>
      <c r="Q469" s="15" t="n">
        <f aca="false">O469+P469</f>
        <v>132478.263688986</v>
      </c>
      <c r="R469" s="15" t="n">
        <f aca="false">Q469-$G$2+$I$2</f>
        <v>120858.263688986</v>
      </c>
      <c r="S469" s="40" t="n">
        <f aca="false">R469/$K$2</f>
        <v>410.008697252046</v>
      </c>
      <c r="T469" s="41" t="n">
        <f aca="false">S469-$M$2</f>
        <v>0.0280343623355748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0.1705322265625</v>
      </c>
      <c r="C470" s="25" t="n">
        <f aca="false">IF(T469&gt;0,D469,C469)</f>
        <v>0.170623779296875</v>
      </c>
      <c r="D470" s="39" t="n">
        <f aca="false">(B470+C470)/2</f>
        <v>0.170578002929688</v>
      </c>
      <c r="E470" s="15" t="n">
        <f aca="false">$C$2*(1+IF(E$3&lt;=$O$2,$D470,$D470-($D470-$I$454)*MIN(E$3-$O$2,$Q$2)/$Q$2))</f>
        <v>16759.1652679443</v>
      </c>
      <c r="F470" s="15" t="n">
        <f aca="false">E470*(1+IF(F$3&lt;=$O$2,$D470,$D470-($D470-$I$454)*MIN(F$3-$O$2,$Q$2)/$Q$2))</f>
        <v>19617.9102101189</v>
      </c>
      <c r="G470" s="15" t="n">
        <f aca="false">F470*(1+IF(G$3&lt;=$O$2,$D470,$D470-($D470-$I$454)*MIN(G$3-$O$2,$Q$2)/$Q$2))</f>
        <v>22964.2941554149</v>
      </c>
      <c r="H470" s="15" t="n">
        <f aca="false">G470*(1+IF(H$3&lt;=$O$2,$D470,$D470-($D470-$I$454)*MIN(H$3-$O$2,$Q$2)/$Q$2))</f>
        <v>26881.4975911354</v>
      </c>
      <c r="I470" s="15" t="n">
        <f aca="false">H470*(1+IF(I$3&lt;=$O$2,$D470,$D470-($D470-$I$454)*MIN(I$3-$O$2,$Q$2)/$Q$2))</f>
        <v>31466.8897659905</v>
      </c>
      <c r="J470" s="15" t="n">
        <f aca="false">I470*(1+IF(J$3&lt;=$O$2,$D470,$D470-($D470-$I$454)*MIN(J$3-$O$2,$Q$2)/$Q$2))</f>
        <v>35876.1059542871</v>
      </c>
      <c r="K470" s="15" t="n">
        <f aca="false">J470*(1+IF(K$3&lt;=$O$2,$D470,$D470-($D470-$I$454)*MIN(K$3-$O$2,$Q$2)/$Q$2))</f>
        <v>39810.5237538181</v>
      </c>
      <c r="L470" s="15" t="n">
        <f aca="false">K470*(1+IF(L$3&lt;=$O$2,$D470,$D470-($D470-$I$454)*MIN(L$3-$O$2,$Q$2)/$Q$2))</f>
        <v>42963.9631596395</v>
      </c>
      <c r="M470" s="15" t="n">
        <f aca="false">L470*(1+IF(M$3&lt;=$O$2,$D470,$D470-($D470-$I$454)*MIN(M$3-$O$2,$Q$2)/$Q$2))</f>
        <v>45058.6969870399</v>
      </c>
      <c r="N470" s="15" t="n">
        <f aca="false">M470*(1+IF(N$3&lt;=$O$2,$D470,$D470-($D470-$I$454)*MIN(N$3-$O$2,$Q$2)/$Q$2))</f>
        <v>45883.2711419027</v>
      </c>
      <c r="O470" s="15" t="n">
        <f aca="false">SUMPRODUCT(E470:N470,1/(1+$F$454)^$E$3:$N$3)*$E$2</f>
        <v>60214.2307763891</v>
      </c>
      <c r="P470" s="15" t="n">
        <f aca="false">N470*$E$2*(1+$I$454)/($F$454-$I$454)/(1+$F$454)^$N$3</f>
        <v>72232.1740974599</v>
      </c>
      <c r="Q470" s="15" t="n">
        <f aca="false">O470+P470</f>
        <v>132446.404873849</v>
      </c>
      <c r="R470" s="15" t="n">
        <f aca="false">Q470-$G$2+$I$2</f>
        <v>120826.404873849</v>
      </c>
      <c r="S470" s="40" t="n">
        <f aca="false">R470/$K$2</f>
        <v>409.900617002575</v>
      </c>
      <c r="T470" s="41" t="n">
        <f aca="false">S470-$M$2</f>
        <v>-0.0800458871358956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0.170578002929688</v>
      </c>
      <c r="C471" s="25" t="n">
        <f aca="false">IF(T470&gt;0,D470,C470)</f>
        <v>0.170623779296875</v>
      </c>
      <c r="D471" s="39" t="n">
        <f aca="false">(B471+C471)/2</f>
        <v>0.170600891113281</v>
      </c>
      <c r="E471" s="15" t="n">
        <f aca="false">$C$2*(1+IF(E$3&lt;=$O$2,$D471,$D471-($D471-$I$454)*MIN(E$3-$O$2,$Q$2)/$Q$2))</f>
        <v>16759.4929580688</v>
      </c>
      <c r="F471" s="15" t="n">
        <f aca="false">E471*(1+IF(F$3&lt;=$O$2,$D471,$D471-($D471-$I$454)*MIN(F$3-$O$2,$Q$2)/$Q$2))</f>
        <v>19618.6773913222</v>
      </c>
      <c r="G471" s="15" t="n">
        <f aca="false">F471*(1+IF(G$3&lt;=$O$2,$D471,$D471-($D471-$I$454)*MIN(G$3-$O$2,$Q$2)/$Q$2))</f>
        <v>22965.6412367457</v>
      </c>
      <c r="H471" s="15" t="n">
        <f aca="false">G471*(1+IF(H$3&lt;=$O$2,$D471,$D471-($D471-$I$454)*MIN(H$3-$O$2,$Q$2)/$Q$2))</f>
        <v>26883.6000967224</v>
      </c>
      <c r="I471" s="15" t="n">
        <f aca="false">H471*(1+IF(I$3&lt;=$O$2,$D471,$D471-($D471-$I$454)*MIN(I$3-$O$2,$Q$2)/$Q$2))</f>
        <v>31469.9662295564</v>
      </c>
      <c r="J471" s="15" t="n">
        <f aca="false">I471*(1+IF(J$3&lt;=$O$2,$D471,$D471-($D471-$I$454)*MIN(J$3-$O$2,$Q$2)/$Q$2))</f>
        <v>35880.1897316103</v>
      </c>
      <c r="K471" s="15" t="n">
        <f aca="false">J471*(1+IF(K$3&lt;=$O$2,$D471,$D471-($D471-$I$454)*MIN(K$3-$O$2,$Q$2)/$Q$2))</f>
        <v>39815.5481253615</v>
      </c>
      <c r="L471" s="15" t="n">
        <f aca="false">K471*(1+IF(L$3&lt;=$O$2,$D471,$D471-($D471-$I$454)*MIN(L$3-$O$2,$Q$2)/$Q$2))</f>
        <v>42969.7500399181</v>
      </c>
      <c r="M471" s="15" t="n">
        <f aca="false">L471*(1+IF(M$3&lt;=$O$2,$D471,$D471-($D471-$I$454)*MIN(M$3-$O$2,$Q$2)/$Q$2))</f>
        <v>45064.9627100475</v>
      </c>
      <c r="N471" s="15" t="n">
        <f aca="false">M471*(1+IF(N$3&lt;=$O$2,$D471,$D471-($D471-$I$454)*MIN(N$3-$O$2,$Q$2)/$Q$2))</f>
        <v>45889.6515276414</v>
      </c>
      <c r="O471" s="15" t="n">
        <f aca="false">SUMPRODUCT(E471:N471,1/(1+$F$454)^$E$3:$N$3)*$E$2</f>
        <v>60220.1149087543</v>
      </c>
      <c r="P471" s="15" t="n">
        <f aca="false">N471*$E$2*(1+$I$454)/($F$454-$I$454)/(1+$F$454)^$N$3</f>
        <v>72242.2184801295</v>
      </c>
      <c r="Q471" s="15" t="n">
        <f aca="false">O471+P471</f>
        <v>132462.333388884</v>
      </c>
      <c r="R471" s="15" t="n">
        <f aca="false">Q471-$G$2+$I$2</f>
        <v>120842.333388884</v>
      </c>
      <c r="S471" s="40" t="n">
        <f aca="false">R471/$K$2</f>
        <v>409.954654099412</v>
      </c>
      <c r="T471" s="41" t="n">
        <f aca="false">S471-$M$2</f>
        <v>-0.0260087902981354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0.170600891113281</v>
      </c>
      <c r="C472" s="25" t="n">
        <f aca="false">IF(T471&gt;0,D471,C471)</f>
        <v>0.170623779296875</v>
      </c>
      <c r="D472" s="39" t="n">
        <f aca="false">(B472+C472)/2</f>
        <v>0.170612335205078</v>
      </c>
      <c r="E472" s="15" t="n">
        <f aca="false">$C$2*(1+IF(E$3&lt;=$O$2,$D472,$D472-($D472-$I$454)*MIN(E$3-$O$2,$Q$2)/$Q$2))</f>
        <v>16759.6568031311</v>
      </c>
      <c r="F472" s="15" t="n">
        <f aca="false">E472*(1+IF(F$3&lt;=$O$2,$D472,$D472-($D472-$I$454)*MIN(F$3-$O$2,$Q$2)/$Q$2))</f>
        <v>19619.060987549</v>
      </c>
      <c r="G472" s="15" t="n">
        <f aca="false">F472*(1+IF(G$3&lt;=$O$2,$D472,$D472-($D472-$I$454)*MIN(G$3-$O$2,$Q$2)/$Q$2))</f>
        <v>22966.3147971656</v>
      </c>
      <c r="H472" s="15" t="n">
        <f aca="false">G472*(1+IF(H$3&lt;=$O$2,$D472,$D472-($D472-$I$454)*MIN(H$3-$O$2,$Q$2)/$Q$2))</f>
        <v>26884.6513957649</v>
      </c>
      <c r="I472" s="15" t="n">
        <f aca="false">H472*(1+IF(I$3&lt;=$O$2,$D472,$D472-($D472-$I$454)*MIN(I$3-$O$2,$Q$2)/$Q$2))</f>
        <v>31471.5045515708</v>
      </c>
      <c r="J472" s="15" t="n">
        <f aca="false">I472*(1+IF(J$3&lt;=$O$2,$D472,$D472-($D472-$I$454)*MIN(J$3-$O$2,$Q$2)/$Q$2))</f>
        <v>35882.2317653982</v>
      </c>
      <c r="K472" s="15" t="n">
        <f aca="false">J472*(1+IF(K$3&lt;=$O$2,$D472,$D472-($D472-$I$454)*MIN(K$3-$O$2,$Q$2)/$Q$2))</f>
        <v>39818.0605142395</v>
      </c>
      <c r="L472" s="15" t="n">
        <f aca="false">K472*(1+IF(L$3&lt;=$O$2,$D472,$D472-($D472-$I$454)*MIN(L$3-$O$2,$Q$2)/$Q$2))</f>
        <v>42972.6437337545</v>
      </c>
      <c r="M472" s="15" t="n">
        <f aca="false">L472*(1+IF(M$3&lt;=$O$2,$D472,$D472-($D472-$I$454)*MIN(M$3-$O$2,$Q$2)/$Q$2))</f>
        <v>45068.095857487</v>
      </c>
      <c r="N472" s="15" t="n">
        <f aca="false">M472*(1+IF(N$3&lt;=$O$2,$D472,$D472-($D472-$I$454)*MIN(N$3-$O$2,$Q$2)/$Q$2))</f>
        <v>45892.842011679</v>
      </c>
      <c r="O472" s="15" t="n">
        <f aca="false">SUMPRODUCT(E472:N472,1/(1+$F$454)^$E$3:$N$3)*$E$2</f>
        <v>60223.0571859515</v>
      </c>
      <c r="P472" s="15" t="n">
        <f aca="false">N472*$E$2*(1+$I$454)/($F$454-$I$454)/(1+$F$454)^$N$3</f>
        <v>72247.2411298388</v>
      </c>
      <c r="Q472" s="15" t="n">
        <f aca="false">O472+P472</f>
        <v>132470.29831579</v>
      </c>
      <c r="R472" s="15" t="n">
        <f aca="false">Q472-$G$2+$I$2</f>
        <v>120850.29831579</v>
      </c>
      <c r="S472" s="40" t="n">
        <f aca="false">R472/$K$2</f>
        <v>409.981674918717</v>
      </c>
      <c r="T472" s="41" t="n">
        <f aca="false">S472-$M$2</f>
        <v>0.00101202900668795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0.170600891113281</v>
      </c>
      <c r="C473" s="25" t="n">
        <f aca="false">IF(T472&gt;0,D472,C472)</f>
        <v>0.170612335205078</v>
      </c>
      <c r="D473" s="39" t="n">
        <f aca="false">(B473+C473)/2</f>
        <v>0.17060661315918</v>
      </c>
      <c r="E473" s="15" t="n">
        <f aca="false">$C$2*(1+IF(E$3&lt;=$O$2,$D473,$D473-($D473-$I$454)*MIN(E$3-$O$2,$Q$2)/$Q$2))</f>
        <v>16759.5748806</v>
      </c>
      <c r="F473" s="15" t="n">
        <f aca="false">E473*(1+IF(F$3&lt;=$O$2,$D473,$D473-($D473-$I$454)*MIN(F$3-$O$2,$Q$2)/$Q$2))</f>
        <v>19618.8691889668</v>
      </c>
      <c r="G473" s="15" t="n">
        <f aca="false">F473*(1+IF(G$3&lt;=$O$2,$D473,$D473-($D473-$I$454)*MIN(G$3-$O$2,$Q$2)/$Q$2))</f>
        <v>22965.9780153094</v>
      </c>
      <c r="H473" s="15" t="n">
        <f aca="false">G473*(1+IF(H$3&lt;=$O$2,$D473,$D473-($D473-$I$454)*MIN(H$3-$O$2,$Q$2)/$Q$2))</f>
        <v>26884.1257423895</v>
      </c>
      <c r="I473" s="15" t="n">
        <f aca="false">H473*(1+IF(I$3&lt;=$O$2,$D473,$D473-($D473-$I$454)*MIN(I$3-$O$2,$Q$2)/$Q$2))</f>
        <v>31470.7353830441</v>
      </c>
      <c r="J473" s="15" t="n">
        <f aca="false">I473*(1+IF(J$3&lt;=$O$2,$D473,$D473-($D473-$I$454)*MIN(J$3-$O$2,$Q$2)/$Q$2))</f>
        <v>35881.21073641</v>
      </c>
      <c r="K473" s="15" t="n">
        <f aca="false">J473*(1+IF(K$3&lt;=$O$2,$D473,$D473-($D473-$I$454)*MIN(K$3-$O$2,$Q$2)/$Q$2))</f>
        <v>39816.8043028743</v>
      </c>
      <c r="L473" s="15" t="n">
        <f aca="false">K473*(1+IF(L$3&lt;=$O$2,$D473,$D473-($D473-$I$454)*MIN(L$3-$O$2,$Q$2)/$Q$2))</f>
        <v>42971.196865694</v>
      </c>
      <c r="M473" s="15" t="n">
        <f aca="false">L473*(1+IF(M$3&lt;=$O$2,$D473,$D473-($D473-$I$454)*MIN(M$3-$O$2,$Q$2)/$Q$2))</f>
        <v>45066.5292599382</v>
      </c>
      <c r="N473" s="15" t="n">
        <f aca="false">M473*(1+IF(N$3&lt;=$O$2,$D473,$D473-($D473-$I$454)*MIN(N$3-$O$2,$Q$2)/$Q$2))</f>
        <v>45891.2467453951</v>
      </c>
      <c r="O473" s="15" t="n">
        <f aca="false">SUMPRODUCT(E473:N473,1/(1+$F$454)^$E$3:$N$3)*$E$2</f>
        <v>60221.5860297677</v>
      </c>
      <c r="P473" s="15" t="n">
        <f aca="false">N473*$E$2*(1+$I$454)/($F$454-$I$454)/(1+$F$454)^$N$3</f>
        <v>72244.7297667846</v>
      </c>
      <c r="Q473" s="15" t="n">
        <f aca="false">O473+P473</f>
        <v>132466.315796552</v>
      </c>
      <c r="R473" s="15" t="n">
        <f aca="false">Q473-$G$2+$I$2</f>
        <v>120846.315796552</v>
      </c>
      <c r="S473" s="40" t="n">
        <f aca="false">R473/$K$2</f>
        <v>409.968164319817</v>
      </c>
      <c r="T473" s="41" t="n">
        <f aca="false">S473-$M$2</f>
        <v>-0.012498569894035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0.17060661315918</v>
      </c>
      <c r="C474" s="25" t="n">
        <f aca="false">IF(T473&gt;0,D473,C473)</f>
        <v>0.170612335205078</v>
      </c>
      <c r="D474" s="39" t="n">
        <f aca="false">(B474+C474)/2</f>
        <v>0.170609474182129</v>
      </c>
      <c r="E474" s="15" t="n">
        <f aca="false">$C$2*(1+IF(E$3&lt;=$O$2,$D474,$D474-($D474-$I$454)*MIN(E$3-$O$2,$Q$2)/$Q$2))</f>
        <v>16759.6158418655</v>
      </c>
      <c r="F474" s="15" t="n">
        <f aca="false">E474*(1+IF(F$3&lt;=$O$2,$D474,$D474-($D474-$I$454)*MIN(F$3-$O$2,$Q$2)/$Q$2))</f>
        <v>19618.9650881407</v>
      </c>
      <c r="G474" s="15" t="n">
        <f aca="false">F474*(1+IF(G$3&lt;=$O$2,$D474,$D474-($D474-$I$454)*MIN(G$3-$O$2,$Q$2)/$Q$2))</f>
        <v>22966.1464058259</v>
      </c>
      <c r="H474" s="15" t="n">
        <f aca="false">G474*(1+IF(H$3&lt;=$O$2,$D474,$D474-($D474-$I$454)*MIN(H$3-$O$2,$Q$2)/$Q$2))</f>
        <v>26884.3885681137</v>
      </c>
      <c r="I474" s="15" t="n">
        <f aca="false">H474*(1+IF(I$3&lt;=$O$2,$D474,$D474-($D474-$I$454)*MIN(I$3-$O$2,$Q$2)/$Q$2))</f>
        <v>31471.1199654276</v>
      </c>
      <c r="J474" s="15" t="n">
        <f aca="false">I474*(1+IF(J$3&lt;=$O$2,$D474,$D474-($D474-$I$454)*MIN(J$3-$O$2,$Q$2)/$Q$2))</f>
        <v>35881.7212478805</v>
      </c>
      <c r="K474" s="15" t="n">
        <f aca="false">J474*(1+IF(K$3&lt;=$O$2,$D474,$D474-($D474-$I$454)*MIN(K$3-$O$2,$Q$2)/$Q$2))</f>
        <v>39817.4324043254</v>
      </c>
      <c r="L474" s="15" t="n">
        <f aca="false">K474*(1+IF(L$3&lt;=$O$2,$D474,$D474-($D474-$I$454)*MIN(L$3-$O$2,$Q$2)/$Q$2))</f>
        <v>42971.9202944386</v>
      </c>
      <c r="M474" s="15" t="n">
        <f aca="false">L474*(1+IF(M$3&lt;=$O$2,$D474,$D474-($D474-$I$454)*MIN(M$3-$O$2,$Q$2)/$Q$2))</f>
        <v>45067.3125527553</v>
      </c>
      <c r="N474" s="15" t="n">
        <f aca="false">M474*(1+IF(N$3&lt;=$O$2,$D474,$D474-($D474-$I$454)*MIN(N$3-$O$2,$Q$2)/$Q$2))</f>
        <v>45892.0443724707</v>
      </c>
      <c r="O474" s="15" t="n">
        <f aca="false">SUMPRODUCT(E474:N474,1/(1+$F$454)^$E$3:$N$3)*$E$2</f>
        <v>60222.3216034632</v>
      </c>
      <c r="P474" s="15" t="n">
        <f aca="false">N474*$E$2*(1+$I$454)/($F$454-$I$454)/(1+$F$454)^$N$3</f>
        <v>72245.9854387617</v>
      </c>
      <c r="Q474" s="15" t="n">
        <f aca="false">O474+P474</f>
        <v>132468.307042225</v>
      </c>
      <c r="R474" s="15" t="n">
        <f aca="false">Q474-$G$2+$I$2</f>
        <v>120848.307042225</v>
      </c>
      <c r="S474" s="40" t="n">
        <f aca="false">R474/$K$2</f>
        <v>409.974919571954</v>
      </c>
      <c r="T474" s="41" t="n">
        <f aca="false">S474-$M$2</f>
        <v>-0.00574331775635528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0.170609474182129</v>
      </c>
      <c r="C475" s="25" t="n">
        <f aca="false">IF(T474&gt;0,D474,C474)</f>
        <v>0.170612335205078</v>
      </c>
      <c r="D475" s="39" t="n">
        <f aca="false">(B475+C475)/2</f>
        <v>0.170610904693604</v>
      </c>
      <c r="E475" s="15" t="n">
        <f aca="false">$C$2*(1+IF(E$3&lt;=$O$2,$D475,$D475-($D475-$I$454)*MIN(E$3-$O$2,$Q$2)/$Q$2))</f>
        <v>16759.6363224983</v>
      </c>
      <c r="F475" s="15" t="n">
        <f aca="false">E475*(1+IF(F$3&lt;=$O$2,$D475,$D475-($D475-$I$454)*MIN(F$3-$O$2,$Q$2)/$Q$2))</f>
        <v>19619.0130378155</v>
      </c>
      <c r="G475" s="15" t="n">
        <f aca="false">F475*(1+IF(G$3&lt;=$O$2,$D475,$D475-($D475-$I$454)*MIN(G$3-$O$2,$Q$2)/$Q$2))</f>
        <v>22966.2306013929</v>
      </c>
      <c r="H475" s="15" t="n">
        <f aca="false">G475*(1+IF(H$3&lt;=$O$2,$D475,$D475-($D475-$I$454)*MIN(H$3-$O$2,$Q$2)/$Q$2))</f>
        <v>26884.5199816984</v>
      </c>
      <c r="I475" s="15" t="n">
        <f aca="false">H475*(1+IF(I$3&lt;=$O$2,$D475,$D475-($D475-$I$454)*MIN(I$3-$O$2,$Q$2)/$Q$2))</f>
        <v>31471.3122580292</v>
      </c>
      <c r="J475" s="15" t="n">
        <f aca="false">I475*(1+IF(J$3&lt;=$O$2,$D475,$D475-($D475-$I$454)*MIN(J$3-$O$2,$Q$2)/$Q$2))</f>
        <v>35881.9765058834</v>
      </c>
      <c r="K475" s="15" t="n">
        <f aca="false">J475*(1+IF(K$3&lt;=$O$2,$D475,$D475-($D475-$I$454)*MIN(K$3-$O$2,$Q$2)/$Q$2))</f>
        <v>39817.7464582245</v>
      </c>
      <c r="L475" s="15" t="n">
        <f aca="false">K475*(1+IF(L$3&lt;=$O$2,$D475,$D475-($D475-$I$454)*MIN(L$3-$O$2,$Q$2)/$Q$2))</f>
        <v>42972.2820127751</v>
      </c>
      <c r="M475" s="15" t="n">
        <f aca="false">L475*(1+IF(M$3&lt;=$O$2,$D475,$D475-($D475-$I$454)*MIN(M$3-$O$2,$Q$2)/$Q$2))</f>
        <v>45067.7042036318</v>
      </c>
      <c r="N475" s="15" t="n">
        <f aca="false">M475*(1+IF(N$3&lt;=$O$2,$D475,$D475-($D475-$I$454)*MIN(N$3-$O$2,$Q$2)/$Q$2))</f>
        <v>45892.4431905583</v>
      </c>
      <c r="O475" s="15" t="n">
        <f aca="false">SUMPRODUCT(E475:N475,1/(1+$F$454)^$E$3:$N$3)*$E$2</f>
        <v>60222.6893936083</v>
      </c>
      <c r="P475" s="15" t="n">
        <f aca="false">N475*$E$2*(1+$I$454)/($F$454-$I$454)/(1+$F$454)^$N$3</f>
        <v>72246.6132819127</v>
      </c>
      <c r="Q475" s="15" t="n">
        <f aca="false">O475+P475</f>
        <v>132469.302675521</v>
      </c>
      <c r="R475" s="15" t="n">
        <f aca="false">Q475-$G$2+$I$2</f>
        <v>120849.302675521</v>
      </c>
      <c r="S475" s="40" t="n">
        <f aca="false">R475/$K$2</f>
        <v>409.978297233507</v>
      </c>
      <c r="T475" s="41" t="n">
        <f aca="false">S475-$M$2</f>
        <v>-0.00236565620315332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0.170610904693604</v>
      </c>
      <c r="C476" s="25" t="n">
        <f aca="false">IF(T475&gt;0,D475,C475)</f>
        <v>0.170612335205078</v>
      </c>
      <c r="D476" s="39" t="n">
        <f aca="false">(B476+C476)/2</f>
        <v>0.170611619949341</v>
      </c>
      <c r="E476" s="15" t="n">
        <f aca="false">$C$2*(1+IF(E$3&lt;=$O$2,$D476,$D476-($D476-$I$454)*MIN(E$3-$O$2,$Q$2)/$Q$2))</f>
        <v>16759.6465628147</v>
      </c>
      <c r="F476" s="15" t="n">
        <f aca="false">E476*(1+IF(F$3&lt;=$O$2,$D476,$D476-($D476-$I$454)*MIN(F$3-$O$2,$Q$2)/$Q$2))</f>
        <v>19619.0370126749</v>
      </c>
      <c r="G476" s="15" t="n">
        <f aca="false">F476*(1+IF(G$3&lt;=$O$2,$D476,$D476-($D476-$I$454)*MIN(G$3-$O$2,$Q$2)/$Q$2))</f>
        <v>22966.2726992535</v>
      </c>
      <c r="H476" s="15" t="n">
        <f aca="false">G476*(1+IF(H$3&lt;=$O$2,$D476,$D476-($D476-$I$454)*MIN(H$3-$O$2,$Q$2)/$Q$2))</f>
        <v>26884.5856886714</v>
      </c>
      <c r="I476" s="15" t="n">
        <f aca="false">H476*(1+IF(I$3&lt;=$O$2,$D476,$D476-($D476-$I$454)*MIN(I$3-$O$2,$Q$2)/$Q$2))</f>
        <v>31471.4084046825</v>
      </c>
      <c r="J476" s="15" t="n">
        <f aca="false">I476*(1+IF(J$3&lt;=$O$2,$D476,$D476-($D476-$I$454)*MIN(J$3-$O$2,$Q$2)/$Q$2))</f>
        <v>35882.1041354518</v>
      </c>
      <c r="K476" s="15" t="n">
        <f aca="false">J476*(1+IF(K$3&lt;=$O$2,$D476,$D476-($D476-$I$454)*MIN(K$3-$O$2,$Q$2)/$Q$2))</f>
        <v>39817.9034859676</v>
      </c>
      <c r="L476" s="15" t="n">
        <f aca="false">K476*(1+IF(L$3&lt;=$O$2,$D476,$D476-($D476-$I$454)*MIN(L$3-$O$2,$Q$2)/$Q$2))</f>
        <v>42972.4628729345</v>
      </c>
      <c r="M476" s="15" t="n">
        <f aca="false">L476*(1+IF(M$3&lt;=$O$2,$D476,$D476-($D476-$I$454)*MIN(M$3-$O$2,$Q$2)/$Q$2))</f>
        <v>45067.9000301871</v>
      </c>
      <c r="N476" s="15" t="n">
        <f aca="false">M476*(1+IF(N$3&lt;=$O$2,$D476,$D476-($D476-$I$454)*MIN(N$3-$O$2,$Q$2)/$Q$2))</f>
        <v>45892.6426007395</v>
      </c>
      <c r="O476" s="15" t="n">
        <f aca="false">SUMPRODUCT(E476:N476,1/(1+$F$454)^$E$3:$N$3)*$E$2</f>
        <v>60222.8732895051</v>
      </c>
      <c r="P476" s="15" t="n">
        <f aca="false">N476*$E$2*(1+$I$454)/($F$454-$I$454)/(1+$F$454)^$N$3</f>
        <v>72246.9272052789</v>
      </c>
      <c r="Q476" s="15" t="n">
        <f aca="false">O476+P476</f>
        <v>132469.800494784</v>
      </c>
      <c r="R476" s="15" t="n">
        <f aca="false">Q476-$G$2+$I$2</f>
        <v>120849.800494784</v>
      </c>
      <c r="S476" s="40" t="n">
        <f aca="false">R476/$K$2</f>
        <v>409.979986073155</v>
      </c>
      <c r="T476" s="41" t="n">
        <f aca="false">S476-$M$2</f>
        <v>-0.000676816555198911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0.170611619949341</v>
      </c>
      <c r="C477" s="25" t="n">
        <f aca="false">IF(T476&gt;0,D476,C476)</f>
        <v>0.170612335205078</v>
      </c>
      <c r="D477" s="39" t="n">
        <f aca="false">(B477+C477)/2</f>
        <v>0.170611977577209</v>
      </c>
      <c r="E477" s="15" t="n">
        <f aca="false">$C$2*(1+IF(E$3&lt;=$O$2,$D477,$D477-($D477-$I$454)*MIN(E$3-$O$2,$Q$2)/$Q$2))</f>
        <v>16759.6516829729</v>
      </c>
      <c r="F477" s="15" t="n">
        <f aca="false">E477*(1+IF(F$3&lt;=$O$2,$D477,$D477-($D477-$I$454)*MIN(F$3-$O$2,$Q$2)/$Q$2))</f>
        <v>19619.0490001101</v>
      </c>
      <c r="G477" s="15" t="n">
        <f aca="false">F477*(1+IF(G$3&lt;=$O$2,$D477,$D477-($D477-$I$454)*MIN(G$3-$O$2,$Q$2)/$Q$2))</f>
        <v>22966.2937482031</v>
      </c>
      <c r="H477" s="15" t="n">
        <f aca="false">G477*(1+IF(H$3&lt;=$O$2,$D477,$D477-($D477-$I$454)*MIN(H$3-$O$2,$Q$2)/$Q$2))</f>
        <v>26884.6185422031</v>
      </c>
      <c r="I477" s="15" t="n">
        <f aca="false">H477*(1+IF(I$3&lt;=$O$2,$D477,$D477-($D477-$I$454)*MIN(I$3-$O$2,$Q$2)/$Q$2))</f>
        <v>31471.4564780973</v>
      </c>
      <c r="J477" s="15" t="n">
        <f aca="false">I477*(1+IF(J$3&lt;=$O$2,$D477,$D477-($D477-$I$454)*MIN(J$3-$O$2,$Q$2)/$Q$2))</f>
        <v>35882.1679503778</v>
      </c>
      <c r="K477" s="15" t="n">
        <f aca="false">J477*(1+IF(K$3&lt;=$O$2,$D477,$D477-($D477-$I$454)*MIN(K$3-$O$2,$Q$2)/$Q$2))</f>
        <v>39817.9820000374</v>
      </c>
      <c r="L477" s="15" t="n">
        <f aca="false">K477*(1+IF(L$3&lt;=$O$2,$D477,$D477-($D477-$I$454)*MIN(L$3-$O$2,$Q$2)/$Q$2))</f>
        <v>42972.5533032619</v>
      </c>
      <c r="M477" s="15" t="n">
        <f aca="false">L477*(1+IF(M$3&lt;=$O$2,$D477,$D477-($D477-$I$454)*MIN(M$3-$O$2,$Q$2)/$Q$2))</f>
        <v>45067.997943744</v>
      </c>
      <c r="N477" s="15" t="n">
        <f aca="false">M477*(1+IF(N$3&lt;=$O$2,$D477,$D477-($D477-$I$454)*MIN(N$3-$O$2,$Q$2)/$Q$2))</f>
        <v>45892.7423061145</v>
      </c>
      <c r="O477" s="15" t="n">
        <f aca="false">SUMPRODUCT(E477:N477,1/(1+$F$454)^$E$3:$N$3)*$E$2</f>
        <v>60222.9652376596</v>
      </c>
      <c r="P477" s="15" t="n">
        <f aca="false">N477*$E$2*(1+$I$454)/($F$454-$I$454)/(1+$F$454)^$N$3</f>
        <v>72247.0841674096</v>
      </c>
      <c r="Q477" s="15" t="n">
        <f aca="false">O477+P477</f>
        <v>132470.049405069</v>
      </c>
      <c r="R477" s="15" t="n">
        <f aca="false">Q477-$G$2+$I$2</f>
        <v>120850.049405069</v>
      </c>
      <c r="S477" s="40" t="n">
        <f aca="false">R477/$K$2</f>
        <v>409.980830495197</v>
      </c>
      <c r="T477" s="41" t="n">
        <f aca="false">S477-$M$2</f>
        <v>0.000167605486410594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0.170611619949341</v>
      </c>
      <c r="C478" s="25" t="n">
        <f aca="false">IF(T477&gt;0,D477,C477)</f>
        <v>0.170611977577209</v>
      </c>
      <c r="D478" s="39" t="n">
        <f aca="false">(B478+C478)/2</f>
        <v>0.170611798763275</v>
      </c>
      <c r="E478" s="15" t="n">
        <f aca="false">$C$2*(1+IF(E$3&lt;=$O$2,$D478,$D478-($D478-$I$454)*MIN(E$3-$O$2,$Q$2)/$Q$2))</f>
        <v>16759.6491228938</v>
      </c>
      <c r="F478" s="15" t="n">
        <f aca="false">E478*(1+IF(F$3&lt;=$O$2,$D478,$D478-($D478-$I$454)*MIN(F$3-$O$2,$Q$2)/$Q$2))</f>
        <v>19619.0430063921</v>
      </c>
      <c r="G478" s="15" t="n">
        <f aca="false">F478*(1+IF(G$3&lt;=$O$2,$D478,$D478-($D478-$I$454)*MIN(G$3-$O$2,$Q$2)/$Q$2))</f>
        <v>22966.2832237267</v>
      </c>
      <c r="H478" s="15" t="n">
        <f aca="false">G478*(1+IF(H$3&lt;=$O$2,$D478,$D478-($D478-$I$454)*MIN(H$3-$O$2,$Q$2)/$Q$2))</f>
        <v>26884.6021154335</v>
      </c>
      <c r="I478" s="15" t="n">
        <f aca="false">H478*(1+IF(I$3&lt;=$O$2,$D478,$D478-($D478-$I$454)*MIN(I$3-$O$2,$Q$2)/$Q$2))</f>
        <v>31471.4324413826</v>
      </c>
      <c r="J478" s="15" t="n">
        <f aca="false">I478*(1+IF(J$3&lt;=$O$2,$D478,$D478-($D478-$I$454)*MIN(J$3-$O$2,$Q$2)/$Q$2))</f>
        <v>35882.136042903</v>
      </c>
      <c r="K478" s="15" t="n">
        <f aca="false">J478*(1+IF(K$3&lt;=$O$2,$D478,$D478-($D478-$I$454)*MIN(K$3-$O$2,$Q$2)/$Q$2))</f>
        <v>39817.942742986</v>
      </c>
      <c r="L478" s="15" t="n">
        <f aca="false">K478*(1+IF(L$3&lt;=$O$2,$D478,$D478-($D478-$I$454)*MIN(L$3-$O$2,$Q$2)/$Q$2))</f>
        <v>42972.5080880775</v>
      </c>
      <c r="M478" s="15" t="n">
        <f aca="false">L478*(1+IF(M$3&lt;=$O$2,$D478,$D478-($D478-$I$454)*MIN(M$3-$O$2,$Q$2)/$Q$2))</f>
        <v>45067.9489869422</v>
      </c>
      <c r="N478" s="15" t="n">
        <f aca="false">M478*(1+IF(N$3&lt;=$O$2,$D478,$D478-($D478-$I$454)*MIN(N$3-$O$2,$Q$2)/$Q$2))</f>
        <v>45892.6924534033</v>
      </c>
      <c r="O478" s="15" t="n">
        <f aca="false">SUMPRODUCT(E478:N478,1/(1+$F$454)^$E$3:$N$3)*$E$2</f>
        <v>60222.9192635652</v>
      </c>
      <c r="P478" s="15" t="n">
        <f aca="false">N478*$E$2*(1+$I$454)/($F$454-$I$454)/(1+$F$454)^$N$3</f>
        <v>72247.005686307</v>
      </c>
      <c r="Q478" s="15" t="n">
        <f aca="false">O478+P478</f>
        <v>132469.924949872</v>
      </c>
      <c r="R478" s="15" t="n">
        <f aca="false">Q478-$G$2+$I$2</f>
        <v>120849.924949872</v>
      </c>
      <c r="S478" s="40" t="n">
        <f aca="false">R478/$K$2</f>
        <v>409.980408283991</v>
      </c>
      <c r="T478" s="41" t="n">
        <f aca="false">S478-$M$2</f>
        <v>-0.0002546057193058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0.170611798763275</v>
      </c>
      <c r="C479" s="25" t="n">
        <f aca="false">IF(T478&gt;0,D478,C478)</f>
        <v>0.170611977577209</v>
      </c>
      <c r="D479" s="39" t="n">
        <f aca="false">(B479+C479)/2</f>
        <v>0.170611888170242</v>
      </c>
      <c r="E479" s="15" t="n">
        <f aca="false">$C$2*(1+IF(E$3&lt;=$O$2,$D479,$D479-($D479-$I$454)*MIN(E$3-$O$2,$Q$2)/$Q$2))</f>
        <v>16759.6504029334</v>
      </c>
      <c r="F479" s="15" t="n">
        <f aca="false">E479*(1+IF(F$3&lt;=$O$2,$D479,$D479-($D479-$I$454)*MIN(F$3-$O$2,$Q$2)/$Q$2))</f>
        <v>19619.046003251</v>
      </c>
      <c r="G479" s="15" t="n">
        <f aca="false">F479*(1+IF(G$3&lt;=$O$2,$D479,$D479-($D479-$I$454)*MIN(G$3-$O$2,$Q$2)/$Q$2))</f>
        <v>22966.2884859645</v>
      </c>
      <c r="H479" s="15" t="n">
        <f aca="false">G479*(1+IF(H$3&lt;=$O$2,$D479,$D479-($D479-$I$454)*MIN(H$3-$O$2,$Q$2)/$Q$2))</f>
        <v>26884.6103288174</v>
      </c>
      <c r="I479" s="15" t="n">
        <f aca="false">H479*(1+IF(I$3&lt;=$O$2,$D479,$D479-($D479-$I$454)*MIN(I$3-$O$2,$Q$2)/$Q$2))</f>
        <v>31471.4444597381</v>
      </c>
      <c r="J479" s="15" t="n">
        <f aca="false">I479*(1+IF(J$3&lt;=$O$2,$D479,$D479-($D479-$I$454)*MIN(J$3-$O$2,$Q$2)/$Q$2))</f>
        <v>35882.1519966374</v>
      </c>
      <c r="K479" s="15" t="n">
        <f aca="false">J479*(1+IF(K$3&lt;=$O$2,$D479,$D479-($D479-$I$454)*MIN(K$3-$O$2,$Q$2)/$Q$2))</f>
        <v>39817.9623715076</v>
      </c>
      <c r="L479" s="15" t="n">
        <f aca="false">K479*(1+IF(L$3&lt;=$O$2,$D479,$D479-($D479-$I$454)*MIN(L$3-$O$2,$Q$2)/$Q$2))</f>
        <v>42972.5306956645</v>
      </c>
      <c r="M479" s="15" t="n">
        <f aca="false">L479*(1+IF(M$3&lt;=$O$2,$D479,$D479-($D479-$I$454)*MIN(M$3-$O$2,$Q$2)/$Q$2))</f>
        <v>45067.9734653373</v>
      </c>
      <c r="N479" s="15" t="n">
        <f aca="false">M479*(1+IF(N$3&lt;=$O$2,$D479,$D479-($D479-$I$454)*MIN(N$3-$O$2,$Q$2)/$Q$2))</f>
        <v>45892.717379753</v>
      </c>
      <c r="O479" s="15" t="n">
        <f aca="false">SUMPRODUCT(E479:N479,1/(1+$F$454)^$E$3:$N$3)*$E$2</f>
        <v>60222.9422506081</v>
      </c>
      <c r="P479" s="15" t="n">
        <f aca="false">N479*$E$2*(1+$I$454)/($F$454-$I$454)/(1+$F$454)^$N$3</f>
        <v>72247.044926849</v>
      </c>
      <c r="Q479" s="15" t="n">
        <f aca="false">O479+P479</f>
        <v>132469.987177457</v>
      </c>
      <c r="R479" s="15" t="n">
        <f aca="false">Q479-$G$2+$I$2</f>
        <v>120849.987177457</v>
      </c>
      <c r="S479" s="40" t="n">
        <f aca="false">R479/$K$2</f>
        <v>409.980619389548</v>
      </c>
      <c r="T479" s="41" t="n">
        <f aca="false">S479-$M$2</f>
        <v>-4.35001625760378E-005</v>
      </c>
    </row>
    <row r="481" customFormat="false" ht="15" hidden="false" customHeight="false" outlineLevel="0" collapsed="false">
      <c r="A481" s="36" t="s">
        <v>191</v>
      </c>
      <c r="E481" s="5" t="s">
        <v>11</v>
      </c>
      <c r="F481" s="12" t="n">
        <f aca="false">Sensitivity!$B$13</f>
        <v>0.0998919064489092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6" t="s">
        <v>155</v>
      </c>
      <c r="B482" s="28" t="s">
        <v>156</v>
      </c>
      <c r="C482" s="28" t="s">
        <v>157</v>
      </c>
      <c r="D482" s="28" t="s">
        <v>158</v>
      </c>
      <c r="E482" s="28" t="s">
        <v>159</v>
      </c>
      <c r="F482" s="28" t="s">
        <v>160</v>
      </c>
      <c r="G482" s="28" t="s">
        <v>161</v>
      </c>
      <c r="H482" s="28" t="s">
        <v>162</v>
      </c>
      <c r="I482" s="28" t="s">
        <v>163</v>
      </c>
      <c r="J482" s="28" t="s">
        <v>164</v>
      </c>
      <c r="K482" s="28" t="s">
        <v>165</v>
      </c>
      <c r="L482" s="28" t="s">
        <v>166</v>
      </c>
      <c r="M482" s="28" t="s">
        <v>167</v>
      </c>
      <c r="N482" s="28" t="s">
        <v>168</v>
      </c>
      <c r="O482" s="28" t="s">
        <v>169</v>
      </c>
      <c r="P482" s="28" t="s">
        <v>170</v>
      </c>
      <c r="Q482" s="28" t="s">
        <v>171</v>
      </c>
      <c r="R482" s="28" t="s">
        <v>172</v>
      </c>
      <c r="S482" s="28" t="s">
        <v>173</v>
      </c>
      <c r="T482" s="28" t="s">
        <v>174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39" t="n">
        <f aca="false">(B483+C483)/2</f>
        <v>0.25</v>
      </c>
      <c r="E483" s="15" t="n">
        <f aca="false">$C$2*(1+IF(E$3&lt;=$O$2,$D483,$D483-($D483-$I$481)*MIN(E$3-$O$2,$Q$2)/$Q$2))</f>
        <v>17896.25</v>
      </c>
      <c r="F483" s="15" t="n">
        <f aca="false">E483*(1+IF(F$3&lt;=$O$2,$D483,$D483-($D483-$I$481)*MIN(F$3-$O$2,$Q$2)/$Q$2))</f>
        <v>22370.3125</v>
      </c>
      <c r="G483" s="15" t="n">
        <f aca="false">F483*(1+IF(G$3&lt;=$O$2,$D483,$D483-($D483-$I$481)*MIN(G$3-$O$2,$Q$2)/$Q$2))</f>
        <v>27962.890625</v>
      </c>
      <c r="H483" s="15" t="n">
        <f aca="false">G483*(1+IF(H$3&lt;=$O$2,$D483,$D483-($D483-$I$481)*MIN(H$3-$O$2,$Q$2)/$Q$2))</f>
        <v>34953.61328125</v>
      </c>
      <c r="I483" s="15" t="n">
        <f aca="false">H483*(1+IF(I$3&lt;=$O$2,$D483,$D483-($D483-$I$481)*MIN(I$3-$O$2,$Q$2)/$Q$2))</f>
        <v>43692.0166015625</v>
      </c>
      <c r="J483" s="15" t="n">
        <f aca="false">I483*(1+IF(J$3&lt;=$O$2,$D483,$D483-($D483-$I$481)*MIN(J$3-$O$2,$Q$2)/$Q$2))</f>
        <v>52634.0247192383</v>
      </c>
      <c r="K483" s="15" t="n">
        <f aca="false">J483*(1+IF(K$3&lt;=$O$2,$D483,$D483-($D483-$I$481)*MIN(K$3-$O$2,$Q$2)/$Q$2))</f>
        <v>61019.6775375073</v>
      </c>
      <c r="L483" s="15" t="n">
        <f aca="false">K483*(1+IF(L$3&lt;=$O$2,$D483,$D483-($D483-$I$481)*MIN(L$3-$O$2,$Q$2)/$Q$2))</f>
        <v>67974.7003832324</v>
      </c>
      <c r="M483" s="15" t="n">
        <f aca="false">L483*(1+IF(M$3&lt;=$O$2,$D483,$D483-($D483-$I$481)*MIN(M$3-$O$2,$Q$2)/$Q$2))</f>
        <v>72640.4838175375</v>
      </c>
      <c r="N483" s="15" t="n">
        <f aca="false">M483*(1+IF(N$3&lt;=$O$2,$D483,$D483-($D483-$I$481)*MIN(N$3-$O$2,$Q$2)/$Q$2))</f>
        <v>74333.0070904861</v>
      </c>
      <c r="O483" s="15" t="n">
        <f aca="false">SUMPRODUCT(E483:N483,1/(1+$F$481)^$E$3:$N$3)*$E$2</f>
        <v>84693.8830402704</v>
      </c>
      <c r="P483" s="15" t="n">
        <f aca="false">N483*$E$2*(1+$I$481)/($F$481-$I$481)/(1+$F$481)^$N$3</f>
        <v>125270.683829939</v>
      </c>
      <c r="Q483" s="15" t="n">
        <f aca="false">O483+P483</f>
        <v>209964.566870209</v>
      </c>
      <c r="R483" s="15" t="n">
        <f aca="false">Q483-$G$2+$I$2</f>
        <v>198344.566870209</v>
      </c>
      <c r="S483" s="40" t="n">
        <f aca="false">R483/$K$2</f>
        <v>672.87908155582</v>
      </c>
      <c r="T483" s="41" t="n">
        <f aca="false">S483-$M$2</f>
        <v>262.898418666109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39" t="n">
        <f aca="false">(B484+C484)/2</f>
        <v>-0.125</v>
      </c>
      <c r="E484" s="15" t="n">
        <f aca="false">$C$2*(1+IF(E$3&lt;=$O$2,$D484,$D484-($D484-$I$481)*MIN(E$3-$O$2,$Q$2)/$Q$2))</f>
        <v>12527.375</v>
      </c>
      <c r="F484" s="15" t="n">
        <f aca="false">E484*(1+IF(F$3&lt;=$O$2,$D484,$D484-($D484-$I$481)*MIN(F$3-$O$2,$Q$2)/$Q$2))</f>
        <v>10961.453125</v>
      </c>
      <c r="G484" s="15" t="n">
        <f aca="false">F484*(1+IF(G$3&lt;=$O$2,$D484,$D484-($D484-$I$481)*MIN(G$3-$O$2,$Q$2)/$Q$2))</f>
        <v>9591.271484375</v>
      </c>
      <c r="H484" s="15" t="n">
        <f aca="false">G484*(1+IF(H$3&lt;=$O$2,$D484,$D484-($D484-$I$481)*MIN(H$3-$O$2,$Q$2)/$Q$2))</f>
        <v>8392.36254882813</v>
      </c>
      <c r="I484" s="15" t="n">
        <f aca="false">H484*(1+IF(I$3&lt;=$O$2,$D484,$D484-($D484-$I$481)*MIN(I$3-$O$2,$Q$2)/$Q$2))</f>
        <v>7343.31723022461</v>
      </c>
      <c r="J484" s="15" t="n">
        <f aca="false">I484*(1+IF(J$3&lt;=$O$2,$D484,$D484-($D484-$I$481)*MIN(J$3-$O$2,$Q$2)/$Q$2))</f>
        <v>6643.205365495</v>
      </c>
      <c r="K484" s="15" t="n">
        <f aca="false">J484*(1+IF(K$3&lt;=$O$2,$D484,$D484-($D484-$I$481)*MIN(K$3-$O$2,$Q$2)/$Q$2))</f>
        <v>6206.87963708928</v>
      </c>
      <c r="L484" s="15" t="n">
        <f aca="false">K484*(1+IF(L$3&lt;=$O$2,$D484,$D484-($D484-$I$481)*MIN(L$3-$O$2,$Q$2)/$Q$2))</f>
        <v>5983.30783256133</v>
      </c>
      <c r="M484" s="15" t="n">
        <f aca="false">L484*(1+IF(M$3&lt;=$O$2,$D484,$D484-($D484-$I$481)*MIN(M$3-$O$2,$Q$2)/$Q$2))</f>
        <v>5945.25399474624</v>
      </c>
      <c r="N484" s="15" t="n">
        <f aca="false">M484*(1+IF(N$3&lt;=$O$2,$D484,$D484-($D484-$I$481)*MIN(N$3-$O$2,$Q$2)/$Q$2))</f>
        <v>6083.77841282382</v>
      </c>
      <c r="O484" s="15" t="n">
        <f aca="false">SUMPRODUCT(E484:N484,1/(1+$F$481)^$E$3:$N$3)*$E$2</f>
        <v>17178.9521469235</v>
      </c>
      <c r="P484" s="15" t="n">
        <f aca="false">N484*$E$2*(1+$I$481)/($F$481-$I$481)/(1+$F$481)^$N$3</f>
        <v>10252.768075379</v>
      </c>
      <c r="Q484" s="15" t="n">
        <f aca="false">O484+P484</f>
        <v>27431.7202223025</v>
      </c>
      <c r="R484" s="15" t="n">
        <f aca="false">Q484-$G$2+$I$2</f>
        <v>15811.7202223025</v>
      </c>
      <c r="S484" s="40" t="n">
        <f aca="false">R484/$K$2</f>
        <v>53.6408732988517</v>
      </c>
      <c r="T484" s="41" t="n">
        <f aca="false">S484-$M$2</f>
        <v>-356.339789590859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39" t="n">
        <f aca="false">(B485+C485)/2</f>
        <v>0.0625</v>
      </c>
      <c r="E485" s="15" t="n">
        <f aca="false">$C$2*(1+IF(E$3&lt;=$O$2,$D485,$D485-($D485-$I$481)*MIN(E$3-$O$2,$Q$2)/$Q$2))</f>
        <v>15211.8125</v>
      </c>
      <c r="F485" s="15" t="n">
        <f aca="false">E485*(1+IF(F$3&lt;=$O$2,$D485,$D485-($D485-$I$481)*MIN(F$3-$O$2,$Q$2)/$Q$2))</f>
        <v>16162.55078125</v>
      </c>
      <c r="G485" s="15" t="n">
        <f aca="false">F485*(1+IF(G$3&lt;=$O$2,$D485,$D485-($D485-$I$481)*MIN(G$3-$O$2,$Q$2)/$Q$2))</f>
        <v>17172.7102050781</v>
      </c>
      <c r="H485" s="15" t="n">
        <f aca="false">G485*(1+IF(H$3&lt;=$O$2,$D485,$D485-($D485-$I$481)*MIN(H$3-$O$2,$Q$2)/$Q$2))</f>
        <v>18246.0045928955</v>
      </c>
      <c r="I485" s="15" t="n">
        <f aca="false">H485*(1+IF(I$3&lt;=$O$2,$D485,$D485-($D485-$I$481)*MIN(I$3-$O$2,$Q$2)/$Q$2))</f>
        <v>19386.3798799515</v>
      </c>
      <c r="J485" s="15" t="n">
        <f aca="false">I485*(1+IF(J$3&lt;=$O$2,$D485,$D485-($D485-$I$481)*MIN(J$3-$O$2,$Q$2)/$Q$2))</f>
        <v>20446.0394041896</v>
      </c>
      <c r="K485" s="15" t="n">
        <f aca="false">J485*(1+IF(K$3&lt;=$O$2,$D485,$D485-($D485-$I$481)*MIN(K$3-$O$2,$Q$2)/$Q$2))</f>
        <v>21403.3229690938</v>
      </c>
      <c r="L485" s="15" t="n">
        <f aca="false">K485*(1+IF(L$3&lt;=$O$2,$D485,$D485-($D485-$I$481)*MIN(L$3-$O$2,$Q$2)/$Q$2))</f>
        <v>22237.6244984291</v>
      </c>
      <c r="M485" s="15" t="n">
        <f aca="false">L485*(1+IF(M$3&lt;=$O$2,$D485,$D485-($D485-$I$481)*MIN(M$3-$O$2,$Q$2)/$Q$2))</f>
        <v>22930.1041253101</v>
      </c>
      <c r="N485" s="15" t="n">
        <f aca="false">M485*(1+IF(N$3&lt;=$O$2,$D485,$D485-($D485-$I$481)*MIN(N$3-$O$2,$Q$2)/$Q$2))</f>
        <v>23464.3755514299</v>
      </c>
      <c r="O485" s="15" t="n">
        <f aca="false">SUMPRODUCT(E485:N485,1/(1+$F$481)^$E$3:$N$3)*$E$2</f>
        <v>38017.9865333126</v>
      </c>
      <c r="P485" s="15" t="n">
        <f aca="false">N485*$E$2*(1+$I$481)/($F$481-$I$481)/(1+$F$481)^$N$3</f>
        <v>39543.6493964513</v>
      </c>
      <c r="Q485" s="15" t="n">
        <f aca="false">O485+P485</f>
        <v>77561.6359297639</v>
      </c>
      <c r="R485" s="15" t="n">
        <f aca="false">Q485-$G$2+$I$2</f>
        <v>65941.6359297639</v>
      </c>
      <c r="S485" s="40" t="n">
        <f aca="false">R485/$K$2</f>
        <v>223.705383620328</v>
      </c>
      <c r="T485" s="41" t="n">
        <f aca="false">S485-$M$2</f>
        <v>-186.275279269383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39" t="n">
        <f aca="false">(B486+C486)/2</f>
        <v>0.15625</v>
      </c>
      <c r="E486" s="15" t="n">
        <f aca="false">$C$2*(1+IF(E$3&lt;=$O$2,$D486,$D486-($D486-$I$481)*MIN(E$3-$O$2,$Q$2)/$Q$2))</f>
        <v>16554.03125</v>
      </c>
      <c r="F486" s="15" t="n">
        <f aca="false">E486*(1+IF(F$3&lt;=$O$2,$D486,$D486-($D486-$I$481)*MIN(F$3-$O$2,$Q$2)/$Q$2))</f>
        <v>19140.5986328125</v>
      </c>
      <c r="G486" s="15" t="n">
        <f aca="false">F486*(1+IF(G$3&lt;=$O$2,$D486,$D486-($D486-$I$481)*MIN(G$3-$O$2,$Q$2)/$Q$2))</f>
        <v>22131.3171691895</v>
      </c>
      <c r="H486" s="15" t="n">
        <f aca="false">G486*(1+IF(H$3&lt;=$O$2,$D486,$D486-($D486-$I$481)*MIN(H$3-$O$2,$Q$2)/$Q$2))</f>
        <v>25589.3354768753</v>
      </c>
      <c r="I486" s="15" t="n">
        <f aca="false">H486*(1+IF(I$3&lt;=$O$2,$D486,$D486-($D486-$I$481)*MIN(I$3-$O$2,$Q$2)/$Q$2))</f>
        <v>29587.6691451371</v>
      </c>
      <c r="J486" s="15" t="n">
        <f aca="false">I486*(1+IF(J$3&lt;=$O$2,$D486,$D486-($D486-$I$481)*MIN(J$3-$O$2,$Q$2)/$Q$2))</f>
        <v>33424.0063264955</v>
      </c>
      <c r="K486" s="15" t="n">
        <f aca="false">J486*(1+IF(K$3&lt;=$O$2,$D486,$D486-($D486-$I$481)*MIN(K$3-$O$2,$Q$2)/$Q$2))</f>
        <v>36869.0186585674</v>
      </c>
      <c r="L486" s="15" t="n">
        <f aca="false">K486*(1+IF(L$3&lt;=$O$2,$D486,$D486-($D486-$I$481)*MIN(L$3-$O$2,$Q$2)/$Q$2))</f>
        <v>39688.7612055747</v>
      </c>
      <c r="M486" s="15" t="n">
        <f aca="false">L486*(1+IF(M$3&lt;=$O$2,$D486,$D486-($D486-$I$481)*MIN(M$3-$O$2,$Q$2)/$Q$2))</f>
        <v>41668.8335021208</v>
      </c>
      <c r="N486" s="15" t="n">
        <f aca="false">M486*(1+IF(N$3&lt;=$O$2,$D486,$D486-($D486-$I$481)*MIN(N$3-$O$2,$Q$2)/$Q$2))</f>
        <v>42639.7173227202</v>
      </c>
      <c r="O486" s="15" t="n">
        <f aca="false">SUMPRODUCT(E486:N486,1/(1+$F$481)^$E$3:$N$3)*$E$2</f>
        <v>56823.9426659339</v>
      </c>
      <c r="P486" s="15" t="n">
        <f aca="false">N486*$E$2*(1+$I$481)/($F$481-$I$481)/(1+$F$481)^$N$3</f>
        <v>71859.1478591763</v>
      </c>
      <c r="Q486" s="15" t="n">
        <f aca="false">O486+P486</f>
        <v>128683.09052511</v>
      </c>
      <c r="R486" s="15" t="n">
        <f aca="false">Q486-$G$2+$I$2</f>
        <v>117063.09052511</v>
      </c>
      <c r="S486" s="40" t="n">
        <f aca="false">R486/$K$2</f>
        <v>397.133665315705</v>
      </c>
      <c r="T486" s="41" t="n">
        <f aca="false">S486-$M$2</f>
        <v>-12.846997574006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0.15625</v>
      </c>
      <c r="C487" s="25" t="n">
        <f aca="false">IF(T486&gt;0,D486,C486)</f>
        <v>0.25</v>
      </c>
      <c r="D487" s="39" t="n">
        <f aca="false">(B487+C487)/2</f>
        <v>0.203125</v>
      </c>
      <c r="E487" s="15" t="n">
        <f aca="false">$C$2*(1+IF(E$3&lt;=$O$2,$D487,$D487-($D487-$I$481)*MIN(E$3-$O$2,$Q$2)/$Q$2))</f>
        <v>17225.140625</v>
      </c>
      <c r="F487" s="15" t="n">
        <f aca="false">E487*(1+IF(F$3&lt;=$O$2,$D487,$D487-($D487-$I$481)*MIN(F$3-$O$2,$Q$2)/$Q$2))</f>
        <v>20723.9973144531</v>
      </c>
      <c r="G487" s="15" t="n">
        <f aca="false">F487*(1+IF(G$3&lt;=$O$2,$D487,$D487-($D487-$I$481)*MIN(G$3-$O$2,$Q$2)/$Q$2))</f>
        <v>24933.5592689514</v>
      </c>
      <c r="H487" s="15" t="n">
        <f aca="false">G487*(1+IF(H$3&lt;=$O$2,$D487,$D487-($D487-$I$481)*MIN(H$3-$O$2,$Q$2)/$Q$2))</f>
        <v>29998.1884954572</v>
      </c>
      <c r="I487" s="15" t="n">
        <f aca="false">H487*(1+IF(I$3&lt;=$O$2,$D487,$D487-($D487-$I$481)*MIN(I$3-$O$2,$Q$2)/$Q$2))</f>
        <v>36091.5705335969</v>
      </c>
      <c r="J487" s="15" t="n">
        <f aca="false">I487*(1+IF(J$3&lt;=$O$2,$D487,$D487-($D487-$I$481)*MIN(J$3-$O$2,$Q$2)/$Q$2))</f>
        <v>42124.637463993</v>
      </c>
      <c r="K487" s="15" t="n">
        <f aca="false">J487*(1+IF(K$3&lt;=$O$2,$D487,$D487-($D487-$I$481)*MIN(K$3-$O$2,$Q$2)/$Q$2))</f>
        <v>47651.1792760815</v>
      </c>
      <c r="L487" s="15" t="n">
        <f aca="false">K487*(1+IF(L$3&lt;=$O$2,$D487,$D487-($D487-$I$481)*MIN(L$3-$O$2,$Q$2)/$Q$2))</f>
        <v>52189.0010785428</v>
      </c>
      <c r="M487" s="15" t="n">
        <f aca="false">L487*(1+IF(M$3&lt;=$O$2,$D487,$D487-($D487-$I$481)*MIN(M$3-$O$2,$Q$2)/$Q$2))</f>
        <v>55281.9822274626</v>
      </c>
      <c r="N487" s="15" t="n">
        <f aca="false">M487*(1+IF(N$3&lt;=$O$2,$D487,$D487-($D487-$I$481)*MIN(N$3-$O$2,$Q$2)/$Q$2))</f>
        <v>56570.0524133625</v>
      </c>
      <c r="O487" s="15" t="n">
        <f aca="false">SUMPRODUCT(E487:N487,1/(1+$F$481)^$E$3:$N$3)*$E$2</f>
        <v>69413.9535666527</v>
      </c>
      <c r="P487" s="15" t="n">
        <f aca="false">N487*$E$2*(1+$I$481)/($F$481-$I$481)/(1+$F$481)^$N$3</f>
        <v>95335.4294074348</v>
      </c>
      <c r="Q487" s="15" t="n">
        <f aca="false">O487+P487</f>
        <v>164749.382974088</v>
      </c>
      <c r="R487" s="15" t="n">
        <f aca="false">Q487-$G$2+$I$2</f>
        <v>153129.382974088</v>
      </c>
      <c r="S487" s="40" t="n">
        <f aca="false">R487/$K$2</f>
        <v>519.487678441115</v>
      </c>
      <c r="T487" s="41" t="n">
        <f aca="false">S487-$M$2</f>
        <v>109.507015551405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0.15625</v>
      </c>
      <c r="C488" s="25" t="n">
        <f aca="false">IF(T487&gt;0,D487,C487)</f>
        <v>0.203125</v>
      </c>
      <c r="D488" s="39" t="n">
        <f aca="false">(B488+C488)/2</f>
        <v>0.1796875</v>
      </c>
      <c r="E488" s="15" t="n">
        <f aca="false">$C$2*(1+IF(E$3&lt;=$O$2,$D488,$D488-($D488-$I$481)*MIN(E$3-$O$2,$Q$2)/$Q$2))</f>
        <v>16889.5859375</v>
      </c>
      <c r="F488" s="15" t="n">
        <f aca="false">E488*(1+IF(F$3&lt;=$O$2,$D488,$D488-($D488-$I$481)*MIN(F$3-$O$2,$Q$2)/$Q$2))</f>
        <v>19924.4334106445</v>
      </c>
      <c r="G488" s="15" t="n">
        <f aca="false">F488*(1+IF(G$3&lt;=$O$2,$D488,$D488-($D488-$I$481)*MIN(G$3-$O$2,$Q$2)/$Q$2))</f>
        <v>23504.6050391197</v>
      </c>
      <c r="H488" s="15" t="n">
        <f aca="false">G488*(1+IF(H$3&lt;=$O$2,$D488,$D488-($D488-$I$481)*MIN(H$3-$O$2,$Q$2)/$Q$2))</f>
        <v>27728.0887570865</v>
      </c>
      <c r="I488" s="15" t="n">
        <f aca="false">H488*(1+IF(I$3&lt;=$O$2,$D488,$D488-($D488-$I$481)*MIN(I$3-$O$2,$Q$2)/$Q$2))</f>
        <v>32710.4797056255</v>
      </c>
      <c r="J488" s="15" t="n">
        <f aca="false">I488*(1+IF(J$3&lt;=$O$2,$D488,$D488-($D488-$I$481)*MIN(J$3-$O$2,$Q$2)/$Q$2))</f>
        <v>37565.0419987374</v>
      </c>
      <c r="K488" s="15" t="n">
        <f aca="false">J488*(1+IF(K$3&lt;=$O$2,$D488,$D488-($D488-$I$481)*MIN(K$3-$O$2,$Q$2)/$Q$2))</f>
        <v>41965.1292806545</v>
      </c>
      <c r="L488" s="15" t="n">
        <f aca="false">K488*(1+IF(L$3&lt;=$O$2,$D488,$D488-($D488-$I$481)*MIN(L$3-$O$2,$Q$2)/$Q$2))</f>
        <v>45568.0454550451</v>
      </c>
      <c r="M488" s="15" t="n">
        <f aca="false">L488*(1+IF(M$3&lt;=$O$2,$D488,$D488-($D488-$I$481)*MIN(M$3-$O$2,$Q$2)/$Q$2))</f>
        <v>48055.0354558678</v>
      </c>
      <c r="N488" s="15" t="n">
        <f aca="false">M488*(1+IF(N$3&lt;=$O$2,$D488,$D488-($D488-$I$481)*MIN(N$3-$O$2,$Q$2)/$Q$2))</f>
        <v>49174.7177819896</v>
      </c>
      <c r="O488" s="15" t="n">
        <f aca="false">SUMPRODUCT(E488:N488,1/(1+$F$481)^$E$3:$N$3)*$E$2</f>
        <v>62811.7843280973</v>
      </c>
      <c r="P488" s="15" t="n">
        <f aca="false">N488*$E$2*(1+$I$481)/($F$481-$I$481)/(1+$F$481)^$N$3</f>
        <v>82872.3438592399</v>
      </c>
      <c r="Q488" s="15" t="n">
        <f aca="false">O488+P488</f>
        <v>145684.128187337</v>
      </c>
      <c r="R488" s="15" t="n">
        <f aca="false">Q488-$G$2+$I$2</f>
        <v>134064.128187337</v>
      </c>
      <c r="S488" s="40" t="n">
        <f aca="false">R488/$K$2</f>
        <v>454.809268878574</v>
      </c>
      <c r="T488" s="41" t="n">
        <f aca="false">S488-$M$2</f>
        <v>44.8286059888629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0.15625</v>
      </c>
      <c r="C489" s="25" t="n">
        <f aca="false">IF(T488&gt;0,D488,C488)</f>
        <v>0.1796875</v>
      </c>
      <c r="D489" s="39" t="n">
        <f aca="false">(B489+C489)/2</f>
        <v>0.16796875</v>
      </c>
      <c r="E489" s="15" t="n">
        <f aca="false">$C$2*(1+IF(E$3&lt;=$O$2,$D489,$D489-($D489-$I$481)*MIN(E$3-$O$2,$Q$2)/$Q$2))</f>
        <v>16721.80859375</v>
      </c>
      <c r="F489" s="15" t="n">
        <f aca="false">E489*(1+IF(F$3&lt;=$O$2,$D489,$D489-($D489-$I$481)*MIN(F$3-$O$2,$Q$2)/$Q$2))</f>
        <v>19530.5498809814</v>
      </c>
      <c r="G489" s="15" t="n">
        <f aca="false">F489*(1+IF(G$3&lt;=$O$2,$D489,$D489-($D489-$I$481)*MIN(G$3-$O$2,$Q$2)/$Q$2))</f>
        <v>22811.0719313025</v>
      </c>
      <c r="H489" s="15" t="n">
        <f aca="false">G489*(1+IF(H$3&lt;=$O$2,$D489,$D489-($D489-$I$481)*MIN(H$3-$O$2,$Q$2)/$Q$2))</f>
        <v>26642.6191697635</v>
      </c>
      <c r="I489" s="15" t="n">
        <f aca="false">H489*(1+IF(I$3&lt;=$O$2,$D489,$D489-($D489-$I$481)*MIN(I$3-$O$2,$Q$2)/$Q$2))</f>
        <v>31117.7466084347</v>
      </c>
      <c r="J489" s="15" t="n">
        <f aca="false">I489*(1+IF(J$3&lt;=$O$2,$D489,$D489-($D489-$I$481)*MIN(J$3-$O$2,$Q$2)/$Q$2))</f>
        <v>35444.2025081385</v>
      </c>
      <c r="K489" s="15" t="n">
        <f aca="false">J489*(1+IF(K$3&lt;=$O$2,$D489,$D489-($D489-$I$481)*MIN(K$3-$O$2,$Q$2)/$Q$2))</f>
        <v>39346.6535095376</v>
      </c>
      <c r="L489" s="15" t="n">
        <f aca="false">K489*(1+IF(L$3&lt;=$O$2,$D489,$D489-($D489-$I$481)*MIN(L$3-$O$2,$Q$2)/$Q$2))</f>
        <v>42540.323008273</v>
      </c>
      <c r="M489" s="15" t="n">
        <f aca="false">L489*(1+IF(M$3&lt;=$O$2,$D489,$D489-($D489-$I$481)*MIN(M$3-$O$2,$Q$2)/$Q$2))</f>
        <v>44762.3636052064</v>
      </c>
      <c r="N489" s="15" t="n">
        <f aca="false">M489*(1+IF(N$3&lt;=$O$2,$D489,$D489-($D489-$I$481)*MIN(N$3-$O$2,$Q$2)/$Q$2))</f>
        <v>45805.3266772077</v>
      </c>
      <c r="O489" s="15" t="n">
        <f aca="false">SUMPRODUCT(E489:N489,1/(1+$F$481)^$E$3:$N$3)*$E$2</f>
        <v>59744.4682720868</v>
      </c>
      <c r="P489" s="15" t="n">
        <f aca="false">N489*$E$2*(1+$I$481)/($F$481-$I$481)/(1+$F$481)^$N$3</f>
        <v>77194.032913569</v>
      </c>
      <c r="Q489" s="15" t="n">
        <f aca="false">O489+P489</f>
        <v>136938.501185656</v>
      </c>
      <c r="R489" s="15" t="n">
        <f aca="false">Q489-$G$2+$I$2</f>
        <v>125318.501185656</v>
      </c>
      <c r="S489" s="40" t="n">
        <f aca="false">R489/$K$2</f>
        <v>425.139943636245</v>
      </c>
      <c r="T489" s="41" t="n">
        <f aca="false">S489-$M$2</f>
        <v>15.1592807465342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0.15625</v>
      </c>
      <c r="C490" s="25" t="n">
        <f aca="false">IF(T489&gt;0,D489,C489)</f>
        <v>0.16796875</v>
      </c>
      <c r="D490" s="39" t="n">
        <f aca="false">(B490+C490)/2</f>
        <v>0.162109375</v>
      </c>
      <c r="E490" s="15" t="n">
        <f aca="false">$C$2*(1+IF(E$3&lt;=$O$2,$D490,$D490-($D490-$I$481)*MIN(E$3-$O$2,$Q$2)/$Q$2))</f>
        <v>16637.919921875</v>
      </c>
      <c r="F490" s="15" t="n">
        <f aca="false">E490*(1+IF(F$3&lt;=$O$2,$D490,$D490-($D490-$I$481)*MIN(F$3-$O$2,$Q$2)/$Q$2))</f>
        <v>19335.0827217102</v>
      </c>
      <c r="G490" s="15" t="n">
        <f aca="false">F490*(1+IF(G$3&lt;=$O$2,$D490,$D490-($D490-$I$481)*MIN(G$3-$O$2,$Q$2)/$Q$2))</f>
        <v>22469.4808972999</v>
      </c>
      <c r="H490" s="15" t="n">
        <f aca="false">G490*(1+IF(H$3&lt;=$O$2,$D490,$D490-($D490-$I$481)*MIN(H$3-$O$2,$Q$2)/$Q$2))</f>
        <v>26111.9944021357</v>
      </c>
      <c r="I490" s="15" t="n">
        <f aca="false">H490*(1+IF(I$3&lt;=$O$2,$D490,$D490-($D490-$I$481)*MIN(I$3-$O$2,$Q$2)/$Q$2))</f>
        <v>30344.9934946694</v>
      </c>
      <c r="J490" s="15" t="n">
        <f aca="false">I490*(1+IF(J$3&lt;=$O$2,$D490,$D490-($D490-$I$481)*MIN(J$3-$O$2,$Q$2)/$Q$2))</f>
        <v>34421.7675081945</v>
      </c>
      <c r="K490" s="15" t="n">
        <f aca="false">J490*(1+IF(K$3&lt;=$O$2,$D490,$D490-($D490-$I$481)*MIN(K$3-$O$2,$Q$2)/$Q$2))</f>
        <v>38090.6331116601</v>
      </c>
      <c r="L490" s="15" t="n">
        <f aca="false">K490*(1+IF(L$3&lt;=$O$2,$D490,$D490-($D490-$I$481)*MIN(L$3-$O$2,$Q$2)/$Q$2))</f>
        <v>41093.0796533953</v>
      </c>
      <c r="M490" s="15" t="n">
        <f aca="false">L490*(1+IF(M$3&lt;=$O$2,$D490,$D490-($D490-$I$481)*MIN(M$3-$O$2,$Q$2)/$Q$2))</f>
        <v>43191.369350022</v>
      </c>
      <c r="N490" s="15" t="n">
        <f aca="false">M490*(1+IF(N$3&lt;=$O$2,$D490,$D490-($D490-$I$481)*MIN(N$3-$O$2,$Q$2)/$Q$2))</f>
        <v>44197.7282558775</v>
      </c>
      <c r="O490" s="15" t="n">
        <f aca="false">SUMPRODUCT(E490:N490,1/(1+$F$481)^$E$3:$N$3)*$E$2</f>
        <v>58266.2669027072</v>
      </c>
      <c r="P490" s="15" t="n">
        <f aca="false">N490*$E$2*(1+$I$481)/($F$481-$I$481)/(1+$F$481)^$N$3</f>
        <v>74484.8064010614</v>
      </c>
      <c r="Q490" s="15" t="n">
        <f aca="false">O490+P490</f>
        <v>132751.073303769</v>
      </c>
      <c r="R490" s="15" t="n">
        <f aca="false">Q490-$G$2+$I$2</f>
        <v>121131.073303769</v>
      </c>
      <c r="S490" s="40" t="n">
        <f aca="false">R490/$K$2</f>
        <v>410.93419718346</v>
      </c>
      <c r="T490" s="41" t="n">
        <f aca="false">S490-$M$2</f>
        <v>0.953534293749726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0.15625</v>
      </c>
      <c r="C491" s="25" t="n">
        <f aca="false">IF(T490&gt;0,D490,C490)</f>
        <v>0.162109375</v>
      </c>
      <c r="D491" s="39" t="n">
        <f aca="false">(B491+C491)/2</f>
        <v>0.1591796875</v>
      </c>
      <c r="E491" s="15" t="n">
        <f aca="false">$C$2*(1+IF(E$3&lt;=$O$2,$D491,$D491-($D491-$I$481)*MIN(E$3-$O$2,$Q$2)/$Q$2))</f>
        <v>16595.9755859375</v>
      </c>
      <c r="F491" s="15" t="n">
        <f aca="false">E491*(1+IF(F$3&lt;=$O$2,$D491,$D491-($D491-$I$481)*MIN(F$3-$O$2,$Q$2)/$Q$2))</f>
        <v>19237.7177934647</v>
      </c>
      <c r="G491" s="15" t="n">
        <f aca="false">F491*(1+IF(G$3&lt;=$O$2,$D491,$D491-($D491-$I$481)*MIN(G$3-$O$2,$Q$2)/$Q$2))</f>
        <v>22299.9717000416</v>
      </c>
      <c r="H491" s="15" t="n">
        <f aca="false">G491*(1+IF(H$3&lt;=$O$2,$D491,$D491-($D491-$I$481)*MIN(H$3-$O$2,$Q$2)/$Q$2))</f>
        <v>25849.674226513</v>
      </c>
      <c r="I491" s="15" t="n">
        <f aca="false">H491*(1+IF(I$3&lt;=$O$2,$D491,$D491-($D491-$I$481)*MIN(I$3-$O$2,$Q$2)/$Q$2))</f>
        <v>29964.4172918662</v>
      </c>
      <c r="J491" s="15" t="n">
        <f aca="false">I491*(1+IF(J$3&lt;=$O$2,$D491,$D491-($D491-$I$481)*MIN(J$3-$O$2,$Q$2)/$Q$2))</f>
        <v>33919.8327409573</v>
      </c>
      <c r="K491" s="15" t="n">
        <f aca="false">J491*(1+IF(K$3&lt;=$O$2,$D491,$D491-($D491-$I$481)*MIN(K$3-$O$2,$Q$2)/$Q$2))</f>
        <v>37475.5746075578</v>
      </c>
      <c r="L491" s="15" t="n">
        <f aca="false">K491*(1+IF(L$3&lt;=$O$2,$D491,$D491-($D491-$I$481)*MIN(L$3-$O$2,$Q$2)/$Q$2))</f>
        <v>40385.623242537</v>
      </c>
      <c r="M491" s="15" t="n">
        <f aca="false">L491*(1+IF(M$3&lt;=$O$2,$D491,$D491-($D491-$I$481)*MIN(M$3-$O$2,$Q$2)/$Q$2))</f>
        <v>42424.1254372259</v>
      </c>
      <c r="N491" s="15" t="n">
        <f aca="false">M491*(1+IF(N$3&lt;=$O$2,$D491,$D491-($D491-$I$481)*MIN(N$3-$O$2,$Q$2)/$Q$2))</f>
        <v>43412.6075599132</v>
      </c>
      <c r="O491" s="15" t="n">
        <f aca="false">SUMPRODUCT(E491:N491,1/(1+$F$481)^$E$3:$N$3)*$E$2</f>
        <v>57540.6705547898</v>
      </c>
      <c r="P491" s="15" t="n">
        <f aca="false">N491*$E$2*(1+$I$481)/($F$481-$I$481)/(1+$F$481)^$N$3</f>
        <v>73161.6713588753</v>
      </c>
      <c r="Q491" s="15" t="n">
        <f aca="false">O491+P491</f>
        <v>130702.341913665</v>
      </c>
      <c r="R491" s="15" t="n">
        <f aca="false">Q491-$G$2+$I$2</f>
        <v>119082.341913665</v>
      </c>
      <c r="S491" s="40" t="n">
        <f aca="false">R491/$K$2</f>
        <v>403.983926158243</v>
      </c>
      <c r="T491" s="41" t="n">
        <f aca="false">S491-$M$2</f>
        <v>-5.99673673146805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0.1591796875</v>
      </c>
      <c r="C492" s="25" t="n">
        <f aca="false">IF(T491&gt;0,D491,C491)</f>
        <v>0.162109375</v>
      </c>
      <c r="D492" s="39" t="n">
        <f aca="false">(B492+C492)/2</f>
        <v>0.16064453125</v>
      </c>
      <c r="E492" s="15" t="n">
        <f aca="false">$C$2*(1+IF(E$3&lt;=$O$2,$D492,$D492-($D492-$I$481)*MIN(E$3-$O$2,$Q$2)/$Q$2))</f>
        <v>16616.9477539063</v>
      </c>
      <c r="F492" s="15" t="n">
        <f aca="false">E492*(1+IF(F$3&lt;=$O$2,$D492,$D492-($D492-$I$481)*MIN(F$3-$O$2,$Q$2)/$Q$2))</f>
        <v>19286.3695366383</v>
      </c>
      <c r="G492" s="15" t="n">
        <f aca="false">F492*(1+IF(G$3&lt;=$O$2,$D492,$D492-($D492-$I$481)*MIN(G$3-$O$2,$Q$2)/$Q$2))</f>
        <v>22384.6193303658</v>
      </c>
      <c r="H492" s="15" t="n">
        <f aca="false">G492*(1+IF(H$3&lt;=$O$2,$D492,$D492-($D492-$I$481)*MIN(H$3-$O$2,$Q$2)/$Q$2))</f>
        <v>25980.5860099021</v>
      </c>
      <c r="I492" s="15" t="n">
        <f aca="false">H492*(1+IF(I$3&lt;=$O$2,$D492,$D492-($D492-$I$481)*MIN(I$3-$O$2,$Q$2)/$Q$2))</f>
        <v>30154.2250710631</v>
      </c>
      <c r="J492" s="15" t="n">
        <f aca="false">I492*(1+IF(J$3&lt;=$O$2,$D492,$D492-($D492-$I$481)*MIN(J$3-$O$2,$Q$2)/$Q$2))</f>
        <v>34170.0328412926</v>
      </c>
      <c r="K492" s="15" t="n">
        <f aca="false">J492*(1+IF(K$3&lt;=$O$2,$D492,$D492-($D492-$I$481)*MIN(K$3-$O$2,$Q$2)/$Q$2))</f>
        <v>37782.0348925254</v>
      </c>
      <c r="L492" s="15" t="n">
        <f aca="false">K492*(1+IF(L$3&lt;=$O$2,$D492,$D492-($D492-$I$481)*MIN(L$3-$O$2,$Q$2)/$Q$2))</f>
        <v>40738.0186543153</v>
      </c>
      <c r="M492" s="15" t="n">
        <f aca="false">L492*(1+IF(M$3&lt;=$O$2,$D492,$D492-($D492-$I$481)*MIN(M$3-$O$2,$Q$2)/$Q$2))</f>
        <v>42806.243304187</v>
      </c>
      <c r="N492" s="15" t="n">
        <f aca="false">M492*(1+IF(N$3&lt;=$O$2,$D492,$D492-($D492-$I$481)*MIN(N$3-$O$2,$Q$2)/$Q$2))</f>
        <v>43803.6287731745</v>
      </c>
      <c r="O492" s="15" t="n">
        <f aca="false">SUMPRODUCT(E492:N492,1/(1+$F$481)^$E$3:$N$3)*$E$2</f>
        <v>57902.353908205</v>
      </c>
      <c r="P492" s="15" t="n">
        <f aca="false">N492*$E$2*(1+$I$481)/($F$481-$I$481)/(1+$F$481)^$N$3</f>
        <v>73820.645032813</v>
      </c>
      <c r="Q492" s="15" t="n">
        <f aca="false">O492+P492</f>
        <v>131722.998941018</v>
      </c>
      <c r="R492" s="15" t="n">
        <f aca="false">Q492-$G$2+$I$2</f>
        <v>120102.998941018</v>
      </c>
      <c r="S492" s="40" t="n">
        <f aca="false">R492/$K$2</f>
        <v>407.446480106585</v>
      </c>
      <c r="T492" s="41" t="n">
        <f aca="false">S492-$M$2</f>
        <v>-2.53418278312569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0.16064453125</v>
      </c>
      <c r="C493" s="25" t="n">
        <f aca="false">IF(T492&gt;0,D492,C492)</f>
        <v>0.162109375</v>
      </c>
      <c r="D493" s="39" t="n">
        <f aca="false">(B493+C493)/2</f>
        <v>0.161376953125</v>
      </c>
      <c r="E493" s="15" t="n">
        <f aca="false">$C$2*(1+IF(E$3&lt;=$O$2,$D493,$D493-($D493-$I$481)*MIN(E$3-$O$2,$Q$2)/$Q$2))</f>
        <v>16627.4338378906</v>
      </c>
      <c r="F493" s="15" t="n">
        <f aca="false">E493*(1+IF(F$3&lt;=$O$2,$D493,$D493-($D493-$I$481)*MIN(F$3-$O$2,$Q$2)/$Q$2))</f>
        <v>19310.7184489369</v>
      </c>
      <c r="G493" s="15" t="n">
        <f aca="false">F493*(1+IF(G$3&lt;=$O$2,$D493,$D493-($D493-$I$481)*MIN(G$3-$O$2,$Q$2)/$Q$2))</f>
        <v>22427.0233548811</v>
      </c>
      <c r="H493" s="15" t="n">
        <f aca="false">G493*(1+IF(H$3&lt;=$O$2,$D493,$D493-($D493-$I$481)*MIN(H$3-$O$2,$Q$2)/$Q$2))</f>
        <v>26046.228051555</v>
      </c>
      <c r="I493" s="15" t="n">
        <f aca="false">H493*(1+IF(I$3&lt;=$O$2,$D493,$D493-($D493-$I$481)*MIN(I$3-$O$2,$Q$2)/$Q$2))</f>
        <v>30249.4889749139</v>
      </c>
      <c r="J493" s="15" t="n">
        <f aca="false">I493*(1+IF(J$3&lt;=$O$2,$D493,$D493-($D493-$I$481)*MIN(J$3-$O$2,$Q$2)/$Q$2))</f>
        <v>34295.7078850249</v>
      </c>
      <c r="K493" s="15" t="n">
        <f aca="false">J493*(1+IF(K$3&lt;=$O$2,$D493,$D493-($D493-$I$481)*MIN(K$3-$O$2,$Q$2)/$Q$2))</f>
        <v>37936.0659887636</v>
      </c>
      <c r="L493" s="15" t="n">
        <f aca="false">K493*(1+IF(L$3&lt;=$O$2,$D493,$D493-($D493-$I$481)*MIN(L$3-$O$2,$Q$2)/$Q$2))</f>
        <v>40915.2148884127</v>
      </c>
      <c r="M493" s="15" t="n">
        <f aca="false">L493*(1+IF(M$3&lt;=$O$2,$D493,$D493-($D493-$I$481)*MIN(M$3-$O$2,$Q$2)/$Q$2))</f>
        <v>42998.4290369621</v>
      </c>
      <c r="N493" s="15" t="n">
        <f aca="false">M493*(1+IF(N$3&lt;=$O$2,$D493,$D493-($D493-$I$481)*MIN(N$3-$O$2,$Q$2)/$Q$2))</f>
        <v>44000.2924335233</v>
      </c>
      <c r="O493" s="15" t="n">
        <f aca="false">SUMPRODUCT(E493:N493,1/(1+$F$481)^$E$3:$N$3)*$E$2</f>
        <v>58084.0309140821</v>
      </c>
      <c r="P493" s="15" t="n">
        <f aca="false">N493*$E$2*(1+$I$481)/($F$481-$I$481)/(1+$F$481)^$N$3</f>
        <v>74152.0750688184</v>
      </c>
      <c r="Q493" s="15" t="n">
        <f aca="false">O493+P493</f>
        <v>132236.1059829</v>
      </c>
      <c r="R493" s="15" t="n">
        <f aca="false">Q493-$G$2+$I$2</f>
        <v>120616.1059829</v>
      </c>
      <c r="S493" s="40" t="n">
        <f aca="false">R493/$K$2</f>
        <v>409.187183169592</v>
      </c>
      <c r="T493" s="41" t="n">
        <f aca="false">S493-$M$2</f>
        <v>-0.79347972011908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0.161376953125</v>
      </c>
      <c r="C494" s="25" t="n">
        <f aca="false">IF(T493&gt;0,D493,C493)</f>
        <v>0.162109375</v>
      </c>
      <c r="D494" s="39" t="n">
        <f aca="false">(B494+C494)/2</f>
        <v>0.1617431640625</v>
      </c>
      <c r="E494" s="15" t="n">
        <f aca="false">$C$2*(1+IF(E$3&lt;=$O$2,$D494,$D494-($D494-$I$481)*MIN(E$3-$O$2,$Q$2)/$Q$2))</f>
        <v>16632.6768798828</v>
      </c>
      <c r="F494" s="15" t="n">
        <f aca="false">E494*(1+IF(F$3&lt;=$O$2,$D494,$D494-($D494-$I$481)*MIN(F$3-$O$2,$Q$2)/$Q$2))</f>
        <v>19322.8986652643</v>
      </c>
      <c r="G494" s="15" t="n">
        <f aca="false">F494*(1+IF(G$3&lt;=$O$2,$D494,$D494-($D494-$I$481)*MIN(G$3-$O$2,$Q$2)/$Q$2))</f>
        <v>22448.2454342431</v>
      </c>
      <c r="H494" s="15" t="n">
        <f aca="false">G494*(1+IF(H$3&lt;=$O$2,$D494,$D494-($D494-$I$481)*MIN(H$3-$O$2,$Q$2)/$Q$2))</f>
        <v>26079.0956784292</v>
      </c>
      <c r="I494" s="15" t="n">
        <f aca="false">H494*(1+IF(I$3&lt;=$O$2,$D494,$D494-($D494-$I$481)*MIN(I$3-$O$2,$Q$2)/$Q$2))</f>
        <v>30297.211129347</v>
      </c>
      <c r="J494" s="15" t="n">
        <f aca="false">I494*(1+IF(J$3&lt;=$O$2,$D494,$D494-($D494-$I$481)*MIN(J$3-$O$2,$Q$2)/$Q$2))</f>
        <v>34358.6895654739</v>
      </c>
      <c r="K494" s="15" t="n">
        <f aca="false">J494*(1+IF(K$3&lt;=$O$2,$D494,$D494-($D494-$I$481)*MIN(K$3-$O$2,$Q$2)/$Q$2))</f>
        <v>38013.2824502407</v>
      </c>
      <c r="L494" s="15" t="n">
        <f aca="false">K494*(1+IF(L$3&lt;=$O$2,$D494,$D494-($D494-$I$481)*MIN(L$3-$O$2,$Q$2)/$Q$2))</f>
        <v>41004.0635708564</v>
      </c>
      <c r="M494" s="15" t="n">
        <f aca="false">L494*(1+IF(M$3&lt;=$O$2,$D494,$D494-($D494-$I$481)*MIN(M$3-$O$2,$Q$2)/$Q$2))</f>
        <v>43094.8047120912</v>
      </c>
      <c r="N494" s="15" t="n">
        <f aca="false">M494*(1+IF(N$3&lt;=$O$2,$D494,$D494-($D494-$I$481)*MIN(N$3-$O$2,$Q$2)/$Q$2))</f>
        <v>44098.913661883</v>
      </c>
      <c r="O494" s="15" t="n">
        <f aca="false">SUMPRODUCT(E494:N494,1/(1+$F$481)^$E$3:$N$3)*$E$2</f>
        <v>58175.0789370618</v>
      </c>
      <c r="P494" s="15" t="n">
        <f aca="false">N494*$E$2*(1+$I$481)/($F$481-$I$481)/(1+$F$481)^$N$3</f>
        <v>74318.2777989424</v>
      </c>
      <c r="Q494" s="15" t="n">
        <f aca="false">O494+P494</f>
        <v>132493.356736004</v>
      </c>
      <c r="R494" s="15" t="n">
        <f aca="false">Q494-$G$2+$I$2</f>
        <v>120873.356736004</v>
      </c>
      <c r="S494" s="40" t="n">
        <f aca="false">R494/$K$2</f>
        <v>410.059900044116</v>
      </c>
      <c r="T494" s="41" t="n">
        <f aca="false">S494-$M$2</f>
        <v>0.0792371544058028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0.161376953125</v>
      </c>
      <c r="C495" s="25" t="n">
        <f aca="false">IF(T494&gt;0,D494,C494)</f>
        <v>0.1617431640625</v>
      </c>
      <c r="D495" s="39" t="n">
        <f aca="false">(B495+C495)/2</f>
        <v>0.16156005859375</v>
      </c>
      <c r="E495" s="15" t="n">
        <f aca="false">$C$2*(1+IF(E$3&lt;=$O$2,$D495,$D495-($D495-$I$481)*MIN(E$3-$O$2,$Q$2)/$Q$2))</f>
        <v>16630.0553588867</v>
      </c>
      <c r="F495" s="15" t="n">
        <f aca="false">E495*(1+IF(F$3&lt;=$O$2,$D495,$D495-($D495-$I$481)*MIN(F$3-$O$2,$Q$2)/$Q$2))</f>
        <v>19316.8080770858</v>
      </c>
      <c r="G495" s="15" t="n">
        <f aca="false">F495*(1+IF(G$3&lt;=$O$2,$D495,$D495-($D495-$I$481)*MIN(G$3-$O$2,$Q$2)/$Q$2))</f>
        <v>22437.632721864</v>
      </c>
      <c r="H495" s="15" t="n">
        <f aca="false">G495*(1+IF(H$3&lt;=$O$2,$D495,$D495-($D495-$I$481)*MIN(H$3-$O$2,$Q$2)/$Q$2))</f>
        <v>26062.6579791133</v>
      </c>
      <c r="I495" s="15" t="n">
        <f aca="false">H495*(1+IF(I$3&lt;=$O$2,$D495,$D495-($D495-$I$481)*MIN(I$3-$O$2,$Q$2)/$Q$2))</f>
        <v>30273.3425293278</v>
      </c>
      <c r="J495" s="15" t="n">
        <f aca="false">I495*(1+IF(J$3&lt;=$O$2,$D495,$D495-($D495-$I$481)*MIN(J$3-$O$2,$Q$2)/$Q$2))</f>
        <v>34327.1866998079</v>
      </c>
      <c r="K495" s="15" t="n">
        <f aca="false">J495*(1+IF(K$3&lt;=$O$2,$D495,$D495-($D495-$I$481)*MIN(K$3-$O$2,$Q$2)/$Q$2))</f>
        <v>37974.6574565979</v>
      </c>
      <c r="L495" s="15" t="n">
        <f aca="false">K495*(1+IF(L$3&lt;=$O$2,$D495,$D495-($D495-$I$481)*MIN(L$3-$O$2,$Q$2)/$Q$2))</f>
        <v>40959.6183213473</v>
      </c>
      <c r="M495" s="15" t="n">
        <f aca="false">L495*(1+IF(M$3&lt;=$O$2,$D495,$D495-($D495-$I$481)*MIN(M$3-$O$2,$Q$2)/$Q$2))</f>
        <v>43046.5932740521</v>
      </c>
      <c r="N495" s="15" t="n">
        <f aca="false">M495*(1+IF(N$3&lt;=$O$2,$D495,$D495-($D495-$I$481)*MIN(N$3-$O$2,$Q$2)/$Q$2))</f>
        <v>44049.5788973375</v>
      </c>
      <c r="O495" s="15" t="n">
        <f aca="false">SUMPRODUCT(E495:N495,1/(1+$F$481)^$E$3:$N$3)*$E$2</f>
        <v>58129.5374450593</v>
      </c>
      <c r="P495" s="15" t="n">
        <f aca="false">N495*$E$2*(1+$I$481)/($F$481-$I$481)/(1+$F$481)^$N$3</f>
        <v>74235.1357341573</v>
      </c>
      <c r="Q495" s="15" t="n">
        <f aca="false">O495+P495</f>
        <v>132364.673179217</v>
      </c>
      <c r="R495" s="15" t="n">
        <f aca="false">Q495-$G$2+$I$2</f>
        <v>120744.673179217</v>
      </c>
      <c r="S495" s="40" t="n">
        <f aca="false">R495/$K$2</f>
        <v>409.62334423183</v>
      </c>
      <c r="T495" s="41" t="n">
        <f aca="false">S495-$M$2</f>
        <v>-0.357318657880626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0.16156005859375</v>
      </c>
      <c r="C496" s="25" t="n">
        <f aca="false">IF(T495&gt;0,D495,C495)</f>
        <v>0.1617431640625</v>
      </c>
      <c r="D496" s="39" t="n">
        <f aca="false">(B496+C496)/2</f>
        <v>0.161651611328125</v>
      </c>
      <c r="E496" s="15" t="n">
        <f aca="false">$C$2*(1+IF(E$3&lt;=$O$2,$D496,$D496-($D496-$I$481)*MIN(E$3-$O$2,$Q$2)/$Q$2))</f>
        <v>16631.3661193848</v>
      </c>
      <c r="F496" s="15" t="n">
        <f aca="false">E496*(1+IF(F$3&lt;=$O$2,$D496,$D496-($D496-$I$481)*MIN(F$3-$O$2,$Q$2)/$Q$2))</f>
        <v>19319.8532511713</v>
      </c>
      <c r="G496" s="15" t="n">
        <f aca="false">F496*(1+IF(G$3&lt;=$O$2,$D496,$D496-($D496-$I$481)*MIN(G$3-$O$2,$Q$2)/$Q$2))</f>
        <v>22442.9386598461</v>
      </c>
      <c r="H496" s="15" t="n">
        <f aca="false">G496*(1+IF(H$3&lt;=$O$2,$D496,$D496-($D496-$I$481)*MIN(H$3-$O$2,$Q$2)/$Q$2))</f>
        <v>26070.8758571484</v>
      </c>
      <c r="I496" s="15" t="n">
        <f aca="false">H496*(1+IF(I$3&lt;=$O$2,$D496,$D496-($D496-$I$481)*MIN(I$3-$O$2,$Q$2)/$Q$2))</f>
        <v>30285.274948192</v>
      </c>
      <c r="J496" s="15" t="n">
        <f aca="false">I496*(1+IF(J$3&lt;=$O$2,$D496,$D496-($D496-$I$481)*MIN(J$3-$O$2,$Q$2)/$Q$2))</f>
        <v>34342.935125363</v>
      </c>
      <c r="K496" s="15" t="n">
        <f aca="false">J496*(1+IF(K$3&lt;=$O$2,$D496,$D496-($D496-$I$481)*MIN(K$3-$O$2,$Q$2)/$Q$2))</f>
        <v>37993.9657611827</v>
      </c>
      <c r="L496" s="15" t="n">
        <f aca="false">K496*(1+IF(L$3&lt;=$O$2,$D496,$D496-($D496-$I$481)*MIN(L$3-$O$2,$Q$2)/$Q$2))</f>
        <v>40981.8357169403</v>
      </c>
      <c r="M496" s="15" t="n">
        <f aca="false">L496*(1+IF(M$3&lt;=$O$2,$D496,$D496-($D496-$I$481)*MIN(M$3-$O$2,$Q$2)/$Q$2))</f>
        <v>43070.6930904697</v>
      </c>
      <c r="N496" s="15" t="n">
        <f aca="false">M496*(1+IF(N$3&lt;=$O$2,$D496,$D496-($D496-$I$481)*MIN(N$3-$O$2,$Q$2)/$Q$2))</f>
        <v>44074.2402394776</v>
      </c>
      <c r="O496" s="15" t="n">
        <f aca="false">SUMPRODUCT(E496:N496,1/(1+$F$481)^$E$3:$N$3)*$E$2</f>
        <v>58152.3038193929</v>
      </c>
      <c r="P496" s="15" t="n">
        <f aca="false">N496*$E$2*(1+$I$481)/($F$481-$I$481)/(1+$F$481)^$N$3</f>
        <v>74276.6965873364</v>
      </c>
      <c r="Q496" s="15" t="n">
        <f aca="false">O496+P496</f>
        <v>132429.000406729</v>
      </c>
      <c r="R496" s="15" t="n">
        <f aca="false">Q496-$G$2+$I$2</f>
        <v>120809.000406729</v>
      </c>
      <c r="S496" s="40" t="n">
        <f aca="false">R496/$K$2</f>
        <v>409.841572774466</v>
      </c>
      <c r="T496" s="41" t="n">
        <f aca="false">S496-$M$2</f>
        <v>-0.139090115244699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0.161651611328125</v>
      </c>
      <c r="C497" s="25" t="n">
        <f aca="false">IF(T496&gt;0,D496,C496)</f>
        <v>0.1617431640625</v>
      </c>
      <c r="D497" s="39" t="n">
        <f aca="false">(B497+C497)/2</f>
        <v>0.161697387695313</v>
      </c>
      <c r="E497" s="15" t="n">
        <f aca="false">$C$2*(1+IF(E$3&lt;=$O$2,$D497,$D497-($D497-$I$481)*MIN(E$3-$O$2,$Q$2)/$Q$2))</f>
        <v>16632.0214996338</v>
      </c>
      <c r="F497" s="15" t="n">
        <f aca="false">E497*(1+IF(F$3&lt;=$O$2,$D497,$D497-($D497-$I$481)*MIN(F$3-$O$2,$Q$2)/$Q$2))</f>
        <v>19321.3759282168</v>
      </c>
      <c r="G497" s="15" t="n">
        <f aca="false">F497*(1+IF(G$3&lt;=$O$2,$D497,$D497-($D497-$I$481)*MIN(G$3-$O$2,$Q$2)/$Q$2))</f>
        <v>22445.5919424886</v>
      </c>
      <c r="H497" s="15" t="n">
        <f aca="false">G497*(1+IF(H$3&lt;=$O$2,$D497,$D497-($D497-$I$481)*MIN(H$3-$O$2,$Q$2)/$Q$2))</f>
        <v>26074.985524864</v>
      </c>
      <c r="I497" s="15" t="n">
        <f aca="false">H497*(1+IF(I$3&lt;=$O$2,$D497,$D497-($D497-$I$481)*MIN(I$3-$O$2,$Q$2)/$Q$2))</f>
        <v>30291.2425684276</v>
      </c>
      <c r="J497" s="15" t="n">
        <f aca="false">I497*(1+IF(J$3&lt;=$O$2,$D497,$D497-($D497-$I$481)*MIN(J$3-$O$2,$Q$2)/$Q$2))</f>
        <v>34350.8115934843</v>
      </c>
      <c r="K497" s="15" t="n">
        <f aca="false">J497*(1+IF(K$3&lt;=$O$2,$D497,$D497-($D497-$I$481)*MIN(K$3-$O$2,$Q$2)/$Q$2))</f>
        <v>38003.6230574637</v>
      </c>
      <c r="L497" s="15" t="n">
        <f aca="false">K497*(1+IF(L$3&lt;=$O$2,$D497,$D497-($D497-$I$481)*MIN(L$3-$O$2,$Q$2)/$Q$2))</f>
        <v>40992.9483363467</v>
      </c>
      <c r="M497" s="15" t="n">
        <f aca="false">L497*(1+IF(M$3&lt;=$O$2,$D497,$D497-($D497-$I$481)*MIN(M$3-$O$2,$Q$2)/$Q$2))</f>
        <v>43082.7474253194</v>
      </c>
      <c r="N497" s="15" t="n">
        <f aca="false">M497*(1+IF(N$3&lt;=$O$2,$D497,$D497-($D497-$I$481)*MIN(N$3-$O$2,$Q$2)/$Q$2))</f>
        <v>44086.5754403294</v>
      </c>
      <c r="O497" s="15" t="n">
        <f aca="false">SUMPRODUCT(E497:N497,1/(1+$F$481)^$E$3:$N$3)*$E$2</f>
        <v>58163.6902851179</v>
      </c>
      <c r="P497" s="15" t="n">
        <f aca="false">N497*$E$2*(1+$I$481)/($F$481-$I$481)/(1+$F$481)^$N$3</f>
        <v>74297.4846478006</v>
      </c>
      <c r="Q497" s="15" t="n">
        <f aca="false">O497+P497</f>
        <v>132461.174932918</v>
      </c>
      <c r="R497" s="15" t="n">
        <f aca="false">Q497-$G$2+$I$2</f>
        <v>120841.174932918</v>
      </c>
      <c r="S497" s="40" t="n">
        <f aca="false">R497/$K$2</f>
        <v>409.950724065945</v>
      </c>
      <c r="T497" s="41" t="n">
        <f aca="false">S497-$M$2</f>
        <v>-0.0299388237659741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0.161697387695313</v>
      </c>
      <c r="C498" s="25" t="n">
        <f aca="false">IF(T497&gt;0,D497,C497)</f>
        <v>0.1617431640625</v>
      </c>
      <c r="D498" s="39" t="n">
        <f aca="false">(B498+C498)/2</f>
        <v>0.161720275878906</v>
      </c>
      <c r="E498" s="15" t="n">
        <f aca="false">$C$2*(1+IF(E$3&lt;=$O$2,$D498,$D498-($D498-$I$481)*MIN(E$3-$O$2,$Q$2)/$Q$2))</f>
        <v>16632.3491897583</v>
      </c>
      <c r="F498" s="15" t="n">
        <f aca="false">E498*(1+IF(F$3&lt;=$O$2,$D498,$D498-($D498-$I$481)*MIN(F$3-$O$2,$Q$2)/$Q$2))</f>
        <v>19322.1372892403</v>
      </c>
      <c r="G498" s="15" t="n">
        <f aca="false">F498*(1+IF(G$3&lt;=$O$2,$D498,$D498-($D498-$I$481)*MIN(G$3-$O$2,$Q$2)/$Q$2))</f>
        <v>22446.9186622264</v>
      </c>
      <c r="H498" s="15" t="n">
        <f aca="false">G498*(1+IF(H$3&lt;=$O$2,$D498,$D498-($D498-$I$481)*MIN(H$3-$O$2,$Q$2)/$Q$2))</f>
        <v>26077.040540913</v>
      </c>
      <c r="I498" s="15" t="n">
        <f aca="false">H498*(1+IF(I$3&lt;=$O$2,$D498,$D498-($D498-$I$481)*MIN(I$3-$O$2,$Q$2)/$Q$2))</f>
        <v>30294.2267312948</v>
      </c>
      <c r="J498" s="15" t="n">
        <f aca="false">I498*(1+IF(J$3&lt;=$O$2,$D498,$D498-($D498-$I$481)*MIN(J$3-$O$2,$Q$2)/$Q$2))</f>
        <v>34354.7503914812</v>
      </c>
      <c r="K498" s="15" t="n">
        <f aca="false">J498*(1+IF(K$3&lt;=$O$2,$D498,$D498-($D498-$I$481)*MIN(K$3-$O$2,$Q$2)/$Q$2))</f>
        <v>38008.4524917666</v>
      </c>
      <c r="L498" s="15" t="n">
        <f aca="false">K498*(1+IF(L$3&lt;=$O$2,$D498,$D498-($D498-$I$481)*MIN(L$3-$O$2,$Q$2)/$Q$2))</f>
        <v>40998.505626681</v>
      </c>
      <c r="M498" s="15" t="n">
        <f aca="false">L498*(1+IF(M$3&lt;=$O$2,$D498,$D498-($D498-$I$481)*MIN(M$3-$O$2,$Q$2)/$Q$2))</f>
        <v>43088.7756996763</v>
      </c>
      <c r="N498" s="15" t="n">
        <f aca="false">M498*(1+IF(N$3&lt;=$O$2,$D498,$D498-($D498-$I$481)*MIN(N$3-$O$2,$Q$2)/$Q$2))</f>
        <v>44092.7441734787</v>
      </c>
      <c r="O498" s="15" t="n">
        <f aca="false">SUMPRODUCT(E498:N498,1/(1+$F$481)^$E$3:$N$3)*$E$2</f>
        <v>58169.3843377884</v>
      </c>
      <c r="P498" s="15" t="n">
        <f aca="false">N498*$E$2*(1+$I$481)/($F$481-$I$481)/(1+$F$481)^$N$3</f>
        <v>74307.8805869698</v>
      </c>
      <c r="Q498" s="15" t="n">
        <f aca="false">O498+P498</f>
        <v>132477.264924758</v>
      </c>
      <c r="R498" s="15" t="n">
        <f aca="false">Q498-$G$2+$I$2</f>
        <v>120857.264924758</v>
      </c>
      <c r="S498" s="40" t="n">
        <f aca="false">R498/$K$2</f>
        <v>410.005308968885</v>
      </c>
      <c r="T498" s="41" t="n">
        <f aca="false">S498-$M$2</f>
        <v>0.0246460791745449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0.161697387695313</v>
      </c>
      <c r="C499" s="25" t="n">
        <f aca="false">IF(T498&gt;0,D498,C498)</f>
        <v>0.161720275878906</v>
      </c>
      <c r="D499" s="39" t="n">
        <f aca="false">(B499+C499)/2</f>
        <v>0.161708831787109</v>
      </c>
      <c r="E499" s="15" t="n">
        <f aca="false">$C$2*(1+IF(E$3&lt;=$O$2,$D499,$D499-($D499-$I$481)*MIN(E$3-$O$2,$Q$2)/$Q$2))</f>
        <v>16632.185344696</v>
      </c>
      <c r="F499" s="15" t="n">
        <f aca="false">E499*(1+IF(F$3&lt;=$O$2,$D499,$D499-($D499-$I$481)*MIN(F$3-$O$2,$Q$2)/$Q$2))</f>
        <v>19321.7566068535</v>
      </c>
      <c r="G499" s="15" t="n">
        <f aca="false">F499*(1+IF(G$3&lt;=$O$2,$D499,$D499-($D499-$I$481)*MIN(G$3-$O$2,$Q$2)/$Q$2))</f>
        <v>22446.2552958227</v>
      </c>
      <c r="H499" s="15" t="n">
        <f aca="false">G499*(1+IF(H$3&lt;=$O$2,$D499,$D499-($D499-$I$481)*MIN(H$3-$O$2,$Q$2)/$Q$2))</f>
        <v>26076.0130177054</v>
      </c>
      <c r="I499" s="15" t="n">
        <f aca="false">H499*(1+IF(I$3&lt;=$O$2,$D499,$D499-($D499-$I$481)*MIN(I$3-$O$2,$Q$2)/$Q$2))</f>
        <v>30292.734620464</v>
      </c>
      <c r="J499" s="15" t="n">
        <f aca="false">I499*(1+IF(J$3&lt;=$O$2,$D499,$D499-($D499-$I$481)*MIN(J$3-$O$2,$Q$2)/$Q$2))</f>
        <v>34352.7809454851</v>
      </c>
      <c r="K499" s="15" t="n">
        <f aca="false">J499*(1+IF(K$3&lt;=$O$2,$D499,$D499-($D499-$I$481)*MIN(K$3-$O$2,$Q$2)/$Q$2))</f>
        <v>38006.0377090967</v>
      </c>
      <c r="L499" s="15" t="n">
        <f aca="false">K499*(1+IF(L$3&lt;=$O$2,$D499,$D499-($D499-$I$481)*MIN(L$3-$O$2,$Q$2)/$Q$2))</f>
        <v>40995.7268997878</v>
      </c>
      <c r="M499" s="15" t="n">
        <f aca="false">L499*(1+IF(M$3&lt;=$O$2,$D499,$D499-($D499-$I$481)*MIN(M$3-$O$2,$Q$2)/$Q$2))</f>
        <v>43085.7614702455</v>
      </c>
      <c r="N499" s="15" t="n">
        <f aca="false">M499*(1+IF(N$3&lt;=$O$2,$D499,$D499-($D499-$I$481)*MIN(N$3-$O$2,$Q$2)/$Q$2))</f>
        <v>44089.6597125022</v>
      </c>
      <c r="O499" s="15" t="n">
        <f aca="false">SUMPRODUCT(E499:N499,1/(1+$F$481)^$E$3:$N$3)*$E$2</f>
        <v>58166.5372431309</v>
      </c>
      <c r="P499" s="15" t="n">
        <f aca="false">N499*$E$2*(1+$I$481)/($F$481-$I$481)/(1+$F$481)^$N$3</f>
        <v>74302.6824582932</v>
      </c>
      <c r="Q499" s="15" t="n">
        <f aca="false">O499+P499</f>
        <v>132469.219701424</v>
      </c>
      <c r="R499" s="15" t="n">
        <f aca="false">Q499-$G$2+$I$2</f>
        <v>120849.219701424</v>
      </c>
      <c r="S499" s="40" t="n">
        <f aca="false">R499/$K$2</f>
        <v>409.978015745917</v>
      </c>
      <c r="T499" s="41" t="n">
        <f aca="false">S499-$M$2</f>
        <v>-0.00264714379335373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0.161708831787109</v>
      </c>
      <c r="C500" s="25" t="n">
        <f aca="false">IF(T499&gt;0,D499,C499)</f>
        <v>0.161720275878906</v>
      </c>
      <c r="D500" s="39" t="n">
        <f aca="false">(B500+C500)/2</f>
        <v>0.161714553833008</v>
      </c>
      <c r="E500" s="15" t="n">
        <f aca="false">$C$2*(1+IF(E$3&lt;=$O$2,$D500,$D500-($D500-$I$481)*MIN(E$3-$O$2,$Q$2)/$Q$2))</f>
        <v>16632.2672672272</v>
      </c>
      <c r="F500" s="15" t="n">
        <f aca="false">E500*(1+IF(F$3&lt;=$O$2,$D500,$D500-($D500-$I$481)*MIN(F$3-$O$2,$Q$2)/$Q$2))</f>
        <v>19321.9469475782</v>
      </c>
      <c r="G500" s="15" t="n">
        <f aca="false">F500*(1+IF(G$3&lt;=$O$2,$D500,$D500-($D500-$I$481)*MIN(G$3-$O$2,$Q$2)/$Q$2))</f>
        <v>22446.5869773908</v>
      </c>
      <c r="H500" s="15" t="n">
        <f aca="false">G500*(1+IF(H$3&lt;=$O$2,$D500,$D500-($D500-$I$481)*MIN(H$3-$O$2,$Q$2)/$Q$2))</f>
        <v>26076.5267755134</v>
      </c>
      <c r="I500" s="15" t="n">
        <f aca="false">H500*(1+IF(I$3&lt;=$O$2,$D500,$D500-($D500-$I$481)*MIN(I$3-$O$2,$Q$2)/$Q$2))</f>
        <v>30293.48066853</v>
      </c>
      <c r="J500" s="15" t="n">
        <f aca="false">I500*(1+IF(J$3&lt;=$O$2,$D500,$D500-($D500-$I$481)*MIN(J$3-$O$2,$Q$2)/$Q$2))</f>
        <v>34353.7656567335</v>
      </c>
      <c r="K500" s="15" t="n">
        <f aca="false">J500*(1+IF(K$3&lt;=$O$2,$D500,$D500-($D500-$I$481)*MIN(K$3-$O$2,$Q$2)/$Q$2))</f>
        <v>38007.2450840517</v>
      </c>
      <c r="L500" s="15" t="n">
        <f aca="false">K500*(1+IF(L$3&lt;=$O$2,$D500,$D500-($D500-$I$481)*MIN(L$3-$O$2,$Q$2)/$Q$2))</f>
        <v>40997.1162428024</v>
      </c>
      <c r="M500" s="15" t="n">
        <f aca="false">L500*(1+IF(M$3&lt;=$O$2,$D500,$D500-($D500-$I$481)*MIN(M$3-$O$2,$Q$2)/$Q$2))</f>
        <v>43087.2685618972</v>
      </c>
      <c r="N500" s="15" t="n">
        <f aca="false">M500*(1+IF(N$3&lt;=$O$2,$D500,$D500-($D500-$I$481)*MIN(N$3-$O$2,$Q$2)/$Q$2))</f>
        <v>44091.2019193894</v>
      </c>
      <c r="O500" s="15" t="n">
        <f aca="false">SUMPRODUCT(E500:N500,1/(1+$F$481)^$E$3:$N$3)*$E$2</f>
        <v>58167.9607733787</v>
      </c>
      <c r="P500" s="15" t="n">
        <f aca="false">N500*$E$2*(1+$I$481)/($F$481-$I$481)/(1+$F$481)^$N$3</f>
        <v>74305.2814828575</v>
      </c>
      <c r="Q500" s="15" t="n">
        <f aca="false">O500+P500</f>
        <v>132473.242256236</v>
      </c>
      <c r="R500" s="15" t="n">
        <f aca="false">Q500-$G$2+$I$2</f>
        <v>120853.242256236</v>
      </c>
      <c r="S500" s="40" t="n">
        <f aca="false">R500/$K$2</f>
        <v>409.991662164522</v>
      </c>
      <c r="T500" s="41" t="n">
        <f aca="false">S500-$M$2</f>
        <v>0.0109992748114678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0.161708831787109</v>
      </c>
      <c r="C501" s="25" t="n">
        <f aca="false">IF(T500&gt;0,D500,C500)</f>
        <v>0.161714553833008</v>
      </c>
      <c r="D501" s="39" t="n">
        <f aca="false">(B501+C501)/2</f>
        <v>0.161711692810059</v>
      </c>
      <c r="E501" s="15" t="n">
        <f aca="false">$C$2*(1+IF(E$3&lt;=$O$2,$D501,$D501-($D501-$I$481)*MIN(E$3-$O$2,$Q$2)/$Q$2))</f>
        <v>16632.2263059616</v>
      </c>
      <c r="F501" s="15" t="n">
        <f aca="false">E501*(1+IF(F$3&lt;=$O$2,$D501,$D501-($D501-$I$481)*MIN(F$3-$O$2,$Q$2)/$Q$2))</f>
        <v>19321.8517770986</v>
      </c>
      <c r="G501" s="15" t="n">
        <f aca="false">F501*(1+IF(G$3&lt;=$O$2,$D501,$D501-($D501-$I$481)*MIN(G$3-$O$2,$Q$2)/$Q$2))</f>
        <v>22446.4211361983</v>
      </c>
      <c r="H501" s="15" t="n">
        <f aca="false">G501*(1+IF(H$3&lt;=$O$2,$D501,$D501-($D501-$I$481)*MIN(H$3-$O$2,$Q$2)/$Q$2))</f>
        <v>26076.2698956604</v>
      </c>
      <c r="I501" s="15" t="n">
        <f aca="false">H501*(1+IF(I$3&lt;=$O$2,$D501,$D501-($D501-$I$481)*MIN(I$3-$O$2,$Q$2)/$Q$2))</f>
        <v>30293.1076426596</v>
      </c>
      <c r="J501" s="15" t="n">
        <f aca="false">I501*(1+IF(J$3&lt;=$O$2,$D501,$D501-($D501-$I$481)*MIN(J$3-$O$2,$Q$2)/$Q$2))</f>
        <v>34353.2732981719</v>
      </c>
      <c r="K501" s="15" t="n">
        <f aca="false">J501*(1+IF(K$3&lt;=$O$2,$D501,$D501-($D501-$I$481)*MIN(K$3-$O$2,$Q$2)/$Q$2))</f>
        <v>38006.6413924792</v>
      </c>
      <c r="L501" s="15" t="n">
        <f aca="false">K501*(1+IF(L$3&lt;=$O$2,$D501,$D501-($D501-$I$481)*MIN(L$3-$O$2,$Q$2)/$Q$2))</f>
        <v>40996.4215661871</v>
      </c>
      <c r="M501" s="15" t="n">
        <f aca="false">L501*(1+IF(M$3&lt;=$O$2,$D501,$D501-($D501-$I$481)*MIN(M$3-$O$2,$Q$2)/$Q$2))</f>
        <v>43086.5150103054</v>
      </c>
      <c r="N501" s="15" t="n">
        <f aca="false">M501*(1+IF(N$3&lt;=$O$2,$D501,$D501-($D501-$I$481)*MIN(N$3-$O$2,$Q$2)/$Q$2))</f>
        <v>44090.4308100455</v>
      </c>
      <c r="O501" s="15" t="n">
        <f aca="false">SUMPRODUCT(E501:N501,1/(1+$F$481)^$E$3:$N$3)*$E$2</f>
        <v>58167.2490039846</v>
      </c>
      <c r="P501" s="15" t="n">
        <f aca="false">N501*$E$2*(1+$I$481)/($F$481-$I$481)/(1+$F$481)^$N$3</f>
        <v>74303.9819606319</v>
      </c>
      <c r="Q501" s="15" t="n">
        <f aca="false">O501+P501</f>
        <v>132471.230964616</v>
      </c>
      <c r="R501" s="15" t="n">
        <f aca="false">Q501-$G$2+$I$2</f>
        <v>120851.230964616</v>
      </c>
      <c r="S501" s="40" t="n">
        <f aca="false">R501/$K$2</f>
        <v>409.984838907</v>
      </c>
      <c r="T501" s="41" t="n">
        <f aca="false">S501-$M$2</f>
        <v>0.0041760172896943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0.161708831787109</v>
      </c>
      <c r="C502" s="25" t="n">
        <f aca="false">IF(T501&gt;0,D501,C501)</f>
        <v>0.161711692810059</v>
      </c>
      <c r="D502" s="39" t="n">
        <f aca="false">(B502+C502)/2</f>
        <v>0.161710262298584</v>
      </c>
      <c r="E502" s="15" t="n">
        <f aca="false">$C$2*(1+IF(E$3&lt;=$O$2,$D502,$D502-($D502-$I$481)*MIN(E$3-$O$2,$Q$2)/$Q$2))</f>
        <v>16632.2058253288</v>
      </c>
      <c r="F502" s="15" t="n">
        <f aca="false">E502*(1+IF(F$3&lt;=$O$2,$D502,$D502-($D502-$I$481)*MIN(F$3-$O$2,$Q$2)/$Q$2))</f>
        <v>19321.8041919468</v>
      </c>
      <c r="G502" s="15" t="n">
        <f aca="false">F502*(1+IF(G$3&lt;=$O$2,$D502,$D502-($D502-$I$481)*MIN(G$3-$O$2,$Q$2)/$Q$2))</f>
        <v>22446.3382159084</v>
      </c>
      <c r="H502" s="15" t="n">
        <f aca="false">G502*(1+IF(H$3&lt;=$O$2,$D502,$D502-($D502-$I$481)*MIN(H$3-$O$2,$Q$2)/$Q$2))</f>
        <v>26076.1414564457</v>
      </c>
      <c r="I502" s="15" t="n">
        <f aca="false">H502*(1+IF(I$3&lt;=$O$2,$D502,$D502-($D502-$I$481)*MIN(I$3-$O$2,$Q$2)/$Q$2))</f>
        <v>30292.9211311025</v>
      </c>
      <c r="J502" s="15" t="n">
        <f aca="false">I502*(1+IF(J$3&lt;=$O$2,$D502,$D502-($D502-$I$481)*MIN(J$3-$O$2,$Q$2)/$Q$2))</f>
        <v>34353.0271210941</v>
      </c>
      <c r="K502" s="15" t="n">
        <f aca="false">J502*(1+IF(K$3&lt;=$O$2,$D502,$D502-($D502-$I$481)*MIN(K$3-$O$2,$Q$2)/$Q$2))</f>
        <v>38006.3395497642</v>
      </c>
      <c r="L502" s="15" t="n">
        <f aca="false">K502*(1+IF(L$3&lt;=$O$2,$D502,$D502-($D502-$I$481)*MIN(L$3-$O$2,$Q$2)/$Q$2))</f>
        <v>40996.0742317105</v>
      </c>
      <c r="M502" s="15" t="n">
        <f aca="false">L502*(1+IF(M$3&lt;=$O$2,$D502,$D502-($D502-$I$481)*MIN(M$3-$O$2,$Q$2)/$Q$2))</f>
        <v>43086.138238834</v>
      </c>
      <c r="N502" s="15" t="n">
        <f aca="false">M502*(1+IF(N$3&lt;=$O$2,$D502,$D502-($D502-$I$481)*MIN(N$3-$O$2,$Q$2)/$Q$2))</f>
        <v>44090.0452597988</v>
      </c>
      <c r="O502" s="15" t="n">
        <f aca="false">SUMPRODUCT(E502:N502,1/(1+$F$481)^$E$3:$N$3)*$E$2</f>
        <v>58166.8931224902</v>
      </c>
      <c r="P502" s="15" t="n">
        <f aca="false">N502*$E$2*(1+$I$481)/($F$481-$I$481)/(1+$F$481)^$N$3</f>
        <v>74303.3322069767</v>
      </c>
      <c r="Q502" s="15" t="n">
        <f aca="false">O502+P502</f>
        <v>132470.225329467</v>
      </c>
      <c r="R502" s="15" t="n">
        <f aca="false">Q502-$G$2+$I$2</f>
        <v>120850.225329467</v>
      </c>
      <c r="S502" s="40" t="n">
        <f aca="false">R502/$K$2</f>
        <v>409.981427314404</v>
      </c>
      <c r="T502" s="41" t="n">
        <f aca="false">S502-$M$2</f>
        <v>0.000764424693443289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0.161708831787109</v>
      </c>
      <c r="C503" s="25" t="n">
        <f aca="false">IF(T502&gt;0,D502,C502)</f>
        <v>0.161710262298584</v>
      </c>
      <c r="D503" s="39" t="n">
        <f aca="false">(B503+C503)/2</f>
        <v>0.161709547042847</v>
      </c>
      <c r="E503" s="15" t="n">
        <f aca="false">$C$2*(1+IF(E$3&lt;=$O$2,$D503,$D503-($D503-$I$481)*MIN(E$3-$O$2,$Q$2)/$Q$2))</f>
        <v>16632.1955850124</v>
      </c>
      <c r="F503" s="15" t="n">
        <f aca="false">E503*(1+IF(F$3&lt;=$O$2,$D503,$D503-($D503-$I$481)*MIN(F$3-$O$2,$Q$2)/$Q$2))</f>
        <v>19321.7803993928</v>
      </c>
      <c r="G503" s="15" t="n">
        <f aca="false">F503*(1+IF(G$3&lt;=$O$2,$D503,$D503-($D503-$I$481)*MIN(G$3-$O$2,$Q$2)/$Q$2))</f>
        <v>22446.29675584</v>
      </c>
      <c r="H503" s="15" t="n">
        <f aca="false">G503*(1+IF(H$3&lt;=$O$2,$D503,$D503-($D503-$I$481)*MIN(H$3-$O$2,$Q$2)/$Q$2))</f>
        <v>26076.0772370162</v>
      </c>
      <c r="I503" s="15" t="n">
        <f aca="false">H503*(1+IF(I$3&lt;=$O$2,$D503,$D503-($D503-$I$481)*MIN(I$3-$O$2,$Q$2)/$Q$2))</f>
        <v>30292.8278756684</v>
      </c>
      <c r="J503" s="15" t="n">
        <f aca="false">I503*(1+IF(J$3&lt;=$O$2,$D503,$D503-($D503-$I$481)*MIN(J$3-$O$2,$Q$2)/$Q$2))</f>
        <v>34352.904033106</v>
      </c>
      <c r="K503" s="15" t="n">
        <f aca="false">J503*(1+IF(K$3&lt;=$O$2,$D503,$D503-($D503-$I$481)*MIN(K$3-$O$2,$Q$2)/$Q$2))</f>
        <v>38006.1886291745</v>
      </c>
      <c r="L503" s="15" t="n">
        <f aca="false">K503*(1+IF(L$3&lt;=$O$2,$D503,$D503-($D503-$I$481)*MIN(L$3-$O$2,$Q$2)/$Q$2))</f>
        <v>40995.9005654299</v>
      </c>
      <c r="M503" s="15" t="n">
        <f aca="false">L503*(1+IF(M$3&lt;=$O$2,$D503,$D503-($D503-$I$481)*MIN(M$3-$O$2,$Q$2)/$Q$2))</f>
        <v>43085.9498541794</v>
      </c>
      <c r="N503" s="15" t="n">
        <f aca="false">M503*(1+IF(N$3&lt;=$O$2,$D503,$D503-($D503-$I$481)*MIN(N$3-$O$2,$Q$2)/$Q$2))</f>
        <v>44089.8524857817</v>
      </c>
      <c r="O503" s="15" t="n">
        <f aca="false">SUMPRODUCT(E503:N503,1/(1+$F$481)^$E$3:$N$3)*$E$2</f>
        <v>58166.7151825436</v>
      </c>
      <c r="P503" s="15" t="n">
        <f aca="false">N503*$E$2*(1+$I$481)/($F$481-$I$481)/(1+$F$481)^$N$3</f>
        <v>74303.0073320135</v>
      </c>
      <c r="Q503" s="15" t="n">
        <f aca="false">O503+P503</f>
        <v>132469.722514557</v>
      </c>
      <c r="R503" s="15" t="n">
        <f aca="false">Q503-$G$2+$I$2</f>
        <v>120849.722514557</v>
      </c>
      <c r="S503" s="40" t="n">
        <f aca="false">R503/$K$2</f>
        <v>409.979721527147</v>
      </c>
      <c r="T503" s="41" t="n">
        <f aca="false">S503-$M$2</f>
        <v>-0.000941362563594339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0.161709547042847</v>
      </c>
      <c r="C504" s="25" t="n">
        <f aca="false">IF(T503&gt;0,D503,C503)</f>
        <v>0.161710262298584</v>
      </c>
      <c r="D504" s="39" t="n">
        <f aca="false">(B504+C504)/2</f>
        <v>0.161709904670715</v>
      </c>
      <c r="E504" s="15" t="n">
        <f aca="false">$C$2*(1+IF(E$3&lt;=$O$2,$D504,$D504-($D504-$I$481)*MIN(E$3-$O$2,$Q$2)/$Q$2))</f>
        <v>16632.2007051706</v>
      </c>
      <c r="F504" s="15" t="n">
        <f aca="false">E504*(1+IF(F$3&lt;=$O$2,$D504,$D504-($D504-$I$481)*MIN(F$3-$O$2,$Q$2)/$Q$2))</f>
        <v>19321.792295668</v>
      </c>
      <c r="G504" s="15" t="n">
        <f aca="false">F504*(1+IF(G$3&lt;=$O$2,$D504,$D504-($D504-$I$481)*MIN(G$3-$O$2,$Q$2)/$Q$2))</f>
        <v>22446.3174858678</v>
      </c>
      <c r="H504" s="15" t="n">
        <f aca="false">G504*(1+IF(H$3&lt;=$O$2,$D504,$D504-($D504-$I$481)*MIN(H$3-$O$2,$Q$2)/$Q$2))</f>
        <v>26076.1093467161</v>
      </c>
      <c r="I504" s="15" t="n">
        <f aca="false">H504*(1+IF(I$3&lt;=$O$2,$D504,$D504-($D504-$I$481)*MIN(I$3-$O$2,$Q$2)/$Q$2))</f>
        <v>30292.8745033567</v>
      </c>
      <c r="J504" s="15" t="n">
        <f aca="false">I504*(1+IF(J$3&lt;=$O$2,$D504,$D504-($D504-$I$481)*MIN(J$3-$O$2,$Q$2)/$Q$2))</f>
        <v>34352.9655770542</v>
      </c>
      <c r="K504" s="15" t="n">
        <f aca="false">J504*(1+IF(K$3&lt;=$O$2,$D504,$D504-($D504-$I$481)*MIN(K$3-$O$2,$Q$2)/$Q$2))</f>
        <v>38006.2640894054</v>
      </c>
      <c r="L504" s="15" t="n">
        <f aca="false">K504*(1+IF(L$3&lt;=$O$2,$D504,$D504-($D504-$I$481)*MIN(L$3-$O$2,$Q$2)/$Q$2))</f>
        <v>40995.9873984904</v>
      </c>
      <c r="M504" s="15" t="n">
        <f aca="false">L504*(1+IF(M$3&lt;=$O$2,$D504,$D504-($D504-$I$481)*MIN(M$3-$O$2,$Q$2)/$Q$2))</f>
        <v>43086.0440464166</v>
      </c>
      <c r="N504" s="15" t="n">
        <f aca="false">M504*(1+IF(N$3&lt;=$O$2,$D504,$D504-($D504-$I$481)*MIN(N$3-$O$2,$Q$2)/$Q$2))</f>
        <v>44089.9488726981</v>
      </c>
      <c r="O504" s="15" t="n">
        <f aca="false">SUMPRODUCT(E504:N504,1/(1+$F$481)^$E$3:$N$3)*$E$2</f>
        <v>58166.8041524502</v>
      </c>
      <c r="P504" s="15" t="n">
        <f aca="false">N504*$E$2*(1+$I$481)/($F$481-$I$481)/(1+$F$481)^$N$3</f>
        <v>74303.1697693397</v>
      </c>
      <c r="Q504" s="15" t="n">
        <f aca="false">O504+P504</f>
        <v>132469.97392179</v>
      </c>
      <c r="R504" s="15" t="n">
        <f aca="false">Q504-$G$2+$I$2</f>
        <v>120849.97392179</v>
      </c>
      <c r="S504" s="40" t="n">
        <f aca="false">R504/$K$2</f>
        <v>409.980574420022</v>
      </c>
      <c r="T504" s="41" t="n">
        <f aca="false">S504-$M$2</f>
        <v>-8.84696887055725E-005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0.161709904670715</v>
      </c>
      <c r="C505" s="25" t="n">
        <f aca="false">IF(T504&gt;0,D504,C504)</f>
        <v>0.161710262298584</v>
      </c>
      <c r="D505" s="39" t="n">
        <f aca="false">(B505+C505)/2</f>
        <v>0.16171008348465</v>
      </c>
      <c r="E505" s="15" t="n">
        <f aca="false">$C$2*(1+IF(E$3&lt;=$O$2,$D505,$D505-($D505-$I$481)*MIN(E$3-$O$2,$Q$2)/$Q$2))</f>
        <v>16632.2032652497</v>
      </c>
      <c r="F505" s="15" t="n">
        <f aca="false">E505*(1+IF(F$3&lt;=$O$2,$D505,$D505-($D505-$I$481)*MIN(F$3-$O$2,$Q$2)/$Q$2))</f>
        <v>19321.7982438069</v>
      </c>
      <c r="G505" s="15" t="n">
        <f aca="false">F505*(1+IF(G$3&lt;=$O$2,$D505,$D505-($D505-$I$481)*MIN(G$3-$O$2,$Q$2)/$Q$2))</f>
        <v>22446.3278508865</v>
      </c>
      <c r="H505" s="15" t="n">
        <f aca="false">G505*(1+IF(H$3&lt;=$O$2,$D505,$D505-($D505-$I$481)*MIN(H$3-$O$2,$Q$2)/$Q$2))</f>
        <v>26076.1254015772</v>
      </c>
      <c r="I505" s="15" t="n">
        <f aca="false">H505*(1+IF(I$3&lt;=$O$2,$D505,$D505-($D505-$I$481)*MIN(I$3-$O$2,$Q$2)/$Q$2))</f>
        <v>30292.8978172224</v>
      </c>
      <c r="J505" s="15" t="n">
        <f aca="false">I505*(1+IF(J$3&lt;=$O$2,$D505,$D505-($D505-$I$481)*MIN(J$3-$O$2,$Q$2)/$Q$2))</f>
        <v>34352.9963490627</v>
      </c>
      <c r="K505" s="15" t="n">
        <f aca="false">J505*(1+IF(K$3&lt;=$O$2,$D505,$D505-($D505-$I$481)*MIN(K$3-$O$2,$Q$2)/$Q$2))</f>
        <v>38006.3018195688</v>
      </c>
      <c r="L505" s="15" t="n">
        <f aca="false">K505*(1+IF(L$3&lt;=$O$2,$D505,$D505-($D505-$I$481)*MIN(L$3-$O$2,$Q$2)/$Q$2))</f>
        <v>40996.0308150805</v>
      </c>
      <c r="M505" s="15" t="n">
        <f aca="false">L505*(1+IF(M$3&lt;=$O$2,$D505,$D505-($D505-$I$481)*MIN(M$3-$O$2,$Q$2)/$Q$2))</f>
        <v>43086.0911426028</v>
      </c>
      <c r="N505" s="15" t="n">
        <f aca="false">M505*(1+IF(N$3&lt;=$O$2,$D505,$D505-($D505-$I$481)*MIN(N$3-$O$2,$Q$2)/$Q$2))</f>
        <v>44089.9970662254</v>
      </c>
      <c r="O505" s="15" t="n">
        <f aca="false">SUMPRODUCT(E505:N505,1/(1+$F$481)^$E$3:$N$3)*$E$2</f>
        <v>58166.8486374535</v>
      </c>
      <c r="P505" s="15" t="n">
        <f aca="false">N505*$E$2*(1+$I$481)/($F$481-$I$481)/(1+$F$481)^$N$3</f>
        <v>74303.2509881194</v>
      </c>
      <c r="Q505" s="15" t="n">
        <f aca="false">O505+P505</f>
        <v>132470.099625573</v>
      </c>
      <c r="R505" s="15" t="n">
        <f aca="false">Q505-$G$2+$I$2</f>
        <v>120850.099625573</v>
      </c>
      <c r="S505" s="40" t="n">
        <f aca="false">R505/$K$2</f>
        <v>409.981000867025</v>
      </c>
      <c r="T505" s="41" t="n">
        <f aca="false">S505-$M$2</f>
        <v>0.000337977314075033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0.161709904670715</v>
      </c>
      <c r="C506" s="25" t="n">
        <f aca="false">IF(T505&gt;0,D505,C505)</f>
        <v>0.16171008348465</v>
      </c>
      <c r="D506" s="39" t="n">
        <f aca="false">(B506+C506)/2</f>
        <v>0.161709994077683</v>
      </c>
      <c r="E506" s="15" t="n">
        <f aca="false">$C$2*(1+IF(E$3&lt;=$O$2,$D506,$D506-($D506-$I$481)*MIN(E$3-$O$2,$Q$2)/$Q$2))</f>
        <v>16632.2019852102</v>
      </c>
      <c r="F506" s="15" t="n">
        <f aca="false">E506*(1+IF(F$3&lt;=$O$2,$D506,$D506-($D506-$I$481)*MIN(F$3-$O$2,$Q$2)/$Q$2))</f>
        <v>19321.7952697373</v>
      </c>
      <c r="G506" s="15" t="n">
        <f aca="false">F506*(1+IF(G$3&lt;=$O$2,$D506,$D506-($D506-$I$481)*MIN(G$3-$O$2,$Q$2)/$Q$2))</f>
        <v>22446.3226683768</v>
      </c>
      <c r="H506" s="15" t="n">
        <f aca="false">G506*(1+IF(H$3&lt;=$O$2,$D506,$D506-($D506-$I$481)*MIN(H$3-$O$2,$Q$2)/$Q$2))</f>
        <v>26076.1173741457</v>
      </c>
      <c r="I506" s="15" t="n">
        <f aca="false">H506*(1+IF(I$3&lt;=$O$2,$D506,$D506-($D506-$I$481)*MIN(I$3-$O$2,$Q$2)/$Q$2))</f>
        <v>30292.8861602878</v>
      </c>
      <c r="J506" s="15" t="n">
        <f aca="false">I506*(1+IF(J$3&lt;=$O$2,$D506,$D506-($D506-$I$481)*MIN(J$3-$O$2,$Q$2)/$Q$2))</f>
        <v>34352.9809630555</v>
      </c>
      <c r="K506" s="15" t="n">
        <f aca="false">J506*(1+IF(K$3&lt;=$O$2,$D506,$D506-($D506-$I$481)*MIN(K$3-$O$2,$Q$2)/$Q$2))</f>
        <v>38006.2829544831</v>
      </c>
      <c r="L506" s="15" t="n">
        <f aca="false">K506*(1+IF(L$3&lt;=$O$2,$D506,$D506-($D506-$I$481)*MIN(L$3-$O$2,$Q$2)/$Q$2))</f>
        <v>40996.0091067804</v>
      </c>
      <c r="M506" s="15" t="n">
        <f aca="false">L506*(1+IF(M$3&lt;=$O$2,$D506,$D506-($D506-$I$481)*MIN(M$3-$O$2,$Q$2)/$Q$2))</f>
        <v>43086.067594504</v>
      </c>
      <c r="N506" s="15" t="n">
        <f aca="false">M506*(1+IF(N$3&lt;=$O$2,$D506,$D506-($D506-$I$481)*MIN(N$3-$O$2,$Q$2)/$Q$2))</f>
        <v>44089.972969456</v>
      </c>
      <c r="O506" s="15" t="n">
        <f aca="false">SUMPRODUCT(E506:N506,1/(1+$F$481)^$E$3:$N$3)*$E$2</f>
        <v>58166.8263949477</v>
      </c>
      <c r="P506" s="15" t="n">
        <f aca="false">N506*$E$2*(1+$I$481)/($F$481-$I$481)/(1+$F$481)^$N$3</f>
        <v>74303.2103787198</v>
      </c>
      <c r="Q506" s="15" t="n">
        <f aca="false">O506+P506</f>
        <v>132470.036773668</v>
      </c>
      <c r="R506" s="15" t="n">
        <f aca="false">Q506-$G$2+$I$2</f>
        <v>120850.036773668</v>
      </c>
      <c r="S506" s="40" t="n">
        <f aca="false">R506/$K$2</f>
        <v>409.980787643476</v>
      </c>
      <c r="T506" s="41" t="n">
        <f aca="false">S506-$M$2</f>
        <v>0.000124753765703645</v>
      </c>
    </row>
    <row r="508" customFormat="false" ht="15" hidden="false" customHeight="false" outlineLevel="0" collapsed="false">
      <c r="A508" s="36" t="s">
        <v>192</v>
      </c>
      <c r="E508" s="5" t="s">
        <v>11</v>
      </c>
      <c r="F508" s="12" t="n">
        <f aca="false">Sensitivity!$B$13</f>
        <v>0.0998919064489092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6" t="s">
        <v>155</v>
      </c>
      <c r="B509" s="28" t="s">
        <v>156</v>
      </c>
      <c r="C509" s="28" t="s">
        <v>157</v>
      </c>
      <c r="D509" s="28" t="s">
        <v>158</v>
      </c>
      <c r="E509" s="28" t="s">
        <v>159</v>
      </c>
      <c r="F509" s="28" t="s">
        <v>160</v>
      </c>
      <c r="G509" s="28" t="s">
        <v>161</v>
      </c>
      <c r="H509" s="28" t="s">
        <v>162</v>
      </c>
      <c r="I509" s="28" t="s">
        <v>163</v>
      </c>
      <c r="J509" s="28" t="s">
        <v>164</v>
      </c>
      <c r="K509" s="28" t="s">
        <v>165</v>
      </c>
      <c r="L509" s="28" t="s">
        <v>166</v>
      </c>
      <c r="M509" s="28" t="s">
        <v>167</v>
      </c>
      <c r="N509" s="28" t="s">
        <v>168</v>
      </c>
      <c r="O509" s="28" t="s">
        <v>169</v>
      </c>
      <c r="P509" s="28" t="s">
        <v>170</v>
      </c>
      <c r="Q509" s="28" t="s">
        <v>171</v>
      </c>
      <c r="R509" s="28" t="s">
        <v>172</v>
      </c>
      <c r="S509" s="28" t="s">
        <v>173</v>
      </c>
      <c r="T509" s="28" t="s">
        <v>174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39" t="n">
        <f aca="false">(B510+C510)/2</f>
        <v>0.25</v>
      </c>
      <c r="E510" s="15" t="n">
        <f aca="false">$C$2*(1+IF(E$3&lt;=$O$2,$D510,$D510-($D510-$I$508)*MIN(E$3-$O$2,$Q$2)/$Q$2))</f>
        <v>17896.25</v>
      </c>
      <c r="F510" s="15" t="n">
        <f aca="false">E510*(1+IF(F$3&lt;=$O$2,$D510,$D510-($D510-$I$508)*MIN(F$3-$O$2,$Q$2)/$Q$2))</f>
        <v>22370.3125</v>
      </c>
      <c r="G510" s="15" t="n">
        <f aca="false">F510*(1+IF(G$3&lt;=$O$2,$D510,$D510-($D510-$I$508)*MIN(G$3-$O$2,$Q$2)/$Q$2))</f>
        <v>27962.890625</v>
      </c>
      <c r="H510" s="15" t="n">
        <f aca="false">G510*(1+IF(H$3&lt;=$O$2,$D510,$D510-($D510-$I$508)*MIN(H$3-$O$2,$Q$2)/$Q$2))</f>
        <v>34953.61328125</v>
      </c>
      <c r="I510" s="15" t="n">
        <f aca="false">H510*(1+IF(I$3&lt;=$O$2,$D510,$D510-($D510-$I$508)*MIN(I$3-$O$2,$Q$2)/$Q$2))</f>
        <v>43692.0166015625</v>
      </c>
      <c r="J510" s="15" t="n">
        <f aca="false">I510*(1+IF(J$3&lt;=$O$2,$D510,$D510-($D510-$I$508)*MIN(J$3-$O$2,$Q$2)/$Q$2))</f>
        <v>52677.7167358398</v>
      </c>
      <c r="K510" s="15" t="n">
        <f aca="false">J510*(1+IF(K$3&lt;=$O$2,$D510,$D510-($D510-$I$508)*MIN(K$3-$O$2,$Q$2)/$Q$2))</f>
        <v>61175.6859996655</v>
      </c>
      <c r="L510" s="15" t="n">
        <f aca="false">K510*(1+IF(L$3&lt;=$O$2,$D510,$D510-($D510-$I$508)*MIN(L$3-$O$2,$Q$2)/$Q$2))</f>
        <v>68332.0177479064</v>
      </c>
      <c r="M510" s="15" t="n">
        <f aca="false">L510*(1+IF(M$3&lt;=$O$2,$D510,$D510-($D510-$I$508)*MIN(M$3-$O$2,$Q$2)/$Q$2))</f>
        <v>73295.6555171143</v>
      </c>
      <c r="N510" s="15" t="n">
        <f aca="false">M510*(1+IF(N$3&lt;=$O$2,$D510,$D510-($D510-$I$508)*MIN(N$3-$O$2,$Q$2)/$Q$2))</f>
        <v>75369.9225682487</v>
      </c>
      <c r="O510" s="15" t="n">
        <f aca="false">SUMPRODUCT(E510:N510,1/(1+$F$508)^$E$3:$N$3)*$E$2</f>
        <v>85004.351880973</v>
      </c>
      <c r="P510" s="15" t="n">
        <f aca="false">N510*$E$2*(1+$I$508)/($F$508-$I$508)/(1+$F$508)^$N$3</f>
        <v>136553.120424496</v>
      </c>
      <c r="Q510" s="15" t="n">
        <f aca="false">O510+P510</f>
        <v>221557.472305469</v>
      </c>
      <c r="R510" s="15" t="n">
        <f aca="false">Q510-$G$2+$I$2</f>
        <v>209937.472305469</v>
      </c>
      <c r="S510" s="40" t="n">
        <f aca="false">R510/$K$2</f>
        <v>712.20772909546</v>
      </c>
      <c r="T510" s="41" t="n">
        <f aca="false">S510-$M$2</f>
        <v>302.22706620575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39" t="n">
        <f aca="false">(B511+C511)/2</f>
        <v>-0.125</v>
      </c>
      <c r="E511" s="15" t="n">
        <f aca="false">$C$2*(1+IF(E$3&lt;=$O$2,$D511,$D511-($D511-$I$508)*MIN(E$3-$O$2,$Q$2)/$Q$2))</f>
        <v>12527.375</v>
      </c>
      <c r="F511" s="15" t="n">
        <f aca="false">E511*(1+IF(F$3&lt;=$O$2,$D511,$D511-($D511-$I$508)*MIN(F$3-$O$2,$Q$2)/$Q$2))</f>
        <v>10961.453125</v>
      </c>
      <c r="G511" s="15" t="n">
        <f aca="false">F511*(1+IF(G$3&lt;=$O$2,$D511,$D511-($D511-$I$508)*MIN(G$3-$O$2,$Q$2)/$Q$2))</f>
        <v>9591.271484375</v>
      </c>
      <c r="H511" s="15" t="n">
        <f aca="false">G511*(1+IF(H$3&lt;=$O$2,$D511,$D511-($D511-$I$508)*MIN(H$3-$O$2,$Q$2)/$Q$2))</f>
        <v>8392.36254882813</v>
      </c>
      <c r="I511" s="15" t="n">
        <f aca="false">H511*(1+IF(I$3&lt;=$O$2,$D511,$D511-($D511-$I$508)*MIN(I$3-$O$2,$Q$2)/$Q$2))</f>
        <v>7343.31723022461</v>
      </c>
      <c r="J511" s="15" t="n">
        <f aca="false">I511*(1+IF(J$3&lt;=$O$2,$D511,$D511-($D511-$I$508)*MIN(J$3-$O$2,$Q$2)/$Q$2))</f>
        <v>6650.54868272522</v>
      </c>
      <c r="K511" s="15" t="n">
        <f aca="false">J511*(1+IF(K$3&lt;=$O$2,$D511,$D511-($D511-$I$508)*MIN(K$3-$O$2,$Q$2)/$Q$2))</f>
        <v>6227.04174260928</v>
      </c>
      <c r="L511" s="15" t="n">
        <f aca="false">K511*(1+IF(L$3&lt;=$O$2,$D511,$D511-($D511-$I$508)*MIN(L$3-$O$2,$Q$2)/$Q$2))</f>
        <v>6021.42482426832</v>
      </c>
      <c r="M511" s="15" t="n">
        <f aca="false">L511*(1+IF(M$3&lt;=$O$2,$D511,$D511-($D511-$I$508)*MIN(M$3-$O$2,$Q$2)/$Q$2))</f>
        <v>6007.21426168305</v>
      </c>
      <c r="N511" s="15" t="n">
        <f aca="false">M511*(1+IF(N$3&lt;=$O$2,$D511,$D511-($D511-$I$508)*MIN(N$3-$O$2,$Q$2)/$Q$2))</f>
        <v>6177.21842528868</v>
      </c>
      <c r="O511" s="15" t="n">
        <f aca="false">SUMPRODUCT(E511:N511,1/(1+$F$508)^$E$3:$N$3)*$E$2</f>
        <v>17209.8910293627</v>
      </c>
      <c r="P511" s="15" t="n">
        <f aca="false">N511*$E$2*(1+$I$508)/($F$508-$I$508)/(1+$F$508)^$N$3</f>
        <v>11191.7117966128</v>
      </c>
      <c r="Q511" s="15" t="n">
        <f aca="false">O511+P511</f>
        <v>28401.6028259754</v>
      </c>
      <c r="R511" s="15" t="n">
        <f aca="false">Q511-$G$2+$I$2</f>
        <v>16781.6028259754</v>
      </c>
      <c r="S511" s="40" t="n">
        <f aca="false">R511/$K$2</f>
        <v>56.9311762593732</v>
      </c>
      <c r="T511" s="41" t="n">
        <f aca="false">S511-$M$2</f>
        <v>-353.049486630337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39" t="n">
        <f aca="false">(B512+C512)/2</f>
        <v>0.0625</v>
      </c>
      <c r="E512" s="15" t="n">
        <f aca="false">$C$2*(1+IF(E$3&lt;=$O$2,$D512,$D512-($D512-$I$508)*MIN(E$3-$O$2,$Q$2)/$Q$2))</f>
        <v>15211.8125</v>
      </c>
      <c r="F512" s="15" t="n">
        <f aca="false">E512*(1+IF(F$3&lt;=$O$2,$D512,$D512-($D512-$I$508)*MIN(F$3-$O$2,$Q$2)/$Q$2))</f>
        <v>16162.55078125</v>
      </c>
      <c r="G512" s="15" t="n">
        <f aca="false">F512*(1+IF(G$3&lt;=$O$2,$D512,$D512-($D512-$I$508)*MIN(G$3-$O$2,$Q$2)/$Q$2))</f>
        <v>17172.7102050781</v>
      </c>
      <c r="H512" s="15" t="n">
        <f aca="false">G512*(1+IF(H$3&lt;=$O$2,$D512,$D512-($D512-$I$508)*MIN(H$3-$O$2,$Q$2)/$Q$2))</f>
        <v>18246.0045928955</v>
      </c>
      <c r="I512" s="15" t="n">
        <f aca="false">H512*(1+IF(I$3&lt;=$O$2,$D512,$D512-($D512-$I$508)*MIN(I$3-$O$2,$Q$2)/$Q$2))</f>
        <v>19386.3798799515</v>
      </c>
      <c r="J512" s="15" t="n">
        <f aca="false">I512*(1+IF(J$3&lt;=$O$2,$D512,$D512-($D512-$I$508)*MIN(J$3-$O$2,$Q$2)/$Q$2))</f>
        <v>20465.4257840696</v>
      </c>
      <c r="K512" s="15" t="n">
        <f aca="false">J512*(1+IF(K$3&lt;=$O$2,$D512,$D512-($D512-$I$508)*MIN(K$3-$O$2,$Q$2)/$Q$2))</f>
        <v>21464.5478708479</v>
      </c>
      <c r="L512" s="15" t="n">
        <f aca="false">K512*(1+IF(L$3&lt;=$O$2,$D512,$D512-($D512-$I$508)*MIN(L$3-$O$2,$Q$2)/$Q$2))</f>
        <v>22365.629590466</v>
      </c>
      <c r="M512" s="15" t="n">
        <f aca="false">L512*(1+IF(M$3&lt;=$O$2,$D512,$D512-($D512-$I$508)*MIN(M$3-$O$2,$Q$2)/$Q$2))</f>
        <v>23151.557814275</v>
      </c>
      <c r="N512" s="15" t="n">
        <f aca="false">M512*(1+IF(N$3&lt;=$O$2,$D512,$D512-($D512-$I$508)*MIN(N$3-$O$2,$Q$2)/$Q$2))</f>
        <v>23806.746900419</v>
      </c>
      <c r="O512" s="15" t="n">
        <f aca="false">SUMPRODUCT(E512:N512,1/(1+$F$508)^$E$3:$N$3)*$E$2</f>
        <v>38125.2851052204</v>
      </c>
      <c r="P512" s="15" t="n">
        <f aca="false">N512*$E$2*(1+$I$508)/($F$508-$I$508)/(1+$F$508)^$N$3</f>
        <v>43132.3990477061</v>
      </c>
      <c r="Q512" s="15" t="n">
        <f aca="false">O512+P512</f>
        <v>81257.6841529265</v>
      </c>
      <c r="R512" s="15" t="n">
        <f aca="false">Q512-$G$2+$I$2</f>
        <v>69637.6841529265</v>
      </c>
      <c r="S512" s="40" t="n">
        <f aca="false">R512/$K$2</f>
        <v>236.244136624916</v>
      </c>
      <c r="T512" s="41" t="n">
        <f aca="false">S512-$M$2</f>
        <v>-173.736526264795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39" t="n">
        <f aca="false">(B513+C513)/2</f>
        <v>0.15625</v>
      </c>
      <c r="E513" s="15" t="n">
        <f aca="false">$C$2*(1+IF(E$3&lt;=$O$2,$D513,$D513-($D513-$I$508)*MIN(E$3-$O$2,$Q$2)/$Q$2))</f>
        <v>16554.03125</v>
      </c>
      <c r="F513" s="15" t="n">
        <f aca="false">E513*(1+IF(F$3&lt;=$O$2,$D513,$D513-($D513-$I$508)*MIN(F$3-$O$2,$Q$2)/$Q$2))</f>
        <v>19140.5986328125</v>
      </c>
      <c r="G513" s="15" t="n">
        <f aca="false">F513*(1+IF(G$3&lt;=$O$2,$D513,$D513-($D513-$I$508)*MIN(G$3-$O$2,$Q$2)/$Q$2))</f>
        <v>22131.3171691895</v>
      </c>
      <c r="H513" s="15" t="n">
        <f aca="false">G513*(1+IF(H$3&lt;=$O$2,$D513,$D513-($D513-$I$508)*MIN(H$3-$O$2,$Q$2)/$Q$2))</f>
        <v>25589.3354768753</v>
      </c>
      <c r="I513" s="15" t="n">
        <f aca="false">H513*(1+IF(I$3&lt;=$O$2,$D513,$D513-($D513-$I$508)*MIN(I$3-$O$2,$Q$2)/$Q$2))</f>
        <v>29587.6691451371</v>
      </c>
      <c r="J513" s="15" t="n">
        <f aca="false">I513*(1+IF(J$3&lt;=$O$2,$D513,$D513-($D513-$I$508)*MIN(J$3-$O$2,$Q$2)/$Q$2))</f>
        <v>33453.5939956407</v>
      </c>
      <c r="K513" s="15" t="n">
        <f aca="false">J513*(1+IF(K$3&lt;=$O$2,$D513,$D513-($D513-$I$508)*MIN(K$3-$O$2,$Q$2)/$Q$2))</f>
        <v>36968.5631167627</v>
      </c>
      <c r="L513" s="15" t="n">
        <f aca="false">K513*(1+IF(L$3&lt;=$O$2,$D513,$D513-($D513-$I$508)*MIN(L$3-$O$2,$Q$2)/$Q$2))</f>
        <v>39906.824513283</v>
      </c>
      <c r="M513" s="15" t="n">
        <f aca="false">L513*(1+IF(M$3&lt;=$O$2,$D513,$D513-($D513-$I$508)*MIN(M$3-$O$2,$Q$2)/$Q$2))</f>
        <v>42057.4032863038</v>
      </c>
      <c r="N513" s="15" t="n">
        <f aca="false">M513*(1+IF(N$3&lt;=$O$2,$D513,$D513-($D513-$I$508)*MIN(N$3-$O$2,$Q$2)/$Q$2))</f>
        <v>43247.6277993062</v>
      </c>
      <c r="O513" s="15" t="n">
        <f aca="false">SUMPRODUCT(E513:N513,1/(1+$F$508)^$E$3:$N$3)*$E$2</f>
        <v>57009.9788965865</v>
      </c>
      <c r="P513" s="15" t="n">
        <f aca="false">N513*$E$2*(1+$I$508)/($F$508-$I$508)/(1+$F$508)^$N$3</f>
        <v>78354.8440242169</v>
      </c>
      <c r="Q513" s="15" t="n">
        <f aca="false">O513+P513</f>
        <v>135364.822920803</v>
      </c>
      <c r="R513" s="15" t="n">
        <f aca="false">Q513-$G$2+$I$2</f>
        <v>123744.822920803</v>
      </c>
      <c r="S513" s="40" t="n">
        <f aca="false">R513/$K$2</f>
        <v>419.801278694587</v>
      </c>
      <c r="T513" s="41" t="n">
        <f aca="false">S513-$M$2</f>
        <v>9.82061580487635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39" t="n">
        <f aca="false">(B514+C514)/2</f>
        <v>0.109375</v>
      </c>
      <c r="E514" s="15" t="n">
        <f aca="false">$C$2*(1+IF(E$3&lt;=$O$2,$D514,$D514-($D514-$I$508)*MIN(E$3-$O$2,$Q$2)/$Q$2))</f>
        <v>15882.921875</v>
      </c>
      <c r="F514" s="15" t="n">
        <f aca="false">E514*(1+IF(F$3&lt;=$O$2,$D514,$D514-($D514-$I$508)*MIN(F$3-$O$2,$Q$2)/$Q$2))</f>
        <v>17620.1164550781</v>
      </c>
      <c r="G514" s="15" t="n">
        <f aca="false">F514*(1+IF(G$3&lt;=$O$2,$D514,$D514-($D514-$I$508)*MIN(G$3-$O$2,$Q$2)/$Q$2))</f>
        <v>19547.3166923523</v>
      </c>
      <c r="H514" s="15" t="n">
        <f aca="false">G514*(1+IF(H$3&lt;=$O$2,$D514,$D514-($D514-$I$508)*MIN(H$3-$O$2,$Q$2)/$Q$2))</f>
        <v>21685.3044555783</v>
      </c>
      <c r="I514" s="15" t="n">
        <f aca="false">H514*(1+IF(I$3&lt;=$O$2,$D514,$D514-($D514-$I$508)*MIN(I$3-$O$2,$Q$2)/$Q$2))</f>
        <v>24057.1346304072</v>
      </c>
      <c r="J514" s="15" t="n">
        <f aca="false">I514*(1+IF(J$3&lt;=$O$2,$D514,$D514-($D514-$I$508)*MIN(J$3-$O$2,$Q$2)/$Q$2))</f>
        <v>26298.2972925759</v>
      </c>
      <c r="K514" s="15" t="n">
        <f aca="false">J514*(1+IF(K$3&lt;=$O$2,$D514,$D514-($D514-$I$508)*MIN(K$3-$O$2,$Q$2)/$Q$2))</f>
        <v>28321.8197777532</v>
      </c>
      <c r="L514" s="15" t="n">
        <f aca="false">K514*(1+IF(L$3&lt;=$O$2,$D514,$D514-($D514-$I$508)*MIN(L$3-$O$2,$Q$2)/$Q$2))</f>
        <v>30041.8038928561</v>
      </c>
      <c r="M514" s="15" t="n">
        <f aca="false">L514*(1+IF(M$3&lt;=$O$2,$D514,$D514-($D514-$I$508)*MIN(M$3-$O$2,$Q$2)/$Q$2))</f>
        <v>31379.1147931466</v>
      </c>
      <c r="N514" s="15" t="n">
        <f aca="false">M514*(1+IF(N$3&lt;=$O$2,$D514,$D514-($D514-$I$508)*MIN(N$3-$O$2,$Q$2)/$Q$2))</f>
        <v>32267.1437417927</v>
      </c>
      <c r="O514" s="15" t="n">
        <f aca="false">SUMPRODUCT(E514:N514,1/(1+$F$508)^$E$3:$N$3)*$E$2</f>
        <v>46626.043132473</v>
      </c>
      <c r="P514" s="15" t="n">
        <f aca="false">N514*$E$2*(1+$I$508)/($F$508-$I$508)/(1+$F$508)^$N$3</f>
        <v>58460.7097232675</v>
      </c>
      <c r="Q514" s="15" t="n">
        <f aca="false">O514+P514</f>
        <v>105086.75285574</v>
      </c>
      <c r="R514" s="15" t="n">
        <f aca="false">Q514-$G$2+$I$2</f>
        <v>93466.7528557405</v>
      </c>
      <c r="S514" s="40" t="n">
        <f aca="false">R514/$K$2</f>
        <v>317.083668133597</v>
      </c>
      <c r="T514" s="41" t="n">
        <f aca="false">S514-$M$2</f>
        <v>-92.8969947561133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0.109375</v>
      </c>
      <c r="C515" s="25" t="n">
        <f aca="false">IF(T514&gt;0,D514,C514)</f>
        <v>0.15625</v>
      </c>
      <c r="D515" s="39" t="n">
        <f aca="false">(B515+C515)/2</f>
        <v>0.1328125</v>
      </c>
      <c r="E515" s="15" t="n">
        <f aca="false">$C$2*(1+IF(E$3&lt;=$O$2,$D515,$D515-($D515-$I$508)*MIN(E$3-$O$2,$Q$2)/$Q$2))</f>
        <v>16218.4765625</v>
      </c>
      <c r="F515" s="15" t="n">
        <f aca="false">E515*(1+IF(F$3&lt;=$O$2,$D515,$D515-($D515-$I$508)*MIN(F$3-$O$2,$Q$2)/$Q$2))</f>
        <v>18372.492980957</v>
      </c>
      <c r="G515" s="15" t="n">
        <f aca="false">F515*(1+IF(G$3&lt;=$O$2,$D515,$D515-($D515-$I$508)*MIN(G$3-$O$2,$Q$2)/$Q$2))</f>
        <v>20812.5897049904</v>
      </c>
      <c r="H515" s="15" t="n">
        <f aca="false">G515*(1+IF(H$3&lt;=$O$2,$D515,$D515-($D515-$I$508)*MIN(H$3-$O$2,$Q$2)/$Q$2))</f>
        <v>23576.7617751844</v>
      </c>
      <c r="I515" s="15" t="n">
        <f aca="false">H515*(1+IF(I$3&lt;=$O$2,$D515,$D515-($D515-$I$508)*MIN(I$3-$O$2,$Q$2)/$Q$2))</f>
        <v>26708.0504484511</v>
      </c>
      <c r="J515" s="15" t="n">
        <f aca="false">I515*(1+IF(J$3&lt;=$O$2,$D515,$D515-($D515-$I$508)*MIN(J$3-$O$2,$Q$2)/$Q$2))</f>
        <v>29696.9483741373</v>
      </c>
      <c r="K515" s="15" t="n">
        <f aca="false">J515*(1+IF(K$3&lt;=$O$2,$D515,$D515-($D515-$I$508)*MIN(K$3-$O$2,$Q$2)/$Q$2))</f>
        <v>32399.5934032966</v>
      </c>
      <c r="L515" s="15" t="n">
        <f aca="false">K515*(1+IF(L$3&lt;=$O$2,$D515,$D515-($D515-$I$508)*MIN(L$3-$O$2,$Q$2)/$Q$2))</f>
        <v>34670.9668988347</v>
      </c>
      <c r="M515" s="15" t="n">
        <f aca="false">L515*(1+IF(M$3&lt;=$O$2,$D515,$D515-($D515-$I$508)*MIN(M$3-$O$2,$Q$2)/$Q$2))</f>
        <v>36376.8651476746</v>
      </c>
      <c r="N515" s="15" t="n">
        <f aca="false">M515*(1+IF(N$3&lt;=$O$2,$D515,$D515-($D515-$I$508)*MIN(N$3-$O$2,$Q$2)/$Q$2))</f>
        <v>37406.3304313538</v>
      </c>
      <c r="O515" s="15" t="n">
        <f aca="false">SUMPRODUCT(E515:N515,1/(1+$F$508)^$E$3:$N$3)*$E$2</f>
        <v>51560.375978684</v>
      </c>
      <c r="P515" s="15" t="n">
        <f aca="false">N515*$E$2*(1+$I$508)/($F$508-$I$508)/(1+$F$508)^$N$3</f>
        <v>67771.7446161073</v>
      </c>
      <c r="Q515" s="15" t="n">
        <f aca="false">O515+P515</f>
        <v>119332.120594791</v>
      </c>
      <c r="R515" s="15" t="n">
        <f aca="false">Q515-$G$2+$I$2</f>
        <v>107712.120594791</v>
      </c>
      <c r="S515" s="40" t="n">
        <f aca="false">R515/$K$2</f>
        <v>365.410729025312</v>
      </c>
      <c r="T515" s="41" t="n">
        <f aca="false">S515-$M$2</f>
        <v>-44.5699338643981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0.1328125</v>
      </c>
      <c r="C516" s="25" t="n">
        <f aca="false">IF(T515&gt;0,D515,C515)</f>
        <v>0.15625</v>
      </c>
      <c r="D516" s="39" t="n">
        <f aca="false">(B516+C516)/2</f>
        <v>0.14453125</v>
      </c>
      <c r="E516" s="15" t="n">
        <f aca="false">$C$2*(1+IF(E$3&lt;=$O$2,$D516,$D516-($D516-$I$508)*MIN(E$3-$O$2,$Q$2)/$Q$2))</f>
        <v>16386.25390625</v>
      </c>
      <c r="F516" s="15" t="n">
        <f aca="false">E516*(1+IF(F$3&lt;=$O$2,$D516,$D516-($D516-$I$508)*MIN(F$3-$O$2,$Q$2)/$Q$2))</f>
        <v>18754.5796661377</v>
      </c>
      <c r="G516" s="15" t="n">
        <f aca="false">F516*(1+IF(G$3&lt;=$O$2,$D516,$D516-($D516-$I$508)*MIN(G$3-$O$2,$Q$2)/$Q$2))</f>
        <v>21465.2025085092</v>
      </c>
      <c r="H516" s="15" t="n">
        <f aca="false">G516*(1+IF(H$3&lt;=$O$2,$D516,$D516-($D516-$I$508)*MIN(H$3-$O$2,$Q$2)/$Q$2))</f>
        <v>24567.5950585671</v>
      </c>
      <c r="I516" s="15" t="n">
        <f aca="false">H516*(1+IF(I$3&lt;=$O$2,$D516,$D516-($D516-$I$508)*MIN(I$3-$O$2,$Q$2)/$Q$2))</f>
        <v>28118.3802818757</v>
      </c>
      <c r="J516" s="15" t="n">
        <f aca="false">I516*(1+IF(J$3&lt;=$O$2,$D516,$D516-($D516-$I$508)*MIN(J$3-$O$2,$Q$2)/$Q$2))</f>
        <v>31528.7180343629</v>
      </c>
      <c r="K516" s="15" t="n">
        <f aca="false">J516*(1+IF(K$3&lt;=$O$2,$D516,$D516-($D516-$I$508)*MIN(K$3-$O$2,$Q$2)/$Q$2))</f>
        <v>34619.7541395543</v>
      </c>
      <c r="L516" s="15" t="n">
        <f aca="false">K516*(1+IF(L$3&lt;=$O$2,$D516,$D516-($D516-$I$508)*MIN(L$3-$O$2,$Q$2)/$Q$2))</f>
        <v>37209.052101037</v>
      </c>
      <c r="M516" s="15" t="n">
        <f aca="false">L516*(1+IF(M$3&lt;=$O$2,$D516,$D516-($D516-$I$508)*MIN(M$3-$O$2,$Q$2)/$Q$2))</f>
        <v>39127.0392029</v>
      </c>
      <c r="N516" s="15" t="n">
        <f aca="false">M516*(1+IF(N$3&lt;=$O$2,$D516,$D516-($D516-$I$508)*MIN(N$3-$O$2,$Q$2)/$Q$2))</f>
        <v>40234.3344123421</v>
      </c>
      <c r="O516" s="15" t="n">
        <f aca="false">SUMPRODUCT(E516:N516,1/(1+$F$508)^$E$3:$N$3)*$E$2</f>
        <v>54217.7910331522</v>
      </c>
      <c r="P516" s="15" t="n">
        <f aca="false">N516*$E$2*(1+$I$508)/($F$508-$I$508)/(1+$F$508)^$N$3</f>
        <v>72895.4432351044</v>
      </c>
      <c r="Q516" s="15" t="n">
        <f aca="false">O516+P516</f>
        <v>127113.234268257</v>
      </c>
      <c r="R516" s="15" t="n">
        <f aca="false">Q516-$G$2+$I$2</f>
        <v>115493.234268257</v>
      </c>
      <c r="S516" s="40" t="n">
        <f aca="false">R516/$K$2</f>
        <v>391.807966442503</v>
      </c>
      <c r="T516" s="41" t="n">
        <f aca="false">S516-$M$2</f>
        <v>-18.1726964472077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0.14453125</v>
      </c>
      <c r="C517" s="25" t="n">
        <f aca="false">IF(T516&gt;0,D516,C516)</f>
        <v>0.15625</v>
      </c>
      <c r="D517" s="39" t="n">
        <f aca="false">(B517+C517)/2</f>
        <v>0.150390625</v>
      </c>
      <c r="E517" s="15" t="n">
        <f aca="false">$C$2*(1+IF(E$3&lt;=$O$2,$D517,$D517-($D517-$I$508)*MIN(E$3-$O$2,$Q$2)/$Q$2))</f>
        <v>16470.142578125</v>
      </c>
      <c r="F517" s="15" t="n">
        <f aca="false">E517*(1+IF(F$3&lt;=$O$2,$D517,$D517-($D517-$I$508)*MIN(F$3-$O$2,$Q$2)/$Q$2))</f>
        <v>18947.0976142883</v>
      </c>
      <c r="G517" s="15" t="n">
        <f aca="false">F517*(1+IF(G$3&lt;=$O$2,$D517,$D517-($D517-$I$508)*MIN(G$3-$O$2,$Q$2)/$Q$2))</f>
        <v>21796.5634664372</v>
      </c>
      <c r="H517" s="15" t="n">
        <f aca="false">G517*(1+IF(H$3&lt;=$O$2,$D517,$D517-($D517-$I$508)*MIN(H$3-$O$2,$Q$2)/$Q$2))</f>
        <v>25074.5622690068</v>
      </c>
      <c r="I517" s="15" t="n">
        <f aca="false">H517*(1+IF(I$3&lt;=$O$2,$D517,$D517-($D517-$I$508)*MIN(I$3-$O$2,$Q$2)/$Q$2))</f>
        <v>28845.5413602442</v>
      </c>
      <c r="J517" s="15" t="n">
        <f aca="false">I517*(1+IF(J$3&lt;=$O$2,$D517,$D517-($D517-$I$508)*MIN(J$3-$O$2,$Q$2)/$Q$2))</f>
        <v>32479.2863192475</v>
      </c>
      <c r="K517" s="15" t="n">
        <f aca="false">J517*(1+IF(K$3&lt;=$O$2,$D517,$D517-($D517-$I$508)*MIN(K$3-$O$2,$Q$2)/$Q$2))</f>
        <v>35777.6999418448</v>
      </c>
      <c r="L517" s="15" t="n">
        <f aca="false">K517*(1+IF(L$3&lt;=$O$2,$D517,$D517-($D517-$I$508)*MIN(L$3-$O$2,$Q$2)/$Q$2))</f>
        <v>38537.4575489839</v>
      </c>
      <c r="M517" s="15" t="n">
        <f aca="false">L517*(1+IF(M$3&lt;=$O$2,$D517,$D517-($D517-$I$508)*MIN(M$3-$O$2,$Q$2)/$Q$2))</f>
        <v>40569.0800532334</v>
      </c>
      <c r="N517" s="15" t="n">
        <f aca="false">M517*(1+IF(N$3&lt;=$O$2,$D517,$D517-($D517-$I$508)*MIN(N$3-$O$2,$Q$2)/$Q$2))</f>
        <v>41717.1850187399</v>
      </c>
      <c r="O517" s="15" t="n">
        <f aca="false">SUMPRODUCT(E517:N517,1/(1+$F$508)^$E$3:$N$3)*$E$2</f>
        <v>55596.6531713754</v>
      </c>
      <c r="P517" s="15" t="n">
        <f aca="false">N517*$E$2*(1+$I$508)/($F$508-$I$508)/(1+$F$508)^$N$3</f>
        <v>75582.0305437702</v>
      </c>
      <c r="Q517" s="15" t="n">
        <f aca="false">O517+P517</f>
        <v>131178.683715146</v>
      </c>
      <c r="R517" s="15" t="n">
        <f aca="false">Q517-$G$2+$I$2</f>
        <v>119558.683715146</v>
      </c>
      <c r="S517" s="40" t="n">
        <f aca="false">R517/$K$2</f>
        <v>405.599904044324</v>
      </c>
      <c r="T517" s="41" t="n">
        <f aca="false">S517-$M$2</f>
        <v>-4.38075884538614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0.150390625</v>
      </c>
      <c r="C518" s="25" t="n">
        <f aca="false">IF(T517&gt;0,D517,C517)</f>
        <v>0.15625</v>
      </c>
      <c r="D518" s="39" t="n">
        <f aca="false">(B518+C518)/2</f>
        <v>0.1533203125</v>
      </c>
      <c r="E518" s="15" t="n">
        <f aca="false">$C$2*(1+IF(E$3&lt;=$O$2,$D518,$D518-($D518-$I$508)*MIN(E$3-$O$2,$Q$2)/$Q$2))</f>
        <v>16512.0869140625</v>
      </c>
      <c r="F518" s="15" t="n">
        <f aca="false">E518*(1+IF(F$3&lt;=$O$2,$D518,$D518-($D518-$I$508)*MIN(F$3-$O$2,$Q$2)/$Q$2))</f>
        <v>19043.7252397537</v>
      </c>
      <c r="G518" s="15" t="n">
        <f aca="false">F518*(1+IF(G$3&lt;=$O$2,$D518,$D518-($D518-$I$508)*MIN(G$3-$O$2,$Q$2)/$Q$2))</f>
        <v>21963.5151446769</v>
      </c>
      <c r="H518" s="15" t="n">
        <f aca="false">G518*(1+IF(H$3&lt;=$O$2,$D518,$D518-($D518-$I$508)*MIN(H$3-$O$2,$Q$2)/$Q$2))</f>
        <v>25330.9681502572</v>
      </c>
      <c r="I518" s="15" t="n">
        <f aca="false">H518*(1+IF(I$3&lt;=$O$2,$D518,$D518-($D518-$I$508)*MIN(I$3-$O$2,$Q$2)/$Q$2))</f>
        <v>29214.7201029822</v>
      </c>
      <c r="J518" s="15" t="n">
        <f aca="false">I518*(1+IF(J$3&lt;=$O$2,$D518,$D518-($D518-$I$508)*MIN(J$3-$O$2,$Q$2)/$Q$2))</f>
        <v>32963.4434313965</v>
      </c>
      <c r="K518" s="15" t="n">
        <f aca="false">J518*(1+IF(K$3&lt;=$O$2,$D518,$D518-($D518-$I$508)*MIN(K$3-$O$2,$Q$2)/$Q$2))</f>
        <v>36368.9688798266</v>
      </c>
      <c r="L518" s="15" t="n">
        <f aca="false">K518*(1+IF(L$3&lt;=$O$2,$D518,$D518-($D518-$I$508)*MIN(L$3-$O$2,$Q$2)/$Q$2))</f>
        <v>39216.9546409892</v>
      </c>
      <c r="M518" s="15" t="n">
        <f aca="false">L518*(1+IF(M$3&lt;=$O$2,$D518,$D518-($D518-$I$508)*MIN(M$3-$O$2,$Q$2)/$Q$2))</f>
        <v>41307.3776422321</v>
      </c>
      <c r="N518" s="15" t="n">
        <f aca="false">M518*(1+IF(N$3&lt;=$O$2,$D518,$D518-($D518-$I$508)*MIN(N$3-$O$2,$Q$2)/$Q$2))</f>
        <v>42476.3764295073</v>
      </c>
      <c r="O518" s="15" t="n">
        <f aca="false">SUMPRODUCT(E518:N518,1/(1+$F$508)^$E$3:$N$3)*$E$2</f>
        <v>56298.9591049772</v>
      </c>
      <c r="P518" s="15" t="n">
        <f aca="false">N518*$E$2*(1+$I$508)/($F$508-$I$508)/(1+$F$508)^$N$3</f>
        <v>76957.5123355404</v>
      </c>
      <c r="Q518" s="15" t="n">
        <f aca="false">O518+P518</f>
        <v>133256.471440518</v>
      </c>
      <c r="R518" s="15" t="n">
        <f aca="false">Q518-$G$2+$I$2</f>
        <v>121636.471440518</v>
      </c>
      <c r="S518" s="40" t="n">
        <f aca="false">R518/$K$2</f>
        <v>412.648747974752</v>
      </c>
      <c r="T518" s="41" t="n">
        <f aca="false">S518-$M$2</f>
        <v>2.66808508504153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0.150390625</v>
      </c>
      <c r="C519" s="25" t="n">
        <f aca="false">IF(T518&gt;0,D518,C518)</f>
        <v>0.1533203125</v>
      </c>
      <c r="D519" s="39" t="n">
        <f aca="false">(B519+C519)/2</f>
        <v>0.15185546875</v>
      </c>
      <c r="E519" s="15" t="n">
        <f aca="false">$C$2*(1+IF(E$3&lt;=$O$2,$D519,$D519-($D519-$I$508)*MIN(E$3-$O$2,$Q$2)/$Q$2))</f>
        <v>16491.1147460938</v>
      </c>
      <c r="F519" s="15" t="n">
        <f aca="false">E519*(1+IF(F$3&lt;=$O$2,$D519,$D519-($D519-$I$508)*MIN(F$3-$O$2,$Q$2)/$Q$2))</f>
        <v>18995.3807060719</v>
      </c>
      <c r="G519" s="15" t="n">
        <f aca="false">F519*(1+IF(G$3&lt;=$O$2,$D519,$D519-($D519-$I$508)*MIN(G$3-$O$2,$Q$2)/$Q$2))</f>
        <v>21879.9331472771</v>
      </c>
      <c r="H519" s="15" t="n">
        <f aca="false">G519*(1+IF(H$3&lt;=$O$2,$D519,$D519-($D519-$I$508)*MIN(H$3-$O$2,$Q$2)/$Q$2))</f>
        <v>25202.5206515755</v>
      </c>
      <c r="I519" s="15" t="n">
        <f aca="false">H519*(1+IF(I$3&lt;=$O$2,$D519,$D519-($D519-$I$508)*MIN(I$3-$O$2,$Q$2)/$Q$2))</f>
        <v>29029.6612388021</v>
      </c>
      <c r="J519" s="15" t="n">
        <f aca="false">I519*(1+IF(J$3&lt;=$O$2,$D519,$D519-($D519-$I$508)*MIN(J$3-$O$2,$Q$2)/$Q$2))</f>
        <v>32720.6193734713</v>
      </c>
      <c r="K519" s="15" t="n">
        <f aca="false">J519*(1+IF(K$3&lt;=$O$2,$D519,$D519-($D519-$I$508)*MIN(K$3-$O$2,$Q$2)/$Q$2))</f>
        <v>36072.2997804283</v>
      </c>
      <c r="L519" s="15" t="n">
        <f aca="false">K519*(1+IF(L$3&lt;=$O$2,$D519,$D519-($D519-$I$508)*MIN(L$3-$O$2,$Q$2)/$Q$2))</f>
        <v>38875.9178275189</v>
      </c>
      <c r="M519" s="15" t="n">
        <f aca="false">L519*(1+IF(M$3&lt;=$O$2,$D519,$D519-($D519-$I$508)*MIN(M$3-$O$2,$Q$2)/$Q$2))</f>
        <v>40936.7727520908</v>
      </c>
      <c r="N519" s="15" t="n">
        <f aca="false">M519*(1+IF(N$3&lt;=$O$2,$D519,$D519-($D519-$I$508)*MIN(N$3-$O$2,$Q$2)/$Q$2))</f>
        <v>42095.283420975</v>
      </c>
      <c r="O519" s="15" t="n">
        <f aca="false">SUMPRODUCT(E519:N519,1/(1+$F$508)^$E$3:$N$3)*$E$2</f>
        <v>55946.7230660196</v>
      </c>
      <c r="P519" s="15" t="n">
        <f aca="false">N519*$E$2*(1+$I$508)/($F$508-$I$508)/(1+$F$508)^$N$3</f>
        <v>76267.0586676344</v>
      </c>
      <c r="Q519" s="15" t="n">
        <f aca="false">O519+P519</f>
        <v>132213.781733654</v>
      </c>
      <c r="R519" s="15" t="n">
        <f aca="false">Q519-$G$2+$I$2</f>
        <v>120593.781733654</v>
      </c>
      <c r="S519" s="40" t="n">
        <f aca="false">R519/$K$2</f>
        <v>409.111448701204</v>
      </c>
      <c r="T519" s="41" t="n">
        <f aca="false">S519-$M$2</f>
        <v>-0.869214188506305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0.15185546875</v>
      </c>
      <c r="C520" s="25" t="n">
        <f aca="false">IF(T519&gt;0,D519,C519)</f>
        <v>0.1533203125</v>
      </c>
      <c r="D520" s="39" t="n">
        <f aca="false">(B520+C520)/2</f>
        <v>0.152587890625</v>
      </c>
      <c r="E520" s="15" t="n">
        <f aca="false">$C$2*(1+IF(E$3&lt;=$O$2,$D520,$D520-($D520-$I$508)*MIN(E$3-$O$2,$Q$2)/$Q$2))</f>
        <v>16501.6008300781</v>
      </c>
      <c r="F520" s="15" t="n">
        <f aca="false">E520*(1+IF(F$3&lt;=$O$2,$D520,$D520-($D520-$I$508)*MIN(F$3-$O$2,$Q$2)/$Q$2))</f>
        <v>19019.5452926755</v>
      </c>
      <c r="G520" s="15" t="n">
        <f aca="false">F520*(1+IF(G$3&lt;=$O$2,$D520,$D520-($D520-$I$508)*MIN(G$3-$O$2,$Q$2)/$Q$2))</f>
        <v>21921.6975895315</v>
      </c>
      <c r="H520" s="15" t="n">
        <f aca="false">G520*(1+IF(H$3&lt;=$O$2,$D520,$D520-($D520-$I$508)*MIN(H$3-$O$2,$Q$2)/$Q$2))</f>
        <v>25266.6831836373</v>
      </c>
      <c r="I520" s="15" t="n">
        <f aca="false">H520*(1+IF(I$3&lt;=$O$2,$D520,$D520-($D520-$I$508)*MIN(I$3-$O$2,$Q$2)/$Q$2))</f>
        <v>29122.0730737186</v>
      </c>
      <c r="J520" s="15" t="n">
        <f aca="false">I520*(1+IF(J$3&lt;=$O$2,$D520,$D520-($D520-$I$508)*MIN(J$3-$O$2,$Q$2)/$Q$2))</f>
        <v>32841.8445680725</v>
      </c>
      <c r="K520" s="15" t="n">
        <f aca="false">J520*(1+IF(K$3&lt;=$O$2,$D520,$D520-($D520-$I$508)*MIN(K$3-$O$2,$Q$2)/$Q$2))</f>
        <v>36220.3749207089</v>
      </c>
      <c r="L520" s="15" t="n">
        <f aca="false">K520*(1+IF(L$3&lt;=$O$2,$D520,$D520-($D520-$I$508)*MIN(L$3-$O$2,$Q$2)/$Q$2))</f>
        <v>39046.1131295816</v>
      </c>
      <c r="M520" s="15" t="n">
        <f aca="false">L520*(1+IF(M$3&lt;=$O$2,$D520,$D520-($D520-$I$508)*MIN(M$3-$O$2,$Q$2)/$Q$2))</f>
        <v>41121.7099387449</v>
      </c>
      <c r="N520" s="15" t="n">
        <f aca="false">M520*(1+IF(N$3&lt;=$O$2,$D520,$D520-($D520-$I$508)*MIN(N$3-$O$2,$Q$2)/$Q$2))</f>
        <v>42285.4543300114</v>
      </c>
      <c r="O520" s="15" t="n">
        <f aca="false">SUMPRODUCT(E520:N520,1/(1+$F$508)^$E$3:$N$3)*$E$2</f>
        <v>56122.5695498026</v>
      </c>
      <c r="P520" s="15" t="n">
        <f aca="false">N520*$E$2*(1+$I$508)/($F$508-$I$508)/(1+$F$508)^$N$3</f>
        <v>76611.6050086415</v>
      </c>
      <c r="Q520" s="15" t="n">
        <f aca="false">O520+P520</f>
        <v>132734.174558444</v>
      </c>
      <c r="R520" s="15" t="n">
        <f aca="false">Q520-$G$2+$I$2</f>
        <v>121114.174558444</v>
      </c>
      <c r="S520" s="40" t="n">
        <f aca="false">R520/$K$2</f>
        <v>410.876868604146</v>
      </c>
      <c r="T520" s="41" t="n">
        <f aca="false">S520-$M$2</f>
        <v>0.896205714435496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0.15185546875</v>
      </c>
      <c r="C521" s="25" t="n">
        <f aca="false">IF(T520&gt;0,D520,C520)</f>
        <v>0.152587890625</v>
      </c>
      <c r="D521" s="39" t="n">
        <f aca="false">(B521+C521)/2</f>
        <v>0.1522216796875</v>
      </c>
      <c r="E521" s="15" t="n">
        <f aca="false">$C$2*(1+IF(E$3&lt;=$O$2,$D521,$D521-($D521-$I$508)*MIN(E$3-$O$2,$Q$2)/$Q$2))</f>
        <v>16496.3577880859</v>
      </c>
      <c r="F521" s="15" t="n">
        <f aca="false">E521*(1+IF(F$3&lt;=$O$2,$D521,$D521-($D521-$I$508)*MIN(F$3-$O$2,$Q$2)/$Q$2))</f>
        <v>19007.4610793144</v>
      </c>
      <c r="G521" s="15" t="n">
        <f aca="false">F521*(1+IF(G$3&lt;=$O$2,$D521,$D521-($D521-$I$508)*MIN(G$3-$O$2,$Q$2)/$Q$2))</f>
        <v>21900.8087314024</v>
      </c>
      <c r="H521" s="15" t="n">
        <f aca="false">G521*(1+IF(H$3&lt;=$O$2,$D521,$D521-($D521-$I$508)*MIN(H$3-$O$2,$Q$2)/$Q$2))</f>
        <v>25234.5866230111</v>
      </c>
      <c r="I521" s="15" t="n">
        <f aca="false">H521*(1+IF(I$3&lt;=$O$2,$D521,$D521-($D521-$I$508)*MIN(I$3-$O$2,$Q$2)/$Q$2))</f>
        <v>29075.8377849856</v>
      </c>
      <c r="J521" s="15" t="n">
        <f aca="false">I521*(1+IF(J$3&lt;=$O$2,$D521,$D521-($D521-$I$508)*MIN(J$3-$O$2,$Q$2)/$Q$2))</f>
        <v>32781.18531961</v>
      </c>
      <c r="K521" s="15" t="n">
        <f aca="false">J521*(1+IF(K$3&lt;=$O$2,$D521,$D521-($D521-$I$508)*MIN(K$3-$O$2,$Q$2)/$Q$2))</f>
        <v>36146.272592327</v>
      </c>
      <c r="L521" s="15" t="n">
        <f aca="false">K521*(1+IF(L$3&lt;=$O$2,$D521,$D521-($D521-$I$508)*MIN(L$3-$O$2,$Q$2)/$Q$2))</f>
        <v>38960.9348323232</v>
      </c>
      <c r="M521" s="15" t="n">
        <f aca="false">L521*(1+IF(M$3&lt;=$O$2,$D521,$D521-($D521-$I$508)*MIN(M$3-$O$2,$Q$2)/$Q$2))</f>
        <v>41029.1501854012</v>
      </c>
      <c r="N521" s="15" t="n">
        <f aca="false">M521*(1+IF(N$3&lt;=$O$2,$D521,$D521-($D521-$I$508)*MIN(N$3-$O$2,$Q$2)/$Q$2))</f>
        <v>42190.2751356481</v>
      </c>
      <c r="O521" s="15" t="n">
        <f aca="false">SUMPRODUCT(E521:N521,1/(1+$F$508)^$E$3:$N$3)*$E$2</f>
        <v>56034.5785200911</v>
      </c>
      <c r="P521" s="15" t="n">
        <f aca="false">N521*$E$2*(1+$I$508)/($F$508-$I$508)/(1+$F$508)^$N$3</f>
        <v>76439.162002905</v>
      </c>
      <c r="Q521" s="15" t="n">
        <f aca="false">O521+P521</f>
        <v>132473.740522996</v>
      </c>
      <c r="R521" s="15" t="n">
        <f aca="false">Q521-$G$2+$I$2</f>
        <v>120853.740522996</v>
      </c>
      <c r="S521" s="40" t="n">
        <f aca="false">R521/$K$2</f>
        <v>409.993352522292</v>
      </c>
      <c r="T521" s="41" t="n">
        <f aca="false">S521-$M$2</f>
        <v>0.0126896325817825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0.15185546875</v>
      </c>
      <c r="C522" s="25" t="n">
        <f aca="false">IF(T521&gt;0,D521,C521)</f>
        <v>0.1522216796875</v>
      </c>
      <c r="D522" s="39" t="n">
        <f aca="false">(B522+C522)/2</f>
        <v>0.15203857421875</v>
      </c>
      <c r="E522" s="15" t="n">
        <f aca="false">$C$2*(1+IF(E$3&lt;=$O$2,$D522,$D522-($D522-$I$508)*MIN(E$3-$O$2,$Q$2)/$Q$2))</f>
        <v>16493.7362670898</v>
      </c>
      <c r="F522" s="15" t="n">
        <f aca="false">E522*(1+IF(F$3&lt;=$O$2,$D522,$D522-($D522-$I$508)*MIN(F$3-$O$2,$Q$2)/$Q$2))</f>
        <v>19001.4204126783</v>
      </c>
      <c r="G522" s="15" t="n">
        <f aca="false">F522*(1+IF(G$3&lt;=$O$2,$D522,$D522-($D522-$I$508)*MIN(G$3-$O$2,$Q$2)/$Q$2))</f>
        <v>21890.3692803529</v>
      </c>
      <c r="H522" s="15" t="n">
        <f aca="false">G522*(1+IF(H$3&lt;=$O$2,$D522,$D522-($D522-$I$508)*MIN(H$3-$O$2,$Q$2)/$Q$2))</f>
        <v>25218.5498148597</v>
      </c>
      <c r="I522" s="15" t="n">
        <f aca="false">H522*(1+IF(I$3&lt;=$O$2,$D522,$D522-($D522-$I$508)*MIN(I$3-$O$2,$Q$2)/$Q$2))</f>
        <v>29052.7421725755</v>
      </c>
      <c r="J522" s="15" t="n">
        <f aca="false">I522*(1+IF(J$3&lt;=$O$2,$D522,$D522-($D522-$I$508)*MIN(J$3-$O$2,$Q$2)/$Q$2))</f>
        <v>32750.8906909229</v>
      </c>
      <c r="K522" s="15" t="n">
        <f aca="false">J522*(1+IF(K$3&lt;=$O$2,$D522,$D522-($D522-$I$508)*MIN(K$3-$O$2,$Q$2)/$Q$2))</f>
        <v>36109.2700085694</v>
      </c>
      <c r="L522" s="15" t="n">
        <f aca="false">K522*(1+IF(L$3&lt;=$O$2,$D522,$D522-($D522-$I$508)*MIN(L$3-$O$2,$Q$2)/$Q$2))</f>
        <v>38918.406184588</v>
      </c>
      <c r="M522" s="15" t="n">
        <f aca="false">L522*(1+IF(M$3&lt;=$O$2,$D522,$D522-($D522-$I$508)*MIN(M$3-$O$2,$Q$2)/$Q$2))</f>
        <v>40982.9386980413</v>
      </c>
      <c r="N522" s="15" t="n">
        <f aca="false">M522*(1+IF(N$3&lt;=$O$2,$D522,$D522-($D522-$I$508)*MIN(N$3-$O$2,$Q$2)/$Q$2))</f>
        <v>42142.7558631959</v>
      </c>
      <c r="O522" s="15" t="n">
        <f aca="false">SUMPRODUCT(E522:N522,1/(1+$F$508)^$E$3:$N$3)*$E$2</f>
        <v>55990.6338581005</v>
      </c>
      <c r="P522" s="15" t="n">
        <f aca="false">N522*$E$2*(1+$I$508)/($F$508-$I$508)/(1+$F$508)^$N$3</f>
        <v>76353.0679124171</v>
      </c>
      <c r="Q522" s="15" t="n">
        <f aca="false">O522+P522</f>
        <v>132343.701770518</v>
      </c>
      <c r="R522" s="15" t="n">
        <f aca="false">Q522-$G$2+$I$2</f>
        <v>120723.701770518</v>
      </c>
      <c r="S522" s="40" t="n">
        <f aca="false">R522/$K$2</f>
        <v>409.552199241842</v>
      </c>
      <c r="T522" s="41" t="n">
        <f aca="false">S522-$M$2</f>
        <v>-0.428463647869023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0.15203857421875</v>
      </c>
      <c r="C523" s="25" t="n">
        <f aca="false">IF(T522&gt;0,D522,C522)</f>
        <v>0.1522216796875</v>
      </c>
      <c r="D523" s="39" t="n">
        <f aca="false">(B523+C523)/2</f>
        <v>0.152130126953125</v>
      </c>
      <c r="E523" s="15" t="n">
        <f aca="false">$C$2*(1+IF(E$3&lt;=$O$2,$D523,$D523-($D523-$I$508)*MIN(E$3-$O$2,$Q$2)/$Q$2))</f>
        <v>16495.0470275879</v>
      </c>
      <c r="F523" s="15" t="n">
        <f aca="false">E523*(1+IF(F$3&lt;=$O$2,$D523,$D523-($D523-$I$508)*MIN(F$3-$O$2,$Q$2)/$Q$2))</f>
        <v>19004.4406259926</v>
      </c>
      <c r="G523" s="15" t="n">
        <f aca="false">F523*(1+IF(G$3&lt;=$O$2,$D523,$D523-($D523-$I$508)*MIN(G$3-$O$2,$Q$2)/$Q$2))</f>
        <v>21895.588591098</v>
      </c>
      <c r="H523" s="15" t="n">
        <f aca="false">G523*(1+IF(H$3&lt;=$O$2,$D523,$D523-($D523-$I$508)*MIN(H$3-$O$2,$Q$2)/$Q$2))</f>
        <v>25226.5672631751</v>
      </c>
      <c r="I523" s="15" t="n">
        <f aca="false">H523*(1+IF(I$3&lt;=$O$2,$D523,$D523-($D523-$I$508)*MIN(I$3-$O$2,$Q$2)/$Q$2))</f>
        <v>29064.2881435135</v>
      </c>
      <c r="J523" s="15" t="n">
        <f aca="false">I523*(1+IF(J$3&lt;=$O$2,$D523,$D523-($D523-$I$508)*MIN(J$3-$O$2,$Q$2)/$Q$2))</f>
        <v>32766.0350904657</v>
      </c>
      <c r="K523" s="15" t="n">
        <f aca="false">J523*(1+IF(K$3&lt;=$O$2,$D523,$D523-($D523-$I$508)*MIN(K$3-$O$2,$Q$2)/$Q$2))</f>
        <v>36127.7672545276</v>
      </c>
      <c r="L523" s="15" t="n">
        <f aca="false">K523*(1+IF(L$3&lt;=$O$2,$D523,$D523-($D523-$I$508)*MIN(L$3-$O$2,$Q$2)/$Q$2))</f>
        <v>38939.6654700952</v>
      </c>
      <c r="M523" s="15" t="n">
        <f aca="false">L523*(1+IF(M$3&lt;=$O$2,$D523,$D523-($D523-$I$508)*MIN(M$3-$O$2,$Q$2)/$Q$2))</f>
        <v>41006.0387466337</v>
      </c>
      <c r="N523" s="15" t="n">
        <f aca="false">M523*(1+IF(N$3&lt;=$O$2,$D523,$D523-($D523-$I$508)*MIN(N$3-$O$2,$Q$2)/$Q$2))</f>
        <v>42166.5096431635</v>
      </c>
      <c r="O523" s="15" t="n">
        <f aca="false">SUMPRODUCT(E523:N523,1/(1+$F$508)^$E$3:$N$3)*$E$2</f>
        <v>56012.6019538576</v>
      </c>
      <c r="P523" s="15" t="n">
        <f aca="false">N523*$E$2*(1+$I$508)/($F$508-$I$508)/(1+$F$508)^$N$3</f>
        <v>76396.1043474555</v>
      </c>
      <c r="Q523" s="15" t="n">
        <f aca="false">O523+P523</f>
        <v>132408.706301313</v>
      </c>
      <c r="R523" s="15" t="n">
        <f aca="false">Q523-$G$2+$I$2</f>
        <v>120788.706301313</v>
      </c>
      <c r="S523" s="40" t="n">
        <f aca="false">R523/$K$2</f>
        <v>409.772725519263</v>
      </c>
      <c r="T523" s="41" t="n">
        <f aca="false">S523-$M$2</f>
        <v>-0.207937370447723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0.152130126953125</v>
      </c>
      <c r="C524" s="25" t="n">
        <f aca="false">IF(T523&gt;0,D523,C523)</f>
        <v>0.1522216796875</v>
      </c>
      <c r="D524" s="39" t="n">
        <f aca="false">(B524+C524)/2</f>
        <v>0.152175903320313</v>
      </c>
      <c r="E524" s="15" t="n">
        <f aca="false">$C$2*(1+IF(E$3&lt;=$O$2,$D524,$D524-($D524-$I$508)*MIN(E$3-$O$2,$Q$2)/$Q$2))</f>
        <v>16495.7024078369</v>
      </c>
      <c r="F524" s="15" t="n">
        <f aca="false">E524*(1+IF(F$3&lt;=$O$2,$D524,$D524-($D524-$I$508)*MIN(F$3-$O$2,$Q$2)/$Q$2))</f>
        <v>19005.9508226526</v>
      </c>
      <c r="G524" s="15" t="n">
        <f aca="false">F524*(1+IF(G$3&lt;=$O$2,$D524,$D524-($D524-$I$508)*MIN(G$3-$O$2,$Q$2)/$Q$2))</f>
        <v>21898.1985575511</v>
      </c>
      <c r="H524" s="15" t="n">
        <f aca="false">G524*(1+IF(H$3&lt;=$O$2,$D524,$D524-($D524-$I$508)*MIN(H$3-$O$2,$Q$2)/$Q$2))</f>
        <v>25230.576704134</v>
      </c>
      <c r="I524" s="15" t="n">
        <f aca="false">H524*(1+IF(I$3&lt;=$O$2,$D524,$D524-($D524-$I$508)*MIN(I$3-$O$2,$Q$2)/$Q$2))</f>
        <v>29070.0625053781</v>
      </c>
      <c r="J524" s="15" t="n">
        <f aca="false">I524*(1+IF(J$3&lt;=$O$2,$D524,$D524-($D524-$I$508)*MIN(J$3-$O$2,$Q$2)/$Q$2))</f>
        <v>32773.6094762256</v>
      </c>
      <c r="K524" s="15" t="n">
        <f aca="false">J524*(1+IF(K$3&lt;=$O$2,$D524,$D524-($D524-$I$508)*MIN(K$3-$O$2,$Q$2)/$Q$2))</f>
        <v>36137.0189117636</v>
      </c>
      <c r="L524" s="15" t="n">
        <f aca="false">K524*(1+IF(L$3&lt;=$O$2,$D524,$D524-($D524-$I$508)*MIN(L$3-$O$2,$Q$2)/$Q$2))</f>
        <v>38950.2988913656</v>
      </c>
      <c r="M524" s="15" t="n">
        <f aca="false">L524*(1+IF(M$3&lt;=$O$2,$D524,$D524-($D524-$I$508)*MIN(M$3-$O$2,$Q$2)/$Q$2))</f>
        <v>41017.5930419441</v>
      </c>
      <c r="N524" s="15" t="n">
        <f aca="false">M524*(1+IF(N$3&lt;=$O$2,$D524,$D524-($D524-$I$508)*MIN(N$3-$O$2,$Q$2)/$Q$2))</f>
        <v>42178.3909250311</v>
      </c>
      <c r="O524" s="15" t="n">
        <f aca="false">SUMPRODUCT(E524:N524,1/(1+$F$508)^$E$3:$N$3)*$E$2</f>
        <v>56023.5891779774</v>
      </c>
      <c r="P524" s="15" t="n">
        <f aca="false">N524*$E$2*(1+$I$508)/($F$508-$I$508)/(1+$F$508)^$N$3</f>
        <v>76417.6305220671</v>
      </c>
      <c r="Q524" s="15" t="n">
        <f aca="false">O524+P524</f>
        <v>132441.219700044</v>
      </c>
      <c r="R524" s="15" t="n">
        <f aca="false">Q524-$G$2+$I$2</f>
        <v>120821.219700044</v>
      </c>
      <c r="S524" s="40" t="n">
        <f aca="false">R524/$K$2</f>
        <v>409.883026427535</v>
      </c>
      <c r="T524" s="41" t="n">
        <f aca="false">S524-$M$2</f>
        <v>-0.0976364621756716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0.152175903320313</v>
      </c>
      <c r="C525" s="25" t="n">
        <f aca="false">IF(T524&gt;0,D524,C524)</f>
        <v>0.1522216796875</v>
      </c>
      <c r="D525" s="39" t="n">
        <f aca="false">(B525+C525)/2</f>
        <v>0.152198791503906</v>
      </c>
      <c r="E525" s="15" t="n">
        <f aca="false">$C$2*(1+IF(E$3&lt;=$O$2,$D525,$D525-($D525-$I$508)*MIN(E$3-$O$2,$Q$2)/$Q$2))</f>
        <v>16496.0300979614</v>
      </c>
      <c r="F525" s="15" t="n">
        <f aca="false">E525*(1+IF(F$3&lt;=$O$2,$D525,$D525-($D525-$I$508)*MIN(F$3-$O$2,$Q$2)/$Q$2))</f>
        <v>19006.7059434832</v>
      </c>
      <c r="G525" s="15" t="n">
        <f aca="false">F525*(1+IF(G$3&lt;=$O$2,$D525,$D525-($D525-$I$508)*MIN(G$3-$O$2,$Q$2)/$Q$2))</f>
        <v>21899.5036185515</v>
      </c>
      <c r="H525" s="15" t="n">
        <f aca="false">G525*(1+IF(H$3&lt;=$O$2,$D525,$D525-($D525-$I$508)*MIN(H$3-$O$2,$Q$2)/$Q$2))</f>
        <v>25232.5816038304</v>
      </c>
      <c r="I525" s="15" t="n">
        <f aca="false">H525*(1+IF(I$3&lt;=$O$2,$D525,$D525-($D525-$I$508)*MIN(I$3-$O$2,$Q$2)/$Q$2))</f>
        <v>29072.9500304571</v>
      </c>
      <c r="J525" s="15" t="n">
        <f aca="false">I525*(1+IF(J$3&lt;=$O$2,$D525,$D525-($D525-$I$508)*MIN(J$3-$O$2,$Q$2)/$Q$2))</f>
        <v>32777.3972157007</v>
      </c>
      <c r="K525" s="15" t="n">
        <f aca="false">J525*(1+IF(K$3&lt;=$O$2,$D525,$D525-($D525-$I$508)*MIN(K$3-$O$2,$Q$2)/$Q$2))</f>
        <v>36141.6454991064</v>
      </c>
      <c r="L525" s="15" t="n">
        <f aca="false">K525*(1+IF(L$3&lt;=$O$2,$D525,$D525-($D525-$I$508)*MIN(L$3-$O$2,$Q$2)/$Q$2))</f>
        <v>38955.6165468518</v>
      </c>
      <c r="M525" s="15" t="n">
        <f aca="false">L525*(1+IF(M$3&lt;=$O$2,$D525,$D525-($D525-$I$508)*MIN(M$3-$O$2,$Q$2)/$Q$2))</f>
        <v>41023.3712576166</v>
      </c>
      <c r="N525" s="15" t="n">
        <f aca="false">M525*(1+IF(N$3&lt;=$O$2,$D525,$D525-($D525-$I$508)*MIN(N$3-$O$2,$Q$2)/$Q$2))</f>
        <v>42184.3326642072</v>
      </c>
      <c r="O525" s="15" t="n">
        <f aca="false">SUMPRODUCT(E525:N525,1/(1+$F$508)^$E$3:$N$3)*$E$2</f>
        <v>56029.0835842615</v>
      </c>
      <c r="P525" s="15" t="n">
        <f aca="false">N525*$E$2*(1+$I$508)/($F$508-$I$508)/(1+$F$508)^$N$3</f>
        <v>76428.3955991375</v>
      </c>
      <c r="Q525" s="15" t="n">
        <f aca="false">O525+P525</f>
        <v>132457.479183399</v>
      </c>
      <c r="R525" s="15" t="n">
        <f aca="false">Q525-$G$2+$I$2</f>
        <v>120837.479183399</v>
      </c>
      <c r="S525" s="40" t="n">
        <f aca="false">R525/$K$2</f>
        <v>409.938186326285</v>
      </c>
      <c r="T525" s="41" t="n">
        <f aca="false">S525-$M$2</f>
        <v>-0.0424765634254527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0.152198791503906</v>
      </c>
      <c r="C526" s="25" t="n">
        <f aca="false">IF(T525&gt;0,D525,C525)</f>
        <v>0.1522216796875</v>
      </c>
      <c r="D526" s="39" t="n">
        <f aca="false">(B526+C526)/2</f>
        <v>0.152210235595703</v>
      </c>
      <c r="E526" s="15" t="n">
        <f aca="false">$C$2*(1+IF(E$3&lt;=$O$2,$D526,$D526-($D526-$I$508)*MIN(E$3-$O$2,$Q$2)/$Q$2))</f>
        <v>16496.1939430237</v>
      </c>
      <c r="F526" s="15" t="n">
        <f aca="false">E526*(1+IF(F$3&lt;=$O$2,$D526,$D526-($D526-$I$508)*MIN(F$3-$O$2,$Q$2)/$Q$2))</f>
        <v>19007.0835095237</v>
      </c>
      <c r="G526" s="15" t="n">
        <f aca="false">F526*(1+IF(G$3&lt;=$O$2,$D526,$D526-($D526-$I$508)*MIN(G$3-$O$2,$Q$2)/$Q$2))</f>
        <v>21900.1561684955</v>
      </c>
      <c r="H526" s="15" t="n">
        <f aca="false">G526*(1+IF(H$3&lt;=$O$2,$D526,$D526-($D526-$I$508)*MIN(H$3-$O$2,$Q$2)/$Q$2))</f>
        <v>25233.5840984849</v>
      </c>
      <c r="I526" s="15" t="n">
        <f aca="false">H526*(1+IF(I$3&lt;=$O$2,$D526,$D526-($D526-$I$508)*MIN(I$3-$O$2,$Q$2)/$Q$2))</f>
        <v>29074.3938790393</v>
      </c>
      <c r="J526" s="15" t="n">
        <f aca="false">I526*(1+IF(J$3&lt;=$O$2,$D526,$D526-($D526-$I$508)*MIN(J$3-$O$2,$Q$2)/$Q$2))</f>
        <v>32779.2912220994</v>
      </c>
      <c r="K526" s="15" t="n">
        <f aca="false">J526*(1+IF(K$3&lt;=$O$2,$D526,$D526-($D526-$I$508)*MIN(K$3-$O$2,$Q$2)/$Q$2))</f>
        <v>36143.9589824791</v>
      </c>
      <c r="L526" s="15" t="n">
        <f aca="false">K526*(1+IF(L$3&lt;=$O$2,$D526,$D526-($D526-$I$508)*MIN(L$3-$O$2,$Q$2)/$Q$2))</f>
        <v>38958.2756108354</v>
      </c>
      <c r="M526" s="15" t="n">
        <f aca="false">L526*(1+IF(M$3&lt;=$O$2,$D526,$D526-($D526-$I$508)*MIN(M$3-$O$2,$Q$2)/$Q$2))</f>
        <v>41026.2606324902</v>
      </c>
      <c r="N526" s="15" t="n">
        <f aca="false">M526*(1+IF(N$3&lt;=$O$2,$D526,$D526-($D526-$I$508)*MIN(N$3-$O$2,$Q$2)/$Q$2))</f>
        <v>42187.3038083897</v>
      </c>
      <c r="O526" s="15" t="n">
        <f aca="false">SUMPRODUCT(E526:N526,1/(1+$F$508)^$E$3:$N$3)*$E$2</f>
        <v>56031.8309859802</v>
      </c>
      <c r="P526" s="15" t="n">
        <f aca="false">N526*$E$2*(1+$I$508)/($F$508-$I$508)/(1+$F$508)^$N$3</f>
        <v>76433.7786351754</v>
      </c>
      <c r="Q526" s="15" t="n">
        <f aca="false">O526+P526</f>
        <v>132465.609621156</v>
      </c>
      <c r="R526" s="15" t="n">
        <f aca="false">Q526-$G$2+$I$2</f>
        <v>120845.609621156</v>
      </c>
      <c r="S526" s="40" t="n">
        <f aca="false">R526/$K$2</f>
        <v>409.965768637092</v>
      </c>
      <c r="T526" s="41" t="n">
        <f aca="false">S526-$M$2</f>
        <v>-0.0148942526186033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0.152210235595703</v>
      </c>
      <c r="C527" s="25" t="n">
        <f aca="false">IF(T526&gt;0,D526,C526)</f>
        <v>0.1522216796875</v>
      </c>
      <c r="D527" s="39" t="n">
        <f aca="false">(B527+C527)/2</f>
        <v>0.152215957641602</v>
      </c>
      <c r="E527" s="15" t="n">
        <f aca="false">$C$2*(1+IF(E$3&lt;=$O$2,$D527,$D527-($D527-$I$508)*MIN(E$3-$O$2,$Q$2)/$Q$2))</f>
        <v>16496.2758655548</v>
      </c>
      <c r="F527" s="15" t="n">
        <f aca="false">E527*(1+IF(F$3&lt;=$O$2,$D527,$D527-($D527-$I$508)*MIN(F$3-$O$2,$Q$2)/$Q$2))</f>
        <v>19007.2722939503</v>
      </c>
      <c r="G527" s="15" t="n">
        <f aca="false">F527*(1+IF(G$3&lt;=$O$2,$D527,$D527-($D527-$I$508)*MIN(G$3-$O$2,$Q$2)/$Q$2))</f>
        <v>21900.4824483286</v>
      </c>
      <c r="H527" s="15" t="n">
        <f aca="false">G527*(1+IF(H$3&lt;=$O$2,$D527,$D527-($D527-$I$508)*MIN(H$3-$O$2,$Q$2)/$Q$2))</f>
        <v>25234.085357014</v>
      </c>
      <c r="I527" s="15" t="n">
        <f aca="false">H527*(1+IF(I$3&lt;=$O$2,$D527,$D527-($D527-$I$508)*MIN(I$3-$O$2,$Q$2)/$Q$2))</f>
        <v>29075.1158248418</v>
      </c>
      <c r="J527" s="15" t="n">
        <f aca="false">I527*(1+IF(J$3&lt;=$O$2,$D527,$D527-($D527-$I$508)*MIN(J$3-$O$2,$Q$2)/$Q$2))</f>
        <v>32780.2382594655</v>
      </c>
      <c r="K527" s="15" t="n">
        <f aca="false">J527*(1+IF(K$3&lt;=$O$2,$D527,$D527-($D527-$I$508)*MIN(K$3-$O$2,$Q$2)/$Q$2))</f>
        <v>36145.1157715932</v>
      </c>
      <c r="L527" s="15" t="n">
        <f aca="false">K527*(1+IF(L$3&lt;=$O$2,$D527,$D527-($D527-$I$508)*MIN(L$3-$O$2,$Q$2)/$Q$2))</f>
        <v>38959.6052018907</v>
      </c>
      <c r="M527" s="15" t="n">
        <f aca="false">L527*(1+IF(M$3&lt;=$O$2,$D527,$D527-($D527-$I$508)*MIN(M$3-$O$2,$Q$2)/$Q$2))</f>
        <v>41027.7053866905</v>
      </c>
      <c r="N527" s="15" t="n">
        <f aca="false">M527*(1+IF(N$3&lt;=$O$2,$D527,$D527-($D527-$I$508)*MIN(N$3-$O$2,$Q$2)/$Q$2))</f>
        <v>42188.7894491338</v>
      </c>
      <c r="O527" s="15" t="n">
        <f aca="false">SUMPRODUCT(E527:N527,1/(1+$F$508)^$E$3:$N$3)*$E$2</f>
        <v>56033.2047364863</v>
      </c>
      <c r="P527" s="15" t="n">
        <f aca="false">N527*$E$2*(1+$I$508)/($F$508-$I$508)/(1+$F$508)^$N$3</f>
        <v>76436.4702775776</v>
      </c>
      <c r="Q527" s="15" t="n">
        <f aca="false">O527+P527</f>
        <v>132469.675014064</v>
      </c>
      <c r="R527" s="15" t="n">
        <f aca="false">Q527-$G$2+$I$2</f>
        <v>120849.675014064</v>
      </c>
      <c r="S527" s="40" t="n">
        <f aca="false">R527/$K$2</f>
        <v>409.979560382888</v>
      </c>
      <c r="T527" s="41" t="n">
        <f aca="false">S527-$M$2</f>
        <v>-0.00110250682268997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0.152215957641602</v>
      </c>
      <c r="C528" s="25" t="n">
        <f aca="false">IF(T527&gt;0,D527,C527)</f>
        <v>0.1522216796875</v>
      </c>
      <c r="D528" s="39" t="n">
        <f aca="false">(B528+C528)/2</f>
        <v>0.152218818664551</v>
      </c>
      <c r="E528" s="15" t="n">
        <f aca="false">$C$2*(1+IF(E$3&lt;=$O$2,$D528,$D528-($D528-$I$508)*MIN(E$3-$O$2,$Q$2)/$Q$2))</f>
        <v>16496.3168268204</v>
      </c>
      <c r="F528" s="15" t="n">
        <f aca="false">E528*(1+IF(F$3&lt;=$O$2,$D528,$D528-($D528-$I$508)*MIN(F$3-$O$2,$Q$2)/$Q$2))</f>
        <v>19007.3666865151</v>
      </c>
      <c r="G528" s="15" t="n">
        <f aca="false">F528*(1+IF(G$3&lt;=$O$2,$D528,$D528-($D528-$I$508)*MIN(G$3-$O$2,$Q$2)/$Q$2))</f>
        <v>21900.6455894604</v>
      </c>
      <c r="H528" s="15" t="n">
        <f aca="false">G528*(1+IF(H$3&lt;=$O$2,$D528,$D528-($D528-$I$508)*MIN(H$3-$O$2,$Q$2)/$Q$2))</f>
        <v>25234.3359890791</v>
      </c>
      <c r="I528" s="15" t="n">
        <f aca="false">H528*(1+IF(I$3&lt;=$O$2,$D528,$D528-($D528-$I$508)*MIN(I$3-$O$2,$Q$2)/$Q$2))</f>
        <v>29075.476803121</v>
      </c>
      <c r="J528" s="15" t="n">
        <f aca="false">I528*(1+IF(J$3&lt;=$O$2,$D528,$D528-($D528-$I$508)*MIN(J$3-$O$2,$Q$2)/$Q$2))</f>
        <v>32780.7117866904</v>
      </c>
      <c r="K528" s="15" t="n">
        <f aca="false">J528*(1+IF(K$3&lt;=$O$2,$D528,$D528-($D528-$I$508)*MIN(K$3-$O$2,$Q$2)/$Q$2))</f>
        <v>36145.6941780076</v>
      </c>
      <c r="L528" s="15" t="n">
        <f aca="false">K528*(1+IF(L$3&lt;=$O$2,$D528,$D528-($D528-$I$508)*MIN(L$3-$O$2,$Q$2)/$Q$2))</f>
        <v>38960.2700121848</v>
      </c>
      <c r="M528" s="15" t="n">
        <f aca="false">L528*(1+IF(M$3&lt;=$O$2,$D528,$D528-($D528-$I$508)*MIN(M$3-$O$2,$Q$2)/$Q$2))</f>
        <v>41028.427780482</v>
      </c>
      <c r="N528" s="15" t="n">
        <f aca="false">M528*(1+IF(N$3&lt;=$O$2,$D528,$D528-($D528-$I$508)*MIN(N$3-$O$2,$Q$2)/$Q$2))</f>
        <v>42189.5322866696</v>
      </c>
      <c r="O528" s="15" t="n">
        <f aca="false">SUMPRODUCT(E528:N528,1/(1+$F$508)^$E$3:$N$3)*$E$2</f>
        <v>56033.8916241513</v>
      </c>
      <c r="P528" s="15" t="n">
        <f aca="false">N528*$E$2*(1+$I$508)/($F$508-$I$508)/(1+$F$508)^$N$3</f>
        <v>76437.8161298755</v>
      </c>
      <c r="Q528" s="15" t="n">
        <f aca="false">O528+P528</f>
        <v>132471.707754027</v>
      </c>
      <c r="R528" s="15" t="n">
        <f aca="false">Q528-$G$2+$I$2</f>
        <v>120851.707754027</v>
      </c>
      <c r="S528" s="40" t="n">
        <f aca="false">R528/$K$2</f>
        <v>409.986456403389</v>
      </c>
      <c r="T528" s="41" t="n">
        <f aca="false">S528-$M$2</f>
        <v>0.00579351367798608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0.152215957641602</v>
      </c>
      <c r="C529" s="25" t="n">
        <f aca="false">IF(T528&gt;0,D528,C528)</f>
        <v>0.152218818664551</v>
      </c>
      <c r="D529" s="39" t="n">
        <f aca="false">(B529+C529)/2</f>
        <v>0.152217388153076</v>
      </c>
      <c r="E529" s="15" t="n">
        <f aca="false">$C$2*(1+IF(E$3&lt;=$O$2,$D529,$D529-($D529-$I$508)*MIN(E$3-$O$2,$Q$2)/$Q$2))</f>
        <v>16496.2963461876</v>
      </c>
      <c r="F529" s="15" t="n">
        <f aca="false">E529*(1+IF(F$3&lt;=$O$2,$D529,$D529-($D529-$I$508)*MIN(F$3-$O$2,$Q$2)/$Q$2))</f>
        <v>19007.3194902034</v>
      </c>
      <c r="G529" s="15" t="n">
        <f aca="false">F529*(1+IF(G$3&lt;=$O$2,$D529,$D529-($D529-$I$508)*MIN(G$3-$O$2,$Q$2)/$Q$2))</f>
        <v>21900.5640187932</v>
      </c>
      <c r="H529" s="15" t="n">
        <f aca="false">G529*(1+IF(H$3&lt;=$O$2,$D529,$D529-($D529-$I$508)*MIN(H$3-$O$2,$Q$2)/$Q$2))</f>
        <v>25234.2106728132</v>
      </c>
      <c r="I529" s="15" t="n">
        <f aca="false">H529*(1+IF(I$3&lt;=$O$2,$D529,$D529-($D529-$I$508)*MIN(I$3-$O$2,$Q$2)/$Q$2))</f>
        <v>29075.2963135333</v>
      </c>
      <c r="J529" s="15" t="n">
        <f aca="false">I529*(1+IF(J$3&lt;=$O$2,$D529,$D529-($D529-$I$508)*MIN(J$3-$O$2,$Q$2)/$Q$2))</f>
        <v>32780.4750223661</v>
      </c>
      <c r="K529" s="15" t="n">
        <f aca="false">J529*(1+IF(K$3&lt;=$O$2,$D529,$D529-($D529-$I$508)*MIN(K$3-$O$2,$Q$2)/$Q$2))</f>
        <v>36145.4049738123</v>
      </c>
      <c r="L529" s="15" t="n">
        <f aca="false">K529*(1+IF(L$3&lt;=$O$2,$D529,$D529-($D529-$I$508)*MIN(L$3-$O$2,$Q$2)/$Q$2))</f>
        <v>38959.9376058072</v>
      </c>
      <c r="M529" s="15" t="n">
        <f aca="false">L529*(1+IF(M$3&lt;=$O$2,$D529,$D529-($D529-$I$508)*MIN(M$3-$O$2,$Q$2)/$Q$2))</f>
        <v>41028.0665821952</v>
      </c>
      <c r="N529" s="15" t="n">
        <f aca="false">M529*(1+IF(N$3&lt;=$O$2,$D529,$D529-($D529-$I$508)*MIN(N$3-$O$2,$Q$2)/$Q$2))</f>
        <v>42189.1608664714</v>
      </c>
      <c r="O529" s="15" t="n">
        <f aca="false">SUMPRODUCT(E529:N529,1/(1+$F$508)^$E$3:$N$3)*$E$2</f>
        <v>56033.5481792844</v>
      </c>
      <c r="P529" s="15" t="n">
        <f aca="false">N529*$E$2*(1+$I$508)/($F$508-$I$508)/(1+$F$508)^$N$3</f>
        <v>76437.1432011351</v>
      </c>
      <c r="Q529" s="15" t="n">
        <f aca="false">O529+P529</f>
        <v>132470.69138042</v>
      </c>
      <c r="R529" s="15" t="n">
        <f aca="false">Q529-$G$2+$I$2</f>
        <v>120850.69138042</v>
      </c>
      <c r="S529" s="40" t="n">
        <f aca="false">R529/$K$2</f>
        <v>409.983008380838</v>
      </c>
      <c r="T529" s="41" t="n">
        <f aca="false">S529-$M$2</f>
        <v>0.00234549112730065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0.152215957641602</v>
      </c>
      <c r="C530" s="25" t="n">
        <f aca="false">IF(T529&gt;0,D529,C529)</f>
        <v>0.152217388153076</v>
      </c>
      <c r="D530" s="39" t="n">
        <f aca="false">(B530+C530)/2</f>
        <v>0.152216672897339</v>
      </c>
      <c r="E530" s="15" t="n">
        <f aca="false">$C$2*(1+IF(E$3&lt;=$O$2,$D530,$D530-($D530-$I$508)*MIN(E$3-$O$2,$Q$2)/$Q$2))</f>
        <v>16496.2861058712</v>
      </c>
      <c r="F530" s="15" t="n">
        <f aca="false">E530*(1+IF(F$3&lt;=$O$2,$D530,$D530-($D530-$I$508)*MIN(F$3-$O$2,$Q$2)/$Q$2))</f>
        <v>19007.2958920695</v>
      </c>
      <c r="G530" s="15" t="n">
        <f aca="false">F530*(1+IF(G$3&lt;=$O$2,$D530,$D530-($D530-$I$508)*MIN(G$3-$O$2,$Q$2)/$Q$2))</f>
        <v>21900.5232335356</v>
      </c>
      <c r="H530" s="15" t="n">
        <f aca="false">G530*(1+IF(H$3&lt;=$O$2,$D530,$D530-($D530-$I$508)*MIN(H$3-$O$2,$Q$2)/$Q$2))</f>
        <v>25234.1480148552</v>
      </c>
      <c r="I530" s="15" t="n">
        <f aca="false">H530*(1+IF(I$3&lt;=$O$2,$D530,$D530-($D530-$I$508)*MIN(I$3-$O$2,$Q$2)/$Q$2))</f>
        <v>29075.2060690755</v>
      </c>
      <c r="J530" s="15" t="n">
        <f aca="false">I530*(1+IF(J$3&lt;=$O$2,$D530,$D530-($D530-$I$508)*MIN(J$3-$O$2,$Q$2)/$Q$2))</f>
        <v>32780.3566407378</v>
      </c>
      <c r="K530" s="15" t="n">
        <f aca="false">J530*(1+IF(K$3&lt;=$O$2,$D530,$D530-($D530-$I$508)*MIN(K$3-$O$2,$Q$2)/$Q$2))</f>
        <v>36145.2603724558</v>
      </c>
      <c r="L530" s="15" t="n">
        <f aca="false">K530*(1+IF(L$3&lt;=$O$2,$D530,$D530-($D530-$I$508)*MIN(L$3-$O$2,$Q$2)/$Q$2))</f>
        <v>38959.7714035414</v>
      </c>
      <c r="M530" s="15" t="n">
        <f aca="false">L530*(1+IF(M$3&lt;=$O$2,$D530,$D530-($D530-$I$508)*MIN(M$3-$O$2,$Q$2)/$Q$2))</f>
        <v>41027.8859840951</v>
      </c>
      <c r="N530" s="15" t="n">
        <f aca="false">M530*(1+IF(N$3&lt;=$O$2,$D530,$D530-($D530-$I$508)*MIN(N$3-$O$2,$Q$2)/$Q$2))</f>
        <v>42188.975157445</v>
      </c>
      <c r="O530" s="15" t="n">
        <f aca="false">SUMPRODUCT(E530:N530,1/(1+$F$508)^$E$3:$N$3)*$E$2</f>
        <v>56033.3764576268</v>
      </c>
      <c r="P530" s="15" t="n">
        <f aca="false">N530*$E$2*(1+$I$508)/($F$508-$I$508)/(1+$F$508)^$N$3</f>
        <v>76436.8067387085</v>
      </c>
      <c r="Q530" s="15" t="n">
        <f aca="false">O530+P530</f>
        <v>132470.183196335</v>
      </c>
      <c r="R530" s="15" t="n">
        <f aca="false">Q530-$G$2+$I$2</f>
        <v>120850.183196335</v>
      </c>
      <c r="S530" s="40" t="n">
        <f aca="false">R530/$K$2</f>
        <v>409.981284378788</v>
      </c>
      <c r="T530" s="41" t="n">
        <f aca="false">S530-$M$2</f>
        <v>0.000621489077218485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0.152215957641602</v>
      </c>
      <c r="C531" s="25" t="n">
        <f aca="false">IF(T530&gt;0,D530,C530)</f>
        <v>0.152216672897339</v>
      </c>
      <c r="D531" s="39" t="n">
        <f aca="false">(B531+C531)/2</f>
        <v>0.15221631526947</v>
      </c>
      <c r="E531" s="15" t="n">
        <f aca="false">$C$2*(1+IF(E$3&lt;=$O$2,$D531,$D531-($D531-$I$508)*MIN(E$3-$O$2,$Q$2)/$Q$2))</f>
        <v>16496.280985713</v>
      </c>
      <c r="F531" s="15" t="n">
        <f aca="false">E531*(1+IF(F$3&lt;=$O$2,$D531,$D531-($D531-$I$508)*MIN(F$3-$O$2,$Q$2)/$Q$2))</f>
        <v>19007.2840930081</v>
      </c>
      <c r="G531" s="15" t="n">
        <f aca="false">F531*(1+IF(G$3&lt;=$O$2,$D531,$D531-($D531-$I$508)*MIN(G$3-$O$2,$Q$2)/$Q$2))</f>
        <v>21900.5028409258</v>
      </c>
      <c r="H531" s="15" t="n">
        <f aca="false">G531*(1+IF(H$3&lt;=$O$2,$D531,$D531-($D531-$I$508)*MIN(H$3-$O$2,$Q$2)/$Q$2))</f>
        <v>25234.1166859201</v>
      </c>
      <c r="I531" s="15" t="n">
        <f aca="false">H531*(1+IF(I$3&lt;=$O$2,$D531,$D531-($D531-$I$508)*MIN(I$3-$O$2,$Q$2)/$Q$2))</f>
        <v>29075.1609469307</v>
      </c>
      <c r="J531" s="15" t="n">
        <f aca="false">I531*(1+IF(J$3&lt;=$O$2,$D531,$D531-($D531-$I$508)*MIN(J$3-$O$2,$Q$2)/$Q$2))</f>
        <v>32780.2974500572</v>
      </c>
      <c r="K531" s="15" t="n">
        <f aca="false">J531*(1+IF(K$3&lt;=$O$2,$D531,$D531-($D531-$I$508)*MIN(K$3-$O$2,$Q$2)/$Q$2))</f>
        <v>36145.1880719627</v>
      </c>
      <c r="L531" s="15" t="n">
        <f aca="false">K531*(1+IF(L$3&lt;=$O$2,$D531,$D531-($D531-$I$508)*MIN(L$3-$O$2,$Q$2)/$Q$2))</f>
        <v>38959.6883026391</v>
      </c>
      <c r="M531" s="15" t="n">
        <f aca="false">L531*(1+IF(M$3&lt;=$O$2,$D531,$D531-($D531-$I$508)*MIN(M$3-$O$2,$Q$2)/$Q$2))</f>
        <v>41027.7956853059</v>
      </c>
      <c r="N531" s="15" t="n">
        <f aca="false">M531*(1+IF(N$3&lt;=$O$2,$D531,$D531-($D531-$I$508)*MIN(N$3-$O$2,$Q$2)/$Q$2))</f>
        <v>42188.8823032</v>
      </c>
      <c r="O531" s="15" t="n">
        <f aca="false">SUMPRODUCT(E531:N531,1/(1+$F$508)^$E$3:$N$3)*$E$2</f>
        <v>56033.2905969919</v>
      </c>
      <c r="P531" s="15" t="n">
        <f aca="false">N531*$E$2*(1+$I$508)/($F$508-$I$508)/(1+$F$508)^$N$3</f>
        <v>76436.6385079811</v>
      </c>
      <c r="Q531" s="15" t="n">
        <f aca="false">O531+P531</f>
        <v>132469.929104973</v>
      </c>
      <c r="R531" s="15" t="n">
        <f aca="false">Q531-$G$2+$I$2</f>
        <v>120849.929104973</v>
      </c>
      <c r="S531" s="40" t="n">
        <f aca="false">R531/$K$2</f>
        <v>409.980422380069</v>
      </c>
      <c r="T531" s="41" t="n">
        <f aca="false">S531-$M$2</f>
        <v>-0.000240509641400877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0.15221631526947</v>
      </c>
      <c r="C532" s="25" t="n">
        <f aca="false">IF(T531&gt;0,D531,C531)</f>
        <v>0.152216672897339</v>
      </c>
      <c r="D532" s="39" t="n">
        <f aca="false">(B532+C532)/2</f>
        <v>0.152216494083405</v>
      </c>
      <c r="E532" s="15" t="n">
        <f aca="false">$C$2*(1+IF(E$3&lt;=$O$2,$D532,$D532-($D532-$I$508)*MIN(E$3-$O$2,$Q$2)/$Q$2))</f>
        <v>16496.2835457921</v>
      </c>
      <c r="F532" s="15" t="n">
        <f aca="false">E532*(1+IF(F$3&lt;=$O$2,$D532,$D532-($D532-$I$508)*MIN(F$3-$O$2,$Q$2)/$Q$2))</f>
        <v>19007.2899925383</v>
      </c>
      <c r="G532" s="15" t="n">
        <f aca="false">F532*(1+IF(G$3&lt;=$O$2,$D532,$D532-($D532-$I$508)*MIN(G$3-$O$2,$Q$2)/$Q$2))</f>
        <v>21900.5130372291</v>
      </c>
      <c r="H532" s="15" t="n">
        <f aca="false">G532*(1+IF(H$3&lt;=$O$2,$D532,$D532-($D532-$I$508)*MIN(H$3-$O$2,$Q$2)/$Q$2))</f>
        <v>25234.132350384</v>
      </c>
      <c r="I532" s="15" t="n">
        <f aca="false">H532*(1+IF(I$3&lt;=$O$2,$D532,$D532-($D532-$I$508)*MIN(I$3-$O$2,$Q$2)/$Q$2))</f>
        <v>29075.1835079961</v>
      </c>
      <c r="J532" s="15" t="n">
        <f aca="false">I532*(1+IF(J$3&lt;=$O$2,$D532,$D532-($D532-$I$508)*MIN(J$3-$O$2,$Q$2)/$Q$2))</f>
        <v>32780.3270453864</v>
      </c>
      <c r="K532" s="15" t="n">
        <f aca="false">J532*(1+IF(K$3&lt;=$O$2,$D532,$D532-($D532-$I$508)*MIN(K$3-$O$2,$Q$2)/$Q$2))</f>
        <v>36145.2242221938</v>
      </c>
      <c r="L532" s="15" t="n">
        <f aca="false">K532*(1+IF(L$3&lt;=$O$2,$D532,$D532-($D532-$I$508)*MIN(L$3-$O$2,$Q$2)/$Q$2))</f>
        <v>38959.729853071</v>
      </c>
      <c r="M532" s="15" t="n">
        <f aca="false">L532*(1+IF(M$3&lt;=$O$2,$D532,$D532-($D532-$I$508)*MIN(M$3-$O$2,$Q$2)/$Q$2))</f>
        <v>41027.8408346788</v>
      </c>
      <c r="N532" s="15" t="n">
        <f aca="false">M532*(1+IF(N$3&lt;=$O$2,$D532,$D532-($D532-$I$508)*MIN(N$3-$O$2,$Q$2)/$Q$2))</f>
        <v>42188.9287303002</v>
      </c>
      <c r="O532" s="15" t="n">
        <f aca="false">SUMPRODUCT(E532:N532,1/(1+$F$508)^$E$3:$N$3)*$E$2</f>
        <v>56033.3335272932</v>
      </c>
      <c r="P532" s="15" t="n">
        <f aca="false">N532*$E$2*(1+$I$508)/($F$508-$I$508)/(1+$F$508)^$N$3</f>
        <v>76436.7226233043</v>
      </c>
      <c r="Q532" s="15" t="n">
        <f aca="false">O532+P532</f>
        <v>132470.056150598</v>
      </c>
      <c r="R532" s="15" t="n">
        <f aca="false">Q532-$G$2+$I$2</f>
        <v>120850.056150597</v>
      </c>
      <c r="S532" s="40" t="n">
        <f aca="false">R532/$K$2</f>
        <v>409.980853379236</v>
      </c>
      <c r="T532" s="41" t="n">
        <f aca="false">S532-$M$2</f>
        <v>0.000190489525778048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0.15221631526947</v>
      </c>
      <c r="C533" s="25" t="n">
        <f aca="false">IF(T532&gt;0,D532,C532)</f>
        <v>0.152216494083405</v>
      </c>
      <c r="D533" s="39" t="n">
        <f aca="false">(B533+C533)/2</f>
        <v>0.152216404676437</v>
      </c>
      <c r="E533" s="15" t="n">
        <f aca="false">$C$2*(1+IF(E$3&lt;=$O$2,$D533,$D533-($D533-$I$508)*MIN(E$3-$O$2,$Q$2)/$Q$2))</f>
        <v>16496.2822657526</v>
      </c>
      <c r="F533" s="15" t="n">
        <f aca="false">E533*(1+IF(F$3&lt;=$O$2,$D533,$D533-($D533-$I$508)*MIN(F$3-$O$2,$Q$2)/$Q$2))</f>
        <v>19007.2870427731</v>
      </c>
      <c r="G533" s="15" t="n">
        <f aca="false">F533*(1+IF(G$3&lt;=$O$2,$D533,$D533-($D533-$I$508)*MIN(G$3-$O$2,$Q$2)/$Q$2))</f>
        <v>21900.507939077</v>
      </c>
      <c r="H533" s="15" t="n">
        <f aca="false">G533*(1+IF(H$3&lt;=$O$2,$D533,$D533-($D533-$I$508)*MIN(H$3-$O$2,$Q$2)/$Q$2))</f>
        <v>25234.1245181511</v>
      </c>
      <c r="I533" s="15" t="n">
        <f aca="false">H533*(1+IF(I$3&lt;=$O$2,$D533,$D533-($D533-$I$508)*MIN(I$3-$O$2,$Q$2)/$Q$2))</f>
        <v>29075.1722274616</v>
      </c>
      <c r="J533" s="15" t="n">
        <f aca="false">I533*(1+IF(J$3&lt;=$O$2,$D533,$D533-($D533-$I$508)*MIN(J$3-$O$2,$Q$2)/$Q$2))</f>
        <v>32780.312247719</v>
      </c>
      <c r="K533" s="15" t="n">
        <f aca="false">J533*(1+IF(K$3&lt;=$O$2,$D533,$D533-($D533-$I$508)*MIN(K$3-$O$2,$Q$2)/$Q$2))</f>
        <v>36145.2061470744</v>
      </c>
      <c r="L533" s="15" t="n">
        <f aca="false">K533*(1+IF(L$3&lt;=$O$2,$D533,$D533-($D533-$I$508)*MIN(L$3-$O$2,$Q$2)/$Q$2))</f>
        <v>38959.7090778503</v>
      </c>
      <c r="M533" s="15" t="n">
        <f aca="false">L533*(1+IF(M$3&lt;=$O$2,$D533,$D533-($D533-$I$508)*MIN(M$3-$O$2,$Q$2)/$Q$2))</f>
        <v>41027.8182599869</v>
      </c>
      <c r="N533" s="15" t="n">
        <f aca="false">M533*(1+IF(N$3&lt;=$O$2,$D533,$D533-($D533-$I$508)*MIN(N$3-$O$2,$Q$2)/$Q$2))</f>
        <v>42188.9055167445</v>
      </c>
      <c r="O533" s="15" t="n">
        <f aca="false">SUMPRODUCT(E533:N533,1/(1+$F$508)^$E$3:$N$3)*$E$2</f>
        <v>56033.3120621385</v>
      </c>
      <c r="P533" s="15" t="n">
        <f aca="false">N533*$E$2*(1+$I$508)/($F$508-$I$508)/(1+$F$508)^$N$3</f>
        <v>76436.6805656326</v>
      </c>
      <c r="Q533" s="15" t="n">
        <f aca="false">O533+P533</f>
        <v>132469.992627771</v>
      </c>
      <c r="R533" s="15" t="n">
        <f aca="false">Q533-$G$2+$I$2</f>
        <v>120849.992627771</v>
      </c>
      <c r="S533" s="40" t="n">
        <f aca="false">R533/$K$2</f>
        <v>409.980637879605</v>
      </c>
      <c r="T533" s="41" t="n">
        <f aca="false">S533-$M$2</f>
        <v>-2.50101059577901E-005</v>
      </c>
    </row>
    <row r="535" customFormat="false" ht="15" hidden="false" customHeight="false" outlineLevel="0" collapsed="false">
      <c r="A535" s="36" t="s">
        <v>193</v>
      </c>
      <c r="E535" s="5" t="s">
        <v>11</v>
      </c>
      <c r="F535" s="12" t="n">
        <f aca="false">Sensitivity!$B$13</f>
        <v>0.0998919064489092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6" t="s">
        <v>155</v>
      </c>
      <c r="B536" s="28" t="s">
        <v>156</v>
      </c>
      <c r="C536" s="28" t="s">
        <v>157</v>
      </c>
      <c r="D536" s="28" t="s">
        <v>158</v>
      </c>
      <c r="E536" s="28" t="s">
        <v>159</v>
      </c>
      <c r="F536" s="28" t="s">
        <v>160</v>
      </c>
      <c r="G536" s="28" t="s">
        <v>161</v>
      </c>
      <c r="H536" s="28" t="s">
        <v>162</v>
      </c>
      <c r="I536" s="28" t="s">
        <v>163</v>
      </c>
      <c r="J536" s="28" t="s">
        <v>164</v>
      </c>
      <c r="K536" s="28" t="s">
        <v>165</v>
      </c>
      <c r="L536" s="28" t="s">
        <v>166</v>
      </c>
      <c r="M536" s="28" t="s">
        <v>167</v>
      </c>
      <c r="N536" s="28" t="s">
        <v>168</v>
      </c>
      <c r="O536" s="28" t="s">
        <v>169</v>
      </c>
      <c r="P536" s="28" t="s">
        <v>170</v>
      </c>
      <c r="Q536" s="28" t="s">
        <v>171</v>
      </c>
      <c r="R536" s="28" t="s">
        <v>172</v>
      </c>
      <c r="S536" s="28" t="s">
        <v>173</v>
      </c>
      <c r="T536" s="28" t="s">
        <v>174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39" t="n">
        <f aca="false">(B537+C537)/2</f>
        <v>0.25</v>
      </c>
      <c r="E537" s="15" t="n">
        <f aca="false">$C$2*(1+IF(E$3&lt;=$O$2,$D537,$D537-($D537-$I$535)*MIN(E$3-$O$2,$Q$2)/$Q$2))</f>
        <v>17896.25</v>
      </c>
      <c r="F537" s="15" t="n">
        <f aca="false">E537*(1+IF(F$3&lt;=$O$2,$D537,$D537-($D537-$I$535)*MIN(F$3-$O$2,$Q$2)/$Q$2))</f>
        <v>22370.3125</v>
      </c>
      <c r="G537" s="15" t="n">
        <f aca="false">F537*(1+IF(G$3&lt;=$O$2,$D537,$D537-($D537-$I$535)*MIN(G$3-$O$2,$Q$2)/$Q$2))</f>
        <v>27962.890625</v>
      </c>
      <c r="H537" s="15" t="n">
        <f aca="false">G537*(1+IF(H$3&lt;=$O$2,$D537,$D537-($D537-$I$535)*MIN(H$3-$O$2,$Q$2)/$Q$2))</f>
        <v>34953.61328125</v>
      </c>
      <c r="I537" s="15" t="n">
        <f aca="false">H537*(1+IF(I$3&lt;=$O$2,$D537,$D537-($D537-$I$535)*MIN(I$3-$O$2,$Q$2)/$Q$2))</f>
        <v>43692.0166015625</v>
      </c>
      <c r="J537" s="15" t="n">
        <f aca="false">I537*(1+IF(J$3&lt;=$O$2,$D537,$D537-($D537-$I$535)*MIN(J$3-$O$2,$Q$2)/$Q$2))</f>
        <v>52721.4087524414</v>
      </c>
      <c r="K537" s="15" t="n">
        <f aca="false">J537*(1+IF(K$3&lt;=$O$2,$D537,$D537-($D537-$I$535)*MIN(K$3-$O$2,$Q$2)/$Q$2))</f>
        <v>61331.8692298901</v>
      </c>
      <c r="L537" s="15" t="n">
        <f aca="false">K537*(1+IF(L$3&lt;=$O$2,$D537,$D537-($D537-$I$535)*MIN(L$3-$O$2,$Q$2)/$Q$2))</f>
        <v>68690.4669000924</v>
      </c>
      <c r="M537" s="15" t="n">
        <f aca="false">L537*(1+IF(M$3&lt;=$O$2,$D537,$D537-($D537-$I$535)*MIN(M$3-$O$2,$Q$2)/$Q$2))</f>
        <v>73954.9042833154</v>
      </c>
      <c r="N537" s="15" t="n">
        <f aca="false">M537*(1+IF(N$3&lt;=$O$2,$D537,$D537-($D537-$I$535)*MIN(N$3-$O$2,$Q$2)/$Q$2))</f>
        <v>76417.6025959498</v>
      </c>
      <c r="O537" s="15" t="n">
        <f aca="false">SUMPRODUCT(E537:N537,1/(1+$F$535)^$E$3:$N$3)*$E$2</f>
        <v>85316.9462340594</v>
      </c>
      <c r="P537" s="15" t="n">
        <f aca="false">N537*$E$2*(1+$I$535)/($F$535-$I$535)/(1+$F$535)^$N$3</f>
        <v>149570.532955279</v>
      </c>
      <c r="Q537" s="15" t="n">
        <f aca="false">O537+P537</f>
        <v>234887.479189339</v>
      </c>
      <c r="R537" s="15" t="n">
        <f aca="false">Q537-$G$2+$I$2</f>
        <v>223267.479189339</v>
      </c>
      <c r="S537" s="40" t="n">
        <f aca="false">R537/$K$2</f>
        <v>757.42945072205</v>
      </c>
      <c r="T537" s="41" t="n">
        <f aca="false">S537-$M$2</f>
        <v>347.44878783234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39" t="n">
        <f aca="false">(B538+C538)/2</f>
        <v>-0.125</v>
      </c>
      <c r="E538" s="15" t="n">
        <f aca="false">$C$2*(1+IF(E$3&lt;=$O$2,$D538,$D538-($D538-$I$535)*MIN(E$3-$O$2,$Q$2)/$Q$2))</f>
        <v>12527.375</v>
      </c>
      <c r="F538" s="15" t="n">
        <f aca="false">E538*(1+IF(F$3&lt;=$O$2,$D538,$D538-($D538-$I$535)*MIN(F$3-$O$2,$Q$2)/$Q$2))</f>
        <v>10961.453125</v>
      </c>
      <c r="G538" s="15" t="n">
        <f aca="false">F538*(1+IF(G$3&lt;=$O$2,$D538,$D538-($D538-$I$535)*MIN(G$3-$O$2,$Q$2)/$Q$2))</f>
        <v>9591.271484375</v>
      </c>
      <c r="H538" s="15" t="n">
        <f aca="false">G538*(1+IF(H$3&lt;=$O$2,$D538,$D538-($D538-$I$535)*MIN(H$3-$O$2,$Q$2)/$Q$2))</f>
        <v>8392.36254882813</v>
      </c>
      <c r="I538" s="15" t="n">
        <f aca="false">H538*(1+IF(I$3&lt;=$O$2,$D538,$D538-($D538-$I$535)*MIN(I$3-$O$2,$Q$2)/$Q$2))</f>
        <v>7343.31723022461</v>
      </c>
      <c r="J538" s="15" t="n">
        <f aca="false">I538*(1+IF(J$3&lt;=$O$2,$D538,$D538-($D538-$I$535)*MIN(J$3-$O$2,$Q$2)/$Q$2))</f>
        <v>6657.89199995545</v>
      </c>
      <c r="K538" s="15" t="n">
        <f aca="false">J538*(1+IF(K$3&lt;=$O$2,$D538,$D538-($D538-$I$535)*MIN(K$3-$O$2,$Q$2)/$Q$2))</f>
        <v>6247.23322139819</v>
      </c>
      <c r="L538" s="15" t="n">
        <f aca="false">K538*(1+IF(L$3&lt;=$O$2,$D538,$D538-($D538-$I$535)*MIN(L$3-$O$2,$Q$2)/$Q$2))</f>
        <v>6059.69128009182</v>
      </c>
      <c r="M538" s="15" t="n">
        <f aca="false">L538*(1+IF(M$3&lt;=$O$2,$D538,$D538-($D538-$I$535)*MIN(M$3-$O$2,$Q$2)/$Q$2))</f>
        <v>6069.62917379117</v>
      </c>
      <c r="N538" s="15" t="n">
        <f aca="false">M538*(1+IF(N$3&lt;=$O$2,$D538,$D538-($D538-$I$535)*MIN(N$3-$O$2,$Q$2)/$Q$2))</f>
        <v>6271.74782527842</v>
      </c>
      <c r="O538" s="15" t="n">
        <f aca="false">SUMPRODUCT(E538:N538,1/(1+$F$535)^$E$3:$N$3)*$E$2</f>
        <v>17241.05814029</v>
      </c>
      <c r="P538" s="15" t="n">
        <f aca="false">N538*$E$2*(1+$I$535)/($F$535-$I$535)/(1+$F$535)^$N$3</f>
        <v>12275.5573705701</v>
      </c>
      <c r="Q538" s="15" t="n">
        <f aca="false">O538+P538</f>
        <v>29516.6155108601</v>
      </c>
      <c r="R538" s="15" t="n">
        <f aca="false">Q538-$G$2+$I$2</f>
        <v>17896.6155108601</v>
      </c>
      <c r="S538" s="40" t="n">
        <f aca="false">R538/$K$2</f>
        <v>60.7138294631751</v>
      </c>
      <c r="T538" s="41" t="n">
        <f aca="false">S538-$M$2</f>
        <v>-349.266833426536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39" t="n">
        <f aca="false">(B539+C539)/2</f>
        <v>0.0625</v>
      </c>
      <c r="E539" s="15" t="n">
        <f aca="false">$C$2*(1+IF(E$3&lt;=$O$2,$D539,$D539-($D539-$I$535)*MIN(E$3-$O$2,$Q$2)/$Q$2))</f>
        <v>15211.8125</v>
      </c>
      <c r="F539" s="15" t="n">
        <f aca="false">E539*(1+IF(F$3&lt;=$O$2,$D539,$D539-($D539-$I$535)*MIN(F$3-$O$2,$Q$2)/$Q$2))</f>
        <v>16162.55078125</v>
      </c>
      <c r="G539" s="15" t="n">
        <f aca="false">F539*(1+IF(G$3&lt;=$O$2,$D539,$D539-($D539-$I$535)*MIN(G$3-$O$2,$Q$2)/$Q$2))</f>
        <v>17172.7102050781</v>
      </c>
      <c r="H539" s="15" t="n">
        <f aca="false">G539*(1+IF(H$3&lt;=$O$2,$D539,$D539-($D539-$I$535)*MIN(H$3-$O$2,$Q$2)/$Q$2))</f>
        <v>18246.0045928955</v>
      </c>
      <c r="I539" s="15" t="n">
        <f aca="false">H539*(1+IF(I$3&lt;=$O$2,$D539,$D539-($D539-$I$535)*MIN(I$3-$O$2,$Q$2)/$Q$2))</f>
        <v>19386.3798799515</v>
      </c>
      <c r="J539" s="15" t="n">
        <f aca="false">I539*(1+IF(J$3&lt;=$O$2,$D539,$D539-($D539-$I$535)*MIN(J$3-$O$2,$Q$2)/$Q$2))</f>
        <v>20484.8121639495</v>
      </c>
      <c r="K539" s="15" t="n">
        <f aca="false">J539*(1+IF(K$3&lt;=$O$2,$D539,$D539-($D539-$I$535)*MIN(K$3-$O$2,$Q$2)/$Q$2))</f>
        <v>21525.8503181214</v>
      </c>
      <c r="L539" s="15" t="n">
        <f aca="false">K539*(1+IF(L$3&lt;=$O$2,$D539,$D539-($D539-$I$535)*MIN(L$3-$O$2,$Q$2)/$Q$2))</f>
        <v>22494.0830654305</v>
      </c>
      <c r="M539" s="15" t="n">
        <f aca="false">L539*(1+IF(M$3&lt;=$O$2,$D539,$D539-($D539-$I$535)*MIN(M$3-$O$2,$Q$2)/$Q$2))</f>
        <v>23374.5014766115</v>
      </c>
      <c r="N539" s="15" t="n">
        <f aca="false">M539*(1+IF(N$3&lt;=$O$2,$D539,$D539-($D539-$I$535)*MIN(N$3-$O$2,$Q$2)/$Q$2))</f>
        <v>24152.8723757827</v>
      </c>
      <c r="O539" s="15" t="n">
        <f aca="false">SUMPRODUCT(E539:N539,1/(1+$F$535)^$E$3:$N$3)*$E$2</f>
        <v>38233.3453714308</v>
      </c>
      <c r="P539" s="15" t="n">
        <f aca="false">N539*$E$2*(1+$I$535)/($F$535-$I$535)/(1+$F$535)^$N$3</f>
        <v>47273.8985642835</v>
      </c>
      <c r="Q539" s="15" t="n">
        <f aca="false">O539+P539</f>
        <v>85507.2439357143</v>
      </c>
      <c r="R539" s="15" t="n">
        <f aca="false">Q539-$G$2+$I$2</f>
        <v>73887.2439357143</v>
      </c>
      <c r="S539" s="40" t="n">
        <f aca="false">R539/$K$2</f>
        <v>250.660664028613</v>
      </c>
      <c r="T539" s="41" t="n">
        <f aca="false">S539-$M$2</f>
        <v>-159.319998861097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39" t="n">
        <f aca="false">(B540+C540)/2</f>
        <v>0.15625</v>
      </c>
      <c r="E540" s="15" t="n">
        <f aca="false">$C$2*(1+IF(E$3&lt;=$O$2,$D540,$D540-($D540-$I$535)*MIN(E$3-$O$2,$Q$2)/$Q$2))</f>
        <v>16554.03125</v>
      </c>
      <c r="F540" s="15" t="n">
        <f aca="false">E540*(1+IF(F$3&lt;=$O$2,$D540,$D540-($D540-$I$535)*MIN(F$3-$O$2,$Q$2)/$Q$2))</f>
        <v>19140.5986328125</v>
      </c>
      <c r="G540" s="15" t="n">
        <f aca="false">F540*(1+IF(G$3&lt;=$O$2,$D540,$D540-($D540-$I$535)*MIN(G$3-$O$2,$Q$2)/$Q$2))</f>
        <v>22131.3171691895</v>
      </c>
      <c r="H540" s="15" t="n">
        <f aca="false">G540*(1+IF(H$3&lt;=$O$2,$D540,$D540-($D540-$I$535)*MIN(H$3-$O$2,$Q$2)/$Q$2))</f>
        <v>25589.3354768753</v>
      </c>
      <c r="I540" s="15" t="n">
        <f aca="false">H540*(1+IF(I$3&lt;=$O$2,$D540,$D540-($D540-$I$535)*MIN(I$3-$O$2,$Q$2)/$Q$2))</f>
        <v>29587.6691451371</v>
      </c>
      <c r="J540" s="15" t="n">
        <f aca="false">I540*(1+IF(J$3&lt;=$O$2,$D540,$D540-($D540-$I$535)*MIN(J$3-$O$2,$Q$2)/$Q$2))</f>
        <v>33483.1816647858</v>
      </c>
      <c r="K540" s="15" t="n">
        <f aca="false">J540*(1+IF(K$3&lt;=$O$2,$D540,$D540-($D540-$I$535)*MIN(K$3-$O$2,$Q$2)/$Q$2))</f>
        <v>37068.2259256344</v>
      </c>
      <c r="L540" s="15" t="n">
        <f aca="false">K540*(1+IF(L$3&lt;=$O$2,$D540,$D540-($D540-$I$535)*MIN(L$3-$O$2,$Q$2)/$Q$2))</f>
        <v>40125.6131999808</v>
      </c>
      <c r="M540" s="15" t="n">
        <f aca="false">L540*(1+IF(M$3&lt;=$O$2,$D540,$D540-($D540-$I$535)*MIN(M$3-$O$2,$Q$2)/$Q$2))</f>
        <v>42448.4849481277</v>
      </c>
      <c r="N540" s="15" t="n">
        <f aca="false">M540*(1+IF(N$3&lt;=$O$2,$D540,$D540-($D540-$I$535)*MIN(N$3-$O$2,$Q$2)/$Q$2))</f>
        <v>43862.0194969003</v>
      </c>
      <c r="O540" s="15" t="n">
        <f aca="false">SUMPRODUCT(E540:N540,1/(1+$F$535)^$E$3:$N$3)*$E$2</f>
        <v>57197.3117085443</v>
      </c>
      <c r="P540" s="15" t="n">
        <f aca="false">N540*$E$2*(1+$I$535)/($F$535-$I$535)/(1+$F$535)^$N$3</f>
        <v>85850.1890897313</v>
      </c>
      <c r="Q540" s="15" t="n">
        <f aca="false">O540+P540</f>
        <v>143047.500798276</v>
      </c>
      <c r="R540" s="15" t="n">
        <f aca="false">Q540-$G$2+$I$2</f>
        <v>131427.500798276</v>
      </c>
      <c r="S540" s="40" t="n">
        <f aca="false">R540/$K$2</f>
        <v>445.864575086595</v>
      </c>
      <c r="T540" s="41" t="n">
        <f aca="false">S540-$M$2</f>
        <v>35.8839121968845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39" t="n">
        <f aca="false">(B541+C541)/2</f>
        <v>0.109375</v>
      </c>
      <c r="E541" s="15" t="n">
        <f aca="false">$C$2*(1+IF(E$3&lt;=$O$2,$D541,$D541-($D541-$I$535)*MIN(E$3-$O$2,$Q$2)/$Q$2))</f>
        <v>15882.921875</v>
      </c>
      <c r="F541" s="15" t="n">
        <f aca="false">E541*(1+IF(F$3&lt;=$O$2,$D541,$D541-($D541-$I$535)*MIN(F$3-$O$2,$Q$2)/$Q$2))</f>
        <v>17620.1164550781</v>
      </c>
      <c r="G541" s="15" t="n">
        <f aca="false">F541*(1+IF(G$3&lt;=$O$2,$D541,$D541-($D541-$I$535)*MIN(G$3-$O$2,$Q$2)/$Q$2))</f>
        <v>19547.3166923523</v>
      </c>
      <c r="H541" s="15" t="n">
        <f aca="false">G541*(1+IF(H$3&lt;=$O$2,$D541,$D541-($D541-$I$535)*MIN(H$3-$O$2,$Q$2)/$Q$2))</f>
        <v>21685.3044555783</v>
      </c>
      <c r="I541" s="15" t="n">
        <f aca="false">H541*(1+IF(I$3&lt;=$O$2,$D541,$D541-($D541-$I$535)*MIN(I$3-$O$2,$Q$2)/$Q$2))</f>
        <v>24057.1346304072</v>
      </c>
      <c r="J541" s="15" t="n">
        <f aca="false">I541*(1+IF(J$3&lt;=$O$2,$D541,$D541-($D541-$I$535)*MIN(J$3-$O$2,$Q$2)/$Q$2))</f>
        <v>26322.3544272064</v>
      </c>
      <c r="K541" s="15" t="n">
        <f aca="false">J541*(1+IF(K$3&lt;=$O$2,$D541,$D541-($D541-$I$535)*MIN(K$3-$O$2,$Q$2)/$Q$2))</f>
        <v>28400.3726974622</v>
      </c>
      <c r="L541" s="15" t="n">
        <f aca="false">K541*(1+IF(L$3&lt;=$O$2,$D541,$D541-($D541-$I$535)*MIN(L$3-$O$2,$Q$2)/$Q$2))</f>
        <v>30210.3284494714</v>
      </c>
      <c r="M541" s="15" t="n">
        <f aca="false">L541*(1+IF(M$3&lt;=$O$2,$D541,$D541-($D541-$I$535)*MIN(M$3-$O$2,$Q$2)/$Q$2))</f>
        <v>31675.9825341975</v>
      </c>
      <c r="N541" s="15" t="n">
        <f aca="false">M541*(1+IF(N$3&lt;=$O$2,$D541,$D541-($D541-$I$535)*MIN(N$3-$O$2,$Q$2)/$Q$2))</f>
        <v>32730.7927525863</v>
      </c>
      <c r="O541" s="15" t="n">
        <f aca="false">SUMPRODUCT(E541:N541,1/(1+$F$535)^$E$3:$N$3)*$E$2</f>
        <v>46769.0561095931</v>
      </c>
      <c r="P541" s="15" t="n">
        <f aca="false">N541*$E$2*(1+$I$535)/($F$535-$I$535)/(1+$F$535)^$N$3</f>
        <v>64063.2779588482</v>
      </c>
      <c r="Q541" s="15" t="n">
        <f aca="false">O541+P541</f>
        <v>110832.334068441</v>
      </c>
      <c r="R541" s="15" t="n">
        <f aca="false">Q541-$G$2+$I$2</f>
        <v>99212.3340684413</v>
      </c>
      <c r="S541" s="40" t="n">
        <f aca="false">R541/$K$2</f>
        <v>336.575411569839</v>
      </c>
      <c r="T541" s="41" t="n">
        <f aca="false">S541-$M$2</f>
        <v>-73.4052513198721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0.109375</v>
      </c>
      <c r="C542" s="25" t="n">
        <f aca="false">IF(T541&gt;0,D541,C541)</f>
        <v>0.15625</v>
      </c>
      <c r="D542" s="39" t="n">
        <f aca="false">(B542+C542)/2</f>
        <v>0.1328125</v>
      </c>
      <c r="E542" s="15" t="n">
        <f aca="false">$C$2*(1+IF(E$3&lt;=$O$2,$D542,$D542-($D542-$I$535)*MIN(E$3-$O$2,$Q$2)/$Q$2))</f>
        <v>16218.4765625</v>
      </c>
      <c r="F542" s="15" t="n">
        <f aca="false">E542*(1+IF(F$3&lt;=$O$2,$D542,$D542-($D542-$I$535)*MIN(F$3-$O$2,$Q$2)/$Q$2))</f>
        <v>18372.492980957</v>
      </c>
      <c r="G542" s="15" t="n">
        <f aca="false">F542*(1+IF(G$3&lt;=$O$2,$D542,$D542-($D542-$I$535)*MIN(G$3-$O$2,$Q$2)/$Q$2))</f>
        <v>20812.5897049904</v>
      </c>
      <c r="H542" s="15" t="n">
        <f aca="false">G542*(1+IF(H$3&lt;=$O$2,$D542,$D542-($D542-$I$535)*MIN(H$3-$O$2,$Q$2)/$Q$2))</f>
        <v>23576.7617751844</v>
      </c>
      <c r="I542" s="15" t="n">
        <f aca="false">H542*(1+IF(I$3&lt;=$O$2,$D542,$D542-($D542-$I$535)*MIN(I$3-$O$2,$Q$2)/$Q$2))</f>
        <v>26708.0504484511</v>
      </c>
      <c r="J542" s="15" t="n">
        <f aca="false">I542*(1+IF(J$3&lt;=$O$2,$D542,$D542-($D542-$I$535)*MIN(J$3-$O$2,$Q$2)/$Q$2))</f>
        <v>29723.6564245857</v>
      </c>
      <c r="K542" s="15" t="n">
        <f aca="false">J542*(1+IF(K$3&lt;=$O$2,$D542,$D542-($D542-$I$535)*MIN(K$3-$O$2,$Q$2)/$Q$2))</f>
        <v>32488.1793994954</v>
      </c>
      <c r="L542" s="15" t="n">
        <f aca="false">K542*(1+IF(L$3&lt;=$O$2,$D542,$D542-($D542-$I$535)*MIN(L$3-$O$2,$Q$2)/$Q$2))</f>
        <v>34863.2277544955</v>
      </c>
      <c r="M542" s="15" t="n">
        <f aca="false">L542*(1+IF(M$3&lt;=$O$2,$D542,$D542-($D542-$I$535)*MIN(M$3-$O$2,$Q$2)/$Q$2))</f>
        <v>36718.038629104</v>
      </c>
      <c r="N542" s="15" t="n">
        <f aca="false">M542*(1+IF(N$3&lt;=$O$2,$D542,$D542-($D542-$I$535)*MIN(N$3-$O$2,$Q$2)/$Q$2))</f>
        <v>37940.7493154532</v>
      </c>
      <c r="O542" s="15" t="n">
        <f aca="false">SUMPRODUCT(E542:N542,1/(1+$F$535)^$E$3:$N$3)*$E$2</f>
        <v>51724.2581216879</v>
      </c>
      <c r="P542" s="15" t="n">
        <f aca="false">N542*$E$2*(1+$I$535)/($F$535-$I$535)/(1+$F$535)^$N$3</f>
        <v>74260.6140870449</v>
      </c>
      <c r="Q542" s="15" t="n">
        <f aca="false">O542+P542</f>
        <v>125984.872208733</v>
      </c>
      <c r="R542" s="15" t="n">
        <f aca="false">Q542-$G$2+$I$2</f>
        <v>114364.872208733</v>
      </c>
      <c r="S542" s="40" t="n">
        <f aca="false">R542/$K$2</f>
        <v>387.98002581244</v>
      </c>
      <c r="T542" s="41" t="n">
        <f aca="false">S542-$M$2</f>
        <v>-22.0006370772711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0.1328125</v>
      </c>
      <c r="C543" s="25" t="n">
        <f aca="false">IF(T542&gt;0,D542,C542)</f>
        <v>0.15625</v>
      </c>
      <c r="D543" s="39" t="n">
        <f aca="false">(B543+C543)/2</f>
        <v>0.14453125</v>
      </c>
      <c r="E543" s="15" t="n">
        <f aca="false">$C$2*(1+IF(E$3&lt;=$O$2,$D543,$D543-($D543-$I$535)*MIN(E$3-$O$2,$Q$2)/$Q$2))</f>
        <v>16386.25390625</v>
      </c>
      <c r="F543" s="15" t="n">
        <f aca="false">E543*(1+IF(F$3&lt;=$O$2,$D543,$D543-($D543-$I$535)*MIN(F$3-$O$2,$Q$2)/$Q$2))</f>
        <v>18754.5796661377</v>
      </c>
      <c r="G543" s="15" t="n">
        <f aca="false">F543*(1+IF(G$3&lt;=$O$2,$D543,$D543-($D543-$I$535)*MIN(G$3-$O$2,$Q$2)/$Q$2))</f>
        <v>21465.2025085092</v>
      </c>
      <c r="H543" s="15" t="n">
        <f aca="false">G543*(1+IF(H$3&lt;=$O$2,$D543,$D543-($D543-$I$535)*MIN(H$3-$O$2,$Q$2)/$Q$2))</f>
        <v>24567.5950585671</v>
      </c>
      <c r="I543" s="15" t="n">
        <f aca="false">H543*(1+IF(I$3&lt;=$O$2,$D543,$D543-($D543-$I$535)*MIN(I$3-$O$2,$Q$2)/$Q$2))</f>
        <v>28118.3802818757</v>
      </c>
      <c r="J543" s="15" t="n">
        <f aca="false">I543*(1+IF(J$3&lt;=$O$2,$D543,$D543-($D543-$I$535)*MIN(J$3-$O$2,$Q$2)/$Q$2))</f>
        <v>31556.8364146448</v>
      </c>
      <c r="K543" s="15" t="n">
        <f aca="false">J543*(1+IF(K$3&lt;=$O$2,$D543,$D543-($D543-$I$535)*MIN(K$3-$O$2,$Q$2)/$Q$2))</f>
        <v>34713.7428835204</v>
      </c>
      <c r="L543" s="15" t="n">
        <f aca="false">K543*(1+IF(L$3&lt;=$O$2,$D543,$D543-($D543-$I$535)*MIN(L$3-$O$2,$Q$2)/$Q$2))</f>
        <v>37414.2117267866</v>
      </c>
      <c r="M543" s="15" t="n">
        <f aca="false">L543*(1+IF(M$3&lt;=$O$2,$D543,$D543-($D543-$I$535)*MIN(M$3-$O$2,$Q$2)/$Q$2))</f>
        <v>39492.4308849156</v>
      </c>
      <c r="N543" s="15" t="n">
        <f aca="false">M543*(1+IF(N$3&lt;=$O$2,$D543,$D543-($D543-$I$535)*MIN(N$3-$O$2,$Q$2)/$Q$2))</f>
        <v>40807.5288333833</v>
      </c>
      <c r="O543" s="15" t="n">
        <f aca="false">SUMPRODUCT(E543:N543,1/(1+$F$535)^$E$3:$N$3)*$E$2</f>
        <v>54393.0597454797</v>
      </c>
      <c r="P543" s="15" t="n">
        <f aca="false">N543*$E$2*(1+$I$535)/($F$535-$I$535)/(1+$F$535)^$N$3</f>
        <v>79871.7000907402</v>
      </c>
      <c r="Q543" s="15" t="n">
        <f aca="false">O543+P543</f>
        <v>134264.75983622</v>
      </c>
      <c r="R543" s="15" t="n">
        <f aca="false">Q543-$G$2+$I$2</f>
        <v>122644.75983622</v>
      </c>
      <c r="S543" s="40" t="n">
        <f aca="false">R543/$K$2</f>
        <v>416.069341643383</v>
      </c>
      <c r="T543" s="41" t="n">
        <f aca="false">S543-$M$2</f>
        <v>6.08867875367207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0.1328125</v>
      </c>
      <c r="C544" s="25" t="n">
        <f aca="false">IF(T543&gt;0,D543,C543)</f>
        <v>0.14453125</v>
      </c>
      <c r="D544" s="39" t="n">
        <f aca="false">(B544+C544)/2</f>
        <v>0.138671875</v>
      </c>
      <c r="E544" s="15" t="n">
        <f aca="false">$C$2*(1+IF(E$3&lt;=$O$2,$D544,$D544-($D544-$I$535)*MIN(E$3-$O$2,$Q$2)/$Q$2))</f>
        <v>16302.365234375</v>
      </c>
      <c r="F544" s="15" t="n">
        <f aca="false">E544*(1+IF(F$3&lt;=$O$2,$D544,$D544-($D544-$I$535)*MIN(F$3-$O$2,$Q$2)/$Q$2))</f>
        <v>18563.0447883606</v>
      </c>
      <c r="G544" s="15" t="n">
        <f aca="false">F544*(1+IF(G$3&lt;=$O$2,$D544,$D544-($D544-$I$535)*MIN(G$3-$O$2,$Q$2)/$Q$2))</f>
        <v>21137.2170148715</v>
      </c>
      <c r="H544" s="15" t="n">
        <f aca="false">G544*(1+IF(H$3&lt;=$O$2,$D544,$D544-($D544-$I$535)*MIN(H$3-$O$2,$Q$2)/$Q$2))</f>
        <v>24068.3545306057</v>
      </c>
      <c r="I544" s="15" t="n">
        <f aca="false">H544*(1+IF(I$3&lt;=$O$2,$D544,$D544-($D544-$I$535)*MIN(I$3-$O$2,$Q$2)/$Q$2))</f>
        <v>27405.9583815295</v>
      </c>
      <c r="J544" s="15" t="n">
        <f aca="false">I544*(1+IF(J$3&lt;=$O$2,$D544,$D544-($D544-$I$535)*MIN(J$3-$O$2,$Q$2)/$Q$2))</f>
        <v>30628.8305723014</v>
      </c>
      <c r="K544" s="15" t="n">
        <f aca="false">J544*(1+IF(K$3&lt;=$O$2,$D544,$D544-($D544-$I$535)*MIN(K$3-$O$2,$Q$2)/$Q$2))</f>
        <v>33585.2210142355</v>
      </c>
      <c r="L544" s="15" t="n">
        <f aca="false">K544*(1+IF(L$3&lt;=$O$2,$D544,$D544-($D544-$I$535)*MIN(L$3-$O$2,$Q$2)/$Q$2))</f>
        <v>36119.1839582333</v>
      </c>
      <c r="M544" s="15" t="n">
        <f aca="false">L544*(1+IF(M$3&lt;=$O$2,$D544,$D544-($D544-$I$535)*MIN(M$3-$O$2,$Q$2)/$Q$2))</f>
        <v>38083.1420114723</v>
      </c>
      <c r="N544" s="15" t="n">
        <f aca="false">M544*(1+IF(N$3&lt;=$O$2,$D544,$D544-($D544-$I$535)*MIN(N$3-$O$2,$Q$2)/$Q$2))</f>
        <v>39351.3106404543</v>
      </c>
      <c r="O544" s="15" t="n">
        <f aca="false">SUMPRODUCT(E544:N544,1/(1+$F$535)^$E$3:$N$3)*$E$2</f>
        <v>53042.1111232857</v>
      </c>
      <c r="P544" s="15" t="n">
        <f aca="false">N544*$E$2*(1+$I$535)/($F$535-$I$535)/(1+$F$535)^$N$3</f>
        <v>77021.4754851974</v>
      </c>
      <c r="Q544" s="15" t="n">
        <f aca="false">O544+P544</f>
        <v>130063.586608483</v>
      </c>
      <c r="R544" s="15" t="n">
        <f aca="false">Q544-$G$2+$I$2</f>
        <v>118443.586608483</v>
      </c>
      <c r="S544" s="40" t="n">
        <f aca="false">R544/$K$2</f>
        <v>401.816964441711</v>
      </c>
      <c r="T544" s="41" t="n">
        <f aca="false">S544-$M$2</f>
        <v>-8.16369844799982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0.138671875</v>
      </c>
      <c r="C545" s="25" t="n">
        <f aca="false">IF(T544&gt;0,D544,C544)</f>
        <v>0.14453125</v>
      </c>
      <c r="D545" s="39" t="n">
        <f aca="false">(B545+C545)/2</f>
        <v>0.1416015625</v>
      </c>
      <c r="E545" s="15" t="n">
        <f aca="false">$C$2*(1+IF(E$3&lt;=$O$2,$D545,$D545-($D545-$I$535)*MIN(E$3-$O$2,$Q$2)/$Q$2))</f>
        <v>16344.3095703125</v>
      </c>
      <c r="F545" s="15" t="n">
        <f aca="false">E545*(1+IF(F$3&lt;=$O$2,$D545,$D545-($D545-$I$535)*MIN(F$3-$O$2,$Q$2)/$Q$2))</f>
        <v>18658.6893434525</v>
      </c>
      <c r="G545" s="15" t="n">
        <f aca="false">F545*(1+IF(G$3&lt;=$O$2,$D545,$D545-($D545-$I$535)*MIN(G$3-$O$2,$Q$2)/$Q$2))</f>
        <v>21300.7889086874</v>
      </c>
      <c r="H545" s="15" t="n">
        <f aca="false">G545*(1+IF(H$3&lt;=$O$2,$D545,$D545-($D545-$I$535)*MIN(H$3-$O$2,$Q$2)/$Q$2))</f>
        <v>24317.0139006402</v>
      </c>
      <c r="I545" s="15" t="n">
        <f aca="false">H545*(1+IF(I$3&lt;=$O$2,$D545,$D545-($D545-$I$535)*MIN(I$3-$O$2,$Q$2)/$Q$2))</f>
        <v>27760.3410643051</v>
      </c>
      <c r="J545" s="15" t="n">
        <f aca="false">I545*(1+IF(J$3&lt;=$O$2,$D545,$D545-($D545-$I$535)*MIN(J$3-$O$2,$Q$2)/$Q$2))</f>
        <v>31089.9510719842</v>
      </c>
      <c r="K545" s="15" t="n">
        <f aca="false">J545*(1+IF(K$3&lt;=$O$2,$D545,$D545-($D545-$I$535)*MIN(K$3-$O$2,$Q$2)/$Q$2))</f>
        <v>34145.5006101679</v>
      </c>
      <c r="L545" s="15" t="n">
        <f aca="false">K545*(1+IF(L$3&lt;=$O$2,$D545,$D545-($D545-$I$535)*MIN(L$3-$O$2,$Q$2)/$Q$2))</f>
        <v>36761.7502078569</v>
      </c>
      <c r="M545" s="15" t="n">
        <f aca="false">L545*(1+IF(M$3&lt;=$O$2,$D545,$D545-($D545-$I$535)*MIN(M$3-$O$2,$Q$2)/$Q$2))</f>
        <v>38782.1874873276</v>
      </c>
      <c r="N545" s="15" t="n">
        <f aca="false">M545*(1+IF(N$3&lt;=$O$2,$D545,$D545-($D545-$I$535)*MIN(N$3-$O$2,$Q$2)/$Q$2))</f>
        <v>40073.6343306556</v>
      </c>
      <c r="O545" s="15" t="n">
        <f aca="false">SUMPRODUCT(E545:N545,1/(1+$F$535)^$E$3:$N$3)*$E$2</f>
        <v>53713.4011361171</v>
      </c>
      <c r="P545" s="15" t="n">
        <f aca="false">N545*$E$2*(1+$I$535)/($F$535-$I$535)/(1+$F$535)^$N$3</f>
        <v>78435.2641364965</v>
      </c>
      <c r="Q545" s="15" t="n">
        <f aca="false">O545+P545</f>
        <v>132148.665272614</v>
      </c>
      <c r="R545" s="15" t="n">
        <f aca="false">Q545-$G$2+$I$2</f>
        <v>120528.665272614</v>
      </c>
      <c r="S545" s="40" t="n">
        <f aca="false">R545/$K$2</f>
        <v>408.890542703171</v>
      </c>
      <c r="T545" s="41" t="n">
        <f aca="false">S545-$M$2</f>
        <v>-1.09012018653993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0.1416015625</v>
      </c>
      <c r="C546" s="25" t="n">
        <f aca="false">IF(T545&gt;0,D545,C545)</f>
        <v>0.14453125</v>
      </c>
      <c r="D546" s="39" t="n">
        <f aca="false">(B546+C546)/2</f>
        <v>0.14306640625</v>
      </c>
      <c r="E546" s="15" t="n">
        <f aca="false">$C$2*(1+IF(E$3&lt;=$O$2,$D546,$D546-($D546-$I$535)*MIN(E$3-$O$2,$Q$2)/$Q$2))</f>
        <v>16365.2817382813</v>
      </c>
      <c r="F546" s="15" t="n">
        <f aca="false">E546*(1+IF(F$3&lt;=$O$2,$D546,$D546-($D546-$I$535)*MIN(F$3-$O$2,$Q$2)/$Q$2))</f>
        <v>18706.6037838459</v>
      </c>
      <c r="G546" s="15" t="n">
        <f aca="false">F546*(1+IF(G$3&lt;=$O$2,$D546,$D546-($D546-$I$535)*MIN(G$3-$O$2,$Q$2)/$Q$2))</f>
        <v>21382.8903603434</v>
      </c>
      <c r="H546" s="15" t="n">
        <f aca="false">G546*(1+IF(H$3&lt;=$O$2,$D546,$D546-($D546-$I$535)*MIN(H$3-$O$2,$Q$2)/$Q$2))</f>
        <v>24442.0636394355</v>
      </c>
      <c r="I546" s="15" t="n">
        <f aca="false">H546*(1+IF(I$3&lt;=$O$2,$D546,$D546-($D546-$I$535)*MIN(I$3-$O$2,$Q$2)/$Q$2))</f>
        <v>27938.9018456633</v>
      </c>
      <c r="J546" s="15" t="n">
        <f aca="false">I546*(1+IF(J$3&lt;=$O$2,$D546,$D546-($D546-$I$535)*MIN(J$3-$O$2,$Q$2)/$Q$2))</f>
        <v>31322.6695572599</v>
      </c>
      <c r="K546" s="15" t="n">
        <f aca="false">J546*(1+IF(K$3&lt;=$O$2,$D546,$D546-($D546-$I$535)*MIN(K$3-$O$2,$Q$2)/$Q$2))</f>
        <v>34428.6205763906</v>
      </c>
      <c r="L546" s="15" t="n">
        <f aca="false">K546*(1+IF(L$3&lt;=$O$2,$D546,$D546-($D546-$I$535)*MIN(L$3-$O$2,$Q$2)/$Q$2))</f>
        <v>37086.7360227105</v>
      </c>
      <c r="M546" s="15" t="n">
        <f aca="false">L546*(1+IF(M$3&lt;=$O$2,$D546,$D546-($D546-$I$535)*MIN(M$3-$O$2,$Q$2)/$Q$2))</f>
        <v>39135.8998788179</v>
      </c>
      <c r="N546" s="15" t="n">
        <f aca="false">M546*(1+IF(N$3&lt;=$O$2,$D546,$D546-($D546-$I$535)*MIN(N$3-$O$2,$Q$2)/$Q$2))</f>
        <v>40439.1253447825</v>
      </c>
      <c r="O546" s="15" t="n">
        <f aca="false">SUMPRODUCT(E546:N546,1/(1+$F$535)^$E$3:$N$3)*$E$2</f>
        <v>54052.1783968098</v>
      </c>
      <c r="P546" s="15" t="n">
        <f aca="false">N546*$E$2*(1+$I$535)/($F$535-$I$535)/(1+$F$535)^$N$3</f>
        <v>79150.6318517383</v>
      </c>
      <c r="Q546" s="15" t="n">
        <f aca="false">O546+P546</f>
        <v>133202.810248548</v>
      </c>
      <c r="R546" s="15" t="n">
        <f aca="false">Q546-$G$2+$I$2</f>
        <v>121582.810248548</v>
      </c>
      <c r="S546" s="40" t="n">
        <f aca="false">R546/$K$2</f>
        <v>412.466703696265</v>
      </c>
      <c r="T546" s="41" t="n">
        <f aca="false">S546-$M$2</f>
        <v>2.48604080655468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0.1416015625</v>
      </c>
      <c r="C547" s="25" t="n">
        <f aca="false">IF(T546&gt;0,D546,C546)</f>
        <v>0.14306640625</v>
      </c>
      <c r="D547" s="39" t="n">
        <f aca="false">(B547+C547)/2</f>
        <v>0.142333984375</v>
      </c>
      <c r="E547" s="15" t="n">
        <f aca="false">$C$2*(1+IF(E$3&lt;=$O$2,$D547,$D547-($D547-$I$535)*MIN(E$3-$O$2,$Q$2)/$Q$2))</f>
        <v>16354.7956542969</v>
      </c>
      <c r="F547" s="15" t="n">
        <f aca="false">E547*(1+IF(F$3&lt;=$O$2,$D547,$D547-($D547-$I$535)*MIN(F$3-$O$2,$Q$2)/$Q$2))</f>
        <v>18682.6388834119</v>
      </c>
      <c r="G547" s="15" t="n">
        <f aca="false">F547*(1+IF(G$3&lt;=$O$2,$D547,$D547-($D547-$I$535)*MIN(G$3-$O$2,$Q$2)/$Q$2))</f>
        <v>21341.8133143272</v>
      </c>
      <c r="H547" s="15" t="n">
        <f aca="false">G547*(1+IF(H$3&lt;=$O$2,$D547,$D547-($D547-$I$535)*MIN(H$3-$O$2,$Q$2)/$Q$2))</f>
        <v>24379.4786371428</v>
      </c>
      <c r="I547" s="15" t="n">
        <f aca="false">H547*(1+IF(I$3&lt;=$O$2,$D547,$D547-($D547-$I$535)*MIN(I$3-$O$2,$Q$2)/$Q$2))</f>
        <v>27849.5069685525</v>
      </c>
      <c r="J547" s="15" t="n">
        <f aca="false">I547*(1+IF(J$3&lt;=$O$2,$D547,$D547-($D547-$I$535)*MIN(J$3-$O$2,$Q$2)/$Q$2))</f>
        <v>31206.1297167338</v>
      </c>
      <c r="K547" s="15" t="n">
        <f aca="false">J547*(1+IF(K$3&lt;=$O$2,$D547,$D547-($D547-$I$535)*MIN(K$3-$O$2,$Q$2)/$Q$2))</f>
        <v>34286.8110322642</v>
      </c>
      <c r="L547" s="15" t="n">
        <f aca="false">K547*(1+IF(L$3&lt;=$O$2,$D547,$D547-($D547-$I$535)*MIN(L$3-$O$2,$Q$2)/$Q$2))</f>
        <v>36923.9328869828</v>
      </c>
      <c r="M547" s="15" t="n">
        <f aca="false">L547*(1+IF(M$3&lt;=$O$2,$D547,$D547-($D547-$I$535)*MIN(M$3-$O$2,$Q$2)/$Q$2))</f>
        <v>38958.6925564119</v>
      </c>
      <c r="N547" s="15" t="n">
        <f aca="false">M547*(1+IF(N$3&lt;=$O$2,$D547,$D547-($D547-$I$535)*MIN(N$3-$O$2,$Q$2)/$Q$2))</f>
        <v>40256.0170185404</v>
      </c>
      <c r="O547" s="15" t="n">
        <f aca="false">SUMPRODUCT(E547:N547,1/(1+$F$535)^$E$3:$N$3)*$E$2</f>
        <v>53882.5275039424</v>
      </c>
      <c r="P547" s="15" t="n">
        <f aca="false">N547*$E$2*(1+$I$535)/($F$535-$I$535)/(1+$F$535)^$N$3</f>
        <v>78792.2378559284</v>
      </c>
      <c r="Q547" s="15" t="n">
        <f aca="false">O547+P547</f>
        <v>132674.765359871</v>
      </c>
      <c r="R547" s="15" t="n">
        <f aca="false">Q547-$G$2+$I$2</f>
        <v>121054.765359871</v>
      </c>
      <c r="S547" s="40" t="n">
        <f aca="false">R547/$K$2</f>
        <v>410.675324354143</v>
      </c>
      <c r="T547" s="41" t="n">
        <f aca="false">S547-$M$2</f>
        <v>0.69466146443267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0.1416015625</v>
      </c>
      <c r="C548" s="25" t="n">
        <f aca="false">IF(T547&gt;0,D547,C547)</f>
        <v>0.142333984375</v>
      </c>
      <c r="D548" s="39" t="n">
        <f aca="false">(B548+C548)/2</f>
        <v>0.1419677734375</v>
      </c>
      <c r="E548" s="15" t="n">
        <f aca="false">$C$2*(1+IF(E$3&lt;=$O$2,$D548,$D548-($D548-$I$535)*MIN(E$3-$O$2,$Q$2)/$Q$2))</f>
        <v>16349.5526123047</v>
      </c>
      <c r="F548" s="15" t="n">
        <f aca="false">E548*(1+IF(F$3&lt;=$O$2,$D548,$D548-($D548-$I$535)*MIN(F$3-$O$2,$Q$2)/$Q$2))</f>
        <v>18670.6621933728</v>
      </c>
      <c r="G548" s="15" t="n">
        <f aca="false">F548*(1+IF(G$3&lt;=$O$2,$D548,$D548-($D548-$I$535)*MIN(G$3-$O$2,$Q$2)/$Q$2))</f>
        <v>21321.2945335697</v>
      </c>
      <c r="H548" s="15" t="n">
        <f aca="false">G548*(1+IF(H$3&lt;=$O$2,$D548,$D548-($D548-$I$535)*MIN(H$3-$O$2,$Q$2)/$Q$2))</f>
        <v>24348.2312453057</v>
      </c>
      <c r="I548" s="15" t="n">
        <f aca="false">H548*(1+IF(I$3&lt;=$O$2,$D548,$D548-($D548-$I$535)*MIN(I$3-$O$2,$Q$2)/$Q$2))</f>
        <v>27804.8954223432</v>
      </c>
      <c r="J548" s="15" t="n">
        <f aca="false">I548*(1+IF(J$3&lt;=$O$2,$D548,$D548-($D548-$I$535)*MIN(J$3-$O$2,$Q$2)/$Q$2))</f>
        <v>31147.995300874</v>
      </c>
      <c r="K548" s="15" t="n">
        <f aca="false">J548*(1+IF(K$3&lt;=$O$2,$D548,$D548-($D548-$I$535)*MIN(K$3-$O$2,$Q$2)/$Q$2))</f>
        <v>34216.0935222258</v>
      </c>
      <c r="L548" s="15" t="n">
        <f aca="false">K548*(1+IF(L$3&lt;=$O$2,$D548,$D548-($D548-$I$535)*MIN(L$3-$O$2,$Q$2)/$Q$2))</f>
        <v>36842.7641160317</v>
      </c>
      <c r="M548" s="15" t="n">
        <f aca="false">L548*(1+IF(M$3&lt;=$O$2,$D548,$D548-($D548-$I$535)*MIN(M$3-$O$2,$Q$2)/$Q$2))</f>
        <v>38870.35238985</v>
      </c>
      <c r="N548" s="15" t="n">
        <f aca="false">M548*(1+IF(N$3&lt;=$O$2,$D548,$D548-($D548-$I$535)*MIN(N$3-$O$2,$Q$2)/$Q$2))</f>
        <v>40164.735124432</v>
      </c>
      <c r="O548" s="15" t="n">
        <f aca="false">SUMPRODUCT(E548:N548,1/(1+$F$535)^$E$3:$N$3)*$E$2</f>
        <v>53797.8988477576</v>
      </c>
      <c r="P548" s="15" t="n">
        <f aca="false">N548*$E$2*(1+$I$535)/($F$535-$I$535)/(1+$F$535)^$N$3</f>
        <v>78613.5737643165</v>
      </c>
      <c r="Q548" s="15" t="n">
        <f aca="false">O548+P548</f>
        <v>132411.472612074</v>
      </c>
      <c r="R548" s="15" t="n">
        <f aca="false">Q548-$G$2+$I$2</f>
        <v>120791.472612074</v>
      </c>
      <c r="S548" s="40" t="n">
        <f aca="false">R548/$K$2</f>
        <v>409.782110160715</v>
      </c>
      <c r="T548" s="41" t="n">
        <f aca="false">S548-$M$2</f>
        <v>-0.198552728995423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0.1419677734375</v>
      </c>
      <c r="C549" s="25" t="n">
        <f aca="false">IF(T548&gt;0,D548,C548)</f>
        <v>0.142333984375</v>
      </c>
      <c r="D549" s="39" t="n">
        <f aca="false">(B549+C549)/2</f>
        <v>0.14215087890625</v>
      </c>
      <c r="E549" s="15" t="n">
        <f aca="false">$C$2*(1+IF(E$3&lt;=$O$2,$D549,$D549-($D549-$I$535)*MIN(E$3-$O$2,$Q$2)/$Q$2))</f>
        <v>16352.1741333008</v>
      </c>
      <c r="F549" s="15" t="n">
        <f aca="false">E549*(1+IF(F$3&lt;=$O$2,$D549,$D549-($D549-$I$535)*MIN(F$3-$O$2,$Q$2)/$Q$2))</f>
        <v>18676.6500583775</v>
      </c>
      <c r="G549" s="15" t="n">
        <f aca="false">F549*(1+IF(G$3&lt;=$O$2,$D549,$D549-($D549-$I$535)*MIN(G$3-$O$2,$Q$2)/$Q$2))</f>
        <v>21331.5522792004</v>
      </c>
      <c r="H549" s="15" t="n">
        <f aca="false">G549*(1+IF(H$3&lt;=$O$2,$D549,$D549-($D549-$I$535)*MIN(H$3-$O$2,$Q$2)/$Q$2))</f>
        <v>24363.8511841233</v>
      </c>
      <c r="I549" s="15" t="n">
        <f aca="false">H549*(1+IF(I$3&lt;=$O$2,$D549,$D549-($D549-$I$535)*MIN(I$3-$O$2,$Q$2)/$Q$2))</f>
        <v>27827.1940434875</v>
      </c>
      <c r="J549" s="15" t="n">
        <f aca="false">I549*(1+IF(J$3&lt;=$O$2,$D549,$D549-($D549-$I$535)*MIN(J$3-$O$2,$Q$2)/$Q$2))</f>
        <v>31177.0512284384</v>
      </c>
      <c r="K549" s="15" t="n">
        <f aca="false">J549*(1+IF(K$3&lt;=$O$2,$D549,$D549-($D549-$I$535)*MIN(K$3-$O$2,$Q$2)/$Q$2))</f>
        <v>34251.4366910978</v>
      </c>
      <c r="L549" s="15" t="n">
        <f aca="false">K549*(1+IF(L$3&lt;=$O$2,$D549,$D549-($D549-$I$535)*MIN(L$3-$O$2,$Q$2)/$Q$2))</f>
        <v>36883.3291279624</v>
      </c>
      <c r="M549" s="15" t="n">
        <f aca="false">L549*(1+IF(M$3&lt;=$O$2,$D549,$D549-($D549-$I$535)*MIN(M$3-$O$2,$Q$2)/$Q$2))</f>
        <v>38914.500546437</v>
      </c>
      <c r="N549" s="15" t="n">
        <f aca="false">M549*(1+IF(N$3&lt;=$O$2,$D549,$D549-($D549-$I$535)*MIN(N$3-$O$2,$Q$2)/$Q$2))</f>
        <v>40210.3534146334</v>
      </c>
      <c r="O549" s="15" t="n">
        <f aca="false">SUMPRODUCT(E549:N549,1/(1+$F$535)^$E$3:$N$3)*$E$2</f>
        <v>53840.1967961211</v>
      </c>
      <c r="P549" s="15" t="n">
        <f aca="false">N549*$E$2*(1+$I$535)/($F$535-$I$535)/(1+$F$535)^$N$3</f>
        <v>78702.8614643508</v>
      </c>
      <c r="Q549" s="15" t="n">
        <f aca="false">O549+P549</f>
        <v>132543.058260472</v>
      </c>
      <c r="R549" s="15" t="n">
        <f aca="false">Q549-$G$2+$I$2</f>
        <v>120923.058260472</v>
      </c>
      <c r="S549" s="40" t="n">
        <f aca="false">R549/$K$2</f>
        <v>410.228511247657</v>
      </c>
      <c r="T549" s="41" t="n">
        <f aca="false">S549-$M$2</f>
        <v>0.247848357946737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0.1419677734375</v>
      </c>
      <c r="C550" s="25" t="n">
        <f aca="false">IF(T549&gt;0,D549,C549)</f>
        <v>0.14215087890625</v>
      </c>
      <c r="D550" s="39" t="n">
        <f aca="false">(B550+C550)/2</f>
        <v>0.142059326171875</v>
      </c>
      <c r="E550" s="15" t="n">
        <f aca="false">$C$2*(1+IF(E$3&lt;=$O$2,$D550,$D550-($D550-$I$535)*MIN(E$3-$O$2,$Q$2)/$Q$2))</f>
        <v>16350.8633728027</v>
      </c>
      <c r="F550" s="15" t="n">
        <f aca="false">E550*(1+IF(F$3&lt;=$O$2,$D550,$D550-($D550-$I$535)*MIN(F$3-$O$2,$Q$2)/$Q$2))</f>
        <v>18673.6560058715</v>
      </c>
      <c r="G550" s="15" t="n">
        <f aca="false">F550*(1+IF(G$3&lt;=$O$2,$D550,$D550-($D550-$I$535)*MIN(G$3-$O$2,$Q$2)/$Q$2))</f>
        <v>21326.422995231</v>
      </c>
      <c r="H550" s="15" t="n">
        <f aca="false">G550*(1+IF(H$3&lt;=$O$2,$D550,$D550-($D550-$I$535)*MIN(H$3-$O$2,$Q$2)/$Q$2))</f>
        <v>24356.0402755899</v>
      </c>
      <c r="I550" s="15" t="n">
        <f aca="false">H550*(1+IF(I$3&lt;=$O$2,$D550,$D550-($D550-$I$535)*MIN(I$3-$O$2,$Q$2)/$Q$2))</f>
        <v>27816.0429453552</v>
      </c>
      <c r="J550" s="15" t="n">
        <f aca="false">I550*(1+IF(J$3&lt;=$O$2,$D550,$D550-($D550-$I$535)*MIN(J$3-$O$2,$Q$2)/$Q$2))</f>
        <v>31162.5204454394</v>
      </c>
      <c r="K550" s="15" t="n">
        <f aca="false">J550*(1+IF(K$3&lt;=$O$2,$D550,$D550-($D550-$I$535)*MIN(K$3-$O$2,$Q$2)/$Q$2))</f>
        <v>34233.7612115504</v>
      </c>
      <c r="L550" s="15" t="n">
        <f aca="false">K550*(1+IF(L$3&lt;=$O$2,$D550,$D550-($D550-$I$535)*MIN(L$3-$O$2,$Q$2)/$Q$2))</f>
        <v>36863.0417805739</v>
      </c>
      <c r="M550" s="15" t="n">
        <f aca="false">L550*(1+IF(M$3&lt;=$O$2,$D550,$D550-($D550-$I$535)*MIN(M$3-$O$2,$Q$2)/$Q$2))</f>
        <v>38892.4209888072</v>
      </c>
      <c r="N550" s="15" t="n">
        <f aca="false">M550*(1+IF(N$3&lt;=$O$2,$D550,$D550-($D550-$I$535)*MIN(N$3-$O$2,$Q$2)/$Q$2))</f>
        <v>40187.5386077345</v>
      </c>
      <c r="O550" s="15" t="n">
        <f aca="false">SUMPRODUCT(E550:N550,1/(1+$F$535)^$E$3:$N$3)*$E$2</f>
        <v>53819.0437284653</v>
      </c>
      <c r="P550" s="15" t="n">
        <f aca="false">N550*$E$2*(1+$I$535)/($F$535-$I$535)/(1+$F$535)^$N$3</f>
        <v>78658.2065326176</v>
      </c>
      <c r="Q550" s="15" t="n">
        <f aca="false">O550+P550</f>
        <v>132477.250261083</v>
      </c>
      <c r="R550" s="15" t="n">
        <f aca="false">Q550-$G$2+$I$2</f>
        <v>120857.250261083</v>
      </c>
      <c r="S550" s="40" t="n">
        <f aca="false">R550/$K$2</f>
        <v>410.005259222726</v>
      </c>
      <c r="T550" s="41" t="n">
        <f aca="false">S550-$M$2</f>
        <v>0.0245963330152108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0.1419677734375</v>
      </c>
      <c r="C551" s="25" t="n">
        <f aca="false">IF(T550&gt;0,D550,C550)</f>
        <v>0.142059326171875</v>
      </c>
      <c r="D551" s="39" t="n">
        <f aca="false">(B551+C551)/2</f>
        <v>0.142013549804688</v>
      </c>
      <c r="E551" s="15" t="n">
        <f aca="false">$C$2*(1+IF(E$3&lt;=$O$2,$D551,$D551-($D551-$I$535)*MIN(E$3-$O$2,$Q$2)/$Q$2))</f>
        <v>16350.2079925537</v>
      </c>
      <c r="F551" s="15" t="n">
        <f aca="false">E551*(1+IF(F$3&lt;=$O$2,$D551,$D551-($D551-$I$535)*MIN(F$3-$O$2,$Q$2)/$Q$2))</f>
        <v>18672.1590696212</v>
      </c>
      <c r="G551" s="15" t="n">
        <f aca="false">F551*(1+IF(G$3&lt;=$O$2,$D551,$D551-($D551-$I$535)*MIN(G$3-$O$2,$Q$2)/$Q$2))</f>
        <v>21323.8586616159</v>
      </c>
      <c r="H551" s="15" t="n">
        <f aca="false">G551*(1+IF(H$3&lt;=$O$2,$D551,$D551-($D551-$I$535)*MIN(H$3-$O$2,$Q$2)/$Q$2))</f>
        <v>24352.1355256855</v>
      </c>
      <c r="I551" s="15" t="n">
        <f aca="false">H551*(1+IF(I$3&lt;=$O$2,$D551,$D551-($D551-$I$535)*MIN(I$3-$O$2,$Q$2)/$Q$2))</f>
        <v>27810.4687370129</v>
      </c>
      <c r="J551" s="15" t="n">
        <f aca="false">I551*(1+IF(J$3&lt;=$O$2,$D551,$D551-($D551-$I$535)*MIN(J$3-$O$2,$Q$2)/$Q$2))</f>
        <v>31155.2571684618</v>
      </c>
      <c r="K551" s="15" t="n">
        <f aca="false">J551*(1+IF(K$3&lt;=$O$2,$D551,$D551-($D551-$I$535)*MIN(K$3-$O$2,$Q$2)/$Q$2))</f>
        <v>34224.9263932884</v>
      </c>
      <c r="L551" s="15" t="n">
        <f aca="false">K551*(1+IF(L$3&lt;=$O$2,$D551,$D551-($D551-$I$535)*MIN(L$3-$O$2,$Q$2)/$Q$2))</f>
        <v>36852.9017381923</v>
      </c>
      <c r="M551" s="15" t="n">
        <f aca="false">L551*(1+IF(M$3&lt;=$O$2,$D551,$D551-($D551-$I$535)*MIN(M$3-$O$2,$Q$2)/$Q$2))</f>
        <v>38881.3853197866</v>
      </c>
      <c r="N551" s="15" t="n">
        <f aca="false">M551*(1+IF(N$3&lt;=$O$2,$D551,$D551-($D551-$I$535)*MIN(N$3-$O$2,$Q$2)/$Q$2))</f>
        <v>40176.1354509355</v>
      </c>
      <c r="O551" s="15" t="n">
        <f aca="false">SUMPRODUCT(E551:N551,1/(1+$F$535)^$E$3:$N$3)*$E$2</f>
        <v>53808.4702649251</v>
      </c>
      <c r="P551" s="15" t="n">
        <f aca="false">N551*$E$2*(1+$I$535)/($F$535-$I$535)/(1+$F$535)^$N$3</f>
        <v>78635.8873786286</v>
      </c>
      <c r="Q551" s="15" t="n">
        <f aca="false">O551+P551</f>
        <v>132444.357643554</v>
      </c>
      <c r="R551" s="15" t="n">
        <f aca="false">Q551-$G$2+$I$2</f>
        <v>120824.357643554</v>
      </c>
      <c r="S551" s="40" t="n">
        <f aca="false">R551/$K$2</f>
        <v>409.893671823977</v>
      </c>
      <c r="T551" s="41" t="n">
        <f aca="false">S551-$M$2</f>
        <v>-0.0869910657333435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0.142013549804688</v>
      </c>
      <c r="C552" s="25" t="n">
        <f aca="false">IF(T551&gt;0,D551,C551)</f>
        <v>0.142059326171875</v>
      </c>
      <c r="D552" s="39" t="n">
        <f aca="false">(B552+C552)/2</f>
        <v>0.142036437988281</v>
      </c>
      <c r="E552" s="15" t="n">
        <f aca="false">$C$2*(1+IF(E$3&lt;=$O$2,$D552,$D552-($D552-$I$535)*MIN(E$3-$O$2,$Q$2)/$Q$2))</f>
        <v>16350.5356826782</v>
      </c>
      <c r="F552" s="15" t="n">
        <f aca="false">E552*(1+IF(F$3&lt;=$O$2,$D552,$D552-($D552-$I$535)*MIN(F$3-$O$2,$Q$2)/$Q$2))</f>
        <v>18672.9075302461</v>
      </c>
      <c r="G552" s="15" t="n">
        <f aca="false">F552*(1+IF(G$3&lt;=$O$2,$D552,$D552-($D552-$I$535)*MIN(G$3-$O$2,$Q$2)/$Q$2))</f>
        <v>21325.1408027268</v>
      </c>
      <c r="H552" s="15" t="n">
        <f aca="false">G552*(1+IF(H$3&lt;=$O$2,$D552,$D552-($D552-$I$535)*MIN(H$3-$O$2,$Q$2)/$Q$2))</f>
        <v>24354.0878419447</v>
      </c>
      <c r="I552" s="15" t="n">
        <f aca="false">H552*(1+IF(I$3&lt;=$O$2,$D552,$D552-($D552-$I$535)*MIN(I$3-$O$2,$Q$2)/$Q$2))</f>
        <v>27813.2557294683</v>
      </c>
      <c r="J552" s="15" t="n">
        <f aca="false">I552*(1+IF(J$3&lt;=$O$2,$D552,$D552-($D552-$I$535)*MIN(J$3-$O$2,$Q$2)/$Q$2))</f>
        <v>31158.8886307632</v>
      </c>
      <c r="K552" s="15" t="n">
        <f aca="false">J552*(1+IF(K$3&lt;=$O$2,$D552,$D552-($D552-$I$535)*MIN(K$3-$O$2,$Q$2)/$Q$2))</f>
        <v>34229.3435589972</v>
      </c>
      <c r="L552" s="15" t="n">
        <f aca="false">K552*(1+IF(L$3&lt;=$O$2,$D552,$D552-($D552-$I$535)*MIN(L$3-$O$2,$Q$2)/$Q$2))</f>
        <v>36857.9714568248</v>
      </c>
      <c r="M552" s="15" t="n">
        <f aca="false">L552*(1+IF(M$3&lt;=$O$2,$D552,$D552-($D552-$I$535)*MIN(M$3-$O$2,$Q$2)/$Q$2))</f>
        <v>38886.9028118749</v>
      </c>
      <c r="N552" s="15" t="n">
        <f aca="false">M552*(1+IF(N$3&lt;=$O$2,$D552,$D552-($D552-$I$535)*MIN(N$3-$O$2,$Q$2)/$Q$2))</f>
        <v>40181.8366755103</v>
      </c>
      <c r="O552" s="15" t="n">
        <f aca="false">SUMPRODUCT(E552:N552,1/(1+$F$535)^$E$3:$N$3)*$E$2</f>
        <v>53813.7567408759</v>
      </c>
      <c r="P552" s="15" t="n">
        <f aca="false">N552*$E$2*(1+$I$535)/($F$535-$I$535)/(1+$F$535)^$N$3</f>
        <v>78647.0462630897</v>
      </c>
      <c r="Q552" s="15" t="n">
        <f aca="false">O552+P552</f>
        <v>132460.803003966</v>
      </c>
      <c r="R552" s="15" t="n">
        <f aca="false">Q552-$G$2+$I$2</f>
        <v>120840.803003966</v>
      </c>
      <c r="S552" s="40" t="n">
        <f aca="false">R552/$K$2</f>
        <v>409.949462306088</v>
      </c>
      <c r="T552" s="41" t="n">
        <f aca="false">S552-$M$2</f>
        <v>-0.0312005836225353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0.142036437988281</v>
      </c>
      <c r="C553" s="25" t="n">
        <f aca="false">IF(T552&gt;0,D552,C552)</f>
        <v>0.142059326171875</v>
      </c>
      <c r="D553" s="39" t="n">
        <f aca="false">(B553+C553)/2</f>
        <v>0.142047882080078</v>
      </c>
      <c r="E553" s="15" t="n">
        <f aca="false">$C$2*(1+IF(E$3&lt;=$O$2,$D553,$D553-($D553-$I$535)*MIN(E$3-$O$2,$Q$2)/$Q$2))</f>
        <v>16350.6995277405</v>
      </c>
      <c r="F553" s="15" t="n">
        <f aca="false">E553*(1+IF(F$3&lt;=$O$2,$D553,$D553-($D553-$I$535)*MIN(F$3-$O$2,$Q$2)/$Q$2))</f>
        <v>18673.2817661837</v>
      </c>
      <c r="G553" s="15" t="n">
        <f aca="false">F553*(1+IF(G$3&lt;=$O$2,$D553,$D553-($D553-$I$535)*MIN(G$3-$O$2,$Q$2)/$Q$2))</f>
        <v>21325.7818925547</v>
      </c>
      <c r="H553" s="15" t="n">
        <f aca="false">G553*(1+IF(H$3&lt;=$O$2,$D553,$D553-($D553-$I$535)*MIN(H$3-$O$2,$Q$2)/$Q$2))</f>
        <v>24355.0640440938</v>
      </c>
      <c r="I553" s="15" t="n">
        <f aca="false">H553*(1+IF(I$3&lt;=$O$2,$D553,$D553-($D553-$I$535)*MIN(I$3-$O$2,$Q$2)/$Q$2))</f>
        <v>27814.6493094819</v>
      </c>
      <c r="J553" s="15" t="n">
        <f aca="false">I553*(1+IF(J$3&lt;=$O$2,$D553,$D553-($D553-$I$535)*MIN(J$3-$O$2,$Q$2)/$Q$2))</f>
        <v>31160.7044940527</v>
      </c>
      <c r="K553" s="15" t="n">
        <f aca="false">J553*(1+IF(K$3&lt;=$O$2,$D553,$D553-($D553-$I$535)*MIN(K$3-$O$2,$Q$2)/$Q$2))</f>
        <v>34231.5523244155</v>
      </c>
      <c r="L553" s="15" t="n">
        <f aca="false">K553*(1+IF(L$3&lt;=$O$2,$D553,$D553-($D553-$I$535)*MIN(L$3-$O$2,$Q$2)/$Q$2))</f>
        <v>36860.506543056</v>
      </c>
      <c r="M553" s="15" t="n">
        <f aca="false">L553*(1+IF(M$3&lt;=$O$2,$D553,$D553-($D553-$I$535)*MIN(M$3-$O$2,$Q$2)/$Q$2))</f>
        <v>38889.661814731</v>
      </c>
      <c r="N553" s="15" t="n">
        <f aca="false">M553*(1+IF(N$3&lt;=$O$2,$D553,$D553-($D553-$I$535)*MIN(N$3-$O$2,$Q$2)/$Q$2))</f>
        <v>40184.6875531615</v>
      </c>
      <c r="O553" s="15" t="n">
        <f aca="false">SUMPRODUCT(E553:N553,1/(1+$F$535)^$E$3:$N$3)*$E$2</f>
        <v>53816.4001707129</v>
      </c>
      <c r="P553" s="15" t="n">
        <f aca="false">N553*$E$2*(1+$I$535)/($F$535-$I$535)/(1+$F$535)^$N$3</f>
        <v>78652.6262247111</v>
      </c>
      <c r="Q553" s="15" t="n">
        <f aca="false">O553+P553</f>
        <v>132469.026395424</v>
      </c>
      <c r="R553" s="15" t="n">
        <f aca="false">Q553-$G$2+$I$2</f>
        <v>120849.026395424</v>
      </c>
      <c r="S553" s="40" t="n">
        <f aca="false">R553/$K$2</f>
        <v>409.97735996005</v>
      </c>
      <c r="T553" s="41" t="n">
        <f aca="false">S553-$M$2</f>
        <v>-0.00330292966043544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0.142047882080078</v>
      </c>
      <c r="C554" s="25" t="n">
        <f aca="false">IF(T553&gt;0,D553,C553)</f>
        <v>0.142059326171875</v>
      </c>
      <c r="D554" s="39" t="n">
        <f aca="false">(B554+C554)/2</f>
        <v>0.142053604125977</v>
      </c>
      <c r="E554" s="15" t="n">
        <f aca="false">$C$2*(1+IF(E$3&lt;=$O$2,$D554,$D554-($D554-$I$535)*MIN(E$3-$O$2,$Q$2)/$Q$2))</f>
        <v>16350.7814502716</v>
      </c>
      <c r="F554" s="15" t="n">
        <f aca="false">E554*(1+IF(F$3&lt;=$O$2,$D554,$D554-($D554-$I$535)*MIN(F$3-$O$2,$Q$2)/$Q$2))</f>
        <v>18673.4688855589</v>
      </c>
      <c r="G554" s="15" t="n">
        <f aca="false">F554*(1+IF(G$3&lt;=$O$2,$D554,$D554-($D554-$I$535)*MIN(G$3-$O$2,$Q$2)/$Q$2))</f>
        <v>21326.1024422868</v>
      </c>
      <c r="H554" s="15" t="n">
        <f aca="false">G554*(1+IF(H$3&lt;=$O$2,$D554,$D554-($D554-$I$535)*MIN(H$3-$O$2,$Q$2)/$Q$2))</f>
        <v>24355.5521561734</v>
      </c>
      <c r="I554" s="15" t="n">
        <f aca="false">H554*(1+IF(I$3&lt;=$O$2,$D554,$D554-($D554-$I$535)*MIN(I$3-$O$2,$Q$2)/$Q$2))</f>
        <v>27815.346120436</v>
      </c>
      <c r="J554" s="15" t="n">
        <f aca="false">I554*(1+IF(J$3&lt;=$O$2,$D554,$D554-($D554-$I$535)*MIN(J$3-$O$2,$Q$2)/$Q$2))</f>
        <v>31161.6124587337</v>
      </c>
      <c r="K554" s="15" t="n">
        <f aca="false">J554*(1+IF(K$3&lt;=$O$2,$D554,$D554-($D554-$I$535)*MIN(K$3-$O$2,$Q$2)/$Q$2))</f>
        <v>34232.656752768</v>
      </c>
      <c r="L554" s="15" t="n">
        <f aca="false">K554*(1+IF(L$3&lt;=$O$2,$D554,$D554-($D554-$I$535)*MIN(L$3-$O$2,$Q$2)/$Q$2))</f>
        <v>36861.7741429036</v>
      </c>
      <c r="M554" s="15" t="n">
        <f aca="false">L554*(1+IF(M$3&lt;=$O$2,$D554,$D554-($D554-$I$535)*MIN(M$3-$O$2,$Q$2)/$Q$2))</f>
        <v>38891.041380366</v>
      </c>
      <c r="N554" s="15" t="n">
        <f aca="false">M554*(1+IF(N$3&lt;=$O$2,$D554,$D554-($D554-$I$535)*MIN(N$3-$O$2,$Q$2)/$Q$2))</f>
        <v>40186.1130583322</v>
      </c>
      <c r="O554" s="15" t="n">
        <f aca="false">SUMPRODUCT(E554:N554,1/(1+$F$535)^$E$3:$N$3)*$E$2</f>
        <v>53817.7219335993</v>
      </c>
      <c r="P554" s="15" t="n">
        <f aca="false">N554*$E$2*(1+$I$535)/($F$535-$I$535)/(1+$F$535)^$N$3</f>
        <v>78655.4163353775</v>
      </c>
      <c r="Q554" s="15" t="n">
        <f aca="false">O554+P554</f>
        <v>132473.138268977</v>
      </c>
      <c r="R554" s="15" t="n">
        <f aca="false">Q554-$G$2+$I$2</f>
        <v>120853.138268977</v>
      </c>
      <c r="S554" s="40" t="n">
        <f aca="false">R554/$K$2</f>
        <v>409.991309390294</v>
      </c>
      <c r="T554" s="41" t="n">
        <f aca="false">S554-$M$2</f>
        <v>0.0106465005829932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0.142047882080078</v>
      </c>
      <c r="C555" s="25" t="n">
        <f aca="false">IF(T554&gt;0,D554,C554)</f>
        <v>0.142053604125977</v>
      </c>
      <c r="D555" s="39" t="n">
        <f aca="false">(B555+C555)/2</f>
        <v>0.142050743103027</v>
      </c>
      <c r="E555" s="15" t="n">
        <f aca="false">$C$2*(1+IF(E$3&lt;=$O$2,$D555,$D555-($D555-$I$535)*MIN(E$3-$O$2,$Q$2)/$Q$2))</f>
        <v>16350.740489006</v>
      </c>
      <c r="F555" s="15" t="n">
        <f aca="false">E555*(1+IF(F$3&lt;=$O$2,$D555,$D555-($D555-$I$535)*MIN(F$3-$O$2,$Q$2)/$Q$2))</f>
        <v>18673.3753257541</v>
      </c>
      <c r="G555" s="15" t="n">
        <f aca="false">F555*(1+IF(G$3&lt;=$O$2,$D555,$D555-($D555-$I$535)*MIN(G$3-$O$2,$Q$2)/$Q$2))</f>
        <v>21325.9421670192</v>
      </c>
      <c r="H555" s="15" t="n">
        <f aca="false">G555*(1+IF(H$3&lt;=$O$2,$D555,$D555-($D555-$I$535)*MIN(H$3-$O$2,$Q$2)/$Q$2))</f>
        <v>24355.3080992165</v>
      </c>
      <c r="I555" s="15" t="n">
        <f aca="false">H555*(1+IF(I$3&lt;=$O$2,$D555,$D555-($D555-$I$535)*MIN(I$3-$O$2,$Q$2)/$Q$2))</f>
        <v>27814.9977132134</v>
      </c>
      <c r="J555" s="15" t="n">
        <f aca="false">I555*(1+IF(J$3&lt;=$O$2,$D555,$D555-($D555-$I$535)*MIN(J$3-$O$2,$Q$2)/$Q$2))</f>
        <v>31161.1584736401</v>
      </c>
      <c r="K555" s="15" t="n">
        <f aca="false">J555*(1+IF(K$3&lt;=$O$2,$D555,$D555-($D555-$I$535)*MIN(K$3-$O$2,$Q$2)/$Q$2))</f>
        <v>34232.1045347881</v>
      </c>
      <c r="L555" s="15" t="n">
        <f aca="false">K555*(1+IF(L$3&lt;=$O$2,$D555,$D555-($D555-$I$535)*MIN(L$3-$O$2,$Q$2)/$Q$2))</f>
        <v>36861.140338252</v>
      </c>
      <c r="M555" s="15" t="n">
        <f aca="false">L555*(1+IF(M$3&lt;=$O$2,$D555,$D555-($D555-$I$535)*MIN(M$3-$O$2,$Q$2)/$Q$2))</f>
        <v>38890.3515921978</v>
      </c>
      <c r="N555" s="15" t="n">
        <f aca="false">M555*(1+IF(N$3&lt;=$O$2,$D555,$D555-($D555-$I$535)*MIN(N$3-$O$2,$Q$2)/$Q$2))</f>
        <v>40185.400300218</v>
      </c>
      <c r="O555" s="15" t="n">
        <f aca="false">SUMPRODUCT(E555:N555,1/(1+$F$535)^$E$3:$N$3)*$E$2</f>
        <v>53817.0610481587</v>
      </c>
      <c r="P555" s="15" t="n">
        <f aca="false">N555*$E$2*(1+$I$535)/($F$535-$I$535)/(1+$F$535)^$N$3</f>
        <v>78654.0212692227</v>
      </c>
      <c r="Q555" s="15" t="n">
        <f aca="false">O555+P555</f>
        <v>132471.082317381</v>
      </c>
      <c r="R555" s="15" t="n">
        <f aca="false">Q555-$G$2+$I$2</f>
        <v>120851.082317381</v>
      </c>
      <c r="S555" s="40" t="n">
        <f aca="false">R555/$K$2</f>
        <v>409.984334624899</v>
      </c>
      <c r="T555" s="41" t="n">
        <f aca="false">S555-$M$2</f>
        <v>0.00367173518827713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0.142047882080078</v>
      </c>
      <c r="C556" s="25" t="n">
        <f aca="false">IF(T555&gt;0,D555,C555)</f>
        <v>0.142050743103027</v>
      </c>
      <c r="D556" s="39" t="n">
        <f aca="false">(B556+C556)/2</f>
        <v>0.142049312591553</v>
      </c>
      <c r="E556" s="15" t="n">
        <f aca="false">$C$2*(1+IF(E$3&lt;=$O$2,$D556,$D556-($D556-$I$535)*MIN(E$3-$O$2,$Q$2)/$Q$2))</f>
        <v>16350.7200083733</v>
      </c>
      <c r="F556" s="15" t="n">
        <f aca="false">E556*(1+IF(F$3&lt;=$O$2,$D556,$D556-($D556-$I$535)*MIN(F$3-$O$2,$Q$2)/$Q$2))</f>
        <v>18673.3285459396</v>
      </c>
      <c r="G556" s="15" t="n">
        <f aca="false">F556*(1+IF(G$3&lt;=$O$2,$D556,$D556-($D556-$I$535)*MIN(G$3-$O$2,$Q$2)/$Q$2))</f>
        <v>21325.8620296866</v>
      </c>
      <c r="H556" s="15" t="n">
        <f aca="false">G556*(1+IF(H$3&lt;=$O$2,$D556,$D556-($D556-$I$535)*MIN(H$3-$O$2,$Q$2)/$Q$2))</f>
        <v>24355.1860714258</v>
      </c>
      <c r="I556" s="15" t="n">
        <f aca="false">H556*(1+IF(I$3&lt;=$O$2,$D556,$D556-($D556-$I$535)*MIN(I$3-$O$2,$Q$2)/$Q$2))</f>
        <v>27814.8235109112</v>
      </c>
      <c r="J556" s="15" t="n">
        <f aca="false">I556*(1+IF(J$3&lt;=$O$2,$D556,$D556-($D556-$I$535)*MIN(J$3-$O$2,$Q$2)/$Q$2))</f>
        <v>31160.9314831582</v>
      </c>
      <c r="K556" s="15" t="n">
        <f aca="false">J556*(1+IF(K$3&lt;=$O$2,$D556,$D556-($D556-$I$535)*MIN(K$3-$O$2,$Q$2)/$Q$2))</f>
        <v>34231.8284286509</v>
      </c>
      <c r="L556" s="15" t="n">
        <f aca="false">K556*(1+IF(L$3&lt;=$O$2,$D556,$D556-($D556-$I$535)*MIN(L$3-$O$2,$Q$2)/$Q$2))</f>
        <v>36860.823439472</v>
      </c>
      <c r="M556" s="15" t="n">
        <f aca="false">L556*(1+IF(M$3&lt;=$O$2,$D556,$D556-($D556-$I$535)*MIN(M$3-$O$2,$Q$2)/$Q$2))</f>
        <v>38890.0067021267</v>
      </c>
      <c r="N556" s="15" t="n">
        <f aca="false">M556*(1+IF(N$3&lt;=$O$2,$D556,$D556-($D556-$I$535)*MIN(N$3-$O$2,$Q$2)/$Q$2))</f>
        <v>40185.0439253075</v>
      </c>
      <c r="O556" s="15" t="n">
        <f aca="false">SUMPRODUCT(E556:N556,1/(1+$F$535)^$E$3:$N$3)*$E$2</f>
        <v>53816.7306084364</v>
      </c>
      <c r="P556" s="15" t="n">
        <f aca="false">N556*$E$2*(1+$I$535)/($F$535-$I$535)/(1+$F$535)^$N$3</f>
        <v>78653.3237442615</v>
      </c>
      <c r="Q556" s="15" t="n">
        <f aca="false">O556+P556</f>
        <v>132470.054352698</v>
      </c>
      <c r="R556" s="15" t="n">
        <f aca="false">Q556-$G$2+$I$2</f>
        <v>120850.054352698</v>
      </c>
      <c r="S556" s="40" t="n">
        <f aca="false">R556/$K$2</f>
        <v>409.980847279906</v>
      </c>
      <c r="T556" s="41" t="n">
        <f aca="false">S556-$M$2</f>
        <v>0.00018439019561356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0.142047882080078</v>
      </c>
      <c r="C557" s="25" t="n">
        <f aca="false">IF(T556&gt;0,D556,C556)</f>
        <v>0.142049312591553</v>
      </c>
      <c r="D557" s="39" t="n">
        <f aca="false">(B557+C557)/2</f>
        <v>0.142048597335815</v>
      </c>
      <c r="E557" s="15" t="n">
        <f aca="false">$C$2*(1+IF(E$3&lt;=$O$2,$D557,$D557-($D557-$I$535)*MIN(E$3-$O$2,$Q$2)/$Q$2))</f>
        <v>16350.7097680569</v>
      </c>
      <c r="F557" s="15" t="n">
        <f aca="false">E557*(1+IF(F$3&lt;=$O$2,$D557,$D557-($D557-$I$535)*MIN(F$3-$O$2,$Q$2)/$Q$2))</f>
        <v>18673.3051560544</v>
      </c>
      <c r="G557" s="15" t="n">
        <f aca="false">F557*(1+IF(G$3&lt;=$O$2,$D557,$D557-($D557-$I$535)*MIN(G$3-$O$2,$Q$2)/$Q$2))</f>
        <v>21325.8219610955</v>
      </c>
      <c r="H557" s="15" t="n">
        <f aca="false">G557*(1+IF(H$3&lt;=$O$2,$D557,$D557-($D557-$I$535)*MIN(H$3-$O$2,$Q$2)/$Q$2))</f>
        <v>24355.1250577025</v>
      </c>
      <c r="I557" s="15" t="n">
        <f aca="false">H557*(1+IF(I$3&lt;=$O$2,$D557,$D557-($D557-$I$535)*MIN(I$3-$O$2,$Q$2)/$Q$2))</f>
        <v>27814.7364100875</v>
      </c>
      <c r="J557" s="15" t="n">
        <f aca="false">I557*(1+IF(J$3&lt;=$O$2,$D557,$D557-($D557-$I$535)*MIN(J$3-$O$2,$Q$2)/$Q$2))</f>
        <v>31160.8179884334</v>
      </c>
      <c r="K557" s="15" t="n">
        <f aca="false">J557*(1+IF(K$3&lt;=$O$2,$D557,$D557-($D557-$I$535)*MIN(K$3-$O$2,$Q$2)/$Q$2))</f>
        <v>34231.6903762955</v>
      </c>
      <c r="L557" s="15" t="n">
        <f aca="false">K557*(1+IF(L$3&lt;=$O$2,$D557,$D557-($D557-$I$535)*MIN(L$3-$O$2,$Q$2)/$Q$2))</f>
        <v>36860.6649909685</v>
      </c>
      <c r="M557" s="15" t="n">
        <f aca="false">L557*(1+IF(M$3&lt;=$O$2,$D557,$D557-($D557-$I$535)*MIN(M$3-$O$2,$Q$2)/$Q$2))</f>
        <v>38889.8342580944</v>
      </c>
      <c r="N557" s="15" t="n">
        <f aca="false">M557*(1+IF(N$3&lt;=$O$2,$D557,$D557-($D557-$I$535)*MIN(N$3-$O$2,$Q$2)/$Q$2))</f>
        <v>40184.865738889</v>
      </c>
      <c r="O557" s="15" t="n">
        <f aca="false">SUMPRODUCT(E557:N557,1/(1+$F$535)^$E$3:$N$3)*$E$2</f>
        <v>53816.5653893248</v>
      </c>
      <c r="P557" s="15" t="n">
        <f aca="false">N557*$E$2*(1+$I$535)/($F$535-$I$535)/(1+$F$535)^$N$3</f>
        <v>78652.97498381</v>
      </c>
      <c r="Q557" s="15" t="n">
        <f aca="false">O557+P557</f>
        <v>132469.540373135</v>
      </c>
      <c r="R557" s="15" t="n">
        <f aca="false">Q557-$G$2+$I$2</f>
        <v>120849.540373135</v>
      </c>
      <c r="S557" s="40" t="n">
        <f aca="false">R557/$K$2</f>
        <v>409.979103616836</v>
      </c>
      <c r="T557" s="41" t="n">
        <f aca="false">S557-$M$2</f>
        <v>-0.00155927287437407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0.142048597335815</v>
      </c>
      <c r="C558" s="25" t="n">
        <f aca="false">IF(T557&gt;0,D557,C557)</f>
        <v>0.142049312591553</v>
      </c>
      <c r="D558" s="39" t="n">
        <f aca="false">(B558+C558)/2</f>
        <v>0.142048954963684</v>
      </c>
      <c r="E558" s="15" t="n">
        <f aca="false">$C$2*(1+IF(E$3&lt;=$O$2,$D558,$D558-($D558-$I$535)*MIN(E$3-$O$2,$Q$2)/$Q$2))</f>
        <v>16350.7148882151</v>
      </c>
      <c r="F558" s="15" t="n">
        <f aca="false">E558*(1+IF(F$3&lt;=$O$2,$D558,$D558-($D558-$I$535)*MIN(F$3-$O$2,$Q$2)/$Q$2))</f>
        <v>18673.3168509952</v>
      </c>
      <c r="G558" s="15" t="n">
        <f aca="false">F558*(1+IF(G$3&lt;=$O$2,$D558,$D558-($D558-$I$535)*MIN(G$3-$O$2,$Q$2)/$Q$2))</f>
        <v>21325.8419953848</v>
      </c>
      <c r="H558" s="15" t="n">
        <f aca="false">G558*(1+IF(H$3&lt;=$O$2,$D558,$D558-($D558-$I$535)*MIN(H$3-$O$2,$Q$2)/$Q$2))</f>
        <v>24355.1555645498</v>
      </c>
      <c r="I558" s="15" t="n">
        <f aca="false">H558*(1+IF(I$3&lt;=$O$2,$D558,$D558-($D558-$I$535)*MIN(I$3-$O$2,$Q$2)/$Q$2))</f>
        <v>27814.7799604721</v>
      </c>
      <c r="J558" s="15" t="n">
        <f aca="false">I558*(1+IF(J$3&lt;=$O$2,$D558,$D558-($D558-$I$535)*MIN(J$3-$O$2,$Q$2)/$Q$2))</f>
        <v>31160.8747357527</v>
      </c>
      <c r="K558" s="15" t="n">
        <f aca="false">J558*(1+IF(K$3&lt;=$O$2,$D558,$D558-($D558-$I$535)*MIN(K$3-$O$2,$Q$2)/$Q$2))</f>
        <v>34231.7594024137</v>
      </c>
      <c r="L558" s="15" t="n">
        <f aca="false">K558*(1+IF(L$3&lt;=$O$2,$D558,$D558-($D558-$I$535)*MIN(L$3-$O$2,$Q$2)/$Q$2))</f>
        <v>36860.7442151464</v>
      </c>
      <c r="M558" s="15" t="n">
        <f aca="false">L558*(1+IF(M$3&lt;=$O$2,$D558,$D558-($D558-$I$535)*MIN(M$3-$O$2,$Q$2)/$Q$2))</f>
        <v>38889.920480027</v>
      </c>
      <c r="N558" s="15" t="n">
        <f aca="false">M558*(1+IF(N$3&lt;=$O$2,$D558,$D558-($D558-$I$535)*MIN(N$3-$O$2,$Q$2)/$Q$2))</f>
        <v>40184.9548320119</v>
      </c>
      <c r="O558" s="15" t="n">
        <f aca="false">SUMPRODUCT(E558:N558,1/(1+$F$535)^$E$3:$N$3)*$E$2</f>
        <v>53816.6479988182</v>
      </c>
      <c r="P558" s="15" t="n">
        <f aca="false">N558*$E$2*(1+$I$535)/($F$535-$I$535)/(1+$F$535)^$N$3</f>
        <v>78653.1493638667</v>
      </c>
      <c r="Q558" s="15" t="n">
        <f aca="false">O558+P558</f>
        <v>132469.797362685</v>
      </c>
      <c r="R558" s="15" t="n">
        <f aca="false">Q558-$G$2+$I$2</f>
        <v>120849.797362685</v>
      </c>
      <c r="S558" s="40" t="n">
        <f aca="false">R558/$K$2</f>
        <v>409.979975447586</v>
      </c>
      <c r="T558" s="41" t="n">
        <f aca="false">S558-$M$2</f>
        <v>-0.000687442124785775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0.142048954963684</v>
      </c>
      <c r="C559" s="25" t="n">
        <f aca="false">IF(T558&gt;0,D558,C558)</f>
        <v>0.142049312591553</v>
      </c>
      <c r="D559" s="39" t="n">
        <f aca="false">(B559+C559)/2</f>
        <v>0.142049133777618</v>
      </c>
      <c r="E559" s="15" t="n">
        <f aca="false">$C$2*(1+IF(E$3&lt;=$O$2,$D559,$D559-($D559-$I$535)*MIN(E$3-$O$2,$Q$2)/$Q$2))</f>
        <v>16350.7174482942</v>
      </c>
      <c r="F559" s="15" t="n">
        <f aca="false">E559*(1+IF(F$3&lt;=$O$2,$D559,$D559-($D559-$I$535)*MIN(F$3-$O$2,$Q$2)/$Q$2))</f>
        <v>18673.3226984669</v>
      </c>
      <c r="G559" s="15" t="n">
        <f aca="false">F559*(1+IF(G$3&lt;=$O$2,$D559,$D559-($D559-$I$535)*MIN(G$3-$O$2,$Q$2)/$Q$2))</f>
        <v>21325.8520125341</v>
      </c>
      <c r="H559" s="15" t="n">
        <f aca="false">G559*(1+IF(H$3&lt;=$O$2,$D559,$D559-($D559-$I$535)*MIN(H$3-$O$2,$Q$2)/$Q$2))</f>
        <v>24355.1708179843</v>
      </c>
      <c r="I559" s="15" t="n">
        <f aca="false">H559*(1+IF(I$3&lt;=$O$2,$D559,$D559-($D559-$I$535)*MIN(I$3-$O$2,$Q$2)/$Q$2))</f>
        <v>27814.8017356849</v>
      </c>
      <c r="J559" s="15" t="n">
        <f aca="false">I559*(1+IF(J$3&lt;=$O$2,$D559,$D559-($D559-$I$535)*MIN(J$3-$O$2,$Q$2)/$Q$2))</f>
        <v>31160.9031094447</v>
      </c>
      <c r="K559" s="15" t="n">
        <f aca="false">J559*(1+IF(K$3&lt;=$O$2,$D559,$D559-($D559-$I$535)*MIN(K$3-$O$2,$Q$2)/$Q$2))</f>
        <v>34231.7939155174</v>
      </c>
      <c r="L559" s="15" t="n">
        <f aca="false">K559*(1+IF(L$3&lt;=$O$2,$D559,$D559-($D559-$I$535)*MIN(L$3-$O$2,$Q$2)/$Q$2))</f>
        <v>36860.7838272908</v>
      </c>
      <c r="M559" s="15" t="n">
        <f aca="false">L559*(1+IF(M$3&lt;=$O$2,$D559,$D559-($D559-$I$535)*MIN(M$3-$O$2,$Q$2)/$Q$2))</f>
        <v>38889.9635910559</v>
      </c>
      <c r="N559" s="15" t="n">
        <f aca="false">M559*(1+IF(N$3&lt;=$O$2,$D559,$D559-($D559-$I$535)*MIN(N$3-$O$2,$Q$2)/$Q$2))</f>
        <v>40184.9993786381</v>
      </c>
      <c r="O559" s="15" t="n">
        <f aca="false">SUMPRODUCT(E559:N559,1/(1+$F$535)^$E$3:$N$3)*$E$2</f>
        <v>53816.6893036117</v>
      </c>
      <c r="P559" s="15" t="n">
        <f aca="false">N559*$E$2*(1+$I$535)/($F$535-$I$535)/(1+$F$535)^$N$3</f>
        <v>78653.2365540218</v>
      </c>
      <c r="Q559" s="15" t="n">
        <f aca="false">O559+P559</f>
        <v>132469.925857634</v>
      </c>
      <c r="R559" s="15" t="n">
        <f aca="false">Q559-$G$2+$I$2</f>
        <v>120849.925857634</v>
      </c>
      <c r="S559" s="40" t="n">
        <f aca="false">R559/$K$2</f>
        <v>409.98041136355</v>
      </c>
      <c r="T559" s="41" t="n">
        <f aca="false">S559-$M$2</f>
        <v>-0.00025152616098012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0.142049133777618</v>
      </c>
      <c r="C560" s="25" t="n">
        <f aca="false">IF(T559&gt;0,D559,C559)</f>
        <v>0.142049312591553</v>
      </c>
      <c r="D560" s="39" t="n">
        <f aca="false">(B560+C560)/2</f>
        <v>0.142049223184586</v>
      </c>
      <c r="E560" s="15" t="n">
        <f aca="false">$C$2*(1+IF(E$3&lt;=$O$2,$D560,$D560-($D560-$I$535)*MIN(E$3-$O$2,$Q$2)/$Q$2))</f>
        <v>16350.7187283337</v>
      </c>
      <c r="F560" s="15" t="n">
        <f aca="false">E560*(1+IF(F$3&lt;=$O$2,$D560,$D560-($D560-$I$535)*MIN(F$3-$O$2,$Q$2)/$Q$2))</f>
        <v>18673.3256222032</v>
      </c>
      <c r="G560" s="15" t="n">
        <f aca="false">F560*(1+IF(G$3&lt;=$O$2,$D560,$D560-($D560-$I$535)*MIN(G$3-$O$2,$Q$2)/$Q$2))</f>
        <v>21325.85702111</v>
      </c>
      <c r="H560" s="15" t="n">
        <f aca="false">G560*(1+IF(H$3&lt;=$O$2,$D560,$D560-($D560-$I$535)*MIN(H$3-$O$2,$Q$2)/$Q$2))</f>
        <v>24355.1784447042</v>
      </c>
      <c r="I560" s="15" t="n">
        <f aca="false">H560*(1+IF(I$3&lt;=$O$2,$D560,$D560-($D560-$I$535)*MIN(I$3-$O$2,$Q$2)/$Q$2))</f>
        <v>27814.8126232963</v>
      </c>
      <c r="J560" s="15" t="n">
        <f aca="false">I560*(1+IF(J$3&lt;=$O$2,$D560,$D560-($D560-$I$535)*MIN(J$3-$O$2,$Q$2)/$Q$2))</f>
        <v>31160.9172962987</v>
      </c>
      <c r="K560" s="15" t="n">
        <f aca="false">J560*(1+IF(K$3&lt;=$O$2,$D560,$D560-($D560-$I$535)*MIN(K$3-$O$2,$Q$2)/$Q$2))</f>
        <v>34231.8111720805</v>
      </c>
      <c r="L560" s="15" t="n">
        <f aca="false">K560*(1+IF(L$3&lt;=$O$2,$D560,$D560-($D560-$I$535)*MIN(L$3-$O$2,$Q$2)/$Q$2))</f>
        <v>36860.8036333768</v>
      </c>
      <c r="M560" s="15" t="n">
        <f aca="false">L560*(1+IF(M$3&lt;=$O$2,$D560,$D560-($D560-$I$535)*MIN(M$3-$O$2,$Q$2)/$Q$2))</f>
        <v>38889.9851465861</v>
      </c>
      <c r="N560" s="15" t="n">
        <f aca="false">M560*(1+IF(N$3&lt;=$O$2,$D560,$D560-($D560-$I$535)*MIN(N$3-$O$2,$Q$2)/$Q$2))</f>
        <v>40185.0216519674</v>
      </c>
      <c r="O560" s="15" t="n">
        <f aca="false">SUMPRODUCT(E560:N560,1/(1+$F$535)^$E$3:$N$3)*$E$2</f>
        <v>53816.7099560202</v>
      </c>
      <c r="P560" s="15" t="n">
        <f aca="false">N560*$E$2*(1+$I$535)/($F$535-$I$535)/(1+$F$535)^$N$3</f>
        <v>78653.2801491311</v>
      </c>
      <c r="Q560" s="15" t="n">
        <f aca="false">O560+P560</f>
        <v>132469.990105151</v>
      </c>
      <c r="R560" s="15" t="n">
        <f aca="false">Q560-$G$2+$I$2</f>
        <v>120849.990105151</v>
      </c>
      <c r="S560" s="40" t="n">
        <f aca="false">R560/$K$2</f>
        <v>409.980629321679</v>
      </c>
      <c r="T560" s="41" t="n">
        <f aca="false">S560-$M$2</f>
        <v>-3.35680315401987E-005</v>
      </c>
    </row>
    <row r="562" customFormat="false" ht="15" hidden="false" customHeight="false" outlineLevel="0" collapsed="false">
      <c r="A562" s="36" t="s">
        <v>194</v>
      </c>
      <c r="E562" s="5" t="s">
        <v>11</v>
      </c>
      <c r="F562" s="12" t="n">
        <f aca="false">Sensitivity!$B$13</f>
        <v>0.0998919064489092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6" t="s">
        <v>155</v>
      </c>
      <c r="B563" s="28" t="s">
        <v>156</v>
      </c>
      <c r="C563" s="28" t="s">
        <v>157</v>
      </c>
      <c r="D563" s="28" t="s">
        <v>158</v>
      </c>
      <c r="E563" s="28" t="s">
        <v>159</v>
      </c>
      <c r="F563" s="28" t="s">
        <v>160</v>
      </c>
      <c r="G563" s="28" t="s">
        <v>161</v>
      </c>
      <c r="H563" s="28" t="s">
        <v>162</v>
      </c>
      <c r="I563" s="28" t="s">
        <v>163</v>
      </c>
      <c r="J563" s="28" t="s">
        <v>164</v>
      </c>
      <c r="K563" s="28" t="s">
        <v>165</v>
      </c>
      <c r="L563" s="28" t="s">
        <v>166</v>
      </c>
      <c r="M563" s="28" t="s">
        <v>167</v>
      </c>
      <c r="N563" s="28" t="s">
        <v>168</v>
      </c>
      <c r="O563" s="28" t="s">
        <v>169</v>
      </c>
      <c r="P563" s="28" t="s">
        <v>170</v>
      </c>
      <c r="Q563" s="28" t="s">
        <v>171</v>
      </c>
      <c r="R563" s="28" t="s">
        <v>172</v>
      </c>
      <c r="S563" s="28" t="s">
        <v>173</v>
      </c>
      <c r="T563" s="28" t="s">
        <v>174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39" t="n">
        <f aca="false">(B564+C564)/2</f>
        <v>0.25</v>
      </c>
      <c r="E564" s="15" t="n">
        <f aca="false">$C$2*(1+IF(E$3&lt;=$O$2,$D564,$D564-($D564-$I$562)*MIN(E$3-$O$2,$Q$2)/$Q$2))</f>
        <v>17896.25</v>
      </c>
      <c r="F564" s="15" t="n">
        <f aca="false">E564*(1+IF(F$3&lt;=$O$2,$D564,$D564-($D564-$I$562)*MIN(F$3-$O$2,$Q$2)/$Q$2))</f>
        <v>22370.3125</v>
      </c>
      <c r="G564" s="15" t="n">
        <f aca="false">F564*(1+IF(G$3&lt;=$O$2,$D564,$D564-($D564-$I$562)*MIN(G$3-$O$2,$Q$2)/$Q$2))</f>
        <v>27962.890625</v>
      </c>
      <c r="H564" s="15" t="n">
        <f aca="false">G564*(1+IF(H$3&lt;=$O$2,$D564,$D564-($D564-$I$562)*MIN(H$3-$O$2,$Q$2)/$Q$2))</f>
        <v>34953.61328125</v>
      </c>
      <c r="I564" s="15" t="n">
        <f aca="false">H564*(1+IF(I$3&lt;=$O$2,$D564,$D564-($D564-$I$562)*MIN(I$3-$O$2,$Q$2)/$Q$2))</f>
        <v>43692.0166015625</v>
      </c>
      <c r="J564" s="15" t="n">
        <f aca="false">I564*(1+IF(J$3&lt;=$O$2,$D564,$D564-($D564-$I$562)*MIN(J$3-$O$2,$Q$2)/$Q$2))</f>
        <v>52765.100769043</v>
      </c>
      <c r="K564" s="15" t="n">
        <f aca="false">J564*(1+IF(K$3&lt;=$O$2,$D564,$D564-($D564-$I$562)*MIN(K$3-$O$2,$Q$2)/$Q$2))</f>
        <v>61488.2272281811</v>
      </c>
      <c r="L564" s="15" t="n">
        <f aca="false">K564*(1+IF(L$3&lt;=$O$2,$D564,$D564-($D564-$I$562)*MIN(L$3-$O$2,$Q$2)/$Q$2))</f>
        <v>69050.0494127029</v>
      </c>
      <c r="M564" s="15" t="n">
        <f aca="false">L564*(1+IF(M$3&lt;=$O$2,$D564,$D564-($D564-$I$562)*MIN(M$3-$O$2,$Q$2)/$Q$2))</f>
        <v>74618.2453973432</v>
      </c>
      <c r="N564" s="15" t="n">
        <f aca="false">M564*(1+IF(N$3&lt;=$O$2,$D564,$D564-($D564-$I$562)*MIN(N$3-$O$2,$Q$2)/$Q$2))</f>
        <v>77476.1241960615</v>
      </c>
      <c r="O564" s="15" t="n">
        <f aca="false">SUMPRODUCT(E564:N564,1/(1+$F$562)^$E$3:$N$3)*$E$2</f>
        <v>85631.6781751452</v>
      </c>
      <c r="P564" s="15" t="n">
        <f aca="false">N564*$E$2*(1+$I$562)/($F$562-$I$562)/(1+$F$562)^$N$3</f>
        <v>164745.949308749</v>
      </c>
      <c r="Q564" s="15" t="n">
        <f aca="false">O564+P564</f>
        <v>250377.627483894</v>
      </c>
      <c r="R564" s="15" t="n">
        <f aca="false">Q564-$G$2+$I$2</f>
        <v>238757.627483894</v>
      </c>
      <c r="S564" s="40" t="n">
        <f aca="false">R564/$K$2</f>
        <v>809.979399137951</v>
      </c>
      <c r="T564" s="41" t="n">
        <f aca="false">S564-$M$2</f>
        <v>399.998736248241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39" t="n">
        <f aca="false">(B565+C565)/2</f>
        <v>-0.125</v>
      </c>
      <c r="E565" s="15" t="n">
        <f aca="false">$C$2*(1+IF(E$3&lt;=$O$2,$D565,$D565-($D565-$I$562)*MIN(E$3-$O$2,$Q$2)/$Q$2))</f>
        <v>12527.375</v>
      </c>
      <c r="F565" s="15" t="n">
        <f aca="false">E565*(1+IF(F$3&lt;=$O$2,$D565,$D565-($D565-$I$562)*MIN(F$3-$O$2,$Q$2)/$Q$2))</f>
        <v>10961.453125</v>
      </c>
      <c r="G565" s="15" t="n">
        <f aca="false">F565*(1+IF(G$3&lt;=$O$2,$D565,$D565-($D565-$I$562)*MIN(G$3-$O$2,$Q$2)/$Q$2))</f>
        <v>9591.271484375</v>
      </c>
      <c r="H565" s="15" t="n">
        <f aca="false">G565*(1+IF(H$3&lt;=$O$2,$D565,$D565-($D565-$I$562)*MIN(H$3-$O$2,$Q$2)/$Q$2))</f>
        <v>8392.36254882813</v>
      </c>
      <c r="I565" s="15" t="n">
        <f aca="false">H565*(1+IF(I$3&lt;=$O$2,$D565,$D565-($D565-$I$562)*MIN(I$3-$O$2,$Q$2)/$Q$2))</f>
        <v>7343.31723022461</v>
      </c>
      <c r="J565" s="15" t="n">
        <f aca="false">I565*(1+IF(J$3&lt;=$O$2,$D565,$D565-($D565-$I$562)*MIN(J$3-$O$2,$Q$2)/$Q$2))</f>
        <v>6665.23531718567</v>
      </c>
      <c r="K565" s="15" t="n">
        <f aca="false">J565*(1+IF(K$3&lt;=$O$2,$D565,$D565-($D565-$I$562)*MIN(K$3-$O$2,$Q$2)/$Q$2))</f>
        <v>6267.45407345603</v>
      </c>
      <c r="L565" s="15" t="n">
        <f aca="false">K565*(1+IF(L$3&lt;=$O$2,$D565,$D565-($D565-$I$562)*MIN(L$3-$O$2,$Q$2)/$Q$2))</f>
        <v>6098.10746439125</v>
      </c>
      <c r="M565" s="15" t="n">
        <f aca="false">L565*(1+IF(M$3&lt;=$O$2,$D565,$D565-($D565-$I$562)*MIN(M$3-$O$2,$Q$2)/$Q$2))</f>
        <v>6132.50079049041</v>
      </c>
      <c r="N565" s="15" t="n">
        <f aca="false">M565*(1+IF(N$3&lt;=$O$2,$D565,$D565-($D565-$I$562)*MIN(N$3-$O$2,$Q$2)/$Q$2))</f>
        <v>6367.3755707662</v>
      </c>
      <c r="O565" s="15" t="n">
        <f aca="false">SUMPRODUCT(E565:N565,1/(1+$F$562)^$E$3:$N$3)*$E$2</f>
        <v>17272.4549357127</v>
      </c>
      <c r="P565" s="15" t="n">
        <f aca="false">N565*$E$2*(1+$I$562)/($F$562-$I$562)/(1+$F$562)^$N$3</f>
        <v>13539.6464897574</v>
      </c>
      <c r="Q565" s="15" t="n">
        <f aca="false">O565+P565</f>
        <v>30812.10142547</v>
      </c>
      <c r="R565" s="15" t="n">
        <f aca="false">Q565-$G$2+$I$2</f>
        <v>19192.10142547</v>
      </c>
      <c r="S565" s="40" t="n">
        <f aca="false">R565/$K$2</f>
        <v>65.1087336753063</v>
      </c>
      <c r="T565" s="41" t="n">
        <f aca="false">S565-$M$2</f>
        <v>-344.871929214404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39" t="n">
        <f aca="false">(B566+C566)/2</f>
        <v>0.0625</v>
      </c>
      <c r="E566" s="15" t="n">
        <f aca="false">$C$2*(1+IF(E$3&lt;=$O$2,$D566,$D566-($D566-$I$562)*MIN(E$3-$O$2,$Q$2)/$Q$2))</f>
        <v>15211.8125</v>
      </c>
      <c r="F566" s="15" t="n">
        <f aca="false">E566*(1+IF(F$3&lt;=$O$2,$D566,$D566-($D566-$I$562)*MIN(F$3-$O$2,$Q$2)/$Q$2))</f>
        <v>16162.55078125</v>
      </c>
      <c r="G566" s="15" t="n">
        <f aca="false">F566*(1+IF(G$3&lt;=$O$2,$D566,$D566-($D566-$I$562)*MIN(G$3-$O$2,$Q$2)/$Q$2))</f>
        <v>17172.7102050781</v>
      </c>
      <c r="H566" s="15" t="n">
        <f aca="false">G566*(1+IF(H$3&lt;=$O$2,$D566,$D566-($D566-$I$562)*MIN(H$3-$O$2,$Q$2)/$Q$2))</f>
        <v>18246.0045928955</v>
      </c>
      <c r="I566" s="15" t="n">
        <f aca="false">H566*(1+IF(I$3&lt;=$O$2,$D566,$D566-($D566-$I$562)*MIN(I$3-$O$2,$Q$2)/$Q$2))</f>
        <v>19386.3798799515</v>
      </c>
      <c r="J566" s="15" t="n">
        <f aca="false">I566*(1+IF(J$3&lt;=$O$2,$D566,$D566-($D566-$I$562)*MIN(J$3-$O$2,$Q$2)/$Q$2))</f>
        <v>20504.1985438295</v>
      </c>
      <c r="K566" s="15" t="n">
        <f aca="false">J566*(1+IF(K$3&lt;=$O$2,$D566,$D566-($D566-$I$562)*MIN(K$3-$O$2,$Q$2)/$Q$2))</f>
        <v>21587.2303109146</v>
      </c>
      <c r="L566" s="15" t="n">
        <f aca="false">K566*(1+IF(L$3&lt;=$O$2,$D566,$D566-($D566-$I$562)*MIN(L$3-$O$2,$Q$2)/$Q$2))</f>
        <v>22622.9856212322</v>
      </c>
      <c r="M566" s="15" t="n">
        <f aca="false">L566*(1+IF(M$3&lt;=$O$2,$D566,$D566-($D566-$I$562)*MIN(M$3-$O$2,$Q$2)/$Q$2))</f>
        <v>23598.9412209322</v>
      </c>
      <c r="N566" s="15" t="n">
        <f aca="false">M566*(1+IF(N$3&lt;=$O$2,$D566,$D566-($D566-$I$562)*MIN(N$3-$O$2,$Q$2)/$Q$2))</f>
        <v>24502.7806696939</v>
      </c>
      <c r="O566" s="15" t="n">
        <f aca="false">SUMPRODUCT(E566:N566,1/(1+$F$562)^$E$3:$N$3)*$E$2</f>
        <v>38342.1719051318</v>
      </c>
      <c r="P566" s="15" t="n">
        <f aca="false">N566*$E$2*(1+$I$562)/($F$562-$I$562)/(1+$F$562)^$N$3</f>
        <v>52102.94015118</v>
      </c>
      <c r="Q566" s="15" t="n">
        <f aca="false">O566+P566</f>
        <v>90445.1120563118</v>
      </c>
      <c r="R566" s="15" t="n">
        <f aca="false">Q566-$G$2+$I$2</f>
        <v>78825.1120563118</v>
      </c>
      <c r="S566" s="40" t="n">
        <f aca="false">R566/$K$2</f>
        <v>267.412260597455</v>
      </c>
      <c r="T566" s="41" t="n">
        <f aca="false">S566-$M$2</f>
        <v>-142.568402292256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39" t="n">
        <f aca="false">(B567+C567)/2</f>
        <v>0.15625</v>
      </c>
      <c r="E567" s="15" t="n">
        <f aca="false">$C$2*(1+IF(E$3&lt;=$O$2,$D567,$D567-($D567-$I$562)*MIN(E$3-$O$2,$Q$2)/$Q$2))</f>
        <v>16554.03125</v>
      </c>
      <c r="F567" s="15" t="n">
        <f aca="false">E567*(1+IF(F$3&lt;=$O$2,$D567,$D567-($D567-$I$562)*MIN(F$3-$O$2,$Q$2)/$Q$2))</f>
        <v>19140.5986328125</v>
      </c>
      <c r="G567" s="15" t="n">
        <f aca="false">F567*(1+IF(G$3&lt;=$O$2,$D567,$D567-($D567-$I$562)*MIN(G$3-$O$2,$Q$2)/$Q$2))</f>
        <v>22131.3171691895</v>
      </c>
      <c r="H567" s="15" t="n">
        <f aca="false">G567*(1+IF(H$3&lt;=$O$2,$D567,$D567-($D567-$I$562)*MIN(H$3-$O$2,$Q$2)/$Q$2))</f>
        <v>25589.3354768753</v>
      </c>
      <c r="I567" s="15" t="n">
        <f aca="false">H567*(1+IF(I$3&lt;=$O$2,$D567,$D567-($D567-$I$562)*MIN(I$3-$O$2,$Q$2)/$Q$2))</f>
        <v>29587.6691451371</v>
      </c>
      <c r="J567" s="15" t="n">
        <f aca="false">I567*(1+IF(J$3&lt;=$O$2,$D567,$D567-($D567-$I$562)*MIN(J$3-$O$2,$Q$2)/$Q$2))</f>
        <v>33512.769333931</v>
      </c>
      <c r="K567" s="15" t="n">
        <f aca="false">J567*(1+IF(K$3&lt;=$O$2,$D567,$D567-($D567-$I$562)*MIN(K$3-$O$2,$Q$2)/$Q$2))</f>
        <v>37168.0070851828</v>
      </c>
      <c r="L567" s="15" t="n">
        <f aca="false">K567*(1+IF(L$3&lt;=$O$2,$D567,$D567-($D567-$I$562)*MIN(L$3-$O$2,$Q$2)/$Q$2))</f>
        <v>40345.1283308242</v>
      </c>
      <c r="M567" s="15" t="n">
        <f aca="false">L567*(1+IF(M$3&lt;=$O$2,$D567,$D567-($D567-$I$562)*MIN(M$3-$O$2,$Q$2)/$Q$2))</f>
        <v>42842.0883232189</v>
      </c>
      <c r="N567" s="15" t="n">
        <f aca="false">M567*(1+IF(N$3&lt;=$O$2,$D567,$D567-($D567-$I$562)*MIN(N$3-$O$2,$Q$2)/$Q$2))</f>
        <v>44482.9403059982</v>
      </c>
      <c r="O567" s="15" t="n">
        <f aca="false">SUMPRODUCT(E567:N567,1/(1+$F$562)^$E$3:$N$3)*$E$2</f>
        <v>57385.9486697649</v>
      </c>
      <c r="P567" s="15" t="n">
        <f aca="false">N567*$E$2*(1+$I$562)/($F$562-$I$562)/(1+$F$562)^$N$3</f>
        <v>94588.9369763881</v>
      </c>
      <c r="Q567" s="15" t="n">
        <f aca="false">O567+P567</f>
        <v>151974.885646153</v>
      </c>
      <c r="R567" s="15" t="n">
        <f aca="false">Q567-$G$2+$I$2</f>
        <v>140354.885646153</v>
      </c>
      <c r="S567" s="40" t="n">
        <f aca="false">R567/$K$2</f>
        <v>476.150509367144</v>
      </c>
      <c r="T567" s="41" t="n">
        <f aca="false">S567-$M$2</f>
        <v>66.1698464774331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39" t="n">
        <f aca="false">(B568+C568)/2</f>
        <v>0.109375</v>
      </c>
      <c r="E568" s="15" t="n">
        <f aca="false">$C$2*(1+IF(E$3&lt;=$O$2,$D568,$D568-($D568-$I$562)*MIN(E$3-$O$2,$Q$2)/$Q$2))</f>
        <v>15882.921875</v>
      </c>
      <c r="F568" s="15" t="n">
        <f aca="false">E568*(1+IF(F$3&lt;=$O$2,$D568,$D568-($D568-$I$562)*MIN(F$3-$O$2,$Q$2)/$Q$2))</f>
        <v>17620.1164550781</v>
      </c>
      <c r="G568" s="15" t="n">
        <f aca="false">F568*(1+IF(G$3&lt;=$O$2,$D568,$D568-($D568-$I$562)*MIN(G$3-$O$2,$Q$2)/$Q$2))</f>
        <v>19547.3166923523</v>
      </c>
      <c r="H568" s="15" t="n">
        <f aca="false">G568*(1+IF(H$3&lt;=$O$2,$D568,$D568-($D568-$I$562)*MIN(H$3-$O$2,$Q$2)/$Q$2))</f>
        <v>21685.3044555783</v>
      </c>
      <c r="I568" s="15" t="n">
        <f aca="false">H568*(1+IF(I$3&lt;=$O$2,$D568,$D568-($D568-$I$562)*MIN(I$3-$O$2,$Q$2)/$Q$2))</f>
        <v>24057.1346304072</v>
      </c>
      <c r="J568" s="15" t="n">
        <f aca="false">I568*(1+IF(J$3&lt;=$O$2,$D568,$D568-($D568-$I$562)*MIN(J$3-$O$2,$Q$2)/$Q$2))</f>
        <v>26346.4115618368</v>
      </c>
      <c r="K568" s="15" t="n">
        <f aca="false">J568*(1+IF(K$3&lt;=$O$2,$D568,$D568-($D568-$I$562)*MIN(K$3-$O$2,$Q$2)/$Q$2))</f>
        <v>28479.0218457096</v>
      </c>
      <c r="L568" s="15" t="n">
        <f aca="false">K568*(1+IF(L$3&lt;=$O$2,$D568,$D568-($D568-$I$562)*MIN(L$3-$O$2,$Q$2)/$Q$2))</f>
        <v>30379.4269734738</v>
      </c>
      <c r="M568" s="15" t="n">
        <f aca="false">L568*(1+IF(M$3&lt;=$O$2,$D568,$D568-($D568-$I$562)*MIN(M$3-$O$2,$Q$2)/$Q$2))</f>
        <v>31974.8025809858</v>
      </c>
      <c r="N568" s="15" t="n">
        <f aca="false">M568*(1+IF(N$3&lt;=$O$2,$D568,$D568-($D568-$I$562)*MIN(N$3-$O$2,$Q$2)/$Q$2))</f>
        <v>33199.4375198376</v>
      </c>
      <c r="O568" s="15" t="n">
        <f aca="false">SUMPRODUCT(E568:N568,1/(1+$F$562)^$E$3:$N$3)*$E$2</f>
        <v>46913.0738414243</v>
      </c>
      <c r="P568" s="15" t="n">
        <f aca="false">N568*$E$2*(1+$I$562)/($F$562-$I$562)/(1+$F$562)^$N$3</f>
        <v>70595.5919643199</v>
      </c>
      <c r="Q568" s="15" t="n">
        <f aca="false">O568+P568</f>
        <v>117508.665805744</v>
      </c>
      <c r="R568" s="15" t="n">
        <f aca="false">Q568-$G$2+$I$2</f>
        <v>105888.665805744</v>
      </c>
      <c r="S568" s="40" t="n">
        <f aca="false">R568/$K$2</f>
        <v>359.224703347505</v>
      </c>
      <c r="T568" s="41" t="n">
        <f aca="false">S568-$M$2</f>
        <v>-50.7559595422051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0.109375</v>
      </c>
      <c r="C569" s="25" t="n">
        <f aca="false">IF(T568&gt;0,D568,C568)</f>
        <v>0.15625</v>
      </c>
      <c r="D569" s="39" t="n">
        <f aca="false">(B569+C569)/2</f>
        <v>0.1328125</v>
      </c>
      <c r="E569" s="15" t="n">
        <f aca="false">$C$2*(1+IF(E$3&lt;=$O$2,$D569,$D569-($D569-$I$562)*MIN(E$3-$O$2,$Q$2)/$Q$2))</f>
        <v>16218.4765625</v>
      </c>
      <c r="F569" s="15" t="n">
        <f aca="false">E569*(1+IF(F$3&lt;=$O$2,$D569,$D569-($D569-$I$562)*MIN(F$3-$O$2,$Q$2)/$Q$2))</f>
        <v>18372.492980957</v>
      </c>
      <c r="G569" s="15" t="n">
        <f aca="false">F569*(1+IF(G$3&lt;=$O$2,$D569,$D569-($D569-$I$562)*MIN(G$3-$O$2,$Q$2)/$Q$2))</f>
        <v>20812.5897049904</v>
      </c>
      <c r="H569" s="15" t="n">
        <f aca="false">G569*(1+IF(H$3&lt;=$O$2,$D569,$D569-($D569-$I$562)*MIN(H$3-$O$2,$Q$2)/$Q$2))</f>
        <v>23576.7617751844</v>
      </c>
      <c r="I569" s="15" t="n">
        <f aca="false">H569*(1+IF(I$3&lt;=$O$2,$D569,$D569-($D569-$I$562)*MIN(I$3-$O$2,$Q$2)/$Q$2))</f>
        <v>26708.0504484511</v>
      </c>
      <c r="J569" s="15" t="n">
        <f aca="false">I569*(1+IF(J$3&lt;=$O$2,$D569,$D569-($D569-$I$562)*MIN(J$3-$O$2,$Q$2)/$Q$2))</f>
        <v>29750.3644750342</v>
      </c>
      <c r="K569" s="15" t="n">
        <f aca="false">J569*(1+IF(K$3&lt;=$O$2,$D569,$D569-($D569-$I$562)*MIN(K$3-$O$2,$Q$2)/$Q$2))</f>
        <v>32576.872227896</v>
      </c>
      <c r="L569" s="15" t="n">
        <f aca="false">K569*(1+IF(L$3&lt;=$O$2,$D569,$D569-($D569-$I$562)*MIN(L$3-$O$2,$Q$2)/$Q$2))</f>
        <v>35056.1350888</v>
      </c>
      <c r="M569" s="15" t="n">
        <f aca="false">L569*(1+IF(M$3&lt;=$O$2,$D569,$D569-($D569-$I$562)*MIN(M$3-$O$2,$Q$2)/$Q$2))</f>
        <v>37061.4336562171</v>
      </c>
      <c r="N569" s="15" t="n">
        <f aca="false">M569*(1+IF(N$3&lt;=$O$2,$D569,$D569-($D569-$I$562)*MIN(N$3-$O$2,$Q$2)/$Q$2))</f>
        <v>38480.8865652502</v>
      </c>
      <c r="O569" s="15" t="n">
        <f aca="false">SUMPRODUCT(E569:N569,1/(1+$F$562)^$E$3:$N$3)*$E$2</f>
        <v>51889.2863670202</v>
      </c>
      <c r="P569" s="15" t="n">
        <f aca="false">N569*$E$2*(1+$I$562)/($F$562-$I$562)/(1+$F$562)^$N$3</f>
        <v>81826.1142154125</v>
      </c>
      <c r="Q569" s="15" t="n">
        <f aca="false">O569+P569</f>
        <v>133715.400582433</v>
      </c>
      <c r="R569" s="15" t="n">
        <f aca="false">Q569-$G$2+$I$2</f>
        <v>122095.400582433</v>
      </c>
      <c r="S569" s="40" t="n">
        <f aca="false">R569/$K$2</f>
        <v>414.205653840054</v>
      </c>
      <c r="T569" s="41" t="n">
        <f aca="false">S569-$M$2</f>
        <v>4.22499095034334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0.109375</v>
      </c>
      <c r="C570" s="25" t="n">
        <f aca="false">IF(T569&gt;0,D569,C569)</f>
        <v>0.1328125</v>
      </c>
      <c r="D570" s="39" t="n">
        <f aca="false">(B570+C570)/2</f>
        <v>0.12109375</v>
      </c>
      <c r="E570" s="15" t="n">
        <f aca="false">$C$2*(1+IF(E$3&lt;=$O$2,$D570,$D570-($D570-$I$562)*MIN(E$3-$O$2,$Q$2)/$Q$2))</f>
        <v>16050.69921875</v>
      </c>
      <c r="F570" s="15" t="n">
        <f aca="false">E570*(1+IF(F$3&lt;=$O$2,$D570,$D570-($D570-$I$562)*MIN(F$3-$O$2,$Q$2)/$Q$2))</f>
        <v>17994.3385772705</v>
      </c>
      <c r="G570" s="15" t="n">
        <f aca="false">F570*(1+IF(G$3&lt;=$O$2,$D570,$D570-($D570-$I$562)*MIN(G$3-$O$2,$Q$2)/$Q$2))</f>
        <v>20173.3405143619</v>
      </c>
      <c r="H570" s="15" t="n">
        <f aca="false">G570*(1+IF(H$3&lt;=$O$2,$D570,$D570-($D570-$I$562)*MIN(H$3-$O$2,$Q$2)/$Q$2))</f>
        <v>22616.2059672729</v>
      </c>
      <c r="I570" s="15" t="n">
        <f aca="false">H570*(1+IF(I$3&lt;=$O$2,$D570,$D570-($D570-$I$562)*MIN(I$3-$O$2,$Q$2)/$Q$2))</f>
        <v>25354.8871586223</v>
      </c>
      <c r="J570" s="15" t="n">
        <f aca="false">I570*(1+IF(J$3&lt;=$O$2,$D570,$D570-($D570-$I$562)*MIN(J$3-$O$2,$Q$2)/$Q$2))</f>
        <v>28005.3602877489</v>
      </c>
      <c r="K570" s="15" t="n">
        <f aca="false">J570*(1+IF(K$3&lt;=$O$2,$D570,$D570-($D570-$I$562)*MIN(K$3-$O$2,$Q$2)/$Q$2))</f>
        <v>30469.166865764</v>
      </c>
      <c r="L570" s="15" t="n">
        <f aca="false">K570*(1+IF(L$3&lt;=$O$2,$D570,$D570-($D570-$I$562)*MIN(L$3-$O$2,$Q$2)/$Q$2))</f>
        <v>32645.1985903997</v>
      </c>
      <c r="M570" s="15" t="n">
        <f aca="false">L570*(1+IF(M$3&lt;=$O$2,$D570,$D570-($D570-$I$562)*MIN(M$3-$O$2,$Q$2)/$Q$2))</f>
        <v>34436.0733785708</v>
      </c>
      <c r="N570" s="15" t="n">
        <f aca="false">M570*(1+IF(N$3&lt;=$O$2,$D570,$D570-($D570-$I$562)*MIN(N$3-$O$2,$Q$2)/$Q$2))</f>
        <v>35754.97498897</v>
      </c>
      <c r="O570" s="15" t="n">
        <f aca="false">SUMPRODUCT(E570:N570,1/(1+$F$562)^$E$3:$N$3)*$E$2</f>
        <v>49339.0747250325</v>
      </c>
      <c r="P570" s="15" t="n">
        <f aca="false">N570*$E$2*(1+$I$562)/($F$562-$I$562)/(1+$F$562)^$N$3</f>
        <v>76029.710548787</v>
      </c>
      <c r="Q570" s="15" t="n">
        <f aca="false">O570+P570</f>
        <v>125368.785273819</v>
      </c>
      <c r="R570" s="15" t="n">
        <f aca="false">Q570-$G$2+$I$2</f>
        <v>113748.785273819</v>
      </c>
      <c r="S570" s="40" t="n">
        <f aca="false">R570/$K$2</f>
        <v>385.889965986428</v>
      </c>
      <c r="T570" s="41" t="n">
        <f aca="false">S570-$M$2</f>
        <v>-24.0906969032822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0.12109375</v>
      </c>
      <c r="C571" s="25" t="n">
        <f aca="false">IF(T570&gt;0,D570,C570)</f>
        <v>0.1328125</v>
      </c>
      <c r="D571" s="39" t="n">
        <f aca="false">(B571+C571)/2</f>
        <v>0.126953125</v>
      </c>
      <c r="E571" s="15" t="n">
        <f aca="false">$C$2*(1+IF(E$3&lt;=$O$2,$D571,$D571-($D571-$I$562)*MIN(E$3-$O$2,$Q$2)/$Q$2))</f>
        <v>16134.587890625</v>
      </c>
      <c r="F571" s="15" t="n">
        <f aca="false">E571*(1+IF(F$3&lt;=$O$2,$D571,$D571-($D571-$I$562)*MIN(F$3-$O$2,$Q$2)/$Q$2))</f>
        <v>18182.924243927</v>
      </c>
      <c r="G571" s="15" t="n">
        <f aca="false">F571*(1+IF(G$3&lt;=$O$2,$D571,$D571-($D571-$I$562)*MIN(G$3-$O$2,$Q$2)/$Q$2))</f>
        <v>20491.3032983318</v>
      </c>
      <c r="H571" s="15" t="n">
        <f aca="false">G571*(1+IF(H$3&lt;=$O$2,$D571,$D571-($D571-$I$562)*MIN(H$3-$O$2,$Q$2)/$Q$2))</f>
        <v>23092.7382873778</v>
      </c>
      <c r="I571" s="15" t="n">
        <f aca="false">H571*(1+IF(I$3&lt;=$O$2,$D571,$D571-($D571-$I$562)*MIN(I$3-$O$2,$Q$2)/$Q$2))</f>
        <v>26024.4335777676</v>
      </c>
      <c r="J571" s="15" t="n">
        <f aca="false">I571*(1+IF(J$3&lt;=$O$2,$D571,$D571-($D571-$I$562)*MIN(J$3-$O$2,$Q$2)/$Q$2))</f>
        <v>28866.8872742153</v>
      </c>
      <c r="K571" s="15" t="n">
        <f aca="false">J571*(1+IF(K$3&lt;=$O$2,$D571,$D571-($D571-$I$562)*MIN(K$3-$O$2,$Q$2)/$Q$2))</f>
        <v>31507.9729163469</v>
      </c>
      <c r="L571" s="15" t="n">
        <f aca="false">K571*(1+IF(L$3&lt;=$O$2,$D571,$D571-($D571-$I$562)*MIN(L$3-$O$2,$Q$2)/$Q$2))</f>
        <v>33832.0403836228</v>
      </c>
      <c r="M571" s="15" t="n">
        <f aca="false">L571*(1+IF(M$3&lt;=$O$2,$D571,$D571-($D571-$I$562)*MIN(M$3-$O$2,$Q$2)/$Q$2))</f>
        <v>35727.6707513424</v>
      </c>
      <c r="N571" s="15" t="n">
        <f aca="false">M571*(1+IF(N$3&lt;=$O$2,$D571,$D571-($D571-$I$562)*MIN(N$3-$O$2,$Q$2)/$Q$2))</f>
        <v>37096.0405411188</v>
      </c>
      <c r="O571" s="15" t="n">
        <f aca="false">SUMPRODUCT(E571:N571,1/(1+$F$562)^$E$3:$N$3)*$E$2</f>
        <v>50598.2944830602</v>
      </c>
      <c r="P571" s="15" t="n">
        <f aca="false">N571*$E$2*(1+$I$562)/($F$562-$I$562)/(1+$F$562)^$N$3</f>
        <v>78881.3647811918</v>
      </c>
      <c r="Q571" s="15" t="n">
        <f aca="false">O571+P571</f>
        <v>129479.659264252</v>
      </c>
      <c r="R571" s="15" t="n">
        <f aca="false">Q571-$G$2+$I$2</f>
        <v>117859.659264252</v>
      </c>
      <c r="S571" s="40" t="n">
        <f aca="false">R571/$K$2</f>
        <v>399.836005238837</v>
      </c>
      <c r="T571" s="41" t="n">
        <f aca="false">S571-$M$2</f>
        <v>-10.1446576508733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0.126953125</v>
      </c>
      <c r="C572" s="25" t="n">
        <f aca="false">IF(T571&gt;0,D571,C571)</f>
        <v>0.1328125</v>
      </c>
      <c r="D572" s="39" t="n">
        <f aca="false">(B572+C572)/2</f>
        <v>0.1298828125</v>
      </c>
      <c r="E572" s="15" t="n">
        <f aca="false">$C$2*(1+IF(E$3&lt;=$O$2,$D572,$D572-($D572-$I$562)*MIN(E$3-$O$2,$Q$2)/$Q$2))</f>
        <v>16176.5322265625</v>
      </c>
      <c r="F572" s="15" t="n">
        <f aca="false">E572*(1+IF(F$3&lt;=$O$2,$D572,$D572-($D572-$I$562)*MIN(F$3-$O$2,$Q$2)/$Q$2))</f>
        <v>18277.5857286453</v>
      </c>
      <c r="G572" s="15" t="n">
        <f aca="false">F572*(1+IF(G$3&lt;=$O$2,$D572,$D572-($D572-$I$562)*MIN(G$3-$O$2,$Q$2)/$Q$2))</f>
        <v>20651.5299687916</v>
      </c>
      <c r="H572" s="15" t="n">
        <f aca="false">G572*(1+IF(H$3&lt;=$O$2,$D572,$D572-($D572-$I$562)*MIN(H$3-$O$2,$Q$2)/$Q$2))</f>
        <v>23333.8087635663</v>
      </c>
      <c r="I572" s="15" t="n">
        <f aca="false">H572*(1+IF(I$3&lt;=$O$2,$D572,$D572-($D572-$I$562)*MIN(I$3-$O$2,$Q$2)/$Q$2))</f>
        <v>26364.4694721155</v>
      </c>
      <c r="J572" s="15" t="n">
        <f aca="false">I572*(1+IF(J$3&lt;=$O$2,$D572,$D572-($D572-$I$562)*MIN(J$3-$O$2,$Q$2)/$Q$2))</f>
        <v>29305.8544643589</v>
      </c>
      <c r="K572" s="15" t="n">
        <f aca="false">J572*(1+IF(K$3&lt;=$O$2,$D572,$D572-($D572-$I$562)*MIN(K$3-$O$2,$Q$2)/$Q$2))</f>
        <v>32038.6162350808</v>
      </c>
      <c r="L572" s="15" t="n">
        <f aca="false">K572*(1+IF(L$3&lt;=$O$2,$D572,$D572-($D572-$I$562)*MIN(L$3-$O$2,$Q$2)/$Q$2))</f>
        <v>34439.3698702512</v>
      </c>
      <c r="M572" s="15" t="n">
        <f aca="false">L572*(1+IF(M$3&lt;=$O$2,$D572,$D572-($D572-$I$562)*MIN(M$3-$O$2,$Q$2)/$Q$2))</f>
        <v>36389.2086069709</v>
      </c>
      <c r="N572" s="15" t="n">
        <f aca="false">M572*(1+IF(N$3&lt;=$O$2,$D572,$D572-($D572-$I$562)*MIN(N$3-$O$2,$Q$2)/$Q$2))</f>
        <v>37782.9152966179</v>
      </c>
      <c r="O572" s="15" t="n">
        <f aca="false">SUMPRODUCT(E572:N572,1/(1+$F$562)^$E$3:$N$3)*$E$2</f>
        <v>51239.7731567986</v>
      </c>
      <c r="P572" s="15" t="n">
        <f aca="false">N572*$E$2*(1+$I$562)/($F$562-$I$562)/(1+$F$562)^$N$3</f>
        <v>80341.9416340625</v>
      </c>
      <c r="Q572" s="15" t="n">
        <f aca="false">O572+P572</f>
        <v>131581.714790861</v>
      </c>
      <c r="R572" s="15" t="n">
        <f aca="false">Q572-$G$2+$I$2</f>
        <v>119961.714790861</v>
      </c>
      <c r="S572" s="40" t="n">
        <f aca="false">R572/$K$2</f>
        <v>406.967177090142</v>
      </c>
      <c r="T572" s="41" t="n">
        <f aca="false">S572-$M$2</f>
        <v>-3.01348579956874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0.1298828125</v>
      </c>
      <c r="C573" s="25" t="n">
        <f aca="false">IF(T572&gt;0,D572,C572)</f>
        <v>0.1328125</v>
      </c>
      <c r="D573" s="39" t="n">
        <f aca="false">(B573+C573)/2</f>
        <v>0.13134765625</v>
      </c>
      <c r="E573" s="15" t="n">
        <f aca="false">$C$2*(1+IF(E$3&lt;=$O$2,$D573,$D573-($D573-$I$562)*MIN(E$3-$O$2,$Q$2)/$Q$2))</f>
        <v>16197.5043945313</v>
      </c>
      <c r="F573" s="15" t="n">
        <f aca="false">E573*(1+IF(F$3&lt;=$O$2,$D573,$D573-($D573-$I$562)*MIN(F$3-$O$2,$Q$2)/$Q$2))</f>
        <v>18325.008633852</v>
      </c>
      <c r="G573" s="15" t="n">
        <f aca="false">F573*(1+IF(G$3&lt;=$O$2,$D573,$D573-($D573-$I$562)*MIN(G$3-$O$2,$Q$2)/$Q$2))</f>
        <v>20731.9555686695</v>
      </c>
      <c r="H573" s="15" t="n">
        <f aca="false">G573*(1+IF(H$3&lt;=$O$2,$D573,$D573-($D573-$I$562)*MIN(H$3-$O$2,$Q$2)/$Q$2))</f>
        <v>23455.0493420934</v>
      </c>
      <c r="I573" s="15" t="n">
        <f aca="false">H573*(1+IF(I$3&lt;=$O$2,$D573,$D573-($D573-$I$562)*MIN(I$3-$O$2,$Q$2)/$Q$2))</f>
        <v>26535.8151004054</v>
      </c>
      <c r="J573" s="15" t="n">
        <f aca="false">I573*(1+IF(J$3&lt;=$O$2,$D573,$D573-($D573-$I$562)*MIN(J$3-$O$2,$Q$2)/$Q$2))</f>
        <v>29527.4131401718</v>
      </c>
      <c r="K573" s="15" t="n">
        <f aca="false">J573*(1+IF(K$3&lt;=$O$2,$D573,$D573-($D573-$I$562)*MIN(K$3-$O$2,$Q$2)/$Q$2))</f>
        <v>32306.7870161315</v>
      </c>
      <c r="L573" s="15" t="n">
        <f aca="false">K573*(1+IF(L$3&lt;=$O$2,$D573,$D573-($D573-$I$562)*MIN(L$3-$O$2,$Q$2)/$Q$2))</f>
        <v>34746.5652839769</v>
      </c>
      <c r="M573" s="15" t="n">
        <f aca="false">L573*(1+IF(M$3&lt;=$O$2,$D573,$D573-($D573-$I$562)*MIN(M$3-$O$2,$Q$2)/$Q$2))</f>
        <v>36723.9760268355</v>
      </c>
      <c r="N573" s="15" t="n">
        <f aca="false">M573*(1+IF(N$3&lt;=$O$2,$D573,$D573-($D573-$I$562)*MIN(N$3-$O$2,$Q$2)/$Q$2))</f>
        <v>38130.5043086633</v>
      </c>
      <c r="O573" s="15" t="n">
        <f aca="false">SUMPRODUCT(E573:N573,1/(1+$F$562)^$E$3:$N$3)*$E$2</f>
        <v>51563.5196759456</v>
      </c>
      <c r="P573" s="15" t="n">
        <f aca="false">N573*$E$2*(1+$I$562)/($F$562-$I$562)/(1+$F$562)^$N$3</f>
        <v>81081.0581341833</v>
      </c>
      <c r="Q573" s="15" t="n">
        <f aca="false">O573+P573</f>
        <v>132644.577810129</v>
      </c>
      <c r="R573" s="15" t="n">
        <f aca="false">Q573-$G$2+$I$2</f>
        <v>121024.577810129</v>
      </c>
      <c r="S573" s="40" t="n">
        <f aca="false">R573/$K$2</f>
        <v>410.57291383156</v>
      </c>
      <c r="T573" s="41" t="n">
        <f aca="false">S573-$M$2</f>
        <v>0.5922509418495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0.1298828125</v>
      </c>
      <c r="C574" s="25" t="n">
        <f aca="false">IF(T573&gt;0,D573,C573)</f>
        <v>0.13134765625</v>
      </c>
      <c r="D574" s="39" t="n">
        <f aca="false">(B574+C574)/2</f>
        <v>0.130615234375</v>
      </c>
      <c r="E574" s="15" t="n">
        <f aca="false">$C$2*(1+IF(E$3&lt;=$O$2,$D574,$D574-($D574-$I$562)*MIN(E$3-$O$2,$Q$2)/$Q$2))</f>
        <v>16187.0183105469</v>
      </c>
      <c r="F574" s="15" t="n">
        <f aca="false">E574*(1+IF(F$3&lt;=$O$2,$D574,$D574-($D574-$I$562)*MIN(F$3-$O$2,$Q$2)/$Q$2))</f>
        <v>18301.2895010114</v>
      </c>
      <c r="G574" s="15" t="n">
        <f aca="false">F574*(1+IF(G$3&lt;=$O$2,$D574,$D574-($D574-$I$562)*MIN(G$3-$O$2,$Q$2)/$Q$2))</f>
        <v>20691.7167185507</v>
      </c>
      <c r="H574" s="15" t="n">
        <f aca="false">G574*(1+IF(H$3&lt;=$O$2,$D574,$D574-($D574-$I$562)*MIN(H$3-$O$2,$Q$2)/$Q$2))</f>
        <v>23394.3701473653</v>
      </c>
      <c r="I574" s="15" t="n">
        <f aca="false">H574*(1+IF(I$3&lt;=$O$2,$D574,$D574-($D574-$I$562)*MIN(I$3-$O$2,$Q$2)/$Q$2))</f>
        <v>26450.0312872189</v>
      </c>
      <c r="J574" s="15" t="n">
        <f aca="false">I574*(1+IF(J$3&lt;=$O$2,$D574,$D574-($D574-$I$562)*MIN(J$3-$O$2,$Q$2)/$Q$2))</f>
        <v>29416.460155524</v>
      </c>
      <c r="K574" s="15" t="n">
        <f aca="false">J574*(1+IF(K$3&lt;=$O$2,$D574,$D574-($D574-$I$562)*MIN(K$3-$O$2,$Q$2)/$Q$2))</f>
        <v>32172.4630277246</v>
      </c>
      <c r="L574" s="15" t="n">
        <f aca="false">K574*(1+IF(L$3&lt;=$O$2,$D574,$D574-($D574-$I$562)*MIN(L$3-$O$2,$Q$2)/$Q$2))</f>
        <v>34592.6717476166</v>
      </c>
      <c r="M574" s="15" t="n">
        <f aca="false">L574*(1+IF(M$3&lt;=$O$2,$D574,$D574-($D574-$I$562)*MIN(M$3-$O$2,$Q$2)/$Q$2))</f>
        <v>36556.257195558</v>
      </c>
      <c r="N574" s="15" t="n">
        <f aca="false">M574*(1+IF(N$3&lt;=$O$2,$D574,$D574-($D574-$I$562)*MIN(N$3-$O$2,$Q$2)/$Q$2))</f>
        <v>37956.3618461479</v>
      </c>
      <c r="O574" s="15" t="n">
        <f aca="false">SUMPRODUCT(E574:N574,1/(1+$F$562)^$E$3:$N$3)*$E$2</f>
        <v>51401.394618231</v>
      </c>
      <c r="P574" s="15" t="n">
        <f aca="false">N574*$E$2*(1+$I$562)/($F$562-$I$562)/(1+$F$562)^$N$3</f>
        <v>80710.7599862086</v>
      </c>
      <c r="Q574" s="15" t="n">
        <f aca="false">O574+P574</f>
        <v>132112.15460444</v>
      </c>
      <c r="R574" s="15" t="n">
        <f aca="false">Q574-$G$2+$I$2</f>
        <v>120492.15460444</v>
      </c>
      <c r="S574" s="40" t="n">
        <f aca="false">R574/$K$2</f>
        <v>408.76668115629</v>
      </c>
      <c r="T574" s="41" t="n">
        <f aca="false">S574-$M$2</f>
        <v>-1.21398173342078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0.130615234375</v>
      </c>
      <c r="C575" s="25" t="n">
        <f aca="false">IF(T574&gt;0,D574,C574)</f>
        <v>0.13134765625</v>
      </c>
      <c r="D575" s="39" t="n">
        <f aca="false">(B575+C575)/2</f>
        <v>0.1309814453125</v>
      </c>
      <c r="E575" s="15" t="n">
        <f aca="false">$C$2*(1+IF(E$3&lt;=$O$2,$D575,$D575-($D575-$I$562)*MIN(E$3-$O$2,$Q$2)/$Q$2))</f>
        <v>16192.2613525391</v>
      </c>
      <c r="F575" s="15" t="n">
        <f aca="false">E575*(1+IF(F$3&lt;=$O$2,$D575,$D575-($D575-$I$562)*MIN(F$3-$O$2,$Q$2)/$Q$2))</f>
        <v>18313.1471473724</v>
      </c>
      <c r="G575" s="15" t="n">
        <f aca="false">F575*(1+IF(G$3&lt;=$O$2,$D575,$D575-($D575-$I$562)*MIN(G$3-$O$2,$Q$2)/$Q$2))</f>
        <v>20711.8296289557</v>
      </c>
      <c r="H575" s="15" t="n">
        <f aca="false">G575*(1+IF(H$3&lt;=$O$2,$D575,$D575-($D575-$I$562)*MIN(H$3-$O$2,$Q$2)/$Q$2))</f>
        <v>23424.6950088226</v>
      </c>
      <c r="I575" s="15" t="n">
        <f aca="false">H575*(1+IF(I$3&lt;=$O$2,$D575,$D575-($D575-$I$562)*MIN(I$3-$O$2,$Q$2)/$Q$2))</f>
        <v>26492.8954170826</v>
      </c>
      <c r="J575" s="15" t="n">
        <f aca="false">I575*(1+IF(J$3&lt;=$O$2,$D575,$D575-($D575-$I$562)*MIN(J$3-$O$2,$Q$2)/$Q$2))</f>
        <v>29471.8931817714</v>
      </c>
      <c r="K575" s="15" t="n">
        <f aca="false">J575*(1+IF(K$3&lt;=$O$2,$D575,$D575-($D575-$I$562)*MIN(K$3-$O$2,$Q$2)/$Q$2))</f>
        <v>32239.5652843426</v>
      </c>
      <c r="L575" s="15" t="n">
        <f aca="false">K575*(1+IF(L$3&lt;=$O$2,$D575,$D575-($D575-$I$562)*MIN(L$3-$O$2,$Q$2)/$Q$2))</f>
        <v>34669.5444374527</v>
      </c>
      <c r="M575" s="15" t="n">
        <f aca="false">L575*(1+IF(M$3&lt;=$O$2,$D575,$D575-($D575-$I$562)*MIN(M$3-$O$2,$Q$2)/$Q$2))</f>
        <v>36640.032686765</v>
      </c>
      <c r="N575" s="15" t="n">
        <f aca="false">M575*(1+IF(N$3&lt;=$O$2,$D575,$D575-($D575-$I$562)*MIN(N$3-$O$2,$Q$2)/$Q$2))</f>
        <v>38043.3459386681</v>
      </c>
      <c r="O575" s="15" t="n">
        <f aca="false">SUMPRODUCT(E575:N575,1/(1+$F$562)^$E$3:$N$3)*$E$2</f>
        <v>51482.3941072744</v>
      </c>
      <c r="P575" s="15" t="n">
        <f aca="false">N575*$E$2*(1+$I$562)/($F$562-$I$562)/(1+$F$562)^$N$3</f>
        <v>80895.7237675759</v>
      </c>
      <c r="Q575" s="15" t="n">
        <f aca="false">O575+P575</f>
        <v>132378.11787485</v>
      </c>
      <c r="R575" s="15" t="n">
        <f aca="false">Q575-$G$2+$I$2</f>
        <v>120758.11787485</v>
      </c>
      <c r="S575" s="40" t="n">
        <f aca="false">R575/$K$2</f>
        <v>409.66895503223</v>
      </c>
      <c r="T575" s="41" t="n">
        <f aca="false">S575-$M$2</f>
        <v>-0.311707857480883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0.1309814453125</v>
      </c>
      <c r="C576" s="25" t="n">
        <f aca="false">IF(T575&gt;0,D575,C575)</f>
        <v>0.13134765625</v>
      </c>
      <c r="D576" s="39" t="n">
        <f aca="false">(B576+C576)/2</f>
        <v>0.13116455078125</v>
      </c>
      <c r="E576" s="15" t="n">
        <f aca="false">$C$2*(1+IF(E$3&lt;=$O$2,$D576,$D576-($D576-$I$562)*MIN(E$3-$O$2,$Q$2)/$Q$2))</f>
        <v>16194.8828735352</v>
      </c>
      <c r="F576" s="15" t="n">
        <f aca="false">E576*(1+IF(F$3&lt;=$O$2,$D576,$D576-($D576-$I$562)*MIN(F$3-$O$2,$Q$2)/$Q$2))</f>
        <v>18319.0774105974</v>
      </c>
      <c r="G576" s="15" t="n">
        <f aca="false">F576*(1+IF(G$3&lt;=$O$2,$D576,$D576-($D576-$I$562)*MIN(G$3-$O$2,$Q$2)/$Q$2))</f>
        <v>20721.8909698853</v>
      </c>
      <c r="H576" s="15" t="n">
        <f aca="false">G576*(1+IF(H$3&lt;=$O$2,$D576,$D576-($D576-$I$562)*MIN(H$3-$O$2,$Q$2)/$Q$2))</f>
        <v>23439.8684902883</v>
      </c>
      <c r="I576" s="15" t="n">
        <f aca="false">H576*(1+IF(I$3&lt;=$O$2,$D576,$D576-($D576-$I$562)*MIN(I$3-$O$2,$Q$2)/$Q$2))</f>
        <v>26514.3483111886</v>
      </c>
      <c r="J576" s="15" t="n">
        <f aca="false">I576*(1+IF(J$3&lt;=$O$2,$D576,$D576-($D576-$I$562)*MIN(J$3-$O$2,$Q$2)/$Q$2))</f>
        <v>29499.642287648</v>
      </c>
      <c r="K576" s="15" t="n">
        <f aca="false">J576*(1+IF(K$3&lt;=$O$2,$D576,$D576-($D576-$I$562)*MIN(K$3-$O$2,$Q$2)/$Q$2))</f>
        <v>32273.1612048149</v>
      </c>
      <c r="L576" s="15" t="n">
        <f aca="false">K576*(1+IF(L$3&lt;=$O$2,$D576,$D576-($D576-$I$562)*MIN(L$3-$O$2,$Q$2)/$Q$2))</f>
        <v>34708.0363259898</v>
      </c>
      <c r="M576" s="15" t="n">
        <f aca="false">L576*(1+IF(M$3&lt;=$O$2,$D576,$D576-($D576-$I$562)*MIN(M$3-$O$2,$Q$2)/$Q$2))</f>
        <v>36681.9833576576</v>
      </c>
      <c r="N576" s="15" t="n">
        <f aca="false">M576*(1+IF(N$3&lt;=$O$2,$D576,$D576-($D576-$I$562)*MIN(N$3-$O$2,$Q$2)/$Q$2))</f>
        <v>38086.9033202559</v>
      </c>
      <c r="O576" s="15" t="n">
        <f aca="false">SUMPRODUCT(E576:N576,1/(1+$F$562)^$E$3:$N$3)*$E$2</f>
        <v>51522.9411203595</v>
      </c>
      <c r="P576" s="15" t="n">
        <f aca="false">N576*$E$2*(1+$I$562)/($F$562-$I$562)/(1+$F$562)^$N$3</f>
        <v>80988.3445879068</v>
      </c>
      <c r="Q576" s="15" t="n">
        <f aca="false">O576+P576</f>
        <v>132511.285708266</v>
      </c>
      <c r="R576" s="15" t="n">
        <f aca="false">Q576-$G$2+$I$2</f>
        <v>120891.285708266</v>
      </c>
      <c r="S576" s="40" t="n">
        <f aca="false">R576/$K$2</f>
        <v>410.120723643065</v>
      </c>
      <c r="T576" s="41" t="n">
        <f aca="false">S576-$M$2</f>
        <v>0.140060753354419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0.1309814453125</v>
      </c>
      <c r="C577" s="25" t="n">
        <f aca="false">IF(T576&gt;0,D576,C576)</f>
        <v>0.13116455078125</v>
      </c>
      <c r="D577" s="39" t="n">
        <f aca="false">(B577+C577)/2</f>
        <v>0.131072998046875</v>
      </c>
      <c r="E577" s="15" t="n">
        <f aca="false">$C$2*(1+IF(E$3&lt;=$O$2,$D577,$D577-($D577-$I$562)*MIN(E$3-$O$2,$Q$2)/$Q$2))</f>
        <v>16193.5721130371</v>
      </c>
      <c r="F577" s="15" t="n">
        <f aca="false">E577*(1+IF(F$3&lt;=$O$2,$D577,$D577-($D577-$I$562)*MIN(F$3-$O$2,$Q$2)/$Q$2))</f>
        <v>18316.1121589812</v>
      </c>
      <c r="G577" s="15" t="n">
        <f aca="false">F577*(1+IF(G$3&lt;=$O$2,$D577,$D577-($D577-$I$562)*MIN(G$3-$O$2,$Q$2)/$Q$2))</f>
        <v>20716.8598922216</v>
      </c>
      <c r="H577" s="15" t="n">
        <f aca="false">G577*(1+IF(H$3&lt;=$O$2,$D577,$D577-($D577-$I$562)*MIN(H$3-$O$2,$Q$2)/$Q$2))</f>
        <v>23432.2808284122</v>
      </c>
      <c r="I577" s="15" t="n">
        <f aca="false">H577*(1+IF(I$3&lt;=$O$2,$D577,$D577-($D577-$I$562)*MIN(I$3-$O$2,$Q$2)/$Q$2))</f>
        <v>26503.6201276685</v>
      </c>
      <c r="J577" s="15" t="n">
        <f aca="false">I577*(1+IF(J$3&lt;=$O$2,$D577,$D577-($D577-$I$562)*MIN(J$3-$O$2,$Q$2)/$Q$2))</f>
        <v>29485.7650172296</v>
      </c>
      <c r="K577" s="15" t="n">
        <f aca="false">J577*(1+IF(K$3&lt;=$O$2,$D577,$D577-($D577-$I$562)*MIN(K$3-$O$2,$Q$2)/$Q$2))</f>
        <v>32256.359509602</v>
      </c>
      <c r="L577" s="15" t="n">
        <f aca="false">K577*(1+IF(L$3&lt;=$O$2,$D577,$D577-($D577-$I$562)*MIN(L$3-$O$2,$Q$2)/$Q$2))</f>
        <v>34688.7857499331</v>
      </c>
      <c r="M577" s="15" t="n">
        <f aca="false">L577*(1+IF(M$3&lt;=$O$2,$D577,$D577-($D577-$I$562)*MIN(M$3-$O$2,$Q$2)/$Q$2))</f>
        <v>36661.002774681</v>
      </c>
      <c r="N577" s="15" t="n">
        <f aca="false">M577*(1+IF(N$3&lt;=$O$2,$D577,$D577-($D577-$I$562)*MIN(N$3-$O$2,$Q$2)/$Q$2))</f>
        <v>38065.1191809513</v>
      </c>
      <c r="O577" s="15" t="n">
        <f aca="false">SUMPRODUCT(E577:N577,1/(1+$F$562)^$E$3:$N$3)*$E$2</f>
        <v>51502.663672417</v>
      </c>
      <c r="P577" s="15" t="n">
        <f aca="false">N577*$E$2*(1+$I$562)/($F$562-$I$562)/(1+$F$562)^$N$3</f>
        <v>80942.0225919776</v>
      </c>
      <c r="Q577" s="15" t="n">
        <f aca="false">O577+P577</f>
        <v>132444.686264395</v>
      </c>
      <c r="R577" s="15" t="n">
        <f aca="false">Q577-$G$2+$I$2</f>
        <v>120824.686264395</v>
      </c>
      <c r="S577" s="40" t="n">
        <f aca="false">R577/$K$2</f>
        <v>409.894786662125</v>
      </c>
      <c r="T577" s="41" t="n">
        <f aca="false">S577-$M$2</f>
        <v>-0.0858762275854588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0.131072998046875</v>
      </c>
      <c r="C578" s="25" t="n">
        <f aca="false">IF(T577&gt;0,D577,C577)</f>
        <v>0.13116455078125</v>
      </c>
      <c r="D578" s="39" t="n">
        <f aca="false">(B578+C578)/2</f>
        <v>0.131118774414063</v>
      </c>
      <c r="E578" s="15" t="n">
        <f aca="false">$C$2*(1+IF(E$3&lt;=$O$2,$D578,$D578-($D578-$I$562)*MIN(E$3-$O$2,$Q$2)/$Q$2))</f>
        <v>16194.2274932861</v>
      </c>
      <c r="F578" s="15" t="n">
        <f aca="false">E578*(1+IF(F$3&lt;=$O$2,$D578,$D578-($D578-$I$562)*MIN(F$3-$O$2,$Q$2)/$Q$2))</f>
        <v>18317.5947547883</v>
      </c>
      <c r="G578" s="15" t="n">
        <f aca="false">F578*(1+IF(G$3&lt;=$O$2,$D578,$D578-($D578-$I$562)*MIN(G$3-$O$2,$Q$2)/$Q$2))</f>
        <v>20719.3753292496</v>
      </c>
      <c r="H578" s="15" t="n">
        <f aca="false">G578*(1+IF(H$3&lt;=$O$2,$D578,$D578-($D578-$I$562)*MIN(H$3-$O$2,$Q$2)/$Q$2))</f>
        <v>23436.0744290458</v>
      </c>
      <c r="I578" s="15" t="n">
        <f aca="false">H578*(1+IF(I$3&lt;=$O$2,$D578,$D578-($D578-$I$562)*MIN(I$3-$O$2,$Q$2)/$Q$2))</f>
        <v>26508.983785259</v>
      </c>
      <c r="J578" s="15" t="n">
        <f aca="false">I578*(1+IF(J$3&lt;=$O$2,$D578,$D578-($D578-$I$562)*MIN(J$3-$O$2,$Q$2)/$Q$2))</f>
        <v>29492.7029729625</v>
      </c>
      <c r="K578" s="15" t="n">
        <f aca="false">J578*(1+IF(K$3&lt;=$O$2,$D578,$D578-($D578-$I$562)*MIN(K$3-$O$2,$Q$2)/$Q$2))</f>
        <v>32264.7594232919</v>
      </c>
      <c r="L578" s="15" t="n">
        <f aca="false">K578*(1+IF(L$3&lt;=$O$2,$D578,$D578-($D578-$I$562)*MIN(L$3-$O$2,$Q$2)/$Q$2))</f>
        <v>34698.4098797778</v>
      </c>
      <c r="M578" s="15" t="n">
        <f aca="false">L578*(1+IF(M$3&lt;=$O$2,$D578,$D578-($D578-$I$562)*MIN(M$3-$O$2,$Q$2)/$Q$2))</f>
        <v>36671.4917540049</v>
      </c>
      <c r="N578" s="15" t="n">
        <f aca="false">M578*(1+IF(N$3&lt;=$O$2,$D578,$D578-($D578-$I$562)*MIN(N$3-$O$2,$Q$2)/$Q$2))</f>
        <v>38076.0098881833</v>
      </c>
      <c r="O578" s="15" t="n">
        <f aca="false">SUMPRODUCT(E578:N578,1/(1+$F$562)^$E$3:$N$3)*$E$2</f>
        <v>51512.8014108617</v>
      </c>
      <c r="P578" s="15" t="n">
        <f aca="false">N578*$E$2*(1+$I$562)/($F$562-$I$562)/(1+$F$562)^$N$3</f>
        <v>80965.180692879</v>
      </c>
      <c r="Q578" s="15" t="n">
        <f aca="false">O578+P578</f>
        <v>132477.982103741</v>
      </c>
      <c r="R578" s="15" t="n">
        <f aca="false">Q578-$G$2+$I$2</f>
        <v>120857.982103741</v>
      </c>
      <c r="S578" s="40" t="n">
        <f aca="false">R578/$K$2</f>
        <v>410.007741981005</v>
      </c>
      <c r="T578" s="41" t="n">
        <f aca="false">S578-$M$2</f>
        <v>0.0270790912938992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0.131072998046875</v>
      </c>
      <c r="C579" s="25" t="n">
        <f aca="false">IF(T578&gt;0,D578,C578)</f>
        <v>0.131118774414063</v>
      </c>
      <c r="D579" s="39" t="n">
        <f aca="false">(B579+C579)/2</f>
        <v>0.131095886230469</v>
      </c>
      <c r="E579" s="15" t="n">
        <f aca="false">$C$2*(1+IF(E$3&lt;=$O$2,$D579,$D579-($D579-$I$562)*MIN(E$3-$O$2,$Q$2)/$Q$2))</f>
        <v>16193.8998031616</v>
      </c>
      <c r="F579" s="15" t="n">
        <f aca="false">E579*(1+IF(F$3&lt;=$O$2,$D579,$D579-($D579-$I$562)*MIN(F$3-$O$2,$Q$2)/$Q$2))</f>
        <v>18316.8534493845</v>
      </c>
      <c r="G579" s="15" t="n">
        <f aca="false">F579*(1+IF(G$3&lt;=$O$2,$D579,$D579-($D579-$I$562)*MIN(G$3-$O$2,$Q$2)/$Q$2))</f>
        <v>20718.1175852852</v>
      </c>
      <c r="H579" s="15" t="n">
        <f aca="false">G579*(1+IF(H$3&lt;=$O$2,$D579,$D579-($D579-$I$562)*MIN(H$3-$O$2,$Q$2)/$Q$2))</f>
        <v>23434.1775711552</v>
      </c>
      <c r="I579" s="15" t="n">
        <f aca="false">H579*(1+IF(I$3&lt;=$O$2,$D579,$D579-($D579-$I$562)*MIN(I$3-$O$2,$Q$2)/$Q$2))</f>
        <v>26506.301847928</v>
      </c>
      <c r="J579" s="15" t="n">
        <f aca="false">I579*(1+IF(J$3&lt;=$O$2,$D579,$D579-($D579-$I$562)*MIN(J$3-$O$2,$Q$2)/$Q$2))</f>
        <v>29489.2338252402</v>
      </c>
      <c r="K579" s="15" t="n">
        <f aca="false">J579*(1+IF(K$3&lt;=$O$2,$D579,$D579-($D579-$I$562)*MIN(K$3-$O$2,$Q$2)/$Q$2))</f>
        <v>32260.5592329894</v>
      </c>
      <c r="L579" s="15" t="n">
        <f aca="false">K579*(1+IF(L$3&lt;=$O$2,$D579,$D579-($D579-$I$562)*MIN(L$3-$O$2,$Q$2)/$Q$2))</f>
        <v>34693.5975253392</v>
      </c>
      <c r="M579" s="15" t="n">
        <f aca="false">L579*(1+IF(M$3&lt;=$O$2,$D579,$D579-($D579-$I$562)*MIN(M$3-$O$2,$Q$2)/$Q$2))</f>
        <v>36666.2469363371</v>
      </c>
      <c r="N579" s="15" t="n">
        <f aca="false">M579*(1+IF(N$3&lt;=$O$2,$D579,$D579-($D579-$I$562)*MIN(N$3-$O$2,$Q$2)/$Q$2))</f>
        <v>38070.5641939988</v>
      </c>
      <c r="O579" s="15" t="n">
        <f aca="false">SUMPRODUCT(E579:N579,1/(1+$F$562)^$E$3:$N$3)*$E$2</f>
        <v>51507.7322952798</v>
      </c>
      <c r="P579" s="15" t="n">
        <f aca="false">N579*$E$2*(1+$I$562)/($F$562-$I$562)/(1+$F$562)^$N$3</f>
        <v>80953.6009182403</v>
      </c>
      <c r="Q579" s="15" t="n">
        <f aca="false">O579+P579</f>
        <v>132461.33321352</v>
      </c>
      <c r="R579" s="15" t="n">
        <f aca="false">Q579-$G$2+$I$2</f>
        <v>120841.33321352</v>
      </c>
      <c r="S579" s="40" t="n">
        <f aca="false">R579/$K$2</f>
        <v>409.951261029006</v>
      </c>
      <c r="T579" s="41" t="n">
        <f aca="false">S579-$M$2</f>
        <v>-0.0294018607046951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0.131095886230469</v>
      </c>
      <c r="C580" s="25" t="n">
        <f aca="false">IF(T579&gt;0,D579,C579)</f>
        <v>0.131118774414063</v>
      </c>
      <c r="D580" s="39" t="n">
        <f aca="false">(B580+C580)/2</f>
        <v>0.131107330322266</v>
      </c>
      <c r="E580" s="15" t="n">
        <f aca="false">$C$2*(1+IF(E$3&lt;=$O$2,$D580,$D580-($D580-$I$562)*MIN(E$3-$O$2,$Q$2)/$Q$2))</f>
        <v>16194.0636482239</v>
      </c>
      <c r="F580" s="15" t="n">
        <f aca="false">E580*(1+IF(F$3&lt;=$O$2,$D580,$D580-($D580-$I$562)*MIN(F$3-$O$2,$Q$2)/$Q$2))</f>
        <v>18317.2241002114</v>
      </c>
      <c r="G580" s="15" t="n">
        <f aca="false">F580*(1+IF(G$3&lt;=$O$2,$D580,$D580-($D580-$I$562)*MIN(G$3-$O$2,$Q$2)/$Q$2))</f>
        <v>20718.7464509047</v>
      </c>
      <c r="H580" s="15" t="n">
        <f aca="false">G580*(1+IF(H$3&lt;=$O$2,$D580,$D580-($D580-$I$562)*MIN(H$3-$O$2,$Q$2)/$Q$2))</f>
        <v>23435.1259857068</v>
      </c>
      <c r="I580" s="15" t="n">
        <f aca="false">H580*(1+IF(I$3&lt;=$O$2,$D580,$D580-($D580-$I$562)*MIN(I$3-$O$2,$Q$2)/$Q$2))</f>
        <v>26507.6427894587</v>
      </c>
      <c r="J580" s="15" t="n">
        <f aca="false">I580*(1+IF(J$3&lt;=$O$2,$D580,$D580-($D580-$I$562)*MIN(J$3-$O$2,$Q$2)/$Q$2))</f>
        <v>29490.9683566357</v>
      </c>
      <c r="K580" s="15" t="n">
        <f aca="false">J580*(1+IF(K$3&lt;=$O$2,$D580,$D580-($D580-$I$562)*MIN(K$3-$O$2,$Q$2)/$Q$2))</f>
        <v>32262.6592697736</v>
      </c>
      <c r="L580" s="15" t="n">
        <f aca="false">K580*(1+IF(L$3&lt;=$O$2,$D580,$D580-($D580-$I$562)*MIN(L$3-$O$2,$Q$2)/$Q$2))</f>
        <v>34696.0036301757</v>
      </c>
      <c r="M580" s="15" t="n">
        <f aca="false">L580*(1+IF(M$3&lt;=$O$2,$D580,$D580-($D580-$I$562)*MIN(M$3-$O$2,$Q$2)/$Q$2))</f>
        <v>36668.8692631651</v>
      </c>
      <c r="N580" s="15" t="n">
        <f aca="false">M580*(1+IF(N$3&lt;=$O$2,$D580,$D580-($D580-$I$562)*MIN(N$3-$O$2,$Q$2)/$Q$2))</f>
        <v>38073.2869559443</v>
      </c>
      <c r="O580" s="15" t="n">
        <f aca="false">SUMPRODUCT(E580:N580,1/(1+$F$562)^$E$3:$N$3)*$E$2</f>
        <v>51510.2667914781</v>
      </c>
      <c r="P580" s="15" t="n">
        <f aca="false">N580*$E$2*(1+$I$562)/($F$562-$I$562)/(1+$F$562)^$N$3</f>
        <v>80959.3906245029</v>
      </c>
      <c r="Q580" s="15" t="n">
        <f aca="false">O580+P580</f>
        <v>132469.657415981</v>
      </c>
      <c r="R580" s="15" t="n">
        <f aca="false">Q580-$G$2+$I$2</f>
        <v>120849.657415981</v>
      </c>
      <c r="S580" s="40" t="n">
        <f aca="false">R580/$K$2</f>
        <v>409.979500681823</v>
      </c>
      <c r="T580" s="41" t="n">
        <f aca="false">S580-$M$2</f>
        <v>-0.00116220788743249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0.131107330322266</v>
      </c>
      <c r="C581" s="25" t="n">
        <f aca="false">IF(T580&gt;0,D580,C580)</f>
        <v>0.131118774414063</v>
      </c>
      <c r="D581" s="39" t="n">
        <f aca="false">(B581+C581)/2</f>
        <v>0.131113052368164</v>
      </c>
      <c r="E581" s="15" t="n">
        <f aca="false">$C$2*(1+IF(E$3&lt;=$O$2,$D581,$D581-($D581-$I$562)*MIN(E$3-$O$2,$Q$2)/$Q$2))</f>
        <v>16194.145570755</v>
      </c>
      <c r="F581" s="15" t="n">
        <f aca="false">E581*(1+IF(F$3&lt;=$O$2,$D581,$D581-($D581-$I$562)*MIN(F$3-$O$2,$Q$2)/$Q$2))</f>
        <v>18317.4094270311</v>
      </c>
      <c r="G581" s="15" t="n">
        <f aca="false">F581*(1+IF(G$3&lt;=$O$2,$D581,$D581-($D581-$I$562)*MIN(G$3-$O$2,$Q$2)/$Q$2))</f>
        <v>20719.0608884865</v>
      </c>
      <c r="H581" s="15" t="n">
        <f aca="false">G581*(1+IF(H$3&lt;=$O$2,$D581,$D581-($D581-$I$562)*MIN(H$3-$O$2,$Q$2)/$Q$2))</f>
        <v>23435.6002037778</v>
      </c>
      <c r="I581" s="15" t="n">
        <f aca="false">H581*(1+IF(I$3&lt;=$O$2,$D581,$D581-($D581-$I$562)*MIN(I$3-$O$2,$Q$2)/$Q$2))</f>
        <v>26508.3132805751</v>
      </c>
      <c r="J581" s="15" t="n">
        <f aca="false">I581*(1+IF(J$3&lt;=$O$2,$D581,$D581-($D581-$I$562)*MIN(J$3-$O$2,$Q$2)/$Q$2))</f>
        <v>29491.8356541825</v>
      </c>
      <c r="K581" s="15" t="n">
        <f aca="false">J581*(1+IF(K$3&lt;=$O$2,$D581,$D581-($D581-$I$562)*MIN(K$3-$O$2,$Q$2)/$Q$2))</f>
        <v>32263.7093319406</v>
      </c>
      <c r="L581" s="15" t="n">
        <f aca="false">K581*(1+IF(L$3&lt;=$O$2,$D581,$D581-($D581-$I$562)*MIN(L$3-$O$2,$Q$2)/$Q$2))</f>
        <v>34697.2067368806</v>
      </c>
      <c r="M581" s="15" t="n">
        <f aca="false">L581*(1+IF(M$3&lt;=$O$2,$D581,$D581-($D581-$I$562)*MIN(M$3-$O$2,$Q$2)/$Q$2))</f>
        <v>36670.180488083</v>
      </c>
      <c r="N581" s="15" t="n">
        <f aca="false">M581*(1+IF(N$3&lt;=$O$2,$D581,$D581-($D581-$I$562)*MIN(N$3-$O$2,$Q$2)/$Q$2))</f>
        <v>38074.6484007766</v>
      </c>
      <c r="O581" s="15" t="n">
        <f aca="false">SUMPRODUCT(E581:N581,1/(1+$F$562)^$E$3:$N$3)*$E$2</f>
        <v>51511.5340857714</v>
      </c>
      <c r="P581" s="15" t="n">
        <f aca="false">N581*$E$2*(1+$I$562)/($F$562-$I$562)/(1+$F$562)^$N$3</f>
        <v>80962.2856134256</v>
      </c>
      <c r="Q581" s="15" t="n">
        <f aca="false">O581+P581</f>
        <v>132473.819699197</v>
      </c>
      <c r="R581" s="15" t="n">
        <f aca="false">Q581-$G$2+$I$2</f>
        <v>120853.819699197</v>
      </c>
      <c r="S581" s="40" t="n">
        <f aca="false">R581/$K$2</f>
        <v>409.993621125613</v>
      </c>
      <c r="T581" s="41" t="n">
        <f aca="false">S581-$M$2</f>
        <v>0.012958235902488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0.131107330322266</v>
      </c>
      <c r="C582" s="25" t="n">
        <f aca="false">IF(T581&gt;0,D581,C581)</f>
        <v>0.131113052368164</v>
      </c>
      <c r="D582" s="39" t="n">
        <f aca="false">(B582+C582)/2</f>
        <v>0.131110191345215</v>
      </c>
      <c r="E582" s="15" t="n">
        <f aca="false">$C$2*(1+IF(E$3&lt;=$O$2,$D582,$D582-($D582-$I$562)*MIN(E$3-$O$2,$Q$2)/$Q$2))</f>
        <v>16194.1046094894</v>
      </c>
      <c r="F582" s="15" t="n">
        <f aca="false">E582*(1+IF(F$3&lt;=$O$2,$D582,$D582-($D582-$I$562)*MIN(F$3-$O$2,$Q$2)/$Q$2))</f>
        <v>18317.316763504</v>
      </c>
      <c r="G582" s="15" t="n">
        <f aca="false">F582*(1+IF(G$3&lt;=$O$2,$D582,$D582-($D582-$I$562)*MIN(G$3-$O$2,$Q$2)/$Q$2))</f>
        <v>20718.903669298</v>
      </c>
      <c r="H582" s="15" t="n">
        <f aca="false">G582*(1+IF(H$3&lt;=$O$2,$D582,$D582-($D582-$I$562)*MIN(H$3-$O$2,$Q$2)/$Q$2))</f>
        <v>23435.3630938427</v>
      </c>
      <c r="I582" s="15" t="n">
        <f aca="false">H582*(1+IF(I$3&lt;=$O$2,$D582,$D582-($D582-$I$562)*MIN(I$3-$O$2,$Q$2)/$Q$2))</f>
        <v>26507.978033321</v>
      </c>
      <c r="J582" s="15" t="n">
        <f aca="false">I582*(1+IF(J$3&lt;=$O$2,$D582,$D582-($D582-$I$562)*MIN(J$3-$O$2,$Q$2)/$Q$2))</f>
        <v>29491.402002755</v>
      </c>
      <c r="K582" s="15" t="n">
        <f aca="false">J582*(1+IF(K$3&lt;=$O$2,$D582,$D582-($D582-$I$562)*MIN(K$3-$O$2,$Q$2)/$Q$2))</f>
        <v>32263.1842972091</v>
      </c>
      <c r="L582" s="15" t="n">
        <f aca="false">K582*(1+IF(L$3&lt;=$O$2,$D582,$D582-($D582-$I$562)*MIN(L$3-$O$2,$Q$2)/$Q$2))</f>
        <v>34696.6051790042</v>
      </c>
      <c r="M582" s="15" t="n">
        <f aca="false">L582*(1+IF(M$3&lt;=$O$2,$D582,$D582-($D582-$I$562)*MIN(M$3-$O$2,$Q$2)/$Q$2))</f>
        <v>36669.5248704986</v>
      </c>
      <c r="N582" s="15" t="n">
        <f aca="false">M582*(1+IF(N$3&lt;=$O$2,$D582,$D582-($D582-$I$562)*MIN(N$3-$O$2,$Q$2)/$Q$2))</f>
        <v>38073.9676730387</v>
      </c>
      <c r="O582" s="15" t="n">
        <f aca="false">SUMPRODUCT(E582:N582,1/(1+$F$562)^$E$3:$N$3)*$E$2</f>
        <v>51510.9004347751</v>
      </c>
      <c r="P582" s="15" t="n">
        <f aca="false">N582*$E$2*(1+$I$562)/($F$562-$I$562)/(1+$F$562)^$N$3</f>
        <v>80960.838107648</v>
      </c>
      <c r="Q582" s="15" t="n">
        <f aca="false">O582+P582</f>
        <v>132471.738542423</v>
      </c>
      <c r="R582" s="15" t="n">
        <f aca="false">Q582-$G$2+$I$2</f>
        <v>120851.738542423</v>
      </c>
      <c r="S582" s="40" t="n">
        <f aca="false">R582/$K$2</f>
        <v>409.986560852269</v>
      </c>
      <c r="T582" s="41" t="n">
        <f aca="false">S582-$M$2</f>
        <v>0.00589796255792408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0.131107330322266</v>
      </c>
      <c r="C583" s="25" t="n">
        <f aca="false">IF(T582&gt;0,D582,C582)</f>
        <v>0.131110191345215</v>
      </c>
      <c r="D583" s="39" t="n">
        <f aca="false">(B583+C583)/2</f>
        <v>0.13110876083374</v>
      </c>
      <c r="E583" s="15" t="n">
        <f aca="false">$C$2*(1+IF(E$3&lt;=$O$2,$D583,$D583-($D583-$I$562)*MIN(E$3-$O$2,$Q$2)/$Q$2))</f>
        <v>16194.0841288567</v>
      </c>
      <c r="F583" s="15" t="n">
        <f aca="false">E583*(1+IF(F$3&lt;=$O$2,$D583,$D583-($D583-$I$562)*MIN(F$3-$O$2,$Q$2)/$Q$2))</f>
        <v>18317.2704318284</v>
      </c>
      <c r="G583" s="15" t="n">
        <f aca="false">F583*(1+IF(G$3&lt;=$O$2,$D583,$D583-($D583-$I$562)*MIN(G$3-$O$2,$Q$2)/$Q$2))</f>
        <v>20718.8250600019</v>
      </c>
      <c r="H583" s="15" t="n">
        <f aca="false">G583*(1+IF(H$3&lt;=$O$2,$D583,$D583-($D583-$I$562)*MIN(H$3-$O$2,$Q$2)/$Q$2))</f>
        <v>23435.2445395498</v>
      </c>
      <c r="I583" s="15" t="n">
        <f aca="false">H583*(1+IF(I$3&lt;=$O$2,$D583,$D583-($D583-$I$562)*MIN(I$3-$O$2,$Q$2)/$Q$2))</f>
        <v>26507.8104109659</v>
      </c>
      <c r="J583" s="15" t="n">
        <f aca="false">I583*(1+IF(J$3&lt;=$O$2,$D583,$D583-($D583-$I$562)*MIN(J$3-$O$2,$Q$2)/$Q$2))</f>
        <v>29491.1851790318</v>
      </c>
      <c r="K583" s="15" t="n">
        <f aca="false">J583*(1+IF(K$3&lt;=$O$2,$D583,$D583-($D583-$I$562)*MIN(K$3-$O$2,$Q$2)/$Q$2))</f>
        <v>32262.9217825793</v>
      </c>
      <c r="L583" s="15" t="n">
        <f aca="false">K583*(1+IF(L$3&lt;=$O$2,$D583,$D583-($D583-$I$562)*MIN(L$3-$O$2,$Q$2)/$Q$2))</f>
        <v>34696.304403459</v>
      </c>
      <c r="M583" s="15" t="n">
        <f aca="false">L583*(1+IF(M$3&lt;=$O$2,$D583,$D583-($D583-$I$562)*MIN(M$3-$O$2,$Q$2)/$Q$2))</f>
        <v>36669.1970655505</v>
      </c>
      <c r="N583" s="15" t="n">
        <f aca="false">M583*(1+IF(N$3&lt;=$O$2,$D583,$D583-($D583-$I$562)*MIN(N$3-$O$2,$Q$2)/$Q$2))</f>
        <v>38073.6273131611</v>
      </c>
      <c r="O583" s="15" t="n">
        <f aca="false">SUMPRODUCT(E583:N583,1/(1+$F$562)^$E$3:$N$3)*$E$2</f>
        <v>51510.5836121642</v>
      </c>
      <c r="P583" s="15" t="n">
        <f aca="false">N583*$E$2*(1+$I$562)/($F$562-$I$562)/(1+$F$562)^$N$3</f>
        <v>80960.1143632464</v>
      </c>
      <c r="Q583" s="15" t="n">
        <f aca="false">O583+P583</f>
        <v>132470.697975411</v>
      </c>
      <c r="R583" s="15" t="n">
        <f aca="false">Q583-$G$2+$I$2</f>
        <v>120850.697975411</v>
      </c>
      <c r="S583" s="40" t="n">
        <f aca="false">R583/$K$2</f>
        <v>409.983030754183</v>
      </c>
      <c r="T583" s="41" t="n">
        <f aca="false">S583-$M$2</f>
        <v>0.00236786447277382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0.131107330322266</v>
      </c>
      <c r="C584" s="25" t="n">
        <f aca="false">IF(T583&gt;0,D583,C583)</f>
        <v>0.13110876083374</v>
      </c>
      <c r="D584" s="39" t="n">
        <f aca="false">(B584+C584)/2</f>
        <v>0.131108045578003</v>
      </c>
      <c r="E584" s="15" t="n">
        <f aca="false">$C$2*(1+IF(E$3&lt;=$O$2,$D584,$D584-($D584-$I$562)*MIN(E$3-$O$2,$Q$2)/$Q$2))</f>
        <v>16194.0738885403</v>
      </c>
      <c r="F584" s="15" t="n">
        <f aca="false">E584*(1+IF(F$3&lt;=$O$2,$D584,$D584-($D584-$I$562)*MIN(F$3-$O$2,$Q$2)/$Q$2))</f>
        <v>18317.2472660126</v>
      </c>
      <c r="G584" s="15" t="n">
        <f aca="false">F584*(1+IF(G$3&lt;=$O$2,$D584,$D584-($D584-$I$562)*MIN(G$3-$O$2,$Q$2)/$Q$2))</f>
        <v>20718.7857554285</v>
      </c>
      <c r="H584" s="15" t="n">
        <f aca="false">G584*(1+IF(H$3&lt;=$O$2,$D584,$D584-($D584-$I$562)*MIN(H$3-$O$2,$Q$2)/$Q$2))</f>
        <v>23435.1852625721</v>
      </c>
      <c r="I584" s="15" t="n">
        <f aca="false">H584*(1+IF(I$3&lt;=$O$2,$D584,$D584-($D584-$I$562)*MIN(I$3-$O$2,$Q$2)/$Q$2))</f>
        <v>26507.7266001063</v>
      </c>
      <c r="J584" s="15" t="n">
        <f aca="false">I584*(1+IF(J$3&lt;=$O$2,$D584,$D584-($D584-$I$562)*MIN(J$3-$O$2,$Q$2)/$Q$2))</f>
        <v>29491.0767676679</v>
      </c>
      <c r="K584" s="15" t="n">
        <f aca="false">J584*(1+IF(K$3&lt;=$O$2,$D584,$D584-($D584-$I$562)*MIN(K$3-$O$2,$Q$2)/$Q$2))</f>
        <v>32262.7905259485</v>
      </c>
      <c r="L584" s="15" t="n">
        <f aca="false">K584*(1+IF(L$3&lt;=$O$2,$D584,$D584-($D584-$I$562)*MIN(L$3-$O$2,$Q$2)/$Q$2))</f>
        <v>34696.1540165346</v>
      </c>
      <c r="M584" s="15" t="n">
        <f aca="false">L584*(1+IF(M$3&lt;=$O$2,$D584,$D584-($D584-$I$562)*MIN(M$3-$O$2,$Q$2)/$Q$2))</f>
        <v>36669.0331640375</v>
      </c>
      <c r="N584" s="15" t="n">
        <f aca="false">M584*(1+IF(N$3&lt;=$O$2,$D584,$D584-($D584-$I$562)*MIN(N$3-$O$2,$Q$2)/$Q$2))</f>
        <v>38073.4571342201</v>
      </c>
      <c r="O584" s="15" t="n">
        <f aca="false">SUMPRODUCT(E584:N584,1/(1+$F$562)^$E$3:$N$3)*$E$2</f>
        <v>51510.4252015806</v>
      </c>
      <c r="P584" s="15" t="n">
        <f aca="false">N584*$E$2*(1+$I$562)/($F$562-$I$562)/(1+$F$562)^$N$3</f>
        <v>80959.7524931674</v>
      </c>
      <c r="Q584" s="15" t="n">
        <f aca="false">O584+P584</f>
        <v>132470.177694748</v>
      </c>
      <c r="R584" s="15" t="n">
        <f aca="false">Q584-$G$2+$I$2</f>
        <v>120850.177694748</v>
      </c>
      <c r="S584" s="40" t="n">
        <f aca="false">R584/$K$2</f>
        <v>409.981265714788</v>
      </c>
      <c r="T584" s="41" t="n">
        <f aca="false">S584-$M$2</f>
        <v>0.000602825077294256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0.131107330322266</v>
      </c>
      <c r="C585" s="25" t="n">
        <f aca="false">IF(T584&gt;0,D584,C584)</f>
        <v>0.131108045578003</v>
      </c>
      <c r="D585" s="39" t="n">
        <f aca="false">(B585+C585)/2</f>
        <v>0.131107687950134</v>
      </c>
      <c r="E585" s="15" t="n">
        <f aca="false">$C$2*(1+IF(E$3&lt;=$O$2,$D585,$D585-($D585-$I$562)*MIN(E$3-$O$2,$Q$2)/$Q$2))</f>
        <v>16194.0687683821</v>
      </c>
      <c r="F585" s="15" t="n">
        <f aca="false">E585*(1+IF(F$3&lt;=$O$2,$D585,$D585-($D585-$I$562)*MIN(F$3-$O$2,$Q$2)/$Q$2))</f>
        <v>18317.2356831101</v>
      </c>
      <c r="G585" s="15" t="n">
        <f aca="false">F585*(1+IF(G$3&lt;=$O$2,$D585,$D585-($D585-$I$562)*MIN(G$3-$O$2,$Q$2)/$Q$2))</f>
        <v>20718.7661031604</v>
      </c>
      <c r="H585" s="15" t="n">
        <f aca="false">G585*(1+IF(H$3&lt;=$O$2,$D585,$D585-($D585-$I$562)*MIN(H$3-$O$2,$Q$2)/$Q$2))</f>
        <v>23435.1556241254</v>
      </c>
      <c r="I585" s="15" t="n">
        <f aca="false">H585*(1+IF(I$3&lt;=$O$2,$D585,$D585-($D585-$I$562)*MIN(I$3-$O$2,$Q$2)/$Q$2))</f>
        <v>26507.684694756</v>
      </c>
      <c r="J585" s="15" t="n">
        <f aca="false">I585*(1+IF(J$3&lt;=$O$2,$D585,$D585-($D585-$I$562)*MIN(J$3-$O$2,$Q$2)/$Q$2))</f>
        <v>29491.0225621104</v>
      </c>
      <c r="K585" s="15" t="n">
        <f aca="false">J585*(1+IF(K$3&lt;=$O$2,$D585,$D585-($D585-$I$562)*MIN(K$3-$O$2,$Q$2)/$Q$2))</f>
        <v>32262.724897804</v>
      </c>
      <c r="L585" s="15" t="n">
        <f aca="false">K585*(1+IF(L$3&lt;=$O$2,$D585,$D585-($D585-$I$562)*MIN(L$3-$O$2,$Q$2)/$Q$2))</f>
        <v>34696.0788232845</v>
      </c>
      <c r="M585" s="15" t="n">
        <f aca="false">L585*(1+IF(M$3&lt;=$O$2,$D585,$D585-($D585-$I$562)*MIN(M$3-$O$2,$Q$2)/$Q$2))</f>
        <v>36668.9512135212</v>
      </c>
      <c r="N585" s="15" t="n">
        <f aca="false">M585*(1+IF(N$3&lt;=$O$2,$D585,$D585-($D585-$I$562)*MIN(N$3-$O$2,$Q$2)/$Q$2))</f>
        <v>38073.372044999</v>
      </c>
      <c r="O585" s="15" t="n">
        <f aca="false">SUMPRODUCT(E585:N585,1/(1+$F$562)^$E$3:$N$3)*$E$2</f>
        <v>51510.3459964692</v>
      </c>
      <c r="P585" s="15" t="n">
        <f aca="false">N585*$E$2*(1+$I$562)/($F$562-$I$562)/(1+$F$562)^$N$3</f>
        <v>80959.5715586583</v>
      </c>
      <c r="Q585" s="15" t="n">
        <f aca="false">O585+P585</f>
        <v>132469.917555128</v>
      </c>
      <c r="R585" s="15" t="n">
        <f aca="false">Q585-$G$2+$I$2</f>
        <v>120849.917555128</v>
      </c>
      <c r="S585" s="40" t="n">
        <f aca="false">R585/$K$2</f>
        <v>409.980383197501</v>
      </c>
      <c r="T585" s="41" t="n">
        <f aca="false">S585-$M$2</f>
        <v>-0.000279692209119276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0.131107687950134</v>
      </c>
      <c r="C586" s="25" t="n">
        <f aca="false">IF(T585&gt;0,D585,C585)</f>
        <v>0.131108045578003</v>
      </c>
      <c r="D586" s="39" t="n">
        <f aca="false">(B586+C586)/2</f>
        <v>0.131107866764069</v>
      </c>
      <c r="E586" s="15" t="n">
        <f aca="false">$C$2*(1+IF(E$3&lt;=$O$2,$D586,$D586-($D586-$I$562)*MIN(E$3-$O$2,$Q$2)/$Q$2))</f>
        <v>16194.0713284612</v>
      </c>
      <c r="F586" s="15" t="n">
        <f aca="false">E586*(1+IF(F$3&lt;=$O$2,$D586,$D586-($D586-$I$562)*MIN(F$3-$O$2,$Q$2)/$Q$2))</f>
        <v>18317.2414745609</v>
      </c>
      <c r="G586" s="15" t="n">
        <f aca="false">F586*(1+IF(G$3&lt;=$O$2,$D586,$D586-($D586-$I$562)*MIN(G$3-$O$2,$Q$2)/$Q$2))</f>
        <v>20718.7759292929</v>
      </c>
      <c r="H586" s="15" t="n">
        <f aca="false">G586*(1+IF(H$3&lt;=$O$2,$D586,$D586-($D586-$I$562)*MIN(H$3-$O$2,$Q$2)/$Q$2))</f>
        <v>23435.1704433452</v>
      </c>
      <c r="I586" s="15" t="n">
        <f aca="false">H586*(1+IF(I$3&lt;=$O$2,$D586,$D586-($D586-$I$562)*MIN(I$3-$O$2,$Q$2)/$Q$2))</f>
        <v>26507.7056474245</v>
      </c>
      <c r="J586" s="15" t="n">
        <f aca="false">I586*(1+IF(J$3&lt;=$O$2,$D586,$D586-($D586-$I$562)*MIN(J$3-$O$2,$Q$2)/$Q$2))</f>
        <v>29491.0496648788</v>
      </c>
      <c r="K586" s="15" t="n">
        <f aca="false">J586*(1+IF(K$3&lt;=$O$2,$D586,$D586-($D586-$I$562)*MIN(K$3-$O$2,$Q$2)/$Q$2))</f>
        <v>32262.757711862</v>
      </c>
      <c r="L586" s="15" t="n">
        <f aca="false">K586*(1+IF(L$3&lt;=$O$2,$D586,$D586-($D586-$I$562)*MIN(L$3-$O$2,$Q$2)/$Q$2))</f>
        <v>34696.1164198919</v>
      </c>
      <c r="M586" s="15" t="n">
        <f aca="false">L586*(1+IF(M$3&lt;=$O$2,$D586,$D586-($D586-$I$562)*MIN(M$3-$O$2,$Q$2)/$Q$2))</f>
        <v>36668.9921887593</v>
      </c>
      <c r="N586" s="15" t="n">
        <f aca="false">M586*(1+IF(N$3&lt;=$O$2,$D586,$D586-($D586-$I$562)*MIN(N$3-$O$2,$Q$2)/$Q$2))</f>
        <v>38073.4145895888</v>
      </c>
      <c r="O586" s="15" t="n">
        <f aca="false">SUMPRODUCT(E586:N586,1/(1+$F$562)^$E$3:$N$3)*$E$2</f>
        <v>51510.3855990098</v>
      </c>
      <c r="P586" s="15" t="n">
        <f aca="false">N586*$E$2*(1+$I$562)/($F$562-$I$562)/(1+$F$562)^$N$3</f>
        <v>80959.6620258687</v>
      </c>
      <c r="Q586" s="15" t="n">
        <f aca="false">O586+P586</f>
        <v>132470.047624879</v>
      </c>
      <c r="R586" s="15" t="n">
        <f aca="false">Q586-$G$2+$I$2</f>
        <v>120850.047624879</v>
      </c>
      <c r="S586" s="40" t="n">
        <f aca="false">R586/$K$2</f>
        <v>409.980824455944</v>
      </c>
      <c r="T586" s="41" t="n">
        <f aca="false">S586-$M$2</f>
        <v>0.000161566233089161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0.131107687950134</v>
      </c>
      <c r="C587" s="25" t="n">
        <f aca="false">IF(T586&gt;0,D586,C586)</f>
        <v>0.131107866764069</v>
      </c>
      <c r="D587" s="39" t="n">
        <f aca="false">(B587+C587)/2</f>
        <v>0.131107777357101</v>
      </c>
      <c r="E587" s="15" t="n">
        <f aca="false">$C$2*(1+IF(E$3&lt;=$O$2,$D587,$D587-($D587-$I$562)*MIN(E$3-$O$2,$Q$2)/$Q$2))</f>
        <v>16194.0700484216</v>
      </c>
      <c r="F587" s="15" t="n">
        <f aca="false">E587*(1+IF(F$3&lt;=$O$2,$D587,$D587-($D587-$I$562)*MIN(F$3-$O$2,$Q$2)/$Q$2))</f>
        <v>18317.2385788354</v>
      </c>
      <c r="G587" s="15" t="n">
        <f aca="false">F587*(1+IF(G$3&lt;=$O$2,$D587,$D587-($D587-$I$562)*MIN(G$3-$O$2,$Q$2)/$Q$2))</f>
        <v>20718.7710162263</v>
      </c>
      <c r="H587" s="15" t="n">
        <f aca="false">G587*(1+IF(H$3&lt;=$O$2,$D587,$D587-($D587-$I$562)*MIN(H$3-$O$2,$Q$2)/$Q$2))</f>
        <v>23435.1630337344</v>
      </c>
      <c r="I587" s="15" t="n">
        <f aca="false">H587*(1+IF(I$3&lt;=$O$2,$D587,$D587-($D587-$I$562)*MIN(I$3-$O$2,$Q$2)/$Q$2))</f>
        <v>26507.6951710886</v>
      </c>
      <c r="J587" s="15" t="n">
        <f aca="false">I587*(1+IF(J$3&lt;=$O$2,$D587,$D587-($D587-$I$562)*MIN(J$3-$O$2,$Q$2)/$Q$2))</f>
        <v>29491.036113492</v>
      </c>
      <c r="K587" s="15" t="n">
        <f aca="false">J587*(1+IF(K$3&lt;=$O$2,$D587,$D587-($D587-$I$562)*MIN(K$3-$O$2,$Q$2)/$Q$2))</f>
        <v>32262.7413048294</v>
      </c>
      <c r="L587" s="15" t="n">
        <f aca="false">K587*(1+IF(L$3&lt;=$O$2,$D587,$D587-($D587-$I$562)*MIN(L$3-$O$2,$Q$2)/$Q$2))</f>
        <v>34696.0976215838</v>
      </c>
      <c r="M587" s="15" t="n">
        <f aca="false">L587*(1+IF(M$3&lt;=$O$2,$D587,$D587-($D587-$I$562)*MIN(M$3-$O$2,$Q$2)/$Q$2))</f>
        <v>36668.9717011353</v>
      </c>
      <c r="N587" s="15" t="n">
        <f aca="false">M587*(1+IF(N$3&lt;=$O$2,$D587,$D587-($D587-$I$562)*MIN(N$3-$O$2,$Q$2)/$Q$2))</f>
        <v>38073.3933172887</v>
      </c>
      <c r="O587" s="15" t="n">
        <f aca="false">SUMPRODUCT(E587:N587,1/(1+$F$562)^$E$3:$N$3)*$E$2</f>
        <v>51510.3657977357</v>
      </c>
      <c r="P587" s="15" t="n">
        <f aca="false">N587*$E$2*(1+$I$562)/($F$562-$I$562)/(1+$F$562)^$N$3</f>
        <v>80959.6167922525</v>
      </c>
      <c r="Q587" s="15" t="n">
        <f aca="false">O587+P587</f>
        <v>132469.982589988</v>
      </c>
      <c r="R587" s="15" t="n">
        <f aca="false">Q587-$G$2+$I$2</f>
        <v>120849.982589988</v>
      </c>
      <c r="S587" s="40" t="n">
        <f aca="false">R587/$K$2</f>
        <v>409.980603826672</v>
      </c>
      <c r="T587" s="41" t="n">
        <f aca="false">S587-$M$2</f>
        <v>-5.90630382930613E-005</v>
      </c>
    </row>
    <row r="589" customFormat="false" ht="15" hidden="false" customHeight="false" outlineLevel="0" collapsed="false">
      <c r="A589" s="36" t="s">
        <v>195</v>
      </c>
      <c r="E589" s="5" t="s">
        <v>11</v>
      </c>
      <c r="F589" s="12" t="n">
        <f aca="false">Sensitivity!$B$14</f>
        <v>0.104891906448909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6" t="s">
        <v>155</v>
      </c>
      <c r="B590" s="28" t="s">
        <v>156</v>
      </c>
      <c r="C590" s="28" t="s">
        <v>157</v>
      </c>
      <c r="D590" s="28" t="s">
        <v>158</v>
      </c>
      <c r="E590" s="28" t="s">
        <v>159</v>
      </c>
      <c r="F590" s="28" t="s">
        <v>160</v>
      </c>
      <c r="G590" s="28" t="s">
        <v>161</v>
      </c>
      <c r="H590" s="28" t="s">
        <v>162</v>
      </c>
      <c r="I590" s="28" t="s">
        <v>163</v>
      </c>
      <c r="J590" s="28" t="s">
        <v>164</v>
      </c>
      <c r="K590" s="28" t="s">
        <v>165</v>
      </c>
      <c r="L590" s="28" t="s">
        <v>166</v>
      </c>
      <c r="M590" s="28" t="s">
        <v>167</v>
      </c>
      <c r="N590" s="28" t="s">
        <v>168</v>
      </c>
      <c r="O590" s="28" t="s">
        <v>169</v>
      </c>
      <c r="P590" s="28" t="s">
        <v>170</v>
      </c>
      <c r="Q590" s="28" t="s">
        <v>171</v>
      </c>
      <c r="R590" s="28" t="s">
        <v>172</v>
      </c>
      <c r="S590" s="28" t="s">
        <v>173</v>
      </c>
      <c r="T590" s="28" t="s">
        <v>174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39" t="n">
        <f aca="false">(B591+C591)/2</f>
        <v>0.25</v>
      </c>
      <c r="E591" s="15" t="n">
        <f aca="false">$C$2*(1+IF(E$3&lt;=$O$2,$D591,$D591-($D591-$I$589)*MIN(E$3-$O$2,$Q$2)/$Q$2))</f>
        <v>17896.25</v>
      </c>
      <c r="F591" s="15" t="n">
        <f aca="false">E591*(1+IF(F$3&lt;=$O$2,$D591,$D591-($D591-$I$589)*MIN(F$3-$O$2,$Q$2)/$Q$2))</f>
        <v>22370.3125</v>
      </c>
      <c r="G591" s="15" t="n">
        <f aca="false">F591*(1+IF(G$3&lt;=$O$2,$D591,$D591-($D591-$I$589)*MIN(G$3-$O$2,$Q$2)/$Q$2))</f>
        <v>27962.890625</v>
      </c>
      <c r="H591" s="15" t="n">
        <f aca="false">G591*(1+IF(H$3&lt;=$O$2,$D591,$D591-($D591-$I$589)*MIN(H$3-$O$2,$Q$2)/$Q$2))</f>
        <v>34953.61328125</v>
      </c>
      <c r="I591" s="15" t="n">
        <f aca="false">H591*(1+IF(I$3&lt;=$O$2,$D591,$D591-($D591-$I$589)*MIN(I$3-$O$2,$Q$2)/$Q$2))</f>
        <v>43692.0166015625</v>
      </c>
      <c r="J591" s="15" t="n">
        <f aca="false">I591*(1+IF(J$3&lt;=$O$2,$D591,$D591-($D591-$I$589)*MIN(J$3-$O$2,$Q$2)/$Q$2))</f>
        <v>52590.3327026367</v>
      </c>
      <c r="K591" s="15" t="n">
        <f aca="false">J591*(1+IF(K$3&lt;=$O$2,$D591,$D591-($D591-$I$589)*MIN(K$3-$O$2,$Q$2)/$Q$2))</f>
        <v>60863.8438434155</v>
      </c>
      <c r="L591" s="15" t="n">
        <f aca="false">K591*(1+IF(L$3&lt;=$O$2,$D591,$D591-($D591-$I$589)*MIN(L$3-$O$2,$Q$2)/$Q$2))</f>
        <v>67618.5132331578</v>
      </c>
      <c r="M591" s="15" t="n">
        <f aca="false">L591*(1+IF(M$3&lt;=$O$2,$D591,$D591-($D591-$I$589)*MIN(M$3-$O$2,$Q$2)/$Q$2))</f>
        <v>71989.3739285491</v>
      </c>
      <c r="N591" s="15" t="n">
        <f aca="false">M591*(1+IF(N$3&lt;=$O$2,$D591,$D591-($D591-$I$589)*MIN(N$3-$O$2,$Q$2)/$Q$2))</f>
        <v>73306.7794714416</v>
      </c>
      <c r="O591" s="15" t="n">
        <f aca="false">SUMPRODUCT(E591:N591,1/(1+$F$589)^$E$3:$N$3)*$E$2</f>
        <v>82117.6909569833</v>
      </c>
      <c r="P591" s="15" t="n">
        <f aca="false">N591*$E$2*(1+$I$589)/($F$589-$I$589)/(1+$F$589)^$N$3</f>
        <v>103918.381566032</v>
      </c>
      <c r="Q591" s="15" t="n">
        <f aca="false">O591+P591</f>
        <v>186036.072523015</v>
      </c>
      <c r="R591" s="15" t="n">
        <f aca="false">Q591-$G$2+$I$2</f>
        <v>174416.072523015</v>
      </c>
      <c r="S591" s="40" t="n">
        <f aca="false">R591/$K$2</f>
        <v>591.702250985566</v>
      </c>
      <c r="T591" s="41" t="n">
        <f aca="false">S591-$M$2</f>
        <v>181.721588095855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39" t="n">
        <f aca="false">(B592+C592)/2</f>
        <v>-0.125</v>
      </c>
      <c r="E592" s="15" t="n">
        <f aca="false">$C$2*(1+IF(E$3&lt;=$O$2,$D592,$D592-($D592-$I$589)*MIN(E$3-$O$2,$Q$2)/$Q$2))</f>
        <v>12527.375</v>
      </c>
      <c r="F592" s="15" t="n">
        <f aca="false">E592*(1+IF(F$3&lt;=$O$2,$D592,$D592-($D592-$I$589)*MIN(F$3-$O$2,$Q$2)/$Q$2))</f>
        <v>10961.453125</v>
      </c>
      <c r="G592" s="15" t="n">
        <f aca="false">F592*(1+IF(G$3&lt;=$O$2,$D592,$D592-($D592-$I$589)*MIN(G$3-$O$2,$Q$2)/$Q$2))</f>
        <v>9591.271484375</v>
      </c>
      <c r="H592" s="15" t="n">
        <f aca="false">G592*(1+IF(H$3&lt;=$O$2,$D592,$D592-($D592-$I$589)*MIN(H$3-$O$2,$Q$2)/$Q$2))</f>
        <v>8392.36254882813</v>
      </c>
      <c r="I592" s="15" t="n">
        <f aca="false">H592*(1+IF(I$3&lt;=$O$2,$D592,$D592-($D592-$I$589)*MIN(I$3-$O$2,$Q$2)/$Q$2))</f>
        <v>7343.31723022461</v>
      </c>
      <c r="J592" s="15" t="n">
        <f aca="false">I592*(1+IF(J$3&lt;=$O$2,$D592,$D592-($D592-$I$589)*MIN(J$3-$O$2,$Q$2)/$Q$2))</f>
        <v>6635.86204826477</v>
      </c>
      <c r="K592" s="15" t="n">
        <f aca="false">J592*(1+IF(K$3&lt;=$O$2,$D592,$D592-($D592-$I$589)*MIN(K$3-$O$2,$Q$2)/$Q$2))</f>
        <v>6186.74690483821</v>
      </c>
      <c r="L592" s="15" t="n">
        <f aca="false">K592*(1+IF(L$3&lt;=$O$2,$D592,$D592-($D592-$I$589)*MIN(L$3-$O$2,$Q$2)/$Q$2))</f>
        <v>5945.34004061142</v>
      </c>
      <c r="M592" s="15" t="n">
        <f aca="false">L592*(1+IF(M$3&lt;=$O$2,$D592,$D592-($D592-$I$589)*MIN(M$3-$O$2,$Q$2)/$Q$2))</f>
        <v>5883.74631779069</v>
      </c>
      <c r="N592" s="15" t="n">
        <f aca="false">M592*(1+IF(N$3&lt;=$O$2,$D592,$D592-($D592-$I$589)*MIN(N$3-$O$2,$Q$2)/$Q$2))</f>
        <v>5991.41887540626</v>
      </c>
      <c r="O592" s="15" t="n">
        <f aca="false">SUMPRODUCT(E592:N592,1/(1+$F$589)^$E$3:$N$3)*$E$2</f>
        <v>16841.8496423669</v>
      </c>
      <c r="P592" s="15" t="n">
        <f aca="false">N592*$E$2*(1+$I$589)/($F$589-$I$589)/(1+$F$589)^$N$3</f>
        <v>8493.32841117308</v>
      </c>
      <c r="Q592" s="15" t="n">
        <f aca="false">O592+P592</f>
        <v>25335.17805354</v>
      </c>
      <c r="R592" s="15" t="n">
        <f aca="false">Q592-$G$2+$I$2</f>
        <v>13715.17805354</v>
      </c>
      <c r="S592" s="40" t="n">
        <f aca="false">R592/$K$2</f>
        <v>46.5284053789055</v>
      </c>
      <c r="T592" s="41" t="n">
        <f aca="false">S592-$M$2</f>
        <v>-363.452257510805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39" t="n">
        <f aca="false">(B593+C593)/2</f>
        <v>0.0625</v>
      </c>
      <c r="E593" s="15" t="n">
        <f aca="false">$C$2*(1+IF(E$3&lt;=$O$2,$D593,$D593-($D593-$I$589)*MIN(E$3-$O$2,$Q$2)/$Q$2))</f>
        <v>15211.8125</v>
      </c>
      <c r="F593" s="15" t="n">
        <f aca="false">E593*(1+IF(F$3&lt;=$O$2,$D593,$D593-($D593-$I$589)*MIN(F$3-$O$2,$Q$2)/$Q$2))</f>
        <v>16162.55078125</v>
      </c>
      <c r="G593" s="15" t="n">
        <f aca="false">F593*(1+IF(G$3&lt;=$O$2,$D593,$D593-($D593-$I$589)*MIN(G$3-$O$2,$Q$2)/$Q$2))</f>
        <v>17172.7102050781</v>
      </c>
      <c r="H593" s="15" t="n">
        <f aca="false">G593*(1+IF(H$3&lt;=$O$2,$D593,$D593-($D593-$I$589)*MIN(H$3-$O$2,$Q$2)/$Q$2))</f>
        <v>18246.0045928955</v>
      </c>
      <c r="I593" s="15" t="n">
        <f aca="false">H593*(1+IF(I$3&lt;=$O$2,$D593,$D593-($D593-$I$589)*MIN(I$3-$O$2,$Q$2)/$Q$2))</f>
        <v>19386.3798799515</v>
      </c>
      <c r="J593" s="15" t="n">
        <f aca="false">I593*(1+IF(J$3&lt;=$O$2,$D593,$D593-($D593-$I$589)*MIN(J$3-$O$2,$Q$2)/$Q$2))</f>
        <v>20426.6530243097</v>
      </c>
      <c r="K593" s="15" t="n">
        <f aca="false">J593*(1+IF(K$3&lt;=$O$2,$D593,$D593-($D593-$I$589)*MIN(K$3-$O$2,$Q$2)/$Q$2))</f>
        <v>21342.1756128592</v>
      </c>
      <c r="L593" s="15" t="n">
        <f aca="false">K593*(1+IF(L$3&lt;=$O$2,$D593,$D593-($D593-$I$589)*MIN(L$3-$O$2,$Q$2)/$Q$2))</f>
        <v>22110.0670914099</v>
      </c>
      <c r="M593" s="15" t="n">
        <f aca="false">L593*(1+IF(M$3&lt;=$O$2,$D593,$D593-($D593-$I$589)*MIN(M$3-$O$2,$Q$2)/$Q$2))</f>
        <v>22710.1343122708</v>
      </c>
      <c r="N593" s="15" t="n">
        <f aca="false">M593*(1+IF(N$3&lt;=$O$2,$D593,$D593-($D593-$I$589)*MIN(N$3-$O$2,$Q$2)/$Q$2))</f>
        <v>23125.7297701853</v>
      </c>
      <c r="O593" s="15" t="n">
        <f aca="false">SUMPRODUCT(E593:N593,1/(1+$F$589)^$E$3:$N$3)*$E$2</f>
        <v>37044.2393379487</v>
      </c>
      <c r="P593" s="15" t="n">
        <f aca="false">N593*$E$2*(1+$I$589)/($F$589-$I$589)/(1+$F$589)^$N$3</f>
        <v>32782.6215744109</v>
      </c>
      <c r="Q593" s="15" t="n">
        <f aca="false">O593+P593</f>
        <v>69826.8609123596</v>
      </c>
      <c r="R593" s="15" t="n">
        <f aca="false">Q593-$G$2+$I$2</f>
        <v>58206.8609123596</v>
      </c>
      <c r="S593" s="40" t="n">
        <f aca="false">R593/$K$2</f>
        <v>197.465348958034</v>
      </c>
      <c r="T593" s="41" t="n">
        <f aca="false">S593-$M$2</f>
        <v>-212.515313931677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39" t="n">
        <f aca="false">(B594+C594)/2</f>
        <v>0.15625</v>
      </c>
      <c r="E594" s="15" t="n">
        <f aca="false">$C$2*(1+IF(E$3&lt;=$O$2,$D594,$D594-($D594-$I$589)*MIN(E$3-$O$2,$Q$2)/$Q$2))</f>
        <v>16554.03125</v>
      </c>
      <c r="F594" s="15" t="n">
        <f aca="false">E594*(1+IF(F$3&lt;=$O$2,$D594,$D594-($D594-$I$589)*MIN(F$3-$O$2,$Q$2)/$Q$2))</f>
        <v>19140.5986328125</v>
      </c>
      <c r="G594" s="15" t="n">
        <f aca="false">F594*(1+IF(G$3&lt;=$O$2,$D594,$D594-($D594-$I$589)*MIN(G$3-$O$2,$Q$2)/$Q$2))</f>
        <v>22131.3171691895</v>
      </c>
      <c r="H594" s="15" t="n">
        <f aca="false">G594*(1+IF(H$3&lt;=$O$2,$D594,$D594-($D594-$I$589)*MIN(H$3-$O$2,$Q$2)/$Q$2))</f>
        <v>25589.3354768753</v>
      </c>
      <c r="I594" s="15" t="n">
        <f aca="false">H594*(1+IF(I$3&lt;=$O$2,$D594,$D594-($D594-$I$589)*MIN(I$3-$O$2,$Q$2)/$Q$2))</f>
        <v>29587.6691451371</v>
      </c>
      <c r="J594" s="15" t="n">
        <f aca="false">I594*(1+IF(J$3&lt;=$O$2,$D594,$D594-($D594-$I$589)*MIN(J$3-$O$2,$Q$2)/$Q$2))</f>
        <v>33394.4186573504</v>
      </c>
      <c r="K594" s="15" t="n">
        <f aca="false">J594*(1+IF(K$3&lt;=$O$2,$D594,$D594-($D594-$I$589)*MIN(K$3-$O$2,$Q$2)/$Q$2))</f>
        <v>36769.5925510488</v>
      </c>
      <c r="L594" s="15" t="n">
        <f aca="false">K594*(1+IF(L$3&lt;=$O$2,$D594,$D594-($D594-$I$589)*MIN(L$3-$O$2,$Q$2)/$Q$2))</f>
        <v>39471.4222116999</v>
      </c>
      <c r="M594" s="15" t="n">
        <f aca="false">L594*(1+IF(M$3&lt;=$O$2,$D594,$D594-($D594-$I$589)*MIN(M$3-$O$2,$Q$2)/$Q$2))</f>
        <v>41282.7657769948</v>
      </c>
      <c r="N594" s="15" t="n">
        <f aca="false">M594*(1+IF(N$3&lt;=$O$2,$D594,$D594-($D594-$I$589)*MIN(N$3-$O$2,$Q$2)/$Q$2))</f>
        <v>42038.2403907138</v>
      </c>
      <c r="O594" s="15" t="n">
        <f aca="false">SUMPRODUCT(E594:N594,1/(1+$F$589)^$E$3:$N$3)*$E$2</f>
        <v>55222.0837960139</v>
      </c>
      <c r="P594" s="15" t="n">
        <f aca="false">N594*$E$2*(1+$I$589)/($F$589-$I$589)/(1+$F$589)^$N$3</f>
        <v>59592.6589162008</v>
      </c>
      <c r="Q594" s="15" t="n">
        <f aca="false">O594+P594</f>
        <v>114814.742712215</v>
      </c>
      <c r="R594" s="15" t="n">
        <f aca="false">Q594-$G$2+$I$2</f>
        <v>103194.742712215</v>
      </c>
      <c r="S594" s="40" t="n">
        <f aca="false">R594/$K$2</f>
        <v>350.085635282474</v>
      </c>
      <c r="T594" s="41" t="n">
        <f aca="false">S594-$M$2</f>
        <v>-59.895027607237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0.15625</v>
      </c>
      <c r="C595" s="25" t="n">
        <f aca="false">IF(T594&gt;0,D594,C594)</f>
        <v>0.25</v>
      </c>
      <c r="D595" s="39" t="n">
        <f aca="false">(B595+C595)/2</f>
        <v>0.203125</v>
      </c>
      <c r="E595" s="15" t="n">
        <f aca="false">$C$2*(1+IF(E$3&lt;=$O$2,$D595,$D595-($D595-$I$589)*MIN(E$3-$O$2,$Q$2)/$Q$2))</f>
        <v>17225.140625</v>
      </c>
      <c r="F595" s="15" t="n">
        <f aca="false">E595*(1+IF(F$3&lt;=$O$2,$D595,$D595-($D595-$I$589)*MIN(F$3-$O$2,$Q$2)/$Q$2))</f>
        <v>20723.9973144531</v>
      </c>
      <c r="G595" s="15" t="n">
        <f aca="false">F595*(1+IF(G$3&lt;=$O$2,$D595,$D595-($D595-$I$589)*MIN(G$3-$O$2,$Q$2)/$Q$2))</f>
        <v>24933.5592689514</v>
      </c>
      <c r="H595" s="15" t="n">
        <f aca="false">G595*(1+IF(H$3&lt;=$O$2,$D595,$D595-($D595-$I$589)*MIN(H$3-$O$2,$Q$2)/$Q$2))</f>
        <v>29998.1884954572</v>
      </c>
      <c r="I595" s="15" t="n">
        <f aca="false">H595*(1+IF(I$3&lt;=$O$2,$D595,$D595-($D595-$I$589)*MIN(I$3-$O$2,$Q$2)/$Q$2))</f>
        <v>36091.5705335969</v>
      </c>
      <c r="J595" s="15" t="n">
        <f aca="false">I595*(1+IF(J$3&lt;=$O$2,$D595,$D595-($D595-$I$589)*MIN(J$3-$O$2,$Q$2)/$Q$2))</f>
        <v>42088.5458934594</v>
      </c>
      <c r="K595" s="15" t="n">
        <f aca="false">J595*(1+IF(K$3&lt;=$O$2,$D595,$D595-($D595-$I$589)*MIN(K$3-$O$2,$Q$2)/$Q$2))</f>
        <v>47526.1755801649</v>
      </c>
      <c r="L595" s="15" t="n">
        <f aca="false">K595*(1+IF(L$3&lt;=$O$2,$D595,$D595-($D595-$I$589)*MIN(L$3-$O$2,$Q$2)/$Q$2))</f>
        <v>51909.5147539235</v>
      </c>
      <c r="M595" s="15" t="n">
        <f aca="false">L595*(1+IF(M$3&lt;=$O$2,$D595,$D595-($D595-$I$589)*MIN(M$3-$O$2,$Q$2)/$Q$2))</f>
        <v>54778.294086799</v>
      </c>
      <c r="N595" s="15" t="n">
        <f aca="false">M595*(1+IF(N$3&lt;=$O$2,$D595,$D595-($D595-$I$589)*MIN(N$3-$O$2,$Q$2)/$Q$2))</f>
        <v>55780.7368685875</v>
      </c>
      <c r="O595" s="15" t="n">
        <f aca="false">SUMPRODUCT(E595:N595,1/(1+$F$589)^$E$3:$N$3)*$E$2</f>
        <v>67376.8224023325</v>
      </c>
      <c r="P595" s="15" t="n">
        <f aca="false">N595*$E$2*(1+$I$589)/($F$589-$I$589)/(1+$F$589)^$N$3</f>
        <v>79073.7765284386</v>
      </c>
      <c r="Q595" s="15" t="n">
        <f aca="false">O595+P595</f>
        <v>146450.598930771</v>
      </c>
      <c r="R595" s="15" t="n">
        <f aca="false">Q595-$G$2+$I$2</f>
        <v>134830.598930771</v>
      </c>
      <c r="S595" s="40" t="n">
        <f aca="false">R595/$K$2</f>
        <v>457.409502088988</v>
      </c>
      <c r="T595" s="41" t="n">
        <f aca="false">S595-$M$2</f>
        <v>47.4288391992779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0.15625</v>
      </c>
      <c r="C596" s="25" t="n">
        <f aca="false">IF(T595&gt;0,D595,C595)</f>
        <v>0.203125</v>
      </c>
      <c r="D596" s="39" t="n">
        <f aca="false">(B596+C596)/2</f>
        <v>0.1796875</v>
      </c>
      <c r="E596" s="15" t="n">
        <f aca="false">$C$2*(1+IF(E$3&lt;=$O$2,$D596,$D596-($D596-$I$589)*MIN(E$3-$O$2,$Q$2)/$Q$2))</f>
        <v>16889.5859375</v>
      </c>
      <c r="F596" s="15" t="n">
        <f aca="false">E596*(1+IF(F$3&lt;=$O$2,$D596,$D596-($D596-$I$589)*MIN(F$3-$O$2,$Q$2)/$Q$2))</f>
        <v>19924.4334106445</v>
      </c>
      <c r="G596" s="15" t="n">
        <f aca="false">F596*(1+IF(G$3&lt;=$O$2,$D596,$D596-($D596-$I$589)*MIN(G$3-$O$2,$Q$2)/$Q$2))</f>
        <v>23504.6050391197</v>
      </c>
      <c r="H596" s="15" t="n">
        <f aca="false">G596*(1+IF(H$3&lt;=$O$2,$D596,$D596-($D596-$I$589)*MIN(H$3-$O$2,$Q$2)/$Q$2))</f>
        <v>27728.0887570865</v>
      </c>
      <c r="I596" s="15" t="n">
        <f aca="false">H596*(1+IF(I$3&lt;=$O$2,$D596,$D596-($D596-$I$589)*MIN(I$3-$O$2,$Q$2)/$Q$2))</f>
        <v>32710.4797056255</v>
      </c>
      <c r="J596" s="15" t="n">
        <f aca="false">I596*(1+IF(J$3&lt;=$O$2,$D596,$D596-($D596-$I$589)*MIN(J$3-$O$2,$Q$2)/$Q$2))</f>
        <v>37532.3315190318</v>
      </c>
      <c r="K596" s="15" t="n">
        <f aca="false">J596*(1+IF(K$3&lt;=$O$2,$D596,$D596-($D596-$I$589)*MIN(K$3-$O$2,$Q$2)/$Q$2))</f>
        <v>41853.5226776467</v>
      </c>
      <c r="L596" s="15" t="n">
        <f aca="false">K596*(1+IF(L$3&lt;=$O$2,$D596,$D596-($D596-$I$589)*MIN(L$3-$O$2,$Q$2)/$Q$2))</f>
        <v>45321.2962991031</v>
      </c>
      <c r="M596" s="15" t="n">
        <f aca="false">L596*(1+IF(M$3&lt;=$O$2,$D596,$D596-($D596-$I$589)*MIN(M$3-$O$2,$Q$2)/$Q$2))</f>
        <v>47613.534162671</v>
      </c>
      <c r="N596" s="15" t="n">
        <f aca="false">M596*(1+IF(N$3&lt;=$O$2,$D596,$D596-($D596-$I$589)*MIN(N$3-$O$2,$Q$2)/$Q$2))</f>
        <v>48484.8618378479</v>
      </c>
      <c r="O596" s="15" t="n">
        <f aca="false">SUMPRODUCT(E596:N596,1/(1+$F$589)^$E$3:$N$3)*$E$2</f>
        <v>61004.076757646</v>
      </c>
      <c r="P596" s="15" t="n">
        <f aca="false">N596*$E$2*(1+$I$589)/($F$589-$I$589)/(1+$F$589)^$N$3</f>
        <v>68731.2743646674</v>
      </c>
      <c r="Q596" s="15" t="n">
        <f aca="false">O596+P596</f>
        <v>129735.351122313</v>
      </c>
      <c r="R596" s="15" t="n">
        <f aca="false">Q596-$G$2+$I$2</f>
        <v>118115.351122313</v>
      </c>
      <c r="S596" s="40" t="n">
        <f aca="false">R596/$K$2</f>
        <v>400.703433600141</v>
      </c>
      <c r="T596" s="41" t="n">
        <f aca="false">S596-$M$2</f>
        <v>-9.27722928956985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0.1796875</v>
      </c>
      <c r="C597" s="25" t="n">
        <f aca="false">IF(T596&gt;0,D596,C596)</f>
        <v>0.203125</v>
      </c>
      <c r="D597" s="39" t="n">
        <f aca="false">(B597+C597)/2</f>
        <v>0.19140625</v>
      </c>
      <c r="E597" s="15" t="n">
        <f aca="false">$C$2*(1+IF(E$3&lt;=$O$2,$D597,$D597-($D597-$I$589)*MIN(E$3-$O$2,$Q$2)/$Q$2))</f>
        <v>17057.36328125</v>
      </c>
      <c r="F597" s="15" t="n">
        <f aca="false">E597*(1+IF(F$3&lt;=$O$2,$D597,$D597-($D597-$I$589)*MIN(F$3-$O$2,$Q$2)/$Q$2))</f>
        <v>20322.2492218018</v>
      </c>
      <c r="G597" s="15" t="n">
        <f aca="false">F597*(1+IF(G$3&lt;=$O$2,$D597,$D597-($D597-$I$589)*MIN(G$3-$O$2,$Q$2)/$Q$2))</f>
        <v>24212.0547369123</v>
      </c>
      <c r="H597" s="15" t="n">
        <f aca="false">G597*(1+IF(H$3&lt;=$O$2,$D597,$D597-($D597-$I$589)*MIN(H$3-$O$2,$Q$2)/$Q$2))</f>
        <v>28846.3933388994</v>
      </c>
      <c r="I597" s="15" t="n">
        <f aca="false">H597*(1+IF(I$3&lt;=$O$2,$D597,$D597-($D597-$I$589)*MIN(I$3-$O$2,$Q$2)/$Q$2))</f>
        <v>34367.7733139231</v>
      </c>
      <c r="J597" s="15" t="n">
        <f aca="false">I597*(1+IF(J$3&lt;=$O$2,$D597,$D597-($D597-$I$589)*MIN(J$3-$O$2,$Q$2)/$Q$2))</f>
        <v>39756.1246529465</v>
      </c>
      <c r="K597" s="15" t="n">
        <f aca="false">J597*(1+IF(K$3&lt;=$O$2,$D597,$D597-($D597-$I$589)*MIN(K$3-$O$2,$Q$2)/$Q$2))</f>
        <v>44612.8819260179</v>
      </c>
      <c r="L597" s="15" t="n">
        <f aca="false">K597*(1+IF(L$3&lt;=$O$2,$D597,$D597-($D597-$I$589)*MIN(L$3-$O$2,$Q$2)/$Q$2))</f>
        <v>48518.4051420263</v>
      </c>
      <c r="M597" s="15" t="n">
        <f aca="false">L597*(1+IF(M$3&lt;=$O$2,$D597,$D597-($D597-$I$589)*MIN(M$3-$O$2,$Q$2)/$Q$2))</f>
        <v>51086.0597901488</v>
      </c>
      <c r="N597" s="15" t="n">
        <f aca="false">M597*(1+IF(N$3&lt;=$O$2,$D597,$D597-($D597-$I$589)*MIN(N$3-$O$2,$Q$2)/$Q$2))</f>
        <v>52020.9346843085</v>
      </c>
      <c r="O597" s="15" t="n">
        <f aca="false">SUMPRODUCT(E597:N597,1/(1+$F$589)^$E$3:$N$3)*$E$2</f>
        <v>64113.2846557233</v>
      </c>
      <c r="P597" s="15" t="n">
        <f aca="false">N597*$E$2*(1+$I$589)/($F$589-$I$589)/(1+$F$589)^$N$3</f>
        <v>73743.9480894343</v>
      </c>
      <c r="Q597" s="15" t="n">
        <f aca="false">O597+P597</f>
        <v>137857.232745158</v>
      </c>
      <c r="R597" s="15" t="n">
        <f aca="false">Q597-$G$2+$I$2</f>
        <v>126237.232745158</v>
      </c>
      <c r="S597" s="40" t="n">
        <f aca="false">R597/$K$2</f>
        <v>428.25671793316</v>
      </c>
      <c r="T597" s="41" t="n">
        <f aca="false">S597-$M$2</f>
        <v>18.2760550434497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0.1796875</v>
      </c>
      <c r="C598" s="25" t="n">
        <f aca="false">IF(T597&gt;0,D597,C597)</f>
        <v>0.19140625</v>
      </c>
      <c r="D598" s="39" t="n">
        <f aca="false">(B598+C598)/2</f>
        <v>0.185546875</v>
      </c>
      <c r="E598" s="15" t="n">
        <f aca="false">$C$2*(1+IF(E$3&lt;=$O$2,$D598,$D598-($D598-$I$589)*MIN(E$3-$O$2,$Q$2)/$Q$2))</f>
        <v>16973.474609375</v>
      </c>
      <c r="F598" s="15" t="n">
        <f aca="false">E598*(1+IF(F$3&lt;=$O$2,$D598,$D598-($D598-$I$589)*MIN(F$3-$O$2,$Q$2)/$Q$2))</f>
        <v>20122.8497810364</v>
      </c>
      <c r="G598" s="15" t="n">
        <f aca="false">F598*(1+IF(G$3&lt;=$O$2,$D598,$D598-($D598-$I$589)*MIN(G$3-$O$2,$Q$2)/$Q$2))</f>
        <v>23856.5816740021</v>
      </c>
      <c r="H598" s="15" t="n">
        <f aca="false">G598*(1+IF(H$3&lt;=$O$2,$D598,$D598-($D598-$I$589)*MIN(H$3-$O$2,$Q$2)/$Q$2))</f>
        <v>28283.0958517955</v>
      </c>
      <c r="I598" s="15" t="n">
        <f aca="false">H598*(1+IF(I$3&lt;=$O$2,$D598,$D598-($D598-$I$589)*MIN(I$3-$O$2,$Q$2)/$Q$2))</f>
        <v>33530.9359024216</v>
      </c>
      <c r="J598" s="15" t="n">
        <f aca="false">I598*(1+IF(J$3&lt;=$O$2,$D598,$D598-($D598-$I$589)*MIN(J$3-$O$2,$Q$2)/$Q$2))</f>
        <v>38630.9074258401</v>
      </c>
      <c r="K598" s="15" t="n">
        <f aca="false">J598*(1+IF(K$3&lt;=$O$2,$D598,$D598-($D598-$I$589)*MIN(K$3-$O$2,$Q$2)/$Q$2))</f>
        <v>43214.3921589647</v>
      </c>
      <c r="L598" s="15" t="n">
        <f aca="false">K598*(1+IF(L$3&lt;=$O$2,$D598,$D598-($D598-$I$589)*MIN(L$3-$O$2,$Q$2)/$Q$2))</f>
        <v>46896.2043529183</v>
      </c>
      <c r="M598" s="15" t="n">
        <f aca="false">L598*(1+IF(M$3&lt;=$O$2,$D598,$D598-($D598-$I$589)*MIN(M$3-$O$2,$Q$2)/$Q$2))</f>
        <v>49323.053618054</v>
      </c>
      <c r="N598" s="15" t="n">
        <f aca="false">M598*(1+IF(N$3&lt;=$O$2,$D598,$D598-($D598-$I$589)*MIN(N$3-$O$2,$Q$2)/$Q$2))</f>
        <v>50225.6654992644</v>
      </c>
      <c r="O598" s="15" t="n">
        <f aca="false">SUMPRODUCT(E598:N598,1/(1+$F$589)^$E$3:$N$3)*$E$2</f>
        <v>62539.8145621092</v>
      </c>
      <c r="P598" s="15" t="n">
        <f aca="false">N598*$E$2*(1+$I$589)/($F$589-$I$589)/(1+$F$589)^$N$3</f>
        <v>71199.0065501893</v>
      </c>
      <c r="Q598" s="15" t="n">
        <f aca="false">O598+P598</f>
        <v>133738.821112298</v>
      </c>
      <c r="R598" s="15" t="n">
        <f aca="false">Q598-$G$2+$I$2</f>
        <v>122118.821112298</v>
      </c>
      <c r="S598" s="40" t="n">
        <f aca="false">R598/$K$2</f>
        <v>414.285107413572</v>
      </c>
      <c r="T598" s="41" t="n">
        <f aca="false">S598-$M$2</f>
        <v>4.30444452386092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0.1796875</v>
      </c>
      <c r="C599" s="25" t="n">
        <f aca="false">IF(T598&gt;0,D598,C598)</f>
        <v>0.185546875</v>
      </c>
      <c r="D599" s="39" t="n">
        <f aca="false">(B599+C599)/2</f>
        <v>0.1826171875</v>
      </c>
      <c r="E599" s="15" t="n">
        <f aca="false">$C$2*(1+IF(E$3&lt;=$O$2,$D599,$D599-($D599-$I$589)*MIN(E$3-$O$2,$Q$2)/$Q$2))</f>
        <v>16931.5302734375</v>
      </c>
      <c r="F599" s="15" t="n">
        <f aca="false">E599*(1+IF(F$3&lt;=$O$2,$D599,$D599-($D599-$I$589)*MIN(F$3-$O$2,$Q$2)/$Q$2))</f>
        <v>20023.5187120438</v>
      </c>
      <c r="G599" s="15" t="n">
        <f aca="false">F599*(1+IF(G$3&lt;=$O$2,$D599,$D599-($D599-$I$589)*MIN(G$3-$O$2,$Q$2)/$Q$2))</f>
        <v>23680.1573830908</v>
      </c>
      <c r="H599" s="15" t="n">
        <f aca="false">G599*(1+IF(H$3&lt;=$O$2,$D599,$D599-($D599-$I$589)*MIN(H$3-$O$2,$Q$2)/$Q$2))</f>
        <v>28004.5611239482</v>
      </c>
      <c r="I599" s="15" t="n">
        <f aca="false">H599*(1+IF(I$3&lt;=$O$2,$D599,$D599-($D599-$I$589)*MIN(I$3-$O$2,$Q$2)/$Q$2))</f>
        <v>33118.6753135755</v>
      </c>
      <c r="J599" s="15" t="n">
        <f aca="false">I599*(1+IF(J$3&lt;=$O$2,$D599,$D599-($D599-$I$589)*MIN(J$3-$O$2,$Q$2)/$Q$2))</f>
        <v>38078.3211368158</v>
      </c>
      <c r="K599" s="15" t="n">
        <f aca="false">J599*(1+IF(K$3&lt;=$O$2,$D599,$D599-($D599-$I$589)*MIN(K$3-$O$2,$Q$2)/$Q$2))</f>
        <v>42529.3079939736</v>
      </c>
      <c r="L599" s="15" t="n">
        <f aca="false">K599*(1+IF(L$3&lt;=$O$2,$D599,$D599-($D599-$I$589)*MIN(L$3-$O$2,$Q$2)/$Q$2))</f>
        <v>46102.9128406197</v>
      </c>
      <c r="M599" s="15" t="n">
        <f aca="false">L599*(1+IF(M$3&lt;=$O$2,$D599,$D599-($D599-$I$589)*MIN(M$3-$O$2,$Q$2)/$Q$2))</f>
        <v>48461.6963403087</v>
      </c>
      <c r="N599" s="15" t="n">
        <f aca="false">M599*(1+IF(N$3&lt;=$O$2,$D599,$D599-($D599-$I$589)*MIN(N$3-$O$2,$Q$2)/$Q$2))</f>
        <v>49348.5453833364</v>
      </c>
      <c r="O599" s="15" t="n">
        <f aca="false">SUMPRODUCT(E599:N599,1/(1+$F$589)^$E$3:$N$3)*$E$2</f>
        <v>61767.2813737155</v>
      </c>
      <c r="P599" s="15" t="n">
        <f aca="false">N599*$E$2*(1+$I$589)/($F$589-$I$589)/(1+$F$589)^$N$3</f>
        <v>69955.6167362668</v>
      </c>
      <c r="Q599" s="15" t="n">
        <f aca="false">O599+P599</f>
        <v>131722.898109982</v>
      </c>
      <c r="R599" s="15" t="n">
        <f aca="false">Q599-$G$2+$I$2</f>
        <v>120102.898109982</v>
      </c>
      <c r="S599" s="40" t="n">
        <f aca="false">R599/$K$2</f>
        <v>407.446138039768</v>
      </c>
      <c r="T599" s="41" t="n">
        <f aca="false">S599-$M$2</f>
        <v>-2.53452484994307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0.1826171875</v>
      </c>
      <c r="C600" s="25" t="n">
        <f aca="false">IF(T599&gt;0,D599,C599)</f>
        <v>0.185546875</v>
      </c>
      <c r="D600" s="39" t="n">
        <f aca="false">(B600+C600)/2</f>
        <v>0.18408203125</v>
      </c>
      <c r="E600" s="15" t="n">
        <f aca="false">$C$2*(1+IF(E$3&lt;=$O$2,$D600,$D600-($D600-$I$589)*MIN(E$3-$O$2,$Q$2)/$Q$2))</f>
        <v>16952.5024414063</v>
      </c>
      <c r="F600" s="15" t="n">
        <f aca="false">E600*(1+IF(F$3&lt;=$O$2,$D600,$D600-($D600-$I$589)*MIN(F$3-$O$2,$Q$2)/$Q$2))</f>
        <v>20073.1535255909</v>
      </c>
      <c r="G600" s="15" t="n">
        <f aca="false">F600*(1+IF(G$3&lt;=$O$2,$D600,$D600-($D600-$I$589)*MIN(G$3-$O$2,$Q$2)/$Q$2))</f>
        <v>23768.2604001748</v>
      </c>
      <c r="H600" s="15" t="n">
        <f aca="false">G600*(1+IF(H$3&lt;=$O$2,$D600,$D600-($D600-$I$589)*MIN(H$3-$O$2,$Q$2)/$Q$2))</f>
        <v>28143.5700539179</v>
      </c>
      <c r="I600" s="15" t="n">
        <f aca="false">H600*(1+IF(I$3&lt;=$O$2,$D600,$D600-($D600-$I$589)*MIN(I$3-$O$2,$Q$2)/$Q$2))</f>
        <v>33324.2955960698</v>
      </c>
      <c r="J600" s="15" t="n">
        <f aca="false">I600*(1+IF(J$3&lt;=$O$2,$D600,$D600-($D600-$I$589)*MIN(J$3-$O$2,$Q$2)/$Q$2))</f>
        <v>38353.7857365913</v>
      </c>
      <c r="K600" s="15" t="n">
        <f aca="false">J600*(1+IF(K$3&lt;=$O$2,$D600,$D600-($D600-$I$589)*MIN(K$3-$O$2,$Q$2)/$Q$2))</f>
        <v>42870.6811188946</v>
      </c>
      <c r="L600" s="15" t="n">
        <f aca="false">K600*(1+IF(L$3&lt;=$O$2,$D600,$D600-($D600-$I$589)*MIN(L$3-$O$2,$Q$2)/$Q$2))</f>
        <v>46498.0900221549</v>
      </c>
      <c r="M600" s="15" t="n">
        <f aca="false">L600*(1+IF(M$3&lt;=$O$2,$D600,$D600-($D600-$I$589)*MIN(M$3-$O$2,$Q$2)/$Q$2))</f>
        <v>48890.714632184</v>
      </c>
      <c r="N600" s="15" t="n">
        <f aca="false">M600*(1+IF(N$3&lt;=$O$2,$D600,$D600-($D600-$I$589)*MIN(N$3-$O$2,$Q$2)/$Q$2))</f>
        <v>49785.4147099529</v>
      </c>
      <c r="O600" s="15" t="n">
        <f aca="false">SUMPRODUCT(E600:N600,1/(1+$F$589)^$E$3:$N$3)*$E$2</f>
        <v>62152.3754042651</v>
      </c>
      <c r="P600" s="15" t="n">
        <f aca="false">N600*$E$2*(1+$I$589)/($F$589-$I$589)/(1+$F$589)^$N$3</f>
        <v>70574.9148926607</v>
      </c>
      <c r="Q600" s="15" t="n">
        <f aca="false">O600+P600</f>
        <v>132727.290296926</v>
      </c>
      <c r="R600" s="15" t="n">
        <f aca="false">Q600-$G$2+$I$2</f>
        <v>121107.290296926</v>
      </c>
      <c r="S600" s="40" t="n">
        <f aca="false">R600/$K$2</f>
        <v>410.853513915683</v>
      </c>
      <c r="T600" s="41" t="n">
        <f aca="false">S600-$M$2</f>
        <v>0.872851025972125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0.1826171875</v>
      </c>
      <c r="C601" s="25" t="n">
        <f aca="false">IF(T600&gt;0,D600,C600)</f>
        <v>0.18408203125</v>
      </c>
      <c r="D601" s="39" t="n">
        <f aca="false">(B601+C601)/2</f>
        <v>0.183349609375</v>
      </c>
      <c r="E601" s="15" t="n">
        <f aca="false">$C$2*(1+IF(E$3&lt;=$O$2,$D601,$D601-($D601-$I$589)*MIN(E$3-$O$2,$Q$2)/$Q$2))</f>
        <v>16942.0163574219</v>
      </c>
      <c r="F601" s="15" t="n">
        <f aca="false">E601*(1+IF(F$3&lt;=$O$2,$D601,$D601-($D601-$I$589)*MIN(F$3-$O$2,$Q$2)/$Q$2))</f>
        <v>20048.32843858</v>
      </c>
      <c r="G601" s="15" t="n">
        <f aca="false">F601*(1+IF(G$3&lt;=$O$2,$D601,$D601-($D601-$I$589)*MIN(G$3-$O$2,$Q$2)/$Q$2))</f>
        <v>23724.1816264154</v>
      </c>
      <c r="H601" s="15" t="n">
        <f aca="false">G601*(1+IF(H$3&lt;=$O$2,$D601,$D601-($D601-$I$589)*MIN(H$3-$O$2,$Q$2)/$Q$2))</f>
        <v>28074.0010603602</v>
      </c>
      <c r="I601" s="15" t="n">
        <f aca="false">H601*(1+IF(I$3&lt;=$O$2,$D601,$D601-($D601-$I$589)*MIN(I$3-$O$2,$Q$2)/$Q$2))</f>
        <v>33221.3581883706</v>
      </c>
      <c r="J601" s="15" t="n">
        <f aca="false">I601*(1+IF(J$3&lt;=$O$2,$D601,$D601-($D601-$I$589)*MIN(J$3-$O$2,$Q$2)/$Q$2))</f>
        <v>38215.8467967358</v>
      </c>
      <c r="K601" s="15" t="n">
        <f aca="false">J601*(1+IF(K$3&lt;=$O$2,$D601,$D601-($D601-$I$589)*MIN(K$3-$O$2,$Q$2)/$Q$2))</f>
        <v>42699.7031445577</v>
      </c>
      <c r="L601" s="15" t="n">
        <f aca="false">K601*(1+IF(L$3&lt;=$O$2,$D601,$D601-($D601-$I$589)*MIN(L$3-$O$2,$Q$2)/$Q$2))</f>
        <v>46300.1354418782</v>
      </c>
      <c r="M601" s="15" t="n">
        <f aca="false">L601*(1+IF(M$3&lt;=$O$2,$D601,$D601-($D601-$I$589)*MIN(M$3-$O$2,$Q$2)/$Q$2))</f>
        <v>48675.7917742029</v>
      </c>
      <c r="N601" s="15" t="n">
        <f aca="false">M601*(1+IF(N$3&lt;=$O$2,$D601,$D601-($D601-$I$589)*MIN(N$3-$O$2,$Q$2)/$Q$2))</f>
        <v>49566.5587636708</v>
      </c>
      <c r="O601" s="15" t="n">
        <f aca="false">SUMPRODUCT(E601:N601,1/(1+$F$589)^$E$3:$N$3)*$E$2</f>
        <v>61959.5360620275</v>
      </c>
      <c r="P601" s="15" t="n">
        <f aca="false">N601*$E$2*(1+$I$589)/($F$589-$I$589)/(1+$F$589)^$N$3</f>
        <v>70264.6686112427</v>
      </c>
      <c r="Q601" s="15" t="n">
        <f aca="false">O601+P601</f>
        <v>132224.20467327</v>
      </c>
      <c r="R601" s="15" t="n">
        <f aca="false">Q601-$G$2+$I$2</f>
        <v>120604.20467327</v>
      </c>
      <c r="S601" s="40" t="n">
        <f aca="false">R601/$K$2</f>
        <v>409.146808268379</v>
      </c>
      <c r="T601" s="41" t="n">
        <f aca="false">S601-$M$2</f>
        <v>-0.833854621331227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0.183349609375</v>
      </c>
      <c r="C602" s="25" t="n">
        <f aca="false">IF(T601&gt;0,D601,C601)</f>
        <v>0.18408203125</v>
      </c>
      <c r="D602" s="39" t="n">
        <f aca="false">(B602+C602)/2</f>
        <v>0.1837158203125</v>
      </c>
      <c r="E602" s="15" t="n">
        <f aca="false">$C$2*(1+IF(E$3&lt;=$O$2,$D602,$D602-($D602-$I$589)*MIN(E$3-$O$2,$Q$2)/$Q$2))</f>
        <v>16947.2593994141</v>
      </c>
      <c r="F602" s="15" t="n">
        <f aca="false">E602*(1+IF(F$3&lt;=$O$2,$D602,$D602-($D602-$I$589)*MIN(F$3-$O$2,$Q$2)/$Q$2))</f>
        <v>20060.7390620261</v>
      </c>
      <c r="G602" s="15" t="n">
        <f aca="false">F602*(1+IF(G$3&lt;=$O$2,$D602,$D602-($D602-$I$589)*MIN(G$3-$O$2,$Q$2)/$Q$2))</f>
        <v>23746.2141948813</v>
      </c>
      <c r="H602" s="15" t="n">
        <f aca="false">G602*(1+IF(H$3&lt;=$O$2,$D602,$D602-($D602-$I$589)*MIN(H$3-$O$2,$Q$2)/$Q$2))</f>
        <v>28108.7694150102</v>
      </c>
      <c r="I602" s="15" t="n">
        <f aca="false">H602*(1+IF(I$3&lt;=$O$2,$D602,$D602-($D602-$I$589)*MIN(I$3-$O$2,$Q$2)/$Q$2))</f>
        <v>33272.7950460638</v>
      </c>
      <c r="J602" s="15" t="n">
        <f aca="false">I602*(1+IF(J$3&lt;=$O$2,$D602,$D602-($D602-$I$589)*MIN(J$3-$O$2,$Q$2)/$Q$2))</f>
        <v>38284.7645447142</v>
      </c>
      <c r="K602" s="15" t="n">
        <f aca="false">J602*(1+IF(K$3&lt;=$O$2,$D602,$D602-($D602-$I$589)*MIN(K$3-$O$2,$Q$2)/$Q$2))</f>
        <v>42785.1191754633</v>
      </c>
      <c r="L602" s="15" t="n">
        <f aca="false">K602*(1+IF(L$3&lt;=$O$2,$D602,$D602-($D602-$I$589)*MIN(L$3-$O$2,$Q$2)/$Q$2))</f>
        <v>46399.0210906052</v>
      </c>
      <c r="M602" s="15" t="n">
        <f aca="false">L602*(1+IF(M$3&lt;=$O$2,$D602,$D602-($D602-$I$589)*MIN(M$3-$O$2,$Q$2)/$Q$2))</f>
        <v>48783.1496036432</v>
      </c>
      <c r="N602" s="15" t="n">
        <f aca="false">M602*(1+IF(N$3&lt;=$O$2,$D602,$D602-($D602-$I$589)*MIN(N$3-$O$2,$Q$2)/$Q$2))</f>
        <v>49675.8812413899</v>
      </c>
      <c r="O602" s="15" t="n">
        <f aca="false">SUMPRODUCT(E602:N602,1/(1+$F$589)^$E$3:$N$3)*$E$2</f>
        <v>62055.8825498146</v>
      </c>
      <c r="P602" s="15" t="n">
        <f aca="false">N602*$E$2*(1+$I$589)/($F$589-$I$589)/(1+$F$589)^$N$3</f>
        <v>70419.6422035253</v>
      </c>
      <c r="Q602" s="15" t="n">
        <f aca="false">O602+P602</f>
        <v>132475.52475334</v>
      </c>
      <c r="R602" s="15" t="n">
        <f aca="false">Q602-$G$2+$I$2</f>
        <v>120855.52475334</v>
      </c>
      <c r="S602" s="40" t="n">
        <f aca="false">R602/$K$2</f>
        <v>409.999405480001</v>
      </c>
      <c r="T602" s="41" t="n">
        <f aca="false">S602-$M$2</f>
        <v>0.0187425902901168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0.183349609375</v>
      </c>
      <c r="C603" s="25" t="n">
        <f aca="false">IF(T602&gt;0,D602,C602)</f>
        <v>0.1837158203125</v>
      </c>
      <c r="D603" s="39" t="n">
        <f aca="false">(B603+C603)/2</f>
        <v>0.18353271484375</v>
      </c>
      <c r="E603" s="15" t="n">
        <f aca="false">$C$2*(1+IF(E$3&lt;=$O$2,$D603,$D603-($D603-$I$589)*MIN(E$3-$O$2,$Q$2)/$Q$2))</f>
        <v>16944.637878418</v>
      </c>
      <c r="F603" s="15" t="n">
        <f aca="false">E603*(1+IF(F$3&lt;=$O$2,$D603,$D603-($D603-$I$589)*MIN(F$3-$O$2,$Q$2)/$Q$2))</f>
        <v>20054.5332702883</v>
      </c>
      <c r="G603" s="15" t="n">
        <f aca="false">F603*(1+IF(G$3&lt;=$O$2,$D603,$D603-($D603-$I$589)*MIN(G$3-$O$2,$Q$2)/$Q$2))</f>
        <v>23735.1962063086</v>
      </c>
      <c r="H603" s="15" t="n">
        <f aca="false">G603*(1+IF(H$3&lt;=$O$2,$D603,$D603-($D603-$I$589)*MIN(H$3-$O$2,$Q$2)/$Q$2))</f>
        <v>28091.3812034015</v>
      </c>
      <c r="I603" s="15" t="n">
        <f aca="false">H603*(1+IF(I$3&lt;=$O$2,$D603,$D603-($D603-$I$589)*MIN(I$3-$O$2,$Q$2)/$Q$2))</f>
        <v>33247.0686593724</v>
      </c>
      <c r="J603" s="15" t="n">
        <f aca="false">I603*(1+IF(J$3&lt;=$O$2,$D603,$D603-($D603-$I$589)*MIN(J$3-$O$2,$Q$2)/$Q$2))</f>
        <v>38250.2927479867</v>
      </c>
      <c r="K603" s="15" t="n">
        <f aca="false">J603*(1+IF(K$3&lt;=$O$2,$D603,$D603-($D603-$I$589)*MIN(K$3-$O$2,$Q$2)/$Q$2))</f>
        <v>42742.3929338656</v>
      </c>
      <c r="L603" s="15" t="n">
        <f aca="false">K603*(1+IF(L$3&lt;=$O$2,$D603,$D603-($D603-$I$589)*MIN(L$3-$O$2,$Q$2)/$Q$2))</f>
        <v>46349.5553739078</v>
      </c>
      <c r="M603" s="15" t="n">
        <f aca="false">L603*(1+IF(M$3&lt;=$O$2,$D603,$D603-($D603-$I$589)*MIN(M$3-$O$2,$Q$2)/$Q$2))</f>
        <v>48729.4448104966</v>
      </c>
      <c r="N603" s="15" t="n">
        <f aca="false">M603*(1+IF(N$3&lt;=$O$2,$D603,$D603-($D603-$I$589)*MIN(N$3-$O$2,$Q$2)/$Q$2))</f>
        <v>49621.1936505287</v>
      </c>
      <c r="O603" s="15" t="n">
        <f aca="false">SUMPRODUCT(E603:N603,1/(1+$F$589)^$E$3:$N$3)*$E$2</f>
        <v>62007.6910227965</v>
      </c>
      <c r="P603" s="15" t="n">
        <f aca="false">N603*$E$2*(1+$I$589)/($F$589-$I$589)/(1+$F$589)^$N$3</f>
        <v>70342.1180512569</v>
      </c>
      <c r="Q603" s="15" t="n">
        <f aca="false">O603+P603</f>
        <v>132349.809074053</v>
      </c>
      <c r="R603" s="15" t="n">
        <f aca="false">Q603-$G$2+$I$2</f>
        <v>120729.809074053</v>
      </c>
      <c r="S603" s="40" t="n">
        <f aca="false">R603/$K$2</f>
        <v>409.572918119393</v>
      </c>
      <c r="T603" s="41" t="n">
        <f aca="false">S603-$M$2</f>
        <v>-0.40774477031772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0.18353271484375</v>
      </c>
      <c r="C604" s="25" t="n">
        <f aca="false">IF(T603&gt;0,D603,C603)</f>
        <v>0.1837158203125</v>
      </c>
      <c r="D604" s="39" t="n">
        <f aca="false">(B604+C604)/2</f>
        <v>0.183624267578125</v>
      </c>
      <c r="E604" s="15" t="n">
        <f aca="false">$C$2*(1+IF(E$3&lt;=$O$2,$D604,$D604-($D604-$I$589)*MIN(E$3-$O$2,$Q$2)/$Q$2))</f>
        <v>16945.948638916</v>
      </c>
      <c r="F604" s="15" t="n">
        <f aca="false">E604*(1+IF(F$3&lt;=$O$2,$D604,$D604-($D604-$I$589)*MIN(F$3-$O$2,$Q$2)/$Q$2))</f>
        <v>20057.6360461535</v>
      </c>
      <c r="G604" s="15" t="n">
        <f aca="false">F604*(1+IF(G$3&lt;=$O$2,$D604,$D604-($D604-$I$589)*MIN(G$3-$O$2,$Q$2)/$Q$2))</f>
        <v>23740.704774477</v>
      </c>
      <c r="H604" s="15" t="n">
        <f aca="false">G604*(1+IF(H$3&lt;=$O$2,$D604,$D604-($D604-$I$589)*MIN(H$3-$O$2,$Q$2)/$Q$2))</f>
        <v>28100.0743004789</v>
      </c>
      <c r="I604" s="15" t="n">
        <f aca="false">H604*(1+IF(I$3&lt;=$O$2,$D604,$D604-($D604-$I$589)*MIN(I$3-$O$2,$Q$2)/$Q$2))</f>
        <v>33259.9298627952</v>
      </c>
      <c r="J604" s="15" t="n">
        <f aca="false">I604*(1+IF(J$3&lt;=$O$2,$D604,$D604-($D604-$I$589)*MIN(J$3-$O$2,$Q$2)/$Q$2))</f>
        <v>38267.5254146975</v>
      </c>
      <c r="K604" s="15" t="n">
        <f aca="false">J604*(1+IF(K$3&lt;=$O$2,$D604,$D604-($D604-$I$589)*MIN(K$3-$O$2,$Q$2)/$Q$2))</f>
        <v>42763.7514965137</v>
      </c>
      <c r="L604" s="15" t="n">
        <f aca="false">K604*(1+IF(L$3&lt;=$O$2,$D604,$D604-($D604-$I$589)*MIN(L$3-$O$2,$Q$2)/$Q$2))</f>
        <v>46374.2825069216</v>
      </c>
      <c r="M604" s="15" t="n">
        <f aca="false">L604*(1+IF(M$3&lt;=$O$2,$D604,$D604-($D604-$I$589)*MIN(M$3-$O$2,$Q$2)/$Q$2))</f>
        <v>48756.2907347818</v>
      </c>
      <c r="N604" s="15" t="n">
        <f aca="false">M604*(1+IF(N$3&lt;=$O$2,$D604,$D604-($D604-$I$589)*MIN(N$3-$O$2,$Q$2)/$Q$2))</f>
        <v>49648.5308552283</v>
      </c>
      <c r="O604" s="15" t="n">
        <f aca="false">SUMPRODUCT(E604:N604,1/(1+$F$589)^$E$3:$N$3)*$E$2</f>
        <v>62031.7822139364</v>
      </c>
      <c r="P604" s="15" t="n">
        <f aca="false">N604*$E$2*(1+$I$589)/($F$589-$I$589)/(1+$F$589)^$N$3</f>
        <v>70380.8707844886</v>
      </c>
      <c r="Q604" s="15" t="n">
        <f aca="false">O604+P604</f>
        <v>132412.652998425</v>
      </c>
      <c r="R604" s="15" t="n">
        <f aca="false">Q604-$G$2+$I$2</f>
        <v>120792.652998425</v>
      </c>
      <c r="S604" s="40" t="n">
        <f aca="false">R604/$K$2</f>
        <v>409.786114592479</v>
      </c>
      <c r="T604" s="41" t="n">
        <f aca="false">S604-$M$2</f>
        <v>-0.19454829723162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0.183624267578125</v>
      </c>
      <c r="C605" s="25" t="n">
        <f aca="false">IF(T604&gt;0,D604,C604)</f>
        <v>0.1837158203125</v>
      </c>
      <c r="D605" s="39" t="n">
        <f aca="false">(B605+C605)/2</f>
        <v>0.183670043945313</v>
      </c>
      <c r="E605" s="15" t="n">
        <f aca="false">$C$2*(1+IF(E$3&lt;=$O$2,$D605,$D605-($D605-$I$589)*MIN(E$3-$O$2,$Q$2)/$Q$2))</f>
        <v>16946.604019165</v>
      </c>
      <c r="F605" s="15" t="n">
        <f aca="false">E605*(1+IF(F$3&lt;=$O$2,$D605,$D605-($D605-$I$589)*MIN(F$3-$O$2,$Q$2)/$Q$2))</f>
        <v>20059.1875240889</v>
      </c>
      <c r="G605" s="15" t="n">
        <f aca="false">F605*(1+IF(G$3&lt;=$O$2,$D605,$D605-($D605-$I$589)*MIN(G$3-$O$2,$Q$2)/$Q$2))</f>
        <v>23743.4593781456</v>
      </c>
      <c r="H605" s="15" t="n">
        <f aca="false">G605*(1+IF(H$3&lt;=$O$2,$D605,$D605-($D605-$I$589)*MIN(H$3-$O$2,$Q$2)/$Q$2))</f>
        <v>28104.4216055433</v>
      </c>
      <c r="I605" s="15" t="n">
        <f aca="false">H605*(1+IF(I$3&lt;=$O$2,$D605,$D605-($D605-$I$589)*MIN(I$3-$O$2,$Q$2)/$Q$2))</f>
        <v>33266.361956891</v>
      </c>
      <c r="J605" s="15" t="n">
        <f aca="false">I605*(1+IF(J$3&lt;=$O$2,$D605,$D605-($D605-$I$589)*MIN(J$3-$O$2,$Q$2)/$Q$2))</f>
        <v>38276.1441716715</v>
      </c>
      <c r="K605" s="15" t="n">
        <f aca="false">J605*(1+IF(K$3&lt;=$O$2,$D605,$D605-($D605-$I$589)*MIN(K$3-$O$2,$Q$2)/$Q$2))</f>
        <v>42774.434196249</v>
      </c>
      <c r="L605" s="15" t="n">
        <f aca="false">K605*(1+IF(L$3&lt;=$O$2,$D605,$D605-($D605-$I$589)*MIN(L$3-$O$2,$Q$2)/$Q$2))</f>
        <v>46386.6503671482</v>
      </c>
      <c r="M605" s="15" t="n">
        <f aca="false">L605*(1+IF(M$3&lt;=$O$2,$D605,$D605-($D605-$I$589)*MIN(M$3-$O$2,$Q$2)/$Q$2))</f>
        <v>48769.7185508052</v>
      </c>
      <c r="N605" s="15" t="n">
        <f aca="false">M605*(1+IF(N$3&lt;=$O$2,$D605,$D605-($D605-$I$589)*MIN(N$3-$O$2,$Q$2)/$Q$2))</f>
        <v>49662.2044002849</v>
      </c>
      <c r="O605" s="15" t="n">
        <f aca="false">SUMPRODUCT(E605:N605,1/(1+$F$589)^$E$3:$N$3)*$E$2</f>
        <v>62043.8312385847</v>
      </c>
      <c r="P605" s="15" t="n">
        <f aca="false">N605*$E$2*(1+$I$589)/($F$589-$I$589)/(1+$F$589)^$N$3</f>
        <v>70400.2541577973</v>
      </c>
      <c r="Q605" s="15" t="n">
        <f aca="false">O605+P605</f>
        <v>132444.085396382</v>
      </c>
      <c r="R605" s="15" t="n">
        <f aca="false">Q605-$G$2+$I$2</f>
        <v>120824.085396382</v>
      </c>
      <c r="S605" s="40" t="n">
        <f aca="false">R605/$K$2</f>
        <v>409.89274823212</v>
      </c>
      <c r="T605" s="41" t="n">
        <f aca="false">S605-$M$2</f>
        <v>-0.0879146575907157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0.183670043945313</v>
      </c>
      <c r="C606" s="25" t="n">
        <f aca="false">IF(T605&gt;0,D605,C605)</f>
        <v>0.1837158203125</v>
      </c>
      <c r="D606" s="39" t="n">
        <f aca="false">(B606+C606)/2</f>
        <v>0.183692932128906</v>
      </c>
      <c r="E606" s="15" t="n">
        <f aca="false">$C$2*(1+IF(E$3&lt;=$O$2,$D606,$D606-($D606-$I$589)*MIN(E$3-$O$2,$Q$2)/$Q$2))</f>
        <v>16946.9317092896</v>
      </c>
      <c r="F606" s="15" t="n">
        <f aca="false">E606*(1+IF(F$3&lt;=$O$2,$D606,$D606-($D606-$I$589)*MIN(F$3-$O$2,$Q$2)/$Q$2))</f>
        <v>20059.9632855573</v>
      </c>
      <c r="G606" s="15" t="n">
        <f aca="false">F606*(1+IF(G$3&lt;=$O$2,$D606,$D606-($D606-$I$589)*MIN(G$3-$O$2,$Q$2)/$Q$2))</f>
        <v>23744.8367598795</v>
      </c>
      <c r="H606" s="15" t="n">
        <f aca="false">G606*(1+IF(H$3&lt;=$O$2,$D606,$D606-($D606-$I$589)*MIN(H$3-$O$2,$Q$2)/$Q$2))</f>
        <v>28106.595447224</v>
      </c>
      <c r="I606" s="15" t="n">
        <f aca="false">H606*(1+IF(I$3&lt;=$O$2,$D606,$D606-($D606-$I$589)*MIN(I$3-$O$2,$Q$2)/$Q$2))</f>
        <v>33269.5783770856</v>
      </c>
      <c r="J606" s="15" t="n">
        <f aca="false">I606*(1+IF(J$3&lt;=$O$2,$D606,$D606-($D606-$I$589)*MIN(J$3-$O$2,$Q$2)/$Q$2))</f>
        <v>38280.4541561691</v>
      </c>
      <c r="K606" s="15" t="n">
        <f aca="false">J606*(1+IF(K$3&lt;=$O$2,$D606,$D606-($D606-$I$589)*MIN(K$3-$O$2,$Q$2)/$Q$2))</f>
        <v>42779.776400896</v>
      </c>
      <c r="L606" s="15" t="n">
        <f aca="false">K606*(1+IF(L$3&lt;=$O$2,$D606,$D606-($D606-$I$589)*MIN(L$3-$O$2,$Q$2)/$Q$2))</f>
        <v>46392.8353709377</v>
      </c>
      <c r="M606" s="15" t="n">
        <f aca="false">L606*(1+IF(M$3&lt;=$O$2,$D606,$D606-($D606-$I$589)*MIN(M$3-$O$2,$Q$2)/$Q$2))</f>
        <v>48776.4336725805</v>
      </c>
      <c r="N606" s="15" t="n">
        <f aca="false">M606*(1+IF(N$3&lt;=$O$2,$D606,$D606-($D606-$I$589)*MIN(N$3-$O$2,$Q$2)/$Q$2))</f>
        <v>49669.0424087887</v>
      </c>
      <c r="O606" s="15" t="n">
        <f aca="false">SUMPRODUCT(E606:N606,1/(1+$F$589)^$E$3:$N$3)*$E$2</f>
        <v>62049.8566083521</v>
      </c>
      <c r="P606" s="15" t="n">
        <f aca="false">N606*$E$2*(1+$I$589)/($F$589-$I$589)/(1+$F$589)^$N$3</f>
        <v>70409.9475965484</v>
      </c>
      <c r="Q606" s="15" t="n">
        <f aca="false">O606+P606</f>
        <v>132459.8042049</v>
      </c>
      <c r="R606" s="15" t="n">
        <f aca="false">Q606-$G$2+$I$2</f>
        <v>120839.8042049</v>
      </c>
      <c r="S606" s="40" t="n">
        <f aca="false">R606/$K$2</f>
        <v>409.946073904741</v>
      </c>
      <c r="T606" s="41" t="n">
        <f aca="false">S606-$M$2</f>
        <v>-0.0345889849697301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0.183692932128906</v>
      </c>
      <c r="C607" s="25" t="n">
        <f aca="false">IF(T606&gt;0,D606,C606)</f>
        <v>0.1837158203125</v>
      </c>
      <c r="D607" s="39" t="n">
        <f aca="false">(B607+C607)/2</f>
        <v>0.183704376220703</v>
      </c>
      <c r="E607" s="15" t="n">
        <f aca="false">$C$2*(1+IF(E$3&lt;=$O$2,$D607,$D607-($D607-$I$589)*MIN(E$3-$O$2,$Q$2)/$Q$2))</f>
        <v>16947.0955543518</v>
      </c>
      <c r="F607" s="15" t="n">
        <f aca="false">E607*(1+IF(F$3&lt;=$O$2,$D607,$D607-($D607-$I$589)*MIN(F$3-$O$2,$Q$2)/$Q$2))</f>
        <v>20060.3511719167</v>
      </c>
      <c r="G607" s="15" t="n">
        <f aca="false">F607*(1+IF(G$3&lt;=$O$2,$D607,$D607-($D607-$I$589)*MIN(G$3-$O$2,$Q$2)/$Q$2))</f>
        <v>23745.5254707219</v>
      </c>
      <c r="H607" s="15" t="n">
        <f aca="false">G607*(1+IF(H$3&lt;=$O$2,$D607,$D607-($D607-$I$589)*MIN(H$3-$O$2,$Q$2)/$Q$2))</f>
        <v>28107.6824153536</v>
      </c>
      <c r="I607" s="15" t="n">
        <f aca="false">H607*(1+IF(I$3&lt;=$O$2,$D607,$D607-($D607-$I$589)*MIN(I$3-$O$2,$Q$2)/$Q$2))</f>
        <v>33271.1866804758</v>
      </c>
      <c r="J607" s="15" t="n">
        <f aca="false">I607*(1+IF(J$3&lt;=$O$2,$D607,$D607-($D607-$I$589)*MIN(J$3-$O$2,$Q$2)/$Q$2))</f>
        <v>38282.6092999338</v>
      </c>
      <c r="K607" s="15" t="n">
        <f aca="false">J607*(1+IF(K$3&lt;=$O$2,$D607,$D607-($D607-$I$589)*MIN(K$3-$O$2,$Q$2)/$Q$2))</f>
        <v>42782.4477169365</v>
      </c>
      <c r="L607" s="15" t="n">
        <f aca="false">K607*(1+IF(L$3&lt;=$O$2,$D607,$D607-($D607-$I$589)*MIN(L$3-$O$2,$Q$2)/$Q$2))</f>
        <v>46395.9281412823</v>
      </c>
      <c r="M607" s="15" t="n">
        <f aca="false">L607*(1+IF(M$3&lt;=$O$2,$D607,$D607-($D607-$I$589)*MIN(M$3-$O$2,$Q$2)/$Q$2))</f>
        <v>48779.7915369457</v>
      </c>
      <c r="N607" s="15" t="n">
        <f aca="false">M607*(1+IF(N$3&lt;=$O$2,$D607,$D607-($D607-$I$589)*MIN(N$3-$O$2,$Q$2)/$Q$2))</f>
        <v>49672.4617220718</v>
      </c>
      <c r="O607" s="15" t="n">
        <f aca="false">SUMPRODUCT(E607:N607,1/(1+$F$589)^$E$3:$N$3)*$E$2</f>
        <v>62052.8695076183</v>
      </c>
      <c r="P607" s="15" t="n">
        <f aca="false">N607*$E$2*(1+$I$589)/($F$589-$I$589)/(1+$F$589)^$N$3</f>
        <v>70414.794754001</v>
      </c>
      <c r="Q607" s="15" t="n">
        <f aca="false">O607+P607</f>
        <v>132467.664261619</v>
      </c>
      <c r="R607" s="15" t="n">
        <f aca="false">Q607-$G$2+$I$2</f>
        <v>120847.664261619</v>
      </c>
      <c r="S607" s="40" t="n">
        <f aca="false">R607/$K$2</f>
        <v>409.972738954505</v>
      </c>
      <c r="T607" s="41" t="n">
        <f aca="false">S607-$M$2</f>
        <v>-0.00792393520595169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0.183704376220703</v>
      </c>
      <c r="C608" s="25" t="n">
        <f aca="false">IF(T607&gt;0,D607,C607)</f>
        <v>0.1837158203125</v>
      </c>
      <c r="D608" s="39" t="n">
        <f aca="false">(B608+C608)/2</f>
        <v>0.183710098266602</v>
      </c>
      <c r="E608" s="15" t="n">
        <f aca="false">$C$2*(1+IF(E$3&lt;=$O$2,$D608,$D608-($D608-$I$589)*MIN(E$3-$O$2,$Q$2)/$Q$2))</f>
        <v>16947.1774768829</v>
      </c>
      <c r="F608" s="15" t="n">
        <f aca="false">E608*(1+IF(F$3&lt;=$O$2,$D608,$D608-($D608-$I$589)*MIN(F$3-$O$2,$Q$2)/$Q$2))</f>
        <v>20060.5451165026</v>
      </c>
      <c r="G608" s="15" t="n">
        <f aca="false">F608*(1+IF(G$3&lt;=$O$2,$D608,$D608-($D608-$I$589)*MIN(G$3-$O$2,$Q$2)/$Q$2))</f>
        <v>23745.8698311369</v>
      </c>
      <c r="H608" s="15" t="n">
        <f aca="false">G608*(1+IF(H$3&lt;=$O$2,$D608,$D608-($D608-$I$589)*MIN(H$3-$O$2,$Q$2)/$Q$2))</f>
        <v>28108.225911241</v>
      </c>
      <c r="I608" s="15" t="n">
        <f aca="false">H608*(1+IF(I$3&lt;=$O$2,$D608,$D608-($D608-$I$589)*MIN(I$3-$O$2,$Q$2)/$Q$2))</f>
        <v>33271.990855495</v>
      </c>
      <c r="J608" s="15" t="n">
        <f aca="false">I608*(1+IF(J$3&lt;=$O$2,$D608,$D608-($D608-$I$589)*MIN(J$3-$O$2,$Q$2)/$Q$2))</f>
        <v>38283.6869096968</v>
      </c>
      <c r="K608" s="15" t="n">
        <f aca="false">J608*(1+IF(K$3&lt;=$O$2,$D608,$D608-($D608-$I$589)*MIN(K$3-$O$2,$Q$2)/$Q$2))</f>
        <v>42783.7834283887</v>
      </c>
      <c r="L608" s="15" t="n">
        <f aca="false">K608*(1+IF(L$3&lt;=$O$2,$D608,$D608-($D608-$I$589)*MIN(L$3-$O$2,$Q$2)/$Q$2))</f>
        <v>46397.474593571</v>
      </c>
      <c r="M608" s="15" t="n">
        <f aca="false">L608*(1+IF(M$3&lt;=$O$2,$D608,$D608-($D608-$I$589)*MIN(M$3-$O$2,$Q$2)/$Q$2))</f>
        <v>48781.4705450022</v>
      </c>
      <c r="N608" s="15" t="n">
        <f aca="false">M608*(1+IF(N$3&lt;=$O$2,$D608,$D608-($D608-$I$589)*MIN(N$3-$O$2,$Q$2)/$Q$2))</f>
        <v>49674.1714559758</v>
      </c>
      <c r="O608" s="15" t="n">
        <f aca="false">SUMPRODUCT(E608:N608,1/(1+$F$589)^$E$3:$N$3)*$E$2</f>
        <v>62054.3760108498</v>
      </c>
      <c r="P608" s="15" t="n">
        <f aca="false">N608*$E$2*(1+$I$589)/($F$589-$I$589)/(1+$F$589)^$N$3</f>
        <v>70417.2184422532</v>
      </c>
      <c r="Q608" s="15" t="n">
        <f aca="false">O608+P608</f>
        <v>132471.594453103</v>
      </c>
      <c r="R608" s="15" t="n">
        <f aca="false">Q608-$G$2+$I$2</f>
        <v>120851.594453103</v>
      </c>
      <c r="S608" s="40" t="n">
        <f aca="false">R608/$K$2</f>
        <v>409.986072032782</v>
      </c>
      <c r="T608" s="41" t="n">
        <f aca="false">S608-$M$2</f>
        <v>0.00540914307111962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0.183704376220703</v>
      </c>
      <c r="C609" s="25" t="n">
        <f aca="false">IF(T608&gt;0,D608,C608)</f>
        <v>0.183710098266602</v>
      </c>
      <c r="D609" s="39" t="n">
        <f aca="false">(B609+C609)/2</f>
        <v>0.183707237243652</v>
      </c>
      <c r="E609" s="15" t="n">
        <f aca="false">$C$2*(1+IF(E$3&lt;=$O$2,$D609,$D609-($D609-$I$589)*MIN(E$3-$O$2,$Q$2)/$Q$2))</f>
        <v>16947.1365156174</v>
      </c>
      <c r="F609" s="15" t="n">
        <f aca="false">E609*(1+IF(F$3&lt;=$O$2,$D609,$D609-($D609-$I$589)*MIN(F$3-$O$2,$Q$2)/$Q$2))</f>
        <v>20060.4481440925</v>
      </c>
      <c r="G609" s="15" t="n">
        <f aca="false">F609*(1+IF(G$3&lt;=$O$2,$D609,$D609-($D609-$I$589)*MIN(G$3-$O$2,$Q$2)/$Q$2))</f>
        <v>23745.6976505132</v>
      </c>
      <c r="H609" s="15" t="n">
        <f aca="false">G609*(1+IF(H$3&lt;=$O$2,$D609,$D609-($D609-$I$589)*MIN(H$3-$O$2,$Q$2)/$Q$2))</f>
        <v>28107.9541623121</v>
      </c>
      <c r="I609" s="15" t="n">
        <f aca="false">H609*(1+IF(I$3&lt;=$O$2,$D609,$D609-($D609-$I$589)*MIN(I$3-$O$2,$Q$2)/$Q$2))</f>
        <v>33271.5887660417</v>
      </c>
      <c r="J609" s="15" t="n">
        <f aca="false">I609*(1+IF(J$3&lt;=$O$2,$D609,$D609-($D609-$I$589)*MIN(J$3-$O$2,$Q$2)/$Q$2))</f>
        <v>38283.1481016586</v>
      </c>
      <c r="K609" s="15" t="n">
        <f aca="false">J609*(1+IF(K$3&lt;=$O$2,$D609,$D609-($D609-$I$589)*MIN(K$3-$O$2,$Q$2)/$Q$2))</f>
        <v>42783.1155682099</v>
      </c>
      <c r="L609" s="15" t="n">
        <f aca="false">K609*(1+IF(L$3&lt;=$O$2,$D609,$D609-($D609-$I$589)*MIN(L$3-$O$2,$Q$2)/$Q$2))</f>
        <v>46396.7013618335</v>
      </c>
      <c r="M609" s="15" t="n">
        <f aca="false">L609*(1+IF(M$3&lt;=$O$2,$D609,$D609-($D609-$I$589)*MIN(M$3-$O$2,$Q$2)/$Q$2))</f>
        <v>48780.631034651</v>
      </c>
      <c r="N609" s="15" t="n">
        <f aca="false">M609*(1+IF(N$3&lt;=$O$2,$D609,$D609-($D609-$I$589)*MIN(N$3-$O$2,$Q$2)/$Q$2))</f>
        <v>49673.3165825851</v>
      </c>
      <c r="O609" s="15" t="n">
        <f aca="false">SUMPRODUCT(E609:N609,1/(1+$F$589)^$E$3:$N$3)*$E$2</f>
        <v>62053.6227547675</v>
      </c>
      <c r="P609" s="15" t="n">
        <f aca="false">N609*$E$2*(1+$I$589)/($F$589-$I$589)/(1+$F$589)^$N$3</f>
        <v>70416.0065889998</v>
      </c>
      <c r="Q609" s="15" t="n">
        <f aca="false">O609+P609</f>
        <v>132469.629343767</v>
      </c>
      <c r="R609" s="15" t="n">
        <f aca="false">Q609-$G$2+$I$2</f>
        <v>120849.629343767</v>
      </c>
      <c r="S609" s="40" t="n">
        <f aca="false">R609/$K$2</f>
        <v>409.979405447526</v>
      </c>
      <c r="T609" s="41" t="n">
        <f aca="false">S609-$M$2</f>
        <v>-0.00125744218462387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0.183707237243652</v>
      </c>
      <c r="C610" s="25" t="n">
        <f aca="false">IF(T609&gt;0,D609,C609)</f>
        <v>0.183710098266602</v>
      </c>
      <c r="D610" s="39" t="n">
        <f aca="false">(B610+C610)/2</f>
        <v>0.183708667755127</v>
      </c>
      <c r="E610" s="15" t="n">
        <f aca="false">$C$2*(1+IF(E$3&lt;=$O$2,$D610,$D610-($D610-$I$589)*MIN(E$3-$O$2,$Q$2)/$Q$2))</f>
        <v>16947.1569962502</v>
      </c>
      <c r="F610" s="15" t="n">
        <f aca="false">E610*(1+IF(F$3&lt;=$O$2,$D610,$D610-($D610-$I$589)*MIN(F$3-$O$2,$Q$2)/$Q$2))</f>
        <v>20060.4966302682</v>
      </c>
      <c r="G610" s="15" t="n">
        <f aca="false">F610*(1+IF(G$3&lt;=$O$2,$D610,$D610-($D610-$I$589)*MIN(G$3-$O$2,$Q$2)/$Q$2))</f>
        <v>23745.783740721</v>
      </c>
      <c r="H610" s="15" t="n">
        <f aca="false">G610*(1+IF(H$3&lt;=$O$2,$D610,$D610-($D610-$I$589)*MIN(H$3-$O$2,$Q$2)/$Q$2))</f>
        <v>28108.0900365303</v>
      </c>
      <c r="I610" s="15" t="n">
        <f aca="false">H610*(1+IF(I$3&lt;=$O$2,$D610,$D610-($D610-$I$589)*MIN(I$3-$O$2,$Q$2)/$Q$2))</f>
        <v>33271.7898102824</v>
      </c>
      <c r="J610" s="15" t="n">
        <f aca="false">I610*(1+IF(J$3&lt;=$O$2,$D610,$D610-($D610-$I$589)*MIN(J$3-$O$2,$Q$2)/$Q$2))</f>
        <v>38283.4175048885</v>
      </c>
      <c r="K610" s="15" t="n">
        <f aca="false">J610*(1+IF(K$3&lt;=$O$2,$D610,$D610-($D610-$I$589)*MIN(K$3-$O$2,$Q$2)/$Q$2))</f>
        <v>42783.4494971861</v>
      </c>
      <c r="L610" s="15" t="n">
        <f aca="false">K610*(1+IF(L$3&lt;=$O$2,$D610,$D610-($D610-$I$589)*MIN(L$3-$O$2,$Q$2)/$Q$2))</f>
        <v>46397.0879763039</v>
      </c>
      <c r="M610" s="15" t="n">
        <f aca="false">L610*(1+IF(M$3&lt;=$O$2,$D610,$D610-($D610-$I$589)*MIN(M$3-$O$2,$Q$2)/$Q$2))</f>
        <v>48781.0507882459</v>
      </c>
      <c r="N610" s="15" t="n">
        <f aca="false">M610*(1+IF(N$3&lt;=$O$2,$D610,$D610-($D610-$I$589)*MIN(N$3-$O$2,$Q$2)/$Q$2))</f>
        <v>49673.7440176708</v>
      </c>
      <c r="O610" s="15" t="n">
        <f aca="false">SUMPRODUCT(E610:N610,1/(1+$F$589)^$E$3:$N$3)*$E$2</f>
        <v>62053.999381692</v>
      </c>
      <c r="P610" s="15" t="n">
        <f aca="false">N610*$E$2*(1+$I$589)/($F$589-$I$589)/(1+$F$589)^$N$3</f>
        <v>70416.6125133447</v>
      </c>
      <c r="Q610" s="15" t="n">
        <f aca="false">O610+P610</f>
        <v>132470.611895037</v>
      </c>
      <c r="R610" s="15" t="n">
        <f aca="false">Q610-$G$2+$I$2</f>
        <v>120850.611895037</v>
      </c>
      <c r="S610" s="40" t="n">
        <f aca="false">R610/$K$2</f>
        <v>409.982738728624</v>
      </c>
      <c r="T610" s="41" t="n">
        <f aca="false">S610-$M$2</f>
        <v>0.00207583891386776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0.183707237243652</v>
      </c>
      <c r="C611" s="25" t="n">
        <f aca="false">IF(T610&gt;0,D610,C610)</f>
        <v>0.183708667755127</v>
      </c>
      <c r="D611" s="39" t="n">
        <f aca="false">(B611+C611)/2</f>
        <v>0.18370795249939</v>
      </c>
      <c r="E611" s="15" t="n">
        <f aca="false">$C$2*(1+IF(E$3&lt;=$O$2,$D611,$D611-($D611-$I$589)*MIN(E$3-$O$2,$Q$2)/$Q$2))</f>
        <v>16947.1467559338</v>
      </c>
      <c r="F611" s="15" t="n">
        <f aca="false">E611*(1+IF(F$3&lt;=$O$2,$D611,$D611-($D611-$I$589)*MIN(F$3-$O$2,$Q$2)/$Q$2))</f>
        <v>20060.472387173</v>
      </c>
      <c r="G611" s="15" t="n">
        <f aca="false">F611*(1+IF(G$3&lt;=$O$2,$D611,$D611-($D611-$I$589)*MIN(G$3-$O$2,$Q$2)/$Q$2))</f>
        <v>23745.7406955911</v>
      </c>
      <c r="H611" s="15" t="n">
        <f aca="false">G611*(1+IF(H$3&lt;=$O$2,$D611,$D611-($D611-$I$589)*MIN(H$3-$O$2,$Q$2)/$Q$2))</f>
        <v>28108.0220993596</v>
      </c>
      <c r="I611" s="15" t="n">
        <f aca="false">H611*(1+IF(I$3&lt;=$O$2,$D611,$D611-($D611-$I$589)*MIN(I$3-$O$2,$Q$2)/$Q$2))</f>
        <v>33271.6892880406</v>
      </c>
      <c r="J611" s="15" t="n">
        <f aca="false">I611*(1+IF(J$3&lt;=$O$2,$D611,$D611-($D611-$I$589)*MIN(J$3-$O$2,$Q$2)/$Q$2))</f>
        <v>38283.2828030762</v>
      </c>
      <c r="K611" s="15" t="n">
        <f aca="false">J611*(1+IF(K$3&lt;=$O$2,$D611,$D611-($D611-$I$589)*MIN(K$3-$O$2,$Q$2)/$Q$2))</f>
        <v>42783.2825324197</v>
      </c>
      <c r="L611" s="15" t="n">
        <f aca="false">K611*(1+IF(L$3&lt;=$O$2,$D611,$D611-($D611-$I$589)*MIN(L$3-$O$2,$Q$2)/$Q$2))</f>
        <v>46396.8946687191</v>
      </c>
      <c r="M611" s="15" t="n">
        <f aca="false">L611*(1+IF(M$3&lt;=$O$2,$D611,$D611-($D611-$I$589)*MIN(M$3-$O$2,$Q$2)/$Q$2))</f>
        <v>48780.8409110532</v>
      </c>
      <c r="N611" s="15" t="n">
        <f aca="false">M611*(1+IF(N$3&lt;=$O$2,$D611,$D611-($D611-$I$589)*MIN(N$3-$O$2,$Q$2)/$Q$2))</f>
        <v>49673.5302997255</v>
      </c>
      <c r="O611" s="15" t="n">
        <f aca="false">SUMPRODUCT(E611:N611,1/(1+$F$589)^$E$3:$N$3)*$E$2</f>
        <v>62053.8110679506</v>
      </c>
      <c r="P611" s="15" t="n">
        <f aca="false">N611*$E$2*(1+$I$589)/($F$589-$I$589)/(1+$F$589)^$N$3</f>
        <v>70416.3095506018</v>
      </c>
      <c r="Q611" s="15" t="n">
        <f aca="false">O611+P611</f>
        <v>132470.120618552</v>
      </c>
      <c r="R611" s="15" t="n">
        <f aca="false">Q611-$G$2+$I$2</f>
        <v>120850.120618552</v>
      </c>
      <c r="S611" s="40" t="n">
        <f aca="false">R611/$K$2</f>
        <v>409.981072085193</v>
      </c>
      <c r="T611" s="41" t="n">
        <f aca="false">S611-$M$2</f>
        <v>0.000409195482404812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0.183707237243652</v>
      </c>
      <c r="C612" s="25" t="n">
        <f aca="false">IF(T611&gt;0,D611,C611)</f>
        <v>0.18370795249939</v>
      </c>
      <c r="D612" s="39" t="n">
        <f aca="false">(B612+C612)/2</f>
        <v>0.183707594871521</v>
      </c>
      <c r="E612" s="15" t="n">
        <f aca="false">$C$2*(1+IF(E$3&lt;=$O$2,$D612,$D612-($D612-$I$589)*MIN(E$3-$O$2,$Q$2)/$Q$2))</f>
        <v>16947.1416357756</v>
      </c>
      <c r="F612" s="15" t="n">
        <f aca="false">E612*(1+IF(F$3&lt;=$O$2,$D612,$D612-($D612-$I$589)*MIN(F$3-$O$2,$Q$2)/$Q$2))</f>
        <v>20060.4602656309</v>
      </c>
      <c r="G612" s="15" t="n">
        <f aca="false">F612*(1+IF(G$3&lt;=$O$2,$D612,$D612-($D612-$I$589)*MIN(G$3-$O$2,$Q$2)/$Q$2))</f>
        <v>23745.7191730457</v>
      </c>
      <c r="H612" s="15" t="n">
        <f aca="false">G612*(1+IF(H$3&lt;=$O$2,$D612,$D612-($D612-$I$589)*MIN(H$3-$O$2,$Q$2)/$Q$2))</f>
        <v>28107.9881308205</v>
      </c>
      <c r="I612" s="15" t="n">
        <f aca="false">H612*(1+IF(I$3&lt;=$O$2,$D612,$D612-($D612-$I$589)*MIN(I$3-$O$2,$Q$2)/$Q$2))</f>
        <v>33271.6390270108</v>
      </c>
      <c r="J612" s="15" t="n">
        <f aca="false">I612*(1+IF(J$3&lt;=$O$2,$D612,$D612-($D612-$I$589)*MIN(J$3-$O$2,$Q$2)/$Q$2))</f>
        <v>38283.2154523181</v>
      </c>
      <c r="K612" s="15" t="n">
        <f aca="false">J612*(1+IF(K$3&lt;=$O$2,$D612,$D612-($D612-$I$589)*MIN(K$3-$O$2,$Q$2)/$Q$2))</f>
        <v>42783.1990502452</v>
      </c>
      <c r="L612" s="15" t="n">
        <f aca="false">K612*(1+IF(L$3&lt;=$O$2,$D612,$D612-($D612-$I$589)*MIN(L$3-$O$2,$Q$2)/$Q$2))</f>
        <v>46396.7980151889</v>
      </c>
      <c r="M612" s="15" t="n">
        <f aca="false">L612*(1+IF(M$3&lt;=$O$2,$D612,$D612-($D612-$I$589)*MIN(M$3-$O$2,$Q$2)/$Q$2))</f>
        <v>48780.7359727533</v>
      </c>
      <c r="N612" s="15" t="n">
        <f aca="false">M612*(1+IF(N$3&lt;=$O$2,$D612,$D612-($D612-$I$589)*MIN(N$3-$O$2,$Q$2)/$Q$2))</f>
        <v>49673.4234410547</v>
      </c>
      <c r="O612" s="15" t="n">
        <f aca="false">SUMPRODUCT(E612:N612,1/(1+$F$589)^$E$3:$N$3)*$E$2</f>
        <v>62053.7169112892</v>
      </c>
      <c r="P612" s="15" t="n">
        <f aca="false">N612*$E$2*(1+$I$589)/($F$589-$I$589)/(1+$F$589)^$N$3</f>
        <v>70416.1580696582</v>
      </c>
      <c r="Q612" s="15" t="n">
        <f aca="false">O612+P612</f>
        <v>132469.874980947</v>
      </c>
      <c r="R612" s="15" t="n">
        <f aca="false">Q612-$G$2+$I$2</f>
        <v>120849.874980947</v>
      </c>
      <c r="S612" s="40" t="n">
        <f aca="false">R612/$K$2</f>
        <v>409.980238765639</v>
      </c>
      <c r="T612" s="41" t="n">
        <f aca="false">S612-$M$2</f>
        <v>-0.000424124071628285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0.183707594871521</v>
      </c>
      <c r="C613" s="25" t="n">
        <f aca="false">IF(T612&gt;0,D612,C612)</f>
        <v>0.18370795249939</v>
      </c>
      <c r="D613" s="39" t="n">
        <f aca="false">(B613+C613)/2</f>
        <v>0.183707773685455</v>
      </c>
      <c r="E613" s="15" t="n">
        <f aca="false">$C$2*(1+IF(E$3&lt;=$O$2,$D613,$D613-($D613-$I$589)*MIN(E$3-$O$2,$Q$2)/$Q$2))</f>
        <v>16947.1441958547</v>
      </c>
      <c r="F613" s="15" t="n">
        <f aca="false">E613*(1+IF(F$3&lt;=$O$2,$D613,$D613-($D613-$I$589)*MIN(F$3-$O$2,$Q$2)/$Q$2))</f>
        <v>20060.4663264015</v>
      </c>
      <c r="G613" s="15" t="n">
        <f aca="false">F613*(1+IF(G$3&lt;=$O$2,$D613,$D613-($D613-$I$589)*MIN(G$3-$O$2,$Q$2)/$Q$2))</f>
        <v>23745.7299343168</v>
      </c>
      <c r="H613" s="15" t="n">
        <f aca="false">G613*(1+IF(H$3&lt;=$O$2,$D613,$D613-($D613-$I$589)*MIN(H$3-$O$2,$Q$2)/$Q$2))</f>
        <v>28108.0051150862</v>
      </c>
      <c r="I613" s="15" t="n">
        <f aca="false">H613*(1+IF(I$3&lt;=$O$2,$D613,$D613-($D613-$I$589)*MIN(I$3-$O$2,$Q$2)/$Q$2))</f>
        <v>33271.6641575181</v>
      </c>
      <c r="J613" s="15" t="n">
        <f aca="false">I613*(1+IF(J$3&lt;=$O$2,$D613,$D613-($D613-$I$589)*MIN(J$3-$O$2,$Q$2)/$Q$2))</f>
        <v>38283.2491276848</v>
      </c>
      <c r="K613" s="15" t="n">
        <f aca="false">J613*(1+IF(K$3&lt;=$O$2,$D613,$D613-($D613-$I$589)*MIN(K$3-$O$2,$Q$2)/$Q$2))</f>
        <v>42783.240791315</v>
      </c>
      <c r="L613" s="15" t="n">
        <f aca="false">K613*(1+IF(L$3&lt;=$O$2,$D613,$D613-($D613-$I$589)*MIN(L$3-$O$2,$Q$2)/$Q$2))</f>
        <v>46396.8463419322</v>
      </c>
      <c r="M613" s="15" t="n">
        <f aca="false">L613*(1+IF(M$3&lt;=$O$2,$D613,$D613-($D613-$I$589)*MIN(M$3-$O$2,$Q$2)/$Q$2))</f>
        <v>48780.7884418786</v>
      </c>
      <c r="N613" s="15" t="n">
        <f aca="false">M613*(1+IF(N$3&lt;=$O$2,$D613,$D613-($D613-$I$589)*MIN(N$3-$O$2,$Q$2)/$Q$2))</f>
        <v>49673.476870365</v>
      </c>
      <c r="O613" s="15" t="n">
        <f aca="false">SUMPRODUCT(E613:N613,1/(1+$F$589)^$E$3:$N$3)*$E$2</f>
        <v>62053.7639896025</v>
      </c>
      <c r="P613" s="15" t="n">
        <f aca="false">N613*$E$2*(1+$I$589)/($F$589-$I$589)/(1+$F$589)^$N$3</f>
        <v>70416.2338100943</v>
      </c>
      <c r="Q613" s="15" t="n">
        <f aca="false">O613+P613</f>
        <v>132469.997799697</v>
      </c>
      <c r="R613" s="15" t="n">
        <f aca="false">Q613-$G$2+$I$2</f>
        <v>120849.997799697</v>
      </c>
      <c r="S613" s="40" t="n">
        <f aca="false">R613/$K$2</f>
        <v>409.980655425236</v>
      </c>
      <c r="T613" s="41" t="n">
        <f aca="false">S613-$M$2</f>
        <v>-7.46447477695256E-006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0.183707773685455</v>
      </c>
      <c r="C614" s="25" t="n">
        <f aca="false">IF(T613&gt;0,D613,C613)</f>
        <v>0.18370795249939</v>
      </c>
      <c r="D614" s="39" t="n">
        <f aca="false">(B614+C614)/2</f>
        <v>0.183707863092422</v>
      </c>
      <c r="E614" s="15" t="n">
        <f aca="false">$C$2*(1+IF(E$3&lt;=$O$2,$D614,$D614-($D614-$I$589)*MIN(E$3-$O$2,$Q$2)/$Q$2))</f>
        <v>16947.1454758942</v>
      </c>
      <c r="F614" s="15" t="n">
        <f aca="false">E614*(1+IF(F$3&lt;=$O$2,$D614,$D614-($D614-$I$589)*MIN(F$3-$O$2,$Q$2)/$Q$2))</f>
        <v>20060.4693567872</v>
      </c>
      <c r="G614" s="15" t="n">
        <f aca="false">F614*(1+IF(G$3&lt;=$O$2,$D614,$D614-($D614-$I$589)*MIN(G$3-$O$2,$Q$2)/$Q$2))</f>
        <v>23745.7353149535</v>
      </c>
      <c r="H614" s="15" t="n">
        <f aca="false">G614*(1+IF(H$3&lt;=$O$2,$D614,$D614-($D614-$I$589)*MIN(H$3-$O$2,$Q$2)/$Q$2))</f>
        <v>28108.0136072219</v>
      </c>
      <c r="I614" s="15" t="n">
        <f aca="false">H614*(1+IF(I$3&lt;=$O$2,$D614,$D614-($D614-$I$589)*MIN(I$3-$O$2,$Q$2)/$Q$2))</f>
        <v>33271.6767227774</v>
      </c>
      <c r="J614" s="15" t="n">
        <f aca="false">I614*(1+IF(J$3&lt;=$O$2,$D614,$D614-($D614-$I$589)*MIN(J$3-$O$2,$Q$2)/$Q$2))</f>
        <v>38283.2659653774</v>
      </c>
      <c r="K614" s="15" t="n">
        <f aca="false">J614*(1+IF(K$3&lt;=$O$2,$D614,$D614-($D614-$I$589)*MIN(K$3-$O$2,$Q$2)/$Q$2))</f>
        <v>42783.261661863</v>
      </c>
      <c r="L614" s="15" t="n">
        <f aca="false">K614*(1+IF(L$3&lt;=$O$2,$D614,$D614-($D614-$I$589)*MIN(L$3-$O$2,$Q$2)/$Q$2))</f>
        <v>46396.8705053202</v>
      </c>
      <c r="M614" s="15" t="n">
        <f aca="false">L614*(1+IF(M$3&lt;=$O$2,$D614,$D614-($D614-$I$589)*MIN(M$3-$O$2,$Q$2)/$Q$2))</f>
        <v>48780.8146764597</v>
      </c>
      <c r="N614" s="15" t="n">
        <f aca="false">M614*(1+IF(N$3&lt;=$O$2,$D614,$D614-($D614-$I$589)*MIN(N$3-$O$2,$Q$2)/$Q$2))</f>
        <v>49673.5035850389</v>
      </c>
      <c r="O614" s="15" t="n">
        <f aca="false">SUMPRODUCT(E614:N614,1/(1+$F$589)^$E$3:$N$3)*$E$2</f>
        <v>62053.7875287721</v>
      </c>
      <c r="P614" s="15" t="n">
        <f aca="false">N614*$E$2*(1+$I$589)/($F$589-$I$589)/(1+$F$589)^$N$3</f>
        <v>70416.2716803391</v>
      </c>
      <c r="Q614" s="15" t="n">
        <f aca="false">O614+P614</f>
        <v>132470.059209111</v>
      </c>
      <c r="R614" s="15" t="n">
        <f aca="false">Q614-$G$2+$I$2</f>
        <v>120850.059209111</v>
      </c>
      <c r="S614" s="40" t="n">
        <f aca="false">R614/$K$2</f>
        <v>409.980863755169</v>
      </c>
      <c r="T614" s="41" t="n">
        <f aca="false">S614-$M$2</f>
        <v>0.000200865458680255</v>
      </c>
    </row>
    <row r="616" customFormat="false" ht="15" hidden="false" customHeight="false" outlineLevel="0" collapsed="false">
      <c r="A616" s="36" t="s">
        <v>196</v>
      </c>
      <c r="E616" s="5" t="s">
        <v>11</v>
      </c>
      <c r="F616" s="12" t="n">
        <f aca="false">Sensitivity!$B$14</f>
        <v>0.104891906448909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6" t="s">
        <v>155</v>
      </c>
      <c r="B617" s="28" t="s">
        <v>156</v>
      </c>
      <c r="C617" s="28" t="s">
        <v>157</v>
      </c>
      <c r="D617" s="28" t="s">
        <v>158</v>
      </c>
      <c r="E617" s="28" t="s">
        <v>159</v>
      </c>
      <c r="F617" s="28" t="s">
        <v>160</v>
      </c>
      <c r="G617" s="28" t="s">
        <v>161</v>
      </c>
      <c r="H617" s="28" t="s">
        <v>162</v>
      </c>
      <c r="I617" s="28" t="s">
        <v>163</v>
      </c>
      <c r="J617" s="28" t="s">
        <v>164</v>
      </c>
      <c r="K617" s="28" t="s">
        <v>165</v>
      </c>
      <c r="L617" s="28" t="s">
        <v>166</v>
      </c>
      <c r="M617" s="28" t="s">
        <v>167</v>
      </c>
      <c r="N617" s="28" t="s">
        <v>168</v>
      </c>
      <c r="O617" s="28" t="s">
        <v>169</v>
      </c>
      <c r="P617" s="28" t="s">
        <v>170</v>
      </c>
      <c r="Q617" s="28" t="s">
        <v>171</v>
      </c>
      <c r="R617" s="28" t="s">
        <v>172</v>
      </c>
      <c r="S617" s="28" t="s">
        <v>173</v>
      </c>
      <c r="T617" s="28" t="s">
        <v>174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39" t="n">
        <f aca="false">(B618+C618)/2</f>
        <v>0.25</v>
      </c>
      <c r="E618" s="15" t="n">
        <f aca="false">$C$2*(1+IF(E$3&lt;=$O$2,$D618,$D618-($D618-$I$616)*MIN(E$3-$O$2,$Q$2)/$Q$2))</f>
        <v>17896.25</v>
      </c>
      <c r="F618" s="15" t="n">
        <f aca="false">E618*(1+IF(F$3&lt;=$O$2,$D618,$D618-($D618-$I$616)*MIN(F$3-$O$2,$Q$2)/$Q$2))</f>
        <v>22370.3125</v>
      </c>
      <c r="G618" s="15" t="n">
        <f aca="false">F618*(1+IF(G$3&lt;=$O$2,$D618,$D618-($D618-$I$616)*MIN(G$3-$O$2,$Q$2)/$Q$2))</f>
        <v>27962.890625</v>
      </c>
      <c r="H618" s="15" t="n">
        <f aca="false">G618*(1+IF(H$3&lt;=$O$2,$D618,$D618-($D618-$I$616)*MIN(H$3-$O$2,$Q$2)/$Q$2))</f>
        <v>34953.61328125</v>
      </c>
      <c r="I618" s="15" t="n">
        <f aca="false">H618*(1+IF(I$3&lt;=$O$2,$D618,$D618-($D618-$I$616)*MIN(I$3-$O$2,$Q$2)/$Q$2))</f>
        <v>43692.0166015625</v>
      </c>
      <c r="J618" s="15" t="n">
        <f aca="false">I618*(1+IF(J$3&lt;=$O$2,$D618,$D618-($D618-$I$616)*MIN(J$3-$O$2,$Q$2)/$Q$2))</f>
        <v>52634.0247192383</v>
      </c>
      <c r="K618" s="15" t="n">
        <f aca="false">J618*(1+IF(K$3&lt;=$O$2,$D618,$D618-($D618-$I$616)*MIN(K$3-$O$2,$Q$2)/$Q$2))</f>
        <v>61019.6775375073</v>
      </c>
      <c r="L618" s="15" t="n">
        <f aca="false">K618*(1+IF(L$3&lt;=$O$2,$D618,$D618-($D618-$I$616)*MIN(L$3-$O$2,$Q$2)/$Q$2))</f>
        <v>67974.7003832324</v>
      </c>
      <c r="M618" s="15" t="n">
        <f aca="false">L618*(1+IF(M$3&lt;=$O$2,$D618,$D618-($D618-$I$616)*MIN(M$3-$O$2,$Q$2)/$Q$2))</f>
        <v>72640.4838175375</v>
      </c>
      <c r="N618" s="15" t="n">
        <f aca="false">M618*(1+IF(N$3&lt;=$O$2,$D618,$D618-($D618-$I$616)*MIN(N$3-$O$2,$Q$2)/$Q$2))</f>
        <v>74333.0070904861</v>
      </c>
      <c r="O618" s="15" t="n">
        <f aca="false">SUMPRODUCT(E618:N618,1/(1+$F$616)^$E$3:$N$3)*$E$2</f>
        <v>82413.7223029279</v>
      </c>
      <c r="P618" s="15" t="n">
        <f aca="false">N618*$E$2*(1+$I$616)/($F$616-$I$616)/(1+$F$616)^$N$3</f>
        <v>112379.575463292</v>
      </c>
      <c r="Q618" s="15" t="n">
        <f aca="false">O618+P618</f>
        <v>194793.29776622</v>
      </c>
      <c r="R618" s="15" t="n">
        <f aca="false">Q618-$G$2+$I$2</f>
        <v>183173.29776622</v>
      </c>
      <c r="S618" s="40" t="n">
        <f aca="false">R618/$K$2</f>
        <v>621.410922977982</v>
      </c>
      <c r="T618" s="41" t="n">
        <f aca="false">S618-$M$2</f>
        <v>211.430260088272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39" t="n">
        <f aca="false">(B619+C619)/2</f>
        <v>-0.125</v>
      </c>
      <c r="E619" s="15" t="n">
        <f aca="false">$C$2*(1+IF(E$3&lt;=$O$2,$D619,$D619-($D619-$I$616)*MIN(E$3-$O$2,$Q$2)/$Q$2))</f>
        <v>12527.375</v>
      </c>
      <c r="F619" s="15" t="n">
        <f aca="false">E619*(1+IF(F$3&lt;=$O$2,$D619,$D619-($D619-$I$616)*MIN(F$3-$O$2,$Q$2)/$Q$2))</f>
        <v>10961.453125</v>
      </c>
      <c r="G619" s="15" t="n">
        <f aca="false">F619*(1+IF(G$3&lt;=$O$2,$D619,$D619-($D619-$I$616)*MIN(G$3-$O$2,$Q$2)/$Q$2))</f>
        <v>9591.271484375</v>
      </c>
      <c r="H619" s="15" t="n">
        <f aca="false">G619*(1+IF(H$3&lt;=$O$2,$D619,$D619-($D619-$I$616)*MIN(H$3-$O$2,$Q$2)/$Q$2))</f>
        <v>8392.36254882813</v>
      </c>
      <c r="I619" s="15" t="n">
        <f aca="false">H619*(1+IF(I$3&lt;=$O$2,$D619,$D619-($D619-$I$616)*MIN(I$3-$O$2,$Q$2)/$Q$2))</f>
        <v>7343.31723022461</v>
      </c>
      <c r="J619" s="15" t="n">
        <f aca="false">I619*(1+IF(J$3&lt;=$O$2,$D619,$D619-($D619-$I$616)*MIN(J$3-$O$2,$Q$2)/$Q$2))</f>
        <v>6643.205365495</v>
      </c>
      <c r="K619" s="15" t="n">
        <f aca="false">J619*(1+IF(K$3&lt;=$O$2,$D619,$D619-($D619-$I$616)*MIN(K$3-$O$2,$Q$2)/$Q$2))</f>
        <v>6206.87963708928</v>
      </c>
      <c r="L619" s="15" t="n">
        <f aca="false">K619*(1+IF(L$3&lt;=$O$2,$D619,$D619-($D619-$I$616)*MIN(L$3-$O$2,$Q$2)/$Q$2))</f>
        <v>5983.30783256133</v>
      </c>
      <c r="M619" s="15" t="n">
        <f aca="false">L619*(1+IF(M$3&lt;=$O$2,$D619,$D619-($D619-$I$616)*MIN(M$3-$O$2,$Q$2)/$Q$2))</f>
        <v>5945.25399474624</v>
      </c>
      <c r="N619" s="15" t="n">
        <f aca="false">M619*(1+IF(N$3&lt;=$O$2,$D619,$D619-($D619-$I$616)*MIN(N$3-$O$2,$Q$2)/$Q$2))</f>
        <v>6083.77841282382</v>
      </c>
      <c r="O619" s="15" t="n">
        <f aca="false">SUMPRODUCT(E619:N619,1/(1+$F$616)^$E$3:$N$3)*$E$2</f>
        <v>16871.3553708864</v>
      </c>
      <c r="P619" s="15" t="n">
        <f aca="false">N619*$E$2*(1+$I$616)/($F$616-$I$616)/(1+$F$616)^$N$3</f>
        <v>9197.6964474694</v>
      </c>
      <c r="Q619" s="15" t="n">
        <f aca="false">O619+P619</f>
        <v>26069.0518183558</v>
      </c>
      <c r="R619" s="15" t="n">
        <f aca="false">Q619-$G$2+$I$2</f>
        <v>14449.0518183558</v>
      </c>
      <c r="S619" s="40" t="n">
        <f aca="false">R619/$K$2</f>
        <v>49.0180541383308</v>
      </c>
      <c r="T619" s="41" t="n">
        <f aca="false">S619-$M$2</f>
        <v>-360.96260875138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39" t="n">
        <f aca="false">(B620+C620)/2</f>
        <v>0.0625</v>
      </c>
      <c r="E620" s="15" t="n">
        <f aca="false">$C$2*(1+IF(E$3&lt;=$O$2,$D620,$D620-($D620-$I$616)*MIN(E$3-$O$2,$Q$2)/$Q$2))</f>
        <v>15211.8125</v>
      </c>
      <c r="F620" s="15" t="n">
        <f aca="false">E620*(1+IF(F$3&lt;=$O$2,$D620,$D620-($D620-$I$616)*MIN(F$3-$O$2,$Q$2)/$Q$2))</f>
        <v>16162.55078125</v>
      </c>
      <c r="G620" s="15" t="n">
        <f aca="false">F620*(1+IF(G$3&lt;=$O$2,$D620,$D620-($D620-$I$616)*MIN(G$3-$O$2,$Q$2)/$Q$2))</f>
        <v>17172.7102050781</v>
      </c>
      <c r="H620" s="15" t="n">
        <f aca="false">G620*(1+IF(H$3&lt;=$O$2,$D620,$D620-($D620-$I$616)*MIN(H$3-$O$2,$Q$2)/$Q$2))</f>
        <v>18246.0045928955</v>
      </c>
      <c r="I620" s="15" t="n">
        <f aca="false">H620*(1+IF(I$3&lt;=$O$2,$D620,$D620-($D620-$I$616)*MIN(I$3-$O$2,$Q$2)/$Q$2))</f>
        <v>19386.3798799515</v>
      </c>
      <c r="J620" s="15" t="n">
        <f aca="false">I620*(1+IF(J$3&lt;=$O$2,$D620,$D620-($D620-$I$616)*MIN(J$3-$O$2,$Q$2)/$Q$2))</f>
        <v>20446.0394041896</v>
      </c>
      <c r="K620" s="15" t="n">
        <f aca="false">J620*(1+IF(K$3&lt;=$O$2,$D620,$D620-($D620-$I$616)*MIN(K$3-$O$2,$Q$2)/$Q$2))</f>
        <v>21403.3229690938</v>
      </c>
      <c r="L620" s="15" t="n">
        <f aca="false">K620*(1+IF(L$3&lt;=$O$2,$D620,$D620-($D620-$I$616)*MIN(L$3-$O$2,$Q$2)/$Q$2))</f>
        <v>22237.6244984291</v>
      </c>
      <c r="M620" s="15" t="n">
        <f aca="false">L620*(1+IF(M$3&lt;=$O$2,$D620,$D620-($D620-$I$616)*MIN(M$3-$O$2,$Q$2)/$Q$2))</f>
        <v>22930.1041253101</v>
      </c>
      <c r="N620" s="15" t="n">
        <f aca="false">M620*(1+IF(N$3&lt;=$O$2,$D620,$D620-($D620-$I$616)*MIN(N$3-$O$2,$Q$2)/$Q$2))</f>
        <v>23464.3755514299</v>
      </c>
      <c r="O620" s="15" t="n">
        <f aca="false">SUMPRODUCT(E620:N620,1/(1+$F$616)^$E$3:$N$3)*$E$2</f>
        <v>37146.5554987021</v>
      </c>
      <c r="P620" s="15" t="n">
        <f aca="false">N620*$E$2*(1+$I$616)/($F$616-$I$616)/(1+$F$616)^$N$3</f>
        <v>35474.3695458331</v>
      </c>
      <c r="Q620" s="15" t="n">
        <f aca="false">O620+P620</f>
        <v>72620.9250445352</v>
      </c>
      <c r="R620" s="15" t="n">
        <f aca="false">Q620-$G$2+$I$2</f>
        <v>61000.9250445352</v>
      </c>
      <c r="S620" s="40" t="n">
        <f aca="false">R620/$K$2</f>
        <v>206.944143042152</v>
      </c>
      <c r="T620" s="41" t="n">
        <f aca="false">S620-$M$2</f>
        <v>-203.036519847558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39" t="n">
        <f aca="false">(B621+C621)/2</f>
        <v>0.15625</v>
      </c>
      <c r="E621" s="15" t="n">
        <f aca="false">$C$2*(1+IF(E$3&lt;=$O$2,$D621,$D621-($D621-$I$616)*MIN(E$3-$O$2,$Q$2)/$Q$2))</f>
        <v>16554.03125</v>
      </c>
      <c r="F621" s="15" t="n">
        <f aca="false">E621*(1+IF(F$3&lt;=$O$2,$D621,$D621-($D621-$I$616)*MIN(F$3-$O$2,$Q$2)/$Q$2))</f>
        <v>19140.5986328125</v>
      </c>
      <c r="G621" s="15" t="n">
        <f aca="false">F621*(1+IF(G$3&lt;=$O$2,$D621,$D621-($D621-$I$616)*MIN(G$3-$O$2,$Q$2)/$Q$2))</f>
        <v>22131.3171691895</v>
      </c>
      <c r="H621" s="15" t="n">
        <f aca="false">G621*(1+IF(H$3&lt;=$O$2,$D621,$D621-($D621-$I$616)*MIN(H$3-$O$2,$Q$2)/$Q$2))</f>
        <v>25589.3354768753</v>
      </c>
      <c r="I621" s="15" t="n">
        <f aca="false">H621*(1+IF(I$3&lt;=$O$2,$D621,$D621-($D621-$I$616)*MIN(I$3-$O$2,$Q$2)/$Q$2))</f>
        <v>29587.6691451371</v>
      </c>
      <c r="J621" s="15" t="n">
        <f aca="false">I621*(1+IF(J$3&lt;=$O$2,$D621,$D621-($D621-$I$616)*MIN(J$3-$O$2,$Q$2)/$Q$2))</f>
        <v>33424.0063264955</v>
      </c>
      <c r="K621" s="15" t="n">
        <f aca="false">J621*(1+IF(K$3&lt;=$O$2,$D621,$D621-($D621-$I$616)*MIN(K$3-$O$2,$Q$2)/$Q$2))</f>
        <v>36869.0186585674</v>
      </c>
      <c r="L621" s="15" t="n">
        <f aca="false">K621*(1+IF(L$3&lt;=$O$2,$D621,$D621-($D621-$I$616)*MIN(L$3-$O$2,$Q$2)/$Q$2))</f>
        <v>39688.7612055747</v>
      </c>
      <c r="M621" s="15" t="n">
        <f aca="false">L621*(1+IF(M$3&lt;=$O$2,$D621,$D621-($D621-$I$616)*MIN(M$3-$O$2,$Q$2)/$Q$2))</f>
        <v>41668.8335021208</v>
      </c>
      <c r="N621" s="15" t="n">
        <f aca="false">M621*(1+IF(N$3&lt;=$O$2,$D621,$D621-($D621-$I$616)*MIN(N$3-$O$2,$Q$2)/$Q$2))</f>
        <v>42639.7173227202</v>
      </c>
      <c r="O621" s="15" t="n">
        <f aca="false">SUMPRODUCT(E621:N621,1/(1+$F$616)^$E$3:$N$3)*$E$2</f>
        <v>55399.4743351351</v>
      </c>
      <c r="P621" s="15" t="n">
        <f aca="false">N621*$E$2*(1+$I$616)/($F$616-$I$616)/(1+$F$616)^$N$3</f>
        <v>64464.4084527475</v>
      </c>
      <c r="Q621" s="15" t="n">
        <f aca="false">O621+P621</f>
        <v>119863.882787883</v>
      </c>
      <c r="R621" s="15" t="n">
        <f aca="false">Q621-$G$2+$I$2</f>
        <v>108243.882787883</v>
      </c>
      <c r="S621" s="40" t="n">
        <f aca="false">R621/$K$2</f>
        <v>367.214719231545</v>
      </c>
      <c r="T621" s="41" t="n">
        <f aca="false">S621-$M$2</f>
        <v>-42.7659436581652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0.15625</v>
      </c>
      <c r="C622" s="25" t="n">
        <f aca="false">IF(T621&gt;0,D621,C621)</f>
        <v>0.25</v>
      </c>
      <c r="D622" s="39" t="n">
        <f aca="false">(B622+C622)/2</f>
        <v>0.203125</v>
      </c>
      <c r="E622" s="15" t="n">
        <f aca="false">$C$2*(1+IF(E$3&lt;=$O$2,$D622,$D622-($D622-$I$616)*MIN(E$3-$O$2,$Q$2)/$Q$2))</f>
        <v>17225.140625</v>
      </c>
      <c r="F622" s="15" t="n">
        <f aca="false">E622*(1+IF(F$3&lt;=$O$2,$D622,$D622-($D622-$I$616)*MIN(F$3-$O$2,$Q$2)/$Q$2))</f>
        <v>20723.9973144531</v>
      </c>
      <c r="G622" s="15" t="n">
        <f aca="false">F622*(1+IF(G$3&lt;=$O$2,$D622,$D622-($D622-$I$616)*MIN(G$3-$O$2,$Q$2)/$Q$2))</f>
        <v>24933.5592689514</v>
      </c>
      <c r="H622" s="15" t="n">
        <f aca="false">G622*(1+IF(H$3&lt;=$O$2,$D622,$D622-($D622-$I$616)*MIN(H$3-$O$2,$Q$2)/$Q$2))</f>
        <v>29998.1884954572</v>
      </c>
      <c r="I622" s="15" t="n">
        <f aca="false">H622*(1+IF(I$3&lt;=$O$2,$D622,$D622-($D622-$I$616)*MIN(I$3-$O$2,$Q$2)/$Q$2))</f>
        <v>36091.5705335969</v>
      </c>
      <c r="J622" s="15" t="n">
        <f aca="false">I622*(1+IF(J$3&lt;=$O$2,$D622,$D622-($D622-$I$616)*MIN(J$3-$O$2,$Q$2)/$Q$2))</f>
        <v>42124.637463993</v>
      </c>
      <c r="K622" s="15" t="n">
        <f aca="false">J622*(1+IF(K$3&lt;=$O$2,$D622,$D622-($D622-$I$616)*MIN(K$3-$O$2,$Q$2)/$Q$2))</f>
        <v>47651.1792760815</v>
      </c>
      <c r="L622" s="15" t="n">
        <f aca="false">K622*(1+IF(L$3&lt;=$O$2,$D622,$D622-($D622-$I$616)*MIN(L$3-$O$2,$Q$2)/$Q$2))</f>
        <v>52189.0010785428</v>
      </c>
      <c r="M622" s="15" t="n">
        <f aca="false">L622*(1+IF(M$3&lt;=$O$2,$D622,$D622-($D622-$I$616)*MIN(M$3-$O$2,$Q$2)/$Q$2))</f>
        <v>55281.9822274626</v>
      </c>
      <c r="N622" s="15" t="n">
        <f aca="false">M622*(1+IF(N$3&lt;=$O$2,$D622,$D622-($D622-$I$616)*MIN(N$3-$O$2,$Q$2)/$Q$2))</f>
        <v>56570.0524133625</v>
      </c>
      <c r="O622" s="15" t="n">
        <f aca="false">SUMPRODUCT(E622:N622,1/(1+$F$616)^$E$3:$N$3)*$E$2</f>
        <v>67606.9945977795</v>
      </c>
      <c r="P622" s="15" t="n">
        <f aca="false">N622*$E$2*(1+$I$616)/($F$616-$I$616)/(1+$F$616)^$N$3</f>
        <v>85524.8391392405</v>
      </c>
      <c r="Q622" s="15" t="n">
        <f aca="false">O622+P622</f>
        <v>153131.83373702</v>
      </c>
      <c r="R622" s="15" t="n">
        <f aca="false">Q622-$G$2+$I$2</f>
        <v>141511.83373702</v>
      </c>
      <c r="S622" s="40" t="n">
        <f aca="false">R622/$K$2</f>
        <v>480.075427407877</v>
      </c>
      <c r="T622" s="41" t="n">
        <f aca="false">S622-$M$2</f>
        <v>70.0947645181668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0.15625</v>
      </c>
      <c r="C623" s="25" t="n">
        <f aca="false">IF(T622&gt;0,D622,C622)</f>
        <v>0.203125</v>
      </c>
      <c r="D623" s="39" t="n">
        <f aca="false">(B623+C623)/2</f>
        <v>0.1796875</v>
      </c>
      <c r="E623" s="15" t="n">
        <f aca="false">$C$2*(1+IF(E$3&lt;=$O$2,$D623,$D623-($D623-$I$616)*MIN(E$3-$O$2,$Q$2)/$Q$2))</f>
        <v>16889.5859375</v>
      </c>
      <c r="F623" s="15" t="n">
        <f aca="false">E623*(1+IF(F$3&lt;=$O$2,$D623,$D623-($D623-$I$616)*MIN(F$3-$O$2,$Q$2)/$Q$2))</f>
        <v>19924.4334106445</v>
      </c>
      <c r="G623" s="15" t="n">
        <f aca="false">F623*(1+IF(G$3&lt;=$O$2,$D623,$D623-($D623-$I$616)*MIN(G$3-$O$2,$Q$2)/$Q$2))</f>
        <v>23504.6050391197</v>
      </c>
      <c r="H623" s="15" t="n">
        <f aca="false">G623*(1+IF(H$3&lt;=$O$2,$D623,$D623-($D623-$I$616)*MIN(H$3-$O$2,$Q$2)/$Q$2))</f>
        <v>27728.0887570865</v>
      </c>
      <c r="I623" s="15" t="n">
        <f aca="false">H623*(1+IF(I$3&lt;=$O$2,$D623,$D623-($D623-$I$616)*MIN(I$3-$O$2,$Q$2)/$Q$2))</f>
        <v>32710.4797056255</v>
      </c>
      <c r="J623" s="15" t="n">
        <f aca="false">I623*(1+IF(J$3&lt;=$O$2,$D623,$D623-($D623-$I$616)*MIN(J$3-$O$2,$Q$2)/$Q$2))</f>
        <v>37565.0419987374</v>
      </c>
      <c r="K623" s="15" t="n">
        <f aca="false">J623*(1+IF(K$3&lt;=$O$2,$D623,$D623-($D623-$I$616)*MIN(K$3-$O$2,$Q$2)/$Q$2))</f>
        <v>41965.1292806545</v>
      </c>
      <c r="L623" s="15" t="n">
        <f aca="false">K623*(1+IF(L$3&lt;=$O$2,$D623,$D623-($D623-$I$616)*MIN(L$3-$O$2,$Q$2)/$Q$2))</f>
        <v>45568.0454550451</v>
      </c>
      <c r="M623" s="15" t="n">
        <f aca="false">L623*(1+IF(M$3&lt;=$O$2,$D623,$D623-($D623-$I$616)*MIN(M$3-$O$2,$Q$2)/$Q$2))</f>
        <v>48055.0354558678</v>
      </c>
      <c r="N623" s="15" t="n">
        <f aca="false">M623*(1+IF(N$3&lt;=$O$2,$D623,$D623-($D623-$I$616)*MIN(N$3-$O$2,$Q$2)/$Q$2))</f>
        <v>49174.7177819896</v>
      </c>
      <c r="O623" s="15" t="n">
        <f aca="false">SUMPRODUCT(E623:N623,1/(1+$F$616)^$E$3:$N$3)*$E$2</f>
        <v>61206.3736289009</v>
      </c>
      <c r="P623" s="15" t="n">
        <f aca="false">N623*$E$2*(1+$I$616)/($F$616-$I$616)/(1+$F$616)^$N$3</f>
        <v>74344.2802083879</v>
      </c>
      <c r="Q623" s="15" t="n">
        <f aca="false">O623+P623</f>
        <v>135550.653837289</v>
      </c>
      <c r="R623" s="15" t="n">
        <f aca="false">Q623-$G$2+$I$2</f>
        <v>123930.653837289</v>
      </c>
      <c r="S623" s="40" t="n">
        <f aca="false">R623/$K$2</f>
        <v>420.43170552393</v>
      </c>
      <c r="T623" s="41" t="n">
        <f aca="false">S623-$M$2</f>
        <v>10.4510426342192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0.15625</v>
      </c>
      <c r="C624" s="25" t="n">
        <f aca="false">IF(T623&gt;0,D623,C623)</f>
        <v>0.1796875</v>
      </c>
      <c r="D624" s="39" t="n">
        <f aca="false">(B624+C624)/2</f>
        <v>0.16796875</v>
      </c>
      <c r="E624" s="15" t="n">
        <f aca="false">$C$2*(1+IF(E$3&lt;=$O$2,$D624,$D624-($D624-$I$616)*MIN(E$3-$O$2,$Q$2)/$Q$2))</f>
        <v>16721.80859375</v>
      </c>
      <c r="F624" s="15" t="n">
        <f aca="false">E624*(1+IF(F$3&lt;=$O$2,$D624,$D624-($D624-$I$616)*MIN(F$3-$O$2,$Q$2)/$Q$2))</f>
        <v>19530.5498809814</v>
      </c>
      <c r="G624" s="15" t="n">
        <f aca="false">F624*(1+IF(G$3&lt;=$O$2,$D624,$D624-($D624-$I$616)*MIN(G$3-$O$2,$Q$2)/$Q$2))</f>
        <v>22811.0719313025</v>
      </c>
      <c r="H624" s="15" t="n">
        <f aca="false">G624*(1+IF(H$3&lt;=$O$2,$D624,$D624-($D624-$I$616)*MIN(H$3-$O$2,$Q$2)/$Q$2))</f>
        <v>26642.6191697635</v>
      </c>
      <c r="I624" s="15" t="n">
        <f aca="false">H624*(1+IF(I$3&lt;=$O$2,$D624,$D624-($D624-$I$616)*MIN(I$3-$O$2,$Q$2)/$Q$2))</f>
        <v>31117.7466084347</v>
      </c>
      <c r="J624" s="15" t="n">
        <f aca="false">I624*(1+IF(J$3&lt;=$O$2,$D624,$D624-($D624-$I$616)*MIN(J$3-$O$2,$Q$2)/$Q$2))</f>
        <v>35444.2025081385</v>
      </c>
      <c r="K624" s="15" t="n">
        <f aca="false">J624*(1+IF(K$3&lt;=$O$2,$D624,$D624-($D624-$I$616)*MIN(K$3-$O$2,$Q$2)/$Q$2))</f>
        <v>39346.6535095376</v>
      </c>
      <c r="L624" s="15" t="n">
        <f aca="false">K624*(1+IF(L$3&lt;=$O$2,$D624,$D624-($D624-$I$616)*MIN(L$3-$O$2,$Q$2)/$Q$2))</f>
        <v>42540.323008273</v>
      </c>
      <c r="M624" s="15" t="n">
        <f aca="false">L624*(1+IF(M$3&lt;=$O$2,$D624,$D624-($D624-$I$616)*MIN(M$3-$O$2,$Q$2)/$Q$2))</f>
        <v>44762.3636052064</v>
      </c>
      <c r="N624" s="15" t="n">
        <f aca="false">M624*(1+IF(N$3&lt;=$O$2,$D624,$D624-($D624-$I$616)*MIN(N$3-$O$2,$Q$2)/$Q$2))</f>
        <v>45805.3266772077</v>
      </c>
      <c r="O624" s="15" t="n">
        <f aca="false">SUMPRODUCT(E624:N624,1/(1+$F$616)^$E$3:$N$3)*$E$2</f>
        <v>58231.9838518359</v>
      </c>
      <c r="P624" s="15" t="n">
        <f aca="false">N624*$E$2*(1+$I$616)/($F$616-$I$616)/(1+$F$616)^$N$3</f>
        <v>69250.3016819408</v>
      </c>
      <c r="Q624" s="15" t="n">
        <f aca="false">O624+P624</f>
        <v>127482.285533777</v>
      </c>
      <c r="R624" s="15" t="n">
        <f aca="false">Q624-$G$2+$I$2</f>
        <v>115862.285533777</v>
      </c>
      <c r="S624" s="40" t="n">
        <f aca="false">R624/$K$2</f>
        <v>393.059963815099</v>
      </c>
      <c r="T624" s="41" t="n">
        <f aca="false">S624-$M$2</f>
        <v>-16.9206990746117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0.16796875</v>
      </c>
      <c r="C625" s="25" t="n">
        <f aca="false">IF(T624&gt;0,D624,C624)</f>
        <v>0.1796875</v>
      </c>
      <c r="D625" s="39" t="n">
        <f aca="false">(B625+C625)/2</f>
        <v>0.173828125</v>
      </c>
      <c r="E625" s="15" t="n">
        <f aca="false">$C$2*(1+IF(E$3&lt;=$O$2,$D625,$D625-($D625-$I$616)*MIN(E$3-$O$2,$Q$2)/$Q$2))</f>
        <v>16805.697265625</v>
      </c>
      <c r="F625" s="15" t="n">
        <f aca="false">E625*(1+IF(F$3&lt;=$O$2,$D625,$D625-($D625-$I$616)*MIN(F$3-$O$2,$Q$2)/$Q$2))</f>
        <v>19727.0001106262</v>
      </c>
      <c r="G625" s="15" t="n">
        <f aca="false">F625*(1+IF(G$3&lt;=$O$2,$D625,$D625-($D625-$I$616)*MIN(G$3-$O$2,$Q$2)/$Q$2))</f>
        <v>23156.1075517312</v>
      </c>
      <c r="H625" s="15" t="n">
        <f aca="false">G625*(1+IF(H$3&lt;=$O$2,$D625,$D625-($D625-$I$616)*MIN(H$3-$O$2,$Q$2)/$Q$2))</f>
        <v>27181.2903097469</v>
      </c>
      <c r="I625" s="15" t="n">
        <f aca="false">H625*(1+IF(I$3&lt;=$O$2,$D625,$D625-($D625-$I$616)*MIN(I$3-$O$2,$Q$2)/$Q$2))</f>
        <v>31906.1630393709</v>
      </c>
      <c r="J625" s="15" t="n">
        <f aca="false">I625*(1+IF(J$3&lt;=$O$2,$D625,$D625-($D625-$I$616)*MIN(J$3-$O$2,$Q$2)/$Q$2))</f>
        <v>36491.7965567969</v>
      </c>
      <c r="K625" s="15" t="n">
        <f aca="false">J625*(1+IF(K$3&lt;=$O$2,$D625,$D625-($D625-$I$616)*MIN(K$3-$O$2,$Q$2)/$Q$2))</f>
        <v>40637.8804447159</v>
      </c>
      <c r="L625" s="15" t="n">
        <f aca="false">K625*(1+IF(L$3&lt;=$O$2,$D625,$D625-($D625-$I$616)*MIN(L$3-$O$2,$Q$2)/$Q$2))</f>
        <v>44031.6006380047</v>
      </c>
      <c r="M625" s="15" t="n">
        <f aca="false">L625*(1+IF(M$3&lt;=$O$2,$D625,$D625-($D625-$I$616)*MIN(M$3-$O$2,$Q$2)/$Q$2))</f>
        <v>46383.1357898277</v>
      </c>
      <c r="N625" s="15" t="n">
        <f aca="false">M625*(1+IF(N$3&lt;=$O$2,$D625,$D625-($D625-$I$616)*MIN(N$3-$O$2,$Q$2)/$Q$2))</f>
        <v>47463.8628537307</v>
      </c>
      <c r="O625" s="15" t="n">
        <f aca="false">SUMPRODUCT(E625:N625,1/(1+$F$616)^$E$3:$N$3)*$E$2</f>
        <v>59701.0441701652</v>
      </c>
      <c r="P625" s="15" t="n">
        <f aca="false">N625*$E$2*(1+$I$616)/($F$616-$I$616)/(1+$F$616)^$N$3</f>
        <v>71757.7421677169</v>
      </c>
      <c r="Q625" s="15" t="n">
        <f aca="false">O625+P625</f>
        <v>131458.786337882</v>
      </c>
      <c r="R625" s="15" t="n">
        <f aca="false">Q625-$G$2+$I$2</f>
        <v>119838.786337882</v>
      </c>
      <c r="S625" s="40" t="n">
        <f aca="false">R625/$K$2</f>
        <v>406.550145326465</v>
      </c>
      <c r="T625" s="41" t="n">
        <f aca="false">S625-$M$2</f>
        <v>-3.43051756324547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0.173828125</v>
      </c>
      <c r="C626" s="25" t="n">
        <f aca="false">IF(T625&gt;0,D625,C625)</f>
        <v>0.1796875</v>
      </c>
      <c r="D626" s="39" t="n">
        <f aca="false">(B626+C626)/2</f>
        <v>0.1767578125</v>
      </c>
      <c r="E626" s="15" t="n">
        <f aca="false">$C$2*(1+IF(E$3&lt;=$O$2,$D626,$D626-($D626-$I$616)*MIN(E$3-$O$2,$Q$2)/$Q$2))</f>
        <v>16847.6416015625</v>
      </c>
      <c r="F626" s="15" t="n">
        <f aca="false">E626*(1+IF(F$3&lt;=$O$2,$D626,$D626-($D626-$I$616)*MIN(F$3-$O$2,$Q$2)/$Q$2))</f>
        <v>19825.5938768387</v>
      </c>
      <c r="G626" s="15" t="n">
        <f aca="false">F626*(1+IF(G$3&lt;=$O$2,$D626,$D626-($D626-$I$616)*MIN(G$3-$O$2,$Q$2)/$Q$2))</f>
        <v>23329.9224820221</v>
      </c>
      <c r="H626" s="15" t="n">
        <f aca="false">G626*(1+IF(H$3&lt;=$O$2,$D626,$D626-($D626-$I$616)*MIN(H$3-$O$2,$Q$2)/$Q$2))</f>
        <v>27453.6685457389</v>
      </c>
      <c r="I626" s="15" t="n">
        <f aca="false">H626*(1+IF(I$3&lt;=$O$2,$D626,$D626-($D626-$I$616)*MIN(I$3-$O$2,$Q$2)/$Q$2))</f>
        <v>32306.3189429837</v>
      </c>
      <c r="J626" s="15" t="n">
        <f aca="false">I626*(1+IF(J$3&lt;=$O$2,$D626,$D626-($D626-$I$616)*MIN(J$3-$O$2,$Q$2)/$Q$2))</f>
        <v>37025.1818022893</v>
      </c>
      <c r="K626" s="15" t="n">
        <f aca="false">J626*(1+IF(K$3&lt;=$O$2,$D626,$D626-($D626-$I$616)*MIN(K$3-$O$2,$Q$2)/$Q$2))</f>
        <v>41296.9505823592</v>
      </c>
      <c r="L626" s="15" t="n">
        <f aca="false">K626*(1+IF(L$3&lt;=$O$2,$D626,$D626-($D626-$I$616)*MIN(L$3-$O$2,$Q$2)/$Q$2))</f>
        <v>44794.1054106439</v>
      </c>
      <c r="M626" s="15" t="n">
        <f aca="false">L626*(1+IF(M$3&lt;=$O$2,$D626,$D626-($D626-$I$616)*MIN(M$3-$O$2,$Q$2)/$Q$2))</f>
        <v>47212.6091525543</v>
      </c>
      <c r="N626" s="15" t="n">
        <f aca="false">M626*(1+IF(N$3&lt;=$O$2,$D626,$D626-($D626-$I$616)*MIN(N$3-$O$2,$Q$2)/$Q$2))</f>
        <v>48312.6629458088</v>
      </c>
      <c r="O626" s="15" t="n">
        <f aca="false">SUMPRODUCT(E626:N626,1/(1+$F$616)^$E$3:$N$3)*$E$2</f>
        <v>60449.1244654659</v>
      </c>
      <c r="P626" s="15" t="n">
        <f aca="false">N626*$E$2*(1+$I$616)/($F$616-$I$616)/(1+$F$616)^$N$3</f>
        <v>73040.9916652761</v>
      </c>
      <c r="Q626" s="15" t="n">
        <f aca="false">O626+P626</f>
        <v>133490.116130742</v>
      </c>
      <c r="R626" s="15" t="n">
        <f aca="false">Q626-$G$2+$I$2</f>
        <v>121870.116130742</v>
      </c>
      <c r="S626" s="40" t="n">
        <f aca="false">R626/$K$2</f>
        <v>413.441381859558</v>
      </c>
      <c r="T626" s="41" t="n">
        <f aca="false">S626-$M$2</f>
        <v>3.46071896984768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0.173828125</v>
      </c>
      <c r="C627" s="25" t="n">
        <f aca="false">IF(T626&gt;0,D626,C626)</f>
        <v>0.1767578125</v>
      </c>
      <c r="D627" s="39" t="n">
        <f aca="false">(B627+C627)/2</f>
        <v>0.17529296875</v>
      </c>
      <c r="E627" s="15" t="n">
        <f aca="false">$C$2*(1+IF(E$3&lt;=$O$2,$D627,$D627-($D627-$I$616)*MIN(E$3-$O$2,$Q$2)/$Q$2))</f>
        <v>16826.6694335938</v>
      </c>
      <c r="F627" s="15" t="n">
        <f aca="false">E627*(1+IF(F$3&lt;=$O$2,$D627,$D627-($D627-$I$616)*MIN(F$3-$O$2,$Q$2)/$Q$2))</f>
        <v>19776.2662727833</v>
      </c>
      <c r="G627" s="15" t="n">
        <f aca="false">F627*(1+IF(G$3&lt;=$O$2,$D627,$D627-($D627-$I$616)*MIN(G$3-$O$2,$Q$2)/$Q$2))</f>
        <v>23242.90669853</v>
      </c>
      <c r="H627" s="15" t="n">
        <f aca="false">G627*(1+IF(H$3&lt;=$O$2,$D627,$D627-($D627-$I$616)*MIN(H$3-$O$2,$Q$2)/$Q$2))</f>
        <v>27317.2248160945</v>
      </c>
      <c r="I627" s="15" t="n">
        <f aca="false">H627*(1+IF(I$3&lt;=$O$2,$D627,$D627-($D627-$I$616)*MIN(I$3-$O$2,$Q$2)/$Q$2))</f>
        <v>32105.7422521189</v>
      </c>
      <c r="J627" s="15" t="n">
        <f aca="false">I627*(1+IF(J$3&lt;=$O$2,$D627,$D627-($D627-$I$616)*MIN(J$3-$O$2,$Q$2)/$Q$2))</f>
        <v>36757.6837096508</v>
      </c>
      <c r="K627" s="15" t="n">
        <f aca="false">J627*(1+IF(K$3&lt;=$O$2,$D627,$D627-($D627-$I$616)*MIN(K$3-$O$2,$Q$2)/$Q$2))</f>
        <v>40966.2834229277</v>
      </c>
      <c r="L627" s="15" t="n">
        <f aca="false">K627*(1+IF(L$3&lt;=$O$2,$D627,$D627-($D627-$I$616)*MIN(L$3-$O$2,$Q$2)/$Q$2))</f>
        <v>44411.4326411237</v>
      </c>
      <c r="M627" s="15" t="n">
        <f aca="false">L627*(1+IF(M$3&lt;=$O$2,$D627,$D627-($D627-$I$616)*MIN(M$3-$O$2,$Q$2)/$Q$2))</f>
        <v>46796.2641203749</v>
      </c>
      <c r="N627" s="15" t="n">
        <f aca="false">M627*(1+IF(N$3&lt;=$O$2,$D627,$D627-($D627-$I$616)*MIN(N$3-$O$2,$Q$2)/$Q$2))</f>
        <v>47886.6170743797</v>
      </c>
      <c r="O627" s="15" t="n">
        <f aca="false">SUMPRODUCT(E627:N627,1/(1+$F$616)^$E$3:$N$3)*$E$2</f>
        <v>60073.9445965474</v>
      </c>
      <c r="P627" s="15" t="n">
        <f aca="false">N627*$E$2*(1+$I$616)/($F$616-$I$616)/(1+$F$616)^$N$3</f>
        <v>72396.8786926796</v>
      </c>
      <c r="Q627" s="15" t="n">
        <f aca="false">O627+P627</f>
        <v>132470.823289227</v>
      </c>
      <c r="R627" s="15" t="n">
        <f aca="false">Q627-$G$2+$I$2</f>
        <v>120850.823289227</v>
      </c>
      <c r="S627" s="40" t="n">
        <f aca="false">R627/$K$2</f>
        <v>409.983455878234</v>
      </c>
      <c r="T627" s="41" t="n">
        <f aca="false">S627-$M$2</f>
        <v>0.00279298852325383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0.173828125</v>
      </c>
      <c r="C628" s="25" t="n">
        <f aca="false">IF(T627&gt;0,D627,C627)</f>
        <v>0.17529296875</v>
      </c>
      <c r="D628" s="39" t="n">
        <f aca="false">(B628+C628)/2</f>
        <v>0.174560546875</v>
      </c>
      <c r="E628" s="15" t="n">
        <f aca="false">$C$2*(1+IF(E$3&lt;=$O$2,$D628,$D628-($D628-$I$616)*MIN(E$3-$O$2,$Q$2)/$Q$2))</f>
        <v>16816.1833496094</v>
      </c>
      <c r="F628" s="15" t="n">
        <f aca="false">E628*(1+IF(F$3&lt;=$O$2,$D628,$D628-($D628-$I$616)*MIN(F$3-$O$2,$Q$2)/$Q$2))</f>
        <v>19751.6255114675</v>
      </c>
      <c r="G628" s="15" t="n">
        <f aca="false">F628*(1+IF(G$3&lt;=$O$2,$D628,$D628-($D628-$I$616)*MIN(G$3-$O$2,$Q$2)/$Q$2))</f>
        <v>23199.4800624194</v>
      </c>
      <c r="H628" s="15" t="n">
        <f aca="false">G628*(1+IF(H$3&lt;=$O$2,$D628,$D628-($D628-$I$616)*MIN(H$3-$O$2,$Q$2)/$Q$2))</f>
        <v>27249.193989331</v>
      </c>
      <c r="I628" s="15" t="n">
        <f aca="false">H628*(1+IF(I$3&lt;=$O$2,$D628,$D628-($D628-$I$616)*MIN(I$3-$O$2,$Q$2)/$Q$2))</f>
        <v>32005.8281940116</v>
      </c>
      <c r="J628" s="15" t="n">
        <f aca="false">I628*(1+IF(J$3&lt;=$O$2,$D628,$D628-($D628-$I$616)*MIN(J$3-$O$2,$Q$2)/$Q$2))</f>
        <v>36624.5392515829</v>
      </c>
      <c r="K628" s="15" t="n">
        <f aca="false">J628*(1+IF(K$3&lt;=$O$2,$D628,$D628-($D628-$I$616)*MIN(K$3-$O$2,$Q$2)/$Q$2))</f>
        <v>40801.7997178883</v>
      </c>
      <c r="L628" s="15" t="n">
        <f aca="false">K628*(1+IF(L$3&lt;=$O$2,$D628,$D628-($D628-$I$616)*MIN(L$3-$O$2,$Q$2)/$Q$2))</f>
        <v>44221.1626668399</v>
      </c>
      <c r="M628" s="15" t="n">
        <f aca="false">L628*(1+IF(M$3&lt;=$O$2,$D628,$D628-($D628-$I$616)*MIN(M$3-$O$2,$Q$2)/$Q$2))</f>
        <v>46589.2992066642</v>
      </c>
      <c r="N628" s="15" t="n">
        <f aca="false">M628*(1+IF(N$3&lt;=$O$2,$D628,$D628-($D628-$I$616)*MIN(N$3-$O$2,$Q$2)/$Q$2))</f>
        <v>47674.8298781795</v>
      </c>
      <c r="O628" s="15" t="n">
        <f aca="false">SUMPRODUCT(E628:N628,1/(1+$F$616)^$E$3:$N$3)*$E$2</f>
        <v>59887.2102480813</v>
      </c>
      <c r="P628" s="15" t="n">
        <f aca="false">N628*$E$2*(1+$I$616)/($F$616-$I$616)/(1+$F$616)^$N$3</f>
        <v>72076.6904461774</v>
      </c>
      <c r="Q628" s="15" t="n">
        <f aca="false">O628+P628</f>
        <v>131963.900694259</v>
      </c>
      <c r="R628" s="15" t="n">
        <f aca="false">Q628-$G$2+$I$2</f>
        <v>120343.900694259</v>
      </c>
      <c r="S628" s="40" t="n">
        <f aca="false">R628/$K$2</f>
        <v>408.263733399799</v>
      </c>
      <c r="T628" s="41" t="n">
        <f aca="false">S628-$M$2</f>
        <v>-1.71692948991176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0.174560546875</v>
      </c>
      <c r="C629" s="25" t="n">
        <f aca="false">IF(T628&gt;0,D628,C628)</f>
        <v>0.17529296875</v>
      </c>
      <c r="D629" s="39" t="n">
        <f aca="false">(B629+C629)/2</f>
        <v>0.1749267578125</v>
      </c>
      <c r="E629" s="15" t="n">
        <f aca="false">$C$2*(1+IF(E$3&lt;=$O$2,$D629,$D629-($D629-$I$616)*MIN(E$3-$O$2,$Q$2)/$Q$2))</f>
        <v>16821.4263916016</v>
      </c>
      <c r="F629" s="15" t="n">
        <f aca="false">E629*(1+IF(F$3&lt;=$O$2,$D629,$D629-($D629-$I$616)*MIN(F$3-$O$2,$Q$2)/$Q$2))</f>
        <v>19763.943972066</v>
      </c>
      <c r="G629" s="15" t="n">
        <f aca="false">F629*(1+IF(G$3&lt;=$O$2,$D629,$D629-($D629-$I$616)*MIN(G$3-$O$2,$Q$2)/$Q$2))</f>
        <v>23221.1866126875</v>
      </c>
      <c r="H629" s="15" t="n">
        <f aca="false">G629*(1+IF(H$3&lt;=$O$2,$D629,$D629-($D629-$I$616)*MIN(H$3-$O$2,$Q$2)/$Q$2))</f>
        <v>27283.1934994039</v>
      </c>
      <c r="I629" s="15" t="n">
        <f aca="false">H629*(1+IF(I$3&lt;=$O$2,$D629,$D629-($D629-$I$616)*MIN(I$3-$O$2,$Q$2)/$Q$2))</f>
        <v>32055.7540810257</v>
      </c>
      <c r="J629" s="15" t="n">
        <f aca="false">I629*(1+IF(J$3&lt;=$O$2,$D629,$D629-($D629-$I$616)*MIN(J$3-$O$2,$Q$2)/$Q$2))</f>
        <v>36691.0611995462</v>
      </c>
      <c r="K629" s="15" t="n">
        <f aca="false">J629*(1+IF(K$3&lt;=$O$2,$D629,$D629-($D629-$I$616)*MIN(K$3-$O$2,$Q$2)/$Q$2))</f>
        <v>40883.970915728</v>
      </c>
      <c r="L629" s="15" t="n">
        <f aca="false">K629*(1+IF(L$3&lt;=$O$2,$D629,$D629-($D629-$I$616)*MIN(L$3-$O$2,$Q$2)/$Q$2))</f>
        <v>44316.2090206454</v>
      </c>
      <c r="M629" s="15" t="n">
        <f aca="false">L629*(1+IF(M$3&lt;=$O$2,$D629,$D629-($D629-$I$616)*MIN(M$3-$O$2,$Q$2)/$Q$2))</f>
        <v>46692.6813092947</v>
      </c>
      <c r="N629" s="15" t="n">
        <f aca="false">M629*(1+IF(N$3&lt;=$O$2,$D629,$D629-($D629-$I$616)*MIN(N$3-$O$2,$Q$2)/$Q$2))</f>
        <v>47780.6207838013</v>
      </c>
      <c r="O629" s="15" t="n">
        <f aca="false">SUMPRODUCT(E629:N629,1/(1+$F$616)^$E$3:$N$3)*$E$2</f>
        <v>59980.5062892651</v>
      </c>
      <c r="P629" s="15" t="n">
        <f aca="false">N629*$E$2*(1+$I$616)/($F$616-$I$616)/(1+$F$616)^$N$3</f>
        <v>72236.6293148845</v>
      </c>
      <c r="Q629" s="15" t="n">
        <f aca="false">O629+P629</f>
        <v>132217.13560415</v>
      </c>
      <c r="R629" s="15" t="n">
        <f aca="false">Q629-$G$2+$I$2</f>
        <v>120597.13560415</v>
      </c>
      <c r="S629" s="40" t="n">
        <f aca="false">R629/$K$2</f>
        <v>409.122826624655</v>
      </c>
      <c r="T629" s="41" t="n">
        <f aca="false">S629-$M$2</f>
        <v>-0.857836265055255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0.1749267578125</v>
      </c>
      <c r="C630" s="25" t="n">
        <f aca="false">IF(T629&gt;0,D629,C629)</f>
        <v>0.17529296875</v>
      </c>
      <c r="D630" s="39" t="n">
        <f aca="false">(B630+C630)/2</f>
        <v>0.17510986328125</v>
      </c>
      <c r="E630" s="15" t="n">
        <f aca="false">$C$2*(1+IF(E$3&lt;=$O$2,$D630,$D630-($D630-$I$616)*MIN(E$3-$O$2,$Q$2)/$Q$2))</f>
        <v>16824.0479125977</v>
      </c>
      <c r="F630" s="15" t="n">
        <f aca="false">E630*(1+IF(F$3&lt;=$O$2,$D630,$D630-($D630-$I$616)*MIN(F$3-$O$2,$Q$2)/$Q$2))</f>
        <v>19770.1046424098</v>
      </c>
      <c r="G630" s="15" t="n">
        <f aca="false">F630*(1+IF(G$3&lt;=$O$2,$D630,$D630-($D630-$I$616)*MIN(G$3-$O$2,$Q$2)/$Q$2))</f>
        <v>23232.0449633982</v>
      </c>
      <c r="H630" s="15" t="n">
        <f aca="false">G630*(1+IF(H$3&lt;=$O$2,$D630,$D630-($D630-$I$616)*MIN(H$3-$O$2,$Q$2)/$Q$2))</f>
        <v>27300.2051806827</v>
      </c>
      <c r="I630" s="15" t="n">
        <f aca="false">H630*(1+IF(I$3&lt;=$O$2,$D630,$D630-($D630-$I$616)*MIN(I$3-$O$2,$Q$2)/$Q$2))</f>
        <v>32080.7403774222</v>
      </c>
      <c r="J630" s="15" t="n">
        <f aca="false">I630*(1+IF(J$3&lt;=$O$2,$D630,$D630-($D630-$I$616)*MIN(J$3-$O$2,$Q$2)/$Q$2))</f>
        <v>36724.3598767423</v>
      </c>
      <c r="K630" s="15" t="n">
        <f aca="false">J630*(1+IF(K$3&lt;=$O$2,$D630,$D630-($D630-$I$616)*MIN(K$3-$O$2,$Q$2)/$Q$2))</f>
        <v>40925.1094930582</v>
      </c>
      <c r="L630" s="15" t="n">
        <f aca="false">K630*(1+IF(L$3&lt;=$O$2,$D630,$D630-($D630-$I$616)*MIN(L$3-$O$2,$Q$2)/$Q$2))</f>
        <v>44363.798655011</v>
      </c>
      <c r="M630" s="15" t="n">
        <f aca="false">L630*(1+IF(M$3&lt;=$O$2,$D630,$D630-($D630-$I$616)*MIN(M$3-$O$2,$Q$2)/$Q$2))</f>
        <v>46744.4476053636</v>
      </c>
      <c r="N630" s="15" t="n">
        <f aca="false">M630*(1+IF(N$3&lt;=$O$2,$D630,$D630-($D630-$I$616)*MIN(N$3-$O$2,$Q$2)/$Q$2))</f>
        <v>47833.5932345685</v>
      </c>
      <c r="O630" s="15" t="n">
        <f aca="false">SUMPRODUCT(E630:N630,1/(1+$F$616)^$E$3:$N$3)*$E$2</f>
        <v>60027.207647227</v>
      </c>
      <c r="P630" s="15" t="n">
        <f aca="false">N630*$E$2*(1+$I$616)/($F$616-$I$616)/(1+$F$616)^$N$3</f>
        <v>72316.7151577892</v>
      </c>
      <c r="Q630" s="15" t="n">
        <f aca="false">O630+P630</f>
        <v>132343.922805016</v>
      </c>
      <c r="R630" s="15" t="n">
        <f aca="false">Q630-$G$2+$I$2</f>
        <v>120723.922805016</v>
      </c>
      <c r="S630" s="40" t="n">
        <f aca="false">R630/$K$2</f>
        <v>409.55294909596</v>
      </c>
      <c r="T630" s="41" t="n">
        <f aca="false">S630-$M$2</f>
        <v>-0.427713793750229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0.17510986328125</v>
      </c>
      <c r="C631" s="25" t="n">
        <f aca="false">IF(T630&gt;0,D630,C630)</f>
        <v>0.17529296875</v>
      </c>
      <c r="D631" s="39" t="n">
        <f aca="false">(B631+C631)/2</f>
        <v>0.175201416015625</v>
      </c>
      <c r="E631" s="15" t="n">
        <f aca="false">$C$2*(1+IF(E$3&lt;=$O$2,$D631,$D631-($D631-$I$616)*MIN(E$3-$O$2,$Q$2)/$Q$2))</f>
        <v>16825.3586730957</v>
      </c>
      <c r="F631" s="15" t="n">
        <f aca="false">E631*(1+IF(F$3&lt;=$O$2,$D631,$D631-($D631-$I$616)*MIN(F$3-$O$2,$Q$2)/$Q$2))</f>
        <v>19773.1853375928</v>
      </c>
      <c r="G631" s="15" t="n">
        <f aca="false">F631*(1+IF(G$3&lt;=$O$2,$D631,$D631-($D631-$I$616)*MIN(G$3-$O$2,$Q$2)/$Q$2))</f>
        <v>23237.4754078785</v>
      </c>
      <c r="H631" s="15" t="n">
        <f aca="false">G631*(1+IF(H$3&lt;=$O$2,$D631,$D631-($D631-$I$616)*MIN(H$3-$O$2,$Q$2)/$Q$2))</f>
        <v>27308.7140039671</v>
      </c>
      <c r="I631" s="15" t="n">
        <f aca="false">H631*(1+IF(I$3&lt;=$O$2,$D631,$D631-($D631-$I$616)*MIN(I$3-$O$2,$Q$2)/$Q$2))</f>
        <v>32093.2393670278</v>
      </c>
      <c r="J631" s="15" t="n">
        <f aca="false">I631*(1+IF(J$3&lt;=$O$2,$D631,$D631-($D631-$I$616)*MIN(J$3-$O$2,$Q$2)/$Q$2))</f>
        <v>36741.0186477835</v>
      </c>
      <c r="K631" s="15" t="n">
        <f aca="false">J631*(1+IF(K$3&lt;=$O$2,$D631,$D631-($D631-$I$616)*MIN(K$3-$O$2,$Q$2)/$Q$2))</f>
        <v>40945.6920373498</v>
      </c>
      <c r="L631" s="15" t="n">
        <f aca="false">K631*(1+IF(L$3&lt;=$O$2,$D631,$D631-($D631-$I$616)*MIN(L$3-$O$2,$Q$2)/$Q$2))</f>
        <v>44387.6101019053</v>
      </c>
      <c r="M631" s="15" t="n">
        <f aca="false">L631*(1+IF(M$3&lt;=$O$2,$D631,$D631-($D631-$I$616)*MIN(M$3-$O$2,$Q$2)/$Q$2))</f>
        <v>46770.3495828854</v>
      </c>
      <c r="N631" s="15" t="n">
        <f aca="false">M631*(1+IF(N$3&lt;=$O$2,$D631,$D631-($D631-$I$616)*MIN(N$3-$O$2,$Q$2)/$Q$2))</f>
        <v>47860.0987281667</v>
      </c>
      <c r="O631" s="15" t="n">
        <f aca="false">SUMPRODUCT(E631:N631,1/(1+$F$616)^$E$3:$N$3)*$E$2</f>
        <v>60050.5716714144</v>
      </c>
      <c r="P631" s="15" t="n">
        <f aca="false">N631*$E$2*(1+$I$616)/($F$616-$I$616)/(1+$F$616)^$N$3</f>
        <v>72356.7872096891</v>
      </c>
      <c r="Q631" s="15" t="n">
        <f aca="false">O631+P631</f>
        <v>132407.358881104</v>
      </c>
      <c r="R631" s="15" t="n">
        <f aca="false">Q631-$G$2+$I$2</f>
        <v>120787.358881103</v>
      </c>
      <c r="S631" s="40" t="n">
        <f aca="false">R631/$K$2</f>
        <v>409.768154429228</v>
      </c>
      <c r="T631" s="41" t="n">
        <f aca="false">S631-$M$2</f>
        <v>-0.212508460482695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0.175201416015625</v>
      </c>
      <c r="C632" s="25" t="n">
        <f aca="false">IF(T631&gt;0,D631,C631)</f>
        <v>0.17529296875</v>
      </c>
      <c r="D632" s="39" t="n">
        <f aca="false">(B632+C632)/2</f>
        <v>0.175247192382813</v>
      </c>
      <c r="E632" s="15" t="n">
        <f aca="false">$C$2*(1+IF(E$3&lt;=$O$2,$D632,$D632-($D632-$I$616)*MIN(E$3-$O$2,$Q$2)/$Q$2))</f>
        <v>16826.0140533447</v>
      </c>
      <c r="F632" s="15" t="n">
        <f aca="false">E632*(1+IF(F$3&lt;=$O$2,$D632,$D632-($D632-$I$616)*MIN(F$3-$O$2,$Q$2)/$Q$2))</f>
        <v>19774.7257751871</v>
      </c>
      <c r="G632" s="15" t="n">
        <f aca="false">F632*(1+IF(G$3&lt;=$O$2,$D632,$D632-($D632-$I$616)*MIN(G$3-$O$2,$Q$2)/$Q$2))</f>
        <v>23240.1909474287</v>
      </c>
      <c r="H632" s="15" t="n">
        <f aca="false">G632*(1+IF(H$3&lt;=$O$2,$D632,$D632-($D632-$I$616)*MIN(H$3-$O$2,$Q$2)/$Q$2))</f>
        <v>27312.9691614061</v>
      </c>
      <c r="I632" s="15" t="n">
        <f aca="false">H632*(1+IF(I$3&lt;=$O$2,$D632,$D632-($D632-$I$616)*MIN(I$3-$O$2,$Q$2)/$Q$2))</f>
        <v>32099.4903225808</v>
      </c>
      <c r="J632" s="15" t="n">
        <f aca="false">I632*(1+IF(J$3&lt;=$O$2,$D632,$D632-($D632-$I$616)*MIN(J$3-$O$2,$Q$2)/$Q$2))</f>
        <v>36749.3503922453</v>
      </c>
      <c r="K632" s="15" t="n">
        <f aca="false">J632*(1+IF(K$3&lt;=$O$2,$D632,$D632-($D632-$I$616)*MIN(K$3-$O$2,$Q$2)/$Q$2))</f>
        <v>40955.9866247809</v>
      </c>
      <c r="L632" s="15" t="n">
        <f aca="false">K632*(1+IF(L$3&lt;=$O$2,$D632,$D632-($D632-$I$616)*MIN(L$3-$O$2,$Q$2)/$Q$2))</f>
        <v>44399.5199846997</v>
      </c>
      <c r="M632" s="15" t="n">
        <f aca="false">L632*(1+IF(M$3&lt;=$O$2,$D632,$D632-($D632-$I$616)*MIN(M$3-$O$2,$Q$2)/$Q$2))</f>
        <v>46783.3052813071</v>
      </c>
      <c r="N632" s="15" t="n">
        <f aca="false">M632*(1+IF(N$3&lt;=$O$2,$D632,$D632-($D632-$I$616)*MIN(N$3-$O$2,$Q$2)/$Q$2))</f>
        <v>47873.3562943616</v>
      </c>
      <c r="O632" s="15" t="n">
        <f aca="false">SUMPRODUCT(E632:N632,1/(1+$F$616)^$E$3:$N$3)*$E$2</f>
        <v>60062.2570211685</v>
      </c>
      <c r="P632" s="15" t="n">
        <f aca="false">N632*$E$2*(1+$I$616)/($F$616-$I$616)/(1+$F$616)^$N$3</f>
        <v>72376.830521792</v>
      </c>
      <c r="Q632" s="15" t="n">
        <f aca="false">O632+P632</f>
        <v>132439.087542961</v>
      </c>
      <c r="R632" s="15" t="n">
        <f aca="false">Q632-$G$2+$I$2</f>
        <v>120819.087542961</v>
      </c>
      <c r="S632" s="40" t="n">
        <f aca="false">R632/$K$2</f>
        <v>409.875793136888</v>
      </c>
      <c r="T632" s="41" t="n">
        <f aca="false">S632-$M$2</f>
        <v>-0.104869752822424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0.175247192382813</v>
      </c>
      <c r="C633" s="25" t="n">
        <f aca="false">IF(T632&gt;0,D632,C632)</f>
        <v>0.17529296875</v>
      </c>
      <c r="D633" s="39" t="n">
        <f aca="false">(B633+C633)/2</f>
        <v>0.175270080566406</v>
      </c>
      <c r="E633" s="15" t="n">
        <f aca="false">$C$2*(1+IF(E$3&lt;=$O$2,$D633,$D633-($D633-$I$616)*MIN(E$3-$O$2,$Q$2)/$Q$2))</f>
        <v>16826.3417434692</v>
      </c>
      <c r="F633" s="15" t="n">
        <f aca="false">E633*(1+IF(F$3&lt;=$O$2,$D633,$D633-($D633-$I$616)*MIN(F$3-$O$2,$Q$2)/$Q$2))</f>
        <v>19775.496016485</v>
      </c>
      <c r="G633" s="15" t="n">
        <f aca="false">F633*(1+IF(G$3&lt;=$O$2,$D633,$D633-($D633-$I$616)*MIN(G$3-$O$2,$Q$2)/$Q$2))</f>
        <v>23241.5487965349</v>
      </c>
      <c r="H633" s="15" t="n">
        <f aca="false">G633*(1+IF(H$3&lt;=$O$2,$D633,$D633-($D633-$I$616)*MIN(H$3-$O$2,$Q$2)/$Q$2))</f>
        <v>27315.0969265917</v>
      </c>
      <c r="I633" s="15" t="n">
        <f aca="false">H633*(1+IF(I$3&lt;=$O$2,$D633,$D633-($D633-$I$616)*MIN(I$3-$O$2,$Q$2)/$Q$2))</f>
        <v>32102.6161655946</v>
      </c>
      <c r="J633" s="15" t="n">
        <f aca="false">I633*(1+IF(J$3&lt;=$O$2,$D633,$D633-($D633-$I$616)*MIN(J$3-$O$2,$Q$2)/$Q$2))</f>
        <v>36753.5168543152</v>
      </c>
      <c r="K633" s="15" t="n">
        <f aca="false">J633*(1+IF(K$3&lt;=$O$2,$D633,$D633-($D633-$I$616)*MIN(K$3-$O$2,$Q$2)/$Q$2))</f>
        <v>40961.1347474902</v>
      </c>
      <c r="L633" s="15" t="n">
        <f aca="false">K633*(1+IF(L$3&lt;=$O$2,$D633,$D633-($D633-$I$616)*MIN(L$3-$O$2,$Q$2)/$Q$2))</f>
        <v>44405.4759661737</v>
      </c>
      <c r="M633" s="15" t="n">
        <f aca="false">L633*(1+IF(M$3&lt;=$O$2,$D633,$D633-($D633-$I$616)*MIN(M$3-$O$2,$Q$2)/$Q$2))</f>
        <v>46789.7843082194</v>
      </c>
      <c r="N633" s="15" t="n">
        <f aca="false">M633*(1+IF(N$3&lt;=$O$2,$D633,$D633-($D633-$I$616)*MIN(N$3-$O$2,$Q$2)/$Q$2))</f>
        <v>47879.9862826009</v>
      </c>
      <c r="O633" s="15" t="n">
        <f aca="false">SUMPRODUCT(E633:N633,1/(1+$F$616)^$E$3:$N$3)*$E$2</f>
        <v>60068.1005306306</v>
      </c>
      <c r="P633" s="15" t="n">
        <f aca="false">N633*$E$2*(1+$I$616)/($F$616-$I$616)/(1+$F$616)^$N$3</f>
        <v>72386.8539998244</v>
      </c>
      <c r="Q633" s="15" t="n">
        <f aca="false">O633+P633</f>
        <v>132454.954530455</v>
      </c>
      <c r="R633" s="15" t="n">
        <f aca="false">Q633-$G$2+$I$2</f>
        <v>120834.954530455</v>
      </c>
      <c r="S633" s="40" t="n">
        <f aca="false">R633/$K$2</f>
        <v>409.929621503053</v>
      </c>
      <c r="T633" s="41" t="n">
        <f aca="false">S633-$M$2</f>
        <v>-0.0510413866573458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0.175270080566406</v>
      </c>
      <c r="C634" s="25" t="n">
        <f aca="false">IF(T633&gt;0,D633,C633)</f>
        <v>0.17529296875</v>
      </c>
      <c r="D634" s="39" t="n">
        <f aca="false">(B634+C634)/2</f>
        <v>0.175281524658203</v>
      </c>
      <c r="E634" s="15" t="n">
        <f aca="false">$C$2*(1+IF(E$3&lt;=$O$2,$D634,$D634-($D634-$I$616)*MIN(E$3-$O$2,$Q$2)/$Q$2))</f>
        <v>16826.5055885315</v>
      </c>
      <c r="F634" s="15" t="n">
        <f aca="false">E634*(1+IF(F$3&lt;=$O$2,$D634,$D634-($D634-$I$616)*MIN(F$3-$O$2,$Q$2)/$Q$2))</f>
        <v>19775.8811427591</v>
      </c>
      <c r="G634" s="15" t="n">
        <f aca="false">F634*(1+IF(G$3&lt;=$O$2,$D634,$D634-($D634-$I$616)*MIN(G$3-$O$2,$Q$2)/$Q$2))</f>
        <v>23242.2277409213</v>
      </c>
      <c r="H634" s="15" t="n">
        <f aca="false">G634*(1+IF(H$3&lt;=$O$2,$D634,$D634-($D634-$I$616)*MIN(H$3-$O$2,$Q$2)/$Q$2))</f>
        <v>27316.1608558032</v>
      </c>
      <c r="I634" s="15" t="n">
        <f aca="false">H634*(1+IF(I$3&lt;=$O$2,$D634,$D634-($D634-$I$616)*MIN(I$3-$O$2,$Q$2)/$Q$2))</f>
        <v>32104.1791784171</v>
      </c>
      <c r="J634" s="15" t="n">
        <f aca="false">I634*(1+IF(J$3&lt;=$O$2,$D634,$D634-($D634-$I$616)*MIN(J$3-$O$2,$Q$2)/$Q$2))</f>
        <v>36755.6002328229</v>
      </c>
      <c r="K634" s="15" t="n">
        <f aca="false">J634*(1+IF(K$3&lt;=$O$2,$D634,$D634-($D634-$I$616)*MIN(K$3-$O$2,$Q$2)/$Q$2))</f>
        <v>40963.7090161148</v>
      </c>
      <c r="L634" s="15" t="n">
        <f aca="false">K634*(1+IF(L$3&lt;=$O$2,$D634,$D634-($D634-$I$616)*MIN(L$3-$O$2,$Q$2)/$Q$2))</f>
        <v>44408.4542169599</v>
      </c>
      <c r="M634" s="15" t="n">
        <f aca="false">L634*(1+IF(M$3&lt;=$O$2,$D634,$D634-($D634-$I$616)*MIN(M$3-$O$2,$Q$2)/$Q$2))</f>
        <v>46793.0241161366</v>
      </c>
      <c r="N634" s="15" t="n">
        <f aca="false">M634*(1+IF(N$3&lt;=$O$2,$D634,$D634-($D634-$I$616)*MIN(N$3-$O$2,$Q$2)/$Q$2))</f>
        <v>47883.3015780426</v>
      </c>
      <c r="O634" s="15" t="n">
        <f aca="false">SUMPRODUCT(E634:N634,1/(1+$F$616)^$E$3:$N$3)*$E$2</f>
        <v>60071.0224940291</v>
      </c>
      <c r="P634" s="15" t="n">
        <f aca="false">N634*$E$2*(1+$I$616)/($F$616-$I$616)/(1+$F$616)^$N$3</f>
        <v>72391.8661943913</v>
      </c>
      <c r="Q634" s="15" t="n">
        <f aca="false">O634+P634</f>
        <v>132462.88868842</v>
      </c>
      <c r="R634" s="15" t="n">
        <f aca="false">Q634-$G$2+$I$2</f>
        <v>120842.88868842</v>
      </c>
      <c r="S634" s="40" t="n">
        <f aca="false">R634/$K$2</f>
        <v>409.956537939479</v>
      </c>
      <c r="T634" s="41" t="n">
        <f aca="false">S634-$M$2</f>
        <v>-0.0241249502311121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0.175281524658203</v>
      </c>
      <c r="C635" s="25" t="n">
        <f aca="false">IF(T634&gt;0,D634,C634)</f>
        <v>0.17529296875</v>
      </c>
      <c r="D635" s="39" t="n">
        <f aca="false">(B635+C635)/2</f>
        <v>0.175287246704102</v>
      </c>
      <c r="E635" s="15" t="n">
        <f aca="false">$C$2*(1+IF(E$3&lt;=$O$2,$D635,$D635-($D635-$I$616)*MIN(E$3-$O$2,$Q$2)/$Q$2))</f>
        <v>16826.5875110626</v>
      </c>
      <c r="F635" s="15" t="n">
        <f aca="false">E635*(1+IF(F$3&lt;=$O$2,$D635,$D635-($D635-$I$616)*MIN(F$3-$O$2,$Q$2)/$Q$2))</f>
        <v>19776.0737073024</v>
      </c>
      <c r="G635" s="15" t="n">
        <f aca="false">F635*(1+IF(G$3&lt;=$O$2,$D635,$D635-($D635-$I$616)*MIN(G$3-$O$2,$Q$2)/$Q$2))</f>
        <v>23242.5672180728</v>
      </c>
      <c r="H635" s="15" t="n">
        <f aca="false">G635*(1+IF(H$3&lt;=$O$2,$D635,$D635-($D635-$I$616)*MIN(H$3-$O$2,$Q$2)/$Q$2))</f>
        <v>27316.6928320638</v>
      </c>
      <c r="I635" s="15" t="n">
        <f aca="false">H635*(1+IF(I$3&lt;=$O$2,$D635,$D635-($D635-$I$616)*MIN(I$3-$O$2,$Q$2)/$Q$2))</f>
        <v>32104.960707658</v>
      </c>
      <c r="J635" s="15" t="n">
        <f aca="false">I635*(1+IF(J$3&lt;=$O$2,$D635,$D635-($D635-$I$616)*MIN(J$3-$O$2,$Q$2)/$Q$2))</f>
        <v>36756.6419589466</v>
      </c>
      <c r="K635" s="15" t="n">
        <f aca="false">J635*(1+IF(K$3&lt;=$O$2,$D635,$D635-($D635-$I$616)*MIN(K$3-$O$2,$Q$2)/$Q$2))</f>
        <v>40964.9962022473</v>
      </c>
      <c r="L635" s="15" t="n">
        <f aca="false">K635*(1+IF(L$3&lt;=$O$2,$D635,$D635-($D635-$I$616)*MIN(L$3-$O$2,$Q$2)/$Q$2))</f>
        <v>44409.9434073691</v>
      </c>
      <c r="M635" s="15" t="n">
        <f aca="false">L635*(1+IF(M$3&lt;=$O$2,$D635,$D635-($D635-$I$616)*MIN(M$3-$O$2,$Q$2)/$Q$2))</f>
        <v>46794.644093715</v>
      </c>
      <c r="N635" s="15" t="n">
        <f aca="false">M635*(1+IF(N$3&lt;=$O$2,$D635,$D635-($D635-$I$616)*MIN(N$3-$O$2,$Q$2)/$Q$2))</f>
        <v>47884.9593010986</v>
      </c>
      <c r="O635" s="15" t="n">
        <f aca="false">SUMPRODUCT(E635:N635,1/(1+$F$616)^$E$3:$N$3)*$E$2</f>
        <v>60072.4835278979</v>
      </c>
      <c r="P635" s="15" t="n">
        <f aca="false">N635*$E$2*(1+$I$616)/($F$616-$I$616)/(1+$F$616)^$N$3</f>
        <v>72394.3724055692</v>
      </c>
      <c r="Q635" s="15" t="n">
        <f aca="false">O635+P635</f>
        <v>132466.855933467</v>
      </c>
      <c r="R635" s="15" t="n">
        <f aca="false">Q635-$G$2+$I$2</f>
        <v>120846.855933467</v>
      </c>
      <c r="S635" s="40" t="n">
        <f aca="false">R635/$K$2</f>
        <v>409.969996721061</v>
      </c>
      <c r="T635" s="41" t="n">
        <f aca="false">S635-$M$2</f>
        <v>-0.0106661686496068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0.175287246704102</v>
      </c>
      <c r="C636" s="25" t="n">
        <f aca="false">IF(T635&gt;0,D635,C635)</f>
        <v>0.17529296875</v>
      </c>
      <c r="D636" s="39" t="n">
        <f aca="false">(B636+C636)/2</f>
        <v>0.175290107727051</v>
      </c>
      <c r="E636" s="15" t="n">
        <f aca="false">$C$2*(1+IF(E$3&lt;=$O$2,$D636,$D636-($D636-$I$616)*MIN(E$3-$O$2,$Q$2)/$Q$2))</f>
        <v>16826.6284723282</v>
      </c>
      <c r="F636" s="15" t="n">
        <f aca="false">E636*(1+IF(F$3&lt;=$O$2,$D636,$D636-($D636-$I$616)*MIN(F$3-$O$2,$Q$2)/$Q$2))</f>
        <v>19776.1699899257</v>
      </c>
      <c r="G636" s="15" t="n">
        <f aca="false">F636*(1+IF(G$3&lt;=$O$2,$D636,$D636-($D636-$I$616)*MIN(G$3-$O$2,$Q$2)/$Q$2))</f>
        <v>23242.7369578882</v>
      </c>
      <c r="H636" s="15" t="n">
        <f aca="false">G636*(1+IF(H$3&lt;=$O$2,$D636,$D636-($D636-$I$616)*MIN(H$3-$O$2,$Q$2)/$Q$2))</f>
        <v>27316.9588231079</v>
      </c>
      <c r="I636" s="15" t="n">
        <f aca="false">H636*(1+IF(I$3&lt;=$O$2,$D636,$D636-($D636-$I$616)*MIN(I$3-$O$2,$Q$2)/$Q$2))</f>
        <v>32105.3514779859</v>
      </c>
      <c r="J636" s="15" t="n">
        <f aca="false">I636*(1+IF(J$3&lt;=$O$2,$D636,$D636-($D636-$I$616)*MIN(J$3-$O$2,$Q$2)/$Q$2))</f>
        <v>36757.1628312261</v>
      </c>
      <c r="K636" s="15" t="n">
        <f aca="false">J636*(1+IF(K$3&lt;=$O$2,$D636,$D636-($D636-$I$616)*MIN(K$3-$O$2,$Q$2)/$Q$2))</f>
        <v>40965.639808269</v>
      </c>
      <c r="L636" s="15" t="n">
        <f aca="false">K636*(1+IF(L$3&lt;=$O$2,$D636,$D636-($D636-$I$616)*MIN(L$3-$O$2,$Q$2)/$Q$2))</f>
        <v>44410.6880188282</v>
      </c>
      <c r="M636" s="15" t="n">
        <f aca="false">L636*(1+IF(M$3&lt;=$O$2,$D636,$D636-($D636-$I$616)*MIN(M$3-$O$2,$Q$2)/$Q$2))</f>
        <v>46795.4541009097</v>
      </c>
      <c r="N636" s="15" t="n">
        <f aca="false">M636*(1+IF(N$3&lt;=$O$2,$D636,$D636-($D636-$I$616)*MIN(N$3-$O$2,$Q$2)/$Q$2))</f>
        <v>47885.7881814609</v>
      </c>
      <c r="O636" s="15" t="n">
        <f aca="false">SUMPRODUCT(E636:N636,1/(1+$F$616)^$E$3:$N$3)*$E$2</f>
        <v>60073.214057875</v>
      </c>
      <c r="P636" s="15" t="n">
        <f aca="false">N636*$E$2*(1+$I$616)/($F$616-$I$616)/(1+$F$616)^$N$3</f>
        <v>72395.6255396328</v>
      </c>
      <c r="Q636" s="15" t="n">
        <f aca="false">O636+P636</f>
        <v>132468.839597508</v>
      </c>
      <c r="R636" s="15" t="n">
        <f aca="false">Q636-$G$2+$I$2</f>
        <v>120848.839597508</v>
      </c>
      <c r="S636" s="40" t="n">
        <f aca="false">R636/$K$2</f>
        <v>409.976726252698</v>
      </c>
      <c r="T636" s="41" t="n">
        <f aca="false">S636-$M$2</f>
        <v>-0.00393663701277092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0.175290107727051</v>
      </c>
      <c r="C637" s="25" t="n">
        <f aca="false">IF(T636&gt;0,D636,C636)</f>
        <v>0.17529296875</v>
      </c>
      <c r="D637" s="39" t="n">
        <f aca="false">(B637+C637)/2</f>
        <v>0.175291538238525</v>
      </c>
      <c r="E637" s="15" t="n">
        <f aca="false">$C$2*(1+IF(E$3&lt;=$O$2,$D637,$D637-($D637-$I$616)*MIN(E$3-$O$2,$Q$2)/$Q$2))</f>
        <v>16826.648952961</v>
      </c>
      <c r="F637" s="15" t="n">
        <f aca="false">E637*(1+IF(F$3&lt;=$O$2,$D637,$D637-($D637-$I$616)*MIN(F$3-$O$2,$Q$2)/$Q$2))</f>
        <v>19776.2181313252</v>
      </c>
      <c r="G637" s="15" t="n">
        <f aca="false">F637*(1+IF(G$3&lt;=$O$2,$D637,$D637-($D637-$I$616)*MIN(G$3-$O$2,$Q$2)/$Q$2))</f>
        <v>23242.8218281058</v>
      </c>
      <c r="H637" s="15" t="n">
        <f aca="false">G637*(1+IF(H$3&lt;=$O$2,$D637,$D637-($D637-$I$616)*MIN(H$3-$O$2,$Q$2)/$Q$2))</f>
        <v>27317.0918193584</v>
      </c>
      <c r="I637" s="15" t="n">
        <f aca="false">H637*(1+IF(I$3&lt;=$O$2,$D637,$D637-($D637-$I$616)*MIN(I$3-$O$2,$Q$2)/$Q$2))</f>
        <v>32105.5468645768</v>
      </c>
      <c r="J637" s="15" t="n">
        <f aca="false">I637*(1+IF(J$3&lt;=$O$2,$D637,$D637-($D637-$I$616)*MIN(J$3-$O$2,$Q$2)/$Q$2))</f>
        <v>36757.4232696703</v>
      </c>
      <c r="K637" s="15" t="n">
        <f aca="false">J637*(1+IF(K$3&lt;=$O$2,$D637,$D637-($D637-$I$616)*MIN(K$3-$O$2,$Q$2)/$Q$2))</f>
        <v>40965.9616145187</v>
      </c>
      <c r="L637" s="15" t="n">
        <f aca="false">K637*(1+IF(L$3&lt;=$O$2,$D637,$D637-($D637-$I$616)*MIN(L$3-$O$2,$Q$2)/$Q$2))</f>
        <v>44411.0603286214</v>
      </c>
      <c r="M637" s="15" t="n">
        <f aca="false">L637*(1+IF(M$3&lt;=$O$2,$D637,$D637-($D637-$I$616)*MIN(M$3-$O$2,$Q$2)/$Q$2))</f>
        <v>46795.8591091085</v>
      </c>
      <c r="N637" s="15" t="n">
        <f aca="false">M637*(1+IF(N$3&lt;=$O$2,$D637,$D637-($D637-$I$616)*MIN(N$3-$O$2,$Q$2)/$Q$2))</f>
        <v>47886.2026263507</v>
      </c>
      <c r="O637" s="15" t="n">
        <f aca="false">SUMPRODUCT(E637:N637,1/(1+$F$616)^$E$3:$N$3)*$E$2</f>
        <v>60073.5793261243</v>
      </c>
      <c r="P637" s="15" t="n">
        <f aca="false">N637*$E$2*(1+$I$616)/($F$616-$I$616)/(1+$F$616)^$N$3</f>
        <v>72396.2521137832</v>
      </c>
      <c r="Q637" s="15" t="n">
        <f aca="false">O637+P637</f>
        <v>132469.831439908</v>
      </c>
      <c r="R637" s="15" t="n">
        <f aca="false">Q637-$G$2+$I$2</f>
        <v>120849.831439907</v>
      </c>
      <c r="S637" s="40" t="n">
        <f aca="false">R637/$K$2</f>
        <v>409.980091053728</v>
      </c>
      <c r="T637" s="41" t="n">
        <f aca="false">S637-$M$2</f>
        <v>-0.000571835982270841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0.175291538238525</v>
      </c>
      <c r="C638" s="25" t="n">
        <f aca="false">IF(T637&gt;0,D637,C637)</f>
        <v>0.17529296875</v>
      </c>
      <c r="D638" s="39" t="n">
        <f aca="false">(B638+C638)/2</f>
        <v>0.175292253494263</v>
      </c>
      <c r="E638" s="15" t="n">
        <f aca="false">$C$2*(1+IF(E$3&lt;=$O$2,$D638,$D638-($D638-$I$616)*MIN(E$3-$O$2,$Q$2)/$Q$2))</f>
        <v>16826.6591932774</v>
      </c>
      <c r="F638" s="15" t="n">
        <f aca="false">E638*(1+IF(F$3&lt;=$O$2,$D638,$D638-($D638-$I$616)*MIN(F$3-$O$2,$Q$2)/$Q$2))</f>
        <v>19776.2422020469</v>
      </c>
      <c r="G638" s="15" t="n">
        <f aca="false">F638*(1+IF(G$3&lt;=$O$2,$D638,$D638-($D638-$I$616)*MIN(G$3-$O$2,$Q$2)/$Q$2))</f>
        <v>23242.864263292</v>
      </c>
      <c r="H638" s="15" t="n">
        <f aca="false">G638*(1+IF(H$3&lt;=$O$2,$D638,$D638-($D638-$I$616)*MIN(H$3-$O$2,$Q$2)/$Q$2))</f>
        <v>27317.1583176658</v>
      </c>
      <c r="I638" s="15" t="n">
        <f aca="false">H638*(1+IF(I$3&lt;=$O$2,$D638,$D638-($D638-$I$616)*MIN(I$3-$O$2,$Q$2)/$Q$2))</f>
        <v>32105.6445582289</v>
      </c>
      <c r="J638" s="15" t="n">
        <f aca="false">I638*(1+IF(J$3&lt;=$O$2,$D638,$D638-($D638-$I$616)*MIN(J$3-$O$2,$Q$2)/$Q$2))</f>
        <v>36757.5534894685</v>
      </c>
      <c r="K638" s="15" t="n">
        <f aca="false">J638*(1+IF(K$3&lt;=$O$2,$D638,$D638-($D638-$I$616)*MIN(K$3-$O$2,$Q$2)/$Q$2))</f>
        <v>40966.1225184532</v>
      </c>
      <c r="L638" s="15" t="n">
        <f aca="false">K638*(1+IF(L$3&lt;=$O$2,$D638,$D638-($D638-$I$616)*MIN(L$3-$O$2,$Q$2)/$Q$2))</f>
        <v>44411.2464845339</v>
      </c>
      <c r="M638" s="15" t="n">
        <f aca="false">L638*(1+IF(M$3&lt;=$O$2,$D638,$D638-($D638-$I$616)*MIN(M$3-$O$2,$Q$2)/$Q$2))</f>
        <v>46796.0616143582</v>
      </c>
      <c r="N638" s="15" t="n">
        <f aca="false">M638*(1+IF(N$3&lt;=$O$2,$D638,$D638-($D638-$I$616)*MIN(N$3-$O$2,$Q$2)/$Q$2))</f>
        <v>47886.4098499728</v>
      </c>
      <c r="O638" s="15" t="n">
        <f aca="false">SUMPRODUCT(E638:N638,1/(1+$F$616)^$E$3:$N$3)*$E$2</f>
        <v>60073.7619610641</v>
      </c>
      <c r="P638" s="15" t="n">
        <f aca="false">N638*$E$2*(1+$I$616)/($F$616-$I$616)/(1+$F$616)^$N$3</f>
        <v>72396.5654026382</v>
      </c>
      <c r="Q638" s="15" t="n">
        <f aca="false">O638+P638</f>
        <v>132470.327363702</v>
      </c>
      <c r="R638" s="15" t="n">
        <f aca="false">Q638-$G$2+$I$2</f>
        <v>120850.327363702</v>
      </c>
      <c r="S638" s="40" t="n">
        <f aca="false">R638/$K$2</f>
        <v>409.981773463047</v>
      </c>
      <c r="T638" s="41" t="n">
        <f aca="false">S638-$M$2</f>
        <v>0.00111057333600684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0.175291538238525</v>
      </c>
      <c r="C639" s="25" t="n">
        <f aca="false">IF(T638&gt;0,D638,C638)</f>
        <v>0.175292253494263</v>
      </c>
      <c r="D639" s="39" t="n">
        <f aca="false">(B639+C639)/2</f>
        <v>0.175291895866394</v>
      </c>
      <c r="E639" s="15" t="n">
        <f aca="false">$C$2*(1+IF(E$3&lt;=$O$2,$D639,$D639-($D639-$I$616)*MIN(E$3-$O$2,$Q$2)/$Q$2))</f>
        <v>16826.6540731192</v>
      </c>
      <c r="F639" s="15" t="n">
        <f aca="false">E639*(1+IF(F$3&lt;=$O$2,$D639,$D639-($D639-$I$616)*MIN(F$3-$O$2,$Q$2)/$Q$2))</f>
        <v>19776.2301666842</v>
      </c>
      <c r="G639" s="15" t="n">
        <f aca="false">F639*(1+IF(G$3&lt;=$O$2,$D639,$D639-($D639-$I$616)*MIN(G$3-$O$2,$Q$2)/$Q$2))</f>
        <v>23242.8430456925</v>
      </c>
      <c r="H639" s="15" t="n">
        <f aca="false">G639*(1+IF(H$3&lt;=$O$2,$D639,$D639-($D639-$I$616)*MIN(H$3-$O$2,$Q$2)/$Q$2))</f>
        <v>27317.1250684969</v>
      </c>
      <c r="I639" s="15" t="n">
        <f aca="false">H639*(1+IF(I$3&lt;=$O$2,$D639,$D639-($D639-$I$616)*MIN(I$3-$O$2,$Q$2)/$Q$2))</f>
        <v>32105.5957113731</v>
      </c>
      <c r="J639" s="15" t="n">
        <f aca="false">I639*(1+IF(J$3&lt;=$O$2,$D639,$D639-($D639-$I$616)*MIN(J$3-$O$2,$Q$2)/$Q$2))</f>
        <v>36757.4883795214</v>
      </c>
      <c r="K639" s="15" t="n">
        <f aca="false">J639*(1+IF(K$3&lt;=$O$2,$D639,$D639-($D639-$I$616)*MIN(K$3-$O$2,$Q$2)/$Q$2))</f>
        <v>40966.0420664185</v>
      </c>
      <c r="L639" s="15" t="n">
        <f aca="false">K639*(1+IF(L$3&lt;=$O$2,$D639,$D639-($D639-$I$616)*MIN(L$3-$O$2,$Q$2)/$Q$2))</f>
        <v>44411.153406493</v>
      </c>
      <c r="M639" s="15" t="n">
        <f aca="false">L639*(1+IF(M$3&lt;=$O$2,$D639,$D639-($D639-$I$616)*MIN(M$3-$O$2,$Q$2)/$Q$2))</f>
        <v>46795.9603616375</v>
      </c>
      <c r="N639" s="15" t="n">
        <f aca="false">M639*(1+IF(N$3&lt;=$O$2,$D639,$D639-($D639-$I$616)*MIN(N$3-$O$2,$Q$2)/$Q$2))</f>
        <v>47886.3062380636</v>
      </c>
      <c r="O639" s="15" t="n">
        <f aca="false">SUMPRODUCT(E639:N639,1/(1+$F$616)^$E$3:$N$3)*$E$2</f>
        <v>60073.6706435262</v>
      </c>
      <c r="P639" s="15" t="n">
        <f aca="false">N639*$E$2*(1+$I$616)/($F$616-$I$616)/(1+$F$616)^$N$3</f>
        <v>72396.4087580624</v>
      </c>
      <c r="Q639" s="15" t="n">
        <f aca="false">O639+P639</f>
        <v>132470.079401589</v>
      </c>
      <c r="R639" s="15" t="n">
        <f aca="false">Q639-$G$2+$I$2</f>
        <v>120850.079401589</v>
      </c>
      <c r="S639" s="40" t="n">
        <f aca="false">R639/$K$2</f>
        <v>409.980932257654</v>
      </c>
      <c r="T639" s="41" t="n">
        <f aca="false">S639-$M$2</f>
        <v>0.000269367943189991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0.175291538238525</v>
      </c>
      <c r="C640" s="25" t="n">
        <f aca="false">IF(T639&gt;0,D639,C639)</f>
        <v>0.175291895866394</v>
      </c>
      <c r="D640" s="39" t="n">
        <f aca="false">(B640+C640)/2</f>
        <v>0.17529171705246</v>
      </c>
      <c r="E640" s="15" t="n">
        <f aca="false">$C$2*(1+IF(E$3&lt;=$O$2,$D640,$D640-($D640-$I$616)*MIN(E$3-$O$2,$Q$2)/$Q$2))</f>
        <v>16826.6515130401</v>
      </c>
      <c r="F640" s="15" t="n">
        <f aca="false">E640*(1+IF(F$3&lt;=$O$2,$D640,$D640-($D640-$I$616)*MIN(F$3-$O$2,$Q$2)/$Q$2))</f>
        <v>19776.2241490042</v>
      </c>
      <c r="G640" s="15" t="n">
        <f aca="false">F640*(1+IF(G$3&lt;=$O$2,$D640,$D640-($D640-$I$616)*MIN(G$3-$O$2,$Q$2)/$Q$2))</f>
        <v>23242.8324368975</v>
      </c>
      <c r="H640" s="15" t="n">
        <f aca="false">G640*(1+IF(H$3&lt;=$O$2,$D640,$D640-($D640-$I$616)*MIN(H$3-$O$2,$Q$2)/$Q$2))</f>
        <v>27317.1084439239</v>
      </c>
      <c r="I640" s="15" t="n">
        <f aca="false">H640*(1+IF(I$3&lt;=$O$2,$D640,$D640-($D640-$I$616)*MIN(I$3-$O$2,$Q$2)/$Q$2))</f>
        <v>32105.5712879675</v>
      </c>
      <c r="J640" s="15" t="n">
        <f aca="false">I640*(1+IF(J$3&lt;=$O$2,$D640,$D640-($D640-$I$616)*MIN(J$3-$O$2,$Q$2)/$Q$2))</f>
        <v>36757.4558245838</v>
      </c>
      <c r="K640" s="15" t="n">
        <f aca="false">J640*(1+IF(K$3&lt;=$O$2,$D640,$D640-($D640-$I$616)*MIN(K$3-$O$2,$Q$2)/$Q$2))</f>
        <v>40966.0018404517</v>
      </c>
      <c r="L640" s="15" t="n">
        <f aca="false">K640*(1+IF(L$3&lt;=$O$2,$D640,$D640-($D640-$I$616)*MIN(L$3-$O$2,$Q$2)/$Q$2))</f>
        <v>44411.106867536</v>
      </c>
      <c r="M640" s="15" t="n">
        <f aca="false">L640*(1+IF(M$3&lt;=$O$2,$D640,$D640-($D640-$I$616)*MIN(M$3-$O$2,$Q$2)/$Q$2))</f>
        <v>46795.909735349</v>
      </c>
      <c r="N640" s="15" t="n">
        <f aca="false">M640*(1+IF(N$3&lt;=$O$2,$D640,$D640-($D640-$I$616)*MIN(N$3-$O$2,$Q$2)/$Q$2))</f>
        <v>47886.2544321826</v>
      </c>
      <c r="O640" s="15" t="n">
        <f aca="false">SUMPRODUCT(E640:N640,1/(1+$F$616)^$E$3:$N$3)*$E$2</f>
        <v>60073.6249848082</v>
      </c>
      <c r="P640" s="15" t="n">
        <f aca="false">N640*$E$2*(1+$I$616)/($F$616-$I$616)/(1+$F$616)^$N$3</f>
        <v>72396.3304358857</v>
      </c>
      <c r="Q640" s="15" t="n">
        <f aca="false">O640+P640</f>
        <v>132469.955420694</v>
      </c>
      <c r="R640" s="15" t="n">
        <f aca="false">Q640-$G$2+$I$2</f>
        <v>120849.955420694</v>
      </c>
      <c r="S640" s="40" t="n">
        <f aca="false">R640/$K$2</f>
        <v>409.980511655508</v>
      </c>
      <c r="T640" s="41" t="n">
        <f aca="false">S640-$M$2</f>
        <v>-0.000151234202974138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0.17529171705246</v>
      </c>
      <c r="C641" s="25" t="n">
        <f aca="false">IF(T640&gt;0,D640,C640)</f>
        <v>0.175291895866394</v>
      </c>
      <c r="D641" s="39" t="n">
        <f aca="false">(B641+C641)/2</f>
        <v>0.175291806459427</v>
      </c>
      <c r="E641" s="15" t="n">
        <f aca="false">$C$2*(1+IF(E$3&lt;=$O$2,$D641,$D641-($D641-$I$616)*MIN(E$3-$O$2,$Q$2)/$Q$2))</f>
        <v>16826.6527930796</v>
      </c>
      <c r="F641" s="15" t="n">
        <f aca="false">E641*(1+IF(F$3&lt;=$O$2,$D641,$D641-($D641-$I$616)*MIN(F$3-$O$2,$Q$2)/$Q$2))</f>
        <v>19776.2271578441</v>
      </c>
      <c r="G641" s="15" t="n">
        <f aca="false">F641*(1+IF(G$3&lt;=$O$2,$D641,$D641-($D641-$I$616)*MIN(G$3-$O$2,$Q$2)/$Q$2))</f>
        <v>23242.8377412946</v>
      </c>
      <c r="H641" s="15" t="n">
        <f aca="false">G641*(1+IF(H$3&lt;=$O$2,$D641,$D641-($D641-$I$616)*MIN(H$3-$O$2,$Q$2)/$Q$2))</f>
        <v>27317.1167562094</v>
      </c>
      <c r="I641" s="15" t="n">
        <f aca="false">H641*(1+IF(I$3&lt;=$O$2,$D641,$D641-($D641-$I$616)*MIN(I$3-$O$2,$Q$2)/$Q$2))</f>
        <v>32105.5834996685</v>
      </c>
      <c r="J641" s="15" t="n">
        <f aca="false">I641*(1+IF(J$3&lt;=$O$2,$D641,$D641-($D641-$I$616)*MIN(J$3-$O$2,$Q$2)/$Q$2))</f>
        <v>36757.4721020496</v>
      </c>
      <c r="K641" s="15" t="n">
        <f aca="false">J641*(1+IF(K$3&lt;=$O$2,$D641,$D641-($D641-$I$616)*MIN(K$3-$O$2,$Q$2)/$Q$2))</f>
        <v>40966.0219534309</v>
      </c>
      <c r="L641" s="15" t="n">
        <f aca="false">K641*(1+IF(L$3&lt;=$O$2,$D641,$D641-($D641-$I$616)*MIN(L$3-$O$2,$Q$2)/$Q$2))</f>
        <v>44411.1301370092</v>
      </c>
      <c r="M641" s="15" t="n">
        <f aca="false">L641*(1+IF(M$3&lt;=$O$2,$D641,$D641-($D641-$I$616)*MIN(M$3-$O$2,$Q$2)/$Q$2))</f>
        <v>46795.9350484873</v>
      </c>
      <c r="N641" s="15" t="n">
        <f aca="false">M641*(1+IF(N$3&lt;=$O$2,$D641,$D641-($D641-$I$616)*MIN(N$3-$O$2,$Q$2)/$Q$2))</f>
        <v>47886.280335117</v>
      </c>
      <c r="O641" s="15" t="n">
        <f aca="false">SUMPRODUCT(E641:N641,1/(1+$F$616)^$E$3:$N$3)*$E$2</f>
        <v>60073.647814163</v>
      </c>
      <c r="P641" s="15" t="n">
        <f aca="false">N641*$E$2*(1+$I$616)/($F$616-$I$616)/(1+$F$616)^$N$3</f>
        <v>72396.3695969648</v>
      </c>
      <c r="Q641" s="15" t="n">
        <f aca="false">O641+P641</f>
        <v>132470.017411128</v>
      </c>
      <c r="R641" s="15" t="n">
        <f aca="false">Q641-$G$2+$I$2</f>
        <v>120850.017411128</v>
      </c>
      <c r="S641" s="40" t="n">
        <f aca="false">R641/$K$2</f>
        <v>409.980721956535</v>
      </c>
      <c r="T641" s="41" t="n">
        <f aca="false">S641-$M$2</f>
        <v>5.90668244058179E-005</v>
      </c>
    </row>
    <row r="643" customFormat="false" ht="15" hidden="false" customHeight="false" outlineLevel="0" collapsed="false">
      <c r="A643" s="36" t="s">
        <v>197</v>
      </c>
      <c r="E643" s="5" t="s">
        <v>11</v>
      </c>
      <c r="F643" s="12" t="n">
        <f aca="false">Sensitivity!$B$14</f>
        <v>0.104891906448909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6" t="s">
        <v>155</v>
      </c>
      <c r="B644" s="28" t="s">
        <v>156</v>
      </c>
      <c r="C644" s="28" t="s">
        <v>157</v>
      </c>
      <c r="D644" s="28" t="s">
        <v>158</v>
      </c>
      <c r="E644" s="28" t="s">
        <v>159</v>
      </c>
      <c r="F644" s="28" t="s">
        <v>160</v>
      </c>
      <c r="G644" s="28" t="s">
        <v>161</v>
      </c>
      <c r="H644" s="28" t="s">
        <v>162</v>
      </c>
      <c r="I644" s="28" t="s">
        <v>163</v>
      </c>
      <c r="J644" s="28" t="s">
        <v>164</v>
      </c>
      <c r="K644" s="28" t="s">
        <v>165</v>
      </c>
      <c r="L644" s="28" t="s">
        <v>166</v>
      </c>
      <c r="M644" s="28" t="s">
        <v>167</v>
      </c>
      <c r="N644" s="28" t="s">
        <v>168</v>
      </c>
      <c r="O644" s="28" t="s">
        <v>169</v>
      </c>
      <c r="P644" s="28" t="s">
        <v>170</v>
      </c>
      <c r="Q644" s="28" t="s">
        <v>171</v>
      </c>
      <c r="R644" s="28" t="s">
        <v>172</v>
      </c>
      <c r="S644" s="28" t="s">
        <v>173</v>
      </c>
      <c r="T644" s="28" t="s">
        <v>174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39" t="n">
        <f aca="false">(B645+C645)/2</f>
        <v>0.25</v>
      </c>
      <c r="E645" s="15" t="n">
        <f aca="false">$C$2*(1+IF(E$3&lt;=$O$2,$D645,$D645-($D645-$I$643)*MIN(E$3-$O$2,$Q$2)/$Q$2))</f>
        <v>17896.25</v>
      </c>
      <c r="F645" s="15" t="n">
        <f aca="false">E645*(1+IF(F$3&lt;=$O$2,$D645,$D645-($D645-$I$643)*MIN(F$3-$O$2,$Q$2)/$Q$2))</f>
        <v>22370.3125</v>
      </c>
      <c r="G645" s="15" t="n">
        <f aca="false">F645*(1+IF(G$3&lt;=$O$2,$D645,$D645-($D645-$I$643)*MIN(G$3-$O$2,$Q$2)/$Q$2))</f>
        <v>27962.890625</v>
      </c>
      <c r="H645" s="15" t="n">
        <f aca="false">G645*(1+IF(H$3&lt;=$O$2,$D645,$D645-($D645-$I$643)*MIN(H$3-$O$2,$Q$2)/$Q$2))</f>
        <v>34953.61328125</v>
      </c>
      <c r="I645" s="15" t="n">
        <f aca="false">H645*(1+IF(I$3&lt;=$O$2,$D645,$D645-($D645-$I$643)*MIN(I$3-$O$2,$Q$2)/$Q$2))</f>
        <v>43692.0166015625</v>
      </c>
      <c r="J645" s="15" t="n">
        <f aca="false">I645*(1+IF(J$3&lt;=$O$2,$D645,$D645-($D645-$I$643)*MIN(J$3-$O$2,$Q$2)/$Q$2))</f>
        <v>52677.7167358398</v>
      </c>
      <c r="K645" s="15" t="n">
        <f aca="false">J645*(1+IF(K$3&lt;=$O$2,$D645,$D645-($D645-$I$643)*MIN(K$3-$O$2,$Q$2)/$Q$2))</f>
        <v>61175.6859996655</v>
      </c>
      <c r="L645" s="15" t="n">
        <f aca="false">K645*(1+IF(L$3&lt;=$O$2,$D645,$D645-($D645-$I$643)*MIN(L$3-$O$2,$Q$2)/$Q$2))</f>
        <v>68332.0177479064</v>
      </c>
      <c r="M645" s="15" t="n">
        <f aca="false">L645*(1+IF(M$3&lt;=$O$2,$D645,$D645-($D645-$I$643)*MIN(M$3-$O$2,$Q$2)/$Q$2))</f>
        <v>73295.6555171143</v>
      </c>
      <c r="N645" s="15" t="n">
        <f aca="false">M645*(1+IF(N$3&lt;=$O$2,$D645,$D645-($D645-$I$643)*MIN(N$3-$O$2,$Q$2)/$Q$2))</f>
        <v>75369.9225682487</v>
      </c>
      <c r="O645" s="15" t="n">
        <f aca="false">SUMPRODUCT(E645:N645,1/(1+$F$643)^$E$3:$N$3)*$E$2</f>
        <v>82711.7777473396</v>
      </c>
      <c r="P645" s="15" t="n">
        <f aca="false">N645*$E$2*(1+$I$643)/($F$643-$I$643)/(1+$F$643)^$N$3</f>
        <v>121978.929269625</v>
      </c>
      <c r="Q645" s="15" t="n">
        <f aca="false">O645+P645</f>
        <v>204690.707016965</v>
      </c>
      <c r="R645" s="15" t="n">
        <f aca="false">Q645-$G$2+$I$2</f>
        <v>193070.707016965</v>
      </c>
      <c r="S645" s="40" t="n">
        <f aca="false">R645/$K$2</f>
        <v>654.987641269345</v>
      </c>
      <c r="T645" s="41" t="n">
        <f aca="false">S645-$M$2</f>
        <v>245.006978379634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39" t="n">
        <f aca="false">(B646+C646)/2</f>
        <v>-0.125</v>
      </c>
      <c r="E646" s="15" t="n">
        <f aca="false">$C$2*(1+IF(E$3&lt;=$O$2,$D646,$D646-($D646-$I$643)*MIN(E$3-$O$2,$Q$2)/$Q$2))</f>
        <v>12527.375</v>
      </c>
      <c r="F646" s="15" t="n">
        <f aca="false">E646*(1+IF(F$3&lt;=$O$2,$D646,$D646-($D646-$I$643)*MIN(F$3-$O$2,$Q$2)/$Q$2))</f>
        <v>10961.453125</v>
      </c>
      <c r="G646" s="15" t="n">
        <f aca="false">F646*(1+IF(G$3&lt;=$O$2,$D646,$D646-($D646-$I$643)*MIN(G$3-$O$2,$Q$2)/$Q$2))</f>
        <v>9591.271484375</v>
      </c>
      <c r="H646" s="15" t="n">
        <f aca="false">G646*(1+IF(H$3&lt;=$O$2,$D646,$D646-($D646-$I$643)*MIN(H$3-$O$2,$Q$2)/$Q$2))</f>
        <v>8392.36254882813</v>
      </c>
      <c r="I646" s="15" t="n">
        <f aca="false">H646*(1+IF(I$3&lt;=$O$2,$D646,$D646-($D646-$I$643)*MIN(I$3-$O$2,$Q$2)/$Q$2))</f>
        <v>7343.31723022461</v>
      </c>
      <c r="J646" s="15" t="n">
        <f aca="false">I646*(1+IF(J$3&lt;=$O$2,$D646,$D646-($D646-$I$643)*MIN(J$3-$O$2,$Q$2)/$Q$2))</f>
        <v>6650.54868272522</v>
      </c>
      <c r="K646" s="15" t="n">
        <f aca="false">J646*(1+IF(K$3&lt;=$O$2,$D646,$D646-($D646-$I$643)*MIN(K$3-$O$2,$Q$2)/$Q$2))</f>
        <v>6227.04174260928</v>
      </c>
      <c r="L646" s="15" t="n">
        <f aca="false">K646*(1+IF(L$3&lt;=$O$2,$D646,$D646-($D646-$I$643)*MIN(L$3-$O$2,$Q$2)/$Q$2))</f>
        <v>6021.42482426832</v>
      </c>
      <c r="M646" s="15" t="n">
        <f aca="false">L646*(1+IF(M$3&lt;=$O$2,$D646,$D646-($D646-$I$643)*MIN(M$3-$O$2,$Q$2)/$Q$2))</f>
        <v>6007.21426168305</v>
      </c>
      <c r="N646" s="15" t="n">
        <f aca="false">M646*(1+IF(N$3&lt;=$O$2,$D646,$D646-($D646-$I$643)*MIN(N$3-$O$2,$Q$2)/$Q$2))</f>
        <v>6177.21842528868</v>
      </c>
      <c r="O646" s="15" t="n">
        <f aca="false">SUMPRODUCT(E646:N646,1/(1+$F$643)^$E$3:$N$3)*$E$2</f>
        <v>16901.0783578089</v>
      </c>
      <c r="P646" s="15" t="n">
        <f aca="false">N646*$E$2*(1+$I$643)/($F$643-$I$643)/(1+$F$643)^$N$3</f>
        <v>9997.23050927928</v>
      </c>
      <c r="Q646" s="15" t="n">
        <f aca="false">O646+P646</f>
        <v>26898.3088670882</v>
      </c>
      <c r="R646" s="15" t="n">
        <f aca="false">Q646-$G$2+$I$2</f>
        <v>15278.3088670882</v>
      </c>
      <c r="S646" s="40" t="n">
        <f aca="false">R646/$K$2</f>
        <v>51.8312883505384</v>
      </c>
      <c r="T646" s="41" t="n">
        <f aca="false">S646-$M$2</f>
        <v>-358.149374539172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39" t="n">
        <f aca="false">(B647+C647)/2</f>
        <v>0.0625</v>
      </c>
      <c r="E647" s="15" t="n">
        <f aca="false">$C$2*(1+IF(E$3&lt;=$O$2,$D647,$D647-($D647-$I$643)*MIN(E$3-$O$2,$Q$2)/$Q$2))</f>
        <v>15211.8125</v>
      </c>
      <c r="F647" s="15" t="n">
        <f aca="false">E647*(1+IF(F$3&lt;=$O$2,$D647,$D647-($D647-$I$643)*MIN(F$3-$O$2,$Q$2)/$Q$2))</f>
        <v>16162.55078125</v>
      </c>
      <c r="G647" s="15" t="n">
        <f aca="false">F647*(1+IF(G$3&lt;=$O$2,$D647,$D647-($D647-$I$643)*MIN(G$3-$O$2,$Q$2)/$Q$2))</f>
        <v>17172.7102050781</v>
      </c>
      <c r="H647" s="15" t="n">
        <f aca="false">G647*(1+IF(H$3&lt;=$O$2,$D647,$D647-($D647-$I$643)*MIN(H$3-$O$2,$Q$2)/$Q$2))</f>
        <v>18246.0045928955</v>
      </c>
      <c r="I647" s="15" t="n">
        <f aca="false">H647*(1+IF(I$3&lt;=$O$2,$D647,$D647-($D647-$I$643)*MIN(I$3-$O$2,$Q$2)/$Q$2))</f>
        <v>19386.3798799515</v>
      </c>
      <c r="J647" s="15" t="n">
        <f aca="false">I647*(1+IF(J$3&lt;=$O$2,$D647,$D647-($D647-$I$643)*MIN(J$3-$O$2,$Q$2)/$Q$2))</f>
        <v>20465.4257840696</v>
      </c>
      <c r="K647" s="15" t="n">
        <f aca="false">J647*(1+IF(K$3&lt;=$O$2,$D647,$D647-($D647-$I$643)*MIN(K$3-$O$2,$Q$2)/$Q$2))</f>
        <v>21464.5478708479</v>
      </c>
      <c r="L647" s="15" t="n">
        <f aca="false">K647*(1+IF(L$3&lt;=$O$2,$D647,$D647-($D647-$I$643)*MIN(L$3-$O$2,$Q$2)/$Q$2))</f>
        <v>22365.629590466</v>
      </c>
      <c r="M647" s="15" t="n">
        <f aca="false">L647*(1+IF(M$3&lt;=$O$2,$D647,$D647-($D647-$I$643)*MIN(M$3-$O$2,$Q$2)/$Q$2))</f>
        <v>23151.557814275</v>
      </c>
      <c r="N647" s="15" t="n">
        <f aca="false">M647*(1+IF(N$3&lt;=$O$2,$D647,$D647-($D647-$I$643)*MIN(N$3-$O$2,$Q$2)/$Q$2))</f>
        <v>23806.746900419</v>
      </c>
      <c r="O647" s="15" t="n">
        <f aca="false">SUMPRODUCT(E647:N647,1/(1+$F$643)^$E$3:$N$3)*$E$2</f>
        <v>37249.5968849754</v>
      </c>
      <c r="P647" s="15" t="n">
        <f aca="false">N647*$E$2*(1+$I$643)/($F$643-$I$643)/(1+$F$643)^$N$3</f>
        <v>38528.9170713494</v>
      </c>
      <c r="Q647" s="15" t="n">
        <f aca="false">O647+P647</f>
        <v>75778.5139563248</v>
      </c>
      <c r="R647" s="15" t="n">
        <f aca="false">Q647-$G$2+$I$2</f>
        <v>64158.5139563248</v>
      </c>
      <c r="S647" s="40" t="n">
        <f aca="false">R647/$K$2</f>
        <v>217.656186030888</v>
      </c>
      <c r="T647" s="41" t="n">
        <f aca="false">S647-$M$2</f>
        <v>-192.324476858823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39" t="n">
        <f aca="false">(B648+C648)/2</f>
        <v>0.15625</v>
      </c>
      <c r="E648" s="15" t="n">
        <f aca="false">$C$2*(1+IF(E$3&lt;=$O$2,$D648,$D648-($D648-$I$643)*MIN(E$3-$O$2,$Q$2)/$Q$2))</f>
        <v>16554.03125</v>
      </c>
      <c r="F648" s="15" t="n">
        <f aca="false">E648*(1+IF(F$3&lt;=$O$2,$D648,$D648-($D648-$I$643)*MIN(F$3-$O$2,$Q$2)/$Q$2))</f>
        <v>19140.5986328125</v>
      </c>
      <c r="G648" s="15" t="n">
        <f aca="false">F648*(1+IF(G$3&lt;=$O$2,$D648,$D648-($D648-$I$643)*MIN(G$3-$O$2,$Q$2)/$Q$2))</f>
        <v>22131.3171691895</v>
      </c>
      <c r="H648" s="15" t="n">
        <f aca="false">G648*(1+IF(H$3&lt;=$O$2,$D648,$D648-($D648-$I$643)*MIN(H$3-$O$2,$Q$2)/$Q$2))</f>
        <v>25589.3354768753</v>
      </c>
      <c r="I648" s="15" t="n">
        <f aca="false">H648*(1+IF(I$3&lt;=$O$2,$D648,$D648-($D648-$I$643)*MIN(I$3-$O$2,$Q$2)/$Q$2))</f>
        <v>29587.6691451371</v>
      </c>
      <c r="J648" s="15" t="n">
        <f aca="false">I648*(1+IF(J$3&lt;=$O$2,$D648,$D648-($D648-$I$643)*MIN(J$3-$O$2,$Q$2)/$Q$2))</f>
        <v>33453.5939956407</v>
      </c>
      <c r="K648" s="15" t="n">
        <f aca="false">J648*(1+IF(K$3&lt;=$O$2,$D648,$D648-($D648-$I$643)*MIN(K$3-$O$2,$Q$2)/$Q$2))</f>
        <v>36968.5631167627</v>
      </c>
      <c r="L648" s="15" t="n">
        <f aca="false">K648*(1+IF(L$3&lt;=$O$2,$D648,$D648-($D648-$I$643)*MIN(L$3-$O$2,$Q$2)/$Q$2))</f>
        <v>39906.824513283</v>
      </c>
      <c r="M648" s="15" t="n">
        <f aca="false">L648*(1+IF(M$3&lt;=$O$2,$D648,$D648-($D648-$I$643)*MIN(M$3-$O$2,$Q$2)/$Q$2))</f>
        <v>42057.4032863038</v>
      </c>
      <c r="N648" s="15" t="n">
        <f aca="false">M648*(1+IF(N$3&lt;=$O$2,$D648,$D648-($D648-$I$643)*MIN(N$3-$O$2,$Q$2)/$Q$2))</f>
        <v>43247.6277993062</v>
      </c>
      <c r="O648" s="15" t="n">
        <f aca="false">SUMPRODUCT(E648:N648,1/(1+$F$643)^$E$3:$N$3)*$E$2</f>
        <v>55578.099487867</v>
      </c>
      <c r="P648" s="15" t="n">
        <f aca="false">N648*$E$2*(1+$I$643)/($F$643-$I$643)/(1+$F$643)^$N$3</f>
        <v>69992.1023221667</v>
      </c>
      <c r="Q648" s="15" t="n">
        <f aca="false">O648+P648</f>
        <v>125570.201810034</v>
      </c>
      <c r="R648" s="15" t="n">
        <f aca="false">Q648-$G$2+$I$2</f>
        <v>113950.201810034</v>
      </c>
      <c r="S648" s="40" t="n">
        <f aca="false">R648/$K$2</f>
        <v>386.573266648688</v>
      </c>
      <c r="T648" s="41" t="n">
        <f aca="false">S648-$M$2</f>
        <v>-23.4073962410229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0.15625</v>
      </c>
      <c r="C649" s="25" t="n">
        <f aca="false">IF(T648&gt;0,D648,C648)</f>
        <v>0.25</v>
      </c>
      <c r="D649" s="39" t="n">
        <f aca="false">(B649+C649)/2</f>
        <v>0.203125</v>
      </c>
      <c r="E649" s="15" t="n">
        <f aca="false">$C$2*(1+IF(E$3&lt;=$O$2,$D649,$D649-($D649-$I$643)*MIN(E$3-$O$2,$Q$2)/$Q$2))</f>
        <v>17225.140625</v>
      </c>
      <c r="F649" s="15" t="n">
        <f aca="false">E649*(1+IF(F$3&lt;=$O$2,$D649,$D649-($D649-$I$643)*MIN(F$3-$O$2,$Q$2)/$Q$2))</f>
        <v>20723.9973144531</v>
      </c>
      <c r="G649" s="15" t="n">
        <f aca="false">F649*(1+IF(G$3&lt;=$O$2,$D649,$D649-($D649-$I$643)*MIN(G$3-$O$2,$Q$2)/$Q$2))</f>
        <v>24933.5592689514</v>
      </c>
      <c r="H649" s="15" t="n">
        <f aca="false">G649*(1+IF(H$3&lt;=$O$2,$D649,$D649-($D649-$I$643)*MIN(H$3-$O$2,$Q$2)/$Q$2))</f>
        <v>29998.1884954572</v>
      </c>
      <c r="I649" s="15" t="n">
        <f aca="false">H649*(1+IF(I$3&lt;=$O$2,$D649,$D649-($D649-$I$643)*MIN(I$3-$O$2,$Q$2)/$Q$2))</f>
        <v>36091.5705335969</v>
      </c>
      <c r="J649" s="15" t="n">
        <f aca="false">I649*(1+IF(J$3&lt;=$O$2,$D649,$D649-($D649-$I$643)*MIN(J$3-$O$2,$Q$2)/$Q$2))</f>
        <v>42160.7290345266</v>
      </c>
      <c r="K649" s="15" t="n">
        <f aca="false">J649*(1+IF(K$3&lt;=$O$2,$D649,$D649-($D649-$I$643)*MIN(K$3-$O$2,$Q$2)/$Q$2))</f>
        <v>47776.3273382803</v>
      </c>
      <c r="L649" s="15" t="n">
        <f aca="false">K649*(1+IF(L$3&lt;=$O$2,$D649,$D649-($D649-$I$643)*MIN(L$3-$O$2,$Q$2)/$Q$2))</f>
        <v>52469.3959727196</v>
      </c>
      <c r="M649" s="15" t="n">
        <f aca="false">L649*(1+IF(M$3&lt;=$O$2,$D649,$D649-($D649-$I$643)*MIN(M$3-$O$2,$Q$2)/$Q$2))</f>
        <v>55788.8723089337</v>
      </c>
      <c r="N649" s="15" t="n">
        <f aca="false">M649*(1+IF(N$3&lt;=$O$2,$D649,$D649-($D649-$I$643)*MIN(N$3-$O$2,$Q$2)/$Q$2))</f>
        <v>57367.6973952766</v>
      </c>
      <c r="O649" s="15" t="n">
        <f aca="false">SUMPRODUCT(E649:N649,1/(1+$F$643)^$E$3:$N$3)*$E$2</f>
        <v>67838.7545094037</v>
      </c>
      <c r="P649" s="15" t="n">
        <f aca="false">N649*$E$2*(1+$I$643)/($F$643-$I$643)/(1+$F$643)^$N$3</f>
        <v>92844.0691524289</v>
      </c>
      <c r="Q649" s="15" t="n">
        <f aca="false">O649+P649</f>
        <v>160682.823661833</v>
      </c>
      <c r="R649" s="15" t="n">
        <f aca="false">Q649-$G$2+$I$2</f>
        <v>149062.823661833</v>
      </c>
      <c r="S649" s="40" t="n">
        <f aca="false">R649/$K$2</f>
        <v>505.691975648243</v>
      </c>
      <c r="T649" s="41" t="n">
        <f aca="false">S649-$M$2</f>
        <v>95.7113127585325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0.15625</v>
      </c>
      <c r="C650" s="25" t="n">
        <f aca="false">IF(T649&gt;0,D649,C649)</f>
        <v>0.203125</v>
      </c>
      <c r="D650" s="39" t="n">
        <f aca="false">(B650+C650)/2</f>
        <v>0.1796875</v>
      </c>
      <c r="E650" s="15" t="n">
        <f aca="false">$C$2*(1+IF(E$3&lt;=$O$2,$D650,$D650-($D650-$I$643)*MIN(E$3-$O$2,$Q$2)/$Q$2))</f>
        <v>16889.5859375</v>
      </c>
      <c r="F650" s="15" t="n">
        <f aca="false">E650*(1+IF(F$3&lt;=$O$2,$D650,$D650-($D650-$I$643)*MIN(F$3-$O$2,$Q$2)/$Q$2))</f>
        <v>19924.4334106445</v>
      </c>
      <c r="G650" s="15" t="n">
        <f aca="false">F650*(1+IF(G$3&lt;=$O$2,$D650,$D650-($D650-$I$643)*MIN(G$3-$O$2,$Q$2)/$Q$2))</f>
        <v>23504.6050391197</v>
      </c>
      <c r="H650" s="15" t="n">
        <f aca="false">G650*(1+IF(H$3&lt;=$O$2,$D650,$D650-($D650-$I$643)*MIN(H$3-$O$2,$Q$2)/$Q$2))</f>
        <v>27728.0887570865</v>
      </c>
      <c r="I650" s="15" t="n">
        <f aca="false">H650*(1+IF(I$3&lt;=$O$2,$D650,$D650-($D650-$I$643)*MIN(I$3-$O$2,$Q$2)/$Q$2))</f>
        <v>32710.4797056255</v>
      </c>
      <c r="J650" s="15" t="n">
        <f aca="false">I650*(1+IF(J$3&lt;=$O$2,$D650,$D650-($D650-$I$643)*MIN(J$3-$O$2,$Q$2)/$Q$2))</f>
        <v>37597.7524784431</v>
      </c>
      <c r="K650" s="15" t="n">
        <f aca="false">J650*(1+IF(K$3&lt;=$O$2,$D650,$D650-($D650-$I$643)*MIN(K$3-$O$2,$Q$2)/$Q$2))</f>
        <v>42076.8667255812</v>
      </c>
      <c r="L650" s="15" t="n">
        <f aca="false">K650*(1+IF(L$3&lt;=$O$2,$D650,$D650-($D650-$I$643)*MIN(L$3-$O$2,$Q$2)/$Q$2))</f>
        <v>45815.6067184827</v>
      </c>
      <c r="M650" s="15" t="n">
        <f aca="false">L650*(1+IF(M$3&lt;=$O$2,$D650,$D650-($D650-$I$643)*MIN(M$3-$O$2,$Q$2)/$Q$2))</f>
        <v>48499.3704210346</v>
      </c>
      <c r="N650" s="15" t="n">
        <f aca="false">M650*(1+IF(N$3&lt;=$O$2,$D650,$D650-($D650-$I$643)*MIN(N$3-$O$2,$Q$2)/$Q$2))</f>
        <v>49871.9026039499</v>
      </c>
      <c r="O650" s="15" t="n">
        <f aca="false">SUMPRODUCT(E650:N650,1/(1+$F$643)^$E$3:$N$3)*$E$2</f>
        <v>61410.0721599014</v>
      </c>
      <c r="P650" s="15" t="n">
        <f aca="false">N650*$E$2*(1+$I$643)/($F$643-$I$643)/(1+$F$643)^$N$3</f>
        <v>80712.850338413</v>
      </c>
      <c r="Q650" s="15" t="n">
        <f aca="false">O650+P650</f>
        <v>142122.922498314</v>
      </c>
      <c r="R650" s="15" t="n">
        <f aca="false">Q650-$G$2+$I$2</f>
        <v>130502.922498314</v>
      </c>
      <c r="S650" s="40" t="n">
        <f aca="false">R650/$K$2</f>
        <v>442.727965865978</v>
      </c>
      <c r="T650" s="41" t="n">
        <f aca="false">S650-$M$2</f>
        <v>32.7473029762677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0.15625</v>
      </c>
      <c r="C651" s="25" t="n">
        <f aca="false">IF(T650&gt;0,D650,C650)</f>
        <v>0.1796875</v>
      </c>
      <c r="D651" s="39" t="n">
        <f aca="false">(B651+C651)/2</f>
        <v>0.16796875</v>
      </c>
      <c r="E651" s="15" t="n">
        <f aca="false">$C$2*(1+IF(E$3&lt;=$O$2,$D651,$D651-($D651-$I$643)*MIN(E$3-$O$2,$Q$2)/$Q$2))</f>
        <v>16721.80859375</v>
      </c>
      <c r="F651" s="15" t="n">
        <f aca="false">E651*(1+IF(F$3&lt;=$O$2,$D651,$D651-($D651-$I$643)*MIN(F$3-$O$2,$Q$2)/$Q$2))</f>
        <v>19530.5498809814</v>
      </c>
      <c r="G651" s="15" t="n">
        <f aca="false">F651*(1+IF(G$3&lt;=$O$2,$D651,$D651-($D651-$I$643)*MIN(G$3-$O$2,$Q$2)/$Q$2))</f>
        <v>22811.0719313025</v>
      </c>
      <c r="H651" s="15" t="n">
        <f aca="false">G651*(1+IF(H$3&lt;=$O$2,$D651,$D651-($D651-$I$643)*MIN(H$3-$O$2,$Q$2)/$Q$2))</f>
        <v>26642.6191697635</v>
      </c>
      <c r="I651" s="15" t="n">
        <f aca="false">H651*(1+IF(I$3&lt;=$O$2,$D651,$D651-($D651-$I$643)*MIN(I$3-$O$2,$Q$2)/$Q$2))</f>
        <v>31117.7466084347</v>
      </c>
      <c r="J651" s="15" t="n">
        <f aca="false">I651*(1+IF(J$3&lt;=$O$2,$D651,$D651-($D651-$I$643)*MIN(J$3-$O$2,$Q$2)/$Q$2))</f>
        <v>35475.3202547469</v>
      </c>
      <c r="K651" s="15" t="n">
        <f aca="false">J651*(1+IF(K$3&lt;=$O$2,$D651,$D651-($D651-$I$643)*MIN(K$3-$O$2,$Q$2)/$Q$2))</f>
        <v>39452.1479994544</v>
      </c>
      <c r="L651" s="15" t="n">
        <f aca="false">K651*(1+IF(L$3&lt;=$O$2,$D651,$D651-($D651-$I$643)*MIN(L$3-$O$2,$Q$2)/$Q$2))</f>
        <v>42772.7366661984</v>
      </c>
      <c r="M651" s="15" t="n">
        <f aca="false">L651*(1+IF(M$3&lt;=$O$2,$D651,$D651-($D651-$I$643)*MIN(M$3-$O$2,$Q$2)/$Q$2))</f>
        <v>45178.0080467013</v>
      </c>
      <c r="N651" s="15" t="n">
        <f aca="false">M651*(1+IF(N$3&lt;=$O$2,$D651,$D651-($D651-$I$643)*MIN(N$3-$O$2,$Q$2)/$Q$2))</f>
        <v>46456.5456744229</v>
      </c>
      <c r="O651" s="15" t="n">
        <f aca="false">SUMPRODUCT(E651:N651,1/(1+$F$643)^$E$3:$N$3)*$E$2</f>
        <v>58422.7898189113</v>
      </c>
      <c r="P651" s="15" t="n">
        <f aca="false">N651*$E$2*(1+$I$643)/($F$643-$I$643)/(1+$F$643)^$N$3</f>
        <v>75185.4255097613</v>
      </c>
      <c r="Q651" s="15" t="n">
        <f aca="false">O651+P651</f>
        <v>133608.215328673</v>
      </c>
      <c r="R651" s="15" t="n">
        <f aca="false">Q651-$G$2+$I$2</f>
        <v>121988.215328673</v>
      </c>
      <c r="S651" s="40" t="n">
        <f aca="false">R651/$K$2</f>
        <v>413.842030493851</v>
      </c>
      <c r="T651" s="41" t="n">
        <f aca="false">S651-$M$2</f>
        <v>3.86136760414087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0.15625</v>
      </c>
      <c r="C652" s="25" t="n">
        <f aca="false">IF(T651&gt;0,D651,C651)</f>
        <v>0.16796875</v>
      </c>
      <c r="D652" s="39" t="n">
        <f aca="false">(B652+C652)/2</f>
        <v>0.162109375</v>
      </c>
      <c r="E652" s="15" t="n">
        <f aca="false">$C$2*(1+IF(E$3&lt;=$O$2,$D652,$D652-($D652-$I$643)*MIN(E$3-$O$2,$Q$2)/$Q$2))</f>
        <v>16637.919921875</v>
      </c>
      <c r="F652" s="15" t="n">
        <f aca="false">E652*(1+IF(F$3&lt;=$O$2,$D652,$D652-($D652-$I$643)*MIN(F$3-$O$2,$Q$2)/$Q$2))</f>
        <v>19335.0827217102</v>
      </c>
      <c r="G652" s="15" t="n">
        <f aca="false">F652*(1+IF(G$3&lt;=$O$2,$D652,$D652-($D652-$I$643)*MIN(G$3-$O$2,$Q$2)/$Q$2))</f>
        <v>22469.4808972999</v>
      </c>
      <c r="H652" s="15" t="n">
        <f aca="false">G652*(1+IF(H$3&lt;=$O$2,$D652,$D652-($D652-$I$643)*MIN(H$3-$O$2,$Q$2)/$Q$2))</f>
        <v>26111.9944021357</v>
      </c>
      <c r="I652" s="15" t="n">
        <f aca="false">H652*(1+IF(I$3&lt;=$O$2,$D652,$D652-($D652-$I$643)*MIN(I$3-$O$2,$Q$2)/$Q$2))</f>
        <v>30344.9934946694</v>
      </c>
      <c r="J652" s="15" t="n">
        <f aca="false">I652*(1+IF(J$3&lt;=$O$2,$D652,$D652-($D652-$I$643)*MIN(J$3-$O$2,$Q$2)/$Q$2))</f>
        <v>34452.1125016892</v>
      </c>
      <c r="K652" s="15" t="n">
        <f aca="false">J652*(1+IF(K$3&lt;=$O$2,$D652,$D652-($D652-$I$643)*MIN(K$3-$O$2,$Q$2)/$Q$2))</f>
        <v>38193.1166702554</v>
      </c>
      <c r="L652" s="15" t="n">
        <f aca="false">K652*(1+IF(L$3&lt;=$O$2,$D652,$D652-($D652-$I$643)*MIN(L$3-$O$2,$Q$2)/$Q$2))</f>
        <v>41318.2207004032</v>
      </c>
      <c r="M652" s="15" t="n">
        <f aca="false">L652*(1+IF(M$3&lt;=$O$2,$D652,$D652-($D652-$I$643)*MIN(M$3-$O$2,$Q$2)/$Q$2))</f>
        <v>43593.2794038312</v>
      </c>
      <c r="N652" s="15" t="n">
        <f aca="false">M652*(1+IF(N$3&lt;=$O$2,$D652,$D652-($D652-$I$643)*MIN(N$3-$O$2,$Q$2)/$Q$2))</f>
        <v>44826.9692109596</v>
      </c>
      <c r="O652" s="15" t="n">
        <f aca="false">SUMPRODUCT(E652:N652,1/(1+$F$643)^$E$3:$N$3)*$E$2</f>
        <v>56983.0184660565</v>
      </c>
      <c r="P652" s="15" t="n">
        <f aca="false">N652*$E$2*(1+$I$643)/($F$643-$I$643)/(1+$F$643)^$N$3</f>
        <v>72548.1136298634</v>
      </c>
      <c r="Q652" s="15" t="n">
        <f aca="false">O652+P652</f>
        <v>129531.13209592</v>
      </c>
      <c r="R652" s="15" t="n">
        <f aca="false">Q652-$G$2+$I$2</f>
        <v>117911.13209592</v>
      </c>
      <c r="S652" s="40" t="n">
        <f aca="false">R652/$K$2</f>
        <v>400.010625558639</v>
      </c>
      <c r="T652" s="41" t="n">
        <f aca="false">S652-$M$2</f>
        <v>-9.97003733107209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0.162109375</v>
      </c>
      <c r="C653" s="25" t="n">
        <f aca="false">IF(T652&gt;0,D652,C652)</f>
        <v>0.16796875</v>
      </c>
      <c r="D653" s="39" t="n">
        <f aca="false">(B653+C653)/2</f>
        <v>0.1650390625</v>
      </c>
      <c r="E653" s="15" t="n">
        <f aca="false">$C$2*(1+IF(E$3&lt;=$O$2,$D653,$D653-($D653-$I$643)*MIN(E$3-$O$2,$Q$2)/$Q$2))</f>
        <v>16679.8642578125</v>
      </c>
      <c r="F653" s="15" t="n">
        <f aca="false">E653*(1+IF(F$3&lt;=$O$2,$D653,$D653-($D653-$I$643)*MIN(F$3-$O$2,$Q$2)/$Q$2))</f>
        <v>19432.6934175491</v>
      </c>
      <c r="G653" s="15" t="n">
        <f aca="false">F653*(1+IF(G$3&lt;=$O$2,$D653,$D653-($D653-$I$643)*MIN(G$3-$O$2,$Q$2)/$Q$2))</f>
        <v>22639.8469210314</v>
      </c>
      <c r="H653" s="15" t="n">
        <f aca="false">G653*(1+IF(H$3&lt;=$O$2,$D653,$D653-($D653-$I$643)*MIN(H$3-$O$2,$Q$2)/$Q$2))</f>
        <v>26376.3060320219</v>
      </c>
      <c r="I653" s="15" t="n">
        <f aca="false">H653*(1+IF(I$3&lt;=$O$2,$D653,$D653-($D653-$I$643)*MIN(I$3-$O$2,$Q$2)/$Q$2))</f>
        <v>30729.4268517599</v>
      </c>
      <c r="J653" s="15" t="n">
        <f aca="false">I653*(1+IF(J$3&lt;=$O$2,$D653,$D653-($D653-$I$643)*MIN(J$3-$O$2,$Q$2)/$Q$2))</f>
        <v>34960.6000467623</v>
      </c>
      <c r="K653" s="15" t="n">
        <f aca="false">J653*(1+IF(K$3&lt;=$O$2,$D653,$D653-($D653-$I$643)*MIN(K$3-$O$2,$Q$2)/$Q$2))</f>
        <v>38818.2728329847</v>
      </c>
      <c r="L653" s="15" t="n">
        <f aca="false">K653*(1+IF(L$3&lt;=$O$2,$D653,$D653-($D653-$I$643)*MIN(L$3-$O$2,$Q$2)/$Q$2))</f>
        <v>42040.0196481788</v>
      </c>
      <c r="M653" s="15" t="n">
        <f aca="false">L653*(1+IF(M$3&lt;=$O$2,$D653,$D653-($D653-$I$643)*MIN(M$3-$O$2,$Q$2)/$Q$2))</f>
        <v>44379.4547790569</v>
      </c>
      <c r="N653" s="15" t="n">
        <f aca="false">M653*(1+IF(N$3&lt;=$O$2,$D653,$D653-($D653-$I$643)*MIN(N$3-$O$2,$Q$2)/$Q$2))</f>
        <v>45635.3933493042</v>
      </c>
      <c r="O653" s="15" t="n">
        <f aca="false">SUMPRODUCT(E653:N653,1/(1+$F$643)^$E$3:$N$3)*$E$2</f>
        <v>57698.4984711516</v>
      </c>
      <c r="P653" s="15" t="n">
        <f aca="false">N653*$E$2*(1+$I$643)/($F$643-$I$643)/(1+$F$643)^$N$3</f>
        <v>73856.4699002536</v>
      </c>
      <c r="Q653" s="15" t="n">
        <f aca="false">O653+P653</f>
        <v>131554.968371405</v>
      </c>
      <c r="R653" s="15" t="n">
        <f aca="false">Q653-$G$2+$I$2</f>
        <v>119934.968371405</v>
      </c>
      <c r="S653" s="40" t="n">
        <f aca="false">R653/$K$2</f>
        <v>406.876440517709</v>
      </c>
      <c r="T653" s="41" t="n">
        <f aca="false">S653-$M$2</f>
        <v>-3.1042223720014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0.1650390625</v>
      </c>
      <c r="C654" s="25" t="n">
        <f aca="false">IF(T653&gt;0,D653,C653)</f>
        <v>0.16796875</v>
      </c>
      <c r="D654" s="39" t="n">
        <f aca="false">(B654+C654)/2</f>
        <v>0.16650390625</v>
      </c>
      <c r="E654" s="15" t="n">
        <f aca="false">$C$2*(1+IF(E$3&lt;=$O$2,$D654,$D654-($D654-$I$643)*MIN(E$3-$O$2,$Q$2)/$Q$2))</f>
        <v>16700.8364257813</v>
      </c>
      <c r="F654" s="15" t="n">
        <f aca="false">E654*(1+IF(F$3&lt;=$O$2,$D654,$D654-($D654-$I$643)*MIN(F$3-$O$2,$Q$2)/$Q$2))</f>
        <v>19481.5909283161</v>
      </c>
      <c r="G654" s="15" t="n">
        <f aca="false">F654*(1+IF(G$3&lt;=$O$2,$D654,$D654-($D654-$I$643)*MIN(G$3-$O$2,$Q$2)/$Q$2))</f>
        <v>22725.3519178453</v>
      </c>
      <c r="H654" s="15" t="n">
        <f aca="false">G654*(1+IF(H$3&lt;=$O$2,$D654,$D654-($D654-$I$643)*MIN(H$3-$O$2,$Q$2)/$Q$2))</f>
        <v>26509.2117830725</v>
      </c>
      <c r="I654" s="15" t="n">
        <f aca="false">H654*(1+IF(I$3&lt;=$O$2,$D654,$D654-($D654-$I$643)*MIN(I$3-$O$2,$Q$2)/$Q$2))</f>
        <v>30923.0990965626</v>
      </c>
      <c r="J654" s="15" t="n">
        <f aca="false">I654*(1+IF(J$3&lt;=$O$2,$D654,$D654-($D654-$I$643)*MIN(J$3-$O$2,$Q$2)/$Q$2))</f>
        <v>35217.1772717959</v>
      </c>
      <c r="K654" s="15" t="n">
        <f aca="false">J654*(1+IF(K$3&lt;=$O$2,$D654,$D654-($D654-$I$643)*MIN(K$3-$O$2,$Q$2)/$Q$2))</f>
        <v>39134.1142682243</v>
      </c>
      <c r="L654" s="15" t="n">
        <f aca="false">K654*(1+IF(L$3&lt;=$O$2,$D654,$D654-($D654-$I$643)*MIN(L$3-$O$2,$Q$2)/$Q$2))</f>
        <v>42405.0046858161</v>
      </c>
      <c r="M654" s="15" t="n">
        <f aca="false">L654*(1+IF(M$3&lt;=$O$2,$D654,$D654-($D654-$I$643)*MIN(M$3-$O$2,$Q$2)/$Q$2))</f>
        <v>44777.1737768505</v>
      </c>
      <c r="N654" s="15" t="n">
        <f aca="false">M654*(1+IF(N$3&lt;=$O$2,$D654,$D654-($D654-$I$643)*MIN(N$3-$O$2,$Q$2)/$Q$2))</f>
        <v>46044.3677947354</v>
      </c>
      <c r="O654" s="15" t="n">
        <f aca="false">SUMPRODUCT(E654:N654,1/(1+$F$643)^$E$3:$N$3)*$E$2</f>
        <v>58059.536534319</v>
      </c>
      <c r="P654" s="15" t="n">
        <f aca="false">N654*$E$2*(1+$I$643)/($F$643-$I$643)/(1+$F$643)^$N$3</f>
        <v>74518.3554807669</v>
      </c>
      <c r="Q654" s="15" t="n">
        <f aca="false">O654+P654</f>
        <v>132577.892015086</v>
      </c>
      <c r="R654" s="15" t="n">
        <f aca="false">Q654-$G$2+$I$2</f>
        <v>120957.892015086</v>
      </c>
      <c r="S654" s="40" t="n">
        <f aca="false">R654/$K$2</f>
        <v>410.346683906388</v>
      </c>
      <c r="T654" s="41" t="n">
        <f aca="false">S654-$M$2</f>
        <v>0.366021016677166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0.1650390625</v>
      </c>
      <c r="C655" s="25" t="n">
        <f aca="false">IF(T654&gt;0,D654,C654)</f>
        <v>0.16650390625</v>
      </c>
      <c r="D655" s="39" t="n">
        <f aca="false">(B655+C655)/2</f>
        <v>0.165771484375</v>
      </c>
      <c r="E655" s="15" t="n">
        <f aca="false">$C$2*(1+IF(E$3&lt;=$O$2,$D655,$D655-($D655-$I$643)*MIN(E$3-$O$2,$Q$2)/$Q$2))</f>
        <v>16690.3503417969</v>
      </c>
      <c r="F655" s="15" t="n">
        <f aca="false">E655*(1+IF(F$3&lt;=$O$2,$D655,$D655-($D655-$I$643)*MIN(F$3-$O$2,$Q$2)/$Q$2))</f>
        <v>19457.1344926953</v>
      </c>
      <c r="G655" s="15" t="n">
        <f aca="false">F655*(1+IF(G$3&lt;=$O$2,$D655,$D655-($D655-$I$643)*MIN(G$3-$O$2,$Q$2)/$Q$2))</f>
        <v>22682.5725592335</v>
      </c>
      <c r="H655" s="15" t="n">
        <f aca="false">G655*(1+IF(H$3&lt;=$O$2,$D655,$D655-($D655-$I$643)*MIN(H$3-$O$2,$Q$2)/$Q$2))</f>
        <v>26442.6962818212</v>
      </c>
      <c r="I655" s="15" t="n">
        <f aca="false">H655*(1+IF(I$3&lt;=$O$2,$D655,$D655-($D655-$I$643)*MIN(I$3-$O$2,$Q$2)/$Q$2))</f>
        <v>30826.141295336</v>
      </c>
      <c r="J655" s="15" t="n">
        <f aca="false">I655*(1+IF(J$3&lt;=$O$2,$D655,$D655-($D655-$I$643)*MIN(J$3-$O$2,$Q$2)/$Q$2))</f>
        <v>35088.6934151327</v>
      </c>
      <c r="K655" s="15" t="n">
        <f aca="false">J655*(1+IF(K$3&lt;=$O$2,$D655,$D655-($D655-$I$643)*MIN(K$3-$O$2,$Q$2)/$Q$2))</f>
        <v>38975.9202999155</v>
      </c>
      <c r="L655" s="15" t="n">
        <f aca="false">K655*(1+IF(L$3&lt;=$O$2,$D655,$D655-($D655-$I$643)*MIN(L$3-$O$2,$Q$2)/$Q$2))</f>
        <v>42222.1698918075</v>
      </c>
      <c r="M655" s="15" t="n">
        <f aca="false">L655*(1+IF(M$3&lt;=$O$2,$D655,$D655-($D655-$I$643)*MIN(M$3-$O$2,$Q$2)/$Q$2))</f>
        <v>44577.9261734577</v>
      </c>
      <c r="N655" s="15" t="n">
        <f aca="false">M655*(1+IF(N$3&lt;=$O$2,$D655,$D655-($D655-$I$643)*MIN(N$3-$O$2,$Q$2)/$Q$2))</f>
        <v>45839.4814841666</v>
      </c>
      <c r="O655" s="15" t="n">
        <f aca="false">SUMPRODUCT(E655:N655,1/(1+$F$643)^$E$3:$N$3)*$E$2</f>
        <v>57878.7413765148</v>
      </c>
      <c r="P655" s="15" t="n">
        <f aca="false">N655*$E$2*(1+$I$643)/($F$643-$I$643)/(1+$F$643)^$N$3</f>
        <v>74186.7668054229</v>
      </c>
      <c r="Q655" s="15" t="n">
        <f aca="false">O655+P655</f>
        <v>132065.508181938</v>
      </c>
      <c r="R655" s="15" t="n">
        <f aca="false">Q655-$G$2+$I$2</f>
        <v>120445.508181938</v>
      </c>
      <c r="S655" s="40" t="n">
        <f aca="false">R655/$K$2</f>
        <v>408.608434311286</v>
      </c>
      <c r="T655" s="41" t="n">
        <f aca="false">S655-$M$2</f>
        <v>-1.37222857842465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0.165771484375</v>
      </c>
      <c r="C656" s="25" t="n">
        <f aca="false">IF(T655&gt;0,D655,C655)</f>
        <v>0.16650390625</v>
      </c>
      <c r="D656" s="39" t="n">
        <f aca="false">(B656+C656)/2</f>
        <v>0.1661376953125</v>
      </c>
      <c r="E656" s="15" t="n">
        <f aca="false">$C$2*(1+IF(E$3&lt;=$O$2,$D656,$D656-($D656-$I$643)*MIN(E$3-$O$2,$Q$2)/$Q$2))</f>
        <v>16695.5933837891</v>
      </c>
      <c r="F656" s="15" t="n">
        <f aca="false">E656*(1+IF(F$3&lt;=$O$2,$D656,$D656-($D656-$I$643)*MIN(F$3-$O$2,$Q$2)/$Q$2))</f>
        <v>19469.3607904464</v>
      </c>
      <c r="G656" s="15" t="n">
        <f aca="false">F656*(1+IF(G$3&lt;=$O$2,$D656,$D656-($D656-$I$643)*MIN(G$3-$O$2,$Q$2)/$Q$2))</f>
        <v>22703.9555213787</v>
      </c>
      <c r="H656" s="15" t="n">
        <f aca="false">G656*(1+IF(H$3&lt;=$O$2,$D656,$D656-($D656-$I$643)*MIN(H$3-$O$2,$Q$2)/$Q$2))</f>
        <v>26475.9383661781</v>
      </c>
      <c r="I656" s="15" t="n">
        <f aca="false">H656*(1+IF(I$3&lt;=$O$2,$D656,$D656-($D656-$I$643)*MIN(I$3-$O$2,$Q$2)/$Q$2))</f>
        <v>30874.5897475707</v>
      </c>
      <c r="J656" s="15" t="n">
        <f aca="false">I656*(1+IF(J$3&lt;=$O$2,$D656,$D656-($D656-$I$643)*MIN(J$3-$O$2,$Q$2)/$Q$2))</f>
        <v>35152.8864730462</v>
      </c>
      <c r="K656" s="15" t="n">
        <f aca="false">J656*(1+IF(K$3&lt;=$O$2,$D656,$D656-($D656-$I$643)*MIN(K$3-$O$2,$Q$2)/$Q$2))</f>
        <v>39054.9488732494</v>
      </c>
      <c r="L656" s="15" t="n">
        <f aca="false">K656*(1+IF(L$3&lt;=$O$2,$D656,$D656-($D656-$I$643)*MIN(L$3-$O$2,$Q$2)/$Q$2))</f>
        <v>42313.5015836569</v>
      </c>
      <c r="M656" s="15" t="n">
        <f aca="false">L656*(1+IF(M$3&lt;=$O$2,$D656,$D656-($D656-$I$643)*MIN(M$3-$O$2,$Q$2)/$Q$2))</f>
        <v>44677.452786253</v>
      </c>
      <c r="N656" s="15" t="n">
        <f aca="false">M656*(1+IF(N$3&lt;=$O$2,$D656,$D656-($D656-$I$643)*MIN(N$3-$O$2,$Q$2)/$Q$2))</f>
        <v>45941.8247001039</v>
      </c>
      <c r="O656" s="15" t="n">
        <f aca="false">SUMPRODUCT(E656:N656,1/(1+$F$643)^$E$3:$N$3)*$E$2</f>
        <v>57969.0698269517</v>
      </c>
      <c r="P656" s="15" t="n">
        <f aca="false">N656*$E$2*(1+$I$643)/($F$643-$I$643)/(1+$F$643)^$N$3</f>
        <v>74352.3994009287</v>
      </c>
      <c r="Q656" s="15" t="n">
        <f aca="false">O656+P656</f>
        <v>132321.46922788</v>
      </c>
      <c r="R656" s="15" t="n">
        <f aca="false">Q656-$G$2+$I$2</f>
        <v>120701.46922788</v>
      </c>
      <c r="S656" s="40" t="n">
        <f aca="false">R656/$K$2</f>
        <v>409.476775885878</v>
      </c>
      <c r="T656" s="41" t="n">
        <f aca="false">S656-$M$2</f>
        <v>-0.50388700383229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0.1661376953125</v>
      </c>
      <c r="C657" s="25" t="n">
        <f aca="false">IF(T656&gt;0,D656,C656)</f>
        <v>0.16650390625</v>
      </c>
      <c r="D657" s="39" t="n">
        <f aca="false">(B657+C657)/2</f>
        <v>0.16632080078125</v>
      </c>
      <c r="E657" s="15" t="n">
        <f aca="false">$C$2*(1+IF(E$3&lt;=$O$2,$D657,$D657-($D657-$I$643)*MIN(E$3-$O$2,$Q$2)/$Q$2))</f>
        <v>16698.2149047852</v>
      </c>
      <c r="F657" s="15" t="n">
        <f aca="false">E657*(1+IF(F$3&lt;=$O$2,$D657,$D657-($D657-$I$643)*MIN(F$3-$O$2,$Q$2)/$Q$2))</f>
        <v>19475.4753793664</v>
      </c>
      <c r="G657" s="15" t="n">
        <f aca="false">F657*(1+IF(G$3&lt;=$O$2,$D657,$D657-($D657-$I$643)*MIN(G$3-$O$2,$Q$2)/$Q$2))</f>
        <v>22714.6520400582</v>
      </c>
      <c r="H657" s="15" t="n">
        <f aca="false">G657*(1+IF(H$3&lt;=$O$2,$D657,$D657-($D657-$I$643)*MIN(H$3-$O$2,$Q$2)/$Q$2))</f>
        <v>26492.5711568281</v>
      </c>
      <c r="I657" s="15" t="n">
        <f aca="false">H657*(1+IF(I$3&lt;=$O$2,$D657,$D657-($D657-$I$643)*MIN(I$3-$O$2,$Q$2)/$Q$2))</f>
        <v>30898.836806386</v>
      </c>
      <c r="J657" s="15" t="n">
        <f aca="false">I657*(1+IF(J$3&lt;=$O$2,$D657,$D657-($D657-$I$643)*MIN(J$3-$O$2,$Q$2)/$Q$2))</f>
        <v>35185.019647388</v>
      </c>
      <c r="K657" s="15" t="n">
        <f aca="false">J657*(1+IF(K$3&lt;=$O$2,$D657,$D657-($D657-$I$643)*MIN(K$3-$O$2,$Q$2)/$Q$2))</f>
        <v>39094.5144557509</v>
      </c>
      <c r="L657" s="15" t="n">
        <f aca="false">K657*(1+IF(L$3&lt;=$O$2,$D657,$D657-($D657-$I$643)*MIN(L$3-$O$2,$Q$2)/$Q$2))</f>
        <v>42359.2316913835</v>
      </c>
      <c r="M657" s="15" t="n">
        <f aca="false">L657*(1+IF(M$3&lt;=$O$2,$D657,$D657-($D657-$I$643)*MIN(M$3-$O$2,$Q$2)/$Q$2))</f>
        <v>44727.2889639543</v>
      </c>
      <c r="N657" s="15" t="n">
        <f aca="false">M657*(1+IF(N$3&lt;=$O$2,$D657,$D657-($D657-$I$643)*MIN(N$3-$O$2,$Q$2)/$Q$2))</f>
        <v>45993.0712416342</v>
      </c>
      <c r="O657" s="15" t="n">
        <f aca="false">SUMPRODUCT(E657:N657,1/(1+$F$643)^$E$3:$N$3)*$E$2</f>
        <v>58014.2858863924</v>
      </c>
      <c r="P657" s="15" t="n">
        <f aca="false">N657*$E$2*(1+$I$643)/($F$643-$I$643)/(1+$F$643)^$N$3</f>
        <v>74435.3369714027</v>
      </c>
      <c r="Q657" s="15" t="n">
        <f aca="false">O657+P657</f>
        <v>132449.622857795</v>
      </c>
      <c r="R657" s="15" t="n">
        <f aca="false">Q657-$G$2+$I$2</f>
        <v>120829.622857795</v>
      </c>
      <c r="S657" s="40" t="n">
        <f aca="false">R657/$K$2</f>
        <v>409.911533934237</v>
      </c>
      <c r="T657" s="41" t="n">
        <f aca="false">S657-$M$2</f>
        <v>-0.0691289554732748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0.16632080078125</v>
      </c>
      <c r="C658" s="25" t="n">
        <f aca="false">IF(T657&gt;0,D657,C657)</f>
        <v>0.16650390625</v>
      </c>
      <c r="D658" s="39" t="n">
        <f aca="false">(B658+C658)/2</f>
        <v>0.166412353515625</v>
      </c>
      <c r="E658" s="15" t="n">
        <f aca="false">$C$2*(1+IF(E$3&lt;=$O$2,$D658,$D658-($D658-$I$643)*MIN(E$3-$O$2,$Q$2)/$Q$2))</f>
        <v>16699.5256652832</v>
      </c>
      <c r="F658" s="15" t="n">
        <f aca="false">E658*(1+IF(F$3&lt;=$O$2,$D658,$D658-($D658-$I$643)*MIN(F$3-$O$2,$Q$2)/$Q$2))</f>
        <v>19478.5330338376</v>
      </c>
      <c r="G658" s="15" t="n">
        <f aca="false">F658*(1+IF(G$3&lt;=$O$2,$D658,$D658-($D658-$I$643)*MIN(G$3-$O$2,$Q$2)/$Q$2))</f>
        <v>22720.0015590303</v>
      </c>
      <c r="H658" s="15" t="n">
        <f aca="false">G658*(1+IF(H$3&lt;=$O$2,$D658,$D658-($D658-$I$643)*MIN(H$3-$O$2,$Q$2)/$Q$2))</f>
        <v>26500.8904903472</v>
      </c>
      <c r="I658" s="15" t="n">
        <f aca="false">H658*(1+IF(I$3&lt;=$O$2,$D658,$D658-($D658-$I$643)*MIN(I$3-$O$2,$Q$2)/$Q$2))</f>
        <v>30910.9660471058</v>
      </c>
      <c r="J658" s="15" t="n">
        <f aca="false">I658*(1+IF(J$3&lt;=$O$2,$D658,$D658-($D658-$I$643)*MIN(J$3-$O$2,$Q$2)/$Q$2))</f>
        <v>35201.0954024047</v>
      </c>
      <c r="K658" s="15" t="n">
        <f aca="false">J658*(1+IF(K$3&lt;=$O$2,$D658,$D658-($D658-$I$643)*MIN(K$3-$O$2,$Q$2)/$Q$2))</f>
        <v>39114.3100817053</v>
      </c>
      <c r="L658" s="15" t="n">
        <f aca="false">K658*(1+IF(L$3&lt;=$O$2,$D658,$D658-($D658-$I$643)*MIN(L$3-$O$2,$Q$2)/$Q$2))</f>
        <v>42382.1128256272</v>
      </c>
      <c r="M658" s="15" t="n">
        <f aca="false">L658*(1+IF(M$3&lt;=$O$2,$D658,$D658-($D658-$I$643)*MIN(M$3-$O$2,$Q$2)/$Q$2))</f>
        <v>44752.2252884549</v>
      </c>
      <c r="N658" s="15" t="n">
        <f aca="false">M658*(1+IF(N$3&lt;=$O$2,$D658,$D658-($D658-$I$643)*MIN(N$3-$O$2,$Q$2)/$Q$2))</f>
        <v>46018.7132641182</v>
      </c>
      <c r="O658" s="15" t="n">
        <f aca="false">SUMPRODUCT(E658:N658,1/(1+$F$643)^$E$3:$N$3)*$E$2</f>
        <v>58036.9068852783</v>
      </c>
      <c r="P658" s="15" t="n">
        <f aca="false">N658*$E$2*(1+$I$643)/($F$643-$I$643)/(1+$F$643)^$N$3</f>
        <v>74476.836104483</v>
      </c>
      <c r="Q658" s="15" t="n">
        <f aca="false">O658+P658</f>
        <v>132513.742989761</v>
      </c>
      <c r="R658" s="15" t="n">
        <f aca="false">Q658-$G$2+$I$2</f>
        <v>120893.742989761</v>
      </c>
      <c r="S658" s="40" t="n">
        <f aca="false">R658/$K$2</f>
        <v>410.129059910307</v>
      </c>
      <c r="T658" s="41" t="n">
        <f aca="false">S658-$M$2</f>
        <v>0.14839702059686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0.16632080078125</v>
      </c>
      <c r="C659" s="25" t="n">
        <f aca="false">IF(T658&gt;0,D658,C658)</f>
        <v>0.166412353515625</v>
      </c>
      <c r="D659" s="39" t="n">
        <f aca="false">(B659+C659)/2</f>
        <v>0.166366577148438</v>
      </c>
      <c r="E659" s="15" t="n">
        <f aca="false">$C$2*(1+IF(E$3&lt;=$O$2,$D659,$D659-($D659-$I$643)*MIN(E$3-$O$2,$Q$2)/$Q$2))</f>
        <v>16698.8702850342</v>
      </c>
      <c r="F659" s="15" t="n">
        <f aca="false">E659*(1+IF(F$3&lt;=$O$2,$D659,$D659-($D659-$I$643)*MIN(F$3-$O$2,$Q$2)/$Q$2))</f>
        <v>19477.0041766011</v>
      </c>
      <c r="G659" s="15" t="n">
        <f aca="false">F659*(1+IF(G$3&lt;=$O$2,$D659,$D659-($D659-$I$643)*MIN(G$3-$O$2,$Q$2)/$Q$2))</f>
        <v>22717.326694568</v>
      </c>
      <c r="H659" s="15" t="n">
        <f aca="false">G659*(1+IF(H$3&lt;=$O$2,$D659,$D659-($D659-$I$643)*MIN(H$3-$O$2,$Q$2)/$Q$2))</f>
        <v>26496.7305787061</v>
      </c>
      <c r="I659" s="15" t="n">
        <f aca="false">H659*(1+IF(I$3&lt;=$O$2,$D659,$D659-($D659-$I$643)*MIN(I$3-$O$2,$Q$2)/$Q$2))</f>
        <v>30904.9009507098</v>
      </c>
      <c r="J659" s="15" t="n">
        <f aca="false">I659*(1+IF(J$3&lt;=$O$2,$D659,$D659-($D659-$I$643)*MIN(J$3-$O$2,$Q$2)/$Q$2))</f>
        <v>35193.0567607157</v>
      </c>
      <c r="K659" s="15" t="n">
        <f aca="false">J659*(1+IF(K$3&lt;=$O$2,$D659,$D659-($D659-$I$643)*MIN(K$3-$O$2,$Q$2)/$Q$2))</f>
        <v>39104.4111988495</v>
      </c>
      <c r="L659" s="15" t="n">
        <f aca="false">K659*(1+IF(L$3&lt;=$O$2,$D659,$D659-($D659-$I$643)*MIN(L$3-$O$2,$Q$2)/$Q$2))</f>
        <v>42370.6709180291</v>
      </c>
      <c r="M659" s="15" t="n">
        <f aca="false">L659*(1+IF(M$3&lt;=$O$2,$D659,$D659-($D659-$I$643)*MIN(M$3-$O$2,$Q$2)/$Q$2))</f>
        <v>44739.7556060363</v>
      </c>
      <c r="N659" s="15" t="n">
        <f aca="false">M659*(1+IF(N$3&lt;=$O$2,$D659,$D659-($D659-$I$643)*MIN(N$3-$O$2,$Q$2)/$Q$2))</f>
        <v>46005.8906896871</v>
      </c>
      <c r="O659" s="15" t="n">
        <f aca="false">SUMPRODUCT(E659:N659,1/(1+$F$643)^$E$3:$N$3)*$E$2</f>
        <v>58025.5953047557</v>
      </c>
      <c r="P659" s="15" t="n">
        <f aca="false">N659*$E$2*(1+$I$643)/($F$643-$I$643)/(1+$F$643)^$N$3</f>
        <v>74456.0840080726</v>
      </c>
      <c r="Q659" s="15" t="n">
        <f aca="false">O659+P659</f>
        <v>132481.679312828</v>
      </c>
      <c r="R659" s="15" t="n">
        <f aca="false">Q659-$G$2+$I$2</f>
        <v>120861.679312828</v>
      </c>
      <c r="S659" s="40" t="n">
        <f aca="false">R659/$K$2</f>
        <v>410.020284672213</v>
      </c>
      <c r="T659" s="41" t="n">
        <f aca="false">S659-$M$2</f>
        <v>0.039621782502536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0.16632080078125</v>
      </c>
      <c r="C660" s="25" t="n">
        <f aca="false">IF(T659&gt;0,D659,C659)</f>
        <v>0.166366577148438</v>
      </c>
      <c r="D660" s="39" t="n">
        <f aca="false">(B660+C660)/2</f>
        <v>0.166343688964844</v>
      </c>
      <c r="E660" s="15" t="n">
        <f aca="false">$C$2*(1+IF(E$3&lt;=$O$2,$D660,$D660-($D660-$I$643)*MIN(E$3-$O$2,$Q$2)/$Q$2))</f>
        <v>16698.5425949097</v>
      </c>
      <c r="F660" s="15" t="n">
        <f aca="false">E660*(1+IF(F$3&lt;=$O$2,$D660,$D660-($D660-$I$643)*MIN(F$3-$O$2,$Q$2)/$Q$2))</f>
        <v>19476.2397704835</v>
      </c>
      <c r="G660" s="15" t="n">
        <f aca="false">F660*(1+IF(G$3&lt;=$O$2,$D660,$D660-($D660-$I$643)*MIN(G$3-$O$2,$Q$2)/$Q$2))</f>
        <v>22715.9893410695</v>
      </c>
      <c r="H660" s="15" t="n">
        <f aca="false">G660*(1+IF(H$3&lt;=$O$2,$D660,$D660-($D660-$I$643)*MIN(H$3-$O$2,$Q$2)/$Q$2))</f>
        <v>26494.6508065491</v>
      </c>
      <c r="I660" s="15" t="n">
        <f aca="false">H660*(1+IF(I$3&lt;=$O$2,$D660,$D660-($D660-$I$643)*MIN(I$3-$O$2,$Q$2)/$Q$2))</f>
        <v>30901.8687595459</v>
      </c>
      <c r="J660" s="15" t="n">
        <f aca="false">I660*(1+IF(J$3&lt;=$O$2,$D660,$D660-($D660-$I$643)*MIN(J$3-$O$2,$Q$2)/$Q$2))</f>
        <v>35189.0380130212</v>
      </c>
      <c r="K660" s="15" t="n">
        <f aca="false">J660*(1+IF(K$3&lt;=$O$2,$D660,$D660-($D660-$I$643)*MIN(K$3-$O$2,$Q$2)/$Q$2))</f>
        <v>39099.4625598546</v>
      </c>
      <c r="L660" s="15" t="n">
        <f aca="false">K660*(1+IF(L$3&lt;=$O$2,$D660,$D660-($D660-$I$643)*MIN(L$3-$O$2,$Q$2)/$Q$2))</f>
        <v>42364.9509696205</v>
      </c>
      <c r="M660" s="15" t="n">
        <f aca="false">L660*(1+IF(M$3&lt;=$O$2,$D660,$D660-($D660-$I$643)*MIN(M$3-$O$2,$Q$2)/$Q$2))</f>
        <v>44733.521904993</v>
      </c>
      <c r="N660" s="15" t="n">
        <f aca="false">M660*(1+IF(N$3&lt;=$O$2,$D660,$D660-($D660-$I$643)*MIN(N$3-$O$2,$Q$2)/$Q$2))</f>
        <v>45999.4805749043</v>
      </c>
      <c r="O660" s="15" t="n">
        <f aca="false">SUMPRODUCT(E660:N660,1/(1+$F$643)^$E$3:$N$3)*$E$2</f>
        <v>58019.9403253278</v>
      </c>
      <c r="P660" s="15" t="n">
        <f aca="false">N660*$E$2*(1+$I$643)/($F$643-$I$643)/(1+$F$643)^$N$3</f>
        <v>74445.7098573364</v>
      </c>
      <c r="Q660" s="15" t="n">
        <f aca="false">O660+P660</f>
        <v>132465.650182664</v>
      </c>
      <c r="R660" s="15" t="n">
        <f aca="false">Q660-$G$2+$I$2</f>
        <v>120845.650182664</v>
      </c>
      <c r="S660" s="40" t="n">
        <f aca="false">R660/$K$2</f>
        <v>409.965906241016</v>
      </c>
      <c r="T660" s="41" t="n">
        <f aca="false">S660-$M$2</f>
        <v>-0.01475664869497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0.166343688964844</v>
      </c>
      <c r="C661" s="25" t="n">
        <f aca="false">IF(T660&gt;0,D660,C660)</f>
        <v>0.166366577148438</v>
      </c>
      <c r="D661" s="39" t="n">
        <f aca="false">(B661+C661)/2</f>
        <v>0.166355133056641</v>
      </c>
      <c r="E661" s="15" t="n">
        <f aca="false">$C$2*(1+IF(E$3&lt;=$O$2,$D661,$D661-($D661-$I$643)*MIN(E$3-$O$2,$Q$2)/$Q$2))</f>
        <v>16698.7064399719</v>
      </c>
      <c r="F661" s="15" t="n">
        <f aca="false">E661*(1+IF(F$3&lt;=$O$2,$D661,$D661-($D661-$I$643)*MIN(F$3-$O$2,$Q$2)/$Q$2))</f>
        <v>19476.6219716672</v>
      </c>
      <c r="G661" s="15" t="n">
        <f aca="false">F661*(1+IF(G$3&lt;=$O$2,$D661,$D661-($D661-$I$643)*MIN(G$3-$O$2,$Q$2)/$Q$2))</f>
        <v>22716.6580112578</v>
      </c>
      <c r="H661" s="15" t="n">
        <f aca="false">G661*(1+IF(H$3&lt;=$O$2,$D661,$D661-($D661-$I$643)*MIN(H$3-$O$2,$Q$2)/$Q$2))</f>
        <v>26495.6906773228</v>
      </c>
      <c r="I661" s="15" t="n">
        <f aca="false">H661*(1+IF(I$3&lt;=$O$2,$D661,$D661-($D661-$I$643)*MIN(I$3-$O$2,$Q$2)/$Q$2))</f>
        <v>30903.3848253765</v>
      </c>
      <c r="J661" s="15" t="n">
        <f aca="false">I661*(1+IF(J$3&lt;=$O$2,$D661,$D661-($D661-$I$643)*MIN(J$3-$O$2,$Q$2)/$Q$2))</f>
        <v>35191.0473391089</v>
      </c>
      <c r="K661" s="15" t="n">
        <f aca="false">J661*(1+IF(K$3&lt;=$O$2,$D661,$D661-($D661-$I$643)*MIN(K$3-$O$2,$Q$2)/$Q$2))</f>
        <v>39101.9368124877</v>
      </c>
      <c r="L661" s="15" t="n">
        <f aca="false">K661*(1+IF(L$3&lt;=$O$2,$D661,$D661-($D661-$I$643)*MIN(L$3-$O$2,$Q$2)/$Q$2))</f>
        <v>42367.8108600492</v>
      </c>
      <c r="M661" s="15" t="n">
        <f aca="false">L661*(1+IF(M$3&lt;=$O$2,$D661,$D661-($D661-$I$643)*MIN(M$3-$O$2,$Q$2)/$Q$2))</f>
        <v>44736.6386605091</v>
      </c>
      <c r="N661" s="15" t="n">
        <f aca="false">M661*(1+IF(N$3&lt;=$O$2,$D661,$D661-($D661-$I$643)*MIN(N$3-$O$2,$Q$2)/$Q$2))</f>
        <v>46002.6855346015</v>
      </c>
      <c r="O661" s="15" t="n">
        <f aca="false">SUMPRODUCT(E661:N661,1/(1+$F$643)^$E$3:$N$3)*$E$2</f>
        <v>58022.7677474772</v>
      </c>
      <c r="P661" s="15" t="n">
        <f aca="false">N661*$E$2*(1+$I$643)/($F$643-$I$643)/(1+$F$643)^$N$3</f>
        <v>74450.8967745959</v>
      </c>
      <c r="Q661" s="15" t="n">
        <f aca="false">O661+P661</f>
        <v>132473.664522073</v>
      </c>
      <c r="R661" s="15" t="n">
        <f aca="false">Q661-$G$2+$I$2</f>
        <v>120853.664522073</v>
      </c>
      <c r="S661" s="40" t="n">
        <f aca="false">R661/$K$2</f>
        <v>409.993094691024</v>
      </c>
      <c r="T661" s="41" t="n">
        <f aca="false">S661-$M$2</f>
        <v>0.0124318013131415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0.166343688964844</v>
      </c>
      <c r="C662" s="25" t="n">
        <f aca="false">IF(T661&gt;0,D661,C661)</f>
        <v>0.166355133056641</v>
      </c>
      <c r="D662" s="39" t="n">
        <f aca="false">(B662+C662)/2</f>
        <v>0.166349411010742</v>
      </c>
      <c r="E662" s="15" t="n">
        <f aca="false">$C$2*(1+IF(E$3&lt;=$O$2,$D662,$D662-($D662-$I$643)*MIN(E$3-$O$2,$Q$2)/$Q$2))</f>
        <v>16698.6245174408</v>
      </c>
      <c r="F662" s="15" t="n">
        <f aca="false">E662*(1+IF(F$3&lt;=$O$2,$D662,$D662-($D662-$I$643)*MIN(F$3-$O$2,$Q$2)/$Q$2))</f>
        <v>19476.4308706066</v>
      </c>
      <c r="G662" s="15" t="n">
        <f aca="false">F662*(1+IF(G$3&lt;=$O$2,$D662,$D662-($D662-$I$643)*MIN(G$3-$O$2,$Q$2)/$Q$2))</f>
        <v>22716.3236745235</v>
      </c>
      <c r="H662" s="15" t="n">
        <f aca="false">G662*(1+IF(H$3&lt;=$O$2,$D662,$D662-($D662-$I$643)*MIN(H$3-$O$2,$Q$2)/$Q$2))</f>
        <v>26495.1707381098</v>
      </c>
      <c r="I662" s="15" t="n">
        <f aca="false">H662*(1+IF(I$3&lt;=$O$2,$D662,$D662-($D662-$I$643)*MIN(I$3-$O$2,$Q$2)/$Q$2))</f>
        <v>30902.6267850234</v>
      </c>
      <c r="J662" s="15" t="n">
        <f aca="false">I662*(1+IF(J$3&lt;=$O$2,$D662,$D662-($D662-$I$643)*MIN(J$3-$O$2,$Q$2)/$Q$2))</f>
        <v>35190.0426641254</v>
      </c>
      <c r="K662" s="15" t="n">
        <f aca="false">J662*(1+IF(K$3&lt;=$O$2,$D662,$D662-($D662-$I$643)*MIN(K$3-$O$2,$Q$2)/$Q$2))</f>
        <v>39100.6996694554</v>
      </c>
      <c r="L662" s="15" t="n">
        <f aca="false">K662*(1+IF(L$3&lt;=$O$2,$D662,$D662-($D662-$I$643)*MIN(L$3-$O$2,$Q$2)/$Q$2))</f>
        <v>42366.3808938915</v>
      </c>
      <c r="M662" s="15" t="n">
        <f aca="false">L662*(1+IF(M$3&lt;=$O$2,$D662,$D662-($D662-$I$643)*MIN(M$3-$O$2,$Q$2)/$Q$2))</f>
        <v>44735.0802590003</v>
      </c>
      <c r="N662" s="15" t="n">
        <f aca="false">M662*(1+IF(N$3&lt;=$O$2,$D662,$D662-($D662-$I$643)*MIN(N$3-$O$2,$Q$2)/$Q$2))</f>
        <v>46001.08303033</v>
      </c>
      <c r="O662" s="15" t="n">
        <f aca="false">SUMPRODUCT(E662:N662,1/(1+$F$643)^$E$3:$N$3)*$E$2</f>
        <v>58021.3540195117</v>
      </c>
      <c r="P662" s="15" t="n">
        <f aca="false">N662*$E$2*(1+$I$643)/($F$643-$I$643)/(1+$F$643)^$N$3</f>
        <v>74448.30327644</v>
      </c>
      <c r="Q662" s="15" t="n">
        <f aca="false">O662+P662</f>
        <v>132469.657295952</v>
      </c>
      <c r="R662" s="15" t="n">
        <f aca="false">Q662-$G$2+$I$2</f>
        <v>120849.657295952</v>
      </c>
      <c r="S662" s="40" t="n">
        <f aca="false">R662/$K$2</f>
        <v>409.979500274627</v>
      </c>
      <c r="T662" s="41" t="n">
        <f aca="false">S662-$M$2</f>
        <v>-0.00116261508378557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0.166349411010742</v>
      </c>
      <c r="C663" s="25" t="n">
        <f aca="false">IF(T662&gt;0,D662,C662)</f>
        <v>0.166355133056641</v>
      </c>
      <c r="D663" s="39" t="n">
        <f aca="false">(B663+C663)/2</f>
        <v>0.166352272033691</v>
      </c>
      <c r="E663" s="15" t="n">
        <f aca="false">$C$2*(1+IF(E$3&lt;=$O$2,$D663,$D663-($D663-$I$643)*MIN(E$3-$O$2,$Q$2)/$Q$2))</f>
        <v>16698.6654787064</v>
      </c>
      <c r="F663" s="15" t="n">
        <f aca="false">E663*(1+IF(F$3&lt;=$O$2,$D663,$D663-($D663-$I$643)*MIN(F$3-$O$2,$Q$2)/$Q$2))</f>
        <v>19476.5264210197</v>
      </c>
      <c r="G663" s="15" t="n">
        <f aca="false">F663*(1+IF(G$3&lt;=$O$2,$D663,$D663-($D663-$I$643)*MIN(G$3-$O$2,$Q$2)/$Q$2))</f>
        <v>22716.4908424806</v>
      </c>
      <c r="H663" s="15" t="n">
        <f aca="false">G663*(1+IF(H$3&lt;=$O$2,$D663,$D663-($D663-$I$643)*MIN(H$3-$O$2,$Q$2)/$Q$2))</f>
        <v>26495.4307067598</v>
      </c>
      <c r="I663" s="15" t="n">
        <f aca="false">H663*(1+IF(I$3&lt;=$O$2,$D663,$D663-($D663-$I$643)*MIN(I$3-$O$2,$Q$2)/$Q$2))</f>
        <v>30903.0058033405</v>
      </c>
      <c r="J663" s="15" t="n">
        <f aca="false">I663*(1+IF(J$3&lt;=$O$2,$D663,$D663-($D663-$I$643)*MIN(J$3-$O$2,$Q$2)/$Q$2))</f>
        <v>35190.5449986322</v>
      </c>
      <c r="K663" s="15" t="n">
        <f aca="false">J663*(1+IF(K$3&lt;=$O$2,$D663,$D663-($D663-$I$643)*MIN(K$3-$O$2,$Q$2)/$Q$2))</f>
        <v>39101.3182367926</v>
      </c>
      <c r="L663" s="15" t="n">
        <f aca="false">K663*(1+IF(L$3&lt;=$O$2,$D663,$D663-($D663-$I$643)*MIN(L$3-$O$2,$Q$2)/$Q$2))</f>
        <v>42367.0958717344</v>
      </c>
      <c r="M663" s="15" t="n">
        <f aca="false">L663*(1+IF(M$3&lt;=$O$2,$D663,$D663-($D663-$I$643)*MIN(M$3-$O$2,$Q$2)/$Q$2))</f>
        <v>44735.859453817</v>
      </c>
      <c r="N663" s="15" t="n">
        <f aca="false">M663*(1+IF(N$3&lt;=$O$2,$D663,$D663-($D663-$I$643)*MIN(N$3-$O$2,$Q$2)/$Q$2))</f>
        <v>46001.88427636</v>
      </c>
      <c r="O663" s="15" t="n">
        <f aca="false">SUMPRODUCT(E663:N663,1/(1+$F$643)^$E$3:$N$3)*$E$2</f>
        <v>58022.0608792717</v>
      </c>
      <c r="P663" s="15" t="n">
        <f aca="false">N663*$E$2*(1+$I$643)/($F$643-$I$643)/(1+$F$643)^$N$3</f>
        <v>74449.6000156363</v>
      </c>
      <c r="Q663" s="15" t="n">
        <f aca="false">O663+P663</f>
        <v>132471.660894908</v>
      </c>
      <c r="R663" s="15" t="n">
        <f aca="false">Q663-$G$2+$I$2</f>
        <v>120851.660894908</v>
      </c>
      <c r="S663" s="40" t="n">
        <f aca="false">R663/$K$2</f>
        <v>409.986297434976</v>
      </c>
      <c r="T663" s="41" t="n">
        <f aca="false">S663-$M$2</f>
        <v>0.00563454526582063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0.166349411010742</v>
      </c>
      <c r="C664" s="25" t="n">
        <f aca="false">IF(T663&gt;0,D663,C663)</f>
        <v>0.166352272033691</v>
      </c>
      <c r="D664" s="39" t="n">
        <f aca="false">(B664+C664)/2</f>
        <v>0.166350841522217</v>
      </c>
      <c r="E664" s="15" t="n">
        <f aca="false">$C$2*(1+IF(E$3&lt;=$O$2,$D664,$D664-($D664-$I$643)*MIN(E$3-$O$2,$Q$2)/$Q$2))</f>
        <v>16698.6449980736</v>
      </c>
      <c r="F664" s="15" t="n">
        <f aca="false">E664*(1+IF(F$3&lt;=$O$2,$D664,$D664-($D664-$I$643)*MIN(F$3-$O$2,$Q$2)/$Q$2))</f>
        <v>19476.4786457839</v>
      </c>
      <c r="G664" s="15" t="n">
        <f aca="false">F664*(1+IF(G$3&lt;=$O$2,$D664,$D664-($D664-$I$643)*MIN(G$3-$O$2,$Q$2)/$Q$2))</f>
        <v>22716.4072583995</v>
      </c>
      <c r="H664" s="15" t="n">
        <f aca="false">G664*(1+IF(H$3&lt;=$O$2,$D664,$D664-($D664-$I$643)*MIN(H$3-$O$2,$Q$2)/$Q$2))</f>
        <v>26495.3007221957</v>
      </c>
      <c r="I664" s="15" t="n">
        <f aca="false">H664*(1+IF(I$3&lt;=$O$2,$D664,$D664-($D664-$I$643)*MIN(I$3-$O$2,$Q$2)/$Q$2))</f>
        <v>30902.8162937171</v>
      </c>
      <c r="J664" s="15" t="n">
        <f aca="false">I664*(1+IF(J$3&lt;=$O$2,$D664,$D664-($D664-$I$643)*MIN(J$3-$O$2,$Q$2)/$Q$2))</f>
        <v>35190.2938306326</v>
      </c>
      <c r="K664" s="15" t="n">
        <f aca="false">J664*(1+IF(K$3&lt;=$O$2,$D664,$D664-($D664-$I$643)*MIN(K$3-$O$2,$Q$2)/$Q$2))</f>
        <v>39101.0089520792</v>
      </c>
      <c r="L664" s="15" t="n">
        <f aca="false">K664*(1+IF(L$3&lt;=$O$2,$D664,$D664-($D664-$I$643)*MIN(L$3-$O$2,$Q$2)/$Q$2))</f>
        <v>42366.738381504</v>
      </c>
      <c r="M664" s="15" t="n">
        <f aca="false">L664*(1+IF(M$3&lt;=$O$2,$D664,$D664-($D664-$I$643)*MIN(M$3-$O$2,$Q$2)/$Q$2))</f>
        <v>44735.4698549242</v>
      </c>
      <c r="N664" s="15" t="n">
        <f aca="false">M664*(1+IF(N$3&lt;=$O$2,$D664,$D664-($D664-$I$643)*MIN(N$3-$O$2,$Q$2)/$Q$2))</f>
        <v>46001.4836518186</v>
      </c>
      <c r="O664" s="15" t="n">
        <f aca="false">SUMPRODUCT(E664:N664,1/(1+$F$643)^$E$3:$N$3)*$E$2</f>
        <v>58021.7074483361</v>
      </c>
      <c r="P664" s="15" t="n">
        <f aca="false">N664*$E$2*(1+$I$643)/($F$643-$I$643)/(1+$F$643)^$N$3</f>
        <v>74448.9516435677</v>
      </c>
      <c r="Q664" s="15" t="n">
        <f aca="false">O664+P664</f>
        <v>132470.659091904</v>
      </c>
      <c r="R664" s="15" t="n">
        <f aca="false">Q664-$G$2+$I$2</f>
        <v>120850.659091904</v>
      </c>
      <c r="S664" s="40" t="n">
        <f aca="false">R664/$K$2</f>
        <v>409.98289884284</v>
      </c>
      <c r="T664" s="41" t="n">
        <f aca="false">S664-$M$2</f>
        <v>0.00223595312894531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0.166349411010742</v>
      </c>
      <c r="C665" s="25" t="n">
        <f aca="false">IF(T664&gt;0,D664,C664)</f>
        <v>0.166350841522217</v>
      </c>
      <c r="D665" s="39" t="n">
        <f aca="false">(B665+C665)/2</f>
        <v>0.16635012626648</v>
      </c>
      <c r="E665" s="15" t="n">
        <f aca="false">$C$2*(1+IF(E$3&lt;=$O$2,$D665,$D665-($D665-$I$643)*MIN(E$3-$O$2,$Q$2)/$Q$2))</f>
        <v>16698.6347577572</v>
      </c>
      <c r="F665" s="15" t="n">
        <f aca="false">E665*(1+IF(F$3&lt;=$O$2,$D665,$D665-($D665-$I$643)*MIN(F$3-$O$2,$Q$2)/$Q$2))</f>
        <v>19476.4547581879</v>
      </c>
      <c r="G665" s="15" t="n">
        <f aca="false">F665*(1+IF(G$3&lt;=$O$2,$D665,$D665-($D665-$I$643)*MIN(G$3-$O$2,$Q$2)/$Q$2))</f>
        <v>22716.3654664359</v>
      </c>
      <c r="H665" s="15" t="n">
        <f aca="false">G665*(1+IF(H$3&lt;=$O$2,$D665,$D665-($D665-$I$643)*MIN(H$3-$O$2,$Q$2)/$Q$2))</f>
        <v>26495.235730093</v>
      </c>
      <c r="I665" s="15" t="n">
        <f aca="false">H665*(1+IF(I$3&lt;=$O$2,$D665,$D665-($D665-$I$643)*MIN(I$3-$O$2,$Q$2)/$Q$2))</f>
        <v>30902.7215392541</v>
      </c>
      <c r="J665" s="15" t="n">
        <f aca="false">I665*(1+IF(J$3&lt;=$O$2,$D665,$D665-($D665-$I$643)*MIN(J$3-$O$2,$Q$2)/$Q$2))</f>
        <v>35190.1682471925</v>
      </c>
      <c r="K665" s="15" t="n">
        <f aca="false">J665*(1+IF(K$3&lt;=$O$2,$D665,$D665-($D665-$I$643)*MIN(K$3-$O$2,$Q$2)/$Q$2))</f>
        <v>39100.8543105061</v>
      </c>
      <c r="L665" s="15" t="n">
        <f aca="false">K665*(1+IF(L$3&lt;=$O$2,$D665,$D665-($D665-$I$643)*MIN(L$3-$O$2,$Q$2)/$Q$2))</f>
        <v>42366.5596373705</v>
      </c>
      <c r="M665" s="15" t="n">
        <f aca="false">L665*(1+IF(M$3&lt;=$O$2,$D665,$D665-($D665-$I$643)*MIN(M$3-$O$2,$Q$2)/$Q$2))</f>
        <v>44735.2750565912</v>
      </c>
      <c r="N665" s="15" t="n">
        <f aca="false">M665*(1+IF(N$3&lt;=$O$2,$D665,$D665-($D665-$I$643)*MIN(N$3-$O$2,$Q$2)/$Q$2))</f>
        <v>46001.2833406927</v>
      </c>
      <c r="O665" s="15" t="n">
        <f aca="false">SUMPRODUCT(E665:N665,1/(1+$F$643)^$E$3:$N$3)*$E$2</f>
        <v>58021.53073366</v>
      </c>
      <c r="P665" s="15" t="n">
        <f aca="false">N665*$E$2*(1+$I$643)/($F$643-$I$643)/(1+$F$643)^$N$3</f>
        <v>74448.6274593863</v>
      </c>
      <c r="Q665" s="15" t="n">
        <f aca="false">O665+P665</f>
        <v>132470.158193046</v>
      </c>
      <c r="R665" s="15" t="n">
        <f aca="false">Q665-$G$2+$I$2</f>
        <v>120850.158193046</v>
      </c>
      <c r="S665" s="40" t="n">
        <f aca="false">R665/$K$2</f>
        <v>409.981199555743</v>
      </c>
      <c r="T665" s="41" t="n">
        <f aca="false">S665-$M$2</f>
        <v>0.000536666032076028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0.166349411010742</v>
      </c>
      <c r="C666" s="25" t="n">
        <f aca="false">IF(T665&gt;0,D665,C665)</f>
        <v>0.16635012626648</v>
      </c>
      <c r="D666" s="39" t="n">
        <f aca="false">(B666+C666)/2</f>
        <v>0.166349768638611</v>
      </c>
      <c r="E666" s="15" t="n">
        <f aca="false">$C$2*(1+IF(E$3&lt;=$O$2,$D666,$D666-($D666-$I$643)*MIN(E$3-$O$2,$Q$2)/$Q$2))</f>
        <v>16698.629637599</v>
      </c>
      <c r="F666" s="15" t="n">
        <f aca="false">E666*(1+IF(F$3&lt;=$O$2,$D666,$D666-($D666-$I$643)*MIN(F$3-$O$2,$Q$2)/$Q$2))</f>
        <v>19476.4428143954</v>
      </c>
      <c r="G666" s="15" t="n">
        <f aca="false">F666*(1+IF(G$3&lt;=$O$2,$D666,$D666-($D666-$I$643)*MIN(G$3-$O$2,$Q$2)/$Q$2))</f>
        <v>22716.3445704732</v>
      </c>
      <c r="H666" s="15" t="n">
        <f aca="false">G666*(1+IF(H$3&lt;=$O$2,$D666,$D666-($D666-$I$643)*MIN(H$3-$O$2,$Q$2)/$Q$2))</f>
        <v>26495.2032340864</v>
      </c>
      <c r="I666" s="15" t="n">
        <f aca="false">H666*(1+IF(I$3&lt;=$O$2,$D666,$D666-($D666-$I$643)*MIN(I$3-$O$2,$Q$2)/$Q$2))</f>
        <v>30902.6741621097</v>
      </c>
      <c r="J666" s="15" t="n">
        <f aca="false">I666*(1+IF(J$3&lt;=$O$2,$D666,$D666-($D666-$I$643)*MIN(J$3-$O$2,$Q$2)/$Q$2))</f>
        <v>35190.1054556123</v>
      </c>
      <c r="K666" s="15" t="n">
        <f aca="false">J666*(1+IF(K$3&lt;=$O$2,$D666,$D666-($D666-$I$643)*MIN(K$3-$O$2,$Q$2)/$Q$2))</f>
        <v>39100.7769899155</v>
      </c>
      <c r="L666" s="15" t="n">
        <f aca="false">K666*(1+IF(L$3&lt;=$O$2,$D666,$D666-($D666-$I$643)*MIN(L$3-$O$2,$Q$2)/$Q$2))</f>
        <v>42366.4702655492</v>
      </c>
      <c r="M666" s="15" t="n">
        <f aca="false">L666*(1+IF(M$3&lt;=$O$2,$D666,$D666-($D666-$I$643)*MIN(M$3-$O$2,$Q$2)/$Q$2))</f>
        <v>44735.177657703</v>
      </c>
      <c r="N666" s="15" t="n">
        <f aca="false">M666*(1+IF(N$3&lt;=$O$2,$D666,$D666-($D666-$I$643)*MIN(N$3-$O$2,$Q$2)/$Q$2))</f>
        <v>46001.1831854159</v>
      </c>
      <c r="O666" s="15" t="n">
        <f aca="false">SUMPRODUCT(E666:N666,1/(1+$F$643)^$E$3:$N$3)*$E$2</f>
        <v>58021.4423765199</v>
      </c>
      <c r="P666" s="15" t="n">
        <f aca="false">N666*$E$2*(1+$I$643)/($F$643-$I$643)/(1+$F$643)^$N$3</f>
        <v>74448.4653677587</v>
      </c>
      <c r="Q666" s="15" t="n">
        <f aca="false">O666+P666</f>
        <v>132469.907744279</v>
      </c>
      <c r="R666" s="15" t="n">
        <f aca="false">Q666-$G$2+$I$2</f>
        <v>120849.907744279</v>
      </c>
      <c r="S666" s="40" t="n">
        <f aca="false">R666/$K$2</f>
        <v>409.980349914437</v>
      </c>
      <c r="T666" s="41" t="n">
        <f aca="false">S666-$M$2</f>
        <v>-0.000312975273516258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0.166349768638611</v>
      </c>
      <c r="C667" s="25" t="n">
        <f aca="false">IF(T666&gt;0,D666,C666)</f>
        <v>0.16635012626648</v>
      </c>
      <c r="D667" s="39" t="n">
        <f aca="false">(B667+C667)/2</f>
        <v>0.166349947452545</v>
      </c>
      <c r="E667" s="15" t="n">
        <f aca="false">$C$2*(1+IF(E$3&lt;=$O$2,$D667,$D667-($D667-$I$643)*MIN(E$3-$O$2,$Q$2)/$Q$2))</f>
        <v>16698.6321976781</v>
      </c>
      <c r="F667" s="15" t="n">
        <f aca="false">E667*(1+IF(F$3&lt;=$O$2,$D667,$D667-($D667-$I$643)*MIN(F$3-$O$2,$Q$2)/$Q$2))</f>
        <v>19476.4487862912</v>
      </c>
      <c r="G667" s="15" t="n">
        <f aca="false">F667*(1+IF(G$3&lt;=$O$2,$D667,$D667-($D667-$I$643)*MIN(G$3-$O$2,$Q$2)/$Q$2))</f>
        <v>22716.355018453</v>
      </c>
      <c r="H667" s="15" t="n">
        <f aca="false">G667*(1+IF(H$3&lt;=$O$2,$D667,$D667-($D667-$I$643)*MIN(H$3-$O$2,$Q$2)/$Q$2))</f>
        <v>26495.219482086</v>
      </c>
      <c r="I667" s="15" t="n">
        <f aca="false">H667*(1+IF(I$3&lt;=$O$2,$D667,$D667-($D667-$I$643)*MIN(I$3-$O$2,$Q$2)/$Q$2))</f>
        <v>30902.6978506746</v>
      </c>
      <c r="J667" s="15" t="n">
        <f aca="false">I667*(1+IF(J$3&lt;=$O$2,$D667,$D667-($D667-$I$643)*MIN(J$3-$O$2,$Q$2)/$Q$2))</f>
        <v>35190.1368513907</v>
      </c>
      <c r="K667" s="15" t="n">
        <f aca="false">J667*(1+IF(K$3&lt;=$O$2,$D667,$D667-($D667-$I$643)*MIN(K$3-$O$2,$Q$2)/$Q$2))</f>
        <v>39100.8156501945</v>
      </c>
      <c r="L667" s="15" t="n">
        <f aca="false">K667*(1+IF(L$3&lt;=$O$2,$D667,$D667-($D667-$I$643)*MIN(L$3-$O$2,$Q$2)/$Q$2))</f>
        <v>42366.5149514394</v>
      </c>
      <c r="M667" s="15" t="n">
        <f aca="false">L667*(1+IF(M$3&lt;=$O$2,$D667,$D667-($D667-$I$643)*MIN(M$3-$O$2,$Q$2)/$Q$2))</f>
        <v>44735.2263571239</v>
      </c>
      <c r="N667" s="15" t="n">
        <f aca="false">M667*(1+IF(N$3&lt;=$O$2,$D667,$D667-($D667-$I$643)*MIN(N$3-$O$2,$Q$2)/$Q$2))</f>
        <v>46001.2332630305</v>
      </c>
      <c r="O667" s="15" t="n">
        <f aca="false">SUMPRODUCT(E667:N667,1/(1+$F$643)^$E$3:$N$3)*$E$2</f>
        <v>58021.4865550734</v>
      </c>
      <c r="P667" s="15" t="n">
        <f aca="false">N667*$E$2*(1+$I$643)/($F$643-$I$643)/(1+$F$643)^$N$3</f>
        <v>74448.5464135339</v>
      </c>
      <c r="Q667" s="15" t="n">
        <f aca="false">O667+P667</f>
        <v>132470.032968607</v>
      </c>
      <c r="R667" s="15" t="n">
        <f aca="false">Q667-$G$2+$I$2</f>
        <v>120850.032968607</v>
      </c>
      <c r="S667" s="40" t="n">
        <f aca="false">R667/$K$2</f>
        <v>409.980774734903</v>
      </c>
      <c r="T667" s="41" t="n">
        <f aca="false">S667-$M$2</f>
        <v>0.000111845192350302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0.166349768638611</v>
      </c>
      <c r="C668" s="25" t="n">
        <f aca="false">IF(T667&gt;0,D667,C667)</f>
        <v>0.166349947452545</v>
      </c>
      <c r="D668" s="39" t="n">
        <f aca="false">(B668+C668)/2</f>
        <v>0.166349858045578</v>
      </c>
      <c r="E668" s="15" t="n">
        <f aca="false">$C$2*(1+IF(E$3&lt;=$O$2,$D668,$D668-($D668-$I$643)*MIN(E$3-$O$2,$Q$2)/$Q$2))</f>
        <v>16698.6309176385</v>
      </c>
      <c r="F668" s="15" t="n">
        <f aca="false">E668*(1+IF(F$3&lt;=$O$2,$D668,$D668-($D668-$I$643)*MIN(F$3-$O$2,$Q$2)/$Q$2))</f>
        <v>19476.4458003432</v>
      </c>
      <c r="G668" s="15" t="n">
        <f aca="false">F668*(1+IF(G$3&lt;=$O$2,$D668,$D668-($D668-$I$643)*MIN(G$3-$O$2,$Q$2)/$Q$2))</f>
        <v>22716.3497944627</v>
      </c>
      <c r="H668" s="15" t="n">
        <f aca="false">G668*(1+IF(H$3&lt;=$O$2,$D668,$D668-($D668-$I$643)*MIN(H$3-$O$2,$Q$2)/$Q$2))</f>
        <v>26495.2113580853</v>
      </c>
      <c r="I668" s="15" t="n">
        <f aca="false">H668*(1+IF(I$3&lt;=$O$2,$D668,$D668-($D668-$I$643)*MIN(I$3-$O$2,$Q$2)/$Q$2))</f>
        <v>30902.6860063903</v>
      </c>
      <c r="J668" s="15" t="n">
        <f aca="false">I668*(1+IF(J$3&lt;=$O$2,$D668,$D668-($D668-$I$643)*MIN(J$3-$O$2,$Q$2)/$Q$2))</f>
        <v>35190.1211534986</v>
      </c>
      <c r="K668" s="15" t="n">
        <f aca="false">J668*(1+IF(K$3&lt;=$O$2,$D668,$D668-($D668-$I$643)*MIN(K$3-$O$2,$Q$2)/$Q$2))</f>
        <v>39100.7963200509</v>
      </c>
      <c r="L668" s="15" t="n">
        <f aca="false">K668*(1+IF(L$3&lt;=$O$2,$D668,$D668-($D668-$I$643)*MIN(L$3-$O$2,$Q$2)/$Q$2))</f>
        <v>42366.4926084892</v>
      </c>
      <c r="M668" s="15" t="n">
        <f aca="false">L668*(1+IF(M$3&lt;=$O$2,$D668,$D668-($D668-$I$643)*MIN(M$3-$O$2,$Q$2)/$Q$2))</f>
        <v>44735.2020074076</v>
      </c>
      <c r="N668" s="15" t="n">
        <f aca="false">M668*(1+IF(N$3&lt;=$O$2,$D668,$D668-($D668-$I$643)*MIN(N$3-$O$2,$Q$2)/$Q$2))</f>
        <v>46001.2082242172</v>
      </c>
      <c r="O668" s="15" t="n">
        <f aca="false">SUMPRODUCT(E668:N668,1/(1+$F$643)^$E$3:$N$3)*$E$2</f>
        <v>58021.4644657925</v>
      </c>
      <c r="P668" s="15" t="n">
        <f aca="false">N668*$E$2*(1+$I$643)/($F$643-$I$643)/(1+$F$643)^$N$3</f>
        <v>74448.5058906367</v>
      </c>
      <c r="Q668" s="15" t="n">
        <f aca="false">O668+P668</f>
        <v>132469.970356429</v>
      </c>
      <c r="R668" s="15" t="n">
        <f aca="false">Q668-$G$2+$I$2</f>
        <v>120849.970356429</v>
      </c>
      <c r="S668" s="40" t="n">
        <f aca="false">R668/$K$2</f>
        <v>409.980562324623</v>
      </c>
      <c r="T668" s="41" t="n">
        <f aca="false">S668-$M$2</f>
        <v>-0.000100565087279847</v>
      </c>
    </row>
    <row r="670" customFormat="false" ht="15" hidden="false" customHeight="false" outlineLevel="0" collapsed="false">
      <c r="A670" s="36" t="s">
        <v>198</v>
      </c>
      <c r="E670" s="5" t="s">
        <v>11</v>
      </c>
      <c r="F670" s="12" t="n">
        <f aca="false">Sensitivity!$B$14</f>
        <v>0.104891906448909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6" t="s">
        <v>155</v>
      </c>
      <c r="B671" s="28" t="s">
        <v>156</v>
      </c>
      <c r="C671" s="28" t="s">
        <v>157</v>
      </c>
      <c r="D671" s="28" t="s">
        <v>158</v>
      </c>
      <c r="E671" s="28" t="s">
        <v>159</v>
      </c>
      <c r="F671" s="28" t="s">
        <v>160</v>
      </c>
      <c r="G671" s="28" t="s">
        <v>161</v>
      </c>
      <c r="H671" s="28" t="s">
        <v>162</v>
      </c>
      <c r="I671" s="28" t="s">
        <v>163</v>
      </c>
      <c r="J671" s="28" t="s">
        <v>164</v>
      </c>
      <c r="K671" s="28" t="s">
        <v>165</v>
      </c>
      <c r="L671" s="28" t="s">
        <v>166</v>
      </c>
      <c r="M671" s="28" t="s">
        <v>167</v>
      </c>
      <c r="N671" s="28" t="s">
        <v>168</v>
      </c>
      <c r="O671" s="28" t="s">
        <v>169</v>
      </c>
      <c r="P671" s="28" t="s">
        <v>170</v>
      </c>
      <c r="Q671" s="28" t="s">
        <v>171</v>
      </c>
      <c r="R671" s="28" t="s">
        <v>172</v>
      </c>
      <c r="S671" s="28" t="s">
        <v>173</v>
      </c>
      <c r="T671" s="28" t="s">
        <v>174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39" t="n">
        <f aca="false">(B672+C672)/2</f>
        <v>0.25</v>
      </c>
      <c r="E672" s="15" t="n">
        <f aca="false">$C$2*(1+IF(E$3&lt;=$O$2,$D672,$D672-($D672-$I$670)*MIN(E$3-$O$2,$Q$2)/$Q$2))</f>
        <v>17896.25</v>
      </c>
      <c r="F672" s="15" t="n">
        <f aca="false">E672*(1+IF(F$3&lt;=$O$2,$D672,$D672-($D672-$I$670)*MIN(F$3-$O$2,$Q$2)/$Q$2))</f>
        <v>22370.3125</v>
      </c>
      <c r="G672" s="15" t="n">
        <f aca="false">F672*(1+IF(G$3&lt;=$O$2,$D672,$D672-($D672-$I$670)*MIN(G$3-$O$2,$Q$2)/$Q$2))</f>
        <v>27962.890625</v>
      </c>
      <c r="H672" s="15" t="n">
        <f aca="false">G672*(1+IF(H$3&lt;=$O$2,$D672,$D672-($D672-$I$670)*MIN(H$3-$O$2,$Q$2)/$Q$2))</f>
        <v>34953.61328125</v>
      </c>
      <c r="I672" s="15" t="n">
        <f aca="false">H672*(1+IF(I$3&lt;=$O$2,$D672,$D672-($D672-$I$670)*MIN(I$3-$O$2,$Q$2)/$Q$2))</f>
        <v>43692.0166015625</v>
      </c>
      <c r="J672" s="15" t="n">
        <f aca="false">I672*(1+IF(J$3&lt;=$O$2,$D672,$D672-($D672-$I$670)*MIN(J$3-$O$2,$Q$2)/$Q$2))</f>
        <v>52721.4087524414</v>
      </c>
      <c r="K672" s="15" t="n">
        <f aca="false">J672*(1+IF(K$3&lt;=$O$2,$D672,$D672-($D672-$I$670)*MIN(K$3-$O$2,$Q$2)/$Q$2))</f>
        <v>61331.8692298901</v>
      </c>
      <c r="L672" s="15" t="n">
        <f aca="false">K672*(1+IF(L$3&lt;=$O$2,$D672,$D672-($D672-$I$670)*MIN(L$3-$O$2,$Q$2)/$Q$2))</f>
        <v>68690.4669000924</v>
      </c>
      <c r="M672" s="15" t="n">
        <f aca="false">L672*(1+IF(M$3&lt;=$O$2,$D672,$D672-($D672-$I$670)*MIN(M$3-$O$2,$Q$2)/$Q$2))</f>
        <v>73954.9042833154</v>
      </c>
      <c r="N672" s="15" t="n">
        <f aca="false">M672*(1+IF(N$3&lt;=$O$2,$D672,$D672-($D672-$I$670)*MIN(N$3-$O$2,$Q$2)/$Q$2))</f>
        <v>76417.6025959498</v>
      </c>
      <c r="O672" s="15" t="n">
        <f aca="false">SUMPRODUCT(E672:N672,1/(1+$F$670)^$E$3:$N$3)*$E$2</f>
        <v>83011.8687983857</v>
      </c>
      <c r="P672" s="15" t="n">
        <f aca="false">N672*$E$2*(1+$I$670)/($F$670-$I$670)/(1+$F$670)^$N$3</f>
        <v>132955.314634575</v>
      </c>
      <c r="Q672" s="15" t="n">
        <f aca="false">O672+P672</f>
        <v>215967.183432961</v>
      </c>
      <c r="R672" s="15" t="n">
        <f aca="false">Q672-$G$2+$I$2</f>
        <v>204347.183432961</v>
      </c>
      <c r="S672" s="40" t="n">
        <f aca="false">R672/$K$2</f>
        <v>693.242811117009</v>
      </c>
      <c r="T672" s="41" t="n">
        <f aca="false">S672-$M$2</f>
        <v>283.262148227298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39" t="n">
        <f aca="false">(B673+C673)/2</f>
        <v>-0.125</v>
      </c>
      <c r="E673" s="15" t="n">
        <f aca="false">$C$2*(1+IF(E$3&lt;=$O$2,$D673,$D673-($D673-$I$670)*MIN(E$3-$O$2,$Q$2)/$Q$2))</f>
        <v>12527.375</v>
      </c>
      <c r="F673" s="15" t="n">
        <f aca="false">E673*(1+IF(F$3&lt;=$O$2,$D673,$D673-($D673-$I$670)*MIN(F$3-$O$2,$Q$2)/$Q$2))</f>
        <v>10961.453125</v>
      </c>
      <c r="G673" s="15" t="n">
        <f aca="false">F673*(1+IF(G$3&lt;=$O$2,$D673,$D673-($D673-$I$670)*MIN(G$3-$O$2,$Q$2)/$Q$2))</f>
        <v>9591.271484375</v>
      </c>
      <c r="H673" s="15" t="n">
        <f aca="false">G673*(1+IF(H$3&lt;=$O$2,$D673,$D673-($D673-$I$670)*MIN(H$3-$O$2,$Q$2)/$Q$2))</f>
        <v>8392.36254882813</v>
      </c>
      <c r="I673" s="15" t="n">
        <f aca="false">H673*(1+IF(I$3&lt;=$O$2,$D673,$D673-($D673-$I$670)*MIN(I$3-$O$2,$Q$2)/$Q$2))</f>
        <v>7343.31723022461</v>
      </c>
      <c r="J673" s="15" t="n">
        <f aca="false">I673*(1+IF(J$3&lt;=$O$2,$D673,$D673-($D673-$I$670)*MIN(J$3-$O$2,$Q$2)/$Q$2))</f>
        <v>6657.89199995545</v>
      </c>
      <c r="K673" s="15" t="n">
        <f aca="false">J673*(1+IF(K$3&lt;=$O$2,$D673,$D673-($D673-$I$670)*MIN(K$3-$O$2,$Q$2)/$Q$2))</f>
        <v>6247.23322139819</v>
      </c>
      <c r="L673" s="15" t="n">
        <f aca="false">K673*(1+IF(L$3&lt;=$O$2,$D673,$D673-($D673-$I$670)*MIN(L$3-$O$2,$Q$2)/$Q$2))</f>
        <v>6059.69128009182</v>
      </c>
      <c r="M673" s="15" t="n">
        <f aca="false">L673*(1+IF(M$3&lt;=$O$2,$D673,$D673-($D673-$I$670)*MIN(M$3-$O$2,$Q$2)/$Q$2))</f>
        <v>6069.62917379117</v>
      </c>
      <c r="N673" s="15" t="n">
        <f aca="false">M673*(1+IF(N$3&lt;=$O$2,$D673,$D673-($D673-$I$670)*MIN(N$3-$O$2,$Q$2)/$Q$2))</f>
        <v>6271.74782527842</v>
      </c>
      <c r="O673" s="15" t="n">
        <f aca="false">SUMPRODUCT(E673:N673,1/(1+$F$670)^$E$3:$N$3)*$E$2</f>
        <v>16931.0199901232</v>
      </c>
      <c r="P673" s="15" t="n">
        <f aca="false">N673*$E$2*(1+$I$670)/($F$670-$I$670)/(1+$F$670)^$N$3</f>
        <v>10911.9126626828</v>
      </c>
      <c r="Q673" s="15" t="n">
        <f aca="false">O673+P673</f>
        <v>27842.9326528059</v>
      </c>
      <c r="R673" s="15" t="n">
        <f aca="false">Q673-$G$2+$I$2</f>
        <v>16222.9326528059</v>
      </c>
      <c r="S673" s="40" t="n">
        <f aca="false">R673/$K$2</f>
        <v>55.0359013902566</v>
      </c>
      <c r="T673" s="41" t="n">
        <f aca="false">S673-$M$2</f>
        <v>-354.944761499454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39" t="n">
        <f aca="false">(B674+C674)/2</f>
        <v>0.0625</v>
      </c>
      <c r="E674" s="15" t="n">
        <f aca="false">$C$2*(1+IF(E$3&lt;=$O$2,$D674,$D674-($D674-$I$670)*MIN(E$3-$O$2,$Q$2)/$Q$2))</f>
        <v>15211.8125</v>
      </c>
      <c r="F674" s="15" t="n">
        <f aca="false">E674*(1+IF(F$3&lt;=$O$2,$D674,$D674-($D674-$I$670)*MIN(F$3-$O$2,$Q$2)/$Q$2))</f>
        <v>16162.55078125</v>
      </c>
      <c r="G674" s="15" t="n">
        <f aca="false">F674*(1+IF(G$3&lt;=$O$2,$D674,$D674-($D674-$I$670)*MIN(G$3-$O$2,$Q$2)/$Q$2))</f>
        <v>17172.7102050781</v>
      </c>
      <c r="H674" s="15" t="n">
        <f aca="false">G674*(1+IF(H$3&lt;=$O$2,$D674,$D674-($D674-$I$670)*MIN(H$3-$O$2,$Q$2)/$Q$2))</f>
        <v>18246.0045928955</v>
      </c>
      <c r="I674" s="15" t="n">
        <f aca="false">H674*(1+IF(I$3&lt;=$O$2,$D674,$D674-($D674-$I$670)*MIN(I$3-$O$2,$Q$2)/$Q$2))</f>
        <v>19386.3798799515</v>
      </c>
      <c r="J674" s="15" t="n">
        <f aca="false">I674*(1+IF(J$3&lt;=$O$2,$D674,$D674-($D674-$I$670)*MIN(J$3-$O$2,$Q$2)/$Q$2))</f>
        <v>20484.8121639495</v>
      </c>
      <c r="K674" s="15" t="n">
        <f aca="false">J674*(1+IF(K$3&lt;=$O$2,$D674,$D674-($D674-$I$670)*MIN(K$3-$O$2,$Q$2)/$Q$2))</f>
        <v>21525.8503181214</v>
      </c>
      <c r="L674" s="15" t="n">
        <f aca="false">K674*(1+IF(L$3&lt;=$O$2,$D674,$D674-($D674-$I$670)*MIN(L$3-$O$2,$Q$2)/$Q$2))</f>
        <v>22494.0830654305</v>
      </c>
      <c r="M674" s="15" t="n">
        <f aca="false">L674*(1+IF(M$3&lt;=$O$2,$D674,$D674-($D674-$I$670)*MIN(M$3-$O$2,$Q$2)/$Q$2))</f>
        <v>23374.5014766115</v>
      </c>
      <c r="N674" s="15" t="n">
        <f aca="false">M674*(1+IF(N$3&lt;=$O$2,$D674,$D674-($D674-$I$670)*MIN(N$3-$O$2,$Q$2)/$Q$2))</f>
        <v>24152.8723757827</v>
      </c>
      <c r="O674" s="15" t="n">
        <f aca="false">SUMPRODUCT(E674:N674,1/(1+$F$670)^$E$3:$N$3)*$E$2</f>
        <v>37353.3678541928</v>
      </c>
      <c r="P674" s="15" t="n">
        <f aca="false">N674*$E$2*(1+$I$670)/($F$670-$I$670)/(1+$F$670)^$N$3</f>
        <v>42022.4220200951</v>
      </c>
      <c r="Q674" s="15" t="n">
        <f aca="false">O674+P674</f>
        <v>79375.7898742879</v>
      </c>
      <c r="R674" s="15" t="n">
        <f aca="false">Q674-$G$2+$I$2</f>
        <v>67755.7898742879</v>
      </c>
      <c r="S674" s="40" t="n">
        <f aca="false">R674/$K$2</f>
        <v>229.859856411059</v>
      </c>
      <c r="T674" s="41" t="n">
        <f aca="false">S674-$M$2</f>
        <v>-180.120806478651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39" t="n">
        <f aca="false">(B675+C675)/2</f>
        <v>0.15625</v>
      </c>
      <c r="E675" s="15" t="n">
        <f aca="false">$C$2*(1+IF(E$3&lt;=$O$2,$D675,$D675-($D675-$I$670)*MIN(E$3-$O$2,$Q$2)/$Q$2))</f>
        <v>16554.03125</v>
      </c>
      <c r="F675" s="15" t="n">
        <f aca="false">E675*(1+IF(F$3&lt;=$O$2,$D675,$D675-($D675-$I$670)*MIN(F$3-$O$2,$Q$2)/$Q$2))</f>
        <v>19140.5986328125</v>
      </c>
      <c r="G675" s="15" t="n">
        <f aca="false">F675*(1+IF(G$3&lt;=$O$2,$D675,$D675-($D675-$I$670)*MIN(G$3-$O$2,$Q$2)/$Q$2))</f>
        <v>22131.3171691895</v>
      </c>
      <c r="H675" s="15" t="n">
        <f aca="false">G675*(1+IF(H$3&lt;=$O$2,$D675,$D675-($D675-$I$670)*MIN(H$3-$O$2,$Q$2)/$Q$2))</f>
        <v>25589.3354768753</v>
      </c>
      <c r="I675" s="15" t="n">
        <f aca="false">H675*(1+IF(I$3&lt;=$O$2,$D675,$D675-($D675-$I$670)*MIN(I$3-$O$2,$Q$2)/$Q$2))</f>
        <v>29587.6691451371</v>
      </c>
      <c r="J675" s="15" t="n">
        <f aca="false">I675*(1+IF(J$3&lt;=$O$2,$D675,$D675-($D675-$I$670)*MIN(J$3-$O$2,$Q$2)/$Q$2))</f>
        <v>33483.1816647858</v>
      </c>
      <c r="K675" s="15" t="n">
        <f aca="false">J675*(1+IF(K$3&lt;=$O$2,$D675,$D675-($D675-$I$670)*MIN(K$3-$O$2,$Q$2)/$Q$2))</f>
        <v>37068.2259256344</v>
      </c>
      <c r="L675" s="15" t="n">
        <f aca="false">K675*(1+IF(L$3&lt;=$O$2,$D675,$D675-($D675-$I$670)*MIN(L$3-$O$2,$Q$2)/$Q$2))</f>
        <v>40125.6131999808</v>
      </c>
      <c r="M675" s="15" t="n">
        <f aca="false">L675*(1+IF(M$3&lt;=$O$2,$D675,$D675-($D675-$I$670)*MIN(M$3-$O$2,$Q$2)/$Q$2))</f>
        <v>42448.4849481277</v>
      </c>
      <c r="N675" s="15" t="n">
        <f aca="false">M675*(1+IF(N$3&lt;=$O$2,$D675,$D675-($D675-$I$670)*MIN(N$3-$O$2,$Q$2)/$Q$2))</f>
        <v>43862.0194969003</v>
      </c>
      <c r="O675" s="15" t="n">
        <f aca="false">SUMPRODUCT(E675:N675,1/(1+$F$670)^$E$3:$N$3)*$E$2</f>
        <v>55757.9664658516</v>
      </c>
      <c r="P675" s="15" t="n">
        <f aca="false">N675*$E$2*(1+$I$670)/($F$670-$I$670)/(1+$F$670)^$N$3</f>
        <v>76313.4200055018</v>
      </c>
      <c r="Q675" s="15" t="n">
        <f aca="false">O675+P675</f>
        <v>132071.386471353</v>
      </c>
      <c r="R675" s="15" t="n">
        <f aca="false">Q675-$G$2+$I$2</f>
        <v>120451.386471353</v>
      </c>
      <c r="S675" s="40" t="n">
        <f aca="false">R675/$K$2</f>
        <v>408.628376264048</v>
      </c>
      <c r="T675" s="41" t="n">
        <f aca="false">S675-$M$2</f>
        <v>-1.3522866256626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0.15625</v>
      </c>
      <c r="C676" s="25" t="n">
        <f aca="false">IF(T675&gt;0,D675,C675)</f>
        <v>0.25</v>
      </c>
      <c r="D676" s="39" t="n">
        <f aca="false">(B676+C676)/2</f>
        <v>0.203125</v>
      </c>
      <c r="E676" s="15" t="n">
        <f aca="false">$C$2*(1+IF(E$3&lt;=$O$2,$D676,$D676-($D676-$I$670)*MIN(E$3-$O$2,$Q$2)/$Q$2))</f>
        <v>17225.140625</v>
      </c>
      <c r="F676" s="15" t="n">
        <f aca="false">E676*(1+IF(F$3&lt;=$O$2,$D676,$D676-($D676-$I$670)*MIN(F$3-$O$2,$Q$2)/$Q$2))</f>
        <v>20723.9973144531</v>
      </c>
      <c r="G676" s="15" t="n">
        <f aca="false">F676*(1+IF(G$3&lt;=$O$2,$D676,$D676-($D676-$I$670)*MIN(G$3-$O$2,$Q$2)/$Q$2))</f>
        <v>24933.5592689514</v>
      </c>
      <c r="H676" s="15" t="n">
        <f aca="false">G676*(1+IF(H$3&lt;=$O$2,$D676,$D676-($D676-$I$670)*MIN(H$3-$O$2,$Q$2)/$Q$2))</f>
        <v>29998.1884954572</v>
      </c>
      <c r="I676" s="15" t="n">
        <f aca="false">H676*(1+IF(I$3&lt;=$O$2,$D676,$D676-($D676-$I$670)*MIN(I$3-$O$2,$Q$2)/$Q$2))</f>
        <v>36091.5705335969</v>
      </c>
      <c r="J676" s="15" t="n">
        <f aca="false">I676*(1+IF(J$3&lt;=$O$2,$D676,$D676-($D676-$I$670)*MIN(J$3-$O$2,$Q$2)/$Q$2))</f>
        <v>42196.8206050602</v>
      </c>
      <c r="K676" s="15" t="n">
        <f aca="false">J676*(1+IF(K$3&lt;=$O$2,$D676,$D676-($D676-$I$670)*MIN(K$3-$O$2,$Q$2)/$Q$2))</f>
        <v>47901.6197667613</v>
      </c>
      <c r="L676" s="15" t="n">
        <f aca="false">K676*(1+IF(L$3&lt;=$O$2,$D676,$D676-($D676-$I$670)*MIN(L$3-$O$2,$Q$2)/$Q$2))</f>
        <v>52750.7007357505</v>
      </c>
      <c r="M676" s="15" t="n">
        <f aca="false">L676*(1+IF(M$3&lt;=$O$2,$D676,$D676-($D676-$I$670)*MIN(M$3-$O$2,$Q$2)/$Q$2))</f>
        <v>56298.9766207408</v>
      </c>
      <c r="N676" s="15" t="n">
        <f aca="false">M676*(1+IF(N$3&lt;=$O$2,$D676,$D676-($D676-$I$670)*MIN(N$3-$O$2,$Q$2)/$Q$2))</f>
        <v>58173.7325422114</v>
      </c>
      <c r="O676" s="15" t="n">
        <f aca="false">SUMPRODUCT(E676:N676,1/(1+$F$670)^$E$3:$N$3)*$E$2</f>
        <v>68072.1112856965</v>
      </c>
      <c r="P676" s="15" t="n">
        <f aca="false">N676*$E$2*(1+$I$670)/($F$670-$I$670)/(1+$F$670)^$N$3</f>
        <v>101213.681807224</v>
      </c>
      <c r="Q676" s="15" t="n">
        <f aca="false">O676+P676</f>
        <v>169285.79309292</v>
      </c>
      <c r="R676" s="15" t="n">
        <f aca="false">Q676-$G$2+$I$2</f>
        <v>157665.79309292</v>
      </c>
      <c r="S676" s="40" t="n">
        <f aca="false">R676/$K$2</f>
        <v>534.877338578961</v>
      </c>
      <c r="T676" s="41" t="n">
        <f aca="false">S676-$M$2</f>
        <v>124.89667568925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0.15625</v>
      </c>
      <c r="C677" s="25" t="n">
        <f aca="false">IF(T676&gt;0,D676,C676)</f>
        <v>0.203125</v>
      </c>
      <c r="D677" s="39" t="n">
        <f aca="false">(B677+C677)/2</f>
        <v>0.1796875</v>
      </c>
      <c r="E677" s="15" t="n">
        <f aca="false">$C$2*(1+IF(E$3&lt;=$O$2,$D677,$D677-($D677-$I$670)*MIN(E$3-$O$2,$Q$2)/$Q$2))</f>
        <v>16889.5859375</v>
      </c>
      <c r="F677" s="15" t="n">
        <f aca="false">E677*(1+IF(F$3&lt;=$O$2,$D677,$D677-($D677-$I$670)*MIN(F$3-$O$2,$Q$2)/$Q$2))</f>
        <v>19924.4334106445</v>
      </c>
      <c r="G677" s="15" t="n">
        <f aca="false">F677*(1+IF(G$3&lt;=$O$2,$D677,$D677-($D677-$I$670)*MIN(G$3-$O$2,$Q$2)/$Q$2))</f>
        <v>23504.6050391197</v>
      </c>
      <c r="H677" s="15" t="n">
        <f aca="false">G677*(1+IF(H$3&lt;=$O$2,$D677,$D677-($D677-$I$670)*MIN(H$3-$O$2,$Q$2)/$Q$2))</f>
        <v>27728.0887570865</v>
      </c>
      <c r="I677" s="15" t="n">
        <f aca="false">H677*(1+IF(I$3&lt;=$O$2,$D677,$D677-($D677-$I$670)*MIN(I$3-$O$2,$Q$2)/$Q$2))</f>
        <v>32710.4797056255</v>
      </c>
      <c r="J677" s="15" t="n">
        <f aca="false">I677*(1+IF(J$3&lt;=$O$2,$D677,$D677-($D677-$I$670)*MIN(J$3-$O$2,$Q$2)/$Q$2))</f>
        <v>37630.4629581487</v>
      </c>
      <c r="K677" s="15" t="n">
        <f aca="false">J677*(1+IF(K$3&lt;=$O$2,$D677,$D677-($D677-$I$670)*MIN(K$3-$O$2,$Q$2)/$Q$2))</f>
        <v>42188.7350124266</v>
      </c>
      <c r="L677" s="15" t="n">
        <f aca="false">K677*(1+IF(L$3&lt;=$O$2,$D677,$D677-($D677-$I$670)*MIN(L$3-$O$2,$Q$2)/$Q$2))</f>
        <v>46063.9812669931</v>
      </c>
      <c r="M677" s="15" t="n">
        <f aca="false">L677*(1+IF(M$3&lt;=$O$2,$D677,$D677-($D677-$I$670)*MIN(M$3-$O$2,$Q$2)/$Q$2))</f>
        <v>48946.5500547283</v>
      </c>
      <c r="N677" s="15" t="n">
        <f aca="false">M677*(1+IF(N$3&lt;=$O$2,$D677,$D677-($D677-$I$670)*MIN(N$3-$O$2,$Q$2)/$Q$2))</f>
        <v>50576.4701715508</v>
      </c>
      <c r="O677" s="15" t="n">
        <f aca="false">SUMPRODUCT(E677:N677,1/(1+$F$670)^$E$3:$N$3)*$E$2</f>
        <v>61615.1804820696</v>
      </c>
      <c r="P677" s="15" t="n">
        <f aca="false">N677*$E$2*(1+$I$670)/($F$670-$I$670)/(1+$F$670)^$N$3</f>
        <v>87995.5700824502</v>
      </c>
      <c r="Q677" s="15" t="n">
        <f aca="false">O677+P677</f>
        <v>149610.75056452</v>
      </c>
      <c r="R677" s="15" t="n">
        <f aca="false">Q677-$G$2+$I$2</f>
        <v>137990.75056452</v>
      </c>
      <c r="S677" s="40" t="n">
        <f aca="false">R677/$K$2</f>
        <v>468.130239049156</v>
      </c>
      <c r="T677" s="41" t="n">
        <f aca="false">S677-$M$2</f>
        <v>58.1495761594455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0.15625</v>
      </c>
      <c r="C678" s="25" t="n">
        <f aca="false">IF(T677&gt;0,D677,C677)</f>
        <v>0.1796875</v>
      </c>
      <c r="D678" s="39" t="n">
        <f aca="false">(B678+C678)/2</f>
        <v>0.16796875</v>
      </c>
      <c r="E678" s="15" t="n">
        <f aca="false">$C$2*(1+IF(E$3&lt;=$O$2,$D678,$D678-($D678-$I$670)*MIN(E$3-$O$2,$Q$2)/$Q$2))</f>
        <v>16721.80859375</v>
      </c>
      <c r="F678" s="15" t="n">
        <f aca="false">E678*(1+IF(F$3&lt;=$O$2,$D678,$D678-($D678-$I$670)*MIN(F$3-$O$2,$Q$2)/$Q$2))</f>
        <v>19530.5498809814</v>
      </c>
      <c r="G678" s="15" t="n">
        <f aca="false">F678*(1+IF(G$3&lt;=$O$2,$D678,$D678-($D678-$I$670)*MIN(G$3-$O$2,$Q$2)/$Q$2))</f>
        <v>22811.0719313025</v>
      </c>
      <c r="H678" s="15" t="n">
        <f aca="false">G678*(1+IF(H$3&lt;=$O$2,$D678,$D678-($D678-$I$670)*MIN(H$3-$O$2,$Q$2)/$Q$2))</f>
        <v>26642.6191697635</v>
      </c>
      <c r="I678" s="15" t="n">
        <f aca="false">H678*(1+IF(I$3&lt;=$O$2,$D678,$D678-($D678-$I$670)*MIN(I$3-$O$2,$Q$2)/$Q$2))</f>
        <v>31117.7466084347</v>
      </c>
      <c r="J678" s="15" t="n">
        <f aca="false">I678*(1+IF(J$3&lt;=$O$2,$D678,$D678-($D678-$I$670)*MIN(J$3-$O$2,$Q$2)/$Q$2))</f>
        <v>35506.4380013553</v>
      </c>
      <c r="K678" s="15" t="n">
        <f aca="false">J678*(1+IF(K$3&lt;=$O$2,$D678,$D678-($D678-$I$670)*MIN(K$3-$O$2,$Q$2)/$Q$2))</f>
        <v>39557.7669603575</v>
      </c>
      <c r="L678" s="15" t="n">
        <f aca="false">K678*(1+IF(L$3&lt;=$O$2,$D678,$D678-($D678-$I$670)*MIN(L$3-$O$2,$Q$2)/$Q$2))</f>
        <v>43005.9186118744</v>
      </c>
      <c r="M678" s="15" t="n">
        <f aca="false">L678*(1+IF(M$3&lt;=$O$2,$D678,$D678-($D678-$I$670)*MIN(M$3-$O$2,$Q$2)/$Q$2))</f>
        <v>45596.3263620624</v>
      </c>
      <c r="N678" s="15" t="n">
        <f aca="false">M678*(1+IF(N$3&lt;=$O$2,$D678,$D678-($D678-$I$670)*MIN(N$3-$O$2,$Q$2)/$Q$2))</f>
        <v>47114.6840299191</v>
      </c>
      <c r="O678" s="15" t="n">
        <f aca="false">SUMPRODUCT(E678:N678,1/(1+$F$670)^$E$3:$N$3)*$E$2</f>
        <v>58614.9193123287</v>
      </c>
      <c r="P678" s="15" t="n">
        <f aca="false">N678*$E$2*(1+$I$670)/($F$670-$I$670)/(1+$F$670)^$N$3</f>
        <v>81972.5747250606</v>
      </c>
      <c r="Q678" s="15" t="n">
        <f aca="false">O678+P678</f>
        <v>140587.494037389</v>
      </c>
      <c r="R678" s="15" t="n">
        <f aca="false">Q678-$G$2+$I$2</f>
        <v>128967.494037389</v>
      </c>
      <c r="S678" s="40" t="n">
        <f aca="false">R678/$K$2</f>
        <v>437.519062446617</v>
      </c>
      <c r="T678" s="41" t="n">
        <f aca="false">S678-$M$2</f>
        <v>27.5383995569064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0.15625</v>
      </c>
      <c r="C679" s="25" t="n">
        <f aca="false">IF(T678&gt;0,D678,C678)</f>
        <v>0.16796875</v>
      </c>
      <c r="D679" s="39" t="n">
        <f aca="false">(B679+C679)/2</f>
        <v>0.162109375</v>
      </c>
      <c r="E679" s="15" t="n">
        <f aca="false">$C$2*(1+IF(E$3&lt;=$O$2,$D679,$D679-($D679-$I$670)*MIN(E$3-$O$2,$Q$2)/$Q$2))</f>
        <v>16637.919921875</v>
      </c>
      <c r="F679" s="15" t="n">
        <f aca="false">E679*(1+IF(F$3&lt;=$O$2,$D679,$D679-($D679-$I$670)*MIN(F$3-$O$2,$Q$2)/$Q$2))</f>
        <v>19335.0827217102</v>
      </c>
      <c r="G679" s="15" t="n">
        <f aca="false">F679*(1+IF(G$3&lt;=$O$2,$D679,$D679-($D679-$I$670)*MIN(G$3-$O$2,$Q$2)/$Q$2))</f>
        <v>22469.4808972999</v>
      </c>
      <c r="H679" s="15" t="n">
        <f aca="false">G679*(1+IF(H$3&lt;=$O$2,$D679,$D679-($D679-$I$670)*MIN(H$3-$O$2,$Q$2)/$Q$2))</f>
        <v>26111.9944021357</v>
      </c>
      <c r="I679" s="15" t="n">
        <f aca="false">H679*(1+IF(I$3&lt;=$O$2,$D679,$D679-($D679-$I$670)*MIN(I$3-$O$2,$Q$2)/$Q$2))</f>
        <v>30344.9934946694</v>
      </c>
      <c r="J679" s="15" t="n">
        <f aca="false">I679*(1+IF(J$3&lt;=$O$2,$D679,$D679-($D679-$I$670)*MIN(J$3-$O$2,$Q$2)/$Q$2))</f>
        <v>34482.4574951838</v>
      </c>
      <c r="K679" s="15" t="n">
        <f aca="false">J679*(1+IF(K$3&lt;=$O$2,$D679,$D679-($D679-$I$670)*MIN(K$3-$O$2,$Q$2)/$Q$2))</f>
        <v>38295.7216088247</v>
      </c>
      <c r="L679" s="15" t="n">
        <f aca="false">K679*(1+IF(L$3&lt;=$O$2,$D679,$D679-($D679-$I$670)*MIN(L$3-$O$2,$Q$2)/$Q$2))</f>
        <v>41544.1083246412</v>
      </c>
      <c r="M679" s="15" t="n">
        <f aca="false">L679*(1+IF(M$3&lt;=$O$2,$D679,$D679-($D679-$I$670)*MIN(M$3-$O$2,$Q$2)/$Q$2))</f>
        <v>43997.7812574976</v>
      </c>
      <c r="N679" s="15" t="n">
        <f aca="false">M679*(1+IF(N$3&lt;=$O$2,$D679,$D679-($D679-$I$670)*MIN(N$3-$O$2,$Q$2)/$Q$2))</f>
        <v>45462.9073733723</v>
      </c>
      <c r="O679" s="15" t="n">
        <f aca="false">SUMPRODUCT(E679:N679,1/(1+$F$670)^$E$3:$N$3)*$E$2</f>
        <v>57168.9293034535</v>
      </c>
      <c r="P679" s="15" t="n">
        <f aca="false">N679*$E$2*(1+$I$670)/($F$670-$I$670)/(1+$F$670)^$N$3</f>
        <v>79098.7278937434</v>
      </c>
      <c r="Q679" s="15" t="n">
        <f aca="false">O679+P679</f>
        <v>136267.657197197</v>
      </c>
      <c r="R679" s="15" t="n">
        <f aca="false">Q679-$G$2+$I$2</f>
        <v>124647.657197197</v>
      </c>
      <c r="S679" s="40" t="n">
        <f aca="false">R679/$K$2</f>
        <v>422.86412184821</v>
      </c>
      <c r="T679" s="41" t="n">
        <f aca="false">S679-$M$2</f>
        <v>12.8834589584995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0.15625</v>
      </c>
      <c r="C680" s="25" t="n">
        <f aca="false">IF(T679&gt;0,D679,C679)</f>
        <v>0.162109375</v>
      </c>
      <c r="D680" s="39" t="n">
        <f aca="false">(B680+C680)/2</f>
        <v>0.1591796875</v>
      </c>
      <c r="E680" s="15" t="n">
        <f aca="false">$C$2*(1+IF(E$3&lt;=$O$2,$D680,$D680-($D680-$I$670)*MIN(E$3-$O$2,$Q$2)/$Q$2))</f>
        <v>16595.9755859375</v>
      </c>
      <c r="F680" s="15" t="n">
        <f aca="false">E680*(1+IF(F$3&lt;=$O$2,$D680,$D680-($D680-$I$670)*MIN(F$3-$O$2,$Q$2)/$Q$2))</f>
        <v>19237.7177934647</v>
      </c>
      <c r="G680" s="15" t="n">
        <f aca="false">F680*(1+IF(G$3&lt;=$O$2,$D680,$D680-($D680-$I$670)*MIN(G$3-$O$2,$Q$2)/$Q$2))</f>
        <v>22299.9717000416</v>
      </c>
      <c r="H680" s="15" t="n">
        <f aca="false">G680*(1+IF(H$3&lt;=$O$2,$D680,$D680-($D680-$I$670)*MIN(H$3-$O$2,$Q$2)/$Q$2))</f>
        <v>25849.674226513</v>
      </c>
      <c r="I680" s="15" t="n">
        <f aca="false">H680*(1+IF(I$3&lt;=$O$2,$D680,$D680-($D680-$I$670)*MIN(I$3-$O$2,$Q$2)/$Q$2))</f>
        <v>29964.4172918662</v>
      </c>
      <c r="J680" s="15" t="n">
        <f aca="false">I680*(1+IF(J$3&lt;=$O$2,$D680,$D680-($D680-$I$670)*MIN(J$3-$O$2,$Q$2)/$Q$2))</f>
        <v>33979.7615755411</v>
      </c>
      <c r="K680" s="15" t="n">
        <f aca="false">J680*(1+IF(K$3&lt;=$O$2,$D680,$D680-($D680-$I$670)*MIN(K$3-$O$2,$Q$2)/$Q$2))</f>
        <v>37677.7046970788</v>
      </c>
      <c r="L680" s="15" t="n">
        <f aca="false">K680*(1+IF(L$3&lt;=$O$2,$D680,$D680-($D680-$I$670)*MIN(L$3-$O$2,$Q$2)/$Q$2))</f>
        <v>40829.5153406857</v>
      </c>
      <c r="M680" s="15" t="n">
        <f aca="false">L680*(1+IF(M$3&lt;=$O$2,$D680,$D680-($D680-$I$670)*MIN(M$3-$O$2,$Q$2)/$Q$2))</f>
        <v>43217.0595279029</v>
      </c>
      <c r="N680" s="15" t="n">
        <f aca="false">M680*(1+IF(N$3&lt;=$O$2,$D680,$D680-($D680-$I$670)*MIN(N$3-$O$2,$Q$2)/$Q$2))</f>
        <v>44656.1876101821</v>
      </c>
      <c r="O680" s="15" t="n">
        <f aca="false">SUMPRODUCT(E680:N680,1/(1+$F$670)^$E$3:$N$3)*$E$2</f>
        <v>56459.1186375248</v>
      </c>
      <c r="P680" s="15" t="n">
        <f aca="false">N680*$E$2*(1+$I$670)/($F$670-$I$670)/(1+$F$670)^$N$3</f>
        <v>77695.1549433592</v>
      </c>
      <c r="Q680" s="15" t="n">
        <f aca="false">O680+P680</f>
        <v>134154.273580884</v>
      </c>
      <c r="R680" s="15" t="n">
        <f aca="false">Q680-$G$2+$I$2</f>
        <v>122534.273580884</v>
      </c>
      <c r="S680" s="40" t="n">
        <f aca="false">R680/$K$2</f>
        <v>415.694519730244</v>
      </c>
      <c r="T680" s="41" t="n">
        <f aca="false">S680-$M$2</f>
        <v>5.71385684053342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0.15625</v>
      </c>
      <c r="C681" s="25" t="n">
        <f aca="false">IF(T680&gt;0,D680,C680)</f>
        <v>0.1591796875</v>
      </c>
      <c r="D681" s="39" t="n">
        <f aca="false">(B681+C681)/2</f>
        <v>0.15771484375</v>
      </c>
      <c r="E681" s="15" t="n">
        <f aca="false">$C$2*(1+IF(E$3&lt;=$O$2,$D681,$D681-($D681-$I$670)*MIN(E$3-$O$2,$Q$2)/$Q$2))</f>
        <v>16575.0034179688</v>
      </c>
      <c r="F681" s="15" t="n">
        <f aca="false">E681*(1+IF(F$3&lt;=$O$2,$D681,$D681-($D681-$I$670)*MIN(F$3-$O$2,$Q$2)/$Q$2))</f>
        <v>19189.1274921894</v>
      </c>
      <c r="G681" s="15" t="n">
        <f aca="false">F681*(1+IF(G$3&lt;=$O$2,$D681,$D681-($D681-$I$670)*MIN(G$3-$O$2,$Q$2)/$Q$2))</f>
        <v>22215.5377363189</v>
      </c>
      <c r="H681" s="15" t="n">
        <f aca="false">G681*(1+IF(H$3&lt;=$O$2,$D681,$D681-($D681-$I$670)*MIN(H$3-$O$2,$Q$2)/$Q$2))</f>
        <v>25719.2577992247</v>
      </c>
      <c r="I681" s="15" t="n">
        <f aca="false">H681*(1+IF(I$3&lt;=$O$2,$D681,$D681-($D681-$I$670)*MIN(I$3-$O$2,$Q$2)/$Q$2))</f>
        <v>29775.5665243953</v>
      </c>
      <c r="J681" s="15" t="n">
        <f aca="false">I681*(1+IF(J$3&lt;=$O$2,$D681,$D681-($D681-$I$670)*MIN(J$3-$O$2,$Q$2)/$Q$2))</f>
        <v>33730.710855018</v>
      </c>
      <c r="K681" s="15" t="n">
        <f aca="false">J681*(1+IF(K$3&lt;=$O$2,$D681,$D681-($D681-$I$670)*MIN(K$3-$O$2,$Q$2)/$Q$2))</f>
        <v>37371.9041988522</v>
      </c>
      <c r="L681" s="15" t="n">
        <f aca="false">K681*(1+IF(L$3&lt;=$O$2,$D681,$D681-($D681-$I$670)*MIN(L$3-$O$2,$Q$2)/$Q$2))</f>
        <v>40476.23645729</v>
      </c>
      <c r="M681" s="15" t="n">
        <f aca="false">L681*(1+IF(M$3&lt;=$O$2,$D681,$D681-($D681-$I$670)*MIN(M$3-$O$2,$Q$2)/$Q$2))</f>
        <v>42831.2640582022</v>
      </c>
      <c r="N681" s="15" t="n">
        <f aca="false">M681*(1+IF(N$3&lt;=$O$2,$D681,$D681-($D681-$I$670)*MIN(N$3-$O$2,$Q$2)/$Q$2))</f>
        <v>44257.5451513403</v>
      </c>
      <c r="O681" s="15" t="n">
        <f aca="false">SUMPRODUCT(E681:N681,1/(1+$F$670)^$E$3:$N$3)*$E$2</f>
        <v>56107.4663313818</v>
      </c>
      <c r="P681" s="15" t="n">
        <f aca="false">N681*$E$2*(1+$I$670)/($F$670-$I$670)/(1+$F$670)^$N$3</f>
        <v>77001.5760853276</v>
      </c>
      <c r="Q681" s="15" t="n">
        <f aca="false">O681+P681</f>
        <v>133109.042416709</v>
      </c>
      <c r="R681" s="15" t="n">
        <f aca="false">Q681-$G$2+$I$2</f>
        <v>121489.042416709</v>
      </c>
      <c r="S681" s="40" t="n">
        <f aca="false">R681/$K$2</f>
        <v>412.148598625062</v>
      </c>
      <c r="T681" s="41" t="n">
        <f aca="false">S681-$M$2</f>
        <v>2.16793573535108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0.15625</v>
      </c>
      <c r="C682" s="25" t="n">
        <f aca="false">IF(T681&gt;0,D681,C681)</f>
        <v>0.15771484375</v>
      </c>
      <c r="D682" s="39" t="n">
        <f aca="false">(B682+C682)/2</f>
        <v>0.156982421875</v>
      </c>
      <c r="E682" s="15" t="n">
        <f aca="false">$C$2*(1+IF(E$3&lt;=$O$2,$D682,$D682-($D682-$I$670)*MIN(E$3-$O$2,$Q$2)/$Q$2))</f>
        <v>16564.5173339844</v>
      </c>
      <c r="F682" s="15" t="n">
        <f aca="false">E682*(1+IF(F$3&lt;=$O$2,$D682,$D682-($D682-$I$670)*MIN(F$3-$O$2,$Q$2)/$Q$2))</f>
        <v>19164.8553822637</v>
      </c>
      <c r="G682" s="15" t="n">
        <f aca="false">F682*(1+IF(G$3&lt;=$O$2,$D682,$D682-($D682-$I$670)*MIN(G$3-$O$2,$Q$2)/$Q$2))</f>
        <v>22173.4007950555</v>
      </c>
      <c r="H682" s="15" t="n">
        <f aca="false">G682*(1+IF(H$3&lt;=$O$2,$D682,$D682-($D682-$I$670)*MIN(H$3-$O$2,$Q$2)/$Q$2))</f>
        <v>25654.2349530684</v>
      </c>
      <c r="I682" s="15" t="n">
        <f aca="false">H682*(1+IF(I$3&lt;=$O$2,$D682,$D682-($D682-$I$670)*MIN(I$3-$O$2,$Q$2)/$Q$2))</f>
        <v>29681.4988873514</v>
      </c>
      <c r="J682" s="15" t="n">
        <f aca="false">I682*(1+IF(J$3&lt;=$O$2,$D682,$D682-($D682-$I$670)*MIN(J$3-$O$2,$Q$2)/$Q$2))</f>
        <v>33606.7565341144</v>
      </c>
      <c r="K682" s="15" t="n">
        <f aca="false">J682*(1+IF(K$3&lt;=$O$2,$D682,$D682-($D682-$I$670)*MIN(K$3-$O$2,$Q$2)/$Q$2))</f>
        <v>37219.800550402</v>
      </c>
      <c r="L682" s="15" t="n">
        <f aca="false">K682*(1+IF(L$3&lt;=$O$2,$D682,$D682-($D682-$I$670)*MIN(L$3-$O$2,$Q$2)/$Q$2))</f>
        <v>40300.5939382417</v>
      </c>
      <c r="M682" s="15" t="n">
        <f aca="false">L682*(1+IF(M$3&lt;=$O$2,$D682,$D682-($D682-$I$670)*MIN(M$3-$O$2,$Q$2)/$Q$2))</f>
        <v>42639.4987286417</v>
      </c>
      <c r="N682" s="15" t="n">
        <f aca="false">M682*(1+IF(N$3&lt;=$O$2,$D682,$D682-($D682-$I$670)*MIN(N$3-$O$2,$Q$2)/$Q$2))</f>
        <v>44059.3940363054</v>
      </c>
      <c r="O682" s="15" t="n">
        <f aca="false">SUMPRODUCT(E682:N682,1/(1+$F$670)^$E$3:$N$3)*$E$2</f>
        <v>55932.4481017326</v>
      </c>
      <c r="P682" s="15" t="n">
        <f aca="false">N682*$E$2*(1+$I$670)/($F$670-$I$670)/(1+$F$670)^$N$3</f>
        <v>76656.8224821041</v>
      </c>
      <c r="Q682" s="15" t="n">
        <f aca="false">O682+P682</f>
        <v>132589.270583837</v>
      </c>
      <c r="R682" s="15" t="n">
        <f aca="false">Q682-$G$2+$I$2</f>
        <v>120969.270583837</v>
      </c>
      <c r="S682" s="40" t="n">
        <f aca="false">R682/$K$2</f>
        <v>410.385285421979</v>
      </c>
      <c r="T682" s="41" t="n">
        <f aca="false">S682-$M$2</f>
        <v>0.404622532268434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0.15625</v>
      </c>
      <c r="C683" s="25" t="n">
        <f aca="false">IF(T682&gt;0,D682,C682)</f>
        <v>0.156982421875</v>
      </c>
      <c r="D683" s="39" t="n">
        <f aca="false">(B683+C683)/2</f>
        <v>0.1566162109375</v>
      </c>
      <c r="E683" s="15" t="n">
        <f aca="false">$C$2*(1+IF(E$3&lt;=$O$2,$D683,$D683-($D683-$I$670)*MIN(E$3-$O$2,$Q$2)/$Q$2))</f>
        <v>16559.2742919922</v>
      </c>
      <c r="F683" s="15" t="n">
        <f aca="false">E683*(1+IF(F$3&lt;=$O$2,$D683,$D683-($D683-$I$670)*MIN(F$3-$O$2,$Q$2)/$Q$2))</f>
        <v>19152.7250874788</v>
      </c>
      <c r="G683" s="15" t="n">
        <f aca="false">F683*(1+IF(G$3&lt;=$O$2,$D683,$D683-($D683-$I$670)*MIN(G$3-$O$2,$Q$2)/$Q$2))</f>
        <v>22152.3523198073</v>
      </c>
      <c r="H683" s="15" t="n">
        <f aca="false">G683*(1+IF(H$3&lt;=$O$2,$D683,$D683-($D683-$I$670)*MIN(H$3-$O$2,$Q$2)/$Q$2))</f>
        <v>25621.769803488</v>
      </c>
      <c r="I683" s="15" t="n">
        <f aca="false">H683*(1+IF(I$3&lt;=$O$2,$D683,$D683-($D683-$I$670)*MIN(I$3-$O$2,$Q$2)/$Q$2))</f>
        <v>29634.5543076232</v>
      </c>
      <c r="J683" s="15" t="n">
        <f aca="false">I683*(1+IF(J$3&lt;=$O$2,$D683,$D683-($D683-$I$670)*MIN(J$3-$O$2,$Q$2)/$Q$2))</f>
        <v>33544.9217260972</v>
      </c>
      <c r="K683" s="15" t="n">
        <f aca="false">J683*(1+IF(K$3&lt;=$O$2,$D683,$D683-($D683-$I$670)*MIN(K$3-$O$2,$Q$2)/$Q$2))</f>
        <v>37143.9472056506</v>
      </c>
      <c r="L683" s="15" t="n">
        <f aca="false">K683*(1+IF(L$3&lt;=$O$2,$D683,$D683-($D683-$I$670)*MIN(L$3-$O$2,$Q$2)/$Q$2))</f>
        <v>40213.0209790641</v>
      </c>
      <c r="M683" s="15" t="n">
        <f aca="false">L683*(1+IF(M$3&lt;=$O$2,$D683,$D683-($D683-$I$670)*MIN(M$3-$O$2,$Q$2)/$Q$2))</f>
        <v>42543.8980531646</v>
      </c>
      <c r="N683" s="15" t="n">
        <f aca="false">M683*(1+IF(N$3&lt;=$O$2,$D683,$D683-($D683-$I$670)*MIN(N$3-$O$2,$Q$2)/$Q$2))</f>
        <v>43960.609858335</v>
      </c>
      <c r="O683" s="15" t="n">
        <f aca="false">SUMPRODUCT(E683:N683,1/(1+$F$670)^$E$3:$N$3)*$E$2</f>
        <v>55845.1403041432</v>
      </c>
      <c r="P683" s="15" t="n">
        <f aca="false">N683*$E$2*(1+$I$670)/($F$670-$I$670)/(1+$F$670)^$N$3</f>
        <v>76484.9526377645</v>
      </c>
      <c r="Q683" s="15" t="n">
        <f aca="false">O683+P683</f>
        <v>132330.092941908</v>
      </c>
      <c r="R683" s="15" t="n">
        <f aca="false">Q683-$G$2+$I$2</f>
        <v>120710.092941908</v>
      </c>
      <c r="S683" s="40" t="n">
        <f aca="false">R683/$K$2</f>
        <v>409.506031624343</v>
      </c>
      <c r="T683" s="41" t="n">
        <f aca="false">S683-$M$2</f>
        <v>-0.474631265367577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0.1566162109375</v>
      </c>
      <c r="C684" s="25" t="n">
        <f aca="false">IF(T683&gt;0,D683,C683)</f>
        <v>0.156982421875</v>
      </c>
      <c r="D684" s="39" t="n">
        <f aca="false">(B684+C684)/2</f>
        <v>0.15679931640625</v>
      </c>
      <c r="E684" s="15" t="n">
        <f aca="false">$C$2*(1+IF(E$3&lt;=$O$2,$D684,$D684-($D684-$I$670)*MIN(E$3-$O$2,$Q$2)/$Q$2))</f>
        <v>16561.8958129883</v>
      </c>
      <c r="F684" s="15" t="n">
        <f aca="false">E684*(1+IF(F$3&lt;=$O$2,$D684,$D684-($D684-$I$670)*MIN(F$3-$O$2,$Q$2)/$Q$2))</f>
        <v>19158.7897548564</v>
      </c>
      <c r="G684" s="15" t="n">
        <f aca="false">F684*(1+IF(G$3&lt;=$O$2,$D684,$D684-($D684-$I$670)*MIN(G$3-$O$2,$Q$2)/$Q$2))</f>
        <v>22162.8748915889</v>
      </c>
      <c r="H684" s="15" t="n">
        <f aca="false">G684*(1+IF(H$3&lt;=$O$2,$D684,$D684-($D684-$I$670)*MIN(H$3-$O$2,$Q$2)/$Q$2))</f>
        <v>25637.9985241873</v>
      </c>
      <c r="I684" s="15" t="n">
        <f aca="false">H684*(1+IF(I$3&lt;=$O$2,$D684,$D684-($D684-$I$670)*MIN(I$3-$O$2,$Q$2)/$Q$2))</f>
        <v>29658.0191668043</v>
      </c>
      <c r="J684" s="15" t="n">
        <f aca="false">I684*(1+IF(J$3&lt;=$O$2,$D684,$D684-($D684-$I$670)*MIN(J$3-$O$2,$Q$2)/$Q$2))</f>
        <v>33575.8272795099</v>
      </c>
      <c r="K684" s="15" t="n">
        <f aca="false">J684*(1+IF(K$3&lt;=$O$2,$D684,$D684-($D684-$I$670)*MIN(K$3-$O$2,$Q$2)/$Q$2))</f>
        <v>37181.8573579939</v>
      </c>
      <c r="L684" s="15" t="n">
        <f aca="false">K684*(1+IF(L$3&lt;=$O$2,$D684,$D684-($D684-$I$670)*MIN(L$3-$O$2,$Q$2)/$Q$2))</f>
        <v>40256.7867945859</v>
      </c>
      <c r="M684" s="15" t="n">
        <f aca="false">L684*(1+IF(M$3&lt;=$O$2,$D684,$D684-($D684-$I$670)*MIN(M$3-$O$2,$Q$2)/$Q$2))</f>
        <v>42591.6749248143</v>
      </c>
      <c r="N684" s="15" t="n">
        <f aca="false">M684*(1+IF(N$3&lt;=$O$2,$D684,$D684-($D684-$I$670)*MIN(N$3-$O$2,$Q$2)/$Q$2))</f>
        <v>44009.9776998106</v>
      </c>
      <c r="O684" s="15" t="n">
        <f aca="false">SUMPRODUCT(E684:N684,1/(1+$F$670)^$E$3:$N$3)*$E$2</f>
        <v>55888.7774462131</v>
      </c>
      <c r="P684" s="15" t="n">
        <f aca="false">N684*$E$2*(1+$I$670)/($F$670-$I$670)/(1+$F$670)^$N$3</f>
        <v>76570.8453728575</v>
      </c>
      <c r="Q684" s="15" t="n">
        <f aca="false">O684+P684</f>
        <v>132459.622819071</v>
      </c>
      <c r="R684" s="15" t="n">
        <f aca="false">Q684-$G$2+$I$2</f>
        <v>120839.622819071</v>
      </c>
      <c r="S684" s="40" t="n">
        <f aca="false">R684/$K$2</f>
        <v>409.945458557759</v>
      </c>
      <c r="T684" s="41" t="n">
        <f aca="false">S684-$M$2</f>
        <v>-0.0352043319515474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0.15679931640625</v>
      </c>
      <c r="C685" s="25" t="n">
        <f aca="false">IF(T684&gt;0,D684,C684)</f>
        <v>0.156982421875</v>
      </c>
      <c r="D685" s="39" t="n">
        <f aca="false">(B685+C685)/2</f>
        <v>0.156890869140625</v>
      </c>
      <c r="E685" s="15" t="n">
        <f aca="false">$C$2*(1+IF(E$3&lt;=$O$2,$D685,$D685-($D685-$I$670)*MIN(E$3-$O$2,$Q$2)/$Q$2))</f>
        <v>16563.2065734863</v>
      </c>
      <c r="F685" s="15" t="n">
        <f aca="false">E685*(1+IF(F$3&lt;=$O$2,$D685,$D685-($D685-$I$670)*MIN(F$3-$O$2,$Q$2)/$Q$2))</f>
        <v>19161.8224485563</v>
      </c>
      <c r="G685" s="15" t="n">
        <f aca="false">F685*(1+IF(G$3&lt;=$O$2,$D685,$D685-($D685-$I$670)*MIN(G$3-$O$2,$Q$2)/$Q$2))</f>
        <v>22168.1374268287</v>
      </c>
      <c r="H685" s="15" t="n">
        <f aca="false">G685*(1+IF(H$3&lt;=$O$2,$D685,$D685-($D685-$I$670)*MIN(H$3-$O$2,$Q$2)/$Q$2))</f>
        <v>25646.1157749526</v>
      </c>
      <c r="I685" s="15" t="n">
        <f aca="false">H685*(1+IF(I$3&lt;=$O$2,$D685,$D685-($D685-$I$670)*MIN(I$3-$O$2,$Q$2)/$Q$2))</f>
        <v>29669.757168966</v>
      </c>
      <c r="J685" s="15" t="n">
        <f aca="false">I685*(1+IF(J$3&lt;=$O$2,$D685,$D685-($D685-$I$670)*MIN(J$3-$O$2,$Q$2)/$Q$2))</f>
        <v>33591.2889432556</v>
      </c>
      <c r="K685" s="15" t="n">
        <f aca="false">J685*(1+IF(K$3&lt;=$O$2,$D685,$D685-($D685-$I$670)*MIN(K$3-$O$2,$Q$2)/$Q$2))</f>
        <v>37200.8248226965</v>
      </c>
      <c r="L685" s="15" t="n">
        <f aca="false">K685*(1+IF(L$3&lt;=$O$2,$D685,$D685-($D685-$I$670)*MIN(L$3-$O$2,$Q$2)/$Q$2))</f>
        <v>40278.6851983264</v>
      </c>
      <c r="M685" s="15" t="n">
        <f aca="false">L685*(1+IF(M$3&lt;=$O$2,$D685,$D685-($D685-$I$670)*MIN(M$3-$O$2,$Q$2)/$Q$2))</f>
        <v>42615.5809577313</v>
      </c>
      <c r="N685" s="15" t="n">
        <f aca="false">M685*(1+IF(N$3&lt;=$O$2,$D685,$D685-($D685-$I$670)*MIN(N$3-$O$2,$Q$2)/$Q$2))</f>
        <v>44034.6798036237</v>
      </c>
      <c r="O685" s="15" t="n">
        <f aca="false">SUMPRODUCT(E685:N685,1/(1+$F$670)^$E$3:$N$3)*$E$2</f>
        <v>55910.6085833143</v>
      </c>
      <c r="P685" s="15" t="n">
        <f aca="false">N685*$E$2*(1+$I$670)/($F$670-$I$670)/(1+$F$670)^$N$3</f>
        <v>76613.823376263</v>
      </c>
      <c r="Q685" s="15" t="n">
        <f aca="false">O685+P685</f>
        <v>132524.431959577</v>
      </c>
      <c r="R685" s="15" t="n">
        <f aca="false">Q685-$G$2+$I$2</f>
        <v>120904.431959577</v>
      </c>
      <c r="S685" s="40" t="n">
        <f aca="false">R685/$K$2</f>
        <v>410.165321978415</v>
      </c>
      <c r="T685" s="41" t="n">
        <f aca="false">S685-$M$2</f>
        <v>0.184659088704109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0.15679931640625</v>
      </c>
      <c r="C686" s="25" t="n">
        <f aca="false">IF(T685&gt;0,D685,C685)</f>
        <v>0.156890869140625</v>
      </c>
      <c r="D686" s="39" t="n">
        <f aca="false">(B686+C686)/2</f>
        <v>0.156845092773438</v>
      </c>
      <c r="E686" s="15" t="n">
        <f aca="false">$C$2*(1+IF(E$3&lt;=$O$2,$D686,$D686-($D686-$I$670)*MIN(E$3-$O$2,$Q$2)/$Q$2))</f>
        <v>16562.5511932373</v>
      </c>
      <c r="F686" s="15" t="n">
        <f aca="false">E686*(1+IF(F$3&lt;=$O$2,$D686,$D686-($D686-$I$670)*MIN(F$3-$O$2,$Q$2)/$Q$2))</f>
        <v>19160.3060717054</v>
      </c>
      <c r="G686" s="15" t="n">
        <f aca="false">F686*(1+IF(G$3&lt;=$O$2,$D686,$D686-($D686-$I$670)*MIN(G$3-$O$2,$Q$2)/$Q$2))</f>
        <v>22165.5060550895</v>
      </c>
      <c r="H686" s="15" t="n">
        <f aca="false">G686*(1+IF(H$3&lt;=$O$2,$D686,$D686-($D686-$I$670)*MIN(H$3-$O$2,$Q$2)/$Q$2))</f>
        <v>25642.0569086702</v>
      </c>
      <c r="I686" s="15" t="n">
        <f aca="false">H686*(1+IF(I$3&lt;=$O$2,$D686,$D686-($D686-$I$670)*MIN(I$3-$O$2,$Q$2)/$Q$2))</f>
        <v>29663.8877034124</v>
      </c>
      <c r="J686" s="15" t="n">
        <f aca="false">I686*(1+IF(J$3&lt;=$O$2,$D686,$D686-($D686-$I$670)*MIN(J$3-$O$2,$Q$2)/$Q$2))</f>
        <v>33583.5573706071</v>
      </c>
      <c r="K686" s="15" t="n">
        <f aca="false">J686*(1+IF(K$3&lt;=$O$2,$D686,$D686-($D686-$I$670)*MIN(K$3-$O$2,$Q$2)/$Q$2))</f>
        <v>37191.3400576566</v>
      </c>
      <c r="L686" s="15" t="n">
        <f aca="false">K686*(1+IF(L$3&lt;=$O$2,$D686,$D686-($D686-$I$670)*MIN(L$3-$O$2,$Q$2)/$Q$2))</f>
        <v>40267.7347046932</v>
      </c>
      <c r="M686" s="15" t="n">
        <f aca="false">L686*(1+IF(M$3&lt;=$O$2,$D686,$D686-($D686-$I$670)*MIN(M$3-$O$2,$Q$2)/$Q$2))</f>
        <v>42603.626474333</v>
      </c>
      <c r="N686" s="15" t="n">
        <f aca="false">M686*(1+IF(N$3&lt;=$O$2,$D686,$D686-($D686-$I$670)*MIN(N$3-$O$2,$Q$2)/$Q$2))</f>
        <v>44022.3272359283</v>
      </c>
      <c r="O686" s="15" t="n">
        <f aca="false">SUMPRODUCT(E686:N686,1/(1+$F$670)^$E$3:$N$3)*$E$2</f>
        <v>55899.6919672838</v>
      </c>
      <c r="P686" s="15" t="n">
        <f aca="false">N686*$E$2*(1+$I$670)/($F$670-$I$670)/(1+$F$670)^$N$3</f>
        <v>76592.331737312</v>
      </c>
      <c r="Q686" s="15" t="n">
        <f aca="false">O686+P686</f>
        <v>132492.023704596</v>
      </c>
      <c r="R686" s="15" t="n">
        <f aca="false">Q686-$G$2+$I$2</f>
        <v>120872.023704596</v>
      </c>
      <c r="S686" s="40" t="n">
        <f aca="false">R686/$K$2</f>
        <v>410.055377767737</v>
      </c>
      <c r="T686" s="41" t="n">
        <f aca="false">S686-$M$2</f>
        <v>0.0747148780262705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0.15679931640625</v>
      </c>
      <c r="C687" s="25" t="n">
        <f aca="false">IF(T686&gt;0,D686,C686)</f>
        <v>0.156845092773438</v>
      </c>
      <c r="D687" s="39" t="n">
        <f aca="false">(B687+C687)/2</f>
        <v>0.156822204589844</v>
      </c>
      <c r="E687" s="15" t="n">
        <f aca="false">$C$2*(1+IF(E$3&lt;=$O$2,$D687,$D687-($D687-$I$670)*MIN(E$3-$O$2,$Q$2)/$Q$2))</f>
        <v>16562.2235031128</v>
      </c>
      <c r="F687" s="15" t="n">
        <f aca="false">E687*(1+IF(F$3&lt;=$O$2,$D687,$D687-($D687-$I$670)*MIN(F$3-$O$2,$Q$2)/$Q$2))</f>
        <v>19159.5479057807</v>
      </c>
      <c r="G687" s="15" t="n">
        <f aca="false">F687*(1+IF(G$3&lt;=$O$2,$D687,$D687-($D687-$I$670)*MIN(G$3-$O$2,$Q$2)/$Q$2))</f>
        <v>22164.1904473099</v>
      </c>
      <c r="H687" s="15" t="n">
        <f aca="false">G687*(1+IF(H$3&lt;=$O$2,$D687,$D687-($D687-$I$670)*MIN(H$3-$O$2,$Q$2)/$Q$2))</f>
        <v>25640.0276562062</v>
      </c>
      <c r="I687" s="15" t="n">
        <f aca="false">H687*(1+IF(I$3&lt;=$O$2,$D687,$D687-($D687-$I$670)*MIN(I$3-$O$2,$Q$2)/$Q$2))</f>
        <v>29660.953318997</v>
      </c>
      <c r="J687" s="15" t="n">
        <f aca="false">I687*(1+IF(J$3&lt;=$O$2,$D687,$D687-($D687-$I$670)*MIN(J$3-$O$2,$Q$2)/$Q$2))</f>
        <v>33579.6921398788</v>
      </c>
      <c r="K687" s="15" t="n">
        <f aca="false">J687*(1+IF(K$3&lt;=$O$2,$D687,$D687-($D687-$I$670)*MIN(K$3-$O$2,$Q$2)/$Q$2))</f>
        <v>37186.5984496764</v>
      </c>
      <c r="L687" s="15" t="n">
        <f aca="false">K687*(1+IF(L$3&lt;=$O$2,$D687,$D687-($D687-$I$670)*MIN(L$3-$O$2,$Q$2)/$Q$2))</f>
        <v>40262.2604267312</v>
      </c>
      <c r="M687" s="15" t="n">
        <f aca="false">L687*(1+IF(M$3&lt;=$O$2,$D687,$D687-($D687-$I$670)*MIN(M$3-$O$2,$Q$2)/$Q$2))</f>
        <v>42597.6503328774</v>
      </c>
      <c r="N687" s="15" t="n">
        <f aca="false">M687*(1+IF(N$3&lt;=$O$2,$D687,$D687-($D687-$I$670)*MIN(N$3-$O$2,$Q$2)/$Q$2))</f>
        <v>44016.1520889622</v>
      </c>
      <c r="O687" s="15" t="n">
        <f aca="false">SUMPRODUCT(E687:N687,1/(1+$F$670)^$E$3:$N$3)*$E$2</f>
        <v>55894.2344449016</v>
      </c>
      <c r="P687" s="15" t="n">
        <f aca="false">N687*$E$2*(1+$I$670)/($F$670-$I$670)/(1+$F$670)^$N$3</f>
        <v>76581.5878958422</v>
      </c>
      <c r="Q687" s="15" t="n">
        <f aca="false">O687+P687</f>
        <v>132475.822340744</v>
      </c>
      <c r="R687" s="15" t="n">
        <f aca="false">Q687-$G$2+$I$2</f>
        <v>120855.822340744</v>
      </c>
      <c r="S687" s="40" t="n">
        <f aca="false">R687/$K$2</f>
        <v>410.000415037975</v>
      </c>
      <c r="T687" s="41" t="n">
        <f aca="false">S687-$M$2</f>
        <v>0.01975214826399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0.15679931640625</v>
      </c>
      <c r="C688" s="25" t="n">
        <f aca="false">IF(T687&gt;0,D687,C687)</f>
        <v>0.156822204589844</v>
      </c>
      <c r="D688" s="39" t="n">
        <f aca="false">(B688+C688)/2</f>
        <v>0.156810760498047</v>
      </c>
      <c r="E688" s="15" t="n">
        <f aca="false">$C$2*(1+IF(E$3&lt;=$O$2,$D688,$D688-($D688-$I$670)*MIN(E$3-$O$2,$Q$2)/$Q$2))</f>
        <v>16562.0596580505</v>
      </c>
      <c r="F688" s="15" t="n">
        <f aca="false">E688*(1+IF(F$3&lt;=$O$2,$D688,$D688-($D688-$I$670)*MIN(F$3-$O$2,$Q$2)/$Q$2))</f>
        <v>19159.1688284435</v>
      </c>
      <c r="G688" s="15" t="n">
        <f aca="false">F688*(1+IF(G$3&lt;=$O$2,$D688,$D688-($D688-$I$670)*MIN(G$3-$O$2,$Q$2)/$Q$2))</f>
        <v>22163.5326629422</v>
      </c>
      <c r="H688" s="15" t="n">
        <f aca="false">G688*(1+IF(H$3&lt;=$O$2,$D688,$D688-($D688-$I$670)*MIN(H$3-$O$2,$Q$2)/$Q$2))</f>
        <v>25639.0130751414</v>
      </c>
      <c r="I688" s="15" t="n">
        <f aca="false">H688*(1+IF(I$3&lt;=$O$2,$D688,$D688-($D688-$I$670)*MIN(I$3-$O$2,$Q$2)/$Q$2))</f>
        <v>29659.4862138737</v>
      </c>
      <c r="J688" s="15" t="n">
        <f aca="false">I688*(1+IF(J$3&lt;=$O$2,$D688,$D688-($D688-$I$670)*MIN(J$3-$O$2,$Q$2)/$Q$2))</f>
        <v>33577.7596634012</v>
      </c>
      <c r="K688" s="15" t="n">
        <f aca="false">J688*(1+IF(K$3&lt;=$O$2,$D688,$D688-($D688-$I$670)*MIN(K$3-$O$2,$Q$2)/$Q$2))</f>
        <v>37184.2278393009</v>
      </c>
      <c r="L688" s="15" t="n">
        <f aca="false">K688*(1+IF(L$3&lt;=$O$2,$D688,$D688-($D688-$I$670)*MIN(L$3-$O$2,$Q$2)/$Q$2))</f>
        <v>40259.5235299355</v>
      </c>
      <c r="M688" s="15" t="n">
        <f aca="false">L688*(1+IF(M$3&lt;=$O$2,$D688,$D688-($D688-$I$670)*MIN(M$3-$O$2,$Q$2)/$Q$2))</f>
        <v>42594.6625371766</v>
      </c>
      <c r="N688" s="15" t="n">
        <f aca="false">M688*(1+IF(N$3&lt;=$O$2,$D688,$D688-($D688-$I$670)*MIN(N$3-$O$2,$Q$2)/$Q$2))</f>
        <v>44013.0647996646</v>
      </c>
      <c r="O688" s="15" t="n">
        <f aca="false">SUMPRODUCT(E688:N688,1/(1+$F$670)^$E$3:$N$3)*$E$2</f>
        <v>55891.5058800985</v>
      </c>
      <c r="P688" s="15" t="n">
        <f aca="false">N688*$E$2*(1+$I$670)/($F$670-$I$670)/(1+$F$670)^$N$3</f>
        <v>76576.2164695479</v>
      </c>
      <c r="Q688" s="15" t="n">
        <f aca="false">O688+P688</f>
        <v>132467.722349646</v>
      </c>
      <c r="R688" s="15" t="n">
        <f aca="false">Q688-$G$2+$I$2</f>
        <v>120847.722349646</v>
      </c>
      <c r="S688" s="40" t="n">
        <f aca="false">R688/$K$2</f>
        <v>409.972936016713</v>
      </c>
      <c r="T688" s="41" t="n">
        <f aca="false">S688-$M$2</f>
        <v>-0.00772687299769359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0.156810760498047</v>
      </c>
      <c r="C689" s="25" t="n">
        <f aca="false">IF(T688&gt;0,D688,C688)</f>
        <v>0.156822204589844</v>
      </c>
      <c r="D689" s="39" t="n">
        <f aca="false">(B689+C689)/2</f>
        <v>0.156816482543945</v>
      </c>
      <c r="E689" s="15" t="n">
        <f aca="false">$C$2*(1+IF(E$3&lt;=$O$2,$D689,$D689-($D689-$I$670)*MIN(E$3-$O$2,$Q$2)/$Q$2))</f>
        <v>16562.1415805817</v>
      </c>
      <c r="F689" s="15" t="n">
        <f aca="false">E689*(1+IF(F$3&lt;=$O$2,$D689,$D689-($D689-$I$670)*MIN(F$3-$O$2,$Q$2)/$Q$2))</f>
        <v>19159.3583666433</v>
      </c>
      <c r="G689" s="15" t="n">
        <f aca="false">F689*(1+IF(G$3&lt;=$O$2,$D689,$D689-($D689-$I$670)*MIN(G$3-$O$2,$Q$2)/$Q$2))</f>
        <v>22163.8615534992</v>
      </c>
      <c r="H689" s="15" t="n">
        <f aca="false">G689*(1+IF(H$3&lt;=$O$2,$D689,$D689-($D689-$I$670)*MIN(H$3-$O$2,$Q$2)/$Q$2))</f>
        <v>25639.5203619099</v>
      </c>
      <c r="I689" s="15" t="n">
        <f aca="false">H689*(1+IF(I$3&lt;=$O$2,$D689,$D689-($D689-$I$670)*MIN(I$3-$O$2,$Q$2)/$Q$2))</f>
        <v>29660.2197591785</v>
      </c>
      <c r="J689" s="15" t="n">
        <f aca="false">I689*(1+IF(J$3&lt;=$O$2,$D689,$D689-($D689-$I$670)*MIN(J$3-$O$2,$Q$2)/$Q$2))</f>
        <v>33578.7258900665</v>
      </c>
      <c r="K689" s="15" t="n">
        <f aca="false">J689*(1+IF(K$3&lt;=$O$2,$D689,$D689-($D689-$I$670)*MIN(K$3-$O$2,$Q$2)/$Q$2))</f>
        <v>37185.4131283547</v>
      </c>
      <c r="L689" s="15" t="n">
        <f aca="false">K689*(1+IF(L$3&lt;=$O$2,$D689,$D689-($D689-$I$670)*MIN(L$3-$O$2,$Q$2)/$Q$2))</f>
        <v>40260.891958152</v>
      </c>
      <c r="M689" s="15" t="n">
        <f aca="false">L689*(1+IF(M$3&lt;=$O$2,$D689,$D689-($D689-$I$670)*MIN(M$3-$O$2,$Q$2)/$Q$2))</f>
        <v>42596.1564121091</v>
      </c>
      <c r="N689" s="15" t="n">
        <f aca="false">M689*(1+IF(N$3&lt;=$O$2,$D689,$D689-($D689-$I$670)*MIN(N$3-$O$2,$Q$2)/$Q$2))</f>
        <v>44014.6084206323</v>
      </c>
      <c r="O689" s="15" t="n">
        <f aca="false">SUMPRODUCT(E689:N689,1/(1+$F$670)^$E$3:$N$3)*$E$2</f>
        <v>55892.870146135</v>
      </c>
      <c r="P689" s="15" t="n">
        <f aca="false">N689*$E$2*(1+$I$670)/($F$670-$I$670)/(1+$F$670)^$N$3</f>
        <v>76578.9021414935</v>
      </c>
      <c r="Q689" s="15" t="n">
        <f aca="false">O689+P689</f>
        <v>132471.772287628</v>
      </c>
      <c r="R689" s="15" t="n">
        <f aca="false">Q689-$G$2+$I$2</f>
        <v>120851.772287628</v>
      </c>
      <c r="S689" s="40" t="n">
        <f aca="false">R689/$K$2</f>
        <v>409.98667533205</v>
      </c>
      <c r="T689" s="41" t="n">
        <f aca="false">S689-$M$2</f>
        <v>0.00601244233968146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0.156810760498047</v>
      </c>
      <c r="C690" s="25" t="n">
        <f aca="false">IF(T689&gt;0,D689,C689)</f>
        <v>0.156816482543945</v>
      </c>
      <c r="D690" s="39" t="n">
        <f aca="false">(B690+C690)/2</f>
        <v>0.156813621520996</v>
      </c>
      <c r="E690" s="15" t="n">
        <f aca="false">$C$2*(1+IF(E$3&lt;=$O$2,$D690,$D690-($D690-$I$670)*MIN(E$3-$O$2,$Q$2)/$Q$2))</f>
        <v>16562.1006193161</v>
      </c>
      <c r="F690" s="15" t="n">
        <f aca="false">E690*(1+IF(F$3&lt;=$O$2,$D690,$D690-($D690-$I$670)*MIN(F$3-$O$2,$Q$2)/$Q$2))</f>
        <v>19159.2635974262</v>
      </c>
      <c r="G690" s="15" t="n">
        <f aca="false">F690*(1+IF(G$3&lt;=$O$2,$D690,$D690-($D690-$I$670)*MIN(G$3-$O$2,$Q$2)/$Q$2))</f>
        <v>22163.697107814</v>
      </c>
      <c r="H690" s="15" t="n">
        <f aca="false">G690*(1+IF(H$3&lt;=$O$2,$D690,$D690-($D690-$I$670)*MIN(H$3-$O$2,$Q$2)/$Q$2))</f>
        <v>25639.2667175847</v>
      </c>
      <c r="I690" s="15" t="n">
        <f aca="false">H690*(1+IF(I$3&lt;=$O$2,$D690,$D690-($D690-$I$670)*MIN(I$3-$O$2,$Q$2)/$Q$2))</f>
        <v>29659.8529847119</v>
      </c>
      <c r="J690" s="15" t="n">
        <f aca="false">I690*(1+IF(J$3&lt;=$O$2,$D690,$D690-($D690-$I$670)*MIN(J$3-$O$2,$Q$2)/$Q$2))</f>
        <v>33578.2427738405</v>
      </c>
      <c r="K690" s="15" t="n">
        <f aca="false">J690*(1+IF(K$3&lt;=$O$2,$D690,$D690-($D690-$I$670)*MIN(K$3-$O$2,$Q$2)/$Q$2))</f>
        <v>37184.8204797943</v>
      </c>
      <c r="L690" s="15" t="n">
        <f aca="false">K690*(1+IF(L$3&lt;=$O$2,$D690,$D690-($D690-$I$670)*MIN(L$3-$O$2,$Q$2)/$Q$2))</f>
        <v>40260.2077389985</v>
      </c>
      <c r="M690" s="15" t="n">
        <f aca="false">L690*(1+IF(M$3&lt;=$O$2,$D690,$D690-($D690-$I$670)*MIN(M$3-$O$2,$Q$2)/$Q$2))</f>
        <v>42595.4094689134</v>
      </c>
      <c r="N690" s="15" t="n">
        <f aca="false">M690*(1+IF(N$3&lt;=$O$2,$D690,$D690-($D690-$I$670)*MIN(N$3-$O$2,$Q$2)/$Q$2))</f>
        <v>44013.8366042282</v>
      </c>
      <c r="O690" s="15" t="n">
        <f aca="false">SUMPRODUCT(E690:N690,1/(1+$F$670)^$E$3:$N$3)*$E$2</f>
        <v>55892.1880090255</v>
      </c>
      <c r="P690" s="15" t="n">
        <f aca="false">N690*$E$2*(1+$I$670)/($F$670-$I$670)/(1+$F$670)^$N$3</f>
        <v>76577.5592952204</v>
      </c>
      <c r="Q690" s="15" t="n">
        <f aca="false">O690+P690</f>
        <v>132469.747304246</v>
      </c>
      <c r="R690" s="15" t="n">
        <f aca="false">Q690-$G$2+$I$2</f>
        <v>120849.747304246</v>
      </c>
      <c r="S690" s="40" t="n">
        <f aca="false">R690/$K$2</f>
        <v>409.979805625559</v>
      </c>
      <c r="T690" s="41" t="n">
        <f aca="false">S690-$M$2</f>
        <v>-0.000857264151818526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0.156813621520996</v>
      </c>
      <c r="C691" s="25" t="n">
        <f aca="false">IF(T690&gt;0,D690,C690)</f>
        <v>0.156816482543945</v>
      </c>
      <c r="D691" s="39" t="n">
        <f aca="false">(B691+C691)/2</f>
        <v>0.156815052032471</v>
      </c>
      <c r="E691" s="15" t="n">
        <f aca="false">$C$2*(1+IF(E$3&lt;=$O$2,$D691,$D691-($D691-$I$670)*MIN(E$3-$O$2,$Q$2)/$Q$2))</f>
        <v>16562.1210999489</v>
      </c>
      <c r="F691" s="15" t="n">
        <f aca="false">E691*(1+IF(F$3&lt;=$O$2,$D691,$D691-($D691-$I$670)*MIN(F$3-$O$2,$Q$2)/$Q$2))</f>
        <v>19159.3109820055</v>
      </c>
      <c r="G691" s="15" t="n">
        <f aca="false">F691*(1+IF(G$3&lt;=$O$2,$D691,$D691-($D691-$I$670)*MIN(G$3-$O$2,$Q$2)/$Q$2))</f>
        <v>22163.7793305549</v>
      </c>
      <c r="H691" s="15" t="n">
        <f aca="false">G691*(1+IF(H$3&lt;=$O$2,$D691,$D691-($D691-$I$670)*MIN(H$3-$O$2,$Q$2)/$Q$2))</f>
        <v>25639.3935395121</v>
      </c>
      <c r="I691" s="15" t="n">
        <f aca="false">H691*(1+IF(I$3&lt;=$O$2,$D691,$D691-($D691-$I$670)*MIN(I$3-$O$2,$Q$2)/$Q$2))</f>
        <v>29660.0363714917</v>
      </c>
      <c r="J691" s="15" t="n">
        <f aca="false">I691*(1+IF(J$3&lt;=$O$2,$D691,$D691-($D691-$I$670)*MIN(J$3-$O$2,$Q$2)/$Q$2))</f>
        <v>33578.4843312302</v>
      </c>
      <c r="K691" s="15" t="n">
        <f aca="false">J691*(1+IF(K$3&lt;=$O$2,$D691,$D691-($D691-$I$670)*MIN(K$3-$O$2,$Q$2)/$Q$2))</f>
        <v>37185.1168030662</v>
      </c>
      <c r="L691" s="15" t="n">
        <f aca="false">K691*(1+IF(L$3&lt;=$O$2,$D691,$D691-($D691-$I$670)*MIN(L$3-$O$2,$Q$2)/$Q$2))</f>
        <v>40260.549847314</v>
      </c>
      <c r="M691" s="15" t="n">
        <f aca="false">L691*(1+IF(M$3&lt;=$O$2,$D691,$D691-($D691-$I$670)*MIN(M$3-$O$2,$Q$2)/$Q$2))</f>
        <v>42595.7829390789</v>
      </c>
      <c r="N691" s="15" t="n">
        <f aca="false">M691*(1+IF(N$3&lt;=$O$2,$D691,$D691-($D691-$I$670)*MIN(N$3-$O$2,$Q$2)/$Q$2))</f>
        <v>44014.2225109502</v>
      </c>
      <c r="O691" s="15" t="n">
        <f aca="false">SUMPRODUCT(E691:N691,1/(1+$F$670)^$E$3:$N$3)*$E$2</f>
        <v>55892.5290765574</v>
      </c>
      <c r="P691" s="15" t="n">
        <f aca="false">N691*$E$2*(1+$I$670)/($F$670-$I$670)/(1+$F$670)^$N$3</f>
        <v>76578.2307157819</v>
      </c>
      <c r="Q691" s="15" t="n">
        <f aca="false">O691+P691</f>
        <v>132470.759792339</v>
      </c>
      <c r="R691" s="15" t="n">
        <f aca="false">Q691-$G$2+$I$2</f>
        <v>120850.759792339</v>
      </c>
      <c r="S691" s="40" t="n">
        <f aca="false">R691/$K$2</f>
        <v>409.983240466599</v>
      </c>
      <c r="T691" s="41" t="n">
        <f aca="false">S691-$M$2</f>
        <v>0.00257757688819993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0.156813621520996</v>
      </c>
      <c r="C692" s="25" t="n">
        <f aca="false">IF(T691&gt;0,D691,C691)</f>
        <v>0.156815052032471</v>
      </c>
      <c r="D692" s="39" t="n">
        <f aca="false">(B692+C692)/2</f>
        <v>0.156814336776733</v>
      </c>
      <c r="E692" s="15" t="n">
        <f aca="false">$C$2*(1+IF(E$3&lt;=$O$2,$D692,$D692-($D692-$I$670)*MIN(E$3-$O$2,$Q$2)/$Q$2))</f>
        <v>16562.1108596325</v>
      </c>
      <c r="F692" s="15" t="n">
        <f aca="false">E692*(1+IF(F$3&lt;=$O$2,$D692,$D692-($D692-$I$670)*MIN(F$3-$O$2,$Q$2)/$Q$2))</f>
        <v>19159.2872897085</v>
      </c>
      <c r="G692" s="15" t="n">
        <f aca="false">F692*(1+IF(G$3&lt;=$O$2,$D692,$D692-($D692-$I$670)*MIN(G$3-$O$2,$Q$2)/$Q$2))</f>
        <v>22163.738219159</v>
      </c>
      <c r="H692" s="15" t="n">
        <f aca="false">G692*(1+IF(H$3&lt;=$O$2,$D692,$D692-($D692-$I$670)*MIN(H$3-$O$2,$Q$2)/$Q$2))</f>
        <v>25639.3301284896</v>
      </c>
      <c r="I692" s="15" t="n">
        <f aca="false">H692*(1+IF(I$3&lt;=$O$2,$D692,$D692-($D692-$I$670)*MIN(I$3-$O$2,$Q$2)/$Q$2))</f>
        <v>29659.9446779884</v>
      </c>
      <c r="J692" s="15" t="n">
        <f aca="false">I692*(1+IF(J$3&lt;=$O$2,$D692,$D692-($D692-$I$670)*MIN(J$3-$O$2,$Q$2)/$Q$2))</f>
        <v>33578.3635523545</v>
      </c>
      <c r="K692" s="15" t="n">
        <f aca="false">J692*(1+IF(K$3&lt;=$O$2,$D692,$D692-($D692-$I$670)*MIN(K$3-$O$2,$Q$2)/$Q$2))</f>
        <v>37184.9686411782</v>
      </c>
      <c r="L692" s="15" t="n">
        <f aca="false">K692*(1+IF(L$3&lt;=$O$2,$D692,$D692-($D692-$I$670)*MIN(L$3-$O$2,$Q$2)/$Q$2))</f>
        <v>40260.3787928409</v>
      </c>
      <c r="M692" s="15" t="n">
        <f aca="false">L692*(1+IF(M$3&lt;=$O$2,$D692,$D692-($D692-$I$670)*MIN(M$3-$O$2,$Q$2)/$Q$2))</f>
        <v>42595.5962036381</v>
      </c>
      <c r="N692" s="15" t="n">
        <f aca="false">M692*(1+IF(N$3&lt;=$O$2,$D692,$D692-($D692-$I$670)*MIN(N$3-$O$2,$Q$2)/$Q$2))</f>
        <v>44014.0295572192</v>
      </c>
      <c r="O692" s="15" t="n">
        <f aca="false">SUMPRODUCT(E692:N692,1/(1+$F$670)^$E$3:$N$3)*$E$2</f>
        <v>55892.3585425358</v>
      </c>
      <c r="P692" s="15" t="n">
        <f aca="false">N692*$E$2*(1+$I$670)/($F$670-$I$670)/(1+$F$670)^$N$3</f>
        <v>76577.8950048574</v>
      </c>
      <c r="Q692" s="15" t="n">
        <f aca="false">O692+P692</f>
        <v>132470.253547393</v>
      </c>
      <c r="R692" s="15" t="n">
        <f aca="false">Q692-$G$2+$I$2</f>
        <v>120850.253547393</v>
      </c>
      <c r="S692" s="40" t="n">
        <f aca="false">R692/$K$2</f>
        <v>409.981523043027</v>
      </c>
      <c r="T692" s="41" t="n">
        <f aca="false">S692-$M$2</f>
        <v>0.000860153316750711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0.156813621520996</v>
      </c>
      <c r="C693" s="25" t="n">
        <f aca="false">IF(T692&gt;0,D692,C692)</f>
        <v>0.156814336776733</v>
      </c>
      <c r="D693" s="39" t="n">
        <f aca="false">(B693+C693)/2</f>
        <v>0.156813979148865</v>
      </c>
      <c r="E693" s="15" t="n">
        <f aca="false">$C$2*(1+IF(E$3&lt;=$O$2,$D693,$D693-($D693-$I$670)*MIN(E$3-$O$2,$Q$2)/$Q$2))</f>
        <v>16562.1057394743</v>
      </c>
      <c r="F693" s="15" t="n">
        <f aca="false">E693*(1+IF(F$3&lt;=$O$2,$D693,$D693-($D693-$I$670)*MIN(F$3-$O$2,$Q$2)/$Q$2))</f>
        <v>19159.2754435655</v>
      </c>
      <c r="G693" s="15" t="n">
        <f aca="false">F693*(1+IF(G$3&lt;=$O$2,$D693,$D693-($D693-$I$670)*MIN(G$3-$O$2,$Q$2)/$Q$2))</f>
        <v>22163.7176634802</v>
      </c>
      <c r="H693" s="15" t="n">
        <f aca="false">G693*(1+IF(H$3&lt;=$O$2,$D693,$D693-($D693-$I$670)*MIN(H$3-$O$2,$Q$2)/$Q$2))</f>
        <v>25639.2984230225</v>
      </c>
      <c r="I693" s="15" t="n">
        <f aca="false">H693*(1+IF(I$3&lt;=$O$2,$D693,$D693-($D693-$I$670)*MIN(I$3-$O$2,$Q$2)/$Q$2))</f>
        <v>29659.8988313218</v>
      </c>
      <c r="J693" s="15" t="n">
        <f aca="false">I693*(1+IF(J$3&lt;=$O$2,$D693,$D693-($D693-$I$670)*MIN(J$3-$O$2,$Q$2)/$Q$2))</f>
        <v>33578.3031630523</v>
      </c>
      <c r="K693" s="15" t="n">
        <f aca="false">J693*(1+IF(K$3&lt;=$O$2,$D693,$D693-($D693-$I$670)*MIN(K$3-$O$2,$Q$2)/$Q$2))</f>
        <v>37184.8945604232</v>
      </c>
      <c r="L693" s="15" t="n">
        <f aca="false">K693*(1+IF(L$3&lt;=$O$2,$D693,$D693-($D693-$I$670)*MIN(L$3-$O$2,$Q$2)/$Q$2))</f>
        <v>40260.2932658409</v>
      </c>
      <c r="M693" s="15" t="n">
        <f aca="false">L693*(1+IF(M$3&lt;=$O$2,$D693,$D693-($D693-$I$670)*MIN(M$3-$O$2,$Q$2)/$Q$2))</f>
        <v>42595.5028361862</v>
      </c>
      <c r="N693" s="15" t="n">
        <f aca="false">M693*(1+IF(N$3&lt;=$O$2,$D693,$D693-($D693-$I$670)*MIN(N$3-$O$2,$Q$2)/$Q$2))</f>
        <v>44013.9330806312</v>
      </c>
      <c r="O693" s="15" t="n">
        <f aca="false">SUMPRODUCT(E693:N693,1/(1+$F$670)^$E$3:$N$3)*$E$2</f>
        <v>55892.2732757167</v>
      </c>
      <c r="P693" s="15" t="n">
        <f aca="false">N693*$E$2*(1+$I$670)/($F$670-$I$670)/(1+$F$670)^$N$3</f>
        <v>76577.7271498779</v>
      </c>
      <c r="Q693" s="15" t="n">
        <f aca="false">O693+P693</f>
        <v>132470.000425595</v>
      </c>
      <c r="R693" s="15" t="n">
        <f aca="false">Q693-$G$2+$I$2</f>
        <v>120850.000425595</v>
      </c>
      <c r="S693" s="40" t="n">
        <f aca="false">R693/$K$2</f>
        <v>409.98066433353</v>
      </c>
      <c r="T693" s="41" t="n">
        <f aca="false">S693-$M$2</f>
        <v>1.44381948530281E-006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0.156813621520996</v>
      </c>
      <c r="C694" s="25" t="n">
        <f aca="false">IF(T693&gt;0,D693,C693)</f>
        <v>0.156813979148865</v>
      </c>
      <c r="D694" s="39" t="n">
        <f aca="false">(B694+C694)/2</f>
        <v>0.15681380033493</v>
      </c>
      <c r="E694" s="15" t="n">
        <f aca="false">$C$2*(1+IF(E$3&lt;=$O$2,$D694,$D694-($D694-$I$670)*MIN(E$3-$O$2,$Q$2)/$Q$2))</f>
        <v>16562.1031793952</v>
      </c>
      <c r="F694" s="15" t="n">
        <f aca="false">E694*(1+IF(F$3&lt;=$O$2,$D694,$D694-($D694-$I$670)*MIN(F$3-$O$2,$Q$2)/$Q$2))</f>
        <v>19159.2695204954</v>
      </c>
      <c r="G694" s="15" t="n">
        <f aca="false">F694*(1+IF(G$3&lt;=$O$2,$D694,$D694-($D694-$I$670)*MIN(G$3-$O$2,$Q$2)/$Q$2))</f>
        <v>22163.7073856455</v>
      </c>
      <c r="H694" s="15" t="n">
        <f aca="false">G694*(1+IF(H$3&lt;=$O$2,$D694,$D694-($D694-$I$670)*MIN(H$3-$O$2,$Q$2)/$Q$2))</f>
        <v>25639.2825702999</v>
      </c>
      <c r="I694" s="15" t="n">
        <f aca="false">H694*(1+IF(I$3&lt;=$O$2,$D694,$D694-($D694-$I$670)*MIN(I$3-$O$2,$Q$2)/$Q$2))</f>
        <v>29659.8759080098</v>
      </c>
      <c r="J694" s="15" t="n">
        <f aca="false">I694*(1+IF(J$3&lt;=$O$2,$D694,$D694-($D694-$I$670)*MIN(J$3-$O$2,$Q$2)/$Q$2))</f>
        <v>33578.2729684351</v>
      </c>
      <c r="K694" s="15" t="n">
        <f aca="false">J694*(1+IF(K$3&lt;=$O$2,$D694,$D694-($D694-$I$670)*MIN(K$3-$O$2,$Q$2)/$Q$2))</f>
        <v>37184.857520093</v>
      </c>
      <c r="L694" s="15" t="n">
        <f aca="false">K694*(1+IF(L$3&lt;=$O$2,$D694,$D694-($D694-$I$670)*MIN(L$3-$O$2,$Q$2)/$Q$2))</f>
        <v>40260.2505024</v>
      </c>
      <c r="M694" s="15" t="n">
        <f aca="false">L694*(1+IF(M$3&lt;=$O$2,$D694,$D694-($D694-$I$670)*MIN(M$3-$O$2,$Q$2)/$Q$2))</f>
        <v>42595.4561525274</v>
      </c>
      <c r="N694" s="15" t="n">
        <f aca="false">M694*(1+IF(N$3&lt;=$O$2,$D694,$D694-($D694-$I$670)*MIN(N$3-$O$2,$Q$2)/$Q$2))</f>
        <v>44013.8848424066</v>
      </c>
      <c r="O694" s="15" t="n">
        <f aca="false">SUMPRODUCT(E694:N694,1/(1+$F$670)^$E$3:$N$3)*$E$2</f>
        <v>55892.2306423551</v>
      </c>
      <c r="P694" s="15" t="n">
        <f aca="false">N694*$E$2*(1+$I$670)/($F$670-$I$670)/(1+$F$670)^$N$3</f>
        <v>76577.643222509</v>
      </c>
      <c r="Q694" s="15" t="n">
        <f aca="false">O694+P694</f>
        <v>132469.873864864</v>
      </c>
      <c r="R694" s="15" t="n">
        <f aca="false">Q694-$G$2+$I$2</f>
        <v>120849.873864864</v>
      </c>
      <c r="S694" s="40" t="n">
        <f aca="false">R694/$K$2</f>
        <v>409.980234979354</v>
      </c>
      <c r="T694" s="41" t="n">
        <f aca="false">S694-$M$2</f>
        <v>-0.00042791035684786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0.15681380033493</v>
      </c>
      <c r="C695" s="25" t="n">
        <f aca="false">IF(T694&gt;0,D694,C694)</f>
        <v>0.156813979148865</v>
      </c>
      <c r="D695" s="39" t="n">
        <f aca="false">(B695+C695)/2</f>
        <v>0.156813889741898</v>
      </c>
      <c r="E695" s="15" t="n">
        <f aca="false">$C$2*(1+IF(E$3&lt;=$O$2,$D695,$D695-($D695-$I$670)*MIN(E$3-$O$2,$Q$2)/$Q$2))</f>
        <v>16562.1044594347</v>
      </c>
      <c r="F695" s="15" t="n">
        <f aca="false">E695*(1+IF(F$3&lt;=$O$2,$D695,$D695-($D695-$I$670)*MIN(F$3-$O$2,$Q$2)/$Q$2))</f>
        <v>19159.2724820303</v>
      </c>
      <c r="G695" s="15" t="n">
        <f aca="false">F695*(1+IF(G$3&lt;=$O$2,$D695,$D695-($D695-$I$670)*MIN(G$3-$O$2,$Q$2)/$Q$2))</f>
        <v>22163.7125245624</v>
      </c>
      <c r="H695" s="15" t="n">
        <f aca="false">G695*(1+IF(H$3&lt;=$O$2,$D695,$D695-($D695-$I$670)*MIN(H$3-$O$2,$Q$2)/$Q$2))</f>
        <v>25639.2904966603</v>
      </c>
      <c r="I695" s="15" t="n">
        <f aca="false">H695*(1+IF(I$3&lt;=$O$2,$D695,$D695-($D695-$I$670)*MIN(I$3-$O$2,$Q$2)/$Q$2))</f>
        <v>29659.887369664</v>
      </c>
      <c r="J695" s="15" t="n">
        <f aca="false">I695*(1+IF(J$3&lt;=$O$2,$D695,$D695-($D695-$I$670)*MIN(J$3-$O$2,$Q$2)/$Q$2))</f>
        <v>33578.2880657409</v>
      </c>
      <c r="K695" s="15" t="n">
        <f aca="false">J695*(1+IF(K$3&lt;=$O$2,$D695,$D695-($D695-$I$670)*MIN(K$3-$O$2,$Q$2)/$Q$2))</f>
        <v>37184.8760402542</v>
      </c>
      <c r="L695" s="15" t="n">
        <f aca="false">K695*(1+IF(L$3&lt;=$O$2,$D695,$D695-($D695-$I$670)*MIN(L$3-$O$2,$Q$2)/$Q$2))</f>
        <v>40260.2718841155</v>
      </c>
      <c r="M695" s="15" t="n">
        <f aca="false">L695*(1+IF(M$3&lt;=$O$2,$D695,$D695-($D695-$I$670)*MIN(M$3-$O$2,$Q$2)/$Q$2))</f>
        <v>42595.4794943512</v>
      </c>
      <c r="N695" s="15" t="n">
        <f aca="false">M695*(1+IF(N$3&lt;=$O$2,$D695,$D695-($D695-$I$670)*MIN(N$3-$O$2,$Q$2)/$Q$2))</f>
        <v>44013.9089615131</v>
      </c>
      <c r="O695" s="15" t="n">
        <f aca="false">SUMPRODUCT(E695:N695,1/(1+$F$670)^$E$3:$N$3)*$E$2</f>
        <v>55892.2519590319</v>
      </c>
      <c r="P695" s="15" t="n">
        <f aca="false">N695*$E$2*(1+$I$670)/($F$670-$I$670)/(1+$F$670)^$N$3</f>
        <v>76577.6851861834</v>
      </c>
      <c r="Q695" s="15" t="n">
        <f aca="false">O695+P695</f>
        <v>132469.937145215</v>
      </c>
      <c r="R695" s="15" t="n">
        <f aca="false">Q695-$G$2+$I$2</f>
        <v>120849.937145215</v>
      </c>
      <c r="S695" s="40" t="n">
        <f aca="false">R695/$K$2</f>
        <v>409.980449656394</v>
      </c>
      <c r="T695" s="41" t="n">
        <f aca="false">S695-$M$2</f>
        <v>-0.000213233316287642</v>
      </c>
    </row>
    <row r="697" customFormat="false" ht="15" hidden="false" customHeight="false" outlineLevel="0" collapsed="false">
      <c r="A697" s="36" t="s">
        <v>199</v>
      </c>
      <c r="E697" s="5" t="s">
        <v>11</v>
      </c>
      <c r="F697" s="12" t="n">
        <f aca="false">Sensitivity!$B$14</f>
        <v>0.104891906448909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6" t="s">
        <v>155</v>
      </c>
      <c r="B698" s="28" t="s">
        <v>156</v>
      </c>
      <c r="C698" s="28" t="s">
        <v>157</v>
      </c>
      <c r="D698" s="28" t="s">
        <v>158</v>
      </c>
      <c r="E698" s="28" t="s">
        <v>159</v>
      </c>
      <c r="F698" s="28" t="s">
        <v>160</v>
      </c>
      <c r="G698" s="28" t="s">
        <v>161</v>
      </c>
      <c r="H698" s="28" t="s">
        <v>162</v>
      </c>
      <c r="I698" s="28" t="s">
        <v>163</v>
      </c>
      <c r="J698" s="28" t="s">
        <v>164</v>
      </c>
      <c r="K698" s="28" t="s">
        <v>165</v>
      </c>
      <c r="L698" s="28" t="s">
        <v>166</v>
      </c>
      <c r="M698" s="28" t="s">
        <v>167</v>
      </c>
      <c r="N698" s="28" t="s">
        <v>168</v>
      </c>
      <c r="O698" s="28" t="s">
        <v>169</v>
      </c>
      <c r="P698" s="28" t="s">
        <v>170</v>
      </c>
      <c r="Q698" s="28" t="s">
        <v>171</v>
      </c>
      <c r="R698" s="28" t="s">
        <v>172</v>
      </c>
      <c r="S698" s="28" t="s">
        <v>173</v>
      </c>
      <c r="T698" s="28" t="s">
        <v>174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39" t="n">
        <f aca="false">(B699+C699)/2</f>
        <v>0.25</v>
      </c>
      <c r="E699" s="15" t="n">
        <f aca="false">$C$2*(1+IF(E$3&lt;=$O$2,$D699,$D699-($D699-$I$697)*MIN(E$3-$O$2,$Q$2)/$Q$2))</f>
        <v>17896.25</v>
      </c>
      <c r="F699" s="15" t="n">
        <f aca="false">E699*(1+IF(F$3&lt;=$O$2,$D699,$D699-($D699-$I$697)*MIN(F$3-$O$2,$Q$2)/$Q$2))</f>
        <v>22370.3125</v>
      </c>
      <c r="G699" s="15" t="n">
        <f aca="false">F699*(1+IF(G$3&lt;=$O$2,$D699,$D699-($D699-$I$697)*MIN(G$3-$O$2,$Q$2)/$Q$2))</f>
        <v>27962.890625</v>
      </c>
      <c r="H699" s="15" t="n">
        <f aca="false">G699*(1+IF(H$3&lt;=$O$2,$D699,$D699-($D699-$I$697)*MIN(H$3-$O$2,$Q$2)/$Q$2))</f>
        <v>34953.61328125</v>
      </c>
      <c r="I699" s="15" t="n">
        <f aca="false">H699*(1+IF(I$3&lt;=$O$2,$D699,$D699-($D699-$I$697)*MIN(I$3-$O$2,$Q$2)/$Q$2))</f>
        <v>43692.0166015625</v>
      </c>
      <c r="J699" s="15" t="n">
        <f aca="false">I699*(1+IF(J$3&lt;=$O$2,$D699,$D699-($D699-$I$697)*MIN(J$3-$O$2,$Q$2)/$Q$2))</f>
        <v>52765.100769043</v>
      </c>
      <c r="K699" s="15" t="n">
        <f aca="false">J699*(1+IF(K$3&lt;=$O$2,$D699,$D699-($D699-$I$697)*MIN(K$3-$O$2,$Q$2)/$Q$2))</f>
        <v>61488.2272281811</v>
      </c>
      <c r="L699" s="15" t="n">
        <f aca="false">K699*(1+IF(L$3&lt;=$O$2,$D699,$D699-($D699-$I$697)*MIN(L$3-$O$2,$Q$2)/$Q$2))</f>
        <v>69050.0494127029</v>
      </c>
      <c r="M699" s="15" t="n">
        <f aca="false">L699*(1+IF(M$3&lt;=$O$2,$D699,$D699-($D699-$I$697)*MIN(M$3-$O$2,$Q$2)/$Q$2))</f>
        <v>74618.2453973432</v>
      </c>
      <c r="N699" s="15" t="n">
        <f aca="false">M699*(1+IF(N$3&lt;=$O$2,$D699,$D699-($D699-$I$697)*MIN(N$3-$O$2,$Q$2)/$Q$2))</f>
        <v>77476.1241960615</v>
      </c>
      <c r="O699" s="15" t="n">
        <f aca="false">SUMPRODUCT(E699:N699,1/(1+$F$697)^$E$3:$N$3)*$E$2</f>
        <v>83314.0070075161</v>
      </c>
      <c r="P699" s="15" t="n">
        <f aca="false">N699*$E$2*(1+$I$697)/($F$697-$I$697)/(1+$F$697)^$N$3</f>
        <v>145619.348553341</v>
      </c>
      <c r="Q699" s="15" t="n">
        <f aca="false">O699+P699</f>
        <v>228933.355560857</v>
      </c>
      <c r="R699" s="15" t="n">
        <f aca="false">Q699-$G$2+$I$2</f>
        <v>217313.355560857</v>
      </c>
      <c r="S699" s="40" t="n">
        <f aca="false">R699/$K$2</f>
        <v>737.23023225178</v>
      </c>
      <c r="T699" s="41" t="n">
        <f aca="false">S699-$M$2</f>
        <v>327.24956936207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39" t="n">
        <f aca="false">(B700+C700)/2</f>
        <v>-0.125</v>
      </c>
      <c r="E700" s="15" t="n">
        <f aca="false">$C$2*(1+IF(E$3&lt;=$O$2,$D700,$D700-($D700-$I$697)*MIN(E$3-$O$2,$Q$2)/$Q$2))</f>
        <v>12527.375</v>
      </c>
      <c r="F700" s="15" t="n">
        <f aca="false">E700*(1+IF(F$3&lt;=$O$2,$D700,$D700-($D700-$I$697)*MIN(F$3-$O$2,$Q$2)/$Q$2))</f>
        <v>10961.453125</v>
      </c>
      <c r="G700" s="15" t="n">
        <f aca="false">F700*(1+IF(G$3&lt;=$O$2,$D700,$D700-($D700-$I$697)*MIN(G$3-$O$2,$Q$2)/$Q$2))</f>
        <v>9591.271484375</v>
      </c>
      <c r="H700" s="15" t="n">
        <f aca="false">G700*(1+IF(H$3&lt;=$O$2,$D700,$D700-($D700-$I$697)*MIN(H$3-$O$2,$Q$2)/$Q$2))</f>
        <v>8392.36254882813</v>
      </c>
      <c r="I700" s="15" t="n">
        <f aca="false">H700*(1+IF(I$3&lt;=$O$2,$D700,$D700-($D700-$I$697)*MIN(I$3-$O$2,$Q$2)/$Q$2))</f>
        <v>7343.31723022461</v>
      </c>
      <c r="J700" s="15" t="n">
        <f aca="false">I700*(1+IF(J$3&lt;=$O$2,$D700,$D700-($D700-$I$697)*MIN(J$3-$O$2,$Q$2)/$Q$2))</f>
        <v>6665.23531718567</v>
      </c>
      <c r="K700" s="15" t="n">
        <f aca="false">J700*(1+IF(K$3&lt;=$O$2,$D700,$D700-($D700-$I$697)*MIN(K$3-$O$2,$Q$2)/$Q$2))</f>
        <v>6267.45407345603</v>
      </c>
      <c r="L700" s="15" t="n">
        <f aca="false">K700*(1+IF(L$3&lt;=$O$2,$D700,$D700-($D700-$I$697)*MIN(L$3-$O$2,$Q$2)/$Q$2))</f>
        <v>6098.10746439125</v>
      </c>
      <c r="M700" s="15" t="n">
        <f aca="false">L700*(1+IF(M$3&lt;=$O$2,$D700,$D700-($D700-$I$697)*MIN(M$3-$O$2,$Q$2)/$Q$2))</f>
        <v>6132.50079049041</v>
      </c>
      <c r="N700" s="15" t="n">
        <f aca="false">M700*(1+IF(N$3&lt;=$O$2,$D700,$D700-($D700-$I$697)*MIN(N$3-$O$2,$Q$2)/$Q$2))</f>
        <v>6367.3755707662</v>
      </c>
      <c r="O700" s="15" t="n">
        <f aca="false">SUMPRODUCT(E700:N700,1/(1+$F$697)^$E$3:$N$3)*$E$2</f>
        <v>16961.1816608655</v>
      </c>
      <c r="P700" s="15" t="n">
        <f aca="false">N700*$E$2*(1+$I$697)/($F$697-$I$697)/(1+$F$697)^$N$3</f>
        <v>11967.7267316964</v>
      </c>
      <c r="Q700" s="15" t="n">
        <f aca="false">O700+P700</f>
        <v>28928.9083925618</v>
      </c>
      <c r="R700" s="15" t="n">
        <f aca="false">Q700-$G$2+$I$2</f>
        <v>17308.9083925618</v>
      </c>
      <c r="S700" s="40" t="n">
        <f aca="false">R700/$K$2</f>
        <v>58.7200474694231</v>
      </c>
      <c r="T700" s="41" t="n">
        <f aca="false">S700-$M$2</f>
        <v>-351.260615420288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39" t="n">
        <f aca="false">(B701+C701)/2</f>
        <v>0.0625</v>
      </c>
      <c r="E701" s="15" t="n">
        <f aca="false">$C$2*(1+IF(E$3&lt;=$O$2,$D701,$D701-($D701-$I$697)*MIN(E$3-$O$2,$Q$2)/$Q$2))</f>
        <v>15211.8125</v>
      </c>
      <c r="F701" s="15" t="n">
        <f aca="false">E701*(1+IF(F$3&lt;=$O$2,$D701,$D701-($D701-$I$697)*MIN(F$3-$O$2,$Q$2)/$Q$2))</f>
        <v>16162.55078125</v>
      </c>
      <c r="G701" s="15" t="n">
        <f aca="false">F701*(1+IF(G$3&lt;=$O$2,$D701,$D701-($D701-$I$697)*MIN(G$3-$O$2,$Q$2)/$Q$2))</f>
        <v>17172.7102050781</v>
      </c>
      <c r="H701" s="15" t="n">
        <f aca="false">G701*(1+IF(H$3&lt;=$O$2,$D701,$D701-($D701-$I$697)*MIN(H$3-$O$2,$Q$2)/$Q$2))</f>
        <v>18246.0045928955</v>
      </c>
      <c r="I701" s="15" t="n">
        <f aca="false">H701*(1+IF(I$3&lt;=$O$2,$D701,$D701-($D701-$I$697)*MIN(I$3-$O$2,$Q$2)/$Q$2))</f>
        <v>19386.3798799515</v>
      </c>
      <c r="J701" s="15" t="n">
        <f aca="false">I701*(1+IF(J$3&lt;=$O$2,$D701,$D701-($D701-$I$697)*MIN(J$3-$O$2,$Q$2)/$Q$2))</f>
        <v>20504.1985438295</v>
      </c>
      <c r="K701" s="15" t="n">
        <f aca="false">J701*(1+IF(K$3&lt;=$O$2,$D701,$D701-($D701-$I$697)*MIN(K$3-$O$2,$Q$2)/$Q$2))</f>
        <v>21587.2303109146</v>
      </c>
      <c r="L701" s="15" t="n">
        <f aca="false">K701*(1+IF(L$3&lt;=$O$2,$D701,$D701-($D701-$I$697)*MIN(L$3-$O$2,$Q$2)/$Q$2))</f>
        <v>22622.9856212322</v>
      </c>
      <c r="M701" s="15" t="n">
        <f aca="false">L701*(1+IF(M$3&lt;=$O$2,$D701,$D701-($D701-$I$697)*MIN(M$3-$O$2,$Q$2)/$Q$2))</f>
        <v>23598.9412209322</v>
      </c>
      <c r="N701" s="15" t="n">
        <f aca="false">M701*(1+IF(N$3&lt;=$O$2,$D701,$D701-($D701-$I$697)*MIN(N$3-$O$2,$Q$2)/$Q$2))</f>
        <v>24502.7806696939</v>
      </c>
      <c r="O701" s="15" t="n">
        <f aca="false">SUMPRODUCT(E701:N701,1/(1+$F$697)^$E$3:$N$3)*$E$2</f>
        <v>37457.8727813636</v>
      </c>
      <c r="P701" s="15" t="n">
        <f aca="false">N701*$E$2*(1+$I$697)/($F$697-$I$697)/(1+$F$697)^$N$3</f>
        <v>46053.9165567553</v>
      </c>
      <c r="Q701" s="15" t="n">
        <f aca="false">O701+P701</f>
        <v>83511.7893381189</v>
      </c>
      <c r="R701" s="15" t="n">
        <f aca="false">Q701-$G$2+$I$2</f>
        <v>71891.7893381189</v>
      </c>
      <c r="S701" s="40" t="n">
        <f aca="false">R701/$K$2</f>
        <v>243.891133216131</v>
      </c>
      <c r="T701" s="41" t="n">
        <f aca="false">S701-$M$2</f>
        <v>-166.08952967358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39" t="n">
        <f aca="false">(B702+C702)/2</f>
        <v>0.15625</v>
      </c>
      <c r="E702" s="15" t="n">
        <f aca="false">$C$2*(1+IF(E$3&lt;=$O$2,$D702,$D702-($D702-$I$697)*MIN(E$3-$O$2,$Q$2)/$Q$2))</f>
        <v>16554.03125</v>
      </c>
      <c r="F702" s="15" t="n">
        <f aca="false">E702*(1+IF(F$3&lt;=$O$2,$D702,$D702-($D702-$I$697)*MIN(F$3-$O$2,$Q$2)/$Q$2))</f>
        <v>19140.5986328125</v>
      </c>
      <c r="G702" s="15" t="n">
        <f aca="false">F702*(1+IF(G$3&lt;=$O$2,$D702,$D702-($D702-$I$697)*MIN(G$3-$O$2,$Q$2)/$Q$2))</f>
        <v>22131.3171691895</v>
      </c>
      <c r="H702" s="15" t="n">
        <f aca="false">G702*(1+IF(H$3&lt;=$O$2,$D702,$D702-($D702-$I$697)*MIN(H$3-$O$2,$Q$2)/$Q$2))</f>
        <v>25589.3354768753</v>
      </c>
      <c r="I702" s="15" t="n">
        <f aca="false">H702*(1+IF(I$3&lt;=$O$2,$D702,$D702-($D702-$I$697)*MIN(I$3-$O$2,$Q$2)/$Q$2))</f>
        <v>29587.6691451371</v>
      </c>
      <c r="J702" s="15" t="n">
        <f aca="false">I702*(1+IF(J$3&lt;=$O$2,$D702,$D702-($D702-$I$697)*MIN(J$3-$O$2,$Q$2)/$Q$2))</f>
        <v>33512.769333931</v>
      </c>
      <c r="K702" s="15" t="n">
        <f aca="false">J702*(1+IF(K$3&lt;=$O$2,$D702,$D702-($D702-$I$697)*MIN(K$3-$O$2,$Q$2)/$Q$2))</f>
        <v>37168.0070851828</v>
      </c>
      <c r="L702" s="15" t="n">
        <f aca="false">K702*(1+IF(L$3&lt;=$O$2,$D702,$D702-($D702-$I$697)*MIN(L$3-$O$2,$Q$2)/$Q$2))</f>
        <v>40345.1283308242</v>
      </c>
      <c r="M702" s="15" t="n">
        <f aca="false">L702*(1+IF(M$3&lt;=$O$2,$D702,$D702-($D702-$I$697)*MIN(M$3-$O$2,$Q$2)/$Q$2))</f>
        <v>42842.0883232189</v>
      </c>
      <c r="N702" s="15" t="n">
        <f aca="false">M702*(1+IF(N$3&lt;=$O$2,$D702,$D702-($D702-$I$697)*MIN(N$3-$O$2,$Q$2)/$Q$2))</f>
        <v>44482.9403059982</v>
      </c>
      <c r="O702" s="15" t="n">
        <f aca="false">SUMPRODUCT(E702:N702,1/(1+$F$697)^$E$3:$N$3)*$E$2</f>
        <v>55939.0825088059</v>
      </c>
      <c r="P702" s="15" t="n">
        <f aca="false">N702*$E$2*(1+$I$697)/($F$697-$I$697)/(1+$F$697)^$N$3</f>
        <v>83607.3933268065</v>
      </c>
      <c r="Q702" s="15" t="n">
        <f aca="false">O702+P702</f>
        <v>139546.475835612</v>
      </c>
      <c r="R702" s="15" t="n">
        <f aca="false">Q702-$G$2+$I$2</f>
        <v>127926.475835612</v>
      </c>
      <c r="S702" s="40" t="n">
        <f aca="false">R702/$K$2</f>
        <v>433.987433713107</v>
      </c>
      <c r="T702" s="41" t="n">
        <f aca="false">S702-$M$2</f>
        <v>24.006770823396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39" t="n">
        <f aca="false">(B703+C703)/2</f>
        <v>0.109375</v>
      </c>
      <c r="E703" s="15" t="n">
        <f aca="false">$C$2*(1+IF(E$3&lt;=$O$2,$D703,$D703-($D703-$I$697)*MIN(E$3-$O$2,$Q$2)/$Q$2))</f>
        <v>15882.921875</v>
      </c>
      <c r="F703" s="15" t="n">
        <f aca="false">E703*(1+IF(F$3&lt;=$O$2,$D703,$D703-($D703-$I$697)*MIN(F$3-$O$2,$Q$2)/$Q$2))</f>
        <v>17620.1164550781</v>
      </c>
      <c r="G703" s="15" t="n">
        <f aca="false">F703*(1+IF(G$3&lt;=$O$2,$D703,$D703-($D703-$I$697)*MIN(G$3-$O$2,$Q$2)/$Q$2))</f>
        <v>19547.3166923523</v>
      </c>
      <c r="H703" s="15" t="n">
        <f aca="false">G703*(1+IF(H$3&lt;=$O$2,$D703,$D703-($D703-$I$697)*MIN(H$3-$O$2,$Q$2)/$Q$2))</f>
        <v>21685.3044555783</v>
      </c>
      <c r="I703" s="15" t="n">
        <f aca="false">H703*(1+IF(I$3&lt;=$O$2,$D703,$D703-($D703-$I$697)*MIN(I$3-$O$2,$Q$2)/$Q$2))</f>
        <v>24057.1346304072</v>
      </c>
      <c r="J703" s="15" t="n">
        <f aca="false">I703*(1+IF(J$3&lt;=$O$2,$D703,$D703-($D703-$I$697)*MIN(J$3-$O$2,$Q$2)/$Q$2))</f>
        <v>26346.4115618368</v>
      </c>
      <c r="K703" s="15" t="n">
        <f aca="false">J703*(1+IF(K$3&lt;=$O$2,$D703,$D703-($D703-$I$697)*MIN(K$3-$O$2,$Q$2)/$Q$2))</f>
        <v>28479.0218457096</v>
      </c>
      <c r="L703" s="15" t="n">
        <f aca="false">K703*(1+IF(L$3&lt;=$O$2,$D703,$D703-($D703-$I$697)*MIN(L$3-$O$2,$Q$2)/$Q$2))</f>
        <v>30379.4269734738</v>
      </c>
      <c r="M703" s="15" t="n">
        <f aca="false">L703*(1+IF(M$3&lt;=$O$2,$D703,$D703-($D703-$I$697)*MIN(M$3-$O$2,$Q$2)/$Q$2))</f>
        <v>31974.8025809858</v>
      </c>
      <c r="N703" s="15" t="n">
        <f aca="false">M703*(1+IF(N$3&lt;=$O$2,$D703,$D703-($D703-$I$697)*MIN(N$3-$O$2,$Q$2)/$Q$2))</f>
        <v>33199.4375198376</v>
      </c>
      <c r="O703" s="15" t="n">
        <f aca="false">SUMPRODUCT(E703:N703,1/(1+$F$697)^$E$3:$N$3)*$E$2</f>
        <v>45778.9543632981</v>
      </c>
      <c r="P703" s="15" t="n">
        <f aca="false">N703*$E$2*(1+$I$697)/($F$697-$I$697)/(1+$F$697)^$N$3</f>
        <v>62399.6168386268</v>
      </c>
      <c r="Q703" s="15" t="n">
        <f aca="false">O703+P703</f>
        <v>108178.571201925</v>
      </c>
      <c r="R703" s="15" t="n">
        <f aca="false">Q703-$G$2+$I$2</f>
        <v>96558.571201925</v>
      </c>
      <c r="S703" s="40" t="n">
        <f aca="false">R703/$K$2</f>
        <v>327.572586090596</v>
      </c>
      <c r="T703" s="41" t="n">
        <f aca="false">S703-$M$2</f>
        <v>-82.4080767991147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0.109375</v>
      </c>
      <c r="C704" s="25" t="n">
        <f aca="false">IF(T703&gt;0,D703,C703)</f>
        <v>0.15625</v>
      </c>
      <c r="D704" s="39" t="n">
        <f aca="false">(B704+C704)/2</f>
        <v>0.1328125</v>
      </c>
      <c r="E704" s="15" t="n">
        <f aca="false">$C$2*(1+IF(E$3&lt;=$O$2,$D704,$D704-($D704-$I$697)*MIN(E$3-$O$2,$Q$2)/$Q$2))</f>
        <v>16218.4765625</v>
      </c>
      <c r="F704" s="15" t="n">
        <f aca="false">E704*(1+IF(F$3&lt;=$O$2,$D704,$D704-($D704-$I$697)*MIN(F$3-$O$2,$Q$2)/$Q$2))</f>
        <v>18372.492980957</v>
      </c>
      <c r="G704" s="15" t="n">
        <f aca="false">F704*(1+IF(G$3&lt;=$O$2,$D704,$D704-($D704-$I$697)*MIN(G$3-$O$2,$Q$2)/$Q$2))</f>
        <v>20812.5897049904</v>
      </c>
      <c r="H704" s="15" t="n">
        <f aca="false">G704*(1+IF(H$3&lt;=$O$2,$D704,$D704-($D704-$I$697)*MIN(H$3-$O$2,$Q$2)/$Q$2))</f>
        <v>23576.7617751844</v>
      </c>
      <c r="I704" s="15" t="n">
        <f aca="false">H704*(1+IF(I$3&lt;=$O$2,$D704,$D704-($D704-$I$697)*MIN(I$3-$O$2,$Q$2)/$Q$2))</f>
        <v>26708.0504484511</v>
      </c>
      <c r="J704" s="15" t="n">
        <f aca="false">I704*(1+IF(J$3&lt;=$O$2,$D704,$D704-($D704-$I$697)*MIN(J$3-$O$2,$Q$2)/$Q$2))</f>
        <v>29750.3644750342</v>
      </c>
      <c r="K704" s="15" t="n">
        <f aca="false">J704*(1+IF(K$3&lt;=$O$2,$D704,$D704-($D704-$I$697)*MIN(K$3-$O$2,$Q$2)/$Q$2))</f>
        <v>32576.872227896</v>
      </c>
      <c r="L704" s="15" t="n">
        <f aca="false">K704*(1+IF(L$3&lt;=$O$2,$D704,$D704-($D704-$I$697)*MIN(L$3-$O$2,$Q$2)/$Q$2))</f>
        <v>35056.1350888</v>
      </c>
      <c r="M704" s="15" t="n">
        <f aca="false">L704*(1+IF(M$3&lt;=$O$2,$D704,$D704-($D704-$I$697)*MIN(M$3-$O$2,$Q$2)/$Q$2))</f>
        <v>37061.4336562171</v>
      </c>
      <c r="N704" s="15" t="n">
        <f aca="false">M704*(1+IF(N$3&lt;=$O$2,$D704,$D704-($D704-$I$697)*MIN(N$3-$O$2,$Q$2)/$Q$2))</f>
        <v>38480.8865652502</v>
      </c>
      <c r="O704" s="15" t="n">
        <f aca="false">SUMPRODUCT(E704:N704,1/(1+$F$697)^$E$3:$N$3)*$E$2</f>
        <v>50607.4528625198</v>
      </c>
      <c r="P704" s="15" t="n">
        <f aca="false">N704*$E$2*(1+$I$697)/($F$697-$I$697)/(1+$F$697)^$N$3</f>
        <v>72326.302993763</v>
      </c>
      <c r="Q704" s="15" t="n">
        <f aca="false">O704+P704</f>
        <v>122933.755856283</v>
      </c>
      <c r="R704" s="15" t="n">
        <f aca="false">Q704-$G$2+$I$2</f>
        <v>111313.755856283</v>
      </c>
      <c r="S704" s="40" t="n">
        <f aca="false">R704/$K$2</f>
        <v>377.629188371553</v>
      </c>
      <c r="T704" s="41" t="n">
        <f aca="false">S704-$M$2</f>
        <v>-32.3514745181572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0.1328125</v>
      </c>
      <c r="C705" s="25" t="n">
        <f aca="false">IF(T704&gt;0,D704,C704)</f>
        <v>0.15625</v>
      </c>
      <c r="D705" s="39" t="n">
        <f aca="false">(B705+C705)/2</f>
        <v>0.14453125</v>
      </c>
      <c r="E705" s="15" t="n">
        <f aca="false">$C$2*(1+IF(E$3&lt;=$O$2,$D705,$D705-($D705-$I$697)*MIN(E$3-$O$2,$Q$2)/$Q$2))</f>
        <v>16386.25390625</v>
      </c>
      <c r="F705" s="15" t="n">
        <f aca="false">E705*(1+IF(F$3&lt;=$O$2,$D705,$D705-($D705-$I$697)*MIN(F$3-$O$2,$Q$2)/$Q$2))</f>
        <v>18754.5796661377</v>
      </c>
      <c r="G705" s="15" t="n">
        <f aca="false">F705*(1+IF(G$3&lt;=$O$2,$D705,$D705-($D705-$I$697)*MIN(G$3-$O$2,$Q$2)/$Q$2))</f>
        <v>21465.2025085092</v>
      </c>
      <c r="H705" s="15" t="n">
        <f aca="false">G705*(1+IF(H$3&lt;=$O$2,$D705,$D705-($D705-$I$697)*MIN(H$3-$O$2,$Q$2)/$Q$2))</f>
        <v>24567.5950585671</v>
      </c>
      <c r="I705" s="15" t="n">
        <f aca="false">H705*(1+IF(I$3&lt;=$O$2,$D705,$D705-($D705-$I$697)*MIN(I$3-$O$2,$Q$2)/$Q$2))</f>
        <v>28118.3802818757</v>
      </c>
      <c r="J705" s="15" t="n">
        <f aca="false">I705*(1+IF(J$3&lt;=$O$2,$D705,$D705-($D705-$I$697)*MIN(J$3-$O$2,$Q$2)/$Q$2))</f>
        <v>31584.9547949267</v>
      </c>
      <c r="K705" s="15" t="n">
        <f aca="false">J705*(1+IF(K$3&lt;=$O$2,$D705,$D705-($D705-$I$697)*MIN(K$3-$O$2,$Q$2)/$Q$2))</f>
        <v>34807.8441010075</v>
      </c>
      <c r="L705" s="15" t="n">
        <f aca="false">K705*(1+IF(L$3&lt;=$O$2,$D705,$D705-($D705-$I$697)*MIN(L$3-$O$2,$Q$2)/$Q$2))</f>
        <v>37620.0568455382</v>
      </c>
      <c r="M705" s="15" t="n">
        <f aca="false">L705*(1+IF(M$3&lt;=$O$2,$D705,$D705-($D705-$I$697)*MIN(M$3-$O$2,$Q$2)/$Q$2))</f>
        <v>39860.1901554768</v>
      </c>
      <c r="N705" s="15" t="n">
        <f aca="false">M705*(1+IF(N$3&lt;=$O$2,$D705,$D705-($D705-$I$697)*MIN(N$3-$O$2,$Q$2)/$Q$2))</f>
        <v>41386.8354384316</v>
      </c>
      <c r="O705" s="15" t="n">
        <f aca="false">SUMPRODUCT(E705:N705,1/(1+$F$697)^$E$3:$N$3)*$E$2</f>
        <v>53207.472967413</v>
      </c>
      <c r="P705" s="15" t="n">
        <f aca="false">N705*$E$2*(1+$I$697)/($F$697-$I$697)/(1+$F$697)^$N$3</f>
        <v>77788.1454159669</v>
      </c>
      <c r="Q705" s="15" t="n">
        <f aca="false">O705+P705</f>
        <v>130995.61838338</v>
      </c>
      <c r="R705" s="15" t="n">
        <f aca="false">Q705-$G$2+$I$2</f>
        <v>119375.61838338</v>
      </c>
      <c r="S705" s="40" t="n">
        <f aca="false">R705/$K$2</f>
        <v>404.978859393357</v>
      </c>
      <c r="T705" s="41" t="n">
        <f aca="false">S705-$M$2</f>
        <v>-5.00180349635338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0.14453125</v>
      </c>
      <c r="C706" s="25" t="n">
        <f aca="false">IF(T705&gt;0,D705,C705)</f>
        <v>0.15625</v>
      </c>
      <c r="D706" s="39" t="n">
        <f aca="false">(B706+C706)/2</f>
        <v>0.150390625</v>
      </c>
      <c r="E706" s="15" t="n">
        <f aca="false">$C$2*(1+IF(E$3&lt;=$O$2,$D706,$D706-($D706-$I$697)*MIN(E$3-$O$2,$Q$2)/$Q$2))</f>
        <v>16470.142578125</v>
      </c>
      <c r="F706" s="15" t="n">
        <f aca="false">E706*(1+IF(F$3&lt;=$O$2,$D706,$D706-($D706-$I$697)*MIN(F$3-$O$2,$Q$2)/$Q$2))</f>
        <v>18947.0976142883</v>
      </c>
      <c r="G706" s="15" t="n">
        <f aca="false">F706*(1+IF(G$3&lt;=$O$2,$D706,$D706-($D706-$I$697)*MIN(G$3-$O$2,$Q$2)/$Q$2))</f>
        <v>21796.5634664372</v>
      </c>
      <c r="H706" s="15" t="n">
        <f aca="false">G706*(1+IF(H$3&lt;=$O$2,$D706,$D706-($D706-$I$697)*MIN(H$3-$O$2,$Q$2)/$Q$2))</f>
        <v>25074.5622690068</v>
      </c>
      <c r="I706" s="15" t="n">
        <f aca="false">H706*(1+IF(I$3&lt;=$O$2,$D706,$D706-($D706-$I$697)*MIN(I$3-$O$2,$Q$2)/$Q$2))</f>
        <v>28845.5413602442</v>
      </c>
      <c r="J706" s="15" t="n">
        <f aca="false">I706*(1+IF(J$3&lt;=$O$2,$D706,$D706-($D706-$I$697)*MIN(J$3-$O$2,$Q$2)/$Q$2))</f>
        <v>32536.977401968</v>
      </c>
      <c r="K706" s="15" t="n">
        <f aca="false">J706*(1+IF(K$3&lt;=$O$2,$D706,$D706-($D706-$I$697)*MIN(K$3-$O$2,$Q$2)/$Q$2))</f>
        <v>35971.3977160219</v>
      </c>
      <c r="L706" s="15" t="n">
        <f aca="false">K706*(1+IF(L$3&lt;=$O$2,$D706,$D706-($D706-$I$697)*MIN(L$3-$O$2,$Q$2)/$Q$2))</f>
        <v>38961.9248293905</v>
      </c>
      <c r="M706" s="15" t="n">
        <f aca="false">L706*(1+IF(M$3&lt;=$O$2,$D706,$D706-($D706-$I$697)*MIN(M$3-$O$2,$Q$2)/$Q$2))</f>
        <v>41327.619851422</v>
      </c>
      <c r="N706" s="15" t="n">
        <f aca="false">M706*(1+IF(N$3&lt;=$O$2,$D706,$D706-($D706-$I$697)*MIN(N$3-$O$2,$Q$2)/$Q$2))</f>
        <v>42910.4676917315</v>
      </c>
      <c r="O706" s="15" t="n">
        <f aca="false">SUMPRODUCT(E706:N706,1/(1+$F$697)^$E$3:$N$3)*$E$2</f>
        <v>54556.4534975444</v>
      </c>
      <c r="P706" s="15" t="n">
        <f aca="false">N706*$E$2*(1+$I$697)/($F$697-$I$697)/(1+$F$697)^$N$3</f>
        <v>80651.8707050498</v>
      </c>
      <c r="Q706" s="15" t="n">
        <f aca="false">O706+P706</f>
        <v>135208.324202594</v>
      </c>
      <c r="R706" s="15" t="n">
        <f aca="false">Q706-$G$2+$I$2</f>
        <v>123588.324202594</v>
      </c>
      <c r="S706" s="40" t="n">
        <f aca="false">R706/$K$2</f>
        <v>419.270360628945</v>
      </c>
      <c r="T706" s="41" t="n">
        <f aca="false">S706-$M$2</f>
        <v>9.28969773923484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0.14453125</v>
      </c>
      <c r="C707" s="25" t="n">
        <f aca="false">IF(T706&gt;0,D706,C706)</f>
        <v>0.150390625</v>
      </c>
      <c r="D707" s="39" t="n">
        <f aca="false">(B707+C707)/2</f>
        <v>0.1474609375</v>
      </c>
      <c r="E707" s="15" t="n">
        <f aca="false">$C$2*(1+IF(E$3&lt;=$O$2,$D707,$D707-($D707-$I$697)*MIN(E$3-$O$2,$Q$2)/$Q$2))</f>
        <v>16428.1982421875</v>
      </c>
      <c r="F707" s="15" t="n">
        <f aca="false">E707*(1+IF(F$3&lt;=$O$2,$D707,$D707-($D707-$I$697)*MIN(F$3-$O$2,$Q$2)/$Q$2))</f>
        <v>18850.7157564163</v>
      </c>
      <c r="G707" s="15" t="n">
        <f aca="false">F707*(1+IF(G$3&lt;=$O$2,$D707,$D707-($D707-$I$697)*MIN(G$3-$O$2,$Q$2)/$Q$2))</f>
        <v>21630.4599744035</v>
      </c>
      <c r="H707" s="15" t="n">
        <f aca="false">G707*(1+IF(H$3&lt;=$O$2,$D707,$D707-($D707-$I$697)*MIN(H$3-$O$2,$Q$2)/$Q$2))</f>
        <v>24820.1078807853</v>
      </c>
      <c r="I707" s="15" t="n">
        <f aca="false">H707*(1+IF(I$3&lt;=$O$2,$D707,$D707-($D707-$I$697)*MIN(I$3-$O$2,$Q$2)/$Q$2))</f>
        <v>28480.104257737</v>
      </c>
      <c r="J707" s="15" t="n">
        <f aca="false">I707*(1+IF(J$3&lt;=$O$2,$D707,$D707-($D707-$I$697)*MIN(J$3-$O$2,$Q$2)/$Q$2))</f>
        <v>32058.0241555062</v>
      </c>
      <c r="K707" s="15" t="n">
        <f aca="false">J707*(1+IF(K$3&lt;=$O$2,$D707,$D707-($D707-$I$697)*MIN(K$3-$O$2,$Q$2)/$Q$2))</f>
        <v>35385.5368633897</v>
      </c>
      <c r="L707" s="15" t="n">
        <f aca="false">K707*(1+IF(L$3&lt;=$O$2,$D707,$D707-($D707-$I$697)*MIN(L$3-$O$2,$Q$2)/$Q$2))</f>
        <v>38285.8902764369</v>
      </c>
      <c r="M707" s="15" t="n">
        <f aca="false">L707*(1+IF(M$3&lt;=$O$2,$D707,$D707-($D707-$I$697)*MIN(M$3-$O$2,$Q$2)/$Q$2))</f>
        <v>40588.104609144</v>
      </c>
      <c r="N707" s="15" t="n">
        <f aca="false">M707*(1+IF(N$3&lt;=$O$2,$D707,$D707-($D707-$I$697)*MIN(N$3-$O$2,$Q$2)/$Q$2))</f>
        <v>42142.6290156742</v>
      </c>
      <c r="O707" s="15" t="n">
        <f aca="false">SUMPRODUCT(E707:N707,1/(1+$F$697)^$E$3:$N$3)*$E$2</f>
        <v>53877.8046939509</v>
      </c>
      <c r="P707" s="15" t="n">
        <f aca="false">N707*$E$2*(1+$I$697)/($F$697-$I$697)/(1+$F$697)^$N$3</f>
        <v>79208.6884477835</v>
      </c>
      <c r="Q707" s="15" t="n">
        <f aca="false">O707+P707</f>
        <v>133086.493141734</v>
      </c>
      <c r="R707" s="15" t="n">
        <f aca="false">Q707-$G$2+$I$2</f>
        <v>121466.493141734</v>
      </c>
      <c r="S707" s="40" t="n">
        <f aca="false">R707/$K$2</f>
        <v>412.072100762406</v>
      </c>
      <c r="T707" s="41" t="n">
        <f aca="false">S707-$M$2</f>
        <v>2.09143787269534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0.14453125</v>
      </c>
      <c r="C708" s="25" t="n">
        <f aca="false">IF(T707&gt;0,D707,C707)</f>
        <v>0.1474609375</v>
      </c>
      <c r="D708" s="39" t="n">
        <f aca="false">(B708+C708)/2</f>
        <v>0.14599609375</v>
      </c>
      <c r="E708" s="15" t="n">
        <f aca="false">$C$2*(1+IF(E$3&lt;=$O$2,$D708,$D708-($D708-$I$697)*MIN(E$3-$O$2,$Q$2)/$Q$2))</f>
        <v>16407.2260742188</v>
      </c>
      <c r="F708" s="15" t="n">
        <f aca="false">E708*(1+IF(F$3&lt;=$O$2,$D708,$D708-($D708-$I$697)*MIN(F$3-$O$2,$Q$2)/$Q$2))</f>
        <v>18802.6169903278</v>
      </c>
      <c r="G708" s="15" t="n">
        <f aca="false">F708*(1+IF(G$3&lt;=$O$2,$D708,$D708-($D708-$I$697)*MIN(G$3-$O$2,$Q$2)/$Q$2))</f>
        <v>21547.7256231931</v>
      </c>
      <c r="H708" s="15" t="n">
        <f aca="false">G708*(1+IF(H$3&lt;=$O$2,$D708,$D708-($D708-$I$697)*MIN(H$3-$O$2,$Q$2)/$Q$2))</f>
        <v>24693.6093933761</v>
      </c>
      <c r="I708" s="15" t="n">
        <f aca="false">H708*(1+IF(I$3&lt;=$O$2,$D708,$D708-($D708-$I$697)*MIN(I$3-$O$2,$Q$2)/$Q$2))</f>
        <v>28298.7799053973</v>
      </c>
      <c r="J708" s="15" t="n">
        <f aca="false">I708*(1+IF(J$3&lt;=$O$2,$D708,$D708-($D708-$I$697)*MIN(J$3-$O$2,$Q$2)/$Q$2))</f>
        <v>31820.7576187358</v>
      </c>
      <c r="K708" s="15" t="n">
        <f aca="false">J708*(1+IF(K$3&lt;=$O$2,$D708,$D708-($D708-$I$697)*MIN(K$3-$O$2,$Q$2)/$Q$2))</f>
        <v>35095.6754129554</v>
      </c>
      <c r="L708" s="15" t="n">
        <f aca="false">K708*(1+IF(L$3&lt;=$O$2,$D708,$D708-($D708-$I$697)*MIN(L$3-$O$2,$Q$2)/$Q$2))</f>
        <v>37951.7066410689</v>
      </c>
      <c r="M708" s="15" t="n">
        <f aca="false">L708*(1+IF(M$3&lt;=$O$2,$D708,$D708-($D708-$I$697)*MIN(M$3-$O$2,$Q$2)/$Q$2))</f>
        <v>40222.7071166997</v>
      </c>
      <c r="N708" s="15" t="n">
        <f aca="false">M708*(1+IF(N$3&lt;=$O$2,$D708,$D708-($D708-$I$697)*MIN(N$3-$O$2,$Q$2)/$Q$2))</f>
        <v>41763.2367992692</v>
      </c>
      <c r="O708" s="15" t="n">
        <f aca="false">SUMPRODUCT(E708:N708,1/(1+$F$697)^$E$3:$N$3)*$E$2</f>
        <v>53541.6050854419</v>
      </c>
      <c r="P708" s="15" t="n">
        <f aca="false">N708*$E$2*(1+$I$697)/($F$697-$I$697)/(1+$F$697)^$N$3</f>
        <v>78495.6062179692</v>
      </c>
      <c r="Q708" s="15" t="n">
        <f aca="false">O708+P708</f>
        <v>132037.211303411</v>
      </c>
      <c r="R708" s="15" t="n">
        <f aca="false">Q708-$G$2+$I$2</f>
        <v>120417.211303411</v>
      </c>
      <c r="S708" s="40" t="n">
        <f aca="false">R708/$K$2</f>
        <v>408.512437844459</v>
      </c>
      <c r="T708" s="41" t="n">
        <f aca="false">S708-$M$2</f>
        <v>-1.46822504525198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0.14599609375</v>
      </c>
      <c r="C709" s="25" t="n">
        <f aca="false">IF(T708&gt;0,D708,C708)</f>
        <v>0.1474609375</v>
      </c>
      <c r="D709" s="39" t="n">
        <f aca="false">(B709+C709)/2</f>
        <v>0.146728515625</v>
      </c>
      <c r="E709" s="15" t="n">
        <f aca="false">$C$2*(1+IF(E$3&lt;=$O$2,$D709,$D709-($D709-$I$697)*MIN(E$3-$O$2,$Q$2)/$Q$2))</f>
        <v>16417.7121582031</v>
      </c>
      <c r="F709" s="15" t="n">
        <f aca="false">E709*(1+IF(F$3&lt;=$O$2,$D709,$D709-($D709-$I$697)*MIN(F$3-$O$2,$Q$2)/$Q$2))</f>
        <v>18826.6586931348</v>
      </c>
      <c r="G709" s="15" t="n">
        <f aca="false">F709*(1+IF(G$3&lt;=$O$2,$D709,$D709-($D709-$I$697)*MIN(G$3-$O$2,$Q$2)/$Q$2))</f>
        <v>21589.066377357</v>
      </c>
      <c r="H709" s="15" t="n">
        <f aca="false">G709*(1+IF(H$3&lt;=$O$2,$D709,$D709-($D709-$I$697)*MIN(H$3-$O$2,$Q$2)/$Q$2))</f>
        <v>24756.7980406361</v>
      </c>
      <c r="I709" s="15" t="n">
        <f aca="false">H709*(1+IF(I$3&lt;=$O$2,$D709,$D709-($D709-$I$697)*MIN(I$3-$O$2,$Q$2)/$Q$2))</f>
        <v>28389.3262687666</v>
      </c>
      <c r="J709" s="15" t="n">
        <f aca="false">I709*(1+IF(J$3&lt;=$O$2,$D709,$D709-($D709-$I$697)*MIN(J$3-$O$2,$Q$2)/$Q$2))</f>
        <v>31939.2074703933</v>
      </c>
      <c r="K709" s="15" t="n">
        <f aca="false">J709*(1+IF(K$3&lt;=$O$2,$D709,$D709-($D709-$I$697)*MIN(K$3-$O$2,$Q$2)/$Q$2))</f>
        <v>35240.3516302616</v>
      </c>
      <c r="L709" s="15" t="n">
        <f aca="false">K709*(1+IF(L$3&lt;=$O$2,$D709,$D709-($D709-$I$697)*MIN(L$3-$O$2,$Q$2)/$Q$2))</f>
        <v>38118.4807046495</v>
      </c>
      <c r="M709" s="15" t="n">
        <f aca="false">L709*(1+IF(M$3&lt;=$O$2,$D709,$D709-($D709-$I$697)*MIN(M$3-$O$2,$Q$2)/$Q$2))</f>
        <v>40405.0445717746</v>
      </c>
      <c r="N709" s="15" t="n">
        <f aca="false">M709*(1+IF(N$3&lt;=$O$2,$D709,$D709-($D709-$I$697)*MIN(N$3-$O$2,$Q$2)/$Q$2))</f>
        <v>41952.5577788736</v>
      </c>
      <c r="O709" s="15" t="n">
        <f aca="false">SUMPRODUCT(E709:N709,1/(1+$F$697)^$E$3:$N$3)*$E$2</f>
        <v>53709.4457194688</v>
      </c>
      <c r="P709" s="15" t="n">
        <f aca="false">N709*$E$2*(1+$I$697)/($F$697-$I$697)/(1+$F$697)^$N$3</f>
        <v>78851.4422642807</v>
      </c>
      <c r="Q709" s="15" t="n">
        <f aca="false">O709+P709</f>
        <v>132560.88798375</v>
      </c>
      <c r="R709" s="15" t="n">
        <f aca="false">Q709-$G$2+$I$2</f>
        <v>120940.88798375</v>
      </c>
      <c r="S709" s="40" t="n">
        <f aca="false">R709/$K$2</f>
        <v>410.288998146859</v>
      </c>
      <c r="T709" s="41" t="n">
        <f aca="false">S709-$M$2</f>
        <v>0.30833525714803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0.14599609375</v>
      </c>
      <c r="C710" s="25" t="n">
        <f aca="false">IF(T709&gt;0,D709,C709)</f>
        <v>0.146728515625</v>
      </c>
      <c r="D710" s="39" t="n">
        <f aca="false">(B710+C710)/2</f>
        <v>0.1463623046875</v>
      </c>
      <c r="E710" s="15" t="n">
        <f aca="false">$C$2*(1+IF(E$3&lt;=$O$2,$D710,$D710-($D710-$I$697)*MIN(E$3-$O$2,$Q$2)/$Q$2))</f>
        <v>16412.4691162109</v>
      </c>
      <c r="F710" s="15" t="n">
        <f aca="false">E710*(1+IF(F$3&lt;=$O$2,$D710,$D710-($D710-$I$697)*MIN(F$3-$O$2,$Q$2)/$Q$2))</f>
        <v>18814.635921672</v>
      </c>
      <c r="G710" s="15" t="n">
        <f aca="false">F710*(1+IF(G$3&lt;=$O$2,$D710,$D710-($D710-$I$697)*MIN(G$3-$O$2,$Q$2)/$Q$2))</f>
        <v>21568.3893970241</v>
      </c>
      <c r="H710" s="15" t="n">
        <f aca="false">G710*(1+IF(H$3&lt;=$O$2,$D710,$D710-($D710-$I$697)*MIN(H$3-$O$2,$Q$2)/$Q$2))</f>
        <v>24725.18857757</v>
      </c>
      <c r="I710" s="15" t="n">
        <f aca="false">H710*(1+IF(I$3&lt;=$O$2,$D710,$D710-($D710-$I$697)*MIN(I$3-$O$2,$Q$2)/$Q$2))</f>
        <v>28344.0241616162</v>
      </c>
      <c r="J710" s="15" t="n">
        <f aca="false">I710*(1+IF(J$3&lt;=$O$2,$D710,$D710-($D710-$I$697)*MIN(J$3-$O$2,$Q$2)/$Q$2))</f>
        <v>31879.9367470241</v>
      </c>
      <c r="K710" s="15" t="n">
        <f aca="false">J710*(1+IF(K$3&lt;=$O$2,$D710,$D710-($D710-$I$697)*MIN(K$3-$O$2,$Q$2)/$Q$2))</f>
        <v>35167.9499873402</v>
      </c>
      <c r="L710" s="15" t="n">
        <f aca="false">K710*(1+IF(L$3&lt;=$O$2,$D710,$D710-($D710-$I$697)*MIN(L$3-$O$2,$Q$2)/$Q$2))</f>
        <v>38035.014362562</v>
      </c>
      <c r="M710" s="15" t="n">
        <f aca="false">L710*(1+IF(M$3&lt;=$O$2,$D710,$D710-($D710-$I$697)*MIN(M$3-$O$2,$Q$2)/$Q$2))</f>
        <v>40313.7856748162</v>
      </c>
      <c r="N710" s="15" t="n">
        <f aca="false">M710*(1+IF(N$3&lt;=$O$2,$D710,$D710-($D710-$I$697)*MIN(N$3-$O$2,$Q$2)/$Q$2))</f>
        <v>41857.8036661617</v>
      </c>
      <c r="O710" s="15" t="n">
        <f aca="false">SUMPRODUCT(E710:N710,1/(1+$F$697)^$E$3:$N$3)*$E$2</f>
        <v>53625.4607017789</v>
      </c>
      <c r="P710" s="15" t="n">
        <f aca="false">N710*$E$2*(1+$I$697)/($F$697-$I$697)/(1+$F$697)^$N$3</f>
        <v>78673.3482732733</v>
      </c>
      <c r="Q710" s="15" t="n">
        <f aca="false">O710+P710</f>
        <v>132298.808975052</v>
      </c>
      <c r="R710" s="15" t="n">
        <f aca="false">Q710-$G$2+$I$2</f>
        <v>120678.808975052</v>
      </c>
      <c r="S710" s="40" t="n">
        <f aca="false">R710/$K$2</f>
        <v>409.399901533576</v>
      </c>
      <c r="T710" s="41" t="n">
        <f aca="false">S710-$M$2</f>
        <v>-0.580761356134644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0.1463623046875</v>
      </c>
      <c r="C711" s="25" t="n">
        <f aca="false">IF(T710&gt;0,D710,C710)</f>
        <v>0.146728515625</v>
      </c>
      <c r="D711" s="39" t="n">
        <f aca="false">(B711+C711)/2</f>
        <v>0.14654541015625</v>
      </c>
      <c r="E711" s="15" t="n">
        <f aca="false">$C$2*(1+IF(E$3&lt;=$O$2,$D711,$D711-($D711-$I$697)*MIN(E$3-$O$2,$Q$2)/$Q$2))</f>
        <v>16415.090637207</v>
      </c>
      <c r="F711" s="15" t="n">
        <f aca="false">E711*(1+IF(F$3&lt;=$O$2,$D711,$D711-($D711-$I$697)*MIN(F$3-$O$2,$Q$2)/$Q$2))</f>
        <v>18820.6468273886</v>
      </c>
      <c r="G711" s="15" t="n">
        <f aca="false">F711*(1+IF(G$3&lt;=$O$2,$D711,$D711-($D711-$I$697)*MIN(G$3-$O$2,$Q$2)/$Q$2))</f>
        <v>21578.7262361141</v>
      </c>
      <c r="H711" s="15" t="n">
        <f aca="false">G711*(1+IF(H$3&lt;=$O$2,$D711,$D711-($D711-$I$697)*MIN(H$3-$O$2,$Q$2)/$Q$2))</f>
        <v>24740.9895230349</v>
      </c>
      <c r="I711" s="15" t="n">
        <f aca="false">H711*(1+IF(I$3&lt;=$O$2,$D711,$D711-($D711-$I$697)*MIN(I$3-$O$2,$Q$2)/$Q$2))</f>
        <v>28366.6679803596</v>
      </c>
      <c r="J711" s="15" t="n">
        <f aca="false">I711*(1+IF(J$3&lt;=$O$2,$D711,$D711-($D711-$I$697)*MIN(J$3-$O$2,$Q$2)/$Q$2))</f>
        <v>31909.5606522475</v>
      </c>
      <c r="K711" s="15" t="n">
        <f aca="false">J711*(1+IF(K$3&lt;=$O$2,$D711,$D711-($D711-$I$697)*MIN(K$3-$O$2,$Q$2)/$Q$2))</f>
        <v>35204.1349136535</v>
      </c>
      <c r="L711" s="15" t="n">
        <f aca="false">K711*(1+IF(L$3&lt;=$O$2,$D711,$D711-($D711-$I$697)*MIN(L$3-$O$2,$Q$2)/$Q$2))</f>
        <v>38076.7276900162</v>
      </c>
      <c r="M711" s="15" t="n">
        <f aca="false">L711*(1+IF(M$3&lt;=$O$2,$D711,$D711-($D711-$I$697)*MIN(M$3-$O$2,$Q$2)/$Q$2))</f>
        <v>40359.3925617865</v>
      </c>
      <c r="N711" s="15" t="n">
        <f aca="false">M711*(1+IF(N$3&lt;=$O$2,$D711,$D711-($D711-$I$697)*MIN(N$3-$O$2,$Q$2)/$Q$2))</f>
        <v>41905.157296903</v>
      </c>
      <c r="O711" s="15" t="n">
        <f aca="false">SUMPRODUCT(E711:N711,1/(1+$F$697)^$E$3:$N$3)*$E$2</f>
        <v>53667.4370239785</v>
      </c>
      <c r="P711" s="15" t="n">
        <f aca="false">N711*$E$2*(1+$I$697)/($F$697-$I$697)/(1+$F$697)^$N$3</f>
        <v>78762.3512394352</v>
      </c>
      <c r="Q711" s="15" t="n">
        <f aca="false">O711+P711</f>
        <v>132429.788263414</v>
      </c>
      <c r="R711" s="15" t="n">
        <f aca="false">Q711-$G$2+$I$2</f>
        <v>120809.788263414</v>
      </c>
      <c r="S711" s="40" t="n">
        <f aca="false">R711/$K$2</f>
        <v>409.844245558957</v>
      </c>
      <c r="T711" s="41" t="n">
        <f aca="false">S711-$M$2</f>
        <v>-0.136417330753716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0.14654541015625</v>
      </c>
      <c r="C712" s="25" t="n">
        <f aca="false">IF(T711&gt;0,D711,C711)</f>
        <v>0.146728515625</v>
      </c>
      <c r="D712" s="39" t="n">
        <f aca="false">(B712+C712)/2</f>
        <v>0.146636962890625</v>
      </c>
      <c r="E712" s="15" t="n">
        <f aca="false">$C$2*(1+IF(E$3&lt;=$O$2,$D712,$D712-($D712-$I$697)*MIN(E$3-$O$2,$Q$2)/$Q$2))</f>
        <v>16416.4013977051</v>
      </c>
      <c r="F712" s="15" t="n">
        <f aca="false">E712*(1+IF(F$3&lt;=$O$2,$D712,$D712-($D712-$I$697)*MIN(F$3-$O$2,$Q$2)/$Q$2))</f>
        <v>18823.652640258</v>
      </c>
      <c r="G712" s="15" t="n">
        <f aca="false">F712*(1+IF(G$3&lt;=$O$2,$D712,$D712-($D712-$I$697)*MIN(G$3-$O$2,$Q$2)/$Q$2))</f>
        <v>21583.8958939335</v>
      </c>
      <c r="H712" s="15" t="n">
        <f aca="false">G712*(1+IF(H$3&lt;=$O$2,$D712,$D712-($D712-$I$697)*MIN(H$3-$O$2,$Q$2)/$Q$2))</f>
        <v>24748.8928351673</v>
      </c>
      <c r="I712" s="15" t="n">
        <f aca="false">H712*(1+IF(I$3&lt;=$O$2,$D712,$D712-($D712-$I$697)*MIN(I$3-$O$2,$Q$2)/$Q$2))</f>
        <v>28377.9953154218</v>
      </c>
      <c r="J712" s="15" t="n">
        <f aca="false">I712*(1+IF(J$3&lt;=$O$2,$D712,$D712-($D712-$I$697)*MIN(J$3-$O$2,$Q$2)/$Q$2))</f>
        <v>31924.3811963202</v>
      </c>
      <c r="K712" s="15" t="n">
        <f aca="false">J712*(1+IF(K$3&lt;=$O$2,$D712,$D712-($D712-$I$697)*MIN(K$3-$O$2,$Q$2)/$Q$2))</f>
        <v>35222.2392967224</v>
      </c>
      <c r="L712" s="15" t="n">
        <f aca="false">K712*(1+IF(L$3&lt;=$O$2,$D712,$D712-($D712-$I$697)*MIN(L$3-$O$2,$Q$2)/$Q$2))</f>
        <v>38097.5992344324</v>
      </c>
      <c r="M712" s="15" t="n">
        <f aca="false">L712*(1+IF(M$3&lt;=$O$2,$D712,$D712-($D712-$I$697)*MIN(M$3-$O$2,$Q$2)/$Q$2))</f>
        <v>40382.2129240077</v>
      </c>
      <c r="N712" s="15" t="n">
        <f aca="false">M712*(1+IF(N$3&lt;=$O$2,$D712,$D712-($D712-$I$697)*MIN(N$3-$O$2,$Q$2)/$Q$2))</f>
        <v>41928.8516789972</v>
      </c>
      <c r="O712" s="15" t="n">
        <f aca="false">SUMPRODUCT(E712:N712,1/(1+$F$697)^$E$3:$N$3)*$E$2</f>
        <v>53688.437323627</v>
      </c>
      <c r="P712" s="15" t="n">
        <f aca="false">N712*$E$2*(1+$I$697)/($F$697-$I$697)/(1+$F$697)^$N$3</f>
        <v>78806.8857398472</v>
      </c>
      <c r="Q712" s="15" t="n">
        <f aca="false">O712+P712</f>
        <v>132495.323063474</v>
      </c>
      <c r="R712" s="15" t="n">
        <f aca="false">Q712-$G$2+$I$2</f>
        <v>120875.323063474</v>
      </c>
      <c r="S712" s="40" t="n">
        <f aca="false">R712/$K$2</f>
        <v>410.066570761863</v>
      </c>
      <c r="T712" s="41" t="n">
        <f aca="false">S712-$M$2</f>
        <v>0.0859078721520632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0.14654541015625</v>
      </c>
      <c r="C713" s="25" t="n">
        <f aca="false">IF(T712&gt;0,D712,C712)</f>
        <v>0.146636962890625</v>
      </c>
      <c r="D713" s="39" t="n">
        <f aca="false">(B713+C713)/2</f>
        <v>0.146591186523438</v>
      </c>
      <c r="E713" s="15" t="n">
        <f aca="false">$C$2*(1+IF(E$3&lt;=$O$2,$D713,$D713-($D713-$I$697)*MIN(E$3-$O$2,$Q$2)/$Q$2))</f>
        <v>16415.7460174561</v>
      </c>
      <c r="F713" s="15" t="n">
        <f aca="false">E713*(1+IF(F$3&lt;=$O$2,$D713,$D713-($D713-$I$697)*MIN(F$3-$O$2,$Q$2)/$Q$2))</f>
        <v>18822.1497038223</v>
      </c>
      <c r="G713" s="15" t="n">
        <f aca="false">F713*(1+IF(G$3&lt;=$O$2,$D713,$D713-($D713-$I$697)*MIN(G$3-$O$2,$Q$2)/$Q$2))</f>
        <v>21581.3109618274</v>
      </c>
      <c r="H713" s="15" t="n">
        <f aca="false">G713*(1+IF(H$3&lt;=$O$2,$D713,$D713-($D713-$I$697)*MIN(H$3-$O$2,$Q$2)/$Q$2))</f>
        <v>24744.940942453</v>
      </c>
      <c r="I713" s="15" t="n">
        <f aca="false">H713*(1+IF(I$3&lt;=$O$2,$D713,$D713-($D713-$I$697)*MIN(I$3-$O$2,$Q$2)/$Q$2))</f>
        <v>28372.3311956595</v>
      </c>
      <c r="J713" s="15" t="n">
        <f aca="false">I713*(1+IF(J$3&lt;=$O$2,$D713,$D713-($D713-$I$697)*MIN(J$3-$O$2,$Q$2)/$Q$2))</f>
        <v>31916.9702081444</v>
      </c>
      <c r="K713" s="15" t="n">
        <f aca="false">J713*(1+IF(K$3&lt;=$O$2,$D713,$D713-($D713-$I$697)*MIN(K$3-$O$2,$Q$2)/$Q$2))</f>
        <v>35213.1861115603</v>
      </c>
      <c r="L713" s="15" t="n">
        <f aca="false">K713*(1+IF(L$3&lt;=$O$2,$D713,$D713-($D713-$I$697)*MIN(L$3-$O$2,$Q$2)/$Q$2))</f>
        <v>38087.1622217496</v>
      </c>
      <c r="M713" s="15" t="n">
        <f aca="false">L713*(1+IF(M$3&lt;=$O$2,$D713,$D713-($D713-$I$697)*MIN(M$3-$O$2,$Q$2)/$Q$2))</f>
        <v>40370.8013325034</v>
      </c>
      <c r="N713" s="15" t="n">
        <f aca="false">M713*(1+IF(N$3&lt;=$O$2,$D713,$D713-($D713-$I$697)*MIN(N$3-$O$2,$Q$2)/$Q$2))</f>
        <v>41917.0030235383</v>
      </c>
      <c r="O713" s="15" t="n">
        <f aca="false">SUMPRODUCT(E713:N713,1/(1+$F$697)^$E$3:$N$3)*$E$2</f>
        <v>53677.936161958</v>
      </c>
      <c r="P713" s="15" t="n">
        <f aca="false">N713*$E$2*(1+$I$697)/($F$697-$I$697)/(1+$F$697)^$N$3</f>
        <v>78784.6157372231</v>
      </c>
      <c r="Q713" s="15" t="n">
        <f aca="false">O713+P713</f>
        <v>132462.551899181</v>
      </c>
      <c r="R713" s="15" t="n">
        <f aca="false">Q713-$G$2+$I$2</f>
        <v>120842.551899181</v>
      </c>
      <c r="S713" s="40" t="n">
        <f aca="false">R713/$K$2</f>
        <v>409.95539539024</v>
      </c>
      <c r="T713" s="41" t="n">
        <f aca="false">S713-$M$2</f>
        <v>-0.0252674994702602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0.146591186523438</v>
      </c>
      <c r="C714" s="25" t="n">
        <f aca="false">IF(T713&gt;0,D713,C713)</f>
        <v>0.146636962890625</v>
      </c>
      <c r="D714" s="39" t="n">
        <f aca="false">(B714+C714)/2</f>
        <v>0.146614074707031</v>
      </c>
      <c r="E714" s="15" t="n">
        <f aca="false">$C$2*(1+IF(E$3&lt;=$O$2,$D714,$D714-($D714-$I$697)*MIN(E$3-$O$2,$Q$2)/$Q$2))</f>
        <v>16416.0737075806</v>
      </c>
      <c r="F714" s="15" t="n">
        <f aca="false">E714*(1+IF(F$3&lt;=$O$2,$D714,$D714-($D714-$I$697)*MIN(F$3-$O$2,$Q$2)/$Q$2))</f>
        <v>18822.9011645399</v>
      </c>
      <c r="G714" s="15" t="n">
        <f aca="false">F714*(1+IF(G$3&lt;=$O$2,$D714,$D714-($D714-$I$697)*MIN(G$3-$O$2,$Q$2)/$Q$2))</f>
        <v>21582.6034020808</v>
      </c>
      <c r="H714" s="15" t="n">
        <f aca="false">G714*(1+IF(H$3&lt;=$O$2,$D714,$D714-($D714-$I$697)*MIN(H$3-$O$2,$Q$2)/$Q$2))</f>
        <v>24746.9168296457</v>
      </c>
      <c r="I714" s="15" t="n">
        <f aca="false">H714*(1+IF(I$3&lt;=$O$2,$D714,$D714-($D714-$I$697)*MIN(I$3-$O$2,$Q$2)/$Q$2))</f>
        <v>28375.1631424761</v>
      </c>
      <c r="J714" s="15" t="n">
        <f aca="false">I714*(1+IF(J$3&lt;=$O$2,$D714,$D714-($D714-$I$697)*MIN(J$3-$O$2,$Q$2)/$Q$2))</f>
        <v>31920.6755231836</v>
      </c>
      <c r="K714" s="15" t="n">
        <f aca="false">J714*(1+IF(K$3&lt;=$O$2,$D714,$D714-($D714-$I$697)*MIN(K$3-$O$2,$Q$2)/$Q$2))</f>
        <v>35217.7124557118</v>
      </c>
      <c r="L714" s="15" t="n">
        <f aca="false">K714*(1+IF(L$3&lt;=$O$2,$D714,$D714-($D714-$I$697)*MIN(L$3-$O$2,$Q$2)/$Q$2))</f>
        <v>38092.380417941</v>
      </c>
      <c r="M714" s="15" t="n">
        <f aca="false">L714*(1+IF(M$3&lt;=$O$2,$D714,$D714-($D714-$I$697)*MIN(M$3-$O$2,$Q$2)/$Q$2))</f>
        <v>40376.5067756197</v>
      </c>
      <c r="N714" s="15" t="n">
        <f aca="false">M714*(1+IF(N$3&lt;=$O$2,$D714,$D714-($D714-$I$697)*MIN(N$3-$O$2,$Q$2)/$Q$2))</f>
        <v>41922.9269851259</v>
      </c>
      <c r="O714" s="15" t="n">
        <f aca="false">SUMPRODUCT(E714:N714,1/(1+$F$697)^$E$3:$N$3)*$E$2</f>
        <v>53683.1864898089</v>
      </c>
      <c r="P714" s="15" t="n">
        <f aca="false">N714*$E$2*(1+$I$697)/($F$697-$I$697)/(1+$F$697)^$N$3</f>
        <v>78795.7500503576</v>
      </c>
      <c r="Q714" s="15" t="n">
        <f aca="false">O714+P714</f>
        <v>132478.936540167</v>
      </c>
      <c r="R714" s="15" t="n">
        <f aca="false">Q714-$G$2+$I$2</f>
        <v>120858.936540167</v>
      </c>
      <c r="S714" s="40" t="n">
        <f aca="false">R714/$K$2</f>
        <v>410.010979883185</v>
      </c>
      <c r="T714" s="41" t="n">
        <f aca="false">S714-$M$2</f>
        <v>0.0303169934746279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0.146591186523438</v>
      </c>
      <c r="C715" s="25" t="n">
        <f aca="false">IF(T714&gt;0,D714,C714)</f>
        <v>0.146614074707031</v>
      </c>
      <c r="D715" s="39" t="n">
        <f aca="false">(B715+C715)/2</f>
        <v>0.146602630615234</v>
      </c>
      <c r="E715" s="15" t="n">
        <f aca="false">$C$2*(1+IF(E$3&lt;=$O$2,$D715,$D715-($D715-$I$697)*MIN(E$3-$O$2,$Q$2)/$Q$2))</f>
        <v>16415.9098625183</v>
      </c>
      <c r="F715" s="15" t="n">
        <f aca="false">E715*(1+IF(F$3&lt;=$O$2,$D715,$D715-($D715-$I$697)*MIN(F$3-$O$2,$Q$2)/$Q$2))</f>
        <v>18822.5254323061</v>
      </c>
      <c r="G715" s="15" t="n">
        <f aca="false">F715*(1+IF(G$3&lt;=$O$2,$D715,$D715-($D715-$I$697)*MIN(G$3-$O$2,$Q$2)/$Q$2))</f>
        <v>21581.9571755043</v>
      </c>
      <c r="H715" s="15" t="n">
        <f aca="false">G715*(1+IF(H$3&lt;=$O$2,$D715,$D715-($D715-$I$697)*MIN(H$3-$O$2,$Q$2)/$Q$2))</f>
        <v>24745.9288712585</v>
      </c>
      <c r="I715" s="15" t="n">
        <f aca="false">H715*(1+IF(I$3&lt;=$O$2,$D715,$D715-($D715-$I$697)*MIN(I$3-$O$2,$Q$2)/$Q$2))</f>
        <v>28373.7471408025</v>
      </c>
      <c r="J715" s="15" t="n">
        <f aca="false">I715*(1+IF(J$3&lt;=$O$2,$D715,$D715-($D715-$I$697)*MIN(J$3-$O$2,$Q$2)/$Q$2))</f>
        <v>31918.8228209036</v>
      </c>
      <c r="K715" s="15" t="n">
        <f aca="false">J715*(1+IF(K$3&lt;=$O$2,$D715,$D715-($D715-$I$697)*MIN(K$3-$O$2,$Q$2)/$Q$2))</f>
        <v>35215.4492215314</v>
      </c>
      <c r="L715" s="15" t="n">
        <f aca="false">K715*(1+IF(L$3&lt;=$O$2,$D715,$D715-($D715-$I$697)*MIN(L$3-$O$2,$Q$2)/$Q$2))</f>
        <v>38089.7712423117</v>
      </c>
      <c r="M715" s="15" t="n">
        <f aca="false">L715*(1+IF(M$3&lt;=$O$2,$D715,$D715-($D715-$I$697)*MIN(M$3-$O$2,$Q$2)/$Q$2))</f>
        <v>40373.6539659072</v>
      </c>
      <c r="N715" s="15" t="n">
        <f aca="false">M715*(1+IF(N$3&lt;=$O$2,$D715,$D715-($D715-$I$697)*MIN(N$3-$O$2,$Q$2)/$Q$2))</f>
        <v>41919.9649128015</v>
      </c>
      <c r="O715" s="15" t="n">
        <f aca="false">SUMPRODUCT(E715:N715,1/(1+$F$697)^$E$3:$N$3)*$E$2</f>
        <v>53680.5612626404</v>
      </c>
      <c r="P715" s="15" t="n">
        <f aca="false">N715*$E$2*(1+$I$697)/($F$697-$I$697)/(1+$F$697)^$N$3</f>
        <v>78790.1827217551</v>
      </c>
      <c r="Q715" s="15" t="n">
        <f aca="false">O715+P715</f>
        <v>132470.743984395</v>
      </c>
      <c r="R715" s="15" t="n">
        <f aca="false">Q715-$G$2+$I$2</f>
        <v>120850.743984395</v>
      </c>
      <c r="S715" s="40" t="n">
        <f aca="false">R715/$K$2</f>
        <v>409.983186838537</v>
      </c>
      <c r="T715" s="41" t="n">
        <f aca="false">S715-$M$2</f>
        <v>0.00252394882608087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0.146591186523438</v>
      </c>
      <c r="C716" s="25" t="n">
        <f aca="false">IF(T715&gt;0,D715,C715)</f>
        <v>0.146602630615234</v>
      </c>
      <c r="D716" s="39" t="n">
        <f aca="false">(B716+C716)/2</f>
        <v>0.146596908569336</v>
      </c>
      <c r="E716" s="15" t="n">
        <f aca="false">$C$2*(1+IF(E$3&lt;=$O$2,$D716,$D716-($D716-$I$697)*MIN(E$3-$O$2,$Q$2)/$Q$2))</f>
        <v>16415.8279399872</v>
      </c>
      <c r="F716" s="15" t="n">
        <f aca="false">E716*(1+IF(F$3&lt;=$O$2,$D716,$D716-($D716-$I$697)*MIN(F$3-$O$2,$Q$2)/$Q$2))</f>
        <v>18822.3375675954</v>
      </c>
      <c r="G716" s="15" t="n">
        <f aca="false">F716*(1+IF(G$3&lt;=$O$2,$D716,$D716-($D716-$I$697)*MIN(G$3-$O$2,$Q$2)/$Q$2))</f>
        <v>21581.6340670534</v>
      </c>
      <c r="H716" s="15" t="n">
        <f aca="false">G716*(1+IF(H$3&lt;=$O$2,$D716,$D716-($D716-$I$697)*MIN(H$3-$O$2,$Q$2)/$Q$2))</f>
        <v>24745.4349031581</v>
      </c>
      <c r="I716" s="15" t="n">
        <f aca="false">H716*(1+IF(I$3&lt;=$O$2,$D716,$D716-($D716-$I$697)*MIN(I$3-$O$2,$Q$2)/$Q$2))</f>
        <v>28373.0391611648</v>
      </c>
      <c r="J716" s="15" t="n">
        <f aca="false">I716*(1+IF(J$3&lt;=$O$2,$D716,$D716-($D716-$I$697)*MIN(J$3-$O$2,$Q$2)/$Q$2))</f>
        <v>31917.8965033341</v>
      </c>
      <c r="K716" s="15" t="n">
        <f aca="false">J716*(1+IF(K$3&lt;=$O$2,$D716,$D716-($D716-$I$697)*MIN(K$3-$O$2,$Q$2)/$Q$2))</f>
        <v>35214.3176510201</v>
      </c>
      <c r="L716" s="15" t="n">
        <f aca="false">K716*(1+IF(L$3&lt;=$O$2,$D716,$D716-($D716-$I$697)*MIN(L$3-$O$2,$Q$2)/$Q$2))</f>
        <v>38088.4667126478</v>
      </c>
      <c r="M716" s="15" t="n">
        <f aca="false">L716*(1+IF(M$3&lt;=$O$2,$D716,$D716-($D716-$I$697)*MIN(M$3-$O$2,$Q$2)/$Q$2))</f>
        <v>40372.2276271673</v>
      </c>
      <c r="N716" s="15" t="n">
        <f aca="false">M716*(1+IF(N$3&lt;=$O$2,$D716,$D716-($D716-$I$697)*MIN(N$3-$O$2,$Q$2)/$Q$2))</f>
        <v>41918.4839452878</v>
      </c>
      <c r="O716" s="15" t="n">
        <f aca="false">SUMPRODUCT(E716:N716,1/(1+$F$697)^$E$3:$N$3)*$E$2</f>
        <v>53679.2486964888</v>
      </c>
      <c r="P716" s="15" t="n">
        <f aca="false">N716*$E$2*(1+$I$697)/($F$697-$I$697)/(1+$F$697)^$N$3</f>
        <v>78787.3991864814</v>
      </c>
      <c r="Q716" s="15" t="n">
        <f aca="false">O716+P716</f>
        <v>132466.64788297</v>
      </c>
      <c r="R716" s="15" t="n">
        <f aca="false">Q716-$G$2+$I$2</f>
        <v>120846.64788297</v>
      </c>
      <c r="S716" s="40" t="n">
        <f aca="false">R716/$K$2</f>
        <v>409.96929091485</v>
      </c>
      <c r="T716" s="41" t="n">
        <f aca="false">S716-$M$2</f>
        <v>-0.0113719748609924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0.146596908569336</v>
      </c>
      <c r="C717" s="25" t="n">
        <f aca="false">IF(T716&gt;0,D716,C716)</f>
        <v>0.146602630615234</v>
      </c>
      <c r="D717" s="39" t="n">
        <f aca="false">(B717+C717)/2</f>
        <v>0.146599769592285</v>
      </c>
      <c r="E717" s="15" t="n">
        <f aca="false">$C$2*(1+IF(E$3&lt;=$O$2,$D717,$D717-($D717-$I$697)*MIN(E$3-$O$2,$Q$2)/$Q$2))</f>
        <v>16415.8689012527</v>
      </c>
      <c r="F717" s="15" t="n">
        <f aca="false">E717*(1+IF(F$3&lt;=$O$2,$D717,$D717-($D717-$I$697)*MIN(F$3-$O$2,$Q$2)/$Q$2))</f>
        <v>18822.4314998336</v>
      </c>
      <c r="G717" s="15" t="n">
        <f aca="false">F717*(1+IF(G$3&lt;=$O$2,$D717,$D717-($D717-$I$697)*MIN(G$3-$O$2,$Q$2)/$Q$2))</f>
        <v>21581.7956208757</v>
      </c>
      <c r="H717" s="15" t="n">
        <f aca="false">G717*(1+IF(H$3&lt;=$O$2,$D717,$D717-($D717-$I$697)*MIN(H$3-$O$2,$Q$2)/$Q$2))</f>
        <v>24745.6818862839</v>
      </c>
      <c r="I717" s="15" t="n">
        <f aca="false">H717*(1+IF(I$3&lt;=$O$2,$D717,$D717-($D717-$I$697)*MIN(I$3-$O$2,$Q$2)/$Q$2))</f>
        <v>28373.3931492171</v>
      </c>
      <c r="J717" s="15" t="n">
        <f aca="false">I717*(1+IF(J$3&lt;=$O$2,$D717,$D717-($D717-$I$697)*MIN(J$3-$O$2,$Q$2)/$Q$2))</f>
        <v>31918.3596593213</v>
      </c>
      <c r="K717" s="15" t="n">
        <f aca="false">J717*(1+IF(K$3&lt;=$O$2,$D717,$D717-($D717-$I$697)*MIN(K$3-$O$2,$Q$2)/$Q$2))</f>
        <v>35214.8834323943</v>
      </c>
      <c r="L717" s="15" t="n">
        <f aca="false">K717*(1+IF(L$3&lt;=$O$2,$D717,$D717-($D717-$I$697)*MIN(L$3-$O$2,$Q$2)/$Q$2))</f>
        <v>38089.118972634</v>
      </c>
      <c r="M717" s="15" t="n">
        <f aca="false">L717*(1+IF(M$3&lt;=$O$2,$D717,$D717-($D717-$I$697)*MIN(M$3-$O$2,$Q$2)/$Q$2))</f>
        <v>40372.9407910277</v>
      </c>
      <c r="N717" s="15" t="n">
        <f aca="false">M717*(1+IF(N$3&lt;=$O$2,$D717,$D717-($D717-$I$697)*MIN(N$3-$O$2,$Q$2)/$Q$2))</f>
        <v>41919.2244233241</v>
      </c>
      <c r="O717" s="15" t="n">
        <f aca="false">SUMPRODUCT(E717:N717,1/(1+$F$697)^$E$3:$N$3)*$E$2</f>
        <v>53679.9049756119</v>
      </c>
      <c r="P717" s="15" t="n">
        <f aca="false">N717*$E$2*(1+$I$697)/($F$697-$I$697)/(1+$F$697)^$N$3</f>
        <v>78788.7909433662</v>
      </c>
      <c r="Q717" s="15" t="n">
        <f aca="false">O717+P717</f>
        <v>132468.695918978</v>
      </c>
      <c r="R717" s="15" t="n">
        <f aca="false">Q717-$G$2+$I$2</f>
        <v>120848.695918978</v>
      </c>
      <c r="S717" s="40" t="n">
        <f aca="false">R717/$K$2</f>
        <v>409.976238826808</v>
      </c>
      <c r="T717" s="41" t="n">
        <f aca="false">S717-$M$2</f>
        <v>-0.00442406290284225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0.146599769592285</v>
      </c>
      <c r="C718" s="25" t="n">
        <f aca="false">IF(T717&gt;0,D717,C717)</f>
        <v>0.146602630615234</v>
      </c>
      <c r="D718" s="39" t="n">
        <f aca="false">(B718+C718)/2</f>
        <v>0.14660120010376</v>
      </c>
      <c r="E718" s="15" t="n">
        <f aca="false">$C$2*(1+IF(E$3&lt;=$O$2,$D718,$D718-($D718-$I$697)*MIN(E$3-$O$2,$Q$2)/$Q$2))</f>
        <v>16415.8893818855</v>
      </c>
      <c r="F718" s="15" t="n">
        <f aca="false">E718*(1+IF(F$3&lt;=$O$2,$D718,$D718-($D718-$I$697)*MIN(F$3-$O$2,$Q$2)/$Q$2))</f>
        <v>18822.4784660405</v>
      </c>
      <c r="G718" s="15" t="n">
        <f aca="false">F718*(1+IF(G$3&lt;=$O$2,$D718,$D718-($D718-$I$697)*MIN(G$3-$O$2,$Q$2)/$Q$2))</f>
        <v>21581.8763980892</v>
      </c>
      <c r="H718" s="15" t="n">
        <f aca="false">G718*(1+IF(H$3&lt;=$O$2,$D718,$D718-($D718-$I$697)*MIN(H$3-$O$2,$Q$2)/$Q$2))</f>
        <v>24745.8053785401</v>
      </c>
      <c r="I718" s="15" t="n">
        <f aca="false">H718*(1+IF(I$3&lt;=$O$2,$D718,$D718-($D718-$I$697)*MIN(I$3-$O$2,$Q$2)/$Q$2))</f>
        <v>28373.5701445682</v>
      </c>
      <c r="J718" s="15" t="n">
        <f aca="false">I718*(1+IF(J$3&lt;=$O$2,$D718,$D718-($D718-$I$697)*MIN(J$3-$O$2,$Q$2)/$Q$2))</f>
        <v>31918.5912394131</v>
      </c>
      <c r="K718" s="15" t="n">
        <f aca="false">J718*(1+IF(K$3&lt;=$O$2,$D718,$D718-($D718-$I$697)*MIN(K$3-$O$2,$Q$2)/$Q$2))</f>
        <v>35215.1663259925</v>
      </c>
      <c r="L718" s="15" t="n">
        <f aca="false">K718*(1+IF(L$3&lt;=$O$2,$D718,$D718-($D718-$I$697)*MIN(L$3-$O$2,$Q$2)/$Q$2))</f>
        <v>38089.4451062614</v>
      </c>
      <c r="M718" s="15" t="n">
        <f aca="false">L718*(1+IF(M$3&lt;=$O$2,$D718,$D718-($D718-$I$697)*MIN(M$3-$O$2,$Q$2)/$Q$2))</f>
        <v>40373.2973770901</v>
      </c>
      <c r="N718" s="15" t="n">
        <f aca="false">M718*(1+IF(N$3&lt;=$O$2,$D718,$D718-($D718-$I$697)*MIN(N$3-$O$2,$Q$2)/$Q$2))</f>
        <v>41919.5946666326</v>
      </c>
      <c r="O718" s="15" t="n">
        <f aca="false">SUMPRODUCT(E718:N718,1/(1+$F$697)^$E$3:$N$3)*$E$2</f>
        <v>53680.233118138</v>
      </c>
      <c r="P718" s="15" t="n">
        <f aca="false">N718*$E$2*(1+$I$697)/($F$697-$I$697)/(1+$F$697)^$N$3</f>
        <v>78789.4868298726</v>
      </c>
      <c r="Q718" s="15" t="n">
        <f aca="false">O718+P718</f>
        <v>132469.719948011</v>
      </c>
      <c r="R718" s="15" t="n">
        <f aca="false">Q718-$G$2+$I$2</f>
        <v>120849.719948011</v>
      </c>
      <c r="S718" s="40" t="n">
        <f aca="false">R718/$K$2</f>
        <v>409.979712820201</v>
      </c>
      <c r="T718" s="41" t="n">
        <f aca="false">S718-$M$2</f>
        <v>-0.000950069509769946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0.14660120010376</v>
      </c>
      <c r="C719" s="25" t="n">
        <f aca="false">IF(T718&gt;0,D718,C718)</f>
        <v>0.146602630615234</v>
      </c>
      <c r="D719" s="39" t="n">
        <f aca="false">(B719+C719)/2</f>
        <v>0.146601915359497</v>
      </c>
      <c r="E719" s="15" t="n">
        <f aca="false">$C$2*(1+IF(E$3&lt;=$O$2,$D719,$D719-($D719-$I$697)*MIN(E$3-$O$2,$Q$2)/$Q$2))</f>
        <v>16415.8996222019</v>
      </c>
      <c r="F719" s="15" t="n">
        <f aca="false">E719*(1+IF(F$3&lt;=$O$2,$D719,$D719-($D719-$I$697)*MIN(F$3-$O$2,$Q$2)/$Q$2))</f>
        <v>18822.501949166</v>
      </c>
      <c r="G719" s="15" t="n">
        <f aca="false">F719*(1+IF(G$3&lt;=$O$2,$D719,$D719-($D719-$I$697)*MIN(G$3-$O$2,$Q$2)/$Q$2))</f>
        <v>21581.9167867716</v>
      </c>
      <c r="H719" s="15" t="n">
        <f aca="false">G719*(1+IF(H$3&lt;=$O$2,$D719,$D719-($D719-$I$697)*MIN(H$3-$O$2,$Q$2)/$Q$2))</f>
        <v>24745.8671248416</v>
      </c>
      <c r="I719" s="15" t="n">
        <f aca="false">H719*(1+IF(I$3&lt;=$O$2,$D719,$D719-($D719-$I$697)*MIN(I$3-$O$2,$Q$2)/$Q$2))</f>
        <v>28373.6586425749</v>
      </c>
      <c r="J719" s="15" t="n">
        <f aca="false">I719*(1+IF(J$3&lt;=$O$2,$D719,$D719-($D719-$I$697)*MIN(J$3-$O$2,$Q$2)/$Q$2))</f>
        <v>31918.7070299835</v>
      </c>
      <c r="K719" s="15" t="n">
        <f aca="false">J719*(1+IF(K$3&lt;=$O$2,$D719,$D719-($D719-$I$697)*MIN(K$3-$O$2,$Q$2)/$Q$2))</f>
        <v>35215.3077735194</v>
      </c>
      <c r="L719" s="15" t="n">
        <f aca="false">K719*(1+IF(L$3&lt;=$O$2,$D719,$D719-($D719-$I$697)*MIN(L$3-$O$2,$Q$2)/$Q$2))</f>
        <v>38089.6081739837</v>
      </c>
      <c r="M719" s="15" t="n">
        <f aca="false">L719*(1+IF(M$3&lt;=$O$2,$D719,$D719-($D719-$I$697)*MIN(M$3-$O$2,$Q$2)/$Q$2))</f>
        <v>40373.4756711543</v>
      </c>
      <c r="N719" s="15" t="n">
        <f aca="false">M719*(1+IF(N$3&lt;=$O$2,$D719,$D719-($D719-$I$697)*MIN(N$3-$O$2,$Q$2)/$Q$2))</f>
        <v>41919.7797893595</v>
      </c>
      <c r="O719" s="15" t="n">
        <f aca="false">SUMPRODUCT(E719:N719,1/(1+$F$697)^$E$3:$N$3)*$E$2</f>
        <v>53680.3971901421</v>
      </c>
      <c r="P719" s="15" t="n">
        <f aca="false">N719*$E$2*(1+$I$697)/($F$697-$I$697)/(1+$F$697)^$N$3</f>
        <v>78789.8347751419</v>
      </c>
      <c r="Q719" s="15" t="n">
        <f aca="false">O719+P719</f>
        <v>132470.231965284</v>
      </c>
      <c r="R719" s="15" t="n">
        <f aca="false">Q719-$G$2+$I$2</f>
        <v>120850.231965284</v>
      </c>
      <c r="S719" s="40" t="n">
        <f aca="false">R719/$K$2</f>
        <v>409.981449826251</v>
      </c>
      <c r="T719" s="41" t="n">
        <f aca="false">S719-$M$2</f>
        <v>0.00078693654035078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0.14660120010376</v>
      </c>
      <c r="C720" s="25" t="n">
        <f aca="false">IF(T719&gt;0,D719,C719)</f>
        <v>0.146601915359497</v>
      </c>
      <c r="D720" s="39" t="n">
        <f aca="false">(B720+C720)/2</f>
        <v>0.146601557731628</v>
      </c>
      <c r="E720" s="15" t="n">
        <f aca="false">$C$2*(1+IF(E$3&lt;=$O$2,$D720,$D720-($D720-$I$697)*MIN(E$3-$O$2,$Q$2)/$Q$2))</f>
        <v>16415.8945020437</v>
      </c>
      <c r="F720" s="15" t="n">
        <f aca="false">E720*(1+IF(F$3&lt;=$O$2,$D720,$D720-($D720-$I$697)*MIN(F$3-$O$2,$Q$2)/$Q$2))</f>
        <v>18822.4902076014</v>
      </c>
      <c r="G720" s="15" t="n">
        <f aca="false">F720*(1+IF(G$3&lt;=$O$2,$D720,$D720-($D720-$I$697)*MIN(G$3-$O$2,$Q$2)/$Q$2))</f>
        <v>21581.8965924241</v>
      </c>
      <c r="H720" s="15" t="n">
        <f aca="false">G720*(1+IF(H$3&lt;=$O$2,$D720,$D720-($D720-$I$697)*MIN(H$3-$O$2,$Q$2)/$Q$2))</f>
        <v>24745.8362516764</v>
      </c>
      <c r="I720" s="15" t="n">
        <f aca="false">H720*(1+IF(I$3&lt;=$O$2,$D720,$D720-($D720-$I$697)*MIN(I$3-$O$2,$Q$2)/$Q$2))</f>
        <v>28373.614393544</v>
      </c>
      <c r="J720" s="15" t="n">
        <f aca="false">I720*(1+IF(J$3&lt;=$O$2,$D720,$D720-($D720-$I$697)*MIN(J$3-$O$2,$Q$2)/$Q$2))</f>
        <v>31918.6491346546</v>
      </c>
      <c r="K720" s="15" t="n">
        <f aca="false">J720*(1+IF(K$3&lt;=$O$2,$D720,$D720-($D720-$I$697)*MIN(K$3-$O$2,$Q$2)/$Q$2))</f>
        <v>35215.2370496953</v>
      </c>
      <c r="L720" s="15" t="n">
        <f aca="false">K720*(1+IF(L$3&lt;=$O$2,$D720,$D720-($D720-$I$697)*MIN(L$3-$O$2,$Q$2)/$Q$2))</f>
        <v>38089.5266400468</v>
      </c>
      <c r="M720" s="15" t="n">
        <f aca="false">L720*(1+IF(M$3&lt;=$O$2,$D720,$D720-($D720-$I$697)*MIN(M$3-$O$2,$Q$2)/$Q$2))</f>
        <v>40373.3865240361</v>
      </c>
      <c r="N720" s="15" t="n">
        <f aca="false">M720*(1+IF(N$3&lt;=$O$2,$D720,$D720-($D720-$I$697)*MIN(N$3-$O$2,$Q$2)/$Q$2))</f>
        <v>41919.6872279067</v>
      </c>
      <c r="O720" s="15" t="n">
        <f aca="false">SUMPRODUCT(E720:N720,1/(1+$F$697)^$E$3:$N$3)*$E$2</f>
        <v>53680.3151540783</v>
      </c>
      <c r="P720" s="15" t="n">
        <f aca="false">N720*$E$2*(1+$I$697)/($F$697-$I$697)/(1+$F$697)^$N$3</f>
        <v>78789.6608023392</v>
      </c>
      <c r="Q720" s="15" t="n">
        <f aca="false">O720+P720</f>
        <v>132469.975956417</v>
      </c>
      <c r="R720" s="15" t="n">
        <f aca="false">Q720-$G$2+$I$2</f>
        <v>120849.975956417</v>
      </c>
      <c r="S720" s="40" t="n">
        <f aca="false">R720/$K$2</f>
        <v>409.980581322446</v>
      </c>
      <c r="T720" s="41" t="n">
        <f aca="false">S720-$M$2</f>
        <v>-8.15672643170728E-005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0.146601557731628</v>
      </c>
      <c r="C721" s="25" t="n">
        <f aca="false">IF(T720&gt;0,D720,C720)</f>
        <v>0.146601915359497</v>
      </c>
      <c r="D721" s="39" t="n">
        <f aca="false">(B721+C721)/2</f>
        <v>0.146601736545563</v>
      </c>
      <c r="E721" s="15" t="n">
        <f aca="false">$C$2*(1+IF(E$3&lt;=$O$2,$D721,$D721-($D721-$I$697)*MIN(E$3-$O$2,$Q$2)/$Q$2))</f>
        <v>16415.8970621228</v>
      </c>
      <c r="F721" s="15" t="n">
        <f aca="false">E721*(1+IF(F$3&lt;=$O$2,$D721,$D721-($D721-$I$697)*MIN(F$3-$O$2,$Q$2)/$Q$2))</f>
        <v>18822.4960783832</v>
      </c>
      <c r="G721" s="15" t="n">
        <f aca="false">F721*(1+IF(G$3&lt;=$O$2,$D721,$D721-($D721-$I$697)*MIN(G$3-$O$2,$Q$2)/$Q$2))</f>
        <v>21581.9066895963</v>
      </c>
      <c r="H721" s="15" t="n">
        <f aca="false">G721*(1+IF(H$3&lt;=$O$2,$D721,$D721-($D721-$I$697)*MIN(H$3-$O$2,$Q$2)/$Q$2))</f>
        <v>24745.8516882554</v>
      </c>
      <c r="I721" s="15" t="n">
        <f aca="false">H721*(1+IF(I$3&lt;=$O$2,$D721,$D721-($D721-$I$697)*MIN(I$3-$O$2,$Q$2)/$Q$2))</f>
        <v>28373.6365180525</v>
      </c>
      <c r="J721" s="15" t="n">
        <f aca="false">I721*(1+IF(J$3&lt;=$O$2,$D721,$D721-($D721-$I$697)*MIN(J$3-$O$2,$Q$2)/$Q$2))</f>
        <v>31918.6780823081</v>
      </c>
      <c r="K721" s="15" t="n">
        <f aca="false">J721*(1+IF(K$3&lt;=$O$2,$D721,$D721-($D721-$I$697)*MIN(K$3-$O$2,$Q$2)/$Q$2))</f>
        <v>35215.2724115922</v>
      </c>
      <c r="L721" s="15" t="n">
        <f aca="false">K721*(1+IF(L$3&lt;=$O$2,$D721,$D721-($D721-$I$697)*MIN(L$3-$O$2,$Q$2)/$Q$2))</f>
        <v>38089.5674069963</v>
      </c>
      <c r="M721" s="15" t="n">
        <f aca="false">L721*(1+IF(M$3&lt;=$O$2,$D721,$D721-($D721-$I$697)*MIN(M$3-$O$2,$Q$2)/$Q$2))</f>
        <v>40373.4310975737</v>
      </c>
      <c r="N721" s="15" t="n">
        <f aca="false">M721*(1+IF(N$3&lt;=$O$2,$D721,$D721-($D721-$I$697)*MIN(N$3-$O$2,$Q$2)/$Q$2))</f>
        <v>41919.7335086108</v>
      </c>
      <c r="O721" s="15" t="n">
        <f aca="false">SUMPRODUCT(E721:N721,1/(1+$F$697)^$E$3:$N$3)*$E$2</f>
        <v>53680.3561720948</v>
      </c>
      <c r="P721" s="15" t="n">
        <f aca="false">N721*$E$2*(1+$I$697)/($F$697-$I$697)/(1+$F$697)^$N$3</f>
        <v>78789.7477886985</v>
      </c>
      <c r="Q721" s="15" t="n">
        <f aca="false">O721+P721</f>
        <v>132470.103960793</v>
      </c>
      <c r="R721" s="15" t="n">
        <f aca="false">Q721-$G$2+$I$2</f>
        <v>120850.103960793</v>
      </c>
      <c r="S721" s="40" t="n">
        <f aca="false">R721/$K$2</f>
        <v>409.981015574154</v>
      </c>
      <c r="T721" s="41" t="n">
        <f aca="false">S721-$M$2</f>
        <v>0.000352684443157614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0.146601557731628</v>
      </c>
      <c r="C722" s="25" t="n">
        <f aca="false">IF(T721&gt;0,D721,C721)</f>
        <v>0.146601736545563</v>
      </c>
      <c r="D722" s="39" t="n">
        <f aca="false">(B722+C722)/2</f>
        <v>0.146601647138596</v>
      </c>
      <c r="E722" s="15" t="n">
        <f aca="false">$C$2*(1+IF(E$3&lt;=$O$2,$D722,$D722-($D722-$I$697)*MIN(E$3-$O$2,$Q$2)/$Q$2))</f>
        <v>16415.8957820833</v>
      </c>
      <c r="F722" s="15" t="n">
        <f aca="false">E722*(1+IF(F$3&lt;=$O$2,$D722,$D722-($D722-$I$697)*MIN(F$3-$O$2,$Q$2)/$Q$2))</f>
        <v>18822.4931429922</v>
      </c>
      <c r="G722" s="15" t="n">
        <f aca="false">F722*(1+IF(G$3&lt;=$O$2,$D722,$D722-($D722-$I$697)*MIN(G$3-$O$2,$Q$2)/$Q$2))</f>
        <v>21581.9016410098</v>
      </c>
      <c r="H722" s="15" t="n">
        <f aca="false">G722*(1+IF(H$3&lt;=$O$2,$D722,$D722-($D722-$I$697)*MIN(H$3-$O$2,$Q$2)/$Q$2))</f>
        <v>24745.843969965</v>
      </c>
      <c r="I722" s="15" t="n">
        <f aca="false">H722*(1+IF(I$3&lt;=$O$2,$D722,$D722-($D722-$I$697)*MIN(I$3-$O$2,$Q$2)/$Q$2))</f>
        <v>28373.6254557965</v>
      </c>
      <c r="J722" s="15" t="n">
        <f aca="false">I722*(1+IF(J$3&lt;=$O$2,$D722,$D722-($D722-$I$697)*MIN(J$3-$O$2,$Q$2)/$Q$2))</f>
        <v>31918.6636084786</v>
      </c>
      <c r="K722" s="15" t="n">
        <f aca="false">J722*(1+IF(K$3&lt;=$O$2,$D722,$D722-($D722-$I$697)*MIN(K$3-$O$2,$Q$2)/$Q$2))</f>
        <v>35215.2547306399</v>
      </c>
      <c r="L722" s="15" t="n">
        <f aca="false">K722*(1+IF(L$3&lt;=$O$2,$D722,$D722-($D722-$I$697)*MIN(L$3-$O$2,$Q$2)/$Q$2))</f>
        <v>38089.5470235169</v>
      </c>
      <c r="M722" s="15" t="n">
        <f aca="false">L722*(1+IF(M$3&lt;=$O$2,$D722,$D722-($D722-$I$697)*MIN(M$3-$O$2,$Q$2)/$Q$2))</f>
        <v>40373.4088107995</v>
      </c>
      <c r="N722" s="15" t="n">
        <f aca="false">M722*(1+IF(N$3&lt;=$O$2,$D722,$D722-($D722-$I$697)*MIN(N$3-$O$2,$Q$2)/$Q$2))</f>
        <v>41919.7103682531</v>
      </c>
      <c r="O722" s="15" t="n">
        <f aca="false">SUMPRODUCT(E722:N722,1/(1+$F$697)^$E$3:$N$3)*$E$2</f>
        <v>53680.3356630827</v>
      </c>
      <c r="P722" s="15" t="n">
        <f aca="false">N722*$E$2*(1+$I$697)/($F$697-$I$697)/(1+$F$697)^$N$3</f>
        <v>78789.7042955084</v>
      </c>
      <c r="Q722" s="15" t="n">
        <f aca="false">O722+P722</f>
        <v>132470.039958591</v>
      </c>
      <c r="R722" s="15" t="n">
        <f aca="false">Q722-$G$2+$I$2</f>
        <v>120850.039958591</v>
      </c>
      <c r="S722" s="40" t="n">
        <f aca="false">R722/$K$2</f>
        <v>409.980798448251</v>
      </c>
      <c r="T722" s="41" t="n">
        <f aca="false">S722-$M$2</f>
        <v>0.00013555854070546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200</v>
      </c>
    </row>
    <row r="3" customFormat="false" ht="15" hidden="false" customHeight="false" outlineLevel="0" collapsed="false">
      <c r="B3" s="2" t="s">
        <v>201</v>
      </c>
    </row>
    <row r="5" customFormat="false" ht="15" hidden="false" customHeight="false" outlineLevel="0" collapsed="false">
      <c r="B5" s="3" t="s">
        <v>202</v>
      </c>
    </row>
    <row r="6" customFormat="false" ht="15" hidden="false" customHeight="false" outlineLevel="0" collapsed="false">
      <c r="B6" s="28" t="s">
        <v>151</v>
      </c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  <c r="H6" s="42" t="n">
        <v>6</v>
      </c>
      <c r="I6" s="42" t="n">
        <v>7</v>
      </c>
      <c r="J6" s="42" t="n">
        <v>8</v>
      </c>
      <c r="K6" s="42" t="n">
        <v>9</v>
      </c>
      <c r="L6" s="42" t="n">
        <v>10</v>
      </c>
    </row>
    <row r="7" customFormat="false" ht="15" hidden="false" customHeight="false" outlineLevel="0" collapsed="false">
      <c r="B7" s="5" t="s">
        <v>203</v>
      </c>
      <c r="C7" s="23" t="n">
        <f aca="false">IF(C$6&lt;=Inputs!$C$46,Solver!$W$7,Solver!$W$7-(Solver!$W$7-Inputs!$C$37)*MIN(C$6-Inputs!$C$46,Inputs!$C$47)/Inputs!$C$47)</f>
        <v>0.137494051880367</v>
      </c>
      <c r="D7" s="23" t="n">
        <f aca="false">IF(D$6&lt;=Inputs!$C$46,Solver!$W$7,Solver!$W$7-(Solver!$W$7-Inputs!$C$37)*MIN(D$6-Inputs!$C$46,Inputs!$C$47)/Inputs!$C$47)</f>
        <v>0.137494051880367</v>
      </c>
      <c r="E7" s="23" t="n">
        <f aca="false">IF(E$6&lt;=Inputs!$C$46,Solver!$W$7,Solver!$W$7-(Solver!$W$7-Inputs!$C$37)*MIN(E$6-Inputs!$C$46,Inputs!$C$47)/Inputs!$C$47)</f>
        <v>0.137494051880367</v>
      </c>
      <c r="F7" s="23" t="n">
        <f aca="false">IF(F$6&lt;=Inputs!$C$46,Solver!$W$7,Solver!$W$7-(Solver!$W$7-Inputs!$C$37)*MIN(F$6-Inputs!$C$46,Inputs!$C$47)/Inputs!$C$47)</f>
        <v>0.137494051880367</v>
      </c>
      <c r="G7" s="23" t="n">
        <f aca="false">IF(G$6&lt;=Inputs!$C$46,Solver!$W$7,Solver!$W$7-(Solver!$W$7-Inputs!$C$37)*MIN(G$6-Inputs!$C$46,Inputs!$C$47)/Inputs!$C$47)</f>
        <v>0.137494051880367</v>
      </c>
      <c r="H7" s="23" t="n">
        <f aca="false">IF(H$6&lt;=Inputs!$C$46,Solver!$W$7,Solver!$W$7-(Solver!$W$7-Inputs!$C$37)*MIN(H$6-Inputs!$C$46,Inputs!$C$47)/Inputs!$C$47)</f>
        <v>0.115655241504294</v>
      </c>
      <c r="I7" s="23" t="n">
        <f aca="false">IF(I$6&lt;=Inputs!$C$46,Solver!$W$7,Solver!$W$7-(Solver!$W$7-Inputs!$C$37)*MIN(I$6-Inputs!$C$46,Inputs!$C$47)/Inputs!$C$47)</f>
        <v>0.0938164311282201</v>
      </c>
      <c r="J7" s="23" t="n">
        <f aca="false">IF(J$6&lt;=Inputs!$C$46,Solver!$W$7,Solver!$W$7-(Solver!$W$7-Inputs!$C$37)*MIN(J$6-Inputs!$C$46,Inputs!$C$47)/Inputs!$C$47)</f>
        <v>0.0719776207521468</v>
      </c>
      <c r="K7" s="23" t="n">
        <f aca="false">IF(K$6&lt;=Inputs!$C$46,Solver!$W$7,Solver!$W$7-(Solver!$W$7-Inputs!$C$37)*MIN(K$6-Inputs!$C$46,Inputs!$C$47)/Inputs!$C$47)</f>
        <v>0.0501388103760734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107</v>
      </c>
      <c r="C8" s="15" t="n">
        <f aca="false">Inputs!$C$12*(1+C7)</f>
        <v>16285.5023407712</v>
      </c>
      <c r="D8" s="15" t="n">
        <f aca="false">C8*(1+D7)</f>
        <v>18524.662044511</v>
      </c>
      <c r="E8" s="15" t="n">
        <f aca="false">D8*(1+E7)</f>
        <v>21071.6928887253</v>
      </c>
      <c r="F8" s="15" t="n">
        <f aca="false">E8*(1+F7)</f>
        <v>23968.9253239749</v>
      </c>
      <c r="G8" s="15" t="n">
        <f aca="false">F8*(1+G7)</f>
        <v>27264.5099859861</v>
      </c>
      <c r="H8" s="15" t="n">
        <f aca="false">G8*(1+H7)</f>
        <v>30417.7934729116</v>
      </c>
      <c r="I8" s="15" t="n">
        <f aca="false">H8*(1+I7)</f>
        <v>33271.4822993354</v>
      </c>
      <c r="J8" s="15" t="n">
        <f aca="false">I8*(1+J7)</f>
        <v>35666.2844341387</v>
      </c>
      <c r="K8" s="15" t="n">
        <f aca="false">J8*(1+K7)</f>
        <v>37454.5495062011</v>
      </c>
      <c r="L8" s="15" t="n">
        <f aca="false">K8*(1+L7)</f>
        <v>38514.5132572266</v>
      </c>
    </row>
    <row r="9" customFormat="false" ht="15" hidden="false" customHeight="false" outlineLevel="0" collapsed="false">
      <c r="B9" s="5" t="s">
        <v>61</v>
      </c>
      <c r="C9" s="15" t="n">
        <f aca="false">C8*Inputs!$C$23</f>
        <v>5322.90694398153</v>
      </c>
      <c r="D9" s="15" t="n">
        <f aca="false">D8*Inputs!$C$23</f>
        <v>6054.7749874917</v>
      </c>
      <c r="E9" s="15" t="n">
        <f aca="false">E8*Inputs!$C$23</f>
        <v>6887.27053374583</v>
      </c>
      <c r="F9" s="15" t="n">
        <f aca="false">F8*Inputs!$C$23</f>
        <v>7834.2292658268</v>
      </c>
      <c r="G9" s="15" t="n">
        <f aca="false">G8*Inputs!$C$23</f>
        <v>8911.38919094508</v>
      </c>
      <c r="H9" s="15" t="n">
        <f aca="false">H8*Inputs!$C$23</f>
        <v>9942.03805996258</v>
      </c>
      <c r="I9" s="15" t="n">
        <f aca="false">I8*Inputs!$C$23</f>
        <v>10874.7645888892</v>
      </c>
      <c r="J9" s="15" t="n">
        <f aca="false">J8*Inputs!$C$23</f>
        <v>11657.5042702371</v>
      </c>
      <c r="K9" s="15" t="n">
        <f aca="false">K8*Inputs!$C$23</f>
        <v>12241.9976663008</v>
      </c>
      <c r="L9" s="15" t="n">
        <f aca="false">L8*Inputs!$C$23</f>
        <v>12588.4462002571</v>
      </c>
    </row>
    <row r="10" customFormat="false" ht="15" hidden="false" customHeight="false" outlineLevel="0" collapsed="false">
      <c r="B10" s="5" t="s">
        <v>204</v>
      </c>
      <c r="C10" s="43" t="n">
        <f aca="false">1/(1+WACC!$C$34)^C$6</f>
        <v>0.913332169239725</v>
      </c>
      <c r="D10" s="43" t="n">
        <f aca="false">1/(1+WACC!$C$34)^D$6</f>
        <v>0.834175651368141</v>
      </c>
      <c r="E10" s="43" t="n">
        <f aca="false">1/(1+WACC!$C$34)^E$6</f>
        <v>0.761879457191025</v>
      </c>
      <c r="F10" s="43" t="n">
        <f aca="false">1/(1+WACC!$C$34)^F$6</f>
        <v>0.695849017335462</v>
      </c>
      <c r="G10" s="43" t="n">
        <f aca="false">1/(1+WACC!$C$34)^G$6</f>
        <v>0.635541292466329</v>
      </c>
      <c r="H10" s="43" t="n">
        <f aca="false">1/(1+WACC!$C$34)^H$6</f>
        <v>0.58046030728969</v>
      </c>
      <c r="I10" s="43" t="n">
        <f aca="false">1/(1+WACC!$C$34)^I$6</f>
        <v>0.53015307161445</v>
      </c>
      <c r="J10" s="43" t="n">
        <f aca="false">1/(1+WACC!$C$34)^J$6</f>
        <v>0.484205854926729</v>
      </c>
      <c r="K10" s="43" t="n">
        <f aca="false">1/(1+WACC!$C$34)^K$6</f>
        <v>0.442240783838804</v>
      </c>
      <c r="L10" s="43" t="n">
        <f aca="false">1/(1+WACC!$C$34)^L$6</f>
        <v>0.403912734429771</v>
      </c>
    </row>
    <row r="11" customFormat="false" ht="15" hidden="false" customHeight="false" outlineLevel="0" collapsed="false">
      <c r="B11" s="5" t="s">
        <v>205</v>
      </c>
      <c r="C11" s="15" t="n">
        <f aca="false">C9*C10</f>
        <v>4861.58214580785</v>
      </c>
      <c r="D11" s="15" t="n">
        <f aca="false">D9*D10</f>
        <v>5050.74586907841</v>
      </c>
      <c r="E11" s="15" t="n">
        <f aca="false">E9*E10</f>
        <v>5247.26993577801</v>
      </c>
      <c r="F11" s="15" t="n">
        <f aca="false">F9*F10</f>
        <v>5451.4407362063</v>
      </c>
      <c r="G11" s="15" t="n">
        <f aca="false">G9*G10</f>
        <v>5663.5558040837</v>
      </c>
      <c r="H11" s="15" t="n">
        <f aca="false">H9*H10</f>
        <v>5770.95846737167</v>
      </c>
      <c r="I11" s="15" t="n">
        <f aca="false">I9*I10</f>
        <v>5765.28984988366</v>
      </c>
      <c r="J11" s="15" t="n">
        <f aca="false">J9*J10</f>
        <v>5644.63182148217</v>
      </c>
      <c r="K11" s="15" t="n">
        <f aca="false">K9*K10</f>
        <v>5413.91064369769</v>
      </c>
      <c r="L11" s="15" t="n">
        <f aca="false">L9*L10</f>
        <v>5084.63372696793</v>
      </c>
    </row>
    <row r="13" customFormat="false" ht="15" hidden="false" customHeight="false" outlineLevel="0" collapsed="false">
      <c r="B13" s="5" t="s">
        <v>206</v>
      </c>
      <c r="C13" s="15" t="n">
        <f aca="false">SUM(C11:L11)</f>
        <v>53954.0190003574</v>
      </c>
    </row>
    <row r="14" customFormat="false" ht="15" hidden="false" customHeight="false" outlineLevel="0" collapsed="false">
      <c r="B14" s="5" t="s">
        <v>207</v>
      </c>
      <c r="C14" s="15" t="n">
        <f aca="false">L9*(1+Inputs!$C$37)/(WACC!$C$34-Inputs!$C$37)</f>
        <v>194388.476288119</v>
      </c>
    </row>
    <row r="15" customFormat="false" ht="15" hidden="false" customHeight="false" outlineLevel="0" collapsed="false">
      <c r="B15" s="5" t="s">
        <v>208</v>
      </c>
      <c r="C15" s="15" t="n">
        <f aca="false">C14*L10</f>
        <v>78515.9809991709</v>
      </c>
    </row>
    <row r="16" customFormat="false" ht="15" hidden="false" customHeight="false" outlineLevel="0" collapsed="false">
      <c r="B16" s="7" t="s">
        <v>209</v>
      </c>
      <c r="C16" s="15" t="n">
        <f aca="false">C13+C15</f>
        <v>132469.999999528</v>
      </c>
    </row>
    <row r="17" customFormat="false" ht="15" hidden="false" customHeight="false" outlineLevel="0" collapsed="false">
      <c r="B17" s="5" t="s">
        <v>210</v>
      </c>
      <c r="C17" s="16" t="n">
        <f aca="false">-Inputs!$C$27</f>
        <v>-15750</v>
      </c>
    </row>
    <row r="18" customFormat="false" ht="15" hidden="false" customHeight="false" outlineLevel="0" collapsed="false">
      <c r="B18" s="5" t="s">
        <v>211</v>
      </c>
      <c r="C18" s="16" t="n">
        <f aca="false">Inputs!$C$28</f>
        <v>4130</v>
      </c>
    </row>
    <row r="19" customFormat="false" ht="15" hidden="false" customHeight="false" outlineLevel="0" collapsed="false">
      <c r="B19" s="5" t="s">
        <v>212</v>
      </c>
      <c r="C19" s="15" t="n">
        <f aca="false">SUM(C16:C18)</f>
        <v>120849.999999528</v>
      </c>
    </row>
    <row r="20" customFormat="false" ht="15" hidden="false" customHeight="false" outlineLevel="0" collapsed="false">
      <c r="B20" s="5" t="s">
        <v>213</v>
      </c>
      <c r="C20" s="34" t="n">
        <f aca="false">Inputs!$C$7</f>
        <v>294.77</v>
      </c>
    </row>
    <row r="21" customFormat="false" ht="15" hidden="false" customHeight="false" outlineLevel="0" collapsed="false">
      <c r="B21" s="7" t="s">
        <v>214</v>
      </c>
      <c r="C21" s="44" t="n">
        <f aca="false">C19/C20</f>
        <v>409.98066288811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409.980662889711</v>
      </c>
    </row>
    <row r="23" customFormat="false" ht="15" hidden="false" customHeight="false" outlineLevel="0" collapsed="false">
      <c r="B23" s="5" t="s">
        <v>215</v>
      </c>
      <c r="C23" s="23" t="n">
        <f aca="false">C21/C22-1</f>
        <v>-3.9031000653722E-012</v>
      </c>
    </row>
    <row r="24" customFormat="false" ht="15" hidden="false" customHeight="false" outlineLevel="0" collapsed="false">
      <c r="B24" s="5" t="s">
        <v>216</v>
      </c>
      <c r="C24" s="23" t="n">
        <f aca="false">C15/C16</f>
        <v>0.592707639461391</v>
      </c>
    </row>
    <row r="25" customFormat="false" ht="15" hidden="false" customHeight="false" outlineLevel="0" collapsed="false">
      <c r="B25" s="3" t="s">
        <v>217</v>
      </c>
    </row>
    <row r="26" customFormat="false" ht="15" hidden="false" customHeight="false" outlineLevel="0" collapsed="false">
      <c r="B26" s="28" t="s">
        <v>151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</row>
    <row r="27" customFormat="false" ht="15" hidden="false" customHeight="false" outlineLevel="0" collapsed="false">
      <c r="B27" s="5" t="s">
        <v>203</v>
      </c>
      <c r="C27" s="23" t="n">
        <f aca="false">IF(C$26&lt;=Inputs!$C$46,Inputs!$C$45,Inputs!$C$45-(Inputs!$C$45-Inputs!$C$37)*MIN(C$26-Inputs!$C$46,Inputs!$C$47)/Inputs!$C$47)</f>
        <v>0.07</v>
      </c>
      <c r="D27" s="23" t="n">
        <f aca="false">IF(D$26&lt;=Inputs!$C$46,Inputs!$C$45,Inputs!$C$45-(Inputs!$C$45-Inputs!$C$37)*MIN(D$26-Inputs!$C$46,Inputs!$C$47)/Inputs!$C$47)</f>
        <v>0.07</v>
      </c>
      <c r="E27" s="23" t="n">
        <f aca="false">IF(E$26&lt;=Inputs!$C$46,Inputs!$C$45,Inputs!$C$45-(Inputs!$C$45-Inputs!$C$37)*MIN(E$26-Inputs!$C$46,Inputs!$C$47)/Inputs!$C$47)</f>
        <v>0.07</v>
      </c>
      <c r="F27" s="23" t="n">
        <f aca="false">IF(F$26&lt;=Inputs!$C$46,Inputs!$C$45,Inputs!$C$45-(Inputs!$C$45-Inputs!$C$37)*MIN(F$26-Inputs!$C$46,Inputs!$C$47)/Inputs!$C$47)</f>
        <v>0.07</v>
      </c>
      <c r="G27" s="23" t="n">
        <f aca="false">IF(G$26&lt;=Inputs!$C$46,Inputs!$C$45,Inputs!$C$45-(Inputs!$C$45-Inputs!$C$37)*MIN(G$26-Inputs!$C$46,Inputs!$C$47)/Inputs!$C$47)</f>
        <v>0.07</v>
      </c>
      <c r="H27" s="23" t="n">
        <f aca="false">IF(H$26&lt;=Inputs!$C$46,Inputs!$C$45,Inputs!$C$45-(Inputs!$C$45-Inputs!$C$37)*MIN(H$26-Inputs!$C$46,Inputs!$C$47)/Inputs!$C$47)</f>
        <v>0.06166</v>
      </c>
      <c r="I27" s="23" t="n">
        <f aca="false">IF(I$26&lt;=Inputs!$C$46,Inputs!$C$45,Inputs!$C$45-(Inputs!$C$45-Inputs!$C$37)*MIN(I$26-Inputs!$C$46,Inputs!$C$47)/Inputs!$C$47)</f>
        <v>0.05332</v>
      </c>
      <c r="J27" s="23" t="n">
        <f aca="false">IF(J$26&lt;=Inputs!$C$46,Inputs!$C$45,Inputs!$C$45-(Inputs!$C$45-Inputs!$C$37)*MIN(J$26-Inputs!$C$46,Inputs!$C$47)/Inputs!$C$47)</f>
        <v>0.04498</v>
      </c>
      <c r="K27" s="23" t="n">
        <f aca="false">IF(K$26&lt;=Inputs!$C$46,Inputs!$C$45,Inputs!$C$45-(Inputs!$C$45-Inputs!$C$37)*MIN(K$26-Inputs!$C$46,Inputs!$C$47)/Inputs!$C$47)</f>
        <v>0.03664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107</v>
      </c>
      <c r="C28" s="15" t="n">
        <f aca="false">Inputs!$C$12*(1+C27)</f>
        <v>15319.19</v>
      </c>
      <c r="D28" s="15" t="n">
        <f aca="false">C28*(1+D27)</f>
        <v>16391.5333</v>
      </c>
      <c r="E28" s="15" t="n">
        <f aca="false">D28*(1+E27)</f>
        <v>17538.940631</v>
      </c>
      <c r="F28" s="15" t="n">
        <f aca="false">E28*(1+F27)</f>
        <v>18766.66647517</v>
      </c>
      <c r="G28" s="15" t="n">
        <f aca="false">F28*(1+G27)</f>
        <v>20080.3331284319</v>
      </c>
      <c r="H28" s="15" t="n">
        <f aca="false">G28*(1+H27)</f>
        <v>21318.486469131</v>
      </c>
      <c r="I28" s="15" t="n">
        <f aca="false">H28*(1+I27)</f>
        <v>22455.1881676651</v>
      </c>
      <c r="J28" s="15" t="n">
        <f aca="false">I28*(1+J27)</f>
        <v>23465.2225314467</v>
      </c>
      <c r="K28" s="15" t="n">
        <f aca="false">J28*(1+K27)</f>
        <v>24324.9882849989</v>
      </c>
      <c r="L28" s="15" t="n">
        <f aca="false">K28*(1+L27)</f>
        <v>25013.3854534643</v>
      </c>
    </row>
    <row r="29" customFormat="false" ht="15" hidden="false" customHeight="false" outlineLevel="0" collapsed="false">
      <c r="B29" s="5" t="s">
        <v>61</v>
      </c>
      <c r="C29" s="15" t="n">
        <f aca="false">C28*Inputs!$C$23</f>
        <v>5007.06831885856</v>
      </c>
      <c r="D29" s="15" t="n">
        <f aca="false">D28*Inputs!$C$23</f>
        <v>5357.56310117866</v>
      </c>
      <c r="E29" s="15" t="n">
        <f aca="false">E28*Inputs!$C$23</f>
        <v>5732.59251826117</v>
      </c>
      <c r="F29" s="15" t="n">
        <f aca="false">F28*Inputs!$C$23</f>
        <v>6133.87399453945</v>
      </c>
      <c r="G29" s="15" t="n">
        <f aca="false">G28*Inputs!$C$23</f>
        <v>6563.24517415721</v>
      </c>
      <c r="H29" s="15" t="n">
        <f aca="false">H28*Inputs!$C$23</f>
        <v>6967.93487159575</v>
      </c>
      <c r="I29" s="15" t="n">
        <f aca="false">I28*Inputs!$C$23</f>
        <v>7339.46515894923</v>
      </c>
      <c r="J29" s="15" t="n">
        <f aca="false">J28*Inputs!$C$23</f>
        <v>7669.59430179877</v>
      </c>
      <c r="K29" s="15" t="n">
        <f aca="false">K28*Inputs!$C$23</f>
        <v>7950.60823701667</v>
      </c>
      <c r="L29" s="15" t="n">
        <f aca="false">L28*Inputs!$C$23</f>
        <v>8175.61045012425</v>
      </c>
    </row>
    <row r="30" customFormat="false" ht="15" hidden="false" customHeight="false" outlineLevel="0" collapsed="false">
      <c r="B30" s="5" t="s">
        <v>204</v>
      </c>
      <c r="C30" s="43" t="n">
        <f aca="false">1/(1+WACC!$C$34)^C$26</f>
        <v>0.913332169239725</v>
      </c>
      <c r="D30" s="43" t="n">
        <f aca="false">1/(1+WACC!$C$34)^D$26</f>
        <v>0.834175651368141</v>
      </c>
      <c r="E30" s="43" t="n">
        <f aca="false">1/(1+WACC!$C$34)^E$26</f>
        <v>0.761879457191025</v>
      </c>
      <c r="F30" s="43" t="n">
        <f aca="false">1/(1+WACC!$C$34)^F$26</f>
        <v>0.695849017335462</v>
      </c>
      <c r="G30" s="43" t="n">
        <f aca="false">1/(1+WACC!$C$34)^G$26</f>
        <v>0.635541292466329</v>
      </c>
      <c r="H30" s="43" t="n">
        <f aca="false">1/(1+WACC!$C$34)^H$26</f>
        <v>0.58046030728969</v>
      </c>
      <c r="I30" s="43" t="n">
        <f aca="false">1/(1+WACC!$C$34)^I$26</f>
        <v>0.53015307161445</v>
      </c>
      <c r="J30" s="43" t="n">
        <f aca="false">1/(1+WACC!$C$34)^J$26</f>
        <v>0.484205854926729</v>
      </c>
      <c r="K30" s="43" t="n">
        <f aca="false">1/(1+WACC!$C$34)^K$26</f>
        <v>0.442240783838804</v>
      </c>
      <c r="L30" s="43" t="n">
        <f aca="false">1/(1+WACC!$C$34)^L$26</f>
        <v>0.403912734429771</v>
      </c>
    </row>
    <row r="31" customFormat="false" ht="15" hidden="false" customHeight="false" outlineLevel="0" collapsed="false">
      <c r="B31" s="5" t="s">
        <v>205</v>
      </c>
      <c r="C31" s="15" t="n">
        <f aca="false">C29*C30</f>
        <v>4573.11656919459</v>
      </c>
      <c r="D31" s="15" t="n">
        <f aca="false">D29*D30</f>
        <v>4469.14868967163</v>
      </c>
      <c r="E31" s="15" t="n">
        <f aca="false">E29*E30</f>
        <v>4367.54447611015</v>
      </c>
      <c r="F31" s="15" t="n">
        <f aca="false">F29*F30</f>
        <v>4268.25019155982</v>
      </c>
      <c r="G31" s="15" t="n">
        <f aca="false">G29*G30</f>
        <v>4171.21332075727</v>
      </c>
      <c r="H31" s="15" t="n">
        <f aca="false">H29*H30</f>
        <v>4044.60961674101</v>
      </c>
      <c r="I31" s="15" t="n">
        <f aca="false">I29*I30</f>
        <v>3891.03999802417</v>
      </c>
      <c r="J31" s="15" t="n">
        <f aca="false">J29*J30</f>
        <v>3713.66246584364</v>
      </c>
      <c r="K31" s="15" t="n">
        <f aca="false">K29*K30</f>
        <v>3516.08321873351</v>
      </c>
      <c r="L31" s="15" t="n">
        <f aca="false">L29*L30</f>
        <v>3302.2331725423</v>
      </c>
    </row>
    <row r="33" customFormat="false" ht="15" hidden="false" customHeight="false" outlineLevel="0" collapsed="false">
      <c r="B33" s="5" t="s">
        <v>206</v>
      </c>
      <c r="C33" s="15" t="n">
        <f aca="false">SUM(C31:L31)</f>
        <v>40316.9017191781</v>
      </c>
    </row>
    <row r="34" customFormat="false" ht="15" hidden="false" customHeight="false" outlineLevel="0" collapsed="false">
      <c r="B34" s="5" t="s">
        <v>207</v>
      </c>
      <c r="C34" s="15" t="n">
        <f aca="false">L29*(1+Inputs!$C$37)/(WACC!$C$34-Inputs!$C$37)</f>
        <v>126246.276374634</v>
      </c>
    </row>
    <row r="35" customFormat="false" ht="15" hidden="false" customHeight="false" outlineLevel="0" collapsed="false">
      <c r="B35" s="5" t="s">
        <v>208</v>
      </c>
      <c r="C35" s="15" t="n">
        <f aca="false">C34*L30</f>
        <v>50992.478702055</v>
      </c>
    </row>
    <row r="36" customFormat="false" ht="15" hidden="false" customHeight="false" outlineLevel="0" collapsed="false">
      <c r="B36" s="7" t="s">
        <v>209</v>
      </c>
      <c r="C36" s="15" t="n">
        <f aca="false">C33+C35</f>
        <v>91309.3804212331</v>
      </c>
    </row>
    <row r="37" customFormat="false" ht="15" hidden="false" customHeight="false" outlineLevel="0" collapsed="false">
      <c r="B37" s="5" t="s">
        <v>210</v>
      </c>
      <c r="C37" s="16" t="n">
        <f aca="false">-Inputs!$C$27</f>
        <v>-15750</v>
      </c>
    </row>
    <row r="38" customFormat="false" ht="15" hidden="false" customHeight="false" outlineLevel="0" collapsed="false">
      <c r="B38" s="5" t="s">
        <v>211</v>
      </c>
      <c r="C38" s="16" t="n">
        <f aca="false">Inputs!$C$28</f>
        <v>4130</v>
      </c>
    </row>
    <row r="39" customFormat="false" ht="15" hidden="false" customHeight="false" outlineLevel="0" collapsed="false">
      <c r="B39" s="5" t="s">
        <v>212</v>
      </c>
      <c r="C39" s="15" t="n">
        <f aca="false">SUM(C36:C38)</f>
        <v>79689.3804212331</v>
      </c>
    </row>
    <row r="40" customFormat="false" ht="15" hidden="false" customHeight="false" outlineLevel="0" collapsed="false">
      <c r="B40" s="5" t="s">
        <v>213</v>
      </c>
      <c r="C40" s="34" t="n">
        <f aca="false">Inputs!$C$7</f>
        <v>294.77</v>
      </c>
    </row>
    <row r="41" customFormat="false" ht="15" hidden="false" customHeight="false" outlineLevel="0" collapsed="false">
      <c r="B41" s="7" t="s">
        <v>214</v>
      </c>
      <c r="C41" s="44" t="n">
        <f aca="false">C39/C40</f>
        <v>270.344269841684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409.980662889711</v>
      </c>
    </row>
    <row r="43" customFormat="false" ht="15" hidden="false" customHeight="false" outlineLevel="0" collapsed="false">
      <c r="B43" s="5" t="s">
        <v>215</v>
      </c>
      <c r="C43" s="23" t="n">
        <f aca="false">C41/C42-1</f>
        <v>-0.340592632012965</v>
      </c>
    </row>
    <row r="44" customFormat="false" ht="15" hidden="false" customHeight="false" outlineLevel="0" collapsed="false">
      <c r="B44" s="5" t="s">
        <v>216</v>
      </c>
      <c r="C44" s="23" t="n">
        <f aca="false">C35/C36</f>
        <v>0.55845827084593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218</v>
      </c>
    </row>
    <row r="3" customFormat="false" ht="15" hidden="false" customHeight="false" outlineLevel="0" collapsed="false">
      <c r="B3" s="2" t="s">
        <v>219</v>
      </c>
    </row>
    <row r="5" customFormat="false" ht="15" hidden="false" customHeight="false" outlineLevel="0" collapsed="false">
      <c r="B5" s="5" t="s">
        <v>220</v>
      </c>
      <c r="C5" s="24" t="n">
        <v>0.005</v>
      </c>
      <c r="D5" s="5" t="s">
        <v>221</v>
      </c>
      <c r="F5" s="24" t="n">
        <v>0.005</v>
      </c>
    </row>
    <row r="6" customFormat="false" ht="15" hidden="false" customHeight="false" outlineLevel="0" collapsed="false">
      <c r="B6" s="5" t="s">
        <v>222</v>
      </c>
      <c r="C6" s="24" t="n">
        <v>0.02</v>
      </c>
    </row>
    <row r="8" customFormat="false" ht="15" hidden="false" customHeight="false" outlineLevel="0" collapsed="false">
      <c r="B8" s="3" t="s">
        <v>223</v>
      </c>
    </row>
    <row r="9" customFormat="false" ht="15" hidden="false" customHeight="false" outlineLevel="0" collapsed="false">
      <c r="C9" s="45" t="n">
        <f aca="false">Inputs!$C$37+(0-2)*$F$5</f>
        <v>0.0183</v>
      </c>
      <c r="D9" s="45" t="n">
        <f aca="false">Inputs!$C$37+(1-2)*$F$5</f>
        <v>0.0233</v>
      </c>
      <c r="E9" s="45" t="n">
        <f aca="false">Inputs!$C$37+(2-2)*$F$5</f>
        <v>0.0283</v>
      </c>
      <c r="F9" s="45" t="n">
        <f aca="false">Inputs!$C$37+(3-2)*$F$5</f>
        <v>0.0333</v>
      </c>
      <c r="G9" s="45" t="n">
        <f aca="false">Inputs!$C$37+(4-2)*$F$5</f>
        <v>0.0383</v>
      </c>
    </row>
    <row r="10" customFormat="false" ht="15" hidden="false" customHeight="false" outlineLevel="0" collapsed="false">
      <c r="B10" s="45" t="n">
        <f aca="false">WACC!$C$34+(0-2)*$C$5</f>
        <v>0.0848919064489092</v>
      </c>
      <c r="C10" s="9" t="n">
        <f aca="false">Solver!$D$74</f>
        <v>0.128375142812729</v>
      </c>
      <c r="D10" s="9" t="n">
        <f aca="false">Solver!$D$101</f>
        <v>0.117579072713852</v>
      </c>
      <c r="E10" s="9" t="n">
        <f aca="false">Solver!$D$128</f>
        <v>0.105894833803177</v>
      </c>
      <c r="F10" s="9" t="n">
        <f aca="false">Solver!$D$155</f>
        <v>0.0931656062602997</v>
      </c>
      <c r="G10" s="9" t="n">
        <f aca="false">Solver!$D$182</f>
        <v>0.0791886150836945</v>
      </c>
      <c r="I10" s="19" t="s">
        <v>224</v>
      </c>
    </row>
    <row r="11" customFormat="false" ht="15" hidden="false" customHeight="false" outlineLevel="0" collapsed="false">
      <c r="B11" s="45" t="n">
        <f aca="false">WACC!$C$34+(1-2)*$C$5</f>
        <v>0.0898919064489092</v>
      </c>
      <c r="C11" s="9" t="n">
        <f aca="false">Solver!$D$209</f>
        <v>0.143012672662735</v>
      </c>
      <c r="D11" s="9" t="n">
        <f aca="false">Solver!$D$236</f>
        <v>0.132935971021652</v>
      </c>
      <c r="E11" s="9" t="n">
        <f aca="false">Solver!$D$263</f>
        <v>0.122091442346573</v>
      </c>
      <c r="F11" s="9" t="n">
        <f aca="false">Solver!$D$290</f>
        <v>0.110354989767075</v>
      </c>
      <c r="G11" s="9" t="n">
        <f aca="false">Solver!$D$317</f>
        <v>0.0975692570209503</v>
      </c>
    </row>
    <row r="12" customFormat="false" ht="15" hidden="false" customHeight="false" outlineLevel="0" collapsed="false">
      <c r="B12" s="45" t="n">
        <f aca="false">WACC!$C$34+(2-2)*$C$5</f>
        <v>0.0948919064489092</v>
      </c>
      <c r="C12" s="9" t="n">
        <f aca="false">Solver!$D$344</f>
        <v>0.157067090272903</v>
      </c>
      <c r="D12" s="9" t="n">
        <f aca="false">Solver!$D$371</f>
        <v>0.147616058588028</v>
      </c>
      <c r="E12" s="8" t="n">
        <f aca="false">Solver!$D$398</f>
        <v>0.137494117021561</v>
      </c>
      <c r="F12" s="9" t="n">
        <f aca="false">Solver!$D$425</f>
        <v>0.126601129770279</v>
      </c>
      <c r="G12" s="9" t="n">
        <f aca="false">Solver!$D$452</f>
        <v>0.114812284708023</v>
      </c>
    </row>
    <row r="13" customFormat="false" ht="15" hidden="false" customHeight="false" outlineLevel="0" collapsed="false">
      <c r="B13" s="45" t="n">
        <f aca="false">WACC!$C$34+(3-2)*$C$5</f>
        <v>0.0998919064489092</v>
      </c>
      <c r="C13" s="9" t="n">
        <f aca="false">Solver!$D$479</f>
        <v>0.170611888170242</v>
      </c>
      <c r="D13" s="9" t="n">
        <f aca="false">Solver!$D$506</f>
        <v>0.161709994077683</v>
      </c>
      <c r="E13" s="9" t="n">
        <f aca="false">Solver!$D$533</f>
        <v>0.152216404676437</v>
      </c>
      <c r="F13" s="9" t="n">
        <f aca="false">Solver!$D$560</f>
        <v>0.142049223184586</v>
      </c>
      <c r="G13" s="9" t="n">
        <f aca="false">Solver!$D$587</f>
        <v>0.131107777357101</v>
      </c>
    </row>
    <row r="14" customFormat="false" ht="15" hidden="false" customHeight="false" outlineLevel="0" collapsed="false">
      <c r="B14" s="45" t="n">
        <f aca="false">WACC!$C$34+(4-2)*$C$5</f>
        <v>0.104891906448909</v>
      </c>
      <c r="C14" s="9" t="n">
        <f aca="false">Solver!$D$614</f>
        <v>0.183707863092422</v>
      </c>
      <c r="D14" s="9" t="n">
        <f aca="false">Solver!$D$641</f>
        <v>0.175291806459427</v>
      </c>
      <c r="E14" s="9" t="n">
        <f aca="false">Solver!$D$668</f>
        <v>0.166349858045578</v>
      </c>
      <c r="F14" s="9" t="n">
        <f aca="false">Solver!$D$695</f>
        <v>0.156813889741898</v>
      </c>
      <c r="G14" s="9" t="n">
        <f aca="false">Solver!$D$722</f>
        <v>0.146601647138596</v>
      </c>
    </row>
    <row r="17" customFormat="false" ht="15" hidden="false" customHeight="false" outlineLevel="0" collapsed="false">
      <c r="B17" s="3" t="s">
        <v>225</v>
      </c>
    </row>
    <row r="18" customFormat="false" ht="15" hidden="false" customHeight="false" outlineLevel="0" collapsed="false">
      <c r="C18" s="46" t="n">
        <f aca="false">Inputs!$C$45+(0-2)*$C$6</f>
        <v>0.03</v>
      </c>
      <c r="D18" s="46" t="n">
        <f aca="false">Inputs!$C$45+(1-2)*$C$6</f>
        <v>0.05</v>
      </c>
      <c r="E18" s="46" t="n">
        <f aca="false">Inputs!$C$45+(2-2)*$C$6</f>
        <v>0.07</v>
      </c>
      <c r="F18" s="46" t="n">
        <f aca="false">Inputs!$C$45+(3-2)*$C$6</f>
        <v>0.09</v>
      </c>
      <c r="G18" s="46" t="n">
        <f aca="false">Inputs!$C$45+(4-2)*$C$6</f>
        <v>0.11</v>
      </c>
    </row>
    <row r="19" customFormat="false" ht="15" hidden="false" customHeight="false" outlineLevel="0" collapsed="false">
      <c r="B19" s="45" t="n">
        <f aca="false">WACC!$C$34+(0-2)*$C$5</f>
        <v>0.0848919064489092</v>
      </c>
      <c r="C19" s="40" t="n">
        <f aca="false">(SUMPRODUCT($C28:$L28,1/(1+$B19)^$C$27:$L$27)*Inputs!$C$23+$L28*Inputs!$C$23*(1+Inputs!$C$37)/($B19-Inputs!$C$37)/(1+$B19)^$L$27-Inputs!$C$27+Inputs!$C$28)/Inputs!$C$7</f>
        <v>251.891124233755</v>
      </c>
      <c r="D19" s="40" t="n">
        <f aca="false">(SUMPRODUCT($C29:$L29,1/(1+$B19)^$C$27:$L$27)*Inputs!$C$23+$L29*Inputs!$C$23*(1+Inputs!$C$37)/($B19-Inputs!$C$37)/(1+$B19)^$L$27-Inputs!$C$27+Inputs!$C$28)/Inputs!$C$7</f>
        <v>287.529597917446</v>
      </c>
      <c r="E19" s="40" t="n">
        <f aca="false">(SUMPRODUCT($C30:$L30,1/(1+$B19)^$C$27:$L$27)*Inputs!$C$23+$L30*Inputs!$C$23*(1+Inputs!$C$37)/($B19-Inputs!$C$37)/(1+$B19)^$L$27-Inputs!$C$27+Inputs!$C$28)/Inputs!$C$7</f>
        <v>327.231115476392</v>
      </c>
      <c r="F19" s="40" t="n">
        <f aca="false">(SUMPRODUCT($C31:$L31,1/(1+$B19)^$C$27:$L$27)*Inputs!$C$23+$L31*Inputs!$C$23*(1+Inputs!$C$37)/($B19-Inputs!$C$37)/(1+$B19)^$L$27-Inputs!$C$27+Inputs!$C$28)/Inputs!$C$7</f>
        <v>371.400612191884</v>
      </c>
      <c r="G19" s="40" t="n">
        <f aca="false">(SUMPRODUCT($C32:$L32,1/(1+$B19)^$C$27:$L$27)*Inputs!$C$23+$L32*Inputs!$C$23*(1+Inputs!$C$37)/($B19-Inputs!$C$37)/(1+$B19)^$L$27-Inputs!$C$27+Inputs!$C$28)/Inputs!$C$7</f>
        <v>420.476762715577</v>
      </c>
      <c r="I19" s="19" t="s">
        <v>226</v>
      </c>
    </row>
    <row r="20" customFormat="false" ht="15" hidden="false" customHeight="false" outlineLevel="0" collapsed="false">
      <c r="B20" s="45" t="n">
        <f aca="false">WACC!$C$34+(1-2)*$C$5</f>
        <v>0.0898919064489092</v>
      </c>
      <c r="C20" s="40" t="n">
        <f aca="false">(SUMPRODUCT($C28:$L28,1/(1+$B20)^$C$27:$L$27)*Inputs!$C$23+$L28*Inputs!$C$23*(1+Inputs!$C$37)/($B20-Inputs!$C$37)/(1+$B20)^$L$27-Inputs!$C$27+Inputs!$C$28)/Inputs!$C$7</f>
        <v>228.208115014904</v>
      </c>
      <c r="D20" s="40" t="n">
        <f aca="false">(SUMPRODUCT($C29:$L29,1/(1+$B20)^$C$27:$L$27)*Inputs!$C$23+$L29*Inputs!$C$23*(1+Inputs!$C$37)/($B20-Inputs!$C$37)/(1+$B20)^$L$27-Inputs!$C$27+Inputs!$C$28)/Inputs!$C$7</f>
        <v>260.509131485159</v>
      </c>
      <c r="E20" s="40" t="n">
        <f aca="false">(SUMPRODUCT($C30:$L30,1/(1+$B20)^$C$27:$L$27)*Inputs!$C$23+$L30*Inputs!$C$23*(1+Inputs!$C$37)/($B20-Inputs!$C$37)/(1+$B20)^$L$27-Inputs!$C$27+Inputs!$C$28)/Inputs!$C$7</f>
        <v>296.465883063032</v>
      </c>
      <c r="F20" s="40" t="n">
        <f aca="false">(SUMPRODUCT($C31:$L31,1/(1+$B20)^$C$27:$L$27)*Inputs!$C$23+$L31*Inputs!$C$23*(1+Inputs!$C$37)/($B20-Inputs!$C$37)/(1+$B20)^$L$27-Inputs!$C$27+Inputs!$C$28)/Inputs!$C$7</f>
        <v>336.441198226951</v>
      </c>
      <c r="G20" s="40" t="n">
        <f aca="false">(SUMPRODUCT($C32:$L32,1/(1+$B20)^$C$27:$L$27)*Inputs!$C$23+$L32*Inputs!$C$23*(1+Inputs!$C$37)/($B20-Inputs!$C$37)/(1+$B20)^$L$27-Inputs!$C$27+Inputs!$C$28)/Inputs!$C$7</f>
        <v>380.828049558128</v>
      </c>
    </row>
    <row r="21" customFormat="false" ht="15" hidden="false" customHeight="false" outlineLevel="0" collapsed="false">
      <c r="B21" s="45" t="n">
        <f aca="false">WACC!$C$34+(2-2)*$C$5</f>
        <v>0.0948919064489092</v>
      </c>
      <c r="C21" s="40" t="n">
        <f aca="false">(SUMPRODUCT($C28:$L28,1/(1+$B21)^$C$27:$L$27)*Inputs!$C$23+$L28*Inputs!$C$23*(1+Inputs!$C$37)/($B21-Inputs!$C$37)/(1+$B21)^$L$27-Inputs!$C$27+Inputs!$C$28)/Inputs!$C$7</f>
        <v>208.082343632981</v>
      </c>
      <c r="D21" s="40" t="n">
        <f aca="false">(SUMPRODUCT($C29:$L29,1/(1+$B21)^$C$27:$L$27)*Inputs!$C$23+$L29*Inputs!$C$23*(1+Inputs!$C$37)/($B21-Inputs!$C$37)/(1+$B21)^$L$27-Inputs!$C$27+Inputs!$C$28)/Inputs!$C$7</f>
        <v>237.557489753127</v>
      </c>
      <c r="E21" s="44" t="n">
        <f aca="false">(SUMPRODUCT($C30:$L30,1/(1+$B21)^$C$27:$L$27)*Inputs!$C$23+$L30*Inputs!$C$23*(1+Inputs!$C$37)/($B21-Inputs!$C$37)/(1+$B21)^$L$27-Inputs!$C$27+Inputs!$C$28)/Inputs!$C$7</f>
        <v>270.344269841684</v>
      </c>
      <c r="F21" s="40" t="n">
        <f aca="false">(SUMPRODUCT($C31:$L31,1/(1+$B21)^$C$27:$L$27)*Inputs!$C$23+$L31*Inputs!$C$23*(1+Inputs!$C$37)/($B21-Inputs!$C$37)/(1+$B21)^$L$27-Inputs!$C$27+Inputs!$C$28)/Inputs!$C$7</f>
        <v>306.769994737245</v>
      </c>
      <c r="G21" s="40" t="n">
        <f aca="false">(SUMPRODUCT($C32:$L32,1/(1+$B21)^$C$27:$L$27)*Inputs!$C$23+$L32*Inputs!$C$23*(1+Inputs!$C$37)/($B21-Inputs!$C$37)/(1+$B21)^$L$27-Inputs!$C$27+Inputs!$C$28)/Inputs!$C$7</f>
        <v>347.189090329926</v>
      </c>
    </row>
    <row r="22" customFormat="false" ht="15" hidden="false" customHeight="false" outlineLevel="0" collapsed="false">
      <c r="B22" s="45" t="n">
        <f aca="false">WACC!$C$34+(3-2)*$C$5</f>
        <v>0.0998919064489092</v>
      </c>
      <c r="C22" s="40" t="n">
        <f aca="false">(SUMPRODUCT($C28:$L28,1/(1+$B22)^$C$27:$L$27)*Inputs!$C$23+$L28*Inputs!$C$23*(1+Inputs!$C$37)/($B22-Inputs!$C$37)/(1+$B22)^$L$27-Inputs!$C$27+Inputs!$C$28)/Inputs!$C$7</f>
        <v>190.768470507602</v>
      </c>
      <c r="D22" s="40" t="n">
        <f aca="false">(SUMPRODUCT($C29:$L29,1/(1+$B22)^$C$27:$L$27)*Inputs!$C$23+$L29*Inputs!$C$23*(1+Inputs!$C$37)/($B22-Inputs!$C$37)/(1+$B22)^$L$27-Inputs!$C$27+Inputs!$C$28)/Inputs!$C$7</f>
        <v>217.821830621207</v>
      </c>
      <c r="E22" s="40" t="n">
        <f aca="false">(SUMPRODUCT($C30:$L30,1/(1+$B22)^$C$27:$L$27)*Inputs!$C$23+$L30*Inputs!$C$23*(1+Inputs!$C$37)/($B22-Inputs!$C$37)/(1+$B22)^$L$27-Inputs!$C$27+Inputs!$C$28)/Inputs!$C$7</f>
        <v>247.89262168466</v>
      </c>
      <c r="F22" s="40" t="n">
        <f aca="false">(SUMPRODUCT($C31:$L31,1/(1+$B22)^$C$27:$L$27)*Inputs!$C$23+$L31*Inputs!$C$23*(1+Inputs!$C$37)/($B22-Inputs!$C$37)/(1+$B22)^$L$27-Inputs!$C$27+Inputs!$C$28)/Inputs!$C$7</f>
        <v>281.277836381962</v>
      </c>
      <c r="G22" s="40" t="n">
        <f aca="false">(SUMPRODUCT($C32:$L32,1/(1+$B22)^$C$27:$L$27)*Inputs!$C$23+$L32*Inputs!$C$23*(1+Inputs!$C$37)/($B22-Inputs!$C$37)/(1+$B22)^$L$27-Inputs!$C$27+Inputs!$C$28)/Inputs!$C$7</f>
        <v>318.299000037821</v>
      </c>
    </row>
    <row r="23" customFormat="false" ht="15" hidden="false" customHeight="false" outlineLevel="0" collapsed="false">
      <c r="B23" s="45" t="n">
        <f aca="false">WACC!$C$34+(4-2)*$C$5</f>
        <v>0.104891906448909</v>
      </c>
      <c r="C23" s="40" t="n">
        <f aca="false">(SUMPRODUCT($C28:$L28,1/(1+$B23)^$C$27:$L$27)*Inputs!$C$23+$L28*Inputs!$C$23*(1+Inputs!$C$37)/($B23-Inputs!$C$37)/(1+$B23)^$L$27-Inputs!$C$27+Inputs!$C$28)/Inputs!$C$7</f>
        <v>175.715783118163</v>
      </c>
      <c r="D23" s="40" t="n">
        <f aca="false">(SUMPRODUCT($C29:$L29,1/(1+$B23)^$C$27:$L$27)*Inputs!$C$23+$L29*Inputs!$C$23*(1+Inputs!$C$37)/($B23-Inputs!$C$37)/(1+$B23)^$L$27-Inputs!$C$27+Inputs!$C$28)/Inputs!$C$7</f>
        <v>200.672021922744</v>
      </c>
      <c r="E23" s="40" t="n">
        <f aca="false">(SUMPRODUCT($C30:$L30,1/(1+$B23)^$C$27:$L$27)*Inputs!$C$23+$L30*Inputs!$C$23*(1+Inputs!$C$37)/($B23-Inputs!$C$37)/(1+$B23)^$L$27-Inputs!$C$27+Inputs!$C$28)/Inputs!$C$7</f>
        <v>228.391555212309</v>
      </c>
      <c r="F23" s="40" t="n">
        <f aca="false">(SUMPRODUCT($C31:$L31,1/(1+$B23)^$C$27:$L$27)*Inputs!$C$23+$L31*Inputs!$C$23*(1+Inputs!$C$37)/($B23-Inputs!$C$37)/(1+$B23)^$L$27-Inputs!$C$27+Inputs!$C$28)/Inputs!$C$7</f>
        <v>259.145230560592</v>
      </c>
      <c r="G23" s="40" t="n">
        <f aca="false">(SUMPRODUCT($C32:$L32,1/(1+$B23)^$C$27:$L$27)*Inputs!$C$23+$L32*Inputs!$C$23*(1+Inputs!$C$37)/($B23-Inputs!$C$37)/(1+$B23)^$L$27-Inputs!$C$27+Inputs!$C$28)/Inputs!$C$7</f>
        <v>293.226204098207</v>
      </c>
    </row>
    <row r="26" customFormat="false" ht="15" hidden="false" customHeight="false" outlineLevel="0" collapsed="false">
      <c r="B26" s="19" t="s">
        <v>227</v>
      </c>
    </row>
    <row r="27" customFormat="false" ht="15" hidden="false" customHeight="false" outlineLevel="0" collapsed="false"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B28" s="23" t="n">
        <f aca="false">C$18</f>
        <v>0.03</v>
      </c>
      <c r="C28" s="15" t="n">
        <f aca="false">Inputs!$C$12*(1+IF(C$27&lt;=Inputs!$C$46,$B28,$B28-($B28-Inputs!$C$37)*MIN(C$27-Inputs!$C$46,Inputs!$C$47)/Inputs!$C$47))</f>
        <v>14746.51</v>
      </c>
      <c r="D28" s="15" t="n">
        <f aca="false">C28*(1+IF(D$27&lt;=Inputs!$C$46,$B28,$B28-($B28-Inputs!$C$37)*MIN(D$27-Inputs!$C$46,Inputs!$C$47)/Inputs!$C$47))</f>
        <v>15188.9053</v>
      </c>
      <c r="E28" s="15" t="n">
        <f aca="false">D28*(1+IF(E$27&lt;=Inputs!$C$46,$B28,$B28-($B28-Inputs!$C$37)*MIN(E$27-Inputs!$C$46,Inputs!$C$47)/Inputs!$C$47))</f>
        <v>15644.572459</v>
      </c>
      <c r="F28" s="15" t="n">
        <f aca="false">E28*(1+IF(F$27&lt;=Inputs!$C$46,$B28,$B28-($B28-Inputs!$C$37)*MIN(F$27-Inputs!$C$46,Inputs!$C$47)/Inputs!$C$47))</f>
        <v>16113.90963277</v>
      </c>
      <c r="G28" s="15" t="n">
        <f aca="false">F28*(1+IF(G$27&lt;=Inputs!$C$46,$B28,$B28-($B28-Inputs!$C$37)*MIN(G$27-Inputs!$C$46,Inputs!$C$47)/Inputs!$C$47))</f>
        <v>16597.3269217531</v>
      </c>
      <c r="H28" s="15" t="n">
        <f aca="false">G28*(1+IF(H$27&lt;=Inputs!$C$46,$B28,$B28-($B28-Inputs!$C$37)*MIN(H$27-Inputs!$C$46,Inputs!$C$47)/Inputs!$C$47))</f>
        <v>17089.6036382523</v>
      </c>
      <c r="I28" s="15" t="n">
        <f aca="false">H28*(1+IF(I$27&lt;=Inputs!$C$46,$B28,$B28-($B28-Inputs!$C$37)*MIN(I$27-Inputs!$C$46,Inputs!$C$47)/Inputs!$C$47))</f>
        <v>17590.6708169259</v>
      </c>
      <c r="J28" s="15" t="n">
        <f aca="false">I28*(1+IF(J$27&lt;=Inputs!$C$46,$B28,$B28-($B28-Inputs!$C$37)*MIN(J$27-Inputs!$C$46,Inputs!$C$47)/Inputs!$C$47))</f>
        <v>18100.4484572004</v>
      </c>
      <c r="K28" s="15" t="n">
        <f aca="false">J28*(1+IF(K$27&lt;=Inputs!$C$46,$B28,$B28-($B28-Inputs!$C$37)*MIN(K$27-Inputs!$C$46,Inputs!$C$47)/Inputs!$C$47))</f>
        <v>18618.8453010146</v>
      </c>
      <c r="L28" s="15" t="n">
        <f aca="false">K28*(1+IF(L$27&lt;=Inputs!$C$46,$B28,$B28-($B28-Inputs!$C$37)*MIN(L$27-Inputs!$C$46,Inputs!$C$47)/Inputs!$C$47))</f>
        <v>19145.7586230333</v>
      </c>
    </row>
    <row r="29" customFormat="false" ht="15" hidden="false" customHeight="false" outlineLevel="0" collapsed="false">
      <c r="B29" s="23" t="n">
        <f aca="false">D$18</f>
        <v>0.05</v>
      </c>
      <c r="C29" s="15" t="n">
        <f aca="false">Inputs!$C$12*(1+IF(C$27&lt;=Inputs!$C$46,$B29,$B29-($B29-Inputs!$C$37)*MIN(C$27-Inputs!$C$46,Inputs!$C$47)/Inputs!$C$47))</f>
        <v>15032.85</v>
      </c>
      <c r="D29" s="15" t="n">
        <f aca="false">C29*(1+IF(D$27&lt;=Inputs!$C$46,$B29,$B29-($B29-Inputs!$C$37)*MIN(D$27-Inputs!$C$46,Inputs!$C$47)/Inputs!$C$47))</f>
        <v>15784.4925</v>
      </c>
      <c r="E29" s="15" t="n">
        <f aca="false">D29*(1+IF(E$27&lt;=Inputs!$C$46,$B29,$B29-($B29-Inputs!$C$37)*MIN(E$27-Inputs!$C$46,Inputs!$C$47)/Inputs!$C$47))</f>
        <v>16573.717125</v>
      </c>
      <c r="F29" s="15" t="n">
        <f aca="false">E29*(1+IF(F$27&lt;=Inputs!$C$46,$B29,$B29-($B29-Inputs!$C$37)*MIN(F$27-Inputs!$C$46,Inputs!$C$47)/Inputs!$C$47))</f>
        <v>17402.40298125</v>
      </c>
      <c r="G29" s="15" t="n">
        <f aca="false">F29*(1+IF(G$27&lt;=Inputs!$C$46,$B29,$B29-($B29-Inputs!$C$37)*MIN(G$27-Inputs!$C$46,Inputs!$C$47)/Inputs!$C$47))</f>
        <v>18272.5231303125</v>
      </c>
      <c r="H29" s="15" t="n">
        <f aca="false">G29*(1+IF(H$27&lt;=Inputs!$C$46,$B29,$B29-($B29-Inputs!$C$37)*MIN(H$27-Inputs!$C$46,Inputs!$C$47)/Inputs!$C$47))</f>
        <v>19106.8465364426</v>
      </c>
      <c r="I29" s="15" t="n">
        <f aca="false">H29*(1+IF(I$27&lt;=Inputs!$C$46,$B29,$B29-($B29-Inputs!$C$37)*MIN(I$27-Inputs!$C$46,Inputs!$C$47)/Inputs!$C$47))</f>
        <v>19896.3414353284</v>
      </c>
      <c r="J29" s="15" t="n">
        <f aca="false">I29*(1+IF(J$27&lt;=Inputs!$C$46,$B29,$B29-($B29-Inputs!$C$37)*MIN(J$27-Inputs!$C$46,Inputs!$C$47)/Inputs!$C$47))</f>
        <v>20632.1081416068</v>
      </c>
      <c r="K29" s="15" t="n">
        <f aca="false">J29*(1+IF(K$27&lt;=Inputs!$C$46,$B29,$B29-($B29-Inputs!$C$37)*MIN(K$27-Inputs!$C$46,Inputs!$C$47)/Inputs!$C$47))</f>
        <v>21305.5401513489</v>
      </c>
      <c r="L29" s="15" t="n">
        <f aca="false">K29*(1+IF(L$27&lt;=Inputs!$C$46,$B29,$B29-($B29-Inputs!$C$37)*MIN(L$27-Inputs!$C$46,Inputs!$C$47)/Inputs!$C$47))</f>
        <v>21908.486937632</v>
      </c>
    </row>
    <row r="30" customFormat="false" ht="15" hidden="false" customHeight="false" outlineLevel="0" collapsed="false">
      <c r="B30" s="23" t="n">
        <f aca="false">E$18</f>
        <v>0.07</v>
      </c>
      <c r="C30" s="15" t="n">
        <f aca="false">Inputs!$C$12*(1+IF(C$27&lt;=Inputs!$C$46,$B30,$B30-($B30-Inputs!$C$37)*MIN(C$27-Inputs!$C$46,Inputs!$C$47)/Inputs!$C$47))</f>
        <v>15319.19</v>
      </c>
      <c r="D30" s="15" t="n">
        <f aca="false">C30*(1+IF(D$27&lt;=Inputs!$C$46,$B30,$B30-($B30-Inputs!$C$37)*MIN(D$27-Inputs!$C$46,Inputs!$C$47)/Inputs!$C$47))</f>
        <v>16391.5333</v>
      </c>
      <c r="E30" s="15" t="n">
        <f aca="false">D30*(1+IF(E$27&lt;=Inputs!$C$46,$B30,$B30-($B30-Inputs!$C$37)*MIN(E$27-Inputs!$C$46,Inputs!$C$47)/Inputs!$C$47))</f>
        <v>17538.940631</v>
      </c>
      <c r="F30" s="15" t="n">
        <f aca="false">E30*(1+IF(F$27&lt;=Inputs!$C$46,$B30,$B30-($B30-Inputs!$C$37)*MIN(F$27-Inputs!$C$46,Inputs!$C$47)/Inputs!$C$47))</f>
        <v>18766.66647517</v>
      </c>
      <c r="G30" s="15" t="n">
        <f aca="false">F30*(1+IF(G$27&lt;=Inputs!$C$46,$B30,$B30-($B30-Inputs!$C$37)*MIN(G$27-Inputs!$C$46,Inputs!$C$47)/Inputs!$C$47))</f>
        <v>20080.3331284319</v>
      </c>
      <c r="H30" s="15" t="n">
        <f aca="false">G30*(1+IF(H$27&lt;=Inputs!$C$46,$B30,$B30-($B30-Inputs!$C$37)*MIN(H$27-Inputs!$C$46,Inputs!$C$47)/Inputs!$C$47))</f>
        <v>21318.486469131</v>
      </c>
      <c r="I30" s="15" t="n">
        <f aca="false">H30*(1+IF(I$27&lt;=Inputs!$C$46,$B30,$B30-($B30-Inputs!$C$37)*MIN(I$27-Inputs!$C$46,Inputs!$C$47)/Inputs!$C$47))</f>
        <v>22455.1881676651</v>
      </c>
      <c r="J30" s="15" t="n">
        <f aca="false">I30*(1+IF(J$27&lt;=Inputs!$C$46,$B30,$B30-($B30-Inputs!$C$37)*MIN(J$27-Inputs!$C$46,Inputs!$C$47)/Inputs!$C$47))</f>
        <v>23465.2225314467</v>
      </c>
      <c r="K30" s="15" t="n">
        <f aca="false">J30*(1+IF(K$27&lt;=Inputs!$C$46,$B30,$B30-($B30-Inputs!$C$37)*MIN(K$27-Inputs!$C$46,Inputs!$C$47)/Inputs!$C$47))</f>
        <v>24324.9882849989</v>
      </c>
      <c r="L30" s="15" t="n">
        <f aca="false">K30*(1+IF(L$27&lt;=Inputs!$C$46,$B30,$B30-($B30-Inputs!$C$37)*MIN(L$27-Inputs!$C$46,Inputs!$C$47)/Inputs!$C$47))</f>
        <v>25013.3854534643</v>
      </c>
    </row>
    <row r="31" customFormat="false" ht="15" hidden="false" customHeight="false" outlineLevel="0" collapsed="false">
      <c r="B31" s="23" t="n">
        <f aca="false">F$18</f>
        <v>0.09</v>
      </c>
      <c r="C31" s="15" t="n">
        <f aca="false">Inputs!$C$12*(1+IF(C$27&lt;=Inputs!$C$46,$B31,$B31-($B31-Inputs!$C$37)*MIN(C$27-Inputs!$C$46,Inputs!$C$47)/Inputs!$C$47))</f>
        <v>15605.53</v>
      </c>
      <c r="D31" s="15" t="n">
        <f aca="false">C31*(1+IF(D$27&lt;=Inputs!$C$46,$B31,$B31-($B31-Inputs!$C$37)*MIN(D$27-Inputs!$C$46,Inputs!$C$47)/Inputs!$C$47))</f>
        <v>17010.0277</v>
      </c>
      <c r="E31" s="15" t="n">
        <f aca="false">D31*(1+IF(E$27&lt;=Inputs!$C$46,$B31,$B31-($B31-Inputs!$C$37)*MIN(E$27-Inputs!$C$46,Inputs!$C$47)/Inputs!$C$47))</f>
        <v>18540.930193</v>
      </c>
      <c r="F31" s="15" t="n">
        <f aca="false">E31*(1+IF(F$27&lt;=Inputs!$C$46,$B31,$B31-($B31-Inputs!$C$37)*MIN(F$27-Inputs!$C$46,Inputs!$C$47)/Inputs!$C$47))</f>
        <v>20209.61391037</v>
      </c>
      <c r="G31" s="15" t="n">
        <f aca="false">F31*(1+IF(G$27&lt;=Inputs!$C$46,$B31,$B31-($B31-Inputs!$C$37)*MIN(G$27-Inputs!$C$46,Inputs!$C$47)/Inputs!$C$47))</f>
        <v>22028.4791623033</v>
      </c>
      <c r="H31" s="15" t="n">
        <f aca="false">G31*(1+IF(H$27&lt;=Inputs!$C$46,$B31,$B31-($B31-Inputs!$C$37)*MIN(H$27-Inputs!$C$46,Inputs!$C$47)/Inputs!$C$47))</f>
        <v>23739.2108540478</v>
      </c>
      <c r="I31" s="15" t="n">
        <f aca="false">H31*(1+IF(I$27&lt;=Inputs!$C$46,$B31,$B31-($B31-Inputs!$C$37)*MIN(I$27-Inputs!$C$46,Inputs!$C$47)/Inputs!$C$47))</f>
        <v>25289.8561070342</v>
      </c>
      <c r="J31" s="15" t="n">
        <f aca="false">I31*(1+IF(J$27&lt;=Inputs!$C$46,$B31,$B31-($B31-Inputs!$C$37)*MIN(J$27-Inputs!$C$46,Inputs!$C$47)/Inputs!$C$47))</f>
        <v>26629.7126835849</v>
      </c>
      <c r="K31" s="15" t="n">
        <f aca="false">J31*(1+IF(K$27&lt;=Inputs!$C$46,$B31,$B31-($B31-Inputs!$C$37)*MIN(K$27-Inputs!$C$46,Inputs!$C$47)/Inputs!$C$47))</f>
        <v>27711.9442070457</v>
      </c>
      <c r="L31" s="15" t="n">
        <f aca="false">K31*(1+IF(L$27&lt;=Inputs!$C$46,$B31,$B31-($B31-Inputs!$C$37)*MIN(L$27-Inputs!$C$46,Inputs!$C$47)/Inputs!$C$47))</f>
        <v>28496.1922281051</v>
      </c>
    </row>
    <row r="32" customFormat="false" ht="15" hidden="false" customHeight="false" outlineLevel="0" collapsed="false">
      <c r="B32" s="23" t="n">
        <f aca="false">G$18</f>
        <v>0.11</v>
      </c>
      <c r="C32" s="15" t="n">
        <f aca="false">Inputs!$C$12*(1+IF(C$27&lt;=Inputs!$C$46,$B32,$B32-($B32-Inputs!$C$37)*MIN(C$27-Inputs!$C$46,Inputs!$C$47)/Inputs!$C$47))</f>
        <v>15891.87</v>
      </c>
      <c r="D32" s="15" t="n">
        <f aca="false">C32*(1+IF(D$27&lt;=Inputs!$C$46,$B32,$B32-($B32-Inputs!$C$37)*MIN(D$27-Inputs!$C$46,Inputs!$C$47)/Inputs!$C$47))</f>
        <v>17639.9757</v>
      </c>
      <c r="E32" s="15" t="n">
        <f aca="false">D32*(1+IF(E$27&lt;=Inputs!$C$46,$B32,$B32-($B32-Inputs!$C$37)*MIN(E$27-Inputs!$C$46,Inputs!$C$47)/Inputs!$C$47))</f>
        <v>19580.373027</v>
      </c>
      <c r="F32" s="15" t="n">
        <f aca="false">E32*(1+IF(F$27&lt;=Inputs!$C$46,$B32,$B32-($B32-Inputs!$C$37)*MIN(F$27-Inputs!$C$46,Inputs!$C$47)/Inputs!$C$47))</f>
        <v>21734.21405997</v>
      </c>
      <c r="G32" s="15" t="n">
        <f aca="false">F32*(1+IF(G$27&lt;=Inputs!$C$46,$B32,$B32-($B32-Inputs!$C$37)*MIN(G$27-Inputs!$C$46,Inputs!$C$47)/Inputs!$C$47))</f>
        <v>24124.9776065667</v>
      </c>
      <c r="H32" s="15" t="n">
        <f aca="false">G32*(1+IF(H$27&lt;=Inputs!$C$46,$B32,$B32-($B32-Inputs!$C$37)*MIN(H$27-Inputs!$C$46,Inputs!$C$47)/Inputs!$C$47))</f>
        <v>26384.5230091978</v>
      </c>
      <c r="I32" s="15" t="n">
        <f aca="false">H32*(1+IF(I$27&lt;=Inputs!$C$46,$B32,$B32-($B32-Inputs!$C$37)*MIN(I$27-Inputs!$C$46,Inputs!$C$47)/Inputs!$C$47))</f>
        <v>28424.5743282689</v>
      </c>
      <c r="J32" s="15" t="n">
        <f aca="false">I32*(1+IF(J$27&lt;=Inputs!$C$46,$B32,$B32-($B32-Inputs!$C$37)*MIN(J$27-Inputs!$C$46,Inputs!$C$47)/Inputs!$C$47))</f>
        <v>30157.9048708068</v>
      </c>
      <c r="K32" s="15" t="n">
        <f aca="false">J32*(1+IF(K$27&lt;=Inputs!$C$46,$B32,$B32-($B32-Inputs!$C$37)*MIN(K$27-Inputs!$C$46,Inputs!$C$47)/Inputs!$C$47))</f>
        <v>31504.1537442396</v>
      </c>
      <c r="L32" s="15" t="n">
        <f aca="false">K32*(1+IF(L$27&lt;=Inputs!$C$46,$B32,$B32-($B32-Inputs!$C$37)*MIN(L$27-Inputs!$C$46,Inputs!$C$47)/Inputs!$C$47))</f>
        <v>32395.7212952016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228</v>
      </c>
    </row>
    <row r="3" customFormat="false" ht="15" hidden="false" customHeight="false" outlineLevel="0" collapsed="false">
      <c r="B3" s="2" t="s">
        <v>229</v>
      </c>
    </row>
    <row r="5" customFormat="false" ht="15" hidden="false" customHeight="false" outlineLevel="0" collapsed="false">
      <c r="B5" s="28" t="s">
        <v>230</v>
      </c>
      <c r="C5" s="28" t="s">
        <v>231</v>
      </c>
      <c r="D5" s="28" t="s">
        <v>232</v>
      </c>
      <c r="E5" s="28" t="s">
        <v>233</v>
      </c>
      <c r="F5" s="28" t="s">
        <v>234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0.32684941689858</v>
      </c>
      <c r="D6" s="24" t="n">
        <v>0.32684942</v>
      </c>
      <c r="E6" s="47" t="n">
        <f aca="false">C6-D6</f>
        <v>-3.10141978765444E-009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124</v>
      </c>
      <c r="C7" s="48" t="n">
        <f aca="false">WACC!$C$11</f>
        <v>1.05189909086848</v>
      </c>
      <c r="D7" s="49" t="n">
        <v>1.05189909</v>
      </c>
      <c r="E7" s="47" t="n">
        <f aca="false">C7-D7</f>
        <v>8.68484839600114E-010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WACC!$C$34</f>
        <v>0.0948919064489092</v>
      </c>
      <c r="D8" s="24" t="n">
        <v>0.09489191</v>
      </c>
      <c r="E8" s="47" t="n">
        <f aca="false">C8-D8</f>
        <v>-3.55109078253868E-009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7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235</v>
      </c>
      <c r="C10" s="12" t="n">
        <f aca="false">Inputs!$C$43</f>
        <v>0.07</v>
      </c>
      <c r="D10" s="24" t="n">
        <v>0.07</v>
      </c>
      <c r="E10" s="47" t="n">
        <f aca="false">C10-D10</f>
        <v>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236</v>
      </c>
      <c r="C11" s="12" t="n">
        <f aca="false">Solver!$W$7</f>
        <v>0.137494051880367</v>
      </c>
      <c r="D11" s="24" t="n">
        <v>0.13749405</v>
      </c>
      <c r="E11" s="47" t="n">
        <f aca="false">C11-D11</f>
        <v>1.88036688997251E-009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237</v>
      </c>
      <c r="C12" s="12" t="n">
        <f aca="false">Sensitivity!$E$14</f>
        <v>0.166349858045578</v>
      </c>
      <c r="D12" s="24" t="n">
        <v>0.1663499</v>
      </c>
      <c r="E12" s="47" t="n">
        <f aca="false">C12-D12</f>
        <v>-4.19544219920631E-008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238</v>
      </c>
      <c r="C13" s="6" t="n">
        <f aca="false">DCF!$C$41</f>
        <v>270.344269841684</v>
      </c>
      <c r="D13" s="20" t="n">
        <v>270.34426984</v>
      </c>
      <c r="E13" s="47" t="n">
        <f aca="false">C13-D13</f>
        <v>1.68381575349486E-009</v>
      </c>
      <c r="F13" s="5" t="str">
        <f aca="false">IF(ABS(E13)&lt;=0.0270344269841684,"Pass","Check")</f>
        <v>Pass</v>
      </c>
    </row>
    <row r="14" customFormat="false" ht="15" hidden="false" customHeight="false" outlineLevel="0" collapsed="false">
      <c r="B14" s="5" t="s">
        <v>239</v>
      </c>
      <c r="C14" s="6" t="n">
        <f aca="false">DCF!$C$21-DCF!$C$22</f>
        <v>-1.60019908435061E-009</v>
      </c>
      <c r="D14" s="20" t="n">
        <v>0</v>
      </c>
      <c r="E14" s="47" t="n">
        <f aca="false">C14-D14</f>
        <v>-1.60019908435061E-009</v>
      </c>
      <c r="F14" s="5" t="str">
        <f aca="false">IF(ABS(E14)&lt;=0.01,"Pass","Check")</f>
        <v>Pass</v>
      </c>
      <c r="G14" s="19" t="s">
        <v>240</v>
      </c>
    </row>
    <row r="16" customFormat="false" ht="15" hidden="false" customHeight="false" outlineLevel="0" collapsed="false">
      <c r="B16" s="36" t="s">
        <v>241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2026-10-14T16:48:47Z</dcterms:created>
  <dc:creator>openpyxl</dc:creator>
  <dc:description/>
  <dc:language>en-US</dc:language>
  <cp:lastModifiedBy/>
  <dcterms:modified xsi:type="dcterms:W3CDTF">2026-10-14T16:48:47Z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