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History" sheetId="3" state="visible" r:id="rId5"/>
    <sheet name="WACC" sheetId="4" state="visible" r:id="rId6"/>
    <sheet name="Solver" sheetId="5" state="visible" r:id="rId7"/>
    <sheet name="DCF" sheetId="6" state="visible" r:id="rId8"/>
    <sheet name="Sensitivity" sheetId="7" state="visible" r:id="rId9"/>
    <sheet name="Check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<sst xmlns="http://schemas.openxmlformats.org/spreadsheetml/2006/main" count="843" uniqueCount="250">
  <si>
    <t xml:space="preserve">Priced In: SS&amp;C Technologies (SSNC)</t>
  </si>
  <si>
    <t xml:space="preserve">Reverse DCF, model v1.0. Inputs as of the Oct 13, 2026 close; model locked Oct 14, 2026 (commit 0735af0).</t>
  </si>
  <si>
    <t xml:space="preserve">Data and software | US | reports in USD</t>
  </si>
  <si>
    <t xml:space="preserve">The question</t>
  </si>
  <si>
    <t xml:space="preserve">What revenue growth over the next five years does today's price imply, and is that more or less than the company has delivered and analysts expect?</t>
  </si>
  <si>
    <t xml:space="preserve">Answer</t>
  </si>
  <si>
    <t xml:space="preserve">Price at the lock ($)</t>
  </si>
  <si>
    <t xml:space="preserve">Implied 5-year revenue growth</t>
  </si>
  <si>
    <t xml:space="preserve">Anchor (history and analysts)</t>
  </si>
  <si>
    <t xml:space="preserve">Gap (implied - anchor)</t>
  </si>
  <si>
    <t xml:space="preserve">Verdict</t>
  </si>
  <si>
    <t xml:space="preserve">WACC</t>
  </si>
  <si>
    <t xml:space="preserve">Terminal growth</t>
  </si>
  <si>
    <t xml:space="preserve">Unlevered free-cash-flow margin</t>
  </si>
  <si>
    <t xml:space="preserve">Your view of growth (Inputs, yellow)</t>
  </si>
  <si>
    <t xml:space="preserve">Value per share at your view ($)</t>
  </si>
  <si>
    <t xml:space="preserve">Upside or downside at your view</t>
  </si>
  <si>
    <t xml:space="preserve">How to use this file</t>
  </si>
  <si>
    <t xml:space="preserve">1. Change any blue cell on Inputs, History or WACC; everything recalculates, including the solver.</t>
  </si>
  <si>
    <t xml:space="preserve">2. The Solver tab finds implied growth by bisection with formulas, so you never need Goal Seek. 40 steps narrow a 150-point range to well under 0.0001%.</t>
  </si>
  <si>
    <t xml:space="preserve">3. Type your own growth view in the yellow cell on Inputs; DCF panel B and this page show what the stock is worth if you're right.</t>
  </si>
  <si>
    <t xml:space="preserve">4. Check confirms this workbook matches the Python pipeline that runs the site.</t>
  </si>
  <si>
    <t xml:space="preserve">Colour key</t>
  </si>
  <si>
    <t xml:space="preserve">Typed input with a source</t>
  </si>
  <si>
    <t xml:space="preserve">Formula</t>
  </si>
  <si>
    <t xml:space="preserve">Link to another tab</t>
  </si>
  <si>
    <t xml:space="preserve">Your view (edit this one)</t>
  </si>
  <si>
    <t xml:space="preserve">Live site</t>
  </si>
  <si>
    <t xml:space="preserve">https://claude.ai/artifact/DS3n4CgaKxaSLzkXDsBKuK</t>
  </si>
  <si>
    <t xml:space="preserve">Built by Rohan Jayapalan. Not investment advice.</t>
  </si>
  <si>
    <t xml:space="preserve">SS&amp;C Technologies (SSNC): inputs</t>
  </si>
  <si>
    <t xml:space="preserve">Blue cells are typed inputs with a source. Black cells are formulas. Change a blue cell and every tab recalculates.</t>
  </si>
  <si>
    <t xml:space="preserve">Market and price</t>
  </si>
  <si>
    <t xml:space="preserve">Price per share at the lock ($)</t>
  </si>
  <si>
    <t xml:space="preserve">Market cap divided by shares from Stock Analysis at the Oct 13, 2026 close.</t>
  </si>
  <si>
    <t xml:space="preserve">Diluted shares outstanding (mm)</t>
  </si>
  <si>
    <t xml:space="preserve">Stock Analysis statistics page, Oct 13, 2026.</t>
  </si>
  <si>
    <t xml:space="preserve">Market value of equity ($mm)</t>
  </si>
  <si>
    <t xml:space="preserve">Price x shares.</t>
  </si>
  <si>
    <t xml:space="preserve">Trailing 12 months</t>
  </si>
  <si>
    <t xml:space="preserve">Revenue, reported ($mm)</t>
  </si>
  <si>
    <t xml:space="preserve">Stock Analysis income statement, trailing 12 months.</t>
  </si>
  <si>
    <t xml:space="preserve">Revenue used in the model ($mm)</t>
  </si>
  <si>
    <t xml:space="preserve">Same as reported.</t>
  </si>
  <si>
    <t xml:space="preserve">Free cash flow, reported (cash from operations - capex) ($mm)</t>
  </si>
  <si>
    <t xml:space="preserve">Stock Analysis cash flow statement, trailing 12 months.</t>
  </si>
  <si>
    <t xml:space="preserve">Free cash flow before adjustments ($mm)</t>
  </si>
  <si>
    <t xml:space="preserve">Less: adjustments ($mm)</t>
  </si>
  <si>
    <t xml:space="preserve">None for this company.</t>
  </si>
  <si>
    <t xml:space="preserve">Free cash flow used ($mm)</t>
  </si>
  <si>
    <t xml:space="preserve">Operating income ($mm)</t>
  </si>
  <si>
    <t xml:space="preserve">Stock Analysis, trailing 12 months.</t>
  </si>
  <si>
    <t xml:space="preserve">Pretax income ($mm)</t>
  </si>
  <si>
    <t xml:space="preserve">Interest proxy: operating income - pretax, floored at zero ($mm)</t>
  </si>
  <si>
    <t xml:space="preserve">Net interest and other non-operating costs. Adding it back (after tax) turns levered FCF into unlevered FCF.</t>
  </si>
  <si>
    <t xml:space="preserve">Tax rate</t>
  </si>
  <si>
    <t xml:space="preserve">Statutory blend: 25% US (21% federal plus state), 26.5% Canada (federal plus Ontario).</t>
  </si>
  <si>
    <t xml:space="preserve">After-tax interest added back ($mm)</t>
  </si>
  <si>
    <t xml:space="preserve">Unlevered free cash flow ($mm)</t>
  </si>
  <si>
    <t xml:space="preserve">Held flat for all 10 years in the model.</t>
  </si>
  <si>
    <t xml:space="preserve">EBITDA ($mm)</t>
  </si>
  <si>
    <t xml:space="preserve">Balance sheet</t>
  </si>
  <si>
    <t xml:space="preserve">Total debt ($mm)</t>
  </si>
  <si>
    <t xml:space="preserve">Stock Analysis balance sheet, latest quarter.</t>
  </si>
  <si>
    <t xml:space="preserve">Cash and equivalents ($mm)</t>
  </si>
  <si>
    <t xml:space="preserve">Net debt ($mm)</t>
  </si>
  <si>
    <t xml:space="preserve">Rates</t>
  </si>
  <si>
    <t xml:space="preserve">10-year US Treasury yield</t>
  </si>
  <si>
    <t xml:space="preserve">US Treasury daily par yield curve, Oct 13, 2026.</t>
  </si>
  <si>
    <t xml:space="preserve">10-year TIPS real yield</t>
  </si>
  <si>
    <t xml:space="preserve">US Treasury daily real yield curve, Oct 13, 2026.</t>
  </si>
  <si>
    <t xml:space="preserve">Breakeven inflation</t>
  </si>
  <si>
    <t xml:space="preserve">Nominal minus real: the market's inflation expectation.</t>
  </si>
  <si>
    <t xml:space="preserve">Risk-free rate used</t>
  </si>
  <si>
    <t xml:space="preserve">Real growth added to inflation</t>
  </si>
  <si>
    <t xml:space="preserve">Half a point of long-run real growth.</t>
  </si>
  <si>
    <t xml:space="preserve">Capped at the risk-free rate.</t>
  </si>
  <si>
    <t xml:space="preserve">Equity risk premium</t>
  </si>
  <si>
    <t xml:space="preserve">Damodaran implied equity risk premium, start of 2026.</t>
  </si>
  <si>
    <t xml:space="preserve">Growth anchor and verdict</t>
  </si>
  <si>
    <t xml:space="preserve">Past revenue growth (CAGR)</t>
  </si>
  <si>
    <t xml:space="preserve">FY2021 to the 12 months ended June 2026</t>
  </si>
  <si>
    <t xml:space="preserve">Analysts' revenue growth forecast</t>
  </si>
  <si>
    <t xml:space="preserve">Analysts' 3-year revenue CAGR forecast (stockanalysis)</t>
  </si>
  <si>
    <t xml:space="preserve">Anchor (average of the two)</t>
  </si>
  <si>
    <t xml:space="preserve">AVERAGE skips the n/a text when history isn't used.</t>
  </si>
  <si>
    <t xml:space="preserve">Verdict band (+/-)</t>
  </si>
  <si>
    <t xml:space="preserve">Set before any backtest and never changed.</t>
  </si>
  <si>
    <t xml:space="preserve">Your view of 5-year revenue growth</t>
  </si>
  <si>
    <t xml:space="preserve">Type your own view. It starts at the anchor. DCF panel B and the Cover show what the stock is worth at your view.</t>
  </si>
  <si>
    <t xml:space="preserve">Years at the solved growth rate</t>
  </si>
  <si>
    <t xml:space="preserve">Model v1.0: 5 years at the growth rate, then a straight-line fade.</t>
  </si>
  <si>
    <t xml:space="preserve">Years of fade to terminal growth</t>
  </si>
  <si>
    <t xml:space="preserve">Years 1 to 10 are on the Solver and DCF tabs; years past 10 grow at the terminal rate.</t>
  </si>
  <si>
    <t xml:space="preserve">SS&amp;C Technologies (SSNC): revenue history</t>
  </si>
  <si>
    <t xml:space="preserve">Revenue from Stock Analysis income statements; the window is chosen so acquisitions and disposals don't count as growth.</t>
  </si>
  <si>
    <t xml:space="preserve">Fiscal year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</si>
  <si>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</si>
  <si>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</si>
  <si>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</si>
  <si>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</si>
  <si>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</si>
  <si>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TTM Jun-26</t>
  </si>
  <si>
    <t xml:space="preserve">Revenue ($mm)</t>
  </si>
  <si>
    <t xml:space="preserve">Growth on the prior year</t>
  </si>
  <si>
    <t xml:space="preserve">History window</t>
  </si>
  <si>
    <t xml:space="preserve">Start year</t>
  </si>
  <si>
    <t xml:space="preserve">Years from start to TTM</t>
  </si>
  <si>
    <t xml:space="preserve">Revenue CAGR, start to TTM</t>
  </si>
  <si>
    <t xml:space="preserve">Free-cash-flow margin history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</si>
  <si>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</si>
  <si>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</si>
  <si>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</si>
  <si>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</si>
  <si>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</si>
  <si>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(CFO - capex) / revenue</t>
  </si>
  <si>
    <t xml:space="preserve">SEC XBRL filings (NetCashProvidedByOperatingActivities, PaymentsToAcquirePropertyPlantAndEquipment, revenue tags).</t>
  </si>
  <si>
    <t xml:space="preserve">Plus today's interest add-back</t>
  </si>
  <si>
    <t xml:space="preserve">Range (the margin slider's shaded zone)</t>
  </si>
  <si>
    <t xml:space="preserve">SS&amp;C Technologies (SSNC): cost of capital</t>
  </si>
  <si>
    <t xml:space="preserve">Bottom-up beta: the median unlevered beta of the company's group, relevered for this company's debt.</t>
  </si>
  <si>
    <t xml:space="preserve">Peer</t>
  </si>
  <si>
    <t xml:space="preserve">Raw beta</t>
  </si>
  <si>
    <t xml:space="preserve">Debt ($mm)</t>
  </si>
  <si>
    <t xml:space="preserve">Equity ($mm)</t>
  </si>
  <si>
    <t xml:space="preserve">Unlevered beta</t>
  </si>
  <si>
    <t xml:space="preserve">FactSet (FDS)</t>
  </si>
  <si>
    <t xml:space="preserve">Raw betas: 60 monthly returns to Sep 2026 against the S&amp;P 500 (S&amp;P/TSX for TMX); Cboe uses Stock Analysis's 5-year beta. Debt and equity from Stock Analysis, Oct 13, 2026.</t>
  </si>
  <si>
    <t xml:space="preserve">Thomson Reuters (TRI)</t>
  </si>
  <si>
    <t xml:space="preserve">Broadridge (BR)</t>
  </si>
  <si>
    <t xml:space="preserve">SS&amp;C Technologies (SSNC)</t>
  </si>
  <si>
    <t xml:space="preserve">Verisk (VRSK)</t>
  </si>
  <si>
    <t xml:space="preserve">Group median unlevered beta</t>
  </si>
  <si>
    <t xml:space="preserve">Relevered beta</t>
  </si>
  <si>
    <t xml:space="preserve">Hamada: unlevered beta x (1 + (1 - tax) x debt / equity).</t>
  </si>
  <si>
    <t xml:space="preserve">Risk-free rate</t>
  </si>
  <si>
    <t xml:space="preserve">Cost of equity</t>
  </si>
  <si>
    <t xml:space="preserve">CAPM: risk-free + beta x premium.</t>
  </si>
  <si>
    <t xml:space="preserve">Debt-to-EBITDA spread table</t>
  </si>
  <si>
    <t xml:space="preserve">Debt / EBITDA below</t>
  </si>
  <si>
    <t xml:space="preserve">Spread</t>
  </si>
  <si>
    <t xml:space="preserve">Synthetic spread over the risk-free rate by leverage, a simplified version of Damodaran's ratings table; the last row covers anything at 4x or above.</t>
  </si>
  <si>
    <t xml:space="preserve">Debt / EBITDA</t>
  </si>
  <si>
    <t xml:space="preserve">Credit spread</t>
  </si>
  <si>
    <t xml:space="preserve">First row whose limit is above this company's leverage.</t>
  </si>
  <si>
    <t xml:space="preserve">Pre-tax cost of debt</t>
  </si>
  <si>
    <t xml:space="preserve">After-tax cost of debt</t>
  </si>
  <si>
    <t xml:space="preserve">Weight of debt</t>
  </si>
  <si>
    <t xml:space="preserve">Market-value weights.</t>
  </si>
  <si>
    <t xml:space="preserve">Weight of equity</t>
  </si>
  <si>
    <t xml:space="preserve">Solver: bisection for the growth rate that makes the model equal the price (replaces Goal Seek)</t>
  </si>
  <si>
    <t xml:space="preserve">Revenue</t>
  </si>
  <si>
    <t xml:space="preserve">Margin</t>
  </si>
  <si>
    <t xml:space="preserve">Debt</t>
  </si>
  <si>
    <t xml:space="preserve">Cash</t>
  </si>
  <si>
    <t xml:space="preserve">Shares</t>
  </si>
  <si>
    <t xml:space="preserve">Price</t>
  </si>
  <si>
    <t xml:space="preserve">Years</t>
  </si>
  <si>
    <t xml:space="preserve">Fade</t>
  </si>
  <si>
    <t xml:space="preserve">Year</t>
  </si>
  <si>
    <t xml:space="preserve">Each row tries the midpoint of the current range. If the value per share is above the price, the answer is lower, so the top of the range moves down; otherwise the bottom moves up.</t>
  </si>
  <si>
    <t xml:space="preserve">Base case: model WACC and terminal growth (40 steps)</t>
  </si>
  <si>
    <t xml:space="preserve">Implied growth</t>
  </si>
  <si>
    <t xml:space="preserve">Step</t>
  </si>
  <si>
    <t xml:space="preserve">Low</t>
  </si>
  <si>
    <t xml:space="preserve">High</t>
  </si>
  <si>
    <t xml:space="preserve">Mid</t>
  </si>
  <si>
    <t xml:space="preserve">Rev Y1</t>
  </si>
  <si>
    <t xml:space="preserve">Rev Y2</t>
  </si>
  <si>
    <t xml:space="preserve">Rev Y3</t>
  </si>
  <si>
    <t xml:space="preserve">Rev Y4</t>
  </si>
  <si>
    <t xml:space="preserve">Rev Y5</t>
  </si>
  <si>
    <t xml:space="preserve">Rev Y6</t>
  </si>
  <si>
    <t xml:space="preserve">Rev Y7</t>
  </si>
  <si>
    <t xml:space="preserve">Rev Y8</t>
  </si>
  <si>
    <t xml:space="preserve">Rev Y9</t>
  </si>
  <si>
    <t xml:space="preserve">Rev Y10</t>
  </si>
  <si>
    <t xml:space="preserve">PV of FCF</t>
  </si>
  <si>
    <t xml:space="preserve">PV of TV</t>
  </si>
  <si>
    <t xml:space="preserve">EV</t>
  </si>
  <si>
    <t xml:space="preserve">Equity</t>
  </si>
  <si>
    <t xml:space="preserve">Per share</t>
  </si>
  <si>
    <t xml:space="preserve">Value - price</t>
  </si>
  <si>
    <t xml:space="preserve">Grid block 2: row 1, column 1 of table A (24 steps)</t>
  </si>
  <si>
    <t xml:space="preserve">Grid block 3: row 1, column 2 of table A (24 steps)</t>
  </si>
  <si>
    <t xml:space="preserve">Grid block 4: row 1, column 3 of table A (24 steps)</t>
  </si>
  <si>
    <t xml:space="preserve">Grid block 5: row 1, column 4 of table A (24 steps)</t>
  </si>
  <si>
    <t xml:space="preserve">Grid block 6: row 1, column 5 of table A (24 steps)</t>
  </si>
  <si>
    <t xml:space="preserve">Grid block 7: row 2, column 1 of table A (24 steps)</t>
  </si>
  <si>
    <t xml:space="preserve">Grid block 8: row 2, column 2 of table A (24 steps)</t>
  </si>
  <si>
    <t xml:space="preserve">Grid block 9: row 2, column 3 of table A (24 steps)</t>
  </si>
  <si>
    <t xml:space="preserve">Grid block 10: row 2, column 4 of table A (24 steps)</t>
  </si>
  <si>
    <t xml:space="preserve">Grid block 11: row 2, column 5 of table A (24 steps)</t>
  </si>
  <si>
    <t xml:space="preserve">Grid block 12: row 3, column 1 of table A (24 steps)</t>
  </si>
  <si>
    <t xml:space="preserve">Grid block 13: row 3, column 2 of table A (24 steps)</t>
  </si>
  <si>
    <t xml:space="preserve">Grid block 14: row 3, column 3 of table A (24 steps)</t>
  </si>
  <si>
    <t xml:space="preserve">Grid block 15: row 3, column 4 of table A (24 steps)</t>
  </si>
  <si>
    <t xml:space="preserve">Grid block 16: row 3, column 5 of table A (24 steps)</t>
  </si>
  <si>
    <t xml:space="preserve">Grid block 17: row 4, column 1 of table A (24 steps)</t>
  </si>
  <si>
    <t xml:space="preserve">Grid block 18: row 4, column 2 of table A (24 steps)</t>
  </si>
  <si>
    <t xml:space="preserve">Grid block 19: row 4, column 3 of table A (24 steps)</t>
  </si>
  <si>
    <t xml:space="preserve">Grid block 20: row 4, column 4 of table A (24 steps)</t>
  </si>
  <si>
    <t xml:space="preserve">Grid block 21: row 4, column 5 of table A (24 steps)</t>
  </si>
  <si>
    <t xml:space="preserve">Grid block 22: row 5, column 1 of table A (24 steps)</t>
  </si>
  <si>
    <t xml:space="preserve">Grid block 23: row 5, column 2 of table A (24 steps)</t>
  </si>
  <si>
    <t xml:space="preserve">Grid block 24: row 5, column 3 of table A (24 steps)</t>
  </si>
  <si>
    <t xml:space="preserve">Grid block 25: row 5, column 4 of table A (24 steps)</t>
  </si>
  <si>
    <t xml:space="preserve">Grid block 26: row 5, column 5 of table A (24 steps)</t>
  </si>
  <si>
    <t xml:space="preserve">SS&amp;C Technologies (SSNC): discounted cash flow</t>
  </si>
  <si>
    <t xml:space="preserve">Panel A runs the model at the solved growth rate, so it should land on the price. Panel B runs it at your view.</t>
  </si>
  <si>
    <t xml:space="preserve">A. At the solved (implied) growth rate</t>
  </si>
  <si>
    <t xml:space="preserve">Revenue growth</t>
  </si>
  <si>
    <t xml:space="preserve">Discount factor</t>
  </si>
  <si>
    <t xml:space="preserve">Present value ($mm)</t>
  </si>
  <si>
    <t xml:space="preserve">Sum of present values, years 1 to 10</t>
  </si>
  <si>
    <t xml:space="preserve">Terminal value at year 10</t>
  </si>
  <si>
    <t xml:space="preserve">Present value of terminal value</t>
  </si>
  <si>
    <t xml:space="preserve">Enterprise value</t>
  </si>
  <si>
    <t xml:space="preserve">Less: debt</t>
  </si>
  <si>
    <t xml:space="preserve">Plus: cash</t>
  </si>
  <si>
    <t xml:space="preserve">Equity value</t>
  </si>
  <si>
    <t xml:space="preserve">Shares (mm)</t>
  </si>
  <si>
    <t xml:space="preserve">Value per share ($)</t>
  </si>
  <si>
    <t xml:space="preserve">Value / price - 1</t>
  </si>
  <si>
    <t xml:space="preserve">Terminal value share of enterprise value</t>
  </si>
  <si>
    <t xml:space="preserve">B. At your view of growth (Inputs tab, yellow cell)</t>
  </si>
  <si>
    <t xml:space="preserve">SS&amp;C Technologies (SSNC): sensitivity</t>
  </si>
  <si>
    <t xml:space="preserve">Table A re-solves implied growth for each pair of inputs (Solver tab, blocks 2 to 26). Table B values the stock at a growth view.</t>
  </si>
  <si>
    <t xml:space="preserve">WACC step</t>
  </si>
  <si>
    <t xml:space="preserve">Terminal-growth step</t>
  </si>
  <si>
    <t xml:space="preserve">Growth-view step</t>
  </si>
  <si>
    <t xml:space="preserve">A. Implied 5-year growth: WACC (rows) by terminal growth (columns)</t>
  </si>
  <si>
    <t xml:space="preserve">Centre cell = the base case. Each step changes one input by the step size above.</t>
  </si>
  <si>
    <t xml:space="preserve">B. Value per share: WACC (rows) by your growth view (columns)</t>
  </si>
  <si>
    <t xml:space="preserve">Compare with the price at the lock: $81.01.</t>
  </si>
  <si>
    <t xml:space="preserve">Helper: revenue paths for each growth view (years 1 to 10)</t>
  </si>
  <si>
    <t xml:space="preserve">SS&amp;C Technologies (SSNC): check against the Python pipeline</t>
  </si>
  <si>
    <t xml:space="preserve">Python values are typed in (blue) from the pipeline that runs the site. Each row passes if the two agree within the tolerance.</t>
  </si>
  <si>
    <t xml:space="preserve">Item</t>
  </si>
  <si>
    <t xml:space="preserve">This workbook</t>
  </si>
  <si>
    <t xml:space="preserve">Python pipeline</t>
  </si>
  <si>
    <t xml:space="preserve">Difference</t>
  </si>
  <si>
    <t xml:space="preserve">Result</t>
  </si>
  <si>
    <t xml:space="preserve">Anchor</t>
  </si>
  <si>
    <t xml:space="preserve">Implied growth, base case</t>
  </si>
  <si>
    <t xml:space="preserve">Implied growth, WACC one point higher</t>
  </si>
  <si>
    <t xml:space="preserve">Value per share at the anchor ($)</t>
  </si>
  <si>
    <t xml:space="preserve">Panel A value minus price ($)</t>
  </si>
  <si>
    <t xml:space="preserve">Panel B on the DCF tab uses your view; with the yellow cell at the anchor it matches the pipeline.</t>
  </si>
  <si>
    <t xml:space="preserve">Overall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</si>
</sst>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$#,##0.00;&quot;($&quot;#,##0.00\);\-"/>
    <numFmt numFmtId="166" formatCode="0.0%;\(0.0%\);\-"/>
    <numFmt numFmtId="167" formatCode="0.00%;\(0.00%\);\-"/>
    <numFmt numFmtId="168" formatCode="#,##0;\(#,##0\);\-"/>
    <numFmt numFmtId="169" formatCode="#,##0.0;\(#,##0.0\);\-"/>
    <numFmt numFmtId="170" formatCode="0"/>
    <numFmt numFmtId="171" formatCode="0.00"/>
    <numFmt numFmtId="172" formatCode="0.00;\(0.00\);\-"/>
    <numFmt numFmtId="173" formatCode="0.0\x"/>
    <numFmt numFmtId="174" formatCode="0.0000%"/>
    <numFmt numFmtId="175" formatCode="#,##0.0000;\(#,##0.0000\);\-"/>
    <numFmt numFmtId="176" formatCode="0.0000"/>
    <numFmt numFmtId="177" formatCode="0.00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3F8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3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aude.ai/artifact/DS3n4CgaKxaSLzkXDsBKu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B2:E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7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</row>
    <row r="7" customFormat="false" ht="30" hidden="false" customHeight="true" outlineLevel="0" collapsed="false">
      <c r="B7" s="4" t="s">
        <v>4</v>
      </c>
      <c r="C7" s="4"/>
      <c r="D7" s="4"/>
      <c r="E7" s="4"/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5" t="s">
        <v>6</v>
      </c>
      <c r="C10" s="6" t="n">
        <f aca="false">Inputs!$C$6</f>
        <v>81.0142765821436</v>
      </c>
    </row>
    <row r="11" customFormat="false" ht="15" hidden="false" customHeight="false" outlineLevel="0" collapsed="false">
      <c r="B11" s="7" t="s">
        <v>7</v>
      </c>
      <c r="C11" s="8" t="n">
        <f aca="false">Solver!$W$7</f>
        <v>-0.04511938632686</v>
      </c>
    </row>
    <row r="12" customFormat="false" ht="15" hidden="false" customHeight="false" outlineLevel="0" collapsed="false">
      <c r="B12" s="5" t="s">
        <v>8</v>
      </c>
      <c r="C12" s="9" t="n">
        <f aca="false">Inputs!$C$43</f>
        <v>0.0583268975896454</v>
      </c>
    </row>
    <row r="13" customFormat="false" ht="15" hidden="false" customHeight="false" outlineLevel="0" collapsed="false">
      <c r="B13" s="7" t="s">
        <v>9</v>
      </c>
      <c r="C13" s="10" t="n">
        <f aca="false">C11-C12</f>
        <v>-0.103446283916505</v>
      </c>
    </row>
    <row r="14" customFormat="false" ht="15" hidden="false" customHeight="false" outlineLevel="0" collapsed="false">
      <c r="B14" s="7" t="s">
        <v>10</v>
      </c>
      <c r="C14" s="11" t="str">
        <f aca="false">IF(C13&gt;=Inputs!$C$44,"Expectations too high",IF(C13&lt;=-Inputs!$C$44,"Expectations too low","About right"))</f>
        <v>Expectations too low</v>
      </c>
    </row>
    <row r="15" customFormat="false" ht="15" hidden="false" customHeight="false" outlineLevel="0" collapsed="false">
      <c r="B15" s="5" t="s">
        <v>11</v>
      </c>
      <c r="C15" s="12" t="n">
        <f aca="false">WACC!$C$35</f>
        <v>0.0812368036285737</v>
      </c>
    </row>
    <row r="16" customFormat="false" ht="15" hidden="false" customHeight="false" outlineLevel="0" collapsed="false">
      <c r="B16" s="5" t="s">
        <v>12</v>
      </c>
      <c r="C16" s="12" t="n">
        <f aca="false">Inputs!$C$37</f>
        <v>0.0283</v>
      </c>
    </row>
    <row r="17" customFormat="false" ht="15" hidden="false" customHeight="false" outlineLevel="0" collapsed="false">
      <c r="B17" s="5" t="s">
        <v>13</v>
      </c>
      <c r="C17" s="9" t="n">
        <f aca="false">Inputs!$C$23</f>
        <v>0.319359756097561</v>
      </c>
    </row>
    <row r="18" customFormat="false" ht="15" hidden="false" customHeight="false" outlineLevel="0" collapsed="false">
      <c r="B18" s="5" t="s">
        <v>14</v>
      </c>
      <c r="C18" s="9" t="n">
        <f aca="false">Inputs!$C$45</f>
        <v>0.0583268975896453</v>
      </c>
    </row>
    <row r="19" customFormat="false" ht="15" hidden="false" customHeight="false" outlineLevel="0" collapsed="false">
      <c r="B19" s="5" t="s">
        <v>15</v>
      </c>
      <c r="C19" s="6" t="n">
        <f aca="false">DCF!$C$41</f>
        <v>175.234245287854</v>
      </c>
    </row>
    <row r="20" customFormat="false" ht="15" hidden="false" customHeight="false" outlineLevel="0" collapsed="false">
      <c r="B20" s="5" t="s">
        <v>16</v>
      </c>
      <c r="C20" s="9" t="n">
        <f aca="false">DCF!$C$43</f>
        <v>1.16300450588085</v>
      </c>
    </row>
    <row r="23" customFormat="false" ht="30" hidden="false" customHeight="true" outlineLevel="0" collapsed="false">
      <c r="B23" s="13"/>
      <c r="C23" s="13"/>
      <c r="D23" s="13"/>
      <c r="E23" s="13"/>
    </row>
    <row r="25" customFormat="false" ht="15" hidden="false" customHeight="false" outlineLevel="0" collapsed="false">
      <c r="B25" s="3" t="s">
        <v>17</v>
      </c>
    </row>
    <row r="26" customFormat="false" ht="15" hidden="false" customHeight="false" outlineLevel="0" collapsed="false">
      <c r="B26" s="5" t="s">
        <v>18</v>
      </c>
    </row>
    <row r="27" customFormat="false" ht="15" hidden="false" customHeight="false" outlineLevel="0" collapsed="false">
      <c r="B27" s="5" t="s">
        <v>19</v>
      </c>
    </row>
    <row r="28" customFormat="false" ht="15" hidden="false" customHeight="false" outlineLevel="0" collapsed="false">
      <c r="B28" s="5" t="s">
        <v>20</v>
      </c>
    </row>
    <row r="29" customFormat="false" ht="15" hidden="false" customHeight="false" outlineLevel="0" collapsed="false">
      <c r="B29" s="5" t="s">
        <v>21</v>
      </c>
    </row>
    <row r="31" customFormat="false" ht="15" hidden="false" customHeight="false" outlineLevel="0" collapsed="false">
      <c r="B31" s="3" t="s">
        <v>22</v>
      </c>
    </row>
    <row r="32" customFormat="false" ht="15" hidden="false" customHeight="false" outlineLevel="0" collapsed="false">
      <c r="B32" s="5" t="s">
        <v>23</v>
      </c>
      <c r="C32" s="14" t="n">
        <v>1234</v>
      </c>
    </row>
    <row r="33" customFormat="false" ht="15" hidden="false" customHeight="false" outlineLevel="0" collapsed="false">
      <c r="B33" s="5" t="s">
        <v>24</v>
      </c>
      <c r="C33" s="15" t="n">
        <f aca="false">C32*2</f>
        <v>2468</v>
      </c>
    </row>
    <row r="34" customFormat="false" ht="15" hidden="false" customHeight="false" outlineLevel="0" collapsed="false">
      <c r="B34" s="5" t="s">
        <v>25</v>
      </c>
      <c r="C34" s="16" t="n">
        <f aca="false">Inputs!$C$12</f>
        <v>6560</v>
      </c>
    </row>
    <row r="35" customFormat="false" ht="15" hidden="false" customHeight="false" outlineLevel="0" collapsed="false">
      <c r="B35" s="5" t="s">
        <v>26</v>
      </c>
      <c r="C35" s="17" t="n">
        <f aca="false">Inputs!$C$45</f>
        <v>0.0583268975896453</v>
      </c>
    </row>
    <row r="37" customFormat="false" ht="15" hidden="false" customHeight="false" outlineLevel="0" collapsed="false">
      <c r="B37" s="3" t="s">
        <v>27</v>
      </c>
    </row>
    <row r="38" customFormat="false" ht="15" hidden="false" customHeight="false" outlineLevel="0" collapsed="false">
      <c r="B38" s="18" t="s">
        <v>28</v>
      </c>
    </row>
    <row r="40" customFormat="false" ht="15" hidden="false" customHeight="false" outlineLevel="0" collapsed="false">
      <c r="B40" s="19" t="s">
        <v>29</v>
      </c>
    </row>
  </sheetData>
  <mergeCells count="2">
    <mergeCell ref="B7:E7"/>
    <mergeCell ref="B23:E23"/>
  </mergeCells>
  <hyperlinks>
    <hyperlink ref="B38" r:id="rId1" display="https://claude.ai/artifact/DS3n4CgaKxaSLzkXDsBKu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2"/>
    <col collapsed="false" customWidth="true" hidden="false" outlineLevel="0" max="5" min="5" style="0" width="90"/>
  </cols>
  <sheetData>
    <row r="2" customFormat="false" ht="19.7" hidden="false" customHeight="false" outlineLevel="0" collapsed="false">
      <c r="B2" s="1" t="s">
        <v>30</v>
      </c>
    </row>
    <row r="3" customFormat="false" ht="15" hidden="false" customHeight="false" outlineLevel="0" collapsed="false">
      <c r="B3" s="2" t="s">
        <v>31</v>
      </c>
    </row>
    <row r="5" customFormat="false" ht="15" hidden="false" customHeight="false" outlineLevel="0" collapsed="false">
      <c r="B5" s="3" t="s">
        <v>32</v>
      </c>
    </row>
    <row r="6" customFormat="false" ht="15" hidden="false" customHeight="false" outlineLevel="0" collapsed="false">
      <c r="B6" s="5" t="s">
        <v>33</v>
      </c>
      <c r="C6" s="20" t="n">
        <v>81.0142765821436</v>
      </c>
      <c r="E6" s="19" t="s">
        <v>34</v>
      </c>
    </row>
    <row r="7" customFormat="false" ht="15" hidden="false" customHeight="false" outlineLevel="0" collapsed="false">
      <c r="B7" s="5" t="s">
        <v>35</v>
      </c>
      <c r="C7" s="21" t="n">
        <v>234.65</v>
      </c>
      <c r="E7" s="19" t="s">
        <v>36</v>
      </c>
    </row>
    <row r="8" customFormat="false" ht="15" hidden="false" customHeight="false" outlineLevel="0" collapsed="false">
      <c r="B8" s="5" t="s">
        <v>37</v>
      </c>
      <c r="C8" s="15" t="n">
        <f aca="false">C6*C7</f>
        <v>19010</v>
      </c>
      <c r="E8" s="19" t="s">
        <v>38</v>
      </c>
    </row>
    <row r="10" customFormat="false" ht="15" hidden="false" customHeight="false" outlineLevel="0" collapsed="false">
      <c r="B10" s="3" t="s">
        <v>39</v>
      </c>
    </row>
    <row r="11" customFormat="false" ht="15" hidden="false" customHeight="false" outlineLevel="0" collapsed="false">
      <c r="B11" s="5" t="s">
        <v>40</v>
      </c>
      <c r="C11" s="14" t="n">
        <v>6560</v>
      </c>
      <c r="E11" s="19" t="s">
        <v>41</v>
      </c>
    </row>
    <row r="12" customFormat="false" ht="15" hidden="false" customHeight="false" outlineLevel="0" collapsed="false">
      <c r="B12" s="5" t="s">
        <v>42</v>
      </c>
      <c r="C12" s="15" t="n">
        <f aca="false">C11</f>
        <v>6560</v>
      </c>
      <c r="E12" s="19" t="s">
        <v>43</v>
      </c>
    </row>
    <row r="13" customFormat="false" ht="15" hidden="false" customHeight="false" outlineLevel="0" collapsed="false">
      <c r="B13" s="5" t="s">
        <v>44</v>
      </c>
      <c r="C13" s="14" t="n">
        <v>1750</v>
      </c>
      <c r="E13" s="19" t="s">
        <v>45</v>
      </c>
    </row>
    <row r="14" customFormat="false" ht="15" hidden="false" customHeight="false" outlineLevel="0" collapsed="false">
      <c r="B14" s="5" t="s">
        <v>46</v>
      </c>
      <c r="C14" s="15" t="n">
        <f aca="false">C13</f>
        <v>1750</v>
      </c>
      <c r="E14" s="19" t="s">
        <v>43</v>
      </c>
    </row>
    <row r="15" customFormat="false" ht="15" hidden="false" customHeight="false" outlineLevel="0" collapsed="false">
      <c r="B15" s="5" t="s">
        <v>47</v>
      </c>
      <c r="C15" s="14" t="n">
        <v>0</v>
      </c>
      <c r="E15" s="19" t="s">
        <v>48</v>
      </c>
    </row>
    <row r="16" customFormat="false" ht="15" hidden="false" customHeight="false" outlineLevel="0" collapsed="false">
      <c r="B16" s="5" t="s">
        <v>49</v>
      </c>
      <c r="C16" s="15" t="n">
        <f aca="false">C14-C15</f>
        <v>1750</v>
      </c>
    </row>
    <row r="17" customFormat="false" ht="15" hidden="false" customHeight="false" outlineLevel="0" collapsed="false">
      <c r="B17" s="5" t="s">
        <v>50</v>
      </c>
      <c r="C17" s="14" t="n">
        <v>1550</v>
      </c>
      <c r="E17" s="19" t="s">
        <v>51</v>
      </c>
    </row>
    <row r="18" customFormat="false" ht="15" hidden="false" customHeight="false" outlineLevel="0" collapsed="false">
      <c r="B18" s="5" t="s">
        <v>52</v>
      </c>
      <c r="C18" s="14" t="n">
        <v>1090</v>
      </c>
      <c r="E18" s="19" t="s">
        <v>51</v>
      </c>
    </row>
    <row r="19" customFormat="false" ht="15" hidden="false" customHeight="false" outlineLevel="0" collapsed="false">
      <c r="B19" s="5" t="s">
        <v>53</v>
      </c>
      <c r="C19" s="15" t="n">
        <f aca="false">MAX(0,C17-C18)</f>
        <v>460</v>
      </c>
      <c r="E19" s="19" t="s">
        <v>54</v>
      </c>
    </row>
    <row r="20" customFormat="false" ht="15" hidden="false" customHeight="false" outlineLevel="0" collapsed="false">
      <c r="B20" s="5" t="s">
        <v>55</v>
      </c>
      <c r="C20" s="22" t="n">
        <v>0.25</v>
      </c>
      <c r="E20" s="19" t="s">
        <v>56</v>
      </c>
    </row>
    <row r="21" customFormat="false" ht="15" hidden="false" customHeight="false" outlineLevel="0" collapsed="false">
      <c r="B21" s="5" t="s">
        <v>57</v>
      </c>
      <c r="C21" s="15" t="n">
        <f aca="false">C19*(1-C20)</f>
        <v>345</v>
      </c>
    </row>
    <row r="22" customFormat="false" ht="15" hidden="false" customHeight="false" outlineLevel="0" collapsed="false">
      <c r="B22" s="5" t="s">
        <v>58</v>
      </c>
      <c r="C22" s="15" t="n">
        <f aca="false">C16+C21</f>
        <v>2095</v>
      </c>
    </row>
    <row r="23" customFormat="false" ht="15" hidden="false" customHeight="false" outlineLevel="0" collapsed="false">
      <c r="B23" s="5" t="s">
        <v>13</v>
      </c>
      <c r="C23" s="23" t="n">
        <f aca="false">C22/C12</f>
        <v>0.319359756097561</v>
      </c>
      <c r="E23" s="19" t="s">
        <v>59</v>
      </c>
    </row>
    <row r="24" customFormat="false" ht="15" hidden="false" customHeight="false" outlineLevel="0" collapsed="false">
      <c r="B24" s="5" t="s">
        <v>60</v>
      </c>
      <c r="C24" s="14" t="n">
        <v>2110</v>
      </c>
      <c r="E24" s="19" t="s">
        <v>51</v>
      </c>
    </row>
    <row r="26" customFormat="false" ht="15" hidden="false" customHeight="false" outlineLevel="0" collapsed="false">
      <c r="B26" s="3" t="s">
        <v>61</v>
      </c>
    </row>
    <row r="27" customFormat="false" ht="15" hidden="false" customHeight="false" outlineLevel="0" collapsed="false">
      <c r="B27" s="5" t="s">
        <v>62</v>
      </c>
      <c r="C27" s="14" t="n">
        <v>7780</v>
      </c>
      <c r="E27" s="19" t="s">
        <v>63</v>
      </c>
    </row>
    <row r="28" customFormat="false" ht="15" hidden="false" customHeight="false" outlineLevel="0" collapsed="false">
      <c r="B28" s="5" t="s">
        <v>64</v>
      </c>
      <c r="C28" s="14" t="n">
        <v>434.8</v>
      </c>
      <c r="E28" s="19" t="s">
        <v>63</v>
      </c>
    </row>
    <row r="29" customFormat="false" ht="15" hidden="false" customHeight="false" outlineLevel="0" collapsed="false">
      <c r="B29" s="5" t="s">
        <v>65</v>
      </c>
      <c r="C29" s="15" t="n">
        <f aca="false">C27-C28</f>
        <v>7345.2</v>
      </c>
    </row>
    <row r="31" customFormat="false" ht="15" hidden="false" customHeight="false" outlineLevel="0" collapsed="false">
      <c r="B31" s="3" t="s">
        <v>66</v>
      </c>
    </row>
    <row r="32" customFormat="false" ht="15" hidden="false" customHeight="false" outlineLevel="0" collapsed="false">
      <c r="B32" s="5" t="s">
        <v>67</v>
      </c>
      <c r="C32" s="24" t="n">
        <v>0.0521</v>
      </c>
      <c r="E32" s="19" t="s">
        <v>68</v>
      </c>
    </row>
    <row r="33" customFormat="false" ht="15" hidden="false" customHeight="false" outlineLevel="0" collapsed="false">
      <c r="B33" s="5" t="s">
        <v>69</v>
      </c>
      <c r="C33" s="24" t="n">
        <v>0.0288</v>
      </c>
      <c r="E33" s="19" t="s">
        <v>70</v>
      </c>
    </row>
    <row r="34" customFormat="false" ht="15" hidden="false" customHeight="false" outlineLevel="0" collapsed="false">
      <c r="B34" s="5" t="s">
        <v>71</v>
      </c>
      <c r="C34" s="25" t="n">
        <f aca="false">C32-C33</f>
        <v>0.0233</v>
      </c>
      <c r="E34" s="19" t="s">
        <v>72</v>
      </c>
    </row>
    <row r="35" customFormat="false" ht="15" hidden="false" customHeight="false" outlineLevel="0" collapsed="false">
      <c r="B35" s="5" t="s">
        <v>73</v>
      </c>
      <c r="C35" s="25" t="n">
        <f aca="false">C32</f>
        <v>0.0521</v>
      </c>
    </row>
    <row r="36" customFormat="false" ht="15" hidden="false" customHeight="false" outlineLevel="0" collapsed="false">
      <c r="B36" s="5" t="s">
        <v>74</v>
      </c>
      <c r="C36" s="24" t="n">
        <v>0.005</v>
      </c>
      <c r="E36" s="19" t="s">
        <v>75</v>
      </c>
    </row>
    <row r="37" customFormat="false" ht="15" hidden="false" customHeight="false" outlineLevel="0" collapsed="false">
      <c r="B37" s="5" t="s">
        <v>12</v>
      </c>
      <c r="C37" s="25" t="n">
        <f aca="false">MIN(C34+C36,C35)</f>
        <v>0.0283</v>
      </c>
      <c r="E37" s="19" t="s">
        <v>76</v>
      </c>
    </row>
    <row r="38" customFormat="false" ht="15" hidden="false" customHeight="false" outlineLevel="0" collapsed="false">
      <c r="B38" s="5" t="s">
        <v>77</v>
      </c>
      <c r="C38" s="24" t="n">
        <v>0.0423</v>
      </c>
      <c r="E38" s="19" t="s">
        <v>78</v>
      </c>
    </row>
    <row r="40" customFormat="false" ht="15" hidden="false" customHeight="false" outlineLevel="0" collapsed="false">
      <c r="B40" s="3" t="s">
        <v>79</v>
      </c>
    </row>
    <row r="41" customFormat="false" ht="15" hidden="false" customHeight="false" outlineLevel="0" collapsed="false">
      <c r="B41" s="5" t="s">
        <v>80</v>
      </c>
      <c r="C41" s="9" t="n">
        <f aca="false">History!$C$12</f>
        <v>0.0599537951792908</v>
      </c>
      <c r="E41" s="19" t="s">
        <v>81</v>
      </c>
    </row>
    <row r="42" customFormat="false" ht="15" hidden="false" customHeight="false" outlineLevel="0" collapsed="false">
      <c r="B42" s="5" t="s">
        <v>82</v>
      </c>
      <c r="C42" s="22" t="n">
        <v>0.0567</v>
      </c>
      <c r="E42" s="19" t="s">
        <v>83</v>
      </c>
    </row>
    <row r="43" customFormat="false" ht="15" hidden="false" customHeight="false" outlineLevel="0" collapsed="false">
      <c r="B43" s="5" t="s">
        <v>84</v>
      </c>
      <c r="C43" s="23" t="n">
        <f aca="false">AVERAGE(C41:C42)</f>
        <v>0.0583268975896454</v>
      </c>
      <c r="E43" s="19" t="s">
        <v>85</v>
      </c>
    </row>
    <row r="44" customFormat="false" ht="15" hidden="false" customHeight="false" outlineLevel="0" collapsed="false">
      <c r="B44" s="5" t="s">
        <v>86</v>
      </c>
      <c r="C44" s="22" t="n">
        <v>0.03</v>
      </c>
      <c r="E44" s="19" t="s">
        <v>87</v>
      </c>
    </row>
    <row r="45" customFormat="false" ht="15" hidden="false" customHeight="false" outlineLevel="0" collapsed="false">
      <c r="B45" s="5" t="s">
        <v>88</v>
      </c>
      <c r="C45" s="26" t="n">
        <v>0.0583268975896453</v>
      </c>
      <c r="E45" s="19" t="s">
        <v>89</v>
      </c>
    </row>
    <row r="46" customFormat="false" ht="15" hidden="false" customHeight="false" outlineLevel="0" collapsed="false">
      <c r="B46" s="5" t="s">
        <v>90</v>
      </c>
      <c r="C46" s="27" t="n">
        <v>5</v>
      </c>
      <c r="E46" s="19" t="s">
        <v>91</v>
      </c>
    </row>
    <row r="47" customFormat="false" ht="15" hidden="false" customHeight="false" outlineLevel="0" collapsed="false">
      <c r="B47" s="5" t="s">
        <v>92</v>
      </c>
      <c r="C47" s="27" t="n">
        <v>5</v>
      </c>
      <c r="E47" s="19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7" min="3" style="0" width="13"/>
    <col collapsed="false" customWidth="true" hidden="false" outlineLevel="0" max="8" min="8" style="0" width="16"/>
    <col collapsed="false" customWidth="true" hidden="false" outlineLevel="0" max="9" min="9" style="0" width="60"/>
  </cols>
  <sheetData>
    <row r="2" customFormat="false" ht="19.7" hidden="false" customHeight="false" outlineLevel="0" collapsed="false">
      <c r="B2" s="1" t="s">
        <v>94</v>
      </c>
    </row>
    <row r="3" customFormat="false" ht="15" hidden="false" customHeight="false" outlineLevel="0" collapsed="false">
      <c r="B3" s="2" t="s">
        <v>95</v>
      </c>
    </row>
    <row r="5" customFormat="false" ht="15" hidden="false" customHeight="false" outlineLevel="0" collapsed="false">
      <c r="B5" s="28" t="s">
        <v>96</v>
      </c>
      <c r="C5" s="28" t="s">
        <v>97</v>
      </c>
      <c r="D5" s="28" t="s">
        <v>98</v>
      </c>
      <c r="E5" s="28" t="s">
        <v>99</v>
      </c>
      <c r="F5" s="28" t="s">
        <v>100</v>
      </c>
      <c r="G5" s="28" t="s">
        <v>101</v>
      </c>
      <c r="H5" s="28" t="s">
        <v>102</v>
      </c>
    </row>
    <row r="6" customFormat="false" ht="15" hidden="false" customHeight="false" outlineLevel="0" collapsed="false">
      <c r="B6" s="5" t="s">
        <v>103</v>
      </c>
      <c r="C6" s="14" t="n">
        <v>5051</v>
      </c>
      <c r="D6" s="14" t="n">
        <v>5283</v>
      </c>
      <c r="E6" s="14" t="n">
        <v>5503</v>
      </c>
      <c r="F6" s="14" t="n">
        <v>5882</v>
      </c>
      <c r="G6" s="14" t="n">
        <v>6272</v>
      </c>
      <c r="H6" s="14" t="n">
        <v>6564</v>
      </c>
    </row>
    <row r="7" customFormat="false" ht="15" hidden="false" customHeight="false" outlineLevel="0" collapsed="false">
      <c r="B7" s="5" t="s">
        <v>104</v>
      </c>
      <c r="D7" s="23" t="n">
        <f aca="false">D6/C6-1</f>
        <v>0.0459314987131261</v>
      </c>
      <c r="E7" s="23" t="n">
        <f aca="false">E6/D6-1</f>
        <v>0.0416430058678781</v>
      </c>
      <c r="F7" s="23" t="n">
        <f aca="false">F6/E6-1</f>
        <v>0.068871524622933</v>
      </c>
      <c r="G7" s="23" t="n">
        <f aca="false">G6/F6-1</f>
        <v>0.0663039782386943</v>
      </c>
    </row>
    <row r="10" customFormat="false" ht="15" hidden="false" customHeight="false" outlineLevel="0" collapsed="false">
      <c r="B10" s="3" t="s">
        <v>105</v>
      </c>
    </row>
    <row r="11" customFormat="false" ht="15" hidden="false" customHeight="false" outlineLevel="0" collapsed="false">
      <c r="B11" s="5" t="s">
        <v>106</v>
      </c>
      <c r="C11" s="29" t="s">
        <v>97</v>
      </c>
      <c r="E11" s="5" t="s">
        <v>107</v>
      </c>
      <c r="G11" s="30" t="n">
        <v>4.5</v>
      </c>
    </row>
    <row r="12" customFormat="false" ht="15" hidden="false" customHeight="false" outlineLevel="0" collapsed="false">
      <c r="B12" s="5" t="s">
        <v>108</v>
      </c>
      <c r="C12" s="23" t="n">
        <f aca="false">(H6/INDEX(C6:H6,MATCH(C11,C5:H5,0)))^(1/G11)-1</f>
        <v>0.0599537951792908</v>
      </c>
      <c r="I12" s="19" t="s">
        <v>81</v>
      </c>
    </row>
    <row r="15" customFormat="false" ht="15" hidden="false" customHeight="false" outlineLevel="0" collapsed="false">
      <c r="B15" s="3" t="s">
        <v>109</v>
      </c>
    </row>
    <row r="16" customFormat="false" ht="15" hidden="false" customHeight="false" outlineLevel="0" collapsed="false">
      <c r="B16" s="28" t="s">
        <v>96</v>
      </c>
      <c r="C16" s="28" t="s">
        <v>110</v>
      </c>
      <c r="D16" s="28" t="s">
        <v>111</v>
      </c>
      <c r="E16" s="28" t="s">
        <v>112</v>
      </c>
      <c r="F16" s="28" t="s">
        <v>113</v>
      </c>
      <c r="G16" s="28" t="s">
        <v>114</v>
      </c>
    </row>
    <row r="17" customFormat="false" ht="15" hidden="false" customHeight="false" outlineLevel="0" collapsed="false">
      <c r="B17" s="5" t="s">
        <v>115</v>
      </c>
      <c r="C17" s="22" t="n">
        <v>0.2727</v>
      </c>
      <c r="D17" s="22" t="n">
        <v>0.2027</v>
      </c>
      <c r="E17" s="22" t="n">
        <v>0.2105</v>
      </c>
      <c r="F17" s="22" t="n">
        <v>0.2256</v>
      </c>
      <c r="G17" s="22" t="n">
        <v>0.2653</v>
      </c>
      <c r="I17" s="19" t="s">
        <v>116</v>
      </c>
    </row>
    <row r="18" customFormat="false" ht="15" hidden="false" customHeight="false" outlineLevel="0" collapsed="false">
      <c r="B18" s="5" t="s">
        <v>117</v>
      </c>
      <c r="C18" s="23" t="n">
        <f aca="false">C17+(Inputs!$C$23-Inputs!$C$16/Inputs!$C$12)</f>
        <v>0.325291463414634</v>
      </c>
      <c r="D18" s="23" t="n">
        <f aca="false">D17+(Inputs!$C$23-Inputs!$C$16/Inputs!$C$12)</f>
        <v>0.255291463414634</v>
      </c>
      <c r="E18" s="23" t="n">
        <f aca="false">E17+(Inputs!$C$23-Inputs!$C$16/Inputs!$C$12)</f>
        <v>0.263091463414634</v>
      </c>
      <c r="F18" s="23" t="n">
        <f aca="false">F17+(Inputs!$C$23-Inputs!$C$16/Inputs!$C$12)</f>
        <v>0.278191463414634</v>
      </c>
      <c r="G18" s="23" t="n">
        <f aca="false">G17+(Inputs!$C$23-Inputs!$C$16/Inputs!$C$12)</f>
        <v>0.317891463414634</v>
      </c>
    </row>
    <row r="19" customFormat="false" ht="15" hidden="false" customHeight="false" outlineLevel="0" collapsed="false">
      <c r="B19" s="5" t="s">
        <v>118</v>
      </c>
      <c r="C19" s="23" t="n">
        <f aca="false">MIN(C18:G18)</f>
        <v>0.255291463414634</v>
      </c>
      <c r="D19" s="23" t="n">
        <f aca="false">MAX(C18:G18)</f>
        <v>0.325291463414634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7" min="3" style="0" width="14"/>
    <col collapsed="false" customWidth="true" hidden="false" outlineLevel="0" max="8" min="8" style="0" width="60"/>
  </cols>
  <sheetData>
    <row r="2" customFormat="false" ht="19.7" hidden="false" customHeight="false" outlineLevel="0" collapsed="false">
      <c r="B2" s="1" t="s">
        <v>119</v>
      </c>
    </row>
    <row r="3" customFormat="false" ht="15" hidden="false" customHeight="false" outlineLevel="0" collapsed="false">
      <c r="B3" s="2" t="s">
        <v>120</v>
      </c>
    </row>
    <row r="5" customFormat="false" ht="15" hidden="false" customHeight="false" outlineLevel="0" collapsed="false">
      <c r="B5" s="28" t="s">
        <v>121</v>
      </c>
      <c r="C5" s="28" t="s">
        <v>122</v>
      </c>
      <c r="D5" s="28" t="s">
        <v>123</v>
      </c>
      <c r="E5" s="28" t="s">
        <v>124</v>
      </c>
      <c r="F5" s="28" t="s">
        <v>55</v>
      </c>
      <c r="G5" s="28" t="s">
        <v>125</v>
      </c>
    </row>
    <row r="6" customFormat="false" ht="15" hidden="false" customHeight="false" outlineLevel="0" collapsed="false">
      <c r="B6" s="5" t="s">
        <v>126</v>
      </c>
      <c r="C6" s="31" t="n">
        <v>0.769330232518927</v>
      </c>
      <c r="D6" s="14" t="n">
        <v>1540</v>
      </c>
      <c r="E6" s="14" t="n">
        <v>10290</v>
      </c>
      <c r="F6" s="22" t="n">
        <v>0.25</v>
      </c>
      <c r="G6" s="32" t="n">
        <f aca="false">C6/(1+(1-F6)*D6/E6)</f>
        <v>0.691691401714264</v>
      </c>
      <c r="H6" s="19" t="s">
        <v>127</v>
      </c>
    </row>
    <row r="7" customFormat="false" ht="15" hidden="false" customHeight="false" outlineLevel="0" collapsed="false">
      <c r="B7" s="5" t="s">
        <v>128</v>
      </c>
      <c r="C7" s="31" t="n">
        <v>0.766558343640791</v>
      </c>
      <c r="D7" s="14" t="n">
        <v>3210</v>
      </c>
      <c r="E7" s="14" t="n">
        <v>45600</v>
      </c>
      <c r="F7" s="22" t="n">
        <v>0.25</v>
      </c>
      <c r="G7" s="32" t="n">
        <f aca="false">C7/(1+(1-F7)*D7/E7)</f>
        <v>0.728116658230903</v>
      </c>
    </row>
    <row r="8" customFormat="false" ht="15" hidden="false" customHeight="false" outlineLevel="0" collapsed="false">
      <c r="B8" s="5" t="s">
        <v>129</v>
      </c>
      <c r="C8" s="31" t="n">
        <v>0.923134711556654</v>
      </c>
      <c r="D8" s="14" t="n">
        <v>3520</v>
      </c>
      <c r="E8" s="14" t="n">
        <v>19020</v>
      </c>
      <c r="F8" s="22" t="n">
        <v>0.25</v>
      </c>
      <c r="G8" s="32" t="n">
        <f aca="false">C8/(1+(1-F8)*D8/E8)</f>
        <v>0.810619677461106</v>
      </c>
    </row>
    <row r="9" customFormat="false" ht="15" hidden="false" customHeight="false" outlineLevel="0" collapsed="false">
      <c r="B9" s="7" t="s">
        <v>130</v>
      </c>
      <c r="C9" s="31" t="n">
        <v>1.08729648487927</v>
      </c>
      <c r="D9" s="14" t="n">
        <v>7780</v>
      </c>
      <c r="E9" s="14" t="n">
        <v>19010</v>
      </c>
      <c r="F9" s="22" t="n">
        <v>0.25</v>
      </c>
      <c r="G9" s="32" t="n">
        <f aca="false">C9/(1+(1-F9)*D9/E9)</f>
        <v>0.83193826434111</v>
      </c>
    </row>
    <row r="10" customFormat="false" ht="15" hidden="false" customHeight="false" outlineLevel="0" collapsed="false">
      <c r="B10" s="5" t="s">
        <v>131</v>
      </c>
      <c r="C10" s="31" t="n">
        <v>0.687897840873463</v>
      </c>
      <c r="D10" s="14" t="n">
        <v>4620</v>
      </c>
      <c r="E10" s="14" t="n">
        <v>22990</v>
      </c>
      <c r="F10" s="22" t="n">
        <v>0.25</v>
      </c>
      <c r="G10" s="32" t="n">
        <f aca="false">C10/(1+(1-F10)*D10/E10)</f>
        <v>0.597798955270493</v>
      </c>
    </row>
    <row r="12" customFormat="false" ht="15" hidden="false" customHeight="false" outlineLevel="0" collapsed="false">
      <c r="B12" s="5" t="s">
        <v>132</v>
      </c>
      <c r="C12" s="32" t="n">
        <f aca="false">MEDIAN(G6:G10)</f>
        <v>0.728116658230903</v>
      </c>
    </row>
    <row r="13" customFormat="false" ht="15" hidden="false" customHeight="false" outlineLevel="0" collapsed="false">
      <c r="B13" s="5" t="s">
        <v>123</v>
      </c>
      <c r="C13" s="16" t="n">
        <f aca="false">Inputs!$C$27</f>
        <v>7780</v>
      </c>
    </row>
    <row r="14" customFormat="false" ht="15" hidden="false" customHeight="false" outlineLevel="0" collapsed="false">
      <c r="B14" s="5" t="s">
        <v>37</v>
      </c>
      <c r="C14" s="16" t="n">
        <f aca="false">Inputs!$C$8</f>
        <v>19010</v>
      </c>
    </row>
    <row r="15" customFormat="false" ht="15" hidden="false" customHeight="false" outlineLevel="0" collapsed="false">
      <c r="B15" s="5" t="s">
        <v>55</v>
      </c>
      <c r="C15" s="9" t="n">
        <f aca="false">Inputs!$C$20</f>
        <v>0.25</v>
      </c>
    </row>
    <row r="16" customFormat="false" ht="15" hidden="false" customHeight="false" outlineLevel="0" collapsed="false">
      <c r="B16" s="5" t="s">
        <v>133</v>
      </c>
      <c r="C16" s="32" t="n">
        <f aca="false">WACC!$C$12*(1+(1-WACC!$C$15)*WACC!$C$13/WACC!$C$14)</f>
        <v>0.951607489413297</v>
      </c>
      <c r="H16" s="19" t="s">
        <v>134</v>
      </c>
    </row>
    <row r="17" customFormat="false" ht="15" hidden="false" customHeight="false" outlineLevel="0" collapsed="false">
      <c r="B17" s="5" t="s">
        <v>135</v>
      </c>
      <c r="C17" s="12" t="n">
        <f aca="false">Inputs!$C$35</f>
        <v>0.0521</v>
      </c>
    </row>
    <row r="18" customFormat="false" ht="15" hidden="false" customHeight="false" outlineLevel="0" collapsed="false">
      <c r="B18" s="5" t="s">
        <v>77</v>
      </c>
      <c r="C18" s="12" t="n">
        <f aca="false">Inputs!$C$38</f>
        <v>0.0423</v>
      </c>
    </row>
    <row r="19" customFormat="false" ht="15" hidden="false" customHeight="false" outlineLevel="0" collapsed="false">
      <c r="B19" s="5" t="s">
        <v>136</v>
      </c>
      <c r="C19" s="25" t="n">
        <f aca="false">WACC!$C$17+WACC!$C$16*WACC!$C$18</f>
        <v>0.0923529968021825</v>
      </c>
      <c r="H19" s="19" t="s">
        <v>137</v>
      </c>
    </row>
    <row r="21" customFormat="false" ht="15" hidden="false" customHeight="false" outlineLevel="0" collapsed="false">
      <c r="B21" s="3" t="s">
        <v>138</v>
      </c>
    </row>
    <row r="22" customFormat="false" ht="15" hidden="false" customHeight="false" outlineLevel="0" collapsed="false">
      <c r="B22" s="28" t="s">
        <v>139</v>
      </c>
      <c r="C22" s="28" t="s">
        <v>140</v>
      </c>
    </row>
    <row r="23" customFormat="false" ht="15" hidden="false" customHeight="false" outlineLevel="0" collapsed="false">
      <c r="B23" s="33" t="n">
        <v>1</v>
      </c>
      <c r="C23" s="24" t="n">
        <v>0.01</v>
      </c>
      <c r="H23" s="19" t="s">
        <v>141</v>
      </c>
    </row>
    <row r="24" customFormat="false" ht="15" hidden="false" customHeight="false" outlineLevel="0" collapsed="false">
      <c r="B24" s="33" t="n">
        <v>2</v>
      </c>
      <c r="C24" s="24" t="n">
        <v>0.0125</v>
      </c>
    </row>
    <row r="25" customFormat="false" ht="15" hidden="false" customHeight="false" outlineLevel="0" collapsed="false">
      <c r="B25" s="33" t="n">
        <v>3</v>
      </c>
      <c r="C25" s="24" t="n">
        <v>0.016</v>
      </c>
    </row>
    <row r="26" customFormat="false" ht="15" hidden="false" customHeight="false" outlineLevel="0" collapsed="false">
      <c r="B26" s="33" t="n">
        <v>4</v>
      </c>
      <c r="C26" s="24" t="n">
        <v>0.02</v>
      </c>
    </row>
    <row r="27" customFormat="false" ht="15" hidden="false" customHeight="false" outlineLevel="0" collapsed="false">
      <c r="B27" s="33" t="n">
        <v>99</v>
      </c>
      <c r="C27" s="24" t="n">
        <v>0.0275</v>
      </c>
    </row>
    <row r="29" customFormat="false" ht="15" hidden="false" customHeight="false" outlineLevel="0" collapsed="false">
      <c r="B29" s="5" t="s">
        <v>142</v>
      </c>
      <c r="C29" s="34" t="n">
        <f aca="false">Inputs!$C$27/Inputs!$C$24</f>
        <v>3.68720379146919</v>
      </c>
    </row>
    <row r="30" customFormat="false" ht="15" hidden="false" customHeight="false" outlineLevel="0" collapsed="false">
      <c r="B30" s="5" t="s">
        <v>143</v>
      </c>
      <c r="C30" s="25" t="n">
        <f aca="false">INDEX(C23:C27,COUNTIF(B23:B27,"&lt;="&amp;WACC!$C$29)+1)</f>
        <v>0.02</v>
      </c>
      <c r="H30" s="19" t="s">
        <v>144</v>
      </c>
    </row>
    <row r="31" customFormat="false" ht="15" hidden="false" customHeight="false" outlineLevel="0" collapsed="false">
      <c r="B31" s="5" t="s">
        <v>145</v>
      </c>
      <c r="C31" s="25" t="n">
        <f aca="false">WACC!$C$17+WACC!$C$30</f>
        <v>0.0721</v>
      </c>
    </row>
    <row r="32" customFormat="false" ht="15" hidden="false" customHeight="false" outlineLevel="0" collapsed="false">
      <c r="B32" s="5" t="s">
        <v>146</v>
      </c>
      <c r="C32" s="25" t="n">
        <f aca="false">WACC!$C$31*(1-WACC!$C$15)</f>
        <v>0.054075</v>
      </c>
    </row>
    <row r="33" customFormat="false" ht="15" hidden="false" customHeight="false" outlineLevel="0" collapsed="false">
      <c r="B33" s="5" t="s">
        <v>147</v>
      </c>
      <c r="C33" s="23" t="n">
        <f aca="false">WACC!$C$13/(WACC!$C$13+WACC!$C$14)</f>
        <v>0.290406868234416</v>
      </c>
      <c r="H33" s="19" t="s">
        <v>148</v>
      </c>
    </row>
    <row r="34" customFormat="false" ht="15" hidden="false" customHeight="false" outlineLevel="0" collapsed="false">
      <c r="B34" s="5" t="s">
        <v>149</v>
      </c>
      <c r="C34" s="23" t="n">
        <f aca="false">1-WACC!$C$33</f>
        <v>0.709593131765584</v>
      </c>
    </row>
    <row r="35" customFormat="false" ht="15" hidden="false" customHeight="false" outlineLevel="0" collapsed="false">
      <c r="B35" s="5" t="s">
        <v>11</v>
      </c>
      <c r="C35" s="35" t="n">
        <f aca="false">WACC!$C$34*WACC!$C$19+WACC!$C$33*WACC!$C$32</f>
        <v>0.0812368036285737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0"/>
    <col collapsed="false" customWidth="true" hidden="false" outlineLevel="0" max="20" min="4" style="0" width="11"/>
  </cols>
  <sheetData>
    <row r="1" customFormat="false" ht="15" hidden="false" customHeight="false" outlineLevel="0" collapsed="false">
      <c r="A1" s="3" t="s">
        <v>150</v>
      </c>
    </row>
    <row r="2" customFormat="false" ht="15" hidden="false" customHeight="false" outlineLevel="0" collapsed="false">
      <c r="B2" s="5" t="s">
        <v>151</v>
      </c>
      <c r="C2" s="16" t="n">
        <f aca="false">Inputs!$C$12</f>
        <v>6560</v>
      </c>
      <c r="D2" s="5" t="s">
        <v>152</v>
      </c>
      <c r="E2" s="9" t="n">
        <f aca="false">Inputs!$C$23</f>
        <v>0.319359756097561</v>
      </c>
      <c r="F2" s="5" t="s">
        <v>153</v>
      </c>
      <c r="G2" s="16" t="n">
        <f aca="false">Inputs!$C$27</f>
        <v>7780</v>
      </c>
      <c r="H2" s="5" t="s">
        <v>154</v>
      </c>
      <c r="I2" s="16" t="n">
        <f aca="false">Inputs!$C$28</f>
        <v>434.8</v>
      </c>
      <c r="J2" s="5" t="s">
        <v>155</v>
      </c>
      <c r="K2" s="36" t="n">
        <f aca="false">Inputs!$C$7</f>
        <v>234.65</v>
      </c>
      <c r="L2" s="5" t="s">
        <v>156</v>
      </c>
      <c r="M2" s="6" t="n">
        <f aca="false">Inputs!$C$6</f>
        <v>81.0142765821436</v>
      </c>
      <c r="N2" s="5" t="s">
        <v>157</v>
      </c>
      <c r="O2" s="37" t="n">
        <f aca="false">Inputs!$C$46</f>
        <v>5</v>
      </c>
      <c r="P2" s="5" t="s">
        <v>158</v>
      </c>
      <c r="Q2" s="37" t="n">
        <f aca="false">Inputs!$C$47</f>
        <v>5</v>
      </c>
    </row>
    <row r="3" customFormat="false" ht="15" hidden="false" customHeight="false" outlineLevel="0" collapsed="false">
      <c r="D3" s="38" t="s">
        <v>159</v>
      </c>
      <c r="E3" s="39" t="n">
        <v>1</v>
      </c>
      <c r="F3" s="39" t="n">
        <v>2</v>
      </c>
      <c r="G3" s="39" t="n">
        <v>3</v>
      </c>
      <c r="H3" s="39" t="n">
        <v>4</v>
      </c>
      <c r="I3" s="39" t="n">
        <v>5</v>
      </c>
      <c r="J3" s="39" t="n">
        <v>6</v>
      </c>
      <c r="K3" s="39" t="n">
        <v>7</v>
      </c>
      <c r="L3" s="39" t="n">
        <v>8</v>
      </c>
      <c r="M3" s="39" t="n">
        <v>9</v>
      </c>
      <c r="N3" s="39" t="n">
        <v>10</v>
      </c>
    </row>
    <row r="4" customFormat="false" ht="15" hidden="false" customHeight="false" outlineLevel="0" collapsed="false">
      <c r="A4" s="19" t="s">
        <v>160</v>
      </c>
    </row>
    <row r="6" customFormat="false" ht="15" hidden="false" customHeight="false" outlineLevel="0" collapsed="false">
      <c r="A6" s="38" t="s">
        <v>161</v>
      </c>
      <c r="E6" s="5" t="s">
        <v>11</v>
      </c>
      <c r="F6" s="12" t="n">
        <f aca="false">WACC!$C$35</f>
        <v>0.0812368036285737</v>
      </c>
      <c r="G6" s="5" t="s">
        <v>12</v>
      </c>
      <c r="I6" s="12" t="n">
        <f aca="false">Inputs!$C$37</f>
        <v>0.0283</v>
      </c>
      <c r="W6" s="38" t="s">
        <v>162</v>
      </c>
    </row>
    <row r="7" customFormat="false" ht="23.85" hidden="false" customHeight="false" outlineLevel="0" collapsed="false">
      <c r="A7" s="38" t="s">
        <v>163</v>
      </c>
      <c r="B7" s="28" t="s">
        <v>164</v>
      </c>
      <c r="C7" s="28" t="s">
        <v>165</v>
      </c>
      <c r="D7" s="28" t="s">
        <v>166</v>
      </c>
      <c r="E7" s="28" t="s">
        <v>167</v>
      </c>
      <c r="F7" s="28" t="s">
        <v>168</v>
      </c>
      <c r="G7" s="28" t="s">
        <v>169</v>
      </c>
      <c r="H7" s="28" t="s">
        <v>170</v>
      </c>
      <c r="I7" s="28" t="s">
        <v>171</v>
      </c>
      <c r="J7" s="28" t="s">
        <v>172</v>
      </c>
      <c r="K7" s="28" t="s">
        <v>173</v>
      </c>
      <c r="L7" s="28" t="s">
        <v>174</v>
      </c>
      <c r="M7" s="28" t="s">
        <v>175</v>
      </c>
      <c r="N7" s="28" t="s">
        <v>176</v>
      </c>
      <c r="O7" s="28" t="s">
        <v>177</v>
      </c>
      <c r="P7" s="28" t="s">
        <v>178</v>
      </c>
      <c r="Q7" s="28" t="s">
        <v>179</v>
      </c>
      <c r="R7" s="28" t="s">
        <v>180</v>
      </c>
      <c r="S7" s="28" t="s">
        <v>181</v>
      </c>
      <c r="T7" s="28" t="s">
        <v>182</v>
      </c>
      <c r="W7" s="40" t="n">
        <f aca="false">$D$47</f>
        <v>-0.04511938632686</v>
      </c>
    </row>
    <row r="8" customFormat="false" ht="15" hidden="false" customHeight="false" outlineLevel="0" collapsed="false">
      <c r="A8" s="5" t="n">
        <v>1</v>
      </c>
      <c r="B8" s="24" t="n">
        <v>-0.5</v>
      </c>
      <c r="C8" s="24" t="n">
        <v>1</v>
      </c>
      <c r="D8" s="41" t="n">
        <f aca="false">(B8+C8)/2</f>
        <v>0.25</v>
      </c>
      <c r="E8" s="15" t="n">
        <f aca="false">$C$2*(1+IF(E$3&lt;=$O$2,$D8,$D8-($D8-$I$6)*MIN(E$3-$O$2,$Q$2)/$Q$2))</f>
        <v>8200</v>
      </c>
      <c r="F8" s="15" t="n">
        <f aca="false">E8*(1+IF(F$3&lt;=$O$2,$D8,$D8-($D8-$I$6)*MIN(F$3-$O$2,$Q$2)/$Q$2))</f>
        <v>10250</v>
      </c>
      <c r="G8" s="15" t="n">
        <f aca="false">F8*(1+IF(G$3&lt;=$O$2,$D8,$D8-($D8-$I$6)*MIN(G$3-$O$2,$Q$2)/$Q$2))</f>
        <v>12812.5</v>
      </c>
      <c r="H8" s="15" t="n">
        <f aca="false">G8*(1+IF(H$3&lt;=$O$2,$D8,$D8-($D8-$I$6)*MIN(H$3-$O$2,$Q$2)/$Q$2))</f>
        <v>16015.625</v>
      </c>
      <c r="I8" s="15" t="n">
        <f aca="false">H8*(1+IF(I$3&lt;=$O$2,$D8,$D8-($D8-$I$6)*MIN(I$3-$O$2,$Q$2)/$Q$2))</f>
        <v>20019.53125</v>
      </c>
      <c r="J8" s="15" t="n">
        <f aca="false">I8*(1+IF(J$3&lt;=$O$2,$D8,$D8-($D8-$I$6)*MIN(J$3-$O$2,$Q$2)/$Q$2))</f>
        <v>24136.748046875</v>
      </c>
      <c r="K8" s="15" t="n">
        <f aca="false">J8*(1+IF(K$3&lt;=$O$2,$D8,$D8-($D8-$I$6)*MIN(K$3-$O$2,$Q$2)/$Q$2))</f>
        <v>28030.4882417969</v>
      </c>
      <c r="L8" s="15" t="n">
        <f aca="false">K8*(1+IF(L$3&lt;=$O$2,$D8,$D8-($D8-$I$6)*MIN(L$3-$O$2,$Q$2)/$Q$2))</f>
        <v>31309.4947563223</v>
      </c>
      <c r="M8" s="15" t="n">
        <f aca="false">L8*(1+IF(M$3&lt;=$O$2,$D8,$D8-($D8-$I$6)*MIN(M$3-$O$2,$Q$2)/$Q$2))</f>
        <v>33583.8164554215</v>
      </c>
      <c r="N8" s="15" t="n">
        <f aca="false">M8*(1+IF(N$3&lt;=$O$2,$D8,$D8-($D8-$I$6)*MIN(N$3-$O$2,$Q$2)/$Q$2))</f>
        <v>34534.23846111</v>
      </c>
      <c r="O8" s="15" t="n">
        <f aca="false">SUMPRODUCT(E8:N8,1/(1+$F$6)^$E$3:$N$3)*$E$2</f>
        <v>42247.3609864148</v>
      </c>
      <c r="P8" s="15" t="n">
        <f aca="false">N8*$E$2*(1+$I$6)/($F$6-$I$6)/(1+$F$6)^$N$3</f>
        <v>98103.3849891713</v>
      </c>
      <c r="Q8" s="15" t="n">
        <f aca="false">O8+P8</f>
        <v>140350.745975586</v>
      </c>
      <c r="R8" s="15" t="n">
        <f aca="false">Q8-$G$2+$I$2</f>
        <v>133005.545975586</v>
      </c>
      <c r="S8" s="42" t="n">
        <f aca="false">R8/$K$2</f>
        <v>566.825254530518</v>
      </c>
      <c r="T8" s="43" t="n">
        <f aca="false">S8-$M$2</f>
        <v>485.810977948374</v>
      </c>
      <c r="W8" s="5" t="str">
        <f aca="false">IF(OR(ABS(W7+0.5)&lt;0.000001,ABS(W7-1)&lt;0.000001),"Out of range","Solved")</f>
        <v>Solved</v>
      </c>
    </row>
    <row r="9" customFormat="false" ht="15" hidden="false" customHeight="false" outlineLevel="0" collapsed="false">
      <c r="A9" s="5" t="n">
        <v>2</v>
      </c>
      <c r="B9" s="25" t="n">
        <f aca="false">IF(T8&gt;0,B8,D8)</f>
        <v>-0.5</v>
      </c>
      <c r="C9" s="25" t="n">
        <f aca="false">IF(T8&gt;0,D8,C8)</f>
        <v>0.25</v>
      </c>
      <c r="D9" s="41" t="n">
        <f aca="false">(B9+C9)/2</f>
        <v>-0.125</v>
      </c>
      <c r="E9" s="15" t="n">
        <f aca="false">$C$2*(1+IF(E$3&lt;=$O$2,$D9,$D9-($D9-$I$6)*MIN(E$3-$O$2,$Q$2)/$Q$2))</f>
        <v>5740</v>
      </c>
      <c r="F9" s="15" t="n">
        <f aca="false">E9*(1+IF(F$3&lt;=$O$2,$D9,$D9-($D9-$I$6)*MIN(F$3-$O$2,$Q$2)/$Q$2))</f>
        <v>5022.5</v>
      </c>
      <c r="G9" s="15" t="n">
        <f aca="false">F9*(1+IF(G$3&lt;=$O$2,$D9,$D9-($D9-$I$6)*MIN(G$3-$O$2,$Q$2)/$Q$2))</f>
        <v>4394.6875</v>
      </c>
      <c r="H9" s="15" t="n">
        <f aca="false">G9*(1+IF(H$3&lt;=$O$2,$D9,$D9-($D9-$I$6)*MIN(H$3-$O$2,$Q$2)/$Q$2))</f>
        <v>3845.3515625</v>
      </c>
      <c r="I9" s="15" t="n">
        <f aca="false">H9*(1+IF(I$3&lt;=$O$2,$D9,$D9-($D9-$I$6)*MIN(I$3-$O$2,$Q$2)/$Q$2))</f>
        <v>3364.6826171875</v>
      </c>
      <c r="J9" s="15" t="n">
        <f aca="false">I9*(1+IF(J$3&lt;=$O$2,$D9,$D9-($D9-$I$6)*MIN(J$3-$O$2,$Q$2)/$Q$2))</f>
        <v>3047.25845908203</v>
      </c>
      <c r="K9" s="15" t="n">
        <f aca="false">J9*(1+IF(K$3&lt;=$O$2,$D9,$D9-($D9-$I$6)*MIN(K$3-$O$2,$Q$2)/$Q$2))</f>
        <v>2853.20904040769</v>
      </c>
      <c r="L9" s="15" t="n">
        <f aca="false">K9*(1+IF(L$3&lt;=$O$2,$D9,$D9-($D9-$I$6)*MIN(L$3-$O$2,$Q$2)/$Q$2))</f>
        <v>2758.99607789343</v>
      </c>
      <c r="M9" s="15" t="n">
        <f aca="false">L9*(1+IF(M$3&lt;=$O$2,$D9,$D9-($D9-$I$6)*MIN(M$3-$O$2,$Q$2)/$Q$2))</f>
        <v>2752.4848471496</v>
      </c>
      <c r="N9" s="15" t="n">
        <f aca="false">M9*(1+IF(N$3&lt;=$O$2,$D9,$D9-($D9-$I$6)*MIN(N$3-$O$2,$Q$2)/$Q$2))</f>
        <v>2830.38016832393</v>
      </c>
      <c r="O9" s="15" t="n">
        <f aca="false">SUMPRODUCT(E9:N9,1/(1+$F$6)^$E$3:$N$3)*$E$2</f>
        <v>8260.74659139854</v>
      </c>
      <c r="P9" s="15" t="n">
        <f aca="false">N9*$E$2*(1+$I$6)/($F$6-$I$6)/(1+$F$6)^$N$3</f>
        <v>8040.42271357715</v>
      </c>
      <c r="Q9" s="15" t="n">
        <f aca="false">O9+P9</f>
        <v>16301.1693049757</v>
      </c>
      <c r="R9" s="15" t="n">
        <f aca="false">Q9-$G$2+$I$2</f>
        <v>8955.96930497568</v>
      </c>
      <c r="S9" s="42" t="n">
        <f aca="false">R9/$K$2</f>
        <v>38.167352674092</v>
      </c>
      <c r="T9" s="43" t="n">
        <f aca="false">S9-$M$2</f>
        <v>-42.8469239080516</v>
      </c>
    </row>
    <row r="10" customFormat="false" ht="15" hidden="false" customHeight="false" outlineLevel="0" collapsed="false">
      <c r="A10" s="5" t="n">
        <v>3</v>
      </c>
      <c r="B10" s="25" t="n">
        <f aca="false">IF(T9&gt;0,B9,D9)</f>
        <v>-0.125</v>
      </c>
      <c r="C10" s="25" t="n">
        <f aca="false">IF(T9&gt;0,D9,C9)</f>
        <v>0.25</v>
      </c>
      <c r="D10" s="41" t="n">
        <f aca="false">(B10+C10)/2</f>
        <v>0.0625</v>
      </c>
      <c r="E10" s="15" t="n">
        <f aca="false">$C$2*(1+IF(E$3&lt;=$O$2,$D10,$D10-($D10-$I$6)*MIN(E$3-$O$2,$Q$2)/$Q$2))</f>
        <v>6970</v>
      </c>
      <c r="F10" s="15" t="n">
        <f aca="false">E10*(1+IF(F$3&lt;=$O$2,$D10,$D10-($D10-$I$6)*MIN(F$3-$O$2,$Q$2)/$Q$2))</f>
        <v>7405.625</v>
      </c>
      <c r="G10" s="15" t="n">
        <f aca="false">F10*(1+IF(G$3&lt;=$O$2,$D10,$D10-($D10-$I$6)*MIN(G$3-$O$2,$Q$2)/$Q$2))</f>
        <v>7868.4765625</v>
      </c>
      <c r="H10" s="15" t="n">
        <f aca="false">G10*(1+IF(H$3&lt;=$O$2,$D10,$D10-($D10-$I$6)*MIN(H$3-$O$2,$Q$2)/$Q$2))</f>
        <v>8360.25634765625</v>
      </c>
      <c r="I10" s="15" t="n">
        <f aca="false">H10*(1+IF(I$3&lt;=$O$2,$D10,$D10-($D10-$I$6)*MIN(I$3-$O$2,$Q$2)/$Q$2))</f>
        <v>8882.77236938477</v>
      </c>
      <c r="J10" s="15" t="n">
        <f aca="false">I10*(1+IF(J$3&lt;=$O$2,$D10,$D10-($D10-$I$6)*MIN(J$3-$O$2,$Q$2)/$Q$2))</f>
        <v>9377.18747946472</v>
      </c>
      <c r="K10" s="15" t="n">
        <f aca="false">J10*(1+IF(K$3&lt;=$O$2,$D10,$D10-($D10-$I$6)*MIN(K$3-$O$2,$Q$2)/$Q$2))</f>
        <v>9834.98177221219</v>
      </c>
      <c r="L10" s="15" t="n">
        <f aca="false">K10*(1+IF(L$3&lt;=$O$2,$D10,$D10-($D10-$I$6)*MIN(L$3-$O$2,$Q$2)/$Q$2))</f>
        <v>10247.8543070097</v>
      </c>
      <c r="M10" s="15" t="n">
        <f aca="false">L10*(1+IF(M$3&lt;=$O$2,$D10,$D10-($D10-$I$6)*MIN(M$3-$O$2,$Q$2)/$Q$2))</f>
        <v>10607.963907358</v>
      </c>
      <c r="N10" s="15" t="n">
        <f aca="false">M10*(1+IF(N$3&lt;=$O$2,$D10,$D10-($D10-$I$6)*MIN(N$3-$O$2,$Q$2)/$Q$2))</f>
        <v>10908.1692859362</v>
      </c>
      <c r="O10" s="15" t="n">
        <f aca="false">SUMPRODUCT(E10:N10,1/(1+$F$6)^$E$3:$N$3)*$E$2</f>
        <v>18659.8020835517</v>
      </c>
      <c r="P10" s="15" t="n">
        <f aca="false">N10*$E$2*(1+$I$6)/($F$6-$I$6)/(1+$F$6)^$N$3</f>
        <v>30987.4599432779</v>
      </c>
      <c r="Q10" s="15" t="n">
        <f aca="false">O10+P10</f>
        <v>49647.2620268296</v>
      </c>
      <c r="R10" s="15" t="n">
        <f aca="false">Q10-$G$2+$I$2</f>
        <v>42302.0620268296</v>
      </c>
      <c r="S10" s="42" t="n">
        <f aca="false">R10/$K$2</f>
        <v>180.2772726479</v>
      </c>
      <c r="T10" s="43" t="n">
        <f aca="false">S10-$M$2</f>
        <v>99.2629960657559</v>
      </c>
    </row>
    <row r="11" customFormat="false" ht="15" hidden="false" customHeight="false" outlineLevel="0" collapsed="false">
      <c r="A11" s="5" t="n">
        <v>4</v>
      </c>
      <c r="B11" s="25" t="n">
        <f aca="false">IF(T10&gt;0,B10,D10)</f>
        <v>-0.125</v>
      </c>
      <c r="C11" s="25" t="n">
        <f aca="false">IF(T10&gt;0,D10,C10)</f>
        <v>0.0625</v>
      </c>
      <c r="D11" s="41" t="n">
        <f aca="false">(B11+C11)/2</f>
        <v>-0.03125</v>
      </c>
      <c r="E11" s="15" t="n">
        <f aca="false">$C$2*(1+IF(E$3&lt;=$O$2,$D11,$D11-($D11-$I$6)*MIN(E$3-$O$2,$Q$2)/$Q$2))</f>
        <v>6355</v>
      </c>
      <c r="F11" s="15" t="n">
        <f aca="false">E11*(1+IF(F$3&lt;=$O$2,$D11,$D11-($D11-$I$6)*MIN(F$3-$O$2,$Q$2)/$Q$2))</f>
        <v>6156.40625</v>
      </c>
      <c r="G11" s="15" t="n">
        <f aca="false">F11*(1+IF(G$3&lt;=$O$2,$D11,$D11-($D11-$I$6)*MIN(G$3-$O$2,$Q$2)/$Q$2))</f>
        <v>5964.0185546875</v>
      </c>
      <c r="H11" s="15" t="n">
        <f aca="false">G11*(1+IF(H$3&lt;=$O$2,$D11,$D11-($D11-$I$6)*MIN(H$3-$O$2,$Q$2)/$Q$2))</f>
        <v>5777.64297485352</v>
      </c>
      <c r="I11" s="15" t="n">
        <f aca="false">H11*(1+IF(I$3&lt;=$O$2,$D11,$D11-($D11-$I$6)*MIN(I$3-$O$2,$Q$2)/$Q$2))</f>
        <v>5597.09163188934</v>
      </c>
      <c r="J11" s="15" t="n">
        <f aca="false">I11*(1+IF(J$3&lt;=$O$2,$D11,$D11-($D11-$I$6)*MIN(J$3-$O$2,$Q$2)/$Q$2))</f>
        <v>5488.8438797286</v>
      </c>
      <c r="K11" s="15" t="n">
        <f aca="false">J11*(1+IF(K$3&lt;=$O$2,$D11,$D11-($D11-$I$6)*MIN(K$3-$O$2,$Q$2)/$Q$2))</f>
        <v>5448.06176970222</v>
      </c>
      <c r="L11" s="15" t="n">
        <f aca="false">K11*(1+IF(L$3&lt;=$O$2,$D11,$D11-($D11-$I$6)*MIN(L$3-$O$2,$Q$2)/$Q$2))</f>
        <v>5472.46908643049</v>
      </c>
      <c r="M11" s="15" t="n">
        <f aca="false">L11*(1+IF(M$3&lt;=$O$2,$D11,$D11-($D11-$I$6)*MIN(M$3-$O$2,$Q$2)/$Q$2))</f>
        <v>5562.16285475708</v>
      </c>
      <c r="N11" s="15" t="n">
        <f aca="false">M11*(1+IF(N$3&lt;=$O$2,$D11,$D11-($D11-$I$6)*MIN(N$3-$O$2,$Q$2)/$Q$2))</f>
        <v>5719.57206354671</v>
      </c>
      <c r="O11" s="15" t="n">
        <f aca="false">SUMPRODUCT(E11:N11,1/(1+$F$6)^$E$3:$N$3)*$E$2</f>
        <v>12380.9915387341</v>
      </c>
      <c r="P11" s="15" t="n">
        <f aca="false">N11*$E$2*(1+$I$6)/($F$6-$I$6)/(1+$F$6)^$N$3</f>
        <v>16247.9152611202</v>
      </c>
      <c r="Q11" s="15" t="n">
        <f aca="false">O11+P11</f>
        <v>28628.9067998543</v>
      </c>
      <c r="R11" s="15" t="n">
        <f aca="false">Q11-$G$2+$I$2</f>
        <v>21283.7067998543</v>
      </c>
      <c r="S11" s="42" t="n">
        <f aca="false">R11/$K$2</f>
        <v>90.7040562533744</v>
      </c>
      <c r="T11" s="43" t="n">
        <f aca="false">S11-$M$2</f>
        <v>9.68977967123081</v>
      </c>
    </row>
    <row r="12" customFormat="false" ht="15" hidden="false" customHeight="false" outlineLevel="0" collapsed="false">
      <c r="A12" s="5" t="n">
        <v>5</v>
      </c>
      <c r="B12" s="25" t="n">
        <f aca="false">IF(T11&gt;0,B11,D11)</f>
        <v>-0.125</v>
      </c>
      <c r="C12" s="25" t="n">
        <f aca="false">IF(T11&gt;0,D11,C11)</f>
        <v>-0.03125</v>
      </c>
      <c r="D12" s="41" t="n">
        <f aca="false">(B12+C12)/2</f>
        <v>-0.078125</v>
      </c>
      <c r="E12" s="15" t="n">
        <f aca="false">$C$2*(1+IF(E$3&lt;=$O$2,$D12,$D12-($D12-$I$6)*MIN(E$3-$O$2,$Q$2)/$Q$2))</f>
        <v>6047.5</v>
      </c>
      <c r="F12" s="15" t="n">
        <f aca="false">E12*(1+IF(F$3&lt;=$O$2,$D12,$D12-($D12-$I$6)*MIN(F$3-$O$2,$Q$2)/$Q$2))</f>
        <v>5575.0390625</v>
      </c>
      <c r="G12" s="15" t="n">
        <f aca="false">F12*(1+IF(G$3&lt;=$O$2,$D12,$D12-($D12-$I$6)*MIN(G$3-$O$2,$Q$2)/$Q$2))</f>
        <v>5139.48913574219</v>
      </c>
      <c r="H12" s="15" t="n">
        <f aca="false">G12*(1+IF(H$3&lt;=$O$2,$D12,$D12-($D12-$I$6)*MIN(H$3-$O$2,$Q$2)/$Q$2))</f>
        <v>4737.96654701233</v>
      </c>
      <c r="I12" s="15" t="n">
        <f aca="false">H12*(1+IF(I$3&lt;=$O$2,$D12,$D12-($D12-$I$6)*MIN(I$3-$O$2,$Q$2)/$Q$2))</f>
        <v>4367.81291052699</v>
      </c>
      <c r="J12" s="15" t="n">
        <f aca="false">I12*(1+IF(J$3&lt;=$O$2,$D12,$D12-($D12-$I$6)*MIN(J$3-$O$2,$Q$2)/$Q$2))</f>
        <v>4119.54642469264</v>
      </c>
      <c r="K12" s="15" t="n">
        <f aca="false">J12*(1+IF(K$3&lt;=$O$2,$D12,$D12-($D12-$I$6)*MIN(K$3-$O$2,$Q$2)/$Q$2))</f>
        <v>3973.07595156269</v>
      </c>
      <c r="L12" s="15" t="n">
        <f aca="false">K12*(1+IF(L$3&lt;=$O$2,$D12,$D12-($D12-$I$6)*MIN(L$3-$O$2,$Q$2)/$Q$2))</f>
        <v>3916.38015773389</v>
      </c>
      <c r="M12" s="15" t="n">
        <f aca="false">L12*(1+IF(M$3&lt;=$O$2,$D12,$D12-($D12-$I$6)*MIN(M$3-$O$2,$Q$2)/$Q$2))</f>
        <v>3943.85356454039</v>
      </c>
      <c r="N12" s="15" t="n">
        <f aca="false">M12*(1+IF(N$3&lt;=$O$2,$D12,$D12-($D12-$I$6)*MIN(N$3-$O$2,$Q$2)/$Q$2))</f>
        <v>4055.46462041689</v>
      </c>
      <c r="O12" s="15" t="n">
        <f aca="false">SUMPRODUCT(E12:N12,1/(1+$F$6)^$E$3:$N$3)*$E$2</f>
        <v>10102.7975937462</v>
      </c>
      <c r="P12" s="15" t="n">
        <f aca="false">N12*$E$2*(1+$I$6)/($F$6-$I$6)/(1+$F$6)^$N$3</f>
        <v>11520.5901359243</v>
      </c>
      <c r="Q12" s="15" t="n">
        <f aca="false">O12+P12</f>
        <v>21623.3877296705</v>
      </c>
      <c r="R12" s="15" t="n">
        <f aca="false">Q12-$G$2+$I$2</f>
        <v>14278.1877296705</v>
      </c>
      <c r="S12" s="42" t="n">
        <f aca="false">R12/$K$2</f>
        <v>60.8488716372063</v>
      </c>
      <c r="T12" s="43" t="n">
        <f aca="false">S12-$M$2</f>
        <v>-20.1654049449373</v>
      </c>
    </row>
    <row r="13" customFormat="false" ht="15" hidden="false" customHeight="false" outlineLevel="0" collapsed="false">
      <c r="A13" s="5" t="n">
        <v>6</v>
      </c>
      <c r="B13" s="25" t="n">
        <f aca="false">IF(T12&gt;0,B12,D12)</f>
        <v>-0.078125</v>
      </c>
      <c r="C13" s="25" t="n">
        <f aca="false">IF(T12&gt;0,D12,C12)</f>
        <v>-0.03125</v>
      </c>
      <c r="D13" s="41" t="n">
        <f aca="false">(B13+C13)/2</f>
        <v>-0.0546875</v>
      </c>
      <c r="E13" s="15" t="n">
        <f aca="false">$C$2*(1+IF(E$3&lt;=$O$2,$D13,$D13-($D13-$I$6)*MIN(E$3-$O$2,$Q$2)/$Q$2))</f>
        <v>6201.25</v>
      </c>
      <c r="F13" s="15" t="n">
        <f aca="false">E13*(1+IF(F$3&lt;=$O$2,$D13,$D13-($D13-$I$6)*MIN(F$3-$O$2,$Q$2)/$Q$2))</f>
        <v>5862.119140625</v>
      </c>
      <c r="G13" s="15" t="n">
        <f aca="false">F13*(1+IF(G$3&lt;=$O$2,$D13,$D13-($D13-$I$6)*MIN(G$3-$O$2,$Q$2)/$Q$2))</f>
        <v>5541.53450012207</v>
      </c>
      <c r="H13" s="15" t="n">
        <f aca="false">G13*(1+IF(H$3&lt;=$O$2,$D13,$D13-($D13-$I$6)*MIN(H$3-$O$2,$Q$2)/$Q$2))</f>
        <v>5238.48183214665</v>
      </c>
      <c r="I13" s="15" t="n">
        <f aca="false">H13*(1+IF(I$3&lt;=$O$2,$D13,$D13-($D13-$I$6)*MIN(I$3-$O$2,$Q$2)/$Q$2))</f>
        <v>4952.00235695113</v>
      </c>
      <c r="J13" s="15" t="n">
        <f aca="false">I13*(1+IF(J$3&lt;=$O$2,$D13,$D13-($D13-$I$6)*MIN(J$3-$O$2,$Q$2)/$Q$2))</f>
        <v>4763.38058717486</v>
      </c>
      <c r="K13" s="15" t="n">
        <f aca="false">J13*(1+IF(K$3&lt;=$O$2,$D13,$D13-($D13-$I$6)*MIN(K$3-$O$2,$Q$2)/$Q$2))</f>
        <v>4661.003629905</v>
      </c>
      <c r="L13" s="15" t="n">
        <f aca="false">K13*(1+IF(L$3&lt;=$O$2,$D13,$D13-($D13-$I$6)*MIN(L$3-$O$2,$Q$2)/$Q$2))</f>
        <v>4638.18801713662</v>
      </c>
      <c r="M13" s="15" t="n">
        <f aca="false">L13*(1+IF(M$3&lt;=$O$2,$D13,$D13-($D13-$I$6)*MIN(M$3-$O$2,$Q$2)/$Q$2))</f>
        <v>4692.46641240716</v>
      </c>
      <c r="N13" s="15" t="n">
        <f aca="false">M13*(1+IF(N$3&lt;=$O$2,$D13,$D13-($D13-$I$6)*MIN(N$3-$O$2,$Q$2)/$Q$2))</f>
        <v>4825.26321187828</v>
      </c>
      <c r="O13" s="15" t="n">
        <f aca="false">SUMPRODUCT(E13:N13,1/(1+$F$6)^$E$3:$N$3)*$E$2</f>
        <v>11181.620451083</v>
      </c>
      <c r="P13" s="15" t="n">
        <f aca="false">N13*$E$2*(1+$I$6)/($F$6-$I$6)/(1+$F$6)^$N$3</f>
        <v>13707.4009922663</v>
      </c>
      <c r="Q13" s="15" t="n">
        <f aca="false">O13+P13</f>
        <v>24889.0214433493</v>
      </c>
      <c r="R13" s="15" t="n">
        <f aca="false">Q13-$G$2+$I$2</f>
        <v>17543.8214433493</v>
      </c>
      <c r="S13" s="42" t="n">
        <f aca="false">R13/$K$2</f>
        <v>74.765912820581</v>
      </c>
      <c r="T13" s="43" t="n">
        <f aca="false">S13-$M$2</f>
        <v>-6.2483637615626</v>
      </c>
    </row>
    <row r="14" customFormat="false" ht="15" hidden="false" customHeight="false" outlineLevel="0" collapsed="false">
      <c r="A14" s="5" t="n">
        <v>7</v>
      </c>
      <c r="B14" s="25" t="n">
        <f aca="false">IF(T13&gt;0,B13,D13)</f>
        <v>-0.0546875</v>
      </c>
      <c r="C14" s="25" t="n">
        <f aca="false">IF(T13&gt;0,D13,C13)</f>
        <v>-0.03125</v>
      </c>
      <c r="D14" s="41" t="n">
        <f aca="false">(B14+C14)/2</f>
        <v>-0.04296875</v>
      </c>
      <c r="E14" s="15" t="n">
        <f aca="false">$C$2*(1+IF(E$3&lt;=$O$2,$D14,$D14-($D14-$I$6)*MIN(E$3-$O$2,$Q$2)/$Q$2))</f>
        <v>6278.125</v>
      </c>
      <c r="F14" s="15" t="n">
        <f aca="false">E14*(1+IF(F$3&lt;=$O$2,$D14,$D14-($D14-$I$6)*MIN(F$3-$O$2,$Q$2)/$Q$2))</f>
        <v>6008.36181640625</v>
      </c>
      <c r="G14" s="15" t="n">
        <f aca="false">F14*(1+IF(G$3&lt;=$O$2,$D14,$D14-($D14-$I$6)*MIN(G$3-$O$2,$Q$2)/$Q$2))</f>
        <v>5750.19001960754</v>
      </c>
      <c r="H14" s="15" t="n">
        <f aca="false">G14*(1+IF(H$3&lt;=$O$2,$D14,$D14-($D14-$I$6)*MIN(H$3-$O$2,$Q$2)/$Q$2))</f>
        <v>5503.11154220253</v>
      </c>
      <c r="I14" s="15" t="n">
        <f aca="false">H14*(1+IF(I$3&lt;=$O$2,$D14,$D14-($D14-$I$6)*MIN(I$3-$O$2,$Q$2)/$Q$2))</f>
        <v>5266.64971812352</v>
      </c>
      <c r="J14" s="15" t="n">
        <f aca="false">I14*(1+IF(J$3&lt;=$O$2,$D14,$D14-($D14-$I$6)*MIN(J$3-$O$2,$Q$2)/$Q$2))</f>
        <v>5115.4178714676</v>
      </c>
      <c r="K14" s="15" t="n">
        <f aca="false">J14*(1+IF(K$3&lt;=$O$2,$D14,$D14-($D14-$I$6)*MIN(K$3-$O$2,$Q$2)/$Q$2))</f>
        <v>5041.44253477384</v>
      </c>
      <c r="L14" s="15" t="n">
        <f aca="false">K14*(1+IF(L$3&lt;=$O$2,$D14,$D14-($D14-$I$6)*MIN(L$3-$O$2,$Q$2)/$Q$2))</f>
        <v>5040.39643544787</v>
      </c>
      <c r="M14" s="15" t="n">
        <f aca="false">L14*(1+IF(M$3&lt;=$O$2,$D14,$D14-($D14-$I$6)*MIN(M$3-$O$2,$Q$2)/$Q$2))</f>
        <v>5111.19510387928</v>
      </c>
      <c r="N14" s="15" t="n">
        <f aca="false">M14*(1+IF(N$3&lt;=$O$2,$D14,$D14-($D14-$I$6)*MIN(N$3-$O$2,$Q$2)/$Q$2))</f>
        <v>5255.84192531907</v>
      </c>
      <c r="O14" s="15" t="n">
        <f aca="false">SUMPRODUCT(E14:N14,1/(1+$F$6)^$E$3:$N$3)*$E$2</f>
        <v>11765.4597358001</v>
      </c>
      <c r="P14" s="15" t="n">
        <f aca="false">N14*$E$2*(1+$I$6)/($F$6-$I$6)/(1+$F$6)^$N$3</f>
        <v>14930.570553118</v>
      </c>
      <c r="Q14" s="15" t="n">
        <f aca="false">O14+P14</f>
        <v>26696.0302889181</v>
      </c>
      <c r="R14" s="15" t="n">
        <f aca="false">Q14-$G$2+$I$2</f>
        <v>19350.8302889181</v>
      </c>
      <c r="S14" s="42" t="n">
        <f aca="false">R14/$K$2</f>
        <v>82.4667815423744</v>
      </c>
      <c r="T14" s="43" t="n">
        <f aca="false">S14-$M$2</f>
        <v>1.45250496023074</v>
      </c>
    </row>
    <row r="15" customFormat="false" ht="15" hidden="false" customHeight="false" outlineLevel="0" collapsed="false">
      <c r="A15" s="5" t="n">
        <v>8</v>
      </c>
      <c r="B15" s="25" t="n">
        <f aca="false">IF(T14&gt;0,B14,D14)</f>
        <v>-0.0546875</v>
      </c>
      <c r="C15" s="25" t="n">
        <f aca="false">IF(T14&gt;0,D14,C14)</f>
        <v>-0.04296875</v>
      </c>
      <c r="D15" s="41" t="n">
        <f aca="false">(B15+C15)/2</f>
        <v>-0.048828125</v>
      </c>
      <c r="E15" s="15" t="n">
        <f aca="false">$C$2*(1+IF(E$3&lt;=$O$2,$D15,$D15-($D15-$I$6)*MIN(E$3-$O$2,$Q$2)/$Q$2))</f>
        <v>6239.6875</v>
      </c>
      <c r="F15" s="15" t="n">
        <f aca="false">E15*(1+IF(F$3&lt;=$O$2,$D15,$D15-($D15-$I$6)*MIN(F$3-$O$2,$Q$2)/$Q$2))</f>
        <v>5935.01525878906</v>
      </c>
      <c r="G15" s="15" t="n">
        <f aca="false">F15*(1+IF(G$3&lt;=$O$2,$D15,$D15-($D15-$I$6)*MIN(G$3-$O$2,$Q$2)/$Q$2))</f>
        <v>5645.219591856</v>
      </c>
      <c r="H15" s="15" t="n">
        <f aca="false">G15*(1+IF(H$3&lt;=$O$2,$D15,$D15-($D15-$I$6)*MIN(H$3-$O$2,$Q$2)/$Q$2))</f>
        <v>5369.57410397241</v>
      </c>
      <c r="I15" s="15" t="n">
        <f aca="false">H15*(1+IF(I$3&lt;=$O$2,$D15,$D15-($D15-$I$6)*MIN(I$3-$O$2,$Q$2)/$Q$2))</f>
        <v>5107.38786842688</v>
      </c>
      <c r="J15" s="15" t="n">
        <f aca="false">I15*(1+IF(J$3&lt;=$O$2,$D15,$D15-($D15-$I$6)*MIN(J$3-$O$2,$Q$2)/$Q$2))</f>
        <v>4936.78834515175</v>
      </c>
      <c r="K15" s="15" t="n">
        <f aca="false">J15*(1+IF(K$3&lt;=$O$2,$D15,$D15-($D15-$I$6)*MIN(K$3-$O$2,$Q$2)/$Q$2))</f>
        <v>4848.0403181695</v>
      </c>
      <c r="L15" s="15" t="n">
        <f aca="false">K15*(1+IF(L$3&lt;=$O$2,$D15,$D15-($D15-$I$6)*MIN(L$3-$O$2,$Q$2)/$Q$2))</f>
        <v>4835.67175530777</v>
      </c>
      <c r="M15" s="15" t="n">
        <f aca="false">L15*(1+IF(M$3&lt;=$O$2,$D15,$D15-($D15-$I$6)*MIN(M$3-$O$2,$Q$2)/$Q$2))</f>
        <v>4897.92800686251</v>
      </c>
      <c r="N15" s="15" t="n">
        <f aca="false">M15*(1+IF(N$3&lt;=$O$2,$D15,$D15-($D15-$I$6)*MIN(N$3-$O$2,$Q$2)/$Q$2))</f>
        <v>5036.53936945672</v>
      </c>
      <c r="O15" s="15" t="n">
        <f aca="false">SUMPRODUCT(E15:N15,1/(1+$F$6)^$E$3:$N$3)*$E$2</f>
        <v>11469.6784704462</v>
      </c>
      <c r="P15" s="15" t="n">
        <f aca="false">N15*$E$2*(1+$I$6)/($F$6-$I$6)/(1+$F$6)^$N$3</f>
        <v>14307.5852485166</v>
      </c>
      <c r="Q15" s="15" t="n">
        <f aca="false">O15+P15</f>
        <v>25777.2637189628</v>
      </c>
      <c r="R15" s="15" t="n">
        <f aca="false">Q15-$G$2+$I$2</f>
        <v>18432.0637189628</v>
      </c>
      <c r="S15" s="42" t="n">
        <f aca="false">R15/$K$2</f>
        <v>78.5513050030376</v>
      </c>
      <c r="T15" s="43" t="n">
        <f aca="false">S15-$M$2</f>
        <v>-2.46297157910601</v>
      </c>
    </row>
    <row r="16" customFormat="false" ht="15" hidden="false" customHeight="false" outlineLevel="0" collapsed="false">
      <c r="A16" s="5" t="n">
        <v>9</v>
      </c>
      <c r="B16" s="25" t="n">
        <f aca="false">IF(T15&gt;0,B15,D15)</f>
        <v>-0.048828125</v>
      </c>
      <c r="C16" s="25" t="n">
        <f aca="false">IF(T15&gt;0,D15,C15)</f>
        <v>-0.04296875</v>
      </c>
      <c r="D16" s="41" t="n">
        <f aca="false">(B16+C16)/2</f>
        <v>-0.0458984375</v>
      </c>
      <c r="E16" s="15" t="n">
        <f aca="false">$C$2*(1+IF(E$3&lt;=$O$2,$D16,$D16-($D16-$I$6)*MIN(E$3-$O$2,$Q$2)/$Q$2))</f>
        <v>6258.90625</v>
      </c>
      <c r="F16" s="15" t="n">
        <f aca="false">E16*(1+IF(F$3&lt;=$O$2,$D16,$D16-($D16-$I$6)*MIN(F$3-$O$2,$Q$2)/$Q$2))</f>
        <v>5971.63223266602</v>
      </c>
      <c r="G16" s="15" t="n">
        <f aca="false">F16*(1+IF(G$3&lt;=$O$2,$D16,$D16-($D16-$I$6)*MIN(G$3-$O$2,$Q$2)/$Q$2))</f>
        <v>5697.54364386201</v>
      </c>
      <c r="H16" s="15" t="n">
        <f aca="false">G16*(1+IF(H$3&lt;=$O$2,$D16,$D16-($D16-$I$6)*MIN(H$3-$O$2,$Q$2)/$Q$2))</f>
        <v>5436.03529302069</v>
      </c>
      <c r="I16" s="15" t="n">
        <f aca="false">H16*(1+IF(I$3&lt;=$O$2,$D16,$D16-($D16-$I$6)*MIN(I$3-$O$2,$Q$2)/$Q$2))</f>
        <v>5186.52976687618</v>
      </c>
      <c r="J16" s="15" t="n">
        <f aca="false">I16*(1+IF(J$3&lt;=$O$2,$D16,$D16-($D16-$I$6)*MIN(J$3-$O$2,$Q$2)/$Q$2))</f>
        <v>5025.44263547922</v>
      </c>
      <c r="K16" s="15" t="n">
        <f aca="false">J16*(1+IF(K$3&lt;=$O$2,$D16,$D16-($D16-$I$6)*MIN(K$3-$O$2,$Q$2)/$Q$2))</f>
        <v>4943.93466728422</v>
      </c>
      <c r="L16" s="15" t="n">
        <f aca="false">K16*(1+IF(L$3&lt;=$O$2,$D16,$D16-($D16-$I$6)*MIN(L$3-$O$2,$Q$2)/$Q$2))</f>
        <v>4937.11512740253</v>
      </c>
      <c r="M16" s="15" t="n">
        <f aca="false">L16*(1+IF(M$3&lt;=$O$2,$D16,$D16-($D16-$I$6)*MIN(M$3-$O$2,$Q$2)/$Q$2))</f>
        <v>5003.57023986585</v>
      </c>
      <c r="N16" s="15" t="n">
        <f aca="false">M16*(1+IF(N$3&lt;=$O$2,$D16,$D16-($D16-$I$6)*MIN(N$3-$O$2,$Q$2)/$Q$2))</f>
        <v>5145.17127765405</v>
      </c>
      <c r="O16" s="15" t="n">
        <f aca="false">SUMPRODUCT(E16:N16,1/(1+$F$6)^$E$3:$N$3)*$E$2</f>
        <v>11616.5913784717</v>
      </c>
      <c r="P16" s="15" t="n">
        <f aca="false">N16*$E$2*(1+$I$6)/($F$6-$I$6)/(1+$F$6)^$N$3</f>
        <v>14616.1821189526</v>
      </c>
      <c r="Q16" s="15" t="n">
        <f aca="false">O16+P16</f>
        <v>26232.7734974243</v>
      </c>
      <c r="R16" s="15" t="n">
        <f aca="false">Q16-$G$2+$I$2</f>
        <v>18887.5734974243</v>
      </c>
      <c r="S16" s="42" t="n">
        <f aca="false">R16/$K$2</f>
        <v>80.4925356804787</v>
      </c>
      <c r="T16" s="43" t="n">
        <f aca="false">S16-$M$2</f>
        <v>-0.521740901664956</v>
      </c>
    </row>
    <row r="17" customFormat="false" ht="15" hidden="false" customHeight="false" outlineLevel="0" collapsed="false">
      <c r="A17" s="5" t="n">
        <v>10</v>
      </c>
      <c r="B17" s="25" t="n">
        <f aca="false">IF(T16&gt;0,B16,D16)</f>
        <v>-0.0458984375</v>
      </c>
      <c r="C17" s="25" t="n">
        <f aca="false">IF(T16&gt;0,D16,C16)</f>
        <v>-0.04296875</v>
      </c>
      <c r="D17" s="41" t="n">
        <f aca="false">(B17+C17)/2</f>
        <v>-0.04443359375</v>
      </c>
      <c r="E17" s="15" t="n">
        <f aca="false">$C$2*(1+IF(E$3&lt;=$O$2,$D17,$D17-($D17-$I$6)*MIN(E$3-$O$2,$Q$2)/$Q$2))</f>
        <v>6268.515625</v>
      </c>
      <c r="F17" s="15" t="n">
        <f aca="false">E17*(1+IF(F$3&lt;=$O$2,$D17,$D17-($D17-$I$6)*MIN(F$3-$O$2,$Q$2)/$Q$2))</f>
        <v>5989.98294830322</v>
      </c>
      <c r="G17" s="15" t="n">
        <f aca="false">F17*(1+IF(G$3&lt;=$O$2,$D17,$D17-($D17-$I$6)*MIN(G$3-$O$2,$Q$2)/$Q$2))</f>
        <v>5723.82647940889</v>
      </c>
      <c r="H17" s="15" t="n">
        <f aca="false">G17*(1+IF(H$3&lt;=$O$2,$D17,$D17-($D17-$I$6)*MIN(H$3-$O$2,$Q$2)/$Q$2))</f>
        <v>5469.49629892734</v>
      </c>
      <c r="I17" s="15" t="n">
        <f aca="false">H17*(1+IF(I$3&lt;=$O$2,$D17,$D17-($D17-$I$6)*MIN(I$3-$O$2,$Q$2)/$Q$2))</f>
        <v>5226.46692236368</v>
      </c>
      <c r="J17" s="15" t="n">
        <f aca="false">I17*(1+IF(J$3&lt;=$O$2,$D17,$D17-($D17-$I$6)*MIN(J$3-$O$2,$Q$2)/$Q$2))</f>
        <v>5070.26415876336</v>
      </c>
      <c r="K17" s="15" t="n">
        <f aca="false">J17*(1+IF(K$3&lt;=$O$2,$D17,$D17-($D17-$I$6)*MIN(K$3-$O$2,$Q$2)/$Q$2))</f>
        <v>4992.48551433915</v>
      </c>
      <c r="L17" s="15" t="n">
        <f aca="false">K17*(1+IF(L$3&lt;=$O$2,$D17,$D17-($D17-$I$6)*MIN(L$3-$O$2,$Q$2)/$Q$2))</f>
        <v>4988.52428911387</v>
      </c>
      <c r="M17" s="15" t="n">
        <f aca="false">L17*(1+IF(M$3&lt;=$O$2,$D17,$D17-($D17-$I$6)*MIN(M$3-$O$2,$Q$2)/$Q$2))</f>
        <v>5057.13286668451</v>
      </c>
      <c r="N17" s="15" t="n">
        <f aca="false">M17*(1+IF(N$3&lt;=$O$2,$D17,$D17-($D17-$I$6)*MIN(N$3-$O$2,$Q$2)/$Q$2))</f>
        <v>5200.24972681168</v>
      </c>
      <c r="O17" s="15" t="n">
        <f aca="false">SUMPRODUCT(E17:N17,1/(1+$F$6)^$E$3:$N$3)*$E$2</f>
        <v>11690.7795710271</v>
      </c>
      <c r="P17" s="15" t="n">
        <f aca="false">N17*$E$2*(1+$I$6)/($F$6-$I$6)/(1+$F$6)^$N$3</f>
        <v>14772.6466174648</v>
      </c>
      <c r="Q17" s="15" t="n">
        <f aca="false">O17+P17</f>
        <v>26463.426188492</v>
      </c>
      <c r="R17" s="15" t="n">
        <f aca="false">Q17-$G$2+$I$2</f>
        <v>19118.226188492</v>
      </c>
      <c r="S17" s="42" t="n">
        <f aca="false">R17/$K$2</f>
        <v>81.4755004836648</v>
      </c>
      <c r="T17" s="43" t="n">
        <f aca="false">S17-$M$2</f>
        <v>0.461223901521208</v>
      </c>
    </row>
    <row r="18" customFormat="false" ht="15" hidden="false" customHeight="false" outlineLevel="0" collapsed="false">
      <c r="A18" s="5" t="n">
        <v>11</v>
      </c>
      <c r="B18" s="25" t="n">
        <f aca="false">IF(T17&gt;0,B17,D17)</f>
        <v>-0.0458984375</v>
      </c>
      <c r="C18" s="25" t="n">
        <f aca="false">IF(T17&gt;0,D17,C17)</f>
        <v>-0.04443359375</v>
      </c>
      <c r="D18" s="41" t="n">
        <f aca="false">(B18+C18)/2</f>
        <v>-0.045166015625</v>
      </c>
      <c r="E18" s="15" t="n">
        <f aca="false">$C$2*(1+IF(E$3&lt;=$O$2,$D18,$D18-($D18-$I$6)*MIN(E$3-$O$2,$Q$2)/$Q$2))</f>
        <v>6263.7109375</v>
      </c>
      <c r="F18" s="15" t="n">
        <f aca="false">E18*(1+IF(F$3&lt;=$O$2,$D18,$D18-($D18-$I$6)*MIN(F$3-$O$2,$Q$2)/$Q$2))</f>
        <v>5980.80407142639</v>
      </c>
      <c r="G18" s="15" t="n">
        <f aca="false">F18*(1+IF(G$3&lt;=$O$2,$D18,$D18-($D18-$I$6)*MIN(G$3-$O$2,$Q$2)/$Q$2))</f>
        <v>5710.67498128628</v>
      </c>
      <c r="H18" s="15" t="n">
        <f aca="false">G18*(1+IF(H$3&lt;=$O$2,$D18,$D18-($D18-$I$6)*MIN(H$3-$O$2,$Q$2)/$Q$2))</f>
        <v>5452.74654585221</v>
      </c>
      <c r="I18" s="15" t="n">
        <f aca="false">H18*(1+IF(I$3&lt;=$O$2,$D18,$D18-($D18-$I$6)*MIN(I$3-$O$2,$Q$2)/$Q$2))</f>
        <v>5206.46771016309</v>
      </c>
      <c r="J18" s="15" t="n">
        <f aca="false">I18*(1+IF(J$3&lt;=$O$2,$D18,$D18-($D18-$I$6)*MIN(J$3-$O$2,$Q$2)/$Q$2))</f>
        <v>5047.81199584398</v>
      </c>
      <c r="K18" s="15" t="n">
        <f aca="false">J18*(1+IF(K$3&lt;=$O$2,$D18,$D18-($D18-$I$6)*MIN(K$3-$O$2,$Q$2)/$Q$2))</f>
        <v>4968.15949435112</v>
      </c>
      <c r="L18" s="15" t="n">
        <f aca="false">K18*(1+IF(L$3&lt;=$O$2,$D18,$D18-($D18-$I$6)*MIN(L$3-$O$2,$Q$2)/$Q$2))</f>
        <v>4962.76205482546</v>
      </c>
      <c r="M18" s="15" t="n">
        <f aca="false">L18*(1+IF(M$3&lt;=$O$2,$D18,$D18-($D18-$I$6)*MIN(M$3-$O$2,$Q$2)/$Q$2))</f>
        <v>5030.28935004443</v>
      </c>
      <c r="N18" s="15" t="n">
        <f aca="false">M18*(1+IF(N$3&lt;=$O$2,$D18,$D18-($D18-$I$6)*MIN(N$3-$O$2,$Q$2)/$Q$2))</f>
        <v>5172.64653865069</v>
      </c>
      <c r="O18" s="15" t="n">
        <f aca="false">SUMPRODUCT(E18:N18,1/(1+$F$6)^$E$3:$N$3)*$E$2</f>
        <v>11653.6241732679</v>
      </c>
      <c r="P18" s="15" t="n">
        <f aca="false">N18*$E$2*(1+$I$6)/($F$6-$I$6)/(1+$F$6)^$N$3</f>
        <v>14694.232663205</v>
      </c>
      <c r="Q18" s="15" t="n">
        <f aca="false">O18+P18</f>
        <v>26347.8568364729</v>
      </c>
      <c r="R18" s="15" t="n">
        <f aca="false">Q18-$G$2+$I$2</f>
        <v>19002.6568364729</v>
      </c>
      <c r="S18" s="42" t="n">
        <f aca="false">R18/$K$2</f>
        <v>80.98298246952</v>
      </c>
      <c r="T18" s="43" t="n">
        <f aca="false">S18-$M$2</f>
        <v>-0.0312941126236126</v>
      </c>
    </row>
    <row r="19" customFormat="false" ht="15" hidden="false" customHeight="false" outlineLevel="0" collapsed="false">
      <c r="A19" s="5" t="n">
        <v>12</v>
      </c>
      <c r="B19" s="25" t="n">
        <f aca="false">IF(T18&gt;0,B18,D18)</f>
        <v>-0.045166015625</v>
      </c>
      <c r="C19" s="25" t="n">
        <f aca="false">IF(T18&gt;0,D18,C18)</f>
        <v>-0.04443359375</v>
      </c>
      <c r="D19" s="41" t="n">
        <f aca="false">(B19+C19)/2</f>
        <v>-0.0447998046875</v>
      </c>
      <c r="E19" s="15" t="n">
        <f aca="false">$C$2*(1+IF(E$3&lt;=$O$2,$D19,$D19-($D19-$I$6)*MIN(E$3-$O$2,$Q$2)/$Q$2))</f>
        <v>6266.11328125</v>
      </c>
      <c r="F19" s="15" t="n">
        <f aca="false">E19*(1+IF(F$3&lt;=$O$2,$D19,$D19-($D19-$I$6)*MIN(F$3-$O$2,$Q$2)/$Q$2))</f>
        <v>5985.39263010025</v>
      </c>
      <c r="G19" s="15" t="n">
        <f aca="false">F19*(1+IF(G$3&lt;=$O$2,$D19,$D19-($D19-$I$6)*MIN(G$3-$O$2,$Q$2)/$Q$2))</f>
        <v>5717.24820929376</v>
      </c>
      <c r="H19" s="15" t="n">
        <f aca="false">G19*(1+IF(H$3&lt;=$O$2,$D19,$D19-($D19-$I$6)*MIN(H$3-$O$2,$Q$2)/$Q$2))</f>
        <v>5461.11660616744</v>
      </c>
      <c r="I19" s="15" t="n">
        <f aca="false">H19*(1+IF(I$3&lt;=$O$2,$D19,$D19-($D19-$I$6)*MIN(I$3-$O$2,$Q$2)/$Q$2))</f>
        <v>5216.45964883547</v>
      </c>
      <c r="J19" s="15" t="n">
        <f aca="false">I19*(1+IF(J$3&lt;=$O$2,$D19,$D19-($D19-$I$6)*MIN(J$3-$O$2,$Q$2)/$Q$2))</f>
        <v>5059.02771170544</v>
      </c>
      <c r="K19" s="15" t="n">
        <f aca="false">J19*(1+IF(K$3&lt;=$O$2,$D19,$D19-($D19-$I$6)*MIN(K$3-$O$2,$Q$2)/$Q$2))</f>
        <v>4980.30983336611</v>
      </c>
      <c r="L19" s="15" t="n">
        <f aca="false">K19*(1+IF(L$3&lt;=$O$2,$D19,$D19-($D19-$I$6)*MIN(L$3-$O$2,$Q$2)/$Q$2))</f>
        <v>4975.62873120946</v>
      </c>
      <c r="M19" s="15" t="n">
        <f aca="false">L19*(1+IF(M$3&lt;=$O$2,$D19,$D19-($D19-$I$6)*MIN(M$3-$O$2,$Q$2)/$Q$2))</f>
        <v>5043.6955266129</v>
      </c>
      <c r="N19" s="15" t="n">
        <f aca="false">M19*(1+IF(N$3&lt;=$O$2,$D19,$D19-($D19-$I$6)*MIN(N$3-$O$2,$Q$2)/$Q$2))</f>
        <v>5186.43211001604</v>
      </c>
      <c r="O19" s="15" t="n">
        <f aca="false">SUMPRODUCT(E19:N19,1/(1+$F$6)^$E$3:$N$3)*$E$2</f>
        <v>11672.1865224389</v>
      </c>
      <c r="P19" s="15" t="n">
        <f aca="false">N19*$E$2*(1+$I$6)/($F$6-$I$6)/(1+$F$6)^$N$3</f>
        <v>14733.3941236922</v>
      </c>
      <c r="Q19" s="15" t="n">
        <f aca="false">O19+P19</f>
        <v>26405.5806461311</v>
      </c>
      <c r="R19" s="15" t="n">
        <f aca="false">Q19-$G$2+$I$2</f>
        <v>19060.3806461311</v>
      </c>
      <c r="S19" s="42" t="n">
        <f aca="false">R19/$K$2</f>
        <v>81.2289820845135</v>
      </c>
      <c r="T19" s="43" t="n">
        <f aca="false">S19-$M$2</f>
        <v>0.214705502369824</v>
      </c>
    </row>
    <row r="20" customFormat="false" ht="15" hidden="false" customHeight="false" outlineLevel="0" collapsed="false">
      <c r="A20" s="5" t="n">
        <v>13</v>
      </c>
      <c r="B20" s="25" t="n">
        <f aca="false">IF(T19&gt;0,B19,D19)</f>
        <v>-0.045166015625</v>
      </c>
      <c r="C20" s="25" t="n">
        <f aca="false">IF(T19&gt;0,D19,C19)</f>
        <v>-0.0447998046875</v>
      </c>
      <c r="D20" s="41" t="n">
        <f aca="false">(B20+C20)/2</f>
        <v>-0.04498291015625</v>
      </c>
      <c r="E20" s="15" t="n">
        <f aca="false">$C$2*(1+IF(E$3&lt;=$O$2,$D20,$D20-($D20-$I$6)*MIN(E$3-$O$2,$Q$2)/$Q$2))</f>
        <v>6264.912109375</v>
      </c>
      <c r="F20" s="15" t="n">
        <f aca="false">E20*(1+IF(F$3&lt;=$O$2,$D20,$D20-($D20-$I$6)*MIN(F$3-$O$2,$Q$2)/$Q$2))</f>
        <v>5983.09813082218</v>
      </c>
      <c r="G20" s="15" t="n">
        <f aca="false">F20*(1+IF(G$3&lt;=$O$2,$D20,$D20-($D20-$I$6)*MIN(G$3-$O$2,$Q$2)/$Q$2))</f>
        <v>5713.96096514738</v>
      </c>
      <c r="H20" s="15" t="n">
        <f aca="false">G20*(1+IF(H$3&lt;=$O$2,$D20,$D20-($D20-$I$6)*MIN(H$3-$O$2,$Q$2)/$Q$2))</f>
        <v>5456.93037241584</v>
      </c>
      <c r="I20" s="15" t="n">
        <f aca="false">H20*(1+IF(I$3&lt;=$O$2,$D20,$D20-($D20-$I$6)*MIN(I$3-$O$2,$Q$2)/$Q$2))</f>
        <v>5211.46176374454</v>
      </c>
      <c r="J20" s="15" t="n">
        <f aca="false">I20*(1+IF(J$3&lt;=$O$2,$D20,$D20-($D20-$I$6)*MIN(J$3-$O$2,$Q$2)/$Q$2))</f>
        <v>5053.41726428633</v>
      </c>
      <c r="K20" s="15" t="n">
        <f aca="false">J20*(1+IF(K$3&lt;=$O$2,$D20,$D20-($D20-$I$6)*MIN(K$3-$O$2,$Q$2)/$Q$2))</f>
        <v>4974.23149884919</v>
      </c>
      <c r="L20" s="15" t="n">
        <f aca="false">K20*(1+IF(L$3&lt;=$O$2,$D20,$D20-($D20-$I$6)*MIN(L$3-$O$2,$Q$2)/$Q$2))</f>
        <v>4969.19178625601</v>
      </c>
      <c r="M20" s="15" t="n">
        <f aca="false">L20*(1+IF(M$3&lt;=$O$2,$D20,$D20-($D20-$I$6)*MIN(M$3-$O$2,$Q$2)/$Q$2))</f>
        <v>5036.98854676278</v>
      </c>
      <c r="N20" s="15" t="n">
        <f aca="false">M20*(1+IF(N$3&lt;=$O$2,$D20,$D20-($D20-$I$6)*MIN(N$3-$O$2,$Q$2)/$Q$2))</f>
        <v>5179.53532263616</v>
      </c>
      <c r="O20" s="15" t="n">
        <f aca="false">SUMPRODUCT(E20:N20,1/(1+$F$6)^$E$3:$N$3)*$E$2</f>
        <v>11662.9015134711</v>
      </c>
      <c r="P20" s="15" t="n">
        <f aca="false">N20*$E$2*(1+$I$6)/($F$6-$I$6)/(1+$F$6)^$N$3</f>
        <v>14713.8020255987</v>
      </c>
      <c r="Q20" s="15" t="n">
        <f aca="false">O20+P20</f>
        <v>26376.7035390698</v>
      </c>
      <c r="R20" s="15" t="n">
        <f aca="false">Q20-$G$2+$I$2</f>
        <v>19031.5035390698</v>
      </c>
      <c r="S20" s="42" t="n">
        <f aca="false">R20/$K$2</f>
        <v>81.1059174901759</v>
      </c>
      <c r="T20" s="43" t="n">
        <f aca="false">S20-$M$2</f>
        <v>0.0916409080323177</v>
      </c>
    </row>
    <row r="21" customFormat="false" ht="15" hidden="false" customHeight="false" outlineLevel="0" collapsed="false">
      <c r="A21" s="5" t="n">
        <v>14</v>
      </c>
      <c r="B21" s="25" t="n">
        <f aca="false">IF(T20&gt;0,B20,D20)</f>
        <v>-0.045166015625</v>
      </c>
      <c r="C21" s="25" t="n">
        <f aca="false">IF(T20&gt;0,D20,C20)</f>
        <v>-0.04498291015625</v>
      </c>
      <c r="D21" s="41" t="n">
        <f aca="false">(B21+C21)/2</f>
        <v>-0.045074462890625</v>
      </c>
      <c r="E21" s="15" t="n">
        <f aca="false">$C$2*(1+IF(E$3&lt;=$O$2,$D21,$D21-($D21-$I$6)*MIN(E$3-$O$2,$Q$2)/$Q$2))</f>
        <v>6264.3115234375</v>
      </c>
      <c r="F21" s="15" t="n">
        <f aca="false">E21*(1+IF(F$3&lt;=$O$2,$D21,$D21-($D21-$I$6)*MIN(F$3-$O$2,$Q$2)/$Q$2))</f>
        <v>5981.951046139</v>
      </c>
      <c r="G21" s="15" t="n">
        <f aca="false">F21*(1+IF(G$3&lt;=$O$2,$D21,$D21-($D21-$I$6)*MIN(G$3-$O$2,$Q$2)/$Q$2))</f>
        <v>5712.31781569627</v>
      </c>
      <c r="H21" s="15" t="n">
        <f aca="false">G21*(1+IF(H$3&lt;=$O$2,$D21,$D21-($D21-$I$6)*MIN(H$3-$O$2,$Q$2)/$Q$2))</f>
        <v>5454.83815829322</v>
      </c>
      <c r="I21" s="15" t="n">
        <f aca="false">H21*(1+IF(I$3&lt;=$O$2,$D21,$D21-($D21-$I$6)*MIN(I$3-$O$2,$Q$2)/$Q$2))</f>
        <v>5208.96425815286</v>
      </c>
      <c r="J21" s="15" t="n">
        <f aca="false">I21*(1+IF(J$3&lt;=$O$2,$D21,$D21-($D21-$I$6)*MIN(J$3-$O$2,$Q$2)/$Q$2))</f>
        <v>5050.61398293185</v>
      </c>
      <c r="K21" s="15" t="n">
        <f aca="false">J21*(1+IF(K$3&lt;=$O$2,$D21,$D21-($D21-$I$6)*MIN(K$3-$O$2,$Q$2)/$Q$2))</f>
        <v>4971.19470568952</v>
      </c>
      <c r="L21" s="15" t="n">
        <f aca="false">K21*(1+IF(L$3&lt;=$O$2,$D21,$D21-($D21-$I$6)*MIN(L$3-$O$2,$Q$2)/$Q$2))</f>
        <v>4965.97601927865</v>
      </c>
      <c r="M21" s="15" t="n">
        <f aca="false">L21*(1+IF(M$3&lt;=$O$2,$D21,$D21-($D21-$I$6)*MIN(M$3-$O$2,$Q$2)/$Q$2))</f>
        <v>5033.63797599578</v>
      </c>
      <c r="N21" s="15" t="n">
        <f aca="false">M21*(1+IF(N$3&lt;=$O$2,$D21,$D21-($D21-$I$6)*MIN(N$3-$O$2,$Q$2)/$Q$2))</f>
        <v>5176.08993071646</v>
      </c>
      <c r="O21" s="15" t="n">
        <f aca="false">SUMPRODUCT(E21:N21,1/(1+$F$6)^$E$3:$N$3)*$E$2</f>
        <v>11658.2618851543</v>
      </c>
      <c r="P21" s="15" t="n">
        <f aca="false">N21*$E$2*(1+$I$6)/($F$6-$I$6)/(1+$F$6)^$N$3</f>
        <v>14704.0145038522</v>
      </c>
      <c r="Q21" s="15" t="n">
        <f aca="false">O21+P21</f>
        <v>26362.2763890065</v>
      </c>
      <c r="R21" s="15" t="n">
        <f aca="false">Q21-$G$2+$I$2</f>
        <v>19017.0763890065</v>
      </c>
      <c r="S21" s="42" t="n">
        <f aca="false">R21/$K$2</f>
        <v>81.0444337907798</v>
      </c>
      <c r="T21" s="43" t="n">
        <f aca="false">S21-$M$2</f>
        <v>0.0301572086361546</v>
      </c>
    </row>
    <row r="22" customFormat="false" ht="15" hidden="false" customHeight="false" outlineLevel="0" collapsed="false">
      <c r="A22" s="5" t="n">
        <v>15</v>
      </c>
      <c r="B22" s="25" t="n">
        <f aca="false">IF(T21&gt;0,B21,D21)</f>
        <v>-0.045166015625</v>
      </c>
      <c r="C22" s="25" t="n">
        <f aca="false">IF(T21&gt;0,D21,C21)</f>
        <v>-0.045074462890625</v>
      </c>
      <c r="D22" s="41" t="n">
        <f aca="false">(B22+C22)/2</f>
        <v>-0.0451202392578125</v>
      </c>
      <c r="E22" s="15" t="n">
        <f aca="false">$C$2*(1+IF(E$3&lt;=$O$2,$D22,$D22-($D22-$I$6)*MIN(E$3-$O$2,$Q$2)/$Q$2))</f>
        <v>6264.01123046875</v>
      </c>
      <c r="F22" s="15" t="n">
        <f aca="false">E22*(1+IF(F$3&lt;=$O$2,$D22,$D22-($D22-$I$6)*MIN(F$3-$O$2,$Q$2)/$Q$2))</f>
        <v>5981.37754503638</v>
      </c>
      <c r="G22" s="15" t="n">
        <f aca="false">F22*(1+IF(G$3&lt;=$O$2,$D22,$D22-($D22-$I$6)*MIN(G$3-$O$2,$Q$2)/$Q$2))</f>
        <v>5711.49635911303</v>
      </c>
      <c r="H22" s="15" t="n">
        <f aca="false">G22*(1+IF(H$3&lt;=$O$2,$D22,$D22-($D22-$I$6)*MIN(H$3-$O$2,$Q$2)/$Q$2))</f>
        <v>5453.79227686972</v>
      </c>
      <c r="I22" s="15" t="n">
        <f aca="false">H22*(1+IF(I$3&lt;=$O$2,$D22,$D22-($D22-$I$6)*MIN(I$3-$O$2,$Q$2)/$Q$2))</f>
        <v>5207.71586447495</v>
      </c>
      <c r="J22" s="15" t="n">
        <f aca="false">I22*(1+IF(J$3&lt;=$O$2,$D22,$D22-($D22-$I$6)*MIN(J$3-$O$2,$Q$2)/$Q$2))</f>
        <v>5049.21282763443</v>
      </c>
      <c r="K22" s="15" t="n">
        <f aca="false">J22*(1+IF(K$3&lt;=$O$2,$D22,$D22-($D22-$I$6)*MIN(K$3-$O$2,$Q$2)/$Q$2))</f>
        <v>4969.67690233536</v>
      </c>
      <c r="L22" s="15" t="n">
        <f aca="false">K22*(1+IF(L$3&lt;=$O$2,$D22,$D22-($D22-$I$6)*MIN(L$3-$O$2,$Q$2)/$Q$2))</f>
        <v>4964.36881179006</v>
      </c>
      <c r="M22" s="15" t="n">
        <f aca="false">L22*(1+IF(M$3&lt;=$O$2,$D22,$D22-($D22-$I$6)*MIN(M$3-$O$2,$Q$2)/$Q$2))</f>
        <v>5031.96341997859</v>
      </c>
      <c r="N22" s="15" t="n">
        <f aca="false">M22*(1+IF(N$3&lt;=$O$2,$D22,$D22-($D22-$I$6)*MIN(N$3-$O$2,$Q$2)/$Q$2))</f>
        <v>5174.36798476398</v>
      </c>
      <c r="O22" s="15" t="n">
        <f aca="false">SUMPRODUCT(E22:N22,1/(1+$F$6)^$E$3:$N$3)*$E$2</f>
        <v>11655.9427897048</v>
      </c>
      <c r="P22" s="15" t="n">
        <f aca="false">N22*$E$2*(1+$I$6)/($F$6-$I$6)/(1+$F$6)^$N$3</f>
        <v>14699.1228735677</v>
      </c>
      <c r="Q22" s="15" t="n">
        <f aca="false">O22+P22</f>
        <v>26355.0656632725</v>
      </c>
      <c r="R22" s="15" t="n">
        <f aca="false">Q22-$G$2+$I$2</f>
        <v>19009.8656632725</v>
      </c>
      <c r="S22" s="42" t="n">
        <f aca="false">R22/$K$2</f>
        <v>81.0137040838378</v>
      </c>
      <c r="T22" s="43" t="n">
        <f aca="false">S22-$M$2</f>
        <v>-0.000572498305842828</v>
      </c>
    </row>
    <row r="23" customFormat="false" ht="15" hidden="false" customHeight="false" outlineLevel="0" collapsed="false">
      <c r="A23" s="5" t="n">
        <v>16</v>
      </c>
      <c r="B23" s="25" t="n">
        <f aca="false">IF(T22&gt;0,B22,D22)</f>
        <v>-0.0451202392578125</v>
      </c>
      <c r="C23" s="25" t="n">
        <f aca="false">IF(T22&gt;0,D22,C22)</f>
        <v>-0.045074462890625</v>
      </c>
      <c r="D23" s="41" t="n">
        <f aca="false">(B23+C23)/2</f>
        <v>-0.0450973510742188</v>
      </c>
      <c r="E23" s="15" t="n">
        <f aca="false">$C$2*(1+IF(E$3&lt;=$O$2,$D23,$D23-($D23-$I$6)*MIN(E$3-$O$2,$Q$2)/$Q$2))</f>
        <v>6264.16137695313</v>
      </c>
      <c r="F23" s="15" t="n">
        <f aca="false">E23*(1+IF(F$3&lt;=$O$2,$D23,$D23-($D23-$I$6)*MIN(F$3-$O$2,$Q$2)/$Q$2))</f>
        <v>5981.66429215111</v>
      </c>
      <c r="G23" s="15" t="n">
        <f aca="false">F23*(1+IF(G$3&lt;=$O$2,$D23,$D23-($D23-$I$6)*MIN(G$3-$O$2,$Q$2)/$Q$2))</f>
        <v>5711.90707755985</v>
      </c>
      <c r="H23" s="15" t="n">
        <f aca="false">G23*(1+IF(H$3&lt;=$O$2,$D23,$D23-($D23-$I$6)*MIN(H$3-$O$2,$Q$2)/$Q$2))</f>
        <v>5454.31519877982</v>
      </c>
      <c r="I23" s="15" t="n">
        <f aca="false">H23*(1+IF(I$3&lt;=$O$2,$D23,$D23-($D23-$I$6)*MIN(I$3-$O$2,$Q$2)/$Q$2))</f>
        <v>5208.340031391</v>
      </c>
      <c r="J23" s="15" t="n">
        <f aca="false">I23*(1+IF(J$3&lt;=$O$2,$D23,$D23-($D23-$I$6)*MIN(J$3-$O$2,$Q$2)/$Q$2))</f>
        <v>5049.91336484104</v>
      </c>
      <c r="K23" s="15" t="n">
        <f aca="false">J23*(1+IF(K$3&lt;=$O$2,$D23,$D23-($D23-$I$6)*MIN(K$3-$O$2,$Q$2)/$Q$2))</f>
        <v>4970.43575458586</v>
      </c>
      <c r="L23" s="15" t="n">
        <f aca="false">K23*(1+IF(L$3&lt;=$O$2,$D23,$D23-($D23-$I$6)*MIN(L$3-$O$2,$Q$2)/$Q$2))</f>
        <v>4965.17235921217</v>
      </c>
      <c r="M23" s="15" t="n">
        <f aca="false">L23*(1+IF(M$3&lt;=$O$2,$D23,$D23-($D23-$I$6)*MIN(M$3-$O$2,$Q$2)/$Q$2))</f>
        <v>5032.80063721925</v>
      </c>
      <c r="N23" s="15" t="n">
        <f aca="false">M23*(1+IF(N$3&lt;=$O$2,$D23,$D23-($D23-$I$6)*MIN(N$3-$O$2,$Q$2)/$Q$2))</f>
        <v>5175.22889525255</v>
      </c>
      <c r="O23" s="15" t="n">
        <f aca="false">SUMPRODUCT(E23:N23,1/(1+$F$6)^$E$3:$N$3)*$E$2</f>
        <v>11657.1022775471</v>
      </c>
      <c r="P23" s="15" t="n">
        <f aca="false">N23*$E$2*(1+$I$6)/($F$6-$I$6)/(1+$F$6)^$N$3</f>
        <v>14701.5685111976</v>
      </c>
      <c r="Q23" s="15" t="n">
        <f aca="false">O23+P23</f>
        <v>26358.6707887447</v>
      </c>
      <c r="R23" s="15" t="n">
        <f aca="false">Q23-$G$2+$I$2</f>
        <v>19013.4707887447</v>
      </c>
      <c r="S23" s="42" t="n">
        <f aca="false">R23/$K$2</f>
        <v>81.0290679256114</v>
      </c>
      <c r="T23" s="43" t="n">
        <f aca="false">S23-$M$2</f>
        <v>0.0147913434677633</v>
      </c>
    </row>
    <row r="24" customFormat="false" ht="15" hidden="false" customHeight="false" outlineLevel="0" collapsed="false">
      <c r="A24" s="5" t="n">
        <v>17</v>
      </c>
      <c r="B24" s="25" t="n">
        <f aca="false">IF(T23&gt;0,B23,D23)</f>
        <v>-0.0451202392578125</v>
      </c>
      <c r="C24" s="25" t="n">
        <f aca="false">IF(T23&gt;0,D23,C23)</f>
        <v>-0.0450973510742188</v>
      </c>
      <c r="D24" s="41" t="n">
        <f aca="false">(B24+C24)/2</f>
        <v>-0.0451087951660156</v>
      </c>
      <c r="E24" s="15" t="n">
        <f aca="false">$C$2*(1+IF(E$3&lt;=$O$2,$D24,$D24-($D24-$I$6)*MIN(E$3-$O$2,$Q$2)/$Q$2))</f>
        <v>6264.08630371094</v>
      </c>
      <c r="F24" s="15" t="n">
        <f aca="false">E24*(1+IF(F$3&lt;=$O$2,$D24,$D24-($D24-$I$6)*MIN(F$3-$O$2,$Q$2)/$Q$2))</f>
        <v>5981.5209177346</v>
      </c>
      <c r="G24" s="15" t="n">
        <f aca="false">F24*(1+IF(G$3&lt;=$O$2,$D24,$D24-($D24-$I$6)*MIN(G$3-$O$2,$Q$2)/$Q$2))</f>
        <v>5711.70171587527</v>
      </c>
      <c r="H24" s="15" t="n">
        <f aca="false">G24*(1+IF(H$3&lt;=$O$2,$D24,$D24-($D24-$I$6)*MIN(H$3-$O$2,$Q$2)/$Q$2))</f>
        <v>5454.05373312447</v>
      </c>
      <c r="I24" s="15" t="n">
        <f aca="false">H24*(1+IF(I$3&lt;=$O$2,$D24,$D24-($D24-$I$6)*MIN(I$3-$O$2,$Q$2)/$Q$2))</f>
        <v>5208.02794045252</v>
      </c>
      <c r="J24" s="15" t="n">
        <f aca="false">I24*(1+IF(J$3&lt;=$O$2,$D24,$D24-($D24-$I$6)*MIN(J$3-$O$2,$Q$2)/$Q$2))</f>
        <v>5049.56308612767</v>
      </c>
      <c r="K24" s="15" t="n">
        <f aca="false">J24*(1+IF(K$3&lt;=$O$2,$D24,$D24-($D24-$I$6)*MIN(K$3-$O$2,$Q$2)/$Q$2))</f>
        <v>4970.05631610463</v>
      </c>
      <c r="L24" s="15" t="n">
        <f aca="false">K24*(1+IF(L$3&lt;=$O$2,$D24,$D24-($D24-$I$6)*MIN(L$3-$O$2,$Q$2)/$Q$2))</f>
        <v>4964.7705714214</v>
      </c>
      <c r="M24" s="15" t="n">
        <f aca="false">L24*(1+IF(M$3&lt;=$O$2,$D24,$D24-($D24-$I$6)*MIN(M$3-$O$2,$Q$2)/$Q$2))</f>
        <v>5032.38201340788</v>
      </c>
      <c r="N24" s="15" t="n">
        <f aca="false">M24*(1+IF(N$3&lt;=$O$2,$D24,$D24-($D24-$I$6)*MIN(N$3-$O$2,$Q$2)/$Q$2))</f>
        <v>5174.79842438732</v>
      </c>
      <c r="O24" s="15" t="n">
        <f aca="false">SUMPRODUCT(E24:N24,1/(1+$F$6)^$E$3:$N$3)*$E$2</f>
        <v>11656.5225186561</v>
      </c>
      <c r="P24" s="15" t="n">
        <f aca="false">N24*$E$2*(1+$I$6)/($F$6-$I$6)/(1+$F$6)^$N$3</f>
        <v>14700.3456480074</v>
      </c>
      <c r="Q24" s="15" t="n">
        <f aca="false">O24+P24</f>
        <v>26356.8681666634</v>
      </c>
      <c r="R24" s="15" t="n">
        <f aca="false">Q24-$G$2+$I$2</f>
        <v>19011.6681666634</v>
      </c>
      <c r="S24" s="42" t="n">
        <f aca="false">R24/$K$2</f>
        <v>81.0213857518151</v>
      </c>
      <c r="T24" s="43" t="n">
        <f aca="false">S24-$M$2</f>
        <v>0.00710916967150865</v>
      </c>
    </row>
    <row r="25" customFormat="false" ht="15" hidden="false" customHeight="false" outlineLevel="0" collapsed="false">
      <c r="A25" s="5" t="n">
        <v>18</v>
      </c>
      <c r="B25" s="25" t="n">
        <f aca="false">IF(T24&gt;0,B24,D24)</f>
        <v>-0.0451202392578125</v>
      </c>
      <c r="C25" s="25" t="n">
        <f aca="false">IF(T24&gt;0,D24,C24)</f>
        <v>-0.0451087951660156</v>
      </c>
      <c r="D25" s="41" t="n">
        <f aca="false">(B25+C25)/2</f>
        <v>-0.0451145172119141</v>
      </c>
      <c r="E25" s="15" t="n">
        <f aca="false">$C$2*(1+IF(E$3&lt;=$O$2,$D25,$D25-($D25-$I$6)*MIN(E$3-$O$2,$Q$2)/$Q$2))</f>
        <v>6264.04876708984</v>
      </c>
      <c r="F25" s="15" t="n">
        <f aca="false">E25*(1+IF(F$3&lt;=$O$2,$D25,$D25-($D25-$I$6)*MIN(F$3-$O$2,$Q$2)/$Q$2))</f>
        <v>5981.4492311707</v>
      </c>
      <c r="G25" s="15" t="n">
        <f aca="false">F25*(1+IF(G$3&lt;=$O$2,$D25,$D25-($D25-$I$6)*MIN(G$3-$O$2,$Q$2)/$Q$2))</f>
        <v>5711.59903687886</v>
      </c>
      <c r="H25" s="15" t="n">
        <f aca="false">G25*(1+IF(H$3&lt;=$O$2,$D25,$D25-($D25-$I$6)*MIN(H$3-$O$2,$Q$2)/$Q$2))</f>
        <v>5453.92300382204</v>
      </c>
      <c r="I25" s="15" t="n">
        <f aca="false">H25*(1+IF(I$3&lt;=$O$2,$D25,$D25-($D25-$I$6)*MIN(I$3-$O$2,$Q$2)/$Q$2))</f>
        <v>5207.87190059365</v>
      </c>
      <c r="J25" s="15" t="n">
        <f aca="false">I25*(1+IF(J$3&lt;=$O$2,$D25,$D25-($D25-$I$6)*MIN(J$3-$O$2,$Q$2)/$Q$2))</f>
        <v>5049.38795435359</v>
      </c>
      <c r="K25" s="15" t="n">
        <f aca="false">J25*(1+IF(K$3&lt;=$O$2,$D25,$D25-($D25-$I$6)*MIN(K$3-$O$2,$Q$2)/$Q$2))</f>
        <v>4969.86660613109</v>
      </c>
      <c r="L25" s="15" t="n">
        <f aca="false">K25*(1+IF(L$3&lt;=$O$2,$D25,$D25-($D25-$I$6)*MIN(L$3-$O$2,$Q$2)/$Q$2))</f>
        <v>4964.5696880859</v>
      </c>
      <c r="M25" s="15" t="n">
        <f aca="false">L25*(1+IF(M$3&lt;=$O$2,$D25,$D25-($D25-$I$6)*MIN(M$3-$O$2,$Q$2)/$Q$2))</f>
        <v>5032.17271289559</v>
      </c>
      <c r="N25" s="15" t="n">
        <f aca="false">M25*(1+IF(N$3&lt;=$O$2,$D25,$D25-($D25-$I$6)*MIN(N$3-$O$2,$Q$2)/$Q$2))</f>
        <v>5174.58320067053</v>
      </c>
      <c r="O25" s="15" t="n">
        <f aca="false">SUMPRODUCT(E25:N25,1/(1+$F$6)^$E$3:$N$3)*$E$2</f>
        <v>11656.2326504381</v>
      </c>
      <c r="P25" s="15" t="n">
        <f aca="false">N25*$E$2*(1+$I$6)/($F$6-$I$6)/(1+$F$6)^$N$3</f>
        <v>14699.734249694</v>
      </c>
      <c r="Q25" s="15" t="n">
        <f aca="false">O25+P25</f>
        <v>26355.9669001321</v>
      </c>
      <c r="R25" s="15" t="n">
        <f aca="false">Q25-$G$2+$I$2</f>
        <v>19010.7669001321</v>
      </c>
      <c r="S25" s="42" t="n">
        <f aca="false">R25/$K$2</f>
        <v>81.017544854601</v>
      </c>
      <c r="T25" s="43" t="n">
        <f aca="false">S25-$M$2</f>
        <v>0.00326827245733341</v>
      </c>
    </row>
    <row r="26" customFormat="false" ht="15" hidden="false" customHeight="false" outlineLevel="0" collapsed="false">
      <c r="A26" s="5" t="n">
        <v>19</v>
      </c>
      <c r="B26" s="25" t="n">
        <f aca="false">IF(T25&gt;0,B25,D25)</f>
        <v>-0.0451202392578125</v>
      </c>
      <c r="C26" s="25" t="n">
        <f aca="false">IF(T25&gt;0,D25,C25)</f>
        <v>-0.0451145172119141</v>
      </c>
      <c r="D26" s="41" t="n">
        <f aca="false">(B26+C26)/2</f>
        <v>-0.0451173782348633</v>
      </c>
      <c r="E26" s="15" t="n">
        <f aca="false">$C$2*(1+IF(E$3&lt;=$O$2,$D26,$D26-($D26-$I$6)*MIN(E$3-$O$2,$Q$2)/$Q$2))</f>
        <v>6264.0299987793</v>
      </c>
      <c r="F26" s="15" t="n">
        <f aca="false">E26*(1+IF(F$3&lt;=$O$2,$D26,$D26-($D26-$I$6)*MIN(F$3-$O$2,$Q$2)/$Q$2))</f>
        <v>5981.41338804984</v>
      </c>
      <c r="G26" s="15" t="n">
        <f aca="false">F26*(1+IF(G$3&lt;=$O$2,$D26,$D26-($D26-$I$6)*MIN(G$3-$O$2,$Q$2)/$Q$2))</f>
        <v>5711.54769784212</v>
      </c>
      <c r="H26" s="15" t="n">
        <f aca="false">G26*(1+IF(H$3&lt;=$O$2,$D26,$D26-($D26-$I$6)*MIN(H$3-$O$2,$Q$2)/$Q$2))</f>
        <v>5453.85764005212</v>
      </c>
      <c r="I26" s="15" t="n">
        <f aca="false">H26*(1+IF(I$3&lt;=$O$2,$D26,$D26-($D26-$I$6)*MIN(I$3-$O$2,$Q$2)/$Q$2))</f>
        <v>5207.79388206679</v>
      </c>
      <c r="J26" s="15" t="n">
        <f aca="false">I26*(1+IF(J$3&lt;=$O$2,$D26,$D26-($D26-$I$6)*MIN(J$3-$O$2,$Q$2)/$Q$2))</f>
        <v>5049.30039036215</v>
      </c>
      <c r="K26" s="15" t="n">
        <f aca="false">J26*(1+IF(K$3&lt;=$O$2,$D26,$D26-($D26-$I$6)*MIN(K$3-$O$2,$Q$2)/$Q$2))</f>
        <v>4969.77175346101</v>
      </c>
      <c r="L26" s="15" t="n">
        <f aca="false">K26*(1+IF(L$3&lt;=$O$2,$D26,$D26-($D26-$I$6)*MIN(L$3-$O$2,$Q$2)/$Q$2))</f>
        <v>4964.46924905804</v>
      </c>
      <c r="M26" s="15" t="n">
        <f aca="false">L26*(1+IF(M$3&lt;=$O$2,$D26,$D26-($D26-$I$6)*MIN(M$3-$O$2,$Q$2)/$Q$2))</f>
        <v>5032.06806548769</v>
      </c>
      <c r="N26" s="15" t="n">
        <f aca="false">M26*(1+IF(N$3&lt;=$O$2,$D26,$D26-($D26-$I$6)*MIN(N$3-$O$2,$Q$2)/$Q$2))</f>
        <v>5174.47559174099</v>
      </c>
      <c r="O26" s="15" t="n">
        <f aca="false">SUMPRODUCT(E26:N26,1/(1+$F$6)^$E$3:$N$3)*$E$2</f>
        <v>11656.0877191359</v>
      </c>
      <c r="P26" s="15" t="n">
        <f aca="false">N26*$E$2*(1+$I$6)/($F$6-$I$6)/(1+$F$6)^$N$3</f>
        <v>14699.4285588575</v>
      </c>
      <c r="Q26" s="15" t="n">
        <f aca="false">O26+P26</f>
        <v>26355.5162779934</v>
      </c>
      <c r="R26" s="15" t="n">
        <f aca="false">Q26-$G$2+$I$2</f>
        <v>19010.3162779934</v>
      </c>
      <c r="S26" s="42" t="n">
        <f aca="false">R26/$K$2</f>
        <v>81.0156244534132</v>
      </c>
      <c r="T26" s="43" t="n">
        <f aca="false">S26-$M$2</f>
        <v>0.00134787126958713</v>
      </c>
    </row>
    <row r="27" customFormat="false" ht="15" hidden="false" customHeight="false" outlineLevel="0" collapsed="false">
      <c r="A27" s="5" t="n">
        <v>20</v>
      </c>
      <c r="B27" s="25" t="n">
        <f aca="false">IF(T26&gt;0,B26,D26)</f>
        <v>-0.0451202392578125</v>
      </c>
      <c r="C27" s="25" t="n">
        <f aca="false">IF(T26&gt;0,D26,C26)</f>
        <v>-0.0451173782348633</v>
      </c>
      <c r="D27" s="41" t="n">
        <f aca="false">(B27+C27)/2</f>
        <v>-0.0451188087463379</v>
      </c>
      <c r="E27" s="15" t="n">
        <f aca="false">$C$2*(1+IF(E$3&lt;=$O$2,$D27,$D27-($D27-$I$6)*MIN(E$3-$O$2,$Q$2)/$Q$2))</f>
        <v>6264.02061462402</v>
      </c>
      <c r="F27" s="15" t="n">
        <f aca="false">E27*(1+IF(F$3&lt;=$O$2,$D27,$D27-($D27-$I$6)*MIN(F$3-$O$2,$Q$2)/$Q$2))</f>
        <v>5981.39546652968</v>
      </c>
      <c r="G27" s="15" t="n">
        <f aca="false">F27*(1+IF(G$3&lt;=$O$2,$D27,$D27-($D27-$I$6)*MIN(G$3-$O$2,$Q$2)/$Q$2))</f>
        <v>5711.52202843912</v>
      </c>
      <c r="H27" s="15" t="n">
        <f aca="false">G27*(1+IF(H$3&lt;=$O$2,$D27,$D27-($D27-$I$6)*MIN(H$3-$O$2,$Q$2)/$Q$2))</f>
        <v>5453.82495838748</v>
      </c>
      <c r="I27" s="15" t="n">
        <f aca="false">H27*(1+IF(I$3&lt;=$O$2,$D27,$D27-($D27-$I$6)*MIN(I$3-$O$2,$Q$2)/$Q$2))</f>
        <v>5207.75487315399</v>
      </c>
      <c r="J27" s="15" t="n">
        <f aca="false">I27*(1+IF(J$3&lt;=$O$2,$D27,$D27-($D27-$I$6)*MIN(J$3-$O$2,$Q$2)/$Q$2))</f>
        <v>5049.25660884033</v>
      </c>
      <c r="K27" s="15" t="n">
        <f aca="false">J27*(1+IF(K$3&lt;=$O$2,$D27,$D27-($D27-$I$6)*MIN(K$3-$O$2,$Q$2)/$Q$2))</f>
        <v>4969.72432770513</v>
      </c>
      <c r="L27" s="15" t="n">
        <f aca="false">K27*(1+IF(L$3&lt;=$O$2,$D27,$D27-($D27-$I$6)*MIN(L$3-$O$2,$Q$2)/$Q$2))</f>
        <v>4964.41903020406</v>
      </c>
      <c r="M27" s="15" t="n">
        <f aca="false">L27*(1+IF(M$3&lt;=$O$2,$D27,$D27-($D27-$I$6)*MIN(M$3-$O$2,$Q$2)/$Q$2))</f>
        <v>5032.01574249579</v>
      </c>
      <c r="N27" s="15" t="n">
        <f aca="false">M27*(1+IF(N$3&lt;=$O$2,$D27,$D27-($D27-$I$6)*MIN(N$3-$O$2,$Q$2)/$Q$2))</f>
        <v>5174.42178800842</v>
      </c>
      <c r="O27" s="15" t="n">
        <f aca="false">SUMPRODUCT(E27:N27,1/(1+$F$6)^$E$3:$N$3)*$E$2</f>
        <v>11656.0152541865</v>
      </c>
      <c r="P27" s="15" t="n">
        <f aca="false">N27*$E$2*(1+$I$6)/($F$6-$I$6)/(1+$F$6)^$N$3</f>
        <v>14699.2757155193</v>
      </c>
      <c r="Q27" s="15" t="n">
        <f aca="false">O27+P27</f>
        <v>26355.2909697058</v>
      </c>
      <c r="R27" s="15" t="n">
        <f aca="false">Q27-$G$2+$I$2</f>
        <v>19010.0909697058</v>
      </c>
      <c r="S27" s="42" t="n">
        <f aca="false">R27/$K$2</f>
        <v>81.014664264674</v>
      </c>
      <c r="T27" s="43" t="n">
        <f aca="false">S27-$M$2</f>
        <v>0.000387682530373468</v>
      </c>
    </row>
    <row r="28" customFormat="false" ht="15" hidden="false" customHeight="false" outlineLevel="0" collapsed="false">
      <c r="A28" s="5" t="n">
        <v>21</v>
      </c>
      <c r="B28" s="25" t="n">
        <f aca="false">IF(T27&gt;0,B27,D27)</f>
        <v>-0.0451202392578125</v>
      </c>
      <c r="C28" s="25" t="n">
        <f aca="false">IF(T27&gt;0,D27,C27)</f>
        <v>-0.0451188087463379</v>
      </c>
      <c r="D28" s="41" t="n">
        <f aca="false">(B28+C28)/2</f>
        <v>-0.0451195240020752</v>
      </c>
      <c r="E28" s="15" t="n">
        <f aca="false">$C$2*(1+IF(E$3&lt;=$O$2,$D28,$D28-($D28-$I$6)*MIN(E$3-$O$2,$Q$2)/$Q$2))</f>
        <v>6264.01592254639</v>
      </c>
      <c r="F28" s="15" t="n">
        <f aca="false">E28*(1+IF(F$3&lt;=$O$2,$D28,$D28-($D28-$I$6)*MIN(F$3-$O$2,$Q$2)/$Q$2))</f>
        <v>5981.38650577967</v>
      </c>
      <c r="G28" s="15" t="n">
        <f aca="false">F28*(1+IF(G$3&lt;=$O$2,$D28,$D28-($D28-$I$6)*MIN(G$3-$O$2,$Q$2)/$Q$2))</f>
        <v>5711.50919376646</v>
      </c>
      <c r="H28" s="15" t="n">
        <f aca="false">G28*(1+IF(H$3&lt;=$O$2,$D28,$D28-($D28-$I$6)*MIN(H$3-$O$2,$Q$2)/$Q$2))</f>
        <v>5453.80861761024</v>
      </c>
      <c r="I28" s="15" t="n">
        <f aca="false">H28*(1+IF(I$3&lt;=$O$2,$D28,$D28-($D28-$I$6)*MIN(I$3-$O$2,$Q$2)/$Q$2))</f>
        <v>5207.73536878525</v>
      </c>
      <c r="J28" s="15" t="n">
        <f aca="false">I28*(1+IF(J$3&lt;=$O$2,$D28,$D28-($D28-$I$6)*MIN(J$3-$O$2,$Q$2)/$Q$2))</f>
        <v>5049.23471819789</v>
      </c>
      <c r="K28" s="15" t="n">
        <f aca="false">J28*(1+IF(K$3&lt;=$O$2,$D28,$D28-($D28-$I$6)*MIN(K$3-$O$2,$Q$2)/$Q$2))</f>
        <v>4969.70061497198</v>
      </c>
      <c r="L28" s="15" t="n">
        <f aca="false">K28*(1+IF(L$3&lt;=$O$2,$D28,$D28-($D28-$I$6)*MIN(L$3-$O$2,$Q$2)/$Q$2))</f>
        <v>4964.39392094206</v>
      </c>
      <c r="M28" s="15" t="n">
        <f aca="false">L28*(1+IF(M$3&lt;=$O$2,$D28,$D28-($D28-$I$6)*MIN(M$3-$O$2,$Q$2)/$Q$2))</f>
        <v>5031.98958117785</v>
      </c>
      <c r="N28" s="15" t="n">
        <f aca="false">M28*(1+IF(N$3&lt;=$O$2,$D28,$D28-($D28-$I$6)*MIN(N$3-$O$2,$Q$2)/$Q$2))</f>
        <v>5174.39488632518</v>
      </c>
      <c r="O28" s="15" t="n">
        <f aca="false">SUMPRODUCT(E28:N28,1/(1+$F$6)^$E$3:$N$3)*$E$2</f>
        <v>11655.9790218872</v>
      </c>
      <c r="P28" s="15" t="n">
        <f aca="false">N28*$E$2*(1+$I$6)/($F$6-$I$6)/(1+$F$6)^$N$3</f>
        <v>14699.1992943702</v>
      </c>
      <c r="Q28" s="15" t="n">
        <f aca="false">O28+P28</f>
        <v>26355.1783162573</v>
      </c>
      <c r="R28" s="15" t="n">
        <f aca="false">Q28-$G$2+$I$2</f>
        <v>19009.9783162573</v>
      </c>
      <c r="S28" s="42" t="n">
        <f aca="false">R28/$K$2</f>
        <v>81.014184173268</v>
      </c>
      <c r="T28" s="43" t="n">
        <f aca="false">S28-$M$2</f>
        <v>-9.24088756022456E-005</v>
      </c>
    </row>
    <row r="29" customFormat="false" ht="15" hidden="false" customHeight="false" outlineLevel="0" collapsed="false">
      <c r="A29" s="5" t="n">
        <v>22</v>
      </c>
      <c r="B29" s="25" t="n">
        <f aca="false">IF(T28&gt;0,B28,D28)</f>
        <v>-0.0451195240020752</v>
      </c>
      <c r="C29" s="25" t="n">
        <f aca="false">IF(T28&gt;0,D28,C28)</f>
        <v>-0.0451188087463379</v>
      </c>
      <c r="D29" s="41" t="n">
        <f aca="false">(B29+C29)/2</f>
        <v>-0.0451191663742065</v>
      </c>
      <c r="E29" s="15" t="n">
        <f aca="false">$C$2*(1+IF(E$3&lt;=$O$2,$D29,$D29-($D29-$I$6)*MIN(E$3-$O$2,$Q$2)/$Q$2))</f>
        <v>6264.01826858521</v>
      </c>
      <c r="F29" s="15" t="n">
        <f aca="false">E29*(1+IF(F$3&lt;=$O$2,$D29,$D29-($D29-$I$6)*MIN(F$3-$O$2,$Q$2)/$Q$2))</f>
        <v>5981.39098615384</v>
      </c>
      <c r="G29" s="15" t="n">
        <f aca="false">F29*(1+IF(G$3&lt;=$O$2,$D29,$D29-($D29-$I$6)*MIN(G$3-$O$2,$Q$2)/$Q$2))</f>
        <v>5711.51561110039</v>
      </c>
      <c r="H29" s="15" t="n">
        <f aca="false">G29*(1+IF(H$3&lt;=$O$2,$D29,$D29-($D29-$I$6)*MIN(H$3-$O$2,$Q$2)/$Q$2))</f>
        <v>5453.81678799427</v>
      </c>
      <c r="I29" s="15" t="n">
        <f aca="false">H29*(1+IF(I$3&lt;=$O$2,$D29,$D29-($D29-$I$6)*MIN(I$3-$O$2,$Q$2)/$Q$2))</f>
        <v>5207.74512096232</v>
      </c>
      <c r="J29" s="15" t="n">
        <f aca="false">I29*(1+IF(J$3&lt;=$O$2,$D29,$D29-($D29-$I$6)*MIN(J$3-$O$2,$Q$2)/$Q$2))</f>
        <v>5049.24566350923</v>
      </c>
      <c r="K29" s="15" t="n">
        <f aca="false">J29*(1+IF(K$3&lt;=$O$2,$D29,$D29-($D29-$I$6)*MIN(K$3-$O$2,$Q$2)/$Q$2))</f>
        <v>4969.71247132649</v>
      </c>
      <c r="L29" s="15" t="n">
        <f aca="false">K29*(1+IF(L$3&lt;=$O$2,$D29,$D29-($D29-$I$6)*MIN(L$3-$O$2,$Q$2)/$Q$2))</f>
        <v>4964.40647555931</v>
      </c>
      <c r="M29" s="15" t="n">
        <f aca="false">L29*(1+IF(M$3&lt;=$O$2,$D29,$D29-($D29-$I$6)*MIN(M$3-$O$2,$Q$2)/$Q$2))</f>
        <v>5032.00266182199</v>
      </c>
      <c r="N29" s="15" t="n">
        <f aca="false">M29*(1+IF(N$3&lt;=$O$2,$D29,$D29-($D29-$I$6)*MIN(N$3-$O$2,$Q$2)/$Q$2))</f>
        <v>5174.40833715155</v>
      </c>
      <c r="O29" s="15" t="n">
        <f aca="false">SUMPRODUCT(E29:N29,1/(1+$F$6)^$E$3:$N$3)*$E$2</f>
        <v>11655.9971380222</v>
      </c>
      <c r="P29" s="15" t="n">
        <f aca="false">N29*$E$2*(1+$I$6)/($F$6-$I$6)/(1+$F$6)^$N$3</f>
        <v>14699.2375049014</v>
      </c>
      <c r="Q29" s="15" t="n">
        <f aca="false">O29+P29</f>
        <v>26355.2346429236</v>
      </c>
      <c r="R29" s="15" t="n">
        <f aca="false">Q29-$G$2+$I$2</f>
        <v>19010.0346429236</v>
      </c>
      <c r="S29" s="42" t="n">
        <f aca="false">R29/$K$2</f>
        <v>81.014424218724</v>
      </c>
      <c r="T29" s="43" t="n">
        <f aca="false">S29-$M$2</f>
        <v>0.000147636580393851</v>
      </c>
    </row>
    <row r="30" customFormat="false" ht="15" hidden="false" customHeight="false" outlineLevel="0" collapsed="false">
      <c r="A30" s="5" t="n">
        <v>23</v>
      </c>
      <c r="B30" s="25" t="n">
        <f aca="false">IF(T29&gt;0,B29,D29)</f>
        <v>-0.0451195240020752</v>
      </c>
      <c r="C30" s="25" t="n">
        <f aca="false">IF(T29&gt;0,D29,C29)</f>
        <v>-0.0451191663742065</v>
      </c>
      <c r="D30" s="41" t="n">
        <f aca="false">(B30+C30)/2</f>
        <v>-0.0451193451881409</v>
      </c>
      <c r="E30" s="15" t="n">
        <f aca="false">$C$2*(1+IF(E$3&lt;=$O$2,$D30,$D30-($D30-$I$6)*MIN(E$3-$O$2,$Q$2)/$Q$2))</f>
        <v>6264.0170955658</v>
      </c>
      <c r="F30" s="15" t="n">
        <f aca="false">E30*(1+IF(F$3&lt;=$O$2,$D30,$D30-($D30-$I$6)*MIN(F$3-$O$2,$Q$2)/$Q$2))</f>
        <v>5981.38874596655</v>
      </c>
      <c r="G30" s="15" t="n">
        <f aca="false">F30*(1+IF(G$3&lt;=$O$2,$D30,$D30-($D30-$I$6)*MIN(G$3-$O$2,$Q$2)/$Q$2))</f>
        <v>5711.51240243282</v>
      </c>
      <c r="H30" s="15" t="n">
        <f aca="false">G30*(1+IF(H$3&lt;=$O$2,$D30,$D30-($D30-$I$6)*MIN(H$3-$O$2,$Q$2)/$Q$2))</f>
        <v>5453.81270280111</v>
      </c>
      <c r="I30" s="15" t="n">
        <f aca="false">H30*(1+IF(I$3&lt;=$O$2,$D30,$D30-($D30-$I$6)*MIN(I$3-$O$2,$Q$2)/$Q$2))</f>
        <v>5207.74024487196</v>
      </c>
      <c r="J30" s="15" t="n">
        <f aca="false">I30*(1+IF(J$3&lt;=$O$2,$D30,$D30-($D30-$I$6)*MIN(J$3-$O$2,$Q$2)/$Q$2))</f>
        <v>5049.24019085109</v>
      </c>
      <c r="K30" s="15" t="n">
        <f aca="false">J30*(1+IF(K$3&lt;=$O$2,$D30,$D30-($D30-$I$6)*MIN(K$3-$O$2,$Q$2)/$Q$2))</f>
        <v>4969.70654314622</v>
      </c>
      <c r="L30" s="15" t="n">
        <f aca="false">K30*(1+IF(L$3&lt;=$O$2,$D30,$D30-($D30-$I$6)*MIN(L$3-$O$2,$Q$2)/$Q$2))</f>
        <v>4964.40019824725</v>
      </c>
      <c r="M30" s="15" t="n">
        <f aca="false">L30*(1+IF(M$3&lt;=$O$2,$D30,$D30-($D30-$I$6)*MIN(M$3-$O$2,$Q$2)/$Q$2))</f>
        <v>5031.99612149621</v>
      </c>
      <c r="N30" s="15" t="n">
        <f aca="false">M30*(1+IF(N$3&lt;=$O$2,$D30,$D30-($D30-$I$6)*MIN(N$3-$O$2,$Q$2)/$Q$2))</f>
        <v>5174.40161173455</v>
      </c>
      <c r="O30" s="15" t="n">
        <f aca="false">SUMPRODUCT(E30:N30,1/(1+$F$6)^$E$3:$N$3)*$E$2</f>
        <v>11655.988079951</v>
      </c>
      <c r="P30" s="15" t="n">
        <f aca="false">N30*$E$2*(1+$I$6)/($F$6-$I$6)/(1+$F$6)^$N$3</f>
        <v>14699.218399625</v>
      </c>
      <c r="Q30" s="15" t="n">
        <f aca="false">O30+P30</f>
        <v>26355.206479576</v>
      </c>
      <c r="R30" s="15" t="n">
        <f aca="false">Q30-$G$2+$I$2</f>
        <v>19010.006479576</v>
      </c>
      <c r="S30" s="42" t="n">
        <f aca="false">R30/$K$2</f>
        <v>81.0143041959343</v>
      </c>
      <c r="T30" s="43" t="n">
        <f aca="false">S30-$M$2</f>
        <v>2.76137906496388E-005</v>
      </c>
    </row>
    <row r="31" customFormat="false" ht="15" hidden="false" customHeight="false" outlineLevel="0" collapsed="false">
      <c r="A31" s="5" t="n">
        <v>24</v>
      </c>
      <c r="B31" s="25" t="n">
        <f aca="false">IF(T30&gt;0,B30,D30)</f>
        <v>-0.0451195240020752</v>
      </c>
      <c r="C31" s="25" t="n">
        <f aca="false">IF(T30&gt;0,D30,C30)</f>
        <v>-0.0451193451881409</v>
      </c>
      <c r="D31" s="41" t="n">
        <f aca="false">(B31+C31)/2</f>
        <v>-0.045119434595108</v>
      </c>
      <c r="E31" s="15" t="n">
        <f aca="false">$C$2*(1+IF(E$3&lt;=$O$2,$D31,$D31-($D31-$I$6)*MIN(E$3-$O$2,$Q$2)/$Q$2))</f>
        <v>6264.01650905609</v>
      </c>
      <c r="F31" s="15" t="n">
        <f aca="false">E31*(1+IF(F$3&lt;=$O$2,$D31,$D31-($D31-$I$6)*MIN(F$3-$O$2,$Q$2)/$Q$2))</f>
        <v>5981.38762587306</v>
      </c>
      <c r="G31" s="15" t="n">
        <f aca="false">F31*(1+IF(G$3&lt;=$O$2,$D31,$D31-($D31-$I$6)*MIN(G$3-$O$2,$Q$2)/$Q$2))</f>
        <v>5711.51079809949</v>
      </c>
      <c r="H31" s="15" t="n">
        <f aca="false">G31*(1+IF(H$3&lt;=$O$2,$D31,$D31-($D31-$I$6)*MIN(H$3-$O$2,$Q$2)/$Q$2))</f>
        <v>5453.81066020539</v>
      </c>
      <c r="I31" s="15" t="n">
        <f aca="false">H31*(1+IF(I$3&lt;=$O$2,$D31,$D31-($D31-$I$6)*MIN(I$3-$O$2,$Q$2)/$Q$2))</f>
        <v>5207.73780682815</v>
      </c>
      <c r="J31" s="15" t="n">
        <f aca="false">I31*(1+IF(J$3&lt;=$O$2,$D31,$D31-($D31-$I$6)*MIN(J$3-$O$2,$Q$2)/$Q$2))</f>
        <v>5049.23745452387</v>
      </c>
      <c r="K31" s="15" t="n">
        <f aca="false">J31*(1+IF(K$3&lt;=$O$2,$D31,$D31-($D31-$I$6)*MIN(K$3-$O$2,$Q$2)/$Q$2))</f>
        <v>4969.70357905835</v>
      </c>
      <c r="L31" s="15" t="n">
        <f aca="false">K31*(1+IF(L$3&lt;=$O$2,$D31,$D31-($D31-$I$6)*MIN(L$3-$O$2,$Q$2)/$Q$2))</f>
        <v>4964.3970595938</v>
      </c>
      <c r="M31" s="15" t="n">
        <f aca="false">L31*(1+IF(M$3&lt;=$O$2,$D31,$D31-($D31-$I$6)*MIN(M$3-$O$2,$Q$2)/$Q$2))</f>
        <v>5031.9928513361</v>
      </c>
      <c r="N31" s="15" t="n">
        <f aca="false">M31*(1+IF(N$3&lt;=$O$2,$D31,$D31-($D31-$I$6)*MIN(N$3-$O$2,$Q$2)/$Q$2))</f>
        <v>5174.39824902891</v>
      </c>
      <c r="O31" s="15" t="n">
        <f aca="false">SUMPRODUCT(E31:N31,1/(1+$F$6)^$E$3:$N$3)*$E$2</f>
        <v>11655.9835509182</v>
      </c>
      <c r="P31" s="15" t="n">
        <f aca="false">N31*$E$2*(1+$I$6)/($F$6-$I$6)/(1+$F$6)^$N$3</f>
        <v>14699.2088469948</v>
      </c>
      <c r="Q31" s="15" t="n">
        <f aca="false">O31+P31</f>
        <v>26355.192397913</v>
      </c>
      <c r="R31" s="15" t="n">
        <f aca="false">Q31-$G$2+$I$2</f>
        <v>19009.992397913</v>
      </c>
      <c r="S31" s="42" t="n">
        <f aca="false">R31/$K$2</f>
        <v>81.0142441845857</v>
      </c>
      <c r="T31" s="43" t="n">
        <f aca="false">S31-$M$2</f>
        <v>-3.23975579448188E-005</v>
      </c>
    </row>
    <row r="32" customFormat="false" ht="15" hidden="false" customHeight="false" outlineLevel="0" collapsed="false">
      <c r="A32" s="5" t="n">
        <v>25</v>
      </c>
      <c r="B32" s="25" t="n">
        <f aca="false">IF(T31&gt;0,B31,D31)</f>
        <v>-0.045119434595108</v>
      </c>
      <c r="C32" s="25" t="n">
        <f aca="false">IF(T31&gt;0,D31,C31)</f>
        <v>-0.0451193451881409</v>
      </c>
      <c r="D32" s="41" t="n">
        <f aca="false">(B32+C32)/2</f>
        <v>-0.0451193898916245</v>
      </c>
      <c r="E32" s="15" t="n">
        <f aca="false">$C$2*(1+IF(E$3&lt;=$O$2,$D32,$D32-($D32-$I$6)*MIN(E$3-$O$2,$Q$2)/$Q$2))</f>
        <v>6264.01680231094</v>
      </c>
      <c r="F32" s="15" t="n">
        <f aca="false">E32*(1+IF(F$3&lt;=$O$2,$D32,$D32-($D32-$I$6)*MIN(F$3-$O$2,$Q$2)/$Q$2))</f>
        <v>5981.38818591979</v>
      </c>
      <c r="G32" s="15" t="n">
        <f aca="false">F32*(1+IF(G$3&lt;=$O$2,$D32,$D32-($D32-$I$6)*MIN(G$3-$O$2,$Q$2)/$Q$2))</f>
        <v>5711.51160026612</v>
      </c>
      <c r="H32" s="15" t="n">
        <f aca="false">G32*(1+IF(H$3&lt;=$O$2,$D32,$D32-($D32-$I$6)*MIN(H$3-$O$2,$Q$2)/$Q$2))</f>
        <v>5453.81168150318</v>
      </c>
      <c r="I32" s="15" t="n">
        <f aca="false">H32*(1+IF(I$3&lt;=$O$2,$D32,$D32-($D32-$I$6)*MIN(I$3-$O$2,$Q$2)/$Q$2))</f>
        <v>5207.73902584994</v>
      </c>
      <c r="J32" s="15" t="n">
        <f aca="false">I32*(1+IF(J$3&lt;=$O$2,$D32,$D32-($D32-$I$6)*MIN(J$3-$O$2,$Q$2)/$Q$2))</f>
        <v>5049.23882268733</v>
      </c>
      <c r="K32" s="15" t="n">
        <f aca="false">J32*(1+IF(K$3&lt;=$O$2,$D32,$D32-($D32-$I$6)*MIN(K$3-$O$2,$Q$2)/$Q$2))</f>
        <v>4969.70506110209</v>
      </c>
      <c r="L32" s="15" t="n">
        <f aca="false">K32*(1+IF(L$3&lt;=$O$2,$D32,$D32-($D32-$I$6)*MIN(L$3-$O$2,$Q$2)/$Q$2))</f>
        <v>4964.39862892031</v>
      </c>
      <c r="M32" s="15" t="n">
        <f aca="false">L32*(1+IF(M$3&lt;=$O$2,$D32,$D32-($D32-$I$6)*MIN(M$3-$O$2,$Q$2)/$Q$2))</f>
        <v>5031.99448641592</v>
      </c>
      <c r="N32" s="15" t="n">
        <f aca="false">M32*(1+IF(N$3&lt;=$O$2,$D32,$D32-($D32-$I$6)*MIN(N$3-$O$2,$Q$2)/$Q$2))</f>
        <v>5174.39993038149</v>
      </c>
      <c r="O32" s="15" t="n">
        <f aca="false">SUMPRODUCT(E32:N32,1/(1+$F$6)^$E$3:$N$3)*$E$2</f>
        <v>11655.9858154344</v>
      </c>
      <c r="P32" s="15" t="n">
        <f aca="false">N32*$E$2*(1+$I$6)/($F$6-$I$6)/(1+$F$6)^$N$3</f>
        <v>14699.2136233092</v>
      </c>
      <c r="Q32" s="15" t="n">
        <f aca="false">O32+P32</f>
        <v>26355.1994387436</v>
      </c>
      <c r="R32" s="15" t="n">
        <f aca="false">Q32-$G$2+$I$2</f>
        <v>19009.9994387436</v>
      </c>
      <c r="S32" s="42" t="n">
        <f aca="false">R32/$K$2</f>
        <v>81.0142741902561</v>
      </c>
      <c r="T32" s="43" t="n">
        <f aca="false">S32-$M$2</f>
        <v>-2.39188752004793E-006</v>
      </c>
    </row>
    <row r="33" customFormat="false" ht="15" hidden="false" customHeight="false" outlineLevel="0" collapsed="false">
      <c r="A33" s="5" t="n">
        <v>26</v>
      </c>
      <c r="B33" s="25" t="n">
        <f aca="false">IF(T32&gt;0,B32,D32)</f>
        <v>-0.0451193898916245</v>
      </c>
      <c r="C33" s="25" t="n">
        <f aca="false">IF(T32&gt;0,D32,C32)</f>
        <v>-0.0451193451881409</v>
      </c>
      <c r="D33" s="41" t="n">
        <f aca="false">(B33+C33)/2</f>
        <v>-0.0451193675398827</v>
      </c>
      <c r="E33" s="15" t="n">
        <f aca="false">$C$2*(1+IF(E$3&lt;=$O$2,$D33,$D33-($D33-$I$6)*MIN(E$3-$O$2,$Q$2)/$Q$2))</f>
        <v>6264.01694893837</v>
      </c>
      <c r="F33" s="15" t="n">
        <f aca="false">E33*(1+IF(F$3&lt;=$O$2,$D33,$D33-($D33-$I$6)*MIN(F$3-$O$2,$Q$2)/$Q$2))</f>
        <v>5981.38846594317</v>
      </c>
      <c r="G33" s="15" t="n">
        <f aca="false">F33*(1+IF(G$3&lt;=$O$2,$D33,$D33-($D33-$I$6)*MIN(G$3-$O$2,$Q$2)/$Q$2))</f>
        <v>5711.51200134946</v>
      </c>
      <c r="H33" s="15" t="n">
        <f aca="false">G33*(1+IF(H$3&lt;=$O$2,$D33,$D33-($D33-$I$6)*MIN(H$3-$O$2,$Q$2)/$Q$2))</f>
        <v>5453.81219215212</v>
      </c>
      <c r="I33" s="15" t="n">
        <f aca="false">H33*(1+IF(I$3&lt;=$O$2,$D33,$D33-($D33-$I$6)*MIN(I$3-$O$2,$Q$2)/$Q$2))</f>
        <v>5207.73963536092</v>
      </c>
      <c r="J33" s="15" t="n">
        <f aca="false">I33*(1+IF(J$3&lt;=$O$2,$D33,$D33-($D33-$I$6)*MIN(J$3-$O$2,$Q$2)/$Q$2))</f>
        <v>5049.23950676917</v>
      </c>
      <c r="K33" s="15" t="n">
        <f aca="false">J33*(1+IF(K$3&lt;=$O$2,$D33,$D33-($D33-$I$6)*MIN(K$3-$O$2,$Q$2)/$Q$2))</f>
        <v>4969.70580212411</v>
      </c>
      <c r="L33" s="15" t="n">
        <f aca="false">K33*(1+IF(L$3&lt;=$O$2,$D33,$D33-($D33-$I$6)*MIN(L$3-$O$2,$Q$2)/$Q$2))</f>
        <v>4964.39941358373</v>
      </c>
      <c r="M33" s="15" t="n">
        <f aca="false">L33*(1+IF(M$3&lt;=$O$2,$D33,$D33-($D33-$I$6)*MIN(M$3-$O$2,$Q$2)/$Q$2))</f>
        <v>5031.99530395601</v>
      </c>
      <c r="N33" s="15" t="n">
        <f aca="false">M33*(1+IF(N$3&lt;=$O$2,$D33,$D33-($D33-$I$6)*MIN(N$3-$O$2,$Q$2)/$Q$2))</f>
        <v>5174.40077105796</v>
      </c>
      <c r="O33" s="15" t="n">
        <f aca="false">SUMPRODUCT(E33:N33,1/(1+$F$6)^$E$3:$N$3)*$E$2</f>
        <v>11655.9869476926</v>
      </c>
      <c r="P33" s="15" t="n">
        <f aca="false">N33*$E$2*(1+$I$6)/($F$6-$I$6)/(1+$F$6)^$N$3</f>
        <v>14699.2160114669</v>
      </c>
      <c r="Q33" s="15" t="n">
        <f aca="false">O33+P33</f>
        <v>26355.2029591596</v>
      </c>
      <c r="R33" s="15" t="n">
        <f aca="false">Q33-$G$2+$I$2</f>
        <v>19010.0029591596</v>
      </c>
      <c r="S33" s="42" t="n">
        <f aca="false">R33/$K$2</f>
        <v>81.0142891930942</v>
      </c>
      <c r="T33" s="43" t="n">
        <f aca="false">S33-$M$2</f>
        <v>1.26109505913519E-005</v>
      </c>
    </row>
    <row r="34" customFormat="false" ht="15" hidden="false" customHeight="false" outlineLevel="0" collapsed="false">
      <c r="A34" s="5" t="n">
        <v>27</v>
      </c>
      <c r="B34" s="25" t="n">
        <f aca="false">IF(T33&gt;0,B33,D33)</f>
        <v>-0.0451193898916245</v>
      </c>
      <c r="C34" s="25" t="n">
        <f aca="false">IF(T33&gt;0,D33,C33)</f>
        <v>-0.0451193675398827</v>
      </c>
      <c r="D34" s="41" t="n">
        <f aca="false">(B34+C34)/2</f>
        <v>-0.0451193787157536</v>
      </c>
      <c r="E34" s="15" t="n">
        <f aca="false">$C$2*(1+IF(E$3&lt;=$O$2,$D34,$D34-($D34-$I$6)*MIN(E$3-$O$2,$Q$2)/$Q$2))</f>
        <v>6264.01687562466</v>
      </c>
      <c r="F34" s="15" t="n">
        <f aca="false">E34*(1+IF(F$3&lt;=$O$2,$D34,$D34-($D34-$I$6)*MIN(F$3-$O$2,$Q$2)/$Q$2))</f>
        <v>5981.38832593148</v>
      </c>
      <c r="G34" s="15" t="n">
        <f aca="false">F34*(1+IF(G$3&lt;=$O$2,$D34,$D34-($D34-$I$6)*MIN(G$3-$O$2,$Q$2)/$Q$2))</f>
        <v>5711.51180080779</v>
      </c>
      <c r="H34" s="15" t="n">
        <f aca="false">G34*(1+IF(H$3&lt;=$O$2,$D34,$D34-($D34-$I$6)*MIN(H$3-$O$2,$Q$2)/$Q$2))</f>
        <v>5453.81193682765</v>
      </c>
      <c r="I34" s="15" t="n">
        <f aca="false">H34*(1+IF(I$3&lt;=$O$2,$D34,$D34-($D34-$I$6)*MIN(I$3-$O$2,$Q$2)/$Q$2))</f>
        <v>5207.73933060542</v>
      </c>
      <c r="J34" s="15" t="n">
        <f aca="false">I34*(1+IF(J$3&lt;=$O$2,$D34,$D34-($D34-$I$6)*MIN(J$3-$O$2,$Q$2)/$Q$2))</f>
        <v>5049.23916472824</v>
      </c>
      <c r="K34" s="15" t="n">
        <f aca="false">J34*(1+IF(K$3&lt;=$O$2,$D34,$D34-($D34-$I$6)*MIN(K$3-$O$2,$Q$2)/$Q$2))</f>
        <v>4969.70543161309</v>
      </c>
      <c r="L34" s="15" t="n">
        <f aca="false">K34*(1+IF(L$3&lt;=$O$2,$D34,$D34-($D34-$I$6)*MIN(L$3-$O$2,$Q$2)/$Q$2))</f>
        <v>4964.399021252</v>
      </c>
      <c r="M34" s="15" t="n">
        <f aca="false">L34*(1+IF(M$3&lt;=$O$2,$D34,$D34-($D34-$I$6)*MIN(M$3-$O$2,$Q$2)/$Q$2))</f>
        <v>5031.99489518595</v>
      </c>
      <c r="N34" s="15" t="n">
        <f aca="false">M34*(1+IF(N$3&lt;=$O$2,$D34,$D34-($D34-$I$6)*MIN(N$3-$O$2,$Q$2)/$Q$2))</f>
        <v>5174.40035071972</v>
      </c>
      <c r="O34" s="15" t="n">
        <f aca="false">SUMPRODUCT(E34:N34,1/(1+$F$6)^$E$3:$N$3)*$E$2</f>
        <v>11655.9863815635</v>
      </c>
      <c r="P34" s="15" t="n">
        <f aca="false">N34*$E$2*(1+$I$6)/($F$6-$I$6)/(1+$F$6)^$N$3</f>
        <v>14699.214817388</v>
      </c>
      <c r="Q34" s="15" t="n">
        <f aca="false">O34+P34</f>
        <v>26355.2011989515</v>
      </c>
      <c r="R34" s="15" t="n">
        <f aca="false">Q34-$G$2+$I$2</f>
        <v>19010.0011989515</v>
      </c>
      <c r="S34" s="42" t="n">
        <f aca="false">R34/$K$2</f>
        <v>81.0142816916749</v>
      </c>
      <c r="T34" s="43" t="n">
        <f aca="false">S34-$M$2</f>
        <v>5.10953130117287E-006</v>
      </c>
    </row>
    <row r="35" customFormat="false" ht="15" hidden="false" customHeight="false" outlineLevel="0" collapsed="false">
      <c r="A35" s="5" t="n">
        <v>28</v>
      </c>
      <c r="B35" s="25" t="n">
        <f aca="false">IF(T34&gt;0,B34,D34)</f>
        <v>-0.0451193898916245</v>
      </c>
      <c r="C35" s="25" t="n">
        <f aca="false">IF(T34&gt;0,D34,C34)</f>
        <v>-0.0451193787157536</v>
      </c>
      <c r="D35" s="41" t="n">
        <f aca="false">(B35+C35)/2</f>
        <v>-0.045119384303689</v>
      </c>
      <c r="E35" s="15" t="n">
        <f aca="false">$C$2*(1+IF(E$3&lt;=$O$2,$D35,$D35-($D35-$I$6)*MIN(E$3-$O$2,$Q$2)/$Q$2))</f>
        <v>6264.0168389678</v>
      </c>
      <c r="F35" s="15" t="n">
        <f aca="false">E35*(1+IF(F$3&lt;=$O$2,$D35,$D35-($D35-$I$6)*MIN(F$3-$O$2,$Q$2)/$Q$2))</f>
        <v>5981.38825592563</v>
      </c>
      <c r="G35" s="15" t="n">
        <f aca="false">F35*(1+IF(G$3&lt;=$O$2,$D35,$D35-($D35-$I$6)*MIN(G$3-$O$2,$Q$2)/$Q$2))</f>
        <v>5711.51170053695</v>
      </c>
      <c r="H35" s="15" t="n">
        <f aca="false">G35*(1+IF(H$3&lt;=$O$2,$D35,$D35-($D35-$I$6)*MIN(H$3-$O$2,$Q$2)/$Q$2))</f>
        <v>5453.81180916541</v>
      </c>
      <c r="I35" s="15" t="n">
        <f aca="false">H35*(1+IF(I$3&lt;=$O$2,$D35,$D35-($D35-$I$6)*MIN(I$3-$O$2,$Q$2)/$Q$2))</f>
        <v>5207.73917822768</v>
      </c>
      <c r="J35" s="15" t="n">
        <f aca="false">I35*(1+IF(J$3&lt;=$O$2,$D35,$D35-($D35-$I$6)*MIN(J$3-$O$2,$Q$2)/$Q$2))</f>
        <v>5049.23899370778</v>
      </c>
      <c r="K35" s="15" t="n">
        <f aca="false">J35*(1+IF(K$3&lt;=$O$2,$D35,$D35-($D35-$I$6)*MIN(K$3-$O$2,$Q$2)/$Q$2))</f>
        <v>4969.70524635759</v>
      </c>
      <c r="L35" s="15" t="n">
        <f aca="false">K35*(1+IF(L$3&lt;=$O$2,$D35,$D35-($D35-$I$6)*MIN(L$3-$O$2,$Q$2)/$Q$2))</f>
        <v>4964.39882508615</v>
      </c>
      <c r="M35" s="15" t="n">
        <f aca="false">L35*(1+IF(M$3&lt;=$O$2,$D35,$D35-($D35-$I$6)*MIN(M$3-$O$2,$Q$2)/$Q$2))</f>
        <v>5031.99469080093</v>
      </c>
      <c r="N35" s="15" t="n">
        <f aca="false">M35*(1+IF(N$3&lt;=$O$2,$D35,$D35-($D35-$I$6)*MIN(N$3-$O$2,$Q$2)/$Q$2))</f>
        <v>5174.4001405506</v>
      </c>
      <c r="O35" s="15" t="n">
        <f aca="false">SUMPRODUCT(E35:N35,1/(1+$F$6)^$E$3:$N$3)*$E$2</f>
        <v>11655.9860984989</v>
      </c>
      <c r="P35" s="15" t="n">
        <f aca="false">N35*$E$2*(1+$I$6)/($F$6-$I$6)/(1+$F$6)^$N$3</f>
        <v>14699.2142203486</v>
      </c>
      <c r="Q35" s="15" t="n">
        <f aca="false">O35+P35</f>
        <v>26355.2003188475</v>
      </c>
      <c r="R35" s="15" t="n">
        <f aca="false">Q35-$G$2+$I$2</f>
        <v>19010.0003188475</v>
      </c>
      <c r="S35" s="42" t="n">
        <f aca="false">R35/$K$2</f>
        <v>81.0142779409655</v>
      </c>
      <c r="T35" s="43" t="n">
        <f aca="false">S35-$M$2</f>
        <v>1.35882183371905E-006</v>
      </c>
    </row>
    <row r="36" customFormat="false" ht="15" hidden="false" customHeight="false" outlineLevel="0" collapsed="false">
      <c r="A36" s="5" t="n">
        <v>29</v>
      </c>
      <c r="B36" s="25" t="n">
        <f aca="false">IF(T35&gt;0,B35,D35)</f>
        <v>-0.0451193898916245</v>
      </c>
      <c r="C36" s="25" t="n">
        <f aca="false">IF(T35&gt;0,D35,C35)</f>
        <v>-0.045119384303689</v>
      </c>
      <c r="D36" s="41" t="n">
        <f aca="false">(B36+C36)/2</f>
        <v>-0.0451193870976567</v>
      </c>
      <c r="E36" s="15" t="n">
        <f aca="false">$C$2*(1+IF(E$3&lt;=$O$2,$D36,$D36-($D36-$I$6)*MIN(E$3-$O$2,$Q$2)/$Q$2))</f>
        <v>6264.01682063937</v>
      </c>
      <c r="F36" s="15" t="n">
        <f aca="false">E36*(1+IF(F$3&lt;=$O$2,$D36,$D36-($D36-$I$6)*MIN(F$3-$O$2,$Q$2)/$Q$2))</f>
        <v>5981.38822092271</v>
      </c>
      <c r="G36" s="15" t="n">
        <f aca="false">F36*(1+IF(G$3&lt;=$O$2,$D36,$D36-($D36-$I$6)*MIN(G$3-$O$2,$Q$2)/$Q$2))</f>
        <v>5711.51165040154</v>
      </c>
      <c r="H36" s="15" t="n">
        <f aca="false">G36*(1+IF(H$3&lt;=$O$2,$D36,$D36-($D36-$I$6)*MIN(H$3-$O$2,$Q$2)/$Q$2))</f>
        <v>5453.81174533429</v>
      </c>
      <c r="I36" s="15" t="n">
        <f aca="false">H36*(1+IF(I$3&lt;=$O$2,$D36,$D36-($D36-$I$6)*MIN(I$3-$O$2,$Q$2)/$Q$2))</f>
        <v>5207.73910203881</v>
      </c>
      <c r="J36" s="15" t="n">
        <f aca="false">I36*(1+IF(J$3&lt;=$O$2,$D36,$D36-($D36-$I$6)*MIN(J$3-$O$2,$Q$2)/$Q$2))</f>
        <v>5049.23890819755</v>
      </c>
      <c r="K36" s="15" t="n">
        <f aca="false">J36*(1+IF(K$3&lt;=$O$2,$D36,$D36-($D36-$I$6)*MIN(K$3-$O$2,$Q$2)/$Q$2))</f>
        <v>4969.70515372984</v>
      </c>
      <c r="L36" s="15" t="n">
        <f aca="false">K36*(1+IF(L$3&lt;=$O$2,$D36,$D36-($D36-$I$6)*MIN(L$3-$O$2,$Q$2)/$Q$2))</f>
        <v>4964.39872700323</v>
      </c>
      <c r="M36" s="15" t="n">
        <f aca="false">L36*(1+IF(M$3&lt;=$O$2,$D36,$D36-($D36-$I$6)*MIN(M$3-$O$2,$Q$2)/$Q$2))</f>
        <v>5031.99458860843</v>
      </c>
      <c r="N36" s="15" t="n">
        <f aca="false">M36*(1+IF(N$3&lt;=$O$2,$D36,$D36-($D36-$I$6)*MIN(N$3-$O$2,$Q$2)/$Q$2))</f>
        <v>5174.40003546605</v>
      </c>
      <c r="O36" s="15" t="n">
        <f aca="false">SUMPRODUCT(E36:N36,1/(1+$F$6)^$E$3:$N$3)*$E$2</f>
        <v>11655.9859569667</v>
      </c>
      <c r="P36" s="15" t="n">
        <f aca="false">N36*$E$2*(1+$I$6)/($F$6-$I$6)/(1+$F$6)^$N$3</f>
        <v>14699.2139218289</v>
      </c>
      <c r="Q36" s="15" t="n">
        <f aca="false">O36+P36</f>
        <v>26355.1998787956</v>
      </c>
      <c r="R36" s="15" t="n">
        <f aca="false">Q36-$G$2+$I$2</f>
        <v>19009.9998787956</v>
      </c>
      <c r="S36" s="42" t="n">
        <f aca="false">R36/$K$2</f>
        <v>81.0142760656108</v>
      </c>
      <c r="T36" s="43" t="n">
        <f aca="false">S36-$M$2</f>
        <v>-5.16532807637304E-007</v>
      </c>
    </row>
    <row r="37" customFormat="false" ht="15" hidden="false" customHeight="false" outlineLevel="0" collapsed="false">
      <c r="A37" s="5" t="n">
        <v>30</v>
      </c>
      <c r="B37" s="25" t="n">
        <f aca="false">IF(T36&gt;0,B36,D36)</f>
        <v>-0.0451193870976567</v>
      </c>
      <c r="C37" s="25" t="n">
        <f aca="false">IF(T36&gt;0,D36,C36)</f>
        <v>-0.045119384303689</v>
      </c>
      <c r="D37" s="41" t="n">
        <f aca="false">(B37+C37)/2</f>
        <v>-0.0451193857006729</v>
      </c>
      <c r="E37" s="15" t="n">
        <f aca="false">$C$2*(1+IF(E$3&lt;=$O$2,$D37,$D37-($D37-$I$6)*MIN(E$3-$O$2,$Q$2)/$Q$2))</f>
        <v>6264.01682980359</v>
      </c>
      <c r="F37" s="15" t="n">
        <f aca="false">E37*(1+IF(F$3&lt;=$O$2,$D37,$D37-($D37-$I$6)*MIN(F$3-$O$2,$Q$2)/$Q$2))</f>
        <v>5981.38823842417</v>
      </c>
      <c r="G37" s="15" t="n">
        <f aca="false">F37*(1+IF(G$3&lt;=$O$2,$D37,$D37-($D37-$I$6)*MIN(G$3-$O$2,$Q$2)/$Q$2))</f>
        <v>5711.51167546924</v>
      </c>
      <c r="H37" s="15" t="n">
        <f aca="false">G37*(1+IF(H$3&lt;=$O$2,$D37,$D37-($D37-$I$6)*MIN(H$3-$O$2,$Q$2)/$Q$2))</f>
        <v>5453.81177724985</v>
      </c>
      <c r="I37" s="15" t="n">
        <f aca="false">H37*(1+IF(I$3&lt;=$O$2,$D37,$D37-($D37-$I$6)*MIN(I$3-$O$2,$Q$2)/$Q$2))</f>
        <v>5207.73914013324</v>
      </c>
      <c r="J37" s="15" t="n">
        <f aca="false">I37*(1+IF(J$3&lt;=$O$2,$D37,$D37-($D37-$I$6)*MIN(J$3-$O$2,$Q$2)/$Q$2))</f>
        <v>5049.23895095267</v>
      </c>
      <c r="K37" s="15" t="n">
        <f aca="false">J37*(1+IF(K$3&lt;=$O$2,$D37,$D37-($D37-$I$6)*MIN(K$3-$O$2,$Q$2)/$Q$2))</f>
        <v>4969.70520004371</v>
      </c>
      <c r="L37" s="15" t="n">
        <f aca="false">K37*(1+IF(L$3&lt;=$O$2,$D37,$D37-($D37-$I$6)*MIN(L$3-$O$2,$Q$2)/$Q$2))</f>
        <v>4964.39877604469</v>
      </c>
      <c r="M37" s="15" t="n">
        <f aca="false">L37*(1+IF(M$3&lt;=$O$2,$D37,$D37-($D37-$I$6)*MIN(M$3-$O$2,$Q$2)/$Q$2))</f>
        <v>5031.99463970468</v>
      </c>
      <c r="N37" s="15" t="n">
        <f aca="false">M37*(1+IF(N$3&lt;=$O$2,$D37,$D37-($D37-$I$6)*MIN(N$3-$O$2,$Q$2)/$Q$2))</f>
        <v>5174.40008800832</v>
      </c>
      <c r="O37" s="15" t="n">
        <f aca="false">SUMPRODUCT(E37:N37,1/(1+$F$6)^$E$3:$N$3)*$E$2</f>
        <v>11655.9860277328</v>
      </c>
      <c r="P37" s="15" t="n">
        <f aca="false">N37*$E$2*(1+$I$6)/($F$6-$I$6)/(1+$F$6)^$N$3</f>
        <v>14699.2140710888</v>
      </c>
      <c r="Q37" s="15" t="n">
        <f aca="false">O37+P37</f>
        <v>26355.2000988216</v>
      </c>
      <c r="R37" s="15" t="n">
        <f aca="false">Q37-$G$2+$I$2</f>
        <v>19010.0000988216</v>
      </c>
      <c r="S37" s="42" t="n">
        <f aca="false">R37/$K$2</f>
        <v>81.0142770032881</v>
      </c>
      <c r="T37" s="43" t="n">
        <f aca="false">S37-$M$2</f>
        <v>4.2114449172459E-007</v>
      </c>
    </row>
    <row r="38" customFormat="false" ht="15" hidden="false" customHeight="false" outlineLevel="0" collapsed="false">
      <c r="A38" s="5" t="n">
        <v>31</v>
      </c>
      <c r="B38" s="25" t="n">
        <f aca="false">IF(T37&gt;0,B37,D37)</f>
        <v>-0.0451193870976567</v>
      </c>
      <c r="C38" s="25" t="n">
        <f aca="false">IF(T37&gt;0,D37,C37)</f>
        <v>-0.0451193857006729</v>
      </c>
      <c r="D38" s="41" t="n">
        <f aca="false">(B38+C38)/2</f>
        <v>-0.0451193863991648</v>
      </c>
      <c r="E38" s="15" t="n">
        <f aca="false">$C$2*(1+IF(E$3&lt;=$O$2,$D38,$D38-($D38-$I$6)*MIN(E$3-$O$2,$Q$2)/$Q$2))</f>
        <v>6264.01682522148</v>
      </c>
      <c r="F38" s="15" t="n">
        <f aca="false">E38*(1+IF(F$3&lt;=$O$2,$D38,$D38-($D38-$I$6)*MIN(F$3-$O$2,$Q$2)/$Q$2))</f>
        <v>5981.38822967344</v>
      </c>
      <c r="G38" s="15" t="n">
        <f aca="false">F38*(1+IF(G$3&lt;=$O$2,$D38,$D38-($D38-$I$6)*MIN(G$3-$O$2,$Q$2)/$Q$2))</f>
        <v>5711.51166293539</v>
      </c>
      <c r="H38" s="15" t="n">
        <f aca="false">G38*(1+IF(H$3&lt;=$O$2,$D38,$D38-($D38-$I$6)*MIN(H$3-$O$2,$Q$2)/$Q$2))</f>
        <v>5453.81176129207</v>
      </c>
      <c r="I38" s="15" t="n">
        <f aca="false">H38*(1+IF(I$3&lt;=$O$2,$D38,$D38-($D38-$I$6)*MIN(I$3-$O$2,$Q$2)/$Q$2))</f>
        <v>5207.73912108603</v>
      </c>
      <c r="J38" s="15" t="n">
        <f aca="false">I38*(1+IF(J$3&lt;=$O$2,$D38,$D38-($D38-$I$6)*MIN(J$3-$O$2,$Q$2)/$Q$2))</f>
        <v>5049.23892957511</v>
      </c>
      <c r="K38" s="15" t="n">
        <f aca="false">J38*(1+IF(K$3&lt;=$O$2,$D38,$D38-($D38-$I$6)*MIN(K$3-$O$2,$Q$2)/$Q$2))</f>
        <v>4969.70517688678</v>
      </c>
      <c r="L38" s="15" t="n">
        <f aca="false">K38*(1+IF(L$3&lt;=$O$2,$D38,$D38-($D38-$I$6)*MIN(L$3-$O$2,$Q$2)/$Q$2))</f>
        <v>4964.39875152396</v>
      </c>
      <c r="M38" s="15" t="n">
        <f aca="false">L38*(1+IF(M$3&lt;=$O$2,$D38,$D38-($D38-$I$6)*MIN(M$3-$O$2,$Q$2)/$Q$2))</f>
        <v>5031.99461415656</v>
      </c>
      <c r="N38" s="15" t="n">
        <f aca="false">M38*(1+IF(N$3&lt;=$O$2,$D38,$D38-($D38-$I$6)*MIN(N$3-$O$2,$Q$2)/$Q$2))</f>
        <v>5174.40006173719</v>
      </c>
      <c r="O38" s="15" t="n">
        <f aca="false">SUMPRODUCT(E38:N38,1/(1+$F$6)^$E$3:$N$3)*$E$2</f>
        <v>11655.9859923497</v>
      </c>
      <c r="P38" s="15" t="n">
        <f aca="false">N38*$E$2*(1+$I$6)/($F$6-$I$6)/(1+$F$6)^$N$3</f>
        <v>14699.2139964588</v>
      </c>
      <c r="Q38" s="15" t="n">
        <f aca="false">O38+P38</f>
        <v>26355.1999888086</v>
      </c>
      <c r="R38" s="15" t="n">
        <f aca="false">Q38-$G$2+$I$2</f>
        <v>19009.9999888086</v>
      </c>
      <c r="S38" s="42" t="n">
        <f aca="false">R38/$K$2</f>
        <v>81.0142765344495</v>
      </c>
      <c r="T38" s="43" t="n">
        <f aca="false">S38-$M$2</f>
        <v>-4.76941579563572E-008</v>
      </c>
    </row>
    <row r="39" customFormat="false" ht="15" hidden="false" customHeight="false" outlineLevel="0" collapsed="false">
      <c r="A39" s="5" t="n">
        <v>32</v>
      </c>
      <c r="B39" s="25" t="n">
        <f aca="false">IF(T38&gt;0,B38,D38)</f>
        <v>-0.0451193863991648</v>
      </c>
      <c r="C39" s="25" t="n">
        <f aca="false">IF(T38&gt;0,D38,C38)</f>
        <v>-0.0451193857006729</v>
      </c>
      <c r="D39" s="41" t="n">
        <f aca="false">(B39+C39)/2</f>
        <v>-0.0451193860499188</v>
      </c>
      <c r="E39" s="15" t="n">
        <f aca="false">$C$2*(1+IF(E$3&lt;=$O$2,$D39,$D39-($D39-$I$6)*MIN(E$3-$O$2,$Q$2)/$Q$2))</f>
        <v>6264.01682751253</v>
      </c>
      <c r="F39" s="15" t="n">
        <f aca="false">E39*(1+IF(F$3&lt;=$O$2,$D39,$D39-($D39-$I$6)*MIN(F$3-$O$2,$Q$2)/$Q$2))</f>
        <v>5981.38823404881</v>
      </c>
      <c r="G39" s="15" t="n">
        <f aca="false">F39*(1+IF(G$3&lt;=$O$2,$D39,$D39-($D39-$I$6)*MIN(G$3-$O$2,$Q$2)/$Q$2))</f>
        <v>5711.51166920232</v>
      </c>
      <c r="H39" s="15" t="n">
        <f aca="false">G39*(1+IF(H$3&lt;=$O$2,$D39,$D39-($D39-$I$6)*MIN(H$3-$O$2,$Q$2)/$Q$2))</f>
        <v>5453.81176927096</v>
      </c>
      <c r="I39" s="15" t="n">
        <f aca="false">H39*(1+IF(I$3&lt;=$O$2,$D39,$D39-($D39-$I$6)*MIN(I$3-$O$2,$Q$2)/$Q$2))</f>
        <v>5207.73913060963</v>
      </c>
      <c r="J39" s="15" t="n">
        <f aca="false">I39*(1+IF(J$3&lt;=$O$2,$D39,$D39-($D39-$I$6)*MIN(J$3-$O$2,$Q$2)/$Q$2))</f>
        <v>5049.23894026389</v>
      </c>
      <c r="K39" s="15" t="n">
        <f aca="false">J39*(1+IF(K$3&lt;=$O$2,$D39,$D39-($D39-$I$6)*MIN(K$3-$O$2,$Q$2)/$Q$2))</f>
        <v>4969.70518846525</v>
      </c>
      <c r="L39" s="15" t="n">
        <f aca="false">K39*(1+IF(L$3&lt;=$O$2,$D39,$D39-($D39-$I$6)*MIN(L$3-$O$2,$Q$2)/$Q$2))</f>
        <v>4964.39876378433</v>
      </c>
      <c r="M39" s="15" t="n">
        <f aca="false">L39*(1+IF(M$3&lt;=$O$2,$D39,$D39-($D39-$I$6)*MIN(M$3-$O$2,$Q$2)/$Q$2))</f>
        <v>5031.99462693062</v>
      </c>
      <c r="N39" s="15" t="n">
        <f aca="false">M39*(1+IF(N$3&lt;=$O$2,$D39,$D39-($D39-$I$6)*MIN(N$3-$O$2,$Q$2)/$Q$2))</f>
        <v>5174.40007487276</v>
      </c>
      <c r="O39" s="15" t="n">
        <f aca="false">SUMPRODUCT(E39:N39,1/(1+$F$6)^$E$3:$N$3)*$E$2</f>
        <v>11655.9860100413</v>
      </c>
      <c r="P39" s="15" t="n">
        <f aca="false">N39*$E$2*(1+$I$6)/($F$6-$I$6)/(1+$F$6)^$N$3</f>
        <v>14699.2140337738</v>
      </c>
      <c r="Q39" s="15" t="n">
        <f aca="false">O39+P39</f>
        <v>26355.2000438151</v>
      </c>
      <c r="R39" s="15" t="n">
        <f aca="false">Q39-$G$2+$I$2</f>
        <v>19010.0000438151</v>
      </c>
      <c r="S39" s="42" t="n">
        <f aca="false">R39/$K$2</f>
        <v>81.0142767688688</v>
      </c>
      <c r="T39" s="43" t="n">
        <f aca="false">S39-$M$2</f>
        <v>1.86725173989544E-007</v>
      </c>
    </row>
    <row r="40" customFormat="false" ht="15" hidden="false" customHeight="false" outlineLevel="0" collapsed="false">
      <c r="A40" s="5" t="n">
        <v>33</v>
      </c>
      <c r="B40" s="25" t="n">
        <f aca="false">IF(T39&gt;0,B39,D39)</f>
        <v>-0.0451193863991648</v>
      </c>
      <c r="C40" s="25" t="n">
        <f aca="false">IF(T39&gt;0,D39,C39)</f>
        <v>-0.0451193860499188</v>
      </c>
      <c r="D40" s="41" t="n">
        <f aca="false">(B40+C40)/2</f>
        <v>-0.0451193862245418</v>
      </c>
      <c r="E40" s="15" t="n">
        <f aca="false">$C$2*(1+IF(E$3&lt;=$O$2,$D40,$D40-($D40-$I$6)*MIN(E$3-$O$2,$Q$2)/$Q$2))</f>
        <v>6264.01682636701</v>
      </c>
      <c r="F40" s="15" t="n">
        <f aca="false">E40*(1+IF(F$3&lt;=$O$2,$D40,$D40-($D40-$I$6)*MIN(F$3-$O$2,$Q$2)/$Q$2))</f>
        <v>5981.38823186112</v>
      </c>
      <c r="G40" s="15" t="n">
        <f aca="false">F40*(1+IF(G$3&lt;=$O$2,$D40,$D40-($D40-$I$6)*MIN(G$3-$O$2,$Q$2)/$Q$2))</f>
        <v>5711.51166606885</v>
      </c>
      <c r="H40" s="15" t="n">
        <f aca="false">G40*(1+IF(H$3&lt;=$O$2,$D40,$D40-($D40-$I$6)*MIN(H$3-$O$2,$Q$2)/$Q$2))</f>
        <v>5453.81176528152</v>
      </c>
      <c r="I40" s="15" t="n">
        <f aca="false">H40*(1+IF(I$3&lt;=$O$2,$D40,$D40-($D40-$I$6)*MIN(I$3-$O$2,$Q$2)/$Q$2))</f>
        <v>5207.73912584783</v>
      </c>
      <c r="J40" s="15" t="n">
        <f aca="false">I40*(1+IF(J$3&lt;=$O$2,$D40,$D40-($D40-$I$6)*MIN(J$3-$O$2,$Q$2)/$Q$2))</f>
        <v>5049.2389349195</v>
      </c>
      <c r="K40" s="15" t="n">
        <f aca="false">J40*(1+IF(K$3&lt;=$O$2,$D40,$D40-($D40-$I$6)*MIN(K$3-$O$2,$Q$2)/$Q$2))</f>
        <v>4969.70518267601</v>
      </c>
      <c r="L40" s="15" t="n">
        <f aca="false">K40*(1+IF(L$3&lt;=$O$2,$D40,$D40-($D40-$I$6)*MIN(L$3-$O$2,$Q$2)/$Q$2))</f>
        <v>4964.39875765414</v>
      </c>
      <c r="M40" s="15" t="n">
        <f aca="false">L40*(1+IF(M$3&lt;=$O$2,$D40,$D40-($D40-$I$6)*MIN(M$3-$O$2,$Q$2)/$Q$2))</f>
        <v>5031.99462054359</v>
      </c>
      <c r="N40" s="15" t="n">
        <f aca="false">M40*(1+IF(N$3&lt;=$O$2,$D40,$D40-($D40-$I$6)*MIN(N$3-$O$2,$Q$2)/$Q$2))</f>
        <v>5174.40006830497</v>
      </c>
      <c r="O40" s="15" t="n">
        <f aca="false">SUMPRODUCT(E40:N40,1/(1+$F$6)^$E$3:$N$3)*$E$2</f>
        <v>11655.9860011955</v>
      </c>
      <c r="P40" s="15" t="n">
        <f aca="false">N40*$E$2*(1+$I$6)/($F$6-$I$6)/(1+$F$6)^$N$3</f>
        <v>14699.2140151163</v>
      </c>
      <c r="Q40" s="15" t="n">
        <f aca="false">O40+P40</f>
        <v>26355.2000163118</v>
      </c>
      <c r="R40" s="15" t="n">
        <f aca="false">Q40-$G$2+$I$2</f>
        <v>19010.0000163118</v>
      </c>
      <c r="S40" s="42" t="n">
        <f aca="false">R40/$K$2</f>
        <v>81.0142766516592</v>
      </c>
      <c r="T40" s="43" t="n">
        <f aca="false">S40-$M$2</f>
        <v>6.9515522227448E-008</v>
      </c>
    </row>
    <row r="41" customFormat="false" ht="15" hidden="false" customHeight="false" outlineLevel="0" collapsed="false">
      <c r="A41" s="5" t="n">
        <v>34</v>
      </c>
      <c r="B41" s="25" t="n">
        <f aca="false">IF(T40&gt;0,B40,D40)</f>
        <v>-0.0451193863991648</v>
      </c>
      <c r="C41" s="25" t="n">
        <f aca="false">IF(T40&gt;0,D40,C40)</f>
        <v>-0.0451193862245418</v>
      </c>
      <c r="D41" s="41" t="n">
        <f aca="false">(B41+C41)/2</f>
        <v>-0.0451193863118533</v>
      </c>
      <c r="E41" s="15" t="n">
        <f aca="false">$C$2*(1+IF(E$3&lt;=$O$2,$D41,$D41-($D41-$I$6)*MIN(E$3-$O$2,$Q$2)/$Q$2))</f>
        <v>6264.01682579424</v>
      </c>
      <c r="F41" s="15" t="n">
        <f aca="false">E41*(1+IF(F$3&lt;=$O$2,$D41,$D41-($D41-$I$6)*MIN(F$3-$O$2,$Q$2)/$Q$2))</f>
        <v>5981.38823076728</v>
      </c>
      <c r="G41" s="15" t="n">
        <f aca="false">F41*(1+IF(G$3&lt;=$O$2,$D41,$D41-($D41-$I$6)*MIN(G$3-$O$2,$Q$2)/$Q$2))</f>
        <v>5711.51166450212</v>
      </c>
      <c r="H41" s="15" t="n">
        <f aca="false">G41*(1+IF(H$3&lt;=$O$2,$D41,$D41-($D41-$I$6)*MIN(H$3-$O$2,$Q$2)/$Q$2))</f>
        <v>5453.81176328679</v>
      </c>
      <c r="I41" s="15" t="n">
        <f aca="false">H41*(1+IF(I$3&lt;=$O$2,$D41,$D41-($D41-$I$6)*MIN(I$3-$O$2,$Q$2)/$Q$2))</f>
        <v>5207.73912346693</v>
      </c>
      <c r="J41" s="15" t="n">
        <f aca="false">I41*(1+IF(J$3&lt;=$O$2,$D41,$D41-($D41-$I$6)*MIN(J$3-$O$2,$Q$2)/$Q$2))</f>
        <v>5049.23893224731</v>
      </c>
      <c r="K41" s="15" t="n">
        <f aca="false">J41*(1+IF(K$3&lt;=$O$2,$D41,$D41-($D41-$I$6)*MIN(K$3-$O$2,$Q$2)/$Q$2))</f>
        <v>4969.7051797814</v>
      </c>
      <c r="L41" s="15" t="n">
        <f aca="false">K41*(1+IF(L$3&lt;=$O$2,$D41,$D41-($D41-$I$6)*MIN(L$3-$O$2,$Q$2)/$Q$2))</f>
        <v>4964.39875458905</v>
      </c>
      <c r="M41" s="15" t="n">
        <f aca="false">L41*(1+IF(M$3&lt;=$O$2,$D41,$D41-($D41-$I$6)*MIN(M$3-$O$2,$Q$2)/$Q$2))</f>
        <v>5031.99461735007</v>
      </c>
      <c r="N41" s="15" t="n">
        <f aca="false">M41*(1+IF(N$3&lt;=$O$2,$D41,$D41-($D41-$I$6)*MIN(N$3-$O$2,$Q$2)/$Q$2))</f>
        <v>5174.40006502108</v>
      </c>
      <c r="O41" s="15" t="n">
        <f aca="false">SUMPRODUCT(E41:N41,1/(1+$F$6)^$E$3:$N$3)*$E$2</f>
        <v>11655.9859967726</v>
      </c>
      <c r="P41" s="15" t="n">
        <f aca="false">N41*$E$2*(1+$I$6)/($F$6-$I$6)/(1+$F$6)^$N$3</f>
        <v>14699.2140057876</v>
      </c>
      <c r="Q41" s="15" t="n">
        <f aca="false">O41+P41</f>
        <v>26355.2000025602</v>
      </c>
      <c r="R41" s="15" t="n">
        <f aca="false">Q41-$G$2+$I$2</f>
        <v>19010.0000025602</v>
      </c>
      <c r="S41" s="42" t="n">
        <f aca="false">R41/$K$2</f>
        <v>81.0142765930543</v>
      </c>
      <c r="T41" s="43" t="n">
        <f aca="false">S41-$M$2</f>
        <v>1.09106679246906E-008</v>
      </c>
    </row>
    <row r="42" customFormat="false" ht="15" hidden="false" customHeight="false" outlineLevel="0" collapsed="false">
      <c r="A42" s="5" t="n">
        <v>35</v>
      </c>
      <c r="B42" s="25" t="n">
        <f aca="false">IF(T41&gt;0,B41,D41)</f>
        <v>-0.0451193863991648</v>
      </c>
      <c r="C42" s="25" t="n">
        <f aca="false">IF(T41&gt;0,D41,C41)</f>
        <v>-0.0451193863118533</v>
      </c>
      <c r="D42" s="41" t="n">
        <f aca="false">(B42+C42)/2</f>
        <v>-0.0451193863555091</v>
      </c>
      <c r="E42" s="15" t="n">
        <f aca="false">$C$2*(1+IF(E$3&lt;=$O$2,$D42,$D42-($D42-$I$6)*MIN(E$3-$O$2,$Q$2)/$Q$2))</f>
        <v>6264.01682550786</v>
      </c>
      <c r="F42" s="15" t="n">
        <f aca="false">E42*(1+IF(F$3&lt;=$O$2,$D42,$D42-($D42-$I$6)*MIN(F$3-$O$2,$Q$2)/$Q$2))</f>
        <v>5981.38823022036</v>
      </c>
      <c r="G42" s="15" t="n">
        <f aca="false">F42*(1+IF(G$3&lt;=$O$2,$D42,$D42-($D42-$I$6)*MIN(G$3-$O$2,$Q$2)/$Q$2))</f>
        <v>5711.51166371876</v>
      </c>
      <c r="H42" s="15" t="n">
        <f aca="false">G42*(1+IF(H$3&lt;=$O$2,$D42,$D42-($D42-$I$6)*MIN(H$3-$O$2,$Q$2)/$Q$2))</f>
        <v>5453.81176228943</v>
      </c>
      <c r="I42" s="15" t="n">
        <f aca="false">H42*(1+IF(I$3&lt;=$O$2,$D42,$D42-($D42-$I$6)*MIN(I$3-$O$2,$Q$2)/$Q$2))</f>
        <v>5207.73912227648</v>
      </c>
      <c r="J42" s="15" t="n">
        <f aca="false">I42*(1+IF(J$3&lt;=$O$2,$D42,$D42-($D42-$I$6)*MIN(J$3-$O$2,$Q$2)/$Q$2))</f>
        <v>5049.23893091121</v>
      </c>
      <c r="K42" s="15" t="n">
        <f aca="false">J42*(1+IF(K$3&lt;=$O$2,$D42,$D42-($D42-$I$6)*MIN(K$3-$O$2,$Q$2)/$Q$2))</f>
        <v>4969.70517833409</v>
      </c>
      <c r="L42" s="15" t="n">
        <f aca="false">K42*(1+IF(L$3&lt;=$O$2,$D42,$D42-($D42-$I$6)*MIN(L$3-$O$2,$Q$2)/$Q$2))</f>
        <v>4964.39875305651</v>
      </c>
      <c r="M42" s="15" t="n">
        <f aca="false">L42*(1+IF(M$3&lt;=$O$2,$D42,$D42-($D42-$I$6)*MIN(M$3-$O$2,$Q$2)/$Q$2))</f>
        <v>5031.99461575331</v>
      </c>
      <c r="N42" s="15" t="n">
        <f aca="false">M42*(1+IF(N$3&lt;=$O$2,$D42,$D42-($D42-$I$6)*MIN(N$3-$O$2,$Q$2)/$Q$2))</f>
        <v>5174.40006337913</v>
      </c>
      <c r="O42" s="15" t="n">
        <f aca="false">SUMPRODUCT(E42:N42,1/(1+$F$6)^$E$3:$N$3)*$E$2</f>
        <v>11655.9859945612</v>
      </c>
      <c r="P42" s="15" t="n">
        <f aca="false">N42*$E$2*(1+$I$6)/($F$6-$I$6)/(1+$F$6)^$N$3</f>
        <v>14699.2140011232</v>
      </c>
      <c r="Q42" s="15" t="n">
        <f aca="false">O42+P42</f>
        <v>26355.1999956844</v>
      </c>
      <c r="R42" s="15" t="n">
        <f aca="false">Q42-$G$2+$I$2</f>
        <v>19009.9999956844</v>
      </c>
      <c r="S42" s="42" t="n">
        <f aca="false">R42/$K$2</f>
        <v>81.0142765637519</v>
      </c>
      <c r="T42" s="43" t="n">
        <f aca="false">S42-$M$2</f>
        <v>-1.83917450158333E-008</v>
      </c>
    </row>
    <row r="43" customFormat="false" ht="15" hidden="false" customHeight="false" outlineLevel="0" collapsed="false">
      <c r="A43" s="5" t="n">
        <v>36</v>
      </c>
      <c r="B43" s="25" t="n">
        <f aca="false">IF(T42&gt;0,B42,D42)</f>
        <v>-0.0451193863555091</v>
      </c>
      <c r="C43" s="25" t="n">
        <f aca="false">IF(T42&gt;0,D42,C42)</f>
        <v>-0.0451193863118533</v>
      </c>
      <c r="D43" s="41" t="n">
        <f aca="false">(B43+C43)/2</f>
        <v>-0.0451193863336812</v>
      </c>
      <c r="E43" s="15" t="n">
        <f aca="false">$C$2*(1+IF(E$3&lt;=$O$2,$D43,$D43-($D43-$I$6)*MIN(E$3-$O$2,$Q$2)/$Q$2))</f>
        <v>6264.01682565105</v>
      </c>
      <c r="F43" s="15" t="n">
        <f aca="false">E43*(1+IF(F$3&lt;=$O$2,$D43,$D43-($D43-$I$6)*MIN(F$3-$O$2,$Q$2)/$Q$2))</f>
        <v>5981.38823049382</v>
      </c>
      <c r="G43" s="15" t="n">
        <f aca="false">F43*(1+IF(G$3&lt;=$O$2,$D43,$D43-($D43-$I$6)*MIN(G$3-$O$2,$Q$2)/$Q$2))</f>
        <v>5711.51166411044</v>
      </c>
      <c r="H43" s="15" t="n">
        <f aca="false">G43*(1+IF(H$3&lt;=$O$2,$D43,$D43-($D43-$I$6)*MIN(H$3-$O$2,$Q$2)/$Q$2))</f>
        <v>5453.81176278811</v>
      </c>
      <c r="I43" s="15" t="n">
        <f aca="false">H43*(1+IF(I$3&lt;=$O$2,$D43,$D43-($D43-$I$6)*MIN(I$3-$O$2,$Q$2)/$Q$2))</f>
        <v>5207.7391228717</v>
      </c>
      <c r="J43" s="15" t="n">
        <f aca="false">I43*(1+IF(J$3&lt;=$O$2,$D43,$D43-($D43-$I$6)*MIN(J$3-$O$2,$Q$2)/$Q$2))</f>
        <v>5049.23893157926</v>
      </c>
      <c r="K43" s="15" t="n">
        <f aca="false">J43*(1+IF(K$3&lt;=$O$2,$D43,$D43-($D43-$I$6)*MIN(K$3-$O$2,$Q$2)/$Q$2))</f>
        <v>4969.70517905774</v>
      </c>
      <c r="L43" s="15" t="n">
        <f aca="false">K43*(1+IF(L$3&lt;=$O$2,$D43,$D43-($D43-$I$6)*MIN(L$3-$O$2,$Q$2)/$Q$2))</f>
        <v>4964.39875382278</v>
      </c>
      <c r="M43" s="15" t="n">
        <f aca="false">L43*(1+IF(M$3&lt;=$O$2,$D43,$D43-($D43-$I$6)*MIN(M$3-$O$2,$Q$2)/$Q$2))</f>
        <v>5031.99461655169</v>
      </c>
      <c r="N43" s="15" t="n">
        <f aca="false">M43*(1+IF(N$3&lt;=$O$2,$D43,$D43-($D43-$I$6)*MIN(N$3-$O$2,$Q$2)/$Q$2))</f>
        <v>5174.40006420011</v>
      </c>
      <c r="O43" s="15" t="n">
        <f aca="false">SUMPRODUCT(E43:N43,1/(1+$F$6)^$E$3:$N$3)*$E$2</f>
        <v>11655.9859956669</v>
      </c>
      <c r="P43" s="15" t="n">
        <f aca="false">N43*$E$2*(1+$I$6)/($F$6-$I$6)/(1+$F$6)^$N$3</f>
        <v>14699.2140034554</v>
      </c>
      <c r="Q43" s="15" t="n">
        <f aca="false">O43+P43</f>
        <v>26355.1999991223</v>
      </c>
      <c r="R43" s="15" t="n">
        <f aca="false">Q43-$G$2+$I$2</f>
        <v>19009.9999991223</v>
      </c>
      <c r="S43" s="42" t="n">
        <f aca="false">R43/$K$2</f>
        <v>81.0142765784031</v>
      </c>
      <c r="T43" s="43" t="n">
        <f aca="false">S43-$M$2</f>
        <v>-3.7405101238619E-009</v>
      </c>
    </row>
    <row r="44" customFormat="false" ht="15" hidden="false" customHeight="false" outlineLevel="0" collapsed="false">
      <c r="A44" s="5" t="n">
        <v>37</v>
      </c>
      <c r="B44" s="25" t="n">
        <f aca="false">IF(T43&gt;0,B43,D43)</f>
        <v>-0.0451193863336812</v>
      </c>
      <c r="C44" s="25" t="n">
        <f aca="false">IF(T43&gt;0,D43,C43)</f>
        <v>-0.0451193863118533</v>
      </c>
      <c r="D44" s="41" t="n">
        <f aca="false">(B44+C44)/2</f>
        <v>-0.0451193863227672</v>
      </c>
      <c r="E44" s="15" t="n">
        <f aca="false">$C$2*(1+IF(E$3&lt;=$O$2,$D44,$D44-($D44-$I$6)*MIN(E$3-$O$2,$Q$2)/$Q$2))</f>
        <v>6264.01682572265</v>
      </c>
      <c r="F44" s="15" t="n">
        <f aca="false">E44*(1+IF(F$3&lt;=$O$2,$D44,$D44-($D44-$I$6)*MIN(F$3-$O$2,$Q$2)/$Q$2))</f>
        <v>5981.38823063055</v>
      </c>
      <c r="G44" s="15" t="n">
        <f aca="false">F44*(1+IF(G$3&lt;=$O$2,$D44,$D44-($D44-$I$6)*MIN(G$3-$O$2,$Q$2)/$Q$2))</f>
        <v>5711.51166430628</v>
      </c>
      <c r="H44" s="15" t="n">
        <f aca="false">G44*(1+IF(H$3&lt;=$O$2,$D44,$D44-($D44-$I$6)*MIN(H$3-$O$2,$Q$2)/$Q$2))</f>
        <v>5453.81176303745</v>
      </c>
      <c r="I44" s="15" t="n">
        <f aca="false">H44*(1+IF(I$3&lt;=$O$2,$D44,$D44-($D44-$I$6)*MIN(I$3-$O$2,$Q$2)/$Q$2))</f>
        <v>5207.73912316931</v>
      </c>
      <c r="J44" s="15" t="n">
        <f aca="false">I44*(1+IF(J$3&lt;=$O$2,$D44,$D44-($D44-$I$6)*MIN(J$3-$O$2,$Q$2)/$Q$2))</f>
        <v>5049.23893191328</v>
      </c>
      <c r="K44" s="15" t="n">
        <f aca="false">J44*(1+IF(K$3&lt;=$O$2,$D44,$D44-($D44-$I$6)*MIN(K$3-$O$2,$Q$2)/$Q$2))</f>
        <v>4969.70517941957</v>
      </c>
      <c r="L44" s="15" t="n">
        <f aca="false">K44*(1+IF(L$3&lt;=$O$2,$D44,$D44-($D44-$I$6)*MIN(L$3-$O$2,$Q$2)/$Q$2))</f>
        <v>4964.39875420592</v>
      </c>
      <c r="M44" s="15" t="n">
        <f aca="false">L44*(1+IF(M$3&lt;=$O$2,$D44,$D44-($D44-$I$6)*MIN(M$3-$O$2,$Q$2)/$Q$2))</f>
        <v>5031.99461695088</v>
      </c>
      <c r="N44" s="15" t="n">
        <f aca="false">M44*(1+IF(N$3&lt;=$O$2,$D44,$D44-($D44-$I$6)*MIN(N$3-$O$2,$Q$2)/$Q$2))</f>
        <v>5174.40006461059</v>
      </c>
      <c r="O44" s="15" t="n">
        <f aca="false">SUMPRODUCT(E44:N44,1/(1+$F$6)^$E$3:$N$3)*$E$2</f>
        <v>11655.9859962197</v>
      </c>
      <c r="P44" s="15" t="n">
        <f aca="false">N44*$E$2*(1+$I$6)/($F$6-$I$6)/(1+$F$6)^$N$3</f>
        <v>14699.2140046215</v>
      </c>
      <c r="Q44" s="15" t="n">
        <f aca="false">O44+P44</f>
        <v>26355.2000008412</v>
      </c>
      <c r="R44" s="15" t="n">
        <f aca="false">Q44-$G$2+$I$2</f>
        <v>19010.0000008412</v>
      </c>
      <c r="S44" s="42" t="n">
        <f aca="false">R44/$K$2</f>
        <v>81.0142765857287</v>
      </c>
      <c r="T44" s="43" t="n">
        <f aca="false">S44-$M$2</f>
        <v>3.5850575841323E-009</v>
      </c>
    </row>
    <row r="45" customFormat="false" ht="15" hidden="false" customHeight="false" outlineLevel="0" collapsed="false">
      <c r="A45" s="5" t="n">
        <v>38</v>
      </c>
      <c r="B45" s="25" t="n">
        <f aca="false">IF(T44&gt;0,B44,D44)</f>
        <v>-0.0451193863336812</v>
      </c>
      <c r="C45" s="25" t="n">
        <f aca="false">IF(T44&gt;0,D44,C44)</f>
        <v>-0.0451193863227672</v>
      </c>
      <c r="D45" s="41" t="n">
        <f aca="false">(B45+C45)/2</f>
        <v>-0.0451193863282242</v>
      </c>
      <c r="E45" s="15" t="n">
        <f aca="false">$C$2*(1+IF(E$3&lt;=$O$2,$D45,$D45-($D45-$I$6)*MIN(E$3-$O$2,$Q$2)/$Q$2))</f>
        <v>6264.01682568685</v>
      </c>
      <c r="F45" s="15" t="n">
        <f aca="false">E45*(1+IF(F$3&lt;=$O$2,$D45,$D45-($D45-$I$6)*MIN(F$3-$O$2,$Q$2)/$Q$2))</f>
        <v>5981.38823056219</v>
      </c>
      <c r="G45" s="15" t="n">
        <f aca="false">F45*(1+IF(G$3&lt;=$O$2,$D45,$D45-($D45-$I$6)*MIN(G$3-$O$2,$Q$2)/$Q$2))</f>
        <v>5711.51166420836</v>
      </c>
      <c r="H45" s="15" t="n">
        <f aca="false">G45*(1+IF(H$3&lt;=$O$2,$D45,$D45-($D45-$I$6)*MIN(H$3-$O$2,$Q$2)/$Q$2))</f>
        <v>5453.81176291278</v>
      </c>
      <c r="I45" s="15" t="n">
        <f aca="false">H45*(1+IF(I$3&lt;=$O$2,$D45,$D45-($D45-$I$6)*MIN(I$3-$O$2,$Q$2)/$Q$2))</f>
        <v>5207.73912302051</v>
      </c>
      <c r="J45" s="15" t="n">
        <f aca="false">I45*(1+IF(J$3&lt;=$O$2,$D45,$D45-($D45-$I$6)*MIN(J$3-$O$2,$Q$2)/$Q$2))</f>
        <v>5049.23893174627</v>
      </c>
      <c r="K45" s="15" t="n">
        <f aca="false">J45*(1+IF(K$3&lt;=$O$2,$D45,$D45-($D45-$I$6)*MIN(K$3-$O$2,$Q$2)/$Q$2))</f>
        <v>4969.70517923865</v>
      </c>
      <c r="L45" s="15" t="n">
        <f aca="false">K45*(1+IF(L$3&lt;=$O$2,$D45,$D45-($D45-$I$6)*MIN(L$3-$O$2,$Q$2)/$Q$2))</f>
        <v>4964.39875401435</v>
      </c>
      <c r="M45" s="15" t="n">
        <f aca="false">L45*(1+IF(M$3&lt;=$O$2,$D45,$D45-($D45-$I$6)*MIN(M$3-$O$2,$Q$2)/$Q$2))</f>
        <v>5031.99461675129</v>
      </c>
      <c r="N45" s="15" t="n">
        <f aca="false">M45*(1+IF(N$3&lt;=$O$2,$D45,$D45-($D45-$I$6)*MIN(N$3-$O$2,$Q$2)/$Q$2))</f>
        <v>5174.40006440535</v>
      </c>
      <c r="O45" s="15" t="n">
        <f aca="false">SUMPRODUCT(E45:N45,1/(1+$F$6)^$E$3:$N$3)*$E$2</f>
        <v>11655.9859959433</v>
      </c>
      <c r="P45" s="15" t="n">
        <f aca="false">N45*$E$2*(1+$I$6)/($F$6-$I$6)/(1+$F$6)^$N$3</f>
        <v>14699.2140040384</v>
      </c>
      <c r="Q45" s="15" t="n">
        <f aca="false">O45+P45</f>
        <v>26355.1999999818</v>
      </c>
      <c r="R45" s="15" t="n">
        <f aca="false">Q45-$G$2+$I$2</f>
        <v>19009.9999999818</v>
      </c>
      <c r="S45" s="42" t="n">
        <f aca="false">R45/$K$2</f>
        <v>81.0142765820659</v>
      </c>
      <c r="T45" s="43" t="n">
        <f aca="false">S45-$M$2</f>
        <v>-7.77475861468702E-011</v>
      </c>
    </row>
    <row r="46" customFormat="false" ht="15" hidden="false" customHeight="false" outlineLevel="0" collapsed="false">
      <c r="A46" s="5" t="n">
        <v>39</v>
      </c>
      <c r="B46" s="25" t="n">
        <f aca="false">IF(T45&gt;0,B45,D45)</f>
        <v>-0.0451193863282242</v>
      </c>
      <c r="C46" s="25" t="n">
        <f aca="false">IF(T45&gt;0,D45,C45)</f>
        <v>-0.0451193863227672</v>
      </c>
      <c r="D46" s="41" t="n">
        <f aca="false">(B46+C46)/2</f>
        <v>-0.0451193863254957</v>
      </c>
      <c r="E46" s="15" t="n">
        <f aca="false">$C$2*(1+IF(E$3&lt;=$O$2,$D46,$D46-($D46-$I$6)*MIN(E$3-$O$2,$Q$2)/$Q$2))</f>
        <v>6264.01682570475</v>
      </c>
      <c r="F46" s="15" t="n">
        <f aca="false">E46*(1+IF(F$3&lt;=$O$2,$D46,$D46-($D46-$I$6)*MIN(F$3-$O$2,$Q$2)/$Q$2))</f>
        <v>5981.38823059637</v>
      </c>
      <c r="G46" s="15" t="n">
        <f aca="false">F46*(1+IF(G$3&lt;=$O$2,$D46,$D46-($D46-$I$6)*MIN(G$3-$O$2,$Q$2)/$Q$2))</f>
        <v>5711.51166425732</v>
      </c>
      <c r="H46" s="15" t="n">
        <f aca="false">G46*(1+IF(H$3&lt;=$O$2,$D46,$D46-($D46-$I$6)*MIN(H$3-$O$2,$Q$2)/$Q$2))</f>
        <v>5453.81176297512</v>
      </c>
      <c r="I46" s="15" t="n">
        <f aca="false">H46*(1+IF(I$3&lt;=$O$2,$D46,$D46-($D46-$I$6)*MIN(I$3-$O$2,$Q$2)/$Q$2))</f>
        <v>5207.73912309491</v>
      </c>
      <c r="J46" s="15" t="n">
        <f aca="false">I46*(1+IF(J$3&lt;=$O$2,$D46,$D46-($D46-$I$6)*MIN(J$3-$O$2,$Q$2)/$Q$2))</f>
        <v>5049.23893182977</v>
      </c>
      <c r="K46" s="15" t="n">
        <f aca="false">J46*(1+IF(K$3&lt;=$O$2,$D46,$D46-($D46-$I$6)*MIN(K$3-$O$2,$Q$2)/$Q$2))</f>
        <v>4969.70517932911</v>
      </c>
      <c r="L46" s="15" t="n">
        <f aca="false">K46*(1+IF(L$3&lt;=$O$2,$D46,$D46-($D46-$I$6)*MIN(L$3-$O$2,$Q$2)/$Q$2))</f>
        <v>4964.39875411013</v>
      </c>
      <c r="M46" s="15" t="n">
        <f aca="false">L46*(1+IF(M$3&lt;=$O$2,$D46,$D46-($D46-$I$6)*MIN(M$3-$O$2,$Q$2)/$Q$2))</f>
        <v>5031.99461685108</v>
      </c>
      <c r="N46" s="15" t="n">
        <f aca="false">M46*(1+IF(N$3&lt;=$O$2,$D46,$D46-($D46-$I$6)*MIN(N$3-$O$2,$Q$2)/$Q$2))</f>
        <v>5174.40006450797</v>
      </c>
      <c r="O46" s="15" t="n">
        <f aca="false">SUMPRODUCT(E46:N46,1/(1+$F$6)^$E$3:$N$3)*$E$2</f>
        <v>11655.9859960815</v>
      </c>
      <c r="P46" s="15" t="n">
        <f aca="false">N46*$E$2*(1+$I$6)/($F$6-$I$6)/(1+$F$6)^$N$3</f>
        <v>14699.21400433</v>
      </c>
      <c r="Q46" s="15" t="n">
        <f aca="false">O46+P46</f>
        <v>26355.2000004115</v>
      </c>
      <c r="R46" s="15" t="n">
        <f aca="false">Q46-$G$2+$I$2</f>
        <v>19010.0000004115</v>
      </c>
      <c r="S46" s="42" t="n">
        <f aca="false">R46/$K$2</f>
        <v>81.0142765838973</v>
      </c>
      <c r="T46" s="43" t="n">
        <f aca="false">S46-$M$2</f>
        <v>1.75364789356536E-009</v>
      </c>
    </row>
    <row r="47" customFormat="false" ht="15" hidden="false" customHeight="false" outlineLevel="0" collapsed="false">
      <c r="A47" s="5" t="n">
        <v>40</v>
      </c>
      <c r="B47" s="25" t="n">
        <f aca="false">IF(T46&gt;0,B46,D46)</f>
        <v>-0.0451193863282242</v>
      </c>
      <c r="C47" s="25" t="n">
        <f aca="false">IF(T46&gt;0,D46,C46)</f>
        <v>-0.0451193863254957</v>
      </c>
      <c r="D47" s="41" t="n">
        <f aca="false">(B47+C47)/2</f>
        <v>-0.04511938632686</v>
      </c>
      <c r="E47" s="15" t="n">
        <f aca="false">$C$2*(1+IF(E$3&lt;=$O$2,$D47,$D47-($D47-$I$6)*MIN(E$3-$O$2,$Q$2)/$Q$2))</f>
        <v>6264.0168256958</v>
      </c>
      <c r="F47" s="15" t="n">
        <f aca="false">E47*(1+IF(F$3&lt;=$O$2,$D47,$D47-($D47-$I$6)*MIN(F$3-$O$2,$Q$2)/$Q$2))</f>
        <v>5981.38823057928</v>
      </c>
      <c r="G47" s="15" t="n">
        <f aca="false">F47*(1+IF(G$3&lt;=$O$2,$D47,$D47-($D47-$I$6)*MIN(G$3-$O$2,$Q$2)/$Q$2))</f>
        <v>5711.51166423284</v>
      </c>
      <c r="H47" s="15" t="n">
        <f aca="false">G47*(1+IF(H$3&lt;=$O$2,$D47,$D47-($D47-$I$6)*MIN(H$3-$O$2,$Q$2)/$Q$2))</f>
        <v>5453.81176294395</v>
      </c>
      <c r="I47" s="15" t="n">
        <f aca="false">H47*(1+IF(I$3&lt;=$O$2,$D47,$D47-($D47-$I$6)*MIN(I$3-$O$2,$Q$2)/$Q$2))</f>
        <v>5207.73912305771</v>
      </c>
      <c r="J47" s="15" t="n">
        <f aca="false">I47*(1+IF(J$3&lt;=$O$2,$D47,$D47-($D47-$I$6)*MIN(J$3-$O$2,$Q$2)/$Q$2))</f>
        <v>5049.23893178802</v>
      </c>
      <c r="K47" s="15" t="n">
        <f aca="false">J47*(1+IF(K$3&lt;=$O$2,$D47,$D47-($D47-$I$6)*MIN(K$3-$O$2,$Q$2)/$Q$2))</f>
        <v>4969.70517928388</v>
      </c>
      <c r="L47" s="15" t="n">
        <f aca="false">K47*(1+IF(L$3&lt;=$O$2,$D47,$D47-($D47-$I$6)*MIN(L$3-$O$2,$Q$2)/$Q$2))</f>
        <v>4964.39875406224</v>
      </c>
      <c r="M47" s="15" t="n">
        <f aca="false">L47*(1+IF(M$3&lt;=$O$2,$D47,$D47-($D47-$I$6)*MIN(M$3-$O$2,$Q$2)/$Q$2))</f>
        <v>5031.99461680119</v>
      </c>
      <c r="N47" s="15" t="n">
        <f aca="false">M47*(1+IF(N$3&lt;=$O$2,$D47,$D47-($D47-$I$6)*MIN(N$3-$O$2,$Q$2)/$Q$2))</f>
        <v>5174.40006445666</v>
      </c>
      <c r="O47" s="15" t="n">
        <f aca="false">SUMPRODUCT(E47:N47,1/(1+$F$6)^$E$3:$N$3)*$E$2</f>
        <v>11655.9859960124</v>
      </c>
      <c r="P47" s="15" t="n">
        <f aca="false">N47*$E$2*(1+$I$6)/($F$6-$I$6)/(1+$F$6)^$N$3</f>
        <v>14699.2140041842</v>
      </c>
      <c r="Q47" s="15" t="n">
        <f aca="false">O47+P47</f>
        <v>26355.2000001966</v>
      </c>
      <c r="R47" s="15" t="n">
        <f aca="false">Q47-$G$2+$I$2</f>
        <v>19010.0000001966</v>
      </c>
      <c r="S47" s="42" t="n">
        <f aca="false">R47/$K$2</f>
        <v>81.0142765829816</v>
      </c>
      <c r="T47" s="43" t="n">
        <f aca="false">S47-$M$2</f>
        <v>8.37971469991317E-010</v>
      </c>
    </row>
    <row r="49" customFormat="false" ht="15" hidden="false" customHeight="false" outlineLevel="0" collapsed="false">
      <c r="A49" s="38" t="s">
        <v>183</v>
      </c>
      <c r="E49" s="5" t="s">
        <v>11</v>
      </c>
      <c r="F49" s="12" t="n">
        <f aca="false">Sensitivity!$B$10</f>
        <v>0.0712368036285737</v>
      </c>
      <c r="G49" s="5" t="s">
        <v>12</v>
      </c>
      <c r="I49" s="12" t="n">
        <f aca="false">Sensitivity!$C$9</f>
        <v>0.0183</v>
      </c>
    </row>
    <row r="50" customFormat="false" ht="23.85" hidden="false" customHeight="false" outlineLevel="0" collapsed="false">
      <c r="A50" s="38" t="s">
        <v>163</v>
      </c>
      <c r="B50" s="28" t="s">
        <v>164</v>
      </c>
      <c r="C50" s="28" t="s">
        <v>165</v>
      </c>
      <c r="D50" s="28" t="s">
        <v>166</v>
      </c>
      <c r="E50" s="28" t="s">
        <v>167</v>
      </c>
      <c r="F50" s="28" t="s">
        <v>168</v>
      </c>
      <c r="G50" s="28" t="s">
        <v>169</v>
      </c>
      <c r="H50" s="28" t="s">
        <v>170</v>
      </c>
      <c r="I50" s="28" t="s">
        <v>171</v>
      </c>
      <c r="J50" s="28" t="s">
        <v>172</v>
      </c>
      <c r="K50" s="28" t="s">
        <v>173</v>
      </c>
      <c r="L50" s="28" t="s">
        <v>174</v>
      </c>
      <c r="M50" s="28" t="s">
        <v>175</v>
      </c>
      <c r="N50" s="28" t="s">
        <v>176</v>
      </c>
      <c r="O50" s="28" t="s">
        <v>177</v>
      </c>
      <c r="P50" s="28" t="s">
        <v>178</v>
      </c>
      <c r="Q50" s="28" t="s">
        <v>179</v>
      </c>
      <c r="R50" s="28" t="s">
        <v>180</v>
      </c>
      <c r="S50" s="28" t="s">
        <v>181</v>
      </c>
      <c r="T50" s="28" t="s">
        <v>182</v>
      </c>
    </row>
    <row r="51" customFormat="false" ht="15" hidden="false" customHeight="false" outlineLevel="0" collapsed="false">
      <c r="A51" s="5" t="n">
        <v>1</v>
      </c>
      <c r="B51" s="24" t="n">
        <v>-0.5</v>
      </c>
      <c r="C51" s="24" t="n">
        <v>1</v>
      </c>
      <c r="D51" s="41" t="n">
        <f aca="false">(B51+C51)/2</f>
        <v>0.25</v>
      </c>
      <c r="E51" s="15" t="n">
        <f aca="false">$C$2*(1+IF(E$3&lt;=$O$2,$D51,$D51-($D51-$I$49)*MIN(E$3-$O$2,$Q$2)/$Q$2))</f>
        <v>8200</v>
      </c>
      <c r="F51" s="15" t="n">
        <f aca="false">E51*(1+IF(F$3&lt;=$O$2,$D51,$D51-($D51-$I$49)*MIN(F$3-$O$2,$Q$2)/$Q$2))</f>
        <v>10250</v>
      </c>
      <c r="G51" s="15" t="n">
        <f aca="false">F51*(1+IF(G$3&lt;=$O$2,$D51,$D51-($D51-$I$49)*MIN(G$3-$O$2,$Q$2)/$Q$2))</f>
        <v>12812.5</v>
      </c>
      <c r="H51" s="15" t="n">
        <f aca="false">G51*(1+IF(H$3&lt;=$O$2,$D51,$D51-($D51-$I$49)*MIN(H$3-$O$2,$Q$2)/$Q$2))</f>
        <v>16015.625</v>
      </c>
      <c r="I51" s="15" t="n">
        <f aca="false">H51*(1+IF(I$3&lt;=$O$2,$D51,$D51-($D51-$I$49)*MIN(I$3-$O$2,$Q$2)/$Q$2))</f>
        <v>20019.53125</v>
      </c>
      <c r="J51" s="15" t="n">
        <f aca="false">I51*(1+IF(J$3&lt;=$O$2,$D51,$D51-($D51-$I$49)*MIN(J$3-$O$2,$Q$2)/$Q$2))</f>
        <v>24096.708984375</v>
      </c>
      <c r="K51" s="15" t="n">
        <f aca="false">J51*(1+IF(K$3&lt;=$O$2,$D51,$D51-($D51-$I$49)*MIN(K$3-$O$2,$Q$2)/$Q$2))</f>
        <v>27887.6032417969</v>
      </c>
      <c r="L51" s="15" t="n">
        <f aca="false">K51*(1+IF(L$3&lt;=$O$2,$D51,$D51-($D51-$I$49)*MIN(L$3-$O$2,$Q$2)/$Q$2))</f>
        <v>30982.5694495715</v>
      </c>
      <c r="M51" s="15" t="n">
        <f aca="false">L51*(1+IF(M$3&lt;=$O$2,$D51,$D51-($D51-$I$49)*MIN(M$3-$O$2,$Q$2)/$Q$2))</f>
        <v>32985.2827387918</v>
      </c>
      <c r="N51" s="15" t="n">
        <f aca="false">M51*(1+IF(N$3&lt;=$O$2,$D51,$D51-($D51-$I$49)*MIN(N$3-$O$2,$Q$2)/$Q$2))</f>
        <v>33588.9134129117</v>
      </c>
      <c r="O51" s="15" t="n">
        <f aca="false">SUMPRODUCT(E51:N51,1/(1+$F$49)^$E$3:$N$3)*$E$2</f>
        <v>44402.7963514252</v>
      </c>
      <c r="P51" s="15" t="n">
        <f aca="false">N51*$E$2*(1+$I$49)/($F$49-$I$49)/(1+$F$49)^$N$3</f>
        <v>103690.584397704</v>
      </c>
      <c r="Q51" s="15" t="n">
        <f aca="false">O51+P51</f>
        <v>148093.380749129</v>
      </c>
      <c r="R51" s="15" t="n">
        <f aca="false">Q51-$G$2+$I$2</f>
        <v>140748.180749129</v>
      </c>
      <c r="S51" s="42" t="n">
        <f aca="false">R51/$K$2</f>
        <v>599.821780307389</v>
      </c>
      <c r="T51" s="43" t="n">
        <f aca="false">S51-$M$2</f>
        <v>518.807503725246</v>
      </c>
    </row>
    <row r="52" customFormat="false" ht="15" hidden="false" customHeight="false" outlineLevel="0" collapsed="false">
      <c r="A52" s="5" t="n">
        <v>2</v>
      </c>
      <c r="B52" s="25" t="n">
        <f aca="false">IF(T51&gt;0,B51,D51)</f>
        <v>-0.5</v>
      </c>
      <c r="C52" s="25" t="n">
        <f aca="false">IF(T51&gt;0,D51,C51)</f>
        <v>0.25</v>
      </c>
      <c r="D52" s="41" t="n">
        <f aca="false">(B52+C52)/2</f>
        <v>-0.125</v>
      </c>
      <c r="E52" s="15" t="n">
        <f aca="false">$C$2*(1+IF(E$3&lt;=$O$2,$D52,$D52-($D52-$I$49)*MIN(E$3-$O$2,$Q$2)/$Q$2))</f>
        <v>5740</v>
      </c>
      <c r="F52" s="15" t="n">
        <f aca="false">E52*(1+IF(F$3&lt;=$O$2,$D52,$D52-($D52-$I$49)*MIN(F$3-$O$2,$Q$2)/$Q$2))</f>
        <v>5022.5</v>
      </c>
      <c r="G52" s="15" t="n">
        <f aca="false">F52*(1+IF(G$3&lt;=$O$2,$D52,$D52-($D52-$I$49)*MIN(G$3-$O$2,$Q$2)/$Q$2))</f>
        <v>4394.6875</v>
      </c>
      <c r="H52" s="15" t="n">
        <f aca="false">G52*(1+IF(H$3&lt;=$O$2,$D52,$D52-($D52-$I$49)*MIN(H$3-$O$2,$Q$2)/$Q$2))</f>
        <v>3845.3515625</v>
      </c>
      <c r="I52" s="15" t="n">
        <f aca="false">H52*(1+IF(I$3&lt;=$O$2,$D52,$D52-($D52-$I$49)*MIN(I$3-$O$2,$Q$2)/$Q$2))</f>
        <v>3364.6826171875</v>
      </c>
      <c r="J52" s="15" t="n">
        <f aca="false">I52*(1+IF(J$3&lt;=$O$2,$D52,$D52-($D52-$I$49)*MIN(J$3-$O$2,$Q$2)/$Q$2))</f>
        <v>3040.52909384766</v>
      </c>
      <c r="K52" s="15" t="n">
        <f aca="false">J52*(1+IF(K$3&lt;=$O$2,$D52,$D52-($D52-$I$49)*MIN(K$3-$O$2,$Q$2)/$Q$2))</f>
        <v>2834.74608477605</v>
      </c>
      <c r="L52" s="15" t="n">
        <f aca="false">K52*(1+IF(L$3&lt;=$O$2,$D52,$D52-($D52-$I$49)*MIN(L$3-$O$2,$Q$2)/$Q$2))</f>
        <v>2724.13429254809</v>
      </c>
      <c r="M52" s="15" t="n">
        <f aca="false">L52*(1+IF(M$3&lt;=$O$2,$D52,$D52-($D52-$I$49)*MIN(M$3-$O$2,$Q$2)/$Q$2))</f>
        <v>2695.91226127729</v>
      </c>
      <c r="N52" s="15" t="n">
        <f aca="false">M52*(1+IF(N$3&lt;=$O$2,$D52,$D52-($D52-$I$49)*MIN(N$3-$O$2,$Q$2)/$Q$2))</f>
        <v>2745.24745565866</v>
      </c>
      <c r="O52" s="15" t="n">
        <f aca="false">SUMPRODUCT(E52:N52,1/(1+$F$49)^$E$3:$N$3)*$E$2</f>
        <v>8552.4537541958</v>
      </c>
      <c r="P52" s="15" t="n">
        <f aca="false">N52*$E$2*(1+$I$49)/($F$49-$I$49)/(1+$F$49)^$N$3</f>
        <v>8474.71037524343</v>
      </c>
      <c r="Q52" s="15" t="n">
        <f aca="false">O52+P52</f>
        <v>17027.1641294392</v>
      </c>
      <c r="R52" s="15" t="n">
        <f aca="false">Q52-$G$2+$I$2</f>
        <v>9681.96412943923</v>
      </c>
      <c r="S52" s="42" t="n">
        <f aca="false">R52/$K$2</f>
        <v>41.2613003598518</v>
      </c>
      <c r="T52" s="43" t="n">
        <f aca="false">S52-$M$2</f>
        <v>-39.7529762222918</v>
      </c>
    </row>
    <row r="53" customFormat="false" ht="15" hidden="false" customHeight="false" outlineLevel="0" collapsed="false">
      <c r="A53" s="5" t="n">
        <v>3</v>
      </c>
      <c r="B53" s="25" t="n">
        <f aca="false">IF(T52&gt;0,B52,D52)</f>
        <v>-0.125</v>
      </c>
      <c r="C53" s="25" t="n">
        <f aca="false">IF(T52&gt;0,D52,C52)</f>
        <v>0.25</v>
      </c>
      <c r="D53" s="41" t="n">
        <f aca="false">(B53+C53)/2</f>
        <v>0.0625</v>
      </c>
      <c r="E53" s="15" t="n">
        <f aca="false">$C$2*(1+IF(E$3&lt;=$O$2,$D53,$D53-($D53-$I$49)*MIN(E$3-$O$2,$Q$2)/$Q$2))</f>
        <v>6970</v>
      </c>
      <c r="F53" s="15" t="n">
        <f aca="false">E53*(1+IF(F$3&lt;=$O$2,$D53,$D53-($D53-$I$49)*MIN(F$3-$O$2,$Q$2)/$Q$2))</f>
        <v>7405.625</v>
      </c>
      <c r="G53" s="15" t="n">
        <f aca="false">F53*(1+IF(G$3&lt;=$O$2,$D53,$D53-($D53-$I$49)*MIN(G$3-$O$2,$Q$2)/$Q$2))</f>
        <v>7868.4765625</v>
      </c>
      <c r="H53" s="15" t="n">
        <f aca="false">G53*(1+IF(H$3&lt;=$O$2,$D53,$D53-($D53-$I$49)*MIN(H$3-$O$2,$Q$2)/$Q$2))</f>
        <v>8360.25634765625</v>
      </c>
      <c r="I53" s="15" t="n">
        <f aca="false">H53*(1+IF(I$3&lt;=$O$2,$D53,$D53-($D53-$I$49)*MIN(I$3-$O$2,$Q$2)/$Q$2))</f>
        <v>8882.77236938477</v>
      </c>
      <c r="J53" s="15" t="n">
        <f aca="false">I53*(1+IF(J$3&lt;=$O$2,$D53,$D53-($D53-$I$49)*MIN(J$3-$O$2,$Q$2)/$Q$2))</f>
        <v>9359.42193472595</v>
      </c>
      <c r="K53" s="15" t="n">
        <f aca="false">J53*(1+IF(K$3&lt;=$O$2,$D53,$D53-($D53-$I$49)*MIN(K$3-$O$2,$Q$2)/$Q$2))</f>
        <v>9778.91122584037</v>
      </c>
      <c r="L53" s="15" t="n">
        <f aca="false">K53*(1+IF(L$3&lt;=$O$2,$D53,$D53-($D53-$I$49)*MIN(L$3-$O$2,$Q$2)/$Q$2))</f>
        <v>10130.7564517461</v>
      </c>
      <c r="M53" s="15" t="n">
        <f aca="false">L53*(1+IF(M$3&lt;=$O$2,$D53,$D53-($D53-$I$49)*MIN(M$3-$O$2,$Q$2)/$Q$2))</f>
        <v>10405.7051818465</v>
      </c>
      <c r="N53" s="15" t="n">
        <f aca="false">M53*(1+IF(N$3&lt;=$O$2,$D53,$D53-($D53-$I$49)*MIN(N$3-$O$2,$Q$2)/$Q$2))</f>
        <v>10596.1295866743</v>
      </c>
      <c r="O53" s="15" t="n">
        <f aca="false">SUMPRODUCT(E53:N53,1/(1+$F$49)^$E$3:$N$3)*$E$2</f>
        <v>19483.65953853</v>
      </c>
      <c r="P53" s="15" t="n">
        <f aca="false">N53*$E$2*(1+$I$49)/($F$49-$I$49)/(1+$F$49)^$N$3</f>
        <v>32710.7595202441</v>
      </c>
      <c r="Q53" s="15" t="n">
        <f aca="false">O53+P53</f>
        <v>52194.4190587741</v>
      </c>
      <c r="R53" s="15" t="n">
        <f aca="false">Q53-$G$2+$I$2</f>
        <v>44849.2190587741</v>
      </c>
      <c r="S53" s="42" t="n">
        <f aca="false">R53/$K$2</f>
        <v>191.132405961108</v>
      </c>
      <c r="T53" s="43" t="n">
        <f aca="false">S53-$M$2</f>
        <v>110.118129378965</v>
      </c>
    </row>
    <row r="54" customFormat="false" ht="15" hidden="false" customHeight="false" outlineLevel="0" collapsed="false">
      <c r="A54" s="5" t="n">
        <v>4</v>
      </c>
      <c r="B54" s="25" t="n">
        <f aca="false">IF(T53&gt;0,B53,D53)</f>
        <v>-0.125</v>
      </c>
      <c r="C54" s="25" t="n">
        <f aca="false">IF(T53&gt;0,D53,C53)</f>
        <v>0.0625</v>
      </c>
      <c r="D54" s="41" t="n">
        <f aca="false">(B54+C54)/2</f>
        <v>-0.03125</v>
      </c>
      <c r="E54" s="15" t="n">
        <f aca="false">$C$2*(1+IF(E$3&lt;=$O$2,$D54,$D54-($D54-$I$49)*MIN(E$3-$O$2,$Q$2)/$Q$2))</f>
        <v>6355</v>
      </c>
      <c r="F54" s="15" t="n">
        <f aca="false">E54*(1+IF(F$3&lt;=$O$2,$D54,$D54-($D54-$I$49)*MIN(F$3-$O$2,$Q$2)/$Q$2))</f>
        <v>6156.40625</v>
      </c>
      <c r="G54" s="15" t="n">
        <f aca="false">F54*(1+IF(G$3&lt;=$O$2,$D54,$D54-($D54-$I$49)*MIN(G$3-$O$2,$Q$2)/$Q$2))</f>
        <v>5964.0185546875</v>
      </c>
      <c r="H54" s="15" t="n">
        <f aca="false">G54*(1+IF(H$3&lt;=$O$2,$D54,$D54-($D54-$I$49)*MIN(H$3-$O$2,$Q$2)/$Q$2))</f>
        <v>5777.64297485352</v>
      </c>
      <c r="I54" s="15" t="n">
        <f aca="false">H54*(1+IF(I$3&lt;=$O$2,$D54,$D54-($D54-$I$49)*MIN(I$3-$O$2,$Q$2)/$Q$2))</f>
        <v>5597.09163188934</v>
      </c>
      <c r="J54" s="15" t="n">
        <f aca="false">I54*(1+IF(J$3&lt;=$O$2,$D54,$D54-($D54-$I$49)*MIN(J$3-$O$2,$Q$2)/$Q$2))</f>
        <v>5477.64969646483</v>
      </c>
      <c r="K54" s="15" t="n">
        <f aca="false">J54*(1+IF(K$3&lt;=$O$2,$D54,$D54-($D54-$I$49)*MIN(K$3-$O$2,$Q$2)/$Q$2))</f>
        <v>5415.04016043423</v>
      </c>
      <c r="L54" s="15" t="n">
        <f aca="false">K54*(1+IF(L$3&lt;=$O$2,$D54,$D54-($D54-$I$49)*MIN(L$3-$O$2,$Q$2)/$Q$2))</f>
        <v>5406.80929939037</v>
      </c>
      <c r="M54" s="15" t="n">
        <f aca="false">L54*(1+IF(M$3&lt;=$O$2,$D54,$D54-($D54-$I$49)*MIN(M$3-$O$2,$Q$2)/$Q$2))</f>
        <v>5452.17242941226</v>
      </c>
      <c r="N54" s="15" t="n">
        <f aca="false">M54*(1+IF(N$3&lt;=$O$2,$D54,$D54-($D54-$I$49)*MIN(N$3-$O$2,$Q$2)/$Q$2))</f>
        <v>5551.9471848705</v>
      </c>
      <c r="O54" s="15" t="n">
        <f aca="false">SUMPRODUCT(E54:N54,1/(1+$F$49)^$E$3:$N$3)*$E$2</f>
        <v>12875.4476232057</v>
      </c>
      <c r="P54" s="15" t="n">
        <f aca="false">N54*$E$2*(1+$I$49)/($F$49-$I$49)/(1+$F$49)^$N$3</f>
        <v>17139.1268621126</v>
      </c>
      <c r="Q54" s="15" t="n">
        <f aca="false">O54+P54</f>
        <v>30014.5744853183</v>
      </c>
      <c r="R54" s="15" t="n">
        <f aca="false">Q54-$G$2+$I$2</f>
        <v>22669.3744853183</v>
      </c>
      <c r="S54" s="42" t="n">
        <f aca="false">R54/$K$2</f>
        <v>96.6093095474889</v>
      </c>
      <c r="T54" s="43" t="n">
        <f aca="false">S54-$M$2</f>
        <v>15.5950329653452</v>
      </c>
    </row>
    <row r="55" customFormat="false" ht="15" hidden="false" customHeight="false" outlineLevel="0" collapsed="false">
      <c r="A55" s="5" t="n">
        <v>5</v>
      </c>
      <c r="B55" s="25" t="n">
        <f aca="false">IF(T54&gt;0,B54,D54)</f>
        <v>-0.125</v>
      </c>
      <c r="C55" s="25" t="n">
        <f aca="false">IF(T54&gt;0,D54,C54)</f>
        <v>-0.03125</v>
      </c>
      <c r="D55" s="41" t="n">
        <f aca="false">(B55+C55)/2</f>
        <v>-0.078125</v>
      </c>
      <c r="E55" s="15" t="n">
        <f aca="false">$C$2*(1+IF(E$3&lt;=$O$2,$D55,$D55-($D55-$I$49)*MIN(E$3-$O$2,$Q$2)/$Q$2))</f>
        <v>6047.5</v>
      </c>
      <c r="F55" s="15" t="n">
        <f aca="false">E55*(1+IF(F$3&lt;=$O$2,$D55,$D55-($D55-$I$49)*MIN(F$3-$O$2,$Q$2)/$Q$2))</f>
        <v>5575.0390625</v>
      </c>
      <c r="G55" s="15" t="n">
        <f aca="false">F55*(1+IF(G$3&lt;=$O$2,$D55,$D55-($D55-$I$49)*MIN(G$3-$O$2,$Q$2)/$Q$2))</f>
        <v>5139.48913574219</v>
      </c>
      <c r="H55" s="15" t="n">
        <f aca="false">G55*(1+IF(H$3&lt;=$O$2,$D55,$D55-($D55-$I$49)*MIN(H$3-$O$2,$Q$2)/$Q$2))</f>
        <v>4737.96654701233</v>
      </c>
      <c r="I55" s="15" t="n">
        <f aca="false">H55*(1+IF(I$3&lt;=$O$2,$D55,$D55-($D55-$I$49)*MIN(I$3-$O$2,$Q$2)/$Q$2))</f>
        <v>4367.81291052699</v>
      </c>
      <c r="J55" s="15" t="n">
        <f aca="false">I55*(1+IF(J$3&lt;=$O$2,$D55,$D55-($D55-$I$49)*MIN(J$3-$O$2,$Q$2)/$Q$2))</f>
        <v>4110.81079887158</v>
      </c>
      <c r="K55" s="15" t="n">
        <f aca="false">J55*(1+IF(K$3&lt;=$O$2,$D55,$D55-($D55-$I$49)*MIN(K$3-$O$2,$Q$2)/$Q$2))</f>
        <v>3948.20767772222</v>
      </c>
      <c r="L55" s="15" t="n">
        <f aca="false">K55*(1+IF(L$3&lt;=$O$2,$D55,$D55-($D55-$I$49)*MIN(L$3-$O$2,$Q$2)/$Q$2))</f>
        <v>3868.17750809479</v>
      </c>
      <c r="M55" s="15" t="n">
        <f aca="false">L55*(1+IF(M$3&lt;=$O$2,$D55,$D55-($D55-$I$49)*MIN(M$3-$O$2,$Q$2)/$Q$2))</f>
        <v>3864.36735324931</v>
      </c>
      <c r="N55" s="15" t="n">
        <f aca="false">M55*(1+IF(N$3&lt;=$O$2,$D55,$D55-($D55-$I$49)*MIN(N$3-$O$2,$Q$2)/$Q$2))</f>
        <v>3935.08527581378</v>
      </c>
      <c r="O55" s="15" t="n">
        <f aca="false">SUMPRODUCT(E55:N55,1/(1+$F$49)^$E$3:$N$3)*$E$2</f>
        <v>10483.3149708417</v>
      </c>
      <c r="P55" s="15" t="n">
        <f aca="false">N55*$E$2*(1+$I$49)/($F$49-$I$49)/(1+$F$49)^$N$3</f>
        <v>12147.7967116102</v>
      </c>
      <c r="Q55" s="15" t="n">
        <f aca="false">O55+P55</f>
        <v>22631.111682452</v>
      </c>
      <c r="R55" s="15" t="n">
        <f aca="false">Q55-$G$2+$I$2</f>
        <v>15285.9116824519</v>
      </c>
      <c r="S55" s="42" t="n">
        <f aca="false">R55/$K$2</f>
        <v>65.1434548580948</v>
      </c>
      <c r="T55" s="43" t="n">
        <f aca="false">S55-$M$2</f>
        <v>-15.8708217240488</v>
      </c>
    </row>
    <row r="56" customFormat="false" ht="15" hidden="false" customHeight="false" outlineLevel="0" collapsed="false">
      <c r="A56" s="5" t="n">
        <v>6</v>
      </c>
      <c r="B56" s="25" t="n">
        <f aca="false">IF(T55&gt;0,B55,D55)</f>
        <v>-0.078125</v>
      </c>
      <c r="C56" s="25" t="n">
        <f aca="false">IF(T55&gt;0,D55,C55)</f>
        <v>-0.03125</v>
      </c>
      <c r="D56" s="41" t="n">
        <f aca="false">(B56+C56)/2</f>
        <v>-0.0546875</v>
      </c>
      <c r="E56" s="15" t="n">
        <f aca="false">$C$2*(1+IF(E$3&lt;=$O$2,$D56,$D56-($D56-$I$49)*MIN(E$3-$O$2,$Q$2)/$Q$2))</f>
        <v>6201.25</v>
      </c>
      <c r="F56" s="15" t="n">
        <f aca="false">E56*(1+IF(F$3&lt;=$O$2,$D56,$D56-($D56-$I$49)*MIN(F$3-$O$2,$Q$2)/$Q$2))</f>
        <v>5862.119140625</v>
      </c>
      <c r="G56" s="15" t="n">
        <f aca="false">F56*(1+IF(G$3&lt;=$O$2,$D56,$D56-($D56-$I$49)*MIN(G$3-$O$2,$Q$2)/$Q$2))</f>
        <v>5541.53450012207</v>
      </c>
      <c r="H56" s="15" t="n">
        <f aca="false">G56*(1+IF(H$3&lt;=$O$2,$D56,$D56-($D56-$I$49)*MIN(H$3-$O$2,$Q$2)/$Q$2))</f>
        <v>5238.48183214665</v>
      </c>
      <c r="I56" s="15" t="n">
        <f aca="false">H56*(1+IF(I$3&lt;=$O$2,$D56,$D56-($D56-$I$49)*MIN(I$3-$O$2,$Q$2)/$Q$2))</f>
        <v>4952.00235695113</v>
      </c>
      <c r="J56" s="15" t="n">
        <f aca="false">I56*(1+IF(J$3&lt;=$O$2,$D56,$D56-($D56-$I$49)*MIN(J$3-$O$2,$Q$2)/$Q$2))</f>
        <v>4753.47658246096</v>
      </c>
      <c r="K56" s="15" t="n">
        <f aca="false">J56*(1+IF(K$3&lt;=$O$2,$D56,$D56-($D56-$I$49)*MIN(K$3-$O$2,$Q$2)/$Q$2))</f>
        <v>4632.29858068257</v>
      </c>
      <c r="L56" s="15" t="n">
        <f aca="false">K56*(1+IF(L$3&lt;=$O$2,$D56,$D56-($D56-$I$49)*MIN(L$3-$O$2,$Q$2)/$Q$2))</f>
        <v>4581.82968764603</v>
      </c>
      <c r="M56" s="15" t="n">
        <f aca="false">L56*(1+IF(M$3&lt;=$O$2,$D56,$D56-($D56-$I$49)*MIN(M$3-$O$2,$Q$2)/$Q$2))</f>
        <v>4598.79391206454</v>
      </c>
      <c r="N56" s="15" t="n">
        <f aca="false">M56*(1+IF(N$3&lt;=$O$2,$D56,$D56-($D56-$I$49)*MIN(N$3-$O$2,$Q$2)/$Q$2))</f>
        <v>4682.95184065532</v>
      </c>
      <c r="O56" s="15" t="n">
        <f aca="false">SUMPRODUCT(E56:N56,1/(1+$F$49)^$E$3:$N$3)*$E$2</f>
        <v>11615.6052376333</v>
      </c>
      <c r="P56" s="15" t="n">
        <f aca="false">N56*$E$2*(1+$I$49)/($F$49-$I$49)/(1+$F$49)^$N$3</f>
        <v>14456.4966152551</v>
      </c>
      <c r="Q56" s="15" t="n">
        <f aca="false">O56+P56</f>
        <v>26072.1018528884</v>
      </c>
      <c r="R56" s="15" t="n">
        <f aca="false">Q56-$G$2+$I$2</f>
        <v>18726.9018528884</v>
      </c>
      <c r="S56" s="42" t="n">
        <f aca="false">R56/$K$2</f>
        <v>79.807806745742</v>
      </c>
      <c r="T56" s="43" t="n">
        <f aca="false">S56-$M$2</f>
        <v>-1.20646983640165</v>
      </c>
    </row>
    <row r="57" customFormat="false" ht="15" hidden="false" customHeight="false" outlineLevel="0" collapsed="false">
      <c r="A57" s="5" t="n">
        <v>7</v>
      </c>
      <c r="B57" s="25" t="n">
        <f aca="false">IF(T56&gt;0,B56,D56)</f>
        <v>-0.0546875</v>
      </c>
      <c r="C57" s="25" t="n">
        <f aca="false">IF(T56&gt;0,D56,C56)</f>
        <v>-0.03125</v>
      </c>
      <c r="D57" s="41" t="n">
        <f aca="false">(B57+C57)/2</f>
        <v>-0.04296875</v>
      </c>
      <c r="E57" s="15" t="n">
        <f aca="false">$C$2*(1+IF(E$3&lt;=$O$2,$D57,$D57-($D57-$I$49)*MIN(E$3-$O$2,$Q$2)/$Q$2))</f>
        <v>6278.125</v>
      </c>
      <c r="F57" s="15" t="n">
        <f aca="false">E57*(1+IF(F$3&lt;=$O$2,$D57,$D57-($D57-$I$49)*MIN(F$3-$O$2,$Q$2)/$Q$2))</f>
        <v>6008.36181640625</v>
      </c>
      <c r="G57" s="15" t="n">
        <f aca="false">F57*(1+IF(G$3&lt;=$O$2,$D57,$D57-($D57-$I$49)*MIN(G$3-$O$2,$Q$2)/$Q$2))</f>
        <v>5750.19001960754</v>
      </c>
      <c r="H57" s="15" t="n">
        <f aca="false">G57*(1+IF(H$3&lt;=$O$2,$D57,$D57-($D57-$I$49)*MIN(H$3-$O$2,$Q$2)/$Q$2))</f>
        <v>5503.11154220253</v>
      </c>
      <c r="I57" s="15" t="n">
        <f aca="false">H57*(1+IF(I$3&lt;=$O$2,$D57,$D57-($D57-$I$49)*MIN(I$3-$O$2,$Q$2)/$Q$2))</f>
        <v>5266.64971812352</v>
      </c>
      <c r="J57" s="15" t="n">
        <f aca="false">I57*(1+IF(J$3&lt;=$O$2,$D57,$D57-($D57-$I$49)*MIN(J$3-$O$2,$Q$2)/$Q$2))</f>
        <v>5104.88457203135</v>
      </c>
      <c r="K57" s="15" t="n">
        <f aca="false">J57*(1+IF(K$3&lt;=$O$2,$D57,$D57-($D57-$I$49)*MIN(K$3-$O$2,$Q$2)/$Q$2))</f>
        <v>5010.64202172594</v>
      </c>
      <c r="L57" s="15" t="n">
        <f aca="false">K57*(1+IF(L$3&lt;=$O$2,$D57,$D57-($D57-$I$49)*MIN(L$3-$O$2,$Q$2)/$Q$2))</f>
        <v>4979.53846137608</v>
      </c>
      <c r="M57" s="15" t="n">
        <f aca="false">L57*(1+IF(M$3&lt;=$O$2,$D57,$D57-($D57-$I$49)*MIN(M$3-$O$2,$Q$2)/$Q$2))</f>
        <v>5009.64599579817</v>
      </c>
      <c r="N57" s="15" t="n">
        <f aca="false">M57*(1+IF(N$3&lt;=$O$2,$D57,$D57-($D57-$I$49)*MIN(N$3-$O$2,$Q$2)/$Q$2))</f>
        <v>5101.32251752128</v>
      </c>
      <c r="O57" s="15" t="n">
        <f aca="false">SUMPRODUCT(E57:N57,1/(1+$F$49)^$E$3:$N$3)*$E$2</f>
        <v>12228.7557056291</v>
      </c>
      <c r="P57" s="15" t="n">
        <f aca="false">N57*$E$2*(1+$I$49)/($F$49-$I$49)/(1+$F$49)^$N$3</f>
        <v>15748.026931994</v>
      </c>
      <c r="Q57" s="15" t="n">
        <f aca="false">O57+P57</f>
        <v>27976.782637623</v>
      </c>
      <c r="R57" s="15" t="n">
        <f aca="false">Q57-$G$2+$I$2</f>
        <v>20631.582637623</v>
      </c>
      <c r="S57" s="42" t="n">
        <f aca="false">R57/$K$2</f>
        <v>87.9249206802601</v>
      </c>
      <c r="T57" s="43" t="n">
        <f aca="false">S57-$M$2</f>
        <v>6.91064409811644</v>
      </c>
    </row>
    <row r="58" customFormat="false" ht="15" hidden="false" customHeight="false" outlineLevel="0" collapsed="false">
      <c r="A58" s="5" t="n">
        <v>8</v>
      </c>
      <c r="B58" s="25" t="n">
        <f aca="false">IF(T57&gt;0,B57,D57)</f>
        <v>-0.0546875</v>
      </c>
      <c r="C58" s="25" t="n">
        <f aca="false">IF(T57&gt;0,D57,C57)</f>
        <v>-0.04296875</v>
      </c>
      <c r="D58" s="41" t="n">
        <f aca="false">(B58+C58)/2</f>
        <v>-0.048828125</v>
      </c>
      <c r="E58" s="15" t="n">
        <f aca="false">$C$2*(1+IF(E$3&lt;=$O$2,$D58,$D58-($D58-$I$49)*MIN(E$3-$O$2,$Q$2)/$Q$2))</f>
        <v>6239.6875</v>
      </c>
      <c r="F58" s="15" t="n">
        <f aca="false">E58*(1+IF(F$3&lt;=$O$2,$D58,$D58-($D58-$I$49)*MIN(F$3-$O$2,$Q$2)/$Q$2))</f>
        <v>5935.01525878906</v>
      </c>
      <c r="G58" s="15" t="n">
        <f aca="false">F58*(1+IF(G$3&lt;=$O$2,$D58,$D58-($D58-$I$49)*MIN(G$3-$O$2,$Q$2)/$Q$2))</f>
        <v>5645.219591856</v>
      </c>
      <c r="H58" s="15" t="n">
        <f aca="false">G58*(1+IF(H$3&lt;=$O$2,$D58,$D58-($D58-$I$49)*MIN(H$3-$O$2,$Q$2)/$Q$2))</f>
        <v>5369.57410397241</v>
      </c>
      <c r="I58" s="15" t="n">
        <f aca="false">H58*(1+IF(I$3&lt;=$O$2,$D58,$D58-($D58-$I$49)*MIN(I$3-$O$2,$Q$2)/$Q$2))</f>
        <v>5107.38786842688</v>
      </c>
      <c r="J58" s="15" t="n">
        <f aca="false">I58*(1+IF(J$3&lt;=$O$2,$D58,$D58-($D58-$I$49)*MIN(J$3-$O$2,$Q$2)/$Q$2))</f>
        <v>4926.5735694149</v>
      </c>
      <c r="K58" s="15" t="n">
        <f aca="false">J58*(1+IF(K$3&lt;=$O$2,$D58,$D58-($D58-$I$49)*MIN(K$3-$O$2,$Q$2)/$Q$2))</f>
        <v>4818.30287790156</v>
      </c>
      <c r="L58" s="15" t="n">
        <f aca="false">K58*(1+IF(L$3&lt;=$O$2,$D58,$D58-($D58-$I$49)*MIN(L$3-$O$2,$Q$2)/$Q$2))</f>
        <v>4777.10036541691</v>
      </c>
      <c r="M58" s="15" t="n">
        <f aca="false">L58*(1+IF(M$3&lt;=$O$2,$D58,$D58-($D58-$I$49)*MIN(M$3-$O$2,$Q$2)/$Q$2))</f>
        <v>4800.38574401059</v>
      </c>
      <c r="N58" s="15" t="n">
        <f aca="false">M58*(1+IF(N$3&lt;=$O$2,$D58,$D58-($D58-$I$49)*MIN(N$3-$O$2,$Q$2)/$Q$2))</f>
        <v>4888.23280312598</v>
      </c>
      <c r="O58" s="15" t="n">
        <f aca="false">SUMPRODUCT(E58:N58,1/(1+$F$49)^$E$3:$N$3)*$E$2</f>
        <v>11918.0940362999</v>
      </c>
      <c r="P58" s="15" t="n">
        <f aca="false">N58*$E$2*(1+$I$49)/($F$49-$I$49)/(1+$F$49)^$N$3</f>
        <v>15090.2087780344</v>
      </c>
      <c r="Q58" s="15" t="n">
        <f aca="false">O58+P58</f>
        <v>27008.3028143343</v>
      </c>
      <c r="R58" s="15" t="n">
        <f aca="false">Q58-$G$2+$I$2</f>
        <v>19663.1028143343</v>
      </c>
      <c r="S58" s="42" t="n">
        <f aca="false">R58/$K$2</f>
        <v>83.7975828439563</v>
      </c>
      <c r="T58" s="43" t="n">
        <f aca="false">S58-$M$2</f>
        <v>2.78330626181264</v>
      </c>
    </row>
    <row r="59" customFormat="false" ht="15" hidden="false" customHeight="false" outlineLevel="0" collapsed="false">
      <c r="A59" s="5" t="n">
        <v>9</v>
      </c>
      <c r="B59" s="25" t="n">
        <f aca="false">IF(T58&gt;0,B58,D58)</f>
        <v>-0.0546875</v>
      </c>
      <c r="C59" s="25" t="n">
        <f aca="false">IF(T58&gt;0,D58,C58)</f>
        <v>-0.048828125</v>
      </c>
      <c r="D59" s="41" t="n">
        <f aca="false">(B59+C59)/2</f>
        <v>-0.0517578125</v>
      </c>
      <c r="E59" s="15" t="n">
        <f aca="false">$C$2*(1+IF(E$3&lt;=$O$2,$D59,$D59-($D59-$I$49)*MIN(E$3-$O$2,$Q$2)/$Q$2))</f>
        <v>6220.46875</v>
      </c>
      <c r="F59" s="15" t="n">
        <f aca="false">E59*(1+IF(F$3&lt;=$O$2,$D59,$D59-($D59-$I$49)*MIN(F$3-$O$2,$Q$2)/$Q$2))</f>
        <v>5898.51089477539</v>
      </c>
      <c r="G59" s="15" t="n">
        <f aca="false">F59*(1+IF(G$3&lt;=$O$2,$D59,$D59-($D59-$I$49)*MIN(G$3-$O$2,$Q$2)/$Q$2))</f>
        <v>5593.2168738544</v>
      </c>
      <c r="H59" s="15" t="n">
        <f aca="false">G59*(1+IF(H$3&lt;=$O$2,$D59,$D59-($D59-$I$49)*MIN(H$3-$O$2,$Q$2)/$Q$2))</f>
        <v>5303.72420362561</v>
      </c>
      <c r="I59" s="15" t="n">
        <f aca="false">H59*(1+IF(I$3&lt;=$O$2,$D59,$D59-($D59-$I$49)*MIN(I$3-$O$2,$Q$2)/$Q$2))</f>
        <v>5029.21504074264</v>
      </c>
      <c r="J59" s="15" t="n">
        <f aca="false">I59*(1+IF(J$3&lt;=$O$2,$D59,$D59-($D59-$I$49)*MIN(J$3-$O$2,$Q$2)/$Q$2))</f>
        <v>4839.38103251101</v>
      </c>
      <c r="K59" s="15" t="n">
        <f aca="false">J59*(1+IF(K$3&lt;=$O$2,$D59,$D59-($D59-$I$49)*MIN(K$3-$O$2,$Q$2)/$Q$2))</f>
        <v>4724.51983601093</v>
      </c>
      <c r="L59" s="15" t="n">
        <f aca="false">K59*(1+IF(L$3&lt;=$O$2,$D59,$D59-($D59-$I$49)*MIN(L$3-$O$2,$Q$2)/$Q$2))</f>
        <v>4678.58273908042</v>
      </c>
      <c r="M59" s="15" t="n">
        <f aca="false">L59*(1+IF(M$3&lt;=$O$2,$D59,$D59-($D59-$I$49)*MIN(M$3-$O$2,$Q$2)/$Q$2))</f>
        <v>4698.64654874554</v>
      </c>
      <c r="N59" s="15" t="n">
        <f aca="false">M59*(1+IF(N$3&lt;=$O$2,$D59,$D59-($D59-$I$49)*MIN(N$3-$O$2,$Q$2)/$Q$2))</f>
        <v>4784.63178058759</v>
      </c>
      <c r="O59" s="15" t="n">
        <f aca="false">SUMPRODUCT(E59:N59,1/(1+$F$49)^$E$3:$N$3)*$E$2</f>
        <v>11765.8410502428</v>
      </c>
      <c r="P59" s="15" t="n">
        <f aca="false">N59*$E$2*(1+$I$49)/($F$49-$I$49)/(1+$F$49)^$N$3</f>
        <v>14770.3874596385</v>
      </c>
      <c r="Q59" s="15" t="n">
        <f aca="false">O59+P59</f>
        <v>26536.2285098812</v>
      </c>
      <c r="R59" s="15" t="n">
        <f aca="false">Q59-$G$2+$I$2</f>
        <v>19191.0285098812</v>
      </c>
      <c r="S59" s="42" t="n">
        <f aca="false">R59/$K$2</f>
        <v>81.7857596841305</v>
      </c>
      <c r="T59" s="43" t="n">
        <f aca="false">S59-$M$2</f>
        <v>0.771483101986831</v>
      </c>
    </row>
    <row r="60" customFormat="false" ht="15" hidden="false" customHeight="false" outlineLevel="0" collapsed="false">
      <c r="A60" s="5" t="n">
        <v>10</v>
      </c>
      <c r="B60" s="25" t="n">
        <f aca="false">IF(T59&gt;0,B59,D59)</f>
        <v>-0.0546875</v>
      </c>
      <c r="C60" s="25" t="n">
        <f aca="false">IF(T59&gt;0,D59,C59)</f>
        <v>-0.0517578125</v>
      </c>
      <c r="D60" s="41" t="n">
        <f aca="false">(B60+C60)/2</f>
        <v>-0.05322265625</v>
      </c>
      <c r="E60" s="15" t="n">
        <f aca="false">$C$2*(1+IF(E$3&lt;=$O$2,$D60,$D60-($D60-$I$49)*MIN(E$3-$O$2,$Q$2)/$Q$2))</f>
        <v>6210.859375</v>
      </c>
      <c r="F60" s="15" t="n">
        <f aca="false">E60*(1+IF(F$3&lt;=$O$2,$D60,$D60-($D60-$I$49)*MIN(F$3-$O$2,$Q$2)/$Q$2))</f>
        <v>5880.30094146729</v>
      </c>
      <c r="G60" s="15" t="n">
        <f aca="false">F60*(1+IF(G$3&lt;=$O$2,$D60,$D60-($D60-$I$49)*MIN(G$3-$O$2,$Q$2)/$Q$2))</f>
        <v>5567.33570581302</v>
      </c>
      <c r="H60" s="15" t="n">
        <f aca="false">G60*(1+IF(H$3&lt;=$O$2,$D60,$D60-($D60-$I$49)*MIN(H$3-$O$2,$Q$2)/$Q$2))</f>
        <v>5271.02731131418</v>
      </c>
      <c r="I60" s="15" t="n">
        <f aca="false">H60*(1+IF(I$3&lt;=$O$2,$D60,$D60-($D60-$I$49)*MIN(I$3-$O$2,$Q$2)/$Q$2))</f>
        <v>4990.48923663975</v>
      </c>
      <c r="J60" s="15" t="n">
        <f aca="false">I60*(1+IF(J$3&lt;=$O$2,$D60,$D60-($D60-$I$49)*MIN(J$3-$O$2,$Q$2)/$Q$2))</f>
        <v>4796.26875271705</v>
      </c>
      <c r="K60" s="15" t="n">
        <f aca="false">J60*(1+IF(K$3&lt;=$O$2,$D60,$D60-($D60-$I$49)*MIN(K$3-$O$2,$Q$2)/$Q$2))</f>
        <v>4678.21534212185</v>
      </c>
      <c r="L60" s="15" t="n">
        <f aca="false">K60*(1+IF(L$3&lt;=$O$2,$D60,$D60-($D60-$I$49)*MIN(L$3-$O$2,$Q$2)/$Q$2))</f>
        <v>4629.98732777146</v>
      </c>
      <c r="M60" s="15" t="n">
        <f aca="false">L60*(1+IF(M$3&lt;=$O$2,$D60,$D60-($D60-$I$49)*MIN(M$3-$O$2,$Q$2)/$Q$2))</f>
        <v>4648.48629745246</v>
      </c>
      <c r="N60" s="15" t="n">
        <f aca="false">M60*(1+IF(N$3&lt;=$O$2,$D60,$D60-($D60-$I$49)*MIN(N$3-$O$2,$Q$2)/$Q$2))</f>
        <v>4733.55359669584</v>
      </c>
      <c r="O60" s="15" t="n">
        <f aca="false">SUMPRODUCT(E60:N60,1/(1+$F$49)^$E$3:$N$3)*$E$2</f>
        <v>11690.4726090803</v>
      </c>
      <c r="P60" s="15" t="n">
        <f aca="false">N60*$E$2*(1+$I$49)/($F$49-$I$49)/(1+$F$49)^$N$3</f>
        <v>14612.7066596495</v>
      </c>
      <c r="Q60" s="15" t="n">
        <f aca="false">O60+P60</f>
        <v>26303.1792687298</v>
      </c>
      <c r="R60" s="15" t="n">
        <f aca="false">Q60-$G$2+$I$2</f>
        <v>18957.9792687298</v>
      </c>
      <c r="S60" s="42" t="n">
        <f aca="false">R60/$K$2</f>
        <v>80.7925815841884</v>
      </c>
      <c r="T60" s="43" t="n">
        <f aca="false">S60-$M$2</f>
        <v>-0.221694997955197</v>
      </c>
    </row>
    <row r="61" customFormat="false" ht="15" hidden="false" customHeight="false" outlineLevel="0" collapsed="false">
      <c r="A61" s="5" t="n">
        <v>11</v>
      </c>
      <c r="B61" s="25" t="n">
        <f aca="false">IF(T60&gt;0,B60,D60)</f>
        <v>-0.05322265625</v>
      </c>
      <c r="C61" s="25" t="n">
        <f aca="false">IF(T60&gt;0,D60,C60)</f>
        <v>-0.0517578125</v>
      </c>
      <c r="D61" s="41" t="n">
        <f aca="false">(B61+C61)/2</f>
        <v>-0.052490234375</v>
      </c>
      <c r="E61" s="15" t="n">
        <f aca="false">$C$2*(1+IF(E$3&lt;=$O$2,$D61,$D61-($D61-$I$49)*MIN(E$3-$O$2,$Q$2)/$Q$2))</f>
        <v>6215.6640625</v>
      </c>
      <c r="F61" s="15" t="n">
        <f aca="false">E61*(1+IF(F$3&lt;=$O$2,$D61,$D61-($D61-$I$49)*MIN(F$3-$O$2,$Q$2)/$Q$2))</f>
        <v>5889.40239906311</v>
      </c>
      <c r="G61" s="15" t="n">
        <f aca="false">F61*(1+IF(G$3&lt;=$O$2,$D61,$D61-($D61-$I$49)*MIN(G$3-$O$2,$Q$2)/$Q$2))</f>
        <v>5580.2662868076</v>
      </c>
      <c r="H61" s="15" t="n">
        <f aca="false">G61*(1+IF(H$3&lt;=$O$2,$D61,$D61-($D61-$I$49)*MIN(H$3-$O$2,$Q$2)/$Q$2))</f>
        <v>5287.35680153816</v>
      </c>
      <c r="I61" s="15" t="n">
        <f aca="false">H61*(1+IF(I$3&lt;=$O$2,$D61,$D61-($D61-$I$49)*MIN(I$3-$O$2,$Q$2)/$Q$2))</f>
        <v>5009.82220380117</v>
      </c>
      <c r="J61" s="15" t="n">
        <f aca="false">I61*(1+IF(J$3&lt;=$O$2,$D61,$D61-($D61-$I$49)*MIN(J$3-$O$2,$Q$2)/$Q$2))</f>
        <v>4817.7847597434</v>
      </c>
      <c r="K61" s="15" t="n">
        <f aca="false">J61*(1+IF(K$3&lt;=$O$2,$D61,$D61-($D61-$I$49)*MIN(K$3-$O$2,$Q$2)/$Q$2))</f>
        <v>4701.31895346038</v>
      </c>
      <c r="L61" s="15" t="n">
        <f aca="false">K61*(1+IF(L$3&lt;=$O$2,$D61,$D61-($D61-$I$49)*MIN(L$3-$O$2,$Q$2)/$Q$2))</f>
        <v>4654.23010207387</v>
      </c>
      <c r="M61" s="15" t="n">
        <f aca="false">L61*(1+IF(M$3&lt;=$O$2,$D61,$D61-($D61-$I$49)*MIN(M$3-$O$2,$Q$2)/$Q$2))</f>
        <v>4673.50770498963</v>
      </c>
      <c r="N61" s="15" t="n">
        <f aca="false">M61*(1+IF(N$3&lt;=$O$2,$D61,$D61-($D61-$I$49)*MIN(N$3-$O$2,$Q$2)/$Q$2))</f>
        <v>4759.03289599094</v>
      </c>
      <c r="O61" s="15" t="n">
        <f aca="false">SUMPRODUCT(E61:N61,1/(1+$F$49)^$E$3:$N$3)*$E$2</f>
        <v>11728.0939951765</v>
      </c>
      <c r="P61" s="15" t="n">
        <f aca="false">N61*$E$2*(1+$I$49)/($F$49-$I$49)/(1+$F$49)^$N$3</f>
        <v>14691.3624768673</v>
      </c>
      <c r="Q61" s="15" t="n">
        <f aca="false">O61+P61</f>
        <v>26419.4564720439</v>
      </c>
      <c r="R61" s="15" t="n">
        <f aca="false">Q61-$G$2+$I$2</f>
        <v>19074.2564720439</v>
      </c>
      <c r="S61" s="42" t="n">
        <f aca="false">R61/$K$2</f>
        <v>81.2881162243507</v>
      </c>
      <c r="T61" s="43" t="n">
        <f aca="false">S61-$M$2</f>
        <v>0.273839642207037</v>
      </c>
    </row>
    <row r="62" customFormat="false" ht="15" hidden="false" customHeight="false" outlineLevel="0" collapsed="false">
      <c r="A62" s="5" t="n">
        <v>12</v>
      </c>
      <c r="B62" s="25" t="n">
        <f aca="false">IF(T61&gt;0,B61,D61)</f>
        <v>-0.05322265625</v>
      </c>
      <c r="C62" s="25" t="n">
        <f aca="false">IF(T61&gt;0,D61,C61)</f>
        <v>-0.052490234375</v>
      </c>
      <c r="D62" s="41" t="n">
        <f aca="false">(B62+C62)/2</f>
        <v>-0.0528564453125</v>
      </c>
      <c r="E62" s="15" t="n">
        <f aca="false">$C$2*(1+IF(E$3&lt;=$O$2,$D62,$D62-($D62-$I$49)*MIN(E$3-$O$2,$Q$2)/$Q$2))</f>
        <v>6213.26171875</v>
      </c>
      <c r="F62" s="15" t="n">
        <f aca="false">E62*(1+IF(F$3&lt;=$O$2,$D62,$D62-($D62-$I$49)*MIN(F$3-$O$2,$Q$2)/$Q$2))</f>
        <v>5884.85079050064</v>
      </c>
      <c r="G62" s="15" t="n">
        <f aca="false">F62*(1+IF(G$3&lt;=$O$2,$D62,$D62-($D62-$I$49)*MIN(G$3-$O$2,$Q$2)/$Q$2))</f>
        <v>5573.79849652032</v>
      </c>
      <c r="H62" s="15" t="n">
        <f aca="false">G62*(1+IF(H$3&lt;=$O$2,$D62,$D62-($D62-$I$49)*MIN(H$3-$O$2,$Q$2)/$Q$2))</f>
        <v>5279.1873211061</v>
      </c>
      <c r="I62" s="15" t="n">
        <f aca="false">H62*(1+IF(I$3&lt;=$O$2,$D62,$D62-($D62-$I$49)*MIN(I$3-$O$2,$Q$2)/$Q$2))</f>
        <v>5000.14824517361</v>
      </c>
      <c r="J62" s="15" t="n">
        <f aca="false">I62*(1+IF(J$3&lt;=$O$2,$D62,$D62-($D62-$I$49)*MIN(J$3-$O$2,$Q$2)/$Q$2))</f>
        <v>4807.01673793062</v>
      </c>
      <c r="K62" s="15" t="n">
        <f aca="false">J62*(1+IF(K$3&lt;=$O$2,$D62,$D62-($D62-$I$49)*MIN(K$3-$O$2,$Q$2)/$Q$2))</f>
        <v>4689.75501005745</v>
      </c>
      <c r="L62" s="15" t="n">
        <f aca="false">K62*(1+IF(L$3&lt;=$O$2,$D62,$D62-($D62-$I$49)*MIN(L$3-$O$2,$Q$2)/$Q$2))</f>
        <v>4642.09500838063</v>
      </c>
      <c r="M62" s="15" t="n">
        <f aca="false">L62*(1+IF(M$3&lt;=$O$2,$D62,$D62-($D62-$I$49)*MIN(M$3-$O$2,$Q$2)/$Q$2))</f>
        <v>4660.98235111414</v>
      </c>
      <c r="N62" s="15" t="n">
        <f aca="false">M62*(1+IF(N$3&lt;=$O$2,$D62,$D62-($D62-$I$49)*MIN(N$3-$O$2,$Q$2)/$Q$2))</f>
        <v>4746.27832813953</v>
      </c>
      <c r="O62" s="15" t="n">
        <f aca="false">SUMPRODUCT(E62:N62,1/(1+$F$49)^$E$3:$N$3)*$E$2</f>
        <v>11709.2676186476</v>
      </c>
      <c r="P62" s="15" t="n">
        <f aca="false">N62*$E$2*(1+$I$49)/($F$49-$I$49)/(1+$F$49)^$N$3</f>
        <v>14651.9885150486</v>
      </c>
      <c r="Q62" s="15" t="n">
        <f aca="false">O62+P62</f>
        <v>26361.2561336962</v>
      </c>
      <c r="R62" s="15" t="n">
        <f aca="false">Q62-$G$2+$I$2</f>
        <v>19016.0561336962</v>
      </c>
      <c r="S62" s="42" t="n">
        <f aca="false">R62/$K$2</f>
        <v>81.0400858030949</v>
      </c>
      <c r="T62" s="43" t="n">
        <f aca="false">S62-$M$2</f>
        <v>0.0258092209512739</v>
      </c>
    </row>
    <row r="63" customFormat="false" ht="15" hidden="false" customHeight="false" outlineLevel="0" collapsed="false">
      <c r="A63" s="5" t="n">
        <v>13</v>
      </c>
      <c r="B63" s="25" t="n">
        <f aca="false">IF(T62&gt;0,B62,D62)</f>
        <v>-0.05322265625</v>
      </c>
      <c r="C63" s="25" t="n">
        <f aca="false">IF(T62&gt;0,D62,C62)</f>
        <v>-0.0528564453125</v>
      </c>
      <c r="D63" s="41" t="n">
        <f aca="false">(B63+C63)/2</f>
        <v>-0.05303955078125</v>
      </c>
      <c r="E63" s="15" t="n">
        <f aca="false">$C$2*(1+IF(E$3&lt;=$O$2,$D63,$D63-($D63-$I$49)*MIN(E$3-$O$2,$Q$2)/$Q$2))</f>
        <v>6212.060546875</v>
      </c>
      <c r="F63" s="15" t="n">
        <f aca="false">E63*(1+IF(F$3&lt;=$O$2,$D63,$D63-($D63-$I$49)*MIN(F$3-$O$2,$Q$2)/$Q$2))</f>
        <v>5882.57564604282</v>
      </c>
      <c r="G63" s="15" t="n">
        <f aca="false">F63*(1+IF(G$3&lt;=$O$2,$D63,$D63-($D63-$I$49)*MIN(G$3-$O$2,$Q$2)/$Q$2))</f>
        <v>5570.56647633999</v>
      </c>
      <c r="H63" s="15" t="n">
        <f aca="false">G63*(1+IF(H$3&lt;=$O$2,$D63,$D63-($D63-$I$49)*MIN(H$3-$O$2,$Q$2)/$Q$2))</f>
        <v>5275.10613283783</v>
      </c>
      <c r="I63" s="15" t="n">
        <f aca="false">H63*(1+IF(I$3&lt;=$O$2,$D63,$D63-($D63-$I$49)*MIN(I$3-$O$2,$Q$2)/$Q$2))</f>
        <v>4995.31687322869</v>
      </c>
      <c r="J63" s="15" t="n">
        <f aca="false">I63*(1+IF(J$3&lt;=$O$2,$D63,$D63-($D63-$I$49)*MIN(J$3-$O$2,$Q$2)/$Q$2))</f>
        <v>4801.64024261187</v>
      </c>
      <c r="K63" s="15" t="n">
        <f aca="false">J63*(1+IF(K$3&lt;=$O$2,$D63,$D63-($D63-$I$49)*MIN(K$3-$O$2,$Q$2)/$Q$2))</f>
        <v>4683.98214429901</v>
      </c>
      <c r="L63" s="15" t="n">
        <f aca="false">K63*(1+IF(L$3&lt;=$O$2,$D63,$D63-($D63-$I$49)*MIN(L$3-$O$2,$Q$2)/$Q$2))</f>
        <v>4636.037744723</v>
      </c>
      <c r="M63" s="15" t="n">
        <f aca="false">L63*(1+IF(M$3&lt;=$O$2,$D63,$D63-($D63-$I$49)*MIN(M$3-$O$2,$Q$2)/$Q$2))</f>
        <v>4654.73066542874</v>
      </c>
      <c r="N63" s="15" t="n">
        <f aca="false">M63*(1+IF(N$3&lt;=$O$2,$D63,$D63-($D63-$I$49)*MIN(N$3-$O$2,$Q$2)/$Q$2))</f>
        <v>4739.91223660609</v>
      </c>
      <c r="O63" s="15" t="n">
        <f aca="false">SUMPRODUCT(E63:N63,1/(1+$F$49)^$E$3:$N$3)*$E$2</f>
        <v>11699.8661961325</v>
      </c>
      <c r="P63" s="15" t="n">
        <f aca="false">N63*$E$2*(1+$I$49)/($F$49-$I$49)/(1+$F$49)^$N$3</f>
        <v>14632.3360855902</v>
      </c>
      <c r="Q63" s="15" t="n">
        <f aca="false">O63+P63</f>
        <v>26332.2022817227</v>
      </c>
      <c r="R63" s="15" t="n">
        <f aca="false">Q63-$G$2+$I$2</f>
        <v>18987.0022817227</v>
      </c>
      <c r="S63" s="42" t="n">
        <f aca="false">R63/$K$2</f>
        <v>80.916267980919</v>
      </c>
      <c r="T63" s="43" t="n">
        <f aca="false">S63-$M$2</f>
        <v>-0.098008601224592</v>
      </c>
    </row>
    <row r="64" customFormat="false" ht="15" hidden="false" customHeight="false" outlineLevel="0" collapsed="false">
      <c r="A64" s="5" t="n">
        <v>14</v>
      </c>
      <c r="B64" s="25" t="n">
        <f aca="false">IF(T63&gt;0,B63,D63)</f>
        <v>-0.05303955078125</v>
      </c>
      <c r="C64" s="25" t="n">
        <f aca="false">IF(T63&gt;0,D63,C63)</f>
        <v>-0.0528564453125</v>
      </c>
      <c r="D64" s="41" t="n">
        <f aca="false">(B64+C64)/2</f>
        <v>-0.052947998046875</v>
      </c>
      <c r="E64" s="15" t="n">
        <f aca="false">$C$2*(1+IF(E$3&lt;=$O$2,$D64,$D64-($D64-$I$49)*MIN(E$3-$O$2,$Q$2)/$Q$2))</f>
        <v>6212.6611328125</v>
      </c>
      <c r="F64" s="15" t="n">
        <f aca="false">E64*(1+IF(F$3&lt;=$O$2,$D64,$D64-($D64-$I$49)*MIN(F$3-$O$2,$Q$2)/$Q$2))</f>
        <v>5883.71316328645</v>
      </c>
      <c r="G64" s="15" t="n">
        <f aca="false">F64*(1+IF(G$3&lt;=$O$2,$D64,$D64-($D64-$I$49)*MIN(G$3-$O$2,$Q$2)/$Q$2))</f>
        <v>5572.18233020838</v>
      </c>
      <c r="H64" s="15" t="n">
        <f aca="false">G64*(1+IF(H$3&lt;=$O$2,$D64,$D64-($D64-$I$49)*MIN(H$3-$O$2,$Q$2)/$Q$2))</f>
        <v>5277.14643107168</v>
      </c>
      <c r="I64" s="15" t="n">
        <f aca="false">H64*(1+IF(I$3&lt;=$O$2,$D64,$D64-($D64-$I$49)*MIN(I$3-$O$2,$Q$2)/$Q$2))</f>
        <v>4997.73209214622</v>
      </c>
      <c r="J64" s="15" t="n">
        <f aca="false">I64*(1+IF(J$3&lt;=$O$2,$D64,$D64-($D64-$I$49)*MIN(J$3-$O$2,$Q$2)/$Q$2))</f>
        <v>4804.32786436047</v>
      </c>
      <c r="K64" s="15" t="n">
        <f aca="false">J64*(1+IF(K$3&lt;=$O$2,$D64,$D64-($D64-$I$49)*MIN(K$3-$O$2,$Q$2)/$Q$2))</f>
        <v>4686.86781890036</v>
      </c>
      <c r="L64" s="15" t="n">
        <f aca="false">K64*(1+IF(L$3&lt;=$O$2,$D64,$D64-($D64-$I$49)*MIN(L$3-$O$2,$Q$2)/$Q$2))</f>
        <v>4639.06552030345</v>
      </c>
      <c r="M64" s="15" t="n">
        <f aca="false">L64*(1+IF(M$3&lt;=$O$2,$D64,$D64-($D64-$I$49)*MIN(M$3-$O$2,$Q$2)/$Q$2))</f>
        <v>4657.85559309902</v>
      </c>
      <c r="N64" s="15" t="n">
        <f aca="false">M64*(1+IF(N$3&lt;=$O$2,$D64,$D64-($D64-$I$49)*MIN(N$3-$O$2,$Q$2)/$Q$2))</f>
        <v>4743.09435045273</v>
      </c>
      <c r="O64" s="15" t="n">
        <f aca="false">SUMPRODUCT(E64:N64,1/(1+$F$49)^$E$3:$N$3)*$E$2</f>
        <v>11704.565927565</v>
      </c>
      <c r="P64" s="15" t="n">
        <f aca="false">N64*$E$2*(1+$I$49)/($F$49-$I$49)/(1+$F$49)^$N$3</f>
        <v>14642.1594234375</v>
      </c>
      <c r="Q64" s="15" t="n">
        <f aca="false">O64+P64</f>
        <v>26346.7253510025</v>
      </c>
      <c r="R64" s="15" t="n">
        <f aca="false">Q64-$G$2+$I$2</f>
        <v>19001.5253510025</v>
      </c>
      <c r="S64" s="42" t="n">
        <f aca="false">R64/$K$2</f>
        <v>80.9781604560089</v>
      </c>
      <c r="T64" s="43" t="n">
        <f aca="false">S64-$M$2</f>
        <v>-0.0361161261347291</v>
      </c>
    </row>
    <row r="65" customFormat="false" ht="15" hidden="false" customHeight="false" outlineLevel="0" collapsed="false">
      <c r="A65" s="5" t="n">
        <v>15</v>
      </c>
      <c r="B65" s="25" t="n">
        <f aca="false">IF(T64&gt;0,B64,D64)</f>
        <v>-0.052947998046875</v>
      </c>
      <c r="C65" s="25" t="n">
        <f aca="false">IF(T64&gt;0,D64,C64)</f>
        <v>-0.0528564453125</v>
      </c>
      <c r="D65" s="41" t="n">
        <f aca="false">(B65+C65)/2</f>
        <v>-0.0529022216796875</v>
      </c>
      <c r="E65" s="15" t="n">
        <f aca="false">$C$2*(1+IF(E$3&lt;=$O$2,$D65,$D65-($D65-$I$49)*MIN(E$3-$O$2,$Q$2)/$Q$2))</f>
        <v>6212.96142578125</v>
      </c>
      <c r="F65" s="15" t="n">
        <f aca="false">E65*(1+IF(F$3&lt;=$O$2,$D65,$D65-($D65-$I$49)*MIN(F$3-$O$2,$Q$2)/$Q$2))</f>
        <v>5884.28196314722</v>
      </c>
      <c r="G65" s="15" t="n">
        <f aca="false">F65*(1+IF(G$3&lt;=$O$2,$D65,$D65-($D65-$I$49)*MIN(G$3-$O$2,$Q$2)/$Q$2))</f>
        <v>5572.99037430702</v>
      </c>
      <c r="H65" s="15" t="n">
        <f aca="false">G65*(1+IF(H$3&lt;=$O$2,$D65,$D65-($D65-$I$49)*MIN(H$3-$O$2,$Q$2)/$Q$2))</f>
        <v>5278.16680210667</v>
      </c>
      <c r="I65" s="15" t="n">
        <f aca="false">H65*(1+IF(I$3&lt;=$O$2,$D65,$D65-($D65-$I$49)*MIN(I$3-$O$2,$Q$2)/$Q$2))</f>
        <v>4998.94005187925</v>
      </c>
      <c r="J65" s="15" t="n">
        <f aca="false">I65*(1+IF(J$3&lt;=$O$2,$D65,$D65-($D65-$I$49)*MIN(J$3-$O$2,$Q$2)/$Q$2))</f>
        <v>4805.67214463874</v>
      </c>
      <c r="K65" s="15" t="n">
        <f aca="false">J65*(1+IF(K$3&lt;=$O$2,$D65,$D65-($D65-$I$49)*MIN(K$3-$O$2,$Q$2)/$Q$2))</f>
        <v>4688.31122486815</v>
      </c>
      <c r="L65" s="15" t="n">
        <f aca="false">K65*(1+IF(L$3&lt;=$O$2,$D65,$D65-($D65-$I$49)*MIN(L$3-$O$2,$Q$2)/$Q$2))</f>
        <v>4640.58005022867</v>
      </c>
      <c r="M65" s="15" t="n">
        <f aca="false">L65*(1+IF(M$3&lt;=$O$2,$D65,$D65-($D65-$I$49)*MIN(M$3-$O$2,$Q$2)/$Q$2))</f>
        <v>4659.41874325611</v>
      </c>
      <c r="N65" s="15" t="n">
        <f aca="false">M65*(1+IF(N$3&lt;=$O$2,$D65,$D65-($D65-$I$49)*MIN(N$3-$O$2,$Q$2)/$Q$2))</f>
        <v>4744.6861062577</v>
      </c>
      <c r="O65" s="15" t="n">
        <f aca="false">SUMPRODUCT(E65:N65,1/(1+$F$49)^$E$3:$N$3)*$E$2</f>
        <v>11706.916528101</v>
      </c>
      <c r="P65" s="15" t="n">
        <f aca="false">N65*$E$2*(1+$I$49)/($F$49-$I$49)/(1+$F$49)^$N$3</f>
        <v>14647.0732498422</v>
      </c>
      <c r="Q65" s="15" t="n">
        <f aca="false">O65+P65</f>
        <v>26353.9897779432</v>
      </c>
      <c r="R65" s="15" t="n">
        <f aca="false">Q65-$G$2+$I$2</f>
        <v>19008.7897779432</v>
      </c>
      <c r="S65" s="42" t="n">
        <f aca="false">R65/$K$2</f>
        <v>81.0091190195749</v>
      </c>
      <c r="T65" s="43" t="n">
        <f aca="false">S65-$M$2</f>
        <v>-0.00515756256874056</v>
      </c>
    </row>
    <row r="66" customFormat="false" ht="15" hidden="false" customHeight="false" outlineLevel="0" collapsed="false">
      <c r="A66" s="5" t="n">
        <v>16</v>
      </c>
      <c r="B66" s="25" t="n">
        <f aca="false">IF(T65&gt;0,B65,D65)</f>
        <v>-0.0529022216796875</v>
      </c>
      <c r="C66" s="25" t="n">
        <f aca="false">IF(T65&gt;0,D65,C65)</f>
        <v>-0.0528564453125</v>
      </c>
      <c r="D66" s="41" t="n">
        <f aca="false">(B66+C66)/2</f>
        <v>-0.0528793334960938</v>
      </c>
      <c r="E66" s="15" t="n">
        <f aca="false">$C$2*(1+IF(E$3&lt;=$O$2,$D66,$D66-($D66-$I$49)*MIN(E$3-$O$2,$Q$2)/$Q$2))</f>
        <v>6213.11157226563</v>
      </c>
      <c r="F66" s="15" t="n">
        <f aca="false">E66*(1+IF(F$3&lt;=$O$2,$D66,$D66-($D66-$I$49)*MIN(F$3-$O$2,$Q$2)/$Q$2))</f>
        <v>5884.56637338735</v>
      </c>
      <c r="G66" s="15" t="n">
        <f aca="false">F66*(1+IF(G$3&lt;=$O$2,$D66,$D66-($D66-$I$49)*MIN(G$3-$O$2,$Q$2)/$Q$2))</f>
        <v>5573.3944256491</v>
      </c>
      <c r="H66" s="15" t="n">
        <f aca="false">G66*(1+IF(H$3&lt;=$O$2,$D66,$D66-($D66-$I$49)*MIN(H$3-$O$2,$Q$2)/$Q$2))</f>
        <v>5278.67704310993</v>
      </c>
      <c r="I66" s="15" t="n">
        <f aca="false">H66*(1+IF(I$3&lt;=$O$2,$D66,$D66-($D66-$I$49)*MIN(I$3-$O$2,$Q$2)/$Q$2))</f>
        <v>4999.54411932915</v>
      </c>
      <c r="J66" s="15" t="n">
        <f aca="false">I66*(1+IF(J$3&lt;=$O$2,$D66,$D66-($D66-$I$49)*MIN(J$3-$O$2,$Q$2)/$Q$2))</f>
        <v>4806.34440215434</v>
      </c>
      <c r="K66" s="15" t="n">
        <f aca="false">J66*(1+IF(K$3&lt;=$O$2,$D66,$D66-($D66-$I$49)*MIN(K$3-$O$2,$Q$2)/$Q$2))</f>
        <v>4689.03307005495</v>
      </c>
      <c r="L66" s="15" t="n">
        <f aca="false">K66*(1+IF(L$3&lt;=$O$2,$D66,$D66-($D66-$I$49)*MIN(L$3-$O$2,$Q$2)/$Q$2))</f>
        <v>4641.33747576989</v>
      </c>
      <c r="M66" s="15" t="n">
        <f aca="false">L66*(1+IF(M$3&lt;=$O$2,$D66,$D66-($D66-$I$49)*MIN(M$3-$O$2,$Q$2)/$Q$2))</f>
        <v>4660.20048996533</v>
      </c>
      <c r="N66" s="15" t="n">
        <f aca="false">M66*(1+IF(N$3&lt;=$O$2,$D66,$D66-($D66-$I$49)*MIN(N$3-$O$2,$Q$2)/$Q$2))</f>
        <v>4745.4821589317</v>
      </c>
      <c r="O66" s="15" t="n">
        <f aca="false">SUMPRODUCT(E66:N66,1/(1+$F$49)^$E$3:$N$3)*$E$2</f>
        <v>11708.0920121169</v>
      </c>
      <c r="P66" s="15" t="n">
        <f aca="false">N66*$E$2*(1+$I$49)/($F$49-$I$49)/(1+$F$49)^$N$3</f>
        <v>14649.5307025727</v>
      </c>
      <c r="Q66" s="15" t="n">
        <f aca="false">O66+P66</f>
        <v>26357.6227146895</v>
      </c>
      <c r="R66" s="15" t="n">
        <f aca="false">Q66-$G$2+$I$2</f>
        <v>19012.4227146895</v>
      </c>
      <c r="S66" s="42" t="n">
        <f aca="false">R66/$K$2</f>
        <v>81.0246013837184</v>
      </c>
      <c r="T66" s="43" t="n">
        <f aca="false">S66-$M$2</f>
        <v>0.0103248015747823</v>
      </c>
    </row>
    <row r="67" customFormat="false" ht="15" hidden="false" customHeight="false" outlineLevel="0" collapsed="false">
      <c r="A67" s="5" t="n">
        <v>17</v>
      </c>
      <c r="B67" s="25" t="n">
        <f aca="false">IF(T66&gt;0,B66,D66)</f>
        <v>-0.0529022216796875</v>
      </c>
      <c r="C67" s="25" t="n">
        <f aca="false">IF(T66&gt;0,D66,C66)</f>
        <v>-0.0528793334960938</v>
      </c>
      <c r="D67" s="41" t="n">
        <f aca="false">(B67+C67)/2</f>
        <v>-0.0528907775878906</v>
      </c>
      <c r="E67" s="15" t="n">
        <f aca="false">$C$2*(1+IF(E$3&lt;=$O$2,$D67,$D67-($D67-$I$49)*MIN(E$3-$O$2,$Q$2)/$Q$2))</f>
        <v>6213.03649902344</v>
      </c>
      <c r="F67" s="15" t="n">
        <f aca="false">E67*(1+IF(F$3&lt;=$O$2,$D67,$D67-($D67-$I$49)*MIN(F$3-$O$2,$Q$2)/$Q$2))</f>
        <v>5884.42416740814</v>
      </c>
      <c r="G67" s="15" t="n">
        <f aca="false">F67*(1+IF(G$3&lt;=$O$2,$D67,$D67-($D67-$I$49)*MIN(G$3-$O$2,$Q$2)/$Q$2))</f>
        <v>5573.19239753695</v>
      </c>
      <c r="H67" s="15" t="n">
        <f aca="false">G67*(1+IF(H$3&lt;=$O$2,$D67,$D67-($D67-$I$49)*MIN(H$3-$O$2,$Q$2)/$Q$2))</f>
        <v>5278.4219179843</v>
      </c>
      <c r="I67" s="15" t="n">
        <f aca="false">H67*(1+IF(I$3&lt;=$O$2,$D67,$D67-($D67-$I$49)*MIN(I$3-$O$2,$Q$2)/$Q$2))</f>
        <v>4999.24207830515</v>
      </c>
      <c r="J67" s="15" t="n">
        <f aca="false">I67*(1+IF(J$3&lt;=$O$2,$D67,$D67-($D67-$I$49)*MIN(J$3-$O$2,$Q$2)/$Q$2))</f>
        <v>4806.00826361441</v>
      </c>
      <c r="K67" s="15" t="n">
        <f aca="false">J67*(1+IF(K$3&lt;=$O$2,$D67,$D67-($D67-$I$49)*MIN(K$3-$O$2,$Q$2)/$Q$2))</f>
        <v>4688.67213561023</v>
      </c>
      <c r="L67" s="15" t="n">
        <f aca="false">K67*(1+IF(L$3&lt;=$O$2,$D67,$D67-($D67-$I$49)*MIN(L$3-$O$2,$Q$2)/$Q$2))</f>
        <v>4640.95874961639</v>
      </c>
      <c r="M67" s="15" t="n">
        <f aca="false">L67*(1+IF(M$3&lt;=$O$2,$D67,$D67-($D67-$I$49)*MIN(M$3-$O$2,$Q$2)/$Q$2))</f>
        <v>4659.80960230667</v>
      </c>
      <c r="N67" s="15" t="n">
        <f aca="false">M67*(1+IF(N$3&lt;=$O$2,$D67,$D67-($D67-$I$49)*MIN(N$3-$O$2,$Q$2)/$Q$2))</f>
        <v>4745.08411802888</v>
      </c>
      <c r="O67" s="15" t="n">
        <f aca="false">SUMPRODUCT(E67:N67,1/(1+$F$49)^$E$3:$N$3)*$E$2</f>
        <v>11707.5042547953</v>
      </c>
      <c r="P67" s="15" t="n">
        <f aca="false">N67*$E$2*(1+$I$49)/($F$49-$I$49)/(1+$F$49)^$N$3</f>
        <v>14648.3019312421</v>
      </c>
      <c r="Q67" s="15" t="n">
        <f aca="false">O67+P67</f>
        <v>26355.8061860374</v>
      </c>
      <c r="R67" s="15" t="n">
        <f aca="false">Q67-$G$2+$I$2</f>
        <v>19010.6061860374</v>
      </c>
      <c r="S67" s="42" t="n">
        <f aca="false">R67/$K$2</f>
        <v>81.0168599447578</v>
      </c>
      <c r="T67" s="43" t="n">
        <f aca="false">S67-$M$2</f>
        <v>0.0025833626141889</v>
      </c>
    </row>
    <row r="68" customFormat="false" ht="15" hidden="false" customHeight="false" outlineLevel="0" collapsed="false">
      <c r="A68" s="5" t="n">
        <v>18</v>
      </c>
      <c r="B68" s="25" t="n">
        <f aca="false">IF(T67&gt;0,B67,D67)</f>
        <v>-0.0529022216796875</v>
      </c>
      <c r="C68" s="25" t="n">
        <f aca="false">IF(T67&gt;0,D67,C67)</f>
        <v>-0.0528907775878906</v>
      </c>
      <c r="D68" s="41" t="n">
        <f aca="false">(B68+C68)/2</f>
        <v>-0.0528964996337891</v>
      </c>
      <c r="E68" s="15" t="n">
        <f aca="false">$C$2*(1+IF(E$3&lt;=$O$2,$D68,$D68-($D68-$I$49)*MIN(E$3-$O$2,$Q$2)/$Q$2))</f>
        <v>6212.99896240234</v>
      </c>
      <c r="F68" s="15" t="n">
        <f aca="false">E68*(1+IF(F$3&lt;=$O$2,$D68,$D68-($D68-$I$49)*MIN(F$3-$O$2,$Q$2)/$Q$2))</f>
        <v>5884.3530650629</v>
      </c>
      <c r="G68" s="15" t="n">
        <f aca="false">F68*(1+IF(G$3&lt;=$O$2,$D68,$D68-($D68-$I$49)*MIN(G$3-$O$2,$Q$2)/$Q$2))</f>
        <v>5573.09138531171</v>
      </c>
      <c r="H68" s="15" t="n">
        <f aca="false">G68*(1+IF(H$3&lt;=$O$2,$D68,$D68-($D68-$I$49)*MIN(H$3-$O$2,$Q$2)/$Q$2))</f>
        <v>5278.2943588895</v>
      </c>
      <c r="I68" s="15" t="n">
        <f aca="false">H68*(1+IF(I$3&lt;=$O$2,$D68,$D68-($D68-$I$49)*MIN(I$3-$O$2,$Q$2)/$Q$2))</f>
        <v>4999.09106326747</v>
      </c>
      <c r="J68" s="15" t="n">
        <f aca="false">I68*(1+IF(J$3&lt;=$O$2,$D68,$D68-($D68-$I$49)*MIN(J$3-$O$2,$Q$2)/$Q$2))</f>
        <v>4805.8402016811</v>
      </c>
      <c r="K68" s="15" t="n">
        <f aca="false">J68*(1+IF(K$3&lt;=$O$2,$D68,$D68-($D68-$I$49)*MIN(K$3-$O$2,$Q$2)/$Q$2))</f>
        <v>4688.49167727644</v>
      </c>
      <c r="L68" s="15" t="n">
        <f aca="false">K68*(1+IF(L$3&lt;=$O$2,$D68,$D68-($D68-$I$49)*MIN(L$3-$O$2,$Q$2)/$Q$2))</f>
        <v>4640.76939657691</v>
      </c>
      <c r="M68" s="15" t="n">
        <f aca="false">L68*(1+IF(M$3&lt;=$O$2,$D68,$D68-($D68-$I$49)*MIN(M$3-$O$2,$Q$2)/$Q$2))</f>
        <v>4659.61416920549</v>
      </c>
      <c r="N68" s="15" t="n">
        <f aca="false">M68*(1+IF(N$3&lt;=$O$2,$D68,$D68-($D68-$I$49)*MIN(N$3-$O$2,$Q$2)/$Q$2))</f>
        <v>4744.88510850195</v>
      </c>
      <c r="O68" s="15" t="n">
        <f aca="false">SUMPRODUCT(E68:N68,1/(1+$F$49)^$E$3:$N$3)*$E$2</f>
        <v>11707.2103876199</v>
      </c>
      <c r="P68" s="15" t="n">
        <f aca="false">N68*$E$2*(1+$I$49)/($F$49-$I$49)/(1+$F$49)^$N$3</f>
        <v>14647.6875793012</v>
      </c>
      <c r="Q68" s="15" t="n">
        <f aca="false">O68+P68</f>
        <v>26354.897966921</v>
      </c>
      <c r="R68" s="15" t="n">
        <f aca="false">Q68-$G$2+$I$2</f>
        <v>19009.697966921</v>
      </c>
      <c r="S68" s="42" t="n">
        <f aca="false">R68/$K$2</f>
        <v>81.012989417946</v>
      </c>
      <c r="T68" s="43" t="n">
        <f aca="false">S68-$M$2</f>
        <v>-0.00128716419759201</v>
      </c>
    </row>
    <row r="69" customFormat="false" ht="15" hidden="false" customHeight="false" outlineLevel="0" collapsed="false">
      <c r="A69" s="5" t="n">
        <v>19</v>
      </c>
      <c r="B69" s="25" t="n">
        <f aca="false">IF(T68&gt;0,B68,D68)</f>
        <v>-0.0528964996337891</v>
      </c>
      <c r="C69" s="25" t="n">
        <f aca="false">IF(T68&gt;0,D68,C68)</f>
        <v>-0.0528907775878906</v>
      </c>
      <c r="D69" s="41" t="n">
        <f aca="false">(B69+C69)/2</f>
        <v>-0.0528936386108398</v>
      </c>
      <c r="E69" s="15" t="n">
        <f aca="false">$C$2*(1+IF(E$3&lt;=$O$2,$D69,$D69-($D69-$I$49)*MIN(E$3-$O$2,$Q$2)/$Q$2))</f>
        <v>6213.01773071289</v>
      </c>
      <c r="F69" s="15" t="n">
        <f aca="false">E69*(1+IF(F$3&lt;=$O$2,$D69,$D69-($D69-$I$49)*MIN(F$3-$O$2,$Q$2)/$Q$2))</f>
        <v>5884.38861618182</v>
      </c>
      <c r="G69" s="15" t="n">
        <f aca="false">F69*(1+IF(G$3&lt;=$O$2,$D69,$D69-($D69-$I$49)*MIN(G$3-$O$2,$Q$2)/$Q$2))</f>
        <v>5573.14189127176</v>
      </c>
      <c r="H69" s="15" t="n">
        <f aca="false">G69*(1+IF(H$3&lt;=$O$2,$D69,$D69-($D69-$I$49)*MIN(H$3-$O$2,$Q$2)/$Q$2))</f>
        <v>5278.3581381479</v>
      </c>
      <c r="I69" s="15" t="n">
        <f aca="false">H69*(1+IF(I$3&lt;=$O$2,$D69,$D69-($D69-$I$49)*MIN(I$3-$O$2,$Q$2)/$Q$2))</f>
        <v>4999.16657033012</v>
      </c>
      <c r="J69" s="15" t="n">
        <f aca="false">I69*(1+IF(J$3&lt;=$O$2,$D69,$D69-($D69-$I$49)*MIN(J$3-$O$2,$Q$2)/$Q$2))</f>
        <v>4805.92423203638</v>
      </c>
      <c r="K69" s="15" t="n">
        <f aca="false">J69*(1+IF(K$3&lt;=$O$2,$D69,$D69-($D69-$I$49)*MIN(K$3-$O$2,$Q$2)/$Q$2))</f>
        <v>4688.58190570264</v>
      </c>
      <c r="L69" s="15" t="n">
        <f aca="false">K69*(1+IF(L$3&lt;=$O$2,$D69,$D69-($D69-$I$49)*MIN(L$3-$O$2,$Q$2)/$Q$2))</f>
        <v>4640.86407226023</v>
      </c>
      <c r="M69" s="15" t="n">
        <f aca="false">L69*(1+IF(M$3&lt;=$O$2,$D69,$D69-($D69-$I$49)*MIN(M$3-$O$2,$Q$2)/$Q$2))</f>
        <v>4659.71188486209</v>
      </c>
      <c r="N69" s="15" t="n">
        <f aca="false">M69*(1+IF(N$3&lt;=$O$2,$D69,$D69-($D69-$I$49)*MIN(N$3-$O$2,$Q$2)/$Q$2))</f>
        <v>4744.98461235507</v>
      </c>
      <c r="O69" s="15" t="n">
        <f aca="false">SUMPRODUCT(E69:N69,1/(1+$F$49)^$E$3:$N$3)*$E$2</f>
        <v>11707.3573202505</v>
      </c>
      <c r="P69" s="15" t="n">
        <f aca="false">N69*$E$2*(1+$I$49)/($F$49-$I$49)/(1+$F$49)^$N$3</f>
        <v>14647.9947524613</v>
      </c>
      <c r="Q69" s="15" t="n">
        <f aca="false">O69+P69</f>
        <v>26355.3520727119</v>
      </c>
      <c r="R69" s="15" t="n">
        <f aca="false">Q69-$G$2+$I$2</f>
        <v>19010.1520727118</v>
      </c>
      <c r="S69" s="42" t="n">
        <f aca="false">R69/$K$2</f>
        <v>81.0149246652966</v>
      </c>
      <c r="T69" s="43" t="n">
        <f aca="false">S69-$M$2</f>
        <v>0.000648083152981371</v>
      </c>
    </row>
    <row r="70" customFormat="false" ht="15" hidden="false" customHeight="false" outlineLevel="0" collapsed="false">
      <c r="A70" s="5" t="n">
        <v>20</v>
      </c>
      <c r="B70" s="25" t="n">
        <f aca="false">IF(T69&gt;0,B69,D69)</f>
        <v>-0.0528964996337891</v>
      </c>
      <c r="C70" s="25" t="n">
        <f aca="false">IF(T69&gt;0,D69,C69)</f>
        <v>-0.0528936386108398</v>
      </c>
      <c r="D70" s="41" t="n">
        <f aca="false">(B70+C70)/2</f>
        <v>-0.0528950691223145</v>
      </c>
      <c r="E70" s="15" t="n">
        <f aca="false">$C$2*(1+IF(E$3&lt;=$O$2,$D70,$D70-($D70-$I$49)*MIN(E$3-$O$2,$Q$2)/$Q$2))</f>
        <v>6213.00834655762</v>
      </c>
      <c r="F70" s="15" t="n">
        <f aca="false">E70*(1+IF(F$3&lt;=$O$2,$D70,$D70-($D70-$I$49)*MIN(F$3-$O$2,$Q$2)/$Q$2))</f>
        <v>5884.37084060894</v>
      </c>
      <c r="G70" s="15" t="n">
        <f aca="false">F70*(1+IF(G$3&lt;=$O$2,$D70,$D70-($D70-$I$49)*MIN(G$3-$O$2,$Q$2)/$Q$2))</f>
        <v>5573.11663825359</v>
      </c>
      <c r="H70" s="15" t="n">
        <f aca="false">G70*(1+IF(H$3&lt;=$O$2,$D70,$D70-($D70-$I$49)*MIN(H$3-$O$2,$Q$2)/$Q$2))</f>
        <v>5278.32624844645</v>
      </c>
      <c r="I70" s="15" t="n">
        <f aca="false">H70*(1+IF(I$3&lt;=$O$2,$D70,$D70-($D70-$I$49)*MIN(I$3-$O$2,$Q$2)/$Q$2))</f>
        <v>4999.12881668475</v>
      </c>
      <c r="J70" s="15" t="n">
        <f aca="false">I70*(1+IF(J$3&lt;=$O$2,$D70,$D70-($D70-$I$49)*MIN(J$3-$O$2,$Q$2)/$Q$2))</f>
        <v>4805.8822167059</v>
      </c>
      <c r="K70" s="15" t="n">
        <f aca="false">J70*(1+IF(K$3&lt;=$O$2,$D70,$D70-($D70-$I$49)*MIN(K$3-$O$2,$Q$2)/$Q$2))</f>
        <v>4688.53679130437</v>
      </c>
      <c r="L70" s="15" t="n">
        <f aca="false">K70*(1+IF(L$3&lt;=$O$2,$D70,$D70-($D70-$I$49)*MIN(L$3-$O$2,$Q$2)/$Q$2))</f>
        <v>4640.81673420947</v>
      </c>
      <c r="M70" s="15" t="n">
        <f aca="false">L70*(1+IF(M$3&lt;=$O$2,$D70,$D70-($D70-$I$49)*MIN(M$3-$O$2,$Q$2)/$Q$2))</f>
        <v>4659.66302681029</v>
      </c>
      <c r="N70" s="15" t="n">
        <f aca="false">M70*(1+IF(N$3&lt;=$O$2,$D70,$D70-($D70-$I$49)*MIN(N$3-$O$2,$Q$2)/$Q$2))</f>
        <v>4744.93486020092</v>
      </c>
      <c r="O70" s="15" t="n">
        <f aca="false">SUMPRODUCT(E70:N70,1/(1+$F$49)^$E$3:$N$3)*$E$2</f>
        <v>11707.2838536959</v>
      </c>
      <c r="P70" s="15" t="n">
        <f aca="false">N70*$E$2*(1+$I$49)/($F$49-$I$49)/(1+$F$49)^$N$3</f>
        <v>14647.8411651787</v>
      </c>
      <c r="Q70" s="15" t="n">
        <f aca="false">O70+P70</f>
        <v>26355.1250188746</v>
      </c>
      <c r="R70" s="15" t="n">
        <f aca="false">Q70-$G$2+$I$2</f>
        <v>19009.9250188746</v>
      </c>
      <c r="S70" s="42" t="n">
        <f aca="false">R70/$K$2</f>
        <v>81.0139570376075</v>
      </c>
      <c r="T70" s="43" t="n">
        <f aca="false">S70-$M$2</f>
        <v>-0.000319544536083072</v>
      </c>
    </row>
    <row r="71" customFormat="false" ht="15" hidden="false" customHeight="false" outlineLevel="0" collapsed="false">
      <c r="A71" s="5" t="n">
        <v>21</v>
      </c>
      <c r="B71" s="25" t="n">
        <f aca="false">IF(T70&gt;0,B70,D70)</f>
        <v>-0.0528950691223145</v>
      </c>
      <c r="C71" s="25" t="n">
        <f aca="false">IF(T70&gt;0,D70,C70)</f>
        <v>-0.0528936386108398</v>
      </c>
      <c r="D71" s="41" t="n">
        <f aca="false">(B71+C71)/2</f>
        <v>-0.0528943538665772</v>
      </c>
      <c r="E71" s="15" t="n">
        <f aca="false">$C$2*(1+IF(E$3&lt;=$O$2,$D71,$D71-($D71-$I$49)*MIN(E$3-$O$2,$Q$2)/$Q$2))</f>
        <v>6213.01303863525</v>
      </c>
      <c r="F71" s="15" t="n">
        <f aca="false">E71*(1+IF(F$3&lt;=$O$2,$D71,$D71-($D71-$I$49)*MIN(F$3-$O$2,$Q$2)/$Q$2))</f>
        <v>5884.37972839202</v>
      </c>
      <c r="G71" s="15" t="n">
        <f aca="false">F71*(1+IF(G$3&lt;=$O$2,$D71,$D71-($D71-$I$49)*MIN(G$3-$O$2,$Q$2)/$Q$2))</f>
        <v>5573.12926475314</v>
      </c>
      <c r="H71" s="15" t="n">
        <f aca="false">G71*(1+IF(H$3&lt;=$O$2,$D71,$D71-($D71-$I$49)*MIN(H$3-$O$2,$Q$2)/$Q$2))</f>
        <v>5278.34219327911</v>
      </c>
      <c r="I71" s="15" t="n">
        <f aca="false">H71*(1+IF(I$3&lt;=$O$2,$D71,$D71-($D71-$I$49)*MIN(I$3-$O$2,$Q$2)/$Q$2))</f>
        <v>4999.14769347892</v>
      </c>
      <c r="J71" s="15" t="n">
        <f aca="false">I71*(1+IF(J$3&lt;=$O$2,$D71,$D71-($D71-$I$49)*MIN(J$3-$O$2,$Q$2)/$Q$2))</f>
        <v>4805.90322433293</v>
      </c>
      <c r="K71" s="15" t="n">
        <f aca="false">J71*(1+IF(K$3&lt;=$O$2,$D71,$D71-($D71-$I$49)*MIN(K$3-$O$2,$Q$2)/$Q$2))</f>
        <v>4688.55934845721</v>
      </c>
      <c r="L71" s="15" t="n">
        <f aca="false">K71*(1+IF(L$3&lt;=$O$2,$D71,$D71-($D71-$I$49)*MIN(L$3-$O$2,$Q$2)/$Q$2))</f>
        <v>4640.84040318257</v>
      </c>
      <c r="M71" s="15" t="n">
        <f aca="false">L71*(1+IF(M$3&lt;=$O$2,$D71,$D71-($D71-$I$49)*MIN(M$3-$O$2,$Q$2)/$Q$2))</f>
        <v>4659.68745578032</v>
      </c>
      <c r="N71" s="15" t="n">
        <f aca="false">M71*(1+IF(N$3&lt;=$O$2,$D71,$D71-($D71-$I$49)*MIN(N$3-$O$2,$Q$2)/$Q$2))</f>
        <v>4744.9597362211</v>
      </c>
      <c r="O71" s="15" t="n">
        <f aca="false">SUMPRODUCT(E71:N71,1/(1+$F$49)^$E$3:$N$3)*$E$2</f>
        <v>11707.3205869134</v>
      </c>
      <c r="P71" s="15" t="n">
        <f aca="false">N71*$E$2*(1+$I$49)/($F$49-$I$49)/(1+$F$49)^$N$3</f>
        <v>14647.9179586444</v>
      </c>
      <c r="Q71" s="15" t="n">
        <f aca="false">O71+P71</f>
        <v>26355.2385455578</v>
      </c>
      <c r="R71" s="15" t="n">
        <f aca="false">Q71-$G$2+$I$2</f>
        <v>19010.0385455578</v>
      </c>
      <c r="S71" s="42" t="n">
        <f aca="false">R71/$K$2</f>
        <v>81.0144408504486</v>
      </c>
      <c r="T71" s="43" t="n">
        <f aca="false">S71-$M$2</f>
        <v>0.00016426830495675</v>
      </c>
    </row>
    <row r="72" customFormat="false" ht="15" hidden="false" customHeight="false" outlineLevel="0" collapsed="false">
      <c r="A72" s="5" t="n">
        <v>22</v>
      </c>
      <c r="B72" s="25" t="n">
        <f aca="false">IF(T71&gt;0,B71,D71)</f>
        <v>-0.0528950691223145</v>
      </c>
      <c r="C72" s="25" t="n">
        <f aca="false">IF(T71&gt;0,D71,C71)</f>
        <v>-0.0528943538665772</v>
      </c>
      <c r="D72" s="41" t="n">
        <f aca="false">(B72+C72)/2</f>
        <v>-0.0528947114944458</v>
      </c>
      <c r="E72" s="15" t="n">
        <f aca="false">$C$2*(1+IF(E$3&lt;=$O$2,$D72,$D72-($D72-$I$49)*MIN(E$3-$O$2,$Q$2)/$Q$2))</f>
        <v>6213.01069259644</v>
      </c>
      <c r="F72" s="15" t="n">
        <f aca="false">E72*(1+IF(F$3&lt;=$O$2,$D72,$D72-($D72-$I$49)*MIN(F$3-$O$2,$Q$2)/$Q$2))</f>
        <v>5884.37528449964</v>
      </c>
      <c r="G72" s="15" t="n">
        <f aca="false">F72*(1+IF(G$3&lt;=$O$2,$D72,$D72-($D72-$I$49)*MIN(G$3-$O$2,$Q$2)/$Q$2))</f>
        <v>5573.12295150098</v>
      </c>
      <c r="H72" s="15" t="n">
        <f aca="false">G72*(1+IF(H$3&lt;=$O$2,$D72,$D72-($D72-$I$49)*MIN(H$3-$O$2,$Q$2)/$Q$2))</f>
        <v>5278.33422085826</v>
      </c>
      <c r="I72" s="15" t="n">
        <f aca="false">H72*(1+IF(I$3&lt;=$O$2,$D72,$D72-($D72-$I$49)*MIN(I$3-$O$2,$Q$2)/$Q$2))</f>
        <v>4999.13825507471</v>
      </c>
      <c r="J72" s="15" t="n">
        <f aca="false">I72*(1+IF(J$3&lt;=$O$2,$D72,$D72-($D72-$I$49)*MIN(J$3-$O$2,$Q$2)/$Q$2))</f>
        <v>4805.89272050986</v>
      </c>
      <c r="K72" s="15" t="n">
        <f aca="false">J72*(1+IF(K$3&lt;=$O$2,$D72,$D72-($D72-$I$49)*MIN(K$3-$O$2,$Q$2)/$Q$2))</f>
        <v>4688.54806986922</v>
      </c>
      <c r="L72" s="15" t="n">
        <f aca="false">K72*(1+IF(L$3&lt;=$O$2,$D72,$D72-($D72-$I$49)*MIN(L$3-$O$2,$Q$2)/$Q$2))</f>
        <v>4640.82856868295</v>
      </c>
      <c r="M72" s="15" t="n">
        <f aca="false">L72*(1+IF(M$3&lt;=$O$2,$D72,$D72-($D72-$I$49)*MIN(M$3-$O$2,$Q$2)/$Q$2))</f>
        <v>4659.67524128134</v>
      </c>
      <c r="N72" s="15" t="n">
        <f aca="false">M72*(1+IF(N$3&lt;=$O$2,$D72,$D72-($D72-$I$49)*MIN(N$3-$O$2,$Q$2)/$Q$2))</f>
        <v>4744.94729819679</v>
      </c>
      <c r="O72" s="15" t="n">
        <f aca="false">SUMPRODUCT(E72:N72,1/(1+$F$49)^$E$3:$N$3)*$E$2</f>
        <v>11707.3022202897</v>
      </c>
      <c r="P72" s="15" t="n">
        <f aca="false">N72*$E$2*(1+$I$49)/($F$49-$I$49)/(1+$F$49)^$N$3</f>
        <v>14647.8795618676</v>
      </c>
      <c r="Q72" s="15" t="n">
        <f aca="false">O72+P72</f>
        <v>26355.1817821573</v>
      </c>
      <c r="R72" s="15" t="n">
        <f aca="false">Q72-$G$2+$I$2</f>
        <v>19009.9817821573</v>
      </c>
      <c r="S72" s="42" t="n">
        <f aca="false">R72/$K$2</f>
        <v>81.0141989437772</v>
      </c>
      <c r="T72" s="43" t="n">
        <f aca="false">S72-$M$2</f>
        <v>-7.76383664629066E-005</v>
      </c>
    </row>
    <row r="73" customFormat="false" ht="15" hidden="false" customHeight="false" outlineLevel="0" collapsed="false">
      <c r="A73" s="5" t="n">
        <v>23</v>
      </c>
      <c r="B73" s="25" t="n">
        <f aca="false">IF(T72&gt;0,B72,D72)</f>
        <v>-0.0528947114944458</v>
      </c>
      <c r="C73" s="25" t="n">
        <f aca="false">IF(T72&gt;0,D72,C72)</f>
        <v>-0.0528943538665772</v>
      </c>
      <c r="D73" s="41" t="n">
        <f aca="false">(B73+C73)/2</f>
        <v>-0.0528945326805115</v>
      </c>
      <c r="E73" s="15" t="n">
        <f aca="false">$C$2*(1+IF(E$3&lt;=$O$2,$D73,$D73-($D73-$I$49)*MIN(E$3-$O$2,$Q$2)/$Q$2))</f>
        <v>6213.01186561585</v>
      </c>
      <c r="F73" s="15" t="n">
        <f aca="false">E73*(1+IF(F$3&lt;=$O$2,$D73,$D73-($D73-$I$49)*MIN(F$3-$O$2,$Q$2)/$Q$2))</f>
        <v>5884.37750644562</v>
      </c>
      <c r="G73" s="15" t="n">
        <f aca="false">F73*(1+IF(G$3&lt;=$O$2,$D73,$D73-($D73-$I$49)*MIN(G$3-$O$2,$Q$2)/$Q$2))</f>
        <v>5573.12610812647</v>
      </c>
      <c r="H73" s="15" t="n">
        <f aca="false">G73*(1+IF(H$3&lt;=$O$2,$D73,$D73-($D73-$I$49)*MIN(H$3-$O$2,$Q$2)/$Q$2))</f>
        <v>5278.33820706756</v>
      </c>
      <c r="I73" s="15" t="n">
        <f aca="false">H73*(1+IF(I$3&lt;=$O$2,$D73,$D73-($D73-$I$49)*MIN(I$3-$O$2,$Q$2)/$Q$2))</f>
        <v>4999.14297427503</v>
      </c>
      <c r="J73" s="15" t="n">
        <f aca="false">I73*(1+IF(J$3&lt;=$O$2,$D73,$D73-($D73-$I$49)*MIN(J$3-$O$2,$Q$2)/$Q$2))</f>
        <v>4805.89797241901</v>
      </c>
      <c r="K73" s="15" t="n">
        <f aca="false">J73*(1+IF(K$3&lt;=$O$2,$D73,$D73-($D73-$I$49)*MIN(K$3-$O$2,$Q$2)/$Q$2))</f>
        <v>4688.55370916032</v>
      </c>
      <c r="L73" s="15" t="n">
        <f aca="false">K73*(1+IF(L$3&lt;=$O$2,$D73,$D73-($D73-$I$49)*MIN(L$3-$O$2,$Q$2)/$Q$2))</f>
        <v>4640.8344859295</v>
      </c>
      <c r="M73" s="15" t="n">
        <f aca="false">L73*(1+IF(M$3&lt;=$O$2,$D73,$D73-($D73-$I$49)*MIN(M$3-$O$2,$Q$2)/$Q$2))</f>
        <v>4659.68134852734</v>
      </c>
      <c r="N73" s="15" t="n">
        <f aca="false">M73*(1+IF(N$3&lt;=$O$2,$D73,$D73-($D73-$I$49)*MIN(N$3-$O$2,$Q$2)/$Q$2))</f>
        <v>4744.95351720539</v>
      </c>
      <c r="O73" s="15" t="n">
        <f aca="false">SUMPRODUCT(E73:N73,1/(1+$F$49)^$E$3:$N$3)*$E$2</f>
        <v>11707.3114035978</v>
      </c>
      <c r="P73" s="15" t="n">
        <f aca="false">N73*$E$2*(1+$I$49)/($F$49-$I$49)/(1+$F$49)^$N$3</f>
        <v>14647.898760245</v>
      </c>
      <c r="Q73" s="15" t="n">
        <f aca="false">O73+P73</f>
        <v>26355.2101638428</v>
      </c>
      <c r="R73" s="15" t="n">
        <f aca="false">Q73-$G$2+$I$2</f>
        <v>19010.0101638428</v>
      </c>
      <c r="S73" s="42" t="n">
        <f aca="false">R73/$K$2</f>
        <v>81.0143198970502</v>
      </c>
      <c r="T73" s="43" t="n">
        <f aca="false">S73-$M$2</f>
        <v>4.33149065486305E-005</v>
      </c>
    </row>
    <row r="74" customFormat="false" ht="15" hidden="false" customHeight="false" outlineLevel="0" collapsed="false">
      <c r="A74" s="5" t="n">
        <v>24</v>
      </c>
      <c r="B74" s="25" t="n">
        <f aca="false">IF(T73&gt;0,B73,D73)</f>
        <v>-0.0528947114944458</v>
      </c>
      <c r="C74" s="25" t="n">
        <f aca="false">IF(T73&gt;0,D73,C73)</f>
        <v>-0.0528945326805115</v>
      </c>
      <c r="D74" s="41" t="n">
        <f aca="false">(B74+C74)/2</f>
        <v>-0.0528946220874786</v>
      </c>
      <c r="E74" s="15" t="n">
        <f aca="false">$C$2*(1+IF(E$3&lt;=$O$2,$D74,$D74-($D74-$I$49)*MIN(E$3-$O$2,$Q$2)/$Q$2))</f>
        <v>6213.01127910614</v>
      </c>
      <c r="F74" s="15" t="n">
        <f aca="false">E74*(1+IF(F$3&lt;=$O$2,$D74,$D74-($D74-$I$49)*MIN(F$3-$O$2,$Q$2)/$Q$2))</f>
        <v>5884.37639547258</v>
      </c>
      <c r="G74" s="15" t="n">
        <f aca="false">F74*(1+IF(G$3&lt;=$O$2,$D74,$D74-($D74-$I$49)*MIN(G$3-$O$2,$Q$2)/$Q$2))</f>
        <v>5573.12452981358</v>
      </c>
      <c r="H74" s="15" t="n">
        <f aca="false">G74*(1+IF(H$3&lt;=$O$2,$D74,$D74-($D74-$I$49)*MIN(H$3-$O$2,$Q$2)/$Q$2))</f>
        <v>5278.33621396263</v>
      </c>
      <c r="I74" s="15" t="n">
        <f aca="false">H74*(1+IF(I$3&lt;=$O$2,$D74,$D74-($D74-$I$49)*MIN(I$3-$O$2,$Q$2)/$Q$2))</f>
        <v>4999.14061467443</v>
      </c>
      <c r="J74" s="15" t="n">
        <f aca="false">I74*(1+IF(J$3&lt;=$O$2,$D74,$D74-($D74-$I$49)*MIN(J$3-$O$2,$Q$2)/$Q$2))</f>
        <v>4805.89534646384</v>
      </c>
      <c r="K74" s="15" t="n">
        <f aca="false">J74*(1+IF(K$3&lt;=$O$2,$D74,$D74-($D74-$I$49)*MIN(K$3-$O$2,$Q$2)/$Q$2))</f>
        <v>4688.55088951405</v>
      </c>
      <c r="L74" s="15" t="n">
        <f aca="false">K74*(1+IF(L$3&lt;=$O$2,$D74,$D74-($D74-$I$49)*MIN(L$3-$O$2,$Q$2)/$Q$2))</f>
        <v>4640.83152730541</v>
      </c>
      <c r="M74" s="15" t="n">
        <f aca="false">L74*(1+IF(M$3&lt;=$O$2,$D74,$D74-($D74-$I$49)*MIN(M$3-$O$2,$Q$2)/$Q$2))</f>
        <v>4659.67829490347</v>
      </c>
      <c r="N74" s="15" t="n">
        <f aca="false">M74*(1+IF(N$3&lt;=$O$2,$D74,$D74-($D74-$I$49)*MIN(N$3-$O$2,$Q$2)/$Q$2))</f>
        <v>4744.9504077002</v>
      </c>
      <c r="O74" s="15" t="n">
        <f aca="false">SUMPRODUCT(E74:N74,1/(1+$F$49)^$E$3:$N$3)*$E$2</f>
        <v>11707.3068119428</v>
      </c>
      <c r="P74" s="15" t="n">
        <f aca="false">N74*$E$2*(1+$I$49)/($F$49-$I$49)/(1+$F$49)^$N$3</f>
        <v>14647.8891610536</v>
      </c>
      <c r="Q74" s="15" t="n">
        <f aca="false">O74+P74</f>
        <v>26355.1959729964</v>
      </c>
      <c r="R74" s="15" t="n">
        <f aca="false">Q74-$G$2+$I$2</f>
        <v>19009.9959729964</v>
      </c>
      <c r="S74" s="42" t="n">
        <f aca="false">R74/$K$2</f>
        <v>81.014259420398</v>
      </c>
      <c r="T74" s="43" t="n">
        <f aca="false">S74-$M$2</f>
        <v>-1.71617455890782E-005</v>
      </c>
    </row>
    <row r="76" customFormat="false" ht="15" hidden="false" customHeight="false" outlineLevel="0" collapsed="false">
      <c r="A76" s="38" t="s">
        <v>184</v>
      </c>
      <c r="E76" s="5" t="s">
        <v>11</v>
      </c>
      <c r="F76" s="12" t="n">
        <f aca="false">Sensitivity!$B$10</f>
        <v>0.0712368036285737</v>
      </c>
      <c r="G76" s="5" t="s">
        <v>12</v>
      </c>
      <c r="I76" s="12" t="n">
        <f aca="false">Sensitivity!$D$9</f>
        <v>0.0233</v>
      </c>
    </row>
    <row r="77" customFormat="false" ht="23.85" hidden="false" customHeight="false" outlineLevel="0" collapsed="false">
      <c r="A77" s="38" t="s">
        <v>163</v>
      </c>
      <c r="B77" s="28" t="s">
        <v>164</v>
      </c>
      <c r="C77" s="28" t="s">
        <v>165</v>
      </c>
      <c r="D77" s="28" t="s">
        <v>166</v>
      </c>
      <c r="E77" s="28" t="s">
        <v>167</v>
      </c>
      <c r="F77" s="28" t="s">
        <v>168</v>
      </c>
      <c r="G77" s="28" t="s">
        <v>169</v>
      </c>
      <c r="H77" s="28" t="s">
        <v>170</v>
      </c>
      <c r="I77" s="28" t="s">
        <v>171</v>
      </c>
      <c r="J77" s="28" t="s">
        <v>172</v>
      </c>
      <c r="K77" s="28" t="s">
        <v>173</v>
      </c>
      <c r="L77" s="28" t="s">
        <v>174</v>
      </c>
      <c r="M77" s="28" t="s">
        <v>175</v>
      </c>
      <c r="N77" s="28" t="s">
        <v>176</v>
      </c>
      <c r="O77" s="28" t="s">
        <v>177</v>
      </c>
      <c r="P77" s="28" t="s">
        <v>178</v>
      </c>
      <c r="Q77" s="28" t="s">
        <v>179</v>
      </c>
      <c r="R77" s="28" t="s">
        <v>180</v>
      </c>
      <c r="S77" s="28" t="s">
        <v>181</v>
      </c>
      <c r="T77" s="28" t="s">
        <v>182</v>
      </c>
    </row>
    <row r="78" customFormat="false" ht="15" hidden="false" customHeight="false" outlineLevel="0" collapsed="false">
      <c r="A78" s="5" t="n">
        <v>1</v>
      </c>
      <c r="B78" s="24" t="n">
        <v>-0.5</v>
      </c>
      <c r="C78" s="24" t="n">
        <v>1</v>
      </c>
      <c r="D78" s="41" t="n">
        <f aca="false">(B78+C78)/2</f>
        <v>0.25</v>
      </c>
      <c r="E78" s="15" t="n">
        <f aca="false">$C$2*(1+IF(E$3&lt;=$O$2,$D78,$D78-($D78-$I$76)*MIN(E$3-$O$2,$Q$2)/$Q$2))</f>
        <v>8200</v>
      </c>
      <c r="F78" s="15" t="n">
        <f aca="false">E78*(1+IF(F$3&lt;=$O$2,$D78,$D78-($D78-$I$76)*MIN(F$3-$O$2,$Q$2)/$Q$2))</f>
        <v>10250</v>
      </c>
      <c r="G78" s="15" t="n">
        <f aca="false">F78*(1+IF(G$3&lt;=$O$2,$D78,$D78-($D78-$I$76)*MIN(G$3-$O$2,$Q$2)/$Q$2))</f>
        <v>12812.5</v>
      </c>
      <c r="H78" s="15" t="n">
        <f aca="false">G78*(1+IF(H$3&lt;=$O$2,$D78,$D78-($D78-$I$76)*MIN(H$3-$O$2,$Q$2)/$Q$2))</f>
        <v>16015.625</v>
      </c>
      <c r="I78" s="15" t="n">
        <f aca="false">H78*(1+IF(I$3&lt;=$O$2,$D78,$D78-($D78-$I$76)*MIN(I$3-$O$2,$Q$2)/$Q$2))</f>
        <v>20019.53125</v>
      </c>
      <c r="J78" s="15" t="n">
        <f aca="false">I78*(1+IF(J$3&lt;=$O$2,$D78,$D78-($D78-$I$76)*MIN(J$3-$O$2,$Q$2)/$Q$2))</f>
        <v>24116.728515625</v>
      </c>
      <c r="K78" s="15" t="n">
        <f aca="false">J78*(1+IF(K$3&lt;=$O$2,$D78,$D78-($D78-$I$76)*MIN(K$3-$O$2,$Q$2)/$Q$2))</f>
        <v>27959.0057027344</v>
      </c>
      <c r="L78" s="15" t="n">
        <f aca="false">K78*(1+IF(L$3&lt;=$O$2,$D78,$D78-($D78-$I$76)*MIN(L$3-$O$2,$Q$2)/$Q$2))</f>
        <v>31145.773172732</v>
      </c>
      <c r="M78" s="15" t="n">
        <f aca="false">L78*(1+IF(M$3&lt;=$O$2,$D78,$D78-($D78-$I$76)*MIN(M$3-$O$2,$Q$2)/$Q$2))</f>
        <v>33283.6190433084</v>
      </c>
      <c r="N78" s="15" t="n">
        <f aca="false">M78*(1+IF(N$3&lt;=$O$2,$D78,$D78-($D78-$I$76)*MIN(N$3-$O$2,$Q$2)/$Q$2))</f>
        <v>34059.1273670174</v>
      </c>
      <c r="O78" s="15" t="n">
        <f aca="false">SUMPRODUCT(E78:N78,1/(1+$F$76)^$E$3:$N$3)*$E$2</f>
        <v>44577.9178834442</v>
      </c>
      <c r="P78" s="15" t="n">
        <f aca="false">N78*$E$2*(1+$I$76)/($F$76-$I$76)/(1+$F$76)^$N$3</f>
        <v>116679.015657823</v>
      </c>
      <c r="Q78" s="15" t="n">
        <f aca="false">O78+P78</f>
        <v>161256.933541267</v>
      </c>
      <c r="R78" s="15" t="n">
        <f aca="false">Q78-$G$2+$I$2</f>
        <v>153911.733541267</v>
      </c>
      <c r="S78" s="42" t="n">
        <f aca="false">R78/$K$2</f>
        <v>655.920449781664</v>
      </c>
      <c r="T78" s="43" t="n">
        <f aca="false">S78-$M$2</f>
        <v>574.90617319952</v>
      </c>
    </row>
    <row r="79" customFormat="false" ht="15" hidden="false" customHeight="false" outlineLevel="0" collapsed="false">
      <c r="A79" s="5" t="n">
        <v>2</v>
      </c>
      <c r="B79" s="25" t="n">
        <f aca="false">IF(T78&gt;0,B78,D78)</f>
        <v>-0.5</v>
      </c>
      <c r="C79" s="25" t="n">
        <f aca="false">IF(T78&gt;0,D78,C78)</f>
        <v>0.25</v>
      </c>
      <c r="D79" s="41" t="n">
        <f aca="false">(B79+C79)/2</f>
        <v>-0.125</v>
      </c>
      <c r="E79" s="15" t="n">
        <f aca="false">$C$2*(1+IF(E$3&lt;=$O$2,$D79,$D79-($D79-$I$76)*MIN(E$3-$O$2,$Q$2)/$Q$2))</f>
        <v>5740</v>
      </c>
      <c r="F79" s="15" t="n">
        <f aca="false">E79*(1+IF(F$3&lt;=$O$2,$D79,$D79-($D79-$I$76)*MIN(F$3-$O$2,$Q$2)/$Q$2))</f>
        <v>5022.5</v>
      </c>
      <c r="G79" s="15" t="n">
        <f aca="false">F79*(1+IF(G$3&lt;=$O$2,$D79,$D79-($D79-$I$76)*MIN(G$3-$O$2,$Q$2)/$Q$2))</f>
        <v>4394.6875</v>
      </c>
      <c r="H79" s="15" t="n">
        <f aca="false">G79*(1+IF(H$3&lt;=$O$2,$D79,$D79-($D79-$I$76)*MIN(H$3-$O$2,$Q$2)/$Q$2))</f>
        <v>3845.3515625</v>
      </c>
      <c r="I79" s="15" t="n">
        <f aca="false">H79*(1+IF(I$3&lt;=$O$2,$D79,$D79-($D79-$I$76)*MIN(I$3-$O$2,$Q$2)/$Q$2))</f>
        <v>3364.6826171875</v>
      </c>
      <c r="J79" s="15" t="n">
        <f aca="false">I79*(1+IF(J$3&lt;=$O$2,$D79,$D79-($D79-$I$76)*MIN(J$3-$O$2,$Q$2)/$Q$2))</f>
        <v>3043.89377646484</v>
      </c>
      <c r="K79" s="15" t="n">
        <f aca="false">J79*(1+IF(K$3&lt;=$O$2,$D79,$D79-($D79-$I$76)*MIN(K$3-$O$2,$Q$2)/$Q$2))</f>
        <v>2843.97083322663</v>
      </c>
      <c r="L79" s="15" t="n">
        <f aca="false">K79*(1+IF(L$3&lt;=$O$2,$D79,$D79-($D79-$I$76)*MIN(L$3-$O$2,$Q$2)/$Q$2))</f>
        <v>2741.53100381381</v>
      </c>
      <c r="M79" s="15" t="n">
        <f aca="false">L79*(1+IF(M$3&lt;=$O$2,$D79,$D79-($D79-$I$76)*MIN(M$3-$O$2,$Q$2)/$Q$2))</f>
        <v>2724.09486662955</v>
      </c>
      <c r="N79" s="15" t="n">
        <f aca="false">M79*(1+IF(N$3&lt;=$O$2,$D79,$D79-($D79-$I$76)*MIN(N$3-$O$2,$Q$2)/$Q$2))</f>
        <v>2787.56627702202</v>
      </c>
      <c r="O79" s="15" t="n">
        <f aca="false">SUMPRODUCT(E79:N79,1/(1+$F$76)^$E$3:$N$3)*$E$2</f>
        <v>8569.82483472605</v>
      </c>
      <c r="P79" s="15" t="n">
        <f aca="false">N79*$E$2*(1+$I$76)/($F$76-$I$76)/(1+$F$76)^$N$3</f>
        <v>9549.58375119271</v>
      </c>
      <c r="Q79" s="15" t="n">
        <f aca="false">O79+P79</f>
        <v>18119.4085859188</v>
      </c>
      <c r="R79" s="15" t="n">
        <f aca="false">Q79-$G$2+$I$2</f>
        <v>10774.2085859188</v>
      </c>
      <c r="S79" s="42" t="n">
        <f aca="false">R79/$K$2</f>
        <v>45.9160817639836</v>
      </c>
      <c r="T79" s="43" t="n">
        <f aca="false">S79-$M$2</f>
        <v>-35.09819481816</v>
      </c>
    </row>
    <row r="80" customFormat="false" ht="15" hidden="false" customHeight="false" outlineLevel="0" collapsed="false">
      <c r="A80" s="5" t="n">
        <v>3</v>
      </c>
      <c r="B80" s="25" t="n">
        <f aca="false">IF(T79&gt;0,B79,D79)</f>
        <v>-0.125</v>
      </c>
      <c r="C80" s="25" t="n">
        <f aca="false">IF(T79&gt;0,D79,C79)</f>
        <v>0.25</v>
      </c>
      <c r="D80" s="41" t="n">
        <f aca="false">(B80+C80)/2</f>
        <v>0.0625</v>
      </c>
      <c r="E80" s="15" t="n">
        <f aca="false">$C$2*(1+IF(E$3&lt;=$O$2,$D80,$D80-($D80-$I$76)*MIN(E$3-$O$2,$Q$2)/$Q$2))</f>
        <v>6970</v>
      </c>
      <c r="F80" s="15" t="n">
        <f aca="false">E80*(1+IF(F$3&lt;=$O$2,$D80,$D80-($D80-$I$76)*MIN(F$3-$O$2,$Q$2)/$Q$2))</f>
        <v>7405.625</v>
      </c>
      <c r="G80" s="15" t="n">
        <f aca="false">F80*(1+IF(G$3&lt;=$O$2,$D80,$D80-($D80-$I$76)*MIN(G$3-$O$2,$Q$2)/$Q$2))</f>
        <v>7868.4765625</v>
      </c>
      <c r="H80" s="15" t="n">
        <f aca="false">G80*(1+IF(H$3&lt;=$O$2,$D80,$D80-($D80-$I$76)*MIN(H$3-$O$2,$Q$2)/$Q$2))</f>
        <v>8360.25634765625</v>
      </c>
      <c r="I80" s="15" t="n">
        <f aca="false">H80*(1+IF(I$3&lt;=$O$2,$D80,$D80-($D80-$I$76)*MIN(I$3-$O$2,$Q$2)/$Q$2))</f>
        <v>8882.77236938477</v>
      </c>
      <c r="J80" s="15" t="n">
        <f aca="false">I80*(1+IF(J$3&lt;=$O$2,$D80,$D80-($D80-$I$76)*MIN(J$3-$O$2,$Q$2)/$Q$2))</f>
        <v>9368.30470709534</v>
      </c>
      <c r="K80" s="15" t="n">
        <f aca="false">J80*(1+IF(K$3&lt;=$O$2,$D80,$D80-($D80-$I$76)*MIN(K$3-$O$2,$Q$2)/$Q$2))</f>
        <v>9806.92873348154</v>
      </c>
      <c r="L80" s="15" t="n">
        <f aca="false">K80*(1+IF(L$3&lt;=$O$2,$D80,$D80-($D80-$I$76)*MIN(L$3-$O$2,$Q$2)/$Q$2))</f>
        <v>10189.2028155127</v>
      </c>
      <c r="M80" s="15" t="n">
        <f aca="false">L80*(1+IF(M$3&lt;=$O$2,$D80,$D80-($D80-$I$76)*MIN(M$3-$O$2,$Q$2)/$Q$2))</f>
        <v>10506.4945911877</v>
      </c>
      <c r="N80" s="15" t="n">
        <f aca="false">M80*(1+IF(N$3&lt;=$O$2,$D80,$D80-($D80-$I$76)*MIN(N$3-$O$2,$Q$2)/$Q$2))</f>
        <v>10751.2959151624</v>
      </c>
      <c r="O80" s="15" t="n">
        <f aca="false">SUMPRODUCT(E80:N80,1/(1+$F$76)^$E$3:$N$3)*$E$2</f>
        <v>19544.0559859126</v>
      </c>
      <c r="P80" s="15" t="n">
        <f aca="false">N80*$E$2*(1+$I$76)/($F$76-$I$76)/(1+$F$76)^$N$3</f>
        <v>36831.5550457092</v>
      </c>
      <c r="Q80" s="15" t="n">
        <f aca="false">O80+P80</f>
        <v>56375.6110316218</v>
      </c>
      <c r="R80" s="15" t="n">
        <f aca="false">Q80-$G$2+$I$2</f>
        <v>49030.4110316218</v>
      </c>
      <c r="S80" s="42" t="n">
        <f aca="false">R80/$K$2</f>
        <v>208.951250933824</v>
      </c>
      <c r="T80" s="43" t="n">
        <f aca="false">S80-$M$2</f>
        <v>127.93697435168</v>
      </c>
    </row>
    <row r="81" customFormat="false" ht="15" hidden="false" customHeight="false" outlineLevel="0" collapsed="false">
      <c r="A81" s="5" t="n">
        <v>4</v>
      </c>
      <c r="B81" s="25" t="n">
        <f aca="false">IF(T80&gt;0,B80,D80)</f>
        <v>-0.125</v>
      </c>
      <c r="C81" s="25" t="n">
        <f aca="false">IF(T80&gt;0,D80,C80)</f>
        <v>0.0625</v>
      </c>
      <c r="D81" s="41" t="n">
        <f aca="false">(B81+C81)/2</f>
        <v>-0.03125</v>
      </c>
      <c r="E81" s="15" t="n">
        <f aca="false">$C$2*(1+IF(E$3&lt;=$O$2,$D81,$D81-($D81-$I$76)*MIN(E$3-$O$2,$Q$2)/$Q$2))</f>
        <v>6355</v>
      </c>
      <c r="F81" s="15" t="n">
        <f aca="false">E81*(1+IF(F$3&lt;=$O$2,$D81,$D81-($D81-$I$76)*MIN(F$3-$O$2,$Q$2)/$Q$2))</f>
        <v>6156.40625</v>
      </c>
      <c r="G81" s="15" t="n">
        <f aca="false">F81*(1+IF(G$3&lt;=$O$2,$D81,$D81-($D81-$I$76)*MIN(G$3-$O$2,$Q$2)/$Q$2))</f>
        <v>5964.0185546875</v>
      </c>
      <c r="H81" s="15" t="n">
        <f aca="false">G81*(1+IF(H$3&lt;=$O$2,$D81,$D81-($D81-$I$76)*MIN(H$3-$O$2,$Q$2)/$Q$2))</f>
        <v>5777.64297485352</v>
      </c>
      <c r="I81" s="15" t="n">
        <f aca="false">H81*(1+IF(I$3&lt;=$O$2,$D81,$D81-($D81-$I$76)*MIN(I$3-$O$2,$Q$2)/$Q$2))</f>
        <v>5597.09163188934</v>
      </c>
      <c r="J81" s="15" t="n">
        <f aca="false">I81*(1+IF(J$3&lt;=$O$2,$D81,$D81-($D81-$I$76)*MIN(J$3-$O$2,$Q$2)/$Q$2))</f>
        <v>5483.24678809671</v>
      </c>
      <c r="K81" s="15" t="n">
        <f aca="false">J81*(1+IF(K$3&lt;=$O$2,$D81,$D81-($D81-$I$76)*MIN(K$3-$O$2,$Q$2)/$Q$2))</f>
        <v>5431.53977088496</v>
      </c>
      <c r="L81" s="15" t="n">
        <f aca="false">K81*(1+IF(L$3&lt;=$O$2,$D81,$D81-($D81-$I$76)*MIN(L$3-$O$2,$Q$2)/$Q$2))</f>
        <v>5439.57844974587</v>
      </c>
      <c r="M81" s="15" t="n">
        <f aca="false">L81*(1+IF(M$3&lt;=$O$2,$D81,$D81-($D81-$I$76)*MIN(M$3-$O$2,$Q$2)/$Q$2))</f>
        <v>5506.97482673822</v>
      </c>
      <c r="N81" s="15" t="n">
        <f aca="false">M81*(1+IF(N$3&lt;=$O$2,$D81,$D81-($D81-$I$76)*MIN(N$3-$O$2,$Q$2)/$Q$2))</f>
        <v>5635.28734020122</v>
      </c>
      <c r="O81" s="15" t="n">
        <f aca="false">SUMPRODUCT(E81:N81,1/(1+$F$76)^$E$3:$N$3)*$E$2</f>
        <v>12908.7161420739</v>
      </c>
      <c r="P81" s="15" t="n">
        <f aca="false">N81*$E$2*(1+$I$76)/($F$76-$I$76)/(1+$F$76)^$N$3</f>
        <v>19305.2444567446</v>
      </c>
      <c r="Q81" s="15" t="n">
        <f aca="false">O81+P81</f>
        <v>32213.9605988185</v>
      </c>
      <c r="R81" s="15" t="n">
        <f aca="false">Q81-$G$2+$I$2</f>
        <v>24868.7605988185</v>
      </c>
      <c r="S81" s="42" t="n">
        <f aca="false">R81/$K$2</f>
        <v>105.982359253435</v>
      </c>
      <c r="T81" s="43" t="n">
        <f aca="false">S81-$M$2</f>
        <v>24.9680826712912</v>
      </c>
    </row>
    <row r="82" customFormat="false" ht="15" hidden="false" customHeight="false" outlineLevel="0" collapsed="false">
      <c r="A82" s="5" t="n">
        <v>5</v>
      </c>
      <c r="B82" s="25" t="n">
        <f aca="false">IF(T81&gt;0,B81,D81)</f>
        <v>-0.125</v>
      </c>
      <c r="C82" s="25" t="n">
        <f aca="false">IF(T81&gt;0,D81,C81)</f>
        <v>-0.03125</v>
      </c>
      <c r="D82" s="41" t="n">
        <f aca="false">(B82+C82)/2</f>
        <v>-0.078125</v>
      </c>
      <c r="E82" s="15" t="n">
        <f aca="false">$C$2*(1+IF(E$3&lt;=$O$2,$D82,$D82-($D82-$I$76)*MIN(E$3-$O$2,$Q$2)/$Q$2))</f>
        <v>6047.5</v>
      </c>
      <c r="F82" s="15" t="n">
        <f aca="false">E82*(1+IF(F$3&lt;=$O$2,$D82,$D82-($D82-$I$76)*MIN(F$3-$O$2,$Q$2)/$Q$2))</f>
        <v>5575.0390625</v>
      </c>
      <c r="G82" s="15" t="n">
        <f aca="false">F82*(1+IF(G$3&lt;=$O$2,$D82,$D82-($D82-$I$76)*MIN(G$3-$O$2,$Q$2)/$Q$2))</f>
        <v>5139.48913574219</v>
      </c>
      <c r="H82" s="15" t="n">
        <f aca="false">G82*(1+IF(H$3&lt;=$O$2,$D82,$D82-($D82-$I$76)*MIN(H$3-$O$2,$Q$2)/$Q$2))</f>
        <v>4737.96654701233</v>
      </c>
      <c r="I82" s="15" t="n">
        <f aca="false">H82*(1+IF(I$3&lt;=$O$2,$D82,$D82-($D82-$I$76)*MIN(I$3-$O$2,$Q$2)/$Q$2))</f>
        <v>4367.81291052699</v>
      </c>
      <c r="J82" s="15" t="n">
        <f aca="false">I82*(1+IF(J$3&lt;=$O$2,$D82,$D82-($D82-$I$76)*MIN(J$3-$O$2,$Q$2)/$Q$2))</f>
        <v>4115.17861178211</v>
      </c>
      <c r="K82" s="15" t="n">
        <f aca="false">J82*(1+IF(K$3&lt;=$O$2,$D82,$D82-($D82-$I$76)*MIN(K$3-$O$2,$Q$2)/$Q$2))</f>
        <v>3960.63307901663</v>
      </c>
      <c r="L82" s="15" t="n">
        <f aca="false">K82*(1+IF(L$3&lt;=$O$2,$D82,$D82-($D82-$I$76)*MIN(L$3-$O$2,$Q$2)/$Q$2))</f>
        <v>3892.23294574201</v>
      </c>
      <c r="M82" s="15" t="n">
        <f aca="false">L82*(1+IF(M$3&lt;=$O$2,$D82,$D82-($D82-$I$76)*MIN(M$3-$O$2,$Q$2)/$Q$2))</f>
        <v>3903.96802807343</v>
      </c>
      <c r="N82" s="15" t="n">
        <f aca="false">M82*(1+IF(N$3&lt;=$O$2,$D82,$D82-($D82-$I$76)*MIN(N$3-$O$2,$Q$2)/$Q$2))</f>
        <v>3994.93048312754</v>
      </c>
      <c r="O82" s="15" t="n">
        <f aca="false">SUMPRODUCT(E82:N82,1/(1+$F$76)^$E$3:$N$3)*$E$2</f>
        <v>10507.5313298648</v>
      </c>
      <c r="P82" s="15" t="n">
        <f aca="false">N82*$E$2*(1+$I$76)/($F$76-$I$76)/(1+$F$76)^$N$3</f>
        <v>13685.7457142059</v>
      </c>
      <c r="Q82" s="15" t="n">
        <f aca="false">O82+P82</f>
        <v>24193.2770440707</v>
      </c>
      <c r="R82" s="15" t="n">
        <f aca="false">Q82-$G$2+$I$2</f>
        <v>16848.0770440707</v>
      </c>
      <c r="S82" s="42" t="n">
        <f aca="false">R82/$K$2</f>
        <v>71.8008823527411</v>
      </c>
      <c r="T82" s="43" t="n">
        <f aca="false">S82-$M$2</f>
        <v>-9.21339422940253</v>
      </c>
    </row>
    <row r="83" customFormat="false" ht="15" hidden="false" customHeight="false" outlineLevel="0" collapsed="false">
      <c r="A83" s="5" t="n">
        <v>6</v>
      </c>
      <c r="B83" s="25" t="n">
        <f aca="false">IF(T82&gt;0,B82,D82)</f>
        <v>-0.078125</v>
      </c>
      <c r="C83" s="25" t="n">
        <f aca="false">IF(T82&gt;0,D82,C82)</f>
        <v>-0.03125</v>
      </c>
      <c r="D83" s="41" t="n">
        <f aca="false">(B83+C83)/2</f>
        <v>-0.0546875</v>
      </c>
      <c r="E83" s="15" t="n">
        <f aca="false">$C$2*(1+IF(E$3&lt;=$O$2,$D83,$D83-($D83-$I$76)*MIN(E$3-$O$2,$Q$2)/$Q$2))</f>
        <v>6201.25</v>
      </c>
      <c r="F83" s="15" t="n">
        <f aca="false">E83*(1+IF(F$3&lt;=$O$2,$D83,$D83-($D83-$I$76)*MIN(F$3-$O$2,$Q$2)/$Q$2))</f>
        <v>5862.119140625</v>
      </c>
      <c r="G83" s="15" t="n">
        <f aca="false">F83*(1+IF(G$3&lt;=$O$2,$D83,$D83-($D83-$I$76)*MIN(G$3-$O$2,$Q$2)/$Q$2))</f>
        <v>5541.53450012207</v>
      </c>
      <c r="H83" s="15" t="n">
        <f aca="false">G83*(1+IF(H$3&lt;=$O$2,$D83,$D83-($D83-$I$76)*MIN(H$3-$O$2,$Q$2)/$Q$2))</f>
        <v>5238.48183214665</v>
      </c>
      <c r="I83" s="15" t="n">
        <f aca="false">H83*(1+IF(I$3&lt;=$O$2,$D83,$D83-($D83-$I$76)*MIN(I$3-$O$2,$Q$2)/$Q$2))</f>
        <v>4952.00235695113</v>
      </c>
      <c r="J83" s="15" t="n">
        <f aca="false">I83*(1+IF(J$3&lt;=$O$2,$D83,$D83-($D83-$I$76)*MIN(J$3-$O$2,$Q$2)/$Q$2))</f>
        <v>4758.42858481791</v>
      </c>
      <c r="K83" s="15" t="n">
        <f aca="false">J83*(1+IF(K$3&lt;=$O$2,$D83,$D83-($D83-$I$76)*MIN(K$3-$O$2,$Q$2)/$Q$2))</f>
        <v>4646.64120128907</v>
      </c>
      <c r="L83" s="15" t="n">
        <f aca="false">K83*(1+IF(L$3&lt;=$O$2,$D83,$D83-($D83-$I$76)*MIN(L$3-$O$2,$Q$2)/$Q$2))</f>
        <v>4609.95596900489</v>
      </c>
      <c r="M83" s="15" t="n">
        <f aca="false">L83*(1+IF(M$3&lt;=$O$2,$D83,$D83-($D83-$I$76)*MIN(M$3-$O$2,$Q$2)/$Q$2))</f>
        <v>4645.46415485616</v>
      </c>
      <c r="N83" s="15" t="n">
        <f aca="false">M83*(1+IF(N$3&lt;=$O$2,$D83,$D83-($D83-$I$76)*MIN(N$3-$O$2,$Q$2)/$Q$2))</f>
        <v>4753.7034696643</v>
      </c>
      <c r="O83" s="15" t="n">
        <f aca="false">SUMPRODUCT(E83:N83,1/(1+$F$76)^$E$3:$N$3)*$E$2</f>
        <v>11644.0386082873</v>
      </c>
      <c r="P83" s="15" t="n">
        <f aca="false">N83*$E$2*(1+$I$76)/($F$76-$I$76)/(1+$F$76)^$N$3</f>
        <v>16285.133661608</v>
      </c>
      <c r="Q83" s="15" t="n">
        <f aca="false">O83+P83</f>
        <v>27929.1722698953</v>
      </c>
      <c r="R83" s="15" t="n">
        <f aca="false">Q83-$G$2+$I$2</f>
        <v>20583.9722698953</v>
      </c>
      <c r="S83" s="42" t="n">
        <f aca="false">R83/$K$2</f>
        <v>87.7220211800352</v>
      </c>
      <c r="T83" s="43" t="n">
        <f aca="false">S83-$M$2</f>
        <v>6.70774459789153</v>
      </c>
    </row>
    <row r="84" customFormat="false" ht="15" hidden="false" customHeight="false" outlineLevel="0" collapsed="false">
      <c r="A84" s="5" t="n">
        <v>7</v>
      </c>
      <c r="B84" s="25" t="n">
        <f aca="false">IF(T83&gt;0,B83,D83)</f>
        <v>-0.078125</v>
      </c>
      <c r="C84" s="25" t="n">
        <f aca="false">IF(T83&gt;0,D83,C83)</f>
        <v>-0.0546875</v>
      </c>
      <c r="D84" s="41" t="n">
        <f aca="false">(B84+C84)/2</f>
        <v>-0.06640625</v>
      </c>
      <c r="E84" s="15" t="n">
        <f aca="false">$C$2*(1+IF(E$3&lt;=$O$2,$D84,$D84-($D84-$I$76)*MIN(E$3-$O$2,$Q$2)/$Q$2))</f>
        <v>6124.375</v>
      </c>
      <c r="F84" s="15" t="n">
        <f aca="false">E84*(1+IF(F$3&lt;=$O$2,$D84,$D84-($D84-$I$76)*MIN(F$3-$O$2,$Q$2)/$Q$2))</f>
        <v>5717.67822265625</v>
      </c>
      <c r="G84" s="15" t="n">
        <f aca="false">F84*(1+IF(G$3&lt;=$O$2,$D84,$D84-($D84-$I$76)*MIN(G$3-$O$2,$Q$2)/$Q$2))</f>
        <v>5337.98865318298</v>
      </c>
      <c r="H84" s="15" t="n">
        <f aca="false">G84*(1+IF(H$3&lt;=$O$2,$D84,$D84-($D84-$I$76)*MIN(H$3-$O$2,$Q$2)/$Q$2))</f>
        <v>4983.51284418255</v>
      </c>
      <c r="I84" s="15" t="n">
        <f aca="false">H84*(1+IF(I$3&lt;=$O$2,$D84,$D84-($D84-$I$76)*MIN(I$3-$O$2,$Q$2)/$Q$2))</f>
        <v>4652.57644437355</v>
      </c>
      <c r="J84" s="15" t="n">
        <f aca="false">I84*(1+IF(J$3&lt;=$O$2,$D84,$D84-($D84-$I$76)*MIN(J$3-$O$2,$Q$2)/$Q$2))</f>
        <v>4427.08932699699</v>
      </c>
      <c r="K84" s="15" t="n">
        <f aca="false">J84*(1+IF(K$3&lt;=$O$2,$D84,$D84-($D84-$I$76)*MIN(K$3-$O$2,$Q$2)/$Q$2))</f>
        <v>4291.95795915207</v>
      </c>
      <c r="L84" s="15" t="n">
        <f aca="false">K84*(1+IF(L$3&lt;=$O$2,$D84,$D84-($D84-$I$76)*MIN(L$3-$O$2,$Q$2)/$Q$2))</f>
        <v>4237.95439813103</v>
      </c>
      <c r="M84" s="15" t="n">
        <f aca="false">L84*(1+IF(M$3&lt;=$O$2,$D84,$D84-($D84-$I$76)*MIN(M$3-$O$2,$Q$2)/$Q$2))</f>
        <v>4260.66453626202</v>
      </c>
      <c r="N84" s="15" t="n">
        <f aca="false">M84*(1+IF(N$3&lt;=$O$2,$D84,$D84-($D84-$I$76)*MIN(N$3-$O$2,$Q$2)/$Q$2))</f>
        <v>4359.93801995693</v>
      </c>
      <c r="O84" s="15" t="n">
        <f aca="false">SUMPRODUCT(E84:N84,1/(1+$F$76)^$E$3:$N$3)*$E$2</f>
        <v>11060.5763979483</v>
      </c>
      <c r="P84" s="15" t="n">
        <f aca="false">N84*$E$2*(1+$I$76)/($F$76-$I$76)/(1+$F$76)^$N$3</f>
        <v>14936.1805725629</v>
      </c>
      <c r="Q84" s="15" t="n">
        <f aca="false">O84+P84</f>
        <v>25996.7569705112</v>
      </c>
      <c r="R84" s="15" t="n">
        <f aca="false">Q84-$G$2+$I$2</f>
        <v>18651.5569705112</v>
      </c>
      <c r="S84" s="42" t="n">
        <f aca="false">R84/$K$2</f>
        <v>79.4867119987694</v>
      </c>
      <c r="T84" s="43" t="n">
        <f aca="false">S84-$M$2</f>
        <v>-1.52756458337427</v>
      </c>
    </row>
    <row r="85" customFormat="false" ht="15" hidden="false" customHeight="false" outlineLevel="0" collapsed="false">
      <c r="A85" s="5" t="n">
        <v>8</v>
      </c>
      <c r="B85" s="25" t="n">
        <f aca="false">IF(T84&gt;0,B84,D84)</f>
        <v>-0.06640625</v>
      </c>
      <c r="C85" s="25" t="n">
        <f aca="false">IF(T84&gt;0,D84,C84)</f>
        <v>-0.0546875</v>
      </c>
      <c r="D85" s="41" t="n">
        <f aca="false">(B85+C85)/2</f>
        <v>-0.060546875</v>
      </c>
      <c r="E85" s="15" t="n">
        <f aca="false">$C$2*(1+IF(E$3&lt;=$O$2,$D85,$D85-($D85-$I$76)*MIN(E$3-$O$2,$Q$2)/$Q$2))</f>
        <v>6162.8125</v>
      </c>
      <c r="F85" s="15" t="n">
        <f aca="false">E85*(1+IF(F$3&lt;=$O$2,$D85,$D85-($D85-$I$76)*MIN(F$3-$O$2,$Q$2)/$Q$2))</f>
        <v>5789.67346191406</v>
      </c>
      <c r="G85" s="15" t="n">
        <f aca="false">F85*(1+IF(G$3&lt;=$O$2,$D85,$D85-($D85-$I$76)*MIN(G$3-$O$2,$Q$2)/$Q$2))</f>
        <v>5439.12682652473</v>
      </c>
      <c r="H85" s="15" t="n">
        <f aca="false">G85*(1+IF(H$3&lt;=$O$2,$D85,$D85-($D85-$I$76)*MIN(H$3-$O$2,$Q$2)/$Q$2))</f>
        <v>5109.80469445</v>
      </c>
      <c r="I85" s="15" t="n">
        <f aca="false">H85*(1+IF(I$3&lt;=$O$2,$D85,$D85-($D85-$I$76)*MIN(I$3-$O$2,$Q$2)/$Q$2))</f>
        <v>4800.42198834072</v>
      </c>
      <c r="J85" s="15" t="n">
        <f aca="false">I85*(1+IF(J$3&lt;=$O$2,$D85,$D85-($D85-$I$76)*MIN(J$3-$O$2,$Q$2)/$Q$2))</f>
        <v>4590.27151474613</v>
      </c>
      <c r="K85" s="15" t="n">
        <f aca="false">J85*(1+IF(K$3&lt;=$O$2,$D85,$D85-($D85-$I$76)*MIN(K$3-$O$2,$Q$2)/$Q$2))</f>
        <v>4466.29688789193</v>
      </c>
      <c r="L85" s="15" t="n">
        <f aca="false">K85*(1+IF(L$3&lt;=$O$2,$D85,$D85-($D85-$I$76)*MIN(L$3-$O$2,$Q$2)/$Q$2))</f>
        <v>4420.56759063103</v>
      </c>
      <c r="M85" s="15" t="n">
        <f aca="false">L85*(1+IF(M$3&lt;=$O$2,$D85,$D85-($D85-$I$76)*MIN(M$3-$O$2,$Q$2)/$Q$2))</f>
        <v>4449.43665985259</v>
      </c>
      <c r="N85" s="15" t="n">
        <f aca="false">M85*(1+IF(N$3&lt;=$O$2,$D85,$D85-($D85-$I$76)*MIN(N$3-$O$2,$Q$2)/$Q$2))</f>
        <v>4553.10853402716</v>
      </c>
      <c r="O85" s="15" t="n">
        <f aca="false">SUMPRODUCT(E85:N85,1/(1+$F$76)^$E$3:$N$3)*$E$2</f>
        <v>11348.4066306107</v>
      </c>
      <c r="P85" s="15" t="n">
        <f aca="false">N85*$E$2*(1+$I$76)/($F$76-$I$76)/(1+$F$76)^$N$3</f>
        <v>15597.9399063519</v>
      </c>
      <c r="Q85" s="15" t="n">
        <f aca="false">O85+P85</f>
        <v>26946.3465369626</v>
      </c>
      <c r="R85" s="15" t="n">
        <f aca="false">Q85-$G$2+$I$2</f>
        <v>19601.1465369626</v>
      </c>
      <c r="S85" s="42" t="n">
        <f aca="false">R85/$K$2</f>
        <v>83.5335458638935</v>
      </c>
      <c r="T85" s="43" t="n">
        <f aca="false">S85-$M$2</f>
        <v>2.51926928174989</v>
      </c>
    </row>
    <row r="86" customFormat="false" ht="15" hidden="false" customHeight="false" outlineLevel="0" collapsed="false">
      <c r="A86" s="5" t="n">
        <v>9</v>
      </c>
      <c r="B86" s="25" t="n">
        <f aca="false">IF(T85&gt;0,B85,D85)</f>
        <v>-0.06640625</v>
      </c>
      <c r="C86" s="25" t="n">
        <f aca="false">IF(T85&gt;0,D85,C85)</f>
        <v>-0.060546875</v>
      </c>
      <c r="D86" s="41" t="n">
        <f aca="false">(B86+C86)/2</f>
        <v>-0.0634765625</v>
      </c>
      <c r="E86" s="15" t="n">
        <f aca="false">$C$2*(1+IF(E$3&lt;=$O$2,$D86,$D86-($D86-$I$76)*MIN(E$3-$O$2,$Q$2)/$Q$2))</f>
        <v>6143.59375</v>
      </c>
      <c r="F86" s="15" t="n">
        <f aca="false">E86*(1+IF(F$3&lt;=$O$2,$D86,$D86-($D86-$I$76)*MIN(F$3-$O$2,$Q$2)/$Q$2))</f>
        <v>5753.61953735352</v>
      </c>
      <c r="G86" s="15" t="n">
        <f aca="false">F86*(1+IF(G$3&lt;=$O$2,$D86,$D86-($D86-$I$76)*MIN(G$3-$O$2,$Q$2)/$Q$2))</f>
        <v>5388.39954718947</v>
      </c>
      <c r="H86" s="15" t="n">
        <f aca="false">G86*(1+IF(H$3&lt;=$O$2,$D86,$D86-($D86-$I$76)*MIN(H$3-$O$2,$Q$2)/$Q$2))</f>
        <v>5046.36246655733</v>
      </c>
      <c r="I86" s="15" t="n">
        <f aca="false">H86*(1+IF(I$3&lt;=$O$2,$D86,$D86-($D86-$I$76)*MIN(I$3-$O$2,$Q$2)/$Q$2))</f>
        <v>4726.03672405125</v>
      </c>
      <c r="J86" s="15" t="n">
        <f aca="false">I86*(1+IF(J$3&lt;=$O$2,$D86,$D86-($D86-$I$76)*MIN(J$3-$O$2,$Q$2)/$Q$2))</f>
        <v>4508.0660027921</v>
      </c>
      <c r="K86" s="15" t="n">
        <f aca="false">J86*(1+IF(K$3&lt;=$O$2,$D86,$D86-($D86-$I$76)*MIN(K$3-$O$2,$Q$2)/$Q$2))</f>
        <v>4378.38725790991</v>
      </c>
      <c r="L86" s="15" t="n">
        <f aca="false">K86*(1+IF(L$3&lt;=$O$2,$D86,$D86-($D86-$I$76)*MIN(L$3-$O$2,$Q$2)/$Q$2))</f>
        <v>4328.42712280512</v>
      </c>
      <c r="M86" s="15" t="n">
        <f aca="false">L86*(1+IF(M$3&lt;=$O$2,$D86,$D86-($D86-$I$76)*MIN(M$3-$O$2,$Q$2)/$Q$2))</f>
        <v>4354.15826941672</v>
      </c>
      <c r="N86" s="15" t="n">
        <f aca="false">M86*(1+IF(N$3&lt;=$O$2,$D86,$D86-($D86-$I$76)*MIN(N$3-$O$2,$Q$2)/$Q$2))</f>
        <v>4455.61015709413</v>
      </c>
      <c r="O86" s="15" t="n">
        <f aca="false">SUMPRODUCT(E86:N86,1/(1+$F$76)^$E$3:$N$3)*$E$2</f>
        <v>11203.5288124028</v>
      </c>
      <c r="P86" s="15" t="n">
        <f aca="false">N86*$E$2*(1+$I$76)/($F$76-$I$76)/(1+$F$76)^$N$3</f>
        <v>15263.9320932276</v>
      </c>
      <c r="Q86" s="15" t="n">
        <f aca="false">O86+P86</f>
        <v>26467.4609056303</v>
      </c>
      <c r="R86" s="15" t="n">
        <f aca="false">Q86-$G$2+$I$2</f>
        <v>19122.2609056303</v>
      </c>
      <c r="S86" s="42" t="n">
        <f aca="false">R86/$K$2</f>
        <v>81.49269510177</v>
      </c>
      <c r="T86" s="43" t="n">
        <f aca="false">S86-$M$2</f>
        <v>0.478418519626402</v>
      </c>
    </row>
    <row r="87" customFormat="false" ht="15" hidden="false" customHeight="false" outlineLevel="0" collapsed="false">
      <c r="A87" s="5" t="n">
        <v>10</v>
      </c>
      <c r="B87" s="25" t="n">
        <f aca="false">IF(T86&gt;0,B86,D86)</f>
        <v>-0.06640625</v>
      </c>
      <c r="C87" s="25" t="n">
        <f aca="false">IF(T86&gt;0,D86,C86)</f>
        <v>-0.0634765625</v>
      </c>
      <c r="D87" s="41" t="n">
        <f aca="false">(B87+C87)/2</f>
        <v>-0.06494140625</v>
      </c>
      <c r="E87" s="15" t="n">
        <f aca="false">$C$2*(1+IF(E$3&lt;=$O$2,$D87,$D87-($D87-$I$76)*MIN(E$3-$O$2,$Q$2)/$Q$2))</f>
        <v>6133.984375</v>
      </c>
      <c r="F87" s="15" t="n">
        <f aca="false">E87*(1+IF(F$3&lt;=$O$2,$D87,$D87-($D87-$I$76)*MIN(F$3-$O$2,$Q$2)/$Q$2))</f>
        <v>5735.63480377197</v>
      </c>
      <c r="G87" s="15" t="n">
        <f aca="false">F87*(1+IF(G$3&lt;=$O$2,$D87,$D87-($D87-$I$76)*MIN(G$3-$O$2,$Q$2)/$Q$2))</f>
        <v>5363.15461387858</v>
      </c>
      <c r="H87" s="15" t="n">
        <f aca="false">G87*(1+IF(H$3&lt;=$O$2,$D87,$D87-($D87-$I$76)*MIN(H$3-$O$2,$Q$2)/$Q$2))</f>
        <v>5014.86381131713</v>
      </c>
      <c r="I87" s="15" t="n">
        <f aca="false">H87*(1+IF(I$3&lt;=$O$2,$D87,$D87-($D87-$I$76)*MIN(I$3-$O$2,$Q$2)/$Q$2))</f>
        <v>4689.19150325796</v>
      </c>
      <c r="J87" s="15" t="n">
        <f aca="false">I87*(1+IF(J$3&lt;=$O$2,$D87,$D87-($D87-$I$76)*MIN(J$3-$O$2,$Q$2)/$Q$2))</f>
        <v>4467.42498334544</v>
      </c>
      <c r="K87" s="15" t="n">
        <f aca="false">J87*(1+IF(K$3&lt;=$O$2,$D87,$D87-($D87-$I$76)*MIN(K$3-$O$2,$Q$2)/$Q$2))</f>
        <v>4334.98886774932</v>
      </c>
      <c r="L87" s="15" t="n">
        <f aca="false">K87*(1+IF(L$3&lt;=$O$2,$D87,$D87-($D87-$I$76)*MIN(L$3-$O$2,$Q$2)/$Q$2))</f>
        <v>4282.98390286056</v>
      </c>
      <c r="M87" s="15" t="n">
        <f aca="false">L87*(1+IF(M$3&lt;=$O$2,$D87,$D87-($D87-$I$76)*MIN(M$3-$O$2,$Q$2)/$Q$2))</f>
        <v>4307.19012329031</v>
      </c>
      <c r="N87" s="15" t="n">
        <f aca="false">M87*(1+IF(N$3&lt;=$O$2,$D87,$D87-($D87-$I$76)*MIN(N$3-$O$2,$Q$2)/$Q$2))</f>
        <v>4407.54765316297</v>
      </c>
      <c r="O87" s="15" t="n">
        <f aca="false">SUMPRODUCT(E87:N87,1/(1+$F$76)^$E$3:$N$3)*$E$2</f>
        <v>11131.8134787929</v>
      </c>
      <c r="P87" s="15" t="n">
        <f aca="false">N87*$E$2*(1+$I$76)/($F$76-$I$76)/(1+$F$76)^$N$3</f>
        <v>15099.2806155691</v>
      </c>
      <c r="Q87" s="15" t="n">
        <f aca="false">O87+P87</f>
        <v>26231.094094362</v>
      </c>
      <c r="R87" s="15" t="n">
        <f aca="false">Q87-$G$2+$I$2</f>
        <v>18885.894094362</v>
      </c>
      <c r="S87" s="42" t="n">
        <f aca="false">R87/$K$2</f>
        <v>80.4853786250243</v>
      </c>
      <c r="T87" s="43" t="n">
        <f aca="false">S87-$M$2</f>
        <v>-0.528897957119341</v>
      </c>
    </row>
    <row r="88" customFormat="false" ht="15" hidden="false" customHeight="false" outlineLevel="0" collapsed="false">
      <c r="A88" s="5" t="n">
        <v>11</v>
      </c>
      <c r="B88" s="25" t="n">
        <f aca="false">IF(T87&gt;0,B87,D87)</f>
        <v>-0.06494140625</v>
      </c>
      <c r="C88" s="25" t="n">
        <f aca="false">IF(T87&gt;0,D87,C87)</f>
        <v>-0.0634765625</v>
      </c>
      <c r="D88" s="41" t="n">
        <f aca="false">(B88+C88)/2</f>
        <v>-0.064208984375</v>
      </c>
      <c r="E88" s="15" t="n">
        <f aca="false">$C$2*(1+IF(E$3&lt;=$O$2,$D88,$D88-($D88-$I$76)*MIN(E$3-$O$2,$Q$2)/$Q$2))</f>
        <v>6138.7890625</v>
      </c>
      <c r="F88" s="15" t="n">
        <f aca="false">E88*(1+IF(F$3&lt;=$O$2,$D88,$D88-($D88-$I$76)*MIN(F$3-$O$2,$Q$2)/$Q$2))</f>
        <v>5744.62365150452</v>
      </c>
      <c r="G88" s="15" t="n">
        <f aca="false">F88*(1+IF(G$3&lt;=$O$2,$D88,$D88-($D88-$I$76)*MIN(G$3-$O$2,$Q$2)/$Q$2))</f>
        <v>5375.76720122481</v>
      </c>
      <c r="H88" s="15" t="n">
        <f aca="false">G88*(1+IF(H$3&lt;=$O$2,$D88,$D88-($D88-$I$76)*MIN(H$3-$O$2,$Q$2)/$Q$2))</f>
        <v>5030.59464899773</v>
      </c>
      <c r="I88" s="15" t="n">
        <f aca="false">H88*(1+IF(I$3&lt;=$O$2,$D88,$D88-($D88-$I$76)*MIN(I$3-$O$2,$Q$2)/$Q$2))</f>
        <v>4707.58527578327</v>
      </c>
      <c r="J88" s="15" t="n">
        <f aca="false">I88*(1+IF(J$3&lt;=$O$2,$D88,$D88-($D88-$I$76)*MIN(J$3-$O$2,$Q$2)/$Q$2))</f>
        <v>4487.70720763503</v>
      </c>
      <c r="K88" s="15" t="n">
        <f aca="false">J88*(1+IF(K$3&lt;=$O$2,$D88,$D88-($D88-$I$76)*MIN(K$3-$O$2,$Q$2)/$Q$2))</f>
        <v>4356.64196562542</v>
      </c>
      <c r="L88" s="15" t="n">
        <f aca="false">K88*(1+IF(L$3&lt;=$O$2,$D88,$D88-($D88-$I$76)*MIN(L$3-$O$2,$Q$2)/$Q$2))</f>
        <v>4305.65359794554</v>
      </c>
      <c r="M88" s="15" t="n">
        <f aca="false">L88*(1+IF(M$3&lt;=$O$2,$D88,$D88-($D88-$I$76)*MIN(M$3-$O$2,$Q$2)/$Q$2))</f>
        <v>4330.61865209231</v>
      </c>
      <c r="N88" s="15" t="n">
        <f aca="false">M88*(1+IF(N$3&lt;=$O$2,$D88,$D88-($D88-$I$76)*MIN(N$3-$O$2,$Q$2)/$Q$2))</f>
        <v>4431.52206668606</v>
      </c>
      <c r="O88" s="15" t="n">
        <f aca="false">SUMPRODUCT(E88:N88,1/(1+$F$76)^$E$3:$N$3)*$E$2</f>
        <v>11167.6111710517</v>
      </c>
      <c r="P88" s="15" t="n">
        <f aca="false">N88*$E$2*(1+$I$76)/($F$76-$I$76)/(1+$F$76)^$N$3</f>
        <v>15181.4116385018</v>
      </c>
      <c r="Q88" s="15" t="n">
        <f aca="false">O88+P88</f>
        <v>26349.0228095534</v>
      </c>
      <c r="R88" s="15" t="n">
        <f aca="false">Q88-$G$2+$I$2</f>
        <v>19003.8228095534</v>
      </c>
      <c r="S88" s="42" t="n">
        <f aca="false">R88/$K$2</f>
        <v>80.9879514577175</v>
      </c>
      <c r="T88" s="43" t="n">
        <f aca="false">S88-$M$2</f>
        <v>-0.0263251244261227</v>
      </c>
    </row>
    <row r="89" customFormat="false" ht="15" hidden="false" customHeight="false" outlineLevel="0" collapsed="false">
      <c r="A89" s="5" t="n">
        <v>12</v>
      </c>
      <c r="B89" s="25" t="n">
        <f aca="false">IF(T88&gt;0,B88,D88)</f>
        <v>-0.064208984375</v>
      </c>
      <c r="C89" s="25" t="n">
        <f aca="false">IF(T88&gt;0,D88,C88)</f>
        <v>-0.0634765625</v>
      </c>
      <c r="D89" s="41" t="n">
        <f aca="false">(B89+C89)/2</f>
        <v>-0.0638427734375</v>
      </c>
      <c r="E89" s="15" t="n">
        <f aca="false">$C$2*(1+IF(E$3&lt;=$O$2,$D89,$D89-($D89-$I$76)*MIN(E$3-$O$2,$Q$2)/$Q$2))</f>
        <v>6141.19140625</v>
      </c>
      <c r="F89" s="15" t="n">
        <f aca="false">E89*(1+IF(F$3&lt;=$O$2,$D89,$D89-($D89-$I$76)*MIN(F$3-$O$2,$Q$2)/$Q$2))</f>
        <v>5749.12071466446</v>
      </c>
      <c r="G89" s="15" t="n">
        <f aca="false">F89*(1+IF(G$3&lt;=$O$2,$D89,$D89-($D89-$I$76)*MIN(G$3-$O$2,$Q$2)/$Q$2))</f>
        <v>5382.0809034133</v>
      </c>
      <c r="H89" s="15" t="n">
        <f aca="false">G89*(1+IF(H$3&lt;=$O$2,$D89,$D89-($D89-$I$76)*MIN(H$3-$O$2,$Q$2)/$Q$2))</f>
        <v>5038.47393167439</v>
      </c>
      <c r="I89" s="15" t="n">
        <f aca="false">H89*(1+IF(I$3&lt;=$O$2,$D89,$D89-($D89-$I$76)*MIN(I$3-$O$2,$Q$2)/$Q$2))</f>
        <v>4716.80378198375</v>
      </c>
      <c r="J89" s="15" t="n">
        <f aca="false">I89*(1+IF(J$3&lt;=$O$2,$D89,$D89-($D89-$I$76)*MIN(J$3-$O$2,$Q$2)/$Q$2))</f>
        <v>4497.87701944593</v>
      </c>
      <c r="K89" s="15" t="n">
        <f aca="false">J89*(1+IF(K$3&lt;=$O$2,$D89,$D89-($D89-$I$76)*MIN(K$3-$O$2,$Q$2)/$Q$2))</f>
        <v>4367.50306716583</v>
      </c>
      <c r="L89" s="15" t="n">
        <f aca="false">K89*(1+IF(L$3&lt;=$O$2,$D89,$D89-($D89-$I$76)*MIN(L$3-$O$2,$Q$2)/$Q$2))</f>
        <v>4317.02735652295</v>
      </c>
      <c r="M89" s="15" t="n">
        <f aca="false">L89*(1+IF(M$3&lt;=$O$2,$D89,$D89-($D89-$I$76)*MIN(M$3-$O$2,$Q$2)/$Q$2))</f>
        <v>4342.37454655934</v>
      </c>
      <c r="N89" s="15" t="n">
        <f aca="false">M89*(1+IF(N$3&lt;=$O$2,$D89,$D89-($D89-$I$76)*MIN(N$3-$O$2,$Q$2)/$Q$2))</f>
        <v>4443.55187349417</v>
      </c>
      <c r="O89" s="15" t="n">
        <f aca="false">SUMPRODUCT(E89:N89,1/(1+$F$76)^$E$3:$N$3)*$E$2</f>
        <v>11185.554973912</v>
      </c>
      <c r="P89" s="15" t="n">
        <f aca="false">N89*$E$2*(1+$I$76)/($F$76-$I$76)/(1+$F$76)^$N$3</f>
        <v>15222.6230882785</v>
      </c>
      <c r="Q89" s="15" t="n">
        <f aca="false">O89+P89</f>
        <v>26408.1780621905</v>
      </c>
      <c r="R89" s="15" t="n">
        <f aca="false">Q89-$G$2+$I$2</f>
        <v>19062.9780621905</v>
      </c>
      <c r="S89" s="42" t="n">
        <f aca="false">R89/$K$2</f>
        <v>81.2400514050308</v>
      </c>
      <c r="T89" s="43" t="n">
        <f aca="false">S89-$M$2</f>
        <v>0.225774822887175</v>
      </c>
    </row>
    <row r="90" customFormat="false" ht="15" hidden="false" customHeight="false" outlineLevel="0" collapsed="false">
      <c r="A90" s="5" t="n">
        <v>13</v>
      </c>
      <c r="B90" s="25" t="n">
        <f aca="false">IF(T89&gt;0,B89,D89)</f>
        <v>-0.064208984375</v>
      </c>
      <c r="C90" s="25" t="n">
        <f aca="false">IF(T89&gt;0,D89,C89)</f>
        <v>-0.0638427734375</v>
      </c>
      <c r="D90" s="41" t="n">
        <f aca="false">(B90+C90)/2</f>
        <v>-0.06402587890625</v>
      </c>
      <c r="E90" s="15" t="n">
        <f aca="false">$C$2*(1+IF(E$3&lt;=$O$2,$D90,$D90-($D90-$I$76)*MIN(E$3-$O$2,$Q$2)/$Q$2))</f>
        <v>6139.990234375</v>
      </c>
      <c r="F90" s="15" t="n">
        <f aca="false">E90*(1+IF(F$3&lt;=$O$2,$D90,$D90-($D90-$I$76)*MIN(F$3-$O$2,$Q$2)/$Q$2))</f>
        <v>5746.87196314335</v>
      </c>
      <c r="G90" s="15" t="n">
        <f aca="false">F90*(1+IF(G$3&lt;=$O$2,$D90,$D90-($D90-$I$76)*MIN(G$3-$O$2,$Q$2)/$Q$2))</f>
        <v>5378.92343474141</v>
      </c>
      <c r="H90" s="15" t="n">
        <f aca="false">G90*(1+IF(H$3&lt;=$O$2,$D90,$D90-($D90-$I$76)*MIN(H$3-$O$2,$Q$2)/$Q$2))</f>
        <v>5034.53313426267</v>
      </c>
      <c r="I90" s="15" t="n">
        <f aca="false">H90*(1+IF(I$3&lt;=$O$2,$D90,$D90-($D90-$I$76)*MIN(I$3-$O$2,$Q$2)/$Q$2))</f>
        <v>4712.19272545886</v>
      </c>
      <c r="J90" s="15" t="n">
        <f aca="false">I90*(1+IF(J$3&lt;=$O$2,$D90,$D90-($D90-$I$76)*MIN(J$3-$O$2,$Q$2)/$Q$2))</f>
        <v>4492.78971890099</v>
      </c>
      <c r="K90" s="15" t="n">
        <f aca="false">J90*(1+IF(K$3&lt;=$O$2,$D90,$D90-($D90-$I$76)*MIN(K$3-$O$2,$Q$2)/$Q$2))</f>
        <v>4362.06963278498</v>
      </c>
      <c r="L90" s="15" t="n">
        <f aca="false">K90*(1+IF(L$3&lt;=$O$2,$D90,$D90-($D90-$I$76)*MIN(L$3-$O$2,$Q$2)/$Q$2))</f>
        <v>4311.33722941559</v>
      </c>
      <c r="M90" s="15" t="n">
        <f aca="false">L90*(1+IF(M$3&lt;=$O$2,$D90,$D90-($D90-$I$76)*MIN(M$3-$O$2,$Q$2)/$Q$2))</f>
        <v>4336.49312429698</v>
      </c>
      <c r="N90" s="15" t="n">
        <f aca="false">M90*(1+IF(N$3&lt;=$O$2,$D90,$D90-($D90-$I$76)*MIN(N$3-$O$2,$Q$2)/$Q$2))</f>
        <v>4437.5334140931</v>
      </c>
      <c r="O90" s="15" t="n">
        <f aca="false">SUMPRODUCT(E90:N90,1/(1+$F$76)^$E$3:$N$3)*$E$2</f>
        <v>11176.5793210531</v>
      </c>
      <c r="P90" s="15" t="n">
        <f aca="false">N90*$E$2*(1+$I$76)/($F$76-$I$76)/(1+$F$76)^$N$3</f>
        <v>15202.0051813331</v>
      </c>
      <c r="Q90" s="15" t="n">
        <f aca="false">O90+P90</f>
        <v>26378.5845023861</v>
      </c>
      <c r="R90" s="15" t="n">
        <f aca="false">Q90-$G$2+$I$2</f>
        <v>19033.3845023861</v>
      </c>
      <c r="S90" s="42" t="n">
        <f aca="false">R90/$K$2</f>
        <v>81.1139335281745</v>
      </c>
      <c r="T90" s="43" t="n">
        <f aca="false">S90-$M$2</f>
        <v>0.0996569460308479</v>
      </c>
    </row>
    <row r="91" customFormat="false" ht="15" hidden="false" customHeight="false" outlineLevel="0" collapsed="false">
      <c r="A91" s="5" t="n">
        <v>14</v>
      </c>
      <c r="B91" s="25" t="n">
        <f aca="false">IF(T90&gt;0,B90,D90)</f>
        <v>-0.064208984375</v>
      </c>
      <c r="C91" s="25" t="n">
        <f aca="false">IF(T90&gt;0,D90,C90)</f>
        <v>-0.06402587890625</v>
      </c>
      <c r="D91" s="41" t="n">
        <f aca="false">(B91+C91)/2</f>
        <v>-0.064117431640625</v>
      </c>
      <c r="E91" s="15" t="n">
        <f aca="false">$C$2*(1+IF(E$3&lt;=$O$2,$D91,$D91-($D91-$I$76)*MIN(E$3-$O$2,$Q$2)/$Q$2))</f>
        <v>6139.3896484375</v>
      </c>
      <c r="F91" s="15" t="n">
        <f aca="false">E91*(1+IF(F$3&lt;=$O$2,$D91,$D91-($D91-$I$76)*MIN(F$3-$O$2,$Q$2)/$Q$2))</f>
        <v>5745.74775233865</v>
      </c>
      <c r="G91" s="15" t="n">
        <f aca="false">F91*(1+IF(G$3&lt;=$O$2,$D91,$D91-($D91-$I$76)*MIN(G$3-$O$2,$Q$2)/$Q$2))</f>
        <v>5377.3451636038</v>
      </c>
      <c r="H91" s="15" t="n">
        <f aca="false">G91*(1+IF(H$3&lt;=$O$2,$D91,$D91-($D91-$I$76)*MIN(H$3-$O$2,$Q$2)/$Q$2))</f>
        <v>5032.56360266839</v>
      </c>
      <c r="I91" s="15" t="n">
        <f aca="false">H91*(1+IF(I$3&lt;=$O$2,$D91,$D91-($D91-$I$76)*MIN(I$3-$O$2,$Q$2)/$Q$2))</f>
        <v>4709.8885498972</v>
      </c>
      <c r="J91" s="15" t="n">
        <f aca="false">I91*(1+IF(J$3&lt;=$O$2,$D91,$D91-($D91-$I$76)*MIN(J$3-$O$2,$Q$2)/$Q$2))</f>
        <v>4490.24786483332</v>
      </c>
      <c r="K91" s="15" t="n">
        <f aca="false">J91*(1+IF(K$3&lt;=$O$2,$D91,$D91-($D91-$I$76)*MIN(K$3-$O$2,$Q$2)/$Q$2))</f>
        <v>4359.35507861982</v>
      </c>
      <c r="L91" s="15" t="n">
        <f aca="false">K91*(1+IF(L$3&lt;=$O$2,$D91,$D91-($D91-$I$76)*MIN(L$3-$O$2,$Q$2)/$Q$2))</f>
        <v>4308.49460211868</v>
      </c>
      <c r="M91" s="15" t="n">
        <f aca="false">L91*(1+IF(M$3&lt;=$O$2,$D91,$D91-($D91-$I$76)*MIN(M$3-$O$2,$Q$2)/$Q$2))</f>
        <v>4333.55501987711</v>
      </c>
      <c r="N91" s="15" t="n">
        <f aca="false">M91*(1+IF(N$3&lt;=$O$2,$D91,$D91-($D91-$I$76)*MIN(N$3-$O$2,$Q$2)/$Q$2))</f>
        <v>4434.52685184024</v>
      </c>
      <c r="O91" s="15" t="n">
        <f aca="false">SUMPRODUCT(E91:N91,1/(1+$F$76)^$E$3:$N$3)*$E$2</f>
        <v>11172.094308573</v>
      </c>
      <c r="P91" s="15" t="n">
        <f aca="false">N91*$E$2*(1+$I$76)/($F$76-$I$76)/(1+$F$76)^$N$3</f>
        <v>15191.7053659445</v>
      </c>
      <c r="Q91" s="15" t="n">
        <f aca="false">O91+P91</f>
        <v>26363.7996745175</v>
      </c>
      <c r="R91" s="15" t="n">
        <f aca="false">Q91-$G$2+$I$2</f>
        <v>19018.5996745175</v>
      </c>
      <c r="S91" s="42" t="n">
        <f aca="false">R91/$K$2</f>
        <v>81.0509255253251</v>
      </c>
      <c r="T91" s="43" t="n">
        <f aca="false">S91-$M$2</f>
        <v>0.036648943181433</v>
      </c>
    </row>
    <row r="92" customFormat="false" ht="15" hidden="false" customHeight="false" outlineLevel="0" collapsed="false">
      <c r="A92" s="5" t="n">
        <v>15</v>
      </c>
      <c r="B92" s="25" t="n">
        <f aca="false">IF(T91&gt;0,B91,D91)</f>
        <v>-0.064208984375</v>
      </c>
      <c r="C92" s="25" t="n">
        <f aca="false">IF(T91&gt;0,D91,C91)</f>
        <v>-0.064117431640625</v>
      </c>
      <c r="D92" s="41" t="n">
        <f aca="false">(B92+C92)/2</f>
        <v>-0.0641632080078125</v>
      </c>
      <c r="E92" s="15" t="n">
        <f aca="false">$C$2*(1+IF(E$3&lt;=$O$2,$D92,$D92-($D92-$I$76)*MIN(E$3-$O$2,$Q$2)/$Q$2))</f>
        <v>6139.08935546875</v>
      </c>
      <c r="F92" s="15" t="n">
        <f aca="false">E92*(1+IF(F$3&lt;=$O$2,$D92,$D92-($D92-$I$76)*MIN(F$3-$O$2,$Q$2)/$Q$2))</f>
        <v>5745.18568817526</v>
      </c>
      <c r="G92" s="15" t="n">
        <f aca="false">F92*(1+IF(G$3&lt;=$O$2,$D92,$D92-($D92-$I$76)*MIN(G$3-$O$2,$Q$2)/$Q$2))</f>
        <v>5376.55614382136</v>
      </c>
      <c r="H92" s="15" t="n">
        <f aca="false">G92*(1+IF(H$3&lt;=$O$2,$D92,$D92-($D92-$I$76)*MIN(H$3-$O$2,$Q$2)/$Q$2))</f>
        <v>5031.57905359967</v>
      </c>
      <c r="I92" s="15" t="n">
        <f aca="false">H92*(1+IF(I$3&lt;=$O$2,$D92,$D92-($D92-$I$76)*MIN(I$3-$O$2,$Q$2)/$Q$2))</f>
        <v>4708.7368001758</v>
      </c>
      <c r="J92" s="15" t="n">
        <f aca="false">I92*(1+IF(J$3&lt;=$O$2,$D92,$D92-($D92-$I$76)*MIN(J$3-$O$2,$Q$2)/$Q$2))</f>
        <v>4488.97738665365</v>
      </c>
      <c r="K92" s="15" t="n">
        <f aca="false">J92*(1+IF(K$3&lt;=$O$2,$D92,$D92-($D92-$I$76)*MIN(K$3-$O$2,$Q$2)/$Q$2))</f>
        <v>4357.99834201592</v>
      </c>
      <c r="L92" s="15" t="n">
        <f aca="false">K92*(1+IF(L$3&lt;=$O$2,$D92,$D92-($D92-$I$76)*MIN(L$3-$O$2,$Q$2)/$Q$2))</f>
        <v>4307.07389719072</v>
      </c>
      <c r="M92" s="15" t="n">
        <f aca="false">L92*(1+IF(M$3&lt;=$O$2,$D92,$D92-($D92-$I$76)*MIN(M$3-$O$2,$Q$2)/$Q$2))</f>
        <v>4332.08661896026</v>
      </c>
      <c r="N92" s="15" t="n">
        <f aca="false">M92*(1+IF(N$3&lt;=$O$2,$D92,$D92-($D92-$I$76)*MIN(N$3-$O$2,$Q$2)/$Q$2))</f>
        <v>4433.02423718203</v>
      </c>
      <c r="O92" s="15" t="n">
        <f aca="false">SUMPRODUCT(E92:N92,1/(1+$F$76)^$E$3:$N$3)*$E$2</f>
        <v>11169.8525054898</v>
      </c>
      <c r="P92" s="15" t="n">
        <f aca="false">N92*$E$2*(1+$I$76)/($F$76-$I$76)/(1+$F$76)^$N$3</f>
        <v>15186.5577414225</v>
      </c>
      <c r="Q92" s="15" t="n">
        <f aca="false">O92+P92</f>
        <v>26356.4102469122</v>
      </c>
      <c r="R92" s="15" t="n">
        <f aca="false">Q92-$G$2+$I$2</f>
        <v>19011.2102469122</v>
      </c>
      <c r="S92" s="42" t="n">
        <f aca="false">R92/$K$2</f>
        <v>81.019434250638</v>
      </c>
      <c r="T92" s="43" t="n">
        <f aca="false">S92-$M$2</f>
        <v>0.00515766849440524</v>
      </c>
    </row>
    <row r="93" customFormat="false" ht="15" hidden="false" customHeight="false" outlineLevel="0" collapsed="false">
      <c r="A93" s="5" t="n">
        <v>16</v>
      </c>
      <c r="B93" s="25" t="n">
        <f aca="false">IF(T92&gt;0,B92,D92)</f>
        <v>-0.064208984375</v>
      </c>
      <c r="C93" s="25" t="n">
        <f aca="false">IF(T92&gt;0,D92,C92)</f>
        <v>-0.0641632080078125</v>
      </c>
      <c r="D93" s="41" t="n">
        <f aca="false">(B93+C93)/2</f>
        <v>-0.0641860961914063</v>
      </c>
      <c r="E93" s="15" t="n">
        <f aca="false">$C$2*(1+IF(E$3&lt;=$O$2,$D93,$D93-($D93-$I$76)*MIN(E$3-$O$2,$Q$2)/$Q$2))</f>
        <v>6138.93920898438</v>
      </c>
      <c r="F93" s="15" t="n">
        <f aca="false">E93*(1+IF(F$3&lt;=$O$2,$D93,$D93-($D93-$I$76)*MIN(F$3-$O$2,$Q$2)/$Q$2))</f>
        <v>5744.90466640331</v>
      </c>
      <c r="G93" s="15" t="n">
        <f aca="false">F93*(1+IF(G$3&lt;=$O$2,$D93,$D93-($D93-$I$76)*MIN(G$3-$O$2,$Q$2)/$Q$2))</f>
        <v>5376.16166287509</v>
      </c>
      <c r="H93" s="15" t="n">
        <f aca="false">G93*(1+IF(H$3&lt;=$O$2,$D93,$D93-($D93-$I$76)*MIN(H$3-$O$2,$Q$2)/$Q$2))</f>
        <v>5031.08683324124</v>
      </c>
      <c r="I93" s="15" t="n">
        <f aca="false">H93*(1+IF(I$3&lt;=$O$2,$D93,$D93-($D93-$I$76)*MIN(I$3-$O$2,$Q$2)/$Q$2))</f>
        <v>4708.1610098155</v>
      </c>
      <c r="J93" s="15" t="n">
        <f aca="false">I93*(1+IF(J$3&lt;=$O$2,$D93,$D93-($D93-$I$76)*MIN(J$3-$O$2,$Q$2)/$Q$2))</f>
        <v>4488.34225975272</v>
      </c>
      <c r="K93" s="15" t="n">
        <f aca="false">J93*(1+IF(K$3&lt;=$O$2,$D93,$D93-($D93-$I$76)*MIN(K$3-$O$2,$Q$2)/$Q$2))</f>
        <v>4357.32010879895</v>
      </c>
      <c r="L93" s="15" t="n">
        <f aca="false">K93*(1+IF(L$3&lt;=$O$2,$D93,$D93-($D93-$I$76)*MIN(L$3-$O$2,$Q$2)/$Q$2))</f>
        <v>4306.36369686391</v>
      </c>
      <c r="M93" s="15" t="n">
        <f aca="false">L93*(1+IF(M$3&lt;=$O$2,$D93,$D93-($D93-$I$76)*MIN(M$3-$O$2,$Q$2)/$Q$2))</f>
        <v>4331.35258127704</v>
      </c>
      <c r="N93" s="15" t="n">
        <f aca="false">M93*(1+IF(N$3&lt;=$O$2,$D93,$D93-($D93-$I$76)*MIN(N$3-$O$2,$Q$2)/$Q$2))</f>
        <v>4432.27309642079</v>
      </c>
      <c r="O93" s="15" t="n">
        <f aca="false">SUMPRODUCT(E93:N93,1/(1+$F$76)^$E$3:$N$3)*$E$2</f>
        <v>11168.731779696</v>
      </c>
      <c r="P93" s="15" t="n">
        <f aca="false">N93*$E$2*(1+$I$76)/($F$76-$I$76)/(1+$F$76)^$N$3</f>
        <v>15183.984499786</v>
      </c>
      <c r="Q93" s="15" t="n">
        <f aca="false">O93+P93</f>
        <v>26352.716279482</v>
      </c>
      <c r="R93" s="15" t="n">
        <f aca="false">Q93-$G$2+$I$2</f>
        <v>19007.516279482</v>
      </c>
      <c r="S93" s="42" t="n">
        <f aca="false">R93/$K$2</f>
        <v>81.0036917940847</v>
      </c>
      <c r="T93" s="43" t="n">
        <f aca="false">S93-$M$2</f>
        <v>-0.0105847880589351</v>
      </c>
    </row>
    <row r="94" customFormat="false" ht="15" hidden="false" customHeight="false" outlineLevel="0" collapsed="false">
      <c r="A94" s="5" t="n">
        <v>17</v>
      </c>
      <c r="B94" s="25" t="n">
        <f aca="false">IF(T93&gt;0,B93,D93)</f>
        <v>-0.0641860961914063</v>
      </c>
      <c r="C94" s="25" t="n">
        <f aca="false">IF(T93&gt;0,D93,C93)</f>
        <v>-0.0641632080078125</v>
      </c>
      <c r="D94" s="41" t="n">
        <f aca="false">(B94+C94)/2</f>
        <v>-0.0641746520996094</v>
      </c>
      <c r="E94" s="15" t="n">
        <f aca="false">$C$2*(1+IF(E$3&lt;=$O$2,$D94,$D94-($D94-$I$76)*MIN(E$3-$O$2,$Q$2)/$Q$2))</f>
        <v>6139.01428222656</v>
      </c>
      <c r="F94" s="15" t="n">
        <f aca="false">E94*(1+IF(F$3&lt;=$O$2,$D94,$D94-($D94-$I$76)*MIN(F$3-$O$2,$Q$2)/$Q$2))</f>
        <v>5745.04517643014</v>
      </c>
      <c r="G94" s="15" t="n">
        <f aca="false">F94*(1+IF(G$3&lt;=$O$2,$D94,$D94-($D94-$I$76)*MIN(G$3-$O$2,$Q$2)/$Q$2))</f>
        <v>5376.3589009362</v>
      </c>
      <c r="H94" s="15" t="n">
        <f aca="false">G94*(1+IF(H$3&lt;=$O$2,$D94,$D94-($D94-$I$76)*MIN(H$3-$O$2,$Q$2)/$Q$2))</f>
        <v>5031.33293890598</v>
      </c>
      <c r="I94" s="15" t="n">
        <f aca="false">H94*(1+IF(I$3&lt;=$O$2,$D94,$D94-($D94-$I$76)*MIN(I$3-$O$2,$Q$2)/$Q$2))</f>
        <v>4708.44889795438</v>
      </c>
      <c r="J94" s="15" t="n">
        <f aca="false">I94*(1+IF(J$3&lt;=$O$2,$D94,$D94-($D94-$I$76)*MIN(J$3-$O$2,$Q$2)/$Q$2))</f>
        <v>4488.65981385484</v>
      </c>
      <c r="K94" s="15" t="n">
        <f aca="false">J94*(1+IF(K$3&lt;=$O$2,$D94,$D94-($D94-$I$76)*MIN(K$3-$O$2,$Q$2)/$Q$2))</f>
        <v>4357.65921415139</v>
      </c>
      <c r="L94" s="15" t="n">
        <f aca="false">K94*(1+IF(L$3&lt;=$O$2,$D94,$D94-($D94-$I$76)*MIN(L$3-$O$2,$Q$2)/$Q$2))</f>
        <v>4306.7187843505</v>
      </c>
      <c r="M94" s="15" t="n">
        <f aca="false">L94*(1+IF(M$3&lt;=$O$2,$D94,$D94-($D94-$I$76)*MIN(M$3-$O$2,$Q$2)/$Q$2))</f>
        <v>4331.71958655548</v>
      </c>
      <c r="N94" s="15" t="n">
        <f aca="false">M94*(1+IF(N$3&lt;=$O$2,$D94,$D94-($D94-$I$76)*MIN(N$3-$O$2,$Q$2)/$Q$2))</f>
        <v>4432.64865292223</v>
      </c>
      <c r="O94" s="15" t="n">
        <f aca="false">SUMPRODUCT(E94:N94,1/(1+$F$76)^$E$3:$N$3)*$E$2</f>
        <v>11169.2921279484</v>
      </c>
      <c r="P94" s="15" t="n">
        <f aca="false">N94*$E$2*(1+$I$76)/($F$76-$I$76)/(1+$F$76)^$N$3</f>
        <v>15185.2710730572</v>
      </c>
      <c r="Q94" s="15" t="n">
        <f aca="false">O94+P94</f>
        <v>26354.5632010056</v>
      </c>
      <c r="R94" s="15" t="n">
        <f aca="false">Q94-$G$2+$I$2</f>
        <v>19009.3632010056</v>
      </c>
      <c r="S94" s="42" t="n">
        <f aca="false">R94/$K$2</f>
        <v>81.0115627573222</v>
      </c>
      <c r="T94" s="43" t="n">
        <f aca="false">S94-$M$2</f>
        <v>-0.00271382482145555</v>
      </c>
    </row>
    <row r="95" customFormat="false" ht="15" hidden="false" customHeight="false" outlineLevel="0" collapsed="false">
      <c r="A95" s="5" t="n">
        <v>18</v>
      </c>
      <c r="B95" s="25" t="n">
        <f aca="false">IF(T94&gt;0,B94,D94)</f>
        <v>-0.0641746520996094</v>
      </c>
      <c r="C95" s="25" t="n">
        <f aca="false">IF(T94&gt;0,D94,C94)</f>
        <v>-0.0641632080078125</v>
      </c>
      <c r="D95" s="41" t="n">
        <f aca="false">(B95+C95)/2</f>
        <v>-0.0641689300537109</v>
      </c>
      <c r="E95" s="15" t="n">
        <f aca="false">$C$2*(1+IF(E$3&lt;=$O$2,$D95,$D95-($D95-$I$76)*MIN(E$3-$O$2,$Q$2)/$Q$2))</f>
        <v>6139.05181884766</v>
      </c>
      <c r="F95" s="15" t="n">
        <f aca="false">E95*(1+IF(F$3&lt;=$O$2,$D95,$D95-($D95-$I$76)*MIN(F$3-$O$2,$Q$2)/$Q$2))</f>
        <v>5745.11543208791</v>
      </c>
      <c r="G95" s="15" t="n">
        <f aca="false">F95*(1+IF(G$3&lt;=$O$2,$D95,$D95-($D95-$I$76)*MIN(G$3-$O$2,$Q$2)/$Q$2))</f>
        <v>5376.45752177577</v>
      </c>
      <c r="H95" s="15" t="n">
        <f aca="false">G95*(1+IF(H$3&lt;=$O$2,$D95,$D95-($D95-$I$76)*MIN(H$3-$O$2,$Q$2)/$Q$2))</f>
        <v>5031.45599512419</v>
      </c>
      <c r="I95" s="15" t="n">
        <f aca="false">H95*(1+IF(I$3&lt;=$O$2,$D95,$D95-($D95-$I$76)*MIN(I$3-$O$2,$Q$2)/$Q$2))</f>
        <v>4708.59284730474</v>
      </c>
      <c r="J95" s="15" t="n">
        <f aca="false">I95*(1+IF(J$3&lt;=$O$2,$D95,$D95-($D95-$I$76)*MIN(J$3-$O$2,$Q$2)/$Q$2))</f>
        <v>4488.8185979171</v>
      </c>
      <c r="K95" s="15" t="n">
        <f aca="false">J95*(1+IF(K$3&lt;=$O$2,$D95,$D95-($D95-$I$76)*MIN(K$3-$O$2,$Q$2)/$Q$2))</f>
        <v>4357.82877526957</v>
      </c>
      <c r="L95" s="15" t="n">
        <f aca="false">K95*(1+IF(L$3&lt;=$O$2,$D95,$D95-($D95-$I$76)*MIN(L$3-$O$2,$Q$2)/$Q$2))</f>
        <v>4306.89633760131</v>
      </c>
      <c r="M95" s="15" t="n">
        <f aca="false">L95*(1+IF(M$3&lt;=$O$2,$D95,$D95-($D95-$I$76)*MIN(M$3-$O$2,$Q$2)/$Q$2))</f>
        <v>4331.90309936697</v>
      </c>
      <c r="N95" s="15" t="n">
        <f aca="false">M95*(1+IF(N$3&lt;=$O$2,$D95,$D95-($D95-$I$76)*MIN(N$3-$O$2,$Q$2)/$Q$2))</f>
        <v>4432.83644158222</v>
      </c>
      <c r="O95" s="15" t="n">
        <f aca="false">SUMPRODUCT(E95:N95,1/(1+$F$76)^$E$3:$N$3)*$E$2</f>
        <v>11169.5723130579</v>
      </c>
      <c r="P95" s="15" t="n">
        <f aca="false">N95*$E$2*(1+$I$76)/($F$76-$I$76)/(1+$F$76)^$N$3</f>
        <v>15185.9143953527</v>
      </c>
      <c r="Q95" s="15" t="n">
        <f aca="false">O95+P95</f>
        <v>26355.4867084106</v>
      </c>
      <c r="R95" s="15" t="n">
        <f aca="false">Q95-$G$2+$I$2</f>
        <v>19010.2867084106</v>
      </c>
      <c r="S95" s="42" t="n">
        <f aca="false">R95/$K$2</f>
        <v>81.0154984377183</v>
      </c>
      <c r="T95" s="43" t="n">
        <f aca="false">S95-$M$2</f>
        <v>0.00122185557468413</v>
      </c>
    </row>
    <row r="96" customFormat="false" ht="15" hidden="false" customHeight="false" outlineLevel="0" collapsed="false">
      <c r="A96" s="5" t="n">
        <v>19</v>
      </c>
      <c r="B96" s="25" t="n">
        <f aca="false">IF(T95&gt;0,B95,D95)</f>
        <v>-0.0641746520996094</v>
      </c>
      <c r="C96" s="25" t="n">
        <f aca="false">IF(T95&gt;0,D95,C95)</f>
        <v>-0.0641689300537109</v>
      </c>
      <c r="D96" s="41" t="n">
        <f aca="false">(B96+C96)/2</f>
        <v>-0.0641717910766602</v>
      </c>
      <c r="E96" s="15" t="n">
        <f aca="false">$C$2*(1+IF(E$3&lt;=$O$2,$D96,$D96-($D96-$I$76)*MIN(E$3-$O$2,$Q$2)/$Q$2))</f>
        <v>6139.03305053711</v>
      </c>
      <c r="F96" s="15" t="n">
        <f aca="false">E96*(1+IF(F$3&lt;=$O$2,$D96,$D96-($D96-$I$76)*MIN(F$3-$O$2,$Q$2)/$Q$2))</f>
        <v>5745.08030420533</v>
      </c>
      <c r="G96" s="15" t="n">
        <f aca="false">F96*(1+IF(G$3&lt;=$O$2,$D96,$D96-($D96-$I$76)*MIN(G$3-$O$2,$Q$2)/$Q$2))</f>
        <v>5376.40821120523</v>
      </c>
      <c r="H96" s="15" t="n">
        <f aca="false">G96*(1+IF(H$3&lt;=$O$2,$D96,$D96-($D96-$I$76)*MIN(H$3-$O$2,$Q$2)/$Q$2))</f>
        <v>5031.39446673293</v>
      </c>
      <c r="I96" s="15" t="n">
        <f aca="false">H96*(1+IF(I$3&lt;=$O$2,$D96,$D96-($D96-$I$76)*MIN(I$3-$O$2,$Q$2)/$Q$2))</f>
        <v>4708.52087218948</v>
      </c>
      <c r="J96" s="15" t="n">
        <f aca="false">I96*(1+IF(J$3&lt;=$O$2,$D96,$D96-($D96-$I$76)*MIN(J$3-$O$2,$Q$2)/$Q$2))</f>
        <v>4488.73920530169</v>
      </c>
      <c r="K96" s="15" t="n">
        <f aca="false">J96*(1+IF(K$3&lt;=$O$2,$D96,$D96-($D96-$I$76)*MIN(K$3-$O$2,$Q$2)/$Q$2))</f>
        <v>4357.74399400696</v>
      </c>
      <c r="L96" s="15" t="n">
        <f aca="false">K96*(1+IF(L$3&lt;=$O$2,$D96,$D96-($D96-$I$76)*MIN(L$3-$O$2,$Q$2)/$Q$2))</f>
        <v>4306.80756018359</v>
      </c>
      <c r="M96" s="15" t="n">
        <f aca="false">L96*(1+IF(M$3&lt;=$O$2,$D96,$D96-($D96-$I$76)*MIN(M$3-$O$2,$Q$2)/$Q$2))</f>
        <v>4331.81134211351</v>
      </c>
      <c r="N96" s="15" t="n">
        <f aca="false">M96*(1+IF(N$3&lt;=$O$2,$D96,$D96-($D96-$I$76)*MIN(N$3-$O$2,$Q$2)/$Q$2))</f>
        <v>4432.74254638476</v>
      </c>
      <c r="O96" s="15" t="n">
        <f aca="false">SUMPRODUCT(E96:N96,1/(1+$F$76)^$E$3:$N$3)*$E$2</f>
        <v>11169.4322195879</v>
      </c>
      <c r="P96" s="15" t="n">
        <f aca="false">N96*$E$2*(1+$I$76)/($F$76-$I$76)/(1+$F$76)^$N$3</f>
        <v>15185.5927312332</v>
      </c>
      <c r="Q96" s="15" t="n">
        <f aca="false">O96+P96</f>
        <v>26355.0249508211</v>
      </c>
      <c r="R96" s="15" t="n">
        <f aca="false">Q96-$G$2+$I$2</f>
        <v>19009.8249508211</v>
      </c>
      <c r="S96" s="42" t="n">
        <f aca="false">R96/$K$2</f>
        <v>81.013530580955</v>
      </c>
      <c r="T96" s="43" t="n">
        <f aca="false">S96-$M$2</f>
        <v>-0.000746001188630885</v>
      </c>
    </row>
    <row r="97" customFormat="false" ht="15" hidden="false" customHeight="false" outlineLevel="0" collapsed="false">
      <c r="A97" s="5" t="n">
        <v>20</v>
      </c>
      <c r="B97" s="25" t="n">
        <f aca="false">IF(T96&gt;0,B96,D96)</f>
        <v>-0.0641717910766602</v>
      </c>
      <c r="C97" s="25" t="n">
        <f aca="false">IF(T96&gt;0,D96,C96)</f>
        <v>-0.0641689300537109</v>
      </c>
      <c r="D97" s="41" t="n">
        <f aca="false">(B97+C97)/2</f>
        <v>-0.0641703605651856</v>
      </c>
      <c r="E97" s="15" t="n">
        <f aca="false">$C$2*(1+IF(E$3&lt;=$O$2,$D97,$D97-($D97-$I$76)*MIN(E$3-$O$2,$Q$2)/$Q$2))</f>
        <v>6139.04243469238</v>
      </c>
      <c r="F97" s="15" t="n">
        <f aca="false">E97*(1+IF(F$3&lt;=$O$2,$D97,$D97-($D97-$I$76)*MIN(F$3-$O$2,$Q$2)/$Q$2))</f>
        <v>5745.0978681332</v>
      </c>
      <c r="G97" s="15" t="n">
        <f aca="false">F97*(1+IF(G$3&lt;=$O$2,$D97,$D97-($D97-$I$76)*MIN(G$3-$O$2,$Q$2)/$Q$2))</f>
        <v>5376.43286645281</v>
      </c>
      <c r="H97" s="15" t="n">
        <f aca="false">G97*(1+IF(H$3&lt;=$O$2,$D97,$D97-($D97-$I$76)*MIN(H$3-$O$2,$Q$2)/$Q$2))</f>
        <v>5031.42523085802</v>
      </c>
      <c r="I97" s="15" t="n">
        <f aca="false">H97*(1+IF(I$3&lt;=$O$2,$D97,$D97-($D97-$I$76)*MIN(I$3-$O$2,$Q$2)/$Q$2))</f>
        <v>4708.55685963709</v>
      </c>
      <c r="J97" s="15" t="n">
        <f aca="false">I97*(1+IF(J$3&lt;=$O$2,$D97,$D97-($D97-$I$76)*MIN(J$3-$O$2,$Q$2)/$Q$2))</f>
        <v>4488.77890146333</v>
      </c>
      <c r="K97" s="15" t="n">
        <f aca="false">J97*(1+IF(K$3&lt;=$O$2,$D97,$D97-($D97-$I$76)*MIN(K$3-$O$2,$Q$2)/$Q$2))</f>
        <v>4357.78638446239</v>
      </c>
      <c r="L97" s="15" t="n">
        <f aca="false">K97*(1+IF(L$3&lt;=$O$2,$D97,$D97-($D97-$I$76)*MIN(L$3-$O$2,$Q$2)/$Q$2))</f>
        <v>4306.85194869437</v>
      </c>
      <c r="M97" s="15" t="n">
        <f aca="false">L97*(1+IF(M$3&lt;=$O$2,$D97,$D97-($D97-$I$76)*MIN(M$3-$O$2,$Q$2)/$Q$2))</f>
        <v>4331.85722052831</v>
      </c>
      <c r="N97" s="15" t="n">
        <f aca="false">M97*(1+IF(N$3&lt;=$O$2,$D97,$D97-($D97-$I$76)*MIN(N$3-$O$2,$Q$2)/$Q$2))</f>
        <v>4432.78949376662</v>
      </c>
      <c r="O97" s="15" t="n">
        <f aca="false">SUMPRODUCT(E97:N97,1/(1+$F$76)^$E$3:$N$3)*$E$2</f>
        <v>11169.5022660941</v>
      </c>
      <c r="P97" s="15" t="n">
        <f aca="false">N97*$E$2*(1+$I$76)/($F$76-$I$76)/(1+$F$76)^$N$3</f>
        <v>15185.75356255</v>
      </c>
      <c r="Q97" s="15" t="n">
        <f aca="false">O97+P97</f>
        <v>26355.2558286441</v>
      </c>
      <c r="R97" s="15" t="n">
        <f aca="false">Q97-$G$2+$I$2</f>
        <v>19010.0558286441</v>
      </c>
      <c r="S97" s="42" t="n">
        <f aca="false">R97/$K$2</f>
        <v>81.0145145051953</v>
      </c>
      <c r="T97" s="43" t="n">
        <f aca="false">S97-$M$2</f>
        <v>0.000237923051670919</v>
      </c>
    </row>
    <row r="98" customFormat="false" ht="15" hidden="false" customHeight="false" outlineLevel="0" collapsed="false">
      <c r="A98" s="5" t="n">
        <v>21</v>
      </c>
      <c r="B98" s="25" t="n">
        <f aca="false">IF(T97&gt;0,B97,D97)</f>
        <v>-0.0641717910766602</v>
      </c>
      <c r="C98" s="25" t="n">
        <f aca="false">IF(T97&gt;0,D97,C97)</f>
        <v>-0.0641703605651856</v>
      </c>
      <c r="D98" s="41" t="n">
        <f aca="false">(B98+C98)/2</f>
        <v>-0.0641710758209229</v>
      </c>
      <c r="E98" s="15" t="n">
        <f aca="false">$C$2*(1+IF(E$3&lt;=$O$2,$D98,$D98-($D98-$I$76)*MIN(E$3-$O$2,$Q$2)/$Q$2))</f>
        <v>6139.03774261475</v>
      </c>
      <c r="F98" s="15" t="n">
        <f aca="false">E98*(1+IF(F$3&lt;=$O$2,$D98,$D98-($D98-$I$76)*MIN(F$3-$O$2,$Q$2)/$Q$2))</f>
        <v>5745.08908616591</v>
      </c>
      <c r="G98" s="15" t="n">
        <f aca="false">F98*(1+IF(G$3&lt;=$O$2,$D98,$D98-($D98-$I$76)*MIN(G$3-$O$2,$Q$2)/$Q$2))</f>
        <v>5376.4205388196</v>
      </c>
      <c r="H98" s="15" t="n">
        <f aca="false">G98*(1+IF(H$3&lt;=$O$2,$D98,$D98-($D98-$I$76)*MIN(H$3-$O$2,$Q$2)/$Q$2))</f>
        <v>5031.40984877784</v>
      </c>
      <c r="I98" s="15" t="n">
        <f aca="false">H98*(1+IF(I$3&lt;=$O$2,$D98,$D98-($D98-$I$76)*MIN(I$3-$O$2,$Q$2)/$Q$2))</f>
        <v>4708.53886588578</v>
      </c>
      <c r="J98" s="15" t="n">
        <f aca="false">I98*(1+IF(J$3&lt;=$O$2,$D98,$D98-($D98-$I$76)*MIN(J$3-$O$2,$Q$2)/$Q$2))</f>
        <v>4488.75905334599</v>
      </c>
      <c r="K98" s="15" t="n">
        <f aca="false">J98*(1+IF(K$3&lt;=$O$2,$D98,$D98-($D98-$I$76)*MIN(K$3-$O$2,$Q$2)/$Q$2))</f>
        <v>4357.76518919071</v>
      </c>
      <c r="L98" s="15" t="n">
        <f aca="false">K98*(1+IF(L$3&lt;=$O$2,$D98,$D98-($D98-$I$76)*MIN(L$3-$O$2,$Q$2)/$Q$2))</f>
        <v>4306.82975438946</v>
      </c>
      <c r="M98" s="15" t="n">
        <f aca="false">L98*(1+IF(M$3&lt;=$O$2,$D98,$D98-($D98-$I$76)*MIN(M$3-$O$2,$Q$2)/$Q$2))</f>
        <v>4331.83428126793</v>
      </c>
      <c r="N98" s="15" t="n">
        <f aca="false">M98*(1+IF(N$3&lt;=$O$2,$D98,$D98-($D98-$I$76)*MIN(N$3-$O$2,$Q$2)/$Q$2))</f>
        <v>4432.76602002147</v>
      </c>
      <c r="O98" s="15" t="n">
        <f aca="false">SUMPRODUCT(E98:N98,1/(1+$F$76)^$E$3:$N$3)*$E$2</f>
        <v>11169.4672427838</v>
      </c>
      <c r="P98" s="15" t="n">
        <f aca="false">N98*$E$2*(1+$I$76)/($F$76-$I$76)/(1+$F$76)^$N$3</f>
        <v>15185.6731467059</v>
      </c>
      <c r="Q98" s="15" t="n">
        <f aca="false">O98+P98</f>
        <v>26355.1403894896</v>
      </c>
      <c r="R98" s="15" t="n">
        <f aca="false">Q98-$G$2+$I$2</f>
        <v>19009.9403894896</v>
      </c>
      <c r="S98" s="42" t="n">
        <f aca="false">R98/$K$2</f>
        <v>81.0140225420398</v>
      </c>
      <c r="T98" s="43" t="n">
        <f aca="false">S98-$M$2</f>
        <v>-0.000254040103811803</v>
      </c>
    </row>
    <row r="99" customFormat="false" ht="15" hidden="false" customHeight="false" outlineLevel="0" collapsed="false">
      <c r="A99" s="5" t="n">
        <v>22</v>
      </c>
      <c r="B99" s="25" t="n">
        <f aca="false">IF(T98&gt;0,B98,D98)</f>
        <v>-0.0641710758209229</v>
      </c>
      <c r="C99" s="25" t="n">
        <f aca="false">IF(T98&gt;0,D98,C98)</f>
        <v>-0.0641703605651856</v>
      </c>
      <c r="D99" s="41" t="n">
        <f aca="false">(B99+C99)/2</f>
        <v>-0.0641707181930542</v>
      </c>
      <c r="E99" s="15" t="n">
        <f aca="false">$C$2*(1+IF(E$3&lt;=$O$2,$D99,$D99-($D99-$I$76)*MIN(E$3-$O$2,$Q$2)/$Q$2))</f>
        <v>6139.04008865356</v>
      </c>
      <c r="F99" s="15" t="n">
        <f aca="false">E99*(1+IF(F$3&lt;=$O$2,$D99,$D99-($D99-$I$76)*MIN(F$3-$O$2,$Q$2)/$Q$2))</f>
        <v>5745.09347714871</v>
      </c>
      <c r="G99" s="15" t="n">
        <f aca="false">F99*(1+IF(G$3&lt;=$O$2,$D99,$D99-($D99-$I$76)*MIN(G$3-$O$2,$Q$2)/$Q$2))</f>
        <v>5376.42670263385</v>
      </c>
      <c r="H99" s="15" t="n">
        <f aca="false">G99*(1+IF(H$3&lt;=$O$2,$D99,$D99-($D99-$I$76)*MIN(H$3-$O$2,$Q$2)/$Q$2))</f>
        <v>5031.41753981352</v>
      </c>
      <c r="I99" s="15" t="n">
        <f aca="false">H99*(1+IF(I$3&lt;=$O$2,$D99,$D99-($D99-$I$76)*MIN(I$3-$O$2,$Q$2)/$Q$2))</f>
        <v>4708.54786275456</v>
      </c>
      <c r="J99" s="15" t="n">
        <f aca="false">I99*(1+IF(J$3&lt;=$O$2,$D99,$D99-($D99-$I$76)*MIN(J$3-$O$2,$Q$2)/$Q$2))</f>
        <v>4488.76897739553</v>
      </c>
      <c r="K99" s="15" t="n">
        <f aca="false">J99*(1+IF(K$3&lt;=$O$2,$D99,$D99-($D99-$I$76)*MIN(K$3-$O$2,$Q$2)/$Q$2))</f>
        <v>4357.77578681555</v>
      </c>
      <c r="L99" s="15" t="n">
        <f aca="false">K99*(1+IF(L$3&lt;=$O$2,$D99,$D99-($D99-$I$76)*MIN(L$3-$O$2,$Q$2)/$Q$2))</f>
        <v>4306.84085152953</v>
      </c>
      <c r="M99" s="15" t="n">
        <f aca="false">L99*(1+IF(M$3&lt;=$O$2,$D99,$D99-($D99-$I$76)*MIN(M$3-$O$2,$Q$2)/$Q$2))</f>
        <v>4331.84575088488</v>
      </c>
      <c r="N99" s="15" t="n">
        <f aca="false">M99*(1+IF(N$3&lt;=$O$2,$D99,$D99-($D99-$I$76)*MIN(N$3-$O$2,$Q$2)/$Q$2))</f>
        <v>4432.77775688049</v>
      </c>
      <c r="O99" s="15" t="n">
        <f aca="false">SUMPRODUCT(E99:N99,1/(1+$F$76)^$E$3:$N$3)*$E$2</f>
        <v>11169.4847544246</v>
      </c>
      <c r="P99" s="15" t="n">
        <f aca="false">N99*$E$2*(1+$I$76)/($F$76-$I$76)/(1+$F$76)^$N$3</f>
        <v>15185.7133545815</v>
      </c>
      <c r="Q99" s="15" t="n">
        <f aca="false">O99+P99</f>
        <v>26355.1981090061</v>
      </c>
      <c r="R99" s="15" t="n">
        <f aca="false">Q99-$G$2+$I$2</f>
        <v>19009.9981090061</v>
      </c>
      <c r="S99" s="42" t="n">
        <f aca="false">R99/$K$2</f>
        <v>81.0142685233588</v>
      </c>
      <c r="T99" s="43" t="n">
        <f aca="false">S99-$M$2</f>
        <v>-8.05878487142309E-006</v>
      </c>
    </row>
    <row r="100" customFormat="false" ht="15" hidden="false" customHeight="false" outlineLevel="0" collapsed="false">
      <c r="A100" s="5" t="n">
        <v>23</v>
      </c>
      <c r="B100" s="25" t="n">
        <f aca="false">IF(T99&gt;0,B99,D99)</f>
        <v>-0.0641707181930542</v>
      </c>
      <c r="C100" s="25" t="n">
        <f aca="false">IF(T99&gt;0,D99,C99)</f>
        <v>-0.0641703605651856</v>
      </c>
      <c r="D100" s="41" t="n">
        <f aca="false">(B100+C100)/2</f>
        <v>-0.0641705393791199</v>
      </c>
      <c r="E100" s="15" t="n">
        <f aca="false">$C$2*(1+IF(E$3&lt;=$O$2,$D100,$D100-($D100-$I$76)*MIN(E$3-$O$2,$Q$2)/$Q$2))</f>
        <v>6139.04126167297</v>
      </c>
      <c r="F100" s="15" t="n">
        <f aca="false">E100*(1+IF(F$3&lt;=$O$2,$D100,$D100-($D100-$I$76)*MIN(F$3-$O$2,$Q$2)/$Q$2))</f>
        <v>5745.09567264075</v>
      </c>
      <c r="G100" s="15" t="n">
        <f aca="false">F100*(1+IF(G$3&lt;=$O$2,$D100,$D100-($D100-$I$76)*MIN(G$3-$O$2,$Q$2)/$Q$2))</f>
        <v>5376.42978454274</v>
      </c>
      <c r="H100" s="15" t="n">
        <f aca="false">G100*(1+IF(H$3&lt;=$O$2,$D100,$D100-($D100-$I$76)*MIN(H$3-$O$2,$Q$2)/$Q$2))</f>
        <v>5031.42138533467</v>
      </c>
      <c r="I100" s="15" t="n">
        <f aca="false">H100*(1+IF(I$3&lt;=$O$2,$D100,$D100-($D100-$I$76)*MIN(I$3-$O$2,$Q$2)/$Q$2))</f>
        <v>4708.55236119411</v>
      </c>
      <c r="J100" s="15" t="n">
        <f aca="false">I100*(1+IF(J$3&lt;=$O$2,$D100,$D100-($D100-$I$76)*MIN(J$3-$O$2,$Q$2)/$Q$2))</f>
        <v>4488.77393942715</v>
      </c>
      <c r="K100" s="15" t="n">
        <f aca="false">J100*(1+IF(K$3&lt;=$O$2,$D100,$D100-($D100-$I$76)*MIN(K$3-$O$2,$Q$2)/$Q$2))</f>
        <v>4357.78108563622</v>
      </c>
      <c r="L100" s="15" t="n">
        <f aca="false">K100*(1+IF(L$3&lt;=$O$2,$D100,$D100-($D100-$I$76)*MIN(L$3-$O$2,$Q$2)/$Q$2))</f>
        <v>4306.84640010885</v>
      </c>
      <c r="M100" s="15" t="n">
        <f aca="false">L100*(1+IF(M$3&lt;=$O$2,$D100,$D100-($D100-$I$76)*MIN(M$3-$O$2,$Q$2)/$Q$2))</f>
        <v>4331.85148570328</v>
      </c>
      <c r="N100" s="15" t="n">
        <f aca="false">M100*(1+IF(N$3&lt;=$O$2,$D100,$D100-($D100-$I$76)*MIN(N$3-$O$2,$Q$2)/$Q$2))</f>
        <v>4432.78362532017</v>
      </c>
      <c r="O100" s="15" t="n">
        <f aca="false">SUMPRODUCT(E100:N100,1/(1+$F$76)^$E$3:$N$3)*$E$2</f>
        <v>11169.4935102558</v>
      </c>
      <c r="P100" s="15" t="n">
        <f aca="false">N100*$E$2*(1+$I$76)/($F$76-$I$76)/(1+$F$76)^$N$3</f>
        <v>15185.7334585542</v>
      </c>
      <c r="Q100" s="15" t="n">
        <f aca="false">O100+P100</f>
        <v>26355.2269688099</v>
      </c>
      <c r="R100" s="15" t="n">
        <f aca="false">Q100-$G$2+$I$2</f>
        <v>19010.0269688099</v>
      </c>
      <c r="S100" s="42" t="n">
        <f aca="false">R100/$K$2</f>
        <v>81.0143915142123</v>
      </c>
      <c r="T100" s="43" t="n">
        <f aca="false">S100-$M$2</f>
        <v>0.000114932068669305</v>
      </c>
    </row>
    <row r="101" customFormat="false" ht="15" hidden="false" customHeight="false" outlineLevel="0" collapsed="false">
      <c r="A101" s="5" t="n">
        <v>24</v>
      </c>
      <c r="B101" s="25" t="n">
        <f aca="false">IF(T100&gt;0,B100,D100)</f>
        <v>-0.0641707181930542</v>
      </c>
      <c r="C101" s="25" t="n">
        <f aca="false">IF(T100&gt;0,D100,C100)</f>
        <v>-0.0641705393791199</v>
      </c>
      <c r="D101" s="41" t="n">
        <f aca="false">(B101+C101)/2</f>
        <v>-0.064170628786087</v>
      </c>
      <c r="E101" s="15" t="n">
        <f aca="false">$C$2*(1+IF(E$3&lt;=$O$2,$D101,$D101-($D101-$I$76)*MIN(E$3-$O$2,$Q$2)/$Q$2))</f>
        <v>6139.04067516327</v>
      </c>
      <c r="F101" s="15" t="n">
        <f aca="false">E101*(1+IF(F$3&lt;=$O$2,$D101,$D101-($D101-$I$76)*MIN(F$3-$O$2,$Q$2)/$Q$2))</f>
        <v>5745.09457489468</v>
      </c>
      <c r="G101" s="15" t="n">
        <f aca="false">F101*(1+IF(G$3&lt;=$O$2,$D101,$D101-($D101-$I$76)*MIN(G$3-$O$2,$Q$2)/$Q$2))</f>
        <v>5376.42824358815</v>
      </c>
      <c r="H101" s="15" t="n">
        <f aca="false">G101*(1+IF(H$3&lt;=$O$2,$D101,$D101-($D101-$I$76)*MIN(H$3-$O$2,$Q$2)/$Q$2))</f>
        <v>5031.41946257382</v>
      </c>
      <c r="I101" s="15" t="n">
        <f aca="false">H101*(1+IF(I$3&lt;=$O$2,$D101,$D101-($D101-$I$76)*MIN(I$3-$O$2,$Q$2)/$Q$2))</f>
        <v>4708.5501119739</v>
      </c>
      <c r="J101" s="15" t="n">
        <f aca="false">I101*(1+IF(J$3&lt;=$O$2,$D101,$D101-($D101-$I$76)*MIN(J$3-$O$2,$Q$2)/$Q$2))</f>
        <v>4488.77145841077</v>
      </c>
      <c r="K101" s="15" t="n">
        <f aca="false">J101*(1+IF(K$3&lt;=$O$2,$D101,$D101-($D101-$I$76)*MIN(K$3-$O$2,$Q$2)/$Q$2))</f>
        <v>4357.7784362252</v>
      </c>
      <c r="L101" s="15" t="n">
        <f aca="false">K101*(1+IF(L$3&lt;=$O$2,$D101,$D101-($D101-$I$76)*MIN(L$3-$O$2,$Q$2)/$Q$2))</f>
        <v>4306.84362581842</v>
      </c>
      <c r="M101" s="15" t="n">
        <f aca="false">L101*(1+IF(M$3&lt;=$O$2,$D101,$D101-($D101-$I$76)*MIN(M$3-$O$2,$Q$2)/$Q$2))</f>
        <v>4331.84861829325</v>
      </c>
      <c r="N101" s="15" t="n">
        <f aca="false">M101*(1+IF(N$3&lt;=$O$2,$D101,$D101-($D101-$I$76)*MIN(N$3-$O$2,$Q$2)/$Q$2))</f>
        <v>4432.78069109949</v>
      </c>
      <c r="O101" s="15" t="n">
        <f aca="false">SUMPRODUCT(E101:N101,1/(1+$F$76)^$E$3:$N$3)*$E$2</f>
        <v>11169.4891323393</v>
      </c>
      <c r="P101" s="15" t="n">
        <f aca="false">N101*$E$2*(1+$I$76)/($F$76-$I$76)/(1+$F$76)^$N$3</f>
        <v>15185.7234065649</v>
      </c>
      <c r="Q101" s="15" t="n">
        <f aca="false">O101+P101</f>
        <v>26355.2125389042</v>
      </c>
      <c r="R101" s="15" t="n">
        <f aca="false">Q101-$G$2+$I$2</f>
        <v>19010.0125389042</v>
      </c>
      <c r="S101" s="42" t="n">
        <f aca="false">R101/$K$2</f>
        <v>81.0143300187694</v>
      </c>
      <c r="T101" s="43" t="n">
        <f aca="false">S101-$M$2</f>
        <v>5.34366257340935E-005</v>
      </c>
    </row>
    <row r="103" customFormat="false" ht="15" hidden="false" customHeight="false" outlineLevel="0" collapsed="false">
      <c r="A103" s="38" t="s">
        <v>185</v>
      </c>
      <c r="E103" s="5" t="s">
        <v>11</v>
      </c>
      <c r="F103" s="12" t="n">
        <f aca="false">Sensitivity!$B$10</f>
        <v>0.0712368036285737</v>
      </c>
      <c r="G103" s="5" t="s">
        <v>12</v>
      </c>
      <c r="I103" s="12" t="n">
        <f aca="false">Sensitivity!$E$9</f>
        <v>0.0283</v>
      </c>
    </row>
    <row r="104" customFormat="false" ht="23.85" hidden="false" customHeight="false" outlineLevel="0" collapsed="false">
      <c r="A104" s="38" t="s">
        <v>163</v>
      </c>
      <c r="B104" s="28" t="s">
        <v>164</v>
      </c>
      <c r="C104" s="28" t="s">
        <v>165</v>
      </c>
      <c r="D104" s="28" t="s">
        <v>166</v>
      </c>
      <c r="E104" s="28" t="s">
        <v>167</v>
      </c>
      <c r="F104" s="28" t="s">
        <v>168</v>
      </c>
      <c r="G104" s="28" t="s">
        <v>169</v>
      </c>
      <c r="H104" s="28" t="s">
        <v>170</v>
      </c>
      <c r="I104" s="28" t="s">
        <v>171</v>
      </c>
      <c r="J104" s="28" t="s">
        <v>172</v>
      </c>
      <c r="K104" s="28" t="s">
        <v>173</v>
      </c>
      <c r="L104" s="28" t="s">
        <v>174</v>
      </c>
      <c r="M104" s="28" t="s">
        <v>175</v>
      </c>
      <c r="N104" s="28" t="s">
        <v>176</v>
      </c>
      <c r="O104" s="28" t="s">
        <v>177</v>
      </c>
      <c r="P104" s="28" t="s">
        <v>178</v>
      </c>
      <c r="Q104" s="28" t="s">
        <v>179</v>
      </c>
      <c r="R104" s="28" t="s">
        <v>180</v>
      </c>
      <c r="S104" s="28" t="s">
        <v>181</v>
      </c>
      <c r="T104" s="28" t="s">
        <v>182</v>
      </c>
    </row>
    <row r="105" customFormat="false" ht="15" hidden="false" customHeight="false" outlineLevel="0" collapsed="false">
      <c r="A105" s="5" t="n">
        <v>1</v>
      </c>
      <c r="B105" s="24" t="n">
        <v>-0.5</v>
      </c>
      <c r="C105" s="24" t="n">
        <v>1</v>
      </c>
      <c r="D105" s="41" t="n">
        <f aca="false">(B105+C105)/2</f>
        <v>0.25</v>
      </c>
      <c r="E105" s="15" t="n">
        <f aca="false">$C$2*(1+IF(E$3&lt;=$O$2,$D105,$D105-($D105-$I$103)*MIN(E$3-$O$2,$Q$2)/$Q$2))</f>
        <v>8200</v>
      </c>
      <c r="F105" s="15" t="n">
        <f aca="false">E105*(1+IF(F$3&lt;=$O$2,$D105,$D105-($D105-$I$103)*MIN(F$3-$O$2,$Q$2)/$Q$2))</f>
        <v>10250</v>
      </c>
      <c r="G105" s="15" t="n">
        <f aca="false">F105*(1+IF(G$3&lt;=$O$2,$D105,$D105-($D105-$I$103)*MIN(G$3-$O$2,$Q$2)/$Q$2))</f>
        <v>12812.5</v>
      </c>
      <c r="H105" s="15" t="n">
        <f aca="false">G105*(1+IF(H$3&lt;=$O$2,$D105,$D105-($D105-$I$103)*MIN(H$3-$O$2,$Q$2)/$Q$2))</f>
        <v>16015.625</v>
      </c>
      <c r="I105" s="15" t="n">
        <f aca="false">H105*(1+IF(I$3&lt;=$O$2,$D105,$D105-($D105-$I$103)*MIN(I$3-$O$2,$Q$2)/$Q$2))</f>
        <v>20019.53125</v>
      </c>
      <c r="J105" s="15" t="n">
        <f aca="false">I105*(1+IF(J$3&lt;=$O$2,$D105,$D105-($D105-$I$103)*MIN(J$3-$O$2,$Q$2)/$Q$2))</f>
        <v>24136.748046875</v>
      </c>
      <c r="K105" s="15" t="n">
        <f aca="false">J105*(1+IF(K$3&lt;=$O$2,$D105,$D105-($D105-$I$103)*MIN(K$3-$O$2,$Q$2)/$Q$2))</f>
        <v>28030.4882417969</v>
      </c>
      <c r="L105" s="15" t="n">
        <f aca="false">K105*(1+IF(L$3&lt;=$O$2,$D105,$D105-($D105-$I$103)*MIN(L$3-$O$2,$Q$2)/$Q$2))</f>
        <v>31309.4947563223</v>
      </c>
      <c r="M105" s="15" t="n">
        <f aca="false">L105*(1+IF(M$3&lt;=$O$2,$D105,$D105-($D105-$I$103)*MIN(M$3-$O$2,$Q$2)/$Q$2))</f>
        <v>33583.8164554215</v>
      </c>
      <c r="N105" s="15" t="n">
        <f aca="false">M105*(1+IF(N$3&lt;=$O$2,$D105,$D105-($D105-$I$103)*MIN(N$3-$O$2,$Q$2)/$Q$2))</f>
        <v>34534.23846111</v>
      </c>
      <c r="O105" s="15" t="n">
        <f aca="false">SUMPRODUCT(E105:N105,1/(1+$F$103)^$E$3:$N$3)*$E$2</f>
        <v>44754.2564337948</v>
      </c>
      <c r="P105" s="15" t="n">
        <f aca="false">N105*$E$2*(1+$I$103)/($F$103-$I$103)/(1+$F$103)^$N$3</f>
        <v>132728.854627827</v>
      </c>
      <c r="Q105" s="15" t="n">
        <f aca="false">O105+P105</f>
        <v>177483.111061622</v>
      </c>
      <c r="R105" s="15" t="n">
        <f aca="false">Q105-$G$2+$I$2</f>
        <v>170137.911061622</v>
      </c>
      <c r="S105" s="42" t="n">
        <f aca="false">R105/$K$2</f>
        <v>725.071003885028</v>
      </c>
      <c r="T105" s="43" t="n">
        <f aca="false">S105-$M$2</f>
        <v>644.056727302885</v>
      </c>
    </row>
    <row r="106" customFormat="false" ht="15" hidden="false" customHeight="false" outlineLevel="0" collapsed="false">
      <c r="A106" s="5" t="n">
        <v>2</v>
      </c>
      <c r="B106" s="25" t="n">
        <f aca="false">IF(T105&gt;0,B105,D105)</f>
        <v>-0.5</v>
      </c>
      <c r="C106" s="25" t="n">
        <f aca="false">IF(T105&gt;0,D105,C105)</f>
        <v>0.25</v>
      </c>
      <c r="D106" s="41" t="n">
        <f aca="false">(B106+C106)/2</f>
        <v>-0.125</v>
      </c>
      <c r="E106" s="15" t="n">
        <f aca="false">$C$2*(1+IF(E$3&lt;=$O$2,$D106,$D106-($D106-$I$103)*MIN(E$3-$O$2,$Q$2)/$Q$2))</f>
        <v>5740</v>
      </c>
      <c r="F106" s="15" t="n">
        <f aca="false">E106*(1+IF(F$3&lt;=$O$2,$D106,$D106-($D106-$I$103)*MIN(F$3-$O$2,$Q$2)/$Q$2))</f>
        <v>5022.5</v>
      </c>
      <c r="G106" s="15" t="n">
        <f aca="false">F106*(1+IF(G$3&lt;=$O$2,$D106,$D106-($D106-$I$103)*MIN(G$3-$O$2,$Q$2)/$Q$2))</f>
        <v>4394.6875</v>
      </c>
      <c r="H106" s="15" t="n">
        <f aca="false">G106*(1+IF(H$3&lt;=$O$2,$D106,$D106-($D106-$I$103)*MIN(H$3-$O$2,$Q$2)/$Q$2))</f>
        <v>3845.3515625</v>
      </c>
      <c r="I106" s="15" t="n">
        <f aca="false">H106*(1+IF(I$3&lt;=$O$2,$D106,$D106-($D106-$I$103)*MIN(I$3-$O$2,$Q$2)/$Q$2))</f>
        <v>3364.6826171875</v>
      </c>
      <c r="J106" s="15" t="n">
        <f aca="false">I106*(1+IF(J$3&lt;=$O$2,$D106,$D106-($D106-$I$103)*MIN(J$3-$O$2,$Q$2)/$Q$2))</f>
        <v>3047.25845908203</v>
      </c>
      <c r="K106" s="15" t="n">
        <f aca="false">J106*(1+IF(K$3&lt;=$O$2,$D106,$D106-($D106-$I$103)*MIN(K$3-$O$2,$Q$2)/$Q$2))</f>
        <v>2853.20904040769</v>
      </c>
      <c r="L106" s="15" t="n">
        <f aca="false">K106*(1+IF(L$3&lt;=$O$2,$D106,$D106-($D106-$I$103)*MIN(L$3-$O$2,$Q$2)/$Q$2))</f>
        <v>2758.99607789343</v>
      </c>
      <c r="M106" s="15" t="n">
        <f aca="false">L106*(1+IF(M$3&lt;=$O$2,$D106,$D106-($D106-$I$103)*MIN(M$3-$O$2,$Q$2)/$Q$2))</f>
        <v>2752.4848471496</v>
      </c>
      <c r="N106" s="15" t="n">
        <f aca="false">M106*(1+IF(N$3&lt;=$O$2,$D106,$D106-($D106-$I$103)*MIN(N$3-$O$2,$Q$2)/$Q$2))</f>
        <v>2830.38016832393</v>
      </c>
      <c r="O106" s="15" t="n">
        <f aca="false">SUMPRODUCT(E106:N106,1/(1+$F$103)^$E$3:$N$3)*$E$2</f>
        <v>8587.32626040448</v>
      </c>
      <c r="P106" s="15" t="n">
        <f aca="false">N106*$E$2*(1+$I$103)/($F$103-$I$103)/(1+$F$103)^$N$3</f>
        <v>10878.2800676496</v>
      </c>
      <c r="Q106" s="15" t="n">
        <f aca="false">O106+P106</f>
        <v>19465.6063280541</v>
      </c>
      <c r="R106" s="15" t="n">
        <f aca="false">Q106-$G$2+$I$2</f>
        <v>12120.4063280541</v>
      </c>
      <c r="S106" s="42" t="n">
        <f aca="false">R106/$K$2</f>
        <v>51.6531273302967</v>
      </c>
      <c r="T106" s="43" t="n">
        <f aca="false">S106-$M$2</f>
        <v>-29.3611492518469</v>
      </c>
    </row>
    <row r="107" customFormat="false" ht="15" hidden="false" customHeight="false" outlineLevel="0" collapsed="false">
      <c r="A107" s="5" t="n">
        <v>3</v>
      </c>
      <c r="B107" s="25" t="n">
        <f aca="false">IF(T106&gt;0,B106,D106)</f>
        <v>-0.125</v>
      </c>
      <c r="C107" s="25" t="n">
        <f aca="false">IF(T106&gt;0,D106,C106)</f>
        <v>0.25</v>
      </c>
      <c r="D107" s="41" t="n">
        <f aca="false">(B107+C107)/2</f>
        <v>0.0625</v>
      </c>
      <c r="E107" s="15" t="n">
        <f aca="false">$C$2*(1+IF(E$3&lt;=$O$2,$D107,$D107-($D107-$I$103)*MIN(E$3-$O$2,$Q$2)/$Q$2))</f>
        <v>6970</v>
      </c>
      <c r="F107" s="15" t="n">
        <f aca="false">E107*(1+IF(F$3&lt;=$O$2,$D107,$D107-($D107-$I$103)*MIN(F$3-$O$2,$Q$2)/$Q$2))</f>
        <v>7405.625</v>
      </c>
      <c r="G107" s="15" t="n">
        <f aca="false">F107*(1+IF(G$3&lt;=$O$2,$D107,$D107-($D107-$I$103)*MIN(G$3-$O$2,$Q$2)/$Q$2))</f>
        <v>7868.4765625</v>
      </c>
      <c r="H107" s="15" t="n">
        <f aca="false">G107*(1+IF(H$3&lt;=$O$2,$D107,$D107-($D107-$I$103)*MIN(H$3-$O$2,$Q$2)/$Q$2))</f>
        <v>8360.25634765625</v>
      </c>
      <c r="I107" s="15" t="n">
        <f aca="false">H107*(1+IF(I$3&lt;=$O$2,$D107,$D107-($D107-$I$103)*MIN(I$3-$O$2,$Q$2)/$Q$2))</f>
        <v>8882.77236938477</v>
      </c>
      <c r="J107" s="15" t="n">
        <f aca="false">I107*(1+IF(J$3&lt;=$O$2,$D107,$D107-($D107-$I$103)*MIN(J$3-$O$2,$Q$2)/$Q$2))</f>
        <v>9377.18747946472</v>
      </c>
      <c r="K107" s="15" t="n">
        <f aca="false">J107*(1+IF(K$3&lt;=$O$2,$D107,$D107-($D107-$I$103)*MIN(K$3-$O$2,$Q$2)/$Q$2))</f>
        <v>9834.98177221219</v>
      </c>
      <c r="L107" s="15" t="n">
        <f aca="false">K107*(1+IF(L$3&lt;=$O$2,$D107,$D107-($D107-$I$103)*MIN(L$3-$O$2,$Q$2)/$Q$2))</f>
        <v>10247.8543070097</v>
      </c>
      <c r="M107" s="15" t="n">
        <f aca="false">L107*(1+IF(M$3&lt;=$O$2,$D107,$D107-($D107-$I$103)*MIN(M$3-$O$2,$Q$2)/$Q$2))</f>
        <v>10607.963907358</v>
      </c>
      <c r="N107" s="15" t="n">
        <f aca="false">M107*(1+IF(N$3&lt;=$O$2,$D107,$D107-($D107-$I$103)*MIN(N$3-$O$2,$Q$2)/$Q$2))</f>
        <v>10908.1692859362</v>
      </c>
      <c r="O107" s="15" t="n">
        <f aca="false">SUMPRODUCT(E107:N107,1/(1+$F$103)^$E$3:$N$3)*$E$2</f>
        <v>19604.8880535828</v>
      </c>
      <c r="P107" s="15" t="n">
        <f aca="false">N107*$E$2*(1+$I$103)/($F$103-$I$103)/(1+$F$103)^$N$3</f>
        <v>41924.4459969546</v>
      </c>
      <c r="Q107" s="15" t="n">
        <f aca="false">O107+P107</f>
        <v>61529.3340505374</v>
      </c>
      <c r="R107" s="15" t="n">
        <f aca="false">Q107-$G$2+$I$2</f>
        <v>54184.1340505374</v>
      </c>
      <c r="S107" s="42" t="n">
        <f aca="false">R107/$K$2</f>
        <v>230.914698702482</v>
      </c>
      <c r="T107" s="43" t="n">
        <f aca="false">S107-$M$2</f>
        <v>149.900422120338</v>
      </c>
    </row>
    <row r="108" customFormat="false" ht="15" hidden="false" customHeight="false" outlineLevel="0" collapsed="false">
      <c r="A108" s="5" t="n">
        <v>4</v>
      </c>
      <c r="B108" s="25" t="n">
        <f aca="false">IF(T107&gt;0,B107,D107)</f>
        <v>-0.125</v>
      </c>
      <c r="C108" s="25" t="n">
        <f aca="false">IF(T107&gt;0,D107,C107)</f>
        <v>0.0625</v>
      </c>
      <c r="D108" s="41" t="n">
        <f aca="false">(B108+C108)/2</f>
        <v>-0.03125</v>
      </c>
      <c r="E108" s="15" t="n">
        <f aca="false">$C$2*(1+IF(E$3&lt;=$O$2,$D108,$D108-($D108-$I$103)*MIN(E$3-$O$2,$Q$2)/$Q$2))</f>
        <v>6355</v>
      </c>
      <c r="F108" s="15" t="n">
        <f aca="false">E108*(1+IF(F$3&lt;=$O$2,$D108,$D108-($D108-$I$103)*MIN(F$3-$O$2,$Q$2)/$Q$2))</f>
        <v>6156.40625</v>
      </c>
      <c r="G108" s="15" t="n">
        <f aca="false">F108*(1+IF(G$3&lt;=$O$2,$D108,$D108-($D108-$I$103)*MIN(G$3-$O$2,$Q$2)/$Q$2))</f>
        <v>5964.0185546875</v>
      </c>
      <c r="H108" s="15" t="n">
        <f aca="false">G108*(1+IF(H$3&lt;=$O$2,$D108,$D108-($D108-$I$103)*MIN(H$3-$O$2,$Q$2)/$Q$2))</f>
        <v>5777.64297485352</v>
      </c>
      <c r="I108" s="15" t="n">
        <f aca="false">H108*(1+IF(I$3&lt;=$O$2,$D108,$D108-($D108-$I$103)*MIN(I$3-$O$2,$Q$2)/$Q$2))</f>
        <v>5597.09163188934</v>
      </c>
      <c r="J108" s="15" t="n">
        <f aca="false">I108*(1+IF(J$3&lt;=$O$2,$D108,$D108-($D108-$I$103)*MIN(J$3-$O$2,$Q$2)/$Q$2))</f>
        <v>5488.8438797286</v>
      </c>
      <c r="K108" s="15" t="n">
        <f aca="false">J108*(1+IF(K$3&lt;=$O$2,$D108,$D108-($D108-$I$103)*MIN(K$3-$O$2,$Q$2)/$Q$2))</f>
        <v>5448.06176970222</v>
      </c>
      <c r="L108" s="15" t="n">
        <f aca="false">K108*(1+IF(L$3&lt;=$O$2,$D108,$D108-($D108-$I$103)*MIN(L$3-$O$2,$Q$2)/$Q$2))</f>
        <v>5472.46908643049</v>
      </c>
      <c r="M108" s="15" t="n">
        <f aca="false">L108*(1+IF(M$3&lt;=$O$2,$D108,$D108-($D108-$I$103)*MIN(M$3-$O$2,$Q$2)/$Q$2))</f>
        <v>5562.16285475708</v>
      </c>
      <c r="N108" s="15" t="n">
        <f aca="false">M108*(1+IF(N$3&lt;=$O$2,$D108,$D108-($D108-$I$103)*MIN(N$3-$O$2,$Q$2)/$Q$2))</f>
        <v>5719.57206354671</v>
      </c>
      <c r="O108" s="15" t="n">
        <f aca="false">SUMPRODUCT(E108:N108,1/(1+$F$103)^$E$3:$N$3)*$E$2</f>
        <v>12942.2293317493</v>
      </c>
      <c r="P108" s="15" t="n">
        <f aca="false">N108*$E$2*(1+$I$103)/($F$103-$I$103)/(1+$F$103)^$N$3</f>
        <v>21982.5970626448</v>
      </c>
      <c r="Q108" s="15" t="n">
        <f aca="false">O108+P108</f>
        <v>34924.8263943941</v>
      </c>
      <c r="R108" s="15" t="n">
        <f aca="false">Q108-$G$2+$I$2</f>
        <v>27579.6263943941</v>
      </c>
      <c r="S108" s="42" t="n">
        <f aca="false">R108/$K$2</f>
        <v>117.535164689513</v>
      </c>
      <c r="T108" s="43" t="n">
        <f aca="false">S108-$M$2</f>
        <v>36.520888107369</v>
      </c>
    </row>
    <row r="109" customFormat="false" ht="15" hidden="false" customHeight="false" outlineLevel="0" collapsed="false">
      <c r="A109" s="5" t="n">
        <v>5</v>
      </c>
      <c r="B109" s="25" t="n">
        <f aca="false">IF(T108&gt;0,B108,D108)</f>
        <v>-0.125</v>
      </c>
      <c r="C109" s="25" t="n">
        <f aca="false">IF(T108&gt;0,D108,C108)</f>
        <v>-0.03125</v>
      </c>
      <c r="D109" s="41" t="n">
        <f aca="false">(B109+C109)/2</f>
        <v>-0.078125</v>
      </c>
      <c r="E109" s="15" t="n">
        <f aca="false">$C$2*(1+IF(E$3&lt;=$O$2,$D109,$D109-($D109-$I$103)*MIN(E$3-$O$2,$Q$2)/$Q$2))</f>
        <v>6047.5</v>
      </c>
      <c r="F109" s="15" t="n">
        <f aca="false">E109*(1+IF(F$3&lt;=$O$2,$D109,$D109-($D109-$I$103)*MIN(F$3-$O$2,$Q$2)/$Q$2))</f>
        <v>5575.0390625</v>
      </c>
      <c r="G109" s="15" t="n">
        <f aca="false">F109*(1+IF(G$3&lt;=$O$2,$D109,$D109-($D109-$I$103)*MIN(G$3-$O$2,$Q$2)/$Q$2))</f>
        <v>5139.48913574219</v>
      </c>
      <c r="H109" s="15" t="n">
        <f aca="false">G109*(1+IF(H$3&lt;=$O$2,$D109,$D109-($D109-$I$103)*MIN(H$3-$O$2,$Q$2)/$Q$2))</f>
        <v>4737.96654701233</v>
      </c>
      <c r="I109" s="15" t="n">
        <f aca="false">H109*(1+IF(I$3&lt;=$O$2,$D109,$D109-($D109-$I$103)*MIN(I$3-$O$2,$Q$2)/$Q$2))</f>
        <v>4367.81291052699</v>
      </c>
      <c r="J109" s="15" t="n">
        <f aca="false">I109*(1+IF(J$3&lt;=$O$2,$D109,$D109-($D109-$I$103)*MIN(J$3-$O$2,$Q$2)/$Q$2))</f>
        <v>4119.54642469264</v>
      </c>
      <c r="K109" s="15" t="n">
        <f aca="false">J109*(1+IF(K$3&lt;=$O$2,$D109,$D109-($D109-$I$103)*MIN(K$3-$O$2,$Q$2)/$Q$2))</f>
        <v>3973.07595156269</v>
      </c>
      <c r="L109" s="15" t="n">
        <f aca="false">K109*(1+IF(L$3&lt;=$O$2,$D109,$D109-($D109-$I$103)*MIN(L$3-$O$2,$Q$2)/$Q$2))</f>
        <v>3916.38015773389</v>
      </c>
      <c r="M109" s="15" t="n">
        <f aca="false">L109*(1+IF(M$3&lt;=$O$2,$D109,$D109-($D109-$I$103)*MIN(M$3-$O$2,$Q$2)/$Q$2))</f>
        <v>3943.85356454039</v>
      </c>
      <c r="N109" s="15" t="n">
        <f aca="false">M109*(1+IF(N$3&lt;=$O$2,$D109,$D109-($D109-$I$103)*MIN(N$3-$O$2,$Q$2)/$Q$2))</f>
        <v>4055.46462041689</v>
      </c>
      <c r="O109" s="15" t="n">
        <f aca="false">SUMPRODUCT(E109:N109,1/(1+$F$103)^$E$3:$N$3)*$E$2</f>
        <v>10531.9275690738</v>
      </c>
      <c r="P109" s="15" t="n">
        <f aca="false">N109*$E$2*(1+$I$103)/($F$103-$I$103)/(1+$F$103)^$N$3</f>
        <v>15586.7683214668</v>
      </c>
      <c r="Q109" s="15" t="n">
        <f aca="false">O109+P109</f>
        <v>26118.6958905406</v>
      </c>
      <c r="R109" s="15" t="n">
        <f aca="false">Q109-$G$2+$I$2</f>
        <v>18773.4958905406</v>
      </c>
      <c r="S109" s="42" t="n">
        <f aca="false">R109/$K$2</f>
        <v>80.0063749863226</v>
      </c>
      <c r="T109" s="43" t="n">
        <f aca="false">S109-$M$2</f>
        <v>-1.00790159582105</v>
      </c>
    </row>
    <row r="110" customFormat="false" ht="15" hidden="false" customHeight="false" outlineLevel="0" collapsed="false">
      <c r="A110" s="5" t="n">
        <v>6</v>
      </c>
      <c r="B110" s="25" t="n">
        <f aca="false">IF(T109&gt;0,B109,D109)</f>
        <v>-0.078125</v>
      </c>
      <c r="C110" s="25" t="n">
        <f aca="false">IF(T109&gt;0,D109,C109)</f>
        <v>-0.03125</v>
      </c>
      <c r="D110" s="41" t="n">
        <f aca="false">(B110+C110)/2</f>
        <v>-0.0546875</v>
      </c>
      <c r="E110" s="15" t="n">
        <f aca="false">$C$2*(1+IF(E$3&lt;=$O$2,$D110,$D110-($D110-$I$103)*MIN(E$3-$O$2,$Q$2)/$Q$2))</f>
        <v>6201.25</v>
      </c>
      <c r="F110" s="15" t="n">
        <f aca="false">E110*(1+IF(F$3&lt;=$O$2,$D110,$D110-($D110-$I$103)*MIN(F$3-$O$2,$Q$2)/$Q$2))</f>
        <v>5862.119140625</v>
      </c>
      <c r="G110" s="15" t="n">
        <f aca="false">F110*(1+IF(G$3&lt;=$O$2,$D110,$D110-($D110-$I$103)*MIN(G$3-$O$2,$Q$2)/$Q$2))</f>
        <v>5541.53450012207</v>
      </c>
      <c r="H110" s="15" t="n">
        <f aca="false">G110*(1+IF(H$3&lt;=$O$2,$D110,$D110-($D110-$I$103)*MIN(H$3-$O$2,$Q$2)/$Q$2))</f>
        <v>5238.48183214665</v>
      </c>
      <c r="I110" s="15" t="n">
        <f aca="false">H110*(1+IF(I$3&lt;=$O$2,$D110,$D110-($D110-$I$103)*MIN(I$3-$O$2,$Q$2)/$Q$2))</f>
        <v>4952.00235695113</v>
      </c>
      <c r="J110" s="15" t="n">
        <f aca="false">I110*(1+IF(J$3&lt;=$O$2,$D110,$D110-($D110-$I$103)*MIN(J$3-$O$2,$Q$2)/$Q$2))</f>
        <v>4763.38058717486</v>
      </c>
      <c r="K110" s="15" t="n">
        <f aca="false">J110*(1+IF(K$3&lt;=$O$2,$D110,$D110-($D110-$I$103)*MIN(K$3-$O$2,$Q$2)/$Q$2))</f>
        <v>4661.003629905</v>
      </c>
      <c r="L110" s="15" t="n">
        <f aca="false">K110*(1+IF(L$3&lt;=$O$2,$D110,$D110-($D110-$I$103)*MIN(L$3-$O$2,$Q$2)/$Q$2))</f>
        <v>4638.18801713662</v>
      </c>
      <c r="M110" s="15" t="n">
        <f aca="false">L110*(1+IF(M$3&lt;=$O$2,$D110,$D110-($D110-$I$103)*MIN(M$3-$O$2,$Q$2)/$Q$2))</f>
        <v>4692.46641240716</v>
      </c>
      <c r="N110" s="15" t="n">
        <f aca="false">M110*(1+IF(N$3&lt;=$O$2,$D110,$D110-($D110-$I$103)*MIN(N$3-$O$2,$Q$2)/$Q$2))</f>
        <v>4825.26321187828</v>
      </c>
      <c r="O110" s="15" t="n">
        <f aca="false">SUMPRODUCT(E110:N110,1/(1+$F$103)^$E$3:$N$3)*$E$2</f>
        <v>11672.6821299654</v>
      </c>
      <c r="P110" s="15" t="n">
        <f aca="false">N110*$E$2*(1+$I$103)/($F$103-$I$103)/(1+$F$103)^$N$3</f>
        <v>18545.4113925699</v>
      </c>
      <c r="Q110" s="15" t="n">
        <f aca="false">O110+P110</f>
        <v>30218.0935225353</v>
      </c>
      <c r="R110" s="15" t="n">
        <f aca="false">Q110-$G$2+$I$2</f>
        <v>22872.8935225353</v>
      </c>
      <c r="S110" s="42" t="n">
        <f aca="false">R110/$K$2</f>
        <v>97.4766397721512</v>
      </c>
      <c r="T110" s="43" t="n">
        <f aca="false">S110-$M$2</f>
        <v>16.4623631900076</v>
      </c>
    </row>
    <row r="111" customFormat="false" ht="15" hidden="false" customHeight="false" outlineLevel="0" collapsed="false">
      <c r="A111" s="5" t="n">
        <v>7</v>
      </c>
      <c r="B111" s="25" t="n">
        <f aca="false">IF(T110&gt;0,B110,D110)</f>
        <v>-0.078125</v>
      </c>
      <c r="C111" s="25" t="n">
        <f aca="false">IF(T110&gt;0,D110,C110)</f>
        <v>-0.0546875</v>
      </c>
      <c r="D111" s="41" t="n">
        <f aca="false">(B111+C111)/2</f>
        <v>-0.06640625</v>
      </c>
      <c r="E111" s="15" t="n">
        <f aca="false">$C$2*(1+IF(E$3&lt;=$O$2,$D111,$D111-($D111-$I$103)*MIN(E$3-$O$2,$Q$2)/$Q$2))</f>
        <v>6124.375</v>
      </c>
      <c r="F111" s="15" t="n">
        <f aca="false">E111*(1+IF(F$3&lt;=$O$2,$D111,$D111-($D111-$I$103)*MIN(F$3-$O$2,$Q$2)/$Q$2))</f>
        <v>5717.67822265625</v>
      </c>
      <c r="G111" s="15" t="n">
        <f aca="false">F111*(1+IF(G$3&lt;=$O$2,$D111,$D111-($D111-$I$103)*MIN(G$3-$O$2,$Q$2)/$Q$2))</f>
        <v>5337.98865318298</v>
      </c>
      <c r="H111" s="15" t="n">
        <f aca="false">G111*(1+IF(H$3&lt;=$O$2,$D111,$D111-($D111-$I$103)*MIN(H$3-$O$2,$Q$2)/$Q$2))</f>
        <v>4983.51284418255</v>
      </c>
      <c r="I111" s="15" t="n">
        <f aca="false">H111*(1+IF(I$3&lt;=$O$2,$D111,$D111-($D111-$I$103)*MIN(I$3-$O$2,$Q$2)/$Q$2))</f>
        <v>4652.57644437355</v>
      </c>
      <c r="J111" s="15" t="n">
        <f aca="false">I111*(1+IF(J$3&lt;=$O$2,$D111,$D111-($D111-$I$103)*MIN(J$3-$O$2,$Q$2)/$Q$2))</f>
        <v>4431.74190344136</v>
      </c>
      <c r="K111" s="15" t="n">
        <f aca="false">J111*(1+IF(K$3&lt;=$O$2,$D111,$D111-($D111-$I$103)*MIN(K$3-$O$2,$Q$2)/$Q$2))</f>
        <v>4305.33200532308</v>
      </c>
      <c r="L111" s="15" t="n">
        <f aca="false">K111*(1+IF(L$3&lt;=$O$2,$D111,$D111-($D111-$I$103)*MIN(L$3-$O$2,$Q$2)/$Q$2))</f>
        <v>4264.07616138207</v>
      </c>
      <c r="M111" s="15" t="n">
        <f aca="false">L111*(1+IF(M$3&lt;=$O$2,$D111,$D111-($D111-$I$103)*MIN(M$3-$O$2,$Q$2)/$Q$2))</f>
        <v>4303.9825841574</v>
      </c>
      <c r="N111" s="15" t="n">
        <f aca="false">M111*(1+IF(N$3&lt;=$O$2,$D111,$D111-($D111-$I$103)*MIN(N$3-$O$2,$Q$2)/$Q$2))</f>
        <v>4425.78529128906</v>
      </c>
      <c r="O111" s="15" t="n">
        <f aca="false">SUMPRODUCT(E111:N111,1/(1+$F$103)^$E$3:$N$3)*$E$2</f>
        <v>11087.0229093098</v>
      </c>
      <c r="P111" s="15" t="n">
        <f aca="false">N111*$E$2*(1+$I$103)/($F$103-$I$103)/(1+$F$103)^$N$3</f>
        <v>17010.0583860566</v>
      </c>
      <c r="Q111" s="15" t="n">
        <f aca="false">O111+P111</f>
        <v>28097.0812953663</v>
      </c>
      <c r="R111" s="15" t="n">
        <f aca="false">Q111-$G$2+$I$2</f>
        <v>20751.8812953663</v>
      </c>
      <c r="S111" s="42" t="n">
        <f aca="false">R111/$K$2</f>
        <v>88.4375934172867</v>
      </c>
      <c r="T111" s="43" t="n">
        <f aca="false">S111-$M$2</f>
        <v>7.42331683514311</v>
      </c>
    </row>
    <row r="112" customFormat="false" ht="15" hidden="false" customHeight="false" outlineLevel="0" collapsed="false">
      <c r="A112" s="5" t="n">
        <v>8</v>
      </c>
      <c r="B112" s="25" t="n">
        <f aca="false">IF(T111&gt;0,B111,D111)</f>
        <v>-0.078125</v>
      </c>
      <c r="C112" s="25" t="n">
        <f aca="false">IF(T111&gt;0,D111,C111)</f>
        <v>-0.06640625</v>
      </c>
      <c r="D112" s="41" t="n">
        <f aca="false">(B112+C112)/2</f>
        <v>-0.072265625</v>
      </c>
      <c r="E112" s="15" t="n">
        <f aca="false">$C$2*(1+IF(E$3&lt;=$O$2,$D112,$D112-($D112-$I$103)*MIN(E$3-$O$2,$Q$2)/$Q$2))</f>
        <v>6085.9375</v>
      </c>
      <c r="F112" s="15" t="n">
        <f aca="false">E112*(1+IF(F$3&lt;=$O$2,$D112,$D112-($D112-$I$103)*MIN(F$3-$O$2,$Q$2)/$Q$2))</f>
        <v>5646.13342285156</v>
      </c>
      <c r="G112" s="15" t="n">
        <f aca="false">F112*(1+IF(G$3&lt;=$O$2,$D112,$D112-($D112-$I$103)*MIN(G$3-$O$2,$Q$2)/$Q$2))</f>
        <v>5238.11206221581</v>
      </c>
      <c r="H112" s="15" t="n">
        <f aca="false">G112*(1+IF(H$3&lt;=$O$2,$D112,$D112-($D112-$I$103)*MIN(H$3-$O$2,$Q$2)/$Q$2))</f>
        <v>4859.57662021974</v>
      </c>
      <c r="I112" s="15" t="n">
        <f aca="false">H112*(1+IF(I$3&lt;=$O$2,$D112,$D112-($D112-$I$103)*MIN(I$3-$O$2,$Q$2)/$Q$2))</f>
        <v>4508.39627852417</v>
      </c>
      <c r="J112" s="15" t="n">
        <f aca="false">I112*(1+IF(J$3&lt;=$O$2,$D112,$D112-($D112-$I$103)*MIN(J$3-$O$2,$Q$2)/$Q$2))</f>
        <v>4273.27214160844</v>
      </c>
      <c r="K112" s="15" t="n">
        <f aca="false">J112*(1+IF(K$3&lt;=$O$2,$D112,$D112-($D112-$I$103)*MIN(K$3-$O$2,$Q$2)/$Q$2))</f>
        <v>4136.3591729864</v>
      </c>
      <c r="L112" s="15" t="n">
        <f aca="false">K112*(1+IF(L$3&lt;=$O$2,$D112,$D112-($D112-$I$103)*MIN(L$3-$O$2,$Q$2)/$Q$2))</f>
        <v>4087.02791939957</v>
      </c>
      <c r="M112" s="15" t="n">
        <f aca="false">L112*(1+IF(M$3&lt;=$O$2,$D112,$D112-($D112-$I$103)*MIN(M$3-$O$2,$Q$2)/$Q$2))</f>
        <v>4120.4879060972</v>
      </c>
      <c r="N112" s="15" t="n">
        <f aca="false">M112*(1+IF(N$3&lt;=$O$2,$D112,$D112-($D112-$I$103)*MIN(N$3-$O$2,$Q$2)/$Q$2))</f>
        <v>4237.09771383975</v>
      </c>
      <c r="O112" s="15" t="n">
        <f aca="false">SUMPRODUCT(E112:N112,1/(1+$F$103)^$E$3:$N$3)*$E$2</f>
        <v>10805.7529008684</v>
      </c>
      <c r="P112" s="15" t="n">
        <f aca="false">N112*$E$2*(1+$I$103)/($F$103-$I$103)/(1+$F$103)^$N$3</f>
        <v>16284.8567556355</v>
      </c>
      <c r="Q112" s="15" t="n">
        <f aca="false">O112+P112</f>
        <v>27090.609656504</v>
      </c>
      <c r="R112" s="15" t="n">
        <f aca="false">Q112-$G$2+$I$2</f>
        <v>19745.409656504</v>
      </c>
      <c r="S112" s="42" t="n">
        <f aca="false">R112/$K$2</f>
        <v>84.1483471404388</v>
      </c>
      <c r="T112" s="43" t="n">
        <f aca="false">S112-$M$2</f>
        <v>3.13407055829516</v>
      </c>
    </row>
    <row r="113" customFormat="false" ht="15" hidden="false" customHeight="false" outlineLevel="0" collapsed="false">
      <c r="A113" s="5" t="n">
        <v>9</v>
      </c>
      <c r="B113" s="25" t="n">
        <f aca="false">IF(T112&gt;0,B112,D112)</f>
        <v>-0.078125</v>
      </c>
      <c r="C113" s="25" t="n">
        <f aca="false">IF(T112&gt;0,D112,C112)</f>
        <v>-0.072265625</v>
      </c>
      <c r="D113" s="41" t="n">
        <f aca="false">(B113+C113)/2</f>
        <v>-0.0751953125</v>
      </c>
      <c r="E113" s="15" t="n">
        <f aca="false">$C$2*(1+IF(E$3&lt;=$O$2,$D113,$D113-($D113-$I$103)*MIN(E$3-$O$2,$Q$2)/$Q$2))</f>
        <v>6066.71875</v>
      </c>
      <c r="F113" s="15" t="n">
        <f aca="false">E113*(1+IF(F$3&lt;=$O$2,$D113,$D113-($D113-$I$103)*MIN(F$3-$O$2,$Q$2)/$Q$2))</f>
        <v>5610.52993774414</v>
      </c>
      <c r="G113" s="15" t="n">
        <f aca="false">F113*(1+IF(G$3&lt;=$O$2,$D113,$D113-($D113-$I$103)*MIN(G$3-$O$2,$Q$2)/$Q$2))</f>
        <v>5188.64438578486</v>
      </c>
      <c r="H113" s="15" t="n">
        <f aca="false">G113*(1+IF(H$3&lt;=$O$2,$D113,$D113-($D113-$I$103)*MIN(H$3-$O$2,$Q$2)/$Q$2))</f>
        <v>4798.4826497444</v>
      </c>
      <c r="I113" s="15" t="n">
        <f aca="false">H113*(1+IF(I$3&lt;=$O$2,$D113,$D113-($D113-$I$103)*MIN(I$3-$O$2,$Q$2)/$Q$2))</f>
        <v>4437.65924737104</v>
      </c>
      <c r="J113" s="15" t="n">
        <f aca="false">I113*(1+IF(J$3&lt;=$O$2,$D113,$D113-($D113-$I$103)*MIN(J$3-$O$2,$Q$2)/$Q$2))</f>
        <v>4195.8234596115</v>
      </c>
      <c r="K113" s="15" t="n">
        <f aca="false">J113*(1+IF(K$3&lt;=$O$2,$D113,$D113-($D113-$I$103)*MIN(K$3-$O$2,$Q$2)/$Q$2))</f>
        <v>4054.01642743011</v>
      </c>
      <c r="L113" s="15" t="n">
        <f aca="false">K113*(1+IF(L$3&lt;=$O$2,$D113,$D113-($D113-$I$103)*MIN(L$3-$O$2,$Q$2)/$Q$2))</f>
        <v>4000.91641351158</v>
      </c>
      <c r="M113" s="15" t="n">
        <f aca="false">L113*(1+IF(M$3&lt;=$O$2,$D113,$D113-($D113-$I$103)*MIN(M$3-$O$2,$Q$2)/$Q$2))</f>
        <v>4031.3271291134</v>
      </c>
      <c r="N113" s="15" t="n">
        <f aca="false">M113*(1+IF(N$3&lt;=$O$2,$D113,$D113-($D113-$I$103)*MIN(N$3-$O$2,$Q$2)/$Q$2))</f>
        <v>4145.41368686731</v>
      </c>
      <c r="O113" s="15" t="n">
        <f aca="false">SUMPRODUCT(E113:N113,1/(1+$F$103)^$E$3:$N$3)*$E$2</f>
        <v>10667.9216759574</v>
      </c>
      <c r="P113" s="15" t="n">
        <f aca="false">N113*$E$2*(1+$I$103)/($F$103-$I$103)/(1+$F$103)^$N$3</f>
        <v>15932.4784658573</v>
      </c>
      <c r="Q113" s="15" t="n">
        <f aca="false">O113+P113</f>
        <v>26600.4001418147</v>
      </c>
      <c r="R113" s="15" t="n">
        <f aca="false">Q113-$G$2+$I$2</f>
        <v>19255.2001418147</v>
      </c>
      <c r="S113" s="42" t="n">
        <f aca="false">R113/$K$2</f>
        <v>82.0592377660973</v>
      </c>
      <c r="T113" s="43" t="n">
        <f aca="false">S113-$M$2</f>
        <v>1.04496118395367</v>
      </c>
    </row>
    <row r="114" customFormat="false" ht="15" hidden="false" customHeight="false" outlineLevel="0" collapsed="false">
      <c r="A114" s="5" t="n">
        <v>10</v>
      </c>
      <c r="B114" s="25" t="n">
        <f aca="false">IF(T113&gt;0,B113,D113)</f>
        <v>-0.078125</v>
      </c>
      <c r="C114" s="25" t="n">
        <f aca="false">IF(T113&gt;0,D113,C113)</f>
        <v>-0.0751953125</v>
      </c>
      <c r="D114" s="41" t="n">
        <f aca="false">(B114+C114)/2</f>
        <v>-0.07666015625</v>
      </c>
      <c r="E114" s="15" t="n">
        <f aca="false">$C$2*(1+IF(E$3&lt;=$O$2,$D114,$D114-($D114-$I$103)*MIN(E$3-$O$2,$Q$2)/$Q$2))</f>
        <v>6057.109375</v>
      </c>
      <c r="F114" s="15" t="n">
        <f aca="false">E114*(1+IF(F$3&lt;=$O$2,$D114,$D114-($D114-$I$103)*MIN(F$3-$O$2,$Q$2)/$Q$2))</f>
        <v>5592.77042388916</v>
      </c>
      <c r="G114" s="15" t="n">
        <f aca="false">F114*(1+IF(G$3&lt;=$O$2,$D114,$D114-($D114-$I$103)*MIN(G$3-$O$2,$Q$2)/$Q$2))</f>
        <v>5164.02776932344</v>
      </c>
      <c r="H114" s="15" t="n">
        <f aca="false">G114*(1+IF(H$3&lt;=$O$2,$D114,$D114-($D114-$I$103)*MIN(H$3-$O$2,$Q$2)/$Q$2))</f>
        <v>4768.15259364777</v>
      </c>
      <c r="I114" s="15" t="n">
        <f aca="false">H114*(1+IF(I$3&lt;=$O$2,$D114,$D114-($D114-$I$103)*MIN(I$3-$O$2,$Q$2)/$Q$2))</f>
        <v>4402.62527079488</v>
      </c>
      <c r="J114" s="15" t="n">
        <f aca="false">I114*(1+IF(J$3&lt;=$O$2,$D114,$D114-($D114-$I$103)*MIN(J$3-$O$2,$Q$2)/$Q$2))</f>
        <v>4157.53937689212</v>
      </c>
      <c r="K114" s="15" t="n">
        <f aca="false">J114*(1+IF(K$3&lt;=$O$2,$D114,$D114-($D114-$I$103)*MIN(K$3-$O$2,$Q$2)/$Q$2))</f>
        <v>4013.37215168969</v>
      </c>
      <c r="L114" s="15" t="n">
        <f aca="false">K114*(1+IF(L$3&lt;=$O$2,$D114,$D114-($D114-$I$103)*MIN(L$3-$O$2,$Q$2)/$Q$2))</f>
        <v>3958.45291633021</v>
      </c>
      <c r="M114" s="15" t="n">
        <f aca="false">L114*(1+IF(M$3&lt;=$O$2,$D114,$D114-($D114-$I$103)*MIN(M$3-$O$2,$Q$2)/$Q$2))</f>
        <v>3987.38116654109</v>
      </c>
      <c r="N114" s="15" t="n">
        <f aca="false">M114*(1+IF(N$3&lt;=$O$2,$D114,$D114-($D114-$I$103)*MIN(N$3-$O$2,$Q$2)/$Q$2))</f>
        <v>4100.22405355421</v>
      </c>
      <c r="O114" s="15" t="n">
        <f aca="false">SUMPRODUCT(E114:N114,1/(1+$F$103)^$E$3:$N$3)*$E$2</f>
        <v>10599.6964709981</v>
      </c>
      <c r="P114" s="15" t="n">
        <f aca="false">N114*$E$2*(1+$I$103)/($F$103-$I$103)/(1+$F$103)^$N$3</f>
        <v>15758.7966782177</v>
      </c>
      <c r="Q114" s="15" t="n">
        <f aca="false">O114+P114</f>
        <v>26358.4931492158</v>
      </c>
      <c r="R114" s="15" t="n">
        <f aca="false">Q114-$G$2+$I$2</f>
        <v>19013.2931492158</v>
      </c>
      <c r="S114" s="42" t="n">
        <f aca="false">R114/$K$2</f>
        <v>81.0283108852154</v>
      </c>
      <c r="T114" s="43" t="n">
        <f aca="false">S114-$M$2</f>
        <v>0.0140343030717958</v>
      </c>
    </row>
    <row r="115" customFormat="false" ht="15" hidden="false" customHeight="false" outlineLevel="0" collapsed="false">
      <c r="A115" s="5" t="n">
        <v>11</v>
      </c>
      <c r="B115" s="25" t="n">
        <f aca="false">IF(T114&gt;0,B114,D114)</f>
        <v>-0.078125</v>
      </c>
      <c r="C115" s="25" t="n">
        <f aca="false">IF(T114&gt;0,D114,C114)</f>
        <v>-0.07666015625</v>
      </c>
      <c r="D115" s="41" t="n">
        <f aca="false">(B115+C115)/2</f>
        <v>-0.077392578125</v>
      </c>
      <c r="E115" s="15" t="n">
        <f aca="false">$C$2*(1+IF(E$3&lt;=$O$2,$D115,$D115-($D115-$I$103)*MIN(E$3-$O$2,$Q$2)/$Q$2))</f>
        <v>6052.3046875</v>
      </c>
      <c r="F115" s="15" t="n">
        <f aca="false">E115*(1+IF(F$3&lt;=$O$2,$D115,$D115-($D115-$I$103)*MIN(F$3-$O$2,$Q$2)/$Q$2))</f>
        <v>5583.90122413635</v>
      </c>
      <c r="G115" s="15" t="n">
        <f aca="false">F115*(1+IF(G$3&lt;=$O$2,$D115,$D115-($D115-$I$103)*MIN(G$3-$O$2,$Q$2)/$Q$2))</f>
        <v>5151.7487124051</v>
      </c>
      <c r="H115" s="15" t="n">
        <f aca="false">G115*(1+IF(H$3&lt;=$O$2,$D115,$D115-($D115-$I$103)*MIN(H$3-$O$2,$Q$2)/$Q$2))</f>
        <v>4753.04159769992</v>
      </c>
      <c r="I115" s="15" t="n">
        <f aca="false">H115*(1+IF(I$3&lt;=$O$2,$D115,$D115-($D115-$I$103)*MIN(I$3-$O$2,$Q$2)/$Q$2))</f>
        <v>4385.19145451855</v>
      </c>
      <c r="J115" s="15" t="n">
        <f aca="false">I115*(1+IF(J$3&lt;=$O$2,$D115,$D115-($D115-$I$103)*MIN(J$3-$O$2,$Q$2)/$Q$2))</f>
        <v>4138.5066203616</v>
      </c>
      <c r="K115" s="15" t="n">
        <f aca="false">J115*(1+IF(K$3&lt;=$O$2,$D115,$D115-($D115-$I$103)*MIN(K$3-$O$2,$Q$2)/$Q$2))</f>
        <v>3993.18069714179</v>
      </c>
      <c r="L115" s="15" t="n">
        <f aca="false">K115*(1+IF(L$3&lt;=$O$2,$D115,$D115-($D115-$I$103)*MIN(L$3-$O$2,$Q$2)/$Q$2))</f>
        <v>3937.36788575095</v>
      </c>
      <c r="M115" s="15" t="n">
        <f aca="false">L115*(1+IF(M$3&lt;=$O$2,$D115,$D115-($D115-$I$103)*MIN(M$3-$O$2,$Q$2)/$Q$2))</f>
        <v>3965.56528434338</v>
      </c>
      <c r="N115" s="15" t="n">
        <f aca="false">M115*(1+IF(N$3&lt;=$O$2,$D115,$D115-($D115-$I$103)*MIN(N$3-$O$2,$Q$2)/$Q$2))</f>
        <v>4077.7907818903</v>
      </c>
      <c r="O115" s="15" t="n">
        <f aca="false">SUMPRODUCT(E115:N115,1/(1+$F$103)^$E$3:$N$3)*$E$2</f>
        <v>10565.7551672577</v>
      </c>
      <c r="P115" s="15" t="n">
        <f aca="false">N115*$E$2*(1+$I$103)/($F$103-$I$103)/(1+$F$103)^$N$3</f>
        <v>15672.5766662473</v>
      </c>
      <c r="Q115" s="15" t="n">
        <f aca="false">O115+P115</f>
        <v>26238.331833505</v>
      </c>
      <c r="R115" s="15" t="n">
        <f aca="false">Q115-$G$2+$I$2</f>
        <v>18893.131833505</v>
      </c>
      <c r="S115" s="42" t="n">
        <f aca="false">R115/$K$2</f>
        <v>80.5162234541017</v>
      </c>
      <c r="T115" s="43" t="n">
        <f aca="false">S115-$M$2</f>
        <v>-0.498053128041903</v>
      </c>
    </row>
    <row r="116" customFormat="false" ht="15" hidden="false" customHeight="false" outlineLevel="0" collapsed="false">
      <c r="A116" s="5" t="n">
        <v>12</v>
      </c>
      <c r="B116" s="25" t="n">
        <f aca="false">IF(T115&gt;0,B115,D115)</f>
        <v>-0.077392578125</v>
      </c>
      <c r="C116" s="25" t="n">
        <f aca="false">IF(T115&gt;0,D115,C115)</f>
        <v>-0.07666015625</v>
      </c>
      <c r="D116" s="41" t="n">
        <f aca="false">(B116+C116)/2</f>
        <v>-0.0770263671875</v>
      </c>
      <c r="E116" s="15" t="n">
        <f aca="false">$C$2*(1+IF(E$3&lt;=$O$2,$D116,$D116-($D116-$I$103)*MIN(E$3-$O$2,$Q$2)/$Q$2))</f>
        <v>6054.70703125</v>
      </c>
      <c r="F116" s="15" t="n">
        <f aca="false">E116*(1+IF(F$3&lt;=$O$2,$D116,$D116-($D116-$I$103)*MIN(F$3-$O$2,$Q$2)/$Q$2))</f>
        <v>5588.3349442482</v>
      </c>
      <c r="G116" s="15" t="n">
        <f aca="false">F116*(1+IF(G$3&lt;=$O$2,$D116,$D116-($D116-$I$103)*MIN(G$3-$O$2,$Q$2)/$Q$2))</f>
        <v>5157.8858048658</v>
      </c>
      <c r="H116" s="15" t="n">
        <f aca="false">G116*(1+IF(H$3&lt;=$O$2,$D116,$D116-($D116-$I$103)*MIN(H$3-$O$2,$Q$2)/$Q$2))</f>
        <v>4760.59259894901</v>
      </c>
      <c r="I116" s="15" t="n">
        <f aca="false">H116*(1+IF(I$3&lt;=$O$2,$D116,$D116-($D116-$I$103)*MIN(I$3-$O$2,$Q$2)/$Q$2))</f>
        <v>4393.90144539227</v>
      </c>
      <c r="J116" s="15" t="n">
        <f aca="false">I116*(1+IF(J$3&lt;=$O$2,$D116,$D116-($D116-$I$103)*MIN(J$3-$O$2,$Q$2)/$Q$2))</f>
        <v>4148.01391467841</v>
      </c>
      <c r="K116" s="15" t="n">
        <f aca="false">J116*(1+IF(K$3&lt;=$O$2,$D116,$D116-($D116-$I$103)*MIN(K$3-$O$2,$Q$2)/$Q$2))</f>
        <v>4003.26556645805</v>
      </c>
      <c r="L116" s="15" t="n">
        <f aca="false">K116*(1+IF(L$3&lt;=$O$2,$D116,$D116-($D116-$I$103)*MIN(L$3-$O$2,$Q$2)/$Q$2))</f>
        <v>3947.89821438808</v>
      </c>
      <c r="M116" s="15" t="n">
        <f aca="false">L116*(1+IF(M$3&lt;=$O$2,$D116,$D116-($D116-$I$103)*MIN(M$3-$O$2,$Q$2)/$Q$2))</f>
        <v>3976.46017846575</v>
      </c>
      <c r="N116" s="15" t="n">
        <f aca="false">M116*(1+IF(N$3&lt;=$O$2,$D116,$D116-($D116-$I$103)*MIN(N$3-$O$2,$Q$2)/$Q$2))</f>
        <v>4088.99400151634</v>
      </c>
      <c r="O116" s="15" t="n">
        <f aca="false">SUMPRODUCT(E116:N116,1/(1+$F$103)^$E$3:$N$3)*$E$2</f>
        <v>10582.711582837</v>
      </c>
      <c r="P116" s="15" t="n">
        <f aca="false">N116*$E$2*(1+$I$103)/($F$103-$I$103)/(1+$F$103)^$N$3</f>
        <v>15715.6351084012</v>
      </c>
      <c r="Q116" s="15" t="n">
        <f aca="false">O116+P116</f>
        <v>26298.3466912382</v>
      </c>
      <c r="R116" s="15" t="n">
        <f aca="false">Q116-$G$2+$I$2</f>
        <v>18953.1466912382</v>
      </c>
      <c r="S116" s="42" t="n">
        <f aca="false">R116/$K$2</f>
        <v>80.7719867514947</v>
      </c>
      <c r="T116" s="43" t="n">
        <f aca="false">S116-$M$2</f>
        <v>-0.242289830648915</v>
      </c>
    </row>
    <row r="117" customFormat="false" ht="15" hidden="false" customHeight="false" outlineLevel="0" collapsed="false">
      <c r="A117" s="5" t="n">
        <v>13</v>
      </c>
      <c r="B117" s="25" t="n">
        <f aca="false">IF(T116&gt;0,B116,D116)</f>
        <v>-0.0770263671875</v>
      </c>
      <c r="C117" s="25" t="n">
        <f aca="false">IF(T116&gt;0,D116,C116)</f>
        <v>-0.07666015625</v>
      </c>
      <c r="D117" s="41" t="n">
        <f aca="false">(B117+C117)/2</f>
        <v>-0.07684326171875</v>
      </c>
      <c r="E117" s="15" t="n">
        <f aca="false">$C$2*(1+IF(E$3&lt;=$O$2,$D117,$D117-($D117-$I$103)*MIN(E$3-$O$2,$Q$2)/$Q$2))</f>
        <v>6055.908203125</v>
      </c>
      <c r="F117" s="15" t="n">
        <f aca="false">E117*(1+IF(F$3&lt;=$O$2,$D117,$D117-($D117-$I$103)*MIN(F$3-$O$2,$Q$2)/$Q$2))</f>
        <v>5590.55246412754</v>
      </c>
      <c r="G117" s="15" t="n">
        <f aca="false">F117*(1+IF(G$3&lt;=$O$2,$D117,$D117-($D117-$I$103)*MIN(G$3-$O$2,$Q$2)/$Q$2))</f>
        <v>5160.95617797419</v>
      </c>
      <c r="H117" s="15" t="n">
        <f aca="false">G117*(1+IF(H$3&lt;=$O$2,$D117,$D117-($D117-$I$103)*MIN(H$3-$O$2,$Q$2)/$Q$2))</f>
        <v>4764.37147167112</v>
      </c>
      <c r="I117" s="15" t="n">
        <f aca="false">H117*(1+IF(I$3&lt;=$O$2,$D117,$D117-($D117-$I$103)*MIN(I$3-$O$2,$Q$2)/$Q$2))</f>
        <v>4398.26162774815</v>
      </c>
      <c r="J117" s="15" t="n">
        <f aca="false">I117*(1+IF(J$3&lt;=$O$2,$D117,$D117-($D117-$I$103)*MIN(J$3-$O$2,$Q$2)/$Q$2))</f>
        <v>4152.77437306633</v>
      </c>
      <c r="K117" s="15" t="n">
        <f aca="false">J117*(1+IF(K$3&lt;=$O$2,$D117,$D117-($D117-$I$103)*MIN(K$3-$O$2,$Q$2)/$Q$2))</f>
        <v>4008.31614216437</v>
      </c>
      <c r="L117" s="15" t="n">
        <f aca="false">K117*(1+IF(L$3&lt;=$O$2,$D117,$D117-($D117-$I$103)*MIN(L$3-$O$2,$Q$2)/$Q$2))</f>
        <v>3953.17251571279</v>
      </c>
      <c r="M117" s="15" t="n">
        <f aca="false">L117*(1+IF(M$3&lt;=$O$2,$D117,$D117-($D117-$I$103)*MIN(M$3-$O$2,$Q$2)/$Q$2))</f>
        <v>3981.91740741967</v>
      </c>
      <c r="N117" s="15" t="n">
        <f aca="false">M117*(1+IF(N$3&lt;=$O$2,$D117,$D117-($D117-$I$103)*MIN(N$3-$O$2,$Q$2)/$Q$2))</f>
        <v>4094.60567004965</v>
      </c>
      <c r="O117" s="15" t="n">
        <f aca="false">SUMPRODUCT(E117:N117,1/(1+$F$103)^$E$3:$N$3)*$E$2</f>
        <v>10591.2004649542</v>
      </c>
      <c r="P117" s="15" t="n">
        <f aca="false">N117*$E$2*(1+$I$103)/($F$103-$I$103)/(1+$F$103)^$N$3</f>
        <v>15737.2029891528</v>
      </c>
      <c r="Q117" s="15" t="n">
        <f aca="false">O117+P117</f>
        <v>26328.403454107</v>
      </c>
      <c r="R117" s="15" t="n">
        <f aca="false">Q117-$G$2+$I$2</f>
        <v>18983.203454107</v>
      </c>
      <c r="S117" s="42" t="n">
        <f aca="false">R117/$K$2</f>
        <v>80.9000786452463</v>
      </c>
      <c r="T117" s="43" t="n">
        <f aca="false">S117-$M$2</f>
        <v>-0.114197936897327</v>
      </c>
    </row>
    <row r="118" customFormat="false" ht="15" hidden="false" customHeight="false" outlineLevel="0" collapsed="false">
      <c r="A118" s="5" t="n">
        <v>14</v>
      </c>
      <c r="B118" s="25" t="n">
        <f aca="false">IF(T117&gt;0,B117,D117)</f>
        <v>-0.07684326171875</v>
      </c>
      <c r="C118" s="25" t="n">
        <f aca="false">IF(T117&gt;0,D117,C117)</f>
        <v>-0.07666015625</v>
      </c>
      <c r="D118" s="41" t="n">
        <f aca="false">(B118+C118)/2</f>
        <v>-0.076751708984375</v>
      </c>
      <c r="E118" s="15" t="n">
        <f aca="false">$C$2*(1+IF(E$3&lt;=$O$2,$D118,$D118-($D118-$I$103)*MIN(E$3-$O$2,$Q$2)/$Q$2))</f>
        <v>6056.5087890625</v>
      </c>
      <c r="F118" s="15" t="n">
        <f aca="false">E118*(1+IF(F$3&lt;=$O$2,$D118,$D118-($D118-$I$103)*MIN(F$3-$O$2,$Q$2)/$Q$2))</f>
        <v>5591.66138902307</v>
      </c>
      <c r="G118" s="15" t="n">
        <f aca="false">F118*(1+IF(G$3&lt;=$O$2,$D118,$D118-($D118-$I$103)*MIN(G$3-$O$2,$Q$2)/$Q$2))</f>
        <v>5162.4918213536</v>
      </c>
      <c r="H118" s="15" t="n">
        <f aca="false">G118*(1+IF(H$3&lt;=$O$2,$D118,$D118-($D118-$I$103)*MIN(H$3-$O$2,$Q$2)/$Q$2))</f>
        <v>4766.26175144685</v>
      </c>
      <c r="I118" s="15" t="n">
        <f aca="false">H118*(1+IF(I$3&lt;=$O$2,$D118,$D118-($D118-$I$103)*MIN(I$3-$O$2,$Q$2)/$Q$2))</f>
        <v>4400.44301655645</v>
      </c>
      <c r="J118" s="15" t="n">
        <f aca="false">I118*(1+IF(J$3&lt;=$O$2,$D118,$D118-($D118-$I$103)*MIN(J$3-$O$2,$Q$2)/$Q$2))</f>
        <v>4155.1563065829</v>
      </c>
      <c r="K118" s="15" t="n">
        <f aca="false">J118*(1+IF(K$3&lt;=$O$2,$D118,$D118-($D118-$I$103)*MIN(K$3-$O$2,$Q$2)/$Q$2))</f>
        <v>4010.84346739696</v>
      </c>
      <c r="L118" s="15" t="n">
        <f aca="false">K118*(1+IF(L$3&lt;=$O$2,$D118,$D118-($D118-$I$103)*MIN(L$3-$O$2,$Q$2)/$Q$2))</f>
        <v>3955.81195323675</v>
      </c>
      <c r="M118" s="15" t="n">
        <f aca="false">L118*(1+IF(M$3&lt;=$O$2,$D118,$D118-($D118-$I$103)*MIN(M$3-$O$2,$Q$2)/$Q$2))</f>
        <v>3984.64847029168</v>
      </c>
      <c r="N118" s="15" t="n">
        <f aca="false">M118*(1+IF(N$3&lt;=$O$2,$D118,$D118-($D118-$I$103)*MIN(N$3-$O$2,$Q$2)/$Q$2))</f>
        <v>4097.41402200093</v>
      </c>
      <c r="O118" s="15" t="n">
        <f aca="false">SUMPRODUCT(E118:N118,1/(1+$F$103)^$E$3:$N$3)*$E$2</f>
        <v>10595.4475771238</v>
      </c>
      <c r="P118" s="15" t="n">
        <f aca="false">N118*$E$2*(1+$I$103)/($F$103-$I$103)/(1+$F$103)^$N$3</f>
        <v>15747.996605995</v>
      </c>
      <c r="Q118" s="15" t="n">
        <f aca="false">O118+P118</f>
        <v>26343.4441831188</v>
      </c>
      <c r="R118" s="15" t="n">
        <f aca="false">Q118-$G$2+$I$2</f>
        <v>18998.2441831188</v>
      </c>
      <c r="S118" s="42" t="n">
        <f aca="false">R118/$K$2</f>
        <v>80.9641772133765</v>
      </c>
      <c r="T118" s="43" t="n">
        <f aca="false">S118-$M$2</f>
        <v>-0.0500993687671496</v>
      </c>
    </row>
    <row r="119" customFormat="false" ht="15" hidden="false" customHeight="false" outlineLevel="0" collapsed="false">
      <c r="A119" s="5" t="n">
        <v>15</v>
      </c>
      <c r="B119" s="25" t="n">
        <f aca="false">IF(T118&gt;0,B118,D118)</f>
        <v>-0.076751708984375</v>
      </c>
      <c r="C119" s="25" t="n">
        <f aca="false">IF(T118&gt;0,D118,C118)</f>
        <v>-0.07666015625</v>
      </c>
      <c r="D119" s="41" t="n">
        <f aca="false">(B119+C119)/2</f>
        <v>-0.0767059326171875</v>
      </c>
      <c r="E119" s="15" t="n">
        <f aca="false">$C$2*(1+IF(E$3&lt;=$O$2,$D119,$D119-($D119-$I$103)*MIN(E$3-$O$2,$Q$2)/$Q$2))</f>
        <v>6056.80908203125</v>
      </c>
      <c r="F119" s="15" t="n">
        <f aca="false">E119*(1+IF(F$3&lt;=$O$2,$D119,$D119-($D119-$I$103)*MIN(F$3-$O$2,$Q$2)/$Q$2))</f>
        <v>5592.21589270979</v>
      </c>
      <c r="G119" s="15" t="n">
        <f aca="false">F119*(1+IF(G$3&lt;=$O$2,$D119,$D119-($D119-$I$103)*MIN(G$3-$O$2,$Q$2)/$Q$2))</f>
        <v>5163.25975726283</v>
      </c>
      <c r="H119" s="15" t="n">
        <f aca="false">G119*(1+IF(H$3&lt;=$O$2,$D119,$D119-($D119-$I$103)*MIN(H$3-$O$2,$Q$2)/$Q$2))</f>
        <v>4767.20710223719</v>
      </c>
      <c r="I119" s="15" t="n">
        <f aca="false">H119*(1+IF(I$3&lt;=$O$2,$D119,$D119-($D119-$I$103)*MIN(I$3-$O$2,$Q$2)/$Q$2))</f>
        <v>4401.53403548081</v>
      </c>
      <c r="J119" s="15" t="n">
        <f aca="false">I119*(1+IF(J$3&lt;=$O$2,$D119,$D119-($D119-$I$103)*MIN(J$3-$O$2,$Q$2)/$Q$2))</f>
        <v>4156.34769961135</v>
      </c>
      <c r="K119" s="15" t="n">
        <f aca="false">J119*(1+IF(K$3&lt;=$O$2,$D119,$D119-($D119-$I$103)*MIN(K$3-$O$2,$Q$2)/$Q$2))</f>
        <v>4012.10763962296</v>
      </c>
      <c r="L119" s="15" t="n">
        <f aca="false">K119*(1+IF(L$3&lt;=$O$2,$D119,$D119-($D119-$I$103)*MIN(L$3-$O$2,$Q$2)/$Q$2))</f>
        <v>3957.13224404063</v>
      </c>
      <c r="M119" s="15" t="n">
        <f aca="false">L119*(1+IF(M$3&lt;=$O$2,$D119,$D119-($D119-$I$103)*MIN(M$3-$O$2,$Q$2)/$Q$2))</f>
        <v>3986.01461419197</v>
      </c>
      <c r="N119" s="15" t="n">
        <f aca="false">M119*(1+IF(N$3&lt;=$O$2,$D119,$D119-($D119-$I$103)*MIN(N$3-$O$2,$Q$2)/$Q$2))</f>
        <v>4098.8188277736</v>
      </c>
      <c r="O119" s="15" t="n">
        <f aca="false">SUMPRODUCT(E119:N119,1/(1+$F$103)^$E$3:$N$3)*$E$2</f>
        <v>10597.5718013026</v>
      </c>
      <c r="P119" s="15" t="n">
        <f aca="false">N119*$E$2*(1+$I$103)/($F$103-$I$103)/(1+$F$103)^$N$3</f>
        <v>15753.3958349773</v>
      </c>
      <c r="Q119" s="15" t="n">
        <f aca="false">O119+P119</f>
        <v>26350.96763628</v>
      </c>
      <c r="R119" s="15" t="n">
        <f aca="false">Q119-$G$2+$I$2</f>
        <v>19005.76763628</v>
      </c>
      <c r="S119" s="42" t="n">
        <f aca="false">R119/$K$2</f>
        <v>80.9962396602598</v>
      </c>
      <c r="T119" s="43" t="n">
        <f aca="false">S119-$M$2</f>
        <v>-0.0180369218838194</v>
      </c>
    </row>
    <row r="120" customFormat="false" ht="15" hidden="false" customHeight="false" outlineLevel="0" collapsed="false">
      <c r="A120" s="5" t="n">
        <v>16</v>
      </c>
      <c r="B120" s="25" t="n">
        <f aca="false">IF(T119&gt;0,B119,D119)</f>
        <v>-0.0767059326171875</v>
      </c>
      <c r="C120" s="25" t="n">
        <f aca="false">IF(T119&gt;0,D119,C119)</f>
        <v>-0.07666015625</v>
      </c>
      <c r="D120" s="41" t="n">
        <f aca="false">(B120+C120)/2</f>
        <v>-0.0766830444335938</v>
      </c>
      <c r="E120" s="15" t="n">
        <f aca="false">$C$2*(1+IF(E$3&lt;=$O$2,$D120,$D120-($D120-$I$103)*MIN(E$3-$O$2,$Q$2)/$Q$2))</f>
        <v>6056.95922851563</v>
      </c>
      <c r="F120" s="15" t="n">
        <f aca="false">E120*(1+IF(F$3&lt;=$O$2,$D120,$D120-($D120-$I$103)*MIN(F$3-$O$2,$Q$2)/$Q$2))</f>
        <v>5592.4931548629</v>
      </c>
      <c r="G120" s="15" t="n">
        <f aca="false">F120*(1+IF(G$3&lt;=$O$2,$D120,$D120-($D120-$I$103)*MIN(G$3-$O$2,$Q$2)/$Q$2))</f>
        <v>5163.64375377398</v>
      </c>
      <c r="H120" s="15" t="n">
        <f aca="false">G120*(1+IF(H$3&lt;=$O$2,$D120,$D120-($D120-$I$103)*MIN(H$3-$O$2,$Q$2)/$Q$2))</f>
        <v>4767.67983036408</v>
      </c>
      <c r="I120" s="15" t="n">
        <f aca="false">H120*(1+IF(I$3&lt;=$O$2,$D120,$D120-($D120-$I$103)*MIN(I$3-$O$2,$Q$2)/$Q$2))</f>
        <v>4402.07962608712</v>
      </c>
      <c r="J120" s="15" t="n">
        <f aca="false">I120*(1+IF(J$3&lt;=$O$2,$D120,$D120-($D120-$I$103)*MIN(J$3-$O$2,$Q$2)/$Q$2))</f>
        <v>4156.94350271681</v>
      </c>
      <c r="K120" s="15" t="n">
        <f aca="false">J120*(1+IF(K$3&lt;=$O$2,$D120,$D120-($D120-$I$103)*MIN(K$3-$O$2,$Q$2)/$Q$2))</f>
        <v>4012.7398531715</v>
      </c>
      <c r="L120" s="15" t="n">
        <f aca="false">K120*(1+IF(L$3&lt;=$O$2,$D120,$D120-($D120-$I$103)*MIN(L$3-$O$2,$Q$2)/$Q$2))</f>
        <v>3957.79253249387</v>
      </c>
      <c r="M120" s="15" t="n">
        <f aca="false">L120*(1+IF(M$3&lt;=$O$2,$D120,$D120-($D120-$I$103)*MIN(M$3-$O$2,$Q$2)/$Q$2))</f>
        <v>3986.6978393039</v>
      </c>
      <c r="N120" s="15" t="n">
        <f aca="false">M120*(1+IF(N$3&lt;=$O$2,$D120,$D120-($D120-$I$103)*MIN(N$3-$O$2,$Q$2)/$Q$2))</f>
        <v>4099.5213881562</v>
      </c>
      <c r="O120" s="15" t="n">
        <f aca="false">SUMPRODUCT(E120:N120,1/(1+$F$103)^$E$3:$N$3)*$E$2</f>
        <v>10598.6340804552</v>
      </c>
      <c r="P120" s="15" t="n">
        <f aca="false">N120*$E$2*(1+$I$103)/($F$103-$I$103)/(1+$F$103)^$N$3</f>
        <v>15756.0960547894</v>
      </c>
      <c r="Q120" s="15" t="n">
        <f aca="false">O120+P120</f>
        <v>26354.7301352446</v>
      </c>
      <c r="R120" s="15" t="n">
        <f aca="false">Q120-$G$2+$I$2</f>
        <v>19009.5301352446</v>
      </c>
      <c r="S120" s="42" t="n">
        <f aca="false">R120/$K$2</f>
        <v>81.0122741753445</v>
      </c>
      <c r="T120" s="43" t="n">
        <f aca="false">S120-$M$2</f>
        <v>-0.00200240679913577</v>
      </c>
    </row>
    <row r="121" customFormat="false" ht="15" hidden="false" customHeight="false" outlineLevel="0" collapsed="false">
      <c r="A121" s="5" t="n">
        <v>17</v>
      </c>
      <c r="B121" s="25" t="n">
        <f aca="false">IF(T120&gt;0,B120,D120)</f>
        <v>-0.0766830444335938</v>
      </c>
      <c r="C121" s="25" t="n">
        <f aca="false">IF(T120&gt;0,D120,C120)</f>
        <v>-0.07666015625</v>
      </c>
      <c r="D121" s="41" t="n">
        <f aca="false">(B121+C121)/2</f>
        <v>-0.0766716003417969</v>
      </c>
      <c r="E121" s="15" t="n">
        <f aca="false">$C$2*(1+IF(E$3&lt;=$O$2,$D121,$D121-($D121-$I$103)*MIN(E$3-$O$2,$Q$2)/$Q$2))</f>
        <v>6057.03430175781</v>
      </c>
      <c r="F121" s="15" t="n">
        <f aca="false">E121*(1+IF(F$3&lt;=$O$2,$D121,$D121-($D121-$I$103)*MIN(F$3-$O$2,$Q$2)/$Q$2))</f>
        <v>5592.63178851688</v>
      </c>
      <c r="G121" s="15" t="n">
        <f aca="false">F121*(1+IF(G$3&lt;=$O$2,$D121,$D121-($D121-$I$103)*MIN(G$3-$O$2,$Q$2)/$Q$2))</f>
        <v>5163.83575916889</v>
      </c>
      <c r="H121" s="15" t="n">
        <f aca="false">G121*(1+IF(H$3&lt;=$O$2,$D121,$D121-($D121-$I$103)*MIN(H$3-$O$2,$Q$2)/$Q$2))</f>
        <v>4767.91620761121</v>
      </c>
      <c r="I121" s="15" t="n">
        <f aca="false">H121*(1+IF(I$3&lt;=$O$2,$D121,$D121-($D121-$I$103)*MIN(I$3-$O$2,$Q$2)/$Q$2))</f>
        <v>4402.35244167807</v>
      </c>
      <c r="J121" s="15" t="n">
        <f aca="false">I121*(1+IF(J$3&lt;=$O$2,$D121,$D121-($D121-$I$103)*MIN(J$3-$O$2,$Q$2)/$Q$2))</f>
        <v>4157.24143092031</v>
      </c>
      <c r="K121" s="15" t="n">
        <f aca="false">J121*(1+IF(K$3&lt;=$O$2,$D121,$D121-($D121-$I$103)*MIN(K$3-$O$2,$Q$2)/$Q$2))</f>
        <v>4013.0559918088</v>
      </c>
      <c r="L121" s="15" t="n">
        <f aca="false">K121*(1+IF(L$3&lt;=$O$2,$D121,$D121-($D121-$I$103)*MIN(L$3-$O$2,$Q$2)/$Q$2))</f>
        <v>3958.12271248842</v>
      </c>
      <c r="M121" s="15" t="n">
        <f aca="false">L121*(1+IF(M$3&lt;=$O$2,$D121,$D121-($D121-$I$103)*MIN(M$3-$O$2,$Q$2)/$Q$2))</f>
        <v>3987.03949015602</v>
      </c>
      <c r="N121" s="15" t="n">
        <f aca="false">M121*(1+IF(N$3&lt;=$O$2,$D121,$D121-($D121-$I$103)*MIN(N$3-$O$2,$Q$2)/$Q$2))</f>
        <v>4099.87270772744</v>
      </c>
      <c r="O121" s="15" t="n">
        <f aca="false">SUMPRODUCT(E121:N121,1/(1+$F$103)^$E$3:$N$3)*$E$2</f>
        <v>10599.1652618021</v>
      </c>
      <c r="P121" s="15" t="n">
        <f aca="false">N121*$E$2*(1+$I$103)/($F$103-$I$103)/(1+$F$103)^$N$3</f>
        <v>15757.4463160483</v>
      </c>
      <c r="Q121" s="15" t="n">
        <f aca="false">O121+P121</f>
        <v>26356.6115778504</v>
      </c>
      <c r="R121" s="15" t="n">
        <f aca="false">Q121-$G$2+$I$2</f>
        <v>19011.4115778504</v>
      </c>
      <c r="S121" s="42" t="n">
        <f aca="false">R121/$K$2</f>
        <v>81.0202922559149</v>
      </c>
      <c r="T121" s="43" t="n">
        <f aca="false">S121-$M$2</f>
        <v>0.0060156737712731</v>
      </c>
    </row>
    <row r="122" customFormat="false" ht="15" hidden="false" customHeight="false" outlineLevel="0" collapsed="false">
      <c r="A122" s="5" t="n">
        <v>18</v>
      </c>
      <c r="B122" s="25" t="n">
        <f aca="false">IF(T121&gt;0,B121,D121)</f>
        <v>-0.0766830444335938</v>
      </c>
      <c r="C122" s="25" t="n">
        <f aca="false">IF(T121&gt;0,D121,C121)</f>
        <v>-0.0766716003417969</v>
      </c>
      <c r="D122" s="41" t="n">
        <f aca="false">(B122+C122)/2</f>
        <v>-0.0766773223876953</v>
      </c>
      <c r="E122" s="15" t="n">
        <f aca="false">$C$2*(1+IF(E$3&lt;=$O$2,$D122,$D122-($D122-$I$103)*MIN(E$3-$O$2,$Q$2)/$Q$2))</f>
        <v>6056.99676513672</v>
      </c>
      <c r="F122" s="15" t="n">
        <f aca="false">E122*(1+IF(F$3&lt;=$O$2,$D122,$D122-($D122-$I$103)*MIN(F$3-$O$2,$Q$2)/$Q$2))</f>
        <v>5592.5624714751</v>
      </c>
      <c r="G122" s="15" t="n">
        <f aca="false">F122*(1+IF(G$3&lt;=$O$2,$D122,$D122-($D122-$I$103)*MIN(G$3-$O$2,$Q$2)/$Q$2))</f>
        <v>5163.73975587648</v>
      </c>
      <c r="H122" s="15" t="n">
        <f aca="false">G122*(1+IF(H$3&lt;=$O$2,$D122,$D122-($D122-$I$103)*MIN(H$3-$O$2,$Q$2)/$Q$2))</f>
        <v>4767.79801788898</v>
      </c>
      <c r="I122" s="15" t="n">
        <f aca="false">H122*(1+IF(I$3&lt;=$O$2,$D122,$D122-($D122-$I$103)*MIN(I$3-$O$2,$Q$2)/$Q$2))</f>
        <v>4402.21603219189</v>
      </c>
      <c r="J122" s="15" t="n">
        <f aca="false">I122*(1+IF(J$3&lt;=$O$2,$D122,$D122-($D122-$I$103)*MIN(J$3-$O$2,$Q$2)/$Q$2))</f>
        <v>4157.09246459757</v>
      </c>
      <c r="K122" s="15" t="n">
        <f aca="false">J122*(1+IF(K$3&lt;=$O$2,$D122,$D122-($D122-$I$103)*MIN(K$3-$O$2,$Q$2)/$Q$2))</f>
        <v>4012.89791983477</v>
      </c>
      <c r="L122" s="15" t="n">
        <f aca="false">K122*(1+IF(L$3&lt;=$O$2,$D122,$D122-($D122-$I$103)*MIN(L$3-$O$2,$Q$2)/$Q$2))</f>
        <v>3957.95761951033</v>
      </c>
      <c r="M122" s="15" t="n">
        <f aca="false">L122*(1+IF(M$3&lt;=$O$2,$D122,$D122-($D122-$I$103)*MIN(M$3-$O$2,$Q$2)/$Q$2))</f>
        <v>3986.86866153844</v>
      </c>
      <c r="N122" s="15" t="n">
        <f aca="false">M122*(1+IF(N$3&lt;=$O$2,$D122,$D122-($D122-$I$103)*MIN(N$3-$O$2,$Q$2)/$Q$2))</f>
        <v>4099.69704465998</v>
      </c>
      <c r="O122" s="15" t="n">
        <f aca="false">SUMPRODUCT(E122:N122,1/(1+$F$103)^$E$3:$N$3)*$E$2</f>
        <v>10598.8996676476</v>
      </c>
      <c r="P122" s="15" t="n">
        <f aca="false">N122*$E$2*(1+$I$103)/($F$103-$I$103)/(1+$F$103)^$N$3</f>
        <v>15756.7711728055</v>
      </c>
      <c r="Q122" s="15" t="n">
        <f aca="false">O122+P122</f>
        <v>26355.6708404531</v>
      </c>
      <c r="R122" s="15" t="n">
        <f aca="false">Q122-$G$2+$I$2</f>
        <v>19010.4708404531</v>
      </c>
      <c r="S122" s="42" t="n">
        <f aca="false">R122/$K$2</f>
        <v>81.0162831470406</v>
      </c>
      <c r="T122" s="43" t="n">
        <f aca="false">S122-$M$2</f>
        <v>0.00200656489693074</v>
      </c>
    </row>
    <row r="123" customFormat="false" ht="15" hidden="false" customHeight="false" outlineLevel="0" collapsed="false">
      <c r="A123" s="5" t="n">
        <v>19</v>
      </c>
      <c r="B123" s="25" t="n">
        <f aca="false">IF(T122&gt;0,B122,D122)</f>
        <v>-0.0766830444335938</v>
      </c>
      <c r="C123" s="25" t="n">
        <f aca="false">IF(T122&gt;0,D122,C122)</f>
        <v>-0.0766773223876953</v>
      </c>
      <c r="D123" s="41" t="n">
        <f aca="false">(B123+C123)/2</f>
        <v>-0.0766801834106445</v>
      </c>
      <c r="E123" s="15" t="n">
        <f aca="false">$C$2*(1+IF(E$3&lt;=$O$2,$D123,$D123-($D123-$I$103)*MIN(E$3-$O$2,$Q$2)/$Q$2))</f>
        <v>6056.97799682617</v>
      </c>
      <c r="F123" s="15" t="n">
        <f aca="false">E123*(1+IF(F$3&lt;=$O$2,$D123,$D123-($D123-$I$103)*MIN(F$3-$O$2,$Q$2)/$Q$2))</f>
        <v>5592.5278131153</v>
      </c>
      <c r="G123" s="15" t="n">
        <f aca="false">F123*(1+IF(G$3&lt;=$O$2,$D123,$D123-($D123-$I$103)*MIN(G$3-$O$2,$Q$2)/$Q$2))</f>
        <v>5163.69175467649</v>
      </c>
      <c r="H123" s="15" t="n">
        <f aca="false">G123*(1+IF(H$3&lt;=$O$2,$D123,$D123-($D123-$I$103)*MIN(H$3-$O$2,$Q$2)/$Q$2))</f>
        <v>4767.73892385186</v>
      </c>
      <c r="I123" s="15" t="n">
        <f aca="false">H123*(1+IF(I$3&lt;=$O$2,$D123,$D123-($D123-$I$103)*MIN(I$3-$O$2,$Q$2)/$Q$2))</f>
        <v>4402.14782871684</v>
      </c>
      <c r="J123" s="15" t="n">
        <f aca="false">I123*(1+IF(J$3&lt;=$O$2,$D123,$D123-($D123-$I$103)*MIN(J$3-$O$2,$Q$2)/$Q$2))</f>
        <v>4157.01798310195</v>
      </c>
      <c r="K123" s="15" t="n">
        <f aca="false">J123*(1+IF(K$3&lt;=$O$2,$D123,$D123-($D123-$I$103)*MIN(K$3-$O$2,$Q$2)/$Q$2))</f>
        <v>4012.8188858393</v>
      </c>
      <c r="L123" s="15" t="n">
        <f aca="false">K123*(1+IF(L$3&lt;=$O$2,$D123,$D123-($D123-$I$103)*MIN(L$3-$O$2,$Q$2)/$Q$2))</f>
        <v>3957.87507525691</v>
      </c>
      <c r="M123" s="15" t="n">
        <f aca="false">L123*(1+IF(M$3&lt;=$O$2,$D123,$D123-($D123-$I$103)*MIN(M$3-$O$2,$Q$2)/$Q$2))</f>
        <v>3986.7832496233</v>
      </c>
      <c r="N123" s="15" t="n">
        <f aca="false">M123*(1+IF(N$3&lt;=$O$2,$D123,$D123-($D123-$I$103)*MIN(N$3-$O$2,$Q$2)/$Q$2))</f>
        <v>4099.60921558764</v>
      </c>
      <c r="O123" s="15" t="n">
        <f aca="false">SUMPRODUCT(E123:N123,1/(1+$F$103)^$E$3:$N$3)*$E$2</f>
        <v>10598.7668731811</v>
      </c>
      <c r="P123" s="15" t="n">
        <f aca="false">N123*$E$2*(1+$I$103)/($F$103-$I$103)/(1+$F$103)^$N$3</f>
        <v>15756.4336106441</v>
      </c>
      <c r="Q123" s="15" t="n">
        <f aca="false">O123+P123</f>
        <v>26355.2004838253</v>
      </c>
      <c r="R123" s="15" t="n">
        <f aca="false">Q123-$G$2+$I$2</f>
        <v>19010.0004838253</v>
      </c>
      <c r="S123" s="42" t="n">
        <f aca="false">R123/$K$2</f>
        <v>81.0142786440455</v>
      </c>
      <c r="T123" s="43" t="n">
        <f aca="false">S123-$M$2</f>
        <v>2.06190186702315E-006</v>
      </c>
    </row>
    <row r="124" customFormat="false" ht="15" hidden="false" customHeight="false" outlineLevel="0" collapsed="false">
      <c r="A124" s="5" t="n">
        <v>20</v>
      </c>
      <c r="B124" s="25" t="n">
        <f aca="false">IF(T123&gt;0,B123,D123)</f>
        <v>-0.0766830444335938</v>
      </c>
      <c r="C124" s="25" t="n">
        <f aca="false">IF(T123&gt;0,D123,C123)</f>
        <v>-0.0766801834106445</v>
      </c>
      <c r="D124" s="41" t="n">
        <f aca="false">(B124+C124)/2</f>
        <v>-0.0766816139221191</v>
      </c>
      <c r="E124" s="15" t="n">
        <f aca="false">$C$2*(1+IF(E$3&lt;=$O$2,$D124,$D124-($D124-$I$103)*MIN(E$3-$O$2,$Q$2)/$Q$2))</f>
        <v>6056.9686126709</v>
      </c>
      <c r="F124" s="15" t="n">
        <f aca="false">E124*(1+IF(F$3&lt;=$O$2,$D124,$D124-($D124-$I$103)*MIN(F$3-$O$2,$Q$2)/$Q$2))</f>
        <v>5592.51048397568</v>
      </c>
      <c r="G124" s="15" t="n">
        <f aca="false">F124*(1+IF(G$3&lt;=$O$2,$D124,$D124-($D124-$I$103)*MIN(G$3-$O$2,$Q$2)/$Q$2))</f>
        <v>5163.66775418805</v>
      </c>
      <c r="H124" s="15" t="n">
        <f aca="false">G124*(1+IF(H$3&lt;=$O$2,$D124,$D124-($D124-$I$103)*MIN(H$3-$O$2,$Q$2)/$Q$2))</f>
        <v>4767.70937703931</v>
      </c>
      <c r="I124" s="15" t="n">
        <f aca="false">H124*(1+IF(I$3&lt;=$O$2,$D124,$D124-($D124-$I$103)*MIN(I$3-$O$2,$Q$2)/$Q$2))</f>
        <v>4402.11372729631</v>
      </c>
      <c r="J124" s="15" t="n">
        <f aca="false">I124*(1+IF(J$3&lt;=$O$2,$D124,$D124-($D124-$I$103)*MIN(J$3-$O$2,$Q$2)/$Q$2))</f>
        <v>4156.98074277057</v>
      </c>
      <c r="K124" s="15" t="n">
        <f aca="false">J124*(1+IF(K$3&lt;=$O$2,$D124,$D124-($D124-$I$103)*MIN(K$3-$O$2,$Q$2)/$Q$2))</f>
        <v>4012.77936933944</v>
      </c>
      <c r="L124" s="15" t="n">
        <f aca="false">K124*(1+IF(L$3&lt;=$O$2,$D124,$D124-($D124-$I$103)*MIN(L$3-$O$2,$Q$2)/$Q$2))</f>
        <v>3957.83380368909</v>
      </c>
      <c r="M124" s="15" t="n">
        <f aca="false">L124*(1+IF(M$3&lt;=$O$2,$D124,$D124-($D124-$I$103)*MIN(M$3-$O$2,$Q$2)/$Q$2))</f>
        <v>3986.74054426414</v>
      </c>
      <c r="N124" s="15" t="n">
        <f aca="false">M124*(1+IF(N$3&lt;=$O$2,$D124,$D124-($D124-$I$103)*MIN(N$3-$O$2,$Q$2)/$Q$2))</f>
        <v>4099.56530166681</v>
      </c>
      <c r="O124" s="15" t="n">
        <f aca="false">SUMPRODUCT(E124:N124,1/(1+$F$103)^$E$3:$N$3)*$E$2</f>
        <v>10598.7004766006</v>
      </c>
      <c r="P124" s="15" t="n">
        <f aca="false">N124*$E$2*(1+$I$103)/($F$103-$I$103)/(1+$F$103)^$N$3</f>
        <v>15756.2648319285</v>
      </c>
      <c r="Q124" s="15" t="n">
        <f aca="false">O124+P124</f>
        <v>26354.9653085291</v>
      </c>
      <c r="R124" s="15" t="n">
        <f aca="false">Q124-$G$2+$I$2</f>
        <v>19009.7653085291</v>
      </c>
      <c r="S124" s="42" t="n">
        <f aca="false">R124/$K$2</f>
        <v>81.0132764054083</v>
      </c>
      <c r="T124" s="43" t="n">
        <f aca="false">S124-$M$2</f>
        <v>-0.00100017673533159</v>
      </c>
    </row>
    <row r="125" customFormat="false" ht="15" hidden="false" customHeight="false" outlineLevel="0" collapsed="false">
      <c r="A125" s="5" t="n">
        <v>21</v>
      </c>
      <c r="B125" s="25" t="n">
        <f aca="false">IF(T124&gt;0,B124,D124)</f>
        <v>-0.0766816139221191</v>
      </c>
      <c r="C125" s="25" t="n">
        <f aca="false">IF(T124&gt;0,D124,C124)</f>
        <v>-0.0766801834106445</v>
      </c>
      <c r="D125" s="41" t="n">
        <f aca="false">(B125+C125)/2</f>
        <v>-0.0766808986663818</v>
      </c>
      <c r="E125" s="15" t="n">
        <f aca="false">$C$2*(1+IF(E$3&lt;=$O$2,$D125,$D125-($D125-$I$103)*MIN(E$3-$O$2,$Q$2)/$Q$2))</f>
        <v>6056.97330474854</v>
      </c>
      <c r="F125" s="15" t="n">
        <f aca="false">E125*(1+IF(F$3&lt;=$O$2,$D125,$D125-($D125-$I$103)*MIN(F$3-$O$2,$Q$2)/$Q$2))</f>
        <v>5592.51914854213</v>
      </c>
      <c r="G125" s="15" t="n">
        <f aca="false">F125*(1+IF(G$3&lt;=$O$2,$D125,$D125-($D125-$I$103)*MIN(G$3-$O$2,$Q$2)/$Q$2))</f>
        <v>5163.67975442297</v>
      </c>
      <c r="H125" s="15" t="n">
        <f aca="false">G125*(1+IF(H$3&lt;=$O$2,$D125,$D125-($D125-$I$103)*MIN(H$3-$O$2,$Q$2)/$Q$2))</f>
        <v>4767.72415042842</v>
      </c>
      <c r="I125" s="15" t="n">
        <f aca="false">H125*(1+IF(I$3&lt;=$O$2,$D125,$D125-($D125-$I$103)*MIN(I$3-$O$2,$Q$2)/$Q$2))</f>
        <v>4402.13077798016</v>
      </c>
      <c r="J125" s="15" t="n">
        <f aca="false">I125*(1+IF(J$3&lt;=$O$2,$D125,$D125-($D125-$I$103)*MIN(J$3-$O$2,$Q$2)/$Q$2))</f>
        <v>4156.99936290156</v>
      </c>
      <c r="K125" s="15" t="n">
        <f aca="false">J125*(1+IF(K$3&lt;=$O$2,$D125,$D125-($D125-$I$103)*MIN(K$3-$O$2,$Q$2)/$Q$2))</f>
        <v>4012.79912754788</v>
      </c>
      <c r="L125" s="15" t="n">
        <f aca="false">K125*(1+IF(L$3&lt;=$O$2,$D125,$D125-($D125-$I$103)*MIN(L$3-$O$2,$Q$2)/$Q$2))</f>
        <v>3957.85443942643</v>
      </c>
      <c r="M125" s="15" t="n">
        <f aca="false">L125*(1+IF(M$3&lt;=$O$2,$D125,$D125-($D125-$I$103)*MIN(M$3-$O$2,$Q$2)/$Q$2))</f>
        <v>3986.76189689385</v>
      </c>
      <c r="N125" s="15" t="n">
        <f aca="false">M125*(1+IF(N$3&lt;=$O$2,$D125,$D125-($D125-$I$103)*MIN(N$3-$O$2,$Q$2)/$Q$2))</f>
        <v>4099.58725857595</v>
      </c>
      <c r="O125" s="15" t="n">
        <f aca="false">SUMPRODUCT(E125:N125,1/(1+$F$103)^$E$3:$N$3)*$E$2</f>
        <v>10598.7336748365</v>
      </c>
      <c r="P125" s="15" t="n">
        <f aca="false">N125*$E$2*(1+$I$103)/($F$103-$I$103)/(1+$F$103)^$N$3</f>
        <v>15756.3492210892</v>
      </c>
      <c r="Q125" s="15" t="n">
        <f aca="false">O125+P125</f>
        <v>26355.0828959257</v>
      </c>
      <c r="R125" s="15" t="n">
        <f aca="false">Q125-$G$2+$I$2</f>
        <v>19009.8828959257</v>
      </c>
      <c r="S125" s="42" t="n">
        <f aca="false">R125/$K$2</f>
        <v>81.0137775236552</v>
      </c>
      <c r="T125" s="43" t="n">
        <f aca="false">S125-$M$2</f>
        <v>-0.000499058488401261</v>
      </c>
    </row>
    <row r="126" customFormat="false" ht="15" hidden="false" customHeight="false" outlineLevel="0" collapsed="false">
      <c r="A126" s="5" t="n">
        <v>22</v>
      </c>
      <c r="B126" s="25" t="n">
        <f aca="false">IF(T125&gt;0,B125,D125)</f>
        <v>-0.0766808986663818</v>
      </c>
      <c r="C126" s="25" t="n">
        <f aca="false">IF(T125&gt;0,D125,C125)</f>
        <v>-0.0766801834106445</v>
      </c>
      <c r="D126" s="41" t="n">
        <f aca="false">(B126+C126)/2</f>
        <v>-0.0766805410385132</v>
      </c>
      <c r="E126" s="15" t="n">
        <f aca="false">$C$2*(1+IF(E$3&lt;=$O$2,$D126,$D126-($D126-$I$103)*MIN(E$3-$O$2,$Q$2)/$Q$2))</f>
        <v>6056.97565078735</v>
      </c>
      <c r="F126" s="15" t="n">
        <f aca="false">E126*(1+IF(F$3&lt;=$O$2,$D126,$D126-($D126-$I$103)*MIN(F$3-$O$2,$Q$2)/$Q$2))</f>
        <v>5592.52348082788</v>
      </c>
      <c r="G126" s="15" t="n">
        <f aca="false">F126*(1+IF(G$3&lt;=$O$2,$D126,$D126-($D126-$I$103)*MIN(G$3-$O$2,$Q$2)/$Q$2))</f>
        <v>5163.68575454741</v>
      </c>
      <c r="H126" s="15" t="n">
        <f aca="false">G126*(1+IF(H$3&lt;=$O$2,$D126,$D126-($D126-$I$103)*MIN(H$3-$O$2,$Q$2)/$Q$2))</f>
        <v>4767.73153713585</v>
      </c>
      <c r="I126" s="15" t="n">
        <f aca="false">H126*(1+IF(I$3&lt;=$O$2,$D126,$D126-($D126-$I$103)*MIN(I$3-$O$2,$Q$2)/$Q$2))</f>
        <v>4402.13930334189</v>
      </c>
      <c r="J126" s="15" t="n">
        <f aca="false">I126*(1+IF(J$3&lt;=$O$2,$D126,$D126-($D126-$I$103)*MIN(J$3-$O$2,$Q$2)/$Q$2))</f>
        <v>4157.00867299308</v>
      </c>
      <c r="K126" s="15" t="n">
        <f aca="false">J126*(1+IF(K$3&lt;=$O$2,$D126,$D126-($D126-$I$103)*MIN(K$3-$O$2,$Q$2)/$Q$2))</f>
        <v>4012.80900668322</v>
      </c>
      <c r="L126" s="15" t="n">
        <f aca="false">K126*(1+IF(L$3&lt;=$O$2,$D126,$D126-($D126-$I$103)*MIN(L$3-$O$2,$Q$2)/$Q$2))</f>
        <v>3957.86475733002</v>
      </c>
      <c r="M126" s="15" t="n">
        <f aca="false">L126*(1+IF(M$3&lt;=$O$2,$D126,$D126-($D126-$I$103)*MIN(M$3-$O$2,$Q$2)/$Q$2))</f>
        <v>3986.77257324611</v>
      </c>
      <c r="N126" s="15" t="n">
        <f aca="false">M126*(1+IF(N$3&lt;=$O$2,$D126,$D126-($D126-$I$103)*MIN(N$3-$O$2,$Q$2)/$Q$2))</f>
        <v>4099.59823706897</v>
      </c>
      <c r="O126" s="15" t="n">
        <f aca="false">SUMPRODUCT(E126:N126,1/(1+$F$103)^$E$3:$N$3)*$E$2</f>
        <v>10598.7502739952</v>
      </c>
      <c r="P126" s="15" t="n">
        <f aca="false">N126*$E$2*(1+$I$103)/($F$103-$I$103)/(1+$F$103)^$N$3</f>
        <v>15756.3914158174</v>
      </c>
      <c r="Q126" s="15" t="n">
        <f aca="false">O126+P126</f>
        <v>26355.1416898126</v>
      </c>
      <c r="R126" s="15" t="n">
        <f aca="false">Q126-$G$2+$I$2</f>
        <v>19009.9416898126</v>
      </c>
      <c r="S126" s="42" t="n">
        <f aca="false">R126/$K$2</f>
        <v>81.0140280835824</v>
      </c>
      <c r="T126" s="43" t="n">
        <f aca="false">S126-$M$2</f>
        <v>-0.00024849856121989</v>
      </c>
    </row>
    <row r="127" customFormat="false" ht="15" hidden="false" customHeight="false" outlineLevel="0" collapsed="false">
      <c r="A127" s="5" t="n">
        <v>23</v>
      </c>
      <c r="B127" s="25" t="n">
        <f aca="false">IF(T126&gt;0,B126,D126)</f>
        <v>-0.0766805410385132</v>
      </c>
      <c r="C127" s="25" t="n">
        <f aca="false">IF(T126&gt;0,D126,C126)</f>
        <v>-0.0766801834106445</v>
      </c>
      <c r="D127" s="41" t="n">
        <f aca="false">(B127+C127)/2</f>
        <v>-0.0766803622245789</v>
      </c>
      <c r="E127" s="15" t="n">
        <f aca="false">$C$2*(1+IF(E$3&lt;=$O$2,$D127,$D127-($D127-$I$103)*MIN(E$3-$O$2,$Q$2)/$Q$2))</f>
        <v>6056.97682380676</v>
      </c>
      <c r="F127" s="15" t="n">
        <f aca="false">E127*(1+IF(F$3&lt;=$O$2,$D127,$D127-($D127-$I$103)*MIN(F$3-$O$2,$Q$2)/$Q$2))</f>
        <v>5592.52564697138</v>
      </c>
      <c r="G127" s="15" t="n">
        <f aca="false">F127*(1+IF(G$3&lt;=$O$2,$D127,$D127-($D127-$I$103)*MIN(G$3-$O$2,$Q$2)/$Q$2))</f>
        <v>5163.68875461137</v>
      </c>
      <c r="H127" s="15" t="n">
        <f aca="false">G127*(1+IF(H$3&lt;=$O$2,$D127,$D127-($D127-$I$103)*MIN(H$3-$O$2,$Q$2)/$Q$2))</f>
        <v>4767.73523049278</v>
      </c>
      <c r="I127" s="15" t="n">
        <f aca="false">H127*(1+IF(I$3&lt;=$O$2,$D127,$D127-($D127-$I$103)*MIN(I$3-$O$2,$Q$2)/$Q$2))</f>
        <v>4402.14356602771</v>
      </c>
      <c r="J127" s="15" t="n">
        <f aca="false">I127*(1+IF(J$3&lt;=$O$2,$D127,$D127-($D127-$I$103)*MIN(J$3-$O$2,$Q$2)/$Q$2))</f>
        <v>4157.01332804535</v>
      </c>
      <c r="K127" s="15" t="n">
        <f aca="false">J127*(1+IF(K$3&lt;=$O$2,$D127,$D127-($D127-$I$103)*MIN(K$3-$O$2,$Q$2)/$Q$2))</f>
        <v>4012.81394625867</v>
      </c>
      <c r="L127" s="15" t="n">
        <f aca="false">K127*(1+IF(L$3&lt;=$O$2,$D127,$D127-($D127-$I$103)*MIN(L$3-$O$2,$Q$2)/$Q$2))</f>
        <v>3957.86991629056</v>
      </c>
      <c r="M127" s="15" t="n">
        <f aca="false">L127*(1+IF(M$3&lt;=$O$2,$D127,$D127-($D127-$I$103)*MIN(M$3-$O$2,$Q$2)/$Q$2))</f>
        <v>3986.77791143159</v>
      </c>
      <c r="N127" s="15" t="n">
        <f aca="false">M127*(1+IF(N$3&lt;=$O$2,$D127,$D127-($D127-$I$103)*MIN(N$3-$O$2,$Q$2)/$Q$2))</f>
        <v>4099.60372632511</v>
      </c>
      <c r="O127" s="15" t="n">
        <f aca="false">SUMPRODUCT(E127:N127,1/(1+$F$103)^$E$3:$N$3)*$E$2</f>
        <v>10598.7585735848</v>
      </c>
      <c r="P127" s="15" t="n">
        <f aca="false">N127*$E$2*(1+$I$103)/($F$103-$I$103)/(1+$F$103)^$N$3</f>
        <v>15756.4125132185</v>
      </c>
      <c r="Q127" s="15" t="n">
        <f aca="false">O127+P127</f>
        <v>26355.1710868032</v>
      </c>
      <c r="R127" s="15" t="n">
        <f aca="false">Q127-$G$2+$I$2</f>
        <v>19009.9710868032</v>
      </c>
      <c r="S127" s="42" t="n">
        <f aca="false">R127/$K$2</f>
        <v>81.014153363747</v>
      </c>
      <c r="T127" s="43" t="n">
        <f aca="false">S127-$M$2</f>
        <v>-0.000123218396637981</v>
      </c>
    </row>
    <row r="128" customFormat="false" ht="15" hidden="false" customHeight="false" outlineLevel="0" collapsed="false">
      <c r="A128" s="5" t="n">
        <v>24</v>
      </c>
      <c r="B128" s="25" t="n">
        <f aca="false">IF(T127&gt;0,B127,D127)</f>
        <v>-0.0766803622245789</v>
      </c>
      <c r="C128" s="25" t="n">
        <f aca="false">IF(T127&gt;0,D127,C127)</f>
        <v>-0.0766801834106445</v>
      </c>
      <c r="D128" s="41" t="n">
        <f aca="false">(B128+C128)/2</f>
        <v>-0.0766802728176117</v>
      </c>
      <c r="E128" s="15" t="n">
        <f aca="false">$C$2*(1+IF(E$3&lt;=$O$2,$D128,$D128-($D128-$I$103)*MIN(E$3-$O$2,$Q$2)/$Q$2))</f>
        <v>6056.97741031647</v>
      </c>
      <c r="F128" s="15" t="n">
        <f aca="false">E128*(1+IF(F$3&lt;=$O$2,$D128,$D128-($D128-$I$103)*MIN(F$3-$O$2,$Q$2)/$Q$2))</f>
        <v>5592.52673004329</v>
      </c>
      <c r="G128" s="15" t="n">
        <f aca="false">F128*(1+IF(G$3&lt;=$O$2,$D128,$D128-($D128-$I$103)*MIN(G$3-$O$2,$Q$2)/$Q$2))</f>
        <v>5163.69025464378</v>
      </c>
      <c r="H128" s="15" t="n">
        <f aca="false">G128*(1+IF(H$3&lt;=$O$2,$D128,$D128-($D128-$I$103)*MIN(H$3-$O$2,$Q$2)/$Q$2))</f>
        <v>4767.73707717206</v>
      </c>
      <c r="I128" s="15" t="n">
        <f aca="false">H128*(1+IF(I$3&lt;=$O$2,$D128,$D128-($D128-$I$103)*MIN(I$3-$O$2,$Q$2)/$Q$2))</f>
        <v>4402.14569737186</v>
      </c>
      <c r="J128" s="15" t="n">
        <f aca="false">I128*(1+IF(J$3&lt;=$O$2,$D128,$D128-($D128-$I$103)*MIN(J$3-$O$2,$Q$2)/$Q$2))</f>
        <v>4157.01565557311</v>
      </c>
      <c r="K128" s="15" t="n">
        <f aca="false">J128*(1+IF(K$3&lt;=$O$2,$D128,$D128-($D128-$I$103)*MIN(K$3-$O$2,$Q$2)/$Q$2))</f>
        <v>4012.81641604834</v>
      </c>
      <c r="L128" s="15" t="n">
        <f aca="false">K128*(1+IF(L$3&lt;=$O$2,$D128,$D128-($D128-$I$103)*MIN(L$3-$O$2,$Q$2)/$Q$2))</f>
        <v>3957.87249577301</v>
      </c>
      <c r="M128" s="15" t="n">
        <f aca="false">L128*(1+IF(M$3&lt;=$O$2,$D128,$D128-($D128-$I$103)*MIN(M$3-$O$2,$Q$2)/$Q$2))</f>
        <v>3986.78058052667</v>
      </c>
      <c r="N128" s="15" t="n">
        <f aca="false">M128*(1+IF(N$3&lt;=$O$2,$D128,$D128-($D128-$I$103)*MIN(N$3-$O$2,$Q$2)/$Q$2))</f>
        <v>4099.60647095557</v>
      </c>
      <c r="O128" s="15" t="n">
        <f aca="false">SUMPRODUCT(E128:N128,1/(1+$F$103)^$E$3:$N$3)*$E$2</f>
        <v>10598.7627233821</v>
      </c>
      <c r="P128" s="15" t="n">
        <f aca="false">N128*$E$2*(1+$I$103)/($F$103-$I$103)/(1+$F$103)^$N$3</f>
        <v>15756.4230619282</v>
      </c>
      <c r="Q128" s="15" t="n">
        <f aca="false">O128+P128</f>
        <v>26355.1857853103</v>
      </c>
      <c r="R128" s="15" t="n">
        <f aca="false">Q128-$G$2+$I$2</f>
        <v>19009.9857853103</v>
      </c>
      <c r="S128" s="42" t="n">
        <f aca="false">R128/$K$2</f>
        <v>81.0142160038795</v>
      </c>
      <c r="T128" s="43" t="n">
        <f aca="false">S128-$M$2</f>
        <v>-6.05782641116548E-005</v>
      </c>
    </row>
    <row r="130" customFormat="false" ht="15" hidden="false" customHeight="false" outlineLevel="0" collapsed="false">
      <c r="A130" s="38" t="s">
        <v>186</v>
      </c>
      <c r="E130" s="5" t="s">
        <v>11</v>
      </c>
      <c r="F130" s="12" t="n">
        <f aca="false">Sensitivity!$B$10</f>
        <v>0.0712368036285737</v>
      </c>
      <c r="G130" s="5" t="s">
        <v>12</v>
      </c>
      <c r="I130" s="12" t="n">
        <f aca="false">Sensitivity!$F$9</f>
        <v>0.0333</v>
      </c>
    </row>
    <row r="131" customFormat="false" ht="23.85" hidden="false" customHeight="false" outlineLevel="0" collapsed="false">
      <c r="A131" s="38" t="s">
        <v>163</v>
      </c>
      <c r="B131" s="28" t="s">
        <v>164</v>
      </c>
      <c r="C131" s="28" t="s">
        <v>165</v>
      </c>
      <c r="D131" s="28" t="s">
        <v>166</v>
      </c>
      <c r="E131" s="28" t="s">
        <v>167</v>
      </c>
      <c r="F131" s="28" t="s">
        <v>168</v>
      </c>
      <c r="G131" s="28" t="s">
        <v>169</v>
      </c>
      <c r="H131" s="28" t="s">
        <v>170</v>
      </c>
      <c r="I131" s="28" t="s">
        <v>171</v>
      </c>
      <c r="J131" s="28" t="s">
        <v>172</v>
      </c>
      <c r="K131" s="28" t="s">
        <v>173</v>
      </c>
      <c r="L131" s="28" t="s">
        <v>174</v>
      </c>
      <c r="M131" s="28" t="s">
        <v>175</v>
      </c>
      <c r="N131" s="28" t="s">
        <v>176</v>
      </c>
      <c r="O131" s="28" t="s">
        <v>177</v>
      </c>
      <c r="P131" s="28" t="s">
        <v>178</v>
      </c>
      <c r="Q131" s="28" t="s">
        <v>179</v>
      </c>
      <c r="R131" s="28" t="s">
        <v>180</v>
      </c>
      <c r="S131" s="28" t="s">
        <v>181</v>
      </c>
      <c r="T131" s="28" t="s">
        <v>182</v>
      </c>
    </row>
    <row r="132" customFormat="false" ht="15" hidden="false" customHeight="false" outlineLevel="0" collapsed="false">
      <c r="A132" s="5" t="n">
        <v>1</v>
      </c>
      <c r="B132" s="24" t="n">
        <v>-0.5</v>
      </c>
      <c r="C132" s="24" t="n">
        <v>1</v>
      </c>
      <c r="D132" s="41" t="n">
        <f aca="false">(B132+C132)/2</f>
        <v>0.25</v>
      </c>
      <c r="E132" s="15" t="n">
        <f aca="false">$C$2*(1+IF(E$3&lt;=$O$2,$D132,$D132-($D132-$I$130)*MIN(E$3-$O$2,$Q$2)/$Q$2))</f>
        <v>8200</v>
      </c>
      <c r="F132" s="15" t="n">
        <f aca="false">E132*(1+IF(F$3&lt;=$O$2,$D132,$D132-($D132-$I$130)*MIN(F$3-$O$2,$Q$2)/$Q$2))</f>
        <v>10250</v>
      </c>
      <c r="G132" s="15" t="n">
        <f aca="false">F132*(1+IF(G$3&lt;=$O$2,$D132,$D132-($D132-$I$130)*MIN(G$3-$O$2,$Q$2)/$Q$2))</f>
        <v>12812.5</v>
      </c>
      <c r="H132" s="15" t="n">
        <f aca="false">G132*(1+IF(H$3&lt;=$O$2,$D132,$D132-($D132-$I$130)*MIN(H$3-$O$2,$Q$2)/$Q$2))</f>
        <v>16015.625</v>
      </c>
      <c r="I132" s="15" t="n">
        <f aca="false">H132*(1+IF(I$3&lt;=$O$2,$D132,$D132-($D132-$I$130)*MIN(I$3-$O$2,$Q$2)/$Q$2))</f>
        <v>20019.53125</v>
      </c>
      <c r="J132" s="15" t="n">
        <f aca="false">I132*(1+IF(J$3&lt;=$O$2,$D132,$D132-($D132-$I$130)*MIN(J$3-$O$2,$Q$2)/$Q$2))</f>
        <v>24156.767578125</v>
      </c>
      <c r="K132" s="15" t="n">
        <f aca="false">J132*(1+IF(K$3&lt;=$O$2,$D132,$D132-($D132-$I$130)*MIN(K$3-$O$2,$Q$2)/$Q$2))</f>
        <v>28102.0508589844</v>
      </c>
      <c r="L132" s="15" t="n">
        <f aca="false">K132*(1+IF(L$3&lt;=$O$2,$D132,$D132-($D132-$I$130)*MIN(L$3-$O$2,$Q$2)/$Q$2))</f>
        <v>31473.7349210453</v>
      </c>
      <c r="M132" s="15" t="n">
        <f aca="false">L132*(1+IF(M$3&lt;=$O$2,$D132,$D132-($D132-$I$130)*MIN(M$3-$O$2,$Q$2)/$Q$2))</f>
        <v>33885.8819653942</v>
      </c>
      <c r="N132" s="15" t="n">
        <f aca="false">M132*(1+IF(N$3&lt;=$O$2,$D132,$D132-($D132-$I$130)*MIN(N$3-$O$2,$Q$2)/$Q$2))</f>
        <v>35014.2818348419</v>
      </c>
      <c r="O132" s="15" t="n">
        <f aca="false">SUMPRODUCT(E132:N132,1/(1+$F$130)^$E$3:$N$3)*$E$2</f>
        <v>44931.8189761938</v>
      </c>
      <c r="P132" s="15" t="n">
        <f aca="false">N132*$E$2*(1+$I$130)/($F$130-$I$130)/(1+$F$130)^$N$3</f>
        <v>153051.029135742</v>
      </c>
      <c r="Q132" s="15" t="n">
        <f aca="false">O132+P132</f>
        <v>197982.848111936</v>
      </c>
      <c r="R132" s="15" t="n">
        <f aca="false">Q132-$G$2+$I$2</f>
        <v>190637.648111936</v>
      </c>
      <c r="S132" s="42" t="n">
        <f aca="false">R132/$K$2</f>
        <v>812.43404266753</v>
      </c>
      <c r="T132" s="43" t="n">
        <f aca="false">S132-$M$2</f>
        <v>731.419766085386</v>
      </c>
    </row>
    <row r="133" customFormat="false" ht="15" hidden="false" customHeight="false" outlineLevel="0" collapsed="false">
      <c r="A133" s="5" t="n">
        <v>2</v>
      </c>
      <c r="B133" s="25" t="n">
        <f aca="false">IF(T132&gt;0,B132,D132)</f>
        <v>-0.5</v>
      </c>
      <c r="C133" s="25" t="n">
        <f aca="false">IF(T132&gt;0,D132,C132)</f>
        <v>0.25</v>
      </c>
      <c r="D133" s="41" t="n">
        <f aca="false">(B133+C133)/2</f>
        <v>-0.125</v>
      </c>
      <c r="E133" s="15" t="n">
        <f aca="false">$C$2*(1+IF(E$3&lt;=$O$2,$D133,$D133-($D133-$I$130)*MIN(E$3-$O$2,$Q$2)/$Q$2))</f>
        <v>5740</v>
      </c>
      <c r="F133" s="15" t="n">
        <f aca="false">E133*(1+IF(F$3&lt;=$O$2,$D133,$D133-($D133-$I$130)*MIN(F$3-$O$2,$Q$2)/$Q$2))</f>
        <v>5022.5</v>
      </c>
      <c r="G133" s="15" t="n">
        <f aca="false">F133*(1+IF(G$3&lt;=$O$2,$D133,$D133-($D133-$I$130)*MIN(G$3-$O$2,$Q$2)/$Q$2))</f>
        <v>4394.6875</v>
      </c>
      <c r="H133" s="15" t="n">
        <f aca="false">G133*(1+IF(H$3&lt;=$O$2,$D133,$D133-($D133-$I$130)*MIN(H$3-$O$2,$Q$2)/$Q$2))</f>
        <v>3845.3515625</v>
      </c>
      <c r="I133" s="15" t="n">
        <f aca="false">H133*(1+IF(I$3&lt;=$O$2,$D133,$D133-($D133-$I$130)*MIN(I$3-$O$2,$Q$2)/$Q$2))</f>
        <v>3364.6826171875</v>
      </c>
      <c r="J133" s="15" t="n">
        <f aca="false">I133*(1+IF(J$3&lt;=$O$2,$D133,$D133-($D133-$I$130)*MIN(J$3-$O$2,$Q$2)/$Q$2))</f>
        <v>3050.62314169922</v>
      </c>
      <c r="K133" s="15" t="n">
        <f aca="false">J133*(1+IF(K$3&lt;=$O$2,$D133,$D133-($D133-$I$130)*MIN(K$3-$O$2,$Q$2)/$Q$2))</f>
        <v>2862.46070631921</v>
      </c>
      <c r="L133" s="15" t="n">
        <f aca="false">K133*(1+IF(L$3&lt;=$O$2,$D133,$D133-($D133-$I$130)*MIN(L$3-$O$2,$Q$2)/$Q$2))</f>
        <v>2776.52963591551</v>
      </c>
      <c r="M133" s="15" t="n">
        <f aca="false">L133*(1+IF(M$3&lt;=$O$2,$D133,$D133-($D133-$I$130)*MIN(M$3-$O$2,$Q$2)/$Q$2))</f>
        <v>2781.08314451841</v>
      </c>
      <c r="N133" s="15" t="n">
        <f aca="false">M133*(1+IF(N$3&lt;=$O$2,$D133,$D133-($D133-$I$130)*MIN(N$3-$O$2,$Q$2)/$Q$2))</f>
        <v>2873.69321323087</v>
      </c>
      <c r="O133" s="15" t="n">
        <f aca="false">SUMPRODUCT(E133:N133,1/(1+$F$130)^$E$3:$N$3)*$E$2</f>
        <v>8604.95887077966</v>
      </c>
      <c r="P133" s="15" t="n">
        <f aca="false">N133*$E$2*(1+$I$130)/($F$130-$I$130)/(1+$F$130)^$N$3</f>
        <v>12561.2087598989</v>
      </c>
      <c r="Q133" s="15" t="n">
        <f aca="false">O133+P133</f>
        <v>21166.1676306785</v>
      </c>
      <c r="R133" s="15" t="n">
        <f aca="false">Q133-$G$2+$I$2</f>
        <v>13820.9676306785</v>
      </c>
      <c r="S133" s="42" t="n">
        <f aca="false">R133/$K$2</f>
        <v>58.9003521443789</v>
      </c>
      <c r="T133" s="43" t="n">
        <f aca="false">S133-$M$2</f>
        <v>-22.1139244377647</v>
      </c>
    </row>
    <row r="134" customFormat="false" ht="15" hidden="false" customHeight="false" outlineLevel="0" collapsed="false">
      <c r="A134" s="5" t="n">
        <v>3</v>
      </c>
      <c r="B134" s="25" t="n">
        <f aca="false">IF(T133&gt;0,B133,D133)</f>
        <v>-0.125</v>
      </c>
      <c r="C134" s="25" t="n">
        <f aca="false">IF(T133&gt;0,D133,C133)</f>
        <v>0.25</v>
      </c>
      <c r="D134" s="41" t="n">
        <f aca="false">(B134+C134)/2</f>
        <v>0.0625</v>
      </c>
      <c r="E134" s="15" t="n">
        <f aca="false">$C$2*(1+IF(E$3&lt;=$O$2,$D134,$D134-($D134-$I$130)*MIN(E$3-$O$2,$Q$2)/$Q$2))</f>
        <v>6970</v>
      </c>
      <c r="F134" s="15" t="n">
        <f aca="false">E134*(1+IF(F$3&lt;=$O$2,$D134,$D134-($D134-$I$130)*MIN(F$3-$O$2,$Q$2)/$Q$2))</f>
        <v>7405.625</v>
      </c>
      <c r="G134" s="15" t="n">
        <f aca="false">F134*(1+IF(G$3&lt;=$O$2,$D134,$D134-($D134-$I$130)*MIN(G$3-$O$2,$Q$2)/$Q$2))</f>
        <v>7868.4765625</v>
      </c>
      <c r="H134" s="15" t="n">
        <f aca="false">G134*(1+IF(H$3&lt;=$O$2,$D134,$D134-($D134-$I$130)*MIN(H$3-$O$2,$Q$2)/$Q$2))</f>
        <v>8360.25634765625</v>
      </c>
      <c r="I134" s="15" t="n">
        <f aca="false">H134*(1+IF(I$3&lt;=$O$2,$D134,$D134-($D134-$I$130)*MIN(I$3-$O$2,$Q$2)/$Q$2))</f>
        <v>8882.77236938477</v>
      </c>
      <c r="J134" s="15" t="n">
        <f aca="false">I134*(1+IF(J$3&lt;=$O$2,$D134,$D134-($D134-$I$130)*MIN(J$3-$O$2,$Q$2)/$Q$2))</f>
        <v>9386.07025183411</v>
      </c>
      <c r="K134" s="15" t="n">
        <f aca="false">J134*(1+IF(K$3&lt;=$O$2,$D134,$D134-($D134-$I$130)*MIN(K$3-$O$2,$Q$2)/$Q$2))</f>
        <v>9863.07034203232</v>
      </c>
      <c r="L134" s="15" t="n">
        <f aca="false">K134*(1+IF(L$3&lt;=$O$2,$D134,$D134-($D134-$I$130)*MIN(L$3-$O$2,$Q$2)/$Q$2))</f>
        <v>10306.7112460169</v>
      </c>
      <c r="M134" s="15" t="n">
        <f aca="false">L134*(1+IF(M$3&lt;=$O$2,$D134,$D134-($D134-$I$130)*MIN(M$3-$O$2,$Q$2)/$Q$2))</f>
        <v>10710.115924186</v>
      </c>
      <c r="N134" s="15" t="n">
        <f aca="false">M134*(1+IF(N$3&lt;=$O$2,$D134,$D134-($D134-$I$130)*MIN(N$3-$O$2,$Q$2)/$Q$2))</f>
        <v>11066.7627844614</v>
      </c>
      <c r="O134" s="15" t="n">
        <f aca="false">SUMPRODUCT(E134:N134,1/(1+$F$130)^$E$3:$N$3)*$E$2</f>
        <v>19666.1583807061</v>
      </c>
      <c r="P134" s="15" t="n">
        <f aca="false">N134*$E$2*(1+$I$130)/($F$130-$I$130)/(1+$F$130)^$N$3</f>
        <v>48373.9589848595</v>
      </c>
      <c r="Q134" s="15" t="n">
        <f aca="false">O134+P134</f>
        <v>68040.1173655656</v>
      </c>
      <c r="R134" s="15" t="n">
        <f aca="false">Q134-$G$2+$I$2</f>
        <v>60694.9173655656</v>
      </c>
      <c r="S134" s="42" t="n">
        <f aca="false">R134/$K$2</f>
        <v>258.661484617795</v>
      </c>
      <c r="T134" s="43" t="n">
        <f aca="false">S134-$M$2</f>
        <v>177.647208035652</v>
      </c>
    </row>
    <row r="135" customFormat="false" ht="15" hidden="false" customHeight="false" outlineLevel="0" collapsed="false">
      <c r="A135" s="5" t="n">
        <v>4</v>
      </c>
      <c r="B135" s="25" t="n">
        <f aca="false">IF(T134&gt;0,B134,D134)</f>
        <v>-0.125</v>
      </c>
      <c r="C135" s="25" t="n">
        <f aca="false">IF(T134&gt;0,D134,C134)</f>
        <v>0.0625</v>
      </c>
      <c r="D135" s="41" t="n">
        <f aca="false">(B135+C135)/2</f>
        <v>-0.03125</v>
      </c>
      <c r="E135" s="15" t="n">
        <f aca="false">$C$2*(1+IF(E$3&lt;=$O$2,$D135,$D135-($D135-$I$130)*MIN(E$3-$O$2,$Q$2)/$Q$2))</f>
        <v>6355</v>
      </c>
      <c r="F135" s="15" t="n">
        <f aca="false">E135*(1+IF(F$3&lt;=$O$2,$D135,$D135-($D135-$I$130)*MIN(F$3-$O$2,$Q$2)/$Q$2))</f>
        <v>6156.40625</v>
      </c>
      <c r="G135" s="15" t="n">
        <f aca="false">F135*(1+IF(G$3&lt;=$O$2,$D135,$D135-($D135-$I$130)*MIN(G$3-$O$2,$Q$2)/$Q$2))</f>
        <v>5964.0185546875</v>
      </c>
      <c r="H135" s="15" t="n">
        <f aca="false">G135*(1+IF(H$3&lt;=$O$2,$D135,$D135-($D135-$I$130)*MIN(H$3-$O$2,$Q$2)/$Q$2))</f>
        <v>5777.64297485352</v>
      </c>
      <c r="I135" s="15" t="n">
        <f aca="false">H135*(1+IF(I$3&lt;=$O$2,$D135,$D135-($D135-$I$130)*MIN(I$3-$O$2,$Q$2)/$Q$2))</f>
        <v>5597.09163188934</v>
      </c>
      <c r="J135" s="15" t="n">
        <f aca="false">I135*(1+IF(J$3&lt;=$O$2,$D135,$D135-($D135-$I$130)*MIN(J$3-$O$2,$Q$2)/$Q$2))</f>
        <v>5494.44097136049</v>
      </c>
      <c r="K135" s="15" t="n">
        <f aca="false">J135*(1+IF(K$3&lt;=$O$2,$D135,$D135-($D135-$I$130)*MIN(K$3-$O$2,$Q$2)/$Q$2))</f>
        <v>5464.60615688601</v>
      </c>
      <c r="L135" s="15" t="n">
        <f aca="false">K135*(1+IF(L$3&lt;=$O$2,$D135,$D135-($D135-$I$130)*MIN(L$3-$O$2,$Q$2)/$Q$2))</f>
        <v>5505.48141093951</v>
      </c>
      <c r="M135" s="15" t="n">
        <f aca="false">L135*(1+IF(M$3&lt;=$O$2,$D135,$D135-($D135-$I$130)*MIN(M$3-$O$2,$Q$2)/$Q$2))</f>
        <v>5617.73817690857</v>
      </c>
      <c r="N135" s="15" t="n">
        <f aca="false">M135*(1+IF(N$3&lt;=$O$2,$D135,$D135-($D135-$I$130)*MIN(N$3-$O$2,$Q$2)/$Q$2))</f>
        <v>5804.80885819962</v>
      </c>
      <c r="O135" s="15" t="n">
        <f aca="false">SUMPRODUCT(E135:N135,1/(1+$F$130)^$E$3:$N$3)*$E$2</f>
        <v>12975.9887194483</v>
      </c>
      <c r="P135" s="15" t="n">
        <f aca="false">N135*$E$2*(1+$I$130)/($F$130-$I$130)/(1+$F$130)^$N$3</f>
        <v>25373.4168781285</v>
      </c>
      <c r="Q135" s="15" t="n">
        <f aca="false">O135+P135</f>
        <v>38349.4055975768</v>
      </c>
      <c r="R135" s="15" t="n">
        <f aca="false">Q135-$G$2+$I$2</f>
        <v>31004.2055975768</v>
      </c>
      <c r="S135" s="42" t="n">
        <f aca="false">R135/$K$2</f>
        <v>132.129578510875</v>
      </c>
      <c r="T135" s="43" t="n">
        <f aca="false">S135-$M$2</f>
        <v>51.1153019287314</v>
      </c>
    </row>
    <row r="136" customFormat="false" ht="15" hidden="false" customHeight="false" outlineLevel="0" collapsed="false">
      <c r="A136" s="5" t="n">
        <v>5</v>
      </c>
      <c r="B136" s="25" t="n">
        <f aca="false">IF(T135&gt;0,B135,D135)</f>
        <v>-0.125</v>
      </c>
      <c r="C136" s="25" t="n">
        <f aca="false">IF(T135&gt;0,D135,C135)</f>
        <v>-0.03125</v>
      </c>
      <c r="D136" s="41" t="n">
        <f aca="false">(B136+C136)/2</f>
        <v>-0.078125</v>
      </c>
      <c r="E136" s="15" t="n">
        <f aca="false">$C$2*(1+IF(E$3&lt;=$O$2,$D136,$D136-($D136-$I$130)*MIN(E$3-$O$2,$Q$2)/$Q$2))</f>
        <v>6047.5</v>
      </c>
      <c r="F136" s="15" t="n">
        <f aca="false">E136*(1+IF(F$3&lt;=$O$2,$D136,$D136-($D136-$I$130)*MIN(F$3-$O$2,$Q$2)/$Q$2))</f>
        <v>5575.0390625</v>
      </c>
      <c r="G136" s="15" t="n">
        <f aca="false">F136*(1+IF(G$3&lt;=$O$2,$D136,$D136-($D136-$I$130)*MIN(G$3-$O$2,$Q$2)/$Q$2))</f>
        <v>5139.48913574219</v>
      </c>
      <c r="H136" s="15" t="n">
        <f aca="false">G136*(1+IF(H$3&lt;=$O$2,$D136,$D136-($D136-$I$130)*MIN(H$3-$O$2,$Q$2)/$Q$2))</f>
        <v>4737.96654701233</v>
      </c>
      <c r="I136" s="15" t="n">
        <f aca="false">H136*(1+IF(I$3&lt;=$O$2,$D136,$D136-($D136-$I$130)*MIN(I$3-$O$2,$Q$2)/$Q$2))</f>
        <v>4367.81291052699</v>
      </c>
      <c r="J136" s="15" t="n">
        <f aca="false">I136*(1+IF(J$3&lt;=$O$2,$D136,$D136-($D136-$I$130)*MIN(J$3-$O$2,$Q$2)/$Q$2))</f>
        <v>4123.91423760316</v>
      </c>
      <c r="K136" s="15" t="n">
        <f aca="false">J136*(1+IF(K$3&lt;=$O$2,$D136,$D136-($D136-$I$130)*MIN(K$3-$O$2,$Q$2)/$Q$2))</f>
        <v>3985.53629536039</v>
      </c>
      <c r="L136" s="15" t="n">
        <f aca="false">K136*(1+IF(L$3&lt;=$O$2,$D136,$D136-($D136-$I$130)*MIN(L$3-$O$2,$Q$2)/$Q$2))</f>
        <v>3940.61930131168</v>
      </c>
      <c r="M136" s="15" t="n">
        <f aca="false">L136*(1+IF(M$3&lt;=$O$2,$D136,$D136-($D136-$I$130)*MIN(M$3-$O$2,$Q$2)/$Q$2))</f>
        <v>3984.02522291563</v>
      </c>
      <c r="N136" s="15" t="n">
        <f aca="false">M136*(1+IF(N$3&lt;=$O$2,$D136,$D136-($D136-$I$130)*MIN(N$3-$O$2,$Q$2)/$Q$2))</f>
        <v>4116.69326283872</v>
      </c>
      <c r="O136" s="15" t="n">
        <f aca="false">SUMPRODUCT(E136:N136,1/(1+$F$130)^$E$3:$N$3)*$E$2</f>
        <v>10556.5048287938</v>
      </c>
      <c r="P136" s="15" t="n">
        <f aca="false">N136*$E$2*(1+$I$130)/($F$130-$I$130)/(1+$F$130)^$N$3</f>
        <v>17994.4898908845</v>
      </c>
      <c r="Q136" s="15" t="n">
        <f aca="false">O136+P136</f>
        <v>28550.9947196783</v>
      </c>
      <c r="R136" s="15" t="n">
        <f aca="false">Q136-$G$2+$I$2</f>
        <v>21205.7947196782</v>
      </c>
      <c r="S136" s="42" t="n">
        <f aca="false">R136/$K$2</f>
        <v>90.3720209660271</v>
      </c>
      <c r="T136" s="43" t="n">
        <f aca="false">S136-$M$2</f>
        <v>9.35774438388343</v>
      </c>
    </row>
    <row r="137" customFormat="false" ht="15" hidden="false" customHeight="false" outlineLevel="0" collapsed="false">
      <c r="A137" s="5" t="n">
        <v>6</v>
      </c>
      <c r="B137" s="25" t="n">
        <f aca="false">IF(T136&gt;0,B136,D136)</f>
        <v>-0.125</v>
      </c>
      <c r="C137" s="25" t="n">
        <f aca="false">IF(T136&gt;0,D136,C136)</f>
        <v>-0.078125</v>
      </c>
      <c r="D137" s="41" t="n">
        <f aca="false">(B137+C137)/2</f>
        <v>-0.1015625</v>
      </c>
      <c r="E137" s="15" t="n">
        <f aca="false">$C$2*(1+IF(E$3&lt;=$O$2,$D137,$D137-($D137-$I$130)*MIN(E$3-$O$2,$Q$2)/$Q$2))</f>
        <v>5893.75</v>
      </c>
      <c r="F137" s="15" t="n">
        <f aca="false">E137*(1+IF(F$3&lt;=$O$2,$D137,$D137-($D137-$I$130)*MIN(F$3-$O$2,$Q$2)/$Q$2))</f>
        <v>5295.166015625</v>
      </c>
      <c r="G137" s="15" t="n">
        <f aca="false">F137*(1+IF(G$3&lt;=$O$2,$D137,$D137-($D137-$I$130)*MIN(G$3-$O$2,$Q$2)/$Q$2))</f>
        <v>4757.37571716309</v>
      </c>
      <c r="H137" s="15" t="n">
        <f aca="false">G137*(1+IF(H$3&lt;=$O$2,$D137,$D137-($D137-$I$130)*MIN(H$3-$O$2,$Q$2)/$Q$2))</f>
        <v>4274.20474588871</v>
      </c>
      <c r="I137" s="15" t="n">
        <f aca="false">H137*(1+IF(I$3&lt;=$O$2,$D137,$D137-($D137-$I$130)*MIN(I$3-$O$2,$Q$2)/$Q$2))</f>
        <v>3840.10582638439</v>
      </c>
      <c r="J137" s="15" t="n">
        <f aca="false">I137*(1+IF(J$3&lt;=$O$2,$D137,$D137-($D137-$I$130)*MIN(J$3-$O$2,$Q$2)/$Q$2))</f>
        <v>3553.67233279438</v>
      </c>
      <c r="K137" s="15" t="n">
        <f aca="false">J137*(1+IF(K$3&lt;=$O$2,$D137,$D137-($D137-$I$130)*MIN(K$3-$O$2,$Q$2)/$Q$2))</f>
        <v>3384.45534048754</v>
      </c>
      <c r="L137" s="15" t="n">
        <f aca="false">K137*(1+IF(L$3&lt;=$O$2,$D137,$D137-($D137-$I$130)*MIN(L$3-$O$2,$Q$2)/$Q$2))</f>
        <v>3314.58325998317</v>
      </c>
      <c r="M137" s="15" t="n">
        <f aca="false">L137*(1+IF(M$3&lt;=$O$2,$D137,$D137-($D137-$I$130)*MIN(M$3-$O$2,$Q$2)/$Q$2))</f>
        <v>3335.55628556072</v>
      </c>
      <c r="N137" s="15" t="n">
        <f aca="false">M137*(1+IF(N$3&lt;=$O$2,$D137,$D137-($D137-$I$130)*MIN(N$3-$O$2,$Q$2)/$Q$2))</f>
        <v>3446.63030986989</v>
      </c>
      <c r="O137" s="15" t="n">
        <f aca="false">SUMPRODUCT(E137:N137,1/(1+$F$130)^$E$3:$N$3)*$E$2</f>
        <v>9528.17905932049</v>
      </c>
      <c r="P137" s="15" t="n">
        <f aca="false">N137*$E$2*(1+$I$130)/($F$130-$I$130)/(1+$F$130)^$N$3</f>
        <v>15065.5757688886</v>
      </c>
      <c r="Q137" s="15" t="n">
        <f aca="false">O137+P137</f>
        <v>24593.7548282091</v>
      </c>
      <c r="R137" s="15" t="n">
        <f aca="false">Q137-$G$2+$I$2</f>
        <v>17248.5548282091</v>
      </c>
      <c r="S137" s="42" t="n">
        <f aca="false">R137/$K$2</f>
        <v>73.5075850339188</v>
      </c>
      <c r="T137" s="43" t="n">
        <f aca="false">S137-$M$2</f>
        <v>-7.50669154822481</v>
      </c>
    </row>
    <row r="138" customFormat="false" ht="15" hidden="false" customHeight="false" outlineLevel="0" collapsed="false">
      <c r="A138" s="5" t="n">
        <v>7</v>
      </c>
      <c r="B138" s="25" t="n">
        <f aca="false">IF(T137&gt;0,B137,D137)</f>
        <v>-0.1015625</v>
      </c>
      <c r="C138" s="25" t="n">
        <f aca="false">IF(T137&gt;0,D137,C137)</f>
        <v>-0.078125</v>
      </c>
      <c r="D138" s="41" t="n">
        <f aca="false">(B138+C138)/2</f>
        <v>-0.08984375</v>
      </c>
      <c r="E138" s="15" t="n">
        <f aca="false">$C$2*(1+IF(E$3&lt;=$O$2,$D138,$D138-($D138-$I$130)*MIN(E$3-$O$2,$Q$2)/$Q$2))</f>
        <v>5970.625</v>
      </c>
      <c r="F138" s="15" t="n">
        <f aca="false">E138*(1+IF(F$3&lt;=$O$2,$D138,$D138-($D138-$I$130)*MIN(F$3-$O$2,$Q$2)/$Q$2))</f>
        <v>5434.20166015625</v>
      </c>
      <c r="G138" s="15" t="n">
        <f aca="false">F138*(1+IF(G$3&lt;=$O$2,$D138,$D138-($D138-$I$130)*MIN(G$3-$O$2,$Q$2)/$Q$2))</f>
        <v>4945.97260475159</v>
      </c>
      <c r="H138" s="15" t="n">
        <f aca="false">G138*(1+IF(H$3&lt;=$O$2,$D138,$D138-($D138-$I$130)*MIN(H$3-$O$2,$Q$2)/$Q$2))</f>
        <v>4501.60787854344</v>
      </c>
      <c r="I138" s="15" t="n">
        <f aca="false">H138*(1+IF(I$3&lt;=$O$2,$D138,$D138-($D138-$I$130)*MIN(I$3-$O$2,$Q$2)/$Q$2))</f>
        <v>4097.16654570555</v>
      </c>
      <c r="J138" s="15" t="n">
        <f aca="false">I138*(1+IF(J$3&lt;=$O$2,$D138,$D138-($D138-$I$130)*MIN(J$3-$O$2,$Q$2)/$Q$2))</f>
        <v>3829.96982942736</v>
      </c>
      <c r="K138" s="15" t="n">
        <f aca="false">J138*(1+IF(K$3&lt;=$O$2,$D138,$D138-($D138-$I$130)*MIN(K$3-$O$2,$Q$2)/$Q$2))</f>
        <v>3674.52571643777</v>
      </c>
      <c r="L138" s="15" t="n">
        <f aca="false">K138*(1+IF(L$3&lt;=$O$2,$D138,$D138-($D138-$I$130)*MIN(L$3-$O$2,$Q$2)/$Q$2))</f>
        <v>3615.88947231771</v>
      </c>
      <c r="M138" s="15" t="n">
        <f aca="false">L138*(1+IF(M$3&lt;=$O$2,$D138,$D138-($D138-$I$130)*MIN(M$3-$O$2,$Q$2)/$Q$2))</f>
        <v>3647.24375390455</v>
      </c>
      <c r="N138" s="15" t="n">
        <f aca="false">M138*(1+IF(N$3&lt;=$O$2,$D138,$D138-($D138-$I$130)*MIN(N$3-$O$2,$Q$2)/$Q$2))</f>
        <v>3768.69697090957</v>
      </c>
      <c r="O138" s="15" t="n">
        <f aca="false">SUMPRODUCT(E138:N138,1/(1+$F$130)^$E$3:$N$3)*$E$2</f>
        <v>10028.503764389</v>
      </c>
      <c r="P138" s="15" t="n">
        <f aca="false">N138*$E$2*(1+$I$130)/($F$130-$I$130)/(1+$F$130)^$N$3</f>
        <v>16473.3622873996</v>
      </c>
      <c r="Q138" s="15" t="n">
        <f aca="false">O138+P138</f>
        <v>26501.8660517885</v>
      </c>
      <c r="R138" s="15" t="n">
        <f aca="false">Q138-$G$2+$I$2</f>
        <v>19156.6660517885</v>
      </c>
      <c r="S138" s="42" t="n">
        <f aca="false">R138/$K$2</f>
        <v>81.6393183540956</v>
      </c>
      <c r="T138" s="43" t="n">
        <f aca="false">S138-$M$2</f>
        <v>0.625041771952013</v>
      </c>
    </row>
    <row r="139" customFormat="false" ht="15" hidden="false" customHeight="false" outlineLevel="0" collapsed="false">
      <c r="A139" s="5" t="n">
        <v>8</v>
      </c>
      <c r="B139" s="25" t="n">
        <f aca="false">IF(T138&gt;0,B138,D138)</f>
        <v>-0.1015625</v>
      </c>
      <c r="C139" s="25" t="n">
        <f aca="false">IF(T138&gt;0,D138,C138)</f>
        <v>-0.08984375</v>
      </c>
      <c r="D139" s="41" t="n">
        <f aca="false">(B139+C139)/2</f>
        <v>-0.095703125</v>
      </c>
      <c r="E139" s="15" t="n">
        <f aca="false">$C$2*(1+IF(E$3&lt;=$O$2,$D139,$D139-($D139-$I$130)*MIN(E$3-$O$2,$Q$2)/$Q$2))</f>
        <v>5932.1875</v>
      </c>
      <c r="F139" s="15" t="n">
        <f aca="false">E139*(1+IF(F$3&lt;=$O$2,$D139,$D139-($D139-$I$130)*MIN(F$3-$O$2,$Q$2)/$Q$2))</f>
        <v>5364.45861816406</v>
      </c>
      <c r="G139" s="15" t="n">
        <f aca="false">F139*(1+IF(G$3&lt;=$O$2,$D139,$D139-($D139-$I$130)*MIN(G$3-$O$2,$Q$2)/$Q$2))</f>
        <v>4851.06316447258</v>
      </c>
      <c r="H139" s="15" t="n">
        <f aca="false">G139*(1+IF(H$3&lt;=$O$2,$D139,$D139-($D139-$I$130)*MIN(H$3-$O$2,$Q$2)/$Q$2))</f>
        <v>4386.80126006017</v>
      </c>
      <c r="I139" s="15" t="n">
        <f aca="false">H139*(1+IF(I$3&lt;=$O$2,$D139,$D139-($D139-$I$130)*MIN(I$3-$O$2,$Q$2)/$Q$2))</f>
        <v>3966.97067071847</v>
      </c>
      <c r="J139" s="15" t="n">
        <f aca="false">I139*(1+IF(J$3&lt;=$O$2,$D139,$D139-($D139-$I$130)*MIN(J$3-$O$2,$Q$2)/$Q$2))</f>
        <v>3689.66950340857</v>
      </c>
      <c r="K139" s="15" t="n">
        <f aca="false">J139*(1+IF(K$3&lt;=$O$2,$D139,$D139-($D139-$I$130)*MIN(K$3-$O$2,$Q$2)/$Q$2))</f>
        <v>3526.94816017794</v>
      </c>
      <c r="L139" s="15" t="n">
        <f aca="false">K139*(1+IF(L$3&lt;=$O$2,$D139,$D139-($D139-$I$130)*MIN(L$3-$O$2,$Q$2)/$Q$2))</f>
        <v>3462.40060016148</v>
      </c>
      <c r="M139" s="15" t="n">
        <f aca="false">L139*(1+IF(M$3&lt;=$O$2,$D139,$D139-($D139-$I$130)*MIN(M$3-$O$2,$Q$2)/$Q$2))</f>
        <v>3488.36644066231</v>
      </c>
      <c r="N139" s="15" t="n">
        <f aca="false">M139*(1+IF(N$3&lt;=$O$2,$D139,$D139-($D139-$I$130)*MIN(N$3-$O$2,$Q$2)/$Q$2))</f>
        <v>3604.52904313637</v>
      </c>
      <c r="O139" s="15" t="n">
        <f aca="false">SUMPRODUCT(E139:N139,1/(1+$F$130)^$E$3:$N$3)*$E$2</f>
        <v>9774.97190725</v>
      </c>
      <c r="P139" s="15" t="n">
        <f aca="false">N139*$E$2*(1+$I$130)/($F$130-$I$130)/(1+$F$130)^$N$3</f>
        <v>15755.7673809757</v>
      </c>
      <c r="Q139" s="15" t="n">
        <f aca="false">O139+P139</f>
        <v>25530.7392882258</v>
      </c>
      <c r="R139" s="15" t="n">
        <f aca="false">Q139-$G$2+$I$2</f>
        <v>18185.5392882258</v>
      </c>
      <c r="S139" s="42" t="n">
        <f aca="false">R139/$K$2</f>
        <v>77.5007001415971</v>
      </c>
      <c r="T139" s="43" t="n">
        <f aca="false">S139-$M$2</f>
        <v>-3.51357644054656</v>
      </c>
    </row>
    <row r="140" customFormat="false" ht="15" hidden="false" customHeight="false" outlineLevel="0" collapsed="false">
      <c r="A140" s="5" t="n">
        <v>9</v>
      </c>
      <c r="B140" s="25" t="n">
        <f aca="false">IF(T139&gt;0,B139,D139)</f>
        <v>-0.095703125</v>
      </c>
      <c r="C140" s="25" t="n">
        <f aca="false">IF(T139&gt;0,D139,C139)</f>
        <v>-0.08984375</v>
      </c>
      <c r="D140" s="41" t="n">
        <f aca="false">(B140+C140)/2</f>
        <v>-0.0927734375</v>
      </c>
      <c r="E140" s="15" t="n">
        <f aca="false">$C$2*(1+IF(E$3&lt;=$O$2,$D140,$D140-($D140-$I$130)*MIN(E$3-$O$2,$Q$2)/$Q$2))</f>
        <v>5951.40625</v>
      </c>
      <c r="F140" s="15" t="n">
        <f aca="false">E140*(1+IF(F$3&lt;=$O$2,$D140,$D140-($D140-$I$130)*MIN(F$3-$O$2,$Q$2)/$Q$2))</f>
        <v>5399.27383422852</v>
      </c>
      <c r="G140" s="15" t="n">
        <f aca="false">F140*(1+IF(G$3&lt;=$O$2,$D140,$D140-($D140-$I$130)*MIN(G$3-$O$2,$Q$2)/$Q$2))</f>
        <v>4898.36464062333</v>
      </c>
      <c r="H140" s="15" t="n">
        <f aca="false">G140*(1+IF(H$3&lt;=$O$2,$D140,$D140-($D140-$I$130)*MIN(H$3-$O$2,$Q$2)/$Q$2))</f>
        <v>4443.92651478425</v>
      </c>
      <c r="I140" s="15" t="n">
        <f aca="false">H140*(1+IF(I$3&lt;=$O$2,$D140,$D140-($D140-$I$130)*MIN(I$3-$O$2,$Q$2)/$Q$2))</f>
        <v>4031.64817601032</v>
      </c>
      <c r="J140" s="15" t="n">
        <f aca="false">I140*(1+IF(J$3&lt;=$O$2,$D140,$D140-($D140-$I$130)*MIN(J$3-$O$2,$Q$2)/$Q$2))</f>
        <v>3759.27506479929</v>
      </c>
      <c r="K140" s="15" t="n">
        <f aca="false">J140*(1+IF(K$3&lt;=$O$2,$D140,$D140-($D140-$I$130)*MIN(K$3-$O$2,$Q$2)/$Q$2))</f>
        <v>3600.09208650073</v>
      </c>
      <c r="L140" s="15" t="n">
        <f aca="false">K140*(1+IF(L$3&lt;=$O$2,$D140,$D140-($D140-$I$130)*MIN(L$3-$O$2,$Q$2)/$Q$2))</f>
        <v>3538.42475911653</v>
      </c>
      <c r="M140" s="15" t="n">
        <f aca="false">L140*(1+IF(M$3&lt;=$O$2,$D140,$D140-($D140-$I$130)*MIN(M$3-$O$2,$Q$2)/$Q$2))</f>
        <v>3567.03402905172</v>
      </c>
      <c r="N140" s="15" t="n">
        <f aca="false">M140*(1+IF(N$3&lt;=$O$2,$D140,$D140-($D140-$I$130)*MIN(N$3-$O$2,$Q$2)/$Q$2))</f>
        <v>3685.81626221915</v>
      </c>
      <c r="O140" s="15" t="n">
        <f aca="false">SUMPRODUCT(E140:N140,1/(1+$F$130)^$E$3:$N$3)*$E$2</f>
        <v>9900.88436690356</v>
      </c>
      <c r="P140" s="15" t="n">
        <f aca="false">N140*$E$2*(1+$I$130)/($F$130-$I$130)/(1+$F$130)^$N$3</f>
        <v>16111.0821806591</v>
      </c>
      <c r="Q140" s="15" t="n">
        <f aca="false">O140+P140</f>
        <v>26011.9665475626</v>
      </c>
      <c r="R140" s="15" t="n">
        <f aca="false">Q140-$G$2+$I$2</f>
        <v>18666.7665475626</v>
      </c>
      <c r="S140" s="42" t="n">
        <f aca="false">R140/$K$2</f>
        <v>79.5515301409018</v>
      </c>
      <c r="T140" s="43" t="n">
        <f aca="false">S140-$M$2</f>
        <v>-1.46274644124181</v>
      </c>
    </row>
    <row r="141" customFormat="false" ht="15" hidden="false" customHeight="false" outlineLevel="0" collapsed="false">
      <c r="A141" s="5" t="n">
        <v>10</v>
      </c>
      <c r="B141" s="25" t="n">
        <f aca="false">IF(T140&gt;0,B140,D140)</f>
        <v>-0.0927734375</v>
      </c>
      <c r="C141" s="25" t="n">
        <f aca="false">IF(T140&gt;0,D140,C140)</f>
        <v>-0.08984375</v>
      </c>
      <c r="D141" s="41" t="n">
        <f aca="false">(B141+C141)/2</f>
        <v>-0.09130859375</v>
      </c>
      <c r="E141" s="15" t="n">
        <f aca="false">$C$2*(1+IF(E$3&lt;=$O$2,$D141,$D141-($D141-$I$130)*MIN(E$3-$O$2,$Q$2)/$Q$2))</f>
        <v>5961.015625</v>
      </c>
      <c r="F141" s="15" t="n">
        <f aca="false">E141*(1+IF(F$3&lt;=$O$2,$D141,$D141-($D141-$I$130)*MIN(F$3-$O$2,$Q$2)/$Q$2))</f>
        <v>5416.72367095947</v>
      </c>
      <c r="G141" s="15" t="n">
        <f aca="false">F141*(1+IF(G$3&lt;=$O$2,$D141,$D141-($D141-$I$130)*MIN(G$3-$O$2,$Q$2)/$Q$2))</f>
        <v>4922.13024983183</v>
      </c>
      <c r="H141" s="15" t="n">
        <f aca="false">G141*(1+IF(H$3&lt;=$O$2,$D141,$D141-($D141-$I$130)*MIN(H$3-$O$2,$Q$2)/$Q$2))</f>
        <v>4472.69745846535</v>
      </c>
      <c r="I141" s="15" t="n">
        <f aca="false">H141*(1+IF(I$3&lt;=$O$2,$D141,$D141-($D141-$I$130)*MIN(I$3-$O$2,$Q$2)/$Q$2))</f>
        <v>4064.30174326368</v>
      </c>
      <c r="J141" s="15" t="n">
        <f aca="false">I141*(1+IF(J$3&lt;=$O$2,$D141,$D141-($D141-$I$130)*MIN(J$3-$O$2,$Q$2)/$Q$2))</f>
        <v>3794.48545147135</v>
      </c>
      <c r="K141" s="15" t="n">
        <f aca="false">J141*(1+IF(K$3&lt;=$O$2,$D141,$D141-($D141-$I$130)*MIN(K$3-$O$2,$Q$2)/$Q$2))</f>
        <v>3637.14651933774</v>
      </c>
      <c r="L141" s="15" t="n">
        <f aca="false">K141*(1+IF(L$3&lt;=$O$2,$D141,$D141-($D141-$I$130)*MIN(L$3-$O$2,$Q$2)/$Q$2))</f>
        <v>3576.97561321673</v>
      </c>
      <c r="M141" s="15" t="n">
        <f aca="false">L141*(1+IF(M$3&lt;=$O$2,$D141,$D141-($D141-$I$130)*MIN(M$3-$O$2,$Q$2)/$Q$2))</f>
        <v>3606.94452092865</v>
      </c>
      <c r="N141" s="15" t="n">
        <f aca="false">M141*(1+IF(N$3&lt;=$O$2,$D141,$D141-($D141-$I$130)*MIN(N$3-$O$2,$Q$2)/$Q$2))</f>
        <v>3727.05577347558</v>
      </c>
      <c r="O141" s="15" t="n">
        <f aca="false">SUMPRODUCT(E141:N141,1/(1+$F$130)^$E$3:$N$3)*$E$2</f>
        <v>9964.47929774486</v>
      </c>
      <c r="P141" s="15" t="n">
        <f aca="false">N141*$E$2*(1+$I$130)/($F$130-$I$130)/(1+$F$130)^$N$3</f>
        <v>16291.34432822</v>
      </c>
      <c r="Q141" s="15" t="n">
        <f aca="false">O141+P141</f>
        <v>26255.8236259648</v>
      </c>
      <c r="R141" s="15" t="n">
        <f aca="false">Q141-$G$2+$I$2</f>
        <v>18910.6236259648</v>
      </c>
      <c r="S141" s="42" t="n">
        <f aca="false">R141/$K$2</f>
        <v>80.5907676367561</v>
      </c>
      <c r="T141" s="43" t="n">
        <f aca="false">S141-$M$2</f>
        <v>-0.423508945387525</v>
      </c>
    </row>
    <row r="142" customFormat="false" ht="15" hidden="false" customHeight="false" outlineLevel="0" collapsed="false">
      <c r="A142" s="5" t="n">
        <v>11</v>
      </c>
      <c r="B142" s="25" t="n">
        <f aca="false">IF(T141&gt;0,B141,D141)</f>
        <v>-0.09130859375</v>
      </c>
      <c r="C142" s="25" t="n">
        <f aca="false">IF(T141&gt;0,D141,C141)</f>
        <v>-0.08984375</v>
      </c>
      <c r="D142" s="41" t="n">
        <f aca="false">(B142+C142)/2</f>
        <v>-0.090576171875</v>
      </c>
      <c r="E142" s="15" t="n">
        <f aca="false">$C$2*(1+IF(E$3&lt;=$O$2,$D142,$D142-($D142-$I$130)*MIN(E$3-$O$2,$Q$2)/$Q$2))</f>
        <v>5965.8203125</v>
      </c>
      <c r="F142" s="15" t="n">
        <f aca="false">E142*(1+IF(F$3&lt;=$O$2,$D142,$D142-($D142-$I$130)*MIN(F$3-$O$2,$Q$2)/$Q$2))</f>
        <v>5425.45914649963</v>
      </c>
      <c r="G142" s="15" t="n">
        <f aca="false">F142*(1+IF(G$3&lt;=$O$2,$D142,$D142-($D142-$I$130)*MIN(G$3-$O$2,$Q$2)/$Q$2))</f>
        <v>4934.04182634549</v>
      </c>
      <c r="H142" s="15" t="n">
        <f aca="false">G142*(1+IF(H$3&lt;=$O$2,$D142,$D142-($D142-$I$130)*MIN(H$3-$O$2,$Q$2)/$Q$2))</f>
        <v>4487.13520584398</v>
      </c>
      <c r="I142" s="15" t="n">
        <f aca="false">H142*(1+IF(I$3&lt;=$O$2,$D142,$D142-($D142-$I$130)*MIN(I$3-$O$2,$Q$2)/$Q$2))</f>
        <v>4080.7076762131</v>
      </c>
      <c r="J142" s="15" t="n">
        <f aca="false">I142*(1+IF(J$3&lt;=$O$2,$D142,$D142-($D142-$I$130)*MIN(J$3-$O$2,$Q$2)/$Q$2))</f>
        <v>3812.19328545483</v>
      </c>
      <c r="K142" s="15" t="n">
        <f aca="false">J142*(1+IF(K$3&lt;=$O$2,$D142,$D142-($D142-$I$130)*MIN(K$3-$O$2,$Q$2)/$Q$2))</f>
        <v>3655.79537547064</v>
      </c>
      <c r="L142" s="15" t="n">
        <f aca="false">K142*(1+IF(L$3&lt;=$O$2,$D142,$D142-($D142-$I$130)*MIN(L$3-$O$2,$Q$2)/$Q$2))</f>
        <v>3596.38698696516</v>
      </c>
      <c r="M142" s="15" t="n">
        <f aca="false">L142*(1+IF(M$3&lt;=$O$2,$D142,$D142-($D142-$I$130)*MIN(M$3-$O$2,$Q$2)/$Q$2))</f>
        <v>3627.04534312584</v>
      </c>
      <c r="N142" s="15" t="n">
        <f aca="false">M142*(1+IF(N$3&lt;=$O$2,$D142,$D142-($D142-$I$130)*MIN(N$3-$O$2,$Q$2)/$Q$2))</f>
        <v>3747.82595305193</v>
      </c>
      <c r="O142" s="15" t="n">
        <f aca="false">SUMPRODUCT(E142:N142,1/(1+$F$130)^$E$3:$N$3)*$E$2</f>
        <v>9996.43766312139</v>
      </c>
      <c r="P142" s="15" t="n">
        <f aca="false">N142*$E$2*(1+$I$130)/($F$130-$I$130)/(1+$F$130)^$N$3</f>
        <v>16382.1329205575</v>
      </c>
      <c r="Q142" s="15" t="n">
        <f aca="false">O142+P142</f>
        <v>26378.5705836789</v>
      </c>
      <c r="R142" s="15" t="n">
        <f aca="false">Q142-$G$2+$I$2</f>
        <v>19033.3705836789</v>
      </c>
      <c r="S142" s="42" t="n">
        <f aca="false">R142/$K$2</f>
        <v>81.1138742112887</v>
      </c>
      <c r="T142" s="43" t="n">
        <f aca="false">S142-$M$2</f>
        <v>0.0995976291450376</v>
      </c>
    </row>
    <row r="143" customFormat="false" ht="15" hidden="false" customHeight="false" outlineLevel="0" collapsed="false">
      <c r="A143" s="5" t="n">
        <v>12</v>
      </c>
      <c r="B143" s="25" t="n">
        <f aca="false">IF(T142&gt;0,B142,D142)</f>
        <v>-0.09130859375</v>
      </c>
      <c r="C143" s="25" t="n">
        <f aca="false">IF(T142&gt;0,D142,C142)</f>
        <v>-0.090576171875</v>
      </c>
      <c r="D143" s="41" t="n">
        <f aca="false">(B143+C143)/2</f>
        <v>-0.0909423828125</v>
      </c>
      <c r="E143" s="15" t="n">
        <f aca="false">$C$2*(1+IF(E$3&lt;=$O$2,$D143,$D143-($D143-$I$130)*MIN(E$3-$O$2,$Q$2)/$Q$2))</f>
        <v>5963.41796875</v>
      </c>
      <c r="F143" s="15" t="n">
        <f aca="false">E143*(1+IF(F$3&lt;=$O$2,$D143,$D143-($D143-$I$130)*MIN(F$3-$O$2,$Q$2)/$Q$2))</f>
        <v>5421.090528965</v>
      </c>
      <c r="G143" s="15" t="n">
        <f aca="false">F143*(1+IF(G$3&lt;=$O$2,$D143,$D143-($D143-$I$130)*MIN(G$3-$O$2,$Q$2)/$Q$2))</f>
        <v>4928.08363881864</v>
      </c>
      <c r="H143" s="15" t="n">
        <f aca="false">G143*(1+IF(H$3&lt;=$O$2,$D143,$D143-($D143-$I$130)*MIN(H$3-$O$2,$Q$2)/$Q$2))</f>
        <v>4479.91197000518</v>
      </c>
      <c r="I143" s="15" t="n">
        <f aca="false">H143*(1+IF(I$3&lt;=$O$2,$D143,$D143-($D143-$I$130)*MIN(I$3-$O$2,$Q$2)/$Q$2))</f>
        <v>4072.49810066267</v>
      </c>
      <c r="J143" s="15" t="n">
        <f aca="false">I143*(1+IF(J$3&lt;=$O$2,$D143,$D143-($D143-$I$130)*MIN(J$3-$O$2,$Q$2)/$Q$2))</f>
        <v>3803.33079299417</v>
      </c>
      <c r="K143" s="15" t="n">
        <f aca="false">J143*(1+IF(K$3&lt;=$O$2,$D143,$D143-($D143-$I$130)*MIN(K$3-$O$2,$Q$2)/$Q$2))</f>
        <v>3646.46078019342</v>
      </c>
      <c r="L143" s="15" t="n">
        <f aca="false">K143*(1+IF(L$3&lt;=$O$2,$D143,$D143-($D143-$I$130)*MIN(L$3-$O$2,$Q$2)/$Q$2))</f>
        <v>3586.66993370844</v>
      </c>
      <c r="M143" s="15" t="n">
        <f aca="false">L143*(1+IF(M$3&lt;=$O$2,$D143,$D143-($D143-$I$130)*MIN(M$3-$O$2,$Q$2)/$Q$2))</f>
        <v>3616.98275871575</v>
      </c>
      <c r="N143" s="15" t="n">
        <f aca="false">M143*(1+IF(N$3&lt;=$O$2,$D143,$D143-($D143-$I$130)*MIN(N$3-$O$2,$Q$2)/$Q$2))</f>
        <v>3737.42828458099</v>
      </c>
      <c r="O143" s="15" t="n">
        <f aca="false">SUMPRODUCT(E143:N143,1/(1+$F$130)^$E$3:$N$3)*$E$2</f>
        <v>9980.4450354827</v>
      </c>
      <c r="P143" s="15" t="n">
        <f aca="false">N143*$E$2*(1+$I$130)/($F$130-$I$130)/(1+$F$130)^$N$3</f>
        <v>16336.6836416719</v>
      </c>
      <c r="Q143" s="15" t="n">
        <f aca="false">O143+P143</f>
        <v>26317.1286771546</v>
      </c>
      <c r="R143" s="15" t="n">
        <f aca="false">Q143-$G$2+$I$2</f>
        <v>18971.9286771546</v>
      </c>
      <c r="S143" s="42" t="n">
        <f aca="false">R143/$K$2</f>
        <v>80.8520293081382</v>
      </c>
      <c r="T143" s="43" t="n">
        <f aca="false">S143-$M$2</f>
        <v>-0.162247274005466</v>
      </c>
    </row>
    <row r="144" customFormat="false" ht="15" hidden="false" customHeight="false" outlineLevel="0" collapsed="false">
      <c r="A144" s="5" t="n">
        <v>13</v>
      </c>
      <c r="B144" s="25" t="n">
        <f aca="false">IF(T143&gt;0,B143,D143)</f>
        <v>-0.0909423828125</v>
      </c>
      <c r="C144" s="25" t="n">
        <f aca="false">IF(T143&gt;0,D143,C143)</f>
        <v>-0.090576171875</v>
      </c>
      <c r="D144" s="41" t="n">
        <f aca="false">(B144+C144)/2</f>
        <v>-0.09075927734375</v>
      </c>
      <c r="E144" s="15" t="n">
        <f aca="false">$C$2*(1+IF(E$3&lt;=$O$2,$D144,$D144-($D144-$I$130)*MIN(E$3-$O$2,$Q$2)/$Q$2))</f>
        <v>5964.619140625</v>
      </c>
      <c r="F144" s="15" t="n">
        <f aca="false">E144*(1+IF(F$3&lt;=$O$2,$D144,$D144-($D144-$I$130)*MIN(F$3-$O$2,$Q$2)/$Q$2))</f>
        <v>5423.27461779118</v>
      </c>
      <c r="G144" s="15" t="n">
        <f aca="false">F144*(1+IF(G$3&lt;=$O$2,$D144,$D144-($D144-$I$130)*MIN(G$3-$O$2,$Q$2)/$Q$2))</f>
        <v>4931.06213264375</v>
      </c>
      <c r="H144" s="15" t="n">
        <f aca="false">G144*(1+IF(H$3&lt;=$O$2,$D144,$D144-($D144-$I$130)*MIN(H$3-$O$2,$Q$2)/$Q$2))</f>
        <v>4483.52249694787</v>
      </c>
      <c r="I144" s="15" t="n">
        <f aca="false">H144*(1+IF(I$3&lt;=$O$2,$D144,$D144-($D144-$I$130)*MIN(I$3-$O$2,$Q$2)/$Q$2))</f>
        <v>4076.60123517044</v>
      </c>
      <c r="J144" s="15" t="n">
        <f aca="false">I144*(1+IF(J$3&lt;=$O$2,$D144,$D144-($D144-$I$130)*MIN(J$3-$O$2,$Q$2)/$Q$2))</f>
        <v>3807.7598936985</v>
      </c>
      <c r="K144" s="15" t="n">
        <f aca="false">J144*(1+IF(K$3&lt;=$O$2,$D144,$D144-($D144-$I$130)*MIN(K$3-$O$2,$Q$2)/$Q$2))</f>
        <v>3651.12553373221</v>
      </c>
      <c r="L144" s="15" t="n">
        <f aca="false">K144*(1+IF(L$3&lt;=$O$2,$D144,$D144-($D144-$I$130)*MIN(L$3-$O$2,$Q$2)/$Q$2))</f>
        <v>3591.52561592304</v>
      </c>
      <c r="M144" s="15" t="n">
        <f aca="false">L144*(1+IF(M$3&lt;=$O$2,$D144,$D144-($D144-$I$130)*MIN(M$3-$O$2,$Q$2)/$Q$2))</f>
        <v>3622.01100443869</v>
      </c>
      <c r="N144" s="15" t="n">
        <f aca="false">M144*(1+IF(N$3&lt;=$O$2,$D144,$D144-($D144-$I$130)*MIN(N$3-$O$2,$Q$2)/$Q$2))</f>
        <v>3742.62397088649</v>
      </c>
      <c r="O144" s="15" t="n">
        <f aca="false">SUMPRODUCT(E144:N144,1/(1+$F$130)^$E$3:$N$3)*$E$2</f>
        <v>9988.43798531243</v>
      </c>
      <c r="P144" s="15" t="n">
        <f aca="false">N144*$E$2*(1+$I$130)/($F$130-$I$130)/(1+$F$130)^$N$3</f>
        <v>16359.3945211889</v>
      </c>
      <c r="Q144" s="15" t="n">
        <f aca="false">O144+P144</f>
        <v>26347.8325065013</v>
      </c>
      <c r="R144" s="15" t="n">
        <f aca="false">Q144-$G$2+$I$2</f>
        <v>19002.6325065013</v>
      </c>
      <c r="S144" s="42" t="n">
        <f aca="false">R144/$K$2</f>
        <v>80.9828787832999</v>
      </c>
      <c r="T144" s="43" t="n">
        <f aca="false">S144-$M$2</f>
        <v>-0.0313977988437699</v>
      </c>
    </row>
    <row r="145" customFormat="false" ht="15" hidden="false" customHeight="false" outlineLevel="0" collapsed="false">
      <c r="A145" s="5" t="n">
        <v>14</v>
      </c>
      <c r="B145" s="25" t="n">
        <f aca="false">IF(T144&gt;0,B144,D144)</f>
        <v>-0.09075927734375</v>
      </c>
      <c r="C145" s="25" t="n">
        <f aca="false">IF(T144&gt;0,D144,C144)</f>
        <v>-0.090576171875</v>
      </c>
      <c r="D145" s="41" t="n">
        <f aca="false">(B145+C145)/2</f>
        <v>-0.090667724609375</v>
      </c>
      <c r="E145" s="15" t="n">
        <f aca="false">$C$2*(1+IF(E$3&lt;=$O$2,$D145,$D145-($D145-$I$130)*MIN(E$3-$O$2,$Q$2)/$Q$2))</f>
        <v>5965.2197265625</v>
      </c>
      <c r="F145" s="15" t="n">
        <f aca="false">E145*(1+IF(F$3&lt;=$O$2,$D145,$D145-($D145-$I$130)*MIN(F$3-$O$2,$Q$2)/$Q$2))</f>
        <v>5424.36682716012</v>
      </c>
      <c r="G145" s="15" t="n">
        <f aca="false">F145*(1+IF(G$3&lt;=$O$2,$D145,$D145-($D145-$I$130)*MIN(G$3-$O$2,$Q$2)/$Q$2))</f>
        <v>4932.55182949494</v>
      </c>
      <c r="H145" s="15" t="n">
        <f aca="false">G145*(1+IF(H$3&lt;=$O$2,$D145,$D145-($D145-$I$130)*MIN(H$3-$O$2,$Q$2)/$Q$2))</f>
        <v>4485.32857859682</v>
      </c>
      <c r="I145" s="15" t="n">
        <f aca="false">H145*(1+IF(I$3&lt;=$O$2,$D145,$D145-($D145-$I$130)*MIN(I$3-$O$2,$Q$2)/$Q$2))</f>
        <v>4078.65404225005</v>
      </c>
      <c r="J145" s="15" t="n">
        <f aca="false">I145*(1+IF(J$3&lt;=$O$2,$D145,$D145-($D145-$I$130)*MIN(J$3-$O$2,$Q$2)/$Q$2))</f>
        <v>3809.97605298772</v>
      </c>
      <c r="K145" s="15" t="n">
        <f aca="false">J145*(1+IF(K$3&lt;=$O$2,$D145,$D145-($D145-$I$130)*MIN(K$3-$O$2,$Q$2)/$Q$2))</f>
        <v>3653.45981828915</v>
      </c>
      <c r="L145" s="15" t="n">
        <f aca="false">K145*(1+IF(L$3&lt;=$O$2,$D145,$D145-($D145-$I$130)*MIN(L$3-$O$2,$Q$2)/$Q$2))</f>
        <v>3593.95558998815</v>
      </c>
      <c r="M145" s="15" t="n">
        <f aca="false">L145*(1+IF(M$3&lt;=$O$2,$D145,$D145-($D145-$I$130)*MIN(M$3-$O$2,$Q$2)/$Q$2))</f>
        <v>3624.52741176716</v>
      </c>
      <c r="N145" s="15" t="n">
        <f aca="false">M145*(1+IF(N$3&lt;=$O$2,$D145,$D145-($D145-$I$130)*MIN(N$3-$O$2,$Q$2)/$Q$2))</f>
        <v>3745.224174579</v>
      </c>
      <c r="O145" s="15" t="n">
        <f aca="false">SUMPRODUCT(E145:N145,1/(1+$F$130)^$E$3:$N$3)*$E$2</f>
        <v>9992.43698287528</v>
      </c>
      <c r="P145" s="15" t="n">
        <f aca="false">N145*$E$2*(1+$I$130)/($F$130-$I$130)/(1+$F$130)^$N$3</f>
        <v>16370.7602791096</v>
      </c>
      <c r="Q145" s="15" t="n">
        <f aca="false">O145+P145</f>
        <v>26363.1972619848</v>
      </c>
      <c r="R145" s="15" t="n">
        <f aca="false">Q145-$G$2+$I$2</f>
        <v>19017.9972619848</v>
      </c>
      <c r="S145" s="42" t="n">
        <f aca="false">R145/$K$2</f>
        <v>81.0483582441289</v>
      </c>
      <c r="T145" s="43" t="n">
        <f aca="false">S145-$M$2</f>
        <v>0.0340816619852689</v>
      </c>
    </row>
    <row r="146" customFormat="false" ht="15" hidden="false" customHeight="false" outlineLevel="0" collapsed="false">
      <c r="A146" s="5" t="n">
        <v>15</v>
      </c>
      <c r="B146" s="25" t="n">
        <f aca="false">IF(T145&gt;0,B145,D145)</f>
        <v>-0.09075927734375</v>
      </c>
      <c r="C146" s="25" t="n">
        <f aca="false">IF(T145&gt;0,D145,C145)</f>
        <v>-0.090667724609375</v>
      </c>
      <c r="D146" s="41" t="n">
        <f aca="false">(B146+C146)/2</f>
        <v>-0.0907135009765625</v>
      </c>
      <c r="E146" s="15" t="n">
        <f aca="false">$C$2*(1+IF(E$3&lt;=$O$2,$D146,$D146-($D146-$I$130)*MIN(E$3-$O$2,$Q$2)/$Q$2))</f>
        <v>5964.91943359375</v>
      </c>
      <c r="F146" s="15" t="n">
        <f aca="false">E146*(1+IF(F$3&lt;=$O$2,$D146,$D146-($D146-$I$130)*MIN(F$3-$O$2,$Q$2)/$Q$2))</f>
        <v>5423.82070872933</v>
      </c>
      <c r="G146" s="15" t="n">
        <f aca="false">F146*(1+IF(G$3&lt;=$O$2,$D146,$D146-($D146-$I$130)*MIN(G$3-$O$2,$Q$2)/$Q$2))</f>
        <v>4931.80694357131</v>
      </c>
      <c r="H146" s="15" t="n">
        <f aca="false">G146*(1+IF(H$3&lt;=$O$2,$D146,$D146-($D146-$I$130)*MIN(H$3-$O$2,$Q$2)/$Q$2))</f>
        <v>4484.42546957944</v>
      </c>
      <c r="I146" s="15" t="n">
        <f aca="false">H146*(1+IF(I$3&lt;=$O$2,$D146,$D146-($D146-$I$130)*MIN(I$3-$O$2,$Q$2)/$Q$2))</f>
        <v>4077.62753536542</v>
      </c>
      <c r="J146" s="15" t="n">
        <f aca="false">I146*(1+IF(J$3&lt;=$O$2,$D146,$D146-($D146-$I$130)*MIN(J$3-$O$2,$Q$2)/$Q$2))</f>
        <v>3808.86783922181</v>
      </c>
      <c r="K146" s="15" t="n">
        <f aca="false">J146*(1+IF(K$3&lt;=$O$2,$D146,$D146-($D146-$I$130)*MIN(K$3-$O$2,$Q$2)/$Q$2))</f>
        <v>3652.29251696854</v>
      </c>
      <c r="L146" s="15" t="n">
        <f aca="false">K146*(1+IF(L$3&lt;=$O$2,$D146,$D146-($D146-$I$130)*MIN(L$3-$O$2,$Q$2)/$Q$2))</f>
        <v>3592.74042513568</v>
      </c>
      <c r="M146" s="15" t="n">
        <f aca="false">L146*(1+IF(M$3&lt;=$O$2,$D146,$D146-($D146-$I$130)*MIN(M$3-$O$2,$Q$2)/$Q$2))</f>
        <v>3623.26901764848</v>
      </c>
      <c r="N146" s="15" t="n">
        <f aca="false">M146*(1+IF(N$3&lt;=$O$2,$D146,$D146-($D146-$I$130)*MIN(N$3-$O$2,$Q$2)/$Q$2))</f>
        <v>3743.92387593617</v>
      </c>
      <c r="O146" s="15" t="n">
        <f aca="false">SUMPRODUCT(E146:N146,1/(1+$F$130)^$E$3:$N$3)*$E$2</f>
        <v>9990.43727380148</v>
      </c>
      <c r="P146" s="15" t="n">
        <f aca="false">N146*$E$2*(1+$I$130)/($F$130-$I$130)/(1+$F$130)^$N$3</f>
        <v>16365.0765399311</v>
      </c>
      <c r="Q146" s="15" t="n">
        <f aca="false">O146+P146</f>
        <v>26355.5138137326</v>
      </c>
      <c r="R146" s="15" t="n">
        <f aca="false">Q146-$G$2+$I$2</f>
        <v>19010.3138137326</v>
      </c>
      <c r="S146" s="42" t="n">
        <f aca="false">R146/$K$2</f>
        <v>81.0156139515561</v>
      </c>
      <c r="T146" s="43" t="n">
        <f aca="false">S146-$M$2</f>
        <v>0.00133736941242546</v>
      </c>
    </row>
    <row r="147" customFormat="false" ht="15" hidden="false" customHeight="false" outlineLevel="0" collapsed="false">
      <c r="A147" s="5" t="n">
        <v>16</v>
      </c>
      <c r="B147" s="25" t="n">
        <f aca="false">IF(T146&gt;0,B146,D146)</f>
        <v>-0.09075927734375</v>
      </c>
      <c r="C147" s="25" t="n">
        <f aca="false">IF(T146&gt;0,D146,C146)</f>
        <v>-0.0907135009765625</v>
      </c>
      <c r="D147" s="41" t="n">
        <f aca="false">(B147+C147)/2</f>
        <v>-0.0907363891601563</v>
      </c>
      <c r="E147" s="15" t="n">
        <f aca="false">$C$2*(1+IF(E$3&lt;=$O$2,$D147,$D147-($D147-$I$130)*MIN(E$3-$O$2,$Q$2)/$Q$2))</f>
        <v>5964.76928710938</v>
      </c>
      <c r="F147" s="15" t="n">
        <f aca="false">E147*(1+IF(F$3&lt;=$O$2,$D147,$D147-($D147-$I$130)*MIN(F$3-$O$2,$Q$2)/$Q$2))</f>
        <v>5423.54765982367</v>
      </c>
      <c r="G147" s="15" t="n">
        <f aca="false">F147*(1+IF(G$3&lt;=$O$2,$D147,$D147-($D147-$I$130)*MIN(G$3-$O$2,$Q$2)/$Q$2))</f>
        <v>4931.43452873326</v>
      </c>
      <c r="H147" s="15" t="n">
        <f aca="false">G147*(1+IF(H$3&lt;=$O$2,$D147,$D147-($D147-$I$130)*MIN(H$3-$O$2,$Q$2)/$Q$2))</f>
        <v>4483.97396621628</v>
      </c>
      <c r="I147" s="15" t="n">
        <f aca="false">H147*(1+IF(I$3&lt;=$O$2,$D147,$D147-($D147-$I$130)*MIN(I$3-$O$2,$Q$2)/$Q$2))</f>
        <v>4077.11435943367</v>
      </c>
      <c r="J147" s="15" t="n">
        <f aca="false">I147*(1+IF(J$3&lt;=$O$2,$D147,$D147-($D147-$I$130)*MIN(J$3-$O$2,$Q$2)/$Q$2))</f>
        <v>3808.31383293307</v>
      </c>
      <c r="K147" s="15" t="n">
        <f aca="false">J147*(1+IF(K$3&lt;=$O$2,$D147,$D147-($D147-$I$130)*MIN(K$3-$O$2,$Q$2)/$Q$2))</f>
        <v>3651.70898559433</v>
      </c>
      <c r="L147" s="15" t="n">
        <f aca="false">K147*(1+IF(L$3&lt;=$O$2,$D147,$D147-($D147-$I$130)*MIN(L$3-$O$2,$Q$2)/$Q$2))</f>
        <v>3592.13297607989</v>
      </c>
      <c r="M147" s="15" t="n">
        <f aca="false">L147*(1+IF(M$3&lt;=$O$2,$D147,$D147-($D147-$I$130)*MIN(M$3-$O$2,$Q$2)/$Q$2))</f>
        <v>3622.63996343614</v>
      </c>
      <c r="N147" s="15" t="n">
        <f aca="false">M147*(1+IF(N$3&lt;=$O$2,$D147,$D147-($D147-$I$130)*MIN(N$3-$O$2,$Q$2)/$Q$2))</f>
        <v>3743.27387421856</v>
      </c>
      <c r="O147" s="15" t="n">
        <f aca="false">SUMPRODUCT(E147:N147,1/(1+$F$130)^$E$3:$N$3)*$E$2</f>
        <v>9989.43757698924</v>
      </c>
      <c r="P147" s="15" t="n">
        <f aca="false">N147*$E$2*(1+$I$130)/($F$130-$I$130)/(1+$F$130)^$N$3</f>
        <v>16362.2353155333</v>
      </c>
      <c r="Q147" s="15" t="n">
        <f aca="false">O147+P147</f>
        <v>26351.6728925226</v>
      </c>
      <c r="R147" s="15" t="n">
        <f aca="false">Q147-$G$2+$I$2</f>
        <v>19006.4728925226</v>
      </c>
      <c r="S147" s="42" t="n">
        <f aca="false">R147/$K$2</f>
        <v>80.99924522703</v>
      </c>
      <c r="T147" s="43" t="n">
        <f aca="false">S147-$M$2</f>
        <v>-0.015031355113635</v>
      </c>
    </row>
    <row r="148" customFormat="false" ht="15" hidden="false" customHeight="false" outlineLevel="0" collapsed="false">
      <c r="A148" s="5" t="n">
        <v>17</v>
      </c>
      <c r="B148" s="25" t="n">
        <f aca="false">IF(T147&gt;0,B147,D147)</f>
        <v>-0.0907363891601563</v>
      </c>
      <c r="C148" s="25" t="n">
        <f aca="false">IF(T147&gt;0,D147,C147)</f>
        <v>-0.0907135009765625</v>
      </c>
      <c r="D148" s="41" t="n">
        <f aca="false">(B148+C148)/2</f>
        <v>-0.0907249450683594</v>
      </c>
      <c r="E148" s="15" t="n">
        <f aca="false">$C$2*(1+IF(E$3&lt;=$O$2,$D148,$D148-($D148-$I$130)*MIN(E$3-$O$2,$Q$2)/$Q$2))</f>
        <v>5964.84436035156</v>
      </c>
      <c r="F148" s="15" t="n">
        <f aca="false">E148*(1+IF(F$3&lt;=$O$2,$D148,$D148-($D148-$I$130)*MIN(F$3-$O$2,$Q$2)/$Q$2))</f>
        <v>5423.68418341735</v>
      </c>
      <c r="G148" s="15" t="n">
        <f aca="false">F148*(1+IF(G$3&lt;=$O$2,$D148,$D148-($D148-$I$130)*MIN(G$3-$O$2,$Q$2)/$Q$2))</f>
        <v>4931.62073380869</v>
      </c>
      <c r="H148" s="15" t="n">
        <f aca="false">G148*(1+IF(H$3&lt;=$O$2,$D148,$D148-($D148-$I$130)*MIN(H$3-$O$2,$Q$2)/$Q$2))</f>
        <v>4484.19971363591</v>
      </c>
      <c r="I148" s="15" t="n">
        <f aca="false">H148*(1+IF(I$3&lt;=$O$2,$D148,$D148-($D148-$I$130)*MIN(I$3-$O$2,$Q$2)/$Q$2))</f>
        <v>4077.37094094074</v>
      </c>
      <c r="J148" s="15" t="n">
        <f aca="false">I148*(1+IF(J$3&lt;=$O$2,$D148,$D148-($D148-$I$130)*MIN(J$3-$O$2,$Q$2)/$Q$2))</f>
        <v>3808.59082769527</v>
      </c>
      <c r="K148" s="15" t="n">
        <f aca="false">J148*(1+IF(K$3&lt;=$O$2,$D148,$D148-($D148-$I$130)*MIN(K$3-$O$2,$Q$2)/$Q$2))</f>
        <v>3652.00074134186</v>
      </c>
      <c r="L148" s="15" t="n">
        <f aca="false">K148*(1+IF(L$3&lt;=$O$2,$D148,$D148-($D148-$I$130)*MIN(L$3-$O$2,$Q$2)/$Q$2))</f>
        <v>3592.43668949473</v>
      </c>
      <c r="M148" s="15" t="n">
        <f aca="false">L148*(1+IF(M$3&lt;=$O$2,$D148,$D148-($D148-$I$130)*MIN(M$3-$O$2,$Q$2)/$Q$2))</f>
        <v>3622.95447863968</v>
      </c>
      <c r="N148" s="15" t="n">
        <f aca="false">M148*(1+IF(N$3&lt;=$O$2,$D148,$D148-($D148-$I$130)*MIN(N$3-$O$2,$Q$2)/$Q$2))</f>
        <v>3743.59886277838</v>
      </c>
      <c r="O148" s="15" t="n">
        <f aca="false">SUMPRODUCT(E148:N148,1/(1+$F$130)^$E$3:$N$3)*$E$2</f>
        <v>9989.93741225276</v>
      </c>
      <c r="P148" s="15" t="n">
        <f aca="false">N148*$E$2*(1+$I$130)/($F$130-$I$130)/(1+$F$130)^$N$3</f>
        <v>16363.6558739721</v>
      </c>
      <c r="Q148" s="15" t="n">
        <f aca="false">O148+P148</f>
        <v>26353.5932862249</v>
      </c>
      <c r="R148" s="15" t="n">
        <f aca="false">Q148-$G$2+$I$2</f>
        <v>19008.3932862249</v>
      </c>
      <c r="S148" s="42" t="n">
        <f aca="false">R148/$K$2</f>
        <v>81.0074293041759</v>
      </c>
      <c r="T148" s="43" t="n">
        <f aca="false">S148-$M$2</f>
        <v>-0.00684727796776485</v>
      </c>
    </row>
    <row r="149" customFormat="false" ht="15" hidden="false" customHeight="false" outlineLevel="0" collapsed="false">
      <c r="A149" s="5" t="n">
        <v>18</v>
      </c>
      <c r="B149" s="25" t="n">
        <f aca="false">IF(T148&gt;0,B148,D148)</f>
        <v>-0.0907249450683594</v>
      </c>
      <c r="C149" s="25" t="n">
        <f aca="false">IF(T148&gt;0,D148,C148)</f>
        <v>-0.0907135009765625</v>
      </c>
      <c r="D149" s="41" t="n">
        <f aca="false">(B149+C149)/2</f>
        <v>-0.0907192230224609</v>
      </c>
      <c r="E149" s="15" t="n">
        <f aca="false">$C$2*(1+IF(E$3&lt;=$O$2,$D149,$D149-($D149-$I$130)*MIN(E$3-$O$2,$Q$2)/$Q$2))</f>
        <v>5964.88189697266</v>
      </c>
      <c r="F149" s="15" t="n">
        <f aca="false">E149*(1+IF(F$3&lt;=$O$2,$D149,$D149-($D149-$I$130)*MIN(F$3-$O$2,$Q$2)/$Q$2))</f>
        <v>5423.75244585855</v>
      </c>
      <c r="G149" s="15" t="n">
        <f aca="false">F149*(1+IF(G$3&lt;=$O$2,$D149,$D149-($D149-$I$130)*MIN(G$3-$O$2,$Q$2)/$Q$2))</f>
        <v>4931.71383810409</v>
      </c>
      <c r="H149" s="15" t="n">
        <f aca="false">G149*(1+IF(H$3&lt;=$O$2,$D149,$D149-($D149-$I$130)*MIN(H$3-$O$2,$Q$2)/$Q$2))</f>
        <v>4484.31259054217</v>
      </c>
      <c r="I149" s="15" t="n">
        <f aca="false">H149*(1+IF(I$3&lt;=$O$2,$D149,$D149-($D149-$I$130)*MIN(I$3-$O$2,$Q$2)/$Q$2))</f>
        <v>4077.49923653835</v>
      </c>
      <c r="J149" s="15" t="n">
        <f aca="false">I149*(1+IF(J$3&lt;=$O$2,$D149,$D149-($D149-$I$130)*MIN(J$3-$O$2,$Q$2)/$Q$2))</f>
        <v>3808.72933136294</v>
      </c>
      <c r="K149" s="15" t="n">
        <f aca="false">J149*(1+IF(K$3&lt;=$O$2,$D149,$D149-($D149-$I$130)*MIN(K$3-$O$2,$Q$2)/$Q$2))</f>
        <v>3652.14662667024</v>
      </c>
      <c r="L149" s="15" t="n">
        <f aca="false">K149*(1+IF(L$3&lt;=$O$2,$D149,$D149-($D149-$I$130)*MIN(L$3-$O$2,$Q$2)/$Q$2))</f>
        <v>3592.58855453686</v>
      </c>
      <c r="M149" s="15" t="n">
        <f aca="false">L149*(1+IF(M$3&lt;=$O$2,$D149,$D149-($D149-$I$130)*MIN(M$3-$O$2,$Q$2)/$Q$2))</f>
        <v>3623.11174516833</v>
      </c>
      <c r="N149" s="15" t="n">
        <f aca="false">M149*(1+IF(N$3&lt;=$O$2,$D149,$D149-($D149-$I$130)*MIN(N$3-$O$2,$Q$2)/$Q$2))</f>
        <v>3743.76136628243</v>
      </c>
      <c r="O149" s="15" t="n">
        <f aca="false">SUMPRODUCT(E149:N149,1/(1+$F$130)^$E$3:$N$3)*$E$2</f>
        <v>9990.18733974139</v>
      </c>
      <c r="P149" s="15" t="n">
        <f aca="false">N149*$E$2*(1+$I$130)/($F$130-$I$130)/(1+$F$130)^$N$3</f>
        <v>16364.3661935112</v>
      </c>
      <c r="Q149" s="15" t="n">
        <f aca="false">O149+P149</f>
        <v>26354.5535332525</v>
      </c>
      <c r="R149" s="15" t="n">
        <f aca="false">Q149-$G$2+$I$2</f>
        <v>19009.3535332525</v>
      </c>
      <c r="S149" s="42" t="n">
        <f aca="false">R149/$K$2</f>
        <v>81.0115215565845</v>
      </c>
      <c r="T149" s="43" t="n">
        <f aca="false">S149-$M$2</f>
        <v>-0.00275502555916773</v>
      </c>
    </row>
    <row r="150" customFormat="false" ht="15" hidden="false" customHeight="false" outlineLevel="0" collapsed="false">
      <c r="A150" s="5" t="n">
        <v>19</v>
      </c>
      <c r="B150" s="25" t="n">
        <f aca="false">IF(T149&gt;0,B149,D149)</f>
        <v>-0.0907192230224609</v>
      </c>
      <c r="C150" s="25" t="n">
        <f aca="false">IF(T149&gt;0,D149,C149)</f>
        <v>-0.0907135009765625</v>
      </c>
      <c r="D150" s="41" t="n">
        <f aca="false">(B150+C150)/2</f>
        <v>-0.0907163619995117</v>
      </c>
      <c r="E150" s="15" t="n">
        <f aca="false">$C$2*(1+IF(E$3&lt;=$O$2,$D150,$D150-($D150-$I$130)*MIN(E$3-$O$2,$Q$2)/$Q$2))</f>
        <v>5964.9006652832</v>
      </c>
      <c r="F150" s="15" t="n">
        <f aca="false">E150*(1+IF(F$3&lt;=$O$2,$D150,$D150-($D150-$I$130)*MIN(F$3-$O$2,$Q$2)/$Q$2))</f>
        <v>5423.78657724024</v>
      </c>
      <c r="G150" s="15" t="n">
        <f aca="false">F150*(1+IF(G$3&lt;=$O$2,$D150,$D150-($D150-$I$130)*MIN(G$3-$O$2,$Q$2)/$Q$2))</f>
        <v>4931.76039069123</v>
      </c>
      <c r="H150" s="15" t="n">
        <f aca="false">G150*(1+IF(H$3&lt;=$O$2,$D150,$D150-($D150-$I$130)*MIN(H$3-$O$2,$Q$2)/$Q$2))</f>
        <v>4484.36902979443</v>
      </c>
      <c r="I150" s="15" t="n">
        <f aca="false">H150*(1+IF(I$3&lt;=$O$2,$D150,$D150-($D150-$I$130)*MIN(I$3-$O$2,$Q$2)/$Q$2))</f>
        <v>4077.5633855482</v>
      </c>
      <c r="J150" s="15" t="n">
        <f aca="false">I150*(1+IF(J$3&lt;=$O$2,$D150,$D150-($D150-$I$130)*MIN(J$3-$O$2,$Q$2)/$Q$2))</f>
        <v>3808.79858476847</v>
      </c>
      <c r="K150" s="15" t="n">
        <f aca="false">J150*(1+IF(K$3&lt;=$O$2,$D150,$D150-($D150-$I$130)*MIN(K$3-$O$2,$Q$2)/$Q$2))</f>
        <v>3652.21957119814</v>
      </c>
      <c r="L150" s="15" t="n">
        <f aca="false">K150*(1+IF(L$3&lt;=$O$2,$D150,$D150-($D150-$I$130)*MIN(L$3-$O$2,$Q$2)/$Q$2))</f>
        <v>3592.66448914167</v>
      </c>
      <c r="M150" s="15" t="n">
        <f aca="false">L150*(1+IF(M$3&lt;=$O$2,$D150,$D150-($D150-$I$130)*MIN(M$3-$O$2,$Q$2)/$Q$2))</f>
        <v>3623.19038066445</v>
      </c>
      <c r="N150" s="15" t="n">
        <f aca="false">M150*(1+IF(N$3&lt;=$O$2,$D150,$D150-($D150-$I$130)*MIN(N$3-$O$2,$Q$2)/$Q$2))</f>
        <v>3743.84262034058</v>
      </c>
      <c r="O150" s="15" t="n">
        <f aca="false">SUMPRODUCT(E150:N150,1/(1+$F$130)^$E$3:$N$3)*$E$2</f>
        <v>9990.31230594999</v>
      </c>
      <c r="P150" s="15" t="n">
        <f aca="false">N150*$E$2*(1+$I$130)/($F$130-$I$130)/(1+$F$130)^$N$3</f>
        <v>16364.721363361</v>
      </c>
      <c r="Q150" s="15" t="n">
        <f aca="false">O150+P150</f>
        <v>26355.033669311</v>
      </c>
      <c r="R150" s="15" t="n">
        <f aca="false">Q150-$G$2+$I$2</f>
        <v>19009.833669311</v>
      </c>
      <c r="S150" s="42" t="n">
        <f aca="false">R150/$K$2</f>
        <v>81.0135677362496</v>
      </c>
      <c r="T150" s="43" t="n">
        <f aca="false">S150-$M$2</f>
        <v>-0.000708845894010324</v>
      </c>
    </row>
    <row r="151" customFormat="false" ht="15" hidden="false" customHeight="false" outlineLevel="0" collapsed="false">
      <c r="A151" s="5" t="n">
        <v>20</v>
      </c>
      <c r="B151" s="25" t="n">
        <f aca="false">IF(T150&gt;0,B150,D150)</f>
        <v>-0.0907163619995117</v>
      </c>
      <c r="C151" s="25" t="n">
        <f aca="false">IF(T150&gt;0,D150,C150)</f>
        <v>-0.0907135009765625</v>
      </c>
      <c r="D151" s="41" t="n">
        <f aca="false">(B151+C151)/2</f>
        <v>-0.0907149314880371</v>
      </c>
      <c r="E151" s="15" t="n">
        <f aca="false">$C$2*(1+IF(E$3&lt;=$O$2,$D151,$D151-($D151-$I$130)*MIN(E$3-$O$2,$Q$2)/$Q$2))</f>
        <v>5964.91004943848</v>
      </c>
      <c r="F151" s="15" t="n">
        <f aca="false">E151*(1+IF(F$3&lt;=$O$2,$D151,$D151-($D151-$I$130)*MIN(F$3-$O$2,$Q$2)/$Q$2))</f>
        <v>5423.80364297136</v>
      </c>
      <c r="G151" s="15" t="n">
        <f aca="false">F151*(1+IF(G$3&lt;=$O$2,$D151,$D151-($D151-$I$130)*MIN(G$3-$O$2,$Q$2)/$Q$2))</f>
        <v>4931.78366709465</v>
      </c>
      <c r="H151" s="15" t="n">
        <f aca="false">G151*(1+IF(H$3&lt;=$O$2,$D151,$D151-($D151-$I$130)*MIN(H$3-$O$2,$Q$2)/$Q$2))</f>
        <v>4484.39724962034</v>
      </c>
      <c r="I151" s="15" t="n">
        <f aca="false">H151*(1+IF(I$3&lt;=$O$2,$D151,$D151-($D151-$I$130)*MIN(I$3-$O$2,$Q$2)/$Q$2))</f>
        <v>4077.59546035589</v>
      </c>
      <c r="J151" s="15" t="n">
        <f aca="false">I151*(1+IF(J$3&lt;=$O$2,$D151,$D151-($D151-$I$130)*MIN(J$3-$O$2,$Q$2)/$Q$2))</f>
        <v>3808.83321186416</v>
      </c>
      <c r="K151" s="15" t="n">
        <f aca="false">J151*(1+IF(K$3&lt;=$O$2,$D151,$D151-($D151-$I$130)*MIN(K$3-$O$2,$Q$2)/$Q$2))</f>
        <v>3652.25604392802</v>
      </c>
      <c r="L151" s="15" t="n">
        <f aca="false">K151*(1+IF(L$3&lt;=$O$2,$D151,$D151-($D151-$I$130)*MIN(L$3-$O$2,$Q$2)/$Q$2))</f>
        <v>3592.70245696503</v>
      </c>
      <c r="M151" s="15" t="n">
        <f aca="false">L151*(1+IF(M$3&lt;=$O$2,$D151,$D151-($D151-$I$130)*MIN(M$3-$O$2,$Q$2)/$Q$2))</f>
        <v>3623.22969897048</v>
      </c>
      <c r="N151" s="15" t="n">
        <f aca="false">M151*(1+IF(N$3&lt;=$O$2,$D151,$D151-($D151-$I$130)*MIN(N$3-$O$2,$Q$2)/$Q$2))</f>
        <v>3743.88324794619</v>
      </c>
      <c r="O151" s="15" t="n">
        <f aca="false">SUMPRODUCT(E151:N151,1/(1+$F$130)^$E$3:$N$3)*$E$2</f>
        <v>9990.37478967038</v>
      </c>
      <c r="P151" s="15" t="n">
        <f aca="false">N151*$E$2*(1+$I$130)/($F$130-$I$130)/(1+$F$130)^$N$3</f>
        <v>16364.898950806</v>
      </c>
      <c r="Q151" s="15" t="n">
        <f aca="false">O151+P151</f>
        <v>26355.2737404764</v>
      </c>
      <c r="R151" s="15" t="n">
        <f aca="false">Q151-$G$2+$I$2</f>
        <v>19010.0737404764</v>
      </c>
      <c r="S151" s="42" t="n">
        <f aca="false">R151/$K$2</f>
        <v>81.0145908394477</v>
      </c>
      <c r="T151" s="43" t="n">
        <f aca="false">S151-$M$2</f>
        <v>0.000314257304054877</v>
      </c>
    </row>
    <row r="152" customFormat="false" ht="15" hidden="false" customHeight="false" outlineLevel="0" collapsed="false">
      <c r="A152" s="5" t="n">
        <v>21</v>
      </c>
      <c r="B152" s="25" t="n">
        <f aca="false">IF(T151&gt;0,B151,D151)</f>
        <v>-0.0907163619995117</v>
      </c>
      <c r="C152" s="25" t="n">
        <f aca="false">IF(T151&gt;0,D151,C151)</f>
        <v>-0.0907149314880371</v>
      </c>
      <c r="D152" s="41" t="n">
        <f aca="false">(B152+C152)/2</f>
        <v>-0.0907156467437744</v>
      </c>
      <c r="E152" s="15" t="n">
        <f aca="false">$C$2*(1+IF(E$3&lt;=$O$2,$D152,$D152-($D152-$I$130)*MIN(E$3-$O$2,$Q$2)/$Q$2))</f>
        <v>5964.90535736084</v>
      </c>
      <c r="F152" s="15" t="n">
        <f aca="false">E152*(1+IF(F$3&lt;=$O$2,$D152,$D152-($D152-$I$130)*MIN(F$3-$O$2,$Q$2)/$Q$2))</f>
        <v>5423.79511010245</v>
      </c>
      <c r="G152" s="15" t="n">
        <f aca="false">F152*(1+IF(G$3&lt;=$O$2,$D152,$D152-($D152-$I$130)*MIN(G$3-$O$2,$Q$2)/$Q$2))</f>
        <v>4931.77202888378</v>
      </c>
      <c r="H152" s="15" t="n">
        <f aca="false">G152*(1+IF(H$3&lt;=$O$2,$D152,$D152-($D152-$I$130)*MIN(H$3-$O$2,$Q$2)/$Q$2))</f>
        <v>4484.38313969073</v>
      </c>
      <c r="I152" s="15" t="n">
        <f aca="false">H152*(1+IF(I$3&lt;=$O$2,$D152,$D152-($D152-$I$130)*MIN(I$3-$O$2,$Q$2)/$Q$2))</f>
        <v>4077.57942292681</v>
      </c>
      <c r="J152" s="15" t="n">
        <f aca="false">I152*(1+IF(J$3&lt;=$O$2,$D152,$D152-($D152-$I$130)*MIN(J$3-$O$2,$Q$2)/$Q$2))</f>
        <v>3808.81589828357</v>
      </c>
      <c r="K152" s="15" t="n">
        <f aca="false">J152*(1+IF(K$3&lt;=$O$2,$D152,$D152-($D152-$I$130)*MIN(K$3-$O$2,$Q$2)/$Q$2))</f>
        <v>3652.23780752425</v>
      </c>
      <c r="L152" s="15" t="n">
        <f aca="false">K152*(1+IF(L$3&lt;=$O$2,$D152,$D152-($D152-$I$130)*MIN(L$3-$O$2,$Q$2)/$Q$2))</f>
        <v>3592.68347300994</v>
      </c>
      <c r="M152" s="15" t="n">
        <f aca="false">L152*(1+IF(M$3&lt;=$O$2,$D152,$D152-($D152-$I$130)*MIN(M$3-$O$2,$Q$2)/$Q$2))</f>
        <v>3623.21003977097</v>
      </c>
      <c r="N152" s="15" t="n">
        <f aca="false">M152*(1+IF(N$3&lt;=$O$2,$D152,$D152-($D152-$I$130)*MIN(N$3-$O$2,$Q$2)/$Q$2))</f>
        <v>3743.86293409534</v>
      </c>
      <c r="O152" s="15" t="n">
        <f aca="false">SUMPRODUCT(E152:N152,1/(1+$F$130)^$E$3:$N$3)*$E$2</f>
        <v>9990.34354775884</v>
      </c>
      <c r="P152" s="15" t="n">
        <f aca="false">N152*$E$2*(1+$I$130)/($F$130-$I$130)/(1+$F$130)^$N$3</f>
        <v>16364.8101568735</v>
      </c>
      <c r="Q152" s="15" t="n">
        <f aca="false">O152+P152</f>
        <v>26355.1537046323</v>
      </c>
      <c r="R152" s="15" t="n">
        <f aca="false">Q152-$G$2+$I$2</f>
        <v>19009.9537046323</v>
      </c>
      <c r="S152" s="42" t="n">
        <f aca="false">R152/$K$2</f>
        <v>81.0140792867348</v>
      </c>
      <c r="T152" s="43" t="n">
        <f aca="false">S152-$M$2</f>
        <v>-0.000197295408824516</v>
      </c>
    </row>
    <row r="153" customFormat="false" ht="15" hidden="false" customHeight="false" outlineLevel="0" collapsed="false">
      <c r="A153" s="5" t="n">
        <v>22</v>
      </c>
      <c r="B153" s="25" t="n">
        <f aca="false">IF(T152&gt;0,B152,D152)</f>
        <v>-0.0907156467437744</v>
      </c>
      <c r="C153" s="25" t="n">
        <f aca="false">IF(T152&gt;0,D152,C152)</f>
        <v>-0.0907149314880371</v>
      </c>
      <c r="D153" s="41" t="n">
        <f aca="false">(B153+C153)/2</f>
        <v>-0.0907152891159058</v>
      </c>
      <c r="E153" s="15" t="n">
        <f aca="false">$C$2*(1+IF(E$3&lt;=$O$2,$D153,$D153-($D153-$I$130)*MIN(E$3-$O$2,$Q$2)/$Q$2))</f>
        <v>5964.90770339966</v>
      </c>
      <c r="F153" s="15" t="n">
        <f aca="false">E153*(1+IF(F$3&lt;=$O$2,$D153,$D153-($D153-$I$130)*MIN(F$3-$O$2,$Q$2)/$Q$2))</f>
        <v>5423.79937653606</v>
      </c>
      <c r="G153" s="15" t="n">
        <f aca="false">F153*(1+IF(G$3&lt;=$O$2,$D153,$D153-($D153-$I$130)*MIN(G$3-$O$2,$Q$2)/$Q$2))</f>
        <v>4931.77784798693</v>
      </c>
      <c r="H153" s="15" t="n">
        <f aca="false">G153*(1+IF(H$3&lt;=$O$2,$D153,$D153-($D153-$I$130)*MIN(H$3-$O$2,$Q$2)/$Q$2))</f>
        <v>4484.39019465137</v>
      </c>
      <c r="I153" s="15" t="n">
        <f aca="false">H153*(1+IF(I$3&lt;=$O$2,$D153,$D153-($D153-$I$130)*MIN(I$3-$O$2,$Q$2)/$Q$2))</f>
        <v>4077.58744163504</v>
      </c>
      <c r="J153" s="15" t="n">
        <f aca="false">I153*(1+IF(J$3&lt;=$O$2,$D153,$D153-($D153-$I$130)*MIN(J$3-$O$2,$Q$2)/$Q$2))</f>
        <v>3808.82455506568</v>
      </c>
      <c r="K153" s="15" t="n">
        <f aca="false">J153*(1+IF(K$3&lt;=$O$2,$D153,$D153-($D153-$I$130)*MIN(K$3-$O$2,$Q$2)/$Q$2))</f>
        <v>3652.24692571643</v>
      </c>
      <c r="L153" s="15" t="n">
        <f aca="false">K153*(1+IF(L$3&lt;=$O$2,$D153,$D153-($D153-$I$130)*MIN(L$3-$O$2,$Q$2)/$Q$2))</f>
        <v>3592.69296497663</v>
      </c>
      <c r="M153" s="15" t="n">
        <f aca="false">L153*(1+IF(M$3&lt;=$O$2,$D153,$D153-($D153-$I$130)*MIN(M$3-$O$2,$Q$2)/$Q$2))</f>
        <v>3623.2198693591</v>
      </c>
      <c r="N153" s="15" t="n">
        <f aca="false">M153*(1+IF(N$3&lt;=$O$2,$D153,$D153-($D153-$I$130)*MIN(N$3-$O$2,$Q$2)/$Q$2))</f>
        <v>3743.87309100876</v>
      </c>
      <c r="O153" s="15" t="n">
        <f aca="false">SUMPRODUCT(E153:N153,1/(1+$F$130)^$E$3:$N$3)*$E$2</f>
        <v>9990.35916870178</v>
      </c>
      <c r="P153" s="15" t="n">
        <f aca="false">N153*$E$2*(1+$I$130)/($F$130-$I$130)/(1+$F$130)^$N$3</f>
        <v>16364.8545537872</v>
      </c>
      <c r="Q153" s="15" t="n">
        <f aca="false">O153+P153</f>
        <v>26355.213722489</v>
      </c>
      <c r="R153" s="15" t="n">
        <f aca="false">Q153-$G$2+$I$2</f>
        <v>19010.013722489</v>
      </c>
      <c r="S153" s="42" t="n">
        <f aca="false">R153/$K$2</f>
        <v>81.0143350628128</v>
      </c>
      <c r="T153" s="43" t="n">
        <f aca="false">S153-$M$2</f>
        <v>5.84806691676931E-005</v>
      </c>
    </row>
    <row r="154" customFormat="false" ht="15" hidden="false" customHeight="false" outlineLevel="0" collapsed="false">
      <c r="A154" s="5" t="n">
        <v>23</v>
      </c>
      <c r="B154" s="25" t="n">
        <f aca="false">IF(T153&gt;0,B153,D153)</f>
        <v>-0.0907156467437744</v>
      </c>
      <c r="C154" s="25" t="n">
        <f aca="false">IF(T153&gt;0,D153,C153)</f>
        <v>-0.0907152891159058</v>
      </c>
      <c r="D154" s="41" t="n">
        <f aca="false">(B154+C154)/2</f>
        <v>-0.0907154679298401</v>
      </c>
      <c r="E154" s="15" t="n">
        <f aca="false">$C$2*(1+IF(E$3&lt;=$O$2,$D154,$D154-($D154-$I$130)*MIN(E$3-$O$2,$Q$2)/$Q$2))</f>
        <v>5964.90653038025</v>
      </c>
      <c r="F154" s="15" t="n">
        <f aca="false">E154*(1+IF(F$3&lt;=$O$2,$D154,$D154-($D154-$I$130)*MIN(F$3-$O$2,$Q$2)/$Q$2))</f>
        <v>5423.79724331905</v>
      </c>
      <c r="G154" s="15" t="n">
        <f aca="false">F154*(1+IF(G$3&lt;=$O$2,$D154,$D154-($D154-$I$130)*MIN(G$3-$O$2,$Q$2)/$Q$2))</f>
        <v>4931.77493843478</v>
      </c>
      <c r="H154" s="15" t="n">
        <f aca="false">G154*(1+IF(H$3&lt;=$O$2,$D154,$D154-($D154-$I$130)*MIN(H$3-$O$2,$Q$2)/$Q$2))</f>
        <v>4484.38666717001</v>
      </c>
      <c r="I154" s="15" t="n">
        <f aca="false">H154*(1+IF(I$3&lt;=$O$2,$D154,$D154-($D154-$I$130)*MIN(I$3-$O$2,$Q$2)/$Q$2))</f>
        <v>4077.58343227935</v>
      </c>
      <c r="J154" s="15" t="n">
        <f aca="false">I154*(1+IF(J$3&lt;=$O$2,$D154,$D154-($D154-$I$130)*MIN(J$3-$O$2,$Q$2)/$Q$2))</f>
        <v>3808.82022667258</v>
      </c>
      <c r="K154" s="15" t="n">
        <f aca="false">J154*(1+IF(K$3&lt;=$O$2,$D154,$D154-($D154-$I$130)*MIN(K$3-$O$2,$Q$2)/$Q$2))</f>
        <v>3652.24236661791</v>
      </c>
      <c r="L154" s="15" t="n">
        <f aca="false">K154*(1+IF(L$3&lt;=$O$2,$D154,$D154-($D154-$I$130)*MIN(L$3-$O$2,$Q$2)/$Q$2))</f>
        <v>3592.68821899057</v>
      </c>
      <c r="M154" s="15" t="n">
        <f aca="false">L154*(1+IF(M$3&lt;=$O$2,$D154,$D154-($D154-$I$130)*MIN(M$3-$O$2,$Q$2)/$Q$2))</f>
        <v>3623.21495456213</v>
      </c>
      <c r="N154" s="15" t="n">
        <f aca="false">M154*(1+IF(N$3&lt;=$O$2,$D154,$D154-($D154-$I$130)*MIN(N$3-$O$2,$Q$2)/$Q$2))</f>
        <v>3743.86801254905</v>
      </c>
      <c r="O154" s="15" t="n">
        <f aca="false">SUMPRODUCT(E154:N154,1/(1+$F$130)^$E$3:$N$3)*$E$2</f>
        <v>9990.3513582271</v>
      </c>
      <c r="P154" s="15" t="n">
        <f aca="false">N154*$E$2*(1+$I$130)/($F$130-$I$130)/(1+$F$130)^$N$3</f>
        <v>16364.8323553172</v>
      </c>
      <c r="Q154" s="15" t="n">
        <f aca="false">O154+P154</f>
        <v>26355.1837135443</v>
      </c>
      <c r="R154" s="15" t="n">
        <f aca="false">Q154-$G$2+$I$2</f>
        <v>19009.9837135443</v>
      </c>
      <c r="S154" s="42" t="n">
        <f aca="false">R154/$K$2</f>
        <v>81.0142071747042</v>
      </c>
      <c r="T154" s="43" t="n">
        <f aca="false">S154-$M$2</f>
        <v>-6.94074394260724E-005</v>
      </c>
    </row>
    <row r="155" customFormat="false" ht="15" hidden="false" customHeight="false" outlineLevel="0" collapsed="false">
      <c r="A155" s="5" t="n">
        <v>24</v>
      </c>
      <c r="B155" s="25" t="n">
        <f aca="false">IF(T154&gt;0,B154,D154)</f>
        <v>-0.0907154679298401</v>
      </c>
      <c r="C155" s="25" t="n">
        <f aca="false">IF(T154&gt;0,D154,C154)</f>
        <v>-0.0907152891159058</v>
      </c>
      <c r="D155" s="41" t="n">
        <f aca="false">(B155+C155)/2</f>
        <v>-0.0907153785228729</v>
      </c>
      <c r="E155" s="15" t="n">
        <f aca="false">$C$2*(1+IF(E$3&lt;=$O$2,$D155,$D155-($D155-$I$130)*MIN(E$3-$O$2,$Q$2)/$Q$2))</f>
        <v>5964.90711688995</v>
      </c>
      <c r="F155" s="15" t="n">
        <f aca="false">E155*(1+IF(F$3&lt;=$O$2,$D155,$D155-($D155-$I$130)*MIN(F$3-$O$2,$Q$2)/$Q$2))</f>
        <v>5423.7983099275</v>
      </c>
      <c r="G155" s="15" t="n">
        <f aca="false">F155*(1+IF(G$3&lt;=$O$2,$D155,$D155-($D155-$I$130)*MIN(G$3-$O$2,$Q$2)/$Q$2))</f>
        <v>4931.77639321071</v>
      </c>
      <c r="H155" s="15" t="n">
        <f aca="false">G155*(1+IF(H$3&lt;=$O$2,$D155,$D155-($D155-$I$130)*MIN(H$3-$O$2,$Q$2)/$Q$2))</f>
        <v>4484.38843091043</v>
      </c>
      <c r="I155" s="15" t="n">
        <f aca="false">H155*(1+IF(I$3&lt;=$O$2,$D155,$D155-($D155-$I$130)*MIN(I$3-$O$2,$Q$2)/$Q$2))</f>
        <v>4077.5854369568</v>
      </c>
      <c r="J155" s="15" t="n">
        <f aca="false">I155*(1+IF(J$3&lt;=$O$2,$D155,$D155-($D155-$I$130)*MIN(J$3-$O$2,$Q$2)/$Q$2))</f>
        <v>3808.82239086862</v>
      </c>
      <c r="K155" s="15" t="n">
        <f aca="false">J155*(1+IF(K$3&lt;=$O$2,$D155,$D155-($D155-$I$130)*MIN(K$3-$O$2,$Q$2)/$Q$2))</f>
        <v>3652.24464616657</v>
      </c>
      <c r="L155" s="15" t="n">
        <f aca="false">K155*(1+IF(L$3&lt;=$O$2,$D155,$D155-($D155-$I$130)*MIN(L$3-$O$2,$Q$2)/$Q$2))</f>
        <v>3592.69059198292</v>
      </c>
      <c r="M155" s="15" t="n">
        <f aca="false">L155*(1+IF(M$3&lt;=$O$2,$D155,$D155-($D155-$I$130)*MIN(M$3-$O$2,$Q$2)/$Q$2))</f>
        <v>3623.21741195989</v>
      </c>
      <c r="N155" s="15" t="n">
        <f aca="false">M155*(1+IF(N$3&lt;=$O$2,$D155,$D155-($D155-$I$130)*MIN(N$3-$O$2,$Q$2)/$Q$2))</f>
        <v>3743.87055177815</v>
      </c>
      <c r="O155" s="15" t="n">
        <f aca="false">SUMPRODUCT(E155:N155,1/(1+$F$130)^$E$3:$N$3)*$E$2</f>
        <v>9990.35526346364</v>
      </c>
      <c r="P155" s="15" t="n">
        <f aca="false">N155*$E$2*(1+$I$130)/($F$130-$I$130)/(1+$F$130)^$N$3</f>
        <v>16364.843454549</v>
      </c>
      <c r="Q155" s="15" t="n">
        <f aca="false">O155+P155</f>
        <v>26355.1987180126</v>
      </c>
      <c r="R155" s="15" t="n">
        <f aca="false">Q155-$G$2+$I$2</f>
        <v>19009.9987180126</v>
      </c>
      <c r="S155" s="42" t="n">
        <f aca="false">R155/$K$2</f>
        <v>81.0142711187411</v>
      </c>
      <c r="T155" s="43" t="n">
        <f aca="false">S155-$M$2</f>
        <v>-5.46340253038125E-006</v>
      </c>
    </row>
    <row r="157" customFormat="false" ht="15" hidden="false" customHeight="false" outlineLevel="0" collapsed="false">
      <c r="A157" s="38" t="s">
        <v>187</v>
      </c>
      <c r="E157" s="5" t="s">
        <v>11</v>
      </c>
      <c r="F157" s="12" t="n">
        <f aca="false">Sensitivity!$B$10</f>
        <v>0.0712368036285737</v>
      </c>
      <c r="G157" s="5" t="s">
        <v>12</v>
      </c>
      <c r="I157" s="12" t="n">
        <f aca="false">Sensitivity!$G$9</f>
        <v>0.0383</v>
      </c>
    </row>
    <row r="158" customFormat="false" ht="23.85" hidden="false" customHeight="false" outlineLevel="0" collapsed="false">
      <c r="A158" s="38" t="s">
        <v>163</v>
      </c>
      <c r="B158" s="28" t="s">
        <v>164</v>
      </c>
      <c r="C158" s="28" t="s">
        <v>165</v>
      </c>
      <c r="D158" s="28" t="s">
        <v>166</v>
      </c>
      <c r="E158" s="28" t="s">
        <v>167</v>
      </c>
      <c r="F158" s="28" t="s">
        <v>168</v>
      </c>
      <c r="G158" s="28" t="s">
        <v>169</v>
      </c>
      <c r="H158" s="28" t="s">
        <v>170</v>
      </c>
      <c r="I158" s="28" t="s">
        <v>171</v>
      </c>
      <c r="J158" s="28" t="s">
        <v>172</v>
      </c>
      <c r="K158" s="28" t="s">
        <v>173</v>
      </c>
      <c r="L158" s="28" t="s">
        <v>174</v>
      </c>
      <c r="M158" s="28" t="s">
        <v>175</v>
      </c>
      <c r="N158" s="28" t="s">
        <v>176</v>
      </c>
      <c r="O158" s="28" t="s">
        <v>177</v>
      </c>
      <c r="P158" s="28" t="s">
        <v>178</v>
      </c>
      <c r="Q158" s="28" t="s">
        <v>179</v>
      </c>
      <c r="R158" s="28" t="s">
        <v>180</v>
      </c>
      <c r="S158" s="28" t="s">
        <v>181</v>
      </c>
      <c r="T158" s="28" t="s">
        <v>182</v>
      </c>
    </row>
    <row r="159" customFormat="false" ht="15" hidden="false" customHeight="false" outlineLevel="0" collapsed="false">
      <c r="A159" s="5" t="n">
        <v>1</v>
      </c>
      <c r="B159" s="24" t="n">
        <v>-0.5</v>
      </c>
      <c r="C159" s="24" t="n">
        <v>1</v>
      </c>
      <c r="D159" s="41" t="n">
        <f aca="false">(B159+C159)/2</f>
        <v>0.25</v>
      </c>
      <c r="E159" s="15" t="n">
        <f aca="false">$C$2*(1+IF(E$3&lt;=$O$2,$D159,$D159-($D159-$I$157)*MIN(E$3-$O$2,$Q$2)/$Q$2))</f>
        <v>8200</v>
      </c>
      <c r="F159" s="15" t="n">
        <f aca="false">E159*(1+IF(F$3&lt;=$O$2,$D159,$D159-($D159-$I$157)*MIN(F$3-$O$2,$Q$2)/$Q$2))</f>
        <v>10250</v>
      </c>
      <c r="G159" s="15" t="n">
        <f aca="false">F159*(1+IF(G$3&lt;=$O$2,$D159,$D159-($D159-$I$157)*MIN(G$3-$O$2,$Q$2)/$Q$2))</f>
        <v>12812.5</v>
      </c>
      <c r="H159" s="15" t="n">
        <f aca="false">G159*(1+IF(H$3&lt;=$O$2,$D159,$D159-($D159-$I$157)*MIN(H$3-$O$2,$Q$2)/$Q$2))</f>
        <v>16015.625</v>
      </c>
      <c r="I159" s="15" t="n">
        <f aca="false">H159*(1+IF(I$3&lt;=$O$2,$D159,$D159-($D159-$I$157)*MIN(I$3-$O$2,$Q$2)/$Q$2))</f>
        <v>20019.53125</v>
      </c>
      <c r="J159" s="15" t="n">
        <f aca="false">I159*(1+IF(J$3&lt;=$O$2,$D159,$D159-($D159-$I$157)*MIN(J$3-$O$2,$Q$2)/$Q$2))</f>
        <v>24176.787109375</v>
      </c>
      <c r="K159" s="15" t="n">
        <f aca="false">J159*(1+IF(K$3&lt;=$O$2,$D159,$D159-($D159-$I$157)*MIN(K$3-$O$2,$Q$2)/$Q$2))</f>
        <v>28173.6935542969</v>
      </c>
      <c r="L159" s="15" t="n">
        <f aca="false">K159*(1+IF(L$3&lt;=$O$2,$D159,$D159-($D159-$I$157)*MIN(L$3-$O$2,$Q$2)/$Q$2))</f>
        <v>31638.4943876043</v>
      </c>
      <c r="M159" s="15" t="n">
        <f aca="false">L159*(1+IF(M$3&lt;=$O$2,$D159,$D159-($D159-$I$157)*MIN(M$3-$O$2,$Q$2)/$Q$2))</f>
        <v>34189.8225750207</v>
      </c>
      <c r="N159" s="15" t="n">
        <f aca="false">M159*(1+IF(N$3&lt;=$O$2,$D159,$D159-($D159-$I$157)*MIN(N$3-$O$2,$Q$2)/$Q$2))</f>
        <v>35499.292779644</v>
      </c>
      <c r="O159" s="15" t="n">
        <f aca="false">SUMPRODUCT(E159:N159,1/(1+$F$157)^$E$3:$N$3)*$E$2</f>
        <v>45110.612510698</v>
      </c>
      <c r="P159" s="15" t="n">
        <f aca="false">N159*$E$2*(1+$I$157)/($F$157-$I$157)/(1+$F$157)^$N$3</f>
        <v>179591.774992407</v>
      </c>
      <c r="Q159" s="15" t="n">
        <f aca="false">O159+P159</f>
        <v>224702.387503105</v>
      </c>
      <c r="R159" s="15" t="n">
        <f aca="false">Q159-$G$2+$I$2</f>
        <v>217357.187503105</v>
      </c>
      <c r="S159" s="42" t="n">
        <f aca="false">R159/$K$2</f>
        <v>926.303803550417</v>
      </c>
      <c r="T159" s="43" t="n">
        <f aca="false">S159-$M$2</f>
        <v>845.289526968273</v>
      </c>
    </row>
    <row r="160" customFormat="false" ht="15" hidden="false" customHeight="false" outlineLevel="0" collapsed="false">
      <c r="A160" s="5" t="n">
        <v>2</v>
      </c>
      <c r="B160" s="25" t="n">
        <f aca="false">IF(T159&gt;0,B159,D159)</f>
        <v>-0.5</v>
      </c>
      <c r="C160" s="25" t="n">
        <f aca="false">IF(T159&gt;0,D159,C159)</f>
        <v>0.25</v>
      </c>
      <c r="D160" s="41" t="n">
        <f aca="false">(B160+C160)/2</f>
        <v>-0.125</v>
      </c>
      <c r="E160" s="15" t="n">
        <f aca="false">$C$2*(1+IF(E$3&lt;=$O$2,$D160,$D160-($D160-$I$157)*MIN(E$3-$O$2,$Q$2)/$Q$2))</f>
        <v>5740</v>
      </c>
      <c r="F160" s="15" t="n">
        <f aca="false">E160*(1+IF(F$3&lt;=$O$2,$D160,$D160-($D160-$I$157)*MIN(F$3-$O$2,$Q$2)/$Q$2))</f>
        <v>5022.5</v>
      </c>
      <c r="G160" s="15" t="n">
        <f aca="false">F160*(1+IF(G$3&lt;=$O$2,$D160,$D160-($D160-$I$157)*MIN(G$3-$O$2,$Q$2)/$Q$2))</f>
        <v>4394.6875</v>
      </c>
      <c r="H160" s="15" t="n">
        <f aca="false">G160*(1+IF(H$3&lt;=$O$2,$D160,$D160-($D160-$I$157)*MIN(H$3-$O$2,$Q$2)/$Q$2))</f>
        <v>3845.3515625</v>
      </c>
      <c r="I160" s="15" t="n">
        <f aca="false">H160*(1+IF(I$3&lt;=$O$2,$D160,$D160-($D160-$I$157)*MIN(I$3-$O$2,$Q$2)/$Q$2))</f>
        <v>3364.6826171875</v>
      </c>
      <c r="J160" s="15" t="n">
        <f aca="false">I160*(1+IF(J$3&lt;=$O$2,$D160,$D160-($D160-$I$157)*MIN(J$3-$O$2,$Q$2)/$Q$2))</f>
        <v>3053.98782431641</v>
      </c>
      <c r="K160" s="15" t="n">
        <f aca="false">J160*(1+IF(K$3&lt;=$O$2,$D160,$D160-($D160-$I$157)*MIN(K$3-$O$2,$Q$2)/$Q$2))</f>
        <v>2871.7258309612</v>
      </c>
      <c r="L160" s="15" t="n">
        <f aca="false">K160*(1+IF(L$3&lt;=$O$2,$D160,$D160-($D160-$I$157)*MIN(L$3-$O$2,$Q$2)/$Q$2))</f>
        <v>2794.13179900863</v>
      </c>
      <c r="M160" s="15" t="n">
        <f aca="false">L160*(1+IF(M$3&lt;=$O$2,$D160,$D160-($D160-$I$157)*MIN(M$3-$O$2,$Q$2)/$Q$2))</f>
        <v>2809.89070235504</v>
      </c>
      <c r="N160" s="15" t="n">
        <f aca="false">M160*(1+IF(N$3&lt;=$O$2,$D160,$D160-($D160-$I$157)*MIN(N$3-$O$2,$Q$2)/$Q$2))</f>
        <v>2917.50951625524</v>
      </c>
      <c r="O160" s="15" t="n">
        <f aca="false">SUMPRODUCT(E160:N160,1/(1+$F$157)^$E$3:$N$3)*$E$2</f>
        <v>8622.72350907869</v>
      </c>
      <c r="P160" s="15" t="n">
        <f aca="false">N160*$E$2*(1+$I$157)/($F$157-$I$157)/(1+$F$157)^$N$3</f>
        <v>14759.7507317658</v>
      </c>
      <c r="Q160" s="15" t="n">
        <f aca="false">O160+P160</f>
        <v>23382.4742408445</v>
      </c>
      <c r="R160" s="15" t="n">
        <f aca="false">Q160-$G$2+$I$2</f>
        <v>16037.2742408445</v>
      </c>
      <c r="S160" s="42" t="n">
        <f aca="false">R160/$K$2</f>
        <v>68.3455113609395</v>
      </c>
      <c r="T160" s="43" t="n">
        <f aca="false">S160-$M$2</f>
        <v>-12.6687652212041</v>
      </c>
    </row>
    <row r="161" customFormat="false" ht="15" hidden="false" customHeight="false" outlineLevel="0" collapsed="false">
      <c r="A161" s="5" t="n">
        <v>3</v>
      </c>
      <c r="B161" s="25" t="n">
        <f aca="false">IF(T160&gt;0,B160,D160)</f>
        <v>-0.125</v>
      </c>
      <c r="C161" s="25" t="n">
        <f aca="false">IF(T160&gt;0,D160,C160)</f>
        <v>0.25</v>
      </c>
      <c r="D161" s="41" t="n">
        <f aca="false">(B161+C161)/2</f>
        <v>0.0625</v>
      </c>
      <c r="E161" s="15" t="n">
        <f aca="false">$C$2*(1+IF(E$3&lt;=$O$2,$D161,$D161-($D161-$I$157)*MIN(E$3-$O$2,$Q$2)/$Q$2))</f>
        <v>6970</v>
      </c>
      <c r="F161" s="15" t="n">
        <f aca="false">E161*(1+IF(F$3&lt;=$O$2,$D161,$D161-($D161-$I$157)*MIN(F$3-$O$2,$Q$2)/$Q$2))</f>
        <v>7405.625</v>
      </c>
      <c r="G161" s="15" t="n">
        <f aca="false">F161*(1+IF(G$3&lt;=$O$2,$D161,$D161-($D161-$I$157)*MIN(G$3-$O$2,$Q$2)/$Q$2))</f>
        <v>7868.4765625</v>
      </c>
      <c r="H161" s="15" t="n">
        <f aca="false">G161*(1+IF(H$3&lt;=$O$2,$D161,$D161-($D161-$I$157)*MIN(H$3-$O$2,$Q$2)/$Q$2))</f>
        <v>8360.25634765625</v>
      </c>
      <c r="I161" s="15" t="n">
        <f aca="false">H161*(1+IF(I$3&lt;=$O$2,$D161,$D161-($D161-$I$157)*MIN(I$3-$O$2,$Q$2)/$Q$2))</f>
        <v>8882.77236938477</v>
      </c>
      <c r="J161" s="15" t="n">
        <f aca="false">I161*(1+IF(J$3&lt;=$O$2,$D161,$D161-($D161-$I$157)*MIN(J$3-$O$2,$Q$2)/$Q$2))</f>
        <v>9394.95302420349</v>
      </c>
      <c r="K161" s="15" t="n">
        <f aca="false">J161*(1+IF(K$3&lt;=$O$2,$D161,$D161-($D161-$I$157)*MIN(K$3-$O$2,$Q$2)/$Q$2))</f>
        <v>9891.19444294192</v>
      </c>
      <c r="L161" s="15" t="n">
        <f aca="false">K161*(1+IF(L$3&lt;=$O$2,$D161,$D161-($D161-$I$157)*MIN(L$3-$O$2,$Q$2)/$Q$2))</f>
        <v>10365.7739523143</v>
      </c>
      <c r="M161" s="15" t="n">
        <f aca="false">L161*(1+IF(M$3&lt;=$O$2,$D161,$D161-($D161-$I$157)*MIN(M$3-$O$2,$Q$2)/$Q$2))</f>
        <v>10812.9534406171</v>
      </c>
      <c r="N161" s="15" t="n">
        <f aca="false">M161*(1+IF(N$3&lt;=$O$2,$D161,$D161-($D161-$I$157)*MIN(N$3-$O$2,$Q$2)/$Q$2))</f>
        <v>11227.0895573927</v>
      </c>
      <c r="O161" s="15" t="n">
        <f aca="false">SUMPRODUCT(E161:N161,1/(1+$F$157)^$E$3:$N$3)*$E$2</f>
        <v>19727.8696171473</v>
      </c>
      <c r="P161" s="15" t="n">
        <f aca="false">N161*$E$2*(1+$I$157)/($F$157-$I$157)/(1+$F$157)^$N$3</f>
        <v>56798.115785762</v>
      </c>
      <c r="Q161" s="15" t="n">
        <f aca="false">O161+P161</f>
        <v>76525.9854029093</v>
      </c>
      <c r="R161" s="15" t="n">
        <f aca="false">Q161-$G$2+$I$2</f>
        <v>69180.7854029093</v>
      </c>
      <c r="S161" s="42" t="n">
        <f aca="false">R161/$K$2</f>
        <v>294.825422556613</v>
      </c>
      <c r="T161" s="43" t="n">
        <f aca="false">S161-$M$2</f>
        <v>213.81114597447</v>
      </c>
    </row>
    <row r="162" customFormat="false" ht="15" hidden="false" customHeight="false" outlineLevel="0" collapsed="false">
      <c r="A162" s="5" t="n">
        <v>4</v>
      </c>
      <c r="B162" s="25" t="n">
        <f aca="false">IF(T161&gt;0,B161,D161)</f>
        <v>-0.125</v>
      </c>
      <c r="C162" s="25" t="n">
        <f aca="false">IF(T161&gt;0,D161,C161)</f>
        <v>0.0625</v>
      </c>
      <c r="D162" s="41" t="n">
        <f aca="false">(B162+C162)/2</f>
        <v>-0.03125</v>
      </c>
      <c r="E162" s="15" t="n">
        <f aca="false">$C$2*(1+IF(E$3&lt;=$O$2,$D162,$D162-($D162-$I$157)*MIN(E$3-$O$2,$Q$2)/$Q$2))</f>
        <v>6355</v>
      </c>
      <c r="F162" s="15" t="n">
        <f aca="false">E162*(1+IF(F$3&lt;=$O$2,$D162,$D162-($D162-$I$157)*MIN(F$3-$O$2,$Q$2)/$Q$2))</f>
        <v>6156.40625</v>
      </c>
      <c r="G162" s="15" t="n">
        <f aca="false">F162*(1+IF(G$3&lt;=$O$2,$D162,$D162-($D162-$I$157)*MIN(G$3-$O$2,$Q$2)/$Q$2))</f>
        <v>5964.0185546875</v>
      </c>
      <c r="H162" s="15" t="n">
        <f aca="false">G162*(1+IF(H$3&lt;=$O$2,$D162,$D162-($D162-$I$157)*MIN(H$3-$O$2,$Q$2)/$Q$2))</f>
        <v>5777.64297485352</v>
      </c>
      <c r="I162" s="15" t="n">
        <f aca="false">H162*(1+IF(I$3&lt;=$O$2,$D162,$D162-($D162-$I$157)*MIN(I$3-$O$2,$Q$2)/$Q$2))</f>
        <v>5597.09163188934</v>
      </c>
      <c r="J162" s="15" t="n">
        <f aca="false">I162*(1+IF(J$3&lt;=$O$2,$D162,$D162-($D162-$I$157)*MIN(J$3-$O$2,$Q$2)/$Q$2))</f>
        <v>5500.03806299238</v>
      </c>
      <c r="K162" s="15" t="n">
        <f aca="false">J162*(1+IF(K$3&lt;=$O$2,$D162,$D162-($D162-$I$157)*MIN(K$3-$O$2,$Q$2)/$Q$2))</f>
        <v>5481.17293243632</v>
      </c>
      <c r="L162" s="15" t="n">
        <f aca="false">K162*(1+IF(L$3&lt;=$O$2,$D162,$D162-($D162-$I$157)*MIN(L$3-$O$2,$Q$2)/$Q$2))</f>
        <v>5538.61562476825</v>
      </c>
      <c r="M162" s="15" t="n">
        <f aca="false">L162*(1+IF(M$3&lt;=$O$2,$D162,$D162-($D162-$I$157)*MIN(M$3-$O$2,$Q$2)/$Q$2))</f>
        <v>5673.70245985635</v>
      </c>
      <c r="N162" s="15" t="n">
        <f aca="false">M162*(1+IF(N$3&lt;=$O$2,$D162,$D162-($D162-$I$157)*MIN(N$3-$O$2,$Q$2)/$Q$2))</f>
        <v>5891.00526406885</v>
      </c>
      <c r="O162" s="15" t="n">
        <f aca="false">SUMPRODUCT(E162:N162,1/(1+$F$157)^$E$3:$N$3)*$E$2</f>
        <v>13009.9958388179</v>
      </c>
      <c r="P162" s="15" t="n">
        <f aca="false">N162*$E$2*(1+$I$157)/($F$157-$I$157)/(1+$F$157)^$N$3</f>
        <v>29802.7371539752</v>
      </c>
      <c r="Q162" s="15" t="n">
        <f aca="false">O162+P162</f>
        <v>42812.7329927931</v>
      </c>
      <c r="R162" s="15" t="n">
        <f aca="false">Q162-$G$2+$I$2</f>
        <v>35467.5329927931</v>
      </c>
      <c r="S162" s="42" t="n">
        <f aca="false">R162/$K$2</f>
        <v>151.150790508387</v>
      </c>
      <c r="T162" s="43" t="n">
        <f aca="false">S162-$M$2</f>
        <v>70.1365139262435</v>
      </c>
    </row>
    <row r="163" customFormat="false" ht="15" hidden="false" customHeight="false" outlineLevel="0" collapsed="false">
      <c r="A163" s="5" t="n">
        <v>5</v>
      </c>
      <c r="B163" s="25" t="n">
        <f aca="false">IF(T162&gt;0,B162,D162)</f>
        <v>-0.125</v>
      </c>
      <c r="C163" s="25" t="n">
        <f aca="false">IF(T162&gt;0,D162,C162)</f>
        <v>-0.03125</v>
      </c>
      <c r="D163" s="41" t="n">
        <f aca="false">(B163+C163)/2</f>
        <v>-0.078125</v>
      </c>
      <c r="E163" s="15" t="n">
        <f aca="false">$C$2*(1+IF(E$3&lt;=$O$2,$D163,$D163-($D163-$I$157)*MIN(E$3-$O$2,$Q$2)/$Q$2))</f>
        <v>6047.5</v>
      </c>
      <c r="F163" s="15" t="n">
        <f aca="false">E163*(1+IF(F$3&lt;=$O$2,$D163,$D163-($D163-$I$157)*MIN(F$3-$O$2,$Q$2)/$Q$2))</f>
        <v>5575.0390625</v>
      </c>
      <c r="G163" s="15" t="n">
        <f aca="false">F163*(1+IF(G$3&lt;=$O$2,$D163,$D163-($D163-$I$157)*MIN(G$3-$O$2,$Q$2)/$Q$2))</f>
        <v>5139.48913574219</v>
      </c>
      <c r="H163" s="15" t="n">
        <f aca="false">G163*(1+IF(H$3&lt;=$O$2,$D163,$D163-($D163-$I$157)*MIN(H$3-$O$2,$Q$2)/$Q$2))</f>
        <v>4737.96654701233</v>
      </c>
      <c r="I163" s="15" t="n">
        <f aca="false">H163*(1+IF(I$3&lt;=$O$2,$D163,$D163-($D163-$I$157)*MIN(I$3-$O$2,$Q$2)/$Q$2))</f>
        <v>4367.81291052699</v>
      </c>
      <c r="J163" s="15" t="n">
        <f aca="false">I163*(1+IF(J$3&lt;=$O$2,$D163,$D163-($D163-$I$157)*MIN(J$3-$O$2,$Q$2)/$Q$2))</f>
        <v>4128.28205051369</v>
      </c>
      <c r="K163" s="15" t="n">
        <f aca="false">J163*(1+IF(K$3&lt;=$O$2,$D163,$D163-($D163-$I$157)*MIN(K$3-$O$2,$Q$2)/$Q$2))</f>
        <v>3998.01411040973</v>
      </c>
      <c r="L163" s="15" t="n">
        <f aca="false">K163*(1+IF(L$3&lt;=$O$2,$D163,$D163-($D163-$I$157)*MIN(L$3-$O$2,$Q$2)/$Q$2))</f>
        <v>3964.95053371664</v>
      </c>
      <c r="M163" s="15" t="n">
        <f aca="false">L163*(1+IF(M$3&lt;=$O$2,$D163,$D163-($D163-$I$157)*MIN(M$3-$O$2,$Q$2)/$Q$2))</f>
        <v>4024.4842659804</v>
      </c>
      <c r="N163" s="15" t="n">
        <f aca="false">M163*(1+IF(N$3&lt;=$O$2,$D163,$D163-($D163-$I$157)*MIN(N$3-$O$2,$Q$2)/$Q$2))</f>
        <v>4178.62201336745</v>
      </c>
      <c r="O163" s="15" t="n">
        <f aca="false">SUMPRODUCT(E163:N163,1/(1+$F$157)^$E$3:$N$3)*$E$2</f>
        <v>10581.2642542464</v>
      </c>
      <c r="P163" s="15" t="n">
        <f aca="false">N163*$E$2*(1+$I$157)/($F$157-$I$157)/(1+$F$157)^$N$3</f>
        <v>21139.7491510965</v>
      </c>
      <c r="Q163" s="15" t="n">
        <f aca="false">O163+P163</f>
        <v>31721.0134053429</v>
      </c>
      <c r="R163" s="15" t="n">
        <f aca="false">Q163-$G$2+$I$2</f>
        <v>24375.8134053429</v>
      </c>
      <c r="S163" s="42" t="n">
        <f aca="false">R163/$K$2</f>
        <v>103.881582805638</v>
      </c>
      <c r="T163" s="43" t="n">
        <f aca="false">S163-$M$2</f>
        <v>22.8673062234943</v>
      </c>
    </row>
    <row r="164" customFormat="false" ht="15" hidden="false" customHeight="false" outlineLevel="0" collapsed="false">
      <c r="A164" s="5" t="n">
        <v>6</v>
      </c>
      <c r="B164" s="25" t="n">
        <f aca="false">IF(T163&gt;0,B163,D163)</f>
        <v>-0.125</v>
      </c>
      <c r="C164" s="25" t="n">
        <f aca="false">IF(T163&gt;0,D163,C163)</f>
        <v>-0.078125</v>
      </c>
      <c r="D164" s="41" t="n">
        <f aca="false">(B164+C164)/2</f>
        <v>-0.1015625</v>
      </c>
      <c r="E164" s="15" t="n">
        <f aca="false">$C$2*(1+IF(E$3&lt;=$O$2,$D164,$D164-($D164-$I$157)*MIN(E$3-$O$2,$Q$2)/$Q$2))</f>
        <v>5893.75</v>
      </c>
      <c r="F164" s="15" t="n">
        <f aca="false">E164*(1+IF(F$3&lt;=$O$2,$D164,$D164-($D164-$I$157)*MIN(F$3-$O$2,$Q$2)/$Q$2))</f>
        <v>5295.166015625</v>
      </c>
      <c r="G164" s="15" t="n">
        <f aca="false">F164*(1+IF(G$3&lt;=$O$2,$D164,$D164-($D164-$I$157)*MIN(G$3-$O$2,$Q$2)/$Q$2))</f>
        <v>4757.37571716309</v>
      </c>
      <c r="H164" s="15" t="n">
        <f aca="false">G164*(1+IF(H$3&lt;=$O$2,$D164,$D164-($D164-$I$157)*MIN(H$3-$O$2,$Q$2)/$Q$2))</f>
        <v>4274.20474588871</v>
      </c>
      <c r="I164" s="15" t="n">
        <f aca="false">H164*(1+IF(I$3&lt;=$O$2,$D164,$D164-($D164-$I$157)*MIN(I$3-$O$2,$Q$2)/$Q$2))</f>
        <v>3840.10582638439</v>
      </c>
      <c r="J164" s="15" t="n">
        <f aca="false">I164*(1+IF(J$3&lt;=$O$2,$D164,$D164-($D164-$I$157)*MIN(J$3-$O$2,$Q$2)/$Q$2))</f>
        <v>3557.51243862076</v>
      </c>
      <c r="K164" s="15" t="n">
        <f aca="false">J164*(1+IF(K$3&lt;=$O$2,$D164,$D164-($D164-$I$157)*MIN(K$3-$O$2,$Q$2)/$Q$2))</f>
        <v>3395.22761495198</v>
      </c>
      <c r="L164" s="15" t="n">
        <f aca="false">K164*(1+IF(L$3&lt;=$O$2,$D164,$D164-($D164-$I$157)*MIN(L$3-$O$2,$Q$2)/$Q$2))</f>
        <v>3335.31882368615</v>
      </c>
      <c r="M164" s="15" t="n">
        <f aca="false">L164*(1+IF(M$3&lt;=$O$2,$D164,$D164-($D164-$I$157)*MIN(M$3-$O$2,$Q$2)/$Q$2))</f>
        <v>3369.76432883777</v>
      </c>
      <c r="N164" s="15" t="n">
        <f aca="false">M164*(1+IF(N$3&lt;=$O$2,$D164,$D164-($D164-$I$157)*MIN(N$3-$O$2,$Q$2)/$Q$2))</f>
        <v>3498.82630263226</v>
      </c>
      <c r="O164" s="15" t="n">
        <f aca="false">SUMPRODUCT(E164:N164,1/(1+$F$157)^$E$3:$N$3)*$E$2</f>
        <v>9549.19175271599</v>
      </c>
      <c r="P164" s="15" t="n">
        <f aca="false">N164*$E$2*(1+$I$157)/($F$157-$I$157)/(1+$F$157)^$N$3</f>
        <v>17700.6463193589</v>
      </c>
      <c r="Q164" s="15" t="n">
        <f aca="false">O164+P164</f>
        <v>27249.8380720749</v>
      </c>
      <c r="R164" s="15" t="n">
        <f aca="false">Q164-$G$2+$I$2</f>
        <v>19904.6380720749</v>
      </c>
      <c r="S164" s="42" t="n">
        <f aca="false">R164/$K$2</f>
        <v>84.8269255149152</v>
      </c>
      <c r="T164" s="43" t="n">
        <f aca="false">S164-$M$2</f>
        <v>3.81264893277161</v>
      </c>
    </row>
    <row r="165" customFormat="false" ht="15" hidden="false" customHeight="false" outlineLevel="0" collapsed="false">
      <c r="A165" s="5" t="n">
        <v>7</v>
      </c>
      <c r="B165" s="25" t="n">
        <f aca="false">IF(T164&gt;0,B164,D164)</f>
        <v>-0.125</v>
      </c>
      <c r="C165" s="25" t="n">
        <f aca="false">IF(T164&gt;0,D164,C164)</f>
        <v>-0.1015625</v>
      </c>
      <c r="D165" s="41" t="n">
        <f aca="false">(B165+C165)/2</f>
        <v>-0.11328125</v>
      </c>
      <c r="E165" s="15" t="n">
        <f aca="false">$C$2*(1+IF(E$3&lt;=$O$2,$D165,$D165-($D165-$I$157)*MIN(E$3-$O$2,$Q$2)/$Q$2))</f>
        <v>5816.875</v>
      </c>
      <c r="F165" s="15" t="n">
        <f aca="false">E165*(1+IF(F$3&lt;=$O$2,$D165,$D165-($D165-$I$157)*MIN(F$3-$O$2,$Q$2)/$Q$2))</f>
        <v>5157.93212890625</v>
      </c>
      <c r="G165" s="15" t="n">
        <f aca="false">F165*(1+IF(G$3&lt;=$O$2,$D165,$D165-($D165-$I$157)*MIN(G$3-$O$2,$Q$2)/$Q$2))</f>
        <v>4573.63512992859</v>
      </c>
      <c r="H165" s="15" t="n">
        <f aca="false">G165*(1+IF(H$3&lt;=$O$2,$D165,$D165-($D165-$I$157)*MIN(H$3-$O$2,$Q$2)/$Q$2))</f>
        <v>4055.52802536637</v>
      </c>
      <c r="I165" s="15" t="n">
        <f aca="false">H165*(1+IF(I$3&lt;=$O$2,$D165,$D165-($D165-$I$157)*MIN(I$3-$O$2,$Q$2)/$Q$2))</f>
        <v>3596.11274124283</v>
      </c>
      <c r="J165" s="15" t="n">
        <f aca="false">I165*(1+IF(J$3&lt;=$O$2,$D165,$D165-($D165-$I$157)*MIN(J$3-$O$2,$Q$2)/$Q$2))</f>
        <v>3297.76124766562</v>
      </c>
      <c r="K165" s="15" t="n">
        <f aca="false">J165*(1+IF(K$3&lt;=$O$2,$D165,$D165-($D165-$I$157)*MIN(K$3-$O$2,$Q$2)/$Q$2))</f>
        <v>3124.13824017759</v>
      </c>
      <c r="L165" s="15" t="n">
        <f aca="false">K165*(1+IF(L$3&lt;=$O$2,$D165,$D165-($D165-$I$157)*MIN(L$3-$O$2,$Q$2)/$Q$2))</f>
        <v>3054.36842292882</v>
      </c>
      <c r="M165" s="15" t="n">
        <f aca="false">L165*(1+IF(M$3&lt;=$O$2,$D165,$D165-($D165-$I$157)*MIN(M$3-$O$2,$Q$2)/$Q$2))</f>
        <v>3078.75373682538</v>
      </c>
      <c r="N165" s="15" t="n">
        <f aca="false">M165*(1+IF(N$3&lt;=$O$2,$D165,$D165-($D165-$I$157)*MIN(N$3-$O$2,$Q$2)/$Q$2))</f>
        <v>3196.67000494579</v>
      </c>
      <c r="O165" s="15" t="n">
        <f aca="false">SUMPRODUCT(E165:N165,1/(1+$F$157)^$E$3:$N$3)*$E$2</f>
        <v>9073.44469431116</v>
      </c>
      <c r="P165" s="15" t="n">
        <f aca="false">N165*$E$2*(1+$I$157)/($F$157-$I$157)/(1+$F$157)^$N$3</f>
        <v>16172.0303504863</v>
      </c>
      <c r="Q165" s="15" t="n">
        <f aca="false">O165+P165</f>
        <v>25245.4750447975</v>
      </c>
      <c r="R165" s="15" t="n">
        <f aca="false">Q165-$G$2+$I$2</f>
        <v>17900.2750447975</v>
      </c>
      <c r="S165" s="42" t="n">
        <f aca="false">R165/$K$2</f>
        <v>76.2849991254952</v>
      </c>
      <c r="T165" s="43" t="n">
        <f aca="false">S165-$M$2</f>
        <v>-4.72927745664842</v>
      </c>
    </row>
    <row r="166" customFormat="false" ht="15" hidden="false" customHeight="false" outlineLevel="0" collapsed="false">
      <c r="A166" s="5" t="n">
        <v>8</v>
      </c>
      <c r="B166" s="25" t="n">
        <f aca="false">IF(T165&gt;0,B165,D165)</f>
        <v>-0.11328125</v>
      </c>
      <c r="C166" s="25" t="n">
        <f aca="false">IF(T165&gt;0,D165,C165)</f>
        <v>-0.1015625</v>
      </c>
      <c r="D166" s="41" t="n">
        <f aca="false">(B166+C166)/2</f>
        <v>-0.107421875</v>
      </c>
      <c r="E166" s="15" t="n">
        <f aca="false">$C$2*(1+IF(E$3&lt;=$O$2,$D166,$D166-($D166-$I$157)*MIN(E$3-$O$2,$Q$2)/$Q$2))</f>
        <v>5855.3125</v>
      </c>
      <c r="F166" s="15" t="n">
        <f aca="false">E166*(1+IF(F$3&lt;=$O$2,$D166,$D166-($D166-$I$157)*MIN(F$3-$O$2,$Q$2)/$Q$2))</f>
        <v>5226.32385253906</v>
      </c>
      <c r="G166" s="15" t="n">
        <f aca="false">F166*(1+IF(G$3&lt;=$O$2,$D166,$D166-($D166-$I$157)*MIN(G$3-$O$2,$Q$2)/$Q$2))</f>
        <v>4664.90234494209</v>
      </c>
      <c r="H166" s="15" t="n">
        <f aca="false">G166*(1+IF(H$3&lt;=$O$2,$D166,$D166-($D166-$I$157)*MIN(H$3-$O$2,$Q$2)/$Q$2))</f>
        <v>4163.78978835652</v>
      </c>
      <c r="I166" s="15" t="n">
        <f aca="false">H166*(1+IF(I$3&lt;=$O$2,$D166,$D166-($D166-$I$157)*MIN(I$3-$O$2,$Q$2)/$Q$2))</f>
        <v>3716.50768218541</v>
      </c>
      <c r="J166" s="15" t="n">
        <f aca="false">I166*(1+IF(J$3&lt;=$O$2,$D166,$D166-($D166-$I$157)*MIN(J$3-$O$2,$Q$2)/$Q$2))</f>
        <v>3425.58875209314</v>
      </c>
      <c r="K166" s="15" t="n">
        <f aca="false">J166*(1+IF(K$3&lt;=$O$2,$D166,$D166-($D166-$I$157)*MIN(K$3-$O$2,$Q$2)/$Q$2))</f>
        <v>3257.27887173795</v>
      </c>
      <c r="L166" s="15" t="n">
        <f aca="false">K166*(1+IF(L$3&lt;=$O$2,$D166,$D166-($D166-$I$157)*MIN(L$3-$O$2,$Q$2)/$Q$2))</f>
        <v>3192.1699386905</v>
      </c>
      <c r="M166" s="15" t="n">
        <f aca="false">L166*(1+IF(M$3&lt;=$O$2,$D166,$D166-($D166-$I$157)*MIN(M$3-$O$2,$Q$2)/$Q$2))</f>
        <v>3221.39624958542</v>
      </c>
      <c r="N166" s="15" t="n">
        <f aca="false">M166*(1+IF(N$3&lt;=$O$2,$D166,$D166-($D166-$I$157)*MIN(N$3-$O$2,$Q$2)/$Q$2))</f>
        <v>3344.77572594455</v>
      </c>
      <c r="O166" s="15" t="n">
        <f aca="false">SUMPRODUCT(E166:N166,1/(1+$F$157)^$E$3:$N$3)*$E$2</f>
        <v>9308.10653860071</v>
      </c>
      <c r="P166" s="15" t="n">
        <f aca="false">N166*$E$2*(1+$I$157)/($F$157-$I$157)/(1+$F$157)^$N$3</f>
        <v>16921.300751049</v>
      </c>
      <c r="Q166" s="15" t="n">
        <f aca="false">O166+P166</f>
        <v>26229.4072896497</v>
      </c>
      <c r="R166" s="15" t="n">
        <f aca="false">Q166-$G$2+$I$2</f>
        <v>18884.2072896497</v>
      </c>
      <c r="S166" s="42" t="n">
        <f aca="false">R166/$K$2</f>
        <v>80.4781900262081</v>
      </c>
      <c r="T166" s="43" t="n">
        <f aca="false">S166-$M$2</f>
        <v>-0.536086555935569</v>
      </c>
    </row>
    <row r="167" customFormat="false" ht="15" hidden="false" customHeight="false" outlineLevel="0" collapsed="false">
      <c r="A167" s="5" t="n">
        <v>9</v>
      </c>
      <c r="B167" s="25" t="n">
        <f aca="false">IF(T166&gt;0,B166,D166)</f>
        <v>-0.107421875</v>
      </c>
      <c r="C167" s="25" t="n">
        <f aca="false">IF(T166&gt;0,D166,C166)</f>
        <v>-0.1015625</v>
      </c>
      <c r="D167" s="41" t="n">
        <f aca="false">(B167+C167)/2</f>
        <v>-0.1044921875</v>
      </c>
      <c r="E167" s="15" t="n">
        <f aca="false">$C$2*(1+IF(E$3&lt;=$O$2,$D167,$D167-($D167-$I$157)*MIN(E$3-$O$2,$Q$2)/$Q$2))</f>
        <v>5874.53125</v>
      </c>
      <c r="F167" s="15" t="n">
        <f aca="false">E167*(1+IF(F$3&lt;=$O$2,$D167,$D167-($D167-$I$157)*MIN(F$3-$O$2,$Q$2)/$Q$2))</f>
        <v>5260.68862915039</v>
      </c>
      <c r="G167" s="15" t="n">
        <f aca="false">F167*(1+IF(G$3&lt;=$O$2,$D167,$D167-($D167-$I$157)*MIN(G$3-$O$2,$Q$2)/$Q$2))</f>
        <v>4710.98776653409</v>
      </c>
      <c r="H167" s="15" t="n">
        <f aca="false">G167*(1+IF(H$3&lt;=$O$2,$D167,$D167-($D167-$I$157)*MIN(H$3-$O$2,$Q$2)/$Q$2))</f>
        <v>4218.7263495232</v>
      </c>
      <c r="I167" s="15" t="n">
        <f aca="false">H167*(1+IF(I$3&lt;=$O$2,$D167,$D167-($D167-$I$157)*MIN(I$3-$O$2,$Q$2)/$Q$2))</f>
        <v>3777.90240479763</v>
      </c>
      <c r="J167" s="15" t="n">
        <f aca="false">I167*(1+IF(J$3&lt;=$O$2,$D167,$D167-($D167-$I$157)*MIN(J$3-$O$2,$Q$2)/$Q$2))</f>
        <v>3491.03210806733</v>
      </c>
      <c r="K167" s="15" t="n">
        <f aca="false">J167*(1+IF(K$3&lt;=$O$2,$D167,$D167-($D167-$I$157)*MIN(K$3-$O$2,$Q$2)/$Q$2))</f>
        <v>3325.64337100011</v>
      </c>
      <c r="L167" s="15" t="n">
        <f aca="false">K167*(1+IF(L$3&lt;=$O$2,$D167,$D167-($D167-$I$157)*MIN(L$3-$O$2,$Q$2)/$Q$2))</f>
        <v>3263.06515539342</v>
      </c>
      <c r="M167" s="15" t="n">
        <f aca="false">L167*(1+IF(M$3&lt;=$O$2,$D167,$D167-($D167-$I$157)*MIN(M$3-$O$2,$Q$2)/$Q$2))</f>
        <v>3294.85250854626</v>
      </c>
      <c r="N167" s="15" t="n">
        <f aca="false">M167*(1+IF(N$3&lt;=$O$2,$D167,$D167-($D167-$I$157)*MIN(N$3-$O$2,$Q$2)/$Q$2))</f>
        <v>3421.04535962358</v>
      </c>
      <c r="O167" s="15" t="n">
        <f aca="false">SUMPRODUCT(E167:N167,1/(1+$F$157)^$E$3:$N$3)*$E$2</f>
        <v>9427.83557824833</v>
      </c>
      <c r="P167" s="15" t="n">
        <f aca="false">N167*$E$2*(1+$I$157)/($F$157-$I$157)/(1+$F$157)^$N$3</f>
        <v>17307.1506601011</v>
      </c>
      <c r="Q167" s="15" t="n">
        <f aca="false">O167+P167</f>
        <v>26734.9862383494</v>
      </c>
      <c r="R167" s="15" t="n">
        <f aca="false">Q167-$G$2+$I$2</f>
        <v>19389.7862383494</v>
      </c>
      <c r="S167" s="42" t="n">
        <f aca="false">R167/$K$2</f>
        <v>82.6327987996992</v>
      </c>
      <c r="T167" s="43" t="n">
        <f aca="false">S167-$M$2</f>
        <v>1.61852221755555</v>
      </c>
    </row>
    <row r="168" customFormat="false" ht="15" hidden="false" customHeight="false" outlineLevel="0" collapsed="false">
      <c r="A168" s="5" t="n">
        <v>10</v>
      </c>
      <c r="B168" s="25" t="n">
        <f aca="false">IF(T167&gt;0,B167,D167)</f>
        <v>-0.107421875</v>
      </c>
      <c r="C168" s="25" t="n">
        <f aca="false">IF(T167&gt;0,D167,C167)</f>
        <v>-0.1044921875</v>
      </c>
      <c r="D168" s="41" t="n">
        <f aca="false">(B168+C168)/2</f>
        <v>-0.10595703125</v>
      </c>
      <c r="E168" s="15" t="n">
        <f aca="false">$C$2*(1+IF(E$3&lt;=$O$2,$D168,$D168-($D168-$I$157)*MIN(E$3-$O$2,$Q$2)/$Q$2))</f>
        <v>5864.921875</v>
      </c>
      <c r="F168" s="15" t="n">
        <f aca="false">E168*(1+IF(F$3&lt;=$O$2,$D168,$D168-($D168-$I$157)*MIN(F$3-$O$2,$Q$2)/$Q$2))</f>
        <v>5243.49216461182</v>
      </c>
      <c r="G168" s="15" t="n">
        <f aca="false">F168*(1+IF(G$3&lt;=$O$2,$D168,$D168-($D168-$I$157)*MIN(G$3-$O$2,$Q$2)/$Q$2))</f>
        <v>4687.90730146691</v>
      </c>
      <c r="H168" s="15" t="n">
        <f aca="false">G168*(1+IF(H$3&lt;=$O$2,$D168,$D168-($D168-$I$157)*MIN(H$3-$O$2,$Q$2)/$Q$2))</f>
        <v>4191.19056102828</v>
      </c>
      <c r="I168" s="15" t="n">
        <f aca="false">H168*(1+IF(I$3&lt;=$O$2,$D168,$D168-($D168-$I$157)*MIN(I$3-$O$2,$Q$2)/$Q$2))</f>
        <v>3747.1044517787</v>
      </c>
      <c r="J168" s="15" t="n">
        <f aca="false">I168*(1+IF(J$3&lt;=$O$2,$D168,$D168-($D168-$I$157)*MIN(J$3-$O$2,$Q$2)/$Q$2))</f>
        <v>3458.18162108402</v>
      </c>
      <c r="K168" s="15" t="n">
        <f aca="false">J168*(1+IF(K$3&lt;=$O$2,$D168,$D168-($D168-$I$157)*MIN(K$3-$O$2,$Q$2)/$Q$2))</f>
        <v>3291.309768663</v>
      </c>
      <c r="L168" s="15" t="n">
        <f aca="false">K168*(1+IF(L$3&lt;=$O$2,$D168,$D168-($D168-$I$157)*MIN(L$3-$O$2,$Q$2)/$Q$2))</f>
        <v>3227.44910234222</v>
      </c>
      <c r="M168" s="15" t="n">
        <f aca="false">L168*(1+IF(M$3&lt;=$O$2,$D168,$D168-($D168-$I$157)*MIN(M$3-$O$2,$Q$2)/$Q$2))</f>
        <v>3257.94395775905</v>
      </c>
      <c r="N168" s="15" t="n">
        <f aca="false">M168*(1+IF(N$3&lt;=$O$2,$D168,$D168-($D168-$I$157)*MIN(N$3-$O$2,$Q$2)/$Q$2))</f>
        <v>3382.72321134122</v>
      </c>
      <c r="O168" s="15" t="n">
        <f aca="false">SUMPRODUCT(E168:N168,1/(1+$F$157)^$E$3:$N$3)*$E$2</f>
        <v>9367.76900705668</v>
      </c>
      <c r="P168" s="15" t="n">
        <f aca="false">N168*$E$2*(1+$I$157)/($F$157-$I$157)/(1+$F$157)^$N$3</f>
        <v>17113.2779913053</v>
      </c>
      <c r="Q168" s="15" t="n">
        <f aca="false">O168+P168</f>
        <v>26481.046998362</v>
      </c>
      <c r="R168" s="15" t="n">
        <f aca="false">Q168-$G$2+$I$2</f>
        <v>19135.846998362</v>
      </c>
      <c r="S168" s="42" t="n">
        <f aca="false">R168/$K$2</f>
        <v>81.55059449547</v>
      </c>
      <c r="T168" s="43" t="n">
        <f aca="false">S168-$M$2</f>
        <v>0.536317913326343</v>
      </c>
    </row>
    <row r="169" customFormat="false" ht="15" hidden="false" customHeight="false" outlineLevel="0" collapsed="false">
      <c r="A169" s="5" t="n">
        <v>11</v>
      </c>
      <c r="B169" s="25" t="n">
        <f aca="false">IF(T168&gt;0,B168,D168)</f>
        <v>-0.107421875</v>
      </c>
      <c r="C169" s="25" t="n">
        <f aca="false">IF(T168&gt;0,D168,C168)</f>
        <v>-0.10595703125</v>
      </c>
      <c r="D169" s="41" t="n">
        <f aca="false">(B169+C169)/2</f>
        <v>-0.106689453125</v>
      </c>
      <c r="E169" s="15" t="n">
        <f aca="false">$C$2*(1+IF(E$3&lt;=$O$2,$D169,$D169-($D169-$I$157)*MIN(E$3-$O$2,$Q$2)/$Q$2))</f>
        <v>5860.1171875</v>
      </c>
      <c r="F169" s="15" t="n">
        <f aca="false">E169*(1+IF(F$3&lt;=$O$2,$D169,$D169-($D169-$I$157)*MIN(F$3-$O$2,$Q$2)/$Q$2))</f>
        <v>5234.90448951721</v>
      </c>
      <c r="G169" s="15" t="n">
        <f aca="false">F169*(1+IF(G$3&lt;=$O$2,$D169,$D169-($D169-$I$157)*MIN(G$3-$O$2,$Q$2)/$Q$2))</f>
        <v>4676.39539236901</v>
      </c>
      <c r="H169" s="15" t="n">
        <f aca="false">G169*(1+IF(H$3&lt;=$O$2,$D169,$D169-($D169-$I$157)*MIN(H$3-$O$2,$Q$2)/$Q$2))</f>
        <v>4177.47332536089</v>
      </c>
      <c r="I169" s="15" t="n">
        <f aca="false">H169*(1+IF(I$3&lt;=$O$2,$D169,$D169-($D169-$I$157)*MIN(I$3-$O$2,$Q$2)/$Q$2))</f>
        <v>3731.78098083386</v>
      </c>
      <c r="J169" s="15" t="n">
        <f aca="false">I169*(1+IF(J$3&lt;=$O$2,$D169,$D169-($D169-$I$157)*MIN(J$3-$O$2,$Q$2)/$Q$2))</f>
        <v>3441.8530855251</v>
      </c>
      <c r="K169" s="15" t="n">
        <f aca="false">J169*(1+IF(K$3&lt;=$O$2,$D169,$D169-($D169-$I$157)*MIN(K$3-$O$2,$Q$2)/$Q$2))</f>
        <v>3274.25662073658</v>
      </c>
      <c r="L169" s="15" t="n">
        <f aca="false">K169*(1+IF(L$3&lt;=$O$2,$D169,$D169-($D169-$I$157)*MIN(L$3-$O$2,$Q$2)/$Q$2))</f>
        <v>3209.76757857819</v>
      </c>
      <c r="M169" s="15" t="n">
        <f aca="false">L169*(1+IF(M$3&lt;=$O$2,$D169,$D169-($D169-$I$157)*MIN(M$3-$O$2,$Q$2)/$Q$2))</f>
        <v>3239.62518766246</v>
      </c>
      <c r="N169" s="15" t="n">
        <f aca="false">M169*(1+IF(N$3&lt;=$O$2,$D169,$D169-($D169-$I$157)*MIN(N$3-$O$2,$Q$2)/$Q$2))</f>
        <v>3363.70283234993</v>
      </c>
      <c r="O169" s="15" t="n">
        <f aca="false">SUMPRODUCT(E169:N169,1/(1+$F$157)^$E$3:$N$3)*$E$2</f>
        <v>9337.88742669383</v>
      </c>
      <c r="P169" s="15" t="n">
        <f aca="false">N169*$E$2*(1+$I$157)/($F$157-$I$157)/(1+$F$157)^$N$3</f>
        <v>17017.0534370507</v>
      </c>
      <c r="Q169" s="15" t="n">
        <f aca="false">O169+P169</f>
        <v>26354.9408637446</v>
      </c>
      <c r="R169" s="15" t="n">
        <f aca="false">Q169-$G$2+$I$2</f>
        <v>19009.7408637446</v>
      </c>
      <c r="S169" s="42" t="n">
        <f aca="false">R169/$K$2</f>
        <v>81.0131722298937</v>
      </c>
      <c r="T169" s="43" t="n">
        <f aca="false">S169-$M$2</f>
        <v>-0.00110435224988237</v>
      </c>
    </row>
    <row r="170" customFormat="false" ht="15" hidden="false" customHeight="false" outlineLevel="0" collapsed="false">
      <c r="A170" s="5" t="n">
        <v>12</v>
      </c>
      <c r="B170" s="25" t="n">
        <f aca="false">IF(T169&gt;0,B169,D169)</f>
        <v>-0.106689453125</v>
      </c>
      <c r="C170" s="25" t="n">
        <f aca="false">IF(T169&gt;0,D169,C169)</f>
        <v>-0.10595703125</v>
      </c>
      <c r="D170" s="41" t="n">
        <f aca="false">(B170+C170)/2</f>
        <v>-0.1063232421875</v>
      </c>
      <c r="E170" s="15" t="n">
        <f aca="false">$C$2*(1+IF(E$3&lt;=$O$2,$D170,$D170-($D170-$I$157)*MIN(E$3-$O$2,$Q$2)/$Q$2))</f>
        <v>5862.51953125</v>
      </c>
      <c r="F170" s="15" t="n">
        <f aca="false">E170*(1+IF(F$3&lt;=$O$2,$D170,$D170-($D170-$I$157)*MIN(F$3-$O$2,$Q$2)/$Q$2))</f>
        <v>5239.19744729996</v>
      </c>
      <c r="G170" s="15" t="n">
        <f aca="false">F170*(1+IF(G$3&lt;=$O$2,$D170,$D170-($D170-$I$157)*MIN(G$3-$O$2,$Q$2)/$Q$2))</f>
        <v>4682.14898824255</v>
      </c>
      <c r="H170" s="15" t="n">
        <f aca="false">G170*(1+IF(H$3&lt;=$O$2,$D170,$D170-($D170-$I$157)*MIN(H$3-$O$2,$Q$2)/$Q$2))</f>
        <v>4184.32772740768</v>
      </c>
      <c r="I170" s="15" t="n">
        <f aca="false">H170*(1+IF(I$3&lt;=$O$2,$D170,$D170-($D170-$I$157)*MIN(I$3-$O$2,$Q$2)/$Q$2))</f>
        <v>3739.43643705464</v>
      </c>
      <c r="J170" s="15" t="n">
        <f aca="false">I170*(1+IF(J$3&lt;=$O$2,$D170,$D170-($D170-$I$157)*MIN(J$3-$O$2,$Q$2)/$Q$2))</f>
        <v>3450.0093154091</v>
      </c>
      <c r="K170" s="15" t="n">
        <f aca="false">J170*(1+IF(K$3&lt;=$O$2,$D170,$D170-($D170-$I$157)*MIN(K$3-$O$2,$Q$2)/$Q$2))</f>
        <v>3282.77375252635</v>
      </c>
      <c r="L170" s="15" t="n">
        <f aca="false">K170*(1+IF(L$3&lt;=$O$2,$D170,$D170-($D170-$I$157)*MIN(L$3-$O$2,$Q$2)/$Q$2))</f>
        <v>3218.59783386475</v>
      </c>
      <c r="M170" s="15" t="n">
        <f aca="false">L170*(1+IF(M$3&lt;=$O$2,$D170,$D170-($D170-$I$157)*MIN(M$3-$O$2,$Q$2)/$Q$2))</f>
        <v>3248.77332009553</v>
      </c>
      <c r="N170" s="15" t="n">
        <f aca="false">M170*(1+IF(N$3&lt;=$O$2,$D170,$D170-($D170-$I$157)*MIN(N$3-$O$2,$Q$2)/$Q$2))</f>
        <v>3373.20133825519</v>
      </c>
      <c r="O170" s="15" t="n">
        <f aca="false">SUMPRODUCT(E170:N170,1/(1+$F$157)^$E$3:$N$3)*$E$2</f>
        <v>9352.81560954114</v>
      </c>
      <c r="P170" s="15" t="n">
        <f aca="false">N170*$E$2*(1+$I$157)/($F$157-$I$157)/(1+$F$157)^$N$3</f>
        <v>17065.1066066136</v>
      </c>
      <c r="Q170" s="15" t="n">
        <f aca="false">O170+P170</f>
        <v>26417.9222161547</v>
      </c>
      <c r="R170" s="15" t="n">
        <f aca="false">Q170-$G$2+$I$2</f>
        <v>19072.7222161547</v>
      </c>
      <c r="S170" s="42" t="n">
        <f aca="false">R170/$K$2</f>
        <v>81.2815777377147</v>
      </c>
      <c r="T170" s="43" t="n">
        <f aca="false">S170-$M$2</f>
        <v>0.267301155571047</v>
      </c>
    </row>
    <row r="171" customFormat="false" ht="15" hidden="false" customHeight="false" outlineLevel="0" collapsed="false">
      <c r="A171" s="5" t="n">
        <v>13</v>
      </c>
      <c r="B171" s="25" t="n">
        <f aca="false">IF(T170&gt;0,B170,D170)</f>
        <v>-0.106689453125</v>
      </c>
      <c r="C171" s="25" t="n">
        <f aca="false">IF(T170&gt;0,D170,C170)</f>
        <v>-0.1063232421875</v>
      </c>
      <c r="D171" s="41" t="n">
        <f aca="false">(B171+C171)/2</f>
        <v>-0.10650634765625</v>
      </c>
      <c r="E171" s="15" t="n">
        <f aca="false">$C$2*(1+IF(E$3&lt;=$O$2,$D171,$D171-($D171-$I$157)*MIN(E$3-$O$2,$Q$2)/$Q$2))</f>
        <v>5861.318359375</v>
      </c>
      <c r="F171" s="15" t="n">
        <f aca="false">E171*(1+IF(F$3&lt;=$O$2,$D171,$D171-($D171-$I$157)*MIN(F$3-$O$2,$Q$2)/$Q$2))</f>
        <v>5237.05074846745</v>
      </c>
      <c r="G171" s="15" t="n">
        <f aca="false">F171*(1+IF(G$3&lt;=$O$2,$D171,$D171-($D171-$I$157)*MIN(G$3-$O$2,$Q$2)/$Q$2))</f>
        <v>4679.27160075775</v>
      </c>
      <c r="H171" s="15" t="n">
        <f aca="false">G171*(1+IF(H$3&lt;=$O$2,$D171,$D171-($D171-$I$157)*MIN(H$3-$O$2,$Q$2)/$Q$2))</f>
        <v>4180.89947286943</v>
      </c>
      <c r="I171" s="15" t="n">
        <f aca="false">H171*(1+IF(I$3&lt;=$O$2,$D171,$D171-($D171-$I$157)*MIN(I$3-$O$2,$Q$2)/$Q$2))</f>
        <v>3735.60714009616</v>
      </c>
      <c r="J171" s="15" t="n">
        <f aca="false">I171*(1+IF(J$3&lt;=$O$2,$D171,$D171-($D171-$I$157)*MIN(J$3-$O$2,$Q$2)/$Q$2))</f>
        <v>3445.9291925731</v>
      </c>
      <c r="K171" s="15" t="n">
        <f aca="false">J171*(1+IF(K$3&lt;=$O$2,$D171,$D171-($D171-$I$157)*MIN(K$3-$O$2,$Q$2)/$Q$2))</f>
        <v>3278.51282825351</v>
      </c>
      <c r="L171" s="15" t="n">
        <f aca="false">K171*(1+IF(L$3&lt;=$O$2,$D171,$D171-($D171-$I$157)*MIN(L$3-$O$2,$Q$2)/$Q$2))</f>
        <v>3214.1800822142</v>
      </c>
      <c r="M171" s="15" t="n">
        <f aca="false">L171*(1+IF(M$3&lt;=$O$2,$D171,$D171-($D171-$I$157)*MIN(M$3-$O$2,$Q$2)/$Q$2))</f>
        <v>3244.19644368002</v>
      </c>
      <c r="N171" s="15" t="n">
        <f aca="false">M171*(1+IF(N$3&lt;=$O$2,$D171,$D171-($D171-$I$157)*MIN(N$3-$O$2,$Q$2)/$Q$2))</f>
        <v>3368.44916747297</v>
      </c>
      <c r="O171" s="15" t="n">
        <f aca="false">SUMPRODUCT(E171:N171,1/(1+$F$157)^$E$3:$N$3)*$E$2</f>
        <v>9345.34836888638</v>
      </c>
      <c r="P171" s="15" t="n">
        <f aca="false">N171*$E$2*(1+$I$157)/($F$157-$I$157)/(1+$F$157)^$N$3</f>
        <v>17041.0652604622</v>
      </c>
      <c r="Q171" s="15" t="n">
        <f aca="false">O171+P171</f>
        <v>26386.4136293485</v>
      </c>
      <c r="R171" s="15" t="n">
        <f aca="false">Q171-$G$2+$I$2</f>
        <v>19041.2136293485</v>
      </c>
      <c r="S171" s="42" t="n">
        <f aca="false">R171/$K$2</f>
        <v>81.1472986547988</v>
      </c>
      <c r="T171" s="43" t="n">
        <f aca="false">S171-$M$2</f>
        <v>0.133022072655166</v>
      </c>
    </row>
    <row r="172" customFormat="false" ht="15" hidden="false" customHeight="false" outlineLevel="0" collapsed="false">
      <c r="A172" s="5" t="n">
        <v>14</v>
      </c>
      <c r="B172" s="25" t="n">
        <f aca="false">IF(T171&gt;0,B171,D171)</f>
        <v>-0.106689453125</v>
      </c>
      <c r="C172" s="25" t="n">
        <f aca="false">IF(T171&gt;0,D171,C171)</f>
        <v>-0.10650634765625</v>
      </c>
      <c r="D172" s="41" t="n">
        <f aca="false">(B172+C172)/2</f>
        <v>-0.106597900390625</v>
      </c>
      <c r="E172" s="15" t="n">
        <f aca="false">$C$2*(1+IF(E$3&lt;=$O$2,$D172,$D172-($D172-$I$157)*MIN(E$3-$O$2,$Q$2)/$Q$2))</f>
        <v>5860.7177734375</v>
      </c>
      <c r="F172" s="15" t="n">
        <f aca="false">E172*(1+IF(F$3&lt;=$O$2,$D172,$D172-($D172-$I$157)*MIN(F$3-$O$2,$Q$2)/$Q$2))</f>
        <v>5235.97756400704</v>
      </c>
      <c r="G172" s="15" t="n">
        <f aca="false">F172*(1+IF(G$3&lt;=$O$2,$D172,$D172-($D172-$I$157)*MIN(G$3-$O$2,$Q$2)/$Q$2))</f>
        <v>4677.83334919147</v>
      </c>
      <c r="H172" s="15" t="n">
        <f aca="false">G172*(1+IF(H$3&lt;=$O$2,$D172,$D172-($D172-$I$157)*MIN(H$3-$O$2,$Q$2)/$Q$2))</f>
        <v>4179.18613579042</v>
      </c>
      <c r="I172" s="15" t="n">
        <f aca="false">H172*(1+IF(I$3&lt;=$O$2,$D172,$D172-($D172-$I$157)*MIN(I$3-$O$2,$Q$2)/$Q$2))</f>
        <v>3733.69366837355</v>
      </c>
      <c r="J172" s="15" t="n">
        <f aca="false">I172*(1+IF(J$3&lt;=$O$2,$D172,$D172-($D172-$I$157)*MIN(J$3-$O$2,$Q$2)/$Q$2))</f>
        <v>3443.89063727298</v>
      </c>
      <c r="K172" s="15" t="n">
        <f aca="false">J172*(1+IF(K$3&lt;=$O$2,$D172,$D172-($D172-$I$157)*MIN(K$3-$O$2,$Q$2)/$Q$2))</f>
        <v>3276.38413517106</v>
      </c>
      <c r="L172" s="15" t="n">
        <f aca="false">K172*(1+IF(L$3&lt;=$O$2,$D172,$D172-($D172-$I$157)*MIN(L$3-$O$2,$Q$2)/$Q$2))</f>
        <v>3211.97317472434</v>
      </c>
      <c r="M172" s="15" t="n">
        <f aca="false">L172*(1+IF(M$3&lt;=$O$2,$D172,$D172-($D172-$I$157)*MIN(M$3-$O$2,$Q$2)/$Q$2))</f>
        <v>3241.91011349057</v>
      </c>
      <c r="N172" s="15" t="n">
        <f aca="false">M172*(1+IF(N$3&lt;=$O$2,$D172,$D172-($D172-$I$157)*MIN(N$3-$O$2,$Q$2)/$Q$2))</f>
        <v>3366.07527083726</v>
      </c>
      <c r="O172" s="15" t="n">
        <f aca="false">SUMPRODUCT(E172:N172,1/(1+$F$157)^$E$3:$N$3)*$E$2</f>
        <v>9341.61711080742</v>
      </c>
      <c r="P172" s="15" t="n">
        <f aca="false">N172*$E$2*(1+$I$157)/($F$157-$I$157)/(1+$F$157)^$N$3</f>
        <v>17029.0556603526</v>
      </c>
      <c r="Q172" s="15" t="n">
        <f aca="false">O172+P172</f>
        <v>26370.67277116</v>
      </c>
      <c r="R172" s="15" t="n">
        <f aca="false">Q172-$G$2+$I$2</f>
        <v>19025.47277116</v>
      </c>
      <c r="S172" s="42" t="n">
        <f aca="false">R172/$K$2</f>
        <v>81.0802163697423</v>
      </c>
      <c r="T172" s="43" t="n">
        <f aca="false">S172-$M$2</f>
        <v>0.065939787598623</v>
      </c>
    </row>
    <row r="173" customFormat="false" ht="15" hidden="false" customHeight="false" outlineLevel="0" collapsed="false">
      <c r="A173" s="5" t="n">
        <v>15</v>
      </c>
      <c r="B173" s="25" t="n">
        <f aca="false">IF(T172&gt;0,B172,D172)</f>
        <v>-0.106689453125</v>
      </c>
      <c r="C173" s="25" t="n">
        <f aca="false">IF(T172&gt;0,D172,C172)</f>
        <v>-0.106597900390625</v>
      </c>
      <c r="D173" s="41" t="n">
        <f aca="false">(B173+C173)/2</f>
        <v>-0.106643676757813</v>
      </c>
      <c r="E173" s="15" t="n">
        <f aca="false">$C$2*(1+IF(E$3&lt;=$O$2,$D173,$D173-($D173-$I$157)*MIN(E$3-$O$2,$Q$2)/$Q$2))</f>
        <v>5860.41748046875</v>
      </c>
      <c r="F173" s="15" t="n">
        <f aca="false">E173*(1+IF(F$3&lt;=$O$2,$D173,$D173-($D173-$I$157)*MIN(F$3-$O$2,$Q$2)/$Q$2))</f>
        <v>5235.44101301581</v>
      </c>
      <c r="G173" s="15" t="n">
        <f aca="false">F173*(1+IF(G$3&lt;=$O$2,$D173,$D173-($D173-$I$157)*MIN(G$3-$O$2,$Q$2)/$Q$2))</f>
        <v>4677.11433393916</v>
      </c>
      <c r="H173" s="15" t="n">
        <f aca="false">G173*(1+IF(H$3&lt;=$O$2,$D173,$D173-($D173-$I$157)*MIN(H$3-$O$2,$Q$2)/$Q$2))</f>
        <v>4178.32966475122</v>
      </c>
      <c r="I173" s="15" t="n">
        <f aca="false">H173*(1+IF(I$3&lt;=$O$2,$D173,$D173-($D173-$I$157)*MIN(I$3-$O$2,$Q$2)/$Q$2))</f>
        <v>3732.73722659591</v>
      </c>
      <c r="J173" s="15" t="n">
        <f aca="false">I173*(1+IF(J$3&lt;=$O$2,$D173,$D173-($D173-$I$157)*MIN(J$3-$O$2,$Q$2)/$Q$2))</f>
        <v>3442.87173597968</v>
      </c>
      <c r="K173" s="15" t="n">
        <f aca="false">J173*(1+IF(K$3&lt;=$O$2,$D173,$D173-($D173-$I$157)*MIN(K$3-$O$2,$Q$2)/$Q$2))</f>
        <v>3275.32023065663</v>
      </c>
      <c r="L173" s="15" t="n">
        <f aca="false">K173*(1+IF(L$3&lt;=$O$2,$D173,$D173-($D173-$I$157)*MIN(L$3-$O$2,$Q$2)/$Q$2))</f>
        <v>3210.87021277453</v>
      </c>
      <c r="M173" s="15" t="n">
        <f aca="false">L173*(1+IF(M$3&lt;=$O$2,$D173,$D173-($D173-$I$157)*MIN(M$3-$O$2,$Q$2)/$Q$2))</f>
        <v>3240.76747507746</v>
      </c>
      <c r="N173" s="15" t="n">
        <f aca="false">M173*(1+IF(N$3&lt;=$O$2,$D173,$D173-($D173-$I$157)*MIN(N$3-$O$2,$Q$2)/$Q$2))</f>
        <v>3364.88886937293</v>
      </c>
      <c r="O173" s="15" t="n">
        <f aca="false">SUMPRODUCT(E173:N173,1/(1+$F$157)^$E$3:$N$3)*$E$2</f>
        <v>9339.75207204558</v>
      </c>
      <c r="P173" s="15" t="n">
        <f aca="false">N173*$E$2*(1+$I$157)/($F$157-$I$157)/(1+$F$157)^$N$3</f>
        <v>17023.0536268429</v>
      </c>
      <c r="Q173" s="15" t="n">
        <f aca="false">O173+P173</f>
        <v>26362.8056988885</v>
      </c>
      <c r="R173" s="15" t="n">
        <f aca="false">Q173-$G$2+$I$2</f>
        <v>19017.6056988885</v>
      </c>
      <c r="S173" s="42" t="n">
        <f aca="false">R173/$K$2</f>
        <v>81.0466895328725</v>
      </c>
      <c r="T173" s="43" t="n">
        <f aca="false">S173-$M$2</f>
        <v>0.0324129507288262</v>
      </c>
    </row>
    <row r="174" customFormat="false" ht="15" hidden="false" customHeight="false" outlineLevel="0" collapsed="false">
      <c r="A174" s="5" t="n">
        <v>16</v>
      </c>
      <c r="B174" s="25" t="n">
        <f aca="false">IF(T173&gt;0,B173,D173)</f>
        <v>-0.106689453125</v>
      </c>
      <c r="C174" s="25" t="n">
        <f aca="false">IF(T173&gt;0,D173,C173)</f>
        <v>-0.106643676757813</v>
      </c>
      <c r="D174" s="41" t="n">
        <f aca="false">(B174+C174)/2</f>
        <v>-0.106666564941406</v>
      </c>
      <c r="E174" s="15" t="n">
        <f aca="false">$C$2*(1+IF(E$3&lt;=$O$2,$D174,$D174-($D174-$I$157)*MIN(E$3-$O$2,$Q$2)/$Q$2))</f>
        <v>5860.26733398438</v>
      </c>
      <c r="F174" s="15" t="n">
        <f aca="false">E174*(1+IF(F$3&lt;=$O$2,$D174,$D174-($D174-$I$157)*MIN(F$3-$O$2,$Q$2)/$Q$2))</f>
        <v>5235.17274782993</v>
      </c>
      <c r="G174" s="15" t="n">
        <f aca="false">F174*(1+IF(G$3&lt;=$O$2,$D174,$D174-($D174-$I$157)*MIN(G$3-$O$2,$Q$2)/$Q$2))</f>
        <v>4676.75485394405</v>
      </c>
      <c r="H174" s="15" t="n">
        <f aca="false">G174*(1+IF(H$3&lt;=$O$2,$D174,$D174-($D174-$I$157)*MIN(H$3-$O$2,$Q$2)/$Q$2))</f>
        <v>4177.90147860079</v>
      </c>
      <c r="I174" s="15" t="n">
        <f aca="false">H174*(1+IF(I$3&lt;=$O$2,$D174,$D174-($D174-$I$157)*MIN(I$3-$O$2,$Q$2)/$Q$2))</f>
        <v>3732.25907921482</v>
      </c>
      <c r="J174" s="15" t="n">
        <f aca="false">I174*(1+IF(J$3&lt;=$O$2,$D174,$D174-($D174-$I$157)*MIN(J$3-$O$2,$Q$2)/$Q$2))</f>
        <v>3442.36237940063</v>
      </c>
      <c r="K174" s="15" t="n">
        <f aca="false">J174*(1+IF(K$3&lt;=$O$2,$D174,$D174-($D174-$I$157)*MIN(K$3-$O$2,$Q$2)/$Q$2))</f>
        <v>3274.78838887653</v>
      </c>
      <c r="L174" s="15" t="n">
        <f aca="false">K174*(1+IF(L$3&lt;=$O$2,$D174,$D174-($D174-$I$157)*MIN(L$3-$O$2,$Q$2)/$Q$2))</f>
        <v>3210.31885471233</v>
      </c>
      <c r="M174" s="15" t="n">
        <f aca="false">L174*(1+IF(M$3&lt;=$O$2,$D174,$D174-($D174-$I$157)*MIN(M$3-$O$2,$Q$2)/$Q$2))</f>
        <v>3240.19628750096</v>
      </c>
      <c r="N174" s="15" t="n">
        <f aca="false">M174*(1+IF(N$3&lt;=$O$2,$D174,$D174-($D174-$I$157)*MIN(N$3-$O$2,$Q$2)/$Q$2))</f>
        <v>3364.29580531224</v>
      </c>
      <c r="O174" s="15" t="n">
        <f aca="false">SUMPRODUCT(E174:N174,1/(1+$F$157)^$E$3:$N$3)*$E$2</f>
        <v>9338.81970019852</v>
      </c>
      <c r="P174" s="15" t="n">
        <f aca="false">N174*$E$2*(1+$I$157)/($F$157-$I$157)/(1+$F$157)^$N$3</f>
        <v>17020.0533015124</v>
      </c>
      <c r="Q174" s="15" t="n">
        <f aca="false">O174+P174</f>
        <v>26358.873001711</v>
      </c>
      <c r="R174" s="15" t="n">
        <f aca="false">Q174-$G$2+$I$2</f>
        <v>19013.6730017109</v>
      </c>
      <c r="S174" s="42" t="n">
        <f aca="false">R174/$K$2</f>
        <v>81.0299296897973</v>
      </c>
      <c r="T174" s="43" t="n">
        <f aca="false">S174-$M$2</f>
        <v>0.0156531076537192</v>
      </c>
    </row>
    <row r="175" customFormat="false" ht="15" hidden="false" customHeight="false" outlineLevel="0" collapsed="false">
      <c r="A175" s="5" t="n">
        <v>17</v>
      </c>
      <c r="B175" s="25" t="n">
        <f aca="false">IF(T174&gt;0,B174,D174)</f>
        <v>-0.106689453125</v>
      </c>
      <c r="C175" s="25" t="n">
        <f aca="false">IF(T174&gt;0,D174,C174)</f>
        <v>-0.106666564941406</v>
      </c>
      <c r="D175" s="41" t="n">
        <f aca="false">(B175+C175)/2</f>
        <v>-0.106678009033203</v>
      </c>
      <c r="E175" s="15" t="n">
        <f aca="false">$C$2*(1+IF(E$3&lt;=$O$2,$D175,$D175-($D175-$I$157)*MIN(E$3-$O$2,$Q$2)/$Q$2))</f>
        <v>5860.19226074219</v>
      </c>
      <c r="F175" s="15" t="n">
        <f aca="false">E175*(1+IF(F$3&lt;=$O$2,$D175,$D175-($D175-$I$157)*MIN(F$3-$O$2,$Q$2)/$Q$2))</f>
        <v>5235.03861781443</v>
      </c>
      <c r="G175" s="15" t="n">
        <f aca="false">F175*(1+IF(G$3&lt;=$O$2,$D175,$D175-($D175-$I$157)*MIN(G$3-$O$2,$Q$2)/$Q$2))</f>
        <v>4676.57512085405</v>
      </c>
      <c r="H175" s="15" t="n">
        <f aca="false">G175*(1+IF(H$3&lt;=$O$2,$D175,$D175-($D175-$I$157)*MIN(H$3-$O$2,$Q$2)/$Q$2))</f>
        <v>4177.68739786713</v>
      </c>
      <c r="I175" s="15" t="n">
        <f aca="false">H175*(1+IF(I$3&lt;=$O$2,$D175,$D175-($D175-$I$157)*MIN(I$3-$O$2,$Q$2)/$Q$2))</f>
        <v>3732.02002389956</v>
      </c>
      <c r="J175" s="15" t="n">
        <f aca="false">I175*(1+IF(J$3&lt;=$O$2,$D175,$D175-($D175-$I$157)*MIN(J$3-$O$2,$Q$2)/$Q$2))</f>
        <v>3442.10772462531</v>
      </c>
      <c r="K175" s="15" t="n">
        <f aca="false">J175*(1+IF(K$3&lt;=$O$2,$D175,$D175-($D175-$I$157)*MIN(K$3-$O$2,$Q$2)/$Q$2))</f>
        <v>3274.52249560207</v>
      </c>
      <c r="L175" s="15" t="n">
        <f aca="false">K175*(1+IF(L$3&lt;=$O$2,$D175,$D175-($D175-$I$157)*MIN(L$3-$O$2,$Q$2)/$Q$2))</f>
        <v>3210.0432064049</v>
      </c>
      <c r="M175" s="15" t="n">
        <f aca="false">L175*(1+IF(M$3&lt;=$O$2,$D175,$D175-($D175-$I$157)*MIN(M$3-$O$2,$Q$2)/$Q$2))</f>
        <v>3239.91072661518</v>
      </c>
      <c r="N175" s="15" t="n">
        <f aca="false">M175*(1+IF(N$3&lt;=$O$2,$D175,$D175-($D175-$I$157)*MIN(N$3-$O$2,$Q$2)/$Q$2))</f>
        <v>3363.99930744454</v>
      </c>
      <c r="O175" s="15" t="n">
        <f aca="false">SUMPRODUCT(E175:N175,1/(1+$F$157)^$E$3:$N$3)*$E$2</f>
        <v>9338.35355115401</v>
      </c>
      <c r="P175" s="15" t="n">
        <f aca="false">N175*$E$2*(1+$I$157)/($F$157-$I$157)/(1+$F$157)^$N$3</f>
        <v>17018.5533116768</v>
      </c>
      <c r="Q175" s="15" t="n">
        <f aca="false">O175+P175</f>
        <v>26356.9068628308</v>
      </c>
      <c r="R175" s="15" t="n">
        <f aca="false">Q175-$G$2+$I$2</f>
        <v>19011.7068628308</v>
      </c>
      <c r="S175" s="42" t="n">
        <f aca="false">R175/$K$2</f>
        <v>81.0215506619679</v>
      </c>
      <c r="T175" s="43" t="n">
        <f aca="false">S175-$M$2</f>
        <v>0.00727407982428474</v>
      </c>
    </row>
    <row r="176" customFormat="false" ht="15" hidden="false" customHeight="false" outlineLevel="0" collapsed="false">
      <c r="A176" s="5" t="n">
        <v>18</v>
      </c>
      <c r="B176" s="25" t="n">
        <f aca="false">IF(T175&gt;0,B175,D175)</f>
        <v>-0.106689453125</v>
      </c>
      <c r="C176" s="25" t="n">
        <f aca="false">IF(T175&gt;0,D175,C175)</f>
        <v>-0.106678009033203</v>
      </c>
      <c r="D176" s="41" t="n">
        <f aca="false">(B176+C176)/2</f>
        <v>-0.106683731079102</v>
      </c>
      <c r="E176" s="15" t="n">
        <f aca="false">$C$2*(1+IF(E$3&lt;=$O$2,$D176,$D176-($D176-$I$157)*MIN(E$3-$O$2,$Q$2)/$Q$2))</f>
        <v>5860.15472412109</v>
      </c>
      <c r="F176" s="15" t="n">
        <f aca="false">E176*(1+IF(F$3&lt;=$O$2,$D176,$D176-($D176-$I$157)*MIN(F$3-$O$2,$Q$2)/$Q$2))</f>
        <v>5234.97155345103</v>
      </c>
      <c r="G176" s="15" t="n">
        <f aca="false">F176*(1+IF(G$3&lt;=$O$2,$D176,$D176-($D176-$I$157)*MIN(G$3-$O$2,$Q$2)/$Q$2))</f>
        <v>4676.48525603592</v>
      </c>
      <c r="H176" s="15" t="n">
        <f aca="false">G176*(1+IF(H$3&lt;=$O$2,$D176,$D176-($D176-$I$157)*MIN(H$3-$O$2,$Q$2)/$Q$2))</f>
        <v>4177.5803605856</v>
      </c>
      <c r="I176" s="15" t="n">
        <f aca="false">H176*(1+IF(I$3&lt;=$O$2,$D176,$D176-($D176-$I$157)*MIN(I$3-$O$2,$Q$2)/$Q$2))</f>
        <v>3731.90050083555</v>
      </c>
      <c r="J176" s="15" t="n">
        <f aca="false">I176*(1+IF(J$3&lt;=$O$2,$D176,$D176-($D176-$I$157)*MIN(J$3-$O$2,$Q$2)/$Q$2))</f>
        <v>3441.98040311586</v>
      </c>
      <c r="K176" s="15" t="n">
        <f aca="false">J176*(1+IF(K$3&lt;=$O$2,$D176,$D176-($D176-$I$157)*MIN(K$3-$O$2,$Q$2)/$Q$2))</f>
        <v>3274.38955586827</v>
      </c>
      <c r="L176" s="15" t="n">
        <f aca="false">K176*(1+IF(L$3&lt;=$O$2,$D176,$D176-($D176-$I$157)*MIN(L$3-$O$2,$Q$2)/$Q$2))</f>
        <v>3209.90538993153</v>
      </c>
      <c r="M176" s="15" t="n">
        <f aca="false">L176*(1+IF(M$3&lt;=$O$2,$D176,$D176-($D176-$I$157)*MIN(M$3-$O$2,$Q$2)/$Q$2))</f>
        <v>3239.76795439727</v>
      </c>
      <c r="N176" s="15" t="n">
        <f aca="false">M176*(1+IF(N$3&lt;=$O$2,$D176,$D176-($D176-$I$157)*MIN(N$3-$O$2,$Q$2)/$Q$2))</f>
        <v>3363.85106705069</v>
      </c>
      <c r="O176" s="15" t="n">
        <f aca="false">SUMPRODUCT(E176:N176,1/(1+$F$157)^$E$3:$N$3)*$E$2</f>
        <v>9338.12048585096</v>
      </c>
      <c r="P176" s="15" t="n">
        <f aca="false">N176*$E$2*(1+$I$157)/($F$157-$I$157)/(1+$F$157)^$N$3</f>
        <v>17017.803359963</v>
      </c>
      <c r="Q176" s="15" t="n">
        <f aca="false">O176+P176</f>
        <v>26355.923845814</v>
      </c>
      <c r="R176" s="15" t="n">
        <f aca="false">Q176-$G$2+$I$2</f>
        <v>19010.723845814</v>
      </c>
      <c r="S176" s="42" t="n">
        <f aca="false">R176/$K$2</f>
        <v>81.0173613714638</v>
      </c>
      <c r="T176" s="43" t="n">
        <f aca="false">S176-$M$2</f>
        <v>0.00308478932015532</v>
      </c>
    </row>
    <row r="177" customFormat="false" ht="15" hidden="false" customHeight="false" outlineLevel="0" collapsed="false">
      <c r="A177" s="5" t="n">
        <v>19</v>
      </c>
      <c r="B177" s="25" t="n">
        <f aca="false">IF(T176&gt;0,B176,D176)</f>
        <v>-0.106689453125</v>
      </c>
      <c r="C177" s="25" t="n">
        <f aca="false">IF(T176&gt;0,D176,C176)</f>
        <v>-0.106683731079102</v>
      </c>
      <c r="D177" s="41" t="n">
        <f aca="false">(B177+C177)/2</f>
        <v>-0.106686592102051</v>
      </c>
      <c r="E177" s="15" t="n">
        <f aca="false">$C$2*(1+IF(E$3&lt;=$O$2,$D177,$D177-($D177-$I$157)*MIN(E$3-$O$2,$Q$2)/$Q$2))</f>
        <v>5860.13595581055</v>
      </c>
      <c r="F177" s="15" t="n">
        <f aca="false">E177*(1+IF(F$3&lt;=$O$2,$D177,$D177-($D177-$I$157)*MIN(F$3-$O$2,$Q$2)/$Q$2))</f>
        <v>5234.93802143043</v>
      </c>
      <c r="G177" s="15" t="n">
        <f aca="false">F177*(1+IF(G$3&lt;=$O$2,$D177,$D177-($D177-$I$157)*MIN(G$3-$O$2,$Q$2)/$Q$2))</f>
        <v>4676.44032405856</v>
      </c>
      <c r="H177" s="15" t="n">
        <f aca="false">G177*(1+IF(H$3&lt;=$O$2,$D177,$D177-($D177-$I$157)*MIN(H$3-$O$2,$Q$2)/$Q$2))</f>
        <v>4177.52684271614</v>
      </c>
      <c r="I177" s="15" t="n">
        <f aca="false">H177*(1+IF(I$3&lt;=$O$2,$D177,$D177-($D177-$I$157)*MIN(I$3-$O$2,$Q$2)/$Q$2))</f>
        <v>3731.84074045192</v>
      </c>
      <c r="J177" s="15" t="n">
        <f aca="false">I177*(1+IF(J$3&lt;=$O$2,$D177,$D177-($D177-$I$157)*MIN(J$3-$O$2,$Q$2)/$Q$2))</f>
        <v>3441.91674383065</v>
      </c>
      <c r="K177" s="15" t="n">
        <f aca="false">J177*(1+IF(K$3&lt;=$O$2,$D177,$D177-($D177-$I$157)*MIN(K$3-$O$2,$Q$2)/$Q$2))</f>
        <v>3274.32308772717</v>
      </c>
      <c r="L177" s="15" t="n">
        <f aca="false">K177*(1+IF(L$3&lt;=$O$2,$D177,$D177-($D177-$I$157)*MIN(L$3-$O$2,$Q$2)/$Q$2))</f>
        <v>3209.83648361487</v>
      </c>
      <c r="M177" s="15" t="n">
        <f aca="false">L177*(1+IF(M$3&lt;=$O$2,$D177,$D177-($D177-$I$157)*MIN(M$3-$O$2,$Q$2)/$Q$2))</f>
        <v>3239.69657034449</v>
      </c>
      <c r="N177" s="15" t="n">
        <f aca="false">M177*(1+IF(N$3&lt;=$O$2,$D177,$D177-($D177-$I$157)*MIN(N$3-$O$2,$Q$2)/$Q$2))</f>
        <v>3363.77694898868</v>
      </c>
      <c r="O177" s="15" t="n">
        <f aca="false">SUMPRODUCT(E177:N177,1/(1+$F$157)^$E$3:$N$3)*$E$2</f>
        <v>9338.00395550417</v>
      </c>
      <c r="P177" s="15" t="n">
        <f aca="false">N177*$E$2*(1+$I$157)/($F$157-$I$157)/(1+$F$157)^$N$3</f>
        <v>17017.4283949067</v>
      </c>
      <c r="Q177" s="15" t="n">
        <f aca="false">O177+P177</f>
        <v>26355.4323504109</v>
      </c>
      <c r="R177" s="15" t="n">
        <f aca="false">Q177-$G$2+$I$2</f>
        <v>19010.2323504109</v>
      </c>
      <c r="S177" s="42" t="n">
        <f aca="false">R177/$K$2</f>
        <v>81.0152667820623</v>
      </c>
      <c r="T177" s="43" t="n">
        <f aca="false">S177-$M$2</f>
        <v>0.000990199918646795</v>
      </c>
    </row>
    <row r="178" customFormat="false" ht="15" hidden="false" customHeight="false" outlineLevel="0" collapsed="false">
      <c r="A178" s="5" t="n">
        <v>20</v>
      </c>
      <c r="B178" s="25" t="n">
        <f aca="false">IF(T177&gt;0,B177,D177)</f>
        <v>-0.106689453125</v>
      </c>
      <c r="C178" s="25" t="n">
        <f aca="false">IF(T177&gt;0,D177,C177)</f>
        <v>-0.106686592102051</v>
      </c>
      <c r="D178" s="41" t="n">
        <f aca="false">(B178+C178)/2</f>
        <v>-0.106688022613525</v>
      </c>
      <c r="E178" s="15" t="n">
        <f aca="false">$C$2*(1+IF(E$3&lt;=$O$2,$D178,$D178-($D178-$I$157)*MIN(E$3-$O$2,$Q$2)/$Q$2))</f>
        <v>5860.12657165527</v>
      </c>
      <c r="F178" s="15" t="n">
        <f aca="false">E178*(1+IF(F$3&lt;=$O$2,$D178,$D178-($D178-$I$157)*MIN(F$3-$O$2,$Q$2)/$Q$2))</f>
        <v>5234.9212554604</v>
      </c>
      <c r="G178" s="15" t="n">
        <f aca="false">F178*(1+IF(G$3&lt;=$O$2,$D178,$D178-($D178-$I$157)*MIN(G$3-$O$2,$Q$2)/$Q$2))</f>
        <v>4676.41785817781</v>
      </c>
      <c r="H178" s="15" t="n">
        <f aca="false">G178*(1+IF(H$3&lt;=$O$2,$D178,$D178-($D178-$I$157)*MIN(H$3-$O$2,$Q$2)/$Q$2))</f>
        <v>4177.50008397424</v>
      </c>
      <c r="I178" s="15" t="n">
        <f aca="false">H178*(1+IF(I$3&lt;=$O$2,$D178,$D178-($D178-$I$157)*MIN(I$3-$O$2,$Q$2)/$Q$2))</f>
        <v>3731.8108605472</v>
      </c>
      <c r="J178" s="15" t="n">
        <f aca="false">I178*(1+IF(J$3&lt;=$O$2,$D178,$D178-($D178-$I$157)*MIN(J$3-$O$2,$Q$2)/$Q$2))</f>
        <v>3441.88491455542</v>
      </c>
      <c r="K178" s="15" t="n">
        <f aca="false">J178*(1+IF(K$3&lt;=$O$2,$D178,$D178-($D178-$I$157)*MIN(K$3-$O$2,$Q$2)/$Q$2))</f>
        <v>3274.28985408806</v>
      </c>
      <c r="L178" s="15" t="n">
        <f aca="false">K178*(1+IF(L$3&lt;=$O$2,$D178,$D178-($D178-$I$157)*MIN(L$3-$O$2,$Q$2)/$Q$2))</f>
        <v>3209.80203093653</v>
      </c>
      <c r="M178" s="15" t="n">
        <f aca="false">L178*(1+IF(M$3&lt;=$O$2,$D178,$D178-($D178-$I$157)*MIN(M$3-$O$2,$Q$2)/$Q$2))</f>
        <v>3239.66087883213</v>
      </c>
      <c r="N178" s="15" t="n">
        <f aca="false">M178*(1+IF(N$3&lt;=$O$2,$D178,$D178-($D178-$I$157)*MIN(N$3-$O$2,$Q$2)/$Q$2))</f>
        <v>3363.7398904914</v>
      </c>
      <c r="O178" s="15" t="n">
        <f aca="false">SUMPRODUCT(E178:N178,1/(1+$F$157)^$E$3:$N$3)*$E$2</f>
        <v>9337.94569090694</v>
      </c>
      <c r="P178" s="15" t="n">
        <f aca="false">N178*$E$2*(1+$I$157)/($F$157-$I$157)/(1+$F$157)^$N$3</f>
        <v>17017.2409150787</v>
      </c>
      <c r="Q178" s="15" t="n">
        <f aca="false">O178+P178</f>
        <v>26355.1866059857</v>
      </c>
      <c r="R178" s="15" t="n">
        <f aca="false">Q178-$G$2+$I$2</f>
        <v>19009.9866059857</v>
      </c>
      <c r="S178" s="42" t="n">
        <f aca="false">R178/$K$2</f>
        <v>81.0142195013239</v>
      </c>
      <c r="T178" s="43" t="n">
        <f aca="false">S178-$M$2</f>
        <v>-5.70808197153383E-005</v>
      </c>
    </row>
    <row r="179" customFormat="false" ht="15" hidden="false" customHeight="false" outlineLevel="0" collapsed="false">
      <c r="A179" s="5" t="n">
        <v>21</v>
      </c>
      <c r="B179" s="25" t="n">
        <f aca="false">IF(T178&gt;0,B178,D178)</f>
        <v>-0.106688022613525</v>
      </c>
      <c r="C179" s="25" t="n">
        <f aca="false">IF(T178&gt;0,D178,C178)</f>
        <v>-0.106686592102051</v>
      </c>
      <c r="D179" s="41" t="n">
        <f aca="false">(B179+C179)/2</f>
        <v>-0.106687307357788</v>
      </c>
      <c r="E179" s="15" t="n">
        <f aca="false">$C$2*(1+IF(E$3&lt;=$O$2,$D179,$D179-($D179-$I$157)*MIN(E$3-$O$2,$Q$2)/$Q$2))</f>
        <v>5860.13126373291</v>
      </c>
      <c r="F179" s="15" t="n">
        <f aca="false">E179*(1+IF(F$3&lt;=$O$2,$D179,$D179-($D179-$I$157)*MIN(F$3-$O$2,$Q$2)/$Q$2))</f>
        <v>5234.92963844205</v>
      </c>
      <c r="G179" s="15" t="n">
        <f aca="false">F179*(1+IF(G$3&lt;=$O$2,$D179,$D179-($D179-$I$157)*MIN(G$3-$O$2,$Q$2)/$Q$2))</f>
        <v>4676.42909110919</v>
      </c>
      <c r="H179" s="15" t="n">
        <f aca="false">G179*(1+IF(H$3&lt;=$O$2,$D179,$D179-($D179-$I$157)*MIN(H$3-$O$2,$Q$2)/$Q$2))</f>
        <v>4177.51346332912</v>
      </c>
      <c r="I179" s="15" t="n">
        <f aca="false">H179*(1+IF(I$3&lt;=$O$2,$D179,$D179-($D179-$I$157)*MIN(I$3-$O$2,$Q$2)/$Q$2))</f>
        <v>3731.82580047563</v>
      </c>
      <c r="J179" s="15" t="n">
        <f aca="false">I179*(1+IF(J$3&lt;=$O$2,$D179,$D179-($D179-$I$157)*MIN(J$3-$O$2,$Q$2)/$Q$2))</f>
        <v>3441.90082916242</v>
      </c>
      <c r="K179" s="15" t="n">
        <f aca="false">J179*(1+IF(K$3&lt;=$O$2,$D179,$D179-($D179-$I$157)*MIN(K$3-$O$2,$Q$2)/$Q$2))</f>
        <v>3274.30647087166</v>
      </c>
      <c r="L179" s="15" t="n">
        <f aca="false">K179*(1+IF(L$3&lt;=$O$2,$D179,$D179-($D179-$I$157)*MIN(L$3-$O$2,$Q$2)/$Q$2))</f>
        <v>3209.8192572357</v>
      </c>
      <c r="M179" s="15" t="n">
        <f aca="false">L179*(1+IF(M$3&lt;=$O$2,$D179,$D179-($D179-$I$157)*MIN(M$3-$O$2,$Q$2)/$Q$2))</f>
        <v>3239.67872454547</v>
      </c>
      <c r="N179" s="15" t="n">
        <f aca="false">M179*(1+IF(N$3&lt;=$O$2,$D179,$D179-($D179-$I$157)*MIN(N$3-$O$2,$Q$2)/$Q$2))</f>
        <v>3363.75841969557</v>
      </c>
      <c r="O179" s="15" t="n">
        <f aca="false">SUMPRODUCT(E179:N179,1/(1+$F$157)^$E$3:$N$3)*$E$2</f>
        <v>9337.97482315754</v>
      </c>
      <c r="P179" s="15" t="n">
        <f aca="false">N179*$E$2*(1+$I$157)/($F$157-$I$157)/(1+$F$157)^$N$3</f>
        <v>17017.3346547677</v>
      </c>
      <c r="Q179" s="15" t="n">
        <f aca="false">O179+P179</f>
        <v>26355.3094779253</v>
      </c>
      <c r="R179" s="15" t="n">
        <f aca="false">Q179-$G$2+$I$2</f>
        <v>19010.1094779253</v>
      </c>
      <c r="S179" s="42" t="n">
        <f aca="false">R179/$K$2</f>
        <v>81.0147431405296</v>
      </c>
      <c r="T179" s="43" t="n">
        <f aca="false">S179-$M$2</f>
        <v>0.000466558385966209</v>
      </c>
    </row>
    <row r="180" customFormat="false" ht="15" hidden="false" customHeight="false" outlineLevel="0" collapsed="false">
      <c r="A180" s="5" t="n">
        <v>22</v>
      </c>
      <c r="B180" s="25" t="n">
        <f aca="false">IF(T179&gt;0,B179,D179)</f>
        <v>-0.106688022613525</v>
      </c>
      <c r="C180" s="25" t="n">
        <f aca="false">IF(T179&gt;0,D179,C179)</f>
        <v>-0.106687307357788</v>
      </c>
      <c r="D180" s="41" t="n">
        <f aca="false">(B180+C180)/2</f>
        <v>-0.106687664985657</v>
      </c>
      <c r="E180" s="15" t="n">
        <f aca="false">$C$2*(1+IF(E$3&lt;=$O$2,$D180,$D180-($D180-$I$157)*MIN(E$3-$O$2,$Q$2)/$Q$2))</f>
        <v>5860.12891769409</v>
      </c>
      <c r="F180" s="15" t="n">
        <f aca="false">E180*(1+IF(F$3&lt;=$O$2,$D180,$D180-($D180-$I$157)*MIN(F$3-$O$2,$Q$2)/$Q$2))</f>
        <v>5234.92544695039</v>
      </c>
      <c r="G180" s="15" t="n">
        <f aca="false">F180*(1+IF(G$3&lt;=$O$2,$D180,$D180-($D180-$I$157)*MIN(G$3-$O$2,$Q$2)/$Q$2))</f>
        <v>4676.42347464125</v>
      </c>
      <c r="H180" s="15" t="n">
        <f aca="false">G180*(1+IF(H$3&lt;=$O$2,$D180,$D180-($D180-$I$157)*MIN(H$3-$O$2,$Q$2)/$Q$2))</f>
        <v>4177.50677364767</v>
      </c>
      <c r="I180" s="15" t="n">
        <f aca="false">H180*(1+IF(I$3&lt;=$O$2,$D180,$D180-($D180-$I$157)*MIN(I$3-$O$2,$Q$2)/$Q$2))</f>
        <v>3731.81833050543</v>
      </c>
      <c r="J180" s="15" t="n">
        <f aca="false">I180*(1+IF(J$3&lt;=$O$2,$D180,$D180-($D180-$I$157)*MIN(J$3-$O$2,$Q$2)/$Q$2))</f>
        <v>3441.89287185127</v>
      </c>
      <c r="K180" s="15" t="n">
        <f aca="false">J180*(1+IF(K$3&lt;=$O$2,$D180,$D180-($D180-$I$157)*MIN(K$3-$O$2,$Q$2)/$Q$2))</f>
        <v>3274.29816247088</v>
      </c>
      <c r="L180" s="15" t="n">
        <f aca="false">K180*(1+IF(L$3&lt;=$O$2,$D180,$D180-($D180-$I$157)*MIN(L$3-$O$2,$Q$2)/$Q$2))</f>
        <v>3209.81064407612</v>
      </c>
      <c r="M180" s="15" t="n">
        <f aca="false">L180*(1+IF(M$3&lt;=$O$2,$D180,$D180-($D180-$I$157)*MIN(M$3-$O$2,$Q$2)/$Q$2))</f>
        <v>3239.66980167809</v>
      </c>
      <c r="N180" s="15" t="n">
        <f aca="false">M180*(1+IF(N$3&lt;=$O$2,$D180,$D180-($D180-$I$157)*MIN(N$3-$O$2,$Q$2)/$Q$2))</f>
        <v>3363.74915508236</v>
      </c>
      <c r="O180" s="15" t="n">
        <f aca="false">SUMPRODUCT(E180:N180,1/(1+$F$157)^$E$3:$N$3)*$E$2</f>
        <v>9337.96025702024</v>
      </c>
      <c r="P180" s="15" t="n">
        <f aca="false">N180*$E$2*(1+$I$157)/($F$157-$I$157)/(1+$F$157)^$N$3</f>
        <v>17017.287784867</v>
      </c>
      <c r="Q180" s="15" t="n">
        <f aca="false">O180+P180</f>
        <v>26355.2480418872</v>
      </c>
      <c r="R180" s="15" t="n">
        <f aca="false">Q180-$G$2+$I$2</f>
        <v>19010.0480418872</v>
      </c>
      <c r="S180" s="42" t="n">
        <f aca="false">R180/$K$2</f>
        <v>81.0144813206359</v>
      </c>
      <c r="T180" s="43" t="n">
        <f aca="false">S180-$M$2</f>
        <v>0.00020473849224345</v>
      </c>
    </row>
    <row r="181" customFormat="false" ht="15" hidden="false" customHeight="false" outlineLevel="0" collapsed="false">
      <c r="A181" s="5" t="n">
        <v>23</v>
      </c>
      <c r="B181" s="25" t="n">
        <f aca="false">IF(T180&gt;0,B180,D180)</f>
        <v>-0.106688022613525</v>
      </c>
      <c r="C181" s="25" t="n">
        <f aca="false">IF(T180&gt;0,D180,C180)</f>
        <v>-0.106687664985657</v>
      </c>
      <c r="D181" s="41" t="n">
        <f aca="false">(B181+C181)/2</f>
        <v>-0.106687843799591</v>
      </c>
      <c r="E181" s="15" t="n">
        <f aca="false">$C$2*(1+IF(E$3&lt;=$O$2,$D181,$D181-($D181-$I$157)*MIN(E$3-$O$2,$Q$2)/$Q$2))</f>
        <v>5860.12774467468</v>
      </c>
      <c r="F181" s="15" t="n">
        <f aca="false">E181*(1+IF(F$3&lt;=$O$2,$D181,$D181-($D181-$I$157)*MIN(F$3-$O$2,$Q$2)/$Q$2))</f>
        <v>5234.92335120518</v>
      </c>
      <c r="G181" s="15" t="n">
        <f aca="false">F181*(1+IF(G$3&lt;=$O$2,$D181,$D181-($D181-$I$157)*MIN(G$3-$O$2,$Q$2)/$Q$2))</f>
        <v>4676.42066640897</v>
      </c>
      <c r="H181" s="15" t="n">
        <f aca="false">G181*(1+IF(H$3&lt;=$O$2,$D181,$D181-($D181-$I$157)*MIN(H$3-$O$2,$Q$2)/$Q$2))</f>
        <v>4177.50342880995</v>
      </c>
      <c r="I181" s="15" t="n">
        <f aca="false">H181*(1+IF(I$3&lt;=$O$2,$D181,$D181-($D181-$I$157)*MIN(I$3-$O$2,$Q$2)/$Q$2))</f>
        <v>3731.81459552482</v>
      </c>
      <c r="J181" s="15" t="n">
        <f aca="false">I181*(1+IF(J$3&lt;=$O$2,$D181,$D181-($D181-$I$157)*MIN(J$3-$O$2,$Q$2)/$Q$2))</f>
        <v>3441.88889320143</v>
      </c>
      <c r="K181" s="15" t="n">
        <f aca="false">J181*(1+IF(K$3&lt;=$O$2,$D181,$D181-($D181-$I$157)*MIN(K$3-$O$2,$Q$2)/$Q$2))</f>
        <v>3274.29400827722</v>
      </c>
      <c r="L181" s="15" t="n">
        <f aca="false">K181*(1+IF(L$3&lt;=$O$2,$D181,$D181-($D181-$I$157)*MIN(L$3-$O$2,$Q$2)/$Q$2))</f>
        <v>3209.80633750383</v>
      </c>
      <c r="M181" s="15" t="n">
        <f aca="false">L181*(1+IF(M$3&lt;=$O$2,$D181,$D181-($D181-$I$157)*MIN(M$3-$O$2,$Q$2)/$Q$2))</f>
        <v>3239.66534025243</v>
      </c>
      <c r="N181" s="15" t="n">
        <f aca="false">M181*(1+IF(N$3&lt;=$O$2,$D181,$D181-($D181-$I$157)*MIN(N$3-$O$2,$Q$2)/$Q$2))</f>
        <v>3363.7445227841</v>
      </c>
      <c r="O181" s="15" t="n">
        <f aca="false">SUMPRODUCT(E181:N181,1/(1+$F$157)^$E$3:$N$3)*$E$2</f>
        <v>9337.95297396059</v>
      </c>
      <c r="P181" s="15" t="n">
        <f aca="false">N181*$E$2*(1+$I$157)/($F$157-$I$157)/(1+$F$157)^$N$3</f>
        <v>17017.2643499588</v>
      </c>
      <c r="Q181" s="15" t="n">
        <f aca="false">O181+P181</f>
        <v>26355.2173239194</v>
      </c>
      <c r="R181" s="15" t="n">
        <f aca="false">Q181-$G$2+$I$2</f>
        <v>19010.0173239194</v>
      </c>
      <c r="S181" s="42" t="n">
        <f aca="false">R181/$K$2</f>
        <v>81.0143504109072</v>
      </c>
      <c r="T181" s="43" t="n">
        <f aca="false">S181-$M$2</f>
        <v>7.38287635471124E-005</v>
      </c>
    </row>
    <row r="182" customFormat="false" ht="15" hidden="false" customHeight="false" outlineLevel="0" collapsed="false">
      <c r="A182" s="5" t="n">
        <v>24</v>
      </c>
      <c r="B182" s="25" t="n">
        <f aca="false">IF(T181&gt;0,B181,D181)</f>
        <v>-0.106688022613525</v>
      </c>
      <c r="C182" s="25" t="n">
        <f aca="false">IF(T181&gt;0,D181,C181)</f>
        <v>-0.106687843799591</v>
      </c>
      <c r="D182" s="41" t="n">
        <f aca="false">(B182+C182)/2</f>
        <v>-0.106687933206558</v>
      </c>
      <c r="E182" s="15" t="n">
        <f aca="false">$C$2*(1+IF(E$3&lt;=$O$2,$D182,$D182-($D182-$I$157)*MIN(E$3-$O$2,$Q$2)/$Q$2))</f>
        <v>5860.12715816498</v>
      </c>
      <c r="F182" s="15" t="n">
        <f aca="false">E182*(1+IF(F$3&lt;=$O$2,$D182,$D182-($D182-$I$157)*MIN(F$3-$O$2,$Q$2)/$Q$2))</f>
        <v>5234.92230333274</v>
      </c>
      <c r="G182" s="15" t="n">
        <f aca="false">F182*(1+IF(G$3&lt;=$O$2,$D182,$D182-($D182-$I$157)*MIN(G$3-$O$2,$Q$2)/$Q$2))</f>
        <v>4676.41926229325</v>
      </c>
      <c r="H182" s="15" t="n">
        <f aca="false">G182*(1+IF(H$3&lt;=$O$2,$D182,$D182-($D182-$I$157)*MIN(H$3-$O$2,$Q$2)/$Q$2))</f>
        <v>4177.50175639185</v>
      </c>
      <c r="I182" s="15" t="n">
        <f aca="false">H182*(1+IF(I$3&lt;=$O$2,$D182,$D182-($D182-$I$157)*MIN(I$3-$O$2,$Q$2)/$Q$2))</f>
        <v>3731.81272803563</v>
      </c>
      <c r="J182" s="15" t="n">
        <f aca="false">I182*(1+IF(J$3&lt;=$O$2,$D182,$D182-($D182-$I$157)*MIN(J$3-$O$2,$Q$2)/$Q$2))</f>
        <v>3441.88690387795</v>
      </c>
      <c r="K182" s="15" t="n">
        <f aca="false">J182*(1+IF(K$3&lt;=$O$2,$D182,$D182-($D182-$I$157)*MIN(K$3-$O$2,$Q$2)/$Q$2))</f>
        <v>3274.29193118208</v>
      </c>
      <c r="L182" s="15" t="n">
        <f aca="false">K182*(1+IF(L$3&lt;=$O$2,$D182,$D182-($D182-$I$157)*MIN(L$3-$O$2,$Q$2)/$Q$2))</f>
        <v>3209.80418421956</v>
      </c>
      <c r="M182" s="15" t="n">
        <f aca="false">L182*(1+IF(M$3&lt;=$O$2,$D182,$D182-($D182-$I$157)*MIN(M$3-$O$2,$Q$2)/$Q$2))</f>
        <v>3239.66310954161</v>
      </c>
      <c r="N182" s="15" t="n">
        <f aca="false">M182*(1+IF(N$3&lt;=$O$2,$D182,$D182-($D182-$I$157)*MIN(N$3-$O$2,$Q$2)/$Q$2))</f>
        <v>3363.74220663706</v>
      </c>
      <c r="O182" s="15" t="n">
        <f aca="false">SUMPRODUCT(E182:N182,1/(1+$F$157)^$E$3:$N$3)*$E$2</f>
        <v>9337.94933243302</v>
      </c>
      <c r="P182" s="15" t="n">
        <f aca="false">N182*$E$2*(1+$I$157)/($F$157-$I$157)/(1+$F$157)^$N$3</f>
        <v>17017.2526325152</v>
      </c>
      <c r="Q182" s="15" t="n">
        <f aca="false">O182+P182</f>
        <v>26355.2019649483</v>
      </c>
      <c r="R182" s="15" t="n">
        <f aca="false">Q182-$G$2+$I$2</f>
        <v>19010.0019649483</v>
      </c>
      <c r="S182" s="42" t="n">
        <f aca="false">R182/$K$2</f>
        <v>81.0142849560974</v>
      </c>
      <c r="T182" s="43" t="n">
        <f aca="false">S182-$M$2</f>
        <v>8.37395377573103E-006</v>
      </c>
    </row>
    <row r="184" customFormat="false" ht="15" hidden="false" customHeight="false" outlineLevel="0" collapsed="false">
      <c r="A184" s="38" t="s">
        <v>188</v>
      </c>
      <c r="E184" s="5" t="s">
        <v>11</v>
      </c>
      <c r="F184" s="12" t="n">
        <f aca="false">Sensitivity!$B$11</f>
        <v>0.0762368036285737</v>
      </c>
      <c r="G184" s="5" t="s">
        <v>12</v>
      </c>
      <c r="I184" s="12" t="n">
        <f aca="false">Sensitivity!$C$9</f>
        <v>0.0183</v>
      </c>
    </row>
    <row r="185" customFormat="false" ht="23.85" hidden="false" customHeight="false" outlineLevel="0" collapsed="false">
      <c r="A185" s="38" t="s">
        <v>163</v>
      </c>
      <c r="B185" s="28" t="s">
        <v>164</v>
      </c>
      <c r="C185" s="28" t="s">
        <v>165</v>
      </c>
      <c r="D185" s="28" t="s">
        <v>166</v>
      </c>
      <c r="E185" s="28" t="s">
        <v>167</v>
      </c>
      <c r="F185" s="28" t="s">
        <v>168</v>
      </c>
      <c r="G185" s="28" t="s">
        <v>169</v>
      </c>
      <c r="H185" s="28" t="s">
        <v>170</v>
      </c>
      <c r="I185" s="28" t="s">
        <v>171</v>
      </c>
      <c r="J185" s="28" t="s">
        <v>172</v>
      </c>
      <c r="K185" s="28" t="s">
        <v>173</v>
      </c>
      <c r="L185" s="28" t="s">
        <v>174</v>
      </c>
      <c r="M185" s="28" t="s">
        <v>175</v>
      </c>
      <c r="N185" s="28" t="s">
        <v>176</v>
      </c>
      <c r="O185" s="28" t="s">
        <v>177</v>
      </c>
      <c r="P185" s="28" t="s">
        <v>178</v>
      </c>
      <c r="Q185" s="28" t="s">
        <v>179</v>
      </c>
      <c r="R185" s="28" t="s">
        <v>180</v>
      </c>
      <c r="S185" s="28" t="s">
        <v>181</v>
      </c>
      <c r="T185" s="28" t="s">
        <v>182</v>
      </c>
    </row>
    <row r="186" customFormat="false" ht="15" hidden="false" customHeight="false" outlineLevel="0" collapsed="false">
      <c r="A186" s="5" t="n">
        <v>1</v>
      </c>
      <c r="B186" s="24" t="n">
        <v>-0.5</v>
      </c>
      <c r="C186" s="24" t="n">
        <v>1</v>
      </c>
      <c r="D186" s="41" t="n">
        <f aca="false">(B186+C186)/2</f>
        <v>0.25</v>
      </c>
      <c r="E186" s="15" t="n">
        <f aca="false">$C$2*(1+IF(E$3&lt;=$O$2,$D186,$D186-($D186-$I$184)*MIN(E$3-$O$2,$Q$2)/$Q$2))</f>
        <v>8200</v>
      </c>
      <c r="F186" s="15" t="n">
        <f aca="false">E186*(1+IF(F$3&lt;=$O$2,$D186,$D186-($D186-$I$184)*MIN(F$3-$O$2,$Q$2)/$Q$2))</f>
        <v>10250</v>
      </c>
      <c r="G186" s="15" t="n">
        <f aca="false">F186*(1+IF(G$3&lt;=$O$2,$D186,$D186-($D186-$I$184)*MIN(G$3-$O$2,$Q$2)/$Q$2))</f>
        <v>12812.5</v>
      </c>
      <c r="H186" s="15" t="n">
        <f aca="false">G186*(1+IF(H$3&lt;=$O$2,$D186,$D186-($D186-$I$184)*MIN(H$3-$O$2,$Q$2)/$Q$2))</f>
        <v>16015.625</v>
      </c>
      <c r="I186" s="15" t="n">
        <f aca="false">H186*(1+IF(I$3&lt;=$O$2,$D186,$D186-($D186-$I$184)*MIN(I$3-$O$2,$Q$2)/$Q$2))</f>
        <v>20019.53125</v>
      </c>
      <c r="J186" s="15" t="n">
        <f aca="false">I186*(1+IF(J$3&lt;=$O$2,$D186,$D186-($D186-$I$184)*MIN(J$3-$O$2,$Q$2)/$Q$2))</f>
        <v>24096.708984375</v>
      </c>
      <c r="K186" s="15" t="n">
        <f aca="false">J186*(1+IF(K$3&lt;=$O$2,$D186,$D186-($D186-$I$184)*MIN(K$3-$O$2,$Q$2)/$Q$2))</f>
        <v>27887.6032417969</v>
      </c>
      <c r="L186" s="15" t="n">
        <f aca="false">K186*(1+IF(L$3&lt;=$O$2,$D186,$D186-($D186-$I$184)*MIN(L$3-$O$2,$Q$2)/$Q$2))</f>
        <v>30982.5694495715</v>
      </c>
      <c r="M186" s="15" t="n">
        <f aca="false">L186*(1+IF(M$3&lt;=$O$2,$D186,$D186-($D186-$I$184)*MIN(M$3-$O$2,$Q$2)/$Q$2))</f>
        <v>32985.2827387918</v>
      </c>
      <c r="N186" s="15" t="n">
        <f aca="false">M186*(1+IF(N$3&lt;=$O$2,$D186,$D186-($D186-$I$184)*MIN(N$3-$O$2,$Q$2)/$Q$2))</f>
        <v>33588.9134129117</v>
      </c>
      <c r="O186" s="15" t="n">
        <f aca="false">SUMPRODUCT(E186:N186,1/(1+$F$184)^$E$3:$N$3)*$E$2</f>
        <v>43139.4346806979</v>
      </c>
      <c r="P186" s="15" t="n">
        <f aca="false">N186*$E$2*(1+$I$184)/($F$184-$I$184)/(1+$F$184)^$N$3</f>
        <v>90431.3390105068</v>
      </c>
      <c r="Q186" s="15" t="n">
        <f aca="false">O186+P186</f>
        <v>133570.773691205</v>
      </c>
      <c r="R186" s="15" t="n">
        <f aca="false">Q186-$G$2+$I$2</f>
        <v>126225.573691205</v>
      </c>
      <c r="S186" s="42" t="n">
        <f aca="false">R186/$K$2</f>
        <v>537.931275053078</v>
      </c>
      <c r="T186" s="43" t="n">
        <f aca="false">S186-$M$2</f>
        <v>456.916998470934</v>
      </c>
    </row>
    <row r="187" customFormat="false" ht="15" hidden="false" customHeight="false" outlineLevel="0" collapsed="false">
      <c r="A187" s="5" t="n">
        <v>2</v>
      </c>
      <c r="B187" s="25" t="n">
        <f aca="false">IF(T186&gt;0,B186,D186)</f>
        <v>-0.5</v>
      </c>
      <c r="C187" s="25" t="n">
        <f aca="false">IF(T186&gt;0,D186,C186)</f>
        <v>0.25</v>
      </c>
      <c r="D187" s="41" t="n">
        <f aca="false">(B187+C187)/2</f>
        <v>-0.125</v>
      </c>
      <c r="E187" s="15" t="n">
        <f aca="false">$C$2*(1+IF(E$3&lt;=$O$2,$D187,$D187-($D187-$I$184)*MIN(E$3-$O$2,$Q$2)/$Q$2))</f>
        <v>5740</v>
      </c>
      <c r="F187" s="15" t="n">
        <f aca="false">E187*(1+IF(F$3&lt;=$O$2,$D187,$D187-($D187-$I$184)*MIN(F$3-$O$2,$Q$2)/$Q$2))</f>
        <v>5022.5</v>
      </c>
      <c r="G187" s="15" t="n">
        <f aca="false">F187*(1+IF(G$3&lt;=$O$2,$D187,$D187-($D187-$I$184)*MIN(G$3-$O$2,$Q$2)/$Q$2))</f>
        <v>4394.6875</v>
      </c>
      <c r="H187" s="15" t="n">
        <f aca="false">G187*(1+IF(H$3&lt;=$O$2,$D187,$D187-($D187-$I$184)*MIN(H$3-$O$2,$Q$2)/$Q$2))</f>
        <v>3845.3515625</v>
      </c>
      <c r="I187" s="15" t="n">
        <f aca="false">H187*(1+IF(I$3&lt;=$O$2,$D187,$D187-($D187-$I$184)*MIN(I$3-$O$2,$Q$2)/$Q$2))</f>
        <v>3364.6826171875</v>
      </c>
      <c r="J187" s="15" t="n">
        <f aca="false">I187*(1+IF(J$3&lt;=$O$2,$D187,$D187-($D187-$I$184)*MIN(J$3-$O$2,$Q$2)/$Q$2))</f>
        <v>3040.52909384766</v>
      </c>
      <c r="K187" s="15" t="n">
        <f aca="false">J187*(1+IF(K$3&lt;=$O$2,$D187,$D187-($D187-$I$184)*MIN(K$3-$O$2,$Q$2)/$Q$2))</f>
        <v>2834.74608477605</v>
      </c>
      <c r="L187" s="15" t="n">
        <f aca="false">K187*(1+IF(L$3&lt;=$O$2,$D187,$D187-($D187-$I$184)*MIN(L$3-$O$2,$Q$2)/$Q$2))</f>
        <v>2724.13429254809</v>
      </c>
      <c r="M187" s="15" t="n">
        <f aca="false">L187*(1+IF(M$3&lt;=$O$2,$D187,$D187-($D187-$I$184)*MIN(M$3-$O$2,$Q$2)/$Q$2))</f>
        <v>2695.91226127729</v>
      </c>
      <c r="N187" s="15" t="n">
        <f aca="false">M187*(1+IF(N$3&lt;=$O$2,$D187,$D187-($D187-$I$184)*MIN(N$3-$O$2,$Q$2)/$Q$2))</f>
        <v>2745.24745565866</v>
      </c>
      <c r="O187" s="15" t="n">
        <f aca="false">SUMPRODUCT(E187:N187,1/(1+$F$184)^$E$3:$N$3)*$E$2</f>
        <v>8387.9154098378</v>
      </c>
      <c r="P187" s="15" t="n">
        <f aca="false">N187*$E$2*(1+$I$184)/($F$184-$I$184)/(1+$F$184)^$N$3</f>
        <v>7391.02215896538</v>
      </c>
      <c r="Q187" s="15" t="n">
        <f aca="false">O187+P187</f>
        <v>15778.9375688032</v>
      </c>
      <c r="R187" s="15" t="n">
        <f aca="false">Q187-$G$2+$I$2</f>
        <v>8433.73756880318</v>
      </c>
      <c r="S187" s="42" t="n">
        <f aca="false">R187/$K$2</f>
        <v>35.9417752772349</v>
      </c>
      <c r="T187" s="43" t="n">
        <f aca="false">S187-$M$2</f>
        <v>-45.0725013049087</v>
      </c>
    </row>
    <row r="188" customFormat="false" ht="15" hidden="false" customHeight="false" outlineLevel="0" collapsed="false">
      <c r="A188" s="5" t="n">
        <v>3</v>
      </c>
      <c r="B188" s="25" t="n">
        <f aca="false">IF(T187&gt;0,B187,D187)</f>
        <v>-0.125</v>
      </c>
      <c r="C188" s="25" t="n">
        <f aca="false">IF(T187&gt;0,D187,C187)</f>
        <v>0.25</v>
      </c>
      <c r="D188" s="41" t="n">
        <f aca="false">(B188+C188)/2</f>
        <v>0.0625</v>
      </c>
      <c r="E188" s="15" t="n">
        <f aca="false">$C$2*(1+IF(E$3&lt;=$O$2,$D188,$D188-($D188-$I$184)*MIN(E$3-$O$2,$Q$2)/$Q$2))</f>
        <v>6970</v>
      </c>
      <c r="F188" s="15" t="n">
        <f aca="false">E188*(1+IF(F$3&lt;=$O$2,$D188,$D188-($D188-$I$184)*MIN(F$3-$O$2,$Q$2)/$Q$2))</f>
        <v>7405.625</v>
      </c>
      <c r="G188" s="15" t="n">
        <f aca="false">F188*(1+IF(G$3&lt;=$O$2,$D188,$D188-($D188-$I$184)*MIN(G$3-$O$2,$Q$2)/$Q$2))</f>
        <v>7868.4765625</v>
      </c>
      <c r="H188" s="15" t="n">
        <f aca="false">G188*(1+IF(H$3&lt;=$O$2,$D188,$D188-($D188-$I$184)*MIN(H$3-$O$2,$Q$2)/$Q$2))</f>
        <v>8360.25634765625</v>
      </c>
      <c r="I188" s="15" t="n">
        <f aca="false">H188*(1+IF(I$3&lt;=$O$2,$D188,$D188-($D188-$I$184)*MIN(I$3-$O$2,$Q$2)/$Q$2))</f>
        <v>8882.77236938477</v>
      </c>
      <c r="J188" s="15" t="n">
        <f aca="false">I188*(1+IF(J$3&lt;=$O$2,$D188,$D188-($D188-$I$184)*MIN(J$3-$O$2,$Q$2)/$Q$2))</f>
        <v>9359.42193472595</v>
      </c>
      <c r="K188" s="15" t="n">
        <f aca="false">J188*(1+IF(K$3&lt;=$O$2,$D188,$D188-($D188-$I$184)*MIN(K$3-$O$2,$Q$2)/$Q$2))</f>
        <v>9778.91122584037</v>
      </c>
      <c r="L188" s="15" t="n">
        <f aca="false">K188*(1+IF(L$3&lt;=$O$2,$D188,$D188-($D188-$I$184)*MIN(L$3-$O$2,$Q$2)/$Q$2))</f>
        <v>10130.7564517461</v>
      </c>
      <c r="M188" s="15" t="n">
        <f aca="false">L188*(1+IF(M$3&lt;=$O$2,$D188,$D188-($D188-$I$184)*MIN(M$3-$O$2,$Q$2)/$Q$2))</f>
        <v>10405.7051818465</v>
      </c>
      <c r="N188" s="15" t="n">
        <f aca="false">M188*(1+IF(N$3&lt;=$O$2,$D188,$D188-($D188-$I$184)*MIN(N$3-$O$2,$Q$2)/$Q$2))</f>
        <v>10596.1295866743</v>
      </c>
      <c r="O188" s="15" t="n">
        <f aca="false">SUMPRODUCT(E188:N188,1/(1+$F$184)^$E$3:$N$3)*$E$2</f>
        <v>19007.460428056</v>
      </c>
      <c r="P188" s="15" t="n">
        <f aca="false">N188*$E$2*(1+$I$184)/($F$184-$I$184)/(1+$F$184)^$N$3</f>
        <v>28527.9304832606</v>
      </c>
      <c r="Q188" s="15" t="n">
        <f aca="false">O188+P188</f>
        <v>47535.3909113165</v>
      </c>
      <c r="R188" s="15" t="n">
        <f aca="false">Q188-$G$2+$I$2</f>
        <v>40190.1909113165</v>
      </c>
      <c r="S188" s="42" t="n">
        <f aca="false">R188/$K$2</f>
        <v>171.277182660629</v>
      </c>
      <c r="T188" s="43" t="n">
        <f aca="false">S188-$M$2</f>
        <v>90.2629060784852</v>
      </c>
    </row>
    <row r="189" customFormat="false" ht="15" hidden="false" customHeight="false" outlineLevel="0" collapsed="false">
      <c r="A189" s="5" t="n">
        <v>4</v>
      </c>
      <c r="B189" s="25" t="n">
        <f aca="false">IF(T188&gt;0,B188,D188)</f>
        <v>-0.125</v>
      </c>
      <c r="C189" s="25" t="n">
        <f aca="false">IF(T188&gt;0,D188,C188)</f>
        <v>0.0625</v>
      </c>
      <c r="D189" s="41" t="n">
        <f aca="false">(B189+C189)/2</f>
        <v>-0.03125</v>
      </c>
      <c r="E189" s="15" t="n">
        <f aca="false">$C$2*(1+IF(E$3&lt;=$O$2,$D189,$D189-($D189-$I$184)*MIN(E$3-$O$2,$Q$2)/$Q$2))</f>
        <v>6355</v>
      </c>
      <c r="F189" s="15" t="n">
        <f aca="false">E189*(1+IF(F$3&lt;=$O$2,$D189,$D189-($D189-$I$184)*MIN(F$3-$O$2,$Q$2)/$Q$2))</f>
        <v>6156.40625</v>
      </c>
      <c r="G189" s="15" t="n">
        <f aca="false">F189*(1+IF(G$3&lt;=$O$2,$D189,$D189-($D189-$I$184)*MIN(G$3-$O$2,$Q$2)/$Q$2))</f>
        <v>5964.0185546875</v>
      </c>
      <c r="H189" s="15" t="n">
        <f aca="false">G189*(1+IF(H$3&lt;=$O$2,$D189,$D189-($D189-$I$184)*MIN(H$3-$O$2,$Q$2)/$Q$2))</f>
        <v>5777.64297485352</v>
      </c>
      <c r="I189" s="15" t="n">
        <f aca="false">H189*(1+IF(I$3&lt;=$O$2,$D189,$D189-($D189-$I$184)*MIN(I$3-$O$2,$Q$2)/$Q$2))</f>
        <v>5597.09163188934</v>
      </c>
      <c r="J189" s="15" t="n">
        <f aca="false">I189*(1+IF(J$3&lt;=$O$2,$D189,$D189-($D189-$I$184)*MIN(J$3-$O$2,$Q$2)/$Q$2))</f>
        <v>5477.64969646483</v>
      </c>
      <c r="K189" s="15" t="n">
        <f aca="false">J189*(1+IF(K$3&lt;=$O$2,$D189,$D189-($D189-$I$184)*MIN(K$3-$O$2,$Q$2)/$Q$2))</f>
        <v>5415.04016043423</v>
      </c>
      <c r="L189" s="15" t="n">
        <f aca="false">K189*(1+IF(L$3&lt;=$O$2,$D189,$D189-($D189-$I$184)*MIN(L$3-$O$2,$Q$2)/$Q$2))</f>
        <v>5406.80929939037</v>
      </c>
      <c r="M189" s="15" t="n">
        <f aca="false">L189*(1+IF(M$3&lt;=$O$2,$D189,$D189-($D189-$I$184)*MIN(M$3-$O$2,$Q$2)/$Q$2))</f>
        <v>5452.17242941226</v>
      </c>
      <c r="N189" s="15" t="n">
        <f aca="false">M189*(1+IF(N$3&lt;=$O$2,$D189,$D189-($D189-$I$184)*MIN(N$3-$O$2,$Q$2)/$Q$2))</f>
        <v>5551.9471848705</v>
      </c>
      <c r="O189" s="15" t="n">
        <f aca="false">SUMPRODUCT(E189:N189,1/(1+$F$184)^$E$3:$N$3)*$E$2</f>
        <v>12592.6729489904</v>
      </c>
      <c r="P189" s="15" t="n">
        <f aca="false">N189*$E$2*(1+$I$184)/($F$184-$I$184)/(1+$F$184)^$N$3</f>
        <v>14947.4921046555</v>
      </c>
      <c r="Q189" s="15" t="n">
        <f aca="false">O189+P189</f>
        <v>27540.1650536458</v>
      </c>
      <c r="R189" s="15" t="n">
        <f aca="false">Q189-$G$2+$I$2</f>
        <v>20194.9650536458</v>
      </c>
      <c r="S189" s="42" t="n">
        <f aca="false">R189/$K$2</f>
        <v>86.0642022316039</v>
      </c>
      <c r="T189" s="43" t="n">
        <f aca="false">S189-$M$2</f>
        <v>5.04992564946024</v>
      </c>
    </row>
    <row r="190" customFormat="false" ht="15" hidden="false" customHeight="false" outlineLevel="0" collapsed="false">
      <c r="A190" s="5" t="n">
        <v>5</v>
      </c>
      <c r="B190" s="25" t="n">
        <f aca="false">IF(T189&gt;0,B189,D189)</f>
        <v>-0.125</v>
      </c>
      <c r="C190" s="25" t="n">
        <f aca="false">IF(T189&gt;0,D189,C189)</f>
        <v>-0.03125</v>
      </c>
      <c r="D190" s="41" t="n">
        <f aca="false">(B190+C190)/2</f>
        <v>-0.078125</v>
      </c>
      <c r="E190" s="15" t="n">
        <f aca="false">$C$2*(1+IF(E$3&lt;=$O$2,$D190,$D190-($D190-$I$184)*MIN(E$3-$O$2,$Q$2)/$Q$2))</f>
        <v>6047.5</v>
      </c>
      <c r="F190" s="15" t="n">
        <f aca="false">E190*(1+IF(F$3&lt;=$O$2,$D190,$D190-($D190-$I$184)*MIN(F$3-$O$2,$Q$2)/$Q$2))</f>
        <v>5575.0390625</v>
      </c>
      <c r="G190" s="15" t="n">
        <f aca="false">F190*(1+IF(G$3&lt;=$O$2,$D190,$D190-($D190-$I$184)*MIN(G$3-$O$2,$Q$2)/$Q$2))</f>
        <v>5139.48913574219</v>
      </c>
      <c r="H190" s="15" t="n">
        <f aca="false">G190*(1+IF(H$3&lt;=$O$2,$D190,$D190-($D190-$I$184)*MIN(H$3-$O$2,$Q$2)/$Q$2))</f>
        <v>4737.96654701233</v>
      </c>
      <c r="I190" s="15" t="n">
        <f aca="false">H190*(1+IF(I$3&lt;=$O$2,$D190,$D190-($D190-$I$184)*MIN(I$3-$O$2,$Q$2)/$Q$2))</f>
        <v>4367.81291052699</v>
      </c>
      <c r="J190" s="15" t="n">
        <f aca="false">I190*(1+IF(J$3&lt;=$O$2,$D190,$D190-($D190-$I$184)*MIN(J$3-$O$2,$Q$2)/$Q$2))</f>
        <v>4110.81079887158</v>
      </c>
      <c r="K190" s="15" t="n">
        <f aca="false">J190*(1+IF(K$3&lt;=$O$2,$D190,$D190-($D190-$I$184)*MIN(K$3-$O$2,$Q$2)/$Q$2))</f>
        <v>3948.20767772222</v>
      </c>
      <c r="L190" s="15" t="n">
        <f aca="false">K190*(1+IF(L$3&lt;=$O$2,$D190,$D190-($D190-$I$184)*MIN(L$3-$O$2,$Q$2)/$Q$2))</f>
        <v>3868.17750809479</v>
      </c>
      <c r="M190" s="15" t="n">
        <f aca="false">L190*(1+IF(M$3&lt;=$O$2,$D190,$D190-($D190-$I$184)*MIN(M$3-$O$2,$Q$2)/$Q$2))</f>
        <v>3864.36735324931</v>
      </c>
      <c r="N190" s="15" t="n">
        <f aca="false">M190*(1+IF(N$3&lt;=$O$2,$D190,$D190-($D190-$I$184)*MIN(N$3-$O$2,$Q$2)/$Q$2))</f>
        <v>3935.08527581378</v>
      </c>
      <c r="O190" s="15" t="n">
        <f aca="false">SUMPRODUCT(E190:N190,1/(1+$F$184)^$E$3:$N$3)*$E$2</f>
        <v>10267.105935779</v>
      </c>
      <c r="P190" s="15" t="n">
        <f aca="false">N190*$E$2*(1+$I$184)/($F$184-$I$184)/(1+$F$184)^$N$3</f>
        <v>10594.4192429749</v>
      </c>
      <c r="Q190" s="15" t="n">
        <f aca="false">O190+P190</f>
        <v>20861.5251787539</v>
      </c>
      <c r="R190" s="15" t="n">
        <f aca="false">Q190-$G$2+$I$2</f>
        <v>13516.3251787539</v>
      </c>
      <c r="S190" s="42" t="n">
        <f aca="false">R190/$K$2</f>
        <v>57.6020676699507</v>
      </c>
      <c r="T190" s="43" t="n">
        <f aca="false">S190-$M$2</f>
        <v>-23.4122089121929</v>
      </c>
    </row>
    <row r="191" customFormat="false" ht="15" hidden="false" customHeight="false" outlineLevel="0" collapsed="false">
      <c r="A191" s="5" t="n">
        <v>6</v>
      </c>
      <c r="B191" s="25" t="n">
        <f aca="false">IF(T190&gt;0,B190,D190)</f>
        <v>-0.078125</v>
      </c>
      <c r="C191" s="25" t="n">
        <f aca="false">IF(T190&gt;0,D190,C190)</f>
        <v>-0.03125</v>
      </c>
      <c r="D191" s="41" t="n">
        <f aca="false">(B191+C191)/2</f>
        <v>-0.0546875</v>
      </c>
      <c r="E191" s="15" t="n">
        <f aca="false">$C$2*(1+IF(E$3&lt;=$O$2,$D191,$D191-($D191-$I$184)*MIN(E$3-$O$2,$Q$2)/$Q$2))</f>
        <v>6201.25</v>
      </c>
      <c r="F191" s="15" t="n">
        <f aca="false">E191*(1+IF(F$3&lt;=$O$2,$D191,$D191-($D191-$I$184)*MIN(F$3-$O$2,$Q$2)/$Q$2))</f>
        <v>5862.119140625</v>
      </c>
      <c r="G191" s="15" t="n">
        <f aca="false">F191*(1+IF(G$3&lt;=$O$2,$D191,$D191-($D191-$I$184)*MIN(G$3-$O$2,$Q$2)/$Q$2))</f>
        <v>5541.53450012207</v>
      </c>
      <c r="H191" s="15" t="n">
        <f aca="false">G191*(1+IF(H$3&lt;=$O$2,$D191,$D191-($D191-$I$184)*MIN(H$3-$O$2,$Q$2)/$Q$2))</f>
        <v>5238.48183214665</v>
      </c>
      <c r="I191" s="15" t="n">
        <f aca="false">H191*(1+IF(I$3&lt;=$O$2,$D191,$D191-($D191-$I$184)*MIN(I$3-$O$2,$Q$2)/$Q$2))</f>
        <v>4952.00235695113</v>
      </c>
      <c r="J191" s="15" t="n">
        <f aca="false">I191*(1+IF(J$3&lt;=$O$2,$D191,$D191-($D191-$I$184)*MIN(J$3-$O$2,$Q$2)/$Q$2))</f>
        <v>4753.47658246096</v>
      </c>
      <c r="K191" s="15" t="n">
        <f aca="false">J191*(1+IF(K$3&lt;=$O$2,$D191,$D191-($D191-$I$184)*MIN(K$3-$O$2,$Q$2)/$Q$2))</f>
        <v>4632.29858068257</v>
      </c>
      <c r="L191" s="15" t="n">
        <f aca="false">K191*(1+IF(L$3&lt;=$O$2,$D191,$D191-($D191-$I$184)*MIN(L$3-$O$2,$Q$2)/$Q$2))</f>
        <v>4581.82968764603</v>
      </c>
      <c r="M191" s="15" t="n">
        <f aca="false">L191*(1+IF(M$3&lt;=$O$2,$D191,$D191-($D191-$I$184)*MIN(M$3-$O$2,$Q$2)/$Q$2))</f>
        <v>4598.79391206454</v>
      </c>
      <c r="N191" s="15" t="n">
        <f aca="false">M191*(1+IF(N$3&lt;=$O$2,$D191,$D191-($D191-$I$184)*MIN(N$3-$O$2,$Q$2)/$Q$2))</f>
        <v>4682.95184065532</v>
      </c>
      <c r="O191" s="15" t="n">
        <f aca="false">SUMPRODUCT(E191:N191,1/(1+$F$184)^$E$3:$N$3)*$E$2</f>
        <v>11368.1907638029</v>
      </c>
      <c r="P191" s="15" t="n">
        <f aca="false">N191*$E$2*(1+$I$184)/($F$184-$I$184)/(1+$F$184)^$N$3</f>
        <v>12607.8983343769</v>
      </c>
      <c r="Q191" s="15" t="n">
        <f aca="false">O191+P191</f>
        <v>23976.0890981798</v>
      </c>
      <c r="R191" s="15" t="n">
        <f aca="false">Q191-$G$2+$I$2</f>
        <v>16630.8890981798</v>
      </c>
      <c r="S191" s="42" t="n">
        <f aca="false">R191/$K$2</f>
        <v>70.875299800468</v>
      </c>
      <c r="T191" s="43" t="n">
        <f aca="false">S191-$M$2</f>
        <v>-10.1389767816757</v>
      </c>
    </row>
    <row r="192" customFormat="false" ht="15" hidden="false" customHeight="false" outlineLevel="0" collapsed="false">
      <c r="A192" s="5" t="n">
        <v>7</v>
      </c>
      <c r="B192" s="25" t="n">
        <f aca="false">IF(T191&gt;0,B191,D191)</f>
        <v>-0.0546875</v>
      </c>
      <c r="C192" s="25" t="n">
        <f aca="false">IF(T191&gt;0,D191,C191)</f>
        <v>-0.03125</v>
      </c>
      <c r="D192" s="41" t="n">
        <f aca="false">(B192+C192)/2</f>
        <v>-0.04296875</v>
      </c>
      <c r="E192" s="15" t="n">
        <f aca="false">$C$2*(1+IF(E$3&lt;=$O$2,$D192,$D192-($D192-$I$184)*MIN(E$3-$O$2,$Q$2)/$Q$2))</f>
        <v>6278.125</v>
      </c>
      <c r="F192" s="15" t="n">
        <f aca="false">E192*(1+IF(F$3&lt;=$O$2,$D192,$D192-($D192-$I$184)*MIN(F$3-$O$2,$Q$2)/$Q$2))</f>
        <v>6008.36181640625</v>
      </c>
      <c r="G192" s="15" t="n">
        <f aca="false">F192*(1+IF(G$3&lt;=$O$2,$D192,$D192-($D192-$I$184)*MIN(G$3-$O$2,$Q$2)/$Q$2))</f>
        <v>5750.19001960754</v>
      </c>
      <c r="H192" s="15" t="n">
        <f aca="false">G192*(1+IF(H$3&lt;=$O$2,$D192,$D192-($D192-$I$184)*MIN(H$3-$O$2,$Q$2)/$Q$2))</f>
        <v>5503.11154220253</v>
      </c>
      <c r="I192" s="15" t="n">
        <f aca="false">H192*(1+IF(I$3&lt;=$O$2,$D192,$D192-($D192-$I$184)*MIN(I$3-$O$2,$Q$2)/$Q$2))</f>
        <v>5266.64971812352</v>
      </c>
      <c r="J192" s="15" t="n">
        <f aca="false">I192*(1+IF(J$3&lt;=$O$2,$D192,$D192-($D192-$I$184)*MIN(J$3-$O$2,$Q$2)/$Q$2))</f>
        <v>5104.88457203135</v>
      </c>
      <c r="K192" s="15" t="n">
        <f aca="false">J192*(1+IF(K$3&lt;=$O$2,$D192,$D192-($D192-$I$184)*MIN(K$3-$O$2,$Q$2)/$Q$2))</f>
        <v>5010.64202172594</v>
      </c>
      <c r="L192" s="15" t="n">
        <f aca="false">K192*(1+IF(L$3&lt;=$O$2,$D192,$D192-($D192-$I$184)*MIN(L$3-$O$2,$Q$2)/$Q$2))</f>
        <v>4979.53846137608</v>
      </c>
      <c r="M192" s="15" t="n">
        <f aca="false">L192*(1+IF(M$3&lt;=$O$2,$D192,$D192-($D192-$I$184)*MIN(M$3-$O$2,$Q$2)/$Q$2))</f>
        <v>5009.64599579817</v>
      </c>
      <c r="N192" s="15" t="n">
        <f aca="false">M192*(1+IF(N$3&lt;=$O$2,$D192,$D192-($D192-$I$184)*MIN(N$3-$O$2,$Q$2)/$Q$2))</f>
        <v>5101.32251752128</v>
      </c>
      <c r="O192" s="15" t="n">
        <f aca="false">SUMPRODUCT(E192:N192,1/(1+$F$184)^$E$3:$N$3)*$E$2</f>
        <v>11964.2097262721</v>
      </c>
      <c r="P192" s="15" t="n">
        <f aca="false">N192*$E$2*(1+$I$184)/($F$184-$I$184)/(1+$F$184)^$N$3</f>
        <v>13734.2765546731</v>
      </c>
      <c r="Q192" s="15" t="n">
        <f aca="false">O192+P192</f>
        <v>25698.4862809452</v>
      </c>
      <c r="R192" s="15" t="n">
        <f aca="false">Q192-$G$2+$I$2</f>
        <v>18353.2862809452</v>
      </c>
      <c r="S192" s="42" t="n">
        <f aca="false">R192/$K$2</f>
        <v>78.2155818493298</v>
      </c>
      <c r="T192" s="43" t="n">
        <f aca="false">S192-$M$2</f>
        <v>-2.79869473281383</v>
      </c>
    </row>
    <row r="193" customFormat="false" ht="15" hidden="false" customHeight="false" outlineLevel="0" collapsed="false">
      <c r="A193" s="5" t="n">
        <v>8</v>
      </c>
      <c r="B193" s="25" t="n">
        <f aca="false">IF(T192&gt;0,B192,D192)</f>
        <v>-0.04296875</v>
      </c>
      <c r="C193" s="25" t="n">
        <f aca="false">IF(T192&gt;0,D192,C192)</f>
        <v>-0.03125</v>
      </c>
      <c r="D193" s="41" t="n">
        <f aca="false">(B193+C193)/2</f>
        <v>-0.037109375</v>
      </c>
      <c r="E193" s="15" t="n">
        <f aca="false">$C$2*(1+IF(E$3&lt;=$O$2,$D193,$D193-($D193-$I$184)*MIN(E$3-$O$2,$Q$2)/$Q$2))</f>
        <v>6316.5625</v>
      </c>
      <c r="F193" s="15" t="n">
        <f aca="false">E193*(1+IF(F$3&lt;=$O$2,$D193,$D193-($D193-$I$184)*MIN(F$3-$O$2,$Q$2)/$Q$2))</f>
        <v>6082.15881347656</v>
      </c>
      <c r="G193" s="15" t="n">
        <f aca="false">F193*(1+IF(G$3&lt;=$O$2,$D193,$D193-($D193-$I$184)*MIN(G$3-$O$2,$Q$2)/$Q$2))</f>
        <v>5856.45370125771</v>
      </c>
      <c r="H193" s="15" t="n">
        <f aca="false">G193*(1+IF(H$3&lt;=$O$2,$D193,$D193-($D193-$I$184)*MIN(H$3-$O$2,$Q$2)/$Q$2))</f>
        <v>5639.1243646876</v>
      </c>
      <c r="I193" s="15" t="n">
        <f aca="false">H193*(1+IF(I$3&lt;=$O$2,$D193,$D193-($D193-$I$184)*MIN(I$3-$O$2,$Q$2)/$Q$2))</f>
        <v>5429.85998396677</v>
      </c>
      <c r="J193" s="15" t="n">
        <f aca="false">I193*(1+IF(J$3&lt;=$O$2,$D193,$D193-($D193-$I$184)*MIN(J$3-$O$2,$Q$2)/$Q$2))</f>
        <v>5288.53430323407</v>
      </c>
      <c r="K193" s="15" t="n">
        <f aca="false">J193*(1+IF(K$3&lt;=$O$2,$D193,$D193-($D193-$I$184)*MIN(K$3-$O$2,$Q$2)/$Q$2))</f>
        <v>5209.4938527383</v>
      </c>
      <c r="L193" s="15" t="n">
        <f aca="false">K193*(1+IF(L$3&lt;=$O$2,$D193,$D193-($D193-$I$184)*MIN(L$3-$O$2,$Q$2)/$Q$2))</f>
        <v>5189.36567086478</v>
      </c>
      <c r="M193" s="15" t="n">
        <f aca="false">L193*(1+IF(M$3&lt;=$O$2,$D193,$D193-($D193-$I$184)*MIN(M$3-$O$2,$Q$2)/$Q$2))</f>
        <v>5226.82316094779</v>
      </c>
      <c r="N193" s="15" t="n">
        <f aca="false">M193*(1+IF(N$3&lt;=$O$2,$D193,$D193-($D193-$I$184)*MIN(N$3-$O$2,$Q$2)/$Q$2))</f>
        <v>5322.47402479314</v>
      </c>
      <c r="O193" s="15" t="n">
        <f aca="false">SUMPRODUCT(E193:N193,1/(1+$F$184)^$E$3:$N$3)*$E$2</f>
        <v>12274.2821751243</v>
      </c>
      <c r="P193" s="15" t="n">
        <f aca="false">N193*$E$2*(1+$I$184)/($F$184-$I$184)/(1+$F$184)^$N$3</f>
        <v>14329.6821482074</v>
      </c>
      <c r="Q193" s="15" t="n">
        <f aca="false">O193+P193</f>
        <v>26603.9643233317</v>
      </c>
      <c r="R193" s="15" t="n">
        <f aca="false">Q193-$G$2+$I$2</f>
        <v>19258.7643233317</v>
      </c>
      <c r="S193" s="42" t="n">
        <f aca="false">R193/$K$2</f>
        <v>82.0744271183962</v>
      </c>
      <c r="T193" s="43" t="n">
        <f aca="false">S193-$M$2</f>
        <v>1.06015053625262</v>
      </c>
    </row>
    <row r="194" customFormat="false" ht="15" hidden="false" customHeight="false" outlineLevel="0" collapsed="false">
      <c r="A194" s="5" t="n">
        <v>9</v>
      </c>
      <c r="B194" s="25" t="n">
        <f aca="false">IF(T193&gt;0,B193,D193)</f>
        <v>-0.04296875</v>
      </c>
      <c r="C194" s="25" t="n">
        <f aca="false">IF(T193&gt;0,D193,C193)</f>
        <v>-0.037109375</v>
      </c>
      <c r="D194" s="41" t="n">
        <f aca="false">(B194+C194)/2</f>
        <v>-0.0400390625</v>
      </c>
      <c r="E194" s="15" t="n">
        <f aca="false">$C$2*(1+IF(E$3&lt;=$O$2,$D194,$D194-($D194-$I$184)*MIN(E$3-$O$2,$Q$2)/$Q$2))</f>
        <v>6297.34375</v>
      </c>
      <c r="F194" s="15" t="n">
        <f aca="false">E194*(1+IF(F$3&lt;=$O$2,$D194,$D194-($D194-$I$184)*MIN(F$3-$O$2,$Q$2)/$Q$2))</f>
        <v>6045.20401000977</v>
      </c>
      <c r="G194" s="15" t="n">
        <f aca="false">F194*(1+IF(G$3&lt;=$O$2,$D194,$D194-($D194-$I$184)*MIN(G$3-$O$2,$Q$2)/$Q$2))</f>
        <v>5803.15970882773</v>
      </c>
      <c r="H194" s="15" t="n">
        <f aca="false">G194*(1+IF(H$3&lt;=$O$2,$D194,$D194-($D194-$I$184)*MIN(H$3-$O$2,$Q$2)/$Q$2))</f>
        <v>5570.8066345485</v>
      </c>
      <c r="I194" s="15" t="n">
        <f aca="false">H194*(1+IF(I$3&lt;=$O$2,$D194,$D194-($D194-$I$184)*MIN(I$3-$O$2,$Q$2)/$Q$2))</f>
        <v>5347.7567595324</v>
      </c>
      <c r="J194" s="15" t="n">
        <f aca="false">I194*(1+IF(J$3&lt;=$O$2,$D194,$D194-($D194-$I$184)*MIN(J$3-$O$2,$Q$2)/$Q$2))</f>
        <v>5196.03421556851</v>
      </c>
      <c r="K194" s="15" t="n">
        <f aca="false">J194*(1+IF(K$3&lt;=$O$2,$D194,$D194-($D194-$I$184)*MIN(K$3-$O$2,$Q$2)/$Q$2))</f>
        <v>5109.2425828009</v>
      </c>
      <c r="L194" s="15" t="n">
        <f aca="false">K194*(1+IF(L$3&lt;=$O$2,$D194,$D194-($D194-$I$184)*MIN(L$3-$O$2,$Q$2)/$Q$2))</f>
        <v>5083.51435311989</v>
      </c>
      <c r="M194" s="15" t="n">
        <f aca="false">L194*(1+IF(M$3&lt;=$O$2,$D194,$D194-($D194-$I$184)*MIN(M$3-$O$2,$Q$2)/$Q$2))</f>
        <v>5117.22917346872</v>
      </c>
      <c r="N194" s="15" t="n">
        <f aca="false">M194*(1+IF(N$3&lt;=$O$2,$D194,$D194-($D194-$I$184)*MIN(N$3-$O$2,$Q$2)/$Q$2))</f>
        <v>5210.8744673432</v>
      </c>
      <c r="O194" s="15" t="n">
        <f aca="false">SUMPRODUCT(E194:N194,1/(1+$F$184)^$E$3:$N$3)*$E$2</f>
        <v>12118.219294299</v>
      </c>
      <c r="P194" s="15" t="n">
        <f aca="false">N194*$E$2*(1+$I$184)/($F$184-$I$184)/(1+$F$184)^$N$3</f>
        <v>14029.2229672534</v>
      </c>
      <c r="Q194" s="15" t="n">
        <f aca="false">O194+P194</f>
        <v>26147.4422615524</v>
      </c>
      <c r="R194" s="15" t="n">
        <f aca="false">Q194-$G$2+$I$2</f>
        <v>18802.2422615524</v>
      </c>
      <c r="S194" s="42" t="n">
        <f aca="false">R194/$K$2</f>
        <v>80.1288824272425</v>
      </c>
      <c r="T194" s="43" t="n">
        <f aca="false">S194-$M$2</f>
        <v>-0.885394154901164</v>
      </c>
    </row>
    <row r="195" customFormat="false" ht="15" hidden="false" customHeight="false" outlineLevel="0" collapsed="false">
      <c r="A195" s="5" t="n">
        <v>10</v>
      </c>
      <c r="B195" s="25" t="n">
        <f aca="false">IF(T194&gt;0,B194,D194)</f>
        <v>-0.0400390625</v>
      </c>
      <c r="C195" s="25" t="n">
        <f aca="false">IF(T194&gt;0,D194,C194)</f>
        <v>-0.037109375</v>
      </c>
      <c r="D195" s="41" t="n">
        <f aca="false">(B195+C195)/2</f>
        <v>-0.03857421875</v>
      </c>
      <c r="E195" s="15" t="n">
        <f aca="false">$C$2*(1+IF(E$3&lt;=$O$2,$D195,$D195-($D195-$I$184)*MIN(E$3-$O$2,$Q$2)/$Q$2))</f>
        <v>6306.953125</v>
      </c>
      <c r="F195" s="15" t="n">
        <f aca="false">E195*(1+IF(F$3&lt;=$O$2,$D195,$D195-($D195-$I$184)*MIN(F$3-$O$2,$Q$2)/$Q$2))</f>
        <v>6063.66733551025</v>
      </c>
      <c r="G195" s="15" t="n">
        <f aca="false">F195*(1+IF(G$3&lt;=$O$2,$D195,$D195-($D195-$I$184)*MIN(G$3-$O$2,$Q$2)/$Q$2))</f>
        <v>5829.76610528305</v>
      </c>
      <c r="H195" s="15" t="n">
        <f aca="false">G195*(1+IF(H$3&lt;=$O$2,$D195,$D195-($D195-$I$184)*MIN(H$3-$O$2,$Q$2)/$Q$2))</f>
        <v>5604.88743227653</v>
      </c>
      <c r="I195" s="15" t="n">
        <f aca="false">H195*(1+IF(I$3&lt;=$O$2,$D195,$D195-($D195-$I$184)*MIN(I$3-$O$2,$Q$2)/$Q$2))</f>
        <v>5388.68327839477</v>
      </c>
      <c r="J195" s="15" t="n">
        <f aca="false">I195*(1+IF(J$3&lt;=$O$2,$D195,$D195-($D195-$I$184)*MIN(J$3-$O$2,$Q$2)/$Q$2))</f>
        <v>5242.11446114948</v>
      </c>
      <c r="K195" s="15" t="n">
        <f aca="false">J195*(1+IF(K$3&lt;=$O$2,$D195,$D195-($D195-$I$184)*MIN(K$3-$O$2,$Q$2)/$Q$2))</f>
        <v>5159.16045704294</v>
      </c>
      <c r="L195" s="15" t="n">
        <f aca="false">K195*(1+IF(L$3&lt;=$O$2,$D195,$D195-($D195-$I$184)*MIN(L$3-$O$2,$Q$2)/$Q$2))</f>
        <v>5136.20380524674</v>
      </c>
      <c r="M195" s="15" t="n">
        <f aca="false">L195*(1+IF(M$3&lt;=$O$2,$D195,$D195-($D195-$I$184)*MIN(M$3-$O$2,$Q$2)/$Q$2))</f>
        <v>5171.77281912992</v>
      </c>
      <c r="N195" s="15" t="n">
        <f aca="false">M195*(1+IF(N$3&lt;=$O$2,$D195,$D195-($D195-$I$184)*MIN(N$3-$O$2,$Q$2)/$Q$2))</f>
        <v>5266.41626172</v>
      </c>
      <c r="O195" s="15" t="n">
        <f aca="false">SUMPRODUCT(E195:N195,1/(1+$F$184)^$E$3:$N$3)*$E$2</f>
        <v>12195.9924402278</v>
      </c>
      <c r="P195" s="15" t="n">
        <f aca="false">N195*$E$2*(1+$I$184)/($F$184-$I$184)/(1+$F$184)^$N$3</f>
        <v>14178.7579871808</v>
      </c>
      <c r="Q195" s="15" t="n">
        <f aca="false">O195+P195</f>
        <v>26374.7504274087</v>
      </c>
      <c r="R195" s="15" t="n">
        <f aca="false">Q195-$G$2+$I$2</f>
        <v>19029.5504274087</v>
      </c>
      <c r="S195" s="42" t="n">
        <f aca="false">R195/$K$2</f>
        <v>81.0975939800071</v>
      </c>
      <c r="T195" s="43" t="n">
        <f aca="false">S195-$M$2</f>
        <v>0.0833173978635102</v>
      </c>
    </row>
    <row r="196" customFormat="false" ht="15" hidden="false" customHeight="false" outlineLevel="0" collapsed="false">
      <c r="A196" s="5" t="n">
        <v>11</v>
      </c>
      <c r="B196" s="25" t="n">
        <f aca="false">IF(T195&gt;0,B195,D195)</f>
        <v>-0.0400390625</v>
      </c>
      <c r="C196" s="25" t="n">
        <f aca="false">IF(T195&gt;0,D195,C195)</f>
        <v>-0.03857421875</v>
      </c>
      <c r="D196" s="41" t="n">
        <f aca="false">(B196+C196)/2</f>
        <v>-0.039306640625</v>
      </c>
      <c r="E196" s="15" t="n">
        <f aca="false">$C$2*(1+IF(E$3&lt;=$O$2,$D196,$D196-($D196-$I$184)*MIN(E$3-$O$2,$Q$2)/$Q$2))</f>
        <v>6302.1484375</v>
      </c>
      <c r="F196" s="15" t="n">
        <f aca="false">E196*(1+IF(F$3&lt;=$O$2,$D196,$D196-($D196-$I$184)*MIN(F$3-$O$2,$Q$2)/$Q$2))</f>
        <v>6054.43215370178</v>
      </c>
      <c r="G196" s="15" t="n">
        <f aca="false">F196*(1+IF(G$3&lt;=$O$2,$D196,$D196-($D196-$I$184)*MIN(G$3-$O$2,$Q$2)/$Q$2))</f>
        <v>5816.45276484778</v>
      </c>
      <c r="H196" s="15" t="n">
        <f aca="false">G196*(1+IF(H$3&lt;=$O$2,$D196,$D196-($D196-$I$184)*MIN(H$3-$O$2,$Q$2)/$Q$2))</f>
        <v>5587.82754630762</v>
      </c>
      <c r="I196" s="15" t="n">
        <f aca="false">H196*(1+IF(I$3&lt;=$O$2,$D196,$D196-($D196-$I$184)*MIN(I$3-$O$2,$Q$2)/$Q$2))</f>
        <v>5368.18881707043</v>
      </c>
      <c r="J196" s="15" t="n">
        <f aca="false">I196*(1+IF(J$3&lt;=$O$2,$D196,$D196-($D196-$I$184)*MIN(J$3-$O$2,$Q$2)/$Q$2))</f>
        <v>5219.03201322913</v>
      </c>
      <c r="K196" s="15" t="n">
        <f aca="false">J196*(1+IF(K$3&lt;=$O$2,$D196,$D196-($D196-$I$184)*MIN(K$3-$O$2,$Q$2)/$Q$2))</f>
        <v>5134.14975811334</v>
      </c>
      <c r="L196" s="15" t="n">
        <f aca="false">K196*(1+IF(L$3&lt;=$O$2,$D196,$D196-($D196-$I$184)*MIN(L$3-$O$2,$Q$2)/$Q$2))</f>
        <v>5109.80025067459</v>
      </c>
      <c r="M196" s="15" t="n">
        <f aca="false">L196*(1+IF(M$3&lt;=$O$2,$D196,$D196-($D196-$I$184)*MIN(M$3-$O$2,$Q$2)/$Q$2))</f>
        <v>5144.43790992071</v>
      </c>
      <c r="N196" s="15" t="n">
        <f aca="false">M196*(1+IF(N$3&lt;=$O$2,$D196,$D196-($D196-$I$184)*MIN(N$3-$O$2,$Q$2)/$Q$2))</f>
        <v>5238.58112367226</v>
      </c>
      <c r="O196" s="15" t="n">
        <f aca="false">SUMPRODUCT(E196:N196,1/(1+$F$184)^$E$3:$N$3)*$E$2</f>
        <v>12157.041498149</v>
      </c>
      <c r="P196" s="15" t="n">
        <f aca="false">N196*$E$2*(1+$I$184)/($F$184-$I$184)/(1+$F$184)^$N$3</f>
        <v>14103.8175217286</v>
      </c>
      <c r="Q196" s="15" t="n">
        <f aca="false">O196+P196</f>
        <v>26260.8590198776</v>
      </c>
      <c r="R196" s="15" t="n">
        <f aca="false">Q196-$G$2+$I$2</f>
        <v>18915.6590198776</v>
      </c>
      <c r="S196" s="42" t="n">
        <f aca="false">R196/$K$2</f>
        <v>80.6122268053595</v>
      </c>
      <c r="T196" s="43" t="n">
        <f aca="false">S196-$M$2</f>
        <v>-0.402049776784139</v>
      </c>
    </row>
    <row r="197" customFormat="false" ht="15" hidden="false" customHeight="false" outlineLevel="0" collapsed="false">
      <c r="A197" s="5" t="n">
        <v>12</v>
      </c>
      <c r="B197" s="25" t="n">
        <f aca="false">IF(T196&gt;0,B196,D196)</f>
        <v>-0.039306640625</v>
      </c>
      <c r="C197" s="25" t="n">
        <f aca="false">IF(T196&gt;0,D196,C196)</f>
        <v>-0.03857421875</v>
      </c>
      <c r="D197" s="41" t="n">
        <f aca="false">(B197+C197)/2</f>
        <v>-0.0389404296875</v>
      </c>
      <c r="E197" s="15" t="n">
        <f aca="false">$C$2*(1+IF(E$3&lt;=$O$2,$D197,$D197-($D197-$I$184)*MIN(E$3-$O$2,$Q$2)/$Q$2))</f>
        <v>6304.55078125</v>
      </c>
      <c r="F197" s="15" t="n">
        <f aca="false">E197*(1+IF(F$3&lt;=$O$2,$D197,$D197-($D197-$I$184)*MIN(F$3-$O$2,$Q$2)/$Q$2))</f>
        <v>6059.04886484146</v>
      </c>
      <c r="G197" s="15" t="n">
        <f aca="false">F197*(1+IF(G$3&lt;=$O$2,$D197,$D197-($D197-$I$184)*MIN(G$3-$O$2,$Q$2)/$Q$2))</f>
        <v>5823.10689854698</v>
      </c>
      <c r="H197" s="15" t="n">
        <f aca="false">G197*(1+IF(H$3&lt;=$O$2,$D197,$D197-($D197-$I$184)*MIN(H$3-$O$2,$Q$2)/$Q$2))</f>
        <v>5596.35261380131</v>
      </c>
      <c r="I197" s="15" t="n">
        <f aca="false">H197*(1+IF(I$3&lt;=$O$2,$D197,$D197-($D197-$I$184)*MIN(I$3-$O$2,$Q$2)/$Q$2))</f>
        <v>5378.42823833713</v>
      </c>
      <c r="J197" s="15" t="n">
        <f aca="false">I197*(1+IF(J$3&lt;=$O$2,$D197,$D197-($D197-$I$184)*MIN(J$3-$O$2,$Q$2)/$Q$2))</f>
        <v>5230.56264037405</v>
      </c>
      <c r="K197" s="15" t="n">
        <f aca="false">J197*(1+IF(K$3&lt;=$O$2,$D197,$D197-($D197-$I$184)*MIN(K$3-$O$2,$Q$2)/$Q$2))</f>
        <v>5146.64214486746</v>
      </c>
      <c r="L197" s="15" t="n">
        <f aca="false">K197*(1+IF(L$3&lt;=$O$2,$D197,$D197-($D197-$I$184)*MIN(L$3-$O$2,$Q$2)/$Q$2))</f>
        <v>5122.98729299053</v>
      </c>
      <c r="M197" s="15" t="n">
        <f aca="false">L197*(1+IF(M$3&lt;=$O$2,$D197,$D197-($D197-$I$184)*MIN(M$3-$O$2,$Q$2)/$Q$2))</f>
        <v>5158.08956166538</v>
      </c>
      <c r="N197" s="15" t="n">
        <f aca="false">M197*(1+IF(N$3&lt;=$O$2,$D197,$D197-($D197-$I$184)*MIN(N$3-$O$2,$Q$2)/$Q$2))</f>
        <v>5252.48260064386</v>
      </c>
      <c r="O197" s="15" t="n">
        <f aca="false">SUMPRODUCT(E197:N197,1/(1+$F$184)^$E$3:$N$3)*$E$2</f>
        <v>12176.5008513909</v>
      </c>
      <c r="P197" s="15" t="n">
        <f aca="false">N197*$E$2*(1+$I$184)/($F$184-$I$184)/(1+$F$184)^$N$3</f>
        <v>14141.2444298667</v>
      </c>
      <c r="Q197" s="15" t="n">
        <f aca="false">O197+P197</f>
        <v>26317.7452812577</v>
      </c>
      <c r="R197" s="15" t="n">
        <f aca="false">Q197-$G$2+$I$2</f>
        <v>18972.5452812577</v>
      </c>
      <c r="S197" s="42" t="n">
        <f aca="false">R197/$K$2</f>
        <v>80.8546570690716</v>
      </c>
      <c r="T197" s="43" t="n">
        <f aca="false">S197-$M$2</f>
        <v>-0.159619513072016</v>
      </c>
    </row>
    <row r="198" customFormat="false" ht="15" hidden="false" customHeight="false" outlineLevel="0" collapsed="false">
      <c r="A198" s="5" t="n">
        <v>13</v>
      </c>
      <c r="B198" s="25" t="n">
        <f aca="false">IF(T197&gt;0,B197,D197)</f>
        <v>-0.0389404296875</v>
      </c>
      <c r="C198" s="25" t="n">
        <f aca="false">IF(T197&gt;0,D197,C197)</f>
        <v>-0.03857421875</v>
      </c>
      <c r="D198" s="41" t="n">
        <f aca="false">(B198+C198)/2</f>
        <v>-0.03875732421875</v>
      </c>
      <c r="E198" s="15" t="n">
        <f aca="false">$C$2*(1+IF(E$3&lt;=$O$2,$D198,$D198-($D198-$I$184)*MIN(E$3-$O$2,$Q$2)/$Q$2))</f>
        <v>6305.751953125</v>
      </c>
      <c r="F198" s="15" t="n">
        <f aca="false">E198*(1+IF(F$3&lt;=$O$2,$D198,$D198-($D198-$I$184)*MIN(F$3-$O$2,$Q$2)/$Q$2))</f>
        <v>6061.35788023472</v>
      </c>
      <c r="G198" s="15" t="n">
        <f aca="false">F198*(1+IF(G$3&lt;=$O$2,$D198,$D198-($D198-$I$184)*MIN(G$3-$O$2,$Q$2)/$Q$2))</f>
        <v>5826.43586766459</v>
      </c>
      <c r="H198" s="15" t="n">
        <f aca="false">G198*(1+IF(H$3&lt;=$O$2,$D198,$D198-($D198-$I$184)*MIN(H$3-$O$2,$Q$2)/$Q$2))</f>
        <v>5600.61880370176</v>
      </c>
      <c r="I198" s="15" t="n">
        <f aca="false">H198*(1+IF(I$3&lt;=$O$2,$D198,$D198-($D198-$I$184)*MIN(I$3-$O$2,$Q$2)/$Q$2))</f>
        <v>5383.55380490106</v>
      </c>
      <c r="J198" s="15" t="n">
        <f aca="false">I198*(1+IF(J$3&lt;=$O$2,$D198,$D198-($D198-$I$184)*MIN(J$3-$O$2,$Q$2)/$Q$2))</f>
        <v>5236.33589961449</v>
      </c>
      <c r="K198" s="15" t="n">
        <f aca="false">J198*(1+IF(K$3&lt;=$O$2,$D198,$D198-($D198-$I$184)*MIN(K$3-$O$2,$Q$2)/$Q$2))</f>
        <v>5152.89805749188</v>
      </c>
      <c r="L198" s="15" t="n">
        <f aca="false">K198*(1+IF(L$3&lt;=$O$2,$D198,$D198-($D198-$I$184)*MIN(L$3-$O$2,$Q$2)/$Q$2))</f>
        <v>5129.59186189099</v>
      </c>
      <c r="M198" s="15" t="n">
        <f aca="false">L198*(1+IF(M$3&lt;=$O$2,$D198,$D198-($D198-$I$184)*MIN(M$3-$O$2,$Q$2)/$Q$2))</f>
        <v>5164.92723576884</v>
      </c>
      <c r="N198" s="15" t="n">
        <f aca="false">M198*(1+IF(N$3&lt;=$O$2,$D198,$D198-($D198-$I$184)*MIN(N$3-$O$2,$Q$2)/$Q$2))</f>
        <v>5259.44540418341</v>
      </c>
      <c r="O198" s="15" t="n">
        <f aca="false">SUMPRODUCT(E198:N198,1/(1+$F$184)^$E$3:$N$3)*$E$2</f>
        <v>12186.2426131663</v>
      </c>
      <c r="P198" s="15" t="n">
        <f aca="false">N198*$E$2*(1+$I$184)/($F$184-$I$184)/(1+$F$184)^$N$3</f>
        <v>14159.9903666468</v>
      </c>
      <c r="Q198" s="15" t="n">
        <f aca="false">O198+P198</f>
        <v>26346.232979813</v>
      </c>
      <c r="R198" s="15" t="n">
        <f aca="false">Q198-$G$2+$I$2</f>
        <v>19001.032979813</v>
      </c>
      <c r="S198" s="42" t="n">
        <f aca="false">R198/$K$2</f>
        <v>80.976062134298</v>
      </c>
      <c r="T198" s="43" t="n">
        <f aca="false">S198-$M$2</f>
        <v>-0.0382144478456326</v>
      </c>
    </row>
    <row r="199" customFormat="false" ht="15" hidden="false" customHeight="false" outlineLevel="0" collapsed="false">
      <c r="A199" s="5" t="n">
        <v>14</v>
      </c>
      <c r="B199" s="25" t="n">
        <f aca="false">IF(T198&gt;0,B198,D198)</f>
        <v>-0.03875732421875</v>
      </c>
      <c r="C199" s="25" t="n">
        <f aca="false">IF(T198&gt;0,D198,C198)</f>
        <v>-0.03857421875</v>
      </c>
      <c r="D199" s="41" t="n">
        <f aca="false">(B199+C199)/2</f>
        <v>-0.038665771484375</v>
      </c>
      <c r="E199" s="15" t="n">
        <f aca="false">$C$2*(1+IF(E$3&lt;=$O$2,$D199,$D199-($D199-$I$184)*MIN(E$3-$O$2,$Q$2)/$Q$2))</f>
        <v>6306.3525390625</v>
      </c>
      <c r="F199" s="15" t="n">
        <f aca="false">E199*(1+IF(F$3&lt;=$O$2,$D199,$D199-($D199-$I$184)*MIN(F$3-$O$2,$Q$2)/$Q$2))</f>
        <v>6062.5125528872</v>
      </c>
      <c r="G199" s="15" t="n">
        <f aca="false">F199*(1+IF(G$3&lt;=$O$2,$D199,$D199-($D199-$I$184)*MIN(G$3-$O$2,$Q$2)/$Q$2))</f>
        <v>5828.10082789611</v>
      </c>
      <c r="H199" s="15" t="n">
        <f aca="false">G199*(1+IF(H$3&lt;=$O$2,$D199,$D199-($D199-$I$184)*MIN(H$3-$O$2,$Q$2)/$Q$2))</f>
        <v>5602.75281309678</v>
      </c>
      <c r="I199" s="15" t="n">
        <f aca="false">H199*(1+IF(I$3&lt;=$O$2,$D199,$D199-($D199-$I$184)*MIN(I$3-$O$2,$Q$2)/$Q$2))</f>
        <v>5386.11805314214</v>
      </c>
      <c r="J199" s="15" t="n">
        <f aca="false">I199*(1+IF(J$3&lt;=$O$2,$D199,$D199-($D199-$I$184)*MIN(J$3-$O$2,$Q$2)/$Q$2))</f>
        <v>5239.22451735211</v>
      </c>
      <c r="K199" s="15" t="n">
        <f aca="false">J199*(1+IF(K$3&lt;=$O$2,$D199,$D199-($D199-$I$184)*MIN(K$3-$O$2,$Q$2)/$Q$2))</f>
        <v>5156.02844605317</v>
      </c>
      <c r="L199" s="15" t="n">
        <f aca="false">K199*(1+IF(L$3&lt;=$O$2,$D199,$D199-($D199-$I$184)*MIN(L$3-$O$2,$Q$2)/$Q$2))</f>
        <v>5132.89691132602</v>
      </c>
      <c r="M199" s="15" t="n">
        <f aca="false">L199*(1+IF(M$3&lt;=$O$2,$D199,$D199-($D199-$I$184)*MIN(M$3-$O$2,$Q$2)/$Q$2))</f>
        <v>5168.3490383026</v>
      </c>
      <c r="N199" s="15" t="n">
        <f aca="false">M199*(1+IF(N$3&lt;=$O$2,$D199,$D199-($D199-$I$184)*MIN(N$3-$O$2,$Q$2)/$Q$2))</f>
        <v>5262.92982570353</v>
      </c>
      <c r="O199" s="15" t="n">
        <f aca="false">SUMPRODUCT(E199:N199,1/(1+$F$184)^$E$3:$N$3)*$E$2</f>
        <v>12191.1165181368</v>
      </c>
      <c r="P199" s="15" t="n">
        <f aca="false">N199*$E$2*(1+$I$184)/($F$184-$I$184)/(1+$F$184)^$N$3</f>
        <v>14169.3714651023</v>
      </c>
      <c r="Q199" s="15" t="n">
        <f aca="false">O199+P199</f>
        <v>26360.4879832391</v>
      </c>
      <c r="R199" s="15" t="n">
        <f aca="false">Q199-$G$2+$I$2</f>
        <v>19015.2879832391</v>
      </c>
      <c r="S199" s="42" t="n">
        <f aca="false">R199/$K$2</f>
        <v>81.0368122021698</v>
      </c>
      <c r="T199" s="43" t="n">
        <f aca="false">S199-$M$2</f>
        <v>0.0225356200261473</v>
      </c>
    </row>
    <row r="200" customFormat="false" ht="15" hidden="false" customHeight="false" outlineLevel="0" collapsed="false">
      <c r="A200" s="5" t="n">
        <v>15</v>
      </c>
      <c r="B200" s="25" t="n">
        <f aca="false">IF(T199&gt;0,B199,D199)</f>
        <v>-0.03875732421875</v>
      </c>
      <c r="C200" s="25" t="n">
        <f aca="false">IF(T199&gt;0,D199,C199)</f>
        <v>-0.038665771484375</v>
      </c>
      <c r="D200" s="41" t="n">
        <f aca="false">(B200+C200)/2</f>
        <v>-0.0387115478515625</v>
      </c>
      <c r="E200" s="15" t="n">
        <f aca="false">$C$2*(1+IF(E$3&lt;=$O$2,$D200,$D200-($D200-$I$184)*MIN(E$3-$O$2,$Q$2)/$Q$2))</f>
        <v>6306.05224609375</v>
      </c>
      <c r="F200" s="15" t="n">
        <f aca="false">E200*(1+IF(F$3&lt;=$O$2,$D200,$D200-($D200-$I$184)*MIN(F$3-$O$2,$Q$2)/$Q$2))</f>
        <v>6061.93520281464</v>
      </c>
      <c r="G200" s="15" t="n">
        <f aca="false">F200*(1+IF(G$3&lt;=$O$2,$D200,$D200-($D200-$I$184)*MIN(G$3-$O$2,$Q$2)/$Q$2))</f>
        <v>5827.26830813781</v>
      </c>
      <c r="H200" s="15" t="n">
        <f aca="false">G200*(1+IF(H$3&lt;=$O$2,$D200,$D200-($D200-$I$184)*MIN(H$3-$O$2,$Q$2)/$Q$2))</f>
        <v>5601.68573218344</v>
      </c>
      <c r="I200" s="15" t="n">
        <f aca="false">H200*(1+IF(I$3&lt;=$O$2,$D200,$D200-($D200-$I$184)*MIN(I$3-$O$2,$Q$2)/$Q$2))</f>
        <v>5384.8358069126</v>
      </c>
      <c r="J200" s="15" t="n">
        <f aca="false">I200*(1+IF(J$3&lt;=$O$2,$D200,$D200-($D200-$I$184)*MIN(J$3-$O$2,$Q$2)/$Q$2))</f>
        <v>5237.78004275622</v>
      </c>
      <c r="K200" s="15" t="n">
        <f aca="false">J200*(1+IF(K$3&lt;=$O$2,$D200,$D200-($D200-$I$184)*MIN(K$3-$O$2,$Q$2)/$Q$2))</f>
        <v>5154.46304901253</v>
      </c>
      <c r="L200" s="15" t="n">
        <f aca="false">K200*(1+IF(L$3&lt;=$O$2,$D200,$D200-($D200-$I$184)*MIN(L$3-$O$2,$Q$2)/$Q$2))</f>
        <v>5131.2441561023</v>
      </c>
      <c r="M200" s="15" t="n">
        <f aca="false">L200*(1+IF(M$3&lt;=$O$2,$D200,$D200-($D200-$I$184)*MIN(M$3-$O$2,$Q$2)/$Q$2))</f>
        <v>5166.63788981024</v>
      </c>
      <c r="N200" s="15" t="n">
        <f aca="false">M200*(1+IF(N$3&lt;=$O$2,$D200,$D200-($D200-$I$184)*MIN(N$3-$O$2,$Q$2)/$Q$2))</f>
        <v>5261.18736319376</v>
      </c>
      <c r="O200" s="15" t="n">
        <f aca="false">SUMPRODUCT(E200:N200,1/(1+$F$184)^$E$3:$N$3)*$E$2</f>
        <v>12188.6793135614</v>
      </c>
      <c r="P200" s="15" t="n">
        <f aca="false">N200*$E$2*(1+$I$184)/($F$184-$I$184)/(1+$F$184)^$N$3</f>
        <v>14164.6802380895</v>
      </c>
      <c r="Q200" s="15" t="n">
        <f aca="false">O200+P200</f>
        <v>26353.3595516509</v>
      </c>
      <c r="R200" s="15" t="n">
        <f aca="false">Q200-$G$2+$I$2</f>
        <v>19008.1595516509</v>
      </c>
      <c r="S200" s="42" t="n">
        <f aca="false">R200/$K$2</f>
        <v>81.0064332054162</v>
      </c>
      <c r="T200" s="43" t="n">
        <f aca="false">S200-$M$2</f>
        <v>-0.00784337672740776</v>
      </c>
    </row>
    <row r="201" customFormat="false" ht="15" hidden="false" customHeight="false" outlineLevel="0" collapsed="false">
      <c r="A201" s="5" t="n">
        <v>16</v>
      </c>
      <c r="B201" s="25" t="n">
        <f aca="false">IF(T200&gt;0,B200,D200)</f>
        <v>-0.0387115478515625</v>
      </c>
      <c r="C201" s="25" t="n">
        <f aca="false">IF(T200&gt;0,D200,C200)</f>
        <v>-0.038665771484375</v>
      </c>
      <c r="D201" s="41" t="n">
        <f aca="false">(B201+C201)/2</f>
        <v>-0.0386886596679688</v>
      </c>
      <c r="E201" s="15" t="n">
        <f aca="false">$C$2*(1+IF(E$3&lt;=$O$2,$D201,$D201-($D201-$I$184)*MIN(E$3-$O$2,$Q$2)/$Q$2))</f>
        <v>6306.20239257813</v>
      </c>
      <c r="F201" s="15" t="n">
        <f aca="false">E201*(1+IF(F$3&lt;=$O$2,$D201,$D201-($D201-$I$184)*MIN(F$3-$O$2,$Q$2)/$Q$2))</f>
        <v>6062.22387441434</v>
      </c>
      <c r="G201" s="15" t="n">
        <f aca="false">F201*(1+IF(G$3&lt;=$O$2,$D201,$D201-($D201-$I$184)*MIN(G$3-$O$2,$Q$2)/$Q$2))</f>
        <v>5827.68455810609</v>
      </c>
      <c r="H201" s="15" t="n">
        <f aca="false">G201*(1+IF(H$3&lt;=$O$2,$D201,$D201-($D201-$I$184)*MIN(H$3-$O$2,$Q$2)/$Q$2))</f>
        <v>5602.21925358525</v>
      </c>
      <c r="I201" s="15" t="n">
        <f aca="false">H201*(1+IF(I$3&lt;=$O$2,$D201,$D201-($D201-$I$184)*MIN(I$3-$O$2,$Q$2)/$Q$2))</f>
        <v>5385.47689949794</v>
      </c>
      <c r="J201" s="15" t="n">
        <f aca="false">I201*(1+IF(J$3&lt;=$O$2,$D201,$D201-($D201-$I$184)*MIN(J$3-$O$2,$Q$2)/$Q$2))</f>
        <v>5238.5022386186</v>
      </c>
      <c r="K201" s="15" t="n">
        <f aca="false">J201*(1+IF(K$3&lt;=$O$2,$D201,$D201-($D201-$I$184)*MIN(K$3-$O$2,$Q$2)/$Q$2))</f>
        <v>5155.2456968374</v>
      </c>
      <c r="L201" s="15" t="n">
        <f aca="false">K201*(1+IF(L$3&lt;=$O$2,$D201,$D201-($D201-$I$184)*MIN(L$3-$O$2,$Q$2)/$Q$2))</f>
        <v>5132.0704760808</v>
      </c>
      <c r="M201" s="15" t="n">
        <f aca="false">L201*(1+IF(M$3&lt;=$O$2,$D201,$D201-($D201-$I$184)*MIN(M$3-$O$2,$Q$2)/$Q$2))</f>
        <v>5167.49340224239</v>
      </c>
      <c r="N201" s="15" t="n">
        <f aca="false">M201*(1+IF(N$3&lt;=$O$2,$D201,$D201-($D201-$I$184)*MIN(N$3-$O$2,$Q$2)/$Q$2))</f>
        <v>5262.05853150343</v>
      </c>
      <c r="O201" s="15" t="n">
        <f aca="false">SUMPRODUCT(E201:N201,1/(1+$F$184)^$E$3:$N$3)*$E$2</f>
        <v>12189.8978528203</v>
      </c>
      <c r="P201" s="15" t="n">
        <f aca="false">N201*$E$2*(1+$I$184)/($F$184-$I$184)/(1+$F$184)^$N$3</f>
        <v>14167.0256821287</v>
      </c>
      <c r="Q201" s="15" t="n">
        <f aca="false">O201+P201</f>
        <v>26356.923534949</v>
      </c>
      <c r="R201" s="15" t="n">
        <f aca="false">Q201-$G$2+$I$2</f>
        <v>19011.723534949</v>
      </c>
      <c r="S201" s="42" t="n">
        <f aca="false">R201/$K$2</f>
        <v>81.0216217129726</v>
      </c>
      <c r="T201" s="43" t="n">
        <f aca="false">S201-$M$2</f>
        <v>0.00734513082893784</v>
      </c>
    </row>
    <row r="202" customFormat="false" ht="15" hidden="false" customHeight="false" outlineLevel="0" collapsed="false">
      <c r="A202" s="5" t="n">
        <v>17</v>
      </c>
      <c r="B202" s="25" t="n">
        <f aca="false">IF(T201&gt;0,B201,D201)</f>
        <v>-0.0387115478515625</v>
      </c>
      <c r="C202" s="25" t="n">
        <f aca="false">IF(T201&gt;0,D201,C201)</f>
        <v>-0.0386886596679688</v>
      </c>
      <c r="D202" s="41" t="n">
        <f aca="false">(B202+C202)/2</f>
        <v>-0.0387001037597656</v>
      </c>
      <c r="E202" s="15" t="n">
        <f aca="false">$C$2*(1+IF(E$3&lt;=$O$2,$D202,$D202-($D202-$I$184)*MIN(E$3-$O$2,$Q$2)/$Q$2))</f>
        <v>6306.12731933594</v>
      </c>
      <c r="F202" s="15" t="n">
        <f aca="false">E202*(1+IF(F$3&lt;=$O$2,$D202,$D202-($D202-$I$184)*MIN(F$3-$O$2,$Q$2)/$Q$2))</f>
        <v>6062.07953775534</v>
      </c>
      <c r="G202" s="15" t="n">
        <f aca="false">F202*(1+IF(G$3&lt;=$O$2,$D202,$D202-($D202-$I$184)*MIN(G$3-$O$2,$Q$2)/$Q$2))</f>
        <v>5827.47643064426</v>
      </c>
      <c r="H202" s="15" t="n">
        <f aca="false">G202*(1+IF(H$3&lt;=$O$2,$D202,$D202-($D202-$I$184)*MIN(H$3-$O$2,$Q$2)/$Q$2))</f>
        <v>5601.95248812074</v>
      </c>
      <c r="I202" s="15" t="n">
        <f aca="false">H202*(1+IF(I$3&lt;=$O$2,$D202,$D202-($D202-$I$184)*MIN(I$3-$O$2,$Q$2)/$Q$2))</f>
        <v>5385.15634557319</v>
      </c>
      <c r="J202" s="15" t="n">
        <f aca="false">I202*(1+IF(J$3&lt;=$O$2,$D202,$D202-($D202-$I$184)*MIN(J$3-$O$2,$Q$2)/$Q$2))</f>
        <v>5238.14113032899</v>
      </c>
      <c r="K202" s="15" t="n">
        <f aca="false">J202*(1+IF(K$3&lt;=$O$2,$D202,$D202-($D202-$I$184)*MIN(K$3-$O$2,$Q$2)/$Q$2))</f>
        <v>5154.85436025179</v>
      </c>
      <c r="L202" s="15" t="n">
        <f aca="false">K202*(1+IF(L$3&lt;=$O$2,$D202,$D202-($D202-$I$184)*MIN(L$3-$O$2,$Q$2)/$Q$2))</f>
        <v>5131.65730168406</v>
      </c>
      <c r="M202" s="15" t="n">
        <f aca="false">L202*(1+IF(M$3&lt;=$O$2,$D202,$D202-($D202-$I$184)*MIN(M$3-$O$2,$Q$2)/$Q$2))</f>
        <v>5167.06563057377</v>
      </c>
      <c r="N202" s="15" t="n">
        <f aca="false">M202*(1+IF(N$3&lt;=$O$2,$D202,$D202-($D202-$I$184)*MIN(N$3-$O$2,$Q$2)/$Q$2))</f>
        <v>5261.62293161327</v>
      </c>
      <c r="O202" s="15" t="n">
        <f aca="false">SUMPRODUCT(E202:N202,1/(1+$F$184)^$E$3:$N$3)*$E$2</f>
        <v>12189.2885674345</v>
      </c>
      <c r="P202" s="15" t="n">
        <f aca="false">N202*$E$2*(1+$I$184)/($F$184-$I$184)/(1+$F$184)^$N$3</f>
        <v>14165.8529177449</v>
      </c>
      <c r="Q202" s="15" t="n">
        <f aca="false">O202+P202</f>
        <v>26355.1414851794</v>
      </c>
      <c r="R202" s="15" t="n">
        <f aca="false">Q202-$G$2+$I$2</f>
        <v>19009.9414851794</v>
      </c>
      <c r="S202" s="42" t="n">
        <f aca="false">R202/$K$2</f>
        <v>81.0140272115038</v>
      </c>
      <c r="T202" s="43" t="n">
        <f aca="false">S202-$M$2</f>
        <v>-0.000249370639792801</v>
      </c>
    </row>
    <row r="203" customFormat="false" ht="15" hidden="false" customHeight="false" outlineLevel="0" collapsed="false">
      <c r="A203" s="5" t="n">
        <v>18</v>
      </c>
      <c r="B203" s="25" t="n">
        <f aca="false">IF(T202&gt;0,B202,D202)</f>
        <v>-0.0387001037597656</v>
      </c>
      <c r="C203" s="25" t="n">
        <f aca="false">IF(T202&gt;0,D202,C202)</f>
        <v>-0.0386886596679688</v>
      </c>
      <c r="D203" s="41" t="n">
        <f aca="false">(B203+C203)/2</f>
        <v>-0.0386943817138672</v>
      </c>
      <c r="E203" s="15" t="n">
        <f aca="false">$C$2*(1+IF(E$3&lt;=$O$2,$D203,$D203-($D203-$I$184)*MIN(E$3-$O$2,$Q$2)/$Q$2))</f>
        <v>6306.16485595703</v>
      </c>
      <c r="F203" s="15" t="n">
        <f aca="false">E203*(1+IF(F$3&lt;=$O$2,$D203,$D203-($D203-$I$184)*MIN(F$3-$O$2,$Q$2)/$Q$2))</f>
        <v>6062.15170587006</v>
      </c>
      <c r="G203" s="15" t="n">
        <f aca="false">F203*(1+IF(G$3&lt;=$O$2,$D203,$D203-($D203-$I$184)*MIN(G$3-$O$2,$Q$2)/$Q$2))</f>
        <v>5827.58049375575</v>
      </c>
      <c r="H203" s="15" t="n">
        <f aca="false">G203*(1+IF(H$3&lt;=$O$2,$D203,$D203-($D203-$I$184)*MIN(H$3-$O$2,$Q$2)/$Q$2))</f>
        <v>5602.08586966208</v>
      </c>
      <c r="I203" s="15" t="n">
        <f aca="false">H203*(1+IF(I$3&lt;=$O$2,$D203,$D203-($D203-$I$184)*MIN(I$3-$O$2,$Q$2)/$Q$2))</f>
        <v>5385.31662062751</v>
      </c>
      <c r="J203" s="15" t="n">
        <f aca="false">I203*(1+IF(J$3&lt;=$O$2,$D203,$D203-($D203-$I$184)*MIN(J$3-$O$2,$Q$2)/$Q$2))</f>
        <v>5238.32168188413</v>
      </c>
      <c r="K203" s="15" t="n">
        <f aca="false">J203*(1+IF(K$3&lt;=$O$2,$D203,$D203-($D203-$I$184)*MIN(K$3-$O$2,$Q$2)/$Q$2))</f>
        <v>5155.05002537621</v>
      </c>
      <c r="L203" s="15" t="n">
        <f aca="false">K203*(1+IF(L$3&lt;=$O$2,$D203,$D203-($D203-$I$184)*MIN(L$3-$O$2,$Q$2)/$Q$2))</f>
        <v>5131.86388528045</v>
      </c>
      <c r="M203" s="15" t="n">
        <f aca="false">L203*(1+IF(M$3&lt;=$O$2,$D203,$D203-($D203-$I$184)*MIN(M$3-$O$2,$Q$2)/$Q$2))</f>
        <v>5167.27951254483</v>
      </c>
      <c r="N203" s="15" t="n">
        <f aca="false">M203*(1+IF(N$3&lt;=$O$2,$D203,$D203-($D203-$I$184)*MIN(N$3-$O$2,$Q$2)/$Q$2))</f>
        <v>5261.8407276244</v>
      </c>
      <c r="O203" s="15" t="n">
        <f aca="false">SUMPRODUCT(E203:N203,1/(1+$F$184)^$E$3:$N$3)*$E$2</f>
        <v>12189.5932061882</v>
      </c>
      <c r="P203" s="15" t="n">
        <f aca="false">N203*$E$2*(1+$I$184)/($F$184-$I$184)/(1+$F$184)^$N$3</f>
        <v>14166.4392893454</v>
      </c>
      <c r="Q203" s="15" t="n">
        <f aca="false">O203+P203</f>
        <v>26356.0324955336</v>
      </c>
      <c r="R203" s="15" t="n">
        <f aca="false">Q203-$G$2+$I$2</f>
        <v>19010.8324955336</v>
      </c>
      <c r="S203" s="42" t="n">
        <f aca="false">R203/$K$2</f>
        <v>81.0178244003137</v>
      </c>
      <c r="T203" s="43" t="n">
        <f aca="false">S203-$M$2</f>
        <v>0.0035478181701194</v>
      </c>
    </row>
    <row r="204" customFormat="false" ht="15" hidden="false" customHeight="false" outlineLevel="0" collapsed="false">
      <c r="A204" s="5" t="n">
        <v>19</v>
      </c>
      <c r="B204" s="25" t="n">
        <f aca="false">IF(T203&gt;0,B203,D203)</f>
        <v>-0.0387001037597656</v>
      </c>
      <c r="C204" s="25" t="n">
        <f aca="false">IF(T203&gt;0,D203,C203)</f>
        <v>-0.0386943817138672</v>
      </c>
      <c r="D204" s="41" t="n">
        <f aca="false">(B204+C204)/2</f>
        <v>-0.0386972427368164</v>
      </c>
      <c r="E204" s="15" t="n">
        <f aca="false">$C$2*(1+IF(E$3&lt;=$O$2,$D204,$D204-($D204-$I$184)*MIN(E$3-$O$2,$Q$2)/$Q$2))</f>
        <v>6306.14608764648</v>
      </c>
      <c r="F204" s="15" t="n">
        <f aca="false">E204*(1+IF(F$3&lt;=$O$2,$D204,$D204-($D204-$I$184)*MIN(F$3-$O$2,$Q$2)/$Q$2))</f>
        <v>6062.115621759</v>
      </c>
      <c r="G204" s="15" t="n">
        <f aca="false">F204*(1+IF(G$3&lt;=$O$2,$D204,$D204-($D204-$I$184)*MIN(G$3-$O$2,$Q$2)/$Q$2))</f>
        <v>5827.52846204515</v>
      </c>
      <c r="H204" s="15" t="n">
        <f aca="false">G204*(1+IF(H$3&lt;=$O$2,$D204,$D204-($D204-$I$184)*MIN(H$3-$O$2,$Q$2)/$Q$2))</f>
        <v>5602.01917859368</v>
      </c>
      <c r="I204" s="15" t="n">
        <f aca="false">H204*(1+IF(I$3&lt;=$O$2,$D204,$D204-($D204-$I$184)*MIN(I$3-$O$2,$Q$2)/$Q$2))</f>
        <v>5385.23648262334</v>
      </c>
      <c r="J204" s="15" t="n">
        <f aca="false">I204*(1+IF(J$3&lt;=$O$2,$D204,$D204-($D204-$I$184)*MIN(J$3-$O$2,$Q$2)/$Q$2))</f>
        <v>5238.23140545915</v>
      </c>
      <c r="K204" s="15" t="n">
        <f aca="false">J204*(1+IF(K$3&lt;=$O$2,$D204,$D204-($D204-$I$184)*MIN(K$3-$O$2,$Q$2)/$Q$2))</f>
        <v>5154.95219202192</v>
      </c>
      <c r="L204" s="15" t="n">
        <f aca="false">K204*(1+IF(L$3&lt;=$O$2,$D204,$D204-($D204-$I$184)*MIN(L$3-$O$2,$Q$2)/$Q$2))</f>
        <v>5131.76059258177</v>
      </c>
      <c r="M204" s="15" t="n">
        <f aca="false">L204*(1+IF(M$3&lt;=$O$2,$D204,$D204-($D204-$I$184)*MIN(M$3-$O$2,$Q$2)/$Q$2))</f>
        <v>5167.1725705935</v>
      </c>
      <c r="N204" s="15" t="n">
        <f aca="false">M204*(1+IF(N$3&lt;=$O$2,$D204,$D204-($D204-$I$184)*MIN(N$3-$O$2,$Q$2)/$Q$2))</f>
        <v>5261.73182863536</v>
      </c>
      <c r="O204" s="15" t="n">
        <f aca="false">SUMPRODUCT(E204:N204,1/(1+$F$184)^$E$3:$N$3)*$E$2</f>
        <v>12189.4408858265</v>
      </c>
      <c r="P204" s="15" t="n">
        <f aca="false">N204*$E$2*(1+$I$184)/($F$184-$I$184)/(1+$F$184)^$N$3</f>
        <v>14166.1461008974</v>
      </c>
      <c r="Q204" s="15" t="n">
        <f aca="false">O204+P204</f>
        <v>26355.5869867239</v>
      </c>
      <c r="R204" s="15" t="n">
        <f aca="false">Q204-$G$2+$I$2</f>
        <v>19010.3869867239</v>
      </c>
      <c r="S204" s="42" t="n">
        <f aca="false">R204/$K$2</f>
        <v>81.0159257904279</v>
      </c>
      <c r="T204" s="43" t="n">
        <f aca="false">S204-$M$2</f>
        <v>0.00164920828424897</v>
      </c>
    </row>
    <row r="205" customFormat="false" ht="15" hidden="false" customHeight="false" outlineLevel="0" collapsed="false">
      <c r="A205" s="5" t="n">
        <v>20</v>
      </c>
      <c r="B205" s="25" t="n">
        <f aca="false">IF(T204&gt;0,B204,D204)</f>
        <v>-0.0387001037597656</v>
      </c>
      <c r="C205" s="25" t="n">
        <f aca="false">IF(T204&gt;0,D204,C204)</f>
        <v>-0.0386972427368164</v>
      </c>
      <c r="D205" s="41" t="n">
        <f aca="false">(B205+C205)/2</f>
        <v>-0.038698673248291</v>
      </c>
      <c r="E205" s="15" t="n">
        <f aca="false">$C$2*(1+IF(E$3&lt;=$O$2,$D205,$D205-($D205-$I$184)*MIN(E$3-$O$2,$Q$2)/$Q$2))</f>
        <v>6306.13670349121</v>
      </c>
      <c r="F205" s="15" t="n">
        <f aca="false">E205*(1+IF(F$3&lt;=$O$2,$D205,$D205-($D205-$I$184)*MIN(F$3-$O$2,$Q$2)/$Q$2))</f>
        <v>6062.09757974375</v>
      </c>
      <c r="G205" s="15" t="n">
        <f aca="false">F205*(1+IF(G$3&lt;=$O$2,$D205,$D205-($D205-$I$184)*MIN(G$3-$O$2,$Q$2)/$Q$2))</f>
        <v>5827.50244630599</v>
      </c>
      <c r="H205" s="15" t="n">
        <f aca="false">G205*(1+IF(H$3&lt;=$O$2,$D205,$D205-($D205-$I$184)*MIN(H$3-$O$2,$Q$2)/$Q$2))</f>
        <v>5601.98583328278</v>
      </c>
      <c r="I205" s="15" t="n">
        <f aca="false">H205*(1+IF(I$3&lt;=$O$2,$D205,$D205-($D205-$I$184)*MIN(I$3-$O$2,$Q$2)/$Q$2))</f>
        <v>5385.19641397901</v>
      </c>
      <c r="J205" s="15" t="n">
        <f aca="false">I205*(1+IF(J$3&lt;=$O$2,$D205,$D205-($D205-$I$184)*MIN(J$3-$O$2,$Q$2)/$Q$2))</f>
        <v>5238.18626773222</v>
      </c>
      <c r="K205" s="15" t="n">
        <f aca="false">J205*(1+IF(K$3&lt;=$O$2,$D205,$D205-($D205-$I$184)*MIN(K$3-$O$2,$Q$2)/$Q$2))</f>
        <v>5154.90327593883</v>
      </c>
      <c r="L205" s="15" t="n">
        <f aca="false">K205*(1+IF(L$3&lt;=$O$2,$D205,$D205-($D205-$I$184)*MIN(L$3-$O$2,$Q$2)/$Q$2))</f>
        <v>5131.7089469078</v>
      </c>
      <c r="M205" s="15" t="n">
        <f aca="false">L205*(1+IF(M$3&lt;=$O$2,$D205,$D205-($D205-$I$184)*MIN(M$3-$O$2,$Q$2)/$Q$2))</f>
        <v>5167.11910034218</v>
      </c>
      <c r="N205" s="15" t="n">
        <f aca="false">M205*(1+IF(N$3&lt;=$O$2,$D205,$D205-($D205-$I$184)*MIN(N$3-$O$2,$Q$2)/$Q$2))</f>
        <v>5261.67737987845</v>
      </c>
      <c r="O205" s="15" t="n">
        <f aca="false">SUMPRODUCT(E205:N205,1/(1+$F$184)^$E$3:$N$3)*$E$2</f>
        <v>12189.3647263843</v>
      </c>
      <c r="P205" s="15" t="n">
        <f aca="false">N205*$E$2*(1+$I$184)/($F$184-$I$184)/(1+$F$184)^$N$3</f>
        <v>14165.9995086592</v>
      </c>
      <c r="Q205" s="15" t="n">
        <f aca="false">O205+P205</f>
        <v>26355.3642350435</v>
      </c>
      <c r="R205" s="15" t="n">
        <f aca="false">Q205-$G$2+$I$2</f>
        <v>19010.1642350435</v>
      </c>
      <c r="S205" s="42" t="n">
        <f aca="false">R205/$K$2</f>
        <v>81.0149764970957</v>
      </c>
      <c r="T205" s="43" t="n">
        <f aca="false">S205-$M$2</f>
        <v>0.000699914952036806</v>
      </c>
    </row>
    <row r="206" customFormat="false" ht="15" hidden="false" customHeight="false" outlineLevel="0" collapsed="false">
      <c r="A206" s="5" t="n">
        <v>21</v>
      </c>
      <c r="B206" s="25" t="n">
        <f aca="false">IF(T205&gt;0,B205,D205)</f>
        <v>-0.0387001037597656</v>
      </c>
      <c r="C206" s="25" t="n">
        <f aca="false">IF(T205&gt;0,D205,C205)</f>
        <v>-0.038698673248291</v>
      </c>
      <c r="D206" s="41" t="n">
        <f aca="false">(B206+C206)/2</f>
        <v>-0.0386993885040283</v>
      </c>
      <c r="E206" s="15" t="n">
        <f aca="false">$C$2*(1+IF(E$3&lt;=$O$2,$D206,$D206-($D206-$I$184)*MIN(E$3-$O$2,$Q$2)/$Q$2))</f>
        <v>6306.13201141357</v>
      </c>
      <c r="F206" s="15" t="n">
        <f aca="false">E206*(1+IF(F$3&lt;=$O$2,$D206,$D206-($D206-$I$184)*MIN(F$3-$O$2,$Q$2)/$Q$2))</f>
        <v>6062.08855874619</v>
      </c>
      <c r="G206" s="15" t="n">
        <f aca="false">F206*(1+IF(G$3&lt;=$O$2,$D206,$D206-($D206-$I$184)*MIN(G$3-$O$2,$Q$2)/$Q$2))</f>
        <v>5827.48943846545</v>
      </c>
      <c r="H206" s="15" t="n">
        <f aca="false">G206*(1+IF(H$3&lt;=$O$2,$D206,$D206-($D206-$I$184)*MIN(H$3-$O$2,$Q$2)/$Q$2))</f>
        <v>5601.96916068315</v>
      </c>
      <c r="I206" s="15" t="n">
        <f aca="false">H206*(1+IF(I$3&lt;=$O$2,$D206,$D206-($D206-$I$184)*MIN(I$3-$O$2,$Q$2)/$Q$2))</f>
        <v>5385.17637974629</v>
      </c>
      <c r="J206" s="15" t="n">
        <f aca="false">I206*(1+IF(J$3&lt;=$O$2,$D206,$D206-($D206-$I$184)*MIN(J$3-$O$2,$Q$2)/$Q$2))</f>
        <v>5238.16369899014</v>
      </c>
      <c r="K206" s="15" t="n">
        <f aca="false">J206*(1+IF(K$3&lt;=$O$2,$D206,$D206-($D206-$I$184)*MIN(K$3-$O$2,$Q$2)/$Q$2))</f>
        <v>5154.8788180458</v>
      </c>
      <c r="L206" s="15" t="n">
        <f aca="false">K206*(1+IF(L$3&lt;=$O$2,$D206,$D206-($D206-$I$184)*MIN(L$3-$O$2,$Q$2)/$Q$2))</f>
        <v>5131.68312423965</v>
      </c>
      <c r="M206" s="15" t="n">
        <f aca="false">L206*(1+IF(M$3&lt;=$O$2,$D206,$D206-($D206-$I$184)*MIN(M$3-$O$2,$Q$2)/$Q$2))</f>
        <v>5167.09236539761</v>
      </c>
      <c r="N206" s="15" t="n">
        <f aca="false">M206*(1+IF(N$3&lt;=$O$2,$D206,$D206-($D206-$I$184)*MIN(N$3-$O$2,$Q$2)/$Q$2))</f>
        <v>5261.65015568439</v>
      </c>
      <c r="O206" s="15" t="n">
        <f aca="false">SUMPRODUCT(E206:N206,1/(1+$F$184)^$E$3:$N$3)*$E$2</f>
        <v>12189.3266468478</v>
      </c>
      <c r="P206" s="15" t="n">
        <f aca="false">N206*$E$2*(1+$I$184)/($F$184-$I$184)/(1+$F$184)^$N$3</f>
        <v>14165.9262130366</v>
      </c>
      <c r="Q206" s="15" t="n">
        <f aca="false">O206+P206</f>
        <v>26355.2528598844</v>
      </c>
      <c r="R206" s="15" t="n">
        <f aca="false">Q206-$G$2+$I$2</f>
        <v>19010.0528598844</v>
      </c>
      <c r="S206" s="42" t="n">
        <f aca="false">R206/$K$2</f>
        <v>81.0145018533322</v>
      </c>
      <c r="T206" s="43" t="n">
        <f aca="false">S206-$M$2</f>
        <v>0.000225271188554643</v>
      </c>
    </row>
    <row r="207" customFormat="false" ht="15" hidden="false" customHeight="false" outlineLevel="0" collapsed="false">
      <c r="A207" s="5" t="n">
        <v>22</v>
      </c>
      <c r="B207" s="25" t="n">
        <f aca="false">IF(T206&gt;0,B206,D206)</f>
        <v>-0.0387001037597656</v>
      </c>
      <c r="C207" s="25" t="n">
        <f aca="false">IF(T206&gt;0,D206,C206)</f>
        <v>-0.0386993885040283</v>
      </c>
      <c r="D207" s="41" t="n">
        <f aca="false">(B207+C207)/2</f>
        <v>-0.038699746131897</v>
      </c>
      <c r="E207" s="15" t="n">
        <f aca="false">$C$2*(1+IF(E$3&lt;=$O$2,$D207,$D207-($D207-$I$184)*MIN(E$3-$O$2,$Q$2)/$Q$2))</f>
        <v>6306.12966537476</v>
      </c>
      <c r="F207" s="15" t="n">
        <f aca="false">E207*(1+IF(F$3&lt;=$O$2,$D207,$D207-($D207-$I$184)*MIN(F$3-$O$2,$Q$2)/$Q$2))</f>
        <v>6062.08404824993</v>
      </c>
      <c r="G207" s="15" t="n">
        <f aca="false">F207*(1+IF(G$3&lt;=$O$2,$D207,$D207-($D207-$I$184)*MIN(G$3-$O$2,$Q$2)/$Q$2))</f>
        <v>5827.48293455243</v>
      </c>
      <c r="H207" s="15" t="n">
        <f aca="false">G207*(1+IF(H$3&lt;=$O$2,$D207,$D207-($D207-$I$184)*MIN(H$3-$O$2,$Q$2)/$Q$2))</f>
        <v>5601.96082439729</v>
      </c>
      <c r="I207" s="15" t="n">
        <f aca="false">H207*(1+IF(I$3&lt;=$O$2,$D207,$D207-($D207-$I$184)*MIN(I$3-$O$2,$Q$2)/$Q$2))</f>
        <v>5385.16636265228</v>
      </c>
      <c r="J207" s="15" t="n">
        <f aca="false">I207*(1+IF(J$3&lt;=$O$2,$D207,$D207-($D207-$I$184)*MIN(J$3-$O$2,$Q$2)/$Q$2))</f>
        <v>5238.15241464945</v>
      </c>
      <c r="K207" s="15" t="n">
        <f aca="false">J207*(1+IF(K$3&lt;=$O$2,$D207,$D207-($D207-$I$184)*MIN(K$3-$O$2,$Q$2)/$Q$2))</f>
        <v>5154.86658913642</v>
      </c>
      <c r="L207" s="15" t="n">
        <f aca="false">K207*(1+IF(L$3&lt;=$O$2,$D207,$D207-($D207-$I$184)*MIN(L$3-$O$2,$Q$2)/$Q$2))</f>
        <v>5131.67021294778</v>
      </c>
      <c r="M207" s="15" t="n">
        <f aca="false">L207*(1+IF(M$3&lt;=$O$2,$D207,$D207-($D207-$I$184)*MIN(M$3-$O$2,$Q$2)/$Q$2))</f>
        <v>5167.0789979706</v>
      </c>
      <c r="N207" s="15" t="n">
        <f aca="false">M207*(1+IF(N$3&lt;=$O$2,$D207,$D207-($D207-$I$184)*MIN(N$3-$O$2,$Q$2)/$Q$2))</f>
        <v>5261.63654363346</v>
      </c>
      <c r="O207" s="15" t="n">
        <f aca="false">SUMPRODUCT(E207:N207,1/(1+$F$184)^$E$3:$N$3)*$E$2</f>
        <v>12189.3076071258</v>
      </c>
      <c r="P207" s="15" t="n">
        <f aca="false">N207*$E$2*(1+$I$184)/($F$184-$I$184)/(1+$F$184)^$N$3</f>
        <v>14165.8895653494</v>
      </c>
      <c r="Q207" s="15" t="n">
        <f aca="false">O207+P207</f>
        <v>26355.1971724751</v>
      </c>
      <c r="R207" s="15" t="n">
        <f aca="false">Q207-$G$2+$I$2</f>
        <v>19009.9971724751</v>
      </c>
      <c r="S207" s="42" t="n">
        <f aca="false">R207/$K$2</f>
        <v>81.0142645321761</v>
      </c>
      <c r="T207" s="43" t="n">
        <f aca="false">S207-$M$2</f>
        <v>-1.2049967537564E-005</v>
      </c>
    </row>
    <row r="208" customFormat="false" ht="15" hidden="false" customHeight="false" outlineLevel="0" collapsed="false">
      <c r="A208" s="5" t="n">
        <v>23</v>
      </c>
      <c r="B208" s="25" t="n">
        <f aca="false">IF(T207&gt;0,B207,D207)</f>
        <v>-0.038699746131897</v>
      </c>
      <c r="C208" s="25" t="n">
        <f aca="false">IF(T207&gt;0,D207,C207)</f>
        <v>-0.0386993885040283</v>
      </c>
      <c r="D208" s="41" t="n">
        <f aca="false">(B208+C208)/2</f>
        <v>-0.0386995673179626</v>
      </c>
      <c r="E208" s="15" t="n">
        <f aca="false">$C$2*(1+IF(E$3&lt;=$O$2,$D208,$D208-($D208-$I$184)*MIN(E$3-$O$2,$Q$2)/$Q$2))</f>
        <v>6306.13083839417</v>
      </c>
      <c r="F208" s="15" t="n">
        <f aca="false">E208*(1+IF(F$3&lt;=$O$2,$D208,$D208-($D208-$I$184)*MIN(F$3-$O$2,$Q$2)/$Q$2))</f>
        <v>6062.08630349785</v>
      </c>
      <c r="G208" s="15" t="n">
        <f aca="false">F208*(1+IF(G$3&lt;=$O$2,$D208,$D208-($D208-$I$184)*MIN(G$3-$O$2,$Q$2)/$Q$2))</f>
        <v>5827.48618650834</v>
      </c>
      <c r="H208" s="15" t="n">
        <f aca="false">G208*(1+IF(H$3&lt;=$O$2,$D208,$D208-($D208-$I$184)*MIN(H$3-$O$2,$Q$2)/$Q$2))</f>
        <v>5601.96499253906</v>
      </c>
      <c r="I208" s="15" t="n">
        <f aca="false">H208*(1+IF(I$3&lt;=$O$2,$D208,$D208-($D208-$I$184)*MIN(I$3-$O$2,$Q$2)/$Q$2))</f>
        <v>5385.17137119742</v>
      </c>
      <c r="J208" s="15" t="n">
        <f aca="false">I208*(1+IF(J$3&lt;=$O$2,$D208,$D208-($D208-$I$184)*MIN(J$3-$O$2,$Q$2)/$Q$2))</f>
        <v>5238.15805681727</v>
      </c>
      <c r="K208" s="15" t="n">
        <f aca="false">J208*(1+IF(K$3&lt;=$O$2,$D208,$D208-($D208-$I$184)*MIN(K$3-$O$2,$Q$2)/$Q$2))</f>
        <v>5154.87270358802</v>
      </c>
      <c r="L208" s="15" t="n">
        <f aca="false">K208*(1+IF(L$3&lt;=$O$2,$D208,$D208-($D208-$I$184)*MIN(L$3-$O$2,$Q$2)/$Q$2))</f>
        <v>5131.6766685902</v>
      </c>
      <c r="M208" s="15" t="n">
        <f aca="false">L208*(1+IF(M$3&lt;=$O$2,$D208,$D208-($D208-$I$184)*MIN(M$3-$O$2,$Q$2)/$Q$2))</f>
        <v>5167.08568168033</v>
      </c>
      <c r="N208" s="15" t="n">
        <f aca="false">M208*(1+IF(N$3&lt;=$O$2,$D208,$D208-($D208-$I$184)*MIN(N$3-$O$2,$Q$2)/$Q$2))</f>
        <v>5261.64334965508</v>
      </c>
      <c r="O208" s="15" t="n">
        <f aca="false">SUMPRODUCT(E208:N208,1/(1+$F$184)^$E$3:$N$3)*$E$2</f>
        <v>12189.317126983</v>
      </c>
      <c r="P208" s="15" t="n">
        <f aca="false">N208*$E$2*(1+$I$184)/($F$184-$I$184)/(1+$F$184)^$N$3</f>
        <v>14165.9078891826</v>
      </c>
      <c r="Q208" s="15" t="n">
        <f aca="false">O208+P208</f>
        <v>26355.2250161656</v>
      </c>
      <c r="R208" s="15" t="n">
        <f aca="false">Q208-$G$2+$I$2</f>
        <v>19010.0250161656</v>
      </c>
      <c r="S208" s="42" t="n">
        <f aca="false">R208/$K$2</f>
        <v>81.0143831926937</v>
      </c>
      <c r="T208" s="43" t="n">
        <f aca="false">S208-$M$2</f>
        <v>0.000106610550034247</v>
      </c>
    </row>
    <row r="209" customFormat="false" ht="15" hidden="false" customHeight="false" outlineLevel="0" collapsed="false">
      <c r="A209" s="5" t="n">
        <v>24</v>
      </c>
      <c r="B209" s="25" t="n">
        <f aca="false">IF(T208&gt;0,B208,D208)</f>
        <v>-0.038699746131897</v>
      </c>
      <c r="C209" s="25" t="n">
        <f aca="false">IF(T208&gt;0,D208,C208)</f>
        <v>-0.0386995673179626</v>
      </c>
      <c r="D209" s="41" t="n">
        <f aca="false">(B209+C209)/2</f>
        <v>-0.0386996567249298</v>
      </c>
      <c r="E209" s="15" t="n">
        <f aca="false">$C$2*(1+IF(E$3&lt;=$O$2,$D209,$D209-($D209-$I$184)*MIN(E$3-$O$2,$Q$2)/$Q$2))</f>
        <v>6306.13025188446</v>
      </c>
      <c r="F209" s="15" t="n">
        <f aca="false">E209*(1+IF(F$3&lt;=$O$2,$D209,$D209-($D209-$I$184)*MIN(F$3-$O$2,$Q$2)/$Q$2))</f>
        <v>6062.08517587384</v>
      </c>
      <c r="G209" s="15" t="n">
        <f aca="false">F209*(1+IF(G$3&lt;=$O$2,$D209,$D209-($D209-$I$184)*MIN(G$3-$O$2,$Q$2)/$Q$2))</f>
        <v>5827.48456053023</v>
      </c>
      <c r="H209" s="15" t="n">
        <f aca="false">G209*(1+IF(H$3&lt;=$O$2,$D209,$D209-($D209-$I$184)*MIN(H$3-$O$2,$Q$2)/$Q$2))</f>
        <v>5601.96290846789</v>
      </c>
      <c r="I209" s="15" t="n">
        <f aca="false">H209*(1+IF(I$3&lt;=$O$2,$D209,$D209-($D209-$I$184)*MIN(I$3-$O$2,$Q$2)/$Q$2))</f>
        <v>5385.16886692439</v>
      </c>
      <c r="J209" s="15" t="n">
        <f aca="false">I209*(1+IF(J$3&lt;=$O$2,$D209,$D209-($D209-$I$184)*MIN(J$3-$O$2,$Q$2)/$Q$2))</f>
        <v>5238.15523573273</v>
      </c>
      <c r="K209" s="15" t="n">
        <f aca="false">J209*(1+IF(K$3&lt;=$O$2,$D209,$D209-($D209-$I$184)*MIN(K$3-$O$2,$Q$2)/$Q$2))</f>
        <v>5154.86964636144</v>
      </c>
      <c r="L209" s="15" t="n">
        <f aca="false">K209*(1+IF(L$3&lt;=$O$2,$D209,$D209-($D209-$I$184)*MIN(L$3-$O$2,$Q$2)/$Q$2))</f>
        <v>5131.67344076811</v>
      </c>
      <c r="M209" s="15" t="n">
        <f aca="false">L209*(1+IF(M$3&lt;=$O$2,$D209,$D209-($D209-$I$184)*MIN(M$3-$O$2,$Q$2)/$Q$2))</f>
        <v>5167.08233982452</v>
      </c>
      <c r="N209" s="15" t="n">
        <f aca="false">M209*(1+IF(N$3&lt;=$O$2,$D209,$D209-($D209-$I$184)*MIN(N$3-$O$2,$Q$2)/$Q$2))</f>
        <v>5261.63994664331</v>
      </c>
      <c r="O209" s="15" t="n">
        <f aca="false">SUMPRODUCT(E209:N209,1/(1+$F$184)^$E$3:$N$3)*$E$2</f>
        <v>12189.3123670534</v>
      </c>
      <c r="P209" s="15" t="n">
        <f aca="false">N209*$E$2*(1+$I$184)/($F$184-$I$184)/(1+$F$184)^$N$3</f>
        <v>14165.8987272634</v>
      </c>
      <c r="Q209" s="15" t="n">
        <f aca="false">O209+P209</f>
        <v>26355.2110943168</v>
      </c>
      <c r="R209" s="15" t="n">
        <f aca="false">Q209-$G$2+$I$2</f>
        <v>19010.0110943168</v>
      </c>
      <c r="S209" s="42" t="n">
        <f aca="false">R209/$K$2</f>
        <v>81.0143238624198</v>
      </c>
      <c r="T209" s="43" t="n">
        <f aca="false">S209-$M$2</f>
        <v>4.72802761493085E-005</v>
      </c>
    </row>
    <row r="211" customFormat="false" ht="15" hidden="false" customHeight="false" outlineLevel="0" collapsed="false">
      <c r="A211" s="38" t="s">
        <v>189</v>
      </c>
      <c r="E211" s="5" t="s">
        <v>11</v>
      </c>
      <c r="F211" s="12" t="n">
        <f aca="false">Sensitivity!$B$11</f>
        <v>0.0762368036285737</v>
      </c>
      <c r="G211" s="5" t="s">
        <v>12</v>
      </c>
      <c r="I211" s="12" t="n">
        <f aca="false">Sensitivity!$D$9</f>
        <v>0.0233</v>
      </c>
    </row>
    <row r="212" customFormat="false" ht="23.85" hidden="false" customHeight="false" outlineLevel="0" collapsed="false">
      <c r="A212" s="38" t="s">
        <v>163</v>
      </c>
      <c r="B212" s="28" t="s">
        <v>164</v>
      </c>
      <c r="C212" s="28" t="s">
        <v>165</v>
      </c>
      <c r="D212" s="28" t="s">
        <v>166</v>
      </c>
      <c r="E212" s="28" t="s">
        <v>167</v>
      </c>
      <c r="F212" s="28" t="s">
        <v>168</v>
      </c>
      <c r="G212" s="28" t="s">
        <v>169</v>
      </c>
      <c r="H212" s="28" t="s">
        <v>170</v>
      </c>
      <c r="I212" s="28" t="s">
        <v>171</v>
      </c>
      <c r="J212" s="28" t="s">
        <v>172</v>
      </c>
      <c r="K212" s="28" t="s">
        <v>173</v>
      </c>
      <c r="L212" s="28" t="s">
        <v>174</v>
      </c>
      <c r="M212" s="28" t="s">
        <v>175</v>
      </c>
      <c r="N212" s="28" t="s">
        <v>176</v>
      </c>
      <c r="O212" s="28" t="s">
        <v>177</v>
      </c>
      <c r="P212" s="28" t="s">
        <v>178</v>
      </c>
      <c r="Q212" s="28" t="s">
        <v>179</v>
      </c>
      <c r="R212" s="28" t="s">
        <v>180</v>
      </c>
      <c r="S212" s="28" t="s">
        <v>181</v>
      </c>
      <c r="T212" s="28" t="s">
        <v>182</v>
      </c>
    </row>
    <row r="213" customFormat="false" ht="15" hidden="false" customHeight="false" outlineLevel="0" collapsed="false">
      <c r="A213" s="5" t="n">
        <v>1</v>
      </c>
      <c r="B213" s="24" t="n">
        <v>-0.5</v>
      </c>
      <c r="C213" s="24" t="n">
        <v>1</v>
      </c>
      <c r="D213" s="41" t="n">
        <f aca="false">(B213+C213)/2</f>
        <v>0.25</v>
      </c>
      <c r="E213" s="15" t="n">
        <f aca="false">$C$2*(1+IF(E$3&lt;=$O$2,$D213,$D213-($D213-$I$211)*MIN(E$3-$O$2,$Q$2)/$Q$2))</f>
        <v>8200</v>
      </c>
      <c r="F213" s="15" t="n">
        <f aca="false">E213*(1+IF(F$3&lt;=$O$2,$D213,$D213-($D213-$I$211)*MIN(F$3-$O$2,$Q$2)/$Q$2))</f>
        <v>10250</v>
      </c>
      <c r="G213" s="15" t="n">
        <f aca="false">F213*(1+IF(G$3&lt;=$O$2,$D213,$D213-($D213-$I$211)*MIN(G$3-$O$2,$Q$2)/$Q$2))</f>
        <v>12812.5</v>
      </c>
      <c r="H213" s="15" t="n">
        <f aca="false">G213*(1+IF(H$3&lt;=$O$2,$D213,$D213-($D213-$I$211)*MIN(H$3-$O$2,$Q$2)/$Q$2))</f>
        <v>16015.625</v>
      </c>
      <c r="I213" s="15" t="n">
        <f aca="false">H213*(1+IF(I$3&lt;=$O$2,$D213,$D213-($D213-$I$211)*MIN(I$3-$O$2,$Q$2)/$Q$2))</f>
        <v>20019.53125</v>
      </c>
      <c r="J213" s="15" t="n">
        <f aca="false">I213*(1+IF(J$3&lt;=$O$2,$D213,$D213-($D213-$I$211)*MIN(J$3-$O$2,$Q$2)/$Q$2))</f>
        <v>24116.728515625</v>
      </c>
      <c r="K213" s="15" t="n">
        <f aca="false">J213*(1+IF(K$3&lt;=$O$2,$D213,$D213-($D213-$I$211)*MIN(K$3-$O$2,$Q$2)/$Q$2))</f>
        <v>27959.0057027344</v>
      </c>
      <c r="L213" s="15" t="n">
        <f aca="false">K213*(1+IF(L$3&lt;=$O$2,$D213,$D213-($D213-$I$211)*MIN(L$3-$O$2,$Q$2)/$Q$2))</f>
        <v>31145.773172732</v>
      </c>
      <c r="M213" s="15" t="n">
        <f aca="false">L213*(1+IF(M$3&lt;=$O$2,$D213,$D213-($D213-$I$211)*MIN(M$3-$O$2,$Q$2)/$Q$2))</f>
        <v>33283.6190433084</v>
      </c>
      <c r="N213" s="15" t="n">
        <f aca="false">M213*(1+IF(N$3&lt;=$O$2,$D213,$D213-($D213-$I$211)*MIN(N$3-$O$2,$Q$2)/$Q$2))</f>
        <v>34059.1273670174</v>
      </c>
      <c r="O213" s="15" t="n">
        <f aca="false">SUMPRODUCT(E213:N213,1/(1+$F$211)^$E$3:$N$3)*$E$2</f>
        <v>43307.3503821068</v>
      </c>
      <c r="P213" s="15" t="n">
        <f aca="false">N213*$E$2*(1+$I$211)/($F$211-$I$211)/(1+$F$211)^$N$3</f>
        <v>100851.083976535</v>
      </c>
      <c r="Q213" s="15" t="n">
        <f aca="false">O213+P213</f>
        <v>144158.434358641</v>
      </c>
      <c r="R213" s="15" t="n">
        <f aca="false">Q213-$G$2+$I$2</f>
        <v>136813.234358641</v>
      </c>
      <c r="S213" s="42" t="n">
        <f aca="false">R213/$K$2</f>
        <v>583.052351837381</v>
      </c>
      <c r="T213" s="43" t="n">
        <f aca="false">S213-$M$2</f>
        <v>502.038075255237</v>
      </c>
    </row>
    <row r="214" customFormat="false" ht="15" hidden="false" customHeight="false" outlineLevel="0" collapsed="false">
      <c r="A214" s="5" t="n">
        <v>2</v>
      </c>
      <c r="B214" s="25" t="n">
        <f aca="false">IF(T213&gt;0,B213,D213)</f>
        <v>-0.5</v>
      </c>
      <c r="C214" s="25" t="n">
        <f aca="false">IF(T213&gt;0,D213,C213)</f>
        <v>0.25</v>
      </c>
      <c r="D214" s="41" t="n">
        <f aca="false">(B214+C214)/2</f>
        <v>-0.125</v>
      </c>
      <c r="E214" s="15" t="n">
        <f aca="false">$C$2*(1+IF(E$3&lt;=$O$2,$D214,$D214-($D214-$I$211)*MIN(E$3-$O$2,$Q$2)/$Q$2))</f>
        <v>5740</v>
      </c>
      <c r="F214" s="15" t="n">
        <f aca="false">E214*(1+IF(F$3&lt;=$O$2,$D214,$D214-($D214-$I$211)*MIN(F$3-$O$2,$Q$2)/$Q$2))</f>
        <v>5022.5</v>
      </c>
      <c r="G214" s="15" t="n">
        <f aca="false">F214*(1+IF(G$3&lt;=$O$2,$D214,$D214-($D214-$I$211)*MIN(G$3-$O$2,$Q$2)/$Q$2))</f>
        <v>4394.6875</v>
      </c>
      <c r="H214" s="15" t="n">
        <f aca="false">G214*(1+IF(H$3&lt;=$O$2,$D214,$D214-($D214-$I$211)*MIN(H$3-$O$2,$Q$2)/$Q$2))</f>
        <v>3845.3515625</v>
      </c>
      <c r="I214" s="15" t="n">
        <f aca="false">H214*(1+IF(I$3&lt;=$O$2,$D214,$D214-($D214-$I$211)*MIN(I$3-$O$2,$Q$2)/$Q$2))</f>
        <v>3364.6826171875</v>
      </c>
      <c r="J214" s="15" t="n">
        <f aca="false">I214*(1+IF(J$3&lt;=$O$2,$D214,$D214-($D214-$I$211)*MIN(J$3-$O$2,$Q$2)/$Q$2))</f>
        <v>3043.89377646484</v>
      </c>
      <c r="K214" s="15" t="n">
        <f aca="false">J214*(1+IF(K$3&lt;=$O$2,$D214,$D214-($D214-$I$211)*MIN(K$3-$O$2,$Q$2)/$Q$2))</f>
        <v>2843.97083322663</v>
      </c>
      <c r="L214" s="15" t="n">
        <f aca="false">K214*(1+IF(L$3&lt;=$O$2,$D214,$D214-($D214-$I$211)*MIN(L$3-$O$2,$Q$2)/$Q$2))</f>
        <v>2741.53100381381</v>
      </c>
      <c r="M214" s="15" t="n">
        <f aca="false">L214*(1+IF(M$3&lt;=$O$2,$D214,$D214-($D214-$I$211)*MIN(M$3-$O$2,$Q$2)/$Q$2))</f>
        <v>2724.09486662955</v>
      </c>
      <c r="N214" s="15" t="n">
        <f aca="false">M214*(1+IF(N$3&lt;=$O$2,$D214,$D214-($D214-$I$211)*MIN(N$3-$O$2,$Q$2)/$Q$2))</f>
        <v>2787.56627702202</v>
      </c>
      <c r="O214" s="15" t="n">
        <f aca="false">SUMPRODUCT(E214:N214,1/(1+$F$211)^$E$3:$N$3)*$E$2</f>
        <v>8404.58352185851</v>
      </c>
      <c r="P214" s="15" t="n">
        <f aca="false">N214*$E$2*(1+$I$211)/($F$211-$I$211)/(1+$F$211)^$N$3</f>
        <v>8254.14807797885</v>
      </c>
      <c r="Q214" s="15" t="n">
        <f aca="false">O214+P214</f>
        <v>16658.7315998374</v>
      </c>
      <c r="R214" s="15" t="n">
        <f aca="false">Q214-$G$2+$I$2</f>
        <v>9313.53159983736</v>
      </c>
      <c r="S214" s="42" t="n">
        <f aca="false">R214/$K$2</f>
        <v>39.6911638603766</v>
      </c>
      <c r="T214" s="43" t="n">
        <f aca="false">S214-$M$2</f>
        <v>-41.3231127217671</v>
      </c>
    </row>
    <row r="215" customFormat="false" ht="15" hidden="false" customHeight="false" outlineLevel="0" collapsed="false">
      <c r="A215" s="5" t="n">
        <v>3</v>
      </c>
      <c r="B215" s="25" t="n">
        <f aca="false">IF(T214&gt;0,B214,D214)</f>
        <v>-0.125</v>
      </c>
      <c r="C215" s="25" t="n">
        <f aca="false">IF(T214&gt;0,D214,C214)</f>
        <v>0.25</v>
      </c>
      <c r="D215" s="41" t="n">
        <f aca="false">(B215+C215)/2</f>
        <v>0.0625</v>
      </c>
      <c r="E215" s="15" t="n">
        <f aca="false">$C$2*(1+IF(E$3&lt;=$O$2,$D215,$D215-($D215-$I$211)*MIN(E$3-$O$2,$Q$2)/$Q$2))</f>
        <v>6970</v>
      </c>
      <c r="F215" s="15" t="n">
        <f aca="false">E215*(1+IF(F$3&lt;=$O$2,$D215,$D215-($D215-$I$211)*MIN(F$3-$O$2,$Q$2)/$Q$2))</f>
        <v>7405.625</v>
      </c>
      <c r="G215" s="15" t="n">
        <f aca="false">F215*(1+IF(G$3&lt;=$O$2,$D215,$D215-($D215-$I$211)*MIN(G$3-$O$2,$Q$2)/$Q$2))</f>
        <v>7868.4765625</v>
      </c>
      <c r="H215" s="15" t="n">
        <f aca="false">G215*(1+IF(H$3&lt;=$O$2,$D215,$D215-($D215-$I$211)*MIN(H$3-$O$2,$Q$2)/$Q$2))</f>
        <v>8360.25634765625</v>
      </c>
      <c r="I215" s="15" t="n">
        <f aca="false">H215*(1+IF(I$3&lt;=$O$2,$D215,$D215-($D215-$I$211)*MIN(I$3-$O$2,$Q$2)/$Q$2))</f>
        <v>8882.77236938477</v>
      </c>
      <c r="J215" s="15" t="n">
        <f aca="false">I215*(1+IF(J$3&lt;=$O$2,$D215,$D215-($D215-$I$211)*MIN(J$3-$O$2,$Q$2)/$Q$2))</f>
        <v>9368.30470709534</v>
      </c>
      <c r="K215" s="15" t="n">
        <f aca="false">J215*(1+IF(K$3&lt;=$O$2,$D215,$D215-($D215-$I$211)*MIN(K$3-$O$2,$Q$2)/$Q$2))</f>
        <v>9806.92873348154</v>
      </c>
      <c r="L215" s="15" t="n">
        <f aca="false">K215*(1+IF(L$3&lt;=$O$2,$D215,$D215-($D215-$I$211)*MIN(L$3-$O$2,$Q$2)/$Q$2))</f>
        <v>10189.2028155127</v>
      </c>
      <c r="M215" s="15" t="n">
        <f aca="false">L215*(1+IF(M$3&lt;=$O$2,$D215,$D215-($D215-$I$211)*MIN(M$3-$O$2,$Q$2)/$Q$2))</f>
        <v>10506.4945911877</v>
      </c>
      <c r="N215" s="15" t="n">
        <f aca="false">M215*(1+IF(N$3&lt;=$O$2,$D215,$D215-($D215-$I$211)*MIN(N$3-$O$2,$Q$2)/$Q$2))</f>
        <v>10751.2959151624</v>
      </c>
      <c r="O215" s="15" t="n">
        <f aca="false">SUMPRODUCT(E215:N215,1/(1+$F$211)^$E$3:$N$3)*$E$2</f>
        <v>19065.3901384653</v>
      </c>
      <c r="P215" s="15" t="n">
        <f aca="false">N215*$E$2*(1+$I$211)/($F$211-$I$211)/(1+$F$211)^$N$3</f>
        <v>31835.221011758</v>
      </c>
      <c r="Q215" s="15" t="n">
        <f aca="false">O215+P215</f>
        <v>50900.6111502233</v>
      </c>
      <c r="R215" s="15" t="n">
        <f aca="false">Q215-$G$2+$I$2</f>
        <v>43555.4111502233</v>
      </c>
      <c r="S215" s="42" t="n">
        <f aca="false">R215/$K$2</f>
        <v>185.618628383649</v>
      </c>
      <c r="T215" s="43" t="n">
        <f aca="false">S215-$M$2</f>
        <v>104.604351801506</v>
      </c>
    </row>
    <row r="216" customFormat="false" ht="15" hidden="false" customHeight="false" outlineLevel="0" collapsed="false">
      <c r="A216" s="5" t="n">
        <v>4</v>
      </c>
      <c r="B216" s="25" t="n">
        <f aca="false">IF(T215&gt;0,B215,D215)</f>
        <v>-0.125</v>
      </c>
      <c r="C216" s="25" t="n">
        <f aca="false">IF(T215&gt;0,D215,C215)</f>
        <v>0.0625</v>
      </c>
      <c r="D216" s="41" t="n">
        <f aca="false">(B216+C216)/2</f>
        <v>-0.03125</v>
      </c>
      <c r="E216" s="15" t="n">
        <f aca="false">$C$2*(1+IF(E$3&lt;=$O$2,$D216,$D216-($D216-$I$211)*MIN(E$3-$O$2,$Q$2)/$Q$2))</f>
        <v>6355</v>
      </c>
      <c r="F216" s="15" t="n">
        <f aca="false">E216*(1+IF(F$3&lt;=$O$2,$D216,$D216-($D216-$I$211)*MIN(F$3-$O$2,$Q$2)/$Q$2))</f>
        <v>6156.40625</v>
      </c>
      <c r="G216" s="15" t="n">
        <f aca="false">F216*(1+IF(G$3&lt;=$O$2,$D216,$D216-($D216-$I$211)*MIN(G$3-$O$2,$Q$2)/$Q$2))</f>
        <v>5964.0185546875</v>
      </c>
      <c r="H216" s="15" t="n">
        <f aca="false">G216*(1+IF(H$3&lt;=$O$2,$D216,$D216-($D216-$I$211)*MIN(H$3-$O$2,$Q$2)/$Q$2))</f>
        <v>5777.64297485352</v>
      </c>
      <c r="I216" s="15" t="n">
        <f aca="false">H216*(1+IF(I$3&lt;=$O$2,$D216,$D216-($D216-$I$211)*MIN(I$3-$O$2,$Q$2)/$Q$2))</f>
        <v>5597.09163188934</v>
      </c>
      <c r="J216" s="15" t="n">
        <f aca="false">I216*(1+IF(J$3&lt;=$O$2,$D216,$D216-($D216-$I$211)*MIN(J$3-$O$2,$Q$2)/$Q$2))</f>
        <v>5483.24678809671</v>
      </c>
      <c r="K216" s="15" t="n">
        <f aca="false">J216*(1+IF(K$3&lt;=$O$2,$D216,$D216-($D216-$I$211)*MIN(K$3-$O$2,$Q$2)/$Q$2))</f>
        <v>5431.53977088496</v>
      </c>
      <c r="L216" s="15" t="n">
        <f aca="false">K216*(1+IF(L$3&lt;=$O$2,$D216,$D216-($D216-$I$211)*MIN(L$3-$O$2,$Q$2)/$Q$2))</f>
        <v>5439.57844974587</v>
      </c>
      <c r="M216" s="15" t="n">
        <f aca="false">L216*(1+IF(M$3&lt;=$O$2,$D216,$D216-($D216-$I$211)*MIN(M$3-$O$2,$Q$2)/$Q$2))</f>
        <v>5506.97482673822</v>
      </c>
      <c r="N216" s="15" t="n">
        <f aca="false">M216*(1+IF(N$3&lt;=$O$2,$D216,$D216-($D216-$I$211)*MIN(N$3-$O$2,$Q$2)/$Q$2))</f>
        <v>5635.28734020122</v>
      </c>
      <c r="O216" s="15" t="n">
        <f aca="false">SUMPRODUCT(E216:N216,1/(1+$F$211)^$E$3:$N$3)*$E$2</f>
        <v>12624.5885939791</v>
      </c>
      <c r="P216" s="15" t="n">
        <f aca="false">N216*$E$2*(1+$I$211)/($F$211-$I$211)/(1+$F$211)^$N$3</f>
        <v>16686.4180239948</v>
      </c>
      <c r="Q216" s="15" t="n">
        <f aca="false">O216+P216</f>
        <v>29311.006617974</v>
      </c>
      <c r="R216" s="15" t="n">
        <f aca="false">Q216-$G$2+$I$2</f>
        <v>21965.806617974</v>
      </c>
      <c r="S216" s="42" t="n">
        <f aca="false">R216/$K$2</f>
        <v>93.6109380693542</v>
      </c>
      <c r="T216" s="43" t="n">
        <f aca="false">S216-$M$2</f>
        <v>12.5966614872106</v>
      </c>
    </row>
    <row r="217" customFormat="false" ht="15" hidden="false" customHeight="false" outlineLevel="0" collapsed="false">
      <c r="A217" s="5" t="n">
        <v>5</v>
      </c>
      <c r="B217" s="25" t="n">
        <f aca="false">IF(T216&gt;0,B216,D216)</f>
        <v>-0.125</v>
      </c>
      <c r="C217" s="25" t="n">
        <f aca="false">IF(T216&gt;0,D216,C216)</f>
        <v>-0.03125</v>
      </c>
      <c r="D217" s="41" t="n">
        <f aca="false">(B217+C217)/2</f>
        <v>-0.078125</v>
      </c>
      <c r="E217" s="15" t="n">
        <f aca="false">$C$2*(1+IF(E$3&lt;=$O$2,$D217,$D217-($D217-$I$211)*MIN(E$3-$O$2,$Q$2)/$Q$2))</f>
        <v>6047.5</v>
      </c>
      <c r="F217" s="15" t="n">
        <f aca="false">E217*(1+IF(F$3&lt;=$O$2,$D217,$D217-($D217-$I$211)*MIN(F$3-$O$2,$Q$2)/$Q$2))</f>
        <v>5575.0390625</v>
      </c>
      <c r="G217" s="15" t="n">
        <f aca="false">F217*(1+IF(G$3&lt;=$O$2,$D217,$D217-($D217-$I$211)*MIN(G$3-$O$2,$Q$2)/$Q$2))</f>
        <v>5139.48913574219</v>
      </c>
      <c r="H217" s="15" t="n">
        <f aca="false">G217*(1+IF(H$3&lt;=$O$2,$D217,$D217-($D217-$I$211)*MIN(H$3-$O$2,$Q$2)/$Q$2))</f>
        <v>4737.96654701233</v>
      </c>
      <c r="I217" s="15" t="n">
        <f aca="false">H217*(1+IF(I$3&lt;=$O$2,$D217,$D217-($D217-$I$211)*MIN(I$3-$O$2,$Q$2)/$Q$2))</f>
        <v>4367.81291052699</v>
      </c>
      <c r="J217" s="15" t="n">
        <f aca="false">I217*(1+IF(J$3&lt;=$O$2,$D217,$D217-($D217-$I$211)*MIN(J$3-$O$2,$Q$2)/$Q$2))</f>
        <v>4115.17861178211</v>
      </c>
      <c r="K217" s="15" t="n">
        <f aca="false">J217*(1+IF(K$3&lt;=$O$2,$D217,$D217-($D217-$I$211)*MIN(K$3-$O$2,$Q$2)/$Q$2))</f>
        <v>3960.63307901663</v>
      </c>
      <c r="L217" s="15" t="n">
        <f aca="false">K217*(1+IF(L$3&lt;=$O$2,$D217,$D217-($D217-$I$211)*MIN(L$3-$O$2,$Q$2)/$Q$2))</f>
        <v>3892.23294574201</v>
      </c>
      <c r="M217" s="15" t="n">
        <f aca="false">L217*(1+IF(M$3&lt;=$O$2,$D217,$D217-($D217-$I$211)*MIN(M$3-$O$2,$Q$2)/$Q$2))</f>
        <v>3903.96802807343</v>
      </c>
      <c r="N217" s="15" t="n">
        <f aca="false">M217*(1+IF(N$3&lt;=$O$2,$D217,$D217-($D217-$I$211)*MIN(N$3-$O$2,$Q$2)/$Q$2))</f>
        <v>3994.93048312754</v>
      </c>
      <c r="O217" s="15" t="n">
        <f aca="false">SUMPRODUCT(E217:N217,1/(1+$F$211)^$E$3:$N$3)*$E$2</f>
        <v>10290.3398540901</v>
      </c>
      <c r="P217" s="15" t="n">
        <f aca="false">N217*$E$2*(1+$I$211)/($F$211-$I$211)/(1+$F$211)^$N$3</f>
        <v>11829.2246684063</v>
      </c>
      <c r="Q217" s="15" t="n">
        <f aca="false">O217+P217</f>
        <v>22119.5645224964</v>
      </c>
      <c r="R217" s="15" t="n">
        <f aca="false">Q217-$G$2+$I$2</f>
        <v>14774.3645224963</v>
      </c>
      <c r="S217" s="42" t="n">
        <f aca="false">R217/$K$2</f>
        <v>62.9634115597543</v>
      </c>
      <c r="T217" s="43" t="n">
        <f aca="false">S217-$M$2</f>
        <v>-18.0508650223893</v>
      </c>
    </row>
    <row r="218" customFormat="false" ht="15" hidden="false" customHeight="false" outlineLevel="0" collapsed="false">
      <c r="A218" s="5" t="n">
        <v>6</v>
      </c>
      <c r="B218" s="25" t="n">
        <f aca="false">IF(T217&gt;0,B217,D217)</f>
        <v>-0.078125</v>
      </c>
      <c r="C218" s="25" t="n">
        <f aca="false">IF(T217&gt;0,D217,C217)</f>
        <v>-0.03125</v>
      </c>
      <c r="D218" s="41" t="n">
        <f aca="false">(B218+C218)/2</f>
        <v>-0.0546875</v>
      </c>
      <c r="E218" s="15" t="n">
        <f aca="false">$C$2*(1+IF(E$3&lt;=$O$2,$D218,$D218-($D218-$I$211)*MIN(E$3-$O$2,$Q$2)/$Q$2))</f>
        <v>6201.25</v>
      </c>
      <c r="F218" s="15" t="n">
        <f aca="false">E218*(1+IF(F$3&lt;=$O$2,$D218,$D218-($D218-$I$211)*MIN(F$3-$O$2,$Q$2)/$Q$2))</f>
        <v>5862.119140625</v>
      </c>
      <c r="G218" s="15" t="n">
        <f aca="false">F218*(1+IF(G$3&lt;=$O$2,$D218,$D218-($D218-$I$211)*MIN(G$3-$O$2,$Q$2)/$Q$2))</f>
        <v>5541.53450012207</v>
      </c>
      <c r="H218" s="15" t="n">
        <f aca="false">G218*(1+IF(H$3&lt;=$O$2,$D218,$D218-($D218-$I$211)*MIN(H$3-$O$2,$Q$2)/$Q$2))</f>
        <v>5238.48183214665</v>
      </c>
      <c r="I218" s="15" t="n">
        <f aca="false">H218*(1+IF(I$3&lt;=$O$2,$D218,$D218-($D218-$I$211)*MIN(I$3-$O$2,$Q$2)/$Q$2))</f>
        <v>4952.00235695113</v>
      </c>
      <c r="J218" s="15" t="n">
        <f aca="false">I218*(1+IF(J$3&lt;=$O$2,$D218,$D218-($D218-$I$211)*MIN(J$3-$O$2,$Q$2)/$Q$2))</f>
        <v>4758.42858481791</v>
      </c>
      <c r="K218" s="15" t="n">
        <f aca="false">J218*(1+IF(K$3&lt;=$O$2,$D218,$D218-($D218-$I$211)*MIN(K$3-$O$2,$Q$2)/$Q$2))</f>
        <v>4646.64120128907</v>
      </c>
      <c r="L218" s="15" t="n">
        <f aca="false">K218*(1+IF(L$3&lt;=$O$2,$D218,$D218-($D218-$I$211)*MIN(L$3-$O$2,$Q$2)/$Q$2))</f>
        <v>4609.95596900489</v>
      </c>
      <c r="M218" s="15" t="n">
        <f aca="false">L218*(1+IF(M$3&lt;=$O$2,$D218,$D218-($D218-$I$211)*MIN(M$3-$O$2,$Q$2)/$Q$2))</f>
        <v>4645.46415485616</v>
      </c>
      <c r="N218" s="15" t="n">
        <f aca="false">M218*(1+IF(N$3&lt;=$O$2,$D218,$D218-($D218-$I$211)*MIN(N$3-$O$2,$Q$2)/$Q$2))</f>
        <v>4753.7034696643</v>
      </c>
      <c r="O218" s="15" t="n">
        <f aca="false">SUMPRODUCT(E218:N218,1/(1+$F$211)^$E$3:$N$3)*$E$2</f>
        <v>11395.4692290132</v>
      </c>
      <c r="P218" s="15" t="n">
        <f aca="false">N218*$E$2*(1+$I$211)/($F$211-$I$211)/(1+$F$211)^$N$3</f>
        <v>14075.9962124843</v>
      </c>
      <c r="Q218" s="15" t="n">
        <f aca="false">O218+P218</f>
        <v>25471.4654414975</v>
      </c>
      <c r="R218" s="15" t="n">
        <f aca="false">Q218-$G$2+$I$2</f>
        <v>18126.2654414975</v>
      </c>
      <c r="S218" s="42" t="n">
        <f aca="false">R218/$K$2</f>
        <v>77.2480947858405</v>
      </c>
      <c r="T218" s="43" t="n">
        <f aca="false">S218-$M$2</f>
        <v>-3.76618179630313</v>
      </c>
    </row>
    <row r="219" customFormat="false" ht="15" hidden="false" customHeight="false" outlineLevel="0" collapsed="false">
      <c r="A219" s="5" t="n">
        <v>7</v>
      </c>
      <c r="B219" s="25" t="n">
        <f aca="false">IF(T218&gt;0,B218,D218)</f>
        <v>-0.0546875</v>
      </c>
      <c r="C219" s="25" t="n">
        <f aca="false">IF(T218&gt;0,D218,C218)</f>
        <v>-0.03125</v>
      </c>
      <c r="D219" s="41" t="n">
        <f aca="false">(B219+C219)/2</f>
        <v>-0.04296875</v>
      </c>
      <c r="E219" s="15" t="n">
        <f aca="false">$C$2*(1+IF(E$3&lt;=$O$2,$D219,$D219-($D219-$I$211)*MIN(E$3-$O$2,$Q$2)/$Q$2))</f>
        <v>6278.125</v>
      </c>
      <c r="F219" s="15" t="n">
        <f aca="false">E219*(1+IF(F$3&lt;=$O$2,$D219,$D219-($D219-$I$211)*MIN(F$3-$O$2,$Q$2)/$Q$2))</f>
        <v>6008.36181640625</v>
      </c>
      <c r="G219" s="15" t="n">
        <f aca="false">F219*(1+IF(G$3&lt;=$O$2,$D219,$D219-($D219-$I$211)*MIN(G$3-$O$2,$Q$2)/$Q$2))</f>
        <v>5750.19001960754</v>
      </c>
      <c r="H219" s="15" t="n">
        <f aca="false">G219*(1+IF(H$3&lt;=$O$2,$D219,$D219-($D219-$I$211)*MIN(H$3-$O$2,$Q$2)/$Q$2))</f>
        <v>5503.11154220253</v>
      </c>
      <c r="I219" s="15" t="n">
        <f aca="false">H219*(1+IF(I$3&lt;=$O$2,$D219,$D219-($D219-$I$211)*MIN(I$3-$O$2,$Q$2)/$Q$2))</f>
        <v>5266.64971812352</v>
      </c>
      <c r="J219" s="15" t="n">
        <f aca="false">I219*(1+IF(J$3&lt;=$O$2,$D219,$D219-($D219-$I$211)*MIN(J$3-$O$2,$Q$2)/$Q$2))</f>
        <v>5110.15122174948</v>
      </c>
      <c r="K219" s="15" t="n">
        <f aca="false">J219*(1+IF(K$3&lt;=$O$2,$D219,$D219-($D219-$I$211)*MIN(K$3-$O$2,$Q$2)/$Q$2))</f>
        <v>5026.03174495045</v>
      </c>
      <c r="L219" s="15" t="n">
        <f aca="false">K219*(1+IF(L$3&lt;=$O$2,$D219,$D219-($D219-$I$211)*MIN(L$3-$O$2,$Q$2)/$Q$2))</f>
        <v>5009.91074812852</v>
      </c>
      <c r="M219" s="15" t="n">
        <f aca="false">L219*(1+IF(M$3&lt;=$O$2,$D219,$D219-($D219-$I$211)*MIN(M$3-$O$2,$Q$2)/$Q$2))</f>
        <v>5060.24156398191</v>
      </c>
      <c r="N219" s="15" t="n">
        <f aca="false">M219*(1+IF(N$3&lt;=$O$2,$D219,$D219-($D219-$I$211)*MIN(N$3-$O$2,$Q$2)/$Q$2))</f>
        <v>5178.14519242269</v>
      </c>
      <c r="O219" s="15" t="n">
        <f aca="false">SUMPRODUCT(E219:N219,1/(1+$F$211)^$E$3:$N$3)*$E$2</f>
        <v>11993.7283844208</v>
      </c>
      <c r="P219" s="15" t="n">
        <f aca="false">N219*$E$2*(1+$I$211)/($F$211-$I$211)/(1+$F$211)^$N$3</f>
        <v>15332.7931751247</v>
      </c>
      <c r="Q219" s="15" t="n">
        <f aca="false">O219+P219</f>
        <v>27326.5215595456</v>
      </c>
      <c r="R219" s="15" t="n">
        <f aca="false">Q219-$G$2+$I$2</f>
        <v>19981.3215595456</v>
      </c>
      <c r="S219" s="42" t="n">
        <f aca="false">R219/$K$2</f>
        <v>85.1537249501197</v>
      </c>
      <c r="T219" s="43" t="n">
        <f aca="false">S219-$M$2</f>
        <v>4.13944836797606</v>
      </c>
    </row>
    <row r="220" customFormat="false" ht="15" hidden="false" customHeight="false" outlineLevel="0" collapsed="false">
      <c r="A220" s="5" t="n">
        <v>8</v>
      </c>
      <c r="B220" s="25" t="n">
        <f aca="false">IF(T219&gt;0,B219,D219)</f>
        <v>-0.0546875</v>
      </c>
      <c r="C220" s="25" t="n">
        <f aca="false">IF(T219&gt;0,D219,C219)</f>
        <v>-0.04296875</v>
      </c>
      <c r="D220" s="41" t="n">
        <f aca="false">(B220+C220)/2</f>
        <v>-0.048828125</v>
      </c>
      <c r="E220" s="15" t="n">
        <f aca="false">$C$2*(1+IF(E$3&lt;=$O$2,$D220,$D220-($D220-$I$211)*MIN(E$3-$O$2,$Q$2)/$Q$2))</f>
        <v>6239.6875</v>
      </c>
      <c r="F220" s="15" t="n">
        <f aca="false">E220*(1+IF(F$3&lt;=$O$2,$D220,$D220-($D220-$I$211)*MIN(F$3-$O$2,$Q$2)/$Q$2))</f>
        <v>5935.01525878906</v>
      </c>
      <c r="G220" s="15" t="n">
        <f aca="false">F220*(1+IF(G$3&lt;=$O$2,$D220,$D220-($D220-$I$211)*MIN(G$3-$O$2,$Q$2)/$Q$2))</f>
        <v>5645.219591856</v>
      </c>
      <c r="H220" s="15" t="n">
        <f aca="false">G220*(1+IF(H$3&lt;=$O$2,$D220,$D220-($D220-$I$211)*MIN(H$3-$O$2,$Q$2)/$Q$2))</f>
        <v>5369.57410397241</v>
      </c>
      <c r="I220" s="15" t="n">
        <f aca="false">H220*(1+IF(I$3&lt;=$O$2,$D220,$D220-($D220-$I$211)*MIN(I$3-$O$2,$Q$2)/$Q$2))</f>
        <v>5107.38786842688</v>
      </c>
      <c r="J220" s="15" t="n">
        <f aca="false">I220*(1+IF(J$3&lt;=$O$2,$D220,$D220-($D220-$I$211)*MIN(J$3-$O$2,$Q$2)/$Q$2))</f>
        <v>4931.68095728333</v>
      </c>
      <c r="K220" s="15" t="n">
        <f aca="false">J220*(1+IF(K$3&lt;=$O$2,$D220,$D220-($D220-$I$211)*MIN(K$3-$O$2,$Q$2)/$Q$2))</f>
        <v>4833.1613832598</v>
      </c>
      <c r="L220" s="15" t="n">
        <f aca="false">K220*(1+IF(L$3&lt;=$O$2,$D220,$D220-($D220-$I$211)*MIN(L$3-$O$2,$Q$2)/$Q$2))</f>
        <v>4806.33129613098</v>
      </c>
      <c r="M220" s="15" t="n">
        <f aca="false">L220*(1+IF(M$3&lt;=$O$2,$D220,$D220-($D220-$I$211)*MIN(M$3-$O$2,$Q$2)/$Q$2))</f>
        <v>4848.98448242708</v>
      </c>
      <c r="N220" s="15" t="n">
        <f aca="false">M220*(1+IF(N$3&lt;=$O$2,$D220,$D220-($D220-$I$211)*MIN(N$3-$O$2,$Q$2)/$Q$2))</f>
        <v>4961.96582086763</v>
      </c>
      <c r="O220" s="15" t="n">
        <f aca="false">SUMPRODUCT(E220:N220,1/(1+$F$211)^$E$3:$N$3)*$E$2</f>
        <v>11690.6267118414</v>
      </c>
      <c r="P220" s="15" t="n">
        <f aca="false">N220*$E$2*(1+$I$211)/($F$211-$I$211)/(1+$F$211)^$N$3</f>
        <v>14692.673311813</v>
      </c>
      <c r="Q220" s="15" t="n">
        <f aca="false">O220+P220</f>
        <v>26383.3000236544</v>
      </c>
      <c r="R220" s="15" t="n">
        <f aca="false">Q220-$G$2+$I$2</f>
        <v>19038.1000236544</v>
      </c>
      <c r="S220" s="42" t="n">
        <f aca="false">R220/$K$2</f>
        <v>81.1340295063047</v>
      </c>
      <c r="T220" s="43" t="n">
        <f aca="false">S220-$M$2</f>
        <v>0.119752924161091</v>
      </c>
    </row>
    <row r="221" customFormat="false" ht="15" hidden="false" customHeight="false" outlineLevel="0" collapsed="false">
      <c r="A221" s="5" t="n">
        <v>9</v>
      </c>
      <c r="B221" s="25" t="n">
        <f aca="false">IF(T220&gt;0,B220,D220)</f>
        <v>-0.0546875</v>
      </c>
      <c r="C221" s="25" t="n">
        <f aca="false">IF(T220&gt;0,D220,C220)</f>
        <v>-0.048828125</v>
      </c>
      <c r="D221" s="41" t="n">
        <f aca="false">(B221+C221)/2</f>
        <v>-0.0517578125</v>
      </c>
      <c r="E221" s="15" t="n">
        <f aca="false">$C$2*(1+IF(E$3&lt;=$O$2,$D221,$D221-($D221-$I$211)*MIN(E$3-$O$2,$Q$2)/$Q$2))</f>
        <v>6220.46875</v>
      </c>
      <c r="F221" s="15" t="n">
        <f aca="false">E221*(1+IF(F$3&lt;=$O$2,$D221,$D221-($D221-$I$211)*MIN(F$3-$O$2,$Q$2)/$Q$2))</f>
        <v>5898.51089477539</v>
      </c>
      <c r="G221" s="15" t="n">
        <f aca="false">F221*(1+IF(G$3&lt;=$O$2,$D221,$D221-($D221-$I$211)*MIN(G$3-$O$2,$Q$2)/$Q$2))</f>
        <v>5593.2168738544</v>
      </c>
      <c r="H221" s="15" t="n">
        <f aca="false">G221*(1+IF(H$3&lt;=$O$2,$D221,$D221-($D221-$I$211)*MIN(H$3-$O$2,$Q$2)/$Q$2))</f>
        <v>5303.72420362561</v>
      </c>
      <c r="I221" s="15" t="n">
        <f aca="false">H221*(1+IF(I$3&lt;=$O$2,$D221,$D221-($D221-$I$211)*MIN(I$3-$O$2,$Q$2)/$Q$2))</f>
        <v>5029.21504074264</v>
      </c>
      <c r="J221" s="15" t="n">
        <f aca="false">I221*(1+IF(J$3&lt;=$O$2,$D221,$D221-($D221-$I$211)*MIN(J$3-$O$2,$Q$2)/$Q$2))</f>
        <v>4844.41024755175</v>
      </c>
      <c r="K221" s="15" t="n">
        <f aca="false">J221*(1+IF(K$3&lt;=$O$2,$D221,$D221-($D221-$I$211)*MIN(K$3-$O$2,$Q$2)/$Q$2))</f>
        <v>4739.11850469942</v>
      </c>
      <c r="L221" s="15" t="n">
        <f aca="false">K221*(1+IF(L$3&lt;=$O$2,$D221,$D221-($D221-$I$211)*MIN(L$3-$O$2,$Q$2)/$Q$2))</f>
        <v>4707.25681860251</v>
      </c>
      <c r="M221" s="15" t="n">
        <f aca="false">L221*(1+IF(M$3&lt;=$O$2,$D221,$D221-($D221-$I$211)*MIN(M$3-$O$2,$Q$2)/$Q$2))</f>
        <v>4746.27262253995</v>
      </c>
      <c r="N221" s="15" t="n">
        <f aca="false">M221*(1+IF(N$3&lt;=$O$2,$D221,$D221-($D221-$I$211)*MIN(N$3-$O$2,$Q$2)/$Q$2))</f>
        <v>4856.86077464513</v>
      </c>
      <c r="O221" s="15" t="n">
        <f aca="false">SUMPRODUCT(E221:N221,1/(1+$F$211)^$E$3:$N$3)*$E$2</f>
        <v>11542.067575933</v>
      </c>
      <c r="P221" s="15" t="n">
        <f aca="false">N221*$E$2*(1+$I$211)/($F$211-$I$211)/(1+$F$211)^$N$3</f>
        <v>14381.451073829</v>
      </c>
      <c r="Q221" s="15" t="n">
        <f aca="false">O221+P221</f>
        <v>25923.518649762</v>
      </c>
      <c r="R221" s="15" t="n">
        <f aca="false">Q221-$G$2+$I$2</f>
        <v>18578.318649762</v>
      </c>
      <c r="S221" s="42" t="n">
        <f aca="false">R221/$K$2</f>
        <v>79.1745947145195</v>
      </c>
      <c r="T221" s="43" t="n">
        <f aca="false">S221-$M$2</f>
        <v>-1.83968186762415</v>
      </c>
    </row>
    <row r="222" customFormat="false" ht="15" hidden="false" customHeight="false" outlineLevel="0" collapsed="false">
      <c r="A222" s="5" t="n">
        <v>10</v>
      </c>
      <c r="B222" s="25" t="n">
        <f aca="false">IF(T221&gt;0,B221,D221)</f>
        <v>-0.0517578125</v>
      </c>
      <c r="C222" s="25" t="n">
        <f aca="false">IF(T221&gt;0,D221,C221)</f>
        <v>-0.048828125</v>
      </c>
      <c r="D222" s="41" t="n">
        <f aca="false">(B222+C222)/2</f>
        <v>-0.05029296875</v>
      </c>
      <c r="E222" s="15" t="n">
        <f aca="false">$C$2*(1+IF(E$3&lt;=$O$2,$D222,$D222-($D222-$I$211)*MIN(E$3-$O$2,$Q$2)/$Q$2))</f>
        <v>6230.078125</v>
      </c>
      <c r="F222" s="15" t="n">
        <f aca="false">E222*(1+IF(F$3&lt;=$O$2,$D222,$D222-($D222-$I$211)*MIN(F$3-$O$2,$Q$2)/$Q$2))</f>
        <v>5916.74900054932</v>
      </c>
      <c r="G222" s="15" t="n">
        <f aca="false">F222*(1+IF(G$3&lt;=$O$2,$D222,$D222-($D222-$I$211)*MIN(G$3-$O$2,$Q$2)/$Q$2))</f>
        <v>5619.1781279631</v>
      </c>
      <c r="H222" s="15" t="n">
        <f aca="false">G222*(1+IF(H$3&lt;=$O$2,$D222,$D222-($D222-$I$211)*MIN(H$3-$O$2,$Q$2)/$Q$2))</f>
        <v>5336.57297797276</v>
      </c>
      <c r="I222" s="15" t="n">
        <f aca="false">H222*(1+IF(I$3&lt;=$O$2,$D222,$D222-($D222-$I$211)*MIN(I$3-$O$2,$Q$2)/$Q$2))</f>
        <v>5068.18087995949</v>
      </c>
      <c r="J222" s="15" t="n">
        <f aca="false">I222*(1+IF(J$3&lt;=$O$2,$D222,$D222-($D222-$I$211)*MIN(J$3-$O$2,$Q$2)/$Q$2))</f>
        <v>4887.88351276798</v>
      </c>
      <c r="K222" s="15" t="n">
        <f aca="false">J222*(1+IF(K$3&lt;=$O$2,$D222,$D222-($D222-$I$211)*MIN(K$3-$O$2,$Q$2)/$Q$2))</f>
        <v>4785.94288345021</v>
      </c>
      <c r="L222" s="15" t="n">
        <f aca="false">K222*(1+IF(L$3&lt;=$O$2,$D222,$D222-($D222-$I$211)*MIN(L$3-$O$2,$Q$2)/$Q$2))</f>
        <v>4756.57065461018</v>
      </c>
      <c r="M222" s="15" t="n">
        <f aca="false">L222*(1+IF(M$3&lt;=$O$2,$D222,$D222-($D222-$I$211)*MIN(M$3-$O$2,$Q$2)/$Q$2))</f>
        <v>4797.38871975422</v>
      </c>
      <c r="N222" s="15" t="n">
        <f aca="false">M222*(1+IF(N$3&lt;=$O$2,$D222,$D222-($D222-$I$211)*MIN(N$3-$O$2,$Q$2)/$Q$2))</f>
        <v>4909.16787692449</v>
      </c>
      <c r="O222" s="15" t="n">
        <f aca="false">SUMPRODUCT(E222:N222,1/(1+$F$211)^$E$3:$N$3)*$E$2</f>
        <v>11616.1004776545</v>
      </c>
      <c r="P222" s="15" t="n">
        <f aca="false">N222*$E$2*(1+$I$211)/($F$211-$I$211)/(1+$F$211)^$N$3</f>
        <v>14536.3354872698</v>
      </c>
      <c r="Q222" s="15" t="n">
        <f aca="false">O222+P222</f>
        <v>26152.4359649244</v>
      </c>
      <c r="R222" s="15" t="n">
        <f aca="false">Q222-$G$2+$I$2</f>
        <v>18807.2359649244</v>
      </c>
      <c r="S222" s="42" t="n">
        <f aca="false">R222/$K$2</f>
        <v>80.1501639246723</v>
      </c>
      <c r="T222" s="43" t="n">
        <f aca="false">S222-$M$2</f>
        <v>-0.864112657471338</v>
      </c>
    </row>
    <row r="223" customFormat="false" ht="15" hidden="false" customHeight="false" outlineLevel="0" collapsed="false">
      <c r="A223" s="5" t="n">
        <v>11</v>
      </c>
      <c r="B223" s="25" t="n">
        <f aca="false">IF(T222&gt;0,B222,D222)</f>
        <v>-0.05029296875</v>
      </c>
      <c r="C223" s="25" t="n">
        <f aca="false">IF(T222&gt;0,D222,C222)</f>
        <v>-0.048828125</v>
      </c>
      <c r="D223" s="41" t="n">
        <f aca="false">(B223+C223)/2</f>
        <v>-0.049560546875</v>
      </c>
      <c r="E223" s="15" t="n">
        <f aca="false">$C$2*(1+IF(E$3&lt;=$O$2,$D223,$D223-($D223-$I$211)*MIN(E$3-$O$2,$Q$2)/$Q$2))</f>
        <v>6234.8828125</v>
      </c>
      <c r="F223" s="15" t="n">
        <f aca="false">E223*(1+IF(F$3&lt;=$O$2,$D223,$D223-($D223-$I$211)*MIN(F$3-$O$2,$Q$2)/$Q$2))</f>
        <v>5925.87861061096</v>
      </c>
      <c r="G223" s="15" t="n">
        <f aca="false">F223*(1+IF(G$3&lt;=$O$2,$D223,$D223-($D223-$I$211)*MIN(G$3-$O$2,$Q$2)/$Q$2))</f>
        <v>5632.18882595422</v>
      </c>
      <c r="H223" s="15" t="n">
        <f aca="false">G223*(1+IF(H$3&lt;=$O$2,$D223,$D223-($D223-$I$211)*MIN(H$3-$O$2,$Q$2)/$Q$2))</f>
        <v>5353.05446763666</v>
      </c>
      <c r="I223" s="15" t="n">
        <f aca="false">H223*(1+IF(I$3&lt;=$O$2,$D223,$D223-($D223-$I$211)*MIN(I$3-$O$2,$Q$2)/$Q$2))</f>
        <v>5087.75416076893</v>
      </c>
      <c r="J223" s="15" t="n">
        <f aca="false">I223*(1+IF(J$3&lt;=$O$2,$D223,$D223-($D223-$I$211)*MIN(J$3-$O$2,$Q$2)/$Q$2))</f>
        <v>4909.7415922995</v>
      </c>
      <c r="K223" s="15" t="n">
        <f aca="false">J223*(1+IF(K$3&lt;=$O$2,$D223,$D223-($D223-$I$211)*MIN(K$3-$O$2,$Q$2)/$Q$2))</f>
        <v>4809.50269694215</v>
      </c>
      <c r="L223" s="15" t="n">
        <f aca="false">K223*(1+IF(L$3&lt;=$O$2,$D223,$D223-($D223-$I$211)*MIN(L$3-$O$2,$Q$2)/$Q$2))</f>
        <v>4781.39491110251</v>
      </c>
      <c r="M223" s="15" t="n">
        <f aca="false">L223*(1+IF(M$3&lt;=$O$2,$D223,$D223-($D223-$I$211)*MIN(M$3-$O$2,$Q$2)/$Q$2))</f>
        <v>4823.12640292154</v>
      </c>
      <c r="N223" s="15" t="n">
        <f aca="false">M223*(1+IF(N$3&lt;=$O$2,$D223,$D223-($D223-$I$211)*MIN(N$3-$O$2,$Q$2)/$Q$2))</f>
        <v>4935.50524810961</v>
      </c>
      <c r="O223" s="15" t="n">
        <f aca="false">SUMPRODUCT(E223:N223,1/(1+$F$211)^$E$3:$N$3)*$E$2</f>
        <v>11653.3017312764</v>
      </c>
      <c r="P223" s="15" t="n">
        <f aca="false">N223*$E$2*(1+$I$211)/($F$211-$I$211)/(1+$F$211)^$N$3</f>
        <v>14614.3219959812</v>
      </c>
      <c r="Q223" s="15" t="n">
        <f aca="false">O223+P223</f>
        <v>26267.6237272576</v>
      </c>
      <c r="R223" s="15" t="n">
        <f aca="false">Q223-$G$2+$I$2</f>
        <v>18922.4237272576</v>
      </c>
      <c r="S223" s="42" t="n">
        <f aca="false">R223/$K$2</f>
        <v>80.6410557309082</v>
      </c>
      <c r="T223" s="43" t="n">
        <f aca="false">S223-$M$2</f>
        <v>-0.373220851235388</v>
      </c>
    </row>
    <row r="224" customFormat="false" ht="15" hidden="false" customHeight="false" outlineLevel="0" collapsed="false">
      <c r="A224" s="5" t="n">
        <v>12</v>
      </c>
      <c r="B224" s="25" t="n">
        <f aca="false">IF(T223&gt;0,B223,D223)</f>
        <v>-0.049560546875</v>
      </c>
      <c r="C224" s="25" t="n">
        <f aca="false">IF(T223&gt;0,D223,C223)</f>
        <v>-0.048828125</v>
      </c>
      <c r="D224" s="41" t="n">
        <f aca="false">(B224+C224)/2</f>
        <v>-0.0491943359375</v>
      </c>
      <c r="E224" s="15" t="n">
        <f aca="false">$C$2*(1+IF(E$3&lt;=$O$2,$D224,$D224-($D224-$I$211)*MIN(E$3-$O$2,$Q$2)/$Q$2))</f>
        <v>6237.28515625</v>
      </c>
      <c r="F224" s="15" t="n">
        <f aca="false">E224*(1+IF(F$3&lt;=$O$2,$D224,$D224-($D224-$I$211)*MIN(F$3-$O$2,$Q$2)/$Q$2))</f>
        <v>5930.44605493546</v>
      </c>
      <c r="G224" s="15" t="n">
        <f aca="false">F224*(1+IF(G$3&lt;=$O$2,$D224,$D224-($D224-$I$211)*MIN(G$3-$O$2,$Q$2)/$Q$2))</f>
        <v>5638.70169944974</v>
      </c>
      <c r="H224" s="15" t="n">
        <f aca="false">G224*(1+IF(H$3&lt;=$O$2,$D224,$D224-($D224-$I$211)*MIN(H$3-$O$2,$Q$2)/$Q$2))</f>
        <v>5361.30951379566</v>
      </c>
      <c r="I224" s="15" t="n">
        <f aca="false">H224*(1+IF(I$3&lt;=$O$2,$D224,$D224-($D224-$I$211)*MIN(I$3-$O$2,$Q$2)/$Q$2))</f>
        <v>5097.56345250908</v>
      </c>
      <c r="J224" s="15" t="n">
        <f aca="false">I224*(1+IF(J$3&lt;=$O$2,$D224,$D224-($D224-$I$211)*MIN(J$3-$O$2,$Q$2)/$Q$2))</f>
        <v>4920.70109904141</v>
      </c>
      <c r="K224" s="15" t="n">
        <f aca="false">J224*(1+IF(K$3&lt;=$O$2,$D224,$D224-($D224-$I$211)*MIN(K$3-$O$2,$Q$2)/$Q$2))</f>
        <v>4821.31965953591</v>
      </c>
      <c r="L224" s="15" t="n">
        <f aca="false">K224*(1+IF(L$3&lt;=$O$2,$D224,$D224-($D224-$I$211)*MIN(L$3-$O$2,$Q$2)/$Q$2))</f>
        <v>4793.84906077891</v>
      </c>
      <c r="M224" s="15" t="n">
        <f aca="false">L224*(1+IF(M$3&lt;=$O$2,$D224,$D224-($D224-$I$211)*MIN(M$3-$O$2,$Q$2)/$Q$2))</f>
        <v>4836.0403630459</v>
      </c>
      <c r="N224" s="15" t="n">
        <f aca="false">M224*(1+IF(N$3&lt;=$O$2,$D224,$D224-($D224-$I$211)*MIN(N$3-$O$2,$Q$2)/$Q$2))</f>
        <v>4948.72010350487</v>
      </c>
      <c r="O224" s="15" t="n">
        <f aca="false">SUMPRODUCT(E224:N224,1/(1+$F$211)^$E$3:$N$3)*$E$2</f>
        <v>11671.9487310165</v>
      </c>
      <c r="P224" s="15" t="n">
        <f aca="false">N224*$E$2*(1+$I$211)/($F$211-$I$211)/(1+$F$211)^$N$3</f>
        <v>14653.4519618445</v>
      </c>
      <c r="Q224" s="15" t="n">
        <f aca="false">O224+P224</f>
        <v>26325.400692861</v>
      </c>
      <c r="R224" s="15" t="n">
        <f aca="false">Q224-$G$2+$I$2</f>
        <v>18980.200692861</v>
      </c>
      <c r="S224" s="42" t="n">
        <f aca="false">R224/$K$2</f>
        <v>80.8872818788025</v>
      </c>
      <c r="T224" s="43" t="n">
        <f aca="false">S224-$M$2</f>
        <v>-0.126994703341111</v>
      </c>
    </row>
    <row r="225" customFormat="false" ht="15" hidden="false" customHeight="false" outlineLevel="0" collapsed="false">
      <c r="A225" s="5" t="n">
        <v>13</v>
      </c>
      <c r="B225" s="25" t="n">
        <f aca="false">IF(T224&gt;0,B224,D224)</f>
        <v>-0.0491943359375</v>
      </c>
      <c r="C225" s="25" t="n">
        <f aca="false">IF(T224&gt;0,D224,C224)</f>
        <v>-0.048828125</v>
      </c>
      <c r="D225" s="41" t="n">
        <f aca="false">(B225+C225)/2</f>
        <v>-0.04901123046875</v>
      </c>
      <c r="E225" s="15" t="n">
        <f aca="false">$C$2*(1+IF(E$3&lt;=$O$2,$D225,$D225-($D225-$I$211)*MIN(E$3-$O$2,$Q$2)/$Q$2))</f>
        <v>6238.486328125</v>
      </c>
      <c r="F225" s="15" t="n">
        <f aca="false">E225*(1+IF(F$3&lt;=$O$2,$D225,$D225-($D225-$I$211)*MIN(F$3-$O$2,$Q$2)/$Q$2))</f>
        <v>5932.73043692112</v>
      </c>
      <c r="G225" s="15" t="n">
        <f aca="false">F225*(1+IF(G$3&lt;=$O$2,$D225,$D225-($D225-$I$211)*MIN(G$3-$O$2,$Q$2)/$Q$2))</f>
        <v>5641.96001816821</v>
      </c>
      <c r="H225" s="15" t="n">
        <f aca="false">G225*(1+IF(H$3&lt;=$O$2,$D225,$D225-($D225-$I$211)*MIN(H$3-$O$2,$Q$2)/$Q$2))</f>
        <v>5365.4406154223</v>
      </c>
      <c r="I225" s="15" t="n">
        <f aca="false">H225*(1+IF(I$3&lt;=$O$2,$D225,$D225-($D225-$I$211)*MIN(I$3-$O$2,$Q$2)/$Q$2))</f>
        <v>5102.47376885344</v>
      </c>
      <c r="J225" s="15" t="n">
        <f aca="false">I225*(1+IF(J$3&lt;=$O$2,$D225,$D225-($D225-$I$211)*MIN(J$3-$O$2,$Q$2)/$Q$2))</f>
        <v>4926.18848233948</v>
      </c>
      <c r="K225" s="15" t="n">
        <f aca="false">J225*(1+IF(K$3&lt;=$O$2,$D225,$D225-($D225-$I$211)*MIN(K$3-$O$2,$Q$2)/$Q$2))</f>
        <v>4827.23742357062</v>
      </c>
      <c r="L225" s="15" t="n">
        <f aca="false">K225*(1+IF(L$3&lt;=$O$2,$D225,$D225-($D225-$I$211)*MIN(L$3-$O$2,$Q$2)/$Q$2))</f>
        <v>4800.08666439454</v>
      </c>
      <c r="M225" s="15" t="n">
        <f aca="false">L225*(1+IF(M$3&lt;=$O$2,$D225,$D225-($D225-$I$211)*MIN(M$3-$O$2,$Q$2)/$Q$2))</f>
        <v>4842.50864906313</v>
      </c>
      <c r="N225" s="15" t="n">
        <f aca="false">M225*(1+IF(N$3&lt;=$O$2,$D225,$D225-($D225-$I$211)*MIN(N$3-$O$2,$Q$2)/$Q$2))</f>
        <v>4955.3391005863</v>
      </c>
      <c r="O225" s="15" t="n">
        <f aca="false">SUMPRODUCT(E225:N225,1/(1+$F$211)^$E$3:$N$3)*$E$2</f>
        <v>11681.2838457052</v>
      </c>
      <c r="P225" s="15" t="n">
        <f aca="false">N225*$E$2*(1+$I$211)/($F$211-$I$211)/(1+$F$211)^$N$3</f>
        <v>14673.0512024036</v>
      </c>
      <c r="Q225" s="15" t="n">
        <f aca="false">O225+P225</f>
        <v>26354.3350481089</v>
      </c>
      <c r="R225" s="15" t="n">
        <f aca="false">Q225-$G$2+$I$2</f>
        <v>19009.1350481089</v>
      </c>
      <c r="S225" s="42" t="n">
        <f aca="false">R225/$K$2</f>
        <v>81.0105904458082</v>
      </c>
      <c r="T225" s="43" t="n">
        <f aca="false">S225-$M$2</f>
        <v>-0.00368613633543191</v>
      </c>
    </row>
    <row r="226" customFormat="false" ht="15" hidden="false" customHeight="false" outlineLevel="0" collapsed="false">
      <c r="A226" s="5" t="n">
        <v>14</v>
      </c>
      <c r="B226" s="25" t="n">
        <f aca="false">IF(T225&gt;0,B225,D225)</f>
        <v>-0.04901123046875</v>
      </c>
      <c r="C226" s="25" t="n">
        <f aca="false">IF(T225&gt;0,D225,C225)</f>
        <v>-0.048828125</v>
      </c>
      <c r="D226" s="41" t="n">
        <f aca="false">(B226+C226)/2</f>
        <v>-0.048919677734375</v>
      </c>
      <c r="E226" s="15" t="n">
        <f aca="false">$C$2*(1+IF(E$3&lt;=$O$2,$D226,$D226-($D226-$I$211)*MIN(E$3-$O$2,$Q$2)/$Q$2))</f>
        <v>6239.0869140625</v>
      </c>
      <c r="F226" s="15" t="n">
        <f aca="false">E226*(1+IF(F$3&lt;=$O$2,$D226,$D226-($D226-$I$211)*MIN(F$3-$O$2,$Q$2)/$Q$2))</f>
        <v>5933.87279286981</v>
      </c>
      <c r="G226" s="15" t="n">
        <f aca="false">F226*(1+IF(G$3&lt;=$O$2,$D226,$D226-($D226-$I$211)*MIN(G$3-$O$2,$Q$2)/$Q$2))</f>
        <v>5643.58964812584</v>
      </c>
      <c r="H226" s="15" t="n">
        <f aca="false">G226*(1+IF(H$3&lt;=$O$2,$D226,$D226-($D226-$I$211)*MIN(H$3-$O$2,$Q$2)/$Q$2))</f>
        <v>5367.50706127447</v>
      </c>
      <c r="I226" s="15" t="n">
        <f aca="false">H226*(1+IF(I$3&lt;=$O$2,$D226,$D226-($D226-$I$211)*MIN(I$3-$O$2,$Q$2)/$Q$2))</f>
        <v>5104.93034559994</v>
      </c>
      <c r="J226" s="15" t="n">
        <f aca="false">I226*(1+IF(J$3&lt;=$O$2,$D226,$D226-($D226-$I$211)*MIN(J$3-$O$2,$Q$2)/$Q$2))</f>
        <v>4928.93408311989</v>
      </c>
      <c r="K226" s="15" t="n">
        <f aca="false">J226*(1+IF(K$3&lt;=$O$2,$D226,$D226-($D226-$I$211)*MIN(K$3-$O$2,$Q$2)/$Q$2))</f>
        <v>4830.19862862245</v>
      </c>
      <c r="L226" s="15" t="n">
        <f aca="false">K226*(1+IF(L$3&lt;=$O$2,$D226,$D226-($D226-$I$211)*MIN(L$3-$O$2,$Q$2)/$Q$2))</f>
        <v>4803.2081013285</v>
      </c>
      <c r="M226" s="15" t="n">
        <f aca="false">L226*(1+IF(M$3&lt;=$O$2,$D226,$D226-($D226-$I$211)*MIN(M$3-$O$2,$Q$2)/$Q$2))</f>
        <v>4845.74562185563</v>
      </c>
      <c r="N226" s="15" t="n">
        <f aca="false">M226*(1+IF(N$3&lt;=$O$2,$D226,$D226-($D226-$I$211)*MIN(N$3-$O$2,$Q$2)/$Q$2))</f>
        <v>4958.65149484487</v>
      </c>
      <c r="O226" s="15" t="n">
        <f aca="false">SUMPRODUCT(E226:N226,1/(1+$F$211)^$E$3:$N$3)*$E$2</f>
        <v>11685.9543094562</v>
      </c>
      <c r="P226" s="15" t="n">
        <f aca="false">N226*$E$2*(1+$I$211)/($F$211-$I$211)/(1+$F$211)^$N$3</f>
        <v>14682.8593970745</v>
      </c>
      <c r="Q226" s="15" t="n">
        <f aca="false">O226+P226</f>
        <v>26368.8137065307</v>
      </c>
      <c r="R226" s="15" t="n">
        <f aca="false">Q226-$G$2+$I$2</f>
        <v>19023.6137065307</v>
      </c>
      <c r="S226" s="42" t="n">
        <f aca="false">R226/$K$2</f>
        <v>81.0722936566403</v>
      </c>
      <c r="T226" s="43" t="n">
        <f aca="false">S226-$M$2</f>
        <v>0.0580170744966893</v>
      </c>
    </row>
    <row r="227" customFormat="false" ht="15" hidden="false" customHeight="false" outlineLevel="0" collapsed="false">
      <c r="A227" s="5" t="n">
        <v>15</v>
      </c>
      <c r="B227" s="25" t="n">
        <f aca="false">IF(T226&gt;0,B226,D226)</f>
        <v>-0.04901123046875</v>
      </c>
      <c r="C227" s="25" t="n">
        <f aca="false">IF(T226&gt;0,D226,C226)</f>
        <v>-0.048919677734375</v>
      </c>
      <c r="D227" s="41" t="n">
        <f aca="false">(B227+C227)/2</f>
        <v>-0.0489654541015625</v>
      </c>
      <c r="E227" s="15" t="n">
        <f aca="false">$C$2*(1+IF(E$3&lt;=$O$2,$D227,$D227-($D227-$I$211)*MIN(E$3-$O$2,$Q$2)/$Q$2))</f>
        <v>6238.78662109375</v>
      </c>
      <c r="F227" s="15" t="n">
        <f aca="false">E227*(1+IF(F$3&lt;=$O$2,$D227,$D227-($D227-$I$211)*MIN(F$3-$O$2,$Q$2)/$Q$2))</f>
        <v>5933.30160114914</v>
      </c>
      <c r="G227" s="15" t="n">
        <f aca="false">F227*(1+IF(G$3&lt;=$O$2,$D227,$D227-($D227-$I$211)*MIN(G$3-$O$2,$Q$2)/$Q$2))</f>
        <v>5642.77479392735</v>
      </c>
      <c r="H227" s="15" t="n">
        <f aca="false">G227*(1+IF(H$3&lt;=$O$2,$D227,$D227-($D227-$I$211)*MIN(H$3-$O$2,$Q$2)/$Q$2))</f>
        <v>5366.47376374984</v>
      </c>
      <c r="I227" s="15" t="n">
        <f aca="false">H227*(1+IF(I$3&lt;=$O$2,$D227,$D227-($D227-$I$211)*MIN(I$3-$O$2,$Q$2)/$Q$2))</f>
        <v>5103.70193898371</v>
      </c>
      <c r="J227" s="15" t="n">
        <f aca="false">I227*(1+IF(J$3&lt;=$O$2,$D227,$D227-($D227-$I$211)*MIN(J$3-$O$2,$Q$2)/$Q$2))</f>
        <v>4927.56112358629</v>
      </c>
      <c r="K227" s="15" t="n">
        <f aca="false">J227*(1+IF(K$3&lt;=$O$2,$D227,$D227-($D227-$I$211)*MIN(K$3-$O$2,$Q$2)/$Q$2))</f>
        <v>4828.71783244035</v>
      </c>
      <c r="L227" s="15" t="n">
        <f aca="false">K227*(1+IF(L$3&lt;=$O$2,$D227,$D227-($D227-$I$211)*MIN(L$3-$O$2,$Q$2)/$Q$2))</f>
        <v>4801.64716318036</v>
      </c>
      <c r="M227" s="15" t="n">
        <f aca="false">L227*(1+IF(M$3&lt;=$O$2,$D227,$D227-($D227-$I$211)*MIN(M$3-$O$2,$Q$2)/$Q$2))</f>
        <v>4844.12689954592</v>
      </c>
      <c r="N227" s="15" t="n">
        <f aca="false">M227*(1+IF(N$3&lt;=$O$2,$D227,$D227-($D227-$I$211)*MIN(N$3-$O$2,$Q$2)/$Q$2))</f>
        <v>4956.99505630534</v>
      </c>
      <c r="O227" s="15" t="n">
        <f aca="false">SUMPRODUCT(E227:N227,1/(1+$F$211)^$E$3:$N$3)*$E$2</f>
        <v>11683.6188352997</v>
      </c>
      <c r="P227" s="15" t="n">
        <f aca="false">N227*$E$2*(1+$I$211)/($F$211-$I$211)/(1+$F$211)^$N$3</f>
        <v>14677.9545849091</v>
      </c>
      <c r="Q227" s="15" t="n">
        <f aca="false">O227+P227</f>
        <v>26361.5734202088</v>
      </c>
      <c r="R227" s="15" t="n">
        <f aca="false">Q227-$G$2+$I$2</f>
        <v>19016.3734202088</v>
      </c>
      <c r="S227" s="42" t="n">
        <f aca="false">R227/$K$2</f>
        <v>81.0414379723367</v>
      </c>
      <c r="T227" s="43" t="n">
        <f aca="false">S227-$M$2</f>
        <v>0.0271613901930721</v>
      </c>
    </row>
    <row r="228" customFormat="false" ht="15" hidden="false" customHeight="false" outlineLevel="0" collapsed="false">
      <c r="A228" s="5" t="n">
        <v>16</v>
      </c>
      <c r="B228" s="25" t="n">
        <f aca="false">IF(T227&gt;0,B227,D227)</f>
        <v>-0.04901123046875</v>
      </c>
      <c r="C228" s="25" t="n">
        <f aca="false">IF(T227&gt;0,D227,C227)</f>
        <v>-0.0489654541015625</v>
      </c>
      <c r="D228" s="41" t="n">
        <f aca="false">(B228+C228)/2</f>
        <v>-0.0489883422851563</v>
      </c>
      <c r="E228" s="15" t="n">
        <f aca="false">$C$2*(1+IF(E$3&lt;=$O$2,$D228,$D228-($D228-$I$211)*MIN(E$3-$O$2,$Q$2)/$Q$2))</f>
        <v>6238.63647460938</v>
      </c>
      <c r="F228" s="15" t="n">
        <f aca="false">E228*(1+IF(F$3&lt;=$O$2,$D228,$D228-($D228-$I$211)*MIN(F$3-$O$2,$Q$2)/$Q$2))</f>
        <v>5933.01601559855</v>
      </c>
      <c r="G228" s="15" t="n">
        <f aca="false">F228*(1+IF(G$3&lt;=$O$2,$D228,$D228-($D228-$I$211)*MIN(G$3-$O$2,$Q$2)/$Q$2))</f>
        <v>5642.3673962431</v>
      </c>
      <c r="H228" s="15" t="n">
        <f aca="false">G228*(1+IF(H$3&lt;=$O$2,$D228,$D228-($D228-$I$211)*MIN(H$3-$O$2,$Q$2)/$Q$2))</f>
        <v>5365.95717093733</v>
      </c>
      <c r="I228" s="15" t="n">
        <f aca="false">H228*(1+IF(I$3&lt;=$O$2,$D228,$D228-($D228-$I$211)*MIN(I$3-$O$2,$Q$2)/$Q$2))</f>
        <v>5103.08782435997</v>
      </c>
      <c r="J228" s="15" t="n">
        <f aca="false">I228*(1+IF(J$3&lt;=$O$2,$D228,$D228-($D228-$I$211)*MIN(J$3-$O$2,$Q$2)/$Q$2))</f>
        <v>4926.87476318072</v>
      </c>
      <c r="K228" s="15" t="n">
        <f aca="false">J228*(1+IF(K$3&lt;=$O$2,$D228,$D228-($D228-$I$211)*MIN(K$3-$O$2,$Q$2)/$Q$2))</f>
        <v>4827.97757959668</v>
      </c>
      <c r="L228" s="15" t="n">
        <f aca="false">K228*(1+IF(L$3&lt;=$O$2,$D228,$D228-($D228-$I$211)*MIN(L$3-$O$2,$Q$2)/$Q$2))</f>
        <v>4800.86685887371</v>
      </c>
      <c r="M228" s="15" t="n">
        <f aca="false">L228*(1+IF(M$3&lt;=$O$2,$D228,$D228-($D228-$I$211)*MIN(M$3-$O$2,$Q$2)/$Q$2))</f>
        <v>4843.31771533352</v>
      </c>
      <c r="N228" s="15" t="n">
        <f aca="false">M228*(1+IF(N$3&lt;=$O$2,$D228,$D228-($D228-$I$211)*MIN(N$3-$O$2,$Q$2)/$Q$2))</f>
        <v>4956.16701810079</v>
      </c>
      <c r="O228" s="15" t="n">
        <f aca="false">SUMPRODUCT(E228:N228,1/(1+$F$211)^$E$3:$N$3)*$E$2</f>
        <v>11682.4512799383</v>
      </c>
      <c r="P228" s="15" t="n">
        <f aca="false">N228*$E$2*(1+$I$211)/($F$211-$I$211)/(1+$F$211)^$N$3</f>
        <v>14675.5027149712</v>
      </c>
      <c r="Q228" s="15" t="n">
        <f aca="false">O228+P228</f>
        <v>26357.9539949094</v>
      </c>
      <c r="R228" s="15" t="n">
        <f aca="false">Q228-$G$2+$I$2</f>
        <v>19012.7539949094</v>
      </c>
      <c r="S228" s="42" t="n">
        <f aca="false">R228/$K$2</f>
        <v>81.0260131894713</v>
      </c>
      <c r="T228" s="43" t="n">
        <f aca="false">S228-$M$2</f>
        <v>0.011736607327677</v>
      </c>
    </row>
    <row r="229" customFormat="false" ht="15" hidden="false" customHeight="false" outlineLevel="0" collapsed="false">
      <c r="A229" s="5" t="n">
        <v>17</v>
      </c>
      <c r="B229" s="25" t="n">
        <f aca="false">IF(T228&gt;0,B228,D228)</f>
        <v>-0.04901123046875</v>
      </c>
      <c r="C229" s="25" t="n">
        <f aca="false">IF(T228&gt;0,D228,C228)</f>
        <v>-0.0489883422851563</v>
      </c>
      <c r="D229" s="41" t="n">
        <f aca="false">(B229+C229)/2</f>
        <v>-0.0489997863769531</v>
      </c>
      <c r="E229" s="15" t="n">
        <f aca="false">$C$2*(1+IF(E$3&lt;=$O$2,$D229,$D229-($D229-$I$211)*MIN(E$3-$O$2,$Q$2)/$Q$2))</f>
        <v>6238.56140136719</v>
      </c>
      <c r="F229" s="15" t="n">
        <f aca="false">E229*(1+IF(F$3&lt;=$O$2,$D229,$D229-($D229-$I$211)*MIN(F$3-$O$2,$Q$2)/$Q$2))</f>
        <v>5932.87322540069</v>
      </c>
      <c r="G229" s="15" t="n">
        <f aca="false">F229*(1+IF(G$3&lt;=$O$2,$D229,$D229-($D229-$I$211)*MIN(G$3-$O$2,$Q$2)/$Q$2))</f>
        <v>5642.16370475451</v>
      </c>
      <c r="H229" s="15" t="n">
        <f aca="false">G229*(1+IF(H$3&lt;=$O$2,$D229,$D229-($D229-$I$211)*MIN(H$3-$O$2,$Q$2)/$Q$2))</f>
        <v>5365.69888851774</v>
      </c>
      <c r="I229" s="15" t="n">
        <f aca="false">H229*(1+IF(I$3&lt;=$O$2,$D229,$D229-($D229-$I$211)*MIN(I$3-$O$2,$Q$2)/$Q$2))</f>
        <v>5102.78078921732</v>
      </c>
      <c r="J229" s="15" t="n">
        <f aca="false">I229*(1+IF(J$3&lt;=$O$2,$D229,$D229-($D229-$I$211)*MIN(J$3-$O$2,$Q$2)/$Q$2))</f>
        <v>4926.53161281502</v>
      </c>
      <c r="K229" s="15" t="n">
        <f aca="false">J229*(1+IF(K$3&lt;=$O$2,$D229,$D229-($D229-$I$211)*MIN(K$3-$O$2,$Q$2)/$Q$2))</f>
        <v>4827.60748948211</v>
      </c>
      <c r="L229" s="15" t="n">
        <f aca="false">K229*(1+IF(L$3&lt;=$O$2,$D229,$D229-($D229-$I$211)*MIN(L$3-$O$2,$Q$2)/$Q$2))</f>
        <v>4800.47674790651</v>
      </c>
      <c r="M229" s="15" t="n">
        <f aca="false">L229*(1+IF(M$3&lt;=$O$2,$D229,$D229-($D229-$I$211)*MIN(M$3-$O$2,$Q$2)/$Q$2))</f>
        <v>4842.91316745649</v>
      </c>
      <c r="N229" s="15" t="n">
        <f aca="false">M229*(1+IF(N$3&lt;=$O$2,$D229,$D229-($D229-$I$211)*MIN(N$3-$O$2,$Q$2)/$Q$2))</f>
        <v>4955.75304425823</v>
      </c>
      <c r="O229" s="15" t="n">
        <f aca="false">SUMPRODUCT(E229:N229,1/(1+$F$211)^$E$3:$N$3)*$E$2</f>
        <v>11681.8675476815</v>
      </c>
      <c r="P229" s="15" t="n">
        <f aca="false">N229*$E$2*(1+$I$211)/($F$211-$I$211)/(1+$F$211)^$N$3</f>
        <v>14674.2769140189</v>
      </c>
      <c r="Q229" s="15" t="n">
        <f aca="false">O229+P229</f>
        <v>26356.1444617004</v>
      </c>
      <c r="R229" s="15" t="n">
        <f aca="false">Q229-$G$2+$I$2</f>
        <v>19010.9444617004</v>
      </c>
      <c r="S229" s="42" t="n">
        <f aca="false">R229/$K$2</f>
        <v>81.0183015627546</v>
      </c>
      <c r="T229" s="43" t="n">
        <f aca="false">S229-$M$2</f>
        <v>0.00402498061093581</v>
      </c>
    </row>
    <row r="230" customFormat="false" ht="15" hidden="false" customHeight="false" outlineLevel="0" collapsed="false">
      <c r="A230" s="5" t="n">
        <v>18</v>
      </c>
      <c r="B230" s="25" t="n">
        <f aca="false">IF(T229&gt;0,B229,D229)</f>
        <v>-0.04901123046875</v>
      </c>
      <c r="C230" s="25" t="n">
        <f aca="false">IF(T229&gt;0,D229,C229)</f>
        <v>-0.0489997863769531</v>
      </c>
      <c r="D230" s="41" t="n">
        <f aca="false">(B230+C230)/2</f>
        <v>-0.0490055084228516</v>
      </c>
      <c r="E230" s="15" t="n">
        <f aca="false">$C$2*(1+IF(E$3&lt;=$O$2,$D230,$D230-($D230-$I$211)*MIN(E$3-$O$2,$Q$2)/$Q$2))</f>
        <v>6238.52386474609</v>
      </c>
      <c r="F230" s="15" t="n">
        <f aca="false">E230*(1+IF(F$3&lt;=$O$2,$D230,$D230-($D230-$I$211)*MIN(F$3-$O$2,$Q$2)/$Q$2))</f>
        <v>5932.80183094612</v>
      </c>
      <c r="G230" s="15" t="n">
        <f aca="false">F230*(1+IF(G$3&lt;=$O$2,$D230,$D230-($D230-$I$211)*MIN(G$3-$O$2,$Q$2)/$Q$2))</f>
        <v>5642.06186084858</v>
      </c>
      <c r="H230" s="15" t="n">
        <f aca="false">G230*(1+IF(H$3&lt;=$O$2,$D230,$D230-($D230-$I$211)*MIN(H$3-$O$2,$Q$2)/$Q$2))</f>
        <v>5365.56975080452</v>
      </c>
      <c r="I230" s="15" t="n">
        <f aca="false">H230*(1+IF(I$3&lt;=$O$2,$D230,$D230-($D230-$I$211)*MIN(I$3-$O$2,$Q$2)/$Q$2))</f>
        <v>5102.62727718807</v>
      </c>
      <c r="J230" s="15" t="n">
        <f aca="false">I230*(1+IF(J$3&lt;=$O$2,$D230,$D230-($D230-$I$211)*MIN(J$3-$O$2,$Q$2)/$Q$2))</f>
        <v>4926.36004509103</v>
      </c>
      <c r="K230" s="15" t="n">
        <f aca="false">J230*(1+IF(K$3&lt;=$O$2,$D230,$D230-($D230-$I$211)*MIN(K$3-$O$2,$Q$2)/$Q$2))</f>
        <v>4827.42245350106</v>
      </c>
      <c r="L230" s="15" t="n">
        <f aca="false">K230*(1+IF(L$3&lt;=$O$2,$D230,$D230-($D230-$I$211)*MIN(L$3-$O$2,$Q$2)/$Q$2))</f>
        <v>4800.28170271872</v>
      </c>
      <c r="M230" s="15" t="n">
        <f aca="false">L230*(1+IF(M$3&lt;=$O$2,$D230,$D230-($D230-$I$211)*MIN(M$3-$O$2,$Q$2)/$Q$2))</f>
        <v>4842.71090457447</v>
      </c>
      <c r="N230" s="15" t="n">
        <f aca="false">M230*(1+IF(N$3&lt;=$O$2,$D230,$D230-($D230-$I$211)*MIN(N$3-$O$2,$Q$2)/$Q$2))</f>
        <v>4955.54606865105</v>
      </c>
      <c r="O230" s="15" t="n">
        <f aca="false">SUMPRODUCT(E230:N230,1/(1+$F$211)^$E$3:$N$3)*$E$2</f>
        <v>11681.5756929084</v>
      </c>
      <c r="P230" s="15" t="n">
        <f aca="false">N230*$E$2*(1+$I$211)/($F$211-$I$211)/(1+$F$211)^$N$3</f>
        <v>14673.6640470445</v>
      </c>
      <c r="Q230" s="15" t="n">
        <f aca="false">O230+P230</f>
        <v>26355.2397399529</v>
      </c>
      <c r="R230" s="15" t="n">
        <f aca="false">Q230-$G$2+$I$2</f>
        <v>19010.0397399529</v>
      </c>
      <c r="S230" s="42" t="n">
        <f aca="false">R230/$K$2</f>
        <v>81.014445940562</v>
      </c>
      <c r="T230" s="43" t="n">
        <f aca="false">S230-$M$2</f>
        <v>0.000169358418361298</v>
      </c>
    </row>
    <row r="231" customFormat="false" ht="15" hidden="false" customHeight="false" outlineLevel="0" collapsed="false">
      <c r="A231" s="5" t="n">
        <v>19</v>
      </c>
      <c r="B231" s="25" t="n">
        <f aca="false">IF(T230&gt;0,B230,D230)</f>
        <v>-0.04901123046875</v>
      </c>
      <c r="C231" s="25" t="n">
        <f aca="false">IF(T230&gt;0,D230,C230)</f>
        <v>-0.0490055084228516</v>
      </c>
      <c r="D231" s="41" t="n">
        <f aca="false">(B231+C231)/2</f>
        <v>-0.0490083694458008</v>
      </c>
      <c r="E231" s="15" t="n">
        <f aca="false">$C$2*(1+IF(E$3&lt;=$O$2,$D231,$D231-($D231-$I$211)*MIN(E$3-$O$2,$Q$2)/$Q$2))</f>
        <v>6238.50509643555</v>
      </c>
      <c r="F231" s="15" t="n">
        <f aca="false">E231*(1+IF(F$3&lt;=$O$2,$D231,$D231-($D231-$I$211)*MIN(F$3-$O$2,$Q$2)/$Q$2))</f>
        <v>5932.76613387992</v>
      </c>
      <c r="G231" s="15" t="n">
        <f aca="false">F231*(1+IF(G$3&lt;=$O$2,$D231,$D231-($D231-$I$211)*MIN(G$3-$O$2,$Q$2)/$Q$2))</f>
        <v>5642.0109393552</v>
      </c>
      <c r="H231" s="15" t="n">
        <f aca="false">G231*(1+IF(H$3&lt;=$O$2,$D231,$D231-($D231-$I$211)*MIN(H$3-$O$2,$Q$2)/$Q$2))</f>
        <v>5365.50518282203</v>
      </c>
      <c r="I231" s="15" t="n">
        <f aca="false">H231*(1+IF(I$3&lt;=$O$2,$D231,$D231-($D231-$I$211)*MIN(I$3-$O$2,$Q$2)/$Q$2))</f>
        <v>5102.55052255893</v>
      </c>
      <c r="J231" s="15" t="n">
        <f aca="false">I231*(1+IF(J$3&lt;=$O$2,$D231,$D231-($D231-$I$211)*MIN(J$3-$O$2,$Q$2)/$Q$2))</f>
        <v>4926.27426309371</v>
      </c>
      <c r="K231" s="15" t="n">
        <f aca="false">J231*(1+IF(K$3&lt;=$O$2,$D231,$D231-($D231-$I$211)*MIN(K$3-$O$2,$Q$2)/$Q$2))</f>
        <v>4827.32993777952</v>
      </c>
      <c r="L231" s="15" t="n">
        <f aca="false">K231*(1+IF(L$3&lt;=$O$2,$D231,$D231-($D231-$I$211)*MIN(L$3-$O$2,$Q$2)/$Q$2))</f>
        <v>4800.18418269869</v>
      </c>
      <c r="M231" s="15" t="n">
        <f aca="false">L231*(1+IF(M$3&lt;=$O$2,$D231,$D231-($D231-$I$211)*MIN(M$3-$O$2,$Q$2)/$Q$2))</f>
        <v>4842.60977589748</v>
      </c>
      <c r="N231" s="15" t="n">
        <f aca="false">M231*(1+IF(N$3&lt;=$O$2,$D231,$D231-($D231-$I$211)*MIN(N$3-$O$2,$Q$2)/$Q$2))</f>
        <v>4955.44258367589</v>
      </c>
      <c r="O231" s="15" t="n">
        <f aca="false">SUMPRODUCT(E231:N231,1/(1+$F$211)^$E$3:$N$3)*$E$2</f>
        <v>11681.4297683606</v>
      </c>
      <c r="P231" s="15" t="n">
        <f aca="false">N231*$E$2*(1+$I$211)/($F$211-$I$211)/(1+$F$211)^$N$3</f>
        <v>14673.3576219324</v>
      </c>
      <c r="Q231" s="15" t="n">
        <f aca="false">O231+P231</f>
        <v>26354.787390293</v>
      </c>
      <c r="R231" s="15" t="n">
        <f aca="false">Q231-$G$2+$I$2</f>
        <v>19009.587390293</v>
      </c>
      <c r="S231" s="42" t="n">
        <f aca="false">R231/$K$2</f>
        <v>81.0125181772555</v>
      </c>
      <c r="T231" s="43" t="n">
        <f aca="false">S231-$M$2</f>
        <v>-0.00175840488816448</v>
      </c>
    </row>
    <row r="232" customFormat="false" ht="15" hidden="false" customHeight="false" outlineLevel="0" collapsed="false">
      <c r="A232" s="5" t="n">
        <v>20</v>
      </c>
      <c r="B232" s="25" t="n">
        <f aca="false">IF(T231&gt;0,B231,D231)</f>
        <v>-0.0490083694458008</v>
      </c>
      <c r="C232" s="25" t="n">
        <f aca="false">IF(T231&gt;0,D231,C231)</f>
        <v>-0.0490055084228516</v>
      </c>
      <c r="D232" s="41" t="n">
        <f aca="false">(B232+C232)/2</f>
        <v>-0.0490069389343262</v>
      </c>
      <c r="E232" s="15" t="n">
        <f aca="false">$C$2*(1+IF(E$3&lt;=$O$2,$D232,$D232-($D232-$I$211)*MIN(E$3-$O$2,$Q$2)/$Q$2))</f>
        <v>6238.51448059082</v>
      </c>
      <c r="F232" s="15" t="n">
        <f aca="false">E232*(1+IF(F$3&lt;=$O$2,$D232,$D232-($D232-$I$211)*MIN(F$3-$O$2,$Q$2)/$Q$2))</f>
        <v>5932.7839823996</v>
      </c>
      <c r="G232" s="15" t="n">
        <f aca="false">F232*(1+IF(G$3&lt;=$O$2,$D232,$D232-($D232-$I$211)*MIN(G$3-$O$2,$Q$2)/$Q$2))</f>
        <v>5642.03640006359</v>
      </c>
      <c r="H232" s="15" t="n">
        <f aca="false">G232*(1+IF(H$3&lt;=$O$2,$D232,$D232-($D232-$I$211)*MIN(H$3-$O$2,$Q$2)/$Q$2))</f>
        <v>5365.53746674043</v>
      </c>
      <c r="I232" s="15" t="n">
        <f aca="false">H232*(1+IF(I$3&lt;=$O$2,$D232,$D232-($D232-$I$211)*MIN(I$3-$O$2,$Q$2)/$Q$2))</f>
        <v>5102.58889975804</v>
      </c>
      <c r="J232" s="15" t="n">
        <f aca="false">I232*(1+IF(J$3&lt;=$O$2,$D232,$D232-($D232-$I$211)*MIN(J$3-$O$2,$Q$2)/$Q$2))</f>
        <v>4926.31715393698</v>
      </c>
      <c r="K232" s="15" t="n">
        <f aca="false">J232*(1+IF(K$3&lt;=$O$2,$D232,$D232-($D232-$I$211)*MIN(K$3-$O$2,$Q$2)/$Q$2))</f>
        <v>4827.37619545121</v>
      </c>
      <c r="L232" s="15" t="n">
        <f aca="false">K232*(1+IF(L$3&lt;=$O$2,$D232,$D232-($D232-$I$211)*MIN(L$3-$O$2,$Q$2)/$Q$2))</f>
        <v>4800.23294249422</v>
      </c>
      <c r="M232" s="15" t="n">
        <f aca="false">L232*(1+IF(M$3&lt;=$O$2,$D232,$D232-($D232-$I$211)*MIN(M$3-$O$2,$Q$2)/$Q$2))</f>
        <v>4842.66034000564</v>
      </c>
      <c r="N232" s="15" t="n">
        <f aca="false">M232*(1+IF(N$3&lt;=$O$2,$D232,$D232-($D232-$I$211)*MIN(N$3-$O$2,$Q$2)/$Q$2))</f>
        <v>4955.49432592777</v>
      </c>
      <c r="O232" s="15" t="n">
        <f aca="false">SUMPRODUCT(E232:N232,1/(1+$F$211)^$E$3:$N$3)*$E$2</f>
        <v>11681.5027303979</v>
      </c>
      <c r="P232" s="15" t="n">
        <f aca="false">N232*$E$2*(1+$I$211)/($F$211-$I$211)/(1+$F$211)^$N$3</f>
        <v>14673.5108337905</v>
      </c>
      <c r="Q232" s="15" t="n">
        <f aca="false">O232+P232</f>
        <v>26355.0135641884</v>
      </c>
      <c r="R232" s="15" t="n">
        <f aca="false">Q232-$G$2+$I$2</f>
        <v>19009.8135641884</v>
      </c>
      <c r="S232" s="42" t="n">
        <f aca="false">R232/$K$2</f>
        <v>81.0134820549263</v>
      </c>
      <c r="T232" s="43" t="n">
        <f aca="false">S232-$M$2</f>
        <v>-0.000794527217365726</v>
      </c>
    </row>
    <row r="233" customFormat="false" ht="15" hidden="false" customHeight="false" outlineLevel="0" collapsed="false">
      <c r="A233" s="5" t="n">
        <v>21</v>
      </c>
      <c r="B233" s="25" t="n">
        <f aca="false">IF(T232&gt;0,B232,D232)</f>
        <v>-0.0490069389343262</v>
      </c>
      <c r="C233" s="25" t="n">
        <f aca="false">IF(T232&gt;0,D232,C232)</f>
        <v>-0.0490055084228516</v>
      </c>
      <c r="D233" s="41" t="n">
        <f aca="false">(B233+C233)/2</f>
        <v>-0.0490062236785889</v>
      </c>
      <c r="E233" s="15" t="n">
        <f aca="false">$C$2*(1+IF(E$3&lt;=$O$2,$D233,$D233-($D233-$I$211)*MIN(E$3-$O$2,$Q$2)/$Q$2))</f>
        <v>6238.51917266846</v>
      </c>
      <c r="F233" s="15" t="n">
        <f aca="false">E233*(1+IF(F$3&lt;=$O$2,$D233,$D233-($D233-$I$211)*MIN(F$3-$O$2,$Q$2)/$Q$2))</f>
        <v>5932.7929066695</v>
      </c>
      <c r="G233" s="15" t="n">
        <f aca="false">F233*(1+IF(G$3&lt;=$O$2,$D233,$D233-($D233-$I$211)*MIN(G$3-$O$2,$Q$2)/$Q$2))</f>
        <v>5642.04913044651</v>
      </c>
      <c r="H233" s="15" t="n">
        <f aca="false">G233*(1+IF(H$3&lt;=$O$2,$D233,$D233-($D233-$I$211)*MIN(H$3-$O$2,$Q$2)/$Q$2))</f>
        <v>5365.55360875426</v>
      </c>
      <c r="I233" s="15" t="n">
        <f aca="false">H233*(1+IF(I$3&lt;=$O$2,$D233,$D233-($D233-$I$211)*MIN(I$3-$O$2,$Q$2)/$Q$2))</f>
        <v>5102.60808844419</v>
      </c>
      <c r="J233" s="15" t="n">
        <f aca="false">I233*(1+IF(J$3&lt;=$O$2,$D233,$D233-($D233-$I$211)*MIN(J$3-$O$2,$Q$2)/$Q$2))</f>
        <v>4926.33859947516</v>
      </c>
      <c r="K233" s="15" t="n">
        <f aca="false">J233*(1+IF(K$3&lt;=$O$2,$D233,$D233-($D233-$I$211)*MIN(K$3-$O$2,$Q$2)/$Q$2))</f>
        <v>4827.39932442886</v>
      </c>
      <c r="L233" s="15" t="n">
        <f aca="false">K233*(1+IF(L$3&lt;=$O$2,$D233,$D233-($D233-$I$211)*MIN(L$3-$O$2,$Q$2)/$Q$2))</f>
        <v>4800.25732255285</v>
      </c>
      <c r="M233" s="15" t="n">
        <f aca="false">L233*(1+IF(M$3&lt;=$O$2,$D233,$D233-($D233-$I$211)*MIN(M$3-$O$2,$Q$2)/$Q$2))</f>
        <v>4842.68562223247</v>
      </c>
      <c r="N233" s="15" t="n">
        <f aca="false">M233*(1+IF(N$3&lt;=$O$2,$D233,$D233-($D233-$I$211)*MIN(N$3-$O$2,$Q$2)/$Q$2))</f>
        <v>4955.52019723049</v>
      </c>
      <c r="O233" s="15" t="n">
        <f aca="false">SUMPRODUCT(E233:N233,1/(1+$F$211)^$E$3:$N$3)*$E$2</f>
        <v>11681.539211594</v>
      </c>
      <c r="P233" s="15" t="n">
        <f aca="false">N233*$E$2*(1+$I$211)/($F$211-$I$211)/(1+$F$211)^$N$3</f>
        <v>14673.587440243</v>
      </c>
      <c r="Q233" s="15" t="n">
        <f aca="false">O233+P233</f>
        <v>26355.126651837</v>
      </c>
      <c r="R233" s="15" t="n">
        <f aca="false">Q233-$G$2+$I$2</f>
        <v>19009.926651837</v>
      </c>
      <c r="S233" s="42" t="n">
        <f aca="false">R233/$K$2</f>
        <v>81.0139639967485</v>
      </c>
      <c r="T233" s="43" t="n">
        <f aca="false">S233-$M$2</f>
        <v>-0.000312585395121801</v>
      </c>
    </row>
    <row r="234" customFormat="false" ht="15" hidden="false" customHeight="false" outlineLevel="0" collapsed="false">
      <c r="A234" s="5" t="n">
        <v>22</v>
      </c>
      <c r="B234" s="25" t="n">
        <f aca="false">IF(T233&gt;0,B233,D233)</f>
        <v>-0.0490062236785889</v>
      </c>
      <c r="C234" s="25" t="n">
        <f aca="false">IF(T233&gt;0,D233,C233)</f>
        <v>-0.0490055084228516</v>
      </c>
      <c r="D234" s="41" t="n">
        <f aca="false">(B234+C234)/2</f>
        <v>-0.0490058660507202</v>
      </c>
      <c r="E234" s="15" t="n">
        <f aca="false">$C$2*(1+IF(E$3&lt;=$O$2,$D234,$D234-($D234-$I$211)*MIN(E$3-$O$2,$Q$2)/$Q$2))</f>
        <v>6238.52151870728</v>
      </c>
      <c r="F234" s="15" t="n">
        <f aca="false">E234*(1+IF(F$3&lt;=$O$2,$D234,$D234-($D234-$I$211)*MIN(F$3-$O$2,$Q$2)/$Q$2))</f>
        <v>5932.79736880697</v>
      </c>
      <c r="G234" s="15" t="n">
        <f aca="false">F234*(1+IF(G$3&lt;=$O$2,$D234,$D234-($D234-$I$211)*MIN(G$3-$O$2,$Q$2)/$Q$2))</f>
        <v>5642.05549564515</v>
      </c>
      <c r="H234" s="15" t="n">
        <f aca="false">G234*(1+IF(H$3&lt;=$O$2,$D234,$D234-($D234-$I$211)*MIN(H$3-$O$2,$Q$2)/$Q$2))</f>
        <v>5365.56167977483</v>
      </c>
      <c r="I234" s="15" t="n">
        <f aca="false">H234*(1+IF(I$3&lt;=$O$2,$D234,$D234-($D234-$I$211)*MIN(I$3-$O$2,$Q$2)/$Q$2))</f>
        <v>5102.61768280891</v>
      </c>
      <c r="J234" s="15" t="n">
        <f aca="false">I234*(1+IF(J$3&lt;=$O$2,$D234,$D234-($D234-$I$211)*MIN(J$3-$O$2,$Q$2)/$Q$2))</f>
        <v>4926.34932227339</v>
      </c>
      <c r="K234" s="15" t="n">
        <f aca="false">J234*(1+IF(K$3&lt;=$O$2,$D234,$D234-($D234-$I$211)*MIN(K$3-$O$2,$Q$2)/$Q$2))</f>
        <v>4827.41088895314</v>
      </c>
      <c r="L234" s="15" t="n">
        <f aca="false">K234*(1+IF(L$3&lt;=$O$2,$D234,$D234-($D234-$I$211)*MIN(L$3-$O$2,$Q$2)/$Q$2))</f>
        <v>4800.26951262238</v>
      </c>
      <c r="M234" s="15" t="n">
        <f aca="false">L234*(1+IF(M$3&lt;=$O$2,$D234,$D234-($D234-$I$211)*MIN(M$3-$O$2,$Q$2)/$Q$2))</f>
        <v>4842.69826338907</v>
      </c>
      <c r="N234" s="15" t="n">
        <f aca="false">M234*(1+IF(N$3&lt;=$O$2,$D234,$D234-($D234-$I$211)*MIN(N$3-$O$2,$Q$2)/$Q$2))</f>
        <v>4955.53313292604</v>
      </c>
      <c r="O234" s="15" t="n">
        <f aca="false">SUMPRODUCT(E234:N234,1/(1+$F$211)^$E$3:$N$3)*$E$2</f>
        <v>11681.5574522364</v>
      </c>
      <c r="P234" s="15" t="n">
        <f aca="false">N234*$E$2*(1+$I$211)/($F$211-$I$211)/(1+$F$211)^$N$3</f>
        <v>14673.6257436001</v>
      </c>
      <c r="Q234" s="15" t="n">
        <f aca="false">O234+P234</f>
        <v>26355.1831958366</v>
      </c>
      <c r="R234" s="15" t="n">
        <f aca="false">Q234-$G$2+$I$2</f>
        <v>19009.9831958366</v>
      </c>
      <c r="S234" s="42" t="n">
        <f aca="false">R234/$K$2</f>
        <v>81.0142049684064</v>
      </c>
      <c r="T234" s="43" t="n">
        <f aca="false">S234-$M$2</f>
        <v>-7.1613737276266E-005</v>
      </c>
    </row>
    <row r="235" customFormat="false" ht="15" hidden="false" customHeight="false" outlineLevel="0" collapsed="false">
      <c r="A235" s="5" t="n">
        <v>23</v>
      </c>
      <c r="B235" s="25" t="n">
        <f aca="false">IF(T234&gt;0,B234,D234)</f>
        <v>-0.0490058660507202</v>
      </c>
      <c r="C235" s="25" t="n">
        <f aca="false">IF(T234&gt;0,D234,C234)</f>
        <v>-0.0490055084228516</v>
      </c>
      <c r="D235" s="41" t="n">
        <f aca="false">(B235+C235)/2</f>
        <v>-0.0490056872367859</v>
      </c>
      <c r="E235" s="15" t="n">
        <f aca="false">$C$2*(1+IF(E$3&lt;=$O$2,$D235,$D235-($D235-$I$211)*MIN(E$3-$O$2,$Q$2)/$Q$2))</f>
        <v>6238.52269172669</v>
      </c>
      <c r="F235" s="15" t="n">
        <f aca="false">E235*(1+IF(F$3&lt;=$O$2,$D235,$D235-($D235-$I$211)*MIN(F$3-$O$2,$Q$2)/$Q$2))</f>
        <v>5932.79959987634</v>
      </c>
      <c r="G235" s="15" t="n">
        <f aca="false">F235*(1+IF(G$3&lt;=$O$2,$D235,$D235-($D235-$I$211)*MIN(G$3-$O$2,$Q$2)/$Q$2))</f>
        <v>5642.05867824627</v>
      </c>
      <c r="H235" s="15" t="n">
        <f aca="false">G235*(1+IF(H$3&lt;=$O$2,$D235,$D235-($D235-$I$211)*MIN(H$3-$O$2,$Q$2)/$Q$2))</f>
        <v>5365.56571528854</v>
      </c>
      <c r="I235" s="15" t="n">
        <f aca="false">H235*(1+IF(I$3&lt;=$O$2,$D235,$D235-($D235-$I$211)*MIN(I$3-$O$2,$Q$2)/$Q$2))</f>
        <v>5102.62247999669</v>
      </c>
      <c r="J235" s="15" t="n">
        <f aca="false">I235*(1+IF(J$3&lt;=$O$2,$D235,$D235-($D235-$I$211)*MIN(J$3-$O$2,$Q$2)/$Q$2))</f>
        <v>4926.35468367978</v>
      </c>
      <c r="K235" s="15" t="n">
        <f aca="false">J235*(1+IF(K$3&lt;=$O$2,$D235,$D235-($D235-$I$211)*MIN(K$3-$O$2,$Q$2)/$Q$2))</f>
        <v>4827.41667122415</v>
      </c>
      <c r="L235" s="15" t="n">
        <f aca="false">K235*(1+IF(L$3&lt;=$O$2,$D235,$D235-($D235-$I$211)*MIN(L$3-$O$2,$Q$2)/$Q$2))</f>
        <v>4800.2756076672</v>
      </c>
      <c r="M235" s="15" t="n">
        <f aca="false">L235*(1+IF(M$3&lt;=$O$2,$D235,$D235-($D235-$I$211)*MIN(M$3-$O$2,$Q$2)/$Q$2))</f>
        <v>4842.70458397817</v>
      </c>
      <c r="N235" s="15" t="n">
        <f aca="false">M235*(1+IF(N$3&lt;=$O$2,$D235,$D235-($D235-$I$211)*MIN(N$3-$O$2,$Q$2)/$Q$2))</f>
        <v>4955.53960078486</v>
      </c>
      <c r="O235" s="15" t="n">
        <f aca="false">SUMPRODUCT(E235:N235,1/(1+$F$211)^$E$3:$N$3)*$E$2</f>
        <v>11681.5665725687</v>
      </c>
      <c r="P235" s="15" t="n">
        <f aca="false">N235*$E$2*(1+$I$211)/($F$211-$I$211)/(1+$F$211)^$N$3</f>
        <v>14673.6448953114</v>
      </c>
      <c r="Q235" s="15" t="n">
        <f aca="false">O235+P235</f>
        <v>26355.2114678801</v>
      </c>
      <c r="R235" s="15" t="n">
        <f aca="false">Q235-$G$2+$I$2</f>
        <v>19010.0114678801</v>
      </c>
      <c r="S235" s="42" t="n">
        <f aca="false">R235/$K$2</f>
        <v>81.0143254544219</v>
      </c>
      <c r="T235" s="43" t="n">
        <f aca="false">S235-$M$2</f>
        <v>4.88722782989726E-005</v>
      </c>
    </row>
    <row r="236" customFormat="false" ht="15" hidden="false" customHeight="false" outlineLevel="0" collapsed="false">
      <c r="A236" s="5" t="n">
        <v>24</v>
      </c>
      <c r="B236" s="25" t="n">
        <f aca="false">IF(T235&gt;0,B235,D235)</f>
        <v>-0.0490058660507202</v>
      </c>
      <c r="C236" s="25" t="n">
        <f aca="false">IF(T235&gt;0,D235,C235)</f>
        <v>-0.0490056872367859</v>
      </c>
      <c r="D236" s="41" t="n">
        <f aca="false">(B236+C236)/2</f>
        <v>-0.0490057766437531</v>
      </c>
      <c r="E236" s="15" t="n">
        <f aca="false">$C$2*(1+IF(E$3&lt;=$O$2,$D236,$D236-($D236-$I$211)*MIN(E$3-$O$2,$Q$2)/$Q$2))</f>
        <v>6238.52210521698</v>
      </c>
      <c r="F236" s="15" t="n">
        <f aca="false">E236*(1+IF(F$3&lt;=$O$2,$D236,$D236-($D236-$I$211)*MIN(F$3-$O$2,$Q$2)/$Q$2))</f>
        <v>5932.7984843416</v>
      </c>
      <c r="G236" s="15" t="n">
        <f aca="false">F236*(1+IF(G$3&lt;=$O$2,$D236,$D236-($D236-$I$211)*MIN(G$3-$O$2,$Q$2)/$Q$2))</f>
        <v>5642.05708694556</v>
      </c>
      <c r="H236" s="15" t="n">
        <f aca="false">G236*(1+IF(H$3&lt;=$O$2,$D236,$D236-($D236-$I$211)*MIN(H$3-$O$2,$Q$2)/$Q$2))</f>
        <v>5365.5636975314</v>
      </c>
      <c r="I236" s="15" t="n">
        <f aca="false">H236*(1+IF(I$3&lt;=$O$2,$D236,$D236-($D236-$I$211)*MIN(I$3-$O$2,$Q$2)/$Q$2))</f>
        <v>5102.62008140235</v>
      </c>
      <c r="J236" s="15" t="n">
        <f aca="false">I236*(1+IF(J$3&lt;=$O$2,$D236,$D236-($D236-$I$211)*MIN(J$3-$O$2,$Q$2)/$Q$2))</f>
        <v>4926.35200297598</v>
      </c>
      <c r="K236" s="15" t="n">
        <f aca="false">J236*(1+IF(K$3&lt;=$O$2,$D236,$D236-($D236-$I$211)*MIN(K$3-$O$2,$Q$2)/$Q$2))</f>
        <v>4827.41378008791</v>
      </c>
      <c r="L236" s="15" t="n">
        <f aca="false">K236*(1+IF(L$3&lt;=$O$2,$D236,$D236-($D236-$I$211)*MIN(L$3-$O$2,$Q$2)/$Q$2))</f>
        <v>4800.27256014395</v>
      </c>
      <c r="M236" s="15" t="n">
        <f aca="false">L236*(1+IF(M$3&lt;=$O$2,$D236,$D236-($D236-$I$211)*MIN(M$3-$O$2,$Q$2)/$Q$2))</f>
        <v>4842.70142368272</v>
      </c>
      <c r="N236" s="15" t="n">
        <f aca="false">M236*(1+IF(N$3&lt;=$O$2,$D236,$D236-($D236-$I$211)*MIN(N$3-$O$2,$Q$2)/$Q$2))</f>
        <v>4955.53636685453</v>
      </c>
      <c r="O236" s="15" t="n">
        <f aca="false">SUMPRODUCT(E236:N236,1/(1+$F$211)^$E$3:$N$3)*$E$2</f>
        <v>11681.5620124016</v>
      </c>
      <c r="P236" s="15" t="n">
        <f aca="false">N236*$E$2*(1+$I$211)/($F$211-$I$211)/(1+$F$211)^$N$3</f>
        <v>14673.6353194531</v>
      </c>
      <c r="Q236" s="15" t="n">
        <f aca="false">O236+P236</f>
        <v>26355.1973318547</v>
      </c>
      <c r="R236" s="15" t="n">
        <f aca="false">Q236-$G$2+$I$2</f>
        <v>19009.9973318547</v>
      </c>
      <c r="S236" s="42" t="n">
        <f aca="false">R236/$K$2</f>
        <v>81.0142652113986</v>
      </c>
      <c r="T236" s="43" t="n">
        <f aca="false">S236-$M$2</f>
        <v>-1.13707450424272E-005</v>
      </c>
    </row>
    <row r="238" customFormat="false" ht="15" hidden="false" customHeight="false" outlineLevel="0" collapsed="false">
      <c r="A238" s="38" t="s">
        <v>190</v>
      </c>
      <c r="E238" s="5" t="s">
        <v>11</v>
      </c>
      <c r="F238" s="12" t="n">
        <f aca="false">Sensitivity!$B$11</f>
        <v>0.0762368036285737</v>
      </c>
      <c r="G238" s="5" t="s">
        <v>12</v>
      </c>
      <c r="I238" s="12" t="n">
        <f aca="false">Sensitivity!$E$9</f>
        <v>0.0283</v>
      </c>
    </row>
    <row r="239" customFormat="false" ht="23.85" hidden="false" customHeight="false" outlineLevel="0" collapsed="false">
      <c r="A239" s="38" t="s">
        <v>163</v>
      </c>
      <c r="B239" s="28" t="s">
        <v>164</v>
      </c>
      <c r="C239" s="28" t="s">
        <v>165</v>
      </c>
      <c r="D239" s="28" t="s">
        <v>166</v>
      </c>
      <c r="E239" s="28" t="s">
        <v>167</v>
      </c>
      <c r="F239" s="28" t="s">
        <v>168</v>
      </c>
      <c r="G239" s="28" t="s">
        <v>169</v>
      </c>
      <c r="H239" s="28" t="s">
        <v>170</v>
      </c>
      <c r="I239" s="28" t="s">
        <v>171</v>
      </c>
      <c r="J239" s="28" t="s">
        <v>172</v>
      </c>
      <c r="K239" s="28" t="s">
        <v>173</v>
      </c>
      <c r="L239" s="28" t="s">
        <v>174</v>
      </c>
      <c r="M239" s="28" t="s">
        <v>175</v>
      </c>
      <c r="N239" s="28" t="s">
        <v>176</v>
      </c>
      <c r="O239" s="28" t="s">
        <v>177</v>
      </c>
      <c r="P239" s="28" t="s">
        <v>178</v>
      </c>
      <c r="Q239" s="28" t="s">
        <v>179</v>
      </c>
      <c r="R239" s="28" t="s">
        <v>180</v>
      </c>
      <c r="S239" s="28" t="s">
        <v>181</v>
      </c>
      <c r="T239" s="28" t="s">
        <v>182</v>
      </c>
    </row>
    <row r="240" customFormat="false" ht="15" hidden="false" customHeight="false" outlineLevel="0" collapsed="false">
      <c r="A240" s="5" t="n">
        <v>1</v>
      </c>
      <c r="B240" s="24" t="n">
        <v>-0.5</v>
      </c>
      <c r="C240" s="24" t="n">
        <v>1</v>
      </c>
      <c r="D240" s="41" t="n">
        <f aca="false">(B240+C240)/2</f>
        <v>0.25</v>
      </c>
      <c r="E240" s="15" t="n">
        <f aca="false">$C$2*(1+IF(E$3&lt;=$O$2,$D240,$D240-($D240-$I$238)*MIN(E$3-$O$2,$Q$2)/$Q$2))</f>
        <v>8200</v>
      </c>
      <c r="F240" s="15" t="n">
        <f aca="false">E240*(1+IF(F$3&lt;=$O$2,$D240,$D240-($D240-$I$238)*MIN(F$3-$O$2,$Q$2)/$Q$2))</f>
        <v>10250</v>
      </c>
      <c r="G240" s="15" t="n">
        <f aca="false">F240*(1+IF(G$3&lt;=$O$2,$D240,$D240-($D240-$I$238)*MIN(G$3-$O$2,$Q$2)/$Q$2))</f>
        <v>12812.5</v>
      </c>
      <c r="H240" s="15" t="n">
        <f aca="false">G240*(1+IF(H$3&lt;=$O$2,$D240,$D240-($D240-$I$238)*MIN(H$3-$O$2,$Q$2)/$Q$2))</f>
        <v>16015.625</v>
      </c>
      <c r="I240" s="15" t="n">
        <f aca="false">H240*(1+IF(I$3&lt;=$O$2,$D240,$D240-($D240-$I$238)*MIN(I$3-$O$2,$Q$2)/$Q$2))</f>
        <v>20019.53125</v>
      </c>
      <c r="J240" s="15" t="n">
        <f aca="false">I240*(1+IF(J$3&lt;=$O$2,$D240,$D240-($D240-$I$238)*MIN(J$3-$O$2,$Q$2)/$Q$2))</f>
        <v>24136.748046875</v>
      </c>
      <c r="K240" s="15" t="n">
        <f aca="false">J240*(1+IF(K$3&lt;=$O$2,$D240,$D240-($D240-$I$238)*MIN(K$3-$O$2,$Q$2)/$Q$2))</f>
        <v>28030.4882417969</v>
      </c>
      <c r="L240" s="15" t="n">
        <f aca="false">K240*(1+IF(L$3&lt;=$O$2,$D240,$D240-($D240-$I$238)*MIN(L$3-$O$2,$Q$2)/$Q$2))</f>
        <v>31309.4947563223</v>
      </c>
      <c r="M240" s="15" t="n">
        <f aca="false">L240*(1+IF(M$3&lt;=$O$2,$D240,$D240-($D240-$I$238)*MIN(M$3-$O$2,$Q$2)/$Q$2))</f>
        <v>33583.8164554215</v>
      </c>
      <c r="N240" s="15" t="n">
        <f aca="false">M240*(1+IF(N$3&lt;=$O$2,$D240,$D240-($D240-$I$238)*MIN(N$3-$O$2,$Q$2)/$Q$2))</f>
        <v>34534.23846111</v>
      </c>
      <c r="O240" s="15" t="n">
        <f aca="false">SUMPRODUCT(E240:N240,1/(1+$F$238)^$E$3:$N$3)*$E$2</f>
        <v>43476.4302182157</v>
      </c>
      <c r="P240" s="15" t="n">
        <f aca="false">N240*$E$2*(1+$I$238)/($F$238-$I$238)/(1+$F$238)^$N$3</f>
        <v>113475.587863486</v>
      </c>
      <c r="Q240" s="15" t="n">
        <f aca="false">O240+P240</f>
        <v>156952.018081702</v>
      </c>
      <c r="R240" s="15" t="n">
        <f aca="false">Q240-$G$2+$I$2</f>
        <v>149606.818081702</v>
      </c>
      <c r="S240" s="42" t="n">
        <f aca="false">R240/$K$2</f>
        <v>637.574336593659</v>
      </c>
      <c r="T240" s="43" t="n">
        <f aca="false">S240-$M$2</f>
        <v>556.560060011515</v>
      </c>
    </row>
    <row r="241" customFormat="false" ht="15" hidden="false" customHeight="false" outlineLevel="0" collapsed="false">
      <c r="A241" s="5" t="n">
        <v>2</v>
      </c>
      <c r="B241" s="25" t="n">
        <f aca="false">IF(T240&gt;0,B240,D240)</f>
        <v>-0.5</v>
      </c>
      <c r="C241" s="25" t="n">
        <f aca="false">IF(T240&gt;0,D240,C240)</f>
        <v>0.25</v>
      </c>
      <c r="D241" s="41" t="n">
        <f aca="false">(B241+C241)/2</f>
        <v>-0.125</v>
      </c>
      <c r="E241" s="15" t="n">
        <f aca="false">$C$2*(1+IF(E$3&lt;=$O$2,$D241,$D241-($D241-$I$238)*MIN(E$3-$O$2,$Q$2)/$Q$2))</f>
        <v>5740</v>
      </c>
      <c r="F241" s="15" t="n">
        <f aca="false">E241*(1+IF(F$3&lt;=$O$2,$D241,$D241-($D241-$I$238)*MIN(F$3-$O$2,$Q$2)/$Q$2))</f>
        <v>5022.5</v>
      </c>
      <c r="G241" s="15" t="n">
        <f aca="false">F241*(1+IF(G$3&lt;=$O$2,$D241,$D241-($D241-$I$238)*MIN(G$3-$O$2,$Q$2)/$Q$2))</f>
        <v>4394.6875</v>
      </c>
      <c r="H241" s="15" t="n">
        <f aca="false">G241*(1+IF(H$3&lt;=$O$2,$D241,$D241-($D241-$I$238)*MIN(H$3-$O$2,$Q$2)/$Q$2))</f>
        <v>3845.3515625</v>
      </c>
      <c r="I241" s="15" t="n">
        <f aca="false">H241*(1+IF(I$3&lt;=$O$2,$D241,$D241-($D241-$I$238)*MIN(I$3-$O$2,$Q$2)/$Q$2))</f>
        <v>3364.6826171875</v>
      </c>
      <c r="J241" s="15" t="n">
        <f aca="false">I241*(1+IF(J$3&lt;=$O$2,$D241,$D241-($D241-$I$238)*MIN(J$3-$O$2,$Q$2)/$Q$2))</f>
        <v>3047.25845908203</v>
      </c>
      <c r="K241" s="15" t="n">
        <f aca="false">J241*(1+IF(K$3&lt;=$O$2,$D241,$D241-($D241-$I$238)*MIN(K$3-$O$2,$Q$2)/$Q$2))</f>
        <v>2853.20904040769</v>
      </c>
      <c r="L241" s="15" t="n">
        <f aca="false">K241*(1+IF(L$3&lt;=$O$2,$D241,$D241-($D241-$I$238)*MIN(L$3-$O$2,$Q$2)/$Q$2))</f>
        <v>2758.99607789343</v>
      </c>
      <c r="M241" s="15" t="n">
        <f aca="false">L241*(1+IF(M$3&lt;=$O$2,$D241,$D241-($D241-$I$238)*MIN(M$3-$O$2,$Q$2)/$Q$2))</f>
        <v>2752.4848471496</v>
      </c>
      <c r="N241" s="15" t="n">
        <f aca="false">M241*(1+IF(N$3&lt;=$O$2,$D241,$D241-($D241-$I$238)*MIN(N$3-$O$2,$Q$2)/$Q$2))</f>
        <v>2830.38016832393</v>
      </c>
      <c r="O241" s="15" t="n">
        <f aca="false">SUMPRODUCT(E241:N241,1/(1+$F$238)^$E$3:$N$3)*$E$2</f>
        <v>8421.37635539413</v>
      </c>
      <c r="P241" s="15" t="n">
        <f aca="false">N241*$E$2*(1+$I$238)/($F$238-$I$238)/(1+$F$238)^$N$3</f>
        <v>9300.30797810703</v>
      </c>
      <c r="Q241" s="15" t="n">
        <f aca="false">O241+P241</f>
        <v>17721.6843335012</v>
      </c>
      <c r="R241" s="15" t="n">
        <f aca="false">Q241-$G$2+$I$2</f>
        <v>10376.4843335012</v>
      </c>
      <c r="S241" s="42" t="n">
        <f aca="false">R241/$K$2</f>
        <v>44.221113716178</v>
      </c>
      <c r="T241" s="43" t="n">
        <f aca="false">S241-$M$2</f>
        <v>-36.7931628659657</v>
      </c>
    </row>
    <row r="242" customFormat="false" ht="15" hidden="false" customHeight="false" outlineLevel="0" collapsed="false">
      <c r="A242" s="5" t="n">
        <v>3</v>
      </c>
      <c r="B242" s="25" t="n">
        <f aca="false">IF(T241&gt;0,B241,D241)</f>
        <v>-0.125</v>
      </c>
      <c r="C242" s="25" t="n">
        <f aca="false">IF(T241&gt;0,D241,C241)</f>
        <v>0.25</v>
      </c>
      <c r="D242" s="41" t="n">
        <f aca="false">(B242+C242)/2</f>
        <v>0.0625</v>
      </c>
      <c r="E242" s="15" t="n">
        <f aca="false">$C$2*(1+IF(E$3&lt;=$O$2,$D242,$D242-($D242-$I$238)*MIN(E$3-$O$2,$Q$2)/$Q$2))</f>
        <v>6970</v>
      </c>
      <c r="F242" s="15" t="n">
        <f aca="false">E242*(1+IF(F$3&lt;=$O$2,$D242,$D242-($D242-$I$238)*MIN(F$3-$O$2,$Q$2)/$Q$2))</f>
        <v>7405.625</v>
      </c>
      <c r="G242" s="15" t="n">
        <f aca="false">F242*(1+IF(G$3&lt;=$O$2,$D242,$D242-($D242-$I$238)*MIN(G$3-$O$2,$Q$2)/$Q$2))</f>
        <v>7868.4765625</v>
      </c>
      <c r="H242" s="15" t="n">
        <f aca="false">G242*(1+IF(H$3&lt;=$O$2,$D242,$D242-($D242-$I$238)*MIN(H$3-$O$2,$Q$2)/$Q$2))</f>
        <v>8360.25634765625</v>
      </c>
      <c r="I242" s="15" t="n">
        <f aca="false">H242*(1+IF(I$3&lt;=$O$2,$D242,$D242-($D242-$I$238)*MIN(I$3-$O$2,$Q$2)/$Q$2))</f>
        <v>8882.77236938477</v>
      </c>
      <c r="J242" s="15" t="n">
        <f aca="false">I242*(1+IF(J$3&lt;=$O$2,$D242,$D242-($D242-$I$238)*MIN(J$3-$O$2,$Q$2)/$Q$2))</f>
        <v>9377.18747946472</v>
      </c>
      <c r="K242" s="15" t="n">
        <f aca="false">J242*(1+IF(K$3&lt;=$O$2,$D242,$D242-($D242-$I$238)*MIN(K$3-$O$2,$Q$2)/$Q$2))</f>
        <v>9834.98177221219</v>
      </c>
      <c r="L242" s="15" t="n">
        <f aca="false">K242*(1+IF(L$3&lt;=$O$2,$D242,$D242-($D242-$I$238)*MIN(L$3-$O$2,$Q$2)/$Q$2))</f>
        <v>10247.8543070097</v>
      </c>
      <c r="M242" s="15" t="n">
        <f aca="false">L242*(1+IF(M$3&lt;=$O$2,$D242,$D242-($D242-$I$238)*MIN(M$3-$O$2,$Q$2)/$Q$2))</f>
        <v>10607.963907358</v>
      </c>
      <c r="N242" s="15" t="n">
        <f aca="false">M242*(1+IF(N$3&lt;=$O$2,$D242,$D242-($D242-$I$238)*MIN(N$3-$O$2,$Q$2)/$Q$2))</f>
        <v>10908.1692859362</v>
      </c>
      <c r="O242" s="15" t="n">
        <f aca="false">SUMPRODUCT(E242:N242,1/(1+$F$238)^$E$3:$N$3)*$E$2</f>
        <v>19123.7366011877</v>
      </c>
      <c r="P242" s="15" t="n">
        <f aca="false">N242*$E$2*(1+$I$238)/($F$238-$I$238)/(1+$F$238)^$N$3</f>
        <v>35843.0061699485</v>
      </c>
      <c r="Q242" s="15" t="n">
        <f aca="false">O242+P242</f>
        <v>54966.7427711362</v>
      </c>
      <c r="R242" s="15" t="n">
        <f aca="false">Q242-$G$2+$I$2</f>
        <v>47621.5427711362</v>
      </c>
      <c r="S242" s="42" t="n">
        <f aca="false">R242/$K$2</f>
        <v>202.947124530732</v>
      </c>
      <c r="T242" s="43" t="n">
        <f aca="false">S242-$M$2</f>
        <v>121.932847948588</v>
      </c>
    </row>
    <row r="243" customFormat="false" ht="15" hidden="false" customHeight="false" outlineLevel="0" collapsed="false">
      <c r="A243" s="5" t="n">
        <v>4</v>
      </c>
      <c r="B243" s="25" t="n">
        <f aca="false">IF(T242&gt;0,B242,D242)</f>
        <v>-0.125</v>
      </c>
      <c r="C243" s="25" t="n">
        <f aca="false">IF(T242&gt;0,D242,C242)</f>
        <v>0.0625</v>
      </c>
      <c r="D243" s="41" t="n">
        <f aca="false">(B243+C243)/2</f>
        <v>-0.03125</v>
      </c>
      <c r="E243" s="15" t="n">
        <f aca="false">$C$2*(1+IF(E$3&lt;=$O$2,$D243,$D243-($D243-$I$238)*MIN(E$3-$O$2,$Q$2)/$Q$2))</f>
        <v>6355</v>
      </c>
      <c r="F243" s="15" t="n">
        <f aca="false">E243*(1+IF(F$3&lt;=$O$2,$D243,$D243-($D243-$I$238)*MIN(F$3-$O$2,$Q$2)/$Q$2))</f>
        <v>6156.40625</v>
      </c>
      <c r="G243" s="15" t="n">
        <f aca="false">F243*(1+IF(G$3&lt;=$O$2,$D243,$D243-($D243-$I$238)*MIN(G$3-$O$2,$Q$2)/$Q$2))</f>
        <v>5964.0185546875</v>
      </c>
      <c r="H243" s="15" t="n">
        <f aca="false">G243*(1+IF(H$3&lt;=$O$2,$D243,$D243-($D243-$I$238)*MIN(H$3-$O$2,$Q$2)/$Q$2))</f>
        <v>5777.64297485352</v>
      </c>
      <c r="I243" s="15" t="n">
        <f aca="false">H243*(1+IF(I$3&lt;=$O$2,$D243,$D243-($D243-$I$238)*MIN(I$3-$O$2,$Q$2)/$Q$2))</f>
        <v>5597.09163188934</v>
      </c>
      <c r="J243" s="15" t="n">
        <f aca="false">I243*(1+IF(J$3&lt;=$O$2,$D243,$D243-($D243-$I$238)*MIN(J$3-$O$2,$Q$2)/$Q$2))</f>
        <v>5488.8438797286</v>
      </c>
      <c r="K243" s="15" t="n">
        <f aca="false">J243*(1+IF(K$3&lt;=$O$2,$D243,$D243-($D243-$I$238)*MIN(K$3-$O$2,$Q$2)/$Q$2))</f>
        <v>5448.06176970222</v>
      </c>
      <c r="L243" s="15" t="n">
        <f aca="false">K243*(1+IF(L$3&lt;=$O$2,$D243,$D243-($D243-$I$238)*MIN(L$3-$O$2,$Q$2)/$Q$2))</f>
        <v>5472.46908643049</v>
      </c>
      <c r="M243" s="15" t="n">
        <f aca="false">L243*(1+IF(M$3&lt;=$O$2,$D243,$D243-($D243-$I$238)*MIN(M$3-$O$2,$Q$2)/$Q$2))</f>
        <v>5562.16285475708</v>
      </c>
      <c r="N243" s="15" t="n">
        <f aca="false">M243*(1+IF(N$3&lt;=$O$2,$D243,$D243-($D243-$I$238)*MIN(N$3-$O$2,$Q$2)/$Q$2))</f>
        <v>5719.57206354671</v>
      </c>
      <c r="O243" s="15" t="n">
        <f aca="false">SUMPRODUCT(E243:N243,1/(1+$F$238)^$E$3:$N$3)*$E$2</f>
        <v>12656.7383320115</v>
      </c>
      <c r="P243" s="15" t="n">
        <f aca="false">N243*$E$2*(1+$I$238)/($F$238-$I$238)/(1+$F$238)^$N$3</f>
        <v>18793.8646155302</v>
      </c>
      <c r="Q243" s="15" t="n">
        <f aca="false">O243+P243</f>
        <v>31450.6029475417</v>
      </c>
      <c r="R243" s="15" t="n">
        <f aca="false">Q243-$G$2+$I$2</f>
        <v>24105.4029475417</v>
      </c>
      <c r="S243" s="42" t="n">
        <f aca="false">R243/$K$2</f>
        <v>102.729183667341</v>
      </c>
      <c r="T243" s="43" t="n">
        <f aca="false">S243-$M$2</f>
        <v>21.7149070851978</v>
      </c>
    </row>
    <row r="244" customFormat="false" ht="15" hidden="false" customHeight="false" outlineLevel="0" collapsed="false">
      <c r="A244" s="5" t="n">
        <v>5</v>
      </c>
      <c r="B244" s="25" t="n">
        <f aca="false">IF(T243&gt;0,B243,D243)</f>
        <v>-0.125</v>
      </c>
      <c r="C244" s="25" t="n">
        <f aca="false">IF(T243&gt;0,D243,C243)</f>
        <v>-0.03125</v>
      </c>
      <c r="D244" s="41" t="n">
        <f aca="false">(B244+C244)/2</f>
        <v>-0.078125</v>
      </c>
      <c r="E244" s="15" t="n">
        <f aca="false">$C$2*(1+IF(E$3&lt;=$O$2,$D244,$D244-($D244-$I$238)*MIN(E$3-$O$2,$Q$2)/$Q$2))</f>
        <v>6047.5</v>
      </c>
      <c r="F244" s="15" t="n">
        <f aca="false">E244*(1+IF(F$3&lt;=$O$2,$D244,$D244-($D244-$I$238)*MIN(F$3-$O$2,$Q$2)/$Q$2))</f>
        <v>5575.0390625</v>
      </c>
      <c r="G244" s="15" t="n">
        <f aca="false">F244*(1+IF(G$3&lt;=$O$2,$D244,$D244-($D244-$I$238)*MIN(G$3-$O$2,$Q$2)/$Q$2))</f>
        <v>5139.48913574219</v>
      </c>
      <c r="H244" s="15" t="n">
        <f aca="false">G244*(1+IF(H$3&lt;=$O$2,$D244,$D244-($D244-$I$238)*MIN(H$3-$O$2,$Q$2)/$Q$2))</f>
        <v>4737.96654701233</v>
      </c>
      <c r="I244" s="15" t="n">
        <f aca="false">H244*(1+IF(I$3&lt;=$O$2,$D244,$D244-($D244-$I$238)*MIN(I$3-$O$2,$Q$2)/$Q$2))</f>
        <v>4367.81291052699</v>
      </c>
      <c r="J244" s="15" t="n">
        <f aca="false">I244*(1+IF(J$3&lt;=$O$2,$D244,$D244-($D244-$I$238)*MIN(J$3-$O$2,$Q$2)/$Q$2))</f>
        <v>4119.54642469264</v>
      </c>
      <c r="K244" s="15" t="n">
        <f aca="false">J244*(1+IF(K$3&lt;=$O$2,$D244,$D244-($D244-$I$238)*MIN(K$3-$O$2,$Q$2)/$Q$2))</f>
        <v>3973.07595156269</v>
      </c>
      <c r="L244" s="15" t="n">
        <f aca="false">K244*(1+IF(L$3&lt;=$O$2,$D244,$D244-($D244-$I$238)*MIN(L$3-$O$2,$Q$2)/$Q$2))</f>
        <v>3916.38015773389</v>
      </c>
      <c r="M244" s="15" t="n">
        <f aca="false">L244*(1+IF(M$3&lt;=$O$2,$D244,$D244-($D244-$I$238)*MIN(M$3-$O$2,$Q$2)/$Q$2))</f>
        <v>3943.85356454039</v>
      </c>
      <c r="N244" s="15" t="n">
        <f aca="false">M244*(1+IF(N$3&lt;=$O$2,$D244,$D244-($D244-$I$238)*MIN(N$3-$O$2,$Q$2)/$Q$2))</f>
        <v>4055.46462041689</v>
      </c>
      <c r="O244" s="15" t="n">
        <f aca="false">SUMPRODUCT(E244:N244,1/(1+$F$238)^$E$3:$N$3)*$E$2</f>
        <v>10313.7458836489</v>
      </c>
      <c r="P244" s="15" t="n">
        <f aca="false">N244*$E$2*(1+$I$238)/($F$238-$I$238)/(1+$F$238)^$N$3</f>
        <v>13325.7964376315</v>
      </c>
      <c r="Q244" s="15" t="n">
        <f aca="false">O244+P244</f>
        <v>23639.5423212805</v>
      </c>
      <c r="R244" s="15" t="n">
        <f aca="false">Q244-$G$2+$I$2</f>
        <v>16294.3423212805</v>
      </c>
      <c r="S244" s="42" t="n">
        <f aca="false">R244/$K$2</f>
        <v>69.4410497391027</v>
      </c>
      <c r="T244" s="43" t="n">
        <f aca="false">S244-$M$2</f>
        <v>-11.5732268430409</v>
      </c>
    </row>
    <row r="245" customFormat="false" ht="15" hidden="false" customHeight="false" outlineLevel="0" collapsed="false">
      <c r="A245" s="5" t="n">
        <v>6</v>
      </c>
      <c r="B245" s="25" t="n">
        <f aca="false">IF(T244&gt;0,B244,D244)</f>
        <v>-0.078125</v>
      </c>
      <c r="C245" s="25" t="n">
        <f aca="false">IF(T244&gt;0,D244,C244)</f>
        <v>-0.03125</v>
      </c>
      <c r="D245" s="41" t="n">
        <f aca="false">(B245+C245)/2</f>
        <v>-0.0546875</v>
      </c>
      <c r="E245" s="15" t="n">
        <f aca="false">$C$2*(1+IF(E$3&lt;=$O$2,$D245,$D245-($D245-$I$238)*MIN(E$3-$O$2,$Q$2)/$Q$2))</f>
        <v>6201.25</v>
      </c>
      <c r="F245" s="15" t="n">
        <f aca="false">E245*(1+IF(F$3&lt;=$O$2,$D245,$D245-($D245-$I$238)*MIN(F$3-$O$2,$Q$2)/$Q$2))</f>
        <v>5862.119140625</v>
      </c>
      <c r="G245" s="15" t="n">
        <f aca="false">F245*(1+IF(G$3&lt;=$O$2,$D245,$D245-($D245-$I$238)*MIN(G$3-$O$2,$Q$2)/$Q$2))</f>
        <v>5541.53450012207</v>
      </c>
      <c r="H245" s="15" t="n">
        <f aca="false">G245*(1+IF(H$3&lt;=$O$2,$D245,$D245-($D245-$I$238)*MIN(H$3-$O$2,$Q$2)/$Q$2))</f>
        <v>5238.48183214665</v>
      </c>
      <c r="I245" s="15" t="n">
        <f aca="false">H245*(1+IF(I$3&lt;=$O$2,$D245,$D245-($D245-$I$238)*MIN(I$3-$O$2,$Q$2)/$Q$2))</f>
        <v>4952.00235695113</v>
      </c>
      <c r="J245" s="15" t="n">
        <f aca="false">I245*(1+IF(J$3&lt;=$O$2,$D245,$D245-($D245-$I$238)*MIN(J$3-$O$2,$Q$2)/$Q$2))</f>
        <v>4763.38058717486</v>
      </c>
      <c r="K245" s="15" t="n">
        <f aca="false">J245*(1+IF(K$3&lt;=$O$2,$D245,$D245-($D245-$I$238)*MIN(K$3-$O$2,$Q$2)/$Q$2))</f>
        <v>4661.003629905</v>
      </c>
      <c r="L245" s="15" t="n">
        <f aca="false">K245*(1+IF(L$3&lt;=$O$2,$D245,$D245-($D245-$I$238)*MIN(L$3-$O$2,$Q$2)/$Q$2))</f>
        <v>4638.18801713662</v>
      </c>
      <c r="M245" s="15" t="n">
        <f aca="false">L245*(1+IF(M$3&lt;=$O$2,$D245,$D245-($D245-$I$238)*MIN(M$3-$O$2,$Q$2)/$Q$2))</f>
        <v>4692.46641240716</v>
      </c>
      <c r="N245" s="15" t="n">
        <f aca="false">M245*(1+IF(N$3&lt;=$O$2,$D245,$D245-($D245-$I$238)*MIN(N$3-$O$2,$Q$2)/$Q$2))</f>
        <v>4825.26321187828</v>
      </c>
      <c r="O245" s="15" t="n">
        <f aca="false">SUMPRODUCT(E245:N245,1/(1+$F$238)^$E$3:$N$3)*$E$2</f>
        <v>11422.9487643398</v>
      </c>
      <c r="P245" s="15" t="n">
        <f aca="false">N245*$E$2*(1+$I$238)/($F$238-$I$238)/(1+$F$238)^$N$3</f>
        <v>15855.2672351688</v>
      </c>
      <c r="Q245" s="15" t="n">
        <f aca="false">O245+P245</f>
        <v>27278.2159995085</v>
      </c>
      <c r="R245" s="15" t="n">
        <f aca="false">Q245-$G$2+$I$2</f>
        <v>19933.0159995085</v>
      </c>
      <c r="S245" s="42" t="n">
        <f aca="false">R245/$K$2</f>
        <v>84.9478627722504</v>
      </c>
      <c r="T245" s="43" t="n">
        <f aca="false">S245-$M$2</f>
        <v>3.93358619010672</v>
      </c>
    </row>
    <row r="246" customFormat="false" ht="15" hidden="false" customHeight="false" outlineLevel="0" collapsed="false">
      <c r="A246" s="5" t="n">
        <v>7</v>
      </c>
      <c r="B246" s="25" t="n">
        <f aca="false">IF(T245&gt;0,B245,D245)</f>
        <v>-0.078125</v>
      </c>
      <c r="C246" s="25" t="n">
        <f aca="false">IF(T245&gt;0,D245,C245)</f>
        <v>-0.0546875</v>
      </c>
      <c r="D246" s="41" t="n">
        <f aca="false">(B246+C246)/2</f>
        <v>-0.06640625</v>
      </c>
      <c r="E246" s="15" t="n">
        <f aca="false">$C$2*(1+IF(E$3&lt;=$O$2,$D246,$D246-($D246-$I$238)*MIN(E$3-$O$2,$Q$2)/$Q$2))</f>
        <v>6124.375</v>
      </c>
      <c r="F246" s="15" t="n">
        <f aca="false">E246*(1+IF(F$3&lt;=$O$2,$D246,$D246-($D246-$I$238)*MIN(F$3-$O$2,$Q$2)/$Q$2))</f>
        <v>5717.67822265625</v>
      </c>
      <c r="G246" s="15" t="n">
        <f aca="false">F246*(1+IF(G$3&lt;=$O$2,$D246,$D246-($D246-$I$238)*MIN(G$3-$O$2,$Q$2)/$Q$2))</f>
        <v>5337.98865318298</v>
      </c>
      <c r="H246" s="15" t="n">
        <f aca="false">G246*(1+IF(H$3&lt;=$O$2,$D246,$D246-($D246-$I$238)*MIN(H$3-$O$2,$Q$2)/$Q$2))</f>
        <v>4983.51284418255</v>
      </c>
      <c r="I246" s="15" t="n">
        <f aca="false">H246*(1+IF(I$3&lt;=$O$2,$D246,$D246-($D246-$I$238)*MIN(I$3-$O$2,$Q$2)/$Q$2))</f>
        <v>4652.57644437355</v>
      </c>
      <c r="J246" s="15" t="n">
        <f aca="false">I246*(1+IF(J$3&lt;=$O$2,$D246,$D246-($D246-$I$238)*MIN(J$3-$O$2,$Q$2)/$Q$2))</f>
        <v>4431.74190344136</v>
      </c>
      <c r="K246" s="15" t="n">
        <f aca="false">J246*(1+IF(K$3&lt;=$O$2,$D246,$D246-($D246-$I$238)*MIN(K$3-$O$2,$Q$2)/$Q$2))</f>
        <v>4305.33200532308</v>
      </c>
      <c r="L246" s="15" t="n">
        <f aca="false">K246*(1+IF(L$3&lt;=$O$2,$D246,$D246-($D246-$I$238)*MIN(L$3-$O$2,$Q$2)/$Q$2))</f>
        <v>4264.07616138207</v>
      </c>
      <c r="M246" s="15" t="n">
        <f aca="false">L246*(1+IF(M$3&lt;=$O$2,$D246,$D246-($D246-$I$238)*MIN(M$3-$O$2,$Q$2)/$Q$2))</f>
        <v>4303.9825841574</v>
      </c>
      <c r="N246" s="15" t="n">
        <f aca="false">M246*(1+IF(N$3&lt;=$O$2,$D246,$D246-($D246-$I$238)*MIN(N$3-$O$2,$Q$2)/$Q$2))</f>
        <v>4425.78529128906</v>
      </c>
      <c r="O246" s="15" t="n">
        <f aca="false">SUMPRODUCT(E246:N246,1/(1+$F$238)^$E$3:$N$3)*$E$2</f>
        <v>10853.5621968115</v>
      </c>
      <c r="P246" s="15" t="n">
        <f aca="false">N246*$E$2*(1+$I$238)/($F$238-$I$238)/(1+$F$238)^$N$3</f>
        <v>14542.6281298243</v>
      </c>
      <c r="Q246" s="15" t="n">
        <f aca="false">O246+P246</f>
        <v>25396.1903266358</v>
      </c>
      <c r="R246" s="15" t="n">
        <f aca="false">Q246-$G$2+$I$2</f>
        <v>18050.9903266358</v>
      </c>
      <c r="S246" s="42" t="n">
        <f aca="false">R246/$K$2</f>
        <v>76.927297364738</v>
      </c>
      <c r="T246" s="43" t="n">
        <f aca="false">S246-$M$2</f>
        <v>-4.08697921740567</v>
      </c>
    </row>
    <row r="247" customFormat="false" ht="15" hidden="false" customHeight="false" outlineLevel="0" collapsed="false">
      <c r="A247" s="5" t="n">
        <v>8</v>
      </c>
      <c r="B247" s="25" t="n">
        <f aca="false">IF(T246&gt;0,B246,D246)</f>
        <v>-0.06640625</v>
      </c>
      <c r="C247" s="25" t="n">
        <f aca="false">IF(T246&gt;0,D246,C246)</f>
        <v>-0.0546875</v>
      </c>
      <c r="D247" s="41" t="n">
        <f aca="false">(B247+C247)/2</f>
        <v>-0.060546875</v>
      </c>
      <c r="E247" s="15" t="n">
        <f aca="false">$C$2*(1+IF(E$3&lt;=$O$2,$D247,$D247-($D247-$I$238)*MIN(E$3-$O$2,$Q$2)/$Q$2))</f>
        <v>6162.8125</v>
      </c>
      <c r="F247" s="15" t="n">
        <f aca="false">E247*(1+IF(F$3&lt;=$O$2,$D247,$D247-($D247-$I$238)*MIN(F$3-$O$2,$Q$2)/$Q$2))</f>
        <v>5789.67346191406</v>
      </c>
      <c r="G247" s="15" t="n">
        <f aca="false">F247*(1+IF(G$3&lt;=$O$2,$D247,$D247-($D247-$I$238)*MIN(G$3-$O$2,$Q$2)/$Q$2))</f>
        <v>5439.12682652473</v>
      </c>
      <c r="H247" s="15" t="n">
        <f aca="false">G247*(1+IF(H$3&lt;=$O$2,$D247,$D247-($D247-$I$238)*MIN(H$3-$O$2,$Q$2)/$Q$2))</f>
        <v>5109.80469445</v>
      </c>
      <c r="I247" s="15" t="n">
        <f aca="false">H247*(1+IF(I$3&lt;=$O$2,$D247,$D247-($D247-$I$238)*MIN(I$3-$O$2,$Q$2)/$Q$2))</f>
        <v>4800.42198834072</v>
      </c>
      <c r="J247" s="15" t="n">
        <f aca="false">I247*(1+IF(J$3&lt;=$O$2,$D247,$D247-($D247-$I$238)*MIN(J$3-$O$2,$Q$2)/$Q$2))</f>
        <v>4595.07193673447</v>
      </c>
      <c r="K247" s="15" t="n">
        <f aca="false">J247*(1+IF(K$3&lt;=$O$2,$D247,$D247-($D247-$I$238)*MIN(K$3-$O$2,$Q$2)/$Q$2))</f>
        <v>4480.15780335663</v>
      </c>
      <c r="L247" s="15" t="n">
        <f aca="false">K247*(1+IF(L$3&lt;=$O$2,$D247,$D247-($D247-$I$238)*MIN(L$3-$O$2,$Q$2)/$Q$2))</f>
        <v>4447.72706105758</v>
      </c>
      <c r="M247" s="15" t="n">
        <f aca="false">L247*(1+IF(M$3&lt;=$O$2,$D247,$D247-($D247-$I$238)*MIN(M$3-$O$2,$Q$2)/$Q$2))</f>
        <v>4494.56440683993</v>
      </c>
      <c r="N247" s="15" t="n">
        <f aca="false">M247*(1+IF(N$3&lt;=$O$2,$D247,$D247-($D247-$I$238)*MIN(N$3-$O$2,$Q$2)/$Q$2))</f>
        <v>4621.7605795535</v>
      </c>
      <c r="O247" s="15" t="n">
        <f aca="false">SUMPRODUCT(E247:N247,1/(1+$F$238)^$E$3:$N$3)*$E$2</f>
        <v>11134.4634408495</v>
      </c>
      <c r="P247" s="15" t="n">
        <f aca="false">N247*$E$2*(1+$I$238)/($F$238-$I$238)/(1+$F$238)^$N$3</f>
        <v>15186.5806833913</v>
      </c>
      <c r="Q247" s="15" t="n">
        <f aca="false">O247+P247</f>
        <v>26321.0441242407</v>
      </c>
      <c r="R247" s="15" t="n">
        <f aca="false">Q247-$G$2+$I$2</f>
        <v>18975.8441242407</v>
      </c>
      <c r="S247" s="42" t="n">
        <f aca="false">R247/$K$2</f>
        <v>80.8687156370797</v>
      </c>
      <c r="T247" s="43" t="n">
        <f aca="false">S247-$M$2</f>
        <v>-0.145560945063963</v>
      </c>
    </row>
    <row r="248" customFormat="false" ht="15" hidden="false" customHeight="false" outlineLevel="0" collapsed="false">
      <c r="A248" s="5" t="n">
        <v>9</v>
      </c>
      <c r="B248" s="25" t="n">
        <f aca="false">IF(T247&gt;0,B247,D247)</f>
        <v>-0.060546875</v>
      </c>
      <c r="C248" s="25" t="n">
        <f aca="false">IF(T247&gt;0,D247,C247)</f>
        <v>-0.0546875</v>
      </c>
      <c r="D248" s="41" t="n">
        <f aca="false">(B248+C248)/2</f>
        <v>-0.0576171875</v>
      </c>
      <c r="E248" s="15" t="n">
        <f aca="false">$C$2*(1+IF(E$3&lt;=$O$2,$D248,$D248-($D248-$I$238)*MIN(E$3-$O$2,$Q$2)/$Q$2))</f>
        <v>6182.03125</v>
      </c>
      <c r="F248" s="15" t="n">
        <f aca="false">E248*(1+IF(F$3&lt;=$O$2,$D248,$D248-($D248-$I$238)*MIN(F$3-$O$2,$Q$2)/$Q$2))</f>
        <v>5825.83999633789</v>
      </c>
      <c r="G248" s="15" t="n">
        <f aca="false">F248*(1+IF(G$3&lt;=$O$2,$D248,$D248-($D248-$I$238)*MIN(G$3-$O$2,$Q$2)/$Q$2))</f>
        <v>5490.17148092389</v>
      </c>
      <c r="H248" s="15" t="n">
        <f aca="false">G248*(1+IF(H$3&lt;=$O$2,$D248,$D248-($D248-$I$238)*MIN(H$3-$O$2,$Q$2)/$Q$2))</f>
        <v>5173.84324130035</v>
      </c>
      <c r="I248" s="15" t="n">
        <f aca="false">H248*(1+IF(I$3&lt;=$O$2,$D248,$D248-($D248-$I$238)*MIN(I$3-$O$2,$Q$2)/$Q$2))</f>
        <v>4875.74094517074</v>
      </c>
      <c r="J248" s="15" t="n">
        <f aca="false">I248*(1+IF(J$3&lt;=$O$2,$D248,$D248-($D248-$I$238)*MIN(J$3-$O$2,$Q$2)/$Q$2))</f>
        <v>4678.59645472894</v>
      </c>
      <c r="K248" s="15" t="n">
        <f aca="false">J248*(1+IF(K$3&lt;=$O$2,$D248,$D248-($D248-$I$238)*MIN(K$3-$O$2,$Q$2)/$Q$2))</f>
        <v>4569.8176250951</v>
      </c>
      <c r="L248" s="15" t="n">
        <f aca="false">K248*(1+IF(L$3&lt;=$O$2,$D248,$D248-($D248-$I$238)*MIN(L$3-$O$2,$Q$2)/$Q$2))</f>
        <v>4542.09311279085</v>
      </c>
      <c r="M248" s="15" t="n">
        <f aca="false">L248*(1+IF(M$3&lt;=$O$2,$D248,$D248-($D248-$I$238)*MIN(M$3-$O$2,$Q$2)/$Q$2))</f>
        <v>4592.58557476001</v>
      </c>
      <c r="N248" s="15" t="n">
        <f aca="false">M248*(1+IF(N$3&lt;=$O$2,$D248,$D248-($D248-$I$238)*MIN(N$3-$O$2,$Q$2)/$Q$2))</f>
        <v>4722.55574652572</v>
      </c>
      <c r="O248" s="15" t="n">
        <f aca="false">SUMPRODUCT(E248:N248,1/(1+$F$238)^$E$3:$N$3)*$E$2</f>
        <v>11277.7458847715</v>
      </c>
      <c r="P248" s="15" t="n">
        <f aca="false">N248*$E$2*(1+$I$238)/($F$238-$I$238)/(1+$F$238)^$N$3</f>
        <v>15517.7821615664</v>
      </c>
      <c r="Q248" s="15" t="n">
        <f aca="false">O248+P248</f>
        <v>26795.5280463379</v>
      </c>
      <c r="R248" s="15" t="n">
        <f aca="false">Q248-$G$2+$I$2</f>
        <v>19450.3280463379</v>
      </c>
      <c r="S248" s="42" t="n">
        <f aca="false">R248/$K$2</f>
        <v>82.8908077832427</v>
      </c>
      <c r="T248" s="43" t="n">
        <f aca="false">S248-$M$2</f>
        <v>1.87653120109911</v>
      </c>
    </row>
    <row r="249" customFormat="false" ht="15" hidden="false" customHeight="false" outlineLevel="0" collapsed="false">
      <c r="A249" s="5" t="n">
        <v>10</v>
      </c>
      <c r="B249" s="25" t="n">
        <f aca="false">IF(T248&gt;0,B248,D248)</f>
        <v>-0.060546875</v>
      </c>
      <c r="C249" s="25" t="n">
        <f aca="false">IF(T248&gt;0,D248,C248)</f>
        <v>-0.0576171875</v>
      </c>
      <c r="D249" s="41" t="n">
        <f aca="false">(B249+C249)/2</f>
        <v>-0.05908203125</v>
      </c>
      <c r="E249" s="15" t="n">
        <f aca="false">$C$2*(1+IF(E$3&lt;=$O$2,$D249,$D249-($D249-$I$238)*MIN(E$3-$O$2,$Q$2)/$Q$2))</f>
        <v>6172.421875</v>
      </c>
      <c r="F249" s="15" t="n">
        <f aca="false">E249*(1+IF(F$3&lt;=$O$2,$D249,$D249-($D249-$I$238)*MIN(F$3-$O$2,$Q$2)/$Q$2))</f>
        <v>5807.74265289307</v>
      </c>
      <c r="G249" s="15" t="n">
        <f aca="false">F249*(1+IF(G$3&lt;=$O$2,$D249,$D249-($D249-$I$238)*MIN(G$3-$O$2,$Q$2)/$Q$2))</f>
        <v>5464.60941998288</v>
      </c>
      <c r="H249" s="15" t="n">
        <f aca="false">G249*(1+IF(H$3&lt;=$O$2,$D249,$D249-($D249-$I$238)*MIN(H$3-$O$2,$Q$2)/$Q$2))</f>
        <v>5141.74919546241</v>
      </c>
      <c r="I249" s="15" t="n">
        <f aca="false">H249*(1+IF(I$3&lt;=$O$2,$D249,$D249-($D249-$I$238)*MIN(I$3-$O$2,$Q$2)/$Q$2))</f>
        <v>4837.96420881644</v>
      </c>
      <c r="J249" s="15" t="n">
        <f aca="false">I249*(1+IF(J$3&lt;=$O$2,$D249,$D249-($D249-$I$238)*MIN(J$3-$O$2,$Q$2)/$Q$2))</f>
        <v>4636.677684181</v>
      </c>
      <c r="K249" s="15" t="n">
        <f aca="false">J249*(1+IF(K$3&lt;=$O$2,$D249,$D249-($D249-$I$238)*MIN(K$3-$O$2,$Q$2)/$Q$2))</f>
        <v>4524.79827406615</v>
      </c>
      <c r="L249" s="15" t="n">
        <f aca="false">K249*(1+IF(L$3&lt;=$O$2,$D249,$D249-($D249-$I$238)*MIN(L$3-$O$2,$Q$2)/$Q$2))</f>
        <v>4494.69563954846</v>
      </c>
      <c r="M249" s="15" t="n">
        <f aca="false">L249*(1+IF(M$3&lt;=$O$2,$D249,$D249-($D249-$I$238)*MIN(M$3-$O$2,$Q$2)/$Q$2))</f>
        <v>4543.34439918083</v>
      </c>
      <c r="N249" s="15" t="n">
        <f aca="false">M249*(1+IF(N$3&lt;=$O$2,$D249,$D249-($D249-$I$238)*MIN(N$3-$O$2,$Q$2)/$Q$2))</f>
        <v>4671.92104567765</v>
      </c>
      <c r="O249" s="15" t="n">
        <f aca="false">SUMPRODUCT(E249:N249,1/(1+$F$238)^$E$3:$N$3)*$E$2</f>
        <v>11205.8661451024</v>
      </c>
      <c r="P249" s="15" t="n">
        <f aca="false">N249*$E$2*(1+$I$238)/($F$238-$I$238)/(1+$F$238)^$N$3</f>
        <v>15351.4022817408</v>
      </c>
      <c r="Q249" s="15" t="n">
        <f aca="false">O249+P249</f>
        <v>26557.2684268432</v>
      </c>
      <c r="R249" s="15" t="n">
        <f aca="false">Q249-$G$2+$I$2</f>
        <v>19212.0684268432</v>
      </c>
      <c r="S249" s="42" t="n">
        <f aca="false">R249/$K$2</f>
        <v>81.8754247894448</v>
      </c>
      <c r="T249" s="43" t="n">
        <f aca="false">S249-$M$2</f>
        <v>0.861148207301184</v>
      </c>
    </row>
    <row r="250" customFormat="false" ht="15" hidden="false" customHeight="false" outlineLevel="0" collapsed="false">
      <c r="A250" s="5" t="n">
        <v>11</v>
      </c>
      <c r="B250" s="25" t="n">
        <f aca="false">IF(T249&gt;0,B249,D249)</f>
        <v>-0.060546875</v>
      </c>
      <c r="C250" s="25" t="n">
        <f aca="false">IF(T249&gt;0,D249,C249)</f>
        <v>-0.05908203125</v>
      </c>
      <c r="D250" s="41" t="n">
        <f aca="false">(B250+C250)/2</f>
        <v>-0.059814453125</v>
      </c>
      <c r="E250" s="15" t="n">
        <f aca="false">$C$2*(1+IF(E$3&lt;=$O$2,$D250,$D250-($D250-$I$238)*MIN(E$3-$O$2,$Q$2)/$Q$2))</f>
        <v>6167.6171875</v>
      </c>
      <c r="F250" s="15" t="n">
        <f aca="false">E250*(1+IF(F$3&lt;=$O$2,$D250,$D250-($D250-$I$238)*MIN(F$3-$O$2,$Q$2)/$Q$2))</f>
        <v>5798.70453834534</v>
      </c>
      <c r="G250" s="15" t="n">
        <f aca="false">F250*(1+IF(G$3&lt;=$O$2,$D250,$D250-($D250-$I$238)*MIN(G$3-$O$2,$Q$2)/$Q$2))</f>
        <v>5451.85819755076</v>
      </c>
      <c r="H250" s="15" t="n">
        <f aca="false">G250*(1+IF(H$3&lt;=$O$2,$D250,$D250-($D250-$I$238)*MIN(H$3-$O$2,$Q$2)/$Q$2))</f>
        <v>5125.75828094921</v>
      </c>
      <c r="I250" s="15" t="n">
        <f aca="false">H250*(1+IF(I$3&lt;=$O$2,$D250,$D250-($D250-$I$238)*MIN(I$3-$O$2,$Q$2)/$Q$2))</f>
        <v>4819.16385252329</v>
      </c>
      <c r="J250" s="15" t="n">
        <f aca="false">I250*(1+IF(J$3&lt;=$O$2,$D250,$D250-($D250-$I$238)*MIN(J$3-$O$2,$Q$2)/$Q$2))</f>
        <v>4615.83579964181</v>
      </c>
      <c r="K250" s="15" t="n">
        <f aca="false">J250*(1+IF(K$3&lt;=$O$2,$D250,$D250-($D250-$I$238)*MIN(K$3-$O$2,$Q$2)/$Q$2))</f>
        <v>4502.43084445154</v>
      </c>
      <c r="L250" s="15" t="n">
        <f aca="false">K250*(1+IF(L$3&lt;=$O$2,$D250,$D250-($D250-$I$238)*MIN(L$3-$O$2,$Q$2)/$Q$2))</f>
        <v>4471.15794471272</v>
      </c>
      <c r="M250" s="15" t="n">
        <f aca="false">L250*(1+IF(M$3&lt;=$O$2,$D250,$D250-($D250-$I$238)*MIN(M$3-$O$2,$Q$2)/$Q$2))</f>
        <v>4518.89698712132</v>
      </c>
      <c r="N250" s="15" t="n">
        <f aca="false">M250*(1+IF(N$3&lt;=$O$2,$D250,$D250-($D250-$I$238)*MIN(N$3-$O$2,$Q$2)/$Q$2))</f>
        <v>4646.78177185686</v>
      </c>
      <c r="O250" s="15" t="n">
        <f aca="false">SUMPRODUCT(E250:N250,1/(1+$F$238)^$E$3:$N$3)*$E$2</f>
        <v>11170.1053546968</v>
      </c>
      <c r="P250" s="15" t="n">
        <f aca="false">N250*$E$2*(1+$I$238)/($F$238-$I$238)/(1+$F$238)^$N$3</f>
        <v>15268.7974813342</v>
      </c>
      <c r="Q250" s="15" t="n">
        <f aca="false">O250+P250</f>
        <v>26438.902836031</v>
      </c>
      <c r="R250" s="15" t="n">
        <f aca="false">Q250-$G$2+$I$2</f>
        <v>19093.702836031</v>
      </c>
      <c r="S250" s="42" t="n">
        <f aca="false">R250/$K$2</f>
        <v>81.3709901386362</v>
      </c>
      <c r="T250" s="43" t="n">
        <f aca="false">S250-$M$2</f>
        <v>0.356713556492537</v>
      </c>
    </row>
    <row r="251" customFormat="false" ht="15" hidden="false" customHeight="false" outlineLevel="0" collapsed="false">
      <c r="A251" s="5" t="n">
        <v>12</v>
      </c>
      <c r="B251" s="25" t="n">
        <f aca="false">IF(T250&gt;0,B250,D250)</f>
        <v>-0.060546875</v>
      </c>
      <c r="C251" s="25" t="n">
        <f aca="false">IF(T250&gt;0,D250,C250)</f>
        <v>-0.059814453125</v>
      </c>
      <c r="D251" s="41" t="n">
        <f aca="false">(B251+C251)/2</f>
        <v>-0.0601806640625</v>
      </c>
      <c r="E251" s="15" t="n">
        <f aca="false">$C$2*(1+IF(E$3&lt;=$O$2,$D251,$D251-($D251-$I$238)*MIN(E$3-$O$2,$Q$2)/$Q$2))</f>
        <v>6165.21484375</v>
      </c>
      <c r="F251" s="15" t="n">
        <f aca="false">E251*(1+IF(F$3&lt;=$O$2,$D251,$D251-($D251-$I$238)*MIN(F$3-$O$2,$Q$2)/$Q$2))</f>
        <v>5794.18812036514</v>
      </c>
      <c r="G251" s="15" t="n">
        <f aca="false">F251*(1+IF(G$3&lt;=$O$2,$D251,$D251-($D251-$I$238)*MIN(G$3-$O$2,$Q$2)/$Q$2))</f>
        <v>5445.49003157852</v>
      </c>
      <c r="H251" s="15" t="n">
        <f aca="false">G251*(1+IF(H$3&lt;=$O$2,$D251,$D251-($D251-$I$238)*MIN(H$3-$O$2,$Q$2)/$Q$2))</f>
        <v>5117.7768253324</v>
      </c>
      <c r="I251" s="15" t="n">
        <f aca="false">H251*(1+IF(I$3&lt;=$O$2,$D251,$D251-($D251-$I$238)*MIN(I$3-$O$2,$Q$2)/$Q$2))</f>
        <v>4809.78561746022</v>
      </c>
      <c r="J251" s="15" t="n">
        <f aca="false">I251*(1+IF(J$3&lt;=$O$2,$D251,$D251-($D251-$I$238)*MIN(J$3-$O$2,$Q$2)/$Q$2))</f>
        <v>4605.44413008943</v>
      </c>
      <c r="K251" s="15" t="n">
        <f aca="false">J251*(1+IF(K$3&lt;=$O$2,$D251,$D251-($D251-$I$238)*MIN(K$3-$O$2,$Q$2)/$Q$2))</f>
        <v>4491.28254601113</v>
      </c>
      <c r="L251" s="15" t="n">
        <f aca="false">K251*(1+IF(L$3&lt;=$O$2,$D251,$D251-($D251-$I$238)*MIN(L$3-$O$2,$Q$2)/$Q$2))</f>
        <v>4459.42917719789</v>
      </c>
      <c r="M251" s="15" t="n">
        <f aca="false">L251*(1+IF(M$3&lt;=$O$2,$D251,$D251-($D251-$I$238)*MIN(M$3-$O$2,$Q$2)/$Q$2))</f>
        <v>4506.71637192496</v>
      </c>
      <c r="N251" s="15" t="n">
        <f aca="false">M251*(1+IF(N$3&lt;=$O$2,$D251,$D251-($D251-$I$238)*MIN(N$3-$O$2,$Q$2)/$Q$2))</f>
        <v>4634.25644525044</v>
      </c>
      <c r="O251" s="15" t="n">
        <f aca="false">SUMPRODUCT(E251:N251,1/(1+$F$238)^$E$3:$N$3)*$E$2</f>
        <v>11152.269562038</v>
      </c>
      <c r="P251" s="15" t="n">
        <f aca="false">N251*$E$2*(1+$I$238)/($F$238-$I$238)/(1+$F$238)^$N$3</f>
        <v>15227.6406797604</v>
      </c>
      <c r="Q251" s="15" t="n">
        <f aca="false">O251+P251</f>
        <v>26379.9102417984</v>
      </c>
      <c r="R251" s="15" t="n">
        <f aca="false">Q251-$G$2+$I$2</f>
        <v>19034.7102417984</v>
      </c>
      <c r="S251" s="42" t="n">
        <f aca="false">R251/$K$2</f>
        <v>81.1195833871654</v>
      </c>
      <c r="T251" s="43" t="n">
        <f aca="false">S251-$M$2</f>
        <v>0.105306805021741</v>
      </c>
    </row>
    <row r="252" customFormat="false" ht="15" hidden="false" customHeight="false" outlineLevel="0" collapsed="false">
      <c r="A252" s="5" t="n">
        <v>13</v>
      </c>
      <c r="B252" s="25" t="n">
        <f aca="false">IF(T251&gt;0,B251,D251)</f>
        <v>-0.060546875</v>
      </c>
      <c r="C252" s="25" t="n">
        <f aca="false">IF(T251&gt;0,D251,C251)</f>
        <v>-0.0601806640625</v>
      </c>
      <c r="D252" s="41" t="n">
        <f aca="false">(B252+C252)/2</f>
        <v>-0.06036376953125</v>
      </c>
      <c r="E252" s="15" t="n">
        <f aca="false">$C$2*(1+IF(E$3&lt;=$O$2,$D252,$D252-($D252-$I$238)*MIN(E$3-$O$2,$Q$2)/$Q$2))</f>
        <v>6164.013671875</v>
      </c>
      <c r="F252" s="15" t="n">
        <f aca="false">E252*(1+IF(F$3&lt;=$O$2,$D252,$D252-($D252-$I$238)*MIN(F$3-$O$2,$Q$2)/$Q$2))</f>
        <v>5791.93057119846</v>
      </c>
      <c r="G252" s="15" t="n">
        <f aca="false">F252*(1+IF(G$3&lt;=$O$2,$D252,$D252-($D252-$I$238)*MIN(G$3-$O$2,$Q$2)/$Q$2))</f>
        <v>5442.30780905764</v>
      </c>
      <c r="H252" s="15" t="n">
        <f aca="false">G252*(1+IF(H$3&lt;=$O$2,$D252,$D252-($D252-$I$238)*MIN(H$3-$O$2,$Q$2)/$Q$2))</f>
        <v>5113.78959475356</v>
      </c>
      <c r="I252" s="15" t="n">
        <f aca="false">H252*(1+IF(I$3&lt;=$O$2,$D252,$D252-($D252-$I$238)*MIN(I$3-$O$2,$Q$2)/$Q$2))</f>
        <v>4805.10197822455</v>
      </c>
      <c r="J252" s="15" t="n">
        <f aca="false">I252*(1+IF(J$3&lt;=$O$2,$D252,$D252-($D252-$I$238)*MIN(J$3-$O$2,$Q$2)/$Q$2))</f>
        <v>4600.25560071114</v>
      </c>
      <c r="K252" s="15" t="n">
        <f aca="false">J252*(1+IF(K$3&lt;=$O$2,$D252,$D252-($D252-$I$238)*MIN(K$3-$O$2,$Q$2)/$Q$2))</f>
        <v>4485.71723279149</v>
      </c>
      <c r="L252" s="15" t="n">
        <f aca="false">K252*(1+IF(L$3&lt;=$O$2,$D252,$D252-($D252-$I$238)*MIN(L$3-$O$2,$Q$2)/$Q$2))</f>
        <v>4453.57479091526</v>
      </c>
      <c r="M252" s="15" t="n">
        <f aca="false">L252*(1+IF(M$3&lt;=$O$2,$D252,$D252-($D252-$I$238)*MIN(M$3-$O$2,$Q$2)/$Q$2))</f>
        <v>4500.63681172778</v>
      </c>
      <c r="N252" s="15" t="n">
        <f aca="false">M252*(1+IF(N$3&lt;=$O$2,$D252,$D252-($D252-$I$238)*MIN(N$3-$O$2,$Q$2)/$Q$2))</f>
        <v>4628.00483349968</v>
      </c>
      <c r="O252" s="15" t="n">
        <f aca="false">SUMPRODUCT(E252:N252,1/(1+$F$238)^$E$3:$N$3)*$E$2</f>
        <v>11143.3627954856</v>
      </c>
      <c r="P252" s="15" t="n">
        <f aca="false">N252*$E$2*(1+$I$238)/($F$238-$I$238)/(1+$F$238)^$N$3</f>
        <v>15207.0985931205</v>
      </c>
      <c r="Q252" s="15" t="n">
        <f aca="false">O252+P252</f>
        <v>26350.461388606</v>
      </c>
      <c r="R252" s="15" t="n">
        <f aca="false">Q252-$G$2+$I$2</f>
        <v>19005.261388606</v>
      </c>
      <c r="S252" s="42" t="n">
        <f aca="false">R252/$K$2</f>
        <v>80.9940822016026</v>
      </c>
      <c r="T252" s="43" t="n">
        <f aca="false">S252-$M$2</f>
        <v>-0.0201943805410707</v>
      </c>
    </row>
    <row r="253" customFormat="false" ht="15" hidden="false" customHeight="false" outlineLevel="0" collapsed="false">
      <c r="A253" s="5" t="n">
        <v>14</v>
      </c>
      <c r="B253" s="25" t="n">
        <f aca="false">IF(T252&gt;0,B252,D252)</f>
        <v>-0.06036376953125</v>
      </c>
      <c r="C253" s="25" t="n">
        <f aca="false">IF(T252&gt;0,D252,C252)</f>
        <v>-0.0601806640625</v>
      </c>
      <c r="D253" s="41" t="n">
        <f aca="false">(B253+C253)/2</f>
        <v>-0.060272216796875</v>
      </c>
      <c r="E253" s="15" t="n">
        <f aca="false">$C$2*(1+IF(E$3&lt;=$O$2,$D253,$D253-($D253-$I$238)*MIN(E$3-$O$2,$Q$2)/$Q$2))</f>
        <v>6164.6142578125</v>
      </c>
      <c r="F253" s="15" t="n">
        <f aca="false">E253*(1+IF(F$3&lt;=$O$2,$D253,$D253-($D253-$I$238)*MIN(F$3-$O$2,$Q$2)/$Q$2))</f>
        <v>5793.05929079652</v>
      </c>
      <c r="G253" s="15" t="n">
        <f aca="false">F253*(1+IF(G$3&lt;=$O$2,$D253,$D253-($D253-$I$238)*MIN(G$3-$O$2,$Q$2)/$Q$2))</f>
        <v>5443.89876530448</v>
      </c>
      <c r="H253" s="15" t="n">
        <f aca="false">G253*(1+IF(H$3&lt;=$O$2,$D253,$D253-($D253-$I$238)*MIN(H$3-$O$2,$Q$2)/$Q$2))</f>
        <v>5115.78291870181</v>
      </c>
      <c r="I253" s="15" t="n">
        <f aca="false">H253*(1+IF(I$3&lt;=$O$2,$D253,$D253-($D253-$I$238)*MIN(I$3-$O$2,$Q$2)/$Q$2))</f>
        <v>4807.44334154006</v>
      </c>
      <c r="J253" s="15" t="n">
        <f aca="false">I253*(1+IF(J$3&lt;=$O$2,$D253,$D253-($D253-$I$238)*MIN(J$3-$O$2,$Q$2)/$Q$2))</f>
        <v>4602.84925699718</v>
      </c>
      <c r="K253" s="15" t="n">
        <f aca="false">J253*(1+IF(K$3&lt;=$O$2,$D253,$D253-($D253-$I$238)*MIN(K$3-$O$2,$Q$2)/$Q$2))</f>
        <v>4488.49915360575</v>
      </c>
      <c r="L253" s="15" t="n">
        <f aca="false">K253*(1+IF(L$3&lt;=$O$2,$D253,$D253-($D253-$I$238)*MIN(L$3-$O$2,$Q$2)/$Q$2))</f>
        <v>4456.50115160249</v>
      </c>
      <c r="M253" s="15" t="n">
        <f aca="false">L253*(1+IF(M$3&lt;=$O$2,$D253,$D253-($D253-$I$238)*MIN(M$3-$O$2,$Q$2)/$Q$2))</f>
        <v>4503.67569696179</v>
      </c>
      <c r="N253" s="15" t="n">
        <f aca="false">M253*(1+IF(N$3&lt;=$O$2,$D253,$D253-($D253-$I$238)*MIN(N$3-$O$2,$Q$2)/$Q$2))</f>
        <v>4631.12971918581</v>
      </c>
      <c r="O253" s="15" t="n">
        <f aca="false">SUMPRODUCT(E253:N253,1/(1+$F$238)^$E$3:$N$3)*$E$2</f>
        <v>11147.8152519004</v>
      </c>
      <c r="P253" s="15" t="n">
        <f aca="false">N253*$E$2*(1+$I$238)/($F$238-$I$238)/(1+$F$238)^$N$3</f>
        <v>15217.366612803</v>
      </c>
      <c r="Q253" s="15" t="n">
        <f aca="false">O253+P253</f>
        <v>26365.1818647034</v>
      </c>
      <c r="R253" s="15" t="n">
        <f aca="false">Q253-$G$2+$I$2</f>
        <v>19019.9818647034</v>
      </c>
      <c r="S253" s="42" t="n">
        <f aca="false">R253/$K$2</f>
        <v>81.0568159586765</v>
      </c>
      <c r="T253" s="43" t="n">
        <f aca="false">S253-$M$2</f>
        <v>0.0425393765328295</v>
      </c>
    </row>
    <row r="254" customFormat="false" ht="15" hidden="false" customHeight="false" outlineLevel="0" collapsed="false">
      <c r="A254" s="5" t="n">
        <v>15</v>
      </c>
      <c r="B254" s="25" t="n">
        <f aca="false">IF(T253&gt;0,B253,D253)</f>
        <v>-0.06036376953125</v>
      </c>
      <c r="C254" s="25" t="n">
        <f aca="false">IF(T253&gt;0,D253,C253)</f>
        <v>-0.060272216796875</v>
      </c>
      <c r="D254" s="41" t="n">
        <f aca="false">(B254+C254)/2</f>
        <v>-0.0603179931640625</v>
      </c>
      <c r="E254" s="15" t="n">
        <f aca="false">$C$2*(1+IF(E$3&lt;=$O$2,$D254,$D254-($D254-$I$238)*MIN(E$3-$O$2,$Q$2)/$Q$2))</f>
        <v>6164.31396484375</v>
      </c>
      <c r="F254" s="15" t="n">
        <f aca="false">E254*(1+IF(F$3&lt;=$O$2,$D254,$D254-($D254-$I$238)*MIN(F$3-$O$2,$Q$2)/$Q$2))</f>
        <v>5792.49491725117</v>
      </c>
      <c r="G254" s="15" t="n">
        <f aca="false">F254*(1+IF(G$3&lt;=$O$2,$D254,$D254-($D254-$I$238)*MIN(G$3-$O$2,$Q$2)/$Q$2))</f>
        <v>5443.10324842955</v>
      </c>
      <c r="H254" s="15" t="n">
        <f aca="false">G254*(1+IF(H$3&lt;=$O$2,$D254,$D254-($D254-$I$238)*MIN(H$3-$O$2,$Q$2)/$Q$2))</f>
        <v>5114.78618389949</v>
      </c>
      <c r="I254" s="15" t="n">
        <f aca="false">H254*(1+IF(I$3&lt;=$O$2,$D254,$D254-($D254-$I$238)*MIN(I$3-$O$2,$Q$2)/$Q$2))</f>
        <v>4806.2725458234</v>
      </c>
      <c r="J254" s="15" t="n">
        <f aca="false">I254*(1+IF(J$3&lt;=$O$2,$D254,$D254-($D254-$I$238)*MIN(J$3-$O$2,$Q$2)/$Q$2))</f>
        <v>4601.55227678188</v>
      </c>
      <c r="K254" s="15" t="n">
        <f aca="false">J254*(1+IF(K$3&lt;=$O$2,$D254,$D254-($D254-$I$238)*MIN(K$3-$O$2,$Q$2)/$Q$2))</f>
        <v>4487.10800929005</v>
      </c>
      <c r="L254" s="15" t="n">
        <f aca="false">K254*(1+IF(L$3&lt;=$O$2,$D254,$D254-($D254-$I$238)*MIN(L$3-$O$2,$Q$2)/$Q$2))</f>
        <v>4455.03776319549</v>
      </c>
      <c r="M254" s="15" t="n">
        <f aca="false">L254*(1+IF(M$3&lt;=$O$2,$D254,$D254-($D254-$I$238)*MIN(M$3-$O$2,$Q$2)/$Q$2))</f>
        <v>4502.15603068502</v>
      </c>
      <c r="N254" s="15" t="n">
        <f aca="false">M254*(1+IF(N$3&lt;=$O$2,$D254,$D254-($D254-$I$238)*MIN(N$3-$O$2,$Q$2)/$Q$2))</f>
        <v>4629.5670463534</v>
      </c>
      <c r="O254" s="15" t="n">
        <f aca="false">SUMPRODUCT(E254:N254,1/(1+$F$238)^$E$3:$N$3)*$E$2</f>
        <v>11145.5887920242</v>
      </c>
      <c r="P254" s="15" t="n">
        <f aca="false">N254*$E$2*(1+$I$238)/($F$238-$I$238)/(1+$F$238)^$N$3</f>
        <v>15212.2318472429</v>
      </c>
      <c r="Q254" s="15" t="n">
        <f aca="false">O254+P254</f>
        <v>26357.820639267</v>
      </c>
      <c r="R254" s="15" t="n">
        <f aca="false">Q254-$G$2+$I$2</f>
        <v>19012.620639267</v>
      </c>
      <c r="S254" s="42" t="n">
        <f aca="false">R254/$K$2</f>
        <v>81.0254448722226</v>
      </c>
      <c r="T254" s="43" t="n">
        <f aca="false">S254-$M$2</f>
        <v>0.0111682900789418</v>
      </c>
    </row>
    <row r="255" customFormat="false" ht="15" hidden="false" customHeight="false" outlineLevel="0" collapsed="false">
      <c r="A255" s="5" t="n">
        <v>16</v>
      </c>
      <c r="B255" s="25" t="n">
        <f aca="false">IF(T254&gt;0,B254,D254)</f>
        <v>-0.06036376953125</v>
      </c>
      <c r="C255" s="25" t="n">
        <f aca="false">IF(T254&gt;0,D254,C254)</f>
        <v>-0.0603179931640625</v>
      </c>
      <c r="D255" s="41" t="n">
        <f aca="false">(B255+C255)/2</f>
        <v>-0.0603408813476563</v>
      </c>
      <c r="E255" s="15" t="n">
        <f aca="false">$C$2*(1+IF(E$3&lt;=$O$2,$D255,$D255-($D255-$I$238)*MIN(E$3-$O$2,$Q$2)/$Q$2))</f>
        <v>6164.16381835938</v>
      </c>
      <c r="F255" s="15" t="n">
        <f aca="false">E255*(1+IF(F$3&lt;=$O$2,$D255,$D255-($D255-$I$238)*MIN(F$3-$O$2,$Q$2)/$Q$2))</f>
        <v>5792.21274078824</v>
      </c>
      <c r="G255" s="15" t="n">
        <f aca="false">F255*(1+IF(G$3&lt;=$O$2,$D255,$D255-($D255-$I$238)*MIN(G$3-$O$2,$Q$2)/$Q$2))</f>
        <v>5442.70551905595</v>
      </c>
      <c r="H255" s="15" t="n">
        <f aca="false">G255*(1+IF(H$3&lt;=$O$2,$D255,$D255-($D255-$I$238)*MIN(H$3-$O$2,$Q$2)/$Q$2))</f>
        <v>5114.28787112036</v>
      </c>
      <c r="I255" s="15" t="n">
        <f aca="false">H255*(1+IF(I$3&lt;=$O$2,$D255,$D255-($D255-$I$238)*MIN(I$3-$O$2,$Q$2)/$Q$2))</f>
        <v>4805.68723351133</v>
      </c>
      <c r="J255" s="15" t="n">
        <f aca="false">I255*(1+IF(J$3&lt;=$O$2,$D255,$D255-($D255-$I$238)*MIN(J$3-$O$2,$Q$2)/$Q$2))</f>
        <v>4600.903900732</v>
      </c>
      <c r="K255" s="15" t="n">
        <f aca="false">J255*(1+IF(K$3&lt;=$O$2,$D255,$D255-($D255-$I$238)*MIN(K$3-$O$2,$Q$2)/$Q$2))</f>
        <v>4486.41257506867</v>
      </c>
      <c r="L255" s="15" t="n">
        <f aca="false">K255*(1+IF(L$3&lt;=$O$2,$D255,$D255-($D255-$I$238)*MIN(L$3-$O$2,$Q$2)/$Q$2))</f>
        <v>4454.30622504579</v>
      </c>
      <c r="M255" s="15" t="n">
        <f aca="false">L255*(1+IF(M$3&lt;=$O$2,$D255,$D255-($D255-$I$238)*MIN(M$3-$O$2,$Q$2)/$Q$2))</f>
        <v>4501.39636529851</v>
      </c>
      <c r="N255" s="15" t="n">
        <f aca="false">M255*(1+IF(N$3&lt;=$O$2,$D255,$D255-($D255-$I$238)*MIN(N$3-$O$2,$Q$2)/$Q$2))</f>
        <v>4628.78588243645</v>
      </c>
      <c r="O255" s="15" t="n">
        <f aca="false">SUMPRODUCT(E255:N255,1/(1+$F$238)^$E$3:$N$3)*$E$2</f>
        <v>11144.4757358435</v>
      </c>
      <c r="P255" s="15" t="n">
        <f aca="false">N255*$E$2*(1+$I$238)/($F$238-$I$238)/(1+$F$238)^$N$3</f>
        <v>15209.6650312758</v>
      </c>
      <c r="Q255" s="15" t="n">
        <f aca="false">O255+P255</f>
        <v>26354.1407671192</v>
      </c>
      <c r="R255" s="15" t="n">
        <f aca="false">Q255-$G$2+$I$2</f>
        <v>19008.9407671192</v>
      </c>
      <c r="S255" s="42" t="n">
        <f aca="false">R255/$K$2</f>
        <v>81.0097624850596</v>
      </c>
      <c r="T255" s="43" t="n">
        <f aca="false">S255-$M$2</f>
        <v>-0.00451409708405492</v>
      </c>
    </row>
    <row r="256" customFormat="false" ht="15" hidden="false" customHeight="false" outlineLevel="0" collapsed="false">
      <c r="A256" s="5" t="n">
        <v>17</v>
      </c>
      <c r="B256" s="25" t="n">
        <f aca="false">IF(T255&gt;0,B255,D255)</f>
        <v>-0.0603408813476563</v>
      </c>
      <c r="C256" s="25" t="n">
        <f aca="false">IF(T255&gt;0,D255,C255)</f>
        <v>-0.0603179931640625</v>
      </c>
      <c r="D256" s="41" t="n">
        <f aca="false">(B256+C256)/2</f>
        <v>-0.0603294372558594</v>
      </c>
      <c r="E256" s="15" t="n">
        <f aca="false">$C$2*(1+IF(E$3&lt;=$O$2,$D256,$D256-($D256-$I$238)*MIN(E$3-$O$2,$Q$2)/$Q$2))</f>
        <v>6164.23889160156</v>
      </c>
      <c r="F256" s="15" t="n">
        <f aca="false">E256*(1+IF(F$3&lt;=$O$2,$D256,$D256-($D256-$I$238)*MIN(F$3-$O$2,$Q$2)/$Q$2))</f>
        <v>5792.35382816056</v>
      </c>
      <c r="G256" s="15" t="n">
        <f aca="false">F256*(1+IF(G$3&lt;=$O$2,$D256,$D256-($D256-$I$238)*MIN(G$3-$O$2,$Q$2)/$Q$2))</f>
        <v>5442.90438132081</v>
      </c>
      <c r="H256" s="15" t="n">
        <f aca="false">G256*(1+IF(H$3&lt;=$O$2,$D256,$D256-($D256-$I$238)*MIN(H$3-$O$2,$Q$2)/$Q$2))</f>
        <v>5114.53702295827</v>
      </c>
      <c r="I256" s="15" t="n">
        <f aca="false">H256*(1+IF(I$3&lt;=$O$2,$D256,$D256-($D256-$I$238)*MIN(I$3-$O$2,$Q$2)/$Q$2))</f>
        <v>4805.97988253894</v>
      </c>
      <c r="J256" s="15" t="n">
        <f aca="false">I256*(1+IF(J$3&lt;=$O$2,$D256,$D256-($D256-$I$238)*MIN(J$3-$O$2,$Q$2)/$Q$2))</f>
        <v>4601.22807925287</v>
      </c>
      <c r="K256" s="15" t="n">
        <f aca="false">J256*(1+IF(K$3&lt;=$O$2,$D256,$D256-($D256-$I$238)*MIN(K$3-$O$2,$Q$2)/$Q$2))</f>
        <v>4486.7602806857</v>
      </c>
      <c r="L256" s="15" t="n">
        <f aca="false">K256*(1+IF(L$3&lt;=$O$2,$D256,$D256-($D256-$I$238)*MIN(L$3-$O$2,$Q$2)/$Q$2))</f>
        <v>4454.67198111746</v>
      </c>
      <c r="M256" s="15" t="n">
        <f aca="false">L256*(1+IF(M$3&lt;=$O$2,$D256,$D256-($D256-$I$238)*MIN(M$3-$O$2,$Q$2)/$Q$2))</f>
        <v>4501.77618401391</v>
      </c>
      <c r="N256" s="15" t="n">
        <f aca="false">M256*(1+IF(N$3&lt;=$O$2,$D256,$D256-($D256-$I$238)*MIN(N$3-$O$2,$Q$2)/$Q$2))</f>
        <v>4629.1764500215</v>
      </c>
      <c r="O256" s="15" t="n">
        <f aca="false">SUMPRODUCT(E256:N256,1/(1+$F$238)^$E$3:$N$3)*$E$2</f>
        <v>11145.0322494552</v>
      </c>
      <c r="P256" s="15" t="n">
        <f aca="false">N256*$E$2*(1+$I$238)/($F$238-$I$238)/(1+$F$238)^$N$3</f>
        <v>15210.9483920299</v>
      </c>
      <c r="Q256" s="15" t="n">
        <f aca="false">O256+P256</f>
        <v>26355.9806414851</v>
      </c>
      <c r="R256" s="15" t="n">
        <f aca="false">Q256-$G$2+$I$2</f>
        <v>19010.7806414851</v>
      </c>
      <c r="S256" s="42" t="n">
        <f aca="false">R256/$K$2</f>
        <v>81.0176034156621</v>
      </c>
      <c r="T256" s="43" t="n">
        <f aca="false">S256-$M$2</f>
        <v>0.00332683351842888</v>
      </c>
    </row>
    <row r="257" customFormat="false" ht="15" hidden="false" customHeight="false" outlineLevel="0" collapsed="false">
      <c r="A257" s="5" t="n">
        <v>18</v>
      </c>
      <c r="B257" s="25" t="n">
        <f aca="false">IF(T256&gt;0,B256,D256)</f>
        <v>-0.0603408813476563</v>
      </c>
      <c r="C257" s="25" t="n">
        <f aca="false">IF(T256&gt;0,D256,C256)</f>
        <v>-0.0603294372558594</v>
      </c>
      <c r="D257" s="41" t="n">
        <f aca="false">(B257+C257)/2</f>
        <v>-0.0603351593017578</v>
      </c>
      <c r="E257" s="15" t="n">
        <f aca="false">$C$2*(1+IF(E$3&lt;=$O$2,$D257,$D257-($D257-$I$238)*MIN(E$3-$O$2,$Q$2)/$Q$2))</f>
        <v>6164.20135498047</v>
      </c>
      <c r="F257" s="15" t="n">
        <f aca="false">E257*(1+IF(F$3&lt;=$O$2,$D257,$D257-($D257-$I$238)*MIN(F$3-$O$2,$Q$2)/$Q$2))</f>
        <v>5792.28328425961</v>
      </c>
      <c r="G257" s="15" t="n">
        <f aca="false">F257*(1+IF(G$3&lt;=$O$2,$D257,$D257-($D257-$I$238)*MIN(G$3-$O$2,$Q$2)/$Q$2))</f>
        <v>5442.8049495829</v>
      </c>
      <c r="H257" s="15" t="n">
        <f aca="false">G257*(1+IF(H$3&lt;=$O$2,$D257,$D257-($D257-$I$238)*MIN(H$3-$O$2,$Q$2)/$Q$2))</f>
        <v>5114.41244590142</v>
      </c>
      <c r="I257" s="15" t="n">
        <f aca="false">H257*(1+IF(I$3&lt;=$O$2,$D257,$D257-($D257-$I$238)*MIN(I$3-$O$2,$Q$2)/$Q$2))</f>
        <v>4805.83355624306</v>
      </c>
      <c r="J257" s="15" t="n">
        <f aca="false">I257*(1+IF(J$3&lt;=$O$2,$D257,$D257-($D257-$I$238)*MIN(J$3-$O$2,$Q$2)/$Q$2))</f>
        <v>4601.06598761647</v>
      </c>
      <c r="K257" s="15" t="n">
        <f aca="false">J257*(1+IF(K$3&lt;=$O$2,$D257,$D257-($D257-$I$238)*MIN(K$3-$O$2,$Q$2)/$Q$2))</f>
        <v>4486.58642500385</v>
      </c>
      <c r="L257" s="15" t="n">
        <f aca="false">K257*(1+IF(L$3&lt;=$O$2,$D257,$D257-($D257-$I$238)*MIN(L$3-$O$2,$Q$2)/$Q$2))</f>
        <v>4454.48909983093</v>
      </c>
      <c r="M257" s="15" t="n">
        <f aca="false">L257*(1+IF(M$3&lt;=$O$2,$D257,$D257-($D257-$I$238)*MIN(M$3-$O$2,$Q$2)/$Q$2))</f>
        <v>4501.58627116185</v>
      </c>
      <c r="N257" s="15" t="n">
        <f aca="false">M257*(1+IF(N$3&lt;=$O$2,$D257,$D257-($D257-$I$238)*MIN(N$3-$O$2,$Q$2)/$Q$2))</f>
        <v>4628.98116263573</v>
      </c>
      <c r="O257" s="15" t="n">
        <f aca="false">SUMPRODUCT(E257:N257,1/(1+$F$238)^$E$3:$N$3)*$E$2</f>
        <v>11144.7539890298</v>
      </c>
      <c r="P257" s="15" t="n">
        <f aca="false">N257*$E$2*(1+$I$238)/($F$238-$I$238)/(1+$F$238)^$N$3</f>
        <v>15210.3066998458</v>
      </c>
      <c r="Q257" s="15" t="n">
        <f aca="false">O257+P257</f>
        <v>26355.0606888756</v>
      </c>
      <c r="R257" s="15" t="n">
        <f aca="false">Q257-$G$2+$I$2</f>
        <v>19009.8606888756</v>
      </c>
      <c r="S257" s="42" t="n">
        <f aca="false">R257/$K$2</f>
        <v>81.013682884618</v>
      </c>
      <c r="T257" s="43" t="n">
        <f aca="false">S257-$M$2</f>
        <v>-0.000593697525602011</v>
      </c>
    </row>
    <row r="258" customFormat="false" ht="15" hidden="false" customHeight="false" outlineLevel="0" collapsed="false">
      <c r="A258" s="5" t="n">
        <v>19</v>
      </c>
      <c r="B258" s="25" t="n">
        <f aca="false">IF(T257&gt;0,B257,D257)</f>
        <v>-0.0603351593017578</v>
      </c>
      <c r="C258" s="25" t="n">
        <f aca="false">IF(T257&gt;0,D257,C257)</f>
        <v>-0.0603294372558594</v>
      </c>
      <c r="D258" s="41" t="n">
        <f aca="false">(B258+C258)/2</f>
        <v>-0.0603322982788086</v>
      </c>
      <c r="E258" s="15" t="n">
        <f aca="false">$C$2*(1+IF(E$3&lt;=$O$2,$D258,$D258-($D258-$I$238)*MIN(E$3-$O$2,$Q$2)/$Q$2))</f>
        <v>6164.22012329102</v>
      </c>
      <c r="F258" s="15" t="n">
        <f aca="false">E258*(1+IF(F$3&lt;=$O$2,$D258,$D258-($D258-$I$238)*MIN(F$3-$O$2,$Q$2)/$Q$2))</f>
        <v>5792.31855615639</v>
      </c>
      <c r="G258" s="15" t="n">
        <f aca="false">F258*(1+IF(G$3&lt;=$O$2,$D258,$D258-($D258-$I$238)*MIN(G$3-$O$2,$Q$2)/$Q$2))</f>
        <v>5442.85466530048</v>
      </c>
      <c r="H258" s="15" t="n">
        <f aca="false">G258*(1+IF(H$3&lt;=$O$2,$D258,$D258-($D258-$I$238)*MIN(H$3-$O$2,$Q$2)/$Q$2))</f>
        <v>5114.47473414537</v>
      </c>
      <c r="I258" s="15" t="n">
        <f aca="false">H258*(1+IF(I$3&lt;=$O$2,$D258,$D258-($D258-$I$238)*MIN(I$3-$O$2,$Q$2)/$Q$2))</f>
        <v>4805.90671894548</v>
      </c>
      <c r="J258" s="15" t="n">
        <f aca="false">I258*(1+IF(J$3&lt;=$O$2,$D258,$D258-($D258-$I$238)*MIN(J$3-$O$2,$Q$2)/$Q$2))</f>
        <v>4601.14703284067</v>
      </c>
      <c r="K258" s="15" t="n">
        <f aca="false">J258*(1+IF(K$3&lt;=$O$2,$D258,$D258-($D258-$I$238)*MIN(K$3-$O$2,$Q$2)/$Q$2))</f>
        <v>4486.67335212643</v>
      </c>
      <c r="L258" s="15" t="n">
        <f aca="false">K258*(1+IF(L$3&lt;=$O$2,$D258,$D258-($D258-$I$238)*MIN(L$3-$O$2,$Q$2)/$Q$2))</f>
        <v>4454.58053966151</v>
      </c>
      <c r="M258" s="15" t="n">
        <f aca="false">L258*(1+IF(M$3&lt;=$O$2,$D258,$D258-($D258-$I$238)*MIN(M$3-$O$2,$Q$2)/$Q$2))</f>
        <v>4501.68122671428</v>
      </c>
      <c r="N258" s="15" t="n">
        <f aca="false">M258*(1+IF(N$3&lt;=$O$2,$D258,$D258-($D258-$I$238)*MIN(N$3-$O$2,$Q$2)/$Q$2))</f>
        <v>4629.07880543029</v>
      </c>
      <c r="O258" s="15" t="n">
        <f aca="false">SUMPRODUCT(E258:N258,1/(1+$F$238)^$E$3:$N$3)*$E$2</f>
        <v>11144.8931183376</v>
      </c>
      <c r="P258" s="15" t="n">
        <f aca="false">N258*$E$2*(1+$I$238)/($F$238-$I$238)/(1+$F$238)^$N$3</f>
        <v>15210.627542986</v>
      </c>
      <c r="Q258" s="15" t="n">
        <f aca="false">O258+P258</f>
        <v>26355.5206613237</v>
      </c>
      <c r="R258" s="15" t="n">
        <f aca="false">Q258-$G$2+$I$2</f>
        <v>19010.3206613237</v>
      </c>
      <c r="S258" s="42" t="n">
        <f aca="false">R258/$K$2</f>
        <v>81.0156431337041</v>
      </c>
      <c r="T258" s="43" t="n">
        <f aca="false">S258-$M$2</f>
        <v>0.0013665515604373</v>
      </c>
    </row>
    <row r="259" customFormat="false" ht="15" hidden="false" customHeight="false" outlineLevel="0" collapsed="false">
      <c r="A259" s="5" t="n">
        <v>20</v>
      </c>
      <c r="B259" s="25" t="n">
        <f aca="false">IF(T258&gt;0,B258,D258)</f>
        <v>-0.0603351593017578</v>
      </c>
      <c r="C259" s="25" t="n">
        <f aca="false">IF(T258&gt;0,D258,C258)</f>
        <v>-0.0603322982788086</v>
      </c>
      <c r="D259" s="41" t="n">
        <f aca="false">(B259+C259)/2</f>
        <v>-0.0603337287902832</v>
      </c>
      <c r="E259" s="15" t="n">
        <f aca="false">$C$2*(1+IF(E$3&lt;=$O$2,$D259,$D259-($D259-$I$238)*MIN(E$3-$O$2,$Q$2)/$Q$2))</f>
        <v>6164.21073913574</v>
      </c>
      <c r="F259" s="15" t="n">
        <f aca="false">E259*(1+IF(F$3&lt;=$O$2,$D259,$D259-($D259-$I$238)*MIN(F$3-$O$2,$Q$2)/$Q$2))</f>
        <v>5792.30092019458</v>
      </c>
      <c r="G259" s="15" t="n">
        <f aca="false">F259*(1+IF(G$3&lt;=$O$2,$D259,$D259-($D259-$I$238)*MIN(G$3-$O$2,$Q$2)/$Q$2))</f>
        <v>5442.82980740385</v>
      </c>
      <c r="H259" s="15" t="n">
        <f aca="false">G259*(1+IF(H$3&lt;=$O$2,$D259,$D259-($D259-$I$238)*MIN(H$3-$O$2,$Q$2)/$Q$2))</f>
        <v>5114.44358995227</v>
      </c>
      <c r="I259" s="15" t="n">
        <f aca="false">H259*(1+IF(I$3&lt;=$O$2,$D259,$D259-($D259-$I$238)*MIN(I$3-$O$2,$Q$2)/$Q$2))</f>
        <v>4805.87013748289</v>
      </c>
      <c r="J259" s="15" t="n">
        <f aca="false">I259*(1+IF(J$3&lt;=$O$2,$D259,$D259-($D259-$I$238)*MIN(J$3-$O$2,$Q$2)/$Q$2))</f>
        <v>4601.10651008007</v>
      </c>
      <c r="K259" s="15" t="n">
        <f aca="false">J259*(1+IF(K$3&lt;=$O$2,$D259,$D259-($D259-$I$238)*MIN(K$3-$O$2,$Q$2)/$Q$2))</f>
        <v>4486.62988838555</v>
      </c>
      <c r="L259" s="15" t="n">
        <f aca="false">K259*(1+IF(L$3&lt;=$O$2,$D259,$D259-($D259-$I$238)*MIN(L$3-$O$2,$Q$2)/$Q$2))</f>
        <v>4454.53481954305</v>
      </c>
      <c r="M259" s="15" t="n">
        <f aca="false">L259*(1+IF(M$3&lt;=$O$2,$D259,$D259-($D259-$I$238)*MIN(M$3-$O$2,$Q$2)/$Q$2))</f>
        <v>4501.63374871967</v>
      </c>
      <c r="N259" s="15" t="n">
        <f aca="false">M259*(1+IF(N$3&lt;=$O$2,$D259,$D259-($D259-$I$238)*MIN(N$3-$O$2,$Q$2)/$Q$2))</f>
        <v>4629.02998380843</v>
      </c>
      <c r="O259" s="15" t="n">
        <f aca="false">SUMPRODUCT(E259:N259,1/(1+$F$238)^$E$3:$N$3)*$E$2</f>
        <v>11144.8235534575</v>
      </c>
      <c r="P259" s="15" t="n">
        <f aca="false">N259*$E$2*(1+$I$238)/($F$238-$I$238)/(1+$F$238)^$N$3</f>
        <v>15210.467120678</v>
      </c>
      <c r="Q259" s="15" t="n">
        <f aca="false">O259+P259</f>
        <v>26355.2906741355</v>
      </c>
      <c r="R259" s="15" t="n">
        <f aca="false">Q259-$G$2+$I$2</f>
        <v>19010.0906741355</v>
      </c>
      <c r="S259" s="42" t="n">
        <f aca="false">R259/$K$2</f>
        <v>81.0146630050521</v>
      </c>
      <c r="T259" s="43" t="n">
        <f aca="false">S259-$M$2</f>
        <v>0.000386422908448481</v>
      </c>
    </row>
    <row r="260" customFormat="false" ht="15" hidden="false" customHeight="false" outlineLevel="0" collapsed="false">
      <c r="A260" s="5" t="n">
        <v>21</v>
      </c>
      <c r="B260" s="25" t="n">
        <f aca="false">IF(T259&gt;0,B259,D259)</f>
        <v>-0.0603351593017578</v>
      </c>
      <c r="C260" s="25" t="n">
        <f aca="false">IF(T259&gt;0,D259,C259)</f>
        <v>-0.0603337287902832</v>
      </c>
      <c r="D260" s="41" t="n">
        <f aca="false">(B260+C260)/2</f>
        <v>-0.0603344440460205</v>
      </c>
      <c r="E260" s="15" t="n">
        <f aca="false">$C$2*(1+IF(E$3&lt;=$O$2,$D260,$D260-($D260-$I$238)*MIN(E$3-$O$2,$Q$2)/$Q$2))</f>
        <v>6164.20604705811</v>
      </c>
      <c r="F260" s="15" t="n">
        <f aca="false">E260*(1+IF(F$3&lt;=$O$2,$D260,$D260-($D260-$I$238)*MIN(F$3-$O$2,$Q$2)/$Q$2))</f>
        <v>5792.29210222374</v>
      </c>
      <c r="G260" s="15" t="n">
        <f aca="false">F260*(1+IF(G$3&lt;=$O$2,$D260,$D260-($D260-$I$238)*MIN(G$3-$O$2,$Q$2)/$Q$2))</f>
        <v>5442.81737848391</v>
      </c>
      <c r="H260" s="15" t="n">
        <f aca="false">G260*(1+IF(H$3&lt;=$O$2,$D260,$D260-($D260-$I$238)*MIN(H$3-$O$2,$Q$2)/$Q$2))</f>
        <v>5114.42801790907</v>
      </c>
      <c r="I260" s="15" t="n">
        <f aca="false">H260*(1+IF(I$3&lt;=$O$2,$D260,$D260-($D260-$I$238)*MIN(I$3-$O$2,$Q$2)/$Q$2))</f>
        <v>4805.85184683513</v>
      </c>
      <c r="J260" s="15" t="n">
        <f aca="false">I260*(1+IF(J$3&lt;=$O$2,$D260,$D260-($D260-$I$238)*MIN(J$3-$O$2,$Q$2)/$Q$2))</f>
        <v>4601.08624881115</v>
      </c>
      <c r="K260" s="15" t="n">
        <f aca="false">J260*(1+IF(K$3&lt;=$O$2,$D260,$D260-($D260-$I$238)*MIN(K$3-$O$2,$Q$2)/$Q$2))</f>
        <v>4486.6081566498</v>
      </c>
      <c r="L260" s="15" t="n">
        <f aca="false">K260*(1+IF(L$3&lt;=$O$2,$D260,$D260-($D260-$I$238)*MIN(L$3-$O$2,$Q$2)/$Q$2))</f>
        <v>4454.5119596362</v>
      </c>
      <c r="M260" s="15" t="n">
        <f aca="false">L260*(1+IF(M$3&lt;=$O$2,$D260,$D260-($D260-$I$238)*MIN(M$3-$O$2,$Q$2)/$Q$2))</f>
        <v>4501.61000988616</v>
      </c>
      <c r="N260" s="15" t="n">
        <f aca="false">M260*(1+IF(N$3&lt;=$O$2,$D260,$D260-($D260-$I$238)*MIN(N$3-$O$2,$Q$2)/$Q$2))</f>
        <v>4629.00557316594</v>
      </c>
      <c r="O260" s="15" t="n">
        <f aca="false">SUMPRODUCT(E260:N260,1/(1+$F$238)^$E$3:$N$3)*$E$2</f>
        <v>11144.7887711871</v>
      </c>
      <c r="P260" s="15" t="n">
        <f aca="false">N260*$E$2*(1+$I$238)/($F$238-$I$238)/(1+$F$238)^$N$3</f>
        <v>15210.3869100774</v>
      </c>
      <c r="Q260" s="15" t="n">
        <f aca="false">O260+P260</f>
        <v>26355.1756812645</v>
      </c>
      <c r="R260" s="15" t="n">
        <f aca="false">Q260-$G$2+$I$2</f>
        <v>19009.9756812645</v>
      </c>
      <c r="S260" s="42" t="n">
        <f aca="false">R260/$K$2</f>
        <v>81.0141729438078</v>
      </c>
      <c r="T260" s="43" t="n">
        <f aca="false">S260-$M$2</f>
        <v>-0.000103638335815504</v>
      </c>
    </row>
    <row r="261" customFormat="false" ht="15" hidden="false" customHeight="false" outlineLevel="0" collapsed="false">
      <c r="A261" s="5" t="n">
        <v>22</v>
      </c>
      <c r="B261" s="25" t="n">
        <f aca="false">IF(T260&gt;0,B260,D260)</f>
        <v>-0.0603344440460205</v>
      </c>
      <c r="C261" s="25" t="n">
        <f aca="false">IF(T260&gt;0,D260,C260)</f>
        <v>-0.0603337287902832</v>
      </c>
      <c r="D261" s="41" t="n">
        <f aca="false">(B261+C261)/2</f>
        <v>-0.0603340864181519</v>
      </c>
      <c r="E261" s="15" t="n">
        <f aca="false">$C$2*(1+IF(E$3&lt;=$O$2,$D261,$D261-($D261-$I$238)*MIN(E$3-$O$2,$Q$2)/$Q$2))</f>
        <v>6164.20839309692</v>
      </c>
      <c r="F261" s="15" t="n">
        <f aca="false">E261*(1+IF(F$3&lt;=$O$2,$D261,$D261-($D261-$I$238)*MIN(F$3-$O$2,$Q$2)/$Q$2))</f>
        <v>5792.29651120832</v>
      </c>
      <c r="G261" s="15" t="n">
        <f aca="false">F261*(1+IF(G$3&lt;=$O$2,$D261,$D261-($D261-$I$238)*MIN(G$3-$O$2,$Q$2)/$Q$2))</f>
        <v>5442.82359294151</v>
      </c>
      <c r="H261" s="15" t="n">
        <f aca="false">G261*(1+IF(H$3&lt;=$O$2,$D261,$D261-($D261-$I$238)*MIN(H$3-$O$2,$Q$2)/$Q$2))</f>
        <v>5114.43580392623</v>
      </c>
      <c r="I261" s="15" t="n">
        <f aca="false">H261*(1+IF(I$3&lt;=$O$2,$D261,$D261-($D261-$I$238)*MIN(I$3-$O$2,$Q$2)/$Q$2))</f>
        <v>4805.86099215205</v>
      </c>
      <c r="J261" s="15" t="n">
        <f aca="false">I261*(1+IF(J$3&lt;=$O$2,$D261,$D261-($D261-$I$238)*MIN(J$3-$O$2,$Q$2)/$Q$2))</f>
        <v>4601.09637943633</v>
      </c>
      <c r="K261" s="15" t="n">
        <f aca="false">J261*(1+IF(K$3&lt;=$O$2,$D261,$D261-($D261-$I$238)*MIN(K$3-$O$2,$Q$2)/$Q$2))</f>
        <v>4486.61902250645</v>
      </c>
      <c r="L261" s="15" t="n">
        <f aca="false">K261*(1+IF(L$3&lt;=$O$2,$D261,$D261-($D261-$I$238)*MIN(L$3-$O$2,$Q$2)/$Q$2))</f>
        <v>4454.52338957692</v>
      </c>
      <c r="M261" s="15" t="n">
        <f aca="false">L261*(1+IF(M$3&lt;=$O$2,$D261,$D261-($D261-$I$238)*MIN(M$3-$O$2,$Q$2)/$Q$2))</f>
        <v>4501.62187928926</v>
      </c>
      <c r="N261" s="15" t="n">
        <f aca="false">M261*(1+IF(N$3&lt;=$O$2,$D261,$D261-($D261-$I$238)*MIN(N$3-$O$2,$Q$2)/$Q$2))</f>
        <v>4629.01777847315</v>
      </c>
      <c r="O261" s="15" t="n">
        <f aca="false">SUMPRODUCT(E261:N261,1/(1+$F$238)^$E$3:$N$3)*$E$2</f>
        <v>11144.8061623081</v>
      </c>
      <c r="P261" s="15" t="n">
        <f aca="false">N261*$E$2*(1+$I$238)/($F$238-$I$238)/(1+$F$238)^$N$3</f>
        <v>15210.4270153316</v>
      </c>
      <c r="Q261" s="15" t="n">
        <f aca="false">O261+P261</f>
        <v>26355.2331776397</v>
      </c>
      <c r="R261" s="15" t="n">
        <f aca="false">Q261-$G$2+$I$2</f>
        <v>19010.0331776397</v>
      </c>
      <c r="S261" s="42" t="n">
        <f aca="false">R261/$K$2</f>
        <v>81.0144179741731</v>
      </c>
      <c r="T261" s="43" t="n">
        <f aca="false">S261-$M$2</f>
        <v>0.000141392029490817</v>
      </c>
    </row>
    <row r="262" customFormat="false" ht="15" hidden="false" customHeight="false" outlineLevel="0" collapsed="false">
      <c r="A262" s="5" t="n">
        <v>23</v>
      </c>
      <c r="B262" s="25" t="n">
        <f aca="false">IF(T261&gt;0,B261,D261)</f>
        <v>-0.0603344440460205</v>
      </c>
      <c r="C262" s="25" t="n">
        <f aca="false">IF(T261&gt;0,D261,C261)</f>
        <v>-0.0603340864181519</v>
      </c>
      <c r="D262" s="41" t="n">
        <f aca="false">(B262+C262)/2</f>
        <v>-0.0603342652320862</v>
      </c>
      <c r="E262" s="15" t="n">
        <f aca="false">$C$2*(1+IF(E$3&lt;=$O$2,$D262,$D262-($D262-$I$238)*MIN(E$3-$O$2,$Q$2)/$Q$2))</f>
        <v>6164.20722007752</v>
      </c>
      <c r="F262" s="15" t="n">
        <f aca="false">E262*(1+IF(F$3&lt;=$O$2,$D262,$D262-($D262-$I$238)*MIN(F$3-$O$2,$Q$2)/$Q$2))</f>
        <v>5792.29430671582</v>
      </c>
      <c r="G262" s="15" t="n">
        <f aca="false">F262*(1+IF(G$3&lt;=$O$2,$D262,$D262-($D262-$I$238)*MIN(G$3-$O$2,$Q$2)/$Q$2))</f>
        <v>5442.82048571212</v>
      </c>
      <c r="H262" s="15" t="n">
        <f aca="false">G262*(1+IF(H$3&lt;=$O$2,$D262,$D262-($D262-$I$238)*MIN(H$3-$O$2,$Q$2)/$Q$2))</f>
        <v>5114.43191091654</v>
      </c>
      <c r="I262" s="15" t="n">
        <f aca="false">H262*(1+IF(I$3&lt;=$O$2,$D262,$D262-($D262-$I$238)*MIN(I$3-$O$2,$Q$2)/$Q$2))</f>
        <v>4805.85641949185</v>
      </c>
      <c r="J262" s="15" t="n">
        <f aca="false">I262*(1+IF(J$3&lt;=$O$2,$D262,$D262-($D262-$I$238)*MIN(J$3-$O$2,$Q$2)/$Q$2))</f>
        <v>4601.09131412142</v>
      </c>
      <c r="K262" s="15" t="n">
        <f aca="false">J262*(1+IF(K$3&lt;=$O$2,$D262,$D262-($D262-$I$238)*MIN(K$3-$O$2,$Q$2)/$Q$2))</f>
        <v>4486.61358957532</v>
      </c>
      <c r="L262" s="15" t="n">
        <f aca="false">K262*(1+IF(L$3&lt;=$O$2,$D262,$D262-($D262-$I$238)*MIN(L$3-$O$2,$Q$2)/$Q$2))</f>
        <v>4454.51767460338</v>
      </c>
      <c r="M262" s="15" t="n">
        <f aca="false">L262*(1+IF(M$3&lt;=$O$2,$D262,$D262-($D262-$I$238)*MIN(M$3-$O$2,$Q$2)/$Q$2))</f>
        <v>4501.6159445843</v>
      </c>
      <c r="N262" s="15" t="n">
        <f aca="false">M262*(1+IF(N$3&lt;=$O$2,$D262,$D262-($D262-$I$238)*MIN(N$3-$O$2,$Q$2)/$Q$2))</f>
        <v>4629.01167581603</v>
      </c>
      <c r="O262" s="15" t="n">
        <f aca="false">SUMPRODUCT(E262:N262,1/(1+$F$238)^$E$3:$N$3)*$E$2</f>
        <v>11144.7974667441</v>
      </c>
      <c r="P262" s="15" t="n">
        <f aca="false">N262*$E$2*(1+$I$238)/($F$238-$I$238)/(1+$F$238)^$N$3</f>
        <v>15210.406962693</v>
      </c>
      <c r="Q262" s="15" t="n">
        <f aca="false">O262+P262</f>
        <v>26355.2044294371</v>
      </c>
      <c r="R262" s="15" t="n">
        <f aca="false">Q262-$G$2+$I$2</f>
        <v>19010.0044294371</v>
      </c>
      <c r="S262" s="42" t="n">
        <f aca="false">R262/$K$2</f>
        <v>81.0142954589263</v>
      </c>
      <c r="T262" s="43" t="n">
        <f aca="false">S262-$M$2</f>
        <v>1.88767826472258E-005</v>
      </c>
    </row>
    <row r="263" customFormat="false" ht="15" hidden="false" customHeight="false" outlineLevel="0" collapsed="false">
      <c r="A263" s="5" t="n">
        <v>24</v>
      </c>
      <c r="B263" s="25" t="n">
        <f aca="false">IF(T262&gt;0,B262,D262)</f>
        <v>-0.0603344440460205</v>
      </c>
      <c r="C263" s="25" t="n">
        <f aca="false">IF(T262&gt;0,D262,C262)</f>
        <v>-0.0603342652320862</v>
      </c>
      <c r="D263" s="41" t="n">
        <f aca="false">(B263+C263)/2</f>
        <v>-0.0603343546390533</v>
      </c>
      <c r="E263" s="15" t="n">
        <f aca="false">$C$2*(1+IF(E$3&lt;=$O$2,$D263,$D263-($D263-$I$238)*MIN(E$3-$O$2,$Q$2)/$Q$2))</f>
        <v>6164.20663356781</v>
      </c>
      <c r="F263" s="15" t="n">
        <f aca="false">E263*(1+IF(F$3&lt;=$O$2,$D263,$D263-($D263-$I$238)*MIN(F$3-$O$2,$Q$2)/$Q$2))</f>
        <v>5792.29320446972</v>
      </c>
      <c r="G263" s="15" t="n">
        <f aca="false">F263*(1+IF(G$3&lt;=$O$2,$D263,$D263-($D263-$I$238)*MIN(G$3-$O$2,$Q$2)/$Q$2))</f>
        <v>5442.81893209787</v>
      </c>
      <c r="H263" s="15" t="n">
        <f aca="false">G263*(1+IF(H$3&lt;=$O$2,$D263,$D263-($D263-$I$238)*MIN(H$3-$O$2,$Q$2)/$Q$2))</f>
        <v>5114.42996441252</v>
      </c>
      <c r="I263" s="15" t="n">
        <f aca="false">H263*(1+IF(I$3&lt;=$O$2,$D263,$D263-($D263-$I$238)*MIN(I$3-$O$2,$Q$2)/$Q$2))</f>
        <v>4805.85413316306</v>
      </c>
      <c r="J263" s="15" t="n">
        <f aca="false">I263*(1+IF(J$3&lt;=$O$2,$D263,$D263-($D263-$I$238)*MIN(J$3-$O$2,$Q$2)/$Q$2))</f>
        <v>4601.0887814657</v>
      </c>
      <c r="K263" s="15" t="n">
        <f aca="false">J263*(1+IF(K$3&lt;=$O$2,$D263,$D263-($D263-$I$238)*MIN(K$3-$O$2,$Q$2)/$Q$2))</f>
        <v>4486.61087311186</v>
      </c>
      <c r="L263" s="15" t="n">
        <f aca="false">K263*(1+IF(L$3&lt;=$O$2,$D263,$D263-($D263-$I$238)*MIN(L$3-$O$2,$Q$2)/$Q$2))</f>
        <v>4454.514817119</v>
      </c>
      <c r="M263" s="15" t="n">
        <f aca="false">L263*(1+IF(M$3&lt;=$O$2,$D263,$D263-($D263-$I$238)*MIN(M$3-$O$2,$Q$2)/$Q$2))</f>
        <v>4501.61297723437</v>
      </c>
      <c r="N263" s="15" t="n">
        <f aca="false">M263*(1+IF(N$3&lt;=$O$2,$D263,$D263-($D263-$I$238)*MIN(N$3-$O$2,$Q$2)/$Q$2))</f>
        <v>4629.00862449011</v>
      </c>
      <c r="O263" s="15" t="n">
        <f aca="false">SUMPRODUCT(E263:N263,1/(1+$F$238)^$E$3:$N$3)*$E$2</f>
        <v>11144.7931189647</v>
      </c>
      <c r="P263" s="15" t="n">
        <f aca="false">N263*$E$2*(1+$I$238)/($F$238-$I$238)/(1+$F$238)^$N$3</f>
        <v>15210.3969363823</v>
      </c>
      <c r="Q263" s="15" t="n">
        <f aca="false">O263+P263</f>
        <v>26355.190055347</v>
      </c>
      <c r="R263" s="15" t="n">
        <f aca="false">Q263-$G$2+$I$2</f>
        <v>19009.990055347</v>
      </c>
      <c r="S263" s="42" t="n">
        <f aca="false">R263/$K$2</f>
        <v>81.014234201351</v>
      </c>
      <c r="T263" s="43" t="n">
        <f aca="false">S263-$M$2</f>
        <v>-4.2380792663721E-005</v>
      </c>
    </row>
    <row r="265" customFormat="false" ht="15" hidden="false" customHeight="false" outlineLevel="0" collapsed="false">
      <c r="A265" s="38" t="s">
        <v>191</v>
      </c>
      <c r="E265" s="5" t="s">
        <v>11</v>
      </c>
      <c r="F265" s="12" t="n">
        <f aca="false">Sensitivity!$B$11</f>
        <v>0.0762368036285737</v>
      </c>
      <c r="G265" s="5" t="s">
        <v>12</v>
      </c>
      <c r="I265" s="12" t="n">
        <f aca="false">Sensitivity!$F$9</f>
        <v>0.0333</v>
      </c>
    </row>
    <row r="266" customFormat="false" ht="23.85" hidden="false" customHeight="false" outlineLevel="0" collapsed="false">
      <c r="A266" s="38" t="s">
        <v>163</v>
      </c>
      <c r="B266" s="28" t="s">
        <v>164</v>
      </c>
      <c r="C266" s="28" t="s">
        <v>165</v>
      </c>
      <c r="D266" s="28" t="s">
        <v>166</v>
      </c>
      <c r="E266" s="28" t="s">
        <v>167</v>
      </c>
      <c r="F266" s="28" t="s">
        <v>168</v>
      </c>
      <c r="G266" s="28" t="s">
        <v>169</v>
      </c>
      <c r="H266" s="28" t="s">
        <v>170</v>
      </c>
      <c r="I266" s="28" t="s">
        <v>171</v>
      </c>
      <c r="J266" s="28" t="s">
        <v>172</v>
      </c>
      <c r="K266" s="28" t="s">
        <v>173</v>
      </c>
      <c r="L266" s="28" t="s">
        <v>174</v>
      </c>
      <c r="M266" s="28" t="s">
        <v>175</v>
      </c>
      <c r="N266" s="28" t="s">
        <v>176</v>
      </c>
      <c r="O266" s="28" t="s">
        <v>177</v>
      </c>
      <c r="P266" s="28" t="s">
        <v>178</v>
      </c>
      <c r="Q266" s="28" t="s">
        <v>179</v>
      </c>
      <c r="R266" s="28" t="s">
        <v>180</v>
      </c>
      <c r="S266" s="28" t="s">
        <v>181</v>
      </c>
      <c r="T266" s="28" t="s">
        <v>182</v>
      </c>
    </row>
    <row r="267" customFormat="false" ht="15" hidden="false" customHeight="false" outlineLevel="0" collapsed="false">
      <c r="A267" s="5" t="n">
        <v>1</v>
      </c>
      <c r="B267" s="24" t="n">
        <v>-0.5</v>
      </c>
      <c r="C267" s="24" t="n">
        <v>1</v>
      </c>
      <c r="D267" s="41" t="n">
        <f aca="false">(B267+C267)/2</f>
        <v>0.25</v>
      </c>
      <c r="E267" s="15" t="n">
        <f aca="false">$C$2*(1+IF(E$3&lt;=$O$2,$D267,$D267-($D267-$I$265)*MIN(E$3-$O$2,$Q$2)/$Q$2))</f>
        <v>8200</v>
      </c>
      <c r="F267" s="15" t="n">
        <f aca="false">E267*(1+IF(F$3&lt;=$O$2,$D267,$D267-($D267-$I$265)*MIN(F$3-$O$2,$Q$2)/$Q$2))</f>
        <v>10250</v>
      </c>
      <c r="G267" s="15" t="n">
        <f aca="false">F267*(1+IF(G$3&lt;=$O$2,$D267,$D267-($D267-$I$265)*MIN(G$3-$O$2,$Q$2)/$Q$2))</f>
        <v>12812.5</v>
      </c>
      <c r="H267" s="15" t="n">
        <f aca="false">G267*(1+IF(H$3&lt;=$O$2,$D267,$D267-($D267-$I$265)*MIN(H$3-$O$2,$Q$2)/$Q$2))</f>
        <v>16015.625</v>
      </c>
      <c r="I267" s="15" t="n">
        <f aca="false">H267*(1+IF(I$3&lt;=$O$2,$D267,$D267-($D267-$I$265)*MIN(I$3-$O$2,$Q$2)/$Q$2))</f>
        <v>20019.53125</v>
      </c>
      <c r="J267" s="15" t="n">
        <f aca="false">I267*(1+IF(J$3&lt;=$O$2,$D267,$D267-($D267-$I$265)*MIN(J$3-$O$2,$Q$2)/$Q$2))</f>
        <v>24156.767578125</v>
      </c>
      <c r="K267" s="15" t="n">
        <f aca="false">J267*(1+IF(K$3&lt;=$O$2,$D267,$D267-($D267-$I$265)*MIN(K$3-$O$2,$Q$2)/$Q$2))</f>
        <v>28102.0508589844</v>
      </c>
      <c r="L267" s="15" t="n">
        <f aca="false">K267*(1+IF(L$3&lt;=$O$2,$D267,$D267-($D267-$I$265)*MIN(L$3-$O$2,$Q$2)/$Q$2))</f>
        <v>31473.7349210453</v>
      </c>
      <c r="M267" s="15" t="n">
        <f aca="false">L267*(1+IF(M$3&lt;=$O$2,$D267,$D267-($D267-$I$265)*MIN(M$3-$O$2,$Q$2)/$Q$2))</f>
        <v>33885.8819653942</v>
      </c>
      <c r="N267" s="15" t="n">
        <f aca="false">M267*(1+IF(N$3&lt;=$O$2,$D267,$D267-($D267-$I$265)*MIN(N$3-$O$2,$Q$2)/$Q$2))</f>
        <v>35014.2818348419</v>
      </c>
      <c r="O267" s="15" t="n">
        <f aca="false">SUMPRODUCT(E267:N267,1/(1+$F$265)^$E$3:$N$3)*$E$2</f>
        <v>43646.6808519847</v>
      </c>
      <c r="P267" s="15" t="n">
        <f aca="false">N267*$E$2*(1+$I$265)/($F$265-$I$265)/(1+$F$265)^$N$3</f>
        <v>129075.476221037</v>
      </c>
      <c r="Q267" s="15" t="n">
        <f aca="false">O267+P267</f>
        <v>172722.157073022</v>
      </c>
      <c r="R267" s="15" t="n">
        <f aca="false">Q267-$G$2+$I$2</f>
        <v>165376.957073022</v>
      </c>
      <c r="S267" s="42" t="n">
        <f aca="false">R267/$K$2</f>
        <v>704.781406661077</v>
      </c>
      <c r="T267" s="43" t="n">
        <f aca="false">S267-$M$2</f>
        <v>623.767130078933</v>
      </c>
    </row>
    <row r="268" customFormat="false" ht="15" hidden="false" customHeight="false" outlineLevel="0" collapsed="false">
      <c r="A268" s="5" t="n">
        <v>2</v>
      </c>
      <c r="B268" s="25" t="n">
        <f aca="false">IF(T267&gt;0,B267,D267)</f>
        <v>-0.5</v>
      </c>
      <c r="C268" s="25" t="n">
        <f aca="false">IF(T267&gt;0,D267,C267)</f>
        <v>0.25</v>
      </c>
      <c r="D268" s="41" t="n">
        <f aca="false">(B268+C268)/2</f>
        <v>-0.125</v>
      </c>
      <c r="E268" s="15" t="n">
        <f aca="false">$C$2*(1+IF(E$3&lt;=$O$2,$D268,$D268-($D268-$I$265)*MIN(E$3-$O$2,$Q$2)/$Q$2))</f>
        <v>5740</v>
      </c>
      <c r="F268" s="15" t="n">
        <f aca="false">E268*(1+IF(F$3&lt;=$O$2,$D268,$D268-($D268-$I$265)*MIN(F$3-$O$2,$Q$2)/$Q$2))</f>
        <v>5022.5</v>
      </c>
      <c r="G268" s="15" t="n">
        <f aca="false">F268*(1+IF(G$3&lt;=$O$2,$D268,$D268-($D268-$I$265)*MIN(G$3-$O$2,$Q$2)/$Q$2))</f>
        <v>4394.6875</v>
      </c>
      <c r="H268" s="15" t="n">
        <f aca="false">G268*(1+IF(H$3&lt;=$O$2,$D268,$D268-($D268-$I$265)*MIN(H$3-$O$2,$Q$2)/$Q$2))</f>
        <v>3845.3515625</v>
      </c>
      <c r="I268" s="15" t="n">
        <f aca="false">H268*(1+IF(I$3&lt;=$O$2,$D268,$D268-($D268-$I$265)*MIN(I$3-$O$2,$Q$2)/$Q$2))</f>
        <v>3364.6826171875</v>
      </c>
      <c r="J268" s="15" t="n">
        <f aca="false">I268*(1+IF(J$3&lt;=$O$2,$D268,$D268-($D268-$I$265)*MIN(J$3-$O$2,$Q$2)/$Q$2))</f>
        <v>3050.62314169922</v>
      </c>
      <c r="K268" s="15" t="n">
        <f aca="false">J268*(1+IF(K$3&lt;=$O$2,$D268,$D268-($D268-$I$265)*MIN(K$3-$O$2,$Q$2)/$Q$2))</f>
        <v>2862.46070631921</v>
      </c>
      <c r="L268" s="15" t="n">
        <f aca="false">K268*(1+IF(L$3&lt;=$O$2,$D268,$D268-($D268-$I$265)*MIN(L$3-$O$2,$Q$2)/$Q$2))</f>
        <v>2776.52963591551</v>
      </c>
      <c r="M268" s="15" t="n">
        <f aca="false">L268*(1+IF(M$3&lt;=$O$2,$D268,$D268-($D268-$I$265)*MIN(M$3-$O$2,$Q$2)/$Q$2))</f>
        <v>2781.08314451841</v>
      </c>
      <c r="N268" s="15" t="n">
        <f aca="false">M268*(1+IF(N$3&lt;=$O$2,$D268,$D268-($D268-$I$265)*MIN(N$3-$O$2,$Q$2)/$Q$2))</f>
        <v>2873.69321323087</v>
      </c>
      <c r="O268" s="15" t="n">
        <f aca="false">SUMPRODUCT(E268:N268,1/(1+$F$265)^$E$3:$N$3)*$E$2</f>
        <v>8438.29471271517</v>
      </c>
      <c r="P268" s="15" t="n">
        <f aca="false">N268*$E$2*(1+$I$265)/($F$265-$I$265)/(1+$F$265)^$N$3</f>
        <v>10593.4864453464</v>
      </c>
      <c r="Q268" s="15" t="n">
        <f aca="false">O268+P268</f>
        <v>19031.7811580616</v>
      </c>
      <c r="R268" s="15" t="n">
        <f aca="false">Q268-$G$2+$I$2</f>
        <v>11686.5811580616</v>
      </c>
      <c r="S268" s="42" t="n">
        <f aca="false">R268/$K$2</f>
        <v>49.8043092182468</v>
      </c>
      <c r="T268" s="43" t="n">
        <f aca="false">S268-$M$2</f>
        <v>-31.2099673638969</v>
      </c>
    </row>
    <row r="269" customFormat="false" ht="15" hidden="false" customHeight="false" outlineLevel="0" collapsed="false">
      <c r="A269" s="5" t="n">
        <v>3</v>
      </c>
      <c r="B269" s="25" t="n">
        <f aca="false">IF(T268&gt;0,B268,D268)</f>
        <v>-0.125</v>
      </c>
      <c r="C269" s="25" t="n">
        <f aca="false">IF(T268&gt;0,D268,C268)</f>
        <v>0.25</v>
      </c>
      <c r="D269" s="41" t="n">
        <f aca="false">(B269+C269)/2</f>
        <v>0.0625</v>
      </c>
      <c r="E269" s="15" t="n">
        <f aca="false">$C$2*(1+IF(E$3&lt;=$O$2,$D269,$D269-($D269-$I$265)*MIN(E$3-$O$2,$Q$2)/$Q$2))</f>
        <v>6970</v>
      </c>
      <c r="F269" s="15" t="n">
        <f aca="false">E269*(1+IF(F$3&lt;=$O$2,$D269,$D269-($D269-$I$265)*MIN(F$3-$O$2,$Q$2)/$Q$2))</f>
        <v>7405.625</v>
      </c>
      <c r="G269" s="15" t="n">
        <f aca="false">F269*(1+IF(G$3&lt;=$O$2,$D269,$D269-($D269-$I$265)*MIN(G$3-$O$2,$Q$2)/$Q$2))</f>
        <v>7868.4765625</v>
      </c>
      <c r="H269" s="15" t="n">
        <f aca="false">G269*(1+IF(H$3&lt;=$O$2,$D269,$D269-($D269-$I$265)*MIN(H$3-$O$2,$Q$2)/$Q$2))</f>
        <v>8360.25634765625</v>
      </c>
      <c r="I269" s="15" t="n">
        <f aca="false">H269*(1+IF(I$3&lt;=$O$2,$D269,$D269-($D269-$I$265)*MIN(I$3-$O$2,$Q$2)/$Q$2))</f>
        <v>8882.77236938477</v>
      </c>
      <c r="J269" s="15" t="n">
        <f aca="false">I269*(1+IF(J$3&lt;=$O$2,$D269,$D269-($D269-$I$265)*MIN(J$3-$O$2,$Q$2)/$Q$2))</f>
        <v>9386.07025183411</v>
      </c>
      <c r="K269" s="15" t="n">
        <f aca="false">J269*(1+IF(K$3&lt;=$O$2,$D269,$D269-($D269-$I$265)*MIN(K$3-$O$2,$Q$2)/$Q$2))</f>
        <v>9863.07034203232</v>
      </c>
      <c r="L269" s="15" t="n">
        <f aca="false">K269*(1+IF(L$3&lt;=$O$2,$D269,$D269-($D269-$I$265)*MIN(L$3-$O$2,$Q$2)/$Q$2))</f>
        <v>10306.7112460169</v>
      </c>
      <c r="M269" s="15" t="n">
        <f aca="false">L269*(1+IF(M$3&lt;=$O$2,$D269,$D269-($D269-$I$265)*MIN(M$3-$O$2,$Q$2)/$Q$2))</f>
        <v>10710.115924186</v>
      </c>
      <c r="N269" s="15" t="n">
        <f aca="false">M269*(1+IF(N$3&lt;=$O$2,$D269,$D269-($D269-$I$265)*MIN(N$3-$O$2,$Q$2)/$Q$2))</f>
        <v>11066.7627844614</v>
      </c>
      <c r="O269" s="15" t="n">
        <f aca="false">SUMPRODUCT(E269:N269,1/(1+$F$265)^$E$3:$N$3)*$E$2</f>
        <v>19182.5023379754</v>
      </c>
      <c r="P269" s="15" t="n">
        <f aca="false">N269*$E$2*(1+$I$265)/($F$265-$I$265)/(1+$F$265)^$N$3</f>
        <v>40796.1437954782</v>
      </c>
      <c r="Q269" s="15" t="n">
        <f aca="false">O269+P269</f>
        <v>59978.6461334536</v>
      </c>
      <c r="R269" s="15" t="n">
        <f aca="false">Q269-$G$2+$I$2</f>
        <v>52633.4461334536</v>
      </c>
      <c r="S269" s="42" t="n">
        <f aca="false">R269/$K$2</f>
        <v>224.306184246553</v>
      </c>
      <c r="T269" s="43" t="n">
        <f aca="false">S269-$M$2</f>
        <v>143.291907664409</v>
      </c>
    </row>
    <row r="270" customFormat="false" ht="15" hidden="false" customHeight="false" outlineLevel="0" collapsed="false">
      <c r="A270" s="5" t="n">
        <v>4</v>
      </c>
      <c r="B270" s="25" t="n">
        <f aca="false">IF(T269&gt;0,B269,D269)</f>
        <v>-0.125</v>
      </c>
      <c r="C270" s="25" t="n">
        <f aca="false">IF(T269&gt;0,D269,C269)</f>
        <v>0.0625</v>
      </c>
      <c r="D270" s="41" t="n">
        <f aca="false">(B270+C270)/2</f>
        <v>-0.03125</v>
      </c>
      <c r="E270" s="15" t="n">
        <f aca="false">$C$2*(1+IF(E$3&lt;=$O$2,$D270,$D270-($D270-$I$265)*MIN(E$3-$O$2,$Q$2)/$Q$2))</f>
        <v>6355</v>
      </c>
      <c r="F270" s="15" t="n">
        <f aca="false">E270*(1+IF(F$3&lt;=$O$2,$D270,$D270-($D270-$I$265)*MIN(F$3-$O$2,$Q$2)/$Q$2))</f>
        <v>6156.40625</v>
      </c>
      <c r="G270" s="15" t="n">
        <f aca="false">F270*(1+IF(G$3&lt;=$O$2,$D270,$D270-($D270-$I$265)*MIN(G$3-$O$2,$Q$2)/$Q$2))</f>
        <v>5964.0185546875</v>
      </c>
      <c r="H270" s="15" t="n">
        <f aca="false">G270*(1+IF(H$3&lt;=$O$2,$D270,$D270-($D270-$I$265)*MIN(H$3-$O$2,$Q$2)/$Q$2))</f>
        <v>5777.64297485352</v>
      </c>
      <c r="I270" s="15" t="n">
        <f aca="false">H270*(1+IF(I$3&lt;=$O$2,$D270,$D270-($D270-$I$265)*MIN(I$3-$O$2,$Q$2)/$Q$2))</f>
        <v>5597.09163188934</v>
      </c>
      <c r="J270" s="15" t="n">
        <f aca="false">I270*(1+IF(J$3&lt;=$O$2,$D270,$D270-($D270-$I$265)*MIN(J$3-$O$2,$Q$2)/$Q$2))</f>
        <v>5494.44097136049</v>
      </c>
      <c r="K270" s="15" t="n">
        <f aca="false">J270*(1+IF(K$3&lt;=$O$2,$D270,$D270-($D270-$I$265)*MIN(K$3-$O$2,$Q$2)/$Q$2))</f>
        <v>5464.60615688601</v>
      </c>
      <c r="L270" s="15" t="n">
        <f aca="false">K270*(1+IF(L$3&lt;=$O$2,$D270,$D270-($D270-$I$265)*MIN(L$3-$O$2,$Q$2)/$Q$2))</f>
        <v>5505.48141093951</v>
      </c>
      <c r="M270" s="15" t="n">
        <f aca="false">L270*(1+IF(M$3&lt;=$O$2,$D270,$D270-($D270-$I$265)*MIN(M$3-$O$2,$Q$2)/$Q$2))</f>
        <v>5617.73817690857</v>
      </c>
      <c r="N270" s="15" t="n">
        <f aca="false">M270*(1+IF(N$3&lt;=$O$2,$D270,$D270-($D270-$I$265)*MIN(N$3-$O$2,$Q$2)/$Q$2))</f>
        <v>5804.80885819962</v>
      </c>
      <c r="O270" s="15" t="n">
        <f aca="false">SUMPRODUCT(E270:N270,1/(1+$F$265)^$E$3:$N$3)*$E$2</f>
        <v>12689.1236224228</v>
      </c>
      <c r="P270" s="15" t="n">
        <f aca="false">N270*$E$2*(1+$I$265)/($F$265-$I$265)/(1+$F$265)^$N$3</f>
        <v>21398.6530204553</v>
      </c>
      <c r="Q270" s="15" t="n">
        <f aca="false">O270+P270</f>
        <v>34087.776642878</v>
      </c>
      <c r="R270" s="15" t="n">
        <f aca="false">Q270-$G$2+$I$2</f>
        <v>26742.576642878</v>
      </c>
      <c r="S270" s="42" t="n">
        <f aca="false">R270/$K$2</f>
        <v>113.967937962404</v>
      </c>
      <c r="T270" s="43" t="n">
        <f aca="false">S270-$M$2</f>
        <v>32.95366138026</v>
      </c>
    </row>
    <row r="271" customFormat="false" ht="15" hidden="false" customHeight="false" outlineLevel="0" collapsed="false">
      <c r="A271" s="5" t="n">
        <v>5</v>
      </c>
      <c r="B271" s="25" t="n">
        <f aca="false">IF(T270&gt;0,B270,D270)</f>
        <v>-0.125</v>
      </c>
      <c r="C271" s="25" t="n">
        <f aca="false">IF(T270&gt;0,D270,C270)</f>
        <v>-0.03125</v>
      </c>
      <c r="D271" s="41" t="n">
        <f aca="false">(B271+C271)/2</f>
        <v>-0.078125</v>
      </c>
      <c r="E271" s="15" t="n">
        <f aca="false">$C$2*(1+IF(E$3&lt;=$O$2,$D271,$D271-($D271-$I$265)*MIN(E$3-$O$2,$Q$2)/$Q$2))</f>
        <v>6047.5</v>
      </c>
      <c r="F271" s="15" t="n">
        <f aca="false">E271*(1+IF(F$3&lt;=$O$2,$D271,$D271-($D271-$I$265)*MIN(F$3-$O$2,$Q$2)/$Q$2))</f>
        <v>5575.0390625</v>
      </c>
      <c r="G271" s="15" t="n">
        <f aca="false">F271*(1+IF(G$3&lt;=$O$2,$D271,$D271-($D271-$I$265)*MIN(G$3-$O$2,$Q$2)/$Q$2))</f>
        <v>5139.48913574219</v>
      </c>
      <c r="H271" s="15" t="n">
        <f aca="false">G271*(1+IF(H$3&lt;=$O$2,$D271,$D271-($D271-$I$265)*MIN(H$3-$O$2,$Q$2)/$Q$2))</f>
        <v>4737.96654701233</v>
      </c>
      <c r="I271" s="15" t="n">
        <f aca="false">H271*(1+IF(I$3&lt;=$O$2,$D271,$D271-($D271-$I$265)*MIN(I$3-$O$2,$Q$2)/$Q$2))</f>
        <v>4367.81291052699</v>
      </c>
      <c r="J271" s="15" t="n">
        <f aca="false">I271*(1+IF(J$3&lt;=$O$2,$D271,$D271-($D271-$I$265)*MIN(J$3-$O$2,$Q$2)/$Q$2))</f>
        <v>4123.91423760316</v>
      </c>
      <c r="K271" s="15" t="n">
        <f aca="false">J271*(1+IF(K$3&lt;=$O$2,$D271,$D271-($D271-$I$265)*MIN(K$3-$O$2,$Q$2)/$Q$2))</f>
        <v>3985.53629536039</v>
      </c>
      <c r="L271" s="15" t="n">
        <f aca="false">K271*(1+IF(L$3&lt;=$O$2,$D271,$D271-($D271-$I$265)*MIN(L$3-$O$2,$Q$2)/$Q$2))</f>
        <v>3940.61930131168</v>
      </c>
      <c r="M271" s="15" t="n">
        <f aca="false">L271*(1+IF(M$3&lt;=$O$2,$D271,$D271-($D271-$I$265)*MIN(M$3-$O$2,$Q$2)/$Q$2))</f>
        <v>3984.02522291563</v>
      </c>
      <c r="N271" s="15" t="n">
        <f aca="false">M271*(1+IF(N$3&lt;=$O$2,$D271,$D271-($D271-$I$265)*MIN(N$3-$O$2,$Q$2)/$Q$2))</f>
        <v>4116.69326283872</v>
      </c>
      <c r="O271" s="15" t="n">
        <f aca="false">SUMPRODUCT(E271:N271,1/(1+$F$265)^$E$3:$N$3)*$E$2</f>
        <v>10337.3251141209</v>
      </c>
      <c r="P271" s="15" t="n">
        <f aca="false">N271*$E$2*(1+$I$265)/($F$265-$I$265)/(1+$F$265)^$N$3</f>
        <v>15175.6402105639</v>
      </c>
      <c r="Q271" s="15" t="n">
        <f aca="false">O271+P271</f>
        <v>25512.9653246848</v>
      </c>
      <c r="R271" s="15" t="n">
        <f aca="false">Q271-$G$2+$I$2</f>
        <v>18167.7653246848</v>
      </c>
      <c r="S271" s="42" t="n">
        <f aca="false">R271/$K$2</f>
        <v>77.4249534399521</v>
      </c>
      <c r="T271" s="43" t="n">
        <f aca="false">S271-$M$2</f>
        <v>-3.58932314219153</v>
      </c>
    </row>
    <row r="272" customFormat="false" ht="15" hidden="false" customHeight="false" outlineLevel="0" collapsed="false">
      <c r="A272" s="5" t="n">
        <v>6</v>
      </c>
      <c r="B272" s="25" t="n">
        <f aca="false">IF(T271&gt;0,B271,D271)</f>
        <v>-0.078125</v>
      </c>
      <c r="C272" s="25" t="n">
        <f aca="false">IF(T271&gt;0,D271,C271)</f>
        <v>-0.03125</v>
      </c>
      <c r="D272" s="41" t="n">
        <f aca="false">(B272+C272)/2</f>
        <v>-0.0546875</v>
      </c>
      <c r="E272" s="15" t="n">
        <f aca="false">$C$2*(1+IF(E$3&lt;=$O$2,$D272,$D272-($D272-$I$265)*MIN(E$3-$O$2,$Q$2)/$Q$2))</f>
        <v>6201.25</v>
      </c>
      <c r="F272" s="15" t="n">
        <f aca="false">E272*(1+IF(F$3&lt;=$O$2,$D272,$D272-($D272-$I$265)*MIN(F$3-$O$2,$Q$2)/$Q$2))</f>
        <v>5862.119140625</v>
      </c>
      <c r="G272" s="15" t="n">
        <f aca="false">F272*(1+IF(G$3&lt;=$O$2,$D272,$D272-($D272-$I$265)*MIN(G$3-$O$2,$Q$2)/$Q$2))</f>
        <v>5541.53450012207</v>
      </c>
      <c r="H272" s="15" t="n">
        <f aca="false">G272*(1+IF(H$3&lt;=$O$2,$D272,$D272-($D272-$I$265)*MIN(H$3-$O$2,$Q$2)/$Q$2))</f>
        <v>5238.48183214665</v>
      </c>
      <c r="I272" s="15" t="n">
        <f aca="false">H272*(1+IF(I$3&lt;=$O$2,$D272,$D272-($D272-$I$265)*MIN(I$3-$O$2,$Q$2)/$Q$2))</f>
        <v>4952.00235695113</v>
      </c>
      <c r="J272" s="15" t="n">
        <f aca="false">I272*(1+IF(J$3&lt;=$O$2,$D272,$D272-($D272-$I$265)*MIN(J$3-$O$2,$Q$2)/$Q$2))</f>
        <v>4768.33258953181</v>
      </c>
      <c r="K272" s="15" t="n">
        <f aca="false">J272*(1+IF(K$3&lt;=$O$2,$D272,$D272-($D272-$I$265)*MIN(K$3-$O$2,$Q$2)/$Q$2))</f>
        <v>4675.38586653036</v>
      </c>
      <c r="L272" s="15" t="n">
        <f aca="false">K272*(1+IF(L$3&lt;=$O$2,$D272,$D272-($D272-$I$265)*MIN(L$3-$O$2,$Q$2)/$Q$2))</f>
        <v>4666.52601031328</v>
      </c>
      <c r="M272" s="15" t="n">
        <f aca="false">L272*(1+IF(M$3&lt;=$O$2,$D272,$D272-($D272-$I$265)*MIN(M$3-$O$2,$Q$2)/$Q$2))</f>
        <v>4739.80213499023</v>
      </c>
      <c r="N272" s="15" t="n">
        <f aca="false">M272*(1+IF(N$3&lt;=$O$2,$D272,$D272-($D272-$I$265)*MIN(N$3-$O$2,$Q$2)/$Q$2))</f>
        <v>4897.6375460854</v>
      </c>
      <c r="O272" s="15" t="n">
        <f aca="false">SUMPRODUCT(E272:N272,1/(1+$F$265)^$E$3:$N$3)*$E$2</f>
        <v>11450.6306329219</v>
      </c>
      <c r="P272" s="15" t="n">
        <f aca="false">N272*$E$2*(1+$I$265)/($F$265-$I$265)/(1+$F$265)^$N$3</f>
        <v>18054.4870690437</v>
      </c>
      <c r="Q272" s="15" t="n">
        <f aca="false">O272+P272</f>
        <v>29505.1177019656</v>
      </c>
      <c r="R272" s="15" t="n">
        <f aca="false">Q272-$G$2+$I$2</f>
        <v>22159.9177019656</v>
      </c>
      <c r="S272" s="42" t="n">
        <f aca="false">R272/$K$2</f>
        <v>94.4381747366955</v>
      </c>
      <c r="T272" s="43" t="n">
        <f aca="false">S272-$M$2</f>
        <v>13.4238981545519</v>
      </c>
    </row>
    <row r="273" customFormat="false" ht="15" hidden="false" customHeight="false" outlineLevel="0" collapsed="false">
      <c r="A273" s="5" t="n">
        <v>7</v>
      </c>
      <c r="B273" s="25" t="n">
        <f aca="false">IF(T272&gt;0,B272,D272)</f>
        <v>-0.078125</v>
      </c>
      <c r="C273" s="25" t="n">
        <f aca="false">IF(T272&gt;0,D272,C272)</f>
        <v>-0.0546875</v>
      </c>
      <c r="D273" s="41" t="n">
        <f aca="false">(B273+C273)/2</f>
        <v>-0.06640625</v>
      </c>
      <c r="E273" s="15" t="n">
        <f aca="false">$C$2*(1+IF(E$3&lt;=$O$2,$D273,$D273-($D273-$I$265)*MIN(E$3-$O$2,$Q$2)/$Q$2))</f>
        <v>6124.375</v>
      </c>
      <c r="F273" s="15" t="n">
        <f aca="false">E273*(1+IF(F$3&lt;=$O$2,$D273,$D273-($D273-$I$265)*MIN(F$3-$O$2,$Q$2)/$Q$2))</f>
        <v>5717.67822265625</v>
      </c>
      <c r="G273" s="15" t="n">
        <f aca="false">F273*(1+IF(G$3&lt;=$O$2,$D273,$D273-($D273-$I$265)*MIN(G$3-$O$2,$Q$2)/$Q$2))</f>
        <v>5337.98865318298</v>
      </c>
      <c r="H273" s="15" t="n">
        <f aca="false">G273*(1+IF(H$3&lt;=$O$2,$D273,$D273-($D273-$I$265)*MIN(H$3-$O$2,$Q$2)/$Q$2))</f>
        <v>4983.51284418255</v>
      </c>
      <c r="I273" s="15" t="n">
        <f aca="false">H273*(1+IF(I$3&lt;=$O$2,$D273,$D273-($D273-$I$265)*MIN(I$3-$O$2,$Q$2)/$Q$2))</f>
        <v>4652.57644437355</v>
      </c>
      <c r="J273" s="15" t="n">
        <f aca="false">I273*(1+IF(J$3&lt;=$O$2,$D273,$D273-($D273-$I$265)*MIN(J$3-$O$2,$Q$2)/$Q$2))</f>
        <v>4436.39447988574</v>
      </c>
      <c r="K273" s="15" t="n">
        <f aca="false">J273*(1+IF(K$3&lt;=$O$2,$D273,$D273-($D273-$I$265)*MIN(K$3-$O$2,$Q$2)/$Q$2))</f>
        <v>4318.72466179987</v>
      </c>
      <c r="L273" s="15" t="n">
        <f aca="false">K273*(1+IF(L$3&lt;=$O$2,$D273,$D273-($D273-$I$265)*MIN(L$3-$O$2,$Q$2)/$Q$2))</f>
        <v>4290.29665671357</v>
      </c>
      <c r="M273" s="15" t="n">
        <f aca="false">L273*(1+IF(M$3&lt;=$O$2,$D273,$D273-($D273-$I$265)*MIN(M$3-$O$2,$Q$2)/$Q$2))</f>
        <v>4347.60965717644</v>
      </c>
      <c r="N273" s="15" t="n">
        <f aca="false">M273*(1+IF(N$3&lt;=$O$2,$D273,$D273-($D273-$I$265)*MIN(N$3-$O$2,$Q$2)/$Q$2))</f>
        <v>4492.38505876042</v>
      </c>
      <c r="O273" s="15" t="n">
        <f aca="false">SUMPRODUCT(E273:N273,1/(1+$F$265)^$E$3:$N$3)*$E$2</f>
        <v>10879.1219206264</v>
      </c>
      <c r="P273" s="15" t="n">
        <f aca="false">N273*$E$2*(1+$I$265)/($F$265-$I$265)/(1+$F$265)^$N$3</f>
        <v>16560.5778682792</v>
      </c>
      <c r="Q273" s="15" t="n">
        <f aca="false">O273+P273</f>
        <v>27439.6997889056</v>
      </c>
      <c r="R273" s="15" t="n">
        <f aca="false">Q273-$G$2+$I$2</f>
        <v>20094.4997889056</v>
      </c>
      <c r="S273" s="42" t="n">
        <f aca="false">R273/$K$2</f>
        <v>85.6360527973818</v>
      </c>
      <c r="T273" s="43" t="n">
        <f aca="false">S273-$M$2</f>
        <v>4.62177621523819</v>
      </c>
    </row>
    <row r="274" customFormat="false" ht="15" hidden="false" customHeight="false" outlineLevel="0" collapsed="false">
      <c r="A274" s="5" t="n">
        <v>8</v>
      </c>
      <c r="B274" s="25" t="n">
        <f aca="false">IF(T273&gt;0,B273,D273)</f>
        <v>-0.078125</v>
      </c>
      <c r="C274" s="25" t="n">
        <f aca="false">IF(T273&gt;0,D273,C273)</f>
        <v>-0.06640625</v>
      </c>
      <c r="D274" s="41" t="n">
        <f aca="false">(B274+C274)/2</f>
        <v>-0.072265625</v>
      </c>
      <c r="E274" s="15" t="n">
        <f aca="false">$C$2*(1+IF(E$3&lt;=$O$2,$D274,$D274-($D274-$I$265)*MIN(E$3-$O$2,$Q$2)/$Q$2))</f>
        <v>6085.9375</v>
      </c>
      <c r="F274" s="15" t="n">
        <f aca="false">E274*(1+IF(F$3&lt;=$O$2,$D274,$D274-($D274-$I$265)*MIN(F$3-$O$2,$Q$2)/$Q$2))</f>
        <v>5646.13342285156</v>
      </c>
      <c r="G274" s="15" t="n">
        <f aca="false">F274*(1+IF(G$3&lt;=$O$2,$D274,$D274-($D274-$I$265)*MIN(G$3-$O$2,$Q$2)/$Q$2))</f>
        <v>5238.11206221581</v>
      </c>
      <c r="H274" s="15" t="n">
        <f aca="false">G274*(1+IF(H$3&lt;=$O$2,$D274,$D274-($D274-$I$265)*MIN(H$3-$O$2,$Q$2)/$Q$2))</f>
        <v>4859.57662021974</v>
      </c>
      <c r="I274" s="15" t="n">
        <f aca="false">H274*(1+IF(I$3&lt;=$O$2,$D274,$D274-($D274-$I$265)*MIN(I$3-$O$2,$Q$2)/$Q$2))</f>
        <v>4508.39627852417</v>
      </c>
      <c r="J274" s="15" t="n">
        <f aca="false">I274*(1+IF(J$3&lt;=$O$2,$D274,$D274-($D274-$I$265)*MIN(J$3-$O$2,$Q$2)/$Q$2))</f>
        <v>4277.78053788697</v>
      </c>
      <c r="K274" s="15" t="n">
        <f aca="false">J274*(1+IF(K$3&lt;=$O$2,$D274,$D274-($D274-$I$265)*MIN(K$3-$O$2,$Q$2)/$Q$2))</f>
        <v>4149.27868414168</v>
      </c>
      <c r="L274" s="15" t="n">
        <f aca="false">K274*(1+IF(L$3&lt;=$O$2,$D274,$D274-($D274-$I$265)*MIN(L$3-$O$2,$Q$2)/$Q$2))</f>
        <v>4112.24118528736</v>
      </c>
      <c r="M274" s="15" t="n">
        <f aca="false">L274*(1+IF(M$3&lt;=$O$2,$D274,$D274-($D274-$I$265)*MIN(M$3-$O$2,$Q$2)/$Q$2))</f>
        <v>4162.35655458231</v>
      </c>
      <c r="N274" s="15" t="n">
        <f aca="false">M274*(1+IF(N$3&lt;=$O$2,$D274,$D274-($D274-$I$265)*MIN(N$3-$O$2,$Q$2)/$Q$2))</f>
        <v>4300.9630278499</v>
      </c>
      <c r="O274" s="15" t="n">
        <f aca="false">SUMPRODUCT(E274:N274,1/(1+$F$265)^$E$3:$N$3)*$E$2</f>
        <v>10604.6047206975</v>
      </c>
      <c r="P274" s="15" t="n">
        <f aca="false">N274*$E$2*(1+$I$265)/($F$265-$I$265)/(1+$F$265)^$N$3</f>
        <v>15854.9261026506</v>
      </c>
      <c r="Q274" s="15" t="n">
        <f aca="false">O274+P274</f>
        <v>26459.5308233481</v>
      </c>
      <c r="R274" s="15" t="n">
        <f aca="false">Q274-$G$2+$I$2</f>
        <v>19114.3308233481</v>
      </c>
      <c r="S274" s="42" t="n">
        <f aca="false">R274/$K$2</f>
        <v>81.4588997372603</v>
      </c>
      <c r="T274" s="43" t="n">
        <f aca="false">S274-$M$2</f>
        <v>0.444623155116659</v>
      </c>
    </row>
    <row r="275" customFormat="false" ht="15" hidden="false" customHeight="false" outlineLevel="0" collapsed="false">
      <c r="A275" s="5" t="n">
        <v>9</v>
      </c>
      <c r="B275" s="25" t="n">
        <f aca="false">IF(T274&gt;0,B274,D274)</f>
        <v>-0.078125</v>
      </c>
      <c r="C275" s="25" t="n">
        <f aca="false">IF(T274&gt;0,D274,C274)</f>
        <v>-0.072265625</v>
      </c>
      <c r="D275" s="41" t="n">
        <f aca="false">(B275+C275)/2</f>
        <v>-0.0751953125</v>
      </c>
      <c r="E275" s="15" t="n">
        <f aca="false">$C$2*(1+IF(E$3&lt;=$O$2,$D275,$D275-($D275-$I$265)*MIN(E$3-$O$2,$Q$2)/$Q$2))</f>
        <v>6066.71875</v>
      </c>
      <c r="F275" s="15" t="n">
        <f aca="false">E275*(1+IF(F$3&lt;=$O$2,$D275,$D275-($D275-$I$265)*MIN(F$3-$O$2,$Q$2)/$Q$2))</f>
        <v>5610.52993774414</v>
      </c>
      <c r="G275" s="15" t="n">
        <f aca="false">F275*(1+IF(G$3&lt;=$O$2,$D275,$D275-($D275-$I$265)*MIN(G$3-$O$2,$Q$2)/$Q$2))</f>
        <v>5188.64438578486</v>
      </c>
      <c r="H275" s="15" t="n">
        <f aca="false">G275*(1+IF(H$3&lt;=$O$2,$D275,$D275-($D275-$I$265)*MIN(H$3-$O$2,$Q$2)/$Q$2))</f>
        <v>4798.4826497444</v>
      </c>
      <c r="I275" s="15" t="n">
        <f aca="false">H275*(1+IF(I$3&lt;=$O$2,$D275,$D275-($D275-$I$265)*MIN(I$3-$O$2,$Q$2)/$Q$2))</f>
        <v>4437.65924737104</v>
      </c>
      <c r="J275" s="15" t="n">
        <f aca="false">I275*(1+IF(J$3&lt;=$O$2,$D275,$D275-($D275-$I$265)*MIN(J$3-$O$2,$Q$2)/$Q$2))</f>
        <v>4200.26111885887</v>
      </c>
      <c r="K275" s="15" t="n">
        <f aca="false">J275*(1+IF(K$3&lt;=$O$2,$D275,$D275-($D275-$I$265)*MIN(K$3-$O$2,$Q$2)/$Q$2))</f>
        <v>4066.70462851355</v>
      </c>
      <c r="L275" s="15" t="n">
        <f aca="false">K275*(1+IF(L$3&lt;=$O$2,$D275,$D275-($D275-$I$265)*MIN(L$3-$O$2,$Q$2)/$Q$2))</f>
        <v>4025.63853683675</v>
      </c>
      <c r="M275" s="15" t="n">
        <f aca="false">L275*(1+IF(M$3&lt;=$O$2,$D275,$D275-($D275-$I$265)*MIN(M$3-$O$2,$Q$2)/$Q$2))</f>
        <v>4072.33971790018</v>
      </c>
      <c r="N275" s="15" t="n">
        <f aca="false">M275*(1+IF(N$3&lt;=$O$2,$D275,$D275-($D275-$I$265)*MIN(N$3-$O$2,$Q$2)/$Q$2))</f>
        <v>4207.94863050626</v>
      </c>
      <c r="O275" s="15" t="n">
        <f aca="false">SUMPRODUCT(E275:N275,1/(1+$F$265)^$E$3:$N$3)*$E$2</f>
        <v>10470.0718821268</v>
      </c>
      <c r="P275" s="15" t="n">
        <f aca="false">N275*$E$2*(1+$I$265)/($F$265-$I$265)/(1+$F$265)^$N$3</f>
        <v>15512.0409425558</v>
      </c>
      <c r="Q275" s="15" t="n">
        <f aca="false">O275+P275</f>
        <v>25982.1128246827</v>
      </c>
      <c r="R275" s="15" t="n">
        <f aca="false">Q275-$G$2+$I$2</f>
        <v>18636.9128246827</v>
      </c>
      <c r="S275" s="42" t="n">
        <f aca="false">R275/$K$2</f>
        <v>79.4243035358307</v>
      </c>
      <c r="T275" s="43" t="n">
        <f aca="false">S275-$M$2</f>
        <v>-1.58997304631298</v>
      </c>
    </row>
    <row r="276" customFormat="false" ht="15" hidden="false" customHeight="false" outlineLevel="0" collapsed="false">
      <c r="A276" s="5" t="n">
        <v>10</v>
      </c>
      <c r="B276" s="25" t="n">
        <f aca="false">IF(T275&gt;0,B275,D275)</f>
        <v>-0.0751953125</v>
      </c>
      <c r="C276" s="25" t="n">
        <f aca="false">IF(T275&gt;0,D275,C275)</f>
        <v>-0.072265625</v>
      </c>
      <c r="D276" s="41" t="n">
        <f aca="false">(B276+C276)/2</f>
        <v>-0.07373046875</v>
      </c>
      <c r="E276" s="15" t="n">
        <f aca="false">$C$2*(1+IF(E$3&lt;=$O$2,$D276,$D276-($D276-$I$265)*MIN(E$3-$O$2,$Q$2)/$Q$2))</f>
        <v>6076.328125</v>
      </c>
      <c r="F276" s="15" t="n">
        <f aca="false">E276*(1+IF(F$3&lt;=$O$2,$D276,$D276-($D276-$I$265)*MIN(F$3-$O$2,$Q$2)/$Q$2))</f>
        <v>5628.31760406494</v>
      </c>
      <c r="G276" s="15" t="n">
        <f aca="false">F276*(1+IF(G$3&lt;=$O$2,$D276,$D276-($D276-$I$265)*MIN(G$3-$O$2,$Q$2)/$Q$2))</f>
        <v>5213.33910884336</v>
      </c>
      <c r="H276" s="15" t="n">
        <f aca="false">G276*(1+IF(H$3&lt;=$O$2,$D276,$D276-($D276-$I$265)*MIN(H$3-$O$2,$Q$2)/$Q$2))</f>
        <v>4828.95717259563</v>
      </c>
      <c r="I276" s="15" t="n">
        <f aca="false">H276*(1+IF(I$3&lt;=$O$2,$D276,$D276-($D276-$I$265)*MIN(I$3-$O$2,$Q$2)/$Q$2))</f>
        <v>4472.91589668648</v>
      </c>
      <c r="J276" s="15" t="n">
        <f aca="false">I276*(1+IF(J$3&lt;=$O$2,$D276,$D276-($D276-$I$265)*MIN(J$3-$O$2,$Q$2)/$Q$2))</f>
        <v>4238.87336796479</v>
      </c>
      <c r="K276" s="15" t="n">
        <f aca="false">J276*(1+IF(K$3&lt;=$O$2,$D276,$D276-($D276-$I$265)*MIN(K$3-$O$2,$Q$2)/$Q$2))</f>
        <v>4107.81468899092</v>
      </c>
      <c r="L276" s="15" t="n">
        <f aca="false">K276*(1+IF(L$3&lt;=$O$2,$D276,$D276-($D276-$I$265)*MIN(L$3-$O$2,$Q$2)/$Q$2))</f>
        <v>4068.74038545399</v>
      </c>
      <c r="M276" s="15" t="n">
        <f aca="false">L276*(1+IF(M$3&lt;=$O$2,$D276,$D276-($D276-$I$265)*MIN(M$3-$O$2,$Q$2)/$Q$2))</f>
        <v>4117.13360215417</v>
      </c>
      <c r="N276" s="15" t="n">
        <f aca="false">M276*(1+IF(N$3&lt;=$O$2,$D276,$D276-($D276-$I$265)*MIN(N$3-$O$2,$Q$2)/$Q$2))</f>
        <v>4254.2341511059</v>
      </c>
      <c r="O276" s="15" t="n">
        <f aca="false">SUMPRODUCT(E276:N276,1/(1+$F$265)^$E$3:$N$3)*$E$2</f>
        <v>10537.1135949715</v>
      </c>
      <c r="P276" s="15" t="n">
        <f aca="false">N276*$E$2*(1+$I$265)/($F$265-$I$265)/(1+$F$265)^$N$3</f>
        <v>15682.6663359801</v>
      </c>
      <c r="Q276" s="15" t="n">
        <f aca="false">O276+P276</f>
        <v>26219.7799309516</v>
      </c>
      <c r="R276" s="15" t="n">
        <f aca="false">Q276-$G$2+$I$2</f>
        <v>18874.5799309516</v>
      </c>
      <c r="S276" s="42" t="n">
        <f aca="false">R276/$K$2</f>
        <v>80.4371614359751</v>
      </c>
      <c r="T276" s="43" t="n">
        <f aca="false">S276-$M$2</f>
        <v>-0.577115146168538</v>
      </c>
    </row>
    <row r="277" customFormat="false" ht="15" hidden="false" customHeight="false" outlineLevel="0" collapsed="false">
      <c r="A277" s="5" t="n">
        <v>11</v>
      </c>
      <c r="B277" s="25" t="n">
        <f aca="false">IF(T276&gt;0,B276,D276)</f>
        <v>-0.07373046875</v>
      </c>
      <c r="C277" s="25" t="n">
        <f aca="false">IF(T276&gt;0,D276,C276)</f>
        <v>-0.072265625</v>
      </c>
      <c r="D277" s="41" t="n">
        <f aca="false">(B277+C277)/2</f>
        <v>-0.072998046875</v>
      </c>
      <c r="E277" s="15" t="n">
        <f aca="false">$C$2*(1+IF(E$3&lt;=$O$2,$D277,$D277-($D277-$I$265)*MIN(E$3-$O$2,$Q$2)/$Q$2))</f>
        <v>6081.1328125</v>
      </c>
      <c r="F277" s="15" t="n">
        <f aca="false">E277*(1+IF(F$3&lt;=$O$2,$D277,$D277-($D277-$I$265)*MIN(F$3-$O$2,$Q$2)/$Q$2))</f>
        <v>5637.22199440002</v>
      </c>
      <c r="G277" s="15" t="n">
        <f aca="false">F277*(1+IF(G$3&lt;=$O$2,$D277,$D277-($D277-$I$265)*MIN(G$3-$O$2,$Q$2)/$Q$2))</f>
        <v>5225.71579900803</v>
      </c>
      <c r="H277" s="15" t="n">
        <f aca="false">G277*(1+IF(H$3&lt;=$O$2,$D277,$D277-($D277-$I$265)*MIN(H$3-$O$2,$Q$2)/$Q$2))</f>
        <v>4844.24875215661</v>
      </c>
      <c r="I277" s="15" t="n">
        <f aca="false">H277*(1+IF(I$3&lt;=$O$2,$D277,$D277-($D277-$I$265)*MIN(I$3-$O$2,$Q$2)/$Q$2))</f>
        <v>4490.62805467253</v>
      </c>
      <c r="J277" s="15" t="n">
        <f aca="false">I277*(1+IF(J$3&lt;=$O$2,$D277,$D277-($D277-$I$265)*MIN(J$3-$O$2,$Q$2)/$Q$2))</f>
        <v>4258.28997573011</v>
      </c>
      <c r="K277" s="15" t="n">
        <f aca="false">J277*(1+IF(K$3&lt;=$O$2,$D277,$D277-($D277-$I$265)*MIN(K$3-$O$2,$Q$2)/$Q$2))</f>
        <v>4128.50228745342</v>
      </c>
      <c r="L277" s="15" t="n">
        <f aca="false">K277*(1+IF(L$3&lt;=$O$2,$D277,$D277-($D277-$I$265)*MIN(L$3-$O$2,$Q$2)/$Q$2))</f>
        <v>4090.44072175551</v>
      </c>
      <c r="M277" s="15" t="n">
        <f aca="false">L277*(1+IF(M$3&lt;=$O$2,$D277,$D277-($D277-$I$265)*MIN(M$3-$O$2,$Q$2)/$Q$2))</f>
        <v>4139.69122587385</v>
      </c>
      <c r="N277" s="15" t="n">
        <f aca="false">M277*(1+IF(N$3&lt;=$O$2,$D277,$D277-($D277-$I$265)*MIN(N$3-$O$2,$Q$2)/$Q$2))</f>
        <v>4277.54294369545</v>
      </c>
      <c r="O277" s="15" t="n">
        <f aca="false">SUMPRODUCT(E277:N277,1/(1+$F$265)^$E$3:$N$3)*$E$2</f>
        <v>10570.8027993686</v>
      </c>
      <c r="P277" s="15" t="n">
        <f aca="false">N277*$E$2*(1+$I$265)/($F$265-$I$265)/(1+$F$265)^$N$3</f>
        <v>15768.591088566</v>
      </c>
      <c r="Q277" s="15" t="n">
        <f aca="false">O277+P277</f>
        <v>26339.3938879347</v>
      </c>
      <c r="R277" s="15" t="n">
        <f aca="false">Q277-$G$2+$I$2</f>
        <v>18994.1938879347</v>
      </c>
      <c r="S277" s="42" t="n">
        <f aca="false">R277/$K$2</f>
        <v>80.9469162068386</v>
      </c>
      <c r="T277" s="43" t="n">
        <f aca="false">S277-$M$2</f>
        <v>-0.0673603753050003</v>
      </c>
    </row>
    <row r="278" customFormat="false" ht="15" hidden="false" customHeight="false" outlineLevel="0" collapsed="false">
      <c r="A278" s="5" t="n">
        <v>12</v>
      </c>
      <c r="B278" s="25" t="n">
        <f aca="false">IF(T277&gt;0,B277,D277)</f>
        <v>-0.072998046875</v>
      </c>
      <c r="C278" s="25" t="n">
        <f aca="false">IF(T277&gt;0,D277,C277)</f>
        <v>-0.072265625</v>
      </c>
      <c r="D278" s="41" t="n">
        <f aca="false">(B278+C278)/2</f>
        <v>-0.0726318359375</v>
      </c>
      <c r="E278" s="15" t="n">
        <f aca="false">$C$2*(1+IF(E$3&lt;=$O$2,$D278,$D278-($D278-$I$265)*MIN(E$3-$O$2,$Q$2)/$Q$2))</f>
        <v>6083.53515625</v>
      </c>
      <c r="F278" s="15" t="n">
        <f aca="false">E278*(1+IF(F$3&lt;=$O$2,$D278,$D278-($D278-$I$265)*MIN(F$3-$O$2,$Q$2)/$Q$2))</f>
        <v>5641.67682886124</v>
      </c>
      <c r="G278" s="15" t="n">
        <f aca="false">F278*(1+IF(G$3&lt;=$O$2,$D278,$D278-($D278-$I$265)*MIN(G$3-$O$2,$Q$2)/$Q$2))</f>
        <v>5231.91148301499</v>
      </c>
      <c r="H278" s="15" t="n">
        <f aca="false">G278*(1+IF(H$3&lt;=$O$2,$D278,$D278-($D278-$I$265)*MIN(H$3-$O$2,$Q$2)/$Q$2))</f>
        <v>4851.90814654113</v>
      </c>
      <c r="I278" s="15" t="n">
        <f aca="false">H278*(1+IF(I$3&lt;=$O$2,$D278,$D278-($D278-$I$265)*MIN(I$3-$O$2,$Q$2)/$Q$2))</f>
        <v>4499.50515005773</v>
      </c>
      <c r="J278" s="15" t="n">
        <f aca="false">I278*(1+IF(J$3&lt;=$O$2,$D278,$D278-($D278-$I$265)*MIN(J$3-$O$2,$Q$2)/$Q$2))</f>
        <v>4268.02599846997</v>
      </c>
      <c r="K278" s="15" t="n">
        <f aca="false">J278*(1+IF(K$3&lt;=$O$2,$D278,$D278-($D278-$I$265)*MIN(K$3-$O$2,$Q$2)/$Q$2))</f>
        <v>4138.87936631088</v>
      </c>
      <c r="L278" s="15" t="n">
        <f aca="false">K278*(1+IF(L$3&lt;=$O$2,$D278,$D278-($D278-$I$265)*MIN(L$3-$O$2,$Q$2)/$Q$2))</f>
        <v>4101.32841321017</v>
      </c>
      <c r="M278" s="15" t="n">
        <f aca="false">L278*(1+IF(M$3&lt;=$O$2,$D278,$D278-($D278-$I$265)*MIN(M$3-$O$2,$Q$2)/$Q$2))</f>
        <v>4151.01039965127</v>
      </c>
      <c r="N278" s="15" t="n">
        <f aca="false">M278*(1+IF(N$3&lt;=$O$2,$D278,$D278-($D278-$I$265)*MIN(N$3-$O$2,$Q$2)/$Q$2))</f>
        <v>4289.23904595966</v>
      </c>
      <c r="O278" s="15" t="n">
        <f aca="false">SUMPRODUCT(E278:N278,1/(1+$F$265)^$E$3:$N$3)*$E$2</f>
        <v>10587.689647628</v>
      </c>
      <c r="P278" s="15" t="n">
        <f aca="false">N278*$E$2*(1+$I$265)/($F$265-$I$265)/(1+$F$265)^$N$3</f>
        <v>15811.7072083483</v>
      </c>
      <c r="Q278" s="15" t="n">
        <f aca="false">O278+P278</f>
        <v>26399.3968559764</v>
      </c>
      <c r="R278" s="15" t="n">
        <f aca="false">Q278-$G$2+$I$2</f>
        <v>19054.1968559764</v>
      </c>
      <c r="S278" s="42" t="n">
        <f aca="false">R278/$K$2</f>
        <v>81.2026288343335</v>
      </c>
      <c r="T278" s="43" t="n">
        <f aca="false">S278-$M$2</f>
        <v>0.188352252189887</v>
      </c>
    </row>
    <row r="279" customFormat="false" ht="15" hidden="false" customHeight="false" outlineLevel="0" collapsed="false">
      <c r="A279" s="5" t="n">
        <v>13</v>
      </c>
      <c r="B279" s="25" t="n">
        <f aca="false">IF(T278&gt;0,B278,D278)</f>
        <v>-0.072998046875</v>
      </c>
      <c r="C279" s="25" t="n">
        <f aca="false">IF(T278&gt;0,D278,C278)</f>
        <v>-0.0726318359375</v>
      </c>
      <c r="D279" s="41" t="n">
        <f aca="false">(B279+C279)/2</f>
        <v>-0.07281494140625</v>
      </c>
      <c r="E279" s="15" t="n">
        <f aca="false">$C$2*(1+IF(E$3&lt;=$O$2,$D279,$D279-($D279-$I$265)*MIN(E$3-$O$2,$Q$2)/$Q$2))</f>
        <v>6082.333984375</v>
      </c>
      <c r="F279" s="15" t="n">
        <f aca="false">E279*(1+IF(F$3&lt;=$O$2,$D279,$D279-($D279-$I$265)*MIN(F$3-$O$2,$Q$2)/$Q$2))</f>
        <v>5639.44919168949</v>
      </c>
      <c r="G279" s="15" t="n">
        <f aca="false">F279*(1+IF(G$3&lt;=$O$2,$D279,$D279-($D279-$I$265)*MIN(G$3-$O$2,$Q$2)/$Q$2))</f>
        <v>5228.8130292331</v>
      </c>
      <c r="H279" s="15" t="n">
        <f aca="false">G279*(1+IF(H$3&lt;=$O$2,$D279,$D279-($D279-$I$265)*MIN(H$3-$O$2,$Q$2)/$Q$2))</f>
        <v>4848.07731488525</v>
      </c>
      <c r="I279" s="15" t="n">
        <f aca="false">H279*(1+IF(I$3&lt;=$O$2,$D279,$D279-($D279-$I$265)*MIN(I$3-$O$2,$Q$2)/$Q$2))</f>
        <v>4495.06484926891</v>
      </c>
      <c r="J279" s="15" t="n">
        <f aca="false">I279*(1+IF(J$3&lt;=$O$2,$D279,$D279-($D279-$I$265)*MIN(J$3-$O$2,$Q$2)/$Q$2))</f>
        <v>4263.1556742716</v>
      </c>
      <c r="K279" s="15" t="n">
        <f aca="false">J279*(1+IF(K$3&lt;=$O$2,$D279,$D279-($D279-$I$265)*MIN(K$3-$O$2,$Q$2)/$Q$2))</f>
        <v>4133.68804947621</v>
      </c>
      <c r="L279" s="15" t="n">
        <f aca="false">K279*(1+IF(L$3&lt;=$O$2,$D279,$D279-($D279-$I$265)*MIN(L$3-$O$2,$Q$2)/$Q$2))</f>
        <v>4095.88143545901</v>
      </c>
      <c r="M279" s="15" t="n">
        <f aca="false">L279*(1+IF(M$3&lt;=$O$2,$D279,$D279-($D279-$I$265)*MIN(M$3-$O$2,$Q$2)/$Q$2))</f>
        <v>4145.34744355366</v>
      </c>
      <c r="N279" s="15" t="n">
        <f aca="false">M279*(1+IF(N$3&lt;=$O$2,$D279,$D279-($D279-$I$265)*MIN(N$3-$O$2,$Q$2)/$Q$2))</f>
        <v>4283.387513424</v>
      </c>
      <c r="O279" s="15" t="n">
        <f aca="false">SUMPRODUCT(E279:N279,1/(1+$F$265)^$E$3:$N$3)*$E$2</f>
        <v>10579.2426982482</v>
      </c>
      <c r="P279" s="15" t="n">
        <f aca="false">N279*$E$2*(1+$I$265)/($F$265-$I$265)/(1+$F$265)^$N$3</f>
        <v>15790.1363147277</v>
      </c>
      <c r="Q279" s="15" t="n">
        <f aca="false">O279+P279</f>
        <v>26369.3790129759</v>
      </c>
      <c r="R279" s="15" t="n">
        <f aca="false">Q279-$G$2+$I$2</f>
        <v>19024.1790129759</v>
      </c>
      <c r="S279" s="42" t="n">
        <f aca="false">R279/$K$2</f>
        <v>81.0747028040735</v>
      </c>
      <c r="T279" s="43" t="n">
        <f aca="false">S279-$M$2</f>
        <v>0.0604262219299159</v>
      </c>
    </row>
    <row r="280" customFormat="false" ht="15" hidden="false" customHeight="false" outlineLevel="0" collapsed="false">
      <c r="A280" s="5" t="n">
        <v>14</v>
      </c>
      <c r="B280" s="25" t="n">
        <f aca="false">IF(T279&gt;0,B279,D279)</f>
        <v>-0.072998046875</v>
      </c>
      <c r="C280" s="25" t="n">
        <f aca="false">IF(T279&gt;0,D279,C279)</f>
        <v>-0.07281494140625</v>
      </c>
      <c r="D280" s="41" t="n">
        <f aca="false">(B280+C280)/2</f>
        <v>-0.072906494140625</v>
      </c>
      <c r="E280" s="15" t="n">
        <f aca="false">$C$2*(1+IF(E$3&lt;=$O$2,$D280,$D280-($D280-$I$265)*MIN(E$3-$O$2,$Q$2)/$Q$2))</f>
        <v>6081.7333984375</v>
      </c>
      <c r="F280" s="15" t="n">
        <f aca="false">E280*(1+IF(F$3&lt;=$O$2,$D280,$D280-($D280-$I$265)*MIN(F$3-$O$2,$Q$2)/$Q$2))</f>
        <v>5638.33553805947</v>
      </c>
      <c r="G280" s="15" t="n">
        <f aca="false">F280*(1+IF(G$3&lt;=$O$2,$D280,$D280-($D280-$I$265)*MIN(G$3-$O$2,$Q$2)/$Q$2))</f>
        <v>5227.26426119106</v>
      </c>
      <c r="H280" s="15" t="n">
        <f aca="false">G280*(1+IF(H$3&lt;=$O$2,$D280,$D280-($D280-$I$265)*MIN(H$3-$O$2,$Q$2)/$Q$2))</f>
        <v>4846.16274996104</v>
      </c>
      <c r="I280" s="15" t="n">
        <f aca="false">H280*(1+IF(I$3&lt;=$O$2,$D280,$D280-($D280-$I$265)*MIN(I$3-$O$2,$Q$2)/$Q$2))</f>
        <v>4492.84601382649</v>
      </c>
      <c r="J280" s="15" t="n">
        <f aca="false">I280*(1+IF(J$3&lt;=$O$2,$D280,$D280-($D280-$I$265)*MIN(J$3-$O$2,$Q$2)/$Q$2))</f>
        <v>4260.72224701316</v>
      </c>
      <c r="K280" s="15" t="n">
        <f aca="false">J280*(1+IF(K$3&lt;=$O$2,$D280,$D280-($D280-$I$265)*MIN(K$3-$O$2,$Q$2)/$Q$2))</f>
        <v>4131.09447442135</v>
      </c>
      <c r="L280" s="15" t="n">
        <f aca="false">K280*(1+IF(L$3&lt;=$O$2,$D280,$D280-($D280-$I$265)*MIN(L$3-$O$2,$Q$2)/$Q$2))</f>
        <v>4093.16029598279</v>
      </c>
      <c r="M280" s="15" t="n">
        <f aca="false">L280*(1+IF(M$3&lt;=$O$2,$D280,$D280-($D280-$I$265)*MIN(M$3-$O$2,$Q$2)/$Q$2))</f>
        <v>4142.51849284062</v>
      </c>
      <c r="N280" s="15" t="n">
        <f aca="false">M280*(1+IF(N$3&lt;=$O$2,$D280,$D280-($D280-$I$265)*MIN(N$3-$O$2,$Q$2)/$Q$2))</f>
        <v>4280.46435865222</v>
      </c>
      <c r="O280" s="15" t="n">
        <f aca="false">SUMPRODUCT(E280:N280,1/(1+$F$265)^$E$3:$N$3)*$E$2</f>
        <v>10575.021867852</v>
      </c>
      <c r="P280" s="15" t="n">
        <f aca="false">N280*$E$2*(1+$I$265)/($F$265-$I$265)/(1+$F$265)^$N$3</f>
        <v>15779.360494849</v>
      </c>
      <c r="Q280" s="15" t="n">
        <f aca="false">O280+P280</f>
        <v>26354.382362701</v>
      </c>
      <c r="R280" s="15" t="n">
        <f aca="false">Q280-$G$2+$I$2</f>
        <v>19009.182362701</v>
      </c>
      <c r="S280" s="42" t="n">
        <f aca="false">R280/$K$2</f>
        <v>81.0107920848114</v>
      </c>
      <c r="T280" s="43" t="n">
        <f aca="false">S280-$M$2</f>
        <v>-0.00348449733223788</v>
      </c>
    </row>
    <row r="281" customFormat="false" ht="15" hidden="false" customHeight="false" outlineLevel="0" collapsed="false">
      <c r="A281" s="5" t="n">
        <v>15</v>
      </c>
      <c r="B281" s="25" t="n">
        <f aca="false">IF(T280&gt;0,B280,D280)</f>
        <v>-0.072906494140625</v>
      </c>
      <c r="C281" s="25" t="n">
        <f aca="false">IF(T280&gt;0,D280,C280)</f>
        <v>-0.07281494140625</v>
      </c>
      <c r="D281" s="41" t="n">
        <f aca="false">(B281+C281)/2</f>
        <v>-0.0728607177734375</v>
      </c>
      <c r="E281" s="15" t="n">
        <f aca="false">$C$2*(1+IF(E$3&lt;=$O$2,$D281,$D281-($D281-$I$265)*MIN(E$3-$O$2,$Q$2)/$Q$2))</f>
        <v>6082.03369140625</v>
      </c>
      <c r="F281" s="15" t="n">
        <f aca="false">E281*(1+IF(F$3&lt;=$O$2,$D281,$D281-($D281-$I$265)*MIN(F$3-$O$2,$Q$2)/$Q$2))</f>
        <v>5638.89235112816</v>
      </c>
      <c r="G281" s="15" t="n">
        <f aca="false">F281*(1+IF(G$3&lt;=$O$2,$D281,$D281-($D281-$I$265)*MIN(G$3-$O$2,$Q$2)/$Q$2))</f>
        <v>5228.03860697782</v>
      </c>
      <c r="H281" s="15" t="n">
        <f aca="false">G281*(1+IF(H$3&lt;=$O$2,$D281,$D281-($D281-$I$265)*MIN(H$3-$O$2,$Q$2)/$Q$2))</f>
        <v>4847.11996152617</v>
      </c>
      <c r="I281" s="15" t="n">
        <f aca="false">H281*(1+IF(I$3&lt;=$O$2,$D281,$D281-($D281-$I$265)*MIN(I$3-$O$2,$Q$2)/$Q$2))</f>
        <v>4493.95532199542</v>
      </c>
      <c r="J281" s="15" t="n">
        <f aca="false">I281*(1+IF(J$3&lt;=$O$2,$D281,$D281-($D281-$I$265)*MIN(J$3-$O$2,$Q$2)/$Q$2))</f>
        <v>4261.93881611803</v>
      </c>
      <c r="K281" s="15" t="n">
        <f aca="false">J281*(1+IF(K$3&lt;=$O$2,$D281,$D281-($D281-$I$265)*MIN(K$3-$O$2,$Q$2)/$Q$2))</f>
        <v>4132.39108839942</v>
      </c>
      <c r="L281" s="15" t="n">
        <f aca="false">K281*(1+IF(L$3&lt;=$O$2,$D281,$D281-($D281-$I$265)*MIN(L$3-$O$2,$Q$2)/$Q$2))</f>
        <v>4094.52067001711</v>
      </c>
      <c r="M281" s="15" t="n">
        <f aca="false">L281*(1+IF(M$3&lt;=$O$2,$D281,$D281-($D281-$I$265)*MIN(M$3-$O$2,$Q$2)/$Q$2))</f>
        <v>4143.93275767524</v>
      </c>
      <c r="N281" s="15" t="n">
        <f aca="false">M281*(1+IF(N$3&lt;=$O$2,$D281,$D281-($D281-$I$265)*MIN(N$3-$O$2,$Q$2)/$Q$2))</f>
        <v>4281.92571850582</v>
      </c>
      <c r="O281" s="15" t="n">
        <f aca="false">SUMPRODUCT(E281:N281,1/(1+$F$265)^$E$3:$N$3)*$E$2</f>
        <v>10577.1320627665</v>
      </c>
      <c r="P281" s="15" t="n">
        <f aca="false">N281*$E$2*(1+$I$265)/($F$265-$I$265)/(1+$F$265)^$N$3</f>
        <v>15784.7476028846</v>
      </c>
      <c r="Q281" s="15" t="n">
        <f aca="false">O281+P281</f>
        <v>26361.8796656511</v>
      </c>
      <c r="R281" s="15" t="n">
        <f aca="false">Q281-$G$2+$I$2</f>
        <v>19016.6796656511</v>
      </c>
      <c r="S281" s="42" t="n">
        <f aca="false">R281/$K$2</f>
        <v>81.0427430882211</v>
      </c>
      <c r="T281" s="43" t="n">
        <f aca="false">S281-$M$2</f>
        <v>0.0284665060775211</v>
      </c>
    </row>
    <row r="282" customFormat="false" ht="15" hidden="false" customHeight="false" outlineLevel="0" collapsed="false">
      <c r="A282" s="5" t="n">
        <v>16</v>
      </c>
      <c r="B282" s="25" t="n">
        <f aca="false">IF(T281&gt;0,B281,D281)</f>
        <v>-0.072906494140625</v>
      </c>
      <c r="C282" s="25" t="n">
        <f aca="false">IF(T281&gt;0,D281,C281)</f>
        <v>-0.0728607177734375</v>
      </c>
      <c r="D282" s="41" t="n">
        <f aca="false">(B282+C282)/2</f>
        <v>-0.0728836059570313</v>
      </c>
      <c r="E282" s="15" t="n">
        <f aca="false">$C$2*(1+IF(E$3&lt;=$O$2,$D282,$D282-($D282-$I$265)*MIN(E$3-$O$2,$Q$2)/$Q$2))</f>
        <v>6081.88354492188</v>
      </c>
      <c r="F282" s="15" t="n">
        <f aca="false">E282*(1+IF(F$3&lt;=$O$2,$D282,$D282-($D282-$I$265)*MIN(F$3-$O$2,$Q$2)/$Q$2))</f>
        <v>5638.61394115724</v>
      </c>
      <c r="G282" s="15" t="n">
        <f aca="false">F282*(1+IF(G$3&lt;=$O$2,$D282,$D282-($D282-$I$265)*MIN(G$3-$O$2,$Q$2)/$Q$2))</f>
        <v>5227.65142452611</v>
      </c>
      <c r="H282" s="15" t="n">
        <f aca="false">G282*(1+IF(H$3&lt;=$O$2,$D282,$D282-($D282-$I$265)*MIN(H$3-$O$2,$Q$2)/$Q$2))</f>
        <v>4846.64133802024</v>
      </c>
      <c r="I282" s="15" t="n">
        <f aca="false">H282*(1+IF(I$3&lt;=$O$2,$D282,$D282-($D282-$I$265)*MIN(I$3-$O$2,$Q$2)/$Q$2))</f>
        <v>4493.40064052491</v>
      </c>
      <c r="J282" s="15" t="n">
        <f aca="false">I282*(1+IF(J$3&lt;=$O$2,$D282,$D282-($D282-$I$265)*MIN(J$3-$O$2,$Q$2)/$Q$2))</f>
        <v>4261.33049543794</v>
      </c>
      <c r="K282" s="15" t="n">
        <f aca="false">J282*(1+IF(K$3&lt;=$O$2,$D282,$D282-($D282-$I$265)*MIN(K$3-$O$2,$Q$2)/$Q$2))</f>
        <v>4131.74273802786</v>
      </c>
      <c r="L282" s="15" t="n">
        <f aca="false">K282*(1+IF(L$3&lt;=$O$2,$D282,$D282-($D282-$I$265)*MIN(L$3-$O$2,$Q$2)/$Q$2))</f>
        <v>4093.84043407996</v>
      </c>
      <c r="M282" s="15" t="n">
        <f aca="false">L282*(1+IF(M$3&lt;=$O$2,$D282,$D282-($D282-$I$265)*MIN(M$3-$O$2,$Q$2)/$Q$2))</f>
        <v>4143.22557263416</v>
      </c>
      <c r="N282" s="15" t="n">
        <f aca="false">M282*(1+IF(N$3&lt;=$O$2,$D282,$D282-($D282-$I$265)*MIN(N$3-$O$2,$Q$2)/$Q$2))</f>
        <v>4281.19498420288</v>
      </c>
      <c r="O282" s="15" t="n">
        <f aca="false">SUMPRODUCT(E282:N282,1/(1+$F$265)^$E$3:$N$3)*$E$2</f>
        <v>10576.0769102439</v>
      </c>
      <c r="P282" s="15" t="n">
        <f aca="false">N282*$E$2*(1+$I$265)/($F$265-$I$265)/(1+$F$265)^$N$3</f>
        <v>15782.0538484164</v>
      </c>
      <c r="Q282" s="15" t="n">
        <f aca="false">O282+P282</f>
        <v>26358.1307586603</v>
      </c>
      <c r="R282" s="15" t="n">
        <f aca="false">Q282-$G$2+$I$2</f>
        <v>19012.9307586603</v>
      </c>
      <c r="S282" s="42" t="n">
        <f aca="false">R282/$K$2</f>
        <v>81.0267664975935</v>
      </c>
      <c r="T282" s="43" t="n">
        <f aca="false">S282-$M$2</f>
        <v>0.0124899154498337</v>
      </c>
    </row>
    <row r="283" customFormat="false" ht="15" hidden="false" customHeight="false" outlineLevel="0" collapsed="false">
      <c r="A283" s="5" t="n">
        <v>17</v>
      </c>
      <c r="B283" s="25" t="n">
        <f aca="false">IF(T282&gt;0,B282,D282)</f>
        <v>-0.072906494140625</v>
      </c>
      <c r="C283" s="25" t="n">
        <f aca="false">IF(T282&gt;0,D282,C282)</f>
        <v>-0.0728836059570313</v>
      </c>
      <c r="D283" s="41" t="n">
        <f aca="false">(B283+C283)/2</f>
        <v>-0.0728950500488281</v>
      </c>
      <c r="E283" s="15" t="n">
        <f aca="false">$C$2*(1+IF(E$3&lt;=$O$2,$D283,$D283-($D283-$I$265)*MIN(E$3-$O$2,$Q$2)/$Q$2))</f>
        <v>6081.80847167969</v>
      </c>
      <c r="F283" s="15" t="n">
        <f aca="false">E283*(1+IF(F$3&lt;=$O$2,$D283,$D283-($D283-$I$265)*MIN(F$3-$O$2,$Q$2)/$Q$2))</f>
        <v>5638.47473874921</v>
      </c>
      <c r="G283" s="15" t="n">
        <f aca="false">F283*(1+IF(G$3&lt;=$O$2,$D283,$D283-($D283-$I$265)*MIN(G$3-$O$2,$Q$2)/$Q$2))</f>
        <v>5227.45784046903</v>
      </c>
      <c r="H283" s="15" t="n">
        <f aca="false">G283*(1+IF(H$3&lt;=$O$2,$D283,$D283-($D283-$I$265)*MIN(H$3-$O$2,$Q$2)/$Q$2))</f>
        <v>4846.4020395599</v>
      </c>
      <c r="I283" s="15" t="n">
        <f aca="false">H283*(1+IF(I$3&lt;=$O$2,$D283,$D283-($D283-$I$265)*MIN(I$3-$O$2,$Q$2)/$Q$2))</f>
        <v>4493.12332032944</v>
      </c>
      <c r="J283" s="15" t="n">
        <f aca="false">I283*(1+IF(J$3&lt;=$O$2,$D283,$D283-($D283-$I$265)*MIN(J$3-$O$2,$Q$2)/$Q$2))</f>
        <v>4261.02636219406</v>
      </c>
      <c r="K283" s="15" t="n">
        <f aca="false">J283*(1+IF(K$3&lt;=$O$2,$D283,$D283-($D283-$I$265)*MIN(K$3-$O$2,$Q$2)/$Q$2))</f>
        <v>4131.41859537958</v>
      </c>
      <c r="L283" s="15" t="n">
        <f aca="false">K283*(1+IF(L$3&lt;=$O$2,$D283,$D283-($D283-$I$265)*MIN(L$3-$O$2,$Q$2)/$Q$2))</f>
        <v>4093.50035280212</v>
      </c>
      <c r="M283" s="15" t="n">
        <f aca="false">L283*(1+IF(M$3&lt;=$O$2,$D283,$D283-($D283-$I$265)*MIN(M$3-$O$2,$Q$2)/$Q$2))</f>
        <v>4142.87201958229</v>
      </c>
      <c r="N283" s="15" t="n">
        <f aca="false">M283*(1+IF(N$3&lt;=$O$2,$D283,$D283-($D283-$I$265)*MIN(N$3-$O$2,$Q$2)/$Q$2))</f>
        <v>4280.82965783438</v>
      </c>
      <c r="O283" s="15" t="n">
        <f aca="false">SUMPRODUCT(E283:N283,1/(1+$F$265)^$E$3:$N$3)*$E$2</f>
        <v>10575.5493752823</v>
      </c>
      <c r="P283" s="15" t="n">
        <f aca="false">N283*$E$2*(1+$I$265)/($F$265-$I$265)/(1+$F$265)^$N$3</f>
        <v>15780.7071215233</v>
      </c>
      <c r="Q283" s="15" t="n">
        <f aca="false">O283+P283</f>
        <v>26356.2564968056</v>
      </c>
      <c r="R283" s="15" t="n">
        <f aca="false">Q283-$G$2+$I$2</f>
        <v>19011.0564968056</v>
      </c>
      <c r="S283" s="42" t="n">
        <f aca="false">R283/$K$2</f>
        <v>81.0187790189883</v>
      </c>
      <c r="T283" s="43" t="n">
        <f aca="false">S283-$M$2</f>
        <v>0.00450243684466045</v>
      </c>
    </row>
    <row r="284" customFormat="false" ht="15" hidden="false" customHeight="false" outlineLevel="0" collapsed="false">
      <c r="A284" s="5" t="n">
        <v>18</v>
      </c>
      <c r="B284" s="25" t="n">
        <f aca="false">IF(T283&gt;0,B283,D283)</f>
        <v>-0.072906494140625</v>
      </c>
      <c r="C284" s="25" t="n">
        <f aca="false">IF(T283&gt;0,D283,C283)</f>
        <v>-0.0728950500488281</v>
      </c>
      <c r="D284" s="41" t="n">
        <f aca="false">(B284+C284)/2</f>
        <v>-0.0729007720947266</v>
      </c>
      <c r="E284" s="15" t="n">
        <f aca="false">$C$2*(1+IF(E$3&lt;=$O$2,$D284,$D284-($D284-$I$265)*MIN(E$3-$O$2,$Q$2)/$Q$2))</f>
        <v>6081.77093505859</v>
      </c>
      <c r="F284" s="15" t="n">
        <f aca="false">E284*(1+IF(F$3&lt;=$O$2,$D284,$D284-($D284-$I$265)*MIN(F$3-$O$2,$Q$2)/$Q$2))</f>
        <v>5638.40513818956</v>
      </c>
      <c r="G284" s="15" t="n">
        <f aca="false">F284*(1+IF(G$3&lt;=$O$2,$D284,$D284-($D284-$I$265)*MIN(G$3-$O$2,$Q$2)/$Q$2))</f>
        <v>5227.36105023266</v>
      </c>
      <c r="H284" s="15" t="n">
        <f aca="false">G284*(1+IF(H$3&lt;=$O$2,$D284,$D284-($D284-$I$265)*MIN(H$3-$O$2,$Q$2)/$Q$2))</f>
        <v>4846.2823936528</v>
      </c>
      <c r="I284" s="15" t="n">
        <f aca="false">H284*(1+IF(I$3&lt;=$O$2,$D284,$D284-($D284-$I$265)*MIN(I$3-$O$2,$Q$2)/$Q$2))</f>
        <v>4492.98466536643</v>
      </c>
      <c r="J284" s="15" t="n">
        <f aca="false">I284*(1+IF(J$3&lt;=$O$2,$D284,$D284-($D284-$I$265)*MIN(J$3-$O$2,$Q$2)/$Q$2))</f>
        <v>4260.87430234579</v>
      </c>
      <c r="K284" s="15" t="n">
        <f aca="false">J284*(1+IF(K$3&lt;=$O$2,$D284,$D284-($D284-$I$265)*MIN(K$3-$O$2,$Q$2)/$Q$2))</f>
        <v>4131.25653218928</v>
      </c>
      <c r="L284" s="15" t="n">
        <f aca="false">K284*(1+IF(L$3&lt;=$O$2,$D284,$D284-($D284-$I$265)*MIN(L$3-$O$2,$Q$2)/$Q$2))</f>
        <v>4093.33032133523</v>
      </c>
      <c r="M284" s="15" t="n">
        <f aca="false">L284*(1+IF(M$3&lt;=$O$2,$D284,$D284-($D284-$I$265)*MIN(M$3-$O$2,$Q$2)/$Q$2))</f>
        <v>4142.69525292278</v>
      </c>
      <c r="N284" s="15" t="n">
        <f aca="false">M284*(1+IF(N$3&lt;=$O$2,$D284,$D284-($D284-$I$265)*MIN(N$3-$O$2,$Q$2)/$Q$2))</f>
        <v>4280.64700484511</v>
      </c>
      <c r="O284" s="15" t="n">
        <f aca="false">SUMPRODUCT(E284:N284,1/(1+$F$265)^$E$3:$N$3)*$E$2</f>
        <v>10575.2856181259</v>
      </c>
      <c r="P284" s="15" t="n">
        <f aca="false">N284*$E$2*(1+$I$265)/($F$265-$I$265)/(1+$F$265)^$N$3</f>
        <v>15780.0337956592</v>
      </c>
      <c r="Q284" s="15" t="n">
        <f aca="false">O284+P284</f>
        <v>26355.319413785</v>
      </c>
      <c r="R284" s="15" t="n">
        <f aca="false">Q284-$G$2+$I$2</f>
        <v>19010.119413785</v>
      </c>
      <c r="S284" s="42" t="n">
        <f aca="false">R284/$K$2</f>
        <v>81.0147854838484</v>
      </c>
      <c r="T284" s="43" t="n">
        <f aca="false">S284-$M$2</f>
        <v>0.000508901704748155</v>
      </c>
    </row>
    <row r="285" customFormat="false" ht="15" hidden="false" customHeight="false" outlineLevel="0" collapsed="false">
      <c r="A285" s="5" t="n">
        <v>19</v>
      </c>
      <c r="B285" s="25" t="n">
        <f aca="false">IF(T284&gt;0,B284,D284)</f>
        <v>-0.072906494140625</v>
      </c>
      <c r="C285" s="25" t="n">
        <f aca="false">IF(T284&gt;0,D284,C284)</f>
        <v>-0.0729007720947266</v>
      </c>
      <c r="D285" s="41" t="n">
        <f aca="false">(B285+C285)/2</f>
        <v>-0.0729036331176758</v>
      </c>
      <c r="E285" s="15" t="n">
        <f aca="false">$C$2*(1+IF(E$3&lt;=$O$2,$D285,$D285-($D285-$I$265)*MIN(E$3-$O$2,$Q$2)/$Q$2))</f>
        <v>6081.75216674805</v>
      </c>
      <c r="F285" s="15" t="n">
        <f aca="false">E285*(1+IF(F$3&lt;=$O$2,$D285,$D285-($D285-$I$265)*MIN(F$3-$O$2,$Q$2)/$Q$2))</f>
        <v>5638.37033807082</v>
      </c>
      <c r="G285" s="15" t="n">
        <f aca="false">F285*(1+IF(G$3&lt;=$O$2,$D285,$D285-($D285-$I$265)*MIN(G$3-$O$2,$Q$2)/$Q$2))</f>
        <v>5227.31265556252</v>
      </c>
      <c r="H285" s="15" t="n">
        <f aca="false">G285*(1+IF(H$3&lt;=$O$2,$D285,$D285-($D285-$I$265)*MIN(H$3-$O$2,$Q$2)/$Q$2))</f>
        <v>4846.22257153</v>
      </c>
      <c r="I285" s="15" t="n">
        <f aca="false">H285*(1+IF(I$3&lt;=$O$2,$D285,$D285-($D285-$I$265)*MIN(I$3-$O$2,$Q$2)/$Q$2))</f>
        <v>4492.91533916858</v>
      </c>
      <c r="J285" s="15" t="n">
        <f aca="false">I285*(1+IF(J$3&lt;=$O$2,$D285,$D285-($D285-$I$265)*MIN(J$3-$O$2,$Q$2)/$Q$2))</f>
        <v>4260.79827411502</v>
      </c>
      <c r="K285" s="15" t="n">
        <f aca="false">J285*(1+IF(K$3&lt;=$O$2,$D285,$D285-($D285-$I$265)*MIN(K$3-$O$2,$Q$2)/$Q$2))</f>
        <v>4131.17550262753</v>
      </c>
      <c r="L285" s="15" t="n">
        <f aca="false">K285*(1+IF(L$3&lt;=$O$2,$D285,$D285-($D285-$I$265)*MIN(L$3-$O$2,$Q$2)/$Q$2))</f>
        <v>4093.24530789472</v>
      </c>
      <c r="M285" s="15" t="n">
        <f aca="false">L285*(1+IF(M$3&lt;=$O$2,$D285,$D285-($D285-$I$265)*MIN(M$3-$O$2,$Q$2)/$Q$2))</f>
        <v>4142.60687205955</v>
      </c>
      <c r="N285" s="15" t="n">
        <f aca="false">M285*(1+IF(N$3&lt;=$O$2,$D285,$D285-($D285-$I$265)*MIN(N$3-$O$2,$Q$2)/$Q$2))</f>
        <v>4280.55568089913</v>
      </c>
      <c r="O285" s="15" t="n">
        <f aca="false">SUMPRODUCT(E285:N285,1/(1+$F$265)^$E$3:$N$3)*$E$2</f>
        <v>10575.1537421286</v>
      </c>
      <c r="P285" s="15" t="n">
        <f aca="false">N285*$E$2*(1+$I$265)/($F$265-$I$265)/(1+$F$265)^$N$3</f>
        <v>15779.6971421224</v>
      </c>
      <c r="Q285" s="15" t="n">
        <f aca="false">O285+P285</f>
        <v>26354.850884251</v>
      </c>
      <c r="R285" s="15" t="n">
        <f aca="false">Q285-$G$2+$I$2</f>
        <v>19009.650884251</v>
      </c>
      <c r="S285" s="42" t="n">
        <f aca="false">R285/$K$2</f>
        <v>81.0127887673173</v>
      </c>
      <c r="T285" s="43" t="n">
        <f aca="false">S285-$M$2</f>
        <v>-0.00148781482631932</v>
      </c>
    </row>
    <row r="286" customFormat="false" ht="15" hidden="false" customHeight="false" outlineLevel="0" collapsed="false">
      <c r="A286" s="5" t="n">
        <v>20</v>
      </c>
      <c r="B286" s="25" t="n">
        <f aca="false">IF(T285&gt;0,B285,D285)</f>
        <v>-0.0729036331176758</v>
      </c>
      <c r="C286" s="25" t="n">
        <f aca="false">IF(T285&gt;0,D285,C285)</f>
        <v>-0.0729007720947266</v>
      </c>
      <c r="D286" s="41" t="n">
        <f aca="false">(B286+C286)/2</f>
        <v>-0.0729022026062012</v>
      </c>
      <c r="E286" s="15" t="n">
        <f aca="false">$C$2*(1+IF(E$3&lt;=$O$2,$D286,$D286-($D286-$I$265)*MIN(E$3-$O$2,$Q$2)/$Q$2))</f>
        <v>6081.76155090332</v>
      </c>
      <c r="F286" s="15" t="n">
        <f aca="false">E286*(1+IF(F$3&lt;=$O$2,$D286,$D286-($D286-$I$265)*MIN(F$3-$O$2,$Q$2)/$Q$2))</f>
        <v>5638.38773811676</v>
      </c>
      <c r="G286" s="15" t="n">
        <f aca="false">F286*(1+IF(G$3&lt;=$O$2,$D286,$D286-($D286-$I$265)*MIN(G$3-$O$2,$Q$2)/$Q$2))</f>
        <v>5227.33685286025</v>
      </c>
      <c r="H286" s="15" t="n">
        <f aca="false">G286*(1+IF(H$3&lt;=$O$2,$D286,$D286-($D286-$I$265)*MIN(H$3-$O$2,$Q$2)/$Q$2))</f>
        <v>4846.25248252217</v>
      </c>
      <c r="I286" s="15" t="n">
        <f aca="false">H286*(1+IF(I$3&lt;=$O$2,$D286,$D286-($D286-$I$265)*MIN(I$3-$O$2,$Q$2)/$Q$2))</f>
        <v>4492.95000216054</v>
      </c>
      <c r="J286" s="15" t="n">
        <f aca="false">I286*(1+IF(J$3&lt;=$O$2,$D286,$D286-($D286-$I$265)*MIN(J$3-$O$2,$Q$2)/$Q$2))</f>
        <v>4260.83628808929</v>
      </c>
      <c r="K286" s="15" t="n">
        <f aca="false">J286*(1+IF(K$3&lt;=$O$2,$D286,$D286-($D286-$I$265)*MIN(K$3-$O$2,$Q$2)/$Q$2))</f>
        <v>4131.21601723896</v>
      </c>
      <c r="L286" s="15" t="n">
        <f aca="false">K286*(1+IF(L$3&lt;=$O$2,$D286,$D286-($D286-$I$265)*MIN(L$3-$O$2,$Q$2)/$Q$2))</f>
        <v>4093.2878144239</v>
      </c>
      <c r="M286" s="15" t="n">
        <f aca="false">L286*(1+IF(M$3&lt;=$O$2,$D286,$D286-($D286-$I$265)*MIN(M$3-$O$2,$Q$2)/$Q$2))</f>
        <v>4142.65106228563</v>
      </c>
      <c r="N286" s="15" t="n">
        <f aca="false">M286*(1+IF(N$3&lt;=$O$2,$D286,$D286-($D286-$I$265)*MIN(N$3-$O$2,$Q$2)/$Q$2))</f>
        <v>4280.60134265974</v>
      </c>
      <c r="O286" s="15" t="n">
        <f aca="false">SUMPRODUCT(E286:N286,1/(1+$F$265)^$E$3:$N$3)*$E$2</f>
        <v>10575.2196799122</v>
      </c>
      <c r="P286" s="15" t="n">
        <f aca="false">N286*$E$2*(1+$I$265)/($F$265-$I$265)/(1+$F$265)^$N$3</f>
        <v>15779.8654681078</v>
      </c>
      <c r="Q286" s="15" t="n">
        <f aca="false">O286+P286</f>
        <v>26355.08514802</v>
      </c>
      <c r="R286" s="15" t="n">
        <f aca="false">Q286-$G$2+$I$2</f>
        <v>19009.88514802</v>
      </c>
      <c r="S286" s="42" t="n">
        <f aca="false">R286/$K$2</f>
        <v>81.0137871213296</v>
      </c>
      <c r="T286" s="43" t="n">
        <f aca="false">S286-$M$2</f>
        <v>-0.000489460814023346</v>
      </c>
    </row>
    <row r="287" customFormat="false" ht="15" hidden="false" customHeight="false" outlineLevel="0" collapsed="false">
      <c r="A287" s="5" t="n">
        <v>21</v>
      </c>
      <c r="B287" s="25" t="n">
        <f aca="false">IF(T286&gt;0,B286,D286)</f>
        <v>-0.0729022026062012</v>
      </c>
      <c r="C287" s="25" t="n">
        <f aca="false">IF(T286&gt;0,D286,C286)</f>
        <v>-0.0729007720947266</v>
      </c>
      <c r="D287" s="41" t="n">
        <f aca="false">(B287+C287)/2</f>
        <v>-0.0729014873504639</v>
      </c>
      <c r="E287" s="15" t="n">
        <f aca="false">$C$2*(1+IF(E$3&lt;=$O$2,$D287,$D287-($D287-$I$265)*MIN(E$3-$O$2,$Q$2)/$Q$2))</f>
        <v>6081.76624298096</v>
      </c>
      <c r="F287" s="15" t="n">
        <f aca="false">E287*(1+IF(F$3&lt;=$O$2,$D287,$D287-($D287-$I$265)*MIN(F$3-$O$2,$Q$2)/$Q$2))</f>
        <v>5638.3964381498</v>
      </c>
      <c r="G287" s="15" t="n">
        <f aca="false">F287*(1+IF(G$3&lt;=$O$2,$D287,$D287-($D287-$I$265)*MIN(G$3-$O$2,$Q$2)/$Q$2))</f>
        <v>5227.34895153712</v>
      </c>
      <c r="H287" s="15" t="n">
        <f aca="false">G287*(1+IF(H$3&lt;=$O$2,$D287,$D287-($D287-$I$265)*MIN(H$3-$O$2,$Q$2)/$Q$2))</f>
        <v>4846.26743807018</v>
      </c>
      <c r="I287" s="15" t="n">
        <f aca="false">H287*(1+IF(I$3&lt;=$O$2,$D287,$D287-($D287-$I$265)*MIN(I$3-$O$2,$Q$2)/$Q$2))</f>
        <v>4492.96733373674</v>
      </c>
      <c r="J287" s="15" t="n">
        <f aca="false">I287*(1+IF(J$3&lt;=$O$2,$D287,$D287-($D287-$I$265)*MIN(J$3-$O$2,$Q$2)/$Q$2))</f>
        <v>4260.85529518226</v>
      </c>
      <c r="K287" s="15" t="n">
        <f aca="false">J287*(1+IF(K$3&lt;=$O$2,$D287,$D287-($D287-$I$265)*MIN(K$3-$O$2,$Q$2)/$Q$2))</f>
        <v>4131.23627467176</v>
      </c>
      <c r="L287" s="15" t="n">
        <f aca="false">K287*(1+IF(L$3&lt;=$O$2,$D287,$D287-($D287-$I$265)*MIN(L$3-$O$2,$Q$2)/$Q$2))</f>
        <v>4093.3090678318</v>
      </c>
      <c r="M287" s="15" t="n">
        <f aca="false">L287*(1+IF(M$3&lt;=$O$2,$D287,$D287-($D287-$I$265)*MIN(M$3-$O$2,$Q$2)/$Q$2))</f>
        <v>4142.67315755282</v>
      </c>
      <c r="N287" s="15" t="n">
        <f aca="false">M287*(1+IF(N$3&lt;=$O$2,$D287,$D287-($D287-$I$265)*MIN(N$3-$O$2,$Q$2)/$Q$2))</f>
        <v>4280.62417369933</v>
      </c>
      <c r="O287" s="15" t="n">
        <f aca="false">SUMPRODUCT(E287:N287,1/(1+$F$265)^$E$3:$N$3)*$E$2</f>
        <v>10575.2526489653</v>
      </c>
      <c r="P287" s="15" t="n">
        <f aca="false">N287*$E$2*(1+$I$265)/($F$265-$I$265)/(1+$F$265)^$N$3</f>
        <v>15779.9496316878</v>
      </c>
      <c r="Q287" s="15" t="n">
        <f aca="false">O287+P287</f>
        <v>26355.202280653</v>
      </c>
      <c r="R287" s="15" t="n">
        <f aca="false">Q287-$G$2+$I$2</f>
        <v>19010.002280653</v>
      </c>
      <c r="S287" s="42" t="n">
        <f aca="false">R287/$K$2</f>
        <v>81.0142863015257</v>
      </c>
      <c r="T287" s="43" t="n">
        <f aca="false">S287-$M$2</f>
        <v>9.71938210625467E-006</v>
      </c>
    </row>
    <row r="288" customFormat="false" ht="15" hidden="false" customHeight="false" outlineLevel="0" collapsed="false">
      <c r="A288" s="5" t="n">
        <v>22</v>
      </c>
      <c r="B288" s="25" t="n">
        <f aca="false">IF(T287&gt;0,B287,D287)</f>
        <v>-0.0729022026062012</v>
      </c>
      <c r="C288" s="25" t="n">
        <f aca="false">IF(T287&gt;0,D287,C287)</f>
        <v>-0.0729014873504639</v>
      </c>
      <c r="D288" s="41" t="n">
        <f aca="false">(B288+C288)/2</f>
        <v>-0.0729018449783325</v>
      </c>
      <c r="E288" s="15" t="n">
        <f aca="false">$C$2*(1+IF(E$3&lt;=$O$2,$D288,$D288-($D288-$I$265)*MIN(E$3-$O$2,$Q$2)/$Q$2))</f>
        <v>6081.76389694214</v>
      </c>
      <c r="F288" s="15" t="n">
        <f aca="false">E288*(1+IF(F$3&lt;=$O$2,$D288,$D288-($D288-$I$265)*MIN(F$3-$O$2,$Q$2)/$Q$2))</f>
        <v>5638.39208813244</v>
      </c>
      <c r="G288" s="15" t="n">
        <f aca="false">F288*(1+IF(G$3&lt;=$O$2,$D288,$D288-($D288-$I$265)*MIN(G$3-$O$2,$Q$2)/$Q$2))</f>
        <v>5227.34290219636</v>
      </c>
      <c r="H288" s="15" t="n">
        <f aca="false">G288*(1+IF(H$3&lt;=$O$2,$D288,$D288-($D288-$I$265)*MIN(H$3-$O$2,$Q$2)/$Q$2))</f>
        <v>4846.25996029185</v>
      </c>
      <c r="I288" s="15" t="n">
        <f aca="false">H288*(1+IF(I$3&lt;=$O$2,$D288,$D288-($D288-$I$265)*MIN(I$3-$O$2,$Q$2)/$Q$2))</f>
        <v>4492.95866794195</v>
      </c>
      <c r="J288" s="15" t="n">
        <f aca="false">I288*(1+IF(J$3&lt;=$O$2,$D288,$D288-($D288-$I$265)*MIN(J$3-$O$2,$Q$2)/$Q$2))</f>
        <v>4260.84579162696</v>
      </c>
      <c r="K288" s="15" t="n">
        <f aca="false">J288*(1+IF(K$3&lt;=$O$2,$D288,$D288-($D288-$I$265)*MIN(K$3-$O$2,$Q$2)/$Q$2))</f>
        <v>4131.22614594477</v>
      </c>
      <c r="L288" s="15" t="n">
        <f aca="false">K288*(1+IF(L$3&lt;=$O$2,$D288,$D288-($D288-$I$265)*MIN(L$3-$O$2,$Q$2)/$Q$2))</f>
        <v>4093.29844111591</v>
      </c>
      <c r="M288" s="15" t="n">
        <f aca="false">L288*(1+IF(M$3&lt;=$O$2,$D288,$D288-($D288-$I$265)*MIN(M$3-$O$2,$Q$2)/$Q$2))</f>
        <v>4142.66210990638</v>
      </c>
      <c r="N288" s="15" t="n">
        <f aca="false">M288*(1+IF(N$3&lt;=$O$2,$D288,$D288-($D288-$I$265)*MIN(N$3-$O$2,$Q$2)/$Q$2))</f>
        <v>4280.61275816626</v>
      </c>
      <c r="O288" s="15" t="n">
        <f aca="false">SUMPRODUCT(E288:N288,1/(1+$F$265)^$E$3:$N$3)*$E$2</f>
        <v>10575.2361644253</v>
      </c>
      <c r="P288" s="15" t="n">
        <f aca="false">N288*$E$2*(1+$I$265)/($F$265-$I$265)/(1+$F$265)^$N$3</f>
        <v>15779.9075498489</v>
      </c>
      <c r="Q288" s="15" t="n">
        <f aca="false">O288+P288</f>
        <v>26355.1437142741</v>
      </c>
      <c r="R288" s="15" t="n">
        <f aca="false">Q288-$G$2+$I$2</f>
        <v>19009.9437142741</v>
      </c>
      <c r="S288" s="42" t="n">
        <f aca="false">R288/$K$2</f>
        <v>81.0140367111618</v>
      </c>
      <c r="T288" s="43" t="n">
        <f aca="false">S288-$M$2</f>
        <v>-0.000239870981786794</v>
      </c>
    </row>
    <row r="289" customFormat="false" ht="15" hidden="false" customHeight="false" outlineLevel="0" collapsed="false">
      <c r="A289" s="5" t="n">
        <v>23</v>
      </c>
      <c r="B289" s="25" t="n">
        <f aca="false">IF(T288&gt;0,B288,D288)</f>
        <v>-0.0729018449783325</v>
      </c>
      <c r="C289" s="25" t="n">
        <f aca="false">IF(T288&gt;0,D288,C288)</f>
        <v>-0.0729014873504639</v>
      </c>
      <c r="D289" s="41" t="n">
        <f aca="false">(B289+C289)/2</f>
        <v>-0.0729016661643982</v>
      </c>
      <c r="E289" s="15" t="n">
        <f aca="false">$C$2*(1+IF(E$3&lt;=$O$2,$D289,$D289-($D289-$I$265)*MIN(E$3-$O$2,$Q$2)/$Q$2))</f>
        <v>6081.76506996155</v>
      </c>
      <c r="F289" s="15" t="n">
        <f aca="false">E289*(1+IF(F$3&lt;=$O$2,$D289,$D289-($D289-$I$265)*MIN(F$3-$O$2,$Q$2)/$Q$2))</f>
        <v>5638.39426314091</v>
      </c>
      <c r="G289" s="15" t="n">
        <f aca="false">F289*(1+IF(G$3&lt;=$O$2,$D289,$D289-($D289-$I$265)*MIN(G$3-$O$2,$Q$2)/$Q$2))</f>
        <v>5227.34592686616</v>
      </c>
      <c r="H289" s="15" t="n">
        <f aca="false">G289*(1+IF(H$3&lt;=$O$2,$D289,$D289-($D289-$I$265)*MIN(H$3-$O$2,$Q$2)/$Q$2))</f>
        <v>4846.26369917993</v>
      </c>
      <c r="I289" s="15" t="n">
        <f aca="false">H289*(1+IF(I$3&lt;=$O$2,$D289,$D289-($D289-$I$265)*MIN(I$3-$O$2,$Q$2)/$Q$2))</f>
        <v>4492.96300083768</v>
      </c>
      <c r="J289" s="15" t="n">
        <f aca="false">I289*(1+IF(J$3&lt;=$O$2,$D289,$D289-($D289-$I$265)*MIN(J$3-$O$2,$Q$2)/$Q$2))</f>
        <v>4260.85054340241</v>
      </c>
      <c r="K289" s="15" t="n">
        <f aca="false">J289*(1+IF(K$3&lt;=$O$2,$D289,$D289-($D289-$I$265)*MIN(K$3-$O$2,$Q$2)/$Q$2))</f>
        <v>4131.23121030562</v>
      </c>
      <c r="L289" s="15" t="n">
        <f aca="false">K289*(1+IF(L$3&lt;=$O$2,$D289,$D289-($D289-$I$265)*MIN(L$3-$O$2,$Q$2)/$Q$2))</f>
        <v>4093.30375447087</v>
      </c>
      <c r="M289" s="15" t="n">
        <f aca="false">L289*(1+IF(M$3&lt;=$O$2,$D289,$D289-($D289-$I$265)*MIN(M$3-$O$2,$Q$2)/$Q$2))</f>
        <v>4142.66763372639</v>
      </c>
      <c r="N289" s="15" t="n">
        <f aca="false">M289*(1+IF(N$3&lt;=$O$2,$D289,$D289-($D289-$I$265)*MIN(N$3-$O$2,$Q$2)/$Q$2))</f>
        <v>4280.61846592948</v>
      </c>
      <c r="O289" s="15" t="n">
        <f aca="false">SUMPRODUCT(E289:N289,1/(1+$F$265)^$E$3:$N$3)*$E$2</f>
        <v>10575.2444066919</v>
      </c>
      <c r="P289" s="15" t="n">
        <f aca="false">N289*$E$2*(1+$I$265)/($F$265-$I$265)/(1+$F$265)^$N$3</f>
        <v>15779.9285907561</v>
      </c>
      <c r="Q289" s="15" t="n">
        <f aca="false">O289+P289</f>
        <v>26355.172997448</v>
      </c>
      <c r="R289" s="15" t="n">
        <f aca="false">Q289-$G$2+$I$2</f>
        <v>19009.972997448</v>
      </c>
      <c r="S289" s="42" t="n">
        <f aca="false">R289/$K$2</f>
        <v>81.0141615062773</v>
      </c>
      <c r="T289" s="43" t="n">
        <f aca="false">S289-$M$2</f>
        <v>-0.000115075866304437</v>
      </c>
    </row>
    <row r="290" customFormat="false" ht="15" hidden="false" customHeight="false" outlineLevel="0" collapsed="false">
      <c r="A290" s="5" t="n">
        <v>24</v>
      </c>
      <c r="B290" s="25" t="n">
        <f aca="false">IF(T289&gt;0,B289,D289)</f>
        <v>-0.0729016661643982</v>
      </c>
      <c r="C290" s="25" t="n">
        <f aca="false">IF(T289&gt;0,D289,C289)</f>
        <v>-0.0729014873504639</v>
      </c>
      <c r="D290" s="41" t="n">
        <f aca="false">(B290+C290)/2</f>
        <v>-0.072901576757431</v>
      </c>
      <c r="E290" s="15" t="n">
        <f aca="false">$C$2*(1+IF(E$3&lt;=$O$2,$D290,$D290-($D290-$I$265)*MIN(E$3-$O$2,$Q$2)/$Q$2))</f>
        <v>6081.76565647125</v>
      </c>
      <c r="F290" s="15" t="n">
        <f aca="false">E290*(1+IF(F$3&lt;=$O$2,$D290,$D290-($D290-$I$265)*MIN(F$3-$O$2,$Q$2)/$Q$2))</f>
        <v>5638.39535064531</v>
      </c>
      <c r="G290" s="15" t="n">
        <f aca="false">F290*(1+IF(G$3&lt;=$O$2,$D290,$D290-($D290-$I$265)*MIN(G$3-$O$2,$Q$2)/$Q$2))</f>
        <v>5227.34743920149</v>
      </c>
      <c r="H290" s="15" t="n">
        <f aca="false">G290*(1+IF(H$3&lt;=$O$2,$D290,$D290-($D290-$I$265)*MIN(H$3-$O$2,$Q$2)/$Q$2))</f>
        <v>4846.26556862479</v>
      </c>
      <c r="I290" s="15" t="n">
        <f aca="false">H290*(1+IF(I$3&lt;=$O$2,$D290,$D290-($D290-$I$265)*MIN(I$3-$O$2,$Q$2)/$Q$2))</f>
        <v>4492.96516728679</v>
      </c>
      <c r="J290" s="15" t="n">
        <f aca="false">I290*(1+IF(J$3&lt;=$O$2,$D290,$D290-($D290-$I$265)*MIN(J$3-$O$2,$Q$2)/$Q$2))</f>
        <v>4260.85291929178</v>
      </c>
      <c r="K290" s="15" t="n">
        <f aca="false">J290*(1+IF(K$3&lt;=$O$2,$D290,$D290-($D290-$I$265)*MIN(K$3-$O$2,$Q$2)/$Q$2))</f>
        <v>4131.23374248803</v>
      </c>
      <c r="L290" s="15" t="n">
        <f aca="false">K290*(1+IF(L$3&lt;=$O$2,$D290,$D290-($D290-$I$265)*MIN(L$3-$O$2,$Q$2)/$Q$2))</f>
        <v>4093.30641115059</v>
      </c>
      <c r="M290" s="15" t="n">
        <f aca="false">L290*(1+IF(M$3&lt;=$O$2,$D290,$D290-($D290-$I$265)*MIN(M$3-$O$2,$Q$2)/$Q$2))</f>
        <v>4142.6703956388</v>
      </c>
      <c r="N290" s="15" t="n">
        <f aca="false">M290*(1+IF(N$3&lt;=$O$2,$D290,$D290-($D290-$I$265)*MIN(N$3-$O$2,$Q$2)/$Q$2))</f>
        <v>4280.62131981357</v>
      </c>
      <c r="O290" s="15" t="n">
        <f aca="false">SUMPRODUCT(E290:N290,1/(1+$F$265)^$E$3:$N$3)*$E$2</f>
        <v>10575.2485278277</v>
      </c>
      <c r="P290" s="15" t="n">
        <f aca="false">N290*$E$2*(1+$I$265)/($F$265-$I$265)/(1+$F$265)^$N$3</f>
        <v>15779.9391112189</v>
      </c>
      <c r="Q290" s="15" t="n">
        <f aca="false">O290+P290</f>
        <v>26355.1876390466</v>
      </c>
      <c r="R290" s="15" t="n">
        <f aca="false">Q290-$G$2+$I$2</f>
        <v>19009.9876390466</v>
      </c>
      <c r="S290" s="42" t="n">
        <f aca="false">R290/$K$2</f>
        <v>81.0142239038849</v>
      </c>
      <c r="T290" s="43" t="n">
        <f aca="false">S290-$M$2</f>
        <v>-5.26782587115804E-005</v>
      </c>
    </row>
    <row r="292" customFormat="false" ht="15" hidden="false" customHeight="false" outlineLevel="0" collapsed="false">
      <c r="A292" s="38" t="s">
        <v>192</v>
      </c>
      <c r="E292" s="5" t="s">
        <v>11</v>
      </c>
      <c r="F292" s="12" t="n">
        <f aca="false">Sensitivity!$B$11</f>
        <v>0.0762368036285737</v>
      </c>
      <c r="G292" s="5" t="s">
        <v>12</v>
      </c>
      <c r="I292" s="12" t="n">
        <f aca="false">Sensitivity!$G$9</f>
        <v>0.0383</v>
      </c>
    </row>
    <row r="293" customFormat="false" ht="23.85" hidden="false" customHeight="false" outlineLevel="0" collapsed="false">
      <c r="A293" s="38" t="s">
        <v>163</v>
      </c>
      <c r="B293" s="28" t="s">
        <v>164</v>
      </c>
      <c r="C293" s="28" t="s">
        <v>165</v>
      </c>
      <c r="D293" s="28" t="s">
        <v>166</v>
      </c>
      <c r="E293" s="28" t="s">
        <v>167</v>
      </c>
      <c r="F293" s="28" t="s">
        <v>168</v>
      </c>
      <c r="G293" s="28" t="s">
        <v>169</v>
      </c>
      <c r="H293" s="28" t="s">
        <v>170</v>
      </c>
      <c r="I293" s="28" t="s">
        <v>171</v>
      </c>
      <c r="J293" s="28" t="s">
        <v>172</v>
      </c>
      <c r="K293" s="28" t="s">
        <v>173</v>
      </c>
      <c r="L293" s="28" t="s">
        <v>174</v>
      </c>
      <c r="M293" s="28" t="s">
        <v>175</v>
      </c>
      <c r="N293" s="28" t="s">
        <v>176</v>
      </c>
      <c r="O293" s="28" t="s">
        <v>177</v>
      </c>
      <c r="P293" s="28" t="s">
        <v>178</v>
      </c>
      <c r="Q293" s="28" t="s">
        <v>179</v>
      </c>
      <c r="R293" s="28" t="s">
        <v>180</v>
      </c>
      <c r="S293" s="28" t="s">
        <v>181</v>
      </c>
      <c r="T293" s="28" t="s">
        <v>182</v>
      </c>
    </row>
    <row r="294" customFormat="false" ht="15" hidden="false" customHeight="false" outlineLevel="0" collapsed="false">
      <c r="A294" s="5" t="n">
        <v>1</v>
      </c>
      <c r="B294" s="24" t="n">
        <v>-0.5</v>
      </c>
      <c r="C294" s="24" t="n">
        <v>1</v>
      </c>
      <c r="D294" s="41" t="n">
        <f aca="false">(B294+C294)/2</f>
        <v>0.25</v>
      </c>
      <c r="E294" s="15" t="n">
        <f aca="false">$C$2*(1+IF(E$3&lt;=$O$2,$D294,$D294-($D294-$I$292)*MIN(E$3-$O$2,$Q$2)/$Q$2))</f>
        <v>8200</v>
      </c>
      <c r="F294" s="15" t="n">
        <f aca="false">E294*(1+IF(F$3&lt;=$O$2,$D294,$D294-($D294-$I$292)*MIN(F$3-$O$2,$Q$2)/$Q$2))</f>
        <v>10250</v>
      </c>
      <c r="G294" s="15" t="n">
        <f aca="false">F294*(1+IF(G$3&lt;=$O$2,$D294,$D294-($D294-$I$292)*MIN(G$3-$O$2,$Q$2)/$Q$2))</f>
        <v>12812.5</v>
      </c>
      <c r="H294" s="15" t="n">
        <f aca="false">G294*(1+IF(H$3&lt;=$O$2,$D294,$D294-($D294-$I$292)*MIN(H$3-$O$2,$Q$2)/$Q$2))</f>
        <v>16015.625</v>
      </c>
      <c r="I294" s="15" t="n">
        <f aca="false">H294*(1+IF(I$3&lt;=$O$2,$D294,$D294-($D294-$I$292)*MIN(I$3-$O$2,$Q$2)/$Q$2))</f>
        <v>20019.53125</v>
      </c>
      <c r="J294" s="15" t="n">
        <f aca="false">I294*(1+IF(J$3&lt;=$O$2,$D294,$D294-($D294-$I$292)*MIN(J$3-$O$2,$Q$2)/$Q$2))</f>
        <v>24176.787109375</v>
      </c>
      <c r="K294" s="15" t="n">
        <f aca="false">J294*(1+IF(K$3&lt;=$O$2,$D294,$D294-($D294-$I$292)*MIN(K$3-$O$2,$Q$2)/$Q$2))</f>
        <v>28173.6935542969</v>
      </c>
      <c r="L294" s="15" t="n">
        <f aca="false">K294*(1+IF(L$3&lt;=$O$2,$D294,$D294-($D294-$I$292)*MIN(L$3-$O$2,$Q$2)/$Q$2))</f>
        <v>31638.4943876043</v>
      </c>
      <c r="M294" s="15" t="n">
        <f aca="false">L294*(1+IF(M$3&lt;=$O$2,$D294,$D294-($D294-$I$292)*MIN(M$3-$O$2,$Q$2)/$Q$2))</f>
        <v>34189.8225750207</v>
      </c>
      <c r="N294" s="15" t="n">
        <f aca="false">M294*(1+IF(N$3&lt;=$O$2,$D294,$D294-($D294-$I$292)*MIN(N$3-$O$2,$Q$2)/$Q$2))</f>
        <v>35499.292779644</v>
      </c>
      <c r="O294" s="15" t="n">
        <f aca="false">SUMPRODUCT(E294:N294,1/(1+$F$292)^$E$3:$N$3)*$E$2</f>
        <v>43818.1089715239</v>
      </c>
      <c r="P294" s="15" t="n">
        <f aca="false">N294*$E$2*(1+$I$292)/($F$292-$I$292)/(1+$F$292)^$N$3</f>
        <v>148827.646116568</v>
      </c>
      <c r="Q294" s="15" t="n">
        <f aca="false">O294+P294</f>
        <v>192645.755088092</v>
      </c>
      <c r="R294" s="15" t="n">
        <f aca="false">Q294-$G$2+$I$2</f>
        <v>185300.555088092</v>
      </c>
      <c r="S294" s="42" t="n">
        <f aca="false">R294/$K$2</f>
        <v>789.689133126323</v>
      </c>
      <c r="T294" s="43" t="n">
        <f aca="false">S294-$M$2</f>
        <v>708.674856544179</v>
      </c>
    </row>
    <row r="295" customFormat="false" ht="15" hidden="false" customHeight="false" outlineLevel="0" collapsed="false">
      <c r="A295" s="5" t="n">
        <v>2</v>
      </c>
      <c r="B295" s="25" t="n">
        <f aca="false">IF(T294&gt;0,B294,D294)</f>
        <v>-0.5</v>
      </c>
      <c r="C295" s="25" t="n">
        <f aca="false">IF(T294&gt;0,D294,C294)</f>
        <v>0.25</v>
      </c>
      <c r="D295" s="41" t="n">
        <f aca="false">(B295+C295)/2</f>
        <v>-0.125</v>
      </c>
      <c r="E295" s="15" t="n">
        <f aca="false">$C$2*(1+IF(E$3&lt;=$O$2,$D295,$D295-($D295-$I$292)*MIN(E$3-$O$2,$Q$2)/$Q$2))</f>
        <v>5740</v>
      </c>
      <c r="F295" s="15" t="n">
        <f aca="false">E295*(1+IF(F$3&lt;=$O$2,$D295,$D295-($D295-$I$292)*MIN(F$3-$O$2,$Q$2)/$Q$2))</f>
        <v>5022.5</v>
      </c>
      <c r="G295" s="15" t="n">
        <f aca="false">F295*(1+IF(G$3&lt;=$O$2,$D295,$D295-($D295-$I$292)*MIN(G$3-$O$2,$Q$2)/$Q$2))</f>
        <v>4394.6875</v>
      </c>
      <c r="H295" s="15" t="n">
        <f aca="false">G295*(1+IF(H$3&lt;=$O$2,$D295,$D295-($D295-$I$292)*MIN(H$3-$O$2,$Q$2)/$Q$2))</f>
        <v>3845.3515625</v>
      </c>
      <c r="I295" s="15" t="n">
        <f aca="false">H295*(1+IF(I$3&lt;=$O$2,$D295,$D295-($D295-$I$292)*MIN(I$3-$O$2,$Q$2)/$Q$2))</f>
        <v>3364.6826171875</v>
      </c>
      <c r="J295" s="15" t="n">
        <f aca="false">I295*(1+IF(J$3&lt;=$O$2,$D295,$D295-($D295-$I$292)*MIN(J$3-$O$2,$Q$2)/$Q$2))</f>
        <v>3053.98782431641</v>
      </c>
      <c r="K295" s="15" t="n">
        <f aca="false">J295*(1+IF(K$3&lt;=$O$2,$D295,$D295-($D295-$I$292)*MIN(K$3-$O$2,$Q$2)/$Q$2))</f>
        <v>2871.7258309612</v>
      </c>
      <c r="L295" s="15" t="n">
        <f aca="false">K295*(1+IF(L$3&lt;=$O$2,$D295,$D295-($D295-$I$292)*MIN(L$3-$O$2,$Q$2)/$Q$2))</f>
        <v>2794.13179900863</v>
      </c>
      <c r="M295" s="15" t="n">
        <f aca="false">L295*(1+IF(M$3&lt;=$O$2,$D295,$D295-($D295-$I$292)*MIN(M$3-$O$2,$Q$2)/$Q$2))</f>
        <v>2809.89070235504</v>
      </c>
      <c r="N295" s="15" t="n">
        <f aca="false">M295*(1+IF(N$3&lt;=$O$2,$D295,$D295-($D295-$I$292)*MIN(N$3-$O$2,$Q$2)/$Q$2))</f>
        <v>2917.50951625524</v>
      </c>
      <c r="O295" s="15" t="n">
        <f aca="false">SUMPRODUCT(E295:N295,1/(1+$F$292)^$E$3:$N$3)*$E$2</f>
        <v>8455.33939960482</v>
      </c>
      <c r="P295" s="15" t="n">
        <f aca="false">N295*$E$2*(1+$I$292)/($F$292-$I$292)/(1+$F$292)^$N$3</f>
        <v>12231.4006795069</v>
      </c>
      <c r="Q295" s="15" t="n">
        <f aca="false">O295+P295</f>
        <v>20686.7400791118</v>
      </c>
      <c r="R295" s="15" t="n">
        <f aca="false">Q295-$G$2+$I$2</f>
        <v>13341.5400791118</v>
      </c>
      <c r="S295" s="42" t="n">
        <f aca="false">R295/$K$2</f>
        <v>56.8571918990486</v>
      </c>
      <c r="T295" s="43" t="n">
        <f aca="false">S295-$M$2</f>
        <v>-24.157084683095</v>
      </c>
    </row>
    <row r="296" customFormat="false" ht="15" hidden="false" customHeight="false" outlineLevel="0" collapsed="false">
      <c r="A296" s="5" t="n">
        <v>3</v>
      </c>
      <c r="B296" s="25" t="n">
        <f aca="false">IF(T295&gt;0,B295,D295)</f>
        <v>-0.125</v>
      </c>
      <c r="C296" s="25" t="n">
        <f aca="false">IF(T295&gt;0,D295,C295)</f>
        <v>0.25</v>
      </c>
      <c r="D296" s="41" t="n">
        <f aca="false">(B296+C296)/2</f>
        <v>0.0625</v>
      </c>
      <c r="E296" s="15" t="n">
        <f aca="false">$C$2*(1+IF(E$3&lt;=$O$2,$D296,$D296-($D296-$I$292)*MIN(E$3-$O$2,$Q$2)/$Q$2))</f>
        <v>6970</v>
      </c>
      <c r="F296" s="15" t="n">
        <f aca="false">E296*(1+IF(F$3&lt;=$O$2,$D296,$D296-($D296-$I$292)*MIN(F$3-$O$2,$Q$2)/$Q$2))</f>
        <v>7405.625</v>
      </c>
      <c r="G296" s="15" t="n">
        <f aca="false">F296*(1+IF(G$3&lt;=$O$2,$D296,$D296-($D296-$I$292)*MIN(G$3-$O$2,$Q$2)/$Q$2))</f>
        <v>7868.4765625</v>
      </c>
      <c r="H296" s="15" t="n">
        <f aca="false">G296*(1+IF(H$3&lt;=$O$2,$D296,$D296-($D296-$I$292)*MIN(H$3-$O$2,$Q$2)/$Q$2))</f>
        <v>8360.25634765625</v>
      </c>
      <c r="I296" s="15" t="n">
        <f aca="false">H296*(1+IF(I$3&lt;=$O$2,$D296,$D296-($D296-$I$292)*MIN(I$3-$O$2,$Q$2)/$Q$2))</f>
        <v>8882.77236938477</v>
      </c>
      <c r="J296" s="15" t="n">
        <f aca="false">I296*(1+IF(J$3&lt;=$O$2,$D296,$D296-($D296-$I$292)*MIN(J$3-$O$2,$Q$2)/$Q$2))</f>
        <v>9394.95302420349</v>
      </c>
      <c r="K296" s="15" t="n">
        <f aca="false">J296*(1+IF(K$3&lt;=$O$2,$D296,$D296-($D296-$I$292)*MIN(K$3-$O$2,$Q$2)/$Q$2))</f>
        <v>9891.19444294192</v>
      </c>
      <c r="L296" s="15" t="n">
        <f aca="false">K296*(1+IF(L$3&lt;=$O$2,$D296,$D296-($D296-$I$292)*MIN(L$3-$O$2,$Q$2)/$Q$2))</f>
        <v>10365.7739523143</v>
      </c>
      <c r="M296" s="15" t="n">
        <f aca="false">L296*(1+IF(M$3&lt;=$O$2,$D296,$D296-($D296-$I$292)*MIN(M$3-$O$2,$Q$2)/$Q$2))</f>
        <v>10812.9534406171</v>
      </c>
      <c r="N296" s="15" t="n">
        <f aca="false">M296*(1+IF(N$3&lt;=$O$2,$D296,$D296-($D296-$I$292)*MIN(N$3-$O$2,$Q$2)/$Q$2))</f>
        <v>11227.0895573927</v>
      </c>
      <c r="O296" s="15" t="n">
        <f aca="false">SUMPRODUCT(E296:N296,1/(1+$F$292)^$E$3:$N$3)*$E$2</f>
        <v>19241.6898807972</v>
      </c>
      <c r="P296" s="15" t="n">
        <f aca="false">N296*$E$2*(1+$I$292)/($F$292-$I$292)/(1+$F$292)^$N$3</f>
        <v>47068.580265486</v>
      </c>
      <c r="Q296" s="15" t="n">
        <f aca="false">O296+P296</f>
        <v>66310.2701462832</v>
      </c>
      <c r="R296" s="15" t="n">
        <f aca="false">Q296-$G$2+$I$2</f>
        <v>58965.0701462832</v>
      </c>
      <c r="S296" s="42" t="n">
        <f aca="false">R296/$K$2</f>
        <v>251.289452999289</v>
      </c>
      <c r="T296" s="43" t="n">
        <f aca="false">S296-$M$2</f>
        <v>170.275176417145</v>
      </c>
    </row>
    <row r="297" customFormat="false" ht="15" hidden="false" customHeight="false" outlineLevel="0" collapsed="false">
      <c r="A297" s="5" t="n">
        <v>4</v>
      </c>
      <c r="B297" s="25" t="n">
        <f aca="false">IF(T296&gt;0,B296,D296)</f>
        <v>-0.125</v>
      </c>
      <c r="C297" s="25" t="n">
        <f aca="false">IF(T296&gt;0,D296,C296)</f>
        <v>0.0625</v>
      </c>
      <c r="D297" s="41" t="n">
        <f aca="false">(B297+C297)/2</f>
        <v>-0.03125</v>
      </c>
      <c r="E297" s="15" t="n">
        <f aca="false">$C$2*(1+IF(E$3&lt;=$O$2,$D297,$D297-($D297-$I$292)*MIN(E$3-$O$2,$Q$2)/$Q$2))</f>
        <v>6355</v>
      </c>
      <c r="F297" s="15" t="n">
        <f aca="false">E297*(1+IF(F$3&lt;=$O$2,$D297,$D297-($D297-$I$292)*MIN(F$3-$O$2,$Q$2)/$Q$2))</f>
        <v>6156.40625</v>
      </c>
      <c r="G297" s="15" t="n">
        <f aca="false">F297*(1+IF(G$3&lt;=$O$2,$D297,$D297-($D297-$I$292)*MIN(G$3-$O$2,$Q$2)/$Q$2))</f>
        <v>5964.0185546875</v>
      </c>
      <c r="H297" s="15" t="n">
        <f aca="false">G297*(1+IF(H$3&lt;=$O$2,$D297,$D297-($D297-$I$292)*MIN(H$3-$O$2,$Q$2)/$Q$2))</f>
        <v>5777.64297485352</v>
      </c>
      <c r="I297" s="15" t="n">
        <f aca="false">H297*(1+IF(I$3&lt;=$O$2,$D297,$D297-($D297-$I$292)*MIN(I$3-$O$2,$Q$2)/$Q$2))</f>
        <v>5597.09163188934</v>
      </c>
      <c r="J297" s="15" t="n">
        <f aca="false">I297*(1+IF(J$3&lt;=$O$2,$D297,$D297-($D297-$I$292)*MIN(J$3-$O$2,$Q$2)/$Q$2))</f>
        <v>5500.03806299238</v>
      </c>
      <c r="K297" s="15" t="n">
        <f aca="false">J297*(1+IF(K$3&lt;=$O$2,$D297,$D297-($D297-$I$292)*MIN(K$3-$O$2,$Q$2)/$Q$2))</f>
        <v>5481.17293243632</v>
      </c>
      <c r="L297" s="15" t="n">
        <f aca="false">K297*(1+IF(L$3&lt;=$O$2,$D297,$D297-($D297-$I$292)*MIN(L$3-$O$2,$Q$2)/$Q$2))</f>
        <v>5538.61562476825</v>
      </c>
      <c r="M297" s="15" t="n">
        <f aca="false">L297*(1+IF(M$3&lt;=$O$2,$D297,$D297-($D297-$I$292)*MIN(M$3-$O$2,$Q$2)/$Q$2))</f>
        <v>5673.70245985635</v>
      </c>
      <c r="N297" s="15" t="n">
        <f aca="false">M297*(1+IF(N$3&lt;=$O$2,$D297,$D297-($D297-$I$292)*MIN(N$3-$O$2,$Q$2)/$Q$2))</f>
        <v>5891.00526406885</v>
      </c>
      <c r="O297" s="15" t="n">
        <f aca="false">SUMPRODUCT(E297:N297,1/(1+$F$292)^$E$3:$N$3)*$E$2</f>
        <v>12721.7459306886</v>
      </c>
      <c r="P297" s="15" t="n">
        <f aca="false">N297*$E$2*(1+$I$292)/($F$292-$I$292)/(1+$F$292)^$N$3</f>
        <v>24697.5186844967</v>
      </c>
      <c r="Q297" s="15" t="n">
        <f aca="false">O297+P297</f>
        <v>37419.2646151852</v>
      </c>
      <c r="R297" s="15" t="n">
        <f aca="false">Q297-$G$2+$I$2</f>
        <v>30074.0646151852</v>
      </c>
      <c r="S297" s="42" t="n">
        <f aca="false">R297/$K$2</f>
        <v>128.165628021245</v>
      </c>
      <c r="T297" s="43" t="n">
        <f aca="false">S297-$M$2</f>
        <v>47.1513514391018</v>
      </c>
    </row>
    <row r="298" customFormat="false" ht="15" hidden="false" customHeight="false" outlineLevel="0" collapsed="false">
      <c r="A298" s="5" t="n">
        <v>5</v>
      </c>
      <c r="B298" s="25" t="n">
        <f aca="false">IF(T297&gt;0,B297,D297)</f>
        <v>-0.125</v>
      </c>
      <c r="C298" s="25" t="n">
        <f aca="false">IF(T297&gt;0,D297,C297)</f>
        <v>-0.03125</v>
      </c>
      <c r="D298" s="41" t="n">
        <f aca="false">(B298+C298)/2</f>
        <v>-0.078125</v>
      </c>
      <c r="E298" s="15" t="n">
        <f aca="false">$C$2*(1+IF(E$3&lt;=$O$2,$D298,$D298-($D298-$I$292)*MIN(E$3-$O$2,$Q$2)/$Q$2))</f>
        <v>6047.5</v>
      </c>
      <c r="F298" s="15" t="n">
        <f aca="false">E298*(1+IF(F$3&lt;=$O$2,$D298,$D298-($D298-$I$292)*MIN(F$3-$O$2,$Q$2)/$Q$2))</f>
        <v>5575.0390625</v>
      </c>
      <c r="G298" s="15" t="n">
        <f aca="false">F298*(1+IF(G$3&lt;=$O$2,$D298,$D298-($D298-$I$292)*MIN(G$3-$O$2,$Q$2)/$Q$2))</f>
        <v>5139.48913574219</v>
      </c>
      <c r="H298" s="15" t="n">
        <f aca="false">G298*(1+IF(H$3&lt;=$O$2,$D298,$D298-($D298-$I$292)*MIN(H$3-$O$2,$Q$2)/$Q$2))</f>
        <v>4737.96654701233</v>
      </c>
      <c r="I298" s="15" t="n">
        <f aca="false">H298*(1+IF(I$3&lt;=$O$2,$D298,$D298-($D298-$I$292)*MIN(I$3-$O$2,$Q$2)/$Q$2))</f>
        <v>4367.81291052699</v>
      </c>
      <c r="J298" s="15" t="n">
        <f aca="false">I298*(1+IF(J$3&lt;=$O$2,$D298,$D298-($D298-$I$292)*MIN(J$3-$O$2,$Q$2)/$Q$2))</f>
        <v>4128.28205051369</v>
      </c>
      <c r="K298" s="15" t="n">
        <f aca="false">J298*(1+IF(K$3&lt;=$O$2,$D298,$D298-($D298-$I$292)*MIN(K$3-$O$2,$Q$2)/$Q$2))</f>
        <v>3998.01411040973</v>
      </c>
      <c r="L298" s="15" t="n">
        <f aca="false">K298*(1+IF(L$3&lt;=$O$2,$D298,$D298-($D298-$I$292)*MIN(L$3-$O$2,$Q$2)/$Q$2))</f>
        <v>3964.95053371664</v>
      </c>
      <c r="M298" s="15" t="n">
        <f aca="false">L298*(1+IF(M$3&lt;=$O$2,$D298,$D298-($D298-$I$292)*MIN(M$3-$O$2,$Q$2)/$Q$2))</f>
        <v>4024.4842659804</v>
      </c>
      <c r="N298" s="15" t="n">
        <f aca="false">M298*(1+IF(N$3&lt;=$O$2,$D298,$D298-($D298-$I$292)*MIN(N$3-$O$2,$Q$2)/$Q$2))</f>
        <v>4178.62201336745</v>
      </c>
      <c r="O298" s="15" t="n">
        <f aca="false">SUMPRODUCT(E298:N298,1/(1+$F$292)^$E$3:$N$3)*$E$2</f>
        <v>10361.0786398472</v>
      </c>
      <c r="P298" s="15" t="n">
        <f aca="false">N298*$E$2*(1+$I$292)/($F$292-$I$292)/(1+$F$292)^$N$3</f>
        <v>17518.5033155634</v>
      </c>
      <c r="Q298" s="15" t="n">
        <f aca="false">O298+P298</f>
        <v>27879.5819554106</v>
      </c>
      <c r="R298" s="15" t="n">
        <f aca="false">Q298-$G$2+$I$2</f>
        <v>20534.3819554106</v>
      </c>
      <c r="S298" s="42" t="n">
        <f aca="false">R298/$K$2</f>
        <v>87.5106838074178</v>
      </c>
      <c r="T298" s="43" t="n">
        <f aca="false">S298-$M$2</f>
        <v>6.49640722527413</v>
      </c>
    </row>
    <row r="299" customFormat="false" ht="15" hidden="false" customHeight="false" outlineLevel="0" collapsed="false">
      <c r="A299" s="5" t="n">
        <v>6</v>
      </c>
      <c r="B299" s="25" t="n">
        <f aca="false">IF(T298&gt;0,B298,D298)</f>
        <v>-0.125</v>
      </c>
      <c r="C299" s="25" t="n">
        <f aca="false">IF(T298&gt;0,D298,C298)</f>
        <v>-0.078125</v>
      </c>
      <c r="D299" s="41" t="n">
        <f aca="false">(B299+C299)/2</f>
        <v>-0.1015625</v>
      </c>
      <c r="E299" s="15" t="n">
        <f aca="false">$C$2*(1+IF(E$3&lt;=$O$2,$D299,$D299-($D299-$I$292)*MIN(E$3-$O$2,$Q$2)/$Q$2))</f>
        <v>5893.75</v>
      </c>
      <c r="F299" s="15" t="n">
        <f aca="false">E299*(1+IF(F$3&lt;=$O$2,$D299,$D299-($D299-$I$292)*MIN(F$3-$O$2,$Q$2)/$Q$2))</f>
        <v>5295.166015625</v>
      </c>
      <c r="G299" s="15" t="n">
        <f aca="false">F299*(1+IF(G$3&lt;=$O$2,$D299,$D299-($D299-$I$292)*MIN(G$3-$O$2,$Q$2)/$Q$2))</f>
        <v>4757.37571716309</v>
      </c>
      <c r="H299" s="15" t="n">
        <f aca="false">G299*(1+IF(H$3&lt;=$O$2,$D299,$D299-($D299-$I$292)*MIN(H$3-$O$2,$Q$2)/$Q$2))</f>
        <v>4274.20474588871</v>
      </c>
      <c r="I299" s="15" t="n">
        <f aca="false">H299*(1+IF(I$3&lt;=$O$2,$D299,$D299-($D299-$I$292)*MIN(I$3-$O$2,$Q$2)/$Q$2))</f>
        <v>3840.10582638439</v>
      </c>
      <c r="J299" s="15" t="n">
        <f aca="false">I299*(1+IF(J$3&lt;=$O$2,$D299,$D299-($D299-$I$292)*MIN(J$3-$O$2,$Q$2)/$Q$2))</f>
        <v>3557.51243862076</v>
      </c>
      <c r="K299" s="15" t="n">
        <f aca="false">J299*(1+IF(K$3&lt;=$O$2,$D299,$D299-($D299-$I$292)*MIN(K$3-$O$2,$Q$2)/$Q$2))</f>
        <v>3395.22761495198</v>
      </c>
      <c r="L299" s="15" t="n">
        <f aca="false">K299*(1+IF(L$3&lt;=$O$2,$D299,$D299-($D299-$I$292)*MIN(L$3-$O$2,$Q$2)/$Q$2))</f>
        <v>3335.31882368615</v>
      </c>
      <c r="M299" s="15" t="n">
        <f aca="false">L299*(1+IF(M$3&lt;=$O$2,$D299,$D299-($D299-$I$292)*MIN(M$3-$O$2,$Q$2)/$Q$2))</f>
        <v>3369.76432883777</v>
      </c>
      <c r="N299" s="15" t="n">
        <f aca="false">M299*(1+IF(N$3&lt;=$O$2,$D299,$D299-($D299-$I$292)*MIN(N$3-$O$2,$Q$2)/$Q$2))</f>
        <v>3498.82630263226</v>
      </c>
      <c r="O299" s="15" t="n">
        <f aca="false">SUMPRODUCT(E299:N299,1/(1+$F$292)^$E$3:$N$3)*$E$2</f>
        <v>9357.10406345172</v>
      </c>
      <c r="P299" s="15" t="n">
        <f aca="false">N299*$E$2*(1+$I$292)/($F$292-$I$292)/(1+$F$292)^$N$3</f>
        <v>14668.5199061229</v>
      </c>
      <c r="Q299" s="15" t="n">
        <f aca="false">O299+P299</f>
        <v>24025.6239695746</v>
      </c>
      <c r="R299" s="15" t="n">
        <f aca="false">Q299-$G$2+$I$2</f>
        <v>16680.4239695746</v>
      </c>
      <c r="S299" s="42" t="n">
        <f aca="false">R299/$K$2</f>
        <v>71.086400893137</v>
      </c>
      <c r="T299" s="43" t="n">
        <f aca="false">S299-$M$2</f>
        <v>-9.9278756890066</v>
      </c>
    </row>
    <row r="300" customFormat="false" ht="15" hidden="false" customHeight="false" outlineLevel="0" collapsed="false">
      <c r="A300" s="5" t="n">
        <v>7</v>
      </c>
      <c r="B300" s="25" t="n">
        <f aca="false">IF(T299&gt;0,B299,D299)</f>
        <v>-0.1015625</v>
      </c>
      <c r="C300" s="25" t="n">
        <f aca="false">IF(T299&gt;0,D299,C299)</f>
        <v>-0.078125</v>
      </c>
      <c r="D300" s="41" t="n">
        <f aca="false">(B300+C300)/2</f>
        <v>-0.08984375</v>
      </c>
      <c r="E300" s="15" t="n">
        <f aca="false">$C$2*(1+IF(E$3&lt;=$O$2,$D300,$D300-($D300-$I$292)*MIN(E$3-$O$2,$Q$2)/$Q$2))</f>
        <v>5970.625</v>
      </c>
      <c r="F300" s="15" t="n">
        <f aca="false">E300*(1+IF(F$3&lt;=$O$2,$D300,$D300-($D300-$I$292)*MIN(F$3-$O$2,$Q$2)/$Q$2))</f>
        <v>5434.20166015625</v>
      </c>
      <c r="G300" s="15" t="n">
        <f aca="false">F300*(1+IF(G$3&lt;=$O$2,$D300,$D300-($D300-$I$292)*MIN(G$3-$O$2,$Q$2)/$Q$2))</f>
        <v>4945.97260475159</v>
      </c>
      <c r="H300" s="15" t="n">
        <f aca="false">G300*(1+IF(H$3&lt;=$O$2,$D300,$D300-($D300-$I$292)*MIN(H$3-$O$2,$Q$2)/$Q$2))</f>
        <v>4501.60787854344</v>
      </c>
      <c r="I300" s="15" t="n">
        <f aca="false">H300*(1+IF(I$3&lt;=$O$2,$D300,$D300-($D300-$I$292)*MIN(I$3-$O$2,$Q$2)/$Q$2))</f>
        <v>4097.16654570555</v>
      </c>
      <c r="J300" s="15" t="n">
        <f aca="false">I300*(1+IF(J$3&lt;=$O$2,$D300,$D300-($D300-$I$292)*MIN(J$3-$O$2,$Q$2)/$Q$2))</f>
        <v>3834.06699597307</v>
      </c>
      <c r="K300" s="15" t="n">
        <f aca="false">J300*(1+IF(K$3&lt;=$O$2,$D300,$D300-($D300-$I$292)*MIN(K$3-$O$2,$Q$2)/$Q$2))</f>
        <v>3686.1247283497</v>
      </c>
      <c r="L300" s="15" t="n">
        <f aca="false">K300*(1+IF(L$3&lt;=$O$2,$D300,$D300-($D300-$I$292)*MIN(L$3-$O$2,$Q$2)/$Q$2))</f>
        <v>3638.36176718211</v>
      </c>
      <c r="M300" s="15" t="n">
        <f aca="false">L300*(1+IF(M$3&lt;=$O$2,$D300,$D300-($D300-$I$292)*MIN(M$3-$O$2,$Q$2)/$Q$2))</f>
        <v>3684.46435872452</v>
      </c>
      <c r="N300" s="15" t="n">
        <f aca="false">M300*(1+IF(N$3&lt;=$O$2,$D300,$D300-($D300-$I$292)*MIN(N$3-$O$2,$Q$2)/$Q$2))</f>
        <v>3825.57934366367</v>
      </c>
      <c r="O300" s="15" t="n">
        <f aca="false">SUMPRODUCT(E300:N300,1/(1+$F$292)^$E$3:$N$3)*$E$2</f>
        <v>9845.63608345315</v>
      </c>
      <c r="P300" s="15" t="n">
        <f aca="false">N300*$E$2*(1+$I$292)/($F$292-$I$292)/(1+$F$292)^$N$3</f>
        <v>16038.4031390086</v>
      </c>
      <c r="Q300" s="15" t="n">
        <f aca="false">O300+P300</f>
        <v>25884.0392224617</v>
      </c>
      <c r="R300" s="15" t="n">
        <f aca="false">Q300-$G$2+$I$2</f>
        <v>18538.8392224617</v>
      </c>
      <c r="S300" s="42" t="n">
        <f aca="false">R300/$K$2</f>
        <v>79.0063465691956</v>
      </c>
      <c r="T300" s="43" t="n">
        <f aca="false">S300-$M$2</f>
        <v>-2.00793001294807</v>
      </c>
    </row>
    <row r="301" customFormat="false" ht="15" hidden="false" customHeight="false" outlineLevel="0" collapsed="false">
      <c r="A301" s="5" t="n">
        <v>8</v>
      </c>
      <c r="B301" s="25" t="n">
        <f aca="false">IF(T300&gt;0,B300,D300)</f>
        <v>-0.08984375</v>
      </c>
      <c r="C301" s="25" t="n">
        <f aca="false">IF(T300&gt;0,D300,C300)</f>
        <v>-0.078125</v>
      </c>
      <c r="D301" s="41" t="n">
        <f aca="false">(B301+C301)/2</f>
        <v>-0.083984375</v>
      </c>
      <c r="E301" s="15" t="n">
        <f aca="false">$C$2*(1+IF(E$3&lt;=$O$2,$D301,$D301-($D301-$I$292)*MIN(E$3-$O$2,$Q$2)/$Q$2))</f>
        <v>6009.0625</v>
      </c>
      <c r="F301" s="15" t="n">
        <f aca="false">E301*(1+IF(F$3&lt;=$O$2,$D301,$D301-($D301-$I$292)*MIN(F$3-$O$2,$Q$2)/$Q$2))</f>
        <v>5504.39514160156</v>
      </c>
      <c r="G301" s="15" t="n">
        <f aca="false">F301*(1+IF(G$3&lt;=$O$2,$D301,$D301-($D301-$I$292)*MIN(G$3-$O$2,$Q$2)/$Q$2))</f>
        <v>5042.11195588112</v>
      </c>
      <c r="H301" s="15" t="n">
        <f aca="false">G301*(1+IF(H$3&lt;=$O$2,$D301,$D301-($D301-$I$292)*MIN(H$3-$O$2,$Q$2)/$Q$2))</f>
        <v>4618.65333458642</v>
      </c>
      <c r="I301" s="15" t="n">
        <f aca="false">H301*(1+IF(I$3&lt;=$O$2,$D301,$D301-($D301-$I$292)*MIN(I$3-$O$2,$Q$2)/$Q$2))</f>
        <v>4230.75862093951</v>
      </c>
      <c r="J301" s="15" t="n">
        <f aca="false">I301*(1+IF(J$3&lt;=$O$2,$D301,$D301-($D301-$I$292)*MIN(J$3-$O$2,$Q$2)/$Q$2))</f>
        <v>3978.91213713153</v>
      </c>
      <c r="K301" s="15" t="n">
        <f aca="false">J301*(1+IF(K$3&lt;=$O$2,$D301,$D301-($D301-$I$292)*MIN(K$3-$O$2,$Q$2)/$Q$2))</f>
        <v>3839.36920166224</v>
      </c>
      <c r="L301" s="15" t="n">
        <f aca="false">K301*(1+IF(L$3&lt;=$O$2,$D301,$D301-($D301-$I$292)*MIN(L$3-$O$2,$Q$2)/$Q$2))</f>
        <v>3798.6190967981</v>
      </c>
      <c r="M301" s="15" t="n">
        <f aca="false">L301*(1+IF(M$3&lt;=$O$2,$D301,$D301-($D301-$I$292)*MIN(M$3-$O$2,$Q$2)/$Q$2))</f>
        <v>3851.20385578247</v>
      </c>
      <c r="N301" s="15" t="n">
        <f aca="false">M301*(1+IF(N$3&lt;=$O$2,$D301,$D301-($D301-$I$292)*MIN(N$3-$O$2,$Q$2)/$Q$2))</f>
        <v>3998.70496345893</v>
      </c>
      <c r="O301" s="15" t="n">
        <f aca="false">SUMPRODUCT(E301:N301,1/(1+$F$292)^$E$3:$N$3)*$E$2</f>
        <v>10099.9051925209</v>
      </c>
      <c r="P301" s="15" t="n">
        <f aca="false">N301*$E$2*(1+$I$292)/($F$292-$I$292)/(1+$F$292)^$N$3</f>
        <v>16764.2169921616</v>
      </c>
      <c r="Q301" s="15" t="n">
        <f aca="false">O301+P301</f>
        <v>26864.1221846826</v>
      </c>
      <c r="R301" s="15" t="n">
        <f aca="false">Q301-$G$2+$I$2</f>
        <v>19518.9221846826</v>
      </c>
      <c r="S301" s="42" t="n">
        <f aca="false">R301/$K$2</f>
        <v>83.1831331117945</v>
      </c>
      <c r="T301" s="43" t="n">
        <f aca="false">S301-$M$2</f>
        <v>2.16885652965085</v>
      </c>
    </row>
    <row r="302" customFormat="false" ht="15" hidden="false" customHeight="false" outlineLevel="0" collapsed="false">
      <c r="A302" s="5" t="n">
        <v>9</v>
      </c>
      <c r="B302" s="25" t="n">
        <f aca="false">IF(T301&gt;0,B301,D301)</f>
        <v>-0.08984375</v>
      </c>
      <c r="C302" s="25" t="n">
        <f aca="false">IF(T301&gt;0,D301,C301)</f>
        <v>-0.083984375</v>
      </c>
      <c r="D302" s="41" t="n">
        <f aca="false">(B302+C302)/2</f>
        <v>-0.0869140625</v>
      </c>
      <c r="E302" s="15" t="n">
        <f aca="false">$C$2*(1+IF(E$3&lt;=$O$2,$D302,$D302-($D302-$I$292)*MIN(E$3-$O$2,$Q$2)/$Q$2))</f>
        <v>5989.84375</v>
      </c>
      <c r="F302" s="15" t="n">
        <f aca="false">E302*(1+IF(F$3&lt;=$O$2,$D302,$D302-($D302-$I$292)*MIN(F$3-$O$2,$Q$2)/$Q$2))</f>
        <v>5469.24209594727</v>
      </c>
      <c r="G302" s="15" t="n">
        <f aca="false">F302*(1+IF(G$3&lt;=$O$2,$D302,$D302-($D302-$I$292)*MIN(G$3-$O$2,$Q$2)/$Q$2))</f>
        <v>4993.88804659247</v>
      </c>
      <c r="H302" s="15" t="n">
        <f aca="false">G302*(1+IF(H$3&lt;=$O$2,$D302,$D302-($D302-$I$292)*MIN(H$3-$O$2,$Q$2)/$Q$2))</f>
        <v>4559.84894879293</v>
      </c>
      <c r="I302" s="15" t="n">
        <f aca="false">H302*(1+IF(I$3&lt;=$O$2,$D302,$D302-($D302-$I$292)*MIN(I$3-$O$2,$Q$2)/$Q$2))</f>
        <v>4163.53395226699</v>
      </c>
      <c r="J302" s="15" t="n">
        <f aca="false">I302*(1+IF(J$3&lt;=$O$2,$D302,$D302-($D302-$I$292)*MIN(J$3-$O$2,$Q$2)/$Q$2))</f>
        <v>3905.93090222279</v>
      </c>
      <c r="K302" s="15" t="n">
        <f aca="false">J302*(1+IF(K$3&lt;=$O$2,$D302,$D302-($D302-$I$292)*MIN(K$3-$O$2,$Q$2)/$Q$2))</f>
        <v>3762.08157011096</v>
      </c>
      <c r="L302" s="15" t="n">
        <f aca="false">K302*(1+IF(L$3&lt;=$O$2,$D302,$D302-($D302-$I$292)*MIN(L$3-$O$2,$Q$2)/$Q$2))</f>
        <v>3717.74308750622</v>
      </c>
      <c r="M302" s="15" t="n">
        <f aca="false">L302*(1+IF(M$3&lt;=$O$2,$D302,$D302-($D302-$I$292)*MIN(M$3-$O$2,$Q$2)/$Q$2))</f>
        <v>3767.02990469412</v>
      </c>
      <c r="N302" s="15" t="n">
        <f aca="false">M302*(1+IF(N$3&lt;=$O$2,$D302,$D302-($D302-$I$292)*MIN(N$3-$O$2,$Q$2)/$Q$2))</f>
        <v>3911.3071500439</v>
      </c>
      <c r="O302" s="15" t="n">
        <f aca="false">SUMPRODUCT(E302:N302,1/(1+$F$292)^$E$3:$N$3)*$E$2</f>
        <v>9971.91879865195</v>
      </c>
      <c r="P302" s="15" t="n">
        <f aca="false">N302*$E$2*(1+$I$292)/($F$292-$I$292)/(1+$F$292)^$N$3</f>
        <v>16397.8093871698</v>
      </c>
      <c r="Q302" s="15" t="n">
        <f aca="false">O302+P302</f>
        <v>26369.7281858217</v>
      </c>
      <c r="R302" s="15" t="n">
        <f aca="false">Q302-$G$2+$I$2</f>
        <v>19024.5281858217</v>
      </c>
      <c r="S302" s="42" t="n">
        <f aca="false">R302/$K$2</f>
        <v>81.0761908622277</v>
      </c>
      <c r="T302" s="43" t="n">
        <f aca="false">S302-$M$2</f>
        <v>0.0619142800840535</v>
      </c>
    </row>
    <row r="303" customFormat="false" ht="15" hidden="false" customHeight="false" outlineLevel="0" collapsed="false">
      <c r="A303" s="5" t="n">
        <v>10</v>
      </c>
      <c r="B303" s="25" t="n">
        <f aca="false">IF(T302&gt;0,B302,D302)</f>
        <v>-0.08984375</v>
      </c>
      <c r="C303" s="25" t="n">
        <f aca="false">IF(T302&gt;0,D302,C302)</f>
        <v>-0.0869140625</v>
      </c>
      <c r="D303" s="41" t="n">
        <f aca="false">(B303+C303)/2</f>
        <v>-0.08837890625</v>
      </c>
      <c r="E303" s="15" t="n">
        <f aca="false">$C$2*(1+IF(E$3&lt;=$O$2,$D303,$D303-($D303-$I$292)*MIN(E$3-$O$2,$Q$2)/$Q$2))</f>
        <v>5980.234375</v>
      </c>
      <c r="F303" s="15" t="n">
        <f aca="false">E303*(1+IF(F$3&lt;=$O$2,$D303,$D303-($D303-$I$292)*MIN(F$3-$O$2,$Q$2)/$Q$2))</f>
        <v>5451.70780181885</v>
      </c>
      <c r="G303" s="15" t="n">
        <f aca="false">F303*(1+IF(G$3&lt;=$O$2,$D303,$D303-($D303-$I$292)*MIN(G$3-$O$2,$Q$2)/$Q$2))</f>
        <v>4969.89182909951</v>
      </c>
      <c r="H303" s="15" t="n">
        <f aca="false">G303*(1+IF(H$3&lt;=$O$2,$D303,$D303-($D303-$I$292)*MIN(H$3-$O$2,$Q$2)/$Q$2))</f>
        <v>4530.65822506288</v>
      </c>
      <c r="I303" s="15" t="n">
        <f aca="false">H303*(1+IF(I$3&lt;=$O$2,$D303,$D303-($D303-$I$292)*MIN(I$3-$O$2,$Q$2)/$Q$2))</f>
        <v>4130.24360653926</v>
      </c>
      <c r="J303" s="15" t="n">
        <f aca="false">I303*(1+IF(J$3&lt;=$O$2,$D303,$D303-($D303-$I$292)*MIN(J$3-$O$2,$Q$2)/$Q$2))</f>
        <v>3869.86014257175</v>
      </c>
      <c r="K303" s="15" t="n">
        <f aca="false">J303*(1+IF(K$3&lt;=$O$2,$D303,$D303-($D303-$I$292)*MIN(K$3-$O$2,$Q$2)/$Q$2))</f>
        <v>3723.93799591137</v>
      </c>
      <c r="L303" s="15" t="n">
        <f aca="false">K303*(1+IF(L$3&lt;=$O$2,$D303,$D303-($D303-$I$292)*MIN(L$3-$O$2,$Q$2)/$Q$2))</f>
        <v>3677.86706424883</v>
      </c>
      <c r="M303" s="15" t="n">
        <f aca="false">L303*(1+IF(M$3&lt;=$O$2,$D303,$D303-($D303-$I$292)*MIN(M$3-$O$2,$Q$2)/$Q$2))</f>
        <v>3725.54773740317</v>
      </c>
      <c r="N303" s="15" t="n">
        <f aca="false">M303*(1+IF(N$3&lt;=$O$2,$D303,$D303-($D303-$I$292)*MIN(N$3-$O$2,$Q$2)/$Q$2))</f>
        <v>3868.23621574572</v>
      </c>
      <c r="O303" s="15" t="n">
        <f aca="false">SUMPRODUCT(E303:N303,1/(1+$F$292)^$E$3:$N$3)*$E$2</f>
        <v>9908.56586756105</v>
      </c>
      <c r="P303" s="15" t="n">
        <f aca="false">N303*$E$2*(1+$I$292)/($F$292-$I$292)/(1+$F$292)^$N$3</f>
        <v>16217.2383034744</v>
      </c>
      <c r="Q303" s="15" t="n">
        <f aca="false">O303+P303</f>
        <v>26125.8041710354</v>
      </c>
      <c r="R303" s="15" t="n">
        <f aca="false">Q303-$G$2+$I$2</f>
        <v>18780.6041710354</v>
      </c>
      <c r="S303" s="42" t="n">
        <f aca="false">R303/$K$2</f>
        <v>80.0366681058403</v>
      </c>
      <c r="T303" s="43" t="n">
        <f aca="false">S303-$M$2</f>
        <v>-0.977608476303303</v>
      </c>
    </row>
    <row r="304" customFormat="false" ht="15" hidden="false" customHeight="false" outlineLevel="0" collapsed="false">
      <c r="A304" s="5" t="n">
        <v>11</v>
      </c>
      <c r="B304" s="25" t="n">
        <f aca="false">IF(T303&gt;0,B303,D303)</f>
        <v>-0.08837890625</v>
      </c>
      <c r="C304" s="25" t="n">
        <f aca="false">IF(T303&gt;0,D303,C303)</f>
        <v>-0.0869140625</v>
      </c>
      <c r="D304" s="41" t="n">
        <f aca="false">(B304+C304)/2</f>
        <v>-0.087646484375</v>
      </c>
      <c r="E304" s="15" t="n">
        <f aca="false">$C$2*(1+IF(E$3&lt;=$O$2,$D304,$D304-($D304-$I$292)*MIN(E$3-$O$2,$Q$2)/$Q$2))</f>
        <v>5985.0390625</v>
      </c>
      <c r="F304" s="15" t="n">
        <f aca="false">E304*(1+IF(F$3&lt;=$O$2,$D304,$D304-($D304-$I$292)*MIN(F$3-$O$2,$Q$2)/$Q$2))</f>
        <v>5460.47142982483</v>
      </c>
      <c r="G304" s="15" t="n">
        <f aca="false">F304*(1+IF(G$3&lt;=$O$2,$D304,$D304-($D304-$I$292)*MIN(G$3-$O$2,$Q$2)/$Q$2))</f>
        <v>4981.88030597055</v>
      </c>
      <c r="H304" s="15" t="n">
        <f aca="false">G304*(1+IF(H$3&lt;=$O$2,$D304,$D304-($D304-$I$292)*MIN(H$3-$O$2,$Q$2)/$Q$2))</f>
        <v>4545.23601157519</v>
      </c>
      <c r="I304" s="15" t="n">
        <f aca="false">H304*(1+IF(I$3&lt;=$O$2,$D304,$D304-($D304-$I$292)*MIN(I$3-$O$2,$Q$2)/$Q$2))</f>
        <v>4146.86205450597</v>
      </c>
      <c r="J304" s="15" t="n">
        <f aca="false">I304*(1+IF(J$3&lt;=$O$2,$D304,$D304-($D304-$I$292)*MIN(J$3-$O$2,$Q$2)/$Q$2))</f>
        <v>3887.86071363106</v>
      </c>
      <c r="K304" s="15" t="n">
        <f aca="false">J304*(1+IF(K$3&lt;=$O$2,$D304,$D304-($D304-$I$292)*MIN(K$3-$O$2,$Q$2)/$Q$2))</f>
        <v>3742.96834579022</v>
      </c>
      <c r="L304" s="15" t="n">
        <f aca="false">K304*(1+IF(L$3&lt;=$O$2,$D304,$D304-($D304-$I$292)*MIN(L$3-$O$2,$Q$2)/$Q$2))</f>
        <v>3697.75855172231</v>
      </c>
      <c r="M304" s="15" t="n">
        <f aca="false">L304*(1+IF(M$3&lt;=$O$2,$D304,$D304-($D304-$I$292)*MIN(M$3-$O$2,$Q$2)/$Q$2))</f>
        <v>3746.23876632187</v>
      </c>
      <c r="N304" s="15" t="n">
        <f aca="false">M304*(1+IF(N$3&lt;=$O$2,$D304,$D304-($D304-$I$292)*MIN(N$3-$O$2,$Q$2)/$Q$2))</f>
        <v>3889.719711072</v>
      </c>
      <c r="O304" s="15" t="n">
        <f aca="false">SUMPRODUCT(E304:N304,1/(1+$F$292)^$E$3:$N$3)*$E$2</f>
        <v>9940.18926706314</v>
      </c>
      <c r="P304" s="15" t="n">
        <f aca="false">N304*$E$2*(1+$I$292)/($F$292-$I$292)/(1+$F$292)^$N$3</f>
        <v>16307.3059580503</v>
      </c>
      <c r="Q304" s="15" t="n">
        <f aca="false">O304+P304</f>
        <v>26247.4952251135</v>
      </c>
      <c r="R304" s="15" t="n">
        <f aca="false">Q304-$G$2+$I$2</f>
        <v>18902.2952251135</v>
      </c>
      <c r="S304" s="42" t="n">
        <f aca="false">R304/$K$2</f>
        <v>80.555274771419</v>
      </c>
      <c r="T304" s="43" t="n">
        <f aca="false">S304-$M$2</f>
        <v>-0.459001810724587</v>
      </c>
    </row>
    <row r="305" customFormat="false" ht="15" hidden="false" customHeight="false" outlineLevel="0" collapsed="false">
      <c r="A305" s="5" t="n">
        <v>12</v>
      </c>
      <c r="B305" s="25" t="n">
        <f aca="false">IF(T304&gt;0,B304,D304)</f>
        <v>-0.087646484375</v>
      </c>
      <c r="C305" s="25" t="n">
        <f aca="false">IF(T304&gt;0,D304,C304)</f>
        <v>-0.0869140625</v>
      </c>
      <c r="D305" s="41" t="n">
        <f aca="false">(B305+C305)/2</f>
        <v>-0.0872802734375</v>
      </c>
      <c r="E305" s="15" t="n">
        <f aca="false">$C$2*(1+IF(E$3&lt;=$O$2,$D305,$D305-($D305-$I$292)*MIN(E$3-$O$2,$Q$2)/$Q$2))</f>
        <v>5987.44140625</v>
      </c>
      <c r="F305" s="15" t="n">
        <f aca="false">E305*(1+IF(F$3&lt;=$O$2,$D305,$D305-($D305-$I$292)*MIN(F$3-$O$2,$Q$2)/$Q$2))</f>
        <v>5464.85588312149</v>
      </c>
      <c r="G305" s="15" t="n">
        <f aca="false">F305*(1+IF(G$3&lt;=$O$2,$D305,$D305-($D305-$I$292)*MIN(G$3-$O$2,$Q$2)/$Q$2))</f>
        <v>4987.88176734612</v>
      </c>
      <c r="H305" s="15" t="n">
        <f aca="false">G305*(1+IF(H$3&lt;=$O$2,$D305,$D305-($D305-$I$292)*MIN(H$3-$O$2,$Q$2)/$Q$2))</f>
        <v>4552.53808281823</v>
      </c>
      <c r="I305" s="15" t="n">
        <f aca="false">H305*(1+IF(I$3&lt;=$O$2,$D305,$D305-($D305-$I$292)*MIN(I$3-$O$2,$Q$2)/$Q$2))</f>
        <v>4155.19131411522</v>
      </c>
      <c r="J305" s="15" t="n">
        <f aca="false">I305*(1+IF(J$3&lt;=$O$2,$D305,$D305-($D305-$I$292)*MIN(J$3-$O$2,$Q$2)/$Q$2))</f>
        <v>3896.88709231646</v>
      </c>
      <c r="K305" s="15" t="n">
        <f aca="false">J305*(1+IF(K$3&lt;=$O$2,$D305,$D305-($D305-$I$292)*MIN(K$3-$O$2,$Q$2)/$Q$2))</f>
        <v>3752.51457998728</v>
      </c>
      <c r="L305" s="15" t="n">
        <f aca="false">K305*(1+IF(L$3&lt;=$O$2,$D305,$D305-($D305-$I$292)*MIN(L$3-$O$2,$Q$2)/$Q$2))</f>
        <v>3707.73916558759</v>
      </c>
      <c r="M305" s="15" t="n">
        <f aca="false">L305*(1+IF(M$3&lt;=$O$2,$D305,$D305-($D305-$I$292)*MIN(M$3-$O$2,$Q$2)/$Q$2))</f>
        <v>3756.62179597971</v>
      </c>
      <c r="N305" s="15" t="n">
        <f aca="false">M305*(1+IF(N$3&lt;=$O$2,$D305,$D305-($D305-$I$292)*MIN(N$3-$O$2,$Q$2)/$Q$2))</f>
        <v>3900.50041076574</v>
      </c>
      <c r="O305" s="15" t="n">
        <f aca="false">SUMPRODUCT(E305:N305,1/(1+$F$292)^$E$3:$N$3)*$E$2</f>
        <v>9956.04074470856</v>
      </c>
      <c r="P305" s="15" t="n">
        <f aca="false">N305*$E$2*(1+$I$292)/($F$292-$I$292)/(1+$F$292)^$N$3</f>
        <v>16352.5030882824</v>
      </c>
      <c r="Q305" s="15" t="n">
        <f aca="false">O305+P305</f>
        <v>26308.543832991</v>
      </c>
      <c r="R305" s="15" t="n">
        <f aca="false">Q305-$G$2+$I$2</f>
        <v>18963.343832991</v>
      </c>
      <c r="S305" s="42" t="n">
        <f aca="false">R305/$K$2</f>
        <v>80.8154435669762</v>
      </c>
      <c r="T305" s="43" t="n">
        <f aca="false">S305-$M$2</f>
        <v>-0.198833015167423</v>
      </c>
    </row>
    <row r="306" customFormat="false" ht="15" hidden="false" customHeight="false" outlineLevel="0" collapsed="false">
      <c r="A306" s="5" t="n">
        <v>13</v>
      </c>
      <c r="B306" s="25" t="n">
        <f aca="false">IF(T305&gt;0,B305,D305)</f>
        <v>-0.0872802734375</v>
      </c>
      <c r="C306" s="25" t="n">
        <f aca="false">IF(T305&gt;0,D305,C305)</f>
        <v>-0.0869140625</v>
      </c>
      <c r="D306" s="41" t="n">
        <f aca="false">(B306+C306)/2</f>
        <v>-0.08709716796875</v>
      </c>
      <c r="E306" s="15" t="n">
        <f aca="false">$C$2*(1+IF(E$3&lt;=$O$2,$D306,$D306-($D306-$I$292)*MIN(E$3-$O$2,$Q$2)/$Q$2))</f>
        <v>5988.642578125</v>
      </c>
      <c r="F306" s="15" t="n">
        <f aca="false">E306*(1+IF(F$3&lt;=$O$2,$D306,$D306-($D306-$I$292)*MIN(F$3-$O$2,$Q$2)/$Q$2))</f>
        <v>5467.04876959324</v>
      </c>
      <c r="G306" s="15" t="n">
        <f aca="false">F306*(1+IF(G$3&lt;=$O$2,$D306,$D306-($D306-$I$292)*MIN(G$3-$O$2,$Q$2)/$Q$2))</f>
        <v>4990.88430461463</v>
      </c>
      <c r="H306" s="15" t="n">
        <f aca="false">G306*(1+IF(H$3&lt;=$O$2,$D306,$D306-($D306-$I$292)*MIN(H$3-$O$2,$Q$2)/$Q$2))</f>
        <v>4556.19241602301</v>
      </c>
      <c r="I306" s="15" t="n">
        <f aca="false">H306*(1+IF(I$3&lt;=$O$2,$D306,$D306-($D306-$I$292)*MIN(I$3-$O$2,$Q$2)/$Q$2))</f>
        <v>4159.36095986671</v>
      </c>
      <c r="J306" s="15" t="n">
        <f aca="false">I306*(1+IF(J$3&lt;=$O$2,$D306,$D306-($D306-$I$292)*MIN(J$3-$O$2,$Q$2)/$Q$2))</f>
        <v>3901.40681668795</v>
      </c>
      <c r="K306" s="15" t="n">
        <f aca="false">J306*(1+IF(K$3&lt;=$O$2,$D306,$D306-($D306-$I$292)*MIN(K$3-$O$2,$Q$2)/$Q$2))</f>
        <v>3757.29547822311</v>
      </c>
      <c r="L306" s="15" t="n">
        <f aca="false">K306*(1+IF(L$3&lt;=$O$2,$D306,$D306-($D306-$I$292)*MIN(L$3-$O$2,$Q$2)/$Q$2))</f>
        <v>3712.73821016267</v>
      </c>
      <c r="M306" s="15" t="n">
        <f aca="false">L306*(1+IF(M$3&lt;=$O$2,$D306,$D306-($D306-$I$292)*MIN(M$3-$O$2,$Q$2)/$Q$2))</f>
        <v>3761.82271221915</v>
      </c>
      <c r="N306" s="15" t="n">
        <f aca="false">M306*(1+IF(N$3&lt;=$O$2,$D306,$D306-($D306-$I$292)*MIN(N$3-$O$2,$Q$2)/$Q$2))</f>
        <v>3905.90052209714</v>
      </c>
      <c r="O306" s="15" t="n">
        <f aca="false">SUMPRODUCT(E306:N306,1/(1+$F$292)^$E$3:$N$3)*$E$2</f>
        <v>9963.97644693484</v>
      </c>
      <c r="P306" s="15" t="n">
        <f aca="false">N306*$E$2*(1+$I$292)/($F$292-$I$292)/(1+$F$292)^$N$3</f>
        <v>16375.1425775592</v>
      </c>
      <c r="Q306" s="15" t="n">
        <f aca="false">O306+P306</f>
        <v>26339.1190244941</v>
      </c>
      <c r="R306" s="15" t="n">
        <f aca="false">Q306-$G$2+$I$2</f>
        <v>18993.9190244941</v>
      </c>
      <c r="S306" s="42" t="n">
        <f aca="false">R306/$K$2</f>
        <v>80.9457448305736</v>
      </c>
      <c r="T306" s="43" t="n">
        <f aca="false">S306-$M$2</f>
        <v>-0.0685317515700632</v>
      </c>
    </row>
    <row r="307" customFormat="false" ht="15" hidden="false" customHeight="false" outlineLevel="0" collapsed="false">
      <c r="A307" s="5" t="n">
        <v>14</v>
      </c>
      <c r="B307" s="25" t="n">
        <f aca="false">IF(T306&gt;0,B306,D306)</f>
        <v>-0.08709716796875</v>
      </c>
      <c r="C307" s="25" t="n">
        <f aca="false">IF(T306&gt;0,D306,C306)</f>
        <v>-0.0869140625</v>
      </c>
      <c r="D307" s="41" t="n">
        <f aca="false">(B307+C307)/2</f>
        <v>-0.087005615234375</v>
      </c>
      <c r="E307" s="15" t="n">
        <f aca="false">$C$2*(1+IF(E$3&lt;=$O$2,$D307,$D307-($D307-$I$292)*MIN(E$3-$O$2,$Q$2)/$Q$2))</f>
        <v>5989.2431640625</v>
      </c>
      <c r="F307" s="15" t="n">
        <f aca="false">E307*(1+IF(F$3&lt;=$O$2,$D307,$D307-($D307-$I$292)*MIN(F$3-$O$2,$Q$2)/$Q$2))</f>
        <v>5468.14537778497</v>
      </c>
      <c r="G307" s="15" t="n">
        <f aca="false">F307*(1+IF(G$3&lt;=$O$2,$D307,$D307-($D307-$I$292)*MIN(G$3-$O$2,$Q$2)/$Q$2))</f>
        <v>4992.38602499978</v>
      </c>
      <c r="H307" s="15" t="n">
        <f aca="false">G307*(1+IF(H$3&lt;=$O$2,$D307,$D307-($D307-$I$292)*MIN(H$3-$O$2,$Q$2)/$Q$2))</f>
        <v>4558.02040740718</v>
      </c>
      <c r="I307" s="15" t="n">
        <f aca="false">H307*(1+IF(I$3&lt;=$O$2,$D307,$D307-($D307-$I$292)*MIN(I$3-$O$2,$Q$2)/$Q$2))</f>
        <v>4161.44703760988</v>
      </c>
      <c r="J307" s="15" t="n">
        <f aca="false">I307*(1+IF(J$3&lt;=$O$2,$D307,$D307-($D307-$I$292)*MIN(J$3-$O$2,$Q$2)/$Q$2))</f>
        <v>3903.66831409996</v>
      </c>
      <c r="K307" s="15" t="n">
        <f aca="false">J307*(1+IF(K$3&lt;=$O$2,$D307,$D307-($D307-$I$292)*MIN(K$3-$O$2,$Q$2)/$Q$2))</f>
        <v>3759.68787466845</v>
      </c>
      <c r="L307" s="15" t="n">
        <f aca="false">K307*(1+IF(L$3&lt;=$O$2,$D307,$D307-($D307-$I$292)*MIN(L$3-$O$2,$Q$2)/$Q$2))</f>
        <v>3715.23991937843</v>
      </c>
      <c r="M307" s="15" t="n">
        <f aca="false">L307*(1+IF(M$3&lt;=$O$2,$D307,$D307-($D307-$I$292)*MIN(M$3-$O$2,$Q$2)/$Q$2))</f>
        <v>3764.42552352242</v>
      </c>
      <c r="N307" s="15" t="n">
        <f aca="false">M307*(1+IF(N$3&lt;=$O$2,$D307,$D307-($D307-$I$292)*MIN(N$3-$O$2,$Q$2)/$Q$2))</f>
        <v>3908.60302107333</v>
      </c>
      <c r="O307" s="15" t="n">
        <f aca="false">SUMPRODUCT(E307:N307,1/(1+$F$292)^$E$3:$N$3)*$E$2</f>
        <v>9967.94679126831</v>
      </c>
      <c r="P307" s="15" t="n">
        <f aca="false">N307*$E$2*(1+$I$292)/($F$292-$I$292)/(1+$F$292)^$N$3</f>
        <v>16386.4725655609</v>
      </c>
      <c r="Q307" s="15" t="n">
        <f aca="false">O307+P307</f>
        <v>26354.4193568292</v>
      </c>
      <c r="R307" s="15" t="n">
        <f aca="false">Q307-$G$2+$I$2</f>
        <v>19009.2193568292</v>
      </c>
      <c r="S307" s="42" t="n">
        <f aca="false">R307/$K$2</f>
        <v>81.0109497414412</v>
      </c>
      <c r="T307" s="43" t="n">
        <f aca="false">S307-$M$2</f>
        <v>-0.00332684070244227</v>
      </c>
    </row>
    <row r="308" customFormat="false" ht="15" hidden="false" customHeight="false" outlineLevel="0" collapsed="false">
      <c r="A308" s="5" t="n">
        <v>15</v>
      </c>
      <c r="B308" s="25" t="n">
        <f aca="false">IF(T307&gt;0,B307,D307)</f>
        <v>-0.087005615234375</v>
      </c>
      <c r="C308" s="25" t="n">
        <f aca="false">IF(T307&gt;0,D307,C307)</f>
        <v>-0.0869140625</v>
      </c>
      <c r="D308" s="41" t="n">
        <f aca="false">(B308+C308)/2</f>
        <v>-0.0869598388671875</v>
      </c>
      <c r="E308" s="15" t="n">
        <f aca="false">$C$2*(1+IF(E$3&lt;=$O$2,$D308,$D308-($D308-$I$292)*MIN(E$3-$O$2,$Q$2)/$Q$2))</f>
        <v>5989.54345703125</v>
      </c>
      <c r="F308" s="15" t="n">
        <f aca="false">E308*(1+IF(F$3&lt;=$O$2,$D308,$D308-($D308-$I$292)*MIN(F$3-$O$2,$Q$2)/$Q$2))</f>
        <v>5468.6937231198</v>
      </c>
      <c r="G308" s="15" t="n">
        <f aca="false">F308*(1+IF(G$3&lt;=$O$2,$D308,$D308-($D308-$I$292)*MIN(G$3-$O$2,$Q$2)/$Q$2))</f>
        <v>4993.1369981433</v>
      </c>
      <c r="H308" s="15" t="n">
        <f aca="false">G308*(1+IF(H$3&lt;=$O$2,$D308,$D308-($D308-$I$292)*MIN(H$3-$O$2,$Q$2)/$Q$2))</f>
        <v>4558.93460934297</v>
      </c>
      <c r="I308" s="15" t="n">
        <f aca="false">H308*(1+IF(I$3&lt;=$O$2,$D308,$D308-($D308-$I$292)*MIN(I$3-$O$2,$Q$2)/$Q$2))</f>
        <v>4162.49039030846</v>
      </c>
      <c r="J308" s="15" t="n">
        <f aca="false">I308*(1+IF(J$3&lt;=$O$2,$D308,$D308-($D308-$I$292)*MIN(J$3-$O$2,$Q$2)/$Q$2))</f>
        <v>3904.79947179627</v>
      </c>
      <c r="K308" s="15" t="n">
        <f aca="false">J308*(1+IF(K$3&lt;=$O$2,$D308,$D308-($D308-$I$292)*MIN(K$3-$O$2,$Q$2)/$Q$2))</f>
        <v>3760.88455997854</v>
      </c>
      <c r="L308" s="15" t="n">
        <f aca="false">K308*(1+IF(L$3&lt;=$O$2,$D308,$D308-($D308-$I$292)*MIN(L$3-$O$2,$Q$2)/$Q$2))</f>
        <v>3716.49132103331</v>
      </c>
      <c r="M308" s="15" t="n">
        <f aca="false">L308*(1+IF(M$3&lt;=$O$2,$D308,$D308-($D308-$I$292)*MIN(M$3-$O$2,$Q$2)/$Q$2))</f>
        <v>3765.7275178241</v>
      </c>
      <c r="N308" s="15" t="n">
        <f aca="false">M308*(1+IF(N$3&lt;=$O$2,$D308,$D308-($D308-$I$292)*MIN(N$3-$O$2,$Q$2)/$Q$2))</f>
        <v>3909.95488175676</v>
      </c>
      <c r="O308" s="15" t="n">
        <f aca="false">SUMPRODUCT(E308:N308,1/(1+$F$292)^$E$3:$N$3)*$E$2</f>
        <v>9969.9325870365</v>
      </c>
      <c r="P308" s="15" t="n">
        <f aca="false">N308*$E$2*(1+$I$292)/($F$292-$I$292)/(1+$F$292)^$N$3</f>
        <v>16392.1401219441</v>
      </c>
      <c r="Q308" s="15" t="n">
        <f aca="false">O308+P308</f>
        <v>26362.0727089806</v>
      </c>
      <c r="R308" s="15" t="n">
        <f aca="false">Q308-$G$2+$I$2</f>
        <v>19016.8727089806</v>
      </c>
      <c r="S308" s="42" t="n">
        <f aca="false">R308/$K$2</f>
        <v>81.0435657744751</v>
      </c>
      <c r="T308" s="43" t="n">
        <f aca="false">S308-$M$2</f>
        <v>0.0292891923314613</v>
      </c>
    </row>
    <row r="309" customFormat="false" ht="15" hidden="false" customHeight="false" outlineLevel="0" collapsed="false">
      <c r="A309" s="5" t="n">
        <v>16</v>
      </c>
      <c r="B309" s="25" t="n">
        <f aca="false">IF(T308&gt;0,B308,D308)</f>
        <v>-0.087005615234375</v>
      </c>
      <c r="C309" s="25" t="n">
        <f aca="false">IF(T308&gt;0,D308,C308)</f>
        <v>-0.0869598388671875</v>
      </c>
      <c r="D309" s="41" t="n">
        <f aca="false">(B309+C309)/2</f>
        <v>-0.0869827270507813</v>
      </c>
      <c r="E309" s="15" t="n">
        <f aca="false">$C$2*(1+IF(E$3&lt;=$O$2,$D309,$D309-($D309-$I$292)*MIN(E$3-$O$2,$Q$2)/$Q$2))</f>
        <v>5989.39331054688</v>
      </c>
      <c r="F309" s="15" t="n">
        <f aca="false">E309*(1+IF(F$3&lt;=$O$2,$D309,$D309-($D309-$I$292)*MIN(F$3-$O$2,$Q$2)/$Q$2))</f>
        <v>5468.4195470158</v>
      </c>
      <c r="G309" s="15" t="n">
        <f aca="false">F309*(1+IF(G$3&lt;=$O$2,$D309,$D309-($D309-$I$292)*MIN(G$3-$O$2,$Q$2)/$Q$2))</f>
        <v>4992.76150215857</v>
      </c>
      <c r="H309" s="15" t="n">
        <f aca="false">G309*(1+IF(H$3&lt;=$O$2,$D309,$D309-($D309-$I$292)*MIN(H$3-$O$2,$Q$2)/$Q$2))</f>
        <v>4558.47749118666</v>
      </c>
      <c r="I309" s="15" t="n">
        <f aca="false">H309*(1+IF(I$3&lt;=$O$2,$D309,$D309-($D309-$I$292)*MIN(I$3-$O$2,$Q$2)/$Q$2))</f>
        <v>4161.96868780364</v>
      </c>
      <c r="J309" s="15" t="n">
        <f aca="false">I309*(1+IF(J$3&lt;=$O$2,$D309,$D309-($D309-$I$292)*MIN(J$3-$O$2,$Q$2)/$Q$2))</f>
        <v>3904.23385886012</v>
      </c>
      <c r="K309" s="15" t="n">
        <f aca="false">J309*(1+IF(K$3&lt;=$O$2,$D309,$D309-($D309-$I$292)*MIN(K$3-$O$2,$Q$2)/$Q$2))</f>
        <v>3760.28617672527</v>
      </c>
      <c r="L309" s="15" t="n">
        <f aca="false">K309*(1+IF(L$3&lt;=$O$2,$D309,$D309-($D309-$I$292)*MIN(L$3-$O$2,$Q$2)/$Q$2))</f>
        <v>3715.86557460925</v>
      </c>
      <c r="M309" s="15" t="n">
        <f aca="false">L309*(1+IF(M$3&lt;=$O$2,$D309,$D309-($D309-$I$292)*MIN(M$3-$O$2,$Q$2)/$Q$2))</f>
        <v>3765.07647160855</v>
      </c>
      <c r="N309" s="15" t="n">
        <f aca="false">M309*(1+IF(N$3&lt;=$O$2,$D309,$D309-($D309-$I$292)*MIN(N$3-$O$2,$Q$2)/$Q$2))</f>
        <v>3909.27890047116</v>
      </c>
      <c r="O309" s="15" t="n">
        <f aca="false">SUMPRODUCT(E309:N309,1/(1+$F$292)^$E$3:$N$3)*$E$2</f>
        <v>9968.93963717679</v>
      </c>
      <c r="P309" s="15" t="n">
        <f aca="false">N309*$E$2*(1+$I$292)/($F$292-$I$292)/(1+$F$292)^$N$3</f>
        <v>16389.3061301747</v>
      </c>
      <c r="Q309" s="15" t="n">
        <f aca="false">O309+P309</f>
        <v>26358.2457673515</v>
      </c>
      <c r="R309" s="15" t="n">
        <f aca="false">Q309-$G$2+$I$2</f>
        <v>19013.0457673515</v>
      </c>
      <c r="S309" s="42" t="n">
        <f aca="false">R309/$K$2</f>
        <v>81.0272566262582</v>
      </c>
      <c r="T309" s="43" t="n">
        <f aca="false">S309-$M$2</f>
        <v>0.0129800441146131</v>
      </c>
    </row>
    <row r="310" customFormat="false" ht="15" hidden="false" customHeight="false" outlineLevel="0" collapsed="false">
      <c r="A310" s="5" t="n">
        <v>17</v>
      </c>
      <c r="B310" s="25" t="n">
        <f aca="false">IF(T309&gt;0,B309,D309)</f>
        <v>-0.087005615234375</v>
      </c>
      <c r="C310" s="25" t="n">
        <f aca="false">IF(T309&gt;0,D309,C309)</f>
        <v>-0.0869827270507813</v>
      </c>
      <c r="D310" s="41" t="n">
        <f aca="false">(B310+C310)/2</f>
        <v>-0.0869941711425781</v>
      </c>
      <c r="E310" s="15" t="n">
        <f aca="false">$C$2*(1+IF(E$3&lt;=$O$2,$D310,$D310-($D310-$I$292)*MIN(E$3-$O$2,$Q$2)/$Q$2))</f>
        <v>5989.31823730469</v>
      </c>
      <c r="F310" s="15" t="n">
        <f aca="false">E310*(1+IF(F$3&lt;=$O$2,$D310,$D310-($D310-$I$292)*MIN(F$3-$O$2,$Q$2)/$Q$2))</f>
        <v>5468.28246154124</v>
      </c>
      <c r="G310" s="15" t="n">
        <f aca="false">F310*(1+IF(G$3&lt;=$O$2,$D310,$D310-($D310-$I$292)*MIN(G$3-$O$2,$Q$2)/$Q$2))</f>
        <v>4992.57376122596</v>
      </c>
      <c r="H310" s="15" t="n">
        <f aca="false">G310*(1+IF(H$3&lt;=$O$2,$D310,$D310-($D310-$I$292)*MIN(H$3-$O$2,$Q$2)/$Q$2))</f>
        <v>4558.24894499993</v>
      </c>
      <c r="I310" s="15" t="n">
        <f aca="false">H310*(1+IF(I$3&lt;=$O$2,$D310,$D310-($D310-$I$292)*MIN(I$3-$O$2,$Q$2)/$Q$2))</f>
        <v>4161.70785616813</v>
      </c>
      <c r="J310" s="15" t="n">
        <f aca="false">I310*(1+IF(J$3&lt;=$O$2,$D310,$D310-($D310-$I$292)*MIN(J$3-$O$2,$Q$2)/$Q$2))</f>
        <v>3903.95107795845</v>
      </c>
      <c r="K310" s="15" t="n">
        <f aca="false">J310*(1+IF(K$3&lt;=$O$2,$D310,$D310-($D310-$I$292)*MIN(K$3-$O$2,$Q$2)/$Q$2))</f>
        <v>3759.98701554787</v>
      </c>
      <c r="L310" s="15" t="n">
        <f aca="false">K310*(1+IF(L$3&lt;=$O$2,$D310,$D310-($D310-$I$292)*MIN(L$3-$O$2,$Q$2)/$Q$2))</f>
        <v>3715.55273559539</v>
      </c>
      <c r="M310" s="15" t="n">
        <f aca="false">L310*(1+IF(M$3&lt;=$O$2,$D310,$D310-($D310-$I$292)*MIN(M$3-$O$2,$Q$2)/$Q$2))</f>
        <v>3764.7509853001</v>
      </c>
      <c r="N310" s="15" t="n">
        <f aca="false">M310*(1+IF(N$3&lt;=$O$2,$D310,$D310-($D310-$I$292)*MIN(N$3-$O$2,$Q$2)/$Q$2))</f>
        <v>3908.94094803709</v>
      </c>
      <c r="O310" s="15" t="n">
        <f aca="false">SUMPRODUCT(E310:N310,1/(1+$F$292)^$E$3:$N$3)*$E$2</f>
        <v>9968.44320122931</v>
      </c>
      <c r="P310" s="15" t="n">
        <f aca="false">N310*$E$2*(1+$I$292)/($F$292-$I$292)/(1+$F$292)^$N$3</f>
        <v>16387.8892944768</v>
      </c>
      <c r="Q310" s="15" t="n">
        <f aca="false">O310+P310</f>
        <v>26356.3324957061</v>
      </c>
      <c r="R310" s="15" t="n">
        <f aca="false">Q310-$G$2+$I$2</f>
        <v>19011.1324957061</v>
      </c>
      <c r="S310" s="42" t="n">
        <f aca="false">R310/$K$2</f>
        <v>81.0191029009422</v>
      </c>
      <c r="T310" s="43" t="n">
        <f aca="false">S310-$M$2</f>
        <v>0.00482631879859241</v>
      </c>
    </row>
    <row r="311" customFormat="false" ht="15" hidden="false" customHeight="false" outlineLevel="0" collapsed="false">
      <c r="A311" s="5" t="n">
        <v>18</v>
      </c>
      <c r="B311" s="25" t="n">
        <f aca="false">IF(T310&gt;0,B310,D310)</f>
        <v>-0.087005615234375</v>
      </c>
      <c r="C311" s="25" t="n">
        <f aca="false">IF(T310&gt;0,D310,C310)</f>
        <v>-0.0869941711425781</v>
      </c>
      <c r="D311" s="41" t="n">
        <f aca="false">(B311+C311)/2</f>
        <v>-0.0869998931884766</v>
      </c>
      <c r="E311" s="15" t="n">
        <f aca="false">$C$2*(1+IF(E$3&lt;=$O$2,$D311,$D311-($D311-$I$292)*MIN(E$3-$O$2,$Q$2)/$Q$2))</f>
        <v>5989.28070068359</v>
      </c>
      <c r="F311" s="15" t="n">
        <f aca="false">E311*(1+IF(F$3&lt;=$O$2,$D311,$D311-($D311-$I$292)*MIN(F$3-$O$2,$Q$2)/$Q$2))</f>
        <v>5468.21391944832</v>
      </c>
      <c r="G311" s="15" t="n">
        <f aca="false">F311*(1+IF(G$3&lt;=$O$2,$D311,$D311-($D311-$I$292)*MIN(G$3-$O$2,$Q$2)/$Q$2))</f>
        <v>4992.47989252457</v>
      </c>
      <c r="H311" s="15" t="n">
        <f aca="false">G311*(1+IF(H$3&lt;=$O$2,$D311,$D311-($D311-$I$292)*MIN(H$3-$O$2,$Q$2)/$Q$2))</f>
        <v>4558.13467512932</v>
      </c>
      <c r="I311" s="15" t="n">
        <f aca="false">H311*(1+IF(I$3&lt;=$O$2,$D311,$D311-($D311-$I$292)*MIN(I$3-$O$2,$Q$2)/$Q$2))</f>
        <v>4161.57744525438</v>
      </c>
      <c r="J311" s="15" t="n">
        <f aca="false">I311*(1+IF(J$3&lt;=$O$2,$D311,$D311-($D311-$I$292)*MIN(J$3-$O$2,$Q$2)/$Q$2))</f>
        <v>3903.80969389886</v>
      </c>
      <c r="K311" s="15" t="n">
        <f aca="false">J311*(1+IF(K$3&lt;=$O$2,$D311,$D311-($D311-$I$292)*MIN(K$3-$O$2,$Q$2)/$Q$2))</f>
        <v>3759.83744257099</v>
      </c>
      <c r="L311" s="15" t="n">
        <f aca="false">K311*(1+IF(L$3&lt;=$O$2,$D311,$D311-($D311-$I$292)*MIN(L$3-$O$2,$Q$2)/$Q$2))</f>
        <v>3715.39632463738</v>
      </c>
      <c r="M311" s="15" t="n">
        <f aca="false">L311*(1+IF(M$3&lt;=$O$2,$D311,$D311-($D311-$I$292)*MIN(M$3-$O$2,$Q$2)/$Q$2))</f>
        <v>3764.58825134501</v>
      </c>
      <c r="N311" s="15" t="n">
        <f aca="false">M311*(1+IF(N$3&lt;=$O$2,$D311,$D311-($D311-$I$292)*MIN(N$3-$O$2,$Q$2)/$Q$2))</f>
        <v>3908.77198137153</v>
      </c>
      <c r="O311" s="15" t="n">
        <f aca="false">SUMPRODUCT(E311:N311,1/(1+$F$292)^$E$3:$N$3)*$E$2</f>
        <v>9968.19499300058</v>
      </c>
      <c r="P311" s="15" t="n">
        <f aca="false">N311*$E$2*(1+$I$292)/($F$292-$I$292)/(1+$F$292)^$N$3</f>
        <v>16387.1809166715</v>
      </c>
      <c r="Q311" s="15" t="n">
        <f aca="false">O311+P311</f>
        <v>26355.3759096721</v>
      </c>
      <c r="R311" s="15" t="n">
        <f aca="false">Q311-$G$2+$I$2</f>
        <v>19010.1759096721</v>
      </c>
      <c r="S311" s="42" t="n">
        <f aca="false">R311/$K$2</f>
        <v>81.015026250467</v>
      </c>
      <c r="T311" s="43" t="n">
        <f aca="false">S311-$M$2</f>
        <v>0.000749668323379638</v>
      </c>
    </row>
    <row r="312" customFormat="false" ht="15" hidden="false" customHeight="false" outlineLevel="0" collapsed="false">
      <c r="A312" s="5" t="n">
        <v>19</v>
      </c>
      <c r="B312" s="25" t="n">
        <f aca="false">IF(T311&gt;0,B311,D311)</f>
        <v>-0.087005615234375</v>
      </c>
      <c r="C312" s="25" t="n">
        <f aca="false">IF(T311&gt;0,D311,C311)</f>
        <v>-0.0869998931884766</v>
      </c>
      <c r="D312" s="41" t="n">
        <f aca="false">(B312+C312)/2</f>
        <v>-0.0870027542114258</v>
      </c>
      <c r="E312" s="15" t="n">
        <f aca="false">$C$2*(1+IF(E$3&lt;=$O$2,$D312,$D312-($D312-$I$292)*MIN(E$3-$O$2,$Q$2)/$Q$2))</f>
        <v>5989.26193237305</v>
      </c>
      <c r="F312" s="15" t="n">
        <f aca="false">E312*(1+IF(F$3&lt;=$O$2,$D312,$D312-($D312-$I$292)*MIN(F$3-$O$2,$Q$2)/$Q$2))</f>
        <v>5468.17964856295</v>
      </c>
      <c r="G312" s="15" t="n">
        <f aca="false">F312*(1+IF(G$3&lt;=$O$2,$D312,$D312-($D312-$I$292)*MIN(G$3-$O$2,$Q$2)/$Q$2))</f>
        <v>4992.4329586151</v>
      </c>
      <c r="H312" s="15" t="n">
        <f aca="false">G312*(1+IF(H$3&lt;=$O$2,$D312,$D312-($D312-$I$292)*MIN(H$3-$O$2,$Q$2)/$Q$2))</f>
        <v>4558.07754099969</v>
      </c>
      <c r="I312" s="15" t="n">
        <f aca="false">H312*(1+IF(I$3&lt;=$O$2,$D312,$D312-($D312-$I$292)*MIN(I$3-$O$2,$Q$2)/$Q$2))</f>
        <v>4161.51224102348</v>
      </c>
      <c r="J312" s="15" t="n">
        <f aca="false">I312*(1+IF(J$3&lt;=$O$2,$D312,$D312-($D312-$I$292)*MIN(J$3-$O$2,$Q$2)/$Q$2))</f>
        <v>3903.73900346683</v>
      </c>
      <c r="K312" s="15" t="n">
        <f aca="false">J312*(1+IF(K$3&lt;=$O$2,$D312,$D312-($D312-$I$292)*MIN(K$3-$O$2,$Q$2)/$Q$2))</f>
        <v>3759.76265798544</v>
      </c>
      <c r="L312" s="15" t="n">
        <f aca="false">K312*(1+IF(L$3&lt;=$O$2,$D312,$D312-($D312-$I$292)*MIN(L$3-$O$2,$Q$2)/$Q$2))</f>
        <v>3715.31812129554</v>
      </c>
      <c r="M312" s="15" t="n">
        <f aca="false">L312*(1+IF(M$3&lt;=$O$2,$D312,$D312-($D312-$I$292)*MIN(M$3-$O$2,$Q$2)/$Q$2))</f>
        <v>3764.50688666717</v>
      </c>
      <c r="N312" s="15" t="n">
        <f aca="false">M312*(1+IF(N$3&lt;=$O$2,$D312,$D312-($D312-$I$292)*MIN(N$3-$O$2,$Q$2)/$Q$2))</f>
        <v>3908.68750042652</v>
      </c>
      <c r="O312" s="15" t="n">
        <f aca="false">SUMPRODUCT(E312:N312,1/(1+$F$292)^$E$3:$N$3)*$E$2</f>
        <v>9968.0708913224</v>
      </c>
      <c r="P312" s="15" t="n">
        <f aca="false">N312*$E$2*(1+$I$292)/($F$292-$I$292)/(1+$F$292)^$N$3</f>
        <v>16386.8267377794</v>
      </c>
      <c r="Q312" s="15" t="n">
        <f aca="false">O312+P312</f>
        <v>26354.8976291018</v>
      </c>
      <c r="R312" s="15" t="n">
        <f aca="false">Q312-$G$2+$I$2</f>
        <v>19009.6976291018</v>
      </c>
      <c r="S312" s="42" t="n">
        <f aca="false">R312/$K$2</f>
        <v>81.0129879782732</v>
      </c>
      <c r="T312" s="43" t="n">
        <f aca="false">S312-$M$2</f>
        <v>-0.00128860387043517</v>
      </c>
    </row>
    <row r="313" customFormat="false" ht="15" hidden="false" customHeight="false" outlineLevel="0" collapsed="false">
      <c r="A313" s="5" t="n">
        <v>20</v>
      </c>
      <c r="B313" s="25" t="n">
        <f aca="false">IF(T312&gt;0,B312,D312)</f>
        <v>-0.0870027542114258</v>
      </c>
      <c r="C313" s="25" t="n">
        <f aca="false">IF(T312&gt;0,D312,C312)</f>
        <v>-0.0869998931884766</v>
      </c>
      <c r="D313" s="41" t="n">
        <f aca="false">(B313+C313)/2</f>
        <v>-0.0870013236999512</v>
      </c>
      <c r="E313" s="15" t="n">
        <f aca="false">$C$2*(1+IF(E$3&lt;=$O$2,$D313,$D313-($D313-$I$292)*MIN(E$3-$O$2,$Q$2)/$Q$2))</f>
        <v>5989.27131652832</v>
      </c>
      <c r="F313" s="15" t="n">
        <f aca="false">E313*(1+IF(F$3&lt;=$O$2,$D313,$D313-($D313-$I$292)*MIN(F$3-$O$2,$Q$2)/$Q$2))</f>
        <v>5468.19678399221</v>
      </c>
      <c r="G313" s="15" t="n">
        <f aca="false">F313*(1+IF(G$3&lt;=$O$2,$D313,$D313-($D313-$I$292)*MIN(G$3-$O$2,$Q$2)/$Q$2))</f>
        <v>4992.45642553307</v>
      </c>
      <c r="H313" s="15" t="n">
        <f aca="false">G313*(1+IF(H$3&lt;=$O$2,$D313,$D313-($D313-$I$292)*MIN(H$3-$O$2,$Q$2)/$Q$2))</f>
        <v>4558.10610799737</v>
      </c>
      <c r="I313" s="15" t="n">
        <f aca="false">H313*(1+IF(I$3&lt;=$O$2,$D313,$D313-($D313-$I$292)*MIN(I$3-$O$2,$Q$2)/$Q$2))</f>
        <v>4161.54484303676</v>
      </c>
      <c r="J313" s="15" t="n">
        <f aca="false">I313*(1+IF(J$3&lt;=$O$2,$D313,$D313-($D313-$I$292)*MIN(J$3-$O$2,$Q$2)/$Q$2))</f>
        <v>3903.7743485497</v>
      </c>
      <c r="K313" s="15" t="n">
        <f aca="false">J313*(1+IF(K$3&lt;=$O$2,$D313,$D313-($D313-$I$292)*MIN(K$3-$O$2,$Q$2)/$Q$2))</f>
        <v>3759.80005011964</v>
      </c>
      <c r="L313" s="15" t="n">
        <f aca="false">K313*(1+IF(L$3&lt;=$O$2,$D313,$D313-($D313-$I$292)*MIN(L$3-$O$2,$Q$2)/$Q$2))</f>
        <v>3715.35722278837</v>
      </c>
      <c r="M313" s="15" t="n">
        <f aca="false">L313*(1+IF(M$3&lt;=$O$2,$D313,$D313-($D313-$I$292)*MIN(M$3-$O$2,$Q$2)/$Q$2))</f>
        <v>3764.54756881445</v>
      </c>
      <c r="N313" s="15" t="n">
        <f aca="false">M313*(1+IF(N$3&lt;=$O$2,$D313,$D313-($D313-$I$292)*MIN(N$3-$O$2,$Q$2)/$Q$2))</f>
        <v>3908.72974070004</v>
      </c>
      <c r="O313" s="15" t="n">
        <f aca="false">SUMPRODUCT(E313:N313,1/(1+$F$292)^$E$3:$N$3)*$E$2</f>
        <v>9968.13294195848</v>
      </c>
      <c r="P313" s="15" t="n">
        <f aca="false">N313*$E$2*(1+$I$292)/($F$292-$I$292)/(1+$F$292)^$N$3</f>
        <v>16387.0038263913</v>
      </c>
      <c r="Q313" s="15" t="n">
        <f aca="false">O313+P313</f>
        <v>26355.1367683497</v>
      </c>
      <c r="R313" s="15" t="n">
        <f aca="false">Q313-$G$2+$I$2</f>
        <v>19009.9367683497</v>
      </c>
      <c r="S313" s="42" t="n">
        <f aca="false">R313/$K$2</f>
        <v>81.0140071099498</v>
      </c>
      <c r="T313" s="43" t="n">
        <f aca="false">S313-$M$2</f>
        <v>-0.000269472193778597</v>
      </c>
    </row>
    <row r="314" customFormat="false" ht="15" hidden="false" customHeight="false" outlineLevel="0" collapsed="false">
      <c r="A314" s="5" t="n">
        <v>21</v>
      </c>
      <c r="B314" s="25" t="n">
        <f aca="false">IF(T313&gt;0,B313,D313)</f>
        <v>-0.0870013236999512</v>
      </c>
      <c r="C314" s="25" t="n">
        <f aca="false">IF(T313&gt;0,D313,C313)</f>
        <v>-0.0869998931884766</v>
      </c>
      <c r="D314" s="41" t="n">
        <f aca="false">(B314+C314)/2</f>
        <v>-0.0870006084442139</v>
      </c>
      <c r="E314" s="15" t="n">
        <f aca="false">$C$2*(1+IF(E$3&lt;=$O$2,$D314,$D314-($D314-$I$292)*MIN(E$3-$O$2,$Q$2)/$Q$2))</f>
        <v>5989.27600860596</v>
      </c>
      <c r="F314" s="15" t="n">
        <f aca="false">E314*(1+IF(F$3&lt;=$O$2,$D314,$D314-($D314-$I$292)*MIN(F$3-$O$2,$Q$2)/$Q$2))</f>
        <v>5468.20535171691</v>
      </c>
      <c r="G314" s="15" t="n">
        <f aca="false">F314*(1+IF(G$3&lt;=$O$2,$D314,$D314-($D314-$I$292)*MIN(G$3-$O$2,$Q$2)/$Q$2))</f>
        <v>4992.46815901963</v>
      </c>
      <c r="H314" s="15" t="n">
        <f aca="false">G314*(1+IF(H$3&lt;=$O$2,$D314,$D314-($D314-$I$292)*MIN(H$3-$O$2,$Q$2)/$Q$2))</f>
        <v>4558.12039154656</v>
      </c>
      <c r="I314" s="15" t="n">
        <f aca="false">H314*(1+IF(I$3&lt;=$O$2,$D314,$D314-($D314-$I$292)*MIN(I$3-$O$2,$Q$2)/$Q$2))</f>
        <v>4161.56114412003</v>
      </c>
      <c r="J314" s="15" t="n">
        <f aca="false">I314*(1+IF(J$3&lt;=$O$2,$D314,$D314-($D314-$I$292)*MIN(J$3-$O$2,$Q$2)/$Q$2))</f>
        <v>3903.79202119099</v>
      </c>
      <c r="K314" s="15" t="n">
        <f aca="false">J314*(1+IF(K$3&lt;=$O$2,$D314,$D314-($D314-$I$292)*MIN(K$3-$O$2,$Q$2)/$Q$2))</f>
        <v>3759.81874630567</v>
      </c>
      <c r="L314" s="15" t="n">
        <f aca="false">K314*(1+IF(L$3&lt;=$O$2,$D314,$D314-($D314-$I$292)*MIN(L$3-$O$2,$Q$2)/$Q$2))</f>
        <v>3715.37677366835</v>
      </c>
      <c r="M314" s="15" t="n">
        <f aca="false">L314*(1+IF(M$3&lt;=$O$2,$D314,$D314-($D314-$I$292)*MIN(M$3-$O$2,$Q$2)/$Q$2))</f>
        <v>3764.56791003182</v>
      </c>
      <c r="N314" s="15" t="n">
        <f aca="false">M314*(1+IF(N$3&lt;=$O$2,$D314,$D314-($D314-$I$292)*MIN(N$3-$O$2,$Q$2)/$Q$2))</f>
        <v>3908.75086098604</v>
      </c>
      <c r="O314" s="15" t="n">
        <f aca="false">SUMPRODUCT(E314:N314,1/(1+$F$292)^$E$3:$N$3)*$E$2</f>
        <v>9968.16396742878</v>
      </c>
      <c r="P314" s="15" t="n">
        <f aca="false">N314*$E$2*(1+$I$292)/($F$292-$I$292)/(1+$F$292)^$N$3</f>
        <v>16387.0923713228</v>
      </c>
      <c r="Q314" s="15" t="n">
        <f aca="false">O314+P314</f>
        <v>26355.2563387516</v>
      </c>
      <c r="R314" s="15" t="n">
        <f aca="false">Q314-$G$2+$I$2</f>
        <v>19010.0563387516</v>
      </c>
      <c r="S314" s="42" t="n">
        <f aca="false">R314/$K$2</f>
        <v>81.0145166791034</v>
      </c>
      <c r="T314" s="43" t="n">
        <f aca="false">S314-$M$2</f>
        <v>0.00024009695972893</v>
      </c>
    </row>
    <row r="315" customFormat="false" ht="15" hidden="false" customHeight="false" outlineLevel="0" collapsed="false">
      <c r="A315" s="5" t="n">
        <v>22</v>
      </c>
      <c r="B315" s="25" t="n">
        <f aca="false">IF(T314&gt;0,B314,D314)</f>
        <v>-0.0870013236999512</v>
      </c>
      <c r="C315" s="25" t="n">
        <f aca="false">IF(T314&gt;0,D314,C314)</f>
        <v>-0.0870006084442139</v>
      </c>
      <c r="D315" s="41" t="n">
        <f aca="false">(B315+C315)/2</f>
        <v>-0.0870009660720825</v>
      </c>
      <c r="E315" s="15" t="n">
        <f aca="false">$C$2*(1+IF(E$3&lt;=$O$2,$D315,$D315-($D315-$I$292)*MIN(E$3-$O$2,$Q$2)/$Q$2))</f>
        <v>5989.27366256714</v>
      </c>
      <c r="F315" s="15" t="n">
        <f aca="false">E315*(1+IF(F$3&lt;=$O$2,$D315,$D315-($D315-$I$292)*MIN(F$3-$O$2,$Q$2)/$Q$2))</f>
        <v>5468.20106785372</v>
      </c>
      <c r="G315" s="15" t="n">
        <f aca="false">F315*(1+IF(G$3&lt;=$O$2,$D315,$D315-($D315-$I$292)*MIN(G$3-$O$2,$Q$2)/$Q$2))</f>
        <v>4992.46229227405</v>
      </c>
      <c r="H315" s="15" t="n">
        <f aca="false">G315*(1+IF(H$3&lt;=$O$2,$D315,$D315-($D315-$I$292)*MIN(H$3-$O$2,$Q$2)/$Q$2))</f>
        <v>4558.11324976776</v>
      </c>
      <c r="I315" s="15" t="n">
        <f aca="false">H315*(1+IF(I$3&lt;=$O$2,$D315,$D315-($D315-$I$292)*MIN(I$3-$O$2,$Q$2)/$Q$2))</f>
        <v>4161.55299357201</v>
      </c>
      <c r="J315" s="15" t="n">
        <f aca="false">I315*(1+IF(J$3&lt;=$O$2,$D315,$D315-($D315-$I$292)*MIN(J$3-$O$2,$Q$2)/$Q$2))</f>
        <v>3903.78318486203</v>
      </c>
      <c r="K315" s="15" t="n">
        <f aca="false">J315*(1+IF(K$3&lt;=$O$2,$D315,$D315-($D315-$I$292)*MIN(K$3-$O$2,$Q$2)/$Q$2))</f>
        <v>3759.80939820274</v>
      </c>
      <c r="L315" s="15" t="n">
        <f aca="false">K315*(1+IF(L$3&lt;=$O$2,$D315,$D315-($D315-$I$292)*MIN(L$3-$O$2,$Q$2)/$Q$2))</f>
        <v>3715.36699821723</v>
      </c>
      <c r="M315" s="15" t="n">
        <f aca="false">L315*(1+IF(M$3&lt;=$O$2,$D315,$D315-($D315-$I$292)*MIN(M$3-$O$2,$Q$2)/$Q$2))</f>
        <v>3764.55773941116</v>
      </c>
      <c r="N315" s="15" t="n">
        <f aca="false">M315*(1+IF(N$3&lt;=$O$2,$D315,$D315-($D315-$I$292)*MIN(N$3-$O$2,$Q$2)/$Q$2))</f>
        <v>3908.74030083061</v>
      </c>
      <c r="O315" s="15" t="n">
        <f aca="false">SUMPRODUCT(E315:N315,1/(1+$F$292)^$E$3:$N$3)*$E$2</f>
        <v>9968.14845468094</v>
      </c>
      <c r="P315" s="15" t="n">
        <f aca="false">N315*$E$2*(1+$I$292)/($F$292-$I$292)/(1+$F$292)^$N$3</f>
        <v>16387.0480988049</v>
      </c>
      <c r="Q315" s="15" t="n">
        <f aca="false">O315+P315</f>
        <v>26355.1965534858</v>
      </c>
      <c r="R315" s="15" t="n">
        <f aca="false">Q315-$G$2+$I$2</f>
        <v>19009.9965534858</v>
      </c>
      <c r="S315" s="42" t="n">
        <f aca="false">R315/$K$2</f>
        <v>81.0142618942503</v>
      </c>
      <c r="T315" s="43" t="n">
        <f aca="false">S315-$M$2</f>
        <v>-1.46878933122707E-005</v>
      </c>
    </row>
    <row r="316" customFormat="false" ht="15" hidden="false" customHeight="false" outlineLevel="0" collapsed="false">
      <c r="A316" s="5" t="n">
        <v>23</v>
      </c>
      <c r="B316" s="25" t="n">
        <f aca="false">IF(T315&gt;0,B315,D315)</f>
        <v>-0.0870009660720825</v>
      </c>
      <c r="C316" s="25" t="n">
        <f aca="false">IF(T315&gt;0,D315,C315)</f>
        <v>-0.0870006084442139</v>
      </c>
      <c r="D316" s="41" t="n">
        <f aca="false">(B316+C316)/2</f>
        <v>-0.0870007872581482</v>
      </c>
      <c r="E316" s="15" t="n">
        <f aca="false">$C$2*(1+IF(E$3&lt;=$O$2,$D316,$D316-($D316-$I$292)*MIN(E$3-$O$2,$Q$2)/$Q$2))</f>
        <v>5989.27483558655</v>
      </c>
      <c r="F316" s="15" t="n">
        <f aca="false">E316*(1+IF(F$3&lt;=$O$2,$D316,$D316-($D316-$I$292)*MIN(F$3-$O$2,$Q$2)/$Q$2))</f>
        <v>5468.2032097851</v>
      </c>
      <c r="G316" s="15" t="n">
        <f aca="false">F316*(1+IF(G$3&lt;=$O$2,$D316,$D316-($D316-$I$292)*MIN(G$3-$O$2,$Q$2)/$Q$2))</f>
        <v>4992.46522564627</v>
      </c>
      <c r="H316" s="15" t="n">
        <f aca="false">G316*(1+IF(H$3&lt;=$O$2,$D316,$D316-($D316-$I$292)*MIN(H$3-$O$2,$Q$2)/$Q$2))</f>
        <v>4558.11682065611</v>
      </c>
      <c r="I316" s="15" t="n">
        <f aca="false">H316*(1+IF(I$3&lt;=$O$2,$D316,$D316-($D316-$I$292)*MIN(I$3-$O$2,$Q$2)/$Q$2))</f>
        <v>4161.55706884442</v>
      </c>
      <c r="J316" s="15" t="n">
        <f aca="false">I316*(1+IF(J$3&lt;=$O$2,$D316,$D316-($D316-$I$292)*MIN(J$3-$O$2,$Q$2)/$Q$2))</f>
        <v>3903.78760302443</v>
      </c>
      <c r="K316" s="15" t="n">
        <f aca="false">J316*(1+IF(K$3&lt;=$O$2,$D316,$D316-($D316-$I$292)*MIN(K$3-$O$2,$Q$2)/$Q$2))</f>
        <v>3759.81407225173</v>
      </c>
      <c r="L316" s="15" t="n">
        <f aca="false">K316*(1+IF(L$3&lt;=$O$2,$D316,$D316-($D316-$I$292)*MIN(L$3-$O$2,$Q$2)/$Q$2))</f>
        <v>3715.37188594001</v>
      </c>
      <c r="M316" s="15" t="n">
        <f aca="false">L316*(1+IF(M$3&lt;=$O$2,$D316,$D316-($D316-$I$292)*MIN(M$3-$O$2,$Q$2)/$Q$2))</f>
        <v>3764.5628247185</v>
      </c>
      <c r="N316" s="15" t="n">
        <f aca="false">M316*(1+IF(N$3&lt;=$O$2,$D316,$D316-($D316-$I$292)*MIN(N$3-$O$2,$Q$2)/$Q$2))</f>
        <v>3908.74558090521</v>
      </c>
      <c r="O316" s="15" t="n">
        <f aca="false">SUMPRODUCT(E316:N316,1/(1+$F$292)^$E$3:$N$3)*$E$2</f>
        <v>9968.15621105169</v>
      </c>
      <c r="P316" s="15" t="n">
        <f aca="false">N316*$E$2*(1+$I$292)/($F$292-$I$292)/(1+$F$292)^$N$3</f>
        <v>16387.0702350508</v>
      </c>
      <c r="Q316" s="15" t="n">
        <f aca="false">O316+P316</f>
        <v>26355.2264461025</v>
      </c>
      <c r="R316" s="15" t="n">
        <f aca="false">Q316-$G$2+$I$2</f>
        <v>19010.0264461025</v>
      </c>
      <c r="S316" s="42" t="n">
        <f aca="false">R316/$K$2</f>
        <v>81.0143892866078</v>
      </c>
      <c r="T316" s="43" t="n">
        <f aca="false">S316-$M$2</f>
        <v>0.000112704464171998</v>
      </c>
    </row>
    <row r="317" customFormat="false" ht="15" hidden="false" customHeight="false" outlineLevel="0" collapsed="false">
      <c r="A317" s="5" t="n">
        <v>24</v>
      </c>
      <c r="B317" s="25" t="n">
        <f aca="false">IF(T316&gt;0,B316,D316)</f>
        <v>-0.0870009660720825</v>
      </c>
      <c r="C317" s="25" t="n">
        <f aca="false">IF(T316&gt;0,D316,C316)</f>
        <v>-0.0870007872581482</v>
      </c>
      <c r="D317" s="41" t="n">
        <f aca="false">(B317+C317)/2</f>
        <v>-0.0870008766651154</v>
      </c>
      <c r="E317" s="15" t="n">
        <f aca="false">$C$2*(1+IF(E$3&lt;=$O$2,$D317,$D317-($D317-$I$292)*MIN(E$3-$O$2,$Q$2)/$Q$2))</f>
        <v>5989.27424907684</v>
      </c>
      <c r="F317" s="15" t="n">
        <f aca="false">E317*(1+IF(F$3&lt;=$O$2,$D317,$D317-($D317-$I$292)*MIN(F$3-$O$2,$Q$2)/$Q$2))</f>
        <v>5468.20213881936</v>
      </c>
      <c r="G317" s="15" t="n">
        <f aca="false">F317*(1+IF(G$3&lt;=$O$2,$D317,$D317-($D317-$I$292)*MIN(G$3-$O$2,$Q$2)/$Q$2))</f>
        <v>4992.46375896001</v>
      </c>
      <c r="H317" s="15" t="n">
        <f aca="false">G317*(1+IF(H$3&lt;=$O$2,$D317,$D317-($D317-$I$292)*MIN(H$3-$O$2,$Q$2)/$Q$2))</f>
        <v>4558.11503521168</v>
      </c>
      <c r="I317" s="15" t="n">
        <f aca="false">H317*(1+IF(I$3&lt;=$O$2,$D317,$D317-($D317-$I$292)*MIN(I$3-$O$2,$Q$2)/$Q$2))</f>
        <v>4161.55503120782</v>
      </c>
      <c r="J317" s="15" t="n">
        <f aca="false">I317*(1+IF(J$3&lt;=$O$2,$D317,$D317-($D317-$I$292)*MIN(J$3-$O$2,$Q$2)/$Q$2))</f>
        <v>3903.78539394271</v>
      </c>
      <c r="K317" s="15" t="n">
        <f aca="false">J317*(1+IF(K$3&lt;=$O$2,$D317,$D317-($D317-$I$292)*MIN(K$3-$O$2,$Q$2)/$Q$2))</f>
        <v>3759.81173522662</v>
      </c>
      <c r="L317" s="15" t="n">
        <f aca="false">K317*(1+IF(L$3&lt;=$O$2,$D317,$D317-($D317-$I$292)*MIN(L$3-$O$2,$Q$2)/$Q$2))</f>
        <v>3715.36944207792</v>
      </c>
      <c r="M317" s="15" t="n">
        <f aca="false">L317*(1+IF(M$3&lt;=$O$2,$D317,$D317-($D317-$I$292)*MIN(M$3-$O$2,$Q$2)/$Q$2))</f>
        <v>3764.56028206408</v>
      </c>
      <c r="N317" s="15" t="n">
        <f aca="false">M317*(1+IF(N$3&lt;=$O$2,$D317,$D317-($D317-$I$292)*MIN(N$3-$O$2,$Q$2)/$Q$2))</f>
        <v>3908.74294086713</v>
      </c>
      <c r="O317" s="15" t="n">
        <f aca="false">SUMPRODUCT(E317:N317,1/(1+$F$292)^$E$3:$N$3)*$E$2</f>
        <v>9968.15233286552</v>
      </c>
      <c r="P317" s="15" t="n">
        <f aca="false">N317*$E$2*(1+$I$292)/($F$292-$I$292)/(1+$F$292)^$N$3</f>
        <v>16387.0591669246</v>
      </c>
      <c r="Q317" s="15" t="n">
        <f aca="false">O317+P317</f>
        <v>26355.2114997901</v>
      </c>
      <c r="R317" s="15" t="n">
        <f aca="false">Q317-$G$2+$I$2</f>
        <v>19010.0114997901</v>
      </c>
      <c r="S317" s="42" t="n">
        <f aca="false">R317/$K$2</f>
        <v>81.0143255904118</v>
      </c>
      <c r="T317" s="43" t="n">
        <f aca="false">S317-$M$2</f>
        <v>4.90082681494641E-005</v>
      </c>
    </row>
    <row r="319" customFormat="false" ht="15" hidden="false" customHeight="false" outlineLevel="0" collapsed="false">
      <c r="A319" s="38" t="s">
        <v>193</v>
      </c>
      <c r="E319" s="5" t="s">
        <v>11</v>
      </c>
      <c r="F319" s="12" t="n">
        <f aca="false">Sensitivity!$B$12</f>
        <v>0.0812368036285737</v>
      </c>
      <c r="G319" s="5" t="s">
        <v>12</v>
      </c>
      <c r="I319" s="12" t="n">
        <f aca="false">Sensitivity!$C$9</f>
        <v>0.0183</v>
      </c>
    </row>
    <row r="320" customFormat="false" ht="23.85" hidden="false" customHeight="false" outlineLevel="0" collapsed="false">
      <c r="A320" s="38" t="s">
        <v>163</v>
      </c>
      <c r="B320" s="28" t="s">
        <v>164</v>
      </c>
      <c r="C320" s="28" t="s">
        <v>165</v>
      </c>
      <c r="D320" s="28" t="s">
        <v>166</v>
      </c>
      <c r="E320" s="28" t="s">
        <v>167</v>
      </c>
      <c r="F320" s="28" t="s">
        <v>168</v>
      </c>
      <c r="G320" s="28" t="s">
        <v>169</v>
      </c>
      <c r="H320" s="28" t="s">
        <v>170</v>
      </c>
      <c r="I320" s="28" t="s">
        <v>171</v>
      </c>
      <c r="J320" s="28" t="s">
        <v>172</v>
      </c>
      <c r="K320" s="28" t="s">
        <v>173</v>
      </c>
      <c r="L320" s="28" t="s">
        <v>174</v>
      </c>
      <c r="M320" s="28" t="s">
        <v>175</v>
      </c>
      <c r="N320" s="28" t="s">
        <v>176</v>
      </c>
      <c r="O320" s="28" t="s">
        <v>177</v>
      </c>
      <c r="P320" s="28" t="s">
        <v>178</v>
      </c>
      <c r="Q320" s="28" t="s">
        <v>179</v>
      </c>
      <c r="R320" s="28" t="s">
        <v>180</v>
      </c>
      <c r="S320" s="28" t="s">
        <v>181</v>
      </c>
      <c r="T320" s="28" t="s">
        <v>182</v>
      </c>
    </row>
    <row r="321" customFormat="false" ht="15" hidden="false" customHeight="false" outlineLevel="0" collapsed="false">
      <c r="A321" s="5" t="n">
        <v>1</v>
      </c>
      <c r="B321" s="24" t="n">
        <v>-0.5</v>
      </c>
      <c r="C321" s="24" t="n">
        <v>1</v>
      </c>
      <c r="D321" s="41" t="n">
        <f aca="false">(B321+C321)/2</f>
        <v>0.25</v>
      </c>
      <c r="E321" s="15" t="n">
        <f aca="false">$C$2*(1+IF(E$3&lt;=$O$2,$D321,$D321-($D321-$I$319)*MIN(E$3-$O$2,$Q$2)/$Q$2))</f>
        <v>8200</v>
      </c>
      <c r="F321" s="15" t="n">
        <f aca="false">E321*(1+IF(F$3&lt;=$O$2,$D321,$D321-($D321-$I$319)*MIN(F$3-$O$2,$Q$2)/$Q$2))</f>
        <v>10250</v>
      </c>
      <c r="G321" s="15" t="n">
        <f aca="false">F321*(1+IF(G$3&lt;=$O$2,$D321,$D321-($D321-$I$319)*MIN(G$3-$O$2,$Q$2)/$Q$2))</f>
        <v>12812.5</v>
      </c>
      <c r="H321" s="15" t="n">
        <f aca="false">G321*(1+IF(H$3&lt;=$O$2,$D321,$D321-($D321-$I$319)*MIN(H$3-$O$2,$Q$2)/$Q$2))</f>
        <v>16015.625</v>
      </c>
      <c r="I321" s="15" t="n">
        <f aca="false">H321*(1+IF(I$3&lt;=$O$2,$D321,$D321-($D321-$I$319)*MIN(I$3-$O$2,$Q$2)/$Q$2))</f>
        <v>20019.53125</v>
      </c>
      <c r="J321" s="15" t="n">
        <f aca="false">I321*(1+IF(J$3&lt;=$O$2,$D321,$D321-($D321-$I$319)*MIN(J$3-$O$2,$Q$2)/$Q$2))</f>
        <v>24096.708984375</v>
      </c>
      <c r="K321" s="15" t="n">
        <f aca="false">J321*(1+IF(K$3&lt;=$O$2,$D321,$D321-($D321-$I$319)*MIN(K$3-$O$2,$Q$2)/$Q$2))</f>
        <v>27887.6032417969</v>
      </c>
      <c r="L321" s="15" t="n">
        <f aca="false">K321*(1+IF(L$3&lt;=$O$2,$D321,$D321-($D321-$I$319)*MIN(L$3-$O$2,$Q$2)/$Q$2))</f>
        <v>30982.5694495715</v>
      </c>
      <c r="M321" s="15" t="n">
        <f aca="false">L321*(1+IF(M$3&lt;=$O$2,$D321,$D321-($D321-$I$319)*MIN(M$3-$O$2,$Q$2)/$Q$2))</f>
        <v>32985.2827387918</v>
      </c>
      <c r="N321" s="15" t="n">
        <f aca="false">M321*(1+IF(N$3&lt;=$O$2,$D321,$D321-($D321-$I$319)*MIN(N$3-$O$2,$Q$2)/$Q$2))</f>
        <v>33588.9134129117</v>
      </c>
      <c r="O321" s="15" t="n">
        <f aca="false">SUMPRODUCT(E321:N321,1/(1+$F$319)^$E$3:$N$3)*$E$2</f>
        <v>41924.1637791809</v>
      </c>
      <c r="P321" s="15" t="n">
        <f aca="false">N321*$E$2*(1+$I$319)/($F$319-$I$319)/(1+$F$319)^$N$3</f>
        <v>79476.5495324827</v>
      </c>
      <c r="Q321" s="15" t="n">
        <f aca="false">O321+P321</f>
        <v>121400.713311664</v>
      </c>
      <c r="R321" s="15" t="n">
        <f aca="false">Q321-$G$2+$I$2</f>
        <v>114055.513311664</v>
      </c>
      <c r="S321" s="42" t="n">
        <f aca="false">R321/$K$2</f>
        <v>486.066538724328</v>
      </c>
      <c r="T321" s="43" t="n">
        <f aca="false">S321-$M$2</f>
        <v>405.052262142184</v>
      </c>
    </row>
    <row r="322" customFormat="false" ht="15" hidden="false" customHeight="false" outlineLevel="0" collapsed="false">
      <c r="A322" s="5" t="n">
        <v>2</v>
      </c>
      <c r="B322" s="25" t="n">
        <f aca="false">IF(T321&gt;0,B321,D321)</f>
        <v>-0.5</v>
      </c>
      <c r="C322" s="25" t="n">
        <f aca="false">IF(T321&gt;0,D321,C321)</f>
        <v>0.25</v>
      </c>
      <c r="D322" s="41" t="n">
        <f aca="false">(B322+C322)/2</f>
        <v>-0.125</v>
      </c>
      <c r="E322" s="15" t="n">
        <f aca="false">$C$2*(1+IF(E$3&lt;=$O$2,$D322,$D322-($D322-$I$319)*MIN(E$3-$O$2,$Q$2)/$Q$2))</f>
        <v>5740</v>
      </c>
      <c r="F322" s="15" t="n">
        <f aca="false">E322*(1+IF(F$3&lt;=$O$2,$D322,$D322-($D322-$I$319)*MIN(F$3-$O$2,$Q$2)/$Q$2))</f>
        <v>5022.5</v>
      </c>
      <c r="G322" s="15" t="n">
        <f aca="false">F322*(1+IF(G$3&lt;=$O$2,$D322,$D322-($D322-$I$319)*MIN(G$3-$O$2,$Q$2)/$Q$2))</f>
        <v>4394.6875</v>
      </c>
      <c r="H322" s="15" t="n">
        <f aca="false">G322*(1+IF(H$3&lt;=$O$2,$D322,$D322-($D322-$I$319)*MIN(H$3-$O$2,$Q$2)/$Q$2))</f>
        <v>3845.3515625</v>
      </c>
      <c r="I322" s="15" t="n">
        <f aca="false">H322*(1+IF(I$3&lt;=$O$2,$D322,$D322-($D322-$I$319)*MIN(I$3-$O$2,$Q$2)/$Q$2))</f>
        <v>3364.6826171875</v>
      </c>
      <c r="J322" s="15" t="n">
        <f aca="false">I322*(1+IF(J$3&lt;=$O$2,$D322,$D322-($D322-$I$319)*MIN(J$3-$O$2,$Q$2)/$Q$2))</f>
        <v>3040.52909384766</v>
      </c>
      <c r="K322" s="15" t="n">
        <f aca="false">J322*(1+IF(K$3&lt;=$O$2,$D322,$D322-($D322-$I$319)*MIN(K$3-$O$2,$Q$2)/$Q$2))</f>
        <v>2834.74608477605</v>
      </c>
      <c r="L322" s="15" t="n">
        <f aca="false">K322*(1+IF(L$3&lt;=$O$2,$D322,$D322-($D322-$I$319)*MIN(L$3-$O$2,$Q$2)/$Q$2))</f>
        <v>2724.13429254809</v>
      </c>
      <c r="M322" s="15" t="n">
        <f aca="false">L322*(1+IF(M$3&lt;=$O$2,$D322,$D322-($D322-$I$319)*MIN(M$3-$O$2,$Q$2)/$Q$2))</f>
        <v>2695.91226127729</v>
      </c>
      <c r="N322" s="15" t="n">
        <f aca="false">M322*(1+IF(N$3&lt;=$O$2,$D322,$D322-($D322-$I$319)*MIN(N$3-$O$2,$Q$2)/$Q$2))</f>
        <v>2745.24745565866</v>
      </c>
      <c r="O322" s="15" t="n">
        <f aca="false">SUMPRODUCT(E322:N322,1/(1+$F$319)^$E$3:$N$3)*$E$2</f>
        <v>8228.63298572953</v>
      </c>
      <c r="P322" s="15" t="n">
        <f aca="false">N322*$E$2*(1+$I$319)/($F$319-$I$319)/(1+$F$319)^$N$3</f>
        <v>6495.6788779213</v>
      </c>
      <c r="Q322" s="15" t="n">
        <f aca="false">O322+P322</f>
        <v>14724.3118636508</v>
      </c>
      <c r="R322" s="15" t="n">
        <f aca="false">Q322-$G$2+$I$2</f>
        <v>7379.11186365083</v>
      </c>
      <c r="S322" s="42" t="n">
        <f aca="false">R322/$K$2</f>
        <v>31.4473124383159</v>
      </c>
      <c r="T322" s="43" t="n">
        <f aca="false">S322-$M$2</f>
        <v>-49.5669641438277</v>
      </c>
    </row>
    <row r="323" customFormat="false" ht="15" hidden="false" customHeight="false" outlineLevel="0" collapsed="false">
      <c r="A323" s="5" t="n">
        <v>3</v>
      </c>
      <c r="B323" s="25" t="n">
        <f aca="false">IF(T322&gt;0,B322,D322)</f>
        <v>-0.125</v>
      </c>
      <c r="C323" s="25" t="n">
        <f aca="false">IF(T322&gt;0,D322,C322)</f>
        <v>0.25</v>
      </c>
      <c r="D323" s="41" t="n">
        <f aca="false">(B323+C323)/2</f>
        <v>0.0625</v>
      </c>
      <c r="E323" s="15" t="n">
        <f aca="false">$C$2*(1+IF(E$3&lt;=$O$2,$D323,$D323-($D323-$I$319)*MIN(E$3-$O$2,$Q$2)/$Q$2))</f>
        <v>6970</v>
      </c>
      <c r="F323" s="15" t="n">
        <f aca="false">E323*(1+IF(F$3&lt;=$O$2,$D323,$D323-($D323-$I$319)*MIN(F$3-$O$2,$Q$2)/$Q$2))</f>
        <v>7405.625</v>
      </c>
      <c r="G323" s="15" t="n">
        <f aca="false">F323*(1+IF(G$3&lt;=$O$2,$D323,$D323-($D323-$I$319)*MIN(G$3-$O$2,$Q$2)/$Q$2))</f>
        <v>7868.4765625</v>
      </c>
      <c r="H323" s="15" t="n">
        <f aca="false">G323*(1+IF(H$3&lt;=$O$2,$D323,$D323-($D323-$I$319)*MIN(H$3-$O$2,$Q$2)/$Q$2))</f>
        <v>8360.25634765625</v>
      </c>
      <c r="I323" s="15" t="n">
        <f aca="false">H323*(1+IF(I$3&lt;=$O$2,$D323,$D323-($D323-$I$319)*MIN(I$3-$O$2,$Q$2)/$Q$2))</f>
        <v>8882.77236938477</v>
      </c>
      <c r="J323" s="15" t="n">
        <f aca="false">I323*(1+IF(J$3&lt;=$O$2,$D323,$D323-($D323-$I$319)*MIN(J$3-$O$2,$Q$2)/$Q$2))</f>
        <v>9359.42193472595</v>
      </c>
      <c r="K323" s="15" t="n">
        <f aca="false">J323*(1+IF(K$3&lt;=$O$2,$D323,$D323-($D323-$I$319)*MIN(K$3-$O$2,$Q$2)/$Q$2))</f>
        <v>9778.91122584037</v>
      </c>
      <c r="L323" s="15" t="n">
        <f aca="false">K323*(1+IF(L$3&lt;=$O$2,$D323,$D323-($D323-$I$319)*MIN(L$3-$O$2,$Q$2)/$Q$2))</f>
        <v>10130.7564517461</v>
      </c>
      <c r="M323" s="15" t="n">
        <f aca="false">L323*(1+IF(M$3&lt;=$O$2,$D323,$D323-($D323-$I$319)*MIN(M$3-$O$2,$Q$2)/$Q$2))</f>
        <v>10405.7051818465</v>
      </c>
      <c r="N323" s="15" t="n">
        <f aca="false">M323*(1+IF(N$3&lt;=$O$2,$D323,$D323-($D323-$I$319)*MIN(N$3-$O$2,$Q$2)/$Q$2))</f>
        <v>10596.1295866743</v>
      </c>
      <c r="O323" s="15" t="n">
        <f aca="false">SUMPRODUCT(E323:N323,1/(1+$F$319)^$E$3:$N$3)*$E$2</f>
        <v>18548.2514048143</v>
      </c>
      <c r="P323" s="15" t="n">
        <f aca="false">N323*$E$2*(1+$I$319)/($F$319-$I$319)/(1+$F$319)^$N$3</f>
        <v>25072.0768366446</v>
      </c>
      <c r="Q323" s="15" t="n">
        <f aca="false">O323+P323</f>
        <v>43620.3282414589</v>
      </c>
      <c r="R323" s="15" t="n">
        <f aca="false">Q323-$G$2+$I$2</f>
        <v>36275.1282414589</v>
      </c>
      <c r="S323" s="42" t="n">
        <f aca="false">R323/$K$2</f>
        <v>154.592491972976</v>
      </c>
      <c r="T323" s="43" t="n">
        <f aca="false">S323-$M$2</f>
        <v>73.5782153908326</v>
      </c>
    </row>
    <row r="324" customFormat="false" ht="15" hidden="false" customHeight="false" outlineLevel="0" collapsed="false">
      <c r="A324" s="5" t="n">
        <v>4</v>
      </c>
      <c r="B324" s="25" t="n">
        <f aca="false">IF(T323&gt;0,B323,D323)</f>
        <v>-0.125</v>
      </c>
      <c r="C324" s="25" t="n">
        <f aca="false">IF(T323&gt;0,D323,C323)</f>
        <v>0.0625</v>
      </c>
      <c r="D324" s="41" t="n">
        <f aca="false">(B324+C324)/2</f>
        <v>-0.03125</v>
      </c>
      <c r="E324" s="15" t="n">
        <f aca="false">$C$2*(1+IF(E$3&lt;=$O$2,$D324,$D324-($D324-$I$319)*MIN(E$3-$O$2,$Q$2)/$Q$2))</f>
        <v>6355</v>
      </c>
      <c r="F324" s="15" t="n">
        <f aca="false">E324*(1+IF(F$3&lt;=$O$2,$D324,$D324-($D324-$I$319)*MIN(F$3-$O$2,$Q$2)/$Q$2))</f>
        <v>6156.40625</v>
      </c>
      <c r="G324" s="15" t="n">
        <f aca="false">F324*(1+IF(G$3&lt;=$O$2,$D324,$D324-($D324-$I$319)*MIN(G$3-$O$2,$Q$2)/$Q$2))</f>
        <v>5964.0185546875</v>
      </c>
      <c r="H324" s="15" t="n">
        <f aca="false">G324*(1+IF(H$3&lt;=$O$2,$D324,$D324-($D324-$I$319)*MIN(H$3-$O$2,$Q$2)/$Q$2))</f>
        <v>5777.64297485352</v>
      </c>
      <c r="I324" s="15" t="n">
        <f aca="false">H324*(1+IF(I$3&lt;=$O$2,$D324,$D324-($D324-$I$319)*MIN(I$3-$O$2,$Q$2)/$Q$2))</f>
        <v>5597.09163188934</v>
      </c>
      <c r="J324" s="15" t="n">
        <f aca="false">I324*(1+IF(J$3&lt;=$O$2,$D324,$D324-($D324-$I$319)*MIN(J$3-$O$2,$Q$2)/$Q$2))</f>
        <v>5477.64969646483</v>
      </c>
      <c r="K324" s="15" t="n">
        <f aca="false">J324*(1+IF(K$3&lt;=$O$2,$D324,$D324-($D324-$I$319)*MIN(K$3-$O$2,$Q$2)/$Q$2))</f>
        <v>5415.04016043423</v>
      </c>
      <c r="L324" s="15" t="n">
        <f aca="false">K324*(1+IF(L$3&lt;=$O$2,$D324,$D324-($D324-$I$319)*MIN(L$3-$O$2,$Q$2)/$Q$2))</f>
        <v>5406.80929939037</v>
      </c>
      <c r="M324" s="15" t="n">
        <f aca="false">L324*(1+IF(M$3&lt;=$O$2,$D324,$D324-($D324-$I$319)*MIN(M$3-$O$2,$Q$2)/$Q$2))</f>
        <v>5452.17242941226</v>
      </c>
      <c r="N324" s="15" t="n">
        <f aca="false">M324*(1+IF(N$3&lt;=$O$2,$D324,$D324-($D324-$I$319)*MIN(N$3-$O$2,$Q$2)/$Q$2))</f>
        <v>5551.9471848705</v>
      </c>
      <c r="O324" s="15" t="n">
        <f aca="false">SUMPRODUCT(E324:N324,1/(1+$F$319)^$E$3:$N$3)*$E$2</f>
        <v>12319.5184547059</v>
      </c>
      <c r="P324" s="15" t="n">
        <f aca="false">N324*$E$2*(1+$I$319)/($F$319-$I$319)/(1+$F$319)^$N$3</f>
        <v>13136.7633128159</v>
      </c>
      <c r="Q324" s="15" t="n">
        <f aca="false">O324+P324</f>
        <v>25456.2817675218</v>
      </c>
      <c r="R324" s="15" t="n">
        <f aca="false">Q324-$G$2+$I$2</f>
        <v>18111.0817675218</v>
      </c>
      <c r="S324" s="42" t="n">
        <f aca="false">R324/$K$2</f>
        <v>77.183387033973</v>
      </c>
      <c r="T324" s="43" t="n">
        <f aca="false">S324-$M$2</f>
        <v>-3.83088954817059</v>
      </c>
    </row>
    <row r="325" customFormat="false" ht="15" hidden="false" customHeight="false" outlineLevel="0" collapsed="false">
      <c r="A325" s="5" t="n">
        <v>5</v>
      </c>
      <c r="B325" s="25" t="n">
        <f aca="false">IF(T324&gt;0,B324,D324)</f>
        <v>-0.03125</v>
      </c>
      <c r="C325" s="25" t="n">
        <f aca="false">IF(T324&gt;0,D324,C324)</f>
        <v>0.0625</v>
      </c>
      <c r="D325" s="41" t="n">
        <f aca="false">(B325+C325)/2</f>
        <v>0.015625</v>
      </c>
      <c r="E325" s="15" t="n">
        <f aca="false">$C$2*(1+IF(E$3&lt;=$O$2,$D325,$D325-($D325-$I$319)*MIN(E$3-$O$2,$Q$2)/$Q$2))</f>
        <v>6662.5</v>
      </c>
      <c r="F325" s="15" t="n">
        <f aca="false">E325*(1+IF(F$3&lt;=$O$2,$D325,$D325-($D325-$I$319)*MIN(F$3-$O$2,$Q$2)/$Q$2))</f>
        <v>6766.6015625</v>
      </c>
      <c r="G325" s="15" t="n">
        <f aca="false">F325*(1+IF(G$3&lt;=$O$2,$D325,$D325-($D325-$I$319)*MIN(G$3-$O$2,$Q$2)/$Q$2))</f>
        <v>6872.32971191406</v>
      </c>
      <c r="H325" s="15" t="n">
        <f aca="false">G325*(1+IF(H$3&lt;=$O$2,$D325,$D325-($D325-$I$319)*MIN(H$3-$O$2,$Q$2)/$Q$2))</f>
        <v>6979.70986366272</v>
      </c>
      <c r="I325" s="15" t="n">
        <f aca="false">H325*(1+IF(I$3&lt;=$O$2,$D325,$D325-($D325-$I$319)*MIN(I$3-$O$2,$Q$2)/$Q$2))</f>
        <v>7088.76783028245</v>
      </c>
      <c r="J325" s="15" t="n">
        <f aca="false">I325*(1+IF(J$3&lt;=$O$2,$D325,$D325-($D325-$I$319)*MIN(J$3-$O$2,$Q$2)/$Q$2))</f>
        <v>7203.32231841981</v>
      </c>
      <c r="K325" s="15" t="n">
        <f aca="false">J325*(1+IF(K$3&lt;=$O$2,$D325,$D325-($D325-$I$319)*MIN(K$3-$O$2,$Q$2)/$Q$2))</f>
        <v>7323.58178452583</v>
      </c>
      <c r="L325" s="15" t="n">
        <f aca="false">K325*(1+IF(L$3&lt;=$O$2,$D325,$D325-($D325-$I$319)*MIN(L$3-$O$2,$Q$2)/$Q$2))</f>
        <v>7449.76709867321</v>
      </c>
      <c r="M325" s="15" t="n">
        <f aca="false">L325*(1+IF(M$3&lt;=$O$2,$D325,$D325-($D325-$I$319)*MIN(M$3-$O$2,$Q$2)/$Q$2))</f>
        <v>7582.11221118114</v>
      </c>
      <c r="N325" s="15" t="n">
        <f aca="false">M325*(1+IF(N$3&lt;=$O$2,$D325,$D325-($D325-$I$319)*MIN(N$3-$O$2,$Q$2)/$Q$2))</f>
        <v>7720.86486464576</v>
      </c>
      <c r="O325" s="15" t="n">
        <f aca="false">SUMPRODUCT(E325:N325,1/(1+$F$319)^$E$3:$N$3)*$E$2</f>
        <v>15110.7458397709</v>
      </c>
      <c r="P325" s="15" t="n">
        <f aca="false">N325*$E$2*(1+$I$319)/($F$319-$I$319)/(1+$F$319)^$N$3</f>
        <v>18268.7570540089</v>
      </c>
      <c r="Q325" s="15" t="n">
        <f aca="false">O325+P325</f>
        <v>33379.5028937798</v>
      </c>
      <c r="R325" s="15" t="n">
        <f aca="false">Q325-$G$2+$I$2</f>
        <v>26034.3028937798</v>
      </c>
      <c r="S325" s="42" t="n">
        <f aca="false">R325/$K$2</f>
        <v>110.949511586532</v>
      </c>
      <c r="T325" s="43" t="n">
        <f aca="false">S325-$M$2</f>
        <v>29.9352350043886</v>
      </c>
    </row>
    <row r="326" customFormat="false" ht="15" hidden="false" customHeight="false" outlineLevel="0" collapsed="false">
      <c r="A326" s="5" t="n">
        <v>6</v>
      </c>
      <c r="B326" s="25" t="n">
        <f aca="false">IF(T325&gt;0,B325,D325)</f>
        <v>-0.03125</v>
      </c>
      <c r="C326" s="25" t="n">
        <f aca="false">IF(T325&gt;0,D325,C325)</f>
        <v>0.015625</v>
      </c>
      <c r="D326" s="41" t="n">
        <f aca="false">(B326+C326)/2</f>
        <v>-0.0078125</v>
      </c>
      <c r="E326" s="15" t="n">
        <f aca="false">$C$2*(1+IF(E$3&lt;=$O$2,$D326,$D326-($D326-$I$319)*MIN(E$3-$O$2,$Q$2)/$Q$2))</f>
        <v>6508.75</v>
      </c>
      <c r="F326" s="15" t="n">
        <f aca="false">E326*(1+IF(F$3&lt;=$O$2,$D326,$D326-($D326-$I$319)*MIN(F$3-$O$2,$Q$2)/$Q$2))</f>
        <v>6457.900390625</v>
      </c>
      <c r="G326" s="15" t="n">
        <f aca="false">F326*(1+IF(G$3&lt;=$O$2,$D326,$D326-($D326-$I$319)*MIN(G$3-$O$2,$Q$2)/$Q$2))</f>
        <v>6407.44804382324</v>
      </c>
      <c r="H326" s="15" t="n">
        <f aca="false">G326*(1+IF(H$3&lt;=$O$2,$D326,$D326-($D326-$I$319)*MIN(H$3-$O$2,$Q$2)/$Q$2))</f>
        <v>6357.38985598087</v>
      </c>
      <c r="I326" s="15" t="n">
        <f aca="false">H326*(1+IF(I$3&lt;=$O$2,$D326,$D326-($D326-$I$319)*MIN(I$3-$O$2,$Q$2)/$Q$2))</f>
        <v>6307.72274773102</v>
      </c>
      <c r="J326" s="15" t="n">
        <f aca="false">I326*(1+IF(J$3&lt;=$O$2,$D326,$D326-($D326-$I$319)*MIN(J$3-$O$2,$Q$2)/$Q$2))</f>
        <v>6291.3857458144</v>
      </c>
      <c r="K326" s="15" t="n">
        <f aca="false">J326*(1+IF(K$3&lt;=$O$2,$D326,$D326-($D326-$I$319)*MIN(K$3-$O$2,$Q$2)/$Q$2))</f>
        <v>6307.94781879026</v>
      </c>
      <c r="L326" s="15" t="n">
        <f aca="false">K326*(1+IF(L$3&lt;=$O$2,$D326,$D326-($D326-$I$319)*MIN(L$3-$O$2,$Q$2)/$Q$2))</f>
        <v>6357.49674890685</v>
      </c>
      <c r="M326" s="15" t="n">
        <f aca="false">L326*(1+IF(M$3&lt;=$O$2,$D326,$D326-($D326-$I$319)*MIN(M$3-$O$2,$Q$2)/$Q$2))</f>
        <v>6440.63691264068</v>
      </c>
      <c r="N326" s="15" t="n">
        <f aca="false">M326*(1+IF(N$3&lt;=$O$2,$D326,$D326-($D326-$I$319)*MIN(N$3-$O$2,$Q$2)/$Q$2))</f>
        <v>6558.50056814201</v>
      </c>
      <c r="O326" s="15" t="n">
        <f aca="false">SUMPRODUCT(E326:N326,1/(1+$F$319)^$E$3:$N$3)*$E$2</f>
        <v>13642.1047604689</v>
      </c>
      <c r="P326" s="15" t="n">
        <f aca="false">N326*$E$2*(1+$I$319)/($F$319-$I$319)/(1+$F$319)^$N$3</f>
        <v>15518.4238577478</v>
      </c>
      <c r="Q326" s="15" t="n">
        <f aca="false">O326+P326</f>
        <v>29160.5286182167</v>
      </c>
      <c r="R326" s="15" t="n">
        <f aca="false">Q326-$G$2+$I$2</f>
        <v>21815.3286182167</v>
      </c>
      <c r="S326" s="42" t="n">
        <f aca="false">R326/$K$2</f>
        <v>92.9696510471625</v>
      </c>
      <c r="T326" s="43" t="n">
        <f aca="false">S326-$M$2</f>
        <v>11.9553744650189</v>
      </c>
    </row>
    <row r="327" customFormat="false" ht="15" hidden="false" customHeight="false" outlineLevel="0" collapsed="false">
      <c r="A327" s="5" t="n">
        <v>7</v>
      </c>
      <c r="B327" s="25" t="n">
        <f aca="false">IF(T326&gt;0,B326,D326)</f>
        <v>-0.03125</v>
      </c>
      <c r="C327" s="25" t="n">
        <f aca="false">IF(T326&gt;0,D326,C326)</f>
        <v>-0.0078125</v>
      </c>
      <c r="D327" s="41" t="n">
        <f aca="false">(B327+C327)/2</f>
        <v>-0.01953125</v>
      </c>
      <c r="E327" s="15" t="n">
        <f aca="false">$C$2*(1+IF(E$3&lt;=$O$2,$D327,$D327-($D327-$I$319)*MIN(E$3-$O$2,$Q$2)/$Q$2))</f>
        <v>6431.875</v>
      </c>
      <c r="F327" s="15" t="n">
        <f aca="false">E327*(1+IF(F$3&lt;=$O$2,$D327,$D327-($D327-$I$319)*MIN(F$3-$O$2,$Q$2)/$Q$2))</f>
        <v>6306.25244140625</v>
      </c>
      <c r="G327" s="15" t="n">
        <f aca="false">F327*(1+IF(G$3&lt;=$O$2,$D327,$D327-($D327-$I$319)*MIN(G$3-$O$2,$Q$2)/$Q$2))</f>
        <v>6183.08344841003</v>
      </c>
      <c r="H327" s="15" t="n">
        <f aca="false">G327*(1+IF(H$3&lt;=$O$2,$D327,$D327-($D327-$I$319)*MIN(H$3-$O$2,$Q$2)/$Q$2))</f>
        <v>6062.32009980828</v>
      </c>
      <c r="I327" s="15" t="n">
        <f aca="false">H327*(1+IF(I$3&lt;=$O$2,$D327,$D327-($D327-$I$319)*MIN(I$3-$O$2,$Q$2)/$Q$2))</f>
        <v>5943.9154103589</v>
      </c>
      <c r="J327" s="15" t="n">
        <f aca="false">I327*(1+IF(J$3&lt;=$O$2,$D327,$D327-($D327-$I$319)*MIN(J$3-$O$2,$Q$2)/$Q$2))</f>
        <v>5872.79646247395</v>
      </c>
      <c r="K327" s="15" t="n">
        <f aca="false">J327*(1+IF(K$3&lt;=$O$2,$D327,$D327-($D327-$I$319)*MIN(K$3-$O$2,$Q$2)/$Q$2))</f>
        <v>5846.96349903464</v>
      </c>
      <c r="L327" s="15" t="n">
        <f aca="false">K327*(1+IF(L$3&lt;=$O$2,$D327,$D327-($D327-$I$319)*MIN(L$3-$O$2,$Q$2)/$Q$2))</f>
        <v>5865.48375591784</v>
      </c>
      <c r="M327" s="15" t="n">
        <f aca="false">L327*(1+IF(M$3&lt;=$O$2,$D327,$D327-($D327-$I$319)*MIN(M$3-$O$2,$Q$2)/$Q$2))</f>
        <v>5928.44239218292</v>
      </c>
      <c r="N327" s="15" t="n">
        <f aca="false">M327*(1+IF(N$3&lt;=$O$2,$D327,$D327-($D327-$I$319)*MIN(N$3-$O$2,$Q$2)/$Q$2))</f>
        <v>6036.93288795987</v>
      </c>
      <c r="O327" s="15" t="n">
        <f aca="false">SUMPRODUCT(E327:N327,1/(1+$F$319)^$E$3:$N$3)*$E$2</f>
        <v>12963.4527877163</v>
      </c>
      <c r="P327" s="15" t="n">
        <f aca="false">N327*$E$2*(1+$I$319)/($F$319-$I$319)/(1+$F$319)^$N$3</f>
        <v>14284.3142853731</v>
      </c>
      <c r="Q327" s="15" t="n">
        <f aca="false">O327+P327</f>
        <v>27247.7670730895</v>
      </c>
      <c r="R327" s="15" t="n">
        <f aca="false">Q327-$G$2+$I$2</f>
        <v>19902.5670730895</v>
      </c>
      <c r="S327" s="42" t="n">
        <f aca="false">R327/$K$2</f>
        <v>84.818099608308</v>
      </c>
      <c r="T327" s="43" t="n">
        <f aca="false">S327-$M$2</f>
        <v>3.80382302616432</v>
      </c>
    </row>
    <row r="328" customFormat="false" ht="15" hidden="false" customHeight="false" outlineLevel="0" collapsed="false">
      <c r="A328" s="5" t="n">
        <v>8</v>
      </c>
      <c r="B328" s="25" t="n">
        <f aca="false">IF(T327&gt;0,B327,D327)</f>
        <v>-0.03125</v>
      </c>
      <c r="C328" s="25" t="n">
        <f aca="false">IF(T327&gt;0,D327,C327)</f>
        <v>-0.01953125</v>
      </c>
      <c r="D328" s="41" t="n">
        <f aca="false">(B328+C328)/2</f>
        <v>-0.025390625</v>
      </c>
      <c r="E328" s="15" t="n">
        <f aca="false">$C$2*(1+IF(E$3&lt;=$O$2,$D328,$D328-($D328-$I$319)*MIN(E$3-$O$2,$Q$2)/$Q$2))</f>
        <v>6393.4375</v>
      </c>
      <c r="F328" s="15" t="n">
        <f aca="false">E328*(1+IF(F$3&lt;=$O$2,$D328,$D328-($D328-$I$319)*MIN(F$3-$O$2,$Q$2)/$Q$2))</f>
        <v>6231.10412597656</v>
      </c>
      <c r="G328" s="15" t="n">
        <f aca="false">F328*(1+IF(G$3&lt;=$O$2,$D328,$D328-($D328-$I$319)*MIN(G$3-$O$2,$Q$2)/$Q$2))</f>
        <v>6072.89249777794</v>
      </c>
      <c r="H328" s="15" t="n">
        <f aca="false">G328*(1+IF(H$3&lt;=$O$2,$D328,$D328-($D328-$I$319)*MIN(H$3-$O$2,$Q$2)/$Q$2))</f>
        <v>5918.69796170155</v>
      </c>
      <c r="I328" s="15" t="n">
        <f aca="false">H328*(1+IF(I$3&lt;=$O$2,$D328,$D328-($D328-$I$319)*MIN(I$3-$O$2,$Q$2)/$Q$2))</f>
        <v>5768.41852126772</v>
      </c>
      <c r="J328" s="15" t="n">
        <f aca="false">I328*(1+IF(J$3&lt;=$O$2,$D328,$D328-($D328-$I$319)*MIN(J$3-$O$2,$Q$2)/$Q$2))</f>
        <v>5672.35993184231</v>
      </c>
      <c r="K328" s="15" t="n">
        <f aca="false">J328*(1+IF(K$3&lt;=$O$2,$D328,$D328-($D328-$I$319)*MIN(K$3-$O$2,$Q$2)/$Q$2))</f>
        <v>5627.46674820673</v>
      </c>
      <c r="L328" s="15" t="n">
        <f aca="false">K328*(1+IF(L$3&lt;=$O$2,$D328,$D328-($D328-$I$319)*MIN(L$3-$O$2,$Q$2)/$Q$2))</f>
        <v>5632.10237394057</v>
      </c>
      <c r="M328" s="15" t="n">
        <f aca="false">L328*(1+IF(M$3&lt;=$O$2,$D328,$D328-($D328-$I$319)*MIN(M$3-$O$2,$Q$2)/$Q$2))</f>
        <v>5685.95583282739</v>
      </c>
      <c r="N328" s="15" t="n">
        <f aca="false">M328*(1+IF(N$3&lt;=$O$2,$D328,$D328-($D328-$I$319)*MIN(N$3-$O$2,$Q$2)/$Q$2))</f>
        <v>5790.00882456813</v>
      </c>
      <c r="O328" s="15" t="n">
        <f aca="false">SUMPRODUCT(E328:N328,1/(1+$F$319)^$E$3:$N$3)*$E$2</f>
        <v>12637.2539284022</v>
      </c>
      <c r="P328" s="15" t="n">
        <f aca="false">N328*$E$2*(1+$I$319)/($F$319-$I$319)/(1+$F$319)^$N$3</f>
        <v>13700.0538684413</v>
      </c>
      <c r="Q328" s="15" t="n">
        <f aca="false">O328+P328</f>
        <v>26337.3077968435</v>
      </c>
      <c r="R328" s="15" t="n">
        <f aca="false">Q328-$G$2+$I$2</f>
        <v>18992.1077968435</v>
      </c>
      <c r="S328" s="42" t="n">
        <f aca="false">R328/$K$2</f>
        <v>80.9380259827125</v>
      </c>
      <c r="T328" s="43" t="n">
        <f aca="false">S328-$M$2</f>
        <v>-0.0762505994311482</v>
      </c>
    </row>
    <row r="329" customFormat="false" ht="15" hidden="false" customHeight="false" outlineLevel="0" collapsed="false">
      <c r="A329" s="5" t="n">
        <v>9</v>
      </c>
      <c r="B329" s="25" t="n">
        <f aca="false">IF(T328&gt;0,B328,D328)</f>
        <v>-0.025390625</v>
      </c>
      <c r="C329" s="25" t="n">
        <f aca="false">IF(T328&gt;0,D328,C328)</f>
        <v>-0.01953125</v>
      </c>
      <c r="D329" s="41" t="n">
        <f aca="false">(B329+C329)/2</f>
        <v>-0.0224609375</v>
      </c>
      <c r="E329" s="15" t="n">
        <f aca="false">$C$2*(1+IF(E$3&lt;=$O$2,$D329,$D329-($D329-$I$319)*MIN(E$3-$O$2,$Q$2)/$Q$2))</f>
        <v>6412.65625</v>
      </c>
      <c r="F329" s="15" t="n">
        <f aca="false">E329*(1+IF(F$3&lt;=$O$2,$D329,$D329-($D329-$I$319)*MIN(F$3-$O$2,$Q$2)/$Q$2))</f>
        <v>6268.62197875977</v>
      </c>
      <c r="G329" s="15" t="n">
        <f aca="false">F329*(1+IF(G$3&lt;=$O$2,$D329,$D329-($D329-$I$319)*MIN(G$3-$O$2,$Q$2)/$Q$2))</f>
        <v>6127.82285228372</v>
      </c>
      <c r="H329" s="15" t="n">
        <f aca="false">G329*(1+IF(H$3&lt;=$O$2,$D329,$D329-($D329-$I$319)*MIN(H$3-$O$2,$Q$2)/$Q$2))</f>
        <v>5990.1862061875</v>
      </c>
      <c r="I329" s="15" t="n">
        <f aca="false">H329*(1+IF(I$3&lt;=$O$2,$D329,$D329-($D329-$I$319)*MIN(I$3-$O$2,$Q$2)/$Q$2))</f>
        <v>5855.64100819696</v>
      </c>
      <c r="J329" s="15" t="n">
        <f aca="false">I329*(1+IF(J$3&lt;=$O$2,$D329,$D329-($D329-$I$319)*MIN(J$3-$O$2,$Q$2)/$Q$2))</f>
        <v>5771.85410492092</v>
      </c>
      <c r="K329" s="15" t="n">
        <f aca="false">J329*(1+IF(K$3&lt;=$O$2,$D329,$D329-($D329-$I$319)*MIN(K$3-$O$2,$Q$2)/$Q$2))</f>
        <v>5736.3193243831</v>
      </c>
      <c r="L329" s="15" t="n">
        <f aca="false">K329*(1+IF(L$3&lt;=$O$2,$D329,$D329-($D329-$I$319)*MIN(L$3-$O$2,$Q$2)/$Q$2))</f>
        <v>5747.76686663482</v>
      </c>
      <c r="M329" s="15" t="n">
        <f aca="false">L329*(1+IF(M$3&lt;=$O$2,$D329,$D329-($D329-$I$319)*MIN(M$3-$O$2,$Q$2)/$Q$2))</f>
        <v>5806.09412709114</v>
      </c>
      <c r="N329" s="15" t="n">
        <f aca="false">M329*(1+IF(N$3&lt;=$O$2,$D329,$D329-($D329-$I$319)*MIN(N$3-$O$2,$Q$2)/$Q$2))</f>
        <v>5912.34564961691</v>
      </c>
      <c r="O329" s="15" t="n">
        <f aca="false">SUMPRODUCT(E329:N329,1/(1+$F$319)^$E$3:$N$3)*$E$2</f>
        <v>12799.2821182505</v>
      </c>
      <c r="P329" s="15" t="n">
        <f aca="false">N329*$E$2*(1+$I$319)/($F$319-$I$319)/(1+$F$319)^$N$3</f>
        <v>13989.5216644403</v>
      </c>
      <c r="Q329" s="15" t="n">
        <f aca="false">O329+P329</f>
        <v>26788.8037826908</v>
      </c>
      <c r="R329" s="15" t="n">
        <f aca="false">Q329-$G$2+$I$2</f>
        <v>19443.6037826908</v>
      </c>
      <c r="S329" s="42" t="n">
        <f aca="false">R329/$K$2</f>
        <v>82.862151215388</v>
      </c>
      <c r="T329" s="43" t="n">
        <f aca="false">S329-$M$2</f>
        <v>1.84787463324435</v>
      </c>
    </row>
    <row r="330" customFormat="false" ht="15" hidden="false" customHeight="false" outlineLevel="0" collapsed="false">
      <c r="A330" s="5" t="n">
        <v>10</v>
      </c>
      <c r="B330" s="25" t="n">
        <f aca="false">IF(T329&gt;0,B329,D329)</f>
        <v>-0.025390625</v>
      </c>
      <c r="C330" s="25" t="n">
        <f aca="false">IF(T329&gt;0,D329,C329)</f>
        <v>-0.0224609375</v>
      </c>
      <c r="D330" s="41" t="n">
        <f aca="false">(B330+C330)/2</f>
        <v>-0.02392578125</v>
      </c>
      <c r="E330" s="15" t="n">
        <f aca="false">$C$2*(1+IF(E$3&lt;=$O$2,$D330,$D330-($D330-$I$319)*MIN(E$3-$O$2,$Q$2)/$Q$2))</f>
        <v>6403.046875</v>
      </c>
      <c r="F330" s="15" t="n">
        <f aca="false">E330*(1+IF(F$3&lt;=$O$2,$D330,$D330-($D330-$I$319)*MIN(F$3-$O$2,$Q$2)/$Q$2))</f>
        <v>6249.84897613525</v>
      </c>
      <c r="G330" s="15" t="n">
        <f aca="false">F330*(1+IF(G$3&lt;=$O$2,$D330,$D330-($D330-$I$319)*MIN(G$3-$O$2,$Q$2)/$Q$2))</f>
        <v>6100.31645668671</v>
      </c>
      <c r="H330" s="15" t="n">
        <f aca="false">G330*(1+IF(H$3&lt;=$O$2,$D330,$D330-($D330-$I$319)*MIN(H$3-$O$2,$Q$2)/$Q$2))</f>
        <v>5954.36161958824</v>
      </c>
      <c r="I330" s="15" t="n">
        <f aca="false">H330*(1+IF(I$3&lt;=$O$2,$D330,$D330-($D330-$I$319)*MIN(I$3-$O$2,$Q$2)/$Q$2))</f>
        <v>5811.89886599458</v>
      </c>
      <c r="J330" s="15" t="n">
        <f aca="false">I330*(1+IF(J$3&lt;=$O$2,$D330,$D330-($D330-$I$319)*MIN(J$3-$O$2,$Q$2)/$Q$2))</f>
        <v>5721.92703911219</v>
      </c>
      <c r="K330" s="15" t="n">
        <f aca="false">J330*(1+IF(K$3&lt;=$O$2,$D330,$D330-($D330-$I$319)*MIN(K$3-$O$2,$Q$2)/$Q$2))</f>
        <v>5681.67060023874</v>
      </c>
      <c r="L330" s="15" t="n">
        <f aca="false">K330*(1+IF(L$3&lt;=$O$2,$D330,$D330-($D330-$I$319)*MIN(L$3-$O$2,$Q$2)/$Q$2))</f>
        <v>5689.67998026301</v>
      </c>
      <c r="M330" s="15" t="n">
        <f aca="false">L330*(1+IF(M$3&lt;=$O$2,$D330,$D330-($D330-$I$319)*MIN(M$3-$O$2,$Q$2)/$Q$2))</f>
        <v>5745.75088745601</v>
      </c>
      <c r="N330" s="15" t="n">
        <f aca="false">M330*(1+IF(N$3&lt;=$O$2,$D330,$D330-($D330-$I$319)*MIN(N$3-$O$2,$Q$2)/$Q$2))</f>
        <v>5850.89812869645</v>
      </c>
      <c r="O330" s="15" t="n">
        <f aca="false">SUMPRODUCT(E330:N330,1/(1+$F$319)^$E$3:$N$3)*$E$2</f>
        <v>12718.0018893919</v>
      </c>
      <c r="P330" s="15" t="n">
        <f aca="false">N330*$E$2*(1+$I$319)/($F$319-$I$319)/(1+$F$319)^$N$3</f>
        <v>13844.127352929</v>
      </c>
      <c r="Q330" s="15" t="n">
        <f aca="false">O330+P330</f>
        <v>26562.1292423209</v>
      </c>
      <c r="R330" s="15" t="n">
        <f aca="false">Q330-$G$2+$I$2</f>
        <v>19216.9292423209</v>
      </c>
      <c r="S330" s="42" t="n">
        <f aca="false">R330/$K$2</f>
        <v>81.8961399630124</v>
      </c>
      <c r="T330" s="43" t="n">
        <f aca="false">S330-$M$2</f>
        <v>0.881863380868765</v>
      </c>
    </row>
    <row r="331" customFormat="false" ht="15" hidden="false" customHeight="false" outlineLevel="0" collapsed="false">
      <c r="A331" s="5" t="n">
        <v>11</v>
      </c>
      <c r="B331" s="25" t="n">
        <f aca="false">IF(T330&gt;0,B330,D330)</f>
        <v>-0.025390625</v>
      </c>
      <c r="C331" s="25" t="n">
        <f aca="false">IF(T330&gt;0,D330,C330)</f>
        <v>-0.02392578125</v>
      </c>
      <c r="D331" s="41" t="n">
        <f aca="false">(B331+C331)/2</f>
        <v>-0.024658203125</v>
      </c>
      <c r="E331" s="15" t="n">
        <f aca="false">$C$2*(1+IF(E$3&lt;=$O$2,$D331,$D331-($D331-$I$319)*MIN(E$3-$O$2,$Q$2)/$Q$2))</f>
        <v>6398.2421875</v>
      </c>
      <c r="F331" s="15" t="n">
        <f aca="false">E331*(1+IF(F$3&lt;=$O$2,$D331,$D331-($D331-$I$319)*MIN(F$3-$O$2,$Q$2)/$Q$2))</f>
        <v>6240.47303199768</v>
      </c>
      <c r="G331" s="15" t="n">
        <f aca="false">F331*(1+IF(G$3&lt;=$O$2,$D331,$D331-($D331-$I$319)*MIN(G$3-$O$2,$Q$2)/$Q$2))</f>
        <v>6086.5941803786</v>
      </c>
      <c r="H331" s="15" t="n">
        <f aca="false">G331*(1+IF(H$3&lt;=$O$2,$D331,$D331-($D331-$I$319)*MIN(H$3-$O$2,$Q$2)/$Q$2))</f>
        <v>5936.50970473938</v>
      </c>
      <c r="I331" s="15" t="n">
        <f aca="false">H331*(1+IF(I$3&lt;=$O$2,$D331,$D331-($D331-$I$319)*MIN(I$3-$O$2,$Q$2)/$Q$2))</f>
        <v>5790.12604258638</v>
      </c>
      <c r="J331" s="15" t="n">
        <f aca="false">I331*(1+IF(J$3&lt;=$O$2,$D331,$D331-($D331-$I$319)*MIN(J$3-$O$2,$Q$2)/$Q$2))</f>
        <v>5697.09862064029</v>
      </c>
      <c r="K331" s="15" t="n">
        <f aca="false">J331*(1+IF(K$3&lt;=$O$2,$D331,$D331-($D331-$I$319)*MIN(K$3-$O$2,$Q$2)/$Q$2))</f>
        <v>5654.51325353683</v>
      </c>
      <c r="L331" s="15" t="n">
        <f aca="false">K331*(1+IF(L$3&lt;=$O$2,$D331,$D331-($D331-$I$319)*MIN(L$3-$O$2,$Q$2)/$Q$2))</f>
        <v>5660.82775450918</v>
      </c>
      <c r="M331" s="15" t="n">
        <f aca="false">L331*(1+IF(M$3&lt;=$O$2,$D331,$D331-($D331-$I$319)*MIN(M$3-$O$2,$Q$2)/$Q$2))</f>
        <v>5715.78510470993</v>
      </c>
      <c r="N331" s="15" t="n">
        <f aca="false">M331*(1+IF(N$3&lt;=$O$2,$D331,$D331-($D331-$I$319)*MIN(N$3-$O$2,$Q$2)/$Q$2))</f>
        <v>5820.38397212612</v>
      </c>
      <c r="O331" s="15" t="n">
        <f aca="false">SUMPRODUCT(E331:N331,1/(1+$F$319)^$E$3:$N$3)*$E$2</f>
        <v>12677.5615839104</v>
      </c>
      <c r="P331" s="15" t="n">
        <f aca="false">N331*$E$2*(1+$I$319)/($F$319-$I$319)/(1+$F$319)^$N$3</f>
        <v>13771.9261523039</v>
      </c>
      <c r="Q331" s="15" t="n">
        <f aca="false">O331+P331</f>
        <v>26449.4877362143</v>
      </c>
      <c r="R331" s="15" t="n">
        <f aca="false">Q331-$G$2+$I$2</f>
        <v>19104.2877362143</v>
      </c>
      <c r="S331" s="42" t="n">
        <f aca="false">R331/$K$2</f>
        <v>81.4160994511583</v>
      </c>
      <c r="T331" s="43" t="n">
        <f aca="false">S331-$M$2</f>
        <v>0.401822869014623</v>
      </c>
    </row>
    <row r="332" customFormat="false" ht="15" hidden="false" customHeight="false" outlineLevel="0" collapsed="false">
      <c r="A332" s="5" t="n">
        <v>12</v>
      </c>
      <c r="B332" s="25" t="n">
        <f aca="false">IF(T331&gt;0,B331,D331)</f>
        <v>-0.025390625</v>
      </c>
      <c r="C332" s="25" t="n">
        <f aca="false">IF(T331&gt;0,D331,C331)</f>
        <v>-0.024658203125</v>
      </c>
      <c r="D332" s="41" t="n">
        <f aca="false">(B332+C332)/2</f>
        <v>-0.0250244140625</v>
      </c>
      <c r="E332" s="15" t="n">
        <f aca="false">$C$2*(1+IF(E$3&lt;=$O$2,$D332,$D332-($D332-$I$319)*MIN(E$3-$O$2,$Q$2)/$Q$2))</f>
        <v>6395.83984375</v>
      </c>
      <c r="F332" s="15" t="n">
        <f aca="false">E332*(1+IF(F$3&lt;=$O$2,$D332,$D332-($D332-$I$319)*MIN(F$3-$O$2,$Q$2)/$Q$2))</f>
        <v>6235.78769922257</v>
      </c>
      <c r="G332" s="15" t="n">
        <f aca="false">F332*(1+IF(G$3&lt;=$O$2,$D332,$D332-($D332-$I$319)*MIN(G$3-$O$2,$Q$2)/$Q$2))</f>
        <v>6079.74076583138</v>
      </c>
      <c r="H332" s="15" t="n">
        <f aca="false">G332*(1+IF(H$3&lt;=$O$2,$D332,$D332-($D332-$I$319)*MIN(H$3-$O$2,$Q$2)/$Q$2))</f>
        <v>5927.59881551455</v>
      </c>
      <c r="I332" s="15" t="n">
        <f aca="false">H332*(1+IF(I$3&lt;=$O$2,$D332,$D332-($D332-$I$319)*MIN(I$3-$O$2,$Q$2)/$Q$2))</f>
        <v>5779.26412835873</v>
      </c>
      <c r="J332" s="15" t="n">
        <f aca="false">I332*(1+IF(J$3&lt;=$O$2,$D332,$D332-($D332-$I$319)*MIN(J$3-$O$2,$Q$2)/$Q$2))</f>
        <v>5684.71807624884</v>
      </c>
      <c r="K332" s="15" t="n">
        <f aca="false">J332*(1+IF(K$3&lt;=$O$2,$D332,$D332-($D332-$I$319)*MIN(K$3-$O$2,$Q$2)/$Q$2))</f>
        <v>5640.97616918581</v>
      </c>
      <c r="L332" s="15" t="n">
        <f aca="false">K332*(1+IF(L$3&lt;=$O$2,$D332,$D332-($D332-$I$319)*MIN(L$3-$O$2,$Q$2)/$Q$2))</f>
        <v>5646.4492381737</v>
      </c>
      <c r="M332" s="15" t="n">
        <f aca="false">L332*(1+IF(M$3&lt;=$O$2,$D332,$D332-($D332-$I$319)*MIN(M$3-$O$2,$Q$2)/$Q$2))</f>
        <v>5700.85343827678</v>
      </c>
      <c r="N332" s="15" t="n">
        <f aca="false">M332*(1+IF(N$3&lt;=$O$2,$D332,$D332-($D332-$I$319)*MIN(N$3-$O$2,$Q$2)/$Q$2))</f>
        <v>5805.17905619724</v>
      </c>
      <c r="O332" s="15" t="n">
        <f aca="false">SUMPRODUCT(E332:N332,1/(1+$F$319)^$E$3:$N$3)*$E$2</f>
        <v>12657.3912009091</v>
      </c>
      <c r="P332" s="15" t="n">
        <f aca="false">N332*$E$2*(1+$I$319)/($F$319-$I$319)/(1+$F$319)^$N$3</f>
        <v>13735.9489761713</v>
      </c>
      <c r="Q332" s="15" t="n">
        <f aca="false">O332+P332</f>
        <v>26393.3401770804</v>
      </c>
      <c r="R332" s="15" t="n">
        <f aca="false">Q332-$G$2+$I$2</f>
        <v>19048.1401770804</v>
      </c>
      <c r="S332" s="42" t="n">
        <f aca="false">R332/$K$2</f>
        <v>81.176817289923</v>
      </c>
      <c r="T332" s="43" t="n">
        <f aca="false">S332-$M$2</f>
        <v>0.162540707779343</v>
      </c>
    </row>
    <row r="333" customFormat="false" ht="15" hidden="false" customHeight="false" outlineLevel="0" collapsed="false">
      <c r="A333" s="5" t="n">
        <v>13</v>
      </c>
      <c r="B333" s="25" t="n">
        <f aca="false">IF(T332&gt;0,B332,D332)</f>
        <v>-0.025390625</v>
      </c>
      <c r="C333" s="25" t="n">
        <f aca="false">IF(T332&gt;0,D332,C332)</f>
        <v>-0.0250244140625</v>
      </c>
      <c r="D333" s="41" t="n">
        <f aca="false">(B333+C333)/2</f>
        <v>-0.02520751953125</v>
      </c>
      <c r="E333" s="15" t="n">
        <f aca="false">$C$2*(1+IF(E$3&lt;=$O$2,$D333,$D333-($D333-$I$319)*MIN(E$3-$O$2,$Q$2)/$Q$2))</f>
        <v>6394.638671875</v>
      </c>
      <c r="F333" s="15" t="n">
        <f aca="false">E333*(1+IF(F$3&lt;=$O$2,$D333,$D333-($D333-$I$319)*MIN(F$3-$O$2,$Q$2)/$Q$2))</f>
        <v>6233.44569265842</v>
      </c>
      <c r="G333" s="15" t="n">
        <f aca="false">F333*(1+IF(G$3&lt;=$O$2,$D333,$D333-($D333-$I$319)*MIN(G$3-$O$2,$Q$2)/$Q$2))</f>
        <v>6076.31598861375</v>
      </c>
      <c r="H333" s="15" t="n">
        <f aca="false">G333*(1+IF(H$3&lt;=$O$2,$D333,$D333-($D333-$I$319)*MIN(H$3-$O$2,$Q$2)/$Q$2))</f>
        <v>5923.14713465272</v>
      </c>
      <c r="I333" s="15" t="n">
        <f aca="false">H333*(1+IF(I$3&lt;=$O$2,$D333,$D333-($D333-$I$319)*MIN(I$3-$O$2,$Q$2)/$Q$2))</f>
        <v>5773.8392875695</v>
      </c>
      <c r="J333" s="15" t="n">
        <f aca="false">I333*(1+IF(J$3&lt;=$O$2,$D333,$D333-($D333-$I$319)*MIN(J$3-$O$2,$Q$2)/$Q$2))</f>
        <v>5678.53620607264</v>
      </c>
      <c r="K333" s="15" t="n">
        <f aca="false">J333*(1+IF(K$3&lt;=$O$2,$D333,$D333-($D333-$I$319)*MIN(K$3-$O$2,$Q$2)/$Q$2))</f>
        <v>5634.218003707</v>
      </c>
      <c r="L333" s="15" t="n">
        <f aca="false">K333*(1+IF(L$3&lt;=$O$2,$D333,$D333-($D333-$I$319)*MIN(L$3-$O$2,$Q$2)/$Q$2))</f>
        <v>5639.27185323899</v>
      </c>
      <c r="M333" s="15" t="n">
        <f aca="false">L333*(1+IF(M$3&lt;=$O$2,$D333,$D333-($D333-$I$319)*MIN(M$3-$O$2,$Q$2)/$Q$2))</f>
        <v>5693.4003820939</v>
      </c>
      <c r="N333" s="15" t="n">
        <f aca="false">M333*(1+IF(N$3&lt;=$O$2,$D333,$D333-($D333-$I$319)*MIN(N$3-$O$2,$Q$2)/$Q$2))</f>
        <v>5797.58960908622</v>
      </c>
      <c r="O333" s="15" t="n">
        <f aca="false">SUMPRODUCT(E333:N333,1/(1+$F$319)^$E$3:$N$3)*$E$2</f>
        <v>12647.3184290899</v>
      </c>
      <c r="P333" s="15" t="n">
        <f aca="false">N333*$E$2*(1+$I$319)/($F$319-$I$319)/(1+$F$319)^$N$3</f>
        <v>13717.9911737909</v>
      </c>
      <c r="Q333" s="15" t="n">
        <f aca="false">O333+P333</f>
        <v>26365.3096028807</v>
      </c>
      <c r="R333" s="15" t="n">
        <f aca="false">Q333-$G$2+$I$2</f>
        <v>19020.1096028807</v>
      </c>
      <c r="S333" s="42" t="n">
        <f aca="false">R333/$K$2</f>
        <v>81.0573603361634</v>
      </c>
      <c r="T333" s="43" t="n">
        <f aca="false">S333-$M$2</f>
        <v>0.0430837540197899</v>
      </c>
    </row>
    <row r="334" customFormat="false" ht="15" hidden="false" customHeight="false" outlineLevel="0" collapsed="false">
      <c r="A334" s="5" t="n">
        <v>14</v>
      </c>
      <c r="B334" s="25" t="n">
        <f aca="false">IF(T333&gt;0,B333,D333)</f>
        <v>-0.025390625</v>
      </c>
      <c r="C334" s="25" t="n">
        <f aca="false">IF(T333&gt;0,D333,C333)</f>
        <v>-0.02520751953125</v>
      </c>
      <c r="D334" s="41" t="n">
        <f aca="false">(B334+C334)/2</f>
        <v>-0.025299072265625</v>
      </c>
      <c r="E334" s="15" t="n">
        <f aca="false">$C$2*(1+IF(E$3&lt;=$O$2,$D334,$D334-($D334-$I$319)*MIN(E$3-$O$2,$Q$2)/$Q$2))</f>
        <v>6394.0380859375</v>
      </c>
      <c r="F334" s="15" t="n">
        <f aca="false">E334*(1+IF(F$3&lt;=$O$2,$D334,$D334-($D334-$I$319)*MIN(F$3-$O$2,$Q$2)/$Q$2))</f>
        <v>6232.27485433221</v>
      </c>
      <c r="G334" s="15" t="n">
        <f aca="false">F334*(1+IF(G$3&lt;=$O$2,$D334,$D334-($D334-$I$319)*MIN(G$3-$O$2,$Q$2)/$Q$2))</f>
        <v>6074.60408241322</v>
      </c>
      <c r="H334" s="15" t="n">
        <f aca="false">G334*(1+IF(H$3&lt;=$O$2,$D334,$D334-($D334-$I$319)*MIN(H$3-$O$2,$Q$2)/$Q$2))</f>
        <v>5920.92223474719</v>
      </c>
      <c r="I334" s="15" t="n">
        <f aca="false">H334*(1+IF(I$3&lt;=$O$2,$D334,$D334-($D334-$I$319)*MIN(I$3-$O$2,$Q$2)/$Q$2))</f>
        <v>5771.12839525117</v>
      </c>
      <c r="J334" s="15" t="n">
        <f aca="false">I334*(1+IF(J$3&lt;=$O$2,$D334,$D334-($D334-$I$319)*MIN(J$3-$O$2,$Q$2)/$Q$2))</f>
        <v>5675.44736971726</v>
      </c>
      <c r="K334" s="15" t="n">
        <f aca="false">J334*(1+IF(K$3&lt;=$O$2,$D334,$D334-($D334-$I$319)*MIN(K$3-$O$2,$Q$2)/$Q$2))</f>
        <v>5630.84151257586</v>
      </c>
      <c r="L334" s="15" t="n">
        <f aca="false">K334*(1+IF(L$3&lt;=$O$2,$D334,$D334-($D334-$I$319)*MIN(L$3-$O$2,$Q$2)/$Q$2))</f>
        <v>5635.68612584677</v>
      </c>
      <c r="M334" s="15" t="n">
        <f aca="false">L334*(1+IF(M$3&lt;=$O$2,$D334,$D334-($D334-$I$319)*MIN(M$3-$O$2,$Q$2)/$Q$2))</f>
        <v>5689.67704461633</v>
      </c>
      <c r="N334" s="15" t="n">
        <f aca="false">M334*(1+IF(N$3&lt;=$O$2,$D334,$D334-($D334-$I$319)*MIN(N$3-$O$2,$Q$2)/$Q$2))</f>
        <v>5793.7981345328</v>
      </c>
      <c r="O334" s="15" t="n">
        <f aca="false">SUMPRODUCT(E334:N334,1/(1+$F$319)^$E$3:$N$3)*$E$2</f>
        <v>12642.2851452601</v>
      </c>
      <c r="P334" s="15" t="n">
        <f aca="false">N334*$E$2*(1+$I$319)/($F$319-$I$319)/(1+$F$319)^$N$3</f>
        <v>13709.0199602407</v>
      </c>
      <c r="Q334" s="15" t="n">
        <f aca="false">O334+P334</f>
        <v>26351.3051055008</v>
      </c>
      <c r="R334" s="15" t="n">
        <f aca="false">Q334-$G$2+$I$2</f>
        <v>19006.1051055008</v>
      </c>
      <c r="S334" s="42" t="n">
        <f aca="false">R334/$K$2</f>
        <v>80.9976778414693</v>
      </c>
      <c r="T334" s="43" t="n">
        <f aca="false">S334-$M$2</f>
        <v>-0.0165987406742829</v>
      </c>
    </row>
    <row r="335" customFormat="false" ht="15" hidden="false" customHeight="false" outlineLevel="0" collapsed="false">
      <c r="A335" s="5" t="n">
        <v>15</v>
      </c>
      <c r="B335" s="25" t="n">
        <f aca="false">IF(T334&gt;0,B334,D334)</f>
        <v>-0.025299072265625</v>
      </c>
      <c r="C335" s="25" t="n">
        <f aca="false">IF(T334&gt;0,D334,C334)</f>
        <v>-0.02520751953125</v>
      </c>
      <c r="D335" s="41" t="n">
        <f aca="false">(B335+C335)/2</f>
        <v>-0.0252532958984375</v>
      </c>
      <c r="E335" s="15" t="n">
        <f aca="false">$C$2*(1+IF(E$3&lt;=$O$2,$D335,$D335-($D335-$I$319)*MIN(E$3-$O$2,$Q$2)/$Q$2))</f>
        <v>6394.33837890625</v>
      </c>
      <c r="F335" s="15" t="n">
        <f aca="false">E335*(1+IF(F$3&lt;=$O$2,$D335,$D335-($D335-$I$319)*MIN(F$3-$O$2,$Q$2)/$Q$2))</f>
        <v>6232.860259749</v>
      </c>
      <c r="G335" s="15" t="n">
        <f aca="false">F335*(1+IF(G$3&lt;=$O$2,$D335,$D335-($D335-$I$319)*MIN(G$3-$O$2,$Q$2)/$Q$2))</f>
        <v>6075.45999531594</v>
      </c>
      <c r="H335" s="15" t="n">
        <f aca="false">G335*(1+IF(H$3&lt;=$O$2,$D335,$D335-($D335-$I$319)*MIN(H$3-$O$2,$Q$2)/$Q$2))</f>
        <v>5922.03460633511</v>
      </c>
      <c r="I335" s="15" t="n">
        <f aca="false">H335*(1+IF(I$3&lt;=$O$2,$D335,$D335-($D335-$I$319)*MIN(I$3-$O$2,$Q$2)/$Q$2))</f>
        <v>5772.48371410054</v>
      </c>
      <c r="J335" s="15" t="n">
        <f aca="false">I335*(1+IF(J$3&lt;=$O$2,$D335,$D335-($D335-$I$319)*MIN(J$3-$O$2,$Q$2)/$Q$2))</f>
        <v>5676.99161305328</v>
      </c>
      <c r="K335" s="15" t="n">
        <f aca="false">J335*(1+IF(K$3&lt;=$O$2,$D335,$D335-($D335-$I$319)*MIN(K$3-$O$2,$Q$2)/$Q$2))</f>
        <v>5632.5295422504</v>
      </c>
      <c r="L335" s="15" t="n">
        <f aca="false">K335*(1+IF(L$3&lt;=$O$2,$D335,$D335-($D335-$I$319)*MIN(L$3-$O$2,$Q$2)/$Q$2))</f>
        <v>5637.47874254945</v>
      </c>
      <c r="M335" s="15" t="n">
        <f aca="false">L335*(1+IF(M$3&lt;=$O$2,$D335,$D335-($D335-$I$319)*MIN(M$3-$O$2,$Q$2)/$Q$2))</f>
        <v>5691.53844757902</v>
      </c>
      <c r="N335" s="15" t="n">
        <f aca="false">M335*(1+IF(N$3&lt;=$O$2,$D335,$D335-($D335-$I$319)*MIN(N$3-$O$2,$Q$2)/$Q$2))</f>
        <v>5795.69360116972</v>
      </c>
      <c r="O335" s="15" t="n">
        <f aca="false">SUMPRODUCT(E335:N335,1/(1+$F$319)^$E$3:$N$3)*$E$2</f>
        <v>12644.8015287528</v>
      </c>
      <c r="P335" s="15" t="n">
        <f aca="false">N335*$E$2*(1+$I$319)/($F$319-$I$319)/(1+$F$319)^$N$3</f>
        <v>13713.5049266403</v>
      </c>
      <c r="Q335" s="15" t="n">
        <f aca="false">O335+P335</f>
        <v>26358.3064553931</v>
      </c>
      <c r="R335" s="15" t="n">
        <f aca="false">Q335-$G$2+$I$2</f>
        <v>19013.1064553931</v>
      </c>
      <c r="S335" s="42" t="n">
        <f aca="false">R335/$K$2</f>
        <v>81.0275152584407</v>
      </c>
      <c r="T335" s="43" t="n">
        <f aca="false">S335-$M$2</f>
        <v>0.0132386762970782</v>
      </c>
    </row>
    <row r="336" customFormat="false" ht="15" hidden="false" customHeight="false" outlineLevel="0" collapsed="false">
      <c r="A336" s="5" t="n">
        <v>16</v>
      </c>
      <c r="B336" s="25" t="n">
        <f aca="false">IF(T335&gt;0,B335,D335)</f>
        <v>-0.025299072265625</v>
      </c>
      <c r="C336" s="25" t="n">
        <f aca="false">IF(T335&gt;0,D335,C335)</f>
        <v>-0.0252532958984375</v>
      </c>
      <c r="D336" s="41" t="n">
        <f aca="false">(B336+C336)/2</f>
        <v>-0.0252761840820313</v>
      </c>
      <c r="E336" s="15" t="n">
        <f aca="false">$C$2*(1+IF(E$3&lt;=$O$2,$D336,$D336-($D336-$I$319)*MIN(E$3-$O$2,$Q$2)/$Q$2))</f>
        <v>6394.18823242188</v>
      </c>
      <c r="F336" s="15" t="n">
        <f aca="false">E336*(1+IF(F$3&lt;=$O$2,$D336,$D336-($D336-$I$319)*MIN(F$3-$O$2,$Q$2)/$Q$2))</f>
        <v>6232.56755360402</v>
      </c>
      <c r="G336" s="15" t="n">
        <f aca="false">F336*(1+IF(G$3&lt;=$O$2,$D336,$D336-($D336-$I$319)*MIN(G$3-$O$2,$Q$2)/$Q$2))</f>
        <v>6075.03202881543</v>
      </c>
      <c r="H336" s="15" t="n">
        <f aca="false">G336*(1+IF(H$3&lt;=$O$2,$D336,$D336-($D336-$I$319)*MIN(H$3-$O$2,$Q$2)/$Q$2))</f>
        <v>5921.47840095086</v>
      </c>
      <c r="I336" s="15" t="n">
        <f aca="false">H336*(1+IF(I$3&lt;=$O$2,$D336,$D336-($D336-$I$319)*MIN(I$3-$O$2,$Q$2)/$Q$2))</f>
        <v>5771.80602285065</v>
      </c>
      <c r="J336" s="15" t="n">
        <f aca="false">I336*(1+IF(J$3&lt;=$O$2,$D336,$D336-($D336-$I$319)*MIN(J$3-$O$2,$Q$2)/$Q$2))</f>
        <v>5676.2194476788</v>
      </c>
      <c r="K336" s="15" t="n">
        <f aca="false">J336*(1+IF(K$3&lt;=$O$2,$D336,$D336-($D336-$I$319)*MIN(K$3-$O$2,$Q$2)/$Q$2))</f>
        <v>5631.68547344609</v>
      </c>
      <c r="L336" s="15" t="n">
        <f aca="false">K336*(1+IF(L$3&lt;=$O$2,$D336,$D336-($D336-$I$319)*MIN(L$3-$O$2,$Q$2)/$Q$2))</f>
        <v>5636.58237245696</v>
      </c>
      <c r="M336" s="15" t="n">
        <f aca="false">L336*(1+IF(M$3&lt;=$O$2,$D336,$D336-($D336-$I$319)*MIN(M$3-$O$2,$Q$2)/$Q$2))</f>
        <v>5690.60767966178</v>
      </c>
      <c r="N336" s="15" t="n">
        <f aca="false">M336*(1+IF(N$3&lt;=$O$2,$D336,$D336-($D336-$I$319)*MIN(N$3-$O$2,$Q$2)/$Q$2))</f>
        <v>5794.74580019959</v>
      </c>
      <c r="O336" s="15" t="n">
        <f aca="false">SUMPRODUCT(E336:N336,1/(1+$F$319)^$E$3:$N$3)*$E$2</f>
        <v>12643.5432724073</v>
      </c>
      <c r="P336" s="15" t="n">
        <f aca="false">N336*$E$2*(1+$I$319)/($F$319-$I$319)/(1+$F$319)^$N$3</f>
        <v>13711.2622833662</v>
      </c>
      <c r="Q336" s="15" t="n">
        <f aca="false">O336+P336</f>
        <v>26354.8055557734</v>
      </c>
      <c r="R336" s="15" t="n">
        <f aca="false">Q336-$G$2+$I$2</f>
        <v>19009.6055557734</v>
      </c>
      <c r="S336" s="42" t="n">
        <f aca="false">R336/$K$2</f>
        <v>81.0125955924715</v>
      </c>
      <c r="T336" s="43" t="n">
        <f aca="false">S336-$M$2</f>
        <v>-0.00168098967208152</v>
      </c>
    </row>
    <row r="337" customFormat="false" ht="15" hidden="false" customHeight="false" outlineLevel="0" collapsed="false">
      <c r="A337" s="5" t="n">
        <v>17</v>
      </c>
      <c r="B337" s="25" t="n">
        <f aca="false">IF(T336&gt;0,B336,D336)</f>
        <v>-0.0252761840820313</v>
      </c>
      <c r="C337" s="25" t="n">
        <f aca="false">IF(T336&gt;0,D336,C336)</f>
        <v>-0.0252532958984375</v>
      </c>
      <c r="D337" s="41" t="n">
        <f aca="false">(B337+C337)/2</f>
        <v>-0.0252647399902344</v>
      </c>
      <c r="E337" s="15" t="n">
        <f aca="false">$C$2*(1+IF(E$3&lt;=$O$2,$D337,$D337-($D337-$I$319)*MIN(E$3-$O$2,$Q$2)/$Q$2))</f>
        <v>6394.26330566406</v>
      </c>
      <c r="F337" s="15" t="n">
        <f aca="false">E337*(1+IF(F$3&lt;=$O$2,$D337,$D337-($D337-$I$319)*MIN(F$3-$O$2,$Q$2)/$Q$2))</f>
        <v>6232.71390581736</v>
      </c>
      <c r="G337" s="15" t="n">
        <f aca="false">F337*(1+IF(G$3&lt;=$O$2,$D337,$D337-($D337-$I$319)*MIN(G$3-$O$2,$Q$2)/$Q$2))</f>
        <v>6075.24600955337</v>
      </c>
      <c r="H337" s="15" t="n">
        <f aca="false">G337*(1+IF(H$3&lt;=$O$2,$D337,$D337-($D337-$I$319)*MIN(H$3-$O$2,$Q$2)/$Q$2))</f>
        <v>5921.7564987453</v>
      </c>
      <c r="I337" s="15" t="n">
        <f aca="false">H337*(1+IF(I$3&lt;=$O$2,$D337,$D337-($D337-$I$319)*MIN(I$3-$O$2,$Q$2)/$Q$2))</f>
        <v>5772.14486051901</v>
      </c>
      <c r="J337" s="15" t="n">
        <f aca="false">I337*(1+IF(J$3&lt;=$O$2,$D337,$D337-($D337-$I$319)*MIN(J$3-$O$2,$Q$2)/$Q$2))</f>
        <v>5676.60551943893</v>
      </c>
      <c r="K337" s="15" t="n">
        <f aca="false">J337*(1+IF(K$3&lt;=$O$2,$D337,$D337-($D337-$I$319)*MIN(K$3-$O$2,$Q$2)/$Q$2))</f>
        <v>5632.10749435577</v>
      </c>
      <c r="L337" s="15" t="n">
        <f aca="false">K337*(1+IF(L$3&lt;=$O$2,$D337,$D337-($D337-$I$319)*MIN(L$3-$O$2,$Q$2)/$Q$2))</f>
        <v>5637.03054206702</v>
      </c>
      <c r="M337" s="15" t="n">
        <f aca="false">L337*(1+IF(M$3&lt;=$O$2,$D337,$D337-($D337-$I$319)*MIN(M$3-$O$2,$Q$2)/$Q$2))</f>
        <v>5691.07304701041</v>
      </c>
      <c r="N337" s="15" t="n">
        <f aca="false">M337*(1+IF(N$3&lt;=$O$2,$D337,$D337-($D337-$I$319)*MIN(N$3-$O$2,$Q$2)/$Q$2))</f>
        <v>5795.2196837707</v>
      </c>
      <c r="O337" s="15" t="n">
        <f aca="false">SUMPRODUCT(E337:N337,1/(1+$F$319)^$E$3:$N$3)*$E$2</f>
        <v>12644.1723844294</v>
      </c>
      <c r="P337" s="15" t="n">
        <f aca="false">N337*$E$2*(1+$I$319)/($F$319-$I$319)/(1+$F$319)^$N$3</f>
        <v>13712.3835649822</v>
      </c>
      <c r="Q337" s="15" t="n">
        <f aca="false">O337+P337</f>
        <v>26356.5559494117</v>
      </c>
      <c r="R337" s="15" t="n">
        <f aca="false">Q337-$G$2+$I$2</f>
        <v>19011.3559494117</v>
      </c>
      <c r="S337" s="42" t="n">
        <f aca="false">R337/$K$2</f>
        <v>81.0200551860715</v>
      </c>
      <c r="T337" s="43" t="n">
        <f aca="false">S337-$M$2</f>
        <v>0.00577860392783691</v>
      </c>
    </row>
    <row r="338" customFormat="false" ht="15" hidden="false" customHeight="false" outlineLevel="0" collapsed="false">
      <c r="A338" s="5" t="n">
        <v>18</v>
      </c>
      <c r="B338" s="25" t="n">
        <f aca="false">IF(T337&gt;0,B337,D337)</f>
        <v>-0.0252761840820313</v>
      </c>
      <c r="C338" s="25" t="n">
        <f aca="false">IF(T337&gt;0,D337,C337)</f>
        <v>-0.0252647399902344</v>
      </c>
      <c r="D338" s="41" t="n">
        <f aca="false">(B338+C338)/2</f>
        <v>-0.0252704620361328</v>
      </c>
      <c r="E338" s="15" t="n">
        <f aca="false">$C$2*(1+IF(E$3&lt;=$O$2,$D338,$D338-($D338-$I$319)*MIN(E$3-$O$2,$Q$2)/$Q$2))</f>
        <v>6394.22576904297</v>
      </c>
      <c r="F338" s="15" t="n">
        <f aca="false">E338*(1+IF(F$3&lt;=$O$2,$D338,$D338-($D338-$I$319)*MIN(F$3-$O$2,$Q$2)/$Q$2))</f>
        <v>6232.64072949591</v>
      </c>
      <c r="G338" s="15" t="n">
        <f aca="false">F338*(1+IF(G$3&lt;=$O$2,$D338,$D338-($D338-$I$319)*MIN(G$3-$O$2,$Q$2)/$Q$2))</f>
        <v>6075.13901855633</v>
      </c>
      <c r="H338" s="15" t="n">
        <f aca="false">G338*(1+IF(H$3&lt;=$O$2,$D338,$D338-($D338-$I$319)*MIN(H$3-$O$2,$Q$2)/$Q$2))</f>
        <v>5921.61744862367</v>
      </c>
      <c r="I338" s="15" t="n">
        <f aca="false">H338*(1+IF(I$3&lt;=$O$2,$D338,$D338-($D338-$I$319)*MIN(I$3-$O$2,$Q$2)/$Q$2))</f>
        <v>5771.97543969572</v>
      </c>
      <c r="J338" s="15" t="n">
        <f aca="false">I338*(1+IF(J$3&lt;=$O$2,$D338,$D338-($D338-$I$319)*MIN(J$3-$O$2,$Q$2)/$Q$2))</f>
        <v>5676.41248082715</v>
      </c>
      <c r="K338" s="15" t="n">
        <f aca="false">J338*(1+IF(K$3&lt;=$O$2,$D338,$D338-($D338-$I$319)*MIN(K$3-$O$2,$Q$2)/$Q$2))</f>
        <v>5631.8964805279</v>
      </c>
      <c r="L338" s="15" t="n">
        <f aca="false">K338*(1+IF(L$3&lt;=$O$2,$D338,$D338-($D338-$I$319)*MIN(L$3-$O$2,$Q$2)/$Q$2))</f>
        <v>5636.80645340305</v>
      </c>
      <c r="M338" s="15" t="n">
        <f aca="false">L338*(1+IF(M$3&lt;=$O$2,$D338,$D338-($D338-$I$319)*MIN(M$3-$O$2,$Q$2)/$Q$2))</f>
        <v>5690.84035918372</v>
      </c>
      <c r="N338" s="15" t="n">
        <f aca="false">M338*(1+IF(N$3&lt;=$O$2,$D338,$D338-($D338-$I$319)*MIN(N$3-$O$2,$Q$2)/$Q$2))</f>
        <v>5794.98273775679</v>
      </c>
      <c r="O338" s="15" t="n">
        <f aca="false">SUMPRODUCT(E338:N338,1/(1+$F$319)^$E$3:$N$3)*$E$2</f>
        <v>12643.8578243808</v>
      </c>
      <c r="P338" s="15" t="n">
        <f aca="false">N338*$E$2*(1+$I$319)/($F$319-$I$319)/(1+$F$319)^$N$3</f>
        <v>13711.8229141693</v>
      </c>
      <c r="Q338" s="15" t="n">
        <f aca="false">O338+P338</f>
        <v>26355.6807385501</v>
      </c>
      <c r="R338" s="15" t="n">
        <f aca="false">Q338-$G$2+$I$2</f>
        <v>19010.4807385501</v>
      </c>
      <c r="S338" s="42" t="n">
        <f aca="false">R338/$K$2</f>
        <v>81.0163253294271</v>
      </c>
      <c r="T338" s="43" t="n">
        <f aca="false">S338-$M$2</f>
        <v>0.00204874728342475</v>
      </c>
    </row>
    <row r="339" customFormat="false" ht="15" hidden="false" customHeight="false" outlineLevel="0" collapsed="false">
      <c r="A339" s="5" t="n">
        <v>19</v>
      </c>
      <c r="B339" s="25" t="n">
        <f aca="false">IF(T338&gt;0,B338,D338)</f>
        <v>-0.0252761840820313</v>
      </c>
      <c r="C339" s="25" t="n">
        <f aca="false">IF(T338&gt;0,D338,C338)</f>
        <v>-0.0252704620361328</v>
      </c>
      <c r="D339" s="41" t="n">
        <f aca="false">(B339+C339)/2</f>
        <v>-0.025273323059082</v>
      </c>
      <c r="E339" s="15" t="n">
        <f aca="false">$C$2*(1+IF(E$3&lt;=$O$2,$D339,$D339-($D339-$I$319)*MIN(E$3-$O$2,$Q$2)/$Q$2))</f>
        <v>6394.20700073242</v>
      </c>
      <c r="F339" s="15" t="n">
        <f aca="false">E339*(1+IF(F$3&lt;=$O$2,$D339,$D339-($D339-$I$319)*MIN(F$3-$O$2,$Q$2)/$Q$2))</f>
        <v>6232.60414149627</v>
      </c>
      <c r="G339" s="15" t="n">
        <f aca="false">F339*(1+IF(G$3&lt;=$O$2,$D339,$D339-($D339-$I$319)*MIN(G$3-$O$2,$Q$2)/$Q$2))</f>
        <v>6075.08552352886</v>
      </c>
      <c r="H339" s="15" t="n">
        <f aca="false">G339*(1+IF(H$3&lt;=$O$2,$D339,$D339-($D339-$I$319)*MIN(H$3-$O$2,$Q$2)/$Q$2))</f>
        <v>5921.54792448116</v>
      </c>
      <c r="I339" s="15" t="n">
        <f aca="false">H339*(1+IF(I$3&lt;=$O$2,$D339,$D339-($D339-$I$319)*MIN(I$3-$O$2,$Q$2)/$Q$2))</f>
        <v>5771.89073077591</v>
      </c>
      <c r="J339" s="15" t="n">
        <f aca="false">I339*(1+IF(J$3&lt;=$O$2,$D339,$D339-($D339-$I$319)*MIN(J$3-$O$2,$Q$2)/$Q$2))</f>
        <v>5676.31596357006</v>
      </c>
      <c r="K339" s="15" t="n">
        <f aca="false">J339*(1+IF(K$3&lt;=$O$2,$D339,$D339-($D339-$I$319)*MIN(K$3-$O$2,$Q$2)/$Q$2))</f>
        <v>5631.79097614375</v>
      </c>
      <c r="L339" s="15" t="n">
        <f aca="false">K339*(1+IF(L$3&lt;=$O$2,$D339,$D339-($D339-$I$319)*MIN(L$3-$O$2,$Q$2)/$Q$2))</f>
        <v>5636.69441196529</v>
      </c>
      <c r="M339" s="15" t="n">
        <f aca="false">L339*(1+IF(M$3&lt;=$O$2,$D339,$D339-($D339-$I$319)*MIN(M$3-$O$2,$Q$2)/$Q$2))</f>
        <v>5690.72401838468</v>
      </c>
      <c r="N339" s="15" t="n">
        <f aca="false">M339*(1+IF(N$3&lt;=$O$2,$D339,$D339-($D339-$I$319)*MIN(N$3-$O$2,$Q$2)/$Q$2))</f>
        <v>5794.86426792112</v>
      </c>
      <c r="O339" s="15" t="n">
        <f aca="false">SUMPRODUCT(E339:N339,1/(1+$F$319)^$E$3:$N$3)*$E$2</f>
        <v>12643.7005473847</v>
      </c>
      <c r="P339" s="15" t="n">
        <f aca="false">N339*$E$2*(1+$I$319)/($F$319-$I$319)/(1+$F$319)^$N$3</f>
        <v>13711.5425962665</v>
      </c>
      <c r="Q339" s="15" t="n">
        <f aca="false">O339+P339</f>
        <v>26355.2431436512</v>
      </c>
      <c r="R339" s="15" t="n">
        <f aca="false">Q339-$G$2+$I$2</f>
        <v>19010.0431436512</v>
      </c>
      <c r="S339" s="42" t="n">
        <f aca="false">R339/$K$2</f>
        <v>81.0144604459884</v>
      </c>
      <c r="T339" s="43" t="n">
        <f aca="false">S339-$M$2</f>
        <v>0.000183863844796406</v>
      </c>
    </row>
    <row r="340" customFormat="false" ht="15" hidden="false" customHeight="false" outlineLevel="0" collapsed="false">
      <c r="A340" s="5" t="n">
        <v>20</v>
      </c>
      <c r="B340" s="25" t="n">
        <f aca="false">IF(T339&gt;0,B339,D339)</f>
        <v>-0.0252761840820313</v>
      </c>
      <c r="C340" s="25" t="n">
        <f aca="false">IF(T339&gt;0,D339,C339)</f>
        <v>-0.025273323059082</v>
      </c>
      <c r="D340" s="41" t="n">
        <f aca="false">(B340+C340)/2</f>
        <v>-0.0252747535705566</v>
      </c>
      <c r="E340" s="15" t="n">
        <f aca="false">$C$2*(1+IF(E$3&lt;=$O$2,$D340,$D340-($D340-$I$319)*MIN(E$3-$O$2,$Q$2)/$Q$2))</f>
        <v>6394.19761657715</v>
      </c>
      <c r="F340" s="15" t="n">
        <f aca="false">E340*(1+IF(F$3&lt;=$O$2,$D340,$D340-($D340-$I$319)*MIN(F$3-$O$2,$Q$2)/$Q$2))</f>
        <v>6232.58584753672</v>
      </c>
      <c r="G340" s="15" t="n">
        <f aca="false">F340*(1+IF(G$3&lt;=$O$2,$D340,$D340-($D340-$I$319)*MIN(G$3-$O$2,$Q$2)/$Q$2))</f>
        <v>6075.05877613289</v>
      </c>
      <c r="H340" s="15" t="n">
        <f aca="false">G340*(1+IF(H$3&lt;=$O$2,$D340,$D340-($D340-$I$319)*MIN(H$3-$O$2,$Q$2)/$Q$2))</f>
        <v>5921.51316263948</v>
      </c>
      <c r="I340" s="15" t="n">
        <f aca="false">H340*(1+IF(I$3&lt;=$O$2,$D340,$D340-($D340-$I$319)*MIN(I$3-$O$2,$Q$2)/$Q$2))</f>
        <v>5771.84837668896</v>
      </c>
      <c r="J340" s="15" t="n">
        <f aca="false">I340*(1+IF(J$3&lt;=$O$2,$D340,$D340-($D340-$I$319)*MIN(J$3-$O$2,$Q$2)/$Q$2))</f>
        <v>5676.2677054537</v>
      </c>
      <c r="K340" s="15" t="n">
        <f aca="false">J340*(1+IF(K$3&lt;=$O$2,$D340,$D340-($D340-$I$319)*MIN(K$3-$O$2,$Q$2)/$Q$2))</f>
        <v>5631.73822458411</v>
      </c>
      <c r="L340" s="15" t="n">
        <f aca="false">K340*(1+IF(L$3&lt;=$O$2,$D340,$D340-($D340-$I$319)*MIN(L$3-$O$2,$Q$2)/$Q$2))</f>
        <v>5636.63839196995</v>
      </c>
      <c r="M340" s="15" t="n">
        <f aca="false">L340*(1+IF(M$3&lt;=$O$2,$D340,$D340-($D340-$I$319)*MIN(M$3-$O$2,$Q$2)/$Q$2))</f>
        <v>5690.66584876371</v>
      </c>
      <c r="N340" s="15" t="n">
        <f aca="false">M340*(1+IF(N$3&lt;=$O$2,$D340,$D340-($D340-$I$319)*MIN(N$3-$O$2,$Q$2)/$Q$2))</f>
        <v>5794.80503379609</v>
      </c>
      <c r="O340" s="15" t="n">
        <f aca="false">SUMPRODUCT(E340:N340,1/(1+$F$319)^$E$3:$N$3)*$E$2</f>
        <v>12643.6219096436</v>
      </c>
      <c r="P340" s="15" t="n">
        <f aca="false">N340*$E$2*(1+$I$319)/($F$319-$I$319)/(1+$F$319)^$N$3</f>
        <v>13711.4024391911</v>
      </c>
      <c r="Q340" s="15" t="n">
        <f aca="false">O340+P340</f>
        <v>26355.0243488347</v>
      </c>
      <c r="R340" s="15" t="n">
        <f aca="false">Q340-$G$2+$I$2</f>
        <v>19009.8243488347</v>
      </c>
      <c r="S340" s="42" t="n">
        <f aca="false">R340/$K$2</f>
        <v>81.0135280154898</v>
      </c>
      <c r="T340" s="43" t="n">
        <f aca="false">S340-$M$2</f>
        <v>-0.000748566653854255</v>
      </c>
    </row>
    <row r="341" customFormat="false" ht="15" hidden="false" customHeight="false" outlineLevel="0" collapsed="false">
      <c r="A341" s="5" t="n">
        <v>21</v>
      </c>
      <c r="B341" s="25" t="n">
        <f aca="false">IF(T340&gt;0,B340,D340)</f>
        <v>-0.0252747535705566</v>
      </c>
      <c r="C341" s="25" t="n">
        <f aca="false">IF(T340&gt;0,D340,C340)</f>
        <v>-0.025273323059082</v>
      </c>
      <c r="D341" s="41" t="n">
        <f aca="false">(B341+C341)/2</f>
        <v>-0.0252740383148193</v>
      </c>
      <c r="E341" s="15" t="n">
        <f aca="false">$C$2*(1+IF(E$3&lt;=$O$2,$D341,$D341-($D341-$I$319)*MIN(E$3-$O$2,$Q$2)/$Q$2))</f>
        <v>6394.20230865479</v>
      </c>
      <c r="F341" s="15" t="n">
        <f aca="false">E341*(1+IF(F$3&lt;=$O$2,$D341,$D341-($D341-$I$319)*MIN(F$3-$O$2,$Q$2)/$Q$2))</f>
        <v>6232.59499451314</v>
      </c>
      <c r="G341" s="15" t="n">
        <f aca="false">F341*(1+IF(G$3&lt;=$O$2,$D341,$D341-($D341-$I$319)*MIN(G$3-$O$2,$Q$2)/$Q$2))</f>
        <v>6075.07214982106</v>
      </c>
      <c r="H341" s="15" t="n">
        <f aca="false">G341*(1+IF(H$3&lt;=$O$2,$D341,$D341-($D341-$I$319)*MIN(H$3-$O$2,$Q$2)/$Q$2))</f>
        <v>5921.53054354119</v>
      </c>
      <c r="I341" s="15" t="n">
        <f aca="false">H341*(1+IF(I$3&lt;=$O$2,$D341,$D341-($D341-$I$319)*MIN(I$3-$O$2,$Q$2)/$Q$2))</f>
        <v>5771.86955370136</v>
      </c>
      <c r="J341" s="15" t="n">
        <f aca="false">I341*(1+IF(J$3&lt;=$O$2,$D341,$D341-($D341-$I$319)*MIN(J$3-$O$2,$Q$2)/$Q$2))</f>
        <v>5676.2918344692</v>
      </c>
      <c r="K341" s="15" t="n">
        <f aca="false">J341*(1+IF(K$3&lt;=$O$2,$D341,$D341-($D341-$I$319)*MIN(K$3-$O$2,$Q$2)/$Q$2))</f>
        <v>5631.76460031123</v>
      </c>
      <c r="L341" s="15" t="n">
        <f aca="false">K341*(1+IF(L$3&lt;=$O$2,$D341,$D341-($D341-$I$319)*MIN(L$3-$O$2,$Q$2)/$Q$2))</f>
        <v>5636.66640190732</v>
      </c>
      <c r="M341" s="15" t="n">
        <f aca="false">L341*(1+IF(M$3&lt;=$O$2,$D341,$D341-($D341-$I$319)*MIN(M$3-$O$2,$Q$2)/$Q$2))</f>
        <v>5690.69493350931</v>
      </c>
      <c r="N341" s="15" t="n">
        <f aca="false">M341*(1+IF(N$3&lt;=$O$2,$D341,$D341-($D341-$I$319)*MIN(N$3-$O$2,$Q$2)/$Q$2))</f>
        <v>5794.83465079253</v>
      </c>
      <c r="O341" s="15" t="n">
        <f aca="false">SUMPRODUCT(E341:N341,1/(1+$F$319)^$E$3:$N$3)*$E$2</f>
        <v>12643.661228451</v>
      </c>
      <c r="P341" s="15" t="n">
        <f aca="false">N341*$E$2*(1+$I$319)/($F$319-$I$319)/(1+$F$319)^$N$3</f>
        <v>13711.4725175725</v>
      </c>
      <c r="Q341" s="15" t="n">
        <f aca="false">O341+P341</f>
        <v>26355.1337460235</v>
      </c>
      <c r="R341" s="15" t="n">
        <f aca="false">Q341-$G$2+$I$2</f>
        <v>19009.9337460235</v>
      </c>
      <c r="S341" s="42" t="n">
        <f aca="false">R341/$K$2</f>
        <v>81.013994229804</v>
      </c>
      <c r="T341" s="43" t="n">
        <f aca="false">S341-$M$2</f>
        <v>-0.000282352339596059</v>
      </c>
    </row>
    <row r="342" customFormat="false" ht="15" hidden="false" customHeight="false" outlineLevel="0" collapsed="false">
      <c r="A342" s="5" t="n">
        <v>22</v>
      </c>
      <c r="B342" s="25" t="n">
        <f aca="false">IF(T341&gt;0,B341,D341)</f>
        <v>-0.0252740383148193</v>
      </c>
      <c r="C342" s="25" t="n">
        <f aca="false">IF(T341&gt;0,D341,C341)</f>
        <v>-0.025273323059082</v>
      </c>
      <c r="D342" s="41" t="n">
        <f aca="false">(B342+C342)/2</f>
        <v>-0.0252736806869507</v>
      </c>
      <c r="E342" s="15" t="n">
        <f aca="false">$C$2*(1+IF(E$3&lt;=$O$2,$D342,$D342-($D342-$I$319)*MIN(E$3-$O$2,$Q$2)/$Q$2))</f>
        <v>6394.2046546936</v>
      </c>
      <c r="F342" s="15" t="n">
        <f aca="false">E342*(1+IF(F$3&lt;=$O$2,$D342,$D342-($D342-$I$319)*MIN(F$3-$O$2,$Q$2)/$Q$2))</f>
        <v>6232.59956800386</v>
      </c>
      <c r="G342" s="15" t="n">
        <f aca="false">F342*(1+IF(G$3&lt;=$O$2,$D342,$D342-($D342-$I$319)*MIN(G$3-$O$2,$Q$2)/$Q$2))</f>
        <v>6075.07883667251</v>
      </c>
      <c r="H342" s="15" t="n">
        <f aca="false">G342*(1+IF(H$3&lt;=$O$2,$D342,$D342-($D342-$I$319)*MIN(H$3-$O$2,$Q$2)/$Q$2))</f>
        <v>5921.53923400639</v>
      </c>
      <c r="I342" s="15" t="n">
        <f aca="false">H342*(1+IF(I$3&lt;=$O$2,$D342,$D342-($D342-$I$319)*MIN(I$3-$O$2,$Q$2)/$Q$2))</f>
        <v>5771.88014223087</v>
      </c>
      <c r="J342" s="15" t="n">
        <f aca="false">I342*(1+IF(J$3&lt;=$O$2,$D342,$D342-($D342-$I$319)*MIN(J$3-$O$2,$Q$2)/$Q$2))</f>
        <v>5676.30389900895</v>
      </c>
      <c r="K342" s="15" t="n">
        <f aca="false">J342*(1+IF(K$3&lt;=$O$2,$D342,$D342-($D342-$I$319)*MIN(K$3-$O$2,$Q$2)/$Q$2))</f>
        <v>5631.77778821431</v>
      </c>
      <c r="L342" s="15" t="n">
        <f aca="false">K342*(1+IF(L$3&lt;=$O$2,$D342,$D342-($D342-$I$319)*MIN(L$3-$O$2,$Q$2)/$Q$2))</f>
        <v>5636.68040692123</v>
      </c>
      <c r="M342" s="15" t="n">
        <f aca="false">L342*(1+IF(M$3&lt;=$O$2,$D342,$D342-($D342-$I$319)*MIN(M$3-$O$2,$Q$2)/$Q$2))</f>
        <v>5690.70947593077</v>
      </c>
      <c r="N342" s="15" t="n">
        <f aca="false">M342*(1+IF(N$3&lt;=$O$2,$D342,$D342-($D342-$I$319)*MIN(N$3-$O$2,$Q$2)/$Q$2))</f>
        <v>5794.84945934031</v>
      </c>
      <c r="O342" s="15" t="n">
        <f aca="false">SUMPRODUCT(E342:N342,1/(1+$F$319)^$E$3:$N$3)*$E$2</f>
        <v>12643.6808879021</v>
      </c>
      <c r="P342" s="15" t="n">
        <f aca="false">N342*$E$2*(1+$I$319)/($F$319-$I$319)/(1+$F$319)^$N$3</f>
        <v>13711.5075568804</v>
      </c>
      <c r="Q342" s="15" t="n">
        <f aca="false">O342+P342</f>
        <v>26355.1884447825</v>
      </c>
      <c r="R342" s="15" t="n">
        <f aca="false">Q342-$G$2+$I$2</f>
        <v>19009.9884447825</v>
      </c>
      <c r="S342" s="42" t="n">
        <f aca="false">R342/$K$2</f>
        <v>81.0142273376624</v>
      </c>
      <c r="T342" s="43" t="n">
        <f aca="false">S342-$M$2</f>
        <v>-4.9244481189703E-005</v>
      </c>
    </row>
    <row r="343" customFormat="false" ht="15" hidden="false" customHeight="false" outlineLevel="0" collapsed="false">
      <c r="A343" s="5" t="n">
        <v>23</v>
      </c>
      <c r="B343" s="25" t="n">
        <f aca="false">IF(T342&gt;0,B342,D342)</f>
        <v>-0.0252736806869507</v>
      </c>
      <c r="C343" s="25" t="n">
        <f aca="false">IF(T342&gt;0,D342,C342)</f>
        <v>-0.025273323059082</v>
      </c>
      <c r="D343" s="41" t="n">
        <f aca="false">(B343+C343)/2</f>
        <v>-0.0252735018730164</v>
      </c>
      <c r="E343" s="15" t="n">
        <f aca="false">$C$2*(1+IF(E$3&lt;=$O$2,$D343,$D343-($D343-$I$319)*MIN(E$3-$O$2,$Q$2)/$Q$2))</f>
        <v>6394.20582771301</v>
      </c>
      <c r="F343" s="15" t="n">
        <f aca="false">E343*(1+IF(F$3&lt;=$O$2,$D343,$D343-($D343-$I$319)*MIN(F$3-$O$2,$Q$2)/$Q$2))</f>
        <v>6232.60185474986</v>
      </c>
      <c r="G343" s="15" t="n">
        <f aca="false">F343*(1+IF(G$3&lt;=$O$2,$D343,$D343-($D343-$I$319)*MIN(G$3-$O$2,$Q$2)/$Q$2))</f>
        <v>6075.08218010007</v>
      </c>
      <c r="H343" s="15" t="n">
        <f aca="false">G343*(1+IF(H$3&lt;=$O$2,$D343,$D343-($D343-$I$319)*MIN(H$3-$O$2,$Q$2)/$Q$2))</f>
        <v>5921.54357924258</v>
      </c>
      <c r="I343" s="15" t="n">
        <f aca="false">H343*(1+IF(I$3&lt;=$O$2,$D343,$D343-($D343-$I$319)*MIN(I$3-$O$2,$Q$2)/$Q$2))</f>
        <v>5771.88543650145</v>
      </c>
      <c r="J343" s="15" t="n">
        <f aca="false">I343*(1+IF(J$3&lt;=$O$2,$D343,$D343-($D343-$I$319)*MIN(J$3-$O$2,$Q$2)/$Q$2))</f>
        <v>5676.30993128684</v>
      </c>
      <c r="K343" s="15" t="n">
        <f aca="false">J343*(1+IF(K$3&lt;=$O$2,$D343,$D343-($D343-$I$319)*MIN(K$3-$O$2,$Q$2)/$Q$2))</f>
        <v>5631.78438217574</v>
      </c>
      <c r="L343" s="15" t="n">
        <f aca="false">K343*(1+IF(L$3&lt;=$O$2,$D343,$D343-($D343-$I$319)*MIN(L$3-$O$2,$Q$2)/$Q$2))</f>
        <v>5636.68740943949</v>
      </c>
      <c r="M343" s="15" t="n">
        <f aca="false">L343*(1+IF(M$3&lt;=$O$2,$D343,$D343-($D343-$I$319)*MIN(M$3-$O$2,$Q$2)/$Q$2))</f>
        <v>5690.71674715367</v>
      </c>
      <c r="N343" s="15" t="n">
        <f aca="false">M343*(1+IF(N$3&lt;=$O$2,$D343,$D343-($D343-$I$319)*MIN(N$3-$O$2,$Q$2)/$Q$2))</f>
        <v>5794.85686362658</v>
      </c>
      <c r="O343" s="15" t="n">
        <f aca="false">SUMPRODUCT(E343:N343,1/(1+$F$319)^$E$3:$N$3)*$E$2</f>
        <v>12643.6907176394</v>
      </c>
      <c r="P343" s="15" t="n">
        <f aca="false">N343*$E$2*(1+$I$319)/($F$319-$I$319)/(1+$F$319)^$N$3</f>
        <v>13711.5250765637</v>
      </c>
      <c r="Q343" s="15" t="n">
        <f aca="false">O343+P343</f>
        <v>26355.2157942031</v>
      </c>
      <c r="R343" s="15" t="n">
        <f aca="false">Q343-$G$2+$I$2</f>
        <v>19010.0157942031</v>
      </c>
      <c r="S343" s="42" t="n">
        <f aca="false">R343/$K$2</f>
        <v>81.014343891767</v>
      </c>
      <c r="T343" s="43" t="n">
        <f aca="false">S343-$M$2</f>
        <v>6.73096233612114E-005</v>
      </c>
    </row>
    <row r="344" customFormat="false" ht="15" hidden="false" customHeight="false" outlineLevel="0" collapsed="false">
      <c r="A344" s="5" t="n">
        <v>24</v>
      </c>
      <c r="B344" s="25" t="n">
        <f aca="false">IF(T343&gt;0,B343,D343)</f>
        <v>-0.0252736806869507</v>
      </c>
      <c r="C344" s="25" t="n">
        <f aca="false">IF(T343&gt;0,D343,C343)</f>
        <v>-0.0252735018730164</v>
      </c>
      <c r="D344" s="41" t="n">
        <f aca="false">(B344+C344)/2</f>
        <v>-0.0252735912799835</v>
      </c>
      <c r="E344" s="15" t="n">
        <f aca="false">$C$2*(1+IF(E$3&lt;=$O$2,$D344,$D344-($D344-$I$319)*MIN(E$3-$O$2,$Q$2)/$Q$2))</f>
        <v>6394.20524120331</v>
      </c>
      <c r="F344" s="15" t="n">
        <f aca="false">E344*(1+IF(F$3&lt;=$O$2,$D344,$D344-($D344-$I$319)*MIN(F$3-$O$2,$Q$2)/$Q$2))</f>
        <v>6232.60071137681</v>
      </c>
      <c r="G344" s="15" t="n">
        <f aca="false">F344*(1+IF(G$3&lt;=$O$2,$D344,$D344-($D344-$I$319)*MIN(G$3-$O$2,$Q$2)/$Q$2))</f>
        <v>6075.08050838614</v>
      </c>
      <c r="H344" s="15" t="n">
        <f aca="false">G344*(1+IF(H$3&lt;=$O$2,$D344,$D344-($D344-$I$319)*MIN(H$3-$O$2,$Q$2)/$Q$2))</f>
        <v>5921.54140662419</v>
      </c>
      <c r="I344" s="15" t="n">
        <f aca="false">H344*(1+IF(I$3&lt;=$O$2,$D344,$D344-($D344-$I$319)*MIN(I$3-$O$2,$Q$2)/$Q$2))</f>
        <v>5771.88278936567</v>
      </c>
      <c r="J344" s="15" t="n">
        <f aca="false">I344*(1+IF(J$3&lt;=$O$2,$D344,$D344-($D344-$I$319)*MIN(J$3-$O$2,$Q$2)/$Q$2))</f>
        <v>5676.30691514723</v>
      </c>
      <c r="K344" s="15" t="n">
        <f aca="false">J344*(1+IF(K$3&lt;=$O$2,$D344,$D344-($D344-$I$319)*MIN(K$3-$O$2,$Q$2)/$Q$2))</f>
        <v>5631.7810851942</v>
      </c>
      <c r="L344" s="15" t="n">
        <f aca="false">K344*(1+IF(L$3&lt;=$O$2,$D344,$D344-($D344-$I$319)*MIN(L$3-$O$2,$Q$2)/$Q$2))</f>
        <v>5636.68390817942</v>
      </c>
      <c r="M344" s="15" t="n">
        <f aca="false">L344*(1+IF(M$3&lt;=$O$2,$D344,$D344-($D344-$I$319)*MIN(M$3-$O$2,$Q$2)/$Q$2))</f>
        <v>5690.71311154121</v>
      </c>
      <c r="N344" s="15" t="n">
        <f aca="false">M344*(1+IF(N$3&lt;=$O$2,$D344,$D344-($D344-$I$319)*MIN(N$3-$O$2,$Q$2)/$Q$2))</f>
        <v>5794.85316148241</v>
      </c>
      <c r="O344" s="15" t="n">
        <f aca="false">SUMPRODUCT(E344:N344,1/(1+$F$319)^$E$3:$N$3)*$E$2</f>
        <v>12643.6858027698</v>
      </c>
      <c r="P344" s="15" t="n">
        <f aca="false">N344*$E$2*(1+$I$319)/($F$319-$I$319)/(1+$F$319)^$N$3</f>
        <v>13711.5163167196</v>
      </c>
      <c r="Q344" s="15" t="n">
        <f aca="false">O344+P344</f>
        <v>26355.2021194894</v>
      </c>
      <c r="R344" s="15" t="n">
        <f aca="false">Q344-$G$2+$I$2</f>
        <v>19010.0021194894</v>
      </c>
      <c r="S344" s="42" t="n">
        <f aca="false">R344/$K$2</f>
        <v>81.0142856147001</v>
      </c>
      <c r="T344" s="43" t="n">
        <f aca="false">S344-$M$2</f>
        <v>9.03255649120638E-006</v>
      </c>
    </row>
    <row r="346" customFormat="false" ht="15" hidden="false" customHeight="false" outlineLevel="0" collapsed="false">
      <c r="A346" s="38" t="s">
        <v>194</v>
      </c>
      <c r="E346" s="5" t="s">
        <v>11</v>
      </c>
      <c r="F346" s="12" t="n">
        <f aca="false">Sensitivity!$B$12</f>
        <v>0.0812368036285737</v>
      </c>
      <c r="G346" s="5" t="s">
        <v>12</v>
      </c>
      <c r="I346" s="12" t="n">
        <f aca="false">Sensitivity!$D$9</f>
        <v>0.0233</v>
      </c>
    </row>
    <row r="347" customFormat="false" ht="23.85" hidden="false" customHeight="false" outlineLevel="0" collapsed="false">
      <c r="A347" s="38" t="s">
        <v>163</v>
      </c>
      <c r="B347" s="28" t="s">
        <v>164</v>
      </c>
      <c r="C347" s="28" t="s">
        <v>165</v>
      </c>
      <c r="D347" s="28" t="s">
        <v>166</v>
      </c>
      <c r="E347" s="28" t="s">
        <v>167</v>
      </c>
      <c r="F347" s="28" t="s">
        <v>168</v>
      </c>
      <c r="G347" s="28" t="s">
        <v>169</v>
      </c>
      <c r="H347" s="28" t="s">
        <v>170</v>
      </c>
      <c r="I347" s="28" t="s">
        <v>171</v>
      </c>
      <c r="J347" s="28" t="s">
        <v>172</v>
      </c>
      <c r="K347" s="28" t="s">
        <v>173</v>
      </c>
      <c r="L347" s="28" t="s">
        <v>174</v>
      </c>
      <c r="M347" s="28" t="s">
        <v>175</v>
      </c>
      <c r="N347" s="28" t="s">
        <v>176</v>
      </c>
      <c r="O347" s="28" t="s">
        <v>177</v>
      </c>
      <c r="P347" s="28" t="s">
        <v>178</v>
      </c>
      <c r="Q347" s="28" t="s">
        <v>179</v>
      </c>
      <c r="R347" s="28" t="s">
        <v>180</v>
      </c>
      <c r="S347" s="28" t="s">
        <v>181</v>
      </c>
      <c r="T347" s="28" t="s">
        <v>182</v>
      </c>
    </row>
    <row r="348" customFormat="false" ht="15" hidden="false" customHeight="false" outlineLevel="0" collapsed="false">
      <c r="A348" s="5" t="n">
        <v>1</v>
      </c>
      <c r="B348" s="24" t="n">
        <v>-0.5</v>
      </c>
      <c r="C348" s="24" t="n">
        <v>1</v>
      </c>
      <c r="D348" s="41" t="n">
        <f aca="false">(B348+C348)/2</f>
        <v>0.25</v>
      </c>
      <c r="E348" s="15" t="n">
        <f aca="false">$C$2*(1+IF(E$3&lt;=$O$2,$D348,$D348-($D348-$I$346)*MIN(E$3-$O$2,$Q$2)/$Q$2))</f>
        <v>8200</v>
      </c>
      <c r="F348" s="15" t="n">
        <f aca="false">E348*(1+IF(F$3&lt;=$O$2,$D348,$D348-($D348-$I$346)*MIN(F$3-$O$2,$Q$2)/$Q$2))</f>
        <v>10250</v>
      </c>
      <c r="G348" s="15" t="n">
        <f aca="false">F348*(1+IF(G$3&lt;=$O$2,$D348,$D348-($D348-$I$346)*MIN(G$3-$O$2,$Q$2)/$Q$2))</f>
        <v>12812.5</v>
      </c>
      <c r="H348" s="15" t="n">
        <f aca="false">G348*(1+IF(H$3&lt;=$O$2,$D348,$D348-($D348-$I$346)*MIN(H$3-$O$2,$Q$2)/$Q$2))</f>
        <v>16015.625</v>
      </c>
      <c r="I348" s="15" t="n">
        <f aca="false">H348*(1+IF(I$3&lt;=$O$2,$D348,$D348-($D348-$I$346)*MIN(I$3-$O$2,$Q$2)/$Q$2))</f>
        <v>20019.53125</v>
      </c>
      <c r="J348" s="15" t="n">
        <f aca="false">I348*(1+IF(J$3&lt;=$O$2,$D348,$D348-($D348-$I$346)*MIN(J$3-$O$2,$Q$2)/$Q$2))</f>
        <v>24116.728515625</v>
      </c>
      <c r="K348" s="15" t="n">
        <f aca="false">J348*(1+IF(K$3&lt;=$O$2,$D348,$D348-($D348-$I$346)*MIN(K$3-$O$2,$Q$2)/$Q$2))</f>
        <v>27959.0057027344</v>
      </c>
      <c r="L348" s="15" t="n">
        <f aca="false">K348*(1+IF(L$3&lt;=$O$2,$D348,$D348-($D348-$I$346)*MIN(L$3-$O$2,$Q$2)/$Q$2))</f>
        <v>31145.773172732</v>
      </c>
      <c r="M348" s="15" t="n">
        <f aca="false">L348*(1+IF(M$3&lt;=$O$2,$D348,$D348-($D348-$I$346)*MIN(M$3-$O$2,$Q$2)/$Q$2))</f>
        <v>33283.6190433084</v>
      </c>
      <c r="N348" s="15" t="n">
        <f aca="false">M348*(1+IF(N$3&lt;=$O$2,$D348,$D348-($D348-$I$346)*MIN(N$3-$O$2,$Q$2)/$Q$2))</f>
        <v>34059.1273670174</v>
      </c>
      <c r="O348" s="15" t="n">
        <f aca="false">SUMPRODUCT(E348:N348,1/(1+$F$346)^$E$3:$N$3)*$E$2</f>
        <v>42085.2054877971</v>
      </c>
      <c r="P348" s="15" t="n">
        <f aca="false">N348*$E$2*(1+$I$346)/($F$346-$I$346)/(1+$F$346)^$N$3</f>
        <v>87973.9206694215</v>
      </c>
      <c r="Q348" s="15" t="n">
        <f aca="false">O348+P348</f>
        <v>130059.126157219</v>
      </c>
      <c r="R348" s="15" t="n">
        <f aca="false">Q348-$G$2+$I$2</f>
        <v>122713.926157219</v>
      </c>
      <c r="S348" s="42" t="n">
        <f aca="false">R348/$K$2</f>
        <v>522.96580505953</v>
      </c>
      <c r="T348" s="43" t="n">
        <f aca="false">S348-$M$2</f>
        <v>441.951528477386</v>
      </c>
    </row>
    <row r="349" customFormat="false" ht="15" hidden="false" customHeight="false" outlineLevel="0" collapsed="false">
      <c r="A349" s="5" t="n">
        <v>2</v>
      </c>
      <c r="B349" s="25" t="n">
        <f aca="false">IF(T348&gt;0,B348,D348)</f>
        <v>-0.5</v>
      </c>
      <c r="C349" s="25" t="n">
        <f aca="false">IF(T348&gt;0,D348,C348)</f>
        <v>0.25</v>
      </c>
      <c r="D349" s="41" t="n">
        <f aca="false">(B349+C349)/2</f>
        <v>-0.125</v>
      </c>
      <c r="E349" s="15" t="n">
        <f aca="false">$C$2*(1+IF(E$3&lt;=$O$2,$D349,$D349-($D349-$I$346)*MIN(E$3-$O$2,$Q$2)/$Q$2))</f>
        <v>5740</v>
      </c>
      <c r="F349" s="15" t="n">
        <f aca="false">E349*(1+IF(F$3&lt;=$O$2,$D349,$D349-($D349-$I$346)*MIN(F$3-$O$2,$Q$2)/$Q$2))</f>
        <v>5022.5</v>
      </c>
      <c r="G349" s="15" t="n">
        <f aca="false">F349*(1+IF(G$3&lt;=$O$2,$D349,$D349-($D349-$I$346)*MIN(G$3-$O$2,$Q$2)/$Q$2))</f>
        <v>4394.6875</v>
      </c>
      <c r="H349" s="15" t="n">
        <f aca="false">G349*(1+IF(H$3&lt;=$O$2,$D349,$D349-($D349-$I$346)*MIN(H$3-$O$2,$Q$2)/$Q$2))</f>
        <v>3845.3515625</v>
      </c>
      <c r="I349" s="15" t="n">
        <f aca="false">H349*(1+IF(I$3&lt;=$O$2,$D349,$D349-($D349-$I$346)*MIN(I$3-$O$2,$Q$2)/$Q$2))</f>
        <v>3364.6826171875</v>
      </c>
      <c r="J349" s="15" t="n">
        <f aca="false">I349*(1+IF(J$3&lt;=$O$2,$D349,$D349-($D349-$I$346)*MIN(J$3-$O$2,$Q$2)/$Q$2))</f>
        <v>3043.89377646484</v>
      </c>
      <c r="K349" s="15" t="n">
        <f aca="false">J349*(1+IF(K$3&lt;=$O$2,$D349,$D349-($D349-$I$346)*MIN(K$3-$O$2,$Q$2)/$Q$2))</f>
        <v>2843.97083322663</v>
      </c>
      <c r="L349" s="15" t="n">
        <f aca="false">K349*(1+IF(L$3&lt;=$O$2,$D349,$D349-($D349-$I$346)*MIN(L$3-$O$2,$Q$2)/$Q$2))</f>
        <v>2741.53100381381</v>
      </c>
      <c r="M349" s="15" t="n">
        <f aca="false">L349*(1+IF(M$3&lt;=$O$2,$D349,$D349-($D349-$I$346)*MIN(M$3-$O$2,$Q$2)/$Q$2))</f>
        <v>2724.09486662955</v>
      </c>
      <c r="N349" s="15" t="n">
        <f aca="false">M349*(1+IF(N$3&lt;=$O$2,$D349,$D349-($D349-$I$346)*MIN(N$3-$O$2,$Q$2)/$Q$2))</f>
        <v>2787.56627702202</v>
      </c>
      <c r="O349" s="15" t="n">
        <f aca="false">SUMPRODUCT(E349:N349,1/(1+$F$346)^$E$3:$N$3)*$E$2</f>
        <v>8244.63010538182</v>
      </c>
      <c r="P349" s="15" t="n">
        <f aca="false">N349*$E$2*(1+$I$346)/($F$346-$I$346)/(1+$F$346)^$N$3</f>
        <v>7200.21778223747</v>
      </c>
      <c r="Q349" s="15" t="n">
        <f aca="false">O349+P349</f>
        <v>15444.8478876193</v>
      </c>
      <c r="R349" s="15" t="n">
        <f aca="false">Q349-$G$2+$I$2</f>
        <v>8099.64788761929</v>
      </c>
      <c r="S349" s="42" t="n">
        <f aca="false">R349/$K$2</f>
        <v>34.5179965379045</v>
      </c>
      <c r="T349" s="43" t="n">
        <f aca="false">S349-$M$2</f>
        <v>-46.4962800442391</v>
      </c>
    </row>
    <row r="350" customFormat="false" ht="15" hidden="false" customHeight="false" outlineLevel="0" collapsed="false">
      <c r="A350" s="5" t="n">
        <v>3</v>
      </c>
      <c r="B350" s="25" t="n">
        <f aca="false">IF(T349&gt;0,B349,D349)</f>
        <v>-0.125</v>
      </c>
      <c r="C350" s="25" t="n">
        <f aca="false">IF(T349&gt;0,D349,C349)</f>
        <v>0.25</v>
      </c>
      <c r="D350" s="41" t="n">
        <f aca="false">(B350+C350)/2</f>
        <v>0.0625</v>
      </c>
      <c r="E350" s="15" t="n">
        <f aca="false">$C$2*(1+IF(E$3&lt;=$O$2,$D350,$D350-($D350-$I$346)*MIN(E$3-$O$2,$Q$2)/$Q$2))</f>
        <v>6970</v>
      </c>
      <c r="F350" s="15" t="n">
        <f aca="false">E350*(1+IF(F$3&lt;=$O$2,$D350,$D350-($D350-$I$346)*MIN(F$3-$O$2,$Q$2)/$Q$2))</f>
        <v>7405.625</v>
      </c>
      <c r="G350" s="15" t="n">
        <f aca="false">F350*(1+IF(G$3&lt;=$O$2,$D350,$D350-($D350-$I$346)*MIN(G$3-$O$2,$Q$2)/$Q$2))</f>
        <v>7868.4765625</v>
      </c>
      <c r="H350" s="15" t="n">
        <f aca="false">G350*(1+IF(H$3&lt;=$O$2,$D350,$D350-($D350-$I$346)*MIN(H$3-$O$2,$Q$2)/$Q$2))</f>
        <v>8360.25634765625</v>
      </c>
      <c r="I350" s="15" t="n">
        <f aca="false">H350*(1+IF(I$3&lt;=$O$2,$D350,$D350-($D350-$I$346)*MIN(I$3-$O$2,$Q$2)/$Q$2))</f>
        <v>8882.77236938477</v>
      </c>
      <c r="J350" s="15" t="n">
        <f aca="false">I350*(1+IF(J$3&lt;=$O$2,$D350,$D350-($D350-$I$346)*MIN(J$3-$O$2,$Q$2)/$Q$2))</f>
        <v>9368.30470709534</v>
      </c>
      <c r="K350" s="15" t="n">
        <f aca="false">J350*(1+IF(K$3&lt;=$O$2,$D350,$D350-($D350-$I$346)*MIN(K$3-$O$2,$Q$2)/$Q$2))</f>
        <v>9806.92873348154</v>
      </c>
      <c r="L350" s="15" t="n">
        <f aca="false">K350*(1+IF(L$3&lt;=$O$2,$D350,$D350-($D350-$I$346)*MIN(L$3-$O$2,$Q$2)/$Q$2))</f>
        <v>10189.2028155127</v>
      </c>
      <c r="M350" s="15" t="n">
        <f aca="false">L350*(1+IF(M$3&lt;=$O$2,$D350,$D350-($D350-$I$346)*MIN(M$3-$O$2,$Q$2)/$Q$2))</f>
        <v>10506.4945911877</v>
      </c>
      <c r="N350" s="15" t="n">
        <f aca="false">M350*(1+IF(N$3&lt;=$O$2,$D350,$D350-($D350-$I$346)*MIN(N$3-$O$2,$Q$2)/$Q$2))</f>
        <v>10751.2959151624</v>
      </c>
      <c r="O350" s="15" t="n">
        <f aca="false">SUMPRODUCT(E350:N350,1/(1+$F$346)^$E$3:$N$3)*$E$2</f>
        <v>18603.8273502398</v>
      </c>
      <c r="P350" s="15" t="n">
        <f aca="false">N350*$E$2*(1+$I$346)/($F$346-$I$346)/(1+$F$346)^$N$3</f>
        <v>27770.34313715</v>
      </c>
      <c r="Q350" s="15" t="n">
        <f aca="false">O350+P350</f>
        <v>46374.1704873899</v>
      </c>
      <c r="R350" s="15" t="n">
        <f aca="false">Q350-$G$2+$I$2</f>
        <v>39028.9704873899</v>
      </c>
      <c r="S350" s="42" t="n">
        <f aca="false">R350/$K$2</f>
        <v>166.328448699722</v>
      </c>
      <c r="T350" s="43" t="n">
        <f aca="false">S350-$M$2</f>
        <v>85.3141721175787</v>
      </c>
    </row>
    <row r="351" customFormat="false" ht="15" hidden="false" customHeight="false" outlineLevel="0" collapsed="false">
      <c r="A351" s="5" t="n">
        <v>4</v>
      </c>
      <c r="B351" s="25" t="n">
        <f aca="false">IF(T350&gt;0,B350,D350)</f>
        <v>-0.125</v>
      </c>
      <c r="C351" s="25" t="n">
        <f aca="false">IF(T350&gt;0,D350,C350)</f>
        <v>0.0625</v>
      </c>
      <c r="D351" s="41" t="n">
        <f aca="false">(B351+C351)/2</f>
        <v>-0.03125</v>
      </c>
      <c r="E351" s="15" t="n">
        <f aca="false">$C$2*(1+IF(E$3&lt;=$O$2,$D351,$D351-($D351-$I$346)*MIN(E$3-$O$2,$Q$2)/$Q$2))</f>
        <v>6355</v>
      </c>
      <c r="F351" s="15" t="n">
        <f aca="false">E351*(1+IF(F$3&lt;=$O$2,$D351,$D351-($D351-$I$346)*MIN(F$3-$O$2,$Q$2)/$Q$2))</f>
        <v>6156.40625</v>
      </c>
      <c r="G351" s="15" t="n">
        <f aca="false">F351*(1+IF(G$3&lt;=$O$2,$D351,$D351-($D351-$I$346)*MIN(G$3-$O$2,$Q$2)/$Q$2))</f>
        <v>5964.0185546875</v>
      </c>
      <c r="H351" s="15" t="n">
        <f aca="false">G351*(1+IF(H$3&lt;=$O$2,$D351,$D351-($D351-$I$346)*MIN(H$3-$O$2,$Q$2)/$Q$2))</f>
        <v>5777.64297485352</v>
      </c>
      <c r="I351" s="15" t="n">
        <f aca="false">H351*(1+IF(I$3&lt;=$O$2,$D351,$D351-($D351-$I$346)*MIN(I$3-$O$2,$Q$2)/$Q$2))</f>
        <v>5597.09163188934</v>
      </c>
      <c r="J351" s="15" t="n">
        <f aca="false">I351*(1+IF(J$3&lt;=$O$2,$D351,$D351-($D351-$I$346)*MIN(J$3-$O$2,$Q$2)/$Q$2))</f>
        <v>5483.24678809671</v>
      </c>
      <c r="K351" s="15" t="n">
        <f aca="false">J351*(1+IF(K$3&lt;=$O$2,$D351,$D351-($D351-$I$346)*MIN(K$3-$O$2,$Q$2)/$Q$2))</f>
        <v>5431.53977088496</v>
      </c>
      <c r="L351" s="15" t="n">
        <f aca="false">K351*(1+IF(L$3&lt;=$O$2,$D351,$D351-($D351-$I$346)*MIN(L$3-$O$2,$Q$2)/$Q$2))</f>
        <v>5439.57844974587</v>
      </c>
      <c r="M351" s="15" t="n">
        <f aca="false">L351*(1+IF(M$3&lt;=$O$2,$D351,$D351-($D351-$I$346)*MIN(M$3-$O$2,$Q$2)/$Q$2))</f>
        <v>5506.97482673822</v>
      </c>
      <c r="N351" s="15" t="n">
        <f aca="false">M351*(1+IF(N$3&lt;=$O$2,$D351,$D351-($D351-$I$346)*MIN(N$3-$O$2,$Q$2)/$Q$2))</f>
        <v>5635.28734020122</v>
      </c>
      <c r="O351" s="15" t="n">
        <f aca="false">SUMPRODUCT(E351:N351,1/(1+$F$346)^$E$3:$N$3)*$E$2</f>
        <v>12350.1429861741</v>
      </c>
      <c r="P351" s="15" t="n">
        <f aca="false">N351*$E$2*(1+$I$346)/($F$346-$I$346)/(1+$F$346)^$N$3</f>
        <v>14555.813954774</v>
      </c>
      <c r="Q351" s="15" t="n">
        <f aca="false">O351+P351</f>
        <v>26905.9569409481</v>
      </c>
      <c r="R351" s="15" t="n">
        <f aca="false">Q351-$G$2+$I$2</f>
        <v>19560.7569409481</v>
      </c>
      <c r="S351" s="42" t="n">
        <f aca="false">R351/$K$2</f>
        <v>83.3614188832222</v>
      </c>
      <c r="T351" s="43" t="n">
        <f aca="false">S351-$M$2</f>
        <v>2.34714230107861</v>
      </c>
    </row>
    <row r="352" customFormat="false" ht="15" hidden="false" customHeight="false" outlineLevel="0" collapsed="false">
      <c r="A352" s="5" t="n">
        <v>5</v>
      </c>
      <c r="B352" s="25" t="n">
        <f aca="false">IF(T351&gt;0,B351,D351)</f>
        <v>-0.125</v>
      </c>
      <c r="C352" s="25" t="n">
        <f aca="false">IF(T351&gt;0,D351,C351)</f>
        <v>-0.03125</v>
      </c>
      <c r="D352" s="41" t="n">
        <f aca="false">(B352+C352)/2</f>
        <v>-0.078125</v>
      </c>
      <c r="E352" s="15" t="n">
        <f aca="false">$C$2*(1+IF(E$3&lt;=$O$2,$D352,$D352-($D352-$I$346)*MIN(E$3-$O$2,$Q$2)/$Q$2))</f>
        <v>6047.5</v>
      </c>
      <c r="F352" s="15" t="n">
        <f aca="false">E352*(1+IF(F$3&lt;=$O$2,$D352,$D352-($D352-$I$346)*MIN(F$3-$O$2,$Q$2)/$Q$2))</f>
        <v>5575.0390625</v>
      </c>
      <c r="G352" s="15" t="n">
        <f aca="false">F352*(1+IF(G$3&lt;=$O$2,$D352,$D352-($D352-$I$346)*MIN(G$3-$O$2,$Q$2)/$Q$2))</f>
        <v>5139.48913574219</v>
      </c>
      <c r="H352" s="15" t="n">
        <f aca="false">G352*(1+IF(H$3&lt;=$O$2,$D352,$D352-($D352-$I$346)*MIN(H$3-$O$2,$Q$2)/$Q$2))</f>
        <v>4737.96654701233</v>
      </c>
      <c r="I352" s="15" t="n">
        <f aca="false">H352*(1+IF(I$3&lt;=$O$2,$D352,$D352-($D352-$I$346)*MIN(I$3-$O$2,$Q$2)/$Q$2))</f>
        <v>4367.81291052699</v>
      </c>
      <c r="J352" s="15" t="n">
        <f aca="false">I352*(1+IF(J$3&lt;=$O$2,$D352,$D352-($D352-$I$346)*MIN(J$3-$O$2,$Q$2)/$Q$2))</f>
        <v>4115.17861178211</v>
      </c>
      <c r="K352" s="15" t="n">
        <f aca="false">J352*(1+IF(K$3&lt;=$O$2,$D352,$D352-($D352-$I$346)*MIN(K$3-$O$2,$Q$2)/$Q$2))</f>
        <v>3960.63307901663</v>
      </c>
      <c r="L352" s="15" t="n">
        <f aca="false">K352*(1+IF(L$3&lt;=$O$2,$D352,$D352-($D352-$I$346)*MIN(L$3-$O$2,$Q$2)/$Q$2))</f>
        <v>3892.23294574201</v>
      </c>
      <c r="M352" s="15" t="n">
        <f aca="false">L352*(1+IF(M$3&lt;=$O$2,$D352,$D352-($D352-$I$346)*MIN(M$3-$O$2,$Q$2)/$Q$2))</f>
        <v>3903.96802807343</v>
      </c>
      <c r="N352" s="15" t="n">
        <f aca="false">M352*(1+IF(N$3&lt;=$O$2,$D352,$D352-($D352-$I$346)*MIN(N$3-$O$2,$Q$2)/$Q$2))</f>
        <v>3994.93048312754</v>
      </c>
      <c r="O352" s="15" t="n">
        <f aca="false">SUMPRODUCT(E352:N352,1/(1+$F$346)^$E$3:$N$3)*$E$2</f>
        <v>10080.3366312428</v>
      </c>
      <c r="P352" s="15" t="n">
        <f aca="false">N352*$E$2*(1+$I$346)/($F$346-$I$346)/(1+$F$346)^$N$3</f>
        <v>10318.810978782</v>
      </c>
      <c r="Q352" s="15" t="n">
        <f aca="false">O352+P352</f>
        <v>20399.1476100249</v>
      </c>
      <c r="R352" s="15" t="n">
        <f aca="false">Q352-$G$2+$I$2</f>
        <v>13053.9476100249</v>
      </c>
      <c r="S352" s="42" t="n">
        <f aca="false">R352/$K$2</f>
        <v>55.6315687620919</v>
      </c>
      <c r="T352" s="43" t="n">
        <f aca="false">S352-$M$2</f>
        <v>-25.3827078200517</v>
      </c>
    </row>
    <row r="353" customFormat="false" ht="15" hidden="false" customHeight="false" outlineLevel="0" collapsed="false">
      <c r="A353" s="5" t="n">
        <v>6</v>
      </c>
      <c r="B353" s="25" t="n">
        <f aca="false">IF(T352&gt;0,B352,D352)</f>
        <v>-0.078125</v>
      </c>
      <c r="C353" s="25" t="n">
        <f aca="false">IF(T352&gt;0,D352,C352)</f>
        <v>-0.03125</v>
      </c>
      <c r="D353" s="41" t="n">
        <f aca="false">(B353+C353)/2</f>
        <v>-0.0546875</v>
      </c>
      <c r="E353" s="15" t="n">
        <f aca="false">$C$2*(1+IF(E$3&lt;=$O$2,$D353,$D353-($D353-$I$346)*MIN(E$3-$O$2,$Q$2)/$Q$2))</f>
        <v>6201.25</v>
      </c>
      <c r="F353" s="15" t="n">
        <f aca="false">E353*(1+IF(F$3&lt;=$O$2,$D353,$D353-($D353-$I$346)*MIN(F$3-$O$2,$Q$2)/$Q$2))</f>
        <v>5862.119140625</v>
      </c>
      <c r="G353" s="15" t="n">
        <f aca="false">F353*(1+IF(G$3&lt;=$O$2,$D353,$D353-($D353-$I$346)*MIN(G$3-$O$2,$Q$2)/$Q$2))</f>
        <v>5541.53450012207</v>
      </c>
      <c r="H353" s="15" t="n">
        <f aca="false">G353*(1+IF(H$3&lt;=$O$2,$D353,$D353-($D353-$I$346)*MIN(H$3-$O$2,$Q$2)/$Q$2))</f>
        <v>5238.48183214665</v>
      </c>
      <c r="I353" s="15" t="n">
        <f aca="false">H353*(1+IF(I$3&lt;=$O$2,$D353,$D353-($D353-$I$346)*MIN(I$3-$O$2,$Q$2)/$Q$2))</f>
        <v>4952.00235695113</v>
      </c>
      <c r="J353" s="15" t="n">
        <f aca="false">I353*(1+IF(J$3&lt;=$O$2,$D353,$D353-($D353-$I$346)*MIN(J$3-$O$2,$Q$2)/$Q$2))</f>
        <v>4758.42858481791</v>
      </c>
      <c r="K353" s="15" t="n">
        <f aca="false">J353*(1+IF(K$3&lt;=$O$2,$D353,$D353-($D353-$I$346)*MIN(K$3-$O$2,$Q$2)/$Q$2))</f>
        <v>4646.64120128907</v>
      </c>
      <c r="L353" s="15" t="n">
        <f aca="false">K353*(1+IF(L$3&lt;=$O$2,$D353,$D353-($D353-$I$346)*MIN(L$3-$O$2,$Q$2)/$Q$2))</f>
        <v>4609.95596900489</v>
      </c>
      <c r="M353" s="15" t="n">
        <f aca="false">L353*(1+IF(M$3&lt;=$O$2,$D353,$D353-($D353-$I$346)*MIN(M$3-$O$2,$Q$2)/$Q$2))</f>
        <v>4645.46415485616</v>
      </c>
      <c r="N353" s="15" t="n">
        <f aca="false">M353*(1+IF(N$3&lt;=$O$2,$D353,$D353-($D353-$I$346)*MIN(N$3-$O$2,$Q$2)/$Q$2))</f>
        <v>4753.7034696643</v>
      </c>
      <c r="O353" s="15" t="n">
        <f aca="false">SUMPRODUCT(E353:N353,1/(1+$F$346)^$E$3:$N$3)*$E$2</f>
        <v>11155.2517905332</v>
      </c>
      <c r="P353" s="15" t="n">
        <f aca="false">N353*$E$2*(1+$I$346)/($F$346-$I$346)/(1+$F$346)^$N$3</f>
        <v>12278.7036620082</v>
      </c>
      <c r="Q353" s="15" t="n">
        <f aca="false">O353+P353</f>
        <v>23433.9554525414</v>
      </c>
      <c r="R353" s="15" t="n">
        <f aca="false">Q353-$G$2+$I$2</f>
        <v>16088.7554525414</v>
      </c>
      <c r="S353" s="42" t="n">
        <f aca="false">R353/$K$2</f>
        <v>68.5649071065051</v>
      </c>
      <c r="T353" s="43" t="n">
        <f aca="false">S353-$M$2</f>
        <v>-12.4493694756385</v>
      </c>
    </row>
    <row r="354" customFormat="false" ht="15" hidden="false" customHeight="false" outlineLevel="0" collapsed="false">
      <c r="A354" s="5" t="n">
        <v>7</v>
      </c>
      <c r="B354" s="25" t="n">
        <f aca="false">IF(T353&gt;0,B353,D353)</f>
        <v>-0.0546875</v>
      </c>
      <c r="C354" s="25" t="n">
        <f aca="false">IF(T353&gt;0,D353,C353)</f>
        <v>-0.03125</v>
      </c>
      <c r="D354" s="41" t="n">
        <f aca="false">(B354+C354)/2</f>
        <v>-0.04296875</v>
      </c>
      <c r="E354" s="15" t="n">
        <f aca="false">$C$2*(1+IF(E$3&lt;=$O$2,$D354,$D354-($D354-$I$346)*MIN(E$3-$O$2,$Q$2)/$Q$2))</f>
        <v>6278.125</v>
      </c>
      <c r="F354" s="15" t="n">
        <f aca="false">E354*(1+IF(F$3&lt;=$O$2,$D354,$D354-($D354-$I$346)*MIN(F$3-$O$2,$Q$2)/$Q$2))</f>
        <v>6008.36181640625</v>
      </c>
      <c r="G354" s="15" t="n">
        <f aca="false">F354*(1+IF(G$3&lt;=$O$2,$D354,$D354-($D354-$I$346)*MIN(G$3-$O$2,$Q$2)/$Q$2))</f>
        <v>5750.19001960754</v>
      </c>
      <c r="H354" s="15" t="n">
        <f aca="false">G354*(1+IF(H$3&lt;=$O$2,$D354,$D354-($D354-$I$346)*MIN(H$3-$O$2,$Q$2)/$Q$2))</f>
        <v>5503.11154220253</v>
      </c>
      <c r="I354" s="15" t="n">
        <f aca="false">H354*(1+IF(I$3&lt;=$O$2,$D354,$D354-($D354-$I$346)*MIN(I$3-$O$2,$Q$2)/$Q$2))</f>
        <v>5266.64971812352</v>
      </c>
      <c r="J354" s="15" t="n">
        <f aca="false">I354*(1+IF(J$3&lt;=$O$2,$D354,$D354-($D354-$I$346)*MIN(J$3-$O$2,$Q$2)/$Q$2))</f>
        <v>5110.15122174948</v>
      </c>
      <c r="K354" s="15" t="n">
        <f aca="false">J354*(1+IF(K$3&lt;=$O$2,$D354,$D354-($D354-$I$346)*MIN(K$3-$O$2,$Q$2)/$Q$2))</f>
        <v>5026.03174495045</v>
      </c>
      <c r="L354" s="15" t="n">
        <f aca="false">K354*(1+IF(L$3&lt;=$O$2,$D354,$D354-($D354-$I$346)*MIN(L$3-$O$2,$Q$2)/$Q$2))</f>
        <v>5009.91074812852</v>
      </c>
      <c r="M354" s="15" t="n">
        <f aca="false">L354*(1+IF(M$3&lt;=$O$2,$D354,$D354-($D354-$I$346)*MIN(M$3-$O$2,$Q$2)/$Q$2))</f>
        <v>5060.24156398191</v>
      </c>
      <c r="N354" s="15" t="n">
        <f aca="false">M354*(1+IF(N$3&lt;=$O$2,$D354,$D354-($D354-$I$346)*MIN(N$3-$O$2,$Q$2)/$Q$2))</f>
        <v>5178.14519242269</v>
      </c>
      <c r="O354" s="15" t="n">
        <f aca="false">SUMPRODUCT(E354:N354,1/(1+$F$346)^$E$3:$N$3)*$E$2</f>
        <v>11736.9268192743</v>
      </c>
      <c r="P354" s="15" t="n">
        <f aca="false">N354*$E$2*(1+$I$346)/($F$346-$I$346)/(1+$F$346)^$N$3</f>
        <v>13375.0265960743</v>
      </c>
      <c r="Q354" s="15" t="n">
        <f aca="false">O354+P354</f>
        <v>25111.9534153486</v>
      </c>
      <c r="R354" s="15" t="n">
        <f aca="false">Q354-$G$2+$I$2</f>
        <v>17766.7534153486</v>
      </c>
      <c r="S354" s="42" t="n">
        <f aca="false">R354/$K$2</f>
        <v>75.7159744954129</v>
      </c>
      <c r="T354" s="43" t="n">
        <f aca="false">S354-$M$2</f>
        <v>-5.29830208673073</v>
      </c>
    </row>
    <row r="355" customFormat="false" ht="15" hidden="false" customHeight="false" outlineLevel="0" collapsed="false">
      <c r="A355" s="5" t="n">
        <v>8</v>
      </c>
      <c r="B355" s="25" t="n">
        <f aca="false">IF(T354&gt;0,B354,D354)</f>
        <v>-0.04296875</v>
      </c>
      <c r="C355" s="25" t="n">
        <f aca="false">IF(T354&gt;0,D354,C354)</f>
        <v>-0.03125</v>
      </c>
      <c r="D355" s="41" t="n">
        <f aca="false">(B355+C355)/2</f>
        <v>-0.037109375</v>
      </c>
      <c r="E355" s="15" t="n">
        <f aca="false">$C$2*(1+IF(E$3&lt;=$O$2,$D355,$D355-($D355-$I$346)*MIN(E$3-$O$2,$Q$2)/$Q$2))</f>
        <v>6316.5625</v>
      </c>
      <c r="F355" s="15" t="n">
        <f aca="false">E355*(1+IF(F$3&lt;=$O$2,$D355,$D355-($D355-$I$346)*MIN(F$3-$O$2,$Q$2)/$Q$2))</f>
        <v>6082.15881347656</v>
      </c>
      <c r="G355" s="15" t="n">
        <f aca="false">F355*(1+IF(G$3&lt;=$O$2,$D355,$D355-($D355-$I$346)*MIN(G$3-$O$2,$Q$2)/$Q$2))</f>
        <v>5856.45370125771</v>
      </c>
      <c r="H355" s="15" t="n">
        <f aca="false">G355*(1+IF(H$3&lt;=$O$2,$D355,$D355-($D355-$I$346)*MIN(H$3-$O$2,$Q$2)/$Q$2))</f>
        <v>5639.1243646876</v>
      </c>
      <c r="I355" s="15" t="n">
        <f aca="false">H355*(1+IF(I$3&lt;=$O$2,$D355,$D355-($D355-$I$346)*MIN(I$3-$O$2,$Q$2)/$Q$2))</f>
        <v>5429.85998396677</v>
      </c>
      <c r="J355" s="15" t="n">
        <f aca="false">I355*(1+IF(J$3&lt;=$O$2,$D355,$D355-($D355-$I$346)*MIN(J$3-$O$2,$Q$2)/$Q$2))</f>
        <v>5293.96416321804</v>
      </c>
      <c r="K355" s="15" t="n">
        <f aca="false">J355*(1+IF(K$3&lt;=$O$2,$D355,$D355-($D355-$I$346)*MIN(K$3-$O$2,$Q$2)/$Q$2))</f>
        <v>5225.43048839758</v>
      </c>
      <c r="L355" s="15" t="n">
        <f aca="false">K355*(1+IF(L$3&lt;=$O$2,$D355,$D355-($D355-$I$346)*MIN(L$3-$O$2,$Q$2)/$Q$2))</f>
        <v>5220.91702281323</v>
      </c>
      <c r="M355" s="15" t="n">
        <f aca="false">L355*(1+IF(M$3&lt;=$O$2,$D355,$D355-($D355-$I$346)*MIN(M$3-$O$2,$Q$2)/$Q$2))</f>
        <v>5279.48592258977</v>
      </c>
      <c r="N355" s="15" t="n">
        <f aca="false">M355*(1+IF(N$3&lt;=$O$2,$D355,$D355-($D355-$I$346)*MIN(N$3-$O$2,$Q$2)/$Q$2))</f>
        <v>5402.49794458612</v>
      </c>
      <c r="O355" s="15" t="n">
        <f aca="false">SUMPRODUCT(E355:N355,1/(1+$F$346)^$E$3:$N$3)*$E$2</f>
        <v>12039.4917423937</v>
      </c>
      <c r="P355" s="15" t="n">
        <f aca="false">N355*$E$2*(1+$I$346)/($F$346-$I$346)/(1+$F$346)^$N$3</f>
        <v>13954.5244501475</v>
      </c>
      <c r="Q355" s="15" t="n">
        <f aca="false">O355+P355</f>
        <v>25994.0161925412</v>
      </c>
      <c r="R355" s="15" t="n">
        <f aca="false">Q355-$G$2+$I$2</f>
        <v>18648.8161925412</v>
      </c>
      <c r="S355" s="42" t="n">
        <f aca="false">R355/$K$2</f>
        <v>79.4750317176272</v>
      </c>
      <c r="T355" s="43" t="n">
        <f aca="false">S355-$M$2</f>
        <v>-1.53924486451648</v>
      </c>
    </row>
    <row r="356" customFormat="false" ht="15" hidden="false" customHeight="false" outlineLevel="0" collapsed="false">
      <c r="A356" s="5" t="n">
        <v>9</v>
      </c>
      <c r="B356" s="25" t="n">
        <f aca="false">IF(T355&gt;0,B355,D355)</f>
        <v>-0.037109375</v>
      </c>
      <c r="C356" s="25" t="n">
        <f aca="false">IF(T355&gt;0,D355,C355)</f>
        <v>-0.03125</v>
      </c>
      <c r="D356" s="41" t="n">
        <f aca="false">(B356+C356)/2</f>
        <v>-0.0341796875</v>
      </c>
      <c r="E356" s="15" t="n">
        <f aca="false">$C$2*(1+IF(E$3&lt;=$O$2,$D356,$D356-($D356-$I$346)*MIN(E$3-$O$2,$Q$2)/$Q$2))</f>
        <v>6335.78125</v>
      </c>
      <c r="F356" s="15" t="n">
        <f aca="false">E356*(1+IF(F$3&lt;=$O$2,$D356,$D356-($D356-$I$346)*MIN(F$3-$O$2,$Q$2)/$Q$2))</f>
        <v>6119.22622680664</v>
      </c>
      <c r="G356" s="15" t="n">
        <f aca="false">F356*(1+IF(G$3&lt;=$O$2,$D356,$D356-($D356-$I$346)*MIN(G$3-$O$2,$Q$2)/$Q$2))</f>
        <v>5910.07298663259</v>
      </c>
      <c r="H356" s="15" t="n">
        <f aca="false">G356*(1+IF(H$3&lt;=$O$2,$D356,$D356-($D356-$I$346)*MIN(H$3-$O$2,$Q$2)/$Q$2))</f>
        <v>5708.06853884729</v>
      </c>
      <c r="I356" s="15" t="n">
        <f aca="false">H356*(1+IF(I$3&lt;=$O$2,$D356,$D356-($D356-$I$346)*MIN(I$3-$O$2,$Q$2)/$Q$2))</f>
        <v>5512.96853996091</v>
      </c>
      <c r="J356" s="15" t="n">
        <f aca="false">I356*(1+IF(J$3&lt;=$O$2,$D356,$D356-($D356-$I$346)*MIN(J$3-$O$2,$Q$2)/$Q$2))</f>
        <v>5387.91373984257</v>
      </c>
      <c r="K356" s="15" t="n">
        <f aca="false">J356*(1+IF(K$3&lt;=$O$2,$D356,$D356-($D356-$I$346)*MIN(K$3-$O$2,$Q$2)/$Q$2))</f>
        <v>5327.63477115504</v>
      </c>
      <c r="L356" s="15" t="n">
        <f aca="false">K356*(1+IF(L$3&lt;=$O$2,$D356,$D356-($D356-$I$346)*MIN(L$3-$O$2,$Q$2)/$Q$2))</f>
        <v>5329.2763486189</v>
      </c>
      <c r="M356" s="15" t="n">
        <f aca="false">L356*(1+IF(M$3&lt;=$O$2,$D356,$D356-($D356-$I$346)*MIN(M$3-$O$2,$Q$2)/$Q$2))</f>
        <v>5392.18345971777</v>
      </c>
      <c r="N356" s="15" t="n">
        <f aca="false">M356*(1+IF(N$3&lt;=$O$2,$D356,$D356-($D356-$I$346)*MIN(N$3-$O$2,$Q$2)/$Q$2))</f>
        <v>5517.8213343292</v>
      </c>
      <c r="O356" s="15" t="n">
        <f aca="false">SUMPRODUCT(E356:N356,1/(1+$F$346)^$E$3:$N$3)*$E$2</f>
        <v>12193.7937638737</v>
      </c>
      <c r="P356" s="15" t="n">
        <f aca="false">N356*$E$2*(1+$I$346)/($F$346-$I$346)/(1+$F$346)^$N$3</f>
        <v>14252.402039061</v>
      </c>
      <c r="Q356" s="15" t="n">
        <f aca="false">O356+P356</f>
        <v>26446.1958029347</v>
      </c>
      <c r="R356" s="15" t="n">
        <f aca="false">Q356-$G$2+$I$2</f>
        <v>19100.9958029347</v>
      </c>
      <c r="S356" s="42" t="n">
        <f aca="false">R356/$K$2</f>
        <v>81.4020703300009</v>
      </c>
      <c r="T356" s="43" t="n">
        <f aca="false">S356-$M$2</f>
        <v>0.387793747857316</v>
      </c>
    </row>
    <row r="357" customFormat="false" ht="15" hidden="false" customHeight="false" outlineLevel="0" collapsed="false">
      <c r="A357" s="5" t="n">
        <v>10</v>
      </c>
      <c r="B357" s="25" t="n">
        <f aca="false">IF(T356&gt;0,B356,D356)</f>
        <v>-0.037109375</v>
      </c>
      <c r="C357" s="25" t="n">
        <f aca="false">IF(T356&gt;0,D356,C356)</f>
        <v>-0.0341796875</v>
      </c>
      <c r="D357" s="41" t="n">
        <f aca="false">(B357+C357)/2</f>
        <v>-0.03564453125</v>
      </c>
      <c r="E357" s="15" t="n">
        <f aca="false">$C$2*(1+IF(E$3&lt;=$O$2,$D357,$D357-($D357-$I$346)*MIN(E$3-$O$2,$Q$2)/$Q$2))</f>
        <v>6326.171875</v>
      </c>
      <c r="F357" s="15" t="n">
        <f aca="false">E357*(1+IF(F$3&lt;=$O$2,$D357,$D357-($D357-$I$346)*MIN(F$3-$O$2,$Q$2)/$Q$2))</f>
        <v>6100.67844390869</v>
      </c>
      <c r="G357" s="15" t="n">
        <f aca="false">F357*(1+IF(G$3&lt;=$O$2,$D357,$D357-($D357-$I$346)*MIN(G$3-$O$2,$Q$2)/$Q$2))</f>
        <v>5883.22262046859</v>
      </c>
      <c r="H357" s="15" t="n">
        <f aca="false">G357*(1+IF(H$3&lt;=$O$2,$D357,$D357-($D357-$I$346)*MIN(H$3-$O$2,$Q$2)/$Q$2))</f>
        <v>5673.51790792259</v>
      </c>
      <c r="I357" s="15" t="n">
        <f aca="false">H357*(1+IF(I$3&lt;=$O$2,$D357,$D357-($D357-$I$346)*MIN(I$3-$O$2,$Q$2)/$Q$2))</f>
        <v>5471.28802155621</v>
      </c>
      <c r="J357" s="15" t="n">
        <f aca="false">I357*(1+IF(J$3&lt;=$O$2,$D357,$D357-($D357-$I$346)*MIN(J$3-$O$2,$Q$2)/$Q$2))</f>
        <v>5340.76702624697</v>
      </c>
      <c r="K357" s="15" t="n">
        <f aca="false">J357*(1+IF(K$3&lt;=$O$2,$D357,$D357-($D357-$I$346)*MIN(K$3-$O$2,$Q$2)/$Q$2))</f>
        <v>5276.32149263197</v>
      </c>
      <c r="L357" s="15" t="n">
        <f aca="false">K357*(1+IF(L$3&lt;=$O$2,$D357,$D357-($D357-$I$346)*MIN(L$3-$O$2,$Q$2)/$Q$2))</f>
        <v>5274.8556645673</v>
      </c>
      <c r="M357" s="15" t="n">
        <f aca="false">L357*(1+IF(M$3&lt;=$O$2,$D357,$D357-($D357-$I$346)*MIN(M$3-$O$2,$Q$2)/$Q$2))</f>
        <v>5335.57502263985</v>
      </c>
      <c r="N357" s="15" t="n">
        <f aca="false">M357*(1+IF(N$3&lt;=$O$2,$D357,$D357-($D357-$I$346)*MIN(N$3-$O$2,$Q$2)/$Q$2))</f>
        <v>5459.89392066736</v>
      </c>
      <c r="O357" s="15" t="n">
        <f aca="false">SUMPRODUCT(E357:N357,1/(1+$F$346)^$E$3:$N$3)*$E$2</f>
        <v>12116.3884654162</v>
      </c>
      <c r="P357" s="15" t="n">
        <f aca="false">N357*$E$2*(1+$I$346)/($F$346-$I$346)/(1+$F$346)^$N$3</f>
        <v>14102.7768992518</v>
      </c>
      <c r="Q357" s="15" t="n">
        <f aca="false">O357+P357</f>
        <v>26219.165364668</v>
      </c>
      <c r="R357" s="15" t="n">
        <f aca="false">Q357-$G$2+$I$2</f>
        <v>18873.965364668</v>
      </c>
      <c r="S357" s="42" t="n">
        <f aca="false">R357/$K$2</f>
        <v>80.4345423595483</v>
      </c>
      <c r="T357" s="43" t="n">
        <f aca="false">S357-$M$2</f>
        <v>-0.579734222595363</v>
      </c>
    </row>
    <row r="358" customFormat="false" ht="15" hidden="false" customHeight="false" outlineLevel="0" collapsed="false">
      <c r="A358" s="5" t="n">
        <v>11</v>
      </c>
      <c r="B358" s="25" t="n">
        <f aca="false">IF(T357&gt;0,B357,D357)</f>
        <v>-0.03564453125</v>
      </c>
      <c r="C358" s="25" t="n">
        <f aca="false">IF(T357&gt;0,D357,C357)</f>
        <v>-0.0341796875</v>
      </c>
      <c r="D358" s="41" t="n">
        <f aca="false">(B358+C358)/2</f>
        <v>-0.034912109375</v>
      </c>
      <c r="E358" s="15" t="n">
        <f aca="false">$C$2*(1+IF(E$3&lt;=$O$2,$D358,$D358-($D358-$I$346)*MIN(E$3-$O$2,$Q$2)/$Q$2))</f>
        <v>6330.9765625</v>
      </c>
      <c r="F358" s="15" t="n">
        <f aca="false">E358*(1+IF(F$3&lt;=$O$2,$D358,$D358-($D358-$I$346)*MIN(F$3-$O$2,$Q$2)/$Q$2))</f>
        <v>6109.94881629944</v>
      </c>
      <c r="G358" s="15" t="n">
        <f aca="false">F358*(1+IF(G$3&lt;=$O$2,$D358,$D358-($D358-$I$346)*MIN(G$3-$O$2,$Q$2)/$Q$2))</f>
        <v>5896.63761494914</v>
      </c>
      <c r="H358" s="15" t="n">
        <f aca="false">G358*(1+IF(H$3&lt;=$O$2,$D358,$D358-($D358-$I$346)*MIN(H$3-$O$2,$Q$2)/$Q$2))</f>
        <v>5690.7735575913</v>
      </c>
      <c r="I358" s="15" t="n">
        <f aca="false">H358*(1+IF(I$3&lt;=$O$2,$D358,$D358-($D358-$I$346)*MIN(I$3-$O$2,$Q$2)/$Q$2))</f>
        <v>5492.09664872031</v>
      </c>
      <c r="J358" s="15" t="n">
        <f aca="false">I358*(1+IF(J$3&lt;=$O$2,$D358,$D358-($D358-$I$346)*MIN(J$3-$O$2,$Q$2)/$Q$2))</f>
        <v>5364.29727598479</v>
      </c>
      <c r="K358" s="15" t="n">
        <f aca="false">J358*(1+IF(K$3&lt;=$O$2,$D358,$D358-($D358-$I$346)*MIN(K$3-$O$2,$Q$2)/$Q$2))</f>
        <v>5301.92516666545</v>
      </c>
      <c r="L358" s="15" t="n">
        <f aca="false">K358*(1+IF(L$3&lt;=$O$2,$D358,$D358-($D358-$I$346)*MIN(L$3-$O$2,$Q$2)/$Q$2))</f>
        <v>5302.00552396876</v>
      </c>
      <c r="M358" s="15" t="n">
        <f aca="false">L358*(1+IF(M$3&lt;=$O$2,$D358,$D358-($D358-$I$346)*MIN(M$3-$O$2,$Q$2)/$Q$2))</f>
        <v>5363.81406758361</v>
      </c>
      <c r="N358" s="15" t="n">
        <f aca="false">M358*(1+IF(N$3&lt;=$O$2,$D358,$D358-($D358-$I$346)*MIN(N$3-$O$2,$Q$2)/$Q$2))</f>
        <v>5488.79093535831</v>
      </c>
      <c r="O358" s="15" t="n">
        <f aca="false">SUMPRODUCT(E358:N358,1/(1+$F$346)^$E$3:$N$3)*$E$2</f>
        <v>12155.0273418643</v>
      </c>
      <c r="P358" s="15" t="n">
        <f aca="false">N358*$E$2*(1+$I$346)/($F$346-$I$346)/(1+$F$346)^$N$3</f>
        <v>14177.4172049358</v>
      </c>
      <c r="Q358" s="15" t="n">
        <f aca="false">O358+P358</f>
        <v>26332.4445468001</v>
      </c>
      <c r="R358" s="15" t="n">
        <f aca="false">Q358-$G$2+$I$2</f>
        <v>18987.2445468001</v>
      </c>
      <c r="S358" s="42" t="n">
        <f aca="false">R358/$K$2</f>
        <v>80.9173004338381</v>
      </c>
      <c r="T358" s="43" t="n">
        <f aca="false">S358-$M$2</f>
        <v>-0.0969761483055436</v>
      </c>
    </row>
    <row r="359" customFormat="false" ht="15" hidden="false" customHeight="false" outlineLevel="0" collapsed="false">
      <c r="A359" s="5" t="n">
        <v>12</v>
      </c>
      <c r="B359" s="25" t="n">
        <f aca="false">IF(T358&gt;0,B358,D358)</f>
        <v>-0.034912109375</v>
      </c>
      <c r="C359" s="25" t="n">
        <f aca="false">IF(T358&gt;0,D358,C358)</f>
        <v>-0.0341796875</v>
      </c>
      <c r="D359" s="41" t="n">
        <f aca="false">(B359+C359)/2</f>
        <v>-0.0345458984375</v>
      </c>
      <c r="E359" s="15" t="n">
        <f aca="false">$C$2*(1+IF(E$3&lt;=$O$2,$D359,$D359-($D359-$I$346)*MIN(E$3-$O$2,$Q$2)/$Q$2))</f>
        <v>6333.37890625</v>
      </c>
      <c r="F359" s="15" t="n">
        <f aca="false">E359*(1+IF(F$3&lt;=$O$2,$D359,$D359-($D359-$I$346)*MIN(F$3-$O$2,$Q$2)/$Q$2))</f>
        <v>6114.58664178848</v>
      </c>
      <c r="G359" s="15" t="n">
        <f aca="false">F359*(1+IF(G$3&lt;=$O$2,$D359,$D359-($D359-$I$346)*MIN(G$3-$O$2,$Q$2)/$Q$2))</f>
        <v>5903.35275267396</v>
      </c>
      <c r="H359" s="15" t="n">
        <f aca="false">G359*(1+IF(H$3&lt;=$O$2,$D359,$D359-($D359-$I$346)*MIN(H$3-$O$2,$Q$2)/$Q$2))</f>
        <v>5699.41612803935</v>
      </c>
      <c r="I359" s="15" t="n">
        <f aca="false">H359*(1+IF(I$3&lt;=$O$2,$D359,$D359-($D359-$I$346)*MIN(I$3-$O$2,$Q$2)/$Q$2))</f>
        <v>5502.52467732706</v>
      </c>
      <c r="J359" s="15" t="n">
        <f aca="false">I359*(1+IF(J$3&lt;=$O$2,$D359,$D359-($D359-$I$346)*MIN(J$3-$O$2,$Q$2)/$Q$2))</f>
        <v>5376.09471540118</v>
      </c>
      <c r="K359" s="15" t="n">
        <f aca="false">J359*(1+IF(K$3&lt;=$O$2,$D359,$D359-($D359-$I$346)*MIN(K$3-$O$2,$Q$2)/$Q$2))</f>
        <v>5314.76670493154</v>
      </c>
      <c r="L359" s="15" t="n">
        <f aca="false">K359*(1+IF(L$3&lt;=$O$2,$D359,$D359-($D359-$I$346)*MIN(L$3-$O$2,$Q$2)/$Q$2))</f>
        <v>5315.62578714345</v>
      </c>
      <c r="M359" s="15" t="n">
        <f aca="false">L359*(1+IF(M$3&lt;=$O$2,$D359,$D359-($D359-$I$346)*MIN(M$3-$O$2,$Q$2)/$Q$2))</f>
        <v>5377.98243810092</v>
      </c>
      <c r="N359" s="15" t="n">
        <f aca="false">M359*(1+IF(N$3&lt;=$O$2,$D359,$D359-($D359-$I$346)*MIN(N$3-$O$2,$Q$2)/$Q$2))</f>
        <v>5503.28942890868</v>
      </c>
      <c r="O359" s="15" t="n">
        <f aca="false">SUMPRODUCT(E359:N359,1/(1+$F$346)^$E$3:$N$3)*$E$2</f>
        <v>12174.3945845066</v>
      </c>
      <c r="P359" s="15" t="n">
        <f aca="false">N359*$E$2*(1+$I$346)/($F$346-$I$346)/(1+$F$346)^$N$3</f>
        <v>14214.8664709631</v>
      </c>
      <c r="Q359" s="15" t="n">
        <f aca="false">O359+P359</f>
        <v>26389.2610554697</v>
      </c>
      <c r="R359" s="15" t="n">
        <f aca="false">Q359-$G$2+$I$2</f>
        <v>19044.0610554697</v>
      </c>
      <c r="S359" s="42" t="n">
        <f aca="false">R359/$K$2</f>
        <v>81.1594334347739</v>
      </c>
      <c r="T359" s="43" t="n">
        <f aca="false">S359-$M$2</f>
        <v>0.145156852630294</v>
      </c>
    </row>
    <row r="360" customFormat="false" ht="15" hidden="false" customHeight="false" outlineLevel="0" collapsed="false">
      <c r="A360" s="5" t="n">
        <v>13</v>
      </c>
      <c r="B360" s="25" t="n">
        <f aca="false">IF(T359&gt;0,B359,D359)</f>
        <v>-0.034912109375</v>
      </c>
      <c r="C360" s="25" t="n">
        <f aca="false">IF(T359&gt;0,D359,C359)</f>
        <v>-0.0345458984375</v>
      </c>
      <c r="D360" s="41" t="n">
        <f aca="false">(B360+C360)/2</f>
        <v>-0.03472900390625</v>
      </c>
      <c r="E360" s="15" t="n">
        <f aca="false">$C$2*(1+IF(E$3&lt;=$O$2,$D360,$D360-($D360-$I$346)*MIN(E$3-$O$2,$Q$2)/$Q$2))</f>
        <v>6332.177734375</v>
      </c>
      <c r="F360" s="15" t="n">
        <f aca="false">E360*(1+IF(F$3&lt;=$O$2,$D360,$D360-($D360-$I$346)*MIN(F$3-$O$2,$Q$2)/$Q$2))</f>
        <v>6112.26750910282</v>
      </c>
      <c r="G360" s="15" t="n">
        <f aca="false">F360*(1+IF(G$3&lt;=$O$2,$D360,$D360-($D360-$I$346)*MIN(G$3-$O$2,$Q$2)/$Q$2))</f>
        <v>5899.99454690314</v>
      </c>
      <c r="H360" s="15" t="n">
        <f aca="false">G360*(1+IF(H$3&lt;=$O$2,$D360,$D360-($D360-$I$346)*MIN(H$3-$O$2,$Q$2)/$Q$2))</f>
        <v>5695.09361323689</v>
      </c>
      <c r="I360" s="15" t="n">
        <f aca="false">H360*(1+IF(I$3&lt;=$O$2,$D360,$D360-($D360-$I$346)*MIN(I$3-$O$2,$Q$2)/$Q$2))</f>
        <v>5497.30868489633</v>
      </c>
      <c r="J360" s="15" t="n">
        <f aca="false">I360*(1+IF(J$3&lt;=$O$2,$D360,$D360-($D360-$I$346)*MIN(J$3-$O$2,$Q$2)/$Q$2))</f>
        <v>5370.19329953464</v>
      </c>
      <c r="K360" s="15" t="n">
        <f aca="false">J360*(1+IF(K$3&lt;=$O$2,$D360,$D360-($D360-$I$346)*MIN(K$3-$O$2,$Q$2)/$Q$2))</f>
        <v>5308.34262264019</v>
      </c>
      <c r="L360" s="15" t="n">
        <f aca="false">K360*(1+IF(L$3&lt;=$O$2,$D360,$D360-($D360-$I$346)*MIN(L$3-$O$2,$Q$2)/$Q$2))</f>
        <v>5308.81187183375</v>
      </c>
      <c r="M360" s="15" t="n">
        <f aca="false">L360*(1+IF(M$3&lt;=$O$2,$D360,$D360-($D360-$I$346)*MIN(M$3-$O$2,$Q$2)/$Q$2))</f>
        <v>5370.89417547784</v>
      </c>
      <c r="N360" s="15" t="n">
        <f aca="false">M360*(1+IF(N$3&lt;=$O$2,$D360,$D360-($D360-$I$346)*MIN(N$3-$O$2,$Q$2)/$Q$2))</f>
        <v>5496.03600976647</v>
      </c>
      <c r="O360" s="15" t="n">
        <f aca="false">SUMPRODUCT(E360:N360,1/(1+$F$346)^$E$3:$N$3)*$E$2</f>
        <v>12164.7069742435</v>
      </c>
      <c r="P360" s="15" t="n">
        <f aca="false">N360*$E$2*(1+$I$346)/($F$346-$I$346)/(1+$F$346)^$N$3</f>
        <v>14196.1310608241</v>
      </c>
      <c r="Q360" s="15" t="n">
        <f aca="false">O360+P360</f>
        <v>26360.8380350676</v>
      </c>
      <c r="R360" s="15" t="n">
        <f aca="false">Q360-$G$2+$I$2</f>
        <v>19015.6380350676</v>
      </c>
      <c r="S360" s="42" t="n">
        <f aca="false">R360/$K$2</f>
        <v>81.0383040062543</v>
      </c>
      <c r="T360" s="43" t="n">
        <f aca="false">S360-$M$2</f>
        <v>0.0240274241106704</v>
      </c>
    </row>
    <row r="361" customFormat="false" ht="15" hidden="false" customHeight="false" outlineLevel="0" collapsed="false">
      <c r="A361" s="5" t="n">
        <v>14</v>
      </c>
      <c r="B361" s="25" t="n">
        <f aca="false">IF(T360&gt;0,B360,D360)</f>
        <v>-0.034912109375</v>
      </c>
      <c r="C361" s="25" t="n">
        <f aca="false">IF(T360&gt;0,D360,C360)</f>
        <v>-0.03472900390625</v>
      </c>
      <c r="D361" s="41" t="n">
        <f aca="false">(B361+C361)/2</f>
        <v>-0.034820556640625</v>
      </c>
      <c r="E361" s="15" t="n">
        <f aca="false">$C$2*(1+IF(E$3&lt;=$O$2,$D361,$D361-($D361-$I$346)*MIN(E$3-$O$2,$Q$2)/$Q$2))</f>
        <v>6331.5771484375</v>
      </c>
      <c r="F361" s="15" t="n">
        <f aca="false">E361*(1+IF(F$3&lt;=$O$2,$D361,$D361-($D361-$I$346)*MIN(F$3-$O$2,$Q$2)/$Q$2))</f>
        <v>6111.10810771585</v>
      </c>
      <c r="G361" s="15" t="n">
        <f aca="false">F361*(1+IF(G$3&lt;=$O$2,$D361,$D361-($D361-$I$346)*MIN(G$3-$O$2,$Q$2)/$Q$2))</f>
        <v>5898.31592171414</v>
      </c>
      <c r="H361" s="15" t="n">
        <f aca="false">G361*(1+IF(H$3&lt;=$O$2,$D361,$D361-($D361-$I$346)*MIN(H$3-$O$2,$Q$2)/$Q$2))</f>
        <v>5692.9332780778</v>
      </c>
      <c r="I361" s="15" t="n">
        <f aca="false">H361*(1+IF(I$3&lt;=$O$2,$D361,$D361-($D361-$I$346)*MIN(I$3-$O$2,$Q$2)/$Q$2))</f>
        <v>5494.70217241719</v>
      </c>
      <c r="J361" s="15" t="n">
        <f aca="false">I361*(1+IF(J$3&lt;=$O$2,$D361,$D361-($D361-$I$346)*MIN(J$3-$O$2,$Q$2)/$Q$2))</f>
        <v>5367.24461396624</v>
      </c>
      <c r="K361" s="15" t="n">
        <f aca="false">J361*(1+IF(K$3&lt;=$O$2,$D361,$D361-($D361-$I$346)*MIN(K$3-$O$2,$Q$2)/$Q$2))</f>
        <v>5305.13306671758</v>
      </c>
      <c r="L361" s="15" t="n">
        <f aca="false">K361*(1+IF(L$3&lt;=$O$2,$D361,$D361-($D361-$I$346)*MIN(L$3-$O$2,$Q$2)/$Q$2))</f>
        <v>5305.40775241602</v>
      </c>
      <c r="M361" s="15" t="n">
        <f aca="false">L361*(1+IF(M$3&lt;=$O$2,$D361,$D361-($D361-$I$346)*MIN(M$3-$O$2,$Q$2)/$Q$2))</f>
        <v>5367.35310269213</v>
      </c>
      <c r="N361" s="15" t="n">
        <f aca="false">M361*(1+IF(N$3&lt;=$O$2,$D361,$D361-($D361-$I$346)*MIN(N$3-$O$2,$Q$2)/$Q$2))</f>
        <v>5492.41242998486</v>
      </c>
      <c r="O361" s="15" t="n">
        <f aca="false">SUMPRODUCT(E361:N361,1/(1+$F$346)^$E$3:$N$3)*$E$2</f>
        <v>12159.8661612118</v>
      </c>
      <c r="P361" s="15" t="n">
        <f aca="false">N361*$E$2*(1+$I$346)/($F$346-$I$346)/(1+$F$346)^$N$3</f>
        <v>14186.7714399268</v>
      </c>
      <c r="Q361" s="15" t="n">
        <f aca="false">O361+P361</f>
        <v>26346.6376011386</v>
      </c>
      <c r="R361" s="15" t="n">
        <f aca="false">Q361-$G$2+$I$2</f>
        <v>19001.4376011386</v>
      </c>
      <c r="S361" s="42" t="n">
        <f aca="false">R361/$K$2</f>
        <v>80.97778649537</v>
      </c>
      <c r="T361" s="43" t="n">
        <f aca="false">S361-$M$2</f>
        <v>-0.0364900867736537</v>
      </c>
    </row>
    <row r="362" customFormat="false" ht="15" hidden="false" customHeight="false" outlineLevel="0" collapsed="false">
      <c r="A362" s="5" t="n">
        <v>15</v>
      </c>
      <c r="B362" s="25" t="n">
        <f aca="false">IF(T361&gt;0,B361,D361)</f>
        <v>-0.034820556640625</v>
      </c>
      <c r="C362" s="25" t="n">
        <f aca="false">IF(T361&gt;0,D361,C361)</f>
        <v>-0.03472900390625</v>
      </c>
      <c r="D362" s="41" t="n">
        <f aca="false">(B362+C362)/2</f>
        <v>-0.0347747802734375</v>
      </c>
      <c r="E362" s="15" t="n">
        <f aca="false">$C$2*(1+IF(E$3&lt;=$O$2,$D362,$D362-($D362-$I$346)*MIN(E$3-$O$2,$Q$2)/$Q$2))</f>
        <v>6331.87744140625</v>
      </c>
      <c r="F362" s="15" t="n">
        <f aca="false">E362*(1+IF(F$3&lt;=$O$2,$D362,$D362-($D362-$I$346)*MIN(F$3-$O$2,$Q$2)/$Q$2))</f>
        <v>6111.68779466301</v>
      </c>
      <c r="G362" s="15" t="n">
        <f aca="false">F362*(1+IF(G$3&lt;=$O$2,$D362,$D362-($D362-$I$346)*MIN(G$3-$O$2,$Q$2)/$Q$2))</f>
        <v>5899.15519450376</v>
      </c>
      <c r="H362" s="15" t="n">
        <f aca="false">G362*(1+IF(H$3&lt;=$O$2,$D362,$D362-($D362-$I$346)*MIN(H$3-$O$2,$Q$2)/$Q$2))</f>
        <v>5694.01336881598</v>
      </c>
      <c r="I362" s="15" t="n">
        <f aca="false">H362*(1+IF(I$3&lt;=$O$2,$D362,$D362-($D362-$I$346)*MIN(I$3-$O$2,$Q$2)/$Q$2))</f>
        <v>5496.00530504139</v>
      </c>
      <c r="J362" s="15" t="n">
        <f aca="false">I362*(1+IF(J$3&lt;=$O$2,$D362,$D362-($D362-$I$346)*MIN(J$3-$O$2,$Q$2)/$Q$2))</f>
        <v>5368.71878827131</v>
      </c>
      <c r="K362" s="15" t="n">
        <f aca="false">J362*(1+IF(K$3&lt;=$O$2,$D362,$D362-($D362-$I$346)*MIN(K$3-$O$2,$Q$2)/$Q$2))</f>
        <v>5306.7376376508</v>
      </c>
      <c r="L362" s="15" t="n">
        <f aca="false">K362*(1+IF(L$3&lt;=$O$2,$D362,$D362-($D362-$I$346)*MIN(L$3-$O$2,$Q$2)/$Q$2))</f>
        <v>5307.10957569792</v>
      </c>
      <c r="M362" s="15" t="n">
        <f aca="false">L362*(1+IF(M$3&lt;=$O$2,$D362,$D362-($D362-$I$346)*MIN(M$3-$O$2,$Q$2)/$Q$2))</f>
        <v>5369.12338431254</v>
      </c>
      <c r="N362" s="15" t="n">
        <f aca="false">M362*(1+IF(N$3&lt;=$O$2,$D362,$D362-($D362-$I$346)*MIN(N$3-$O$2,$Q$2)/$Q$2))</f>
        <v>5494.22395916702</v>
      </c>
      <c r="O362" s="15" t="n">
        <f aca="false">SUMPRODUCT(E362:N362,1/(1+$F$346)^$E$3:$N$3)*$E$2</f>
        <v>12162.2863184679</v>
      </c>
      <c r="P362" s="15" t="n">
        <f aca="false">N362*$E$2*(1+$I$346)/($F$346-$I$346)/(1+$F$346)^$N$3</f>
        <v>14191.4505769712</v>
      </c>
      <c r="Q362" s="15" t="n">
        <f aca="false">O362+P362</f>
        <v>26353.7368954391</v>
      </c>
      <c r="R362" s="15" t="n">
        <f aca="false">Q362-$G$2+$I$2</f>
        <v>19008.5368954391</v>
      </c>
      <c r="S362" s="42" t="n">
        <f aca="false">R362/$K$2</f>
        <v>81.0080413187262</v>
      </c>
      <c r="T362" s="43" t="n">
        <f aca="false">S362-$M$2</f>
        <v>-0.00623526341738057</v>
      </c>
    </row>
    <row r="363" customFormat="false" ht="15" hidden="false" customHeight="false" outlineLevel="0" collapsed="false">
      <c r="A363" s="5" t="n">
        <v>16</v>
      </c>
      <c r="B363" s="25" t="n">
        <f aca="false">IF(T362&gt;0,B362,D362)</f>
        <v>-0.0347747802734375</v>
      </c>
      <c r="C363" s="25" t="n">
        <f aca="false">IF(T362&gt;0,D362,C362)</f>
        <v>-0.03472900390625</v>
      </c>
      <c r="D363" s="41" t="n">
        <f aca="false">(B363+C363)/2</f>
        <v>-0.0347518920898438</v>
      </c>
      <c r="E363" s="15" t="n">
        <f aca="false">$C$2*(1+IF(E$3&lt;=$O$2,$D363,$D363-($D363-$I$346)*MIN(E$3-$O$2,$Q$2)/$Q$2))</f>
        <v>6332.02758789063</v>
      </c>
      <c r="F363" s="15" t="n">
        <f aca="false">E363*(1+IF(F$3&lt;=$O$2,$D363,$D363-($D363-$I$346)*MIN(F$3-$O$2,$Q$2)/$Q$2))</f>
        <v>6111.97764844634</v>
      </c>
      <c r="G363" s="15" t="n">
        <f aca="false">F363*(1+IF(G$3&lt;=$O$2,$D363,$D363-($D363-$I$346)*MIN(G$3-$O$2,$Q$2)/$Q$2))</f>
        <v>5899.57486075199</v>
      </c>
      <c r="H363" s="15" t="n">
        <f aca="false">G363*(1+IF(H$3&lt;=$O$2,$D363,$D363-($D363-$I$346)*MIN(H$3-$O$2,$Q$2)/$Q$2))</f>
        <v>5694.55347181519</v>
      </c>
      <c r="I363" s="15" t="n">
        <f aca="false">H363*(1+IF(I$3&lt;=$O$2,$D363,$D363-($D363-$I$346)*MIN(I$3-$O$2,$Q$2)/$Q$2))</f>
        <v>5496.65696406282</v>
      </c>
      <c r="J363" s="15" t="n">
        <f aca="false">I363*(1+IF(J$3&lt;=$O$2,$D363,$D363-($D363-$I$346)*MIN(J$3-$O$2,$Q$2)/$Q$2))</f>
        <v>5369.45600177935</v>
      </c>
      <c r="K363" s="15" t="n">
        <f aca="false">J363*(1+IF(K$3&lt;=$O$2,$D363,$D363-($D363-$I$346)*MIN(K$3-$O$2,$Q$2)/$Q$2))</f>
        <v>5307.54007838294</v>
      </c>
      <c r="L363" s="15" t="n">
        <f aca="false">K363*(1+IF(L$3&lt;=$O$2,$D363,$D363-($D363-$I$346)*MIN(L$3-$O$2,$Q$2)/$Q$2))</f>
        <v>5307.96066465214</v>
      </c>
      <c r="M363" s="15" t="n">
        <f aca="false">L363*(1+IF(M$3&lt;=$O$2,$D363,$D363-($D363-$I$346)*MIN(M$3-$O$2,$Q$2)/$Q$2))</f>
        <v>5370.00871619423</v>
      </c>
      <c r="N363" s="15" t="n">
        <f aca="false">M363*(1+IF(N$3&lt;=$O$2,$D363,$D363-($D363-$I$346)*MIN(N$3-$O$2,$Q$2)/$Q$2))</f>
        <v>5495.12991928155</v>
      </c>
      <c r="O363" s="15" t="n">
        <f aca="false">SUMPRODUCT(E363:N363,1/(1+$F$346)^$E$3:$N$3)*$E$2</f>
        <v>12163.4965840347</v>
      </c>
      <c r="P363" s="15" t="n">
        <f aca="false">N363*$E$2*(1+$I$346)/($F$346-$I$346)/(1+$F$346)^$N$3</f>
        <v>14193.7906505258</v>
      </c>
      <c r="Q363" s="15" t="n">
        <f aca="false">O363+P363</f>
        <v>26357.2872345605</v>
      </c>
      <c r="R363" s="15" t="n">
        <f aca="false">Q363-$G$2+$I$2</f>
        <v>19012.0872345605</v>
      </c>
      <c r="S363" s="42" t="n">
        <f aca="false">R363/$K$2</f>
        <v>81.0231716793542</v>
      </c>
      <c r="T363" s="43" t="n">
        <f aca="false">S363-$M$2</f>
        <v>0.00889509721054083</v>
      </c>
    </row>
    <row r="364" customFormat="false" ht="15" hidden="false" customHeight="false" outlineLevel="0" collapsed="false">
      <c r="A364" s="5" t="n">
        <v>17</v>
      </c>
      <c r="B364" s="25" t="n">
        <f aca="false">IF(T363&gt;0,B363,D363)</f>
        <v>-0.0347747802734375</v>
      </c>
      <c r="C364" s="25" t="n">
        <f aca="false">IF(T363&gt;0,D363,C363)</f>
        <v>-0.0347518920898438</v>
      </c>
      <c r="D364" s="41" t="n">
        <f aca="false">(B364+C364)/2</f>
        <v>-0.0347633361816406</v>
      </c>
      <c r="E364" s="15" t="n">
        <f aca="false">$C$2*(1+IF(E$3&lt;=$O$2,$D364,$D364-($D364-$I$346)*MIN(E$3-$O$2,$Q$2)/$Q$2))</f>
        <v>6331.95251464844</v>
      </c>
      <c r="F364" s="15" t="n">
        <f aca="false">E364*(1+IF(F$3&lt;=$O$2,$D364,$D364-($D364-$I$346)*MIN(F$3-$O$2,$Q$2)/$Q$2))</f>
        <v>6111.83272069553</v>
      </c>
      <c r="G364" s="15" t="n">
        <f aca="false">F364*(1+IF(G$3&lt;=$O$2,$D364,$D364-($D364-$I$346)*MIN(G$3-$O$2,$Q$2)/$Q$2))</f>
        <v>5899.36502514004</v>
      </c>
      <c r="H364" s="15" t="n">
        <f aca="false">G364*(1+IF(H$3&lt;=$O$2,$D364,$D364-($D364-$I$346)*MIN(H$3-$O$2,$Q$2)/$Q$2))</f>
        <v>5694.28341551288</v>
      </c>
      <c r="I364" s="15" t="n">
        <f aca="false">H364*(1+IF(I$3&lt;=$O$2,$D364,$D364-($D364-$I$346)*MIN(I$3-$O$2,$Q$2)/$Q$2))</f>
        <v>5496.33112682587</v>
      </c>
      <c r="J364" s="15" t="n">
        <f aca="false">I364*(1+IF(J$3&lt;=$O$2,$D364,$D364-($D364-$I$346)*MIN(J$3-$O$2,$Q$2)/$Q$2))</f>
        <v>5369.08738449491</v>
      </c>
      <c r="K364" s="15" t="n">
        <f aca="false">J364*(1+IF(K$3&lt;=$O$2,$D364,$D364-($D364-$I$346)*MIN(K$3-$O$2,$Q$2)/$Q$2))</f>
        <v>5307.13884507692</v>
      </c>
      <c r="L364" s="15" t="n">
        <f aca="false">K364*(1+IF(L$3&lt;=$O$2,$D364,$D364-($D364-$I$346)*MIN(L$3-$O$2,$Q$2)/$Q$2))</f>
        <v>5307.53510539747</v>
      </c>
      <c r="M364" s="15" t="n">
        <f aca="false">L364*(1+IF(M$3&lt;=$O$2,$D364,$D364-($D364-$I$346)*MIN(M$3-$O$2,$Q$2)/$Q$2))</f>
        <v>5369.56603432912</v>
      </c>
      <c r="N364" s="15" t="n">
        <f aca="false">M364*(1+IF(N$3&lt;=$O$2,$D364,$D364-($D364-$I$346)*MIN(N$3-$O$2,$Q$2)/$Q$2))</f>
        <v>5494.67692292899</v>
      </c>
      <c r="O364" s="15" t="n">
        <f aca="false">SUMPRODUCT(E364:N364,1/(1+$F$346)^$E$3:$N$3)*$E$2</f>
        <v>12162.8914356718</v>
      </c>
      <c r="P364" s="15" t="n">
        <f aca="false">N364*$E$2*(1+$I$346)/($F$346-$I$346)/(1+$F$346)^$N$3</f>
        <v>14192.6205716581</v>
      </c>
      <c r="Q364" s="15" t="n">
        <f aca="false">O364+P364</f>
        <v>26355.5120073299</v>
      </c>
      <c r="R364" s="15" t="n">
        <f aca="false">Q364-$G$2+$I$2</f>
        <v>19010.3120073299</v>
      </c>
      <c r="S364" s="42" t="n">
        <f aca="false">R364/$K$2</f>
        <v>81.0156062532705</v>
      </c>
      <c r="T364" s="43" t="n">
        <f aca="false">S364-$M$2</f>
        <v>0.00132967112689641</v>
      </c>
    </row>
    <row r="365" customFormat="false" ht="15" hidden="false" customHeight="false" outlineLevel="0" collapsed="false">
      <c r="A365" s="5" t="n">
        <v>18</v>
      </c>
      <c r="B365" s="25" t="n">
        <f aca="false">IF(T364&gt;0,B364,D364)</f>
        <v>-0.0347747802734375</v>
      </c>
      <c r="C365" s="25" t="n">
        <f aca="false">IF(T364&gt;0,D364,C364)</f>
        <v>-0.0347633361816406</v>
      </c>
      <c r="D365" s="41" t="n">
        <f aca="false">(B365+C365)/2</f>
        <v>-0.0347690582275391</v>
      </c>
      <c r="E365" s="15" t="n">
        <f aca="false">$C$2*(1+IF(E$3&lt;=$O$2,$D365,$D365-($D365-$I$346)*MIN(E$3-$O$2,$Q$2)/$Q$2))</f>
        <v>6331.91497802734</v>
      </c>
      <c r="F365" s="15" t="n">
        <f aca="false">E365*(1+IF(F$3&lt;=$O$2,$D365,$D365-($D365-$I$346)*MIN(F$3-$O$2,$Q$2)/$Q$2))</f>
        <v>6111.76025746448</v>
      </c>
      <c r="G365" s="15" t="n">
        <f aca="false">F365*(1+IF(G$3&lt;=$O$2,$D365,$D365-($D365-$I$346)*MIN(G$3-$O$2,$Q$2)/$Q$2))</f>
        <v>5899.26010919994</v>
      </c>
      <c r="H365" s="15" t="n">
        <f aca="false">G365*(1+IF(H$3&lt;=$O$2,$D365,$D365-($D365-$I$346)*MIN(H$3-$O$2,$Q$2)/$Q$2))</f>
        <v>5694.14839096377</v>
      </c>
      <c r="I365" s="15" t="n">
        <f aca="false">H365*(1+IF(I$3&lt;=$O$2,$D365,$D365-($D365-$I$346)*MIN(I$3-$O$2,$Q$2)/$Q$2))</f>
        <v>5496.1682140021</v>
      </c>
      <c r="J365" s="15" t="n">
        <f aca="false">I365*(1+IF(J$3&lt;=$O$2,$D365,$D365-($D365-$I$346)*MIN(J$3-$O$2,$Q$2)/$Q$2))</f>
        <v>5368.90308375056</v>
      </c>
      <c r="K365" s="15" t="n">
        <f aca="false">J365*(1+IF(K$3&lt;=$O$2,$D365,$D365-($D365-$I$346)*MIN(K$3-$O$2,$Q$2)/$Q$2))</f>
        <v>5306.93823812896</v>
      </c>
      <c r="L365" s="15" t="n">
        <f aca="false">K365*(1+IF(L$3&lt;=$O$2,$D365,$D365-($D365-$I$346)*MIN(L$3-$O$2,$Q$2)/$Q$2))</f>
        <v>5307.32233685341</v>
      </c>
      <c r="M365" s="15" t="n">
        <f aca="false">L365*(1+IF(M$3&lt;=$O$2,$D365,$D365-($D365-$I$346)*MIN(M$3-$O$2,$Q$2)/$Q$2))</f>
        <v>5369.34470533989</v>
      </c>
      <c r="N365" s="15" t="n">
        <f aca="false">M365*(1+IF(N$3&lt;=$O$2,$D365,$D365-($D365-$I$346)*MIN(N$3-$O$2,$Q$2)/$Q$2))</f>
        <v>5494.45043697431</v>
      </c>
      <c r="O365" s="15" t="n">
        <f aca="false">SUMPRODUCT(E365:N365,1/(1+$F$346)^$E$3:$N$3)*$E$2</f>
        <v>12162.5888731751</v>
      </c>
      <c r="P365" s="15" t="n">
        <f aca="false">N365*$E$2*(1+$I$346)/($F$346-$I$346)/(1+$F$346)^$N$3</f>
        <v>14192.0355637924</v>
      </c>
      <c r="Q365" s="15" t="n">
        <f aca="false">O365+P365</f>
        <v>26354.6244369675</v>
      </c>
      <c r="R365" s="15" t="n">
        <f aca="false">Q365-$G$2+$I$2</f>
        <v>19009.4244369675</v>
      </c>
      <c r="S365" s="42" t="n">
        <f aca="false">R365/$K$2</f>
        <v>81.0118237245577</v>
      </c>
      <c r="T365" s="43" t="n">
        <f aca="false">S365-$M$2</f>
        <v>-0.00245285758592217</v>
      </c>
    </row>
    <row r="366" customFormat="false" ht="15" hidden="false" customHeight="false" outlineLevel="0" collapsed="false">
      <c r="A366" s="5" t="n">
        <v>19</v>
      </c>
      <c r="B366" s="25" t="n">
        <f aca="false">IF(T365&gt;0,B365,D365)</f>
        <v>-0.0347690582275391</v>
      </c>
      <c r="C366" s="25" t="n">
        <f aca="false">IF(T365&gt;0,D365,C365)</f>
        <v>-0.0347633361816406</v>
      </c>
      <c r="D366" s="41" t="n">
        <f aca="false">(B366+C366)/2</f>
        <v>-0.0347661972045898</v>
      </c>
      <c r="E366" s="15" t="n">
        <f aca="false">$C$2*(1+IF(E$3&lt;=$O$2,$D366,$D366-($D366-$I$346)*MIN(E$3-$O$2,$Q$2)/$Q$2))</f>
        <v>6331.93374633789</v>
      </c>
      <c r="F366" s="15" t="n">
        <f aca="false">E366*(1+IF(F$3&lt;=$O$2,$D366,$D366-($D366-$I$346)*MIN(F$3-$O$2,$Q$2)/$Q$2))</f>
        <v>6111.79648902631</v>
      </c>
      <c r="G366" s="15" t="n">
        <f aca="false">F366*(1+IF(G$3&lt;=$O$2,$D366,$D366-($D366-$I$346)*MIN(G$3-$O$2,$Q$2)/$Q$2))</f>
        <v>5899.3125670145</v>
      </c>
      <c r="H366" s="15" t="n">
        <f aca="false">G366*(1+IF(H$3&lt;=$O$2,$D366,$D366-($D366-$I$346)*MIN(H$3-$O$2,$Q$2)/$Q$2))</f>
        <v>5694.21590293816</v>
      </c>
      <c r="I366" s="15" t="n">
        <f aca="false">H366*(1+IF(I$3&lt;=$O$2,$D366,$D366-($D366-$I$346)*MIN(I$3-$O$2,$Q$2)/$Q$2))</f>
        <v>5496.2496699311</v>
      </c>
      <c r="J366" s="15" t="n">
        <f aca="false">I366*(1+IF(J$3&lt;=$O$2,$D366,$D366-($D366-$I$346)*MIN(J$3-$O$2,$Q$2)/$Q$2))</f>
        <v>5368.99523346459</v>
      </c>
      <c r="K366" s="15" t="n">
        <f aca="false">J366*(1+IF(K$3&lt;=$O$2,$D366,$D366-($D366-$I$346)*MIN(K$3-$O$2,$Q$2)/$Q$2))</f>
        <v>5307.0385407942</v>
      </c>
      <c r="L366" s="15" t="n">
        <f aca="false">K366*(1+IF(L$3&lt;=$O$2,$D366,$D366-($D366-$I$346)*MIN(L$3-$O$2,$Q$2)/$Q$2))</f>
        <v>5307.42872020186</v>
      </c>
      <c r="M366" s="15" t="n">
        <f aca="false">L366*(1+IF(M$3&lt;=$O$2,$D366,$D366-($D366-$I$346)*MIN(M$3-$O$2,$Q$2)/$Q$2))</f>
        <v>5369.45536883925</v>
      </c>
      <c r="N366" s="15" t="n">
        <f aca="false">M366*(1+IF(N$3&lt;=$O$2,$D366,$D366-($D366-$I$346)*MIN(N$3-$O$2,$Q$2)/$Q$2))</f>
        <v>5494.56367893321</v>
      </c>
      <c r="O366" s="15" t="n">
        <f aca="false">SUMPRODUCT(E366:N366,1/(1+$F$346)^$E$3:$N$3)*$E$2</f>
        <v>12162.7401534497</v>
      </c>
      <c r="P366" s="15" t="n">
        <f aca="false">N366*$E$2*(1+$I$346)/($F$346-$I$346)/(1+$F$346)^$N$3</f>
        <v>14192.3280650946</v>
      </c>
      <c r="Q366" s="15" t="n">
        <f aca="false">O366+P366</f>
        <v>26355.0682185444</v>
      </c>
      <c r="R366" s="15" t="n">
        <f aca="false">Q366-$G$2+$I$2</f>
        <v>19009.8682185444</v>
      </c>
      <c r="S366" s="42" t="n">
        <f aca="false">R366/$K$2</f>
        <v>81.0137149735538</v>
      </c>
      <c r="T366" s="43" t="n">
        <f aca="false">S366-$M$2</f>
        <v>-0.000561608589876528</v>
      </c>
    </row>
    <row r="367" customFormat="false" ht="15" hidden="false" customHeight="false" outlineLevel="0" collapsed="false">
      <c r="A367" s="5" t="n">
        <v>20</v>
      </c>
      <c r="B367" s="25" t="n">
        <f aca="false">IF(T366&gt;0,B366,D366)</f>
        <v>-0.0347661972045898</v>
      </c>
      <c r="C367" s="25" t="n">
        <f aca="false">IF(T366&gt;0,D366,C366)</f>
        <v>-0.0347633361816406</v>
      </c>
      <c r="D367" s="41" t="n">
        <f aca="false">(B367+C367)/2</f>
        <v>-0.0347647666931152</v>
      </c>
      <c r="E367" s="15" t="n">
        <f aca="false">$C$2*(1+IF(E$3&lt;=$O$2,$D367,$D367-($D367-$I$346)*MIN(E$3-$O$2,$Q$2)/$Q$2))</f>
        <v>6331.94313049316</v>
      </c>
      <c r="F367" s="15" t="n">
        <f aca="false">E367*(1+IF(F$3&lt;=$O$2,$D367,$D367-($D367-$I$346)*MIN(F$3-$O$2,$Q$2)/$Q$2))</f>
        <v>6111.8146048475</v>
      </c>
      <c r="G367" s="15" t="n">
        <f aca="false">F367*(1+IF(G$3&lt;=$O$2,$D367,$D367-($D367-$I$346)*MIN(G$3-$O$2,$Q$2)/$Q$2))</f>
        <v>5899.3387960384</v>
      </c>
      <c r="H367" s="15" t="n">
        <f aca="false">G367*(1+IF(H$3&lt;=$O$2,$D367,$D367-($D367-$I$346)*MIN(H$3-$O$2,$Q$2)/$Q$2))</f>
        <v>5694.24965915048</v>
      </c>
      <c r="I367" s="15" t="n">
        <f aca="false">H367*(1+IF(I$3&lt;=$O$2,$D367,$D367-($D367-$I$346)*MIN(I$3-$O$2,$Q$2)/$Q$2))</f>
        <v>5496.29039825776</v>
      </c>
      <c r="J367" s="15" t="n">
        <f aca="false">I367*(1+IF(J$3&lt;=$O$2,$D367,$D367-($D367-$I$346)*MIN(J$3-$O$2,$Q$2)/$Q$2))</f>
        <v>5369.04130881521</v>
      </c>
      <c r="K367" s="15" t="n">
        <f aca="false">J367*(1+IF(K$3&lt;=$O$2,$D367,$D367-($D367-$I$346)*MIN(K$3-$O$2,$Q$2)/$Q$2))</f>
        <v>5307.08869273337</v>
      </c>
      <c r="L367" s="15" t="n">
        <f aca="false">K367*(1+IF(L$3&lt;=$O$2,$D367,$D367-($D367-$I$346)*MIN(L$3-$O$2,$Q$2)/$Q$2))</f>
        <v>5307.48191256877</v>
      </c>
      <c r="M367" s="15" t="n">
        <f aca="false">L367*(1+IF(M$3&lt;=$O$2,$D367,$D367-($D367-$I$346)*MIN(M$3-$O$2,$Q$2)/$Q$2))</f>
        <v>5369.51070133537</v>
      </c>
      <c r="N367" s="15" t="n">
        <f aca="false">M367*(1+IF(N$3&lt;=$O$2,$D367,$D367-($D367-$I$346)*MIN(N$3-$O$2,$Q$2)/$Q$2))</f>
        <v>5494.62030067649</v>
      </c>
      <c r="O367" s="15" t="n">
        <f aca="false">SUMPRODUCT(E367:N367,1/(1+$F$346)^$E$3:$N$3)*$E$2</f>
        <v>12162.8157943173</v>
      </c>
      <c r="P367" s="15" t="n">
        <f aca="false">N367*$E$2*(1+$I$346)/($F$346-$I$346)/(1+$F$346)^$N$3</f>
        <v>14192.4743177187</v>
      </c>
      <c r="Q367" s="15" t="n">
        <f aca="false">O367+P367</f>
        <v>26355.2901120361</v>
      </c>
      <c r="R367" s="15" t="n">
        <f aca="false">Q367-$G$2+$I$2</f>
        <v>19010.0901120361</v>
      </c>
      <c r="S367" s="42" t="n">
        <f aca="false">R367/$K$2</f>
        <v>81.014660609572</v>
      </c>
      <c r="T367" s="43" t="n">
        <f aca="false">S367-$M$2</f>
        <v>0.000384027428339095</v>
      </c>
    </row>
    <row r="368" customFormat="false" ht="15" hidden="false" customHeight="false" outlineLevel="0" collapsed="false">
      <c r="A368" s="5" t="n">
        <v>21</v>
      </c>
      <c r="B368" s="25" t="n">
        <f aca="false">IF(T367&gt;0,B367,D367)</f>
        <v>-0.0347661972045898</v>
      </c>
      <c r="C368" s="25" t="n">
        <f aca="false">IF(T367&gt;0,D367,C367)</f>
        <v>-0.0347647666931152</v>
      </c>
      <c r="D368" s="41" t="n">
        <f aca="false">(B368+C368)/2</f>
        <v>-0.0347654819488525</v>
      </c>
      <c r="E368" s="15" t="n">
        <f aca="false">$C$2*(1+IF(E$3&lt;=$O$2,$D368,$D368-($D368-$I$346)*MIN(E$3-$O$2,$Q$2)/$Q$2))</f>
        <v>6331.93843841553</v>
      </c>
      <c r="F368" s="15" t="n">
        <f aca="false">E368*(1+IF(F$3&lt;=$O$2,$D368,$D368-($D368-$I$346)*MIN(F$3-$O$2,$Q$2)/$Q$2))</f>
        <v>6111.80554693355</v>
      </c>
      <c r="G368" s="15" t="n">
        <f aca="false">F368*(1+IF(G$3&lt;=$O$2,$D368,$D368-($D368-$I$346)*MIN(G$3-$O$2,$Q$2)/$Q$2))</f>
        <v>5899.32568151673</v>
      </c>
      <c r="H368" s="15" t="n">
        <f aca="false">G368*(1+IF(H$3&lt;=$O$2,$D368,$D368-($D368-$I$346)*MIN(H$3-$O$2,$Q$2)/$Q$2))</f>
        <v>5694.23278102556</v>
      </c>
      <c r="I368" s="15" t="n">
        <f aca="false">H368*(1+IF(I$3&lt;=$O$2,$D368,$D368-($D368-$I$346)*MIN(I$3-$O$2,$Q$2)/$Q$2))</f>
        <v>5496.27003406425</v>
      </c>
      <c r="J368" s="15" t="n">
        <f aca="false">I368*(1+IF(J$3&lt;=$O$2,$D368,$D368-($D368-$I$346)*MIN(J$3-$O$2,$Q$2)/$Q$2))</f>
        <v>5369.01827109877</v>
      </c>
      <c r="K368" s="15" t="n">
        <f aca="false">J368*(1+IF(K$3&lt;=$O$2,$D368,$D368-($D368-$I$346)*MIN(K$3-$O$2,$Q$2)/$Q$2))</f>
        <v>5307.06361671324</v>
      </c>
      <c r="L368" s="15" t="n">
        <f aca="false">K368*(1+IF(L$3&lt;=$O$2,$D368,$D368-($D368-$I$346)*MIN(L$3-$O$2,$Q$2)/$Q$2))</f>
        <v>5307.45531632759</v>
      </c>
      <c r="M368" s="15" t="n">
        <f aca="false">L368*(1+IF(M$3&lt;=$O$2,$D368,$D368-($D368-$I$346)*MIN(M$3-$O$2,$Q$2)/$Q$2))</f>
        <v>5369.48303502511</v>
      </c>
      <c r="N368" s="15" t="n">
        <f aca="false">M368*(1+IF(N$3&lt;=$O$2,$D368,$D368-($D368-$I$346)*MIN(N$3-$O$2,$Q$2)/$Q$2))</f>
        <v>5494.59198974119</v>
      </c>
      <c r="O368" s="15" t="n">
        <f aca="false">SUMPRODUCT(E368:N368,1/(1+$F$346)^$E$3:$N$3)*$E$2</f>
        <v>12162.7779738227</v>
      </c>
      <c r="P368" s="15" t="n">
        <f aca="false">N368*$E$2*(1+$I$346)/($F$346-$I$346)/(1+$F$346)^$N$3</f>
        <v>14192.4011912423</v>
      </c>
      <c r="Q368" s="15" t="n">
        <f aca="false">O368+P368</f>
        <v>26355.1791650649</v>
      </c>
      <c r="R368" s="15" t="n">
        <f aca="false">Q368-$G$2+$I$2</f>
        <v>19009.9791650649</v>
      </c>
      <c r="S368" s="42" t="n">
        <f aca="false">R368/$K$2</f>
        <v>81.0141877906028</v>
      </c>
      <c r="T368" s="43" t="n">
        <f aca="false">S368-$M$2</f>
        <v>-8.87915408327444E-005</v>
      </c>
    </row>
    <row r="369" customFormat="false" ht="15" hidden="false" customHeight="false" outlineLevel="0" collapsed="false">
      <c r="A369" s="5" t="n">
        <v>22</v>
      </c>
      <c r="B369" s="25" t="n">
        <f aca="false">IF(T368&gt;0,B368,D368)</f>
        <v>-0.0347654819488525</v>
      </c>
      <c r="C369" s="25" t="n">
        <f aca="false">IF(T368&gt;0,D368,C368)</f>
        <v>-0.0347647666931152</v>
      </c>
      <c r="D369" s="41" t="n">
        <f aca="false">(B369+C369)/2</f>
        <v>-0.0347651243209839</v>
      </c>
      <c r="E369" s="15" t="n">
        <f aca="false">$C$2*(1+IF(E$3&lt;=$O$2,$D369,$D369-($D369-$I$346)*MIN(E$3-$O$2,$Q$2)/$Q$2))</f>
        <v>6331.94078445435</v>
      </c>
      <c r="F369" s="15" t="n">
        <f aca="false">E369*(1+IF(F$3&lt;=$O$2,$D369,$D369-($D369-$I$346)*MIN(F$3-$O$2,$Q$2)/$Q$2))</f>
        <v>6111.81007588968</v>
      </c>
      <c r="G369" s="15" t="n">
        <f aca="false">F369*(1+IF(G$3&lt;=$O$2,$D369,$D369-($D369-$I$346)*MIN(G$3-$O$2,$Q$2)/$Q$2))</f>
        <v>5899.33223877514</v>
      </c>
      <c r="H369" s="15" t="n">
        <f aca="false">G369*(1+IF(H$3&lt;=$O$2,$D369,$D369-($D369-$I$346)*MIN(H$3-$O$2,$Q$2)/$Q$2))</f>
        <v>5694.24122008333</v>
      </c>
      <c r="I369" s="15" t="n">
        <f aca="false">H369*(1+IF(I$3&lt;=$O$2,$D369,$D369-($D369-$I$346)*MIN(I$3-$O$2,$Q$2)/$Q$2))</f>
        <v>5496.28021615346</v>
      </c>
      <c r="J369" s="15" t="n">
        <f aca="false">I369*(1+IF(J$3&lt;=$O$2,$D369,$D369-($D369-$I$346)*MIN(J$3-$O$2,$Q$2)/$Q$2))</f>
        <v>5369.02978994671</v>
      </c>
      <c r="K369" s="15" t="n">
        <f aca="false">J369*(1+IF(K$3&lt;=$O$2,$D369,$D369-($D369-$I$346)*MIN(K$3-$O$2,$Q$2)/$Q$2))</f>
        <v>5307.07615471067</v>
      </c>
      <c r="L369" s="15" t="n">
        <f aca="false">K369*(1+IF(L$3&lt;=$O$2,$D369,$D369-($D369-$I$346)*MIN(L$3-$O$2,$Q$2)/$Q$2))</f>
        <v>5307.46861443375</v>
      </c>
      <c r="M369" s="15" t="n">
        <f aca="false">L369*(1+IF(M$3&lt;=$O$2,$D369,$D369-($D369-$I$346)*MIN(M$3-$O$2,$Q$2)/$Q$2))</f>
        <v>5369.49686816469</v>
      </c>
      <c r="N369" s="15" t="n">
        <f aca="false">M369*(1+IF(N$3&lt;=$O$2,$D369,$D369-($D369-$I$346)*MIN(N$3-$O$2,$Q$2)/$Q$2))</f>
        <v>5494.60614519293</v>
      </c>
      <c r="O369" s="15" t="n">
        <f aca="false">SUMPRODUCT(E369:N369,1/(1+$F$346)^$E$3:$N$3)*$E$2</f>
        <v>12162.7968840548</v>
      </c>
      <c r="P369" s="15" t="n">
        <f aca="false">N369*$E$2*(1+$I$346)/($F$346-$I$346)/(1+$F$346)^$N$3</f>
        <v>14192.4377544394</v>
      </c>
      <c r="Q369" s="15" t="n">
        <f aca="false">O369+P369</f>
        <v>26355.2346384942</v>
      </c>
      <c r="R369" s="15" t="n">
        <f aca="false">Q369-$G$2+$I$2</f>
        <v>19010.0346384942</v>
      </c>
      <c r="S369" s="42" t="n">
        <f aca="false">R369/$K$2</f>
        <v>81.0144241998474</v>
      </c>
      <c r="T369" s="43" t="n">
        <f aca="false">S369-$M$2</f>
        <v>0.000147617703802894</v>
      </c>
    </row>
    <row r="370" customFormat="false" ht="15" hidden="false" customHeight="false" outlineLevel="0" collapsed="false">
      <c r="A370" s="5" t="n">
        <v>23</v>
      </c>
      <c r="B370" s="25" t="n">
        <f aca="false">IF(T369&gt;0,B369,D369)</f>
        <v>-0.0347654819488525</v>
      </c>
      <c r="C370" s="25" t="n">
        <f aca="false">IF(T369&gt;0,D369,C369)</f>
        <v>-0.0347651243209839</v>
      </c>
      <c r="D370" s="41" t="n">
        <f aca="false">(B370+C370)/2</f>
        <v>-0.0347653031349182</v>
      </c>
      <c r="E370" s="15" t="n">
        <f aca="false">$C$2*(1+IF(E$3&lt;=$O$2,$D370,$D370-($D370-$I$346)*MIN(E$3-$O$2,$Q$2)/$Q$2))</f>
        <v>6331.93961143494</v>
      </c>
      <c r="F370" s="15" t="n">
        <f aca="false">E370*(1+IF(F$3&lt;=$O$2,$D370,$D370-($D370-$I$346)*MIN(F$3-$O$2,$Q$2)/$Q$2))</f>
        <v>6111.80781141141</v>
      </c>
      <c r="G370" s="15" t="n">
        <f aca="false">F370*(1+IF(G$3&lt;=$O$2,$D370,$D370-($D370-$I$346)*MIN(G$3-$O$2,$Q$2)/$Q$2))</f>
        <v>5899.32896014533</v>
      </c>
      <c r="H370" s="15" t="n">
        <f aca="false">G370*(1+IF(H$3&lt;=$O$2,$D370,$D370-($D370-$I$346)*MIN(H$3-$O$2,$Q$2)/$Q$2))</f>
        <v>5694.23700055327</v>
      </c>
      <c r="I370" s="15" t="n">
        <f aca="false">H370*(1+IF(I$3&lt;=$O$2,$D370,$D370-($D370-$I$346)*MIN(I$3-$O$2,$Q$2)/$Q$2))</f>
        <v>5496.27512510697</v>
      </c>
      <c r="J370" s="15" t="n">
        <f aca="false">I370*(1+IF(J$3&lt;=$O$2,$D370,$D370-($D370-$I$346)*MIN(J$3-$O$2,$Q$2)/$Q$2))</f>
        <v>5369.02403052017</v>
      </c>
      <c r="K370" s="15" t="n">
        <f aca="false">J370*(1+IF(K$3&lt;=$O$2,$D370,$D370-($D370-$I$346)*MIN(K$3-$O$2,$Q$2)/$Q$2))</f>
        <v>5307.0698857088</v>
      </c>
      <c r="L370" s="15" t="n">
        <f aca="false">K370*(1+IF(L$3&lt;=$O$2,$D370,$D370-($D370-$I$346)*MIN(L$3-$O$2,$Q$2)/$Q$2))</f>
        <v>5307.46196537706</v>
      </c>
      <c r="M370" s="15" t="n">
        <f aca="false">L370*(1+IF(M$3&lt;=$O$2,$D370,$D370-($D370-$I$346)*MIN(M$3-$O$2,$Q$2)/$Q$2))</f>
        <v>5369.48995159101</v>
      </c>
      <c r="N370" s="15" t="n">
        <f aca="false">M370*(1+IF(N$3&lt;=$O$2,$D370,$D370-($D370-$I$346)*MIN(N$3-$O$2,$Q$2)/$Q$2))</f>
        <v>5494.59906746309</v>
      </c>
      <c r="O370" s="15" t="n">
        <f aca="false">SUMPRODUCT(E370:N370,1/(1+$F$346)^$E$3:$N$3)*$E$2</f>
        <v>12162.7874289349</v>
      </c>
      <c r="P370" s="15" t="n">
        <f aca="false">N370*$E$2*(1+$I$346)/($F$346-$I$346)/(1+$F$346)^$N$3</f>
        <v>14192.4194728306</v>
      </c>
      <c r="Q370" s="15" t="n">
        <f aca="false">O370+P370</f>
        <v>26355.2069017655</v>
      </c>
      <c r="R370" s="15" t="n">
        <f aca="false">Q370-$G$2+$I$2</f>
        <v>19010.0069017655</v>
      </c>
      <c r="S370" s="42" t="n">
        <f aca="false">R370/$K$2</f>
        <v>81.0143059951651</v>
      </c>
      <c r="T370" s="43" t="n">
        <f aca="false">S370-$M$2</f>
        <v>2.94130215081623E-005</v>
      </c>
    </row>
    <row r="371" customFormat="false" ht="15" hidden="false" customHeight="false" outlineLevel="0" collapsed="false">
      <c r="A371" s="5" t="n">
        <v>24</v>
      </c>
      <c r="B371" s="25" t="n">
        <f aca="false">IF(T370&gt;0,B370,D370)</f>
        <v>-0.0347654819488525</v>
      </c>
      <c r="C371" s="25" t="n">
        <f aca="false">IF(T370&gt;0,D370,C370)</f>
        <v>-0.0347653031349182</v>
      </c>
      <c r="D371" s="41" t="n">
        <f aca="false">(B371+C371)/2</f>
        <v>-0.0347653925418854</v>
      </c>
      <c r="E371" s="15" t="n">
        <f aca="false">$C$2*(1+IF(E$3&lt;=$O$2,$D371,$D371-($D371-$I$346)*MIN(E$3-$O$2,$Q$2)/$Q$2))</f>
        <v>6331.93902492523</v>
      </c>
      <c r="F371" s="15" t="n">
        <f aca="false">E371*(1+IF(F$3&lt;=$O$2,$D371,$D371-($D371-$I$346)*MIN(F$3-$O$2,$Q$2)/$Q$2))</f>
        <v>6111.80667917242</v>
      </c>
      <c r="G371" s="15" t="n">
        <f aca="false">F371*(1+IF(G$3&lt;=$O$2,$D371,$D371-($D371-$I$346)*MIN(G$3-$O$2,$Q$2)/$Q$2))</f>
        <v>5899.32732083088</v>
      </c>
      <c r="H371" s="15" t="n">
        <f aca="false">G371*(1+IF(H$3&lt;=$O$2,$D371,$D371-($D371-$I$346)*MIN(H$3-$O$2,$Q$2)/$Q$2))</f>
        <v>5694.23489078912</v>
      </c>
      <c r="I371" s="15" t="n">
        <f aca="false">H371*(1+IF(I$3&lt;=$O$2,$D371,$D371-($D371-$I$346)*MIN(I$3-$O$2,$Q$2)/$Q$2))</f>
        <v>5496.27257958514</v>
      </c>
      <c r="J371" s="15" t="n">
        <f aca="false">I371*(1+IF(J$3&lt;=$O$2,$D371,$D371-($D371-$I$346)*MIN(J$3-$O$2,$Q$2)/$Q$2))</f>
        <v>5369.02115080882</v>
      </c>
      <c r="K371" s="15" t="n">
        <f aca="false">J371*(1+IF(K$3&lt;=$O$2,$D371,$D371-($D371-$I$346)*MIN(K$3-$O$2,$Q$2)/$Q$2))</f>
        <v>5307.06675121023</v>
      </c>
      <c r="L371" s="15" t="n">
        <f aca="false">K371*(1+IF(L$3&lt;=$O$2,$D371,$D371-($D371-$I$346)*MIN(L$3-$O$2,$Q$2)/$Q$2))</f>
        <v>5307.45864085142</v>
      </c>
      <c r="M371" s="15" t="n">
        <f aca="false">L371*(1+IF(M$3&lt;=$O$2,$D371,$D371-($D371-$I$346)*MIN(M$3-$O$2,$Q$2)/$Q$2))</f>
        <v>5369.48649330709</v>
      </c>
      <c r="N371" s="15" t="n">
        <f aca="false">M371*(1+IF(N$3&lt;=$O$2,$D371,$D371-($D371-$I$346)*MIN(N$3-$O$2,$Q$2)/$Q$2))</f>
        <v>5494.59552860115</v>
      </c>
      <c r="O371" s="15" t="n">
        <f aca="false">SUMPRODUCT(E371:N371,1/(1+$F$346)^$E$3:$N$3)*$E$2</f>
        <v>12162.7827013779</v>
      </c>
      <c r="P371" s="15" t="n">
        <f aca="false">N371*$E$2*(1+$I$346)/($F$346-$I$346)/(1+$F$346)^$N$3</f>
        <v>14192.4103320338</v>
      </c>
      <c r="Q371" s="15" t="n">
        <f aca="false">O371+P371</f>
        <v>26355.1930334117</v>
      </c>
      <c r="R371" s="15" t="n">
        <f aca="false">Q371-$G$2+$I$2</f>
        <v>19009.9930334117</v>
      </c>
      <c r="S371" s="42" t="n">
        <f aca="false">R371/$K$2</f>
        <v>81.014246892869</v>
      </c>
      <c r="T371" s="43" t="n">
        <f aca="false">S371-$M$2</f>
        <v>-2.96892746547428E-005</v>
      </c>
    </row>
    <row r="373" customFormat="false" ht="15" hidden="false" customHeight="false" outlineLevel="0" collapsed="false">
      <c r="A373" s="38" t="s">
        <v>195</v>
      </c>
      <c r="E373" s="5" t="s">
        <v>11</v>
      </c>
      <c r="F373" s="12" t="n">
        <f aca="false">Sensitivity!$B$12</f>
        <v>0.0812368036285737</v>
      </c>
      <c r="G373" s="5" t="s">
        <v>12</v>
      </c>
      <c r="I373" s="12" t="n">
        <f aca="false">Sensitivity!$E$9</f>
        <v>0.0283</v>
      </c>
    </row>
    <row r="374" customFormat="false" ht="23.85" hidden="false" customHeight="false" outlineLevel="0" collapsed="false">
      <c r="A374" s="38" t="s">
        <v>163</v>
      </c>
      <c r="B374" s="28" t="s">
        <v>164</v>
      </c>
      <c r="C374" s="28" t="s">
        <v>165</v>
      </c>
      <c r="D374" s="28" t="s">
        <v>166</v>
      </c>
      <c r="E374" s="28" t="s">
        <v>167</v>
      </c>
      <c r="F374" s="28" t="s">
        <v>168</v>
      </c>
      <c r="G374" s="28" t="s">
        <v>169</v>
      </c>
      <c r="H374" s="28" t="s">
        <v>170</v>
      </c>
      <c r="I374" s="28" t="s">
        <v>171</v>
      </c>
      <c r="J374" s="28" t="s">
        <v>172</v>
      </c>
      <c r="K374" s="28" t="s">
        <v>173</v>
      </c>
      <c r="L374" s="28" t="s">
        <v>174</v>
      </c>
      <c r="M374" s="28" t="s">
        <v>175</v>
      </c>
      <c r="N374" s="28" t="s">
        <v>176</v>
      </c>
      <c r="O374" s="28" t="s">
        <v>177</v>
      </c>
      <c r="P374" s="28" t="s">
        <v>178</v>
      </c>
      <c r="Q374" s="28" t="s">
        <v>179</v>
      </c>
      <c r="R374" s="28" t="s">
        <v>180</v>
      </c>
      <c r="S374" s="28" t="s">
        <v>181</v>
      </c>
      <c r="T374" s="28" t="s">
        <v>182</v>
      </c>
    </row>
    <row r="375" customFormat="false" ht="15" hidden="false" customHeight="false" outlineLevel="0" collapsed="false">
      <c r="A375" s="5" t="n">
        <v>1</v>
      </c>
      <c r="B375" s="24" t="n">
        <v>-0.5</v>
      </c>
      <c r="C375" s="24" t="n">
        <v>1</v>
      </c>
      <c r="D375" s="41" t="n">
        <f aca="false">(B375+C375)/2</f>
        <v>0.25</v>
      </c>
      <c r="E375" s="15" t="n">
        <f aca="false">$C$2*(1+IF(E$3&lt;=$O$2,$D375,$D375-($D375-$I$373)*MIN(E$3-$O$2,$Q$2)/$Q$2))</f>
        <v>8200</v>
      </c>
      <c r="F375" s="15" t="n">
        <f aca="false">E375*(1+IF(F$3&lt;=$O$2,$D375,$D375-($D375-$I$373)*MIN(F$3-$O$2,$Q$2)/$Q$2))</f>
        <v>10250</v>
      </c>
      <c r="G375" s="15" t="n">
        <f aca="false">F375*(1+IF(G$3&lt;=$O$2,$D375,$D375-($D375-$I$373)*MIN(G$3-$O$2,$Q$2)/$Q$2))</f>
        <v>12812.5</v>
      </c>
      <c r="H375" s="15" t="n">
        <f aca="false">G375*(1+IF(H$3&lt;=$O$2,$D375,$D375-($D375-$I$373)*MIN(H$3-$O$2,$Q$2)/$Q$2))</f>
        <v>16015.625</v>
      </c>
      <c r="I375" s="15" t="n">
        <f aca="false">H375*(1+IF(I$3&lt;=$O$2,$D375,$D375-($D375-$I$373)*MIN(I$3-$O$2,$Q$2)/$Q$2))</f>
        <v>20019.53125</v>
      </c>
      <c r="J375" s="15" t="n">
        <f aca="false">I375*(1+IF(J$3&lt;=$O$2,$D375,$D375-($D375-$I$373)*MIN(J$3-$O$2,$Q$2)/$Q$2))</f>
        <v>24136.748046875</v>
      </c>
      <c r="K375" s="15" t="n">
        <f aca="false">J375*(1+IF(K$3&lt;=$O$2,$D375,$D375-($D375-$I$373)*MIN(K$3-$O$2,$Q$2)/$Q$2))</f>
        <v>28030.4882417969</v>
      </c>
      <c r="L375" s="15" t="n">
        <f aca="false">K375*(1+IF(L$3&lt;=$O$2,$D375,$D375-($D375-$I$373)*MIN(L$3-$O$2,$Q$2)/$Q$2))</f>
        <v>31309.4947563223</v>
      </c>
      <c r="M375" s="15" t="n">
        <f aca="false">L375*(1+IF(M$3&lt;=$O$2,$D375,$D375-($D375-$I$373)*MIN(M$3-$O$2,$Q$2)/$Q$2))</f>
        <v>33583.8164554215</v>
      </c>
      <c r="N375" s="15" t="n">
        <f aca="false">M375*(1+IF(N$3&lt;=$O$2,$D375,$D375-($D375-$I$373)*MIN(N$3-$O$2,$Q$2)/$Q$2))</f>
        <v>34534.23846111</v>
      </c>
      <c r="O375" s="15" t="n">
        <f aca="false">SUMPRODUCT(E375:N375,1/(1+$F$373)^$E$3:$N$3)*$E$2</f>
        <v>42247.3609864148</v>
      </c>
      <c r="P375" s="15" t="n">
        <f aca="false">N375*$E$2*(1+$I$373)/($F$373-$I$373)/(1+$F$373)^$N$3</f>
        <v>98103.3849891713</v>
      </c>
      <c r="Q375" s="15" t="n">
        <f aca="false">O375+P375</f>
        <v>140350.745975586</v>
      </c>
      <c r="R375" s="15" t="n">
        <f aca="false">Q375-$G$2+$I$2</f>
        <v>133005.545975586</v>
      </c>
      <c r="S375" s="42" t="n">
        <f aca="false">R375/$K$2</f>
        <v>566.825254530518</v>
      </c>
      <c r="T375" s="43" t="n">
        <f aca="false">S375-$M$2</f>
        <v>485.810977948374</v>
      </c>
    </row>
    <row r="376" customFormat="false" ht="15" hidden="false" customHeight="false" outlineLevel="0" collapsed="false">
      <c r="A376" s="5" t="n">
        <v>2</v>
      </c>
      <c r="B376" s="25" t="n">
        <f aca="false">IF(T375&gt;0,B375,D375)</f>
        <v>-0.5</v>
      </c>
      <c r="C376" s="25" t="n">
        <f aca="false">IF(T375&gt;0,D375,C375)</f>
        <v>0.25</v>
      </c>
      <c r="D376" s="41" t="n">
        <f aca="false">(B376+C376)/2</f>
        <v>-0.125</v>
      </c>
      <c r="E376" s="15" t="n">
        <f aca="false">$C$2*(1+IF(E$3&lt;=$O$2,$D376,$D376-($D376-$I$373)*MIN(E$3-$O$2,$Q$2)/$Q$2))</f>
        <v>5740</v>
      </c>
      <c r="F376" s="15" t="n">
        <f aca="false">E376*(1+IF(F$3&lt;=$O$2,$D376,$D376-($D376-$I$373)*MIN(F$3-$O$2,$Q$2)/$Q$2))</f>
        <v>5022.5</v>
      </c>
      <c r="G376" s="15" t="n">
        <f aca="false">F376*(1+IF(G$3&lt;=$O$2,$D376,$D376-($D376-$I$373)*MIN(G$3-$O$2,$Q$2)/$Q$2))</f>
        <v>4394.6875</v>
      </c>
      <c r="H376" s="15" t="n">
        <f aca="false">G376*(1+IF(H$3&lt;=$O$2,$D376,$D376-($D376-$I$373)*MIN(H$3-$O$2,$Q$2)/$Q$2))</f>
        <v>3845.3515625</v>
      </c>
      <c r="I376" s="15" t="n">
        <f aca="false">H376*(1+IF(I$3&lt;=$O$2,$D376,$D376-($D376-$I$373)*MIN(I$3-$O$2,$Q$2)/$Q$2))</f>
        <v>3364.6826171875</v>
      </c>
      <c r="J376" s="15" t="n">
        <f aca="false">I376*(1+IF(J$3&lt;=$O$2,$D376,$D376-($D376-$I$373)*MIN(J$3-$O$2,$Q$2)/$Q$2))</f>
        <v>3047.25845908203</v>
      </c>
      <c r="K376" s="15" t="n">
        <f aca="false">J376*(1+IF(K$3&lt;=$O$2,$D376,$D376-($D376-$I$373)*MIN(K$3-$O$2,$Q$2)/$Q$2))</f>
        <v>2853.20904040769</v>
      </c>
      <c r="L376" s="15" t="n">
        <f aca="false">K376*(1+IF(L$3&lt;=$O$2,$D376,$D376-($D376-$I$373)*MIN(L$3-$O$2,$Q$2)/$Q$2))</f>
        <v>2758.99607789343</v>
      </c>
      <c r="M376" s="15" t="n">
        <f aca="false">L376*(1+IF(M$3&lt;=$O$2,$D376,$D376-($D376-$I$373)*MIN(M$3-$O$2,$Q$2)/$Q$2))</f>
        <v>2752.4848471496</v>
      </c>
      <c r="N376" s="15" t="n">
        <f aca="false">M376*(1+IF(N$3&lt;=$O$2,$D376,$D376-($D376-$I$373)*MIN(N$3-$O$2,$Q$2)/$Q$2))</f>
        <v>2830.38016832393</v>
      </c>
      <c r="O376" s="15" t="n">
        <f aca="false">SUMPRODUCT(E376:N376,1/(1+$F$373)^$E$3:$N$3)*$E$2</f>
        <v>8260.74659139854</v>
      </c>
      <c r="P376" s="15" t="n">
        <f aca="false">N376*$E$2*(1+$I$373)/($F$373-$I$373)/(1+$F$373)^$N$3</f>
        <v>8040.42271357715</v>
      </c>
      <c r="Q376" s="15" t="n">
        <f aca="false">O376+P376</f>
        <v>16301.1693049757</v>
      </c>
      <c r="R376" s="15" t="n">
        <f aca="false">Q376-$G$2+$I$2</f>
        <v>8955.96930497568</v>
      </c>
      <c r="S376" s="42" t="n">
        <f aca="false">R376/$K$2</f>
        <v>38.167352674092</v>
      </c>
      <c r="T376" s="43" t="n">
        <f aca="false">S376-$M$2</f>
        <v>-42.8469239080516</v>
      </c>
    </row>
    <row r="377" customFormat="false" ht="15" hidden="false" customHeight="false" outlineLevel="0" collapsed="false">
      <c r="A377" s="5" t="n">
        <v>3</v>
      </c>
      <c r="B377" s="25" t="n">
        <f aca="false">IF(T376&gt;0,B376,D376)</f>
        <v>-0.125</v>
      </c>
      <c r="C377" s="25" t="n">
        <f aca="false">IF(T376&gt;0,D376,C376)</f>
        <v>0.25</v>
      </c>
      <c r="D377" s="41" t="n">
        <f aca="false">(B377+C377)/2</f>
        <v>0.0625</v>
      </c>
      <c r="E377" s="15" t="n">
        <f aca="false">$C$2*(1+IF(E$3&lt;=$O$2,$D377,$D377-($D377-$I$373)*MIN(E$3-$O$2,$Q$2)/$Q$2))</f>
        <v>6970</v>
      </c>
      <c r="F377" s="15" t="n">
        <f aca="false">E377*(1+IF(F$3&lt;=$O$2,$D377,$D377-($D377-$I$373)*MIN(F$3-$O$2,$Q$2)/$Q$2))</f>
        <v>7405.625</v>
      </c>
      <c r="G377" s="15" t="n">
        <f aca="false">F377*(1+IF(G$3&lt;=$O$2,$D377,$D377-($D377-$I$373)*MIN(G$3-$O$2,$Q$2)/$Q$2))</f>
        <v>7868.4765625</v>
      </c>
      <c r="H377" s="15" t="n">
        <f aca="false">G377*(1+IF(H$3&lt;=$O$2,$D377,$D377-($D377-$I$373)*MIN(H$3-$O$2,$Q$2)/$Q$2))</f>
        <v>8360.25634765625</v>
      </c>
      <c r="I377" s="15" t="n">
        <f aca="false">H377*(1+IF(I$3&lt;=$O$2,$D377,$D377-($D377-$I$373)*MIN(I$3-$O$2,$Q$2)/$Q$2))</f>
        <v>8882.77236938477</v>
      </c>
      <c r="J377" s="15" t="n">
        <f aca="false">I377*(1+IF(J$3&lt;=$O$2,$D377,$D377-($D377-$I$373)*MIN(J$3-$O$2,$Q$2)/$Q$2))</f>
        <v>9377.18747946472</v>
      </c>
      <c r="K377" s="15" t="n">
        <f aca="false">J377*(1+IF(K$3&lt;=$O$2,$D377,$D377-($D377-$I$373)*MIN(K$3-$O$2,$Q$2)/$Q$2))</f>
        <v>9834.98177221219</v>
      </c>
      <c r="L377" s="15" t="n">
        <f aca="false">K377*(1+IF(L$3&lt;=$O$2,$D377,$D377-($D377-$I$373)*MIN(L$3-$O$2,$Q$2)/$Q$2))</f>
        <v>10247.8543070097</v>
      </c>
      <c r="M377" s="15" t="n">
        <f aca="false">L377*(1+IF(M$3&lt;=$O$2,$D377,$D377-($D377-$I$373)*MIN(M$3-$O$2,$Q$2)/$Q$2))</f>
        <v>10607.963907358</v>
      </c>
      <c r="N377" s="15" t="n">
        <f aca="false">M377*(1+IF(N$3&lt;=$O$2,$D377,$D377-($D377-$I$373)*MIN(N$3-$O$2,$Q$2)/$Q$2))</f>
        <v>10908.1692859362</v>
      </c>
      <c r="O377" s="15" t="n">
        <f aca="false">SUMPRODUCT(E377:N377,1/(1+$F$373)^$E$3:$N$3)*$E$2</f>
        <v>18659.8020835517</v>
      </c>
      <c r="P377" s="15" t="n">
        <f aca="false">N377*$E$2*(1+$I$373)/($F$373-$I$373)/(1+$F$373)^$N$3</f>
        <v>30987.4599432779</v>
      </c>
      <c r="Q377" s="15" t="n">
        <f aca="false">O377+P377</f>
        <v>49647.2620268296</v>
      </c>
      <c r="R377" s="15" t="n">
        <f aca="false">Q377-$G$2+$I$2</f>
        <v>42302.0620268296</v>
      </c>
      <c r="S377" s="42" t="n">
        <f aca="false">R377/$K$2</f>
        <v>180.2772726479</v>
      </c>
      <c r="T377" s="43" t="n">
        <f aca="false">S377-$M$2</f>
        <v>99.2629960657559</v>
      </c>
    </row>
    <row r="378" customFormat="false" ht="15" hidden="false" customHeight="false" outlineLevel="0" collapsed="false">
      <c r="A378" s="5" t="n">
        <v>4</v>
      </c>
      <c r="B378" s="25" t="n">
        <f aca="false">IF(T377&gt;0,B377,D377)</f>
        <v>-0.125</v>
      </c>
      <c r="C378" s="25" t="n">
        <f aca="false">IF(T377&gt;0,D377,C377)</f>
        <v>0.0625</v>
      </c>
      <c r="D378" s="41" t="n">
        <f aca="false">(B378+C378)/2</f>
        <v>-0.03125</v>
      </c>
      <c r="E378" s="15" t="n">
        <f aca="false">$C$2*(1+IF(E$3&lt;=$O$2,$D378,$D378-($D378-$I$373)*MIN(E$3-$O$2,$Q$2)/$Q$2))</f>
        <v>6355</v>
      </c>
      <c r="F378" s="15" t="n">
        <f aca="false">E378*(1+IF(F$3&lt;=$O$2,$D378,$D378-($D378-$I$373)*MIN(F$3-$O$2,$Q$2)/$Q$2))</f>
        <v>6156.40625</v>
      </c>
      <c r="G378" s="15" t="n">
        <f aca="false">F378*(1+IF(G$3&lt;=$O$2,$D378,$D378-($D378-$I$373)*MIN(G$3-$O$2,$Q$2)/$Q$2))</f>
        <v>5964.0185546875</v>
      </c>
      <c r="H378" s="15" t="n">
        <f aca="false">G378*(1+IF(H$3&lt;=$O$2,$D378,$D378-($D378-$I$373)*MIN(H$3-$O$2,$Q$2)/$Q$2))</f>
        <v>5777.64297485352</v>
      </c>
      <c r="I378" s="15" t="n">
        <f aca="false">H378*(1+IF(I$3&lt;=$O$2,$D378,$D378-($D378-$I$373)*MIN(I$3-$O$2,$Q$2)/$Q$2))</f>
        <v>5597.09163188934</v>
      </c>
      <c r="J378" s="15" t="n">
        <f aca="false">I378*(1+IF(J$3&lt;=$O$2,$D378,$D378-($D378-$I$373)*MIN(J$3-$O$2,$Q$2)/$Q$2))</f>
        <v>5488.8438797286</v>
      </c>
      <c r="K378" s="15" t="n">
        <f aca="false">J378*(1+IF(K$3&lt;=$O$2,$D378,$D378-($D378-$I$373)*MIN(K$3-$O$2,$Q$2)/$Q$2))</f>
        <v>5448.06176970222</v>
      </c>
      <c r="L378" s="15" t="n">
        <f aca="false">K378*(1+IF(L$3&lt;=$O$2,$D378,$D378-($D378-$I$373)*MIN(L$3-$O$2,$Q$2)/$Q$2))</f>
        <v>5472.46908643049</v>
      </c>
      <c r="M378" s="15" t="n">
        <f aca="false">L378*(1+IF(M$3&lt;=$O$2,$D378,$D378-($D378-$I$373)*MIN(M$3-$O$2,$Q$2)/$Q$2))</f>
        <v>5562.16285475708</v>
      </c>
      <c r="N378" s="15" t="n">
        <f aca="false">M378*(1+IF(N$3&lt;=$O$2,$D378,$D378-($D378-$I$373)*MIN(N$3-$O$2,$Q$2)/$Q$2))</f>
        <v>5719.57206354671</v>
      </c>
      <c r="O378" s="15" t="n">
        <f aca="false">SUMPRODUCT(E378:N378,1/(1+$F$373)^$E$3:$N$3)*$E$2</f>
        <v>12380.9915387341</v>
      </c>
      <c r="P378" s="15" t="n">
        <f aca="false">N378*$E$2*(1+$I$373)/($F$373-$I$373)/(1+$F$373)^$N$3</f>
        <v>16247.9152611202</v>
      </c>
      <c r="Q378" s="15" t="n">
        <f aca="false">O378+P378</f>
        <v>28628.9067998543</v>
      </c>
      <c r="R378" s="15" t="n">
        <f aca="false">Q378-$G$2+$I$2</f>
        <v>21283.7067998543</v>
      </c>
      <c r="S378" s="42" t="n">
        <f aca="false">R378/$K$2</f>
        <v>90.7040562533744</v>
      </c>
      <c r="T378" s="43" t="n">
        <f aca="false">S378-$M$2</f>
        <v>9.68977967123081</v>
      </c>
    </row>
    <row r="379" customFormat="false" ht="15" hidden="false" customHeight="false" outlineLevel="0" collapsed="false">
      <c r="A379" s="5" t="n">
        <v>5</v>
      </c>
      <c r="B379" s="25" t="n">
        <f aca="false">IF(T378&gt;0,B378,D378)</f>
        <v>-0.125</v>
      </c>
      <c r="C379" s="25" t="n">
        <f aca="false">IF(T378&gt;0,D378,C378)</f>
        <v>-0.03125</v>
      </c>
      <c r="D379" s="41" t="n">
        <f aca="false">(B379+C379)/2</f>
        <v>-0.078125</v>
      </c>
      <c r="E379" s="15" t="n">
        <f aca="false">$C$2*(1+IF(E$3&lt;=$O$2,$D379,$D379-($D379-$I$373)*MIN(E$3-$O$2,$Q$2)/$Q$2))</f>
        <v>6047.5</v>
      </c>
      <c r="F379" s="15" t="n">
        <f aca="false">E379*(1+IF(F$3&lt;=$O$2,$D379,$D379-($D379-$I$373)*MIN(F$3-$O$2,$Q$2)/$Q$2))</f>
        <v>5575.0390625</v>
      </c>
      <c r="G379" s="15" t="n">
        <f aca="false">F379*(1+IF(G$3&lt;=$O$2,$D379,$D379-($D379-$I$373)*MIN(G$3-$O$2,$Q$2)/$Q$2))</f>
        <v>5139.48913574219</v>
      </c>
      <c r="H379" s="15" t="n">
        <f aca="false">G379*(1+IF(H$3&lt;=$O$2,$D379,$D379-($D379-$I$373)*MIN(H$3-$O$2,$Q$2)/$Q$2))</f>
        <v>4737.96654701233</v>
      </c>
      <c r="I379" s="15" t="n">
        <f aca="false">H379*(1+IF(I$3&lt;=$O$2,$D379,$D379-($D379-$I$373)*MIN(I$3-$O$2,$Q$2)/$Q$2))</f>
        <v>4367.81291052699</v>
      </c>
      <c r="J379" s="15" t="n">
        <f aca="false">I379*(1+IF(J$3&lt;=$O$2,$D379,$D379-($D379-$I$373)*MIN(J$3-$O$2,$Q$2)/$Q$2))</f>
        <v>4119.54642469264</v>
      </c>
      <c r="K379" s="15" t="n">
        <f aca="false">J379*(1+IF(K$3&lt;=$O$2,$D379,$D379-($D379-$I$373)*MIN(K$3-$O$2,$Q$2)/$Q$2))</f>
        <v>3973.07595156269</v>
      </c>
      <c r="L379" s="15" t="n">
        <f aca="false">K379*(1+IF(L$3&lt;=$O$2,$D379,$D379-($D379-$I$373)*MIN(L$3-$O$2,$Q$2)/$Q$2))</f>
        <v>3916.38015773389</v>
      </c>
      <c r="M379" s="15" t="n">
        <f aca="false">L379*(1+IF(M$3&lt;=$O$2,$D379,$D379-($D379-$I$373)*MIN(M$3-$O$2,$Q$2)/$Q$2))</f>
        <v>3943.85356454039</v>
      </c>
      <c r="N379" s="15" t="n">
        <f aca="false">M379*(1+IF(N$3&lt;=$O$2,$D379,$D379-($D379-$I$373)*MIN(N$3-$O$2,$Q$2)/$Q$2))</f>
        <v>4055.46462041689</v>
      </c>
      <c r="O379" s="15" t="n">
        <f aca="false">SUMPRODUCT(E379:N379,1/(1+$F$373)^$E$3:$N$3)*$E$2</f>
        <v>10102.7975937462</v>
      </c>
      <c r="P379" s="15" t="n">
        <f aca="false">N379*$E$2*(1+$I$373)/($F$373-$I$373)/(1+$F$373)^$N$3</f>
        <v>11520.5901359243</v>
      </c>
      <c r="Q379" s="15" t="n">
        <f aca="false">O379+P379</f>
        <v>21623.3877296705</v>
      </c>
      <c r="R379" s="15" t="n">
        <f aca="false">Q379-$G$2+$I$2</f>
        <v>14278.1877296705</v>
      </c>
      <c r="S379" s="42" t="n">
        <f aca="false">R379/$K$2</f>
        <v>60.8488716372063</v>
      </c>
      <c r="T379" s="43" t="n">
        <f aca="false">S379-$M$2</f>
        <v>-20.1654049449373</v>
      </c>
    </row>
    <row r="380" customFormat="false" ht="15" hidden="false" customHeight="false" outlineLevel="0" collapsed="false">
      <c r="A380" s="5" t="n">
        <v>6</v>
      </c>
      <c r="B380" s="25" t="n">
        <f aca="false">IF(T379&gt;0,B379,D379)</f>
        <v>-0.078125</v>
      </c>
      <c r="C380" s="25" t="n">
        <f aca="false">IF(T379&gt;0,D379,C379)</f>
        <v>-0.03125</v>
      </c>
      <c r="D380" s="41" t="n">
        <f aca="false">(B380+C380)/2</f>
        <v>-0.0546875</v>
      </c>
      <c r="E380" s="15" t="n">
        <f aca="false">$C$2*(1+IF(E$3&lt;=$O$2,$D380,$D380-($D380-$I$373)*MIN(E$3-$O$2,$Q$2)/$Q$2))</f>
        <v>6201.25</v>
      </c>
      <c r="F380" s="15" t="n">
        <f aca="false">E380*(1+IF(F$3&lt;=$O$2,$D380,$D380-($D380-$I$373)*MIN(F$3-$O$2,$Q$2)/$Q$2))</f>
        <v>5862.119140625</v>
      </c>
      <c r="G380" s="15" t="n">
        <f aca="false">F380*(1+IF(G$3&lt;=$O$2,$D380,$D380-($D380-$I$373)*MIN(G$3-$O$2,$Q$2)/$Q$2))</f>
        <v>5541.53450012207</v>
      </c>
      <c r="H380" s="15" t="n">
        <f aca="false">G380*(1+IF(H$3&lt;=$O$2,$D380,$D380-($D380-$I$373)*MIN(H$3-$O$2,$Q$2)/$Q$2))</f>
        <v>5238.48183214665</v>
      </c>
      <c r="I380" s="15" t="n">
        <f aca="false">H380*(1+IF(I$3&lt;=$O$2,$D380,$D380-($D380-$I$373)*MIN(I$3-$O$2,$Q$2)/$Q$2))</f>
        <v>4952.00235695113</v>
      </c>
      <c r="J380" s="15" t="n">
        <f aca="false">I380*(1+IF(J$3&lt;=$O$2,$D380,$D380-($D380-$I$373)*MIN(J$3-$O$2,$Q$2)/$Q$2))</f>
        <v>4763.38058717486</v>
      </c>
      <c r="K380" s="15" t="n">
        <f aca="false">J380*(1+IF(K$3&lt;=$O$2,$D380,$D380-($D380-$I$373)*MIN(K$3-$O$2,$Q$2)/$Q$2))</f>
        <v>4661.003629905</v>
      </c>
      <c r="L380" s="15" t="n">
        <f aca="false">K380*(1+IF(L$3&lt;=$O$2,$D380,$D380-($D380-$I$373)*MIN(L$3-$O$2,$Q$2)/$Q$2))</f>
        <v>4638.18801713662</v>
      </c>
      <c r="M380" s="15" t="n">
        <f aca="false">L380*(1+IF(M$3&lt;=$O$2,$D380,$D380-($D380-$I$373)*MIN(M$3-$O$2,$Q$2)/$Q$2))</f>
        <v>4692.46641240716</v>
      </c>
      <c r="N380" s="15" t="n">
        <f aca="false">M380*(1+IF(N$3&lt;=$O$2,$D380,$D380-($D380-$I$373)*MIN(N$3-$O$2,$Q$2)/$Q$2))</f>
        <v>4825.26321187828</v>
      </c>
      <c r="O380" s="15" t="n">
        <f aca="false">SUMPRODUCT(E380:N380,1/(1+$F$373)^$E$3:$N$3)*$E$2</f>
        <v>11181.620451083</v>
      </c>
      <c r="P380" s="15" t="n">
        <f aca="false">N380*$E$2*(1+$I$373)/($F$373-$I$373)/(1+$F$373)^$N$3</f>
        <v>13707.4009922663</v>
      </c>
      <c r="Q380" s="15" t="n">
        <f aca="false">O380+P380</f>
        <v>24889.0214433493</v>
      </c>
      <c r="R380" s="15" t="n">
        <f aca="false">Q380-$G$2+$I$2</f>
        <v>17543.8214433493</v>
      </c>
      <c r="S380" s="42" t="n">
        <f aca="false">R380/$K$2</f>
        <v>74.765912820581</v>
      </c>
      <c r="T380" s="43" t="n">
        <f aca="false">S380-$M$2</f>
        <v>-6.2483637615626</v>
      </c>
    </row>
    <row r="381" customFormat="false" ht="15" hidden="false" customHeight="false" outlineLevel="0" collapsed="false">
      <c r="A381" s="5" t="n">
        <v>7</v>
      </c>
      <c r="B381" s="25" t="n">
        <f aca="false">IF(T380&gt;0,B380,D380)</f>
        <v>-0.0546875</v>
      </c>
      <c r="C381" s="25" t="n">
        <f aca="false">IF(T380&gt;0,D380,C380)</f>
        <v>-0.03125</v>
      </c>
      <c r="D381" s="41" t="n">
        <f aca="false">(B381+C381)/2</f>
        <v>-0.04296875</v>
      </c>
      <c r="E381" s="15" t="n">
        <f aca="false">$C$2*(1+IF(E$3&lt;=$O$2,$D381,$D381-($D381-$I$373)*MIN(E$3-$O$2,$Q$2)/$Q$2))</f>
        <v>6278.125</v>
      </c>
      <c r="F381" s="15" t="n">
        <f aca="false">E381*(1+IF(F$3&lt;=$O$2,$D381,$D381-($D381-$I$373)*MIN(F$3-$O$2,$Q$2)/$Q$2))</f>
        <v>6008.36181640625</v>
      </c>
      <c r="G381" s="15" t="n">
        <f aca="false">F381*(1+IF(G$3&lt;=$O$2,$D381,$D381-($D381-$I$373)*MIN(G$3-$O$2,$Q$2)/$Q$2))</f>
        <v>5750.19001960754</v>
      </c>
      <c r="H381" s="15" t="n">
        <f aca="false">G381*(1+IF(H$3&lt;=$O$2,$D381,$D381-($D381-$I$373)*MIN(H$3-$O$2,$Q$2)/$Q$2))</f>
        <v>5503.11154220253</v>
      </c>
      <c r="I381" s="15" t="n">
        <f aca="false">H381*(1+IF(I$3&lt;=$O$2,$D381,$D381-($D381-$I$373)*MIN(I$3-$O$2,$Q$2)/$Q$2))</f>
        <v>5266.64971812352</v>
      </c>
      <c r="J381" s="15" t="n">
        <f aca="false">I381*(1+IF(J$3&lt;=$O$2,$D381,$D381-($D381-$I$373)*MIN(J$3-$O$2,$Q$2)/$Q$2))</f>
        <v>5115.4178714676</v>
      </c>
      <c r="K381" s="15" t="n">
        <f aca="false">J381*(1+IF(K$3&lt;=$O$2,$D381,$D381-($D381-$I$373)*MIN(K$3-$O$2,$Q$2)/$Q$2))</f>
        <v>5041.44253477384</v>
      </c>
      <c r="L381" s="15" t="n">
        <f aca="false">K381*(1+IF(L$3&lt;=$O$2,$D381,$D381-($D381-$I$373)*MIN(L$3-$O$2,$Q$2)/$Q$2))</f>
        <v>5040.39643544787</v>
      </c>
      <c r="M381" s="15" t="n">
        <f aca="false">L381*(1+IF(M$3&lt;=$O$2,$D381,$D381-($D381-$I$373)*MIN(M$3-$O$2,$Q$2)/$Q$2))</f>
        <v>5111.19510387928</v>
      </c>
      <c r="N381" s="15" t="n">
        <f aca="false">M381*(1+IF(N$3&lt;=$O$2,$D381,$D381-($D381-$I$373)*MIN(N$3-$O$2,$Q$2)/$Q$2))</f>
        <v>5255.84192531907</v>
      </c>
      <c r="O381" s="15" t="n">
        <f aca="false">SUMPRODUCT(E381:N381,1/(1+$F$373)^$E$3:$N$3)*$E$2</f>
        <v>11765.4597358001</v>
      </c>
      <c r="P381" s="15" t="n">
        <f aca="false">N381*$E$2*(1+$I$373)/($F$373-$I$373)/(1+$F$373)^$N$3</f>
        <v>14930.570553118</v>
      </c>
      <c r="Q381" s="15" t="n">
        <f aca="false">O381+P381</f>
        <v>26696.0302889181</v>
      </c>
      <c r="R381" s="15" t="n">
        <f aca="false">Q381-$G$2+$I$2</f>
        <v>19350.8302889181</v>
      </c>
      <c r="S381" s="42" t="n">
        <f aca="false">R381/$K$2</f>
        <v>82.4667815423744</v>
      </c>
      <c r="T381" s="43" t="n">
        <f aca="false">S381-$M$2</f>
        <v>1.45250496023074</v>
      </c>
    </row>
    <row r="382" customFormat="false" ht="15" hidden="false" customHeight="false" outlineLevel="0" collapsed="false">
      <c r="A382" s="5" t="n">
        <v>8</v>
      </c>
      <c r="B382" s="25" t="n">
        <f aca="false">IF(T381&gt;0,B381,D381)</f>
        <v>-0.0546875</v>
      </c>
      <c r="C382" s="25" t="n">
        <f aca="false">IF(T381&gt;0,D381,C381)</f>
        <v>-0.04296875</v>
      </c>
      <c r="D382" s="41" t="n">
        <f aca="false">(B382+C382)/2</f>
        <v>-0.048828125</v>
      </c>
      <c r="E382" s="15" t="n">
        <f aca="false">$C$2*(1+IF(E$3&lt;=$O$2,$D382,$D382-($D382-$I$373)*MIN(E$3-$O$2,$Q$2)/$Q$2))</f>
        <v>6239.6875</v>
      </c>
      <c r="F382" s="15" t="n">
        <f aca="false">E382*(1+IF(F$3&lt;=$O$2,$D382,$D382-($D382-$I$373)*MIN(F$3-$O$2,$Q$2)/$Q$2))</f>
        <v>5935.01525878906</v>
      </c>
      <c r="G382" s="15" t="n">
        <f aca="false">F382*(1+IF(G$3&lt;=$O$2,$D382,$D382-($D382-$I$373)*MIN(G$3-$O$2,$Q$2)/$Q$2))</f>
        <v>5645.219591856</v>
      </c>
      <c r="H382" s="15" t="n">
        <f aca="false">G382*(1+IF(H$3&lt;=$O$2,$D382,$D382-($D382-$I$373)*MIN(H$3-$O$2,$Q$2)/$Q$2))</f>
        <v>5369.57410397241</v>
      </c>
      <c r="I382" s="15" t="n">
        <f aca="false">H382*(1+IF(I$3&lt;=$O$2,$D382,$D382-($D382-$I$373)*MIN(I$3-$O$2,$Q$2)/$Q$2))</f>
        <v>5107.38786842688</v>
      </c>
      <c r="J382" s="15" t="n">
        <f aca="false">I382*(1+IF(J$3&lt;=$O$2,$D382,$D382-($D382-$I$373)*MIN(J$3-$O$2,$Q$2)/$Q$2))</f>
        <v>4936.78834515175</v>
      </c>
      <c r="K382" s="15" t="n">
        <f aca="false">J382*(1+IF(K$3&lt;=$O$2,$D382,$D382-($D382-$I$373)*MIN(K$3-$O$2,$Q$2)/$Q$2))</f>
        <v>4848.0403181695</v>
      </c>
      <c r="L382" s="15" t="n">
        <f aca="false">K382*(1+IF(L$3&lt;=$O$2,$D382,$D382-($D382-$I$373)*MIN(L$3-$O$2,$Q$2)/$Q$2))</f>
        <v>4835.67175530777</v>
      </c>
      <c r="M382" s="15" t="n">
        <f aca="false">L382*(1+IF(M$3&lt;=$O$2,$D382,$D382-($D382-$I$373)*MIN(M$3-$O$2,$Q$2)/$Q$2))</f>
        <v>4897.92800686251</v>
      </c>
      <c r="N382" s="15" t="n">
        <f aca="false">M382*(1+IF(N$3&lt;=$O$2,$D382,$D382-($D382-$I$373)*MIN(N$3-$O$2,$Q$2)/$Q$2))</f>
        <v>5036.53936945672</v>
      </c>
      <c r="O382" s="15" t="n">
        <f aca="false">SUMPRODUCT(E382:N382,1/(1+$F$373)^$E$3:$N$3)*$E$2</f>
        <v>11469.6784704462</v>
      </c>
      <c r="P382" s="15" t="n">
        <f aca="false">N382*$E$2*(1+$I$373)/($F$373-$I$373)/(1+$F$373)^$N$3</f>
        <v>14307.5852485166</v>
      </c>
      <c r="Q382" s="15" t="n">
        <f aca="false">O382+P382</f>
        <v>25777.2637189628</v>
      </c>
      <c r="R382" s="15" t="n">
        <f aca="false">Q382-$G$2+$I$2</f>
        <v>18432.0637189628</v>
      </c>
      <c r="S382" s="42" t="n">
        <f aca="false">R382/$K$2</f>
        <v>78.5513050030376</v>
      </c>
      <c r="T382" s="43" t="n">
        <f aca="false">S382-$M$2</f>
        <v>-2.46297157910601</v>
      </c>
    </row>
    <row r="383" customFormat="false" ht="15" hidden="false" customHeight="false" outlineLevel="0" collapsed="false">
      <c r="A383" s="5" t="n">
        <v>9</v>
      </c>
      <c r="B383" s="25" t="n">
        <f aca="false">IF(T382&gt;0,B382,D382)</f>
        <v>-0.048828125</v>
      </c>
      <c r="C383" s="25" t="n">
        <f aca="false">IF(T382&gt;0,D382,C382)</f>
        <v>-0.04296875</v>
      </c>
      <c r="D383" s="41" t="n">
        <f aca="false">(B383+C383)/2</f>
        <v>-0.0458984375</v>
      </c>
      <c r="E383" s="15" t="n">
        <f aca="false">$C$2*(1+IF(E$3&lt;=$O$2,$D383,$D383-($D383-$I$373)*MIN(E$3-$O$2,$Q$2)/$Q$2))</f>
        <v>6258.90625</v>
      </c>
      <c r="F383" s="15" t="n">
        <f aca="false">E383*(1+IF(F$3&lt;=$O$2,$D383,$D383-($D383-$I$373)*MIN(F$3-$O$2,$Q$2)/$Q$2))</f>
        <v>5971.63223266602</v>
      </c>
      <c r="G383" s="15" t="n">
        <f aca="false">F383*(1+IF(G$3&lt;=$O$2,$D383,$D383-($D383-$I$373)*MIN(G$3-$O$2,$Q$2)/$Q$2))</f>
        <v>5697.54364386201</v>
      </c>
      <c r="H383" s="15" t="n">
        <f aca="false">G383*(1+IF(H$3&lt;=$O$2,$D383,$D383-($D383-$I$373)*MIN(H$3-$O$2,$Q$2)/$Q$2))</f>
        <v>5436.03529302069</v>
      </c>
      <c r="I383" s="15" t="n">
        <f aca="false">H383*(1+IF(I$3&lt;=$O$2,$D383,$D383-($D383-$I$373)*MIN(I$3-$O$2,$Q$2)/$Q$2))</f>
        <v>5186.52976687618</v>
      </c>
      <c r="J383" s="15" t="n">
        <f aca="false">I383*(1+IF(J$3&lt;=$O$2,$D383,$D383-($D383-$I$373)*MIN(J$3-$O$2,$Q$2)/$Q$2))</f>
        <v>5025.44263547922</v>
      </c>
      <c r="K383" s="15" t="n">
        <f aca="false">J383*(1+IF(K$3&lt;=$O$2,$D383,$D383-($D383-$I$373)*MIN(K$3-$O$2,$Q$2)/$Q$2))</f>
        <v>4943.93466728422</v>
      </c>
      <c r="L383" s="15" t="n">
        <f aca="false">K383*(1+IF(L$3&lt;=$O$2,$D383,$D383-($D383-$I$373)*MIN(L$3-$O$2,$Q$2)/$Q$2))</f>
        <v>4937.11512740253</v>
      </c>
      <c r="M383" s="15" t="n">
        <f aca="false">L383*(1+IF(M$3&lt;=$O$2,$D383,$D383-($D383-$I$373)*MIN(M$3-$O$2,$Q$2)/$Q$2))</f>
        <v>5003.57023986585</v>
      </c>
      <c r="N383" s="15" t="n">
        <f aca="false">M383*(1+IF(N$3&lt;=$O$2,$D383,$D383-($D383-$I$373)*MIN(N$3-$O$2,$Q$2)/$Q$2))</f>
        <v>5145.17127765405</v>
      </c>
      <c r="O383" s="15" t="n">
        <f aca="false">SUMPRODUCT(E383:N383,1/(1+$F$373)^$E$3:$N$3)*$E$2</f>
        <v>11616.5913784717</v>
      </c>
      <c r="P383" s="15" t="n">
        <f aca="false">N383*$E$2*(1+$I$373)/($F$373-$I$373)/(1+$F$373)^$N$3</f>
        <v>14616.1821189526</v>
      </c>
      <c r="Q383" s="15" t="n">
        <f aca="false">O383+P383</f>
        <v>26232.7734974243</v>
      </c>
      <c r="R383" s="15" t="n">
        <f aca="false">Q383-$G$2+$I$2</f>
        <v>18887.5734974243</v>
      </c>
      <c r="S383" s="42" t="n">
        <f aca="false">R383/$K$2</f>
        <v>80.4925356804787</v>
      </c>
      <c r="T383" s="43" t="n">
        <f aca="false">S383-$M$2</f>
        <v>-0.521740901664956</v>
      </c>
    </row>
    <row r="384" customFormat="false" ht="15" hidden="false" customHeight="false" outlineLevel="0" collapsed="false">
      <c r="A384" s="5" t="n">
        <v>10</v>
      </c>
      <c r="B384" s="25" t="n">
        <f aca="false">IF(T383&gt;0,B383,D383)</f>
        <v>-0.0458984375</v>
      </c>
      <c r="C384" s="25" t="n">
        <f aca="false">IF(T383&gt;0,D383,C383)</f>
        <v>-0.04296875</v>
      </c>
      <c r="D384" s="41" t="n">
        <f aca="false">(B384+C384)/2</f>
        <v>-0.04443359375</v>
      </c>
      <c r="E384" s="15" t="n">
        <f aca="false">$C$2*(1+IF(E$3&lt;=$O$2,$D384,$D384-($D384-$I$373)*MIN(E$3-$O$2,$Q$2)/$Q$2))</f>
        <v>6268.515625</v>
      </c>
      <c r="F384" s="15" t="n">
        <f aca="false">E384*(1+IF(F$3&lt;=$O$2,$D384,$D384-($D384-$I$373)*MIN(F$3-$O$2,$Q$2)/$Q$2))</f>
        <v>5989.98294830322</v>
      </c>
      <c r="G384" s="15" t="n">
        <f aca="false">F384*(1+IF(G$3&lt;=$O$2,$D384,$D384-($D384-$I$373)*MIN(G$3-$O$2,$Q$2)/$Q$2))</f>
        <v>5723.82647940889</v>
      </c>
      <c r="H384" s="15" t="n">
        <f aca="false">G384*(1+IF(H$3&lt;=$O$2,$D384,$D384-($D384-$I$373)*MIN(H$3-$O$2,$Q$2)/$Q$2))</f>
        <v>5469.49629892734</v>
      </c>
      <c r="I384" s="15" t="n">
        <f aca="false">H384*(1+IF(I$3&lt;=$O$2,$D384,$D384-($D384-$I$373)*MIN(I$3-$O$2,$Q$2)/$Q$2))</f>
        <v>5226.46692236368</v>
      </c>
      <c r="J384" s="15" t="n">
        <f aca="false">I384*(1+IF(J$3&lt;=$O$2,$D384,$D384-($D384-$I$373)*MIN(J$3-$O$2,$Q$2)/$Q$2))</f>
        <v>5070.26415876336</v>
      </c>
      <c r="K384" s="15" t="n">
        <f aca="false">J384*(1+IF(K$3&lt;=$O$2,$D384,$D384-($D384-$I$373)*MIN(K$3-$O$2,$Q$2)/$Q$2))</f>
        <v>4992.48551433915</v>
      </c>
      <c r="L384" s="15" t="n">
        <f aca="false">K384*(1+IF(L$3&lt;=$O$2,$D384,$D384-($D384-$I$373)*MIN(L$3-$O$2,$Q$2)/$Q$2))</f>
        <v>4988.52428911387</v>
      </c>
      <c r="M384" s="15" t="n">
        <f aca="false">L384*(1+IF(M$3&lt;=$O$2,$D384,$D384-($D384-$I$373)*MIN(M$3-$O$2,$Q$2)/$Q$2))</f>
        <v>5057.13286668451</v>
      </c>
      <c r="N384" s="15" t="n">
        <f aca="false">M384*(1+IF(N$3&lt;=$O$2,$D384,$D384-($D384-$I$373)*MIN(N$3-$O$2,$Q$2)/$Q$2))</f>
        <v>5200.24972681168</v>
      </c>
      <c r="O384" s="15" t="n">
        <f aca="false">SUMPRODUCT(E384:N384,1/(1+$F$373)^$E$3:$N$3)*$E$2</f>
        <v>11690.7795710271</v>
      </c>
      <c r="P384" s="15" t="n">
        <f aca="false">N384*$E$2*(1+$I$373)/($F$373-$I$373)/(1+$F$373)^$N$3</f>
        <v>14772.6466174648</v>
      </c>
      <c r="Q384" s="15" t="n">
        <f aca="false">O384+P384</f>
        <v>26463.426188492</v>
      </c>
      <c r="R384" s="15" t="n">
        <f aca="false">Q384-$G$2+$I$2</f>
        <v>19118.226188492</v>
      </c>
      <c r="S384" s="42" t="n">
        <f aca="false">R384/$K$2</f>
        <v>81.4755004836648</v>
      </c>
      <c r="T384" s="43" t="n">
        <f aca="false">S384-$M$2</f>
        <v>0.461223901521208</v>
      </c>
    </row>
    <row r="385" customFormat="false" ht="15" hidden="false" customHeight="false" outlineLevel="0" collapsed="false">
      <c r="A385" s="5" t="n">
        <v>11</v>
      </c>
      <c r="B385" s="25" t="n">
        <f aca="false">IF(T384&gt;0,B384,D384)</f>
        <v>-0.0458984375</v>
      </c>
      <c r="C385" s="25" t="n">
        <f aca="false">IF(T384&gt;0,D384,C384)</f>
        <v>-0.04443359375</v>
      </c>
      <c r="D385" s="41" t="n">
        <f aca="false">(B385+C385)/2</f>
        <v>-0.045166015625</v>
      </c>
      <c r="E385" s="15" t="n">
        <f aca="false">$C$2*(1+IF(E$3&lt;=$O$2,$D385,$D385-($D385-$I$373)*MIN(E$3-$O$2,$Q$2)/$Q$2))</f>
        <v>6263.7109375</v>
      </c>
      <c r="F385" s="15" t="n">
        <f aca="false">E385*(1+IF(F$3&lt;=$O$2,$D385,$D385-($D385-$I$373)*MIN(F$3-$O$2,$Q$2)/$Q$2))</f>
        <v>5980.80407142639</v>
      </c>
      <c r="G385" s="15" t="n">
        <f aca="false">F385*(1+IF(G$3&lt;=$O$2,$D385,$D385-($D385-$I$373)*MIN(G$3-$O$2,$Q$2)/$Q$2))</f>
        <v>5710.67498128628</v>
      </c>
      <c r="H385" s="15" t="n">
        <f aca="false">G385*(1+IF(H$3&lt;=$O$2,$D385,$D385-($D385-$I$373)*MIN(H$3-$O$2,$Q$2)/$Q$2))</f>
        <v>5452.74654585221</v>
      </c>
      <c r="I385" s="15" t="n">
        <f aca="false">H385*(1+IF(I$3&lt;=$O$2,$D385,$D385-($D385-$I$373)*MIN(I$3-$O$2,$Q$2)/$Q$2))</f>
        <v>5206.46771016309</v>
      </c>
      <c r="J385" s="15" t="n">
        <f aca="false">I385*(1+IF(J$3&lt;=$O$2,$D385,$D385-($D385-$I$373)*MIN(J$3-$O$2,$Q$2)/$Q$2))</f>
        <v>5047.81199584398</v>
      </c>
      <c r="K385" s="15" t="n">
        <f aca="false">J385*(1+IF(K$3&lt;=$O$2,$D385,$D385-($D385-$I$373)*MIN(K$3-$O$2,$Q$2)/$Q$2))</f>
        <v>4968.15949435112</v>
      </c>
      <c r="L385" s="15" t="n">
        <f aca="false">K385*(1+IF(L$3&lt;=$O$2,$D385,$D385-($D385-$I$373)*MIN(L$3-$O$2,$Q$2)/$Q$2))</f>
        <v>4962.76205482546</v>
      </c>
      <c r="M385" s="15" t="n">
        <f aca="false">L385*(1+IF(M$3&lt;=$O$2,$D385,$D385-($D385-$I$373)*MIN(M$3-$O$2,$Q$2)/$Q$2))</f>
        <v>5030.28935004443</v>
      </c>
      <c r="N385" s="15" t="n">
        <f aca="false">M385*(1+IF(N$3&lt;=$O$2,$D385,$D385-($D385-$I$373)*MIN(N$3-$O$2,$Q$2)/$Q$2))</f>
        <v>5172.64653865069</v>
      </c>
      <c r="O385" s="15" t="n">
        <f aca="false">SUMPRODUCT(E385:N385,1/(1+$F$373)^$E$3:$N$3)*$E$2</f>
        <v>11653.6241732679</v>
      </c>
      <c r="P385" s="15" t="n">
        <f aca="false">N385*$E$2*(1+$I$373)/($F$373-$I$373)/(1+$F$373)^$N$3</f>
        <v>14694.232663205</v>
      </c>
      <c r="Q385" s="15" t="n">
        <f aca="false">O385+P385</f>
        <v>26347.8568364729</v>
      </c>
      <c r="R385" s="15" t="n">
        <f aca="false">Q385-$G$2+$I$2</f>
        <v>19002.6568364729</v>
      </c>
      <c r="S385" s="42" t="n">
        <f aca="false">R385/$K$2</f>
        <v>80.98298246952</v>
      </c>
      <c r="T385" s="43" t="n">
        <f aca="false">S385-$M$2</f>
        <v>-0.0312941126236126</v>
      </c>
    </row>
    <row r="386" customFormat="false" ht="15" hidden="false" customHeight="false" outlineLevel="0" collapsed="false">
      <c r="A386" s="5" t="n">
        <v>12</v>
      </c>
      <c r="B386" s="25" t="n">
        <f aca="false">IF(T385&gt;0,B385,D385)</f>
        <v>-0.045166015625</v>
      </c>
      <c r="C386" s="25" t="n">
        <f aca="false">IF(T385&gt;0,D385,C385)</f>
        <v>-0.04443359375</v>
      </c>
      <c r="D386" s="41" t="n">
        <f aca="false">(B386+C386)/2</f>
        <v>-0.0447998046875</v>
      </c>
      <c r="E386" s="15" t="n">
        <f aca="false">$C$2*(1+IF(E$3&lt;=$O$2,$D386,$D386-($D386-$I$373)*MIN(E$3-$O$2,$Q$2)/$Q$2))</f>
        <v>6266.11328125</v>
      </c>
      <c r="F386" s="15" t="n">
        <f aca="false">E386*(1+IF(F$3&lt;=$O$2,$D386,$D386-($D386-$I$373)*MIN(F$3-$O$2,$Q$2)/$Q$2))</f>
        <v>5985.39263010025</v>
      </c>
      <c r="G386" s="15" t="n">
        <f aca="false">F386*(1+IF(G$3&lt;=$O$2,$D386,$D386-($D386-$I$373)*MIN(G$3-$O$2,$Q$2)/$Q$2))</f>
        <v>5717.24820929376</v>
      </c>
      <c r="H386" s="15" t="n">
        <f aca="false">G386*(1+IF(H$3&lt;=$O$2,$D386,$D386-($D386-$I$373)*MIN(H$3-$O$2,$Q$2)/$Q$2))</f>
        <v>5461.11660616744</v>
      </c>
      <c r="I386" s="15" t="n">
        <f aca="false">H386*(1+IF(I$3&lt;=$O$2,$D386,$D386-($D386-$I$373)*MIN(I$3-$O$2,$Q$2)/$Q$2))</f>
        <v>5216.45964883547</v>
      </c>
      <c r="J386" s="15" t="n">
        <f aca="false">I386*(1+IF(J$3&lt;=$O$2,$D386,$D386-($D386-$I$373)*MIN(J$3-$O$2,$Q$2)/$Q$2))</f>
        <v>5059.02771170544</v>
      </c>
      <c r="K386" s="15" t="n">
        <f aca="false">J386*(1+IF(K$3&lt;=$O$2,$D386,$D386-($D386-$I$373)*MIN(K$3-$O$2,$Q$2)/$Q$2))</f>
        <v>4980.30983336611</v>
      </c>
      <c r="L386" s="15" t="n">
        <f aca="false">K386*(1+IF(L$3&lt;=$O$2,$D386,$D386-($D386-$I$373)*MIN(L$3-$O$2,$Q$2)/$Q$2))</f>
        <v>4975.62873120946</v>
      </c>
      <c r="M386" s="15" t="n">
        <f aca="false">L386*(1+IF(M$3&lt;=$O$2,$D386,$D386-($D386-$I$373)*MIN(M$3-$O$2,$Q$2)/$Q$2))</f>
        <v>5043.6955266129</v>
      </c>
      <c r="N386" s="15" t="n">
        <f aca="false">M386*(1+IF(N$3&lt;=$O$2,$D386,$D386-($D386-$I$373)*MIN(N$3-$O$2,$Q$2)/$Q$2))</f>
        <v>5186.43211001604</v>
      </c>
      <c r="O386" s="15" t="n">
        <f aca="false">SUMPRODUCT(E386:N386,1/(1+$F$373)^$E$3:$N$3)*$E$2</f>
        <v>11672.1865224389</v>
      </c>
      <c r="P386" s="15" t="n">
        <f aca="false">N386*$E$2*(1+$I$373)/($F$373-$I$373)/(1+$F$373)^$N$3</f>
        <v>14733.3941236922</v>
      </c>
      <c r="Q386" s="15" t="n">
        <f aca="false">O386+P386</f>
        <v>26405.5806461311</v>
      </c>
      <c r="R386" s="15" t="n">
        <f aca="false">Q386-$G$2+$I$2</f>
        <v>19060.3806461311</v>
      </c>
      <c r="S386" s="42" t="n">
        <f aca="false">R386/$K$2</f>
        <v>81.2289820845135</v>
      </c>
      <c r="T386" s="43" t="n">
        <f aca="false">S386-$M$2</f>
        <v>0.214705502369824</v>
      </c>
    </row>
    <row r="387" customFormat="false" ht="15" hidden="false" customHeight="false" outlineLevel="0" collapsed="false">
      <c r="A387" s="5" t="n">
        <v>13</v>
      </c>
      <c r="B387" s="25" t="n">
        <f aca="false">IF(T386&gt;0,B386,D386)</f>
        <v>-0.045166015625</v>
      </c>
      <c r="C387" s="25" t="n">
        <f aca="false">IF(T386&gt;0,D386,C386)</f>
        <v>-0.0447998046875</v>
      </c>
      <c r="D387" s="41" t="n">
        <f aca="false">(B387+C387)/2</f>
        <v>-0.04498291015625</v>
      </c>
      <c r="E387" s="15" t="n">
        <f aca="false">$C$2*(1+IF(E$3&lt;=$O$2,$D387,$D387-($D387-$I$373)*MIN(E$3-$O$2,$Q$2)/$Q$2))</f>
        <v>6264.912109375</v>
      </c>
      <c r="F387" s="15" t="n">
        <f aca="false">E387*(1+IF(F$3&lt;=$O$2,$D387,$D387-($D387-$I$373)*MIN(F$3-$O$2,$Q$2)/$Q$2))</f>
        <v>5983.09813082218</v>
      </c>
      <c r="G387" s="15" t="n">
        <f aca="false">F387*(1+IF(G$3&lt;=$O$2,$D387,$D387-($D387-$I$373)*MIN(G$3-$O$2,$Q$2)/$Q$2))</f>
        <v>5713.96096514738</v>
      </c>
      <c r="H387" s="15" t="n">
        <f aca="false">G387*(1+IF(H$3&lt;=$O$2,$D387,$D387-($D387-$I$373)*MIN(H$3-$O$2,$Q$2)/$Q$2))</f>
        <v>5456.93037241584</v>
      </c>
      <c r="I387" s="15" t="n">
        <f aca="false">H387*(1+IF(I$3&lt;=$O$2,$D387,$D387-($D387-$I$373)*MIN(I$3-$O$2,$Q$2)/$Q$2))</f>
        <v>5211.46176374454</v>
      </c>
      <c r="J387" s="15" t="n">
        <f aca="false">I387*(1+IF(J$3&lt;=$O$2,$D387,$D387-($D387-$I$373)*MIN(J$3-$O$2,$Q$2)/$Q$2))</f>
        <v>5053.41726428633</v>
      </c>
      <c r="K387" s="15" t="n">
        <f aca="false">J387*(1+IF(K$3&lt;=$O$2,$D387,$D387-($D387-$I$373)*MIN(K$3-$O$2,$Q$2)/$Q$2))</f>
        <v>4974.23149884919</v>
      </c>
      <c r="L387" s="15" t="n">
        <f aca="false">K387*(1+IF(L$3&lt;=$O$2,$D387,$D387-($D387-$I$373)*MIN(L$3-$O$2,$Q$2)/$Q$2))</f>
        <v>4969.19178625601</v>
      </c>
      <c r="M387" s="15" t="n">
        <f aca="false">L387*(1+IF(M$3&lt;=$O$2,$D387,$D387-($D387-$I$373)*MIN(M$3-$O$2,$Q$2)/$Q$2))</f>
        <v>5036.98854676278</v>
      </c>
      <c r="N387" s="15" t="n">
        <f aca="false">M387*(1+IF(N$3&lt;=$O$2,$D387,$D387-($D387-$I$373)*MIN(N$3-$O$2,$Q$2)/$Q$2))</f>
        <v>5179.53532263616</v>
      </c>
      <c r="O387" s="15" t="n">
        <f aca="false">SUMPRODUCT(E387:N387,1/(1+$F$373)^$E$3:$N$3)*$E$2</f>
        <v>11662.9015134711</v>
      </c>
      <c r="P387" s="15" t="n">
        <f aca="false">N387*$E$2*(1+$I$373)/($F$373-$I$373)/(1+$F$373)^$N$3</f>
        <v>14713.8020255987</v>
      </c>
      <c r="Q387" s="15" t="n">
        <f aca="false">O387+P387</f>
        <v>26376.7035390698</v>
      </c>
      <c r="R387" s="15" t="n">
        <f aca="false">Q387-$G$2+$I$2</f>
        <v>19031.5035390698</v>
      </c>
      <c r="S387" s="42" t="n">
        <f aca="false">R387/$K$2</f>
        <v>81.1059174901759</v>
      </c>
      <c r="T387" s="43" t="n">
        <f aca="false">S387-$M$2</f>
        <v>0.0916409080323177</v>
      </c>
    </row>
    <row r="388" customFormat="false" ht="15" hidden="false" customHeight="false" outlineLevel="0" collapsed="false">
      <c r="A388" s="5" t="n">
        <v>14</v>
      </c>
      <c r="B388" s="25" t="n">
        <f aca="false">IF(T387&gt;0,B387,D387)</f>
        <v>-0.045166015625</v>
      </c>
      <c r="C388" s="25" t="n">
        <f aca="false">IF(T387&gt;0,D387,C387)</f>
        <v>-0.04498291015625</v>
      </c>
      <c r="D388" s="41" t="n">
        <f aca="false">(B388+C388)/2</f>
        <v>-0.045074462890625</v>
      </c>
      <c r="E388" s="15" t="n">
        <f aca="false">$C$2*(1+IF(E$3&lt;=$O$2,$D388,$D388-($D388-$I$373)*MIN(E$3-$O$2,$Q$2)/$Q$2))</f>
        <v>6264.3115234375</v>
      </c>
      <c r="F388" s="15" t="n">
        <f aca="false">E388*(1+IF(F$3&lt;=$O$2,$D388,$D388-($D388-$I$373)*MIN(F$3-$O$2,$Q$2)/$Q$2))</f>
        <v>5981.951046139</v>
      </c>
      <c r="G388" s="15" t="n">
        <f aca="false">F388*(1+IF(G$3&lt;=$O$2,$D388,$D388-($D388-$I$373)*MIN(G$3-$O$2,$Q$2)/$Q$2))</f>
        <v>5712.31781569627</v>
      </c>
      <c r="H388" s="15" t="n">
        <f aca="false">G388*(1+IF(H$3&lt;=$O$2,$D388,$D388-($D388-$I$373)*MIN(H$3-$O$2,$Q$2)/$Q$2))</f>
        <v>5454.83815829322</v>
      </c>
      <c r="I388" s="15" t="n">
        <f aca="false">H388*(1+IF(I$3&lt;=$O$2,$D388,$D388-($D388-$I$373)*MIN(I$3-$O$2,$Q$2)/$Q$2))</f>
        <v>5208.96425815286</v>
      </c>
      <c r="J388" s="15" t="n">
        <f aca="false">I388*(1+IF(J$3&lt;=$O$2,$D388,$D388-($D388-$I$373)*MIN(J$3-$O$2,$Q$2)/$Q$2))</f>
        <v>5050.61398293185</v>
      </c>
      <c r="K388" s="15" t="n">
        <f aca="false">J388*(1+IF(K$3&lt;=$O$2,$D388,$D388-($D388-$I$373)*MIN(K$3-$O$2,$Q$2)/$Q$2))</f>
        <v>4971.19470568952</v>
      </c>
      <c r="L388" s="15" t="n">
        <f aca="false">K388*(1+IF(L$3&lt;=$O$2,$D388,$D388-($D388-$I$373)*MIN(L$3-$O$2,$Q$2)/$Q$2))</f>
        <v>4965.97601927865</v>
      </c>
      <c r="M388" s="15" t="n">
        <f aca="false">L388*(1+IF(M$3&lt;=$O$2,$D388,$D388-($D388-$I$373)*MIN(M$3-$O$2,$Q$2)/$Q$2))</f>
        <v>5033.63797599578</v>
      </c>
      <c r="N388" s="15" t="n">
        <f aca="false">M388*(1+IF(N$3&lt;=$O$2,$D388,$D388-($D388-$I$373)*MIN(N$3-$O$2,$Q$2)/$Q$2))</f>
        <v>5176.08993071646</v>
      </c>
      <c r="O388" s="15" t="n">
        <f aca="false">SUMPRODUCT(E388:N388,1/(1+$F$373)^$E$3:$N$3)*$E$2</f>
        <v>11658.2618851543</v>
      </c>
      <c r="P388" s="15" t="n">
        <f aca="false">N388*$E$2*(1+$I$373)/($F$373-$I$373)/(1+$F$373)^$N$3</f>
        <v>14704.0145038522</v>
      </c>
      <c r="Q388" s="15" t="n">
        <f aca="false">O388+P388</f>
        <v>26362.2763890065</v>
      </c>
      <c r="R388" s="15" t="n">
        <f aca="false">Q388-$G$2+$I$2</f>
        <v>19017.0763890065</v>
      </c>
      <c r="S388" s="42" t="n">
        <f aca="false">R388/$K$2</f>
        <v>81.0444337907798</v>
      </c>
      <c r="T388" s="43" t="n">
        <f aca="false">S388-$M$2</f>
        <v>0.0301572086361546</v>
      </c>
    </row>
    <row r="389" customFormat="false" ht="15" hidden="false" customHeight="false" outlineLevel="0" collapsed="false">
      <c r="A389" s="5" t="n">
        <v>15</v>
      </c>
      <c r="B389" s="25" t="n">
        <f aca="false">IF(T388&gt;0,B388,D388)</f>
        <v>-0.045166015625</v>
      </c>
      <c r="C389" s="25" t="n">
        <f aca="false">IF(T388&gt;0,D388,C388)</f>
        <v>-0.045074462890625</v>
      </c>
      <c r="D389" s="41" t="n">
        <f aca="false">(B389+C389)/2</f>
        <v>-0.0451202392578125</v>
      </c>
      <c r="E389" s="15" t="n">
        <f aca="false">$C$2*(1+IF(E$3&lt;=$O$2,$D389,$D389-($D389-$I$373)*MIN(E$3-$O$2,$Q$2)/$Q$2))</f>
        <v>6264.01123046875</v>
      </c>
      <c r="F389" s="15" t="n">
        <f aca="false">E389*(1+IF(F$3&lt;=$O$2,$D389,$D389-($D389-$I$373)*MIN(F$3-$O$2,$Q$2)/$Q$2))</f>
        <v>5981.37754503638</v>
      </c>
      <c r="G389" s="15" t="n">
        <f aca="false">F389*(1+IF(G$3&lt;=$O$2,$D389,$D389-($D389-$I$373)*MIN(G$3-$O$2,$Q$2)/$Q$2))</f>
        <v>5711.49635911303</v>
      </c>
      <c r="H389" s="15" t="n">
        <f aca="false">G389*(1+IF(H$3&lt;=$O$2,$D389,$D389-($D389-$I$373)*MIN(H$3-$O$2,$Q$2)/$Q$2))</f>
        <v>5453.79227686972</v>
      </c>
      <c r="I389" s="15" t="n">
        <f aca="false">H389*(1+IF(I$3&lt;=$O$2,$D389,$D389-($D389-$I$373)*MIN(I$3-$O$2,$Q$2)/$Q$2))</f>
        <v>5207.71586447495</v>
      </c>
      <c r="J389" s="15" t="n">
        <f aca="false">I389*(1+IF(J$3&lt;=$O$2,$D389,$D389-($D389-$I$373)*MIN(J$3-$O$2,$Q$2)/$Q$2))</f>
        <v>5049.21282763443</v>
      </c>
      <c r="K389" s="15" t="n">
        <f aca="false">J389*(1+IF(K$3&lt;=$O$2,$D389,$D389-($D389-$I$373)*MIN(K$3-$O$2,$Q$2)/$Q$2))</f>
        <v>4969.67690233536</v>
      </c>
      <c r="L389" s="15" t="n">
        <f aca="false">K389*(1+IF(L$3&lt;=$O$2,$D389,$D389-($D389-$I$373)*MIN(L$3-$O$2,$Q$2)/$Q$2))</f>
        <v>4964.36881179006</v>
      </c>
      <c r="M389" s="15" t="n">
        <f aca="false">L389*(1+IF(M$3&lt;=$O$2,$D389,$D389-($D389-$I$373)*MIN(M$3-$O$2,$Q$2)/$Q$2))</f>
        <v>5031.96341997859</v>
      </c>
      <c r="N389" s="15" t="n">
        <f aca="false">M389*(1+IF(N$3&lt;=$O$2,$D389,$D389-($D389-$I$373)*MIN(N$3-$O$2,$Q$2)/$Q$2))</f>
        <v>5174.36798476398</v>
      </c>
      <c r="O389" s="15" t="n">
        <f aca="false">SUMPRODUCT(E389:N389,1/(1+$F$373)^$E$3:$N$3)*$E$2</f>
        <v>11655.9427897048</v>
      </c>
      <c r="P389" s="15" t="n">
        <f aca="false">N389*$E$2*(1+$I$373)/($F$373-$I$373)/(1+$F$373)^$N$3</f>
        <v>14699.1228735677</v>
      </c>
      <c r="Q389" s="15" t="n">
        <f aca="false">O389+P389</f>
        <v>26355.0656632725</v>
      </c>
      <c r="R389" s="15" t="n">
        <f aca="false">Q389-$G$2+$I$2</f>
        <v>19009.8656632725</v>
      </c>
      <c r="S389" s="42" t="n">
        <f aca="false">R389/$K$2</f>
        <v>81.0137040838378</v>
      </c>
      <c r="T389" s="43" t="n">
        <f aca="false">S389-$M$2</f>
        <v>-0.000572498305842828</v>
      </c>
    </row>
    <row r="390" customFormat="false" ht="15" hidden="false" customHeight="false" outlineLevel="0" collapsed="false">
      <c r="A390" s="5" t="n">
        <v>16</v>
      </c>
      <c r="B390" s="25" t="n">
        <f aca="false">IF(T389&gt;0,B389,D389)</f>
        <v>-0.0451202392578125</v>
      </c>
      <c r="C390" s="25" t="n">
        <f aca="false">IF(T389&gt;0,D389,C389)</f>
        <v>-0.045074462890625</v>
      </c>
      <c r="D390" s="41" t="n">
        <f aca="false">(B390+C390)/2</f>
        <v>-0.0450973510742188</v>
      </c>
      <c r="E390" s="15" t="n">
        <f aca="false">$C$2*(1+IF(E$3&lt;=$O$2,$D390,$D390-($D390-$I$373)*MIN(E$3-$O$2,$Q$2)/$Q$2))</f>
        <v>6264.16137695313</v>
      </c>
      <c r="F390" s="15" t="n">
        <f aca="false">E390*(1+IF(F$3&lt;=$O$2,$D390,$D390-($D390-$I$373)*MIN(F$3-$O$2,$Q$2)/$Q$2))</f>
        <v>5981.66429215111</v>
      </c>
      <c r="G390" s="15" t="n">
        <f aca="false">F390*(1+IF(G$3&lt;=$O$2,$D390,$D390-($D390-$I$373)*MIN(G$3-$O$2,$Q$2)/$Q$2))</f>
        <v>5711.90707755985</v>
      </c>
      <c r="H390" s="15" t="n">
        <f aca="false">G390*(1+IF(H$3&lt;=$O$2,$D390,$D390-($D390-$I$373)*MIN(H$3-$O$2,$Q$2)/$Q$2))</f>
        <v>5454.31519877982</v>
      </c>
      <c r="I390" s="15" t="n">
        <f aca="false">H390*(1+IF(I$3&lt;=$O$2,$D390,$D390-($D390-$I$373)*MIN(I$3-$O$2,$Q$2)/$Q$2))</f>
        <v>5208.340031391</v>
      </c>
      <c r="J390" s="15" t="n">
        <f aca="false">I390*(1+IF(J$3&lt;=$O$2,$D390,$D390-($D390-$I$373)*MIN(J$3-$O$2,$Q$2)/$Q$2))</f>
        <v>5049.91336484104</v>
      </c>
      <c r="K390" s="15" t="n">
        <f aca="false">J390*(1+IF(K$3&lt;=$O$2,$D390,$D390-($D390-$I$373)*MIN(K$3-$O$2,$Q$2)/$Q$2))</f>
        <v>4970.43575458586</v>
      </c>
      <c r="L390" s="15" t="n">
        <f aca="false">K390*(1+IF(L$3&lt;=$O$2,$D390,$D390-($D390-$I$373)*MIN(L$3-$O$2,$Q$2)/$Q$2))</f>
        <v>4965.17235921217</v>
      </c>
      <c r="M390" s="15" t="n">
        <f aca="false">L390*(1+IF(M$3&lt;=$O$2,$D390,$D390-($D390-$I$373)*MIN(M$3-$O$2,$Q$2)/$Q$2))</f>
        <v>5032.80063721925</v>
      </c>
      <c r="N390" s="15" t="n">
        <f aca="false">M390*(1+IF(N$3&lt;=$O$2,$D390,$D390-($D390-$I$373)*MIN(N$3-$O$2,$Q$2)/$Q$2))</f>
        <v>5175.22889525255</v>
      </c>
      <c r="O390" s="15" t="n">
        <f aca="false">SUMPRODUCT(E390:N390,1/(1+$F$373)^$E$3:$N$3)*$E$2</f>
        <v>11657.1022775471</v>
      </c>
      <c r="P390" s="15" t="n">
        <f aca="false">N390*$E$2*(1+$I$373)/($F$373-$I$373)/(1+$F$373)^$N$3</f>
        <v>14701.5685111976</v>
      </c>
      <c r="Q390" s="15" t="n">
        <f aca="false">O390+P390</f>
        <v>26358.6707887447</v>
      </c>
      <c r="R390" s="15" t="n">
        <f aca="false">Q390-$G$2+$I$2</f>
        <v>19013.4707887447</v>
      </c>
      <c r="S390" s="42" t="n">
        <f aca="false">R390/$K$2</f>
        <v>81.0290679256114</v>
      </c>
      <c r="T390" s="43" t="n">
        <f aca="false">S390-$M$2</f>
        <v>0.0147913434677633</v>
      </c>
    </row>
    <row r="391" customFormat="false" ht="15" hidden="false" customHeight="false" outlineLevel="0" collapsed="false">
      <c r="A391" s="5" t="n">
        <v>17</v>
      </c>
      <c r="B391" s="25" t="n">
        <f aca="false">IF(T390&gt;0,B390,D390)</f>
        <v>-0.0451202392578125</v>
      </c>
      <c r="C391" s="25" t="n">
        <f aca="false">IF(T390&gt;0,D390,C390)</f>
        <v>-0.0450973510742188</v>
      </c>
      <c r="D391" s="41" t="n">
        <f aca="false">(B391+C391)/2</f>
        <v>-0.0451087951660156</v>
      </c>
      <c r="E391" s="15" t="n">
        <f aca="false">$C$2*(1+IF(E$3&lt;=$O$2,$D391,$D391-($D391-$I$373)*MIN(E$3-$O$2,$Q$2)/$Q$2))</f>
        <v>6264.08630371094</v>
      </c>
      <c r="F391" s="15" t="n">
        <f aca="false">E391*(1+IF(F$3&lt;=$O$2,$D391,$D391-($D391-$I$373)*MIN(F$3-$O$2,$Q$2)/$Q$2))</f>
        <v>5981.5209177346</v>
      </c>
      <c r="G391" s="15" t="n">
        <f aca="false">F391*(1+IF(G$3&lt;=$O$2,$D391,$D391-($D391-$I$373)*MIN(G$3-$O$2,$Q$2)/$Q$2))</f>
        <v>5711.70171587527</v>
      </c>
      <c r="H391" s="15" t="n">
        <f aca="false">G391*(1+IF(H$3&lt;=$O$2,$D391,$D391-($D391-$I$373)*MIN(H$3-$O$2,$Q$2)/$Q$2))</f>
        <v>5454.05373312447</v>
      </c>
      <c r="I391" s="15" t="n">
        <f aca="false">H391*(1+IF(I$3&lt;=$O$2,$D391,$D391-($D391-$I$373)*MIN(I$3-$O$2,$Q$2)/$Q$2))</f>
        <v>5208.02794045252</v>
      </c>
      <c r="J391" s="15" t="n">
        <f aca="false">I391*(1+IF(J$3&lt;=$O$2,$D391,$D391-($D391-$I$373)*MIN(J$3-$O$2,$Q$2)/$Q$2))</f>
        <v>5049.56308612767</v>
      </c>
      <c r="K391" s="15" t="n">
        <f aca="false">J391*(1+IF(K$3&lt;=$O$2,$D391,$D391-($D391-$I$373)*MIN(K$3-$O$2,$Q$2)/$Q$2))</f>
        <v>4970.05631610463</v>
      </c>
      <c r="L391" s="15" t="n">
        <f aca="false">K391*(1+IF(L$3&lt;=$O$2,$D391,$D391-($D391-$I$373)*MIN(L$3-$O$2,$Q$2)/$Q$2))</f>
        <v>4964.7705714214</v>
      </c>
      <c r="M391" s="15" t="n">
        <f aca="false">L391*(1+IF(M$3&lt;=$O$2,$D391,$D391-($D391-$I$373)*MIN(M$3-$O$2,$Q$2)/$Q$2))</f>
        <v>5032.38201340788</v>
      </c>
      <c r="N391" s="15" t="n">
        <f aca="false">M391*(1+IF(N$3&lt;=$O$2,$D391,$D391-($D391-$I$373)*MIN(N$3-$O$2,$Q$2)/$Q$2))</f>
        <v>5174.79842438732</v>
      </c>
      <c r="O391" s="15" t="n">
        <f aca="false">SUMPRODUCT(E391:N391,1/(1+$F$373)^$E$3:$N$3)*$E$2</f>
        <v>11656.5225186561</v>
      </c>
      <c r="P391" s="15" t="n">
        <f aca="false">N391*$E$2*(1+$I$373)/($F$373-$I$373)/(1+$F$373)^$N$3</f>
        <v>14700.3456480074</v>
      </c>
      <c r="Q391" s="15" t="n">
        <f aca="false">O391+P391</f>
        <v>26356.8681666634</v>
      </c>
      <c r="R391" s="15" t="n">
        <f aca="false">Q391-$G$2+$I$2</f>
        <v>19011.6681666634</v>
      </c>
      <c r="S391" s="42" t="n">
        <f aca="false">R391/$K$2</f>
        <v>81.0213857518151</v>
      </c>
      <c r="T391" s="43" t="n">
        <f aca="false">S391-$M$2</f>
        <v>0.00710916967150865</v>
      </c>
    </row>
    <row r="392" customFormat="false" ht="15" hidden="false" customHeight="false" outlineLevel="0" collapsed="false">
      <c r="A392" s="5" t="n">
        <v>18</v>
      </c>
      <c r="B392" s="25" t="n">
        <f aca="false">IF(T391&gt;0,B391,D391)</f>
        <v>-0.0451202392578125</v>
      </c>
      <c r="C392" s="25" t="n">
        <f aca="false">IF(T391&gt;0,D391,C391)</f>
        <v>-0.0451087951660156</v>
      </c>
      <c r="D392" s="41" t="n">
        <f aca="false">(B392+C392)/2</f>
        <v>-0.0451145172119141</v>
      </c>
      <c r="E392" s="15" t="n">
        <f aca="false">$C$2*(1+IF(E$3&lt;=$O$2,$D392,$D392-($D392-$I$373)*MIN(E$3-$O$2,$Q$2)/$Q$2))</f>
        <v>6264.04876708984</v>
      </c>
      <c r="F392" s="15" t="n">
        <f aca="false">E392*(1+IF(F$3&lt;=$O$2,$D392,$D392-($D392-$I$373)*MIN(F$3-$O$2,$Q$2)/$Q$2))</f>
        <v>5981.4492311707</v>
      </c>
      <c r="G392" s="15" t="n">
        <f aca="false">F392*(1+IF(G$3&lt;=$O$2,$D392,$D392-($D392-$I$373)*MIN(G$3-$O$2,$Q$2)/$Q$2))</f>
        <v>5711.59903687886</v>
      </c>
      <c r="H392" s="15" t="n">
        <f aca="false">G392*(1+IF(H$3&lt;=$O$2,$D392,$D392-($D392-$I$373)*MIN(H$3-$O$2,$Q$2)/$Q$2))</f>
        <v>5453.92300382204</v>
      </c>
      <c r="I392" s="15" t="n">
        <f aca="false">H392*(1+IF(I$3&lt;=$O$2,$D392,$D392-($D392-$I$373)*MIN(I$3-$O$2,$Q$2)/$Q$2))</f>
        <v>5207.87190059365</v>
      </c>
      <c r="J392" s="15" t="n">
        <f aca="false">I392*(1+IF(J$3&lt;=$O$2,$D392,$D392-($D392-$I$373)*MIN(J$3-$O$2,$Q$2)/$Q$2))</f>
        <v>5049.38795435359</v>
      </c>
      <c r="K392" s="15" t="n">
        <f aca="false">J392*(1+IF(K$3&lt;=$O$2,$D392,$D392-($D392-$I$373)*MIN(K$3-$O$2,$Q$2)/$Q$2))</f>
        <v>4969.86660613109</v>
      </c>
      <c r="L392" s="15" t="n">
        <f aca="false">K392*(1+IF(L$3&lt;=$O$2,$D392,$D392-($D392-$I$373)*MIN(L$3-$O$2,$Q$2)/$Q$2))</f>
        <v>4964.5696880859</v>
      </c>
      <c r="M392" s="15" t="n">
        <f aca="false">L392*(1+IF(M$3&lt;=$O$2,$D392,$D392-($D392-$I$373)*MIN(M$3-$O$2,$Q$2)/$Q$2))</f>
        <v>5032.17271289559</v>
      </c>
      <c r="N392" s="15" t="n">
        <f aca="false">M392*(1+IF(N$3&lt;=$O$2,$D392,$D392-($D392-$I$373)*MIN(N$3-$O$2,$Q$2)/$Q$2))</f>
        <v>5174.58320067053</v>
      </c>
      <c r="O392" s="15" t="n">
        <f aca="false">SUMPRODUCT(E392:N392,1/(1+$F$373)^$E$3:$N$3)*$E$2</f>
        <v>11656.2326504381</v>
      </c>
      <c r="P392" s="15" t="n">
        <f aca="false">N392*$E$2*(1+$I$373)/($F$373-$I$373)/(1+$F$373)^$N$3</f>
        <v>14699.734249694</v>
      </c>
      <c r="Q392" s="15" t="n">
        <f aca="false">O392+P392</f>
        <v>26355.9669001321</v>
      </c>
      <c r="R392" s="15" t="n">
        <f aca="false">Q392-$G$2+$I$2</f>
        <v>19010.7669001321</v>
      </c>
      <c r="S392" s="42" t="n">
        <f aca="false">R392/$K$2</f>
        <v>81.017544854601</v>
      </c>
      <c r="T392" s="43" t="n">
        <f aca="false">S392-$M$2</f>
        <v>0.00326827245733341</v>
      </c>
    </row>
    <row r="393" customFormat="false" ht="15" hidden="false" customHeight="false" outlineLevel="0" collapsed="false">
      <c r="A393" s="5" t="n">
        <v>19</v>
      </c>
      <c r="B393" s="25" t="n">
        <f aca="false">IF(T392&gt;0,B392,D392)</f>
        <v>-0.0451202392578125</v>
      </c>
      <c r="C393" s="25" t="n">
        <f aca="false">IF(T392&gt;0,D392,C392)</f>
        <v>-0.0451145172119141</v>
      </c>
      <c r="D393" s="41" t="n">
        <f aca="false">(B393+C393)/2</f>
        <v>-0.0451173782348633</v>
      </c>
      <c r="E393" s="15" t="n">
        <f aca="false">$C$2*(1+IF(E$3&lt;=$O$2,$D393,$D393-($D393-$I$373)*MIN(E$3-$O$2,$Q$2)/$Q$2))</f>
        <v>6264.0299987793</v>
      </c>
      <c r="F393" s="15" t="n">
        <f aca="false">E393*(1+IF(F$3&lt;=$O$2,$D393,$D393-($D393-$I$373)*MIN(F$3-$O$2,$Q$2)/$Q$2))</f>
        <v>5981.41338804984</v>
      </c>
      <c r="G393" s="15" t="n">
        <f aca="false">F393*(1+IF(G$3&lt;=$O$2,$D393,$D393-($D393-$I$373)*MIN(G$3-$O$2,$Q$2)/$Q$2))</f>
        <v>5711.54769784212</v>
      </c>
      <c r="H393" s="15" t="n">
        <f aca="false">G393*(1+IF(H$3&lt;=$O$2,$D393,$D393-($D393-$I$373)*MIN(H$3-$O$2,$Q$2)/$Q$2))</f>
        <v>5453.85764005212</v>
      </c>
      <c r="I393" s="15" t="n">
        <f aca="false">H393*(1+IF(I$3&lt;=$O$2,$D393,$D393-($D393-$I$373)*MIN(I$3-$O$2,$Q$2)/$Q$2))</f>
        <v>5207.79388206679</v>
      </c>
      <c r="J393" s="15" t="n">
        <f aca="false">I393*(1+IF(J$3&lt;=$O$2,$D393,$D393-($D393-$I$373)*MIN(J$3-$O$2,$Q$2)/$Q$2))</f>
        <v>5049.30039036215</v>
      </c>
      <c r="K393" s="15" t="n">
        <f aca="false">J393*(1+IF(K$3&lt;=$O$2,$D393,$D393-($D393-$I$373)*MIN(K$3-$O$2,$Q$2)/$Q$2))</f>
        <v>4969.77175346101</v>
      </c>
      <c r="L393" s="15" t="n">
        <f aca="false">K393*(1+IF(L$3&lt;=$O$2,$D393,$D393-($D393-$I$373)*MIN(L$3-$O$2,$Q$2)/$Q$2))</f>
        <v>4964.46924905804</v>
      </c>
      <c r="M393" s="15" t="n">
        <f aca="false">L393*(1+IF(M$3&lt;=$O$2,$D393,$D393-($D393-$I$373)*MIN(M$3-$O$2,$Q$2)/$Q$2))</f>
        <v>5032.06806548769</v>
      </c>
      <c r="N393" s="15" t="n">
        <f aca="false">M393*(1+IF(N$3&lt;=$O$2,$D393,$D393-($D393-$I$373)*MIN(N$3-$O$2,$Q$2)/$Q$2))</f>
        <v>5174.47559174099</v>
      </c>
      <c r="O393" s="15" t="n">
        <f aca="false">SUMPRODUCT(E393:N393,1/(1+$F$373)^$E$3:$N$3)*$E$2</f>
        <v>11656.0877191359</v>
      </c>
      <c r="P393" s="15" t="n">
        <f aca="false">N393*$E$2*(1+$I$373)/($F$373-$I$373)/(1+$F$373)^$N$3</f>
        <v>14699.4285588575</v>
      </c>
      <c r="Q393" s="15" t="n">
        <f aca="false">O393+P393</f>
        <v>26355.5162779934</v>
      </c>
      <c r="R393" s="15" t="n">
        <f aca="false">Q393-$G$2+$I$2</f>
        <v>19010.3162779934</v>
      </c>
      <c r="S393" s="42" t="n">
        <f aca="false">R393/$K$2</f>
        <v>81.0156244534132</v>
      </c>
      <c r="T393" s="43" t="n">
        <f aca="false">S393-$M$2</f>
        <v>0.00134787126958713</v>
      </c>
    </row>
    <row r="394" customFormat="false" ht="15" hidden="false" customHeight="false" outlineLevel="0" collapsed="false">
      <c r="A394" s="5" t="n">
        <v>20</v>
      </c>
      <c r="B394" s="25" t="n">
        <f aca="false">IF(T393&gt;0,B393,D393)</f>
        <v>-0.0451202392578125</v>
      </c>
      <c r="C394" s="25" t="n">
        <f aca="false">IF(T393&gt;0,D393,C393)</f>
        <v>-0.0451173782348633</v>
      </c>
      <c r="D394" s="41" t="n">
        <f aca="false">(B394+C394)/2</f>
        <v>-0.0451188087463379</v>
      </c>
      <c r="E394" s="15" t="n">
        <f aca="false">$C$2*(1+IF(E$3&lt;=$O$2,$D394,$D394-($D394-$I$373)*MIN(E$3-$O$2,$Q$2)/$Q$2))</f>
        <v>6264.02061462402</v>
      </c>
      <c r="F394" s="15" t="n">
        <f aca="false">E394*(1+IF(F$3&lt;=$O$2,$D394,$D394-($D394-$I$373)*MIN(F$3-$O$2,$Q$2)/$Q$2))</f>
        <v>5981.39546652968</v>
      </c>
      <c r="G394" s="15" t="n">
        <f aca="false">F394*(1+IF(G$3&lt;=$O$2,$D394,$D394-($D394-$I$373)*MIN(G$3-$O$2,$Q$2)/$Q$2))</f>
        <v>5711.52202843912</v>
      </c>
      <c r="H394" s="15" t="n">
        <f aca="false">G394*(1+IF(H$3&lt;=$O$2,$D394,$D394-($D394-$I$373)*MIN(H$3-$O$2,$Q$2)/$Q$2))</f>
        <v>5453.82495838748</v>
      </c>
      <c r="I394" s="15" t="n">
        <f aca="false">H394*(1+IF(I$3&lt;=$O$2,$D394,$D394-($D394-$I$373)*MIN(I$3-$O$2,$Q$2)/$Q$2))</f>
        <v>5207.75487315399</v>
      </c>
      <c r="J394" s="15" t="n">
        <f aca="false">I394*(1+IF(J$3&lt;=$O$2,$D394,$D394-($D394-$I$373)*MIN(J$3-$O$2,$Q$2)/$Q$2))</f>
        <v>5049.25660884033</v>
      </c>
      <c r="K394" s="15" t="n">
        <f aca="false">J394*(1+IF(K$3&lt;=$O$2,$D394,$D394-($D394-$I$373)*MIN(K$3-$O$2,$Q$2)/$Q$2))</f>
        <v>4969.72432770513</v>
      </c>
      <c r="L394" s="15" t="n">
        <f aca="false">K394*(1+IF(L$3&lt;=$O$2,$D394,$D394-($D394-$I$373)*MIN(L$3-$O$2,$Q$2)/$Q$2))</f>
        <v>4964.41903020406</v>
      </c>
      <c r="M394" s="15" t="n">
        <f aca="false">L394*(1+IF(M$3&lt;=$O$2,$D394,$D394-($D394-$I$373)*MIN(M$3-$O$2,$Q$2)/$Q$2))</f>
        <v>5032.01574249579</v>
      </c>
      <c r="N394" s="15" t="n">
        <f aca="false">M394*(1+IF(N$3&lt;=$O$2,$D394,$D394-($D394-$I$373)*MIN(N$3-$O$2,$Q$2)/$Q$2))</f>
        <v>5174.42178800842</v>
      </c>
      <c r="O394" s="15" t="n">
        <f aca="false">SUMPRODUCT(E394:N394,1/(1+$F$373)^$E$3:$N$3)*$E$2</f>
        <v>11656.0152541865</v>
      </c>
      <c r="P394" s="15" t="n">
        <f aca="false">N394*$E$2*(1+$I$373)/($F$373-$I$373)/(1+$F$373)^$N$3</f>
        <v>14699.2757155193</v>
      </c>
      <c r="Q394" s="15" t="n">
        <f aca="false">O394+P394</f>
        <v>26355.2909697058</v>
      </c>
      <c r="R394" s="15" t="n">
        <f aca="false">Q394-$G$2+$I$2</f>
        <v>19010.0909697058</v>
      </c>
      <c r="S394" s="42" t="n">
        <f aca="false">R394/$K$2</f>
        <v>81.014664264674</v>
      </c>
      <c r="T394" s="43" t="n">
        <f aca="false">S394-$M$2</f>
        <v>0.000387682530373468</v>
      </c>
    </row>
    <row r="395" customFormat="false" ht="15" hidden="false" customHeight="false" outlineLevel="0" collapsed="false">
      <c r="A395" s="5" t="n">
        <v>21</v>
      </c>
      <c r="B395" s="25" t="n">
        <f aca="false">IF(T394&gt;0,B394,D394)</f>
        <v>-0.0451202392578125</v>
      </c>
      <c r="C395" s="25" t="n">
        <f aca="false">IF(T394&gt;0,D394,C394)</f>
        <v>-0.0451188087463379</v>
      </c>
      <c r="D395" s="41" t="n">
        <f aca="false">(B395+C395)/2</f>
        <v>-0.0451195240020752</v>
      </c>
      <c r="E395" s="15" t="n">
        <f aca="false">$C$2*(1+IF(E$3&lt;=$O$2,$D395,$D395-($D395-$I$373)*MIN(E$3-$O$2,$Q$2)/$Q$2))</f>
        <v>6264.01592254639</v>
      </c>
      <c r="F395" s="15" t="n">
        <f aca="false">E395*(1+IF(F$3&lt;=$O$2,$D395,$D395-($D395-$I$373)*MIN(F$3-$O$2,$Q$2)/$Q$2))</f>
        <v>5981.38650577967</v>
      </c>
      <c r="G395" s="15" t="n">
        <f aca="false">F395*(1+IF(G$3&lt;=$O$2,$D395,$D395-($D395-$I$373)*MIN(G$3-$O$2,$Q$2)/$Q$2))</f>
        <v>5711.50919376646</v>
      </c>
      <c r="H395" s="15" t="n">
        <f aca="false">G395*(1+IF(H$3&lt;=$O$2,$D395,$D395-($D395-$I$373)*MIN(H$3-$O$2,$Q$2)/$Q$2))</f>
        <v>5453.80861761024</v>
      </c>
      <c r="I395" s="15" t="n">
        <f aca="false">H395*(1+IF(I$3&lt;=$O$2,$D395,$D395-($D395-$I$373)*MIN(I$3-$O$2,$Q$2)/$Q$2))</f>
        <v>5207.73536878525</v>
      </c>
      <c r="J395" s="15" t="n">
        <f aca="false">I395*(1+IF(J$3&lt;=$O$2,$D395,$D395-($D395-$I$373)*MIN(J$3-$O$2,$Q$2)/$Q$2))</f>
        <v>5049.23471819789</v>
      </c>
      <c r="K395" s="15" t="n">
        <f aca="false">J395*(1+IF(K$3&lt;=$O$2,$D395,$D395-($D395-$I$373)*MIN(K$3-$O$2,$Q$2)/$Q$2))</f>
        <v>4969.70061497198</v>
      </c>
      <c r="L395" s="15" t="n">
        <f aca="false">K395*(1+IF(L$3&lt;=$O$2,$D395,$D395-($D395-$I$373)*MIN(L$3-$O$2,$Q$2)/$Q$2))</f>
        <v>4964.39392094206</v>
      </c>
      <c r="M395" s="15" t="n">
        <f aca="false">L395*(1+IF(M$3&lt;=$O$2,$D395,$D395-($D395-$I$373)*MIN(M$3-$O$2,$Q$2)/$Q$2))</f>
        <v>5031.98958117785</v>
      </c>
      <c r="N395" s="15" t="n">
        <f aca="false">M395*(1+IF(N$3&lt;=$O$2,$D395,$D395-($D395-$I$373)*MIN(N$3-$O$2,$Q$2)/$Q$2))</f>
        <v>5174.39488632518</v>
      </c>
      <c r="O395" s="15" t="n">
        <f aca="false">SUMPRODUCT(E395:N395,1/(1+$F$373)^$E$3:$N$3)*$E$2</f>
        <v>11655.9790218872</v>
      </c>
      <c r="P395" s="15" t="n">
        <f aca="false">N395*$E$2*(1+$I$373)/($F$373-$I$373)/(1+$F$373)^$N$3</f>
        <v>14699.1992943702</v>
      </c>
      <c r="Q395" s="15" t="n">
        <f aca="false">O395+P395</f>
        <v>26355.1783162573</v>
      </c>
      <c r="R395" s="15" t="n">
        <f aca="false">Q395-$G$2+$I$2</f>
        <v>19009.9783162573</v>
      </c>
      <c r="S395" s="42" t="n">
        <f aca="false">R395/$K$2</f>
        <v>81.014184173268</v>
      </c>
      <c r="T395" s="43" t="n">
        <f aca="false">S395-$M$2</f>
        <v>-9.24088756022456E-005</v>
      </c>
    </row>
    <row r="396" customFormat="false" ht="15" hidden="false" customHeight="false" outlineLevel="0" collapsed="false">
      <c r="A396" s="5" t="n">
        <v>22</v>
      </c>
      <c r="B396" s="25" t="n">
        <f aca="false">IF(T395&gt;0,B395,D395)</f>
        <v>-0.0451195240020752</v>
      </c>
      <c r="C396" s="25" t="n">
        <f aca="false">IF(T395&gt;0,D395,C395)</f>
        <v>-0.0451188087463379</v>
      </c>
      <c r="D396" s="41" t="n">
        <f aca="false">(B396+C396)/2</f>
        <v>-0.0451191663742065</v>
      </c>
      <c r="E396" s="15" t="n">
        <f aca="false">$C$2*(1+IF(E$3&lt;=$O$2,$D396,$D396-($D396-$I$373)*MIN(E$3-$O$2,$Q$2)/$Q$2))</f>
        <v>6264.01826858521</v>
      </c>
      <c r="F396" s="15" t="n">
        <f aca="false">E396*(1+IF(F$3&lt;=$O$2,$D396,$D396-($D396-$I$373)*MIN(F$3-$O$2,$Q$2)/$Q$2))</f>
        <v>5981.39098615384</v>
      </c>
      <c r="G396" s="15" t="n">
        <f aca="false">F396*(1+IF(G$3&lt;=$O$2,$D396,$D396-($D396-$I$373)*MIN(G$3-$O$2,$Q$2)/$Q$2))</f>
        <v>5711.51561110039</v>
      </c>
      <c r="H396" s="15" t="n">
        <f aca="false">G396*(1+IF(H$3&lt;=$O$2,$D396,$D396-($D396-$I$373)*MIN(H$3-$O$2,$Q$2)/$Q$2))</f>
        <v>5453.81678799427</v>
      </c>
      <c r="I396" s="15" t="n">
        <f aca="false">H396*(1+IF(I$3&lt;=$O$2,$D396,$D396-($D396-$I$373)*MIN(I$3-$O$2,$Q$2)/$Q$2))</f>
        <v>5207.74512096232</v>
      </c>
      <c r="J396" s="15" t="n">
        <f aca="false">I396*(1+IF(J$3&lt;=$O$2,$D396,$D396-($D396-$I$373)*MIN(J$3-$O$2,$Q$2)/$Q$2))</f>
        <v>5049.24566350923</v>
      </c>
      <c r="K396" s="15" t="n">
        <f aca="false">J396*(1+IF(K$3&lt;=$O$2,$D396,$D396-($D396-$I$373)*MIN(K$3-$O$2,$Q$2)/$Q$2))</f>
        <v>4969.71247132649</v>
      </c>
      <c r="L396" s="15" t="n">
        <f aca="false">K396*(1+IF(L$3&lt;=$O$2,$D396,$D396-($D396-$I$373)*MIN(L$3-$O$2,$Q$2)/$Q$2))</f>
        <v>4964.40647555931</v>
      </c>
      <c r="M396" s="15" t="n">
        <f aca="false">L396*(1+IF(M$3&lt;=$O$2,$D396,$D396-($D396-$I$373)*MIN(M$3-$O$2,$Q$2)/$Q$2))</f>
        <v>5032.00266182199</v>
      </c>
      <c r="N396" s="15" t="n">
        <f aca="false">M396*(1+IF(N$3&lt;=$O$2,$D396,$D396-($D396-$I$373)*MIN(N$3-$O$2,$Q$2)/$Q$2))</f>
        <v>5174.40833715155</v>
      </c>
      <c r="O396" s="15" t="n">
        <f aca="false">SUMPRODUCT(E396:N396,1/(1+$F$373)^$E$3:$N$3)*$E$2</f>
        <v>11655.9971380222</v>
      </c>
      <c r="P396" s="15" t="n">
        <f aca="false">N396*$E$2*(1+$I$373)/($F$373-$I$373)/(1+$F$373)^$N$3</f>
        <v>14699.2375049014</v>
      </c>
      <c r="Q396" s="15" t="n">
        <f aca="false">O396+P396</f>
        <v>26355.2346429236</v>
      </c>
      <c r="R396" s="15" t="n">
        <f aca="false">Q396-$G$2+$I$2</f>
        <v>19010.0346429236</v>
      </c>
      <c r="S396" s="42" t="n">
        <f aca="false">R396/$K$2</f>
        <v>81.014424218724</v>
      </c>
      <c r="T396" s="43" t="n">
        <f aca="false">S396-$M$2</f>
        <v>0.000147636580393851</v>
      </c>
    </row>
    <row r="397" customFormat="false" ht="15" hidden="false" customHeight="false" outlineLevel="0" collapsed="false">
      <c r="A397" s="5" t="n">
        <v>23</v>
      </c>
      <c r="B397" s="25" t="n">
        <f aca="false">IF(T396&gt;0,B396,D396)</f>
        <v>-0.0451195240020752</v>
      </c>
      <c r="C397" s="25" t="n">
        <f aca="false">IF(T396&gt;0,D396,C396)</f>
        <v>-0.0451191663742065</v>
      </c>
      <c r="D397" s="41" t="n">
        <f aca="false">(B397+C397)/2</f>
        <v>-0.0451193451881409</v>
      </c>
      <c r="E397" s="15" t="n">
        <f aca="false">$C$2*(1+IF(E$3&lt;=$O$2,$D397,$D397-($D397-$I$373)*MIN(E$3-$O$2,$Q$2)/$Q$2))</f>
        <v>6264.0170955658</v>
      </c>
      <c r="F397" s="15" t="n">
        <f aca="false">E397*(1+IF(F$3&lt;=$O$2,$D397,$D397-($D397-$I$373)*MIN(F$3-$O$2,$Q$2)/$Q$2))</f>
        <v>5981.38874596655</v>
      </c>
      <c r="G397" s="15" t="n">
        <f aca="false">F397*(1+IF(G$3&lt;=$O$2,$D397,$D397-($D397-$I$373)*MIN(G$3-$O$2,$Q$2)/$Q$2))</f>
        <v>5711.51240243282</v>
      </c>
      <c r="H397" s="15" t="n">
        <f aca="false">G397*(1+IF(H$3&lt;=$O$2,$D397,$D397-($D397-$I$373)*MIN(H$3-$O$2,$Q$2)/$Q$2))</f>
        <v>5453.81270280111</v>
      </c>
      <c r="I397" s="15" t="n">
        <f aca="false">H397*(1+IF(I$3&lt;=$O$2,$D397,$D397-($D397-$I$373)*MIN(I$3-$O$2,$Q$2)/$Q$2))</f>
        <v>5207.74024487196</v>
      </c>
      <c r="J397" s="15" t="n">
        <f aca="false">I397*(1+IF(J$3&lt;=$O$2,$D397,$D397-($D397-$I$373)*MIN(J$3-$O$2,$Q$2)/$Q$2))</f>
        <v>5049.24019085109</v>
      </c>
      <c r="K397" s="15" t="n">
        <f aca="false">J397*(1+IF(K$3&lt;=$O$2,$D397,$D397-($D397-$I$373)*MIN(K$3-$O$2,$Q$2)/$Q$2))</f>
        <v>4969.70654314622</v>
      </c>
      <c r="L397" s="15" t="n">
        <f aca="false">K397*(1+IF(L$3&lt;=$O$2,$D397,$D397-($D397-$I$373)*MIN(L$3-$O$2,$Q$2)/$Q$2))</f>
        <v>4964.40019824725</v>
      </c>
      <c r="M397" s="15" t="n">
        <f aca="false">L397*(1+IF(M$3&lt;=$O$2,$D397,$D397-($D397-$I$373)*MIN(M$3-$O$2,$Q$2)/$Q$2))</f>
        <v>5031.99612149621</v>
      </c>
      <c r="N397" s="15" t="n">
        <f aca="false">M397*(1+IF(N$3&lt;=$O$2,$D397,$D397-($D397-$I$373)*MIN(N$3-$O$2,$Q$2)/$Q$2))</f>
        <v>5174.40161173455</v>
      </c>
      <c r="O397" s="15" t="n">
        <f aca="false">SUMPRODUCT(E397:N397,1/(1+$F$373)^$E$3:$N$3)*$E$2</f>
        <v>11655.988079951</v>
      </c>
      <c r="P397" s="15" t="n">
        <f aca="false">N397*$E$2*(1+$I$373)/($F$373-$I$373)/(1+$F$373)^$N$3</f>
        <v>14699.218399625</v>
      </c>
      <c r="Q397" s="15" t="n">
        <f aca="false">O397+P397</f>
        <v>26355.206479576</v>
      </c>
      <c r="R397" s="15" t="n">
        <f aca="false">Q397-$G$2+$I$2</f>
        <v>19010.006479576</v>
      </c>
      <c r="S397" s="42" t="n">
        <f aca="false">R397/$K$2</f>
        <v>81.0143041959343</v>
      </c>
      <c r="T397" s="43" t="n">
        <f aca="false">S397-$M$2</f>
        <v>2.76137906496388E-005</v>
      </c>
    </row>
    <row r="398" customFormat="false" ht="15" hidden="false" customHeight="false" outlineLevel="0" collapsed="false">
      <c r="A398" s="5" t="n">
        <v>24</v>
      </c>
      <c r="B398" s="25" t="n">
        <f aca="false">IF(T397&gt;0,B397,D397)</f>
        <v>-0.0451195240020752</v>
      </c>
      <c r="C398" s="25" t="n">
        <f aca="false">IF(T397&gt;0,D397,C397)</f>
        <v>-0.0451193451881409</v>
      </c>
      <c r="D398" s="41" t="n">
        <f aca="false">(B398+C398)/2</f>
        <v>-0.045119434595108</v>
      </c>
      <c r="E398" s="15" t="n">
        <f aca="false">$C$2*(1+IF(E$3&lt;=$O$2,$D398,$D398-($D398-$I$373)*MIN(E$3-$O$2,$Q$2)/$Q$2))</f>
        <v>6264.01650905609</v>
      </c>
      <c r="F398" s="15" t="n">
        <f aca="false">E398*(1+IF(F$3&lt;=$O$2,$D398,$D398-($D398-$I$373)*MIN(F$3-$O$2,$Q$2)/$Q$2))</f>
        <v>5981.38762587306</v>
      </c>
      <c r="G398" s="15" t="n">
        <f aca="false">F398*(1+IF(G$3&lt;=$O$2,$D398,$D398-($D398-$I$373)*MIN(G$3-$O$2,$Q$2)/$Q$2))</f>
        <v>5711.51079809949</v>
      </c>
      <c r="H398" s="15" t="n">
        <f aca="false">G398*(1+IF(H$3&lt;=$O$2,$D398,$D398-($D398-$I$373)*MIN(H$3-$O$2,$Q$2)/$Q$2))</f>
        <v>5453.81066020539</v>
      </c>
      <c r="I398" s="15" t="n">
        <f aca="false">H398*(1+IF(I$3&lt;=$O$2,$D398,$D398-($D398-$I$373)*MIN(I$3-$O$2,$Q$2)/$Q$2))</f>
        <v>5207.73780682815</v>
      </c>
      <c r="J398" s="15" t="n">
        <f aca="false">I398*(1+IF(J$3&lt;=$O$2,$D398,$D398-($D398-$I$373)*MIN(J$3-$O$2,$Q$2)/$Q$2))</f>
        <v>5049.23745452387</v>
      </c>
      <c r="K398" s="15" t="n">
        <f aca="false">J398*(1+IF(K$3&lt;=$O$2,$D398,$D398-($D398-$I$373)*MIN(K$3-$O$2,$Q$2)/$Q$2))</f>
        <v>4969.70357905835</v>
      </c>
      <c r="L398" s="15" t="n">
        <f aca="false">K398*(1+IF(L$3&lt;=$O$2,$D398,$D398-($D398-$I$373)*MIN(L$3-$O$2,$Q$2)/$Q$2))</f>
        <v>4964.3970595938</v>
      </c>
      <c r="M398" s="15" t="n">
        <f aca="false">L398*(1+IF(M$3&lt;=$O$2,$D398,$D398-($D398-$I$373)*MIN(M$3-$O$2,$Q$2)/$Q$2))</f>
        <v>5031.9928513361</v>
      </c>
      <c r="N398" s="15" t="n">
        <f aca="false">M398*(1+IF(N$3&lt;=$O$2,$D398,$D398-($D398-$I$373)*MIN(N$3-$O$2,$Q$2)/$Q$2))</f>
        <v>5174.39824902891</v>
      </c>
      <c r="O398" s="15" t="n">
        <f aca="false">SUMPRODUCT(E398:N398,1/(1+$F$373)^$E$3:$N$3)*$E$2</f>
        <v>11655.9835509182</v>
      </c>
      <c r="P398" s="15" t="n">
        <f aca="false">N398*$E$2*(1+$I$373)/($F$373-$I$373)/(1+$F$373)^$N$3</f>
        <v>14699.2088469948</v>
      </c>
      <c r="Q398" s="15" t="n">
        <f aca="false">O398+P398</f>
        <v>26355.192397913</v>
      </c>
      <c r="R398" s="15" t="n">
        <f aca="false">Q398-$G$2+$I$2</f>
        <v>19009.992397913</v>
      </c>
      <c r="S398" s="42" t="n">
        <f aca="false">R398/$K$2</f>
        <v>81.0142441845857</v>
      </c>
      <c r="T398" s="43" t="n">
        <f aca="false">S398-$M$2</f>
        <v>-3.23975579448188E-005</v>
      </c>
    </row>
    <row r="400" customFormat="false" ht="15" hidden="false" customHeight="false" outlineLevel="0" collapsed="false">
      <c r="A400" s="38" t="s">
        <v>196</v>
      </c>
      <c r="E400" s="5" t="s">
        <v>11</v>
      </c>
      <c r="F400" s="12" t="n">
        <f aca="false">Sensitivity!$B$12</f>
        <v>0.0812368036285737</v>
      </c>
      <c r="G400" s="5" t="s">
        <v>12</v>
      </c>
      <c r="I400" s="12" t="n">
        <f aca="false">Sensitivity!$F$9</f>
        <v>0.0333</v>
      </c>
    </row>
    <row r="401" customFormat="false" ht="23.85" hidden="false" customHeight="false" outlineLevel="0" collapsed="false">
      <c r="A401" s="38" t="s">
        <v>163</v>
      </c>
      <c r="B401" s="28" t="s">
        <v>164</v>
      </c>
      <c r="C401" s="28" t="s">
        <v>165</v>
      </c>
      <c r="D401" s="28" t="s">
        <v>166</v>
      </c>
      <c r="E401" s="28" t="s">
        <v>167</v>
      </c>
      <c r="F401" s="28" t="s">
        <v>168</v>
      </c>
      <c r="G401" s="28" t="s">
        <v>169</v>
      </c>
      <c r="H401" s="28" t="s">
        <v>170</v>
      </c>
      <c r="I401" s="28" t="s">
        <v>171</v>
      </c>
      <c r="J401" s="28" t="s">
        <v>172</v>
      </c>
      <c r="K401" s="28" t="s">
        <v>173</v>
      </c>
      <c r="L401" s="28" t="s">
        <v>174</v>
      </c>
      <c r="M401" s="28" t="s">
        <v>175</v>
      </c>
      <c r="N401" s="28" t="s">
        <v>176</v>
      </c>
      <c r="O401" s="28" t="s">
        <v>177</v>
      </c>
      <c r="P401" s="28" t="s">
        <v>178</v>
      </c>
      <c r="Q401" s="28" t="s">
        <v>179</v>
      </c>
      <c r="R401" s="28" t="s">
        <v>180</v>
      </c>
      <c r="S401" s="28" t="s">
        <v>181</v>
      </c>
      <c r="T401" s="28" t="s">
        <v>182</v>
      </c>
    </row>
    <row r="402" customFormat="false" ht="15" hidden="false" customHeight="false" outlineLevel="0" collapsed="false">
      <c r="A402" s="5" t="n">
        <v>1</v>
      </c>
      <c r="B402" s="24" t="n">
        <v>-0.5</v>
      </c>
      <c r="C402" s="24" t="n">
        <v>1</v>
      </c>
      <c r="D402" s="41" t="n">
        <f aca="false">(B402+C402)/2</f>
        <v>0.25</v>
      </c>
      <c r="E402" s="15" t="n">
        <f aca="false">$C$2*(1+IF(E$3&lt;=$O$2,$D402,$D402-($D402-$I$400)*MIN(E$3-$O$2,$Q$2)/$Q$2))</f>
        <v>8200</v>
      </c>
      <c r="F402" s="15" t="n">
        <f aca="false">E402*(1+IF(F$3&lt;=$O$2,$D402,$D402-($D402-$I$400)*MIN(F$3-$O$2,$Q$2)/$Q$2))</f>
        <v>10250</v>
      </c>
      <c r="G402" s="15" t="n">
        <f aca="false">F402*(1+IF(G$3&lt;=$O$2,$D402,$D402-($D402-$I$400)*MIN(G$3-$O$2,$Q$2)/$Q$2))</f>
        <v>12812.5</v>
      </c>
      <c r="H402" s="15" t="n">
        <f aca="false">G402*(1+IF(H$3&lt;=$O$2,$D402,$D402-($D402-$I$400)*MIN(H$3-$O$2,$Q$2)/$Q$2))</f>
        <v>16015.625</v>
      </c>
      <c r="I402" s="15" t="n">
        <f aca="false">H402*(1+IF(I$3&lt;=$O$2,$D402,$D402-($D402-$I$400)*MIN(I$3-$O$2,$Q$2)/$Q$2))</f>
        <v>20019.53125</v>
      </c>
      <c r="J402" s="15" t="n">
        <f aca="false">I402*(1+IF(J$3&lt;=$O$2,$D402,$D402-($D402-$I$400)*MIN(J$3-$O$2,$Q$2)/$Q$2))</f>
        <v>24156.767578125</v>
      </c>
      <c r="K402" s="15" t="n">
        <f aca="false">J402*(1+IF(K$3&lt;=$O$2,$D402,$D402-($D402-$I$400)*MIN(K$3-$O$2,$Q$2)/$Q$2))</f>
        <v>28102.0508589844</v>
      </c>
      <c r="L402" s="15" t="n">
        <f aca="false">K402*(1+IF(L$3&lt;=$O$2,$D402,$D402-($D402-$I$400)*MIN(L$3-$O$2,$Q$2)/$Q$2))</f>
        <v>31473.7349210453</v>
      </c>
      <c r="M402" s="15" t="n">
        <f aca="false">L402*(1+IF(M$3&lt;=$O$2,$D402,$D402-($D402-$I$400)*MIN(M$3-$O$2,$Q$2)/$Q$2))</f>
        <v>33885.8819653942</v>
      </c>
      <c r="N402" s="15" t="n">
        <f aca="false">M402*(1+IF(N$3&lt;=$O$2,$D402,$D402-($D402-$I$400)*MIN(N$3-$O$2,$Q$2)/$Q$2))</f>
        <v>35014.2818348419</v>
      </c>
      <c r="O402" s="15" t="n">
        <f aca="false">SUMPRODUCT(E402:N402,1/(1+$F$400)^$E$3:$N$3)*$E$2</f>
        <v>42410.6366424578</v>
      </c>
      <c r="P402" s="15" t="n">
        <f aca="false">N402*$E$2*(1+$I$400)/($F$400-$I$400)/(1+$F$400)^$N$3</f>
        <v>110375.978864924</v>
      </c>
      <c r="Q402" s="15" t="n">
        <f aca="false">O402+P402</f>
        <v>152786.615507382</v>
      </c>
      <c r="R402" s="15" t="n">
        <f aca="false">Q402-$G$2+$I$2</f>
        <v>145441.415507382</v>
      </c>
      <c r="S402" s="42" t="n">
        <f aca="false">R402/$K$2</f>
        <v>619.822780768728</v>
      </c>
      <c r="T402" s="43" t="n">
        <f aca="false">S402-$M$2</f>
        <v>538.808504186585</v>
      </c>
    </row>
    <row r="403" customFormat="false" ht="15" hidden="false" customHeight="false" outlineLevel="0" collapsed="false">
      <c r="A403" s="5" t="n">
        <v>2</v>
      </c>
      <c r="B403" s="25" t="n">
        <f aca="false">IF(T402&gt;0,B402,D402)</f>
        <v>-0.5</v>
      </c>
      <c r="C403" s="25" t="n">
        <f aca="false">IF(T402&gt;0,D402,C402)</f>
        <v>0.25</v>
      </c>
      <c r="D403" s="41" t="n">
        <f aca="false">(B403+C403)/2</f>
        <v>-0.125</v>
      </c>
      <c r="E403" s="15" t="n">
        <f aca="false">$C$2*(1+IF(E$3&lt;=$O$2,$D403,$D403-($D403-$I$400)*MIN(E$3-$O$2,$Q$2)/$Q$2))</f>
        <v>5740</v>
      </c>
      <c r="F403" s="15" t="n">
        <f aca="false">E403*(1+IF(F$3&lt;=$O$2,$D403,$D403-($D403-$I$400)*MIN(F$3-$O$2,$Q$2)/$Q$2))</f>
        <v>5022.5</v>
      </c>
      <c r="G403" s="15" t="n">
        <f aca="false">F403*(1+IF(G$3&lt;=$O$2,$D403,$D403-($D403-$I$400)*MIN(G$3-$O$2,$Q$2)/$Q$2))</f>
        <v>4394.6875</v>
      </c>
      <c r="H403" s="15" t="n">
        <f aca="false">G403*(1+IF(H$3&lt;=$O$2,$D403,$D403-($D403-$I$400)*MIN(H$3-$O$2,$Q$2)/$Q$2))</f>
        <v>3845.3515625</v>
      </c>
      <c r="I403" s="15" t="n">
        <f aca="false">H403*(1+IF(I$3&lt;=$O$2,$D403,$D403-($D403-$I$400)*MIN(I$3-$O$2,$Q$2)/$Q$2))</f>
        <v>3364.6826171875</v>
      </c>
      <c r="J403" s="15" t="n">
        <f aca="false">I403*(1+IF(J$3&lt;=$O$2,$D403,$D403-($D403-$I$400)*MIN(J$3-$O$2,$Q$2)/$Q$2))</f>
        <v>3050.62314169922</v>
      </c>
      <c r="K403" s="15" t="n">
        <f aca="false">J403*(1+IF(K$3&lt;=$O$2,$D403,$D403-($D403-$I$400)*MIN(K$3-$O$2,$Q$2)/$Q$2))</f>
        <v>2862.46070631921</v>
      </c>
      <c r="L403" s="15" t="n">
        <f aca="false">K403*(1+IF(L$3&lt;=$O$2,$D403,$D403-($D403-$I$400)*MIN(L$3-$O$2,$Q$2)/$Q$2))</f>
        <v>2776.52963591551</v>
      </c>
      <c r="M403" s="15" t="n">
        <f aca="false">L403*(1+IF(M$3&lt;=$O$2,$D403,$D403-($D403-$I$400)*MIN(M$3-$O$2,$Q$2)/$Q$2))</f>
        <v>2781.08314451841</v>
      </c>
      <c r="N403" s="15" t="n">
        <f aca="false">M403*(1+IF(N$3&lt;=$O$2,$D403,$D403-($D403-$I$400)*MIN(N$3-$O$2,$Q$2)/$Q$2))</f>
        <v>2873.69321323087</v>
      </c>
      <c r="O403" s="15" t="n">
        <f aca="false">SUMPRODUCT(E403:N403,1/(1+$F$400)^$E$3:$N$3)*$E$2</f>
        <v>8276.98321059278</v>
      </c>
      <c r="P403" s="15" t="n">
        <f aca="false">N403*$E$2*(1+$I$400)/($F$400-$I$400)/(1+$F$400)^$N$3</f>
        <v>9058.7807245049</v>
      </c>
      <c r="Q403" s="15" t="n">
        <f aca="false">O403+P403</f>
        <v>17335.7639350977</v>
      </c>
      <c r="R403" s="15" t="n">
        <f aca="false">Q403-$G$2+$I$2</f>
        <v>9990.56393509767</v>
      </c>
      <c r="S403" s="42" t="n">
        <f aca="false">R403/$K$2</f>
        <v>42.5764497553704</v>
      </c>
      <c r="T403" s="43" t="n">
        <f aca="false">S403-$M$2</f>
        <v>-38.4378268267732</v>
      </c>
    </row>
    <row r="404" customFormat="false" ht="15" hidden="false" customHeight="false" outlineLevel="0" collapsed="false">
      <c r="A404" s="5" t="n">
        <v>3</v>
      </c>
      <c r="B404" s="25" t="n">
        <f aca="false">IF(T403&gt;0,B403,D403)</f>
        <v>-0.125</v>
      </c>
      <c r="C404" s="25" t="n">
        <f aca="false">IF(T403&gt;0,D403,C403)</f>
        <v>0.25</v>
      </c>
      <c r="D404" s="41" t="n">
        <f aca="false">(B404+C404)/2</f>
        <v>0.0625</v>
      </c>
      <c r="E404" s="15" t="n">
        <f aca="false">$C$2*(1+IF(E$3&lt;=$O$2,$D404,$D404-($D404-$I$400)*MIN(E$3-$O$2,$Q$2)/$Q$2))</f>
        <v>6970</v>
      </c>
      <c r="F404" s="15" t="n">
        <f aca="false">E404*(1+IF(F$3&lt;=$O$2,$D404,$D404-($D404-$I$400)*MIN(F$3-$O$2,$Q$2)/$Q$2))</f>
        <v>7405.625</v>
      </c>
      <c r="G404" s="15" t="n">
        <f aca="false">F404*(1+IF(G$3&lt;=$O$2,$D404,$D404-($D404-$I$400)*MIN(G$3-$O$2,$Q$2)/$Q$2))</f>
        <v>7868.4765625</v>
      </c>
      <c r="H404" s="15" t="n">
        <f aca="false">G404*(1+IF(H$3&lt;=$O$2,$D404,$D404-($D404-$I$400)*MIN(H$3-$O$2,$Q$2)/$Q$2))</f>
        <v>8360.25634765625</v>
      </c>
      <c r="I404" s="15" t="n">
        <f aca="false">H404*(1+IF(I$3&lt;=$O$2,$D404,$D404-($D404-$I$400)*MIN(I$3-$O$2,$Q$2)/$Q$2))</f>
        <v>8882.77236938477</v>
      </c>
      <c r="J404" s="15" t="n">
        <f aca="false">I404*(1+IF(J$3&lt;=$O$2,$D404,$D404-($D404-$I$400)*MIN(J$3-$O$2,$Q$2)/$Q$2))</f>
        <v>9386.07025183411</v>
      </c>
      <c r="K404" s="15" t="n">
        <f aca="false">J404*(1+IF(K$3&lt;=$O$2,$D404,$D404-($D404-$I$400)*MIN(K$3-$O$2,$Q$2)/$Q$2))</f>
        <v>9863.07034203232</v>
      </c>
      <c r="L404" s="15" t="n">
        <f aca="false">K404*(1+IF(L$3&lt;=$O$2,$D404,$D404-($D404-$I$400)*MIN(L$3-$O$2,$Q$2)/$Q$2))</f>
        <v>10306.7112460169</v>
      </c>
      <c r="M404" s="15" t="n">
        <f aca="false">L404*(1+IF(M$3&lt;=$O$2,$D404,$D404-($D404-$I$400)*MIN(M$3-$O$2,$Q$2)/$Q$2))</f>
        <v>10710.115924186</v>
      </c>
      <c r="N404" s="15" t="n">
        <f aca="false">M404*(1+IF(N$3&lt;=$O$2,$D404,$D404-($D404-$I$400)*MIN(N$3-$O$2,$Q$2)/$Q$2))</f>
        <v>11066.7627844614</v>
      </c>
      <c r="O404" s="15" t="n">
        <f aca="false">SUMPRODUCT(E404:N404,1/(1+$F$400)^$E$3:$N$3)*$E$2</f>
        <v>18716.1780148322</v>
      </c>
      <c r="P404" s="15" t="n">
        <f aca="false">N404*$E$2*(1+$I$400)/($F$400-$I$400)/(1+$F$400)^$N$3</f>
        <v>34885.9011577772</v>
      </c>
      <c r="Q404" s="15" t="n">
        <f aca="false">O404+P404</f>
        <v>53602.0791726093</v>
      </c>
      <c r="R404" s="15" t="n">
        <f aca="false">Q404-$G$2+$I$2</f>
        <v>46256.8791726093</v>
      </c>
      <c r="S404" s="42" t="n">
        <f aca="false">R404/$K$2</f>
        <v>197.131383646321</v>
      </c>
      <c r="T404" s="43" t="n">
        <f aca="false">S404-$M$2</f>
        <v>116.117107064178</v>
      </c>
    </row>
    <row r="405" customFormat="false" ht="15" hidden="false" customHeight="false" outlineLevel="0" collapsed="false">
      <c r="A405" s="5" t="n">
        <v>4</v>
      </c>
      <c r="B405" s="25" t="n">
        <f aca="false">IF(T404&gt;0,B404,D404)</f>
        <v>-0.125</v>
      </c>
      <c r="C405" s="25" t="n">
        <f aca="false">IF(T404&gt;0,D404,C404)</f>
        <v>0.0625</v>
      </c>
      <c r="D405" s="41" t="n">
        <f aca="false">(B405+C405)/2</f>
        <v>-0.03125</v>
      </c>
      <c r="E405" s="15" t="n">
        <f aca="false">$C$2*(1+IF(E$3&lt;=$O$2,$D405,$D405-($D405-$I$400)*MIN(E$3-$O$2,$Q$2)/$Q$2))</f>
        <v>6355</v>
      </c>
      <c r="F405" s="15" t="n">
        <f aca="false">E405*(1+IF(F$3&lt;=$O$2,$D405,$D405-($D405-$I$400)*MIN(F$3-$O$2,$Q$2)/$Q$2))</f>
        <v>6156.40625</v>
      </c>
      <c r="G405" s="15" t="n">
        <f aca="false">F405*(1+IF(G$3&lt;=$O$2,$D405,$D405-($D405-$I$400)*MIN(G$3-$O$2,$Q$2)/$Q$2))</f>
        <v>5964.0185546875</v>
      </c>
      <c r="H405" s="15" t="n">
        <f aca="false">G405*(1+IF(H$3&lt;=$O$2,$D405,$D405-($D405-$I$400)*MIN(H$3-$O$2,$Q$2)/$Q$2))</f>
        <v>5777.64297485352</v>
      </c>
      <c r="I405" s="15" t="n">
        <f aca="false">H405*(1+IF(I$3&lt;=$O$2,$D405,$D405-($D405-$I$400)*MIN(I$3-$O$2,$Q$2)/$Q$2))</f>
        <v>5597.09163188934</v>
      </c>
      <c r="J405" s="15" t="n">
        <f aca="false">I405*(1+IF(J$3&lt;=$O$2,$D405,$D405-($D405-$I$400)*MIN(J$3-$O$2,$Q$2)/$Q$2))</f>
        <v>5494.44097136049</v>
      </c>
      <c r="K405" s="15" t="n">
        <f aca="false">J405*(1+IF(K$3&lt;=$O$2,$D405,$D405-($D405-$I$400)*MIN(K$3-$O$2,$Q$2)/$Q$2))</f>
        <v>5464.60615688601</v>
      </c>
      <c r="L405" s="15" t="n">
        <f aca="false">K405*(1+IF(L$3&lt;=$O$2,$D405,$D405-($D405-$I$400)*MIN(L$3-$O$2,$Q$2)/$Q$2))</f>
        <v>5505.48141093951</v>
      </c>
      <c r="M405" s="15" t="n">
        <f aca="false">L405*(1+IF(M$3&lt;=$O$2,$D405,$D405-($D405-$I$400)*MIN(M$3-$O$2,$Q$2)/$Q$2))</f>
        <v>5617.73817690857</v>
      </c>
      <c r="N405" s="15" t="n">
        <f aca="false">M405*(1+IF(N$3&lt;=$O$2,$D405,$D405-($D405-$I$400)*MIN(N$3-$O$2,$Q$2)/$Q$2))</f>
        <v>5804.80885819962</v>
      </c>
      <c r="O405" s="15" t="n">
        <f aca="false">SUMPRODUCT(E405:N405,1/(1+$F$400)^$E$3:$N$3)*$E$2</f>
        <v>12412.0655071581</v>
      </c>
      <c r="P405" s="15" t="n">
        <f aca="false">N405*$E$2*(1+$I$400)/($F$400-$I$400)/(1+$F$400)^$N$3</f>
        <v>18298.5749320727</v>
      </c>
      <c r="Q405" s="15" t="n">
        <f aca="false">O405+P405</f>
        <v>30710.6404392308</v>
      </c>
      <c r="R405" s="15" t="n">
        <f aca="false">Q405-$G$2+$I$2</f>
        <v>23365.4404392308</v>
      </c>
      <c r="S405" s="42" t="n">
        <f aca="false">R405/$K$2</f>
        <v>99.5757103738796</v>
      </c>
      <c r="T405" s="43" t="n">
        <f aca="false">S405-$M$2</f>
        <v>18.561433791736</v>
      </c>
    </row>
    <row r="406" customFormat="false" ht="15" hidden="false" customHeight="false" outlineLevel="0" collapsed="false">
      <c r="A406" s="5" t="n">
        <v>5</v>
      </c>
      <c r="B406" s="25" t="n">
        <f aca="false">IF(T405&gt;0,B405,D405)</f>
        <v>-0.125</v>
      </c>
      <c r="C406" s="25" t="n">
        <f aca="false">IF(T405&gt;0,D405,C405)</f>
        <v>-0.03125</v>
      </c>
      <c r="D406" s="41" t="n">
        <f aca="false">(B406+C406)/2</f>
        <v>-0.078125</v>
      </c>
      <c r="E406" s="15" t="n">
        <f aca="false">$C$2*(1+IF(E$3&lt;=$O$2,$D406,$D406-($D406-$I$400)*MIN(E$3-$O$2,$Q$2)/$Q$2))</f>
        <v>6047.5</v>
      </c>
      <c r="F406" s="15" t="n">
        <f aca="false">E406*(1+IF(F$3&lt;=$O$2,$D406,$D406-($D406-$I$400)*MIN(F$3-$O$2,$Q$2)/$Q$2))</f>
        <v>5575.0390625</v>
      </c>
      <c r="G406" s="15" t="n">
        <f aca="false">F406*(1+IF(G$3&lt;=$O$2,$D406,$D406-($D406-$I$400)*MIN(G$3-$O$2,$Q$2)/$Q$2))</f>
        <v>5139.48913574219</v>
      </c>
      <c r="H406" s="15" t="n">
        <f aca="false">G406*(1+IF(H$3&lt;=$O$2,$D406,$D406-($D406-$I$400)*MIN(H$3-$O$2,$Q$2)/$Q$2))</f>
        <v>4737.96654701233</v>
      </c>
      <c r="I406" s="15" t="n">
        <f aca="false">H406*(1+IF(I$3&lt;=$O$2,$D406,$D406-($D406-$I$400)*MIN(I$3-$O$2,$Q$2)/$Q$2))</f>
        <v>4367.81291052699</v>
      </c>
      <c r="J406" s="15" t="n">
        <f aca="false">I406*(1+IF(J$3&lt;=$O$2,$D406,$D406-($D406-$I$400)*MIN(J$3-$O$2,$Q$2)/$Q$2))</f>
        <v>4123.91423760316</v>
      </c>
      <c r="K406" s="15" t="n">
        <f aca="false">J406*(1+IF(K$3&lt;=$O$2,$D406,$D406-($D406-$I$400)*MIN(K$3-$O$2,$Q$2)/$Q$2))</f>
        <v>3985.53629536039</v>
      </c>
      <c r="L406" s="15" t="n">
        <f aca="false">K406*(1+IF(L$3&lt;=$O$2,$D406,$D406-($D406-$I$400)*MIN(L$3-$O$2,$Q$2)/$Q$2))</f>
        <v>3940.61930131168</v>
      </c>
      <c r="M406" s="15" t="n">
        <f aca="false">L406*(1+IF(M$3&lt;=$O$2,$D406,$D406-($D406-$I$400)*MIN(M$3-$O$2,$Q$2)/$Q$2))</f>
        <v>3984.02522291563</v>
      </c>
      <c r="N406" s="15" t="n">
        <f aca="false">M406*(1+IF(N$3&lt;=$O$2,$D406,$D406-($D406-$I$400)*MIN(N$3-$O$2,$Q$2)/$Q$2))</f>
        <v>4116.69326283872</v>
      </c>
      <c r="O406" s="15" t="n">
        <f aca="false">SUMPRODUCT(E406:N406,1/(1+$F$400)^$E$3:$N$3)*$E$2</f>
        <v>10125.4243112483</v>
      </c>
      <c r="P406" s="15" t="n">
        <f aca="false">N406*$E$2*(1+$I$400)/($F$400-$I$400)/(1+$F$400)^$N$3</f>
        <v>12977.1060482045</v>
      </c>
      <c r="Q406" s="15" t="n">
        <f aca="false">O406+P406</f>
        <v>23102.5303594528</v>
      </c>
      <c r="R406" s="15" t="n">
        <f aca="false">Q406-$G$2+$I$2</f>
        <v>15757.3303594528</v>
      </c>
      <c r="S406" s="42" t="n">
        <f aca="false">R406/$K$2</f>
        <v>67.1524839524943</v>
      </c>
      <c r="T406" s="43" t="n">
        <f aca="false">S406-$M$2</f>
        <v>-13.8617926296493</v>
      </c>
    </row>
    <row r="407" customFormat="false" ht="15" hidden="false" customHeight="false" outlineLevel="0" collapsed="false">
      <c r="A407" s="5" t="n">
        <v>6</v>
      </c>
      <c r="B407" s="25" t="n">
        <f aca="false">IF(T406&gt;0,B406,D406)</f>
        <v>-0.078125</v>
      </c>
      <c r="C407" s="25" t="n">
        <f aca="false">IF(T406&gt;0,D406,C406)</f>
        <v>-0.03125</v>
      </c>
      <c r="D407" s="41" t="n">
        <f aca="false">(B407+C407)/2</f>
        <v>-0.0546875</v>
      </c>
      <c r="E407" s="15" t="n">
        <f aca="false">$C$2*(1+IF(E$3&lt;=$O$2,$D407,$D407-($D407-$I$400)*MIN(E$3-$O$2,$Q$2)/$Q$2))</f>
        <v>6201.25</v>
      </c>
      <c r="F407" s="15" t="n">
        <f aca="false">E407*(1+IF(F$3&lt;=$O$2,$D407,$D407-($D407-$I$400)*MIN(F$3-$O$2,$Q$2)/$Q$2))</f>
        <v>5862.119140625</v>
      </c>
      <c r="G407" s="15" t="n">
        <f aca="false">F407*(1+IF(G$3&lt;=$O$2,$D407,$D407-($D407-$I$400)*MIN(G$3-$O$2,$Q$2)/$Q$2))</f>
        <v>5541.53450012207</v>
      </c>
      <c r="H407" s="15" t="n">
        <f aca="false">G407*(1+IF(H$3&lt;=$O$2,$D407,$D407-($D407-$I$400)*MIN(H$3-$O$2,$Q$2)/$Q$2))</f>
        <v>5238.48183214665</v>
      </c>
      <c r="I407" s="15" t="n">
        <f aca="false">H407*(1+IF(I$3&lt;=$O$2,$D407,$D407-($D407-$I$400)*MIN(I$3-$O$2,$Q$2)/$Q$2))</f>
        <v>4952.00235695113</v>
      </c>
      <c r="J407" s="15" t="n">
        <f aca="false">I407*(1+IF(J$3&lt;=$O$2,$D407,$D407-($D407-$I$400)*MIN(J$3-$O$2,$Q$2)/$Q$2))</f>
        <v>4768.33258953181</v>
      </c>
      <c r="K407" s="15" t="n">
        <f aca="false">J407*(1+IF(K$3&lt;=$O$2,$D407,$D407-($D407-$I$400)*MIN(K$3-$O$2,$Q$2)/$Q$2))</f>
        <v>4675.38586653036</v>
      </c>
      <c r="L407" s="15" t="n">
        <f aca="false">K407*(1+IF(L$3&lt;=$O$2,$D407,$D407-($D407-$I$400)*MIN(L$3-$O$2,$Q$2)/$Q$2))</f>
        <v>4666.52601031328</v>
      </c>
      <c r="M407" s="15" t="n">
        <f aca="false">L407*(1+IF(M$3&lt;=$O$2,$D407,$D407-($D407-$I$400)*MIN(M$3-$O$2,$Q$2)/$Q$2))</f>
        <v>4739.80213499023</v>
      </c>
      <c r="N407" s="15" t="n">
        <f aca="false">M407*(1+IF(N$3&lt;=$O$2,$D407,$D407-($D407-$I$400)*MIN(N$3-$O$2,$Q$2)/$Q$2))</f>
        <v>4897.6375460854</v>
      </c>
      <c r="O407" s="15" t="n">
        <f aca="false">SUMPRODUCT(E407:N407,1/(1+$F$400)^$E$3:$N$3)*$E$2</f>
        <v>11208.1827421783</v>
      </c>
      <c r="P407" s="15" t="n">
        <f aca="false">N407*$E$2*(1+$I$400)/($F$400-$I$400)/(1+$F$400)^$N$3</f>
        <v>15438.8869326134</v>
      </c>
      <c r="Q407" s="15" t="n">
        <f aca="false">O407+P407</f>
        <v>26647.0696747917</v>
      </c>
      <c r="R407" s="15" t="n">
        <f aca="false">Q407-$G$2+$I$2</f>
        <v>19301.8696747917</v>
      </c>
      <c r="S407" s="42" t="n">
        <f aca="false">R407/$K$2</f>
        <v>82.25812774256</v>
      </c>
      <c r="T407" s="43" t="n">
        <f aca="false">S407-$M$2</f>
        <v>1.24385116041637</v>
      </c>
    </row>
    <row r="408" customFormat="false" ht="15" hidden="false" customHeight="false" outlineLevel="0" collapsed="false">
      <c r="A408" s="5" t="n">
        <v>7</v>
      </c>
      <c r="B408" s="25" t="n">
        <f aca="false">IF(T407&gt;0,B407,D407)</f>
        <v>-0.078125</v>
      </c>
      <c r="C408" s="25" t="n">
        <f aca="false">IF(T407&gt;0,D407,C407)</f>
        <v>-0.0546875</v>
      </c>
      <c r="D408" s="41" t="n">
        <f aca="false">(B408+C408)/2</f>
        <v>-0.06640625</v>
      </c>
      <c r="E408" s="15" t="n">
        <f aca="false">$C$2*(1+IF(E$3&lt;=$O$2,$D408,$D408-($D408-$I$400)*MIN(E$3-$O$2,$Q$2)/$Q$2))</f>
        <v>6124.375</v>
      </c>
      <c r="F408" s="15" t="n">
        <f aca="false">E408*(1+IF(F$3&lt;=$O$2,$D408,$D408-($D408-$I$400)*MIN(F$3-$O$2,$Q$2)/$Q$2))</f>
        <v>5717.67822265625</v>
      </c>
      <c r="G408" s="15" t="n">
        <f aca="false">F408*(1+IF(G$3&lt;=$O$2,$D408,$D408-($D408-$I$400)*MIN(G$3-$O$2,$Q$2)/$Q$2))</f>
        <v>5337.98865318298</v>
      </c>
      <c r="H408" s="15" t="n">
        <f aca="false">G408*(1+IF(H$3&lt;=$O$2,$D408,$D408-($D408-$I$400)*MIN(H$3-$O$2,$Q$2)/$Q$2))</f>
        <v>4983.51284418255</v>
      </c>
      <c r="I408" s="15" t="n">
        <f aca="false">H408*(1+IF(I$3&lt;=$O$2,$D408,$D408-($D408-$I$400)*MIN(I$3-$O$2,$Q$2)/$Q$2))</f>
        <v>4652.57644437355</v>
      </c>
      <c r="J408" s="15" t="n">
        <f aca="false">I408*(1+IF(J$3&lt;=$O$2,$D408,$D408-($D408-$I$400)*MIN(J$3-$O$2,$Q$2)/$Q$2))</f>
        <v>4436.39447988574</v>
      </c>
      <c r="K408" s="15" t="n">
        <f aca="false">J408*(1+IF(K$3&lt;=$O$2,$D408,$D408-($D408-$I$400)*MIN(K$3-$O$2,$Q$2)/$Q$2))</f>
        <v>4318.72466179987</v>
      </c>
      <c r="L408" s="15" t="n">
        <f aca="false">K408*(1+IF(L$3&lt;=$O$2,$D408,$D408-($D408-$I$400)*MIN(L$3-$O$2,$Q$2)/$Q$2))</f>
        <v>4290.29665671357</v>
      </c>
      <c r="M408" s="15" t="n">
        <f aca="false">L408*(1+IF(M$3&lt;=$O$2,$D408,$D408-($D408-$I$400)*MIN(M$3-$O$2,$Q$2)/$Q$2))</f>
        <v>4347.60965717644</v>
      </c>
      <c r="N408" s="15" t="n">
        <f aca="false">M408*(1+IF(N$3&lt;=$O$2,$D408,$D408-($D408-$I$400)*MIN(N$3-$O$2,$Q$2)/$Q$2))</f>
        <v>4492.38505876042</v>
      </c>
      <c r="O408" s="15" t="n">
        <f aca="false">SUMPRODUCT(E408:N408,1/(1+$F$400)^$E$3:$N$3)*$E$2</f>
        <v>10652.4275598678</v>
      </c>
      <c r="P408" s="15" t="n">
        <f aca="false">N408*$E$2*(1+$I$400)/($F$400-$I$400)/(1+$F$400)^$N$3</f>
        <v>14161.4042132211</v>
      </c>
      <c r="Q408" s="15" t="n">
        <f aca="false">O408+P408</f>
        <v>24813.831773089</v>
      </c>
      <c r="R408" s="15" t="n">
        <f aca="false">Q408-$G$2+$I$2</f>
        <v>17468.631773089</v>
      </c>
      <c r="S408" s="42" t="n">
        <f aca="false">R408/$K$2</f>
        <v>74.4454795358575</v>
      </c>
      <c r="T408" s="43" t="n">
        <f aca="false">S408-$M$2</f>
        <v>-6.56879704628612</v>
      </c>
    </row>
    <row r="409" customFormat="false" ht="15" hidden="false" customHeight="false" outlineLevel="0" collapsed="false">
      <c r="A409" s="5" t="n">
        <v>8</v>
      </c>
      <c r="B409" s="25" t="n">
        <f aca="false">IF(T408&gt;0,B408,D408)</f>
        <v>-0.06640625</v>
      </c>
      <c r="C409" s="25" t="n">
        <f aca="false">IF(T408&gt;0,D408,C408)</f>
        <v>-0.0546875</v>
      </c>
      <c r="D409" s="41" t="n">
        <f aca="false">(B409+C409)/2</f>
        <v>-0.060546875</v>
      </c>
      <c r="E409" s="15" t="n">
        <f aca="false">$C$2*(1+IF(E$3&lt;=$O$2,$D409,$D409-($D409-$I$400)*MIN(E$3-$O$2,$Q$2)/$Q$2))</f>
        <v>6162.8125</v>
      </c>
      <c r="F409" s="15" t="n">
        <f aca="false">E409*(1+IF(F$3&lt;=$O$2,$D409,$D409-($D409-$I$400)*MIN(F$3-$O$2,$Q$2)/$Q$2))</f>
        <v>5789.67346191406</v>
      </c>
      <c r="G409" s="15" t="n">
        <f aca="false">F409*(1+IF(G$3&lt;=$O$2,$D409,$D409-($D409-$I$400)*MIN(G$3-$O$2,$Q$2)/$Q$2))</f>
        <v>5439.12682652473</v>
      </c>
      <c r="H409" s="15" t="n">
        <f aca="false">G409*(1+IF(H$3&lt;=$O$2,$D409,$D409-($D409-$I$400)*MIN(H$3-$O$2,$Q$2)/$Q$2))</f>
        <v>5109.80469445</v>
      </c>
      <c r="I409" s="15" t="n">
        <f aca="false">H409*(1+IF(I$3&lt;=$O$2,$D409,$D409-($D409-$I$400)*MIN(I$3-$O$2,$Q$2)/$Q$2))</f>
        <v>4800.42198834072</v>
      </c>
      <c r="J409" s="15" t="n">
        <f aca="false">I409*(1+IF(J$3&lt;=$O$2,$D409,$D409-($D409-$I$400)*MIN(J$3-$O$2,$Q$2)/$Q$2))</f>
        <v>4599.87235872281</v>
      </c>
      <c r="K409" s="15" t="n">
        <f aca="false">J409*(1+IF(K$3&lt;=$O$2,$D409,$D409-($D409-$I$400)*MIN(K$3-$O$2,$Q$2)/$Q$2))</f>
        <v>4494.03792050927</v>
      </c>
      <c r="L409" s="15" t="n">
        <f aca="false">K409*(1+IF(L$3&lt;=$O$2,$D409,$D409-($D409-$I$400)*MIN(L$3-$O$2,$Q$2)/$Q$2))</f>
        <v>4474.98881727372</v>
      </c>
      <c r="M409" s="15" t="n">
        <f aca="false">L409*(1+IF(M$3&lt;=$O$2,$D409,$D409-($D409-$I$400)*MIN(M$3-$O$2,$Q$2)/$Q$2))</f>
        <v>4540.01320165671</v>
      </c>
      <c r="N409" s="15" t="n">
        <f aca="false">M409*(1+IF(N$3&lt;=$O$2,$D409,$D409-($D409-$I$400)*MIN(N$3-$O$2,$Q$2)/$Q$2))</f>
        <v>4691.19564127188</v>
      </c>
      <c r="O409" s="15" t="n">
        <f aca="false">SUMPRODUCT(E409:N409,1/(1+$F$400)^$E$3:$N$3)*$E$2</f>
        <v>10926.6182679866</v>
      </c>
      <c r="P409" s="15" t="n">
        <f aca="false">N409*$E$2*(1+$I$400)/($F$400-$I$400)/(1+$F$400)^$N$3</f>
        <v>14788.1174143348</v>
      </c>
      <c r="Q409" s="15" t="n">
        <f aca="false">O409+P409</f>
        <v>25714.7356823214</v>
      </c>
      <c r="R409" s="15" t="n">
        <f aca="false">Q409-$G$2+$I$2</f>
        <v>18369.5356823214</v>
      </c>
      <c r="S409" s="42" t="n">
        <f aca="false">R409/$K$2</f>
        <v>78.2848313757569</v>
      </c>
      <c r="T409" s="43" t="n">
        <f aca="false">S409-$M$2</f>
        <v>-2.72944520638674</v>
      </c>
    </row>
    <row r="410" customFormat="false" ht="15" hidden="false" customHeight="false" outlineLevel="0" collapsed="false">
      <c r="A410" s="5" t="n">
        <v>9</v>
      </c>
      <c r="B410" s="25" t="n">
        <f aca="false">IF(T409&gt;0,B409,D409)</f>
        <v>-0.060546875</v>
      </c>
      <c r="C410" s="25" t="n">
        <f aca="false">IF(T409&gt;0,D409,C409)</f>
        <v>-0.0546875</v>
      </c>
      <c r="D410" s="41" t="n">
        <f aca="false">(B410+C410)/2</f>
        <v>-0.0576171875</v>
      </c>
      <c r="E410" s="15" t="n">
        <f aca="false">$C$2*(1+IF(E$3&lt;=$O$2,$D410,$D410-($D410-$I$400)*MIN(E$3-$O$2,$Q$2)/$Q$2))</f>
        <v>6182.03125</v>
      </c>
      <c r="F410" s="15" t="n">
        <f aca="false">E410*(1+IF(F$3&lt;=$O$2,$D410,$D410-($D410-$I$400)*MIN(F$3-$O$2,$Q$2)/$Q$2))</f>
        <v>5825.83999633789</v>
      </c>
      <c r="G410" s="15" t="n">
        <f aca="false">F410*(1+IF(G$3&lt;=$O$2,$D410,$D410-($D410-$I$400)*MIN(G$3-$O$2,$Q$2)/$Q$2))</f>
        <v>5490.17148092389</v>
      </c>
      <c r="H410" s="15" t="n">
        <f aca="false">G410*(1+IF(H$3&lt;=$O$2,$D410,$D410-($D410-$I$400)*MIN(H$3-$O$2,$Q$2)/$Q$2))</f>
        <v>5173.84324130035</v>
      </c>
      <c r="I410" s="15" t="n">
        <f aca="false">H410*(1+IF(I$3&lt;=$O$2,$D410,$D410-($D410-$I$400)*MIN(I$3-$O$2,$Q$2)/$Q$2))</f>
        <v>4875.74094517074</v>
      </c>
      <c r="J410" s="15" t="n">
        <f aca="false">I410*(1+IF(J$3&lt;=$O$2,$D410,$D410-($D410-$I$400)*MIN(J$3-$O$2,$Q$2)/$Q$2))</f>
        <v>4683.47219567411</v>
      </c>
      <c r="K410" s="15" t="n">
        <f aca="false">J410*(1+IF(K$3&lt;=$O$2,$D410,$D410-($D410-$I$400)*MIN(K$3-$O$2,$Q$2)/$Q$2))</f>
        <v>4583.94694793098</v>
      </c>
      <c r="L410" s="15" t="n">
        <f aca="false">K410*(1+IF(L$3&lt;=$O$2,$D410,$D410-($D410-$I$400)*MIN(L$3-$O$2,$Q$2)/$Q$2))</f>
        <v>4569.88855563504</v>
      </c>
      <c r="M410" s="15" t="n">
        <f aca="false">L410*(1+IF(M$3&lt;=$O$2,$D410,$D410-($D410-$I$400)*MIN(M$3-$O$2,$Q$2)/$Q$2))</f>
        <v>4638.96956160433</v>
      </c>
      <c r="N410" s="15" t="n">
        <f aca="false">M410*(1+IF(N$3&lt;=$O$2,$D410,$D410-($D410-$I$400)*MIN(N$3-$O$2,$Q$2)/$Q$2))</f>
        <v>4793.44724800576</v>
      </c>
      <c r="O410" s="15" t="n">
        <f aca="false">SUMPRODUCT(E410:N410,1/(1+$F$400)^$E$3:$N$3)*$E$2</f>
        <v>11066.4669422892</v>
      </c>
      <c r="P410" s="15" t="n">
        <f aca="false">N410*$E$2*(1+$I$400)/($F$400-$I$400)/(1+$F$400)^$N$3</f>
        <v>15110.4464924235</v>
      </c>
      <c r="Q410" s="15" t="n">
        <f aca="false">O410+P410</f>
        <v>26176.9134347127</v>
      </c>
      <c r="R410" s="15" t="n">
        <f aca="false">Q410-$G$2+$I$2</f>
        <v>18831.7134347127</v>
      </c>
      <c r="S410" s="42" t="n">
        <f aca="false">R410/$K$2</f>
        <v>80.2544787330605</v>
      </c>
      <c r="T410" s="43" t="n">
        <f aca="false">S410-$M$2</f>
        <v>-0.7597978490831</v>
      </c>
    </row>
    <row r="411" customFormat="false" ht="15" hidden="false" customHeight="false" outlineLevel="0" collapsed="false">
      <c r="A411" s="5" t="n">
        <v>10</v>
      </c>
      <c r="B411" s="25" t="n">
        <f aca="false">IF(T410&gt;0,B410,D410)</f>
        <v>-0.0576171875</v>
      </c>
      <c r="C411" s="25" t="n">
        <f aca="false">IF(T410&gt;0,D410,C410)</f>
        <v>-0.0546875</v>
      </c>
      <c r="D411" s="41" t="n">
        <f aca="false">(B411+C411)/2</f>
        <v>-0.05615234375</v>
      </c>
      <c r="E411" s="15" t="n">
        <f aca="false">$C$2*(1+IF(E$3&lt;=$O$2,$D411,$D411-($D411-$I$400)*MIN(E$3-$O$2,$Q$2)/$Q$2))</f>
        <v>6191.640625</v>
      </c>
      <c r="F411" s="15" t="n">
        <f aca="false">E411*(1+IF(F$3&lt;=$O$2,$D411,$D411-($D411-$I$400)*MIN(F$3-$O$2,$Q$2)/$Q$2))</f>
        <v>5843.96549224854</v>
      </c>
      <c r="G411" s="15" t="n">
        <f aca="false">F411*(1+IF(G$3&lt;=$O$2,$D411,$D411-($D411-$I$400)*MIN(G$3-$O$2,$Q$2)/$Q$2))</f>
        <v>5515.81313306466</v>
      </c>
      <c r="H411" s="15" t="n">
        <f aca="false">G411*(1+IF(H$3&lt;=$O$2,$D411,$D411-($D411-$I$400)*MIN(H$3-$O$2,$Q$2)/$Q$2))</f>
        <v>5206.08729795605</v>
      </c>
      <c r="I411" s="15" t="n">
        <f aca="false">H411*(1+IF(I$3&lt;=$O$2,$D411,$D411-($D411-$I$400)*MIN(I$3-$O$2,$Q$2)/$Q$2))</f>
        <v>4913.75329440871</v>
      </c>
      <c r="J411" s="15" t="n">
        <f aca="false">I411*(1+IF(J$3&lt;=$O$2,$D411,$D411-($D411-$I$400)*MIN(J$3-$O$2,$Q$2)/$Q$2))</f>
        <v>4725.74388007721</v>
      </c>
      <c r="K411" s="15" t="n">
        <f aca="false">J411*(1+IF(K$3&lt;=$O$2,$D411,$D411-($D411-$I$400)*MIN(K$3-$O$2,$Q$2)/$Q$2))</f>
        <v>4629.4738316627</v>
      </c>
      <c r="L411" s="15" t="n">
        <f aca="false">K411*(1+IF(L$3&lt;=$O$2,$D411,$D411-($D411-$I$400)*MIN(L$3-$O$2,$Q$2)/$Q$2))</f>
        <v>4617.98839642846</v>
      </c>
      <c r="M411" s="15" t="n">
        <f aca="false">L411*(1+IF(M$3&lt;=$O$2,$D411,$D411-($D411-$I$400)*MIN(M$3-$O$2,$Q$2)/$Q$2))</f>
        <v>4689.14943293536</v>
      </c>
      <c r="N411" s="15" t="n">
        <f aca="false">M411*(1+IF(N$3&lt;=$O$2,$D411,$D411-($D411-$I$400)*MIN(N$3-$O$2,$Q$2)/$Q$2))</f>
        <v>4845.29810905211</v>
      </c>
      <c r="O411" s="15" t="n">
        <f aca="false">SUMPRODUCT(E411:N411,1/(1+$F$400)^$E$3:$N$3)*$E$2</f>
        <v>11137.089956665</v>
      </c>
      <c r="P411" s="15" t="n">
        <f aca="false">N411*$E$2*(1+$I$400)/($F$400-$I$400)/(1+$F$400)^$N$3</f>
        <v>15273.8966402796</v>
      </c>
      <c r="Q411" s="15" t="n">
        <f aca="false">O411+P411</f>
        <v>26410.9865969446</v>
      </c>
      <c r="R411" s="15" t="n">
        <f aca="false">Q411-$G$2+$I$2</f>
        <v>19065.7865969446</v>
      </c>
      <c r="S411" s="42" t="n">
        <f aca="false">R411/$K$2</f>
        <v>81.2520204429771</v>
      </c>
      <c r="T411" s="43" t="n">
        <f aca="false">S411-$M$2</f>
        <v>0.237743860833461</v>
      </c>
    </row>
    <row r="412" customFormat="false" ht="15" hidden="false" customHeight="false" outlineLevel="0" collapsed="false">
      <c r="A412" s="5" t="n">
        <v>11</v>
      </c>
      <c r="B412" s="25" t="n">
        <f aca="false">IF(T411&gt;0,B411,D411)</f>
        <v>-0.0576171875</v>
      </c>
      <c r="C412" s="25" t="n">
        <f aca="false">IF(T411&gt;0,D411,C411)</f>
        <v>-0.05615234375</v>
      </c>
      <c r="D412" s="41" t="n">
        <f aca="false">(B412+C412)/2</f>
        <v>-0.056884765625</v>
      </c>
      <c r="E412" s="15" t="n">
        <f aca="false">$C$2*(1+IF(E$3&lt;=$O$2,$D412,$D412-($D412-$I$400)*MIN(E$3-$O$2,$Q$2)/$Q$2))</f>
        <v>6186.8359375</v>
      </c>
      <c r="F412" s="15" t="n">
        <f aca="false">E412*(1+IF(F$3&lt;=$O$2,$D412,$D412-($D412-$I$400)*MIN(F$3-$O$2,$Q$2)/$Q$2))</f>
        <v>5834.89922523499</v>
      </c>
      <c r="G412" s="15" t="n">
        <f aca="false">F412*(1+IF(G$3&lt;=$O$2,$D412,$D412-($D412-$I$400)*MIN(G$3-$O$2,$Q$2)/$Q$2))</f>
        <v>5502.982350362</v>
      </c>
      <c r="H412" s="15" t="n">
        <f aca="false">G412*(1+IF(H$3&lt;=$O$2,$D412,$D412-($D412-$I$400)*MIN(H$3-$O$2,$Q$2)/$Q$2))</f>
        <v>5189.94648912315</v>
      </c>
      <c r="I412" s="15" t="n">
        <f aca="false">H412*(1+IF(I$3&lt;=$O$2,$D412,$D412-($D412-$I$400)*MIN(I$3-$O$2,$Q$2)/$Q$2))</f>
        <v>4894.71759948308</v>
      </c>
      <c r="J412" s="15" t="n">
        <f aca="false">I412*(1+IF(J$3&lt;=$O$2,$D412,$D412-($D412-$I$400)*MIN(J$3-$O$2,$Q$2)/$Q$2))</f>
        <v>4704.56852793792</v>
      </c>
      <c r="K412" s="15" t="n">
        <f aca="false">J412*(1+IF(K$3&lt;=$O$2,$D412,$D412-($D412-$I$400)*MIN(K$3-$O$2,$Q$2)/$Q$2))</f>
        <v>4606.66241388295</v>
      </c>
      <c r="L412" s="15" t="n">
        <f aca="false">K412*(1+IF(L$3&lt;=$O$2,$D412,$D412-($D412-$I$400)*MIN(L$3-$O$2,$Q$2)/$Q$2))</f>
        <v>4593.88396422144</v>
      </c>
      <c r="M412" s="15" t="n">
        <f aca="false">L412*(1+IF(M$3&lt;=$O$2,$D412,$D412-($D412-$I$400)*MIN(M$3-$O$2,$Q$2)/$Q$2))</f>
        <v>4664.00063050566</v>
      </c>
      <c r="N412" s="15" t="n">
        <f aca="false">M412*(1+IF(N$3&lt;=$O$2,$D412,$D412-($D412-$I$400)*MIN(N$3-$O$2,$Q$2)/$Q$2))</f>
        <v>4819.3118515015</v>
      </c>
      <c r="O412" s="15" t="n">
        <f aca="false">SUMPRODUCT(E412:N412,1/(1+$F$400)^$E$3:$N$3)*$E$2</f>
        <v>11101.7199156002</v>
      </c>
      <c r="P412" s="15" t="n">
        <f aca="false">N412*$E$2*(1+$I$400)/($F$400-$I$400)/(1+$F$400)^$N$3</f>
        <v>15191.9798205169</v>
      </c>
      <c r="Q412" s="15" t="n">
        <f aca="false">O412+P412</f>
        <v>26293.6997361171</v>
      </c>
      <c r="R412" s="15" t="n">
        <f aca="false">Q412-$G$2+$I$2</f>
        <v>18948.4997361171</v>
      </c>
      <c r="S412" s="42" t="n">
        <f aca="false">R412/$K$2</f>
        <v>80.7521829794036</v>
      </c>
      <c r="T412" s="43" t="n">
        <f aca="false">S412-$M$2</f>
        <v>-0.262093602740009</v>
      </c>
    </row>
    <row r="413" customFormat="false" ht="15" hidden="false" customHeight="false" outlineLevel="0" collapsed="false">
      <c r="A413" s="5" t="n">
        <v>12</v>
      </c>
      <c r="B413" s="25" t="n">
        <f aca="false">IF(T412&gt;0,B412,D412)</f>
        <v>-0.056884765625</v>
      </c>
      <c r="C413" s="25" t="n">
        <f aca="false">IF(T412&gt;0,D412,C412)</f>
        <v>-0.05615234375</v>
      </c>
      <c r="D413" s="41" t="n">
        <f aca="false">(B413+C413)/2</f>
        <v>-0.0565185546875</v>
      </c>
      <c r="E413" s="15" t="n">
        <f aca="false">$C$2*(1+IF(E$3&lt;=$O$2,$D413,$D413-($D413-$I$400)*MIN(E$3-$O$2,$Q$2)/$Q$2))</f>
        <v>6189.23828125</v>
      </c>
      <c r="F413" s="15" t="n">
        <f aca="false">E413*(1+IF(F$3&lt;=$O$2,$D413,$D413-($D413-$I$400)*MIN(F$3-$O$2,$Q$2)/$Q$2))</f>
        <v>5839.4314789772</v>
      </c>
      <c r="G413" s="15" t="n">
        <f aca="false">F413*(1+IF(G$3&lt;=$O$2,$D413,$D413-($D413-$I$400)*MIN(G$3-$O$2,$Q$2)/$Q$2))</f>
        <v>5509.39525158872</v>
      </c>
      <c r="H413" s="15" t="n">
        <f aca="false">G413*(1+IF(H$3&lt;=$O$2,$D413,$D413-($D413-$I$400)*MIN(H$3-$O$2,$Q$2)/$Q$2))</f>
        <v>5198.01219476675</v>
      </c>
      <c r="I413" s="15" t="n">
        <f aca="false">H413*(1+IF(I$3&lt;=$O$2,$D413,$D413-($D413-$I$400)*MIN(I$3-$O$2,$Q$2)/$Q$2))</f>
        <v>4904.22805827053</v>
      </c>
      <c r="J413" s="15" t="n">
        <f aca="false">I413*(1+IF(J$3&lt;=$O$2,$D413,$D413-($D413-$I$400)*MIN(J$3-$O$2,$Q$2)/$Q$2))</f>
        <v>4715.14631176955</v>
      </c>
      <c r="K413" s="15" t="n">
        <f aca="false">J413*(1+IF(K$3&lt;=$O$2,$D413,$D413-($D413-$I$400)*MIN(K$3-$O$2,$Q$2)/$Q$2))</f>
        <v>4618.05610783353</v>
      </c>
      <c r="L413" s="15" t="n">
        <f aca="false">K413*(1+IF(L$3&lt;=$O$2,$D413,$D413-($D413-$I$400)*MIN(L$3-$O$2,$Q$2)/$Q$2))</f>
        <v>4605.92252619583</v>
      </c>
      <c r="M413" s="15" t="n">
        <f aca="false">L413*(1+IF(M$3&lt;=$O$2,$D413,$D413-($D413-$I$400)*MIN(M$3-$O$2,$Q$2)/$Q$2))</f>
        <v>4676.56028545705</v>
      </c>
      <c r="N413" s="15" t="n">
        <f aca="false">M413*(1+IF(N$3&lt;=$O$2,$D413,$D413-($D413-$I$400)*MIN(N$3-$O$2,$Q$2)/$Q$2))</f>
        <v>4832.28974296277</v>
      </c>
      <c r="O413" s="15" t="n">
        <f aca="false">SUMPRODUCT(E413:N413,1/(1+$F$400)^$E$3:$N$3)*$E$2</f>
        <v>11119.3902792651</v>
      </c>
      <c r="P413" s="15" t="n">
        <f aca="false">N413*$E$2*(1+$I$400)/($F$400-$I$400)/(1+$F$400)^$N$3</f>
        <v>15232.8901976138</v>
      </c>
      <c r="Q413" s="15" t="n">
        <f aca="false">O413+P413</f>
        <v>26352.2804768789</v>
      </c>
      <c r="R413" s="15" t="n">
        <f aca="false">Q413-$G$2+$I$2</f>
        <v>19007.0804768789</v>
      </c>
      <c r="S413" s="42" t="n">
        <f aca="false">R413/$K$2</f>
        <v>81.0018345488126</v>
      </c>
      <c r="T413" s="43" t="n">
        <f aca="false">S413-$M$2</f>
        <v>-0.0124420333310553</v>
      </c>
    </row>
    <row r="414" customFormat="false" ht="15" hidden="false" customHeight="false" outlineLevel="0" collapsed="false">
      <c r="A414" s="5" t="n">
        <v>13</v>
      </c>
      <c r="B414" s="25" t="n">
        <f aca="false">IF(T413&gt;0,B413,D413)</f>
        <v>-0.0565185546875</v>
      </c>
      <c r="C414" s="25" t="n">
        <f aca="false">IF(T413&gt;0,D413,C413)</f>
        <v>-0.05615234375</v>
      </c>
      <c r="D414" s="41" t="n">
        <f aca="false">(B414+C414)/2</f>
        <v>-0.05633544921875</v>
      </c>
      <c r="E414" s="15" t="n">
        <f aca="false">$C$2*(1+IF(E$3&lt;=$O$2,$D414,$D414-($D414-$I$400)*MIN(E$3-$O$2,$Q$2)/$Q$2))</f>
        <v>6190.439453125</v>
      </c>
      <c r="F414" s="15" t="n">
        <f aca="false">E414*(1+IF(F$3&lt;=$O$2,$D414,$D414-($D414-$I$400)*MIN(F$3-$O$2,$Q$2)/$Q$2))</f>
        <v>5841.69826567173</v>
      </c>
      <c r="G414" s="15" t="n">
        <f aca="false">F414*(1+IF(G$3&lt;=$O$2,$D414,$D414-($D414-$I$400)*MIN(G$3-$O$2,$Q$2)/$Q$2))</f>
        <v>5512.60356967472</v>
      </c>
      <c r="H414" s="15" t="n">
        <f aca="false">G414*(1+IF(H$3&lt;=$O$2,$D414,$D414-($D414-$I$400)*MIN(H$3-$O$2,$Q$2)/$Q$2))</f>
        <v>5202.04857121221</v>
      </c>
      <c r="I414" s="15" t="n">
        <f aca="false">H414*(1+IF(I$3&lt;=$O$2,$D414,$D414-($D414-$I$400)*MIN(I$3-$O$2,$Q$2)/$Q$2))</f>
        <v>4908.98882809521</v>
      </c>
      <c r="J414" s="15" t="n">
        <f aca="false">I414*(1+IF(J$3&lt;=$O$2,$D414,$D414-($D414-$I$400)*MIN(J$3-$O$2,$Q$2)/$Q$2))</f>
        <v>4720.44262101787</v>
      </c>
      <c r="K414" s="15" t="n">
        <f aca="false">J414*(1+IF(K$3&lt;=$O$2,$D414,$D414-($D414-$I$400)*MIN(K$3-$O$2,$Q$2)/$Q$2))</f>
        <v>4623.76196339001</v>
      </c>
      <c r="L414" s="15" t="n">
        <f aca="false">K414*(1+IF(L$3&lt;=$O$2,$D414,$D414-($D414-$I$400)*MIN(L$3-$O$2,$Q$2)/$Q$2))</f>
        <v>4611.95204450328</v>
      </c>
      <c r="M414" s="15" t="n">
        <f aca="false">L414*(1+IF(M$3&lt;=$O$2,$D414,$D414-($D414-$I$400)*MIN(M$3-$O$2,$Q$2)/$Q$2))</f>
        <v>4682.85116892836</v>
      </c>
      <c r="N414" s="15" t="n">
        <f aca="false">M414*(1+IF(N$3&lt;=$O$2,$D414,$D414-($D414-$I$400)*MIN(N$3-$O$2,$Q$2)/$Q$2))</f>
        <v>4838.79011285368</v>
      </c>
      <c r="O414" s="15" t="n">
        <f aca="false">SUMPRODUCT(E414:N414,1/(1+$F$400)^$E$3:$N$3)*$E$2</f>
        <v>11128.2364508198</v>
      </c>
      <c r="P414" s="15" t="n">
        <f aca="false">N414*$E$2*(1+$I$400)/($F$400-$I$400)/(1+$F$400)^$N$3</f>
        <v>15253.3813986922</v>
      </c>
      <c r="Q414" s="15" t="n">
        <f aca="false">O414+P414</f>
        <v>26381.617849512</v>
      </c>
      <c r="R414" s="15" t="n">
        <f aca="false">Q414-$G$2+$I$2</f>
        <v>19036.417849512</v>
      </c>
      <c r="S414" s="42" t="n">
        <f aca="false">R414/$K$2</f>
        <v>81.1268606414317</v>
      </c>
      <c r="T414" s="43" t="n">
        <f aca="false">S414-$M$2</f>
        <v>0.112584059288096</v>
      </c>
    </row>
    <row r="415" customFormat="false" ht="15" hidden="false" customHeight="false" outlineLevel="0" collapsed="false">
      <c r="A415" s="5" t="n">
        <v>14</v>
      </c>
      <c r="B415" s="25" t="n">
        <f aca="false">IF(T414&gt;0,B414,D414)</f>
        <v>-0.0565185546875</v>
      </c>
      <c r="C415" s="25" t="n">
        <f aca="false">IF(T414&gt;0,D414,C414)</f>
        <v>-0.05633544921875</v>
      </c>
      <c r="D415" s="41" t="n">
        <f aca="false">(B415+C415)/2</f>
        <v>-0.056427001953125</v>
      </c>
      <c r="E415" s="15" t="n">
        <f aca="false">$C$2*(1+IF(E$3&lt;=$O$2,$D415,$D415-($D415-$I$400)*MIN(E$3-$O$2,$Q$2)/$Q$2))</f>
        <v>6189.8388671875</v>
      </c>
      <c r="F415" s="15" t="n">
        <f aca="false">E415*(1+IF(F$3&lt;=$O$2,$D415,$D415-($D415-$I$400)*MIN(F$3-$O$2,$Q$2)/$Q$2))</f>
        <v>5840.56481733918</v>
      </c>
      <c r="G415" s="15" t="n">
        <f aca="false">F415*(1+IF(G$3&lt;=$O$2,$D415,$D415-($D415-$I$400)*MIN(G$3-$O$2,$Q$2)/$Q$2))</f>
        <v>5510.99925498383</v>
      </c>
      <c r="H415" s="15" t="n">
        <f aca="false">G415*(1+IF(H$3&lt;=$O$2,$D415,$D415-($D415-$I$400)*MIN(H$3-$O$2,$Q$2)/$Q$2))</f>
        <v>5200.03008925919</v>
      </c>
      <c r="I415" s="15" t="n">
        <f aca="false">H415*(1+IF(I$3&lt;=$O$2,$D415,$D415-($D415-$I$400)*MIN(I$3-$O$2,$Q$2)/$Q$2))</f>
        <v>4906.60798125625</v>
      </c>
      <c r="J415" s="15" t="n">
        <f aca="false">I415*(1+IF(J$3&lt;=$O$2,$D415,$D415-($D415-$I$400)*MIN(J$3-$O$2,$Q$2)/$Q$2))</f>
        <v>4717.79384789817</v>
      </c>
      <c r="K415" s="15" t="n">
        <f aca="false">J415*(1+IF(K$3&lt;=$O$2,$D415,$D415-($D415-$I$400)*MIN(K$3-$O$2,$Q$2)/$Q$2))</f>
        <v>4620.9082843503</v>
      </c>
      <c r="L415" s="15" t="n">
        <f aca="false">K415*(1+IF(L$3&lt;=$O$2,$D415,$D415-($D415-$I$400)*MIN(L$3-$O$2,$Q$2)/$Q$2))</f>
        <v>4608.93643155712</v>
      </c>
      <c r="M415" s="15" t="n">
        <f aca="false">L415*(1+IF(M$3&lt;=$O$2,$D415,$D415-($D415-$I$400)*MIN(M$3-$O$2,$Q$2)/$Q$2))</f>
        <v>4679.70480508874</v>
      </c>
      <c r="N415" s="15" t="n">
        <f aca="false">M415*(1+IF(N$3&lt;=$O$2,$D415,$D415-($D415-$I$400)*MIN(N$3-$O$2,$Q$2)/$Q$2))</f>
        <v>4835.53897509819</v>
      </c>
      <c r="O415" s="15" t="n">
        <f aca="false">SUMPRODUCT(E415:N415,1/(1+$F$400)^$E$3:$N$3)*$E$2</f>
        <v>11123.8124486223</v>
      </c>
      <c r="P415" s="15" t="n">
        <f aca="false">N415*$E$2*(1+$I$400)/($F$400-$I$400)/(1+$F$400)^$N$3</f>
        <v>15243.1327945975</v>
      </c>
      <c r="Q415" s="15" t="n">
        <f aca="false">O415+P415</f>
        <v>26366.9452432198</v>
      </c>
      <c r="R415" s="15" t="n">
        <f aca="false">Q415-$G$2+$I$2</f>
        <v>19021.7452432198</v>
      </c>
      <c r="S415" s="42" t="n">
        <f aca="false">R415/$K$2</f>
        <v>81.064330889494</v>
      </c>
      <c r="T415" s="43" t="n">
        <f aca="false">S415-$M$2</f>
        <v>0.050054307350365</v>
      </c>
    </row>
    <row r="416" customFormat="false" ht="15" hidden="false" customHeight="false" outlineLevel="0" collapsed="false">
      <c r="A416" s="5" t="n">
        <v>15</v>
      </c>
      <c r="B416" s="25" t="n">
        <f aca="false">IF(T415&gt;0,B415,D415)</f>
        <v>-0.0565185546875</v>
      </c>
      <c r="C416" s="25" t="n">
        <f aca="false">IF(T415&gt;0,D415,C415)</f>
        <v>-0.056427001953125</v>
      </c>
      <c r="D416" s="41" t="n">
        <f aca="false">(B416+C416)/2</f>
        <v>-0.0564727783203125</v>
      </c>
      <c r="E416" s="15" t="n">
        <f aca="false">$C$2*(1+IF(E$3&lt;=$O$2,$D416,$D416-($D416-$I$400)*MIN(E$3-$O$2,$Q$2)/$Q$2))</f>
        <v>6189.53857421875</v>
      </c>
      <c r="F416" s="15" t="n">
        <f aca="false">E416*(1+IF(F$3&lt;=$O$2,$D416,$D416-($D416-$I$400)*MIN(F$3-$O$2,$Q$2)/$Q$2))</f>
        <v>5839.99813441187</v>
      </c>
      <c r="G416" s="15" t="n">
        <f aca="false">F416*(1+IF(G$3&lt;=$O$2,$D416,$D416-($D416-$I$400)*MIN(G$3-$O$2,$Q$2)/$Q$2))</f>
        <v>5510.19721437619</v>
      </c>
      <c r="H416" s="15" t="n">
        <f aca="false">G416*(1+IF(H$3&lt;=$O$2,$D416,$D416-($D416-$I$400)*MIN(H$3-$O$2,$Q$2)/$Q$2))</f>
        <v>5199.02106858752</v>
      </c>
      <c r="I416" s="15" t="n">
        <f aca="false">H416*(1+IF(I$3&lt;=$O$2,$D416,$D416-($D416-$I$400)*MIN(I$3-$O$2,$Q$2)/$Q$2))</f>
        <v>4905.41790429854</v>
      </c>
      <c r="J416" s="15" t="n">
        <f aca="false">I416*(1+IF(J$3&lt;=$O$2,$D416,$D416-($D416-$I$400)*MIN(J$3-$O$2,$Q$2)/$Q$2))</f>
        <v>4716.46992523882</v>
      </c>
      <c r="K416" s="15" t="n">
        <f aca="false">J416*(1+IF(K$3&lt;=$O$2,$D416,$D416-($D416-$I$400)*MIN(K$3-$O$2,$Q$2)/$Q$2))</f>
        <v>4619.48200831754</v>
      </c>
      <c r="L416" s="15" t="n">
        <f aca="false">K416*(1+IF(L$3&lt;=$O$2,$D416,$D416-($D416-$I$400)*MIN(L$3-$O$2,$Q$2)/$Q$2))</f>
        <v>4607.42926547957</v>
      </c>
      <c r="M416" s="15" t="n">
        <f aca="false">L416*(1+IF(M$3&lt;=$O$2,$D416,$D416-($D416-$I$400)*MIN(M$3-$O$2,$Q$2)/$Q$2))</f>
        <v>4678.13231480475</v>
      </c>
      <c r="N416" s="15" t="n">
        <f aca="false">M416*(1+IF(N$3&lt;=$O$2,$D416,$D416-($D416-$I$400)*MIN(N$3-$O$2,$Q$2)/$Q$2))</f>
        <v>4833.91412088775</v>
      </c>
      <c r="O416" s="15" t="n">
        <f aca="false">SUMPRODUCT(E416:N416,1/(1+$F$400)^$E$3:$N$3)*$E$2</f>
        <v>11121.6011348844</v>
      </c>
      <c r="P416" s="15" t="n">
        <f aca="false">N416*$E$2*(1+$I$400)/($F$400-$I$400)/(1+$F$400)^$N$3</f>
        <v>15238.0107454052</v>
      </c>
      <c r="Q416" s="15" t="n">
        <f aca="false">O416+P416</f>
        <v>26359.6118802896</v>
      </c>
      <c r="R416" s="15" t="n">
        <f aca="false">Q416-$G$2+$I$2</f>
        <v>19014.4118802896</v>
      </c>
      <c r="S416" s="42" t="n">
        <f aca="false">R416/$K$2</f>
        <v>81.0330785437443</v>
      </c>
      <c r="T416" s="43" t="n">
        <f aca="false">S416-$M$2</f>
        <v>0.0188019616007153</v>
      </c>
    </row>
    <row r="417" customFormat="false" ht="15" hidden="false" customHeight="false" outlineLevel="0" collapsed="false">
      <c r="A417" s="5" t="n">
        <v>16</v>
      </c>
      <c r="B417" s="25" t="n">
        <f aca="false">IF(T416&gt;0,B416,D416)</f>
        <v>-0.0565185546875</v>
      </c>
      <c r="C417" s="25" t="n">
        <f aca="false">IF(T416&gt;0,D416,C416)</f>
        <v>-0.0564727783203125</v>
      </c>
      <c r="D417" s="41" t="n">
        <f aca="false">(B417+C417)/2</f>
        <v>-0.0564956665039063</v>
      </c>
      <c r="E417" s="15" t="n">
        <f aca="false">$C$2*(1+IF(E$3&lt;=$O$2,$D417,$D417-($D417-$I$400)*MIN(E$3-$O$2,$Q$2)/$Q$2))</f>
        <v>6189.38842773438</v>
      </c>
      <c r="F417" s="15" t="n">
        <f aca="false">E417*(1+IF(F$3&lt;=$O$2,$D417,$D417-($D417-$I$400)*MIN(F$3-$O$2,$Q$2)/$Q$2))</f>
        <v>5839.71480325796</v>
      </c>
      <c r="G417" s="15" t="n">
        <f aca="false">F417*(1+IF(G$3&lt;=$O$2,$D417,$D417-($D417-$I$400)*MIN(G$3-$O$2,$Q$2)/$Q$2))</f>
        <v>5509.79622325517</v>
      </c>
      <c r="H417" s="15" t="n">
        <f aca="false">G417*(1+IF(H$3&lt;=$O$2,$D417,$D417-($D417-$I$400)*MIN(H$3-$O$2,$Q$2)/$Q$2))</f>
        <v>5198.51661332166</v>
      </c>
      <c r="I417" s="15" t="n">
        <f aca="false">H417*(1+IF(I$3&lt;=$O$2,$D417,$D417-($D417-$I$400)*MIN(I$3-$O$2,$Q$2)/$Q$2))</f>
        <v>4904.82295242043</v>
      </c>
      <c r="J417" s="15" t="n">
        <f aca="false">I417*(1+IF(J$3&lt;=$O$2,$D417,$D417-($D417-$I$400)*MIN(J$3-$O$2,$Q$2)/$Q$2))</f>
        <v>4715.80807985903</v>
      </c>
      <c r="K417" s="15" t="n">
        <f aca="false">J417*(1+IF(K$3&lt;=$O$2,$D417,$D417-($D417-$I$400)*MIN(K$3-$O$2,$Q$2)/$Q$2))</f>
        <v>4618.76901113707</v>
      </c>
      <c r="L417" s="15" t="n">
        <f aca="false">K417*(1+IF(L$3&lt;=$O$2,$D417,$D417-($D417-$I$400)*MIN(L$3-$O$2,$Q$2)/$Q$2))</f>
        <v>4606.67584249487</v>
      </c>
      <c r="M417" s="15" t="n">
        <f aca="false">L417*(1+IF(M$3&lt;=$O$2,$D417,$D417-($D417-$I$400)*MIN(M$3-$O$2,$Q$2)/$Q$2))</f>
        <v>4677.3462425211</v>
      </c>
      <c r="N417" s="15" t="n">
        <f aca="false">M417*(1+IF(N$3&lt;=$O$2,$D417,$D417-($D417-$I$400)*MIN(N$3-$O$2,$Q$2)/$Q$2))</f>
        <v>4833.10187239705</v>
      </c>
      <c r="O417" s="15" t="n">
        <f aca="false">SUMPRODUCT(E417:N417,1/(1+$F$400)^$E$3:$N$3)*$E$2</f>
        <v>11120.4956498157</v>
      </c>
      <c r="P417" s="15" t="n">
        <f aca="false">N417*$E$2*(1+$I$400)/($F$400-$I$400)/(1+$F$400)^$N$3</f>
        <v>15235.4502838579</v>
      </c>
      <c r="Q417" s="15" t="n">
        <f aca="false">O417+P417</f>
        <v>26355.9459336736</v>
      </c>
      <c r="R417" s="15" t="n">
        <f aca="false">Q417-$G$2+$I$2</f>
        <v>19010.7459336736</v>
      </c>
      <c r="S417" s="42" t="n">
        <f aca="false">R417/$K$2</f>
        <v>81.017455502551</v>
      </c>
      <c r="T417" s="43" t="n">
        <f aca="false">S417-$M$2</f>
        <v>0.00317892040733625</v>
      </c>
    </row>
    <row r="418" customFormat="false" ht="15" hidden="false" customHeight="false" outlineLevel="0" collapsed="false">
      <c r="A418" s="5" t="n">
        <v>17</v>
      </c>
      <c r="B418" s="25" t="n">
        <f aca="false">IF(T417&gt;0,B417,D417)</f>
        <v>-0.0565185546875</v>
      </c>
      <c r="C418" s="25" t="n">
        <f aca="false">IF(T417&gt;0,D417,C417)</f>
        <v>-0.0564956665039063</v>
      </c>
      <c r="D418" s="41" t="n">
        <f aca="false">(B418+C418)/2</f>
        <v>-0.0565071105957031</v>
      </c>
      <c r="E418" s="15" t="n">
        <f aca="false">$C$2*(1+IF(E$3&lt;=$O$2,$D418,$D418-($D418-$I$400)*MIN(E$3-$O$2,$Q$2)/$Q$2))</f>
        <v>6189.31335449219</v>
      </c>
      <c r="F418" s="15" t="n">
        <f aca="false">E418*(1+IF(F$3&lt;=$O$2,$D418,$D418-($D418-$I$400)*MIN(F$3-$O$2,$Q$2)/$Q$2))</f>
        <v>5839.57314025844</v>
      </c>
      <c r="G418" s="15" t="n">
        <f aca="false">F418*(1+IF(G$3&lt;=$O$2,$D418,$D418-($D418-$I$400)*MIN(G$3-$O$2,$Q$2)/$Q$2))</f>
        <v>5509.59573499016</v>
      </c>
      <c r="H418" s="15" t="n">
        <f aca="false">G418*(1+IF(H$3&lt;=$O$2,$D418,$D418-($D418-$I$400)*MIN(H$3-$O$2,$Q$2)/$Q$2))</f>
        <v>5198.26439945545</v>
      </c>
      <c r="I418" s="15" t="n">
        <f aca="false">H418*(1+IF(I$3&lt;=$O$2,$D418,$D418-($D418-$I$400)*MIN(I$3-$O$2,$Q$2)/$Q$2))</f>
        <v>4904.52549812972</v>
      </c>
      <c r="J418" s="15" t="n">
        <f aca="false">I418*(1+IF(J$3&lt;=$O$2,$D418,$D418-($D418-$I$400)*MIN(J$3-$O$2,$Q$2)/$Q$2))</f>
        <v>4715.47718615345</v>
      </c>
      <c r="K418" s="15" t="n">
        <f aca="false">J418*(1+IF(K$3&lt;=$O$2,$D418,$D418-($D418-$I$400)*MIN(K$3-$O$2,$Q$2)/$Q$2))</f>
        <v>4618.41254775132</v>
      </c>
      <c r="L418" s="15" t="n">
        <f aca="false">K418*(1+IF(L$3&lt;=$O$2,$D418,$D418-($D418-$I$400)*MIN(L$3-$O$2,$Q$2)/$Q$2))</f>
        <v>4606.29917101045</v>
      </c>
      <c r="M418" s="15" t="n">
        <f aca="false">L418*(1+IF(M$3&lt;=$O$2,$D418,$D418-($D418-$I$400)*MIN(M$3-$O$2,$Q$2)/$Q$2))</f>
        <v>4676.95324958753</v>
      </c>
      <c r="N418" s="15" t="n">
        <f aca="false">M418*(1+IF(N$3&lt;=$O$2,$D418,$D418-($D418-$I$400)*MIN(N$3-$O$2,$Q$2)/$Q$2))</f>
        <v>4832.69579279879</v>
      </c>
      <c r="O418" s="15" t="n">
        <f aca="false">SUMPRODUCT(E418:N418,1/(1+$F$400)^$E$3:$N$3)*$E$2</f>
        <v>11119.9429502263</v>
      </c>
      <c r="P418" s="15" t="n">
        <f aca="false">N418*$E$2*(1+$I$400)/($F$400-$I$400)/(1+$F$400)^$N$3</f>
        <v>15234.1701938259</v>
      </c>
      <c r="Q418" s="15" t="n">
        <f aca="false">O418+P418</f>
        <v>26354.1131440522</v>
      </c>
      <c r="R418" s="15" t="n">
        <f aca="false">Q418-$G$2+$I$2</f>
        <v>19008.9131440522</v>
      </c>
      <c r="S418" s="42" t="n">
        <f aca="false">R418/$K$2</f>
        <v>81.0096447647655</v>
      </c>
      <c r="T418" s="43" t="n">
        <f aca="false">S418-$M$2</f>
        <v>-0.00463181737811169</v>
      </c>
    </row>
    <row r="419" customFormat="false" ht="15" hidden="false" customHeight="false" outlineLevel="0" collapsed="false">
      <c r="A419" s="5" t="n">
        <v>18</v>
      </c>
      <c r="B419" s="25" t="n">
        <f aca="false">IF(T418&gt;0,B418,D418)</f>
        <v>-0.0565071105957031</v>
      </c>
      <c r="C419" s="25" t="n">
        <f aca="false">IF(T418&gt;0,D418,C418)</f>
        <v>-0.0564956665039063</v>
      </c>
      <c r="D419" s="41" t="n">
        <f aca="false">(B419+C419)/2</f>
        <v>-0.0565013885498047</v>
      </c>
      <c r="E419" s="15" t="n">
        <f aca="false">$C$2*(1+IF(E$3&lt;=$O$2,$D419,$D419-($D419-$I$400)*MIN(E$3-$O$2,$Q$2)/$Q$2))</f>
        <v>6189.35089111328</v>
      </c>
      <c r="F419" s="15" t="n">
        <f aca="false">E419*(1+IF(F$3&lt;=$O$2,$D419,$D419-($D419-$I$400)*MIN(F$3-$O$2,$Q$2)/$Q$2))</f>
        <v>5839.64397154341</v>
      </c>
      <c r="G419" s="15" t="n">
        <f aca="false">F419*(1+IF(G$3&lt;=$O$2,$D419,$D419-($D419-$I$400)*MIN(G$3-$O$2,$Q$2)/$Q$2))</f>
        <v>5509.69597851471</v>
      </c>
      <c r="H419" s="15" t="n">
        <f aca="false">G419*(1+IF(H$3&lt;=$O$2,$D419,$D419-($D419-$I$400)*MIN(H$3-$O$2,$Q$2)/$Q$2))</f>
        <v>5198.39050524136</v>
      </c>
      <c r="I419" s="15" t="n">
        <f aca="false">H419*(1+IF(I$3&lt;=$O$2,$D419,$D419-($D419-$I$400)*MIN(I$3-$O$2,$Q$2)/$Q$2))</f>
        <v>4904.6742234711</v>
      </c>
      <c r="J419" s="15" t="n">
        <f aca="false">I419*(1+IF(J$3&lt;=$O$2,$D419,$D419-($D419-$I$400)*MIN(J$3-$O$2,$Q$2)/$Q$2))</f>
        <v>4715.64263059097</v>
      </c>
      <c r="K419" s="15" t="n">
        <f aca="false">J419*(1+IF(K$3&lt;=$O$2,$D419,$D419-($D419-$I$400)*MIN(K$3-$O$2,$Q$2)/$Q$2))</f>
        <v>4618.59077651062</v>
      </c>
      <c r="L419" s="15" t="n">
        <f aca="false">K419*(1+IF(L$3&lt;=$O$2,$D419,$D419-($D419-$I$400)*MIN(L$3-$O$2,$Q$2)/$Q$2))</f>
        <v>4606.48750341883</v>
      </c>
      <c r="M419" s="15" t="n">
        <f aca="false">L419*(1+IF(M$3&lt;=$O$2,$D419,$D419-($D419-$I$400)*MIN(M$3-$O$2,$Q$2)/$Q$2))</f>
        <v>4677.14974245381</v>
      </c>
      <c r="N419" s="15" t="n">
        <f aca="false">M419*(1+IF(N$3&lt;=$O$2,$D419,$D419-($D419-$I$400)*MIN(N$3-$O$2,$Q$2)/$Q$2))</f>
        <v>4832.89882887753</v>
      </c>
      <c r="O419" s="15" t="n">
        <f aca="false">SUMPRODUCT(E419:N419,1/(1+$F$400)^$E$3:$N$3)*$E$2</f>
        <v>11120.2192964424</v>
      </c>
      <c r="P419" s="15" t="n">
        <f aca="false">N419*$E$2*(1+$I$400)/($F$400-$I$400)/(1+$F$400)^$N$3</f>
        <v>15234.8102271141</v>
      </c>
      <c r="Q419" s="15" t="n">
        <f aca="false">O419+P419</f>
        <v>26355.0295235564</v>
      </c>
      <c r="R419" s="15" t="n">
        <f aca="false">Q419-$G$2+$I$2</f>
        <v>19009.8295235564</v>
      </c>
      <c r="S419" s="42" t="n">
        <f aca="false">R419/$K$2</f>
        <v>81.0135500684272</v>
      </c>
      <c r="T419" s="43" t="n">
        <f aca="false">S419-$M$2</f>
        <v>-0.0007265137164012</v>
      </c>
    </row>
    <row r="420" customFormat="false" ht="15" hidden="false" customHeight="false" outlineLevel="0" collapsed="false">
      <c r="A420" s="5" t="n">
        <v>19</v>
      </c>
      <c r="B420" s="25" t="n">
        <f aca="false">IF(T419&gt;0,B419,D419)</f>
        <v>-0.0565013885498047</v>
      </c>
      <c r="C420" s="25" t="n">
        <f aca="false">IF(T419&gt;0,D419,C419)</f>
        <v>-0.0564956665039063</v>
      </c>
      <c r="D420" s="41" t="n">
        <f aca="false">(B420+C420)/2</f>
        <v>-0.0564985275268555</v>
      </c>
      <c r="E420" s="15" t="n">
        <f aca="false">$C$2*(1+IF(E$3&lt;=$O$2,$D420,$D420-($D420-$I$400)*MIN(E$3-$O$2,$Q$2)/$Q$2))</f>
        <v>6189.36965942383</v>
      </c>
      <c r="F420" s="15" t="n">
        <f aca="false">E420*(1+IF(F$3&lt;=$O$2,$D420,$D420-($D420-$I$400)*MIN(F$3-$O$2,$Q$2)/$Q$2))</f>
        <v>5839.67938734699</v>
      </c>
      <c r="G420" s="15" t="n">
        <f aca="false">F420*(1+IF(G$3&lt;=$O$2,$D420,$D420-($D420-$I$400)*MIN(G$3-$O$2,$Q$2)/$Q$2))</f>
        <v>5509.74610073295</v>
      </c>
      <c r="H420" s="15" t="n">
        <f aca="false">G420*(1+IF(H$3&lt;=$O$2,$D420,$D420-($D420-$I$400)*MIN(H$3-$O$2,$Q$2)/$Q$2))</f>
        <v>5198.45355899471</v>
      </c>
      <c r="I420" s="15" t="n">
        <f aca="false">H420*(1+IF(I$3&lt;=$O$2,$D420,$D420-($D420-$I$400)*MIN(I$3-$O$2,$Q$2)/$Q$2))</f>
        <v>4904.74858749477</v>
      </c>
      <c r="J420" s="15" t="n">
        <f aca="false">I420*(1+IF(J$3&lt;=$O$2,$D420,$D420-($D420-$I$400)*MIN(J$3-$O$2,$Q$2)/$Q$2))</f>
        <v>4715.72535462118</v>
      </c>
      <c r="K420" s="15" t="n">
        <f aca="false">J420*(1+IF(K$3&lt;=$O$2,$D420,$D420-($D420-$I$400)*MIN(K$3-$O$2,$Q$2)/$Q$2))</f>
        <v>4618.67989309044</v>
      </c>
      <c r="L420" s="15" t="n">
        <f aca="false">K420*(1+IF(L$3&lt;=$O$2,$D420,$D420-($D420-$I$400)*MIN(L$3-$O$2,$Q$2)/$Q$2))</f>
        <v>4606.58167212338</v>
      </c>
      <c r="M420" s="15" t="n">
        <f aca="false">L420*(1+IF(M$3&lt;=$O$2,$D420,$D420-($D420-$I$400)*MIN(M$3-$O$2,$Q$2)/$Q$2))</f>
        <v>4677.24799158732</v>
      </c>
      <c r="N420" s="15" t="n">
        <f aca="false">M420*(1+IF(N$3&lt;=$O$2,$D420,$D420-($D420-$I$400)*MIN(N$3-$O$2,$Q$2)/$Q$2))</f>
        <v>4833.00034970718</v>
      </c>
      <c r="O420" s="15" t="n">
        <f aca="false">SUMPRODUCT(E420:N420,1/(1+$F$400)^$E$3:$N$3)*$E$2</f>
        <v>11120.3574722344</v>
      </c>
      <c r="P420" s="15" t="n">
        <f aca="false">N420*$E$2*(1+$I$400)/($F$400-$I$400)/(1+$F$400)^$N$3</f>
        <v>15235.130252554</v>
      </c>
      <c r="Q420" s="15" t="n">
        <f aca="false">O420+P420</f>
        <v>26355.4877247884</v>
      </c>
      <c r="R420" s="15" t="n">
        <f aca="false">Q420-$G$2+$I$2</f>
        <v>19010.2877247883</v>
      </c>
      <c r="S420" s="42" t="n">
        <f aca="false">R420/$K$2</f>
        <v>81.0155027691811</v>
      </c>
      <c r="T420" s="43" t="n">
        <f aca="false">S420-$M$2</f>
        <v>0.00122618703748856</v>
      </c>
    </row>
    <row r="421" customFormat="false" ht="15" hidden="false" customHeight="false" outlineLevel="0" collapsed="false">
      <c r="A421" s="5" t="n">
        <v>20</v>
      </c>
      <c r="B421" s="25" t="n">
        <f aca="false">IF(T420&gt;0,B420,D420)</f>
        <v>-0.0565013885498047</v>
      </c>
      <c r="C421" s="25" t="n">
        <f aca="false">IF(T420&gt;0,D420,C420)</f>
        <v>-0.0564985275268555</v>
      </c>
      <c r="D421" s="41" t="n">
        <f aca="false">(B421+C421)/2</f>
        <v>-0.0564999580383301</v>
      </c>
      <c r="E421" s="15" t="n">
        <f aca="false">$C$2*(1+IF(E$3&lt;=$O$2,$D421,$D421-($D421-$I$400)*MIN(E$3-$O$2,$Q$2)/$Q$2))</f>
        <v>6189.36027526856</v>
      </c>
      <c r="F421" s="15" t="n">
        <f aca="false">E421*(1+IF(F$3&lt;=$O$2,$D421,$D421-($D421-$I$400)*MIN(F$3-$O$2,$Q$2)/$Q$2))</f>
        <v>5839.66167943177</v>
      </c>
      <c r="G421" s="15" t="n">
        <f aca="false">F421*(1+IF(G$3&lt;=$O$2,$D421,$D421-($D421-$I$400)*MIN(G$3-$O$2,$Q$2)/$Q$2))</f>
        <v>5509.72103958584</v>
      </c>
      <c r="H421" s="15" t="n">
        <f aca="false">G421*(1+IF(H$3&lt;=$O$2,$D421,$D421-($D421-$I$400)*MIN(H$3-$O$2,$Q$2)/$Q$2))</f>
        <v>5198.42203204633</v>
      </c>
      <c r="I421" s="15" t="n">
        <f aca="false">H421*(1+IF(I$3&lt;=$O$2,$D421,$D421-($D421-$I$400)*MIN(I$3-$O$2,$Q$2)/$Q$2))</f>
        <v>4904.71140537018</v>
      </c>
      <c r="J421" s="15" t="n">
        <f aca="false">I421*(1+IF(J$3&lt;=$O$2,$D421,$D421-($D421-$I$400)*MIN(J$3-$O$2,$Q$2)/$Q$2))</f>
        <v>4715.68399245512</v>
      </c>
      <c r="K421" s="15" t="n">
        <f aca="false">J421*(1+IF(K$3&lt;=$O$2,$D421,$D421-($D421-$I$400)*MIN(K$3-$O$2,$Q$2)/$Q$2))</f>
        <v>4618.63533461718</v>
      </c>
      <c r="L421" s="15" t="n">
        <f aca="false">K421*(1+IF(L$3&lt;=$O$2,$D421,$D421-($D421-$I$400)*MIN(L$3-$O$2,$Q$2)/$Q$2))</f>
        <v>4606.53458756274</v>
      </c>
      <c r="M421" s="15" t="n">
        <f aca="false">L421*(1+IF(M$3&lt;=$O$2,$D421,$D421-($D421-$I$400)*MIN(M$3-$O$2,$Q$2)/$Q$2))</f>
        <v>4677.19886679553</v>
      </c>
      <c r="N421" s="15" t="n">
        <f aca="false">M421*(1+IF(N$3&lt;=$O$2,$D421,$D421-($D421-$I$400)*MIN(N$3-$O$2,$Q$2)/$Q$2))</f>
        <v>4832.94958905982</v>
      </c>
      <c r="O421" s="15" t="n">
        <f aca="false">SUMPRODUCT(E421:N421,1/(1+$F$400)^$E$3:$N$3)*$E$2</f>
        <v>11120.2883841147</v>
      </c>
      <c r="P421" s="15" t="n">
        <f aca="false">N421*$E$2*(1+$I$400)/($F$400-$I$400)/(1+$F$400)^$N$3</f>
        <v>15234.970239101</v>
      </c>
      <c r="Q421" s="15" t="n">
        <f aca="false">O421+P421</f>
        <v>26355.2586232157</v>
      </c>
      <c r="R421" s="15" t="n">
        <f aca="false">Q421-$G$2+$I$2</f>
        <v>19010.0586232157</v>
      </c>
      <c r="S421" s="42" t="n">
        <f aca="false">R421/$K$2</f>
        <v>81.0145264147272</v>
      </c>
      <c r="T421" s="43" t="n">
        <f aca="false">S421-$M$2</f>
        <v>0.000249832583548937</v>
      </c>
    </row>
    <row r="422" customFormat="false" ht="15" hidden="false" customHeight="false" outlineLevel="0" collapsed="false">
      <c r="A422" s="5" t="n">
        <v>21</v>
      </c>
      <c r="B422" s="25" t="n">
        <f aca="false">IF(T421&gt;0,B421,D421)</f>
        <v>-0.0565013885498047</v>
      </c>
      <c r="C422" s="25" t="n">
        <f aca="false">IF(T421&gt;0,D421,C421)</f>
        <v>-0.0564999580383301</v>
      </c>
      <c r="D422" s="41" t="n">
        <f aca="false">(B422+C422)/2</f>
        <v>-0.0565006732940674</v>
      </c>
      <c r="E422" s="15" t="n">
        <f aca="false">$C$2*(1+IF(E$3&lt;=$O$2,$D422,$D422-($D422-$I$400)*MIN(E$3-$O$2,$Q$2)/$Q$2))</f>
        <v>6189.35558319092</v>
      </c>
      <c r="F422" s="15" t="n">
        <f aca="false">E422*(1+IF(F$3&lt;=$O$2,$D422,$D422-($D422-$I$400)*MIN(F$3-$O$2,$Q$2)/$Q$2))</f>
        <v>5839.65282548424</v>
      </c>
      <c r="G422" s="15" t="n">
        <f aca="false">F422*(1+IF(G$3&lt;=$O$2,$D422,$D422-($D422-$I$400)*MIN(G$3-$O$2,$Q$2)/$Q$2))</f>
        <v>5509.70850904077</v>
      </c>
      <c r="H422" s="15" t="n">
        <f aca="false">G422*(1+IF(H$3&lt;=$O$2,$D422,$D422-($D422-$I$400)*MIN(H$3-$O$2,$Q$2)/$Q$2))</f>
        <v>5198.40626862592</v>
      </c>
      <c r="I422" s="15" t="n">
        <f aca="false">H422*(1+IF(I$3&lt;=$O$2,$D422,$D422-($D422-$I$400)*MIN(I$3-$O$2,$Q$2)/$Q$2))</f>
        <v>4904.69281439245</v>
      </c>
      <c r="J422" s="15" t="n">
        <f aca="false">I422*(1+IF(J$3&lt;=$O$2,$D422,$D422-($D422-$I$400)*MIN(J$3-$O$2,$Q$2)/$Q$2))</f>
        <v>4715.66331148531</v>
      </c>
      <c r="K422" s="15" t="n">
        <f aca="false">J422*(1+IF(K$3&lt;=$O$2,$D422,$D422-($D422-$I$400)*MIN(K$3-$O$2,$Q$2)/$Q$2))</f>
        <v>4618.61305551806</v>
      </c>
      <c r="L422" s="15" t="n">
        <f aca="false">K422*(1+IF(L$3&lt;=$O$2,$D422,$D422-($D422-$I$400)*MIN(L$3-$O$2,$Q$2)/$Q$2))</f>
        <v>4606.5110454387</v>
      </c>
      <c r="M422" s="15" t="n">
        <f aca="false">L422*(1+IF(M$3&lt;=$O$2,$D422,$D422-($D422-$I$400)*MIN(M$3-$O$2,$Q$2)/$Q$2))</f>
        <v>4677.17430456841</v>
      </c>
      <c r="N422" s="15" t="n">
        <f aca="false">M422*(1+IF(N$3&lt;=$O$2,$D422,$D422-($D422-$I$400)*MIN(N$3-$O$2,$Q$2)/$Q$2))</f>
        <v>4832.92420891054</v>
      </c>
      <c r="O422" s="15" t="n">
        <f aca="false">SUMPRODUCT(E422:N422,1/(1+$F$400)^$E$3:$N$3)*$E$2</f>
        <v>11120.2538402226</v>
      </c>
      <c r="P422" s="15" t="n">
        <f aca="false">N422*$E$2*(1+$I$400)/($F$400-$I$400)/(1+$F$400)^$N$3</f>
        <v>15234.8902329243</v>
      </c>
      <c r="Q422" s="15" t="n">
        <f aca="false">O422+P422</f>
        <v>26355.1440731469</v>
      </c>
      <c r="R422" s="15" t="n">
        <f aca="false">Q422-$G$2+$I$2</f>
        <v>19009.9440731469</v>
      </c>
      <c r="S422" s="42" t="n">
        <f aca="false">R422/$K$2</f>
        <v>81.0140382405579</v>
      </c>
      <c r="T422" s="43" t="n">
        <f aca="false">S422-$M$2</f>
        <v>-0.000238341585699686</v>
      </c>
    </row>
    <row r="423" customFormat="false" ht="15" hidden="false" customHeight="false" outlineLevel="0" collapsed="false">
      <c r="A423" s="5" t="n">
        <v>22</v>
      </c>
      <c r="B423" s="25" t="n">
        <f aca="false">IF(T422&gt;0,B422,D422)</f>
        <v>-0.0565006732940674</v>
      </c>
      <c r="C423" s="25" t="n">
        <f aca="false">IF(T422&gt;0,D422,C422)</f>
        <v>-0.0564999580383301</v>
      </c>
      <c r="D423" s="41" t="n">
        <f aca="false">(B423+C423)/2</f>
        <v>-0.0565003156661987</v>
      </c>
      <c r="E423" s="15" t="n">
        <f aca="false">$C$2*(1+IF(E$3&lt;=$O$2,$D423,$D423-($D423-$I$400)*MIN(E$3-$O$2,$Q$2)/$Q$2))</f>
        <v>6189.35792922974</v>
      </c>
      <c r="F423" s="15" t="n">
        <f aca="false">E423*(1+IF(F$3&lt;=$O$2,$D423,$D423-($D423-$I$400)*MIN(F$3-$O$2,$Q$2)/$Q$2))</f>
        <v>5839.65725245717</v>
      </c>
      <c r="G423" s="15" t="n">
        <f aca="false">F423*(1+IF(G$3&lt;=$O$2,$D423,$D423-($D423-$I$400)*MIN(G$3-$O$2,$Q$2)/$Q$2))</f>
        <v>5509.71477431093</v>
      </c>
      <c r="H423" s="15" t="n">
        <f aca="false">G423*(1+IF(H$3&lt;=$O$2,$D423,$D423-($D423-$I$400)*MIN(H$3-$O$2,$Q$2)/$Q$2))</f>
        <v>5198.41415033164</v>
      </c>
      <c r="I423" s="15" t="n">
        <f aca="false">H423*(1+IF(I$3&lt;=$O$2,$D423,$D423-($D423-$I$400)*MIN(I$3-$O$2,$Q$2)/$Q$2))</f>
        <v>4904.70210987427</v>
      </c>
      <c r="J423" s="15" t="n">
        <f aca="false">I423*(1+IF(J$3&lt;=$O$2,$D423,$D423-($D423-$I$400)*MIN(J$3-$O$2,$Q$2)/$Q$2))</f>
        <v>4715.67365196078</v>
      </c>
      <c r="K423" s="15" t="n">
        <f aca="false">J423*(1+IF(K$3&lt;=$O$2,$D423,$D423-($D423-$I$400)*MIN(K$3-$O$2,$Q$2)/$Q$2))</f>
        <v>4618.62419505616</v>
      </c>
      <c r="L423" s="15" t="n">
        <f aca="false">K423*(1+IF(L$3&lt;=$O$2,$D423,$D423-($D423-$I$400)*MIN(L$3-$O$2,$Q$2)/$Q$2))</f>
        <v>4606.5228164877</v>
      </c>
      <c r="M423" s="15" t="n">
        <f aca="false">L423*(1+IF(M$3&lt;=$O$2,$D423,$D423-($D423-$I$400)*MIN(M$3-$O$2,$Q$2)/$Q$2))</f>
        <v>4677.18658566791</v>
      </c>
      <c r="N423" s="15" t="n">
        <f aca="false">M423*(1+IF(N$3&lt;=$O$2,$D423,$D423-($D423-$I$400)*MIN(N$3-$O$2,$Q$2)/$Q$2))</f>
        <v>4832.93689897065</v>
      </c>
      <c r="O423" s="15" t="n">
        <f aca="false">SUMPRODUCT(E423:N423,1/(1+$F$400)^$E$3:$N$3)*$E$2</f>
        <v>11120.2711121547</v>
      </c>
      <c r="P423" s="15" t="n">
        <f aca="false">N423*$E$2*(1+$I$400)/($F$400-$I$400)/(1+$F$400)^$N$3</f>
        <v>15234.9302359669</v>
      </c>
      <c r="Q423" s="15" t="n">
        <f aca="false">O423+P423</f>
        <v>26355.2013481215</v>
      </c>
      <c r="R423" s="15" t="n">
        <f aca="false">Q423-$G$2+$I$2</f>
        <v>19010.0013481215</v>
      </c>
      <c r="S423" s="42" t="n">
        <f aca="false">R423/$K$2</f>
        <v>81.0142823273877</v>
      </c>
      <c r="T423" s="43" t="n">
        <f aca="false">S423-$M$2</f>
        <v>5.74524410978938E-006</v>
      </c>
    </row>
    <row r="424" customFormat="false" ht="15" hidden="false" customHeight="false" outlineLevel="0" collapsed="false">
      <c r="A424" s="5" t="n">
        <v>23</v>
      </c>
      <c r="B424" s="25" t="n">
        <f aca="false">IF(T423&gt;0,B423,D423)</f>
        <v>-0.0565006732940674</v>
      </c>
      <c r="C424" s="25" t="n">
        <f aca="false">IF(T423&gt;0,D423,C423)</f>
        <v>-0.0565003156661987</v>
      </c>
      <c r="D424" s="41" t="n">
        <f aca="false">(B424+C424)/2</f>
        <v>-0.0565004944801331</v>
      </c>
      <c r="E424" s="15" t="n">
        <f aca="false">$C$2*(1+IF(E$3&lt;=$O$2,$D424,$D424-($D424-$I$400)*MIN(E$3-$O$2,$Q$2)/$Q$2))</f>
        <v>6189.35675621033</v>
      </c>
      <c r="F424" s="15" t="n">
        <f aca="false">E424*(1+IF(F$3&lt;=$O$2,$D424,$D424-($D424-$I$400)*MIN(F$3-$O$2,$Q$2)/$Q$2))</f>
        <v>5839.65503897049</v>
      </c>
      <c r="G424" s="15" t="n">
        <f aca="false">F424*(1+IF(G$3&lt;=$O$2,$D424,$D424-($D424-$I$400)*MIN(G$3-$O$2,$Q$2)/$Q$2))</f>
        <v>5509.71164167526</v>
      </c>
      <c r="H424" s="15" t="n">
        <f aca="false">G424*(1+IF(H$3&lt;=$O$2,$D424,$D424-($D424-$I$400)*MIN(H$3-$O$2,$Q$2)/$Q$2))</f>
        <v>5198.41020947766</v>
      </c>
      <c r="I424" s="15" t="n">
        <f aca="false">H424*(1+IF(I$3&lt;=$O$2,$D424,$D424-($D424-$I$400)*MIN(I$3-$O$2,$Q$2)/$Q$2))</f>
        <v>4904.6974621316</v>
      </c>
      <c r="J424" s="15" t="n">
        <f aca="false">I424*(1+IF(J$3&lt;=$O$2,$D424,$D424-($D424-$I$400)*MIN(J$3-$O$2,$Q$2)/$Q$2))</f>
        <v>4715.66848172069</v>
      </c>
      <c r="K424" s="15" t="n">
        <f aca="false">J424*(1+IF(K$3&lt;=$O$2,$D424,$D424-($D424-$I$400)*MIN(K$3-$O$2,$Q$2)/$Q$2))</f>
        <v>4618.61862528425</v>
      </c>
      <c r="L424" s="15" t="n">
        <f aca="false">K424*(1+IF(L$3&lt;=$O$2,$D424,$D424-($D424-$I$400)*MIN(L$3-$O$2,$Q$2)/$Q$2))</f>
        <v>4606.51693095994</v>
      </c>
      <c r="M424" s="15" t="n">
        <f aca="false">L424*(1+IF(M$3&lt;=$O$2,$D424,$D424-($D424-$I$400)*MIN(M$3-$O$2,$Q$2)/$Q$2))</f>
        <v>4677.18044511465</v>
      </c>
      <c r="N424" s="15" t="n">
        <f aca="false">M424*(1+IF(N$3&lt;=$O$2,$D424,$D424-($D424-$I$400)*MIN(N$3-$O$2,$Q$2)/$Q$2))</f>
        <v>4832.93055393696</v>
      </c>
      <c r="O424" s="15" t="n">
        <f aca="false">SUMPRODUCT(E424:N424,1/(1+$F$400)^$E$3:$N$3)*$E$2</f>
        <v>11120.2624761852</v>
      </c>
      <c r="P424" s="15" t="n">
        <f aca="false">N424*$E$2*(1+$I$400)/($F$400-$I$400)/(1+$F$400)^$N$3</f>
        <v>15234.9102344341</v>
      </c>
      <c r="Q424" s="15" t="n">
        <f aca="false">O424+P424</f>
        <v>26355.1727106193</v>
      </c>
      <c r="R424" s="15" t="n">
        <f aca="false">Q424-$G$2+$I$2</f>
        <v>19009.9727106193</v>
      </c>
      <c r="S424" s="42" t="n">
        <f aca="false">R424/$K$2</f>
        <v>81.0141602839092</v>
      </c>
      <c r="T424" s="43" t="n">
        <f aca="false">S424-$M$2</f>
        <v>-0.000116298234459578</v>
      </c>
    </row>
    <row r="425" customFormat="false" ht="15" hidden="false" customHeight="false" outlineLevel="0" collapsed="false">
      <c r="A425" s="5" t="n">
        <v>24</v>
      </c>
      <c r="B425" s="25" t="n">
        <f aca="false">IF(T424&gt;0,B424,D424)</f>
        <v>-0.0565004944801331</v>
      </c>
      <c r="C425" s="25" t="n">
        <f aca="false">IF(T424&gt;0,D424,C424)</f>
        <v>-0.0565003156661987</v>
      </c>
      <c r="D425" s="41" t="n">
        <f aca="false">(B425+C425)/2</f>
        <v>-0.0565004050731659</v>
      </c>
      <c r="E425" s="15" t="n">
        <f aca="false">$C$2*(1+IF(E$3&lt;=$O$2,$D425,$D425-($D425-$I$400)*MIN(E$3-$O$2,$Q$2)/$Q$2))</f>
        <v>6189.35734272003</v>
      </c>
      <c r="F425" s="15" t="n">
        <f aca="false">E425*(1+IF(F$3&lt;=$O$2,$D425,$D425-($D425-$I$400)*MIN(F$3-$O$2,$Q$2)/$Q$2))</f>
        <v>5839.65614571378</v>
      </c>
      <c r="G425" s="15" t="n">
        <f aca="false">F425*(1+IF(G$3&lt;=$O$2,$D425,$D425-($D425-$I$400)*MIN(G$3-$O$2,$Q$2)/$Q$2))</f>
        <v>5509.71320799295</v>
      </c>
      <c r="H425" s="15" t="n">
        <f aca="false">G425*(1+IF(H$3&lt;=$O$2,$D425,$D425-($D425-$I$400)*MIN(H$3-$O$2,$Q$2)/$Q$2))</f>
        <v>5198.41217990437</v>
      </c>
      <c r="I425" s="15" t="n">
        <f aca="false">H425*(1+IF(I$3&lt;=$O$2,$D425,$D425-($D425-$I$400)*MIN(I$3-$O$2,$Q$2)/$Q$2))</f>
        <v>4904.6997860025</v>
      </c>
      <c r="J425" s="15" t="n">
        <f aca="false">I425*(1+IF(J$3&lt;=$O$2,$D425,$D425-($D425-$I$400)*MIN(J$3-$O$2,$Q$2)/$Q$2))</f>
        <v>4715.67106684014</v>
      </c>
      <c r="K425" s="15" t="n">
        <f aca="false">J425*(1+IF(K$3&lt;=$O$2,$D425,$D425-($D425-$I$400)*MIN(K$3-$O$2,$Q$2)/$Q$2))</f>
        <v>4618.62141016949</v>
      </c>
      <c r="L425" s="15" t="n">
        <f aca="false">K425*(1+IF(L$3&lt;=$O$2,$D425,$D425-($D425-$I$400)*MIN(L$3-$O$2,$Q$2)/$Q$2))</f>
        <v>4606.51987372301</v>
      </c>
      <c r="M425" s="15" t="n">
        <f aca="false">L425*(1+IF(M$3&lt;=$O$2,$D425,$D425-($D425-$I$400)*MIN(M$3-$O$2,$Q$2)/$Q$2))</f>
        <v>4677.1835153904</v>
      </c>
      <c r="N425" s="15" t="n">
        <f aca="false">M425*(1+IF(N$3&lt;=$O$2,$D425,$D425-($D425-$I$400)*MIN(N$3-$O$2,$Q$2)/$Q$2))</f>
        <v>4832.9337264529</v>
      </c>
      <c r="O425" s="15" t="n">
        <f aca="false">SUMPRODUCT(E425:N425,1/(1+$F$400)^$E$3:$N$3)*$E$2</f>
        <v>11120.266794169</v>
      </c>
      <c r="P425" s="15" t="n">
        <f aca="false">N425*$E$2*(1+$I$400)/($F$400-$I$400)/(1+$F$400)^$N$3</f>
        <v>15234.9202351976</v>
      </c>
      <c r="Q425" s="15" t="n">
        <f aca="false">O425+P425</f>
        <v>26355.1870293667</v>
      </c>
      <c r="R425" s="15" t="n">
        <f aca="false">Q425-$G$2+$I$2</f>
        <v>19009.9870293667</v>
      </c>
      <c r="S425" s="42" t="n">
        <f aca="false">R425/$K$2</f>
        <v>81.0142213056326</v>
      </c>
      <c r="T425" s="43" t="n">
        <f aca="false">S425-$M$2</f>
        <v>-5.52765110626297E-005</v>
      </c>
    </row>
    <row r="427" customFormat="false" ht="15" hidden="false" customHeight="false" outlineLevel="0" collapsed="false">
      <c r="A427" s="38" t="s">
        <v>197</v>
      </c>
      <c r="E427" s="5" t="s">
        <v>11</v>
      </c>
      <c r="F427" s="12" t="n">
        <f aca="false">Sensitivity!$B$12</f>
        <v>0.0812368036285737</v>
      </c>
      <c r="G427" s="5" t="s">
        <v>12</v>
      </c>
      <c r="I427" s="12" t="n">
        <f aca="false">Sensitivity!$G$9</f>
        <v>0.0383</v>
      </c>
    </row>
    <row r="428" customFormat="false" ht="23.85" hidden="false" customHeight="false" outlineLevel="0" collapsed="false">
      <c r="A428" s="38" t="s">
        <v>163</v>
      </c>
      <c r="B428" s="28" t="s">
        <v>164</v>
      </c>
      <c r="C428" s="28" t="s">
        <v>165</v>
      </c>
      <c r="D428" s="28" t="s">
        <v>166</v>
      </c>
      <c r="E428" s="28" t="s">
        <v>167</v>
      </c>
      <c r="F428" s="28" t="s">
        <v>168</v>
      </c>
      <c r="G428" s="28" t="s">
        <v>169</v>
      </c>
      <c r="H428" s="28" t="s">
        <v>170</v>
      </c>
      <c r="I428" s="28" t="s">
        <v>171</v>
      </c>
      <c r="J428" s="28" t="s">
        <v>172</v>
      </c>
      <c r="K428" s="28" t="s">
        <v>173</v>
      </c>
      <c r="L428" s="28" t="s">
        <v>174</v>
      </c>
      <c r="M428" s="28" t="s">
        <v>175</v>
      </c>
      <c r="N428" s="28" t="s">
        <v>176</v>
      </c>
      <c r="O428" s="28" t="s">
        <v>177</v>
      </c>
      <c r="P428" s="28" t="s">
        <v>178</v>
      </c>
      <c r="Q428" s="28" t="s">
        <v>179</v>
      </c>
      <c r="R428" s="28" t="s">
        <v>180</v>
      </c>
      <c r="S428" s="28" t="s">
        <v>181</v>
      </c>
      <c r="T428" s="28" t="s">
        <v>182</v>
      </c>
    </row>
    <row r="429" customFormat="false" ht="15" hidden="false" customHeight="false" outlineLevel="0" collapsed="false">
      <c r="A429" s="5" t="n">
        <v>1</v>
      </c>
      <c r="B429" s="24" t="n">
        <v>-0.5</v>
      </c>
      <c r="C429" s="24" t="n">
        <v>1</v>
      </c>
      <c r="D429" s="41" t="n">
        <f aca="false">(B429+C429)/2</f>
        <v>0.25</v>
      </c>
      <c r="E429" s="15" t="n">
        <f aca="false">$C$2*(1+IF(E$3&lt;=$O$2,$D429,$D429-($D429-$I$427)*MIN(E$3-$O$2,$Q$2)/$Q$2))</f>
        <v>8200</v>
      </c>
      <c r="F429" s="15" t="n">
        <f aca="false">E429*(1+IF(F$3&lt;=$O$2,$D429,$D429-($D429-$I$427)*MIN(F$3-$O$2,$Q$2)/$Q$2))</f>
        <v>10250</v>
      </c>
      <c r="G429" s="15" t="n">
        <f aca="false">F429*(1+IF(G$3&lt;=$O$2,$D429,$D429-($D429-$I$427)*MIN(G$3-$O$2,$Q$2)/$Q$2))</f>
        <v>12812.5</v>
      </c>
      <c r="H429" s="15" t="n">
        <f aca="false">G429*(1+IF(H$3&lt;=$O$2,$D429,$D429-($D429-$I$427)*MIN(H$3-$O$2,$Q$2)/$Q$2))</f>
        <v>16015.625</v>
      </c>
      <c r="I429" s="15" t="n">
        <f aca="false">H429*(1+IF(I$3&lt;=$O$2,$D429,$D429-($D429-$I$427)*MIN(I$3-$O$2,$Q$2)/$Q$2))</f>
        <v>20019.53125</v>
      </c>
      <c r="J429" s="15" t="n">
        <f aca="false">I429*(1+IF(J$3&lt;=$O$2,$D429,$D429-($D429-$I$427)*MIN(J$3-$O$2,$Q$2)/$Q$2))</f>
        <v>24176.787109375</v>
      </c>
      <c r="K429" s="15" t="n">
        <f aca="false">J429*(1+IF(K$3&lt;=$O$2,$D429,$D429-($D429-$I$427)*MIN(K$3-$O$2,$Q$2)/$Q$2))</f>
        <v>28173.6935542969</v>
      </c>
      <c r="L429" s="15" t="n">
        <f aca="false">K429*(1+IF(L$3&lt;=$O$2,$D429,$D429-($D429-$I$427)*MIN(L$3-$O$2,$Q$2)/$Q$2))</f>
        <v>31638.4943876043</v>
      </c>
      <c r="M429" s="15" t="n">
        <f aca="false">L429*(1+IF(M$3&lt;=$O$2,$D429,$D429-($D429-$I$427)*MIN(M$3-$O$2,$Q$2)/$Q$2))</f>
        <v>34189.8225750207</v>
      </c>
      <c r="N429" s="15" t="n">
        <f aca="false">M429*(1+IF(N$3&lt;=$O$2,$D429,$D429-($D429-$I$427)*MIN(N$3-$O$2,$Q$2)/$Q$2))</f>
        <v>35499.292779644</v>
      </c>
      <c r="O429" s="15" t="n">
        <f aca="false">SUMPRODUCT(E429:N429,1/(1+$F$427)^$E$3:$N$3)*$E$2</f>
        <v>42575.0388473699</v>
      </c>
      <c r="P429" s="15" t="n">
        <f aca="false">N429*$E$2*(1+$I$427)/($F$427-$I$427)/(1+$F$427)^$N$3</f>
        <v>125540.782781786</v>
      </c>
      <c r="Q429" s="15" t="n">
        <f aca="false">O429+P429</f>
        <v>168115.821629156</v>
      </c>
      <c r="R429" s="15" t="n">
        <f aca="false">Q429-$G$2+$I$2</f>
        <v>160770.621629156</v>
      </c>
      <c r="S429" s="42" t="n">
        <f aca="false">R429/$K$2</f>
        <v>685.150742080356</v>
      </c>
      <c r="T429" s="43" t="n">
        <f aca="false">S429-$M$2</f>
        <v>604.136465498213</v>
      </c>
    </row>
    <row r="430" customFormat="false" ht="15" hidden="false" customHeight="false" outlineLevel="0" collapsed="false">
      <c r="A430" s="5" t="n">
        <v>2</v>
      </c>
      <c r="B430" s="25" t="n">
        <f aca="false">IF(T429&gt;0,B429,D429)</f>
        <v>-0.5</v>
      </c>
      <c r="C430" s="25" t="n">
        <f aca="false">IF(T429&gt;0,D429,C429)</f>
        <v>0.25</v>
      </c>
      <c r="D430" s="41" t="n">
        <f aca="false">(B430+C430)/2</f>
        <v>-0.125</v>
      </c>
      <c r="E430" s="15" t="n">
        <f aca="false">$C$2*(1+IF(E$3&lt;=$O$2,$D430,$D430-($D430-$I$427)*MIN(E$3-$O$2,$Q$2)/$Q$2))</f>
        <v>5740</v>
      </c>
      <c r="F430" s="15" t="n">
        <f aca="false">E430*(1+IF(F$3&lt;=$O$2,$D430,$D430-($D430-$I$427)*MIN(F$3-$O$2,$Q$2)/$Q$2))</f>
        <v>5022.5</v>
      </c>
      <c r="G430" s="15" t="n">
        <f aca="false">F430*(1+IF(G$3&lt;=$O$2,$D430,$D430-($D430-$I$427)*MIN(G$3-$O$2,$Q$2)/$Q$2))</f>
        <v>4394.6875</v>
      </c>
      <c r="H430" s="15" t="n">
        <f aca="false">G430*(1+IF(H$3&lt;=$O$2,$D430,$D430-($D430-$I$427)*MIN(H$3-$O$2,$Q$2)/$Q$2))</f>
        <v>3845.3515625</v>
      </c>
      <c r="I430" s="15" t="n">
        <f aca="false">H430*(1+IF(I$3&lt;=$O$2,$D430,$D430-($D430-$I$427)*MIN(I$3-$O$2,$Q$2)/$Q$2))</f>
        <v>3364.6826171875</v>
      </c>
      <c r="J430" s="15" t="n">
        <f aca="false">I430*(1+IF(J$3&lt;=$O$2,$D430,$D430-($D430-$I$427)*MIN(J$3-$O$2,$Q$2)/$Q$2))</f>
        <v>3053.98782431641</v>
      </c>
      <c r="K430" s="15" t="n">
        <f aca="false">J430*(1+IF(K$3&lt;=$O$2,$D430,$D430-($D430-$I$427)*MIN(K$3-$O$2,$Q$2)/$Q$2))</f>
        <v>2871.7258309612</v>
      </c>
      <c r="L430" s="15" t="n">
        <f aca="false">K430*(1+IF(L$3&lt;=$O$2,$D430,$D430-($D430-$I$427)*MIN(L$3-$O$2,$Q$2)/$Q$2))</f>
        <v>2794.13179900863</v>
      </c>
      <c r="M430" s="15" t="n">
        <f aca="false">L430*(1+IF(M$3&lt;=$O$2,$D430,$D430-($D430-$I$427)*MIN(M$3-$O$2,$Q$2)/$Q$2))</f>
        <v>2809.89070235504</v>
      </c>
      <c r="N430" s="15" t="n">
        <f aca="false">M430*(1+IF(N$3&lt;=$O$2,$D430,$D430-($D430-$I$427)*MIN(N$3-$O$2,$Q$2)/$Q$2))</f>
        <v>2917.50951625524</v>
      </c>
      <c r="O430" s="15" t="n">
        <f aca="false">SUMPRODUCT(E430:N430,1/(1+$F$427)^$E$3:$N$3)*$E$2</f>
        <v>8293.34073313261</v>
      </c>
      <c r="P430" s="15" t="n">
        <f aca="false">N430*$E$2*(1+$I$427)/($F$427-$I$427)/(1+$F$427)^$N$3</f>
        <v>10317.5697250514</v>
      </c>
      <c r="Q430" s="15" t="n">
        <f aca="false">O430+P430</f>
        <v>18610.910458184</v>
      </c>
      <c r="R430" s="15" t="n">
        <f aca="false">Q430-$G$2+$I$2</f>
        <v>11265.710458184</v>
      </c>
      <c r="S430" s="42" t="n">
        <f aca="false">R430/$K$2</f>
        <v>48.0106987350694</v>
      </c>
      <c r="T430" s="43" t="n">
        <f aca="false">S430-$M$2</f>
        <v>-33.0035778470742</v>
      </c>
    </row>
    <row r="431" customFormat="false" ht="15" hidden="false" customHeight="false" outlineLevel="0" collapsed="false">
      <c r="A431" s="5" t="n">
        <v>3</v>
      </c>
      <c r="B431" s="25" t="n">
        <f aca="false">IF(T430&gt;0,B430,D430)</f>
        <v>-0.125</v>
      </c>
      <c r="C431" s="25" t="n">
        <f aca="false">IF(T430&gt;0,D430,C430)</f>
        <v>0.25</v>
      </c>
      <c r="D431" s="41" t="n">
        <f aca="false">(B431+C431)/2</f>
        <v>0.0625</v>
      </c>
      <c r="E431" s="15" t="n">
        <f aca="false">$C$2*(1+IF(E$3&lt;=$O$2,$D431,$D431-($D431-$I$427)*MIN(E$3-$O$2,$Q$2)/$Q$2))</f>
        <v>6970</v>
      </c>
      <c r="F431" s="15" t="n">
        <f aca="false">E431*(1+IF(F$3&lt;=$O$2,$D431,$D431-($D431-$I$427)*MIN(F$3-$O$2,$Q$2)/$Q$2))</f>
        <v>7405.625</v>
      </c>
      <c r="G431" s="15" t="n">
        <f aca="false">F431*(1+IF(G$3&lt;=$O$2,$D431,$D431-($D431-$I$427)*MIN(G$3-$O$2,$Q$2)/$Q$2))</f>
        <v>7868.4765625</v>
      </c>
      <c r="H431" s="15" t="n">
        <f aca="false">G431*(1+IF(H$3&lt;=$O$2,$D431,$D431-($D431-$I$427)*MIN(H$3-$O$2,$Q$2)/$Q$2))</f>
        <v>8360.25634765625</v>
      </c>
      <c r="I431" s="15" t="n">
        <f aca="false">H431*(1+IF(I$3&lt;=$O$2,$D431,$D431-($D431-$I$427)*MIN(I$3-$O$2,$Q$2)/$Q$2))</f>
        <v>8882.77236938477</v>
      </c>
      <c r="J431" s="15" t="n">
        <f aca="false">I431*(1+IF(J$3&lt;=$O$2,$D431,$D431-($D431-$I$427)*MIN(J$3-$O$2,$Q$2)/$Q$2))</f>
        <v>9394.95302420349</v>
      </c>
      <c r="K431" s="15" t="n">
        <f aca="false">J431*(1+IF(K$3&lt;=$O$2,$D431,$D431-($D431-$I$427)*MIN(K$3-$O$2,$Q$2)/$Q$2))</f>
        <v>9891.19444294192</v>
      </c>
      <c r="L431" s="15" t="n">
        <f aca="false">K431*(1+IF(L$3&lt;=$O$2,$D431,$D431-($D431-$I$427)*MIN(L$3-$O$2,$Q$2)/$Q$2))</f>
        <v>10365.7739523143</v>
      </c>
      <c r="M431" s="15" t="n">
        <f aca="false">L431*(1+IF(M$3&lt;=$O$2,$D431,$D431-($D431-$I$427)*MIN(M$3-$O$2,$Q$2)/$Q$2))</f>
        <v>10812.9534406171</v>
      </c>
      <c r="N431" s="15" t="n">
        <f aca="false">M431*(1+IF(N$3&lt;=$O$2,$D431,$D431-($D431-$I$427)*MIN(N$3-$O$2,$Q$2)/$Q$2))</f>
        <v>11227.0895573927</v>
      </c>
      <c r="O431" s="15" t="n">
        <f aca="false">SUMPRODUCT(E431:N431,1/(1+$F$427)^$E$3:$N$3)*$E$2</f>
        <v>18772.9575639211</v>
      </c>
      <c r="P431" s="15" t="n">
        <f aca="false">N431*$E$2*(1+$I$427)/($F$427-$I$427)/(1+$F$427)^$N$3</f>
        <v>39703.8222745809</v>
      </c>
      <c r="Q431" s="15" t="n">
        <f aca="false">O431+P431</f>
        <v>58476.779838502</v>
      </c>
      <c r="R431" s="15" t="n">
        <f aca="false">Q431-$G$2+$I$2</f>
        <v>51131.579838502</v>
      </c>
      <c r="S431" s="42" t="n">
        <f aca="false">R431/$K$2</f>
        <v>217.905731252938</v>
      </c>
      <c r="T431" s="43" t="n">
        <f aca="false">S431-$M$2</f>
        <v>136.891454670795</v>
      </c>
    </row>
    <row r="432" customFormat="false" ht="15" hidden="false" customHeight="false" outlineLevel="0" collapsed="false">
      <c r="A432" s="5" t="n">
        <v>4</v>
      </c>
      <c r="B432" s="25" t="n">
        <f aca="false">IF(T431&gt;0,B431,D431)</f>
        <v>-0.125</v>
      </c>
      <c r="C432" s="25" t="n">
        <f aca="false">IF(T431&gt;0,D431,C431)</f>
        <v>0.0625</v>
      </c>
      <c r="D432" s="41" t="n">
        <f aca="false">(B432+C432)/2</f>
        <v>-0.03125</v>
      </c>
      <c r="E432" s="15" t="n">
        <f aca="false">$C$2*(1+IF(E$3&lt;=$O$2,$D432,$D432-($D432-$I$427)*MIN(E$3-$O$2,$Q$2)/$Q$2))</f>
        <v>6355</v>
      </c>
      <c r="F432" s="15" t="n">
        <f aca="false">E432*(1+IF(F$3&lt;=$O$2,$D432,$D432-($D432-$I$427)*MIN(F$3-$O$2,$Q$2)/$Q$2))</f>
        <v>6156.40625</v>
      </c>
      <c r="G432" s="15" t="n">
        <f aca="false">F432*(1+IF(G$3&lt;=$O$2,$D432,$D432-($D432-$I$427)*MIN(G$3-$O$2,$Q$2)/$Q$2))</f>
        <v>5964.0185546875</v>
      </c>
      <c r="H432" s="15" t="n">
        <f aca="false">G432*(1+IF(H$3&lt;=$O$2,$D432,$D432-($D432-$I$427)*MIN(H$3-$O$2,$Q$2)/$Q$2))</f>
        <v>5777.64297485352</v>
      </c>
      <c r="I432" s="15" t="n">
        <f aca="false">H432*(1+IF(I$3&lt;=$O$2,$D432,$D432-($D432-$I$427)*MIN(I$3-$O$2,$Q$2)/$Q$2))</f>
        <v>5597.09163188934</v>
      </c>
      <c r="J432" s="15" t="n">
        <f aca="false">I432*(1+IF(J$3&lt;=$O$2,$D432,$D432-($D432-$I$427)*MIN(J$3-$O$2,$Q$2)/$Q$2))</f>
        <v>5500.03806299238</v>
      </c>
      <c r="K432" s="15" t="n">
        <f aca="false">J432*(1+IF(K$3&lt;=$O$2,$D432,$D432-($D432-$I$427)*MIN(K$3-$O$2,$Q$2)/$Q$2))</f>
        <v>5481.17293243632</v>
      </c>
      <c r="L432" s="15" t="n">
        <f aca="false">K432*(1+IF(L$3&lt;=$O$2,$D432,$D432-($D432-$I$427)*MIN(L$3-$O$2,$Q$2)/$Q$2))</f>
        <v>5538.61562476825</v>
      </c>
      <c r="M432" s="15" t="n">
        <f aca="false">L432*(1+IF(M$3&lt;=$O$2,$D432,$D432-($D432-$I$427)*MIN(M$3-$O$2,$Q$2)/$Q$2))</f>
        <v>5673.70245985635</v>
      </c>
      <c r="N432" s="15" t="n">
        <f aca="false">M432*(1+IF(N$3&lt;=$O$2,$D432,$D432-($D432-$I$427)*MIN(N$3-$O$2,$Q$2)/$Q$2))</f>
        <v>5891.00526406885</v>
      </c>
      <c r="O432" s="15" t="n">
        <f aca="false">SUMPRODUCT(E432:N432,1/(1+$F$427)^$E$3:$N$3)*$E$2</f>
        <v>12443.3662920827</v>
      </c>
      <c r="P432" s="15" t="n">
        <f aca="false">N432*$E$2*(1+$I$427)/($F$427-$I$427)/(1+$F$427)^$N$3</f>
        <v>20833.1308686494</v>
      </c>
      <c r="Q432" s="15" t="n">
        <f aca="false">O432+P432</f>
        <v>33276.497160732</v>
      </c>
      <c r="R432" s="15" t="n">
        <f aca="false">Q432-$G$2+$I$2</f>
        <v>25931.297160732</v>
      </c>
      <c r="S432" s="42" t="n">
        <f aca="false">R432/$K$2</f>
        <v>110.510535524108</v>
      </c>
      <c r="T432" s="43" t="n">
        <f aca="false">S432-$M$2</f>
        <v>29.4962589419647</v>
      </c>
    </row>
    <row r="433" customFormat="false" ht="15" hidden="false" customHeight="false" outlineLevel="0" collapsed="false">
      <c r="A433" s="5" t="n">
        <v>5</v>
      </c>
      <c r="B433" s="25" t="n">
        <f aca="false">IF(T432&gt;0,B432,D432)</f>
        <v>-0.125</v>
      </c>
      <c r="C433" s="25" t="n">
        <f aca="false">IF(T432&gt;0,D432,C432)</f>
        <v>-0.03125</v>
      </c>
      <c r="D433" s="41" t="n">
        <f aca="false">(B433+C433)/2</f>
        <v>-0.078125</v>
      </c>
      <c r="E433" s="15" t="n">
        <f aca="false">$C$2*(1+IF(E$3&lt;=$O$2,$D433,$D433-($D433-$I$427)*MIN(E$3-$O$2,$Q$2)/$Q$2))</f>
        <v>6047.5</v>
      </c>
      <c r="F433" s="15" t="n">
        <f aca="false">E433*(1+IF(F$3&lt;=$O$2,$D433,$D433-($D433-$I$427)*MIN(F$3-$O$2,$Q$2)/$Q$2))</f>
        <v>5575.0390625</v>
      </c>
      <c r="G433" s="15" t="n">
        <f aca="false">F433*(1+IF(G$3&lt;=$O$2,$D433,$D433-($D433-$I$427)*MIN(G$3-$O$2,$Q$2)/$Q$2))</f>
        <v>5139.48913574219</v>
      </c>
      <c r="H433" s="15" t="n">
        <f aca="false">G433*(1+IF(H$3&lt;=$O$2,$D433,$D433-($D433-$I$427)*MIN(H$3-$O$2,$Q$2)/$Q$2))</f>
        <v>4737.96654701233</v>
      </c>
      <c r="I433" s="15" t="n">
        <f aca="false">H433*(1+IF(I$3&lt;=$O$2,$D433,$D433-($D433-$I$427)*MIN(I$3-$O$2,$Q$2)/$Q$2))</f>
        <v>4367.81291052699</v>
      </c>
      <c r="J433" s="15" t="n">
        <f aca="false">I433*(1+IF(J$3&lt;=$O$2,$D433,$D433-($D433-$I$427)*MIN(J$3-$O$2,$Q$2)/$Q$2))</f>
        <v>4128.28205051369</v>
      </c>
      <c r="K433" s="15" t="n">
        <f aca="false">J433*(1+IF(K$3&lt;=$O$2,$D433,$D433-($D433-$I$427)*MIN(K$3-$O$2,$Q$2)/$Q$2))</f>
        <v>3998.01411040973</v>
      </c>
      <c r="L433" s="15" t="n">
        <f aca="false">K433*(1+IF(L$3&lt;=$O$2,$D433,$D433-($D433-$I$427)*MIN(L$3-$O$2,$Q$2)/$Q$2))</f>
        <v>3964.95053371664</v>
      </c>
      <c r="M433" s="15" t="n">
        <f aca="false">L433*(1+IF(M$3&lt;=$O$2,$D433,$D433-($D433-$I$427)*MIN(M$3-$O$2,$Q$2)/$Q$2))</f>
        <v>4024.4842659804</v>
      </c>
      <c r="N433" s="15" t="n">
        <f aca="false">M433*(1+IF(N$3&lt;=$O$2,$D433,$D433-($D433-$I$427)*MIN(N$3-$O$2,$Q$2)/$Q$2))</f>
        <v>4178.62201336745</v>
      </c>
      <c r="O433" s="15" t="n">
        <f aca="false">SUMPRODUCT(E433:N433,1/(1+$F$427)^$E$3:$N$3)*$E$2</f>
        <v>10148.2178296961</v>
      </c>
      <c r="P433" s="15" t="n">
        <f aca="false">N433*$E$2*(1+$I$427)/($F$427-$I$427)/(1+$F$427)^$N$3</f>
        <v>14777.4064616904</v>
      </c>
      <c r="Q433" s="15" t="n">
        <f aca="false">O433+P433</f>
        <v>24925.6242913865</v>
      </c>
      <c r="R433" s="15" t="n">
        <f aca="false">Q433-$G$2+$I$2</f>
        <v>17580.4242913865</v>
      </c>
      <c r="S433" s="42" t="n">
        <f aca="false">R433/$K$2</f>
        <v>74.9219019449672</v>
      </c>
      <c r="T433" s="43" t="n">
        <f aca="false">S433-$M$2</f>
        <v>-6.09237463717648</v>
      </c>
    </row>
    <row r="434" customFormat="false" ht="15" hidden="false" customHeight="false" outlineLevel="0" collapsed="false">
      <c r="A434" s="5" t="n">
        <v>6</v>
      </c>
      <c r="B434" s="25" t="n">
        <f aca="false">IF(T433&gt;0,B433,D433)</f>
        <v>-0.078125</v>
      </c>
      <c r="C434" s="25" t="n">
        <f aca="false">IF(T433&gt;0,D433,C433)</f>
        <v>-0.03125</v>
      </c>
      <c r="D434" s="41" t="n">
        <f aca="false">(B434+C434)/2</f>
        <v>-0.0546875</v>
      </c>
      <c r="E434" s="15" t="n">
        <f aca="false">$C$2*(1+IF(E$3&lt;=$O$2,$D434,$D434-($D434-$I$427)*MIN(E$3-$O$2,$Q$2)/$Q$2))</f>
        <v>6201.25</v>
      </c>
      <c r="F434" s="15" t="n">
        <f aca="false">E434*(1+IF(F$3&lt;=$O$2,$D434,$D434-($D434-$I$427)*MIN(F$3-$O$2,$Q$2)/$Q$2))</f>
        <v>5862.119140625</v>
      </c>
      <c r="G434" s="15" t="n">
        <f aca="false">F434*(1+IF(G$3&lt;=$O$2,$D434,$D434-($D434-$I$427)*MIN(G$3-$O$2,$Q$2)/$Q$2))</f>
        <v>5541.53450012207</v>
      </c>
      <c r="H434" s="15" t="n">
        <f aca="false">G434*(1+IF(H$3&lt;=$O$2,$D434,$D434-($D434-$I$427)*MIN(H$3-$O$2,$Q$2)/$Q$2))</f>
        <v>5238.48183214665</v>
      </c>
      <c r="I434" s="15" t="n">
        <f aca="false">H434*(1+IF(I$3&lt;=$O$2,$D434,$D434-($D434-$I$427)*MIN(I$3-$O$2,$Q$2)/$Q$2))</f>
        <v>4952.00235695113</v>
      </c>
      <c r="J434" s="15" t="n">
        <f aca="false">I434*(1+IF(J$3&lt;=$O$2,$D434,$D434-($D434-$I$427)*MIN(J$3-$O$2,$Q$2)/$Q$2))</f>
        <v>4773.28459188876</v>
      </c>
      <c r="K434" s="15" t="n">
        <f aca="false">J434*(1+IF(K$3&lt;=$O$2,$D434,$D434-($D434-$I$427)*MIN(K$3-$O$2,$Q$2)/$Q$2))</f>
        <v>4689.78791116515</v>
      </c>
      <c r="L434" s="15" t="n">
        <f aca="false">K434*(1+IF(L$3&lt;=$O$2,$D434,$D434-($D434-$I$427)*MIN(L$3-$O$2,$Q$2)/$Q$2))</f>
        <v>4694.97012680698</v>
      </c>
      <c r="M434" s="15" t="n">
        <f aca="false">L434*(1+IF(M$3&lt;=$O$2,$D434,$D434-($D434-$I$427)*MIN(M$3-$O$2,$Q$2)/$Q$2))</f>
        <v>4787.4727757304</v>
      </c>
      <c r="N434" s="15" t="n">
        <f aca="false">M434*(1+IF(N$3&lt;=$O$2,$D434,$D434-($D434-$I$427)*MIN(N$3-$O$2,$Q$2)/$Q$2))</f>
        <v>4970.83298304087</v>
      </c>
      <c r="O434" s="15" t="n">
        <f aca="false">SUMPRODUCT(E434:N434,1/(1+$F$427)^$E$3:$N$3)*$E$2</f>
        <v>11234.9398762147</v>
      </c>
      <c r="P434" s="15" t="n">
        <f aca="false">N434*$E$2*(1+$I$427)/($F$427-$I$427)/(1+$F$427)^$N$3</f>
        <v>17579.005521099</v>
      </c>
      <c r="Q434" s="15" t="n">
        <f aca="false">O434+P434</f>
        <v>28813.9453973137</v>
      </c>
      <c r="R434" s="15" t="n">
        <f aca="false">Q434-$G$2+$I$2</f>
        <v>21468.7453973137</v>
      </c>
      <c r="S434" s="42" t="n">
        <f aca="false">R434/$K$2</f>
        <v>91.4926290104993</v>
      </c>
      <c r="T434" s="43" t="n">
        <f aca="false">S434-$M$2</f>
        <v>10.4783524283557</v>
      </c>
    </row>
    <row r="435" customFormat="false" ht="15" hidden="false" customHeight="false" outlineLevel="0" collapsed="false">
      <c r="A435" s="5" t="n">
        <v>7</v>
      </c>
      <c r="B435" s="25" t="n">
        <f aca="false">IF(T434&gt;0,B434,D434)</f>
        <v>-0.078125</v>
      </c>
      <c r="C435" s="25" t="n">
        <f aca="false">IF(T434&gt;0,D434,C434)</f>
        <v>-0.0546875</v>
      </c>
      <c r="D435" s="41" t="n">
        <f aca="false">(B435+C435)/2</f>
        <v>-0.06640625</v>
      </c>
      <c r="E435" s="15" t="n">
        <f aca="false">$C$2*(1+IF(E$3&lt;=$O$2,$D435,$D435-($D435-$I$427)*MIN(E$3-$O$2,$Q$2)/$Q$2))</f>
        <v>6124.375</v>
      </c>
      <c r="F435" s="15" t="n">
        <f aca="false">E435*(1+IF(F$3&lt;=$O$2,$D435,$D435-($D435-$I$427)*MIN(F$3-$O$2,$Q$2)/$Q$2))</f>
        <v>5717.67822265625</v>
      </c>
      <c r="G435" s="15" t="n">
        <f aca="false">F435*(1+IF(G$3&lt;=$O$2,$D435,$D435-($D435-$I$427)*MIN(G$3-$O$2,$Q$2)/$Q$2))</f>
        <v>5337.98865318298</v>
      </c>
      <c r="H435" s="15" t="n">
        <f aca="false">G435*(1+IF(H$3&lt;=$O$2,$D435,$D435-($D435-$I$427)*MIN(H$3-$O$2,$Q$2)/$Q$2))</f>
        <v>4983.51284418255</v>
      </c>
      <c r="I435" s="15" t="n">
        <f aca="false">H435*(1+IF(I$3&lt;=$O$2,$D435,$D435-($D435-$I$427)*MIN(I$3-$O$2,$Q$2)/$Q$2))</f>
        <v>4652.57644437355</v>
      </c>
      <c r="J435" s="15" t="n">
        <f aca="false">I435*(1+IF(J$3&lt;=$O$2,$D435,$D435-($D435-$I$427)*MIN(J$3-$O$2,$Q$2)/$Q$2))</f>
        <v>4441.04705633011</v>
      </c>
      <c r="K435" s="15" t="n">
        <f aca="false">J435*(1+IF(K$3&lt;=$O$2,$D435,$D435-($D435-$I$427)*MIN(K$3-$O$2,$Q$2)/$Q$2))</f>
        <v>4332.13592858244</v>
      </c>
      <c r="L435" s="15" t="n">
        <f aca="false">K435*(1+IF(L$3&lt;=$O$2,$D435,$D435-($D435-$I$427)*MIN(L$3-$O$2,$Q$2)/$Q$2))</f>
        <v>4316.61605161829</v>
      </c>
      <c r="M435" s="15" t="n">
        <f aca="false">L435*(1+IF(M$3&lt;=$O$2,$D435,$D435-($D435-$I$427)*MIN(M$3-$O$2,$Q$2)/$Q$2))</f>
        <v>4391.54711050432</v>
      </c>
      <c r="N435" s="15" t="n">
        <f aca="false">M435*(1+IF(N$3&lt;=$O$2,$D435,$D435-($D435-$I$427)*MIN(N$3-$O$2,$Q$2)/$Q$2))</f>
        <v>4559.74336483663</v>
      </c>
      <c r="O435" s="15" t="n">
        <f aca="false">SUMPRODUCT(E435:N435,1/(1+$F$427)^$E$3:$N$3)*$E$2</f>
        <v>10677.1345033983</v>
      </c>
      <c r="P435" s="15" t="n">
        <f aca="false">N435*$E$2*(1+$I$427)/($F$427-$I$427)/(1+$F$427)^$N$3</f>
        <v>16125.2156446871</v>
      </c>
      <c r="Q435" s="15" t="n">
        <f aca="false">O435+P435</f>
        <v>26802.3501480854</v>
      </c>
      <c r="R435" s="15" t="n">
        <f aca="false">Q435-$G$2+$I$2</f>
        <v>19457.1501480854</v>
      </c>
      <c r="S435" s="42" t="n">
        <f aca="false">R435/$K$2</f>
        <v>82.9198813044338</v>
      </c>
      <c r="T435" s="43" t="n">
        <f aca="false">S435-$M$2</f>
        <v>1.90560472229014</v>
      </c>
    </row>
    <row r="436" customFormat="false" ht="15" hidden="false" customHeight="false" outlineLevel="0" collapsed="false">
      <c r="A436" s="5" t="n">
        <v>8</v>
      </c>
      <c r="B436" s="25" t="n">
        <f aca="false">IF(T435&gt;0,B435,D435)</f>
        <v>-0.078125</v>
      </c>
      <c r="C436" s="25" t="n">
        <f aca="false">IF(T435&gt;0,D435,C435)</f>
        <v>-0.06640625</v>
      </c>
      <c r="D436" s="41" t="n">
        <f aca="false">(B436+C436)/2</f>
        <v>-0.072265625</v>
      </c>
      <c r="E436" s="15" t="n">
        <f aca="false">$C$2*(1+IF(E$3&lt;=$O$2,$D436,$D436-($D436-$I$427)*MIN(E$3-$O$2,$Q$2)/$Q$2))</f>
        <v>6085.9375</v>
      </c>
      <c r="F436" s="15" t="n">
        <f aca="false">E436*(1+IF(F$3&lt;=$O$2,$D436,$D436-($D436-$I$427)*MIN(F$3-$O$2,$Q$2)/$Q$2))</f>
        <v>5646.13342285156</v>
      </c>
      <c r="G436" s="15" t="n">
        <f aca="false">F436*(1+IF(G$3&lt;=$O$2,$D436,$D436-($D436-$I$427)*MIN(G$3-$O$2,$Q$2)/$Q$2))</f>
        <v>5238.11206221581</v>
      </c>
      <c r="H436" s="15" t="n">
        <f aca="false">G436*(1+IF(H$3&lt;=$O$2,$D436,$D436-($D436-$I$427)*MIN(H$3-$O$2,$Q$2)/$Q$2))</f>
        <v>4859.57662021974</v>
      </c>
      <c r="I436" s="15" t="n">
        <f aca="false">H436*(1+IF(I$3&lt;=$O$2,$D436,$D436-($D436-$I$427)*MIN(I$3-$O$2,$Q$2)/$Q$2))</f>
        <v>4508.39627852417</v>
      </c>
      <c r="J436" s="15" t="n">
        <f aca="false">I436*(1+IF(J$3&lt;=$O$2,$D436,$D436-($D436-$I$427)*MIN(J$3-$O$2,$Q$2)/$Q$2))</f>
        <v>4282.28893416549</v>
      </c>
      <c r="K436" s="15" t="n">
        <f aca="false">J436*(1+IF(K$3&lt;=$O$2,$D436,$D436-($D436-$I$427)*MIN(K$3-$O$2,$Q$2)/$Q$2))</f>
        <v>4162.21622888207</v>
      </c>
      <c r="L436" s="15" t="n">
        <f aca="false">K436*(1+IF(L$3&lt;=$O$2,$D436,$D436-($D436-$I$427)*MIN(L$3-$O$2,$Q$2)/$Q$2))</f>
        <v>4137.54989495566</v>
      </c>
      <c r="M436" s="15" t="n">
        <f aca="false">L436*(1+IF(M$3&lt;=$O$2,$D436,$D436-($D436-$I$427)*MIN(M$3-$O$2,$Q$2)/$Q$2))</f>
        <v>4204.52389791157</v>
      </c>
      <c r="N436" s="15" t="n">
        <f aca="false">M436*(1+IF(N$3&lt;=$O$2,$D436,$D436-($D436-$I$427)*MIN(N$3-$O$2,$Q$2)/$Q$2))</f>
        <v>4365.55716320159</v>
      </c>
      <c r="O436" s="15" t="n">
        <f aca="false">SUMPRODUCT(E436:N436,1/(1+$F$427)^$E$3:$N$3)*$E$2</f>
        <v>10409.1574201649</v>
      </c>
      <c r="P436" s="15" t="n">
        <f aca="false">N436*$E$2*(1+$I$427)/($F$427-$I$427)/(1+$F$427)^$N$3</f>
        <v>15438.4896327068</v>
      </c>
      <c r="Q436" s="15" t="n">
        <f aca="false">O436+P436</f>
        <v>25847.6470528718</v>
      </c>
      <c r="R436" s="15" t="n">
        <f aca="false">Q436-$G$2+$I$2</f>
        <v>18502.4470528718</v>
      </c>
      <c r="S436" s="42" t="n">
        <f aca="false">R436/$K$2</f>
        <v>78.8512552860507</v>
      </c>
      <c r="T436" s="43" t="n">
        <f aca="false">S436-$M$2</f>
        <v>-2.16302129609295</v>
      </c>
    </row>
    <row r="437" customFormat="false" ht="15" hidden="false" customHeight="false" outlineLevel="0" collapsed="false">
      <c r="A437" s="5" t="n">
        <v>9</v>
      </c>
      <c r="B437" s="25" t="n">
        <f aca="false">IF(T436&gt;0,B436,D436)</f>
        <v>-0.072265625</v>
      </c>
      <c r="C437" s="25" t="n">
        <f aca="false">IF(T436&gt;0,D436,C436)</f>
        <v>-0.06640625</v>
      </c>
      <c r="D437" s="41" t="n">
        <f aca="false">(B437+C437)/2</f>
        <v>-0.0693359375</v>
      </c>
      <c r="E437" s="15" t="n">
        <f aca="false">$C$2*(1+IF(E$3&lt;=$O$2,$D437,$D437-($D437-$I$427)*MIN(E$3-$O$2,$Q$2)/$Q$2))</f>
        <v>6105.15625</v>
      </c>
      <c r="F437" s="15" t="n">
        <f aca="false">E437*(1+IF(F$3&lt;=$O$2,$D437,$D437-($D437-$I$427)*MIN(F$3-$O$2,$Q$2)/$Q$2))</f>
        <v>5681.84951782227</v>
      </c>
      <c r="G437" s="15" t="n">
        <f aca="false">F437*(1+IF(G$3&lt;=$O$2,$D437,$D437-($D437-$I$427)*MIN(G$3-$O$2,$Q$2)/$Q$2))</f>
        <v>5287.89315477014</v>
      </c>
      <c r="H437" s="15" t="n">
        <f aca="false">G437*(1+IF(H$3&lt;=$O$2,$D437,$D437-($D437-$I$427)*MIN(H$3-$O$2,$Q$2)/$Q$2))</f>
        <v>4921.25212548432</v>
      </c>
      <c r="I437" s="15" t="n">
        <f aca="false">H437*(1+IF(I$3&lt;=$O$2,$D437,$D437-($D437-$I$427)*MIN(I$3-$O$2,$Q$2)/$Q$2))</f>
        <v>4580.03249568999</v>
      </c>
      <c r="J437" s="15" t="n">
        <f aca="false">I437*(1+IF(J$3&lt;=$O$2,$D437,$D437-($D437-$I$427)*MIN(J$3-$O$2,$Q$2)/$Q$2))</f>
        <v>4361.06686711168</v>
      </c>
      <c r="K437" s="15" t="n">
        <f aca="false">J437*(1+IF(K$3&lt;=$O$2,$D437,$D437-($D437-$I$427)*MIN(K$3-$O$2,$Q$2)/$Q$2))</f>
        <v>4246.451215677</v>
      </c>
      <c r="L437" s="15" t="n">
        <f aca="false">K437*(1+IF(L$3&lt;=$O$2,$D437,$D437-($D437-$I$427)*MIN(L$3-$O$2,$Q$2)/$Q$2))</f>
        <v>4226.26199417847</v>
      </c>
      <c r="M437" s="15" t="n">
        <f aca="false">L437*(1+IF(M$3&lt;=$O$2,$D437,$D437-($D437-$I$427)*MIN(M$3-$O$2,$Q$2)/$Q$2))</f>
        <v>4297.1482941827</v>
      </c>
      <c r="N437" s="15" t="n">
        <f aca="false">M437*(1+IF(N$3&lt;=$O$2,$D437,$D437-($D437-$I$427)*MIN(N$3-$O$2,$Q$2)/$Q$2))</f>
        <v>4461.72907384989</v>
      </c>
      <c r="O437" s="15" t="n">
        <f aca="false">SUMPRODUCT(E437:N437,1/(1+$F$427)^$E$3:$N$3)*$E$2</f>
        <v>10542.2548957583</v>
      </c>
      <c r="P437" s="15" t="n">
        <f aca="false">N437*$E$2*(1+$I$427)/($F$427-$I$427)/(1+$F$427)^$N$3</f>
        <v>15778.5949136586</v>
      </c>
      <c r="Q437" s="15" t="n">
        <f aca="false">O437+P437</f>
        <v>26320.8498094169</v>
      </c>
      <c r="R437" s="15" t="n">
        <f aca="false">Q437-$G$2+$I$2</f>
        <v>18975.6498094169</v>
      </c>
      <c r="S437" s="42" t="n">
        <f aca="false">R437/$K$2</f>
        <v>80.8678875321411</v>
      </c>
      <c r="T437" s="43" t="n">
        <f aca="false">S437-$M$2</f>
        <v>-0.146389050002497</v>
      </c>
    </row>
    <row r="438" customFormat="false" ht="15" hidden="false" customHeight="false" outlineLevel="0" collapsed="false">
      <c r="A438" s="5" t="n">
        <v>10</v>
      </c>
      <c r="B438" s="25" t="n">
        <f aca="false">IF(T437&gt;0,B437,D437)</f>
        <v>-0.0693359375</v>
      </c>
      <c r="C438" s="25" t="n">
        <f aca="false">IF(T437&gt;0,D437,C437)</f>
        <v>-0.06640625</v>
      </c>
      <c r="D438" s="41" t="n">
        <f aca="false">(B438+C438)/2</f>
        <v>-0.06787109375</v>
      </c>
      <c r="E438" s="15" t="n">
        <f aca="false">$C$2*(1+IF(E$3&lt;=$O$2,$D438,$D438-($D438-$I$427)*MIN(E$3-$O$2,$Q$2)/$Q$2))</f>
        <v>6114.765625</v>
      </c>
      <c r="F438" s="15" t="n">
        <f aca="false">E438*(1+IF(F$3&lt;=$O$2,$D438,$D438-($D438-$I$427)*MIN(F$3-$O$2,$Q$2)/$Q$2))</f>
        <v>5699.74979400635</v>
      </c>
      <c r="G438" s="15" t="n">
        <f aca="false">F438*(1+IF(G$3&lt;=$O$2,$D438,$D438-($D438-$I$427)*MIN(G$3-$O$2,$Q$2)/$Q$2))</f>
        <v>5312.9015413858</v>
      </c>
      <c r="H438" s="15" t="n">
        <f aca="false">G438*(1+IF(H$3&lt;=$O$2,$D438,$D438-($D438-$I$427)*MIN(H$3-$O$2,$Q$2)/$Q$2))</f>
        <v>4952.30910278588</v>
      </c>
      <c r="I438" s="15" t="n">
        <f aca="false">H438*(1+IF(I$3&lt;=$O$2,$D438,$D438-($D438-$I$427)*MIN(I$3-$O$2,$Q$2)/$Q$2))</f>
        <v>4616.19046739173</v>
      </c>
      <c r="J438" s="15" t="n">
        <f aca="false">I438*(1+IF(J$3&lt;=$O$2,$D438,$D438-($D438-$I$427)*MIN(J$3-$O$2,$Q$2)/$Q$2))</f>
        <v>4400.90576958779</v>
      </c>
      <c r="K438" s="15" t="n">
        <f aca="false">J438*(1+IF(K$3&lt;=$O$2,$D438,$D438-($D438-$I$427)*MIN(K$3-$O$2,$Q$2)/$Q$2))</f>
        <v>4289.11107313431</v>
      </c>
      <c r="L438" s="15" t="n">
        <f aca="false">K438*(1+IF(L$3&lt;=$O$2,$D438,$D438-($D438-$I$427)*MIN(L$3-$O$2,$Q$2)/$Q$2))</f>
        <v>4271.23218169539</v>
      </c>
      <c r="M438" s="15" t="n">
        <f aca="false">L438*(1+IF(M$3&lt;=$O$2,$D438,$D438-($D438-$I$427)*MIN(M$3-$O$2,$Q$2)/$Q$2))</f>
        <v>4344.12409577616</v>
      </c>
      <c r="N438" s="15" t="n">
        <f aca="false">M438*(1+IF(N$3&lt;=$O$2,$D438,$D438-($D438-$I$427)*MIN(N$3-$O$2,$Q$2)/$Q$2))</f>
        <v>4510.50404864439</v>
      </c>
      <c r="O438" s="15" t="n">
        <f aca="false">SUMPRODUCT(E438:N438,1/(1+$F$427)^$E$3:$N$3)*$E$2</f>
        <v>10609.4704964846</v>
      </c>
      <c r="P438" s="15" t="n">
        <f aca="false">N438*$E$2*(1+$I$427)/($F$427-$I$427)/(1+$F$427)^$N$3</f>
        <v>15951.0842236252</v>
      </c>
      <c r="Q438" s="15" t="n">
        <f aca="false">O438+P438</f>
        <v>26560.5547201098</v>
      </c>
      <c r="R438" s="15" t="n">
        <f aca="false">Q438-$G$2+$I$2</f>
        <v>19215.3547201098</v>
      </c>
      <c r="S438" s="42" t="n">
        <f aca="false">R438/$K$2</f>
        <v>81.8894298747486</v>
      </c>
      <c r="T438" s="43" t="n">
        <f aca="false">S438-$M$2</f>
        <v>0.875153292604992</v>
      </c>
    </row>
    <row r="439" customFormat="false" ht="15" hidden="false" customHeight="false" outlineLevel="0" collapsed="false">
      <c r="A439" s="5" t="n">
        <v>11</v>
      </c>
      <c r="B439" s="25" t="n">
        <f aca="false">IF(T438&gt;0,B438,D438)</f>
        <v>-0.0693359375</v>
      </c>
      <c r="C439" s="25" t="n">
        <f aca="false">IF(T438&gt;0,D438,C438)</f>
        <v>-0.06787109375</v>
      </c>
      <c r="D439" s="41" t="n">
        <f aca="false">(B439+C439)/2</f>
        <v>-0.068603515625</v>
      </c>
      <c r="E439" s="15" t="n">
        <f aca="false">$C$2*(1+IF(E$3&lt;=$O$2,$D439,$D439-($D439-$I$427)*MIN(E$3-$O$2,$Q$2)/$Q$2))</f>
        <v>6109.9609375</v>
      </c>
      <c r="F439" s="15" t="n">
        <f aca="false">E439*(1+IF(F$3&lt;=$O$2,$D439,$D439-($D439-$I$427)*MIN(F$3-$O$2,$Q$2)/$Q$2))</f>
        <v>5690.79613685608</v>
      </c>
      <c r="G439" s="15" t="n">
        <f aca="false">F439*(1+IF(G$3&lt;=$O$2,$D439,$D439-($D439-$I$427)*MIN(G$3-$O$2,$Q$2)/$Q$2))</f>
        <v>5300.38751516258</v>
      </c>
      <c r="H439" s="15" t="n">
        <f aca="false">G439*(1+IF(H$3&lt;=$O$2,$D439,$D439-($D439-$I$427)*MIN(H$3-$O$2,$Q$2)/$Q$2))</f>
        <v>4936.76229744757</v>
      </c>
      <c r="I439" s="15" t="n">
        <f aca="false">H439*(1+IF(I$3&lt;=$O$2,$D439,$D439-($D439-$I$427)*MIN(I$3-$O$2,$Q$2)/$Q$2))</f>
        <v>4598.08304803772</v>
      </c>
      <c r="J439" s="15" t="n">
        <f aca="false">I439*(1+IF(J$3&lt;=$O$2,$D439,$D439-($D439-$I$427)*MIN(J$3-$O$2,$Q$2)/$Q$2))</f>
        <v>4380.9486344008</v>
      </c>
      <c r="K439" s="15" t="n">
        <f aca="false">J439*(1+IF(K$3&lt;=$O$2,$D439,$D439-($D439-$I$427)*MIN(K$3-$O$2,$Q$2)/$Q$2))</f>
        <v>4267.73568062436</v>
      </c>
      <c r="L439" s="15" t="n">
        <f aca="false">K439*(1+IF(L$3&lt;=$O$2,$D439,$D439-($D439-$I$427)*MIN(L$3-$O$2,$Q$2)/$Q$2))</f>
        <v>4248.69557798548</v>
      </c>
      <c r="M439" s="15" t="n">
        <f aca="false">L439*(1+IF(M$3&lt;=$O$2,$D439,$D439-($D439-$I$427)*MIN(M$3-$O$2,$Q$2)/$Q$2))</f>
        <v>4320.58051980091</v>
      </c>
      <c r="N439" s="15" t="n">
        <f aca="false">M439*(1+IF(N$3&lt;=$O$2,$D439,$D439-($D439-$I$427)*MIN(N$3-$O$2,$Q$2)/$Q$2))</f>
        <v>4486.05875370929</v>
      </c>
      <c r="O439" s="15" t="n">
        <f aca="false">SUMPRODUCT(E439:N439,1/(1+$F$427)^$E$3:$N$3)*$E$2</f>
        <v>10575.8068255575</v>
      </c>
      <c r="P439" s="15" t="n">
        <f aca="false">N439*$E$2*(1+$I$427)/($F$427-$I$427)/(1+$F$427)^$N$3</f>
        <v>15864.6351363001</v>
      </c>
      <c r="Q439" s="15" t="n">
        <f aca="false">O439+P439</f>
        <v>26440.4419618577</v>
      </c>
      <c r="R439" s="15" t="n">
        <f aca="false">Q439-$G$2+$I$2</f>
        <v>19095.2419618577</v>
      </c>
      <c r="S439" s="42" t="n">
        <f aca="false">R439/$K$2</f>
        <v>81.3775493793209</v>
      </c>
      <c r="T439" s="43" t="n">
        <f aca="false">S439-$M$2</f>
        <v>0.363272797177274</v>
      </c>
    </row>
    <row r="440" customFormat="false" ht="15" hidden="false" customHeight="false" outlineLevel="0" collapsed="false">
      <c r="A440" s="5" t="n">
        <v>12</v>
      </c>
      <c r="B440" s="25" t="n">
        <f aca="false">IF(T439&gt;0,B439,D439)</f>
        <v>-0.0693359375</v>
      </c>
      <c r="C440" s="25" t="n">
        <f aca="false">IF(T439&gt;0,D439,C439)</f>
        <v>-0.068603515625</v>
      </c>
      <c r="D440" s="41" t="n">
        <f aca="false">(B440+C440)/2</f>
        <v>-0.0689697265625</v>
      </c>
      <c r="E440" s="15" t="n">
        <f aca="false">$C$2*(1+IF(E$3&lt;=$O$2,$D440,$D440-($D440-$I$427)*MIN(E$3-$O$2,$Q$2)/$Q$2))</f>
        <v>6107.55859375</v>
      </c>
      <c r="F440" s="15" t="n">
        <f aca="false">E440*(1+IF(F$3&lt;=$O$2,$D440,$D440-($D440-$I$427)*MIN(F$3-$O$2,$Q$2)/$Q$2))</f>
        <v>5686.32194757462</v>
      </c>
      <c r="G440" s="15" t="n">
        <f aca="false">F440*(1+IF(G$3&lt;=$O$2,$D440,$D440-($D440-$I$427)*MIN(G$3-$O$2,$Q$2)/$Q$2))</f>
        <v>5294.13787770405</v>
      </c>
      <c r="H440" s="15" t="n">
        <f aca="false">G440*(1+IF(H$3&lt;=$O$2,$D440,$D440-($D440-$I$427)*MIN(H$3-$O$2,$Q$2)/$Q$2))</f>
        <v>4929.00263589463</v>
      </c>
      <c r="I440" s="15" t="n">
        <f aca="false">H440*(1+IF(I$3&lt;=$O$2,$D440,$D440-($D440-$I$427)*MIN(I$3-$O$2,$Q$2)/$Q$2))</f>
        <v>4589.05067187114</v>
      </c>
      <c r="J440" s="15" t="n">
        <f aca="false">I440*(1+IF(J$3&lt;=$O$2,$D440,$D440-($D440-$I$427)*MIN(J$3-$O$2,$Q$2)/$Q$2))</f>
        <v>4370.99834400134</v>
      </c>
      <c r="K440" s="15" t="n">
        <f aca="false">J440*(1+IF(K$3&lt;=$O$2,$D440,$D440-($D440-$I$427)*MIN(K$3-$O$2,$Q$2)/$Q$2))</f>
        <v>4257.08210227689</v>
      </c>
      <c r="L440" s="15" t="n">
        <f aca="false">K440*(1+IF(L$3&lt;=$O$2,$D440,$D440-($D440-$I$427)*MIN(L$3-$O$2,$Q$2)/$Q$2))</f>
        <v>4237.46593356796</v>
      </c>
      <c r="M440" s="15" t="n">
        <f aca="false">L440*(1+IF(M$3&lt;=$O$2,$D440,$D440-($D440-$I$427)*MIN(M$3-$O$2,$Q$2)/$Q$2))</f>
        <v>4308.85051642126</v>
      </c>
      <c r="N440" s="15" t="n">
        <f aca="false">M440*(1+IF(N$3&lt;=$O$2,$D440,$D440-($D440-$I$427)*MIN(N$3-$O$2,$Q$2)/$Q$2))</f>
        <v>4473.87949120019</v>
      </c>
      <c r="O440" s="15" t="n">
        <f aca="false">SUMPRODUCT(E440:N440,1/(1+$F$427)^$E$3:$N$3)*$E$2</f>
        <v>10559.0169154874</v>
      </c>
      <c r="P440" s="15" t="n">
        <f aca="false">N440*$E$2*(1+$I$427)/($F$427-$I$427)/(1+$F$427)^$N$3</f>
        <v>15821.5640205293</v>
      </c>
      <c r="Q440" s="15" t="n">
        <f aca="false">O440+P440</f>
        <v>26380.5809360166</v>
      </c>
      <c r="R440" s="15" t="n">
        <f aca="false">Q440-$G$2+$I$2</f>
        <v>19035.3809360166</v>
      </c>
      <c r="S440" s="42" t="n">
        <f aca="false">R440/$K$2</f>
        <v>81.1224416621206</v>
      </c>
      <c r="T440" s="43" t="n">
        <f aca="false">S440-$M$2</f>
        <v>0.108165079977013</v>
      </c>
    </row>
    <row r="441" customFormat="false" ht="15" hidden="false" customHeight="false" outlineLevel="0" collapsed="false">
      <c r="A441" s="5" t="n">
        <v>13</v>
      </c>
      <c r="B441" s="25" t="n">
        <f aca="false">IF(T440&gt;0,B440,D440)</f>
        <v>-0.0693359375</v>
      </c>
      <c r="C441" s="25" t="n">
        <f aca="false">IF(T440&gt;0,D440,C440)</f>
        <v>-0.0689697265625</v>
      </c>
      <c r="D441" s="41" t="n">
        <f aca="false">(B441+C441)/2</f>
        <v>-0.06915283203125</v>
      </c>
      <c r="E441" s="15" t="n">
        <f aca="false">$C$2*(1+IF(E$3&lt;=$O$2,$D441,$D441-($D441-$I$427)*MIN(E$3-$O$2,$Q$2)/$Q$2))</f>
        <v>6106.357421875</v>
      </c>
      <c r="F441" s="15" t="n">
        <f aca="false">E441*(1+IF(F$3&lt;=$O$2,$D441,$D441-($D441-$I$427)*MIN(F$3-$O$2,$Q$2)/$Q$2))</f>
        <v>5684.0855127573</v>
      </c>
      <c r="G441" s="15" t="n">
        <f aca="false">F441*(1+IF(G$3&lt;=$O$2,$D441,$D441-($D441-$I$427)*MIN(G$3-$O$2,$Q$2)/$Q$2))</f>
        <v>5291.01490204233</v>
      </c>
      <c r="H441" s="15" t="n">
        <f aca="false">G441*(1+IF(H$3&lt;=$O$2,$D441,$D441-($D441-$I$427)*MIN(H$3-$O$2,$Q$2)/$Q$2))</f>
        <v>4925.12623724656</v>
      </c>
      <c r="I441" s="15" t="n">
        <f aca="false">H441*(1+IF(I$3&lt;=$O$2,$D441,$D441-($D441-$I$427)*MIN(I$3-$O$2,$Q$2)/$Q$2))</f>
        <v>4584.53980982955</v>
      </c>
      <c r="J441" s="15" t="n">
        <f aca="false">I441*(1+IF(J$3&lt;=$O$2,$D441,$D441-($D441-$I$427)*MIN(J$3-$O$2,$Q$2)/$Q$2))</f>
        <v>4366.03025564506</v>
      </c>
      <c r="K441" s="15" t="n">
        <f aca="false">J441*(1+IF(K$3&lt;=$O$2,$D441,$D441-($D441-$I$427)*MIN(K$3-$O$2,$Q$2)/$Q$2))</f>
        <v>4251.76382501436</v>
      </c>
      <c r="L441" s="15" t="n">
        <f aca="false">K441*(1+IF(L$3&lt;=$O$2,$D441,$D441-($D441-$I$427)*MIN(L$3-$O$2,$Q$2)/$Q$2))</f>
        <v>4231.86075386208</v>
      </c>
      <c r="M441" s="15" t="n">
        <f aca="false">L441*(1+IF(M$3&lt;=$O$2,$D441,$D441-($D441-$I$427)*MIN(M$3-$O$2,$Q$2)/$Q$2))</f>
        <v>4302.99593618213</v>
      </c>
      <c r="N441" s="15" t="n">
        <f aca="false">M441*(1+IF(N$3&lt;=$O$2,$D441,$D441-($D441-$I$427)*MIN(N$3-$O$2,$Q$2)/$Q$2))</f>
        <v>4467.8006805379</v>
      </c>
      <c r="O441" s="15" t="n">
        <f aca="false">SUMPRODUCT(E441:N441,1/(1+$F$427)^$E$3:$N$3)*$E$2</f>
        <v>10550.6324221355</v>
      </c>
      <c r="P441" s="15" t="n">
        <f aca="false">N441*$E$2*(1+$I$427)/($F$427-$I$427)/(1+$F$427)^$N$3</f>
        <v>15800.0667289166</v>
      </c>
      <c r="Q441" s="15" t="n">
        <f aca="false">O441+P441</f>
        <v>26350.6991510521</v>
      </c>
      <c r="R441" s="15" t="n">
        <f aca="false">Q441-$G$2+$I$2</f>
        <v>19005.4991510521</v>
      </c>
      <c r="S441" s="42" t="n">
        <f aca="false">R441/$K$2</f>
        <v>80.9950954658092</v>
      </c>
      <c r="T441" s="43" t="n">
        <f aca="false">S441-$M$2</f>
        <v>-0.01918111633438</v>
      </c>
    </row>
    <row r="442" customFormat="false" ht="15" hidden="false" customHeight="false" outlineLevel="0" collapsed="false">
      <c r="A442" s="5" t="n">
        <v>14</v>
      </c>
      <c r="B442" s="25" t="n">
        <f aca="false">IF(T441&gt;0,B441,D441)</f>
        <v>-0.06915283203125</v>
      </c>
      <c r="C442" s="25" t="n">
        <f aca="false">IF(T441&gt;0,D441,C441)</f>
        <v>-0.0689697265625</v>
      </c>
      <c r="D442" s="41" t="n">
        <f aca="false">(B442+C442)/2</f>
        <v>-0.069061279296875</v>
      </c>
      <c r="E442" s="15" t="n">
        <f aca="false">$C$2*(1+IF(E$3&lt;=$O$2,$D442,$D442-($D442-$I$427)*MIN(E$3-$O$2,$Q$2)/$Q$2))</f>
        <v>6106.9580078125</v>
      </c>
      <c r="F442" s="15" t="n">
        <f aca="false">E442*(1+IF(F$3&lt;=$O$2,$D442,$D442-($D442-$I$427)*MIN(F$3-$O$2,$Q$2)/$Q$2))</f>
        <v>5685.20367518067</v>
      </c>
      <c r="G442" s="15" t="n">
        <f aca="false">F442*(1+IF(G$3&lt;=$O$2,$D442,$D442-($D442-$I$427)*MIN(G$3-$O$2,$Q$2)/$Q$2))</f>
        <v>5292.5762363094</v>
      </c>
      <c r="H442" s="15" t="n">
        <f aca="false">G442*(1+IF(H$3&lt;=$O$2,$D442,$D442-($D442-$I$427)*MIN(H$3-$O$2,$Q$2)/$Q$2))</f>
        <v>4927.06415065363</v>
      </c>
      <c r="I442" s="15" t="n">
        <f aca="false">H442*(1+IF(I$3&lt;=$O$2,$D442,$D442-($D442-$I$427)*MIN(I$3-$O$2,$Q$2)/$Q$2))</f>
        <v>4586.79479723172</v>
      </c>
      <c r="J442" s="15" t="n">
        <f aca="false">I442*(1+IF(J$3&lt;=$O$2,$D442,$D442-($D442-$I$427)*MIN(J$3-$O$2,$Q$2)/$Q$2))</f>
        <v>4368.51371212326</v>
      </c>
      <c r="K442" s="15" t="n">
        <f aca="false">J442*(1+IF(K$3&lt;=$O$2,$D442,$D442-($D442-$I$427)*MIN(K$3-$O$2,$Q$2)/$Q$2))</f>
        <v>4254.42225484188</v>
      </c>
      <c r="L442" s="15" t="n">
        <f aca="false">K442*(1+IF(L$3&lt;=$O$2,$D442,$D442-($D442-$I$427)*MIN(L$3-$O$2,$Q$2)/$Q$2))</f>
        <v>4234.66254082276</v>
      </c>
      <c r="M442" s="15" t="n">
        <f aca="false">L442*(1+IF(M$3&lt;=$O$2,$D442,$D442-($D442-$I$427)*MIN(M$3-$O$2,$Q$2)/$Q$2))</f>
        <v>4305.92235858161</v>
      </c>
      <c r="N442" s="15" t="n">
        <f aca="false">M442*(1+IF(N$3&lt;=$O$2,$D442,$D442-($D442-$I$427)*MIN(N$3-$O$2,$Q$2)/$Q$2))</f>
        <v>4470.83918491529</v>
      </c>
      <c r="O442" s="15" t="n">
        <f aca="false">SUMPRODUCT(E442:N442,1/(1+$F$427)^$E$3:$N$3)*$E$2</f>
        <v>10554.8237975891</v>
      </c>
      <c r="P442" s="15" t="n">
        <f aca="false">N442*$E$2*(1+$I$427)/($F$427-$I$427)/(1+$F$427)^$N$3</f>
        <v>15810.8121885626</v>
      </c>
      <c r="Q442" s="15" t="n">
        <f aca="false">O442+P442</f>
        <v>26365.6359861517</v>
      </c>
      <c r="R442" s="15" t="n">
        <f aca="false">Q442-$G$2+$I$2</f>
        <v>19020.4359861517</v>
      </c>
      <c r="S442" s="42" t="n">
        <f aca="false">R442/$K$2</f>
        <v>81.0587512727537</v>
      </c>
      <c r="T442" s="43" t="n">
        <f aca="false">S442-$M$2</f>
        <v>0.0444746906101017</v>
      </c>
    </row>
    <row r="443" customFormat="false" ht="15" hidden="false" customHeight="false" outlineLevel="0" collapsed="false">
      <c r="A443" s="5" t="n">
        <v>15</v>
      </c>
      <c r="B443" s="25" t="n">
        <f aca="false">IF(T442&gt;0,B442,D442)</f>
        <v>-0.06915283203125</v>
      </c>
      <c r="C443" s="25" t="n">
        <f aca="false">IF(T442&gt;0,D442,C442)</f>
        <v>-0.069061279296875</v>
      </c>
      <c r="D443" s="41" t="n">
        <f aca="false">(B443+C443)/2</f>
        <v>-0.0691070556640625</v>
      </c>
      <c r="E443" s="15" t="n">
        <f aca="false">$C$2*(1+IF(E$3&lt;=$O$2,$D443,$D443-($D443-$I$427)*MIN(E$3-$O$2,$Q$2)/$Q$2))</f>
        <v>6106.65771484375</v>
      </c>
      <c r="F443" s="15" t="n">
        <f aca="false">E443*(1+IF(F$3&lt;=$O$2,$D443,$D443-($D443-$I$427)*MIN(F$3-$O$2,$Q$2)/$Q$2))</f>
        <v>5684.64458022267</v>
      </c>
      <c r="G443" s="15" t="n">
        <f aca="false">F443*(1+IF(G$3&lt;=$O$2,$D443,$D443-($D443-$I$427)*MIN(G$3-$O$2,$Q$2)/$Q$2))</f>
        <v>5291.79553078681</v>
      </c>
      <c r="H443" s="15" t="n">
        <f aca="false">G443*(1+IF(H$3&lt;=$O$2,$D443,$D443-($D443-$I$427)*MIN(H$3-$O$2,$Q$2)/$Q$2))</f>
        <v>4926.09512247789</v>
      </c>
      <c r="I443" s="15" t="n">
        <f aca="false">H443*(1+IF(I$3&lt;=$O$2,$D443,$D443-($D443-$I$427)*MIN(I$3-$O$2,$Q$2)/$Q$2))</f>
        <v>4585.66719264234</v>
      </c>
      <c r="J443" s="15" t="n">
        <f aca="false">I443*(1+IF(J$3&lt;=$O$2,$D443,$D443-($D443-$I$427)*MIN(J$3-$O$2,$Q$2)/$Q$2))</f>
        <v>4367.27183698694</v>
      </c>
      <c r="K443" s="15" t="n">
        <f aca="false">J443*(1+IF(K$3&lt;=$O$2,$D443,$D443-($D443-$I$427)*MIN(K$3-$O$2,$Q$2)/$Q$2))</f>
        <v>4253.09286276633</v>
      </c>
      <c r="L443" s="15" t="n">
        <f aca="false">K443*(1+IF(L$3&lt;=$O$2,$D443,$D443-($D443-$I$427)*MIN(L$3-$O$2,$Q$2)/$Q$2))</f>
        <v>4233.26144666805</v>
      </c>
      <c r="M443" s="15" t="n">
        <f aca="false">L443*(1+IF(M$3&lt;=$O$2,$D443,$D443-($D443-$I$427)*MIN(M$3-$O$2,$Q$2)/$Q$2))</f>
        <v>4304.45893050688</v>
      </c>
      <c r="N443" s="15" t="n">
        <f aca="false">M443*(1+IF(N$3&lt;=$O$2,$D443,$D443-($D443-$I$427)*MIN(N$3-$O$2,$Q$2)/$Q$2))</f>
        <v>4469.31970754529</v>
      </c>
      <c r="O443" s="15" t="n">
        <f aca="false">SUMPRODUCT(E443:N443,1/(1+$F$427)^$E$3:$N$3)*$E$2</f>
        <v>10552.7278921005</v>
      </c>
      <c r="P443" s="15" t="n">
        <f aca="false">N443*$E$2*(1+$I$427)/($F$427-$I$427)/(1+$F$427)^$N$3</f>
        <v>15805.4386624016</v>
      </c>
      <c r="Q443" s="15" t="n">
        <f aca="false">O443+P443</f>
        <v>26358.1665545021</v>
      </c>
      <c r="R443" s="15" t="n">
        <f aca="false">Q443-$G$2+$I$2</f>
        <v>19012.9665545021</v>
      </c>
      <c r="S443" s="42" t="n">
        <f aca="false">R443/$K$2</f>
        <v>81.0269190475265</v>
      </c>
      <c r="T443" s="43" t="n">
        <f aca="false">S443-$M$2</f>
        <v>0.0126424653829105</v>
      </c>
    </row>
    <row r="444" customFormat="false" ht="15" hidden="false" customHeight="false" outlineLevel="0" collapsed="false">
      <c r="A444" s="5" t="n">
        <v>16</v>
      </c>
      <c r="B444" s="25" t="n">
        <f aca="false">IF(T443&gt;0,B443,D443)</f>
        <v>-0.06915283203125</v>
      </c>
      <c r="C444" s="25" t="n">
        <f aca="false">IF(T443&gt;0,D443,C443)</f>
        <v>-0.0691070556640625</v>
      </c>
      <c r="D444" s="41" t="n">
        <f aca="false">(B444+C444)/2</f>
        <v>-0.0691299438476563</v>
      </c>
      <c r="E444" s="15" t="n">
        <f aca="false">$C$2*(1+IF(E$3&lt;=$O$2,$D444,$D444-($D444-$I$427)*MIN(E$3-$O$2,$Q$2)/$Q$2))</f>
        <v>6106.50756835938</v>
      </c>
      <c r="F444" s="15" t="n">
        <f aca="false">E444*(1+IF(F$3&lt;=$O$2,$D444,$D444-($D444-$I$427)*MIN(F$3-$O$2,$Q$2)/$Q$2))</f>
        <v>5684.3650430534</v>
      </c>
      <c r="G444" s="15" t="n">
        <f aca="false">F444*(1+IF(G$3&lt;=$O$2,$D444,$D444-($D444-$I$427)*MIN(G$3-$O$2,$Q$2)/$Q$2))</f>
        <v>5291.40520681754</v>
      </c>
      <c r="H444" s="15" t="n">
        <f aca="false">G444*(1+IF(H$3&lt;=$O$2,$D444,$D444-($D444-$I$427)*MIN(H$3-$O$2,$Q$2)/$Q$2))</f>
        <v>4925.61066199505</v>
      </c>
      <c r="I444" s="15" t="n">
        <f aca="false">H444*(1+IF(I$3&lt;=$O$2,$D444,$D444-($D444-$I$427)*MIN(I$3-$O$2,$Q$2)/$Q$2))</f>
        <v>4585.10347351591</v>
      </c>
      <c r="J444" s="15" t="n">
        <f aca="false">I444*(1+IF(J$3&lt;=$O$2,$D444,$D444-($D444-$I$427)*MIN(J$3-$O$2,$Q$2)/$Q$2))</f>
        <v>4366.65100959517</v>
      </c>
      <c r="K444" s="15" t="n">
        <f aca="false">J444*(1+IF(K$3&lt;=$O$2,$D444,$D444-($D444-$I$427)*MIN(K$3-$O$2,$Q$2)/$Q$2))</f>
        <v>4252.42829960479</v>
      </c>
      <c r="L444" s="15" t="n">
        <f aca="false">K444*(1+IF(L$3&lt;=$O$2,$D444,$D444-($D444-$I$427)*MIN(L$3-$O$2,$Q$2)/$Q$2))</f>
        <v>4232.56105010256</v>
      </c>
      <c r="M444" s="15" t="n">
        <f aca="false">L444*(1+IF(M$3&lt;=$O$2,$D444,$D444-($D444-$I$427)*MIN(M$3-$O$2,$Q$2)/$Q$2))</f>
        <v>4303.72737913263</v>
      </c>
      <c r="N444" s="15" t="n">
        <f aca="false">M444*(1+IF(N$3&lt;=$O$2,$D444,$D444-($D444-$I$427)*MIN(N$3-$O$2,$Q$2)/$Q$2))</f>
        <v>4468.56013775341</v>
      </c>
      <c r="O444" s="15" t="n">
        <f aca="false">SUMPRODUCT(E444:N444,1/(1+$F$427)^$E$3:$N$3)*$E$2</f>
        <v>10551.6801026831</v>
      </c>
      <c r="P444" s="15" t="n">
        <f aca="false">N444*$E$2*(1+$I$427)/($F$427-$I$427)/(1+$F$427)^$N$3</f>
        <v>15802.7524965998</v>
      </c>
      <c r="Q444" s="15" t="n">
        <f aca="false">O444+P444</f>
        <v>26354.4325992829</v>
      </c>
      <c r="R444" s="15" t="n">
        <f aca="false">Q444-$G$2+$I$2</f>
        <v>19009.2325992829</v>
      </c>
      <c r="S444" s="42" t="n">
        <f aca="false">R444/$K$2</f>
        <v>81.0110061763601</v>
      </c>
      <c r="T444" s="43" t="n">
        <f aca="false">S444-$M$2</f>
        <v>-0.00327040578353888</v>
      </c>
    </row>
    <row r="445" customFormat="false" ht="15" hidden="false" customHeight="false" outlineLevel="0" collapsed="false">
      <c r="A445" s="5" t="n">
        <v>17</v>
      </c>
      <c r="B445" s="25" t="n">
        <f aca="false">IF(T444&gt;0,B444,D444)</f>
        <v>-0.0691299438476563</v>
      </c>
      <c r="C445" s="25" t="n">
        <f aca="false">IF(T444&gt;0,D444,C444)</f>
        <v>-0.0691070556640625</v>
      </c>
      <c r="D445" s="41" t="n">
        <f aca="false">(B445+C445)/2</f>
        <v>-0.0691184997558594</v>
      </c>
      <c r="E445" s="15" t="n">
        <f aca="false">$C$2*(1+IF(E$3&lt;=$O$2,$D445,$D445-($D445-$I$427)*MIN(E$3-$O$2,$Q$2)/$Q$2))</f>
        <v>6106.58264160156</v>
      </c>
      <c r="F445" s="15" t="n">
        <f aca="false">E445*(1+IF(F$3&lt;=$O$2,$D445,$D445-($D445-$I$427)*MIN(F$3-$O$2,$Q$2)/$Q$2))</f>
        <v>5684.50481077889</v>
      </c>
      <c r="G445" s="15" t="n">
        <f aca="false">F445*(1+IF(G$3&lt;=$O$2,$D445,$D445-($D445-$I$427)*MIN(G$3-$O$2,$Q$2)/$Q$2))</f>
        <v>5291.60036640289</v>
      </c>
      <c r="H445" s="15" t="n">
        <f aca="false">G445*(1+IF(H$3&lt;=$O$2,$D445,$D445-($D445-$I$427)*MIN(H$3-$O$2,$Q$2)/$Q$2))</f>
        <v>4925.85288776956</v>
      </c>
      <c r="I445" s="15" t="n">
        <f aca="false">H445*(1+IF(I$3&lt;=$O$2,$D445,$D445-($D445-$I$427)*MIN(I$3-$O$2,$Q$2)/$Q$2))</f>
        <v>4585.38532614887</v>
      </c>
      <c r="J445" s="15" t="n">
        <f aca="false">I445*(1+IF(J$3&lt;=$O$2,$D445,$D445-($D445-$I$427)*MIN(J$3-$O$2,$Q$2)/$Q$2))</f>
        <v>4366.96141411041</v>
      </c>
      <c r="K445" s="15" t="n">
        <f aca="false">J445*(1+IF(K$3&lt;=$O$2,$D445,$D445-($D445-$I$427)*MIN(K$3-$O$2,$Q$2)/$Q$2))</f>
        <v>4252.76057011356</v>
      </c>
      <c r="L445" s="15" t="n">
        <f aca="false">K445*(1+IF(L$3&lt;=$O$2,$D445,$D445-($D445-$I$427)*MIN(L$3-$O$2,$Q$2)/$Q$2))</f>
        <v>4232.91123584392</v>
      </c>
      <c r="M445" s="15" t="n">
        <f aca="false">L445*(1+IF(M$3&lt;=$O$2,$D445,$D445-($D445-$I$427)*MIN(M$3-$O$2,$Q$2)/$Q$2))</f>
        <v>4304.09314126593</v>
      </c>
      <c r="N445" s="15" t="n">
        <f aca="false">M445*(1+IF(N$3&lt;=$O$2,$D445,$D445-($D445-$I$427)*MIN(N$3-$O$2,$Q$2)/$Q$2))</f>
        <v>4468.93990857641</v>
      </c>
      <c r="O445" s="15" t="n">
        <f aca="false">SUMPRODUCT(E445:N445,1/(1+$F$427)^$E$3:$N$3)*$E$2</f>
        <v>10552.2039837824</v>
      </c>
      <c r="P445" s="15" t="n">
        <f aca="false">N445*$E$2*(1+$I$427)/($F$427-$I$427)/(1+$F$427)^$N$3</f>
        <v>15804.0955297327</v>
      </c>
      <c r="Q445" s="15" t="n">
        <f aca="false">O445+P445</f>
        <v>26356.2995135151</v>
      </c>
      <c r="R445" s="15" t="n">
        <f aca="false">Q445-$G$2+$I$2</f>
        <v>19011.0995135151</v>
      </c>
      <c r="S445" s="42" t="n">
        <f aca="false">R445/$K$2</f>
        <v>81.01896234185</v>
      </c>
      <c r="T445" s="43" t="n">
        <f aca="false">S445-$M$2</f>
        <v>0.00468575970640472</v>
      </c>
    </row>
    <row r="446" customFormat="false" ht="15" hidden="false" customHeight="false" outlineLevel="0" collapsed="false">
      <c r="A446" s="5" t="n">
        <v>18</v>
      </c>
      <c r="B446" s="25" t="n">
        <f aca="false">IF(T445&gt;0,B445,D445)</f>
        <v>-0.0691299438476563</v>
      </c>
      <c r="C446" s="25" t="n">
        <f aca="false">IF(T445&gt;0,D445,C445)</f>
        <v>-0.0691184997558594</v>
      </c>
      <c r="D446" s="41" t="n">
        <f aca="false">(B446+C446)/2</f>
        <v>-0.0691242218017578</v>
      </c>
      <c r="E446" s="15" t="n">
        <f aca="false">$C$2*(1+IF(E$3&lt;=$O$2,$D446,$D446-($D446-$I$427)*MIN(E$3-$O$2,$Q$2)/$Q$2))</f>
        <v>6106.54510498047</v>
      </c>
      <c r="F446" s="15" t="n">
        <f aca="false">E446*(1+IF(F$3&lt;=$O$2,$D446,$D446-($D446-$I$427)*MIN(F$3-$O$2,$Q$2)/$Q$2))</f>
        <v>5684.43492670136</v>
      </c>
      <c r="G446" s="15" t="n">
        <f aca="false">F446*(1+IF(G$3&lt;=$O$2,$D446,$D446-($D446-$I$427)*MIN(G$3-$O$2,$Q$2)/$Q$2))</f>
        <v>5291.5027860104</v>
      </c>
      <c r="H446" s="15" t="n">
        <f aca="false">G446*(1+IF(H$3&lt;=$O$2,$D446,$D446-($D446-$I$427)*MIN(H$3-$O$2,$Q$2)/$Q$2))</f>
        <v>4925.73177376559</v>
      </c>
      <c r="I446" s="15" t="n">
        <f aca="false">H446*(1+IF(I$3&lt;=$O$2,$D446,$D446-($D446-$I$427)*MIN(I$3-$O$2,$Q$2)/$Q$2))</f>
        <v>4585.24439809986</v>
      </c>
      <c r="J446" s="15" t="n">
        <f aca="false">I446*(1+IF(J$3&lt;=$O$2,$D446,$D446-($D446-$I$427)*MIN(J$3-$O$2,$Q$2)/$Q$2))</f>
        <v>4366.80620955768</v>
      </c>
      <c r="K446" s="15" t="n">
        <f aca="false">J446*(1+IF(K$3&lt;=$O$2,$D446,$D446-($D446-$I$427)*MIN(K$3-$O$2,$Q$2)/$Q$2))</f>
        <v>4252.59443209125</v>
      </c>
      <c r="L446" s="15" t="n">
        <f aca="false">K446*(1+IF(L$3&lt;=$O$2,$D446,$D446-($D446-$I$427)*MIN(L$3-$O$2,$Q$2)/$Q$2))</f>
        <v>4232.73613983799</v>
      </c>
      <c r="M446" s="15" t="n">
        <f aca="false">L446*(1+IF(M$3&lt;=$O$2,$D446,$D446-($D446-$I$427)*MIN(M$3-$O$2,$Q$2)/$Q$2))</f>
        <v>4303.91025681093</v>
      </c>
      <c r="N446" s="15" t="n">
        <f aca="false">M446*(1+IF(N$3&lt;=$O$2,$D446,$D446-($D446-$I$427)*MIN(N$3-$O$2,$Q$2)/$Q$2))</f>
        <v>4468.75001964679</v>
      </c>
      <c r="O446" s="15" t="n">
        <f aca="false">SUMPRODUCT(E446:N446,1/(1+$F$427)^$E$3:$N$3)*$E$2</f>
        <v>10551.9420398305</v>
      </c>
      <c r="P446" s="15" t="n">
        <f aca="false">N446*$E$2*(1+$I$427)/($F$427-$I$427)/(1+$F$427)^$N$3</f>
        <v>15803.4240007247</v>
      </c>
      <c r="Q446" s="15" t="n">
        <f aca="false">O446+P446</f>
        <v>26355.3660405551</v>
      </c>
      <c r="R446" s="15" t="n">
        <f aca="false">Q446-$G$2+$I$2</f>
        <v>19010.1660405551</v>
      </c>
      <c r="S446" s="42" t="n">
        <f aca="false">R446/$K$2</f>
        <v>81.0149841915838</v>
      </c>
      <c r="T446" s="43" t="n">
        <f aca="false">S446-$M$2</f>
        <v>0.000707609440155466</v>
      </c>
    </row>
    <row r="447" customFormat="false" ht="15" hidden="false" customHeight="false" outlineLevel="0" collapsed="false">
      <c r="A447" s="5" t="n">
        <v>19</v>
      </c>
      <c r="B447" s="25" t="n">
        <f aca="false">IF(T446&gt;0,B446,D446)</f>
        <v>-0.0691299438476563</v>
      </c>
      <c r="C447" s="25" t="n">
        <f aca="false">IF(T446&gt;0,D446,C446)</f>
        <v>-0.0691242218017578</v>
      </c>
      <c r="D447" s="41" t="n">
        <f aca="false">(B447+C447)/2</f>
        <v>-0.069127082824707</v>
      </c>
      <c r="E447" s="15" t="n">
        <f aca="false">$C$2*(1+IF(E$3&lt;=$O$2,$D447,$D447-($D447-$I$427)*MIN(E$3-$O$2,$Q$2)/$Q$2))</f>
        <v>6106.52633666992</v>
      </c>
      <c r="F447" s="15" t="n">
        <f aca="false">E447*(1+IF(F$3&lt;=$O$2,$D447,$D447-($D447-$I$427)*MIN(F$3-$O$2,$Q$2)/$Q$2))</f>
        <v>5684.39998482369</v>
      </c>
      <c r="G447" s="15" t="n">
        <f aca="false">F447*(1+IF(G$3&lt;=$O$2,$D447,$D447-($D447-$I$427)*MIN(G$3-$O$2,$Q$2)/$Q$2))</f>
        <v>5291.45399626402</v>
      </c>
      <c r="H447" s="15" t="n">
        <f aca="false">G447*(1+IF(H$3&lt;=$O$2,$D447,$D447-($D447-$I$427)*MIN(H$3-$O$2,$Q$2)/$Q$2))</f>
        <v>4925.67121760115</v>
      </c>
      <c r="I447" s="15" t="n">
        <f aca="false">H447*(1+IF(I$3&lt;=$O$2,$D447,$D447-($D447-$I$427)*MIN(I$3-$O$2,$Q$2)/$Q$2))</f>
        <v>4585.17393537476</v>
      </c>
      <c r="J447" s="15" t="n">
        <f aca="false">I447*(1+IF(J$3&lt;=$O$2,$D447,$D447-($D447-$I$427)*MIN(J$3-$O$2,$Q$2)/$Q$2))</f>
        <v>4366.72860900266</v>
      </c>
      <c r="K447" s="15" t="n">
        <f aca="false">J447*(1+IF(K$3&lt;=$O$2,$D447,$D447-($D447-$I$427)*MIN(K$3-$O$2,$Q$2)/$Q$2))</f>
        <v>4252.51136515605</v>
      </c>
      <c r="L447" s="15" t="n">
        <f aca="false">K447*(1+IF(L$3&lt;=$O$2,$D447,$D447-($D447-$I$427)*MIN(L$3-$O$2,$Q$2)/$Q$2))</f>
        <v>4232.64859418648</v>
      </c>
      <c r="M447" s="15" t="n">
        <f aca="false">L447*(1+IF(M$3&lt;=$O$2,$D447,$D447-($D447-$I$427)*MIN(M$3-$O$2,$Q$2)/$Q$2))</f>
        <v>4303.81881712471</v>
      </c>
      <c r="N447" s="15" t="n">
        <f aca="false">M447*(1+IF(N$3&lt;=$O$2,$D447,$D447-($D447-$I$427)*MIN(N$3-$O$2,$Q$2)/$Q$2))</f>
        <v>4468.65507782058</v>
      </c>
      <c r="O447" s="15" t="n">
        <f aca="false">SUMPRODUCT(E447:N447,1/(1+$F$427)^$E$3:$N$3)*$E$2</f>
        <v>10551.8110704062</v>
      </c>
      <c r="P447" s="15" t="n">
        <f aca="false">N447*$E$2*(1+$I$427)/($F$427-$I$427)/(1+$F$427)^$N$3</f>
        <v>15803.0882455519</v>
      </c>
      <c r="Q447" s="15" t="n">
        <f aca="false">O447+P447</f>
        <v>26354.8993159581</v>
      </c>
      <c r="R447" s="15" t="n">
        <f aca="false">Q447-$G$2+$I$2</f>
        <v>19009.6993159581</v>
      </c>
      <c r="S447" s="42" t="n">
        <f aca="false">R447/$K$2</f>
        <v>81.0129951670919</v>
      </c>
      <c r="T447" s="43" t="n">
        <f aca="false">S447-$M$2</f>
        <v>-0.00128141505174995</v>
      </c>
    </row>
    <row r="448" customFormat="false" ht="15" hidden="false" customHeight="false" outlineLevel="0" collapsed="false">
      <c r="A448" s="5" t="n">
        <v>20</v>
      </c>
      <c r="B448" s="25" t="n">
        <f aca="false">IF(T447&gt;0,B447,D447)</f>
        <v>-0.069127082824707</v>
      </c>
      <c r="C448" s="25" t="n">
        <f aca="false">IF(T447&gt;0,D447,C447)</f>
        <v>-0.0691242218017578</v>
      </c>
      <c r="D448" s="41" t="n">
        <f aca="false">(B448+C448)/2</f>
        <v>-0.0691256523132324</v>
      </c>
      <c r="E448" s="15" t="n">
        <f aca="false">$C$2*(1+IF(E$3&lt;=$O$2,$D448,$D448-($D448-$I$427)*MIN(E$3-$O$2,$Q$2)/$Q$2))</f>
        <v>6106.5357208252</v>
      </c>
      <c r="F448" s="15" t="n">
        <f aca="false">E448*(1+IF(F$3&lt;=$O$2,$D448,$D448-($D448-$I$427)*MIN(F$3-$O$2,$Q$2)/$Q$2))</f>
        <v>5684.4174557491</v>
      </c>
      <c r="G448" s="15" t="n">
        <f aca="false">F448*(1+IF(G$3&lt;=$O$2,$D448,$D448-($D448-$I$427)*MIN(G$3-$O$2,$Q$2)/$Q$2))</f>
        <v>5291.47839109972</v>
      </c>
      <c r="H448" s="15" t="n">
        <f aca="false">G448*(1+IF(H$3&lt;=$O$2,$D448,$D448-($D448-$I$427)*MIN(H$3-$O$2,$Q$2)/$Q$2))</f>
        <v>4925.70149561358</v>
      </c>
      <c r="I448" s="15" t="n">
        <f aca="false">H448*(1+IF(I$3&lt;=$O$2,$D448,$D448-($D448-$I$427)*MIN(I$3-$O$2,$Q$2)/$Q$2))</f>
        <v>4585.20916662902</v>
      </c>
      <c r="J448" s="15" t="n">
        <f aca="false">I448*(1+IF(J$3&lt;=$O$2,$D448,$D448-($D448-$I$427)*MIN(J$3-$O$2,$Q$2)/$Q$2))</f>
        <v>4366.76740913673</v>
      </c>
      <c r="K448" s="15" t="n">
        <f aca="false">J448*(1+IF(K$3&lt;=$O$2,$D448,$D448-($D448-$I$427)*MIN(K$3-$O$2,$Q$2)/$Q$2))</f>
        <v>4252.55289845066</v>
      </c>
      <c r="L448" s="15" t="n">
        <f aca="false">K448*(1+IF(L$3&lt;=$O$2,$D448,$D448-($D448-$I$427)*MIN(L$3-$O$2,$Q$2)/$Q$2))</f>
        <v>4232.69236681628</v>
      </c>
      <c r="M448" s="15" t="n">
        <f aca="false">L448*(1+IF(M$3&lt;=$O$2,$D448,$D448-($D448-$I$427)*MIN(M$3-$O$2,$Q$2)/$Q$2))</f>
        <v>4303.86453675605</v>
      </c>
      <c r="N448" s="15" t="n">
        <f aca="false">M448*(1+IF(N$3&lt;=$O$2,$D448,$D448-($D448-$I$427)*MIN(N$3-$O$2,$Q$2)/$Q$2))</f>
        <v>4468.70254851381</v>
      </c>
      <c r="O448" s="15" t="n">
        <f aca="false">SUMPRODUCT(E448:N448,1/(1+$F$427)^$E$3:$N$3)*$E$2</f>
        <v>10551.8765549057</v>
      </c>
      <c r="P448" s="15" t="n">
        <f aca="false">N448*$E$2*(1+$I$427)/($F$427-$I$427)/(1+$F$427)^$N$3</f>
        <v>15803.2561223607</v>
      </c>
      <c r="Q448" s="15" t="n">
        <f aca="false">O448+P448</f>
        <v>26355.1326772664</v>
      </c>
      <c r="R448" s="15" t="n">
        <f aca="false">Q448-$G$2+$I$2</f>
        <v>19009.9326772664</v>
      </c>
      <c r="S448" s="42" t="n">
        <f aca="false">R448/$K$2</f>
        <v>81.0139896751178</v>
      </c>
      <c r="T448" s="43" t="n">
        <f aca="false">S448-$M$2</f>
        <v>-0.000286907025838445</v>
      </c>
    </row>
    <row r="449" customFormat="false" ht="15" hidden="false" customHeight="false" outlineLevel="0" collapsed="false">
      <c r="A449" s="5" t="n">
        <v>21</v>
      </c>
      <c r="B449" s="25" t="n">
        <f aca="false">IF(T448&gt;0,B448,D448)</f>
        <v>-0.0691256523132324</v>
      </c>
      <c r="C449" s="25" t="n">
        <f aca="false">IF(T448&gt;0,D448,C448)</f>
        <v>-0.0691242218017578</v>
      </c>
      <c r="D449" s="41" t="n">
        <f aca="false">(B449+C449)/2</f>
        <v>-0.0691249370574951</v>
      </c>
      <c r="E449" s="15" t="n">
        <f aca="false">$C$2*(1+IF(E$3&lt;=$O$2,$D449,$D449-($D449-$I$427)*MIN(E$3-$O$2,$Q$2)/$Q$2))</f>
        <v>6106.54041290283</v>
      </c>
      <c r="F449" s="15" t="n">
        <f aca="false">E449*(1+IF(F$3&lt;=$O$2,$D449,$D449-($D449-$I$427)*MIN(F$3-$O$2,$Q$2)/$Q$2))</f>
        <v>5684.42619122187</v>
      </c>
      <c r="G449" s="15" t="n">
        <f aca="false">F449*(1+IF(G$3&lt;=$O$2,$D449,$D449-($D449-$I$427)*MIN(G$3-$O$2,$Q$2)/$Q$2))</f>
        <v>5291.49058854569</v>
      </c>
      <c r="H449" s="15" t="n">
        <f aca="false">G449*(1+IF(H$3&lt;=$O$2,$D449,$D449-($D449-$I$427)*MIN(H$3-$O$2,$Q$2)/$Q$2))</f>
        <v>4925.71663467214</v>
      </c>
      <c r="I449" s="15" t="n">
        <f aca="false">H449*(1+IF(I$3&lt;=$O$2,$D449,$D449-($D449-$I$427)*MIN(I$3-$O$2,$Q$2)/$Q$2))</f>
        <v>4585.22678233737</v>
      </c>
      <c r="J449" s="15" t="n">
        <f aca="false">I449*(1+IF(J$3&lt;=$O$2,$D449,$D449-($D449-$I$427)*MIN(J$3-$O$2,$Q$2)/$Q$2))</f>
        <v>4366.78680931134</v>
      </c>
      <c r="K449" s="15" t="n">
        <f aca="false">J449*(1+IF(K$3&lt;=$O$2,$D449,$D449-($D449-$I$427)*MIN(K$3-$O$2,$Q$2)/$Q$2))</f>
        <v>4252.57366522771</v>
      </c>
      <c r="L449" s="15" t="n">
        <f aca="false">K449*(1+IF(L$3&lt;=$O$2,$D449,$D449-($D449-$I$427)*MIN(L$3-$O$2,$Q$2)/$Q$2))</f>
        <v>4232.71425327815</v>
      </c>
      <c r="M449" s="15" t="n">
        <f aca="false">L449*(1+IF(M$3&lt;=$O$2,$D449,$D449-($D449-$I$427)*MIN(M$3-$O$2,$Q$2)/$Q$2))</f>
        <v>4303.88739673055</v>
      </c>
      <c r="N449" s="15" t="n">
        <f aca="false">M449*(1+IF(N$3&lt;=$O$2,$D449,$D449-($D449-$I$427)*MIN(N$3-$O$2,$Q$2)/$Q$2))</f>
        <v>4468.72628402533</v>
      </c>
      <c r="O449" s="15" t="n">
        <f aca="false">SUMPRODUCT(E449:N449,1/(1+$F$427)^$E$3:$N$3)*$E$2</f>
        <v>10551.9092973149</v>
      </c>
      <c r="P449" s="15" t="n">
        <f aca="false">N449*$E$2*(1+$I$427)/($F$427-$I$427)/(1+$F$427)^$N$3</f>
        <v>15803.3400613483</v>
      </c>
      <c r="Q449" s="15" t="n">
        <f aca="false">O449+P449</f>
        <v>26355.2493586632</v>
      </c>
      <c r="R449" s="15" t="n">
        <f aca="false">Q449-$G$2+$I$2</f>
        <v>19010.0493586632</v>
      </c>
      <c r="S449" s="42" t="n">
        <f aca="false">R449/$K$2</f>
        <v>81.0144869322957</v>
      </c>
      <c r="T449" s="43" t="n">
        <f aca="false">S449-$M$2</f>
        <v>0.000210350152116234</v>
      </c>
    </row>
    <row r="450" customFormat="false" ht="15" hidden="false" customHeight="false" outlineLevel="0" collapsed="false">
      <c r="A450" s="5" t="n">
        <v>22</v>
      </c>
      <c r="B450" s="25" t="n">
        <f aca="false">IF(T449&gt;0,B449,D449)</f>
        <v>-0.0691256523132324</v>
      </c>
      <c r="C450" s="25" t="n">
        <f aca="false">IF(T449&gt;0,D449,C449)</f>
        <v>-0.0691249370574951</v>
      </c>
      <c r="D450" s="41" t="n">
        <f aca="false">(B450+C450)/2</f>
        <v>-0.0691252946853638</v>
      </c>
      <c r="E450" s="15" t="n">
        <f aca="false">$C$2*(1+IF(E$3&lt;=$O$2,$D450,$D450-($D450-$I$427)*MIN(E$3-$O$2,$Q$2)/$Q$2))</f>
        <v>6106.53806686401</v>
      </c>
      <c r="F450" s="15" t="n">
        <f aca="false">E450*(1+IF(F$3&lt;=$O$2,$D450,$D450-($D450-$I$427)*MIN(F$3-$O$2,$Q$2)/$Q$2))</f>
        <v>5684.42182348465</v>
      </c>
      <c r="G450" s="15" t="n">
        <f aca="false">F450*(1+IF(G$3&lt;=$O$2,$D450,$D450-($D450-$I$427)*MIN(G$3-$O$2,$Q$2)/$Q$2))</f>
        <v>5291.48448982036</v>
      </c>
      <c r="H450" s="15" t="n">
        <f aca="false">G450*(1+IF(H$3&lt;=$O$2,$D450,$D450-($D450-$I$427)*MIN(H$3-$O$2,$Q$2)/$Q$2))</f>
        <v>4925.70906513849</v>
      </c>
      <c r="I450" s="15" t="n">
        <f aca="false">H450*(1+IF(I$3&lt;=$O$2,$D450,$D450-($D450-$I$427)*MIN(I$3-$O$2,$Q$2)/$Q$2))</f>
        <v>4585.21797447643</v>
      </c>
      <c r="J450" s="15" t="n">
        <f aca="false">I450*(1+IF(J$3&lt;=$O$2,$D450,$D450-($D450-$I$427)*MIN(J$3-$O$2,$Q$2)/$Q$2))</f>
        <v>4366.77710921507</v>
      </c>
      <c r="K450" s="15" t="n">
        <f aca="false">J450*(1+IF(K$3&lt;=$O$2,$D450,$D450-($D450-$I$427)*MIN(K$3-$O$2,$Q$2)/$Q$2))</f>
        <v>4252.56328182837</v>
      </c>
      <c r="L450" s="15" t="n">
        <f aca="false">K450*(1+IF(L$3&lt;=$O$2,$D450,$D450-($D450-$I$427)*MIN(L$3-$O$2,$Q$2)/$Q$2))</f>
        <v>4232.70331003497</v>
      </c>
      <c r="M450" s="15" t="n">
        <f aca="false">L450*(1+IF(M$3&lt;=$O$2,$D450,$D450-($D450-$I$427)*MIN(M$3-$O$2,$Q$2)/$Q$2))</f>
        <v>4303.87596673006</v>
      </c>
      <c r="N450" s="15" t="n">
        <f aca="false">M450*(1+IF(N$3&lt;=$O$2,$D450,$D450-($D450-$I$427)*MIN(N$3-$O$2,$Q$2)/$Q$2))</f>
        <v>4468.71441625582</v>
      </c>
      <c r="O450" s="15" t="n">
        <f aca="false">SUMPRODUCT(E450:N450,1/(1+$F$427)^$E$3:$N$3)*$E$2</f>
        <v>10551.892926097</v>
      </c>
      <c r="P450" s="15" t="n">
        <f aca="false">N450*$E$2*(1+$I$427)/($F$427-$I$427)/(1+$F$427)^$N$3</f>
        <v>15803.2980918059</v>
      </c>
      <c r="Q450" s="15" t="n">
        <f aca="false">O450+P450</f>
        <v>26355.1910179029</v>
      </c>
      <c r="R450" s="15" t="n">
        <f aca="false">Q450-$G$2+$I$2</f>
        <v>19009.9910179029</v>
      </c>
      <c r="S450" s="42" t="n">
        <f aca="false">R450/$K$2</f>
        <v>81.014238303443</v>
      </c>
      <c r="T450" s="43" t="n">
        <f aca="false">S450-$M$2</f>
        <v>-3.82787006145691E-005</v>
      </c>
    </row>
    <row r="451" customFormat="false" ht="15" hidden="false" customHeight="false" outlineLevel="0" collapsed="false">
      <c r="A451" s="5" t="n">
        <v>23</v>
      </c>
      <c r="B451" s="25" t="n">
        <f aca="false">IF(T450&gt;0,B450,D450)</f>
        <v>-0.0691252946853638</v>
      </c>
      <c r="C451" s="25" t="n">
        <f aca="false">IF(T450&gt;0,D450,C450)</f>
        <v>-0.0691249370574951</v>
      </c>
      <c r="D451" s="41" t="n">
        <f aca="false">(B451+C451)/2</f>
        <v>-0.0691251158714294</v>
      </c>
      <c r="E451" s="15" t="n">
        <f aca="false">$C$2*(1+IF(E$3&lt;=$O$2,$D451,$D451-($D451-$I$427)*MIN(E$3-$O$2,$Q$2)/$Q$2))</f>
        <v>6106.53923988342</v>
      </c>
      <c r="F451" s="15" t="n">
        <f aca="false">E451*(1+IF(F$3&lt;=$O$2,$D451,$D451-($D451-$I$427)*MIN(F$3-$O$2,$Q$2)/$Q$2))</f>
        <v>5684.42400735305</v>
      </c>
      <c r="G451" s="15" t="n">
        <f aca="false">F451*(1+IF(G$3&lt;=$O$2,$D451,$D451-($D451-$I$427)*MIN(G$3-$O$2,$Q$2)/$Q$2))</f>
        <v>5291.48753918244</v>
      </c>
      <c r="H451" s="15" t="n">
        <f aca="false">G451*(1+IF(H$3&lt;=$O$2,$D451,$D451-($D451-$I$427)*MIN(H$3-$O$2,$Q$2)/$Q$2))</f>
        <v>4925.71284990423</v>
      </c>
      <c r="I451" s="15" t="n">
        <f aca="false">H451*(1+IF(I$3&lt;=$O$2,$D451,$D451-($D451-$I$427)*MIN(I$3-$O$2,$Q$2)/$Q$2))</f>
        <v>4585.22237840521</v>
      </c>
      <c r="J451" s="15" t="n">
        <f aca="false">I451*(1+IF(J$3&lt;=$O$2,$D451,$D451-($D451-$I$427)*MIN(J$3-$O$2,$Q$2)/$Q$2))</f>
        <v>4366.78195926097</v>
      </c>
      <c r="K451" s="15" t="n">
        <f aca="false">J451*(1+IF(K$3&lt;=$O$2,$D451,$D451-($D451-$I$427)*MIN(K$3-$O$2,$Q$2)/$Q$2))</f>
        <v>4252.56847352533</v>
      </c>
      <c r="L451" s="15" t="n">
        <f aca="false">K451*(1+IF(L$3&lt;=$O$2,$D451,$D451-($D451-$I$427)*MIN(L$3-$O$2,$Q$2)/$Q$2))</f>
        <v>4232.7087816535</v>
      </c>
      <c r="M451" s="15" t="n">
        <f aca="false">L451*(1+IF(M$3&lt;=$O$2,$D451,$D451-($D451-$I$427)*MIN(M$3-$O$2,$Q$2)/$Q$2))</f>
        <v>4303.881681727</v>
      </c>
      <c r="N451" s="15" t="n">
        <f aca="false">M451*(1+IF(N$3&lt;=$O$2,$D451,$D451-($D451-$I$427)*MIN(N$3-$O$2,$Q$2)/$Q$2))</f>
        <v>4468.72035013714</v>
      </c>
      <c r="O451" s="15" t="n">
        <f aca="false">SUMPRODUCT(E451:N451,1/(1+$F$427)^$E$3:$N$3)*$E$2</f>
        <v>10551.9011117026</v>
      </c>
      <c r="P451" s="15" t="n">
        <f aca="false">N451*$E$2*(1+$I$427)/($F$427-$I$427)/(1+$F$427)^$N$3</f>
        <v>15803.3190765649</v>
      </c>
      <c r="Q451" s="15" t="n">
        <f aca="false">O451+P451</f>
        <v>26355.2201882676</v>
      </c>
      <c r="R451" s="15" t="n">
        <f aca="false">Q451-$G$2+$I$2</f>
        <v>19010.0201882676</v>
      </c>
      <c r="S451" s="42" t="n">
        <f aca="false">R451/$K$2</f>
        <v>81.0143626178035</v>
      </c>
      <c r="T451" s="43" t="n">
        <f aca="false">S451-$M$2</f>
        <v>8.6035659833783E-005</v>
      </c>
    </row>
    <row r="452" customFormat="false" ht="15" hidden="false" customHeight="false" outlineLevel="0" collapsed="false">
      <c r="A452" s="5" t="n">
        <v>24</v>
      </c>
      <c r="B452" s="25" t="n">
        <f aca="false">IF(T451&gt;0,B451,D451)</f>
        <v>-0.0691252946853638</v>
      </c>
      <c r="C452" s="25" t="n">
        <f aca="false">IF(T451&gt;0,D451,C451)</f>
        <v>-0.0691251158714294</v>
      </c>
      <c r="D452" s="41" t="n">
        <f aca="false">(B452+C452)/2</f>
        <v>-0.0691252052783966</v>
      </c>
      <c r="E452" s="15" t="n">
        <f aca="false">$C$2*(1+IF(E$3&lt;=$O$2,$D452,$D452-($D452-$I$427)*MIN(E$3-$O$2,$Q$2)/$Q$2))</f>
        <v>6106.53865337372</v>
      </c>
      <c r="F452" s="15" t="n">
        <f aca="false">E452*(1+IF(F$3&lt;=$O$2,$D452,$D452-($D452-$I$427)*MIN(F$3-$O$2,$Q$2)/$Q$2))</f>
        <v>5684.4229154188</v>
      </c>
      <c r="G452" s="15" t="n">
        <f aca="false">F452*(1+IF(G$3&lt;=$O$2,$D452,$D452-($D452-$I$427)*MIN(G$3-$O$2,$Q$2)/$Q$2))</f>
        <v>5291.48601450125</v>
      </c>
      <c r="H452" s="15" t="n">
        <f aca="false">G452*(1+IF(H$3&lt;=$O$2,$D452,$D452-($D452-$I$427)*MIN(H$3-$O$2,$Q$2)/$Q$2))</f>
        <v>4925.71095752109</v>
      </c>
      <c r="I452" s="15" t="n">
        <f aca="false">H452*(1+IF(I$3&lt;=$O$2,$D452,$D452-($D452-$I$427)*MIN(I$3-$O$2,$Q$2)/$Q$2))</f>
        <v>4585.22017644039</v>
      </c>
      <c r="J452" s="15" t="n">
        <f aca="false">I452*(1+IF(J$3&lt;=$O$2,$D452,$D452-($D452-$I$427)*MIN(J$3-$O$2,$Q$2)/$Q$2))</f>
        <v>4366.77953423746</v>
      </c>
      <c r="K452" s="15" t="n">
        <f aca="false">J452*(1+IF(K$3&lt;=$O$2,$D452,$D452-($D452-$I$427)*MIN(K$3-$O$2,$Q$2)/$Q$2))</f>
        <v>4252.56587767618</v>
      </c>
      <c r="L452" s="15" t="n">
        <f aca="false">K452*(1+IF(L$3&lt;=$O$2,$D452,$D452-($D452-$I$427)*MIN(L$3-$O$2,$Q$2)/$Q$2))</f>
        <v>4232.70604584347</v>
      </c>
      <c r="M452" s="15" t="n">
        <f aca="false">L452*(1+IF(M$3&lt;=$O$2,$D452,$D452-($D452-$I$427)*MIN(M$3-$O$2,$Q$2)/$Q$2))</f>
        <v>4303.8788242277</v>
      </c>
      <c r="N452" s="15" t="n">
        <f aca="false">M452*(1+IF(N$3&lt;=$O$2,$D452,$D452-($D452-$I$427)*MIN(N$3-$O$2,$Q$2)/$Q$2))</f>
        <v>4468.71738319562</v>
      </c>
      <c r="O452" s="15" t="n">
        <f aca="false">SUMPRODUCT(E452:N452,1/(1+$F$427)^$E$3:$N$3)*$E$2</f>
        <v>10551.897018899</v>
      </c>
      <c r="P452" s="15" t="n">
        <f aca="false">N452*$E$2*(1+$I$427)/($F$427-$I$427)/(1+$F$427)^$N$3</f>
        <v>15803.3085841824</v>
      </c>
      <c r="Q452" s="15" t="n">
        <f aca="false">O452+P452</f>
        <v>26355.2056030814</v>
      </c>
      <c r="R452" s="15" t="n">
        <f aca="false">Q452-$G$2+$I$2</f>
        <v>19010.0056030814</v>
      </c>
      <c r="S452" s="42" t="n">
        <f aca="false">R452/$K$2</f>
        <v>81.0143004606068</v>
      </c>
      <c r="T452" s="43" t="n">
        <f aca="false">S452-$M$2</f>
        <v>2.38784631392264E-005</v>
      </c>
    </row>
    <row r="454" customFormat="false" ht="15" hidden="false" customHeight="false" outlineLevel="0" collapsed="false">
      <c r="A454" s="38" t="s">
        <v>198</v>
      </c>
      <c r="E454" s="5" t="s">
        <v>11</v>
      </c>
      <c r="F454" s="12" t="n">
        <f aca="false">Sensitivity!$B$13</f>
        <v>0.0862368036285737</v>
      </c>
      <c r="G454" s="5" t="s">
        <v>12</v>
      </c>
      <c r="I454" s="12" t="n">
        <f aca="false">Sensitivity!$C$9</f>
        <v>0.0183</v>
      </c>
    </row>
    <row r="455" customFormat="false" ht="23.85" hidden="false" customHeight="false" outlineLevel="0" collapsed="false">
      <c r="A455" s="38" t="s">
        <v>163</v>
      </c>
      <c r="B455" s="28" t="s">
        <v>164</v>
      </c>
      <c r="C455" s="28" t="s">
        <v>165</v>
      </c>
      <c r="D455" s="28" t="s">
        <v>166</v>
      </c>
      <c r="E455" s="28" t="s">
        <v>167</v>
      </c>
      <c r="F455" s="28" t="s">
        <v>168</v>
      </c>
      <c r="G455" s="28" t="s">
        <v>169</v>
      </c>
      <c r="H455" s="28" t="s">
        <v>170</v>
      </c>
      <c r="I455" s="28" t="s">
        <v>171</v>
      </c>
      <c r="J455" s="28" t="s">
        <v>172</v>
      </c>
      <c r="K455" s="28" t="s">
        <v>173</v>
      </c>
      <c r="L455" s="28" t="s">
        <v>174</v>
      </c>
      <c r="M455" s="28" t="s">
        <v>175</v>
      </c>
      <c r="N455" s="28" t="s">
        <v>176</v>
      </c>
      <c r="O455" s="28" t="s">
        <v>177</v>
      </c>
      <c r="P455" s="28" t="s">
        <v>178</v>
      </c>
      <c r="Q455" s="28" t="s">
        <v>179</v>
      </c>
      <c r="R455" s="28" t="s">
        <v>180</v>
      </c>
      <c r="S455" s="28" t="s">
        <v>181</v>
      </c>
      <c r="T455" s="28" t="s">
        <v>182</v>
      </c>
    </row>
    <row r="456" customFormat="false" ht="15" hidden="false" customHeight="false" outlineLevel="0" collapsed="false">
      <c r="A456" s="5" t="n">
        <v>1</v>
      </c>
      <c r="B456" s="24" t="n">
        <v>-0.5</v>
      </c>
      <c r="C456" s="24" t="n">
        <v>1</v>
      </c>
      <c r="D456" s="41" t="n">
        <f aca="false">(B456+C456)/2</f>
        <v>0.25</v>
      </c>
      <c r="E456" s="15" t="n">
        <f aca="false">$C$2*(1+IF(E$3&lt;=$O$2,$D456,$D456-($D456-$I$454)*MIN(E$3-$O$2,$Q$2)/$Q$2))</f>
        <v>8200</v>
      </c>
      <c r="F456" s="15" t="n">
        <f aca="false">E456*(1+IF(F$3&lt;=$O$2,$D456,$D456-($D456-$I$454)*MIN(F$3-$O$2,$Q$2)/$Q$2))</f>
        <v>10250</v>
      </c>
      <c r="G456" s="15" t="n">
        <f aca="false">F456*(1+IF(G$3&lt;=$O$2,$D456,$D456-($D456-$I$454)*MIN(G$3-$O$2,$Q$2)/$Q$2))</f>
        <v>12812.5</v>
      </c>
      <c r="H456" s="15" t="n">
        <f aca="false">G456*(1+IF(H$3&lt;=$O$2,$D456,$D456-($D456-$I$454)*MIN(H$3-$O$2,$Q$2)/$Q$2))</f>
        <v>16015.625</v>
      </c>
      <c r="I456" s="15" t="n">
        <f aca="false">H456*(1+IF(I$3&lt;=$O$2,$D456,$D456-($D456-$I$454)*MIN(I$3-$O$2,$Q$2)/$Q$2))</f>
        <v>20019.53125</v>
      </c>
      <c r="J456" s="15" t="n">
        <f aca="false">I456*(1+IF(J$3&lt;=$O$2,$D456,$D456-($D456-$I$454)*MIN(J$3-$O$2,$Q$2)/$Q$2))</f>
        <v>24096.708984375</v>
      </c>
      <c r="K456" s="15" t="n">
        <f aca="false">J456*(1+IF(K$3&lt;=$O$2,$D456,$D456-($D456-$I$454)*MIN(K$3-$O$2,$Q$2)/$Q$2))</f>
        <v>27887.6032417969</v>
      </c>
      <c r="L456" s="15" t="n">
        <f aca="false">K456*(1+IF(L$3&lt;=$O$2,$D456,$D456-($D456-$I$454)*MIN(L$3-$O$2,$Q$2)/$Q$2))</f>
        <v>30982.5694495715</v>
      </c>
      <c r="M456" s="15" t="n">
        <f aca="false">L456*(1+IF(M$3&lt;=$O$2,$D456,$D456-($D456-$I$454)*MIN(M$3-$O$2,$Q$2)/$Q$2))</f>
        <v>32985.2827387918</v>
      </c>
      <c r="N456" s="15" t="n">
        <f aca="false">M456*(1+IF(N$3&lt;=$O$2,$D456,$D456-($D456-$I$454)*MIN(N$3-$O$2,$Q$2)/$Q$2))</f>
        <v>33588.9134129117</v>
      </c>
      <c r="O456" s="15" t="n">
        <f aca="false">SUMPRODUCT(E456:N456,1/(1+$F$454)^$E$3:$N$3)*$E$2</f>
        <v>40754.8195066362</v>
      </c>
      <c r="P456" s="15" t="n">
        <f aca="false">N456*$E$2*(1+$I$454)/($F$454-$I$454)/(1+$F$454)^$N$3</f>
        <v>70307.4979683348</v>
      </c>
      <c r="Q456" s="15" t="n">
        <f aca="false">O456+P456</f>
        <v>111062.317474971</v>
      </c>
      <c r="R456" s="15" t="n">
        <f aca="false">Q456-$G$2+$I$2</f>
        <v>103717.117474971</v>
      </c>
      <c r="S456" s="42" t="n">
        <f aca="false">R456/$K$2</f>
        <v>442.007745471856</v>
      </c>
      <c r="T456" s="43" t="n">
        <f aca="false">S456-$M$2</f>
        <v>360.993468889712</v>
      </c>
    </row>
    <row r="457" customFormat="false" ht="15" hidden="false" customHeight="false" outlineLevel="0" collapsed="false">
      <c r="A457" s="5" t="n">
        <v>2</v>
      </c>
      <c r="B457" s="25" t="n">
        <f aca="false">IF(T456&gt;0,B456,D456)</f>
        <v>-0.5</v>
      </c>
      <c r="C457" s="25" t="n">
        <f aca="false">IF(T456&gt;0,D456,C456)</f>
        <v>0.25</v>
      </c>
      <c r="D457" s="41" t="n">
        <f aca="false">(B457+C457)/2</f>
        <v>-0.125</v>
      </c>
      <c r="E457" s="15" t="n">
        <f aca="false">$C$2*(1+IF(E$3&lt;=$O$2,$D457,$D457-($D457-$I$454)*MIN(E$3-$O$2,$Q$2)/$Q$2))</f>
        <v>5740</v>
      </c>
      <c r="F457" s="15" t="n">
        <f aca="false">E457*(1+IF(F$3&lt;=$O$2,$D457,$D457-($D457-$I$454)*MIN(F$3-$O$2,$Q$2)/$Q$2))</f>
        <v>5022.5</v>
      </c>
      <c r="G457" s="15" t="n">
        <f aca="false">F457*(1+IF(G$3&lt;=$O$2,$D457,$D457-($D457-$I$454)*MIN(G$3-$O$2,$Q$2)/$Q$2))</f>
        <v>4394.6875</v>
      </c>
      <c r="H457" s="15" t="n">
        <f aca="false">G457*(1+IF(H$3&lt;=$O$2,$D457,$D457-($D457-$I$454)*MIN(H$3-$O$2,$Q$2)/$Q$2))</f>
        <v>3845.3515625</v>
      </c>
      <c r="I457" s="15" t="n">
        <f aca="false">H457*(1+IF(I$3&lt;=$O$2,$D457,$D457-($D457-$I$454)*MIN(I$3-$O$2,$Q$2)/$Q$2))</f>
        <v>3364.6826171875</v>
      </c>
      <c r="J457" s="15" t="n">
        <f aca="false">I457*(1+IF(J$3&lt;=$O$2,$D457,$D457-($D457-$I$454)*MIN(J$3-$O$2,$Q$2)/$Q$2))</f>
        <v>3040.52909384766</v>
      </c>
      <c r="K457" s="15" t="n">
        <f aca="false">J457*(1+IF(K$3&lt;=$O$2,$D457,$D457-($D457-$I$454)*MIN(K$3-$O$2,$Q$2)/$Q$2))</f>
        <v>2834.74608477605</v>
      </c>
      <c r="L457" s="15" t="n">
        <f aca="false">K457*(1+IF(L$3&lt;=$O$2,$D457,$D457-($D457-$I$454)*MIN(L$3-$O$2,$Q$2)/$Q$2))</f>
        <v>2724.13429254809</v>
      </c>
      <c r="M457" s="15" t="n">
        <f aca="false">L457*(1+IF(M$3&lt;=$O$2,$D457,$D457-($D457-$I$454)*MIN(M$3-$O$2,$Q$2)/$Q$2))</f>
        <v>2695.91226127729</v>
      </c>
      <c r="N457" s="15" t="n">
        <f aca="false">M457*(1+IF(N$3&lt;=$O$2,$D457,$D457-($D457-$I$454)*MIN(N$3-$O$2,$Q$2)/$Q$2))</f>
        <v>2745.24745565866</v>
      </c>
      <c r="O457" s="15" t="n">
        <f aca="false">SUMPRODUCT(E457:N457,1/(1+$F$454)^$E$3:$N$3)*$E$2</f>
        <v>8074.39092083607</v>
      </c>
      <c r="P457" s="15" t="n">
        <f aca="false">N457*$E$2*(1+$I$454)/($F$454-$I$454)/(1+$F$454)^$N$3</f>
        <v>5746.28531559176</v>
      </c>
      <c r="Q457" s="15" t="n">
        <f aca="false">O457+P457</f>
        <v>13820.6762364278</v>
      </c>
      <c r="R457" s="15" t="n">
        <f aca="false">Q457-$G$2+$I$2</f>
        <v>6475.47623642783</v>
      </c>
      <c r="S457" s="42" t="n">
        <f aca="false">R457/$K$2</f>
        <v>27.5963189278834</v>
      </c>
      <c r="T457" s="43" t="n">
        <f aca="false">S457-$M$2</f>
        <v>-53.4179576542603</v>
      </c>
    </row>
    <row r="458" customFormat="false" ht="15" hidden="false" customHeight="false" outlineLevel="0" collapsed="false">
      <c r="A458" s="5" t="n">
        <v>3</v>
      </c>
      <c r="B458" s="25" t="n">
        <f aca="false">IF(T457&gt;0,B457,D457)</f>
        <v>-0.125</v>
      </c>
      <c r="C458" s="25" t="n">
        <f aca="false">IF(T457&gt;0,D457,C457)</f>
        <v>0.25</v>
      </c>
      <c r="D458" s="41" t="n">
        <f aca="false">(B458+C458)/2</f>
        <v>0.0625</v>
      </c>
      <c r="E458" s="15" t="n">
        <f aca="false">$C$2*(1+IF(E$3&lt;=$O$2,$D458,$D458-($D458-$I$454)*MIN(E$3-$O$2,$Q$2)/$Q$2))</f>
        <v>6970</v>
      </c>
      <c r="F458" s="15" t="n">
        <f aca="false">E458*(1+IF(F$3&lt;=$O$2,$D458,$D458-($D458-$I$454)*MIN(F$3-$O$2,$Q$2)/$Q$2))</f>
        <v>7405.625</v>
      </c>
      <c r="G458" s="15" t="n">
        <f aca="false">F458*(1+IF(G$3&lt;=$O$2,$D458,$D458-($D458-$I$454)*MIN(G$3-$O$2,$Q$2)/$Q$2))</f>
        <v>7868.4765625</v>
      </c>
      <c r="H458" s="15" t="n">
        <f aca="false">G458*(1+IF(H$3&lt;=$O$2,$D458,$D458-($D458-$I$454)*MIN(H$3-$O$2,$Q$2)/$Q$2))</f>
        <v>8360.25634765625</v>
      </c>
      <c r="I458" s="15" t="n">
        <f aca="false">H458*(1+IF(I$3&lt;=$O$2,$D458,$D458-($D458-$I$454)*MIN(I$3-$O$2,$Q$2)/$Q$2))</f>
        <v>8882.77236938477</v>
      </c>
      <c r="J458" s="15" t="n">
        <f aca="false">I458*(1+IF(J$3&lt;=$O$2,$D458,$D458-($D458-$I$454)*MIN(J$3-$O$2,$Q$2)/$Q$2))</f>
        <v>9359.42193472595</v>
      </c>
      <c r="K458" s="15" t="n">
        <f aca="false">J458*(1+IF(K$3&lt;=$O$2,$D458,$D458-($D458-$I$454)*MIN(K$3-$O$2,$Q$2)/$Q$2))</f>
        <v>9778.91122584037</v>
      </c>
      <c r="L458" s="15" t="n">
        <f aca="false">K458*(1+IF(L$3&lt;=$O$2,$D458,$D458-($D458-$I$454)*MIN(L$3-$O$2,$Q$2)/$Q$2))</f>
        <v>10130.7564517461</v>
      </c>
      <c r="M458" s="15" t="n">
        <f aca="false">L458*(1+IF(M$3&lt;=$O$2,$D458,$D458-($D458-$I$454)*MIN(M$3-$O$2,$Q$2)/$Q$2))</f>
        <v>10405.7051818465</v>
      </c>
      <c r="N458" s="15" t="n">
        <f aca="false">M458*(1+IF(N$3&lt;=$O$2,$D458,$D458-($D458-$I$454)*MIN(N$3-$O$2,$Q$2)/$Q$2))</f>
        <v>10596.1295866743</v>
      </c>
      <c r="O458" s="15" t="n">
        <f aca="false">SUMPRODUCT(E458:N458,1/(1+$F$454)^$E$3:$N$3)*$E$2</f>
        <v>18105.2937307946</v>
      </c>
      <c r="P458" s="15" t="n">
        <f aca="false">N458*$E$2*(1+$I$454)/($F$454-$I$454)/(1+$F$454)^$N$3</f>
        <v>22179.56116142</v>
      </c>
      <c r="Q458" s="15" t="n">
        <f aca="false">O458+P458</f>
        <v>40284.8548922146</v>
      </c>
      <c r="R458" s="15" t="n">
        <f aca="false">Q458-$G$2+$I$2</f>
        <v>32939.6548922146</v>
      </c>
      <c r="S458" s="42" t="n">
        <f aca="false">R458/$K$2</f>
        <v>140.377817567503</v>
      </c>
      <c r="T458" s="43" t="n">
        <f aca="false">S458-$M$2</f>
        <v>59.3635409853593</v>
      </c>
    </row>
    <row r="459" customFormat="false" ht="15" hidden="false" customHeight="false" outlineLevel="0" collapsed="false">
      <c r="A459" s="5" t="n">
        <v>4</v>
      </c>
      <c r="B459" s="25" t="n">
        <f aca="false">IF(T458&gt;0,B458,D458)</f>
        <v>-0.125</v>
      </c>
      <c r="C459" s="25" t="n">
        <f aca="false">IF(T458&gt;0,D458,C458)</f>
        <v>0.0625</v>
      </c>
      <c r="D459" s="41" t="n">
        <f aca="false">(B459+C459)/2</f>
        <v>-0.03125</v>
      </c>
      <c r="E459" s="15" t="n">
        <f aca="false">$C$2*(1+IF(E$3&lt;=$O$2,$D459,$D459-($D459-$I$454)*MIN(E$3-$O$2,$Q$2)/$Q$2))</f>
        <v>6355</v>
      </c>
      <c r="F459" s="15" t="n">
        <f aca="false">E459*(1+IF(F$3&lt;=$O$2,$D459,$D459-($D459-$I$454)*MIN(F$3-$O$2,$Q$2)/$Q$2))</f>
        <v>6156.40625</v>
      </c>
      <c r="G459" s="15" t="n">
        <f aca="false">F459*(1+IF(G$3&lt;=$O$2,$D459,$D459-($D459-$I$454)*MIN(G$3-$O$2,$Q$2)/$Q$2))</f>
        <v>5964.0185546875</v>
      </c>
      <c r="H459" s="15" t="n">
        <f aca="false">G459*(1+IF(H$3&lt;=$O$2,$D459,$D459-($D459-$I$454)*MIN(H$3-$O$2,$Q$2)/$Q$2))</f>
        <v>5777.64297485352</v>
      </c>
      <c r="I459" s="15" t="n">
        <f aca="false">H459*(1+IF(I$3&lt;=$O$2,$D459,$D459-($D459-$I$454)*MIN(I$3-$O$2,$Q$2)/$Q$2))</f>
        <v>5597.09163188934</v>
      </c>
      <c r="J459" s="15" t="n">
        <f aca="false">I459*(1+IF(J$3&lt;=$O$2,$D459,$D459-($D459-$I$454)*MIN(J$3-$O$2,$Q$2)/$Q$2))</f>
        <v>5477.64969646483</v>
      </c>
      <c r="K459" s="15" t="n">
        <f aca="false">J459*(1+IF(K$3&lt;=$O$2,$D459,$D459-($D459-$I$454)*MIN(K$3-$O$2,$Q$2)/$Q$2))</f>
        <v>5415.04016043423</v>
      </c>
      <c r="L459" s="15" t="n">
        <f aca="false">K459*(1+IF(L$3&lt;=$O$2,$D459,$D459-($D459-$I$454)*MIN(L$3-$O$2,$Q$2)/$Q$2))</f>
        <v>5406.80929939037</v>
      </c>
      <c r="M459" s="15" t="n">
        <f aca="false">L459*(1+IF(M$3&lt;=$O$2,$D459,$D459-($D459-$I$454)*MIN(M$3-$O$2,$Q$2)/$Q$2))</f>
        <v>5452.17242941226</v>
      </c>
      <c r="N459" s="15" t="n">
        <f aca="false">M459*(1+IF(N$3&lt;=$O$2,$D459,$D459-($D459-$I$454)*MIN(N$3-$O$2,$Q$2)/$Q$2))</f>
        <v>5551.9471848705</v>
      </c>
      <c r="O459" s="15" t="n">
        <f aca="false">SUMPRODUCT(E459:N459,1/(1+$F$454)^$E$3:$N$3)*$E$2</f>
        <v>12055.5761802191</v>
      </c>
      <c r="P459" s="15" t="n">
        <f aca="false">N459*$E$2*(1+$I$454)/($F$454-$I$454)/(1+$F$454)^$N$3</f>
        <v>11621.2010380346</v>
      </c>
      <c r="Q459" s="15" t="n">
        <f aca="false">O459+P459</f>
        <v>23676.7772182537</v>
      </c>
      <c r="R459" s="15" t="n">
        <f aca="false">Q459-$G$2+$I$2</f>
        <v>16331.5772182537</v>
      </c>
      <c r="S459" s="42" t="n">
        <f aca="false">R459/$K$2</f>
        <v>69.599732445147</v>
      </c>
      <c r="T459" s="43" t="n">
        <f aca="false">S459-$M$2</f>
        <v>-11.4145441369967</v>
      </c>
    </row>
    <row r="460" customFormat="false" ht="15" hidden="false" customHeight="false" outlineLevel="0" collapsed="false">
      <c r="A460" s="5" t="n">
        <v>5</v>
      </c>
      <c r="B460" s="25" t="n">
        <f aca="false">IF(T459&gt;0,B459,D459)</f>
        <v>-0.03125</v>
      </c>
      <c r="C460" s="25" t="n">
        <f aca="false">IF(T459&gt;0,D459,C459)</f>
        <v>0.0625</v>
      </c>
      <c r="D460" s="41" t="n">
        <f aca="false">(B460+C460)/2</f>
        <v>0.015625</v>
      </c>
      <c r="E460" s="15" t="n">
        <f aca="false">$C$2*(1+IF(E$3&lt;=$O$2,$D460,$D460-($D460-$I$454)*MIN(E$3-$O$2,$Q$2)/$Q$2))</f>
        <v>6662.5</v>
      </c>
      <c r="F460" s="15" t="n">
        <f aca="false">E460*(1+IF(F$3&lt;=$O$2,$D460,$D460-($D460-$I$454)*MIN(F$3-$O$2,$Q$2)/$Q$2))</f>
        <v>6766.6015625</v>
      </c>
      <c r="G460" s="15" t="n">
        <f aca="false">F460*(1+IF(G$3&lt;=$O$2,$D460,$D460-($D460-$I$454)*MIN(G$3-$O$2,$Q$2)/$Q$2))</f>
        <v>6872.32971191406</v>
      </c>
      <c r="H460" s="15" t="n">
        <f aca="false">G460*(1+IF(H$3&lt;=$O$2,$D460,$D460-($D460-$I$454)*MIN(H$3-$O$2,$Q$2)/$Q$2))</f>
        <v>6979.70986366272</v>
      </c>
      <c r="I460" s="15" t="n">
        <f aca="false">H460*(1+IF(I$3&lt;=$O$2,$D460,$D460-($D460-$I$454)*MIN(I$3-$O$2,$Q$2)/$Q$2))</f>
        <v>7088.76783028245</v>
      </c>
      <c r="J460" s="15" t="n">
        <f aca="false">I460*(1+IF(J$3&lt;=$O$2,$D460,$D460-($D460-$I$454)*MIN(J$3-$O$2,$Q$2)/$Q$2))</f>
        <v>7203.32231841981</v>
      </c>
      <c r="K460" s="15" t="n">
        <f aca="false">J460*(1+IF(K$3&lt;=$O$2,$D460,$D460-($D460-$I$454)*MIN(K$3-$O$2,$Q$2)/$Q$2))</f>
        <v>7323.58178452583</v>
      </c>
      <c r="L460" s="15" t="n">
        <f aca="false">K460*(1+IF(L$3&lt;=$O$2,$D460,$D460-($D460-$I$454)*MIN(L$3-$O$2,$Q$2)/$Q$2))</f>
        <v>7449.76709867321</v>
      </c>
      <c r="M460" s="15" t="n">
        <f aca="false">L460*(1+IF(M$3&lt;=$O$2,$D460,$D460-($D460-$I$454)*MIN(M$3-$O$2,$Q$2)/$Q$2))</f>
        <v>7582.11221118114</v>
      </c>
      <c r="N460" s="15" t="n">
        <f aca="false">M460*(1+IF(N$3&lt;=$O$2,$D460,$D460-($D460-$I$454)*MIN(N$3-$O$2,$Q$2)/$Q$2))</f>
        <v>7720.86486464576</v>
      </c>
      <c r="O460" s="15" t="n">
        <f aca="false">SUMPRODUCT(E460:N460,1/(1+$F$454)^$E$3:$N$3)*$E$2</f>
        <v>14767.9270529272</v>
      </c>
      <c r="P460" s="15" t="n">
        <f aca="false">N460*$E$2*(1+$I$454)/($F$454-$I$454)/(1+$F$454)^$N$3</f>
        <v>16161.1268608708</v>
      </c>
      <c r="Q460" s="15" t="n">
        <f aca="false">O460+P460</f>
        <v>30929.053913798</v>
      </c>
      <c r="R460" s="15" t="n">
        <f aca="false">Q460-$G$2+$I$2</f>
        <v>23583.853913798</v>
      </c>
      <c r="S460" s="42" t="n">
        <f aca="false">R460/$K$2</f>
        <v>100.506515720426</v>
      </c>
      <c r="T460" s="43" t="n">
        <f aca="false">S460-$M$2</f>
        <v>19.4922391382824</v>
      </c>
    </row>
    <row r="461" customFormat="false" ht="15" hidden="false" customHeight="false" outlineLevel="0" collapsed="false">
      <c r="A461" s="5" t="n">
        <v>6</v>
      </c>
      <c r="B461" s="25" t="n">
        <f aca="false">IF(T460&gt;0,B460,D460)</f>
        <v>-0.03125</v>
      </c>
      <c r="C461" s="25" t="n">
        <f aca="false">IF(T460&gt;0,D460,C460)</f>
        <v>0.015625</v>
      </c>
      <c r="D461" s="41" t="n">
        <f aca="false">(B461+C461)/2</f>
        <v>-0.0078125</v>
      </c>
      <c r="E461" s="15" t="n">
        <f aca="false">$C$2*(1+IF(E$3&lt;=$O$2,$D461,$D461-($D461-$I$454)*MIN(E$3-$O$2,$Q$2)/$Q$2))</f>
        <v>6508.75</v>
      </c>
      <c r="F461" s="15" t="n">
        <f aca="false">E461*(1+IF(F$3&lt;=$O$2,$D461,$D461-($D461-$I$454)*MIN(F$3-$O$2,$Q$2)/$Q$2))</f>
        <v>6457.900390625</v>
      </c>
      <c r="G461" s="15" t="n">
        <f aca="false">F461*(1+IF(G$3&lt;=$O$2,$D461,$D461-($D461-$I$454)*MIN(G$3-$O$2,$Q$2)/$Q$2))</f>
        <v>6407.44804382324</v>
      </c>
      <c r="H461" s="15" t="n">
        <f aca="false">G461*(1+IF(H$3&lt;=$O$2,$D461,$D461-($D461-$I$454)*MIN(H$3-$O$2,$Q$2)/$Q$2))</f>
        <v>6357.38985598087</v>
      </c>
      <c r="I461" s="15" t="n">
        <f aca="false">H461*(1+IF(I$3&lt;=$O$2,$D461,$D461-($D461-$I$454)*MIN(I$3-$O$2,$Q$2)/$Q$2))</f>
        <v>6307.72274773102</v>
      </c>
      <c r="J461" s="15" t="n">
        <f aca="false">I461*(1+IF(J$3&lt;=$O$2,$D461,$D461-($D461-$I$454)*MIN(J$3-$O$2,$Q$2)/$Q$2))</f>
        <v>6291.3857458144</v>
      </c>
      <c r="K461" s="15" t="n">
        <f aca="false">J461*(1+IF(K$3&lt;=$O$2,$D461,$D461-($D461-$I$454)*MIN(K$3-$O$2,$Q$2)/$Q$2))</f>
        <v>6307.94781879026</v>
      </c>
      <c r="L461" s="15" t="n">
        <f aca="false">K461*(1+IF(L$3&lt;=$O$2,$D461,$D461-($D461-$I$454)*MIN(L$3-$O$2,$Q$2)/$Q$2))</f>
        <v>6357.49674890685</v>
      </c>
      <c r="M461" s="15" t="n">
        <f aca="false">L461*(1+IF(M$3&lt;=$O$2,$D461,$D461-($D461-$I$454)*MIN(M$3-$O$2,$Q$2)/$Q$2))</f>
        <v>6440.63691264068</v>
      </c>
      <c r="N461" s="15" t="n">
        <f aca="false">M461*(1+IF(N$3&lt;=$O$2,$D461,$D461-($D461-$I$454)*MIN(N$3-$O$2,$Q$2)/$Q$2))</f>
        <v>6558.50056814201</v>
      </c>
      <c r="O461" s="15" t="n">
        <f aca="false">SUMPRODUCT(E461:N461,1/(1+$F$454)^$E$3:$N$3)*$E$2</f>
        <v>13341.1077090818</v>
      </c>
      <c r="P461" s="15" t="n">
        <f aca="false">N461*$E$2*(1+$I$454)/($F$454-$I$454)/(1+$F$454)^$N$3</f>
        <v>13728.0941393214</v>
      </c>
      <c r="Q461" s="15" t="n">
        <f aca="false">O461+P461</f>
        <v>27069.2018484032</v>
      </c>
      <c r="R461" s="15" t="n">
        <f aca="false">Q461-$G$2+$I$2</f>
        <v>19724.0018484032</v>
      </c>
      <c r="S461" s="42" t="n">
        <f aca="false">R461/$K$2</f>
        <v>84.0571142058519</v>
      </c>
      <c r="T461" s="43" t="n">
        <f aca="false">S461-$M$2</f>
        <v>3.04283762370831</v>
      </c>
    </row>
    <row r="462" customFormat="false" ht="15" hidden="false" customHeight="false" outlineLevel="0" collapsed="false">
      <c r="A462" s="5" t="n">
        <v>7</v>
      </c>
      <c r="B462" s="25" t="n">
        <f aca="false">IF(T461&gt;0,B461,D461)</f>
        <v>-0.03125</v>
      </c>
      <c r="C462" s="25" t="n">
        <f aca="false">IF(T461&gt;0,D461,C461)</f>
        <v>-0.0078125</v>
      </c>
      <c r="D462" s="41" t="n">
        <f aca="false">(B462+C462)/2</f>
        <v>-0.01953125</v>
      </c>
      <c r="E462" s="15" t="n">
        <f aca="false">$C$2*(1+IF(E$3&lt;=$O$2,$D462,$D462-($D462-$I$454)*MIN(E$3-$O$2,$Q$2)/$Q$2))</f>
        <v>6431.875</v>
      </c>
      <c r="F462" s="15" t="n">
        <f aca="false">E462*(1+IF(F$3&lt;=$O$2,$D462,$D462-($D462-$I$454)*MIN(F$3-$O$2,$Q$2)/$Q$2))</f>
        <v>6306.25244140625</v>
      </c>
      <c r="G462" s="15" t="n">
        <f aca="false">F462*(1+IF(G$3&lt;=$O$2,$D462,$D462-($D462-$I$454)*MIN(G$3-$O$2,$Q$2)/$Q$2))</f>
        <v>6183.08344841003</v>
      </c>
      <c r="H462" s="15" t="n">
        <f aca="false">G462*(1+IF(H$3&lt;=$O$2,$D462,$D462-($D462-$I$454)*MIN(H$3-$O$2,$Q$2)/$Q$2))</f>
        <v>6062.32009980828</v>
      </c>
      <c r="I462" s="15" t="n">
        <f aca="false">H462*(1+IF(I$3&lt;=$O$2,$D462,$D462-($D462-$I$454)*MIN(I$3-$O$2,$Q$2)/$Q$2))</f>
        <v>5943.9154103589</v>
      </c>
      <c r="J462" s="15" t="n">
        <f aca="false">I462*(1+IF(J$3&lt;=$O$2,$D462,$D462-($D462-$I$454)*MIN(J$3-$O$2,$Q$2)/$Q$2))</f>
        <v>5872.79646247395</v>
      </c>
      <c r="K462" s="15" t="n">
        <f aca="false">J462*(1+IF(K$3&lt;=$O$2,$D462,$D462-($D462-$I$454)*MIN(K$3-$O$2,$Q$2)/$Q$2))</f>
        <v>5846.96349903464</v>
      </c>
      <c r="L462" s="15" t="n">
        <f aca="false">K462*(1+IF(L$3&lt;=$O$2,$D462,$D462-($D462-$I$454)*MIN(L$3-$O$2,$Q$2)/$Q$2))</f>
        <v>5865.48375591784</v>
      </c>
      <c r="M462" s="15" t="n">
        <f aca="false">L462*(1+IF(M$3&lt;=$O$2,$D462,$D462-($D462-$I$454)*MIN(M$3-$O$2,$Q$2)/$Q$2))</f>
        <v>5928.44239218292</v>
      </c>
      <c r="N462" s="15" t="n">
        <f aca="false">M462*(1+IF(N$3&lt;=$O$2,$D462,$D462-($D462-$I$454)*MIN(N$3-$O$2,$Q$2)/$Q$2))</f>
        <v>6036.93288795987</v>
      </c>
      <c r="O462" s="15" t="n">
        <f aca="false">SUMPRODUCT(E462:N462,1/(1+$F$454)^$E$3:$N$3)*$E$2</f>
        <v>12681.5473640644</v>
      </c>
      <c r="P462" s="15" t="n">
        <f aca="false">N462*$E$2*(1+$I$454)/($F$454-$I$454)/(1+$F$454)^$N$3</f>
        <v>12636.3613355845</v>
      </c>
      <c r="Q462" s="15" t="n">
        <f aca="false">O462+P462</f>
        <v>25317.9086996489</v>
      </c>
      <c r="R462" s="15" t="n">
        <f aca="false">Q462-$G$2+$I$2</f>
        <v>17972.7086996489</v>
      </c>
      <c r="S462" s="42" t="n">
        <f aca="false">R462/$K$2</f>
        <v>76.5936871921963</v>
      </c>
      <c r="T462" s="43" t="n">
        <f aca="false">S462-$M$2</f>
        <v>-4.42058938994732</v>
      </c>
    </row>
    <row r="463" customFormat="false" ht="15" hidden="false" customHeight="false" outlineLevel="0" collapsed="false">
      <c r="A463" s="5" t="n">
        <v>8</v>
      </c>
      <c r="B463" s="25" t="n">
        <f aca="false">IF(T462&gt;0,B462,D462)</f>
        <v>-0.01953125</v>
      </c>
      <c r="C463" s="25" t="n">
        <f aca="false">IF(T462&gt;0,D462,C462)</f>
        <v>-0.0078125</v>
      </c>
      <c r="D463" s="41" t="n">
        <f aca="false">(B463+C463)/2</f>
        <v>-0.013671875</v>
      </c>
      <c r="E463" s="15" t="n">
        <f aca="false">$C$2*(1+IF(E$3&lt;=$O$2,$D463,$D463-($D463-$I$454)*MIN(E$3-$O$2,$Q$2)/$Q$2))</f>
        <v>6470.3125</v>
      </c>
      <c r="F463" s="15" t="n">
        <f aca="false">E463*(1+IF(F$3&lt;=$O$2,$D463,$D463-($D463-$I$454)*MIN(F$3-$O$2,$Q$2)/$Q$2))</f>
        <v>6381.85119628906</v>
      </c>
      <c r="G463" s="15" t="n">
        <f aca="false">F463*(1+IF(G$3&lt;=$O$2,$D463,$D463-($D463-$I$454)*MIN(G$3-$O$2,$Q$2)/$Q$2))</f>
        <v>6294.5993244648</v>
      </c>
      <c r="H463" s="15" t="n">
        <f aca="false">G463*(1+IF(H$3&lt;=$O$2,$D463,$D463-($D463-$I$454)*MIN(H$3-$O$2,$Q$2)/$Q$2))</f>
        <v>6208.54034932563</v>
      </c>
      <c r="I463" s="15" t="n">
        <f aca="false">H463*(1+IF(I$3&lt;=$O$2,$D463,$D463-($D463-$I$454)*MIN(I$3-$O$2,$Q$2)/$Q$2))</f>
        <v>6123.65796173719</v>
      </c>
      <c r="J463" s="15" t="n">
        <f aca="false">I463*(1+IF(J$3&lt;=$O$2,$D463,$D463-($D463-$I$454)*MIN(J$3-$O$2,$Q$2)/$Q$2))</f>
        <v>6079.09304092065</v>
      </c>
      <c r="K463" s="15" t="n">
        <f aca="false">J463*(1+IF(K$3&lt;=$O$2,$D463,$D463-($D463-$I$454)*MIN(K$3-$O$2,$Q$2)/$Q$2))</f>
        <v>6073.72444187889</v>
      </c>
      <c r="L463" s="15" t="n">
        <f aca="false">K463*(1+IF(L$3&lt;=$O$2,$D463,$D463-($D463-$I$454)*MIN(L$3-$O$2,$Q$2)/$Q$2))</f>
        <v>6107.1982557092</v>
      </c>
      <c r="M463" s="15" t="n">
        <f aca="false">L463*(1+IF(M$3&lt;=$O$2,$D463,$D463-($D463-$I$454)*MIN(M$3-$O$2,$Q$2)/$Q$2))</f>
        <v>6179.90826794232</v>
      </c>
      <c r="N463" s="15" t="n">
        <f aca="false">M463*(1+IF(N$3&lt;=$O$2,$D463,$D463-($D463-$I$454)*MIN(N$3-$O$2,$Q$2)/$Q$2))</f>
        <v>6293.00058924567</v>
      </c>
      <c r="O463" s="15" t="n">
        <f aca="false">SUMPRODUCT(E463:N463,1/(1+$F$454)^$E$3:$N$3)*$E$2</f>
        <v>13007.0235301374</v>
      </c>
      <c r="P463" s="15" t="n">
        <f aca="false">N463*$E$2*(1+$I$454)/($F$454-$I$454)/(1+$F$454)^$N$3</f>
        <v>13172.3560302204</v>
      </c>
      <c r="Q463" s="15" t="n">
        <f aca="false">O463+P463</f>
        <v>26179.3795603578</v>
      </c>
      <c r="R463" s="15" t="n">
        <f aca="false">Q463-$G$2+$I$2</f>
        <v>18834.1795603578</v>
      </c>
      <c r="S463" s="42" t="n">
        <f aca="false">R463/$K$2</f>
        <v>80.2649885376426</v>
      </c>
      <c r="T463" s="43" t="n">
        <f aca="false">S463-$M$2</f>
        <v>-0.749288044500986</v>
      </c>
    </row>
    <row r="464" customFormat="false" ht="15" hidden="false" customHeight="false" outlineLevel="0" collapsed="false">
      <c r="A464" s="5" t="n">
        <v>9</v>
      </c>
      <c r="B464" s="25" t="n">
        <f aca="false">IF(T463&gt;0,B463,D463)</f>
        <v>-0.013671875</v>
      </c>
      <c r="C464" s="25" t="n">
        <f aca="false">IF(T463&gt;0,D463,C463)</f>
        <v>-0.0078125</v>
      </c>
      <c r="D464" s="41" t="n">
        <f aca="false">(B464+C464)/2</f>
        <v>-0.0107421875</v>
      </c>
      <c r="E464" s="15" t="n">
        <f aca="false">$C$2*(1+IF(E$3&lt;=$O$2,$D464,$D464-($D464-$I$454)*MIN(E$3-$O$2,$Q$2)/$Q$2))</f>
        <v>6489.53125</v>
      </c>
      <c r="F464" s="15" t="n">
        <f aca="false">E464*(1+IF(F$3&lt;=$O$2,$D464,$D464-($D464-$I$454)*MIN(F$3-$O$2,$Q$2)/$Q$2))</f>
        <v>6419.81948852539</v>
      </c>
      <c r="G464" s="15" t="n">
        <f aca="false">F464*(1+IF(G$3&lt;=$O$2,$D464,$D464-($D464-$I$454)*MIN(G$3-$O$2,$Q$2)/$Q$2))</f>
        <v>6350.8565838635</v>
      </c>
      <c r="H464" s="15" t="n">
        <f aca="false">G464*(1+IF(H$3&lt;=$O$2,$D464,$D464-($D464-$I$454)*MIN(H$3-$O$2,$Q$2)/$Q$2))</f>
        <v>6282.63449165403</v>
      </c>
      <c r="I464" s="15" t="n">
        <f aca="false">H464*(1+IF(I$3&lt;=$O$2,$D464,$D464-($D464-$I$454)*MIN(I$3-$O$2,$Q$2)/$Q$2))</f>
        <v>6215.14525395071</v>
      </c>
      <c r="J464" s="15" t="n">
        <f aca="false">I464*(1+IF(J$3&lt;=$O$2,$D464,$D464-($D464-$I$454)*MIN(J$3-$O$2,$Q$2)/$Q$2))</f>
        <v>6184.48128105403</v>
      </c>
      <c r="K464" s="15" t="n">
        <f aca="false">J464*(1+IF(K$3&lt;=$O$2,$D464,$D464-($D464-$I$454)*MIN(K$3-$O$2,$Q$2)/$Q$2))</f>
        <v>6189.89076952455</v>
      </c>
      <c r="L464" s="15" t="n">
        <f aca="false">K464*(1+IF(L$3&lt;=$O$2,$D464,$D464-($D464-$I$454)*MIN(L$3-$O$2,$Q$2)/$Q$2))</f>
        <v>6231.25858327363</v>
      </c>
      <c r="M464" s="15" t="n">
        <f aca="false">L464*(1+IF(M$3&lt;=$O$2,$D464,$D464-($D464-$I$454)*MIN(M$3-$O$2,$Q$2)/$Q$2))</f>
        <v>6309.09673932026</v>
      </c>
      <c r="N464" s="15" t="n">
        <f aca="false">M464*(1+IF(N$3&lt;=$O$2,$D464,$D464-($D464-$I$454)*MIN(N$3-$O$2,$Q$2)/$Q$2))</f>
        <v>6424.55320964982</v>
      </c>
      <c r="O464" s="15" t="n">
        <f aca="false">SUMPRODUCT(E464:N464,1/(1+$F$454)^$E$3:$N$3)*$E$2</f>
        <v>13172.9761949061</v>
      </c>
      <c r="P464" s="15" t="n">
        <f aca="false">N464*$E$2*(1+$I$454)/($F$454-$I$454)/(1+$F$454)^$N$3</f>
        <v>13447.7187809618</v>
      </c>
      <c r="Q464" s="15" t="n">
        <f aca="false">O464+P464</f>
        <v>26620.694975868</v>
      </c>
      <c r="R464" s="15" t="n">
        <f aca="false">Q464-$G$2+$I$2</f>
        <v>19275.494975868</v>
      </c>
      <c r="S464" s="42" t="n">
        <f aca="false">R464/$K$2</f>
        <v>82.14572757668</v>
      </c>
      <c r="T464" s="43" t="n">
        <f aca="false">S464-$M$2</f>
        <v>1.13145099453639</v>
      </c>
    </row>
    <row r="465" customFormat="false" ht="15" hidden="false" customHeight="false" outlineLevel="0" collapsed="false">
      <c r="A465" s="5" t="n">
        <v>10</v>
      </c>
      <c r="B465" s="25" t="n">
        <f aca="false">IF(T464&gt;0,B464,D464)</f>
        <v>-0.013671875</v>
      </c>
      <c r="C465" s="25" t="n">
        <f aca="false">IF(T464&gt;0,D464,C464)</f>
        <v>-0.0107421875</v>
      </c>
      <c r="D465" s="41" t="n">
        <f aca="false">(B465+C465)/2</f>
        <v>-0.01220703125</v>
      </c>
      <c r="E465" s="15" t="n">
        <f aca="false">$C$2*(1+IF(E$3&lt;=$O$2,$D465,$D465-($D465-$I$454)*MIN(E$3-$O$2,$Q$2)/$Q$2))</f>
        <v>6479.921875</v>
      </c>
      <c r="F465" s="15" t="n">
        <f aca="false">E465*(1+IF(F$3&lt;=$O$2,$D465,$D465-($D465-$I$454)*MIN(F$3-$O$2,$Q$2)/$Q$2))</f>
        <v>6400.82126617432</v>
      </c>
      <c r="G465" s="15" t="n">
        <f aca="false">F465*(1+IF(G$3&lt;=$O$2,$D465,$D465-($D465-$I$454)*MIN(G$3-$O$2,$Q$2)/$Q$2))</f>
        <v>6322.68624095246</v>
      </c>
      <c r="H465" s="15" t="n">
        <f aca="false">G465*(1+IF(H$3&lt;=$O$2,$D465,$D465-($D465-$I$454)*MIN(H$3-$O$2,$Q$2)/$Q$2))</f>
        <v>6245.50501242521</v>
      </c>
      <c r="I465" s="15" t="n">
        <f aca="false">H465*(1+IF(I$3&lt;=$O$2,$D465,$D465-($D465-$I$454)*MIN(I$3-$O$2,$Q$2)/$Q$2))</f>
        <v>6169.2659375665</v>
      </c>
      <c r="J465" s="15" t="n">
        <f aca="false">I465*(1+IF(J$3&lt;=$O$2,$D465,$D465-($D465-$I$454)*MIN(J$3-$O$2,$Q$2)/$Q$2))</f>
        <v>6131.59871322645</v>
      </c>
      <c r="K465" s="15" t="n">
        <f aca="false">J465*(1+IF(K$3&lt;=$O$2,$D465,$D465-($D465-$I$454)*MIN(K$3-$O$2,$Q$2)/$Q$2))</f>
        <v>6131.57284554438</v>
      </c>
      <c r="L465" s="15" t="n">
        <f aca="false">K465*(1+IF(L$3&lt;=$O$2,$D465,$D465-($D465-$I$454)*MIN(L$3-$O$2,$Q$2)/$Q$2))</f>
        <v>6168.95819485357</v>
      </c>
      <c r="M465" s="15" t="n">
        <f aca="false">L465*(1+IF(M$3&lt;=$O$2,$D465,$D465-($D465-$I$454)*MIN(M$3-$O$2,$Q$2)/$Q$2))</f>
        <v>6244.21080973332</v>
      </c>
      <c r="N465" s="15" t="n">
        <f aca="false">M465*(1+IF(N$3&lt;=$O$2,$D465,$D465-($D465-$I$454)*MIN(N$3-$O$2,$Q$2)/$Q$2))</f>
        <v>6358.47986755144</v>
      </c>
      <c r="O465" s="15" t="n">
        <f aca="false">SUMPRODUCT(E465:N465,1/(1+$F$454)^$E$3:$N$3)*$E$2</f>
        <v>13089.7291956571</v>
      </c>
      <c r="P465" s="15" t="n">
        <f aca="false">N465*$E$2*(1+$I$454)/($F$454-$I$454)/(1+$F$454)^$N$3</f>
        <v>13309.4156656382</v>
      </c>
      <c r="Q465" s="15" t="n">
        <f aca="false">O465+P465</f>
        <v>26399.1448612953</v>
      </c>
      <c r="R465" s="15" t="n">
        <f aca="false">Q465-$G$2+$I$2</f>
        <v>19053.9448612953</v>
      </c>
      <c r="S465" s="42" t="n">
        <f aca="false">R465/$K$2</f>
        <v>81.2015549170906</v>
      </c>
      <c r="T465" s="43" t="n">
        <f aca="false">S465-$M$2</f>
        <v>0.187278334946939</v>
      </c>
    </row>
    <row r="466" customFormat="false" ht="15" hidden="false" customHeight="false" outlineLevel="0" collapsed="false">
      <c r="A466" s="5" t="n">
        <v>11</v>
      </c>
      <c r="B466" s="25" t="n">
        <f aca="false">IF(T465&gt;0,B465,D465)</f>
        <v>-0.013671875</v>
      </c>
      <c r="C466" s="25" t="n">
        <f aca="false">IF(T465&gt;0,D465,C465)</f>
        <v>-0.01220703125</v>
      </c>
      <c r="D466" s="41" t="n">
        <f aca="false">(B466+C466)/2</f>
        <v>-0.012939453125</v>
      </c>
      <c r="E466" s="15" t="n">
        <f aca="false">$C$2*(1+IF(E$3&lt;=$O$2,$D466,$D466-($D466-$I$454)*MIN(E$3-$O$2,$Q$2)/$Q$2))</f>
        <v>6475.1171875</v>
      </c>
      <c r="F466" s="15" t="n">
        <f aca="false">E466*(1+IF(F$3&lt;=$O$2,$D466,$D466-($D466-$I$454)*MIN(F$3-$O$2,$Q$2)/$Q$2))</f>
        <v>6391.33271217346</v>
      </c>
      <c r="G466" s="15" t="n">
        <f aca="false">F466*(1+IF(G$3&lt;=$O$2,$D466,$D466-($D466-$I$454)*MIN(G$3-$O$2,$Q$2)/$Q$2))</f>
        <v>6308.63236213801</v>
      </c>
      <c r="H466" s="15" t="n">
        <f aca="false">G466*(1+IF(H$3&lt;=$O$2,$D466,$D466-($D466-$I$454)*MIN(H$3-$O$2,$Q$2)/$Q$2))</f>
        <v>6227.00210940527</v>
      </c>
      <c r="I466" s="15" t="n">
        <f aca="false">H466*(1+IF(I$3&lt;=$O$2,$D466,$D466-($D466-$I$454)*MIN(I$3-$O$2,$Q$2)/$Q$2))</f>
        <v>6146.42810750135</v>
      </c>
      <c r="J466" s="15" t="n">
        <f aca="false">I466*(1+IF(J$3&lt;=$O$2,$D466,$D466-($D466-$I$454)*MIN(J$3-$O$2,$Q$2)/$Q$2))</f>
        <v>6105.29889966824</v>
      </c>
      <c r="K466" s="15" t="n">
        <f aca="false">J466*(1+IF(K$3&lt;=$O$2,$D466,$D466-($D466-$I$454)*MIN(K$3-$O$2,$Q$2)/$Q$2))</f>
        <v>6102.59015025799</v>
      </c>
      <c r="L466" s="15" t="n">
        <f aca="false">K466*(1+IF(L$3&lt;=$O$2,$D466,$D466-($D466-$I$454)*MIN(L$3-$O$2,$Q$2)/$Q$2))</f>
        <v>6138.01091843168</v>
      </c>
      <c r="M466" s="15" t="n">
        <f aca="false">L466*(1+IF(M$3&lt;=$O$2,$D466,$D466-($D466-$I$454)*MIN(M$3-$O$2,$Q$2)/$Q$2))</f>
        <v>6211.98689736557</v>
      </c>
      <c r="N466" s="15" t="n">
        <f aca="false">M466*(1+IF(N$3&lt;=$O$2,$D466,$D466-($D466-$I$454)*MIN(N$3-$O$2,$Q$2)/$Q$2))</f>
        <v>6325.66625758736</v>
      </c>
      <c r="O466" s="15" t="n">
        <f aca="false">SUMPRODUCT(E466:N466,1/(1+$F$454)^$E$3:$N$3)*$E$2</f>
        <v>13048.3089063413</v>
      </c>
      <c r="P466" s="15" t="n">
        <f aca="false">N466*$E$2*(1+$I$454)/($F$454-$I$454)/(1+$F$454)^$N$3</f>
        <v>13240.7310140234</v>
      </c>
      <c r="Q466" s="15" t="n">
        <f aca="false">O466+P466</f>
        <v>26289.0399203647</v>
      </c>
      <c r="R466" s="15" t="n">
        <f aca="false">Q466-$G$2+$I$2</f>
        <v>18943.8399203647</v>
      </c>
      <c r="S466" s="42" t="n">
        <f aca="false">R466/$K$2</f>
        <v>80.7323243995941</v>
      </c>
      <c r="T466" s="43" t="n">
        <f aca="false">S466-$M$2</f>
        <v>-0.28195218254956</v>
      </c>
    </row>
    <row r="467" customFormat="false" ht="15" hidden="false" customHeight="false" outlineLevel="0" collapsed="false">
      <c r="A467" s="5" t="n">
        <v>12</v>
      </c>
      <c r="B467" s="25" t="n">
        <f aca="false">IF(T466&gt;0,B466,D466)</f>
        <v>-0.012939453125</v>
      </c>
      <c r="C467" s="25" t="n">
        <f aca="false">IF(T466&gt;0,D466,C466)</f>
        <v>-0.01220703125</v>
      </c>
      <c r="D467" s="41" t="n">
        <f aca="false">(B467+C467)/2</f>
        <v>-0.0125732421875</v>
      </c>
      <c r="E467" s="15" t="n">
        <f aca="false">$C$2*(1+IF(E$3&lt;=$O$2,$D467,$D467-($D467-$I$454)*MIN(E$3-$O$2,$Q$2)/$Q$2))</f>
        <v>6477.51953125</v>
      </c>
      <c r="F467" s="15" t="n">
        <f aca="false">E467*(1+IF(F$3&lt;=$O$2,$D467,$D467-($D467-$I$454)*MIN(F$3-$O$2,$Q$2)/$Q$2))</f>
        <v>6396.07610940933</v>
      </c>
      <c r="G467" s="15" t="n">
        <f aca="false">F467*(1+IF(G$3&lt;=$O$2,$D467,$D467-($D467-$I$454)*MIN(G$3-$O$2,$Q$2)/$Q$2))</f>
        <v>6315.65669543605</v>
      </c>
      <c r="H467" s="15" t="n">
        <f aca="false">G467*(1+IF(H$3&lt;=$O$2,$D467,$D467-($D467-$I$454)*MIN(H$3-$O$2,$Q$2)/$Q$2))</f>
        <v>6236.24841423122</v>
      </c>
      <c r="I467" s="15" t="n">
        <f aca="false">H467*(1+IF(I$3&lt;=$O$2,$D467,$D467-($D467-$I$454)*MIN(I$3-$O$2,$Q$2)/$Q$2))</f>
        <v>6157.83855257768</v>
      </c>
      <c r="J467" s="15" t="n">
        <f aca="false">I467*(1+IF(J$3&lt;=$O$2,$D467,$D467-($D467-$I$454)*MIN(J$3-$O$2,$Q$2)/$Q$2))</f>
        <v>6118.43704530165</v>
      </c>
      <c r="K467" s="15" t="n">
        <f aca="false">J467*(1+IF(K$3&lt;=$O$2,$D467,$D467-($D467-$I$454)*MIN(K$3-$O$2,$Q$2)/$Q$2))</f>
        <v>6117.06685000553</v>
      </c>
      <c r="L467" s="15" t="n">
        <f aca="false">K467*(1+IF(L$3&lt;=$O$2,$D467,$D467-($D467-$I$454)*MIN(L$3-$O$2,$Q$2)/$Q$2))</f>
        <v>6153.46769882569</v>
      </c>
      <c r="M467" s="15" t="n">
        <f aca="false">L467*(1+IF(M$3&lt;=$O$2,$D467,$D467-($D467-$I$454)*MIN(M$3-$O$2,$Q$2)/$Q$2))</f>
        <v>6228.08065800244</v>
      </c>
      <c r="N467" s="15" t="n">
        <f aca="false">M467*(1+IF(N$3&lt;=$O$2,$D467,$D467-($D467-$I$454)*MIN(N$3-$O$2,$Q$2)/$Q$2))</f>
        <v>6342.05453404388</v>
      </c>
      <c r="O467" s="15" t="n">
        <f aca="false">SUMPRODUCT(E467:N467,1/(1+$F$454)^$E$3:$N$3)*$E$2</f>
        <v>13069.0021606349</v>
      </c>
      <c r="P467" s="15" t="n">
        <f aca="false">N467*$E$2*(1+$I$454)/($F$454-$I$454)/(1+$F$454)^$N$3</f>
        <v>13275.0345563711</v>
      </c>
      <c r="Q467" s="15" t="n">
        <f aca="false">O467+P467</f>
        <v>26344.036717006</v>
      </c>
      <c r="R467" s="15" t="n">
        <f aca="false">Q467-$G$2+$I$2</f>
        <v>18998.836717006</v>
      </c>
      <c r="S467" s="42" t="n">
        <f aca="false">R467/$K$2</f>
        <v>80.9667023950819</v>
      </c>
      <c r="T467" s="43" t="n">
        <f aca="false">S467-$M$2</f>
        <v>-0.047574187061727</v>
      </c>
    </row>
    <row r="468" customFormat="false" ht="15" hidden="false" customHeight="false" outlineLevel="0" collapsed="false">
      <c r="A468" s="5" t="n">
        <v>13</v>
      </c>
      <c r="B468" s="25" t="n">
        <f aca="false">IF(T467&gt;0,B467,D467)</f>
        <v>-0.0125732421875</v>
      </c>
      <c r="C468" s="25" t="n">
        <f aca="false">IF(T467&gt;0,D467,C467)</f>
        <v>-0.01220703125</v>
      </c>
      <c r="D468" s="41" t="n">
        <f aca="false">(B468+C468)/2</f>
        <v>-0.01239013671875</v>
      </c>
      <c r="E468" s="15" t="n">
        <f aca="false">$C$2*(1+IF(E$3&lt;=$O$2,$D468,$D468-($D468-$I$454)*MIN(E$3-$O$2,$Q$2)/$Q$2))</f>
        <v>6478.720703125</v>
      </c>
      <c r="F468" s="15" t="n">
        <f aca="false">E468*(1+IF(F$3&lt;=$O$2,$D468,$D468-($D468-$I$454)*MIN(F$3-$O$2,$Q$2)/$Q$2))</f>
        <v>6398.44846785069</v>
      </c>
      <c r="G468" s="15" t="n">
        <f aca="false">F468*(1+IF(G$3&lt;=$O$2,$D468,$D468-($D468-$I$454)*MIN(G$3-$O$2,$Q$2)/$Q$2))</f>
        <v>6319.17081654614</v>
      </c>
      <c r="H468" s="15" t="n">
        <f aca="false">G468*(1+IF(H$3&lt;=$O$2,$D468,$D468-($D468-$I$454)*MIN(H$3-$O$2,$Q$2)/$Q$2))</f>
        <v>6240.87542618</v>
      </c>
      <c r="I468" s="15" t="n">
        <f aca="false">H468*(1+IF(I$3&lt;=$O$2,$D468,$D468-($D468-$I$454)*MIN(I$3-$O$2,$Q$2)/$Q$2))</f>
        <v>6163.55012640494</v>
      </c>
      <c r="J468" s="15" t="n">
        <f aca="false">I468*(1+IF(J$3&lt;=$O$2,$D468,$D468-($D468-$I$454)*MIN(J$3-$O$2,$Q$2)/$Q$2))</f>
        <v>6125.01493687636</v>
      </c>
      <c r="K468" s="15" t="n">
        <f aca="false">J468*(1+IF(K$3&lt;=$O$2,$D468,$D468-($D468-$I$454)*MIN(K$3-$O$2,$Q$2)/$Q$2))</f>
        <v>6124.31618273093</v>
      </c>
      <c r="L468" s="15" t="n">
        <f aca="false">K468*(1+IF(L$3&lt;=$O$2,$D468,$D468-($D468-$I$454)*MIN(L$3-$O$2,$Q$2)/$Q$2))</f>
        <v>6161.20872849216</v>
      </c>
      <c r="M468" s="15" t="n">
        <f aca="false">L468*(1+IF(M$3&lt;=$O$2,$D468,$D468-($D468-$I$454)*MIN(M$3-$O$2,$Q$2)/$Q$2))</f>
        <v>6236.14118057753</v>
      </c>
      <c r="N468" s="15" t="n">
        <f aca="false">M468*(1+IF(N$3&lt;=$O$2,$D468,$D468-($D468-$I$454)*MIN(N$3-$O$2,$Q$2)/$Q$2))</f>
        <v>6350.2625641821</v>
      </c>
      <c r="O468" s="15" t="n">
        <f aca="false">SUMPRODUCT(E468:N468,1/(1+$F$454)^$E$3:$N$3)*$E$2</f>
        <v>13079.3614522729</v>
      </c>
      <c r="P468" s="15" t="n">
        <f aca="false">N468*$E$2*(1+$I$454)/($F$454-$I$454)/(1+$F$454)^$N$3</f>
        <v>13292.2154057535</v>
      </c>
      <c r="Q468" s="15" t="n">
        <f aca="false">O468+P468</f>
        <v>26371.5768580264</v>
      </c>
      <c r="R468" s="15" t="n">
        <f aca="false">Q468-$G$2+$I$2</f>
        <v>19026.3768580264</v>
      </c>
      <c r="S468" s="42" t="n">
        <f aca="false">R468/$K$2</f>
        <v>81.0840692862832</v>
      </c>
      <c r="T468" s="43" t="n">
        <f aca="false">S468-$M$2</f>
        <v>0.0697927041396014</v>
      </c>
    </row>
    <row r="469" customFormat="false" ht="15" hidden="false" customHeight="false" outlineLevel="0" collapsed="false">
      <c r="A469" s="5" t="n">
        <v>14</v>
      </c>
      <c r="B469" s="25" t="n">
        <f aca="false">IF(T468&gt;0,B468,D468)</f>
        <v>-0.0125732421875</v>
      </c>
      <c r="C469" s="25" t="n">
        <f aca="false">IF(T468&gt;0,D468,C468)</f>
        <v>-0.01239013671875</v>
      </c>
      <c r="D469" s="41" t="n">
        <f aca="false">(B469+C469)/2</f>
        <v>-0.012481689453125</v>
      </c>
      <c r="E469" s="15" t="n">
        <f aca="false">$C$2*(1+IF(E$3&lt;=$O$2,$D469,$D469-($D469-$I$454)*MIN(E$3-$O$2,$Q$2)/$Q$2))</f>
        <v>6478.1201171875</v>
      </c>
      <c r="F469" s="15" t="n">
        <f aca="false">E469*(1+IF(F$3&lt;=$O$2,$D469,$D469-($D469-$I$454)*MIN(F$3-$O$2,$Q$2)/$Q$2))</f>
        <v>6397.26223364472</v>
      </c>
      <c r="G469" s="15" t="n">
        <f aca="false">F469*(1+IF(G$3&lt;=$O$2,$D469,$D469-($D469-$I$454)*MIN(G$3-$O$2,$Q$2)/$Q$2))</f>
        <v>6317.41359309417</v>
      </c>
      <c r="H469" s="15" t="n">
        <f aca="false">G469*(1+IF(H$3&lt;=$O$2,$D469,$D469-($D469-$I$454)*MIN(H$3-$O$2,$Q$2)/$Q$2))</f>
        <v>6238.56159847821</v>
      </c>
      <c r="I469" s="15" t="n">
        <f aca="false">H469*(1+IF(I$3&lt;=$O$2,$D469,$D469-($D469-$I$454)*MIN(I$3-$O$2,$Q$2)/$Q$2))</f>
        <v>6160.69380997182</v>
      </c>
      <c r="J469" s="15" t="n">
        <f aca="false">I469*(1+IF(J$3&lt;=$O$2,$D469,$D469-($D469-$I$454)*MIN(J$3-$O$2,$Q$2)/$Q$2))</f>
        <v>6121.72525575483</v>
      </c>
      <c r="K469" s="15" t="n">
        <f aca="false">J469*(1+IF(K$3&lt;=$O$2,$D469,$D469-($D469-$I$454)*MIN(K$3-$O$2,$Q$2)/$Q$2))</f>
        <v>6120.69060049114</v>
      </c>
      <c r="L469" s="15" t="n">
        <f aca="false">K469*(1+IF(L$3&lt;=$O$2,$D469,$D469-($D469-$I$454)*MIN(L$3-$O$2,$Q$2)/$Q$2))</f>
        <v>6157.33715955894</v>
      </c>
      <c r="M469" s="15" t="n">
        <f aca="false">L469*(1+IF(M$3&lt;=$O$2,$D469,$D469-($D469-$I$454)*MIN(M$3-$O$2,$Q$2)/$Q$2))</f>
        <v>6232.10978151812</v>
      </c>
      <c r="N469" s="15" t="n">
        <f aca="false">M469*(1+IF(N$3&lt;=$O$2,$D469,$D469-($D469-$I$454)*MIN(N$3-$O$2,$Q$2)/$Q$2))</f>
        <v>6346.1573905199</v>
      </c>
      <c r="O469" s="15" t="n">
        <f aca="false">SUMPRODUCT(E469:N469,1/(1+$F$454)^$E$3:$N$3)*$E$2</f>
        <v>13074.180750396</v>
      </c>
      <c r="P469" s="15" t="n">
        <f aca="false">N469*$E$2*(1+$I$454)/($F$454-$I$454)/(1+$F$454)^$N$3</f>
        <v>13283.6225559234</v>
      </c>
      <c r="Q469" s="15" t="n">
        <f aca="false">O469+P469</f>
        <v>26357.8033063194</v>
      </c>
      <c r="R469" s="15" t="n">
        <f aca="false">Q469-$G$2+$I$2</f>
        <v>19012.6033063194</v>
      </c>
      <c r="S469" s="42" t="n">
        <f aca="false">R469/$K$2</f>
        <v>81.0253710049836</v>
      </c>
      <c r="T469" s="43" t="n">
        <f aca="false">S469-$M$2</f>
        <v>0.0110944228399461</v>
      </c>
    </row>
    <row r="470" customFormat="false" ht="15" hidden="false" customHeight="false" outlineLevel="0" collapsed="false">
      <c r="A470" s="5" t="n">
        <v>15</v>
      </c>
      <c r="B470" s="25" t="n">
        <f aca="false">IF(T469&gt;0,B469,D469)</f>
        <v>-0.0125732421875</v>
      </c>
      <c r="C470" s="25" t="n">
        <f aca="false">IF(T469&gt;0,D469,C469)</f>
        <v>-0.012481689453125</v>
      </c>
      <c r="D470" s="41" t="n">
        <f aca="false">(B470+C470)/2</f>
        <v>-0.0125274658203125</v>
      </c>
      <c r="E470" s="15" t="n">
        <f aca="false">$C$2*(1+IF(E$3&lt;=$O$2,$D470,$D470-($D470-$I$454)*MIN(E$3-$O$2,$Q$2)/$Q$2))</f>
        <v>6477.81982421875</v>
      </c>
      <c r="F470" s="15" t="n">
        <f aca="false">E470*(1+IF(F$3&lt;=$O$2,$D470,$D470-($D470-$I$454)*MIN(F$3-$O$2,$Q$2)/$Q$2))</f>
        <v>6396.66915778071</v>
      </c>
      <c r="G470" s="15" t="n">
        <f aca="false">F470*(1+IF(G$3&lt;=$O$2,$D470,$D470-($D470-$I$454)*MIN(G$3-$O$2,$Q$2)/$Q$2))</f>
        <v>6316.53510354276</v>
      </c>
      <c r="H470" s="15" t="n">
        <f aca="false">G470*(1+IF(H$3&lt;=$O$2,$D470,$D470-($D470-$I$454)*MIN(H$3-$O$2,$Q$2)/$Q$2))</f>
        <v>6237.40492593033</v>
      </c>
      <c r="I470" s="15" t="n">
        <f aca="false">H470*(1+IF(I$3&lt;=$O$2,$D470,$D470-($D470-$I$454)*MIN(I$3-$O$2,$Q$2)/$Q$2))</f>
        <v>6159.26604891329</v>
      </c>
      <c r="J470" s="15" t="n">
        <f aca="false">I470*(1+IF(J$3&lt;=$O$2,$D470,$D470-($D470-$I$454)*MIN(J$3-$O$2,$Q$2)/$Q$2))</f>
        <v>6120.08096672753</v>
      </c>
      <c r="K470" s="15" t="n">
        <f aca="false">J470*(1+IF(K$3&lt;=$O$2,$D470,$D470-($D470-$I$454)*MIN(K$3-$O$2,$Q$2)/$Q$2))</f>
        <v>6118.87849632704</v>
      </c>
      <c r="L470" s="15" t="n">
        <f aca="false">K470*(1+IF(L$3&lt;=$O$2,$D470,$D470-($D470-$I$454)*MIN(L$3-$O$2,$Q$2)/$Q$2))</f>
        <v>6155.40216572816</v>
      </c>
      <c r="M470" s="15" t="n">
        <f aca="false">L470*(1+IF(M$3&lt;=$O$2,$D470,$D470-($D470-$I$454)*MIN(M$3-$O$2,$Q$2)/$Q$2))</f>
        <v>6230.09493538613</v>
      </c>
      <c r="N470" s="15" t="n">
        <f aca="false">M470*(1+IF(N$3&lt;=$O$2,$D470,$D470-($D470-$I$454)*MIN(N$3-$O$2,$Q$2)/$Q$2))</f>
        <v>6344.1056727037</v>
      </c>
      <c r="O470" s="15" t="n">
        <f aca="false">SUMPRODUCT(E470:N470,1/(1+$F$454)^$E$3:$N$3)*$E$2</f>
        <v>13071.5911915523</v>
      </c>
      <c r="P470" s="15" t="n">
        <f aca="false">N470*$E$2*(1+$I$454)/($F$454-$I$454)/(1+$F$454)^$N$3</f>
        <v>13279.3279500092</v>
      </c>
      <c r="Q470" s="15" t="n">
        <f aca="false">O470+P470</f>
        <v>26350.9191415615</v>
      </c>
      <c r="R470" s="15" t="n">
        <f aca="false">Q470-$G$2+$I$2</f>
        <v>19005.7191415615</v>
      </c>
      <c r="S470" s="42" t="n">
        <f aca="false">R470/$K$2</f>
        <v>80.9960329919517</v>
      </c>
      <c r="T470" s="43" t="n">
        <f aca="false">S470-$M$2</f>
        <v>-0.0182435901919149</v>
      </c>
    </row>
    <row r="471" customFormat="false" ht="15" hidden="false" customHeight="false" outlineLevel="0" collapsed="false">
      <c r="A471" s="5" t="n">
        <v>16</v>
      </c>
      <c r="B471" s="25" t="n">
        <f aca="false">IF(T470&gt;0,B470,D470)</f>
        <v>-0.0125274658203125</v>
      </c>
      <c r="C471" s="25" t="n">
        <f aca="false">IF(T470&gt;0,D470,C470)</f>
        <v>-0.012481689453125</v>
      </c>
      <c r="D471" s="41" t="n">
        <f aca="false">(B471+C471)/2</f>
        <v>-0.0125045776367188</v>
      </c>
      <c r="E471" s="15" t="n">
        <f aca="false">$C$2*(1+IF(E$3&lt;=$O$2,$D471,$D471-($D471-$I$454)*MIN(E$3-$O$2,$Q$2)/$Q$2))</f>
        <v>6477.96997070313</v>
      </c>
      <c r="F471" s="15" t="n">
        <f aca="false">E471*(1+IF(F$3&lt;=$O$2,$D471,$D471-($D471-$I$454)*MIN(F$3-$O$2,$Q$2)/$Q$2))</f>
        <v>6396.96569227614</v>
      </c>
      <c r="G471" s="15" t="n">
        <f aca="false">F471*(1+IF(G$3&lt;=$O$2,$D471,$D471-($D471-$I$454)*MIN(G$3-$O$2,$Q$2)/$Q$2))</f>
        <v>6316.97433813764</v>
      </c>
      <c r="H471" s="15" t="n">
        <f aca="false">G471*(1+IF(H$3&lt;=$O$2,$D471,$D471-($D471-$I$454)*MIN(H$3-$O$2,$Q$2)/$Q$2))</f>
        <v>6237.98324209724</v>
      </c>
      <c r="I471" s="15" t="n">
        <f aca="false">H471*(1+IF(I$3&lt;=$O$2,$D471,$D471-($D471-$I$454)*MIN(I$3-$O$2,$Q$2)/$Q$2))</f>
        <v>6159.97989634988</v>
      </c>
      <c r="J471" s="15" t="n">
        <f aca="false">I471*(1+IF(J$3&lt;=$O$2,$D471,$D471-($D471-$I$454)*MIN(J$3-$O$2,$Q$2)/$Q$2))</f>
        <v>6120.9030652869</v>
      </c>
      <c r="K471" s="15" t="n">
        <f aca="false">J471*(1+IF(K$3&lt;=$O$2,$D471,$D471-($D471-$I$454)*MIN(K$3-$O$2,$Q$2)/$Q$2))</f>
        <v>6119.78449117277</v>
      </c>
      <c r="L471" s="15" t="n">
        <f aca="false">K471*(1+IF(L$3&lt;=$O$2,$D471,$D471-($D471-$I$454)*MIN(L$3-$O$2,$Q$2)/$Q$2))</f>
        <v>6156.36959676991</v>
      </c>
      <c r="M471" s="15" t="n">
        <f aca="false">L471*(1+IF(M$3&lt;=$O$2,$D471,$D471-($D471-$I$454)*MIN(M$3-$O$2,$Q$2)/$Q$2))</f>
        <v>6231.10228734999</v>
      </c>
      <c r="N471" s="15" t="n">
        <f aca="false">M471*(1+IF(N$3&lt;=$O$2,$D471,$D471-($D471-$I$454)*MIN(N$3-$O$2,$Q$2)/$Q$2))</f>
        <v>6345.13145920849</v>
      </c>
      <c r="O471" s="15" t="n">
        <f aca="false">SUMPRODUCT(E471:N471,1/(1+$F$454)^$E$3:$N$3)*$E$2</f>
        <v>13072.8859049769</v>
      </c>
      <c r="P471" s="15" t="n">
        <f aca="false">N471*$E$2*(1+$I$454)/($F$454-$I$454)/(1+$F$454)^$N$3</f>
        <v>13281.4751014134</v>
      </c>
      <c r="Q471" s="15" t="n">
        <f aca="false">O471+P471</f>
        <v>26354.3610063904</v>
      </c>
      <c r="R471" s="15" t="n">
        <f aca="false">Q471-$G$2+$I$2</f>
        <v>19009.1610063904</v>
      </c>
      <c r="S471" s="42" t="n">
        <f aca="false">R471/$K$2</f>
        <v>81.0107010713419</v>
      </c>
      <c r="T471" s="43" t="n">
        <f aca="false">S471-$M$2</f>
        <v>-0.00357551080169571</v>
      </c>
    </row>
    <row r="472" customFormat="false" ht="15" hidden="false" customHeight="false" outlineLevel="0" collapsed="false">
      <c r="A472" s="5" t="n">
        <v>17</v>
      </c>
      <c r="B472" s="25" t="n">
        <f aca="false">IF(T471&gt;0,B471,D471)</f>
        <v>-0.0125045776367188</v>
      </c>
      <c r="C472" s="25" t="n">
        <f aca="false">IF(T471&gt;0,D471,C471)</f>
        <v>-0.012481689453125</v>
      </c>
      <c r="D472" s="41" t="n">
        <f aca="false">(B472+C472)/2</f>
        <v>-0.0124931335449219</v>
      </c>
      <c r="E472" s="15" t="n">
        <f aca="false">$C$2*(1+IF(E$3&lt;=$O$2,$D472,$D472-($D472-$I$454)*MIN(E$3-$O$2,$Q$2)/$Q$2))</f>
        <v>6478.04504394531</v>
      </c>
      <c r="F472" s="15" t="n">
        <f aca="false">E472*(1+IF(F$3&lt;=$O$2,$D472,$D472-($D472-$I$454)*MIN(F$3-$O$2,$Q$2)/$Q$2))</f>
        <v>6397.11396210128</v>
      </c>
      <c r="G472" s="15" t="n">
        <f aca="false">F472*(1+IF(G$3&lt;=$O$2,$D472,$D472-($D472-$I$454)*MIN(G$3-$O$2,$Q$2)/$Q$2))</f>
        <v>6317.19396307067</v>
      </c>
      <c r="H472" s="15" t="n">
        <f aca="false">G472*(1+IF(H$3&lt;=$O$2,$D472,$D472-($D472-$I$454)*MIN(H$3-$O$2,$Q$2)/$Q$2))</f>
        <v>6238.27241526085</v>
      </c>
      <c r="I472" s="15" t="n">
        <f aca="false">H472*(1+IF(I$3&lt;=$O$2,$D472,$D472-($D472-$I$454)*MIN(I$3-$O$2,$Q$2)/$Q$2))</f>
        <v>6160.3368448874</v>
      </c>
      <c r="J472" s="15" t="n">
        <f aca="false">I472*(1+IF(J$3&lt;=$O$2,$D472,$D472-($D472-$I$454)*MIN(J$3-$O$2,$Q$2)/$Q$2))</f>
        <v>6121.31414903178</v>
      </c>
      <c r="K472" s="15" t="n">
        <f aca="false">J472*(1+IF(K$3&lt;=$O$2,$D472,$D472-($D472-$I$454)*MIN(K$3-$O$2,$Q$2)/$Q$2))</f>
        <v>6120.23753152213</v>
      </c>
      <c r="L472" s="15" t="n">
        <f aca="false">K472*(1+IF(L$3&lt;=$O$2,$D472,$D472-($D472-$I$454)*MIN(L$3-$O$2,$Q$2)/$Q$2))</f>
        <v>6156.85336169506</v>
      </c>
      <c r="M472" s="15" t="n">
        <f aca="false">L472*(1+IF(M$3&lt;=$O$2,$D472,$D472-($D472-$I$454)*MIN(M$3-$O$2,$Q$2)/$Q$2))</f>
        <v>6231.60601665745</v>
      </c>
      <c r="N472" s="15" t="n">
        <f aca="false">M472*(1+IF(N$3&lt;=$O$2,$D472,$D472-($D472-$I$454)*MIN(N$3-$O$2,$Q$2)/$Q$2))</f>
        <v>6345.64440676228</v>
      </c>
      <c r="O472" s="15" t="n">
        <f aca="false">SUMPRODUCT(E472:N472,1/(1+$F$454)^$E$3:$N$3)*$E$2</f>
        <v>13073.5333111864</v>
      </c>
      <c r="P472" s="15" t="n">
        <f aca="false">N472*$E$2*(1+$I$454)/($F$454-$I$454)/(1+$F$454)^$N$3</f>
        <v>13282.5487907779</v>
      </c>
      <c r="Q472" s="15" t="n">
        <f aca="false">O472+P472</f>
        <v>26356.0821019643</v>
      </c>
      <c r="R472" s="15" t="n">
        <f aca="false">Q472-$G$2+$I$2</f>
        <v>19010.8821019643</v>
      </c>
      <c r="S472" s="42" t="n">
        <f aca="false">R472/$K$2</f>
        <v>81.0180358063681</v>
      </c>
      <c r="T472" s="43" t="n">
        <f aca="false">S472-$M$2</f>
        <v>0.00375922422450969</v>
      </c>
    </row>
    <row r="473" customFormat="false" ht="15" hidden="false" customHeight="false" outlineLevel="0" collapsed="false">
      <c r="A473" s="5" t="n">
        <v>18</v>
      </c>
      <c r="B473" s="25" t="n">
        <f aca="false">IF(T472&gt;0,B472,D472)</f>
        <v>-0.0125045776367188</v>
      </c>
      <c r="C473" s="25" t="n">
        <f aca="false">IF(T472&gt;0,D472,C472)</f>
        <v>-0.0124931335449219</v>
      </c>
      <c r="D473" s="41" t="n">
        <f aca="false">(B473+C473)/2</f>
        <v>-0.0124988555908203</v>
      </c>
      <c r="E473" s="15" t="n">
        <f aca="false">$C$2*(1+IF(E$3&lt;=$O$2,$D473,$D473-($D473-$I$454)*MIN(E$3-$O$2,$Q$2)/$Q$2))</f>
        <v>6478.00750732422</v>
      </c>
      <c r="F473" s="15" t="n">
        <f aca="false">E473*(1+IF(F$3&lt;=$O$2,$D473,$D473-($D473-$I$454)*MIN(F$3-$O$2,$Q$2)/$Q$2))</f>
        <v>6397.03982697392</v>
      </c>
      <c r="G473" s="15" t="n">
        <f aca="false">F473*(1+IF(G$3&lt;=$O$2,$D473,$D473-($D473-$I$454)*MIN(G$3-$O$2,$Q$2)/$Q$2))</f>
        <v>6317.08414996785</v>
      </c>
      <c r="H473" s="15" t="n">
        <f aca="false">G473*(1+IF(H$3&lt;=$O$2,$D473,$D473-($D473-$I$454)*MIN(H$3-$O$2,$Q$2)/$Q$2))</f>
        <v>6238.12782742234</v>
      </c>
      <c r="I473" s="15" t="n">
        <f aca="false">H473*(1+IF(I$3&lt;=$O$2,$D473,$D473-($D473-$I$454)*MIN(I$3-$O$2,$Q$2)/$Q$2))</f>
        <v>6160.15836855031</v>
      </c>
      <c r="J473" s="15" t="n">
        <f aca="false">I473*(1+IF(J$3&lt;=$O$2,$D473,$D473-($D473-$I$454)*MIN(J$3-$O$2,$Q$2)/$Q$2))</f>
        <v>6121.10860428713</v>
      </c>
      <c r="K473" s="15" t="n">
        <f aca="false">J473*(1+IF(K$3&lt;=$O$2,$D473,$D473-($D473-$I$454)*MIN(K$3-$O$2,$Q$2)/$Q$2))</f>
        <v>6120.01100777009</v>
      </c>
      <c r="L473" s="15" t="n">
        <f aca="false">K473*(1+IF(L$3&lt;=$O$2,$D473,$D473-($D473-$I$454)*MIN(L$3-$O$2,$Q$2)/$Q$2))</f>
        <v>6156.61147511526</v>
      </c>
      <c r="M473" s="15" t="n">
        <f aca="false">L473*(1+IF(M$3&lt;=$O$2,$D473,$D473-($D473-$I$454)*MIN(M$3-$O$2,$Q$2)/$Q$2))</f>
        <v>6231.3541475597</v>
      </c>
      <c r="N473" s="15" t="n">
        <f aca="false">M473*(1+IF(N$3&lt;=$O$2,$D473,$D473-($D473-$I$454)*MIN(N$3-$O$2,$Q$2)/$Q$2))</f>
        <v>6345.38792846004</v>
      </c>
      <c r="O473" s="15" t="n">
        <f aca="false">SUMPRODUCT(E473:N473,1/(1+$F$454)^$E$3:$N$3)*$E$2</f>
        <v>13073.2096039567</v>
      </c>
      <c r="P473" s="15" t="n">
        <f aca="false">N473*$E$2*(1+$I$454)/($F$454-$I$454)/(1+$F$454)^$N$3</f>
        <v>13282.0119366233</v>
      </c>
      <c r="Q473" s="15" t="n">
        <f aca="false">O473+P473</f>
        <v>26355.2215405801</v>
      </c>
      <c r="R473" s="15" t="n">
        <f aca="false">Q473-$G$2+$I$2</f>
        <v>19010.0215405801</v>
      </c>
      <c r="S473" s="42" t="n">
        <f aca="false">R473/$K$2</f>
        <v>81.014368380908</v>
      </c>
      <c r="T473" s="43" t="n">
        <f aca="false">S473-$M$2</f>
        <v>9.1798764387363E-005</v>
      </c>
    </row>
    <row r="474" customFormat="false" ht="15" hidden="false" customHeight="false" outlineLevel="0" collapsed="false">
      <c r="A474" s="5" t="n">
        <v>19</v>
      </c>
      <c r="B474" s="25" t="n">
        <f aca="false">IF(T473&gt;0,B473,D473)</f>
        <v>-0.0125045776367188</v>
      </c>
      <c r="C474" s="25" t="n">
        <f aca="false">IF(T473&gt;0,D473,C473)</f>
        <v>-0.0124988555908203</v>
      </c>
      <c r="D474" s="41" t="n">
        <f aca="false">(B474+C474)/2</f>
        <v>-0.0125017166137695</v>
      </c>
      <c r="E474" s="15" t="n">
        <f aca="false">$C$2*(1+IF(E$3&lt;=$O$2,$D474,$D474-($D474-$I$454)*MIN(E$3-$O$2,$Q$2)/$Q$2))</f>
        <v>6477.98873901367</v>
      </c>
      <c r="F474" s="15" t="n">
        <f aca="false">E474*(1+IF(F$3&lt;=$O$2,$D474,$D474-($D474-$I$454)*MIN(F$3-$O$2,$Q$2)/$Q$2))</f>
        <v>6397.00275957133</v>
      </c>
      <c r="G474" s="15" t="n">
        <f aca="false">F474*(1+IF(G$3&lt;=$O$2,$D474,$D474-($D474-$I$454)*MIN(G$3-$O$2,$Q$2)/$Q$2))</f>
        <v>6317.02924389367</v>
      </c>
      <c r="H474" s="15" t="n">
        <f aca="false">G474*(1+IF(H$3&lt;=$O$2,$D474,$D474-($D474-$I$454)*MIN(H$3-$O$2,$Q$2)/$Q$2))</f>
        <v>6238.05553444562</v>
      </c>
      <c r="I474" s="15" t="n">
        <f aca="false">H474*(1+IF(I$3&lt;=$O$2,$D474,$D474-($D474-$I$454)*MIN(I$3-$O$2,$Q$2)/$Q$2))</f>
        <v>6160.06913193302</v>
      </c>
      <c r="J474" s="15" t="n">
        <f aca="false">I474*(1+IF(J$3&lt;=$O$2,$D474,$D474-($D474-$I$454)*MIN(J$3-$O$2,$Q$2)/$Q$2))</f>
        <v>6121.00583406897</v>
      </c>
      <c r="K474" s="15" t="n">
        <f aca="false">J474*(1+IF(K$3&lt;=$O$2,$D474,$D474-($D474-$I$454)*MIN(K$3-$O$2,$Q$2)/$Q$2))</f>
        <v>6119.8977485771</v>
      </c>
      <c r="L474" s="15" t="n">
        <f aca="false">K474*(1+IF(L$3&lt;=$O$2,$D474,$D474-($D474-$I$454)*MIN(L$3-$O$2,$Q$2)/$Q$2))</f>
        <v>6156.49053491329</v>
      </c>
      <c r="M474" s="15" t="n">
        <f aca="false">L474*(1+IF(M$3&lt;=$O$2,$D474,$D474-($D474-$I$454)*MIN(M$3-$O$2,$Q$2)/$Q$2))</f>
        <v>6231.22821634386</v>
      </c>
      <c r="N474" s="15" t="n">
        <f aca="false">M474*(1+IF(N$3&lt;=$O$2,$D474,$D474-($D474-$I$454)*MIN(N$3-$O$2,$Q$2)/$Q$2))</f>
        <v>6345.25969270295</v>
      </c>
      <c r="O474" s="15" t="n">
        <f aca="false">SUMPRODUCT(E474:N474,1/(1+$F$454)^$E$3:$N$3)*$E$2</f>
        <v>13073.0477534356</v>
      </c>
      <c r="P474" s="15" t="n">
        <f aca="false">N474*$E$2*(1+$I$454)/($F$454-$I$454)/(1+$F$454)^$N$3</f>
        <v>13281.7435166503</v>
      </c>
      <c r="Q474" s="15" t="n">
        <f aca="false">O474+P474</f>
        <v>26354.791270086</v>
      </c>
      <c r="R474" s="15" t="n">
        <f aca="false">Q474-$G$2+$I$2</f>
        <v>19009.591270086</v>
      </c>
      <c r="S474" s="42" t="n">
        <f aca="false">R474/$K$2</f>
        <v>81.0125347116384</v>
      </c>
      <c r="T474" s="43" t="n">
        <f aca="false">S474-$M$2</f>
        <v>-0.00174187050521368</v>
      </c>
    </row>
    <row r="475" customFormat="false" ht="15" hidden="false" customHeight="false" outlineLevel="0" collapsed="false">
      <c r="A475" s="5" t="n">
        <v>20</v>
      </c>
      <c r="B475" s="25" t="n">
        <f aca="false">IF(T474&gt;0,B474,D474)</f>
        <v>-0.0125017166137695</v>
      </c>
      <c r="C475" s="25" t="n">
        <f aca="false">IF(T474&gt;0,D474,C474)</f>
        <v>-0.0124988555908203</v>
      </c>
      <c r="D475" s="41" t="n">
        <f aca="false">(B475+C475)/2</f>
        <v>-0.0125002861022949</v>
      </c>
      <c r="E475" s="15" t="n">
        <f aca="false">$C$2*(1+IF(E$3&lt;=$O$2,$D475,$D475-($D475-$I$454)*MIN(E$3-$O$2,$Q$2)/$Q$2))</f>
        <v>6477.99812316895</v>
      </c>
      <c r="F475" s="15" t="n">
        <f aca="false">E475*(1+IF(F$3&lt;=$O$2,$D475,$D475-($D475-$I$454)*MIN(F$3-$O$2,$Q$2)/$Q$2))</f>
        <v>6397.0212932592</v>
      </c>
      <c r="G475" s="15" t="n">
        <f aca="false">F475*(1+IF(G$3&lt;=$O$2,$D475,$D475-($D475-$I$454)*MIN(G$3-$O$2,$Q$2)/$Q$2))</f>
        <v>6317.05669689099</v>
      </c>
      <c r="H475" s="15" t="n">
        <f aca="false">G475*(1+IF(H$3&lt;=$O$2,$D475,$D475-($D475-$I$454)*MIN(H$3-$O$2,$Q$2)/$Q$2))</f>
        <v>6238.09168085544</v>
      </c>
      <c r="I475" s="15" t="n">
        <f aca="false">H475*(1+IF(I$3&lt;=$O$2,$D475,$D475-($D475-$I$454)*MIN(I$3-$O$2,$Q$2)/$Q$2))</f>
        <v>6160.1137501124</v>
      </c>
      <c r="J475" s="15" t="n">
        <f aca="false">I475*(1+IF(J$3&lt;=$O$2,$D475,$D475-($D475-$I$454)*MIN(J$3-$O$2,$Q$2)/$Q$2))</f>
        <v>6121.05721899854</v>
      </c>
      <c r="K475" s="15" t="n">
        <f aca="false">J475*(1+IF(K$3&lt;=$O$2,$D475,$D475-($D475-$I$454)*MIN(K$3-$O$2,$Q$2)/$Q$2))</f>
        <v>6119.95437795001</v>
      </c>
      <c r="L475" s="15" t="n">
        <f aca="false">K475*(1+IF(L$3&lt;=$O$2,$D475,$D475-($D475-$I$454)*MIN(L$3-$O$2,$Q$2)/$Q$2))</f>
        <v>6156.55100475695</v>
      </c>
      <c r="M475" s="15" t="n">
        <f aca="false">L475*(1+IF(M$3&lt;=$O$2,$D475,$D475-($D475-$I$454)*MIN(M$3-$O$2,$Q$2)/$Q$2))</f>
        <v>6231.29118167403</v>
      </c>
      <c r="N475" s="15" t="n">
        <f aca="false">M475*(1+IF(N$3&lt;=$O$2,$D475,$D475-($D475-$I$454)*MIN(N$3-$O$2,$Q$2)/$Q$2))</f>
        <v>6345.32381029866</v>
      </c>
      <c r="O475" s="15" t="n">
        <f aca="false">SUMPRODUCT(E475:N475,1/(1+$F$454)^$E$3:$N$3)*$E$2</f>
        <v>13073.1286784384</v>
      </c>
      <c r="P475" s="15" t="n">
        <f aca="false">N475*$E$2*(1+$I$454)/($F$454-$I$454)/(1+$F$454)^$N$3</f>
        <v>13281.8777260448</v>
      </c>
      <c r="Q475" s="15" t="n">
        <f aca="false">O475+P475</f>
        <v>26355.0064044832</v>
      </c>
      <c r="R475" s="15" t="n">
        <f aca="false">Q475-$G$2+$I$2</f>
        <v>19009.8064044832</v>
      </c>
      <c r="S475" s="42" t="n">
        <f aca="false">R475/$K$2</f>
        <v>81.0134515426516</v>
      </c>
      <c r="T475" s="43" t="n">
        <f aca="false">S475-$M$2</f>
        <v>-0.0008250394920708</v>
      </c>
    </row>
    <row r="476" customFormat="false" ht="15" hidden="false" customHeight="false" outlineLevel="0" collapsed="false">
      <c r="A476" s="5" t="n">
        <v>21</v>
      </c>
      <c r="B476" s="25" t="n">
        <f aca="false">IF(T475&gt;0,B475,D475)</f>
        <v>-0.0125002861022949</v>
      </c>
      <c r="C476" s="25" t="n">
        <f aca="false">IF(T475&gt;0,D475,C475)</f>
        <v>-0.0124988555908203</v>
      </c>
      <c r="D476" s="41" t="n">
        <f aca="false">(B476+C476)/2</f>
        <v>-0.0124995708465576</v>
      </c>
      <c r="E476" s="15" t="n">
        <f aca="false">$C$2*(1+IF(E$3&lt;=$O$2,$D476,$D476-($D476-$I$454)*MIN(E$3-$O$2,$Q$2)/$Q$2))</f>
        <v>6478.00281524658</v>
      </c>
      <c r="F476" s="15" t="n">
        <f aca="false">E476*(1+IF(F$3&lt;=$O$2,$D476,$D476-($D476-$I$454)*MIN(F$3-$O$2,$Q$2)/$Q$2))</f>
        <v>6397.03056011321</v>
      </c>
      <c r="G476" s="15" t="n">
        <f aca="false">F476*(1+IF(G$3&lt;=$O$2,$D476,$D476-($D476-$I$454)*MIN(G$3-$O$2,$Q$2)/$Q$2))</f>
        <v>6317.07042341948</v>
      </c>
      <c r="H476" s="15" t="n">
        <f aca="false">G476*(1+IF(H$3&lt;=$O$2,$D476,$D476-($D476-$I$454)*MIN(H$3-$O$2,$Q$2)/$Q$2))</f>
        <v>6238.10975411925</v>
      </c>
      <c r="I476" s="15" t="n">
        <f aca="false">H476*(1+IF(I$3&lt;=$O$2,$D476,$D476-($D476-$I$454)*MIN(I$3-$O$2,$Q$2)/$Q$2))</f>
        <v>6160.13605929904</v>
      </c>
      <c r="J476" s="15" t="n">
        <f aca="false">I476*(1+IF(J$3&lt;=$O$2,$D476,$D476-($D476-$I$454)*MIN(J$3-$O$2,$Q$2)/$Q$2))</f>
        <v>6121.08291159796</v>
      </c>
      <c r="K476" s="15" t="n">
        <f aca="false">J476*(1+IF(K$3&lt;=$O$2,$D476,$D476-($D476-$I$454)*MIN(K$3-$O$2,$Q$2)/$Q$2))</f>
        <v>6119.98269280415</v>
      </c>
      <c r="L476" s="15" t="n">
        <f aca="false">K476*(1+IF(L$3&lt;=$O$2,$D476,$D476-($D476-$I$454)*MIN(L$3-$O$2,$Q$2)/$Q$2))</f>
        <v>6156.58123987178</v>
      </c>
      <c r="M476" s="15" t="n">
        <f aca="false">L476*(1+IF(M$3&lt;=$O$2,$D476,$D476-($D476-$I$454)*MIN(M$3-$O$2,$Q$2)/$Q$2))</f>
        <v>6231.32266454743</v>
      </c>
      <c r="N476" s="15" t="n">
        <f aca="false">M476*(1+IF(N$3&lt;=$O$2,$D476,$D476-($D476-$I$454)*MIN(N$3-$O$2,$Q$2)/$Q$2))</f>
        <v>6345.35586930864</v>
      </c>
      <c r="O476" s="15" t="n">
        <f aca="false">SUMPRODUCT(E476:N476,1/(1+$F$454)^$E$3:$N$3)*$E$2</f>
        <v>13073.1691411331</v>
      </c>
      <c r="P476" s="15" t="n">
        <f aca="false">N476*$E$2*(1+$I$454)/($F$454-$I$454)/(1+$F$454)^$N$3</f>
        <v>13281.9448311861</v>
      </c>
      <c r="Q476" s="15" t="n">
        <f aca="false">O476+P476</f>
        <v>26355.1139723192</v>
      </c>
      <c r="R476" s="15" t="n">
        <f aca="false">Q476-$G$2+$I$2</f>
        <v>19009.9139723192</v>
      </c>
      <c r="S476" s="42" t="n">
        <f aca="false">R476/$K$2</f>
        <v>81.0139099608743</v>
      </c>
      <c r="T476" s="43" t="n">
        <f aca="false">S476-$M$2</f>
        <v>-0.000366621269279221</v>
      </c>
    </row>
    <row r="477" customFormat="false" ht="15" hidden="false" customHeight="false" outlineLevel="0" collapsed="false">
      <c r="A477" s="5" t="n">
        <v>22</v>
      </c>
      <c r="B477" s="25" t="n">
        <f aca="false">IF(T476&gt;0,B476,D476)</f>
        <v>-0.0124995708465576</v>
      </c>
      <c r="C477" s="25" t="n">
        <f aca="false">IF(T476&gt;0,D476,C476)</f>
        <v>-0.0124988555908203</v>
      </c>
      <c r="D477" s="41" t="n">
        <f aca="false">(B477+C477)/2</f>
        <v>-0.012499213218689</v>
      </c>
      <c r="E477" s="15" t="n">
        <f aca="false">$C$2*(1+IF(E$3&lt;=$O$2,$D477,$D477-($D477-$I$454)*MIN(E$3-$O$2,$Q$2)/$Q$2))</f>
        <v>6478.0051612854</v>
      </c>
      <c r="F477" s="15" t="n">
        <f aca="false">E477*(1+IF(F$3&lt;=$O$2,$D477,$D477-($D477-$I$454)*MIN(F$3-$O$2,$Q$2)/$Q$2))</f>
        <v>6397.03519354273</v>
      </c>
      <c r="G477" s="15" t="n">
        <f aca="false">F477*(1+IF(G$3&lt;=$O$2,$D477,$D477-($D477-$I$454)*MIN(G$3-$O$2,$Q$2)/$Q$2))</f>
        <v>6317.07728669118</v>
      </c>
      <c r="H477" s="15" t="n">
        <f aca="false">G477*(1+IF(H$3&lt;=$O$2,$D477,$D477-($D477-$I$454)*MIN(H$3-$O$2,$Q$2)/$Q$2))</f>
        <v>6238.11879076589</v>
      </c>
      <c r="I477" s="15" t="n">
        <f aca="false">H477*(1+IF(I$3&lt;=$O$2,$D477,$D477-($D477-$I$454)*MIN(I$3-$O$2,$Q$2)/$Q$2))</f>
        <v>6160.1472139166</v>
      </c>
      <c r="J477" s="15" t="n">
        <f aca="false">I477*(1+IF(J$3&lt;=$O$2,$D477,$D477-($D477-$I$454)*MIN(J$3-$O$2,$Q$2)/$Q$2))</f>
        <v>6121.09575793133</v>
      </c>
      <c r="K477" s="15" t="n">
        <f aca="false">J477*(1+IF(K$3&lt;=$O$2,$D477,$D477-($D477-$I$454)*MIN(K$3-$O$2,$Q$2)/$Q$2))</f>
        <v>6119.99685027315</v>
      </c>
      <c r="L477" s="15" t="n">
        <f aca="false">K477*(1+IF(L$3&lt;=$O$2,$D477,$D477-($D477-$I$454)*MIN(L$3-$O$2,$Q$2)/$Q$2))</f>
        <v>6156.59635747744</v>
      </c>
      <c r="M477" s="15" t="n">
        <f aca="false">L477*(1+IF(M$3&lt;=$O$2,$D477,$D477-($D477-$I$454)*MIN(M$3-$O$2,$Q$2)/$Q$2))</f>
        <v>6231.3384060362</v>
      </c>
      <c r="N477" s="15" t="n">
        <f aca="false">M477*(1+IF(N$3&lt;=$O$2,$D477,$D477-($D477-$I$454)*MIN(N$3-$O$2,$Q$2)/$Q$2))</f>
        <v>6345.37189886667</v>
      </c>
      <c r="O477" s="15" t="n">
        <f aca="false">SUMPRODUCT(E477:N477,1/(1+$F$454)^$E$3:$N$3)*$E$2</f>
        <v>13073.1893725288</v>
      </c>
      <c r="P477" s="15" t="n">
        <f aca="false">N477*$E$2*(1+$I$454)/($F$454-$I$454)/(1+$F$454)^$N$3</f>
        <v>13281.9783838677</v>
      </c>
      <c r="Q477" s="15" t="n">
        <f aca="false">O477+P477</f>
        <v>26355.1677563965</v>
      </c>
      <c r="R477" s="15" t="n">
        <f aca="false">Q477-$G$2+$I$2</f>
        <v>19009.9677563965</v>
      </c>
      <c r="S477" s="42" t="n">
        <f aca="false">R477/$K$2</f>
        <v>81.0141391706648</v>
      </c>
      <c r="T477" s="43" t="n">
        <f aca="false">S477-$M$2</f>
        <v>-0.000137411478789318</v>
      </c>
    </row>
    <row r="478" customFormat="false" ht="15" hidden="false" customHeight="false" outlineLevel="0" collapsed="false">
      <c r="A478" s="5" t="n">
        <v>23</v>
      </c>
      <c r="B478" s="25" t="n">
        <f aca="false">IF(T477&gt;0,B477,D477)</f>
        <v>-0.012499213218689</v>
      </c>
      <c r="C478" s="25" t="n">
        <f aca="false">IF(T477&gt;0,D477,C477)</f>
        <v>-0.0124988555908203</v>
      </c>
      <c r="D478" s="41" t="n">
        <f aca="false">(B478+C478)/2</f>
        <v>-0.0124990344047546</v>
      </c>
      <c r="E478" s="15" t="n">
        <f aca="false">$C$2*(1+IF(E$3&lt;=$O$2,$D478,$D478-($D478-$I$454)*MIN(E$3-$O$2,$Q$2)/$Q$2))</f>
        <v>6478.00633430481</v>
      </c>
      <c r="F478" s="15" t="n">
        <f aca="false">E478*(1+IF(F$3&lt;=$O$2,$D478,$D478-($D478-$I$454)*MIN(F$3-$O$2,$Q$2)/$Q$2))</f>
        <v>6397.03751025812</v>
      </c>
      <c r="G478" s="15" t="n">
        <f aca="false">F478*(1+IF(G$3&lt;=$O$2,$D478,$D478-($D478-$I$454)*MIN(G$3-$O$2,$Q$2)/$Q$2))</f>
        <v>6317.08071832889</v>
      </c>
      <c r="H478" s="15" t="n">
        <f aca="false">G478*(1+IF(H$3&lt;=$O$2,$D478,$D478-($D478-$I$454)*MIN(H$3-$O$2,$Q$2)/$Q$2))</f>
        <v>6238.12330909289</v>
      </c>
      <c r="I478" s="15" t="n">
        <f aca="false">H478*(1+IF(I$3&lt;=$O$2,$D478,$D478-($D478-$I$454)*MIN(I$3-$O$2,$Q$2)/$Q$2))</f>
        <v>6160.15279123143</v>
      </c>
      <c r="J478" s="15" t="n">
        <f aca="false">I478*(1+IF(J$3&lt;=$O$2,$D478,$D478-($D478-$I$454)*MIN(J$3-$O$2,$Q$2)/$Q$2))</f>
        <v>6121.10218110642</v>
      </c>
      <c r="K478" s="15" t="n">
        <f aca="false">J478*(1+IF(K$3&lt;=$O$2,$D478,$D478-($D478-$I$454)*MIN(K$3-$O$2,$Q$2)/$Q$2))</f>
        <v>6120.00392901812</v>
      </c>
      <c r="L478" s="15" t="n">
        <f aca="false">K478*(1+IF(L$3&lt;=$O$2,$D478,$D478-($D478-$I$454)*MIN(L$3-$O$2,$Q$2)/$Q$2))</f>
        <v>6156.60391629233</v>
      </c>
      <c r="M478" s="15" t="n">
        <f aca="false">L478*(1+IF(M$3&lt;=$O$2,$D478,$D478-($D478-$I$454)*MIN(M$3-$O$2,$Q$2)/$Q$2))</f>
        <v>6231.34627679361</v>
      </c>
      <c r="N478" s="15" t="n">
        <f aca="false">M478*(1+IF(N$3&lt;=$O$2,$D478,$D478-($D478-$I$454)*MIN(N$3-$O$2,$Q$2)/$Q$2))</f>
        <v>6345.37991365893</v>
      </c>
      <c r="O478" s="15" t="n">
        <f aca="false">SUMPRODUCT(E478:N478,1/(1+$F$454)^$E$3:$N$3)*$E$2</f>
        <v>13073.1994882387</v>
      </c>
      <c r="P478" s="15" t="n">
        <f aca="false">N478*$E$2*(1+$I$454)/($F$454-$I$454)/(1+$F$454)^$N$3</f>
        <v>13281.9951602363</v>
      </c>
      <c r="Q478" s="15" t="n">
        <f aca="false">O478+P478</f>
        <v>26355.194648475</v>
      </c>
      <c r="R478" s="15" t="n">
        <f aca="false">Q478-$G$2+$I$2</f>
        <v>19009.994648475</v>
      </c>
      <c r="S478" s="42" t="n">
        <f aca="false">R478/$K$2</f>
        <v>81.0142537757298</v>
      </c>
      <c r="T478" s="43" t="n">
        <f aca="false">S478-$M$2</f>
        <v>-2.28064137814954E-005</v>
      </c>
    </row>
    <row r="479" customFormat="false" ht="15" hidden="false" customHeight="false" outlineLevel="0" collapsed="false">
      <c r="A479" s="5" t="n">
        <v>24</v>
      </c>
      <c r="B479" s="25" t="n">
        <f aca="false">IF(T478&gt;0,B478,D478)</f>
        <v>-0.0124990344047546</v>
      </c>
      <c r="C479" s="25" t="n">
        <f aca="false">IF(T478&gt;0,D478,C478)</f>
        <v>-0.0124988555908203</v>
      </c>
      <c r="D479" s="41" t="n">
        <f aca="false">(B479+C479)/2</f>
        <v>-0.0124989449977875</v>
      </c>
      <c r="E479" s="15" t="n">
        <f aca="false">$C$2*(1+IF(E$3&lt;=$O$2,$D479,$D479-($D479-$I$454)*MIN(E$3-$O$2,$Q$2)/$Q$2))</f>
        <v>6478.00692081451</v>
      </c>
      <c r="F479" s="15" t="n">
        <f aca="false">E479*(1+IF(F$3&lt;=$O$2,$D479,$D479-($D479-$I$454)*MIN(F$3-$O$2,$Q$2)/$Q$2))</f>
        <v>6397.03866861597</v>
      </c>
      <c r="G479" s="15" t="n">
        <f aca="false">F479*(1+IF(G$3&lt;=$O$2,$D479,$D479-($D479-$I$454)*MIN(G$3-$O$2,$Q$2)/$Q$2))</f>
        <v>6317.08243414822</v>
      </c>
      <c r="H479" s="15" t="n">
        <f aca="false">G479*(1+IF(H$3&lt;=$O$2,$D479,$D479-($D479-$I$454)*MIN(H$3-$O$2,$Q$2)/$Q$2))</f>
        <v>6238.12556825731</v>
      </c>
      <c r="I479" s="15" t="n">
        <f aca="false">H479*(1+IF(I$3&lt;=$O$2,$D479,$D479-($D479-$I$454)*MIN(I$3-$O$2,$Q$2)/$Q$2))</f>
        <v>6160.15557989037</v>
      </c>
      <c r="J479" s="15" t="n">
        <f aca="false">I479*(1+IF(J$3&lt;=$O$2,$D479,$D479-($D479-$I$454)*MIN(J$3-$O$2,$Q$2)/$Q$2))</f>
        <v>6121.10539269608</v>
      </c>
      <c r="K479" s="15" t="n">
        <f aca="false">J479*(1+IF(K$3&lt;=$O$2,$D479,$D479-($D479-$I$454)*MIN(K$3-$O$2,$Q$2)/$Q$2))</f>
        <v>6120.00746839323</v>
      </c>
      <c r="L479" s="15" t="n">
        <f aca="false">K479*(1+IF(L$3&lt;=$O$2,$D479,$D479-($D479-$I$454)*MIN(L$3-$O$2,$Q$2)/$Q$2))</f>
        <v>6156.60769570279</v>
      </c>
      <c r="M479" s="15" t="n">
        <f aca="false">L479*(1+IF(M$3&lt;=$O$2,$D479,$D479-($D479-$I$454)*MIN(M$3-$O$2,$Q$2)/$Q$2))</f>
        <v>6231.35021217557</v>
      </c>
      <c r="N479" s="15" t="n">
        <f aca="false">M479*(1+IF(N$3&lt;=$O$2,$D479,$D479-($D479-$I$454)*MIN(N$3-$O$2,$Q$2)/$Q$2))</f>
        <v>6345.38392105838</v>
      </c>
      <c r="O479" s="15" t="n">
        <f aca="false">SUMPRODUCT(E479:N479,1/(1+$F$454)^$E$3:$N$3)*$E$2</f>
        <v>13073.2045460967</v>
      </c>
      <c r="P479" s="15" t="n">
        <f aca="false">N479*$E$2*(1+$I$454)/($F$454-$I$454)/(1+$F$454)^$N$3</f>
        <v>13282.0035484275</v>
      </c>
      <c r="Q479" s="15" t="n">
        <f aca="false">O479+P479</f>
        <v>26355.2080945242</v>
      </c>
      <c r="R479" s="15" t="n">
        <f aca="false">Q479-$G$2+$I$2</f>
        <v>19010.0080945242</v>
      </c>
      <c r="S479" s="42" t="n">
        <f aca="false">R479/$K$2</f>
        <v>81.0143110783048</v>
      </c>
      <c r="T479" s="43" t="n">
        <f aca="false">S479-$M$2</f>
        <v>3.44961611489225E-005</v>
      </c>
    </row>
    <row r="481" customFormat="false" ht="15" hidden="false" customHeight="false" outlineLevel="0" collapsed="false">
      <c r="A481" s="38" t="s">
        <v>199</v>
      </c>
      <c r="E481" s="5" t="s">
        <v>11</v>
      </c>
      <c r="F481" s="12" t="n">
        <f aca="false">Sensitivity!$B$13</f>
        <v>0.0862368036285737</v>
      </c>
      <c r="G481" s="5" t="s">
        <v>12</v>
      </c>
      <c r="I481" s="12" t="n">
        <f aca="false">Sensitivity!$D$9</f>
        <v>0.0233</v>
      </c>
    </row>
    <row r="482" customFormat="false" ht="23.85" hidden="false" customHeight="false" outlineLevel="0" collapsed="false">
      <c r="A482" s="38" t="s">
        <v>163</v>
      </c>
      <c r="B482" s="28" t="s">
        <v>164</v>
      </c>
      <c r="C482" s="28" t="s">
        <v>165</v>
      </c>
      <c r="D482" s="28" t="s">
        <v>166</v>
      </c>
      <c r="E482" s="28" t="s">
        <v>167</v>
      </c>
      <c r="F482" s="28" t="s">
        <v>168</v>
      </c>
      <c r="G482" s="28" t="s">
        <v>169</v>
      </c>
      <c r="H482" s="28" t="s">
        <v>170</v>
      </c>
      <c r="I482" s="28" t="s">
        <v>171</v>
      </c>
      <c r="J482" s="28" t="s">
        <v>172</v>
      </c>
      <c r="K482" s="28" t="s">
        <v>173</v>
      </c>
      <c r="L482" s="28" t="s">
        <v>174</v>
      </c>
      <c r="M482" s="28" t="s">
        <v>175</v>
      </c>
      <c r="N482" s="28" t="s">
        <v>176</v>
      </c>
      <c r="O482" s="28" t="s">
        <v>177</v>
      </c>
      <c r="P482" s="28" t="s">
        <v>178</v>
      </c>
      <c r="Q482" s="28" t="s">
        <v>179</v>
      </c>
      <c r="R482" s="28" t="s">
        <v>180</v>
      </c>
      <c r="S482" s="28" t="s">
        <v>181</v>
      </c>
      <c r="T482" s="28" t="s">
        <v>182</v>
      </c>
    </row>
    <row r="483" customFormat="false" ht="15" hidden="false" customHeight="false" outlineLevel="0" collapsed="false">
      <c r="A483" s="5" t="n">
        <v>1</v>
      </c>
      <c r="B483" s="24" t="n">
        <v>-0.5</v>
      </c>
      <c r="C483" s="24" t="n">
        <v>1</v>
      </c>
      <c r="D483" s="41" t="n">
        <f aca="false">(B483+C483)/2</f>
        <v>0.25</v>
      </c>
      <c r="E483" s="15" t="n">
        <f aca="false">$C$2*(1+IF(E$3&lt;=$O$2,$D483,$D483-($D483-$I$481)*MIN(E$3-$O$2,$Q$2)/$Q$2))</f>
        <v>8200</v>
      </c>
      <c r="F483" s="15" t="n">
        <f aca="false">E483*(1+IF(F$3&lt;=$O$2,$D483,$D483-($D483-$I$481)*MIN(F$3-$O$2,$Q$2)/$Q$2))</f>
        <v>10250</v>
      </c>
      <c r="G483" s="15" t="n">
        <f aca="false">F483*(1+IF(G$3&lt;=$O$2,$D483,$D483-($D483-$I$481)*MIN(G$3-$O$2,$Q$2)/$Q$2))</f>
        <v>12812.5</v>
      </c>
      <c r="H483" s="15" t="n">
        <f aca="false">G483*(1+IF(H$3&lt;=$O$2,$D483,$D483-($D483-$I$481)*MIN(H$3-$O$2,$Q$2)/$Q$2))</f>
        <v>16015.625</v>
      </c>
      <c r="I483" s="15" t="n">
        <f aca="false">H483*(1+IF(I$3&lt;=$O$2,$D483,$D483-($D483-$I$481)*MIN(I$3-$O$2,$Q$2)/$Q$2))</f>
        <v>20019.53125</v>
      </c>
      <c r="J483" s="15" t="n">
        <f aca="false">I483*(1+IF(J$3&lt;=$O$2,$D483,$D483-($D483-$I$481)*MIN(J$3-$O$2,$Q$2)/$Q$2))</f>
        <v>24116.728515625</v>
      </c>
      <c r="K483" s="15" t="n">
        <f aca="false">J483*(1+IF(K$3&lt;=$O$2,$D483,$D483-($D483-$I$481)*MIN(K$3-$O$2,$Q$2)/$Q$2))</f>
        <v>27959.0057027344</v>
      </c>
      <c r="L483" s="15" t="n">
        <f aca="false">K483*(1+IF(L$3&lt;=$O$2,$D483,$D483-($D483-$I$481)*MIN(L$3-$O$2,$Q$2)/$Q$2))</f>
        <v>31145.773172732</v>
      </c>
      <c r="M483" s="15" t="n">
        <f aca="false">L483*(1+IF(M$3&lt;=$O$2,$D483,$D483-($D483-$I$481)*MIN(M$3-$O$2,$Q$2)/$Q$2))</f>
        <v>33283.6190433084</v>
      </c>
      <c r="N483" s="15" t="n">
        <f aca="false">M483*(1+IF(N$3&lt;=$O$2,$D483,$D483-($D483-$I$481)*MIN(N$3-$O$2,$Q$2)/$Q$2))</f>
        <v>34059.1273670174</v>
      </c>
      <c r="O483" s="15" t="n">
        <f aca="false">SUMPRODUCT(E483:N483,1/(1+$F$481)^$E$3:$N$3)*$E$2</f>
        <v>40909.3022071767</v>
      </c>
      <c r="P483" s="15" t="n">
        <f aca="false">N483*$E$2*(1+$I$481)/($F$481-$I$481)/(1+$F$481)^$N$3</f>
        <v>77333.3568717035</v>
      </c>
      <c r="Q483" s="15" t="n">
        <f aca="false">O483+P483</f>
        <v>118242.65907888</v>
      </c>
      <c r="R483" s="15" t="n">
        <f aca="false">Q483-$G$2+$I$2</f>
        <v>110897.45907888</v>
      </c>
      <c r="S483" s="42" t="n">
        <f aca="false">R483/$K$2</f>
        <v>472.607965390497</v>
      </c>
      <c r="T483" s="43" t="n">
        <f aca="false">S483-$M$2</f>
        <v>391.593688808354</v>
      </c>
    </row>
    <row r="484" customFormat="false" ht="15" hidden="false" customHeight="false" outlineLevel="0" collapsed="false">
      <c r="A484" s="5" t="n">
        <v>2</v>
      </c>
      <c r="B484" s="25" t="n">
        <f aca="false">IF(T483&gt;0,B483,D483)</f>
        <v>-0.5</v>
      </c>
      <c r="C484" s="25" t="n">
        <f aca="false">IF(T483&gt;0,D483,C483)</f>
        <v>0.25</v>
      </c>
      <c r="D484" s="41" t="n">
        <f aca="false">(B484+C484)/2</f>
        <v>-0.125</v>
      </c>
      <c r="E484" s="15" t="n">
        <f aca="false">$C$2*(1+IF(E$3&lt;=$O$2,$D484,$D484-($D484-$I$481)*MIN(E$3-$O$2,$Q$2)/$Q$2))</f>
        <v>5740</v>
      </c>
      <c r="F484" s="15" t="n">
        <f aca="false">E484*(1+IF(F$3&lt;=$O$2,$D484,$D484-($D484-$I$481)*MIN(F$3-$O$2,$Q$2)/$Q$2))</f>
        <v>5022.5</v>
      </c>
      <c r="G484" s="15" t="n">
        <f aca="false">F484*(1+IF(G$3&lt;=$O$2,$D484,$D484-($D484-$I$481)*MIN(G$3-$O$2,$Q$2)/$Q$2))</f>
        <v>4394.6875</v>
      </c>
      <c r="H484" s="15" t="n">
        <f aca="false">G484*(1+IF(H$3&lt;=$O$2,$D484,$D484-($D484-$I$481)*MIN(H$3-$O$2,$Q$2)/$Q$2))</f>
        <v>3845.3515625</v>
      </c>
      <c r="I484" s="15" t="n">
        <f aca="false">H484*(1+IF(I$3&lt;=$O$2,$D484,$D484-($D484-$I$481)*MIN(I$3-$O$2,$Q$2)/$Q$2))</f>
        <v>3364.6826171875</v>
      </c>
      <c r="J484" s="15" t="n">
        <f aca="false">I484*(1+IF(J$3&lt;=$O$2,$D484,$D484-($D484-$I$481)*MIN(J$3-$O$2,$Q$2)/$Q$2))</f>
        <v>3043.89377646484</v>
      </c>
      <c r="K484" s="15" t="n">
        <f aca="false">J484*(1+IF(K$3&lt;=$O$2,$D484,$D484-($D484-$I$481)*MIN(K$3-$O$2,$Q$2)/$Q$2))</f>
        <v>2843.97083322663</v>
      </c>
      <c r="L484" s="15" t="n">
        <f aca="false">K484*(1+IF(L$3&lt;=$O$2,$D484,$D484-($D484-$I$481)*MIN(L$3-$O$2,$Q$2)/$Q$2))</f>
        <v>2741.53100381381</v>
      </c>
      <c r="M484" s="15" t="n">
        <f aca="false">L484*(1+IF(M$3&lt;=$O$2,$D484,$D484-($D484-$I$481)*MIN(M$3-$O$2,$Q$2)/$Q$2))</f>
        <v>2724.09486662955</v>
      </c>
      <c r="N484" s="15" t="n">
        <f aca="false">M484*(1+IF(N$3&lt;=$O$2,$D484,$D484-($D484-$I$481)*MIN(N$3-$O$2,$Q$2)/$Q$2))</f>
        <v>2787.56627702202</v>
      </c>
      <c r="O484" s="15" t="n">
        <f aca="false">SUMPRODUCT(E484:N484,1/(1+$F$481)^$E$3:$N$3)*$E$2</f>
        <v>8089.74741544907</v>
      </c>
      <c r="P484" s="15" t="n">
        <f aca="false">N484*$E$2*(1+$I$481)/($F$481-$I$481)/(1+$F$481)^$N$3</f>
        <v>6329.34177618502</v>
      </c>
      <c r="Q484" s="15" t="n">
        <f aca="false">O484+P484</f>
        <v>14419.0891916341</v>
      </c>
      <c r="R484" s="15" t="n">
        <f aca="false">Q484-$G$2+$I$2</f>
        <v>7073.88919163409</v>
      </c>
      <c r="S484" s="42" t="n">
        <f aca="false">R484/$K$2</f>
        <v>30.1465552594677</v>
      </c>
      <c r="T484" s="43" t="n">
        <f aca="false">S484-$M$2</f>
        <v>-50.867721322676</v>
      </c>
    </row>
    <row r="485" customFormat="false" ht="15" hidden="false" customHeight="false" outlineLevel="0" collapsed="false">
      <c r="A485" s="5" t="n">
        <v>3</v>
      </c>
      <c r="B485" s="25" t="n">
        <f aca="false">IF(T484&gt;0,B484,D484)</f>
        <v>-0.125</v>
      </c>
      <c r="C485" s="25" t="n">
        <f aca="false">IF(T484&gt;0,D484,C484)</f>
        <v>0.25</v>
      </c>
      <c r="D485" s="41" t="n">
        <f aca="false">(B485+C485)/2</f>
        <v>0.0625</v>
      </c>
      <c r="E485" s="15" t="n">
        <f aca="false">$C$2*(1+IF(E$3&lt;=$O$2,$D485,$D485-($D485-$I$481)*MIN(E$3-$O$2,$Q$2)/$Q$2))</f>
        <v>6970</v>
      </c>
      <c r="F485" s="15" t="n">
        <f aca="false">E485*(1+IF(F$3&lt;=$O$2,$D485,$D485-($D485-$I$481)*MIN(F$3-$O$2,$Q$2)/$Q$2))</f>
        <v>7405.625</v>
      </c>
      <c r="G485" s="15" t="n">
        <f aca="false">F485*(1+IF(G$3&lt;=$O$2,$D485,$D485-($D485-$I$481)*MIN(G$3-$O$2,$Q$2)/$Q$2))</f>
        <v>7868.4765625</v>
      </c>
      <c r="H485" s="15" t="n">
        <f aca="false">G485*(1+IF(H$3&lt;=$O$2,$D485,$D485-($D485-$I$481)*MIN(H$3-$O$2,$Q$2)/$Q$2))</f>
        <v>8360.25634765625</v>
      </c>
      <c r="I485" s="15" t="n">
        <f aca="false">H485*(1+IF(I$3&lt;=$O$2,$D485,$D485-($D485-$I$481)*MIN(I$3-$O$2,$Q$2)/$Q$2))</f>
        <v>8882.77236938477</v>
      </c>
      <c r="J485" s="15" t="n">
        <f aca="false">I485*(1+IF(J$3&lt;=$O$2,$D485,$D485-($D485-$I$481)*MIN(J$3-$O$2,$Q$2)/$Q$2))</f>
        <v>9368.30470709534</v>
      </c>
      <c r="K485" s="15" t="n">
        <f aca="false">J485*(1+IF(K$3&lt;=$O$2,$D485,$D485-($D485-$I$481)*MIN(K$3-$O$2,$Q$2)/$Q$2))</f>
        <v>9806.92873348154</v>
      </c>
      <c r="L485" s="15" t="n">
        <f aca="false">K485*(1+IF(L$3&lt;=$O$2,$D485,$D485-($D485-$I$481)*MIN(L$3-$O$2,$Q$2)/$Q$2))</f>
        <v>10189.2028155127</v>
      </c>
      <c r="M485" s="15" t="n">
        <f aca="false">L485*(1+IF(M$3&lt;=$O$2,$D485,$D485-($D485-$I$481)*MIN(M$3-$O$2,$Q$2)/$Q$2))</f>
        <v>10506.4945911877</v>
      </c>
      <c r="N485" s="15" t="n">
        <f aca="false">M485*(1+IF(N$3&lt;=$O$2,$D485,$D485-($D485-$I$481)*MIN(N$3-$O$2,$Q$2)/$Q$2))</f>
        <v>10751.2959151624</v>
      </c>
      <c r="O485" s="15" t="n">
        <f aca="false">SUMPRODUCT(E485:N485,1/(1+$F$481)^$E$3:$N$3)*$E$2</f>
        <v>18158.6231697731</v>
      </c>
      <c r="P485" s="15" t="n">
        <f aca="false">N485*$E$2*(1+$I$481)/($F$481-$I$481)/(1+$F$481)^$N$3</f>
        <v>24411.4828568889</v>
      </c>
      <c r="Q485" s="15" t="n">
        <f aca="false">O485+P485</f>
        <v>42570.106026662</v>
      </c>
      <c r="R485" s="15" t="n">
        <f aca="false">Q485-$G$2+$I$2</f>
        <v>35224.906026662</v>
      </c>
      <c r="S485" s="42" t="n">
        <f aca="false">R485/$K$2</f>
        <v>150.116795340558</v>
      </c>
      <c r="T485" s="43" t="n">
        <f aca="false">S485-$M$2</f>
        <v>69.1025187584146</v>
      </c>
    </row>
    <row r="486" customFormat="false" ht="15" hidden="false" customHeight="false" outlineLevel="0" collapsed="false">
      <c r="A486" s="5" t="n">
        <v>4</v>
      </c>
      <c r="B486" s="25" t="n">
        <f aca="false">IF(T485&gt;0,B485,D485)</f>
        <v>-0.125</v>
      </c>
      <c r="C486" s="25" t="n">
        <f aca="false">IF(T485&gt;0,D485,C485)</f>
        <v>0.0625</v>
      </c>
      <c r="D486" s="41" t="n">
        <f aca="false">(B486+C486)/2</f>
        <v>-0.03125</v>
      </c>
      <c r="E486" s="15" t="n">
        <f aca="false">$C$2*(1+IF(E$3&lt;=$O$2,$D486,$D486-($D486-$I$481)*MIN(E$3-$O$2,$Q$2)/$Q$2))</f>
        <v>6355</v>
      </c>
      <c r="F486" s="15" t="n">
        <f aca="false">E486*(1+IF(F$3&lt;=$O$2,$D486,$D486-($D486-$I$481)*MIN(F$3-$O$2,$Q$2)/$Q$2))</f>
        <v>6156.40625</v>
      </c>
      <c r="G486" s="15" t="n">
        <f aca="false">F486*(1+IF(G$3&lt;=$O$2,$D486,$D486-($D486-$I$481)*MIN(G$3-$O$2,$Q$2)/$Q$2))</f>
        <v>5964.0185546875</v>
      </c>
      <c r="H486" s="15" t="n">
        <f aca="false">G486*(1+IF(H$3&lt;=$O$2,$D486,$D486-($D486-$I$481)*MIN(H$3-$O$2,$Q$2)/$Q$2))</f>
        <v>5777.64297485352</v>
      </c>
      <c r="I486" s="15" t="n">
        <f aca="false">H486*(1+IF(I$3&lt;=$O$2,$D486,$D486-($D486-$I$481)*MIN(I$3-$O$2,$Q$2)/$Q$2))</f>
        <v>5597.09163188934</v>
      </c>
      <c r="J486" s="15" t="n">
        <f aca="false">I486*(1+IF(J$3&lt;=$O$2,$D486,$D486-($D486-$I$481)*MIN(J$3-$O$2,$Q$2)/$Q$2))</f>
        <v>5483.24678809671</v>
      </c>
      <c r="K486" s="15" t="n">
        <f aca="false">J486*(1+IF(K$3&lt;=$O$2,$D486,$D486-($D486-$I$481)*MIN(K$3-$O$2,$Q$2)/$Q$2))</f>
        <v>5431.53977088496</v>
      </c>
      <c r="L486" s="15" t="n">
        <f aca="false">K486*(1+IF(L$3&lt;=$O$2,$D486,$D486-($D486-$I$481)*MIN(L$3-$O$2,$Q$2)/$Q$2))</f>
        <v>5439.57844974587</v>
      </c>
      <c r="M486" s="15" t="n">
        <f aca="false">L486*(1+IF(M$3&lt;=$O$2,$D486,$D486-($D486-$I$481)*MIN(M$3-$O$2,$Q$2)/$Q$2))</f>
        <v>5506.97482673822</v>
      </c>
      <c r="N486" s="15" t="n">
        <f aca="false">M486*(1+IF(N$3&lt;=$O$2,$D486,$D486-($D486-$I$481)*MIN(N$3-$O$2,$Q$2)/$Q$2))</f>
        <v>5635.28734020122</v>
      </c>
      <c r="O486" s="15" t="n">
        <f aca="false">SUMPRODUCT(E486:N486,1/(1+$F$481)^$E$3:$N$3)*$E$2</f>
        <v>12084.9682426802</v>
      </c>
      <c r="P486" s="15" t="n">
        <f aca="false">N486*$E$2*(1+$I$481)/($F$481-$I$481)/(1+$F$481)^$N$3</f>
        <v>12795.2687177885</v>
      </c>
      <c r="Q486" s="15" t="n">
        <f aca="false">O486+P486</f>
        <v>24880.2369604687</v>
      </c>
      <c r="R486" s="15" t="n">
        <f aca="false">Q486-$G$2+$I$2</f>
        <v>17535.0369604687</v>
      </c>
      <c r="S486" s="42" t="n">
        <f aca="false">R486/$K$2</f>
        <v>74.7284762858246</v>
      </c>
      <c r="T486" s="43" t="n">
        <f aca="false">S486-$M$2</f>
        <v>-6.28580029631907</v>
      </c>
    </row>
    <row r="487" customFormat="false" ht="15" hidden="false" customHeight="false" outlineLevel="0" collapsed="false">
      <c r="A487" s="5" t="n">
        <v>5</v>
      </c>
      <c r="B487" s="25" t="n">
        <f aca="false">IF(T486&gt;0,B486,D486)</f>
        <v>-0.03125</v>
      </c>
      <c r="C487" s="25" t="n">
        <f aca="false">IF(T486&gt;0,D486,C486)</f>
        <v>0.0625</v>
      </c>
      <c r="D487" s="41" t="n">
        <f aca="false">(B487+C487)/2</f>
        <v>0.015625</v>
      </c>
      <c r="E487" s="15" t="n">
        <f aca="false">$C$2*(1+IF(E$3&lt;=$O$2,$D487,$D487-($D487-$I$481)*MIN(E$3-$O$2,$Q$2)/$Q$2))</f>
        <v>6662.5</v>
      </c>
      <c r="F487" s="15" t="n">
        <f aca="false">E487*(1+IF(F$3&lt;=$O$2,$D487,$D487-($D487-$I$481)*MIN(F$3-$O$2,$Q$2)/$Q$2))</f>
        <v>6766.6015625</v>
      </c>
      <c r="G487" s="15" t="n">
        <f aca="false">F487*(1+IF(G$3&lt;=$O$2,$D487,$D487-($D487-$I$481)*MIN(G$3-$O$2,$Q$2)/$Q$2))</f>
        <v>6872.32971191406</v>
      </c>
      <c r="H487" s="15" t="n">
        <f aca="false">G487*(1+IF(H$3&lt;=$O$2,$D487,$D487-($D487-$I$481)*MIN(H$3-$O$2,$Q$2)/$Q$2))</f>
        <v>6979.70986366272</v>
      </c>
      <c r="I487" s="15" t="n">
        <f aca="false">H487*(1+IF(I$3&lt;=$O$2,$D487,$D487-($D487-$I$481)*MIN(I$3-$O$2,$Q$2)/$Q$2))</f>
        <v>7088.76783028245</v>
      </c>
      <c r="J487" s="15" t="n">
        <f aca="false">I487*(1+IF(J$3&lt;=$O$2,$D487,$D487-($D487-$I$481)*MIN(J$3-$O$2,$Q$2)/$Q$2))</f>
        <v>7210.4110862501</v>
      </c>
      <c r="K487" s="15" t="n">
        <f aca="false">J487*(1+IF(K$3&lt;=$O$2,$D487,$D487-($D487-$I$481)*MIN(K$3-$O$2,$Q$2)/$Q$2))</f>
        <v>7345.20972150754</v>
      </c>
      <c r="L487" s="15" t="n">
        <f aca="false">K487*(1+IF(L$3&lt;=$O$2,$D487,$D487-($D487-$I$481)*MIN(L$3-$O$2,$Q$2)/$Q$2))</f>
        <v>7493.80331417364</v>
      </c>
      <c r="M487" s="15" t="n">
        <f aca="false">L487*(1+IF(M$3&lt;=$O$2,$D487,$D487-($D487-$I$481)*MIN(M$3-$O$2,$Q$2)/$Q$2))</f>
        <v>7656.90594330663</v>
      </c>
      <c r="N487" s="15" t="n">
        <f aca="false">M487*(1+IF(N$3&lt;=$O$2,$D487,$D487-($D487-$I$481)*MIN(N$3-$O$2,$Q$2)/$Q$2))</f>
        <v>7835.31185178568</v>
      </c>
      <c r="O487" s="15" t="n">
        <f aca="false">SUMPRODUCT(E487:N487,1/(1+$F$481)^$E$3:$N$3)*$E$2</f>
        <v>14807.7600121185</v>
      </c>
      <c r="P487" s="15" t="n">
        <f aca="false">N487*$E$2*(1+$I$481)/($F$481-$I$481)/(1+$F$481)^$N$3</f>
        <v>17790.5605480077</v>
      </c>
      <c r="Q487" s="15" t="n">
        <f aca="false">O487+P487</f>
        <v>32598.3205601262</v>
      </c>
      <c r="R487" s="15" t="n">
        <f aca="false">Q487-$G$2+$I$2</f>
        <v>25253.1205601262</v>
      </c>
      <c r="S487" s="42" t="n">
        <f aca="false">R487/$K$2</f>
        <v>107.62037315204</v>
      </c>
      <c r="T487" s="43" t="n">
        <f aca="false">S487-$M$2</f>
        <v>26.6060965698965</v>
      </c>
    </row>
    <row r="488" customFormat="false" ht="15" hidden="false" customHeight="false" outlineLevel="0" collapsed="false">
      <c r="A488" s="5" t="n">
        <v>6</v>
      </c>
      <c r="B488" s="25" t="n">
        <f aca="false">IF(T487&gt;0,B487,D487)</f>
        <v>-0.03125</v>
      </c>
      <c r="C488" s="25" t="n">
        <f aca="false">IF(T487&gt;0,D487,C487)</f>
        <v>0.015625</v>
      </c>
      <c r="D488" s="41" t="n">
        <f aca="false">(B488+C488)/2</f>
        <v>-0.0078125</v>
      </c>
      <c r="E488" s="15" t="n">
        <f aca="false">$C$2*(1+IF(E$3&lt;=$O$2,$D488,$D488-($D488-$I$481)*MIN(E$3-$O$2,$Q$2)/$Q$2))</f>
        <v>6508.75</v>
      </c>
      <c r="F488" s="15" t="n">
        <f aca="false">E488*(1+IF(F$3&lt;=$O$2,$D488,$D488-($D488-$I$481)*MIN(F$3-$O$2,$Q$2)/$Q$2))</f>
        <v>6457.900390625</v>
      </c>
      <c r="G488" s="15" t="n">
        <f aca="false">F488*(1+IF(G$3&lt;=$O$2,$D488,$D488-($D488-$I$481)*MIN(G$3-$O$2,$Q$2)/$Q$2))</f>
        <v>6407.44804382324</v>
      </c>
      <c r="H488" s="15" t="n">
        <f aca="false">G488*(1+IF(H$3&lt;=$O$2,$D488,$D488-($D488-$I$481)*MIN(H$3-$O$2,$Q$2)/$Q$2))</f>
        <v>6357.38985598087</v>
      </c>
      <c r="I488" s="15" t="n">
        <f aca="false">H488*(1+IF(I$3&lt;=$O$2,$D488,$D488-($D488-$I$481)*MIN(I$3-$O$2,$Q$2)/$Q$2))</f>
        <v>6307.72274773102</v>
      </c>
      <c r="J488" s="15" t="n">
        <f aca="false">I488*(1+IF(J$3&lt;=$O$2,$D488,$D488-($D488-$I$481)*MIN(J$3-$O$2,$Q$2)/$Q$2))</f>
        <v>6297.69346856213</v>
      </c>
      <c r="K488" s="15" t="n">
        <f aca="false">J488*(1+IF(K$3&lt;=$O$2,$D488,$D488-($D488-$I$481)*MIN(K$3-$O$2,$Q$2)/$Q$2))</f>
        <v>6326.86753355524</v>
      </c>
      <c r="L488" s="15" t="n">
        <f aca="false">K488*(1+IF(L$3&lt;=$O$2,$D488,$D488-($D488-$I$481)*MIN(L$3-$O$2,$Q$2)/$Q$2))</f>
        <v>6395.54568063199</v>
      </c>
      <c r="M488" s="15" t="n">
        <f aca="false">L488*(1+IF(M$3&lt;=$O$2,$D488,$D488-($D488-$I$481)*MIN(M$3-$O$2,$Q$2)/$Q$2))</f>
        <v>6504.76561199298</v>
      </c>
      <c r="N488" s="15" t="n">
        <f aca="false">M488*(1+IF(N$3&lt;=$O$2,$D488,$D488-($D488-$I$481)*MIN(N$3-$O$2,$Q$2)/$Q$2))</f>
        <v>6656.32665075242</v>
      </c>
      <c r="O488" s="15" t="n">
        <f aca="false">SUMPRODUCT(E488:N488,1/(1+$F$481)^$E$3:$N$3)*$E$2</f>
        <v>13375.3786933816</v>
      </c>
      <c r="P488" s="15" t="n">
        <f aca="false">N488*$E$2*(1+$I$481)/($F$481-$I$481)/(1+$F$481)^$N$3</f>
        <v>15113.6016724772</v>
      </c>
      <c r="Q488" s="15" t="n">
        <f aca="false">O488+P488</f>
        <v>28488.9803658588</v>
      </c>
      <c r="R488" s="15" t="n">
        <f aca="false">Q488-$G$2+$I$2</f>
        <v>21143.7803658588</v>
      </c>
      <c r="S488" s="42" t="n">
        <f aca="false">R488/$K$2</f>
        <v>90.1077364835236</v>
      </c>
      <c r="T488" s="43" t="n">
        <f aca="false">S488-$M$2</f>
        <v>9.09345990137994</v>
      </c>
    </row>
    <row r="489" customFormat="false" ht="15" hidden="false" customHeight="false" outlineLevel="0" collapsed="false">
      <c r="A489" s="5" t="n">
        <v>7</v>
      </c>
      <c r="B489" s="25" t="n">
        <f aca="false">IF(T488&gt;0,B488,D488)</f>
        <v>-0.03125</v>
      </c>
      <c r="C489" s="25" t="n">
        <f aca="false">IF(T488&gt;0,D488,C488)</f>
        <v>-0.0078125</v>
      </c>
      <c r="D489" s="41" t="n">
        <f aca="false">(B489+C489)/2</f>
        <v>-0.01953125</v>
      </c>
      <c r="E489" s="15" t="n">
        <f aca="false">$C$2*(1+IF(E$3&lt;=$O$2,$D489,$D489-($D489-$I$481)*MIN(E$3-$O$2,$Q$2)/$Q$2))</f>
        <v>6431.875</v>
      </c>
      <c r="F489" s="15" t="n">
        <f aca="false">E489*(1+IF(F$3&lt;=$O$2,$D489,$D489-($D489-$I$481)*MIN(F$3-$O$2,$Q$2)/$Q$2))</f>
        <v>6306.25244140625</v>
      </c>
      <c r="G489" s="15" t="n">
        <f aca="false">F489*(1+IF(G$3&lt;=$O$2,$D489,$D489-($D489-$I$481)*MIN(G$3-$O$2,$Q$2)/$Q$2))</f>
        <v>6183.08344841003</v>
      </c>
      <c r="H489" s="15" t="n">
        <f aca="false">G489*(1+IF(H$3&lt;=$O$2,$D489,$D489-($D489-$I$481)*MIN(H$3-$O$2,$Q$2)/$Q$2))</f>
        <v>6062.32009980828</v>
      </c>
      <c r="I489" s="15" t="n">
        <f aca="false">H489*(1+IF(I$3&lt;=$O$2,$D489,$D489-($D489-$I$481)*MIN(I$3-$O$2,$Q$2)/$Q$2))</f>
        <v>5943.9154103589</v>
      </c>
      <c r="J489" s="15" t="n">
        <f aca="false">I489*(1+IF(J$3&lt;=$O$2,$D489,$D489-($D489-$I$481)*MIN(J$3-$O$2,$Q$2)/$Q$2))</f>
        <v>5878.74037788431</v>
      </c>
      <c r="K489" s="15" t="n">
        <f aca="false">J489*(1+IF(K$3&lt;=$O$2,$D489,$D489-($D489-$I$481)*MIN(K$3-$O$2,$Q$2)/$Q$2))</f>
        <v>5864.63874940286</v>
      </c>
      <c r="L489" s="15" t="n">
        <f aca="false">K489*(1+IF(L$3&lt;=$O$2,$D489,$D489-($D489-$I$481)*MIN(L$3-$O$2,$Q$2)/$Q$2))</f>
        <v>5900.8089088898</v>
      </c>
      <c r="M489" s="15" t="n">
        <f aca="false">L489*(1+IF(M$3&lt;=$O$2,$D489,$D489-($D489-$I$481)*MIN(M$3-$O$2,$Q$2)/$Q$2))</f>
        <v>5987.74995215116</v>
      </c>
      <c r="N489" s="15" t="n">
        <f aca="false">M489*(1+IF(N$3&lt;=$O$2,$D489,$D489-($D489-$I$481)*MIN(N$3-$O$2,$Q$2)/$Q$2))</f>
        <v>6127.26452603628</v>
      </c>
      <c r="O489" s="15" t="n">
        <f aca="false">SUMPRODUCT(E489:N489,1/(1+$F$481)^$E$3:$N$3)*$E$2</f>
        <v>12713.2981706849</v>
      </c>
      <c r="P489" s="15" t="n">
        <f aca="false">N489*$E$2*(1+$I$481)/($F$481-$I$481)/(1+$F$481)^$N$3</f>
        <v>13912.3333705301</v>
      </c>
      <c r="Q489" s="15" t="n">
        <f aca="false">O489+P489</f>
        <v>26625.631541215</v>
      </c>
      <c r="R489" s="15" t="n">
        <f aca="false">Q489-$G$2+$I$2</f>
        <v>19280.431541215</v>
      </c>
      <c r="S489" s="42" t="n">
        <f aca="false">R489/$K$2</f>
        <v>82.1667655709143</v>
      </c>
      <c r="T489" s="43" t="n">
        <f aca="false">S489-$M$2</f>
        <v>1.15248898877068</v>
      </c>
    </row>
    <row r="490" customFormat="false" ht="15" hidden="false" customHeight="false" outlineLevel="0" collapsed="false">
      <c r="A490" s="5" t="n">
        <v>8</v>
      </c>
      <c r="B490" s="25" t="n">
        <f aca="false">IF(T489&gt;0,B489,D489)</f>
        <v>-0.03125</v>
      </c>
      <c r="C490" s="25" t="n">
        <f aca="false">IF(T489&gt;0,D489,C489)</f>
        <v>-0.01953125</v>
      </c>
      <c r="D490" s="41" t="n">
        <f aca="false">(B490+C490)/2</f>
        <v>-0.025390625</v>
      </c>
      <c r="E490" s="15" t="n">
        <f aca="false">$C$2*(1+IF(E$3&lt;=$O$2,$D490,$D490-($D490-$I$481)*MIN(E$3-$O$2,$Q$2)/$Q$2))</f>
        <v>6393.4375</v>
      </c>
      <c r="F490" s="15" t="n">
        <f aca="false">E490*(1+IF(F$3&lt;=$O$2,$D490,$D490-($D490-$I$481)*MIN(F$3-$O$2,$Q$2)/$Q$2))</f>
        <v>6231.10412597656</v>
      </c>
      <c r="G490" s="15" t="n">
        <f aca="false">F490*(1+IF(G$3&lt;=$O$2,$D490,$D490-($D490-$I$481)*MIN(G$3-$O$2,$Q$2)/$Q$2))</f>
        <v>6072.89249777794</v>
      </c>
      <c r="H490" s="15" t="n">
        <f aca="false">G490*(1+IF(H$3&lt;=$O$2,$D490,$D490-($D490-$I$481)*MIN(H$3-$O$2,$Q$2)/$Q$2))</f>
        <v>5918.69796170155</v>
      </c>
      <c r="I490" s="15" t="n">
        <f aca="false">H490*(1+IF(I$3&lt;=$O$2,$D490,$D490-($D490-$I$481)*MIN(I$3-$O$2,$Q$2)/$Q$2))</f>
        <v>5768.41852126772</v>
      </c>
      <c r="J490" s="15" t="n">
        <f aca="false">I490*(1+IF(J$3&lt;=$O$2,$D490,$D490-($D490-$I$481)*MIN(J$3-$O$2,$Q$2)/$Q$2))</f>
        <v>5678.12835036358</v>
      </c>
      <c r="K490" s="15" t="n">
        <f aca="false">J490*(1+IF(K$3&lt;=$O$2,$D490,$D490-($D490-$I$481)*MIN(K$3-$O$2,$Q$2)/$Q$2))</f>
        <v>5644.54577000139</v>
      </c>
      <c r="L490" s="15" t="n">
        <f aca="false">K490*(1+IF(L$3&lt;=$O$2,$D490,$D490-($D490-$I$481)*MIN(L$3-$O$2,$Q$2)/$Q$2))</f>
        <v>5666.12910188944</v>
      </c>
      <c r="M490" s="15" t="n">
        <f aca="false">L490*(1+IF(M$3&lt;=$O$2,$D490,$D490-($D490-$I$481)*MIN(M$3-$O$2,$Q$2)/$Q$2))</f>
        <v>5742.97243650312</v>
      </c>
      <c r="N490" s="15" t="n">
        <f aca="false">M490*(1+IF(N$3&lt;=$O$2,$D490,$D490-($D490-$I$481)*MIN(N$3-$O$2,$Q$2)/$Q$2))</f>
        <v>5876.78369427365</v>
      </c>
      <c r="O490" s="15" t="n">
        <f aca="false">SUMPRODUCT(E490:N490,1/(1+$F$481)^$E$3:$N$3)*$E$2</f>
        <v>12395.019157912</v>
      </c>
      <c r="P490" s="15" t="n">
        <f aca="false">N490*$E$2*(1+$I$481)/($F$481-$I$481)/(1+$F$481)^$N$3</f>
        <v>13343.6011378018</v>
      </c>
      <c r="Q490" s="15" t="n">
        <f aca="false">O490+P490</f>
        <v>25738.6202957138</v>
      </c>
      <c r="R490" s="15" t="n">
        <f aca="false">Q490-$G$2+$I$2</f>
        <v>18393.4202957138</v>
      </c>
      <c r="S490" s="42" t="n">
        <f aca="false">R490/$K$2</f>
        <v>78.3866196280153</v>
      </c>
      <c r="T490" s="43" t="n">
        <f aca="false">S490-$M$2</f>
        <v>-2.6276569541283</v>
      </c>
    </row>
    <row r="491" customFormat="false" ht="15" hidden="false" customHeight="false" outlineLevel="0" collapsed="false">
      <c r="A491" s="5" t="n">
        <v>9</v>
      </c>
      <c r="B491" s="25" t="n">
        <f aca="false">IF(T490&gt;0,B490,D490)</f>
        <v>-0.025390625</v>
      </c>
      <c r="C491" s="25" t="n">
        <f aca="false">IF(T490&gt;0,D490,C490)</f>
        <v>-0.01953125</v>
      </c>
      <c r="D491" s="41" t="n">
        <f aca="false">(B491+C491)/2</f>
        <v>-0.0224609375</v>
      </c>
      <c r="E491" s="15" t="n">
        <f aca="false">$C$2*(1+IF(E$3&lt;=$O$2,$D491,$D491-($D491-$I$481)*MIN(E$3-$O$2,$Q$2)/$Q$2))</f>
        <v>6412.65625</v>
      </c>
      <c r="F491" s="15" t="n">
        <f aca="false">E491*(1+IF(F$3&lt;=$O$2,$D491,$D491-($D491-$I$481)*MIN(F$3-$O$2,$Q$2)/$Q$2))</f>
        <v>6268.62197875977</v>
      </c>
      <c r="G491" s="15" t="n">
        <f aca="false">F491*(1+IF(G$3&lt;=$O$2,$D491,$D491-($D491-$I$481)*MIN(G$3-$O$2,$Q$2)/$Q$2))</f>
        <v>6127.82285228372</v>
      </c>
      <c r="H491" s="15" t="n">
        <f aca="false">G491*(1+IF(H$3&lt;=$O$2,$D491,$D491-($D491-$I$481)*MIN(H$3-$O$2,$Q$2)/$Q$2))</f>
        <v>5990.1862061875</v>
      </c>
      <c r="I491" s="15" t="n">
        <f aca="false">H491*(1+IF(I$3&lt;=$O$2,$D491,$D491-($D491-$I$481)*MIN(I$3-$O$2,$Q$2)/$Q$2))</f>
        <v>5855.64100819696</v>
      </c>
      <c r="J491" s="15" t="n">
        <f aca="false">I491*(1+IF(J$3&lt;=$O$2,$D491,$D491-($D491-$I$481)*MIN(J$3-$O$2,$Q$2)/$Q$2))</f>
        <v>5777.70974592912</v>
      </c>
      <c r="K491" s="15" t="n">
        <f aca="false">J491*(1+IF(K$3&lt;=$O$2,$D491,$D491-($D491-$I$481)*MIN(K$3-$O$2,$Q$2)/$Q$2))</f>
        <v>5753.69433426331</v>
      </c>
      <c r="L491" s="15" t="n">
        <f aca="false">K491*(1+IF(L$3&lt;=$O$2,$D491,$D491-($D491-$I$481)*MIN(L$3-$O$2,$Q$2)/$Q$2))</f>
        <v>5782.43763352191</v>
      </c>
      <c r="M491" s="15" t="n">
        <f aca="false">L491*(1+IF(M$3&lt;=$O$2,$D491,$D491-($D491-$I$481)*MIN(M$3-$O$2,$Q$2)/$Q$2))</f>
        <v>5864.24647695392</v>
      </c>
      <c r="N491" s="15" t="n">
        <f aca="false">M491*(1+IF(N$3&lt;=$O$2,$D491,$D491-($D491-$I$481)*MIN(N$3-$O$2,$Q$2)/$Q$2))</f>
        <v>6000.88341986695</v>
      </c>
      <c r="O491" s="15" t="n">
        <f aca="false">SUMPRODUCT(E491:N491,1/(1+$F$481)^$E$3:$N$3)*$E$2</f>
        <v>12553.1172342326</v>
      </c>
      <c r="P491" s="15" t="n">
        <f aca="false">N491*$E$2*(1+$I$481)/($F$481-$I$481)/(1+$F$481)^$N$3</f>
        <v>13625.3772462608</v>
      </c>
      <c r="Q491" s="15" t="n">
        <f aca="false">O491+P491</f>
        <v>26178.4944804934</v>
      </c>
      <c r="R491" s="15" t="n">
        <f aca="false">Q491-$G$2+$I$2</f>
        <v>18833.2944804934</v>
      </c>
      <c r="S491" s="42" t="n">
        <f aca="false">R491/$K$2</f>
        <v>80.2612166226014</v>
      </c>
      <c r="T491" s="43" t="n">
        <f aca="false">S491-$M$2</f>
        <v>-0.753059959542227</v>
      </c>
    </row>
    <row r="492" customFormat="false" ht="15" hidden="false" customHeight="false" outlineLevel="0" collapsed="false">
      <c r="A492" s="5" t="n">
        <v>10</v>
      </c>
      <c r="B492" s="25" t="n">
        <f aca="false">IF(T491&gt;0,B491,D491)</f>
        <v>-0.0224609375</v>
      </c>
      <c r="C492" s="25" t="n">
        <f aca="false">IF(T491&gt;0,D491,C491)</f>
        <v>-0.01953125</v>
      </c>
      <c r="D492" s="41" t="n">
        <f aca="false">(B492+C492)/2</f>
        <v>-0.02099609375</v>
      </c>
      <c r="E492" s="15" t="n">
        <f aca="false">$C$2*(1+IF(E$3&lt;=$O$2,$D492,$D492-($D492-$I$481)*MIN(E$3-$O$2,$Q$2)/$Q$2))</f>
        <v>6422.265625</v>
      </c>
      <c r="F492" s="15" t="n">
        <f aca="false">E492*(1+IF(F$3&lt;=$O$2,$D492,$D492-($D492-$I$481)*MIN(F$3-$O$2,$Q$2)/$Q$2))</f>
        <v>6287.4231338501</v>
      </c>
      <c r="G492" s="15" t="n">
        <f aca="false">F492*(1+IF(G$3&lt;=$O$2,$D492,$D492-($D492-$I$481)*MIN(G$3-$O$2,$Q$2)/$Q$2))</f>
        <v>6155.41180828586</v>
      </c>
      <c r="H492" s="15" t="n">
        <f aca="false">G492*(1+IF(H$3&lt;=$O$2,$D492,$D492-($D492-$I$481)*MIN(H$3-$O$2,$Q$2)/$Q$2))</f>
        <v>6026.17220488924</v>
      </c>
      <c r="I492" s="15" t="n">
        <f aca="false">H492*(1+IF(I$3&lt;=$O$2,$D492,$D492-($D492-$I$481)*MIN(I$3-$O$2,$Q$2)/$Q$2))</f>
        <v>5899.64612832174</v>
      </c>
      <c r="J492" s="15" t="n">
        <f aca="false">I492*(1+IF(J$3&lt;=$O$2,$D492,$D492-($D492-$I$481)*MIN(J$3-$O$2,$Q$2)/$Q$2))</f>
        <v>5828.04286071806</v>
      </c>
      <c r="K492" s="15" t="n">
        <f aca="false">J492*(1+IF(K$3&lt;=$O$2,$D492,$D492-($D492-$I$481)*MIN(K$3-$O$2,$Q$2)/$Q$2))</f>
        <v>5808.94053961036</v>
      </c>
      <c r="L492" s="15" t="n">
        <f aca="false">K492*(1+IF(L$3&lt;=$O$2,$D492,$D492-($D492-$I$481)*MIN(L$3-$O$2,$Q$2)/$Q$2))</f>
        <v>5841.36350429098</v>
      </c>
      <c r="M492" s="15" t="n">
        <f aca="false">L492*(1+IF(M$3&lt;=$O$2,$D492,$D492-($D492-$I$481)*MIN(M$3-$O$2,$Q$2)/$Q$2))</f>
        <v>5925.71735685818</v>
      </c>
      <c r="N492" s="15" t="n">
        <f aca="false">M492*(1+IF(N$3&lt;=$O$2,$D492,$D492-($D492-$I$481)*MIN(N$3-$O$2,$Q$2)/$Q$2))</f>
        <v>6063.78657127298</v>
      </c>
      <c r="O492" s="15" t="n">
        <f aca="false">SUMPRODUCT(E492:N492,1/(1+$F$481)^$E$3:$N$3)*$E$2</f>
        <v>12632.945714667</v>
      </c>
      <c r="P492" s="15" t="n">
        <f aca="false">N492*$E$2*(1+$I$481)/($F$481-$I$481)/(1+$F$481)^$N$3</f>
        <v>13768.2027450946</v>
      </c>
      <c r="Q492" s="15" t="n">
        <f aca="false">O492+P492</f>
        <v>26401.1484597616</v>
      </c>
      <c r="R492" s="15" t="n">
        <f aca="false">Q492-$G$2+$I$2</f>
        <v>19055.9484597616</v>
      </c>
      <c r="S492" s="42" t="n">
        <f aca="false">R492/$K$2</f>
        <v>81.2100935851762</v>
      </c>
      <c r="T492" s="43" t="n">
        <f aca="false">S492-$M$2</f>
        <v>0.195817003032587</v>
      </c>
    </row>
    <row r="493" customFormat="false" ht="15" hidden="false" customHeight="false" outlineLevel="0" collapsed="false">
      <c r="A493" s="5" t="n">
        <v>11</v>
      </c>
      <c r="B493" s="25" t="n">
        <f aca="false">IF(T492&gt;0,B492,D492)</f>
        <v>-0.0224609375</v>
      </c>
      <c r="C493" s="25" t="n">
        <f aca="false">IF(T492&gt;0,D492,C492)</f>
        <v>-0.02099609375</v>
      </c>
      <c r="D493" s="41" t="n">
        <f aca="false">(B493+C493)/2</f>
        <v>-0.021728515625</v>
      </c>
      <c r="E493" s="15" t="n">
        <f aca="false">$C$2*(1+IF(E$3&lt;=$O$2,$D493,$D493-($D493-$I$481)*MIN(E$3-$O$2,$Q$2)/$Q$2))</f>
        <v>6417.4609375</v>
      </c>
      <c r="F493" s="15" t="n">
        <f aca="false">E493*(1+IF(F$3&lt;=$O$2,$D493,$D493-($D493-$I$481)*MIN(F$3-$O$2,$Q$2)/$Q$2))</f>
        <v>6278.0190372467</v>
      </c>
      <c r="G493" s="15" t="n">
        <f aca="false">F493*(1+IF(G$3&lt;=$O$2,$D493,$D493-($D493-$I$481)*MIN(G$3-$O$2,$Q$2)/$Q$2))</f>
        <v>6141.60700250184</v>
      </c>
      <c r="H493" s="15" t="n">
        <f aca="false">G493*(1+IF(H$3&lt;=$O$2,$D493,$D493-($D493-$I$481)*MIN(H$3-$O$2,$Q$2)/$Q$2))</f>
        <v>6008.15899878537</v>
      </c>
      <c r="I493" s="15" t="n">
        <f aca="false">H493*(1+IF(I$3&lt;=$O$2,$D493,$D493-($D493-$I$481)*MIN(I$3-$O$2,$Q$2)/$Q$2))</f>
        <v>5877.61062210278</v>
      </c>
      <c r="J493" s="15" t="n">
        <f aca="false">I493*(1+IF(J$3&lt;=$O$2,$D493,$D493-($D493-$I$481)*MIN(J$3-$O$2,$Q$2)/$Q$2))</f>
        <v>5802.83088420976</v>
      </c>
      <c r="K493" s="15" t="n">
        <f aca="false">J493*(1+IF(K$3&lt;=$O$2,$D493,$D493-($D493-$I$481)*MIN(K$3-$O$2,$Q$2)/$Q$2))</f>
        <v>5781.26112712852</v>
      </c>
      <c r="L493" s="15" t="n">
        <f aca="false">K493*(1+IF(L$3&lt;=$O$2,$D493,$D493-($D493-$I$481)*MIN(L$3-$O$2,$Q$2)/$Q$2))</f>
        <v>5811.83586859257</v>
      </c>
      <c r="M493" s="15" t="n">
        <f aca="false">L493*(1+IF(M$3&lt;=$O$2,$D493,$D493-($D493-$I$481)*MIN(M$3-$O$2,$Q$2)/$Q$2))</f>
        <v>5894.91197588701</v>
      </c>
      <c r="N493" s="15" t="n">
        <f aca="false">M493*(1+IF(N$3&lt;=$O$2,$D493,$D493-($D493-$I$481)*MIN(N$3-$O$2,$Q$2)/$Q$2))</f>
        <v>6032.26342492518</v>
      </c>
      <c r="O493" s="15" t="n">
        <f aca="false">SUMPRODUCT(E493:N493,1/(1+$F$481)^$E$3:$N$3)*$E$2</f>
        <v>12592.9661819842</v>
      </c>
      <c r="P493" s="15" t="n">
        <f aca="false">N493*$E$2*(1+$I$481)/($F$481-$I$481)/(1+$F$481)^$N$3</f>
        <v>13696.6274900987</v>
      </c>
      <c r="Q493" s="15" t="n">
        <f aca="false">O493+P493</f>
        <v>26289.5936720828</v>
      </c>
      <c r="R493" s="15" t="n">
        <f aca="false">Q493-$G$2+$I$2</f>
        <v>18944.3936720828</v>
      </c>
      <c r="S493" s="42" t="n">
        <f aca="false">R493/$K$2</f>
        <v>80.7346843046359</v>
      </c>
      <c r="T493" s="43" t="n">
        <f aca="false">S493-$M$2</f>
        <v>-0.279592277507703</v>
      </c>
    </row>
    <row r="494" customFormat="false" ht="15" hidden="false" customHeight="false" outlineLevel="0" collapsed="false">
      <c r="A494" s="5" t="n">
        <v>12</v>
      </c>
      <c r="B494" s="25" t="n">
        <f aca="false">IF(T493&gt;0,B493,D493)</f>
        <v>-0.021728515625</v>
      </c>
      <c r="C494" s="25" t="n">
        <f aca="false">IF(T493&gt;0,D493,C493)</f>
        <v>-0.02099609375</v>
      </c>
      <c r="D494" s="41" t="n">
        <f aca="false">(B494+C494)/2</f>
        <v>-0.0213623046875</v>
      </c>
      <c r="E494" s="15" t="n">
        <f aca="false">$C$2*(1+IF(E$3&lt;=$O$2,$D494,$D494-($D494-$I$481)*MIN(E$3-$O$2,$Q$2)/$Q$2))</f>
        <v>6419.86328125</v>
      </c>
      <c r="F494" s="15" t="n">
        <f aca="false">E494*(1+IF(F$3&lt;=$O$2,$D494,$D494-($D494-$I$481)*MIN(F$3-$O$2,$Q$2)/$Q$2))</f>
        <v>6282.72020578384</v>
      </c>
      <c r="G494" s="15" t="n">
        <f aca="false">F494*(1+IF(G$3&lt;=$O$2,$D494,$D494-($D494-$I$481)*MIN(G$3-$O$2,$Q$2)/$Q$2))</f>
        <v>6148.50682248158</v>
      </c>
      <c r="H494" s="15" t="n">
        <f aca="false">G494*(1+IF(H$3&lt;=$O$2,$D494,$D494-($D494-$I$481)*MIN(H$3-$O$2,$Q$2)/$Q$2))</f>
        <v>6017.16054636655</v>
      </c>
      <c r="I494" s="15" t="n">
        <f aca="false">H494*(1+IF(I$3&lt;=$O$2,$D494,$D494-($D494-$I$481)*MIN(I$3-$O$2,$Q$2)/$Q$2))</f>
        <v>5888.62012942147</v>
      </c>
      <c r="J494" s="15" t="n">
        <f aca="false">I494*(1+IF(J$3&lt;=$O$2,$D494,$D494-($D494-$I$481)*MIN(J$3-$O$2,$Q$2)/$Q$2))</f>
        <v>5815.42550130965</v>
      </c>
      <c r="K494" s="15" t="n">
        <f aca="false">J494*(1+IF(K$3&lt;=$O$2,$D494,$D494-($D494-$I$481)*MIN(K$3-$O$2,$Q$2)/$Q$2))</f>
        <v>5795.086732114</v>
      </c>
      <c r="L494" s="15" t="n">
        <f aca="false">K494*(1+IF(L$3&lt;=$O$2,$D494,$D494-($D494-$I$481)*MIN(L$3-$O$2,$Q$2)/$Q$2))</f>
        <v>5826.58348124419</v>
      </c>
      <c r="M494" s="15" t="n">
        <f aca="false">L494*(1+IF(M$3&lt;=$O$2,$D494,$D494-($D494-$I$481)*MIN(M$3-$O$2,$Q$2)/$Q$2))</f>
        <v>5910.29714701188</v>
      </c>
      <c r="N494" s="15" t="n">
        <f aca="false">M494*(1+IF(N$3&lt;=$O$2,$D494,$D494-($D494-$I$481)*MIN(N$3-$O$2,$Q$2)/$Q$2))</f>
        <v>6048.00707053726</v>
      </c>
      <c r="O494" s="15" t="n">
        <f aca="false">SUMPRODUCT(E494:N494,1/(1+$F$481)^$E$3:$N$3)*$E$2</f>
        <v>12612.9395996926</v>
      </c>
      <c r="P494" s="15" t="n">
        <f aca="false">N494*$E$2*(1+$I$481)/($F$481-$I$481)/(1+$F$481)^$N$3</f>
        <v>13732.3744119579</v>
      </c>
      <c r="Q494" s="15" t="n">
        <f aca="false">O494+P494</f>
        <v>26345.3140116505</v>
      </c>
      <c r="R494" s="15" t="n">
        <f aca="false">Q494-$G$2+$I$2</f>
        <v>19000.1140116505</v>
      </c>
      <c r="S494" s="42" t="n">
        <f aca="false">R494/$K$2</f>
        <v>80.9721457986382</v>
      </c>
      <c r="T494" s="43" t="n">
        <f aca="false">S494-$M$2</f>
        <v>-0.0421307835054137</v>
      </c>
    </row>
    <row r="495" customFormat="false" ht="15" hidden="false" customHeight="false" outlineLevel="0" collapsed="false">
      <c r="A495" s="5" t="n">
        <v>13</v>
      </c>
      <c r="B495" s="25" t="n">
        <f aca="false">IF(T494&gt;0,B494,D494)</f>
        <v>-0.0213623046875</v>
      </c>
      <c r="C495" s="25" t="n">
        <f aca="false">IF(T494&gt;0,D494,C494)</f>
        <v>-0.02099609375</v>
      </c>
      <c r="D495" s="41" t="n">
        <f aca="false">(B495+C495)/2</f>
        <v>-0.02117919921875</v>
      </c>
      <c r="E495" s="15" t="n">
        <f aca="false">$C$2*(1+IF(E$3&lt;=$O$2,$D495,$D495-($D495-$I$481)*MIN(E$3-$O$2,$Q$2)/$Q$2))</f>
        <v>6421.064453125</v>
      </c>
      <c r="F495" s="15" t="n">
        <f aca="false">E495*(1+IF(F$3&lt;=$O$2,$D495,$D495-($D495-$I$481)*MIN(F$3-$O$2,$Q$2)/$Q$2))</f>
        <v>6285.07144987583</v>
      </c>
      <c r="G495" s="15" t="n">
        <f aca="false">F495*(1+IF(G$3&lt;=$O$2,$D495,$D495-($D495-$I$481)*MIN(G$3-$O$2,$Q$2)/$Q$2))</f>
        <v>6151.95866953483</v>
      </c>
      <c r="H495" s="15" t="n">
        <f aca="false">G495*(1+IF(H$3&lt;=$O$2,$D495,$D495-($D495-$I$481)*MIN(H$3-$O$2,$Q$2)/$Q$2))</f>
        <v>6021.66511128724</v>
      </c>
      <c r="I495" s="15" t="n">
        <f aca="false">H495*(1+IF(I$3&lt;=$O$2,$D495,$D495-($D495-$I$481)*MIN(I$3-$O$2,$Q$2)/$Q$2))</f>
        <v>5894.13106626669</v>
      </c>
      <c r="J495" s="15" t="n">
        <f aca="false">I495*(1+IF(J$3&lt;=$O$2,$D495,$D495-($D495-$I$481)*MIN(J$3-$O$2,$Q$2)/$Q$2))</f>
        <v>5821.73133617638</v>
      </c>
      <c r="K495" s="15" t="n">
        <f aca="false">J495*(1+IF(K$3&lt;=$O$2,$D495,$D495-($D495-$I$481)*MIN(K$3-$O$2,$Q$2)/$Q$2))</f>
        <v>5802.0101075694</v>
      </c>
      <c r="L495" s="15" t="n">
        <f aca="false">K495*(1+IF(L$3&lt;=$O$2,$D495,$D495-($D495-$I$481)*MIN(L$3-$O$2,$Q$2)/$Q$2))</f>
        <v>5833.96943769825</v>
      </c>
      <c r="M495" s="15" t="n">
        <f aca="false">L495*(1+IF(M$3&lt;=$O$2,$D495,$D495-($D495-$I$481)*MIN(M$3-$O$2,$Q$2)/$Q$2))</f>
        <v>5918.00286782552</v>
      </c>
      <c r="N495" s="15" t="n">
        <f aca="false">M495*(1+IF(N$3&lt;=$O$2,$D495,$D495-($D495-$I$481)*MIN(N$3-$O$2,$Q$2)/$Q$2))</f>
        <v>6055.89233464586</v>
      </c>
      <c r="O495" s="15" t="n">
        <f aca="false">SUMPRODUCT(E495:N495,1/(1+$F$481)^$E$3:$N$3)*$E$2</f>
        <v>12622.9385668282</v>
      </c>
      <c r="P495" s="15" t="n">
        <f aca="false">N495*$E$2*(1+$I$481)/($F$481-$I$481)/(1+$F$481)^$N$3</f>
        <v>13750.2783921969</v>
      </c>
      <c r="Q495" s="15" t="n">
        <f aca="false">O495+P495</f>
        <v>26373.2169590251</v>
      </c>
      <c r="R495" s="15" t="n">
        <f aca="false">Q495-$G$2+$I$2</f>
        <v>19028.0169590251</v>
      </c>
      <c r="S495" s="42" t="n">
        <f aca="false">R495/$K$2</f>
        <v>81.0910588494569</v>
      </c>
      <c r="T495" s="43" t="n">
        <f aca="false">S495-$M$2</f>
        <v>0.076782267313277</v>
      </c>
    </row>
    <row r="496" customFormat="false" ht="15" hidden="false" customHeight="false" outlineLevel="0" collapsed="false">
      <c r="A496" s="5" t="n">
        <v>14</v>
      </c>
      <c r="B496" s="25" t="n">
        <f aca="false">IF(T495&gt;0,B495,D495)</f>
        <v>-0.0213623046875</v>
      </c>
      <c r="C496" s="25" t="n">
        <f aca="false">IF(T495&gt;0,D495,C495)</f>
        <v>-0.02117919921875</v>
      </c>
      <c r="D496" s="41" t="n">
        <f aca="false">(B496+C496)/2</f>
        <v>-0.021270751953125</v>
      </c>
      <c r="E496" s="15" t="n">
        <f aca="false">$C$2*(1+IF(E$3&lt;=$O$2,$D496,$D496-($D496-$I$481)*MIN(E$3-$O$2,$Q$2)/$Q$2))</f>
        <v>6420.4638671875</v>
      </c>
      <c r="F496" s="15" t="n">
        <f aca="false">E496*(1+IF(F$3&lt;=$O$2,$D496,$D496-($D496-$I$481)*MIN(F$3-$O$2,$Q$2)/$Q$2))</f>
        <v>6283.89577284455</v>
      </c>
      <c r="G496" s="15" t="n">
        <f aca="false">F496*(1+IF(G$3&lt;=$O$2,$D496,$D496-($D496-$I$481)*MIN(G$3-$O$2,$Q$2)/$Q$2))</f>
        <v>6150.23258456109</v>
      </c>
      <c r="H496" s="15" t="n">
        <f aca="false">G496*(1+IF(H$3&lt;=$O$2,$D496,$D496-($D496-$I$481)*MIN(H$3-$O$2,$Q$2)/$Q$2))</f>
        <v>6019.41251280086</v>
      </c>
      <c r="I496" s="15" t="n">
        <f aca="false">H496*(1+IF(I$3&lt;=$O$2,$D496,$D496-($D496-$I$481)*MIN(I$3-$O$2,$Q$2)/$Q$2))</f>
        <v>5891.37508233754</v>
      </c>
      <c r="J496" s="15" t="n">
        <f aca="false">I496*(1+IF(J$3&lt;=$O$2,$D496,$D496-($D496-$I$481)*MIN(J$3-$O$2,$Q$2)/$Q$2))</f>
        <v>5818.57770778985</v>
      </c>
      <c r="K496" s="15" t="n">
        <f aca="false">J496*(1+IF(K$3&lt;=$O$2,$D496,$D496-($D496-$I$481)*MIN(K$3-$O$2,$Q$2)/$Q$2))</f>
        <v>5798.54753814102</v>
      </c>
      <c r="L496" s="15" t="n">
        <f aca="false">K496*(1+IF(L$3&lt;=$O$2,$D496,$D496-($D496-$I$481)*MIN(L$3-$O$2,$Q$2)/$Q$2))</f>
        <v>5830.27544617536</v>
      </c>
      <c r="M496" s="15" t="n">
        <f aca="false">L496*(1+IF(M$3&lt;=$O$2,$D496,$D496-($D496-$I$481)*MIN(M$3-$O$2,$Q$2)/$Q$2))</f>
        <v>5914.14891192527</v>
      </c>
      <c r="N496" s="15" t="n">
        <f aca="false">M496*(1+IF(N$3&lt;=$O$2,$D496,$D496-($D496-$I$481)*MIN(N$3-$O$2,$Q$2)/$Q$2))</f>
        <v>6051.94858157312</v>
      </c>
      <c r="O496" s="15" t="n">
        <f aca="false">SUMPRODUCT(E496:N496,1/(1+$F$481)^$E$3:$N$3)*$E$2</f>
        <v>12617.9380610718</v>
      </c>
      <c r="P496" s="15" t="n">
        <f aca="false">N496*$E$2*(1+$I$481)/($F$481-$I$481)/(1+$F$481)^$N$3</f>
        <v>13741.3238567356</v>
      </c>
      <c r="Q496" s="15" t="n">
        <f aca="false">O496+P496</f>
        <v>26359.2619178075</v>
      </c>
      <c r="R496" s="15" t="n">
        <f aca="false">Q496-$G$2+$I$2</f>
        <v>19014.0619178075</v>
      </c>
      <c r="S496" s="42" t="n">
        <f aca="false">R496/$K$2</f>
        <v>81.0315871204238</v>
      </c>
      <c r="T496" s="43" t="n">
        <f aca="false">S496-$M$2</f>
        <v>0.0173105382802135</v>
      </c>
    </row>
    <row r="497" customFormat="false" ht="15" hidden="false" customHeight="false" outlineLevel="0" collapsed="false">
      <c r="A497" s="5" t="n">
        <v>15</v>
      </c>
      <c r="B497" s="25" t="n">
        <f aca="false">IF(T496&gt;0,B496,D496)</f>
        <v>-0.0213623046875</v>
      </c>
      <c r="C497" s="25" t="n">
        <f aca="false">IF(T496&gt;0,D496,C496)</f>
        <v>-0.021270751953125</v>
      </c>
      <c r="D497" s="41" t="n">
        <f aca="false">(B497+C497)/2</f>
        <v>-0.0213165283203125</v>
      </c>
      <c r="E497" s="15" t="n">
        <f aca="false">$C$2*(1+IF(E$3&lt;=$O$2,$D497,$D497-($D497-$I$481)*MIN(E$3-$O$2,$Q$2)/$Q$2))</f>
        <v>6420.16357421875</v>
      </c>
      <c r="F497" s="15" t="n">
        <f aca="false">E497*(1+IF(F$3&lt;=$O$2,$D497,$D497-($D497-$I$481)*MIN(F$3-$O$2,$Q$2)/$Q$2))</f>
        <v>6283.30797556788</v>
      </c>
      <c r="G497" s="15" t="n">
        <f aca="false">F497*(1+IF(G$3&lt;=$O$2,$D497,$D497-($D497-$I$481)*MIN(G$3-$O$2,$Q$2)/$Q$2))</f>
        <v>6149.36966316144</v>
      </c>
      <c r="H497" s="15" t="n">
        <f aca="false">G497*(1+IF(H$3&lt;=$O$2,$D497,$D497-($D497-$I$481)*MIN(H$3-$O$2,$Q$2)/$Q$2))</f>
        <v>6018.28645058459</v>
      </c>
      <c r="I497" s="15" t="n">
        <f aca="false">H497*(1+IF(I$3&lt;=$O$2,$D497,$D497-($D497-$I$481)*MIN(I$3-$O$2,$Q$2)/$Q$2))</f>
        <v>5889.99747702095</v>
      </c>
      <c r="J497" s="15" t="n">
        <f aca="false">I497*(1+IF(J$3&lt;=$O$2,$D497,$D497-($D497-$I$481)*MIN(J$3-$O$2,$Q$2)/$Q$2))</f>
        <v>5817.00142684348</v>
      </c>
      <c r="K497" s="15" t="n">
        <f aca="false">J497*(1+IF(K$3&lt;=$O$2,$D497,$D497-($D497-$I$481)*MIN(K$3-$O$2,$Q$2)/$Q$2))</f>
        <v>5796.8169147489</v>
      </c>
      <c r="L497" s="15" t="n">
        <f aca="false">K497*(1+IF(L$3&lt;=$O$2,$D497,$D497-($D497-$I$481)*MIN(L$3-$O$2,$Q$2)/$Q$2))</f>
        <v>5828.42921044472</v>
      </c>
      <c r="M497" s="15" t="n">
        <f aca="false">L497*(1+IF(M$3&lt;=$O$2,$D497,$D497-($D497-$I$481)*MIN(M$3-$O$2,$Q$2)/$Q$2))</f>
        <v>5912.22275566194</v>
      </c>
      <c r="N497" s="15" t="n">
        <f aca="false">M497*(1+IF(N$3&lt;=$O$2,$D497,$D497-($D497-$I$481)*MIN(N$3-$O$2,$Q$2)/$Q$2))</f>
        <v>6049.97754586886</v>
      </c>
      <c r="O497" s="15" t="n">
        <f aca="false">SUMPRODUCT(E497:N497,1/(1+$F$481)^$E$3:$N$3)*$E$2</f>
        <v>12615.438574885</v>
      </c>
      <c r="P497" s="15" t="n">
        <f aca="false">N497*$E$2*(1+$I$481)/($F$481-$I$481)/(1+$F$481)^$N$3</f>
        <v>13736.8484981663</v>
      </c>
      <c r="Q497" s="15" t="n">
        <f aca="false">O497+P497</f>
        <v>26352.2870730513</v>
      </c>
      <c r="R497" s="15" t="n">
        <f aca="false">Q497-$G$2+$I$2</f>
        <v>19007.0870730513</v>
      </c>
      <c r="S497" s="42" t="n">
        <f aca="false">R497/$K$2</f>
        <v>81.0018626594984</v>
      </c>
      <c r="T497" s="43" t="n">
        <f aca="false">S497-$M$2</f>
        <v>-0.0124139226451803</v>
      </c>
    </row>
    <row r="498" customFormat="false" ht="15" hidden="false" customHeight="false" outlineLevel="0" collapsed="false">
      <c r="A498" s="5" t="n">
        <v>16</v>
      </c>
      <c r="B498" s="25" t="n">
        <f aca="false">IF(T497&gt;0,B497,D497)</f>
        <v>-0.0213165283203125</v>
      </c>
      <c r="C498" s="25" t="n">
        <f aca="false">IF(T497&gt;0,D497,C497)</f>
        <v>-0.021270751953125</v>
      </c>
      <c r="D498" s="41" t="n">
        <f aca="false">(B498+C498)/2</f>
        <v>-0.0212936401367188</v>
      </c>
      <c r="E498" s="15" t="n">
        <f aca="false">$C$2*(1+IF(E$3&lt;=$O$2,$D498,$D498-($D498-$I$481)*MIN(E$3-$O$2,$Q$2)/$Q$2))</f>
        <v>6420.31372070313</v>
      </c>
      <c r="F498" s="15" t="n">
        <f aca="false">E498*(1+IF(F$3&lt;=$O$2,$D498,$D498-($D498-$I$481)*MIN(F$3-$O$2,$Q$2)/$Q$2))</f>
        <v>6283.60187076964</v>
      </c>
      <c r="G498" s="15" t="n">
        <f aca="false">F498*(1+IF(G$3&lt;=$O$2,$D498,$D498-($D498-$I$481)*MIN(G$3-$O$2,$Q$2)/$Q$2))</f>
        <v>6149.80111377105</v>
      </c>
      <c r="H498" s="15" t="n">
        <f aca="false">G498*(1+IF(H$3&lt;=$O$2,$D498,$D498-($D498-$I$481)*MIN(H$3-$O$2,$Q$2)/$Q$2))</f>
        <v>6018.84946194202</v>
      </c>
      <c r="I498" s="15" t="n">
        <f aca="false">H498*(1+IF(I$3&lt;=$O$2,$D498,$D498-($D498-$I$481)*MIN(I$3-$O$2,$Q$2)/$Q$2))</f>
        <v>5890.68624746234</v>
      </c>
      <c r="J498" s="15" t="n">
        <f aca="false">I498*(1+IF(J$3&lt;=$O$2,$D498,$D498-($D498-$I$481)*MIN(J$3-$O$2,$Q$2)/$Q$2))</f>
        <v>5817.78952288609</v>
      </c>
      <c r="K498" s="15" t="n">
        <f aca="false">J498*(1+IF(K$3&lt;=$O$2,$D498,$D498-($D498-$I$481)*MIN(K$3-$O$2,$Q$2)/$Q$2))</f>
        <v>5797.68217134449</v>
      </c>
      <c r="L498" s="15" t="n">
        <f aca="false">K498*(1+IF(L$3&lt;=$O$2,$D498,$D498-($D498-$I$481)*MIN(L$3-$O$2,$Q$2)/$Q$2))</f>
        <v>5829.35226498641</v>
      </c>
      <c r="M498" s="15" t="n">
        <f aca="false">L498*(1+IF(M$3&lt;=$O$2,$D498,$D498-($D498-$I$481)*MIN(M$3-$O$2,$Q$2)/$Q$2))</f>
        <v>5913.1857653336</v>
      </c>
      <c r="N498" s="15" t="n">
        <f aca="false">M498*(1+IF(N$3&lt;=$O$2,$D498,$D498-($D498-$I$481)*MIN(N$3-$O$2,$Q$2)/$Q$2))</f>
        <v>6050.96299366587</v>
      </c>
      <c r="O498" s="15" t="n">
        <f aca="false">SUMPRODUCT(E498:N498,1/(1+$F$481)^$E$3:$N$3)*$E$2</f>
        <v>12616.6882540979</v>
      </c>
      <c r="P498" s="15" t="n">
        <f aca="false">N498*$E$2*(1+$I$481)/($F$481-$I$481)/(1+$F$481)^$N$3</f>
        <v>13739.0860183865</v>
      </c>
      <c r="Q498" s="15" t="n">
        <f aca="false">O498+P498</f>
        <v>26355.7742724844</v>
      </c>
      <c r="R498" s="15" t="n">
        <f aca="false">Q498-$G$2+$I$2</f>
        <v>19010.5742724843</v>
      </c>
      <c r="S498" s="42" t="n">
        <f aca="false">R498/$K$2</f>
        <v>81.0167239398438</v>
      </c>
      <c r="T498" s="43" t="n">
        <f aca="false">S498-$M$2</f>
        <v>0.00244735770017712</v>
      </c>
    </row>
    <row r="499" customFormat="false" ht="15" hidden="false" customHeight="false" outlineLevel="0" collapsed="false">
      <c r="A499" s="5" t="n">
        <v>17</v>
      </c>
      <c r="B499" s="25" t="n">
        <f aca="false">IF(T498&gt;0,B498,D498)</f>
        <v>-0.0213165283203125</v>
      </c>
      <c r="C499" s="25" t="n">
        <f aca="false">IF(T498&gt;0,D498,C498)</f>
        <v>-0.0212936401367188</v>
      </c>
      <c r="D499" s="41" t="n">
        <f aca="false">(B499+C499)/2</f>
        <v>-0.0213050842285156</v>
      </c>
      <c r="E499" s="15" t="n">
        <f aca="false">$C$2*(1+IF(E$3&lt;=$O$2,$D499,$D499-($D499-$I$481)*MIN(E$3-$O$2,$Q$2)/$Q$2))</f>
        <v>6420.23864746094</v>
      </c>
      <c r="F499" s="15" t="n">
        <f aca="false">E499*(1+IF(F$3&lt;=$O$2,$D499,$D499-($D499-$I$481)*MIN(F$3-$O$2,$Q$2)/$Q$2))</f>
        <v>6283.45492230961</v>
      </c>
      <c r="G499" s="15" t="n">
        <f aca="false">F499*(1+IF(G$3&lt;=$O$2,$D499,$D499-($D499-$I$481)*MIN(G$3-$O$2,$Q$2)/$Q$2))</f>
        <v>6149.58538594372</v>
      </c>
      <c r="H499" s="15" t="n">
        <f aca="false">G499*(1+IF(H$3&lt;=$O$2,$D499,$D499-($D499-$I$481)*MIN(H$3-$O$2,$Q$2)/$Q$2))</f>
        <v>6018.56795132574</v>
      </c>
      <c r="I499" s="15" t="n">
        <f aca="false">H499*(1+IF(I$3&lt;=$O$2,$D499,$D499-($D499-$I$481)*MIN(I$3-$O$2,$Q$2)/$Q$2))</f>
        <v>5890.3418541877</v>
      </c>
      <c r="J499" s="15" t="n">
        <f aca="false">I499*(1+IF(J$3&lt;=$O$2,$D499,$D499-($D499-$I$481)*MIN(J$3-$O$2,$Q$2)/$Q$2))</f>
        <v>5817.39546375764</v>
      </c>
      <c r="K499" s="15" t="n">
        <f aca="false">J499*(1+IF(K$3&lt;=$O$2,$D499,$D499-($D499-$I$481)*MIN(K$3-$O$2,$Q$2)/$Q$2))</f>
        <v>5797.2495292723</v>
      </c>
      <c r="L499" s="15" t="n">
        <f aca="false">K499*(1+IF(L$3&lt;=$O$2,$D499,$D499-($D499-$I$481)*MIN(L$3-$O$2,$Q$2)/$Q$2))</f>
        <v>5828.89072188558</v>
      </c>
      <c r="M499" s="15" t="n">
        <f aca="false">L499*(1+IF(M$3&lt;=$O$2,$D499,$D499-($D499-$I$481)*MIN(M$3-$O$2,$Q$2)/$Q$2))</f>
        <v>5912.70424338381</v>
      </c>
      <c r="N499" s="15" t="n">
        <f aca="false">M499*(1+IF(N$3&lt;=$O$2,$D499,$D499-($D499-$I$481)*MIN(N$3-$O$2,$Q$2)/$Q$2))</f>
        <v>6050.47025225465</v>
      </c>
      <c r="O499" s="15" t="n">
        <f aca="false">SUMPRODUCT(E499:N499,1/(1+$F$481)^$E$3:$N$3)*$E$2</f>
        <v>12616.0633985221</v>
      </c>
      <c r="P499" s="15" t="n">
        <f aca="false">N499*$E$2*(1+$I$481)/($F$481-$I$481)/(1+$F$481)^$N$3</f>
        <v>13737.9672185127</v>
      </c>
      <c r="Q499" s="15" t="n">
        <f aca="false">O499+P499</f>
        <v>26354.0306170348</v>
      </c>
      <c r="R499" s="15" t="n">
        <f aca="false">Q499-$G$2+$I$2</f>
        <v>19008.8306170348</v>
      </c>
      <c r="S499" s="42" t="n">
        <f aca="false">R499/$K$2</f>
        <v>81.0092930621554</v>
      </c>
      <c r="T499" s="43" t="n">
        <f aca="false">S499-$M$2</f>
        <v>-0.00498351998820112</v>
      </c>
    </row>
    <row r="500" customFormat="false" ht="15" hidden="false" customHeight="false" outlineLevel="0" collapsed="false">
      <c r="A500" s="5" t="n">
        <v>18</v>
      </c>
      <c r="B500" s="25" t="n">
        <f aca="false">IF(T499&gt;0,B499,D499)</f>
        <v>-0.0213050842285156</v>
      </c>
      <c r="C500" s="25" t="n">
        <f aca="false">IF(T499&gt;0,D499,C499)</f>
        <v>-0.0212936401367188</v>
      </c>
      <c r="D500" s="41" t="n">
        <f aca="false">(B500+C500)/2</f>
        <v>-0.0212993621826172</v>
      </c>
      <c r="E500" s="15" t="n">
        <f aca="false">$C$2*(1+IF(E$3&lt;=$O$2,$D500,$D500-($D500-$I$481)*MIN(E$3-$O$2,$Q$2)/$Q$2))</f>
        <v>6420.27618408203</v>
      </c>
      <c r="F500" s="15" t="n">
        <f aca="false">E500*(1+IF(F$3&lt;=$O$2,$D500,$D500-($D500-$I$481)*MIN(F$3-$O$2,$Q$2)/$Q$2))</f>
        <v>6283.52839632484</v>
      </c>
      <c r="G500" s="15" t="n">
        <f aca="false">F500*(1+IF(G$3&lt;=$O$2,$D500,$D500-($D500-$I$481)*MIN(G$3-$O$2,$Q$2)/$Q$2))</f>
        <v>6149.69324922675</v>
      </c>
      <c r="H500" s="15" t="n">
        <f aca="false">G500*(1+IF(H$3&lt;=$O$2,$D500,$D500-($D500-$I$481)*MIN(H$3-$O$2,$Q$2)/$Q$2))</f>
        <v>6018.70870539948</v>
      </c>
      <c r="I500" s="15" t="n">
        <f aca="false">H500*(1+IF(I$3&lt;=$O$2,$D500,$D500-($D500-$I$481)*MIN(I$3-$O$2,$Q$2)/$Q$2))</f>
        <v>5890.5140488115</v>
      </c>
      <c r="J500" s="15" t="n">
        <f aca="false">I500*(1+IF(J$3&lt;=$O$2,$D500,$D500-($D500-$I$481)*MIN(J$3-$O$2,$Q$2)/$Q$2))</f>
        <v>5817.59249054502</v>
      </c>
      <c r="K500" s="15" t="n">
        <f aca="false">J500*(1+IF(K$3&lt;=$O$2,$D500,$D500-($D500-$I$481)*MIN(K$3-$O$2,$Q$2)/$Q$2))</f>
        <v>5797.4658468647</v>
      </c>
      <c r="L500" s="15" t="n">
        <f aca="false">K500*(1+IF(L$3&lt;=$O$2,$D500,$D500-($D500-$I$481)*MIN(L$3-$O$2,$Q$2)/$Q$2))</f>
        <v>5829.12148947838</v>
      </c>
      <c r="M500" s="15" t="n">
        <f aca="false">L500*(1+IF(M$3&lt;=$O$2,$D500,$D500-($D500-$I$481)*MIN(M$3-$O$2,$Q$2)/$Q$2))</f>
        <v>5912.94500008008</v>
      </c>
      <c r="N500" s="15" t="n">
        <f aca="false">M500*(1+IF(N$3&lt;=$O$2,$D500,$D500-($D500-$I$481)*MIN(N$3-$O$2,$Q$2)/$Q$2))</f>
        <v>6050.71661858195</v>
      </c>
      <c r="O500" s="15" t="n">
        <f aca="false">SUMPRODUCT(E500:N500,1/(1+$F$481)^$E$3:$N$3)*$E$2</f>
        <v>12616.3758223175</v>
      </c>
      <c r="P500" s="15" t="n">
        <f aca="false">N500*$E$2*(1+$I$481)/($F$481-$I$481)/(1+$F$481)^$N$3</f>
        <v>13738.5266085084</v>
      </c>
      <c r="Q500" s="15" t="n">
        <f aca="false">O500+P500</f>
        <v>26354.9024308259</v>
      </c>
      <c r="R500" s="15" t="n">
        <f aca="false">Q500-$G$2+$I$2</f>
        <v>19009.7024308259</v>
      </c>
      <c r="S500" s="42" t="n">
        <f aca="false">R500/$K$2</f>
        <v>81.013008441619</v>
      </c>
      <c r="T500" s="43" t="n">
        <f aca="false">S500-$M$2</f>
        <v>-0.00126814052465818</v>
      </c>
    </row>
    <row r="501" customFormat="false" ht="15" hidden="false" customHeight="false" outlineLevel="0" collapsed="false">
      <c r="A501" s="5" t="n">
        <v>19</v>
      </c>
      <c r="B501" s="25" t="n">
        <f aca="false">IF(T500&gt;0,B500,D500)</f>
        <v>-0.0212993621826172</v>
      </c>
      <c r="C501" s="25" t="n">
        <f aca="false">IF(T500&gt;0,D500,C500)</f>
        <v>-0.0212936401367188</v>
      </c>
      <c r="D501" s="41" t="n">
        <f aca="false">(B501+C501)/2</f>
        <v>-0.021296501159668</v>
      </c>
      <c r="E501" s="15" t="n">
        <f aca="false">$C$2*(1+IF(E$3&lt;=$O$2,$D501,$D501-($D501-$I$481)*MIN(E$3-$O$2,$Q$2)/$Q$2))</f>
        <v>6420.29495239258</v>
      </c>
      <c r="F501" s="15" t="n">
        <f aca="false">E501*(1+IF(F$3&lt;=$O$2,$D501,$D501-($D501-$I$481)*MIN(F$3-$O$2,$Q$2)/$Q$2))</f>
        <v>6283.56513349354</v>
      </c>
      <c r="G501" s="15" t="n">
        <f aca="false">F501*(1+IF(G$3&lt;=$O$2,$D501,$D501-($D501-$I$481)*MIN(G$3-$O$2,$Q$2)/$Q$2))</f>
        <v>6149.74718134125</v>
      </c>
      <c r="H501" s="15" t="n">
        <f aca="false">G501*(1+IF(H$3&lt;=$O$2,$D501,$D501-($D501-$I$481)*MIN(H$3-$O$2,$Q$2)/$Q$2))</f>
        <v>6018.77908336215</v>
      </c>
      <c r="I501" s="15" t="n">
        <f aca="false">H501*(1+IF(I$3&lt;=$O$2,$D501,$D501-($D501-$I$481)*MIN(I$3-$O$2,$Q$2)/$Q$2))</f>
        <v>5890.60014763354</v>
      </c>
      <c r="J501" s="15" t="n">
        <f aca="false">I501*(1+IF(J$3&lt;=$O$2,$D501,$D501-($D501-$I$481)*MIN(J$3-$O$2,$Q$2)/$Q$2))</f>
        <v>5817.69100602134</v>
      </c>
      <c r="K501" s="15" t="n">
        <f aca="false">J501*(1+IF(K$3&lt;=$O$2,$D501,$D501-($D501-$I$481)*MIN(K$3-$O$2,$Q$2)/$Q$2))</f>
        <v>5797.57400824366</v>
      </c>
      <c r="L501" s="15" t="n">
        <f aca="false">K501*(1+IF(L$3&lt;=$O$2,$D501,$D501-($D501-$I$481)*MIN(L$3-$O$2,$Q$2)/$Q$2))</f>
        <v>5829.23687624298</v>
      </c>
      <c r="M501" s="15" t="n">
        <f aca="false">L501*(1+IF(M$3&lt;=$O$2,$D501,$D501-($D501-$I$481)*MIN(M$3-$O$2,$Q$2)/$Q$2))</f>
        <v>5913.06538163717</v>
      </c>
      <c r="N501" s="15" t="n">
        <f aca="false">M501*(1+IF(N$3&lt;=$O$2,$D501,$D501-($D501-$I$481)*MIN(N$3-$O$2,$Q$2)/$Q$2))</f>
        <v>6050.83980502932</v>
      </c>
      <c r="O501" s="15" t="n">
        <f aca="false">SUMPRODUCT(E501:N501,1/(1+$F$481)^$E$3:$N$3)*$E$2</f>
        <v>12616.5320372096</v>
      </c>
      <c r="P501" s="15" t="n">
        <f aca="false">N501*$E$2*(1+$I$481)/($F$481-$I$481)/(1+$F$481)^$N$3</f>
        <v>13738.8063109621</v>
      </c>
      <c r="Q501" s="15" t="n">
        <f aca="false">O501+P501</f>
        <v>26355.3383481717</v>
      </c>
      <c r="R501" s="15" t="n">
        <f aca="false">Q501-$G$2+$I$2</f>
        <v>19010.1383481717</v>
      </c>
      <c r="S501" s="42" t="n">
        <f aca="false">R501/$K$2</f>
        <v>81.014866175886</v>
      </c>
      <c r="T501" s="43" t="n">
        <f aca="false">S501-$M$2</f>
        <v>0.000589593742390093</v>
      </c>
    </row>
    <row r="502" customFormat="false" ht="15" hidden="false" customHeight="false" outlineLevel="0" collapsed="false">
      <c r="A502" s="5" t="n">
        <v>20</v>
      </c>
      <c r="B502" s="25" t="n">
        <f aca="false">IF(T501&gt;0,B501,D501)</f>
        <v>-0.0212993621826172</v>
      </c>
      <c r="C502" s="25" t="n">
        <f aca="false">IF(T501&gt;0,D501,C501)</f>
        <v>-0.021296501159668</v>
      </c>
      <c r="D502" s="41" t="n">
        <f aca="false">(B502+C502)/2</f>
        <v>-0.0212979316711426</v>
      </c>
      <c r="E502" s="15" t="n">
        <f aca="false">$C$2*(1+IF(E$3&lt;=$O$2,$D502,$D502-($D502-$I$481)*MIN(E$3-$O$2,$Q$2)/$Q$2))</f>
        <v>6420.28556823731</v>
      </c>
      <c r="F502" s="15" t="n">
        <f aca="false">E502*(1+IF(F$3&lt;=$O$2,$D502,$D502-($D502-$I$481)*MIN(F$3-$O$2,$Q$2)/$Q$2))</f>
        <v>6283.54676489576</v>
      </c>
      <c r="G502" s="15" t="n">
        <f aca="false">F502*(1+IF(G$3&lt;=$O$2,$D502,$D502-($D502-$I$481)*MIN(G$3-$O$2,$Q$2)/$Q$2))</f>
        <v>6149.72021524459</v>
      </c>
      <c r="H502" s="15" t="n">
        <f aca="false">G502*(1+IF(H$3&lt;=$O$2,$D502,$D502-($D502-$I$481)*MIN(H$3-$O$2,$Q$2)/$Q$2))</f>
        <v>6018.74389430366</v>
      </c>
      <c r="I502" s="15" t="n">
        <f aca="false">H502*(1+IF(I$3&lt;=$O$2,$D502,$D502-($D502-$I$481)*MIN(I$3-$O$2,$Q$2)/$Q$2))</f>
        <v>5890.55709809668</v>
      </c>
      <c r="J502" s="15" t="n">
        <f aca="false">I502*(1+IF(J$3&lt;=$O$2,$D502,$D502-($D502-$I$481)*MIN(J$3-$O$2,$Q$2)/$Q$2))</f>
        <v>5817.64174810963</v>
      </c>
      <c r="K502" s="15" t="n">
        <f aca="false">J502*(1+IF(K$3&lt;=$O$2,$D502,$D502-($D502-$I$481)*MIN(K$3-$O$2,$Q$2)/$Q$2))</f>
        <v>5797.51992733895</v>
      </c>
      <c r="L502" s="15" t="n">
        <f aca="false">K502*(1+IF(L$3&lt;=$O$2,$D502,$D502-($D502-$I$481)*MIN(L$3-$O$2,$Q$2)/$Q$2))</f>
        <v>5829.17918261333</v>
      </c>
      <c r="M502" s="15" t="n">
        <f aca="false">L502*(1+IF(M$3&lt;=$O$2,$D502,$D502-($D502-$I$481)*MIN(M$3-$O$2,$Q$2)/$Q$2))</f>
        <v>5913.00519059121</v>
      </c>
      <c r="N502" s="15" t="n">
        <f aca="false">M502*(1+IF(N$3&lt;=$O$2,$D502,$D502-($D502-$I$481)*MIN(N$3-$O$2,$Q$2)/$Q$2))</f>
        <v>6050.77821153199</v>
      </c>
      <c r="O502" s="15" t="n">
        <f aca="false">SUMPRODUCT(E502:N502,1/(1+$F$481)^$E$3:$N$3)*$E$2</f>
        <v>12616.453929514</v>
      </c>
      <c r="P502" s="15" t="n">
        <f aca="false">N502*$E$2*(1+$I$481)/($F$481-$I$481)/(1+$F$481)^$N$3</f>
        <v>13738.6664591139</v>
      </c>
      <c r="Q502" s="15" t="n">
        <f aca="false">O502+P502</f>
        <v>26355.1203886279</v>
      </c>
      <c r="R502" s="15" t="n">
        <f aca="false">Q502-$G$2+$I$2</f>
        <v>19009.9203886279</v>
      </c>
      <c r="S502" s="42" t="n">
        <f aca="false">R502/$K$2</f>
        <v>81.0139373050412</v>
      </c>
      <c r="T502" s="43" t="n">
        <f aca="false">S502-$M$2</f>
        <v>-0.000339277102426649</v>
      </c>
    </row>
    <row r="503" customFormat="false" ht="15" hidden="false" customHeight="false" outlineLevel="0" collapsed="false">
      <c r="A503" s="5" t="n">
        <v>21</v>
      </c>
      <c r="B503" s="25" t="n">
        <f aca="false">IF(T502&gt;0,B502,D502)</f>
        <v>-0.0212979316711426</v>
      </c>
      <c r="C503" s="25" t="n">
        <f aca="false">IF(T502&gt;0,D502,C502)</f>
        <v>-0.021296501159668</v>
      </c>
      <c r="D503" s="41" t="n">
        <f aca="false">(B503+C503)/2</f>
        <v>-0.0212972164154053</v>
      </c>
      <c r="E503" s="15" t="n">
        <f aca="false">$C$2*(1+IF(E$3&lt;=$O$2,$D503,$D503-($D503-$I$481)*MIN(E$3-$O$2,$Q$2)/$Q$2))</f>
        <v>6420.29026031494</v>
      </c>
      <c r="F503" s="15" t="n">
        <f aca="false">E503*(1+IF(F$3&lt;=$O$2,$D503,$D503-($D503-$I$481)*MIN(F$3-$O$2,$Q$2)/$Q$2))</f>
        <v>6283.5559491913</v>
      </c>
      <c r="G503" s="15" t="n">
        <f aca="false">F503*(1+IF(G$3&lt;=$O$2,$D503,$D503-($D503-$I$481)*MIN(G$3-$O$2,$Q$2)/$Q$2))</f>
        <v>6149.73369828306</v>
      </c>
      <c r="H503" s="15" t="n">
        <f aca="false">G503*(1+IF(H$3&lt;=$O$2,$D503,$D503-($D503-$I$481)*MIN(H$3-$O$2,$Q$2)/$Q$2))</f>
        <v>6018.76148881362</v>
      </c>
      <c r="I503" s="15" t="n">
        <f aca="false">H503*(1+IF(I$3&lt;=$O$2,$D503,$D503-($D503-$I$481)*MIN(I$3-$O$2,$Q$2)/$Q$2))</f>
        <v>5890.57862283365</v>
      </c>
      <c r="J503" s="15" t="n">
        <f aca="false">I503*(1+IF(J$3&lt;=$O$2,$D503,$D503-($D503-$I$481)*MIN(J$3-$O$2,$Q$2)/$Q$2))</f>
        <v>5817.66637702209</v>
      </c>
      <c r="K503" s="15" t="n">
        <f aca="false">J503*(1+IF(K$3&lt;=$O$2,$D503,$D503-($D503-$I$481)*MIN(K$3-$O$2,$Q$2)/$Q$2))</f>
        <v>5797.5469677375</v>
      </c>
      <c r="L503" s="15" t="n">
        <f aca="false">K503*(1+IF(L$3&lt;=$O$2,$D503,$D503-($D503-$I$481)*MIN(L$3-$O$2,$Q$2)/$Q$2))</f>
        <v>5829.20802936632</v>
      </c>
      <c r="M503" s="15" t="n">
        <f aca="false">L503*(1+IF(M$3&lt;=$O$2,$D503,$D503-($D503-$I$481)*MIN(M$3-$O$2,$Q$2)/$Q$2))</f>
        <v>5913.03528604734</v>
      </c>
      <c r="N503" s="15" t="n">
        <f aca="false">M503*(1+IF(N$3&lt;=$O$2,$D503,$D503-($D503-$I$481)*MIN(N$3-$O$2,$Q$2)/$Q$2))</f>
        <v>6050.80900821224</v>
      </c>
      <c r="O503" s="15" t="n">
        <f aca="false">SUMPRODUCT(E503:N503,1/(1+$F$481)^$E$3:$N$3)*$E$2</f>
        <v>12616.4929832994</v>
      </c>
      <c r="P503" s="15" t="n">
        <f aca="false">N503*$E$2*(1+$I$481)/($F$481-$I$481)/(1+$F$481)^$N$3</f>
        <v>13738.7363848827</v>
      </c>
      <c r="Q503" s="15" t="n">
        <f aca="false">O503+P503</f>
        <v>26355.2293681821</v>
      </c>
      <c r="R503" s="15" t="n">
        <f aca="false">Q503-$G$2+$I$2</f>
        <v>19010.0293681821</v>
      </c>
      <c r="S503" s="42" t="n">
        <f aca="false">R503/$K$2</f>
        <v>81.0144017395358</v>
      </c>
      <c r="T503" s="43" t="n">
        <f aca="false">S503-$M$2</f>
        <v>0.000125157392133701</v>
      </c>
    </row>
    <row r="504" customFormat="false" ht="15" hidden="false" customHeight="false" outlineLevel="0" collapsed="false">
      <c r="A504" s="5" t="n">
        <v>22</v>
      </c>
      <c r="B504" s="25" t="n">
        <f aca="false">IF(T503&gt;0,B503,D503)</f>
        <v>-0.0212979316711426</v>
      </c>
      <c r="C504" s="25" t="n">
        <f aca="false">IF(T503&gt;0,D503,C503)</f>
        <v>-0.0212972164154053</v>
      </c>
      <c r="D504" s="41" t="n">
        <f aca="false">(B504+C504)/2</f>
        <v>-0.0212975740432739</v>
      </c>
      <c r="E504" s="15" t="n">
        <f aca="false">$C$2*(1+IF(E$3&lt;=$O$2,$D504,$D504-($D504-$I$481)*MIN(E$3-$O$2,$Q$2)/$Q$2))</f>
        <v>6420.28791427612</v>
      </c>
      <c r="F504" s="15" t="n">
        <f aca="false">E504*(1+IF(F$3&lt;=$O$2,$D504,$D504-($D504-$I$481)*MIN(F$3-$O$2,$Q$2)/$Q$2))</f>
        <v>6283.55135704269</v>
      </c>
      <c r="G504" s="15" t="n">
        <f aca="false">F504*(1+IF(G$3&lt;=$O$2,$D504,$D504-($D504-$I$481)*MIN(G$3-$O$2,$Q$2)/$Q$2))</f>
        <v>6149.72695676136</v>
      </c>
      <c r="H504" s="15" t="n">
        <f aca="false">G504*(1+IF(H$3&lt;=$O$2,$D504,$D504-($D504-$I$481)*MIN(H$3-$O$2,$Q$2)/$Q$2))</f>
        <v>6018.75269155382</v>
      </c>
      <c r="I504" s="15" t="n">
        <f aca="false">H504*(1+IF(I$3&lt;=$O$2,$D504,$D504-($D504-$I$481)*MIN(I$3-$O$2,$Q$2)/$Q$2))</f>
        <v>5890.5678604573</v>
      </c>
      <c r="J504" s="15" t="n">
        <f aca="false">I504*(1+IF(J$3&lt;=$O$2,$D504,$D504-($D504-$I$481)*MIN(J$3-$O$2,$Q$2)/$Q$2))</f>
        <v>5817.65406255501</v>
      </c>
      <c r="K504" s="15" t="n">
        <f aca="false">J504*(1+IF(K$3&lt;=$O$2,$D504,$D504-($D504-$I$481)*MIN(K$3-$O$2,$Q$2)/$Q$2))</f>
        <v>5797.53344752477</v>
      </c>
      <c r="L504" s="15" t="n">
        <f aca="false">K504*(1+IF(L$3&lt;=$O$2,$D504,$D504-($D504-$I$481)*MIN(L$3-$O$2,$Q$2)/$Q$2))</f>
        <v>5829.19360597436</v>
      </c>
      <c r="M504" s="15" t="n">
        <f aca="false">L504*(1+IF(M$3&lt;=$O$2,$D504,$D504-($D504-$I$481)*MIN(M$3-$O$2,$Q$2)/$Q$2))</f>
        <v>5913.02023830256</v>
      </c>
      <c r="N504" s="15" t="n">
        <f aca="false">M504*(1+IF(N$3&lt;=$O$2,$D504,$D504-($D504-$I$481)*MIN(N$3-$O$2,$Q$2)/$Q$2))</f>
        <v>6050.79360985501</v>
      </c>
      <c r="O504" s="15" t="n">
        <f aca="false">SUMPRODUCT(E504:N504,1/(1+$F$481)^$E$3:$N$3)*$E$2</f>
        <v>12616.4734563911</v>
      </c>
      <c r="P504" s="15" t="n">
        <f aca="false">N504*$E$2*(1+$I$481)/($F$481-$I$481)/(1+$F$481)^$N$3</f>
        <v>13738.7014219594</v>
      </c>
      <c r="Q504" s="15" t="n">
        <f aca="false">O504+P504</f>
        <v>26355.1748783506</v>
      </c>
      <c r="R504" s="15" t="n">
        <f aca="false">Q504-$G$2+$I$2</f>
        <v>19009.9748783506</v>
      </c>
      <c r="S504" s="42" t="n">
        <f aca="false">R504/$K$2</f>
        <v>81.0141695220565</v>
      </c>
      <c r="T504" s="43" t="n">
        <f aca="false">S504-$M$2</f>
        <v>-0.00010706008710315</v>
      </c>
    </row>
    <row r="505" customFormat="false" ht="15" hidden="false" customHeight="false" outlineLevel="0" collapsed="false">
      <c r="A505" s="5" t="n">
        <v>23</v>
      </c>
      <c r="B505" s="25" t="n">
        <f aca="false">IF(T504&gt;0,B504,D504)</f>
        <v>-0.0212975740432739</v>
      </c>
      <c r="C505" s="25" t="n">
        <f aca="false">IF(T504&gt;0,D504,C504)</f>
        <v>-0.0212972164154053</v>
      </c>
      <c r="D505" s="41" t="n">
        <f aca="false">(B505+C505)/2</f>
        <v>-0.0212973952293396</v>
      </c>
      <c r="E505" s="15" t="n">
        <f aca="false">$C$2*(1+IF(E$3&lt;=$O$2,$D505,$D505-($D505-$I$481)*MIN(E$3-$O$2,$Q$2)/$Q$2))</f>
        <v>6420.28908729553</v>
      </c>
      <c r="F505" s="15" t="n">
        <f aca="false">E505*(1+IF(F$3&lt;=$O$2,$D505,$D505-($D505-$I$481)*MIN(F$3-$O$2,$Q$2)/$Q$2))</f>
        <v>6283.55365311678</v>
      </c>
      <c r="G505" s="15" t="n">
        <f aca="false">F505*(1+IF(G$3&lt;=$O$2,$D505,$D505-($D505-$I$481)*MIN(G$3-$O$2,$Q$2)/$Q$2))</f>
        <v>6149.73032752159</v>
      </c>
      <c r="H505" s="15" t="n">
        <f aca="false">G505*(1+IF(H$3&lt;=$O$2,$D505,$D505-($D505-$I$481)*MIN(H$3-$O$2,$Q$2)/$Q$2))</f>
        <v>6018.75709018251</v>
      </c>
      <c r="I505" s="15" t="n">
        <f aca="false">H505*(1+IF(I$3&lt;=$O$2,$D505,$D505-($D505-$I$481)*MIN(I$3-$O$2,$Q$2)/$Q$2))</f>
        <v>5890.5732416435</v>
      </c>
      <c r="J505" s="15" t="n">
        <f aca="false">I505*(1+IF(J$3&lt;=$O$2,$D505,$D505-($D505-$I$481)*MIN(J$3-$O$2,$Q$2)/$Q$2))</f>
        <v>5817.66021978584</v>
      </c>
      <c r="K505" s="15" t="n">
        <f aca="false">J505*(1+IF(K$3&lt;=$O$2,$D505,$D505-($D505-$I$481)*MIN(K$3-$O$2,$Q$2)/$Q$2))</f>
        <v>5797.54020762777</v>
      </c>
      <c r="L505" s="15" t="n">
        <f aca="false">K505*(1+IF(L$3&lt;=$O$2,$D505,$D505-($D505-$I$481)*MIN(L$3-$O$2,$Q$2)/$Q$2))</f>
        <v>5829.20081766647</v>
      </c>
      <c r="M505" s="15" t="n">
        <f aca="false">L505*(1+IF(M$3&lt;=$O$2,$D505,$D505-($D505-$I$481)*MIN(M$3-$O$2,$Q$2)/$Q$2))</f>
        <v>5913.02776217077</v>
      </c>
      <c r="N505" s="15" t="n">
        <f aca="false">M505*(1+IF(N$3&lt;=$O$2,$D505,$D505-($D505-$I$481)*MIN(N$3-$O$2,$Q$2)/$Q$2))</f>
        <v>6050.80130902935</v>
      </c>
      <c r="O505" s="15" t="n">
        <f aca="false">SUMPRODUCT(E505:N505,1/(1+$F$481)^$E$3:$N$3)*$E$2</f>
        <v>12616.4832198414</v>
      </c>
      <c r="P505" s="15" t="n">
        <f aca="false">N505*$E$2*(1+$I$481)/($F$481-$I$481)/(1+$F$481)^$N$3</f>
        <v>13738.7189034113</v>
      </c>
      <c r="Q505" s="15" t="n">
        <f aca="false">O505+P505</f>
        <v>26355.2021232527</v>
      </c>
      <c r="R505" s="15" t="n">
        <f aca="false">Q505-$G$2+$I$2</f>
        <v>19010.0021232527</v>
      </c>
      <c r="S505" s="42" t="n">
        <f aca="false">R505/$K$2</f>
        <v>81.0142856307382</v>
      </c>
      <c r="T505" s="43" t="n">
        <f aca="false">S505-$M$2</f>
        <v>9.0485945349883E-006</v>
      </c>
    </row>
    <row r="506" customFormat="false" ht="15" hidden="false" customHeight="false" outlineLevel="0" collapsed="false">
      <c r="A506" s="5" t="n">
        <v>24</v>
      </c>
      <c r="B506" s="25" t="n">
        <f aca="false">IF(T505&gt;0,B505,D505)</f>
        <v>-0.0212975740432739</v>
      </c>
      <c r="C506" s="25" t="n">
        <f aca="false">IF(T505&gt;0,D505,C505)</f>
        <v>-0.0212973952293396</v>
      </c>
      <c r="D506" s="41" t="n">
        <f aca="false">(B506+C506)/2</f>
        <v>-0.0212974846363068</v>
      </c>
      <c r="E506" s="15" t="n">
        <f aca="false">$C$2*(1+IF(E$3&lt;=$O$2,$D506,$D506-($D506-$I$481)*MIN(E$3-$O$2,$Q$2)/$Q$2))</f>
        <v>6420.28850078583</v>
      </c>
      <c r="F506" s="15" t="n">
        <f aca="false">E506*(1+IF(F$3&lt;=$O$2,$D506,$D506-($D506-$I$481)*MIN(F$3-$O$2,$Q$2)/$Q$2))</f>
        <v>6283.55250507968</v>
      </c>
      <c r="G506" s="15" t="n">
        <f aca="false">F506*(1+IF(G$3&lt;=$O$2,$D506,$D506-($D506-$I$481)*MIN(G$3-$O$2,$Q$2)/$Q$2))</f>
        <v>6149.72864214132</v>
      </c>
      <c r="H506" s="15" t="n">
        <f aca="false">G506*(1+IF(H$3&lt;=$O$2,$D506,$D506-($D506-$I$481)*MIN(H$3-$O$2,$Q$2)/$Q$2))</f>
        <v>6018.75489086786</v>
      </c>
      <c r="I506" s="15" t="n">
        <f aca="false">H506*(1+IF(I$3&lt;=$O$2,$D506,$D506-($D506-$I$481)*MIN(I$3-$O$2,$Q$2)/$Q$2))</f>
        <v>5890.57055104991</v>
      </c>
      <c r="J506" s="15" t="n">
        <f aca="false">I506*(1+IF(J$3&lt;=$O$2,$D506,$D506-($D506-$I$481)*MIN(J$3-$O$2,$Q$2)/$Q$2))</f>
        <v>5817.65714116975</v>
      </c>
      <c r="K506" s="15" t="n">
        <f aca="false">J506*(1+IF(K$3&lt;=$O$2,$D506,$D506-($D506-$I$481)*MIN(K$3-$O$2,$Q$2)/$Q$2))</f>
        <v>5797.53682757543</v>
      </c>
      <c r="L506" s="15" t="n">
        <f aca="false">K506*(1+IF(L$3&lt;=$O$2,$D506,$D506-($D506-$I$481)*MIN(L$3-$O$2,$Q$2)/$Q$2))</f>
        <v>5829.19721181945</v>
      </c>
      <c r="M506" s="15" t="n">
        <f aca="false">L506*(1+IF(M$3&lt;=$O$2,$D506,$D506-($D506-$I$481)*MIN(M$3-$O$2,$Q$2)/$Q$2))</f>
        <v>5913.02400023562</v>
      </c>
      <c r="N506" s="15" t="n">
        <f aca="false">M506*(1+IF(N$3&lt;=$O$2,$D506,$D506-($D506-$I$481)*MIN(N$3-$O$2,$Q$2)/$Q$2))</f>
        <v>6050.79745944111</v>
      </c>
      <c r="O506" s="15" t="n">
        <f aca="false">SUMPRODUCT(E506:N506,1/(1+$F$481)^$E$3:$N$3)*$E$2</f>
        <v>12616.4783381153</v>
      </c>
      <c r="P506" s="15" t="n">
        <f aca="false">N506*$E$2*(1+$I$481)/($F$481-$I$481)/(1+$F$481)^$N$3</f>
        <v>13738.710162683</v>
      </c>
      <c r="Q506" s="15" t="n">
        <f aca="false">O506+P506</f>
        <v>26355.1885007982</v>
      </c>
      <c r="R506" s="15" t="n">
        <f aca="false">Q506-$G$2+$I$2</f>
        <v>19009.9885007982</v>
      </c>
      <c r="S506" s="42" t="n">
        <f aca="false">R506/$K$2</f>
        <v>81.0142275763828</v>
      </c>
      <c r="T506" s="43" t="n">
        <f aca="false">S506-$M$2</f>
        <v>-4.90057607862582E-005</v>
      </c>
    </row>
    <row r="508" customFormat="false" ht="15" hidden="false" customHeight="false" outlineLevel="0" collapsed="false">
      <c r="A508" s="38" t="s">
        <v>200</v>
      </c>
      <c r="E508" s="5" t="s">
        <v>11</v>
      </c>
      <c r="F508" s="12" t="n">
        <f aca="false">Sensitivity!$B$13</f>
        <v>0.0862368036285737</v>
      </c>
      <c r="G508" s="5" t="s">
        <v>12</v>
      </c>
      <c r="I508" s="12" t="n">
        <f aca="false">Sensitivity!$E$9</f>
        <v>0.0283</v>
      </c>
    </row>
    <row r="509" customFormat="false" ht="23.85" hidden="false" customHeight="false" outlineLevel="0" collapsed="false">
      <c r="A509" s="38" t="s">
        <v>163</v>
      </c>
      <c r="B509" s="28" t="s">
        <v>164</v>
      </c>
      <c r="C509" s="28" t="s">
        <v>165</v>
      </c>
      <c r="D509" s="28" t="s">
        <v>166</v>
      </c>
      <c r="E509" s="28" t="s">
        <v>167</v>
      </c>
      <c r="F509" s="28" t="s">
        <v>168</v>
      </c>
      <c r="G509" s="28" t="s">
        <v>169</v>
      </c>
      <c r="H509" s="28" t="s">
        <v>170</v>
      </c>
      <c r="I509" s="28" t="s">
        <v>171</v>
      </c>
      <c r="J509" s="28" t="s">
        <v>172</v>
      </c>
      <c r="K509" s="28" t="s">
        <v>173</v>
      </c>
      <c r="L509" s="28" t="s">
        <v>174</v>
      </c>
      <c r="M509" s="28" t="s">
        <v>175</v>
      </c>
      <c r="N509" s="28" t="s">
        <v>176</v>
      </c>
      <c r="O509" s="28" t="s">
        <v>177</v>
      </c>
      <c r="P509" s="28" t="s">
        <v>178</v>
      </c>
      <c r="Q509" s="28" t="s">
        <v>179</v>
      </c>
      <c r="R509" s="28" t="s">
        <v>180</v>
      </c>
      <c r="S509" s="28" t="s">
        <v>181</v>
      </c>
      <c r="T509" s="28" t="s">
        <v>182</v>
      </c>
    </row>
    <row r="510" customFormat="false" ht="15" hidden="false" customHeight="false" outlineLevel="0" collapsed="false">
      <c r="A510" s="5" t="n">
        <v>1</v>
      </c>
      <c r="B510" s="24" t="n">
        <v>-0.5</v>
      </c>
      <c r="C510" s="24" t="n">
        <v>1</v>
      </c>
      <c r="D510" s="41" t="n">
        <f aca="false">(B510+C510)/2</f>
        <v>0.25</v>
      </c>
      <c r="E510" s="15" t="n">
        <f aca="false">$C$2*(1+IF(E$3&lt;=$O$2,$D510,$D510-($D510-$I$508)*MIN(E$3-$O$2,$Q$2)/$Q$2))</f>
        <v>8200</v>
      </c>
      <c r="F510" s="15" t="n">
        <f aca="false">E510*(1+IF(F$3&lt;=$O$2,$D510,$D510-($D510-$I$508)*MIN(F$3-$O$2,$Q$2)/$Q$2))</f>
        <v>10250</v>
      </c>
      <c r="G510" s="15" t="n">
        <f aca="false">F510*(1+IF(G$3&lt;=$O$2,$D510,$D510-($D510-$I$508)*MIN(G$3-$O$2,$Q$2)/$Q$2))</f>
        <v>12812.5</v>
      </c>
      <c r="H510" s="15" t="n">
        <f aca="false">G510*(1+IF(H$3&lt;=$O$2,$D510,$D510-($D510-$I$508)*MIN(H$3-$O$2,$Q$2)/$Q$2))</f>
        <v>16015.625</v>
      </c>
      <c r="I510" s="15" t="n">
        <f aca="false">H510*(1+IF(I$3&lt;=$O$2,$D510,$D510-($D510-$I$508)*MIN(I$3-$O$2,$Q$2)/$Q$2))</f>
        <v>20019.53125</v>
      </c>
      <c r="J510" s="15" t="n">
        <f aca="false">I510*(1+IF(J$3&lt;=$O$2,$D510,$D510-($D510-$I$508)*MIN(J$3-$O$2,$Q$2)/$Q$2))</f>
        <v>24136.748046875</v>
      </c>
      <c r="K510" s="15" t="n">
        <f aca="false">J510*(1+IF(K$3&lt;=$O$2,$D510,$D510-($D510-$I$508)*MIN(K$3-$O$2,$Q$2)/$Q$2))</f>
        <v>28030.4882417969</v>
      </c>
      <c r="L510" s="15" t="n">
        <f aca="false">K510*(1+IF(L$3&lt;=$O$2,$D510,$D510-($D510-$I$508)*MIN(L$3-$O$2,$Q$2)/$Q$2))</f>
        <v>31309.4947563223</v>
      </c>
      <c r="M510" s="15" t="n">
        <f aca="false">L510*(1+IF(M$3&lt;=$O$2,$D510,$D510-($D510-$I$508)*MIN(M$3-$O$2,$Q$2)/$Q$2))</f>
        <v>33583.8164554215</v>
      </c>
      <c r="N510" s="15" t="n">
        <f aca="false">M510*(1+IF(N$3&lt;=$O$2,$D510,$D510-($D510-$I$508)*MIN(N$3-$O$2,$Q$2)/$Q$2))</f>
        <v>34534.23846111</v>
      </c>
      <c r="O510" s="15" t="n">
        <f aca="false">SUMPRODUCT(E510:N510,1/(1+$F$508)^$E$3:$N$3)*$E$2</f>
        <v>41064.8507587077</v>
      </c>
      <c r="P510" s="15" t="n">
        <f aca="false">N510*$E$2*(1+$I$508)/($F$508-$I$508)/(1+$F$508)^$N$3</f>
        <v>85595.3637754229</v>
      </c>
      <c r="Q510" s="15" t="n">
        <f aca="false">O510+P510</f>
        <v>126660.214534131</v>
      </c>
      <c r="R510" s="15" t="n">
        <f aca="false">Q510-$G$2+$I$2</f>
        <v>119315.014534131</v>
      </c>
      <c r="S510" s="42" t="n">
        <f aca="false">R510/$K$2</f>
        <v>508.480777899555</v>
      </c>
      <c r="T510" s="43" t="n">
        <f aca="false">S510-$M$2</f>
        <v>427.466501317412</v>
      </c>
    </row>
    <row r="511" customFormat="false" ht="15" hidden="false" customHeight="false" outlineLevel="0" collapsed="false">
      <c r="A511" s="5" t="n">
        <v>2</v>
      </c>
      <c r="B511" s="25" t="n">
        <f aca="false">IF(T510&gt;0,B510,D510)</f>
        <v>-0.5</v>
      </c>
      <c r="C511" s="25" t="n">
        <f aca="false">IF(T510&gt;0,D510,C510)</f>
        <v>0.25</v>
      </c>
      <c r="D511" s="41" t="n">
        <f aca="false">(B511+C511)/2</f>
        <v>-0.125</v>
      </c>
      <c r="E511" s="15" t="n">
        <f aca="false">$C$2*(1+IF(E$3&lt;=$O$2,$D511,$D511-($D511-$I$508)*MIN(E$3-$O$2,$Q$2)/$Q$2))</f>
        <v>5740</v>
      </c>
      <c r="F511" s="15" t="n">
        <f aca="false">E511*(1+IF(F$3&lt;=$O$2,$D511,$D511-($D511-$I$508)*MIN(F$3-$O$2,$Q$2)/$Q$2))</f>
        <v>5022.5</v>
      </c>
      <c r="G511" s="15" t="n">
        <f aca="false">F511*(1+IF(G$3&lt;=$O$2,$D511,$D511-($D511-$I$508)*MIN(G$3-$O$2,$Q$2)/$Q$2))</f>
        <v>4394.6875</v>
      </c>
      <c r="H511" s="15" t="n">
        <f aca="false">G511*(1+IF(H$3&lt;=$O$2,$D511,$D511-($D511-$I$508)*MIN(H$3-$O$2,$Q$2)/$Q$2))</f>
        <v>3845.3515625</v>
      </c>
      <c r="I511" s="15" t="n">
        <f aca="false">H511*(1+IF(I$3&lt;=$O$2,$D511,$D511-($D511-$I$508)*MIN(I$3-$O$2,$Q$2)/$Q$2))</f>
        <v>3364.6826171875</v>
      </c>
      <c r="J511" s="15" t="n">
        <f aca="false">I511*(1+IF(J$3&lt;=$O$2,$D511,$D511-($D511-$I$508)*MIN(J$3-$O$2,$Q$2)/$Q$2))</f>
        <v>3047.25845908203</v>
      </c>
      <c r="K511" s="15" t="n">
        <f aca="false">J511*(1+IF(K$3&lt;=$O$2,$D511,$D511-($D511-$I$508)*MIN(K$3-$O$2,$Q$2)/$Q$2))</f>
        <v>2853.20904040769</v>
      </c>
      <c r="L511" s="15" t="n">
        <f aca="false">K511*(1+IF(L$3&lt;=$O$2,$D511,$D511-($D511-$I$508)*MIN(L$3-$O$2,$Q$2)/$Q$2))</f>
        <v>2758.99607789343</v>
      </c>
      <c r="M511" s="15" t="n">
        <f aca="false">L511*(1+IF(M$3&lt;=$O$2,$D511,$D511-($D511-$I$508)*MIN(M$3-$O$2,$Q$2)/$Q$2))</f>
        <v>2752.4848471496</v>
      </c>
      <c r="N511" s="15" t="n">
        <f aca="false">M511*(1+IF(N$3&lt;=$O$2,$D511,$D511-($D511-$I$508)*MIN(N$3-$O$2,$Q$2)/$Q$2))</f>
        <v>2830.38016832393</v>
      </c>
      <c r="O511" s="15" t="n">
        <f aca="false">SUMPRODUCT(E511:N511,1/(1+$F$508)^$E$3:$N$3)*$E$2</f>
        <v>8105.21817573187</v>
      </c>
      <c r="P511" s="15" t="n">
        <f aca="false">N511*$E$2*(1+$I$508)/($F$508-$I$508)/(1+$F$508)^$N$3</f>
        <v>7015.28196150189</v>
      </c>
      <c r="Q511" s="15" t="n">
        <f aca="false">O511+P511</f>
        <v>15120.5001372338</v>
      </c>
      <c r="R511" s="15" t="n">
        <f aca="false">Q511-$G$2+$I$2</f>
        <v>7775.30013723377</v>
      </c>
      <c r="S511" s="42" t="n">
        <f aca="false">R511/$K$2</f>
        <v>33.1357346568667</v>
      </c>
      <c r="T511" s="43" t="n">
        <f aca="false">S511-$M$2</f>
        <v>-47.878541925277</v>
      </c>
    </row>
    <row r="512" customFormat="false" ht="15" hidden="false" customHeight="false" outlineLevel="0" collapsed="false">
      <c r="A512" s="5" t="n">
        <v>3</v>
      </c>
      <c r="B512" s="25" t="n">
        <f aca="false">IF(T511&gt;0,B511,D511)</f>
        <v>-0.125</v>
      </c>
      <c r="C512" s="25" t="n">
        <f aca="false">IF(T511&gt;0,D511,C511)</f>
        <v>0.25</v>
      </c>
      <c r="D512" s="41" t="n">
        <f aca="false">(B512+C512)/2</f>
        <v>0.0625</v>
      </c>
      <c r="E512" s="15" t="n">
        <f aca="false">$C$2*(1+IF(E$3&lt;=$O$2,$D512,$D512-($D512-$I$508)*MIN(E$3-$O$2,$Q$2)/$Q$2))</f>
        <v>6970</v>
      </c>
      <c r="F512" s="15" t="n">
        <f aca="false">E512*(1+IF(F$3&lt;=$O$2,$D512,$D512-($D512-$I$508)*MIN(F$3-$O$2,$Q$2)/$Q$2))</f>
        <v>7405.625</v>
      </c>
      <c r="G512" s="15" t="n">
        <f aca="false">F512*(1+IF(G$3&lt;=$O$2,$D512,$D512-($D512-$I$508)*MIN(G$3-$O$2,$Q$2)/$Q$2))</f>
        <v>7868.4765625</v>
      </c>
      <c r="H512" s="15" t="n">
        <f aca="false">G512*(1+IF(H$3&lt;=$O$2,$D512,$D512-($D512-$I$508)*MIN(H$3-$O$2,$Q$2)/$Q$2))</f>
        <v>8360.25634765625</v>
      </c>
      <c r="I512" s="15" t="n">
        <f aca="false">H512*(1+IF(I$3&lt;=$O$2,$D512,$D512-($D512-$I$508)*MIN(I$3-$O$2,$Q$2)/$Q$2))</f>
        <v>8882.77236938477</v>
      </c>
      <c r="J512" s="15" t="n">
        <f aca="false">I512*(1+IF(J$3&lt;=$O$2,$D512,$D512-($D512-$I$508)*MIN(J$3-$O$2,$Q$2)/$Q$2))</f>
        <v>9377.18747946472</v>
      </c>
      <c r="K512" s="15" t="n">
        <f aca="false">J512*(1+IF(K$3&lt;=$O$2,$D512,$D512-($D512-$I$508)*MIN(K$3-$O$2,$Q$2)/$Q$2))</f>
        <v>9834.98177221219</v>
      </c>
      <c r="L512" s="15" t="n">
        <f aca="false">K512*(1+IF(L$3&lt;=$O$2,$D512,$D512-($D512-$I$508)*MIN(L$3-$O$2,$Q$2)/$Q$2))</f>
        <v>10247.8543070097</v>
      </c>
      <c r="M512" s="15" t="n">
        <f aca="false">L512*(1+IF(M$3&lt;=$O$2,$D512,$D512-($D512-$I$508)*MIN(M$3-$O$2,$Q$2)/$Q$2))</f>
        <v>10607.963907358</v>
      </c>
      <c r="N512" s="15" t="n">
        <f aca="false">M512*(1+IF(N$3&lt;=$O$2,$D512,$D512-($D512-$I$508)*MIN(N$3-$O$2,$Q$2)/$Q$2))</f>
        <v>10908.1692859362</v>
      </c>
      <c r="O512" s="15" t="n">
        <f aca="false">SUMPRODUCT(E512:N512,1/(1+$F$508)^$E$3:$N$3)*$E$2</f>
        <v>18212.334288437</v>
      </c>
      <c r="P512" s="15" t="n">
        <f aca="false">N512*$E$2*(1+$I$508)/($F$508-$I$508)/(1+$F$508)^$N$3</f>
        <v>27036.6094565849</v>
      </c>
      <c r="Q512" s="15" t="n">
        <f aca="false">O512+P512</f>
        <v>45248.9437450219</v>
      </c>
      <c r="R512" s="15" t="n">
        <f aca="false">Q512-$G$2+$I$2</f>
        <v>37903.7437450219</v>
      </c>
      <c r="S512" s="42" t="n">
        <f aca="false">R512/$K$2</f>
        <v>161.533107798943</v>
      </c>
      <c r="T512" s="43" t="n">
        <f aca="false">S512-$M$2</f>
        <v>80.518831216799</v>
      </c>
    </row>
    <row r="513" customFormat="false" ht="15" hidden="false" customHeight="false" outlineLevel="0" collapsed="false">
      <c r="A513" s="5" t="n">
        <v>4</v>
      </c>
      <c r="B513" s="25" t="n">
        <f aca="false">IF(T512&gt;0,B512,D512)</f>
        <v>-0.125</v>
      </c>
      <c r="C513" s="25" t="n">
        <f aca="false">IF(T512&gt;0,D512,C512)</f>
        <v>0.0625</v>
      </c>
      <c r="D513" s="41" t="n">
        <f aca="false">(B513+C513)/2</f>
        <v>-0.03125</v>
      </c>
      <c r="E513" s="15" t="n">
        <f aca="false">$C$2*(1+IF(E$3&lt;=$O$2,$D513,$D513-($D513-$I$508)*MIN(E$3-$O$2,$Q$2)/$Q$2))</f>
        <v>6355</v>
      </c>
      <c r="F513" s="15" t="n">
        <f aca="false">E513*(1+IF(F$3&lt;=$O$2,$D513,$D513-($D513-$I$508)*MIN(F$3-$O$2,$Q$2)/$Q$2))</f>
        <v>6156.40625</v>
      </c>
      <c r="G513" s="15" t="n">
        <f aca="false">F513*(1+IF(G$3&lt;=$O$2,$D513,$D513-($D513-$I$508)*MIN(G$3-$O$2,$Q$2)/$Q$2))</f>
        <v>5964.0185546875</v>
      </c>
      <c r="H513" s="15" t="n">
        <f aca="false">G513*(1+IF(H$3&lt;=$O$2,$D513,$D513-($D513-$I$508)*MIN(H$3-$O$2,$Q$2)/$Q$2))</f>
        <v>5777.64297485352</v>
      </c>
      <c r="I513" s="15" t="n">
        <f aca="false">H513*(1+IF(I$3&lt;=$O$2,$D513,$D513-($D513-$I$508)*MIN(I$3-$O$2,$Q$2)/$Q$2))</f>
        <v>5597.09163188934</v>
      </c>
      <c r="J513" s="15" t="n">
        <f aca="false">I513*(1+IF(J$3&lt;=$O$2,$D513,$D513-($D513-$I$508)*MIN(J$3-$O$2,$Q$2)/$Q$2))</f>
        <v>5488.8438797286</v>
      </c>
      <c r="K513" s="15" t="n">
        <f aca="false">J513*(1+IF(K$3&lt;=$O$2,$D513,$D513-($D513-$I$508)*MIN(K$3-$O$2,$Q$2)/$Q$2))</f>
        <v>5448.06176970222</v>
      </c>
      <c r="L513" s="15" t="n">
        <f aca="false">K513*(1+IF(L$3&lt;=$O$2,$D513,$D513-($D513-$I$508)*MIN(L$3-$O$2,$Q$2)/$Q$2))</f>
        <v>5472.46908643049</v>
      </c>
      <c r="M513" s="15" t="n">
        <f aca="false">L513*(1+IF(M$3&lt;=$O$2,$D513,$D513-($D513-$I$508)*MIN(M$3-$O$2,$Q$2)/$Q$2))</f>
        <v>5562.16285475708</v>
      </c>
      <c r="N513" s="15" t="n">
        <f aca="false">M513*(1+IF(N$3&lt;=$O$2,$D513,$D513-($D513-$I$508)*MIN(N$3-$O$2,$Q$2)/$Q$2))</f>
        <v>5719.57206354671</v>
      </c>
      <c r="O513" s="15" t="n">
        <f aca="false">SUMPRODUCT(E513:N513,1/(1+$F$508)^$E$3:$N$3)*$E$2</f>
        <v>12114.5747336328</v>
      </c>
      <c r="P513" s="15" t="n">
        <f aca="false">N513*$E$2*(1+$I$508)/($F$508-$I$508)/(1+$F$508)^$N$3</f>
        <v>14176.3326262528</v>
      </c>
      <c r="Q513" s="15" t="n">
        <f aca="false">O513+P513</f>
        <v>26290.9073598856</v>
      </c>
      <c r="R513" s="15" t="n">
        <f aca="false">Q513-$G$2+$I$2</f>
        <v>18945.7073598856</v>
      </c>
      <c r="S513" s="42" t="n">
        <f aca="false">R513/$K$2</f>
        <v>80.7402828036889</v>
      </c>
      <c r="T513" s="43" t="n">
        <f aca="false">S513-$M$2</f>
        <v>-0.273993778454752</v>
      </c>
    </row>
    <row r="514" customFormat="false" ht="15" hidden="false" customHeight="false" outlineLevel="0" collapsed="false">
      <c r="A514" s="5" t="n">
        <v>5</v>
      </c>
      <c r="B514" s="25" t="n">
        <f aca="false">IF(T513&gt;0,B513,D513)</f>
        <v>-0.03125</v>
      </c>
      <c r="C514" s="25" t="n">
        <f aca="false">IF(T513&gt;0,D513,C513)</f>
        <v>0.0625</v>
      </c>
      <c r="D514" s="41" t="n">
        <f aca="false">(B514+C514)/2</f>
        <v>0.015625</v>
      </c>
      <c r="E514" s="15" t="n">
        <f aca="false">$C$2*(1+IF(E$3&lt;=$O$2,$D514,$D514-($D514-$I$508)*MIN(E$3-$O$2,$Q$2)/$Q$2))</f>
        <v>6662.5</v>
      </c>
      <c r="F514" s="15" t="n">
        <f aca="false">E514*(1+IF(F$3&lt;=$O$2,$D514,$D514-($D514-$I$508)*MIN(F$3-$O$2,$Q$2)/$Q$2))</f>
        <v>6766.6015625</v>
      </c>
      <c r="G514" s="15" t="n">
        <f aca="false">F514*(1+IF(G$3&lt;=$O$2,$D514,$D514-($D514-$I$508)*MIN(G$3-$O$2,$Q$2)/$Q$2))</f>
        <v>6872.32971191406</v>
      </c>
      <c r="H514" s="15" t="n">
        <f aca="false">G514*(1+IF(H$3&lt;=$O$2,$D514,$D514-($D514-$I$508)*MIN(H$3-$O$2,$Q$2)/$Q$2))</f>
        <v>6979.70986366272</v>
      </c>
      <c r="I514" s="15" t="n">
        <f aca="false">H514*(1+IF(I$3&lt;=$O$2,$D514,$D514-($D514-$I$508)*MIN(I$3-$O$2,$Q$2)/$Q$2))</f>
        <v>7088.76783028245</v>
      </c>
      <c r="J514" s="15" t="n">
        <f aca="false">I514*(1+IF(J$3&lt;=$O$2,$D514,$D514-($D514-$I$508)*MIN(J$3-$O$2,$Q$2)/$Q$2))</f>
        <v>7217.49985408038</v>
      </c>
      <c r="K514" s="15" t="n">
        <f aca="false">J514*(1+IF(K$3&lt;=$O$2,$D514,$D514-($D514-$I$508)*MIN(K$3-$O$2,$Q$2)/$Q$2))</f>
        <v>7366.86601356057</v>
      </c>
      <c r="L514" s="15" t="n">
        <f aca="false">K514*(1+IF(L$3&lt;=$O$2,$D514,$D514-($D514-$I$508)*MIN(L$3-$O$2,$Q$2)/$Q$2))</f>
        <v>7537.99831105558</v>
      </c>
      <c r="M514" s="15" t="n">
        <f aca="false">L514*(1+IF(M$3&lt;=$O$2,$D514,$D514-($D514-$I$508)*MIN(M$3-$O$2,$Q$2)/$Q$2))</f>
        <v>7732.21483753993</v>
      </c>
      <c r="N514" s="15" t="n">
        <f aca="false">M514*(1+IF(N$3&lt;=$O$2,$D514,$D514-($D514-$I$508)*MIN(N$3-$O$2,$Q$2)/$Q$2))</f>
        <v>7951.03651744231</v>
      </c>
      <c r="O514" s="15" t="n">
        <f aca="false">SUMPRODUCT(E514:N514,1/(1+$F$508)^$E$3:$N$3)*$E$2</f>
        <v>14847.8807799119</v>
      </c>
      <c r="P514" s="15" t="n">
        <f aca="false">N514*$E$2*(1+$I$508)/($F$508-$I$508)/(1+$F$508)^$N$3</f>
        <v>19707.1629035214</v>
      </c>
      <c r="Q514" s="15" t="n">
        <f aca="false">O514+P514</f>
        <v>34555.0436834333</v>
      </c>
      <c r="R514" s="15" t="n">
        <f aca="false">Q514-$G$2+$I$2</f>
        <v>27209.8436834333</v>
      </c>
      <c r="S514" s="42" t="n">
        <f aca="false">R514/$K$2</f>
        <v>115.959274167625</v>
      </c>
      <c r="T514" s="43" t="n">
        <f aca="false">S514-$M$2</f>
        <v>34.9449975854816</v>
      </c>
    </row>
    <row r="515" customFormat="false" ht="15" hidden="false" customHeight="false" outlineLevel="0" collapsed="false">
      <c r="A515" s="5" t="n">
        <v>6</v>
      </c>
      <c r="B515" s="25" t="n">
        <f aca="false">IF(T514&gt;0,B514,D514)</f>
        <v>-0.03125</v>
      </c>
      <c r="C515" s="25" t="n">
        <f aca="false">IF(T514&gt;0,D514,C514)</f>
        <v>0.015625</v>
      </c>
      <c r="D515" s="41" t="n">
        <f aca="false">(B515+C515)/2</f>
        <v>-0.0078125</v>
      </c>
      <c r="E515" s="15" t="n">
        <f aca="false">$C$2*(1+IF(E$3&lt;=$O$2,$D515,$D515-($D515-$I$508)*MIN(E$3-$O$2,$Q$2)/$Q$2))</f>
        <v>6508.75</v>
      </c>
      <c r="F515" s="15" t="n">
        <f aca="false">E515*(1+IF(F$3&lt;=$O$2,$D515,$D515-($D515-$I$508)*MIN(F$3-$O$2,$Q$2)/$Q$2))</f>
        <v>6457.900390625</v>
      </c>
      <c r="G515" s="15" t="n">
        <f aca="false">F515*(1+IF(G$3&lt;=$O$2,$D515,$D515-($D515-$I$508)*MIN(G$3-$O$2,$Q$2)/$Q$2))</f>
        <v>6407.44804382324</v>
      </c>
      <c r="H515" s="15" t="n">
        <f aca="false">G515*(1+IF(H$3&lt;=$O$2,$D515,$D515-($D515-$I$508)*MIN(H$3-$O$2,$Q$2)/$Q$2))</f>
        <v>6357.38985598087</v>
      </c>
      <c r="I515" s="15" t="n">
        <f aca="false">H515*(1+IF(I$3&lt;=$O$2,$D515,$D515-($D515-$I$508)*MIN(I$3-$O$2,$Q$2)/$Q$2))</f>
        <v>6307.72274773102</v>
      </c>
      <c r="J515" s="15" t="n">
        <f aca="false">I515*(1+IF(J$3&lt;=$O$2,$D515,$D515-($D515-$I$508)*MIN(J$3-$O$2,$Q$2)/$Q$2))</f>
        <v>6304.00119130986</v>
      </c>
      <c r="K515" s="15" t="n">
        <f aca="false">J515*(1+IF(K$3&lt;=$O$2,$D515,$D515-($D515-$I$508)*MIN(K$3-$O$2,$Q$2)/$Q$2))</f>
        <v>6345.81247921123</v>
      </c>
      <c r="L515" s="15" t="n">
        <f aca="false">K515*(1+IF(L$3&lt;=$O$2,$D515,$D515-($D515-$I$508)*MIN(L$3-$O$2,$Q$2)/$Q$2))</f>
        <v>6433.7337111107</v>
      </c>
      <c r="M515" s="15" t="n">
        <f aca="false">L515*(1+IF(M$3&lt;=$O$2,$D515,$D515-($D515-$I$508)*MIN(M$3-$O$2,$Q$2)/$Q$2))</f>
        <v>6569.34073340663</v>
      </c>
      <c r="N515" s="15" t="n">
        <f aca="false">M515*(1+IF(N$3&lt;=$O$2,$D515,$D515-($D515-$I$508)*MIN(N$3-$O$2,$Q$2)/$Q$2))</f>
        <v>6755.25307616204</v>
      </c>
      <c r="O515" s="15" t="n">
        <f aca="false">SUMPRODUCT(E515:N515,1/(1+$F$508)^$E$3:$N$3)*$E$2</f>
        <v>13409.8984921238</v>
      </c>
      <c r="P515" s="15" t="n">
        <f aca="false">N515*$E$2*(1+$I$508)/($F$508-$I$508)/(1+$F$508)^$N$3</f>
        <v>16743.3356059171</v>
      </c>
      <c r="Q515" s="15" t="n">
        <f aca="false">O515+P515</f>
        <v>30153.2340980409</v>
      </c>
      <c r="R515" s="15" t="n">
        <f aca="false">Q515-$G$2+$I$2</f>
        <v>22808.0340980409</v>
      </c>
      <c r="S515" s="42" t="n">
        <f aca="false">R515/$K$2</f>
        <v>97.2002305477985</v>
      </c>
      <c r="T515" s="43" t="n">
        <f aca="false">S515-$M$2</f>
        <v>16.1859539656548</v>
      </c>
    </row>
    <row r="516" customFormat="false" ht="15" hidden="false" customHeight="false" outlineLevel="0" collapsed="false">
      <c r="A516" s="5" t="n">
        <v>7</v>
      </c>
      <c r="B516" s="25" t="n">
        <f aca="false">IF(T515&gt;0,B515,D515)</f>
        <v>-0.03125</v>
      </c>
      <c r="C516" s="25" t="n">
        <f aca="false">IF(T515&gt;0,D515,C515)</f>
        <v>-0.0078125</v>
      </c>
      <c r="D516" s="41" t="n">
        <f aca="false">(B516+C516)/2</f>
        <v>-0.01953125</v>
      </c>
      <c r="E516" s="15" t="n">
        <f aca="false">$C$2*(1+IF(E$3&lt;=$O$2,$D516,$D516-($D516-$I$508)*MIN(E$3-$O$2,$Q$2)/$Q$2))</f>
        <v>6431.875</v>
      </c>
      <c r="F516" s="15" t="n">
        <f aca="false">E516*(1+IF(F$3&lt;=$O$2,$D516,$D516-($D516-$I$508)*MIN(F$3-$O$2,$Q$2)/$Q$2))</f>
        <v>6306.25244140625</v>
      </c>
      <c r="G516" s="15" t="n">
        <f aca="false">F516*(1+IF(G$3&lt;=$O$2,$D516,$D516-($D516-$I$508)*MIN(G$3-$O$2,$Q$2)/$Q$2))</f>
        <v>6183.08344841003</v>
      </c>
      <c r="H516" s="15" t="n">
        <f aca="false">G516*(1+IF(H$3&lt;=$O$2,$D516,$D516-($D516-$I$508)*MIN(H$3-$O$2,$Q$2)/$Q$2))</f>
        <v>6062.32009980828</v>
      </c>
      <c r="I516" s="15" t="n">
        <f aca="false">H516*(1+IF(I$3&lt;=$O$2,$D516,$D516-($D516-$I$508)*MIN(I$3-$O$2,$Q$2)/$Q$2))</f>
        <v>5943.9154103589</v>
      </c>
      <c r="J516" s="15" t="n">
        <f aca="false">I516*(1+IF(J$3&lt;=$O$2,$D516,$D516-($D516-$I$508)*MIN(J$3-$O$2,$Q$2)/$Q$2))</f>
        <v>5884.68429329467</v>
      </c>
      <c r="K516" s="15" t="n">
        <f aca="false">J516*(1+IF(K$3&lt;=$O$2,$D516,$D516-($D516-$I$508)*MIN(K$3-$O$2,$Q$2)/$Q$2))</f>
        <v>5882.33777543272</v>
      </c>
      <c r="L516" s="15" t="n">
        <f aca="false">K516*(1+IF(L$3&lt;=$O$2,$D516,$D516-($D516-$I$508)*MIN(L$3-$O$2,$Q$2)/$Q$2))</f>
        <v>5936.264106989</v>
      </c>
      <c r="M516" s="15" t="n">
        <f aca="false">L516*(1+IF(M$3&lt;=$O$2,$D516,$D516-($D516-$I$508)*MIN(M$3-$O$2,$Q$2)/$Q$2))</f>
        <v>6047.4725947033</v>
      </c>
      <c r="N516" s="15" t="n">
        <f aca="false">M516*(1+IF(N$3&lt;=$O$2,$D516,$D516-($D516-$I$508)*MIN(N$3-$O$2,$Q$2)/$Q$2))</f>
        <v>6218.61606913341</v>
      </c>
      <c r="O516" s="15" t="n">
        <f aca="false">SUMPRODUCT(E516:N516,1/(1+$F$508)^$E$3:$N$3)*$E$2</f>
        <v>12745.2800526044</v>
      </c>
      <c r="P516" s="15" t="n">
        <f aca="false">N516*$E$2*(1+$I$508)/($F$508-$I$508)/(1+$F$508)^$N$3</f>
        <v>15413.2457623638</v>
      </c>
      <c r="Q516" s="15" t="n">
        <f aca="false">O516+P516</f>
        <v>28158.5258149682</v>
      </c>
      <c r="R516" s="15" t="n">
        <f aca="false">Q516-$G$2+$I$2</f>
        <v>20813.3258149682</v>
      </c>
      <c r="S516" s="42" t="n">
        <f aca="false">R516/$K$2</f>
        <v>88.699449456502</v>
      </c>
      <c r="T516" s="43" t="n">
        <f aca="false">S516-$M$2</f>
        <v>7.68517287435839</v>
      </c>
    </row>
    <row r="517" customFormat="false" ht="15" hidden="false" customHeight="false" outlineLevel="0" collapsed="false">
      <c r="A517" s="5" t="n">
        <v>8</v>
      </c>
      <c r="B517" s="25" t="n">
        <f aca="false">IF(T516&gt;0,B516,D516)</f>
        <v>-0.03125</v>
      </c>
      <c r="C517" s="25" t="n">
        <f aca="false">IF(T516&gt;0,D516,C516)</f>
        <v>-0.01953125</v>
      </c>
      <c r="D517" s="41" t="n">
        <f aca="false">(B517+C517)/2</f>
        <v>-0.025390625</v>
      </c>
      <c r="E517" s="15" t="n">
        <f aca="false">$C$2*(1+IF(E$3&lt;=$O$2,$D517,$D517-($D517-$I$508)*MIN(E$3-$O$2,$Q$2)/$Q$2))</f>
        <v>6393.4375</v>
      </c>
      <c r="F517" s="15" t="n">
        <f aca="false">E517*(1+IF(F$3&lt;=$O$2,$D517,$D517-($D517-$I$508)*MIN(F$3-$O$2,$Q$2)/$Q$2))</f>
        <v>6231.10412597656</v>
      </c>
      <c r="G517" s="15" t="n">
        <f aca="false">F517*(1+IF(G$3&lt;=$O$2,$D517,$D517-($D517-$I$508)*MIN(G$3-$O$2,$Q$2)/$Q$2))</f>
        <v>6072.89249777794</v>
      </c>
      <c r="H517" s="15" t="n">
        <f aca="false">G517*(1+IF(H$3&lt;=$O$2,$D517,$D517-($D517-$I$508)*MIN(H$3-$O$2,$Q$2)/$Q$2))</f>
        <v>5918.69796170155</v>
      </c>
      <c r="I517" s="15" t="n">
        <f aca="false">H517*(1+IF(I$3&lt;=$O$2,$D517,$D517-($D517-$I$508)*MIN(I$3-$O$2,$Q$2)/$Q$2))</f>
        <v>5768.41852126772</v>
      </c>
      <c r="J517" s="15" t="n">
        <f aca="false">I517*(1+IF(J$3&lt;=$O$2,$D517,$D517-($D517-$I$508)*MIN(J$3-$O$2,$Q$2)/$Q$2))</f>
        <v>5683.89676888484</v>
      </c>
      <c r="K517" s="15" t="n">
        <f aca="false">J517*(1+IF(K$3&lt;=$O$2,$D517,$D517-($D517-$I$508)*MIN(K$3-$O$2,$Q$2)/$Q$2))</f>
        <v>5661.64786547014</v>
      </c>
      <c r="L517" s="15" t="n">
        <f aca="false">K517*(1+IF(L$3&lt;=$O$2,$D517,$D517-($D517-$I$508)*MIN(L$3-$O$2,$Q$2)/$Q$2))</f>
        <v>5700.28153509214</v>
      </c>
      <c r="M517" s="15" t="n">
        <f aca="false">L517*(1+IF(M$3&lt;=$O$2,$D517,$D517-($D517-$I$508)*MIN(M$3-$O$2,$Q$2)/$Q$2))</f>
        <v>5800.38916687624</v>
      </c>
      <c r="N517" s="15" t="n">
        <f aca="false">M517*(1+IF(N$3&lt;=$O$2,$D517,$D517-($D517-$I$508)*MIN(N$3-$O$2,$Q$2)/$Q$2))</f>
        <v>5964.54018029883</v>
      </c>
      <c r="O517" s="15" t="n">
        <f aca="false">SUMPRODUCT(E517:N517,1/(1+$F$508)^$E$3:$N$3)*$E$2</f>
        <v>12425.7935923542</v>
      </c>
      <c r="P517" s="15" t="n">
        <f aca="false">N517*$E$2*(1+$I$508)/($F$508-$I$508)/(1+$F$508)^$N$3</f>
        <v>14783.5020905626</v>
      </c>
      <c r="Q517" s="15" t="n">
        <f aca="false">O517+P517</f>
        <v>27209.2956829167</v>
      </c>
      <c r="R517" s="15" t="n">
        <f aca="false">Q517-$G$2+$I$2</f>
        <v>19864.0956829167</v>
      </c>
      <c r="S517" s="42" t="n">
        <f aca="false">R517/$K$2</f>
        <v>84.6541473808512</v>
      </c>
      <c r="T517" s="43" t="n">
        <f aca="false">S517-$M$2</f>
        <v>3.63987079870759</v>
      </c>
    </row>
    <row r="518" customFormat="false" ht="15" hidden="false" customHeight="false" outlineLevel="0" collapsed="false">
      <c r="A518" s="5" t="n">
        <v>9</v>
      </c>
      <c r="B518" s="25" t="n">
        <f aca="false">IF(T517&gt;0,B517,D517)</f>
        <v>-0.03125</v>
      </c>
      <c r="C518" s="25" t="n">
        <f aca="false">IF(T517&gt;0,D517,C517)</f>
        <v>-0.025390625</v>
      </c>
      <c r="D518" s="41" t="n">
        <f aca="false">(B518+C518)/2</f>
        <v>-0.0283203125</v>
      </c>
      <c r="E518" s="15" t="n">
        <f aca="false">$C$2*(1+IF(E$3&lt;=$O$2,$D518,$D518-($D518-$I$508)*MIN(E$3-$O$2,$Q$2)/$Q$2))</f>
        <v>6374.21875</v>
      </c>
      <c r="F518" s="15" t="n">
        <f aca="false">E518*(1+IF(F$3&lt;=$O$2,$D518,$D518-($D518-$I$508)*MIN(F$3-$O$2,$Q$2)/$Q$2))</f>
        <v>6193.69888305664</v>
      </c>
      <c r="G518" s="15" t="n">
        <f aca="false">F518*(1+IF(G$3&lt;=$O$2,$D518,$D518-($D518-$I$508)*MIN(G$3-$O$2,$Q$2)/$Q$2))</f>
        <v>6018.29139515758</v>
      </c>
      <c r="H518" s="15" t="n">
        <f aca="false">G518*(1+IF(H$3&lt;=$O$2,$D518,$D518-($D518-$I$508)*MIN(H$3-$O$2,$Q$2)/$Q$2))</f>
        <v>5847.85150213065</v>
      </c>
      <c r="I518" s="15" t="n">
        <f aca="false">H518*(1+IF(I$3&lt;=$O$2,$D518,$D518-($D518-$I$508)*MIN(I$3-$O$2,$Q$2)/$Q$2))</f>
        <v>5682.23852013672</v>
      </c>
      <c r="J518" s="15" t="n">
        <f aca="false">I518*(1+IF(J$3&lt;=$O$2,$D518,$D518-($D518-$I$508)*MIN(J$3-$O$2,$Q$2)/$Q$2))</f>
        <v>5585.66177368884</v>
      </c>
      <c r="K518" s="15" t="n">
        <f aca="false">J518*(1+IF(K$3&lt;=$O$2,$D518,$D518-($D518-$I$508)*MIN(K$3-$O$2,$Q$2)/$Q$2))</f>
        <v>5553.9788527969</v>
      </c>
      <c r="L518" s="15" t="n">
        <f aca="false">K518*(1+IF(L$3&lt;=$O$2,$D518,$D518-($D518-$I$508)*MIN(L$3-$O$2,$Q$2)/$Q$2))</f>
        <v>5585.36924702555</v>
      </c>
      <c r="M518" s="15" t="n">
        <f aca="false">L518*(1+IF(M$3&lt;=$O$2,$D518,$D518-($D518-$I$508)*MIN(M$3-$O$2,$Q$2)/$Q$2))</f>
        <v>5680.18612627748</v>
      </c>
      <c r="N518" s="15" t="n">
        <f aca="false">M518*(1+IF(N$3&lt;=$O$2,$D518,$D518-($D518-$I$508)*MIN(N$3-$O$2,$Q$2)/$Q$2))</f>
        <v>5840.93539365113</v>
      </c>
      <c r="O518" s="15" t="n">
        <f aca="false">SUMPRODUCT(E518:N518,1/(1+$F$508)^$E$3:$N$3)*$E$2</f>
        <v>12269.163629014</v>
      </c>
      <c r="P518" s="15" t="n">
        <f aca="false">N518*$E$2*(1+$I$508)/($F$508-$I$508)/(1+$F$508)^$N$3</f>
        <v>14477.1395602462</v>
      </c>
      <c r="Q518" s="15" t="n">
        <f aca="false">O518+P518</f>
        <v>26746.3031892603</v>
      </c>
      <c r="R518" s="15" t="n">
        <f aca="false">Q518-$G$2+$I$2</f>
        <v>19401.1031892603</v>
      </c>
      <c r="S518" s="42" t="n">
        <f aca="false">R518/$K$2</f>
        <v>82.6810278681451</v>
      </c>
      <c r="T518" s="43" t="n">
        <f aca="false">S518-$M$2</f>
        <v>1.66675128600149</v>
      </c>
    </row>
    <row r="519" customFormat="false" ht="15" hidden="false" customHeight="false" outlineLevel="0" collapsed="false">
      <c r="A519" s="5" t="n">
        <v>10</v>
      </c>
      <c r="B519" s="25" t="n">
        <f aca="false">IF(T518&gt;0,B518,D518)</f>
        <v>-0.03125</v>
      </c>
      <c r="C519" s="25" t="n">
        <f aca="false">IF(T518&gt;0,D518,C518)</f>
        <v>-0.0283203125</v>
      </c>
      <c r="D519" s="41" t="n">
        <f aca="false">(B519+C519)/2</f>
        <v>-0.02978515625</v>
      </c>
      <c r="E519" s="15" t="n">
        <f aca="false">$C$2*(1+IF(E$3&lt;=$O$2,$D519,$D519-($D519-$I$508)*MIN(E$3-$O$2,$Q$2)/$Q$2))</f>
        <v>6364.609375</v>
      </c>
      <c r="F519" s="15" t="n">
        <f aca="false">E519*(1+IF(F$3&lt;=$O$2,$D519,$D519-($D519-$I$508)*MIN(F$3-$O$2,$Q$2)/$Q$2))</f>
        <v>6175.03849029541</v>
      </c>
      <c r="G519" s="15" t="n">
        <f aca="false">F519*(1+IF(G$3&lt;=$O$2,$D519,$D519-($D519-$I$508)*MIN(G$3-$O$2,$Q$2)/$Q$2))</f>
        <v>5991.1140040122</v>
      </c>
      <c r="H519" s="15" t="n">
        <f aca="false">G519*(1+IF(H$3&lt;=$O$2,$D519,$D519-($D519-$I$508)*MIN(H$3-$O$2,$Q$2)/$Q$2))</f>
        <v>5812.66773729113</v>
      </c>
      <c r="I519" s="15" t="n">
        <f aca="false">H519*(1+IF(I$3&lt;=$O$2,$D519,$D519-($D519-$I$508)*MIN(I$3-$O$2,$Q$2)/$Q$2))</f>
        <v>5639.53652050658</v>
      </c>
      <c r="J519" s="15" t="n">
        <f aca="false">I519*(1+IF(J$3&lt;=$O$2,$D519,$D519-($D519-$I$508)*MIN(J$3-$O$2,$Q$2)/$Q$2))</f>
        <v>5537.07671605995</v>
      </c>
      <c r="K519" s="15" t="n">
        <f aca="false">J519*(1+IF(K$3&lt;=$O$2,$D519,$D519-($D519-$I$508)*MIN(K$3-$O$2,$Q$2)/$Q$2))</f>
        <v>5500.8028073921</v>
      </c>
      <c r="L519" s="15" t="n">
        <f aca="false">K519*(1+IF(L$3&lt;=$O$2,$D519,$D519-($D519-$I$508)*MIN(L$3-$O$2,$Q$2)/$Q$2))</f>
        <v>5528.66953061418</v>
      </c>
      <c r="M519" s="15" t="n">
        <f aca="false">L519*(1+IF(M$3&lt;=$O$2,$D519,$D519-($D519-$I$508)*MIN(M$3-$O$2,$Q$2)/$Q$2))</f>
        <v>5620.90415162249</v>
      </c>
      <c r="N519" s="15" t="n">
        <f aca="false">M519*(1+IF(N$3&lt;=$O$2,$D519,$D519-($D519-$I$508)*MIN(N$3-$O$2,$Q$2)/$Q$2))</f>
        <v>5779.97573911341</v>
      </c>
      <c r="O519" s="15" t="n">
        <f aca="false">SUMPRODUCT(E519:N519,1/(1+$F$508)^$E$3:$N$3)*$E$2</f>
        <v>12191.6156468677</v>
      </c>
      <c r="P519" s="15" t="n">
        <f aca="false">N519*$E$2*(1+$I$508)/($F$508-$I$508)/(1+$F$508)^$N$3</f>
        <v>14326.0470781677</v>
      </c>
      <c r="Q519" s="15" t="n">
        <f aca="false">O519+P519</f>
        <v>26517.6627250354</v>
      </c>
      <c r="R519" s="15" t="n">
        <f aca="false">Q519-$G$2+$I$2</f>
        <v>19172.4627250354</v>
      </c>
      <c r="S519" s="42" t="n">
        <f aca="false">R519/$K$2</f>
        <v>81.7066385043061</v>
      </c>
      <c r="T519" s="43" t="n">
        <f aca="false">S519-$M$2</f>
        <v>0.692361922162448</v>
      </c>
    </row>
    <row r="520" customFormat="false" ht="15" hidden="false" customHeight="false" outlineLevel="0" collapsed="false">
      <c r="A520" s="5" t="n">
        <v>11</v>
      </c>
      <c r="B520" s="25" t="n">
        <f aca="false">IF(T519&gt;0,B519,D519)</f>
        <v>-0.03125</v>
      </c>
      <c r="C520" s="25" t="n">
        <f aca="false">IF(T519&gt;0,D519,C519)</f>
        <v>-0.02978515625</v>
      </c>
      <c r="D520" s="41" t="n">
        <f aca="false">(B520+C520)/2</f>
        <v>-0.030517578125</v>
      </c>
      <c r="E520" s="15" t="n">
        <f aca="false">$C$2*(1+IF(E$3&lt;=$O$2,$D520,$D520-($D520-$I$508)*MIN(E$3-$O$2,$Q$2)/$Q$2))</f>
        <v>6359.8046875</v>
      </c>
      <c r="F520" s="15" t="n">
        <f aca="false">E520*(1+IF(F$3&lt;=$O$2,$D520,$D520-($D520-$I$508)*MIN(F$3-$O$2,$Q$2)/$Q$2))</f>
        <v>6165.71885108948</v>
      </c>
      <c r="G520" s="15" t="n">
        <f aca="false">F520*(1+IF(G$3&lt;=$O$2,$D520,$D520-($D520-$I$508)*MIN(G$3-$O$2,$Q$2)/$Q$2))</f>
        <v>5977.55604435457</v>
      </c>
      <c r="H520" s="15" t="n">
        <f aca="false">G520*(1+IF(H$3&lt;=$O$2,$D520,$D520-($D520-$I$508)*MIN(H$3-$O$2,$Q$2)/$Q$2))</f>
        <v>5795.13551077441</v>
      </c>
      <c r="I520" s="15" t="n">
        <f aca="false">H520*(1+IF(I$3&lt;=$O$2,$D520,$D520-($D520-$I$508)*MIN(I$3-$O$2,$Q$2)/$Q$2))</f>
        <v>5618.28201007939</v>
      </c>
      <c r="J520" s="15" t="n">
        <f aca="false">I520*(1+IF(J$3&lt;=$O$2,$D520,$D520-($D520-$I$508)*MIN(J$3-$O$2,$Q$2)/$Q$2))</f>
        <v>5512.91639811974</v>
      </c>
      <c r="K520" s="15" t="n">
        <f aca="false">J520*(1+IF(K$3&lt;=$O$2,$D520,$D520-($D520-$I$508)*MIN(K$3-$O$2,$Q$2)/$Q$2))</f>
        <v>5474.37809762073</v>
      </c>
      <c r="L520" s="15" t="n">
        <f aca="false">K520*(1+IF(L$3&lt;=$O$2,$D520,$D520-($D520-$I$508)*MIN(L$3-$O$2,$Q$2)/$Q$2))</f>
        <v>5500.50713320635</v>
      </c>
      <c r="M520" s="15" t="n">
        <f aca="false">L520*(1+IF(M$3&lt;=$O$2,$D520,$D520-($D520-$I$508)*MIN(M$3-$O$2,$Q$2)/$Q$2))</f>
        <v>5591.4661834692</v>
      </c>
      <c r="N520" s="15" t="n">
        <f aca="false">M520*(1+IF(N$3&lt;=$O$2,$D520,$D520-($D520-$I$508)*MIN(N$3-$O$2,$Q$2)/$Q$2))</f>
        <v>5749.70467646138</v>
      </c>
      <c r="O520" s="15" t="n">
        <f aca="false">SUMPRODUCT(E520:N520,1/(1+$F$508)^$E$3:$N$3)*$E$2</f>
        <v>12153.0320055549</v>
      </c>
      <c r="P520" s="15" t="n">
        <f aca="false">N520*$E$2*(1+$I$508)/($F$508-$I$508)/(1+$F$508)^$N$3</f>
        <v>14251.0182738555</v>
      </c>
      <c r="Q520" s="15" t="n">
        <f aca="false">O520+P520</f>
        <v>26404.0502794104</v>
      </c>
      <c r="R520" s="15" t="n">
        <f aca="false">Q520-$G$2+$I$2</f>
        <v>19058.8502794104</v>
      </c>
      <c r="S520" s="42" t="n">
        <f aca="false">R520/$K$2</f>
        <v>81.2224601722156</v>
      </c>
      <c r="T520" s="43" t="n">
        <f aca="false">S520-$M$2</f>
        <v>0.20818359007194</v>
      </c>
    </row>
    <row r="521" customFormat="false" ht="15" hidden="false" customHeight="false" outlineLevel="0" collapsed="false">
      <c r="A521" s="5" t="n">
        <v>12</v>
      </c>
      <c r="B521" s="25" t="n">
        <f aca="false">IF(T520&gt;0,B520,D520)</f>
        <v>-0.03125</v>
      </c>
      <c r="C521" s="25" t="n">
        <f aca="false">IF(T520&gt;0,D520,C520)</f>
        <v>-0.030517578125</v>
      </c>
      <c r="D521" s="41" t="n">
        <f aca="false">(B521+C521)/2</f>
        <v>-0.0308837890625</v>
      </c>
      <c r="E521" s="15" t="n">
        <f aca="false">$C$2*(1+IF(E$3&lt;=$O$2,$D521,$D521-($D521-$I$508)*MIN(E$3-$O$2,$Q$2)/$Q$2))</f>
        <v>6357.40234375</v>
      </c>
      <c r="F521" s="15" t="n">
        <f aca="false">E521*(1+IF(F$3&lt;=$O$2,$D521,$D521-($D521-$I$508)*MIN(F$3-$O$2,$Q$2)/$Q$2))</f>
        <v>6161.06167078018</v>
      </c>
      <c r="G521" s="15" t="n">
        <f aca="false">F521*(1+IF(G$3&lt;=$O$2,$D521,$D521-($D521-$I$508)*MIN(G$3-$O$2,$Q$2)/$Q$2))</f>
        <v>5970.78474173875</v>
      </c>
      <c r="H521" s="15" t="n">
        <f aca="false">G521*(1+IF(H$3&lt;=$O$2,$D521,$D521-($D521-$I$508)*MIN(H$3-$O$2,$Q$2)/$Q$2))</f>
        <v>5786.3842852373</v>
      </c>
      <c r="I521" s="15" t="n">
        <f aca="false">H521*(1+IF(I$3&lt;=$O$2,$D521,$D521-($D521-$I$508)*MIN(I$3-$O$2,$Q$2)/$Q$2))</f>
        <v>5607.67881353747</v>
      </c>
      <c r="J521" s="15" t="n">
        <f aca="false">I521*(1+IF(J$3&lt;=$O$2,$D521,$D521-($D521-$I$508)*MIN(J$3-$O$2,$Q$2)/$Q$2))</f>
        <v>5500.86917993606</v>
      </c>
      <c r="K521" s="15" t="n">
        <f aca="false">J521*(1+IF(K$3&lt;=$O$2,$D521,$D521-($D521-$I$508)*MIN(K$3-$O$2,$Q$2)/$Q$2))</f>
        <v>5461.2064090048</v>
      </c>
      <c r="L521" s="15" t="n">
        <f aca="false">K521*(1+IF(L$3&lt;=$O$2,$D521,$D521-($D521-$I$508)*MIN(L$3-$O$2,$Q$2)/$Q$2))</f>
        <v>5486.47259512471</v>
      </c>
      <c r="M521" s="15" t="n">
        <f aca="false">L521*(1+IF(M$3&lt;=$O$2,$D521,$D521-($D521-$I$508)*MIN(M$3-$O$2,$Q$2)/$Q$2))</f>
        <v>5576.79772221333</v>
      </c>
      <c r="N521" s="15" t="n">
        <f aca="false">M521*(1+IF(N$3&lt;=$O$2,$D521,$D521-($D521-$I$508)*MIN(N$3-$O$2,$Q$2)/$Q$2))</f>
        <v>5734.62109775197</v>
      </c>
      <c r="O521" s="15" t="n">
        <f aca="false">SUMPRODUCT(E521:N521,1/(1+$F$508)^$E$3:$N$3)*$E$2</f>
        <v>12133.7875982249</v>
      </c>
      <c r="P521" s="15" t="n">
        <f aca="false">N521*$E$2*(1+$I$508)/($F$508-$I$508)/(1+$F$508)^$N$3</f>
        <v>14213.6326396502</v>
      </c>
      <c r="Q521" s="15" t="n">
        <f aca="false">O521+P521</f>
        <v>26347.4202378751</v>
      </c>
      <c r="R521" s="15" t="n">
        <f aca="false">Q521-$G$2+$I$2</f>
        <v>19002.2202378751</v>
      </c>
      <c r="S521" s="42" t="n">
        <f aca="false">R521/$K$2</f>
        <v>80.9811218319842</v>
      </c>
      <c r="T521" s="43" t="n">
        <f aca="false">S521-$M$2</f>
        <v>-0.0331547501593974</v>
      </c>
    </row>
    <row r="522" customFormat="false" ht="15" hidden="false" customHeight="false" outlineLevel="0" collapsed="false">
      <c r="A522" s="5" t="n">
        <v>13</v>
      </c>
      <c r="B522" s="25" t="n">
        <f aca="false">IF(T521&gt;0,B521,D521)</f>
        <v>-0.0308837890625</v>
      </c>
      <c r="C522" s="25" t="n">
        <f aca="false">IF(T521&gt;0,D521,C521)</f>
        <v>-0.030517578125</v>
      </c>
      <c r="D522" s="41" t="n">
        <f aca="false">(B522+C522)/2</f>
        <v>-0.03070068359375</v>
      </c>
      <c r="E522" s="15" t="n">
        <f aca="false">$C$2*(1+IF(E$3&lt;=$O$2,$D522,$D522-($D522-$I$508)*MIN(E$3-$O$2,$Q$2)/$Q$2))</f>
        <v>6358.603515625</v>
      </c>
      <c r="F522" s="15" t="n">
        <f aca="false">E522*(1+IF(F$3&lt;=$O$2,$D522,$D522-($D522-$I$508)*MIN(F$3-$O$2,$Q$2)/$Q$2))</f>
        <v>6163.39004099369</v>
      </c>
      <c r="G522" s="15" t="n">
        <f aca="false">F522*(1+IF(G$3&lt;=$O$2,$D522,$D522-($D522-$I$508)*MIN(G$3-$O$2,$Q$2)/$Q$2))</f>
        <v>5974.16975348027</v>
      </c>
      <c r="H522" s="15" t="n">
        <f aca="false">G522*(1+IF(H$3&lt;=$O$2,$D522,$D522-($D522-$I$508)*MIN(H$3-$O$2,$Q$2)/$Q$2))</f>
        <v>5790.75865814332</v>
      </c>
      <c r="I522" s="15" t="n">
        <f aca="false">H522*(1+IF(I$3&lt;=$O$2,$D522,$D522-($D522-$I$508)*MIN(I$3-$O$2,$Q$2)/$Q$2))</f>
        <v>5612.9784088119</v>
      </c>
      <c r="J522" s="15" t="n">
        <f aca="false">I522*(1+IF(J$3&lt;=$O$2,$D522,$D522-($D522-$I$508)*MIN(J$3-$O$2,$Q$2)/$Q$2))</f>
        <v>5506.89004728779</v>
      </c>
      <c r="K522" s="15" t="n">
        <f aca="false">J522*(1+IF(K$3&lt;=$O$2,$D522,$D522-($D522-$I$508)*MIN(K$3-$O$2,$Q$2)/$Q$2))</f>
        <v>5467.78886926667</v>
      </c>
      <c r="L522" s="15" t="n">
        <f aca="false">K522*(1+IF(L$3&lt;=$O$2,$D522,$D522-($D522-$I$508)*MIN(L$3-$O$2,$Q$2)/$Q$2))</f>
        <v>5493.48598185371</v>
      </c>
      <c r="M522" s="15" t="n">
        <f aca="false">L522*(1+IF(M$3&lt;=$O$2,$D522,$D522-($D522-$I$508)*MIN(M$3-$O$2,$Q$2)/$Q$2))</f>
        <v>5584.12774949176</v>
      </c>
      <c r="N522" s="15" t="n">
        <f aca="false">M522*(1+IF(N$3&lt;=$O$2,$D522,$D522-($D522-$I$508)*MIN(N$3-$O$2,$Q$2)/$Q$2))</f>
        <v>5742.15856480237</v>
      </c>
      <c r="O522" s="15" t="n">
        <f aca="false">SUMPRODUCT(E522:N522,1/(1+$F$508)^$E$3:$N$3)*$E$2</f>
        <v>12143.4058559497</v>
      </c>
      <c r="P522" s="15" t="n">
        <f aca="false">N522*$E$2*(1+$I$508)/($F$508-$I$508)/(1+$F$508)^$N$3</f>
        <v>14232.3147436396</v>
      </c>
      <c r="Q522" s="15" t="n">
        <f aca="false">O522+P522</f>
        <v>26375.7205995893</v>
      </c>
      <c r="R522" s="15" t="n">
        <f aca="false">Q522-$G$2+$I$2</f>
        <v>19030.5205995893</v>
      </c>
      <c r="S522" s="42" t="n">
        <f aca="false">R522/$K$2</f>
        <v>81.1017285301056</v>
      </c>
      <c r="T522" s="43" t="n">
        <f aca="false">S522-$M$2</f>
        <v>0.0874519479619806</v>
      </c>
    </row>
    <row r="523" customFormat="false" ht="15" hidden="false" customHeight="false" outlineLevel="0" collapsed="false">
      <c r="A523" s="5" t="n">
        <v>14</v>
      </c>
      <c r="B523" s="25" t="n">
        <f aca="false">IF(T522&gt;0,B522,D522)</f>
        <v>-0.0308837890625</v>
      </c>
      <c r="C523" s="25" t="n">
        <f aca="false">IF(T522&gt;0,D522,C522)</f>
        <v>-0.03070068359375</v>
      </c>
      <c r="D523" s="41" t="n">
        <f aca="false">(B523+C523)/2</f>
        <v>-0.030792236328125</v>
      </c>
      <c r="E523" s="15" t="n">
        <f aca="false">$C$2*(1+IF(E$3&lt;=$O$2,$D523,$D523-($D523-$I$508)*MIN(E$3-$O$2,$Q$2)/$Q$2))</f>
        <v>6358.0029296875</v>
      </c>
      <c r="F523" s="15" t="n">
        <f aca="false">E523*(1+IF(F$3&lt;=$O$2,$D523,$D523-($D523-$I$508)*MIN(F$3-$O$2,$Q$2)/$Q$2))</f>
        <v>6162.22580090165</v>
      </c>
      <c r="G523" s="15" t="n">
        <f aca="false">F523*(1+IF(G$3&lt;=$O$2,$D523,$D523-($D523-$I$508)*MIN(G$3-$O$2,$Q$2)/$Q$2))</f>
        <v>5972.47708773302</v>
      </c>
      <c r="H523" s="15" t="n">
        <f aca="false">G523*(1+IF(H$3&lt;=$O$2,$D523,$D523-($D523-$I$508)*MIN(H$3-$O$2,$Q$2)/$Q$2))</f>
        <v>5788.57116178323</v>
      </c>
      <c r="I523" s="15" t="n">
        <f aca="false">H523*(1+IF(I$3&lt;=$O$2,$D523,$D523-($D523-$I$508)*MIN(I$3-$O$2,$Q$2)/$Q$2))</f>
        <v>5610.32811056743</v>
      </c>
      <c r="J523" s="15" t="n">
        <f aca="false">I523*(1+IF(J$3&lt;=$O$2,$D523,$D523-($D523-$I$508)*MIN(J$3-$O$2,$Q$2)/$Q$2))</f>
        <v>5503.87892842611</v>
      </c>
      <c r="K523" s="15" t="n">
        <f aca="false">J523*(1+IF(K$3&lt;=$O$2,$D523,$D523-($D523-$I$508)*MIN(K$3-$O$2,$Q$2)/$Q$2))</f>
        <v>5464.4967934846</v>
      </c>
      <c r="L523" s="15" t="n">
        <f aca="false">K523*(1+IF(L$3&lt;=$O$2,$D523,$D523-($D523-$I$508)*MIN(L$3-$O$2,$Q$2)/$Q$2))</f>
        <v>5489.97831836627</v>
      </c>
      <c r="M523" s="15" t="n">
        <f aca="false">L523*(1+IF(M$3&lt;=$O$2,$D523,$D523-($D523-$I$508)*MIN(M$3-$O$2,$Q$2)/$Q$2))</f>
        <v>5580.461685531</v>
      </c>
      <c r="N523" s="15" t="n">
        <f aca="false">M523*(1+IF(N$3&lt;=$O$2,$D523,$D523-($D523-$I$508)*MIN(N$3-$O$2,$Q$2)/$Q$2))</f>
        <v>5738.38875123153</v>
      </c>
      <c r="O523" s="15" t="n">
        <f aca="false">SUMPRODUCT(E523:N523,1/(1+$F$508)^$E$3:$N$3)*$E$2</f>
        <v>12138.5957409897</v>
      </c>
      <c r="P523" s="15" t="n">
        <f aca="false">N523*$E$2*(1+$I$508)/($F$508-$I$508)/(1+$F$508)^$N$3</f>
        <v>14222.9710146812</v>
      </c>
      <c r="Q523" s="15" t="n">
        <f aca="false">O523+P523</f>
        <v>26361.5667556709</v>
      </c>
      <c r="R523" s="15" t="n">
        <f aca="false">Q523-$G$2+$I$2</f>
        <v>19016.3667556709</v>
      </c>
      <c r="S523" s="42" t="n">
        <f aca="false">R523/$K$2</f>
        <v>81.0414095703002</v>
      </c>
      <c r="T523" s="43" t="n">
        <f aca="false">S523-$M$2</f>
        <v>0.0271329881565521</v>
      </c>
    </row>
    <row r="524" customFormat="false" ht="15" hidden="false" customHeight="false" outlineLevel="0" collapsed="false">
      <c r="A524" s="5" t="n">
        <v>15</v>
      </c>
      <c r="B524" s="25" t="n">
        <f aca="false">IF(T523&gt;0,B523,D523)</f>
        <v>-0.0308837890625</v>
      </c>
      <c r="C524" s="25" t="n">
        <f aca="false">IF(T523&gt;0,D523,C523)</f>
        <v>-0.030792236328125</v>
      </c>
      <c r="D524" s="41" t="n">
        <f aca="false">(B524+C524)/2</f>
        <v>-0.0308380126953125</v>
      </c>
      <c r="E524" s="15" t="n">
        <f aca="false">$C$2*(1+IF(E$3&lt;=$O$2,$D524,$D524-($D524-$I$508)*MIN(E$3-$O$2,$Q$2)/$Q$2))</f>
        <v>6357.70263671875</v>
      </c>
      <c r="F524" s="15" t="n">
        <f aca="false">E524*(1+IF(F$3&lt;=$O$2,$D524,$D524-($D524-$I$508)*MIN(F$3-$O$2,$Q$2)/$Q$2))</f>
        <v>6161.6437220946</v>
      </c>
      <c r="G524" s="15" t="n">
        <f aca="false">F524*(1+IF(G$3&lt;=$O$2,$D524,$D524-($D524-$I$508)*MIN(G$3-$O$2,$Q$2)/$Q$2))</f>
        <v>5971.63087476865</v>
      </c>
      <c r="H524" s="15" t="n">
        <f aca="false">G524*(1+IF(H$3&lt;=$O$2,$D524,$D524-($D524-$I$508)*MIN(H$3-$O$2,$Q$2)/$Q$2))</f>
        <v>5787.47764604081</v>
      </c>
      <c r="I524" s="15" t="n">
        <f aca="false">H524*(1+IF(I$3&lt;=$O$2,$D524,$D524-($D524-$I$508)*MIN(I$3-$O$2,$Q$2)/$Q$2))</f>
        <v>5609.00333691837</v>
      </c>
      <c r="J524" s="15" t="n">
        <f aca="false">I524*(1+IF(J$3&lt;=$O$2,$D524,$D524-($D524-$I$508)*MIN(J$3-$O$2,$Q$2)/$Q$2))</f>
        <v>5502.37388291578</v>
      </c>
      <c r="K524" s="15" t="n">
        <f aca="false">J524*(1+IF(K$3&lt;=$O$2,$D524,$D524-($D524-$I$508)*MIN(K$3-$O$2,$Q$2)/$Q$2))</f>
        <v>5462.85138987696</v>
      </c>
      <c r="L524" s="15" t="n">
        <f aca="false">K524*(1+IF(L$3&lt;=$O$2,$D524,$D524-($D524-$I$508)*MIN(L$3-$O$2,$Q$2)/$Q$2))</f>
        <v>5488.22521427161</v>
      </c>
      <c r="M524" s="15" t="n">
        <f aca="false">L524*(1+IF(M$3&lt;=$O$2,$D524,$D524-($D524-$I$508)*MIN(M$3-$O$2,$Q$2)/$Q$2))</f>
        <v>5578.62944135624</v>
      </c>
      <c r="N524" s="15" t="n">
        <f aca="false">M524*(1+IF(N$3&lt;=$O$2,$D524,$D524-($D524-$I$508)*MIN(N$3-$O$2,$Q$2)/$Q$2))</f>
        <v>5736.50465454662</v>
      </c>
      <c r="O524" s="15" t="n">
        <f aca="false">SUMPRODUCT(E524:N524,1/(1+$F$508)^$E$3:$N$3)*$E$2</f>
        <v>12136.1914231313</v>
      </c>
      <c r="P524" s="15" t="n">
        <f aca="false">N524*$E$2*(1+$I$508)/($F$508-$I$508)/(1+$F$508)^$N$3</f>
        <v>14218.3011580891</v>
      </c>
      <c r="Q524" s="15" t="n">
        <f aca="false">O524+P524</f>
        <v>26354.4925812204</v>
      </c>
      <c r="R524" s="15" t="n">
        <f aca="false">Q524-$G$2+$I$2</f>
        <v>19009.2925812204</v>
      </c>
      <c r="S524" s="42" t="n">
        <f aca="false">R524/$K$2</f>
        <v>81.0112617993625</v>
      </c>
      <c r="T524" s="43" t="n">
        <f aca="false">S524-$M$2</f>
        <v>-0.00301478278116463</v>
      </c>
    </row>
    <row r="525" customFormat="false" ht="15" hidden="false" customHeight="false" outlineLevel="0" collapsed="false">
      <c r="A525" s="5" t="n">
        <v>16</v>
      </c>
      <c r="B525" s="25" t="n">
        <f aca="false">IF(T524&gt;0,B524,D524)</f>
        <v>-0.0308380126953125</v>
      </c>
      <c r="C525" s="25" t="n">
        <f aca="false">IF(T524&gt;0,D524,C524)</f>
        <v>-0.030792236328125</v>
      </c>
      <c r="D525" s="41" t="n">
        <f aca="false">(B525+C525)/2</f>
        <v>-0.0308151245117188</v>
      </c>
      <c r="E525" s="15" t="n">
        <f aca="false">$C$2*(1+IF(E$3&lt;=$O$2,$D525,$D525-($D525-$I$508)*MIN(E$3-$O$2,$Q$2)/$Q$2))</f>
        <v>6357.85278320313</v>
      </c>
      <c r="F525" s="15" t="n">
        <f aca="false">E525*(1+IF(F$3&lt;=$O$2,$D525,$D525-($D525-$I$508)*MIN(F$3-$O$2,$Q$2)/$Q$2))</f>
        <v>6161.93475806154</v>
      </c>
      <c r="G525" s="15" t="n">
        <f aca="false">F525*(1+IF(G$3&lt;=$O$2,$D525,$D525-($D525-$I$508)*MIN(G$3-$O$2,$Q$2)/$Q$2))</f>
        <v>5972.05397125879</v>
      </c>
      <c r="H525" s="15" t="n">
        <f aca="false">G525*(1+IF(H$3&lt;=$O$2,$D525,$D525-($D525-$I$508)*MIN(H$3-$O$2,$Q$2)/$Q$2))</f>
        <v>5788.02438454374</v>
      </c>
      <c r="I525" s="15" t="n">
        <f aca="false">H525*(1+IF(I$3&lt;=$O$2,$D525,$D525-($D525-$I$508)*MIN(I$3-$O$2,$Q$2)/$Q$2))</f>
        <v>5609.66569245716</v>
      </c>
      <c r="J525" s="15" t="n">
        <f aca="false">I525*(1+IF(J$3&lt;=$O$2,$D525,$D525-($D525-$I$508)*MIN(J$3-$O$2,$Q$2)/$Q$2))</f>
        <v>5503.12636285072</v>
      </c>
      <c r="K525" s="15" t="n">
        <f aca="false">J525*(1+IF(K$3&lt;=$O$2,$D525,$D525-($D525-$I$508)*MIN(K$3-$O$2,$Q$2)/$Q$2))</f>
        <v>5463.67403883322</v>
      </c>
      <c r="L525" s="15" t="n">
        <f aca="false">K525*(1+IF(L$3&lt;=$O$2,$D525,$D525-($D525-$I$508)*MIN(L$3-$O$2,$Q$2)/$Q$2))</f>
        <v>5489.10170569337</v>
      </c>
      <c r="M525" s="15" t="n">
        <f aca="false">L525*(1+IF(M$3&lt;=$O$2,$D525,$D525-($D525-$I$508)*MIN(M$3-$O$2,$Q$2)/$Q$2))</f>
        <v>5579.54549780658</v>
      </c>
      <c r="N525" s="15" t="n">
        <f aca="false">M525*(1+IF(N$3&lt;=$O$2,$D525,$D525-($D525-$I$508)*MIN(N$3-$O$2,$Q$2)/$Q$2))</f>
        <v>5737.4466353945</v>
      </c>
      <c r="O525" s="15" t="n">
        <f aca="false">SUMPRODUCT(E525:N525,1/(1+$F$508)^$E$3:$N$3)*$E$2</f>
        <v>12137.3935204355</v>
      </c>
      <c r="P525" s="15" t="n">
        <f aca="false">N525*$E$2*(1+$I$508)/($F$508-$I$508)/(1+$F$508)^$N$3</f>
        <v>14220.6359190955</v>
      </c>
      <c r="Q525" s="15" t="n">
        <f aca="false">O525+P525</f>
        <v>26358.0294395309</v>
      </c>
      <c r="R525" s="15" t="n">
        <f aca="false">Q525-$G$2+$I$2</f>
        <v>19012.8294395309</v>
      </c>
      <c r="S525" s="42" t="n">
        <f aca="false">R525/$K$2</f>
        <v>81.0263347092731</v>
      </c>
      <c r="T525" s="43" t="n">
        <f aca="false">S525-$M$2</f>
        <v>0.012058127129464</v>
      </c>
    </row>
    <row r="526" customFormat="false" ht="15" hidden="false" customHeight="false" outlineLevel="0" collapsed="false">
      <c r="A526" s="5" t="n">
        <v>17</v>
      </c>
      <c r="B526" s="25" t="n">
        <f aca="false">IF(T525&gt;0,B525,D525)</f>
        <v>-0.0308380126953125</v>
      </c>
      <c r="C526" s="25" t="n">
        <f aca="false">IF(T525&gt;0,D525,C525)</f>
        <v>-0.0308151245117188</v>
      </c>
      <c r="D526" s="41" t="n">
        <f aca="false">(B526+C526)/2</f>
        <v>-0.0308265686035156</v>
      </c>
      <c r="E526" s="15" t="n">
        <f aca="false">$C$2*(1+IF(E$3&lt;=$O$2,$D526,$D526-($D526-$I$508)*MIN(E$3-$O$2,$Q$2)/$Q$2))</f>
        <v>6357.77770996094</v>
      </c>
      <c r="F526" s="15" t="n">
        <f aca="false">E526*(1+IF(F$3&lt;=$O$2,$D526,$D526-($D526-$I$508)*MIN(F$3-$O$2,$Q$2)/$Q$2))</f>
        <v>6161.78923921892</v>
      </c>
      <c r="G526" s="15" t="n">
        <f aca="false">F526*(1+IF(G$3&lt;=$O$2,$D526,$D526-($D526-$I$508)*MIN(G$3-$O$2,$Q$2)/$Q$2))</f>
        <v>5971.84242051574</v>
      </c>
      <c r="H526" s="15" t="n">
        <f aca="false">G526*(1+IF(H$3&lt;=$O$2,$D526,$D526-($D526-$I$508)*MIN(H$3-$O$2,$Q$2)/$Q$2))</f>
        <v>5787.75101045032</v>
      </c>
      <c r="I526" s="15" t="n">
        <f aca="false">H526*(1+IF(I$3&lt;=$O$2,$D526,$D526-($D526-$I$508)*MIN(I$3-$O$2,$Q$2)/$Q$2))</f>
        <v>5609.33450686661</v>
      </c>
      <c r="J526" s="15" t="n">
        <f aca="false">I526*(1+IF(J$3&lt;=$O$2,$D526,$D526-($D526-$I$508)*MIN(J$3-$O$2,$Q$2)/$Q$2))</f>
        <v>5502.75011217868</v>
      </c>
      <c r="K526" s="15" t="n">
        <f aca="false">J526*(1+IF(K$3&lt;=$O$2,$D526,$D526-($D526-$I$508)*MIN(K$3-$O$2,$Q$2)/$Q$2))</f>
        <v>5463.2627011439</v>
      </c>
      <c r="L526" s="15" t="n">
        <f aca="false">K526*(1+IF(L$3&lt;=$O$2,$D526,$D526-($D526-$I$508)*MIN(L$3-$O$2,$Q$2)/$Q$2))</f>
        <v>5488.66344482698</v>
      </c>
      <c r="M526" s="15" t="n">
        <f aca="false">L526*(1+IF(M$3&lt;=$O$2,$D526,$D526-($D526-$I$508)*MIN(M$3-$O$2,$Q$2)/$Q$2))</f>
        <v>5579.08745317315</v>
      </c>
      <c r="N526" s="15" t="n">
        <f aca="false">M526*(1+IF(N$3&lt;=$O$2,$D526,$D526-($D526-$I$508)*MIN(N$3-$O$2,$Q$2)/$Q$2))</f>
        <v>5736.97562809795</v>
      </c>
      <c r="O526" s="15" t="n">
        <f aca="false">SUMPRODUCT(E526:N526,1/(1+$F$508)^$E$3:$N$3)*$E$2</f>
        <v>12136.7924563779</v>
      </c>
      <c r="P526" s="15" t="n">
        <f aca="false">N526*$E$2*(1+$I$508)/($F$508-$I$508)/(1+$F$508)^$N$3</f>
        <v>14219.4684967724</v>
      </c>
      <c r="Q526" s="15" t="n">
        <f aca="false">O526+P526</f>
        <v>26356.2609531503</v>
      </c>
      <c r="R526" s="15" t="n">
        <f aca="false">Q526-$G$2+$I$2</f>
        <v>19011.0609531503</v>
      </c>
      <c r="S526" s="42" t="n">
        <f aca="false">R526/$K$2</f>
        <v>81.0187980104424</v>
      </c>
      <c r="T526" s="43" t="n">
        <f aca="false">S526-$M$2</f>
        <v>0.00452142829874447</v>
      </c>
    </row>
    <row r="527" customFormat="false" ht="15" hidden="false" customHeight="false" outlineLevel="0" collapsed="false">
      <c r="A527" s="5" t="n">
        <v>18</v>
      </c>
      <c r="B527" s="25" t="n">
        <f aca="false">IF(T526&gt;0,B526,D526)</f>
        <v>-0.0308380126953125</v>
      </c>
      <c r="C527" s="25" t="n">
        <f aca="false">IF(T526&gt;0,D526,C526)</f>
        <v>-0.0308265686035156</v>
      </c>
      <c r="D527" s="41" t="n">
        <f aca="false">(B527+C527)/2</f>
        <v>-0.0308322906494141</v>
      </c>
      <c r="E527" s="15" t="n">
        <f aca="false">$C$2*(1+IF(E$3&lt;=$O$2,$D527,$D527-($D527-$I$508)*MIN(E$3-$O$2,$Q$2)/$Q$2))</f>
        <v>6357.74017333984</v>
      </c>
      <c r="F527" s="15" t="n">
        <f aca="false">E527*(1+IF(F$3&lt;=$O$2,$D527,$D527-($D527-$I$508)*MIN(F$3-$O$2,$Q$2)/$Q$2))</f>
        <v>6161.71648044197</v>
      </c>
      <c r="G527" s="15" t="n">
        <f aca="false">F527*(1+IF(G$3&lt;=$O$2,$D527,$D527-($D527-$I$508)*MIN(G$3-$O$2,$Q$2)/$Q$2))</f>
        <v>5971.7366470177</v>
      </c>
      <c r="H527" s="15" t="n">
        <f aca="false">G527*(1+IF(H$3&lt;=$O$2,$D527,$D527-($D527-$I$508)*MIN(H$3-$O$2,$Q$2)/$Q$2))</f>
        <v>5787.6143270351</v>
      </c>
      <c r="I527" s="15" t="n">
        <f aca="false">H527*(1+IF(I$3&lt;=$O$2,$D527,$D527-($D527-$I$508)*MIN(I$3-$O$2,$Q$2)/$Q$2))</f>
        <v>5609.16891993724</v>
      </c>
      <c r="J527" s="15" t="n">
        <f aca="false">I527*(1+IF(J$3&lt;=$O$2,$D527,$D527-($D527-$I$508)*MIN(J$3-$O$2,$Q$2)/$Q$2))</f>
        <v>5502.56199487115</v>
      </c>
      <c r="K527" s="15" t="n">
        <f aca="false">J527*(1+IF(K$3&lt;=$O$2,$D527,$D527-($D527-$I$508)*MIN(K$3-$O$2,$Q$2)/$Q$2))</f>
        <v>5463.05704220772</v>
      </c>
      <c r="L527" s="15" t="n">
        <f aca="false">K527*(1+IF(L$3&lt;=$O$2,$D527,$D527-($D527-$I$508)*MIN(L$3-$O$2,$Q$2)/$Q$2))</f>
        <v>5488.44432576053</v>
      </c>
      <c r="M527" s="15" t="n">
        <f aca="false">L527*(1+IF(M$3&lt;=$O$2,$D527,$D527-($D527-$I$508)*MIN(M$3-$O$2,$Q$2)/$Q$2))</f>
        <v>5578.85844316276</v>
      </c>
      <c r="N527" s="15" t="n">
        <f aca="false">M527*(1+IF(N$3&lt;=$O$2,$D527,$D527-($D527-$I$508)*MIN(N$3-$O$2,$Q$2)/$Q$2))</f>
        <v>5736.74013710426</v>
      </c>
      <c r="O527" s="15" t="n">
        <f aca="false">SUMPRODUCT(E527:N527,1/(1+$F$508)^$E$3:$N$3)*$E$2</f>
        <v>12136.4919359033</v>
      </c>
      <c r="P527" s="15" t="n">
        <f aca="false">N527*$E$2*(1+$I$508)/($F$508-$I$508)/(1+$F$508)^$N$3</f>
        <v>14218.8848169761</v>
      </c>
      <c r="Q527" s="15" t="n">
        <f aca="false">O527+P527</f>
        <v>26355.3767528794</v>
      </c>
      <c r="R527" s="15" t="n">
        <f aca="false">Q527-$G$2+$I$2</f>
        <v>19010.1767528794</v>
      </c>
      <c r="S527" s="42" t="n">
        <f aca="false">R527/$K$2</f>
        <v>81.0150298439354</v>
      </c>
      <c r="T527" s="43" t="n">
        <f aca="false">S527-$M$2</f>
        <v>0.000753261791729187</v>
      </c>
    </row>
    <row r="528" customFormat="false" ht="15" hidden="false" customHeight="false" outlineLevel="0" collapsed="false">
      <c r="A528" s="5" t="n">
        <v>19</v>
      </c>
      <c r="B528" s="25" t="n">
        <f aca="false">IF(T527&gt;0,B527,D527)</f>
        <v>-0.0308380126953125</v>
      </c>
      <c r="C528" s="25" t="n">
        <f aca="false">IF(T527&gt;0,D527,C527)</f>
        <v>-0.0308322906494141</v>
      </c>
      <c r="D528" s="41" t="n">
        <f aca="false">(B528+C528)/2</f>
        <v>-0.0308351516723633</v>
      </c>
      <c r="E528" s="15" t="n">
        <f aca="false">$C$2*(1+IF(E$3&lt;=$O$2,$D528,$D528-($D528-$I$508)*MIN(E$3-$O$2,$Q$2)/$Q$2))</f>
        <v>6357.7214050293</v>
      </c>
      <c r="F528" s="15" t="n">
        <f aca="false">E528*(1+IF(F$3&lt;=$O$2,$D528,$D528-($D528-$I$508)*MIN(F$3-$O$2,$Q$2)/$Q$2))</f>
        <v>6161.68010121459</v>
      </c>
      <c r="G528" s="15" t="n">
        <f aca="false">F528*(1+IF(G$3&lt;=$O$2,$D528,$D528-($D528-$I$508)*MIN(G$3-$O$2,$Q$2)/$Q$2))</f>
        <v>5971.68376073705</v>
      </c>
      <c r="H528" s="15" t="n">
        <f aca="false">G528*(1+IF(H$3&lt;=$O$2,$D528,$D528-($D528-$I$508)*MIN(H$3-$O$2,$Q$2)/$Q$2))</f>
        <v>5787.54598623534</v>
      </c>
      <c r="I528" s="15" t="n">
        <f aca="false">H528*(1+IF(I$3&lt;=$O$2,$D528,$D528-($D528-$I$508)*MIN(I$3-$O$2,$Q$2)/$Q$2))</f>
        <v>5609.08612793899</v>
      </c>
      <c r="J528" s="15" t="n">
        <f aca="false">I528*(1+IF(J$3&lt;=$O$2,$D528,$D528-($D528-$I$508)*MIN(J$3-$O$2,$Q$2)/$Q$2))</f>
        <v>5502.46793822445</v>
      </c>
      <c r="K528" s="15" t="n">
        <f aca="false">J528*(1+IF(K$3&lt;=$O$2,$D528,$D528-($D528-$I$508)*MIN(K$3-$O$2,$Q$2)/$Q$2))</f>
        <v>5462.95421521667</v>
      </c>
      <c r="L528" s="15" t="n">
        <f aca="false">K528*(1+IF(L$3&lt;=$O$2,$D528,$D528-($D528-$I$508)*MIN(L$3-$O$2,$Q$2)/$Q$2))</f>
        <v>5488.3347690689</v>
      </c>
      <c r="M528" s="15" t="n">
        <f aca="false">L528*(1+IF(M$3&lt;=$O$2,$D528,$D528-($D528-$I$508)*MIN(M$3-$O$2,$Q$2)/$Q$2))</f>
        <v>5578.74394123403</v>
      </c>
      <c r="N528" s="15" t="n">
        <f aca="false">M528*(1+IF(N$3&lt;=$O$2,$D528,$D528-($D528-$I$508)*MIN(N$3-$O$2,$Q$2)/$Q$2))</f>
        <v>5736.62239477095</v>
      </c>
      <c r="O528" s="15" t="n">
        <f aca="false">SUMPRODUCT(E528:N528,1/(1+$F$508)^$E$3:$N$3)*$E$2</f>
        <v>12136.3416785545</v>
      </c>
      <c r="P528" s="15" t="n">
        <f aca="false">N528*$E$2*(1+$I$508)/($F$508-$I$508)/(1+$F$508)^$N$3</f>
        <v>14218.592984919</v>
      </c>
      <c r="Q528" s="15" t="n">
        <f aca="false">O528+P528</f>
        <v>26354.9346634735</v>
      </c>
      <c r="R528" s="15" t="n">
        <f aca="false">Q528-$G$2+$I$2</f>
        <v>19009.7346634735</v>
      </c>
      <c r="S528" s="42" t="n">
        <f aca="false">R528/$K$2</f>
        <v>81.0131458064073</v>
      </c>
      <c r="T528" s="43" t="n">
        <f aca="false">S528-$M$2</f>
        <v>-0.00113077573628573</v>
      </c>
    </row>
    <row r="529" customFormat="false" ht="15" hidden="false" customHeight="false" outlineLevel="0" collapsed="false">
      <c r="A529" s="5" t="n">
        <v>20</v>
      </c>
      <c r="B529" s="25" t="n">
        <f aca="false">IF(T528&gt;0,B528,D528)</f>
        <v>-0.0308351516723633</v>
      </c>
      <c r="C529" s="25" t="n">
        <f aca="false">IF(T528&gt;0,D528,C528)</f>
        <v>-0.0308322906494141</v>
      </c>
      <c r="D529" s="41" t="n">
        <f aca="false">(B529+C529)/2</f>
        <v>-0.0308337211608887</v>
      </c>
      <c r="E529" s="15" t="n">
        <f aca="false">$C$2*(1+IF(E$3&lt;=$O$2,$D529,$D529-($D529-$I$508)*MIN(E$3-$O$2,$Q$2)/$Q$2))</f>
        <v>6357.73078918457</v>
      </c>
      <c r="F529" s="15" t="n">
        <f aca="false">E529*(1+IF(F$3&lt;=$O$2,$D529,$D529-($D529-$I$508)*MIN(F$3-$O$2,$Q$2)/$Q$2))</f>
        <v>6161.69829081486</v>
      </c>
      <c r="G529" s="15" t="n">
        <f aca="false">F529*(1+IF(G$3&lt;=$O$2,$D529,$D529-($D529-$I$508)*MIN(G$3-$O$2,$Q$2)/$Q$2))</f>
        <v>5971.71020383835</v>
      </c>
      <c r="H529" s="15" t="n">
        <f aca="false">G529*(1+IF(H$3&lt;=$O$2,$D529,$D529-($D529-$I$508)*MIN(H$3-$O$2,$Q$2)/$Q$2))</f>
        <v>5787.58015655956</v>
      </c>
      <c r="I529" s="15" t="n">
        <f aca="false">H529*(1+IF(I$3&lt;=$O$2,$D529,$D529-($D529-$I$508)*MIN(I$3-$O$2,$Q$2)/$Q$2))</f>
        <v>5609.12752381591</v>
      </c>
      <c r="J529" s="15" t="n">
        <f aca="false">I529*(1+IF(J$3&lt;=$O$2,$D529,$D529-($D529-$I$508)*MIN(J$3-$O$2,$Q$2)/$Q$2))</f>
        <v>5502.51496638055</v>
      </c>
      <c r="K529" s="15" t="n">
        <f aca="false">J529*(1+IF(K$3&lt;=$O$2,$D529,$D529-($D529-$I$508)*MIN(K$3-$O$2,$Q$2)/$Q$2))</f>
        <v>5463.00562850578</v>
      </c>
      <c r="L529" s="15" t="n">
        <f aca="false">K529*(1+IF(L$3&lt;=$O$2,$D529,$D529-($D529-$I$508)*MIN(L$3-$O$2,$Q$2)/$Q$2))</f>
        <v>5488.38954717792</v>
      </c>
      <c r="M529" s="15" t="n">
        <f aca="false">L529*(1+IF(M$3&lt;=$O$2,$D529,$D529-($D529-$I$508)*MIN(M$3-$O$2,$Q$2)/$Q$2))</f>
        <v>5578.80119194202</v>
      </c>
      <c r="N529" s="15" t="n">
        <f aca="false">M529*(1+IF(N$3&lt;=$O$2,$D529,$D529-($D529-$I$508)*MIN(N$3-$O$2,$Q$2)/$Q$2))</f>
        <v>5736.68126567398</v>
      </c>
      <c r="O529" s="15" t="n">
        <f aca="false">SUMPRODUCT(E529:N529,1/(1+$F$508)^$E$3:$N$3)*$E$2</f>
        <v>12136.4168069882</v>
      </c>
      <c r="P529" s="15" t="n">
        <f aca="false">N529*$E$2*(1+$I$508)/($F$508-$I$508)/(1+$F$508)^$N$3</f>
        <v>14218.7389002941</v>
      </c>
      <c r="Q529" s="15" t="n">
        <f aca="false">O529+P529</f>
        <v>26355.1557072823</v>
      </c>
      <c r="R529" s="15" t="n">
        <f aca="false">Q529-$G$2+$I$2</f>
        <v>19009.9557072823</v>
      </c>
      <c r="S529" s="42" t="n">
        <f aca="false">R529/$K$2</f>
        <v>81.0140878213609</v>
      </c>
      <c r="T529" s="43" t="n">
        <f aca="false">S529-$M$2</f>
        <v>-0.000188760782705799</v>
      </c>
    </row>
    <row r="530" customFormat="false" ht="15" hidden="false" customHeight="false" outlineLevel="0" collapsed="false">
      <c r="A530" s="5" t="n">
        <v>21</v>
      </c>
      <c r="B530" s="25" t="n">
        <f aca="false">IF(T529&gt;0,B529,D529)</f>
        <v>-0.0308337211608887</v>
      </c>
      <c r="C530" s="25" t="n">
        <f aca="false">IF(T529&gt;0,D529,C529)</f>
        <v>-0.0308322906494141</v>
      </c>
      <c r="D530" s="41" t="n">
        <f aca="false">(B530+C530)/2</f>
        <v>-0.0308330059051514</v>
      </c>
      <c r="E530" s="15" t="n">
        <f aca="false">$C$2*(1+IF(E$3&lt;=$O$2,$D530,$D530-($D530-$I$508)*MIN(E$3-$O$2,$Q$2)/$Q$2))</f>
        <v>6357.73548126221</v>
      </c>
      <c r="F530" s="15" t="n">
        <f aca="false">E530*(1+IF(F$3&lt;=$O$2,$D530,$D530-($D530-$I$508)*MIN(F$3-$O$2,$Q$2)/$Q$2))</f>
        <v>6161.70738562506</v>
      </c>
      <c r="G530" s="15" t="n">
        <f aca="false">F530*(1+IF(G$3&lt;=$O$2,$D530,$D530-($D530-$I$508)*MIN(G$3-$O$2,$Q$2)/$Q$2))</f>
        <v>5971.72342541827</v>
      </c>
      <c r="H530" s="15" t="n">
        <f aca="false">G530*(1+IF(H$3&lt;=$O$2,$D530,$D530-($D530-$I$508)*MIN(H$3-$O$2,$Q$2)/$Q$2))</f>
        <v>5787.59724177841</v>
      </c>
      <c r="I530" s="15" t="n">
        <f aca="false">H530*(1+IF(I$3&lt;=$O$2,$D530,$D530-($D530-$I$508)*MIN(I$3-$O$2,$Q$2)/$Q$2))</f>
        <v>5609.14822184602</v>
      </c>
      <c r="J530" s="15" t="n">
        <f aca="false">I530*(1+IF(J$3&lt;=$O$2,$D530,$D530-($D530-$I$508)*MIN(J$3-$O$2,$Q$2)/$Q$2))</f>
        <v>5502.53848058403</v>
      </c>
      <c r="K530" s="15" t="n">
        <f aca="false">J530*(1+IF(K$3&lt;=$O$2,$D530,$D530-($D530-$I$508)*MIN(K$3-$O$2,$Q$2)/$Q$2))</f>
        <v>5463.03133530514</v>
      </c>
      <c r="L530" s="15" t="n">
        <f aca="false">K530*(1+IF(L$3&lt;=$O$2,$D530,$D530-($D530-$I$508)*MIN(L$3-$O$2,$Q$2)/$Q$2))</f>
        <v>5488.41693641003</v>
      </c>
      <c r="M530" s="15" t="n">
        <f aca="false">L530*(1+IF(M$3&lt;=$O$2,$D530,$D530-($D530-$I$508)*MIN(M$3-$O$2,$Q$2)/$Q$2))</f>
        <v>5578.8298174883</v>
      </c>
      <c r="N530" s="15" t="n">
        <f aca="false">M530*(1+IF(N$3&lt;=$O$2,$D530,$D530-($D530-$I$508)*MIN(N$3-$O$2,$Q$2)/$Q$2))</f>
        <v>5736.71070132322</v>
      </c>
      <c r="O530" s="15" t="n">
        <f aca="false">SUMPRODUCT(E530:N530,1/(1+$F$508)^$E$3:$N$3)*$E$2</f>
        <v>12136.4543713856</v>
      </c>
      <c r="P530" s="15" t="n">
        <f aca="false">N530*$E$2*(1+$I$508)/($F$508-$I$508)/(1+$F$508)^$N$3</f>
        <v>14218.8118584718</v>
      </c>
      <c r="Q530" s="15" t="n">
        <f aca="false">O530+P530</f>
        <v>26355.2662298574</v>
      </c>
      <c r="R530" s="15" t="n">
        <f aca="false">Q530-$G$2+$I$2</f>
        <v>19010.0662298574</v>
      </c>
      <c r="S530" s="42" t="n">
        <f aca="false">R530/$K$2</f>
        <v>81.0145588316955</v>
      </c>
      <c r="T530" s="43" t="n">
        <f aca="false">S530-$M$2</f>
        <v>0.000282249551901259</v>
      </c>
    </row>
    <row r="531" customFormat="false" ht="15" hidden="false" customHeight="false" outlineLevel="0" collapsed="false">
      <c r="A531" s="5" t="n">
        <v>22</v>
      </c>
      <c r="B531" s="25" t="n">
        <f aca="false">IF(T530&gt;0,B530,D530)</f>
        <v>-0.0308337211608887</v>
      </c>
      <c r="C531" s="25" t="n">
        <f aca="false">IF(T530&gt;0,D530,C530)</f>
        <v>-0.0308330059051514</v>
      </c>
      <c r="D531" s="41" t="n">
        <f aca="false">(B531+C531)/2</f>
        <v>-0.03083336353302</v>
      </c>
      <c r="E531" s="15" t="n">
        <f aca="false">$C$2*(1+IF(E$3&lt;=$O$2,$D531,$D531-($D531-$I$508)*MIN(E$3-$O$2,$Q$2)/$Q$2))</f>
        <v>6357.73313522339</v>
      </c>
      <c r="F531" s="15" t="n">
        <f aca="false">E531*(1+IF(F$3&lt;=$O$2,$D531,$D531-($D531-$I$508)*MIN(F$3-$O$2,$Q$2)/$Q$2))</f>
        <v>6161.70283821912</v>
      </c>
      <c r="G531" s="15" t="n">
        <f aca="false">F531*(1+IF(G$3&lt;=$O$2,$D531,$D531-($D531-$I$508)*MIN(G$3-$O$2,$Q$2)/$Q$2))</f>
        <v>5971.71681462587</v>
      </c>
      <c r="H531" s="15" t="n">
        <f aca="false">G531*(1+IF(H$3&lt;=$O$2,$D531,$D531-($D531-$I$508)*MIN(H$3-$O$2,$Q$2)/$Q$2))</f>
        <v>5787.58869916426</v>
      </c>
      <c r="I531" s="15" t="n">
        <f aca="false">H531*(1+IF(I$3&lt;=$O$2,$D531,$D531-($D531-$I$508)*MIN(I$3-$O$2,$Q$2)/$Q$2))</f>
        <v>5609.13787282333</v>
      </c>
      <c r="J531" s="15" t="n">
        <f aca="false">I531*(1+IF(J$3&lt;=$O$2,$D531,$D531-($D531-$I$508)*MIN(J$3-$O$2,$Q$2)/$Q$2))</f>
        <v>5502.52672347184</v>
      </c>
      <c r="K531" s="15" t="n">
        <f aca="false">J531*(1+IF(K$3&lt;=$O$2,$D531,$D531-($D531-$I$508)*MIN(K$3-$O$2,$Q$2)/$Q$2))</f>
        <v>5463.01848189256</v>
      </c>
      <c r="L531" s="15" t="n">
        <f aca="false">K531*(1+IF(L$3&lt;=$O$2,$D531,$D531-($D531-$I$508)*MIN(L$3-$O$2,$Q$2)/$Q$2))</f>
        <v>5488.40324177917</v>
      </c>
      <c r="M531" s="15" t="n">
        <f aca="false">L531*(1+IF(M$3&lt;=$O$2,$D531,$D531-($D531-$I$508)*MIN(M$3-$O$2,$Q$2)/$Q$2))</f>
        <v>5578.81550469914</v>
      </c>
      <c r="N531" s="15" t="n">
        <f aca="false">M531*(1+IF(N$3&lt;=$O$2,$D531,$D531-($D531-$I$508)*MIN(N$3-$O$2,$Q$2)/$Q$2))</f>
        <v>5736.69598348212</v>
      </c>
      <c r="O531" s="15" t="n">
        <f aca="false">SUMPRODUCT(E531:N531,1/(1+$F$508)^$E$3:$N$3)*$E$2</f>
        <v>12136.4355891719</v>
      </c>
      <c r="P531" s="15" t="n">
        <f aca="false">N531*$E$2*(1+$I$508)/($F$508-$I$508)/(1+$F$508)^$N$3</f>
        <v>14218.7753793421</v>
      </c>
      <c r="Q531" s="15" t="n">
        <f aca="false">O531+P531</f>
        <v>26355.210968514</v>
      </c>
      <c r="R531" s="15" t="n">
        <f aca="false">Q531-$G$2+$I$2</f>
        <v>19010.010968514</v>
      </c>
      <c r="S531" s="42" t="n">
        <f aca="false">R531/$K$2</f>
        <v>81.0143233262901</v>
      </c>
      <c r="T531" s="43" t="n">
        <f aca="false">S531-$M$2</f>
        <v>4.6744146473543E-005</v>
      </c>
    </row>
    <row r="532" customFormat="false" ht="15" hidden="false" customHeight="false" outlineLevel="0" collapsed="false">
      <c r="A532" s="5" t="n">
        <v>23</v>
      </c>
      <c r="B532" s="25" t="n">
        <f aca="false">IF(T531&gt;0,B531,D531)</f>
        <v>-0.0308337211608887</v>
      </c>
      <c r="C532" s="25" t="n">
        <f aca="false">IF(T531&gt;0,D531,C531)</f>
        <v>-0.03083336353302</v>
      </c>
      <c r="D532" s="41" t="n">
        <f aca="false">(B532+C532)/2</f>
        <v>-0.0308335423469543</v>
      </c>
      <c r="E532" s="15" t="n">
        <f aca="false">$C$2*(1+IF(E$3&lt;=$O$2,$D532,$D532-($D532-$I$508)*MIN(E$3-$O$2,$Q$2)/$Q$2))</f>
        <v>6357.73196220398</v>
      </c>
      <c r="F532" s="15" t="n">
        <f aca="false">E532*(1+IF(F$3&lt;=$O$2,$D532,$D532-($D532-$I$508)*MIN(F$3-$O$2,$Q$2)/$Q$2))</f>
        <v>6161.70056451678</v>
      </c>
      <c r="G532" s="15" t="n">
        <f aca="false">F532*(1+IF(G$3&lt;=$O$2,$D532,$D532-($D532-$I$508)*MIN(G$3-$O$2,$Q$2)/$Q$2))</f>
        <v>5971.7135092315</v>
      </c>
      <c r="H532" s="15" t="n">
        <f aca="false">G532*(1+IF(H$3&lt;=$O$2,$D532,$D532-($D532-$I$508)*MIN(H$3-$O$2,$Q$2)/$Q$2))</f>
        <v>5787.58442786073</v>
      </c>
      <c r="I532" s="15" t="n">
        <f aca="false">H532*(1+IF(I$3&lt;=$O$2,$D532,$D532-($D532-$I$508)*MIN(I$3-$O$2,$Q$2)/$Q$2))</f>
        <v>5609.13269831771</v>
      </c>
      <c r="J532" s="15" t="n">
        <f aca="false">I532*(1+IF(J$3&lt;=$O$2,$D532,$D532-($D532-$I$508)*MIN(J$3-$O$2,$Q$2)/$Q$2))</f>
        <v>5502.52084492358</v>
      </c>
      <c r="K532" s="15" t="n">
        <f aca="false">J532*(1+IF(K$3&lt;=$O$2,$D532,$D532-($D532-$I$508)*MIN(K$3-$O$2,$Q$2)/$Q$2))</f>
        <v>5463.01205519594</v>
      </c>
      <c r="L532" s="15" t="n">
        <f aca="false">K532*(1+IF(L$3&lt;=$O$2,$D532,$D532-($D532-$I$508)*MIN(L$3-$O$2,$Q$2)/$Q$2))</f>
        <v>5488.39639447485</v>
      </c>
      <c r="M532" s="15" t="n">
        <f aca="false">L532*(1+IF(M$3&lt;=$O$2,$D532,$D532-($D532-$I$508)*MIN(M$3-$O$2,$Q$2)/$Q$2))</f>
        <v>5578.80834831658</v>
      </c>
      <c r="N532" s="15" t="n">
        <f aca="false">M532*(1+IF(N$3&lt;=$O$2,$D532,$D532-($D532-$I$508)*MIN(N$3-$O$2,$Q$2)/$Q$2))</f>
        <v>5736.68862457393</v>
      </c>
      <c r="O532" s="15" t="n">
        <f aca="false">SUMPRODUCT(E532:N532,1/(1+$F$508)^$E$3:$N$3)*$E$2</f>
        <v>12136.4261980763</v>
      </c>
      <c r="P532" s="15" t="n">
        <f aca="false">N532*$E$2*(1+$I$508)/($F$508-$I$508)/(1+$F$508)^$N$3</f>
        <v>14218.7571398079</v>
      </c>
      <c r="Q532" s="15" t="n">
        <f aca="false">O532+P532</f>
        <v>26355.1833378842</v>
      </c>
      <c r="R532" s="15" t="n">
        <f aca="false">Q532-$G$2+$I$2</f>
        <v>19009.9833378842</v>
      </c>
      <c r="S532" s="42" t="n">
        <f aca="false">R532/$K$2</f>
        <v>81.014205573766</v>
      </c>
      <c r="T532" s="43" t="n">
        <f aca="false">S532-$M$2</f>
        <v>-7.10083776453985E-005</v>
      </c>
    </row>
    <row r="533" customFormat="false" ht="15" hidden="false" customHeight="false" outlineLevel="0" collapsed="false">
      <c r="A533" s="5" t="n">
        <v>24</v>
      </c>
      <c r="B533" s="25" t="n">
        <f aca="false">IF(T532&gt;0,B532,D532)</f>
        <v>-0.0308335423469543</v>
      </c>
      <c r="C533" s="25" t="n">
        <f aca="false">IF(T532&gt;0,D532,C532)</f>
        <v>-0.03083336353302</v>
      </c>
      <c r="D533" s="41" t="n">
        <f aca="false">(B533+C533)/2</f>
        <v>-0.0308334529399872</v>
      </c>
      <c r="E533" s="15" t="n">
        <f aca="false">$C$2*(1+IF(E$3&lt;=$O$2,$D533,$D533-($D533-$I$508)*MIN(E$3-$O$2,$Q$2)/$Q$2))</f>
        <v>6357.73254871368</v>
      </c>
      <c r="F533" s="15" t="n">
        <f aca="false">E533*(1+IF(F$3&lt;=$O$2,$D533,$D533-($D533-$I$508)*MIN(F$3-$O$2,$Q$2)/$Q$2))</f>
        <v>6161.7017013679</v>
      </c>
      <c r="G533" s="15" t="n">
        <f aca="false">F533*(1+IF(G$3&lt;=$O$2,$D533,$D533-($D533-$I$508)*MIN(G$3-$O$2,$Q$2)/$Q$2))</f>
        <v>5971.71516192853</v>
      </c>
      <c r="H533" s="15" t="n">
        <f aca="false">G533*(1+IF(H$3&lt;=$O$2,$D533,$D533-($D533-$I$508)*MIN(H$3-$O$2,$Q$2)/$Q$2))</f>
        <v>5787.5865635122</v>
      </c>
      <c r="I533" s="15" t="n">
        <f aca="false">H533*(1+IF(I$3&lt;=$O$2,$D533,$D533-($D533-$I$508)*MIN(I$3-$O$2,$Q$2)/$Q$2))</f>
        <v>5609.13528557004</v>
      </c>
      <c r="J533" s="15" t="n">
        <f aca="false">I533*(1+IF(J$3&lt;=$O$2,$D533,$D533-($D533-$I$508)*MIN(J$3-$O$2,$Q$2)/$Q$2))</f>
        <v>5502.52378419705</v>
      </c>
      <c r="K533" s="15" t="n">
        <f aca="false">J533*(1+IF(K$3&lt;=$O$2,$D533,$D533-($D533-$I$508)*MIN(K$3-$O$2,$Q$2)/$Q$2))</f>
        <v>5463.01526854344</v>
      </c>
      <c r="L533" s="15" t="n">
        <f aca="false">K533*(1+IF(L$3&lt;=$O$2,$D533,$D533-($D533-$I$508)*MIN(L$3-$O$2,$Q$2)/$Q$2))</f>
        <v>5488.39981812609</v>
      </c>
      <c r="M533" s="15" t="n">
        <f aca="false">L533*(1+IF(M$3&lt;=$O$2,$D533,$D533-($D533-$I$508)*MIN(M$3-$O$2,$Q$2)/$Q$2))</f>
        <v>5578.81192650686</v>
      </c>
      <c r="N533" s="15" t="n">
        <f aca="false">M533*(1+IF(N$3&lt;=$O$2,$D533,$D533-($D533-$I$508)*MIN(N$3-$O$2,$Q$2)/$Q$2))</f>
        <v>5736.692304027</v>
      </c>
      <c r="O533" s="15" t="n">
        <f aca="false">SUMPRODUCT(E533:N533,1/(1+$F$508)^$E$3:$N$3)*$E$2</f>
        <v>12136.4308936231</v>
      </c>
      <c r="P533" s="15" t="n">
        <f aca="false">N533*$E$2*(1+$I$508)/($F$508-$I$508)/(1+$F$508)^$N$3</f>
        <v>14218.7662595725</v>
      </c>
      <c r="Q533" s="15" t="n">
        <f aca="false">O533+P533</f>
        <v>26355.1971531956</v>
      </c>
      <c r="R533" s="15" t="n">
        <f aca="false">Q533-$G$2+$I$2</f>
        <v>19009.9971531956</v>
      </c>
      <c r="S533" s="42" t="n">
        <f aca="false">R533/$K$2</f>
        <v>81.0142644500131</v>
      </c>
      <c r="T533" s="43" t="n">
        <f aca="false">S533-$M$2</f>
        <v>-1.21321304789035E-005</v>
      </c>
    </row>
    <row r="535" customFormat="false" ht="15" hidden="false" customHeight="false" outlineLevel="0" collapsed="false">
      <c r="A535" s="38" t="s">
        <v>201</v>
      </c>
      <c r="E535" s="5" t="s">
        <v>11</v>
      </c>
      <c r="F535" s="12" t="n">
        <f aca="false">Sensitivity!$B$13</f>
        <v>0.0862368036285737</v>
      </c>
      <c r="G535" s="5" t="s">
        <v>12</v>
      </c>
      <c r="I535" s="12" t="n">
        <f aca="false">Sensitivity!$F$9</f>
        <v>0.0333</v>
      </c>
    </row>
    <row r="536" customFormat="false" ht="23.85" hidden="false" customHeight="false" outlineLevel="0" collapsed="false">
      <c r="A536" s="38" t="s">
        <v>163</v>
      </c>
      <c r="B536" s="28" t="s">
        <v>164</v>
      </c>
      <c r="C536" s="28" t="s">
        <v>165</v>
      </c>
      <c r="D536" s="28" t="s">
        <v>166</v>
      </c>
      <c r="E536" s="28" t="s">
        <v>167</v>
      </c>
      <c r="F536" s="28" t="s">
        <v>168</v>
      </c>
      <c r="G536" s="28" t="s">
        <v>169</v>
      </c>
      <c r="H536" s="28" t="s">
        <v>170</v>
      </c>
      <c r="I536" s="28" t="s">
        <v>171</v>
      </c>
      <c r="J536" s="28" t="s">
        <v>172</v>
      </c>
      <c r="K536" s="28" t="s">
        <v>173</v>
      </c>
      <c r="L536" s="28" t="s">
        <v>174</v>
      </c>
      <c r="M536" s="28" t="s">
        <v>175</v>
      </c>
      <c r="N536" s="28" t="s">
        <v>176</v>
      </c>
      <c r="O536" s="28" t="s">
        <v>177</v>
      </c>
      <c r="P536" s="28" t="s">
        <v>178</v>
      </c>
      <c r="Q536" s="28" t="s">
        <v>179</v>
      </c>
      <c r="R536" s="28" t="s">
        <v>180</v>
      </c>
      <c r="S536" s="28" t="s">
        <v>181</v>
      </c>
      <c r="T536" s="28" t="s">
        <v>182</v>
      </c>
    </row>
    <row r="537" customFormat="false" ht="15" hidden="false" customHeight="false" outlineLevel="0" collapsed="false">
      <c r="A537" s="5" t="n">
        <v>1</v>
      </c>
      <c r="B537" s="24" t="n">
        <v>-0.5</v>
      </c>
      <c r="C537" s="24" t="n">
        <v>1</v>
      </c>
      <c r="D537" s="41" t="n">
        <f aca="false">(B537+C537)/2</f>
        <v>0.25</v>
      </c>
      <c r="E537" s="15" t="n">
        <f aca="false">$C$2*(1+IF(E$3&lt;=$O$2,$D537,$D537-($D537-$I$535)*MIN(E$3-$O$2,$Q$2)/$Q$2))</f>
        <v>8200</v>
      </c>
      <c r="F537" s="15" t="n">
        <f aca="false">E537*(1+IF(F$3&lt;=$O$2,$D537,$D537-($D537-$I$535)*MIN(F$3-$O$2,$Q$2)/$Q$2))</f>
        <v>10250</v>
      </c>
      <c r="G537" s="15" t="n">
        <f aca="false">F537*(1+IF(G$3&lt;=$O$2,$D537,$D537-($D537-$I$535)*MIN(G$3-$O$2,$Q$2)/$Q$2))</f>
        <v>12812.5</v>
      </c>
      <c r="H537" s="15" t="n">
        <f aca="false">G537*(1+IF(H$3&lt;=$O$2,$D537,$D537-($D537-$I$535)*MIN(H$3-$O$2,$Q$2)/$Q$2))</f>
        <v>16015.625</v>
      </c>
      <c r="I537" s="15" t="n">
        <f aca="false">H537*(1+IF(I$3&lt;=$O$2,$D537,$D537-($D537-$I$535)*MIN(I$3-$O$2,$Q$2)/$Q$2))</f>
        <v>20019.53125</v>
      </c>
      <c r="J537" s="15" t="n">
        <f aca="false">I537*(1+IF(J$3&lt;=$O$2,$D537,$D537-($D537-$I$535)*MIN(J$3-$O$2,$Q$2)/$Q$2))</f>
        <v>24156.767578125</v>
      </c>
      <c r="K537" s="15" t="n">
        <f aca="false">J537*(1+IF(K$3&lt;=$O$2,$D537,$D537-($D537-$I$535)*MIN(K$3-$O$2,$Q$2)/$Q$2))</f>
        <v>28102.0508589844</v>
      </c>
      <c r="L537" s="15" t="n">
        <f aca="false">K537*(1+IF(L$3&lt;=$O$2,$D537,$D537-($D537-$I$535)*MIN(L$3-$O$2,$Q$2)/$Q$2))</f>
        <v>31473.7349210453</v>
      </c>
      <c r="M537" s="15" t="n">
        <f aca="false">L537*(1+IF(M$3&lt;=$O$2,$D537,$D537-($D537-$I$535)*MIN(M$3-$O$2,$Q$2)/$Q$2))</f>
        <v>33885.8819653942</v>
      </c>
      <c r="N537" s="15" t="n">
        <f aca="false">M537*(1+IF(N$3&lt;=$O$2,$D537,$D537-($D537-$I$535)*MIN(N$3-$O$2,$Q$2)/$Q$2))</f>
        <v>35014.2818348419</v>
      </c>
      <c r="O537" s="15" t="n">
        <f aca="false">SUMPRODUCT(E537:N537,1/(1+$F$535)^$E$3:$N$3)*$E$2</f>
        <v>41221.4712475264</v>
      </c>
      <c r="P537" s="15" t="n">
        <f aca="false">N537*$E$2*(1+$I$535)/($F$535-$I$535)/(1+$F$535)^$N$3</f>
        <v>95444.0791114321</v>
      </c>
      <c r="Q537" s="15" t="n">
        <f aca="false">O537+P537</f>
        <v>136665.550358958</v>
      </c>
      <c r="R537" s="15" t="n">
        <f aca="false">Q537-$G$2+$I$2</f>
        <v>129320.350358958</v>
      </c>
      <c r="S537" s="42" t="n">
        <f aca="false">R537/$K$2</f>
        <v>551.120180519746</v>
      </c>
      <c r="T537" s="43" t="n">
        <f aca="false">S537-$M$2</f>
        <v>470.105903937603</v>
      </c>
    </row>
    <row r="538" customFormat="false" ht="15" hidden="false" customHeight="false" outlineLevel="0" collapsed="false">
      <c r="A538" s="5" t="n">
        <v>2</v>
      </c>
      <c r="B538" s="25" t="n">
        <f aca="false">IF(T537&gt;0,B537,D537)</f>
        <v>-0.5</v>
      </c>
      <c r="C538" s="25" t="n">
        <f aca="false">IF(T537&gt;0,D537,C537)</f>
        <v>0.25</v>
      </c>
      <c r="D538" s="41" t="n">
        <f aca="false">(B538+C538)/2</f>
        <v>-0.125</v>
      </c>
      <c r="E538" s="15" t="n">
        <f aca="false">$C$2*(1+IF(E$3&lt;=$O$2,$D538,$D538-($D538-$I$535)*MIN(E$3-$O$2,$Q$2)/$Q$2))</f>
        <v>5740</v>
      </c>
      <c r="F538" s="15" t="n">
        <f aca="false">E538*(1+IF(F$3&lt;=$O$2,$D538,$D538-($D538-$I$535)*MIN(F$3-$O$2,$Q$2)/$Q$2))</f>
        <v>5022.5</v>
      </c>
      <c r="G538" s="15" t="n">
        <f aca="false">F538*(1+IF(G$3&lt;=$O$2,$D538,$D538-($D538-$I$535)*MIN(G$3-$O$2,$Q$2)/$Q$2))</f>
        <v>4394.6875</v>
      </c>
      <c r="H538" s="15" t="n">
        <f aca="false">G538*(1+IF(H$3&lt;=$O$2,$D538,$D538-($D538-$I$535)*MIN(H$3-$O$2,$Q$2)/$Q$2))</f>
        <v>3845.3515625</v>
      </c>
      <c r="I538" s="15" t="n">
        <f aca="false">H538*(1+IF(I$3&lt;=$O$2,$D538,$D538-($D538-$I$535)*MIN(I$3-$O$2,$Q$2)/$Q$2))</f>
        <v>3364.6826171875</v>
      </c>
      <c r="J538" s="15" t="n">
        <f aca="false">I538*(1+IF(J$3&lt;=$O$2,$D538,$D538-($D538-$I$535)*MIN(J$3-$O$2,$Q$2)/$Q$2))</f>
        <v>3050.62314169922</v>
      </c>
      <c r="K538" s="15" t="n">
        <f aca="false">J538*(1+IF(K$3&lt;=$O$2,$D538,$D538-($D538-$I$535)*MIN(K$3-$O$2,$Q$2)/$Q$2))</f>
        <v>2862.46070631921</v>
      </c>
      <c r="L538" s="15" t="n">
        <f aca="false">K538*(1+IF(L$3&lt;=$O$2,$D538,$D538-($D538-$I$535)*MIN(L$3-$O$2,$Q$2)/$Q$2))</f>
        <v>2776.52963591551</v>
      </c>
      <c r="M538" s="15" t="n">
        <f aca="false">L538*(1+IF(M$3&lt;=$O$2,$D538,$D538-($D538-$I$535)*MIN(M$3-$O$2,$Q$2)/$Q$2))</f>
        <v>2781.08314451841</v>
      </c>
      <c r="N538" s="15" t="n">
        <f aca="false">M538*(1+IF(N$3&lt;=$O$2,$D538,$D538-($D538-$I$535)*MIN(N$3-$O$2,$Q$2)/$Q$2))</f>
        <v>2873.69321323087</v>
      </c>
      <c r="O538" s="15" t="n">
        <f aca="false">SUMPRODUCT(E538:N538,1/(1+$F$535)^$E$3:$N$3)*$E$2</f>
        <v>8120.80393476385</v>
      </c>
      <c r="P538" s="15" t="n">
        <f aca="false">N538*$E$2*(1+$I$535)/($F$535-$I$535)/(1+$F$535)^$N$3</f>
        <v>7833.28938972172</v>
      </c>
      <c r="Q538" s="15" t="n">
        <f aca="false">O538+P538</f>
        <v>15954.0933244856</v>
      </c>
      <c r="R538" s="15" t="n">
        <f aca="false">Q538-$G$2+$I$2</f>
        <v>8608.89332448557</v>
      </c>
      <c r="S538" s="42" t="n">
        <f aca="false">R538/$K$2</f>
        <v>36.6882306604968</v>
      </c>
      <c r="T538" s="43" t="n">
        <f aca="false">S538-$M$2</f>
        <v>-44.3260459216468</v>
      </c>
    </row>
    <row r="539" customFormat="false" ht="15" hidden="false" customHeight="false" outlineLevel="0" collapsed="false">
      <c r="A539" s="5" t="n">
        <v>3</v>
      </c>
      <c r="B539" s="25" t="n">
        <f aca="false">IF(T538&gt;0,B538,D538)</f>
        <v>-0.125</v>
      </c>
      <c r="C539" s="25" t="n">
        <f aca="false">IF(T538&gt;0,D538,C538)</f>
        <v>0.25</v>
      </c>
      <c r="D539" s="41" t="n">
        <f aca="false">(B539+C539)/2</f>
        <v>0.0625</v>
      </c>
      <c r="E539" s="15" t="n">
        <f aca="false">$C$2*(1+IF(E$3&lt;=$O$2,$D539,$D539-($D539-$I$535)*MIN(E$3-$O$2,$Q$2)/$Q$2))</f>
        <v>6970</v>
      </c>
      <c r="F539" s="15" t="n">
        <f aca="false">E539*(1+IF(F$3&lt;=$O$2,$D539,$D539-($D539-$I$535)*MIN(F$3-$O$2,$Q$2)/$Q$2))</f>
        <v>7405.625</v>
      </c>
      <c r="G539" s="15" t="n">
        <f aca="false">F539*(1+IF(G$3&lt;=$O$2,$D539,$D539-($D539-$I$535)*MIN(G$3-$O$2,$Q$2)/$Q$2))</f>
        <v>7868.4765625</v>
      </c>
      <c r="H539" s="15" t="n">
        <f aca="false">G539*(1+IF(H$3&lt;=$O$2,$D539,$D539-($D539-$I$535)*MIN(H$3-$O$2,$Q$2)/$Q$2))</f>
        <v>8360.25634765625</v>
      </c>
      <c r="I539" s="15" t="n">
        <f aca="false">H539*(1+IF(I$3&lt;=$O$2,$D539,$D539-($D539-$I$535)*MIN(I$3-$O$2,$Q$2)/$Q$2))</f>
        <v>8882.77236938477</v>
      </c>
      <c r="J539" s="15" t="n">
        <f aca="false">I539*(1+IF(J$3&lt;=$O$2,$D539,$D539-($D539-$I$535)*MIN(J$3-$O$2,$Q$2)/$Q$2))</f>
        <v>9386.07025183411</v>
      </c>
      <c r="K539" s="15" t="n">
        <f aca="false">J539*(1+IF(K$3&lt;=$O$2,$D539,$D539-($D539-$I$535)*MIN(K$3-$O$2,$Q$2)/$Q$2))</f>
        <v>9863.07034203232</v>
      </c>
      <c r="L539" s="15" t="n">
        <f aca="false">K539*(1+IF(L$3&lt;=$O$2,$D539,$D539-($D539-$I$535)*MIN(L$3-$O$2,$Q$2)/$Q$2))</f>
        <v>10306.7112460169</v>
      </c>
      <c r="M539" s="15" t="n">
        <f aca="false">L539*(1+IF(M$3&lt;=$O$2,$D539,$D539-($D539-$I$535)*MIN(M$3-$O$2,$Q$2)/$Q$2))</f>
        <v>10710.115924186</v>
      </c>
      <c r="N539" s="15" t="n">
        <f aca="false">M539*(1+IF(N$3&lt;=$O$2,$D539,$D539-($D539-$I$535)*MIN(N$3-$O$2,$Q$2)/$Q$2))</f>
        <v>11066.7627844614</v>
      </c>
      <c r="O539" s="15" t="n">
        <f aca="false">SUMPRODUCT(E539:N539,1/(1+$F$535)^$E$3:$N$3)*$E$2</f>
        <v>18266.4293906359</v>
      </c>
      <c r="P539" s="15" t="n">
        <f aca="false">N539*$E$2*(1+$I$535)/($F$535-$I$535)/(1+$F$535)^$N$3</f>
        <v>30166.4614367881</v>
      </c>
      <c r="Q539" s="15" t="n">
        <f aca="false">O539+P539</f>
        <v>48432.890827424</v>
      </c>
      <c r="R539" s="15" t="n">
        <f aca="false">Q539-$G$2+$I$2</f>
        <v>41087.690827424</v>
      </c>
      <c r="S539" s="42" t="n">
        <f aca="false">R539/$K$2</f>
        <v>175.102027817703</v>
      </c>
      <c r="T539" s="43" t="n">
        <f aca="false">S539-$M$2</f>
        <v>94.0877512355593</v>
      </c>
    </row>
    <row r="540" customFormat="false" ht="15" hidden="false" customHeight="false" outlineLevel="0" collapsed="false">
      <c r="A540" s="5" t="n">
        <v>4</v>
      </c>
      <c r="B540" s="25" t="n">
        <f aca="false">IF(T539&gt;0,B539,D539)</f>
        <v>-0.125</v>
      </c>
      <c r="C540" s="25" t="n">
        <f aca="false">IF(T539&gt;0,D539,C539)</f>
        <v>0.0625</v>
      </c>
      <c r="D540" s="41" t="n">
        <f aca="false">(B540+C540)/2</f>
        <v>-0.03125</v>
      </c>
      <c r="E540" s="15" t="n">
        <f aca="false">$C$2*(1+IF(E$3&lt;=$O$2,$D540,$D540-($D540-$I$535)*MIN(E$3-$O$2,$Q$2)/$Q$2))</f>
        <v>6355</v>
      </c>
      <c r="F540" s="15" t="n">
        <f aca="false">E540*(1+IF(F$3&lt;=$O$2,$D540,$D540-($D540-$I$535)*MIN(F$3-$O$2,$Q$2)/$Q$2))</f>
        <v>6156.40625</v>
      </c>
      <c r="G540" s="15" t="n">
        <f aca="false">F540*(1+IF(G$3&lt;=$O$2,$D540,$D540-($D540-$I$535)*MIN(G$3-$O$2,$Q$2)/$Q$2))</f>
        <v>5964.0185546875</v>
      </c>
      <c r="H540" s="15" t="n">
        <f aca="false">G540*(1+IF(H$3&lt;=$O$2,$D540,$D540-($D540-$I$535)*MIN(H$3-$O$2,$Q$2)/$Q$2))</f>
        <v>5777.64297485352</v>
      </c>
      <c r="I540" s="15" t="n">
        <f aca="false">H540*(1+IF(I$3&lt;=$O$2,$D540,$D540-($D540-$I$535)*MIN(I$3-$O$2,$Q$2)/$Q$2))</f>
        <v>5597.09163188934</v>
      </c>
      <c r="J540" s="15" t="n">
        <f aca="false">I540*(1+IF(J$3&lt;=$O$2,$D540,$D540-($D540-$I$535)*MIN(J$3-$O$2,$Q$2)/$Q$2))</f>
        <v>5494.44097136049</v>
      </c>
      <c r="K540" s="15" t="n">
        <f aca="false">J540*(1+IF(K$3&lt;=$O$2,$D540,$D540-($D540-$I$535)*MIN(K$3-$O$2,$Q$2)/$Q$2))</f>
        <v>5464.60615688601</v>
      </c>
      <c r="L540" s="15" t="n">
        <f aca="false">K540*(1+IF(L$3&lt;=$O$2,$D540,$D540-($D540-$I$535)*MIN(L$3-$O$2,$Q$2)/$Q$2))</f>
        <v>5505.48141093951</v>
      </c>
      <c r="M540" s="15" t="n">
        <f aca="false">L540*(1+IF(M$3&lt;=$O$2,$D540,$D540-($D540-$I$535)*MIN(M$3-$O$2,$Q$2)/$Q$2))</f>
        <v>5617.73817690857</v>
      </c>
      <c r="N540" s="15" t="n">
        <f aca="false">M540*(1+IF(N$3&lt;=$O$2,$D540,$D540-($D540-$I$535)*MIN(N$3-$O$2,$Q$2)/$Q$2))</f>
        <v>5804.80885819962</v>
      </c>
      <c r="O540" s="15" t="n">
        <f aca="false">SUMPRODUCT(E540:N540,1/(1+$F$535)^$E$3:$N$3)*$E$2</f>
        <v>12144.3969864271</v>
      </c>
      <c r="P540" s="15" t="n">
        <f aca="false">N540*$E$2*(1+$I$535)/($F$535-$I$535)/(1+$F$535)^$N$3</f>
        <v>15823.1043692988</v>
      </c>
      <c r="Q540" s="15" t="n">
        <f aca="false">O540+P540</f>
        <v>27967.5013557259</v>
      </c>
      <c r="R540" s="15" t="n">
        <f aca="false">Q540-$G$2+$I$2</f>
        <v>20622.3013557259</v>
      </c>
      <c r="S540" s="42" t="n">
        <f aca="false">R540/$K$2</f>
        <v>87.8853669538715</v>
      </c>
      <c r="T540" s="43" t="n">
        <f aca="false">S540-$M$2</f>
        <v>6.87109037172783</v>
      </c>
    </row>
    <row r="541" customFormat="false" ht="15" hidden="false" customHeight="false" outlineLevel="0" collapsed="false">
      <c r="A541" s="5" t="n">
        <v>5</v>
      </c>
      <c r="B541" s="25" t="n">
        <f aca="false">IF(T540&gt;0,B540,D540)</f>
        <v>-0.125</v>
      </c>
      <c r="C541" s="25" t="n">
        <f aca="false">IF(T540&gt;0,D540,C540)</f>
        <v>-0.03125</v>
      </c>
      <c r="D541" s="41" t="n">
        <f aca="false">(B541+C541)/2</f>
        <v>-0.078125</v>
      </c>
      <c r="E541" s="15" t="n">
        <f aca="false">$C$2*(1+IF(E$3&lt;=$O$2,$D541,$D541-($D541-$I$535)*MIN(E$3-$O$2,$Q$2)/$Q$2))</f>
        <v>6047.5</v>
      </c>
      <c r="F541" s="15" t="n">
        <f aca="false">E541*(1+IF(F$3&lt;=$O$2,$D541,$D541-($D541-$I$535)*MIN(F$3-$O$2,$Q$2)/$Q$2))</f>
        <v>5575.0390625</v>
      </c>
      <c r="G541" s="15" t="n">
        <f aca="false">F541*(1+IF(G$3&lt;=$O$2,$D541,$D541-($D541-$I$535)*MIN(G$3-$O$2,$Q$2)/$Q$2))</f>
        <v>5139.48913574219</v>
      </c>
      <c r="H541" s="15" t="n">
        <f aca="false">G541*(1+IF(H$3&lt;=$O$2,$D541,$D541-($D541-$I$535)*MIN(H$3-$O$2,$Q$2)/$Q$2))</f>
        <v>4737.96654701233</v>
      </c>
      <c r="I541" s="15" t="n">
        <f aca="false">H541*(1+IF(I$3&lt;=$O$2,$D541,$D541-($D541-$I$535)*MIN(I$3-$O$2,$Q$2)/$Q$2))</f>
        <v>4367.81291052699</v>
      </c>
      <c r="J541" s="15" t="n">
        <f aca="false">I541*(1+IF(J$3&lt;=$O$2,$D541,$D541-($D541-$I$535)*MIN(J$3-$O$2,$Q$2)/$Q$2))</f>
        <v>4123.91423760316</v>
      </c>
      <c r="K541" s="15" t="n">
        <f aca="false">J541*(1+IF(K$3&lt;=$O$2,$D541,$D541-($D541-$I$535)*MIN(K$3-$O$2,$Q$2)/$Q$2))</f>
        <v>3985.53629536039</v>
      </c>
      <c r="L541" s="15" t="n">
        <f aca="false">K541*(1+IF(L$3&lt;=$O$2,$D541,$D541-($D541-$I$535)*MIN(L$3-$O$2,$Q$2)/$Q$2))</f>
        <v>3940.61930131168</v>
      </c>
      <c r="M541" s="15" t="n">
        <f aca="false">L541*(1+IF(M$3&lt;=$O$2,$D541,$D541-($D541-$I$535)*MIN(M$3-$O$2,$Q$2)/$Q$2))</f>
        <v>3984.02522291563</v>
      </c>
      <c r="N541" s="15" t="n">
        <f aca="false">M541*(1+IF(N$3&lt;=$O$2,$D541,$D541-($D541-$I$535)*MIN(N$3-$O$2,$Q$2)/$Q$2))</f>
        <v>4116.69326283872</v>
      </c>
      <c r="O541" s="15" t="n">
        <f aca="false">SUMPRODUCT(E541:N541,1/(1+$F$535)^$E$3:$N$3)*$E$2</f>
        <v>9920.49730600966</v>
      </c>
      <c r="P541" s="15" t="n">
        <f aca="false">N541*$E$2*(1+$I$535)/($F$535-$I$535)/(1+$F$535)^$N$3</f>
        <v>11221.5352383695</v>
      </c>
      <c r="Q541" s="15" t="n">
        <f aca="false">O541+P541</f>
        <v>21142.0325443791</v>
      </c>
      <c r="R541" s="15" t="n">
        <f aca="false">Q541-$G$2+$I$2</f>
        <v>13796.8325443791</v>
      </c>
      <c r="S541" s="42" t="n">
        <f aca="false">R541/$K$2</f>
        <v>58.797496460171</v>
      </c>
      <c r="T541" s="43" t="n">
        <f aca="false">S541-$M$2</f>
        <v>-22.2167801219726</v>
      </c>
    </row>
    <row r="542" customFormat="false" ht="15" hidden="false" customHeight="false" outlineLevel="0" collapsed="false">
      <c r="A542" s="5" t="n">
        <v>6</v>
      </c>
      <c r="B542" s="25" t="n">
        <f aca="false">IF(T541&gt;0,B541,D541)</f>
        <v>-0.078125</v>
      </c>
      <c r="C542" s="25" t="n">
        <f aca="false">IF(T541&gt;0,D541,C541)</f>
        <v>-0.03125</v>
      </c>
      <c r="D542" s="41" t="n">
        <f aca="false">(B542+C542)/2</f>
        <v>-0.0546875</v>
      </c>
      <c r="E542" s="15" t="n">
        <f aca="false">$C$2*(1+IF(E$3&lt;=$O$2,$D542,$D542-($D542-$I$535)*MIN(E$3-$O$2,$Q$2)/$Q$2))</f>
        <v>6201.25</v>
      </c>
      <c r="F542" s="15" t="n">
        <f aca="false">E542*(1+IF(F$3&lt;=$O$2,$D542,$D542-($D542-$I$535)*MIN(F$3-$O$2,$Q$2)/$Q$2))</f>
        <v>5862.119140625</v>
      </c>
      <c r="G542" s="15" t="n">
        <f aca="false">F542*(1+IF(G$3&lt;=$O$2,$D542,$D542-($D542-$I$535)*MIN(G$3-$O$2,$Q$2)/$Q$2))</f>
        <v>5541.53450012207</v>
      </c>
      <c r="H542" s="15" t="n">
        <f aca="false">G542*(1+IF(H$3&lt;=$O$2,$D542,$D542-($D542-$I$535)*MIN(H$3-$O$2,$Q$2)/$Q$2))</f>
        <v>5238.48183214665</v>
      </c>
      <c r="I542" s="15" t="n">
        <f aca="false">H542*(1+IF(I$3&lt;=$O$2,$D542,$D542-($D542-$I$535)*MIN(I$3-$O$2,$Q$2)/$Q$2))</f>
        <v>4952.00235695113</v>
      </c>
      <c r="J542" s="15" t="n">
        <f aca="false">I542*(1+IF(J$3&lt;=$O$2,$D542,$D542-($D542-$I$535)*MIN(J$3-$O$2,$Q$2)/$Q$2))</f>
        <v>4768.33258953181</v>
      </c>
      <c r="K542" s="15" t="n">
        <f aca="false">J542*(1+IF(K$3&lt;=$O$2,$D542,$D542-($D542-$I$535)*MIN(K$3-$O$2,$Q$2)/$Q$2))</f>
        <v>4675.38586653036</v>
      </c>
      <c r="L542" s="15" t="n">
        <f aca="false">K542*(1+IF(L$3&lt;=$O$2,$D542,$D542-($D542-$I$535)*MIN(L$3-$O$2,$Q$2)/$Q$2))</f>
        <v>4666.52601031328</v>
      </c>
      <c r="M542" s="15" t="n">
        <f aca="false">L542*(1+IF(M$3&lt;=$O$2,$D542,$D542-($D542-$I$535)*MIN(M$3-$O$2,$Q$2)/$Q$2))</f>
        <v>4739.80213499023</v>
      </c>
      <c r="N542" s="15" t="n">
        <f aca="false">M542*(1+IF(N$3&lt;=$O$2,$D542,$D542-($D542-$I$535)*MIN(N$3-$O$2,$Q$2)/$Q$2))</f>
        <v>4897.6375460854</v>
      </c>
      <c r="O542" s="15" t="n">
        <f aca="false">SUMPRODUCT(E542:N542,1/(1+$F$535)^$E$3:$N$3)*$E$2</f>
        <v>10973.8360797138</v>
      </c>
      <c r="P542" s="15" t="n">
        <f aca="false">N542*$E$2*(1+$I$535)/($F$535-$I$535)/(1+$F$535)^$N$3</f>
        <v>13350.2811113649</v>
      </c>
      <c r="Q542" s="15" t="n">
        <f aca="false">O542+P542</f>
        <v>24324.1171910787</v>
      </c>
      <c r="R542" s="15" t="n">
        <f aca="false">Q542-$G$2+$I$2</f>
        <v>16978.9171910787</v>
      </c>
      <c r="S542" s="42" t="n">
        <f aca="false">R542/$K$2</f>
        <v>72.3584793994403</v>
      </c>
      <c r="T542" s="43" t="n">
        <f aca="false">S542-$M$2</f>
        <v>-8.65579718270337</v>
      </c>
    </row>
    <row r="543" customFormat="false" ht="15" hidden="false" customHeight="false" outlineLevel="0" collapsed="false">
      <c r="A543" s="5" t="n">
        <v>7</v>
      </c>
      <c r="B543" s="25" t="n">
        <f aca="false">IF(T542&gt;0,B542,D542)</f>
        <v>-0.0546875</v>
      </c>
      <c r="C543" s="25" t="n">
        <f aca="false">IF(T542&gt;0,D542,C542)</f>
        <v>-0.03125</v>
      </c>
      <c r="D543" s="41" t="n">
        <f aca="false">(B543+C543)/2</f>
        <v>-0.04296875</v>
      </c>
      <c r="E543" s="15" t="n">
        <f aca="false">$C$2*(1+IF(E$3&lt;=$O$2,$D543,$D543-($D543-$I$535)*MIN(E$3-$O$2,$Q$2)/$Q$2))</f>
        <v>6278.125</v>
      </c>
      <c r="F543" s="15" t="n">
        <f aca="false">E543*(1+IF(F$3&lt;=$O$2,$D543,$D543-($D543-$I$535)*MIN(F$3-$O$2,$Q$2)/$Q$2))</f>
        <v>6008.36181640625</v>
      </c>
      <c r="G543" s="15" t="n">
        <f aca="false">F543*(1+IF(G$3&lt;=$O$2,$D543,$D543-($D543-$I$535)*MIN(G$3-$O$2,$Q$2)/$Q$2))</f>
        <v>5750.19001960754</v>
      </c>
      <c r="H543" s="15" t="n">
        <f aca="false">G543*(1+IF(H$3&lt;=$O$2,$D543,$D543-($D543-$I$535)*MIN(H$3-$O$2,$Q$2)/$Q$2))</f>
        <v>5503.11154220253</v>
      </c>
      <c r="I543" s="15" t="n">
        <f aca="false">H543*(1+IF(I$3&lt;=$O$2,$D543,$D543-($D543-$I$535)*MIN(I$3-$O$2,$Q$2)/$Q$2))</f>
        <v>5266.64971812352</v>
      </c>
      <c r="J543" s="15" t="n">
        <f aca="false">I543*(1+IF(J$3&lt;=$O$2,$D543,$D543-($D543-$I$535)*MIN(J$3-$O$2,$Q$2)/$Q$2))</f>
        <v>5120.68452118572</v>
      </c>
      <c r="K543" s="15" t="n">
        <f aca="false">J543*(1+IF(K$3&lt;=$O$2,$D543,$D543-($D543-$I$535)*MIN(K$3-$O$2,$Q$2)/$Q$2))</f>
        <v>5056.8743911961</v>
      </c>
      <c r="L543" s="15" t="n">
        <f aca="false">K543*(1+IF(L$3&lt;=$O$2,$D543,$D543-($D543-$I$535)*MIN(L$3-$O$2,$Q$2)/$Q$2))</f>
        <v>5070.99571293351</v>
      </c>
      <c r="M543" s="15" t="n">
        <f aca="false">L543*(1+IF(M$3&lt;=$O$2,$D543,$D543-($D543-$I$535)*MIN(M$3-$O$2,$Q$2)/$Q$2))</f>
        <v>5162.50816931804</v>
      </c>
      <c r="N543" s="15" t="n">
        <f aca="false">M543*(1+IF(N$3&lt;=$O$2,$D543,$D543-($D543-$I$535)*MIN(N$3-$O$2,$Q$2)/$Q$2))</f>
        <v>5334.41969135633</v>
      </c>
      <c r="O543" s="15" t="n">
        <f aca="false">SUMPRODUCT(E543:N543,1/(1+$F$535)^$E$3:$N$3)*$E$2</f>
        <v>11543.7092362532</v>
      </c>
      <c r="P543" s="15" t="n">
        <f aca="false">N543*$E$2*(1+$I$535)/($F$535-$I$535)/(1+$F$535)^$N$3</f>
        <v>14540.8886989869</v>
      </c>
      <c r="Q543" s="15" t="n">
        <f aca="false">O543+P543</f>
        <v>26084.5979352401</v>
      </c>
      <c r="R543" s="15" t="n">
        <f aca="false">Q543-$G$2+$I$2</f>
        <v>18739.3979352401</v>
      </c>
      <c r="S543" s="42" t="n">
        <f aca="false">R543/$K$2</f>
        <v>79.8610608789266</v>
      </c>
      <c r="T543" s="43" t="n">
        <f aca="false">S543-$M$2</f>
        <v>-1.15321570321706</v>
      </c>
    </row>
    <row r="544" customFormat="false" ht="15" hidden="false" customHeight="false" outlineLevel="0" collapsed="false">
      <c r="A544" s="5" t="n">
        <v>8</v>
      </c>
      <c r="B544" s="25" t="n">
        <f aca="false">IF(T543&gt;0,B543,D543)</f>
        <v>-0.04296875</v>
      </c>
      <c r="C544" s="25" t="n">
        <f aca="false">IF(T543&gt;0,D543,C543)</f>
        <v>-0.03125</v>
      </c>
      <c r="D544" s="41" t="n">
        <f aca="false">(B544+C544)/2</f>
        <v>-0.037109375</v>
      </c>
      <c r="E544" s="15" t="n">
        <f aca="false">$C$2*(1+IF(E$3&lt;=$O$2,$D544,$D544-($D544-$I$535)*MIN(E$3-$O$2,$Q$2)/$Q$2))</f>
        <v>6316.5625</v>
      </c>
      <c r="F544" s="15" t="n">
        <f aca="false">E544*(1+IF(F$3&lt;=$O$2,$D544,$D544-($D544-$I$535)*MIN(F$3-$O$2,$Q$2)/$Q$2))</f>
        <v>6082.15881347656</v>
      </c>
      <c r="G544" s="15" t="n">
        <f aca="false">F544*(1+IF(G$3&lt;=$O$2,$D544,$D544-($D544-$I$535)*MIN(G$3-$O$2,$Q$2)/$Q$2))</f>
        <v>5856.45370125771</v>
      </c>
      <c r="H544" s="15" t="n">
        <f aca="false">G544*(1+IF(H$3&lt;=$O$2,$D544,$D544-($D544-$I$535)*MIN(H$3-$O$2,$Q$2)/$Q$2))</f>
        <v>5639.1243646876</v>
      </c>
      <c r="I544" s="15" t="n">
        <f aca="false">H544*(1+IF(I$3&lt;=$O$2,$D544,$D544-($D544-$I$535)*MIN(I$3-$O$2,$Q$2)/$Q$2))</f>
        <v>5429.85998396677</v>
      </c>
      <c r="J544" s="15" t="n">
        <f aca="false">I544*(1+IF(J$3&lt;=$O$2,$D544,$D544-($D544-$I$535)*MIN(J$3-$O$2,$Q$2)/$Q$2))</f>
        <v>5304.82388318597</v>
      </c>
      <c r="K544" s="15" t="n">
        <f aca="false">J544*(1+IF(K$3&lt;=$O$2,$D544,$D544-($D544-$I$535)*MIN(K$3-$O$2,$Q$2)/$Q$2))</f>
        <v>5257.36891803595</v>
      </c>
      <c r="L544" s="15" t="n">
        <f aca="false">K544*(1+IF(L$3&lt;=$O$2,$D544,$D544-($D544-$I$535)*MIN(L$3-$O$2,$Q$2)/$Q$2))</f>
        <v>5284.37207914121</v>
      </c>
      <c r="M544" s="15" t="n">
        <f aca="false">L544*(1+IF(M$3&lt;=$O$2,$D544,$D544-($D544-$I$535)*MIN(M$3-$O$2,$Q$2)/$Q$2))</f>
        <v>5385.92780230466</v>
      </c>
      <c r="N544" s="15" t="n">
        <f aca="false">M544*(1+IF(N$3&lt;=$O$2,$D544,$D544-($D544-$I$535)*MIN(N$3-$O$2,$Q$2)/$Q$2))</f>
        <v>5565.2791981214</v>
      </c>
      <c r="O544" s="15" t="n">
        <f aca="false">SUMPRODUCT(E544:N544,1/(1+$F$535)^$E$3:$N$3)*$E$2</f>
        <v>11840.1032478715</v>
      </c>
      <c r="P544" s="15" t="n">
        <f aca="false">N544*$E$2*(1+$I$535)/($F$535-$I$535)/(1+$F$535)^$N$3</f>
        <v>15170.1797160423</v>
      </c>
      <c r="Q544" s="15" t="n">
        <f aca="false">O544+P544</f>
        <v>27010.2829639138</v>
      </c>
      <c r="R544" s="15" t="n">
        <f aca="false">Q544-$G$2+$I$2</f>
        <v>19665.0829639138</v>
      </c>
      <c r="S544" s="42" t="n">
        <f aca="false">R544/$K$2</f>
        <v>83.8060215807109</v>
      </c>
      <c r="T544" s="43" t="n">
        <f aca="false">S544-$M$2</f>
        <v>2.79174499856731</v>
      </c>
    </row>
    <row r="545" customFormat="false" ht="15" hidden="false" customHeight="false" outlineLevel="0" collapsed="false">
      <c r="A545" s="5" t="n">
        <v>9</v>
      </c>
      <c r="B545" s="25" t="n">
        <f aca="false">IF(T544&gt;0,B544,D544)</f>
        <v>-0.04296875</v>
      </c>
      <c r="C545" s="25" t="n">
        <f aca="false">IF(T544&gt;0,D544,C544)</f>
        <v>-0.037109375</v>
      </c>
      <c r="D545" s="41" t="n">
        <f aca="false">(B545+C545)/2</f>
        <v>-0.0400390625</v>
      </c>
      <c r="E545" s="15" t="n">
        <f aca="false">$C$2*(1+IF(E$3&lt;=$O$2,$D545,$D545-($D545-$I$535)*MIN(E$3-$O$2,$Q$2)/$Q$2))</f>
        <v>6297.34375</v>
      </c>
      <c r="F545" s="15" t="n">
        <f aca="false">E545*(1+IF(F$3&lt;=$O$2,$D545,$D545-($D545-$I$535)*MIN(F$3-$O$2,$Q$2)/$Q$2))</f>
        <v>6045.20401000977</v>
      </c>
      <c r="G545" s="15" t="n">
        <f aca="false">F545*(1+IF(G$3&lt;=$O$2,$D545,$D545-($D545-$I$535)*MIN(G$3-$O$2,$Q$2)/$Q$2))</f>
        <v>5803.15970882773</v>
      </c>
      <c r="H545" s="15" t="n">
        <f aca="false">G545*(1+IF(H$3&lt;=$O$2,$D545,$D545-($D545-$I$535)*MIN(H$3-$O$2,$Q$2)/$Q$2))</f>
        <v>5570.8066345485</v>
      </c>
      <c r="I545" s="15" t="n">
        <f aca="false">H545*(1+IF(I$3&lt;=$O$2,$D545,$D545-($D545-$I$535)*MIN(I$3-$O$2,$Q$2)/$Q$2))</f>
        <v>5347.7567595324</v>
      </c>
      <c r="J545" s="15" t="n">
        <f aca="false">I545*(1+IF(J$3&lt;=$O$2,$D545,$D545-($D545-$I$535)*MIN(J$3-$O$2,$Q$2)/$Q$2))</f>
        <v>5212.07748584711</v>
      </c>
      <c r="K545" s="15" t="n">
        <f aca="false">J545*(1+IF(K$3&lt;=$O$2,$D545,$D545-($D545-$I$535)*MIN(K$3-$O$2,$Q$2)/$Q$2))</f>
        <v>5156.29034023219</v>
      </c>
      <c r="L545" s="15" t="n">
        <f aca="false">K545*(1+IF(L$3&lt;=$O$2,$D545,$D545-($D545-$I$535)*MIN(L$3-$O$2,$Q$2)/$Q$2))</f>
        <v>5176.73180874975</v>
      </c>
      <c r="M545" s="15" t="n">
        <f aca="false">L545*(1+IF(M$3&lt;=$O$2,$D545,$D545-($D545-$I$535)*MIN(M$3-$O$2,$Q$2)/$Q$2))</f>
        <v>5273.18564644759</v>
      </c>
      <c r="N545" s="15" t="n">
        <f aca="false">M545*(1+IF(N$3&lt;=$O$2,$D545,$D545-($D545-$I$535)*MIN(N$3-$O$2,$Q$2)/$Q$2))</f>
        <v>5448.78272847429</v>
      </c>
      <c r="O545" s="15" t="n">
        <f aca="false">SUMPRODUCT(E545:N545,1/(1+$F$535)^$E$3:$N$3)*$E$2</f>
        <v>11690.9312013103</v>
      </c>
      <c r="P545" s="15" t="n">
        <f aca="false">N545*$E$2*(1+$I$535)/($F$535-$I$535)/(1+$F$535)^$N$3</f>
        <v>14852.6264868301</v>
      </c>
      <c r="Q545" s="15" t="n">
        <f aca="false">O545+P545</f>
        <v>26543.5576881403</v>
      </c>
      <c r="R545" s="15" t="n">
        <f aca="false">Q545-$G$2+$I$2</f>
        <v>19198.3576881403</v>
      </c>
      <c r="S545" s="42" t="n">
        <f aca="false">R545/$K$2</f>
        <v>81.8169941962085</v>
      </c>
      <c r="T545" s="43" t="n">
        <f aca="false">S545-$M$2</f>
        <v>0.802717614064875</v>
      </c>
    </row>
    <row r="546" customFormat="false" ht="15" hidden="false" customHeight="false" outlineLevel="0" collapsed="false">
      <c r="A546" s="5" t="n">
        <v>10</v>
      </c>
      <c r="B546" s="25" t="n">
        <f aca="false">IF(T545&gt;0,B545,D545)</f>
        <v>-0.04296875</v>
      </c>
      <c r="C546" s="25" t="n">
        <f aca="false">IF(T545&gt;0,D545,C545)</f>
        <v>-0.0400390625</v>
      </c>
      <c r="D546" s="41" t="n">
        <f aca="false">(B546+C546)/2</f>
        <v>-0.04150390625</v>
      </c>
      <c r="E546" s="15" t="n">
        <f aca="false">$C$2*(1+IF(E$3&lt;=$O$2,$D546,$D546-($D546-$I$535)*MIN(E$3-$O$2,$Q$2)/$Q$2))</f>
        <v>6287.734375</v>
      </c>
      <c r="F546" s="15" t="n">
        <f aca="false">E546*(1+IF(F$3&lt;=$O$2,$D546,$D546-($D546-$I$535)*MIN(F$3-$O$2,$Q$2)/$Q$2))</f>
        <v>6026.7688369751</v>
      </c>
      <c r="G546" s="15" t="n">
        <f aca="false">F546*(1+IF(G$3&lt;=$O$2,$D546,$D546-($D546-$I$535)*MIN(G$3-$O$2,$Q$2)/$Q$2))</f>
        <v>5776.63438817486</v>
      </c>
      <c r="H546" s="15" t="n">
        <f aca="false">G546*(1+IF(H$3&lt;=$O$2,$D546,$D546-($D546-$I$535)*MIN(H$3-$O$2,$Q$2)/$Q$2))</f>
        <v>5536.88149608753</v>
      </c>
      <c r="I546" s="15" t="n">
        <f aca="false">H546*(1+IF(I$3&lt;=$O$2,$D546,$D546-($D546-$I$535)*MIN(I$3-$O$2,$Q$2)/$Q$2))</f>
        <v>5307.07928555655</v>
      </c>
      <c r="J546" s="15" t="n">
        <f aca="false">I546*(1+IF(J$3&lt;=$O$2,$D546,$D546-($D546-$I$535)*MIN(J$3-$O$2,$Q$2)/$Q$2))</f>
        <v>5166.21281669511</v>
      </c>
      <c r="K546" s="15" t="n">
        <f aca="false">J546*(1+IF(K$3&lt;=$O$2,$D546,$D546-($D546-$I$535)*MIN(K$3-$O$2,$Q$2)/$Q$2))</f>
        <v>5106.37596396649</v>
      </c>
      <c r="L546" s="15" t="n">
        <f aca="false">K546*(1+IF(L$3&lt;=$O$2,$D546,$D546-($D546-$I$535)*MIN(L$3-$O$2,$Q$2)/$Q$2))</f>
        <v>5123.62753601226</v>
      </c>
      <c r="M546" s="15" t="n">
        <f aca="false">L546*(1+IF(M$3&lt;=$O$2,$D546,$D546-($D546-$I$535)*MIN(M$3-$O$2,$Q$2)/$Q$2))</f>
        <v>5217.59086218871</v>
      </c>
      <c r="N546" s="15" t="n">
        <f aca="false">M546*(1+IF(N$3&lt;=$O$2,$D546,$D546-($D546-$I$535)*MIN(N$3-$O$2,$Q$2)/$Q$2))</f>
        <v>5391.33663789959</v>
      </c>
      <c r="O546" s="15" t="n">
        <f aca="false">SUMPRODUCT(E546:N546,1/(1+$F$535)^$E$3:$N$3)*$E$2</f>
        <v>11617.077996717</v>
      </c>
      <c r="P546" s="15" t="n">
        <f aca="false">N546*$E$2*(1+$I$535)/($F$535-$I$535)/(1+$F$535)^$N$3</f>
        <v>14696.0364062648</v>
      </c>
      <c r="Q546" s="15" t="n">
        <f aca="false">O546+P546</f>
        <v>26313.1144029817</v>
      </c>
      <c r="R546" s="15" t="n">
        <f aca="false">Q546-$G$2+$I$2</f>
        <v>18967.9144029817</v>
      </c>
      <c r="S546" s="42" t="n">
        <f aca="false">R546/$K$2</f>
        <v>80.8349218111302</v>
      </c>
      <c r="T546" s="43" t="n">
        <f aca="false">S546-$M$2</f>
        <v>-0.179354771013394</v>
      </c>
    </row>
    <row r="547" customFormat="false" ht="15" hidden="false" customHeight="false" outlineLevel="0" collapsed="false">
      <c r="A547" s="5" t="n">
        <v>11</v>
      </c>
      <c r="B547" s="25" t="n">
        <f aca="false">IF(T546&gt;0,B546,D546)</f>
        <v>-0.04150390625</v>
      </c>
      <c r="C547" s="25" t="n">
        <f aca="false">IF(T546&gt;0,D546,C546)</f>
        <v>-0.0400390625</v>
      </c>
      <c r="D547" s="41" t="n">
        <f aca="false">(B547+C547)/2</f>
        <v>-0.040771484375</v>
      </c>
      <c r="E547" s="15" t="n">
        <f aca="false">$C$2*(1+IF(E$3&lt;=$O$2,$D547,$D547-($D547-$I$535)*MIN(E$3-$O$2,$Q$2)/$Q$2))</f>
        <v>6292.5390625</v>
      </c>
      <c r="F547" s="15" t="n">
        <f aca="false">E547*(1+IF(F$3&lt;=$O$2,$D547,$D547-($D547-$I$535)*MIN(F$3-$O$2,$Q$2)/$Q$2))</f>
        <v>6035.9829044342</v>
      </c>
      <c r="G547" s="15" t="n">
        <f aca="false">F547*(1+IF(G$3&lt;=$O$2,$D547,$D547-($D547-$I$535)*MIN(G$3-$O$2,$Q$2)/$Q$2))</f>
        <v>5789.8869217583</v>
      </c>
      <c r="H547" s="15" t="n">
        <f aca="false">G547*(1+IF(H$3&lt;=$O$2,$D547,$D547-($D547-$I$535)*MIN(H$3-$O$2,$Q$2)/$Q$2))</f>
        <v>5553.82463759481</v>
      </c>
      <c r="I547" s="15" t="n">
        <f aca="false">H547*(1+IF(I$3&lt;=$O$2,$D547,$D547-($D547-$I$535)*MIN(I$3-$O$2,$Q$2)/$Q$2))</f>
        <v>5327.38696316163</v>
      </c>
      <c r="J547" s="15" t="n">
        <f aca="false">I547*(1+IF(J$3&lt;=$O$2,$D547,$D547-($D547-$I$535)*MIN(J$3-$O$2,$Q$2)/$Q$2))</f>
        <v>5189.10298087378</v>
      </c>
      <c r="K547" s="15" t="n">
        <f aca="false">J547*(1+IF(K$3&lt;=$O$2,$D547,$D547-($D547-$I$535)*MIN(K$3-$O$2,$Q$2)/$Q$2))</f>
        <v>5131.28137391605</v>
      </c>
      <c r="L547" s="15" t="n">
        <f aca="false">K547*(1+IF(L$3&lt;=$O$2,$D547,$D547-($D547-$I$535)*MIN(L$3-$O$2,$Q$2)/$Q$2))</f>
        <v>5150.12039242275</v>
      </c>
      <c r="M547" s="15" t="n">
        <f aca="false">L547*(1+IF(M$3&lt;=$O$2,$D547,$D547-($D547-$I$535)*MIN(M$3-$O$2,$Q$2)/$Q$2))</f>
        <v>5245.32398905509</v>
      </c>
      <c r="N547" s="15" t="n">
        <f aca="false">M547*(1+IF(N$3&lt;=$O$2,$D547,$D547-($D547-$I$535)*MIN(N$3-$O$2,$Q$2)/$Q$2))</f>
        <v>5419.99327789062</v>
      </c>
      <c r="O547" s="15" t="n">
        <f aca="false">SUMPRODUCT(E547:N547,1/(1+$F$535)^$E$3:$N$3)*$E$2</f>
        <v>11653.9438518984</v>
      </c>
      <c r="P547" s="15" t="n">
        <f aca="false">N547*$E$2*(1+$I$535)/($F$535-$I$535)/(1+$F$535)^$N$3</f>
        <v>14774.1504349138</v>
      </c>
      <c r="Q547" s="15" t="n">
        <f aca="false">O547+P547</f>
        <v>26428.0942868122</v>
      </c>
      <c r="R547" s="15" t="n">
        <f aca="false">Q547-$G$2+$I$2</f>
        <v>19082.8942868122</v>
      </c>
      <c r="S547" s="42" t="n">
        <f aca="false">R547/$K$2</f>
        <v>81.3249277085538</v>
      </c>
      <c r="T547" s="43" t="n">
        <f aca="false">S547-$M$2</f>
        <v>0.310651126410207</v>
      </c>
    </row>
    <row r="548" customFormat="false" ht="15" hidden="false" customHeight="false" outlineLevel="0" collapsed="false">
      <c r="A548" s="5" t="n">
        <v>12</v>
      </c>
      <c r="B548" s="25" t="n">
        <f aca="false">IF(T547&gt;0,B547,D547)</f>
        <v>-0.04150390625</v>
      </c>
      <c r="C548" s="25" t="n">
        <f aca="false">IF(T547&gt;0,D547,C547)</f>
        <v>-0.040771484375</v>
      </c>
      <c r="D548" s="41" t="n">
        <f aca="false">(B548+C548)/2</f>
        <v>-0.0411376953125</v>
      </c>
      <c r="E548" s="15" t="n">
        <f aca="false">$C$2*(1+IF(E$3&lt;=$O$2,$D548,$D548-($D548-$I$535)*MIN(E$3-$O$2,$Q$2)/$Q$2))</f>
        <v>6290.13671875</v>
      </c>
      <c r="F548" s="15" t="n">
        <f aca="false">E548*(1+IF(F$3&lt;=$O$2,$D548,$D548-($D548-$I$535)*MIN(F$3-$O$2,$Q$2)/$Q$2))</f>
        <v>6031.37499094009</v>
      </c>
      <c r="G548" s="15" t="n">
        <f aca="false">F548*(1+IF(G$3&lt;=$O$2,$D548,$D548-($D548-$I$535)*MIN(G$3-$O$2,$Q$2)/$Q$2))</f>
        <v>5783.25812424737</v>
      </c>
      <c r="H548" s="15" t="n">
        <f aca="false">G548*(1+IF(H$3&lt;=$O$2,$D548,$D548-($D548-$I$535)*MIN(H$3-$O$2,$Q$2)/$Q$2))</f>
        <v>5545.34821361854</v>
      </c>
      <c r="I548" s="15" t="n">
        <f aca="false">H548*(1+IF(I$3&lt;=$O$2,$D548,$D548-($D548-$I$535)*MIN(I$3-$O$2,$Q$2)/$Q$2))</f>
        <v>5317.22536840498</v>
      </c>
      <c r="J548" s="15" t="n">
        <f aca="false">I548*(1+IF(J$3&lt;=$O$2,$D548,$D548-($D548-$I$535)*MIN(J$3-$O$2,$Q$2)/$Q$2))</f>
        <v>5177.64737166789</v>
      </c>
      <c r="K548" s="15" t="n">
        <f aca="false">J548*(1+IF(K$3&lt;=$O$2,$D548,$D548-($D548-$I$535)*MIN(K$3-$O$2,$Q$2)/$Q$2))</f>
        <v>5118.81574665176</v>
      </c>
      <c r="L548" s="15" t="n">
        <f aca="false">K548*(1+IF(L$3&lt;=$O$2,$D548,$D548-($D548-$I$535)*MIN(L$3-$O$2,$Q$2)/$Q$2))</f>
        <v>5136.85917225123</v>
      </c>
      <c r="M548" s="15" t="n">
        <f aca="false">L548*(1+IF(M$3&lt;=$O$2,$D548,$D548-($D548-$I$535)*MIN(M$3-$O$2,$Q$2)/$Q$2))</f>
        <v>5231.44139110174</v>
      </c>
      <c r="N548" s="15" t="n">
        <f aca="false">M548*(1+IF(N$3&lt;=$O$2,$D548,$D548-($D548-$I$535)*MIN(N$3-$O$2,$Q$2)/$Q$2))</f>
        <v>5405.64838942543</v>
      </c>
      <c r="O548" s="15" t="n">
        <f aca="false">SUMPRODUCT(E548:N548,1/(1+$F$535)^$E$3:$N$3)*$E$2</f>
        <v>11635.4957615203</v>
      </c>
      <c r="P548" s="15" t="n">
        <f aca="false">N548*$E$2*(1+$I$535)/($F$535-$I$535)/(1+$F$535)^$N$3</f>
        <v>14735.0482572374</v>
      </c>
      <c r="Q548" s="15" t="n">
        <f aca="false">O548+P548</f>
        <v>26370.5440187577</v>
      </c>
      <c r="R548" s="15" t="n">
        <f aca="false">Q548-$G$2+$I$2</f>
        <v>19025.3440187577</v>
      </c>
      <c r="S548" s="42" t="n">
        <f aca="false">R548/$K$2</f>
        <v>81.0796676699667</v>
      </c>
      <c r="T548" s="43" t="n">
        <f aca="false">S548-$M$2</f>
        <v>0.0653910878231017</v>
      </c>
    </row>
    <row r="549" customFormat="false" ht="15" hidden="false" customHeight="false" outlineLevel="0" collapsed="false">
      <c r="A549" s="5" t="n">
        <v>13</v>
      </c>
      <c r="B549" s="25" t="n">
        <f aca="false">IF(T548&gt;0,B548,D548)</f>
        <v>-0.04150390625</v>
      </c>
      <c r="C549" s="25" t="n">
        <f aca="false">IF(T548&gt;0,D548,C548)</f>
        <v>-0.0411376953125</v>
      </c>
      <c r="D549" s="41" t="n">
        <f aca="false">(B549+C549)/2</f>
        <v>-0.04132080078125</v>
      </c>
      <c r="E549" s="15" t="n">
        <f aca="false">$C$2*(1+IF(E$3&lt;=$O$2,$D549,$D549-($D549-$I$535)*MIN(E$3-$O$2,$Q$2)/$Q$2))</f>
        <v>6288.935546875</v>
      </c>
      <c r="F549" s="15" t="n">
        <f aca="false">E549*(1+IF(F$3&lt;=$O$2,$D549,$D549-($D549-$I$535)*MIN(F$3-$O$2,$Q$2)/$Q$2))</f>
        <v>6029.07169401646</v>
      </c>
      <c r="G549" s="15" t="n">
        <f aca="false">F549*(1+IF(G$3&lt;=$O$2,$D549,$D549-($D549-$I$535)*MIN(G$3-$O$2,$Q$2)/$Q$2))</f>
        <v>5779.94562365213</v>
      </c>
      <c r="H549" s="15" t="n">
        <f aca="false">G549*(1+IF(H$3&lt;=$O$2,$D549,$D549-($D549-$I$535)*MIN(H$3-$O$2,$Q$2)/$Q$2))</f>
        <v>5541.11364201074</v>
      </c>
      <c r="I549" s="15" t="n">
        <f aca="false">H549*(1+IF(I$3&lt;=$O$2,$D549,$D549-($D549-$I$535)*MIN(I$3-$O$2,$Q$2)/$Q$2))</f>
        <v>5312.15038910295</v>
      </c>
      <c r="J549" s="15" t="n">
        <f aca="false">I549*(1+IF(J$3&lt;=$O$2,$D549,$D549-($D549-$I$535)*MIN(J$3-$O$2,$Q$2)/$Q$2))</f>
        <v>5171.92746433584</v>
      </c>
      <c r="K549" s="15" t="n">
        <f aca="false">J549*(1+IF(K$3&lt;=$O$2,$D549,$D549-($D549-$I$535)*MIN(K$3-$O$2,$Q$2)/$Q$2))</f>
        <v>5112.59262751546</v>
      </c>
      <c r="L549" s="15" t="n">
        <f aca="false">K549*(1+IF(L$3&lt;=$O$2,$D549,$D549-($D549-$I$535)*MIN(L$3-$O$2,$Q$2)/$Q$2))</f>
        <v>5130.23965963832</v>
      </c>
      <c r="M549" s="15" t="n">
        <f aca="false">L549*(1+IF(M$3&lt;=$O$2,$D549,$D549-($D549-$I$535)*MIN(M$3-$O$2,$Q$2)/$Q$2))</f>
        <v>5224.51212198388</v>
      </c>
      <c r="N549" s="15" t="n">
        <f aca="false">M549*(1+IF(N$3&lt;=$O$2,$D549,$D549-($D549-$I$535)*MIN(N$3-$O$2,$Q$2)/$Q$2))</f>
        <v>5398.48837564595</v>
      </c>
      <c r="O549" s="15" t="n">
        <f aca="false">SUMPRODUCT(E549:N549,1/(1+$F$535)^$E$3:$N$3)*$E$2</f>
        <v>11626.2830914171</v>
      </c>
      <c r="P549" s="15" t="n">
        <f aca="false">N549*$E$2*(1+$I$535)/($F$535-$I$535)/(1+$F$535)^$N$3</f>
        <v>14715.5310520915</v>
      </c>
      <c r="Q549" s="15" t="n">
        <f aca="false">O549+P549</f>
        <v>26341.8141435085</v>
      </c>
      <c r="R549" s="15" t="n">
        <f aca="false">Q549-$G$2+$I$2</f>
        <v>18996.6141435085</v>
      </c>
      <c r="S549" s="42" t="n">
        <f aca="false">R549/$K$2</f>
        <v>80.957230528483</v>
      </c>
      <c r="T549" s="43" t="n">
        <f aca="false">S549-$M$2</f>
        <v>-0.0570460536606134</v>
      </c>
    </row>
    <row r="550" customFormat="false" ht="15" hidden="false" customHeight="false" outlineLevel="0" collapsed="false">
      <c r="A550" s="5" t="n">
        <v>14</v>
      </c>
      <c r="B550" s="25" t="n">
        <f aca="false">IF(T549&gt;0,B549,D549)</f>
        <v>-0.04132080078125</v>
      </c>
      <c r="C550" s="25" t="n">
        <f aca="false">IF(T549&gt;0,D549,C549)</f>
        <v>-0.0411376953125</v>
      </c>
      <c r="D550" s="41" t="n">
        <f aca="false">(B550+C550)/2</f>
        <v>-0.041229248046875</v>
      </c>
      <c r="E550" s="15" t="n">
        <f aca="false">$C$2*(1+IF(E$3&lt;=$O$2,$D550,$D550-($D550-$I$535)*MIN(E$3-$O$2,$Q$2)/$Q$2))</f>
        <v>6289.5361328125</v>
      </c>
      <c r="F550" s="15" t="n">
        <f aca="false">E550*(1+IF(F$3&lt;=$O$2,$D550,$D550-($D550-$I$535)*MIN(F$3-$O$2,$Q$2)/$Q$2))</f>
        <v>6030.22328749299</v>
      </c>
      <c r="G550" s="15" t="n">
        <f aca="false">F550*(1+IF(G$3&lt;=$O$2,$D550,$D550-($D550-$I$535)*MIN(G$3-$O$2,$Q$2)/$Q$2))</f>
        <v>5781.6017157949</v>
      </c>
      <c r="H550" s="15" t="n">
        <f aca="false">G550*(1+IF(H$3&lt;=$O$2,$D550,$D550-($D550-$I$535)*MIN(H$3-$O$2,$Q$2)/$Q$2))</f>
        <v>5543.23062454615</v>
      </c>
      <c r="I550" s="15" t="n">
        <f aca="false">H550*(1+IF(I$3&lt;=$O$2,$D550,$D550-($D550-$I$535)*MIN(I$3-$O$2,$Q$2)/$Q$2))</f>
        <v>5314.68739414571</v>
      </c>
      <c r="J550" s="15" t="n">
        <f aca="false">I550*(1+IF(J$3&lt;=$O$2,$D550,$D550-($D550-$I$535)*MIN(J$3-$O$2,$Q$2)/$Q$2))</f>
        <v>5174.78676029885</v>
      </c>
      <c r="K550" s="15" t="n">
        <f aca="false">J550*(1+IF(K$3&lt;=$O$2,$D550,$D550-($D550-$I$535)*MIN(K$3-$O$2,$Q$2)/$Q$2))</f>
        <v>5115.703379788</v>
      </c>
      <c r="L550" s="15" t="n">
        <f aca="false">K550*(1+IF(L$3&lt;=$O$2,$D550,$D550-($D550-$I$535)*MIN(L$3-$O$2,$Q$2)/$Q$2))</f>
        <v>5133.54849188436</v>
      </c>
      <c r="M550" s="15" t="n">
        <f aca="false">L550*(1+IF(M$3&lt;=$O$2,$D550,$D550-($D550-$I$535)*MIN(M$3-$O$2,$Q$2)/$Q$2))</f>
        <v>5227.97575488165</v>
      </c>
      <c r="N550" s="15" t="n">
        <f aca="false">M550*(1+IF(N$3&lt;=$O$2,$D550,$D550-($D550-$I$535)*MIN(N$3-$O$2,$Q$2)/$Q$2))</f>
        <v>5402.06734751921</v>
      </c>
      <c r="O550" s="15" t="n">
        <f aca="false">SUMPRODUCT(E550:N550,1/(1+$F$535)^$E$3:$N$3)*$E$2</f>
        <v>11630.888479169</v>
      </c>
      <c r="P550" s="15" t="n">
        <f aca="false">N550*$E$2*(1+$I$535)/($F$535-$I$535)/(1+$F$535)^$N$3</f>
        <v>14725.286833353</v>
      </c>
      <c r="Q550" s="15" t="n">
        <f aca="false">O550+P550</f>
        <v>26356.175312522</v>
      </c>
      <c r="R550" s="15" t="n">
        <f aca="false">Q550-$G$2+$I$2</f>
        <v>19010.975312522</v>
      </c>
      <c r="S550" s="42" t="n">
        <f aca="false">R550/$K$2</f>
        <v>81.0184330386619</v>
      </c>
      <c r="T550" s="43" t="n">
        <f aca="false">S550-$M$2</f>
        <v>0.00415645651824548</v>
      </c>
    </row>
    <row r="551" customFormat="false" ht="15" hidden="false" customHeight="false" outlineLevel="0" collapsed="false">
      <c r="A551" s="5" t="n">
        <v>15</v>
      </c>
      <c r="B551" s="25" t="n">
        <f aca="false">IF(T550&gt;0,B550,D550)</f>
        <v>-0.04132080078125</v>
      </c>
      <c r="C551" s="25" t="n">
        <f aca="false">IF(T550&gt;0,D550,C550)</f>
        <v>-0.041229248046875</v>
      </c>
      <c r="D551" s="41" t="n">
        <f aca="false">(B551+C551)/2</f>
        <v>-0.0412750244140625</v>
      </c>
      <c r="E551" s="15" t="n">
        <f aca="false">$C$2*(1+IF(E$3&lt;=$O$2,$D551,$D551-($D551-$I$535)*MIN(E$3-$O$2,$Q$2)/$Q$2))</f>
        <v>6289.23583984375</v>
      </c>
      <c r="F551" s="15" t="n">
        <f aca="false">E551*(1+IF(F$3&lt;=$O$2,$D551,$D551-($D551-$I$535)*MIN(F$3-$O$2,$Q$2)/$Q$2))</f>
        <v>6029.6474770084</v>
      </c>
      <c r="G551" s="15" t="n">
        <f aca="false">F551*(1+IF(G$3&lt;=$O$2,$D551,$D551-($D551-$I$535)*MIN(G$3-$O$2,$Q$2)/$Q$2))</f>
        <v>5780.77363018669</v>
      </c>
      <c r="H551" s="15" t="n">
        <f aca="false">G551*(1+IF(H$3&lt;=$O$2,$D551,$D551-($D551-$I$535)*MIN(H$3-$O$2,$Q$2)/$Q$2))</f>
        <v>5542.17205746857</v>
      </c>
      <c r="I551" s="15" t="n">
        <f aca="false">H551*(1+IF(I$3&lt;=$O$2,$D551,$D551-($D551-$I$535)*MIN(I$3-$O$2,$Q$2)/$Q$2))</f>
        <v>5313.41877048962</v>
      </c>
      <c r="J551" s="15" t="n">
        <f aca="false">I551*(1+IF(J$3&lt;=$O$2,$D551,$D551-($D551-$I$535)*MIN(J$3-$O$2,$Q$2)/$Q$2))</f>
        <v>5173.3569479218</v>
      </c>
      <c r="K551" s="15" t="n">
        <f aca="false">J551*(1+IF(K$3&lt;=$O$2,$D551,$D551-($D551-$I$535)*MIN(K$3-$O$2,$Q$2)/$Q$2))</f>
        <v>5114.14780187124</v>
      </c>
      <c r="L551" s="15" t="n">
        <f aca="false">K551*(1+IF(L$3&lt;=$O$2,$D551,$D551-($D551-$I$535)*MIN(L$3-$O$2,$Q$2)/$Q$2))</f>
        <v>5131.89384480088</v>
      </c>
      <c r="M551" s="15" t="n">
        <f aca="false">L551*(1+IF(M$3&lt;=$O$2,$D551,$D551-($D551-$I$535)*MIN(M$3-$O$2,$Q$2)/$Q$2))</f>
        <v>5226.24368807947</v>
      </c>
      <c r="N551" s="15" t="n">
        <f aca="false">M551*(1+IF(N$3&lt;=$O$2,$D551,$D551-($D551-$I$535)*MIN(N$3-$O$2,$Q$2)/$Q$2))</f>
        <v>5400.27760289252</v>
      </c>
      <c r="O551" s="15" t="n">
        <f aca="false">SUMPRODUCT(E551:N551,1/(1+$F$535)^$E$3:$N$3)*$E$2</f>
        <v>11628.5855485149</v>
      </c>
      <c r="P551" s="15" t="n">
        <f aca="false">N551*$E$2*(1+$I$535)/($F$535-$I$535)/(1+$F$535)^$N$3</f>
        <v>14720.408237569</v>
      </c>
      <c r="Q551" s="15" t="n">
        <f aca="false">O551+P551</f>
        <v>26348.9937860839</v>
      </c>
      <c r="R551" s="15" t="n">
        <f aca="false">Q551-$G$2+$I$2</f>
        <v>19003.7937860839</v>
      </c>
      <c r="S551" s="42" t="n">
        <f aca="false">R551/$K$2</f>
        <v>80.9878277693753</v>
      </c>
      <c r="T551" s="43" t="n">
        <f aca="false">S551-$M$2</f>
        <v>-0.0264488127683649</v>
      </c>
    </row>
    <row r="552" customFormat="false" ht="15" hidden="false" customHeight="false" outlineLevel="0" collapsed="false">
      <c r="A552" s="5" t="n">
        <v>16</v>
      </c>
      <c r="B552" s="25" t="n">
        <f aca="false">IF(T551&gt;0,B551,D551)</f>
        <v>-0.0412750244140625</v>
      </c>
      <c r="C552" s="25" t="n">
        <f aca="false">IF(T551&gt;0,D551,C551)</f>
        <v>-0.041229248046875</v>
      </c>
      <c r="D552" s="41" t="n">
        <f aca="false">(B552+C552)/2</f>
        <v>-0.0412521362304688</v>
      </c>
      <c r="E552" s="15" t="n">
        <f aca="false">$C$2*(1+IF(E$3&lt;=$O$2,$D552,$D552-($D552-$I$535)*MIN(E$3-$O$2,$Q$2)/$Q$2))</f>
        <v>6289.38598632813</v>
      </c>
      <c r="F552" s="15" t="n">
        <f aca="false">E552*(1+IF(F$3&lt;=$O$2,$D552,$D552-($D552-$I$535)*MIN(F$3-$O$2,$Q$2)/$Q$2))</f>
        <v>6029.93537881412</v>
      </c>
      <c r="G552" s="15" t="n">
        <f aca="false">F552*(1+IF(G$3&lt;=$O$2,$D552,$D552-($D552-$I$535)*MIN(G$3-$O$2,$Q$2)/$Q$2))</f>
        <v>5781.18766310635</v>
      </c>
      <c r="H552" s="15" t="n">
        <f aca="false">G552*(1+IF(H$3&lt;=$O$2,$D552,$D552-($D552-$I$535)*MIN(H$3-$O$2,$Q$2)/$Q$2))</f>
        <v>5542.70132205399</v>
      </c>
      <c r="I552" s="15" t="n">
        <f aca="false">H552*(1+IF(I$3&lt;=$O$2,$D552,$D552-($D552-$I$535)*MIN(I$3-$O$2,$Q$2)/$Q$2))</f>
        <v>5314.05305203181</v>
      </c>
      <c r="J552" s="15" t="n">
        <f aca="false">I552*(1+IF(J$3&lt;=$O$2,$D552,$D552-($D552-$I$535)*MIN(J$3-$O$2,$Q$2)/$Q$2))</f>
        <v>5174.07181300766</v>
      </c>
      <c r="K552" s="15" t="n">
        <f aca="false">J552*(1+IF(K$3&lt;=$O$2,$D552,$D552-($D552-$I$535)*MIN(K$3-$O$2,$Q$2)/$Q$2))</f>
        <v>5114.92554037907</v>
      </c>
      <c r="L552" s="15" t="n">
        <f aca="false">K552*(1+IF(L$3&lt;=$O$2,$D552,$D552-($D552-$I$535)*MIN(L$3-$O$2,$Q$2)/$Q$2))</f>
        <v>5132.72111059568</v>
      </c>
      <c r="M552" s="15" t="n">
        <f aca="false">L552*(1+IF(M$3&lt;=$O$2,$D552,$D552-($D552-$I$535)*MIN(M$3-$O$2,$Q$2)/$Q$2))</f>
        <v>5227.10965888449</v>
      </c>
      <c r="N552" s="15" t="n">
        <f aca="false">M552*(1+IF(N$3&lt;=$O$2,$D552,$D552-($D552-$I$535)*MIN(N$3-$O$2,$Q$2)/$Q$2))</f>
        <v>5401.17241052534</v>
      </c>
      <c r="O552" s="15" t="n">
        <f aca="false">SUMPRODUCT(E552:N552,1/(1+$F$535)^$E$3:$N$3)*$E$2</f>
        <v>11629.7369546416</v>
      </c>
      <c r="P552" s="15" t="n">
        <f aca="false">N552*$E$2*(1+$I$535)/($F$535-$I$535)/(1+$F$535)^$N$3</f>
        <v>14722.8473591508</v>
      </c>
      <c r="Q552" s="15" t="n">
        <f aca="false">O552+P552</f>
        <v>26352.5843137924</v>
      </c>
      <c r="R552" s="15" t="n">
        <f aca="false">Q552-$G$2+$I$2</f>
        <v>19007.3843137924</v>
      </c>
      <c r="S552" s="42" t="n">
        <f aca="false">R552/$K$2</f>
        <v>81.0031294003514</v>
      </c>
      <c r="T552" s="43" t="n">
        <f aca="false">S552-$M$2</f>
        <v>-0.0111471817922677</v>
      </c>
    </row>
    <row r="553" customFormat="false" ht="15" hidden="false" customHeight="false" outlineLevel="0" collapsed="false">
      <c r="A553" s="5" t="n">
        <v>17</v>
      </c>
      <c r="B553" s="25" t="n">
        <f aca="false">IF(T552&gt;0,B552,D552)</f>
        <v>-0.0412521362304688</v>
      </c>
      <c r="C553" s="25" t="n">
        <f aca="false">IF(T552&gt;0,D552,C552)</f>
        <v>-0.041229248046875</v>
      </c>
      <c r="D553" s="41" t="n">
        <f aca="false">(B553+C553)/2</f>
        <v>-0.0412406921386719</v>
      </c>
      <c r="E553" s="15" t="n">
        <f aca="false">$C$2*(1+IF(E$3&lt;=$O$2,$D553,$D553-($D553-$I$535)*MIN(E$3-$O$2,$Q$2)/$Q$2))</f>
        <v>6289.46105957031</v>
      </c>
      <c r="F553" s="15" t="n">
        <f aca="false">E553*(1+IF(F$3&lt;=$O$2,$D553,$D553-($D553-$I$535)*MIN(F$3-$O$2,$Q$2)/$Q$2))</f>
        <v>6030.07933229441</v>
      </c>
      <c r="G553" s="15" t="n">
        <f aca="false">F553*(1+IF(G$3&lt;=$O$2,$D553,$D553-($D553-$I$535)*MIN(G$3-$O$2,$Q$2)/$Q$2))</f>
        <v>5781.39468697949</v>
      </c>
      <c r="H553" s="15" t="n">
        <f aca="false">G553*(1+IF(H$3&lt;=$O$2,$D553,$D553-($D553-$I$535)*MIN(H$3-$O$2,$Q$2)/$Q$2))</f>
        <v>5542.96596856161</v>
      </c>
      <c r="I553" s="15" t="n">
        <f aca="false">H553*(1+IF(I$3&lt;=$O$2,$D553,$D553-($D553-$I$535)*MIN(I$3-$O$2,$Q$2)/$Q$2))</f>
        <v>5314.37021551703</v>
      </c>
      <c r="J553" s="15" t="n">
        <f aca="false">I553*(1+IF(J$3&lt;=$O$2,$D553,$D553-($D553-$I$535)*MIN(J$3-$O$2,$Q$2)/$Q$2))</f>
        <v>5174.42927637712</v>
      </c>
      <c r="K553" s="15" t="n">
        <f aca="false">J553*(1+IF(K$3&lt;=$O$2,$D553,$D553-($D553-$I$535)*MIN(K$3-$O$2,$Q$2)/$Q$2))</f>
        <v>5115.31444747022</v>
      </c>
      <c r="L553" s="15" t="n">
        <f aca="false">K553*(1+IF(L$3&lt;=$O$2,$D553,$D553-($D553-$I$535)*MIN(L$3-$O$2,$Q$2)/$Q$2))</f>
        <v>5133.13478680243</v>
      </c>
      <c r="M553" s="15" t="n">
        <f aca="false">L553*(1+IF(M$3&lt;=$O$2,$D553,$D553-($D553-$I$535)*MIN(M$3-$O$2,$Q$2)/$Q$2))</f>
        <v>5227.54269123308</v>
      </c>
      <c r="N553" s="15" t="n">
        <f aca="false">M553*(1+IF(N$3&lt;=$O$2,$D553,$D553-($D553-$I$535)*MIN(N$3-$O$2,$Q$2)/$Q$2))</f>
        <v>5401.61986285114</v>
      </c>
      <c r="O553" s="15" t="n">
        <f aca="false">SUMPRODUCT(E553:N553,1/(1+$F$535)^$E$3:$N$3)*$E$2</f>
        <v>11630.3127021045</v>
      </c>
      <c r="P553" s="15" t="n">
        <f aca="false">N553*$E$2*(1+$I$535)/($F$535-$I$535)/(1+$F$535)^$N$3</f>
        <v>14724.0670521716</v>
      </c>
      <c r="Q553" s="15" t="n">
        <f aca="false">O553+P553</f>
        <v>26354.3797542761</v>
      </c>
      <c r="R553" s="15" t="n">
        <f aca="false">Q553-$G$2+$I$2</f>
        <v>19009.1797542761</v>
      </c>
      <c r="S553" s="42" t="n">
        <f aca="false">R553/$K$2</f>
        <v>81.0107809685751</v>
      </c>
      <c r="T553" s="43" t="n">
        <f aca="false">S553-$M$2</f>
        <v>-0.00349561356856043</v>
      </c>
    </row>
    <row r="554" customFormat="false" ht="15" hidden="false" customHeight="false" outlineLevel="0" collapsed="false">
      <c r="A554" s="5" t="n">
        <v>18</v>
      </c>
      <c r="B554" s="25" t="n">
        <f aca="false">IF(T553&gt;0,B553,D553)</f>
        <v>-0.0412406921386719</v>
      </c>
      <c r="C554" s="25" t="n">
        <f aca="false">IF(T553&gt;0,D553,C553)</f>
        <v>-0.041229248046875</v>
      </c>
      <c r="D554" s="41" t="n">
        <f aca="false">(B554+C554)/2</f>
        <v>-0.0412349700927734</v>
      </c>
      <c r="E554" s="15" t="n">
        <f aca="false">$C$2*(1+IF(E$3&lt;=$O$2,$D554,$D554-($D554-$I$535)*MIN(E$3-$O$2,$Q$2)/$Q$2))</f>
        <v>6289.49859619141</v>
      </c>
      <c r="F554" s="15" t="n">
        <f aca="false">E554*(1+IF(F$3&lt;=$O$2,$D554,$D554-($D554-$I$535)*MIN(F$3-$O$2,$Q$2)/$Q$2))</f>
        <v>6030.15130967891</v>
      </c>
      <c r="G554" s="15" t="n">
        <f aca="false">F554*(1+IF(G$3&lt;=$O$2,$D554,$D554-($D554-$I$535)*MIN(G$3-$O$2,$Q$2)/$Q$2))</f>
        <v>5781.4982007694</v>
      </c>
      <c r="H554" s="15" t="n">
        <f aca="false">G554*(1+IF(H$3&lt;=$O$2,$D554,$D554-($D554-$I$535)*MIN(H$3-$O$2,$Q$2)/$Q$2))</f>
        <v>5543.09829536926</v>
      </c>
      <c r="I554" s="15" t="n">
        <f aca="false">H554*(1+IF(I$3&lt;=$O$2,$D554,$D554-($D554-$I$535)*MIN(I$3-$O$2,$Q$2)/$Q$2))</f>
        <v>5314.5288029384</v>
      </c>
      <c r="J554" s="15" t="n">
        <f aca="false">I554*(1+IF(J$3&lt;=$O$2,$D554,$D554-($D554-$I$535)*MIN(J$3-$O$2,$Q$2)/$Q$2))</f>
        <v>5174.60801576889</v>
      </c>
      <c r="K554" s="15" t="n">
        <f aca="false">J554*(1+IF(K$3&lt;=$O$2,$D554,$D554-($D554-$I$535)*MIN(K$3-$O$2,$Q$2)/$Q$2))</f>
        <v>5115.5089104757</v>
      </c>
      <c r="L554" s="15" t="n">
        <f aca="false">K554*(1+IF(L$3&lt;=$O$2,$D554,$D554-($D554-$I$535)*MIN(L$3-$O$2,$Q$2)/$Q$2))</f>
        <v>5133.34163573389</v>
      </c>
      <c r="M554" s="15" t="n">
        <f aca="false">L554*(1+IF(M$3&lt;=$O$2,$D554,$D554-($D554-$I$535)*MIN(M$3-$O$2,$Q$2)/$Q$2))</f>
        <v>5227.75921914475</v>
      </c>
      <c r="N554" s="15" t="n">
        <f aca="false">M554*(1+IF(N$3&lt;=$O$2,$D554,$D554-($D554-$I$535)*MIN(N$3-$O$2,$Q$2)/$Q$2))</f>
        <v>5401.84360114227</v>
      </c>
      <c r="O554" s="15" t="n">
        <f aca="false">SUMPRODUCT(E554:N554,1/(1+$F$535)^$E$3:$N$3)*$E$2</f>
        <v>11630.6005869365</v>
      </c>
      <c r="P554" s="15" t="n">
        <f aca="false">N554*$E$2*(1+$I$535)/($F$535-$I$535)/(1+$F$535)^$N$3</f>
        <v>14724.6769317419</v>
      </c>
      <c r="Q554" s="15" t="n">
        <f aca="false">O554+P554</f>
        <v>26355.2775186784</v>
      </c>
      <c r="R554" s="15" t="n">
        <f aca="false">Q554-$G$2+$I$2</f>
        <v>19010.0775186784</v>
      </c>
      <c r="S554" s="42" t="n">
        <f aca="false">R554/$K$2</f>
        <v>81.0146069408837</v>
      </c>
      <c r="T554" s="43" t="n">
        <f aca="false">S554-$M$2</f>
        <v>0.000330358740086467</v>
      </c>
    </row>
    <row r="555" customFormat="false" ht="15" hidden="false" customHeight="false" outlineLevel="0" collapsed="false">
      <c r="A555" s="5" t="n">
        <v>19</v>
      </c>
      <c r="B555" s="25" t="n">
        <f aca="false">IF(T554&gt;0,B554,D554)</f>
        <v>-0.0412406921386719</v>
      </c>
      <c r="C555" s="25" t="n">
        <f aca="false">IF(T554&gt;0,D554,C554)</f>
        <v>-0.0412349700927734</v>
      </c>
      <c r="D555" s="41" t="n">
        <f aca="false">(B555+C555)/2</f>
        <v>-0.0412378311157227</v>
      </c>
      <c r="E555" s="15" t="n">
        <f aca="false">$C$2*(1+IF(E$3&lt;=$O$2,$D555,$D555-($D555-$I$535)*MIN(E$3-$O$2,$Q$2)/$Q$2))</f>
        <v>6289.47982788086</v>
      </c>
      <c r="F555" s="15" t="n">
        <f aca="false">E555*(1+IF(F$3&lt;=$O$2,$D555,$D555-($D555-$I$535)*MIN(F$3-$O$2,$Q$2)/$Q$2))</f>
        <v>6030.11532093296</v>
      </c>
      <c r="G555" s="15" t="n">
        <f aca="false">F555*(1+IF(G$3&lt;=$O$2,$D555,$D555-($D555-$I$535)*MIN(G$3-$O$2,$Q$2)/$Q$2))</f>
        <v>5781.44644372</v>
      </c>
      <c r="H555" s="15" t="n">
        <f aca="false">G555*(1+IF(H$3&lt;=$O$2,$D555,$D555-($D555-$I$535)*MIN(H$3-$O$2,$Q$2)/$Q$2))</f>
        <v>5543.03213166928</v>
      </c>
      <c r="I555" s="15" t="n">
        <f aca="false">H555*(1+IF(I$3&lt;=$O$2,$D555,$D555-($D555-$I$535)*MIN(I$3-$O$2,$Q$2)/$Q$2))</f>
        <v>5314.44950875448</v>
      </c>
      <c r="J555" s="15" t="n">
        <f aca="false">I555*(1+IF(J$3&lt;=$O$2,$D555,$D555-($D555-$I$535)*MIN(J$3-$O$2,$Q$2)/$Q$2))</f>
        <v>5174.51864543074</v>
      </c>
      <c r="K555" s="15" t="n">
        <f aca="false">J555*(1+IF(K$3&lt;=$O$2,$D555,$D555-($D555-$I$535)*MIN(K$3-$O$2,$Q$2)/$Q$2))</f>
        <v>5115.41167818462</v>
      </c>
      <c r="L555" s="15" t="n">
        <f aca="false">K555*(1+IF(L$3&lt;=$O$2,$D555,$D555-($D555-$I$535)*MIN(L$3-$O$2,$Q$2)/$Q$2))</f>
        <v>5133.2382103658</v>
      </c>
      <c r="M555" s="15" t="n">
        <f aca="false">L555*(1+IF(M$3&lt;=$O$2,$D555,$D555-($D555-$I$535)*MIN(M$3-$O$2,$Q$2)/$Q$2))</f>
        <v>5227.65095421078</v>
      </c>
      <c r="N555" s="15" t="n">
        <f aca="false">M555*(1+IF(N$3&lt;=$O$2,$D555,$D555-($D555-$I$535)*MIN(N$3-$O$2,$Q$2)/$Q$2))</f>
        <v>5401.731730986</v>
      </c>
      <c r="O555" s="15" t="n">
        <f aca="false">SUMPRODUCT(E555:N555,1/(1+$F$535)^$E$3:$N$3)*$E$2</f>
        <v>11630.4566435954</v>
      </c>
      <c r="P555" s="15" t="n">
        <f aca="false">N555*$E$2*(1+$I$535)/($F$535-$I$535)/(1+$F$535)^$N$3</f>
        <v>14724.3719892017</v>
      </c>
      <c r="Q555" s="15" t="n">
        <f aca="false">O555+P555</f>
        <v>26354.8286327971</v>
      </c>
      <c r="R555" s="15" t="n">
        <f aca="false">Q555-$G$2+$I$2</f>
        <v>19009.6286327971</v>
      </c>
      <c r="S555" s="42" t="n">
        <f aca="false">R555/$K$2</f>
        <v>81.0126939390459</v>
      </c>
      <c r="T555" s="43" t="n">
        <f aca="false">S555-$M$2</f>
        <v>-0.00158264309769152</v>
      </c>
    </row>
    <row r="556" customFormat="false" ht="15" hidden="false" customHeight="false" outlineLevel="0" collapsed="false">
      <c r="A556" s="5" t="n">
        <v>20</v>
      </c>
      <c r="B556" s="25" t="n">
        <f aca="false">IF(T555&gt;0,B555,D555)</f>
        <v>-0.0412378311157227</v>
      </c>
      <c r="C556" s="25" t="n">
        <f aca="false">IF(T555&gt;0,D555,C555)</f>
        <v>-0.0412349700927734</v>
      </c>
      <c r="D556" s="41" t="n">
        <f aca="false">(B556+C556)/2</f>
        <v>-0.0412364006042481</v>
      </c>
      <c r="E556" s="15" t="n">
        <f aca="false">$C$2*(1+IF(E$3&lt;=$O$2,$D556,$D556-($D556-$I$535)*MIN(E$3-$O$2,$Q$2)/$Q$2))</f>
        <v>6289.48921203613</v>
      </c>
      <c r="F556" s="15" t="n">
        <f aca="false">E556*(1+IF(F$3&lt;=$O$2,$D556,$D556-($D556-$I$535)*MIN(F$3-$O$2,$Q$2)/$Q$2))</f>
        <v>6030.13331529251</v>
      </c>
      <c r="G556" s="15" t="n">
        <f aca="false">F556*(1+IF(G$3&lt;=$O$2,$D556,$D556-($D556-$I$535)*MIN(G$3-$O$2,$Q$2)/$Q$2))</f>
        <v>5781.47232220609</v>
      </c>
      <c r="H556" s="15" t="n">
        <f aca="false">G556*(1+IF(H$3&lt;=$O$2,$D556,$D556-($D556-$I$535)*MIN(H$3-$O$2,$Q$2)/$Q$2))</f>
        <v>5543.06521344523</v>
      </c>
      <c r="I556" s="15" t="n">
        <f aca="false">H556*(1+IF(I$3&lt;=$O$2,$D556,$D556-($D556-$I$535)*MIN(I$3-$O$2,$Q$2)/$Q$2))</f>
        <v>5314.48915572813</v>
      </c>
      <c r="J556" s="15" t="n">
        <f aca="false">I556*(1+IF(J$3&lt;=$O$2,$D556,$D556-($D556-$I$535)*MIN(J$3-$O$2,$Q$2)/$Q$2))</f>
        <v>5174.56333043925</v>
      </c>
      <c r="K556" s="15" t="n">
        <f aca="false">J556*(1+IF(K$3&lt;=$O$2,$D556,$D556-($D556-$I$535)*MIN(K$3-$O$2,$Q$2)/$Q$2))</f>
        <v>5115.46029413307</v>
      </c>
      <c r="L556" s="15" t="n">
        <f aca="false">K556*(1+IF(L$3&lt;=$O$2,$D556,$D556-($D556-$I$535)*MIN(L$3-$O$2,$Q$2)/$Q$2))</f>
        <v>5133.28992282425</v>
      </c>
      <c r="M556" s="15" t="n">
        <f aca="false">L556*(1+IF(M$3&lt;=$O$2,$D556,$D556-($D556-$I$535)*MIN(M$3-$O$2,$Q$2)/$Q$2))</f>
        <v>5227.70508643323</v>
      </c>
      <c r="N556" s="15" t="n">
        <f aca="false">M556*(1+IF(N$3&lt;=$O$2,$D556,$D556-($D556-$I$535)*MIN(N$3-$O$2,$Q$2)/$Q$2))</f>
        <v>5401.78766581145</v>
      </c>
      <c r="O556" s="15" t="n">
        <f aca="false">SUMPRODUCT(E556:N556,1/(1+$F$535)^$E$3:$N$3)*$E$2</f>
        <v>11630.5286150347</v>
      </c>
      <c r="P556" s="15" t="n">
        <f aca="false">N556*$E$2*(1+$I$535)/($F$535-$I$535)/(1+$F$535)^$N$3</f>
        <v>14724.524459783</v>
      </c>
      <c r="Q556" s="15" t="n">
        <f aca="false">O556+P556</f>
        <v>26355.0530748177</v>
      </c>
      <c r="R556" s="15" t="n">
        <f aca="false">Q556-$G$2+$I$2</f>
        <v>19009.8530748177</v>
      </c>
      <c r="S556" s="42" t="n">
        <f aca="false">R556/$K$2</f>
        <v>81.013650436044</v>
      </c>
      <c r="T556" s="43" t="n">
        <f aca="false">S556-$M$2</f>
        <v>-0.000626146099648395</v>
      </c>
    </row>
    <row r="557" customFormat="false" ht="15" hidden="false" customHeight="false" outlineLevel="0" collapsed="false">
      <c r="A557" s="5" t="n">
        <v>21</v>
      </c>
      <c r="B557" s="25" t="n">
        <f aca="false">IF(T556&gt;0,B556,D556)</f>
        <v>-0.0412364006042481</v>
      </c>
      <c r="C557" s="25" t="n">
        <f aca="false">IF(T556&gt;0,D556,C556)</f>
        <v>-0.0412349700927734</v>
      </c>
      <c r="D557" s="41" t="n">
        <f aca="false">(B557+C557)/2</f>
        <v>-0.0412356853485107</v>
      </c>
      <c r="E557" s="15" t="n">
        <f aca="false">$C$2*(1+IF(E$3&lt;=$O$2,$D557,$D557-($D557-$I$535)*MIN(E$3-$O$2,$Q$2)/$Q$2))</f>
        <v>6289.49390411377</v>
      </c>
      <c r="F557" s="15" t="n">
        <f aca="false">E557*(1+IF(F$3&lt;=$O$2,$D557,$D557-($D557-$I$535)*MIN(F$3-$O$2,$Q$2)/$Q$2))</f>
        <v>6030.14231248236</v>
      </c>
      <c r="G557" s="15" t="n">
        <f aca="false">F557*(1+IF(G$3&lt;=$O$2,$D557,$D557-($D557-$I$535)*MIN(G$3-$O$2,$Q$2)/$Q$2))</f>
        <v>5781.48526147809</v>
      </c>
      <c r="H557" s="15" t="n">
        <f aca="false">G557*(1+IF(H$3&lt;=$O$2,$D557,$D557-($D557-$I$535)*MIN(H$3-$O$2,$Q$2)/$Q$2))</f>
        <v>5543.08175438873</v>
      </c>
      <c r="I557" s="15" t="n">
        <f aca="false">H557*(1+IF(I$3&lt;=$O$2,$D557,$D557-($D557-$I$535)*MIN(I$3-$O$2,$Q$2)/$Q$2))</f>
        <v>5314.50897930369</v>
      </c>
      <c r="J557" s="15" t="n">
        <f aca="false">I557*(1+IF(J$3&lt;=$O$2,$D557,$D557-($D557-$I$535)*MIN(J$3-$O$2,$Q$2)/$Q$2))</f>
        <v>5174.58567306393</v>
      </c>
      <c r="K557" s="15" t="n">
        <f aca="false">J557*(1+IF(K$3&lt;=$O$2,$D557,$D557-($D557-$I$535)*MIN(K$3-$O$2,$Q$2)/$Q$2))</f>
        <v>5115.48460225511</v>
      </c>
      <c r="L557" s="15" t="n">
        <f aca="false">K557*(1+IF(L$3&lt;=$O$2,$D557,$D557-($D557-$I$535)*MIN(L$3-$O$2,$Q$2)/$Q$2))</f>
        <v>5133.31577922267</v>
      </c>
      <c r="M557" s="15" t="n">
        <f aca="false">L557*(1+IF(M$3&lt;=$O$2,$D557,$D557-($D557-$I$535)*MIN(M$3-$O$2,$Q$2)/$Q$2))</f>
        <v>5227.73215272785</v>
      </c>
      <c r="N557" s="15" t="n">
        <f aca="false">M557*(1+IF(N$3&lt;=$O$2,$D557,$D557-($D557-$I$535)*MIN(N$3-$O$2,$Q$2)/$Q$2))</f>
        <v>5401.81563341369</v>
      </c>
      <c r="O557" s="15" t="n">
        <f aca="false">SUMPRODUCT(E557:N557,1/(1+$F$535)^$E$3:$N$3)*$E$2</f>
        <v>11630.5646009278</v>
      </c>
      <c r="P557" s="15" t="n">
        <f aca="false">N557*$E$2*(1+$I$535)/($F$535-$I$535)/(1+$F$535)^$N$3</f>
        <v>14724.6006955903</v>
      </c>
      <c r="Q557" s="15" t="n">
        <f aca="false">O557+P557</f>
        <v>26355.165296518</v>
      </c>
      <c r="R557" s="15" t="n">
        <f aca="false">Q557-$G$2+$I$2</f>
        <v>19009.965296518</v>
      </c>
      <c r="S557" s="42" t="n">
        <f aca="false">R557/$K$2</f>
        <v>81.0141286874836</v>
      </c>
      <c r="T557" s="43" t="n">
        <f aca="false">S557-$M$2</f>
        <v>-0.0001478946600173</v>
      </c>
    </row>
    <row r="558" customFormat="false" ht="15" hidden="false" customHeight="false" outlineLevel="0" collapsed="false">
      <c r="A558" s="5" t="n">
        <v>22</v>
      </c>
      <c r="B558" s="25" t="n">
        <f aca="false">IF(T557&gt;0,B557,D557)</f>
        <v>-0.0412356853485107</v>
      </c>
      <c r="C558" s="25" t="n">
        <f aca="false">IF(T557&gt;0,D557,C557)</f>
        <v>-0.0412349700927734</v>
      </c>
      <c r="D558" s="41" t="n">
        <f aca="false">(B558+C558)/2</f>
        <v>-0.0412353277206421</v>
      </c>
      <c r="E558" s="15" t="n">
        <f aca="false">$C$2*(1+IF(E$3&lt;=$O$2,$D558,$D558-($D558-$I$535)*MIN(E$3-$O$2,$Q$2)/$Q$2))</f>
        <v>6289.49625015259</v>
      </c>
      <c r="F558" s="15" t="n">
        <f aca="false">E558*(1+IF(F$3&lt;=$O$2,$D558,$D558-($D558-$I$535)*MIN(F$3-$O$2,$Q$2)/$Q$2))</f>
        <v>6030.1468110798</v>
      </c>
      <c r="G558" s="15" t="n">
        <f aca="false">F558*(1+IF(G$3&lt;=$O$2,$D558,$D558-($D558-$I$535)*MIN(G$3-$O$2,$Q$2)/$Q$2))</f>
        <v>5781.49173112134</v>
      </c>
      <c r="H558" s="15" t="n">
        <f aca="false">G558*(1+IF(H$3&lt;=$O$2,$D558,$D558-($D558-$I$535)*MIN(H$3-$O$2,$Q$2)/$Q$2))</f>
        <v>5543.09002487437</v>
      </c>
      <c r="I558" s="15" t="n">
        <f aca="false">H558*(1+IF(I$3&lt;=$O$2,$D558,$D558-($D558-$I$535)*MIN(I$3-$O$2,$Q$2)/$Q$2))</f>
        <v>5314.51889111365</v>
      </c>
      <c r="J558" s="15" t="n">
        <f aca="false">I558*(1+IF(J$3&lt;=$O$2,$D558,$D558-($D558-$I$535)*MIN(J$3-$O$2,$Q$2)/$Q$2))</f>
        <v>5174.59684440638</v>
      </c>
      <c r="K558" s="15" t="n">
        <f aca="false">J558*(1+IF(K$3&lt;=$O$2,$D558,$D558-($D558-$I$535)*MIN(K$3-$O$2,$Q$2)/$Q$2))</f>
        <v>5115.49675635309</v>
      </c>
      <c r="L558" s="15" t="n">
        <f aca="false">K558*(1+IF(L$3&lt;=$O$2,$D558,$D558-($D558-$I$535)*MIN(L$3-$O$2,$Q$2)/$Q$2))</f>
        <v>5133.32870746418</v>
      </c>
      <c r="M558" s="15" t="n">
        <f aca="false">L558*(1+IF(M$3&lt;=$O$2,$D558,$D558-($D558-$I$535)*MIN(M$3-$O$2,$Q$2)/$Q$2))</f>
        <v>5227.74568592102</v>
      </c>
      <c r="N558" s="15" t="n">
        <f aca="false">M558*(1+IF(N$3&lt;=$O$2,$D558,$D558-($D558-$I$535)*MIN(N$3-$O$2,$Q$2)/$Q$2))</f>
        <v>5401.82961726219</v>
      </c>
      <c r="O558" s="15" t="n">
        <f aca="false">SUMPRODUCT(E558:N558,1/(1+$F$535)^$E$3:$N$3)*$E$2</f>
        <v>11630.5825939177</v>
      </c>
      <c r="P558" s="15" t="n">
        <f aca="false">N558*$E$2*(1+$I$535)/($F$535-$I$535)/(1+$F$535)^$N$3</f>
        <v>14724.638813623</v>
      </c>
      <c r="Q558" s="15" t="n">
        <f aca="false">O558+P558</f>
        <v>26355.2214075407</v>
      </c>
      <c r="R558" s="15" t="n">
        <f aca="false">Q558-$G$2+$I$2</f>
        <v>19010.0214075407</v>
      </c>
      <c r="S558" s="42" t="n">
        <f aca="false">R558/$K$2</f>
        <v>81.0143678139386</v>
      </c>
      <c r="T558" s="43" t="n">
        <f aca="false">S558-$M$2</f>
        <v>9.12317949826047E-005</v>
      </c>
    </row>
    <row r="559" customFormat="false" ht="15" hidden="false" customHeight="false" outlineLevel="0" collapsed="false">
      <c r="A559" s="5" t="n">
        <v>23</v>
      </c>
      <c r="B559" s="25" t="n">
        <f aca="false">IF(T558&gt;0,B558,D558)</f>
        <v>-0.0412356853485107</v>
      </c>
      <c r="C559" s="25" t="n">
        <f aca="false">IF(T558&gt;0,D558,C558)</f>
        <v>-0.0412353277206421</v>
      </c>
      <c r="D559" s="41" t="n">
        <f aca="false">(B559+C559)/2</f>
        <v>-0.0412355065345764</v>
      </c>
      <c r="E559" s="15" t="n">
        <f aca="false">$C$2*(1+IF(E$3&lt;=$O$2,$D559,$D559-($D559-$I$535)*MIN(E$3-$O$2,$Q$2)/$Q$2))</f>
        <v>6289.49507713318</v>
      </c>
      <c r="F559" s="15" t="n">
        <f aca="false">E559*(1+IF(F$3&lt;=$O$2,$D559,$D559-($D559-$I$535)*MIN(F$3-$O$2,$Q$2)/$Q$2))</f>
        <v>6030.14456178087</v>
      </c>
      <c r="G559" s="15" t="n">
        <f aca="false">F559*(1+IF(G$3&lt;=$O$2,$D559,$D559-($D559-$I$535)*MIN(G$3-$O$2,$Q$2)/$Q$2))</f>
        <v>5781.48849629911</v>
      </c>
      <c r="H559" s="15" t="n">
        <f aca="false">G559*(1+IF(H$3&lt;=$O$2,$D559,$D559-($D559-$I$535)*MIN(H$3-$O$2,$Q$2)/$Q$2))</f>
        <v>5543.08588963039</v>
      </c>
      <c r="I559" s="15" t="n">
        <f aca="false">H559*(1+IF(I$3&lt;=$O$2,$D559,$D559-($D559-$I$535)*MIN(I$3-$O$2,$Q$2)/$Q$2))</f>
        <v>5314.51393520682</v>
      </c>
      <c r="J559" s="15" t="n">
        <f aca="false">I559*(1+IF(J$3&lt;=$O$2,$D559,$D559-($D559-$I$535)*MIN(J$3-$O$2,$Q$2)/$Q$2))</f>
        <v>5174.59125873264</v>
      </c>
      <c r="K559" s="15" t="n">
        <f aca="false">J559*(1+IF(K$3&lt;=$O$2,$D559,$D559-($D559-$I$535)*MIN(K$3-$O$2,$Q$2)/$Q$2))</f>
        <v>5115.49067930102</v>
      </c>
      <c r="L559" s="15" t="n">
        <f aca="false">K559*(1+IF(L$3&lt;=$O$2,$D559,$D559-($D559-$I$535)*MIN(L$3-$O$2,$Q$2)/$Q$2))</f>
        <v>5133.3222433399</v>
      </c>
      <c r="M559" s="15" t="n">
        <f aca="false">L559*(1+IF(M$3&lt;=$O$2,$D559,$D559-($D559-$I$535)*MIN(M$3-$O$2,$Q$2)/$Q$2))</f>
        <v>5227.73891932061</v>
      </c>
      <c r="N559" s="15" t="n">
        <f aca="false">M559*(1+IF(N$3&lt;=$O$2,$D559,$D559-($D559-$I$535)*MIN(N$3-$O$2,$Q$2)/$Q$2))</f>
        <v>5401.82262533399</v>
      </c>
      <c r="O559" s="15" t="n">
        <f aca="false">SUMPRODUCT(E559:N559,1/(1+$F$535)^$E$3:$N$3)*$E$2</f>
        <v>11630.5735974191</v>
      </c>
      <c r="P559" s="15" t="n">
        <f aca="false">N559*$E$2*(1+$I$535)/($F$535-$I$535)/(1+$F$535)^$N$3</f>
        <v>14724.6197545959</v>
      </c>
      <c r="Q559" s="15" t="n">
        <f aca="false">O559+P559</f>
        <v>26355.193352015</v>
      </c>
      <c r="R559" s="15" t="n">
        <f aca="false">Q559-$G$2+$I$2</f>
        <v>19009.993352015</v>
      </c>
      <c r="S559" s="42" t="n">
        <f aca="false">R559/$K$2</f>
        <v>81.0142482506499</v>
      </c>
      <c r="T559" s="43" t="n">
        <f aca="false">S559-$M$2</f>
        <v>-2.83314937519208E-005</v>
      </c>
    </row>
    <row r="560" customFormat="false" ht="15" hidden="false" customHeight="false" outlineLevel="0" collapsed="false">
      <c r="A560" s="5" t="n">
        <v>24</v>
      </c>
      <c r="B560" s="25" t="n">
        <f aca="false">IF(T559&gt;0,B559,D559)</f>
        <v>-0.0412355065345764</v>
      </c>
      <c r="C560" s="25" t="n">
        <f aca="false">IF(T559&gt;0,D559,C559)</f>
        <v>-0.0412353277206421</v>
      </c>
      <c r="D560" s="41" t="n">
        <f aca="false">(B560+C560)/2</f>
        <v>-0.0412354171276093</v>
      </c>
      <c r="E560" s="15" t="n">
        <f aca="false">$C$2*(1+IF(E$3&lt;=$O$2,$D560,$D560-($D560-$I$535)*MIN(E$3-$O$2,$Q$2)/$Q$2))</f>
        <v>6289.49566364288</v>
      </c>
      <c r="F560" s="15" t="n">
        <f aca="false">E560*(1+IF(F$3&lt;=$O$2,$D560,$D560-($D560-$I$535)*MIN(F$3-$O$2,$Q$2)/$Q$2))</f>
        <v>6030.14568643028</v>
      </c>
      <c r="G560" s="15" t="n">
        <f aca="false">F560*(1+IF(G$3&lt;=$O$2,$D560,$D560-($D560-$I$535)*MIN(G$3-$O$2,$Q$2)/$Q$2))</f>
        <v>5781.49011371007</v>
      </c>
      <c r="H560" s="15" t="n">
        <f aca="false">G560*(1+IF(H$3&lt;=$O$2,$D560,$D560-($D560-$I$535)*MIN(H$3-$O$2,$Q$2)/$Q$2))</f>
        <v>5543.08795725209</v>
      </c>
      <c r="I560" s="15" t="n">
        <f aca="false">H560*(1+IF(I$3&lt;=$O$2,$D560,$D560-($D560-$I$535)*MIN(I$3-$O$2,$Q$2)/$Q$2))</f>
        <v>5314.51641315977</v>
      </c>
      <c r="J560" s="15" t="n">
        <f aca="false">I560*(1+IF(J$3&lt;=$O$2,$D560,$D560-($D560-$I$535)*MIN(J$3-$O$2,$Q$2)/$Q$2))</f>
        <v>5174.59405156888</v>
      </c>
      <c r="K560" s="15" t="n">
        <f aca="false">J560*(1+IF(K$3&lt;=$O$2,$D560,$D560-($D560-$I$535)*MIN(K$3-$O$2,$Q$2)/$Q$2))</f>
        <v>5115.49371782628</v>
      </c>
      <c r="L560" s="15" t="n">
        <f aca="false">K560*(1+IF(L$3&lt;=$O$2,$D560,$D560-($D560-$I$535)*MIN(L$3-$O$2,$Q$2)/$Q$2))</f>
        <v>5133.32547540116</v>
      </c>
      <c r="M560" s="15" t="n">
        <f aca="false">L560*(1+IF(M$3&lt;=$O$2,$D560,$D560-($D560-$I$535)*MIN(M$3-$O$2,$Q$2)/$Q$2))</f>
        <v>5227.74230261986</v>
      </c>
      <c r="N560" s="15" t="n">
        <f aca="false">M560*(1+IF(N$3&lt;=$O$2,$D560,$D560-($D560-$I$535)*MIN(N$3-$O$2,$Q$2)/$Q$2))</f>
        <v>5401.8261212971</v>
      </c>
      <c r="O560" s="15" t="n">
        <f aca="false">SUMPRODUCT(E560:N560,1/(1+$F$535)^$E$3:$N$3)*$E$2</f>
        <v>11630.5780956675</v>
      </c>
      <c r="P560" s="15" t="n">
        <f aca="false">N560*$E$2*(1+$I$535)/($F$535-$I$535)/(1+$F$535)^$N$3</f>
        <v>14724.6292841068</v>
      </c>
      <c r="Q560" s="15" t="n">
        <f aca="false">O560+P560</f>
        <v>26355.2073797742</v>
      </c>
      <c r="R560" s="15" t="n">
        <f aca="false">Q560-$G$2+$I$2</f>
        <v>19010.0073797742</v>
      </c>
      <c r="S560" s="42" t="n">
        <f aca="false">R560/$K$2</f>
        <v>81.0143080322789</v>
      </c>
      <c r="T560" s="43" t="n">
        <f aca="false">S560-$M$2</f>
        <v>3.14501352676189E-005</v>
      </c>
    </row>
    <row r="562" customFormat="false" ht="15" hidden="false" customHeight="false" outlineLevel="0" collapsed="false">
      <c r="A562" s="38" t="s">
        <v>202</v>
      </c>
      <c r="E562" s="5" t="s">
        <v>11</v>
      </c>
      <c r="F562" s="12" t="n">
        <f aca="false">Sensitivity!$B$13</f>
        <v>0.0862368036285737</v>
      </c>
      <c r="G562" s="5" t="s">
        <v>12</v>
      </c>
      <c r="I562" s="12" t="n">
        <f aca="false">Sensitivity!$G$9</f>
        <v>0.0383</v>
      </c>
    </row>
    <row r="563" customFormat="false" ht="23.85" hidden="false" customHeight="false" outlineLevel="0" collapsed="false">
      <c r="A563" s="38" t="s">
        <v>163</v>
      </c>
      <c r="B563" s="28" t="s">
        <v>164</v>
      </c>
      <c r="C563" s="28" t="s">
        <v>165</v>
      </c>
      <c r="D563" s="28" t="s">
        <v>166</v>
      </c>
      <c r="E563" s="28" t="s">
        <v>167</v>
      </c>
      <c r="F563" s="28" t="s">
        <v>168</v>
      </c>
      <c r="G563" s="28" t="s">
        <v>169</v>
      </c>
      <c r="H563" s="28" t="s">
        <v>170</v>
      </c>
      <c r="I563" s="28" t="s">
        <v>171</v>
      </c>
      <c r="J563" s="28" t="s">
        <v>172</v>
      </c>
      <c r="K563" s="28" t="s">
        <v>173</v>
      </c>
      <c r="L563" s="28" t="s">
        <v>174</v>
      </c>
      <c r="M563" s="28" t="s">
        <v>175</v>
      </c>
      <c r="N563" s="28" t="s">
        <v>176</v>
      </c>
      <c r="O563" s="28" t="s">
        <v>177</v>
      </c>
      <c r="P563" s="28" t="s">
        <v>178</v>
      </c>
      <c r="Q563" s="28" t="s">
        <v>179</v>
      </c>
      <c r="R563" s="28" t="s">
        <v>180</v>
      </c>
      <c r="S563" s="28" t="s">
        <v>181</v>
      </c>
      <c r="T563" s="28" t="s">
        <v>182</v>
      </c>
    </row>
    <row r="564" customFormat="false" ht="15" hidden="false" customHeight="false" outlineLevel="0" collapsed="false">
      <c r="A564" s="5" t="n">
        <v>1</v>
      </c>
      <c r="B564" s="24" t="n">
        <v>-0.5</v>
      </c>
      <c r="C564" s="24" t="n">
        <v>1</v>
      </c>
      <c r="D564" s="41" t="n">
        <f aca="false">(B564+C564)/2</f>
        <v>0.25</v>
      </c>
      <c r="E564" s="15" t="n">
        <f aca="false">$C$2*(1+IF(E$3&lt;=$O$2,$D564,$D564-($D564-$I$562)*MIN(E$3-$O$2,$Q$2)/$Q$2))</f>
        <v>8200</v>
      </c>
      <c r="F564" s="15" t="n">
        <f aca="false">E564*(1+IF(F$3&lt;=$O$2,$D564,$D564-($D564-$I$562)*MIN(F$3-$O$2,$Q$2)/$Q$2))</f>
        <v>10250</v>
      </c>
      <c r="G564" s="15" t="n">
        <f aca="false">F564*(1+IF(G$3&lt;=$O$2,$D564,$D564-($D564-$I$562)*MIN(G$3-$O$2,$Q$2)/$Q$2))</f>
        <v>12812.5</v>
      </c>
      <c r="H564" s="15" t="n">
        <f aca="false">G564*(1+IF(H$3&lt;=$O$2,$D564,$D564-($D564-$I$562)*MIN(H$3-$O$2,$Q$2)/$Q$2))</f>
        <v>16015.625</v>
      </c>
      <c r="I564" s="15" t="n">
        <f aca="false">H564*(1+IF(I$3&lt;=$O$2,$D564,$D564-($D564-$I$562)*MIN(I$3-$O$2,$Q$2)/$Q$2))</f>
        <v>20019.53125</v>
      </c>
      <c r="J564" s="15" t="n">
        <f aca="false">I564*(1+IF(J$3&lt;=$O$2,$D564,$D564-($D564-$I$562)*MIN(J$3-$O$2,$Q$2)/$Q$2))</f>
        <v>24176.787109375</v>
      </c>
      <c r="K564" s="15" t="n">
        <f aca="false">J564*(1+IF(K$3&lt;=$O$2,$D564,$D564-($D564-$I$562)*MIN(K$3-$O$2,$Q$2)/$Q$2))</f>
        <v>28173.6935542969</v>
      </c>
      <c r="L564" s="15" t="n">
        <f aca="false">K564*(1+IF(L$3&lt;=$O$2,$D564,$D564-($D564-$I$562)*MIN(L$3-$O$2,$Q$2)/$Q$2))</f>
        <v>31638.4943876043</v>
      </c>
      <c r="M564" s="15" t="n">
        <f aca="false">L564*(1+IF(M$3&lt;=$O$2,$D564,$D564-($D564-$I$562)*MIN(M$3-$O$2,$Q$2)/$Q$2))</f>
        <v>34189.8225750207</v>
      </c>
      <c r="N564" s="15" t="n">
        <f aca="false">M564*(1+IF(N$3&lt;=$O$2,$D564,$D564-($D564-$I$562)*MIN(N$3-$O$2,$Q$2)/$Q$2))</f>
        <v>35499.292779644</v>
      </c>
      <c r="O564" s="15" t="n">
        <f aca="false">SUMPRODUCT(E564:N564,1/(1+$F$562)^$E$3:$N$3)*$E$2</f>
        <v>41379.1697828748</v>
      </c>
      <c r="P564" s="15" t="n">
        <f aca="false">N564*$E$2*(1+$I$562)/($F$562-$I$562)/(1+$F$562)^$N$3</f>
        <v>107376.325228592</v>
      </c>
      <c r="Q564" s="15" t="n">
        <f aca="false">O564+P564</f>
        <v>148755.495011467</v>
      </c>
      <c r="R564" s="15" t="n">
        <f aca="false">Q564-$G$2+$I$2</f>
        <v>141410.295011467</v>
      </c>
      <c r="S564" s="42" t="n">
        <f aca="false">R564/$K$2</f>
        <v>602.643490353576</v>
      </c>
      <c r="T564" s="43" t="n">
        <f aca="false">S564-$M$2</f>
        <v>521.629213771432</v>
      </c>
    </row>
    <row r="565" customFormat="false" ht="15" hidden="false" customHeight="false" outlineLevel="0" collapsed="false">
      <c r="A565" s="5" t="n">
        <v>2</v>
      </c>
      <c r="B565" s="25" t="n">
        <f aca="false">IF(T564&gt;0,B564,D564)</f>
        <v>-0.5</v>
      </c>
      <c r="C565" s="25" t="n">
        <f aca="false">IF(T564&gt;0,D564,C564)</f>
        <v>0.25</v>
      </c>
      <c r="D565" s="41" t="n">
        <f aca="false">(B565+C565)/2</f>
        <v>-0.125</v>
      </c>
      <c r="E565" s="15" t="n">
        <f aca="false">$C$2*(1+IF(E$3&lt;=$O$2,$D565,$D565-($D565-$I$562)*MIN(E$3-$O$2,$Q$2)/$Q$2))</f>
        <v>5740</v>
      </c>
      <c r="F565" s="15" t="n">
        <f aca="false">E565*(1+IF(F$3&lt;=$O$2,$D565,$D565-($D565-$I$562)*MIN(F$3-$O$2,$Q$2)/$Q$2))</f>
        <v>5022.5</v>
      </c>
      <c r="G565" s="15" t="n">
        <f aca="false">F565*(1+IF(G$3&lt;=$O$2,$D565,$D565-($D565-$I$562)*MIN(G$3-$O$2,$Q$2)/$Q$2))</f>
        <v>4394.6875</v>
      </c>
      <c r="H565" s="15" t="n">
        <f aca="false">G565*(1+IF(H$3&lt;=$O$2,$D565,$D565-($D565-$I$562)*MIN(H$3-$O$2,$Q$2)/$Q$2))</f>
        <v>3845.3515625</v>
      </c>
      <c r="I565" s="15" t="n">
        <f aca="false">H565*(1+IF(I$3&lt;=$O$2,$D565,$D565-($D565-$I$562)*MIN(I$3-$O$2,$Q$2)/$Q$2))</f>
        <v>3364.6826171875</v>
      </c>
      <c r="J565" s="15" t="n">
        <f aca="false">I565*(1+IF(J$3&lt;=$O$2,$D565,$D565-($D565-$I$562)*MIN(J$3-$O$2,$Q$2)/$Q$2))</f>
        <v>3053.98782431641</v>
      </c>
      <c r="K565" s="15" t="n">
        <f aca="false">J565*(1+IF(K$3&lt;=$O$2,$D565,$D565-($D565-$I$562)*MIN(K$3-$O$2,$Q$2)/$Q$2))</f>
        <v>2871.7258309612</v>
      </c>
      <c r="L565" s="15" t="n">
        <f aca="false">K565*(1+IF(L$3&lt;=$O$2,$D565,$D565-($D565-$I$562)*MIN(L$3-$O$2,$Q$2)/$Q$2))</f>
        <v>2794.13179900863</v>
      </c>
      <c r="M565" s="15" t="n">
        <f aca="false">L565*(1+IF(M$3&lt;=$O$2,$D565,$D565-($D565-$I$562)*MIN(M$3-$O$2,$Q$2)/$Q$2))</f>
        <v>2809.89070235504</v>
      </c>
      <c r="N565" s="15" t="n">
        <f aca="false">M565*(1+IF(N$3&lt;=$O$2,$D565,$D565-($D565-$I$562)*MIN(N$3-$O$2,$Q$2)/$Q$2))</f>
        <v>2917.50951625524</v>
      </c>
      <c r="O565" s="15" t="n">
        <f aca="false">SUMPRODUCT(E565:N565,1/(1+$F$562)^$E$3:$N$3)*$E$2</f>
        <v>8136.50542882945</v>
      </c>
      <c r="P565" s="15" t="n">
        <f aca="false">N565*$E$2*(1+$I$562)/($F$562-$I$562)/(1+$F$562)^$N$3</f>
        <v>8824.72370983599</v>
      </c>
      <c r="Q565" s="15" t="n">
        <f aca="false">O565+P565</f>
        <v>16961.2291386654</v>
      </c>
      <c r="R565" s="15" t="n">
        <f aca="false">Q565-$G$2+$I$2</f>
        <v>9616.02913866544</v>
      </c>
      <c r="S565" s="42" t="n">
        <f aca="false">R565/$K$2</f>
        <v>40.9803074309202</v>
      </c>
      <c r="T565" s="43" t="n">
        <f aca="false">S565-$M$2</f>
        <v>-40.0339691512234</v>
      </c>
    </row>
    <row r="566" customFormat="false" ht="15" hidden="false" customHeight="false" outlineLevel="0" collapsed="false">
      <c r="A566" s="5" t="n">
        <v>3</v>
      </c>
      <c r="B566" s="25" t="n">
        <f aca="false">IF(T565&gt;0,B565,D565)</f>
        <v>-0.125</v>
      </c>
      <c r="C566" s="25" t="n">
        <f aca="false">IF(T565&gt;0,D565,C565)</f>
        <v>0.25</v>
      </c>
      <c r="D566" s="41" t="n">
        <f aca="false">(B566+C566)/2</f>
        <v>0.0625</v>
      </c>
      <c r="E566" s="15" t="n">
        <f aca="false">$C$2*(1+IF(E$3&lt;=$O$2,$D566,$D566-($D566-$I$562)*MIN(E$3-$O$2,$Q$2)/$Q$2))</f>
        <v>6970</v>
      </c>
      <c r="F566" s="15" t="n">
        <f aca="false">E566*(1+IF(F$3&lt;=$O$2,$D566,$D566-($D566-$I$562)*MIN(F$3-$O$2,$Q$2)/$Q$2))</f>
        <v>7405.625</v>
      </c>
      <c r="G566" s="15" t="n">
        <f aca="false">F566*(1+IF(G$3&lt;=$O$2,$D566,$D566-($D566-$I$562)*MIN(G$3-$O$2,$Q$2)/$Q$2))</f>
        <v>7868.4765625</v>
      </c>
      <c r="H566" s="15" t="n">
        <f aca="false">G566*(1+IF(H$3&lt;=$O$2,$D566,$D566-($D566-$I$562)*MIN(H$3-$O$2,$Q$2)/$Q$2))</f>
        <v>8360.25634765625</v>
      </c>
      <c r="I566" s="15" t="n">
        <f aca="false">H566*(1+IF(I$3&lt;=$O$2,$D566,$D566-($D566-$I$562)*MIN(I$3-$O$2,$Q$2)/$Q$2))</f>
        <v>8882.77236938477</v>
      </c>
      <c r="J566" s="15" t="n">
        <f aca="false">I566*(1+IF(J$3&lt;=$O$2,$D566,$D566-($D566-$I$562)*MIN(J$3-$O$2,$Q$2)/$Q$2))</f>
        <v>9394.95302420349</v>
      </c>
      <c r="K566" s="15" t="n">
        <f aca="false">J566*(1+IF(K$3&lt;=$O$2,$D566,$D566-($D566-$I$562)*MIN(K$3-$O$2,$Q$2)/$Q$2))</f>
        <v>9891.19444294192</v>
      </c>
      <c r="L566" s="15" t="n">
        <f aca="false">K566*(1+IF(L$3&lt;=$O$2,$D566,$D566-($D566-$I$562)*MIN(L$3-$O$2,$Q$2)/$Q$2))</f>
        <v>10365.7739523143</v>
      </c>
      <c r="M566" s="15" t="n">
        <f aca="false">L566*(1+IF(M$3&lt;=$O$2,$D566,$D566-($D566-$I$562)*MIN(M$3-$O$2,$Q$2)/$Q$2))</f>
        <v>10812.9534406171</v>
      </c>
      <c r="N566" s="15" t="n">
        <f aca="false">M566*(1+IF(N$3&lt;=$O$2,$D566,$D566-($D566-$I$562)*MIN(N$3-$O$2,$Q$2)/$Q$2))</f>
        <v>11227.0895573927</v>
      </c>
      <c r="O566" s="15" t="n">
        <f aca="false">SUMPRODUCT(E566:N566,1/(1+$F$562)^$E$3:$N$3)*$E$2</f>
        <v>18320.9107895407</v>
      </c>
      <c r="P566" s="15" t="n">
        <f aca="false">N566*$E$2*(1+$I$562)/($F$562-$I$562)/(1+$F$562)^$N$3</f>
        <v>33959.0883448924</v>
      </c>
      <c r="Q566" s="15" t="n">
        <f aca="false">O566+P566</f>
        <v>52279.9991344331</v>
      </c>
      <c r="R566" s="15" t="n">
        <f aca="false">Q566-$G$2+$I$2</f>
        <v>44934.7991344331</v>
      </c>
      <c r="S566" s="42" t="n">
        <f aca="false">R566/$K$2</f>
        <v>191.497119686482</v>
      </c>
      <c r="T566" s="43" t="n">
        <f aca="false">S566-$M$2</f>
        <v>110.482843104339</v>
      </c>
    </row>
    <row r="567" customFormat="false" ht="15" hidden="false" customHeight="false" outlineLevel="0" collapsed="false">
      <c r="A567" s="5" t="n">
        <v>4</v>
      </c>
      <c r="B567" s="25" t="n">
        <f aca="false">IF(T566&gt;0,B566,D566)</f>
        <v>-0.125</v>
      </c>
      <c r="C567" s="25" t="n">
        <f aca="false">IF(T566&gt;0,D566,C566)</f>
        <v>0.0625</v>
      </c>
      <c r="D567" s="41" t="n">
        <f aca="false">(B567+C567)/2</f>
        <v>-0.03125</v>
      </c>
      <c r="E567" s="15" t="n">
        <f aca="false">$C$2*(1+IF(E$3&lt;=$O$2,$D567,$D567-($D567-$I$562)*MIN(E$3-$O$2,$Q$2)/$Q$2))</f>
        <v>6355</v>
      </c>
      <c r="F567" s="15" t="n">
        <f aca="false">E567*(1+IF(F$3&lt;=$O$2,$D567,$D567-($D567-$I$562)*MIN(F$3-$O$2,$Q$2)/$Q$2))</f>
        <v>6156.40625</v>
      </c>
      <c r="G567" s="15" t="n">
        <f aca="false">F567*(1+IF(G$3&lt;=$O$2,$D567,$D567-($D567-$I$562)*MIN(G$3-$O$2,$Q$2)/$Q$2))</f>
        <v>5964.0185546875</v>
      </c>
      <c r="H567" s="15" t="n">
        <f aca="false">G567*(1+IF(H$3&lt;=$O$2,$D567,$D567-($D567-$I$562)*MIN(H$3-$O$2,$Q$2)/$Q$2))</f>
        <v>5777.64297485352</v>
      </c>
      <c r="I567" s="15" t="n">
        <f aca="false">H567*(1+IF(I$3&lt;=$O$2,$D567,$D567-($D567-$I$562)*MIN(I$3-$O$2,$Q$2)/$Q$2))</f>
        <v>5597.09163188934</v>
      </c>
      <c r="J567" s="15" t="n">
        <f aca="false">I567*(1+IF(J$3&lt;=$O$2,$D567,$D567-($D567-$I$562)*MIN(J$3-$O$2,$Q$2)/$Q$2))</f>
        <v>5500.03806299238</v>
      </c>
      <c r="K567" s="15" t="n">
        <f aca="false">J567*(1+IF(K$3&lt;=$O$2,$D567,$D567-($D567-$I$562)*MIN(K$3-$O$2,$Q$2)/$Q$2))</f>
        <v>5481.17293243632</v>
      </c>
      <c r="L567" s="15" t="n">
        <f aca="false">K567*(1+IF(L$3&lt;=$O$2,$D567,$D567-($D567-$I$562)*MIN(L$3-$O$2,$Q$2)/$Q$2))</f>
        <v>5538.61562476825</v>
      </c>
      <c r="M567" s="15" t="n">
        <f aca="false">L567*(1+IF(M$3&lt;=$O$2,$D567,$D567-($D567-$I$562)*MIN(M$3-$O$2,$Q$2)/$Q$2))</f>
        <v>5673.70245985635</v>
      </c>
      <c r="N567" s="15" t="n">
        <f aca="false">M567*(1+IF(N$3&lt;=$O$2,$D567,$D567-($D567-$I$562)*MIN(N$3-$O$2,$Q$2)/$Q$2))</f>
        <v>5891.00526406885</v>
      </c>
      <c r="O567" s="15" t="n">
        <f aca="false">SUMPRODUCT(E567:N567,1/(1+$F$562)^$E$3:$N$3)*$E$2</f>
        <v>12174.4363400157</v>
      </c>
      <c r="P567" s="15" t="n">
        <f aca="false">N567*$E$2*(1+$I$562)/($F$562-$I$562)/(1+$F$562)^$N$3</f>
        <v>17818.7915202841</v>
      </c>
      <c r="Q567" s="15" t="n">
        <f aca="false">O567+P567</f>
        <v>29993.2278602998</v>
      </c>
      <c r="R567" s="15" t="n">
        <f aca="false">Q567-$G$2+$I$2</f>
        <v>22648.0278602998</v>
      </c>
      <c r="S567" s="42" t="n">
        <f aca="false">R567/$K$2</f>
        <v>96.5183373547828</v>
      </c>
      <c r="T567" s="43" t="n">
        <f aca="false">S567-$M$2</f>
        <v>15.5040607726391</v>
      </c>
    </row>
    <row r="568" customFormat="false" ht="15" hidden="false" customHeight="false" outlineLevel="0" collapsed="false">
      <c r="A568" s="5" t="n">
        <v>5</v>
      </c>
      <c r="B568" s="25" t="n">
        <f aca="false">IF(T567&gt;0,B567,D567)</f>
        <v>-0.125</v>
      </c>
      <c r="C568" s="25" t="n">
        <f aca="false">IF(T567&gt;0,D567,C567)</f>
        <v>-0.03125</v>
      </c>
      <c r="D568" s="41" t="n">
        <f aca="false">(B568+C568)/2</f>
        <v>-0.078125</v>
      </c>
      <c r="E568" s="15" t="n">
        <f aca="false">$C$2*(1+IF(E$3&lt;=$O$2,$D568,$D568-($D568-$I$562)*MIN(E$3-$O$2,$Q$2)/$Q$2))</f>
        <v>6047.5</v>
      </c>
      <c r="F568" s="15" t="n">
        <f aca="false">E568*(1+IF(F$3&lt;=$O$2,$D568,$D568-($D568-$I$562)*MIN(F$3-$O$2,$Q$2)/$Q$2))</f>
        <v>5575.0390625</v>
      </c>
      <c r="G568" s="15" t="n">
        <f aca="false">F568*(1+IF(G$3&lt;=$O$2,$D568,$D568-($D568-$I$562)*MIN(G$3-$O$2,$Q$2)/$Q$2))</f>
        <v>5139.48913574219</v>
      </c>
      <c r="H568" s="15" t="n">
        <f aca="false">G568*(1+IF(H$3&lt;=$O$2,$D568,$D568-($D568-$I$562)*MIN(H$3-$O$2,$Q$2)/$Q$2))</f>
        <v>4737.96654701233</v>
      </c>
      <c r="I568" s="15" t="n">
        <f aca="false">H568*(1+IF(I$3&lt;=$O$2,$D568,$D568-($D568-$I$562)*MIN(I$3-$O$2,$Q$2)/$Q$2))</f>
        <v>4367.81291052699</v>
      </c>
      <c r="J568" s="15" t="n">
        <f aca="false">I568*(1+IF(J$3&lt;=$O$2,$D568,$D568-($D568-$I$562)*MIN(J$3-$O$2,$Q$2)/$Q$2))</f>
        <v>4128.28205051369</v>
      </c>
      <c r="K568" s="15" t="n">
        <f aca="false">J568*(1+IF(K$3&lt;=$O$2,$D568,$D568-($D568-$I$562)*MIN(K$3-$O$2,$Q$2)/$Q$2))</f>
        <v>3998.01411040973</v>
      </c>
      <c r="L568" s="15" t="n">
        <f aca="false">K568*(1+IF(L$3&lt;=$O$2,$D568,$D568-($D568-$I$562)*MIN(L$3-$O$2,$Q$2)/$Q$2))</f>
        <v>3964.95053371664</v>
      </c>
      <c r="M568" s="15" t="n">
        <f aca="false">L568*(1+IF(M$3&lt;=$O$2,$D568,$D568-($D568-$I$562)*MIN(M$3-$O$2,$Q$2)/$Q$2))</f>
        <v>4024.4842659804</v>
      </c>
      <c r="N568" s="15" t="n">
        <f aca="false">M568*(1+IF(N$3&lt;=$O$2,$D568,$D568-($D568-$I$562)*MIN(N$3-$O$2,$Q$2)/$Q$2))</f>
        <v>4178.62201336745</v>
      </c>
      <c r="O568" s="15" t="n">
        <f aca="false">SUMPRODUCT(E568:N568,1/(1+$F$562)^$E$3:$N$3)*$E$2</f>
        <v>9942.37439526419</v>
      </c>
      <c r="P568" s="15" t="n">
        <f aca="false">N568*$E$2*(1+$I$562)/($F$562-$I$562)/(1+$F$562)^$N$3</f>
        <v>12639.2680299248</v>
      </c>
      <c r="Q568" s="15" t="n">
        <f aca="false">O568+P568</f>
        <v>22581.642425189</v>
      </c>
      <c r="R568" s="15" t="n">
        <f aca="false">Q568-$G$2+$I$2</f>
        <v>15236.442425189</v>
      </c>
      <c r="S568" s="42" t="n">
        <f aca="false">R568/$K$2</f>
        <v>64.9326333909611</v>
      </c>
      <c r="T568" s="43" t="n">
        <f aca="false">S568-$M$2</f>
        <v>-16.0816431911825</v>
      </c>
    </row>
    <row r="569" customFormat="false" ht="15" hidden="false" customHeight="false" outlineLevel="0" collapsed="false">
      <c r="A569" s="5" t="n">
        <v>6</v>
      </c>
      <c r="B569" s="25" t="n">
        <f aca="false">IF(T568&gt;0,B568,D568)</f>
        <v>-0.078125</v>
      </c>
      <c r="C569" s="25" t="n">
        <f aca="false">IF(T568&gt;0,D568,C568)</f>
        <v>-0.03125</v>
      </c>
      <c r="D569" s="41" t="n">
        <f aca="false">(B569+C569)/2</f>
        <v>-0.0546875</v>
      </c>
      <c r="E569" s="15" t="n">
        <f aca="false">$C$2*(1+IF(E$3&lt;=$O$2,$D569,$D569-($D569-$I$562)*MIN(E$3-$O$2,$Q$2)/$Q$2))</f>
        <v>6201.25</v>
      </c>
      <c r="F569" s="15" t="n">
        <f aca="false">E569*(1+IF(F$3&lt;=$O$2,$D569,$D569-($D569-$I$562)*MIN(F$3-$O$2,$Q$2)/$Q$2))</f>
        <v>5862.119140625</v>
      </c>
      <c r="G569" s="15" t="n">
        <f aca="false">F569*(1+IF(G$3&lt;=$O$2,$D569,$D569-($D569-$I$562)*MIN(G$3-$O$2,$Q$2)/$Q$2))</f>
        <v>5541.53450012207</v>
      </c>
      <c r="H569" s="15" t="n">
        <f aca="false">G569*(1+IF(H$3&lt;=$O$2,$D569,$D569-($D569-$I$562)*MIN(H$3-$O$2,$Q$2)/$Q$2))</f>
        <v>5238.48183214665</v>
      </c>
      <c r="I569" s="15" t="n">
        <f aca="false">H569*(1+IF(I$3&lt;=$O$2,$D569,$D569-($D569-$I$562)*MIN(I$3-$O$2,$Q$2)/$Q$2))</f>
        <v>4952.00235695113</v>
      </c>
      <c r="J569" s="15" t="n">
        <f aca="false">I569*(1+IF(J$3&lt;=$O$2,$D569,$D569-($D569-$I$562)*MIN(J$3-$O$2,$Q$2)/$Q$2))</f>
        <v>4773.28459188876</v>
      </c>
      <c r="K569" s="15" t="n">
        <f aca="false">J569*(1+IF(K$3&lt;=$O$2,$D569,$D569-($D569-$I$562)*MIN(K$3-$O$2,$Q$2)/$Q$2))</f>
        <v>4689.78791116515</v>
      </c>
      <c r="L569" s="15" t="n">
        <f aca="false">K569*(1+IF(L$3&lt;=$O$2,$D569,$D569-($D569-$I$562)*MIN(L$3-$O$2,$Q$2)/$Q$2))</f>
        <v>4694.97012680698</v>
      </c>
      <c r="M569" s="15" t="n">
        <f aca="false">L569*(1+IF(M$3&lt;=$O$2,$D569,$D569-($D569-$I$562)*MIN(M$3-$O$2,$Q$2)/$Q$2))</f>
        <v>4787.4727757304</v>
      </c>
      <c r="N569" s="15" t="n">
        <f aca="false">M569*(1+IF(N$3&lt;=$O$2,$D569,$D569-($D569-$I$562)*MIN(N$3-$O$2,$Q$2)/$Q$2))</f>
        <v>4970.83298304087</v>
      </c>
      <c r="O569" s="15" t="n">
        <f aca="false">SUMPRODUCT(E569:N569,1/(1+$F$562)^$E$3:$N$3)*$E$2</f>
        <v>10999.516141344</v>
      </c>
      <c r="P569" s="15" t="n">
        <f aca="false">N569*$E$2*(1+$I$562)/($F$562-$I$562)/(1+$F$562)^$N$3</f>
        <v>15035.5045763072</v>
      </c>
      <c r="Q569" s="15" t="n">
        <f aca="false">O569+P569</f>
        <v>26035.0207176512</v>
      </c>
      <c r="R569" s="15" t="n">
        <f aca="false">Q569-$G$2+$I$2</f>
        <v>18689.8207176512</v>
      </c>
      <c r="S569" s="42" t="n">
        <f aca="false">R569/$K$2</f>
        <v>79.6497793209085</v>
      </c>
      <c r="T569" s="43" t="n">
        <f aca="false">S569-$M$2</f>
        <v>-1.36449726123509</v>
      </c>
    </row>
    <row r="570" customFormat="false" ht="15" hidden="false" customHeight="false" outlineLevel="0" collapsed="false">
      <c r="A570" s="5" t="n">
        <v>7</v>
      </c>
      <c r="B570" s="25" t="n">
        <f aca="false">IF(T569&gt;0,B569,D569)</f>
        <v>-0.0546875</v>
      </c>
      <c r="C570" s="25" t="n">
        <f aca="false">IF(T569&gt;0,D569,C569)</f>
        <v>-0.03125</v>
      </c>
      <c r="D570" s="41" t="n">
        <f aca="false">(B570+C570)/2</f>
        <v>-0.04296875</v>
      </c>
      <c r="E570" s="15" t="n">
        <f aca="false">$C$2*(1+IF(E$3&lt;=$O$2,$D570,$D570-($D570-$I$562)*MIN(E$3-$O$2,$Q$2)/$Q$2))</f>
        <v>6278.125</v>
      </c>
      <c r="F570" s="15" t="n">
        <f aca="false">E570*(1+IF(F$3&lt;=$O$2,$D570,$D570-($D570-$I$562)*MIN(F$3-$O$2,$Q$2)/$Q$2))</f>
        <v>6008.36181640625</v>
      </c>
      <c r="G570" s="15" t="n">
        <f aca="false">F570*(1+IF(G$3&lt;=$O$2,$D570,$D570-($D570-$I$562)*MIN(G$3-$O$2,$Q$2)/$Q$2))</f>
        <v>5750.19001960754</v>
      </c>
      <c r="H570" s="15" t="n">
        <f aca="false">G570*(1+IF(H$3&lt;=$O$2,$D570,$D570-($D570-$I$562)*MIN(H$3-$O$2,$Q$2)/$Q$2))</f>
        <v>5503.11154220253</v>
      </c>
      <c r="I570" s="15" t="n">
        <f aca="false">H570*(1+IF(I$3&lt;=$O$2,$D570,$D570-($D570-$I$562)*MIN(I$3-$O$2,$Q$2)/$Q$2))</f>
        <v>5266.64971812352</v>
      </c>
      <c r="J570" s="15" t="n">
        <f aca="false">I570*(1+IF(J$3&lt;=$O$2,$D570,$D570-($D570-$I$562)*MIN(J$3-$O$2,$Q$2)/$Q$2))</f>
        <v>5125.95117090385</v>
      </c>
      <c r="K570" s="15" t="n">
        <f aca="false">J570*(1+IF(K$3&lt;=$O$2,$D570,$D570-($D570-$I$562)*MIN(K$3-$O$2,$Q$2)/$Q$2))</f>
        <v>5072.32731421723</v>
      </c>
      <c r="L570" s="15" t="n">
        <f aca="false">K570*(1+IF(L$3&lt;=$O$2,$D570,$D570-($D570-$I$562)*MIN(L$3-$O$2,$Q$2)/$Q$2))</f>
        <v>5101.70877018483</v>
      </c>
      <c r="M570" s="15" t="n">
        <f aca="false">L570*(1+IF(M$3&lt;=$O$2,$D570,$D570-($D570-$I$562)*MIN(M$3-$O$2,$Q$2)/$Q$2))</f>
        <v>5214.18231715952</v>
      </c>
      <c r="N570" s="15" t="n">
        <f aca="false">M570*(1+IF(N$3&lt;=$O$2,$D570,$D570-($D570-$I$562)*MIN(N$3-$O$2,$Q$2)/$Q$2))</f>
        <v>5413.88549990673</v>
      </c>
      <c r="O570" s="15" t="n">
        <f aca="false">SUMPRODUCT(E570:N570,1/(1+$F$562)^$E$3:$N$3)*$E$2</f>
        <v>11571.4953581632</v>
      </c>
      <c r="P570" s="15" t="n">
        <f aca="false">N570*$E$2*(1+$I$562)/($F$562-$I$562)/(1+$F$562)^$N$3</f>
        <v>16375.6256722299</v>
      </c>
      <c r="Q570" s="15" t="n">
        <f aca="false">O570+P570</f>
        <v>27947.1210303931</v>
      </c>
      <c r="R570" s="15" t="n">
        <f aca="false">Q570-$G$2+$I$2</f>
        <v>20601.9210303931</v>
      </c>
      <c r="S570" s="42" t="n">
        <f aca="false">R570/$K$2</f>
        <v>87.7985128079824</v>
      </c>
      <c r="T570" s="43" t="n">
        <f aca="false">S570-$M$2</f>
        <v>6.78423622583881</v>
      </c>
    </row>
    <row r="571" customFormat="false" ht="15" hidden="false" customHeight="false" outlineLevel="0" collapsed="false">
      <c r="A571" s="5" t="n">
        <v>8</v>
      </c>
      <c r="B571" s="25" t="n">
        <f aca="false">IF(T570&gt;0,B570,D570)</f>
        <v>-0.0546875</v>
      </c>
      <c r="C571" s="25" t="n">
        <f aca="false">IF(T570&gt;0,D570,C570)</f>
        <v>-0.04296875</v>
      </c>
      <c r="D571" s="41" t="n">
        <f aca="false">(B571+C571)/2</f>
        <v>-0.048828125</v>
      </c>
      <c r="E571" s="15" t="n">
        <f aca="false">$C$2*(1+IF(E$3&lt;=$O$2,$D571,$D571-($D571-$I$562)*MIN(E$3-$O$2,$Q$2)/$Q$2))</f>
        <v>6239.6875</v>
      </c>
      <c r="F571" s="15" t="n">
        <f aca="false">E571*(1+IF(F$3&lt;=$O$2,$D571,$D571-($D571-$I$562)*MIN(F$3-$O$2,$Q$2)/$Q$2))</f>
        <v>5935.01525878906</v>
      </c>
      <c r="G571" s="15" t="n">
        <f aca="false">F571*(1+IF(G$3&lt;=$O$2,$D571,$D571-($D571-$I$562)*MIN(G$3-$O$2,$Q$2)/$Q$2))</f>
        <v>5645.219591856</v>
      </c>
      <c r="H571" s="15" t="n">
        <f aca="false">G571*(1+IF(H$3&lt;=$O$2,$D571,$D571-($D571-$I$562)*MIN(H$3-$O$2,$Q$2)/$Q$2))</f>
        <v>5369.57410397241</v>
      </c>
      <c r="I571" s="15" t="n">
        <f aca="false">H571*(1+IF(I$3&lt;=$O$2,$D571,$D571-($D571-$I$562)*MIN(I$3-$O$2,$Q$2)/$Q$2))</f>
        <v>5107.38786842688</v>
      </c>
      <c r="J571" s="15" t="n">
        <f aca="false">I571*(1+IF(J$3&lt;=$O$2,$D571,$D571-($D571-$I$562)*MIN(J$3-$O$2,$Q$2)/$Q$2))</f>
        <v>4947.00312088861</v>
      </c>
      <c r="K571" s="15" t="n">
        <f aca="false">J571*(1+IF(K$3&lt;=$O$2,$D571,$D571-($D571-$I$562)*MIN(K$3-$O$2,$Q$2)/$Q$2))</f>
        <v>4877.85947664334</v>
      </c>
      <c r="L571" s="15" t="n">
        <f aca="false">K571*(1+IF(L$3&lt;=$O$2,$D571,$D571-($D571-$I$562)*MIN(L$3-$O$2,$Q$2)/$Q$2))</f>
        <v>4894.68199451341</v>
      </c>
      <c r="M571" s="15" t="n">
        <f aca="false">L571*(1+IF(M$3&lt;=$O$2,$D571,$D571-($D571-$I$562)*MIN(M$3-$O$2,$Q$2)/$Q$2))</f>
        <v>4996.85542197263</v>
      </c>
      <c r="N571" s="15" t="n">
        <f aca="false">M571*(1+IF(N$3&lt;=$O$2,$D571,$D571-($D571-$I$562)*MIN(N$3-$O$2,$Q$2)/$Q$2))</f>
        <v>5188.23498463418</v>
      </c>
      <c r="O571" s="15" t="n">
        <f aca="false">SUMPRODUCT(E571:N571,1/(1+$F$562)^$E$3:$N$3)*$E$2</f>
        <v>11281.7330056303</v>
      </c>
      <c r="P571" s="15" t="n">
        <f aca="false">N571*$E$2*(1+$I$562)/($F$562-$I$562)/(1+$F$562)^$N$3</f>
        <v>15693.090297052</v>
      </c>
      <c r="Q571" s="15" t="n">
        <f aca="false">O571+P571</f>
        <v>26974.8233026823</v>
      </c>
      <c r="R571" s="15" t="n">
        <f aca="false">Q571-$G$2+$I$2</f>
        <v>19629.6233026823</v>
      </c>
      <c r="S571" s="42" t="n">
        <f aca="false">R571/$K$2</f>
        <v>83.6549043370223</v>
      </c>
      <c r="T571" s="43" t="n">
        <f aca="false">S571-$M$2</f>
        <v>2.64062775487865</v>
      </c>
    </row>
    <row r="572" customFormat="false" ht="15" hidden="false" customHeight="false" outlineLevel="0" collapsed="false">
      <c r="A572" s="5" t="n">
        <v>9</v>
      </c>
      <c r="B572" s="25" t="n">
        <f aca="false">IF(T571&gt;0,B571,D571)</f>
        <v>-0.0546875</v>
      </c>
      <c r="C572" s="25" t="n">
        <f aca="false">IF(T571&gt;0,D571,C571)</f>
        <v>-0.048828125</v>
      </c>
      <c r="D572" s="41" t="n">
        <f aca="false">(B572+C572)/2</f>
        <v>-0.0517578125</v>
      </c>
      <c r="E572" s="15" t="n">
        <f aca="false">$C$2*(1+IF(E$3&lt;=$O$2,$D572,$D572-($D572-$I$562)*MIN(E$3-$O$2,$Q$2)/$Q$2))</f>
        <v>6220.46875</v>
      </c>
      <c r="F572" s="15" t="n">
        <f aca="false">E572*(1+IF(F$3&lt;=$O$2,$D572,$D572-($D572-$I$562)*MIN(F$3-$O$2,$Q$2)/$Q$2))</f>
        <v>5898.51089477539</v>
      </c>
      <c r="G572" s="15" t="n">
        <f aca="false">F572*(1+IF(G$3&lt;=$O$2,$D572,$D572-($D572-$I$562)*MIN(G$3-$O$2,$Q$2)/$Q$2))</f>
        <v>5593.2168738544</v>
      </c>
      <c r="H572" s="15" t="n">
        <f aca="false">G572*(1+IF(H$3&lt;=$O$2,$D572,$D572-($D572-$I$562)*MIN(H$3-$O$2,$Q$2)/$Q$2))</f>
        <v>5303.72420362561</v>
      </c>
      <c r="I572" s="15" t="n">
        <f aca="false">H572*(1+IF(I$3&lt;=$O$2,$D572,$D572-($D572-$I$562)*MIN(I$3-$O$2,$Q$2)/$Q$2))</f>
        <v>5029.21504074264</v>
      </c>
      <c r="J572" s="15" t="n">
        <f aca="false">I572*(1+IF(J$3&lt;=$O$2,$D572,$D572-($D572-$I$562)*MIN(J$3-$O$2,$Q$2)/$Q$2))</f>
        <v>4859.49789267398</v>
      </c>
      <c r="K572" s="15" t="n">
        <f aca="false">J572*(1+IF(K$3&lt;=$O$2,$D572,$D572-($D572-$I$562)*MIN(K$3-$O$2,$Q$2)/$Q$2))</f>
        <v>4783.03521192585</v>
      </c>
      <c r="L572" s="15" t="n">
        <f aca="false">K572*(1+IF(L$3&lt;=$O$2,$D572,$D572-($D572-$I$562)*MIN(L$3-$O$2,$Q$2)/$Q$2))</f>
        <v>4793.925585224</v>
      </c>
      <c r="M572" s="15" t="n">
        <f aca="false">L572*(1+IF(M$3&lt;=$O$2,$D572,$D572-($D572-$I$562)*MIN(M$3-$O$2,$Q$2)/$Q$2))</f>
        <v>4891.18684483947</v>
      </c>
      <c r="N572" s="15" t="n">
        <f aca="false">M572*(1+IF(N$3&lt;=$O$2,$D572,$D572-($D572-$I$562)*MIN(N$3-$O$2,$Q$2)/$Q$2))</f>
        <v>5078.51930099682</v>
      </c>
      <c r="O572" s="15" t="n">
        <f aca="false">SUMPRODUCT(E572:N572,1/(1+$F$562)^$E$3:$N$3)*$E$2</f>
        <v>11139.6933358862</v>
      </c>
      <c r="P572" s="15" t="n">
        <f aca="false">N572*$E$2*(1+$I$562)/($F$562-$I$562)/(1+$F$562)^$N$3</f>
        <v>15361.2282793478</v>
      </c>
      <c r="Q572" s="15" t="n">
        <f aca="false">O572+P572</f>
        <v>26500.921615234</v>
      </c>
      <c r="R572" s="15" t="n">
        <f aca="false">Q572-$G$2+$I$2</f>
        <v>19155.721615234</v>
      </c>
      <c r="S572" s="42" t="n">
        <f aca="false">R572/$K$2</f>
        <v>81.6352934806478</v>
      </c>
      <c r="T572" s="43" t="n">
        <f aca="false">S572-$M$2</f>
        <v>0.621016898504124</v>
      </c>
    </row>
    <row r="573" customFormat="false" ht="15" hidden="false" customHeight="false" outlineLevel="0" collapsed="false">
      <c r="A573" s="5" t="n">
        <v>10</v>
      </c>
      <c r="B573" s="25" t="n">
        <f aca="false">IF(T572&gt;0,B572,D572)</f>
        <v>-0.0546875</v>
      </c>
      <c r="C573" s="25" t="n">
        <f aca="false">IF(T572&gt;0,D572,C572)</f>
        <v>-0.0517578125</v>
      </c>
      <c r="D573" s="41" t="n">
        <f aca="false">(B573+C573)/2</f>
        <v>-0.05322265625</v>
      </c>
      <c r="E573" s="15" t="n">
        <f aca="false">$C$2*(1+IF(E$3&lt;=$O$2,$D573,$D573-($D573-$I$562)*MIN(E$3-$O$2,$Q$2)/$Q$2))</f>
        <v>6210.859375</v>
      </c>
      <c r="F573" s="15" t="n">
        <f aca="false">E573*(1+IF(F$3&lt;=$O$2,$D573,$D573-($D573-$I$562)*MIN(F$3-$O$2,$Q$2)/$Q$2))</f>
        <v>5880.30094146729</v>
      </c>
      <c r="G573" s="15" t="n">
        <f aca="false">F573*(1+IF(G$3&lt;=$O$2,$D573,$D573-($D573-$I$562)*MIN(G$3-$O$2,$Q$2)/$Q$2))</f>
        <v>5567.33570581302</v>
      </c>
      <c r="H573" s="15" t="n">
        <f aca="false">G573*(1+IF(H$3&lt;=$O$2,$D573,$D573-($D573-$I$562)*MIN(H$3-$O$2,$Q$2)/$Q$2))</f>
        <v>5271.02731131418</v>
      </c>
      <c r="I573" s="15" t="n">
        <f aca="false">H573*(1+IF(I$3&lt;=$O$2,$D573,$D573-($D573-$I$562)*MIN(I$3-$O$2,$Q$2)/$Q$2))</f>
        <v>4990.48923663975</v>
      </c>
      <c r="J573" s="15" t="n">
        <f aca="false">I573*(1+IF(J$3&lt;=$O$2,$D573,$D573-($D573-$I$562)*MIN(J$3-$O$2,$Q$2)/$Q$2))</f>
        <v>4816.23070966361</v>
      </c>
      <c r="K573" s="15" t="n">
        <f aca="false">J573*(1+IF(K$3&lt;=$O$2,$D573,$D573-($D573-$I$562)*MIN(K$3-$O$2,$Q$2)/$Q$2))</f>
        <v>4736.21580924698</v>
      </c>
      <c r="L573" s="15" t="n">
        <f aca="false">K573*(1+IF(L$3&lt;=$O$2,$D573,$D573-($D573-$I$562)*MIN(L$3-$O$2,$Q$2)/$Q$2))</f>
        <v>4744.22445416693</v>
      </c>
      <c r="M573" s="15" t="n">
        <f aca="false">L573*(1+IF(M$3&lt;=$O$2,$D573,$D573-($D573-$I$562)*MIN(M$3-$O$2,$Q$2)/$Q$2))</f>
        <v>4839.08744598321</v>
      </c>
      <c r="N573" s="15" t="n">
        <f aca="false">M573*(1+IF(N$3&lt;=$O$2,$D573,$D573-($D573-$I$562)*MIN(N$3-$O$2,$Q$2)/$Q$2))</f>
        <v>5024.42449516437</v>
      </c>
      <c r="O573" s="15" t="n">
        <f aca="false">SUMPRODUCT(E573:N573,1/(1+$F$562)^$E$3:$N$3)*$E$2</f>
        <v>11069.3734082135</v>
      </c>
      <c r="P573" s="15" t="n">
        <f aca="false">N573*$E$2*(1+$I$562)/($F$562-$I$562)/(1+$F$562)^$N$3</f>
        <v>15197.6052601429</v>
      </c>
      <c r="Q573" s="15" t="n">
        <f aca="false">O573+P573</f>
        <v>26266.9786683564</v>
      </c>
      <c r="R573" s="15" t="n">
        <f aca="false">Q573-$G$2+$I$2</f>
        <v>18921.7786683564</v>
      </c>
      <c r="S573" s="42" t="n">
        <f aca="false">R573/$K$2</f>
        <v>80.6383067051202</v>
      </c>
      <c r="T573" s="43" t="n">
        <f aca="false">S573-$M$2</f>
        <v>-0.375969877023465</v>
      </c>
    </row>
    <row r="574" customFormat="false" ht="15" hidden="false" customHeight="false" outlineLevel="0" collapsed="false">
      <c r="A574" s="5" t="n">
        <v>11</v>
      </c>
      <c r="B574" s="25" t="n">
        <f aca="false">IF(T573&gt;0,B573,D573)</f>
        <v>-0.05322265625</v>
      </c>
      <c r="C574" s="25" t="n">
        <f aca="false">IF(T573&gt;0,D573,C573)</f>
        <v>-0.0517578125</v>
      </c>
      <c r="D574" s="41" t="n">
        <f aca="false">(B574+C574)/2</f>
        <v>-0.052490234375</v>
      </c>
      <c r="E574" s="15" t="n">
        <f aca="false">$C$2*(1+IF(E$3&lt;=$O$2,$D574,$D574-($D574-$I$562)*MIN(E$3-$O$2,$Q$2)/$Q$2))</f>
        <v>6215.6640625</v>
      </c>
      <c r="F574" s="15" t="n">
        <f aca="false">E574*(1+IF(F$3&lt;=$O$2,$D574,$D574-($D574-$I$562)*MIN(F$3-$O$2,$Q$2)/$Q$2))</f>
        <v>5889.40239906311</v>
      </c>
      <c r="G574" s="15" t="n">
        <f aca="false">F574*(1+IF(G$3&lt;=$O$2,$D574,$D574-($D574-$I$562)*MIN(G$3-$O$2,$Q$2)/$Q$2))</f>
        <v>5580.2662868076</v>
      </c>
      <c r="H574" s="15" t="n">
        <f aca="false">G574*(1+IF(H$3&lt;=$O$2,$D574,$D574-($D574-$I$562)*MIN(H$3-$O$2,$Q$2)/$Q$2))</f>
        <v>5287.35680153816</v>
      </c>
      <c r="I574" s="15" t="n">
        <f aca="false">H574*(1+IF(I$3&lt;=$O$2,$D574,$D574-($D574-$I$562)*MIN(I$3-$O$2,$Q$2)/$Q$2))</f>
        <v>5009.82220380117</v>
      </c>
      <c r="J574" s="15" t="n">
        <f aca="false">I574*(1+IF(J$3&lt;=$O$2,$D574,$D574-($D574-$I$562)*MIN(J$3-$O$2,$Q$2)/$Q$2))</f>
        <v>4837.82404855861</v>
      </c>
      <c r="K574" s="15" t="n">
        <f aca="false">J574*(1+IF(K$3&lt;=$O$2,$D574,$D574-($D574-$I$562)*MIN(K$3-$O$2,$Q$2)/$Q$2))</f>
        <v>4759.57640207821</v>
      </c>
      <c r="L574" s="15" t="n">
        <f aca="false">K574*(1+IF(L$3&lt;=$O$2,$D574,$D574-($D574-$I$562)*MIN(L$3-$O$2,$Q$2)/$Q$2))</f>
        <v>4769.01895544965</v>
      </c>
      <c r="M574" s="15" t="n">
        <f aca="false">L574*(1+IF(M$3&lt;=$O$2,$D574,$D574-($D574-$I$562)*MIN(M$3-$O$2,$Q$2)/$Q$2))</f>
        <v>4865.07631170255</v>
      </c>
      <c r="N574" s="15" t="n">
        <f aca="false">M574*(1+IF(N$3&lt;=$O$2,$D574,$D574-($D574-$I$562)*MIN(N$3-$O$2,$Q$2)/$Q$2))</f>
        <v>5051.40873444076</v>
      </c>
      <c r="O574" s="15" t="n">
        <f aca="false">SUMPRODUCT(E574:N574,1/(1+$F$562)^$E$3:$N$3)*$E$2</f>
        <v>11104.4753552205</v>
      </c>
      <c r="P574" s="15" t="n">
        <f aca="false">N574*$E$2*(1+$I$562)/($F$562-$I$562)/(1+$F$562)^$N$3</f>
        <v>15279.2257158116</v>
      </c>
      <c r="Q574" s="15" t="n">
        <f aca="false">O574+P574</f>
        <v>26383.7010710321</v>
      </c>
      <c r="R574" s="15" t="n">
        <f aca="false">Q574-$G$2+$I$2</f>
        <v>19038.5010710321</v>
      </c>
      <c r="S574" s="42" t="n">
        <f aca="false">R574/$K$2</f>
        <v>81.1357386364034</v>
      </c>
      <c r="T574" s="43" t="n">
        <f aca="false">S574-$M$2</f>
        <v>0.121462054259766</v>
      </c>
    </row>
    <row r="575" customFormat="false" ht="15" hidden="false" customHeight="false" outlineLevel="0" collapsed="false">
      <c r="A575" s="5" t="n">
        <v>12</v>
      </c>
      <c r="B575" s="25" t="n">
        <f aca="false">IF(T574&gt;0,B574,D574)</f>
        <v>-0.05322265625</v>
      </c>
      <c r="C575" s="25" t="n">
        <f aca="false">IF(T574&gt;0,D574,C574)</f>
        <v>-0.052490234375</v>
      </c>
      <c r="D575" s="41" t="n">
        <f aca="false">(B575+C575)/2</f>
        <v>-0.0528564453125</v>
      </c>
      <c r="E575" s="15" t="n">
        <f aca="false">$C$2*(1+IF(E$3&lt;=$O$2,$D575,$D575-($D575-$I$562)*MIN(E$3-$O$2,$Q$2)/$Q$2))</f>
        <v>6213.26171875</v>
      </c>
      <c r="F575" s="15" t="n">
        <f aca="false">E575*(1+IF(F$3&lt;=$O$2,$D575,$D575-($D575-$I$562)*MIN(F$3-$O$2,$Q$2)/$Q$2))</f>
        <v>5884.85079050064</v>
      </c>
      <c r="G575" s="15" t="n">
        <f aca="false">F575*(1+IF(G$3&lt;=$O$2,$D575,$D575-($D575-$I$562)*MIN(G$3-$O$2,$Q$2)/$Q$2))</f>
        <v>5573.79849652032</v>
      </c>
      <c r="H575" s="15" t="n">
        <f aca="false">G575*(1+IF(H$3&lt;=$O$2,$D575,$D575-($D575-$I$562)*MIN(H$3-$O$2,$Q$2)/$Q$2))</f>
        <v>5279.1873211061</v>
      </c>
      <c r="I575" s="15" t="n">
        <f aca="false">H575*(1+IF(I$3&lt;=$O$2,$D575,$D575-($D575-$I$562)*MIN(I$3-$O$2,$Q$2)/$Q$2))</f>
        <v>5000.14824517361</v>
      </c>
      <c r="J575" s="15" t="n">
        <f aca="false">I575*(1+IF(J$3&lt;=$O$2,$D575,$D575-($D575-$I$562)*MIN(J$3-$O$2,$Q$2)/$Q$2))</f>
        <v>4827.01733091131</v>
      </c>
      <c r="K575" s="15" t="n">
        <f aca="false">J575*(1+IF(K$3&lt;=$O$2,$D575,$D575-($D575-$I$562)*MIN(K$3-$O$2,$Q$2)/$Q$2))</f>
        <v>4747.88384987659</v>
      </c>
      <c r="L575" s="15" t="n">
        <f aca="false">K575*(1+IF(L$3&lt;=$O$2,$D575,$D575-($D575-$I$562)*MIN(L$3-$O$2,$Q$2)/$Q$2))</f>
        <v>4756.60771552231</v>
      </c>
      <c r="M575" s="15" t="n">
        <f aca="false">L575*(1+IF(M$3&lt;=$O$2,$D575,$D575-($D575-$I$562)*MIN(M$3-$O$2,$Q$2)/$Q$2))</f>
        <v>4852.06670080821</v>
      </c>
      <c r="N575" s="15" t="n">
        <f aca="false">M575*(1+IF(N$3&lt;=$O$2,$D575,$D575-($D575-$I$562)*MIN(N$3-$O$2,$Q$2)/$Q$2))</f>
        <v>5037.90085544917</v>
      </c>
      <c r="O575" s="15" t="n">
        <f aca="false">SUMPRODUCT(E575:N575,1/(1+$F$562)^$E$3:$N$3)*$E$2</f>
        <v>11086.9099005785</v>
      </c>
      <c r="P575" s="15" t="n">
        <f aca="false">N575*$E$2*(1+$I$562)/($F$562-$I$562)/(1+$F$562)^$N$3</f>
        <v>15238.3678199444</v>
      </c>
      <c r="Q575" s="15" t="n">
        <f aca="false">O575+P575</f>
        <v>26325.2777205229</v>
      </c>
      <c r="R575" s="15" t="n">
        <f aca="false">Q575-$G$2+$I$2</f>
        <v>18980.0777205229</v>
      </c>
      <c r="S575" s="42" t="n">
        <f aca="false">R575/$K$2</f>
        <v>80.886757811732</v>
      </c>
      <c r="T575" s="43" t="n">
        <f aca="false">S575-$M$2</f>
        <v>-0.127518770411626</v>
      </c>
    </row>
    <row r="576" customFormat="false" ht="15" hidden="false" customHeight="false" outlineLevel="0" collapsed="false">
      <c r="A576" s="5" t="n">
        <v>13</v>
      </c>
      <c r="B576" s="25" t="n">
        <f aca="false">IF(T575&gt;0,B575,D575)</f>
        <v>-0.0528564453125</v>
      </c>
      <c r="C576" s="25" t="n">
        <f aca="false">IF(T575&gt;0,D575,C575)</f>
        <v>-0.052490234375</v>
      </c>
      <c r="D576" s="41" t="n">
        <f aca="false">(B576+C576)/2</f>
        <v>-0.05267333984375</v>
      </c>
      <c r="E576" s="15" t="n">
        <f aca="false">$C$2*(1+IF(E$3&lt;=$O$2,$D576,$D576-($D576-$I$562)*MIN(E$3-$O$2,$Q$2)/$Q$2))</f>
        <v>6214.462890625</v>
      </c>
      <c r="F576" s="15" t="n">
        <f aca="false">E576*(1+IF(F$3&lt;=$O$2,$D576,$D576-($D576-$I$562)*MIN(F$3-$O$2,$Q$2)/$Q$2))</f>
        <v>5887.12637484074</v>
      </c>
      <c r="G576" s="15" t="n">
        <f aca="false">F576*(1+IF(G$3&lt;=$O$2,$D576,$D576-($D576-$I$562)*MIN(G$3-$O$2,$Q$2)/$Q$2))</f>
        <v>5577.03176659565</v>
      </c>
      <c r="H576" s="15" t="n">
        <f aca="false">G576*(1+IF(H$3&lt;=$O$2,$D576,$D576-($D576-$I$562)*MIN(H$3-$O$2,$Q$2)/$Q$2))</f>
        <v>5283.27087703436</v>
      </c>
      <c r="I576" s="15" t="n">
        <f aca="false">H576*(1+IF(I$3&lt;=$O$2,$D576,$D576-($D576-$I$562)*MIN(I$3-$O$2,$Q$2)/$Q$2))</f>
        <v>5004.98335464175</v>
      </c>
      <c r="J576" s="15" t="n">
        <f aca="false">I576*(1+IF(J$3&lt;=$O$2,$D576,$D576-($D576-$I$562)*MIN(J$3-$O$2,$Q$2)/$Q$2))</f>
        <v>4832.41817581722</v>
      </c>
      <c r="K576" s="15" t="n">
        <f aca="false">J576*(1+IF(K$3&lt;=$O$2,$D576,$D576-($D576-$I$562)*MIN(K$3-$O$2,$Q$2)/$Q$2))</f>
        <v>4753.72705936558</v>
      </c>
      <c r="L576" s="15" t="n">
        <f aca="false">K576*(1+IF(L$3&lt;=$O$2,$D576,$D576-($D576-$I$562)*MIN(L$3-$O$2,$Q$2)/$Q$2))</f>
        <v>4762.80983482084</v>
      </c>
      <c r="M576" s="15" t="n">
        <f aca="false">L576*(1+IF(M$3&lt;=$O$2,$D576,$D576-($D576-$I$562)*MIN(M$3-$O$2,$Q$2)/$Q$2))</f>
        <v>4858.56770795162</v>
      </c>
      <c r="N576" s="15" t="n">
        <f aca="false">M576*(1+IF(N$3&lt;=$O$2,$D576,$D576-($D576-$I$562)*MIN(N$3-$O$2,$Q$2)/$Q$2))</f>
        <v>5044.65085116616</v>
      </c>
      <c r="O576" s="15" t="n">
        <f aca="false">SUMPRODUCT(E576:N576,1/(1+$F$562)^$E$3:$N$3)*$E$2</f>
        <v>11095.6890047338</v>
      </c>
      <c r="P576" s="15" t="n">
        <f aca="false">N576*$E$2*(1+$I$562)/($F$562-$I$562)/(1+$F$562)^$N$3</f>
        <v>15258.7848389509</v>
      </c>
      <c r="Q576" s="15" t="n">
        <f aca="false">O576+P576</f>
        <v>26354.4738436847</v>
      </c>
      <c r="R576" s="15" t="n">
        <f aca="false">Q576-$G$2+$I$2</f>
        <v>19009.2738436847</v>
      </c>
      <c r="S576" s="42" t="n">
        <f aca="false">R576/$K$2</f>
        <v>81.0111819462378</v>
      </c>
      <c r="T576" s="43" t="n">
        <f aca="false">S576-$M$2</f>
        <v>-0.00309463590581061</v>
      </c>
    </row>
    <row r="577" customFormat="false" ht="15" hidden="false" customHeight="false" outlineLevel="0" collapsed="false">
      <c r="A577" s="5" t="n">
        <v>14</v>
      </c>
      <c r="B577" s="25" t="n">
        <f aca="false">IF(T576&gt;0,B576,D576)</f>
        <v>-0.05267333984375</v>
      </c>
      <c r="C577" s="25" t="n">
        <f aca="false">IF(T576&gt;0,D576,C576)</f>
        <v>-0.052490234375</v>
      </c>
      <c r="D577" s="41" t="n">
        <f aca="false">(B577+C577)/2</f>
        <v>-0.052581787109375</v>
      </c>
      <c r="E577" s="15" t="n">
        <f aca="false">$C$2*(1+IF(E$3&lt;=$O$2,$D577,$D577-($D577-$I$562)*MIN(E$3-$O$2,$Q$2)/$Q$2))</f>
        <v>6215.0634765625</v>
      </c>
      <c r="F577" s="15" t="n">
        <f aca="false">E577*(1+IF(F$3&lt;=$O$2,$D577,$D577-($D577-$I$562)*MIN(F$3-$O$2,$Q$2)/$Q$2))</f>
        <v>5888.26433196664</v>
      </c>
      <c r="G577" s="15" t="n">
        <f aca="false">F577*(1+IF(G$3&lt;=$O$2,$D577,$D577-($D577-$I$562)*MIN(G$3-$O$2,$Q$2)/$Q$2))</f>
        <v>5578.64887041944</v>
      </c>
      <c r="H577" s="15" t="n">
        <f aca="false">G577*(1+IF(H$3&lt;=$O$2,$D577,$D577-($D577-$I$562)*MIN(H$3-$O$2,$Q$2)/$Q$2))</f>
        <v>5285.31354315709</v>
      </c>
      <c r="I577" s="15" t="n">
        <f aca="false">H577*(1+IF(I$3&lt;=$O$2,$D577,$D577-($D577-$I$562)*MIN(I$3-$O$2,$Q$2)/$Q$2))</f>
        <v>5007.40231162451</v>
      </c>
      <c r="J577" s="15" t="n">
        <f aca="false">I577*(1+IF(J$3&lt;=$O$2,$D577,$D577-($D577-$I$562)*MIN(J$3-$O$2,$Q$2)/$Q$2))</f>
        <v>4835.12048347489</v>
      </c>
      <c r="K577" s="15" t="n">
        <f aca="false">J577*(1+IF(K$3&lt;=$O$2,$D577,$D577-($D577-$I$562)*MIN(K$3-$O$2,$Q$2)/$Q$2))</f>
        <v>4756.65096373557</v>
      </c>
      <c r="L577" s="15" t="n">
        <f aca="false">K577*(1+IF(L$3&lt;=$O$2,$D577,$D577-($D577-$I$562)*MIN(L$3-$O$2,$Q$2)/$Q$2))</f>
        <v>4765.91351955071</v>
      </c>
      <c r="M577" s="15" t="n">
        <f aca="false">L577*(1+IF(M$3&lt;=$O$2,$D577,$D577-($D577-$I$562)*MIN(M$3-$O$2,$Q$2)/$Q$2))</f>
        <v>4861.82105977641</v>
      </c>
      <c r="N577" s="15" t="n">
        <f aca="false">M577*(1+IF(N$3&lt;=$O$2,$D577,$D577-($D577-$I$562)*MIN(N$3-$O$2,$Q$2)/$Q$2))</f>
        <v>5048.02880636584</v>
      </c>
      <c r="O577" s="15" t="n">
        <f aca="false">SUMPRODUCT(E577:N577,1/(1+$F$562)^$E$3:$N$3)*$E$2</f>
        <v>11100.0812738254</v>
      </c>
      <c r="P577" s="15" t="n">
        <f aca="false">N577*$E$2*(1+$I$562)/($F$562-$I$562)/(1+$F$562)^$N$3</f>
        <v>15269.0022936585</v>
      </c>
      <c r="Q577" s="15" t="n">
        <f aca="false">O577+P577</f>
        <v>26369.0835674839</v>
      </c>
      <c r="R577" s="15" t="n">
        <f aca="false">Q577-$G$2+$I$2</f>
        <v>19023.8835674839</v>
      </c>
      <c r="S577" s="42" t="n">
        <f aca="false">R577/$K$2</f>
        <v>81.0734437139735</v>
      </c>
      <c r="T577" s="43" t="n">
        <f aca="false">S577-$M$2</f>
        <v>0.0591671318298381</v>
      </c>
    </row>
    <row r="578" customFormat="false" ht="15" hidden="false" customHeight="false" outlineLevel="0" collapsed="false">
      <c r="A578" s="5" t="n">
        <v>15</v>
      </c>
      <c r="B578" s="25" t="n">
        <f aca="false">IF(T577&gt;0,B577,D577)</f>
        <v>-0.05267333984375</v>
      </c>
      <c r="C578" s="25" t="n">
        <f aca="false">IF(T577&gt;0,D577,C577)</f>
        <v>-0.052581787109375</v>
      </c>
      <c r="D578" s="41" t="n">
        <f aca="false">(B578+C578)/2</f>
        <v>-0.0526275634765625</v>
      </c>
      <c r="E578" s="15" t="n">
        <f aca="false">$C$2*(1+IF(E$3&lt;=$O$2,$D578,$D578-($D578-$I$562)*MIN(E$3-$O$2,$Q$2)/$Q$2))</f>
        <v>6214.76318359375</v>
      </c>
      <c r="F578" s="15" t="n">
        <f aca="false">E578*(1+IF(F$3&lt;=$O$2,$D578,$D578-($D578-$I$562)*MIN(F$3-$O$2,$Q$2)/$Q$2))</f>
        <v>5887.69533965737</v>
      </c>
      <c r="G578" s="15" t="n">
        <f aca="false">F578*(1+IF(G$3&lt;=$O$2,$D578,$D578-($D578-$I$562)*MIN(G$3-$O$2,$Q$2)/$Q$2))</f>
        <v>5577.84027943889</v>
      </c>
      <c r="H578" s="15" t="n">
        <f aca="false">G578*(1+IF(H$3&lt;=$O$2,$D578,$D578-($D578-$I$562)*MIN(H$3-$O$2,$Q$2)/$Q$2))</f>
        <v>5284.29213607059</v>
      </c>
      <c r="I578" s="15" t="n">
        <f aca="false">H578*(1+IF(I$3&lt;=$O$2,$D578,$D578-($D578-$I$562)*MIN(I$3-$O$2,$Q$2)/$Q$2))</f>
        <v>5006.19271625084</v>
      </c>
      <c r="J578" s="15" t="n">
        <f aca="false">I578*(1+IF(J$3&lt;=$O$2,$D578,$D578-($D578-$I$562)*MIN(J$3-$O$2,$Q$2)/$Q$2))</f>
        <v>4833.769172497</v>
      </c>
      <c r="K578" s="15" t="n">
        <f aca="false">J578*(1+IF(K$3&lt;=$O$2,$D578,$D578-($D578-$I$562)*MIN(K$3-$O$2,$Q$2)/$Q$2))</f>
        <v>4755.18881984567</v>
      </c>
      <c r="L578" s="15" t="n">
        <f aca="false">K578*(1+IF(L$3&lt;=$O$2,$D578,$D578-($D578-$I$562)*MIN(L$3-$O$2,$Q$2)/$Q$2))</f>
        <v>4764.36145834194</v>
      </c>
      <c r="M578" s="15" t="n">
        <f aca="false">L578*(1+IF(M$3&lt;=$O$2,$D578,$D578-($D578-$I$562)*MIN(M$3-$O$2,$Q$2)/$Q$2))</f>
        <v>4860.1941464107</v>
      </c>
      <c r="N578" s="15" t="n">
        <f aca="false">M578*(1+IF(N$3&lt;=$O$2,$D578,$D578-($D578-$I$562)*MIN(N$3-$O$2,$Q$2)/$Q$2))</f>
        <v>5046.33958221823</v>
      </c>
      <c r="O578" s="15" t="n">
        <f aca="false">SUMPRODUCT(E578:N578,1/(1+$F$562)^$E$3:$N$3)*$E$2</f>
        <v>11097.8849127867</v>
      </c>
      <c r="P578" s="15" t="n">
        <f aca="false">N578*$E$2*(1+$I$562)/($F$562-$I$562)/(1+$F$562)^$N$3</f>
        <v>15263.8928205604</v>
      </c>
      <c r="Q578" s="15" t="n">
        <f aca="false">O578+P578</f>
        <v>26361.7777333471</v>
      </c>
      <c r="R578" s="15" t="n">
        <f aca="false">Q578-$G$2+$I$2</f>
        <v>19016.5777333471</v>
      </c>
      <c r="S578" s="42" t="n">
        <f aca="false">R578/$K$2</f>
        <v>81.0423086867553</v>
      </c>
      <c r="T578" s="43" t="n">
        <f aca="false">S578-$M$2</f>
        <v>0.0280321046116683</v>
      </c>
    </row>
    <row r="579" customFormat="false" ht="15" hidden="false" customHeight="false" outlineLevel="0" collapsed="false">
      <c r="A579" s="5" t="n">
        <v>16</v>
      </c>
      <c r="B579" s="25" t="n">
        <f aca="false">IF(T578&gt;0,B578,D578)</f>
        <v>-0.05267333984375</v>
      </c>
      <c r="C579" s="25" t="n">
        <f aca="false">IF(T578&gt;0,D578,C578)</f>
        <v>-0.0526275634765625</v>
      </c>
      <c r="D579" s="41" t="n">
        <f aca="false">(B579+C579)/2</f>
        <v>-0.0526504516601563</v>
      </c>
      <c r="E579" s="15" t="n">
        <f aca="false">$C$2*(1+IF(E$3&lt;=$O$2,$D579,$D579-($D579-$I$562)*MIN(E$3-$O$2,$Q$2)/$Q$2))</f>
        <v>6214.61303710938</v>
      </c>
      <c r="F579" s="15" t="n">
        <f aca="false">E579*(1+IF(F$3&lt;=$O$2,$D579,$D579-($D579-$I$562)*MIN(F$3-$O$2,$Q$2)/$Q$2))</f>
        <v>5887.41085381247</v>
      </c>
      <c r="G579" s="15" t="n">
        <f aca="false">F579*(1+IF(G$3&lt;=$O$2,$D579,$D579-($D579-$I$562)*MIN(G$3-$O$2,$Q$2)/$Q$2))</f>
        <v>5577.43601325034</v>
      </c>
      <c r="H579" s="15" t="n">
        <f aca="false">G579*(1+IF(H$3&lt;=$O$2,$D579,$D579-($D579-$I$562)*MIN(H$3-$O$2,$Q$2)/$Q$2))</f>
        <v>5283.78148804709</v>
      </c>
      <c r="I579" s="15" t="n">
        <f aca="false">H579*(1+IF(I$3&lt;=$O$2,$D579,$D579-($D579-$I$562)*MIN(I$3-$O$2,$Q$2)/$Q$2))</f>
        <v>5005.58800622784</v>
      </c>
      <c r="J579" s="15" t="n">
        <f aca="false">I579*(1+IF(J$3&lt;=$O$2,$D579,$D579-($D579-$I$562)*MIN(J$3-$O$2,$Q$2)/$Q$2))</f>
        <v>4833.0936348735</v>
      </c>
      <c r="K579" s="15" t="n">
        <f aca="false">J579*(1+IF(K$3&lt;=$O$2,$D579,$D579-($D579-$I$562)*MIN(K$3-$O$2,$Q$2)/$Q$2))</f>
        <v>4754.45789168461</v>
      </c>
      <c r="L579" s="15" t="n">
        <f aca="false">K579*(1+IF(L$3&lt;=$O$2,$D579,$D579-($D579-$I$562)*MIN(L$3-$O$2,$Q$2)/$Q$2))</f>
        <v>4763.58559187697</v>
      </c>
      <c r="M579" s="15" t="n">
        <f aca="false">L579*(1+IF(M$3&lt;=$O$2,$D579,$D579-($D579-$I$562)*MIN(M$3-$O$2,$Q$2)/$Q$2))</f>
        <v>4859.38086782525</v>
      </c>
      <c r="N579" s="15" t="n">
        <f aca="false">M579*(1+IF(N$3&lt;=$O$2,$D579,$D579-($D579-$I$562)*MIN(N$3-$O$2,$Q$2)/$Q$2))</f>
        <v>5045.49515506296</v>
      </c>
      <c r="O579" s="15" t="n">
        <f aca="false">SUMPRODUCT(E579:N579,1/(1+$F$562)^$E$3:$N$3)*$E$2</f>
        <v>11096.7869021427</v>
      </c>
      <c r="P579" s="15" t="n">
        <f aca="false">N579*$E$2*(1+$I$562)/($F$562-$I$562)/(1+$F$562)^$N$3</f>
        <v>15261.3386433429</v>
      </c>
      <c r="Q579" s="15" t="n">
        <f aca="false">O579+P579</f>
        <v>26358.1255454856</v>
      </c>
      <c r="R579" s="15" t="n">
        <f aca="false">Q579-$G$2+$I$2</f>
        <v>19012.9255454856</v>
      </c>
      <c r="S579" s="42" t="n">
        <f aca="false">R579/$K$2</f>
        <v>81.0267442807823</v>
      </c>
      <c r="T579" s="43" t="n">
        <f aca="false">S579-$M$2</f>
        <v>0.0124676986386305</v>
      </c>
    </row>
    <row r="580" customFormat="false" ht="15" hidden="false" customHeight="false" outlineLevel="0" collapsed="false">
      <c r="A580" s="5" t="n">
        <v>17</v>
      </c>
      <c r="B580" s="25" t="n">
        <f aca="false">IF(T579&gt;0,B579,D579)</f>
        <v>-0.05267333984375</v>
      </c>
      <c r="C580" s="25" t="n">
        <f aca="false">IF(T579&gt;0,D579,C579)</f>
        <v>-0.0526504516601563</v>
      </c>
      <c r="D580" s="41" t="n">
        <f aca="false">(B580+C580)/2</f>
        <v>-0.0526618957519531</v>
      </c>
      <c r="E580" s="15" t="n">
        <f aca="false">$C$2*(1+IF(E$3&lt;=$O$2,$D580,$D580-($D580-$I$562)*MIN(E$3-$O$2,$Q$2)/$Q$2))</f>
        <v>6214.53796386719</v>
      </c>
      <c r="F580" s="15" t="n">
        <f aca="false">E580*(1+IF(F$3&lt;=$O$2,$D580,$D580-($D580-$I$562)*MIN(F$3-$O$2,$Q$2)/$Q$2))</f>
        <v>5887.26861346746</v>
      </c>
      <c r="G580" s="15" t="n">
        <f aca="false">F580*(1+IF(G$3&lt;=$O$2,$D580,$D580-($D580-$I$562)*MIN(G$3-$O$2,$Q$2)/$Q$2))</f>
        <v>5577.23388748129</v>
      </c>
      <c r="H580" s="15" t="n">
        <f aca="false">G580*(1+IF(H$3&lt;=$O$2,$D580,$D580-($D580-$I$562)*MIN(H$3-$O$2,$Q$2)/$Q$2))</f>
        <v>5283.52617791449</v>
      </c>
      <c r="I580" s="15" t="n">
        <f aca="false">H580*(1+IF(I$3&lt;=$O$2,$D580,$D580-($D580-$I$562)*MIN(I$3-$O$2,$Q$2)/$Q$2))</f>
        <v>5005.28567313044</v>
      </c>
      <c r="J580" s="15" t="n">
        <f aca="false">I580*(1+IF(J$3&lt;=$O$2,$D580,$D580-($D580-$I$562)*MIN(J$3-$O$2,$Q$2)/$Q$2))</f>
        <v>4832.75589552491</v>
      </c>
      <c r="K580" s="15" t="n">
        <f aca="false">J580*(1+IF(K$3&lt;=$O$2,$D580,$D580-($D580-$I$562)*MIN(K$3-$O$2,$Q$2)/$Q$2))</f>
        <v>4754.09246354549</v>
      </c>
      <c r="L580" s="15" t="n">
        <f aca="false">K580*(1+IF(L$3&lt;=$O$2,$D580,$D580-($D580-$I$562)*MIN(L$3-$O$2,$Q$2)/$Q$2))</f>
        <v>4763.19769967361</v>
      </c>
      <c r="M580" s="15" t="n">
        <f aca="false">L580*(1+IF(M$3&lt;=$O$2,$D580,$D580-($D580-$I$562)*MIN(M$3-$O$2,$Q$2)/$Q$2))</f>
        <v>4858.97427305038</v>
      </c>
      <c r="N580" s="15" t="n">
        <f aca="false">M580*(1+IF(N$3&lt;=$O$2,$D580,$D580-($D580-$I$562)*MIN(N$3-$O$2,$Q$2)/$Q$2))</f>
        <v>5045.07298770821</v>
      </c>
      <c r="O580" s="15" t="n">
        <f aca="false">SUMPRODUCT(E580:N580,1/(1+$F$562)^$E$3:$N$3)*$E$2</f>
        <v>11096.2379392846</v>
      </c>
      <c r="P580" s="15" t="n">
        <f aca="false">N580*$E$2*(1+$I$562)/($F$562-$I$562)/(1+$F$562)^$N$3</f>
        <v>15260.0616945466</v>
      </c>
      <c r="Q580" s="15" t="n">
        <f aca="false">O580+P580</f>
        <v>26356.2996338312</v>
      </c>
      <c r="R580" s="15" t="n">
        <f aca="false">Q580-$G$2+$I$2</f>
        <v>19011.0996338312</v>
      </c>
      <c r="S580" s="42" t="n">
        <f aca="false">R580/$K$2</f>
        <v>81.0189628545968</v>
      </c>
      <c r="T580" s="43" t="n">
        <f aca="false">S580-$M$2</f>
        <v>0.00468627245321329</v>
      </c>
    </row>
    <row r="581" customFormat="false" ht="15" hidden="false" customHeight="false" outlineLevel="0" collapsed="false">
      <c r="A581" s="5" t="n">
        <v>18</v>
      </c>
      <c r="B581" s="25" t="n">
        <f aca="false">IF(T580&gt;0,B580,D580)</f>
        <v>-0.05267333984375</v>
      </c>
      <c r="C581" s="25" t="n">
        <f aca="false">IF(T580&gt;0,D580,C580)</f>
        <v>-0.0526618957519531</v>
      </c>
      <c r="D581" s="41" t="n">
        <f aca="false">(B581+C581)/2</f>
        <v>-0.0526676177978516</v>
      </c>
      <c r="E581" s="15" t="n">
        <f aca="false">$C$2*(1+IF(E$3&lt;=$O$2,$D581,$D581-($D581-$I$562)*MIN(E$3-$O$2,$Q$2)/$Q$2))</f>
        <v>6214.50042724609</v>
      </c>
      <c r="F581" s="15" t="n">
        <f aca="false">E581*(1+IF(F$3&lt;=$O$2,$D581,$D581-($D581-$I$562)*MIN(F$3-$O$2,$Q$2)/$Q$2))</f>
        <v>5887.19749393931</v>
      </c>
      <c r="G581" s="15" t="n">
        <f aca="false">F581*(1+IF(G$3&lt;=$O$2,$D581,$D581-($D581-$I$562)*MIN(G$3-$O$2,$Q$2)/$Q$2))</f>
        <v>5577.13282642805</v>
      </c>
      <c r="H581" s="15" t="n">
        <f aca="false">G581*(1+IF(H$3&lt;=$O$2,$D581,$D581-($D581-$I$562)*MIN(H$3-$O$2,$Q$2)/$Q$2))</f>
        <v>5283.39852631788</v>
      </c>
      <c r="I581" s="15" t="n">
        <f aca="false">H581*(1+IF(I$3&lt;=$O$2,$D581,$D581-($D581-$I$562)*MIN(I$3-$O$2,$Q$2)/$Q$2))</f>
        <v>5005.13451206004</v>
      </c>
      <c r="J581" s="15" t="n">
        <f aca="false">I581*(1+IF(J$3&lt;=$O$2,$D581,$D581-($D581-$I$562)*MIN(J$3-$O$2,$Q$2)/$Q$2))</f>
        <v>4832.58703321601</v>
      </c>
      <c r="K581" s="15" t="n">
        <f aca="false">J581*(1+IF(K$3&lt;=$O$2,$D581,$D581-($D581-$I$562)*MIN(K$3-$O$2,$Q$2)/$Q$2))</f>
        <v>4753.90975846071</v>
      </c>
      <c r="L581" s="15" t="n">
        <f aca="false">K581*(1+IF(L$3&lt;=$O$2,$D581,$D581-($D581-$I$562)*MIN(L$3-$O$2,$Q$2)/$Q$2))</f>
        <v>4763.00376382851</v>
      </c>
      <c r="M581" s="15" t="n">
        <f aca="false">L581*(1+IF(M$3&lt;=$O$2,$D581,$D581-($D581-$I$562)*MIN(M$3-$O$2,$Q$2)/$Q$2))</f>
        <v>4858.7709867916</v>
      </c>
      <c r="N581" s="15" t="n">
        <f aca="false">M581*(1+IF(N$3&lt;=$O$2,$D581,$D581-($D581-$I$562)*MIN(N$3-$O$2,$Q$2)/$Q$2))</f>
        <v>5044.86191558572</v>
      </c>
      <c r="O581" s="15" t="n">
        <f aca="false">SUMPRODUCT(E581:N581,1/(1+$F$562)^$E$3:$N$3)*$E$2</f>
        <v>11095.9634684709</v>
      </c>
      <c r="P581" s="15" t="n">
        <f aca="false">N581*$E$2*(1+$I$562)/($F$562-$I$562)/(1+$F$562)^$N$3</f>
        <v>15259.423255099</v>
      </c>
      <c r="Q581" s="15" t="n">
        <f aca="false">O581+P581</f>
        <v>26355.3867235699</v>
      </c>
      <c r="R581" s="15" t="n">
        <f aca="false">Q581-$G$2+$I$2</f>
        <v>19010.1867235699</v>
      </c>
      <c r="S581" s="42" t="n">
        <f aca="false">R581/$K$2</f>
        <v>81.015072335691</v>
      </c>
      <c r="T581" s="43" t="n">
        <f aca="false">S581-$M$2</f>
        <v>0.000795753547365052</v>
      </c>
    </row>
    <row r="582" customFormat="false" ht="15" hidden="false" customHeight="false" outlineLevel="0" collapsed="false">
      <c r="A582" s="5" t="n">
        <v>19</v>
      </c>
      <c r="B582" s="25" t="n">
        <f aca="false">IF(T581&gt;0,B581,D581)</f>
        <v>-0.05267333984375</v>
      </c>
      <c r="C582" s="25" t="n">
        <f aca="false">IF(T581&gt;0,D581,C581)</f>
        <v>-0.0526676177978516</v>
      </c>
      <c r="D582" s="41" t="n">
        <f aca="false">(B582+C582)/2</f>
        <v>-0.0526704788208008</v>
      </c>
      <c r="E582" s="15" t="n">
        <f aca="false">$C$2*(1+IF(E$3&lt;=$O$2,$D582,$D582-($D582-$I$562)*MIN(E$3-$O$2,$Q$2)/$Q$2))</f>
        <v>6214.48165893555</v>
      </c>
      <c r="F582" s="15" t="n">
        <f aca="false">E582*(1+IF(F$3&lt;=$O$2,$D582,$D582-($D582-$I$562)*MIN(F$3-$O$2,$Q$2)/$Q$2))</f>
        <v>5887.16193433633</v>
      </c>
      <c r="G582" s="15" t="n">
        <f aca="false">F582*(1+IF(G$3&lt;=$O$2,$D582,$D582-($D582-$I$562)*MIN(G$3-$O$2,$Q$2)/$Q$2))</f>
        <v>5577.08229635924</v>
      </c>
      <c r="H582" s="15" t="n">
        <f aca="false">G582*(1+IF(H$3&lt;=$O$2,$D582,$D582-($D582-$I$562)*MIN(H$3-$O$2,$Q$2)/$Q$2))</f>
        <v>5283.33470138699</v>
      </c>
      <c r="I582" s="15" t="n">
        <f aca="false">H582*(1+IF(I$3&lt;=$O$2,$D582,$D582-($D582-$I$562)*MIN(I$3-$O$2,$Q$2)/$Q$2))</f>
        <v>5005.05893289438</v>
      </c>
      <c r="J582" s="15" t="n">
        <f aca="false">I582*(1+IF(J$3&lt;=$O$2,$D582,$D582-($D582-$I$562)*MIN(J$3-$O$2,$Q$2)/$Q$2))</f>
        <v>4832.50260390286</v>
      </c>
      <c r="K582" s="15" t="n">
        <f aca="false">J582*(1+IF(K$3&lt;=$O$2,$D582,$D582-($D582-$I$562)*MIN(K$3-$O$2,$Q$2)/$Q$2))</f>
        <v>4753.81840816445</v>
      </c>
      <c r="L582" s="15" t="n">
        <f aca="false">K582*(1+IF(L$3&lt;=$O$2,$D582,$D582-($D582-$I$562)*MIN(L$3-$O$2,$Q$2)/$Q$2))</f>
        <v>4762.90679847001</v>
      </c>
      <c r="M582" s="15" t="n">
        <f aca="false">L582*(1+IF(M$3&lt;=$O$2,$D582,$D582-($D582-$I$562)*MIN(M$3-$O$2,$Q$2)/$Q$2))</f>
        <v>4858.66934644427</v>
      </c>
      <c r="N582" s="15" t="n">
        <f aca="false">M582*(1+IF(N$3&lt;=$O$2,$D582,$D582-($D582-$I$562)*MIN(N$3-$O$2,$Q$2)/$Q$2))</f>
        <v>5044.75638241309</v>
      </c>
      <c r="O582" s="15" t="n">
        <f aca="false">SUMPRODUCT(E582:N582,1/(1+$F$562)^$E$3:$N$3)*$E$2</f>
        <v>11095.8262357178</v>
      </c>
      <c r="P582" s="15" t="n">
        <f aca="false">N582*$E$2*(1+$I$562)/($F$562-$I$562)/(1+$F$562)^$N$3</f>
        <v>15259.1040441126</v>
      </c>
      <c r="Q582" s="15" t="n">
        <f aca="false">O582+P582</f>
        <v>26354.9302798303</v>
      </c>
      <c r="R582" s="15" t="n">
        <f aca="false">Q582-$G$2+$I$2</f>
        <v>19009.7302798303</v>
      </c>
      <c r="S582" s="42" t="n">
        <f aca="false">R582/$K$2</f>
        <v>81.013127124783</v>
      </c>
      <c r="T582" s="43" t="n">
        <f aca="false">S582-$M$2</f>
        <v>-0.00114945736062566</v>
      </c>
    </row>
    <row r="583" customFormat="false" ht="15" hidden="false" customHeight="false" outlineLevel="0" collapsed="false">
      <c r="A583" s="5" t="n">
        <v>20</v>
      </c>
      <c r="B583" s="25" t="n">
        <f aca="false">IF(T582&gt;0,B582,D582)</f>
        <v>-0.0526704788208008</v>
      </c>
      <c r="C583" s="25" t="n">
        <f aca="false">IF(T582&gt;0,D582,C582)</f>
        <v>-0.0526676177978516</v>
      </c>
      <c r="D583" s="41" t="n">
        <f aca="false">(B583+C583)/2</f>
        <v>-0.0526690483093262</v>
      </c>
      <c r="E583" s="15" t="n">
        <f aca="false">$C$2*(1+IF(E$3&lt;=$O$2,$D583,$D583-($D583-$I$562)*MIN(E$3-$O$2,$Q$2)/$Q$2))</f>
        <v>6214.49104309082</v>
      </c>
      <c r="F583" s="15" t="n">
        <f aca="false">E583*(1+IF(F$3&lt;=$O$2,$D583,$D583-($D583-$I$562)*MIN(F$3-$O$2,$Q$2)/$Q$2))</f>
        <v>5887.1797141244</v>
      </c>
      <c r="G583" s="15" t="n">
        <f aca="false">F583*(1+IF(G$3&lt;=$O$2,$D583,$D583-($D583-$I$562)*MIN(G$3-$O$2,$Q$2)/$Q$2))</f>
        <v>5577.10756135549</v>
      </c>
      <c r="H583" s="15" t="n">
        <f aca="false">G583*(1+IF(H$3&lt;=$O$2,$D583,$D583-($D583-$I$562)*MIN(H$3-$O$2,$Q$2)/$Q$2))</f>
        <v>5283.36661378015</v>
      </c>
      <c r="I583" s="15" t="n">
        <f aca="false">H583*(1+IF(I$3&lt;=$O$2,$D583,$D583-($D583-$I$562)*MIN(I$3-$O$2,$Q$2)/$Q$2))</f>
        <v>5005.09672236308</v>
      </c>
      <c r="J583" s="15" t="n">
        <f aca="false">I583*(1+IF(J$3&lt;=$O$2,$D583,$D583-($D583-$I$562)*MIN(J$3-$O$2,$Q$2)/$Q$2))</f>
        <v>4832.54481840599</v>
      </c>
      <c r="K583" s="15" t="n">
        <f aca="false">J583*(1+IF(K$3&lt;=$O$2,$D583,$D583-($D583-$I$562)*MIN(K$3-$O$2,$Q$2)/$Q$2))</f>
        <v>4753.86408312541</v>
      </c>
      <c r="L583" s="15" t="n">
        <f aca="false">K583*(1+IF(L$3&lt;=$O$2,$D583,$D583-($D583-$I$562)*MIN(L$3-$O$2,$Q$2)/$Q$2))</f>
        <v>4762.95528093559</v>
      </c>
      <c r="M583" s="15" t="n">
        <f aca="false">L583*(1+IF(M$3&lt;=$O$2,$D583,$D583-($D583-$I$562)*MIN(M$3-$O$2,$Q$2)/$Q$2))</f>
        <v>4858.7201663861</v>
      </c>
      <c r="N583" s="15" t="n">
        <f aca="false">M583*(1+IF(N$3&lt;=$O$2,$D583,$D583-($D583-$I$562)*MIN(N$3-$O$2,$Q$2)/$Q$2))</f>
        <v>5044.80914875869</v>
      </c>
      <c r="O583" s="15" t="n">
        <f aca="false">SUMPRODUCT(E583:N583,1/(1+$F$562)^$E$3:$N$3)*$E$2</f>
        <v>11095.8948518732</v>
      </c>
      <c r="P583" s="15" t="n">
        <f aca="false">N583*$E$2*(1+$I$562)/($F$562-$I$562)/(1+$F$562)^$N$3</f>
        <v>15259.2636488777</v>
      </c>
      <c r="Q583" s="15" t="n">
        <f aca="false">O583+P583</f>
        <v>26355.1585007509</v>
      </c>
      <c r="R583" s="15" t="n">
        <f aca="false">Q583-$G$2+$I$2</f>
        <v>19009.9585007509</v>
      </c>
      <c r="S583" s="42" t="n">
        <f aca="false">R583/$K$2</f>
        <v>81.0140997261916</v>
      </c>
      <c r="T583" s="43" t="n">
        <f aca="false">S583-$M$2</f>
        <v>-0.000176855952020105</v>
      </c>
    </row>
    <row r="584" customFormat="false" ht="15" hidden="false" customHeight="false" outlineLevel="0" collapsed="false">
      <c r="A584" s="5" t="n">
        <v>21</v>
      </c>
      <c r="B584" s="25" t="n">
        <f aca="false">IF(T583&gt;0,B583,D583)</f>
        <v>-0.0526690483093262</v>
      </c>
      <c r="C584" s="25" t="n">
        <f aca="false">IF(T583&gt;0,D583,C583)</f>
        <v>-0.0526676177978516</v>
      </c>
      <c r="D584" s="41" t="n">
        <f aca="false">(B584+C584)/2</f>
        <v>-0.0526683330535889</v>
      </c>
      <c r="E584" s="15" t="n">
        <f aca="false">$C$2*(1+IF(E$3&lt;=$O$2,$D584,$D584-($D584-$I$562)*MIN(E$3-$O$2,$Q$2)/$Q$2))</f>
        <v>6214.49573516846</v>
      </c>
      <c r="F584" s="15" t="n">
        <f aca="false">E584*(1+IF(F$3&lt;=$O$2,$D584,$D584-($D584-$I$562)*MIN(F$3-$O$2,$Q$2)/$Q$2))</f>
        <v>5887.1886040285</v>
      </c>
      <c r="G584" s="15" t="n">
        <f aca="false">F584*(1+IF(G$3&lt;=$O$2,$D584,$D584-($D584-$I$562)*MIN(G$3-$O$2,$Q$2)/$Q$2))</f>
        <v>5577.12019388223</v>
      </c>
      <c r="H584" s="15" t="n">
        <f aca="false">G584*(1+IF(H$3&lt;=$O$2,$D584,$D584-($D584-$I$562)*MIN(H$3-$O$2,$Q$2)/$Q$2))</f>
        <v>5283.38257003095</v>
      </c>
      <c r="I584" s="15" t="n">
        <f aca="false">H584*(1+IF(I$3&lt;=$O$2,$D584,$D584-($D584-$I$562)*MIN(I$3-$O$2,$Q$2)/$Q$2))</f>
        <v>5005.11561718303</v>
      </c>
      <c r="J584" s="15" t="n">
        <f aca="false">I584*(1+IF(J$3&lt;=$O$2,$D584,$D584-($D584-$I$562)*MIN(J$3-$O$2,$Q$2)/$Q$2))</f>
        <v>4832.56592577264</v>
      </c>
      <c r="K584" s="15" t="n">
        <f aca="false">J584*(1+IF(K$3&lt;=$O$2,$D584,$D584-($D584-$I$562)*MIN(K$3-$O$2,$Q$2)/$Q$2))</f>
        <v>4753.88692074627</v>
      </c>
      <c r="L584" s="15" t="n">
        <f aca="false">K584*(1+IF(L$3&lt;=$O$2,$D584,$D584-($D584-$I$562)*MIN(L$3-$O$2,$Q$2)/$Q$2))</f>
        <v>4762.97952232863</v>
      </c>
      <c r="M584" s="15" t="n">
        <f aca="false">L584*(1+IF(M$3&lt;=$O$2,$D584,$D584-($D584-$I$562)*MIN(M$3-$O$2,$Q$2)/$Q$2))</f>
        <v>4858.74557653089</v>
      </c>
      <c r="N584" s="15" t="n">
        <f aca="false">M584*(1+IF(N$3&lt;=$O$2,$D584,$D584-($D584-$I$562)*MIN(N$3-$O$2,$Q$2)/$Q$2))</f>
        <v>5044.83553211203</v>
      </c>
      <c r="O584" s="15" t="n">
        <f aca="false">SUMPRODUCT(E584:N584,1/(1+$F$562)^$E$3:$N$3)*$E$2</f>
        <v>11095.9291601167</v>
      </c>
      <c r="P584" s="15" t="n">
        <f aca="false">N584*$E$2*(1+$I$562)/($F$562-$I$562)/(1+$F$562)^$N$3</f>
        <v>15259.3434518063</v>
      </c>
      <c r="Q584" s="15" t="n">
        <f aca="false">O584+P584</f>
        <v>26355.2726119231</v>
      </c>
      <c r="R584" s="15" t="n">
        <f aca="false">Q584-$G$2+$I$2</f>
        <v>19010.0726119231</v>
      </c>
      <c r="S584" s="42" t="n">
        <f aca="false">R584/$K$2</f>
        <v>81.0145860299299</v>
      </c>
      <c r="T584" s="43" t="n">
        <f aca="false">S584-$M$2</f>
        <v>0.000309447786321471</v>
      </c>
    </row>
    <row r="585" customFormat="false" ht="15" hidden="false" customHeight="false" outlineLevel="0" collapsed="false">
      <c r="A585" s="5" t="n">
        <v>22</v>
      </c>
      <c r="B585" s="25" t="n">
        <f aca="false">IF(T584&gt;0,B584,D584)</f>
        <v>-0.0526690483093262</v>
      </c>
      <c r="C585" s="25" t="n">
        <f aca="false">IF(T584&gt;0,D584,C584)</f>
        <v>-0.0526683330535889</v>
      </c>
      <c r="D585" s="41" t="n">
        <f aca="false">(B585+C585)/2</f>
        <v>-0.0526686906814575</v>
      </c>
      <c r="E585" s="15" t="n">
        <f aca="false">$C$2*(1+IF(E$3&lt;=$O$2,$D585,$D585-($D585-$I$562)*MIN(E$3-$O$2,$Q$2)/$Q$2))</f>
        <v>6214.49338912964</v>
      </c>
      <c r="F585" s="15" t="n">
        <f aca="false">E585*(1+IF(F$3&lt;=$O$2,$D585,$D585-($D585-$I$562)*MIN(F$3-$O$2,$Q$2)/$Q$2))</f>
        <v>5887.18415907561</v>
      </c>
      <c r="G585" s="15" t="n">
        <f aca="false">F585*(1+IF(G$3&lt;=$O$2,$D585,$D585-($D585-$I$562)*MIN(G$3-$O$2,$Q$2)/$Q$2))</f>
        <v>5577.11387761648</v>
      </c>
      <c r="H585" s="15" t="n">
        <f aca="false">G585*(1+IF(H$3&lt;=$O$2,$D585,$D585-($D585-$I$562)*MIN(H$3-$O$2,$Q$2)/$Q$2))</f>
        <v>5283.37459190103</v>
      </c>
      <c r="I585" s="15" t="n">
        <f aca="false">H585*(1+IF(I$3&lt;=$O$2,$D585,$D585-($D585-$I$562)*MIN(I$3-$O$2,$Q$2)/$Q$2))</f>
        <v>5005.10616976592</v>
      </c>
      <c r="J585" s="15" t="n">
        <f aca="false">I585*(1+IF(J$3&lt;=$O$2,$D585,$D585-($D585-$I$562)*MIN(J$3-$O$2,$Q$2)/$Q$2))</f>
        <v>4832.55537207973</v>
      </c>
      <c r="K585" s="15" t="n">
        <f aca="false">J585*(1+IF(K$3&lt;=$O$2,$D585,$D585-($D585-$I$562)*MIN(K$3-$O$2,$Q$2)/$Q$2))</f>
        <v>4753.87550192414</v>
      </c>
      <c r="L585" s="15" t="n">
        <f aca="false">K585*(1+IF(L$3&lt;=$O$2,$D585,$D585-($D585-$I$562)*MIN(L$3-$O$2,$Q$2)/$Q$2))</f>
        <v>4762.96740161875</v>
      </c>
      <c r="M585" s="15" t="n">
        <f aca="false">L585*(1+IF(M$3&lt;=$O$2,$D585,$D585-($D585-$I$562)*MIN(M$3-$O$2,$Q$2)/$Q$2))</f>
        <v>4858.73287144401</v>
      </c>
      <c r="N585" s="15" t="n">
        <f aca="false">M585*(1+IF(N$3&lt;=$O$2,$D585,$D585-($D585-$I$562)*MIN(N$3-$O$2,$Q$2)/$Q$2))</f>
        <v>5044.82234042031</v>
      </c>
      <c r="O585" s="15" t="n">
        <f aca="false">SUMPRODUCT(E585:N585,1/(1+$F$562)^$E$3:$N$3)*$E$2</f>
        <v>11095.9120059811</v>
      </c>
      <c r="P585" s="15" t="n">
        <f aca="false">N585*$E$2*(1+$I$562)/($F$562-$I$562)/(1+$F$562)^$N$3</f>
        <v>15259.3035502965</v>
      </c>
      <c r="Q585" s="15" t="n">
        <f aca="false">O585+P585</f>
        <v>26355.2155562776</v>
      </c>
      <c r="R585" s="15" t="n">
        <f aca="false">Q585-$G$2+$I$2</f>
        <v>19010.0155562776</v>
      </c>
      <c r="S585" s="42" t="n">
        <f aca="false">R585/$K$2</f>
        <v>81.014342877808</v>
      </c>
      <c r="T585" s="43" t="n">
        <f aca="false">S585-$M$2</f>
        <v>6.62956643253665E-005</v>
      </c>
    </row>
    <row r="586" customFormat="false" ht="15" hidden="false" customHeight="false" outlineLevel="0" collapsed="false">
      <c r="A586" s="5" t="n">
        <v>23</v>
      </c>
      <c r="B586" s="25" t="n">
        <f aca="false">IF(T585&gt;0,B585,D585)</f>
        <v>-0.0526690483093262</v>
      </c>
      <c r="C586" s="25" t="n">
        <f aca="false">IF(T585&gt;0,D585,C585)</f>
        <v>-0.0526686906814575</v>
      </c>
      <c r="D586" s="41" t="n">
        <f aca="false">(B586+C586)/2</f>
        <v>-0.0526688694953918</v>
      </c>
      <c r="E586" s="15" t="n">
        <f aca="false">$C$2*(1+IF(E$3&lt;=$O$2,$D586,$D586-($D586-$I$562)*MIN(E$3-$O$2,$Q$2)/$Q$2))</f>
        <v>6214.49221611023</v>
      </c>
      <c r="F586" s="15" t="n">
        <f aca="false">E586*(1+IF(F$3&lt;=$O$2,$D586,$D586-($D586-$I$562)*MIN(F$3-$O$2,$Q$2)/$Q$2))</f>
        <v>5887.18193659979</v>
      </c>
      <c r="G586" s="15" t="n">
        <f aca="false">F586*(1+IF(G$3&lt;=$O$2,$D586,$D586-($D586-$I$562)*MIN(G$3-$O$2,$Q$2)/$Q$2))</f>
        <v>5577.11071948539</v>
      </c>
      <c r="H586" s="15" t="n">
        <f aca="false">G586*(1+IF(H$3&lt;=$O$2,$D586,$D586-($D586-$I$562)*MIN(H$3-$O$2,$Q$2)/$Q$2))</f>
        <v>5283.37060283946</v>
      </c>
      <c r="I586" s="15" t="n">
        <f aca="false">H586*(1+IF(I$3&lt;=$O$2,$D586,$D586-($D586-$I$562)*MIN(I$3-$O$2,$Q$2)/$Q$2))</f>
        <v>5005.10144606272</v>
      </c>
      <c r="J586" s="15" t="n">
        <f aca="false">I586*(1+IF(J$3&lt;=$O$2,$D586,$D586-($D586-$I$562)*MIN(J$3-$O$2,$Q$2)/$Q$2))</f>
        <v>4832.55009524046</v>
      </c>
      <c r="K586" s="15" t="n">
        <f aca="false">J586*(1+IF(K$3&lt;=$O$2,$D586,$D586-($D586-$I$562)*MIN(K$3-$O$2,$Q$2)/$Q$2))</f>
        <v>4753.86979252185</v>
      </c>
      <c r="L586" s="15" t="n">
        <f aca="false">K586*(1+IF(L$3&lt;=$O$2,$D586,$D586-($D586-$I$562)*MIN(L$3-$O$2,$Q$2)/$Q$2))</f>
        <v>4762.96134127383</v>
      </c>
      <c r="M586" s="15" t="n">
        <f aca="false">L586*(1+IF(M$3&lt;=$O$2,$D586,$D586-($D586-$I$562)*MIN(M$3-$O$2,$Q$2)/$Q$2))</f>
        <v>4858.72651891143</v>
      </c>
      <c r="N586" s="15" t="n">
        <f aca="false">M586*(1+IF(N$3&lt;=$O$2,$D586,$D586-($D586-$I$562)*MIN(N$3-$O$2,$Q$2)/$Q$2))</f>
        <v>5044.81574458574</v>
      </c>
      <c r="O586" s="15" t="n">
        <f aca="false">SUMPRODUCT(E586:N586,1/(1+$F$562)^$E$3:$N$3)*$E$2</f>
        <v>11095.9034289237</v>
      </c>
      <c r="P586" s="15" t="n">
        <f aca="false">N586*$E$2*(1+$I$562)/($F$562-$I$562)/(1+$F$562)^$N$3</f>
        <v>15259.2835995757</v>
      </c>
      <c r="Q586" s="15" t="n">
        <f aca="false">O586+P586</f>
        <v>26355.1870284994</v>
      </c>
      <c r="R586" s="15" t="n">
        <f aca="false">Q586-$G$2+$I$2</f>
        <v>19009.9870284994</v>
      </c>
      <c r="S586" s="42" t="n">
        <f aca="false">R586/$K$2</f>
        <v>81.0142213019366</v>
      </c>
      <c r="T586" s="43" t="n">
        <f aca="false">S586-$M$2</f>
        <v>-5.52802070359348E-005</v>
      </c>
    </row>
    <row r="587" customFormat="false" ht="15" hidden="false" customHeight="false" outlineLevel="0" collapsed="false">
      <c r="A587" s="5" t="n">
        <v>24</v>
      </c>
      <c r="B587" s="25" t="n">
        <f aca="false">IF(T586&gt;0,B586,D586)</f>
        <v>-0.0526688694953918</v>
      </c>
      <c r="C587" s="25" t="n">
        <f aca="false">IF(T586&gt;0,D586,C586)</f>
        <v>-0.0526686906814575</v>
      </c>
      <c r="D587" s="41" t="n">
        <f aca="false">(B587+C587)/2</f>
        <v>-0.0526687800884247</v>
      </c>
      <c r="E587" s="15" t="n">
        <f aca="false">$C$2*(1+IF(E$3&lt;=$O$2,$D587,$D587-($D587-$I$562)*MIN(E$3-$O$2,$Q$2)/$Q$2))</f>
        <v>6214.49280261993</v>
      </c>
      <c r="F587" s="15" t="n">
        <f aca="false">E587*(1+IF(F$3&lt;=$O$2,$D587,$D587-($D587-$I$562)*MIN(F$3-$O$2,$Q$2)/$Q$2))</f>
        <v>5887.18304783765</v>
      </c>
      <c r="G587" s="15" t="n">
        <f aca="false">F587*(1+IF(G$3&lt;=$O$2,$D587,$D587-($D587-$I$562)*MIN(G$3-$O$2,$Q$2)/$Q$2))</f>
        <v>5577.11229855078</v>
      </c>
      <c r="H587" s="15" t="n">
        <f aca="false">G587*(1+IF(H$3&lt;=$O$2,$D587,$D587-($D587-$I$562)*MIN(H$3-$O$2,$Q$2)/$Q$2))</f>
        <v>5283.37259736997</v>
      </c>
      <c r="I587" s="15" t="n">
        <f aca="false">H587*(1+IF(I$3&lt;=$O$2,$D587,$D587-($D587-$I$562)*MIN(I$3-$O$2,$Q$2)/$Q$2))</f>
        <v>5005.10380791388</v>
      </c>
      <c r="J587" s="15" t="n">
        <f aca="false">I587*(1+IF(J$3&lt;=$O$2,$D587,$D587-($D587-$I$562)*MIN(J$3-$O$2,$Q$2)/$Q$2))</f>
        <v>4832.5527336595</v>
      </c>
      <c r="K587" s="15" t="n">
        <f aca="false">J587*(1+IF(K$3&lt;=$O$2,$D587,$D587-($D587-$I$562)*MIN(K$3-$O$2,$Q$2)/$Q$2))</f>
        <v>4753.87264722226</v>
      </c>
      <c r="L587" s="15" t="n">
        <f aca="false">K587*(1+IF(L$3&lt;=$O$2,$D587,$D587-($D587-$I$562)*MIN(L$3-$O$2,$Q$2)/$Q$2))</f>
        <v>4762.96437144546</v>
      </c>
      <c r="M587" s="15" t="n">
        <f aca="false">L587*(1+IF(M$3&lt;=$O$2,$D587,$D587-($D587-$I$562)*MIN(M$3-$O$2,$Q$2)/$Q$2))</f>
        <v>4858.72969517682</v>
      </c>
      <c r="N587" s="15" t="n">
        <f aca="false">M587*(1+IF(N$3&lt;=$O$2,$D587,$D587-($D587-$I$562)*MIN(N$3-$O$2,$Q$2)/$Q$2))</f>
        <v>5044.81904250209</v>
      </c>
      <c r="O587" s="15" t="n">
        <f aca="false">SUMPRODUCT(E587:N587,1/(1+$F$562)^$E$3:$N$3)*$E$2</f>
        <v>11095.9077174515</v>
      </c>
      <c r="P587" s="15" t="n">
        <f aca="false">N587*$E$2*(1+$I$562)/($F$562-$I$562)/(1+$F$562)^$N$3</f>
        <v>15259.2935749333</v>
      </c>
      <c r="Q587" s="15" t="n">
        <f aca="false">O587+P587</f>
        <v>26355.2012923848</v>
      </c>
      <c r="R587" s="15" t="n">
        <f aca="false">Q587-$G$2+$I$2</f>
        <v>19010.0012923848</v>
      </c>
      <c r="S587" s="42" t="n">
        <f aca="false">R587/$K$2</f>
        <v>81.0142820898565</v>
      </c>
      <c r="T587" s="43" t="n">
        <f aca="false">S587-$M$2</f>
        <v>5.50771284224538E-006</v>
      </c>
    </row>
    <row r="589" customFormat="false" ht="15" hidden="false" customHeight="false" outlineLevel="0" collapsed="false">
      <c r="A589" s="38" t="s">
        <v>203</v>
      </c>
      <c r="E589" s="5" t="s">
        <v>11</v>
      </c>
      <c r="F589" s="12" t="n">
        <f aca="false">Sensitivity!$B$14</f>
        <v>0.0912368036285737</v>
      </c>
      <c r="G589" s="5" t="s">
        <v>12</v>
      </c>
      <c r="I589" s="12" t="n">
        <f aca="false">Sensitivity!$C$9</f>
        <v>0.0183</v>
      </c>
    </row>
    <row r="590" customFormat="false" ht="23.85" hidden="false" customHeight="false" outlineLevel="0" collapsed="false">
      <c r="A590" s="38" t="s">
        <v>163</v>
      </c>
      <c r="B590" s="28" t="s">
        <v>164</v>
      </c>
      <c r="C590" s="28" t="s">
        <v>165</v>
      </c>
      <c r="D590" s="28" t="s">
        <v>166</v>
      </c>
      <c r="E590" s="28" t="s">
        <v>167</v>
      </c>
      <c r="F590" s="28" t="s">
        <v>168</v>
      </c>
      <c r="G590" s="28" t="s">
        <v>169</v>
      </c>
      <c r="H590" s="28" t="s">
        <v>170</v>
      </c>
      <c r="I590" s="28" t="s">
        <v>171</v>
      </c>
      <c r="J590" s="28" t="s">
        <v>172</v>
      </c>
      <c r="K590" s="28" t="s">
        <v>173</v>
      </c>
      <c r="L590" s="28" t="s">
        <v>174</v>
      </c>
      <c r="M590" s="28" t="s">
        <v>175</v>
      </c>
      <c r="N590" s="28" t="s">
        <v>176</v>
      </c>
      <c r="O590" s="28" t="s">
        <v>177</v>
      </c>
      <c r="P590" s="28" t="s">
        <v>178</v>
      </c>
      <c r="Q590" s="28" t="s">
        <v>179</v>
      </c>
      <c r="R590" s="28" t="s">
        <v>180</v>
      </c>
      <c r="S590" s="28" t="s">
        <v>181</v>
      </c>
      <c r="T590" s="28" t="s">
        <v>182</v>
      </c>
    </row>
    <row r="591" customFormat="false" ht="15" hidden="false" customHeight="false" outlineLevel="0" collapsed="false">
      <c r="A591" s="5" t="n">
        <v>1</v>
      </c>
      <c r="B591" s="24" t="n">
        <v>-0.5</v>
      </c>
      <c r="C591" s="24" t="n">
        <v>1</v>
      </c>
      <c r="D591" s="41" t="n">
        <f aca="false">(B591+C591)/2</f>
        <v>0.25</v>
      </c>
      <c r="E591" s="15" t="n">
        <f aca="false">$C$2*(1+IF(E$3&lt;=$O$2,$D591,$D591-($D591-$I$589)*MIN(E$3-$O$2,$Q$2)/$Q$2))</f>
        <v>8200</v>
      </c>
      <c r="F591" s="15" t="n">
        <f aca="false">E591*(1+IF(F$3&lt;=$O$2,$D591,$D591-($D591-$I$589)*MIN(F$3-$O$2,$Q$2)/$Q$2))</f>
        <v>10250</v>
      </c>
      <c r="G591" s="15" t="n">
        <f aca="false">F591*(1+IF(G$3&lt;=$O$2,$D591,$D591-($D591-$I$589)*MIN(G$3-$O$2,$Q$2)/$Q$2))</f>
        <v>12812.5</v>
      </c>
      <c r="H591" s="15" t="n">
        <f aca="false">G591*(1+IF(H$3&lt;=$O$2,$D591,$D591-($D591-$I$589)*MIN(H$3-$O$2,$Q$2)/$Q$2))</f>
        <v>16015.625</v>
      </c>
      <c r="I591" s="15" t="n">
        <f aca="false">H591*(1+IF(I$3&lt;=$O$2,$D591,$D591-($D591-$I$589)*MIN(I$3-$O$2,$Q$2)/$Q$2))</f>
        <v>20019.53125</v>
      </c>
      <c r="J591" s="15" t="n">
        <f aca="false">I591*(1+IF(J$3&lt;=$O$2,$D591,$D591-($D591-$I$589)*MIN(J$3-$O$2,$Q$2)/$Q$2))</f>
        <v>24096.708984375</v>
      </c>
      <c r="K591" s="15" t="n">
        <f aca="false">J591*(1+IF(K$3&lt;=$O$2,$D591,$D591-($D591-$I$589)*MIN(K$3-$O$2,$Q$2)/$Q$2))</f>
        <v>27887.6032417969</v>
      </c>
      <c r="L591" s="15" t="n">
        <f aca="false">K591*(1+IF(L$3&lt;=$O$2,$D591,$D591-($D591-$I$589)*MIN(L$3-$O$2,$Q$2)/$Q$2))</f>
        <v>30982.5694495715</v>
      </c>
      <c r="M591" s="15" t="n">
        <f aca="false">L591*(1+IF(M$3&lt;=$O$2,$D591,$D591-($D591-$I$589)*MIN(M$3-$O$2,$Q$2)/$Q$2))</f>
        <v>32985.2827387918</v>
      </c>
      <c r="N591" s="15" t="n">
        <f aca="false">M591*(1+IF(N$3&lt;=$O$2,$D591,$D591-($D591-$I$589)*MIN(N$3-$O$2,$Q$2)/$Q$2))</f>
        <v>33588.9134129117</v>
      </c>
      <c r="O591" s="15" t="n">
        <f aca="false">SUMPRODUCT(E591:N591,1/(1+$F$589)^$E$3:$N$3)*$E$2</f>
        <v>39629.3478728453</v>
      </c>
      <c r="P591" s="15" t="n">
        <f aca="false">N591*$E$2*(1+$I$589)/($F$589-$I$589)/(1+$F$589)^$N$3</f>
        <v>62548.2425401184</v>
      </c>
      <c r="Q591" s="15" t="n">
        <f aca="false">O591+P591</f>
        <v>102177.590412964</v>
      </c>
      <c r="R591" s="15" t="n">
        <f aca="false">Q591-$G$2+$I$2</f>
        <v>94832.3904129637</v>
      </c>
      <c r="S591" s="42" t="n">
        <f aca="false">R591/$K$2</f>
        <v>404.14400346458</v>
      </c>
      <c r="T591" s="43" t="n">
        <f aca="false">S591-$M$2</f>
        <v>323.129726882437</v>
      </c>
    </row>
    <row r="592" customFormat="false" ht="15" hidden="false" customHeight="false" outlineLevel="0" collapsed="false">
      <c r="A592" s="5" t="n">
        <v>2</v>
      </c>
      <c r="B592" s="25" t="n">
        <f aca="false">IF(T591&gt;0,B591,D591)</f>
        <v>-0.5</v>
      </c>
      <c r="C592" s="25" t="n">
        <f aca="false">IF(T591&gt;0,D591,C591)</f>
        <v>0.25</v>
      </c>
      <c r="D592" s="41" t="n">
        <f aca="false">(B592+C592)/2</f>
        <v>-0.125</v>
      </c>
      <c r="E592" s="15" t="n">
        <f aca="false">$C$2*(1+IF(E$3&lt;=$O$2,$D592,$D592-($D592-$I$589)*MIN(E$3-$O$2,$Q$2)/$Q$2))</f>
        <v>5740</v>
      </c>
      <c r="F592" s="15" t="n">
        <f aca="false">E592*(1+IF(F$3&lt;=$O$2,$D592,$D592-($D592-$I$589)*MIN(F$3-$O$2,$Q$2)/$Q$2))</f>
        <v>5022.5</v>
      </c>
      <c r="G592" s="15" t="n">
        <f aca="false">F592*(1+IF(G$3&lt;=$O$2,$D592,$D592-($D592-$I$589)*MIN(G$3-$O$2,$Q$2)/$Q$2))</f>
        <v>4394.6875</v>
      </c>
      <c r="H592" s="15" t="n">
        <f aca="false">G592*(1+IF(H$3&lt;=$O$2,$D592,$D592-($D592-$I$589)*MIN(H$3-$O$2,$Q$2)/$Q$2))</f>
        <v>3845.3515625</v>
      </c>
      <c r="I592" s="15" t="n">
        <f aca="false">H592*(1+IF(I$3&lt;=$O$2,$D592,$D592-($D592-$I$589)*MIN(I$3-$O$2,$Q$2)/$Q$2))</f>
        <v>3364.6826171875</v>
      </c>
      <c r="J592" s="15" t="n">
        <f aca="false">I592*(1+IF(J$3&lt;=$O$2,$D592,$D592-($D592-$I$589)*MIN(J$3-$O$2,$Q$2)/$Q$2))</f>
        <v>3040.52909384766</v>
      </c>
      <c r="K592" s="15" t="n">
        <f aca="false">J592*(1+IF(K$3&lt;=$O$2,$D592,$D592-($D592-$I$589)*MIN(K$3-$O$2,$Q$2)/$Q$2))</f>
        <v>2834.74608477605</v>
      </c>
      <c r="L592" s="15" t="n">
        <f aca="false">K592*(1+IF(L$3&lt;=$O$2,$D592,$D592-($D592-$I$589)*MIN(L$3-$O$2,$Q$2)/$Q$2))</f>
        <v>2724.13429254809</v>
      </c>
      <c r="M592" s="15" t="n">
        <f aca="false">L592*(1+IF(M$3&lt;=$O$2,$D592,$D592-($D592-$I$589)*MIN(M$3-$O$2,$Q$2)/$Q$2))</f>
        <v>2695.91226127729</v>
      </c>
      <c r="N592" s="15" t="n">
        <f aca="false">M592*(1+IF(N$3&lt;=$O$2,$D592,$D592-($D592-$I$589)*MIN(N$3-$O$2,$Q$2)/$Q$2))</f>
        <v>2745.24745565866</v>
      </c>
      <c r="O592" s="15" t="n">
        <f aca="false">SUMPRODUCT(E592:N592,1/(1+$F$589)^$E$3:$N$3)*$E$2</f>
        <v>7924.98404181785</v>
      </c>
      <c r="P592" s="15" t="n">
        <f aca="false">N592*$E$2*(1+$I$589)/($F$589-$I$589)/(1+$F$589)^$N$3</f>
        <v>5112.11546435959</v>
      </c>
      <c r="Q592" s="15" t="n">
        <f aca="false">O592+P592</f>
        <v>13037.0995061774</v>
      </c>
      <c r="R592" s="15" t="n">
        <f aca="false">Q592-$G$2+$I$2</f>
        <v>5691.89950617744</v>
      </c>
      <c r="S592" s="42" t="n">
        <f aca="false">R592/$K$2</f>
        <v>24.2569763740782</v>
      </c>
      <c r="T592" s="43" t="n">
        <f aca="false">S592-$M$2</f>
        <v>-56.7573002080655</v>
      </c>
    </row>
    <row r="593" customFormat="false" ht="15" hidden="false" customHeight="false" outlineLevel="0" collapsed="false">
      <c r="A593" s="5" t="n">
        <v>3</v>
      </c>
      <c r="B593" s="25" t="n">
        <f aca="false">IF(T592&gt;0,B592,D592)</f>
        <v>-0.125</v>
      </c>
      <c r="C593" s="25" t="n">
        <f aca="false">IF(T592&gt;0,D592,C592)</f>
        <v>0.25</v>
      </c>
      <c r="D593" s="41" t="n">
        <f aca="false">(B593+C593)/2</f>
        <v>0.0625</v>
      </c>
      <c r="E593" s="15" t="n">
        <f aca="false">$C$2*(1+IF(E$3&lt;=$O$2,$D593,$D593-($D593-$I$589)*MIN(E$3-$O$2,$Q$2)/$Q$2))</f>
        <v>6970</v>
      </c>
      <c r="F593" s="15" t="n">
        <f aca="false">E593*(1+IF(F$3&lt;=$O$2,$D593,$D593-($D593-$I$589)*MIN(F$3-$O$2,$Q$2)/$Q$2))</f>
        <v>7405.625</v>
      </c>
      <c r="G593" s="15" t="n">
        <f aca="false">F593*(1+IF(G$3&lt;=$O$2,$D593,$D593-($D593-$I$589)*MIN(G$3-$O$2,$Q$2)/$Q$2))</f>
        <v>7868.4765625</v>
      </c>
      <c r="H593" s="15" t="n">
        <f aca="false">G593*(1+IF(H$3&lt;=$O$2,$D593,$D593-($D593-$I$589)*MIN(H$3-$O$2,$Q$2)/$Q$2))</f>
        <v>8360.25634765625</v>
      </c>
      <c r="I593" s="15" t="n">
        <f aca="false">H593*(1+IF(I$3&lt;=$O$2,$D593,$D593-($D593-$I$589)*MIN(I$3-$O$2,$Q$2)/$Q$2))</f>
        <v>8882.77236938477</v>
      </c>
      <c r="J593" s="15" t="n">
        <f aca="false">I593*(1+IF(J$3&lt;=$O$2,$D593,$D593-($D593-$I$589)*MIN(J$3-$O$2,$Q$2)/$Q$2))</f>
        <v>9359.42193472595</v>
      </c>
      <c r="K593" s="15" t="n">
        <f aca="false">J593*(1+IF(K$3&lt;=$O$2,$D593,$D593-($D593-$I$589)*MIN(K$3-$O$2,$Q$2)/$Q$2))</f>
        <v>9778.91122584037</v>
      </c>
      <c r="L593" s="15" t="n">
        <f aca="false">K593*(1+IF(L$3&lt;=$O$2,$D593,$D593-($D593-$I$589)*MIN(L$3-$O$2,$Q$2)/$Q$2))</f>
        <v>10130.7564517461</v>
      </c>
      <c r="M593" s="15" t="n">
        <f aca="false">L593*(1+IF(M$3&lt;=$O$2,$D593,$D593-($D593-$I$589)*MIN(M$3-$O$2,$Q$2)/$Q$2))</f>
        <v>10405.7051818465</v>
      </c>
      <c r="N593" s="15" t="n">
        <f aca="false">M593*(1+IF(N$3&lt;=$O$2,$D593,$D593-($D593-$I$589)*MIN(N$3-$O$2,$Q$2)/$Q$2))</f>
        <v>10596.1295866743</v>
      </c>
      <c r="O593" s="15" t="n">
        <f aca="false">SUMPRODUCT(E593:N593,1/(1+$F$589)^$E$3:$N$3)*$E$2</f>
        <v>17677.885501199</v>
      </c>
      <c r="P593" s="15" t="n">
        <f aca="false">N593*$E$2*(1+$I$589)/($F$589-$I$589)/(1+$F$589)^$N$3</f>
        <v>19731.7869508413</v>
      </c>
      <c r="Q593" s="15" t="n">
        <f aca="false">O593+P593</f>
        <v>37409.6724520403</v>
      </c>
      <c r="R593" s="15" t="n">
        <f aca="false">Q593-$G$2+$I$2</f>
        <v>30064.4724520403</v>
      </c>
      <c r="S593" s="42" t="n">
        <f aca="false">R593/$K$2</f>
        <v>128.124749422716</v>
      </c>
      <c r="T593" s="43" t="n">
        <f aca="false">S593-$M$2</f>
        <v>47.1104728405722</v>
      </c>
    </row>
    <row r="594" customFormat="false" ht="15" hidden="false" customHeight="false" outlineLevel="0" collapsed="false">
      <c r="A594" s="5" t="n">
        <v>4</v>
      </c>
      <c r="B594" s="25" t="n">
        <f aca="false">IF(T593&gt;0,B593,D593)</f>
        <v>-0.125</v>
      </c>
      <c r="C594" s="25" t="n">
        <f aca="false">IF(T593&gt;0,D593,C593)</f>
        <v>0.0625</v>
      </c>
      <c r="D594" s="41" t="n">
        <f aca="false">(B594+C594)/2</f>
        <v>-0.03125</v>
      </c>
      <c r="E594" s="15" t="n">
        <f aca="false">$C$2*(1+IF(E$3&lt;=$O$2,$D594,$D594-($D594-$I$589)*MIN(E$3-$O$2,$Q$2)/$Q$2))</f>
        <v>6355</v>
      </c>
      <c r="F594" s="15" t="n">
        <f aca="false">E594*(1+IF(F$3&lt;=$O$2,$D594,$D594-($D594-$I$589)*MIN(F$3-$O$2,$Q$2)/$Q$2))</f>
        <v>6156.40625</v>
      </c>
      <c r="G594" s="15" t="n">
        <f aca="false">F594*(1+IF(G$3&lt;=$O$2,$D594,$D594-($D594-$I$589)*MIN(G$3-$O$2,$Q$2)/$Q$2))</f>
        <v>5964.0185546875</v>
      </c>
      <c r="H594" s="15" t="n">
        <f aca="false">G594*(1+IF(H$3&lt;=$O$2,$D594,$D594-($D594-$I$589)*MIN(H$3-$O$2,$Q$2)/$Q$2))</f>
        <v>5777.64297485352</v>
      </c>
      <c r="I594" s="15" t="n">
        <f aca="false">H594*(1+IF(I$3&lt;=$O$2,$D594,$D594-($D594-$I$589)*MIN(I$3-$O$2,$Q$2)/$Q$2))</f>
        <v>5597.09163188934</v>
      </c>
      <c r="J594" s="15" t="n">
        <f aca="false">I594*(1+IF(J$3&lt;=$O$2,$D594,$D594-($D594-$I$589)*MIN(J$3-$O$2,$Q$2)/$Q$2))</f>
        <v>5477.64969646483</v>
      </c>
      <c r="K594" s="15" t="n">
        <f aca="false">J594*(1+IF(K$3&lt;=$O$2,$D594,$D594-($D594-$I$589)*MIN(K$3-$O$2,$Q$2)/$Q$2))</f>
        <v>5415.04016043423</v>
      </c>
      <c r="L594" s="15" t="n">
        <f aca="false">K594*(1+IF(L$3&lt;=$O$2,$D594,$D594-($D594-$I$589)*MIN(L$3-$O$2,$Q$2)/$Q$2))</f>
        <v>5406.80929939037</v>
      </c>
      <c r="M594" s="15" t="n">
        <f aca="false">L594*(1+IF(M$3&lt;=$O$2,$D594,$D594-($D594-$I$589)*MIN(M$3-$O$2,$Q$2)/$Q$2))</f>
        <v>5452.17242941226</v>
      </c>
      <c r="N594" s="15" t="n">
        <f aca="false">M594*(1+IF(N$3&lt;=$O$2,$D594,$D594-($D594-$I$589)*MIN(N$3-$O$2,$Q$2)/$Q$2))</f>
        <v>5551.9471848705</v>
      </c>
      <c r="O594" s="15" t="n">
        <f aca="false">SUMPRODUCT(E594:N594,1/(1+$F$589)^$E$3:$N$3)*$E$2</f>
        <v>11800.4582099841</v>
      </c>
      <c r="P594" s="15" t="n">
        <f aca="false">N594*$E$2*(1+$I$589)/($F$589-$I$589)/(1+$F$589)^$N$3</f>
        <v>10338.6654644124</v>
      </c>
      <c r="Q594" s="15" t="n">
        <f aca="false">O594+P594</f>
        <v>22139.1236743965</v>
      </c>
      <c r="R594" s="15" t="n">
        <f aca="false">Q594-$G$2+$I$2</f>
        <v>14793.9236743965</v>
      </c>
      <c r="S594" s="42" t="n">
        <f aca="false">R594/$K$2</f>
        <v>63.0467661384891</v>
      </c>
      <c r="T594" s="43" t="n">
        <f aca="false">S594-$M$2</f>
        <v>-17.9675104436545</v>
      </c>
    </row>
    <row r="595" customFormat="false" ht="15" hidden="false" customHeight="false" outlineLevel="0" collapsed="false">
      <c r="A595" s="5" t="n">
        <v>5</v>
      </c>
      <c r="B595" s="25" t="n">
        <f aca="false">IF(T594&gt;0,B594,D594)</f>
        <v>-0.03125</v>
      </c>
      <c r="C595" s="25" t="n">
        <f aca="false">IF(T594&gt;0,D594,C594)</f>
        <v>0.0625</v>
      </c>
      <c r="D595" s="41" t="n">
        <f aca="false">(B595+C595)/2</f>
        <v>0.015625</v>
      </c>
      <c r="E595" s="15" t="n">
        <f aca="false">$C$2*(1+IF(E$3&lt;=$O$2,$D595,$D595-($D595-$I$589)*MIN(E$3-$O$2,$Q$2)/$Q$2))</f>
        <v>6662.5</v>
      </c>
      <c r="F595" s="15" t="n">
        <f aca="false">E595*(1+IF(F$3&lt;=$O$2,$D595,$D595-($D595-$I$589)*MIN(F$3-$O$2,$Q$2)/$Q$2))</f>
        <v>6766.6015625</v>
      </c>
      <c r="G595" s="15" t="n">
        <f aca="false">F595*(1+IF(G$3&lt;=$O$2,$D595,$D595-($D595-$I$589)*MIN(G$3-$O$2,$Q$2)/$Q$2))</f>
        <v>6872.32971191406</v>
      </c>
      <c r="H595" s="15" t="n">
        <f aca="false">G595*(1+IF(H$3&lt;=$O$2,$D595,$D595-($D595-$I$589)*MIN(H$3-$O$2,$Q$2)/$Q$2))</f>
        <v>6979.70986366272</v>
      </c>
      <c r="I595" s="15" t="n">
        <f aca="false">H595*(1+IF(I$3&lt;=$O$2,$D595,$D595-($D595-$I$589)*MIN(I$3-$O$2,$Q$2)/$Q$2))</f>
        <v>7088.76783028245</v>
      </c>
      <c r="J595" s="15" t="n">
        <f aca="false">I595*(1+IF(J$3&lt;=$O$2,$D595,$D595-($D595-$I$589)*MIN(J$3-$O$2,$Q$2)/$Q$2))</f>
        <v>7203.32231841981</v>
      </c>
      <c r="K595" s="15" t="n">
        <f aca="false">J595*(1+IF(K$3&lt;=$O$2,$D595,$D595-($D595-$I$589)*MIN(K$3-$O$2,$Q$2)/$Q$2))</f>
        <v>7323.58178452583</v>
      </c>
      <c r="L595" s="15" t="n">
        <f aca="false">K595*(1+IF(L$3&lt;=$O$2,$D595,$D595-($D595-$I$589)*MIN(L$3-$O$2,$Q$2)/$Q$2))</f>
        <v>7449.76709867321</v>
      </c>
      <c r="M595" s="15" t="n">
        <f aca="false">L595*(1+IF(M$3&lt;=$O$2,$D595,$D595-($D595-$I$589)*MIN(M$3-$O$2,$Q$2)/$Q$2))</f>
        <v>7582.11221118114</v>
      </c>
      <c r="N595" s="15" t="n">
        <f aca="false">M595*(1+IF(N$3&lt;=$O$2,$D595,$D595-($D595-$I$589)*MIN(N$3-$O$2,$Q$2)/$Q$2))</f>
        <v>7720.86486464576</v>
      </c>
      <c r="O595" s="15" t="n">
        <f aca="false">SUMPRODUCT(E595:N595,1/(1+$F$589)^$E$3:$N$3)*$E$2</f>
        <v>14436.8720503983</v>
      </c>
      <c r="P595" s="15" t="n">
        <f aca="false">N595*$E$2*(1+$I$589)/($F$589-$I$589)/(1+$F$589)^$N$3</f>
        <v>14377.5573278207</v>
      </c>
      <c r="Q595" s="15" t="n">
        <f aca="false">O595+P595</f>
        <v>28814.429378219</v>
      </c>
      <c r="R595" s="15" t="n">
        <f aca="false">Q595-$G$2+$I$2</f>
        <v>21469.229378219</v>
      </c>
      <c r="S595" s="42" t="n">
        <f aca="false">R595/$K$2</f>
        <v>91.4946915756188</v>
      </c>
      <c r="T595" s="43" t="n">
        <f aca="false">S595-$M$2</f>
        <v>10.4804149934752</v>
      </c>
    </row>
    <row r="596" customFormat="false" ht="15" hidden="false" customHeight="false" outlineLevel="0" collapsed="false">
      <c r="A596" s="5" t="n">
        <v>6</v>
      </c>
      <c r="B596" s="25" t="n">
        <f aca="false">IF(T595&gt;0,B595,D595)</f>
        <v>-0.03125</v>
      </c>
      <c r="C596" s="25" t="n">
        <f aca="false">IF(T595&gt;0,D595,C595)</f>
        <v>0.015625</v>
      </c>
      <c r="D596" s="41" t="n">
        <f aca="false">(B596+C596)/2</f>
        <v>-0.0078125</v>
      </c>
      <c r="E596" s="15" t="n">
        <f aca="false">$C$2*(1+IF(E$3&lt;=$O$2,$D596,$D596-($D596-$I$589)*MIN(E$3-$O$2,$Q$2)/$Q$2))</f>
        <v>6508.75</v>
      </c>
      <c r="F596" s="15" t="n">
        <f aca="false">E596*(1+IF(F$3&lt;=$O$2,$D596,$D596-($D596-$I$589)*MIN(F$3-$O$2,$Q$2)/$Q$2))</f>
        <v>6457.900390625</v>
      </c>
      <c r="G596" s="15" t="n">
        <f aca="false">F596*(1+IF(G$3&lt;=$O$2,$D596,$D596-($D596-$I$589)*MIN(G$3-$O$2,$Q$2)/$Q$2))</f>
        <v>6407.44804382324</v>
      </c>
      <c r="H596" s="15" t="n">
        <f aca="false">G596*(1+IF(H$3&lt;=$O$2,$D596,$D596-($D596-$I$589)*MIN(H$3-$O$2,$Q$2)/$Q$2))</f>
        <v>6357.38985598087</v>
      </c>
      <c r="I596" s="15" t="n">
        <f aca="false">H596*(1+IF(I$3&lt;=$O$2,$D596,$D596-($D596-$I$589)*MIN(I$3-$O$2,$Q$2)/$Q$2))</f>
        <v>6307.72274773102</v>
      </c>
      <c r="J596" s="15" t="n">
        <f aca="false">I596*(1+IF(J$3&lt;=$O$2,$D596,$D596-($D596-$I$589)*MIN(J$3-$O$2,$Q$2)/$Q$2))</f>
        <v>6291.3857458144</v>
      </c>
      <c r="K596" s="15" t="n">
        <f aca="false">J596*(1+IF(K$3&lt;=$O$2,$D596,$D596-($D596-$I$589)*MIN(K$3-$O$2,$Q$2)/$Q$2))</f>
        <v>6307.94781879026</v>
      </c>
      <c r="L596" s="15" t="n">
        <f aca="false">K596*(1+IF(L$3&lt;=$O$2,$D596,$D596-($D596-$I$589)*MIN(L$3-$O$2,$Q$2)/$Q$2))</f>
        <v>6357.49674890685</v>
      </c>
      <c r="M596" s="15" t="n">
        <f aca="false">L596*(1+IF(M$3&lt;=$O$2,$D596,$D596-($D596-$I$589)*MIN(M$3-$O$2,$Q$2)/$Q$2))</f>
        <v>6440.63691264068</v>
      </c>
      <c r="N596" s="15" t="n">
        <f aca="false">M596*(1+IF(N$3&lt;=$O$2,$D596,$D596-($D596-$I$589)*MIN(N$3-$O$2,$Q$2)/$Q$2))</f>
        <v>6558.50056814201</v>
      </c>
      <c r="O596" s="15" t="n">
        <f aca="false">SUMPRODUCT(E596:N596,1/(1+$F$589)^$E$3:$N$3)*$E$2</f>
        <v>13050.3102761951</v>
      </c>
      <c r="P596" s="15" t="n">
        <f aca="false">N596*$E$2*(1+$I$589)/($F$589-$I$589)/(1+$F$589)^$N$3</f>
        <v>12213.0382484466</v>
      </c>
      <c r="Q596" s="15" t="n">
        <f aca="false">O596+P596</f>
        <v>25263.3485246417</v>
      </c>
      <c r="R596" s="15" t="n">
        <f aca="false">Q596-$G$2+$I$2</f>
        <v>17918.1485246417</v>
      </c>
      <c r="S596" s="42" t="n">
        <f aca="false">R596/$K$2</f>
        <v>76.3611699324172</v>
      </c>
      <c r="T596" s="43" t="n">
        <f aca="false">S596-$M$2</f>
        <v>-4.65310664972647</v>
      </c>
    </row>
    <row r="597" customFormat="false" ht="15" hidden="false" customHeight="false" outlineLevel="0" collapsed="false">
      <c r="A597" s="5" t="n">
        <v>7</v>
      </c>
      <c r="B597" s="25" t="n">
        <f aca="false">IF(T596&gt;0,B596,D596)</f>
        <v>-0.0078125</v>
      </c>
      <c r="C597" s="25" t="n">
        <f aca="false">IF(T596&gt;0,D596,C596)</f>
        <v>0.015625</v>
      </c>
      <c r="D597" s="41" t="n">
        <f aca="false">(B597+C597)/2</f>
        <v>0.00390625</v>
      </c>
      <c r="E597" s="15" t="n">
        <f aca="false">$C$2*(1+IF(E$3&lt;=$O$2,$D597,$D597-($D597-$I$589)*MIN(E$3-$O$2,$Q$2)/$Q$2))</f>
        <v>6585.625</v>
      </c>
      <c r="F597" s="15" t="n">
        <f aca="false">E597*(1+IF(F$3&lt;=$O$2,$D597,$D597-($D597-$I$589)*MIN(F$3-$O$2,$Q$2)/$Q$2))</f>
        <v>6611.35009765625</v>
      </c>
      <c r="G597" s="15" t="n">
        <f aca="false">F597*(1+IF(G$3&lt;=$O$2,$D597,$D597-($D597-$I$589)*MIN(G$3-$O$2,$Q$2)/$Q$2))</f>
        <v>6637.17568397522</v>
      </c>
      <c r="H597" s="15" t="n">
        <f aca="false">G597*(1+IF(H$3&lt;=$O$2,$D597,$D597-($D597-$I$589)*MIN(H$3-$O$2,$Q$2)/$Q$2))</f>
        <v>6663.10215149075</v>
      </c>
      <c r="I597" s="15" t="n">
        <f aca="false">H597*(1+IF(I$3&lt;=$O$2,$D597,$D597-($D597-$I$589)*MIN(I$3-$O$2,$Q$2)/$Q$2))</f>
        <v>6689.12989427001</v>
      </c>
      <c r="J597" s="15" t="n">
        <f aca="false">I597*(1+IF(J$3&lt;=$O$2,$D597,$D597-($D597-$I$589)*MIN(J$3-$O$2,$Q$2)/$Q$2))</f>
        <v>6734.51564060263</v>
      </c>
      <c r="K597" s="15" t="n">
        <f aca="false">J597*(1+IF(K$3&lt;=$O$2,$D597,$D597-($D597-$I$589)*MIN(K$3-$O$2,$Q$2)/$Q$2))</f>
        <v>6799.59631612451</v>
      </c>
      <c r="L597" s="15" t="n">
        <f aca="false">K597*(1+IF(L$3&lt;=$O$2,$D597,$D597-($D597-$I$589)*MIN(L$3-$O$2,$Q$2)/$Q$2))</f>
        <v>6884.8802529195</v>
      </c>
      <c r="M597" s="15" t="n">
        <f aca="false">L597*(1+IF(M$3&lt;=$O$2,$D597,$D597-($D597-$I$589)*MIN(M$3-$O$2,$Q$2)/$Q$2))</f>
        <v>6991.05371251983</v>
      </c>
      <c r="N597" s="15" t="n">
        <f aca="false">M597*(1+IF(N$3&lt;=$O$2,$D597,$D597-($D597-$I$589)*MIN(N$3-$O$2,$Q$2)/$Q$2))</f>
        <v>7118.98999545894</v>
      </c>
      <c r="O597" s="15" t="n">
        <f aca="false">SUMPRODUCT(E597:N597,1/(1+$F$589)^$E$3:$N$3)*$E$2</f>
        <v>13725.6480705148</v>
      </c>
      <c r="P597" s="15" t="n">
        <f aca="false">N597*$E$2*(1+$I$589)/($F$589-$I$589)/(1+$F$589)^$N$3</f>
        <v>13256.7644389912</v>
      </c>
      <c r="Q597" s="15" t="n">
        <f aca="false">O597+P597</f>
        <v>26982.412509506</v>
      </c>
      <c r="R597" s="15" t="n">
        <f aca="false">Q597-$G$2+$I$2</f>
        <v>19637.212509506</v>
      </c>
      <c r="S597" s="42" t="n">
        <f aca="false">R597/$K$2</f>
        <v>83.6872470040743</v>
      </c>
      <c r="T597" s="43" t="n">
        <f aca="false">S597-$M$2</f>
        <v>2.67297042193066</v>
      </c>
    </row>
    <row r="598" customFormat="false" ht="15" hidden="false" customHeight="false" outlineLevel="0" collapsed="false">
      <c r="A598" s="5" t="n">
        <v>8</v>
      </c>
      <c r="B598" s="25" t="n">
        <f aca="false">IF(T597&gt;0,B597,D597)</f>
        <v>-0.0078125</v>
      </c>
      <c r="C598" s="25" t="n">
        <f aca="false">IF(T597&gt;0,D597,C597)</f>
        <v>0.00390625</v>
      </c>
      <c r="D598" s="41" t="n">
        <f aca="false">(B598+C598)/2</f>
        <v>-0.001953125</v>
      </c>
      <c r="E598" s="15" t="n">
        <f aca="false">$C$2*(1+IF(E$3&lt;=$O$2,$D598,$D598-($D598-$I$589)*MIN(E$3-$O$2,$Q$2)/$Q$2))</f>
        <v>6547.1875</v>
      </c>
      <c r="F598" s="15" t="n">
        <f aca="false">E598*(1+IF(F$3&lt;=$O$2,$D598,$D598-($D598-$I$589)*MIN(F$3-$O$2,$Q$2)/$Q$2))</f>
        <v>6534.40002441406</v>
      </c>
      <c r="G598" s="15" t="n">
        <f aca="false">F598*(1+IF(G$3&lt;=$O$2,$D598,$D598-($D598-$I$589)*MIN(G$3-$O$2,$Q$2)/$Q$2))</f>
        <v>6521.63752436638</v>
      </c>
      <c r="H598" s="15" t="n">
        <f aca="false">G598*(1+IF(H$3&lt;=$O$2,$D598,$D598-($D598-$I$589)*MIN(H$3-$O$2,$Q$2)/$Q$2))</f>
        <v>6508.8999510766</v>
      </c>
      <c r="I598" s="15" t="n">
        <f aca="false">H598*(1+IF(I$3&lt;=$O$2,$D598,$D598-($D598-$I$589)*MIN(I$3-$O$2,$Q$2)/$Q$2))</f>
        <v>6496.18725585965</v>
      </c>
      <c r="J598" s="15" t="n">
        <f aca="false">I598*(1+IF(J$3&lt;=$O$2,$D598,$D598-($D598-$I$589)*MIN(J$3-$O$2,$Q$2)/$Q$2))</f>
        <v>6509.81300862882</v>
      </c>
      <c r="K598" s="15" t="n">
        <f aca="false">J598*(1+IF(K$3&lt;=$O$2,$D598,$D598-($D598-$I$589)*MIN(K$3-$O$2,$Q$2)/$Q$2))</f>
        <v>6549.8361527325</v>
      </c>
      <c r="L598" s="15" t="n">
        <f aca="false">K598*(1+IF(L$3&lt;=$O$2,$D598,$D598-($D598-$I$589)*MIN(L$3-$O$2,$Q$2)/$Q$2))</f>
        <v>6616.63629419518</v>
      </c>
      <c r="M598" s="15" t="n">
        <f aca="false">L598*(1+IF(M$3&lt;=$O$2,$D598,$D598-($D598-$I$589)*MIN(M$3-$O$2,$Q$2)/$Q$2))</f>
        <v>6710.91922598977</v>
      </c>
      <c r="N598" s="15" t="n">
        <f aca="false">M598*(1+IF(N$3&lt;=$O$2,$D598,$D598-($D598-$I$589)*MIN(N$3-$O$2,$Q$2)/$Q$2))</f>
        <v>6833.72904782539</v>
      </c>
      <c r="O598" s="15" t="n">
        <f aca="false">SUMPRODUCT(E598:N598,1/(1+$F$589)^$E$3:$N$3)*$E$2</f>
        <v>13383.6030890955</v>
      </c>
      <c r="P598" s="15" t="n">
        <f aca="false">N598*$E$2*(1+$I$589)/($F$589-$I$589)/(1+$F$589)^$N$3</f>
        <v>12725.560266934</v>
      </c>
      <c r="Q598" s="15" t="n">
        <f aca="false">O598+P598</f>
        <v>26109.1633560294</v>
      </c>
      <c r="R598" s="15" t="n">
        <f aca="false">Q598-$G$2+$I$2</f>
        <v>18763.9633560294</v>
      </c>
      <c r="S598" s="42" t="n">
        <f aca="false">R598/$K$2</f>
        <v>79.965750505133</v>
      </c>
      <c r="T598" s="43" t="n">
        <f aca="false">S598-$M$2</f>
        <v>-1.04852607701068</v>
      </c>
    </row>
    <row r="599" customFormat="false" ht="15" hidden="false" customHeight="false" outlineLevel="0" collapsed="false">
      <c r="A599" s="5" t="n">
        <v>9</v>
      </c>
      <c r="B599" s="25" t="n">
        <f aca="false">IF(T598&gt;0,B598,D598)</f>
        <v>-0.001953125</v>
      </c>
      <c r="C599" s="25" t="n">
        <f aca="false">IF(T598&gt;0,D598,C598)</f>
        <v>0.00390625</v>
      </c>
      <c r="D599" s="41" t="n">
        <f aca="false">(B599+C599)/2</f>
        <v>0.0009765625</v>
      </c>
      <c r="E599" s="15" t="n">
        <f aca="false">$C$2*(1+IF(E$3&lt;=$O$2,$D599,$D599-($D599-$I$589)*MIN(E$3-$O$2,$Q$2)/$Q$2))</f>
        <v>6566.40625</v>
      </c>
      <c r="F599" s="15" t="n">
        <f aca="false">E599*(1+IF(F$3&lt;=$O$2,$D599,$D599-($D599-$I$589)*MIN(F$3-$O$2,$Q$2)/$Q$2))</f>
        <v>6572.81875610352</v>
      </c>
      <c r="G599" s="15" t="n">
        <f aca="false">F599*(1+IF(G$3&lt;=$O$2,$D599,$D599-($D599-$I$589)*MIN(G$3-$O$2,$Q$2)/$Q$2))</f>
        <v>6579.23752442002</v>
      </c>
      <c r="H599" s="15" t="n">
        <f aca="false">G599*(1+IF(H$3&lt;=$O$2,$D599,$D599-($D599-$I$589)*MIN(H$3-$O$2,$Q$2)/$Q$2))</f>
        <v>6585.66256106496</v>
      </c>
      <c r="I599" s="15" t="n">
        <f aca="false">H599*(1+IF(I$3&lt;=$O$2,$D599,$D599-($D599-$I$589)*MIN(I$3-$O$2,$Q$2)/$Q$2))</f>
        <v>6592.09387215975</v>
      </c>
      <c r="J599" s="15" t="n">
        <f aca="false">I599*(1+IF(J$3&lt;=$O$2,$D599,$D599-($D599-$I$589)*MIN(J$3-$O$2,$Q$2)/$Q$2))</f>
        <v>6621.37100906948</v>
      </c>
      <c r="K599" s="15" t="n">
        <f aca="false">J599*(1+IF(K$3&lt;=$O$2,$D599,$D599-($D599-$I$589)*MIN(K$3-$O$2,$Q$2)/$Q$2))</f>
        <v>6673.7191544315</v>
      </c>
      <c r="L599" s="15" t="n">
        <f aca="false">K599*(1+IF(L$3&lt;=$O$2,$D599,$D599-($D599-$I$589)*MIN(L$3-$O$2,$Q$2)/$Q$2))</f>
        <v>6749.60351229186</v>
      </c>
      <c r="M599" s="15" t="n">
        <f aca="false">L599*(1+IF(M$3&lt;=$O$2,$D599,$D599-($D599-$I$589)*MIN(M$3-$O$2,$Q$2)/$Q$2))</f>
        <v>6849.7359896478</v>
      </c>
      <c r="N599" s="15" t="n">
        <f aca="false">M599*(1+IF(N$3&lt;=$O$2,$D599,$D599-($D599-$I$589)*MIN(N$3-$O$2,$Q$2)/$Q$2))</f>
        <v>6975.08615825836</v>
      </c>
      <c r="O599" s="15" t="n">
        <f aca="false">SUMPRODUCT(E599:N599,1/(1+$F$589)^$E$3:$N$3)*$E$2</f>
        <v>13553.5180319047</v>
      </c>
      <c r="P599" s="15" t="n">
        <f aca="false">N599*$E$2*(1+$I$589)/($F$589-$I$589)/(1+$F$589)^$N$3</f>
        <v>12988.7911347933</v>
      </c>
      <c r="Q599" s="15" t="n">
        <f aca="false">O599+P599</f>
        <v>26542.309166698</v>
      </c>
      <c r="R599" s="15" t="n">
        <f aca="false">Q599-$G$2+$I$2</f>
        <v>19197.109166698</v>
      </c>
      <c r="S599" s="42" t="n">
        <f aca="false">R599/$K$2</f>
        <v>81.8116734144387</v>
      </c>
      <c r="T599" s="43" t="n">
        <f aca="false">S599-$M$2</f>
        <v>0.797396832295036</v>
      </c>
    </row>
    <row r="600" customFormat="false" ht="15" hidden="false" customHeight="false" outlineLevel="0" collapsed="false">
      <c r="A600" s="5" t="n">
        <v>10</v>
      </c>
      <c r="B600" s="25" t="n">
        <f aca="false">IF(T599&gt;0,B599,D599)</f>
        <v>-0.001953125</v>
      </c>
      <c r="C600" s="25" t="n">
        <f aca="false">IF(T599&gt;0,D599,C599)</f>
        <v>0.0009765625</v>
      </c>
      <c r="D600" s="41" t="n">
        <f aca="false">(B600+C600)/2</f>
        <v>-0.00048828125</v>
      </c>
      <c r="E600" s="15" t="n">
        <f aca="false">$C$2*(1+IF(E$3&lt;=$O$2,$D600,$D600-($D600-$I$589)*MIN(E$3-$O$2,$Q$2)/$Q$2))</f>
        <v>6556.796875</v>
      </c>
      <c r="F600" s="15" t="n">
        <f aca="false">E600*(1+IF(F$3&lt;=$O$2,$D600,$D600-($D600-$I$589)*MIN(F$3-$O$2,$Q$2)/$Q$2))</f>
        <v>6553.59531402588</v>
      </c>
      <c r="G600" s="15" t="n">
        <f aca="false">F600*(1+IF(G$3&lt;=$O$2,$D600,$D600-($D600-$I$589)*MIN(G$3-$O$2,$Q$2)/$Q$2))</f>
        <v>6550.39531631395</v>
      </c>
      <c r="H600" s="15" t="n">
        <f aca="false">G600*(1+IF(H$3&lt;=$O$2,$D600,$D600-($D600-$I$589)*MIN(H$3-$O$2,$Q$2)/$Q$2))</f>
        <v>6547.19688110091</v>
      </c>
      <c r="I600" s="15" t="n">
        <f aca="false">H600*(1+IF(I$3&lt;=$O$2,$D600,$D600-($D600-$I$589)*MIN(I$3-$O$2,$Q$2)/$Q$2))</f>
        <v>6544.00000762381</v>
      </c>
      <c r="J600" s="15" t="n">
        <f aca="false">I600*(1+IF(J$3&lt;=$O$2,$D600,$D600-($D600-$I$589)*MIN(J$3-$O$2,$Q$2)/$Q$2))</f>
        <v>6565.39479764873</v>
      </c>
      <c r="K600" s="15" t="n">
        <f aca="false">J600*(1+IF(K$3&lt;=$O$2,$D600,$D600-($D600-$I$589)*MIN(K$3-$O$2,$Q$2)/$Q$2))</f>
        <v>6611.5300320604</v>
      </c>
      <c r="L600" s="15" t="n">
        <f aca="false">K600*(1+IF(L$3&lt;=$O$2,$D600,$D600-($D600-$I$589)*MIN(L$3-$O$2,$Q$2)/$Q$2))</f>
        <v>6682.83331735303</v>
      </c>
      <c r="M600" s="15" t="n">
        <f aca="false">L600*(1+IF(M$3&lt;=$O$2,$D600,$D600-($D600-$I$589)*MIN(M$3-$O$2,$Q$2)/$Q$2))</f>
        <v>6780.01737667793</v>
      </c>
      <c r="N600" s="15" t="n">
        <f aca="false">M600*(1+IF(N$3&lt;=$O$2,$D600,$D600-($D600-$I$589)*MIN(N$3-$O$2,$Q$2)/$Q$2))</f>
        <v>6904.09169467114</v>
      </c>
      <c r="O600" s="15" t="n">
        <f aca="false">SUMPRODUCT(E600:N600,1/(1+$F$589)^$E$3:$N$3)*$E$2</f>
        <v>13468.2853757844</v>
      </c>
      <c r="P600" s="15" t="n">
        <f aca="false">N600*$E$2*(1+$I$589)/($F$589-$I$589)/(1+$F$589)^$N$3</f>
        <v>12856.5874260019</v>
      </c>
      <c r="Q600" s="15" t="n">
        <f aca="false">O600+P600</f>
        <v>26324.8728017863</v>
      </c>
      <c r="R600" s="15" t="n">
        <f aca="false">Q600-$G$2+$I$2</f>
        <v>18979.6728017863</v>
      </c>
      <c r="S600" s="42" t="n">
        <f aca="false">R600/$K$2</f>
        <v>80.8850321831934</v>
      </c>
      <c r="T600" s="43" t="n">
        <f aca="false">S600-$M$2</f>
        <v>-0.129244398950249</v>
      </c>
    </row>
    <row r="601" customFormat="false" ht="15" hidden="false" customHeight="false" outlineLevel="0" collapsed="false">
      <c r="A601" s="5" t="n">
        <v>11</v>
      </c>
      <c r="B601" s="25" t="n">
        <f aca="false">IF(T600&gt;0,B600,D600)</f>
        <v>-0.00048828125</v>
      </c>
      <c r="C601" s="25" t="n">
        <f aca="false">IF(T600&gt;0,D600,C600)</f>
        <v>0.0009765625</v>
      </c>
      <c r="D601" s="41" t="n">
        <f aca="false">(B601+C601)/2</f>
        <v>0.000244140625</v>
      </c>
      <c r="E601" s="15" t="n">
        <f aca="false">$C$2*(1+IF(E$3&lt;=$O$2,$D601,$D601-($D601-$I$589)*MIN(E$3-$O$2,$Q$2)/$Q$2))</f>
        <v>6561.6015625</v>
      </c>
      <c r="F601" s="15" t="n">
        <f aca="false">E601*(1+IF(F$3&lt;=$O$2,$D601,$D601-($D601-$I$589)*MIN(F$3-$O$2,$Q$2)/$Q$2))</f>
        <v>6563.20351600647</v>
      </c>
      <c r="G601" s="15" t="n">
        <f aca="false">F601*(1+IF(G$3&lt;=$O$2,$D601,$D601-($D601-$I$589)*MIN(G$3-$O$2,$Q$2)/$Q$2))</f>
        <v>6564.80586061487</v>
      </c>
      <c r="H601" s="15" t="n">
        <f aca="false">G601*(1+IF(H$3&lt;=$O$2,$D601,$D601-($D601-$I$589)*MIN(H$3-$O$2,$Q$2)/$Q$2))</f>
        <v>6566.40859642068</v>
      </c>
      <c r="I601" s="15" t="n">
        <f aca="false">H601*(1+IF(I$3&lt;=$O$2,$D601,$D601-($D601-$I$589)*MIN(I$3-$O$2,$Q$2)/$Q$2))</f>
        <v>6568.01172351942</v>
      </c>
      <c r="J601" s="15" t="n">
        <f aca="false">I601*(1+IF(J$3&lt;=$O$2,$D601,$D601-($D601-$I$589)*MIN(J$3-$O$2,$Q$2)/$Q$2))</f>
        <v>6593.33346121725</v>
      </c>
      <c r="K601" s="15" t="n">
        <f aca="false">J601*(1+IF(K$3&lt;=$O$2,$D601,$D601-($D601-$I$589)*MIN(K$3-$O$2,$Q$2)/$Q$2))</f>
        <v>6642.5624824846</v>
      </c>
      <c r="L601" s="15" t="n">
        <f aca="false">K601*(1+IF(L$3&lt;=$O$2,$D601,$D601-($D601-$I$589)*MIN(L$3-$O$2,$Q$2)/$Q$2))</f>
        <v>6716.14650628471</v>
      </c>
      <c r="M601" s="15" t="n">
        <f aca="false">L601*(1+IF(M$3&lt;=$O$2,$D601,$D601-($D601-$I$589)*MIN(M$3-$O$2,$Q$2)/$Q$2))</f>
        <v>6814.79882797784</v>
      </c>
      <c r="N601" s="15" t="n">
        <f aca="false">M601*(1+IF(N$3&lt;=$O$2,$D601,$D601-($D601-$I$589)*MIN(N$3-$O$2,$Q$2)/$Q$2))</f>
        <v>6939.50964652984</v>
      </c>
      <c r="O601" s="15" t="n">
        <f aca="false">SUMPRODUCT(E601:N601,1/(1+$F$589)^$E$3:$N$3)*$E$2</f>
        <v>13510.8326955995</v>
      </c>
      <c r="P601" s="15" t="n">
        <f aca="false">N601*$E$2*(1+$I$589)/($F$589-$I$589)/(1+$F$589)^$N$3</f>
        <v>12922.5416477387</v>
      </c>
      <c r="Q601" s="15" t="n">
        <f aca="false">O601+P601</f>
        <v>26433.3743433382</v>
      </c>
      <c r="R601" s="15" t="n">
        <f aca="false">Q601-$G$2+$I$2</f>
        <v>19088.1743433382</v>
      </c>
      <c r="S601" s="42" t="n">
        <f aca="false">R601/$K$2</f>
        <v>81.3474295475739</v>
      </c>
      <c r="T601" s="43" t="n">
        <f aca="false">S601-$M$2</f>
        <v>0.333152965430259</v>
      </c>
    </row>
    <row r="602" customFormat="false" ht="15" hidden="false" customHeight="false" outlineLevel="0" collapsed="false">
      <c r="A602" s="5" t="n">
        <v>12</v>
      </c>
      <c r="B602" s="25" t="n">
        <f aca="false">IF(T601&gt;0,B601,D601)</f>
        <v>-0.00048828125</v>
      </c>
      <c r="C602" s="25" t="n">
        <f aca="false">IF(T601&gt;0,D601,C601)</f>
        <v>0.000244140625</v>
      </c>
      <c r="D602" s="41" t="n">
        <f aca="false">(B602+C602)/2</f>
        <v>-0.0001220703125</v>
      </c>
      <c r="E602" s="15" t="n">
        <f aca="false">$C$2*(1+IF(E$3&lt;=$O$2,$D602,$D602-($D602-$I$589)*MIN(E$3-$O$2,$Q$2)/$Q$2))</f>
        <v>6559.19921875</v>
      </c>
      <c r="F602" s="15" t="n">
        <f aca="false">E602*(1+IF(F$3&lt;=$O$2,$D602,$D602-($D602-$I$589)*MIN(F$3-$O$2,$Q$2)/$Q$2))</f>
        <v>6558.39853525162</v>
      </c>
      <c r="G602" s="15" t="n">
        <f aca="false">F602*(1+IF(G$3&lt;=$O$2,$D602,$D602-($D602-$I$589)*MIN(G$3-$O$2,$Q$2)/$Q$2))</f>
        <v>6557.59794949292</v>
      </c>
      <c r="H602" s="15" t="n">
        <f aca="false">G602*(1+IF(H$3&lt;=$O$2,$D602,$D602-($D602-$I$589)*MIN(H$3-$O$2,$Q$2)/$Q$2))</f>
        <v>6556.79746146198</v>
      </c>
      <c r="I602" s="15" t="n">
        <f aca="false">H602*(1+IF(I$3&lt;=$O$2,$D602,$D602-($D602-$I$589)*MIN(I$3-$O$2,$Q$2)/$Q$2))</f>
        <v>6555.99707114686</v>
      </c>
      <c r="J602" s="15" t="n">
        <f aca="false">I602*(1+IF(J$3&lt;=$O$2,$D602,$D602-($D602-$I$589)*MIN(J$3-$O$2,$Q$2)/$Q$2))</f>
        <v>6579.35178633828</v>
      </c>
      <c r="K602" s="15" t="n">
        <f aca="false">J602*(1+IF(K$3&lt;=$O$2,$D602,$D602-($D602-$I$589)*MIN(K$3-$O$2,$Q$2)/$Q$2))</f>
        <v>6627.03075529711</v>
      </c>
      <c r="L602" s="15" t="n">
        <f aca="false">K602*(1+IF(L$3&lt;=$O$2,$D602,$D602-($D602-$I$589)*MIN(L$3-$O$2,$Q$2)/$Q$2))</f>
        <v>6699.47196750417</v>
      </c>
      <c r="M602" s="15" t="n">
        <f aca="false">L602*(1+IF(M$3&lt;=$O$2,$D602,$D602-($D602-$I$589)*MIN(M$3-$O$2,$Q$2)/$Q$2))</f>
        <v>6797.3886757811</v>
      </c>
      <c r="N602" s="15" t="n">
        <f aca="false">M602*(1+IF(N$3&lt;=$O$2,$D602,$D602-($D602-$I$589)*MIN(N$3-$O$2,$Q$2)/$Q$2))</f>
        <v>6921.78088854789</v>
      </c>
      <c r="O602" s="15" t="n">
        <f aca="false">SUMPRODUCT(E602:N602,1/(1+$F$589)^$E$3:$N$3)*$E$2</f>
        <v>13489.5418101836</v>
      </c>
      <c r="P602" s="15" t="n">
        <f aca="false">N602*$E$2*(1+$I$589)/($F$589-$I$589)/(1+$F$589)^$N$3</f>
        <v>12889.5276993398</v>
      </c>
      <c r="Q602" s="15" t="n">
        <f aca="false">O602+P602</f>
        <v>26379.0695095234</v>
      </c>
      <c r="R602" s="15" t="n">
        <f aca="false">Q602-$G$2+$I$2</f>
        <v>19033.8695095234</v>
      </c>
      <c r="S602" s="42" t="n">
        <f aca="false">R602/$K$2</f>
        <v>81.1160004667522</v>
      </c>
      <c r="T602" s="43" t="n">
        <f aca="false">S602-$M$2</f>
        <v>0.101723884608546</v>
      </c>
    </row>
    <row r="603" customFormat="false" ht="15" hidden="false" customHeight="false" outlineLevel="0" collapsed="false">
      <c r="A603" s="5" t="n">
        <v>13</v>
      </c>
      <c r="B603" s="25" t="n">
        <f aca="false">IF(T602&gt;0,B602,D602)</f>
        <v>-0.00048828125</v>
      </c>
      <c r="C603" s="25" t="n">
        <f aca="false">IF(T602&gt;0,D602,C602)</f>
        <v>-0.0001220703125</v>
      </c>
      <c r="D603" s="41" t="n">
        <f aca="false">(B603+C603)/2</f>
        <v>-0.00030517578125</v>
      </c>
      <c r="E603" s="15" t="n">
        <f aca="false">$C$2*(1+IF(E$3&lt;=$O$2,$D603,$D603-($D603-$I$589)*MIN(E$3-$O$2,$Q$2)/$Q$2))</f>
        <v>6557.998046875</v>
      </c>
      <c r="F603" s="15" t="n">
        <f aca="false">E603*(1+IF(F$3&lt;=$O$2,$D603,$D603-($D603-$I$589)*MIN(F$3-$O$2,$Q$2)/$Q$2))</f>
        <v>6555.99670469761</v>
      </c>
      <c r="G603" s="15" t="n">
        <f aca="false">F603*(1+IF(G$3&lt;=$O$2,$D603,$D603-($D603-$I$589)*MIN(G$3-$O$2,$Q$2)/$Q$2))</f>
        <v>6553.99597328138</v>
      </c>
      <c r="H603" s="15" t="n">
        <f aca="false">G603*(1+IF(H$3&lt;=$O$2,$D603,$D603-($D603-$I$589)*MIN(H$3-$O$2,$Q$2)/$Q$2))</f>
        <v>6551.99585243993</v>
      </c>
      <c r="I603" s="15" t="n">
        <f aca="false">H603*(1+IF(I$3&lt;=$O$2,$D603,$D603-($D603-$I$589)*MIN(I$3-$O$2,$Q$2)/$Q$2))</f>
        <v>6549.99634198691</v>
      </c>
      <c r="J603" s="15" t="n">
        <f aca="false">I603*(1+IF(J$3&lt;=$O$2,$D603,$D603-($D603-$I$589)*MIN(J$3-$O$2,$Q$2)/$Q$2))</f>
        <v>6572.3702083979</v>
      </c>
      <c r="K603" s="15" t="n">
        <f aca="false">J603*(1+IF(K$3&lt;=$O$2,$D603,$D603-($D603-$I$589)*MIN(K$3-$O$2,$Q$2)/$Q$2))</f>
        <v>6619.27652139557</v>
      </c>
      <c r="L603" s="15" t="n">
        <f aca="false">K603*(1+IF(L$3&lt;=$O$2,$D603,$D603-($D603-$I$589)*MIN(L$3-$O$2,$Q$2)/$Q$2))</f>
        <v>6691.148160447</v>
      </c>
      <c r="M603" s="15" t="n">
        <f aca="false">L603*(1+IF(M$3&lt;=$O$2,$D603,$D603-($D603-$I$589)*MIN(M$3-$O$2,$Q$2)/$Q$2))</f>
        <v>6788.69817424248</v>
      </c>
      <c r="N603" s="15" t="n">
        <f aca="false">M603*(1+IF(N$3&lt;=$O$2,$D603,$D603-($D603-$I$589)*MIN(N$3-$O$2,$Q$2)/$Q$2))</f>
        <v>6912.93135083112</v>
      </c>
      <c r="O603" s="15" t="n">
        <f aca="false">SUMPRODUCT(E603:N603,1/(1+$F$589)^$E$3:$N$3)*$E$2</f>
        <v>13478.9092899221</v>
      </c>
      <c r="P603" s="15" t="n">
        <f aca="false">N603*$E$2*(1+$I$589)/($F$589-$I$589)/(1+$F$589)^$N$3</f>
        <v>12873.0483621051</v>
      </c>
      <c r="Q603" s="15" t="n">
        <f aca="false">O603+P603</f>
        <v>26351.9576520273</v>
      </c>
      <c r="R603" s="15" t="n">
        <f aca="false">Q603-$G$2+$I$2</f>
        <v>19006.7576520273</v>
      </c>
      <c r="S603" s="42" t="n">
        <f aca="false">R603/$K$2</f>
        <v>81.0004587770179</v>
      </c>
      <c r="T603" s="43" t="n">
        <f aca="false">S603-$M$2</f>
        <v>-0.0138178051257256</v>
      </c>
    </row>
    <row r="604" customFormat="false" ht="15" hidden="false" customHeight="false" outlineLevel="0" collapsed="false">
      <c r="A604" s="5" t="n">
        <v>14</v>
      </c>
      <c r="B604" s="25" t="n">
        <f aca="false">IF(T603&gt;0,B603,D603)</f>
        <v>-0.00030517578125</v>
      </c>
      <c r="C604" s="25" t="n">
        <f aca="false">IF(T603&gt;0,D603,C603)</f>
        <v>-0.0001220703125</v>
      </c>
      <c r="D604" s="41" t="n">
        <f aca="false">(B604+C604)/2</f>
        <v>-0.000213623046875</v>
      </c>
      <c r="E604" s="15" t="n">
        <f aca="false">$C$2*(1+IF(E$3&lt;=$O$2,$D604,$D604-($D604-$I$589)*MIN(E$3-$O$2,$Q$2)/$Q$2))</f>
        <v>6558.5986328125</v>
      </c>
      <c r="F604" s="15" t="n">
        <f aca="false">E604*(1+IF(F$3&lt;=$O$2,$D604,$D604-($D604-$I$589)*MIN(F$3-$O$2,$Q$2)/$Q$2))</f>
        <v>6557.19756498933</v>
      </c>
      <c r="G604" s="15" t="n">
        <f aca="false">F604*(1+IF(G$3&lt;=$O$2,$D604,$D604-($D604-$I$589)*MIN(G$3-$O$2,$Q$2)/$Q$2))</f>
        <v>6555.79679646653</v>
      </c>
      <c r="H604" s="15" t="n">
        <f aca="false">G604*(1+IF(H$3&lt;=$O$2,$D604,$D604-($D604-$I$589)*MIN(H$3-$O$2,$Q$2)/$Q$2))</f>
        <v>6554.39632718018</v>
      </c>
      <c r="I604" s="15" t="n">
        <f aca="false">H604*(1+IF(I$3&lt;=$O$2,$D604,$D604-($D604-$I$589)*MIN(I$3-$O$2,$Q$2)/$Q$2))</f>
        <v>6552.99615706634</v>
      </c>
      <c r="J604" s="15" t="n">
        <f aca="false">I604*(1+IF(J$3&lt;=$O$2,$D604,$D604-($D604-$I$589)*MIN(J$3-$O$2,$Q$2)/$Q$2))</f>
        <v>6575.86022619702</v>
      </c>
      <c r="K604" s="15" t="n">
        <f aca="false">J604*(1+IF(K$3&lt;=$O$2,$D604,$D604-($D604-$I$589)*MIN(K$3-$O$2,$Q$2)/$Q$2))</f>
        <v>6623.15266987438</v>
      </c>
      <c r="L604" s="15" t="n">
        <f aca="false">K604*(1+IF(L$3&lt;=$O$2,$D604,$D604-($D604-$I$589)*MIN(L$3-$O$2,$Q$2)/$Q$2))</f>
        <v>6695.30894296829</v>
      </c>
      <c r="M604" s="15" t="n">
        <f aca="false">L604*(1+IF(M$3&lt;=$O$2,$D604,$D604-($D604-$I$589)*MIN(M$3-$O$2,$Q$2)/$Q$2))</f>
        <v>6793.04221143411</v>
      </c>
      <c r="N604" s="15" t="n">
        <f aca="false">M604*(1+IF(N$3&lt;=$O$2,$D604,$D604-($D604-$I$589)*MIN(N$3-$O$2,$Q$2)/$Q$2))</f>
        <v>6917.35488390336</v>
      </c>
      <c r="O604" s="15" t="n">
        <f aca="false">SUMPRODUCT(E604:N604,1/(1+$F$589)^$E$3:$N$3)*$E$2</f>
        <v>13484.2244738732</v>
      </c>
      <c r="P604" s="15" t="n">
        <f aca="false">N604*$E$2*(1+$I$589)/($F$589-$I$589)/(1+$F$589)^$N$3</f>
        <v>12881.2857294795</v>
      </c>
      <c r="Q604" s="15" t="n">
        <f aca="false">O604+P604</f>
        <v>26365.5102033526</v>
      </c>
      <c r="R604" s="15" t="n">
        <f aca="false">Q604-$G$2+$I$2</f>
        <v>19020.3102033526</v>
      </c>
      <c r="S604" s="42" t="n">
        <f aca="false">R604/$K$2</f>
        <v>81.0582152284365</v>
      </c>
      <c r="T604" s="43" t="n">
        <f aca="false">S604-$M$2</f>
        <v>0.0439386462928866</v>
      </c>
    </row>
    <row r="605" customFormat="false" ht="15" hidden="false" customHeight="false" outlineLevel="0" collapsed="false">
      <c r="A605" s="5" t="n">
        <v>15</v>
      </c>
      <c r="B605" s="25" t="n">
        <f aca="false">IF(T604&gt;0,B604,D604)</f>
        <v>-0.00030517578125</v>
      </c>
      <c r="C605" s="25" t="n">
        <f aca="false">IF(T604&gt;0,D604,C604)</f>
        <v>-0.000213623046875</v>
      </c>
      <c r="D605" s="41" t="n">
        <f aca="false">(B605+C605)/2</f>
        <v>-0.0002593994140625</v>
      </c>
      <c r="E605" s="15" t="n">
        <f aca="false">$C$2*(1+IF(E$3&lt;=$O$2,$D605,$D605-($D605-$I$589)*MIN(E$3-$O$2,$Q$2)/$Q$2))</f>
        <v>6558.29833984375</v>
      </c>
      <c r="F605" s="15" t="n">
        <f aca="false">E605*(1+IF(F$3&lt;=$O$2,$D605,$D605-($D605-$I$589)*MIN(F$3-$O$2,$Q$2)/$Q$2))</f>
        <v>6556.59712109715</v>
      </c>
      <c r="G605" s="15" t="n">
        <f aca="false">F605*(1+IF(G$3&lt;=$O$2,$D605,$D605-($D605-$I$589)*MIN(G$3-$O$2,$Q$2)/$Q$2))</f>
        <v>6554.89634364569</v>
      </c>
      <c r="H605" s="15" t="n">
        <f aca="false">G605*(1+IF(H$3&lt;=$O$2,$D605,$D605-($D605-$I$589)*MIN(H$3-$O$2,$Q$2)/$Q$2))</f>
        <v>6553.19600737491</v>
      </c>
      <c r="I605" s="15" t="n">
        <f aca="false">H605*(1+IF(I$3&lt;=$O$2,$D605,$D605-($D605-$I$589)*MIN(I$3-$O$2,$Q$2)/$Q$2))</f>
        <v>6551.49611217036</v>
      </c>
      <c r="J605" s="15" t="n">
        <f aca="false">I605*(1+IF(J$3&lt;=$O$2,$D605,$D605-($D605-$I$589)*MIN(J$3-$O$2,$Q$2)/$Q$2))</f>
        <v>6574.11502453872</v>
      </c>
      <c r="K605" s="15" t="n">
        <f aca="false">J605*(1+IF(K$3&lt;=$O$2,$D605,$D605-($D605-$I$589)*MIN(K$3-$O$2,$Q$2)/$Q$2))</f>
        <v>6621.21435356714</v>
      </c>
      <c r="L605" s="15" t="n">
        <f aca="false">K605*(1+IF(L$3&lt;=$O$2,$D605,$D605-($D605-$I$589)*MIN(L$3-$O$2,$Q$2)/$Q$2))</f>
        <v>6693.22827151982</v>
      </c>
      <c r="M605" s="15" t="n">
        <f aca="false">L605*(1+IF(M$3&lt;=$O$2,$D605,$D605-($D605-$I$589)*MIN(M$3-$O$2,$Q$2)/$Q$2))</f>
        <v>6790.86988951651</v>
      </c>
      <c r="N605" s="15" t="n">
        <f aca="false">M605*(1+IF(N$3&lt;=$O$2,$D605,$D605-($D605-$I$589)*MIN(N$3-$O$2,$Q$2)/$Q$2))</f>
        <v>6915.14280849466</v>
      </c>
      <c r="O605" s="15" t="n">
        <f aca="false">SUMPRODUCT(E605:N605,1/(1+$F$589)^$E$3:$N$3)*$E$2</f>
        <v>13481.5666129045</v>
      </c>
      <c r="P605" s="15" t="n">
        <f aca="false">N605*$E$2*(1+$I$589)/($F$589-$I$589)/(1+$F$589)^$N$3</f>
        <v>12877.1664706193</v>
      </c>
      <c r="Q605" s="15" t="n">
        <f aca="false">O605+P605</f>
        <v>26358.7330835238</v>
      </c>
      <c r="R605" s="15" t="n">
        <f aca="false">Q605-$G$2+$I$2</f>
        <v>19013.5330835238</v>
      </c>
      <c r="S605" s="42" t="n">
        <f aca="false">R605/$K$2</f>
        <v>81.0293334051727</v>
      </c>
      <c r="T605" s="43" t="n">
        <f aca="false">S605-$M$2</f>
        <v>0.0150568230290986</v>
      </c>
    </row>
    <row r="606" customFormat="false" ht="15" hidden="false" customHeight="false" outlineLevel="0" collapsed="false">
      <c r="A606" s="5" t="n">
        <v>16</v>
      </c>
      <c r="B606" s="25" t="n">
        <f aca="false">IF(T605&gt;0,B605,D605)</f>
        <v>-0.00030517578125</v>
      </c>
      <c r="C606" s="25" t="n">
        <f aca="false">IF(T605&gt;0,D605,C605)</f>
        <v>-0.0002593994140625</v>
      </c>
      <c r="D606" s="41" t="n">
        <f aca="false">(B606+C606)/2</f>
        <v>-0.00028228759765625</v>
      </c>
      <c r="E606" s="15" t="n">
        <f aca="false">$C$2*(1+IF(E$3&lt;=$O$2,$D606,$D606-($D606-$I$589)*MIN(E$3-$O$2,$Q$2)/$Q$2))</f>
        <v>6558.14819335938</v>
      </c>
      <c r="F606" s="15" t="n">
        <f aca="false">E606*(1+IF(F$3&lt;=$O$2,$D606,$D606-($D606-$I$589)*MIN(F$3-$O$2,$Q$2)/$Q$2))</f>
        <v>6556.2969094608</v>
      </c>
      <c r="G606" s="15" t="n">
        <f aca="false">F606*(1+IF(G$3&lt;=$O$2,$D606,$D606-($D606-$I$589)*MIN(G$3-$O$2,$Q$2)/$Q$2))</f>
        <v>6554.44614815671</v>
      </c>
      <c r="H606" s="15" t="n">
        <f aca="false">G606*(1+IF(H$3&lt;=$O$2,$D606,$D606-($D606-$I$589)*MIN(H$3-$O$2,$Q$2)/$Q$2))</f>
        <v>6552.59590929957</v>
      </c>
      <c r="I606" s="15" t="n">
        <f aca="false">H606*(1+IF(I$3&lt;=$O$2,$D606,$D606-($D606-$I$589)*MIN(I$3-$O$2,$Q$2)/$Q$2))</f>
        <v>6550.74619274193</v>
      </c>
      <c r="J606" s="15" t="n">
        <f aca="false">I606*(1+IF(J$3&lt;=$O$2,$D606,$D606-($D606-$I$589)*MIN(J$3-$O$2,$Q$2)/$Q$2))</f>
        <v>6573.24256828288</v>
      </c>
      <c r="K606" s="15" t="n">
        <f aca="false">J606*(1+IF(K$3&lt;=$O$2,$D606,$D606-($D606-$I$589)*MIN(K$3-$O$2,$Q$2)/$Q$2))</f>
        <v>6620.24537697066</v>
      </c>
      <c r="L606" s="15" t="n">
        <f aca="false">K606*(1+IF(L$3&lt;=$O$2,$D606,$D606-($D606-$I$589)*MIN(L$3-$O$2,$Q$2)/$Q$2))</f>
        <v>6692.18814594445</v>
      </c>
      <c r="M606" s="15" t="n">
        <f aca="false">L606*(1+IF(M$3&lt;=$O$2,$D606,$D606-($D606-$I$589)*MIN(M$3-$O$2,$Q$2)/$Q$2))</f>
        <v>6789.78395605812</v>
      </c>
      <c r="N606" s="15" t="n">
        <f aca="false">M606*(1+IF(N$3&lt;=$O$2,$D606,$D606-($D606-$I$589)*MIN(N$3-$O$2,$Q$2)/$Q$2))</f>
        <v>6914.03700245399</v>
      </c>
      <c r="O606" s="15" t="n">
        <f aca="false">SUMPRODUCT(E606:N606,1/(1+$F$589)^$E$3:$N$3)*$E$2</f>
        <v>13480.2378841715</v>
      </c>
      <c r="P606" s="15" t="n">
        <f aca="false">N606*$E$2*(1+$I$589)/($F$589-$I$589)/(1+$F$589)^$N$3</f>
        <v>12875.1072725861</v>
      </c>
      <c r="Q606" s="15" t="n">
        <f aca="false">O606+P606</f>
        <v>26355.3451567577</v>
      </c>
      <c r="R606" s="15" t="n">
        <f aca="false">Q606-$G$2+$I$2</f>
        <v>19010.1451567577</v>
      </c>
      <c r="S606" s="42" t="n">
        <f aca="false">R606/$K$2</f>
        <v>81.0148951918076</v>
      </c>
      <c r="T606" s="43" t="n">
        <f aca="false">S606-$M$2</f>
        <v>0.000618609663987968</v>
      </c>
    </row>
    <row r="607" customFormat="false" ht="15" hidden="false" customHeight="false" outlineLevel="0" collapsed="false">
      <c r="A607" s="5" t="n">
        <v>17</v>
      </c>
      <c r="B607" s="25" t="n">
        <f aca="false">IF(T606&gt;0,B606,D606)</f>
        <v>-0.00030517578125</v>
      </c>
      <c r="C607" s="25" t="n">
        <f aca="false">IF(T606&gt;0,D606,C606)</f>
        <v>-0.00028228759765625</v>
      </c>
      <c r="D607" s="41" t="n">
        <f aca="false">(B607+C607)/2</f>
        <v>-0.000293731689453125</v>
      </c>
      <c r="E607" s="15" t="n">
        <f aca="false">$C$2*(1+IF(E$3&lt;=$O$2,$D607,$D607-($D607-$I$589)*MIN(E$3-$O$2,$Q$2)/$Q$2))</f>
        <v>6558.07312011719</v>
      </c>
      <c r="F607" s="15" t="n">
        <f aca="false">E607*(1+IF(F$3&lt;=$O$2,$D607,$D607-($D607-$I$589)*MIN(F$3-$O$2,$Q$2)/$Q$2))</f>
        <v>6556.14680622006</v>
      </c>
      <c r="G607" s="15" t="n">
        <f aca="false">F607*(1+IF(G$3&lt;=$O$2,$D607,$D607-($D607-$I$589)*MIN(G$3-$O$2,$Q$2)/$Q$2))</f>
        <v>6554.22105814236</v>
      </c>
      <c r="H607" s="15" t="n">
        <f aca="false">G607*(1+IF(H$3&lt;=$O$2,$D607,$D607-($D607-$I$589)*MIN(H$3-$O$2,$Q$2)/$Q$2))</f>
        <v>6552.29587571791</v>
      </c>
      <c r="I607" s="15" t="n">
        <f aca="false">H607*(1+IF(I$3&lt;=$O$2,$D607,$D607-($D607-$I$589)*MIN(I$3-$O$2,$Q$2)/$Q$2))</f>
        <v>6550.37125878054</v>
      </c>
      <c r="J607" s="15" t="n">
        <f aca="false">I607*(1+IF(J$3&lt;=$O$2,$D607,$D607-($D607-$I$589)*MIN(J$3-$O$2,$Q$2)/$Q$2))</f>
        <v>6572.80637629456</v>
      </c>
      <c r="K607" s="15" t="n">
        <f aca="false">J607*(1+IF(K$3&lt;=$O$2,$D607,$D607-($D607-$I$589)*MIN(K$3-$O$2,$Q$2)/$Q$2))</f>
        <v>6619.76093405623</v>
      </c>
      <c r="L607" s="15" t="n">
        <f aca="false">K607*(1+IF(L$3&lt;=$O$2,$D607,$D607-($D607-$I$589)*MIN(L$3-$O$2,$Q$2)/$Q$2))</f>
        <v>6691.66813568699</v>
      </c>
      <c r="M607" s="15" t="n">
        <f aca="false">L607*(1+IF(M$3&lt;=$O$2,$D607,$D607-($D607-$I$589)*MIN(M$3-$O$2,$Q$2)/$Q$2))</f>
        <v>6789.24104619609</v>
      </c>
      <c r="N607" s="15" t="n">
        <f aca="false">M607*(1+IF(N$3&lt;=$O$2,$D607,$D607-($D607-$I$589)*MIN(N$3-$O$2,$Q$2)/$Q$2))</f>
        <v>6913.48415734148</v>
      </c>
      <c r="O607" s="15" t="n">
        <f aca="false">SUMPRODUCT(E607:N607,1/(1+$F$589)^$E$3:$N$3)*$E$2</f>
        <v>13479.5735702372</v>
      </c>
      <c r="P607" s="15" t="n">
        <f aca="false">N607*$E$2*(1+$I$589)/($F$589-$I$589)/(1+$F$589)^$N$3</f>
        <v>12874.0777814038</v>
      </c>
      <c r="Q607" s="15" t="n">
        <f aca="false">O607+P607</f>
        <v>26353.651351641</v>
      </c>
      <c r="R607" s="15" t="n">
        <f aca="false">Q607-$G$2+$I$2</f>
        <v>19008.451351641</v>
      </c>
      <c r="S607" s="42" t="n">
        <f aca="false">R607/$K$2</f>
        <v>81.0076767596035</v>
      </c>
      <c r="T607" s="43" t="n">
        <f aca="false">S607-$M$2</f>
        <v>-0.0065998225401529</v>
      </c>
    </row>
    <row r="608" customFormat="false" ht="15" hidden="false" customHeight="false" outlineLevel="0" collapsed="false">
      <c r="A608" s="5" t="n">
        <v>18</v>
      </c>
      <c r="B608" s="25" t="n">
        <f aca="false">IF(T607&gt;0,B607,D607)</f>
        <v>-0.000293731689453125</v>
      </c>
      <c r="C608" s="25" t="n">
        <f aca="false">IF(T607&gt;0,D607,C607)</f>
        <v>-0.00028228759765625</v>
      </c>
      <c r="D608" s="41" t="n">
        <f aca="false">(B608+C608)/2</f>
        <v>-0.000288009643554688</v>
      </c>
      <c r="E608" s="15" t="n">
        <f aca="false">$C$2*(1+IF(E$3&lt;=$O$2,$D608,$D608-($D608-$I$589)*MIN(E$3-$O$2,$Q$2)/$Q$2))</f>
        <v>6558.11065673828</v>
      </c>
      <c r="F608" s="15" t="n">
        <f aca="false">E608*(1+IF(F$3&lt;=$O$2,$D608,$D608-($D608-$I$589)*MIN(F$3-$O$2,$Q$2)/$Q$2))</f>
        <v>6556.22185762564</v>
      </c>
      <c r="G608" s="15" t="n">
        <f aca="false">F608*(1+IF(G$3&lt;=$O$2,$D608,$D608-($D608-$I$589)*MIN(G$3-$O$2,$Q$2)/$Q$2))</f>
        <v>6554.33360250536</v>
      </c>
      <c r="H608" s="15" t="n">
        <f aca="false">G608*(1+IF(H$3&lt;=$O$2,$D608,$D608-($D608-$I$589)*MIN(H$3-$O$2,$Q$2)/$Q$2))</f>
        <v>6552.44589122077</v>
      </c>
      <c r="I608" s="15" t="n">
        <f aca="false">H608*(1+IF(I$3&lt;=$O$2,$D608,$D608-($D608-$I$589)*MIN(I$3-$O$2,$Q$2)/$Q$2))</f>
        <v>6550.55872361522</v>
      </c>
      <c r="J608" s="15" t="n">
        <f aca="false">I608*(1+IF(J$3&lt;=$O$2,$D608,$D608-($D608-$I$589)*MIN(J$3-$O$2,$Q$2)/$Q$2))</f>
        <v>6573.0244692772</v>
      </c>
      <c r="K608" s="15" t="n">
        <f aca="false">J608*(1+IF(K$3&lt;=$O$2,$D608,$D608-($D608-$I$589)*MIN(K$3-$O$2,$Q$2)/$Q$2))</f>
        <v>6620.00315173162</v>
      </c>
      <c r="L608" s="15" t="n">
        <f aca="false">K608*(1+IF(L$3&lt;=$O$2,$D608,$D608-($D608-$I$589)*MIN(L$3-$O$2,$Q$2)/$Q$2))</f>
        <v>6691.92813643841</v>
      </c>
      <c r="M608" s="15" t="n">
        <f aca="false">L608*(1+IF(M$3&lt;=$O$2,$D608,$D608-($D608-$I$589)*MIN(M$3-$O$2,$Q$2)/$Q$2))</f>
        <v>6789.51249638842</v>
      </c>
      <c r="N608" s="15" t="n">
        <f aca="false">M608*(1+IF(N$3&lt;=$O$2,$D608,$D608-($D608-$I$589)*MIN(N$3-$O$2,$Q$2)/$Q$2))</f>
        <v>6913.76057507232</v>
      </c>
      <c r="O608" s="15" t="n">
        <f aca="false">SUMPRODUCT(E608:N608,1/(1+$F$589)^$E$3:$N$3)*$E$2</f>
        <v>13479.9057230018</v>
      </c>
      <c r="P608" s="15" t="n">
        <f aca="false">N608*$E$2*(1+$I$589)/($F$589-$I$589)/(1+$F$589)^$N$3</f>
        <v>12874.5925180092</v>
      </c>
      <c r="Q608" s="15" t="n">
        <f aca="false">O608+P608</f>
        <v>26354.4982410111</v>
      </c>
      <c r="R608" s="15" t="n">
        <f aca="false">Q608-$G$2+$I$2</f>
        <v>19009.2982410111</v>
      </c>
      <c r="S608" s="42" t="n">
        <f aca="false">R608/$K$2</f>
        <v>81.0112859195016</v>
      </c>
      <c r="T608" s="43" t="n">
        <f aca="false">S608-$M$2</f>
        <v>-0.00299066264199155</v>
      </c>
    </row>
    <row r="609" customFormat="false" ht="15" hidden="false" customHeight="false" outlineLevel="0" collapsed="false">
      <c r="A609" s="5" t="n">
        <v>19</v>
      </c>
      <c r="B609" s="25" t="n">
        <f aca="false">IF(T608&gt;0,B608,D608)</f>
        <v>-0.000288009643554688</v>
      </c>
      <c r="C609" s="25" t="n">
        <f aca="false">IF(T608&gt;0,D608,C608)</f>
        <v>-0.00028228759765625</v>
      </c>
      <c r="D609" s="41" t="n">
        <f aca="false">(B609+C609)/2</f>
        <v>-0.000285148620605469</v>
      </c>
      <c r="E609" s="15" t="n">
        <f aca="false">$C$2*(1+IF(E$3&lt;=$O$2,$D609,$D609-($D609-$I$589)*MIN(E$3-$O$2,$Q$2)/$Q$2))</f>
        <v>6558.12942504883</v>
      </c>
      <c r="F609" s="15" t="n">
        <f aca="false">E609*(1+IF(F$3&lt;=$O$2,$D609,$D609-($D609-$I$589)*MIN(F$3-$O$2,$Q$2)/$Q$2))</f>
        <v>6556.25938348952</v>
      </c>
      <c r="G609" s="15" t="n">
        <f aca="false">F609*(1+IF(G$3&lt;=$O$2,$D609,$D609-($D609-$I$589)*MIN(G$3-$O$2,$Q$2)/$Q$2))</f>
        <v>6554.38987516999</v>
      </c>
      <c r="H609" s="15" t="n">
        <f aca="false">G609*(1+IF(H$3&lt;=$O$2,$D609,$D609-($D609-$I$589)*MIN(H$3-$O$2,$Q$2)/$Q$2))</f>
        <v>6552.52089993818</v>
      </c>
      <c r="I609" s="15" t="n">
        <f aca="false">H609*(1+IF(I$3&lt;=$O$2,$D609,$D609-($D609-$I$589)*MIN(I$3-$O$2,$Q$2)/$Q$2))</f>
        <v>6550.65245764207</v>
      </c>
      <c r="J609" s="15" t="n">
        <f aca="false">I609*(1+IF(J$3&lt;=$O$2,$D609,$D609-($D609-$I$589)*MIN(J$3-$O$2,$Q$2)/$Q$2))</f>
        <v>6573.13351802715</v>
      </c>
      <c r="K609" s="15" t="n">
        <f aca="false">J609*(1+IF(K$3&lt;=$O$2,$D609,$D609-($D609-$I$589)*MIN(K$3-$O$2,$Q$2)/$Q$2))</f>
        <v>6620.12426340568</v>
      </c>
      <c r="L609" s="15" t="n">
        <f aca="false">K609*(1+IF(L$3&lt;=$O$2,$D609,$D609-($D609-$I$589)*MIN(L$3-$O$2,$Q$2)/$Q$2))</f>
        <v>6692.05814009709</v>
      </c>
      <c r="M609" s="15" t="n">
        <f aca="false">L609*(1+IF(M$3&lt;=$O$2,$D609,$D609-($D609-$I$589)*MIN(M$3-$O$2,$Q$2)/$Q$2))</f>
        <v>6789.64822503858</v>
      </c>
      <c r="N609" s="15" t="n">
        <f aca="false">M609*(1+IF(N$3&lt;=$O$2,$D609,$D609-($D609-$I$589)*MIN(N$3-$O$2,$Q$2)/$Q$2))</f>
        <v>6913.89878755679</v>
      </c>
      <c r="O609" s="15" t="n">
        <f aca="false">SUMPRODUCT(E609:N609,1/(1+$F$589)^$E$3:$N$3)*$E$2</f>
        <v>13480.071802536</v>
      </c>
      <c r="P609" s="15" t="n">
        <f aca="false">N609*$E$2*(1+$I$589)/($F$589-$I$589)/(1+$F$589)^$N$3</f>
        <v>12874.8498930512</v>
      </c>
      <c r="Q609" s="15" t="n">
        <f aca="false">O609+P609</f>
        <v>26354.9216955873</v>
      </c>
      <c r="R609" s="15" t="n">
        <f aca="false">Q609-$G$2+$I$2</f>
        <v>19009.7216955873</v>
      </c>
      <c r="S609" s="42" t="n">
        <f aca="false">R609/$K$2</f>
        <v>81.0130905416035</v>
      </c>
      <c r="T609" s="43" t="n">
        <f aca="false">S609-$M$2</f>
        <v>-0.00118604054016203</v>
      </c>
    </row>
    <row r="610" customFormat="false" ht="15" hidden="false" customHeight="false" outlineLevel="0" collapsed="false">
      <c r="A610" s="5" t="n">
        <v>20</v>
      </c>
      <c r="B610" s="25" t="n">
        <f aca="false">IF(T609&gt;0,B609,D609)</f>
        <v>-0.000285148620605469</v>
      </c>
      <c r="C610" s="25" t="n">
        <f aca="false">IF(T609&gt;0,D609,C609)</f>
        <v>-0.00028228759765625</v>
      </c>
      <c r="D610" s="41" t="n">
        <f aca="false">(B610+C610)/2</f>
        <v>-0.000283718109130859</v>
      </c>
      <c r="E610" s="15" t="n">
        <f aca="false">$C$2*(1+IF(E$3&lt;=$O$2,$D610,$D610-($D610-$I$589)*MIN(E$3-$O$2,$Q$2)/$Q$2))</f>
        <v>6558.1388092041</v>
      </c>
      <c r="F610" s="15" t="n">
        <f aca="false">E610*(1+IF(F$3&lt;=$O$2,$D610,$D610-($D610-$I$589)*MIN(F$3-$O$2,$Q$2)/$Q$2))</f>
        <v>6556.27814646174</v>
      </c>
      <c r="G610" s="15" t="n">
        <f aca="false">F610*(1+IF(G$3&lt;=$O$2,$D610,$D610-($D610-$I$589)*MIN(G$3-$O$2,$Q$2)/$Q$2))</f>
        <v>6554.41801162309</v>
      </c>
      <c r="H610" s="15" t="n">
        <f aca="false">G610*(1+IF(H$3&lt;=$O$2,$D610,$D610-($D610-$I$589)*MIN(H$3-$O$2,$Q$2)/$Q$2))</f>
        <v>6552.55840453838</v>
      </c>
      <c r="I610" s="15" t="n">
        <f aca="false">H610*(1+IF(I$3&lt;=$O$2,$D610,$D610-($D610-$I$589)*MIN(I$3-$O$2,$Q$2)/$Q$2))</f>
        <v>6550.69932505787</v>
      </c>
      <c r="J610" s="15" t="n">
        <f aca="false">I610*(1+IF(J$3&lt;=$O$2,$D610,$D610-($D610-$I$589)*MIN(J$3-$O$2,$Q$2)/$Q$2))</f>
        <v>6573.18804296679</v>
      </c>
      <c r="K610" s="15" t="n">
        <f aca="false">J610*(1+IF(K$3&lt;=$O$2,$D610,$D610-($D610-$I$589)*MIN(K$3-$O$2,$Q$2)/$Q$2))</f>
        <v>6620.1848199518</v>
      </c>
      <c r="L610" s="15" t="n">
        <f aca="false">K610*(1+IF(L$3&lt;=$O$2,$D610,$D610-($D610-$I$589)*MIN(L$3-$O$2,$Q$2)/$Q$2))</f>
        <v>6692.12314274719</v>
      </c>
      <c r="M610" s="15" t="n">
        <f aca="false">L610*(1+IF(M$3&lt;=$O$2,$D610,$D610-($D610-$I$589)*MIN(M$3-$O$2,$Q$2)/$Q$2))</f>
        <v>6789.71609025218</v>
      </c>
      <c r="N610" s="15" t="n">
        <f aca="false">M610*(1+IF(N$3&lt;=$O$2,$D610,$D610-($D610-$I$589)*MIN(N$3-$O$2,$Q$2)/$Q$2))</f>
        <v>6913.96789470379</v>
      </c>
      <c r="O610" s="15" t="n">
        <f aca="false">SUMPRODUCT(E610:N610,1/(1+$F$589)^$E$3:$N$3)*$E$2</f>
        <v>13480.1548430911</v>
      </c>
      <c r="P610" s="15" t="n">
        <f aca="false">N610*$E$2*(1+$I$589)/($F$589-$I$589)/(1+$F$589)^$N$3</f>
        <v>12874.9785822571</v>
      </c>
      <c r="Q610" s="15" t="n">
        <f aca="false">O610+P610</f>
        <v>26355.1334253482</v>
      </c>
      <c r="R610" s="15" t="n">
        <f aca="false">Q610-$G$2+$I$2</f>
        <v>19009.9334253482</v>
      </c>
      <c r="S610" s="42" t="n">
        <f aca="false">R610/$K$2</f>
        <v>81.0139928631927</v>
      </c>
      <c r="T610" s="43" t="n">
        <f aca="false">S610-$M$2</f>
        <v>-0.000283718950896628</v>
      </c>
    </row>
    <row r="611" customFormat="false" ht="15" hidden="false" customHeight="false" outlineLevel="0" collapsed="false">
      <c r="A611" s="5" t="n">
        <v>21</v>
      </c>
      <c r="B611" s="25" t="n">
        <f aca="false">IF(T610&gt;0,B610,D610)</f>
        <v>-0.000283718109130859</v>
      </c>
      <c r="C611" s="25" t="n">
        <f aca="false">IF(T610&gt;0,D610,C610)</f>
        <v>-0.00028228759765625</v>
      </c>
      <c r="D611" s="41" t="n">
        <f aca="false">(B611+C611)/2</f>
        <v>-0.000283002853393555</v>
      </c>
      <c r="E611" s="15" t="n">
        <f aca="false">$C$2*(1+IF(E$3&lt;=$O$2,$D611,$D611-($D611-$I$589)*MIN(E$3-$O$2,$Q$2)/$Q$2))</f>
        <v>6558.14350128174</v>
      </c>
      <c r="F611" s="15" t="n">
        <f aca="false">E611*(1+IF(F$3&lt;=$O$2,$D611,$D611-($D611-$I$589)*MIN(F$3-$O$2,$Q$2)/$Q$2))</f>
        <v>6556.28752795791</v>
      </c>
      <c r="G611" s="15" t="n">
        <f aca="false">F611*(1+IF(G$3&lt;=$O$2,$D611,$D611-($D611-$I$589)*MIN(G$3-$O$2,$Q$2)/$Q$2))</f>
        <v>6554.43207987983</v>
      </c>
      <c r="H611" s="15" t="n">
        <f aca="false">G611*(1+IF(H$3&lt;=$O$2,$D611,$D611-($D611-$I$589)*MIN(H$3-$O$2,$Q$2)/$Q$2))</f>
        <v>6552.57715689885</v>
      </c>
      <c r="I611" s="15" t="n">
        <f aca="false">H611*(1+IF(I$3&lt;=$O$2,$D611,$D611-($D611-$I$589)*MIN(I$3-$O$2,$Q$2)/$Q$2))</f>
        <v>6550.72275886637</v>
      </c>
      <c r="J611" s="15" t="n">
        <f aca="false">I611*(1+IF(J$3&lt;=$O$2,$D611,$D611-($D611-$I$589)*MIN(J$3-$O$2,$Q$2)/$Q$2))</f>
        <v>6573.21530557778</v>
      </c>
      <c r="K611" s="15" t="n">
        <f aca="false">J611*(1+IF(K$3&lt;=$O$2,$D611,$D611-($D611-$I$589)*MIN(K$3-$O$2,$Q$2)/$Q$2))</f>
        <v>6620.21509840214</v>
      </c>
      <c r="L611" s="15" t="n">
        <f aca="false">K611*(1+IF(L$3&lt;=$O$2,$D611,$D611-($D611-$I$589)*MIN(L$3-$O$2,$Q$2)/$Q$2))</f>
        <v>6692.15564427742</v>
      </c>
      <c r="M611" s="15" t="n">
        <f aca="false">L611*(1+IF(M$3&lt;=$O$2,$D611,$D611-($D611-$I$589)*MIN(M$3-$O$2,$Q$2)/$Q$2))</f>
        <v>6789.75002308111</v>
      </c>
      <c r="N611" s="15" t="n">
        <f aca="false">M611*(1+IF(N$3&lt;=$O$2,$D611,$D611-($D611-$I$589)*MIN(N$3-$O$2,$Q$2)/$Q$2))</f>
        <v>6914.00244850349</v>
      </c>
      <c r="O611" s="15" t="n">
        <f aca="false">SUMPRODUCT(E611:N611,1/(1+$F$589)^$E$3:$N$3)*$E$2</f>
        <v>13480.1963635656</v>
      </c>
      <c r="P611" s="15" t="n">
        <f aca="false">N611*$E$2*(1+$I$589)/($F$589-$I$589)/(1+$F$589)^$N$3</f>
        <v>12875.0429272812</v>
      </c>
      <c r="Q611" s="15" t="n">
        <f aca="false">O611+P611</f>
        <v>26355.2392908468</v>
      </c>
      <c r="R611" s="15" t="n">
        <f aca="false">Q611-$G$2+$I$2</f>
        <v>19010.0392908468</v>
      </c>
      <c r="S611" s="42" t="n">
        <f aca="false">R611/$K$2</f>
        <v>81.014444026622</v>
      </c>
      <c r="T611" s="43" t="n">
        <f aca="false">S611-$M$2</f>
        <v>0.000167444478350376</v>
      </c>
    </row>
    <row r="612" customFormat="false" ht="15" hidden="false" customHeight="false" outlineLevel="0" collapsed="false">
      <c r="A612" s="5" t="n">
        <v>22</v>
      </c>
      <c r="B612" s="25" t="n">
        <f aca="false">IF(T611&gt;0,B611,D611)</f>
        <v>-0.000283718109130859</v>
      </c>
      <c r="C612" s="25" t="n">
        <f aca="false">IF(T611&gt;0,D611,C611)</f>
        <v>-0.000283002853393555</v>
      </c>
      <c r="D612" s="41" t="n">
        <f aca="false">(B612+C612)/2</f>
        <v>-0.000283360481262207</v>
      </c>
      <c r="E612" s="15" t="n">
        <f aca="false">$C$2*(1+IF(E$3&lt;=$O$2,$D612,$D612-($D612-$I$589)*MIN(E$3-$O$2,$Q$2)/$Q$2))</f>
        <v>6558.14115524292</v>
      </c>
      <c r="F612" s="15" t="n">
        <f aca="false">E612*(1+IF(F$3&lt;=$O$2,$D612,$D612-($D612-$I$589)*MIN(F$3-$O$2,$Q$2)/$Q$2))</f>
        <v>6556.28283720898</v>
      </c>
      <c r="G612" s="15" t="n">
        <f aca="false">F612*(1+IF(G$3&lt;=$O$2,$D612,$D612-($D612-$I$589)*MIN(G$3-$O$2,$Q$2)/$Q$2))</f>
        <v>6554.42504574894</v>
      </c>
      <c r="H612" s="15" t="n">
        <f aca="false">G612*(1+IF(H$3&lt;=$O$2,$D612,$D612-($D612-$I$589)*MIN(H$3-$O$2,$Q$2)/$Q$2))</f>
        <v>6552.56778071358</v>
      </c>
      <c r="I612" s="15" t="n">
        <f aca="false">H612*(1+IF(I$3&lt;=$O$2,$D612,$D612-($D612-$I$589)*MIN(I$3-$O$2,$Q$2)/$Q$2))</f>
        <v>6550.71104195374</v>
      </c>
      <c r="J612" s="15" t="n">
        <f aca="false">I612*(1+IF(J$3&lt;=$O$2,$D612,$D612-($D612-$I$589)*MIN(J$3-$O$2,$Q$2)/$Q$2))</f>
        <v>6573.20167426052</v>
      </c>
      <c r="K612" s="15" t="n">
        <f aca="false">J612*(1+IF(K$3&lt;=$O$2,$D612,$D612-($D612-$I$589)*MIN(K$3-$O$2,$Q$2)/$Q$2))</f>
        <v>6620.1999591622</v>
      </c>
      <c r="L612" s="15" t="n">
        <f aca="false">K612*(1+IF(L$3&lt;=$O$2,$D612,$D612-($D612-$I$589)*MIN(L$3-$O$2,$Q$2)/$Q$2))</f>
        <v>6692.1393934952</v>
      </c>
      <c r="M612" s="15" t="n">
        <f aca="false">L612*(1+IF(M$3&lt;=$O$2,$D612,$D612-($D612-$I$589)*MIN(M$3-$O$2,$Q$2)/$Q$2))</f>
        <v>6789.73305664813</v>
      </c>
      <c r="N612" s="15" t="n">
        <f aca="false">M612*(1+IF(N$3&lt;=$O$2,$D612,$D612-($D612-$I$589)*MIN(N$3-$O$2,$Q$2)/$Q$2))</f>
        <v>6913.98517158479</v>
      </c>
      <c r="O612" s="15" t="n">
        <f aca="false">SUMPRODUCT(E612:N612,1/(1+$F$589)^$E$3:$N$3)*$E$2</f>
        <v>13480.175603312</v>
      </c>
      <c r="P612" s="15" t="n">
        <f aca="false">N612*$E$2*(1+$I$589)/($F$589-$I$589)/(1+$F$589)^$N$3</f>
        <v>12875.010754734</v>
      </c>
      <c r="Q612" s="15" t="n">
        <f aca="false">O612+P612</f>
        <v>26355.186358046</v>
      </c>
      <c r="R612" s="15" t="n">
        <f aca="false">Q612-$G$2+$I$2</f>
        <v>19009.986358046</v>
      </c>
      <c r="S612" s="42" t="n">
        <f aca="false">R612/$K$2</f>
        <v>81.0142184446878</v>
      </c>
      <c r="T612" s="43" t="n">
        <f aca="false">S612-$M$2</f>
        <v>-5.81374558521475E-005</v>
      </c>
    </row>
    <row r="613" customFormat="false" ht="15" hidden="false" customHeight="false" outlineLevel="0" collapsed="false">
      <c r="A613" s="5" t="n">
        <v>23</v>
      </c>
      <c r="B613" s="25" t="n">
        <f aca="false">IF(T612&gt;0,B612,D612)</f>
        <v>-0.000283360481262207</v>
      </c>
      <c r="C613" s="25" t="n">
        <f aca="false">IF(T612&gt;0,D612,C612)</f>
        <v>-0.000283002853393555</v>
      </c>
      <c r="D613" s="41" t="n">
        <f aca="false">(B613+C613)/2</f>
        <v>-0.000283181667327881</v>
      </c>
      <c r="E613" s="15" t="n">
        <f aca="false">$C$2*(1+IF(E$3&lt;=$O$2,$D613,$D613-($D613-$I$589)*MIN(E$3-$O$2,$Q$2)/$Q$2))</f>
        <v>6558.14232826233</v>
      </c>
      <c r="F613" s="15" t="n">
        <f aca="false">E613*(1+IF(F$3&lt;=$O$2,$D613,$D613-($D613-$I$589)*MIN(F$3-$O$2,$Q$2)/$Q$2))</f>
        <v>6556.28518258324</v>
      </c>
      <c r="G613" s="15" t="n">
        <f aca="false">F613*(1+IF(G$3&lt;=$O$2,$D613,$D613-($D613-$I$589)*MIN(G$3-$O$2,$Q$2)/$Q$2))</f>
        <v>6554.42856281376</v>
      </c>
      <c r="H613" s="15" t="n">
        <f aca="false">G613*(1+IF(H$3&lt;=$O$2,$D613,$D613-($D613-$I$589)*MIN(H$3-$O$2,$Q$2)/$Q$2))</f>
        <v>6552.57246880496</v>
      </c>
      <c r="I613" s="15" t="n">
        <f aca="false">H613*(1+IF(I$3&lt;=$O$2,$D613,$D613-($D613-$I$589)*MIN(I$3-$O$2,$Q$2)/$Q$2))</f>
        <v>6550.71690040796</v>
      </c>
      <c r="J613" s="15" t="n">
        <f aca="false">I613*(1+IF(J$3&lt;=$O$2,$D613,$D613-($D613-$I$589)*MIN(J$3-$O$2,$Q$2)/$Q$2))</f>
        <v>6573.20848991621</v>
      </c>
      <c r="K613" s="15" t="n">
        <f aca="false">J613*(1+IF(K$3&lt;=$O$2,$D613,$D613-($D613-$I$589)*MIN(K$3-$O$2,$Q$2)/$Q$2))</f>
        <v>6620.20752877847</v>
      </c>
      <c r="L613" s="15" t="n">
        <f aca="false">K613*(1+IF(L$3&lt;=$O$2,$D613,$D613-($D613-$I$589)*MIN(L$3-$O$2,$Q$2)/$Q$2))</f>
        <v>6692.14751888204</v>
      </c>
      <c r="M613" s="15" t="n">
        <f aca="false">L613*(1+IF(M$3&lt;=$O$2,$D613,$D613-($D613-$I$589)*MIN(M$3-$O$2,$Q$2)/$Q$2))</f>
        <v>6789.74153985999</v>
      </c>
      <c r="N613" s="15" t="n">
        <f aca="false">M613*(1+IF(N$3&lt;=$O$2,$D613,$D613-($D613-$I$589)*MIN(N$3-$O$2,$Q$2)/$Q$2))</f>
        <v>6913.99381003943</v>
      </c>
      <c r="O613" s="15" t="n">
        <f aca="false">SUMPRODUCT(E613:N613,1/(1+$F$589)^$E$3:$N$3)*$E$2</f>
        <v>13480.1859834347</v>
      </c>
      <c r="P613" s="15" t="n">
        <f aca="false">N613*$E$2*(1+$I$589)/($F$589-$I$589)/(1+$F$589)^$N$3</f>
        <v>12875.0268409988</v>
      </c>
      <c r="Q613" s="15" t="n">
        <f aca="false">O613+P613</f>
        <v>26355.2128244335</v>
      </c>
      <c r="R613" s="15" t="n">
        <f aca="false">Q613-$G$2+$I$2</f>
        <v>19010.0128244335</v>
      </c>
      <c r="S613" s="42" t="n">
        <f aca="false">R613/$K$2</f>
        <v>81.0143312356</v>
      </c>
      <c r="T613" s="43" t="n">
        <f aca="false">S613-$M$2</f>
        <v>5.46534563738987E-005</v>
      </c>
    </row>
    <row r="614" customFormat="false" ht="15" hidden="false" customHeight="false" outlineLevel="0" collapsed="false">
      <c r="A614" s="5" t="n">
        <v>24</v>
      </c>
      <c r="B614" s="25" t="n">
        <f aca="false">IF(T613&gt;0,B613,D613)</f>
        <v>-0.000283360481262207</v>
      </c>
      <c r="C614" s="25" t="n">
        <f aca="false">IF(T613&gt;0,D613,C613)</f>
        <v>-0.000283181667327881</v>
      </c>
      <c r="D614" s="41" t="n">
        <f aca="false">(B614+C614)/2</f>
        <v>-0.000283271074295044</v>
      </c>
      <c r="E614" s="15" t="n">
        <f aca="false">$C$2*(1+IF(E$3&lt;=$O$2,$D614,$D614-($D614-$I$589)*MIN(E$3-$O$2,$Q$2)/$Q$2))</f>
        <v>6558.14174175262</v>
      </c>
      <c r="F614" s="15" t="n">
        <f aca="false">E614*(1+IF(F$3&lt;=$O$2,$D614,$D614-($D614-$I$589)*MIN(F$3-$O$2,$Q$2)/$Q$2))</f>
        <v>6556.28400989606</v>
      </c>
      <c r="G614" s="15" t="n">
        <f aca="false">F614*(1+IF(G$3&lt;=$O$2,$D614,$D614-($D614-$I$589)*MIN(G$3-$O$2,$Q$2)/$Q$2))</f>
        <v>6554.42680428119</v>
      </c>
      <c r="H614" s="15" t="n">
        <f aca="false">G614*(1+IF(H$3&lt;=$O$2,$D614,$D614-($D614-$I$589)*MIN(H$3-$O$2,$Q$2)/$Q$2))</f>
        <v>6552.57012475896</v>
      </c>
      <c r="I614" s="15" t="n">
        <f aca="false">H614*(1+IF(I$3&lt;=$O$2,$D614,$D614-($D614-$I$589)*MIN(I$3-$O$2,$Q$2)/$Q$2))</f>
        <v>6550.71397118032</v>
      </c>
      <c r="J614" s="15" t="n">
        <f aca="false">I614*(1+IF(J$3&lt;=$O$2,$D614,$D614-($D614-$I$589)*MIN(J$3-$O$2,$Q$2)/$Q$2))</f>
        <v>6573.20508208763</v>
      </c>
      <c r="K614" s="15" t="n">
        <f aca="false">J614*(1+IF(K$3&lt;=$O$2,$D614,$D614-($D614-$I$589)*MIN(K$3-$O$2,$Q$2)/$Q$2))</f>
        <v>6620.20374396941</v>
      </c>
      <c r="L614" s="15" t="n">
        <f aca="false">K614*(1+IF(L$3&lt;=$O$2,$D614,$D614-($D614-$I$589)*MIN(L$3-$O$2,$Q$2)/$Q$2))</f>
        <v>6692.14345618755</v>
      </c>
      <c r="M614" s="15" t="n">
        <f aca="false">L614*(1+IF(M$3&lt;=$O$2,$D614,$D614-($D614-$I$589)*MIN(M$3-$O$2,$Q$2)/$Q$2))</f>
        <v>6789.73729825291</v>
      </c>
      <c r="N614" s="15" t="n">
        <f aca="false">M614*(1+IF(N$3&lt;=$O$2,$D614,$D614-($D614-$I$589)*MIN(N$3-$O$2,$Q$2)/$Q$2))</f>
        <v>6913.98949081093</v>
      </c>
      <c r="O614" s="15" t="n">
        <f aca="false">SUMPRODUCT(E614:N614,1/(1+$F$589)^$E$3:$N$3)*$E$2</f>
        <v>13480.1807933723</v>
      </c>
      <c r="P614" s="15" t="n">
        <f aca="false">N614*$E$2*(1+$I$589)/($F$589-$I$589)/(1+$F$589)^$N$3</f>
        <v>12875.0187978642</v>
      </c>
      <c r="Q614" s="15" t="n">
        <f aca="false">O614+P614</f>
        <v>26355.1995912365</v>
      </c>
      <c r="R614" s="15" t="n">
        <f aca="false">Q614-$G$2+$I$2</f>
        <v>19009.9995912365</v>
      </c>
      <c r="S614" s="42" t="n">
        <f aca="false">R614/$K$2</f>
        <v>81.0142748401302</v>
      </c>
      <c r="T614" s="43" t="n">
        <f aca="false">S614-$M$2</f>
        <v>-1.74201345259917E-006</v>
      </c>
    </row>
    <row r="616" customFormat="false" ht="15" hidden="false" customHeight="false" outlineLevel="0" collapsed="false">
      <c r="A616" s="38" t="s">
        <v>204</v>
      </c>
      <c r="E616" s="5" t="s">
        <v>11</v>
      </c>
      <c r="F616" s="12" t="n">
        <f aca="false">Sensitivity!$B$14</f>
        <v>0.0912368036285737</v>
      </c>
      <c r="G616" s="5" t="s">
        <v>12</v>
      </c>
      <c r="I616" s="12" t="n">
        <f aca="false">Sensitivity!$D$9</f>
        <v>0.0233</v>
      </c>
    </row>
    <row r="617" customFormat="false" ht="23.85" hidden="false" customHeight="false" outlineLevel="0" collapsed="false">
      <c r="A617" s="38" t="s">
        <v>163</v>
      </c>
      <c r="B617" s="28" t="s">
        <v>164</v>
      </c>
      <c r="C617" s="28" t="s">
        <v>165</v>
      </c>
      <c r="D617" s="28" t="s">
        <v>166</v>
      </c>
      <c r="E617" s="28" t="s">
        <v>167</v>
      </c>
      <c r="F617" s="28" t="s">
        <v>168</v>
      </c>
      <c r="G617" s="28" t="s">
        <v>169</v>
      </c>
      <c r="H617" s="28" t="s">
        <v>170</v>
      </c>
      <c r="I617" s="28" t="s">
        <v>171</v>
      </c>
      <c r="J617" s="28" t="s">
        <v>172</v>
      </c>
      <c r="K617" s="28" t="s">
        <v>173</v>
      </c>
      <c r="L617" s="28" t="s">
        <v>174</v>
      </c>
      <c r="M617" s="28" t="s">
        <v>175</v>
      </c>
      <c r="N617" s="28" t="s">
        <v>176</v>
      </c>
      <c r="O617" s="28" t="s">
        <v>177</v>
      </c>
      <c r="P617" s="28" t="s">
        <v>178</v>
      </c>
      <c r="Q617" s="28" t="s">
        <v>179</v>
      </c>
      <c r="R617" s="28" t="s">
        <v>180</v>
      </c>
      <c r="S617" s="28" t="s">
        <v>181</v>
      </c>
      <c r="T617" s="28" t="s">
        <v>182</v>
      </c>
    </row>
    <row r="618" customFormat="false" ht="15" hidden="false" customHeight="false" outlineLevel="0" collapsed="false">
      <c r="A618" s="5" t="n">
        <v>1</v>
      </c>
      <c r="B618" s="24" t="n">
        <v>-0.5</v>
      </c>
      <c r="C618" s="24" t="n">
        <v>1</v>
      </c>
      <c r="D618" s="41" t="n">
        <f aca="false">(B618+C618)/2</f>
        <v>0.25</v>
      </c>
      <c r="E618" s="15" t="n">
        <f aca="false">$C$2*(1+IF(E$3&lt;=$O$2,$D618,$D618-($D618-$I$616)*MIN(E$3-$O$2,$Q$2)/$Q$2))</f>
        <v>8200</v>
      </c>
      <c r="F618" s="15" t="n">
        <f aca="false">E618*(1+IF(F$3&lt;=$O$2,$D618,$D618-($D618-$I$616)*MIN(F$3-$O$2,$Q$2)/$Q$2))</f>
        <v>10250</v>
      </c>
      <c r="G618" s="15" t="n">
        <f aca="false">F618*(1+IF(G$3&lt;=$O$2,$D618,$D618-($D618-$I$616)*MIN(G$3-$O$2,$Q$2)/$Q$2))</f>
        <v>12812.5</v>
      </c>
      <c r="H618" s="15" t="n">
        <f aca="false">G618*(1+IF(H$3&lt;=$O$2,$D618,$D618-($D618-$I$616)*MIN(H$3-$O$2,$Q$2)/$Q$2))</f>
        <v>16015.625</v>
      </c>
      <c r="I618" s="15" t="n">
        <f aca="false">H618*(1+IF(I$3&lt;=$O$2,$D618,$D618-($D618-$I$616)*MIN(I$3-$O$2,$Q$2)/$Q$2))</f>
        <v>20019.53125</v>
      </c>
      <c r="J618" s="15" t="n">
        <f aca="false">I618*(1+IF(J$3&lt;=$O$2,$D618,$D618-($D618-$I$616)*MIN(J$3-$O$2,$Q$2)/$Q$2))</f>
        <v>24116.728515625</v>
      </c>
      <c r="K618" s="15" t="n">
        <f aca="false">J618*(1+IF(K$3&lt;=$O$2,$D618,$D618-($D618-$I$616)*MIN(K$3-$O$2,$Q$2)/$Q$2))</f>
        <v>27959.0057027344</v>
      </c>
      <c r="L618" s="15" t="n">
        <f aca="false">K618*(1+IF(L$3&lt;=$O$2,$D618,$D618-($D618-$I$616)*MIN(L$3-$O$2,$Q$2)/$Q$2))</f>
        <v>31145.773172732</v>
      </c>
      <c r="M618" s="15" t="n">
        <f aca="false">L618*(1+IF(M$3&lt;=$O$2,$D618,$D618-($D618-$I$616)*MIN(M$3-$O$2,$Q$2)/$Q$2))</f>
        <v>33283.6190433084</v>
      </c>
      <c r="N618" s="15" t="n">
        <f aca="false">M618*(1+IF(N$3&lt;=$O$2,$D618,$D618-($D618-$I$616)*MIN(N$3-$O$2,$Q$2)/$Q$2))</f>
        <v>34059.1273670174</v>
      </c>
      <c r="O618" s="15" t="n">
        <f aca="false">SUMPRODUCT(E618:N618,1/(1+$F$616)^$E$3:$N$3)*$E$2</f>
        <v>39777.5706304708</v>
      </c>
      <c r="P618" s="15" t="n">
        <f aca="false">N618*$E$2*(1+$I$616)/($F$616-$I$616)/(1+$F$616)^$N$3</f>
        <v>68426.0579502139</v>
      </c>
      <c r="Q618" s="15" t="n">
        <f aca="false">O618+P618</f>
        <v>108203.628580685</v>
      </c>
      <c r="R618" s="15" t="n">
        <f aca="false">Q618-$G$2+$I$2</f>
        <v>100858.428580685</v>
      </c>
      <c r="S618" s="42" t="n">
        <f aca="false">R618/$K$2</f>
        <v>429.824967315937</v>
      </c>
      <c r="T618" s="43" t="n">
        <f aca="false">S618-$M$2</f>
        <v>348.810690733794</v>
      </c>
    </row>
    <row r="619" customFormat="false" ht="15" hidden="false" customHeight="false" outlineLevel="0" collapsed="false">
      <c r="A619" s="5" t="n">
        <v>2</v>
      </c>
      <c r="B619" s="25" t="n">
        <f aca="false">IF(T618&gt;0,B618,D618)</f>
        <v>-0.5</v>
      </c>
      <c r="C619" s="25" t="n">
        <f aca="false">IF(T618&gt;0,D618,C618)</f>
        <v>0.25</v>
      </c>
      <c r="D619" s="41" t="n">
        <f aca="false">(B619+C619)/2</f>
        <v>-0.125</v>
      </c>
      <c r="E619" s="15" t="n">
        <f aca="false">$C$2*(1+IF(E$3&lt;=$O$2,$D619,$D619-($D619-$I$616)*MIN(E$3-$O$2,$Q$2)/$Q$2))</f>
        <v>5740</v>
      </c>
      <c r="F619" s="15" t="n">
        <f aca="false">E619*(1+IF(F$3&lt;=$O$2,$D619,$D619-($D619-$I$616)*MIN(F$3-$O$2,$Q$2)/$Q$2))</f>
        <v>5022.5</v>
      </c>
      <c r="G619" s="15" t="n">
        <f aca="false">F619*(1+IF(G$3&lt;=$O$2,$D619,$D619-($D619-$I$616)*MIN(G$3-$O$2,$Q$2)/$Q$2))</f>
        <v>4394.6875</v>
      </c>
      <c r="H619" s="15" t="n">
        <f aca="false">G619*(1+IF(H$3&lt;=$O$2,$D619,$D619-($D619-$I$616)*MIN(H$3-$O$2,$Q$2)/$Q$2))</f>
        <v>3845.3515625</v>
      </c>
      <c r="I619" s="15" t="n">
        <f aca="false">H619*(1+IF(I$3&lt;=$O$2,$D619,$D619-($D619-$I$616)*MIN(I$3-$O$2,$Q$2)/$Q$2))</f>
        <v>3364.6826171875</v>
      </c>
      <c r="J619" s="15" t="n">
        <f aca="false">I619*(1+IF(J$3&lt;=$O$2,$D619,$D619-($D619-$I$616)*MIN(J$3-$O$2,$Q$2)/$Q$2))</f>
        <v>3043.89377646484</v>
      </c>
      <c r="K619" s="15" t="n">
        <f aca="false">J619*(1+IF(K$3&lt;=$O$2,$D619,$D619-($D619-$I$616)*MIN(K$3-$O$2,$Q$2)/$Q$2))</f>
        <v>2843.97083322663</v>
      </c>
      <c r="L619" s="15" t="n">
        <f aca="false">K619*(1+IF(L$3&lt;=$O$2,$D619,$D619-($D619-$I$616)*MIN(L$3-$O$2,$Q$2)/$Q$2))</f>
        <v>2741.53100381381</v>
      </c>
      <c r="M619" s="15" t="n">
        <f aca="false">L619*(1+IF(M$3&lt;=$O$2,$D619,$D619-($D619-$I$616)*MIN(M$3-$O$2,$Q$2)/$Q$2))</f>
        <v>2724.09486662955</v>
      </c>
      <c r="N619" s="15" t="n">
        <f aca="false">M619*(1+IF(N$3&lt;=$O$2,$D619,$D619-($D619-$I$616)*MIN(N$3-$O$2,$Q$2)/$Q$2))</f>
        <v>2787.56627702202</v>
      </c>
      <c r="O619" s="15" t="n">
        <f aca="false">SUMPRODUCT(E619:N619,1/(1+$F$616)^$E$3:$N$3)*$E$2</f>
        <v>7939.72875837553</v>
      </c>
      <c r="P619" s="15" t="n">
        <f aca="false">N619*$E$2*(1+$I$616)/($F$616-$I$616)/(1+$F$616)^$N$3</f>
        <v>5600.32468113919</v>
      </c>
      <c r="Q619" s="15" t="n">
        <f aca="false">O619+P619</f>
        <v>13540.0534395147</v>
      </c>
      <c r="R619" s="15" t="n">
        <f aca="false">Q619-$G$2+$I$2</f>
        <v>6194.85343951472</v>
      </c>
      <c r="S619" s="42" t="n">
        <f aca="false">R619/$K$2</f>
        <v>26.4003982080321</v>
      </c>
      <c r="T619" s="43" t="n">
        <f aca="false">S619-$M$2</f>
        <v>-54.6138783741116</v>
      </c>
    </row>
    <row r="620" customFormat="false" ht="15" hidden="false" customHeight="false" outlineLevel="0" collapsed="false">
      <c r="A620" s="5" t="n">
        <v>3</v>
      </c>
      <c r="B620" s="25" t="n">
        <f aca="false">IF(T619&gt;0,B619,D619)</f>
        <v>-0.125</v>
      </c>
      <c r="C620" s="25" t="n">
        <f aca="false">IF(T619&gt;0,D619,C619)</f>
        <v>0.25</v>
      </c>
      <c r="D620" s="41" t="n">
        <f aca="false">(B620+C620)/2</f>
        <v>0.0625</v>
      </c>
      <c r="E620" s="15" t="n">
        <f aca="false">$C$2*(1+IF(E$3&lt;=$O$2,$D620,$D620-($D620-$I$616)*MIN(E$3-$O$2,$Q$2)/$Q$2))</f>
        <v>6970</v>
      </c>
      <c r="F620" s="15" t="n">
        <f aca="false">E620*(1+IF(F$3&lt;=$O$2,$D620,$D620-($D620-$I$616)*MIN(F$3-$O$2,$Q$2)/$Q$2))</f>
        <v>7405.625</v>
      </c>
      <c r="G620" s="15" t="n">
        <f aca="false">F620*(1+IF(G$3&lt;=$O$2,$D620,$D620-($D620-$I$616)*MIN(G$3-$O$2,$Q$2)/$Q$2))</f>
        <v>7868.4765625</v>
      </c>
      <c r="H620" s="15" t="n">
        <f aca="false">G620*(1+IF(H$3&lt;=$O$2,$D620,$D620-($D620-$I$616)*MIN(H$3-$O$2,$Q$2)/$Q$2))</f>
        <v>8360.25634765625</v>
      </c>
      <c r="I620" s="15" t="n">
        <f aca="false">H620*(1+IF(I$3&lt;=$O$2,$D620,$D620-($D620-$I$616)*MIN(I$3-$O$2,$Q$2)/$Q$2))</f>
        <v>8882.77236938477</v>
      </c>
      <c r="J620" s="15" t="n">
        <f aca="false">I620*(1+IF(J$3&lt;=$O$2,$D620,$D620-($D620-$I$616)*MIN(J$3-$O$2,$Q$2)/$Q$2))</f>
        <v>9368.30470709534</v>
      </c>
      <c r="K620" s="15" t="n">
        <f aca="false">J620*(1+IF(K$3&lt;=$O$2,$D620,$D620-($D620-$I$616)*MIN(K$3-$O$2,$Q$2)/$Q$2))</f>
        <v>9806.92873348154</v>
      </c>
      <c r="L620" s="15" t="n">
        <f aca="false">K620*(1+IF(L$3&lt;=$O$2,$D620,$D620-($D620-$I$616)*MIN(L$3-$O$2,$Q$2)/$Q$2))</f>
        <v>10189.2028155127</v>
      </c>
      <c r="M620" s="15" t="n">
        <f aca="false">L620*(1+IF(M$3&lt;=$O$2,$D620,$D620-($D620-$I$616)*MIN(M$3-$O$2,$Q$2)/$Q$2))</f>
        <v>10506.4945911877</v>
      </c>
      <c r="N620" s="15" t="n">
        <f aca="false">M620*(1+IF(N$3&lt;=$O$2,$D620,$D620-($D620-$I$616)*MIN(N$3-$O$2,$Q$2)/$Q$2))</f>
        <v>10751.2959151624</v>
      </c>
      <c r="O620" s="15" t="n">
        <f aca="false">SUMPRODUCT(E620:N620,1/(1+$F$616)^$E$3:$N$3)*$E$2</f>
        <v>17729.0702942609</v>
      </c>
      <c r="P620" s="15" t="n">
        <f aca="false">N620*$E$2*(1+$I$616)/($F$616-$I$616)/(1+$F$616)^$N$3</f>
        <v>21599.754726635</v>
      </c>
      <c r="Q620" s="15" t="n">
        <f aca="false">O620+P620</f>
        <v>39328.8250208959</v>
      </c>
      <c r="R620" s="15" t="n">
        <f aca="false">Q620-$G$2+$I$2</f>
        <v>31983.6250208959</v>
      </c>
      <c r="S620" s="42" t="n">
        <f aca="false">R620/$K$2</f>
        <v>136.30353727209</v>
      </c>
      <c r="T620" s="43" t="n">
        <f aca="false">S620-$M$2</f>
        <v>55.2892606899462</v>
      </c>
    </row>
    <row r="621" customFormat="false" ht="15" hidden="false" customHeight="false" outlineLevel="0" collapsed="false">
      <c r="A621" s="5" t="n">
        <v>4</v>
      </c>
      <c r="B621" s="25" t="n">
        <f aca="false">IF(T620&gt;0,B620,D620)</f>
        <v>-0.125</v>
      </c>
      <c r="C621" s="25" t="n">
        <f aca="false">IF(T620&gt;0,D620,C620)</f>
        <v>0.0625</v>
      </c>
      <c r="D621" s="41" t="n">
        <f aca="false">(B621+C621)/2</f>
        <v>-0.03125</v>
      </c>
      <c r="E621" s="15" t="n">
        <f aca="false">$C$2*(1+IF(E$3&lt;=$O$2,$D621,$D621-($D621-$I$616)*MIN(E$3-$O$2,$Q$2)/$Q$2))</f>
        <v>6355</v>
      </c>
      <c r="F621" s="15" t="n">
        <f aca="false">E621*(1+IF(F$3&lt;=$O$2,$D621,$D621-($D621-$I$616)*MIN(F$3-$O$2,$Q$2)/$Q$2))</f>
        <v>6156.40625</v>
      </c>
      <c r="G621" s="15" t="n">
        <f aca="false">F621*(1+IF(G$3&lt;=$O$2,$D621,$D621-($D621-$I$616)*MIN(G$3-$O$2,$Q$2)/$Q$2))</f>
        <v>5964.0185546875</v>
      </c>
      <c r="H621" s="15" t="n">
        <f aca="false">G621*(1+IF(H$3&lt;=$O$2,$D621,$D621-($D621-$I$616)*MIN(H$3-$O$2,$Q$2)/$Q$2))</f>
        <v>5777.64297485352</v>
      </c>
      <c r="I621" s="15" t="n">
        <f aca="false">H621*(1+IF(I$3&lt;=$O$2,$D621,$D621-($D621-$I$616)*MIN(I$3-$O$2,$Q$2)/$Q$2))</f>
        <v>5597.09163188934</v>
      </c>
      <c r="J621" s="15" t="n">
        <f aca="false">I621*(1+IF(J$3&lt;=$O$2,$D621,$D621-($D621-$I$616)*MIN(J$3-$O$2,$Q$2)/$Q$2))</f>
        <v>5483.24678809671</v>
      </c>
      <c r="K621" s="15" t="n">
        <f aca="false">J621*(1+IF(K$3&lt;=$O$2,$D621,$D621-($D621-$I$616)*MIN(K$3-$O$2,$Q$2)/$Q$2))</f>
        <v>5431.53977088496</v>
      </c>
      <c r="L621" s="15" t="n">
        <f aca="false">K621*(1+IF(L$3&lt;=$O$2,$D621,$D621-($D621-$I$616)*MIN(L$3-$O$2,$Q$2)/$Q$2))</f>
        <v>5439.57844974587</v>
      </c>
      <c r="M621" s="15" t="n">
        <f aca="false">L621*(1+IF(M$3&lt;=$O$2,$D621,$D621-($D621-$I$616)*MIN(M$3-$O$2,$Q$2)/$Q$2))</f>
        <v>5506.97482673822</v>
      </c>
      <c r="N621" s="15" t="n">
        <f aca="false">M621*(1+IF(N$3&lt;=$O$2,$D621,$D621-($D621-$I$616)*MIN(N$3-$O$2,$Q$2)/$Q$2))</f>
        <v>5635.28734020122</v>
      </c>
      <c r="O621" s="15" t="n">
        <f aca="false">SUMPRODUCT(E621:N621,1/(1+$F$616)^$E$3:$N$3)*$E$2</f>
        <v>11828.6735038076</v>
      </c>
      <c r="P621" s="15" t="n">
        <f aca="false">N621*$E$2*(1+$I$616)/($F$616-$I$616)/(1+$F$616)^$N$3</f>
        <v>11321.5025726152</v>
      </c>
      <c r="Q621" s="15" t="n">
        <f aca="false">O621+P621</f>
        <v>23150.1760764227</v>
      </c>
      <c r="R621" s="15" t="n">
        <f aca="false">Q621-$G$2+$I$2</f>
        <v>15804.9760764227</v>
      </c>
      <c r="S621" s="42" t="n">
        <f aca="false">R621/$K$2</f>
        <v>67.3555340993937</v>
      </c>
      <c r="T621" s="43" t="n">
        <f aca="false">S621-$M$2</f>
        <v>-13.6587424827499</v>
      </c>
    </row>
    <row r="622" customFormat="false" ht="15" hidden="false" customHeight="false" outlineLevel="0" collapsed="false">
      <c r="A622" s="5" t="n">
        <v>5</v>
      </c>
      <c r="B622" s="25" t="n">
        <f aca="false">IF(T621&gt;0,B621,D621)</f>
        <v>-0.03125</v>
      </c>
      <c r="C622" s="25" t="n">
        <f aca="false">IF(T621&gt;0,D621,C621)</f>
        <v>0.0625</v>
      </c>
      <c r="D622" s="41" t="n">
        <f aca="false">(B622+C622)/2</f>
        <v>0.015625</v>
      </c>
      <c r="E622" s="15" t="n">
        <f aca="false">$C$2*(1+IF(E$3&lt;=$O$2,$D622,$D622-($D622-$I$616)*MIN(E$3-$O$2,$Q$2)/$Q$2))</f>
        <v>6662.5</v>
      </c>
      <c r="F622" s="15" t="n">
        <f aca="false">E622*(1+IF(F$3&lt;=$O$2,$D622,$D622-($D622-$I$616)*MIN(F$3-$O$2,$Q$2)/$Q$2))</f>
        <v>6766.6015625</v>
      </c>
      <c r="G622" s="15" t="n">
        <f aca="false">F622*(1+IF(G$3&lt;=$O$2,$D622,$D622-($D622-$I$616)*MIN(G$3-$O$2,$Q$2)/$Q$2))</f>
        <v>6872.32971191406</v>
      </c>
      <c r="H622" s="15" t="n">
        <f aca="false">G622*(1+IF(H$3&lt;=$O$2,$D622,$D622-($D622-$I$616)*MIN(H$3-$O$2,$Q$2)/$Q$2))</f>
        <v>6979.70986366272</v>
      </c>
      <c r="I622" s="15" t="n">
        <f aca="false">H622*(1+IF(I$3&lt;=$O$2,$D622,$D622-($D622-$I$616)*MIN(I$3-$O$2,$Q$2)/$Q$2))</f>
        <v>7088.76783028245</v>
      </c>
      <c r="J622" s="15" t="n">
        <f aca="false">I622*(1+IF(J$3&lt;=$O$2,$D622,$D622-($D622-$I$616)*MIN(J$3-$O$2,$Q$2)/$Q$2))</f>
        <v>7210.4110862501</v>
      </c>
      <c r="K622" s="15" t="n">
        <f aca="false">J622*(1+IF(K$3&lt;=$O$2,$D622,$D622-($D622-$I$616)*MIN(K$3-$O$2,$Q$2)/$Q$2))</f>
        <v>7345.20972150754</v>
      </c>
      <c r="L622" s="15" t="n">
        <f aca="false">K622*(1+IF(L$3&lt;=$O$2,$D622,$D622-($D622-$I$616)*MIN(L$3-$O$2,$Q$2)/$Q$2))</f>
        <v>7493.80331417364</v>
      </c>
      <c r="M622" s="15" t="n">
        <f aca="false">L622*(1+IF(M$3&lt;=$O$2,$D622,$D622-($D622-$I$616)*MIN(M$3-$O$2,$Q$2)/$Q$2))</f>
        <v>7656.90594330663</v>
      </c>
      <c r="N622" s="15" t="n">
        <f aca="false">M622*(1+IF(N$3&lt;=$O$2,$D622,$D622-($D622-$I$616)*MIN(N$3-$O$2,$Q$2)/$Q$2))</f>
        <v>7835.31185178568</v>
      </c>
      <c r="O622" s="15" t="n">
        <f aca="false">SUMPRODUCT(E622:N622,1/(1+$F$616)^$E$3:$N$3)*$E$2</f>
        <v>14475.1065789762</v>
      </c>
      <c r="P622" s="15" t="n">
        <f aca="false">N622*$E$2*(1+$I$616)/($F$616-$I$616)/(1+$F$616)^$N$3</f>
        <v>15741.4339202207</v>
      </c>
      <c r="Q622" s="15" t="n">
        <f aca="false">O622+P622</f>
        <v>30216.5404991969</v>
      </c>
      <c r="R622" s="15" t="n">
        <f aca="false">Q622-$G$2+$I$2</f>
        <v>22871.3404991969</v>
      </c>
      <c r="S622" s="42" t="n">
        <f aca="false">R622/$K$2</f>
        <v>97.4700213049089</v>
      </c>
      <c r="T622" s="43" t="n">
        <f aca="false">S622-$M$2</f>
        <v>16.4557447227652</v>
      </c>
    </row>
    <row r="623" customFormat="false" ht="15" hidden="false" customHeight="false" outlineLevel="0" collapsed="false">
      <c r="A623" s="5" t="n">
        <v>6</v>
      </c>
      <c r="B623" s="25" t="n">
        <f aca="false">IF(T622&gt;0,B622,D622)</f>
        <v>-0.03125</v>
      </c>
      <c r="C623" s="25" t="n">
        <f aca="false">IF(T622&gt;0,D622,C622)</f>
        <v>0.015625</v>
      </c>
      <c r="D623" s="41" t="n">
        <f aca="false">(B623+C623)/2</f>
        <v>-0.0078125</v>
      </c>
      <c r="E623" s="15" t="n">
        <f aca="false">$C$2*(1+IF(E$3&lt;=$O$2,$D623,$D623-($D623-$I$616)*MIN(E$3-$O$2,$Q$2)/$Q$2))</f>
        <v>6508.75</v>
      </c>
      <c r="F623" s="15" t="n">
        <f aca="false">E623*(1+IF(F$3&lt;=$O$2,$D623,$D623-($D623-$I$616)*MIN(F$3-$O$2,$Q$2)/$Q$2))</f>
        <v>6457.900390625</v>
      </c>
      <c r="G623" s="15" t="n">
        <f aca="false">F623*(1+IF(G$3&lt;=$O$2,$D623,$D623-($D623-$I$616)*MIN(G$3-$O$2,$Q$2)/$Q$2))</f>
        <v>6407.44804382324</v>
      </c>
      <c r="H623" s="15" t="n">
        <f aca="false">G623*(1+IF(H$3&lt;=$O$2,$D623,$D623-($D623-$I$616)*MIN(H$3-$O$2,$Q$2)/$Q$2))</f>
        <v>6357.38985598087</v>
      </c>
      <c r="I623" s="15" t="n">
        <f aca="false">H623*(1+IF(I$3&lt;=$O$2,$D623,$D623-($D623-$I$616)*MIN(I$3-$O$2,$Q$2)/$Q$2))</f>
        <v>6307.72274773102</v>
      </c>
      <c r="J623" s="15" t="n">
        <f aca="false">I623*(1+IF(J$3&lt;=$O$2,$D623,$D623-($D623-$I$616)*MIN(J$3-$O$2,$Q$2)/$Q$2))</f>
        <v>6297.69346856213</v>
      </c>
      <c r="K623" s="15" t="n">
        <f aca="false">J623*(1+IF(K$3&lt;=$O$2,$D623,$D623-($D623-$I$616)*MIN(K$3-$O$2,$Q$2)/$Q$2))</f>
        <v>6326.86753355524</v>
      </c>
      <c r="L623" s="15" t="n">
        <f aca="false">K623*(1+IF(L$3&lt;=$O$2,$D623,$D623-($D623-$I$616)*MIN(L$3-$O$2,$Q$2)/$Q$2))</f>
        <v>6395.54568063199</v>
      </c>
      <c r="M623" s="15" t="n">
        <f aca="false">L623*(1+IF(M$3&lt;=$O$2,$D623,$D623-($D623-$I$616)*MIN(M$3-$O$2,$Q$2)/$Q$2))</f>
        <v>6504.76561199298</v>
      </c>
      <c r="N623" s="15" t="n">
        <f aca="false">M623*(1+IF(N$3&lt;=$O$2,$D623,$D623-($D623-$I$616)*MIN(N$3-$O$2,$Q$2)/$Q$2))</f>
        <v>6656.32665075242</v>
      </c>
      <c r="O623" s="15" t="n">
        <f aca="false">SUMPRODUCT(E623:N623,1/(1+$F$616)^$E$3:$N$3)*$E$2</f>
        <v>13083.2075677779</v>
      </c>
      <c r="P623" s="15" t="n">
        <f aca="false">N623*$E$2*(1+$I$616)/($F$616-$I$616)/(1+$F$616)^$N$3</f>
        <v>13372.8086521972</v>
      </c>
      <c r="Q623" s="15" t="n">
        <f aca="false">O623+P623</f>
        <v>26456.0162199752</v>
      </c>
      <c r="R623" s="15" t="n">
        <f aca="false">Q623-$G$2+$I$2</f>
        <v>19110.8162199752</v>
      </c>
      <c r="S623" s="42" t="n">
        <f aca="false">R623/$K$2</f>
        <v>81.4439216704674</v>
      </c>
      <c r="T623" s="43" t="n">
        <f aca="false">S623-$M$2</f>
        <v>0.429645088323724</v>
      </c>
    </row>
    <row r="624" customFormat="false" ht="15" hidden="false" customHeight="false" outlineLevel="0" collapsed="false">
      <c r="A624" s="5" t="n">
        <v>7</v>
      </c>
      <c r="B624" s="25" t="n">
        <f aca="false">IF(T623&gt;0,B623,D623)</f>
        <v>-0.03125</v>
      </c>
      <c r="C624" s="25" t="n">
        <f aca="false">IF(T623&gt;0,D623,C623)</f>
        <v>-0.0078125</v>
      </c>
      <c r="D624" s="41" t="n">
        <f aca="false">(B624+C624)/2</f>
        <v>-0.01953125</v>
      </c>
      <c r="E624" s="15" t="n">
        <f aca="false">$C$2*(1+IF(E$3&lt;=$O$2,$D624,$D624-($D624-$I$616)*MIN(E$3-$O$2,$Q$2)/$Q$2))</f>
        <v>6431.875</v>
      </c>
      <c r="F624" s="15" t="n">
        <f aca="false">E624*(1+IF(F$3&lt;=$O$2,$D624,$D624-($D624-$I$616)*MIN(F$3-$O$2,$Q$2)/$Q$2))</f>
        <v>6306.25244140625</v>
      </c>
      <c r="G624" s="15" t="n">
        <f aca="false">F624*(1+IF(G$3&lt;=$O$2,$D624,$D624-($D624-$I$616)*MIN(G$3-$O$2,$Q$2)/$Q$2))</f>
        <v>6183.08344841003</v>
      </c>
      <c r="H624" s="15" t="n">
        <f aca="false">G624*(1+IF(H$3&lt;=$O$2,$D624,$D624-($D624-$I$616)*MIN(H$3-$O$2,$Q$2)/$Q$2))</f>
        <v>6062.32009980828</v>
      </c>
      <c r="I624" s="15" t="n">
        <f aca="false">H624*(1+IF(I$3&lt;=$O$2,$D624,$D624-($D624-$I$616)*MIN(I$3-$O$2,$Q$2)/$Q$2))</f>
        <v>5943.9154103589</v>
      </c>
      <c r="J624" s="15" t="n">
        <f aca="false">I624*(1+IF(J$3&lt;=$O$2,$D624,$D624-($D624-$I$616)*MIN(J$3-$O$2,$Q$2)/$Q$2))</f>
        <v>5878.74037788431</v>
      </c>
      <c r="K624" s="15" t="n">
        <f aca="false">J624*(1+IF(K$3&lt;=$O$2,$D624,$D624-($D624-$I$616)*MIN(K$3-$O$2,$Q$2)/$Q$2))</f>
        <v>5864.63874940286</v>
      </c>
      <c r="L624" s="15" t="n">
        <f aca="false">K624*(1+IF(L$3&lt;=$O$2,$D624,$D624-($D624-$I$616)*MIN(L$3-$O$2,$Q$2)/$Q$2))</f>
        <v>5900.8089088898</v>
      </c>
      <c r="M624" s="15" t="n">
        <f aca="false">L624*(1+IF(M$3&lt;=$O$2,$D624,$D624-($D624-$I$616)*MIN(M$3-$O$2,$Q$2)/$Q$2))</f>
        <v>5987.74995215116</v>
      </c>
      <c r="N624" s="15" t="n">
        <f aca="false">M624*(1+IF(N$3&lt;=$O$2,$D624,$D624-($D624-$I$616)*MIN(N$3-$O$2,$Q$2)/$Q$2))</f>
        <v>6127.26452603628</v>
      </c>
      <c r="O624" s="15" t="n">
        <f aca="false">SUMPRODUCT(E624:N624,1/(1+$F$616)^$E$3:$N$3)*$E$2</f>
        <v>12439.610461398</v>
      </c>
      <c r="P624" s="15" t="n">
        <f aca="false">N624*$E$2*(1+$I$616)/($F$616-$I$616)/(1+$F$616)^$N$3</f>
        <v>12309.9030993043</v>
      </c>
      <c r="Q624" s="15" t="n">
        <f aca="false">O624+P624</f>
        <v>24749.5135607023</v>
      </c>
      <c r="R624" s="15" t="n">
        <f aca="false">Q624-$G$2+$I$2</f>
        <v>17404.3135607023</v>
      </c>
      <c r="S624" s="42" t="n">
        <f aca="false">R624/$K$2</f>
        <v>74.1713767769115</v>
      </c>
      <c r="T624" s="43" t="n">
        <f aca="false">S624-$M$2</f>
        <v>-6.84289980523212</v>
      </c>
    </row>
    <row r="625" customFormat="false" ht="15" hidden="false" customHeight="false" outlineLevel="0" collapsed="false">
      <c r="A625" s="5" t="n">
        <v>8</v>
      </c>
      <c r="B625" s="25" t="n">
        <f aca="false">IF(T624&gt;0,B624,D624)</f>
        <v>-0.01953125</v>
      </c>
      <c r="C625" s="25" t="n">
        <f aca="false">IF(T624&gt;0,D624,C624)</f>
        <v>-0.0078125</v>
      </c>
      <c r="D625" s="41" t="n">
        <f aca="false">(B625+C625)/2</f>
        <v>-0.013671875</v>
      </c>
      <c r="E625" s="15" t="n">
        <f aca="false">$C$2*(1+IF(E$3&lt;=$O$2,$D625,$D625-($D625-$I$616)*MIN(E$3-$O$2,$Q$2)/$Q$2))</f>
        <v>6470.3125</v>
      </c>
      <c r="F625" s="15" t="n">
        <f aca="false">E625*(1+IF(F$3&lt;=$O$2,$D625,$D625-($D625-$I$616)*MIN(F$3-$O$2,$Q$2)/$Q$2))</f>
        <v>6381.85119628906</v>
      </c>
      <c r="G625" s="15" t="n">
        <f aca="false">F625*(1+IF(G$3&lt;=$O$2,$D625,$D625-($D625-$I$616)*MIN(G$3-$O$2,$Q$2)/$Q$2))</f>
        <v>6294.5993244648</v>
      </c>
      <c r="H625" s="15" t="n">
        <f aca="false">G625*(1+IF(H$3&lt;=$O$2,$D625,$D625-($D625-$I$616)*MIN(H$3-$O$2,$Q$2)/$Q$2))</f>
        <v>6208.54034932563</v>
      </c>
      <c r="I625" s="15" t="n">
        <f aca="false">H625*(1+IF(I$3&lt;=$O$2,$D625,$D625-($D625-$I$616)*MIN(I$3-$O$2,$Q$2)/$Q$2))</f>
        <v>6123.65796173719</v>
      </c>
      <c r="J625" s="15" t="n">
        <f aca="false">I625*(1+IF(J$3&lt;=$O$2,$D625,$D625-($D625-$I$616)*MIN(J$3-$O$2,$Q$2)/$Q$2))</f>
        <v>6085.21669888239</v>
      </c>
      <c r="K625" s="15" t="n">
        <f aca="false">J625*(1+IF(K$3&lt;=$O$2,$D625,$D625-($D625-$I$616)*MIN(K$3-$O$2,$Q$2)/$Q$2))</f>
        <v>6092.01312528295</v>
      </c>
      <c r="L625" s="15" t="n">
        <f aca="false">K625*(1+IF(L$3&lt;=$O$2,$D625,$D625-($D625-$I$616)*MIN(L$3-$O$2,$Q$2)/$Q$2))</f>
        <v>6143.86377199552</v>
      </c>
      <c r="M625" s="15" t="n">
        <f aca="false">L625*(1+IF(M$3&lt;=$O$2,$D625,$D625-($D625-$I$616)*MIN(M$3-$O$2,$Q$2)/$Q$2))</f>
        <v>6241.58576520396</v>
      </c>
      <c r="N625" s="15" t="n">
        <f aca="false">M625*(1+IF(N$3&lt;=$O$2,$D625,$D625-($D625-$I$616)*MIN(N$3-$O$2,$Q$2)/$Q$2))</f>
        <v>6387.01471353322</v>
      </c>
      <c r="O625" s="15" t="n">
        <f aca="false">SUMPRODUCT(E625:N625,1/(1+$F$616)^$E$3:$N$3)*$E$2</f>
        <v>12757.2242738385</v>
      </c>
      <c r="P625" s="15" t="n">
        <f aca="false">N625*$E$2*(1+$I$616)/($F$616-$I$616)/(1+$F$616)^$N$3</f>
        <v>12831.7509197349</v>
      </c>
      <c r="Q625" s="15" t="n">
        <f aca="false">O625+P625</f>
        <v>25588.9751935734</v>
      </c>
      <c r="R625" s="15" t="n">
        <f aca="false">Q625-$G$2+$I$2</f>
        <v>18243.7751935734</v>
      </c>
      <c r="S625" s="42" t="n">
        <f aca="false">R625/$K$2</f>
        <v>77.7488821375385</v>
      </c>
      <c r="T625" s="43" t="n">
        <f aca="false">S625-$M$2</f>
        <v>-3.26539444460516</v>
      </c>
    </row>
    <row r="626" customFormat="false" ht="15" hidden="false" customHeight="false" outlineLevel="0" collapsed="false">
      <c r="A626" s="5" t="n">
        <v>9</v>
      </c>
      <c r="B626" s="25" t="n">
        <f aca="false">IF(T625&gt;0,B625,D625)</f>
        <v>-0.013671875</v>
      </c>
      <c r="C626" s="25" t="n">
        <f aca="false">IF(T625&gt;0,D625,C625)</f>
        <v>-0.0078125</v>
      </c>
      <c r="D626" s="41" t="n">
        <f aca="false">(B626+C626)/2</f>
        <v>-0.0107421875</v>
      </c>
      <c r="E626" s="15" t="n">
        <f aca="false">$C$2*(1+IF(E$3&lt;=$O$2,$D626,$D626-($D626-$I$616)*MIN(E$3-$O$2,$Q$2)/$Q$2))</f>
        <v>6489.53125</v>
      </c>
      <c r="F626" s="15" t="n">
        <f aca="false">E626*(1+IF(F$3&lt;=$O$2,$D626,$D626-($D626-$I$616)*MIN(F$3-$O$2,$Q$2)/$Q$2))</f>
        <v>6419.81948852539</v>
      </c>
      <c r="G626" s="15" t="n">
        <f aca="false">F626*(1+IF(G$3&lt;=$O$2,$D626,$D626-($D626-$I$616)*MIN(G$3-$O$2,$Q$2)/$Q$2))</f>
        <v>6350.8565838635</v>
      </c>
      <c r="H626" s="15" t="n">
        <f aca="false">G626*(1+IF(H$3&lt;=$O$2,$D626,$D626-($D626-$I$616)*MIN(H$3-$O$2,$Q$2)/$Q$2))</f>
        <v>6282.63449165403</v>
      </c>
      <c r="I626" s="15" t="n">
        <f aca="false">H626*(1+IF(I$3&lt;=$O$2,$D626,$D626-($D626-$I$616)*MIN(I$3-$O$2,$Q$2)/$Q$2))</f>
        <v>6215.14525395071</v>
      </c>
      <c r="J626" s="15" t="n">
        <f aca="false">I626*(1+IF(J$3&lt;=$O$2,$D626,$D626-($D626-$I$616)*MIN(J$3-$O$2,$Q$2)/$Q$2))</f>
        <v>6190.69642630798</v>
      </c>
      <c r="K626" s="15" t="n">
        <f aca="false">J626*(1+IF(K$3&lt;=$O$2,$D626,$D626-($D626-$I$616)*MIN(K$3-$O$2,$Q$2)/$Q$2))</f>
        <v>6208.49274394099</v>
      </c>
      <c r="L626" s="15" t="n">
        <f aca="false">K626*(1+IF(L$3&lt;=$O$2,$D626,$D626-($D626-$I$616)*MIN(L$3-$O$2,$Q$2)/$Q$2))</f>
        <v>6268.61035524216</v>
      </c>
      <c r="M626" s="15" t="n">
        <f aca="false">L626*(1+IF(M$3&lt;=$O$2,$D626,$D626-($D626-$I$616)*MIN(M$3-$O$2,$Q$2)/$Q$2))</f>
        <v>6371.98953470378</v>
      </c>
      <c r="N626" s="15" t="n">
        <f aca="false">M626*(1+IF(N$3&lt;=$O$2,$D626,$D626-($D626-$I$616)*MIN(N$3-$O$2,$Q$2)/$Q$2))</f>
        <v>6520.45689086238</v>
      </c>
      <c r="O626" s="15" t="n">
        <f aca="false">SUMPRODUCT(E626:N626,1/(1+$F$616)^$E$3:$N$3)*$E$2</f>
        <v>12919.1567128663</v>
      </c>
      <c r="P626" s="15" t="n">
        <f aca="false">N626*$E$2*(1+$I$616)/($F$616-$I$616)/(1+$F$616)^$N$3</f>
        <v>13099.8412339856</v>
      </c>
      <c r="Q626" s="15" t="n">
        <f aca="false">O626+P626</f>
        <v>26018.9979468518</v>
      </c>
      <c r="R626" s="15" t="n">
        <f aca="false">Q626-$G$2+$I$2</f>
        <v>18673.7979468518</v>
      </c>
      <c r="S626" s="42" t="n">
        <f aca="false">R626/$K$2</f>
        <v>79.5814956183756</v>
      </c>
      <c r="T626" s="43" t="n">
        <f aca="false">S626-$M$2</f>
        <v>-1.432780963768</v>
      </c>
    </row>
    <row r="627" customFormat="false" ht="15" hidden="false" customHeight="false" outlineLevel="0" collapsed="false">
      <c r="A627" s="5" t="n">
        <v>10</v>
      </c>
      <c r="B627" s="25" t="n">
        <f aca="false">IF(T626&gt;0,B626,D626)</f>
        <v>-0.0107421875</v>
      </c>
      <c r="C627" s="25" t="n">
        <f aca="false">IF(T626&gt;0,D626,C626)</f>
        <v>-0.0078125</v>
      </c>
      <c r="D627" s="41" t="n">
        <f aca="false">(B627+C627)/2</f>
        <v>-0.00927734375</v>
      </c>
      <c r="E627" s="15" t="n">
        <f aca="false">$C$2*(1+IF(E$3&lt;=$O$2,$D627,$D627-($D627-$I$616)*MIN(E$3-$O$2,$Q$2)/$Q$2))</f>
        <v>6499.140625</v>
      </c>
      <c r="F627" s="15" t="n">
        <f aca="false">E627*(1+IF(F$3&lt;=$O$2,$D627,$D627-($D627-$I$616)*MIN(F$3-$O$2,$Q$2)/$Q$2))</f>
        <v>6438.84586334229</v>
      </c>
      <c r="G627" s="15" t="n">
        <f aca="false">F627*(1+IF(G$3&lt;=$O$2,$D627,$D627-($D627-$I$616)*MIN(G$3-$O$2,$Q$2)/$Q$2))</f>
        <v>6379.11047691479</v>
      </c>
      <c r="H627" s="15" t="n">
        <f aca="false">G627*(1+IF(H$3&lt;=$O$2,$D627,$D627-($D627-$I$616)*MIN(H$3-$O$2,$Q$2)/$Q$2))</f>
        <v>6319.92927620123</v>
      </c>
      <c r="I627" s="15" t="n">
        <f aca="false">H627*(1+IF(I$3&lt;=$O$2,$D627,$D627-($D627-$I$616)*MIN(I$3-$O$2,$Q$2)/$Q$2))</f>
        <v>6261.29711983022</v>
      </c>
      <c r="J627" s="15" t="n">
        <f aca="false">I627*(1+IF(J$3&lt;=$O$2,$D627,$D627-($D627-$I$616)*MIN(J$3-$O$2,$Q$2)/$Q$2))</f>
        <v>6244.00419984739</v>
      </c>
      <c r="K627" s="15" t="n">
        <f aca="false">J627*(1+IF(K$3&lt;=$O$2,$D627,$D627-($D627-$I$616)*MIN(K$3-$O$2,$Q$2)/$Q$2))</f>
        <v>6267.44165498691</v>
      </c>
      <c r="L627" s="15" t="n">
        <f aca="false">K627*(1+IF(L$3&lt;=$O$2,$D627,$D627-($D627-$I$616)*MIN(L$3-$O$2,$Q$2)/$Q$2))</f>
        <v>6331.80240505707</v>
      </c>
      <c r="M627" s="15" t="n">
        <f aca="false">L627*(1+IF(M$3&lt;=$O$2,$D627,$D627-($D627-$I$616)*MIN(M$3-$O$2,$Q$2)/$Q$2))</f>
        <v>6438.07874039358</v>
      </c>
      <c r="N627" s="15" t="n">
        <f aca="false">M627*(1+IF(N$3&lt;=$O$2,$D627,$D627-($D627-$I$616)*MIN(N$3-$O$2,$Q$2)/$Q$2))</f>
        <v>6588.08597504475</v>
      </c>
      <c r="O627" s="15" t="n">
        <f aca="false">SUMPRODUCT(E627:N627,1/(1+$F$616)^$E$3:$N$3)*$E$2</f>
        <v>13000.9156949731</v>
      </c>
      <c r="P627" s="15" t="n">
        <f aca="false">N627*$E$2*(1+$I$616)/($F$616-$I$616)/(1+$F$616)^$N$3</f>
        <v>13235.7105879921</v>
      </c>
      <c r="Q627" s="15" t="n">
        <f aca="false">O627+P627</f>
        <v>26236.6262829652</v>
      </c>
      <c r="R627" s="15" t="n">
        <f aca="false">Q627-$G$2+$I$2</f>
        <v>18891.4262829652</v>
      </c>
      <c r="S627" s="42" t="n">
        <f aca="false">R627/$K$2</f>
        <v>80.5089549668236</v>
      </c>
      <c r="T627" s="43" t="n">
        <f aca="false">S627-$M$2</f>
        <v>-0.505321615320042</v>
      </c>
    </row>
    <row r="628" customFormat="false" ht="15" hidden="false" customHeight="false" outlineLevel="0" collapsed="false">
      <c r="A628" s="5" t="n">
        <v>11</v>
      </c>
      <c r="B628" s="25" t="n">
        <f aca="false">IF(T627&gt;0,B627,D627)</f>
        <v>-0.00927734375</v>
      </c>
      <c r="C628" s="25" t="n">
        <f aca="false">IF(T627&gt;0,D627,C627)</f>
        <v>-0.0078125</v>
      </c>
      <c r="D628" s="41" t="n">
        <f aca="false">(B628+C628)/2</f>
        <v>-0.008544921875</v>
      </c>
      <c r="E628" s="15" t="n">
        <f aca="false">$C$2*(1+IF(E$3&lt;=$O$2,$D628,$D628-($D628-$I$616)*MIN(E$3-$O$2,$Q$2)/$Q$2))</f>
        <v>6503.9453125</v>
      </c>
      <c r="F628" s="15" t="n">
        <f aca="false">E628*(1+IF(F$3&lt;=$O$2,$D628,$D628-($D628-$I$616)*MIN(F$3-$O$2,$Q$2)/$Q$2))</f>
        <v>6448.36960792542</v>
      </c>
      <c r="G628" s="15" t="n">
        <f aca="false">F628*(1+IF(G$3&lt;=$O$2,$D628,$D628-($D628-$I$616)*MIN(G$3-$O$2,$Q$2)/$Q$2))</f>
        <v>6393.26879340457</v>
      </c>
      <c r="H628" s="15" t="n">
        <f aca="false">G628*(1+IF(H$3&lt;=$O$2,$D628,$D628-($D628-$I$616)*MIN(H$3-$O$2,$Q$2)/$Q$2))</f>
        <v>6338.63881103905</v>
      </c>
      <c r="I628" s="15" t="n">
        <f aca="false">H628*(1+IF(I$3&lt;=$O$2,$D628,$D628-($D628-$I$616)*MIN(I$3-$O$2,$Q$2)/$Q$2))</f>
        <v>6284.47563760488</v>
      </c>
      <c r="J628" s="15" t="n">
        <f aca="false">I628*(1+IF(J$3&lt;=$O$2,$D628,$D628-($D628-$I$616)*MIN(J$3-$O$2,$Q$2)/$Q$2))</f>
        <v>6270.80101139718</v>
      </c>
      <c r="K628" s="15" t="n">
        <f aca="false">J628*(1+IF(K$3&lt;=$O$2,$D628,$D628-($D628-$I$616)*MIN(K$3-$O$2,$Q$2)/$Q$2))</f>
        <v>6297.09477398176</v>
      </c>
      <c r="L628" s="15" t="n">
        <f aca="false">K628*(1+IF(L$3&lt;=$O$2,$D628,$D628-($D628-$I$616)*MIN(L$3-$O$2,$Q$2)/$Q$2))</f>
        <v>6363.60488576877</v>
      </c>
      <c r="M628" s="15" t="n">
        <f aca="false">L628*(1+IF(M$3&lt;=$O$2,$D628,$D628-($D628-$I$616)*MIN(M$3-$O$2,$Q$2)/$Q$2))</f>
        <v>6471.34717952105</v>
      </c>
      <c r="N628" s="15" t="n">
        <f aca="false">M628*(1+IF(N$3&lt;=$O$2,$D628,$D628-($D628-$I$616)*MIN(N$3-$O$2,$Q$2)/$Q$2))</f>
        <v>6622.12956880389</v>
      </c>
      <c r="O628" s="15" t="n">
        <f aca="false">SUMPRODUCT(E628:N628,1/(1+$F$616)^$E$3:$N$3)*$E$2</f>
        <v>13041.9948136413</v>
      </c>
      <c r="P628" s="15" t="n">
        <f aca="false">N628*$E$2*(1+$I$616)/($F$616-$I$616)/(1+$F$616)^$N$3</f>
        <v>13304.1054383444</v>
      </c>
      <c r="Q628" s="15" t="n">
        <f aca="false">O628+P628</f>
        <v>26346.1002519857</v>
      </c>
      <c r="R628" s="15" t="n">
        <f aca="false">Q628-$G$2+$I$2</f>
        <v>19000.9002519857</v>
      </c>
      <c r="S628" s="42" t="n">
        <f aca="false">R628/$K$2</f>
        <v>80.9754964925875</v>
      </c>
      <c r="T628" s="43" t="n">
        <f aca="false">S628-$M$2</f>
        <v>-0.0387800895560844</v>
      </c>
    </row>
    <row r="629" customFormat="false" ht="15" hidden="false" customHeight="false" outlineLevel="0" collapsed="false">
      <c r="A629" s="5" t="n">
        <v>12</v>
      </c>
      <c r="B629" s="25" t="n">
        <f aca="false">IF(T628&gt;0,B628,D628)</f>
        <v>-0.008544921875</v>
      </c>
      <c r="C629" s="25" t="n">
        <f aca="false">IF(T628&gt;0,D628,C628)</f>
        <v>-0.0078125</v>
      </c>
      <c r="D629" s="41" t="n">
        <f aca="false">(B629+C629)/2</f>
        <v>-0.0081787109375</v>
      </c>
      <c r="E629" s="15" t="n">
        <f aca="false">$C$2*(1+IF(E$3&lt;=$O$2,$D629,$D629-($D629-$I$616)*MIN(E$3-$O$2,$Q$2)/$Q$2))</f>
        <v>6506.34765625</v>
      </c>
      <c r="F629" s="15" t="n">
        <f aca="false">E629*(1+IF(F$3&lt;=$O$2,$D629,$D629-($D629-$I$616)*MIN(F$3-$O$2,$Q$2)/$Q$2))</f>
        <v>6453.13411951065</v>
      </c>
      <c r="G629" s="15" t="n">
        <f aca="false">F629*(1+IF(G$3&lt;=$O$2,$D629,$D629-($D629-$I$616)*MIN(G$3-$O$2,$Q$2)/$Q$2))</f>
        <v>6400.35580090625</v>
      </c>
      <c r="H629" s="15" t="n">
        <f aca="false">G629*(1+IF(H$3&lt;=$O$2,$D629,$D629-($D629-$I$616)*MIN(H$3-$O$2,$Q$2)/$Q$2))</f>
        <v>6348.00914091349</v>
      </c>
      <c r="I629" s="15" t="n">
        <f aca="false">H629*(1+IF(I$3&lt;=$O$2,$D629,$D629-($D629-$I$616)*MIN(I$3-$O$2,$Q$2)/$Q$2))</f>
        <v>6296.09060912135</v>
      </c>
      <c r="J629" s="15" t="n">
        <f aca="false">I629*(1+IF(J$3&lt;=$O$2,$D629,$D629-($D629-$I$616)*MIN(J$3-$O$2,$Q$2)/$Q$2))</f>
        <v>6284.23526725721</v>
      </c>
      <c r="K629" s="15" t="n">
        <f aca="false">J629*(1+IF(K$3&lt;=$O$2,$D629,$D629-($D629-$I$616)*MIN(K$3-$O$2,$Q$2)/$Q$2))</f>
        <v>6311.96617371956</v>
      </c>
      <c r="L629" s="15" t="n">
        <f aca="false">K629*(1+IF(L$3&lt;=$O$2,$D629,$D629-($D629-$I$616)*MIN(L$3-$O$2,$Q$2)/$Q$2))</f>
        <v>6379.55796211531</v>
      </c>
      <c r="M629" s="15" t="n">
        <f aca="false">L629*(1+IF(M$3&lt;=$O$2,$D629,$D629-($D629-$I$616)*MIN(M$3-$O$2,$Q$2)/$Q$2))</f>
        <v>6488.0376104329</v>
      </c>
      <c r="N629" s="15" t="n">
        <f aca="false">M629*(1+IF(N$3&lt;=$O$2,$D629,$D629-($D629-$I$616)*MIN(N$3-$O$2,$Q$2)/$Q$2))</f>
        <v>6639.20888675599</v>
      </c>
      <c r="O629" s="15" t="n">
        <f aca="false">SUMPRODUCT(E629:N629,1/(1+$F$616)^$E$3:$N$3)*$E$2</f>
        <v>13062.5844604152</v>
      </c>
      <c r="P629" s="15" t="n">
        <f aca="false">N629*$E$2*(1+$I$616)/($F$616-$I$616)/(1+$F$616)^$N$3</f>
        <v>13338.4184255019</v>
      </c>
      <c r="Q629" s="15" t="n">
        <f aca="false">O629+P629</f>
        <v>26401.0028859171</v>
      </c>
      <c r="R629" s="15" t="n">
        <f aca="false">Q629-$G$2+$I$2</f>
        <v>19055.8028859171</v>
      </c>
      <c r="S629" s="42" t="n">
        <f aca="false">R629/$K$2</f>
        <v>81.2094731980272</v>
      </c>
      <c r="T629" s="43" t="n">
        <f aca="false">S629-$M$2</f>
        <v>0.195196615883603</v>
      </c>
    </row>
    <row r="630" customFormat="false" ht="15" hidden="false" customHeight="false" outlineLevel="0" collapsed="false">
      <c r="A630" s="5" t="n">
        <v>13</v>
      </c>
      <c r="B630" s="25" t="n">
        <f aca="false">IF(T629&gt;0,B629,D629)</f>
        <v>-0.008544921875</v>
      </c>
      <c r="C630" s="25" t="n">
        <f aca="false">IF(T629&gt;0,D629,C629)</f>
        <v>-0.0081787109375</v>
      </c>
      <c r="D630" s="41" t="n">
        <f aca="false">(B630+C630)/2</f>
        <v>-0.00836181640625</v>
      </c>
      <c r="E630" s="15" t="n">
        <f aca="false">$C$2*(1+IF(E$3&lt;=$O$2,$D630,$D630-($D630-$I$616)*MIN(E$3-$O$2,$Q$2)/$Q$2))</f>
        <v>6505.146484375</v>
      </c>
      <c r="F630" s="15" t="n">
        <f aca="false">E630*(1+IF(F$3&lt;=$O$2,$D630,$D630-($D630-$I$616)*MIN(F$3-$O$2,$Q$2)/$Q$2))</f>
        <v>6450.75164377689</v>
      </c>
      <c r="G630" s="15" t="n">
        <f aca="false">F630*(1+IF(G$3&lt;=$O$2,$D630,$D630-($D630-$I$616)*MIN(G$3-$O$2,$Q$2)/$Q$2))</f>
        <v>6396.81164284932</v>
      </c>
      <c r="H630" s="15" t="n">
        <f aca="false">G630*(1+IF(H$3&lt;=$O$2,$D630,$D630-($D630-$I$616)*MIN(H$3-$O$2,$Q$2)/$Q$2))</f>
        <v>6343.32267830645</v>
      </c>
      <c r="I630" s="15" t="n">
        <f aca="false">H630*(1+IF(I$3&lt;=$O$2,$D630,$D630-($D630-$I$616)*MIN(I$3-$O$2,$Q$2)/$Q$2))</f>
        <v>6290.28097866485</v>
      </c>
      <c r="J630" s="15" t="n">
        <f aca="false">I630*(1+IF(J$3&lt;=$O$2,$D630,$D630-($D630-$I$616)*MIN(J$3-$O$2,$Q$2)/$Q$2))</f>
        <v>6277.51514827557</v>
      </c>
      <c r="K630" s="15" t="n">
        <f aca="false">J630*(1+IF(K$3&lt;=$O$2,$D630,$D630-($D630-$I$616)*MIN(K$3-$O$2,$Q$2)/$Q$2))</f>
        <v>6304.5267319631</v>
      </c>
      <c r="L630" s="15" t="n">
        <f aca="false">K630*(1+IF(L$3&lt;=$O$2,$D630,$D630-($D630-$I$616)*MIN(L$3-$O$2,$Q$2)/$Q$2))</f>
        <v>6371.57709765155</v>
      </c>
      <c r="M630" s="15" t="n">
        <f aca="false">L630*(1+IF(M$3&lt;=$O$2,$D630,$D630-($D630-$I$616)*MIN(M$3-$O$2,$Q$2)/$Q$2))</f>
        <v>6479.68770317001</v>
      </c>
      <c r="N630" s="15" t="n">
        <f aca="false">M630*(1+IF(N$3&lt;=$O$2,$D630,$D630-($D630-$I$616)*MIN(N$3-$O$2,$Q$2)/$Q$2))</f>
        <v>6630.66442665387</v>
      </c>
      <c r="O630" s="15" t="n">
        <f aca="false">SUMPRODUCT(E630:N630,1/(1+$F$616)^$E$3:$N$3)*$E$2</f>
        <v>13052.28545769</v>
      </c>
      <c r="P630" s="15" t="n">
        <f aca="false">N630*$E$2*(1+$I$616)/($F$616-$I$616)/(1+$F$616)^$N$3</f>
        <v>13321.2522862817</v>
      </c>
      <c r="Q630" s="15" t="n">
        <f aca="false">O630+P630</f>
        <v>26373.5377439717</v>
      </c>
      <c r="R630" s="15" t="n">
        <f aca="false">Q630-$G$2+$I$2</f>
        <v>19028.3377439717</v>
      </c>
      <c r="S630" s="42" t="n">
        <f aca="false">R630/$K$2</f>
        <v>81.0924259278571</v>
      </c>
      <c r="T630" s="43" t="n">
        <f aca="false">S630-$M$2</f>
        <v>0.0781493457134701</v>
      </c>
    </row>
    <row r="631" customFormat="false" ht="15" hidden="false" customHeight="false" outlineLevel="0" collapsed="false">
      <c r="A631" s="5" t="n">
        <v>14</v>
      </c>
      <c r="B631" s="25" t="n">
        <f aca="false">IF(T630&gt;0,B630,D630)</f>
        <v>-0.008544921875</v>
      </c>
      <c r="C631" s="25" t="n">
        <f aca="false">IF(T630&gt;0,D630,C630)</f>
        <v>-0.00836181640625</v>
      </c>
      <c r="D631" s="41" t="n">
        <f aca="false">(B631+C631)/2</f>
        <v>-0.008453369140625</v>
      </c>
      <c r="E631" s="15" t="n">
        <f aca="false">$C$2*(1+IF(E$3&lt;=$O$2,$D631,$D631-($D631-$I$616)*MIN(E$3-$O$2,$Q$2)/$Q$2))</f>
        <v>6504.5458984375</v>
      </c>
      <c r="F631" s="15" t="n">
        <f aca="false">E631*(1+IF(F$3&lt;=$O$2,$D631,$D631-($D631-$I$616)*MIN(F$3-$O$2,$Q$2)/$Q$2))</f>
        <v>6449.56057086587</v>
      </c>
      <c r="G631" s="15" t="n">
        <f aca="false">F631*(1+IF(G$3&lt;=$O$2,$D631,$D631-($D631-$I$616)*MIN(G$3-$O$2,$Q$2)/$Q$2))</f>
        <v>6395.04005456552</v>
      </c>
      <c r="H631" s="15" t="n">
        <f aca="false">G631*(1+IF(H$3&lt;=$O$2,$D631,$D631-($D631-$I$616)*MIN(H$3-$O$2,$Q$2)/$Q$2))</f>
        <v>6340.9804203152</v>
      </c>
      <c r="I631" s="15" t="n">
        <f aca="false">H631*(1+IF(I$3&lt;=$O$2,$D631,$D631-($D631-$I$616)*MIN(I$3-$O$2,$Q$2)/$Q$2))</f>
        <v>6287.3777721088</v>
      </c>
      <c r="J631" s="15" t="n">
        <f aca="false">I631*(1+IF(J$3&lt;=$O$2,$D631,$D631-($D631-$I$616)*MIN(J$3-$O$2,$Q$2)/$Q$2))</f>
        <v>6274.15733233947</v>
      </c>
      <c r="K631" s="15" t="n">
        <f aca="false">J631*(1+IF(K$3&lt;=$O$2,$D631,$D631-($D631-$I$616)*MIN(K$3-$O$2,$Q$2)/$Q$2))</f>
        <v>6300.8098178909</v>
      </c>
      <c r="L631" s="15" t="n">
        <f aca="false">K631*(1+IF(L$3&lt;=$O$2,$D631,$D631-($D631-$I$616)*MIN(L$3-$O$2,$Q$2)/$Q$2))</f>
        <v>6367.58991063481</v>
      </c>
      <c r="M631" s="15" t="n">
        <f aca="false">L631*(1+IF(M$3&lt;=$O$2,$D631,$D631-($D631-$I$616)*MIN(M$3-$O$2,$Q$2)/$Q$2))</f>
        <v>6475.5162689589</v>
      </c>
      <c r="N631" s="15" t="n">
        <f aca="false">M631*(1+IF(N$3&lt;=$O$2,$D631,$D631-($D631-$I$616)*MIN(N$3-$O$2,$Q$2)/$Q$2))</f>
        <v>6626.39579802564</v>
      </c>
      <c r="O631" s="15" t="n">
        <f aca="false">SUMPRODUCT(E631:N631,1/(1+$F$616)^$E$3:$N$3)*$E$2</f>
        <v>13047.1390912353</v>
      </c>
      <c r="P631" s="15" t="n">
        <f aca="false">N631*$E$2*(1+$I$616)/($F$616-$I$616)/(1+$F$616)^$N$3</f>
        <v>13312.6764520644</v>
      </c>
      <c r="Q631" s="15" t="n">
        <f aca="false">O631+P631</f>
        <v>26359.8155432997</v>
      </c>
      <c r="R631" s="15" t="n">
        <f aca="false">Q631-$G$2+$I$2</f>
        <v>19014.6155432997</v>
      </c>
      <c r="S631" s="42" t="n">
        <f aca="false">R631/$K$2</f>
        <v>81.0339464875333</v>
      </c>
      <c r="T631" s="43" t="n">
        <f aca="false">S631-$M$2</f>
        <v>0.0196699053897191</v>
      </c>
    </row>
    <row r="632" customFormat="false" ht="15" hidden="false" customHeight="false" outlineLevel="0" collapsed="false">
      <c r="A632" s="5" t="n">
        <v>15</v>
      </c>
      <c r="B632" s="25" t="n">
        <f aca="false">IF(T631&gt;0,B631,D631)</f>
        <v>-0.008544921875</v>
      </c>
      <c r="C632" s="25" t="n">
        <f aca="false">IF(T631&gt;0,D631,C631)</f>
        <v>-0.008453369140625</v>
      </c>
      <c r="D632" s="41" t="n">
        <f aca="false">(B632+C632)/2</f>
        <v>-0.0084991455078125</v>
      </c>
      <c r="E632" s="15" t="n">
        <f aca="false">$C$2*(1+IF(E$3&lt;=$O$2,$D632,$D632-($D632-$I$616)*MIN(E$3-$O$2,$Q$2)/$Q$2))</f>
        <v>6504.24560546875</v>
      </c>
      <c r="F632" s="15" t="n">
        <f aca="false">E632*(1+IF(F$3&lt;=$O$2,$D632,$D632-($D632-$I$616)*MIN(F$3-$O$2,$Q$2)/$Q$2))</f>
        <v>6448.96507564932</v>
      </c>
      <c r="G632" s="15" t="n">
        <f aca="false">F632*(1+IF(G$3&lt;=$O$2,$D632,$D632-($D632-$I$616)*MIN(G$3-$O$2,$Q$2)/$Q$2))</f>
        <v>6394.15438309658</v>
      </c>
      <c r="H632" s="15" t="n">
        <f aca="false">G632*(1+IF(H$3&lt;=$O$2,$D632,$D632-($D632-$I$616)*MIN(H$3-$O$2,$Q$2)/$Q$2))</f>
        <v>6339.80953459522</v>
      </c>
      <c r="I632" s="15" t="n">
        <f aca="false">H632*(1+IF(I$3&lt;=$O$2,$D632,$D632-($D632-$I$616)*MIN(I$3-$O$2,$Q$2)/$Q$2))</f>
        <v>6285.92657086888</v>
      </c>
      <c r="J632" s="15" t="n">
        <f aca="false">I632*(1+IF(J$3&lt;=$O$2,$D632,$D632-($D632-$I$616)*MIN(J$3-$O$2,$Q$2)/$Q$2))</f>
        <v>6272.47898502734</v>
      </c>
      <c r="K632" s="15" t="n">
        <f aca="false">J632*(1+IF(K$3&lt;=$O$2,$D632,$D632-($D632-$I$616)*MIN(K$3-$O$2,$Q$2)/$Q$2))</f>
        <v>6298.95206221473</v>
      </c>
      <c r="L632" s="15" t="n">
        <f aca="false">K632*(1+IF(L$3&lt;=$O$2,$D632,$D632-($D632-$I$616)*MIN(L$3-$O$2,$Q$2)/$Q$2))</f>
        <v>6365.59712799509</v>
      </c>
      <c r="M632" s="15" t="n">
        <f aca="false">L632*(1+IF(M$3&lt;=$O$2,$D632,$D632-($D632-$I$616)*MIN(M$3-$O$2,$Q$2)/$Q$2))</f>
        <v>6473.43143121393</v>
      </c>
      <c r="N632" s="15" t="n">
        <f aca="false">M632*(1+IF(N$3&lt;=$O$2,$D632,$D632-($D632-$I$616)*MIN(N$3-$O$2,$Q$2)/$Q$2))</f>
        <v>6624.26238356122</v>
      </c>
      <c r="O632" s="15" t="n">
        <f aca="false">SUMPRODUCT(E632:N632,1/(1+$F$616)^$E$3:$N$3)*$E$2</f>
        <v>13044.5666913812</v>
      </c>
      <c r="P632" s="15" t="n">
        <f aca="false">N632*$E$2*(1+$I$616)/($F$616-$I$616)/(1+$F$616)^$N$3</f>
        <v>13308.3903427874</v>
      </c>
      <c r="Q632" s="15" t="n">
        <f aca="false">O632+P632</f>
        <v>26352.9570341686</v>
      </c>
      <c r="R632" s="15" t="n">
        <f aca="false">Q632-$G$2+$I$2</f>
        <v>19007.7570341686</v>
      </c>
      <c r="S632" s="42" t="n">
        <f aca="false">R632/$K$2</f>
        <v>81.0047178102221</v>
      </c>
      <c r="T632" s="43" t="n">
        <f aca="false">S632-$M$2</f>
        <v>-0.00955877192151888</v>
      </c>
    </row>
    <row r="633" customFormat="false" ht="15" hidden="false" customHeight="false" outlineLevel="0" collapsed="false">
      <c r="A633" s="5" t="n">
        <v>16</v>
      </c>
      <c r="B633" s="25" t="n">
        <f aca="false">IF(T632&gt;0,B632,D632)</f>
        <v>-0.0084991455078125</v>
      </c>
      <c r="C633" s="25" t="n">
        <f aca="false">IF(T632&gt;0,D632,C632)</f>
        <v>-0.008453369140625</v>
      </c>
      <c r="D633" s="41" t="n">
        <f aca="false">(B633+C633)/2</f>
        <v>-0.00847625732421875</v>
      </c>
      <c r="E633" s="15" t="n">
        <f aca="false">$C$2*(1+IF(E$3&lt;=$O$2,$D633,$D633-($D633-$I$616)*MIN(E$3-$O$2,$Q$2)/$Q$2))</f>
        <v>6504.39575195313</v>
      </c>
      <c r="F633" s="15" t="n">
        <f aca="false">E633*(1+IF(F$3&lt;=$O$2,$D633,$D633-($D633-$I$616)*MIN(F$3-$O$2,$Q$2)/$Q$2))</f>
        <v>6449.26281982102</v>
      </c>
      <c r="G633" s="15" t="n">
        <f aca="false">F633*(1+IF(G$3&lt;=$O$2,$D633,$D633-($D633-$I$616)*MIN(G$3-$O$2,$Q$2)/$Q$2))</f>
        <v>6394.5972086087</v>
      </c>
      <c r="H633" s="15" t="n">
        <f aca="false">G633*(1+IF(H$3&lt;=$O$2,$D633,$D633-($D633-$I$616)*MIN(H$3-$O$2,$Q$2)/$Q$2))</f>
        <v>6340.3949571838</v>
      </c>
      <c r="I633" s="15" t="n">
        <f aca="false">H633*(1+IF(I$3&lt;=$O$2,$D633,$D633-($D633-$I$616)*MIN(I$3-$O$2,$Q$2)/$Q$2))</f>
        <v>6286.65213798953</v>
      </c>
      <c r="J633" s="15" t="n">
        <f aca="false">I633*(1+IF(J$3&lt;=$O$2,$D633,$D633-($D633-$I$616)*MIN(J$3-$O$2,$Q$2)/$Q$2))</f>
        <v>6273.318111969</v>
      </c>
      <c r="K633" s="15" t="n">
        <f aca="false">J633*(1+IF(K$3&lt;=$O$2,$D633,$D633-($D633-$I$616)*MIN(K$3-$O$2,$Q$2)/$Q$2))</f>
        <v>6299.88088161631</v>
      </c>
      <c r="L633" s="15" t="n">
        <f aca="false">K633*(1+IF(L$3&lt;=$O$2,$D633,$D633-($D633-$I$616)*MIN(L$3-$O$2,$Q$2)/$Q$2))</f>
        <v>6366.59345175551</v>
      </c>
      <c r="M633" s="15" t="n">
        <f aca="false">L633*(1+IF(M$3&lt;=$O$2,$D633,$D633-($D633-$I$616)*MIN(M$3-$O$2,$Q$2)/$Q$2))</f>
        <v>6474.47377682107</v>
      </c>
      <c r="N633" s="15" t="n">
        <f aca="false">M633*(1+IF(N$3&lt;=$O$2,$D633,$D633-($D633-$I$616)*MIN(N$3-$O$2,$Q$2)/$Q$2))</f>
        <v>6625.32901582101</v>
      </c>
      <c r="O633" s="15" t="n">
        <f aca="false">SUMPRODUCT(E633:N633,1/(1+$F$616)^$E$3:$N$3)*$E$2</f>
        <v>13045.8528260376</v>
      </c>
      <c r="P633" s="15" t="n">
        <f aca="false">N633*$E$2*(1+$I$616)/($F$616-$I$616)/(1+$F$616)^$N$3</f>
        <v>13310.5332468035</v>
      </c>
      <c r="Q633" s="15" t="n">
        <f aca="false">O633+P633</f>
        <v>26356.3860728412</v>
      </c>
      <c r="R633" s="15" t="n">
        <f aca="false">Q633-$G$2+$I$2</f>
        <v>19011.1860728412</v>
      </c>
      <c r="S633" s="42" t="n">
        <f aca="false">R633/$K$2</f>
        <v>81.0193312288139</v>
      </c>
      <c r="T633" s="43" t="n">
        <f aca="false">S633-$M$2</f>
        <v>0.00505464667027411</v>
      </c>
    </row>
    <row r="634" customFormat="false" ht="15" hidden="false" customHeight="false" outlineLevel="0" collapsed="false">
      <c r="A634" s="5" t="n">
        <v>17</v>
      </c>
      <c r="B634" s="25" t="n">
        <f aca="false">IF(T633&gt;0,B633,D633)</f>
        <v>-0.0084991455078125</v>
      </c>
      <c r="C634" s="25" t="n">
        <f aca="false">IF(T633&gt;0,D633,C633)</f>
        <v>-0.00847625732421875</v>
      </c>
      <c r="D634" s="41" t="n">
        <f aca="false">(B634+C634)/2</f>
        <v>-0.00848770141601563</v>
      </c>
      <c r="E634" s="15" t="n">
        <f aca="false">$C$2*(1+IF(E$3&lt;=$O$2,$D634,$D634-($D634-$I$616)*MIN(E$3-$O$2,$Q$2)/$Q$2))</f>
        <v>6504.32067871094</v>
      </c>
      <c r="F634" s="15" t="n">
        <f aca="false">E634*(1+IF(F$3&lt;=$O$2,$D634,$D634-($D634-$I$616)*MIN(F$3-$O$2,$Q$2)/$Q$2))</f>
        <v>6449.11394687602</v>
      </c>
      <c r="G634" s="15" t="n">
        <f aca="false">F634*(1+IF(G$3&lt;=$O$2,$D634,$D634-($D634-$I$616)*MIN(G$3-$O$2,$Q$2)/$Q$2))</f>
        <v>6394.37579329708</v>
      </c>
      <c r="H634" s="15" t="n">
        <f aca="false">G634*(1+IF(H$3&lt;=$O$2,$D634,$D634-($D634-$I$616)*MIN(H$3-$O$2,$Q$2)/$Q$2))</f>
        <v>6340.10224082177</v>
      </c>
      <c r="I634" s="15" t="n">
        <f aca="false">H634*(1+IF(I$3&lt;=$O$2,$D634,$D634-($D634-$I$616)*MIN(I$3-$O$2,$Q$2)/$Q$2))</f>
        <v>6286.28934605467</v>
      </c>
      <c r="J634" s="15" t="n">
        <f aca="false">I634*(1+IF(J$3&lt;=$O$2,$D634,$D634-($D634-$I$616)*MIN(J$3-$O$2,$Q$2)/$Q$2))</f>
        <v>6272.89853682009</v>
      </c>
      <c r="K634" s="15" t="n">
        <f aca="false">J634*(1+IF(K$3&lt;=$O$2,$D634,$D634-($D634-$I$616)*MIN(K$3-$O$2,$Q$2)/$Q$2))</f>
        <v>6299.41645730716</v>
      </c>
      <c r="L634" s="15" t="n">
        <f aca="false">K634*(1+IF(L$3&lt;=$O$2,$D634,$D634-($D634-$I$616)*MIN(L$3-$O$2,$Q$2)/$Q$2))</f>
        <v>6366.09527298641</v>
      </c>
      <c r="M634" s="15" t="n">
        <f aca="false">L634*(1+IF(M$3&lt;=$O$2,$D634,$D634-($D634-$I$616)*MIN(M$3-$O$2,$Q$2)/$Q$2))</f>
        <v>6473.95258570227</v>
      </c>
      <c r="N634" s="15" t="n">
        <f aca="false">M634*(1+IF(N$3&lt;=$O$2,$D634,$D634-($D634-$I$616)*MIN(N$3-$O$2,$Q$2)/$Q$2))</f>
        <v>6624.79568094914</v>
      </c>
      <c r="O634" s="15" t="n">
        <f aca="false">SUMPRODUCT(E634:N634,1/(1+$F$616)^$E$3:$N$3)*$E$2</f>
        <v>13045.2097423926</v>
      </c>
      <c r="P634" s="15" t="n">
        <f aca="false">N634*$E$2*(1+$I$616)/($F$616-$I$616)/(1+$F$616)^$N$3</f>
        <v>13309.4617571422</v>
      </c>
      <c r="Q634" s="15" t="n">
        <f aca="false">O634+P634</f>
        <v>26354.6714995347</v>
      </c>
      <c r="R634" s="15" t="n">
        <f aca="false">Q634-$G$2+$I$2</f>
        <v>19009.4714995347</v>
      </c>
      <c r="S634" s="42" t="n">
        <f aca="false">R634/$K$2</f>
        <v>81.0120242895151</v>
      </c>
      <c r="T634" s="43" t="n">
        <f aca="false">S634-$M$2</f>
        <v>-0.00225229262851201</v>
      </c>
    </row>
    <row r="635" customFormat="false" ht="15" hidden="false" customHeight="false" outlineLevel="0" collapsed="false">
      <c r="A635" s="5" t="n">
        <v>18</v>
      </c>
      <c r="B635" s="25" t="n">
        <f aca="false">IF(T634&gt;0,B634,D634)</f>
        <v>-0.00848770141601563</v>
      </c>
      <c r="C635" s="25" t="n">
        <f aca="false">IF(T634&gt;0,D634,C634)</f>
        <v>-0.00847625732421875</v>
      </c>
      <c r="D635" s="41" t="n">
        <f aca="false">(B635+C635)/2</f>
        <v>-0.00848197937011719</v>
      </c>
      <c r="E635" s="15" t="n">
        <f aca="false">$C$2*(1+IF(E$3&lt;=$O$2,$D635,$D635-($D635-$I$616)*MIN(E$3-$O$2,$Q$2)/$Q$2))</f>
        <v>6504.35821533203</v>
      </c>
      <c r="F635" s="15" t="n">
        <f aca="false">E635*(1+IF(F$3&lt;=$O$2,$D635,$D635-($D635-$I$616)*MIN(F$3-$O$2,$Q$2)/$Q$2))</f>
        <v>6449.18838313373</v>
      </c>
      <c r="G635" s="15" t="n">
        <f aca="false">F635*(1+IF(G$3&lt;=$O$2,$D635,$D635-($D635-$I$616)*MIN(G$3-$O$2,$Q$2)/$Q$2))</f>
        <v>6394.48650031399</v>
      </c>
      <c r="H635" s="15" t="n">
        <f aca="false">G635*(1+IF(H$3&lt;=$O$2,$D635,$D635-($D635-$I$616)*MIN(H$3-$O$2,$Q$2)/$Q$2))</f>
        <v>6340.24859773584</v>
      </c>
      <c r="I635" s="15" t="n">
        <f aca="false">H635*(1+IF(I$3&lt;=$O$2,$D635,$D635-($D635-$I$616)*MIN(I$3-$O$2,$Q$2)/$Q$2))</f>
        <v>6286.47073992843</v>
      </c>
      <c r="J635" s="15" t="n">
        <f aca="false">I635*(1+IF(J$3&lt;=$O$2,$D635,$D635-($D635-$I$616)*MIN(J$3-$O$2,$Q$2)/$Q$2))</f>
        <v>6273.10832147496</v>
      </c>
      <c r="K635" s="15" t="n">
        <f aca="false">J635*(1+IF(K$3&lt;=$O$2,$D635,$D635-($D635-$I$616)*MIN(K$3-$O$2,$Q$2)/$Q$2))</f>
        <v>6299.64866580955</v>
      </c>
      <c r="L635" s="15" t="n">
        <f aca="false">K635*(1+IF(L$3&lt;=$O$2,$D635,$D635-($D635-$I$616)*MIN(L$3-$O$2,$Q$2)/$Q$2))</f>
        <v>6366.34435814861</v>
      </c>
      <c r="M635" s="15" t="n">
        <f aca="false">L635*(1+IF(M$3&lt;=$O$2,$D635,$D635-($D635-$I$616)*MIN(M$3-$O$2,$Q$2)/$Q$2))</f>
        <v>6474.21317668273</v>
      </c>
      <c r="N635" s="15" t="n">
        <f aca="false">M635*(1+IF(N$3&lt;=$O$2,$D635,$D635-($D635-$I$616)*MIN(N$3-$O$2,$Q$2)/$Q$2))</f>
        <v>6625.06234369944</v>
      </c>
      <c r="O635" s="15" t="n">
        <f aca="false">SUMPRODUCT(E635:N635,1/(1+$F$616)^$E$3:$N$3)*$E$2</f>
        <v>13045.5312801358</v>
      </c>
      <c r="P635" s="15" t="n">
        <f aca="false">N635*$E$2*(1+$I$616)/($F$616-$I$616)/(1+$F$616)^$N$3</f>
        <v>13309.9974925592</v>
      </c>
      <c r="Q635" s="15" t="n">
        <f aca="false">O635+P635</f>
        <v>26355.528772695</v>
      </c>
      <c r="R635" s="15" t="n">
        <f aca="false">Q635-$G$2+$I$2</f>
        <v>19010.328772695</v>
      </c>
      <c r="S635" s="42" t="n">
        <f aca="false">R635/$K$2</f>
        <v>81.0156777016622</v>
      </c>
      <c r="T635" s="43" t="n">
        <f aca="false">S635-$M$2</f>
        <v>0.00140111951853328</v>
      </c>
    </row>
    <row r="636" customFormat="false" ht="15" hidden="false" customHeight="false" outlineLevel="0" collapsed="false">
      <c r="A636" s="5" t="n">
        <v>19</v>
      </c>
      <c r="B636" s="25" t="n">
        <f aca="false">IF(T635&gt;0,B635,D635)</f>
        <v>-0.00848770141601563</v>
      </c>
      <c r="C636" s="25" t="n">
        <f aca="false">IF(T635&gt;0,D635,C635)</f>
        <v>-0.00848197937011719</v>
      </c>
      <c r="D636" s="41" t="n">
        <f aca="false">(B636+C636)/2</f>
        <v>-0.00848484039306641</v>
      </c>
      <c r="E636" s="15" t="n">
        <f aca="false">$C$2*(1+IF(E$3&lt;=$O$2,$D636,$D636-($D636-$I$616)*MIN(E$3-$O$2,$Q$2)/$Q$2))</f>
        <v>6504.33944702148</v>
      </c>
      <c r="F636" s="15" t="n">
        <f aca="false">E636*(1+IF(F$3&lt;=$O$2,$D636,$D636-($D636-$I$616)*MIN(F$3-$O$2,$Q$2)/$Q$2))</f>
        <v>6449.15116495118</v>
      </c>
      <c r="G636" s="15" t="n">
        <f aca="false">F636*(1+IF(G$3&lt;=$O$2,$D636,$D636-($D636-$I$616)*MIN(G$3-$O$2,$Q$2)/$Q$2))</f>
        <v>6394.43114664581</v>
      </c>
      <c r="H636" s="15" t="n">
        <f aca="false">G636*(1+IF(H$3&lt;=$O$2,$D636,$D636-($D636-$I$616)*MIN(H$3-$O$2,$Q$2)/$Q$2))</f>
        <v>6340.17541896207</v>
      </c>
      <c r="I636" s="15" t="n">
        <f aca="false">H636*(1+IF(I$3&lt;=$O$2,$D636,$D636-($D636-$I$616)*MIN(I$3-$O$2,$Q$2)/$Q$2))</f>
        <v>6286.38004246813</v>
      </c>
      <c r="J636" s="15" t="n">
        <f aca="false">I636*(1+IF(J$3&lt;=$O$2,$D636,$D636-($D636-$I$616)*MIN(J$3-$O$2,$Q$2)/$Q$2))</f>
        <v>6273.00342841764</v>
      </c>
      <c r="K636" s="15" t="n">
        <f aca="false">J636*(1+IF(K$3&lt;=$O$2,$D636,$D636-($D636-$I$616)*MIN(K$3-$O$2,$Q$2)/$Q$2))</f>
        <v>6299.53256064532</v>
      </c>
      <c r="L636" s="15" t="n">
        <f aca="false">K636*(1+IF(L$3&lt;=$O$2,$D636,$D636-($D636-$I$616)*MIN(L$3-$O$2,$Q$2)/$Q$2))</f>
        <v>6366.21981451194</v>
      </c>
      <c r="M636" s="15" t="n">
        <f aca="false">L636*(1+IF(M$3&lt;=$O$2,$D636,$D636-($D636-$I$616)*MIN(M$3-$O$2,$Q$2)/$Q$2))</f>
        <v>6474.08288004778</v>
      </c>
      <c r="N636" s="15" t="n">
        <f aca="false">M636*(1+IF(N$3&lt;=$O$2,$D636,$D636-($D636-$I$616)*MIN(N$3-$O$2,$Q$2)/$Q$2))</f>
        <v>6624.9290111529</v>
      </c>
      <c r="O636" s="15" t="n">
        <f aca="false">SUMPRODUCT(E636:N636,1/(1+$F$616)^$E$3:$N$3)*$E$2</f>
        <v>13045.3705102444</v>
      </c>
      <c r="P636" s="15" t="n">
        <f aca="false">N636*$E$2*(1+$I$616)/($F$616-$I$616)/(1+$F$616)^$N$3</f>
        <v>13309.7296224973</v>
      </c>
      <c r="Q636" s="15" t="n">
        <f aca="false">O636+P636</f>
        <v>26355.1001327417</v>
      </c>
      <c r="R636" s="15" t="n">
        <f aca="false">Q636-$G$2+$I$2</f>
        <v>19009.9001327417</v>
      </c>
      <c r="S636" s="42" t="n">
        <f aca="false">R636/$K$2</f>
        <v>81.0138509812133</v>
      </c>
      <c r="T636" s="43" t="n">
        <f aca="false">S636-$M$2</f>
        <v>-0.000425600930370251</v>
      </c>
    </row>
    <row r="637" customFormat="false" ht="15" hidden="false" customHeight="false" outlineLevel="0" collapsed="false">
      <c r="A637" s="5" t="n">
        <v>20</v>
      </c>
      <c r="B637" s="25" t="n">
        <f aca="false">IF(T636&gt;0,B636,D636)</f>
        <v>-0.00848484039306641</v>
      </c>
      <c r="C637" s="25" t="n">
        <f aca="false">IF(T636&gt;0,D636,C636)</f>
        <v>-0.00848197937011719</v>
      </c>
      <c r="D637" s="41" t="n">
        <f aca="false">(B637+C637)/2</f>
        <v>-0.0084834098815918</v>
      </c>
      <c r="E637" s="15" t="n">
        <f aca="false">$C$2*(1+IF(E$3&lt;=$O$2,$D637,$D637-($D637-$I$616)*MIN(E$3-$O$2,$Q$2)/$Q$2))</f>
        <v>6504.34883117676</v>
      </c>
      <c r="F637" s="15" t="n">
        <f aca="false">E637*(1+IF(F$3&lt;=$O$2,$D637,$D637-($D637-$I$616)*MIN(F$3-$O$2,$Q$2)/$Q$2))</f>
        <v>6449.16977402903</v>
      </c>
      <c r="G637" s="15" t="n">
        <f aca="false">F637*(1+IF(G$3&lt;=$O$2,$D637,$D637-($D637-$I$616)*MIN(G$3-$O$2,$Q$2)/$Q$2))</f>
        <v>6394.45882343997</v>
      </c>
      <c r="H637" s="15" t="n">
        <f aca="false">G637*(1+IF(H$3&lt;=$O$2,$D637,$D637-($D637-$I$616)*MIN(H$3-$O$2,$Q$2)/$Q$2))</f>
        <v>6340.21200826977</v>
      </c>
      <c r="I637" s="15" t="n">
        <f aca="false">H637*(1+IF(I$3&lt;=$O$2,$D637,$D637-($D637-$I$616)*MIN(I$3-$O$2,$Q$2)/$Q$2))</f>
        <v>6286.42539106743</v>
      </c>
      <c r="J637" s="15" t="n">
        <f aca="false">I637*(1+IF(J$3&lt;=$O$2,$D637,$D637-($D637-$I$616)*MIN(J$3-$O$2,$Q$2)/$Q$2))</f>
        <v>6273.05587476382</v>
      </c>
      <c r="K637" s="15" t="n">
        <f aca="false">J637*(1+IF(K$3&lt;=$O$2,$D637,$D637-($D637-$I$616)*MIN(K$3-$O$2,$Q$2)/$Q$2))</f>
        <v>6299.59061299917</v>
      </c>
      <c r="L637" s="15" t="n">
        <f aca="false">K637*(1+IF(L$3&lt;=$O$2,$D637,$D637-($D637-$I$616)*MIN(L$3-$O$2,$Q$2)/$Q$2))</f>
        <v>6366.28208606638</v>
      </c>
      <c r="M637" s="15" t="n">
        <f aca="false">L637*(1+IF(M$3&lt;=$O$2,$D637,$D637-($D637-$I$616)*MIN(M$3-$O$2,$Q$2)/$Q$2))</f>
        <v>6474.14802807907</v>
      </c>
      <c r="N637" s="15" t="n">
        <f aca="false">M637*(1+IF(N$3&lt;=$O$2,$D637,$D637-($D637-$I$616)*MIN(N$3-$O$2,$Q$2)/$Q$2))</f>
        <v>6624.99567713331</v>
      </c>
      <c r="O637" s="15" t="n">
        <f aca="false">SUMPRODUCT(E637:N637,1/(1+$F$616)^$E$3:$N$3)*$E$2</f>
        <v>13045.4508949351</v>
      </c>
      <c r="P637" s="15" t="n">
        <f aca="false">N637*$E$2*(1+$I$616)/($F$616-$I$616)/(1+$F$616)^$N$3</f>
        <v>13309.8635569399</v>
      </c>
      <c r="Q637" s="15" t="n">
        <f aca="false">O637+P637</f>
        <v>26355.3144518751</v>
      </c>
      <c r="R637" s="15" t="n">
        <f aca="false">Q637-$G$2+$I$2</f>
        <v>19010.1144518751</v>
      </c>
      <c r="S637" s="42" t="n">
        <f aca="false">R637/$K$2</f>
        <v>81.0147643378438</v>
      </c>
      <c r="T637" s="43" t="n">
        <f aca="false">S637-$M$2</f>
        <v>0.000487755700191883</v>
      </c>
    </row>
    <row r="638" customFormat="false" ht="15" hidden="false" customHeight="false" outlineLevel="0" collapsed="false">
      <c r="A638" s="5" t="n">
        <v>21</v>
      </c>
      <c r="B638" s="25" t="n">
        <f aca="false">IF(T637&gt;0,B637,D637)</f>
        <v>-0.00848484039306641</v>
      </c>
      <c r="C638" s="25" t="n">
        <f aca="false">IF(T637&gt;0,D637,C637)</f>
        <v>-0.0084834098815918</v>
      </c>
      <c r="D638" s="41" t="n">
        <f aca="false">(B638+C638)/2</f>
        <v>-0.0084841251373291</v>
      </c>
      <c r="E638" s="15" t="n">
        <f aca="false">$C$2*(1+IF(E$3&lt;=$O$2,$D638,$D638-($D638-$I$616)*MIN(E$3-$O$2,$Q$2)/$Q$2))</f>
        <v>6504.34413909912</v>
      </c>
      <c r="F638" s="15" t="n">
        <f aca="false">E638*(1+IF(F$3&lt;=$O$2,$D638,$D638-($D638-$I$616)*MIN(F$3-$O$2,$Q$2)/$Q$2))</f>
        <v>6449.16046948675</v>
      </c>
      <c r="G638" s="15" t="n">
        <f aca="false">F638*(1+IF(G$3&lt;=$O$2,$D638,$D638-($D638-$I$616)*MIN(G$3-$O$2,$Q$2)/$Q$2))</f>
        <v>6394.44498503291</v>
      </c>
      <c r="H638" s="15" t="n">
        <f aca="false">G638*(1+IF(H$3&lt;=$O$2,$D638,$D638-($D638-$I$616)*MIN(H$3-$O$2,$Q$2)/$Q$2))</f>
        <v>6340.19371359612</v>
      </c>
      <c r="I638" s="15" t="n">
        <f aca="false">H638*(1+IF(I$3&lt;=$O$2,$D638,$D638-($D638-$I$616)*MIN(I$3-$O$2,$Q$2)/$Q$2))</f>
        <v>6286.40271673507</v>
      </c>
      <c r="J638" s="15" t="n">
        <f aca="false">I638*(1+IF(J$3&lt;=$O$2,$D638,$D638-($D638-$I$616)*MIN(J$3-$O$2,$Q$2)/$Q$2))</f>
        <v>6273.02965154511</v>
      </c>
      <c r="K638" s="15" t="n">
        <f aca="false">J638*(1+IF(K$3&lt;=$O$2,$D638,$D638-($D638-$I$616)*MIN(K$3-$O$2,$Q$2)/$Q$2))</f>
        <v>6299.56158676518</v>
      </c>
      <c r="L638" s="15" t="n">
        <f aca="false">K638*(1+IF(L$3&lt;=$O$2,$D638,$D638-($D638-$I$616)*MIN(L$3-$O$2,$Q$2)/$Q$2))</f>
        <v>6366.25095022319</v>
      </c>
      <c r="M638" s="15" t="n">
        <f aca="false">L638*(1+IF(M$3&lt;=$O$2,$D638,$D638-($D638-$I$616)*MIN(M$3-$O$2,$Q$2)/$Q$2))</f>
        <v>6474.11545399188</v>
      </c>
      <c r="N638" s="15" t="n">
        <f aca="false">M638*(1+IF(N$3&lt;=$O$2,$D638,$D638-($D638-$I$616)*MIN(N$3-$O$2,$Q$2)/$Q$2))</f>
        <v>6624.96234406989</v>
      </c>
      <c r="O638" s="15" t="n">
        <f aca="false">SUMPRODUCT(E638:N638,1/(1+$F$616)^$E$3:$N$3)*$E$2</f>
        <v>13045.410702526</v>
      </c>
      <c r="P638" s="15" t="n">
        <f aca="false">N638*$E$2*(1+$I$616)/($F$616-$I$616)/(1+$F$616)^$N$3</f>
        <v>13309.7965895715</v>
      </c>
      <c r="Q638" s="15" t="n">
        <f aca="false">O638+P638</f>
        <v>26355.2072920975</v>
      </c>
      <c r="R638" s="15" t="n">
        <f aca="false">Q638-$G$2+$I$2</f>
        <v>19010.0072920975</v>
      </c>
      <c r="S638" s="42" t="n">
        <f aca="false">R638/$K$2</f>
        <v>81.0143076586301</v>
      </c>
      <c r="T638" s="43" t="n">
        <f aca="false">S638-$M$2</f>
        <v>3.10764864508428E-005</v>
      </c>
    </row>
    <row r="639" customFormat="false" ht="15" hidden="false" customHeight="false" outlineLevel="0" collapsed="false">
      <c r="A639" s="5" t="n">
        <v>22</v>
      </c>
      <c r="B639" s="25" t="n">
        <f aca="false">IF(T638&gt;0,B638,D638)</f>
        <v>-0.00848484039306641</v>
      </c>
      <c r="C639" s="25" t="n">
        <f aca="false">IF(T638&gt;0,D638,C638)</f>
        <v>-0.0084841251373291</v>
      </c>
      <c r="D639" s="41" t="n">
        <f aca="false">(B639+C639)/2</f>
        <v>-0.00848448276519775</v>
      </c>
      <c r="E639" s="15" t="n">
        <f aca="false">$C$2*(1+IF(E$3&lt;=$O$2,$D639,$D639-($D639-$I$616)*MIN(E$3-$O$2,$Q$2)/$Q$2))</f>
        <v>6504.3417930603</v>
      </c>
      <c r="F639" s="15" t="n">
        <f aca="false">E639*(1+IF(F$3&lt;=$O$2,$D639,$D639-($D639-$I$616)*MIN(F$3-$O$2,$Q$2)/$Q$2))</f>
        <v>6449.15581721813</v>
      </c>
      <c r="G639" s="15" t="n">
        <f aca="false">F639*(1+IF(G$3&lt;=$O$2,$D639,$D639-($D639-$I$616)*MIN(G$3-$O$2,$Q$2)/$Q$2))</f>
        <v>6394.43806583687</v>
      </c>
      <c r="H639" s="15" t="n">
        <f aca="false">G639*(1+IF(H$3&lt;=$O$2,$D639,$D639-($D639-$I$616)*MIN(H$3-$O$2,$Q$2)/$Q$2))</f>
        <v>6340.18456627415</v>
      </c>
      <c r="I639" s="15" t="n">
        <f aca="false">H639*(1+IF(I$3&lt;=$O$2,$D639,$D639-($D639-$I$616)*MIN(I$3-$O$2,$Q$2)/$Q$2))</f>
        <v>6286.39137959342</v>
      </c>
      <c r="J639" s="15" t="n">
        <f aca="false">I639*(1+IF(J$3&lt;=$O$2,$D639,$D639-($D639-$I$616)*MIN(J$3-$O$2,$Q$2)/$Q$2))</f>
        <v>6273.01653996997</v>
      </c>
      <c r="K639" s="15" t="n">
        <f aca="false">J639*(1+IF(K$3&lt;=$O$2,$D639,$D639-($D639-$I$616)*MIN(K$3-$O$2,$Q$2)/$Q$2))</f>
        <v>6299.54707369098</v>
      </c>
      <c r="L639" s="15" t="n">
        <f aca="false">K639*(1+IF(L$3&lt;=$O$2,$D639,$D639-($D639-$I$616)*MIN(L$3-$O$2,$Q$2)/$Q$2))</f>
        <v>6366.23538235107</v>
      </c>
      <c r="M639" s="15" t="n">
        <f aca="false">L639*(1+IF(M$3&lt;=$O$2,$D639,$D639-($D639-$I$616)*MIN(M$3-$O$2,$Q$2)/$Q$2))</f>
        <v>6474.09916700194</v>
      </c>
      <c r="N639" s="15" t="n">
        <f aca="false">M639*(1+IF(N$3&lt;=$O$2,$D639,$D639-($D639-$I$616)*MIN(N$3-$O$2,$Q$2)/$Q$2))</f>
        <v>6624.94567759309</v>
      </c>
      <c r="O639" s="15" t="n">
        <f aca="false">SUMPRODUCT(E639:N639,1/(1+$F$616)^$E$3:$N$3)*$E$2</f>
        <v>13045.3906063692</v>
      </c>
      <c r="P639" s="15" t="n">
        <f aca="false">N639*$E$2*(1+$I$616)/($F$616-$I$616)/(1+$F$616)^$N$3</f>
        <v>13309.7631059977</v>
      </c>
      <c r="Q639" s="15" t="n">
        <f aca="false">O639+P639</f>
        <v>26355.1537123669</v>
      </c>
      <c r="R639" s="15" t="n">
        <f aca="false">Q639-$G$2+$I$2</f>
        <v>19009.9537123669</v>
      </c>
      <c r="S639" s="42" t="n">
        <f aca="false">R639/$K$2</f>
        <v>81.014079319697</v>
      </c>
      <c r="T639" s="43" t="n">
        <f aca="false">S639-$M$2</f>
        <v>-0.000197262446604896</v>
      </c>
    </row>
    <row r="640" customFormat="false" ht="15" hidden="false" customHeight="false" outlineLevel="0" collapsed="false">
      <c r="A640" s="5" t="n">
        <v>23</v>
      </c>
      <c r="B640" s="25" t="n">
        <f aca="false">IF(T639&gt;0,B639,D639)</f>
        <v>-0.00848448276519775</v>
      </c>
      <c r="C640" s="25" t="n">
        <f aca="false">IF(T639&gt;0,D639,C639)</f>
        <v>-0.0084841251373291</v>
      </c>
      <c r="D640" s="41" t="n">
        <f aca="false">(B640+C640)/2</f>
        <v>-0.00848430395126343</v>
      </c>
      <c r="E640" s="15" t="n">
        <f aca="false">$C$2*(1+IF(E$3&lt;=$O$2,$D640,$D640-($D640-$I$616)*MIN(E$3-$O$2,$Q$2)/$Q$2))</f>
        <v>6504.34296607971</v>
      </c>
      <c r="F640" s="15" t="n">
        <f aca="false">E640*(1+IF(F$3&lt;=$O$2,$D640,$D640-($D640-$I$616)*MIN(F$3-$O$2,$Q$2)/$Q$2))</f>
        <v>6449.15814335223</v>
      </c>
      <c r="G640" s="15" t="n">
        <f aca="false">F640*(1+IF(G$3&lt;=$O$2,$D640,$D640-($D640-$I$616)*MIN(G$3-$O$2,$Q$2)/$Q$2))</f>
        <v>6394.44152543426</v>
      </c>
      <c r="H640" s="15" t="n">
        <f aca="false">G640*(1+IF(H$3&lt;=$O$2,$D640,$D640-($D640-$I$616)*MIN(H$3-$O$2,$Q$2)/$Q$2))</f>
        <v>6340.1891399339</v>
      </c>
      <c r="I640" s="15" t="n">
        <f aca="false">H640*(1+IF(I$3&lt;=$O$2,$D640,$D640-($D640-$I$616)*MIN(I$3-$O$2,$Q$2)/$Q$2))</f>
        <v>6286.3970481622</v>
      </c>
      <c r="J640" s="15" t="n">
        <f aca="false">I640*(1+IF(J$3&lt;=$O$2,$D640,$D640-($D640-$I$616)*MIN(J$3-$O$2,$Q$2)/$Q$2))</f>
        <v>6273.02309575469</v>
      </c>
      <c r="K640" s="15" t="n">
        <f aca="false">J640*(1+IF(K$3&lt;=$O$2,$D640,$D640-($D640-$I$616)*MIN(K$3-$O$2,$Q$2)/$Q$2))</f>
        <v>6299.55433022452</v>
      </c>
      <c r="L640" s="15" t="n">
        <f aca="false">K640*(1+IF(L$3&lt;=$O$2,$D640,$D640-($D640-$I$616)*MIN(L$3-$O$2,$Q$2)/$Q$2))</f>
        <v>6366.24316628301</v>
      </c>
      <c r="M640" s="15" t="n">
        <f aca="false">L640*(1+IF(M$3&lt;=$O$2,$D640,$D640-($D640-$I$616)*MIN(M$3-$O$2,$Q$2)/$Q$2))</f>
        <v>6474.10731049244</v>
      </c>
      <c r="N640" s="15" t="n">
        <f aca="false">M640*(1+IF(N$3&lt;=$O$2,$D640,$D640-($D640-$I$616)*MIN(N$3-$O$2,$Q$2)/$Q$2))</f>
        <v>6624.95401082692</v>
      </c>
      <c r="O640" s="15" t="n">
        <f aca="false">SUMPRODUCT(E640:N640,1/(1+$F$616)^$E$3:$N$3)*$E$2</f>
        <v>13045.4006544436</v>
      </c>
      <c r="P640" s="15" t="n">
        <f aca="false">N640*$E$2*(1+$I$616)/($F$616-$I$616)/(1+$F$616)^$N$3</f>
        <v>13309.7798477754</v>
      </c>
      <c r="Q640" s="15" t="n">
        <f aca="false">O640+P640</f>
        <v>26355.1805022191</v>
      </c>
      <c r="R640" s="15" t="n">
        <f aca="false">Q640-$G$2+$I$2</f>
        <v>19009.9805022191</v>
      </c>
      <c r="S640" s="42" t="n">
        <f aca="false">R640/$K$2</f>
        <v>81.0141934891074</v>
      </c>
      <c r="T640" s="43" t="n">
        <f aca="false">S640-$M$2</f>
        <v>-8.30930362241134E-005</v>
      </c>
    </row>
    <row r="641" customFormat="false" ht="15" hidden="false" customHeight="false" outlineLevel="0" collapsed="false">
      <c r="A641" s="5" t="n">
        <v>24</v>
      </c>
      <c r="B641" s="25" t="n">
        <f aca="false">IF(T640&gt;0,B640,D640)</f>
        <v>-0.00848430395126343</v>
      </c>
      <c r="C641" s="25" t="n">
        <f aca="false">IF(T640&gt;0,D640,C640)</f>
        <v>-0.0084841251373291</v>
      </c>
      <c r="D641" s="41" t="n">
        <f aca="false">(B641+C641)/2</f>
        <v>-0.00848421454429627</v>
      </c>
      <c r="E641" s="15" t="n">
        <f aca="false">$C$2*(1+IF(E$3&lt;=$O$2,$D641,$D641-($D641-$I$616)*MIN(E$3-$O$2,$Q$2)/$Q$2))</f>
        <v>6504.34355258942</v>
      </c>
      <c r="F641" s="15" t="n">
        <f aca="false">E641*(1+IF(F$3&lt;=$O$2,$D641,$D641-($D641-$I$616)*MIN(F$3-$O$2,$Q$2)/$Q$2))</f>
        <v>6449.15930641944</v>
      </c>
      <c r="G641" s="15" t="n">
        <f aca="false">F641*(1+IF(G$3&lt;=$O$2,$D641,$D641-($D641-$I$616)*MIN(G$3-$O$2,$Q$2)/$Q$2))</f>
        <v>6394.44325523343</v>
      </c>
      <c r="H641" s="15" t="n">
        <f aca="false">G641*(1+IF(H$3&lt;=$O$2,$D641,$D641-($D641-$I$616)*MIN(H$3-$O$2,$Q$2)/$Q$2))</f>
        <v>6340.1914267647</v>
      </c>
      <c r="I641" s="15" t="n">
        <f aca="false">H641*(1+IF(I$3&lt;=$O$2,$D641,$D641-($D641-$I$616)*MIN(I$3-$O$2,$Q$2)/$Q$2))</f>
        <v>6286.39988244812</v>
      </c>
      <c r="J641" s="15" t="n">
        <f aca="false">I641*(1+IF(J$3&lt;=$O$2,$D641,$D641-($D641-$I$616)*MIN(J$3-$O$2,$Q$2)/$Q$2))</f>
        <v>6273.02637364919</v>
      </c>
      <c r="K641" s="15" t="n">
        <f aca="false">J641*(1+IF(K$3&lt;=$O$2,$D641,$D641-($D641-$I$616)*MIN(K$3-$O$2,$Q$2)/$Q$2))</f>
        <v>6299.55795849396</v>
      </c>
      <c r="L641" s="15" t="n">
        <f aca="false">K641*(1+IF(L$3&lt;=$O$2,$D641,$D641-($D641-$I$616)*MIN(L$3-$O$2,$Q$2)/$Q$2))</f>
        <v>6366.24705825207</v>
      </c>
      <c r="M641" s="15" t="n">
        <f aca="false">L641*(1+IF(M$3&lt;=$O$2,$D641,$D641-($D641-$I$616)*MIN(M$3-$O$2,$Q$2)/$Q$2))</f>
        <v>6474.11138224104</v>
      </c>
      <c r="N641" s="15" t="n">
        <f aca="false">M641*(1+IF(N$3&lt;=$O$2,$D641,$D641-($D641-$I$616)*MIN(N$3-$O$2,$Q$2)/$Q$2))</f>
        <v>6624.95817744726</v>
      </c>
      <c r="O641" s="15" t="n">
        <f aca="false">SUMPRODUCT(E641:N641,1/(1+$F$616)^$E$3:$N$3)*$E$2</f>
        <v>13045.4056784838</v>
      </c>
      <c r="P641" s="15" t="n">
        <f aca="false">N641*$E$2*(1+$I$616)/($F$616-$I$616)/(1+$F$616)^$N$3</f>
        <v>13309.7882186712</v>
      </c>
      <c r="Q641" s="15" t="n">
        <f aca="false">O641+P641</f>
        <v>26355.193897155</v>
      </c>
      <c r="R641" s="15" t="n">
        <f aca="false">Q641-$G$2+$I$2</f>
        <v>19009.993897155</v>
      </c>
      <c r="S641" s="42" t="n">
        <f aca="false">R641/$K$2</f>
        <v>81.0142505738547</v>
      </c>
      <c r="T641" s="43" t="n">
        <f aca="false">S641-$M$2</f>
        <v>-2.60082889269597E-005</v>
      </c>
    </row>
    <row r="643" customFormat="false" ht="15" hidden="false" customHeight="false" outlineLevel="0" collapsed="false">
      <c r="A643" s="38" t="s">
        <v>205</v>
      </c>
      <c r="E643" s="5" t="s">
        <v>11</v>
      </c>
      <c r="F643" s="12" t="n">
        <f aca="false">Sensitivity!$B$14</f>
        <v>0.0912368036285737</v>
      </c>
      <c r="G643" s="5" t="s">
        <v>12</v>
      </c>
      <c r="I643" s="12" t="n">
        <f aca="false">Sensitivity!$E$9</f>
        <v>0.0283</v>
      </c>
    </row>
    <row r="644" customFormat="false" ht="23.85" hidden="false" customHeight="false" outlineLevel="0" collapsed="false">
      <c r="A644" s="38" t="s">
        <v>163</v>
      </c>
      <c r="B644" s="28" t="s">
        <v>164</v>
      </c>
      <c r="C644" s="28" t="s">
        <v>165</v>
      </c>
      <c r="D644" s="28" t="s">
        <v>166</v>
      </c>
      <c r="E644" s="28" t="s">
        <v>167</v>
      </c>
      <c r="F644" s="28" t="s">
        <v>168</v>
      </c>
      <c r="G644" s="28" t="s">
        <v>169</v>
      </c>
      <c r="H644" s="28" t="s">
        <v>170</v>
      </c>
      <c r="I644" s="28" t="s">
        <v>171</v>
      </c>
      <c r="J644" s="28" t="s">
        <v>172</v>
      </c>
      <c r="K644" s="28" t="s">
        <v>173</v>
      </c>
      <c r="L644" s="28" t="s">
        <v>174</v>
      </c>
      <c r="M644" s="28" t="s">
        <v>175</v>
      </c>
      <c r="N644" s="28" t="s">
        <v>176</v>
      </c>
      <c r="O644" s="28" t="s">
        <v>177</v>
      </c>
      <c r="P644" s="28" t="s">
        <v>178</v>
      </c>
      <c r="Q644" s="28" t="s">
        <v>179</v>
      </c>
      <c r="R644" s="28" t="s">
        <v>180</v>
      </c>
      <c r="S644" s="28" t="s">
        <v>181</v>
      </c>
      <c r="T644" s="28" t="s">
        <v>182</v>
      </c>
    </row>
    <row r="645" customFormat="false" ht="15" hidden="false" customHeight="false" outlineLevel="0" collapsed="false">
      <c r="A645" s="5" t="n">
        <v>1</v>
      </c>
      <c r="B645" s="24" t="n">
        <v>-0.5</v>
      </c>
      <c r="C645" s="24" t="n">
        <v>1</v>
      </c>
      <c r="D645" s="41" t="n">
        <f aca="false">(B645+C645)/2</f>
        <v>0.25</v>
      </c>
      <c r="E645" s="15" t="n">
        <f aca="false">$C$2*(1+IF(E$3&lt;=$O$2,$D645,$D645-($D645-$I$643)*MIN(E$3-$O$2,$Q$2)/$Q$2))</f>
        <v>8200</v>
      </c>
      <c r="F645" s="15" t="n">
        <f aca="false">E645*(1+IF(F$3&lt;=$O$2,$D645,$D645-($D645-$I$643)*MIN(F$3-$O$2,$Q$2)/$Q$2))</f>
        <v>10250</v>
      </c>
      <c r="G645" s="15" t="n">
        <f aca="false">F645*(1+IF(G$3&lt;=$O$2,$D645,$D645-($D645-$I$643)*MIN(G$3-$O$2,$Q$2)/$Q$2))</f>
        <v>12812.5</v>
      </c>
      <c r="H645" s="15" t="n">
        <f aca="false">G645*(1+IF(H$3&lt;=$O$2,$D645,$D645-($D645-$I$643)*MIN(H$3-$O$2,$Q$2)/$Q$2))</f>
        <v>16015.625</v>
      </c>
      <c r="I645" s="15" t="n">
        <f aca="false">H645*(1+IF(I$3&lt;=$O$2,$D645,$D645-($D645-$I$643)*MIN(I$3-$O$2,$Q$2)/$Q$2))</f>
        <v>20019.53125</v>
      </c>
      <c r="J645" s="15" t="n">
        <f aca="false">I645*(1+IF(J$3&lt;=$O$2,$D645,$D645-($D645-$I$643)*MIN(J$3-$O$2,$Q$2)/$Q$2))</f>
        <v>24136.748046875</v>
      </c>
      <c r="K645" s="15" t="n">
        <f aca="false">J645*(1+IF(K$3&lt;=$O$2,$D645,$D645-($D645-$I$643)*MIN(K$3-$O$2,$Q$2)/$Q$2))</f>
        <v>28030.4882417969</v>
      </c>
      <c r="L645" s="15" t="n">
        <f aca="false">K645*(1+IF(L$3&lt;=$O$2,$D645,$D645-($D645-$I$643)*MIN(L$3-$O$2,$Q$2)/$Q$2))</f>
        <v>31309.4947563223</v>
      </c>
      <c r="M645" s="15" t="n">
        <f aca="false">L645*(1+IF(M$3&lt;=$O$2,$D645,$D645-($D645-$I$643)*MIN(M$3-$O$2,$Q$2)/$Q$2))</f>
        <v>33583.8164554215</v>
      </c>
      <c r="N645" s="15" t="n">
        <f aca="false">M645*(1+IF(N$3&lt;=$O$2,$D645,$D645-($D645-$I$643)*MIN(N$3-$O$2,$Q$2)/$Q$2))</f>
        <v>34534.23846111</v>
      </c>
      <c r="O645" s="15" t="n">
        <f aca="false">SUMPRODUCT(E645:N645,1/(1+$F$643)^$E$3:$N$3)*$E$2</f>
        <v>39926.8135800976</v>
      </c>
      <c r="P645" s="15" t="n">
        <f aca="false">N645*$E$2*(1+$I$643)/($F$643-$I$643)/(1+$F$643)^$N$3</f>
        <v>75258.4339009702</v>
      </c>
      <c r="Q645" s="15" t="n">
        <f aca="false">O645+P645</f>
        <v>115185.247481068</v>
      </c>
      <c r="R645" s="15" t="n">
        <f aca="false">Q645-$G$2+$I$2</f>
        <v>107840.047481068</v>
      </c>
      <c r="S645" s="42" t="n">
        <f aca="false">R645/$K$2</f>
        <v>459.578297383626</v>
      </c>
      <c r="T645" s="43" t="n">
        <f aca="false">S645-$M$2</f>
        <v>378.564020801482</v>
      </c>
    </row>
    <row r="646" customFormat="false" ht="15" hidden="false" customHeight="false" outlineLevel="0" collapsed="false">
      <c r="A646" s="5" t="n">
        <v>2</v>
      </c>
      <c r="B646" s="25" t="n">
        <f aca="false">IF(T645&gt;0,B645,D645)</f>
        <v>-0.5</v>
      </c>
      <c r="C646" s="25" t="n">
        <f aca="false">IF(T645&gt;0,D645,C645)</f>
        <v>0.25</v>
      </c>
      <c r="D646" s="41" t="n">
        <f aca="false">(B646+C646)/2</f>
        <v>-0.125</v>
      </c>
      <c r="E646" s="15" t="n">
        <f aca="false">$C$2*(1+IF(E$3&lt;=$O$2,$D646,$D646-($D646-$I$643)*MIN(E$3-$O$2,$Q$2)/$Q$2))</f>
        <v>5740</v>
      </c>
      <c r="F646" s="15" t="n">
        <f aca="false">E646*(1+IF(F$3&lt;=$O$2,$D646,$D646-($D646-$I$643)*MIN(F$3-$O$2,$Q$2)/$Q$2))</f>
        <v>5022.5</v>
      </c>
      <c r="G646" s="15" t="n">
        <f aca="false">F646*(1+IF(G$3&lt;=$O$2,$D646,$D646-($D646-$I$643)*MIN(G$3-$O$2,$Q$2)/$Q$2))</f>
        <v>4394.6875</v>
      </c>
      <c r="H646" s="15" t="n">
        <f aca="false">G646*(1+IF(H$3&lt;=$O$2,$D646,$D646-($D646-$I$643)*MIN(H$3-$O$2,$Q$2)/$Q$2))</f>
        <v>3845.3515625</v>
      </c>
      <c r="I646" s="15" t="n">
        <f aca="false">H646*(1+IF(I$3&lt;=$O$2,$D646,$D646-($D646-$I$643)*MIN(I$3-$O$2,$Q$2)/$Q$2))</f>
        <v>3364.6826171875</v>
      </c>
      <c r="J646" s="15" t="n">
        <f aca="false">I646*(1+IF(J$3&lt;=$O$2,$D646,$D646-($D646-$I$643)*MIN(J$3-$O$2,$Q$2)/$Q$2))</f>
        <v>3047.25845908203</v>
      </c>
      <c r="K646" s="15" t="n">
        <f aca="false">J646*(1+IF(K$3&lt;=$O$2,$D646,$D646-($D646-$I$643)*MIN(K$3-$O$2,$Q$2)/$Q$2))</f>
        <v>2853.20904040769</v>
      </c>
      <c r="L646" s="15" t="n">
        <f aca="false">K646*(1+IF(L$3&lt;=$O$2,$D646,$D646-($D646-$I$643)*MIN(L$3-$O$2,$Q$2)/$Q$2))</f>
        <v>2758.99607789343</v>
      </c>
      <c r="M646" s="15" t="n">
        <f aca="false">L646*(1+IF(M$3&lt;=$O$2,$D646,$D646-($D646-$I$643)*MIN(M$3-$O$2,$Q$2)/$Q$2))</f>
        <v>2752.4848471496</v>
      </c>
      <c r="N646" s="15" t="n">
        <f aca="false">M646*(1+IF(N$3&lt;=$O$2,$D646,$D646-($D646-$I$643)*MIN(N$3-$O$2,$Q$2)/$Q$2))</f>
        <v>2830.38016832393</v>
      </c>
      <c r="O646" s="15" t="n">
        <f aca="false">SUMPRODUCT(E646:N646,1/(1+$F$643)^$E$3:$N$3)*$E$2</f>
        <v>7954.58288113215</v>
      </c>
      <c r="P646" s="15" t="n">
        <f aca="false">N646*$E$2*(1+$I$643)/($F$643-$I$643)/(1+$F$643)^$N$3</f>
        <v>6168.0809626742</v>
      </c>
      <c r="Q646" s="15" t="n">
        <f aca="false">O646+P646</f>
        <v>14122.6638438063</v>
      </c>
      <c r="R646" s="15" t="n">
        <f aca="false">Q646-$G$2+$I$2</f>
        <v>6777.46384380635</v>
      </c>
      <c r="S646" s="42" t="n">
        <f aca="false">R646/$K$2</f>
        <v>28.8832893407473</v>
      </c>
      <c r="T646" s="43" t="n">
        <f aca="false">S646-$M$2</f>
        <v>-52.1309872413964</v>
      </c>
    </row>
    <row r="647" customFormat="false" ht="15" hidden="false" customHeight="false" outlineLevel="0" collapsed="false">
      <c r="A647" s="5" t="n">
        <v>3</v>
      </c>
      <c r="B647" s="25" t="n">
        <f aca="false">IF(T646&gt;0,B646,D646)</f>
        <v>-0.125</v>
      </c>
      <c r="C647" s="25" t="n">
        <f aca="false">IF(T646&gt;0,D646,C646)</f>
        <v>0.25</v>
      </c>
      <c r="D647" s="41" t="n">
        <f aca="false">(B647+C647)/2</f>
        <v>0.0625</v>
      </c>
      <c r="E647" s="15" t="n">
        <f aca="false">$C$2*(1+IF(E$3&lt;=$O$2,$D647,$D647-($D647-$I$643)*MIN(E$3-$O$2,$Q$2)/$Q$2))</f>
        <v>6970</v>
      </c>
      <c r="F647" s="15" t="n">
        <f aca="false">E647*(1+IF(F$3&lt;=$O$2,$D647,$D647-($D647-$I$643)*MIN(F$3-$O$2,$Q$2)/$Q$2))</f>
        <v>7405.625</v>
      </c>
      <c r="G647" s="15" t="n">
        <f aca="false">F647*(1+IF(G$3&lt;=$O$2,$D647,$D647-($D647-$I$643)*MIN(G$3-$O$2,$Q$2)/$Q$2))</f>
        <v>7868.4765625</v>
      </c>
      <c r="H647" s="15" t="n">
        <f aca="false">G647*(1+IF(H$3&lt;=$O$2,$D647,$D647-($D647-$I$643)*MIN(H$3-$O$2,$Q$2)/$Q$2))</f>
        <v>8360.25634765625</v>
      </c>
      <c r="I647" s="15" t="n">
        <f aca="false">H647*(1+IF(I$3&lt;=$O$2,$D647,$D647-($D647-$I$643)*MIN(I$3-$O$2,$Q$2)/$Q$2))</f>
        <v>8882.77236938477</v>
      </c>
      <c r="J647" s="15" t="n">
        <f aca="false">I647*(1+IF(J$3&lt;=$O$2,$D647,$D647-($D647-$I$643)*MIN(J$3-$O$2,$Q$2)/$Q$2))</f>
        <v>9377.18747946472</v>
      </c>
      <c r="K647" s="15" t="n">
        <f aca="false">J647*(1+IF(K$3&lt;=$O$2,$D647,$D647-($D647-$I$643)*MIN(K$3-$O$2,$Q$2)/$Q$2))</f>
        <v>9834.98177221219</v>
      </c>
      <c r="L647" s="15" t="n">
        <f aca="false">K647*(1+IF(L$3&lt;=$O$2,$D647,$D647-($D647-$I$643)*MIN(L$3-$O$2,$Q$2)/$Q$2))</f>
        <v>10247.8543070097</v>
      </c>
      <c r="M647" s="15" t="n">
        <f aca="false">L647*(1+IF(M$3&lt;=$O$2,$D647,$D647-($D647-$I$643)*MIN(M$3-$O$2,$Q$2)/$Q$2))</f>
        <v>10607.963907358</v>
      </c>
      <c r="N647" s="15" t="n">
        <f aca="false">M647*(1+IF(N$3&lt;=$O$2,$D647,$D647-($D647-$I$643)*MIN(N$3-$O$2,$Q$2)/$Q$2))</f>
        <v>10908.1692859362</v>
      </c>
      <c r="O647" s="15" t="n">
        <f aca="false">SUMPRODUCT(E647:N647,1/(1+$F$643)^$E$3:$N$3)*$E$2</f>
        <v>17780.620470398</v>
      </c>
      <c r="P647" s="15" t="n">
        <f aca="false">N647*$E$2*(1+$I$643)/($F$643-$I$643)/(1+$F$643)^$N$3</f>
        <v>23771.5314936132</v>
      </c>
      <c r="Q647" s="15" t="n">
        <f aca="false">O647+P647</f>
        <v>41552.1519640112</v>
      </c>
      <c r="R647" s="15" t="n">
        <f aca="false">Q647-$G$2+$I$2</f>
        <v>34206.9519640112</v>
      </c>
      <c r="S647" s="42" t="n">
        <f aca="false">R647/$K$2</f>
        <v>145.778614805076</v>
      </c>
      <c r="T647" s="43" t="n">
        <f aca="false">S647-$M$2</f>
        <v>64.7643382229329</v>
      </c>
    </row>
    <row r="648" customFormat="false" ht="15" hidden="false" customHeight="false" outlineLevel="0" collapsed="false">
      <c r="A648" s="5" t="n">
        <v>4</v>
      </c>
      <c r="B648" s="25" t="n">
        <f aca="false">IF(T647&gt;0,B647,D647)</f>
        <v>-0.125</v>
      </c>
      <c r="C648" s="25" t="n">
        <f aca="false">IF(T647&gt;0,D647,C647)</f>
        <v>0.0625</v>
      </c>
      <c r="D648" s="41" t="n">
        <f aca="false">(B648+C648)/2</f>
        <v>-0.03125</v>
      </c>
      <c r="E648" s="15" t="n">
        <f aca="false">$C$2*(1+IF(E$3&lt;=$O$2,$D648,$D648-($D648-$I$643)*MIN(E$3-$O$2,$Q$2)/$Q$2))</f>
        <v>6355</v>
      </c>
      <c r="F648" s="15" t="n">
        <f aca="false">E648*(1+IF(F$3&lt;=$O$2,$D648,$D648-($D648-$I$643)*MIN(F$3-$O$2,$Q$2)/$Q$2))</f>
        <v>6156.40625</v>
      </c>
      <c r="G648" s="15" t="n">
        <f aca="false">F648*(1+IF(G$3&lt;=$O$2,$D648,$D648-($D648-$I$643)*MIN(G$3-$O$2,$Q$2)/$Q$2))</f>
        <v>5964.0185546875</v>
      </c>
      <c r="H648" s="15" t="n">
        <f aca="false">G648*(1+IF(H$3&lt;=$O$2,$D648,$D648-($D648-$I$643)*MIN(H$3-$O$2,$Q$2)/$Q$2))</f>
        <v>5777.64297485352</v>
      </c>
      <c r="I648" s="15" t="n">
        <f aca="false">H648*(1+IF(I$3&lt;=$O$2,$D648,$D648-($D648-$I$643)*MIN(I$3-$O$2,$Q$2)/$Q$2))</f>
        <v>5597.09163188934</v>
      </c>
      <c r="J648" s="15" t="n">
        <f aca="false">I648*(1+IF(J$3&lt;=$O$2,$D648,$D648-($D648-$I$643)*MIN(J$3-$O$2,$Q$2)/$Q$2))</f>
        <v>5488.8438797286</v>
      </c>
      <c r="K648" s="15" t="n">
        <f aca="false">J648*(1+IF(K$3&lt;=$O$2,$D648,$D648-($D648-$I$643)*MIN(K$3-$O$2,$Q$2)/$Q$2))</f>
        <v>5448.06176970222</v>
      </c>
      <c r="L648" s="15" t="n">
        <f aca="false">K648*(1+IF(L$3&lt;=$O$2,$D648,$D648-($D648-$I$643)*MIN(L$3-$O$2,$Q$2)/$Q$2))</f>
        <v>5472.46908643049</v>
      </c>
      <c r="M648" s="15" t="n">
        <f aca="false">L648*(1+IF(M$3&lt;=$O$2,$D648,$D648-($D648-$I$643)*MIN(M$3-$O$2,$Q$2)/$Q$2))</f>
        <v>5562.16285475708</v>
      </c>
      <c r="N648" s="15" t="n">
        <f aca="false">M648*(1+IF(N$3&lt;=$O$2,$D648,$D648-($D648-$I$643)*MIN(N$3-$O$2,$Q$2)/$Q$2))</f>
        <v>5719.57206354671</v>
      </c>
      <c r="O648" s="15" t="n">
        <f aca="false">SUMPRODUCT(E648:N648,1/(1+$F$643)^$E$3:$N$3)*$E$2</f>
        <v>11857.0940879146</v>
      </c>
      <c r="P648" s="15" t="n">
        <f aca="false">N648*$E$2*(1+$I$643)/($F$643-$I$643)/(1+$F$643)^$N$3</f>
        <v>12464.3268613264</v>
      </c>
      <c r="Q648" s="15" t="n">
        <f aca="false">O648+P648</f>
        <v>24321.420949241</v>
      </c>
      <c r="R648" s="15" t="n">
        <f aca="false">Q648-$G$2+$I$2</f>
        <v>16976.220949241</v>
      </c>
      <c r="S648" s="42" t="n">
        <f aca="false">R648/$K$2</f>
        <v>72.3469889164331</v>
      </c>
      <c r="T648" s="43" t="n">
        <f aca="false">S648-$M$2</f>
        <v>-8.66728766571049</v>
      </c>
    </row>
    <row r="649" customFormat="false" ht="15" hidden="false" customHeight="false" outlineLevel="0" collapsed="false">
      <c r="A649" s="5" t="n">
        <v>5</v>
      </c>
      <c r="B649" s="25" t="n">
        <f aca="false">IF(T648&gt;0,B648,D648)</f>
        <v>-0.03125</v>
      </c>
      <c r="C649" s="25" t="n">
        <f aca="false">IF(T648&gt;0,D648,C648)</f>
        <v>0.0625</v>
      </c>
      <c r="D649" s="41" t="n">
        <f aca="false">(B649+C649)/2</f>
        <v>0.015625</v>
      </c>
      <c r="E649" s="15" t="n">
        <f aca="false">$C$2*(1+IF(E$3&lt;=$O$2,$D649,$D649-($D649-$I$643)*MIN(E$3-$O$2,$Q$2)/$Q$2))</f>
        <v>6662.5</v>
      </c>
      <c r="F649" s="15" t="n">
        <f aca="false">E649*(1+IF(F$3&lt;=$O$2,$D649,$D649-($D649-$I$643)*MIN(F$3-$O$2,$Q$2)/$Q$2))</f>
        <v>6766.6015625</v>
      </c>
      <c r="G649" s="15" t="n">
        <f aca="false">F649*(1+IF(G$3&lt;=$O$2,$D649,$D649-($D649-$I$643)*MIN(G$3-$O$2,$Q$2)/$Q$2))</f>
        <v>6872.32971191406</v>
      </c>
      <c r="H649" s="15" t="n">
        <f aca="false">G649*(1+IF(H$3&lt;=$O$2,$D649,$D649-($D649-$I$643)*MIN(H$3-$O$2,$Q$2)/$Q$2))</f>
        <v>6979.70986366272</v>
      </c>
      <c r="I649" s="15" t="n">
        <f aca="false">H649*(1+IF(I$3&lt;=$O$2,$D649,$D649-($D649-$I$643)*MIN(I$3-$O$2,$Q$2)/$Q$2))</f>
        <v>7088.76783028245</v>
      </c>
      <c r="J649" s="15" t="n">
        <f aca="false">I649*(1+IF(J$3&lt;=$O$2,$D649,$D649-($D649-$I$643)*MIN(J$3-$O$2,$Q$2)/$Q$2))</f>
        <v>7217.49985408038</v>
      </c>
      <c r="K649" s="15" t="n">
        <f aca="false">J649*(1+IF(K$3&lt;=$O$2,$D649,$D649-($D649-$I$643)*MIN(K$3-$O$2,$Q$2)/$Q$2))</f>
        <v>7366.86601356057</v>
      </c>
      <c r="L649" s="15" t="n">
        <f aca="false">K649*(1+IF(L$3&lt;=$O$2,$D649,$D649-($D649-$I$643)*MIN(L$3-$O$2,$Q$2)/$Q$2))</f>
        <v>7537.99831105558</v>
      </c>
      <c r="M649" s="15" t="n">
        <f aca="false">L649*(1+IF(M$3&lt;=$O$2,$D649,$D649-($D649-$I$643)*MIN(M$3-$O$2,$Q$2)/$Q$2))</f>
        <v>7732.21483753993</v>
      </c>
      <c r="N649" s="15" t="n">
        <f aca="false">M649*(1+IF(N$3&lt;=$O$2,$D649,$D649-($D649-$I$643)*MIN(N$3-$O$2,$Q$2)/$Q$2))</f>
        <v>7951.03651744231</v>
      </c>
      <c r="O649" s="15" t="n">
        <f aca="false">SUMPRODUCT(E649:N649,1/(1+$F$643)^$E$3:$N$3)*$E$2</f>
        <v>14513.6166388811</v>
      </c>
      <c r="P649" s="15" t="n">
        <f aca="false">N649*$E$2*(1+$I$643)/($F$643-$I$643)/(1+$F$643)^$N$3</f>
        <v>17327.2260474482</v>
      </c>
      <c r="Q649" s="15" t="n">
        <f aca="false">O649+P649</f>
        <v>31840.8426863294</v>
      </c>
      <c r="R649" s="15" t="n">
        <f aca="false">Q649-$G$2+$I$2</f>
        <v>24495.6426863294</v>
      </c>
      <c r="S649" s="42" t="n">
        <f aca="false">R649/$K$2</f>
        <v>104.392255215552</v>
      </c>
      <c r="T649" s="43" t="n">
        <f aca="false">S649-$M$2</f>
        <v>23.3779786334087</v>
      </c>
    </row>
    <row r="650" customFormat="false" ht="15" hidden="false" customHeight="false" outlineLevel="0" collapsed="false">
      <c r="A650" s="5" t="n">
        <v>6</v>
      </c>
      <c r="B650" s="25" t="n">
        <f aca="false">IF(T649&gt;0,B649,D649)</f>
        <v>-0.03125</v>
      </c>
      <c r="C650" s="25" t="n">
        <f aca="false">IF(T649&gt;0,D649,C649)</f>
        <v>0.015625</v>
      </c>
      <c r="D650" s="41" t="n">
        <f aca="false">(B650+C650)/2</f>
        <v>-0.0078125</v>
      </c>
      <c r="E650" s="15" t="n">
        <f aca="false">$C$2*(1+IF(E$3&lt;=$O$2,$D650,$D650-($D650-$I$643)*MIN(E$3-$O$2,$Q$2)/$Q$2))</f>
        <v>6508.75</v>
      </c>
      <c r="F650" s="15" t="n">
        <f aca="false">E650*(1+IF(F$3&lt;=$O$2,$D650,$D650-($D650-$I$643)*MIN(F$3-$O$2,$Q$2)/$Q$2))</f>
        <v>6457.900390625</v>
      </c>
      <c r="G650" s="15" t="n">
        <f aca="false">F650*(1+IF(G$3&lt;=$O$2,$D650,$D650-($D650-$I$643)*MIN(G$3-$O$2,$Q$2)/$Q$2))</f>
        <v>6407.44804382324</v>
      </c>
      <c r="H650" s="15" t="n">
        <f aca="false">G650*(1+IF(H$3&lt;=$O$2,$D650,$D650-($D650-$I$643)*MIN(H$3-$O$2,$Q$2)/$Q$2))</f>
        <v>6357.38985598087</v>
      </c>
      <c r="I650" s="15" t="n">
        <f aca="false">H650*(1+IF(I$3&lt;=$O$2,$D650,$D650-($D650-$I$643)*MIN(I$3-$O$2,$Q$2)/$Q$2))</f>
        <v>6307.72274773102</v>
      </c>
      <c r="J650" s="15" t="n">
        <f aca="false">I650*(1+IF(J$3&lt;=$O$2,$D650,$D650-($D650-$I$643)*MIN(J$3-$O$2,$Q$2)/$Q$2))</f>
        <v>6304.00119130986</v>
      </c>
      <c r="K650" s="15" t="n">
        <f aca="false">J650*(1+IF(K$3&lt;=$O$2,$D650,$D650-($D650-$I$643)*MIN(K$3-$O$2,$Q$2)/$Q$2))</f>
        <v>6345.81247921123</v>
      </c>
      <c r="L650" s="15" t="n">
        <f aca="false">K650*(1+IF(L$3&lt;=$O$2,$D650,$D650-($D650-$I$643)*MIN(L$3-$O$2,$Q$2)/$Q$2))</f>
        <v>6433.7337111107</v>
      </c>
      <c r="M650" s="15" t="n">
        <f aca="false">L650*(1+IF(M$3&lt;=$O$2,$D650,$D650-($D650-$I$643)*MIN(M$3-$O$2,$Q$2)/$Q$2))</f>
        <v>6569.34073340663</v>
      </c>
      <c r="N650" s="15" t="n">
        <f aca="false">M650*(1+IF(N$3&lt;=$O$2,$D650,$D650-($D650-$I$643)*MIN(N$3-$O$2,$Q$2)/$Q$2))</f>
        <v>6755.25307616204</v>
      </c>
      <c r="O650" s="15" t="n">
        <f aca="false">SUMPRODUCT(E650:N650,1/(1+$F$643)^$E$3:$N$3)*$E$2</f>
        <v>13116.3430649966</v>
      </c>
      <c r="P650" s="15" t="n">
        <f aca="false">N650*$E$2*(1+$I$643)/($F$643-$I$643)/(1+$F$643)^$N$3</f>
        <v>14721.325553166</v>
      </c>
      <c r="Q650" s="15" t="n">
        <f aca="false">O650+P650</f>
        <v>27837.6686181626</v>
      </c>
      <c r="R650" s="15" t="n">
        <f aca="false">Q650-$G$2+$I$2</f>
        <v>20492.4686181626</v>
      </c>
      <c r="S650" s="42" t="n">
        <f aca="false">R650/$K$2</f>
        <v>87.3320631500645</v>
      </c>
      <c r="T650" s="43" t="n">
        <f aca="false">S650-$M$2</f>
        <v>6.31778656792091</v>
      </c>
    </row>
    <row r="651" customFormat="false" ht="15" hidden="false" customHeight="false" outlineLevel="0" collapsed="false">
      <c r="A651" s="5" t="n">
        <v>7</v>
      </c>
      <c r="B651" s="25" t="n">
        <f aca="false">IF(T650&gt;0,B650,D650)</f>
        <v>-0.03125</v>
      </c>
      <c r="C651" s="25" t="n">
        <f aca="false">IF(T650&gt;0,D650,C650)</f>
        <v>-0.0078125</v>
      </c>
      <c r="D651" s="41" t="n">
        <f aca="false">(B651+C651)/2</f>
        <v>-0.01953125</v>
      </c>
      <c r="E651" s="15" t="n">
        <f aca="false">$C$2*(1+IF(E$3&lt;=$O$2,$D651,$D651-($D651-$I$643)*MIN(E$3-$O$2,$Q$2)/$Q$2))</f>
        <v>6431.875</v>
      </c>
      <c r="F651" s="15" t="n">
        <f aca="false">E651*(1+IF(F$3&lt;=$O$2,$D651,$D651-($D651-$I$643)*MIN(F$3-$O$2,$Q$2)/$Q$2))</f>
        <v>6306.25244140625</v>
      </c>
      <c r="G651" s="15" t="n">
        <f aca="false">F651*(1+IF(G$3&lt;=$O$2,$D651,$D651-($D651-$I$643)*MIN(G$3-$O$2,$Q$2)/$Q$2))</f>
        <v>6183.08344841003</v>
      </c>
      <c r="H651" s="15" t="n">
        <f aca="false">G651*(1+IF(H$3&lt;=$O$2,$D651,$D651-($D651-$I$643)*MIN(H$3-$O$2,$Q$2)/$Q$2))</f>
        <v>6062.32009980828</v>
      </c>
      <c r="I651" s="15" t="n">
        <f aca="false">H651*(1+IF(I$3&lt;=$O$2,$D651,$D651-($D651-$I$643)*MIN(I$3-$O$2,$Q$2)/$Q$2))</f>
        <v>5943.9154103589</v>
      </c>
      <c r="J651" s="15" t="n">
        <f aca="false">I651*(1+IF(J$3&lt;=$O$2,$D651,$D651-($D651-$I$643)*MIN(J$3-$O$2,$Q$2)/$Q$2))</f>
        <v>5884.68429329467</v>
      </c>
      <c r="K651" s="15" t="n">
        <f aca="false">J651*(1+IF(K$3&lt;=$O$2,$D651,$D651-($D651-$I$643)*MIN(K$3-$O$2,$Q$2)/$Q$2))</f>
        <v>5882.33777543272</v>
      </c>
      <c r="L651" s="15" t="n">
        <f aca="false">K651*(1+IF(L$3&lt;=$O$2,$D651,$D651-($D651-$I$643)*MIN(L$3-$O$2,$Q$2)/$Q$2))</f>
        <v>5936.264106989</v>
      </c>
      <c r="M651" s="15" t="n">
        <f aca="false">L651*(1+IF(M$3&lt;=$O$2,$D651,$D651-($D651-$I$643)*MIN(M$3-$O$2,$Q$2)/$Q$2))</f>
        <v>6047.4725947033</v>
      </c>
      <c r="N651" s="15" t="n">
        <f aca="false">M651*(1+IF(N$3&lt;=$O$2,$D651,$D651-($D651-$I$643)*MIN(N$3-$O$2,$Q$2)/$Q$2))</f>
        <v>6218.61606913341</v>
      </c>
      <c r="O651" s="15" t="n">
        <f aca="false">SUMPRODUCT(E651:N651,1/(1+$F$643)^$E$3:$N$3)*$E$2</f>
        <v>12470.3105476294</v>
      </c>
      <c r="P651" s="15" t="n">
        <f aca="false">N651*$E$2*(1+$I$643)/($F$643-$I$643)/(1+$F$643)^$N$3</f>
        <v>13551.8640992017</v>
      </c>
      <c r="Q651" s="15" t="n">
        <f aca="false">O651+P651</f>
        <v>26022.1746468311</v>
      </c>
      <c r="R651" s="15" t="n">
        <f aca="false">Q651-$G$2+$I$2</f>
        <v>18676.9746468311</v>
      </c>
      <c r="S651" s="42" t="n">
        <f aca="false">R651/$K$2</f>
        <v>79.5950336536592</v>
      </c>
      <c r="T651" s="43" t="n">
        <f aca="false">S651-$M$2</f>
        <v>-1.41924292848445</v>
      </c>
    </row>
    <row r="652" customFormat="false" ht="15" hidden="false" customHeight="false" outlineLevel="0" collapsed="false">
      <c r="A652" s="5" t="n">
        <v>8</v>
      </c>
      <c r="B652" s="25" t="n">
        <f aca="false">IF(T651&gt;0,B651,D651)</f>
        <v>-0.01953125</v>
      </c>
      <c r="C652" s="25" t="n">
        <f aca="false">IF(T651&gt;0,D651,C651)</f>
        <v>-0.0078125</v>
      </c>
      <c r="D652" s="41" t="n">
        <f aca="false">(B652+C652)/2</f>
        <v>-0.013671875</v>
      </c>
      <c r="E652" s="15" t="n">
        <f aca="false">$C$2*(1+IF(E$3&lt;=$O$2,$D652,$D652-($D652-$I$643)*MIN(E$3-$O$2,$Q$2)/$Q$2))</f>
        <v>6470.3125</v>
      </c>
      <c r="F652" s="15" t="n">
        <f aca="false">E652*(1+IF(F$3&lt;=$O$2,$D652,$D652-($D652-$I$643)*MIN(F$3-$O$2,$Q$2)/$Q$2))</f>
        <v>6381.85119628906</v>
      </c>
      <c r="G652" s="15" t="n">
        <f aca="false">F652*(1+IF(G$3&lt;=$O$2,$D652,$D652-($D652-$I$643)*MIN(G$3-$O$2,$Q$2)/$Q$2))</f>
        <v>6294.5993244648</v>
      </c>
      <c r="H652" s="15" t="n">
        <f aca="false">G652*(1+IF(H$3&lt;=$O$2,$D652,$D652-($D652-$I$643)*MIN(H$3-$O$2,$Q$2)/$Q$2))</f>
        <v>6208.54034932563</v>
      </c>
      <c r="I652" s="15" t="n">
        <f aca="false">H652*(1+IF(I$3&lt;=$O$2,$D652,$D652-($D652-$I$643)*MIN(I$3-$O$2,$Q$2)/$Q$2))</f>
        <v>6123.65796173719</v>
      </c>
      <c r="J652" s="15" t="n">
        <f aca="false">I652*(1+IF(J$3&lt;=$O$2,$D652,$D652-($D652-$I$643)*MIN(J$3-$O$2,$Q$2)/$Q$2))</f>
        <v>6091.34035684413</v>
      </c>
      <c r="K652" s="15" t="n">
        <f aca="false">J652*(1+IF(K$3&lt;=$O$2,$D652,$D652-($D652-$I$643)*MIN(K$3-$O$2,$Q$2)/$Q$2))</f>
        <v>6110.32630331886</v>
      </c>
      <c r="L652" s="15" t="n">
        <f aca="false">K652*(1+IF(L$3&lt;=$O$2,$D652,$D652-($D652-$I$643)*MIN(L$3-$O$2,$Q$2)/$Q$2))</f>
        <v>6180.66379697794</v>
      </c>
      <c r="M652" s="15" t="n">
        <f aca="false">L652*(1+IF(M$3&lt;=$O$2,$D652,$D652-($D652-$I$643)*MIN(M$3-$O$2,$Q$2)/$Q$2))</f>
        <v>6303.69377277166</v>
      </c>
      <c r="N652" s="15" t="n">
        <f aca="false">M652*(1+IF(N$3&lt;=$O$2,$D652,$D652-($D652-$I$643)*MIN(N$3-$O$2,$Q$2)/$Q$2))</f>
        <v>6482.0883065411</v>
      </c>
      <c r="O652" s="15" t="n">
        <f aca="false">SUMPRODUCT(E652:N652,1/(1+$F$643)^$E$3:$N$3)*$E$2</f>
        <v>12789.1220301655</v>
      </c>
      <c r="P652" s="15" t="n">
        <f aca="false">N652*$E$2*(1+$I$643)/($F$643-$I$643)/(1+$F$643)^$N$3</f>
        <v>14126.0336436096</v>
      </c>
      <c r="Q652" s="15" t="n">
        <f aca="false">O652+P652</f>
        <v>26915.155673775</v>
      </c>
      <c r="R652" s="15" t="n">
        <f aca="false">Q652-$G$2+$I$2</f>
        <v>19569.955673775</v>
      </c>
      <c r="S652" s="42" t="n">
        <f aca="false">R652/$K$2</f>
        <v>83.4006208130196</v>
      </c>
      <c r="T652" s="43" t="n">
        <f aca="false">S652-$M$2</f>
        <v>2.38634423087596</v>
      </c>
    </row>
    <row r="653" customFormat="false" ht="15" hidden="false" customHeight="false" outlineLevel="0" collapsed="false">
      <c r="A653" s="5" t="n">
        <v>9</v>
      </c>
      <c r="B653" s="25" t="n">
        <f aca="false">IF(T652&gt;0,B652,D652)</f>
        <v>-0.01953125</v>
      </c>
      <c r="C653" s="25" t="n">
        <f aca="false">IF(T652&gt;0,D652,C652)</f>
        <v>-0.013671875</v>
      </c>
      <c r="D653" s="41" t="n">
        <f aca="false">(B653+C653)/2</f>
        <v>-0.0166015625</v>
      </c>
      <c r="E653" s="15" t="n">
        <f aca="false">$C$2*(1+IF(E$3&lt;=$O$2,$D653,$D653-($D653-$I$643)*MIN(E$3-$O$2,$Q$2)/$Q$2))</f>
        <v>6451.09375</v>
      </c>
      <c r="F653" s="15" t="n">
        <f aca="false">E653*(1+IF(F$3&lt;=$O$2,$D653,$D653-($D653-$I$643)*MIN(F$3-$O$2,$Q$2)/$Q$2))</f>
        <v>6343.99551391602</v>
      </c>
      <c r="G653" s="15" t="n">
        <f aca="false">F653*(1+IF(G$3&lt;=$O$2,$D653,$D653-($D653-$I$643)*MIN(G$3-$O$2,$Q$2)/$Q$2))</f>
        <v>6238.67527589202</v>
      </c>
      <c r="H653" s="15" t="n">
        <f aca="false">G653*(1+IF(H$3&lt;=$O$2,$D653,$D653-($D653-$I$643)*MIN(H$3-$O$2,$Q$2)/$Q$2))</f>
        <v>6135.10351838209</v>
      </c>
      <c r="I653" s="15" t="n">
        <f aca="false">H653*(1+IF(I$3&lt;=$O$2,$D653,$D653-($D653-$I$643)*MIN(I$3-$O$2,$Q$2)/$Q$2))</f>
        <v>6033.2512138777</v>
      </c>
      <c r="J653" s="15" t="n">
        <f aca="false">I653*(1+IF(J$3&lt;=$O$2,$D653,$D653-($D653-$I$643)*MIN(J$3-$O$2,$Q$2)/$Q$2))</f>
        <v>5987.27029806394</v>
      </c>
      <c r="K653" s="15" t="n">
        <f aca="false">J653*(1+IF(K$3&lt;=$O$2,$D653,$D653-($D653-$I$643)*MIN(K$3-$O$2,$Q$2)/$Q$2))</f>
        <v>5995.4073726034</v>
      </c>
      <c r="L653" s="15" t="n">
        <f aca="false">K653*(1+IF(L$3&lt;=$O$2,$D653,$D653-($D653-$I$643)*MIN(L$3-$O$2,$Q$2)/$Q$2))</f>
        <v>6057.39613770651</v>
      </c>
      <c r="M653" s="15" t="n">
        <f aca="false">L653*(1+IF(M$3&lt;=$O$2,$D653,$D653-($D653-$I$643)*MIN(M$3-$O$2,$Q$2)/$Q$2))</f>
        <v>6174.42313815071</v>
      </c>
      <c r="N653" s="15" t="n">
        <f aca="false">M653*(1+IF(N$3&lt;=$O$2,$D653,$D653-($D653-$I$643)*MIN(N$3-$O$2,$Q$2)/$Q$2))</f>
        <v>6349.15931296037</v>
      </c>
      <c r="O653" s="15" t="n">
        <f aca="false">SUMPRODUCT(E653:N653,1/(1+$F$643)^$E$3:$N$3)*$E$2</f>
        <v>12628.6781163132</v>
      </c>
      <c r="P653" s="15" t="n">
        <f aca="false">N653*$E$2*(1+$I$643)/($F$643-$I$643)/(1+$F$643)^$N$3</f>
        <v>13836.3493093746</v>
      </c>
      <c r="Q653" s="15" t="n">
        <f aca="false">O653+P653</f>
        <v>26465.0274256879</v>
      </c>
      <c r="R653" s="15" t="n">
        <f aca="false">Q653-$G$2+$I$2</f>
        <v>19119.8274256879</v>
      </c>
      <c r="S653" s="42" t="n">
        <f aca="false">R653/$K$2</f>
        <v>81.4823244222794</v>
      </c>
      <c r="T653" s="43" t="n">
        <f aca="false">S653-$M$2</f>
        <v>0.468047840135739</v>
      </c>
    </row>
    <row r="654" customFormat="false" ht="15" hidden="false" customHeight="false" outlineLevel="0" collapsed="false">
      <c r="A654" s="5" t="n">
        <v>10</v>
      </c>
      <c r="B654" s="25" t="n">
        <f aca="false">IF(T653&gt;0,B653,D653)</f>
        <v>-0.01953125</v>
      </c>
      <c r="C654" s="25" t="n">
        <f aca="false">IF(T653&gt;0,D653,C653)</f>
        <v>-0.0166015625</v>
      </c>
      <c r="D654" s="41" t="n">
        <f aca="false">(B654+C654)/2</f>
        <v>-0.01806640625</v>
      </c>
      <c r="E654" s="15" t="n">
        <f aca="false">$C$2*(1+IF(E$3&lt;=$O$2,$D654,$D654-($D654-$I$643)*MIN(E$3-$O$2,$Q$2)/$Q$2))</f>
        <v>6441.484375</v>
      </c>
      <c r="F654" s="15" t="n">
        <f aca="false">E654*(1+IF(F$3&lt;=$O$2,$D654,$D654-($D654-$I$643)*MIN(F$3-$O$2,$Q$2)/$Q$2))</f>
        <v>6325.10990142822</v>
      </c>
      <c r="G654" s="15" t="n">
        <f aca="false">F654*(1+IF(G$3&lt;=$O$2,$D654,$D654-($D654-$I$643)*MIN(G$3-$O$2,$Q$2)/$Q$2))</f>
        <v>6210.83789637312</v>
      </c>
      <c r="H654" s="15" t="n">
        <f aca="false">G654*(1+IF(H$3&lt;=$O$2,$D654,$D654-($D654-$I$643)*MIN(H$3-$O$2,$Q$2)/$Q$2))</f>
        <v>6098.63037578435</v>
      </c>
      <c r="I654" s="15" t="n">
        <f aca="false">H654*(1+IF(I$3&lt;=$O$2,$D654,$D654-($D654-$I$643)*MIN(I$3-$O$2,$Q$2)/$Q$2))</f>
        <v>5988.45004184684</v>
      </c>
      <c r="J654" s="15" t="n">
        <f aca="false">I654*(1+IF(J$3&lt;=$O$2,$D654,$D654-($D654-$I$643)*MIN(J$3-$O$2,$Q$2)/$Q$2))</f>
        <v>5935.79285207263</v>
      </c>
      <c r="K654" s="15" t="n">
        <f aca="false">J654*(1+IF(K$3&lt;=$O$2,$D654,$D654-($D654-$I$643)*MIN(K$3-$O$2,$Q$2)/$Q$2))</f>
        <v>5938.64296010926</v>
      </c>
      <c r="L654" s="15" t="n">
        <f aca="false">K654*(1+IF(L$3&lt;=$O$2,$D654,$D654-($D654-$I$643)*MIN(L$3-$O$2,$Q$2)/$Q$2))</f>
        <v>5996.5651430555</v>
      </c>
      <c r="M654" s="15" t="n">
        <f aca="false">L654*(1+IF(M$3&lt;=$O$2,$D654,$D654-($D654-$I$643)*MIN(M$3-$O$2,$Q$2)/$Q$2))</f>
        <v>6110.66010149847</v>
      </c>
      <c r="N654" s="15" t="n">
        <f aca="false">M654*(1+IF(N$3&lt;=$O$2,$D654,$D654-($D654-$I$643)*MIN(N$3-$O$2,$Q$2)/$Q$2))</f>
        <v>6283.59178237087</v>
      </c>
      <c r="O654" s="15" t="n">
        <f aca="false">SUMPRODUCT(E654:N654,1/(1+$F$643)^$E$3:$N$3)*$E$2</f>
        <v>12549.2364010405</v>
      </c>
      <c r="P654" s="15" t="n">
        <f aca="false">N654*$E$2*(1+$I$643)/($F$643-$I$643)/(1+$F$643)^$N$3</f>
        <v>13693.4618479217</v>
      </c>
      <c r="Q654" s="15" t="n">
        <f aca="false">O654+P654</f>
        <v>26242.6982489621</v>
      </c>
      <c r="R654" s="15" t="n">
        <f aca="false">Q654-$G$2+$I$2</f>
        <v>18897.4982489621</v>
      </c>
      <c r="S654" s="42" t="n">
        <f aca="false">R654/$K$2</f>
        <v>80.5348316597577</v>
      </c>
      <c r="T654" s="43" t="n">
        <f aca="false">S654-$M$2</f>
        <v>-0.479444922385909</v>
      </c>
    </row>
    <row r="655" customFormat="false" ht="15" hidden="false" customHeight="false" outlineLevel="0" collapsed="false">
      <c r="A655" s="5" t="n">
        <v>11</v>
      </c>
      <c r="B655" s="25" t="n">
        <f aca="false">IF(T654&gt;0,B654,D654)</f>
        <v>-0.01806640625</v>
      </c>
      <c r="C655" s="25" t="n">
        <f aca="false">IF(T654&gt;0,D654,C654)</f>
        <v>-0.0166015625</v>
      </c>
      <c r="D655" s="41" t="n">
        <f aca="false">(B655+C655)/2</f>
        <v>-0.017333984375</v>
      </c>
      <c r="E655" s="15" t="n">
        <f aca="false">$C$2*(1+IF(E$3&lt;=$O$2,$D655,$D655-($D655-$I$643)*MIN(E$3-$O$2,$Q$2)/$Q$2))</f>
        <v>6446.2890625</v>
      </c>
      <c r="F655" s="15" t="n">
        <f aca="false">E655*(1+IF(F$3&lt;=$O$2,$D655,$D655-($D655-$I$643)*MIN(F$3-$O$2,$Q$2)/$Q$2))</f>
        <v>6334.54918861389</v>
      </c>
      <c r="G655" s="15" t="n">
        <f aca="false">F655*(1+IF(G$3&lt;=$O$2,$D655,$D655-($D655-$I$643)*MIN(G$3-$O$2,$Q$2)/$Q$2))</f>
        <v>6224.74621195579</v>
      </c>
      <c r="H655" s="15" t="n">
        <f aca="false">G655*(1+IF(H$3&lt;=$O$2,$D655,$D655-($D655-$I$643)*MIN(H$3-$O$2,$Q$2)/$Q$2))</f>
        <v>6116.84655837941</v>
      </c>
      <c r="I655" s="15" t="n">
        <f aca="false">H655*(1+IF(I$3&lt;=$O$2,$D655,$D655-($D655-$I$643)*MIN(I$3-$O$2,$Q$2)/$Q$2))</f>
        <v>6010.81723571219</v>
      </c>
      <c r="J655" s="15" t="n">
        <f aca="false">I655*(1+IF(J$3&lt;=$O$2,$D655,$D655-($D655-$I$643)*MIN(J$3-$O$2,$Q$2)/$Q$2))</f>
        <v>5961.48533163046</v>
      </c>
      <c r="K655" s="15" t="n">
        <f aca="false">J655*(1+IF(K$3&lt;=$O$2,$D655,$D655-($D655-$I$643)*MIN(K$3-$O$2,$Q$2)/$Q$2))</f>
        <v>5966.96756943036</v>
      </c>
      <c r="L655" s="15" t="n">
        <f aca="false">K655*(1+IF(L$3&lt;=$O$2,$D655,$D655-($D655-$I$643)*MIN(L$3-$O$2,$Q$2)/$Q$2))</f>
        <v>6026.91414971343</v>
      </c>
      <c r="M655" s="15" t="n">
        <f aca="false">L655*(1+IF(M$3&lt;=$O$2,$D655,$D655-($D655-$I$643)*MIN(M$3-$O$2,$Q$2)/$Q$2))</f>
        <v>6142.46939892282</v>
      </c>
      <c r="N655" s="15" t="n">
        <f aca="false">M655*(1+IF(N$3&lt;=$O$2,$D655,$D655-($D655-$I$643)*MIN(N$3-$O$2,$Q$2)/$Q$2))</f>
        <v>6316.30128291234</v>
      </c>
      <c r="O655" s="15" t="n">
        <f aca="false">SUMPRODUCT(E655:N655,1/(1+$F$643)^$E$3:$N$3)*$E$2</f>
        <v>12588.8925751037</v>
      </c>
      <c r="P655" s="15" t="n">
        <f aca="false">N655*$E$2*(1+$I$643)/($F$643-$I$643)/(1+$F$643)^$N$3</f>
        <v>13764.743737841</v>
      </c>
      <c r="Q655" s="15" t="n">
        <f aca="false">O655+P655</f>
        <v>26353.6363129447</v>
      </c>
      <c r="R655" s="15" t="n">
        <f aca="false">Q655-$G$2+$I$2</f>
        <v>19008.4363129447</v>
      </c>
      <c r="S655" s="42" t="n">
        <f aca="false">R655/$K$2</f>
        <v>81.0076126696982</v>
      </c>
      <c r="T655" s="43" t="n">
        <f aca="false">S655-$M$2</f>
        <v>-0.00666391244540421</v>
      </c>
    </row>
    <row r="656" customFormat="false" ht="15" hidden="false" customHeight="false" outlineLevel="0" collapsed="false">
      <c r="A656" s="5" t="n">
        <v>12</v>
      </c>
      <c r="B656" s="25" t="n">
        <f aca="false">IF(T655&gt;0,B655,D655)</f>
        <v>-0.017333984375</v>
      </c>
      <c r="C656" s="25" t="n">
        <f aca="false">IF(T655&gt;0,D655,C655)</f>
        <v>-0.0166015625</v>
      </c>
      <c r="D656" s="41" t="n">
        <f aca="false">(B656+C656)/2</f>
        <v>-0.0169677734375</v>
      </c>
      <c r="E656" s="15" t="n">
        <f aca="false">$C$2*(1+IF(E$3&lt;=$O$2,$D656,$D656-($D656-$I$643)*MIN(E$3-$O$2,$Q$2)/$Q$2))</f>
        <v>6448.69140625</v>
      </c>
      <c r="F656" s="15" t="n">
        <f aca="false">E656*(1+IF(F$3&lt;=$O$2,$D656,$D656-($D656-$I$643)*MIN(F$3-$O$2,$Q$2)/$Q$2))</f>
        <v>6339.2714715004</v>
      </c>
      <c r="G656" s="15" t="n">
        <f aca="false">F656*(1+IF(G$3&lt;=$O$2,$D656,$D656-($D656-$I$643)*MIN(G$3-$O$2,$Q$2)/$Q$2))</f>
        <v>6231.70814941317</v>
      </c>
      <c r="H656" s="15" t="n">
        <f aca="false">G656*(1+IF(H$3&lt;=$O$2,$D656,$D656-($D656-$I$643)*MIN(H$3-$O$2,$Q$2)/$Q$2))</f>
        <v>6125.96993740531</v>
      </c>
      <c r="I656" s="15" t="n">
        <f aca="false">H656*(1+IF(I$3&lt;=$O$2,$D656,$D656-($D656-$I$643)*MIN(I$3-$O$2,$Q$2)/$Q$2))</f>
        <v>6022.02586742248</v>
      </c>
      <c r="J656" s="15" t="n">
        <f aca="false">I656*(1+IF(J$3&lt;=$O$2,$D656,$D656-($D656-$I$643)*MIN(J$3-$O$2,$Q$2)/$Q$2))</f>
        <v>5974.36623738954</v>
      </c>
      <c r="K656" s="15" t="n">
        <f aca="false">J656*(1+IF(K$3&lt;=$O$2,$D656,$D656-($D656-$I$643)*MIN(K$3-$O$2,$Q$2)/$Q$2))</f>
        <v>5981.17304754758</v>
      </c>
      <c r="L656" s="15" t="n">
        <f aca="false">K656*(1+IF(L$3&lt;=$O$2,$D656,$D656-($D656-$I$643)*MIN(L$3-$O$2,$Q$2)/$Q$2))</f>
        <v>6042.13849023043</v>
      </c>
      <c r="M656" s="15" t="n">
        <f aca="false">L656*(1+IF(M$3&lt;=$O$2,$D656,$D656-($D656-$I$643)*MIN(M$3-$O$2,$Q$2)/$Q$2))</f>
        <v>6158.4281782532</v>
      </c>
      <c r="N656" s="15" t="n">
        <f aca="false">M656*(1+IF(N$3&lt;=$O$2,$D656,$D656-($D656-$I$643)*MIN(N$3-$O$2,$Q$2)/$Q$2))</f>
        <v>6332.71169569777</v>
      </c>
      <c r="O656" s="15" t="n">
        <f aca="false">SUMPRODUCT(E656:N656,1/(1+$F$643)^$E$3:$N$3)*$E$2</f>
        <v>12608.7691496502</v>
      </c>
      <c r="P656" s="15" t="n">
        <f aca="false">N656*$E$2*(1+$I$643)/($F$643-$I$643)/(1+$F$643)^$N$3</f>
        <v>13800.5059848438</v>
      </c>
      <c r="Q656" s="15" t="n">
        <f aca="false">O656+P656</f>
        <v>26409.275134494</v>
      </c>
      <c r="R656" s="15" t="n">
        <f aca="false">Q656-$G$2+$I$2</f>
        <v>19064.075134494</v>
      </c>
      <c r="S656" s="42" t="n">
        <f aca="false">R656/$K$2</f>
        <v>81.2447267611079</v>
      </c>
      <c r="T656" s="43" t="n">
        <f aca="false">S656-$M$2</f>
        <v>0.230450178964304</v>
      </c>
    </row>
    <row r="657" customFormat="false" ht="15" hidden="false" customHeight="false" outlineLevel="0" collapsed="false">
      <c r="A657" s="5" t="n">
        <v>13</v>
      </c>
      <c r="B657" s="25" t="n">
        <f aca="false">IF(T656&gt;0,B656,D656)</f>
        <v>-0.017333984375</v>
      </c>
      <c r="C657" s="25" t="n">
        <f aca="false">IF(T656&gt;0,D656,C656)</f>
        <v>-0.0169677734375</v>
      </c>
      <c r="D657" s="41" t="n">
        <f aca="false">(B657+C657)/2</f>
        <v>-0.01715087890625</v>
      </c>
      <c r="E657" s="15" t="n">
        <f aca="false">$C$2*(1+IF(E$3&lt;=$O$2,$D657,$D657-($D657-$I$643)*MIN(E$3-$O$2,$Q$2)/$Q$2))</f>
        <v>6447.490234375</v>
      </c>
      <c r="F657" s="15" t="n">
        <f aca="false">E657*(1+IF(F$3&lt;=$O$2,$D657,$D657-($D657-$I$643)*MIN(F$3-$O$2,$Q$2)/$Q$2))</f>
        <v>6336.91011011601</v>
      </c>
      <c r="G657" s="15" t="n">
        <f aca="false">F657*(1+IF(G$3&lt;=$O$2,$D657,$D657-($D657-$I$643)*MIN(G$3-$O$2,$Q$2)/$Q$2))</f>
        <v>6228.22653217761</v>
      </c>
      <c r="H657" s="15" t="n">
        <f aca="false">G657*(1+IF(H$3&lt;=$O$2,$D657,$D657-($D657-$I$643)*MIN(H$3-$O$2,$Q$2)/$Q$2))</f>
        <v>6121.40697312354</v>
      </c>
      <c r="I657" s="15" t="n">
        <f aca="false">H657*(1+IF(I$3&lt;=$O$2,$D657,$D657-($D657-$I$643)*MIN(I$3-$O$2,$Q$2)/$Q$2))</f>
        <v>6016.41946339163</v>
      </c>
      <c r="J657" s="15" t="n">
        <f aca="false">I657*(1+IF(J$3&lt;=$O$2,$D657,$D657-($D657-$I$643)*MIN(J$3-$O$2,$Q$2)/$Q$2))</f>
        <v>5967.92289222175</v>
      </c>
      <c r="K657" s="15" t="n">
        <f aca="false">J657*(1+IF(K$3&lt;=$O$2,$D657,$D657-($D657-$I$643)*MIN(K$3-$O$2,$Q$2)/$Q$2))</f>
        <v>5974.06670565391</v>
      </c>
      <c r="L657" s="15" t="n">
        <f aca="false">K657*(1+IF(L$3&lt;=$O$2,$D657,$D657-($D657-$I$643)*MIN(L$3-$O$2,$Q$2)/$Q$2))</f>
        <v>6034.5221604573</v>
      </c>
      <c r="M657" s="15" t="n">
        <f aca="false">L657*(1+IF(M$3&lt;=$O$2,$D657,$D657-($D657-$I$643)*MIN(M$3-$O$2,$Q$2)/$Q$2))</f>
        <v>6150.44427040383</v>
      </c>
      <c r="N657" s="15" t="n">
        <f aca="false">M657*(1+IF(N$3&lt;=$O$2,$D657,$D657-($D657-$I$643)*MIN(N$3-$O$2,$Q$2)/$Q$2))</f>
        <v>6324.50184325626</v>
      </c>
      <c r="O657" s="15" t="n">
        <f aca="false">SUMPRODUCT(E657:N657,1/(1+$F$643)^$E$3:$N$3)*$E$2</f>
        <v>12598.8268165106</v>
      </c>
      <c r="P657" s="15" t="n">
        <f aca="false">N657*$E$2*(1+$I$643)/($F$643-$I$643)/(1+$F$643)^$N$3</f>
        <v>13782.6147364817</v>
      </c>
      <c r="Q657" s="15" t="n">
        <f aca="false">O657+P657</f>
        <v>26381.4415529923</v>
      </c>
      <c r="R657" s="15" t="n">
        <f aca="false">Q657-$G$2+$I$2</f>
        <v>19036.2415529923</v>
      </c>
      <c r="S657" s="42" t="n">
        <f aca="false">R657/$K$2</f>
        <v>81.1261093244931</v>
      </c>
      <c r="T657" s="43" t="n">
        <f aca="false">S657-$M$2</f>
        <v>0.111832742349463</v>
      </c>
    </row>
    <row r="658" customFormat="false" ht="15" hidden="false" customHeight="false" outlineLevel="0" collapsed="false">
      <c r="A658" s="5" t="n">
        <v>14</v>
      </c>
      <c r="B658" s="25" t="n">
        <f aca="false">IF(T657&gt;0,B657,D657)</f>
        <v>-0.017333984375</v>
      </c>
      <c r="C658" s="25" t="n">
        <f aca="false">IF(T657&gt;0,D657,C657)</f>
        <v>-0.01715087890625</v>
      </c>
      <c r="D658" s="41" t="n">
        <f aca="false">(B658+C658)/2</f>
        <v>-0.017242431640625</v>
      </c>
      <c r="E658" s="15" t="n">
        <f aca="false">$C$2*(1+IF(E$3&lt;=$O$2,$D658,$D658-($D658-$I$643)*MIN(E$3-$O$2,$Q$2)/$Q$2))</f>
        <v>6446.8896484375</v>
      </c>
      <c r="F658" s="15" t="n">
        <f aca="false">E658*(1+IF(F$3&lt;=$O$2,$D658,$D658-($D658-$I$643)*MIN(F$3-$O$2,$Q$2)/$Q$2))</f>
        <v>6335.72959437966</v>
      </c>
      <c r="G658" s="15" t="n">
        <f aca="false">F658*(1+IF(G$3&lt;=$O$2,$D658,$D658-($D658-$I$643)*MIN(G$3-$O$2,$Q$2)/$Q$2))</f>
        <v>6226.48620995509</v>
      </c>
      <c r="H658" s="15" t="n">
        <f aca="false">G658*(1+IF(H$3&lt;=$O$2,$D658,$D658-($D658-$I$643)*MIN(H$3-$O$2,$Q$2)/$Q$2))</f>
        <v>6119.12644711864</v>
      </c>
      <c r="I658" s="15" t="n">
        <f aca="false">H658*(1+IF(I$3&lt;=$O$2,$D658,$D658-($D658-$I$643)*MIN(I$3-$O$2,$Q$2)/$Q$2))</f>
        <v>6013.61782765386</v>
      </c>
      <c r="J658" s="15" t="n">
        <f aca="false">I658*(1+IF(J$3&lt;=$O$2,$D658,$D658-($D658-$I$643)*MIN(J$3-$O$2,$Q$2)/$Q$2))</f>
        <v>5964.70338911345</v>
      </c>
      <c r="K658" s="15" t="n">
        <f aca="false">J658*(1+IF(K$3&lt;=$O$2,$D658,$D658-($D658-$I$643)*MIN(K$3-$O$2,$Q$2)/$Q$2))</f>
        <v>5970.51623721218</v>
      </c>
      <c r="L658" s="15" t="n">
        <f aca="false">K658*(1+IF(L$3&lt;=$O$2,$D658,$D658-($D658-$I$643)*MIN(L$3-$O$2,$Q$2)/$Q$2))</f>
        <v>6030.71711568829</v>
      </c>
      <c r="M658" s="15" t="n">
        <f aca="false">L658*(1+IF(M$3&lt;=$O$2,$D658,$D658-($D658-$I$643)*MIN(M$3-$O$2,$Q$2)/$Q$2))</f>
        <v>6146.45570566523</v>
      </c>
      <c r="N658" s="15" t="n">
        <f aca="false">M658*(1+IF(N$3&lt;=$O$2,$D658,$D658-($D658-$I$643)*MIN(N$3-$O$2,$Q$2)/$Q$2))</f>
        <v>6320.40040213556</v>
      </c>
      <c r="O658" s="15" t="n">
        <f aca="false">SUMPRODUCT(E658:N658,1/(1+$F$643)^$E$3:$N$3)*$E$2</f>
        <v>12593.8586847339</v>
      </c>
      <c r="P658" s="15" t="n">
        <f aca="false">N658*$E$2*(1+$I$643)/($F$643-$I$643)/(1+$F$643)^$N$3</f>
        <v>13773.6767071741</v>
      </c>
      <c r="Q658" s="15" t="n">
        <f aca="false">O658+P658</f>
        <v>26367.535391908</v>
      </c>
      <c r="R658" s="15" t="n">
        <f aca="false">Q658-$G$2+$I$2</f>
        <v>19022.335391908</v>
      </c>
      <c r="S658" s="42" t="n">
        <f aca="false">R658/$K$2</f>
        <v>81.0668459062772</v>
      </c>
      <c r="T658" s="43" t="n">
        <f aca="false">S658-$M$2</f>
        <v>0.0525693241335858</v>
      </c>
    </row>
    <row r="659" customFormat="false" ht="15" hidden="false" customHeight="false" outlineLevel="0" collapsed="false">
      <c r="A659" s="5" t="n">
        <v>15</v>
      </c>
      <c r="B659" s="25" t="n">
        <f aca="false">IF(T658&gt;0,B658,D658)</f>
        <v>-0.017333984375</v>
      </c>
      <c r="C659" s="25" t="n">
        <f aca="false">IF(T658&gt;0,D658,C658)</f>
        <v>-0.017242431640625</v>
      </c>
      <c r="D659" s="41" t="n">
        <f aca="false">(B659+C659)/2</f>
        <v>-0.0172882080078125</v>
      </c>
      <c r="E659" s="15" t="n">
        <f aca="false">$C$2*(1+IF(E$3&lt;=$O$2,$D659,$D659-($D659-$I$643)*MIN(E$3-$O$2,$Q$2)/$Q$2))</f>
        <v>6446.58935546875</v>
      </c>
      <c r="F659" s="15" t="n">
        <f aca="false">E659*(1+IF(F$3&lt;=$O$2,$D659,$D659-($D659-$I$643)*MIN(F$3-$O$2,$Q$2)/$Q$2))</f>
        <v>6335.13937775046</v>
      </c>
      <c r="G659" s="15" t="n">
        <f aca="false">F659*(1+IF(G$3&lt;=$O$2,$D659,$D659-($D659-$I$643)*MIN(G$3-$O$2,$Q$2)/$Q$2))</f>
        <v>6225.61617042942</v>
      </c>
      <c r="H659" s="15" t="n">
        <f aca="false">G659*(1+IF(H$3&lt;=$O$2,$D659,$D659-($D659-$I$643)*MIN(H$3-$O$2,$Q$2)/$Q$2))</f>
        <v>6117.98642309824</v>
      </c>
      <c r="I659" s="15" t="n">
        <f aca="false">H659*(1+IF(I$3&lt;=$O$2,$D659,$D659-($D659-$I$643)*MIN(I$3-$O$2,$Q$2)/$Q$2))</f>
        <v>6012.21740122674</v>
      </c>
      <c r="J659" s="15" t="n">
        <f aca="false">I659*(1+IF(J$3&lt;=$O$2,$D659,$D659-($D659-$I$643)*MIN(J$3-$O$2,$Q$2)/$Q$2))</f>
        <v>5963.09417970121</v>
      </c>
      <c r="K659" s="15" t="n">
        <f aca="false">J659*(1+IF(K$3&lt;=$O$2,$D659,$D659-($D659-$I$643)*MIN(K$3-$O$2,$Q$2)/$Q$2))</f>
        <v>5968.74167828612</v>
      </c>
      <c r="L659" s="15" t="n">
        <f aca="false">K659*(1+IF(L$3&lt;=$O$2,$D659,$D659-($D659-$I$643)*MIN(L$3-$O$2,$Q$2)/$Q$2))</f>
        <v>6028.81537291177</v>
      </c>
      <c r="M659" s="15" t="n">
        <f aca="false">L659*(1+IF(M$3&lt;=$O$2,$D659,$D659-($D659-$I$643)*MIN(M$3-$O$2,$Q$2)/$Q$2))</f>
        <v>6144.46227011297</v>
      </c>
      <c r="N659" s="15" t="n">
        <f aca="false">M659*(1+IF(N$3&lt;=$O$2,$D659,$D659-($D659-$I$643)*MIN(N$3-$O$2,$Q$2)/$Q$2))</f>
        <v>6318.35055235717</v>
      </c>
      <c r="O659" s="15" t="n">
        <f aca="false">SUMPRODUCT(E659:N659,1/(1+$F$643)^$E$3:$N$3)*$E$2</f>
        <v>12591.3753771996</v>
      </c>
      <c r="P659" s="15" t="n">
        <f aca="false">N659*$E$2*(1+$I$643)/($F$643-$I$643)/(1+$F$643)^$N$3</f>
        <v>13769.2095901641</v>
      </c>
      <c r="Q659" s="15" t="n">
        <f aca="false">O659+P659</f>
        <v>26360.5849673638</v>
      </c>
      <c r="R659" s="15" t="n">
        <f aca="false">Q659-$G$2+$I$2</f>
        <v>19015.3849673638</v>
      </c>
      <c r="S659" s="42" t="n">
        <f aca="false">R659/$K$2</f>
        <v>81.0372255161465</v>
      </c>
      <c r="T659" s="43" t="n">
        <f aca="false">S659-$M$2</f>
        <v>0.0229489340028266</v>
      </c>
    </row>
    <row r="660" customFormat="false" ht="15" hidden="false" customHeight="false" outlineLevel="0" collapsed="false">
      <c r="A660" s="5" t="n">
        <v>16</v>
      </c>
      <c r="B660" s="25" t="n">
        <f aca="false">IF(T659&gt;0,B659,D659)</f>
        <v>-0.017333984375</v>
      </c>
      <c r="C660" s="25" t="n">
        <f aca="false">IF(T659&gt;0,D659,C659)</f>
        <v>-0.0172882080078125</v>
      </c>
      <c r="D660" s="41" t="n">
        <f aca="false">(B660+C660)/2</f>
        <v>-0.0173110961914063</v>
      </c>
      <c r="E660" s="15" t="n">
        <f aca="false">$C$2*(1+IF(E$3&lt;=$O$2,$D660,$D660-($D660-$I$643)*MIN(E$3-$O$2,$Q$2)/$Q$2))</f>
        <v>6446.43920898438</v>
      </c>
      <c r="F660" s="15" t="n">
        <f aca="false">E660*(1+IF(F$3&lt;=$O$2,$D660,$D660-($D660-$I$643)*MIN(F$3-$O$2,$Q$2)/$Q$2))</f>
        <v>6334.84427974559</v>
      </c>
      <c r="G660" s="15" t="n">
        <f aca="false">F660*(1+IF(G$3&lt;=$O$2,$D660,$D660-($D660-$I$643)*MIN(G$3-$O$2,$Q$2)/$Q$2))</f>
        <v>6225.18118106134</v>
      </c>
      <c r="H660" s="15" t="n">
        <f aca="false">G660*(1+IF(H$3&lt;=$O$2,$D660,$D660-($D660-$I$643)*MIN(H$3-$O$2,$Q$2)/$Q$2))</f>
        <v>6117.41647082705</v>
      </c>
      <c r="I660" s="15" t="n">
        <f aca="false">H660*(1+IF(I$3&lt;=$O$2,$D660,$D660-($D660-$I$643)*MIN(I$3-$O$2,$Q$2)/$Q$2))</f>
        <v>6011.51728585767</v>
      </c>
      <c r="J660" s="15" t="n">
        <f aca="false">I660*(1+IF(J$3&lt;=$O$2,$D660,$D660-($D660-$I$643)*MIN(J$3-$O$2,$Q$2)/$Q$2))</f>
        <v>5962.2897105022</v>
      </c>
      <c r="K660" s="15" t="n">
        <f aca="false">J660*(1+IF(K$3&lt;=$O$2,$D660,$D660-($D660-$I$643)*MIN(K$3-$O$2,$Q$2)/$Q$2))</f>
        <v>5967.85456760537</v>
      </c>
      <c r="L660" s="15" t="n">
        <f aca="false">K660*(1+IF(L$3&lt;=$O$2,$D660,$D660-($D660-$I$643)*MIN(L$3-$O$2,$Q$2)/$Q$2))</f>
        <v>6027.86469637285</v>
      </c>
      <c r="M660" s="15" t="n">
        <f aca="false">L660*(1+IF(M$3&lt;=$O$2,$D660,$D660-($D660-$I$643)*MIN(M$3-$O$2,$Q$2)/$Q$2))</f>
        <v>6143.46576398119</v>
      </c>
      <c r="N660" s="15" t="n">
        <f aca="false">M660*(1+IF(N$3&lt;=$O$2,$D660,$D660-($D660-$I$643)*MIN(N$3-$O$2,$Q$2)/$Q$2))</f>
        <v>6317.32584510186</v>
      </c>
      <c r="O660" s="15" t="n">
        <f aca="false">SUMPRODUCT(E660:N660,1/(1+$F$643)^$E$3:$N$3)*$E$2</f>
        <v>12590.133912978</v>
      </c>
      <c r="P660" s="15" t="n">
        <f aca="false">N660*$E$2*(1+$I$643)/($F$643-$I$643)/(1+$F$643)^$N$3</f>
        <v>13766.9765059359</v>
      </c>
      <c r="Q660" s="15" t="n">
        <f aca="false">O660+P660</f>
        <v>26357.1104189139</v>
      </c>
      <c r="R660" s="15" t="n">
        <f aca="false">Q660-$G$2+$I$2</f>
        <v>19011.9104189139</v>
      </c>
      <c r="S660" s="42" t="n">
        <f aca="false">R660/$K$2</f>
        <v>81.02241815007</v>
      </c>
      <c r="T660" s="43" t="n">
        <f aca="false">S660-$M$2</f>
        <v>0.00814156792633014</v>
      </c>
    </row>
    <row r="661" customFormat="false" ht="15" hidden="false" customHeight="false" outlineLevel="0" collapsed="false">
      <c r="A661" s="5" t="n">
        <v>17</v>
      </c>
      <c r="B661" s="25" t="n">
        <f aca="false">IF(T660&gt;0,B660,D660)</f>
        <v>-0.017333984375</v>
      </c>
      <c r="C661" s="25" t="n">
        <f aca="false">IF(T660&gt;0,D660,C660)</f>
        <v>-0.0173110961914063</v>
      </c>
      <c r="D661" s="41" t="n">
        <f aca="false">(B661+C661)/2</f>
        <v>-0.0173225402832031</v>
      </c>
      <c r="E661" s="15" t="n">
        <f aca="false">$C$2*(1+IF(E$3&lt;=$O$2,$D661,$D661-($D661-$I$643)*MIN(E$3-$O$2,$Q$2)/$Q$2))</f>
        <v>6446.36413574219</v>
      </c>
      <c r="F661" s="15" t="n">
        <f aca="false">E661*(1+IF(F$3&lt;=$O$2,$D661,$D661-($D661-$I$643)*MIN(F$3-$O$2,$Q$2)/$Q$2))</f>
        <v>6334.6967333206</v>
      </c>
      <c r="G661" s="15" t="n">
        <f aca="false">F661*(1+IF(G$3&lt;=$O$2,$D661,$D661-($D661-$I$643)*MIN(G$3-$O$2,$Q$2)/$Q$2))</f>
        <v>6224.96369397578</v>
      </c>
      <c r="H661" s="15" t="n">
        <f aca="false">G661*(1+IF(H$3&lt;=$O$2,$D661,$D661-($D661-$I$643)*MIN(H$3-$O$2,$Q$2)/$Q$2))</f>
        <v>6117.1315096254</v>
      </c>
      <c r="I661" s="15" t="n">
        <f aca="false">H661*(1+IF(I$3&lt;=$O$2,$D661,$D661-($D661-$I$643)*MIN(I$3-$O$2,$Q$2)/$Q$2))</f>
        <v>6011.16725263227</v>
      </c>
      <c r="J661" s="15" t="n">
        <f aca="false">I661*(1+IF(J$3&lt;=$O$2,$D661,$D661-($D661-$I$643)*MIN(J$3-$O$2,$Q$2)/$Q$2))</f>
        <v>5961.88750977593</v>
      </c>
      <c r="K661" s="15" t="n">
        <f aca="false">J661*(1+IF(K$3&lt;=$O$2,$D661,$D661-($D661-$I$643)*MIN(K$3-$O$2,$Q$2)/$Q$2))</f>
        <v>5967.41105445538</v>
      </c>
      <c r="L661" s="15" t="n">
        <f aca="false">K661*(1+IF(L$3&lt;=$O$2,$D661,$D661-($D661-$I$643)*MIN(L$3-$O$2,$Q$2)/$Q$2))</f>
        <v>6027.38940680914</v>
      </c>
      <c r="M661" s="15" t="n">
        <f aca="false">L661*(1+IF(M$3&lt;=$O$2,$D661,$D661-($D661-$I$643)*MIN(M$3-$O$2,$Q$2)/$Q$2))</f>
        <v>6142.9675638189</v>
      </c>
      <c r="N661" s="15" t="n">
        <f aca="false">M661*(1+IF(N$3&lt;=$O$2,$D661,$D661-($D661-$I$643)*MIN(N$3-$O$2,$Q$2)/$Q$2))</f>
        <v>6316.81354587497</v>
      </c>
      <c r="O661" s="15" t="n">
        <f aca="false">SUMPRODUCT(E661:N661,1/(1+$F$643)^$E$3:$N$3)*$E$2</f>
        <v>12589.5132282482</v>
      </c>
      <c r="P661" s="15" t="n">
        <f aca="false">N661*$E$2*(1+$I$643)/($F$643-$I$643)/(1+$F$643)^$N$3</f>
        <v>13765.8600823742</v>
      </c>
      <c r="Q661" s="15" t="n">
        <f aca="false">O661+P661</f>
        <v>26355.3733106224</v>
      </c>
      <c r="R661" s="15" t="n">
        <f aca="false">Q661-$G$2+$I$2</f>
        <v>19010.1733106224</v>
      </c>
      <c r="S661" s="42" t="n">
        <f aca="false">R661/$K$2</f>
        <v>81.0150151741844</v>
      </c>
      <c r="T661" s="43" t="n">
        <f aca="false">S661-$M$2</f>
        <v>0.000738592040818276</v>
      </c>
    </row>
    <row r="662" customFormat="false" ht="15" hidden="false" customHeight="false" outlineLevel="0" collapsed="false">
      <c r="A662" s="5" t="n">
        <v>18</v>
      </c>
      <c r="B662" s="25" t="n">
        <f aca="false">IF(T661&gt;0,B661,D661)</f>
        <v>-0.017333984375</v>
      </c>
      <c r="C662" s="25" t="n">
        <f aca="false">IF(T661&gt;0,D661,C661)</f>
        <v>-0.0173225402832031</v>
      </c>
      <c r="D662" s="41" t="n">
        <f aca="false">(B662+C662)/2</f>
        <v>-0.0173282623291016</v>
      </c>
      <c r="E662" s="15" t="n">
        <f aca="false">$C$2*(1+IF(E$3&lt;=$O$2,$D662,$D662-($D662-$I$643)*MIN(E$3-$O$2,$Q$2)/$Q$2))</f>
        <v>6446.32659912109</v>
      </c>
      <c r="F662" s="15" t="n">
        <f aca="false">E662*(1+IF(F$3&lt;=$O$2,$D662,$D662-($D662-$I$643)*MIN(F$3-$O$2,$Q$2)/$Q$2))</f>
        <v>6334.62296075246</v>
      </c>
      <c r="G662" s="15" t="n">
        <f aca="false">F662*(1+IF(G$3&lt;=$O$2,$D662,$D662-($D662-$I$643)*MIN(G$3-$O$2,$Q$2)/$Q$2))</f>
        <v>6224.85495233259</v>
      </c>
      <c r="H662" s="15" t="n">
        <f aca="false">G662*(1+IF(H$3&lt;=$O$2,$D662,$D662-($D662-$I$643)*MIN(H$3-$O$2,$Q$2)/$Q$2))</f>
        <v>6116.98903275796</v>
      </c>
      <c r="I662" s="15" t="n">
        <f aca="false">H662*(1+IF(I$3&lt;=$O$2,$D662,$D662-($D662-$I$643)*MIN(I$3-$O$2,$Q$2)/$Q$2))</f>
        <v>6010.9922421341</v>
      </c>
      <c r="J662" s="15" t="n">
        <f aca="false">I662*(1+IF(J$3&lt;=$O$2,$D662,$D662-($D662-$I$643)*MIN(J$3-$O$2,$Q$2)/$Q$2))</f>
        <v>5961.68641788066</v>
      </c>
      <c r="K662" s="15" t="n">
        <f aca="false">J662*(1+IF(K$3&lt;=$O$2,$D662,$D662-($D662-$I$643)*MIN(K$3-$O$2,$Q$2)/$Q$2))</f>
        <v>5967.18930842734</v>
      </c>
      <c r="L662" s="15" t="n">
        <f aca="false">K662*(1+IF(L$3&lt;=$O$2,$D662,$D662-($D662-$I$643)*MIN(L$3-$O$2,$Q$2)/$Q$2))</f>
        <v>6027.1517742029</v>
      </c>
      <c r="M662" s="15" t="n">
        <f aca="false">L662*(1+IF(M$3&lt;=$O$2,$D662,$D662-($D662-$I$643)*MIN(M$3-$O$2,$Q$2)/$Q$2))</f>
        <v>6142.71847696272</v>
      </c>
      <c r="N662" s="15" t="n">
        <f aca="false">M662*(1+IF(N$3&lt;=$O$2,$D662,$D662-($D662-$I$643)*MIN(N$3-$O$2,$Q$2)/$Q$2))</f>
        <v>6316.55740986076</v>
      </c>
      <c r="O662" s="15" t="n">
        <f aca="false">SUMPRODUCT(E662:N662,1/(1+$F$643)^$E$3:$N$3)*$E$2</f>
        <v>12589.2028977279</v>
      </c>
      <c r="P662" s="15" t="n">
        <f aca="false">N662*$E$2*(1+$I$643)/($F$643-$I$643)/(1+$F$643)^$N$3</f>
        <v>13765.3019002293</v>
      </c>
      <c r="Q662" s="15" t="n">
        <f aca="false">O662+P662</f>
        <v>26354.5047979572</v>
      </c>
      <c r="R662" s="15" t="n">
        <f aca="false">Q662-$G$2+$I$2</f>
        <v>19009.3047979572</v>
      </c>
      <c r="S662" s="42" t="n">
        <f aca="false">R662/$K$2</f>
        <v>81.0113138630181</v>
      </c>
      <c r="T662" s="43" t="n">
        <f aca="false">S662-$M$2</f>
        <v>-0.00296271912549173</v>
      </c>
    </row>
    <row r="663" customFormat="false" ht="15" hidden="false" customHeight="false" outlineLevel="0" collapsed="false">
      <c r="A663" s="5" t="n">
        <v>19</v>
      </c>
      <c r="B663" s="25" t="n">
        <f aca="false">IF(T662&gt;0,B662,D662)</f>
        <v>-0.0173282623291016</v>
      </c>
      <c r="C663" s="25" t="n">
        <f aca="false">IF(T662&gt;0,D662,C662)</f>
        <v>-0.0173225402832031</v>
      </c>
      <c r="D663" s="41" t="n">
        <f aca="false">(B663+C663)/2</f>
        <v>-0.0173254013061523</v>
      </c>
      <c r="E663" s="15" t="n">
        <f aca="false">$C$2*(1+IF(E$3&lt;=$O$2,$D663,$D663-($D663-$I$643)*MIN(E$3-$O$2,$Q$2)/$Q$2))</f>
        <v>6446.34536743164</v>
      </c>
      <c r="F663" s="15" t="n">
        <f aca="false">E663*(1+IF(F$3&lt;=$O$2,$D663,$D663-($D663-$I$643)*MIN(F$3-$O$2,$Q$2)/$Q$2))</f>
        <v>6334.65984698283</v>
      </c>
      <c r="G663" s="15" t="n">
        <f aca="false">F663*(1+IF(G$3&lt;=$O$2,$D663,$D663-($D663-$I$643)*MIN(G$3-$O$2,$Q$2)/$Q$2))</f>
        <v>6224.90932299588</v>
      </c>
      <c r="H663" s="15" t="n">
        <f aca="false">G663*(1+IF(H$3&lt;=$O$2,$D663,$D663-($D663-$I$643)*MIN(H$3-$O$2,$Q$2)/$Q$2))</f>
        <v>6117.06027088057</v>
      </c>
      <c r="I663" s="15" t="n">
        <f aca="false">H663*(1+IF(I$3&lt;=$O$2,$D663,$D663-($D663-$I$643)*MIN(I$3-$O$2,$Q$2)/$Q$2))</f>
        <v>6011.07974687365</v>
      </c>
      <c r="J663" s="15" t="n">
        <f aca="false">I663*(1+IF(J$3&lt;=$O$2,$D663,$D663-($D663-$I$643)*MIN(J$3-$O$2,$Q$2)/$Q$2))</f>
        <v>5961.78696312265</v>
      </c>
      <c r="K663" s="15" t="n">
        <f aca="false">J663*(1+IF(K$3&lt;=$O$2,$D663,$D663-($D663-$I$643)*MIN(K$3-$O$2,$Q$2)/$Q$2))</f>
        <v>5967.30018056247</v>
      </c>
      <c r="L663" s="15" t="n">
        <f aca="false">K663*(1+IF(L$3&lt;=$O$2,$D663,$D663-($D663-$I$643)*MIN(L$3-$O$2,$Q$2)/$Q$2))</f>
        <v>6027.27058949141</v>
      </c>
      <c r="M663" s="15" t="n">
        <f aca="false">L663*(1+IF(M$3&lt;=$O$2,$D663,$D663-($D663-$I$643)*MIN(M$3-$O$2,$Q$2)/$Q$2))</f>
        <v>6142.84301928876</v>
      </c>
      <c r="N663" s="15" t="n">
        <f aca="false">M663*(1+IF(N$3&lt;=$O$2,$D663,$D663-($D663-$I$643)*MIN(N$3-$O$2,$Q$2)/$Q$2))</f>
        <v>6316.68547673463</v>
      </c>
      <c r="O663" s="15" t="n">
        <f aca="false">SUMPRODUCT(E663:N663,1/(1+$F$643)^$E$3:$N$3)*$E$2</f>
        <v>12589.358062001</v>
      </c>
      <c r="P663" s="15" t="n">
        <f aca="false">N663*$E$2*(1+$I$643)/($F$643-$I$643)/(1+$F$643)^$N$3</f>
        <v>13765.5809888322</v>
      </c>
      <c r="Q663" s="15" t="n">
        <f aca="false">O663+P663</f>
        <v>26354.9390508332</v>
      </c>
      <c r="R663" s="15" t="n">
        <f aca="false">Q663-$G$2+$I$2</f>
        <v>19009.7390508332</v>
      </c>
      <c r="S663" s="42" t="n">
        <f aca="false">R663/$K$2</f>
        <v>81.0131645038703</v>
      </c>
      <c r="T663" s="43" t="n">
        <f aca="false">S663-$M$2</f>
        <v>-0.00111207827333715</v>
      </c>
    </row>
    <row r="664" customFormat="false" ht="15" hidden="false" customHeight="false" outlineLevel="0" collapsed="false">
      <c r="A664" s="5" t="n">
        <v>20</v>
      </c>
      <c r="B664" s="25" t="n">
        <f aca="false">IF(T663&gt;0,B663,D663)</f>
        <v>-0.0173254013061523</v>
      </c>
      <c r="C664" s="25" t="n">
        <f aca="false">IF(T663&gt;0,D663,C663)</f>
        <v>-0.0173225402832031</v>
      </c>
      <c r="D664" s="41" t="n">
        <f aca="false">(B664+C664)/2</f>
        <v>-0.0173239707946777</v>
      </c>
      <c r="E664" s="15" t="n">
        <f aca="false">$C$2*(1+IF(E$3&lt;=$O$2,$D664,$D664-($D664-$I$643)*MIN(E$3-$O$2,$Q$2)/$Q$2))</f>
        <v>6446.35475158691</v>
      </c>
      <c r="F664" s="15" t="n">
        <f aca="false">E664*(1+IF(F$3&lt;=$O$2,$D664,$D664-($D664-$I$643)*MIN(F$3-$O$2,$Q$2)/$Q$2))</f>
        <v>6334.67829013829</v>
      </c>
      <c r="G664" s="15" t="n">
        <f aca="false">F664*(1+IF(G$3&lt;=$O$2,$D664,$D664-($D664-$I$643)*MIN(G$3-$O$2,$Q$2)/$Q$2))</f>
        <v>6224.93650844626</v>
      </c>
      <c r="H664" s="15" t="n">
        <f aca="false">G664*(1+IF(H$3&lt;=$O$2,$D664,$D664-($D664-$I$643)*MIN(H$3-$O$2,$Q$2)/$Q$2))</f>
        <v>6117.09589017521</v>
      </c>
      <c r="I664" s="15" t="n">
        <f aca="false">H664*(1+IF(I$3&lt;=$O$2,$D664,$D664-($D664-$I$643)*MIN(I$3-$O$2,$Q$2)/$Q$2))</f>
        <v>6011.12349962557</v>
      </c>
      <c r="J664" s="15" t="n">
        <f aca="false">I664*(1+IF(J$3&lt;=$O$2,$D664,$D664-($D664-$I$643)*MIN(J$3-$O$2,$Q$2)/$Q$2))</f>
        <v>5961.83723627288</v>
      </c>
      <c r="K664" s="15" t="n">
        <f aca="false">J664*(1+IF(K$3&lt;=$O$2,$D664,$D664-($D664-$I$643)*MIN(K$3-$O$2,$Q$2)/$Q$2))</f>
        <v>5967.3556172892</v>
      </c>
      <c r="L664" s="15" t="n">
        <f aca="false">K664*(1+IF(L$3&lt;=$O$2,$D664,$D664-($D664-$I$643)*MIN(L$3-$O$2,$Q$2)/$Q$2))</f>
        <v>6027.32999789662</v>
      </c>
      <c r="M664" s="15" t="n">
        <f aca="false">L664*(1+IF(M$3&lt;=$O$2,$D664,$D664-($D664-$I$643)*MIN(M$3-$O$2,$Q$2)/$Q$2))</f>
        <v>6142.90529127831</v>
      </c>
      <c r="N664" s="15" t="n">
        <f aca="false">M664*(1+IF(N$3&lt;=$O$2,$D664,$D664-($D664-$I$643)*MIN(N$3-$O$2,$Q$2)/$Q$2))</f>
        <v>6316.74951102149</v>
      </c>
      <c r="O664" s="15" t="n">
        <f aca="false">SUMPRODUCT(E664:N664,1/(1+$F$643)^$E$3:$N$3)*$E$2</f>
        <v>12589.4356448778</v>
      </c>
      <c r="P664" s="15" t="n">
        <f aca="false">N664*$E$2*(1+$I$643)/($F$643-$I$643)/(1+$F$643)^$N$3</f>
        <v>13765.7205349858</v>
      </c>
      <c r="Q664" s="15" t="n">
        <f aca="false">O664+P664</f>
        <v>26355.1561798636</v>
      </c>
      <c r="R664" s="15" t="n">
        <f aca="false">Q664-$G$2+$I$2</f>
        <v>19009.9561798636</v>
      </c>
      <c r="S664" s="42" t="n">
        <f aca="false">R664/$K$2</f>
        <v>81.0140898353446</v>
      </c>
      <c r="T664" s="43" t="n">
        <f aca="false">S664-$M$2</f>
        <v>-0.000186746799059279</v>
      </c>
    </row>
    <row r="665" customFormat="false" ht="15" hidden="false" customHeight="false" outlineLevel="0" collapsed="false">
      <c r="A665" s="5" t="n">
        <v>21</v>
      </c>
      <c r="B665" s="25" t="n">
        <f aca="false">IF(T664&gt;0,B664,D664)</f>
        <v>-0.0173239707946777</v>
      </c>
      <c r="C665" s="25" t="n">
        <f aca="false">IF(T664&gt;0,D664,C664)</f>
        <v>-0.0173225402832031</v>
      </c>
      <c r="D665" s="41" t="n">
        <f aca="false">(B665+C665)/2</f>
        <v>-0.0173232555389404</v>
      </c>
      <c r="E665" s="15" t="n">
        <f aca="false">$C$2*(1+IF(E$3&lt;=$O$2,$D665,$D665-($D665-$I$643)*MIN(E$3-$O$2,$Q$2)/$Q$2))</f>
        <v>6446.35944366455</v>
      </c>
      <c r="F665" s="15" t="n">
        <f aca="false">E665*(1+IF(F$3&lt;=$O$2,$D665,$D665-($D665-$I$643)*MIN(F$3-$O$2,$Q$2)/$Q$2))</f>
        <v>6334.68751172609</v>
      </c>
      <c r="G665" s="15" t="n">
        <f aca="false">F665*(1+IF(G$3&lt;=$O$2,$D665,$D665-($D665-$I$643)*MIN(G$3-$O$2,$Q$2)/$Q$2))</f>
        <v>6224.95010120112</v>
      </c>
      <c r="H665" s="15" t="n">
        <f aca="false">G665*(1+IF(H$3&lt;=$O$2,$D665,$D665-($D665-$I$643)*MIN(H$3-$O$2,$Q$2)/$Q$2))</f>
        <v>6117.11369988086</v>
      </c>
      <c r="I665" s="15" t="n">
        <f aca="false">H665*(1+IF(I$3&lt;=$O$2,$D665,$D665-($D665-$I$643)*MIN(I$3-$O$2,$Q$2)/$Q$2))</f>
        <v>6011.14537609707</v>
      </c>
      <c r="J665" s="15" t="n">
        <f aca="false">I665*(1+IF(J$3&lt;=$O$2,$D665,$D665-($D665-$I$643)*MIN(J$3-$O$2,$Q$2)/$Q$2))</f>
        <v>5961.8623729803</v>
      </c>
      <c r="K665" s="15" t="n">
        <f aca="false">J665*(1+IF(K$3&lt;=$O$2,$D665,$D665-($D665-$I$643)*MIN(K$3-$O$2,$Q$2)/$Q$2))</f>
        <v>5967.38333581736</v>
      </c>
      <c r="L665" s="15" t="n">
        <f aca="false">K665*(1+IF(L$3&lt;=$O$2,$D665,$D665-($D665-$I$643)*MIN(L$3-$O$2,$Q$2)/$Q$2))</f>
        <v>6027.35970228947</v>
      </c>
      <c r="M665" s="15" t="n">
        <f aca="false">L665*(1+IF(M$3&lt;=$O$2,$D665,$D665-($D665-$I$643)*MIN(M$3-$O$2,$Q$2)/$Q$2))</f>
        <v>6142.93642747973</v>
      </c>
      <c r="N665" s="15" t="n">
        <f aca="false">M665*(1+IF(N$3&lt;=$O$2,$D665,$D665-($D665-$I$643)*MIN(N$3-$O$2,$Q$2)/$Q$2))</f>
        <v>6316.7815283774</v>
      </c>
      <c r="O665" s="15" t="n">
        <f aca="false">SUMPRODUCT(E665:N665,1/(1+$F$643)^$E$3:$N$3)*$E$2</f>
        <v>12589.4744365013</v>
      </c>
      <c r="P665" s="15" t="n">
        <f aca="false">N665*$E$2*(1+$I$643)/($F$643-$I$643)/(1+$F$643)^$N$3</f>
        <v>13765.7903085256</v>
      </c>
      <c r="Q665" s="15" t="n">
        <f aca="false">O665+P665</f>
        <v>26355.264745027</v>
      </c>
      <c r="R665" s="15" t="n">
        <f aca="false">Q665-$G$2+$I$2</f>
        <v>19010.064745027</v>
      </c>
      <c r="S665" s="42" t="n">
        <f aca="false">R665/$K$2</f>
        <v>81.0145525038438</v>
      </c>
      <c r="T665" s="43" t="n">
        <f aca="false">S665-$M$2</f>
        <v>0.000275921700193749</v>
      </c>
    </row>
    <row r="666" customFormat="false" ht="15" hidden="false" customHeight="false" outlineLevel="0" collapsed="false">
      <c r="A666" s="5" t="n">
        <v>22</v>
      </c>
      <c r="B666" s="25" t="n">
        <f aca="false">IF(T665&gt;0,B665,D665)</f>
        <v>-0.0173239707946777</v>
      </c>
      <c r="C666" s="25" t="n">
        <f aca="false">IF(T665&gt;0,D665,C665)</f>
        <v>-0.0173232555389404</v>
      </c>
      <c r="D666" s="41" t="n">
        <f aca="false">(B666+C666)/2</f>
        <v>-0.0173236131668091</v>
      </c>
      <c r="E666" s="15" t="n">
        <f aca="false">$C$2*(1+IF(E$3&lt;=$O$2,$D666,$D666-($D666-$I$643)*MIN(E$3-$O$2,$Q$2)/$Q$2))</f>
        <v>6446.35709762573</v>
      </c>
      <c r="F666" s="15" t="n">
        <f aca="false">E666*(1+IF(F$3&lt;=$O$2,$D666,$D666-($D666-$I$643)*MIN(F$3-$O$2,$Q$2)/$Q$2))</f>
        <v>6334.68290093135</v>
      </c>
      <c r="G666" s="15" t="n">
        <f aca="false">F666*(1+IF(G$3&lt;=$O$2,$D666,$D666-($D666-$I$643)*MIN(G$3-$O$2,$Q$2)/$Q$2))</f>
        <v>6224.94330482122</v>
      </c>
      <c r="H666" s="15" t="n">
        <f aca="false">G666*(1+IF(H$3&lt;=$O$2,$D666,$D666-($D666-$I$643)*MIN(H$3-$O$2,$Q$2)/$Q$2))</f>
        <v>6117.10479502317</v>
      </c>
      <c r="I666" s="15" t="n">
        <f aca="false">H666*(1+IF(I$3&lt;=$O$2,$D666,$D666-($D666-$I$643)*MIN(I$3-$O$2,$Q$2)/$Q$2))</f>
        <v>6011.13443785336</v>
      </c>
      <c r="J666" s="15" t="n">
        <f aca="false">I666*(1+IF(J$3&lt;=$O$2,$D666,$D666-($D666-$I$643)*MIN(J$3-$O$2,$Q$2)/$Q$2))</f>
        <v>5961.84980461557</v>
      </c>
      <c r="K666" s="15" t="n">
        <f aca="false">J666*(1+IF(K$3&lt;=$O$2,$D666,$D666-($D666-$I$643)*MIN(K$3-$O$2,$Q$2)/$Q$2))</f>
        <v>5967.36947653955</v>
      </c>
      <c r="L666" s="15" t="n">
        <f aca="false">K666*(1+IF(L$3&lt;=$O$2,$D666,$D666-($D666-$I$643)*MIN(L$3-$O$2,$Q$2)/$Q$2))</f>
        <v>6027.34485007719</v>
      </c>
      <c r="M666" s="15" t="n">
        <f aca="false">L666*(1+IF(M$3&lt;=$O$2,$D666,$D666-($D666-$I$643)*MIN(M$3-$O$2,$Q$2)/$Q$2))</f>
        <v>6142.9208593618</v>
      </c>
      <c r="N666" s="15" t="n">
        <f aca="false">M666*(1+IF(N$3&lt;=$O$2,$D666,$D666-($D666-$I$643)*MIN(N$3-$O$2,$Q$2)/$Q$2))</f>
        <v>6316.76551968174</v>
      </c>
      <c r="O666" s="15" t="n">
        <f aca="false">SUMPRODUCT(E666:N666,1/(1+$F$643)^$E$3:$N$3)*$E$2</f>
        <v>12589.4550406742</v>
      </c>
      <c r="P666" s="15" t="n">
        <f aca="false">N666*$E$2*(1+$I$643)/($F$643-$I$643)/(1+$F$643)^$N$3</f>
        <v>13765.7554217171</v>
      </c>
      <c r="Q666" s="15" t="n">
        <f aca="false">O666+P666</f>
        <v>26355.2104623913</v>
      </c>
      <c r="R666" s="15" t="n">
        <f aca="false">Q666-$G$2+$I$2</f>
        <v>19010.0104623913</v>
      </c>
      <c r="S666" s="42" t="n">
        <f aca="false">R666/$K$2</f>
        <v>81.014321169364</v>
      </c>
      <c r="T666" s="43" t="n">
        <f aca="false">S666-$M$2</f>
        <v>4.45872203869158E-005</v>
      </c>
    </row>
    <row r="667" customFormat="false" ht="15" hidden="false" customHeight="false" outlineLevel="0" collapsed="false">
      <c r="A667" s="5" t="n">
        <v>23</v>
      </c>
      <c r="B667" s="25" t="n">
        <f aca="false">IF(T666&gt;0,B666,D666)</f>
        <v>-0.0173239707946777</v>
      </c>
      <c r="C667" s="25" t="n">
        <f aca="false">IF(T666&gt;0,D666,C666)</f>
        <v>-0.0173236131668091</v>
      </c>
      <c r="D667" s="41" t="n">
        <f aca="false">(B667+C667)/2</f>
        <v>-0.0173237919807434</v>
      </c>
      <c r="E667" s="15" t="n">
        <f aca="false">$C$2*(1+IF(E$3&lt;=$O$2,$D667,$D667-($D667-$I$643)*MIN(E$3-$O$2,$Q$2)/$Q$2))</f>
        <v>6446.35592460632</v>
      </c>
      <c r="F667" s="15" t="n">
        <f aca="false">E667*(1+IF(F$3&lt;=$O$2,$D667,$D667-($D667-$I$643)*MIN(F$3-$O$2,$Q$2)/$Q$2))</f>
        <v>6334.68059553461</v>
      </c>
      <c r="G667" s="15" t="n">
        <f aca="false">F667*(1+IF(G$3&lt;=$O$2,$D667,$D667-($D667-$I$643)*MIN(G$3-$O$2,$Q$2)/$Q$2))</f>
        <v>6224.93990663312</v>
      </c>
      <c r="H667" s="15" t="n">
        <f aca="false">G667*(1+IF(H$3&lt;=$O$2,$D667,$D667-($D667-$I$643)*MIN(H$3-$O$2,$Q$2)/$Q$2))</f>
        <v>6117.10034259798</v>
      </c>
      <c r="I667" s="15" t="n">
        <f aca="false">H667*(1+IF(I$3&lt;=$O$2,$D667,$D667-($D667-$I$643)*MIN(I$3-$O$2,$Q$2)/$Q$2))</f>
        <v>6011.12896873748</v>
      </c>
      <c r="J667" s="15" t="n">
        <f aca="false">I667*(1+IF(J$3&lt;=$O$2,$D667,$D667-($D667-$I$643)*MIN(J$3-$O$2,$Q$2)/$Q$2))</f>
        <v>5961.84352044147</v>
      </c>
      <c r="K667" s="15" t="n">
        <f aca="false">J667*(1+IF(K$3&lt;=$O$2,$D667,$D667-($D667-$I$643)*MIN(K$3-$O$2,$Q$2)/$Q$2))</f>
        <v>5967.36254691094</v>
      </c>
      <c r="L667" s="15" t="n">
        <f aca="false">K667*(1+IF(L$3&lt;=$O$2,$D667,$D667-($D667-$I$643)*MIN(L$3-$O$2,$Q$2)/$Q$2))</f>
        <v>6027.33742398294</v>
      </c>
      <c r="M667" s="15" t="n">
        <f aca="false">L667*(1+IF(M$3&lt;=$O$2,$D667,$D667-($D667-$I$643)*MIN(M$3-$O$2,$Q$2)/$Q$2))</f>
        <v>6142.91307531575</v>
      </c>
      <c r="N667" s="15" t="n">
        <f aca="false">M667*(1+IF(N$3&lt;=$O$2,$D667,$D667-($D667-$I$643)*MIN(N$3-$O$2,$Q$2)/$Q$2))</f>
        <v>6316.75751534719</v>
      </c>
      <c r="O667" s="15" t="n">
        <f aca="false">SUMPRODUCT(E667:N667,1/(1+$F$643)^$E$3:$N$3)*$E$2</f>
        <v>12589.4453427721</v>
      </c>
      <c r="P667" s="15" t="n">
        <f aca="false">N667*$E$2*(1+$I$643)/($F$643-$I$643)/(1+$F$643)^$N$3</f>
        <v>13765.7379783418</v>
      </c>
      <c r="Q667" s="15" t="n">
        <f aca="false">O667+P667</f>
        <v>26355.1833211139</v>
      </c>
      <c r="R667" s="15" t="n">
        <f aca="false">Q667-$G$2+$I$2</f>
        <v>19009.9833211139</v>
      </c>
      <c r="S667" s="42" t="n">
        <f aca="false">R667/$K$2</f>
        <v>81.0142055022968</v>
      </c>
      <c r="T667" s="43" t="n">
        <f aca="false">S667-$M$2</f>
        <v>-7.10798468475105E-005</v>
      </c>
    </row>
    <row r="668" customFormat="false" ht="15" hidden="false" customHeight="false" outlineLevel="0" collapsed="false">
      <c r="A668" s="5" t="n">
        <v>24</v>
      </c>
      <c r="B668" s="25" t="n">
        <f aca="false">IF(T667&gt;0,B667,D667)</f>
        <v>-0.0173237919807434</v>
      </c>
      <c r="C668" s="25" t="n">
        <f aca="false">IF(T667&gt;0,D667,C667)</f>
        <v>-0.0173236131668091</v>
      </c>
      <c r="D668" s="41" t="n">
        <f aca="false">(B668+C668)/2</f>
        <v>-0.0173237025737762</v>
      </c>
      <c r="E668" s="15" t="n">
        <f aca="false">$C$2*(1+IF(E$3&lt;=$O$2,$D668,$D668-($D668-$I$643)*MIN(E$3-$O$2,$Q$2)/$Q$2))</f>
        <v>6446.35651111603</v>
      </c>
      <c r="F668" s="15" t="n">
        <f aca="false">E668*(1+IF(F$3&lt;=$O$2,$D668,$D668-($D668-$I$643)*MIN(F$3-$O$2,$Q$2)/$Q$2))</f>
        <v>6334.68174823293</v>
      </c>
      <c r="G668" s="15" t="n">
        <f aca="false">F668*(1+IF(G$3&lt;=$O$2,$D668,$D668-($D668-$I$643)*MIN(G$3-$O$2,$Q$2)/$Q$2))</f>
        <v>6224.94160572701</v>
      </c>
      <c r="H668" s="15" t="n">
        <f aca="false">G668*(1+IF(H$3&lt;=$O$2,$D668,$D668-($D668-$I$643)*MIN(H$3-$O$2,$Q$2)/$Q$2))</f>
        <v>6117.10256881027</v>
      </c>
      <c r="I668" s="15" t="n">
        <f aca="false">H668*(1+IF(I$3&lt;=$O$2,$D668,$D668-($D668-$I$643)*MIN(I$3-$O$2,$Q$2)/$Q$2))</f>
        <v>6011.13170329492</v>
      </c>
      <c r="J668" s="15" t="n">
        <f aca="false">I668*(1+IF(J$3&lt;=$O$2,$D668,$D668-($D668-$I$643)*MIN(J$3-$O$2,$Q$2)/$Q$2))</f>
        <v>5961.84666252783</v>
      </c>
      <c r="K668" s="15" t="n">
        <f aca="false">J668*(1+IF(K$3&lt;=$O$2,$D668,$D668-($D668-$I$643)*MIN(K$3-$O$2,$Q$2)/$Q$2))</f>
        <v>5967.36601172439</v>
      </c>
      <c r="L668" s="15" t="n">
        <f aca="false">K668*(1+IF(L$3&lt;=$O$2,$D668,$D668-($D668-$I$643)*MIN(L$3-$O$2,$Q$2)/$Q$2))</f>
        <v>6027.34113702908</v>
      </c>
      <c r="M668" s="15" t="n">
        <f aca="false">L668*(1+IF(M$3&lt;=$O$2,$D668,$D668-($D668-$I$643)*MIN(M$3-$O$2,$Q$2)/$Q$2))</f>
        <v>6142.9169673377</v>
      </c>
      <c r="N668" s="15" t="n">
        <f aca="false">M668*(1+IF(N$3&lt;=$O$2,$D668,$D668-($D668-$I$643)*MIN(N$3-$O$2,$Q$2)/$Q$2))</f>
        <v>6316.76151751336</v>
      </c>
      <c r="O668" s="15" t="n">
        <f aca="false">SUMPRODUCT(E668:N668,1/(1+$F$643)^$E$3:$N$3)*$E$2</f>
        <v>12589.4501917222</v>
      </c>
      <c r="P668" s="15" t="n">
        <f aca="false">N668*$E$2*(1+$I$643)/($F$643-$I$643)/(1+$F$643)^$N$3</f>
        <v>13765.746700027</v>
      </c>
      <c r="Q668" s="15" t="n">
        <f aca="false">O668+P668</f>
        <v>26355.1968917492</v>
      </c>
      <c r="R668" s="15" t="n">
        <f aca="false">Q668-$G$2+$I$2</f>
        <v>19009.9968917492</v>
      </c>
      <c r="S668" s="42" t="n">
        <f aca="false">R668/$K$2</f>
        <v>81.014263335816</v>
      </c>
      <c r="T668" s="43" t="n">
        <f aca="false">S668-$M$2</f>
        <v>-1.32463276116823E-005</v>
      </c>
    </row>
    <row r="670" customFormat="false" ht="15" hidden="false" customHeight="false" outlineLevel="0" collapsed="false">
      <c r="A670" s="38" t="s">
        <v>206</v>
      </c>
      <c r="E670" s="5" t="s">
        <v>11</v>
      </c>
      <c r="F670" s="12" t="n">
        <f aca="false">Sensitivity!$B$14</f>
        <v>0.0912368036285737</v>
      </c>
      <c r="G670" s="5" t="s">
        <v>12</v>
      </c>
      <c r="I670" s="12" t="n">
        <f aca="false">Sensitivity!$F$9</f>
        <v>0.0333</v>
      </c>
    </row>
    <row r="671" customFormat="false" ht="23.85" hidden="false" customHeight="false" outlineLevel="0" collapsed="false">
      <c r="A671" s="38" t="s">
        <v>163</v>
      </c>
      <c r="B671" s="28" t="s">
        <v>164</v>
      </c>
      <c r="C671" s="28" t="s">
        <v>165</v>
      </c>
      <c r="D671" s="28" t="s">
        <v>166</v>
      </c>
      <c r="E671" s="28" t="s">
        <v>167</v>
      </c>
      <c r="F671" s="28" t="s">
        <v>168</v>
      </c>
      <c r="G671" s="28" t="s">
        <v>169</v>
      </c>
      <c r="H671" s="28" t="s">
        <v>170</v>
      </c>
      <c r="I671" s="28" t="s">
        <v>171</v>
      </c>
      <c r="J671" s="28" t="s">
        <v>172</v>
      </c>
      <c r="K671" s="28" t="s">
        <v>173</v>
      </c>
      <c r="L671" s="28" t="s">
        <v>174</v>
      </c>
      <c r="M671" s="28" t="s">
        <v>175</v>
      </c>
      <c r="N671" s="28" t="s">
        <v>176</v>
      </c>
      <c r="O671" s="28" t="s">
        <v>177</v>
      </c>
      <c r="P671" s="28" t="s">
        <v>178</v>
      </c>
      <c r="Q671" s="28" t="s">
        <v>179</v>
      </c>
      <c r="R671" s="28" t="s">
        <v>180</v>
      </c>
      <c r="S671" s="28" t="s">
        <v>181</v>
      </c>
      <c r="T671" s="28" t="s">
        <v>182</v>
      </c>
    </row>
    <row r="672" customFormat="false" ht="15" hidden="false" customHeight="false" outlineLevel="0" collapsed="false">
      <c r="A672" s="5" t="n">
        <v>1</v>
      </c>
      <c r="B672" s="24" t="n">
        <v>-0.5</v>
      </c>
      <c r="C672" s="24" t="n">
        <v>1</v>
      </c>
      <c r="D672" s="41" t="n">
        <f aca="false">(B672+C672)/2</f>
        <v>0.25</v>
      </c>
      <c r="E672" s="15" t="n">
        <f aca="false">$C$2*(1+IF(E$3&lt;=$O$2,$D672,$D672-($D672-$I$670)*MIN(E$3-$O$2,$Q$2)/$Q$2))</f>
        <v>8200</v>
      </c>
      <c r="F672" s="15" t="n">
        <f aca="false">E672*(1+IF(F$3&lt;=$O$2,$D672,$D672-($D672-$I$670)*MIN(F$3-$O$2,$Q$2)/$Q$2))</f>
        <v>10250</v>
      </c>
      <c r="G672" s="15" t="n">
        <f aca="false">F672*(1+IF(G$3&lt;=$O$2,$D672,$D672-($D672-$I$670)*MIN(G$3-$O$2,$Q$2)/$Q$2))</f>
        <v>12812.5</v>
      </c>
      <c r="H672" s="15" t="n">
        <f aca="false">G672*(1+IF(H$3&lt;=$O$2,$D672,$D672-($D672-$I$670)*MIN(H$3-$O$2,$Q$2)/$Q$2))</f>
        <v>16015.625</v>
      </c>
      <c r="I672" s="15" t="n">
        <f aca="false">H672*(1+IF(I$3&lt;=$O$2,$D672,$D672-($D672-$I$670)*MIN(I$3-$O$2,$Q$2)/$Q$2))</f>
        <v>20019.53125</v>
      </c>
      <c r="J672" s="15" t="n">
        <f aca="false">I672*(1+IF(J$3&lt;=$O$2,$D672,$D672-($D672-$I$670)*MIN(J$3-$O$2,$Q$2)/$Q$2))</f>
        <v>24156.767578125</v>
      </c>
      <c r="K672" s="15" t="n">
        <f aca="false">J672*(1+IF(K$3&lt;=$O$2,$D672,$D672-($D672-$I$670)*MIN(K$3-$O$2,$Q$2)/$Q$2))</f>
        <v>28102.0508589844</v>
      </c>
      <c r="L672" s="15" t="n">
        <f aca="false">K672*(1+IF(L$3&lt;=$O$2,$D672,$D672-($D672-$I$670)*MIN(L$3-$O$2,$Q$2)/$Q$2))</f>
        <v>31473.7349210453</v>
      </c>
      <c r="M672" s="15" t="n">
        <f aca="false">L672*(1+IF(M$3&lt;=$O$2,$D672,$D672-($D672-$I$670)*MIN(M$3-$O$2,$Q$2)/$Q$2))</f>
        <v>33885.8819653942</v>
      </c>
      <c r="N672" s="15" t="n">
        <f aca="false">M672*(1+IF(N$3&lt;=$O$2,$D672,$D672-($D672-$I$670)*MIN(N$3-$O$2,$Q$2)/$Q$2))</f>
        <v>35014.2818348419</v>
      </c>
      <c r="O672" s="15" t="n">
        <f aca="false">SUMPRODUCT(E672:N672,1/(1+$F$670)^$E$3:$N$3)*$E$2</f>
        <v>40077.0825405403</v>
      </c>
      <c r="P672" s="15" t="n">
        <f aca="false">N672*$E$2*(1+$I$670)/($F$670-$I$670)/(1+$F$670)^$N$3</f>
        <v>83292.7614789233</v>
      </c>
      <c r="Q672" s="15" t="n">
        <f aca="false">O672+P672</f>
        <v>123369.844019464</v>
      </c>
      <c r="R672" s="15" t="n">
        <f aca="false">Q672-$G$2+$I$2</f>
        <v>116024.644019464</v>
      </c>
      <c r="S672" s="42" t="n">
        <f aca="false">R672/$K$2</f>
        <v>494.458316724754</v>
      </c>
      <c r="T672" s="43" t="n">
        <f aca="false">S672-$M$2</f>
        <v>413.444040142611</v>
      </c>
    </row>
    <row r="673" customFormat="false" ht="15" hidden="false" customHeight="false" outlineLevel="0" collapsed="false">
      <c r="A673" s="5" t="n">
        <v>2</v>
      </c>
      <c r="B673" s="25" t="n">
        <f aca="false">IF(T672&gt;0,B672,D672)</f>
        <v>-0.5</v>
      </c>
      <c r="C673" s="25" t="n">
        <f aca="false">IF(T672&gt;0,D672,C672)</f>
        <v>0.25</v>
      </c>
      <c r="D673" s="41" t="n">
        <f aca="false">(B673+C673)/2</f>
        <v>-0.125</v>
      </c>
      <c r="E673" s="15" t="n">
        <f aca="false">$C$2*(1+IF(E$3&lt;=$O$2,$D673,$D673-($D673-$I$670)*MIN(E$3-$O$2,$Q$2)/$Q$2))</f>
        <v>5740</v>
      </c>
      <c r="F673" s="15" t="n">
        <f aca="false">E673*(1+IF(F$3&lt;=$O$2,$D673,$D673-($D673-$I$670)*MIN(F$3-$O$2,$Q$2)/$Q$2))</f>
        <v>5022.5</v>
      </c>
      <c r="G673" s="15" t="n">
        <f aca="false">F673*(1+IF(G$3&lt;=$O$2,$D673,$D673-($D673-$I$670)*MIN(G$3-$O$2,$Q$2)/$Q$2))</f>
        <v>4394.6875</v>
      </c>
      <c r="H673" s="15" t="n">
        <f aca="false">G673*(1+IF(H$3&lt;=$O$2,$D673,$D673-($D673-$I$670)*MIN(H$3-$O$2,$Q$2)/$Q$2))</f>
        <v>3845.3515625</v>
      </c>
      <c r="I673" s="15" t="n">
        <f aca="false">H673*(1+IF(I$3&lt;=$O$2,$D673,$D673-($D673-$I$670)*MIN(I$3-$O$2,$Q$2)/$Q$2))</f>
        <v>3364.6826171875</v>
      </c>
      <c r="J673" s="15" t="n">
        <f aca="false">I673*(1+IF(J$3&lt;=$O$2,$D673,$D673-($D673-$I$670)*MIN(J$3-$O$2,$Q$2)/$Q$2))</f>
        <v>3050.62314169922</v>
      </c>
      <c r="K673" s="15" t="n">
        <f aca="false">J673*(1+IF(K$3&lt;=$O$2,$D673,$D673-($D673-$I$670)*MIN(K$3-$O$2,$Q$2)/$Q$2))</f>
        <v>2862.46070631921</v>
      </c>
      <c r="L673" s="15" t="n">
        <f aca="false">K673*(1+IF(L$3&lt;=$O$2,$D673,$D673-($D673-$I$670)*MIN(L$3-$O$2,$Q$2)/$Q$2))</f>
        <v>2776.52963591551</v>
      </c>
      <c r="M673" s="15" t="n">
        <f aca="false">L673*(1+IF(M$3&lt;=$O$2,$D673,$D673-($D673-$I$670)*MIN(M$3-$O$2,$Q$2)/$Q$2))</f>
        <v>2781.08314451841</v>
      </c>
      <c r="N673" s="15" t="n">
        <f aca="false">M673*(1+IF(N$3&lt;=$O$2,$D673,$D673-($D673-$I$670)*MIN(N$3-$O$2,$Q$2)/$Q$2))</f>
        <v>2873.69321323087</v>
      </c>
      <c r="O673" s="15" t="n">
        <f aca="false">SUMPRODUCT(E673:N673,1/(1+$F$670)^$E$3:$N$3)*$E$2</f>
        <v>7969.54711106576</v>
      </c>
      <c r="P673" s="15" t="n">
        <f aca="false">N673*$E$2*(1+$I$670)/($F$670-$I$670)/(1+$F$670)^$N$3</f>
        <v>6836.00607609952</v>
      </c>
      <c r="Q673" s="15" t="n">
        <f aca="false">O673+P673</f>
        <v>14805.5531871653</v>
      </c>
      <c r="R673" s="15" t="n">
        <f aca="false">Q673-$G$2+$I$2</f>
        <v>7460.35318716528</v>
      </c>
      <c r="S673" s="42" t="n">
        <f aca="false">R673/$K$2</f>
        <v>31.7935358498414</v>
      </c>
      <c r="T673" s="43" t="n">
        <f aca="false">S673-$M$2</f>
        <v>-49.2207407323022</v>
      </c>
    </row>
    <row r="674" customFormat="false" ht="15" hidden="false" customHeight="false" outlineLevel="0" collapsed="false">
      <c r="A674" s="5" t="n">
        <v>3</v>
      </c>
      <c r="B674" s="25" t="n">
        <f aca="false">IF(T673&gt;0,B673,D673)</f>
        <v>-0.125</v>
      </c>
      <c r="C674" s="25" t="n">
        <f aca="false">IF(T673&gt;0,D673,C673)</f>
        <v>0.25</v>
      </c>
      <c r="D674" s="41" t="n">
        <f aca="false">(B674+C674)/2</f>
        <v>0.0625</v>
      </c>
      <c r="E674" s="15" t="n">
        <f aca="false">$C$2*(1+IF(E$3&lt;=$O$2,$D674,$D674-($D674-$I$670)*MIN(E$3-$O$2,$Q$2)/$Q$2))</f>
        <v>6970</v>
      </c>
      <c r="F674" s="15" t="n">
        <f aca="false">E674*(1+IF(F$3&lt;=$O$2,$D674,$D674-($D674-$I$670)*MIN(F$3-$O$2,$Q$2)/$Q$2))</f>
        <v>7405.625</v>
      </c>
      <c r="G674" s="15" t="n">
        <f aca="false">F674*(1+IF(G$3&lt;=$O$2,$D674,$D674-($D674-$I$670)*MIN(G$3-$O$2,$Q$2)/$Q$2))</f>
        <v>7868.4765625</v>
      </c>
      <c r="H674" s="15" t="n">
        <f aca="false">G674*(1+IF(H$3&lt;=$O$2,$D674,$D674-($D674-$I$670)*MIN(H$3-$O$2,$Q$2)/$Q$2))</f>
        <v>8360.25634765625</v>
      </c>
      <c r="I674" s="15" t="n">
        <f aca="false">H674*(1+IF(I$3&lt;=$O$2,$D674,$D674-($D674-$I$670)*MIN(I$3-$O$2,$Q$2)/$Q$2))</f>
        <v>8882.77236938477</v>
      </c>
      <c r="J674" s="15" t="n">
        <f aca="false">I674*(1+IF(J$3&lt;=$O$2,$D674,$D674-($D674-$I$670)*MIN(J$3-$O$2,$Q$2)/$Q$2))</f>
        <v>9386.07025183411</v>
      </c>
      <c r="K674" s="15" t="n">
        <f aca="false">J674*(1+IF(K$3&lt;=$O$2,$D674,$D674-($D674-$I$670)*MIN(K$3-$O$2,$Q$2)/$Q$2))</f>
        <v>9863.07034203232</v>
      </c>
      <c r="L674" s="15" t="n">
        <f aca="false">K674*(1+IF(L$3&lt;=$O$2,$D674,$D674-($D674-$I$670)*MIN(L$3-$O$2,$Q$2)/$Q$2))</f>
        <v>10306.7112460169</v>
      </c>
      <c r="M674" s="15" t="n">
        <f aca="false">L674*(1+IF(M$3&lt;=$O$2,$D674,$D674-($D674-$I$670)*MIN(M$3-$O$2,$Q$2)/$Q$2))</f>
        <v>10710.115924186</v>
      </c>
      <c r="N674" s="15" t="n">
        <f aca="false">M674*(1+IF(N$3&lt;=$O$2,$D674,$D674-($D674-$I$670)*MIN(N$3-$O$2,$Q$2)/$Q$2))</f>
        <v>11066.7627844614</v>
      </c>
      <c r="O674" s="15" t="n">
        <f aca="false">SUMPRODUCT(E674:N674,1/(1+$F$670)^$E$3:$N$3)*$E$2</f>
        <v>17832.5382323765</v>
      </c>
      <c r="P674" s="15" t="n">
        <f aca="false">N674*$E$2*(1+$I$670)/($F$670-$I$670)/(1+$F$670)^$N$3</f>
        <v>26325.8643229612</v>
      </c>
      <c r="Q674" s="15" t="n">
        <f aca="false">O674+P674</f>
        <v>44158.4025553377</v>
      </c>
      <c r="R674" s="15" t="n">
        <f aca="false">Q674-$G$2+$I$2</f>
        <v>36813.2025553377</v>
      </c>
      <c r="S674" s="42" t="n">
        <f aca="false">R674/$K$2</f>
        <v>156.885585149532</v>
      </c>
      <c r="T674" s="43" t="n">
        <f aca="false">S674-$M$2</f>
        <v>75.8713085673883</v>
      </c>
    </row>
    <row r="675" customFormat="false" ht="15" hidden="false" customHeight="false" outlineLevel="0" collapsed="false">
      <c r="A675" s="5" t="n">
        <v>4</v>
      </c>
      <c r="B675" s="25" t="n">
        <f aca="false">IF(T674&gt;0,B674,D674)</f>
        <v>-0.125</v>
      </c>
      <c r="C675" s="25" t="n">
        <f aca="false">IF(T674&gt;0,D674,C674)</f>
        <v>0.0625</v>
      </c>
      <c r="D675" s="41" t="n">
        <f aca="false">(B675+C675)/2</f>
        <v>-0.03125</v>
      </c>
      <c r="E675" s="15" t="n">
        <f aca="false">$C$2*(1+IF(E$3&lt;=$O$2,$D675,$D675-($D675-$I$670)*MIN(E$3-$O$2,$Q$2)/$Q$2))</f>
        <v>6355</v>
      </c>
      <c r="F675" s="15" t="n">
        <f aca="false">E675*(1+IF(F$3&lt;=$O$2,$D675,$D675-($D675-$I$670)*MIN(F$3-$O$2,$Q$2)/$Q$2))</f>
        <v>6156.40625</v>
      </c>
      <c r="G675" s="15" t="n">
        <f aca="false">F675*(1+IF(G$3&lt;=$O$2,$D675,$D675-($D675-$I$670)*MIN(G$3-$O$2,$Q$2)/$Q$2))</f>
        <v>5964.0185546875</v>
      </c>
      <c r="H675" s="15" t="n">
        <f aca="false">G675*(1+IF(H$3&lt;=$O$2,$D675,$D675-($D675-$I$670)*MIN(H$3-$O$2,$Q$2)/$Q$2))</f>
        <v>5777.64297485352</v>
      </c>
      <c r="I675" s="15" t="n">
        <f aca="false">H675*(1+IF(I$3&lt;=$O$2,$D675,$D675-($D675-$I$670)*MIN(I$3-$O$2,$Q$2)/$Q$2))</f>
        <v>5597.09163188934</v>
      </c>
      <c r="J675" s="15" t="n">
        <f aca="false">I675*(1+IF(J$3&lt;=$O$2,$D675,$D675-($D675-$I$670)*MIN(J$3-$O$2,$Q$2)/$Q$2))</f>
        <v>5494.44097136049</v>
      </c>
      <c r="K675" s="15" t="n">
        <f aca="false">J675*(1+IF(K$3&lt;=$O$2,$D675,$D675-($D675-$I$670)*MIN(K$3-$O$2,$Q$2)/$Q$2))</f>
        <v>5464.60615688601</v>
      </c>
      <c r="L675" s="15" t="n">
        <f aca="false">K675*(1+IF(L$3&lt;=$O$2,$D675,$D675-($D675-$I$670)*MIN(L$3-$O$2,$Q$2)/$Q$2))</f>
        <v>5505.48141093951</v>
      </c>
      <c r="M675" s="15" t="n">
        <f aca="false">L675*(1+IF(M$3&lt;=$O$2,$D675,$D675-($D675-$I$670)*MIN(M$3-$O$2,$Q$2)/$Q$2))</f>
        <v>5617.73817690857</v>
      </c>
      <c r="N675" s="15" t="n">
        <f aca="false">M675*(1+IF(N$3&lt;=$O$2,$D675,$D675-($D675-$I$670)*MIN(N$3-$O$2,$Q$2)/$Q$2))</f>
        <v>5804.80885819962</v>
      </c>
      <c r="O675" s="15" t="n">
        <f aca="false">SUMPRODUCT(E675:N675,1/(1+$F$670)^$E$3:$N$3)*$E$2</f>
        <v>11885.7212372082</v>
      </c>
      <c r="P675" s="15" t="n">
        <f aca="false">N675*$E$2*(1+$I$670)/($F$670-$I$670)/(1+$F$670)^$N$3</f>
        <v>13808.6099248691</v>
      </c>
      <c r="Q675" s="15" t="n">
        <f aca="false">O675+P675</f>
        <v>25694.3311620773</v>
      </c>
      <c r="R675" s="15" t="n">
        <f aca="false">Q675-$G$2+$I$2</f>
        <v>18349.1311620773</v>
      </c>
      <c r="S675" s="42" t="n">
        <f aca="false">R675/$K$2</f>
        <v>78.1978741192299</v>
      </c>
      <c r="T675" s="43" t="n">
        <f aca="false">S675-$M$2</f>
        <v>-2.81640246291369</v>
      </c>
    </row>
    <row r="676" customFormat="false" ht="15" hidden="false" customHeight="false" outlineLevel="0" collapsed="false">
      <c r="A676" s="5" t="n">
        <v>5</v>
      </c>
      <c r="B676" s="25" t="n">
        <f aca="false">IF(T675&gt;0,B675,D675)</f>
        <v>-0.03125</v>
      </c>
      <c r="C676" s="25" t="n">
        <f aca="false">IF(T675&gt;0,D675,C675)</f>
        <v>0.0625</v>
      </c>
      <c r="D676" s="41" t="n">
        <f aca="false">(B676+C676)/2</f>
        <v>0.015625</v>
      </c>
      <c r="E676" s="15" t="n">
        <f aca="false">$C$2*(1+IF(E$3&lt;=$O$2,$D676,$D676-($D676-$I$670)*MIN(E$3-$O$2,$Q$2)/$Q$2))</f>
        <v>6662.5</v>
      </c>
      <c r="F676" s="15" t="n">
        <f aca="false">E676*(1+IF(F$3&lt;=$O$2,$D676,$D676-($D676-$I$670)*MIN(F$3-$O$2,$Q$2)/$Q$2))</f>
        <v>6766.6015625</v>
      </c>
      <c r="G676" s="15" t="n">
        <f aca="false">F676*(1+IF(G$3&lt;=$O$2,$D676,$D676-($D676-$I$670)*MIN(G$3-$O$2,$Q$2)/$Q$2))</f>
        <v>6872.32971191406</v>
      </c>
      <c r="H676" s="15" t="n">
        <f aca="false">G676*(1+IF(H$3&lt;=$O$2,$D676,$D676-($D676-$I$670)*MIN(H$3-$O$2,$Q$2)/$Q$2))</f>
        <v>6979.70986366272</v>
      </c>
      <c r="I676" s="15" t="n">
        <f aca="false">H676*(1+IF(I$3&lt;=$O$2,$D676,$D676-($D676-$I$670)*MIN(I$3-$O$2,$Q$2)/$Q$2))</f>
        <v>7088.76783028245</v>
      </c>
      <c r="J676" s="15" t="n">
        <f aca="false">I676*(1+IF(J$3&lt;=$O$2,$D676,$D676-($D676-$I$670)*MIN(J$3-$O$2,$Q$2)/$Q$2))</f>
        <v>7224.58862191066</v>
      </c>
      <c r="K676" s="15" t="n">
        <f aca="false">J676*(1+IF(K$3&lt;=$O$2,$D676,$D676-($D676-$I$670)*MIN(K$3-$O$2,$Q$2)/$Q$2))</f>
        <v>7388.55066068492</v>
      </c>
      <c r="L676" s="15" t="n">
        <f aca="false">K676*(1+IF(L$3&lt;=$O$2,$D676,$D676-($D676-$I$670)*MIN(L$3-$O$2,$Q$2)/$Q$2))</f>
        <v>7582.35234451469</v>
      </c>
      <c r="M676" s="15" t="n">
        <f aca="false">L676*(1+IF(M$3&lt;=$O$2,$D676,$D676-($D676-$I$670)*MIN(M$3-$O$2,$Q$2)/$Q$2))</f>
        <v>7808.04106204917</v>
      </c>
      <c r="N676" s="15" t="n">
        <f aca="false">M676*(1+IF(N$3&lt;=$O$2,$D676,$D676-($D676-$I$670)*MIN(N$3-$O$2,$Q$2)/$Q$2))</f>
        <v>8068.04882941541</v>
      </c>
      <c r="O676" s="15" t="n">
        <f aca="false">SUMPRODUCT(E676:N676,1/(1+$F$670)^$E$3:$N$3)*$E$2</f>
        <v>14552.4039157234</v>
      </c>
      <c r="P676" s="15" t="n">
        <f aca="false">N676*$E$2*(1+$I$670)/($F$670-$I$670)/(1+$F$670)^$N$3</f>
        <v>19192.4560931621</v>
      </c>
      <c r="Q676" s="15" t="n">
        <f aca="false">O676+P676</f>
        <v>33744.8600088855</v>
      </c>
      <c r="R676" s="15" t="n">
        <f aca="false">Q676-$G$2+$I$2</f>
        <v>26399.6600088855</v>
      </c>
      <c r="S676" s="42" t="n">
        <f aca="false">R676/$K$2</f>
        <v>112.506541695655</v>
      </c>
      <c r="T676" s="43" t="n">
        <f aca="false">S676-$M$2</f>
        <v>31.4922651135116</v>
      </c>
    </row>
    <row r="677" customFormat="false" ht="15" hidden="false" customHeight="false" outlineLevel="0" collapsed="false">
      <c r="A677" s="5" t="n">
        <v>6</v>
      </c>
      <c r="B677" s="25" t="n">
        <f aca="false">IF(T676&gt;0,B676,D676)</f>
        <v>-0.03125</v>
      </c>
      <c r="C677" s="25" t="n">
        <f aca="false">IF(T676&gt;0,D676,C676)</f>
        <v>0.015625</v>
      </c>
      <c r="D677" s="41" t="n">
        <f aca="false">(B677+C677)/2</f>
        <v>-0.0078125</v>
      </c>
      <c r="E677" s="15" t="n">
        <f aca="false">$C$2*(1+IF(E$3&lt;=$O$2,$D677,$D677-($D677-$I$670)*MIN(E$3-$O$2,$Q$2)/$Q$2))</f>
        <v>6508.75</v>
      </c>
      <c r="F677" s="15" t="n">
        <f aca="false">E677*(1+IF(F$3&lt;=$O$2,$D677,$D677-($D677-$I$670)*MIN(F$3-$O$2,$Q$2)/$Q$2))</f>
        <v>6457.900390625</v>
      </c>
      <c r="G677" s="15" t="n">
        <f aca="false">F677*(1+IF(G$3&lt;=$O$2,$D677,$D677-($D677-$I$670)*MIN(G$3-$O$2,$Q$2)/$Q$2))</f>
        <v>6407.44804382324</v>
      </c>
      <c r="H677" s="15" t="n">
        <f aca="false">G677*(1+IF(H$3&lt;=$O$2,$D677,$D677-($D677-$I$670)*MIN(H$3-$O$2,$Q$2)/$Q$2))</f>
        <v>6357.38985598087</v>
      </c>
      <c r="I677" s="15" t="n">
        <f aca="false">H677*(1+IF(I$3&lt;=$O$2,$D677,$D677-($D677-$I$670)*MIN(I$3-$O$2,$Q$2)/$Q$2))</f>
        <v>6307.72274773102</v>
      </c>
      <c r="J677" s="15" t="n">
        <f aca="false">I677*(1+IF(J$3&lt;=$O$2,$D677,$D677-($D677-$I$670)*MIN(J$3-$O$2,$Q$2)/$Q$2))</f>
        <v>6310.30891405759</v>
      </c>
      <c r="K677" s="15" t="n">
        <f aca="false">J677*(1+IF(K$3&lt;=$O$2,$D677,$D677-($D677-$I$670)*MIN(K$3-$O$2,$Q$2)/$Q$2))</f>
        <v>6364.7826557582</v>
      </c>
      <c r="L677" s="15" t="n">
        <f aca="false">K677*(1+IF(L$3&lt;=$O$2,$D677,$D677-($D677-$I$670)*MIN(L$3-$O$2,$Q$2)/$Q$2))</f>
        <v>6472.061067421</v>
      </c>
      <c r="M677" s="15" t="n">
        <f aca="false">L677*(1+IF(M$3&lt;=$O$2,$D677,$D677-($D677-$I$670)*MIN(M$3-$O$2,$Q$2)/$Q$2))</f>
        <v>6634.36417883925</v>
      </c>
      <c r="N677" s="15" t="n">
        <f aca="false">M677*(1+IF(N$3&lt;=$O$2,$D677,$D677-($D677-$I$670)*MIN(N$3-$O$2,$Q$2)/$Q$2))</f>
        <v>6855.2885059946</v>
      </c>
      <c r="O677" s="15" t="n">
        <f aca="false">SUMPRODUCT(E677:N677,1/(1+$F$670)^$E$3:$N$3)*$E$2</f>
        <v>13149.7182360314</v>
      </c>
      <c r="P677" s="15" t="n">
        <f aca="false">N677*$E$2*(1+$I$670)/($F$670-$I$670)/(1+$F$670)^$N$3</f>
        <v>16307.5145477018</v>
      </c>
      <c r="Q677" s="15" t="n">
        <f aca="false">O677+P677</f>
        <v>29457.2327837332</v>
      </c>
      <c r="R677" s="15" t="n">
        <f aca="false">Q677-$G$2+$I$2</f>
        <v>22112.0327837332</v>
      </c>
      <c r="S677" s="42" t="n">
        <f aca="false">R677/$K$2</f>
        <v>94.2341051938341</v>
      </c>
      <c r="T677" s="43" t="n">
        <f aca="false">S677-$M$2</f>
        <v>13.2198286116905</v>
      </c>
    </row>
    <row r="678" customFormat="false" ht="15" hidden="false" customHeight="false" outlineLevel="0" collapsed="false">
      <c r="A678" s="5" t="n">
        <v>7</v>
      </c>
      <c r="B678" s="25" t="n">
        <f aca="false">IF(T677&gt;0,B677,D677)</f>
        <v>-0.03125</v>
      </c>
      <c r="C678" s="25" t="n">
        <f aca="false">IF(T677&gt;0,D677,C677)</f>
        <v>-0.0078125</v>
      </c>
      <c r="D678" s="41" t="n">
        <f aca="false">(B678+C678)/2</f>
        <v>-0.01953125</v>
      </c>
      <c r="E678" s="15" t="n">
        <f aca="false">$C$2*(1+IF(E$3&lt;=$O$2,$D678,$D678-($D678-$I$670)*MIN(E$3-$O$2,$Q$2)/$Q$2))</f>
        <v>6431.875</v>
      </c>
      <c r="F678" s="15" t="n">
        <f aca="false">E678*(1+IF(F$3&lt;=$O$2,$D678,$D678-($D678-$I$670)*MIN(F$3-$O$2,$Q$2)/$Q$2))</f>
        <v>6306.25244140625</v>
      </c>
      <c r="G678" s="15" t="n">
        <f aca="false">F678*(1+IF(G$3&lt;=$O$2,$D678,$D678-($D678-$I$670)*MIN(G$3-$O$2,$Q$2)/$Q$2))</f>
        <v>6183.08344841003</v>
      </c>
      <c r="H678" s="15" t="n">
        <f aca="false">G678*(1+IF(H$3&lt;=$O$2,$D678,$D678-($D678-$I$670)*MIN(H$3-$O$2,$Q$2)/$Q$2))</f>
        <v>6062.32009980828</v>
      </c>
      <c r="I678" s="15" t="n">
        <f aca="false">H678*(1+IF(I$3&lt;=$O$2,$D678,$D678-($D678-$I$670)*MIN(I$3-$O$2,$Q$2)/$Q$2))</f>
        <v>5943.9154103589</v>
      </c>
      <c r="J678" s="15" t="n">
        <f aca="false">I678*(1+IF(J$3&lt;=$O$2,$D678,$D678-($D678-$I$670)*MIN(J$3-$O$2,$Q$2)/$Q$2))</f>
        <v>5890.62820870503</v>
      </c>
      <c r="K678" s="15" t="n">
        <f aca="false">J678*(1+IF(K$3&lt;=$O$2,$D678,$D678-($D678-$I$670)*MIN(K$3-$O$2,$Q$2)/$Q$2))</f>
        <v>5900.06057712422</v>
      </c>
      <c r="L678" s="15" t="n">
        <f aca="false">K678*(1+IF(L$3&lt;=$O$2,$D678,$D678-($D678-$I$670)*MIN(L$3-$O$2,$Q$2)/$Q$2))</f>
        <v>5971.84956419638</v>
      </c>
      <c r="M678" s="15" t="n">
        <f aca="false">L678*(1+IF(M$3&lt;=$O$2,$D678,$D678-($D678-$I$670)*MIN(M$3-$O$2,$Q$2)/$Q$2))</f>
        <v>6107.61209922643</v>
      </c>
      <c r="N678" s="15" t="n">
        <f aca="false">M678*(1+IF(N$3&lt;=$O$2,$D678,$D678-($D678-$I$670)*MIN(N$3-$O$2,$Q$2)/$Q$2))</f>
        <v>6310.99558213067</v>
      </c>
      <c r="O678" s="15" t="n">
        <f aca="false">SUMPRODUCT(E678:N678,1/(1+$F$670)^$E$3:$N$3)*$E$2</f>
        <v>12501.2332277652</v>
      </c>
      <c r="P678" s="15" t="n">
        <f aca="false">N678*$E$2*(1+$I$670)/($F$670-$I$670)/(1+$F$670)^$N$3</f>
        <v>15012.7382933748</v>
      </c>
      <c r="Q678" s="15" t="n">
        <f aca="false">O678+P678</f>
        <v>27513.97152114</v>
      </c>
      <c r="R678" s="15" t="n">
        <f aca="false">Q678-$G$2+$I$2</f>
        <v>20168.77152114</v>
      </c>
      <c r="S678" s="42" t="n">
        <f aca="false">R678/$K$2</f>
        <v>85.9525741365438</v>
      </c>
      <c r="T678" s="43" t="n">
        <f aca="false">S678-$M$2</f>
        <v>4.93829755440015</v>
      </c>
    </row>
    <row r="679" customFormat="false" ht="15" hidden="false" customHeight="false" outlineLevel="0" collapsed="false">
      <c r="A679" s="5" t="n">
        <v>8</v>
      </c>
      <c r="B679" s="25" t="n">
        <f aca="false">IF(T678&gt;0,B678,D678)</f>
        <v>-0.03125</v>
      </c>
      <c r="C679" s="25" t="n">
        <f aca="false">IF(T678&gt;0,D678,C678)</f>
        <v>-0.01953125</v>
      </c>
      <c r="D679" s="41" t="n">
        <f aca="false">(B679+C679)/2</f>
        <v>-0.025390625</v>
      </c>
      <c r="E679" s="15" t="n">
        <f aca="false">$C$2*(1+IF(E$3&lt;=$O$2,$D679,$D679-($D679-$I$670)*MIN(E$3-$O$2,$Q$2)/$Q$2))</f>
        <v>6393.4375</v>
      </c>
      <c r="F679" s="15" t="n">
        <f aca="false">E679*(1+IF(F$3&lt;=$O$2,$D679,$D679-($D679-$I$670)*MIN(F$3-$O$2,$Q$2)/$Q$2))</f>
        <v>6231.10412597656</v>
      </c>
      <c r="G679" s="15" t="n">
        <f aca="false">F679*(1+IF(G$3&lt;=$O$2,$D679,$D679-($D679-$I$670)*MIN(G$3-$O$2,$Q$2)/$Q$2))</f>
        <v>6072.89249777794</v>
      </c>
      <c r="H679" s="15" t="n">
        <f aca="false">G679*(1+IF(H$3&lt;=$O$2,$D679,$D679-($D679-$I$670)*MIN(H$3-$O$2,$Q$2)/$Q$2))</f>
        <v>5918.69796170155</v>
      </c>
      <c r="I679" s="15" t="n">
        <f aca="false">H679*(1+IF(I$3&lt;=$O$2,$D679,$D679-($D679-$I$670)*MIN(I$3-$O$2,$Q$2)/$Q$2))</f>
        <v>5768.41852126772</v>
      </c>
      <c r="J679" s="15" t="n">
        <f aca="false">I679*(1+IF(J$3&lt;=$O$2,$D679,$D679-($D679-$I$670)*MIN(J$3-$O$2,$Q$2)/$Q$2))</f>
        <v>5689.66518740611</v>
      </c>
      <c r="K679" s="15" t="n">
        <f aca="false">J679*(1+IF(K$3&lt;=$O$2,$D679,$D679-($D679-$I$670)*MIN(K$3-$O$2,$Q$2)/$Q$2))</f>
        <v>5678.77303461297</v>
      </c>
      <c r="L679" s="15" t="n">
        <f aca="false">K679*(1+IF(L$3&lt;=$O$2,$D679,$D679-($D679-$I$670)*MIN(L$3-$O$2,$Q$2)/$Q$2))</f>
        <v>5734.55988121175</v>
      </c>
      <c r="M679" s="15" t="n">
        <f aca="false">L679*(1+IF(M$3&lt;=$O$2,$D679,$D679-($D679-$I$670)*MIN(M$3-$O$2,$Q$2)/$Q$2))</f>
        <v>5858.20774455045</v>
      </c>
      <c r="N679" s="15" t="n">
        <f aca="false">M679*(1+IF(N$3&lt;=$O$2,$D679,$D679-($D679-$I$670)*MIN(N$3-$O$2,$Q$2)/$Q$2))</f>
        <v>6053.28606244398</v>
      </c>
      <c r="O679" s="15" t="n">
        <f aca="false">SUMPRODUCT(E679:N679,1/(1+$F$670)^$E$3:$N$3)*$E$2</f>
        <v>12189.4578021587</v>
      </c>
      <c r="P679" s="15" t="n">
        <f aca="false">N679*$E$2*(1+$I$670)/($F$670-$I$670)/(1+$F$670)^$N$3</f>
        <v>14399.6930892675</v>
      </c>
      <c r="Q679" s="15" t="n">
        <f aca="false">O679+P679</f>
        <v>26589.1508914262</v>
      </c>
      <c r="R679" s="15" t="n">
        <f aca="false">Q679-$G$2+$I$2</f>
        <v>19243.9508914262</v>
      </c>
      <c r="S679" s="42" t="n">
        <f aca="false">R679/$K$2</f>
        <v>82.0112972146867</v>
      </c>
      <c r="T679" s="43" t="n">
        <f aca="false">S679-$M$2</f>
        <v>0.99702063254307</v>
      </c>
    </row>
    <row r="680" customFormat="false" ht="15" hidden="false" customHeight="false" outlineLevel="0" collapsed="false">
      <c r="A680" s="5" t="n">
        <v>9</v>
      </c>
      <c r="B680" s="25" t="n">
        <f aca="false">IF(T679&gt;0,B679,D679)</f>
        <v>-0.03125</v>
      </c>
      <c r="C680" s="25" t="n">
        <f aca="false">IF(T679&gt;0,D679,C679)</f>
        <v>-0.025390625</v>
      </c>
      <c r="D680" s="41" t="n">
        <f aca="false">(B680+C680)/2</f>
        <v>-0.0283203125</v>
      </c>
      <c r="E680" s="15" t="n">
        <f aca="false">$C$2*(1+IF(E$3&lt;=$O$2,$D680,$D680-($D680-$I$670)*MIN(E$3-$O$2,$Q$2)/$Q$2))</f>
        <v>6374.21875</v>
      </c>
      <c r="F680" s="15" t="n">
        <f aca="false">E680*(1+IF(F$3&lt;=$O$2,$D680,$D680-($D680-$I$670)*MIN(F$3-$O$2,$Q$2)/$Q$2))</f>
        <v>6193.69888305664</v>
      </c>
      <c r="G680" s="15" t="n">
        <f aca="false">F680*(1+IF(G$3&lt;=$O$2,$D680,$D680-($D680-$I$670)*MIN(G$3-$O$2,$Q$2)/$Q$2))</f>
        <v>6018.29139515758</v>
      </c>
      <c r="H680" s="15" t="n">
        <f aca="false">G680*(1+IF(H$3&lt;=$O$2,$D680,$D680-($D680-$I$670)*MIN(H$3-$O$2,$Q$2)/$Q$2))</f>
        <v>5847.85150213065</v>
      </c>
      <c r="I680" s="15" t="n">
        <f aca="false">H680*(1+IF(I$3&lt;=$O$2,$D680,$D680-($D680-$I$670)*MIN(I$3-$O$2,$Q$2)/$Q$2))</f>
        <v>5682.23852013672</v>
      </c>
      <c r="J680" s="15" t="n">
        <f aca="false">I680*(1+IF(J$3&lt;=$O$2,$D680,$D680-($D680-$I$670)*MIN(J$3-$O$2,$Q$2)/$Q$2))</f>
        <v>5591.34401220898</v>
      </c>
      <c r="K680" s="15" t="n">
        <f aca="false">J680*(1+IF(K$3&lt;=$O$2,$D680,$D680-($D680-$I$670)*MIN(K$3-$O$2,$Q$2)/$Q$2))</f>
        <v>5570.81154861915</v>
      </c>
      <c r="L680" s="15" t="n">
        <f aca="false">K680*(1+IF(L$3&lt;=$O$2,$D680,$D680-($D680-$I$670)*MIN(L$3-$O$2,$Q$2)/$Q$2))</f>
        <v>5619.00951378636</v>
      </c>
      <c r="M680" s="15" t="n">
        <f aca="false">L680*(1+IF(M$3&lt;=$O$2,$D680,$D680-($D680-$I$670)*MIN(M$3-$O$2,$Q$2)/$Q$2))</f>
        <v>5736.87350615944</v>
      </c>
      <c r="N680" s="15" t="n">
        <f aca="false">M680*(1+IF(N$3&lt;=$O$2,$D680,$D680-($D680-$I$670)*MIN(N$3-$O$2,$Q$2)/$Q$2))</f>
        <v>5927.91139391455</v>
      </c>
      <c r="O680" s="15" t="n">
        <f aca="false">SUMPRODUCT(E680:N680,1/(1+$F$670)^$E$3:$N$3)*$E$2</f>
        <v>12036.5971934096</v>
      </c>
      <c r="P680" s="15" t="n">
        <f aca="false">N680*$E$2*(1+$I$670)/($F$670-$I$670)/(1+$F$670)^$N$3</f>
        <v>14101.4490067363</v>
      </c>
      <c r="Q680" s="15" t="n">
        <f aca="false">O680+P680</f>
        <v>26138.0462001459</v>
      </c>
      <c r="R680" s="15" t="n">
        <f aca="false">Q680-$G$2+$I$2</f>
        <v>18792.8462001459</v>
      </c>
      <c r="S680" s="42" t="n">
        <f aca="false">R680/$K$2</f>
        <v>80.0888395488852</v>
      </c>
      <c r="T680" s="43" t="n">
        <f aca="false">S680-$M$2</f>
        <v>-0.925437033258476</v>
      </c>
    </row>
    <row r="681" customFormat="false" ht="15" hidden="false" customHeight="false" outlineLevel="0" collapsed="false">
      <c r="A681" s="5" t="n">
        <v>10</v>
      </c>
      <c r="B681" s="25" t="n">
        <f aca="false">IF(T680&gt;0,B680,D680)</f>
        <v>-0.0283203125</v>
      </c>
      <c r="C681" s="25" t="n">
        <f aca="false">IF(T680&gt;0,D680,C680)</f>
        <v>-0.025390625</v>
      </c>
      <c r="D681" s="41" t="n">
        <f aca="false">(B681+C681)/2</f>
        <v>-0.02685546875</v>
      </c>
      <c r="E681" s="15" t="n">
        <f aca="false">$C$2*(1+IF(E$3&lt;=$O$2,$D681,$D681-($D681-$I$670)*MIN(E$3-$O$2,$Q$2)/$Q$2))</f>
        <v>6383.828125</v>
      </c>
      <c r="F681" s="15" t="n">
        <f aca="false">E681*(1+IF(F$3&lt;=$O$2,$D681,$D681-($D681-$I$670)*MIN(F$3-$O$2,$Q$2)/$Q$2))</f>
        <v>6212.38742828369</v>
      </c>
      <c r="G681" s="15" t="n">
        <f aca="false">F681*(1+IF(G$3&lt;=$O$2,$D681,$D681-($D681-$I$670)*MIN(G$3-$O$2,$Q$2)/$Q$2))</f>
        <v>6045.55085184053</v>
      </c>
      <c r="H681" s="15" t="n">
        <f aca="false">G681*(1+IF(H$3&lt;=$O$2,$D681,$D681-($D681-$I$670)*MIN(H$3-$O$2,$Q$2)/$Q$2))</f>
        <v>5883.19474986239</v>
      </c>
      <c r="I681" s="15" t="n">
        <f aca="false">H681*(1+IF(I$3&lt;=$O$2,$D681,$D681-($D681-$I$670)*MIN(I$3-$O$2,$Q$2)/$Q$2))</f>
        <v>5725.19879710729</v>
      </c>
      <c r="J681" s="15" t="n">
        <f aca="false">I681*(1+IF(J$3&lt;=$O$2,$D681,$D681-($D681-$I$670)*MIN(J$3-$O$2,$Q$2)/$Q$2))</f>
        <v>5640.32630318943</v>
      </c>
      <c r="K681" s="15" t="n">
        <f aca="false">J681*(1+IF(K$3&lt;=$O$2,$D681,$D681-($D681-$I$670)*MIN(K$3-$O$2,$Q$2)/$Q$2))</f>
        <v>5624.57128548285</v>
      </c>
      <c r="L681" s="15" t="n">
        <f aca="false">K681*(1+IF(L$3&lt;=$O$2,$D681,$D681-($D681-$I$670)*MIN(L$3-$O$2,$Q$2)/$Q$2))</f>
        <v>5676.53002041102</v>
      </c>
      <c r="M681" s="15" t="n">
        <f aca="false">L681*(1+IF(M$3&lt;=$O$2,$D681,$D681-($D681-$I$670)*MIN(M$3-$O$2,$Q$2)/$Q$2))</f>
        <v>5797.26360524045</v>
      </c>
      <c r="N681" s="15" t="n">
        <f aca="false">M681*(1+IF(N$3&lt;=$O$2,$D681,$D681-($D681-$I$670)*MIN(N$3-$O$2,$Q$2)/$Q$2))</f>
        <v>5990.31248329496</v>
      </c>
      <c r="O681" s="15" t="n">
        <f aca="false">SUMPRODUCT(E681:N681,1/(1+$F$670)^$E$3:$N$3)*$E$2</f>
        <v>12112.7778605363</v>
      </c>
      <c r="P681" s="15" t="n">
        <f aca="false">N681*$E$2*(1+$I$670)/($F$670-$I$670)/(1+$F$670)^$N$3</f>
        <v>14249.8901222304</v>
      </c>
      <c r="Q681" s="15" t="n">
        <f aca="false">O681+P681</f>
        <v>26362.6679827667</v>
      </c>
      <c r="R681" s="15" t="n">
        <f aca="false">Q681-$G$2+$I$2</f>
        <v>19017.4679827667</v>
      </c>
      <c r="S681" s="42" t="n">
        <f aca="false">R681/$K$2</f>
        <v>81.0461026327156</v>
      </c>
      <c r="T681" s="43" t="n">
        <f aca="false">S681-$M$2</f>
        <v>0.0318260505720218</v>
      </c>
    </row>
    <row r="682" customFormat="false" ht="15" hidden="false" customHeight="false" outlineLevel="0" collapsed="false">
      <c r="A682" s="5" t="n">
        <v>11</v>
      </c>
      <c r="B682" s="25" t="n">
        <f aca="false">IF(T681&gt;0,B681,D681)</f>
        <v>-0.0283203125</v>
      </c>
      <c r="C682" s="25" t="n">
        <f aca="false">IF(T681&gt;0,D681,C681)</f>
        <v>-0.02685546875</v>
      </c>
      <c r="D682" s="41" t="n">
        <f aca="false">(B682+C682)/2</f>
        <v>-0.027587890625</v>
      </c>
      <c r="E682" s="15" t="n">
        <f aca="false">$C$2*(1+IF(E$3&lt;=$O$2,$D682,$D682-($D682-$I$670)*MIN(E$3-$O$2,$Q$2)/$Q$2))</f>
        <v>6379.0234375</v>
      </c>
      <c r="F682" s="15" t="n">
        <f aca="false">E682*(1+IF(F$3&lt;=$O$2,$D682,$D682-($D682-$I$670)*MIN(F$3-$O$2,$Q$2)/$Q$2))</f>
        <v>6203.03963661194</v>
      </c>
      <c r="G682" s="15" t="n">
        <f aca="false">F682*(1+IF(G$3&lt;=$O$2,$D682,$D682-($D682-$I$670)*MIN(G$3-$O$2,$Q$2)/$Q$2))</f>
        <v>6031.91085757455</v>
      </c>
      <c r="H682" s="15" t="n">
        <f aca="false">G682*(1+IF(H$3&lt;=$O$2,$D682,$D682-($D682-$I$670)*MIN(H$3-$O$2,$Q$2)/$Q$2))</f>
        <v>5865.50316057603</v>
      </c>
      <c r="I682" s="15" t="n">
        <f aca="false">H682*(1+IF(I$3&lt;=$O$2,$D682,$D682-($D682-$I$670)*MIN(I$3-$O$2,$Q$2)/$Q$2))</f>
        <v>5703.68630092147</v>
      </c>
      <c r="J682" s="15" t="n">
        <f aca="false">I682*(1+IF(J$3&lt;=$O$2,$D682,$D682-($D682-$I$670)*MIN(J$3-$O$2,$Q$2)/$Q$2))</f>
        <v>5615.7907126223</v>
      </c>
      <c r="K682" s="15" t="n">
        <f aca="false">J682*(1+IF(K$3&lt;=$O$2,$D682,$D682-($D682-$I$670)*MIN(K$3-$O$2,$Q$2)/$Q$2))</f>
        <v>5597.6363529428</v>
      </c>
      <c r="L682" s="15" t="n">
        <f aca="false">K682*(1+IF(L$3&lt;=$O$2,$D682,$D682-($D682-$I$670)*MIN(L$3-$O$2,$Q$2)/$Q$2))</f>
        <v>5647.70633548919</v>
      </c>
      <c r="M682" s="15" t="n">
        <f aca="false">L682*(1+IF(M$3&lt;=$O$2,$D682,$D682-($D682-$I$670)*MIN(M$3-$O$2,$Q$2)/$Q$2))</f>
        <v>5766.99957133351</v>
      </c>
      <c r="N682" s="15" t="n">
        <f aca="false">M682*(1+IF(N$3&lt;=$O$2,$D682,$D682-($D682-$I$670)*MIN(N$3-$O$2,$Q$2)/$Q$2))</f>
        <v>5959.04065705891</v>
      </c>
      <c r="O682" s="15" t="n">
        <f aca="false">SUMPRODUCT(E682:N682,1/(1+$F$670)^$E$3:$N$3)*$E$2</f>
        <v>12074.6253127885</v>
      </c>
      <c r="P682" s="15" t="n">
        <f aca="false">N682*$E$2*(1+$I$670)/($F$670-$I$670)/(1+$F$670)^$N$3</f>
        <v>14175.4999983382</v>
      </c>
      <c r="Q682" s="15" t="n">
        <f aca="false">O682+P682</f>
        <v>26250.1253111267</v>
      </c>
      <c r="R682" s="15" t="n">
        <f aca="false">Q682-$G$2+$I$2</f>
        <v>18904.9253111267</v>
      </c>
      <c r="S682" s="42" t="n">
        <f aca="false">R682/$K$2</f>
        <v>80.5664833203779</v>
      </c>
      <c r="T682" s="43" t="n">
        <f aca="false">S682-$M$2</f>
        <v>-0.447793261765739</v>
      </c>
    </row>
    <row r="683" customFormat="false" ht="15" hidden="false" customHeight="false" outlineLevel="0" collapsed="false">
      <c r="A683" s="5" t="n">
        <v>12</v>
      </c>
      <c r="B683" s="25" t="n">
        <f aca="false">IF(T682&gt;0,B682,D682)</f>
        <v>-0.027587890625</v>
      </c>
      <c r="C683" s="25" t="n">
        <f aca="false">IF(T682&gt;0,D682,C682)</f>
        <v>-0.02685546875</v>
      </c>
      <c r="D683" s="41" t="n">
        <f aca="false">(B683+C683)/2</f>
        <v>-0.0272216796875</v>
      </c>
      <c r="E683" s="15" t="n">
        <f aca="false">$C$2*(1+IF(E$3&lt;=$O$2,$D683,$D683-($D683-$I$670)*MIN(E$3-$O$2,$Q$2)/$Q$2))</f>
        <v>6381.42578125</v>
      </c>
      <c r="F683" s="15" t="n">
        <f aca="false">E683*(1+IF(F$3&lt;=$O$2,$D683,$D683-($D683-$I$670)*MIN(F$3-$O$2,$Q$2)/$Q$2))</f>
        <v>6207.71265268326</v>
      </c>
      <c r="G683" s="15" t="n">
        <f aca="false">F683*(1+IF(G$3&lt;=$O$2,$D683,$D683-($D683-$I$670)*MIN(G$3-$O$2,$Q$2)/$Q$2))</f>
        <v>6038.72828725987</v>
      </c>
      <c r="H683" s="15" t="n">
        <f aca="false">G683*(1+IF(H$3&lt;=$O$2,$D683,$D683-($D683-$I$670)*MIN(H$3-$O$2,$Q$2)/$Q$2))</f>
        <v>5874.34396010424</v>
      </c>
      <c r="I683" s="15" t="n">
        <f aca="false">H683*(1+IF(I$3&lt;=$O$2,$D683,$D683-($D683-$I$670)*MIN(I$3-$O$2,$Q$2)/$Q$2))</f>
        <v>5714.43445044808</v>
      </c>
      <c r="J683" s="15" t="n">
        <f aca="false">I683*(1+IF(J$3&lt;=$O$2,$D683,$D683-($D683-$I$670)*MIN(J$3-$O$2,$Q$2)/$Q$2))</f>
        <v>5628.04738052382</v>
      </c>
      <c r="K683" s="15" t="n">
        <f aca="false">J683*(1+IF(K$3&lt;=$O$2,$D683,$D683-($D683-$I$670)*MIN(K$3-$O$2,$Q$2)/$Q$2))</f>
        <v>5611.09002979718</v>
      </c>
      <c r="L683" s="15" t="n">
        <f aca="false">K683*(1+IF(L$3&lt;=$O$2,$D683,$D683-($D683-$I$670)*MIN(L$3-$O$2,$Q$2)/$Q$2))</f>
        <v>5662.10229039698</v>
      </c>
      <c r="M683" s="15" t="n">
        <f aca="false">L683*(1+IF(M$3&lt;=$O$2,$D683,$D683-($D683-$I$670)*MIN(M$3-$O$2,$Q$2)/$Q$2))</f>
        <v>5782.11430843175</v>
      </c>
      <c r="N683" s="15" t="n">
        <f aca="false">M683*(1+IF(N$3&lt;=$O$2,$D683,$D683-($D683-$I$670)*MIN(N$3-$O$2,$Q$2)/$Q$2))</f>
        <v>5974.65871490252</v>
      </c>
      <c r="O683" s="15" t="n">
        <f aca="false">SUMPRODUCT(E683:N683,1/(1+$F$670)^$E$3:$N$3)*$E$2</f>
        <v>12093.6860087672</v>
      </c>
      <c r="P683" s="15" t="n">
        <f aca="false">N683*$E$2*(1+$I$670)/($F$670-$I$670)/(1+$F$670)^$N$3</f>
        <v>14212.6525857558</v>
      </c>
      <c r="Q683" s="15" t="n">
        <f aca="false">O683+P683</f>
        <v>26306.3385945229</v>
      </c>
      <c r="R683" s="15" t="n">
        <f aca="false">Q683-$G$2+$I$2</f>
        <v>18961.1385945229</v>
      </c>
      <c r="S683" s="42" t="n">
        <f aca="false">R683/$K$2</f>
        <v>80.8060455764881</v>
      </c>
      <c r="T683" s="43" t="n">
        <f aca="false">S683-$M$2</f>
        <v>-0.208231005655506</v>
      </c>
    </row>
    <row r="684" customFormat="false" ht="15" hidden="false" customHeight="false" outlineLevel="0" collapsed="false">
      <c r="A684" s="5" t="n">
        <v>13</v>
      </c>
      <c r="B684" s="25" t="n">
        <f aca="false">IF(T683&gt;0,B683,D683)</f>
        <v>-0.0272216796875</v>
      </c>
      <c r="C684" s="25" t="n">
        <f aca="false">IF(T683&gt;0,D683,C683)</f>
        <v>-0.02685546875</v>
      </c>
      <c r="D684" s="41" t="n">
        <f aca="false">(B684+C684)/2</f>
        <v>-0.02703857421875</v>
      </c>
      <c r="E684" s="15" t="n">
        <f aca="false">$C$2*(1+IF(E$3&lt;=$O$2,$D684,$D684-($D684-$I$670)*MIN(E$3-$O$2,$Q$2)/$Q$2))</f>
        <v>6382.626953125</v>
      </c>
      <c r="F684" s="15" t="n">
        <f aca="false">E684*(1+IF(F$3&lt;=$O$2,$D684,$D684-($D684-$I$670)*MIN(F$3-$O$2,$Q$2)/$Q$2))</f>
        <v>6210.04982054234</v>
      </c>
      <c r="G684" s="15" t="n">
        <f aca="false">F684*(1+IF(G$3&lt;=$O$2,$D684,$D684-($D684-$I$670)*MIN(G$3-$O$2,$Q$2)/$Q$2))</f>
        <v>6042.13892756747</v>
      </c>
      <c r="H684" s="15" t="n">
        <f aca="false">G684*(1+IF(H$3&lt;=$O$2,$D684,$D684-($D684-$I$670)*MIN(H$3-$O$2,$Q$2)/$Q$2))</f>
        <v>5878.76810573444</v>
      </c>
      <c r="I684" s="15" t="n">
        <f aca="false">H684*(1+IF(I$3&lt;=$O$2,$D684,$D684-($D684-$I$670)*MIN(I$3-$O$2,$Q$2)/$Q$2))</f>
        <v>5719.81459799271</v>
      </c>
      <c r="J684" s="15" t="n">
        <f aca="false">I684*(1+IF(J$3&lt;=$O$2,$D684,$D684-($D684-$I$670)*MIN(J$3-$O$2,$Q$2)/$Q$2))</f>
        <v>5634.18405799509</v>
      </c>
      <c r="K684" s="15" t="n">
        <f aca="false">J684*(1+IF(K$3&lt;=$O$2,$D684,$D684-($D684-$I$670)*MIN(K$3-$O$2,$Q$2)/$Q$2))</f>
        <v>5617.82720735907</v>
      </c>
      <c r="L684" s="15" t="n">
        <f aca="false">K684*(1+IF(L$3&lt;=$O$2,$D684,$D684-($D684-$I$670)*MIN(L$3-$O$2,$Q$2)/$Q$2))</f>
        <v>5669.31217980439</v>
      </c>
      <c r="M684" s="15" t="n">
        <f aca="false">L684*(1+IF(M$3&lt;=$O$2,$D684,$D684-($D684-$I$670)*MIN(M$3-$O$2,$Q$2)/$Q$2))</f>
        <v>5789.6846326458</v>
      </c>
      <c r="N684" s="15" t="n">
        <f aca="false">M684*(1+IF(N$3&lt;=$O$2,$D684,$D684-($D684-$I$670)*MIN(N$3-$O$2,$Q$2)/$Q$2))</f>
        <v>5982.4811309129</v>
      </c>
      <c r="O684" s="15" t="n">
        <f aca="false">SUMPRODUCT(E684:N684,1/(1+$F$670)^$E$3:$N$3)*$E$2</f>
        <v>12103.2280371307</v>
      </c>
      <c r="P684" s="15" t="n">
        <f aca="false">N684*$E$2*(1+$I$670)/($F$670-$I$670)/(1+$F$670)^$N$3</f>
        <v>14231.2607249721</v>
      </c>
      <c r="Q684" s="15" t="n">
        <f aca="false">O684+P684</f>
        <v>26334.4887621027</v>
      </c>
      <c r="R684" s="15" t="n">
        <f aca="false">Q684-$G$2+$I$2</f>
        <v>18989.2887621027</v>
      </c>
      <c r="S684" s="42" t="n">
        <f aca="false">R684/$K$2</f>
        <v>80.9260121973267</v>
      </c>
      <c r="T684" s="43" t="n">
        <f aca="false">S684-$M$2</f>
        <v>-0.0882643848169096</v>
      </c>
    </row>
    <row r="685" customFormat="false" ht="15" hidden="false" customHeight="false" outlineLevel="0" collapsed="false">
      <c r="A685" s="5" t="n">
        <v>14</v>
      </c>
      <c r="B685" s="25" t="n">
        <f aca="false">IF(T684&gt;0,B684,D684)</f>
        <v>-0.02703857421875</v>
      </c>
      <c r="C685" s="25" t="n">
        <f aca="false">IF(T684&gt;0,D684,C684)</f>
        <v>-0.02685546875</v>
      </c>
      <c r="D685" s="41" t="n">
        <f aca="false">(B685+C685)/2</f>
        <v>-0.026947021484375</v>
      </c>
      <c r="E685" s="15" t="n">
        <f aca="false">$C$2*(1+IF(E$3&lt;=$O$2,$D685,$D685-($D685-$I$670)*MIN(E$3-$O$2,$Q$2)/$Q$2))</f>
        <v>6383.2275390625</v>
      </c>
      <c r="F685" s="15" t="n">
        <f aca="false">E685*(1+IF(F$3&lt;=$O$2,$D685,$D685-($D685-$I$670)*MIN(F$3-$O$2,$Q$2)/$Q$2))</f>
        <v>6211.21856942773</v>
      </c>
      <c r="G685" s="15" t="n">
        <f aca="false">F685*(1+IF(G$3&lt;=$O$2,$D685,$D685-($D685-$I$670)*MIN(G$3-$O$2,$Q$2)/$Q$2))</f>
        <v>6043.84472919321</v>
      </c>
      <c r="H685" s="15" t="n">
        <f aca="false">G685*(1+IF(H$3&lt;=$O$2,$D685,$D685-($D685-$I$670)*MIN(H$3-$O$2,$Q$2)/$Q$2))</f>
        <v>5880.98111542742</v>
      </c>
      <c r="I685" s="15" t="n">
        <f aca="false">H685*(1+IF(I$3&lt;=$O$2,$D685,$D685-($D685-$I$670)*MIN(I$3-$O$2,$Q$2)/$Q$2))</f>
        <v>5722.50619096079</v>
      </c>
      <c r="J685" s="15" t="n">
        <f aca="false">I685*(1+IF(J$3&lt;=$O$2,$D685,$D685-($D685-$I$670)*MIN(J$3-$O$2,$Q$2)/$Q$2))</f>
        <v>5637.25448437476</v>
      </c>
      <c r="K685" s="15" t="n">
        <f aca="false">J685*(1+IF(K$3&lt;=$O$2,$D685,$D685-($D685-$I$670)*MIN(K$3-$O$2,$Q$2)/$Q$2))</f>
        <v>5621.19838348463</v>
      </c>
      <c r="L685" s="15" t="n">
        <f aca="false">K685*(1+IF(L$3&lt;=$O$2,$D685,$D685-($D685-$I$670)*MIN(L$3-$O$2,$Q$2)/$Q$2))</f>
        <v>5672.92010574357</v>
      </c>
      <c r="M685" s="15" t="n">
        <f aca="false">L685*(1+IF(M$3&lt;=$O$2,$D685,$D685-($D685-$I$670)*MIN(M$3-$O$2,$Q$2)/$Q$2))</f>
        <v>5793.47303736686</v>
      </c>
      <c r="N685" s="15" t="n">
        <f aca="false">M685*(1+IF(N$3&lt;=$O$2,$D685,$D685-($D685-$I$670)*MIN(N$3-$O$2,$Q$2)/$Q$2))</f>
        <v>5986.39568951117</v>
      </c>
      <c r="O685" s="15" t="n">
        <f aca="false">SUMPRODUCT(E685:N685,1/(1+$F$670)^$E$3:$N$3)*$E$2</f>
        <v>12108.0019740721</v>
      </c>
      <c r="P685" s="15" t="n">
        <f aca="false">N685*$E$2*(1+$I$670)/($F$670-$I$670)/(1+$F$670)^$N$3</f>
        <v>14240.5727650464</v>
      </c>
      <c r="Q685" s="15" t="n">
        <f aca="false">O685+P685</f>
        <v>26348.5747391185</v>
      </c>
      <c r="R685" s="15" t="n">
        <f aca="false">Q685-$G$2+$I$2</f>
        <v>19003.3747391185</v>
      </c>
      <c r="S685" s="42" t="n">
        <f aca="false">R685/$K$2</f>
        <v>80.9860419310399</v>
      </c>
      <c r="T685" s="43" t="n">
        <f aca="false">S685-$M$2</f>
        <v>-0.0282346511037588</v>
      </c>
    </row>
    <row r="686" customFormat="false" ht="15" hidden="false" customHeight="false" outlineLevel="0" collapsed="false">
      <c r="A686" s="5" t="n">
        <v>15</v>
      </c>
      <c r="B686" s="25" t="n">
        <f aca="false">IF(T685&gt;0,B685,D685)</f>
        <v>-0.026947021484375</v>
      </c>
      <c r="C686" s="25" t="n">
        <f aca="false">IF(T685&gt;0,D685,C685)</f>
        <v>-0.02685546875</v>
      </c>
      <c r="D686" s="41" t="n">
        <f aca="false">(B686+C686)/2</f>
        <v>-0.0269012451171875</v>
      </c>
      <c r="E686" s="15" t="n">
        <f aca="false">$C$2*(1+IF(E$3&lt;=$O$2,$D686,$D686-($D686-$I$670)*MIN(E$3-$O$2,$Q$2)/$Q$2))</f>
        <v>6383.52783203125</v>
      </c>
      <c r="F686" s="15" t="n">
        <f aca="false">E686*(1+IF(F$3&lt;=$O$2,$D686,$D686-($D686-$I$670)*MIN(F$3-$O$2,$Q$2)/$Q$2))</f>
        <v>6211.80298510939</v>
      </c>
      <c r="G686" s="15" t="n">
        <f aca="false">F686*(1+IF(G$3&lt;=$O$2,$D686,$D686-($D686-$I$670)*MIN(G$3-$O$2,$Q$2)/$Q$2))</f>
        <v>6044.69775038728</v>
      </c>
      <c r="H686" s="15" t="n">
        <f aca="false">G686*(1+IF(H$3&lt;=$O$2,$D686,$D686-($D686-$I$670)*MIN(H$3-$O$2,$Q$2)/$Q$2))</f>
        <v>5882.0878545448</v>
      </c>
      <c r="I686" s="15" t="n">
        <f aca="false">H686*(1+IF(I$3&lt;=$O$2,$D686,$D686-($D686-$I$670)*MIN(I$3-$O$2,$Q$2)/$Q$2))</f>
        <v>5723.85236736886</v>
      </c>
      <c r="J686" s="15" t="n">
        <f aca="false">I686*(1+IF(J$3&lt;=$O$2,$D686,$D686-($D686-$I$670)*MIN(J$3-$O$2,$Q$2)/$Q$2))</f>
        <v>5638.79021969619</v>
      </c>
      <c r="K686" s="15" t="n">
        <f aca="false">J686*(1+IF(K$3&lt;=$O$2,$D686,$D686-($D686-$I$670)*MIN(K$3-$O$2,$Q$2)/$Q$2))</f>
        <v>5622.88461870388</v>
      </c>
      <c r="L686" s="15" t="n">
        <f aca="false">K686*(1+IF(L$3&lt;=$O$2,$D686,$D686-($D686-$I$670)*MIN(L$3-$O$2,$Q$2)/$Q$2))</f>
        <v>5674.72481442821</v>
      </c>
      <c r="M686" s="15" t="n">
        <f aca="false">L686*(1+IF(M$3&lt;=$O$2,$D686,$D686-($D686-$I$670)*MIN(M$3-$O$2,$Q$2)/$Q$2))</f>
        <v>5795.36805084348</v>
      </c>
      <c r="N686" s="15" t="n">
        <f aca="false">M686*(1+IF(N$3&lt;=$O$2,$D686,$D686-($D686-$I$670)*MIN(N$3-$O$2,$Q$2)/$Q$2))</f>
        <v>5988.35380693657</v>
      </c>
      <c r="O686" s="15" t="n">
        <f aca="false">SUMPRODUCT(E686:N686,1/(1+$F$670)^$E$3:$N$3)*$E$2</f>
        <v>12110.3896735662</v>
      </c>
      <c r="P686" s="15" t="n">
        <f aca="false">N686*$E$2*(1+$I$670)/($F$670-$I$670)/(1+$F$670)^$N$3</f>
        <v>14245.2307788372</v>
      </c>
      <c r="Q686" s="15" t="n">
        <f aca="false">O686+P686</f>
        <v>26355.6204524034</v>
      </c>
      <c r="R686" s="15" t="n">
        <f aca="false">Q686-$G$2+$I$2</f>
        <v>19010.4204524034</v>
      </c>
      <c r="S686" s="42" t="n">
        <f aca="false">R686/$K$2</f>
        <v>81.0160684099868</v>
      </c>
      <c r="T686" s="43" t="n">
        <f aca="false">S686-$M$2</f>
        <v>0.00179182784317788</v>
      </c>
    </row>
    <row r="687" customFormat="false" ht="15" hidden="false" customHeight="false" outlineLevel="0" collapsed="false">
      <c r="A687" s="5" t="n">
        <v>16</v>
      </c>
      <c r="B687" s="25" t="n">
        <f aca="false">IF(T686&gt;0,B686,D686)</f>
        <v>-0.026947021484375</v>
      </c>
      <c r="C687" s="25" t="n">
        <f aca="false">IF(T686&gt;0,D686,C686)</f>
        <v>-0.0269012451171875</v>
      </c>
      <c r="D687" s="41" t="n">
        <f aca="false">(B687+C687)/2</f>
        <v>-0.0269241333007813</v>
      </c>
      <c r="E687" s="15" t="n">
        <f aca="false">$C$2*(1+IF(E$3&lt;=$O$2,$D687,$D687-($D687-$I$670)*MIN(E$3-$O$2,$Q$2)/$Q$2))</f>
        <v>6383.37768554688</v>
      </c>
      <c r="F687" s="15" t="n">
        <f aca="false">E687*(1+IF(F$3&lt;=$O$2,$D687,$D687-($D687-$I$670)*MIN(F$3-$O$2,$Q$2)/$Q$2))</f>
        <v>6211.51077383198</v>
      </c>
      <c r="G687" s="15" t="n">
        <f aca="false">F687*(1+IF(G$3&lt;=$O$2,$D687,$D687-($D687-$I$670)*MIN(G$3-$O$2,$Q$2)/$Q$2))</f>
        <v>6044.27122975809</v>
      </c>
      <c r="H687" s="15" t="n">
        <f aca="false">G687*(1+IF(H$3&lt;=$O$2,$D687,$D687-($D687-$I$670)*MIN(H$3-$O$2,$Q$2)/$Q$2))</f>
        <v>5881.534465462</v>
      </c>
      <c r="I687" s="15" t="n">
        <f aca="false">H687*(1+IF(I$3&lt;=$O$2,$D687,$D687-($D687-$I$670)*MIN(I$3-$O$2,$Q$2)/$Q$2))</f>
        <v>5723.17924750077</v>
      </c>
      <c r="J687" s="15" t="n">
        <f aca="false">I687*(1+IF(J$3&lt;=$O$2,$D687,$D687-($D687-$I$670)*MIN(J$3-$O$2,$Q$2)/$Q$2))</f>
        <v>5638.02230851794</v>
      </c>
      <c r="K687" s="15" t="n">
        <f aca="false">J687*(1+IF(K$3&lt;=$O$2,$D687,$D687-($D687-$I$670)*MIN(K$3-$O$2,$Q$2)/$Q$2))</f>
        <v>5622.04144715501</v>
      </c>
      <c r="L687" s="15" t="n">
        <f aca="false">K687*(1+IF(L$3&lt;=$O$2,$D687,$D687-($D687-$I$670)*MIN(L$3-$O$2,$Q$2)/$Q$2))</f>
        <v>5673.82239793088</v>
      </c>
      <c r="M687" s="15" t="n">
        <f aca="false">L687*(1+IF(M$3&lt;=$O$2,$D687,$D687-($D687-$I$670)*MIN(M$3-$O$2,$Q$2)/$Q$2))</f>
        <v>5794.42047649839</v>
      </c>
      <c r="N687" s="15" t="n">
        <f aca="false">M687*(1+IF(N$3&lt;=$O$2,$D687,$D687-($D687-$I$670)*MIN(N$3-$O$2,$Q$2)/$Q$2))</f>
        <v>5987.37467836579</v>
      </c>
      <c r="O687" s="15" t="n">
        <f aca="false">SUMPRODUCT(E687:N687,1/(1+$F$670)^$E$3:$N$3)*$E$2</f>
        <v>12109.1957628906</v>
      </c>
      <c r="P687" s="15" t="n">
        <f aca="false">N687*$E$2*(1+$I$670)/($F$670-$I$670)/(1+$F$670)^$N$3</f>
        <v>14242.9016057618</v>
      </c>
      <c r="Q687" s="15" t="n">
        <f aca="false">O687+P687</f>
        <v>26352.0973686524</v>
      </c>
      <c r="R687" s="15" t="n">
        <f aca="false">Q687-$G$2+$I$2</f>
        <v>19006.8973686524</v>
      </c>
      <c r="S687" s="42" t="n">
        <f aca="false">R687/$K$2</f>
        <v>81.0010542026526</v>
      </c>
      <c r="T687" s="43" t="n">
        <f aca="false">S687-$M$2</f>
        <v>-0.013222379491026</v>
      </c>
    </row>
    <row r="688" customFormat="false" ht="15" hidden="false" customHeight="false" outlineLevel="0" collapsed="false">
      <c r="A688" s="5" t="n">
        <v>17</v>
      </c>
      <c r="B688" s="25" t="n">
        <f aca="false">IF(T687&gt;0,B687,D687)</f>
        <v>-0.0269241333007813</v>
      </c>
      <c r="C688" s="25" t="n">
        <f aca="false">IF(T687&gt;0,D687,C687)</f>
        <v>-0.0269012451171875</v>
      </c>
      <c r="D688" s="41" t="n">
        <f aca="false">(B688+C688)/2</f>
        <v>-0.0269126892089844</v>
      </c>
      <c r="E688" s="15" t="n">
        <f aca="false">$C$2*(1+IF(E$3&lt;=$O$2,$D688,$D688-($D688-$I$670)*MIN(E$3-$O$2,$Q$2)/$Q$2))</f>
        <v>6383.45275878906</v>
      </c>
      <c r="F688" s="15" t="n">
        <f aca="false">E688*(1+IF(F$3&lt;=$O$2,$D688,$D688-($D688-$I$670)*MIN(F$3-$O$2,$Q$2)/$Q$2))</f>
        <v>6211.65687861154</v>
      </c>
      <c r="G688" s="15" t="n">
        <f aca="false">F688*(1+IF(G$3&lt;=$O$2,$D688,$D688-($D688-$I$670)*MIN(G$3-$O$2,$Q$2)/$Q$2))</f>
        <v>6044.48448756462</v>
      </c>
      <c r="H688" s="15" t="n">
        <f aca="false">G688*(1+IF(H$3&lt;=$O$2,$D688,$D688-($D688-$I$670)*MIN(H$3-$O$2,$Q$2)/$Q$2))</f>
        <v>5881.81115512226</v>
      </c>
      <c r="I688" s="15" t="n">
        <f aca="false">H688*(1+IF(I$3&lt;=$O$2,$D688,$D688-($D688-$I$670)*MIN(I$3-$O$2,$Q$2)/$Q$2))</f>
        <v>5723.51579951852</v>
      </c>
      <c r="J688" s="15" t="n">
        <f aca="false">I688*(1+IF(J$3&lt;=$O$2,$D688,$D688-($D688-$I$670)*MIN(J$3-$O$2,$Q$2)/$Q$2))</f>
        <v>5638.40625322719</v>
      </c>
      <c r="K688" s="15" t="n">
        <f aca="false">J688*(1+IF(K$3&lt;=$O$2,$D688,$D688-($D688-$I$670)*MIN(K$3-$O$2,$Q$2)/$Q$2))</f>
        <v>5622.46301944392</v>
      </c>
      <c r="L688" s="15" t="n">
        <f aca="false">K688*(1+IF(L$3&lt;=$O$2,$D688,$D688-($D688-$I$670)*MIN(L$3-$O$2,$Q$2)/$Q$2))</f>
        <v>5674.27359063989</v>
      </c>
      <c r="M688" s="15" t="n">
        <f aca="false">L688*(1+IF(M$3&lt;=$O$2,$D688,$D688-($D688-$I$670)*MIN(M$3-$O$2,$Q$2)/$Q$2))</f>
        <v>5794.89424676821</v>
      </c>
      <c r="N688" s="15" t="n">
        <f aca="false">M688*(1+IF(N$3&lt;=$O$2,$D688,$D688-($D688-$I$670)*MIN(N$3-$O$2,$Q$2)/$Q$2))</f>
        <v>5987.86422518559</v>
      </c>
      <c r="O688" s="15" t="n">
        <f aca="false">SUMPRODUCT(E688:N688,1/(1+$F$670)^$E$3:$N$3)*$E$2</f>
        <v>12109.7927029955</v>
      </c>
      <c r="P688" s="15" t="n">
        <f aca="false">N688*$E$2*(1+$I$670)/($F$670-$I$670)/(1+$F$670)^$N$3</f>
        <v>14244.066150752</v>
      </c>
      <c r="Q688" s="15" t="n">
        <f aca="false">O688+P688</f>
        <v>26353.8588537475</v>
      </c>
      <c r="R688" s="15" t="n">
        <f aca="false">Q688-$G$2+$I$2</f>
        <v>19008.6588537475</v>
      </c>
      <c r="S688" s="42" t="n">
        <f aca="false">R688/$K$2</f>
        <v>81.0085610643405</v>
      </c>
      <c r="T688" s="43" t="n">
        <f aca="false">S688-$M$2</f>
        <v>-0.00571551780311097</v>
      </c>
    </row>
    <row r="689" customFormat="false" ht="15" hidden="false" customHeight="false" outlineLevel="0" collapsed="false">
      <c r="A689" s="5" t="n">
        <v>18</v>
      </c>
      <c r="B689" s="25" t="n">
        <f aca="false">IF(T688&gt;0,B688,D688)</f>
        <v>-0.0269126892089844</v>
      </c>
      <c r="C689" s="25" t="n">
        <f aca="false">IF(T688&gt;0,D688,C688)</f>
        <v>-0.0269012451171875</v>
      </c>
      <c r="D689" s="41" t="n">
        <f aca="false">(B689+C689)/2</f>
        <v>-0.0269069671630859</v>
      </c>
      <c r="E689" s="15" t="n">
        <f aca="false">$C$2*(1+IF(E$3&lt;=$O$2,$D689,$D689-($D689-$I$670)*MIN(E$3-$O$2,$Q$2)/$Q$2))</f>
        <v>6383.49029541016</v>
      </c>
      <c r="F689" s="15" t="n">
        <f aca="false">E689*(1+IF(F$3&lt;=$O$2,$D689,$D689-($D689-$I$670)*MIN(F$3-$O$2,$Q$2)/$Q$2))</f>
        <v>6211.72993164568</v>
      </c>
      <c r="G689" s="15" t="n">
        <f aca="false">F689*(1+IF(G$3&lt;=$O$2,$D689,$D689-($D689-$I$670)*MIN(G$3-$O$2,$Q$2)/$Q$2))</f>
        <v>6044.59111834893</v>
      </c>
      <c r="H689" s="15" t="n">
        <f aca="false">G689*(1+IF(H$3&lt;=$O$2,$D689,$D689-($D689-$I$670)*MIN(H$3-$O$2,$Q$2)/$Q$2))</f>
        <v>5881.94950361323</v>
      </c>
      <c r="I689" s="15" t="n">
        <f aca="false">H689*(1+IF(I$3&lt;=$O$2,$D689,$D689-($D689-$I$670)*MIN(I$3-$O$2,$Q$2)/$Q$2))</f>
        <v>5723.68408146458</v>
      </c>
      <c r="J689" s="15" t="n">
        <f aca="false">I689*(1+IF(J$3&lt;=$O$2,$D689,$D689-($D689-$I$670)*MIN(J$3-$O$2,$Q$2)/$Q$2))</f>
        <v>5638.59823374166</v>
      </c>
      <c r="K689" s="15" t="n">
        <f aca="false">J689*(1+IF(K$3&lt;=$O$2,$D689,$D689-($D689-$I$670)*MIN(K$3-$O$2,$Q$2)/$Q$2))</f>
        <v>5622.67381570243</v>
      </c>
      <c r="L689" s="15" t="n">
        <f aca="false">K689*(1+IF(L$3&lt;=$O$2,$D689,$D689-($D689-$I$670)*MIN(L$3-$O$2,$Q$2)/$Q$2))</f>
        <v>5674.49919864902</v>
      </c>
      <c r="M689" s="15" t="n">
        <f aca="false">L689*(1+IF(M$3&lt;=$O$2,$D689,$D689-($D689-$I$670)*MIN(M$3-$O$2,$Q$2)/$Q$2))</f>
        <v>5795.13114458003</v>
      </c>
      <c r="N689" s="15" t="n">
        <f aca="false">M689*(1+IF(N$3&lt;=$O$2,$D689,$D689-($D689-$I$670)*MIN(N$3-$O$2,$Q$2)/$Q$2))</f>
        <v>5988.10901169455</v>
      </c>
      <c r="O689" s="15" t="n">
        <f aca="false">SUMPRODUCT(E689:N689,1/(1+$F$670)^$E$3:$N$3)*$E$2</f>
        <v>12110.0911844725</v>
      </c>
      <c r="P689" s="15" t="n">
        <f aca="false">N689*$E$2*(1+$I$670)/($F$670-$I$670)/(1+$F$670)^$N$3</f>
        <v>14244.6484544074</v>
      </c>
      <c r="Q689" s="15" t="n">
        <f aca="false">O689+P689</f>
        <v>26354.7396388799</v>
      </c>
      <c r="R689" s="15" t="n">
        <f aca="false">Q689-$G$2+$I$2</f>
        <v>19009.5396388799</v>
      </c>
      <c r="S689" s="42" t="n">
        <f aca="false">R689/$K$2</f>
        <v>81.0123146766671</v>
      </c>
      <c r="T689" s="43" t="n">
        <f aca="false">S689-$M$2</f>
        <v>-0.00196190547650588</v>
      </c>
    </row>
    <row r="690" customFormat="false" ht="15" hidden="false" customHeight="false" outlineLevel="0" collapsed="false">
      <c r="A690" s="5" t="n">
        <v>19</v>
      </c>
      <c r="B690" s="25" t="n">
        <f aca="false">IF(T689&gt;0,B689,D689)</f>
        <v>-0.0269069671630859</v>
      </c>
      <c r="C690" s="25" t="n">
        <f aca="false">IF(T689&gt;0,D689,C689)</f>
        <v>-0.0269012451171875</v>
      </c>
      <c r="D690" s="41" t="n">
        <f aca="false">(B690+C690)/2</f>
        <v>-0.0269041061401367</v>
      </c>
      <c r="E690" s="15" t="n">
        <f aca="false">$C$2*(1+IF(E$3&lt;=$O$2,$D690,$D690-($D690-$I$670)*MIN(E$3-$O$2,$Q$2)/$Q$2))</f>
        <v>6383.5090637207</v>
      </c>
      <c r="F690" s="15" t="n">
        <f aca="false">E690*(1+IF(F$3&lt;=$O$2,$D690,$D690-($D690-$I$670)*MIN(F$3-$O$2,$Q$2)/$Q$2))</f>
        <v>6211.76645832384</v>
      </c>
      <c r="G690" s="15" t="n">
        <f aca="false">F690*(1+IF(G$3&lt;=$O$2,$D690,$D690-($D690-$I$670)*MIN(G$3-$O$2,$Q$2)/$Q$2))</f>
        <v>6044.64443421135</v>
      </c>
      <c r="H690" s="15" t="n">
        <f aca="false">G690*(1+IF(H$3&lt;=$O$2,$D690,$D690-($D690-$I$670)*MIN(H$3-$O$2,$Q$2)/$Q$2))</f>
        <v>5882.01867877394</v>
      </c>
      <c r="I690" s="15" t="n">
        <f aca="false">H690*(1+IF(I$3&lt;=$O$2,$D690,$D690-($D690-$I$670)*MIN(I$3-$O$2,$Q$2)/$Q$2))</f>
        <v>5723.76822392194</v>
      </c>
      <c r="J690" s="15" t="n">
        <f aca="false">I690*(1+IF(J$3&lt;=$O$2,$D690,$D690-($D690-$I$670)*MIN(J$3-$O$2,$Q$2)/$Q$2))</f>
        <v>5638.69422603891</v>
      </c>
      <c r="K690" s="15" t="n">
        <f aca="false">J690*(1+IF(K$3&lt;=$O$2,$D690,$D690-($D690-$I$670)*MIN(K$3-$O$2,$Q$2)/$Q$2))</f>
        <v>5622.77921636027</v>
      </c>
      <c r="L690" s="15" t="n">
        <f aca="false">K690*(1+IF(L$3&lt;=$O$2,$D690,$D690-($D690-$I$670)*MIN(L$3-$O$2,$Q$2)/$Q$2))</f>
        <v>5674.61200556735</v>
      </c>
      <c r="M690" s="15" t="n">
        <f aca="false">L690*(1+IF(M$3&lt;=$O$2,$D690,$D690-($D690-$I$670)*MIN(M$3-$O$2,$Q$2)/$Q$2))</f>
        <v>5795.24959665529</v>
      </c>
      <c r="N690" s="15" t="n">
        <f aca="false">M690*(1+IF(N$3&lt;=$O$2,$D690,$D690-($D690-$I$670)*MIN(N$3-$O$2,$Q$2)/$Q$2))</f>
        <v>5988.23140822391</v>
      </c>
      <c r="O690" s="15" t="n">
        <f aca="false">SUMPRODUCT(E690:N690,1/(1+$F$670)^$E$3:$N$3)*$E$2</f>
        <v>12110.2404280673</v>
      </c>
      <c r="P690" s="15" t="n">
        <f aca="false">N690*$E$2*(1+$I$670)/($F$670-$I$670)/(1+$F$670)^$N$3</f>
        <v>14244.9396140255</v>
      </c>
      <c r="Q690" s="15" t="n">
        <f aca="false">O690+P690</f>
        <v>26355.1800420927</v>
      </c>
      <c r="R690" s="15" t="n">
        <f aca="false">Q690-$G$2+$I$2</f>
        <v>19009.9800420927</v>
      </c>
      <c r="S690" s="42" t="n">
        <f aca="false">R690/$K$2</f>
        <v>81.0141915282026</v>
      </c>
      <c r="T690" s="43" t="n">
        <f aca="false">S690-$M$2</f>
        <v>-8.50539410350848E-005</v>
      </c>
    </row>
    <row r="691" customFormat="false" ht="15" hidden="false" customHeight="false" outlineLevel="0" collapsed="false">
      <c r="A691" s="5" t="n">
        <v>20</v>
      </c>
      <c r="B691" s="25" t="n">
        <f aca="false">IF(T690&gt;0,B690,D690)</f>
        <v>-0.0269041061401367</v>
      </c>
      <c r="C691" s="25" t="n">
        <f aca="false">IF(T690&gt;0,D690,C690)</f>
        <v>-0.0269012451171875</v>
      </c>
      <c r="D691" s="41" t="n">
        <f aca="false">(B691+C691)/2</f>
        <v>-0.0269026756286621</v>
      </c>
      <c r="E691" s="15" t="n">
        <f aca="false">$C$2*(1+IF(E$3&lt;=$O$2,$D691,$D691-($D691-$I$670)*MIN(E$3-$O$2,$Q$2)/$Q$2))</f>
        <v>6383.51844787598</v>
      </c>
      <c r="F691" s="15" t="n">
        <f aca="false">E691*(1+IF(F$3&lt;=$O$2,$D691,$D691-($D691-$I$670)*MIN(F$3-$O$2,$Q$2)/$Q$2))</f>
        <v>6211.78472170319</v>
      </c>
      <c r="G691" s="15" t="n">
        <f aca="false">F691*(1+IF(G$3&lt;=$O$2,$D691,$D691-($D691-$I$670)*MIN(G$3-$O$2,$Q$2)/$Q$2))</f>
        <v>6044.67109226013</v>
      </c>
      <c r="H691" s="15" t="n">
        <f aca="false">G691*(1+IF(H$3&lt;=$O$2,$D691,$D691-($D691-$I$670)*MIN(H$3-$O$2,$Q$2)/$Q$2))</f>
        <v>5882.0532665831</v>
      </c>
      <c r="I691" s="15" t="n">
        <f aca="false">H691*(1+IF(I$3&lt;=$O$2,$D691,$D691-($D691-$I$670)*MIN(I$3-$O$2,$Q$2)/$Q$2))</f>
        <v>5723.81029552171</v>
      </c>
      <c r="J691" s="15" t="n">
        <f aca="false">I691*(1+IF(J$3&lt;=$O$2,$D691,$D691-($D691-$I$670)*MIN(J$3-$O$2,$Q$2)/$Q$2))</f>
        <v>5638.74222269755</v>
      </c>
      <c r="K691" s="15" t="n">
        <f aca="false">J691*(1+IF(K$3&lt;=$O$2,$D691,$D691-($D691-$I$670)*MIN(K$3-$O$2,$Q$2)/$Q$2))</f>
        <v>5622.83191732136</v>
      </c>
      <c r="L691" s="15" t="n">
        <f aca="false">K691*(1+IF(L$3&lt;=$O$2,$D691,$D691-($D691-$I$670)*MIN(L$3-$O$2,$Q$2)/$Q$2))</f>
        <v>5674.66840975496</v>
      </c>
      <c r="M691" s="15" t="n">
        <f aca="false">L691*(1+IF(M$3&lt;=$O$2,$D691,$D691-($D691-$I$670)*MIN(M$3-$O$2,$Q$2)/$Q$2))</f>
        <v>5795.30882348526</v>
      </c>
      <c r="N691" s="15" t="n">
        <f aca="false">M691*(1+IF(N$3&lt;=$O$2,$D691,$D691-($D691-$I$670)*MIN(N$3-$O$2,$Q$2)/$Q$2))</f>
        <v>5988.29260730732</v>
      </c>
      <c r="O691" s="15" t="n">
        <f aca="false">SUMPRODUCT(E691:N691,1/(1+$F$670)^$E$3:$N$3)*$E$2</f>
        <v>12110.3150505787</v>
      </c>
      <c r="P691" s="15" t="n">
        <f aca="false">N691*$E$2*(1+$I$670)/($F$670-$I$670)/(1+$F$670)^$N$3</f>
        <v>14245.0851957821</v>
      </c>
      <c r="Q691" s="15" t="n">
        <f aca="false">O691+P691</f>
        <v>26355.4002463608</v>
      </c>
      <c r="R691" s="15" t="n">
        <f aca="false">Q691-$G$2+$I$2</f>
        <v>19010.2002463608</v>
      </c>
      <c r="S691" s="42" t="n">
        <f aca="false">R691/$K$2</f>
        <v>81.0151299653136</v>
      </c>
      <c r="T691" s="43" t="n">
        <f aca="false">S691-$M$2</f>
        <v>0.000853383169996391</v>
      </c>
    </row>
    <row r="692" customFormat="false" ht="15" hidden="false" customHeight="false" outlineLevel="0" collapsed="false">
      <c r="A692" s="5" t="n">
        <v>21</v>
      </c>
      <c r="B692" s="25" t="n">
        <f aca="false">IF(T691&gt;0,B691,D691)</f>
        <v>-0.0269041061401367</v>
      </c>
      <c r="C692" s="25" t="n">
        <f aca="false">IF(T691&gt;0,D691,C691)</f>
        <v>-0.0269026756286621</v>
      </c>
      <c r="D692" s="41" t="n">
        <f aca="false">(B692+C692)/2</f>
        <v>-0.0269033908843994</v>
      </c>
      <c r="E692" s="15" t="n">
        <f aca="false">$C$2*(1+IF(E$3&lt;=$O$2,$D692,$D692-($D692-$I$670)*MIN(E$3-$O$2,$Q$2)/$Q$2))</f>
        <v>6383.51375579834</v>
      </c>
      <c r="F692" s="15" t="n">
        <f aca="false">E692*(1+IF(F$3&lt;=$O$2,$D692,$D692-($D692-$I$670)*MIN(F$3-$O$2,$Q$2)/$Q$2))</f>
        <v>6211.77559001016</v>
      </c>
      <c r="G692" s="15" t="n">
        <f aca="false">F692*(1+IF(G$3&lt;=$O$2,$D692,$D692-($D692-$I$670)*MIN(G$3-$O$2,$Q$2)/$Q$2))</f>
        <v>6044.65776322594</v>
      </c>
      <c r="H692" s="15" t="n">
        <f aca="false">G692*(1+IF(H$3&lt;=$O$2,$D692,$D692-($D692-$I$670)*MIN(H$3-$O$2,$Q$2)/$Q$2))</f>
        <v>5882.03597265946</v>
      </c>
      <c r="I692" s="15" t="n">
        <f aca="false">H692*(1+IF(I$3&lt;=$O$2,$D692,$D692-($D692-$I$670)*MIN(I$3-$O$2,$Q$2)/$Q$2))</f>
        <v>5723.7892596909</v>
      </c>
      <c r="J692" s="15" t="n">
        <f aca="false">I692*(1+IF(J$3&lt;=$O$2,$D692,$D692-($D692-$I$670)*MIN(J$3-$O$2,$Q$2)/$Q$2))</f>
        <v>5638.71822432573</v>
      </c>
      <c r="K692" s="15" t="n">
        <f aca="false">J692*(1+IF(K$3&lt;=$O$2,$D692,$D692-($D692-$I$670)*MIN(K$3-$O$2,$Q$2)/$Q$2))</f>
        <v>5622.80556678813</v>
      </c>
      <c r="L692" s="15" t="n">
        <f aca="false">K692*(1+IF(L$3&lt;=$O$2,$D692,$D692-($D692-$I$670)*MIN(L$3-$O$2,$Q$2)/$Q$2))</f>
        <v>5674.64020760045</v>
      </c>
      <c r="M692" s="15" t="n">
        <f aca="false">L692*(1+IF(M$3&lt;=$O$2,$D692,$D692-($D692-$I$670)*MIN(M$3-$O$2,$Q$2)/$Q$2))</f>
        <v>5795.27921000425</v>
      </c>
      <c r="N692" s="15" t="n">
        <f aca="false">M692*(1+IF(N$3&lt;=$O$2,$D692,$D692-($D692-$I$670)*MIN(N$3-$O$2,$Q$2)/$Q$2))</f>
        <v>5988.26200769739</v>
      </c>
      <c r="O692" s="15" t="n">
        <f aca="false">SUMPRODUCT(E692:N692,1/(1+$F$670)^$E$3:$N$3)*$E$2</f>
        <v>12110.2777392635</v>
      </c>
      <c r="P692" s="15" t="n">
        <f aca="false">N692*$E$2*(1+$I$670)/($F$670-$I$670)/(1+$F$670)^$N$3</f>
        <v>14245.0124047415</v>
      </c>
      <c r="Q692" s="15" t="n">
        <f aca="false">O692+P692</f>
        <v>26355.290144005</v>
      </c>
      <c r="R692" s="15" t="n">
        <f aca="false">Q692-$G$2+$I$2</f>
        <v>19010.090144005</v>
      </c>
      <c r="S692" s="42" t="n">
        <f aca="false">R692/$K$2</f>
        <v>81.0146607458128</v>
      </c>
      <c r="T692" s="43" t="n">
        <f aca="false">S692-$M$2</f>
        <v>0.000384163669210125</v>
      </c>
    </row>
    <row r="693" customFormat="false" ht="15" hidden="false" customHeight="false" outlineLevel="0" collapsed="false">
      <c r="A693" s="5" t="n">
        <v>22</v>
      </c>
      <c r="B693" s="25" t="n">
        <f aca="false">IF(T692&gt;0,B692,D692)</f>
        <v>-0.0269041061401367</v>
      </c>
      <c r="C693" s="25" t="n">
        <f aca="false">IF(T692&gt;0,D692,C692)</f>
        <v>-0.0269033908843994</v>
      </c>
      <c r="D693" s="41" t="n">
        <f aca="false">(B693+C693)/2</f>
        <v>-0.0269037485122681</v>
      </c>
      <c r="E693" s="15" t="n">
        <f aca="false">$C$2*(1+IF(E$3&lt;=$O$2,$D693,$D693-($D693-$I$670)*MIN(E$3-$O$2,$Q$2)/$Q$2))</f>
        <v>6383.51140975952</v>
      </c>
      <c r="F693" s="15" t="n">
        <f aca="false">E693*(1+IF(F$3&lt;=$O$2,$D693,$D693-($D693-$I$670)*MIN(F$3-$O$2,$Q$2)/$Q$2))</f>
        <v>6211.77102416616</v>
      </c>
      <c r="G693" s="15" t="n">
        <f aca="false">F693*(1+IF(G$3&lt;=$O$2,$D693,$D693-($D693-$I$670)*MIN(G$3-$O$2,$Q$2)/$Q$2))</f>
        <v>6044.6510987162</v>
      </c>
      <c r="H693" s="15" t="n">
        <f aca="false">G693*(1+IF(H$3&lt;=$O$2,$D693,$D693-($D693-$I$670)*MIN(H$3-$O$2,$Q$2)/$Q$2))</f>
        <v>5882.02732571193</v>
      </c>
      <c r="I693" s="15" t="n">
        <f aca="false">H693*(1+IF(I$3&lt;=$O$2,$D693,$D693-($D693-$I$670)*MIN(I$3-$O$2,$Q$2)/$Q$2))</f>
        <v>5723.77874179869</v>
      </c>
      <c r="J693" s="15" t="n">
        <f aca="false">I693*(1+IF(J$3&lt;=$O$2,$D693,$D693-($D693-$I$670)*MIN(J$3-$O$2,$Q$2)/$Q$2))</f>
        <v>5638.70622517169</v>
      </c>
      <c r="K693" s="15" t="n">
        <f aca="false">J693*(1+IF(K$3&lt;=$O$2,$D693,$D693-($D693-$I$670)*MIN(K$3-$O$2,$Q$2)/$Q$2))</f>
        <v>5622.79239156103</v>
      </c>
      <c r="L693" s="15" t="n">
        <f aca="false">K693*(1+IF(L$3&lt;=$O$2,$D693,$D693-($D693-$I$670)*MIN(L$3-$O$2,$Q$2)/$Q$2))</f>
        <v>5674.62610656872</v>
      </c>
      <c r="M693" s="15" t="n">
        <f aca="false">L693*(1+IF(M$3&lt;=$O$2,$D693,$D693-($D693-$I$670)*MIN(M$3-$O$2,$Q$2)/$Q$2))</f>
        <v>5795.26440331326</v>
      </c>
      <c r="N693" s="15" t="n">
        <f aca="false">M693*(1+IF(N$3&lt;=$O$2,$D693,$D693-($D693-$I$670)*MIN(N$3-$O$2,$Q$2)/$Q$2))</f>
        <v>5988.24670794359</v>
      </c>
      <c r="O693" s="15" t="n">
        <f aca="false">SUMPRODUCT(E693:N693,1/(1+$F$670)^$E$3:$N$3)*$E$2</f>
        <v>12110.2590836505</v>
      </c>
      <c r="P693" s="15" t="n">
        <f aca="false">N693*$E$2*(1+$I$670)/($F$670-$I$670)/(1+$F$670)^$N$3</f>
        <v>14244.9760093429</v>
      </c>
      <c r="Q693" s="15" t="n">
        <f aca="false">O693+P693</f>
        <v>26355.2350929934</v>
      </c>
      <c r="R693" s="15" t="n">
        <f aca="false">Q693-$G$2+$I$2</f>
        <v>19010.0350929934</v>
      </c>
      <c r="S693" s="42" t="n">
        <f aca="false">R693/$K$2</f>
        <v>81.0144261367714</v>
      </c>
      <c r="T693" s="43" t="n">
        <f aca="false">S693-$M$2</f>
        <v>0.000149554627782322</v>
      </c>
    </row>
    <row r="694" customFormat="false" ht="15" hidden="false" customHeight="false" outlineLevel="0" collapsed="false">
      <c r="A694" s="5" t="n">
        <v>23</v>
      </c>
      <c r="B694" s="25" t="n">
        <f aca="false">IF(T693&gt;0,B693,D693)</f>
        <v>-0.0269041061401367</v>
      </c>
      <c r="C694" s="25" t="n">
        <f aca="false">IF(T693&gt;0,D693,C693)</f>
        <v>-0.0269037485122681</v>
      </c>
      <c r="D694" s="41" t="n">
        <f aca="false">(B694+C694)/2</f>
        <v>-0.0269039273262024</v>
      </c>
      <c r="E694" s="15" t="n">
        <f aca="false">$C$2*(1+IF(E$3&lt;=$O$2,$D694,$D694-($D694-$I$670)*MIN(E$3-$O$2,$Q$2)/$Q$2))</f>
        <v>6383.51023674011</v>
      </c>
      <c r="F694" s="15" t="n">
        <f aca="false">E694*(1+IF(F$3&lt;=$O$2,$D694,$D694-($D694-$I$670)*MIN(F$3-$O$2,$Q$2)/$Q$2))</f>
        <v>6211.76874124479</v>
      </c>
      <c r="G694" s="15" t="n">
        <f aca="false">F694*(1+IF(G$3&lt;=$O$2,$D694,$D694-($D694-$I$670)*MIN(G$3-$O$2,$Q$2)/$Q$2))</f>
        <v>6044.64776646316</v>
      </c>
      <c r="H694" s="15" t="n">
        <f aca="false">G694*(1+IF(H$3&lt;=$O$2,$D694,$D694-($D694-$I$670)*MIN(H$3-$O$2,$Q$2)/$Q$2))</f>
        <v>5882.02300224175</v>
      </c>
      <c r="I694" s="15" t="n">
        <f aca="false">H694*(1+IF(I$3&lt;=$O$2,$D694,$D694-($D694-$I$670)*MIN(I$3-$O$2,$Q$2)/$Q$2))</f>
        <v>5723.77348285838</v>
      </c>
      <c r="J694" s="15" t="n">
        <f aca="false">I694*(1+IF(J$3&lt;=$O$2,$D694,$D694-($D694-$I$670)*MIN(J$3-$O$2,$Q$2)/$Q$2))</f>
        <v>5638.70022560265</v>
      </c>
      <c r="K694" s="15" t="n">
        <f aca="false">J694*(1+IF(K$3&lt;=$O$2,$D694,$D694-($D694-$I$670)*MIN(K$3-$O$2,$Q$2)/$Q$2))</f>
        <v>5622.78580395736</v>
      </c>
      <c r="L694" s="15" t="n">
        <f aca="false">K694*(1+IF(L$3&lt;=$O$2,$D694,$D694-($D694-$I$670)*MIN(L$3-$O$2,$Q$2)/$Q$2))</f>
        <v>5674.61905606424</v>
      </c>
      <c r="M694" s="15" t="n">
        <f aca="false">L694*(1+IF(M$3&lt;=$O$2,$D694,$D694-($D694-$I$670)*MIN(M$3-$O$2,$Q$2)/$Q$2))</f>
        <v>5795.25699998014</v>
      </c>
      <c r="N694" s="15" t="n">
        <f aca="false">M694*(1+IF(N$3&lt;=$O$2,$D694,$D694-($D694-$I$670)*MIN(N$3-$O$2,$Q$2)/$Q$2))</f>
        <v>5988.23905807948</v>
      </c>
      <c r="O694" s="15" t="n">
        <f aca="false">SUMPRODUCT(E694:N694,1/(1+$F$670)^$E$3:$N$3)*$E$2</f>
        <v>12110.2497558552</v>
      </c>
      <c r="P694" s="15" t="n">
        <f aca="false">N694*$E$2*(1+$I$670)/($F$670-$I$670)/(1+$F$670)^$N$3</f>
        <v>14244.957811674</v>
      </c>
      <c r="Q694" s="15" t="n">
        <f aca="false">O694+P694</f>
        <v>26355.2075675292</v>
      </c>
      <c r="R694" s="15" t="n">
        <f aca="false">Q694-$G$2+$I$2</f>
        <v>19010.0075675292</v>
      </c>
      <c r="S694" s="42" t="n">
        <f aca="false">R694/$K$2</f>
        <v>81.0143088324279</v>
      </c>
      <c r="T694" s="43" t="n">
        <f aca="false">S694-$M$2</f>
        <v>3.22502842777794E-005</v>
      </c>
    </row>
    <row r="695" customFormat="false" ht="15" hidden="false" customHeight="false" outlineLevel="0" collapsed="false">
      <c r="A695" s="5" t="n">
        <v>24</v>
      </c>
      <c r="B695" s="25" t="n">
        <f aca="false">IF(T694&gt;0,B694,D694)</f>
        <v>-0.0269041061401367</v>
      </c>
      <c r="C695" s="25" t="n">
        <f aca="false">IF(T694&gt;0,D694,C694)</f>
        <v>-0.0269039273262024</v>
      </c>
      <c r="D695" s="41" t="n">
        <f aca="false">(B695+C695)/2</f>
        <v>-0.0269040167331696</v>
      </c>
      <c r="E695" s="15" t="n">
        <f aca="false">$C$2*(1+IF(E$3&lt;=$O$2,$D695,$D695-($D695-$I$670)*MIN(E$3-$O$2,$Q$2)/$Q$2))</f>
        <v>6383.50965023041</v>
      </c>
      <c r="F695" s="15" t="n">
        <f aca="false">E695*(1+IF(F$3&lt;=$O$2,$D695,$D695-($D695-$I$670)*MIN(F$3-$O$2,$Q$2)/$Q$2))</f>
        <v>6211.76759978426</v>
      </c>
      <c r="G695" s="15" t="n">
        <f aca="false">F695*(1+IF(G$3&lt;=$O$2,$D695,$D695-($D695-$I$670)*MIN(G$3-$O$2,$Q$2)/$Q$2))</f>
        <v>6044.6461003371</v>
      </c>
      <c r="H695" s="15" t="n">
        <f aca="false">G695*(1+IF(H$3&lt;=$O$2,$D695,$D695-($D695-$I$670)*MIN(H$3-$O$2,$Q$2)/$Q$2))</f>
        <v>5882.02084050755</v>
      </c>
      <c r="I695" s="15" t="n">
        <f aca="false">H695*(1+IF(I$3&lt;=$O$2,$D695,$D695-($D695-$I$670)*MIN(I$3-$O$2,$Q$2)/$Q$2))</f>
        <v>5723.77085338968</v>
      </c>
      <c r="J695" s="15" t="n">
        <f aca="false">I695*(1+IF(J$3&lt;=$O$2,$D695,$D695-($D695-$I$670)*MIN(J$3-$O$2,$Q$2)/$Q$2))</f>
        <v>5638.69722582012</v>
      </c>
      <c r="K695" s="15" t="n">
        <f aca="false">J695*(1+IF(K$3&lt;=$O$2,$D695,$D695-($D695-$I$670)*MIN(K$3-$O$2,$Q$2)/$Q$2))</f>
        <v>5622.782510158</v>
      </c>
      <c r="L695" s="15" t="n">
        <f aca="false">K695*(1+IF(L$3&lt;=$O$2,$D695,$D695-($D695-$I$670)*MIN(L$3-$O$2,$Q$2)/$Q$2))</f>
        <v>5674.61553081485</v>
      </c>
      <c r="M695" s="15" t="n">
        <f aca="false">L695*(1+IF(M$3&lt;=$O$2,$D695,$D695-($D695-$I$670)*MIN(M$3-$O$2,$Q$2)/$Q$2))</f>
        <v>5795.25329831669</v>
      </c>
      <c r="N695" s="15" t="n">
        <f aca="false">M695*(1+IF(N$3&lt;=$O$2,$D695,$D695-($D695-$I$670)*MIN(N$3-$O$2,$Q$2)/$Q$2))</f>
        <v>5988.23523315063</v>
      </c>
      <c r="O695" s="15" t="n">
        <f aca="false">SUMPRODUCT(E695:N695,1/(1+$F$670)^$E$3:$N$3)*$E$2</f>
        <v>12110.2450919603</v>
      </c>
      <c r="P695" s="15" t="n">
        <f aca="false">N695*$E$2*(1+$I$670)/($F$670-$I$670)/(1+$F$670)^$N$3</f>
        <v>14244.9487128472</v>
      </c>
      <c r="Q695" s="15" t="n">
        <f aca="false">O695+P695</f>
        <v>26355.1938048075</v>
      </c>
      <c r="R695" s="15" t="n">
        <f aca="false">Q695-$G$2+$I$2</f>
        <v>19009.9938048075</v>
      </c>
      <c r="S695" s="42" t="n">
        <f aca="false">R695/$K$2</f>
        <v>81.0142501803005</v>
      </c>
      <c r="T695" s="43" t="n">
        <f aca="false">S695-$M$2</f>
        <v>-2.64018431010982E-005</v>
      </c>
    </row>
    <row r="697" customFormat="false" ht="15" hidden="false" customHeight="false" outlineLevel="0" collapsed="false">
      <c r="A697" s="38" t="s">
        <v>207</v>
      </c>
      <c r="E697" s="5" t="s">
        <v>11</v>
      </c>
      <c r="F697" s="12" t="n">
        <f aca="false">Sensitivity!$B$14</f>
        <v>0.0912368036285737</v>
      </c>
      <c r="G697" s="5" t="s">
        <v>12</v>
      </c>
      <c r="I697" s="12" t="n">
        <f aca="false">Sensitivity!$G$9</f>
        <v>0.0383</v>
      </c>
    </row>
    <row r="698" customFormat="false" ht="23.85" hidden="false" customHeight="false" outlineLevel="0" collapsed="false">
      <c r="A698" s="38" t="s">
        <v>163</v>
      </c>
      <c r="B698" s="28" t="s">
        <v>164</v>
      </c>
      <c r="C698" s="28" t="s">
        <v>165</v>
      </c>
      <c r="D698" s="28" t="s">
        <v>166</v>
      </c>
      <c r="E698" s="28" t="s">
        <v>167</v>
      </c>
      <c r="F698" s="28" t="s">
        <v>168</v>
      </c>
      <c r="G698" s="28" t="s">
        <v>169</v>
      </c>
      <c r="H698" s="28" t="s">
        <v>170</v>
      </c>
      <c r="I698" s="28" t="s">
        <v>171</v>
      </c>
      <c r="J698" s="28" t="s">
        <v>172</v>
      </c>
      <c r="K698" s="28" t="s">
        <v>173</v>
      </c>
      <c r="L698" s="28" t="s">
        <v>174</v>
      </c>
      <c r="M698" s="28" t="s">
        <v>175</v>
      </c>
      <c r="N698" s="28" t="s">
        <v>176</v>
      </c>
      <c r="O698" s="28" t="s">
        <v>177</v>
      </c>
      <c r="P698" s="28" t="s">
        <v>178</v>
      </c>
      <c r="Q698" s="28" t="s">
        <v>179</v>
      </c>
      <c r="R698" s="28" t="s">
        <v>180</v>
      </c>
      <c r="S698" s="28" t="s">
        <v>181</v>
      </c>
      <c r="T698" s="28" t="s">
        <v>182</v>
      </c>
    </row>
    <row r="699" customFormat="false" ht="15" hidden="false" customHeight="false" outlineLevel="0" collapsed="false">
      <c r="A699" s="5" t="n">
        <v>1</v>
      </c>
      <c r="B699" s="24" t="n">
        <v>-0.5</v>
      </c>
      <c r="C699" s="24" t="n">
        <v>1</v>
      </c>
      <c r="D699" s="41" t="n">
        <f aca="false">(B699+C699)/2</f>
        <v>0.25</v>
      </c>
      <c r="E699" s="15" t="n">
        <f aca="false">$C$2*(1+IF(E$3&lt;=$O$2,$D699,$D699-($D699-$I$697)*MIN(E$3-$O$2,$Q$2)/$Q$2))</f>
        <v>8200</v>
      </c>
      <c r="F699" s="15" t="n">
        <f aca="false">E699*(1+IF(F$3&lt;=$O$2,$D699,$D699-($D699-$I$697)*MIN(F$3-$O$2,$Q$2)/$Q$2))</f>
        <v>10250</v>
      </c>
      <c r="G699" s="15" t="n">
        <f aca="false">F699*(1+IF(G$3&lt;=$O$2,$D699,$D699-($D699-$I$697)*MIN(G$3-$O$2,$Q$2)/$Q$2))</f>
        <v>12812.5</v>
      </c>
      <c r="H699" s="15" t="n">
        <f aca="false">G699*(1+IF(H$3&lt;=$O$2,$D699,$D699-($D699-$I$697)*MIN(H$3-$O$2,$Q$2)/$Q$2))</f>
        <v>16015.625</v>
      </c>
      <c r="I699" s="15" t="n">
        <f aca="false">H699*(1+IF(I$3&lt;=$O$2,$D699,$D699-($D699-$I$697)*MIN(I$3-$O$2,$Q$2)/$Q$2))</f>
        <v>20019.53125</v>
      </c>
      <c r="J699" s="15" t="n">
        <f aca="false">I699*(1+IF(J$3&lt;=$O$2,$D699,$D699-($D699-$I$697)*MIN(J$3-$O$2,$Q$2)/$Q$2))</f>
        <v>24176.787109375</v>
      </c>
      <c r="K699" s="15" t="n">
        <f aca="false">J699*(1+IF(K$3&lt;=$O$2,$D699,$D699-($D699-$I$697)*MIN(K$3-$O$2,$Q$2)/$Q$2))</f>
        <v>28173.6935542969</v>
      </c>
      <c r="L699" s="15" t="n">
        <f aca="false">K699*(1+IF(L$3&lt;=$O$2,$D699,$D699-($D699-$I$697)*MIN(L$3-$O$2,$Q$2)/$Q$2))</f>
        <v>31638.4943876043</v>
      </c>
      <c r="M699" s="15" t="n">
        <f aca="false">L699*(1+IF(M$3&lt;=$O$2,$D699,$D699-($D699-$I$697)*MIN(M$3-$O$2,$Q$2)/$Q$2))</f>
        <v>34189.8225750207</v>
      </c>
      <c r="N699" s="15" t="n">
        <f aca="false">M699*(1+IF(N$3&lt;=$O$2,$D699,$D699-($D699-$I$697)*MIN(N$3-$O$2,$Q$2)/$Q$2))</f>
        <v>35499.292779644</v>
      </c>
      <c r="O699" s="15" t="n">
        <f aca="false">SUMPRODUCT(E699:N699,1/(1+$F$697)^$E$3:$N$3)*$E$2</f>
        <v>40228.3833525356</v>
      </c>
      <c r="P699" s="15" t="n">
        <f aca="false">N699*$E$2*(1+$I$697)/($F$697-$I$697)/(1+$F$697)^$N$3</f>
        <v>92869.9005135154</v>
      </c>
      <c r="Q699" s="15" t="n">
        <f aca="false">O699+P699</f>
        <v>133098.283866051</v>
      </c>
      <c r="R699" s="15" t="n">
        <f aca="false">Q699-$G$2+$I$2</f>
        <v>125753.083866051</v>
      </c>
      <c r="S699" s="42" t="n">
        <f aca="false">R699/$K$2</f>
        <v>535.917681082681</v>
      </c>
      <c r="T699" s="43" t="n">
        <f aca="false">S699-$M$2</f>
        <v>454.903404500537</v>
      </c>
    </row>
    <row r="700" customFormat="false" ht="15" hidden="false" customHeight="false" outlineLevel="0" collapsed="false">
      <c r="A700" s="5" t="n">
        <v>2</v>
      </c>
      <c r="B700" s="25" t="n">
        <f aca="false">IF(T699&gt;0,B699,D699)</f>
        <v>-0.5</v>
      </c>
      <c r="C700" s="25" t="n">
        <f aca="false">IF(T699&gt;0,D699,C699)</f>
        <v>0.25</v>
      </c>
      <c r="D700" s="41" t="n">
        <f aca="false">(B700+C700)/2</f>
        <v>-0.125</v>
      </c>
      <c r="E700" s="15" t="n">
        <f aca="false">$C$2*(1+IF(E$3&lt;=$O$2,$D700,$D700-($D700-$I$697)*MIN(E$3-$O$2,$Q$2)/$Q$2))</f>
        <v>5740</v>
      </c>
      <c r="F700" s="15" t="n">
        <f aca="false">E700*(1+IF(F$3&lt;=$O$2,$D700,$D700-($D700-$I$697)*MIN(F$3-$O$2,$Q$2)/$Q$2))</f>
        <v>5022.5</v>
      </c>
      <c r="G700" s="15" t="n">
        <f aca="false">F700*(1+IF(G$3&lt;=$O$2,$D700,$D700-($D700-$I$697)*MIN(G$3-$O$2,$Q$2)/$Q$2))</f>
        <v>4394.6875</v>
      </c>
      <c r="H700" s="15" t="n">
        <f aca="false">G700*(1+IF(H$3&lt;=$O$2,$D700,$D700-($D700-$I$697)*MIN(H$3-$O$2,$Q$2)/$Q$2))</f>
        <v>3845.3515625</v>
      </c>
      <c r="I700" s="15" t="n">
        <f aca="false">H700*(1+IF(I$3&lt;=$O$2,$D700,$D700-($D700-$I$697)*MIN(I$3-$O$2,$Q$2)/$Q$2))</f>
        <v>3364.6826171875</v>
      </c>
      <c r="J700" s="15" t="n">
        <f aca="false">I700*(1+IF(J$3&lt;=$O$2,$D700,$D700-($D700-$I$697)*MIN(J$3-$O$2,$Q$2)/$Q$2))</f>
        <v>3053.98782431641</v>
      </c>
      <c r="K700" s="15" t="n">
        <f aca="false">J700*(1+IF(K$3&lt;=$O$2,$D700,$D700-($D700-$I$697)*MIN(K$3-$O$2,$Q$2)/$Q$2))</f>
        <v>2871.7258309612</v>
      </c>
      <c r="L700" s="15" t="n">
        <f aca="false">K700*(1+IF(L$3&lt;=$O$2,$D700,$D700-($D700-$I$697)*MIN(L$3-$O$2,$Q$2)/$Q$2))</f>
        <v>2794.13179900863</v>
      </c>
      <c r="M700" s="15" t="n">
        <f aca="false">L700*(1+IF(M$3&lt;=$O$2,$D700,$D700-($D700-$I$697)*MIN(M$3-$O$2,$Q$2)/$Q$2))</f>
        <v>2809.89070235504</v>
      </c>
      <c r="N700" s="15" t="n">
        <f aca="false">M700*(1+IF(N$3&lt;=$O$2,$D700,$D700-($D700-$I$697)*MIN(N$3-$O$2,$Q$2)/$Q$2))</f>
        <v>2917.50951625524</v>
      </c>
      <c r="O700" s="15" t="n">
        <f aca="false">SUMPRODUCT(E700:N700,1/(1+$F$697)^$E$3:$N$3)*$E$2</f>
        <v>7984.62215221697</v>
      </c>
      <c r="P700" s="15" t="n">
        <f aca="false">N700*$E$2*(1+$I$697)/($F$697-$I$697)/(1+$F$697)^$N$3</f>
        <v>7632.51313776104</v>
      </c>
      <c r="Q700" s="15" t="n">
        <f aca="false">O700+P700</f>
        <v>15617.135289978</v>
      </c>
      <c r="R700" s="15" t="n">
        <f aca="false">Q700-$G$2+$I$2</f>
        <v>8271.93528997801</v>
      </c>
      <c r="S700" s="42" t="n">
        <f aca="false">R700/$K$2</f>
        <v>35.2522279564373</v>
      </c>
      <c r="T700" s="43" t="n">
        <f aca="false">S700-$M$2</f>
        <v>-45.7620486257064</v>
      </c>
    </row>
    <row r="701" customFormat="false" ht="15" hidden="false" customHeight="false" outlineLevel="0" collapsed="false">
      <c r="A701" s="5" t="n">
        <v>3</v>
      </c>
      <c r="B701" s="25" t="n">
        <f aca="false">IF(T700&gt;0,B700,D700)</f>
        <v>-0.125</v>
      </c>
      <c r="C701" s="25" t="n">
        <f aca="false">IF(T700&gt;0,D700,C700)</f>
        <v>0.25</v>
      </c>
      <c r="D701" s="41" t="n">
        <f aca="false">(B701+C701)/2</f>
        <v>0.0625</v>
      </c>
      <c r="E701" s="15" t="n">
        <f aca="false">$C$2*(1+IF(E$3&lt;=$O$2,$D701,$D701-($D701-$I$697)*MIN(E$3-$O$2,$Q$2)/$Q$2))</f>
        <v>6970</v>
      </c>
      <c r="F701" s="15" t="n">
        <f aca="false">E701*(1+IF(F$3&lt;=$O$2,$D701,$D701-($D701-$I$697)*MIN(F$3-$O$2,$Q$2)/$Q$2))</f>
        <v>7405.625</v>
      </c>
      <c r="G701" s="15" t="n">
        <f aca="false">F701*(1+IF(G$3&lt;=$O$2,$D701,$D701-($D701-$I$697)*MIN(G$3-$O$2,$Q$2)/$Q$2))</f>
        <v>7868.4765625</v>
      </c>
      <c r="H701" s="15" t="n">
        <f aca="false">G701*(1+IF(H$3&lt;=$O$2,$D701,$D701-($D701-$I$697)*MIN(H$3-$O$2,$Q$2)/$Q$2))</f>
        <v>8360.25634765625</v>
      </c>
      <c r="I701" s="15" t="n">
        <f aca="false">H701*(1+IF(I$3&lt;=$O$2,$D701,$D701-($D701-$I$697)*MIN(I$3-$O$2,$Q$2)/$Q$2))</f>
        <v>8882.77236938477</v>
      </c>
      <c r="J701" s="15" t="n">
        <f aca="false">I701*(1+IF(J$3&lt;=$O$2,$D701,$D701-($D701-$I$697)*MIN(J$3-$O$2,$Q$2)/$Q$2))</f>
        <v>9394.95302420349</v>
      </c>
      <c r="K701" s="15" t="n">
        <f aca="false">J701*(1+IF(K$3&lt;=$O$2,$D701,$D701-($D701-$I$697)*MIN(K$3-$O$2,$Q$2)/$Q$2))</f>
        <v>9891.19444294192</v>
      </c>
      <c r="L701" s="15" t="n">
        <f aca="false">K701*(1+IF(L$3&lt;=$O$2,$D701,$D701-($D701-$I$697)*MIN(L$3-$O$2,$Q$2)/$Q$2))</f>
        <v>10365.7739523143</v>
      </c>
      <c r="M701" s="15" t="n">
        <f aca="false">L701*(1+IF(M$3&lt;=$O$2,$D701,$D701-($D701-$I$697)*MIN(M$3-$O$2,$Q$2)/$Q$2))</f>
        <v>10812.9534406171</v>
      </c>
      <c r="N701" s="15" t="n">
        <f aca="false">M701*(1+IF(N$3&lt;=$O$2,$D701,$D701-($D701-$I$697)*MIN(N$3-$O$2,$Q$2)/$Q$2))</f>
        <v>11227.0895573927</v>
      </c>
      <c r="O701" s="15" t="n">
        <f aca="false">SUMPRODUCT(E701:N701,1/(1+$F$697)^$E$3:$N$3)*$E$2</f>
        <v>17884.8257918686</v>
      </c>
      <c r="P701" s="15" t="n">
        <f aca="false">N701*$E$2*(1+$I$697)/($F$697-$I$697)/(1+$F$697)^$N$3</f>
        <v>29371.2524563101</v>
      </c>
      <c r="Q701" s="15" t="n">
        <f aca="false">O701+P701</f>
        <v>47256.0782481787</v>
      </c>
      <c r="R701" s="15" t="n">
        <f aca="false">Q701-$G$2+$I$2</f>
        <v>39910.8782481787</v>
      </c>
      <c r="S701" s="42" t="n">
        <f aca="false">R701/$K$2</f>
        <v>170.086845293751</v>
      </c>
      <c r="T701" s="43" t="n">
        <f aca="false">S701-$M$2</f>
        <v>89.0725687116077</v>
      </c>
    </row>
    <row r="702" customFormat="false" ht="15" hidden="false" customHeight="false" outlineLevel="0" collapsed="false">
      <c r="A702" s="5" t="n">
        <v>4</v>
      </c>
      <c r="B702" s="25" t="n">
        <f aca="false">IF(T701&gt;0,B701,D701)</f>
        <v>-0.125</v>
      </c>
      <c r="C702" s="25" t="n">
        <f aca="false">IF(T701&gt;0,D701,C701)</f>
        <v>0.0625</v>
      </c>
      <c r="D702" s="41" t="n">
        <f aca="false">(B702+C702)/2</f>
        <v>-0.03125</v>
      </c>
      <c r="E702" s="15" t="n">
        <f aca="false">$C$2*(1+IF(E$3&lt;=$O$2,$D702,$D702-($D702-$I$697)*MIN(E$3-$O$2,$Q$2)/$Q$2))</f>
        <v>6355</v>
      </c>
      <c r="F702" s="15" t="n">
        <f aca="false">E702*(1+IF(F$3&lt;=$O$2,$D702,$D702-($D702-$I$697)*MIN(F$3-$O$2,$Q$2)/$Q$2))</f>
        <v>6156.40625</v>
      </c>
      <c r="G702" s="15" t="n">
        <f aca="false">F702*(1+IF(G$3&lt;=$O$2,$D702,$D702-($D702-$I$697)*MIN(G$3-$O$2,$Q$2)/$Q$2))</f>
        <v>5964.0185546875</v>
      </c>
      <c r="H702" s="15" t="n">
        <f aca="false">G702*(1+IF(H$3&lt;=$O$2,$D702,$D702-($D702-$I$697)*MIN(H$3-$O$2,$Q$2)/$Q$2))</f>
        <v>5777.64297485352</v>
      </c>
      <c r="I702" s="15" t="n">
        <f aca="false">H702*(1+IF(I$3&lt;=$O$2,$D702,$D702-($D702-$I$697)*MIN(I$3-$O$2,$Q$2)/$Q$2))</f>
        <v>5597.09163188934</v>
      </c>
      <c r="J702" s="15" t="n">
        <f aca="false">I702*(1+IF(J$3&lt;=$O$2,$D702,$D702-($D702-$I$697)*MIN(J$3-$O$2,$Q$2)/$Q$2))</f>
        <v>5500.03806299238</v>
      </c>
      <c r="K702" s="15" t="n">
        <f aca="false">J702*(1+IF(K$3&lt;=$O$2,$D702,$D702-($D702-$I$697)*MIN(K$3-$O$2,$Q$2)/$Q$2))</f>
        <v>5481.17293243632</v>
      </c>
      <c r="L702" s="15" t="n">
        <f aca="false">K702*(1+IF(L$3&lt;=$O$2,$D702,$D702-($D702-$I$697)*MIN(L$3-$O$2,$Q$2)/$Q$2))</f>
        <v>5538.61562476825</v>
      </c>
      <c r="M702" s="15" t="n">
        <f aca="false">L702*(1+IF(M$3&lt;=$O$2,$D702,$D702-($D702-$I$697)*MIN(M$3-$O$2,$Q$2)/$Q$2))</f>
        <v>5673.70245985635</v>
      </c>
      <c r="N702" s="15" t="n">
        <f aca="false">M702*(1+IF(N$3&lt;=$O$2,$D702,$D702-($D702-$I$697)*MIN(N$3-$O$2,$Q$2)/$Q$2))</f>
        <v>5891.00526406885</v>
      </c>
      <c r="O702" s="15" t="n">
        <f aca="false">SUMPRODUCT(E702:N702,1/(1+$F$697)^$E$3:$N$3)*$E$2</f>
        <v>11914.5562319444</v>
      </c>
      <c r="P702" s="15" t="n">
        <f aca="false">N702*$E$2*(1+$I$697)/($F$697-$I$697)/(1+$F$697)^$N$3</f>
        <v>15411.4921723845</v>
      </c>
      <c r="Q702" s="15" t="n">
        <f aca="false">O702+P702</f>
        <v>27326.0484043289</v>
      </c>
      <c r="R702" s="15" t="n">
        <f aca="false">Q702-$G$2+$I$2</f>
        <v>19980.8484043289</v>
      </c>
      <c r="S702" s="42" t="n">
        <f aca="false">R702/$K$2</f>
        <v>85.1517085204724</v>
      </c>
      <c r="T702" s="43" t="n">
        <f aca="false">S702-$M$2</f>
        <v>4.1374319383288</v>
      </c>
    </row>
    <row r="703" customFormat="false" ht="15" hidden="false" customHeight="false" outlineLevel="0" collapsed="false">
      <c r="A703" s="5" t="n">
        <v>5</v>
      </c>
      <c r="B703" s="25" t="n">
        <f aca="false">IF(T702&gt;0,B702,D702)</f>
        <v>-0.125</v>
      </c>
      <c r="C703" s="25" t="n">
        <f aca="false">IF(T702&gt;0,D702,C702)</f>
        <v>-0.03125</v>
      </c>
      <c r="D703" s="41" t="n">
        <f aca="false">(B703+C703)/2</f>
        <v>-0.078125</v>
      </c>
      <c r="E703" s="15" t="n">
        <f aca="false">$C$2*(1+IF(E$3&lt;=$O$2,$D703,$D703-($D703-$I$697)*MIN(E$3-$O$2,$Q$2)/$Q$2))</f>
        <v>6047.5</v>
      </c>
      <c r="F703" s="15" t="n">
        <f aca="false">E703*(1+IF(F$3&lt;=$O$2,$D703,$D703-($D703-$I$697)*MIN(F$3-$O$2,$Q$2)/$Q$2))</f>
        <v>5575.0390625</v>
      </c>
      <c r="G703" s="15" t="n">
        <f aca="false">F703*(1+IF(G$3&lt;=$O$2,$D703,$D703-($D703-$I$697)*MIN(G$3-$O$2,$Q$2)/$Q$2))</f>
        <v>5139.48913574219</v>
      </c>
      <c r="H703" s="15" t="n">
        <f aca="false">G703*(1+IF(H$3&lt;=$O$2,$D703,$D703-($D703-$I$697)*MIN(H$3-$O$2,$Q$2)/$Q$2))</f>
        <v>4737.96654701233</v>
      </c>
      <c r="I703" s="15" t="n">
        <f aca="false">H703*(1+IF(I$3&lt;=$O$2,$D703,$D703-($D703-$I$697)*MIN(I$3-$O$2,$Q$2)/$Q$2))</f>
        <v>4367.81291052699</v>
      </c>
      <c r="J703" s="15" t="n">
        <f aca="false">I703*(1+IF(J$3&lt;=$O$2,$D703,$D703-($D703-$I$697)*MIN(J$3-$O$2,$Q$2)/$Q$2))</f>
        <v>4128.28205051369</v>
      </c>
      <c r="K703" s="15" t="n">
        <f aca="false">J703*(1+IF(K$3&lt;=$O$2,$D703,$D703-($D703-$I$697)*MIN(K$3-$O$2,$Q$2)/$Q$2))</f>
        <v>3998.01411040973</v>
      </c>
      <c r="L703" s="15" t="n">
        <f aca="false">K703*(1+IF(L$3&lt;=$O$2,$D703,$D703-($D703-$I$697)*MIN(L$3-$O$2,$Q$2)/$Q$2))</f>
        <v>3964.95053371664</v>
      </c>
      <c r="M703" s="15" t="n">
        <f aca="false">L703*(1+IF(M$3&lt;=$O$2,$D703,$D703-($D703-$I$697)*MIN(M$3-$O$2,$Q$2)/$Q$2))</f>
        <v>4024.4842659804</v>
      </c>
      <c r="N703" s="15" t="n">
        <f aca="false">M703*(1+IF(N$3&lt;=$O$2,$D703,$D703-($D703-$I$697)*MIN(N$3-$O$2,$Q$2)/$Q$2))</f>
        <v>4178.62201336745</v>
      </c>
      <c r="O703" s="15" t="n">
        <f aca="false">SUMPRODUCT(E703:N703,1/(1+$F$697)^$E$3:$N$3)*$E$2</f>
        <v>9743.25593626076</v>
      </c>
      <c r="P703" s="15" t="n">
        <f aca="false">N703*$E$2*(1+$I$697)/($F$697-$I$697)/(1+$F$697)^$N$3</f>
        <v>10931.7166703542</v>
      </c>
      <c r="Q703" s="15" t="n">
        <f aca="false">O703+P703</f>
        <v>20674.972606615</v>
      </c>
      <c r="R703" s="15" t="n">
        <f aca="false">Q703-$G$2+$I$2</f>
        <v>13329.772606615</v>
      </c>
      <c r="S703" s="42" t="n">
        <f aca="false">R703/$K$2</f>
        <v>56.8070428579374</v>
      </c>
      <c r="T703" s="43" t="n">
        <f aca="false">S703-$M$2</f>
        <v>-24.2072337242063</v>
      </c>
    </row>
    <row r="704" customFormat="false" ht="15" hidden="false" customHeight="false" outlineLevel="0" collapsed="false">
      <c r="A704" s="5" t="n">
        <v>6</v>
      </c>
      <c r="B704" s="25" t="n">
        <f aca="false">IF(T703&gt;0,B703,D703)</f>
        <v>-0.078125</v>
      </c>
      <c r="C704" s="25" t="n">
        <f aca="false">IF(T703&gt;0,D703,C703)</f>
        <v>-0.03125</v>
      </c>
      <c r="D704" s="41" t="n">
        <f aca="false">(B704+C704)/2</f>
        <v>-0.0546875</v>
      </c>
      <c r="E704" s="15" t="n">
        <f aca="false">$C$2*(1+IF(E$3&lt;=$O$2,$D704,$D704-($D704-$I$697)*MIN(E$3-$O$2,$Q$2)/$Q$2))</f>
        <v>6201.25</v>
      </c>
      <c r="F704" s="15" t="n">
        <f aca="false">E704*(1+IF(F$3&lt;=$O$2,$D704,$D704-($D704-$I$697)*MIN(F$3-$O$2,$Q$2)/$Q$2))</f>
        <v>5862.119140625</v>
      </c>
      <c r="G704" s="15" t="n">
        <f aca="false">F704*(1+IF(G$3&lt;=$O$2,$D704,$D704-($D704-$I$697)*MIN(G$3-$O$2,$Q$2)/$Q$2))</f>
        <v>5541.53450012207</v>
      </c>
      <c r="H704" s="15" t="n">
        <f aca="false">G704*(1+IF(H$3&lt;=$O$2,$D704,$D704-($D704-$I$697)*MIN(H$3-$O$2,$Q$2)/$Q$2))</f>
        <v>5238.48183214665</v>
      </c>
      <c r="I704" s="15" t="n">
        <f aca="false">H704*(1+IF(I$3&lt;=$O$2,$D704,$D704-($D704-$I$697)*MIN(I$3-$O$2,$Q$2)/$Q$2))</f>
        <v>4952.00235695113</v>
      </c>
      <c r="J704" s="15" t="n">
        <f aca="false">I704*(1+IF(J$3&lt;=$O$2,$D704,$D704-($D704-$I$697)*MIN(J$3-$O$2,$Q$2)/$Q$2))</f>
        <v>4773.28459188876</v>
      </c>
      <c r="K704" s="15" t="n">
        <f aca="false">J704*(1+IF(K$3&lt;=$O$2,$D704,$D704-($D704-$I$697)*MIN(K$3-$O$2,$Q$2)/$Q$2))</f>
        <v>4689.78791116515</v>
      </c>
      <c r="L704" s="15" t="n">
        <f aca="false">K704*(1+IF(L$3&lt;=$O$2,$D704,$D704-($D704-$I$697)*MIN(L$3-$O$2,$Q$2)/$Q$2))</f>
        <v>4694.97012680698</v>
      </c>
      <c r="M704" s="15" t="n">
        <f aca="false">L704*(1+IF(M$3&lt;=$O$2,$D704,$D704-($D704-$I$697)*MIN(M$3-$O$2,$Q$2)/$Q$2))</f>
        <v>4787.4727757304</v>
      </c>
      <c r="N704" s="15" t="n">
        <f aca="false">M704*(1+IF(N$3&lt;=$O$2,$D704,$D704-($D704-$I$697)*MIN(N$3-$O$2,$Q$2)/$Q$2))</f>
        <v>4970.83298304087</v>
      </c>
      <c r="O704" s="15" t="n">
        <f aca="false">SUMPRODUCT(E704:N704,1/(1+$F$697)^$E$3:$N$3)*$E$2</f>
        <v>10771.9024845105</v>
      </c>
      <c r="P704" s="15" t="n">
        <f aca="false">N704*$E$2*(1+$I$697)/($F$697-$I$697)/(1+$F$697)^$N$3</f>
        <v>13004.2242663781</v>
      </c>
      <c r="Q704" s="15" t="n">
        <f aca="false">O704+P704</f>
        <v>23776.1267508886</v>
      </c>
      <c r="R704" s="15" t="n">
        <f aca="false">Q704-$G$2+$I$2</f>
        <v>16430.9267508886</v>
      </c>
      <c r="S704" s="42" t="n">
        <f aca="false">R704/$K$2</f>
        <v>70.0231270014429</v>
      </c>
      <c r="T704" s="43" t="n">
        <f aca="false">S704-$M$2</f>
        <v>-10.9911495807007</v>
      </c>
    </row>
    <row r="705" customFormat="false" ht="15" hidden="false" customHeight="false" outlineLevel="0" collapsed="false">
      <c r="A705" s="5" t="n">
        <v>7</v>
      </c>
      <c r="B705" s="25" t="n">
        <f aca="false">IF(T704&gt;0,B704,D704)</f>
        <v>-0.0546875</v>
      </c>
      <c r="C705" s="25" t="n">
        <f aca="false">IF(T704&gt;0,D704,C704)</f>
        <v>-0.03125</v>
      </c>
      <c r="D705" s="41" t="n">
        <f aca="false">(B705+C705)/2</f>
        <v>-0.04296875</v>
      </c>
      <c r="E705" s="15" t="n">
        <f aca="false">$C$2*(1+IF(E$3&lt;=$O$2,$D705,$D705-($D705-$I$697)*MIN(E$3-$O$2,$Q$2)/$Q$2))</f>
        <v>6278.125</v>
      </c>
      <c r="F705" s="15" t="n">
        <f aca="false">E705*(1+IF(F$3&lt;=$O$2,$D705,$D705-($D705-$I$697)*MIN(F$3-$O$2,$Q$2)/$Q$2))</f>
        <v>6008.36181640625</v>
      </c>
      <c r="G705" s="15" t="n">
        <f aca="false">F705*(1+IF(G$3&lt;=$O$2,$D705,$D705-($D705-$I$697)*MIN(G$3-$O$2,$Q$2)/$Q$2))</f>
        <v>5750.19001960754</v>
      </c>
      <c r="H705" s="15" t="n">
        <f aca="false">G705*(1+IF(H$3&lt;=$O$2,$D705,$D705-($D705-$I$697)*MIN(H$3-$O$2,$Q$2)/$Q$2))</f>
        <v>5503.11154220253</v>
      </c>
      <c r="I705" s="15" t="n">
        <f aca="false">H705*(1+IF(I$3&lt;=$O$2,$D705,$D705-($D705-$I$697)*MIN(I$3-$O$2,$Q$2)/$Q$2))</f>
        <v>5266.64971812352</v>
      </c>
      <c r="J705" s="15" t="n">
        <f aca="false">I705*(1+IF(J$3&lt;=$O$2,$D705,$D705-($D705-$I$697)*MIN(J$3-$O$2,$Q$2)/$Q$2))</f>
        <v>5125.95117090385</v>
      </c>
      <c r="K705" s="15" t="n">
        <f aca="false">J705*(1+IF(K$3&lt;=$O$2,$D705,$D705-($D705-$I$697)*MIN(K$3-$O$2,$Q$2)/$Q$2))</f>
        <v>5072.32731421723</v>
      </c>
      <c r="L705" s="15" t="n">
        <f aca="false">K705*(1+IF(L$3&lt;=$O$2,$D705,$D705-($D705-$I$697)*MIN(L$3-$O$2,$Q$2)/$Q$2))</f>
        <v>5101.70877018483</v>
      </c>
      <c r="M705" s="15" t="n">
        <f aca="false">L705*(1+IF(M$3&lt;=$O$2,$D705,$D705-($D705-$I$697)*MIN(M$3-$O$2,$Q$2)/$Q$2))</f>
        <v>5214.18231715952</v>
      </c>
      <c r="N705" s="15" t="n">
        <f aca="false">M705*(1+IF(N$3&lt;=$O$2,$D705,$D705-($D705-$I$697)*MIN(N$3-$O$2,$Q$2)/$Q$2))</f>
        <v>5413.88549990673</v>
      </c>
      <c r="O705" s="15" t="n">
        <f aca="false">SUMPRODUCT(E705:N705,1/(1+$F$697)^$E$3:$N$3)*$E$2</f>
        <v>11328.2463145238</v>
      </c>
      <c r="P705" s="15" t="n">
        <f aca="false">N705*$E$2*(1+$I$697)/($F$697-$I$697)/(1+$F$697)^$N$3</f>
        <v>14163.2964602667</v>
      </c>
      <c r="Q705" s="15" t="n">
        <f aca="false">O705+P705</f>
        <v>25491.5427747905</v>
      </c>
      <c r="R705" s="15" t="n">
        <f aca="false">Q705-$G$2+$I$2</f>
        <v>18146.3427747905</v>
      </c>
      <c r="S705" s="42" t="n">
        <f aca="false">R705/$K$2</f>
        <v>77.3336576807605</v>
      </c>
      <c r="T705" s="43" t="n">
        <f aca="false">S705-$M$2</f>
        <v>-3.68061890138308</v>
      </c>
    </row>
    <row r="706" customFormat="false" ht="15" hidden="false" customHeight="false" outlineLevel="0" collapsed="false">
      <c r="A706" s="5" t="n">
        <v>8</v>
      </c>
      <c r="B706" s="25" t="n">
        <f aca="false">IF(T705&gt;0,B705,D705)</f>
        <v>-0.04296875</v>
      </c>
      <c r="C706" s="25" t="n">
        <f aca="false">IF(T705&gt;0,D705,C705)</f>
        <v>-0.03125</v>
      </c>
      <c r="D706" s="41" t="n">
        <f aca="false">(B706+C706)/2</f>
        <v>-0.037109375</v>
      </c>
      <c r="E706" s="15" t="n">
        <f aca="false">$C$2*(1+IF(E$3&lt;=$O$2,$D706,$D706-($D706-$I$697)*MIN(E$3-$O$2,$Q$2)/$Q$2))</f>
        <v>6316.5625</v>
      </c>
      <c r="F706" s="15" t="n">
        <f aca="false">E706*(1+IF(F$3&lt;=$O$2,$D706,$D706-($D706-$I$697)*MIN(F$3-$O$2,$Q$2)/$Q$2))</f>
        <v>6082.15881347656</v>
      </c>
      <c r="G706" s="15" t="n">
        <f aca="false">F706*(1+IF(G$3&lt;=$O$2,$D706,$D706-($D706-$I$697)*MIN(G$3-$O$2,$Q$2)/$Q$2))</f>
        <v>5856.45370125771</v>
      </c>
      <c r="H706" s="15" t="n">
        <f aca="false">G706*(1+IF(H$3&lt;=$O$2,$D706,$D706-($D706-$I$697)*MIN(H$3-$O$2,$Q$2)/$Q$2))</f>
        <v>5639.1243646876</v>
      </c>
      <c r="I706" s="15" t="n">
        <f aca="false">H706*(1+IF(I$3&lt;=$O$2,$D706,$D706-($D706-$I$697)*MIN(I$3-$O$2,$Q$2)/$Q$2))</f>
        <v>5429.85998396677</v>
      </c>
      <c r="J706" s="15" t="n">
        <f aca="false">I706*(1+IF(J$3&lt;=$O$2,$D706,$D706-($D706-$I$697)*MIN(J$3-$O$2,$Q$2)/$Q$2))</f>
        <v>5310.25374316994</v>
      </c>
      <c r="K706" s="15" t="n">
        <f aca="false">J706*(1+IF(K$3&lt;=$O$2,$D706,$D706-($D706-$I$697)*MIN(K$3-$O$2,$Q$2)/$Q$2))</f>
        <v>5273.37071201504</v>
      </c>
      <c r="L706" s="15" t="n">
        <f aca="false">K706*(1+IF(L$3&lt;=$O$2,$D706,$D706-($D706-$I$697)*MIN(L$3-$O$2,$Q$2)/$Q$2))</f>
        <v>5316.27617447067</v>
      </c>
      <c r="M706" s="15" t="n">
        <f aca="false">L706*(1+IF(M$3&lt;=$O$2,$D706,$D706-($D706-$I$697)*MIN(M$3-$O$2,$Q$2)/$Q$2))</f>
        <v>5439.71013922405</v>
      </c>
      <c r="N706" s="15" t="n">
        <f aca="false">M706*(1+IF(N$3&lt;=$O$2,$D706,$D706-($D706-$I$697)*MIN(N$3-$O$2,$Q$2)/$Q$2))</f>
        <v>5648.05103755633</v>
      </c>
      <c r="O706" s="15" t="n">
        <f aca="false">SUMPRODUCT(E706:N706,1/(1+$F$697)^$E$3:$N$3)*$E$2</f>
        <v>11617.560388044</v>
      </c>
      <c r="P706" s="15" t="n">
        <f aca="false">N706*$E$2*(1+$I$697)/($F$697-$I$697)/(1+$F$697)^$N$3</f>
        <v>14775.8982470178</v>
      </c>
      <c r="Q706" s="15" t="n">
        <f aca="false">O706+P706</f>
        <v>26393.4586350618</v>
      </c>
      <c r="R706" s="15" t="n">
        <f aca="false">Q706-$G$2+$I$2</f>
        <v>19048.2586350618</v>
      </c>
      <c r="S706" s="42" t="n">
        <f aca="false">R706/$K$2</f>
        <v>81.1773221183116</v>
      </c>
      <c r="T706" s="43" t="n">
        <f aca="false">S706-$M$2</f>
        <v>0.163045536168013</v>
      </c>
    </row>
    <row r="707" customFormat="false" ht="15" hidden="false" customHeight="false" outlineLevel="0" collapsed="false">
      <c r="A707" s="5" t="n">
        <v>9</v>
      </c>
      <c r="B707" s="25" t="n">
        <f aca="false">IF(T706&gt;0,B706,D706)</f>
        <v>-0.04296875</v>
      </c>
      <c r="C707" s="25" t="n">
        <f aca="false">IF(T706&gt;0,D706,C706)</f>
        <v>-0.037109375</v>
      </c>
      <c r="D707" s="41" t="n">
        <f aca="false">(B707+C707)/2</f>
        <v>-0.0400390625</v>
      </c>
      <c r="E707" s="15" t="n">
        <f aca="false">$C$2*(1+IF(E$3&lt;=$O$2,$D707,$D707-($D707-$I$697)*MIN(E$3-$O$2,$Q$2)/$Q$2))</f>
        <v>6297.34375</v>
      </c>
      <c r="F707" s="15" t="n">
        <f aca="false">E707*(1+IF(F$3&lt;=$O$2,$D707,$D707-($D707-$I$697)*MIN(F$3-$O$2,$Q$2)/$Q$2))</f>
        <v>6045.20401000977</v>
      </c>
      <c r="G707" s="15" t="n">
        <f aca="false">F707*(1+IF(G$3&lt;=$O$2,$D707,$D707-($D707-$I$697)*MIN(G$3-$O$2,$Q$2)/$Q$2))</f>
        <v>5803.15970882773</v>
      </c>
      <c r="H707" s="15" t="n">
        <f aca="false">G707*(1+IF(H$3&lt;=$O$2,$D707,$D707-($D707-$I$697)*MIN(H$3-$O$2,$Q$2)/$Q$2))</f>
        <v>5570.8066345485</v>
      </c>
      <c r="I707" s="15" t="n">
        <f aca="false">H707*(1+IF(I$3&lt;=$O$2,$D707,$D707-($D707-$I$697)*MIN(I$3-$O$2,$Q$2)/$Q$2))</f>
        <v>5347.7567595324</v>
      </c>
      <c r="J707" s="15" t="n">
        <f aca="false">I707*(1+IF(J$3&lt;=$O$2,$D707,$D707-($D707-$I$697)*MIN(J$3-$O$2,$Q$2)/$Q$2))</f>
        <v>5217.42524260664</v>
      </c>
      <c r="K707" s="15" t="n">
        <f aca="false">J707*(1+IF(K$3&lt;=$O$2,$D707,$D707-($D707-$I$697)*MIN(K$3-$O$2,$Q$2)/$Q$2))</f>
        <v>5172.01570809669</v>
      </c>
      <c r="L707" s="15" t="n">
        <f aca="false">K707*(1+IF(L$3&lt;=$O$2,$D707,$D707-($D707-$I$697)*MIN(L$3-$O$2,$Q$2)/$Q$2))</f>
        <v>5208.03556499377</v>
      </c>
      <c r="M707" s="15" t="n">
        <f aca="false">L707*(1+IF(M$3&lt;=$O$2,$D707,$D707-($D707-$I$697)*MIN(M$3-$O$2,$Q$2)/$Q$2))</f>
        <v>5325.90480240738</v>
      </c>
      <c r="N707" s="15" t="n">
        <f aca="false">M707*(1+IF(N$3&lt;=$O$2,$D707,$D707-($D707-$I$697)*MIN(N$3-$O$2,$Q$2)/$Q$2))</f>
        <v>5529.88695633958</v>
      </c>
      <c r="O707" s="15" t="n">
        <f aca="false">SUMPRODUCT(E707:N707,1/(1+$F$697)^$E$3:$N$3)*$E$2</f>
        <v>11471.955185385</v>
      </c>
      <c r="P707" s="15" t="n">
        <f aca="false">N707*$E$2*(1+$I$697)/($F$697-$I$697)/(1+$F$697)^$N$3</f>
        <v>14466.7685261811</v>
      </c>
      <c r="Q707" s="15" t="n">
        <f aca="false">O707+P707</f>
        <v>25938.7237115662</v>
      </c>
      <c r="R707" s="15" t="n">
        <f aca="false">Q707-$G$2+$I$2</f>
        <v>18593.5237115662</v>
      </c>
      <c r="S707" s="42" t="n">
        <f aca="false">R707/$K$2</f>
        <v>79.2393936141751</v>
      </c>
      <c r="T707" s="43" t="n">
        <f aca="false">S707-$M$2</f>
        <v>-1.77488296796857</v>
      </c>
    </row>
    <row r="708" customFormat="false" ht="15" hidden="false" customHeight="false" outlineLevel="0" collapsed="false">
      <c r="A708" s="5" t="n">
        <v>10</v>
      </c>
      <c r="B708" s="25" t="n">
        <f aca="false">IF(T707&gt;0,B707,D707)</f>
        <v>-0.0400390625</v>
      </c>
      <c r="C708" s="25" t="n">
        <f aca="false">IF(T707&gt;0,D707,C707)</f>
        <v>-0.037109375</v>
      </c>
      <c r="D708" s="41" t="n">
        <f aca="false">(B708+C708)/2</f>
        <v>-0.03857421875</v>
      </c>
      <c r="E708" s="15" t="n">
        <f aca="false">$C$2*(1+IF(E$3&lt;=$O$2,$D708,$D708-($D708-$I$697)*MIN(E$3-$O$2,$Q$2)/$Q$2))</f>
        <v>6306.953125</v>
      </c>
      <c r="F708" s="15" t="n">
        <f aca="false">E708*(1+IF(F$3&lt;=$O$2,$D708,$D708-($D708-$I$697)*MIN(F$3-$O$2,$Q$2)/$Q$2))</f>
        <v>6063.66733551025</v>
      </c>
      <c r="G708" s="15" t="n">
        <f aca="false">F708*(1+IF(G$3&lt;=$O$2,$D708,$D708-($D708-$I$697)*MIN(G$3-$O$2,$Q$2)/$Q$2))</f>
        <v>5829.76610528305</v>
      </c>
      <c r="H708" s="15" t="n">
        <f aca="false">G708*(1+IF(H$3&lt;=$O$2,$D708,$D708-($D708-$I$697)*MIN(H$3-$O$2,$Q$2)/$Q$2))</f>
        <v>5604.88743227653</v>
      </c>
      <c r="I708" s="15" t="n">
        <f aca="false">H708*(1+IF(I$3&lt;=$O$2,$D708,$D708-($D708-$I$697)*MIN(I$3-$O$2,$Q$2)/$Q$2))</f>
        <v>5388.68327839477</v>
      </c>
      <c r="J708" s="15" t="n">
        <f aca="false">I708*(1+IF(J$3&lt;=$O$2,$D708,$D708-($D708-$I$697)*MIN(J$3-$O$2,$Q$2)/$Q$2))</f>
        <v>5263.66919426306</v>
      </c>
      <c r="K708" s="15" t="n">
        <f aca="false">J708*(1+IF(K$3&lt;=$O$2,$D708,$D708-($D708-$I$697)*MIN(K$3-$O$2,$Q$2)/$Q$2))</f>
        <v>5222.48345016288</v>
      </c>
      <c r="L708" s="15" t="n">
        <f aca="false">K708*(1+IF(L$3&lt;=$O$2,$D708,$D708-($D708-$I$697)*MIN(L$3-$O$2,$Q$2)/$Q$2))</f>
        <v>5261.91483223769</v>
      </c>
      <c r="M708" s="15" t="n">
        <f aca="false">L708*(1+IF(M$3&lt;=$O$2,$D708,$D708-($D708-$I$697)*MIN(M$3-$O$2,$Q$2)/$Q$2))</f>
        <v>5382.54505194093</v>
      </c>
      <c r="N708" s="15" t="n">
        <f aca="false">M708*(1+IF(N$3&lt;=$O$2,$D708,$D708-($D708-$I$697)*MIN(N$3-$O$2,$Q$2)/$Q$2))</f>
        <v>5588.69652743027</v>
      </c>
      <c r="O708" s="15" t="n">
        <f aca="false">SUMPRODUCT(E708:N708,1/(1+$F$697)^$E$3:$N$3)*$E$2</f>
        <v>11544.5192487231</v>
      </c>
      <c r="P708" s="15" t="n">
        <f aca="false">N708*$E$2*(1+$I$697)/($F$697-$I$697)/(1+$F$697)^$N$3</f>
        <v>14620.620577554</v>
      </c>
      <c r="Q708" s="15" t="n">
        <f aca="false">O708+P708</f>
        <v>26165.1398262771</v>
      </c>
      <c r="R708" s="15" t="n">
        <f aca="false">Q708-$G$2+$I$2</f>
        <v>18819.9398262771</v>
      </c>
      <c r="S708" s="42" t="n">
        <f aca="false">R708/$K$2</f>
        <v>80.2043035426257</v>
      </c>
      <c r="T708" s="43" t="n">
        <f aca="false">S708-$M$2</f>
        <v>-0.809973039517971</v>
      </c>
    </row>
    <row r="709" customFormat="false" ht="15" hidden="false" customHeight="false" outlineLevel="0" collapsed="false">
      <c r="A709" s="5" t="n">
        <v>11</v>
      </c>
      <c r="B709" s="25" t="n">
        <f aca="false">IF(T708&gt;0,B708,D708)</f>
        <v>-0.03857421875</v>
      </c>
      <c r="C709" s="25" t="n">
        <f aca="false">IF(T708&gt;0,D708,C708)</f>
        <v>-0.037109375</v>
      </c>
      <c r="D709" s="41" t="n">
        <f aca="false">(B709+C709)/2</f>
        <v>-0.037841796875</v>
      </c>
      <c r="E709" s="15" t="n">
        <f aca="false">$C$2*(1+IF(E$3&lt;=$O$2,$D709,$D709-($D709-$I$697)*MIN(E$3-$O$2,$Q$2)/$Q$2))</f>
        <v>6311.7578125</v>
      </c>
      <c r="F709" s="15" t="n">
        <f aca="false">E709*(1+IF(F$3&lt;=$O$2,$D709,$D709-($D709-$I$697)*MIN(F$3-$O$2,$Q$2)/$Q$2))</f>
        <v>6072.90955543518</v>
      </c>
      <c r="G709" s="15" t="n">
        <f aca="false">F709*(1+IF(G$3&lt;=$O$2,$D709,$D709-($D709-$I$697)*MIN(G$3-$O$2,$Q$2)/$Q$2))</f>
        <v>5843.09974559816</v>
      </c>
      <c r="H709" s="15" t="n">
        <f aca="false">G709*(1+IF(H$3&lt;=$O$2,$D709,$D709-($D709-$I$697)*MIN(H$3-$O$2,$Q$2)/$Q$2))</f>
        <v>5621.98635190487</v>
      </c>
      <c r="I709" s="15" t="n">
        <f aca="false">H709*(1+IF(I$3&lt;=$O$2,$D709,$D709-($D709-$I$697)*MIN(I$3-$O$2,$Q$2)/$Q$2))</f>
        <v>5409.24028634206</v>
      </c>
      <c r="J709" s="15" t="n">
        <f aca="false">I709*(1+IF(J$3&lt;=$O$2,$D709,$D709-($D709-$I$697)*MIN(J$3-$O$2,$Q$2)/$Q$2))</f>
        <v>5286.91876920438</v>
      </c>
      <c r="K709" s="15" t="n">
        <f aca="false">J709*(1+IF(K$3&lt;=$O$2,$D709,$D709-($D709-$I$697)*MIN(K$3-$O$2,$Q$2)/$Q$2))</f>
        <v>5247.87446105328</v>
      </c>
      <c r="L709" s="15" t="n">
        <f aca="false">K709*(1+IF(L$3&lt;=$O$2,$D709,$D709-($D709-$I$697)*MIN(L$3-$O$2,$Q$2)/$Q$2))</f>
        <v>5289.03501641601</v>
      </c>
      <c r="M709" s="15" t="n">
        <f aca="false">L709*(1+IF(M$3&lt;=$O$2,$D709,$D709-($D709-$I$697)*MIN(M$3-$O$2,$Q$2)/$Q$2))</f>
        <v>5411.0617315678</v>
      </c>
      <c r="N709" s="15" t="n">
        <f aca="false">M709*(1+IF(N$3&lt;=$O$2,$D709,$D709-($D709-$I$697)*MIN(N$3-$O$2,$Q$2)/$Q$2))</f>
        <v>5618.30539588685</v>
      </c>
      <c r="O709" s="15" t="n">
        <f aca="false">SUMPRODUCT(E709:N709,1/(1+$F$697)^$E$3:$N$3)*$E$2</f>
        <v>11580.9799959141</v>
      </c>
      <c r="P709" s="15" t="n">
        <f aca="false">N709*$E$2*(1+$I$697)/($F$697-$I$697)/(1+$F$697)^$N$3</f>
        <v>14698.0805056982</v>
      </c>
      <c r="Q709" s="15" t="n">
        <f aca="false">O709+P709</f>
        <v>26279.0605016123</v>
      </c>
      <c r="R709" s="15" t="n">
        <f aca="false">Q709-$G$2+$I$2</f>
        <v>18933.8605016123</v>
      </c>
      <c r="S709" s="42" t="n">
        <f aca="false">R709/$K$2</f>
        <v>80.6897954468883</v>
      </c>
      <c r="T709" s="43" t="n">
        <f aca="false">S709-$M$2</f>
        <v>-0.324481135255354</v>
      </c>
    </row>
    <row r="710" customFormat="false" ht="15" hidden="false" customHeight="false" outlineLevel="0" collapsed="false">
      <c r="A710" s="5" t="n">
        <v>12</v>
      </c>
      <c r="B710" s="25" t="n">
        <f aca="false">IF(T709&gt;0,B709,D709)</f>
        <v>-0.037841796875</v>
      </c>
      <c r="C710" s="25" t="n">
        <f aca="false">IF(T709&gt;0,D709,C709)</f>
        <v>-0.037109375</v>
      </c>
      <c r="D710" s="41" t="n">
        <f aca="false">(B710+C710)/2</f>
        <v>-0.0374755859375</v>
      </c>
      <c r="E710" s="15" t="n">
        <f aca="false">$C$2*(1+IF(E$3&lt;=$O$2,$D710,$D710-($D710-$I$697)*MIN(E$3-$O$2,$Q$2)/$Q$2))</f>
        <v>6314.16015625</v>
      </c>
      <c r="F710" s="15" t="n">
        <f aca="false">E710*(1+IF(F$3&lt;=$O$2,$D710,$D710-($D710-$I$697)*MIN(F$3-$O$2,$Q$2)/$Q$2))</f>
        <v>6077.53330469132</v>
      </c>
      <c r="G710" s="15" t="n">
        <f aca="false">F710*(1+IF(G$3&lt;=$O$2,$D710,$D710-($D710-$I$697)*MIN(G$3-$O$2,$Q$2)/$Q$2))</f>
        <v>5849.77418304334</v>
      </c>
      <c r="H710" s="15" t="n">
        <f aca="false">G710*(1+IF(H$3&lt;=$O$2,$D710,$D710-($D710-$I$697)*MIN(H$3-$O$2,$Q$2)/$Q$2))</f>
        <v>5630.55046793173</v>
      </c>
      <c r="I710" s="15" t="n">
        <f aca="false">H710*(1+IF(I$3&lt;=$O$2,$D710,$D710-($D710-$I$697)*MIN(I$3-$O$2,$Q$2)/$Q$2))</f>
        <v>5419.54228999532</v>
      </c>
      <c r="J710" s="15" t="n">
        <f aca="false">I710*(1+IF(J$3&lt;=$O$2,$D710,$D710-($D710-$I$697)*MIN(J$3-$O$2,$Q$2)/$Q$2))</f>
        <v>5298.57556567218</v>
      </c>
      <c r="K710" s="15" t="n">
        <f aca="false">J710*(1+IF(K$3&lt;=$O$2,$D710,$D710-($D710-$I$697)*MIN(K$3-$O$2,$Q$2)/$Q$2))</f>
        <v>5260.60940896366</v>
      </c>
      <c r="L710" s="15" t="n">
        <f aca="false">K710*(1+IF(L$3&lt;=$O$2,$D710,$D710-($D710-$I$697)*MIN(L$3-$O$2,$Q$2)/$Q$2))</f>
        <v>5302.64044518595</v>
      </c>
      <c r="M710" s="15" t="n">
        <f aca="false">L710*(1+IF(M$3&lt;=$O$2,$D710,$D710-($D710-$I$697)*MIN(M$3-$O$2,$Q$2)/$Q$2))</f>
        <v>5425.36943688661</v>
      </c>
      <c r="N710" s="15" t="n">
        <f aca="false">M710*(1+IF(N$3&lt;=$O$2,$D710,$D710-($D710-$I$697)*MIN(N$3-$O$2,$Q$2)/$Q$2))</f>
        <v>5633.16108631936</v>
      </c>
      <c r="O710" s="15" t="n">
        <f aca="false">SUMPRODUCT(E710:N710,1/(1+$F$697)^$E$3:$N$3)*$E$2</f>
        <v>11599.2552128084</v>
      </c>
      <c r="P710" s="15" t="n">
        <f aca="false">N710*$E$2*(1+$I$697)/($F$697-$I$697)/(1+$F$697)^$N$3</f>
        <v>14736.9445614159</v>
      </c>
      <c r="Q710" s="15" t="n">
        <f aca="false">O710+P710</f>
        <v>26336.1997742243</v>
      </c>
      <c r="R710" s="15" t="n">
        <f aca="false">Q710-$G$2+$I$2</f>
        <v>18990.9997742243</v>
      </c>
      <c r="S710" s="42" t="n">
        <f aca="false">R710/$K$2</f>
        <v>80.9333039600439</v>
      </c>
      <c r="T710" s="43" t="n">
        <f aca="false">S710-$M$2</f>
        <v>-0.0809726220997504</v>
      </c>
    </row>
    <row r="711" customFormat="false" ht="15" hidden="false" customHeight="false" outlineLevel="0" collapsed="false">
      <c r="A711" s="5" t="n">
        <v>13</v>
      </c>
      <c r="B711" s="25" t="n">
        <f aca="false">IF(T710&gt;0,B710,D710)</f>
        <v>-0.0374755859375</v>
      </c>
      <c r="C711" s="25" t="n">
        <f aca="false">IF(T710&gt;0,D710,C710)</f>
        <v>-0.037109375</v>
      </c>
      <c r="D711" s="41" t="n">
        <f aca="false">(B711+C711)/2</f>
        <v>-0.03729248046875</v>
      </c>
      <c r="E711" s="15" t="n">
        <f aca="false">$C$2*(1+IF(E$3&lt;=$O$2,$D711,$D711-($D711-$I$697)*MIN(E$3-$O$2,$Q$2)/$Q$2))</f>
        <v>6315.361328125</v>
      </c>
      <c r="F711" s="15" t="n">
        <f aca="false">E711*(1+IF(F$3&lt;=$O$2,$D711,$D711-($D711-$I$697)*MIN(F$3-$O$2,$Q$2)/$Q$2))</f>
        <v>6079.8458391428</v>
      </c>
      <c r="G711" s="15" t="n">
        <f aca="false">F711*(1+IF(G$3&lt;=$O$2,$D711,$D711-($D711-$I$697)*MIN(G$3-$O$2,$Q$2)/$Q$2))</f>
        <v>5853.11330693356</v>
      </c>
      <c r="H711" s="15" t="n">
        <f aca="false">G711*(1+IF(H$3&lt;=$O$2,$D711,$D711-($D711-$I$697)*MIN(H$3-$O$2,$Q$2)/$Q$2))</f>
        <v>5634.83619325336</v>
      </c>
      <c r="I711" s="15" t="n">
        <f aca="false">H711*(1+IF(I$3&lt;=$O$2,$D711,$D711-($D711-$I$697)*MIN(I$3-$O$2,$Q$2)/$Q$2))</f>
        <v>5424.69917457185</v>
      </c>
      <c r="J711" s="15" t="n">
        <f aca="false">I711*(1+IF(J$3&lt;=$O$2,$D711,$D711-($D711-$I$697)*MIN(J$3-$O$2,$Q$2)/$Q$2))</f>
        <v>5304.41197983582</v>
      </c>
      <c r="K711" s="15" t="n">
        <f aca="false">J711*(1+IF(K$3&lt;=$O$2,$D711,$D711-($D711-$I$697)*MIN(K$3-$O$2,$Q$2)/$Q$2))</f>
        <v>5266.98676327316</v>
      </c>
      <c r="L711" s="15" t="n">
        <f aca="false">K711*(1+IF(L$3&lt;=$O$2,$D711,$D711-($D711-$I$697)*MIN(L$3-$O$2,$Q$2)/$Q$2))</f>
        <v>5309.45451869377</v>
      </c>
      <c r="M711" s="15" t="n">
        <f aca="false">L711*(1+IF(M$3&lt;=$O$2,$D711,$D711-($D711-$I$697)*MIN(M$3-$O$2,$Q$2)/$Q$2))</f>
        <v>5432.53565935893</v>
      </c>
      <c r="N711" s="15" t="n">
        <f aca="false">M711*(1+IF(N$3&lt;=$O$2,$D711,$D711-($D711-$I$697)*MIN(N$3-$O$2,$Q$2)/$Q$2))</f>
        <v>5640.60177511237</v>
      </c>
      <c r="O711" s="15" t="n">
        <f aca="false">SUMPRODUCT(E711:N711,1/(1+$F$697)^$E$3:$N$3)*$E$2</f>
        <v>11608.4040526858</v>
      </c>
      <c r="P711" s="15" t="n">
        <f aca="false">N711*$E$2*(1+$I$697)/($F$697-$I$697)/(1+$F$697)^$N$3</f>
        <v>14756.4101894285</v>
      </c>
      <c r="Q711" s="15" t="n">
        <f aca="false">O711+P711</f>
        <v>26364.8142421143</v>
      </c>
      <c r="R711" s="15" t="n">
        <f aca="false">Q711-$G$2+$I$2</f>
        <v>19019.6142421143</v>
      </c>
      <c r="S711" s="42" t="n">
        <f aca="false">R711/$K$2</f>
        <v>81.055249273873</v>
      </c>
      <c r="T711" s="43" t="n">
        <f aca="false">S711-$M$2</f>
        <v>0.0409726917293938</v>
      </c>
    </row>
    <row r="712" customFormat="false" ht="15" hidden="false" customHeight="false" outlineLevel="0" collapsed="false">
      <c r="A712" s="5" t="n">
        <v>14</v>
      </c>
      <c r="B712" s="25" t="n">
        <f aca="false">IF(T711&gt;0,B711,D711)</f>
        <v>-0.0374755859375</v>
      </c>
      <c r="C712" s="25" t="n">
        <f aca="false">IF(T711&gt;0,D711,C711)</f>
        <v>-0.03729248046875</v>
      </c>
      <c r="D712" s="41" t="n">
        <f aca="false">(B712+C712)/2</f>
        <v>-0.037384033203125</v>
      </c>
      <c r="E712" s="15" t="n">
        <f aca="false">$C$2*(1+IF(E$3&lt;=$O$2,$D712,$D712-($D712-$I$697)*MIN(E$3-$O$2,$Q$2)/$Q$2))</f>
        <v>6314.7607421875</v>
      </c>
      <c r="F712" s="15" t="n">
        <f aca="false">E712*(1+IF(F$3&lt;=$O$2,$D712,$D712-($D712-$I$697)*MIN(F$3-$O$2,$Q$2)/$Q$2))</f>
        <v>6078.68951693177</v>
      </c>
      <c r="G712" s="15" t="n">
        <f aca="false">F712*(1+IF(G$3&lt;=$O$2,$D712,$D712-($D712-$I$697)*MIN(G$3-$O$2,$Q$2)/$Q$2))</f>
        <v>5851.44358619931</v>
      </c>
      <c r="H712" s="15" t="n">
        <f aca="false">G712*(1+IF(H$3&lt;=$O$2,$D712,$D712-($D712-$I$697)*MIN(H$3-$O$2,$Q$2)/$Q$2))</f>
        <v>5632.69302488662</v>
      </c>
      <c r="I712" s="15" t="n">
        <f aca="false">H712*(1+IF(I$3&lt;=$O$2,$D712,$D712-($D712-$I$697)*MIN(I$3-$O$2,$Q$2)/$Q$2))</f>
        <v>5422.12024182125</v>
      </c>
      <c r="J712" s="15" t="n">
        <f aca="false">I712*(1+IF(J$3&lt;=$O$2,$D712,$D712-($D712-$I$697)*MIN(J$3-$O$2,$Q$2)/$Q$2))</f>
        <v>5301.49310435233</v>
      </c>
      <c r="K712" s="15" t="n">
        <f aca="false">J712*(1+IF(K$3&lt;=$O$2,$D712,$D712-($D712-$I$697)*MIN(K$3-$O$2,$Q$2)/$Q$2))</f>
        <v>5263.79726216746</v>
      </c>
      <c r="L712" s="15" t="n">
        <f aca="false">K712*(1+IF(L$3&lt;=$O$2,$D712,$D712-($D712-$I$697)*MIN(L$3-$O$2,$Q$2)/$Q$2))</f>
        <v>5306.04653460272</v>
      </c>
      <c r="M712" s="15" t="n">
        <f aca="false">L712*(1+IF(M$3&lt;=$O$2,$D712,$D712-($D712-$I$697)*MIN(M$3-$O$2,$Q$2)/$Q$2))</f>
        <v>5428.95151645756</v>
      </c>
      <c r="N712" s="15" t="n">
        <f aca="false">M712*(1+IF(N$3&lt;=$O$2,$D712,$D712-($D712-$I$697)*MIN(N$3-$O$2,$Q$2)/$Q$2))</f>
        <v>5636.88035953789</v>
      </c>
      <c r="O712" s="15" t="n">
        <f aca="false">SUMPRODUCT(E712:N712,1/(1+$F$697)^$E$3:$N$3)*$E$2</f>
        <v>11603.8286961806</v>
      </c>
      <c r="P712" s="15" t="n">
        <f aca="false">N712*$E$2*(1+$I$697)/($F$697-$I$697)/(1+$F$697)^$N$3</f>
        <v>14746.6745731074</v>
      </c>
      <c r="Q712" s="15" t="n">
        <f aca="false">O712+P712</f>
        <v>26350.5032692881</v>
      </c>
      <c r="R712" s="15" t="n">
        <f aca="false">Q712-$G$2+$I$2</f>
        <v>19005.3032692881</v>
      </c>
      <c r="S712" s="42" t="n">
        <f aca="false">R712/$K$2</f>
        <v>80.9942606830942</v>
      </c>
      <c r="T712" s="43" t="n">
        <f aca="false">S712-$M$2</f>
        <v>-0.0200158990494259</v>
      </c>
    </row>
    <row r="713" customFormat="false" ht="15" hidden="false" customHeight="false" outlineLevel="0" collapsed="false">
      <c r="A713" s="5" t="n">
        <v>15</v>
      </c>
      <c r="B713" s="25" t="n">
        <f aca="false">IF(T712&gt;0,B712,D712)</f>
        <v>-0.037384033203125</v>
      </c>
      <c r="C713" s="25" t="n">
        <f aca="false">IF(T712&gt;0,D712,C712)</f>
        <v>-0.03729248046875</v>
      </c>
      <c r="D713" s="41" t="n">
        <f aca="false">(B713+C713)/2</f>
        <v>-0.0373382568359375</v>
      </c>
      <c r="E713" s="15" t="n">
        <f aca="false">$C$2*(1+IF(E$3&lt;=$O$2,$D713,$D713-($D713-$I$697)*MIN(E$3-$O$2,$Q$2)/$Q$2))</f>
        <v>6315.06103515625</v>
      </c>
      <c r="F713" s="15" t="n">
        <f aca="false">E713*(1+IF(F$3&lt;=$O$2,$D713,$D713-($D713-$I$697)*MIN(F$3-$O$2,$Q$2)/$Q$2))</f>
        <v>6079.26766429097</v>
      </c>
      <c r="G713" s="15" t="n">
        <f aca="false">F713*(1+IF(G$3&lt;=$O$2,$D713,$D713-($D713-$I$697)*MIN(G$3-$O$2,$Q$2)/$Q$2))</f>
        <v>5852.27840686726</v>
      </c>
      <c r="H713" s="15" t="n">
        <f aca="false">G713*(1+IF(H$3&lt;=$O$2,$D713,$D713-($D713-$I$697)*MIN(H$3-$O$2,$Q$2)/$Q$2))</f>
        <v>5633.76453263624</v>
      </c>
      <c r="I713" s="15" t="n">
        <f aca="false">H713*(1+IF(I$3&lt;=$O$2,$D713,$D713-($D713-$I$697)*MIN(I$3-$O$2,$Q$2)/$Q$2))</f>
        <v>5423.40958556347</v>
      </c>
      <c r="J713" s="15" t="n">
        <f aca="false">I713*(1+IF(J$3&lt;=$O$2,$D713,$D713-($D713-$I$697)*MIN(J$3-$O$2,$Q$2)/$Q$2))</f>
        <v>5302.95237496308</v>
      </c>
      <c r="K713" s="15" t="n">
        <f aca="false">J713*(1+IF(K$3&lt;=$O$2,$D713,$D713-($D713-$I$697)*MIN(K$3-$O$2,$Q$2)/$Q$2))</f>
        <v>5265.39180668845</v>
      </c>
      <c r="L713" s="15" t="n">
        <f aca="false">K713*(1+IF(L$3&lt;=$O$2,$D713,$D713-($D713-$I$697)*MIN(L$3-$O$2,$Q$2)/$Q$2))</f>
        <v>5307.75028975816</v>
      </c>
      <c r="M713" s="15" t="n">
        <f aca="false">L713*(1+IF(M$3&lt;=$O$2,$D713,$D713-($D713-$I$697)*MIN(M$3-$O$2,$Q$2)/$Q$2))</f>
        <v>5430.74332992835</v>
      </c>
      <c r="N713" s="15" t="n">
        <f aca="false">M713*(1+IF(N$3&lt;=$O$2,$D713,$D713-($D713-$I$697)*MIN(N$3-$O$2,$Q$2)/$Q$2))</f>
        <v>5638.7407994646</v>
      </c>
      <c r="O713" s="15" t="n">
        <f aca="false">SUMPRODUCT(E713:N713,1/(1+$F$697)^$E$3:$N$3)*$E$2</f>
        <v>11606.1161402455</v>
      </c>
      <c r="P713" s="15" t="n">
        <f aca="false">N713*$E$2*(1+$I$697)/($F$697-$I$697)/(1+$F$697)^$N$3</f>
        <v>14751.5416805165</v>
      </c>
      <c r="Q713" s="15" t="n">
        <f aca="false">O713+P713</f>
        <v>26357.6578207621</v>
      </c>
      <c r="R713" s="15" t="n">
        <f aca="false">Q713-$G$2+$I$2</f>
        <v>19012.4578207621</v>
      </c>
      <c r="S713" s="42" t="n">
        <f aca="false">R713/$K$2</f>
        <v>81.024750994085</v>
      </c>
      <c r="T713" s="43" t="n">
        <f aca="false">S713-$M$2</f>
        <v>0.0104744119414164</v>
      </c>
    </row>
    <row r="714" customFormat="false" ht="15" hidden="false" customHeight="false" outlineLevel="0" collapsed="false">
      <c r="A714" s="5" t="n">
        <v>16</v>
      </c>
      <c r="B714" s="25" t="n">
        <f aca="false">IF(T713&gt;0,B713,D713)</f>
        <v>-0.037384033203125</v>
      </c>
      <c r="C714" s="25" t="n">
        <f aca="false">IF(T713&gt;0,D713,C713)</f>
        <v>-0.0373382568359375</v>
      </c>
      <c r="D714" s="41" t="n">
        <f aca="false">(B714+C714)/2</f>
        <v>-0.0373611450195313</v>
      </c>
      <c r="E714" s="15" t="n">
        <f aca="false">$C$2*(1+IF(E$3&lt;=$O$2,$D714,$D714-($D714-$I$697)*MIN(E$3-$O$2,$Q$2)/$Q$2))</f>
        <v>6314.91088867188</v>
      </c>
      <c r="F714" s="15" t="n">
        <f aca="false">E714*(1+IF(F$3&lt;=$O$2,$D714,$D714-($D714-$I$697)*MIN(F$3-$O$2,$Q$2)/$Q$2))</f>
        <v>6078.97858717479</v>
      </c>
      <c r="G714" s="15" t="n">
        <f aca="false">F714*(1+IF(G$3&lt;=$O$2,$D714,$D714-($D714-$I$697)*MIN(G$3-$O$2,$Q$2)/$Q$2))</f>
        <v>5851.86098660873</v>
      </c>
      <c r="H714" s="15" t="n">
        <f aca="false">G714*(1+IF(H$3&lt;=$O$2,$D714,$D714-($D714-$I$697)*MIN(H$3-$O$2,$Q$2)/$Q$2))</f>
        <v>5633.2287596539</v>
      </c>
      <c r="I714" s="15" t="n">
        <f aca="false">H714*(1+IF(I$3&lt;=$O$2,$D714,$D714-($D714-$I$697)*MIN(I$3-$O$2,$Q$2)/$Q$2))</f>
        <v>5422.76488303628</v>
      </c>
      <c r="J714" s="15" t="n">
        <f aca="false">I714*(1+IF(J$3&lt;=$O$2,$D714,$D714-($D714-$I$697)*MIN(J$3-$O$2,$Q$2)/$Q$2))</f>
        <v>5302.22269787878</v>
      </c>
      <c r="K714" s="15" t="n">
        <f aca="false">J714*(1+IF(K$3&lt;=$O$2,$D714,$D714-($D714-$I$697)*MIN(K$3-$O$2,$Q$2)/$Q$2))</f>
        <v>5264.59448292551</v>
      </c>
      <c r="L714" s="15" t="n">
        <f aca="false">K714*(1+IF(L$3&lt;=$O$2,$D714,$D714-($D714-$I$697)*MIN(L$3-$O$2,$Q$2)/$Q$2))</f>
        <v>5306.89835296489</v>
      </c>
      <c r="M714" s="15" t="n">
        <f aca="false">L714*(1+IF(M$3&lt;=$O$2,$D714,$D714-($D714-$I$697)*MIN(M$3-$O$2,$Q$2)/$Q$2))</f>
        <v>5429.84735870593</v>
      </c>
      <c r="N714" s="15" t="n">
        <f aca="false">M714*(1+IF(N$3&lt;=$O$2,$D714,$D714-($D714-$I$697)*MIN(N$3-$O$2,$Q$2)/$Q$2))</f>
        <v>5637.81051254437</v>
      </c>
      <c r="O714" s="15" t="n">
        <f aca="false">SUMPRODUCT(E714:N714,1/(1+$F$697)^$E$3:$N$3)*$E$2</f>
        <v>11604.9723596719</v>
      </c>
      <c r="P714" s="15" t="n">
        <f aca="false">N714*$E$2*(1+$I$697)/($F$697-$I$697)/(1+$F$697)^$N$3</f>
        <v>14749.1079516457</v>
      </c>
      <c r="Q714" s="15" t="n">
        <f aca="false">O714+P714</f>
        <v>26354.0803113176</v>
      </c>
      <c r="R714" s="15" t="n">
        <f aca="false">Q714-$G$2+$I$2</f>
        <v>19008.8803113176</v>
      </c>
      <c r="S714" s="42" t="n">
        <f aca="false">R714/$K$2</f>
        <v>81.0095048426066</v>
      </c>
      <c r="T714" s="43" t="n">
        <f aca="false">S714-$M$2</f>
        <v>-0.00477173953703414</v>
      </c>
    </row>
    <row r="715" customFormat="false" ht="15" hidden="false" customHeight="false" outlineLevel="0" collapsed="false">
      <c r="A715" s="5" t="n">
        <v>17</v>
      </c>
      <c r="B715" s="25" t="n">
        <f aca="false">IF(T714&gt;0,B714,D714)</f>
        <v>-0.0373611450195313</v>
      </c>
      <c r="C715" s="25" t="n">
        <f aca="false">IF(T714&gt;0,D714,C714)</f>
        <v>-0.0373382568359375</v>
      </c>
      <c r="D715" s="41" t="n">
        <f aca="false">(B715+C715)/2</f>
        <v>-0.0373497009277344</v>
      </c>
      <c r="E715" s="15" t="n">
        <f aca="false">$C$2*(1+IF(E$3&lt;=$O$2,$D715,$D715-($D715-$I$697)*MIN(E$3-$O$2,$Q$2)/$Q$2))</f>
        <v>6314.98596191406</v>
      </c>
      <c r="F715" s="15" t="n">
        <f aca="false">E715*(1+IF(F$3&lt;=$O$2,$D715,$D715-($D715-$I$697)*MIN(F$3-$O$2,$Q$2)/$Q$2))</f>
        <v>6079.12312487373</v>
      </c>
      <c r="G715" s="15" t="n">
        <f aca="false">F715*(1+IF(G$3&lt;=$O$2,$D715,$D715-($D715-$I$697)*MIN(G$3-$O$2,$Q$2)/$Q$2))</f>
        <v>5852.06969425682</v>
      </c>
      <c r="H715" s="15" t="n">
        <f aca="false">G715*(1+IF(H$3&lt;=$O$2,$D715,$D715-($D715-$I$697)*MIN(H$3-$O$2,$Q$2)/$Q$2))</f>
        <v>5633.49664136807</v>
      </c>
      <c r="I715" s="15" t="n">
        <f aca="false">H715*(1+IF(I$3&lt;=$O$2,$D715,$D715-($D715-$I$697)*MIN(I$3-$O$2,$Q$2)/$Q$2))</f>
        <v>5423.08722663558</v>
      </c>
      <c r="J715" s="15" t="n">
        <f aca="false">I715*(1+IF(J$3&lt;=$O$2,$D715,$D715-($D715-$I$697)*MIN(J$3-$O$2,$Q$2)/$Q$2))</f>
        <v>5302.58752597572</v>
      </c>
      <c r="K715" s="15" t="n">
        <f aca="false">J715*(1+IF(K$3&lt;=$O$2,$D715,$D715-($D715-$I$697)*MIN(K$3-$O$2,$Q$2)/$Q$2))</f>
        <v>5264.99313193068</v>
      </c>
      <c r="L715" s="15" t="n">
        <f aca="false">K715*(1+IF(L$3&lt;=$O$2,$D715,$D715-($D715-$I$697)*MIN(L$3-$O$2,$Q$2)/$Q$2))</f>
        <v>5307.32430655677</v>
      </c>
      <c r="M715" s="15" t="n">
        <f aca="false">L715*(1+IF(M$3&lt;=$O$2,$D715,$D715-($D715-$I$697)*MIN(M$3-$O$2,$Q$2)/$Q$2))</f>
        <v>5430.29532819439</v>
      </c>
      <c r="N715" s="15" t="n">
        <f aca="false">M715*(1+IF(N$3&lt;=$O$2,$D715,$D715-($D715-$I$697)*MIN(N$3-$O$2,$Q$2)/$Q$2))</f>
        <v>5638.27563926423</v>
      </c>
      <c r="O715" s="15" t="n">
        <f aca="false">SUMPRODUCT(E715:N715,1/(1+$F$697)^$E$3:$N$3)*$E$2</f>
        <v>11605.5442353227</v>
      </c>
      <c r="P715" s="15" t="n">
        <f aca="false">N715*$E$2*(1+$I$697)/($F$697-$I$697)/(1+$F$697)^$N$3</f>
        <v>14750.3247722869</v>
      </c>
      <c r="Q715" s="15" t="n">
        <f aca="false">O715+P715</f>
        <v>26355.8690076096</v>
      </c>
      <c r="R715" s="15" t="n">
        <f aca="false">Q715-$G$2+$I$2</f>
        <v>19010.6690076096</v>
      </c>
      <c r="S715" s="42" t="n">
        <f aca="false">R715/$K$2</f>
        <v>81.0171276693355</v>
      </c>
      <c r="T715" s="43" t="n">
        <f aca="false">S715-$M$2</f>
        <v>0.00285108719182858</v>
      </c>
    </row>
    <row r="716" customFormat="false" ht="15" hidden="false" customHeight="false" outlineLevel="0" collapsed="false">
      <c r="A716" s="5" t="n">
        <v>18</v>
      </c>
      <c r="B716" s="25" t="n">
        <f aca="false">IF(T715&gt;0,B715,D715)</f>
        <v>-0.0373611450195313</v>
      </c>
      <c r="C716" s="25" t="n">
        <f aca="false">IF(T715&gt;0,D715,C715)</f>
        <v>-0.0373497009277344</v>
      </c>
      <c r="D716" s="41" t="n">
        <f aca="false">(B716+C716)/2</f>
        <v>-0.0373554229736328</v>
      </c>
      <c r="E716" s="15" t="n">
        <f aca="false">$C$2*(1+IF(E$3&lt;=$O$2,$D716,$D716-($D716-$I$697)*MIN(E$3-$O$2,$Q$2)/$Q$2))</f>
        <v>6314.94842529297</v>
      </c>
      <c r="F716" s="15" t="n">
        <f aca="false">E716*(1+IF(F$3&lt;=$O$2,$D716,$D716-($D716-$I$697)*MIN(F$3-$O$2,$Q$2)/$Q$2))</f>
        <v>6079.05085580947</v>
      </c>
      <c r="G716" s="15" t="n">
        <f aca="false">F716*(1+IF(G$3&lt;=$O$2,$D716,$D716-($D716-$I$697)*MIN(G$3-$O$2,$Q$2)/$Q$2))</f>
        <v>5851.96533981249</v>
      </c>
      <c r="H716" s="15" t="n">
        <f aca="false">G716*(1+IF(H$3&lt;=$O$2,$D716,$D716-($D716-$I$697)*MIN(H$3-$O$2,$Q$2)/$Q$2))</f>
        <v>5633.36269931675</v>
      </c>
      <c r="I716" s="15" t="n">
        <f aca="false">H716*(1+IF(I$3&lt;=$O$2,$D716,$D716-($D716-$I$697)*MIN(I$3-$O$2,$Q$2)/$Q$2))</f>
        <v>5422.92605291989</v>
      </c>
      <c r="J716" s="15" t="n">
        <f aca="false">I716*(1+IF(J$3&lt;=$O$2,$D716,$D716-($D716-$I$697)*MIN(J$3-$O$2,$Q$2)/$Q$2))</f>
        <v>5302.40510931601</v>
      </c>
      <c r="K716" s="15" t="n">
        <f aca="false">J716*(1+IF(K$3&lt;=$O$2,$D716,$D716-($D716-$I$697)*MIN(K$3-$O$2,$Q$2)/$Q$2))</f>
        <v>5264.7938042091</v>
      </c>
      <c r="L716" s="15" t="n">
        <f aca="false">K716*(1+IF(L$3&lt;=$O$2,$D716,$D716-($D716-$I$697)*MIN(L$3-$O$2,$Q$2)/$Q$2))</f>
        <v>5307.11132605975</v>
      </c>
      <c r="M716" s="15" t="n">
        <f aca="false">L716*(1+IF(M$3&lt;=$O$2,$D716,$D716-($D716-$I$697)*MIN(M$3-$O$2,$Q$2)/$Q$2))</f>
        <v>5430.0713394196</v>
      </c>
      <c r="N716" s="15" t="n">
        <f aca="false">M716*(1+IF(N$3&lt;=$O$2,$D716,$D716-($D716-$I$697)*MIN(N$3-$O$2,$Q$2)/$Q$2))</f>
        <v>5638.04307171937</v>
      </c>
      <c r="O716" s="15" t="n">
        <f aca="false">SUMPRODUCT(E716:N716,1/(1+$F$697)^$E$3:$N$3)*$E$2</f>
        <v>11605.2582938384</v>
      </c>
      <c r="P716" s="15" t="n">
        <f aca="false">N716*$E$2*(1+$I$697)/($F$697-$I$697)/(1+$F$697)^$N$3</f>
        <v>14749.7163510181</v>
      </c>
      <c r="Q716" s="15" t="n">
        <f aca="false">O716+P716</f>
        <v>26354.9746448565</v>
      </c>
      <c r="R716" s="15" t="n">
        <f aca="false">Q716-$G$2+$I$2</f>
        <v>19009.7746448565</v>
      </c>
      <c r="S716" s="42" t="n">
        <f aca="false">R716/$K$2</f>
        <v>81.0133161937203</v>
      </c>
      <c r="T716" s="43" t="n">
        <f aca="false">S716-$M$2</f>
        <v>-0.000960388423351333</v>
      </c>
    </row>
    <row r="717" customFormat="false" ht="15" hidden="false" customHeight="false" outlineLevel="0" collapsed="false">
      <c r="A717" s="5" t="n">
        <v>19</v>
      </c>
      <c r="B717" s="25" t="n">
        <f aca="false">IF(T716&gt;0,B716,D716)</f>
        <v>-0.0373554229736328</v>
      </c>
      <c r="C717" s="25" t="n">
        <f aca="false">IF(T716&gt;0,D716,C716)</f>
        <v>-0.0373497009277344</v>
      </c>
      <c r="D717" s="41" t="n">
        <f aca="false">(B717+C717)/2</f>
        <v>-0.0373525619506836</v>
      </c>
      <c r="E717" s="15" t="n">
        <f aca="false">$C$2*(1+IF(E$3&lt;=$O$2,$D717,$D717-($D717-$I$697)*MIN(E$3-$O$2,$Q$2)/$Q$2))</f>
        <v>6314.96719360352</v>
      </c>
      <c r="F717" s="15" t="n">
        <f aca="false">E717*(1+IF(F$3&lt;=$O$2,$D717,$D717-($D717-$I$697)*MIN(F$3-$O$2,$Q$2)/$Q$2))</f>
        <v>6079.08699028791</v>
      </c>
      <c r="G717" s="15" t="n">
        <f aca="false">F717*(1+IF(G$3&lt;=$O$2,$D717,$D717-($D717-$I$697)*MIN(G$3-$O$2,$Q$2)/$Q$2))</f>
        <v>5852.01751687958</v>
      </c>
      <c r="H717" s="15" t="n">
        <f aca="false">G717*(1+IF(H$3&lt;=$O$2,$D717,$D717-($D717-$I$697)*MIN(H$3-$O$2,$Q$2)/$Q$2))</f>
        <v>5633.42967004385</v>
      </c>
      <c r="I717" s="15" t="n">
        <f aca="false">H717*(1+IF(I$3&lt;=$O$2,$D717,$D717-($D717-$I$697)*MIN(I$3-$O$2,$Q$2)/$Q$2))</f>
        <v>5423.00663929872</v>
      </c>
      <c r="J717" s="15" t="n">
        <f aca="false">I717*(1+IF(J$3&lt;=$O$2,$D717,$D717-($D717-$I$697)*MIN(J$3-$O$2,$Q$2)/$Q$2))</f>
        <v>5302.49631699305</v>
      </c>
      <c r="K717" s="15" t="n">
        <f aca="false">J717*(1+IF(K$3&lt;=$O$2,$D717,$D717-($D717-$I$697)*MIN(K$3-$O$2,$Q$2)/$Q$2))</f>
        <v>5264.89346726513</v>
      </c>
      <c r="L717" s="15" t="n">
        <f aca="false">K717*(1+IF(L$3&lt;=$O$2,$D717,$D717-($D717-$I$697)*MIN(L$3-$O$2,$Q$2)/$Q$2))</f>
        <v>5307.21781538298</v>
      </c>
      <c r="M717" s="15" t="n">
        <f aca="false">L717*(1+IF(M$3&lt;=$O$2,$D717,$D717-($D717-$I$697)*MIN(M$3-$O$2,$Q$2)/$Q$2))</f>
        <v>5430.18333279934</v>
      </c>
      <c r="N717" s="15" t="n">
        <f aca="false">M717*(1+IF(N$3&lt;=$O$2,$D717,$D717-($D717-$I$697)*MIN(N$3-$O$2,$Q$2)/$Q$2))</f>
        <v>5638.15935444555</v>
      </c>
      <c r="O717" s="15" t="n">
        <f aca="false">SUMPRODUCT(E717:N717,1/(1+$F$697)^$E$3:$N$3)*$E$2</f>
        <v>11605.4012636658</v>
      </c>
      <c r="P717" s="15" t="n">
        <f aca="false">N717*$E$2*(1+$I$697)/($F$697-$I$697)/(1+$F$697)^$N$3</f>
        <v>14750.0205589154</v>
      </c>
      <c r="Q717" s="15" t="n">
        <f aca="false">O717+P717</f>
        <v>26355.4218225812</v>
      </c>
      <c r="R717" s="15" t="n">
        <f aca="false">Q717-$G$2+$I$2</f>
        <v>19010.2218225812</v>
      </c>
      <c r="S717" s="42" t="n">
        <f aca="false">R717/$K$2</f>
        <v>81.015221915965</v>
      </c>
      <c r="T717" s="43" t="n">
        <f aca="false">S717-$M$2</f>
        <v>0.000945333821334771</v>
      </c>
    </row>
    <row r="718" customFormat="false" ht="15" hidden="false" customHeight="false" outlineLevel="0" collapsed="false">
      <c r="A718" s="5" t="n">
        <v>20</v>
      </c>
      <c r="B718" s="25" t="n">
        <f aca="false">IF(T717&gt;0,B717,D717)</f>
        <v>-0.0373554229736328</v>
      </c>
      <c r="C718" s="25" t="n">
        <f aca="false">IF(T717&gt;0,D717,C717)</f>
        <v>-0.0373525619506836</v>
      </c>
      <c r="D718" s="41" t="n">
        <f aca="false">(B718+C718)/2</f>
        <v>-0.0373539924621582</v>
      </c>
      <c r="E718" s="15" t="n">
        <f aca="false">$C$2*(1+IF(E$3&lt;=$O$2,$D718,$D718-($D718-$I$697)*MIN(E$3-$O$2,$Q$2)/$Q$2))</f>
        <v>6314.95780944824</v>
      </c>
      <c r="F718" s="15" t="n">
        <f aca="false">E718*(1+IF(F$3&lt;=$O$2,$D718,$D718-($D718-$I$697)*MIN(F$3-$O$2,$Q$2)/$Q$2))</f>
        <v>6079.06892303527</v>
      </c>
      <c r="G718" s="15" t="n">
        <f aca="false">F718*(1+IF(G$3&lt;=$O$2,$D718,$D718-($D718-$I$697)*MIN(G$3-$O$2,$Q$2)/$Q$2))</f>
        <v>5851.99142830727</v>
      </c>
      <c r="H718" s="15" t="n">
        <f aca="false">G718*(1+IF(H$3&lt;=$O$2,$D718,$D718-($D718-$I$697)*MIN(H$3-$O$2,$Q$2)/$Q$2))</f>
        <v>5633.39618460566</v>
      </c>
      <c r="I718" s="15" t="n">
        <f aca="false">H718*(1+IF(I$3&lt;=$O$2,$D718,$D718-($D718-$I$697)*MIN(I$3-$O$2,$Q$2)/$Q$2))</f>
        <v>5422.96634598955</v>
      </c>
      <c r="J718" s="15" t="n">
        <f aca="false">I718*(1+IF(J$3&lt;=$O$2,$D718,$D718-($D718-$I$697)*MIN(J$3-$O$2,$Q$2)/$Q$2))</f>
        <v>5302.45071299133</v>
      </c>
      <c r="K718" s="15" t="n">
        <f aca="false">J718*(1+IF(K$3&lt;=$O$2,$D718,$D718-($D718-$I$697)*MIN(K$3-$O$2,$Q$2)/$Q$2))</f>
        <v>5264.84363553593</v>
      </c>
      <c r="L718" s="15" t="n">
        <f aca="false">K718*(1+IF(L$3&lt;=$O$2,$D718,$D718-($D718-$I$697)*MIN(L$3-$O$2,$Q$2)/$Q$2))</f>
        <v>5307.16457049004</v>
      </c>
      <c r="M718" s="15" t="n">
        <f aca="false">L718*(1+IF(M$3&lt;=$O$2,$D718,$D718-($D718-$I$697)*MIN(M$3-$O$2,$Q$2)/$Q$2))</f>
        <v>5430.12733585755</v>
      </c>
      <c r="N718" s="15" t="n">
        <f aca="false">M718*(1+IF(N$3&lt;=$O$2,$D718,$D718-($D718-$I$697)*MIN(N$3-$O$2,$Q$2)/$Q$2))</f>
        <v>5638.1012128209</v>
      </c>
      <c r="O718" s="15" t="n">
        <f aca="false">SUMPRODUCT(E718:N718,1/(1+$F$697)^$E$3:$N$3)*$E$2</f>
        <v>11605.3297785234</v>
      </c>
      <c r="P718" s="15" t="n">
        <f aca="false">N718*$E$2*(1+$I$697)/($F$697-$I$697)/(1+$F$697)^$N$3</f>
        <v>14749.8684542824</v>
      </c>
      <c r="Q718" s="15" t="n">
        <f aca="false">O718+P718</f>
        <v>26355.1982328059</v>
      </c>
      <c r="R718" s="15" t="n">
        <f aca="false">Q718-$G$2+$I$2</f>
        <v>19009.9982328059</v>
      </c>
      <c r="S718" s="42" t="n">
        <f aca="false">R718/$K$2</f>
        <v>81.0142690509519</v>
      </c>
      <c r="T718" s="43" t="n">
        <f aca="false">S718-$M$2</f>
        <v>-7.53119175556094E-006</v>
      </c>
    </row>
    <row r="719" customFormat="false" ht="15" hidden="false" customHeight="false" outlineLevel="0" collapsed="false">
      <c r="A719" s="5" t="n">
        <v>21</v>
      </c>
      <c r="B719" s="25" t="n">
        <f aca="false">IF(T718&gt;0,B718,D718)</f>
        <v>-0.0373539924621582</v>
      </c>
      <c r="C719" s="25" t="n">
        <f aca="false">IF(T718&gt;0,D718,C718)</f>
        <v>-0.0373525619506836</v>
      </c>
      <c r="D719" s="41" t="n">
        <f aca="false">(B719+C719)/2</f>
        <v>-0.0373532772064209</v>
      </c>
      <c r="E719" s="15" t="n">
        <f aca="false">$C$2*(1+IF(E$3&lt;=$O$2,$D719,$D719-($D719-$I$697)*MIN(E$3-$O$2,$Q$2)/$Q$2))</f>
        <v>6314.96250152588</v>
      </c>
      <c r="F719" s="15" t="n">
        <f aca="false">E719*(1+IF(F$3&lt;=$O$2,$D719,$D719-($D719-$I$697)*MIN(F$3-$O$2,$Q$2)/$Q$2))</f>
        <v>6079.07795665823</v>
      </c>
      <c r="G719" s="15" t="n">
        <f aca="false">F719*(1+IF(G$3&lt;=$O$2,$D719,$D719-($D719-$I$697)*MIN(G$3-$O$2,$Q$2)/$Q$2))</f>
        <v>5852.00447258373</v>
      </c>
      <c r="H719" s="15" t="n">
        <f aca="false">G719*(1+IF(H$3&lt;=$O$2,$D719,$D719-($D719-$I$697)*MIN(H$3-$O$2,$Q$2)/$Q$2))</f>
        <v>5633.4129273061</v>
      </c>
      <c r="I719" s="15" t="n">
        <f aca="false">H719*(1+IF(I$3&lt;=$O$2,$D719,$D719-($D719-$I$697)*MIN(I$3-$O$2,$Q$2)/$Q$2))</f>
        <v>5422.9864926142</v>
      </c>
      <c r="J719" s="15" t="n">
        <f aca="false">I719*(1+IF(J$3&lt;=$O$2,$D719,$D719-($D719-$I$697)*MIN(J$3-$O$2,$Q$2)/$Q$2))</f>
        <v>5302.47351495139</v>
      </c>
      <c r="K719" s="15" t="n">
        <f aca="false">J719*(1+IF(K$3&lt;=$O$2,$D719,$D719-($D719-$I$697)*MIN(K$3-$O$2,$Q$2)/$Q$2))</f>
        <v>5264.86855135023</v>
      </c>
      <c r="L719" s="15" t="n">
        <f aca="false">K719*(1+IF(L$3&lt;=$O$2,$D719,$D719-($D719-$I$697)*MIN(L$3-$O$2,$Q$2)/$Q$2))</f>
        <v>5307.19119287868</v>
      </c>
      <c r="M719" s="15" t="n">
        <f aca="false">L719*(1+IF(M$3&lt;=$O$2,$D719,$D719-($D719-$I$697)*MIN(M$3-$O$2,$Q$2)/$Q$2))</f>
        <v>5430.15533426547</v>
      </c>
      <c r="N719" s="15" t="n">
        <f aca="false">M719*(1+IF(N$3&lt;=$O$2,$D719,$D719-($D719-$I$697)*MIN(N$3-$O$2,$Q$2)/$Q$2))</f>
        <v>5638.13028356783</v>
      </c>
      <c r="O719" s="15" t="n">
        <f aca="false">SUMPRODUCT(E719:N719,1/(1+$F$697)^$E$3:$N$3)*$E$2</f>
        <v>11605.3655210375</v>
      </c>
      <c r="P719" s="15" t="n">
        <f aca="false">N719*$E$2*(1+$I$697)/($F$697-$I$697)/(1+$F$697)^$N$3</f>
        <v>14749.9445064278</v>
      </c>
      <c r="Q719" s="15" t="n">
        <f aca="false">O719+P719</f>
        <v>26355.3100274653</v>
      </c>
      <c r="R719" s="15" t="n">
        <f aca="false">Q719-$G$2+$I$2</f>
        <v>19010.1100274653</v>
      </c>
      <c r="S719" s="42" t="n">
        <f aca="false">R719/$K$2</f>
        <v>81.0147454824857</v>
      </c>
      <c r="T719" s="43" t="n">
        <f aca="false">S719-$M$2</f>
        <v>0.000468900342113443</v>
      </c>
    </row>
    <row r="720" customFormat="false" ht="15" hidden="false" customHeight="false" outlineLevel="0" collapsed="false">
      <c r="A720" s="5" t="n">
        <v>22</v>
      </c>
      <c r="B720" s="25" t="n">
        <f aca="false">IF(T719&gt;0,B719,D719)</f>
        <v>-0.0373539924621582</v>
      </c>
      <c r="C720" s="25" t="n">
        <f aca="false">IF(T719&gt;0,D719,C719)</f>
        <v>-0.0373532772064209</v>
      </c>
      <c r="D720" s="41" t="n">
        <f aca="false">(B720+C720)/2</f>
        <v>-0.0373536348342896</v>
      </c>
      <c r="E720" s="15" t="n">
        <f aca="false">$C$2*(1+IF(E$3&lt;=$O$2,$D720,$D720-($D720-$I$697)*MIN(E$3-$O$2,$Q$2)/$Q$2))</f>
        <v>6314.96015548706</v>
      </c>
      <c r="F720" s="15" t="n">
        <f aca="false">E720*(1+IF(F$3&lt;=$O$2,$D720,$D720-($D720-$I$697)*MIN(F$3-$O$2,$Q$2)/$Q$2))</f>
        <v>6079.07343984591</v>
      </c>
      <c r="G720" s="15" t="n">
        <f aca="false">F720*(1+IF(G$3&lt;=$O$2,$D720,$D720-($D720-$I$697)*MIN(G$3-$O$2,$Q$2)/$Q$2))</f>
        <v>5851.99795044308</v>
      </c>
      <c r="H720" s="15" t="n">
        <f aca="false">G720*(1+IF(H$3&lt;=$O$2,$D720,$D720-($D720-$I$697)*MIN(H$3-$O$2,$Q$2)/$Q$2))</f>
        <v>5633.40455595121</v>
      </c>
      <c r="I720" s="15" t="n">
        <f aca="false">H720*(1+IF(I$3&lt;=$O$2,$D720,$D720-($D720-$I$697)*MIN(I$3-$O$2,$Q$2)/$Q$2))</f>
        <v>5422.97641929439</v>
      </c>
      <c r="J720" s="15" t="n">
        <f aca="false">I720*(1+IF(J$3&lt;=$O$2,$D720,$D720-($D720-$I$697)*MIN(J$3-$O$2,$Q$2)/$Q$2))</f>
        <v>5302.46211396116</v>
      </c>
      <c r="K720" s="15" t="n">
        <f aca="false">J720*(1+IF(K$3&lt;=$O$2,$D720,$D720-($D720-$I$697)*MIN(K$3-$O$2,$Q$2)/$Q$2))</f>
        <v>5264.8560934305</v>
      </c>
      <c r="L720" s="15" t="n">
        <f aca="false">K720*(1+IF(L$3&lt;=$O$2,$D720,$D720-($D720-$I$697)*MIN(L$3-$O$2,$Q$2)/$Q$2))</f>
        <v>5307.1778816699</v>
      </c>
      <c r="M720" s="15" t="n">
        <f aca="false">L720*(1+IF(M$3&lt;=$O$2,$D720,$D720-($D720-$I$697)*MIN(M$3-$O$2,$Q$2)/$Q$2))</f>
        <v>5430.14133504577</v>
      </c>
      <c r="N720" s="15" t="n">
        <f aca="false">M720*(1+IF(N$3&lt;=$O$2,$D720,$D720-($D720-$I$697)*MIN(N$3-$O$2,$Q$2)/$Q$2))</f>
        <v>5638.11574817802</v>
      </c>
      <c r="O720" s="15" t="n">
        <f aca="false">SUMPRODUCT(E720:N720,1/(1+$F$697)^$E$3:$N$3)*$E$2</f>
        <v>11605.3476497661</v>
      </c>
      <c r="P720" s="15" t="n">
        <f aca="false">N720*$E$2*(1+$I$697)/($F$697-$I$697)/(1+$F$697)^$N$3</f>
        <v>14749.9064803124</v>
      </c>
      <c r="Q720" s="15" t="n">
        <f aca="false">O720+P720</f>
        <v>26355.2541300785</v>
      </c>
      <c r="R720" s="15" t="n">
        <f aca="false">Q720-$G$2+$I$2</f>
        <v>19010.0541300785</v>
      </c>
      <c r="S720" s="42" t="n">
        <f aca="false">R720/$K$2</f>
        <v>81.0145072664756</v>
      </c>
      <c r="T720" s="43" t="n">
        <f aca="false">S720-$M$2</f>
        <v>0.000230684332009901</v>
      </c>
    </row>
    <row r="721" customFormat="false" ht="15" hidden="false" customHeight="false" outlineLevel="0" collapsed="false">
      <c r="A721" s="5" t="n">
        <v>23</v>
      </c>
      <c r="B721" s="25" t="n">
        <f aca="false">IF(T720&gt;0,B720,D720)</f>
        <v>-0.0373539924621582</v>
      </c>
      <c r="C721" s="25" t="n">
        <f aca="false">IF(T720&gt;0,D720,C720)</f>
        <v>-0.0373536348342896</v>
      </c>
      <c r="D721" s="41" t="n">
        <f aca="false">(B721+C721)/2</f>
        <v>-0.0373538136482239</v>
      </c>
      <c r="E721" s="15" t="n">
        <f aca="false">$C$2*(1+IF(E$3&lt;=$O$2,$D721,$D721-($D721-$I$697)*MIN(E$3-$O$2,$Q$2)/$Q$2))</f>
        <v>6314.95898246765</v>
      </c>
      <c r="F721" s="15" t="n">
        <f aca="false">E721*(1+IF(F$3&lt;=$O$2,$D721,$D721-($D721-$I$697)*MIN(F$3-$O$2,$Q$2)/$Q$2))</f>
        <v>6079.07118144038</v>
      </c>
      <c r="G721" s="15" t="n">
        <f aca="false">F721*(1+IF(G$3&lt;=$O$2,$D721,$D721-($D721-$I$697)*MIN(G$3-$O$2,$Q$2)/$Q$2))</f>
        <v>5851.99468937457</v>
      </c>
      <c r="H721" s="15" t="n">
        <f aca="false">G721*(1+IF(H$3&lt;=$O$2,$D721,$D721-($D721-$I$697)*MIN(H$3-$O$2,$Q$2)/$Q$2))</f>
        <v>5633.40037027727</v>
      </c>
      <c r="I721" s="15" t="n">
        <f aca="false">H721*(1+IF(I$3&lt;=$O$2,$D721,$D721-($D721-$I$697)*MIN(I$3-$O$2,$Q$2)/$Q$2))</f>
        <v>5422.9713826401</v>
      </c>
      <c r="J721" s="15" t="n">
        <f aca="false">I721*(1+IF(J$3&lt;=$O$2,$D721,$D721-($D721-$I$697)*MIN(J$3-$O$2,$Q$2)/$Q$2))</f>
        <v>5302.45641347369</v>
      </c>
      <c r="K721" s="15" t="n">
        <f aca="false">J721*(1+IF(K$3&lt;=$O$2,$D721,$D721-($D721-$I$697)*MIN(K$3-$O$2,$Q$2)/$Q$2))</f>
        <v>5264.84986448007</v>
      </c>
      <c r="L721" s="15" t="n">
        <f aca="false">K721*(1+IF(L$3&lt;=$O$2,$D721,$D721-($D721-$I$697)*MIN(L$3-$O$2,$Q$2)/$Q$2))</f>
        <v>5307.17122607636</v>
      </c>
      <c r="M721" s="15" t="n">
        <f aca="false">L721*(1+IF(M$3&lt;=$O$2,$D721,$D721-($D721-$I$697)*MIN(M$3-$O$2,$Q$2)/$Q$2))</f>
        <v>5430.13433544772</v>
      </c>
      <c r="N721" s="15" t="n">
        <f aca="false">M721*(1+IF(N$3&lt;=$O$2,$D721,$D721-($D721-$I$697)*MIN(N$3-$O$2,$Q$2)/$Q$2))</f>
        <v>5638.10848049537</v>
      </c>
      <c r="O721" s="15" t="n">
        <f aca="false">SUMPRODUCT(E721:N721,1/(1+$F$697)^$E$3:$N$3)*$E$2</f>
        <v>11605.3387141412</v>
      </c>
      <c r="P721" s="15" t="n">
        <f aca="false">N721*$E$2*(1+$I$697)/($F$697-$I$697)/(1+$F$697)^$N$3</f>
        <v>14749.8874672867</v>
      </c>
      <c r="Q721" s="15" t="n">
        <f aca="false">O721+P721</f>
        <v>26355.2261814279</v>
      </c>
      <c r="R721" s="15" t="n">
        <f aca="false">Q721-$G$2+$I$2</f>
        <v>19010.0261814279</v>
      </c>
      <c r="S721" s="42" t="n">
        <f aca="false">R721/$K$2</f>
        <v>81.014388158653</v>
      </c>
      <c r="T721" s="43" t="n">
        <f aca="false">S721-$M$2</f>
        <v>0.00011157650935445</v>
      </c>
    </row>
    <row r="722" customFormat="false" ht="15" hidden="false" customHeight="false" outlineLevel="0" collapsed="false">
      <c r="A722" s="5" t="n">
        <v>24</v>
      </c>
      <c r="B722" s="25" t="n">
        <f aca="false">IF(T721&gt;0,B721,D721)</f>
        <v>-0.0373539924621582</v>
      </c>
      <c r="C722" s="25" t="n">
        <f aca="false">IF(T721&gt;0,D721,C721)</f>
        <v>-0.0373538136482239</v>
      </c>
      <c r="D722" s="41" t="n">
        <f aca="false">(B722+C722)/2</f>
        <v>-0.037353903055191</v>
      </c>
      <c r="E722" s="15" t="n">
        <f aca="false">$C$2*(1+IF(E$3&lt;=$O$2,$D722,$D722-($D722-$I$697)*MIN(E$3-$O$2,$Q$2)/$Q$2))</f>
        <v>6314.95839595795</v>
      </c>
      <c r="F722" s="15" t="n">
        <f aca="false">E722*(1+IF(F$3&lt;=$O$2,$D722,$D722-($D722-$I$697)*MIN(F$3-$O$2,$Q$2)/$Q$2))</f>
        <v>6079.07005223777</v>
      </c>
      <c r="G722" s="15" t="n">
        <f aca="false">F722*(1+IF(G$3&lt;=$O$2,$D722,$D722-($D722-$I$697)*MIN(G$3-$O$2,$Q$2)/$Q$2))</f>
        <v>5851.99305884076</v>
      </c>
      <c r="H722" s="15" t="n">
        <f aca="false">G722*(1+IF(H$3&lt;=$O$2,$D722,$D722-($D722-$I$697)*MIN(H$3-$O$2,$Q$2)/$Q$2))</f>
        <v>5633.39827744118</v>
      </c>
      <c r="I722" s="15" t="n">
        <f aca="false">H722*(1+IF(I$3&lt;=$O$2,$D722,$D722-($D722-$I$697)*MIN(I$3-$O$2,$Q$2)/$Q$2))</f>
        <v>5422.96886431436</v>
      </c>
      <c r="J722" s="15" t="n">
        <f aca="false">I722*(1+IF(J$3&lt;=$O$2,$D722,$D722-($D722-$I$697)*MIN(J$3-$O$2,$Q$2)/$Q$2))</f>
        <v>5302.45356323187</v>
      </c>
      <c r="K722" s="15" t="n">
        <f aca="false">J722*(1+IF(K$3&lt;=$O$2,$D722,$D722-($D722-$I$697)*MIN(K$3-$O$2,$Q$2)/$Q$2))</f>
        <v>5264.84675000722</v>
      </c>
      <c r="L722" s="15" t="n">
        <f aca="false">K722*(1+IF(L$3&lt;=$O$2,$D722,$D722-($D722-$I$697)*MIN(L$3-$O$2,$Q$2)/$Q$2))</f>
        <v>5307.1678982823</v>
      </c>
      <c r="M722" s="15" t="n">
        <f aca="false">L722*(1+IF(M$3&lt;=$O$2,$D722,$D722-($D722-$I$697)*MIN(M$3-$O$2,$Q$2)/$Q$2))</f>
        <v>5430.13083565166</v>
      </c>
      <c r="N722" s="15" t="n">
        <f aca="false">M722*(1+IF(N$3&lt;=$O$2,$D722,$D722-($D722-$I$697)*MIN(N$3-$O$2,$Q$2)/$Q$2))</f>
        <v>5638.10484665711</v>
      </c>
      <c r="O722" s="15" t="n">
        <f aca="false">SUMPRODUCT(E722:N722,1/(1+$F$697)^$E$3:$N$3)*$E$2</f>
        <v>11605.3342463314</v>
      </c>
      <c r="P722" s="15" t="n">
        <f aca="false">N722*$E$2*(1+$I$697)/($F$697-$I$697)/(1+$F$697)^$N$3</f>
        <v>14749.8779607819</v>
      </c>
      <c r="Q722" s="15" t="n">
        <f aca="false">O722+P722</f>
        <v>26355.2122071133</v>
      </c>
      <c r="R722" s="15" t="n">
        <f aca="false">Q722-$G$2+$I$2</f>
        <v>19010.0122071133</v>
      </c>
      <c r="S722" s="42" t="n">
        <f aca="false">R722/$K$2</f>
        <v>81.0143286047872</v>
      </c>
      <c r="T722" s="43" t="n">
        <f aca="false">S722-$M$2</f>
        <v>5.20226436151461E-005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13" min="3" style="0" width="12"/>
  </cols>
  <sheetData>
    <row r="2" customFormat="false" ht="19.7" hidden="false" customHeight="false" outlineLevel="0" collapsed="false">
      <c r="B2" s="1" t="s">
        <v>208</v>
      </c>
    </row>
    <row r="3" customFormat="false" ht="15" hidden="false" customHeight="false" outlineLevel="0" collapsed="false">
      <c r="B3" s="2" t="s">
        <v>209</v>
      </c>
    </row>
    <row r="5" customFormat="false" ht="15" hidden="false" customHeight="false" outlineLevel="0" collapsed="false">
      <c r="B5" s="3" t="s">
        <v>210</v>
      </c>
    </row>
    <row r="6" customFormat="false" ht="15" hidden="false" customHeight="false" outlineLevel="0" collapsed="false">
      <c r="B6" s="28" t="s">
        <v>159</v>
      </c>
      <c r="C6" s="44" t="n">
        <v>1</v>
      </c>
      <c r="D6" s="44" t="n">
        <v>2</v>
      </c>
      <c r="E6" s="44" t="n">
        <v>3</v>
      </c>
      <c r="F6" s="44" t="n">
        <v>4</v>
      </c>
      <c r="G6" s="44" t="n">
        <v>5</v>
      </c>
      <c r="H6" s="44" t="n">
        <v>6</v>
      </c>
      <c r="I6" s="44" t="n">
        <v>7</v>
      </c>
      <c r="J6" s="44" t="n">
        <v>8</v>
      </c>
      <c r="K6" s="44" t="n">
        <v>9</v>
      </c>
      <c r="L6" s="44" t="n">
        <v>10</v>
      </c>
    </row>
    <row r="7" customFormat="false" ht="15" hidden="false" customHeight="false" outlineLevel="0" collapsed="false">
      <c r="B7" s="5" t="s">
        <v>211</v>
      </c>
      <c r="C7" s="23" t="n">
        <f aca="false">IF(C$6&lt;=Inputs!$C$46,Solver!$W$7,Solver!$W$7-(Solver!$W$7-Inputs!$C$37)*MIN(C$6-Inputs!$C$46,Inputs!$C$47)/Inputs!$C$47)</f>
        <v>-0.04511938632686</v>
      </c>
      <c r="D7" s="23" t="n">
        <f aca="false">IF(D$6&lt;=Inputs!$C$46,Solver!$W$7,Solver!$W$7-(Solver!$W$7-Inputs!$C$37)*MIN(D$6-Inputs!$C$46,Inputs!$C$47)/Inputs!$C$47)</f>
        <v>-0.04511938632686</v>
      </c>
      <c r="E7" s="23" t="n">
        <f aca="false">IF(E$6&lt;=Inputs!$C$46,Solver!$W$7,Solver!$W$7-(Solver!$W$7-Inputs!$C$37)*MIN(E$6-Inputs!$C$46,Inputs!$C$47)/Inputs!$C$47)</f>
        <v>-0.04511938632686</v>
      </c>
      <c r="F7" s="23" t="n">
        <f aca="false">IF(F$6&lt;=Inputs!$C$46,Solver!$W$7,Solver!$W$7-(Solver!$W$7-Inputs!$C$37)*MIN(F$6-Inputs!$C$46,Inputs!$C$47)/Inputs!$C$47)</f>
        <v>-0.04511938632686</v>
      </c>
      <c r="G7" s="23" t="n">
        <f aca="false">IF(G$6&lt;=Inputs!$C$46,Solver!$W$7,Solver!$W$7-(Solver!$W$7-Inputs!$C$37)*MIN(G$6-Inputs!$C$46,Inputs!$C$47)/Inputs!$C$47)</f>
        <v>-0.04511938632686</v>
      </c>
      <c r="H7" s="23" t="n">
        <f aca="false">IF(H$6&lt;=Inputs!$C$46,Solver!$W$7,Solver!$W$7-(Solver!$W$7-Inputs!$C$37)*MIN(H$6-Inputs!$C$46,Inputs!$C$47)/Inputs!$C$47)</f>
        <v>-0.030435509061488</v>
      </c>
      <c r="I7" s="23" t="n">
        <f aca="false">IF(I$6&lt;=Inputs!$C$46,Solver!$W$7,Solver!$W$7-(Solver!$W$7-Inputs!$C$37)*MIN(I$6-Inputs!$C$46,Inputs!$C$47)/Inputs!$C$47)</f>
        <v>-0.015751631796116</v>
      </c>
      <c r="J7" s="23" t="n">
        <f aca="false">IF(J$6&lt;=Inputs!$C$46,Solver!$W$7,Solver!$W$7-(Solver!$W$7-Inputs!$C$37)*MIN(J$6-Inputs!$C$46,Inputs!$C$47)/Inputs!$C$47)</f>
        <v>-0.00106775453074398</v>
      </c>
      <c r="K7" s="23" t="n">
        <f aca="false">IF(K$6&lt;=Inputs!$C$46,Solver!$W$7,Solver!$W$7-(Solver!$W$7-Inputs!$C$37)*MIN(K$6-Inputs!$C$46,Inputs!$C$47)/Inputs!$C$47)</f>
        <v>0.013616122734628</v>
      </c>
      <c r="L7" s="23" t="n">
        <f aca="false">IF(L$6&lt;=Inputs!$C$46,Solver!$W$7,Solver!$W$7-(Solver!$W$7-Inputs!$C$37)*MIN(L$6-Inputs!$C$46,Inputs!$C$47)/Inputs!$C$47)</f>
        <v>0.0283</v>
      </c>
    </row>
    <row r="8" customFormat="false" ht="15" hidden="false" customHeight="false" outlineLevel="0" collapsed="false">
      <c r="B8" s="5" t="s">
        <v>103</v>
      </c>
      <c r="C8" s="15" t="n">
        <f aca="false">Inputs!$C$12*(1+C7)</f>
        <v>6264.0168256958</v>
      </c>
      <c r="D8" s="15" t="n">
        <f aca="false">C8*(1+D7)</f>
        <v>5981.38823057928</v>
      </c>
      <c r="E8" s="15" t="n">
        <f aca="false">D8*(1+E7)</f>
        <v>5711.51166423284</v>
      </c>
      <c r="F8" s="15" t="n">
        <f aca="false">E8*(1+F7)</f>
        <v>5453.81176294395</v>
      </c>
      <c r="G8" s="15" t="n">
        <f aca="false">F8*(1+G7)</f>
        <v>5207.73912305771</v>
      </c>
      <c r="H8" s="15" t="n">
        <f aca="false">G8*(1+H7)</f>
        <v>5049.23893178802</v>
      </c>
      <c r="I8" s="15" t="n">
        <f aca="false">H8*(1+I7)</f>
        <v>4969.70517928388</v>
      </c>
      <c r="J8" s="15" t="n">
        <f aca="false">I8*(1+J7)</f>
        <v>4964.39875406224</v>
      </c>
      <c r="K8" s="15" t="n">
        <f aca="false">J8*(1+K7)</f>
        <v>5031.99461680119</v>
      </c>
      <c r="L8" s="15" t="n">
        <f aca="false">K8*(1+L7)</f>
        <v>5174.40006445666</v>
      </c>
    </row>
    <row r="9" customFormat="false" ht="15" hidden="false" customHeight="false" outlineLevel="0" collapsed="false">
      <c r="B9" s="5" t="s">
        <v>58</v>
      </c>
      <c r="C9" s="15" t="n">
        <f aca="false">C8*Inputs!$C$23</f>
        <v>2000.47488564523</v>
      </c>
      <c r="D9" s="15" t="n">
        <f aca="false">D8*Inputs!$C$23</f>
        <v>1910.21468644262</v>
      </c>
      <c r="E9" s="15" t="n">
        <f aca="false">E8*Inputs!$C$23</f>
        <v>1824.02697203777</v>
      </c>
      <c r="F9" s="15" t="n">
        <f aca="false">F8*Inputs!$C$23</f>
        <v>1741.72799441579</v>
      </c>
      <c r="G9" s="15" t="n">
        <f aca="false">G8*Inputs!$C$23</f>
        <v>1663.14229615944</v>
      </c>
      <c r="H9" s="15" t="n">
        <f aca="false">H8*Inputs!$C$23</f>
        <v>1612.52371373413</v>
      </c>
      <c r="I9" s="15" t="n">
        <f aca="false">I8*Inputs!$C$23</f>
        <v>1587.12383393289</v>
      </c>
      <c r="J9" s="15" t="n">
        <f aca="false">J8*Inputs!$C$23</f>
        <v>1585.42917526835</v>
      </c>
      <c r="K9" s="15" t="n">
        <f aca="false">K8*Inputs!$C$23</f>
        <v>1607.01657350587</v>
      </c>
      <c r="L9" s="15" t="n">
        <f aca="false">L8*Inputs!$C$23</f>
        <v>1652.49514253608</v>
      </c>
    </row>
    <row r="10" customFormat="false" ht="15" hidden="false" customHeight="false" outlineLevel="0" collapsed="false">
      <c r="B10" s="5" t="s">
        <v>212</v>
      </c>
      <c r="C10" s="45" t="n">
        <f aca="false">1/(1+WACC!$C$35)^C$6</f>
        <v>0.924866779084889</v>
      </c>
      <c r="D10" s="45" t="n">
        <f aca="false">1/(1+WACC!$C$35)^D$6</f>
        <v>0.855378559054858</v>
      </c>
      <c r="E10" s="45" t="n">
        <f aca="false">1/(1+WACC!$C$35)^E$6</f>
        <v>0.79111121281134</v>
      </c>
      <c r="F10" s="45" t="n">
        <f aca="false">1/(1+WACC!$C$35)^F$6</f>
        <v>0.731672479290764</v>
      </c>
      <c r="G10" s="45" t="n">
        <f aca="false">1/(1+WACC!$C$35)^G$6</f>
        <v>0.676699569266705</v>
      </c>
      <c r="H10" s="45" t="n">
        <f aca="false">1/(1+WACC!$C$35)^H$6</f>
        <v>0.625856951035829</v>
      </c>
      <c r="I10" s="45" t="n">
        <f aca="false">1/(1+WACC!$C$35)^I$6</f>
        <v>0.578834302472396</v>
      </c>
      <c r="J10" s="45" t="n">
        <f aca="false">1/(1+WACC!$C$35)^J$6</f>
        <v>0.535344616951494</v>
      </c>
      <c r="K10" s="45" t="n">
        <f aca="false">1/(1+WACC!$C$35)^K$6</f>
        <v>0.495122451580362</v>
      </c>
      <c r="L10" s="45" t="n">
        <f aca="false">1/(1+WACC!$C$35)^L$6</f>
        <v>0.457922307045744</v>
      </c>
    </row>
    <row r="11" customFormat="false" ht="15" hidden="false" customHeight="false" outlineLevel="0" collapsed="false">
      <c r="B11" s="5" t="s">
        <v>213</v>
      </c>
      <c r="C11" s="15" t="n">
        <f aca="false">C9*C10</f>
        <v>1850.17276412691</v>
      </c>
      <c r="D11" s="15" t="n">
        <f aca="false">D9*D10</f>
        <v>1633.95668597472</v>
      </c>
      <c r="E11" s="15" t="n">
        <f aca="false">E9*E10</f>
        <v>1443.0081900494</v>
      </c>
      <c r="F11" s="15" t="n">
        <f aca="false">F9*F10</f>
        <v>1274.37443992433</v>
      </c>
      <c r="G11" s="15" t="n">
        <f aca="false">G9*G10</f>
        <v>1125.44767544033</v>
      </c>
      <c r="H11" s="15" t="n">
        <f aca="false">H9*H10</f>
        <v>1009.20917495062</v>
      </c>
      <c r="I11" s="15" t="n">
        <f aca="false">I9*I10</f>
        <v>918.681717351858</v>
      </c>
      <c r="J11" s="15" t="n">
        <f aca="false">J9*J10</f>
        <v>848.750974537759</v>
      </c>
      <c r="K11" s="15" t="n">
        <f aca="false">K9*K10</f>
        <v>795.669985604498</v>
      </c>
      <c r="L11" s="15" t="n">
        <f aca="false">L9*L10</f>
        <v>756.714388052008</v>
      </c>
    </row>
    <row r="13" customFormat="false" ht="15" hidden="false" customHeight="false" outlineLevel="0" collapsed="false">
      <c r="B13" s="5" t="s">
        <v>214</v>
      </c>
      <c r="C13" s="15" t="n">
        <f aca="false">SUM(C11:L11)</f>
        <v>11655.9859960124</v>
      </c>
    </row>
    <row r="14" customFormat="false" ht="15" hidden="false" customHeight="false" outlineLevel="0" collapsed="false">
      <c r="B14" s="5" t="s">
        <v>215</v>
      </c>
      <c r="C14" s="15" t="n">
        <f aca="false">L9*(1+Inputs!$C$37)/(WACC!$C$35-Inputs!$C$37)</f>
        <v>32099.7989790348</v>
      </c>
    </row>
    <row r="15" customFormat="false" ht="15" hidden="false" customHeight="false" outlineLevel="0" collapsed="false">
      <c r="B15" s="5" t="s">
        <v>216</v>
      </c>
      <c r="C15" s="15" t="n">
        <f aca="false">C14*L10</f>
        <v>14699.2140041842</v>
      </c>
    </row>
    <row r="16" customFormat="false" ht="15" hidden="false" customHeight="false" outlineLevel="0" collapsed="false">
      <c r="B16" s="7" t="s">
        <v>217</v>
      </c>
      <c r="C16" s="15" t="n">
        <f aca="false">C13+C15</f>
        <v>26355.2000001966</v>
      </c>
    </row>
    <row r="17" customFormat="false" ht="15" hidden="false" customHeight="false" outlineLevel="0" collapsed="false">
      <c r="B17" s="5" t="s">
        <v>218</v>
      </c>
      <c r="C17" s="16" t="n">
        <f aca="false">-Inputs!$C$27</f>
        <v>-7780</v>
      </c>
    </row>
    <row r="18" customFormat="false" ht="15" hidden="false" customHeight="false" outlineLevel="0" collapsed="false">
      <c r="B18" s="5" t="s">
        <v>219</v>
      </c>
      <c r="C18" s="16" t="n">
        <f aca="false">Inputs!$C$28</f>
        <v>434.8</v>
      </c>
    </row>
    <row r="19" customFormat="false" ht="15" hidden="false" customHeight="false" outlineLevel="0" collapsed="false">
      <c r="B19" s="5" t="s">
        <v>220</v>
      </c>
      <c r="C19" s="15" t="n">
        <f aca="false">SUM(C16:C18)</f>
        <v>19010.0000001966</v>
      </c>
    </row>
    <row r="20" customFormat="false" ht="15" hidden="false" customHeight="false" outlineLevel="0" collapsed="false">
      <c r="B20" s="5" t="s">
        <v>221</v>
      </c>
      <c r="C20" s="36" t="n">
        <f aca="false">Inputs!$C$7</f>
        <v>234.65</v>
      </c>
    </row>
    <row r="21" customFormat="false" ht="15" hidden="false" customHeight="false" outlineLevel="0" collapsed="false">
      <c r="B21" s="7" t="s">
        <v>222</v>
      </c>
      <c r="C21" s="46" t="n">
        <f aca="false">C19/C20</f>
        <v>81.0142765829816</v>
      </c>
    </row>
    <row r="22" customFormat="false" ht="15" hidden="false" customHeight="false" outlineLevel="0" collapsed="false">
      <c r="B22" s="5" t="s">
        <v>6</v>
      </c>
      <c r="C22" s="6" t="n">
        <f aca="false">Inputs!$C$6</f>
        <v>81.0142765821436</v>
      </c>
    </row>
    <row r="23" customFormat="false" ht="15" hidden="false" customHeight="false" outlineLevel="0" collapsed="false">
      <c r="B23" s="5" t="s">
        <v>223</v>
      </c>
      <c r="C23" s="23" t="n">
        <f aca="false">C21/C22-1</f>
        <v>1.03432817866178E-011</v>
      </c>
    </row>
    <row r="24" customFormat="false" ht="15" hidden="false" customHeight="false" outlineLevel="0" collapsed="false">
      <c r="B24" s="5" t="s">
        <v>224</v>
      </c>
      <c r="C24" s="23" t="n">
        <f aca="false">C15/C16</f>
        <v>0.557734868415893</v>
      </c>
    </row>
    <row r="25" customFormat="false" ht="15" hidden="false" customHeight="false" outlineLevel="0" collapsed="false">
      <c r="B25" s="3" t="s">
        <v>225</v>
      </c>
    </row>
    <row r="26" customFormat="false" ht="15" hidden="false" customHeight="false" outlineLevel="0" collapsed="false">
      <c r="B26" s="28" t="s">
        <v>159</v>
      </c>
      <c r="C26" s="44" t="n">
        <v>1</v>
      </c>
      <c r="D26" s="44" t="n">
        <v>2</v>
      </c>
      <c r="E26" s="44" t="n">
        <v>3</v>
      </c>
      <c r="F26" s="44" t="n">
        <v>4</v>
      </c>
      <c r="G26" s="44" t="n">
        <v>5</v>
      </c>
      <c r="H26" s="44" t="n">
        <v>6</v>
      </c>
      <c r="I26" s="44" t="n">
        <v>7</v>
      </c>
      <c r="J26" s="44" t="n">
        <v>8</v>
      </c>
      <c r="K26" s="44" t="n">
        <v>9</v>
      </c>
      <c r="L26" s="44" t="n">
        <v>10</v>
      </c>
    </row>
    <row r="27" customFormat="false" ht="15" hidden="false" customHeight="false" outlineLevel="0" collapsed="false">
      <c r="B27" s="5" t="s">
        <v>211</v>
      </c>
      <c r="C27" s="23" t="n">
        <f aca="false">IF(C$26&lt;=Inputs!$C$46,Inputs!$C$45,Inputs!$C$45-(Inputs!$C$45-Inputs!$C$37)*MIN(C$26-Inputs!$C$46,Inputs!$C$47)/Inputs!$C$47)</f>
        <v>0.0583268975896453</v>
      </c>
      <c r="D27" s="23" t="n">
        <f aca="false">IF(D$26&lt;=Inputs!$C$46,Inputs!$C$45,Inputs!$C$45-(Inputs!$C$45-Inputs!$C$37)*MIN(D$26-Inputs!$C$46,Inputs!$C$47)/Inputs!$C$47)</f>
        <v>0.0583268975896453</v>
      </c>
      <c r="E27" s="23" t="n">
        <f aca="false">IF(E$26&lt;=Inputs!$C$46,Inputs!$C$45,Inputs!$C$45-(Inputs!$C$45-Inputs!$C$37)*MIN(E$26-Inputs!$C$46,Inputs!$C$47)/Inputs!$C$47)</f>
        <v>0.0583268975896453</v>
      </c>
      <c r="F27" s="23" t="n">
        <f aca="false">IF(F$26&lt;=Inputs!$C$46,Inputs!$C$45,Inputs!$C$45-(Inputs!$C$45-Inputs!$C$37)*MIN(F$26-Inputs!$C$46,Inputs!$C$47)/Inputs!$C$47)</f>
        <v>0.0583268975896453</v>
      </c>
      <c r="G27" s="23" t="n">
        <f aca="false">IF(G$26&lt;=Inputs!$C$46,Inputs!$C$45,Inputs!$C$45-(Inputs!$C$45-Inputs!$C$37)*MIN(G$26-Inputs!$C$46,Inputs!$C$47)/Inputs!$C$47)</f>
        <v>0.0583268975896453</v>
      </c>
      <c r="H27" s="23" t="n">
        <f aca="false">IF(H$26&lt;=Inputs!$C$46,Inputs!$C$45,Inputs!$C$45-(Inputs!$C$45-Inputs!$C$37)*MIN(H$26-Inputs!$C$46,Inputs!$C$47)/Inputs!$C$47)</f>
        <v>0.0523215180717162</v>
      </c>
      <c r="I27" s="23" t="n">
        <f aca="false">IF(I$26&lt;=Inputs!$C$46,Inputs!$C$45,Inputs!$C$45-(Inputs!$C$45-Inputs!$C$37)*MIN(I$26-Inputs!$C$46,Inputs!$C$47)/Inputs!$C$47)</f>
        <v>0.0463161385537872</v>
      </c>
      <c r="J27" s="23" t="n">
        <f aca="false">IF(J$26&lt;=Inputs!$C$46,Inputs!$C$45,Inputs!$C$45-(Inputs!$C$45-Inputs!$C$37)*MIN(J$26-Inputs!$C$46,Inputs!$C$47)/Inputs!$C$47)</f>
        <v>0.0403107590358581</v>
      </c>
      <c r="K27" s="23" t="n">
        <f aca="false">IF(K$26&lt;=Inputs!$C$46,Inputs!$C$45,Inputs!$C$45-(Inputs!$C$45-Inputs!$C$37)*MIN(K$26-Inputs!$C$46,Inputs!$C$47)/Inputs!$C$47)</f>
        <v>0.0343053795179291</v>
      </c>
      <c r="L27" s="23" t="n">
        <f aca="false">IF(L$26&lt;=Inputs!$C$46,Inputs!$C$45,Inputs!$C$45-(Inputs!$C$45-Inputs!$C$37)*MIN(L$26-Inputs!$C$46,Inputs!$C$47)/Inputs!$C$47)</f>
        <v>0.0283</v>
      </c>
    </row>
    <row r="28" customFormat="false" ht="15" hidden="false" customHeight="false" outlineLevel="0" collapsed="false">
      <c r="B28" s="5" t="s">
        <v>103</v>
      </c>
      <c r="C28" s="15" t="n">
        <f aca="false">Inputs!$C$12*(1+C27)</f>
        <v>6942.62444818807</v>
      </c>
      <c r="D28" s="15" t="n">
        <f aca="false">C28*(1+D27)</f>
        <v>7347.56619338091</v>
      </c>
      <c r="E28" s="15" t="n">
        <f aca="false">D28*(1+E27)</f>
        <v>7776.12693427538</v>
      </c>
      <c r="F28" s="15" t="n">
        <f aca="false">E28*(1+F27)</f>
        <v>8229.68429361494</v>
      </c>
      <c r="G28" s="15" t="n">
        <f aca="false">F28*(1+G27)</f>
        <v>8709.69624660373</v>
      </c>
      <c r="H28" s="15" t="n">
        <f aca="false">G28*(1+H27)</f>
        <v>9165.40077616957</v>
      </c>
      <c r="I28" s="15" t="n">
        <f aca="false">H28*(1+I27)</f>
        <v>9589.90674841963</v>
      </c>
      <c r="J28" s="15" t="n">
        <f aca="false">I28*(1+J27)</f>
        <v>9976.48316853152</v>
      </c>
      <c r="K28" s="15" t="n">
        <f aca="false">J28*(1+K27)</f>
        <v>10318.7302098822</v>
      </c>
      <c r="L28" s="15" t="n">
        <f aca="false">K28*(1+L27)</f>
        <v>10610.7502748219</v>
      </c>
    </row>
    <row r="29" customFormat="false" ht="15" hidden="false" customHeight="false" outlineLevel="0" collapsed="false">
      <c r="B29" s="5" t="s">
        <v>58</v>
      </c>
      <c r="C29" s="15" t="n">
        <f aca="false">C28*Inputs!$C$23</f>
        <v>2217.19485045031</v>
      </c>
      <c r="D29" s="15" t="n">
        <f aca="false">D28*Inputs!$C$23</f>
        <v>2346.51694742881</v>
      </c>
      <c r="E29" s="15" t="n">
        <f aca="false">E28*Inputs!$C$23</f>
        <v>2483.38200111386</v>
      </c>
      <c r="F29" s="15" t="n">
        <f aca="false">F28*Inputs!$C$23</f>
        <v>2628.2299687688</v>
      </c>
      <c r="G29" s="15" t="n">
        <f aca="false">G28*Inputs!$C$23</f>
        <v>2781.52646899921</v>
      </c>
      <c r="H29" s="15" t="n">
        <f aca="false">H28*Inputs!$C$23</f>
        <v>2927.06015641391</v>
      </c>
      <c r="I29" s="15" t="n">
        <f aca="false">I28*Inputs!$C$23</f>
        <v>3062.63028017365</v>
      </c>
      <c r="J29" s="15" t="n">
        <f aca="false">J28*Inputs!$C$23</f>
        <v>3186.08723141365</v>
      </c>
      <c r="K29" s="15" t="n">
        <f aca="false">K28*Inputs!$C$23</f>
        <v>3295.38716306452</v>
      </c>
      <c r="L29" s="15" t="n">
        <f aca="false">L28*Inputs!$C$23</f>
        <v>3388.64661977925</v>
      </c>
    </row>
    <row r="30" customFormat="false" ht="15" hidden="false" customHeight="false" outlineLevel="0" collapsed="false">
      <c r="B30" s="5" t="s">
        <v>212</v>
      </c>
      <c r="C30" s="45" t="n">
        <f aca="false">1/(1+WACC!$C$35)^C$26</f>
        <v>0.924866779084889</v>
      </c>
      <c r="D30" s="45" t="n">
        <f aca="false">1/(1+WACC!$C$35)^D$26</f>
        <v>0.855378559054858</v>
      </c>
      <c r="E30" s="45" t="n">
        <f aca="false">1/(1+WACC!$C$35)^E$26</f>
        <v>0.79111121281134</v>
      </c>
      <c r="F30" s="45" t="n">
        <f aca="false">1/(1+WACC!$C$35)^F$26</f>
        <v>0.731672479290764</v>
      </c>
      <c r="G30" s="45" t="n">
        <f aca="false">1/(1+WACC!$C$35)^G$26</f>
        <v>0.676699569266705</v>
      </c>
      <c r="H30" s="45" t="n">
        <f aca="false">1/(1+WACC!$C$35)^H$26</f>
        <v>0.625856951035829</v>
      </c>
      <c r="I30" s="45" t="n">
        <f aca="false">1/(1+WACC!$C$35)^I$26</f>
        <v>0.578834302472396</v>
      </c>
      <c r="J30" s="45" t="n">
        <f aca="false">1/(1+WACC!$C$35)^J$26</f>
        <v>0.535344616951494</v>
      </c>
      <c r="K30" s="45" t="n">
        <f aca="false">1/(1+WACC!$C$35)^K$26</f>
        <v>0.495122451580362</v>
      </c>
      <c r="L30" s="45" t="n">
        <f aca="false">1/(1+WACC!$C$35)^L$26</f>
        <v>0.457922307045744</v>
      </c>
    </row>
    <row r="31" customFormat="false" ht="15" hidden="false" customHeight="false" outlineLevel="0" collapsed="false">
      <c r="B31" s="5" t="s">
        <v>213</v>
      </c>
      <c r="C31" s="15" t="n">
        <f aca="false">C29*C30</f>
        <v>2050.60985993958</v>
      </c>
      <c r="D31" s="15" t="n">
        <f aca="false">D29*D30</f>
        <v>2007.16028528946</v>
      </c>
      <c r="E31" s="15" t="n">
        <f aca="false">E29*E30</f>
        <v>1964.63134677504</v>
      </c>
      <c r="F31" s="15" t="n">
        <f aca="false">F29*F30</f>
        <v>1923.00353739535</v>
      </c>
      <c r="G31" s="15" t="n">
        <f aca="false">G29*G30</f>
        <v>1882.2577634757</v>
      </c>
      <c r="H31" s="15" t="n">
        <f aca="false">H29*H30</f>
        <v>1831.92094499167</v>
      </c>
      <c r="I31" s="15" t="n">
        <f aca="false">I29*I30</f>
        <v>1772.75546195515</v>
      </c>
      <c r="J31" s="15" t="n">
        <f aca="false">J29*J30</f>
        <v>1705.65464847519</v>
      </c>
      <c r="K31" s="15" t="n">
        <f aca="false">K29*K30</f>
        <v>1631.62017108296</v>
      </c>
      <c r="L31" s="15" t="n">
        <f aca="false">L29*L30</f>
        <v>1551.73687789207</v>
      </c>
    </row>
    <row r="33" customFormat="false" ht="15" hidden="false" customHeight="false" outlineLevel="0" collapsed="false">
      <c r="B33" s="5" t="s">
        <v>214</v>
      </c>
      <c r="C33" s="15" t="n">
        <f aca="false">SUM(C31:L31)</f>
        <v>18321.3508972722</v>
      </c>
    </row>
    <row r="34" customFormat="false" ht="15" hidden="false" customHeight="false" outlineLevel="0" collapsed="false">
      <c r="B34" s="5" t="s">
        <v>215</v>
      </c>
      <c r="C34" s="15" t="n">
        <f aca="false">L29*(1+Inputs!$C$37)/(WACC!$C$35-Inputs!$C$37)</f>
        <v>65824.62635198</v>
      </c>
    </row>
    <row r="35" customFormat="false" ht="15" hidden="false" customHeight="false" outlineLevel="0" collapsed="false">
      <c r="B35" s="5" t="s">
        <v>216</v>
      </c>
      <c r="C35" s="15" t="n">
        <f aca="false">C34*L30</f>
        <v>30142.5647595227</v>
      </c>
    </row>
    <row r="36" customFormat="false" ht="15" hidden="false" customHeight="false" outlineLevel="0" collapsed="false">
      <c r="B36" s="7" t="s">
        <v>217</v>
      </c>
      <c r="C36" s="15" t="n">
        <f aca="false">C33+C35</f>
        <v>48463.9156567949</v>
      </c>
    </row>
    <row r="37" customFormat="false" ht="15" hidden="false" customHeight="false" outlineLevel="0" collapsed="false">
      <c r="B37" s="5" t="s">
        <v>218</v>
      </c>
      <c r="C37" s="16" t="n">
        <f aca="false">-Inputs!$C$27</f>
        <v>-7780</v>
      </c>
    </row>
    <row r="38" customFormat="false" ht="15" hidden="false" customHeight="false" outlineLevel="0" collapsed="false">
      <c r="B38" s="5" t="s">
        <v>219</v>
      </c>
      <c r="C38" s="16" t="n">
        <f aca="false">Inputs!$C$28</f>
        <v>434.8</v>
      </c>
    </row>
    <row r="39" customFormat="false" ht="15" hidden="false" customHeight="false" outlineLevel="0" collapsed="false">
      <c r="B39" s="5" t="s">
        <v>220</v>
      </c>
      <c r="C39" s="15" t="n">
        <f aca="false">SUM(C36:C38)</f>
        <v>41118.7156567949</v>
      </c>
    </row>
    <row r="40" customFormat="false" ht="15" hidden="false" customHeight="false" outlineLevel="0" collapsed="false">
      <c r="B40" s="5" t="s">
        <v>221</v>
      </c>
      <c r="C40" s="36" t="n">
        <f aca="false">Inputs!$C$7</f>
        <v>234.65</v>
      </c>
    </row>
    <row r="41" customFormat="false" ht="15" hidden="false" customHeight="false" outlineLevel="0" collapsed="false">
      <c r="B41" s="7" t="s">
        <v>222</v>
      </c>
      <c r="C41" s="46" t="n">
        <f aca="false">C39/C40</f>
        <v>175.234245287854</v>
      </c>
    </row>
    <row r="42" customFormat="false" ht="15" hidden="false" customHeight="false" outlineLevel="0" collapsed="false">
      <c r="B42" s="5" t="s">
        <v>6</v>
      </c>
      <c r="C42" s="6" t="n">
        <f aca="false">Inputs!$C$6</f>
        <v>81.0142765821436</v>
      </c>
    </row>
    <row r="43" customFormat="false" ht="15" hidden="false" customHeight="false" outlineLevel="0" collapsed="false">
      <c r="B43" s="5" t="s">
        <v>223</v>
      </c>
      <c r="C43" s="23" t="n">
        <f aca="false">C41/C42-1</f>
        <v>1.16300450588085</v>
      </c>
    </row>
    <row r="44" customFormat="false" ht="15" hidden="false" customHeight="false" outlineLevel="0" collapsed="false">
      <c r="B44" s="5" t="s">
        <v>224</v>
      </c>
      <c r="C44" s="23" t="n">
        <f aca="false">C35/C36</f>
        <v>0.621958922448244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60"/>
  </cols>
  <sheetData>
    <row r="2" customFormat="false" ht="19.7" hidden="false" customHeight="false" outlineLevel="0" collapsed="false">
      <c r="B2" s="1" t="s">
        <v>226</v>
      </c>
    </row>
    <row r="3" customFormat="false" ht="15" hidden="false" customHeight="false" outlineLevel="0" collapsed="false">
      <c r="B3" s="2" t="s">
        <v>227</v>
      </c>
    </row>
    <row r="5" customFormat="false" ht="15" hidden="false" customHeight="false" outlineLevel="0" collapsed="false">
      <c r="B5" s="5" t="s">
        <v>228</v>
      </c>
      <c r="C5" s="24" t="n">
        <v>0.005</v>
      </c>
      <c r="D5" s="5" t="s">
        <v>229</v>
      </c>
      <c r="F5" s="24" t="n">
        <v>0.005</v>
      </c>
    </row>
    <row r="6" customFormat="false" ht="15" hidden="false" customHeight="false" outlineLevel="0" collapsed="false">
      <c r="B6" s="5" t="s">
        <v>230</v>
      </c>
      <c r="C6" s="24" t="n">
        <v>0.02</v>
      </c>
    </row>
    <row r="8" customFormat="false" ht="15" hidden="false" customHeight="false" outlineLevel="0" collapsed="false">
      <c r="B8" s="3" t="s">
        <v>231</v>
      </c>
    </row>
    <row r="9" customFormat="false" ht="15" hidden="false" customHeight="false" outlineLevel="0" collapsed="false">
      <c r="C9" s="47" t="n">
        <f aca="false">Inputs!$C$37+(0-2)*$F$5</f>
        <v>0.0183</v>
      </c>
      <c r="D9" s="47" t="n">
        <f aca="false">Inputs!$C$37+(1-2)*$F$5</f>
        <v>0.0233</v>
      </c>
      <c r="E9" s="47" t="n">
        <f aca="false">Inputs!$C$37+(2-2)*$F$5</f>
        <v>0.0283</v>
      </c>
      <c r="F9" s="47" t="n">
        <f aca="false">Inputs!$C$37+(3-2)*$F$5</f>
        <v>0.0333</v>
      </c>
      <c r="G9" s="47" t="n">
        <f aca="false">Inputs!$C$37+(4-2)*$F$5</f>
        <v>0.0383</v>
      </c>
    </row>
    <row r="10" customFormat="false" ht="15" hidden="false" customHeight="false" outlineLevel="0" collapsed="false">
      <c r="B10" s="47" t="n">
        <f aca="false">WACC!$C$35+(0-2)*$C$5</f>
        <v>0.0712368036285737</v>
      </c>
      <c r="C10" s="9" t="n">
        <f aca="false">Solver!$D$74</f>
        <v>-0.0528946220874786</v>
      </c>
      <c r="D10" s="9" t="n">
        <f aca="false">Solver!$D$101</f>
        <v>-0.064170628786087</v>
      </c>
      <c r="E10" s="9" t="n">
        <f aca="false">Solver!$D$128</f>
        <v>-0.0766802728176117</v>
      </c>
      <c r="F10" s="9" t="n">
        <f aca="false">Solver!$D$155</f>
        <v>-0.0907153785228729</v>
      </c>
      <c r="G10" s="9" t="n">
        <f aca="false">Solver!$D$182</f>
        <v>-0.106687933206558</v>
      </c>
      <c r="I10" s="19" t="s">
        <v>232</v>
      </c>
    </row>
    <row r="11" customFormat="false" ht="15" hidden="false" customHeight="false" outlineLevel="0" collapsed="false">
      <c r="B11" s="47" t="n">
        <f aca="false">WACC!$C$35+(1-2)*$C$5</f>
        <v>0.0762368036285737</v>
      </c>
      <c r="C11" s="9" t="n">
        <f aca="false">Solver!$D$209</f>
        <v>-0.0386996567249298</v>
      </c>
      <c r="D11" s="9" t="n">
        <f aca="false">Solver!$D$236</f>
        <v>-0.0490057766437531</v>
      </c>
      <c r="E11" s="9" t="n">
        <f aca="false">Solver!$D$263</f>
        <v>-0.0603343546390533</v>
      </c>
      <c r="F11" s="9" t="n">
        <f aca="false">Solver!$D$290</f>
        <v>-0.072901576757431</v>
      </c>
      <c r="G11" s="9" t="n">
        <f aca="false">Solver!$D$317</f>
        <v>-0.0870008766651154</v>
      </c>
    </row>
    <row r="12" customFormat="false" ht="15" hidden="false" customHeight="false" outlineLevel="0" collapsed="false">
      <c r="B12" s="47" t="n">
        <f aca="false">WACC!$C$35+(2-2)*$C$5</f>
        <v>0.0812368036285737</v>
      </c>
      <c r="C12" s="9" t="n">
        <f aca="false">Solver!$D$344</f>
        <v>-0.0252735912799835</v>
      </c>
      <c r="D12" s="9" t="n">
        <f aca="false">Solver!$D$371</f>
        <v>-0.0347653925418854</v>
      </c>
      <c r="E12" s="8" t="n">
        <f aca="false">Solver!$D$398</f>
        <v>-0.045119434595108</v>
      </c>
      <c r="F12" s="9" t="n">
        <f aca="false">Solver!$D$425</f>
        <v>-0.0565004050731659</v>
      </c>
      <c r="G12" s="9" t="n">
        <f aca="false">Solver!$D$452</f>
        <v>-0.0691252052783966</v>
      </c>
    </row>
    <row r="13" customFormat="false" ht="15" hidden="false" customHeight="false" outlineLevel="0" collapsed="false">
      <c r="B13" s="47" t="n">
        <f aca="false">WACC!$C$35+(3-2)*$C$5</f>
        <v>0.0862368036285737</v>
      </c>
      <c r="C13" s="9" t="n">
        <f aca="false">Solver!$D$479</f>
        <v>-0.0124989449977875</v>
      </c>
      <c r="D13" s="9" t="n">
        <f aca="false">Solver!$D$506</f>
        <v>-0.0212974846363068</v>
      </c>
      <c r="E13" s="9" t="n">
        <f aca="false">Solver!$D$533</f>
        <v>-0.0308334529399872</v>
      </c>
      <c r="F13" s="9" t="n">
        <f aca="false">Solver!$D$560</f>
        <v>-0.0412354171276093</v>
      </c>
      <c r="G13" s="9" t="n">
        <f aca="false">Solver!$D$587</f>
        <v>-0.0526687800884247</v>
      </c>
    </row>
    <row r="14" customFormat="false" ht="15" hidden="false" customHeight="false" outlineLevel="0" collapsed="false">
      <c r="B14" s="47" t="n">
        <f aca="false">WACC!$C$35+(4-2)*$C$5</f>
        <v>0.0912368036285737</v>
      </c>
      <c r="C14" s="9" t="n">
        <f aca="false">Solver!$D$614</f>
        <v>-0.000283271074295044</v>
      </c>
      <c r="D14" s="9" t="n">
        <f aca="false">Solver!$D$641</f>
        <v>-0.00848421454429627</v>
      </c>
      <c r="E14" s="9" t="n">
        <f aca="false">Solver!$D$668</f>
        <v>-0.0173237025737762</v>
      </c>
      <c r="F14" s="9" t="n">
        <f aca="false">Solver!$D$695</f>
        <v>-0.0269040167331696</v>
      </c>
      <c r="G14" s="9" t="n">
        <f aca="false">Solver!$D$722</f>
        <v>-0.037353903055191</v>
      </c>
    </row>
    <row r="17" customFormat="false" ht="15" hidden="false" customHeight="false" outlineLevel="0" collapsed="false">
      <c r="B17" s="3" t="s">
        <v>233</v>
      </c>
    </row>
    <row r="18" customFormat="false" ht="15" hidden="false" customHeight="false" outlineLevel="0" collapsed="false">
      <c r="C18" s="48" t="n">
        <f aca="false">Inputs!$C$45+(0-2)*$C$6</f>
        <v>0.0183268975896453</v>
      </c>
      <c r="D18" s="48" t="n">
        <f aca="false">Inputs!$C$45+(1-2)*$C$6</f>
        <v>0.0383268975896453</v>
      </c>
      <c r="E18" s="48" t="n">
        <f aca="false">Inputs!$C$45+(2-2)*$C$6</f>
        <v>0.0583268975896453</v>
      </c>
      <c r="F18" s="48" t="n">
        <f aca="false">Inputs!$C$45+(3-2)*$C$6</f>
        <v>0.0783268975896453</v>
      </c>
      <c r="G18" s="48" t="n">
        <f aca="false">Inputs!$C$45+(4-2)*$C$6</f>
        <v>0.0983268975896453</v>
      </c>
    </row>
    <row r="19" customFormat="false" ht="15" hidden="false" customHeight="false" outlineLevel="0" collapsed="false">
      <c r="B19" s="47" t="n">
        <f aca="false">WACC!$C$35+(0-2)*$C$5</f>
        <v>0.0712368036285737</v>
      </c>
      <c r="C19" s="42" t="n">
        <f aca="false">(SUMPRODUCT($C28:$L28,1/(1+$B19)^$C$27:$L$27)*Inputs!$C$23+$L28*Inputs!$C$23*(1+Inputs!$C$37)/($B19-Inputs!$C$37)/(1+$B19)^$L$27-Inputs!$C$27+Inputs!$C$28)/Inputs!$C$7</f>
        <v>170.052832149871</v>
      </c>
      <c r="D19" s="42" t="n">
        <f aca="false">(SUMPRODUCT($C29:$L29,1/(1+$B19)^$C$27:$L$27)*Inputs!$C$23+$L29*Inputs!$C$23*(1+Inputs!$C$37)/($B19-Inputs!$C$37)/(1+$B19)^$L$27-Inputs!$C$27+Inputs!$C$28)/Inputs!$C$7</f>
        <v>195.773525616355</v>
      </c>
      <c r="E19" s="42" t="n">
        <f aca="false">(SUMPRODUCT($C30:$L30,1/(1+$B19)^$C$27:$L$27)*Inputs!$C$23+$L30*Inputs!$C$23*(1+Inputs!$C$37)/($B19-Inputs!$C$37)/(1+$B19)^$L$27-Inputs!$C$27+Inputs!$C$28)/Inputs!$C$7</f>
        <v>224.510294322492</v>
      </c>
      <c r="F19" s="42" t="n">
        <f aca="false">(SUMPRODUCT($C31:$L31,1/(1+$B19)^$C$27:$L$27)*Inputs!$C$23+$L31*Inputs!$C$23*(1+Inputs!$C$37)/($B19-Inputs!$C$37)/(1+$B19)^$L$27-Inputs!$C$27+Inputs!$C$28)/Inputs!$C$7</f>
        <v>256.569937271894</v>
      </c>
      <c r="G19" s="42" t="n">
        <f aca="false">(SUMPRODUCT($C32:$L32,1/(1+$B19)^$C$27:$L$27)*Inputs!$C$23+$L32*Inputs!$C$23*(1+Inputs!$C$37)/($B19-Inputs!$C$37)/(1+$B19)^$L$27-Inputs!$C$27+Inputs!$C$28)/Inputs!$C$7</f>
        <v>292.285253142293</v>
      </c>
      <c r="I19" s="19" t="s">
        <v>234</v>
      </c>
    </row>
    <row r="20" customFormat="false" ht="15" hidden="false" customHeight="false" outlineLevel="0" collapsed="false">
      <c r="B20" s="47" t="n">
        <f aca="false">WACC!$C$35+(1-2)*$C$5</f>
        <v>0.0762368036285737</v>
      </c>
      <c r="C20" s="42" t="n">
        <f aca="false">(SUMPRODUCT($C28:$L28,1/(1+$B20)^$C$27:$L$27)*Inputs!$C$23+$L28*Inputs!$C$23*(1+Inputs!$C$37)/($B20-Inputs!$C$37)/(1+$B20)^$L$27-Inputs!$C$27+Inputs!$C$28)/Inputs!$C$7</f>
        <v>149.199757852829</v>
      </c>
      <c r="D20" s="42" t="n">
        <f aca="false">(SUMPRODUCT($C29:$L29,1/(1+$B20)^$C$27:$L$27)*Inputs!$C$23+$L29*Inputs!$C$23*(1+Inputs!$C$37)/($B20-Inputs!$C$37)/(1+$B20)^$L$27-Inputs!$C$27+Inputs!$C$28)/Inputs!$C$7</f>
        <v>171.925241418224</v>
      </c>
      <c r="E20" s="42" t="n">
        <f aca="false">(SUMPRODUCT($C30:$L30,1/(1+$B20)^$C$27:$L$27)*Inputs!$C$23+$L30*Inputs!$C$23*(1+Inputs!$C$37)/($B20-Inputs!$C$37)/(1+$B20)^$L$27-Inputs!$C$27+Inputs!$C$28)/Inputs!$C$7</f>
        <v>197.295523162026</v>
      </c>
      <c r="F20" s="42" t="n">
        <f aca="false">(SUMPRODUCT($C31:$L31,1/(1+$B20)^$C$27:$L$27)*Inputs!$C$23+$L31*Inputs!$C$23*(1+Inputs!$C$37)/($B20-Inputs!$C$37)/(1+$B20)^$L$27-Inputs!$C$27+Inputs!$C$28)/Inputs!$C$7</f>
        <v>225.578494190571</v>
      </c>
      <c r="G20" s="42" t="n">
        <f aca="false">(SUMPRODUCT($C32:$L32,1/(1+$B20)^$C$27:$L$27)*Inputs!$C$23+$L32*Inputs!$C$23*(1+Inputs!$C$37)/($B20-Inputs!$C$37)/(1+$B20)^$L$27-Inputs!$C$27+Inputs!$C$28)/Inputs!$C$7</f>
        <v>257.06468173867</v>
      </c>
    </row>
    <row r="21" customFormat="false" ht="15" hidden="false" customHeight="false" outlineLevel="0" collapsed="false">
      <c r="B21" s="47" t="n">
        <f aca="false">WACC!$C$35+(2-2)*$C$5</f>
        <v>0.0812368036285737</v>
      </c>
      <c r="C21" s="42" t="n">
        <f aca="false">(SUMPRODUCT($C28:$L28,1/(1+$B21)^$C$27:$L$27)*Inputs!$C$23+$L28*Inputs!$C$23*(1+Inputs!$C$37)/($B21-Inputs!$C$37)/(1+$B21)^$L$27-Inputs!$C$27+Inputs!$C$28)/Inputs!$C$7</f>
        <v>132.282494023135</v>
      </c>
      <c r="D21" s="42" t="n">
        <f aca="false">(SUMPRODUCT($C29:$L29,1/(1+$B21)^$C$27:$L$27)*Inputs!$C$23+$L29*Inputs!$C$23*(1+Inputs!$C$37)/($B21-Inputs!$C$37)/(1+$B21)^$L$27-Inputs!$C$27+Inputs!$C$28)/Inputs!$C$7</f>
        <v>152.585800638963</v>
      </c>
      <c r="E21" s="46" t="n">
        <f aca="false">(SUMPRODUCT($C30:$L30,1/(1+$B21)^$C$27:$L$27)*Inputs!$C$23+$L30*Inputs!$C$23*(1+Inputs!$C$37)/($B21-Inputs!$C$37)/(1+$B21)^$L$27-Inputs!$C$27+Inputs!$C$28)/Inputs!$C$7</f>
        <v>175.234245287854</v>
      </c>
      <c r="F21" s="42" t="n">
        <f aca="false">(SUMPRODUCT($C31:$L31,1/(1+$B21)^$C$27:$L$27)*Inputs!$C$23+$L31*Inputs!$C$23*(1+Inputs!$C$37)/($B21-Inputs!$C$37)/(1+$B21)^$L$27-Inputs!$C$27+Inputs!$C$28)/Inputs!$C$7</f>
        <v>200.46435839684</v>
      </c>
      <c r="G21" s="42" t="n">
        <f aca="false">(SUMPRODUCT($C32:$L32,1/(1+$B21)^$C$27:$L$27)*Inputs!$C$23+$L32*Inputs!$C$23*(1+Inputs!$C$37)/($B21-Inputs!$C$37)/(1+$B21)^$L$27-Inputs!$C$27+Inputs!$C$28)/Inputs!$C$7</f>
        <v>228.532598229232</v>
      </c>
    </row>
    <row r="22" customFormat="false" ht="15" hidden="false" customHeight="false" outlineLevel="0" collapsed="false">
      <c r="B22" s="47" t="n">
        <f aca="false">WACC!$C$35+(3-2)*$C$5</f>
        <v>0.0862368036285737</v>
      </c>
      <c r="C22" s="42" t="n">
        <f aca="false">(SUMPRODUCT($C28:$L28,1/(1+$B22)^$C$27:$L$27)*Inputs!$C$23+$L28*Inputs!$C$23*(1+Inputs!$C$37)/($B22-Inputs!$C$37)/(1+$B22)^$L$27-Inputs!$C$27+Inputs!$C$28)/Inputs!$C$7</f>
        <v>118.282150772375</v>
      </c>
      <c r="D22" s="42" t="n">
        <f aca="false">(SUMPRODUCT($C29:$L29,1/(1+$B22)^$C$27:$L$27)*Inputs!$C$23+$L29*Inputs!$C$23*(1+Inputs!$C$37)/($B22-Inputs!$C$37)/(1+$B22)^$L$27-Inputs!$C$27+Inputs!$C$28)/Inputs!$C$7</f>
        <v>136.587737006836</v>
      </c>
      <c r="E22" s="42" t="n">
        <f aca="false">(SUMPRODUCT($C30:$L30,1/(1+$B22)^$C$27:$L$27)*Inputs!$C$23+$L30*Inputs!$C$23*(1+Inputs!$C$37)/($B22-Inputs!$C$37)/(1+$B22)^$L$27-Inputs!$C$27+Inputs!$C$28)/Inputs!$C$7</f>
        <v>156.991828506557</v>
      </c>
      <c r="F22" s="42" t="n">
        <f aca="false">(SUMPRODUCT($C31:$L31,1/(1+$B22)^$C$27:$L$27)*Inputs!$C$23+$L31*Inputs!$C$23*(1+Inputs!$C$37)/($B22-Inputs!$C$37)/(1+$B22)^$L$27-Inputs!$C$27+Inputs!$C$28)/Inputs!$C$7</f>
        <v>179.705181518788</v>
      </c>
      <c r="G22" s="42" t="n">
        <f aca="false">(SUMPRODUCT($C32:$L32,1/(1+$B22)^$C$27:$L$27)*Inputs!$C$23+$L32*Inputs!$C$23*(1+Inputs!$C$37)/($B22-Inputs!$C$37)/(1+$B22)^$L$27-Inputs!$C$27+Inputs!$C$28)/Inputs!$C$7</f>
        <v>204.956256734285</v>
      </c>
    </row>
    <row r="23" customFormat="false" ht="15" hidden="false" customHeight="false" outlineLevel="0" collapsed="false">
      <c r="B23" s="47" t="n">
        <f aca="false">WACC!$C$35+(4-2)*$C$5</f>
        <v>0.0912368036285737</v>
      </c>
      <c r="C23" s="42" t="n">
        <f aca="false">(SUMPRODUCT($C28:$L28,1/(1+$B23)^$C$27:$L$27)*Inputs!$C$23+$L28*Inputs!$C$23*(1+Inputs!$C$37)/($B23-Inputs!$C$37)/(1+$B23)^$L$27-Inputs!$C$27+Inputs!$C$28)/Inputs!$C$7</f>
        <v>106.503616434133</v>
      </c>
      <c r="D23" s="42" t="n">
        <f aca="false">(SUMPRODUCT($C29:$L29,1/(1+$B23)^$C$27:$L$27)*Inputs!$C$23+$L29*Inputs!$C$23*(1+Inputs!$C$37)/($B23-Inputs!$C$37)/(1+$B23)^$L$27-Inputs!$C$27+Inputs!$C$28)/Inputs!$C$7</f>
        <v>123.134584733166</v>
      </c>
      <c r="E23" s="42" t="n">
        <f aca="false">(SUMPRODUCT($C30:$L30,1/(1+$B23)^$C$27:$L$27)*Inputs!$C$23+$L30*Inputs!$C$23*(1+Inputs!$C$37)/($B23-Inputs!$C$37)/(1+$B23)^$L$27-Inputs!$C$27+Inputs!$C$28)/Inputs!$C$7</f>
        <v>141.657772536961</v>
      </c>
      <c r="F23" s="42" t="n">
        <f aca="false">(SUMPRODUCT($C31:$L31,1/(1+$B23)^$C$27:$L$27)*Inputs!$C$23+$L31*Inputs!$C$23*(1+Inputs!$C$37)/($B23-Inputs!$C$37)/(1+$B23)^$L$27-Inputs!$C$27+Inputs!$C$28)/Inputs!$C$7</f>
        <v>162.262411033129</v>
      </c>
      <c r="G23" s="42" t="n">
        <f aca="false">(SUMPRODUCT($C32:$L32,1/(1+$B23)^$C$27:$L$27)*Inputs!$C$23+$L32*Inputs!$C$23*(1+Inputs!$C$37)/($B23-Inputs!$C$37)/(1+$B23)^$L$27-Inputs!$C$27+Inputs!$C$28)/Inputs!$C$7</f>
        <v>185.153581168981</v>
      </c>
    </row>
    <row r="26" customFormat="false" ht="15" hidden="false" customHeight="false" outlineLevel="0" collapsed="false">
      <c r="B26" s="19" t="s">
        <v>235</v>
      </c>
    </row>
    <row r="27" customFormat="false" ht="15" hidden="false" customHeight="false" outlineLevel="0" collapsed="false">
      <c r="C27" s="39" t="n">
        <v>1</v>
      </c>
      <c r="D27" s="39" t="n">
        <v>2</v>
      </c>
      <c r="E27" s="39" t="n">
        <v>3</v>
      </c>
      <c r="F27" s="39" t="n">
        <v>4</v>
      </c>
      <c r="G27" s="39" t="n">
        <v>5</v>
      </c>
      <c r="H27" s="39" t="n">
        <v>6</v>
      </c>
      <c r="I27" s="39" t="n">
        <v>7</v>
      </c>
      <c r="J27" s="39" t="n">
        <v>8</v>
      </c>
      <c r="K27" s="39" t="n">
        <v>9</v>
      </c>
      <c r="L27" s="39" t="n">
        <v>10</v>
      </c>
    </row>
    <row r="28" customFormat="false" ht="15" hidden="false" customHeight="false" outlineLevel="0" collapsed="false">
      <c r="B28" s="23" t="n">
        <f aca="false">C$18</f>
        <v>0.0183268975896453</v>
      </c>
      <c r="C28" s="15" t="n">
        <f aca="false">Inputs!$C$12*(1+IF(C$27&lt;=Inputs!$C$46,$B28,$B28-($B28-Inputs!$C$37)*MIN(C$27-Inputs!$C$46,Inputs!$C$47)/Inputs!$C$47))</f>
        <v>6680.22444818807</v>
      </c>
      <c r="D28" s="15" t="n">
        <f aca="false">C28*(1+IF(D$27&lt;=Inputs!$C$46,$B28,$B28-($B28-Inputs!$C$37)*MIN(D$27-Inputs!$C$46,Inputs!$C$47)/Inputs!$C$47))</f>
        <v>6802.65223752586</v>
      </c>
      <c r="E28" s="15" t="n">
        <f aca="false">D28*(1+IF(E$27&lt;=Inputs!$C$46,$B28,$B28-($B28-Inputs!$C$37)*MIN(E$27-Inputs!$C$46,Inputs!$C$47)/Inputs!$C$47))</f>
        <v>6927.32374842097</v>
      </c>
      <c r="F28" s="15" t="n">
        <f aca="false">E28*(1+IF(F$27&lt;=Inputs!$C$46,$B28,$B28-($B28-Inputs!$C$37)*MIN(F$27-Inputs!$C$46,Inputs!$C$47)/Inputs!$C$47))</f>
        <v>7054.2801013286</v>
      </c>
      <c r="G28" s="15" t="n">
        <f aca="false">F28*(1+IF(G$27&lt;=Inputs!$C$46,$B28,$B28-($B28-Inputs!$C$37)*MIN(G$27-Inputs!$C$46,Inputs!$C$47)/Inputs!$C$47))</f>
        <v>7183.56317031432</v>
      </c>
      <c r="H28" s="15" t="n">
        <f aca="false">G28*(1+IF(H$27&lt;=Inputs!$C$46,$B28,$B28-($B28-Inputs!$C$37)*MIN(H$27-Inputs!$C$46,Inputs!$C$47)/Inputs!$C$47))</f>
        <v>7329.54407909918</v>
      </c>
      <c r="I28" s="15" t="n">
        <f aca="false">H28*(1+IF(I$27&lt;=Inputs!$C$46,$B28,$B28-($B28-Inputs!$C$37)*MIN(I$27-Inputs!$C$46,Inputs!$C$47)/Inputs!$C$47))</f>
        <v>7493.11120030445</v>
      </c>
      <c r="J28" s="15" t="n">
        <f aca="false">I28*(1+IF(J$27&lt;=Inputs!$C$46,$B28,$B28-($B28-Inputs!$C$37)*MIN(J$27-Inputs!$C$46,Inputs!$C$47)/Inputs!$C$47))</f>
        <v>7675.27442112394</v>
      </c>
      <c r="K28" s="15" t="n">
        <f aca="false">J28*(1+IF(K$27&lt;=Inputs!$C$46,$B28,$B28-($B28-Inputs!$C$37)*MIN(K$27-Inputs!$C$46,Inputs!$C$47)/Inputs!$C$47))</f>
        <v>7877.17542767586</v>
      </c>
      <c r="L28" s="15" t="n">
        <f aca="false">K28*(1+IF(L$27&lt;=Inputs!$C$46,$B28,$B28-($B28-Inputs!$C$37)*MIN(L$27-Inputs!$C$46,Inputs!$C$47)/Inputs!$C$47))</f>
        <v>8100.09949227908</v>
      </c>
    </row>
    <row r="29" customFormat="false" ht="15" hidden="false" customHeight="false" outlineLevel="0" collapsed="false">
      <c r="B29" s="23" t="n">
        <f aca="false">D$18</f>
        <v>0.0383268975896453</v>
      </c>
      <c r="C29" s="15" t="n">
        <f aca="false">Inputs!$C$12*(1+IF(C$27&lt;=Inputs!$C$46,$B29,$B29-($B29-Inputs!$C$37)*MIN(C$27-Inputs!$C$46,Inputs!$C$47)/Inputs!$C$47))</f>
        <v>6811.42444818807</v>
      </c>
      <c r="D29" s="15" t="n">
        <f aca="false">C29*(1+IF(D$27&lt;=Inputs!$C$46,$B29,$B29-($B29-Inputs!$C$37)*MIN(D$27-Inputs!$C$46,Inputs!$C$47)/Inputs!$C$47))</f>
        <v>7072.48521545339</v>
      </c>
      <c r="E29" s="15" t="n">
        <f aca="false">D29*(1+IF(E$27&lt;=Inputs!$C$46,$B29,$B29-($B29-Inputs!$C$37)*MIN(E$27-Inputs!$C$46,Inputs!$C$47)/Inputs!$C$47))</f>
        <v>7343.55163201035</v>
      </c>
      <c r="F29" s="15" t="n">
        <f aca="false">E29*(1+IF(F$27&lt;=Inputs!$C$46,$B29,$B29-($B29-Inputs!$C$37)*MIN(F$27-Inputs!$C$46,Inputs!$C$47)/Inputs!$C$47))</f>
        <v>7625.00718335468</v>
      </c>
      <c r="G29" s="15" t="n">
        <f aca="false">F29*(1+IF(G$27&lt;=Inputs!$C$46,$B29,$B29-($B29-Inputs!$C$37)*MIN(G$27-Inputs!$C$46,Inputs!$C$47)/Inputs!$C$47))</f>
        <v>7917.25005279143</v>
      </c>
      <c r="H29" s="15" t="n">
        <f aca="false">G29*(1+IF(H$27&lt;=Inputs!$C$46,$B29,$B29-($B29-Inputs!$C$37)*MIN(H$27-Inputs!$C$46,Inputs!$C$47)/Inputs!$C$47))</f>
        <v>8204.81659366219</v>
      </c>
      <c r="I29" s="15" t="n">
        <f aca="false">H29*(1+IF(I$27&lt;=Inputs!$C$46,$B29,$B29-($B29-Inputs!$C$37)*MIN(I$27-Inputs!$C$46,Inputs!$C$47)/Inputs!$C$47))</f>
        <v>8486.37421669871</v>
      </c>
      <c r="J29" s="15" t="n">
        <f aca="false">I29*(1+IF(J$27&lt;=Inputs!$C$46,$B29,$B29-($B29-Inputs!$C$37)*MIN(J$27-Inputs!$C$46,Inputs!$C$47)/Inputs!$C$47))</f>
        <v>8760.57540910258</v>
      </c>
      <c r="K29" s="15" t="n">
        <f aca="false">J29*(1+IF(K$27&lt;=Inputs!$C$46,$B29,$B29-($B29-Inputs!$C$37)*MIN(K$27-Inputs!$C$46,Inputs!$C$47)/Inputs!$C$47))</f>
        <v>9026.06797167087</v>
      </c>
      <c r="L29" s="15" t="n">
        <f aca="false">K29*(1+IF(L$27&lt;=Inputs!$C$46,$B29,$B29-($B29-Inputs!$C$37)*MIN(L$27-Inputs!$C$46,Inputs!$C$47)/Inputs!$C$47))</f>
        <v>9281.50569526916</v>
      </c>
    </row>
    <row r="30" customFormat="false" ht="15" hidden="false" customHeight="false" outlineLevel="0" collapsed="false">
      <c r="B30" s="23" t="n">
        <f aca="false">E$18</f>
        <v>0.0583268975896453</v>
      </c>
      <c r="C30" s="15" t="n">
        <f aca="false">Inputs!$C$12*(1+IF(C$27&lt;=Inputs!$C$46,$B30,$B30-($B30-Inputs!$C$37)*MIN(C$27-Inputs!$C$46,Inputs!$C$47)/Inputs!$C$47))</f>
        <v>6942.62444818807</v>
      </c>
      <c r="D30" s="15" t="n">
        <f aca="false">C30*(1+IF(D$27&lt;=Inputs!$C$46,$B30,$B30-($B30-Inputs!$C$37)*MIN(D$27-Inputs!$C$46,Inputs!$C$47)/Inputs!$C$47))</f>
        <v>7347.56619338091</v>
      </c>
      <c r="E30" s="15" t="n">
        <f aca="false">D30*(1+IF(E$27&lt;=Inputs!$C$46,$B30,$B30-($B30-Inputs!$C$37)*MIN(E$27-Inputs!$C$46,Inputs!$C$47)/Inputs!$C$47))</f>
        <v>7776.12693427538</v>
      </c>
      <c r="F30" s="15" t="n">
        <f aca="false">E30*(1+IF(F$27&lt;=Inputs!$C$46,$B30,$B30-($B30-Inputs!$C$37)*MIN(F$27-Inputs!$C$46,Inputs!$C$47)/Inputs!$C$47))</f>
        <v>8229.68429361494</v>
      </c>
      <c r="G30" s="15" t="n">
        <f aca="false">F30*(1+IF(G$27&lt;=Inputs!$C$46,$B30,$B30-($B30-Inputs!$C$37)*MIN(G$27-Inputs!$C$46,Inputs!$C$47)/Inputs!$C$47))</f>
        <v>8709.69624660373</v>
      </c>
      <c r="H30" s="15" t="n">
        <f aca="false">G30*(1+IF(H$27&lt;=Inputs!$C$46,$B30,$B30-($B30-Inputs!$C$37)*MIN(H$27-Inputs!$C$46,Inputs!$C$47)/Inputs!$C$47))</f>
        <v>9165.40077616957</v>
      </c>
      <c r="I30" s="15" t="n">
        <f aca="false">H30*(1+IF(I$27&lt;=Inputs!$C$46,$B30,$B30-($B30-Inputs!$C$37)*MIN(I$27-Inputs!$C$46,Inputs!$C$47)/Inputs!$C$47))</f>
        <v>9589.90674841963</v>
      </c>
      <c r="J30" s="15" t="n">
        <f aca="false">I30*(1+IF(J$27&lt;=Inputs!$C$46,$B30,$B30-($B30-Inputs!$C$37)*MIN(J$27-Inputs!$C$46,Inputs!$C$47)/Inputs!$C$47))</f>
        <v>9976.48316853152</v>
      </c>
      <c r="K30" s="15" t="n">
        <f aca="false">J30*(1+IF(K$27&lt;=Inputs!$C$46,$B30,$B30-($B30-Inputs!$C$37)*MIN(K$27-Inputs!$C$46,Inputs!$C$47)/Inputs!$C$47))</f>
        <v>10318.7302098822</v>
      </c>
      <c r="L30" s="15" t="n">
        <f aca="false">K30*(1+IF(L$27&lt;=Inputs!$C$46,$B30,$B30-($B30-Inputs!$C$37)*MIN(L$27-Inputs!$C$46,Inputs!$C$47)/Inputs!$C$47))</f>
        <v>10610.7502748219</v>
      </c>
    </row>
    <row r="31" customFormat="false" ht="15" hidden="false" customHeight="false" outlineLevel="0" collapsed="false">
      <c r="B31" s="23" t="n">
        <f aca="false">F$18</f>
        <v>0.0783268975896453</v>
      </c>
      <c r="C31" s="15" t="n">
        <f aca="false">Inputs!$C$12*(1+IF(C$27&lt;=Inputs!$C$46,$B31,$B31-($B31-Inputs!$C$37)*MIN(C$27-Inputs!$C$46,Inputs!$C$47)/Inputs!$C$47))</f>
        <v>7073.82444818807</v>
      </c>
      <c r="D31" s="15" t="n">
        <f aca="false">C31*(1+IF(D$27&lt;=Inputs!$C$46,$B31,$B31-($B31-Inputs!$C$37)*MIN(D$27-Inputs!$C$46,Inputs!$C$47)/Inputs!$C$47))</f>
        <v>7627.89517130843</v>
      </c>
      <c r="E31" s="15" t="n">
        <f aca="false">D31*(1+IF(E$27&lt;=Inputs!$C$46,$B31,$B31-($B31-Inputs!$C$37)*MIN(E$27-Inputs!$C$46,Inputs!$C$47)/Inputs!$C$47))</f>
        <v>8225.36453521606</v>
      </c>
      <c r="F31" s="15" t="n">
        <f aca="false">E31*(1+IF(F$27&lt;=Inputs!$C$46,$B31,$B31-($B31-Inputs!$C$37)*MIN(F$27-Inputs!$C$46,Inputs!$C$47)/Inputs!$C$47))</f>
        <v>8869.63182080343</v>
      </c>
      <c r="G31" s="15" t="n">
        <f aca="false">F31*(1+IF(G$27&lt;=Inputs!$C$46,$B31,$B31-($B31-Inputs!$C$37)*MIN(G$27-Inputs!$C$46,Inputs!$C$47)/Inputs!$C$47))</f>
        <v>9564.36256408936</v>
      </c>
      <c r="H31" s="15" t="n">
        <f aca="false">G31*(1+IF(H$27&lt;=Inputs!$C$46,$B31,$B31-($B31-Inputs!$C$37)*MIN(H$27-Inputs!$C$46,Inputs!$C$47)/Inputs!$C$47))</f>
        <v>10217.8143338562</v>
      </c>
      <c r="I31" s="15" t="n">
        <f aca="false">H31*(1+IF(I$27&lt;=Inputs!$C$46,$B31,$B31-($B31-Inputs!$C$37)*MIN(I$27-Inputs!$C$46,Inputs!$C$47)/Inputs!$C$47))</f>
        <v>10813.6778102663</v>
      </c>
      <c r="J31" s="15" t="n">
        <f aca="false">I31*(1+IF(J$27&lt;=Inputs!$C$46,$B31,$B31-($B31-Inputs!$C$37)*MIN(J$27-Inputs!$C$46,Inputs!$C$47)/Inputs!$C$47))</f>
        <v>11336.0947932494</v>
      </c>
      <c r="K31" s="15" t="n">
        <f aca="false">J31*(1+IF(K$27&lt;=Inputs!$C$46,$B31,$B31-($B31-Inputs!$C$37)*MIN(K$27-Inputs!$C$46,Inputs!$C$47)/Inputs!$C$47))</f>
        <v>11770.3282065561</v>
      </c>
      <c r="L31" s="15" t="n">
        <f aca="false">K31*(1+IF(L$27&lt;=Inputs!$C$46,$B31,$B31-($B31-Inputs!$C$37)*MIN(L$27-Inputs!$C$46,Inputs!$C$47)/Inputs!$C$47))</f>
        <v>12103.4284948016</v>
      </c>
    </row>
    <row r="32" customFormat="false" ht="15" hidden="false" customHeight="false" outlineLevel="0" collapsed="false">
      <c r="B32" s="23" t="n">
        <f aca="false">G$18</f>
        <v>0.0983268975896453</v>
      </c>
      <c r="C32" s="15" t="n">
        <f aca="false">Inputs!$C$12*(1+IF(C$27&lt;=Inputs!$C$46,$B32,$B32-($B32-Inputs!$C$37)*MIN(C$27-Inputs!$C$46,Inputs!$C$47)/Inputs!$C$47))</f>
        <v>7205.02444818807</v>
      </c>
      <c r="D32" s="15" t="n">
        <f aca="false">C32*(1+IF(D$27&lt;=Inputs!$C$46,$B32,$B32-($B32-Inputs!$C$37)*MIN(D$27-Inputs!$C$46,Inputs!$C$47)/Inputs!$C$47))</f>
        <v>7913.47214923595</v>
      </c>
      <c r="E32" s="15" t="n">
        <f aca="false">D32*(1+IF(E$27&lt;=Inputs!$C$46,$B32,$B32-($B32-Inputs!$C$37)*MIN(E$27-Inputs!$C$46,Inputs!$C$47)/Inputs!$C$47))</f>
        <v>8691.57931483239</v>
      </c>
      <c r="F32" s="15" t="n">
        <f aca="false">E32*(1+IF(F$27&lt;=Inputs!$C$46,$B32,$B32-($B32-Inputs!$C$37)*MIN(F$27-Inputs!$C$46,Inputs!$C$47)/Inputs!$C$47))</f>
        <v>9546.19534401419</v>
      </c>
      <c r="G32" s="15" t="n">
        <f aca="false">F32*(1+IF(G$27&lt;=Inputs!$C$46,$B32,$B32-($B32-Inputs!$C$37)*MIN(G$27-Inputs!$C$46,Inputs!$C$47)/Inputs!$C$47))</f>
        <v>10484.8431159758</v>
      </c>
      <c r="H32" s="15" t="n">
        <f aca="false">G32*(1+IF(H$27&lt;=Inputs!$C$46,$B32,$B32-($B32-Inputs!$C$37)*MIN(H$27-Inputs!$C$46,Inputs!$C$47)/Inputs!$C$47))</f>
        <v>11368.9410042587</v>
      </c>
      <c r="I32" s="15" t="n">
        <f aca="false">H32*(1+IF(I$27&lt;=Inputs!$C$46,$B32,$B32-($B32-Inputs!$C$37)*MIN(I$27-Inputs!$C$46,Inputs!$C$47)/Inputs!$C$47))</f>
        <v>12168.361035124</v>
      </c>
      <c r="J32" s="15" t="n">
        <f aca="false">I32*(1+IF(J$27&lt;=Inputs!$C$46,$B32,$B32-($B32-Inputs!$C$37)*MIN(J$27-Inputs!$C$46,Inputs!$C$47)/Inputs!$C$47))</f>
        <v>12853.5706812342</v>
      </c>
      <c r="K32" s="15" t="n">
        <f aca="false">J32*(1+IF(K$27&lt;=Inputs!$C$46,$B32,$B32-($B32-Inputs!$C$37)*MIN(K$27-Inputs!$C$46,Inputs!$C$47)/Inputs!$C$47))</f>
        <v>13397.3458670643</v>
      </c>
      <c r="L32" s="15" t="n">
        <f aca="false">K32*(1+IF(L$27&lt;=Inputs!$C$46,$B32,$B32-($B32-Inputs!$C$37)*MIN(L$27-Inputs!$C$46,Inputs!$C$47)/Inputs!$C$47))</f>
        <v>13776.4907551022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50"/>
  </cols>
  <sheetData>
    <row r="2" customFormat="false" ht="19.7" hidden="false" customHeight="false" outlineLevel="0" collapsed="false">
      <c r="B2" s="1" t="s">
        <v>236</v>
      </c>
    </row>
    <row r="3" customFormat="false" ht="15" hidden="false" customHeight="false" outlineLevel="0" collapsed="false">
      <c r="B3" s="2" t="s">
        <v>237</v>
      </c>
    </row>
    <row r="5" customFormat="false" ht="15" hidden="false" customHeight="false" outlineLevel="0" collapsed="false">
      <c r="B5" s="28" t="s">
        <v>238</v>
      </c>
      <c r="C5" s="28" t="s">
        <v>239</v>
      </c>
      <c r="D5" s="28" t="s">
        <v>240</v>
      </c>
      <c r="E5" s="28" t="s">
        <v>241</v>
      </c>
      <c r="F5" s="28" t="s">
        <v>242</v>
      </c>
    </row>
    <row r="6" customFormat="false" ht="15" hidden="false" customHeight="false" outlineLevel="0" collapsed="false">
      <c r="B6" s="5" t="s">
        <v>13</v>
      </c>
      <c r="C6" s="12" t="n">
        <f aca="false">Inputs!$C$23</f>
        <v>0.319359756097561</v>
      </c>
      <c r="D6" s="24" t="n">
        <v>0.31935976</v>
      </c>
      <c r="E6" s="49" t="n">
        <f aca="false">C6-D6</f>
        <v>-3.90243903858334E-009</v>
      </c>
      <c r="F6" s="5" t="str">
        <f aca="false">IF(ABS(E6)&lt;=0.00005,"Pass","Check")</f>
        <v>Pass</v>
      </c>
    </row>
    <row r="7" customFormat="false" ht="15" hidden="false" customHeight="false" outlineLevel="0" collapsed="false">
      <c r="B7" s="5" t="s">
        <v>132</v>
      </c>
      <c r="C7" s="50" t="n">
        <f aca="false">WACC!$C$12</f>
        <v>0.728116658230903</v>
      </c>
      <c r="D7" s="51" t="n">
        <v>0.72811666</v>
      </c>
      <c r="E7" s="49" t="n">
        <f aca="false">C7-D7</f>
        <v>-1.76909698001992E-009</v>
      </c>
      <c r="F7" s="5" t="str">
        <f aca="false">IF(ABS(E7)&lt;=0.0005,"Pass","Check")</f>
        <v>Pass</v>
      </c>
    </row>
    <row r="8" customFormat="false" ht="15" hidden="false" customHeight="false" outlineLevel="0" collapsed="false">
      <c r="B8" s="5" t="s">
        <v>11</v>
      </c>
      <c r="C8" s="12" t="n">
        <f aca="false">WACC!$C$35</f>
        <v>0.0812368036285737</v>
      </c>
      <c r="D8" s="24" t="n">
        <v>0.0812368</v>
      </c>
      <c r="E8" s="49" t="n">
        <f aca="false">C8-D8</f>
        <v>3.62857367763869E-009</v>
      </c>
      <c r="F8" s="5" t="str">
        <f aca="false">IF(ABS(E8)&lt;=0.00005,"Pass","Check")</f>
        <v>Pass</v>
      </c>
    </row>
    <row r="9" customFormat="false" ht="15" hidden="false" customHeight="false" outlineLevel="0" collapsed="false">
      <c r="B9" s="5" t="s">
        <v>12</v>
      </c>
      <c r="C9" s="12" t="n">
        <f aca="false">Inputs!$C$37</f>
        <v>0.0283</v>
      </c>
      <c r="D9" s="24" t="n">
        <v>0.0283</v>
      </c>
      <c r="E9" s="49" t="n">
        <f aca="false">C9-D9</f>
        <v>0</v>
      </c>
      <c r="F9" s="5" t="str">
        <f aca="false">IF(ABS(E9)&lt;=0.00005,"Pass","Check")</f>
        <v>Pass</v>
      </c>
    </row>
    <row r="10" customFormat="false" ht="15" hidden="false" customHeight="false" outlineLevel="0" collapsed="false">
      <c r="B10" s="5" t="s">
        <v>243</v>
      </c>
      <c r="C10" s="12" t="n">
        <f aca="false">Inputs!$C$43</f>
        <v>0.0583268975896454</v>
      </c>
      <c r="D10" s="24" t="n">
        <v>0.0583269</v>
      </c>
      <c r="E10" s="49" t="n">
        <f aca="false">C10-D10</f>
        <v>-2.41035461034933E-009</v>
      </c>
      <c r="F10" s="5" t="str">
        <f aca="false">IF(ABS(E10)&lt;=0.00005,"Pass","Check")</f>
        <v>Pass</v>
      </c>
    </row>
    <row r="11" customFormat="false" ht="15" hidden="false" customHeight="false" outlineLevel="0" collapsed="false">
      <c r="B11" s="5" t="s">
        <v>244</v>
      </c>
      <c r="C11" s="12" t="n">
        <f aca="false">Solver!$W$7</f>
        <v>-0.04511938632686</v>
      </c>
      <c r="D11" s="24" t="n">
        <v>-0.04511939</v>
      </c>
      <c r="E11" s="49" t="n">
        <f aca="false">C11-D11</f>
        <v>3.67314003518748E-009</v>
      </c>
      <c r="F11" s="5" t="str">
        <f aca="false">IF(ABS(E11)&lt;=0.00005,"Pass","Check")</f>
        <v>Pass</v>
      </c>
    </row>
    <row r="12" customFormat="false" ht="15" hidden="false" customHeight="false" outlineLevel="0" collapsed="false">
      <c r="B12" s="5" t="s">
        <v>245</v>
      </c>
      <c r="C12" s="12" t="n">
        <f aca="false">Sensitivity!$E$14</f>
        <v>-0.0173237025737762</v>
      </c>
      <c r="D12" s="24" t="n">
        <v>-0.01732368</v>
      </c>
      <c r="E12" s="49" t="n">
        <f aca="false">C12-D12</f>
        <v>-2.25737762440947E-008</v>
      </c>
      <c r="F12" s="5" t="str">
        <f aca="false">IF(ABS(E12)&lt;=0.0002,"Pass","Check")</f>
        <v>Pass</v>
      </c>
    </row>
    <row r="13" customFormat="false" ht="15" hidden="false" customHeight="false" outlineLevel="0" collapsed="false">
      <c r="B13" s="5" t="s">
        <v>246</v>
      </c>
      <c r="C13" s="6" t="n">
        <f aca="false">DCF!$C$41</f>
        <v>175.234245287854</v>
      </c>
      <c r="D13" s="20" t="n">
        <v>175.23424529</v>
      </c>
      <c r="E13" s="49" t="n">
        <f aca="false">C13-D13</f>
        <v>-2.14623696592753E-009</v>
      </c>
      <c r="F13" s="5" t="str">
        <f aca="false">IF(ABS(E13)&lt;=0.02,"Pass","Check")</f>
        <v>Pass</v>
      </c>
    </row>
    <row r="14" customFormat="false" ht="15" hidden="false" customHeight="false" outlineLevel="0" collapsed="false">
      <c r="B14" s="5" t="s">
        <v>247</v>
      </c>
      <c r="C14" s="6" t="n">
        <f aca="false">DCF!$C$21-DCF!$C$22</f>
        <v>8.37957259136601E-010</v>
      </c>
      <c r="D14" s="20" t="n">
        <v>0</v>
      </c>
      <c r="E14" s="49" t="n">
        <f aca="false">C14-D14</f>
        <v>8.37957259136601E-010</v>
      </c>
      <c r="F14" s="5" t="str">
        <f aca="false">IF(ABS(E14)&lt;=0.01,"Pass","Check")</f>
        <v>Pass</v>
      </c>
      <c r="G14" s="19" t="s">
        <v>248</v>
      </c>
    </row>
    <row r="16" customFormat="false" ht="15" hidden="false" customHeight="false" outlineLevel="0" collapsed="false">
      <c r="B16" s="38" t="s">
        <v>249</v>
      </c>
      <c r="C16" s="7" t="str">
        <f aca="false">IF(COUNTIF(F6:F14,"Pass")=9,"All checks pass","Review")</f>
        <v>All checks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2026-10-14T16:48:50Z</dcterms:created>
  <dc:creator>openpyxl</dc:creator>
  <dc:description/>
  <dc:language>en-US</dc:language>
  <cp:lastModifiedBy/>
  <dcterms:modified xsi:type="dcterms:W3CDTF">2026-10-14T16:48:51Z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